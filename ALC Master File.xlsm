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drawings/drawing4.xml" ContentType="application/vnd.openxmlformats-officedocument.drawing+xml"/>
  <Override PartName="/xl/comments3.xml" ContentType="application/vnd.openxmlformats-officedocument.spreadsheetml.comments+xml"/>
  <Override PartName="/xl/drawings/drawing5.xml" ContentType="application/vnd.openxmlformats-officedocument.drawing+xml"/>
  <Override PartName="/xl/drawings/drawing6.xml" ContentType="application/vnd.openxmlformats-officedocument.drawing+xml"/>
  <Override PartName="/xl/comments4.xml" ContentType="application/vnd.openxmlformats-officedocument.spreadsheetml.comments+xml"/>
  <Override PartName="/xl/drawings/drawing7.xml" ContentType="application/vnd.openxmlformats-officedocument.drawing+xml"/>
  <Override PartName="/xl/drawings/drawing8.xml" ContentType="application/vnd.openxmlformats-officedocument.drawing+xml"/>
  <Override PartName="/xl/comments5.xml" ContentType="application/vnd.openxmlformats-officedocument.spreadsheetml.comments+xml"/>
  <Override PartName="/xl/drawings/drawing9.xml" ContentType="application/vnd.openxmlformats-officedocument.drawing+xml"/>
  <Override PartName="/xl/comments6.xml" ContentType="application/vnd.openxmlformats-officedocument.spreadsheetml.comment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801" codeName="{4D1C537B-E38A-612A-F078-A93A15B4B7F4}"/>
  <workbookPr updateLinks="never" codeName="ThisWorkbook"/>
  <mc:AlternateContent xmlns:mc="http://schemas.openxmlformats.org/markup-compatibility/2006">
    <mc:Choice Requires="x15">
      <x15ac:absPath xmlns:x15ac="http://schemas.microsoft.com/office/spreadsheetml/2010/11/ac" url="E:\USF-GIT\ALC\"/>
    </mc:Choice>
  </mc:AlternateContent>
  <xr:revisionPtr revIDLastSave="0" documentId="13_ncr:1_{A137FDC8-6723-4722-95CB-24BB1E24C9A7}" xr6:coauthVersionLast="46" xr6:coauthVersionMax="46" xr10:uidLastSave="{00000000-0000-0000-0000-000000000000}"/>
  <workbookProtection workbookAlgorithmName="SHA-512" workbookHashValue="8GnNw3PIKi8BcV8z8KbEr5Mc5t2WNLO1obsRRgwElCK+MryqKcoZ7VTplH4CcFG3pJPFCP+gOTeymHleBiG0Kw==" workbookSaltValue="X8xnjULWxC0l/4Y++bQEoA==" workbookSpinCount="100000" lockStructure="1"/>
  <bookViews>
    <workbookView xWindow="-120" yWindow="-120" windowWidth="20730" windowHeight="11160" tabRatio="909" firstSheet="1" activeTab="1" xr2:uid="{00000000-000D-0000-FFFF-FFFF00000000}"/>
  </bookViews>
  <sheets>
    <sheet name="EOA Form" sheetId="65" state="hidden" r:id="rId1"/>
    <sheet name="Welcome" sheetId="74" r:id="rId2"/>
    <sheet name="Customer Inputs" sheetId="75" r:id="rId3"/>
    <sheet name="PIM Model" sheetId="70" r:id="rId4"/>
    <sheet name="Incentives" sheetId="94" r:id="rId5"/>
    <sheet name="Incentive Helper" sheetId="86" state="veryHidden" r:id="rId6"/>
    <sheet name="Variable Costs &amp; Income" sheetId="11" r:id="rId7"/>
    <sheet name="Tracking &amp; Profitability" sheetId="12" r:id="rId8"/>
    <sheet name="Required Info to Submit" sheetId="57" r:id="rId9"/>
    <sheet name="Mapping Sheet" sheetId="92" state="hidden" r:id="rId10"/>
    <sheet name="ALC Comparison" sheetId="93" state="hidden" r:id="rId11"/>
    <sheet name="Agreement Worksheet" sheetId="89" state="hidden" r:id="rId12"/>
    <sheet name="Pricing Schedule" sheetId="90" state="hidden" r:id="rId13"/>
    <sheet name="Variable Costs (Back)" sheetId="36" state="veryHidden" r:id="rId14"/>
    <sheet name="EB_CM (Back)" sheetId="43" state="veryHidden" r:id="rId15"/>
    <sheet name="Multi-Customer" sheetId="72" state="veryHidden" r:id="rId16"/>
    <sheet name="PIM Ranges" sheetId="76" state="veryHidden" r:id="rId17"/>
    <sheet name="Incentive Setup" sheetId="95" state="hidden" r:id="rId18"/>
    <sheet name="MDA Worksheet" sheetId="61" state="hidden" r:id="rId19"/>
    <sheet name="PRIME Upload" sheetId="59" state="hidden" r:id="rId20"/>
    <sheet name="Basket Composition" sheetId="33" state="veryHidden" r:id="rId21"/>
    <sheet name="PRIME Headers" sheetId="69" state="hidden" r:id="rId22"/>
    <sheet name="CC MARKET EXPENSE" sheetId="85" state="veryHidden" r:id="rId23"/>
    <sheet name="Margin Guidence Table" sheetId="88" state="veryHidden" r:id="rId24"/>
    <sheet name="Audit" sheetId="96" state="hidden" r:id="rId25"/>
    <sheet name="Modellable Customers" sheetId="78" r:id="rId26"/>
    <sheet name="HOS_Modellable Customers" sheetId="84" r:id="rId27"/>
    <sheet name="Existing Customers" sheetId="40" r:id="rId28"/>
    <sheet name="Existing Customer Variable Exp" sheetId="42" r:id="rId29"/>
    <sheet name="Customer Info" sheetId="77" r:id="rId30"/>
    <sheet name="Variable Selling" sheetId="30" r:id="rId31"/>
    <sheet name="Variable Div Avgs" sheetId="14" r:id="rId32"/>
    <sheet name="3zip" sheetId="50" r:id="rId33"/>
    <sheet name="4zip" sheetId="47" r:id="rId34"/>
    <sheet name="5zip" sheetId="37" r:id="rId35"/>
    <sheet name="Prospect Slot Assumptions" sheetId="91" r:id="rId36"/>
    <sheet name="Margin Quartiles" sheetId="34" state="veryHidden" r:id="rId37"/>
    <sheet name="IMargin Quartiles" sheetId="48" state="veryHidden" r:id="rId38"/>
    <sheet name="Lookups" sheetId="6" state="veryHidden" r:id="rId39"/>
    <sheet name="Market Geography" sheetId="38" state="veryHidden" r:id="rId40"/>
  </sheets>
  <functionGroups builtInGroupCount="19"/>
  <externalReferences>
    <externalReference r:id="rId41"/>
  </externalReferences>
  <definedNames>
    <definedName name="_xlnm._FilterDatabase" localSheetId="32" hidden="1">'3zip'!$A$1:$F$2754</definedName>
    <definedName name="_xlnm._FilterDatabase" localSheetId="33" hidden="1">'4zip'!$A$1:$F$95</definedName>
    <definedName name="_xlnm._FilterDatabase" localSheetId="34" hidden="1">'5zip'!$A$1:$F$1</definedName>
    <definedName name="_xlnm._FilterDatabase" localSheetId="20" hidden="1">'Basket Composition'!$A$2:$A$30</definedName>
    <definedName name="_xlnm._FilterDatabase" localSheetId="28" hidden="1">'Existing Customer Variable Exp'!$A$1:$F$1</definedName>
    <definedName name="_xlnm._FilterDatabase" localSheetId="27" hidden="1">'Existing Customers'!$A$1:$AA$1</definedName>
    <definedName name="_xlnm._FilterDatabase" localSheetId="26" hidden="1">'HOS_Modellable Customers'!$A$1:$B$1</definedName>
    <definedName name="_xlnm._FilterDatabase" localSheetId="37" hidden="1">'IMargin Quartiles'!$B$1:$C$106</definedName>
    <definedName name="_xlnm._FilterDatabase" localSheetId="38" hidden="1">Lookups!$E$1:$E$61</definedName>
    <definedName name="_xlnm._FilterDatabase" localSheetId="9" hidden="1">'Mapping Sheet'!$A$2:$F$532</definedName>
    <definedName name="_xlnm._FilterDatabase" localSheetId="36" hidden="1">'Margin Quartiles'!$B$1:$C$111</definedName>
    <definedName name="_xlnm._FilterDatabase" localSheetId="25" hidden="1">'Modellable Customers'!$A$1:$B$916</definedName>
    <definedName name="_xlnm._FilterDatabase" localSheetId="19" hidden="1">'PRIME Upload'!$A$1:$A$82</definedName>
    <definedName name="_xlnm._FilterDatabase" localSheetId="31" hidden="1">'Variable Div Avgs'!$A$1:$M$60</definedName>
    <definedName name="_xlnm._FilterDatabase" localSheetId="30" hidden="1">'Variable Selling'!$B$1:$O$1758</definedName>
    <definedName name="actionrequested" localSheetId="2">#REF!</definedName>
    <definedName name="actionrequested" localSheetId="0">#REF!</definedName>
    <definedName name="actionrequested" localSheetId="26">#REF!</definedName>
    <definedName name="actionrequested" localSheetId="18">#REF!</definedName>
    <definedName name="actionrequested" localSheetId="15">#REF!</definedName>
    <definedName name="actionrequested" localSheetId="3">#REF!</definedName>
    <definedName name="actionrequested" localSheetId="16">#REF!</definedName>
    <definedName name="actionrequested" localSheetId="1">#REF!</definedName>
    <definedName name="actionrequested">#REF!</definedName>
    <definedName name="BusinessType">'[1]Drop Box'!$H$2:$H$5</definedName>
    <definedName name="customers">'[1]Drop Box'!$K$2:$K$4</definedName>
    <definedName name="divisionlist">'[1]Drop Box'!$J$2:$J$68</definedName>
    <definedName name="divisionlisting" localSheetId="2">#REF!</definedName>
    <definedName name="divisionlisting" localSheetId="0">#REF!</definedName>
    <definedName name="divisionlisting" localSheetId="26">#REF!</definedName>
    <definedName name="divisionlisting" localSheetId="18">#REF!</definedName>
    <definedName name="divisionlisting" localSheetId="15">#REF!</definedName>
    <definedName name="divisionlisting" localSheetId="3">#REF!</definedName>
    <definedName name="divisionlisting" localSheetId="16">#REF!</definedName>
    <definedName name="divisionlisting" localSheetId="1">#REF!</definedName>
    <definedName name="divisionlisting">#REF!</definedName>
    <definedName name="DropCriteria">'[1]Drop Box'!$L$2:$L$8</definedName>
    <definedName name="droppgmparameters">'[1]Drop Box'!$M$2:$M$4</definedName>
    <definedName name="ExternalData_1" localSheetId="27">'Existing Customers'!$A$1:$AC$12740</definedName>
    <definedName name="ExternalData_1" localSheetId="26">'HOS_Modellable Customers'!$A$1:$B$1053</definedName>
    <definedName name="ExternalData_1" localSheetId="25">'Modellable Customers'!$A$1:$B$916</definedName>
    <definedName name="ExternalData_2" localSheetId="32">'3zip'!$A$1:$F$30</definedName>
    <definedName name="ExternalData_2" localSheetId="33">'4zip'!$A$1:$F$93</definedName>
    <definedName name="ExternalData_2" localSheetId="34">'5zip'!$A$1:$F$374</definedName>
    <definedName name="ExternalData_2" localSheetId="29">'Customer Info'!$A$1:$F$6606</definedName>
    <definedName name="ExternalData_2" localSheetId="28">'Existing Customer Variable Exp'!$A$1:$F$1053</definedName>
    <definedName name="ExternalData_2" localSheetId="31">'Variable Div Avgs'!$A$1:$M$2</definedName>
    <definedName name="ExternalData_2" localSheetId="30">'Variable Selling'!$A$1:$O$32</definedName>
    <definedName name="growththresholds">'[1]Drop Box'!$C$2:$C$6</definedName>
    <definedName name="HOS">Lookups!$AK$2:$AK$6</definedName>
    <definedName name="IND">Lookups!$D$2:$D$21</definedName>
    <definedName name="paycycle">'[1]Drop Box'!$G$2:$G$10</definedName>
    <definedName name="Paymentterms">'[1]Drop Box'!$B$2:$B$17</definedName>
    <definedName name="payoutlocation" localSheetId="2">#REF!</definedName>
    <definedName name="payoutlocation" localSheetId="0">#REF!</definedName>
    <definedName name="payoutlocation" localSheetId="26">#REF!</definedName>
    <definedName name="payoutlocation" localSheetId="18">#REF!</definedName>
    <definedName name="payoutlocation" localSheetId="15">#REF!</definedName>
    <definedName name="payoutlocation" localSheetId="3">#REF!</definedName>
    <definedName name="payoutlocation" localSheetId="16">#REF!</definedName>
    <definedName name="payoutlocation" localSheetId="1">#REF!</definedName>
    <definedName name="payoutlocation">#REF!</definedName>
    <definedName name="payoutmethod">'[1]Drop Box'!$E$2:$E$6</definedName>
    <definedName name="paytype">'[1]Drop Box'!$R$2:$R$5</definedName>
    <definedName name="pgmparameters" localSheetId="2">#REF!</definedName>
    <definedName name="pgmparameters" localSheetId="0">#REF!</definedName>
    <definedName name="pgmparameters" localSheetId="26">#REF!</definedName>
    <definedName name="pgmparameters" localSheetId="18">#REF!</definedName>
    <definedName name="pgmparameters" localSheetId="15">#REF!</definedName>
    <definedName name="pgmparameters" localSheetId="3">#REF!</definedName>
    <definedName name="pgmparameters" localSheetId="16">#REF!</definedName>
    <definedName name="pgmparameters" localSheetId="1">#REF!</definedName>
    <definedName name="pgmparameters">#REF!</definedName>
    <definedName name="pppgmparameters">'[1]Drop Box'!$N$2:$N$8</definedName>
    <definedName name="_xlnm.Print_Area" localSheetId="2">'Customer Inputs'!$E$2:$W$19</definedName>
    <definedName name="_xlnm.Print_Area" localSheetId="28">'Existing Customer Variable Exp'!$H$1</definedName>
    <definedName name="_xlnm.Print_Area" localSheetId="27">'Existing Customers'!$AD$1</definedName>
    <definedName name="_xlnm.Print_Area" localSheetId="26">'HOS_Modellable Customers'!$F$1</definedName>
    <definedName name="_xlnm.Print_Area" localSheetId="17">'Incentive Setup'!$I$1:$V$53</definedName>
    <definedName name="_xlnm.Print_Area" localSheetId="4">Incentives!$B$2:$Q$207</definedName>
    <definedName name="_xlnm.Print_Area" localSheetId="18">'MDA Worksheet'!$B$1:$BF$132</definedName>
    <definedName name="_xlnm.Print_Area" localSheetId="25">'Modellable Customers'!$L$1</definedName>
    <definedName name="_xlnm.Print_Area" localSheetId="3">'PIM Model'!$B$1:$Q$40</definedName>
    <definedName name="_xlnm.Print_Area" localSheetId="21">'PRIME Headers'!$B$2:$C$24</definedName>
    <definedName name="_xlnm.Print_Area" localSheetId="19">'PRIME Upload'!$Q$1</definedName>
    <definedName name="_xlnm.Print_Area" localSheetId="8">'Required Info to Submit'!$C$2:$P$33</definedName>
    <definedName name="_xlnm.Print_Area" localSheetId="7">'Tracking &amp; Profitability'!$B$2:$S$40</definedName>
    <definedName name="_xlnm.Print_Area" localSheetId="6">'Variable Costs &amp; Income'!$B$2:$L$38</definedName>
    <definedName name="_xlnm.Print_Area" localSheetId="1">Welcome!$B$2:$I$35</definedName>
    <definedName name="_xlnm.Print_Titles" localSheetId="18">'MDA Worksheet'!$1:$6</definedName>
    <definedName name="programtype">'[1]Drop Box'!$F$2:$F$14</definedName>
    <definedName name="PyramidSegmentation">'[1]Drop Box'!$A$2:$A$11</definedName>
    <definedName name="uompayout" localSheetId="2">#REF!</definedName>
    <definedName name="uompayout" localSheetId="0">#REF!</definedName>
    <definedName name="uompayout" localSheetId="26">#REF!</definedName>
    <definedName name="uompayout" localSheetId="18">#REF!</definedName>
    <definedName name="uompayout" localSheetId="15">#REF!</definedName>
    <definedName name="uompayout" localSheetId="3">#REF!</definedName>
    <definedName name="uompayout" localSheetId="16">#REF!</definedName>
    <definedName name="uompayout" localSheetId="1">#REF!</definedName>
    <definedName name="uompayout">#REF!</definedName>
    <definedName name="YesNo">'[1]Drop Box'!$I$2:$I$4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G180" i="94" l="1"/>
  <c r="L201" i="94" s="1"/>
  <c r="E200" i="94"/>
  <c r="G192" i="94"/>
  <c r="N184" i="94"/>
  <c r="N172" i="94"/>
  <c r="K182" i="94"/>
  <c r="K194" i="94"/>
  <c r="O189" i="94"/>
  <c r="E188" i="94"/>
  <c r="O177" i="94"/>
  <c r="O166" i="94"/>
  <c r="G166" i="94"/>
  <c r="N161" i="94" s="1"/>
  <c r="E165" i="94"/>
  <c r="O155" i="94"/>
  <c r="G155" i="94"/>
  <c r="N150" i="94" s="1"/>
  <c r="E154" i="94"/>
  <c r="Z38" i="72" l="1"/>
  <c r="AB38" i="72"/>
  <c r="C160" i="92" l="1"/>
  <c r="B160" i="92"/>
  <c r="C159" i="92"/>
  <c r="B159" i="92"/>
  <c r="C158" i="92"/>
  <c r="B158" i="92"/>
  <c r="C157" i="92"/>
  <c r="B157" i="92"/>
  <c r="C156" i="92"/>
  <c r="B156" i="92"/>
  <c r="C155" i="92"/>
  <c r="B155" i="92"/>
  <c r="C154" i="92"/>
  <c r="B154" i="92"/>
  <c r="C153" i="92"/>
  <c r="B153" i="92"/>
  <c r="C152" i="92"/>
  <c r="B152" i="92"/>
  <c r="C42" i="92"/>
  <c r="B42" i="92"/>
  <c r="C41" i="92"/>
  <c r="B41" i="92"/>
  <c r="C40" i="92"/>
  <c r="B40" i="92"/>
  <c r="C39" i="92"/>
  <c r="B39" i="92"/>
  <c r="C38" i="92"/>
  <c r="B38" i="92"/>
  <c r="C31" i="92"/>
  <c r="B31" i="92"/>
  <c r="C271" i="92"/>
  <c r="B271" i="92"/>
  <c r="C17" i="92"/>
  <c r="B17" i="92"/>
  <c r="C13" i="92"/>
  <c r="B13" i="92"/>
  <c r="O15" i="75" l="1"/>
  <c r="L15" i="75"/>
  <c r="O14" i="75"/>
  <c r="L14" i="75"/>
  <c r="O13" i="75"/>
  <c r="L13" i="75"/>
  <c r="O12" i="75"/>
  <c r="L12" i="75"/>
  <c r="O11" i="75"/>
  <c r="L11" i="75"/>
  <c r="O10" i="75"/>
  <c r="L10" i="75"/>
  <c r="O9" i="75"/>
  <c r="L9" i="75"/>
  <c r="O8" i="75"/>
  <c r="L8" i="75"/>
  <c r="O7" i="75"/>
  <c r="L7" i="75"/>
  <c r="O6" i="75"/>
  <c r="L6" i="75"/>
  <c r="AE15" i="12" l="1"/>
  <c r="E26" i="12"/>
  <c r="C16" i="36"/>
  <c r="C17" i="36"/>
  <c r="C18" i="36"/>
  <c r="C19" i="36"/>
  <c r="C20" i="36"/>
  <c r="C21" i="36"/>
  <c r="C22" i="36"/>
  <c r="C23" i="36"/>
  <c r="C24" i="36"/>
  <c r="C15" i="36"/>
  <c r="D42" i="95"/>
  <c r="D41" i="95"/>
  <c r="D40" i="95"/>
  <c r="D32" i="95"/>
  <c r="D31" i="95"/>
  <c r="D30" i="95"/>
  <c r="D29" i="95"/>
  <c r="B42" i="95"/>
  <c r="D22" i="95"/>
  <c r="B22" i="95" s="1"/>
  <c r="D21" i="95"/>
  <c r="B21" i="95" s="1"/>
  <c r="D20" i="95"/>
  <c r="D19" i="95"/>
  <c r="B20" i="95"/>
  <c r="B32" i="95"/>
  <c r="C510" i="92"/>
  <c r="B277" i="92"/>
  <c r="C498" i="92"/>
  <c r="B301" i="92"/>
  <c r="B474" i="92"/>
  <c r="C286" i="92"/>
  <c r="C327" i="92"/>
  <c r="B456" i="92"/>
  <c r="C464" i="92"/>
  <c r="C410" i="92"/>
  <c r="B438" i="92"/>
  <c r="C460" i="92"/>
  <c r="C312" i="92"/>
  <c r="B370" i="92"/>
  <c r="C457" i="92"/>
  <c r="B390" i="92"/>
  <c r="C378" i="92"/>
  <c r="B384" i="92"/>
  <c r="C504" i="92"/>
  <c r="C316" i="92"/>
  <c r="C348" i="92"/>
  <c r="C339" i="92"/>
  <c r="B446" i="92"/>
  <c r="B465" i="92"/>
  <c r="C374" i="92"/>
  <c r="B347" i="92"/>
  <c r="C274" i="92"/>
  <c r="B460" i="92"/>
  <c r="C387" i="92"/>
  <c r="B497" i="92"/>
  <c r="B297" i="92"/>
  <c r="B515" i="92"/>
  <c r="B345" i="92"/>
  <c r="C315" i="92"/>
  <c r="B309" i="92"/>
  <c r="B431" i="92"/>
  <c r="B450" i="92"/>
  <c r="B481" i="92"/>
  <c r="B321" i="92"/>
  <c r="C364" i="92"/>
  <c r="B302" i="92"/>
  <c r="B439" i="92"/>
  <c r="B453" i="92"/>
  <c r="C445" i="92"/>
  <c r="C342" i="92"/>
  <c r="C406" i="92"/>
  <c r="B444" i="92"/>
  <c r="B445" i="92"/>
  <c r="C430" i="92"/>
  <c r="C423" i="92"/>
  <c r="C402" i="92"/>
  <c r="B452" i="92"/>
  <c r="B291" i="92"/>
  <c r="C336" i="92"/>
  <c r="C499" i="92"/>
  <c r="B323" i="92"/>
  <c r="B413" i="92"/>
  <c r="B278" i="92"/>
  <c r="C404" i="92"/>
  <c r="B331" i="92"/>
  <c r="C438" i="92"/>
  <c r="B420" i="92"/>
  <c r="C514" i="92"/>
  <c r="B490" i="92"/>
  <c r="B486" i="92"/>
  <c r="C317" i="92"/>
  <c r="B514" i="92"/>
  <c r="C382" i="92"/>
  <c r="C463" i="92"/>
  <c r="C413" i="92"/>
  <c r="B360" i="92"/>
  <c r="C338" i="92"/>
  <c r="C437" i="92"/>
  <c r="C408" i="92"/>
  <c r="B419" i="92"/>
  <c r="B467" i="92"/>
  <c r="C452" i="92"/>
  <c r="C287" i="92"/>
  <c r="B430" i="92"/>
  <c r="C469" i="92"/>
  <c r="C401" i="92"/>
  <c r="B415" i="92"/>
  <c r="B404" i="92"/>
  <c r="C369" i="92"/>
  <c r="B352" i="92"/>
  <c r="B400" i="92"/>
  <c r="C458" i="92"/>
  <c r="B314" i="92"/>
  <c r="B322" i="92"/>
  <c r="B366" i="92"/>
  <c r="B299" i="92"/>
  <c r="B318" i="92"/>
  <c r="C466" i="92"/>
  <c r="C306" i="92"/>
  <c r="C335" i="92"/>
  <c r="C363" i="92"/>
  <c r="B379" i="92"/>
  <c r="B349" i="92"/>
  <c r="B289" i="92"/>
  <c r="B326" i="92"/>
  <c r="B388" i="92"/>
  <c r="B503" i="92"/>
  <c r="C506" i="92"/>
  <c r="C283" i="92"/>
  <c r="B367" i="92"/>
  <c r="C473" i="92"/>
  <c r="B396" i="92"/>
  <c r="C470" i="92"/>
  <c r="B408" i="92"/>
  <c r="B516" i="92"/>
  <c r="B381" i="92"/>
  <c r="C309" i="92"/>
  <c r="C497" i="92"/>
  <c r="B387" i="92"/>
  <c r="B468" i="92"/>
  <c r="C472" i="92"/>
  <c r="B501" i="92"/>
  <c r="B523" i="92"/>
  <c r="B361" i="92"/>
  <c r="B470" i="92"/>
  <c r="C365" i="92"/>
  <c r="C518" i="92"/>
  <c r="C361" i="92"/>
  <c r="B407" i="92"/>
  <c r="C290" i="92"/>
  <c r="B475" i="92"/>
  <c r="C467" i="92"/>
  <c r="B374" i="92"/>
  <c r="B471" i="92"/>
  <c r="B395" i="92"/>
  <c r="C451" i="92"/>
  <c r="B333" i="92"/>
  <c r="C273" i="92"/>
  <c r="C432" i="92"/>
  <c r="C288" i="92"/>
  <c r="B283" i="92"/>
  <c r="B472" i="92"/>
  <c r="C333" i="92"/>
  <c r="C278" i="92"/>
  <c r="C449" i="92"/>
  <c r="C486" i="92"/>
  <c r="C454" i="92"/>
  <c r="B478" i="92"/>
  <c r="B304" i="92"/>
  <c r="B282" i="92"/>
  <c r="B440" i="92"/>
  <c r="C291" i="92"/>
  <c r="C308" i="92"/>
  <c r="B377" i="92"/>
  <c r="B427" i="92"/>
  <c r="C281" i="92"/>
  <c r="C414" i="92"/>
  <c r="C386" i="92"/>
  <c r="C330" i="92"/>
  <c r="B509" i="92"/>
  <c r="C324" i="92"/>
  <c r="C415" i="92"/>
  <c r="B487" i="92"/>
  <c r="B324" i="92"/>
  <c r="C441" i="92"/>
  <c r="C428" i="92"/>
  <c r="C319" i="92"/>
  <c r="B316" i="92"/>
  <c r="B357" i="92"/>
  <c r="C407" i="92"/>
  <c r="B485" i="92"/>
  <c r="C301" i="92"/>
  <c r="C436" i="92"/>
  <c r="B510" i="92"/>
  <c r="B511" i="92"/>
  <c r="C300" i="92"/>
  <c r="C516" i="92"/>
  <c r="B399" i="92"/>
  <c r="C356" i="92"/>
  <c r="B502" i="92"/>
  <c r="C332" i="92"/>
  <c r="B483" i="92"/>
  <c r="B504" i="92"/>
  <c r="C358" i="92"/>
  <c r="C398" i="92"/>
  <c r="B375" i="92"/>
  <c r="B337" i="92"/>
  <c r="B340" i="92"/>
  <c r="C453" i="92"/>
  <c r="C379" i="92"/>
  <c r="C485" i="92"/>
  <c r="C397" i="92"/>
  <c r="C344" i="92"/>
  <c r="B294" i="92"/>
  <c r="B422" i="92"/>
  <c r="C357" i="92"/>
  <c r="B521" i="92"/>
  <c r="B343" i="92"/>
  <c r="C394" i="92"/>
  <c r="B300" i="92"/>
  <c r="C307" i="92"/>
  <c r="B441" i="92"/>
  <c r="C276" i="92"/>
  <c r="B493" i="92"/>
  <c r="C294" i="92"/>
  <c r="B414" i="92"/>
  <c r="B518" i="92"/>
  <c r="C412" i="92"/>
  <c r="C310" i="92"/>
  <c r="C502" i="92"/>
  <c r="C503" i="92"/>
  <c r="B274" i="92"/>
  <c r="C367" i="92"/>
  <c r="C433" i="92"/>
  <c r="C323" i="92"/>
  <c r="C295" i="92"/>
  <c r="B298" i="92"/>
  <c r="B457" i="92"/>
  <c r="B380" i="92"/>
  <c r="C442" i="92"/>
  <c r="C448" i="92"/>
  <c r="C493" i="92"/>
  <c r="C314" i="92"/>
  <c r="B276" i="92"/>
  <c r="C292" i="92"/>
  <c r="C282" i="92"/>
  <c r="C395" i="92"/>
  <c r="C325" i="92"/>
  <c r="C444" i="92"/>
  <c r="B295" i="92"/>
  <c r="C478" i="92"/>
  <c r="B463" i="92"/>
  <c r="C388" i="92"/>
  <c r="C279" i="92"/>
  <c r="B393" i="92"/>
  <c r="B451" i="92"/>
  <c r="B508" i="92"/>
  <c r="B449" i="92"/>
  <c r="B355" i="92"/>
  <c r="B311" i="92"/>
  <c r="C305" i="92"/>
  <c r="C376" i="92"/>
  <c r="C492" i="92"/>
  <c r="C403" i="92"/>
  <c r="B401" i="92"/>
  <c r="C455" i="92"/>
  <c r="B434" i="92"/>
  <c r="C450" i="92"/>
  <c r="B281" i="92"/>
  <c r="C392" i="92"/>
  <c r="C475" i="92"/>
  <c r="C349" i="92"/>
  <c r="C350" i="92"/>
  <c r="C375" i="92"/>
  <c r="C495" i="92"/>
  <c r="C293" i="92"/>
  <c r="C297" i="92"/>
  <c r="B342" i="92"/>
  <c r="B348" i="92"/>
  <c r="B319" i="92"/>
  <c r="C476" i="92"/>
  <c r="C328" i="92"/>
  <c r="C522" i="92"/>
  <c r="C434" i="92"/>
  <c r="C487" i="92"/>
  <c r="C396" i="92"/>
  <c r="B476" i="92"/>
  <c r="B507" i="92"/>
  <c r="C322" i="92"/>
  <c r="B462" i="92"/>
  <c r="C419" i="92"/>
  <c r="B363" i="92"/>
  <c r="B512" i="92"/>
  <c r="B305" i="92"/>
  <c r="C484" i="92"/>
  <c r="C513" i="92"/>
  <c r="C511" i="92"/>
  <c r="C320" i="92"/>
  <c r="B284" i="92"/>
  <c r="B480" i="92"/>
  <c r="C326" i="92"/>
  <c r="B353" i="92"/>
  <c r="C277" i="92"/>
  <c r="B391" i="92"/>
  <c r="B499" i="92"/>
  <c r="C496" i="92"/>
  <c r="B335" i="92"/>
  <c r="C471" i="92"/>
  <c r="B286" i="92"/>
  <c r="B405" i="92"/>
  <c r="B344" i="92"/>
  <c r="B354" i="92"/>
  <c r="C372" i="92"/>
  <c r="B473" i="92"/>
  <c r="B308" i="92"/>
  <c r="B398" i="92"/>
  <c r="B426" i="92"/>
  <c r="C490" i="92"/>
  <c r="C371" i="92"/>
  <c r="B293" i="92"/>
  <c r="B491" i="92"/>
  <c r="B522" i="92"/>
  <c r="B368" i="92"/>
  <c r="C462" i="92"/>
  <c r="B315" i="92"/>
  <c r="B346" i="92"/>
  <c r="C447" i="92"/>
  <c r="B372" i="92"/>
  <c r="C439" i="92"/>
  <c r="C494" i="92"/>
  <c r="B520" i="92"/>
  <c r="C304" i="92"/>
  <c r="C477" i="92"/>
  <c r="C501" i="92"/>
  <c r="C505" i="92"/>
  <c r="B359" i="92"/>
  <c r="B466" i="92"/>
  <c r="C343" i="92"/>
  <c r="B442" i="92"/>
  <c r="C345" i="92"/>
  <c r="B461" i="92"/>
  <c r="C311" i="92"/>
  <c r="C331" i="92"/>
  <c r="C488" i="92"/>
  <c r="C353" i="92"/>
  <c r="B287" i="92"/>
  <c r="C440" i="92"/>
  <c r="B433" i="92"/>
  <c r="B365" i="92"/>
  <c r="B341" i="92"/>
  <c r="C383" i="92"/>
  <c r="C313" i="92"/>
  <c r="B409" i="92"/>
  <c r="B307" i="92"/>
  <c r="B513" i="92"/>
  <c r="C521" i="92"/>
  <c r="B417" i="92"/>
  <c r="C354" i="92"/>
  <c r="C409" i="92"/>
  <c r="B397" i="92"/>
  <c r="C405" i="92"/>
  <c r="C520" i="92"/>
  <c r="B362" i="92"/>
  <c r="B313" i="92"/>
  <c r="B338" i="92"/>
  <c r="B418" i="92"/>
  <c r="B429" i="92"/>
  <c r="C385" i="92"/>
  <c r="C483" i="92"/>
  <c r="C517" i="92"/>
  <c r="B364" i="92"/>
  <c r="C321" i="92"/>
  <c r="C380" i="92"/>
  <c r="B356" i="92"/>
  <c r="B392" i="92"/>
  <c r="B296" i="92"/>
  <c r="B494" i="92"/>
  <c r="C427" i="92"/>
  <c r="C459" i="92"/>
  <c r="B273" i="92"/>
  <c r="C519" i="92"/>
  <c r="C508" i="92"/>
  <c r="C355" i="92"/>
  <c r="B330" i="92"/>
  <c r="B488" i="92"/>
  <c r="C411" i="92"/>
  <c r="B373" i="92"/>
  <c r="B492" i="92"/>
  <c r="B402" i="92"/>
  <c r="C480" i="92"/>
  <c r="C431" i="92"/>
  <c r="B496" i="92"/>
  <c r="C461" i="92"/>
  <c r="C384" i="92"/>
  <c r="C296" i="92"/>
  <c r="B292" i="92"/>
  <c r="B447" i="92"/>
  <c r="B327" i="92"/>
  <c r="B389" i="92"/>
  <c r="C352" i="92"/>
  <c r="C399" i="92"/>
  <c r="C429" i="92"/>
  <c r="B424" i="92"/>
  <c r="C443" i="92"/>
  <c r="B325" i="92"/>
  <c r="B285" i="92"/>
  <c r="B482" i="92"/>
  <c r="C302" i="92"/>
  <c r="C468" i="92"/>
  <c r="B394" i="92"/>
  <c r="B383" i="92"/>
  <c r="B358" i="92"/>
  <c r="C298" i="92"/>
  <c r="B495" i="92"/>
  <c r="B448" i="92"/>
  <c r="B432" i="92"/>
  <c r="B279" i="92"/>
  <c r="B469" i="92"/>
  <c r="C393" i="92"/>
  <c r="C359" i="92"/>
  <c r="B317" i="92"/>
  <c r="C481" i="92"/>
  <c r="B410" i="92"/>
  <c r="B489" i="92"/>
  <c r="B500" i="92"/>
  <c r="C456" i="92"/>
  <c r="B458" i="92"/>
  <c r="C389" i="92"/>
  <c r="C446" i="92"/>
  <c r="B411" i="92"/>
  <c r="B403" i="92"/>
  <c r="C489" i="92"/>
  <c r="B406" i="92"/>
  <c r="B484" i="92"/>
  <c r="B436" i="92"/>
  <c r="C424" i="92"/>
  <c r="B328" i="92"/>
  <c r="C303" i="92"/>
  <c r="B303" i="92"/>
  <c r="C368" i="92"/>
  <c r="C421" i="92"/>
  <c r="B272" i="92"/>
  <c r="C381" i="92"/>
  <c r="C340" i="92"/>
  <c r="B421" i="92"/>
  <c r="B350" i="92"/>
  <c r="B290" i="92"/>
  <c r="C373" i="92"/>
  <c r="B334" i="92"/>
  <c r="B339" i="92"/>
  <c r="B312" i="92"/>
  <c r="B288" i="92"/>
  <c r="B376" i="92"/>
  <c r="C272" i="92"/>
  <c r="B416" i="92"/>
  <c r="B454" i="92"/>
  <c r="C280" i="92"/>
  <c r="C346" i="92"/>
  <c r="C329" i="92"/>
  <c r="C482" i="92"/>
  <c r="B280" i="92"/>
  <c r="B385" i="92"/>
  <c r="C334" i="92"/>
  <c r="B455" i="92"/>
  <c r="B437" i="92"/>
  <c r="C474" i="92"/>
  <c r="C465" i="92"/>
  <c r="C479" i="92"/>
  <c r="B505" i="92"/>
  <c r="C426" i="92"/>
  <c r="C299" i="92"/>
  <c r="B498" i="92"/>
  <c r="C515" i="92"/>
  <c r="C400" i="92"/>
  <c r="C509" i="92"/>
  <c r="C362" i="92"/>
  <c r="B306" i="92"/>
  <c r="C420" i="92"/>
  <c r="C337" i="92"/>
  <c r="B386" i="92"/>
  <c r="B332" i="92"/>
  <c r="C491" i="92"/>
  <c r="B320" i="92"/>
  <c r="C370" i="92"/>
  <c r="B329" i="92"/>
  <c r="C417" i="92"/>
  <c r="B443" i="92"/>
  <c r="B412" i="92"/>
  <c r="C285" i="92"/>
  <c r="B479" i="92"/>
  <c r="C422" i="92"/>
  <c r="B382" i="92"/>
  <c r="C318" i="92"/>
  <c r="B459" i="92"/>
  <c r="C377" i="92"/>
  <c r="C435" i="92"/>
  <c r="C366" i="92"/>
  <c r="B425" i="92"/>
  <c r="B435" i="92"/>
  <c r="B351" i="92"/>
  <c r="C512" i="92"/>
  <c r="B517" i="92"/>
  <c r="B369" i="92"/>
  <c r="C416" i="92"/>
  <c r="C360" i="92"/>
  <c r="C507" i="92"/>
  <c r="C390" i="92"/>
  <c r="B423" i="92"/>
  <c r="B477" i="92"/>
  <c r="B428" i="92"/>
  <c r="B371" i="92"/>
  <c r="C284" i="92"/>
  <c r="B310" i="92"/>
  <c r="C391" i="92"/>
  <c r="C275" i="92"/>
  <c r="B464" i="92"/>
  <c r="C425" i="92"/>
  <c r="B519" i="92"/>
  <c r="B506" i="92"/>
  <c r="C523" i="92"/>
  <c r="C289" i="92"/>
  <c r="C351" i="92"/>
  <c r="C341" i="92"/>
  <c r="B378" i="92"/>
  <c r="C500" i="92"/>
  <c r="B336" i="92"/>
  <c r="B275" i="92"/>
  <c r="C347" i="92"/>
  <c r="C418" i="92"/>
  <c r="M20" i="94" l="1"/>
  <c r="M90" i="94"/>
  <c r="M62" i="94"/>
  <c r="K94" i="94"/>
  <c r="M91" i="94" s="1"/>
  <c r="K66" i="94"/>
  <c r="M63" i="94" s="1"/>
  <c r="K24" i="94"/>
  <c r="M21" i="94" s="1"/>
  <c r="G148" i="94"/>
  <c r="O201" i="94"/>
  <c r="O204" i="94" l="1"/>
  <c r="E22" i="12" l="1"/>
  <c r="N22" i="12" s="1"/>
  <c r="E176" i="94"/>
  <c r="E146" i="94"/>
  <c r="E138" i="94"/>
  <c r="E130" i="94"/>
  <c r="E122" i="94"/>
  <c r="E114" i="94"/>
  <c r="E100" i="94"/>
  <c r="E86" i="94"/>
  <c r="G73" i="94"/>
  <c r="E72" i="94"/>
  <c r="G59" i="94"/>
  <c r="E58" i="94"/>
  <c r="E44" i="94"/>
  <c r="E30" i="94"/>
  <c r="E16" i="94"/>
  <c r="C20" i="95"/>
  <c r="L20" i="95"/>
  <c r="L19" i="95"/>
  <c r="D84" i="95"/>
  <c r="P38" i="95" s="1"/>
  <c r="B82" i="95"/>
  <c r="O36" i="95" s="1"/>
  <c r="D78" i="95"/>
  <c r="B76" i="95"/>
  <c r="A74" i="95"/>
  <c r="D72" i="95"/>
  <c r="P49" i="95" s="1"/>
  <c r="D71" i="95"/>
  <c r="O52" i="95" s="1"/>
  <c r="B71" i="95"/>
  <c r="D70" i="95"/>
  <c r="B70" i="95"/>
  <c r="D69" i="95"/>
  <c r="O51" i="95" s="1"/>
  <c r="B69" i="95"/>
  <c r="B68" i="95"/>
  <c r="O45" i="95" s="1"/>
  <c r="D64" i="95"/>
  <c r="B60" i="95"/>
  <c r="B62" i="95" s="1"/>
  <c r="B59" i="95"/>
  <c r="D55" i="95"/>
  <c r="K38" i="95" s="1"/>
  <c r="C55" i="95"/>
  <c r="K39" i="95" s="1"/>
  <c r="B54" i="95"/>
  <c r="J37" i="95" s="1"/>
  <c r="B53" i="95"/>
  <c r="D48" i="95"/>
  <c r="V39" i="95" s="1"/>
  <c r="C48" i="95"/>
  <c r="V38" i="95" s="1"/>
  <c r="B47" i="95"/>
  <c r="T37" i="95" s="1"/>
  <c r="B46" i="95"/>
  <c r="T36" i="95" s="1"/>
  <c r="V22" i="95"/>
  <c r="B41" i="95"/>
  <c r="U21" i="95" s="1"/>
  <c r="B40" i="95"/>
  <c r="U20" i="95" s="1"/>
  <c r="B37" i="95"/>
  <c r="T16" i="95" s="1"/>
  <c r="L36" i="95"/>
  <c r="J36" i="95"/>
  <c r="K36" i="95" s="1"/>
  <c r="B36" i="95"/>
  <c r="Q21" i="95"/>
  <c r="B31" i="95"/>
  <c r="P21" i="95" s="1"/>
  <c r="B30" i="95"/>
  <c r="P20" i="95" s="1"/>
  <c r="U29" i="95"/>
  <c r="B27" i="95"/>
  <c r="O16" i="95" s="1"/>
  <c r="V26" i="95"/>
  <c r="T26" i="95"/>
  <c r="U26" i="95" s="1"/>
  <c r="K26" i="95"/>
  <c r="J26" i="95"/>
  <c r="B26" i="95"/>
  <c r="K16" i="95"/>
  <c r="B15" i="95"/>
  <c r="J15" i="95" s="1"/>
  <c r="V14" i="95"/>
  <c r="T14" i="95"/>
  <c r="U14" i="95" s="1"/>
  <c r="Q14" i="95"/>
  <c r="O14" i="95"/>
  <c r="P14" i="95" s="1"/>
  <c r="L14" i="95"/>
  <c r="J14" i="95"/>
  <c r="K14" i="95" s="1"/>
  <c r="B14" i="95"/>
  <c r="F11" i="95"/>
  <c r="G10" i="95"/>
  <c r="F10" i="95"/>
  <c r="B10" i="95"/>
  <c r="G9" i="95"/>
  <c r="F9" i="95"/>
  <c r="B9" i="95"/>
  <c r="G8" i="95"/>
  <c r="F8" i="95"/>
  <c r="B8" i="95"/>
  <c r="S7" i="95"/>
  <c r="G7" i="95"/>
  <c r="F7" i="95"/>
  <c r="B7" i="95"/>
  <c r="G5" i="95"/>
  <c r="D5" i="95" s="1"/>
  <c r="L4" i="95"/>
  <c r="B4" i="95"/>
  <c r="L3" i="95"/>
  <c r="B3" i="95"/>
  <c r="B6" i="95"/>
  <c r="B5" i="95"/>
  <c r="P47" i="95"/>
  <c r="C41" i="95"/>
  <c r="C40" i="95"/>
  <c r="C31" i="95"/>
  <c r="C30" i="95"/>
  <c r="Q19" i="95"/>
  <c r="U22" i="95"/>
  <c r="Q22" i="95"/>
  <c r="P22" i="95"/>
  <c r="L22" i="95"/>
  <c r="V21" i="95"/>
  <c r="V20" i="95"/>
  <c r="Q20" i="95"/>
  <c r="K20" i="95"/>
  <c r="V19" i="95"/>
  <c r="U19" i="95"/>
  <c r="P19" i="95"/>
  <c r="B52" i="95"/>
  <c r="L4" i="94"/>
  <c r="L3" i="94" s="1"/>
  <c r="H4" i="94"/>
  <c r="H3" i="94"/>
  <c r="S175" i="94"/>
  <c r="O147" i="94"/>
  <c r="O139" i="94"/>
  <c r="S137" i="94"/>
  <c r="O131" i="94"/>
  <c r="S129" i="94"/>
  <c r="O123" i="94"/>
  <c r="S121" i="94"/>
  <c r="O115" i="94"/>
  <c r="S113" i="94"/>
  <c r="O103" i="94"/>
  <c r="J103" i="94"/>
  <c r="S99" i="94"/>
  <c r="O89" i="94"/>
  <c r="J89" i="94"/>
  <c r="S85" i="94"/>
  <c r="I80" i="94"/>
  <c r="E79" i="94"/>
  <c r="E78" i="94"/>
  <c r="E77" i="94"/>
  <c r="E76" i="94"/>
  <c r="O75" i="94"/>
  <c r="J75" i="94"/>
  <c r="E75" i="94"/>
  <c r="S71" i="94"/>
  <c r="I66" i="94"/>
  <c r="E65" i="94"/>
  <c r="E64" i="94"/>
  <c r="E63" i="94"/>
  <c r="E62" i="94"/>
  <c r="O61" i="94"/>
  <c r="J61" i="94"/>
  <c r="E61" i="94"/>
  <c r="S57" i="94"/>
  <c r="I52" i="94"/>
  <c r="E51" i="94"/>
  <c r="E50" i="94"/>
  <c r="E49" i="94"/>
  <c r="J48" i="94"/>
  <c r="E48" i="94"/>
  <c r="O47" i="94"/>
  <c r="E47" i="94"/>
  <c r="S43" i="94"/>
  <c r="I38" i="94"/>
  <c r="E37" i="94"/>
  <c r="E36" i="94"/>
  <c r="E35" i="94"/>
  <c r="J34" i="94"/>
  <c r="E34" i="94"/>
  <c r="O33" i="94"/>
  <c r="E33" i="94"/>
  <c r="S29" i="94"/>
  <c r="I24" i="94"/>
  <c r="E23" i="94"/>
  <c r="G22" i="95" s="1"/>
  <c r="E22" i="94"/>
  <c r="E21" i="94"/>
  <c r="G21" i="95" s="1"/>
  <c r="J20" i="94"/>
  <c r="E20" i="94"/>
  <c r="G20" i="95" s="1"/>
  <c r="O19" i="94"/>
  <c r="E19" i="94"/>
  <c r="S15" i="94"/>
  <c r="C29" i="95" l="1"/>
  <c r="I31" i="95"/>
  <c r="O49" i="95"/>
  <c r="C39" i="95"/>
  <c r="N49" i="95"/>
  <c r="I30" i="95"/>
  <c r="J31" i="95"/>
  <c r="N48" i="95"/>
  <c r="C62" i="95"/>
  <c r="Q29" i="95" s="1"/>
  <c r="J30" i="95"/>
  <c r="O48" i="95"/>
  <c r="K29" i="95"/>
  <c r="S6" i="95"/>
  <c r="L21" i="95"/>
  <c r="B13" i="95"/>
  <c r="O13" i="95"/>
  <c r="B25" i="95"/>
  <c r="T25" i="95"/>
  <c r="K21" i="95"/>
  <c r="J35" i="95"/>
  <c r="T35" i="95"/>
  <c r="B75" i="95"/>
  <c r="J13" i="95"/>
  <c r="T13" i="95"/>
  <c r="O43" i="95"/>
  <c r="B45" i="95"/>
  <c r="B58" i="95"/>
  <c r="B67" i="95"/>
  <c r="S4" i="95"/>
  <c r="G6" i="95"/>
  <c r="J20" i="95"/>
  <c r="J25" i="95"/>
  <c r="O28" i="95"/>
  <c r="P28" i="95" s="1"/>
  <c r="O29" i="95" s="1"/>
  <c r="P29" i="95" s="1"/>
  <c r="O30" i="95" s="1"/>
  <c r="P30" i="95" s="1"/>
  <c r="O31" i="95" s="1"/>
  <c r="P31" i="95" s="1"/>
  <c r="O32" i="95" s="1"/>
  <c r="P32" i="95" s="1"/>
  <c r="C19" i="95"/>
  <c r="B35" i="95"/>
  <c r="O35" i="95"/>
  <c r="Q30" i="95" l="1"/>
  <c r="Q31" i="95"/>
  <c r="Q32" i="95"/>
  <c r="D67" i="95"/>
  <c r="D58" i="95"/>
  <c r="D45" i="95"/>
  <c r="Q43" i="95"/>
  <c r="L25" i="95"/>
  <c r="V13" i="95"/>
  <c r="D13" i="95"/>
  <c r="L13" i="95" s="1"/>
  <c r="D75" i="95"/>
  <c r="V35" i="95"/>
  <c r="L35" i="95"/>
  <c r="Q13" i="95"/>
  <c r="V25" i="95"/>
  <c r="D25" i="95"/>
  <c r="D52" i="95"/>
  <c r="Q35" i="95"/>
  <c r="D35" i="95"/>
  <c r="K22" i="95"/>
  <c r="C21" i="95"/>
  <c r="Q28" i="95"/>
  <c r="C251" i="92"/>
  <c r="B249" i="92"/>
  <c r="C126" i="92"/>
  <c r="C257" i="92"/>
  <c r="B24" i="92"/>
  <c r="B185" i="92"/>
  <c r="B18" i="92"/>
  <c r="C531" i="92"/>
  <c r="B264" i="92"/>
  <c r="B193" i="92"/>
  <c r="B77" i="92"/>
  <c r="B227" i="92"/>
  <c r="C124" i="92"/>
  <c r="B37" i="92"/>
  <c r="C27" i="92"/>
  <c r="B71" i="92"/>
  <c r="B184" i="92"/>
  <c r="C43" i="92"/>
  <c r="C262" i="92"/>
  <c r="C93" i="92"/>
  <c r="B10" i="92"/>
  <c r="C127" i="92"/>
  <c r="B531" i="92"/>
  <c r="C187" i="92"/>
  <c r="B175" i="92"/>
  <c r="B228" i="92"/>
  <c r="B242" i="92"/>
  <c r="B7" i="92"/>
  <c r="B44" i="92"/>
  <c r="C92" i="92"/>
  <c r="C189" i="92"/>
  <c r="C249" i="92"/>
  <c r="B161" i="92"/>
  <c r="B69" i="92"/>
  <c r="B125" i="92"/>
  <c r="B100" i="92"/>
  <c r="C178" i="92"/>
  <c r="C48" i="92"/>
  <c r="B139" i="92"/>
  <c r="C122" i="92"/>
  <c r="B166" i="92"/>
  <c r="C76" i="92"/>
  <c r="B190" i="92"/>
  <c r="C220" i="92"/>
  <c r="C59" i="92"/>
  <c r="C181" i="92"/>
  <c r="B138" i="92"/>
  <c r="C79" i="92"/>
  <c r="C74" i="92"/>
  <c r="C142" i="92"/>
  <c r="B68" i="92"/>
  <c r="B74" i="92"/>
  <c r="B217" i="92"/>
  <c r="C255" i="92"/>
  <c r="C217" i="92"/>
  <c r="B46" i="92"/>
  <c r="B113" i="92"/>
  <c r="B45" i="92"/>
  <c r="C131" i="92"/>
  <c r="B163" i="92"/>
  <c r="C264" i="92"/>
  <c r="B95" i="92"/>
  <c r="B121" i="92"/>
  <c r="B208" i="92"/>
  <c r="C10" i="92"/>
  <c r="B182" i="92"/>
  <c r="C191" i="92"/>
  <c r="B248" i="92"/>
  <c r="B135" i="92"/>
  <c r="B118" i="92"/>
  <c r="C215" i="92"/>
  <c r="C216" i="92"/>
  <c r="B253" i="92"/>
  <c r="B105" i="92"/>
  <c r="C253" i="92"/>
  <c r="C269" i="92"/>
  <c r="C223" i="92"/>
  <c r="C133" i="92"/>
  <c r="B211" i="92"/>
  <c r="C198" i="92"/>
  <c r="C143" i="92"/>
  <c r="C97" i="92"/>
  <c r="B103" i="92"/>
  <c r="B4" i="92"/>
  <c r="C109" i="92"/>
  <c r="B145" i="92"/>
  <c r="C110" i="92"/>
  <c r="B140" i="92"/>
  <c r="B56" i="92"/>
  <c r="C73" i="92"/>
  <c r="B191" i="92"/>
  <c r="B240" i="92"/>
  <c r="B222" i="92"/>
  <c r="B115" i="92"/>
  <c r="C164" i="92"/>
  <c r="C105" i="92"/>
  <c r="B9" i="92"/>
  <c r="B43" i="92"/>
  <c r="C204" i="92"/>
  <c r="C77" i="92"/>
  <c r="C111" i="92"/>
  <c r="C119" i="92"/>
  <c r="B188" i="92"/>
  <c r="C26" i="92"/>
  <c r="B132" i="92"/>
  <c r="C44" i="92"/>
  <c r="C161" i="92"/>
  <c r="B36" i="92"/>
  <c r="B527" i="92"/>
  <c r="C54" i="92"/>
  <c r="B129" i="92"/>
  <c r="C141" i="92"/>
  <c r="B251" i="92"/>
  <c r="C226" i="92"/>
  <c r="B525" i="92"/>
  <c r="B174" i="92"/>
  <c r="B219" i="92"/>
  <c r="B51" i="92"/>
  <c r="C120" i="92"/>
  <c r="B223" i="92"/>
  <c r="C170" i="92"/>
  <c r="B244" i="92"/>
  <c r="C112" i="92"/>
  <c r="C108" i="92"/>
  <c r="B215" i="92"/>
  <c r="B131" i="92"/>
  <c r="C4" i="92"/>
  <c r="B230" i="92"/>
  <c r="C138" i="92"/>
  <c r="C30" i="92"/>
  <c r="B243" i="92"/>
  <c r="B256" i="92"/>
  <c r="C250" i="92"/>
  <c r="B99" i="92"/>
  <c r="C106" i="92"/>
  <c r="C98" i="92"/>
  <c r="B237" i="92"/>
  <c r="C258" i="92"/>
  <c r="B204" i="92"/>
  <c r="C37" i="92"/>
  <c r="C53" i="92"/>
  <c r="C266" i="92"/>
  <c r="C150" i="92"/>
  <c r="C147" i="92"/>
  <c r="B530" i="92"/>
  <c r="C175" i="92"/>
  <c r="C244" i="92"/>
  <c r="C173" i="92"/>
  <c r="C107" i="92"/>
  <c r="B108" i="92"/>
  <c r="B207" i="92"/>
  <c r="B23" i="92"/>
  <c r="B89" i="92"/>
  <c r="B130" i="92"/>
  <c r="B25" i="92"/>
  <c r="B81" i="92"/>
  <c r="C116" i="92"/>
  <c r="B169" i="92"/>
  <c r="B189" i="92"/>
  <c r="C83" i="92"/>
  <c r="B179" i="92"/>
  <c r="C61" i="92"/>
  <c r="C530" i="92"/>
  <c r="B172" i="92"/>
  <c r="C80" i="92"/>
  <c r="C75" i="92"/>
  <c r="C240" i="92"/>
  <c r="C186" i="92"/>
  <c r="B83" i="92"/>
  <c r="B246" i="92"/>
  <c r="B58" i="92"/>
  <c r="C35" i="92"/>
  <c r="B112" i="92"/>
  <c r="C196" i="92"/>
  <c r="C194" i="92"/>
  <c r="C241" i="92"/>
  <c r="B144" i="92"/>
  <c r="C101" i="92"/>
  <c r="C247" i="92"/>
  <c r="C128" i="92"/>
  <c r="B176" i="92"/>
  <c r="C82" i="92"/>
  <c r="B27" i="92"/>
  <c r="C123" i="92"/>
  <c r="C7" i="92"/>
  <c r="C180" i="92"/>
  <c r="B127" i="92"/>
  <c r="C9" i="92"/>
  <c r="C527" i="92"/>
  <c r="B221" i="92"/>
  <c r="C15" i="92"/>
  <c r="C234" i="92"/>
  <c r="B20" i="92"/>
  <c r="C268" i="92"/>
  <c r="C91" i="92"/>
  <c r="B97" i="92"/>
  <c r="C237" i="92"/>
  <c r="B226" i="92"/>
  <c r="C24" i="92"/>
  <c r="C224" i="92"/>
  <c r="B206" i="92"/>
  <c r="C168" i="92"/>
  <c r="B268" i="92"/>
  <c r="C259" i="92"/>
  <c r="B133" i="92"/>
  <c r="B147" i="92"/>
  <c r="C70" i="92"/>
  <c r="B19" i="92"/>
  <c r="C71" i="92"/>
  <c r="C100" i="92"/>
  <c r="B59" i="92"/>
  <c r="B529" i="92"/>
  <c r="B200" i="92"/>
  <c r="C62" i="92"/>
  <c r="B128" i="92"/>
  <c r="C16" i="92"/>
  <c r="C22" i="92"/>
  <c r="B90" i="92"/>
  <c r="B196" i="92"/>
  <c r="C172" i="92"/>
  <c r="C78" i="92"/>
  <c r="C103" i="92"/>
  <c r="B86" i="92"/>
  <c r="B143" i="92"/>
  <c r="C200" i="92"/>
  <c r="C246" i="92"/>
  <c r="B114" i="92"/>
  <c r="C57" i="92"/>
  <c r="B213" i="92"/>
  <c r="B238" i="92"/>
  <c r="C202" i="92"/>
  <c r="B12" i="92"/>
  <c r="B259" i="92"/>
  <c r="C139" i="92"/>
  <c r="C50" i="92"/>
  <c r="C260" i="92"/>
  <c r="C261" i="92"/>
  <c r="C66" i="92"/>
  <c r="C29" i="92"/>
  <c r="C146" i="92"/>
  <c r="B252" i="92"/>
  <c r="B254" i="92"/>
  <c r="C176" i="92"/>
  <c r="C163" i="92"/>
  <c r="B141" i="92"/>
  <c r="B119" i="92"/>
  <c r="B61" i="92"/>
  <c r="B54" i="92"/>
  <c r="B65" i="92"/>
  <c r="B57" i="92"/>
  <c r="C137" i="92"/>
  <c r="C203" i="92"/>
  <c r="B233" i="92"/>
  <c r="C114" i="92"/>
  <c r="C56" i="92"/>
  <c r="C235" i="92"/>
  <c r="C95" i="92"/>
  <c r="C96" i="92"/>
  <c r="C68" i="92"/>
  <c r="C51" i="92"/>
  <c r="B15" i="92"/>
  <c r="C33" i="92"/>
  <c r="C86" i="92"/>
  <c r="B116" i="92"/>
  <c r="C207" i="92"/>
  <c r="C525" i="92"/>
  <c r="C148" i="92"/>
  <c r="C165" i="92"/>
  <c r="B136" i="92"/>
  <c r="C208" i="92"/>
  <c r="B120" i="92"/>
  <c r="C52" i="92"/>
  <c r="B134" i="92"/>
  <c r="C219" i="92"/>
  <c r="B49" i="92"/>
  <c r="C118" i="92"/>
  <c r="C60" i="92"/>
  <c r="B235" i="92"/>
  <c r="B14" i="92"/>
  <c r="C132" i="92"/>
  <c r="B183" i="92"/>
  <c r="B76" i="92"/>
  <c r="B216" i="92"/>
  <c r="C14" i="92"/>
  <c r="C205" i="92"/>
  <c r="C144" i="92"/>
  <c r="C20" i="92"/>
  <c r="C151" i="92"/>
  <c r="C231" i="92"/>
  <c r="C225" i="92"/>
  <c r="B528" i="92"/>
  <c r="B263" i="92"/>
  <c r="B78" i="92"/>
  <c r="C212" i="92"/>
  <c r="C206" i="92"/>
  <c r="C117" i="92"/>
  <c r="B53" i="92"/>
  <c r="C64" i="92"/>
  <c r="C23" i="92"/>
  <c r="B88" i="92"/>
  <c r="B92" i="92"/>
  <c r="B171" i="92"/>
  <c r="B197" i="92"/>
  <c r="B194" i="92"/>
  <c r="C89" i="92"/>
  <c r="B258" i="92"/>
  <c r="B162" i="92"/>
  <c r="C218" i="92"/>
  <c r="B195" i="92"/>
  <c r="B122" i="92"/>
  <c r="B55" i="92"/>
  <c r="B70" i="92"/>
  <c r="C18" i="92"/>
  <c r="B245" i="92"/>
  <c r="B180" i="92"/>
  <c r="B203" i="92"/>
  <c r="B11" i="92"/>
  <c r="B111" i="92"/>
  <c r="B167" i="92"/>
  <c r="B170" i="92"/>
  <c r="C84" i="92"/>
  <c r="B80" i="92"/>
  <c r="C149" i="92"/>
  <c r="B231" i="92"/>
  <c r="B87" i="92"/>
  <c r="C201" i="92"/>
  <c r="C182" i="92"/>
  <c r="B48" i="92"/>
  <c r="B201" i="92"/>
  <c r="C58" i="92"/>
  <c r="C248" i="92"/>
  <c r="C3" i="92"/>
  <c r="B21" i="92"/>
  <c r="C94" i="92"/>
  <c r="C185" i="92"/>
  <c r="B63" i="92"/>
  <c r="B50" i="92"/>
  <c r="C229" i="92"/>
  <c r="B32" i="92"/>
  <c r="B177" i="92"/>
  <c r="B98" i="92"/>
  <c r="C136" i="92"/>
  <c r="B96" i="92"/>
  <c r="B66" i="92"/>
  <c r="C210" i="92"/>
  <c r="C67" i="92"/>
  <c r="C87" i="92"/>
  <c r="C88" i="92"/>
  <c r="C179" i="92"/>
  <c r="C36" i="92"/>
  <c r="B220" i="92"/>
  <c r="C90" i="92"/>
  <c r="C174" i="92"/>
  <c r="C11" i="92"/>
  <c r="B178" i="92"/>
  <c r="C221" i="92"/>
  <c r="C145" i="92"/>
  <c r="C121" i="92"/>
  <c r="B150" i="92"/>
  <c r="B79" i="92"/>
  <c r="B255" i="92"/>
  <c r="C130" i="92"/>
  <c r="C45" i="92"/>
  <c r="B212" i="92"/>
  <c r="C254" i="92"/>
  <c r="B137" i="92"/>
  <c r="C69" i="92"/>
  <c r="C227" i="92"/>
  <c r="B229" i="92"/>
  <c r="B123" i="92"/>
  <c r="C245" i="92"/>
  <c r="B124" i="92"/>
  <c r="B210" i="92"/>
  <c r="B192" i="92"/>
  <c r="B67" i="92"/>
  <c r="B85" i="92"/>
  <c r="B82" i="92"/>
  <c r="B151" i="92"/>
  <c r="C524" i="92"/>
  <c r="B257" i="92"/>
  <c r="C171" i="92"/>
  <c r="B75" i="92"/>
  <c r="C134" i="92"/>
  <c r="C21" i="92"/>
  <c r="B34" i="92"/>
  <c r="C195" i="92"/>
  <c r="B250" i="92"/>
  <c r="B94" i="92"/>
  <c r="C32" i="92"/>
  <c r="C243" i="92"/>
  <c r="B267" i="92"/>
  <c r="B104" i="92"/>
  <c r="C113" i="92"/>
  <c r="B62" i="92"/>
  <c r="C115" i="92"/>
  <c r="C214" i="92"/>
  <c r="B218" i="92"/>
  <c r="B84" i="92"/>
  <c r="C213" i="92"/>
  <c r="B30" i="92"/>
  <c r="B72" i="92"/>
  <c r="B198" i="92"/>
  <c r="B16" i="92"/>
  <c r="C8" i="92"/>
  <c r="C184" i="92"/>
  <c r="B26" i="92"/>
  <c r="B265" i="92"/>
  <c r="C135" i="92"/>
  <c r="C55" i="92"/>
  <c r="C63" i="92"/>
  <c r="C19" i="92"/>
  <c r="B187" i="92"/>
  <c r="C209" i="92"/>
  <c r="C5" i="92"/>
  <c r="B101" i="92"/>
  <c r="C177" i="92"/>
  <c r="B60" i="92"/>
  <c r="C65" i="92"/>
  <c r="B47" i="92"/>
  <c r="C129" i="92"/>
  <c r="B266" i="92"/>
  <c r="B260" i="92"/>
  <c r="C528" i="92"/>
  <c r="B225" i="92"/>
  <c r="C532" i="92"/>
  <c r="C529" i="92"/>
  <c r="B149" i="92"/>
  <c r="C238" i="92"/>
  <c r="C267" i="92"/>
  <c r="B52" i="92"/>
  <c r="C183" i="92"/>
  <c r="C34" i="92"/>
  <c r="B247" i="92"/>
  <c r="B93" i="92"/>
  <c r="C239" i="92"/>
  <c r="C222" i="92"/>
  <c r="B164" i="92"/>
  <c r="C25" i="92"/>
  <c r="B29" i="92"/>
  <c r="B261" i="92"/>
  <c r="C192" i="92"/>
  <c r="B165" i="92"/>
  <c r="C46" i="92"/>
  <c r="C270" i="92"/>
  <c r="C230" i="92"/>
  <c r="C167" i="92"/>
  <c r="B126" i="92"/>
  <c r="B181" i="92"/>
  <c r="B117" i="92"/>
  <c r="B532" i="92"/>
  <c r="C265" i="92"/>
  <c r="C166" i="92"/>
  <c r="B214" i="92"/>
  <c r="B106" i="92"/>
  <c r="B186" i="92"/>
  <c r="B236" i="92"/>
  <c r="C193" i="92"/>
  <c r="B35" i="92"/>
  <c r="B168" i="92"/>
  <c r="C102" i="92"/>
  <c r="B146" i="92"/>
  <c r="B526" i="92"/>
  <c r="C228" i="92"/>
  <c r="C125" i="92"/>
  <c r="C199" i="92"/>
  <c r="C526" i="92"/>
  <c r="C233" i="92"/>
  <c r="B199" i="92"/>
  <c r="B148" i="92"/>
  <c r="B224" i="92"/>
  <c r="B142" i="92"/>
  <c r="B6" i="92"/>
  <c r="C72" i="92"/>
  <c r="C162" i="92"/>
  <c r="B22" i="92"/>
  <c r="C211" i="92"/>
  <c r="B3" i="92"/>
  <c r="B5" i="92"/>
  <c r="B8" i="92"/>
  <c r="C256" i="92"/>
  <c r="C104" i="92"/>
  <c r="B205" i="92"/>
  <c r="B270" i="92"/>
  <c r="B107" i="92"/>
  <c r="B91" i="92"/>
  <c r="C197" i="92"/>
  <c r="C188" i="92"/>
  <c r="C252" i="92"/>
  <c r="C6" i="92"/>
  <c r="B73" i="92"/>
  <c r="C49" i="92"/>
  <c r="C81" i="92"/>
  <c r="B262" i="92"/>
  <c r="C236" i="92"/>
  <c r="B110" i="92"/>
  <c r="B269" i="92"/>
  <c r="B209" i="92"/>
  <c r="C140" i="92"/>
  <c r="C12" i="92"/>
  <c r="B234" i="92"/>
  <c r="B33" i="92"/>
  <c r="C190" i="92"/>
  <c r="B202" i="92"/>
  <c r="C232" i="92"/>
  <c r="C263" i="92"/>
  <c r="C47" i="92"/>
  <c r="B173" i="92"/>
  <c r="B239" i="92"/>
  <c r="C169" i="92"/>
  <c r="B28" i="92"/>
  <c r="B524" i="92"/>
  <c r="C99" i="92"/>
  <c r="B109" i="92"/>
  <c r="B241" i="92"/>
  <c r="B64" i="92"/>
  <c r="B102" i="92"/>
  <c r="C242" i="92"/>
  <c r="C85" i="92"/>
  <c r="C28" i="92"/>
  <c r="B232" i="92"/>
  <c r="AG15" i="75" l="1"/>
  <c r="JI15" i="72" s="1"/>
  <c r="AG14" i="75"/>
  <c r="IL18" i="72" s="1"/>
  <c r="AG13" i="75"/>
  <c r="HO21" i="72" s="1"/>
  <c r="AG12" i="75"/>
  <c r="GR16" i="72" s="1"/>
  <c r="AG11" i="75"/>
  <c r="FU19" i="72" s="1"/>
  <c r="AG10" i="75"/>
  <c r="EX22" i="72" s="1"/>
  <c r="AG9" i="75"/>
  <c r="EA17" i="72" s="1"/>
  <c r="AG8" i="75"/>
  <c r="DD20" i="72" s="1"/>
  <c r="AG7" i="75"/>
  <c r="CG15" i="72" s="1"/>
  <c r="AG6" i="75"/>
  <c r="BJ14" i="72" s="1"/>
  <c r="AG1" i="75"/>
  <c r="JI22" i="72" l="1"/>
  <c r="JI21" i="72"/>
  <c r="JI28" i="72"/>
  <c r="JI20" i="72"/>
  <c r="JI14" i="72"/>
  <c r="JI27" i="72"/>
  <c r="JI19" i="72"/>
  <c r="JI30" i="72"/>
  <c r="JI34" i="72"/>
  <c r="JI26" i="72"/>
  <c r="JI18" i="72"/>
  <c r="JI29" i="72"/>
  <c r="JI33" i="72"/>
  <c r="JI25" i="72"/>
  <c r="JI17" i="72"/>
  <c r="JI32" i="72"/>
  <c r="JI24" i="72"/>
  <c r="JI16" i="72"/>
  <c r="JI31" i="72"/>
  <c r="JI23" i="72"/>
  <c r="IL32" i="72"/>
  <c r="IL24" i="72"/>
  <c r="IL16" i="72"/>
  <c r="IL31" i="72"/>
  <c r="IL23" i="72"/>
  <c r="IL15" i="72"/>
  <c r="IL17" i="72"/>
  <c r="IL30" i="72"/>
  <c r="IL22" i="72"/>
  <c r="IL29" i="72"/>
  <c r="IL21" i="72"/>
  <c r="IL33" i="72"/>
  <c r="IL28" i="72"/>
  <c r="IL20" i="72"/>
  <c r="IL25" i="72"/>
  <c r="IL14" i="72"/>
  <c r="IL27" i="72"/>
  <c r="IL19" i="72"/>
  <c r="IL34" i="72"/>
  <c r="IL26" i="72"/>
  <c r="HO28" i="72"/>
  <c r="HO20" i="72"/>
  <c r="HO14" i="72"/>
  <c r="HO27" i="72"/>
  <c r="HO19" i="72"/>
  <c r="HO34" i="72"/>
  <c r="HO26" i="72"/>
  <c r="HO18" i="72"/>
  <c r="HO25" i="72"/>
  <c r="HO17" i="72"/>
  <c r="HO32" i="72"/>
  <c r="HO24" i="72"/>
  <c r="HO16" i="72"/>
  <c r="HO33" i="72"/>
  <c r="HO31" i="72"/>
  <c r="HO23" i="72"/>
  <c r="HO15" i="72"/>
  <c r="HO30" i="72"/>
  <c r="HO22" i="72"/>
  <c r="HO29" i="72"/>
  <c r="GR31" i="72"/>
  <c r="GR23" i="72"/>
  <c r="GR15" i="72"/>
  <c r="GR30" i="72"/>
  <c r="GR22" i="72"/>
  <c r="GR29" i="72"/>
  <c r="GR21" i="72"/>
  <c r="GR28" i="72"/>
  <c r="GR20" i="72"/>
  <c r="GR14" i="72"/>
  <c r="GR27" i="72"/>
  <c r="GR19" i="72"/>
  <c r="GR34" i="72"/>
  <c r="GR26" i="72"/>
  <c r="GR18" i="72"/>
  <c r="GR33" i="72"/>
  <c r="GR25" i="72"/>
  <c r="GR17" i="72"/>
  <c r="GR32" i="72"/>
  <c r="GR24" i="72"/>
  <c r="FU18" i="72"/>
  <c r="FU33" i="72"/>
  <c r="FU25" i="72"/>
  <c r="FU17" i="72"/>
  <c r="FU34" i="72"/>
  <c r="FU16" i="72"/>
  <c r="FU31" i="72"/>
  <c r="FU23" i="72"/>
  <c r="FU15" i="72"/>
  <c r="FU32" i="72"/>
  <c r="FU30" i="72"/>
  <c r="FU22" i="72"/>
  <c r="FU26" i="72"/>
  <c r="FU24" i="72"/>
  <c r="FU29" i="72"/>
  <c r="FU21" i="72"/>
  <c r="FU28" i="72"/>
  <c r="FU20" i="72"/>
  <c r="FU14" i="72"/>
  <c r="FU27" i="72"/>
  <c r="EX21" i="72"/>
  <c r="EX28" i="72"/>
  <c r="EX14" i="72"/>
  <c r="EX27" i="72"/>
  <c r="EX19" i="72"/>
  <c r="EX20" i="72"/>
  <c r="EX34" i="72"/>
  <c r="EX26" i="72"/>
  <c r="EX18" i="72"/>
  <c r="EX29" i="72"/>
  <c r="EX32" i="72"/>
  <c r="EX24" i="72"/>
  <c r="EX16" i="72"/>
  <c r="EX33" i="72"/>
  <c r="EX31" i="72"/>
  <c r="EX23" i="72"/>
  <c r="EX15" i="72"/>
  <c r="EX25" i="72"/>
  <c r="EX17" i="72"/>
  <c r="EX30" i="72"/>
  <c r="EA16" i="72"/>
  <c r="EA31" i="72"/>
  <c r="EA23" i="72"/>
  <c r="EA15" i="72"/>
  <c r="EA30" i="72"/>
  <c r="EA22" i="72"/>
  <c r="EA29" i="72"/>
  <c r="EA21" i="72"/>
  <c r="EA28" i="72"/>
  <c r="EA20" i="72"/>
  <c r="EA32" i="72"/>
  <c r="EA14" i="72"/>
  <c r="EA27" i="72"/>
  <c r="EA19" i="72"/>
  <c r="EA34" i="72"/>
  <c r="EA26" i="72"/>
  <c r="EA18" i="72"/>
  <c r="EA24" i="72"/>
  <c r="EA33" i="72"/>
  <c r="EA25" i="72"/>
  <c r="DD14" i="72"/>
  <c r="DD27" i="72"/>
  <c r="DD19" i="72"/>
  <c r="DD34" i="72"/>
  <c r="DD26" i="72"/>
  <c r="DD18" i="72"/>
  <c r="DD33" i="72"/>
  <c r="DD25" i="72"/>
  <c r="DD17" i="72"/>
  <c r="DD32" i="72"/>
  <c r="DD24" i="72"/>
  <c r="DD16" i="72"/>
  <c r="DD31" i="72"/>
  <c r="DD23" i="72"/>
  <c r="DD15" i="72"/>
  <c r="DD30" i="72"/>
  <c r="DD22" i="72"/>
  <c r="DD29" i="72"/>
  <c r="DD21" i="72"/>
  <c r="DD28" i="72"/>
  <c r="CG30" i="72"/>
  <c r="CG29" i="72"/>
  <c r="CG21" i="72"/>
  <c r="CG28" i="72"/>
  <c r="CG20" i="72"/>
  <c r="CG14" i="72"/>
  <c r="CG27" i="72"/>
  <c r="CG19" i="72"/>
  <c r="CG34" i="72"/>
  <c r="CG26" i="72"/>
  <c r="CG18" i="72"/>
  <c r="CG22" i="72"/>
  <c r="CG33" i="72"/>
  <c r="CG25" i="72"/>
  <c r="CG17" i="72"/>
  <c r="CG32" i="72"/>
  <c r="CG24" i="72"/>
  <c r="CG16" i="72"/>
  <c r="CG31" i="72"/>
  <c r="CG23" i="72"/>
  <c r="BJ27" i="72"/>
  <c r="BJ19" i="72"/>
  <c r="BJ20" i="72"/>
  <c r="BJ34" i="72"/>
  <c r="BJ26" i="72"/>
  <c r="BJ18" i="72"/>
  <c r="BJ28" i="72"/>
  <c r="BJ33" i="72"/>
  <c r="BJ25" i="72"/>
  <c r="BJ17" i="72"/>
  <c r="BJ32" i="72"/>
  <c r="BJ24" i="72"/>
  <c r="BJ16" i="72"/>
  <c r="BJ15" i="72"/>
  <c r="BJ31" i="72"/>
  <c r="BJ23" i="72"/>
  <c r="BJ30" i="72"/>
  <c r="BJ22" i="72"/>
  <c r="BJ29" i="72"/>
  <c r="BJ21" i="72"/>
  <c r="JB2" i="72"/>
  <c r="IE2" i="72"/>
  <c r="HH2" i="72"/>
  <c r="GK2" i="72"/>
  <c r="FN2" i="72"/>
  <c r="EQ2" i="72"/>
  <c r="DT2" i="72"/>
  <c r="CW2" i="72"/>
  <c r="BZ2" i="72"/>
  <c r="BC2" i="72"/>
  <c r="AA39" i="72" l="1" a="1"/>
  <c r="AA39" i="72" s="1"/>
  <c r="AP7" i="75" l="1"/>
  <c r="AP8" i="75"/>
  <c r="AP9" i="75"/>
  <c r="AP10" i="75"/>
  <c r="AP11" i="75"/>
  <c r="AP12" i="75"/>
  <c r="AP13" i="75"/>
  <c r="AP14" i="75"/>
  <c r="AP15" i="75"/>
  <c r="AP6" i="75"/>
  <c r="AW1" i="72"/>
  <c r="G18" i="89" l="1"/>
  <c r="U5" i="90"/>
  <c r="U3" i="90" s="1"/>
  <c r="U4" i="90"/>
  <c r="U2" i="90" s="1"/>
  <c r="P13" i="90" l="1"/>
  <c r="P12" i="90"/>
  <c r="P11" i="90"/>
  <c r="C18" i="69" l="1"/>
  <c r="C14" i="69"/>
  <c r="K57" i="59"/>
  <c r="K58" i="59"/>
  <c r="K59" i="59"/>
  <c r="K60" i="59"/>
  <c r="K61" i="59"/>
  <c r="K62" i="59"/>
  <c r="K63" i="59"/>
  <c r="K64" i="59"/>
  <c r="K65" i="59"/>
  <c r="K66" i="59"/>
  <c r="K67" i="59"/>
  <c r="K68" i="59"/>
  <c r="K69" i="59"/>
  <c r="K70" i="59"/>
  <c r="K71" i="59"/>
  <c r="K72" i="59"/>
  <c r="K73" i="59"/>
  <c r="K74" i="59"/>
  <c r="K75" i="59"/>
  <c r="K76" i="59"/>
  <c r="K56" i="59"/>
  <c r="K3" i="59"/>
  <c r="K4" i="59"/>
  <c r="K5" i="59"/>
  <c r="K6" i="59"/>
  <c r="K7" i="59"/>
  <c r="K8" i="59"/>
  <c r="K9" i="59"/>
  <c r="K10" i="59"/>
  <c r="K11" i="59"/>
  <c r="K12" i="59"/>
  <c r="K13" i="59"/>
  <c r="K14" i="59"/>
  <c r="K15" i="59"/>
  <c r="K16" i="59"/>
  <c r="K17" i="59"/>
  <c r="K18" i="59"/>
  <c r="K19" i="59"/>
  <c r="K20" i="59"/>
  <c r="K21" i="59"/>
  <c r="K22" i="59"/>
  <c r="K23" i="59"/>
  <c r="K24" i="59"/>
  <c r="K25" i="59"/>
  <c r="K26" i="59"/>
  <c r="K27" i="59"/>
  <c r="K28" i="59"/>
  <c r="K29" i="59"/>
  <c r="K30" i="59"/>
  <c r="K31" i="59"/>
  <c r="K32" i="59"/>
  <c r="K33" i="59"/>
  <c r="K34" i="59"/>
  <c r="K35" i="59"/>
  <c r="K36" i="59"/>
  <c r="K37" i="59"/>
  <c r="K38" i="59"/>
  <c r="K39" i="59"/>
  <c r="K40" i="59"/>
  <c r="K41" i="59"/>
  <c r="K42" i="59"/>
  <c r="K43" i="59"/>
  <c r="K44" i="59"/>
  <c r="K45" i="59"/>
  <c r="K46" i="59"/>
  <c r="K47" i="59"/>
  <c r="K48" i="59"/>
  <c r="K49" i="59"/>
  <c r="K50" i="59"/>
  <c r="K2" i="59"/>
  <c r="J9" i="59"/>
  <c r="J10" i="59"/>
  <c r="J11" i="59"/>
  <c r="J12" i="59"/>
  <c r="J13" i="59"/>
  <c r="J14" i="59"/>
  <c r="J15" i="59"/>
  <c r="J16" i="59"/>
  <c r="J17" i="59"/>
  <c r="J18" i="59"/>
  <c r="J19" i="59"/>
  <c r="J20" i="59"/>
  <c r="J21" i="59"/>
  <c r="J22" i="59"/>
  <c r="J23" i="59"/>
  <c r="J24" i="59"/>
  <c r="J25" i="59"/>
  <c r="J26" i="59"/>
  <c r="J27" i="59"/>
  <c r="J28" i="59"/>
  <c r="J29" i="59"/>
  <c r="J30" i="59"/>
  <c r="J31" i="59"/>
  <c r="J32" i="59"/>
  <c r="J33" i="59"/>
  <c r="J34" i="59"/>
  <c r="J35" i="59"/>
  <c r="J36" i="59"/>
  <c r="J37" i="59"/>
  <c r="J38" i="59"/>
  <c r="J39" i="59"/>
  <c r="J40" i="59"/>
  <c r="J41" i="59"/>
  <c r="J42" i="59"/>
  <c r="J43" i="59"/>
  <c r="J44" i="59"/>
  <c r="J45" i="59"/>
  <c r="J46" i="59"/>
  <c r="J47" i="59"/>
  <c r="J48" i="59"/>
  <c r="J49" i="59"/>
  <c r="J50" i="59"/>
  <c r="J51" i="59"/>
  <c r="J52" i="59"/>
  <c r="J53" i="59"/>
  <c r="J54" i="59"/>
  <c r="J55" i="59"/>
  <c r="J56" i="59"/>
  <c r="J57" i="59"/>
  <c r="J58" i="59"/>
  <c r="J59" i="59"/>
  <c r="J60" i="59"/>
  <c r="J61" i="59"/>
  <c r="J62" i="59"/>
  <c r="J63" i="59"/>
  <c r="J64" i="59"/>
  <c r="J65" i="59"/>
  <c r="J66" i="59"/>
  <c r="J67" i="59"/>
  <c r="J68" i="59"/>
  <c r="J69" i="59"/>
  <c r="J70" i="59"/>
  <c r="J71" i="59"/>
  <c r="J72" i="59"/>
  <c r="J73" i="59"/>
  <c r="J74" i="59"/>
  <c r="J75" i="59"/>
  <c r="J76" i="59"/>
  <c r="J3" i="59"/>
  <c r="J4" i="59"/>
  <c r="J5" i="59"/>
  <c r="J6" i="59"/>
  <c r="J7" i="59"/>
  <c r="J8" i="59"/>
  <c r="J2" i="59"/>
  <c r="B5" i="89" l="1"/>
  <c r="F10" i="89"/>
  <c r="E10" i="89"/>
  <c r="G15" i="57"/>
  <c r="K24" i="57" l="1"/>
  <c r="K25" i="57"/>
  <c r="K26" i="57"/>
  <c r="K27" i="57"/>
  <c r="K28" i="57"/>
  <c r="K29" i="57"/>
  <c r="K30" i="57"/>
  <c r="K31" i="57"/>
  <c r="K32" i="57"/>
  <c r="K23" i="57"/>
  <c r="F17" i="57"/>
  <c r="E201" i="94" s="1"/>
  <c r="E189" i="94" l="1"/>
  <c r="E166" i="94"/>
  <c r="E155" i="94"/>
  <c r="E73" i="94"/>
  <c r="E147" i="94"/>
  <c r="E131" i="94"/>
  <c r="E115" i="94"/>
  <c r="E87" i="94"/>
  <c r="E59" i="94"/>
  <c r="E31" i="94"/>
  <c r="E177" i="94"/>
  <c r="E139" i="94"/>
  <c r="E123" i="94"/>
  <c r="E101" i="94"/>
  <c r="E45" i="94"/>
  <c r="E17" i="94"/>
  <c r="L25" i="57"/>
  <c r="M5" i="90"/>
  <c r="L30" i="57"/>
  <c r="L24" i="57"/>
  <c r="L29" i="57"/>
  <c r="L32" i="57"/>
  <c r="L28" i="57"/>
  <c r="L31" i="57"/>
  <c r="L27" i="57"/>
  <c r="L23" i="57"/>
  <c r="L26" i="57"/>
  <c r="G26" i="74"/>
  <c r="Z9" i="74" l="1"/>
  <c r="C20" i="69" l="1"/>
  <c r="X1" i="12" l="1"/>
  <c r="E47" i="59" l="1"/>
  <c r="E71" i="59"/>
  <c r="E72" i="59"/>
  <c r="E13" i="59"/>
  <c r="E42" i="59"/>
  <c r="E53" i="59"/>
  <c r="E73" i="59"/>
  <c r="E39" i="59"/>
  <c r="E51" i="59"/>
  <c r="E52" i="59"/>
  <c r="E33" i="59"/>
  <c r="E43" i="59"/>
  <c r="E54" i="59"/>
  <c r="E74" i="59"/>
  <c r="E62" i="59"/>
  <c r="E40" i="59"/>
  <c r="E41" i="59"/>
  <c r="E35" i="59"/>
  <c r="E44" i="59"/>
  <c r="E55" i="59"/>
  <c r="E75" i="59"/>
  <c r="E36" i="59"/>
  <c r="E45" i="59"/>
  <c r="E59" i="59"/>
  <c r="E38" i="59"/>
  <c r="E46" i="59"/>
  <c r="E60" i="59"/>
  <c r="C21" i="69"/>
  <c r="Z15" i="74" l="1"/>
  <c r="Z14" i="74"/>
  <c r="Z13" i="74"/>
  <c r="Z12" i="74"/>
  <c r="Z11" i="74"/>
  <c r="Q14" i="57"/>
  <c r="F19" i="57" l="1"/>
  <c r="M31" i="43" l="1"/>
  <c r="M32" i="43" l="1"/>
  <c r="M33" i="43" s="1"/>
  <c r="M34" i="43" s="1"/>
  <c r="M35" i="43" s="1"/>
  <c r="J36" i="43" s="1"/>
  <c r="J37" i="43" s="1"/>
  <c r="J38" i="43" s="1"/>
  <c r="J39" i="43" s="1"/>
  <c r="J40" i="43" s="1"/>
  <c r="J41" i="43" s="1"/>
  <c r="J42" i="43" s="1"/>
  <c r="M29" i="43"/>
  <c r="M28" i="43" s="1"/>
  <c r="M27" i="43" s="1"/>
  <c r="M26" i="43" s="1"/>
  <c r="M25" i="43" s="1"/>
  <c r="M24" i="43" s="1"/>
  <c r="AK15" i="75" l="1"/>
  <c r="AK14" i="75"/>
  <c r="AK13" i="75"/>
  <c r="AK12" i="75"/>
  <c r="AK11" i="75"/>
  <c r="AK10" i="75"/>
  <c r="AK9" i="75"/>
  <c r="AK8" i="75"/>
  <c r="AK7" i="75"/>
  <c r="AK6" i="75"/>
  <c r="AL15" i="75"/>
  <c r="AL14" i="75"/>
  <c r="AL13" i="75"/>
  <c r="AL12" i="75"/>
  <c r="AL11" i="75"/>
  <c r="AL10" i="75"/>
  <c r="AL9" i="75"/>
  <c r="AL8" i="75"/>
  <c r="AL7" i="75"/>
  <c r="AL6" i="75"/>
  <c r="AN15" i="75" l="1"/>
  <c r="AN14" i="75"/>
  <c r="AN13" i="75"/>
  <c r="AN12" i="75"/>
  <c r="AN11" i="75"/>
  <c r="AN10" i="75"/>
  <c r="AN9" i="75"/>
  <c r="AN8" i="75"/>
  <c r="AK4" i="75"/>
  <c r="W2" i="57" l="1"/>
  <c r="E32" i="57" l="1"/>
  <c r="E31" i="57"/>
  <c r="E30" i="57"/>
  <c r="E29" i="57"/>
  <c r="E28" i="57"/>
  <c r="E27" i="57"/>
  <c r="E26" i="57"/>
  <c r="E25" i="57"/>
  <c r="E24" i="57"/>
  <c r="E23" i="57"/>
  <c r="J32" i="57" l="1"/>
  <c r="F32" i="57"/>
  <c r="H32" i="57"/>
  <c r="G32" i="57"/>
  <c r="I32" i="57"/>
  <c r="G31" i="57"/>
  <c r="F31" i="57"/>
  <c r="H31" i="57"/>
  <c r="J31" i="57"/>
  <c r="I31" i="57"/>
  <c r="H30" i="57"/>
  <c r="G30" i="57"/>
  <c r="J30" i="57"/>
  <c r="F30" i="57"/>
  <c r="I30" i="57"/>
  <c r="I29" i="57"/>
  <c r="H29" i="57"/>
  <c r="F29" i="57"/>
  <c r="G29" i="57"/>
  <c r="J29" i="57"/>
  <c r="I28" i="57"/>
  <c r="H28" i="57"/>
  <c r="G28" i="57"/>
  <c r="J28" i="57"/>
  <c r="F28" i="57"/>
  <c r="G27" i="57"/>
  <c r="F27" i="57"/>
  <c r="H27" i="57"/>
  <c r="J27" i="57"/>
  <c r="I27" i="57"/>
  <c r="H26" i="57"/>
  <c r="G26" i="57"/>
  <c r="J26" i="57"/>
  <c r="F26" i="57"/>
  <c r="I26" i="57"/>
  <c r="I25" i="57"/>
  <c r="H25" i="57"/>
  <c r="G25" i="57"/>
  <c r="J25" i="57"/>
  <c r="F25" i="57"/>
  <c r="I24" i="57"/>
  <c r="H24" i="57"/>
  <c r="G24" i="57"/>
  <c r="J24" i="57"/>
  <c r="F24" i="57"/>
  <c r="H23" i="57"/>
  <c r="F23" i="57"/>
  <c r="G23" i="57"/>
  <c r="J23" i="57"/>
  <c r="I23" i="57"/>
  <c r="AU40" i="61" l="1"/>
  <c r="AR15" i="72" l="1"/>
  <c r="AR16" i="72"/>
  <c r="AR17" i="72"/>
  <c r="AR18" i="72"/>
  <c r="AR19" i="72"/>
  <c r="AR20" i="72"/>
  <c r="AR21" i="72"/>
  <c r="AR22" i="72"/>
  <c r="AR23" i="72"/>
  <c r="AR24" i="72"/>
  <c r="AR25" i="72"/>
  <c r="AR26" i="72"/>
  <c r="AR27" i="72"/>
  <c r="AR28" i="72"/>
  <c r="AR29" i="72"/>
  <c r="AR30" i="72"/>
  <c r="AR31" i="72"/>
  <c r="AR32" i="72"/>
  <c r="AR33" i="72"/>
  <c r="AR34" i="72"/>
  <c r="AR14" i="72"/>
  <c r="A18" i="36" l="1"/>
  <c r="A19" i="36"/>
  <c r="A20" i="36"/>
  <c r="A21" i="36"/>
  <c r="A22" i="36"/>
  <c r="A23" i="36"/>
  <c r="A24" i="36"/>
  <c r="F7" i="75" l="1"/>
  <c r="F8" i="75"/>
  <c r="F9" i="75"/>
  <c r="F10" i="75"/>
  <c r="F11" i="75"/>
  <c r="F12" i="75"/>
  <c r="F13" i="75"/>
  <c r="F14" i="75"/>
  <c r="F15" i="75"/>
  <c r="F6" i="75"/>
  <c r="AR10" i="75" l="1"/>
  <c r="M10" i="75"/>
  <c r="AR13" i="75"/>
  <c r="M13" i="75"/>
  <c r="AR9" i="75"/>
  <c r="M9" i="75"/>
  <c r="AR14" i="75"/>
  <c r="M14" i="75"/>
  <c r="M6" i="75"/>
  <c r="AR6" i="75"/>
  <c r="M12" i="75"/>
  <c r="AR12" i="75"/>
  <c r="AR8" i="75"/>
  <c r="M8" i="75"/>
  <c r="M15" i="75"/>
  <c r="AR15" i="75"/>
  <c r="M11" i="75"/>
  <c r="AR11" i="75"/>
  <c r="M7" i="75"/>
  <c r="AR7" i="75"/>
  <c r="AY14" i="75"/>
  <c r="AS14" i="75"/>
  <c r="AT14" i="75" s="1"/>
  <c r="AU14" i="75" s="1"/>
  <c r="AW14" i="75"/>
  <c r="AX14" i="75"/>
  <c r="AV14" i="75"/>
  <c r="BC14" i="75"/>
  <c r="AY10" i="75"/>
  <c r="AS10" i="75"/>
  <c r="AT10" i="75" s="1"/>
  <c r="AU10" i="75" s="1"/>
  <c r="AW10" i="75"/>
  <c r="BC10" i="75"/>
  <c r="AX10" i="75"/>
  <c r="AV10" i="75"/>
  <c r="AY13" i="75"/>
  <c r="AS13" i="75"/>
  <c r="AW13" i="75"/>
  <c r="AT13" i="75"/>
  <c r="AU13" i="75" s="1"/>
  <c r="BC13" i="75"/>
  <c r="AX13" i="75"/>
  <c r="AV13" i="75"/>
  <c r="AY9" i="75"/>
  <c r="AS9" i="75"/>
  <c r="AT9" i="75" s="1"/>
  <c r="AU9" i="75" s="1"/>
  <c r="AW9" i="75"/>
  <c r="AX9" i="75"/>
  <c r="AV9" i="75"/>
  <c r="BC9" i="75"/>
  <c r="AX6" i="75"/>
  <c r="BC6" i="75"/>
  <c r="AV6" i="75"/>
  <c r="AY6" i="75"/>
  <c r="AS6" i="75"/>
  <c r="AW6" i="75"/>
  <c r="AX12" i="75"/>
  <c r="BC12" i="75"/>
  <c r="AV12" i="75"/>
  <c r="AS12" i="75"/>
  <c r="AW12" i="75"/>
  <c r="AY12" i="75"/>
  <c r="AX8" i="75"/>
  <c r="BC8" i="75"/>
  <c r="AV8" i="75"/>
  <c r="AY8" i="75"/>
  <c r="AS8" i="75"/>
  <c r="AW8" i="75"/>
  <c r="AX15" i="75"/>
  <c r="BC15" i="75"/>
  <c r="AV15" i="75"/>
  <c r="AS15" i="75"/>
  <c r="AY15" i="75"/>
  <c r="AW15" i="75"/>
  <c r="AX11" i="75"/>
  <c r="BC11" i="75"/>
  <c r="AV11" i="75"/>
  <c r="AY11" i="75"/>
  <c r="AW11" i="75"/>
  <c r="AS11" i="75"/>
  <c r="AX7" i="75"/>
  <c r="BC7" i="75"/>
  <c r="AV7" i="75"/>
  <c r="AY7" i="75"/>
  <c r="AS7" i="75"/>
  <c r="AT7" i="75" s="1"/>
  <c r="AU7" i="75" s="1"/>
  <c r="AW7" i="75"/>
  <c r="AQ15" i="75"/>
  <c r="AQ10" i="75"/>
  <c r="AQ13" i="75"/>
  <c r="AQ9" i="75"/>
  <c r="AQ14" i="75"/>
  <c r="AQ6" i="75"/>
  <c r="AQ12" i="75"/>
  <c r="AQ8" i="75"/>
  <c r="AQ11" i="75"/>
  <c r="AQ7" i="75"/>
  <c r="W12" i="75"/>
  <c r="W15" i="75"/>
  <c r="W11" i="75"/>
  <c r="W13" i="75"/>
  <c r="W9" i="75"/>
  <c r="W14" i="75"/>
  <c r="W10" i="75"/>
  <c r="H75" i="59"/>
  <c r="H74" i="59"/>
  <c r="H76" i="59"/>
  <c r="H73" i="59"/>
  <c r="D4" i="74"/>
  <c r="C19" i="43"/>
  <c r="AZ11" i="75" l="1"/>
  <c r="BA11" i="75" s="1"/>
  <c r="AZ10" i="75"/>
  <c r="BB10" i="75" s="1"/>
  <c r="BD10" i="75" s="1"/>
  <c r="AZ15" i="75"/>
  <c r="BA15" i="75" s="1"/>
  <c r="AZ8" i="75"/>
  <c r="BB8" i="75" s="1"/>
  <c r="BD8" i="75" s="1"/>
  <c r="AZ12" i="75"/>
  <c r="BB12" i="75" s="1"/>
  <c r="BD12" i="75" s="1"/>
  <c r="AZ9" i="75"/>
  <c r="BA9" i="75" s="1"/>
  <c r="AZ13" i="75"/>
  <c r="BA13" i="75" s="1"/>
  <c r="AZ14" i="75"/>
  <c r="BB14" i="75" s="1"/>
  <c r="BD14" i="75" s="1"/>
  <c r="AT11" i="75"/>
  <c r="AU11" i="75" s="1"/>
  <c r="AT15" i="75"/>
  <c r="AU15" i="75" s="1"/>
  <c r="AT8" i="75"/>
  <c r="AU8" i="75" s="1"/>
  <c r="AT12" i="75"/>
  <c r="AU12" i="75" s="1"/>
  <c r="AT6" i="75"/>
  <c r="AU6" i="75" s="1"/>
  <c r="AZ7" i="75"/>
  <c r="BA7" i="75" s="1"/>
  <c r="AZ6" i="75"/>
  <c r="BA6" i="75" s="1"/>
  <c r="D11" i="65"/>
  <c r="H5" i="12"/>
  <c r="C26" i="74"/>
  <c r="BC16" i="75"/>
  <c r="E36" i="12" s="1"/>
  <c r="H72" i="59"/>
  <c r="H71" i="59"/>
  <c r="H70" i="59"/>
  <c r="H69" i="59"/>
  <c r="H68" i="59"/>
  <c r="H67" i="59"/>
  <c r="H66" i="59"/>
  <c r="H65" i="59"/>
  <c r="H64" i="59"/>
  <c r="H63" i="59"/>
  <c r="H62" i="59"/>
  <c r="H61" i="59"/>
  <c r="H60" i="59"/>
  <c r="H59" i="59"/>
  <c r="H58" i="59"/>
  <c r="H57" i="59"/>
  <c r="H56" i="59"/>
  <c r="H55" i="59"/>
  <c r="H54" i="59"/>
  <c r="H53" i="59"/>
  <c r="H52" i="59"/>
  <c r="H51" i="59"/>
  <c r="H50" i="59"/>
  <c r="H49" i="59"/>
  <c r="H48" i="59"/>
  <c r="H47" i="59"/>
  <c r="H46" i="59"/>
  <c r="H45" i="59"/>
  <c r="H44" i="59"/>
  <c r="H43" i="59"/>
  <c r="H42" i="59"/>
  <c r="H41" i="59"/>
  <c r="H40" i="59"/>
  <c r="H39" i="59"/>
  <c r="H38" i="59"/>
  <c r="H37" i="59"/>
  <c r="H36" i="59"/>
  <c r="H35" i="59"/>
  <c r="H34" i="59"/>
  <c r="H33" i="59"/>
  <c r="H32" i="59"/>
  <c r="H31" i="59"/>
  <c r="H30" i="59"/>
  <c r="H29" i="59"/>
  <c r="H28" i="59"/>
  <c r="H27" i="59"/>
  <c r="H26" i="59"/>
  <c r="H25" i="59"/>
  <c r="H24" i="59"/>
  <c r="H23" i="59"/>
  <c r="H22" i="59"/>
  <c r="H21" i="59"/>
  <c r="H20" i="59"/>
  <c r="H19" i="59"/>
  <c r="H18" i="59"/>
  <c r="H17" i="59"/>
  <c r="H16" i="59"/>
  <c r="H15" i="59"/>
  <c r="H14" i="59"/>
  <c r="H13" i="59"/>
  <c r="H12" i="59"/>
  <c r="H11" i="59"/>
  <c r="H10" i="59"/>
  <c r="H9" i="59"/>
  <c r="H8" i="59"/>
  <c r="H7" i="59"/>
  <c r="H6" i="59"/>
  <c r="H5" i="59"/>
  <c r="H4" i="59"/>
  <c r="H3" i="59"/>
  <c r="BA10" i="75" l="1"/>
  <c r="BB15" i="75"/>
  <c r="BD15" i="75" s="1"/>
  <c r="BA12" i="75"/>
  <c r="BB11" i="75"/>
  <c r="BD11" i="75" s="1"/>
  <c r="BA8" i="75"/>
  <c r="BB7" i="75"/>
  <c r="BD7" i="75" s="1"/>
  <c r="BB6" i="75"/>
  <c r="BD6" i="75" s="1"/>
  <c r="BB9" i="75"/>
  <c r="BD9" i="75" s="1"/>
  <c r="BA14" i="75"/>
  <c r="BB13" i="75"/>
  <c r="BD13" i="75" s="1"/>
  <c r="BA16" i="75" l="1"/>
  <c r="E35" i="11" s="1"/>
  <c r="BD16" i="75"/>
  <c r="E36" i="11" s="1"/>
  <c r="H32" i="70"/>
  <c r="U130" i="61" l="1"/>
  <c r="U129" i="61"/>
  <c r="U128" i="61"/>
  <c r="U127" i="61"/>
  <c r="U126" i="61"/>
  <c r="U125" i="61"/>
  <c r="U124" i="61"/>
  <c r="U123" i="61"/>
  <c r="U122" i="61"/>
  <c r="U121" i="61"/>
  <c r="U120" i="61"/>
  <c r="U119" i="61"/>
  <c r="U118" i="61"/>
  <c r="U117" i="61"/>
  <c r="U116" i="61"/>
  <c r="U115" i="61"/>
  <c r="U114" i="61"/>
  <c r="U113" i="61"/>
  <c r="U112" i="61"/>
  <c r="U111" i="61"/>
  <c r="U110" i="61"/>
  <c r="U131" i="61" l="1"/>
  <c r="KJ12" i="72"/>
  <c r="KI12" i="72"/>
  <c r="KH12" i="72"/>
  <c r="KG12" i="72"/>
  <c r="KF12" i="72"/>
  <c r="KE12" i="72"/>
  <c r="KA12" i="72"/>
  <c r="JZ12" i="72"/>
  <c r="JY12" i="72"/>
  <c r="JX12" i="72"/>
  <c r="JW12" i="72"/>
  <c r="JV12" i="72"/>
  <c r="V12" i="76" l="1"/>
  <c r="V13" i="76"/>
  <c r="V14" i="76"/>
  <c r="V15" i="76"/>
  <c r="V16" i="76"/>
  <c r="V17" i="76"/>
  <c r="V18" i="76"/>
  <c r="V19" i="76"/>
  <c r="V20" i="76"/>
  <c r="V21" i="76"/>
  <c r="V22" i="76"/>
  <c r="V23" i="76"/>
  <c r="V24" i="76"/>
  <c r="V25" i="76"/>
  <c r="V26" i="76"/>
  <c r="V27" i="76"/>
  <c r="V28" i="76"/>
  <c r="V29" i="76"/>
  <c r="V30" i="76"/>
  <c r="V31" i="76"/>
  <c r="V32" i="76"/>
  <c r="K40" i="70" l="1"/>
  <c r="E3" i="70" l="1"/>
  <c r="L18" i="70" l="1"/>
  <c r="AC26" i="70"/>
  <c r="AC18" i="70"/>
  <c r="AC10" i="70"/>
  <c r="L24" i="70"/>
  <c r="L16" i="70"/>
  <c r="AC25" i="70"/>
  <c r="AC17" i="70"/>
  <c r="P9" i="70"/>
  <c r="L23" i="70"/>
  <c r="L15" i="70"/>
  <c r="AC24" i="70"/>
  <c r="L30" i="70"/>
  <c r="L22" i="70"/>
  <c r="L14" i="70"/>
  <c r="AC29" i="70"/>
  <c r="AC21" i="70"/>
  <c r="AC13" i="70"/>
  <c r="L27" i="70"/>
  <c r="L19" i="70"/>
  <c r="L11" i="70"/>
  <c r="AC16" i="70"/>
  <c r="AC28" i="70"/>
  <c r="AC20" i="70"/>
  <c r="AC12" i="70"/>
  <c r="L26" i="70"/>
  <c r="L10" i="70"/>
  <c r="AC27" i="70"/>
  <c r="AC19" i="70"/>
  <c r="AC11" i="70"/>
  <c r="L25" i="70"/>
  <c r="L17" i="70"/>
  <c r="AC23" i="70"/>
  <c r="AC15" i="70"/>
  <c r="L29" i="70"/>
  <c r="L21" i="70"/>
  <c r="L13" i="70"/>
  <c r="AC30" i="70"/>
  <c r="AC22" i="70"/>
  <c r="AC14" i="70"/>
  <c r="L28" i="70"/>
  <c r="L20" i="70"/>
  <c r="L12" i="70"/>
  <c r="AD10" i="70"/>
  <c r="B20" i="43"/>
  <c r="C26" i="43" s="1"/>
  <c r="AG32" i="76"/>
  <c r="AG31" i="76"/>
  <c r="AG30" i="76"/>
  <c r="AG29" i="76"/>
  <c r="AG28" i="76"/>
  <c r="AG27" i="76"/>
  <c r="AG26" i="76"/>
  <c r="AG25" i="76"/>
  <c r="AG24" i="76"/>
  <c r="AG23" i="76"/>
  <c r="AG22" i="76"/>
  <c r="AG21" i="76"/>
  <c r="AG20" i="76"/>
  <c r="AG19" i="76"/>
  <c r="AG18" i="76"/>
  <c r="AG17" i="76"/>
  <c r="AG16" i="76"/>
  <c r="AG15" i="76"/>
  <c r="AG14" i="76"/>
  <c r="AG13" i="76"/>
  <c r="AG12" i="76"/>
  <c r="K32" i="76" l="1"/>
  <c r="K31" i="76"/>
  <c r="K30" i="76"/>
  <c r="K29" i="76"/>
  <c r="K28" i="76"/>
  <c r="K27" i="76"/>
  <c r="K26" i="76"/>
  <c r="K25" i="76"/>
  <c r="K24" i="76"/>
  <c r="K23" i="76"/>
  <c r="K22" i="76"/>
  <c r="K21" i="76"/>
  <c r="K20" i="76"/>
  <c r="K19" i="76"/>
  <c r="K18" i="76"/>
  <c r="K17" i="76"/>
  <c r="K16" i="76"/>
  <c r="K15" i="76"/>
  <c r="K14" i="76"/>
  <c r="K13" i="76"/>
  <c r="K12" i="76"/>
  <c r="B19" i="65" l="1"/>
  <c r="D14" i="65"/>
  <c r="AU38" i="61"/>
  <c r="C46" i="43"/>
  <c r="C45" i="43"/>
  <c r="C44" i="43"/>
  <c r="C43" i="43"/>
  <c r="C42" i="43"/>
  <c r="C41" i="43"/>
  <c r="C40" i="43"/>
  <c r="C39" i="43"/>
  <c r="C38" i="43"/>
  <c r="C37" i="43"/>
  <c r="H2" i="59" l="1"/>
  <c r="AC15" i="75" l="1"/>
  <c r="B15" i="75" s="1"/>
  <c r="AC7" i="75"/>
  <c r="B7" i="75" s="1"/>
  <c r="D96" i="61" s="1"/>
  <c r="J45" i="95" s="1"/>
  <c r="AC8" i="75"/>
  <c r="B8" i="75" s="1"/>
  <c r="D97" i="61" s="1"/>
  <c r="J46" i="95" s="1"/>
  <c r="AC9" i="75"/>
  <c r="B9" i="75" s="1"/>
  <c r="D98" i="61" s="1"/>
  <c r="J47" i="95" s="1"/>
  <c r="AC10" i="75"/>
  <c r="B10" i="75" s="1"/>
  <c r="D99" i="61" s="1"/>
  <c r="J48" i="95" s="1"/>
  <c r="AC11" i="75"/>
  <c r="B11" i="75" s="1"/>
  <c r="D100" i="61" s="1"/>
  <c r="J49" i="95" s="1"/>
  <c r="AC12" i="75"/>
  <c r="B12" i="75" s="1"/>
  <c r="D101" i="61" s="1"/>
  <c r="J50" i="95" s="1"/>
  <c r="AC13" i="75"/>
  <c r="B13" i="75" s="1"/>
  <c r="D102" i="61" s="1"/>
  <c r="J51" i="95" s="1"/>
  <c r="AC14" i="75"/>
  <c r="B14" i="75" s="1"/>
  <c r="D103" i="61" s="1"/>
  <c r="J52" i="95" s="1"/>
  <c r="AC6" i="75"/>
  <c r="B6" i="75" s="1"/>
  <c r="D95" i="61" l="1"/>
  <c r="D104" i="61"/>
  <c r="J53" i="95" s="1"/>
  <c r="H4" i="70"/>
  <c r="L6" i="95" l="1"/>
  <c r="J44" i="95"/>
  <c r="R18" i="61"/>
  <c r="AG77" i="61"/>
  <c r="AE77" i="61"/>
  <c r="AG76" i="61"/>
  <c r="AE76" i="61"/>
  <c r="AG75" i="61"/>
  <c r="AE75" i="61"/>
  <c r="AG74" i="61"/>
  <c r="AE74" i="61"/>
  <c r="AG73" i="61"/>
  <c r="AE73" i="61"/>
  <c r="AG72" i="61"/>
  <c r="AE72" i="61"/>
  <c r="AG71" i="61"/>
  <c r="AE71" i="61"/>
  <c r="AG70" i="61"/>
  <c r="AE70" i="61"/>
  <c r="AG69" i="61"/>
  <c r="AE69" i="61"/>
  <c r="AG68" i="61"/>
  <c r="AE68" i="61"/>
  <c r="AG66" i="61"/>
  <c r="AE66" i="61"/>
  <c r="AG65" i="61"/>
  <c r="AE65" i="61"/>
  <c r="AG64" i="61"/>
  <c r="AE64" i="61"/>
  <c r="AG63" i="61"/>
  <c r="AE63" i="61"/>
  <c r="AG62" i="61"/>
  <c r="AE62" i="61"/>
  <c r="AG61" i="61"/>
  <c r="AE61" i="61"/>
  <c r="AG60" i="61"/>
  <c r="AE60" i="61"/>
  <c r="AG59" i="61"/>
  <c r="AE59" i="61"/>
  <c r="AG58" i="61"/>
  <c r="AE58" i="61"/>
  <c r="AG57" i="61"/>
  <c r="AE57" i="61"/>
  <c r="AG56" i="61"/>
  <c r="AE56" i="61"/>
  <c r="AI77" i="61"/>
  <c r="AI76" i="61"/>
  <c r="AI75" i="61"/>
  <c r="AI74" i="61"/>
  <c r="AI73" i="61"/>
  <c r="AI72" i="61"/>
  <c r="AI71" i="61"/>
  <c r="AI70" i="61"/>
  <c r="AI69" i="61"/>
  <c r="AI68" i="61"/>
  <c r="AI66" i="61"/>
  <c r="AI65" i="61"/>
  <c r="AI64" i="61"/>
  <c r="AI63" i="61"/>
  <c r="AI62" i="61"/>
  <c r="AI61" i="61"/>
  <c r="AI60" i="61"/>
  <c r="AI59" i="61"/>
  <c r="AI58" i="61"/>
  <c r="AI57" i="61"/>
  <c r="AI56" i="61"/>
  <c r="E4" i="12"/>
  <c r="E5" i="12"/>
  <c r="E4" i="11" l="1"/>
  <c r="H4" i="11"/>
  <c r="E3" i="11"/>
  <c r="J4" i="36"/>
  <c r="J7" i="36"/>
  <c r="P8" i="70"/>
  <c r="P15" i="72"/>
  <c r="P16" i="72"/>
  <c r="P17" i="72"/>
  <c r="P18" i="72"/>
  <c r="P19" i="72"/>
  <c r="P20" i="72"/>
  <c r="P21" i="72"/>
  <c r="P22" i="72"/>
  <c r="P23" i="72"/>
  <c r="P24" i="72"/>
  <c r="P25" i="72"/>
  <c r="P26" i="72"/>
  <c r="P27" i="72"/>
  <c r="P28" i="72"/>
  <c r="P29" i="72"/>
  <c r="P30" i="72"/>
  <c r="P31" i="72"/>
  <c r="P32" i="72"/>
  <c r="P33" i="72"/>
  <c r="P34" i="72"/>
  <c r="P14" i="72"/>
  <c r="J5" i="36" l="1"/>
  <c r="BB1" i="72" l="1"/>
  <c r="BB7" i="72" l="1"/>
  <c r="BB42" i="72"/>
  <c r="C4" i="75"/>
  <c r="E4" i="70"/>
  <c r="J17" i="36" l="1"/>
  <c r="AC17" i="36"/>
  <c r="AA17" i="36" s="1"/>
  <c r="N7" i="75"/>
  <c r="N8" i="75"/>
  <c r="O4" i="75"/>
  <c r="K13" i="75"/>
  <c r="AM13" i="75" s="1"/>
  <c r="K9" i="75"/>
  <c r="AM9" i="75" s="1"/>
  <c r="K12" i="75"/>
  <c r="AM12" i="75" s="1"/>
  <c r="K8" i="75"/>
  <c r="K15" i="75"/>
  <c r="AM15" i="75" s="1"/>
  <c r="K11" i="75"/>
  <c r="AM11" i="75" s="1"/>
  <c r="K7" i="75"/>
  <c r="K14" i="75"/>
  <c r="AM14" i="75" s="1"/>
  <c r="K10" i="75"/>
  <c r="AM10" i="75" s="1"/>
  <c r="K6" i="75"/>
  <c r="P3" i="75"/>
  <c r="N10" i="75"/>
  <c r="N14" i="75"/>
  <c r="N11" i="75"/>
  <c r="N15" i="75"/>
  <c r="N12" i="75"/>
  <c r="N6" i="75"/>
  <c r="N9" i="75"/>
  <c r="N13" i="75"/>
  <c r="BY1" i="72"/>
  <c r="BY5" i="72" s="1"/>
  <c r="JA3" i="72"/>
  <c r="ID3" i="72"/>
  <c r="HG3" i="72"/>
  <c r="GJ3" i="72"/>
  <c r="FM3" i="72"/>
  <c r="EP3" i="72"/>
  <c r="DS3" i="72"/>
  <c r="CV3" i="72"/>
  <c r="BY3" i="72"/>
  <c r="BB3" i="72"/>
  <c r="JA6" i="72"/>
  <c r="ID6" i="72"/>
  <c r="HG6" i="72"/>
  <c r="GJ6" i="72"/>
  <c r="FM6" i="72"/>
  <c r="EP6" i="72"/>
  <c r="DS6" i="72"/>
  <c r="CV6" i="72"/>
  <c r="BY6" i="72"/>
  <c r="BB6" i="72"/>
  <c r="BB5" i="72" s="1"/>
  <c r="JA1" i="72"/>
  <c r="JA5" i="72" s="1"/>
  <c r="ID1" i="72"/>
  <c r="ID5" i="72" s="1"/>
  <c r="HG1" i="72"/>
  <c r="HG5" i="72" s="1"/>
  <c r="GJ1" i="72"/>
  <c r="GJ5" i="72" s="1"/>
  <c r="FM1" i="72"/>
  <c r="EP1" i="72"/>
  <c r="DS1" i="72"/>
  <c r="CV1" i="72"/>
  <c r="CV5" i="72" s="1"/>
  <c r="H3" i="70"/>
  <c r="EB17" i="72" l="1" a="1"/>
  <c r="EB17" i="72" s="1"/>
  <c r="EB23" i="72" a="1"/>
  <c r="EB23" i="72" s="1"/>
  <c r="EB21" i="72" a="1"/>
  <c r="EB21" i="72" s="1"/>
  <c r="EB29" i="72" a="1"/>
  <c r="EB29" i="72" s="1"/>
  <c r="EB18" i="72" a="1"/>
  <c r="EB18" i="72" s="1"/>
  <c r="EB24" i="72" a="1"/>
  <c r="EB24" i="72" s="1"/>
  <c r="EB19" i="72" a="1"/>
  <c r="EB19" i="72" s="1"/>
  <c r="EB20" i="72" a="1"/>
  <c r="EB20" i="72" s="1"/>
  <c r="EB22" i="72" a="1"/>
  <c r="EB22" i="72" s="1"/>
  <c r="EB31" i="72" a="1"/>
  <c r="EB31" i="72" s="1"/>
  <c r="EB28" i="72" a="1"/>
  <c r="EB28" i="72" s="1"/>
  <c r="EB16" i="72" a="1"/>
  <c r="EB16" i="72" s="1"/>
  <c r="EB27" i="72" a="1"/>
  <c r="EB27" i="72" s="1"/>
  <c r="EB25" i="72" a="1"/>
  <c r="EB25" i="72" s="1"/>
  <c r="EB30" i="72" a="1"/>
  <c r="EB30" i="72" s="1"/>
  <c r="EB14" i="72" a="1"/>
  <c r="EB14" i="72" s="1"/>
  <c r="EB33" i="72" a="1"/>
  <c r="EB33" i="72" s="1"/>
  <c r="EB15" i="72" a="1"/>
  <c r="EB15" i="72" s="1"/>
  <c r="EB32" i="72" a="1"/>
  <c r="EB32" i="72" s="1"/>
  <c r="EB26" i="72" a="1"/>
  <c r="EB26" i="72" s="1"/>
  <c r="EB34" i="72" a="1"/>
  <c r="EB34" i="72" s="1"/>
  <c r="EY22" i="72" a="1"/>
  <c r="EY22" i="72" s="1"/>
  <c r="EY18" i="72" a="1"/>
  <c r="EY18" i="72" s="1"/>
  <c r="EY23" i="72" a="1"/>
  <c r="EY23" i="72" s="1"/>
  <c r="EZ23" i="72" s="1"/>
  <c r="EY32" i="72" a="1"/>
  <c r="EY32" i="72" s="1"/>
  <c r="EY21" i="72" a="1"/>
  <c r="EY21" i="72" s="1"/>
  <c r="EY26" i="72" a="1"/>
  <c r="EY26" i="72" s="1"/>
  <c r="EY31" i="72" a="1"/>
  <c r="EY31" i="72" s="1"/>
  <c r="EY30" i="72" a="1"/>
  <c r="EY30" i="72" s="1"/>
  <c r="EY17" i="72" a="1"/>
  <c r="EY17" i="72" s="1"/>
  <c r="EY34" i="72" a="1"/>
  <c r="EY34" i="72" s="1"/>
  <c r="EY14" i="72" a="1"/>
  <c r="EY14" i="72" s="1"/>
  <c r="EZ14" i="72" s="1"/>
  <c r="EY27" i="72" a="1"/>
  <c r="EY27" i="72" s="1"/>
  <c r="EY25" i="72" a="1"/>
  <c r="EY25" i="72" s="1"/>
  <c r="EY33" i="72" a="1"/>
  <c r="EY33" i="72" s="1"/>
  <c r="EY29" i="72" a="1"/>
  <c r="EY29" i="72" s="1"/>
  <c r="EY20" i="72" a="1"/>
  <c r="EY20" i="72" s="1"/>
  <c r="EY16" i="72" a="1"/>
  <c r="EY16" i="72" s="1"/>
  <c r="EY28" i="72" a="1"/>
  <c r="EY28" i="72" s="1"/>
  <c r="EY19" i="72" a="1"/>
  <c r="EY19" i="72" s="1"/>
  <c r="EY15" i="72" a="1"/>
  <c r="EY15" i="72" s="1"/>
  <c r="EY24" i="72" a="1"/>
  <c r="EY24" i="72" s="1"/>
  <c r="CH15" i="72" a="1"/>
  <c r="CH15" i="72" s="1"/>
  <c r="CH33" i="72" a="1"/>
  <c r="CH33" i="72" s="1"/>
  <c r="CH23" i="72" a="1"/>
  <c r="CH23" i="72" s="1"/>
  <c r="CH14" i="72" a="1"/>
  <c r="CH14" i="72" s="1"/>
  <c r="CH32" i="72" a="1"/>
  <c r="CH32" i="72" s="1"/>
  <c r="CH27" i="72" a="1"/>
  <c r="CH27" i="72" s="1"/>
  <c r="CI27" i="72" s="1"/>
  <c r="CH20" i="72" a="1"/>
  <c r="CH20" i="72" s="1"/>
  <c r="CH22" i="72" a="1"/>
  <c r="CH22" i="72" s="1"/>
  <c r="CH31" i="72" a="1"/>
  <c r="CH31" i="72" s="1"/>
  <c r="CH28" i="72" a="1"/>
  <c r="CH28" i="72" s="1"/>
  <c r="CH18" i="72" a="1"/>
  <c r="CH18" i="72" s="1"/>
  <c r="CH25" i="72" a="1"/>
  <c r="CH25" i="72" s="1"/>
  <c r="CH21" i="72" a="1"/>
  <c r="CH21" i="72" s="1"/>
  <c r="CH16" i="72" a="1"/>
  <c r="CH16" i="72" s="1"/>
  <c r="CH26" i="72" a="1"/>
  <c r="CH26" i="72" s="1"/>
  <c r="CH24" i="72" a="1"/>
  <c r="CH24" i="72" s="1"/>
  <c r="CH29" i="72" a="1"/>
  <c r="CH29" i="72" s="1"/>
  <c r="CH34" i="72" a="1"/>
  <c r="CH34" i="72" s="1"/>
  <c r="CH30" i="72" a="1"/>
  <c r="CH30" i="72" s="1"/>
  <c r="CH17" i="72" a="1"/>
  <c r="CH17" i="72" s="1"/>
  <c r="CH19" i="72" a="1"/>
  <c r="CH19" i="72" s="1"/>
  <c r="FV19" i="72" a="1"/>
  <c r="FV19" i="72" s="1"/>
  <c r="FW19" i="72" s="1"/>
  <c r="FV16" i="72" a="1"/>
  <c r="FV16" i="72" s="1"/>
  <c r="FV33" i="72" a="1"/>
  <c r="FV33" i="72" s="1"/>
  <c r="FV15" i="72" a="1"/>
  <c r="FV15" i="72" s="1"/>
  <c r="FV18" i="72" a="1"/>
  <c r="FV18" i="72" s="1"/>
  <c r="FV26" i="72" a="1"/>
  <c r="FV26" i="72" s="1"/>
  <c r="FV27" i="72" a="1"/>
  <c r="FV27" i="72" s="1"/>
  <c r="FV34" i="72" a="1"/>
  <c r="FV34" i="72" s="1"/>
  <c r="FV22" i="72" a="1"/>
  <c r="FV22" i="72" s="1"/>
  <c r="FW22" i="72" s="1"/>
  <c r="FV14" i="72" a="1"/>
  <c r="FV14" i="72" s="1"/>
  <c r="FV17" i="72" a="1"/>
  <c r="FV17" i="72" s="1"/>
  <c r="FV30" i="72" a="1"/>
  <c r="FV30" i="72" s="1"/>
  <c r="FV21" i="72" a="1"/>
  <c r="FV21" i="72" s="1"/>
  <c r="FV29" i="72" a="1"/>
  <c r="FV29" i="72" s="1"/>
  <c r="FV25" i="72" a="1"/>
  <c r="FV25" i="72" s="1"/>
  <c r="FV23" i="72" a="1"/>
  <c r="FV23" i="72" s="1"/>
  <c r="FV31" i="72" a="1"/>
  <c r="FV31" i="72" s="1"/>
  <c r="FW31" i="72" s="1"/>
  <c r="FV20" i="72" a="1"/>
  <c r="FV20" i="72" s="1"/>
  <c r="FV24" i="72" a="1"/>
  <c r="FV24" i="72" s="1"/>
  <c r="FV32" i="72" a="1"/>
  <c r="FV32" i="72" s="1"/>
  <c r="FV28" i="72" a="1"/>
  <c r="FV28" i="72" s="1"/>
  <c r="FW28" i="72" s="1"/>
  <c r="DS5" i="72"/>
  <c r="HP21" i="72" a="1"/>
  <c r="HP21" i="72" s="1"/>
  <c r="HP19" i="72" a="1"/>
  <c r="HP19" i="72" s="1"/>
  <c r="HP24" i="72" a="1"/>
  <c r="HP24" i="72" s="1"/>
  <c r="HQ24" i="72" s="1"/>
  <c r="HP22" i="72" a="1"/>
  <c r="HP22" i="72" s="1"/>
  <c r="HP23" i="72" a="1"/>
  <c r="HP23" i="72" s="1"/>
  <c r="HP31" i="72" a="1"/>
  <c r="HP31" i="72" s="1"/>
  <c r="HP18" i="72" a="1"/>
  <c r="HP18" i="72" s="1"/>
  <c r="HP27" i="72" a="1"/>
  <c r="HP27" i="72" s="1"/>
  <c r="HP32" i="72" a="1"/>
  <c r="HP32" i="72" s="1"/>
  <c r="HP14" i="72" a="1"/>
  <c r="HP14" i="72" s="1"/>
  <c r="HP30" i="72" a="1"/>
  <c r="HP30" i="72" s="1"/>
  <c r="HQ30" i="72" s="1"/>
  <c r="HP33" i="72" a="1"/>
  <c r="HP33" i="72" s="1"/>
  <c r="HP17" i="72" a="1"/>
  <c r="HP17" i="72" s="1"/>
  <c r="HP15" i="72" a="1"/>
  <c r="HP15" i="72" s="1"/>
  <c r="HP34" i="72" a="1"/>
  <c r="HP34" i="72" s="1"/>
  <c r="HQ34" i="72" s="1"/>
  <c r="HP20" i="72" a="1"/>
  <c r="HP20" i="72" s="1"/>
  <c r="HP25" i="72" a="1"/>
  <c r="HP25" i="72" s="1"/>
  <c r="HP28" i="72" a="1"/>
  <c r="HP28" i="72" s="1"/>
  <c r="HP16" i="72" a="1"/>
  <c r="HP16" i="72" s="1"/>
  <c r="HQ16" i="72" s="1"/>
  <c r="HP29" i="72" a="1"/>
  <c r="HP29" i="72" s="1"/>
  <c r="HQ29" i="72" s="1"/>
  <c r="HP26" i="72" a="1"/>
  <c r="HP26" i="72" s="1"/>
  <c r="GS16" i="72" a="1"/>
  <c r="GS16" i="72" s="1"/>
  <c r="GS30" i="72" a="1"/>
  <c r="GS30" i="72" s="1"/>
  <c r="GT30" i="72" s="1"/>
  <c r="GS15" i="72" a="1"/>
  <c r="GS15" i="72" s="1"/>
  <c r="GS29" i="72" a="1"/>
  <c r="GS29" i="72" s="1"/>
  <c r="GS34" i="72" a="1"/>
  <c r="GS34" i="72" s="1"/>
  <c r="GS22" i="72" a="1"/>
  <c r="GS22" i="72" s="1"/>
  <c r="GT22" i="72" s="1"/>
  <c r="GS17" i="72" a="1"/>
  <c r="GS17" i="72" s="1"/>
  <c r="GT17" i="72" s="1"/>
  <c r="GS26" i="72" a="1"/>
  <c r="GS26" i="72" s="1"/>
  <c r="GS14" i="72" a="1"/>
  <c r="GS14" i="72" s="1"/>
  <c r="GS23" i="72" a="1"/>
  <c r="GS23" i="72" s="1"/>
  <c r="GT23" i="72" s="1"/>
  <c r="GS25" i="72" a="1"/>
  <c r="GS25" i="72" s="1"/>
  <c r="GS32" i="72" a="1"/>
  <c r="GS32" i="72" s="1"/>
  <c r="GS20" i="72" a="1"/>
  <c r="GS20" i="72" s="1"/>
  <c r="GS33" i="72" a="1"/>
  <c r="GS33" i="72" s="1"/>
  <c r="GT33" i="72" s="1"/>
  <c r="GS31" i="72" a="1"/>
  <c r="GS31" i="72" s="1"/>
  <c r="GS28" i="72" a="1"/>
  <c r="GS28" i="72" s="1"/>
  <c r="GS18" i="72" a="1"/>
  <c r="GS18" i="72" s="1"/>
  <c r="GS24" i="72" a="1"/>
  <c r="GS24" i="72" s="1"/>
  <c r="GT24" i="72" s="1"/>
  <c r="GS21" i="72" a="1"/>
  <c r="GS21" i="72" s="1"/>
  <c r="GS19" i="72" a="1"/>
  <c r="GS19" i="72" s="1"/>
  <c r="GS27" i="72" a="1"/>
  <c r="GS27" i="72" s="1"/>
  <c r="BK14" i="72" a="1"/>
  <c r="BK14" i="72" s="1"/>
  <c r="BK31" i="72" a="1"/>
  <c r="BK31" i="72" s="1"/>
  <c r="BK24" i="72" a="1"/>
  <c r="BK24" i="72" s="1"/>
  <c r="BK32" i="72" a="1"/>
  <c r="BK32" i="72" s="1"/>
  <c r="BK20" i="72" a="1"/>
  <c r="BK20" i="72" s="1"/>
  <c r="BK15" i="72" a="1"/>
  <c r="BK15" i="72" s="1"/>
  <c r="BK28" i="72" a="1"/>
  <c r="BK28" i="72" s="1"/>
  <c r="BK34" i="72" a="1"/>
  <c r="BK34" i="72" s="1"/>
  <c r="BK18" i="72" a="1"/>
  <c r="BK18" i="72" s="1"/>
  <c r="BL18" i="72" s="1"/>
  <c r="BK17" i="72" a="1"/>
  <c r="BK17" i="72" s="1"/>
  <c r="BK16" i="72" a="1"/>
  <c r="BK16" i="72" s="1"/>
  <c r="BK19" i="72" a="1"/>
  <c r="BK19" i="72" s="1"/>
  <c r="BK30" i="72" a="1"/>
  <c r="BK30" i="72" s="1"/>
  <c r="BL30" i="72" s="1"/>
  <c r="BK33" i="72" a="1"/>
  <c r="BK33" i="72" s="1"/>
  <c r="BK25" i="72" a="1"/>
  <c r="BK25" i="72" s="1"/>
  <c r="BK29" i="72" a="1"/>
  <c r="BK29" i="72" s="1"/>
  <c r="BK26" i="72" a="1"/>
  <c r="BK26" i="72" s="1"/>
  <c r="BL26" i="72" s="1"/>
  <c r="BK27" i="72" a="1"/>
  <c r="BK27" i="72" s="1"/>
  <c r="BK23" i="72" a="1"/>
  <c r="BK23" i="72" s="1"/>
  <c r="BL23" i="72" s="1"/>
  <c r="BK22" i="72" a="1"/>
  <c r="BK22" i="72" s="1"/>
  <c r="BK21" i="72" a="1"/>
  <c r="BK21" i="72" s="1"/>
  <c r="BL21" i="72" s="1"/>
  <c r="IM18" i="72" a="1"/>
  <c r="IM18" i="72" s="1"/>
  <c r="IM24" i="72" a="1"/>
  <c r="IM24" i="72" s="1"/>
  <c r="IM23" i="72" a="1"/>
  <c r="IM23" i="72" s="1"/>
  <c r="IM27" i="72" a="1"/>
  <c r="IM27" i="72" s="1"/>
  <c r="IN27" i="72" s="1"/>
  <c r="IM26" i="72" a="1"/>
  <c r="IM26" i="72" s="1"/>
  <c r="IN26" i="72" s="1"/>
  <c r="IM22" i="72" a="1"/>
  <c r="IM22" i="72" s="1"/>
  <c r="IM14" i="72" a="1"/>
  <c r="IM14" i="72" s="1"/>
  <c r="IN14" i="72" s="1"/>
  <c r="IM32" i="72" a="1"/>
  <c r="IM32" i="72" s="1"/>
  <c r="IN32" i="72" s="1"/>
  <c r="IM30" i="72" a="1"/>
  <c r="IM30" i="72" s="1"/>
  <c r="IM25" i="72" a="1"/>
  <c r="IM25" i="72" s="1"/>
  <c r="IM17" i="72" a="1"/>
  <c r="IM17" i="72" s="1"/>
  <c r="IM33" i="72" a="1"/>
  <c r="IM33" i="72" s="1"/>
  <c r="IN33" i="72" s="1"/>
  <c r="IM21" i="72" a="1"/>
  <c r="IM21" i="72" s="1"/>
  <c r="IN21" i="72" s="1"/>
  <c r="IM34" i="72" a="1"/>
  <c r="IM34" i="72" s="1"/>
  <c r="IN34" i="72" s="1"/>
  <c r="IM31" i="72" a="1"/>
  <c r="IM31" i="72" s="1"/>
  <c r="IN31" i="72" s="1"/>
  <c r="IM16" i="72" a="1"/>
  <c r="IM16" i="72" s="1"/>
  <c r="IN16" i="72" s="1"/>
  <c r="IM19" i="72" a="1"/>
  <c r="IM19" i="72" s="1"/>
  <c r="IM20" i="72" a="1"/>
  <c r="IM20" i="72" s="1"/>
  <c r="IM29" i="72" a="1"/>
  <c r="IM29" i="72" s="1"/>
  <c r="IM15" i="72" a="1"/>
  <c r="IM15" i="72" s="1"/>
  <c r="IN15" i="72" s="1"/>
  <c r="IM28" i="72" a="1"/>
  <c r="IM28" i="72" s="1"/>
  <c r="IN28" i="72" s="1"/>
  <c r="JJ15" i="72" a="1"/>
  <c r="JJ15" i="72" s="1"/>
  <c r="JK15" i="72" s="1"/>
  <c r="JJ16" i="72" a="1"/>
  <c r="JJ16" i="72" s="1"/>
  <c r="JK16" i="72" s="1"/>
  <c r="JJ25" i="72" a="1"/>
  <c r="JJ25" i="72" s="1"/>
  <c r="JK25" i="72" s="1"/>
  <c r="JJ26" i="72" a="1"/>
  <c r="JJ26" i="72" s="1"/>
  <c r="JJ24" i="72" a="1"/>
  <c r="JJ24" i="72" s="1"/>
  <c r="JJ21" i="72" a="1"/>
  <c r="JJ21" i="72" s="1"/>
  <c r="JK21" i="72" s="1"/>
  <c r="JJ27" i="72" a="1"/>
  <c r="JJ27" i="72" s="1"/>
  <c r="JK27" i="72" s="1"/>
  <c r="JJ34" i="72" a="1"/>
  <c r="JJ34" i="72" s="1"/>
  <c r="JK34" i="72" s="1"/>
  <c r="JJ33" i="72" a="1"/>
  <c r="JJ33" i="72" s="1"/>
  <c r="JK33" i="72" s="1"/>
  <c r="JJ23" i="72" a="1"/>
  <c r="JJ23" i="72" s="1"/>
  <c r="JK23" i="72" s="1"/>
  <c r="JJ22" i="72" a="1"/>
  <c r="JJ22" i="72" s="1"/>
  <c r="JK22" i="72" s="1"/>
  <c r="JJ14" i="72" a="1"/>
  <c r="JJ14" i="72" s="1"/>
  <c r="JJ29" i="72" a="1"/>
  <c r="JJ29" i="72" s="1"/>
  <c r="JK29" i="72" s="1"/>
  <c r="JJ31" i="72" a="1"/>
  <c r="JJ31" i="72" s="1"/>
  <c r="JK31" i="72" s="1"/>
  <c r="JJ17" i="72" a="1"/>
  <c r="JJ17" i="72" s="1"/>
  <c r="JK17" i="72" s="1"/>
  <c r="JJ20" i="72" a="1"/>
  <c r="JJ20" i="72" s="1"/>
  <c r="JK20" i="72" s="1"/>
  <c r="JJ18" i="72" a="1"/>
  <c r="JJ18" i="72" s="1"/>
  <c r="JK18" i="72" s="1"/>
  <c r="JJ32" i="72" a="1"/>
  <c r="JJ32" i="72" s="1"/>
  <c r="JK32" i="72" s="1"/>
  <c r="JJ28" i="72" a="1"/>
  <c r="JJ28" i="72" s="1"/>
  <c r="JK28" i="72" s="1"/>
  <c r="JJ30" i="72" a="1"/>
  <c r="JJ30" i="72" s="1"/>
  <c r="JJ19" i="72" a="1"/>
  <c r="JJ19" i="72" s="1"/>
  <c r="JK19" i="72" s="1"/>
  <c r="DE20" i="72" a="1"/>
  <c r="DE20" i="72" s="1"/>
  <c r="DF20" i="72" s="1"/>
  <c r="DE29" i="72" a="1"/>
  <c r="DE29" i="72" s="1"/>
  <c r="DF29" i="72" s="1"/>
  <c r="DE18" i="72" a="1"/>
  <c r="DE18" i="72" s="1"/>
  <c r="DF18" i="72" s="1"/>
  <c r="DE31" i="72" a="1"/>
  <c r="DE31" i="72" s="1"/>
  <c r="DF31" i="72" s="1"/>
  <c r="DE27" i="72" a="1"/>
  <c r="DE27" i="72" s="1"/>
  <c r="DF27" i="72" s="1"/>
  <c r="DE26" i="72" a="1"/>
  <c r="DE26" i="72" s="1"/>
  <c r="DF26" i="72" s="1"/>
  <c r="DE22" i="72" a="1"/>
  <c r="DE22" i="72" s="1"/>
  <c r="DF22" i="72" s="1"/>
  <c r="DE17" i="72" a="1"/>
  <c r="DE17" i="72" s="1"/>
  <c r="DF17" i="72" s="1"/>
  <c r="DE30" i="72" a="1"/>
  <c r="DE30" i="72" s="1"/>
  <c r="DF30" i="72" s="1"/>
  <c r="DE32" i="72" a="1"/>
  <c r="DE32" i="72" s="1"/>
  <c r="DF32" i="72" s="1"/>
  <c r="DE14" i="72" a="1"/>
  <c r="DE14" i="72" s="1"/>
  <c r="DF14" i="72" s="1"/>
  <c r="DE25" i="72" a="1"/>
  <c r="DE25" i="72" s="1"/>
  <c r="DF25" i="72" s="1"/>
  <c r="DE15" i="72" a="1"/>
  <c r="DE15" i="72" s="1"/>
  <c r="DF15" i="72" s="1"/>
  <c r="DE28" i="72" a="1"/>
  <c r="DE28" i="72" s="1"/>
  <c r="DF28" i="72" s="1"/>
  <c r="DE21" i="72" a="1"/>
  <c r="DE21" i="72" s="1"/>
  <c r="DF21" i="72" s="1"/>
  <c r="DE33" i="72" a="1"/>
  <c r="DE33" i="72" s="1"/>
  <c r="DF33" i="72" s="1"/>
  <c r="DE16" i="72" a="1"/>
  <c r="DE16" i="72" s="1"/>
  <c r="DF16" i="72" s="1"/>
  <c r="DE24" i="72" a="1"/>
  <c r="DE24" i="72" s="1"/>
  <c r="DF24" i="72" s="1"/>
  <c r="DE34" i="72" a="1"/>
  <c r="DE34" i="72" s="1"/>
  <c r="DF34" i="72" s="1"/>
  <c r="DE19" i="72" a="1"/>
  <c r="DE19" i="72" s="1"/>
  <c r="DF19" i="72" s="1"/>
  <c r="DE23" i="72" a="1"/>
  <c r="DE23" i="72" s="1"/>
  <c r="DF23" i="72" s="1"/>
  <c r="EP5" i="72"/>
  <c r="FM5" i="72"/>
  <c r="JK26" i="72"/>
  <c r="JK24" i="72"/>
  <c r="JK14" i="72"/>
  <c r="IN23" i="72"/>
  <c r="IN18" i="72"/>
  <c r="IN29" i="72"/>
  <c r="IN19" i="72"/>
  <c r="IN17" i="72"/>
  <c r="IN22" i="72"/>
  <c r="IN25" i="72"/>
  <c r="IN24" i="72"/>
  <c r="HQ32" i="72"/>
  <c r="HQ28" i="72"/>
  <c r="HQ15" i="72"/>
  <c r="HQ17" i="72"/>
  <c r="HQ25" i="72"/>
  <c r="HQ33" i="72"/>
  <c r="HQ14" i="72"/>
  <c r="HQ27" i="72"/>
  <c r="HQ21" i="72"/>
  <c r="HQ31" i="72"/>
  <c r="GT19" i="72"/>
  <c r="GT28" i="72"/>
  <c r="GT31" i="72"/>
  <c r="GT14" i="72"/>
  <c r="GT20" i="72"/>
  <c r="GT26" i="72"/>
  <c r="GT27" i="72"/>
  <c r="GT34" i="72"/>
  <c r="GT21" i="72"/>
  <c r="GT32" i="72"/>
  <c r="GT25" i="72"/>
  <c r="FW33" i="72"/>
  <c r="FW32" i="72"/>
  <c r="FW20" i="72"/>
  <c r="FW17" i="72"/>
  <c r="FW34" i="72"/>
  <c r="FW30" i="72"/>
  <c r="FW16" i="72"/>
  <c r="FW21" i="72"/>
  <c r="FW27" i="72"/>
  <c r="FW14" i="72"/>
  <c r="FW24" i="72"/>
  <c r="FW18" i="72"/>
  <c r="FW23" i="72"/>
  <c r="FW26" i="72"/>
  <c r="EZ18" i="72"/>
  <c r="EZ28" i="72"/>
  <c r="EZ24" i="72"/>
  <c r="EZ16" i="72"/>
  <c r="EZ25" i="72"/>
  <c r="EZ19" i="72"/>
  <c r="EZ29" i="72"/>
  <c r="EZ32" i="72"/>
  <c r="EZ17" i="72"/>
  <c r="EZ22" i="72"/>
  <c r="EZ33" i="72"/>
  <c r="EZ27" i="72"/>
  <c r="EZ20" i="72"/>
  <c r="EZ15" i="72"/>
  <c r="EC22" i="72"/>
  <c r="EC26" i="72"/>
  <c r="EC24" i="72"/>
  <c r="EC30" i="72"/>
  <c r="EC28" i="72"/>
  <c r="EC18" i="72"/>
  <c r="EC33" i="72"/>
  <c r="EC32" i="72"/>
  <c r="EC14" i="72"/>
  <c r="EC20" i="72"/>
  <c r="EC34" i="72"/>
  <c r="EC31" i="72"/>
  <c r="EC23" i="72"/>
  <c r="EC19" i="72"/>
  <c r="EC16" i="72"/>
  <c r="EC29" i="72"/>
  <c r="EC15" i="72"/>
  <c r="EC25" i="72"/>
  <c r="CI25" i="72"/>
  <c r="CI16" i="72"/>
  <c r="CI28" i="72"/>
  <c r="CI34" i="72"/>
  <c r="CI17" i="72"/>
  <c r="CI20" i="72"/>
  <c r="CI31" i="72"/>
  <c r="CI14" i="72"/>
  <c r="CI18" i="72"/>
  <c r="CI24" i="72"/>
  <c r="CI23" i="72"/>
  <c r="CI19" i="72"/>
  <c r="CI32" i="72"/>
  <c r="CI30" i="72"/>
  <c r="CI15" i="72"/>
  <c r="CI26" i="72"/>
  <c r="CI29" i="72"/>
  <c r="BL16" i="72"/>
  <c r="BL20" i="72"/>
  <c r="BL24" i="72"/>
  <c r="BL27" i="72"/>
  <c r="BL31" i="72"/>
  <c r="BL33" i="72"/>
  <c r="BL28" i="72"/>
  <c r="BL25" i="72"/>
  <c r="BL32" i="72"/>
  <c r="BL34" i="72"/>
  <c r="BL17" i="72"/>
  <c r="BL29" i="72"/>
  <c r="BL22" i="72"/>
  <c r="BL15" i="72"/>
  <c r="BL19" i="72"/>
  <c r="JK30" i="72"/>
  <c r="IN30" i="72"/>
  <c r="IN20" i="72"/>
  <c r="HQ22" i="72"/>
  <c r="HQ23" i="72"/>
  <c r="HQ19" i="72"/>
  <c r="HQ18" i="72"/>
  <c r="GT16" i="72"/>
  <c r="FW25" i="72"/>
  <c r="FW15" i="72"/>
  <c r="FW29" i="72"/>
  <c r="EZ26" i="72"/>
  <c r="EZ30" i="72"/>
  <c r="EZ34" i="72"/>
  <c r="EC27" i="72"/>
  <c r="EC17" i="72"/>
  <c r="CI33" i="72"/>
  <c r="CI22" i="72"/>
  <c r="EC21" i="72"/>
  <c r="EZ31" i="72"/>
  <c r="EZ21" i="72"/>
  <c r="HQ20" i="72"/>
  <c r="HQ26" i="72"/>
  <c r="GT18" i="72"/>
  <c r="GT29" i="72"/>
  <c r="GT15" i="72"/>
  <c r="CI21" i="72"/>
  <c r="JA7" i="72"/>
  <c r="JA53" i="72"/>
  <c r="ID7" i="72"/>
  <c r="ID53" i="72"/>
  <c r="HG7" i="72"/>
  <c r="HG53" i="72"/>
  <c r="GJ7" i="72"/>
  <c r="GJ53" i="72"/>
  <c r="FM7" i="72"/>
  <c r="FM53" i="72"/>
  <c r="EP7" i="72"/>
  <c r="EP53" i="72"/>
  <c r="DS7" i="72"/>
  <c r="DS53" i="72"/>
  <c r="CV7" i="72"/>
  <c r="CV53" i="72"/>
  <c r="BY7" i="72"/>
  <c r="BY53" i="72"/>
  <c r="BB48" i="72"/>
  <c r="BB53" i="72"/>
  <c r="K17" i="75"/>
  <c r="D204" i="94" s="1"/>
  <c r="AM7" i="75"/>
  <c r="AN7" i="75" s="1"/>
  <c r="AM6" i="75"/>
  <c r="AN6" i="75" s="1"/>
  <c r="AE8" i="75"/>
  <c r="AM8" i="75"/>
  <c r="V17" i="36"/>
  <c r="T17" i="36"/>
  <c r="U17" i="36"/>
  <c r="J15" i="36"/>
  <c r="AC15" i="36"/>
  <c r="AA15" i="36" s="1"/>
  <c r="J21" i="36"/>
  <c r="AC21" i="36"/>
  <c r="AA21" i="36" s="1"/>
  <c r="J24" i="36"/>
  <c r="AC24" i="36"/>
  <c r="AA24" i="36" s="1"/>
  <c r="J20" i="36"/>
  <c r="AC20" i="36"/>
  <c r="AA20" i="36" s="1"/>
  <c r="J16" i="36"/>
  <c r="AC16" i="36"/>
  <c r="AA16" i="36" s="1"/>
  <c r="AC23" i="36"/>
  <c r="AA23" i="36" s="1"/>
  <c r="J23" i="36"/>
  <c r="AC18" i="36"/>
  <c r="AA18" i="36" s="1"/>
  <c r="J18" i="36"/>
  <c r="AC22" i="36"/>
  <c r="AA22" i="36" s="1"/>
  <c r="J22" i="36"/>
  <c r="AC19" i="36"/>
  <c r="AA19" i="36" s="1"/>
  <c r="J19" i="36"/>
  <c r="P17" i="75"/>
  <c r="Y7" i="75"/>
  <c r="HG48" i="72"/>
  <c r="DS48" i="72"/>
  <c r="GJ48" i="72"/>
  <c r="EP48" i="72"/>
  <c r="ID48" i="72"/>
  <c r="JA48" i="72"/>
  <c r="FM48" i="72"/>
  <c r="CV48" i="72"/>
  <c r="AE9" i="75"/>
  <c r="AE6" i="75"/>
  <c r="AE11" i="75"/>
  <c r="AE14" i="75"/>
  <c r="AE13" i="75"/>
  <c r="AE7" i="75"/>
  <c r="AE12" i="75"/>
  <c r="AE10" i="75"/>
  <c r="AE15" i="75"/>
  <c r="FM47" i="72"/>
  <c r="BY44" i="72"/>
  <c r="BY2" i="72"/>
  <c r="Z7" i="75"/>
  <c r="I16" i="36" s="1"/>
  <c r="AD13" i="70"/>
  <c r="AD17" i="70"/>
  <c r="AD21" i="70"/>
  <c r="AD25" i="70"/>
  <c r="AD29" i="70"/>
  <c r="AD14" i="70"/>
  <c r="AD18" i="70"/>
  <c r="AD22" i="70"/>
  <c r="AD26" i="70"/>
  <c r="AD30" i="70"/>
  <c r="AD11" i="70"/>
  <c r="AD15" i="70"/>
  <c r="AD19" i="70"/>
  <c r="AD23" i="70"/>
  <c r="AD27" i="70"/>
  <c r="AD12" i="70"/>
  <c r="AD16" i="70"/>
  <c r="AD20" i="70"/>
  <c r="F73" i="59" s="1"/>
  <c r="AD24" i="70"/>
  <c r="AD28" i="70"/>
  <c r="BB8" i="72"/>
  <c r="JA8" i="72"/>
  <c r="CV8" i="72"/>
  <c r="JA45" i="72"/>
  <c r="V1" i="72"/>
  <c r="ID8" i="72"/>
  <c r="GJ8" i="72"/>
  <c r="DS8" i="72"/>
  <c r="BY8" i="72"/>
  <c r="EP8" i="72"/>
  <c r="HG8" i="72"/>
  <c r="FM8" i="72"/>
  <c r="JA46" i="72"/>
  <c r="BY48" i="72"/>
  <c r="JA44" i="72"/>
  <c r="BY46" i="72"/>
  <c r="V5" i="72"/>
  <c r="CV46" i="72"/>
  <c r="CV41" i="72"/>
  <c r="CV42" i="72"/>
  <c r="CV39" i="72"/>
  <c r="CV47" i="72"/>
  <c r="CV44" i="72"/>
  <c r="CV38" i="72"/>
  <c r="CV45" i="72"/>
  <c r="CV43" i="72"/>
  <c r="CV40" i="72"/>
  <c r="GJ46" i="72"/>
  <c r="GJ47" i="72"/>
  <c r="GJ42" i="72"/>
  <c r="GJ38" i="72"/>
  <c r="GJ41" i="72"/>
  <c r="GJ39" i="72"/>
  <c r="GJ45" i="72"/>
  <c r="GJ43" i="72"/>
  <c r="GJ40" i="72"/>
  <c r="GJ44" i="72"/>
  <c r="DS44" i="72"/>
  <c r="DS40" i="72"/>
  <c r="DS45" i="72"/>
  <c r="DS43" i="72"/>
  <c r="DS41" i="72"/>
  <c r="DS38" i="72"/>
  <c r="DS52" i="72" s="1"/>
  <c r="DS46" i="72"/>
  <c r="DS42" i="72"/>
  <c r="DS39" i="72"/>
  <c r="DS47" i="72"/>
  <c r="HG44" i="72"/>
  <c r="HG41" i="72"/>
  <c r="HG38" i="72"/>
  <c r="HG45" i="72"/>
  <c r="HG43" i="72"/>
  <c r="HG40" i="72"/>
  <c r="HG47" i="72"/>
  <c r="HG39" i="72"/>
  <c r="HG46" i="72"/>
  <c r="HG42" i="72"/>
  <c r="BB47" i="72"/>
  <c r="BB45" i="72"/>
  <c r="BB46" i="72"/>
  <c r="BB44" i="72"/>
  <c r="BB38" i="72"/>
  <c r="BB43" i="72"/>
  <c r="BB40" i="72"/>
  <c r="BB41" i="72"/>
  <c r="BB39" i="72"/>
  <c r="EP47" i="72"/>
  <c r="EP45" i="72"/>
  <c r="EP43" i="72"/>
  <c r="EP39" i="72"/>
  <c r="EP40" i="72"/>
  <c r="EP46" i="72"/>
  <c r="EP44" i="72"/>
  <c r="EP42" i="72"/>
  <c r="EP41" i="72"/>
  <c r="EP38" i="72"/>
  <c r="ID47" i="72"/>
  <c r="ID45" i="72"/>
  <c r="ID40" i="72"/>
  <c r="ID46" i="72"/>
  <c r="ID44" i="72"/>
  <c r="ID42" i="72"/>
  <c r="ID39" i="72"/>
  <c r="ID41" i="72"/>
  <c r="ID38" i="72"/>
  <c r="ID43" i="72"/>
  <c r="BY43" i="72"/>
  <c r="BY42" i="72"/>
  <c r="BY41" i="72"/>
  <c r="BY40" i="72"/>
  <c r="BY39" i="72"/>
  <c r="BY38" i="72"/>
  <c r="BY47" i="72"/>
  <c r="FM43" i="72"/>
  <c r="FM42" i="72"/>
  <c r="FM41" i="72"/>
  <c r="FM40" i="72"/>
  <c r="FM39" i="72"/>
  <c r="FM38" i="72"/>
  <c r="FM46" i="72"/>
  <c r="FM45" i="72"/>
  <c r="FM44" i="72"/>
  <c r="JA43" i="72"/>
  <c r="JA42" i="72"/>
  <c r="JA41" i="72"/>
  <c r="JA40" i="72"/>
  <c r="JA39" i="72"/>
  <c r="JA38" i="72"/>
  <c r="BY45" i="72"/>
  <c r="JA47" i="72"/>
  <c r="W62" i="33"/>
  <c r="V62" i="33"/>
  <c r="U62" i="33"/>
  <c r="T62" i="33"/>
  <c r="S62" i="33"/>
  <c r="R62" i="33"/>
  <c r="Q62" i="33"/>
  <c r="P62" i="33"/>
  <c r="O62" i="33"/>
  <c r="N62" i="33"/>
  <c r="M62" i="33"/>
  <c r="L62" i="33"/>
  <c r="K62" i="33"/>
  <c r="J62" i="33"/>
  <c r="I62" i="33"/>
  <c r="H62" i="33"/>
  <c r="G62" i="33"/>
  <c r="F62" i="33"/>
  <c r="E62" i="33"/>
  <c r="D62" i="33"/>
  <c r="C62" i="33"/>
  <c r="S145" i="94" l="1"/>
  <c r="M207" i="94" s="1"/>
  <c r="M205" i="94" s="1"/>
  <c r="S199" i="94"/>
  <c r="GZ29" i="72" a="1"/>
  <c r="GZ29" i="72" s="1"/>
  <c r="GY29" i="72" a="1"/>
  <c r="GY29" i="72" s="1"/>
  <c r="HB29" i="72" a="1"/>
  <c r="HB29" i="72" s="1"/>
  <c r="GG29" i="72" a="1"/>
  <c r="GG29" i="72" s="1"/>
  <c r="GX29" i="72" a="1"/>
  <c r="GX29" i="72" s="1"/>
  <c r="GW29" i="72" a="1"/>
  <c r="GW29" i="72" s="1"/>
  <c r="GV29" i="72" a="1"/>
  <c r="GV29" i="72" s="1"/>
  <c r="GU29" i="72" a="1"/>
  <c r="GU29" i="72" s="1"/>
  <c r="HA29" i="72" a="1"/>
  <c r="HA29" i="72" s="1"/>
  <c r="CP22" i="72" a="1"/>
  <c r="CP22" i="72" s="1"/>
  <c r="CL22" i="72" a="1"/>
  <c r="CL22" i="72" s="1"/>
  <c r="CQ22" i="72" a="1"/>
  <c r="CQ22" i="72" s="1"/>
  <c r="CO22" i="72" a="1"/>
  <c r="CO22" i="72" s="1"/>
  <c r="CJ22" i="72" a="1"/>
  <c r="CJ22" i="72" s="1"/>
  <c r="CK22" i="72" a="1"/>
  <c r="CK22" i="72" s="1"/>
  <c r="BV22" i="72" a="1"/>
  <c r="BV22" i="72" s="1"/>
  <c r="CN22" i="72" a="1"/>
  <c r="CN22" i="72" s="1"/>
  <c r="CM22" i="72" a="1"/>
  <c r="CM22" i="72" s="1"/>
  <c r="FD30" i="72" a="1"/>
  <c r="FD30" i="72" s="1"/>
  <c r="FF30" i="72" a="1"/>
  <c r="FF30" i="72" s="1"/>
  <c r="FC30" i="72" a="1"/>
  <c r="FC30" i="72" s="1"/>
  <c r="FH30" i="72" a="1"/>
  <c r="FH30" i="72" s="1"/>
  <c r="FB30" i="72" a="1"/>
  <c r="FB30" i="72" s="1"/>
  <c r="FG30" i="72" a="1"/>
  <c r="FG30" i="72" s="1"/>
  <c r="FA30" i="72" a="1"/>
  <c r="FA30" i="72" s="1"/>
  <c r="EM30" i="72" a="1"/>
  <c r="EM30" i="72" s="1"/>
  <c r="FE30" i="72" a="1"/>
  <c r="FE30" i="72" s="1"/>
  <c r="HY18" i="72" a="1"/>
  <c r="HY18" i="72" s="1"/>
  <c r="HD18" i="72" a="1"/>
  <c r="HD18" i="72" s="1"/>
  <c r="HX18" i="72" a="1"/>
  <c r="HX18" i="72" s="1"/>
  <c r="HW18" i="72" a="1"/>
  <c r="HW18" i="72" s="1"/>
  <c r="HV18" i="72" a="1"/>
  <c r="HV18" i="72" s="1"/>
  <c r="HT18" i="72" a="1"/>
  <c r="HT18" i="72" s="1"/>
  <c r="HS18" i="72" a="1"/>
  <c r="HS18" i="72" s="1"/>
  <c r="HR18" i="72" a="1"/>
  <c r="HR18" i="72" s="1"/>
  <c r="HU18" i="72" a="1"/>
  <c r="HU18" i="72" s="1"/>
  <c r="IU20" i="72" a="1"/>
  <c r="IU20" i="72" s="1"/>
  <c r="IP20" i="72" a="1"/>
  <c r="IP20" i="72" s="1"/>
  <c r="IO20" i="72" a="1"/>
  <c r="IO20" i="72" s="1"/>
  <c r="IV20" i="72" a="1"/>
  <c r="IV20" i="72" s="1"/>
  <c r="IT20" i="72" a="1"/>
  <c r="IT20" i="72" s="1"/>
  <c r="IA20" i="72" a="1"/>
  <c r="IA20" i="72" s="1"/>
  <c r="IS20" i="72" a="1"/>
  <c r="IS20" i="72" s="1"/>
  <c r="IR20" i="72" a="1"/>
  <c r="IR20" i="72" s="1"/>
  <c r="IQ20" i="72" a="1"/>
  <c r="IQ20" i="72" s="1"/>
  <c r="BM19" i="72" a="1"/>
  <c r="BM19" i="72" s="1"/>
  <c r="BT19" i="72" a="1"/>
  <c r="BT19" i="72" s="1"/>
  <c r="AY19" i="72" a="1"/>
  <c r="AY19" i="72" s="1"/>
  <c r="BS19" i="72" a="1"/>
  <c r="BS19" i="72" s="1"/>
  <c r="BN19" i="72" a="1"/>
  <c r="BN19" i="72" s="1"/>
  <c r="BR19" i="72" a="1"/>
  <c r="BR19" i="72" s="1"/>
  <c r="BQ19" i="72" a="1"/>
  <c r="BQ19" i="72" s="1"/>
  <c r="BP19" i="72" a="1"/>
  <c r="BP19" i="72" s="1"/>
  <c r="BO19" i="72" a="1"/>
  <c r="BO19" i="72" s="1"/>
  <c r="BR28" i="72" a="1"/>
  <c r="BR28" i="72" s="1"/>
  <c r="BM28" i="72" a="1"/>
  <c r="BM28" i="72" s="1"/>
  <c r="BQ28" i="72" a="1"/>
  <c r="BQ28" i="72" s="1"/>
  <c r="BP28" i="72" a="1"/>
  <c r="BP28" i="72" s="1"/>
  <c r="BT28" i="72" a="1"/>
  <c r="BT28" i="72" s="1"/>
  <c r="AY28" i="72" a="1"/>
  <c r="AY28" i="72" s="1"/>
  <c r="BO28" i="72" a="1"/>
  <c r="BO28" i="72" s="1"/>
  <c r="BS28" i="72" a="1"/>
  <c r="BS28" i="72" s="1"/>
  <c r="BN28" i="72" a="1"/>
  <c r="BN28" i="72" s="1"/>
  <c r="BS20" i="72" a="1"/>
  <c r="BS20" i="72" s="1"/>
  <c r="BO20" i="72" a="1"/>
  <c r="BO20" i="72" s="1"/>
  <c r="AY20" i="72" a="1"/>
  <c r="AY20" i="72" s="1"/>
  <c r="BP20" i="72" a="1"/>
  <c r="BP20" i="72" s="1"/>
  <c r="BT20" i="72" a="1"/>
  <c r="BT20" i="72" s="1"/>
  <c r="BN20" i="72" a="1"/>
  <c r="BN20" i="72" s="1"/>
  <c r="BR20" i="72" a="1"/>
  <c r="BR20" i="72" s="1"/>
  <c r="BM20" i="72" a="1"/>
  <c r="BM20" i="72" s="1"/>
  <c r="BQ20" i="72" a="1"/>
  <c r="BQ20" i="72" s="1"/>
  <c r="CP32" i="72" a="1"/>
  <c r="CP32" i="72" s="1"/>
  <c r="CL32" i="72" a="1"/>
  <c r="CL32" i="72" s="1"/>
  <c r="BV32" i="72" a="1"/>
  <c r="BV32" i="72" s="1"/>
  <c r="CJ32" i="72" a="1"/>
  <c r="CJ32" i="72" s="1"/>
  <c r="CQ32" i="72" a="1"/>
  <c r="CQ32" i="72" s="1"/>
  <c r="CO32" i="72" a="1"/>
  <c r="CO32" i="72" s="1"/>
  <c r="CN32" i="72" a="1"/>
  <c r="CN32" i="72" s="1"/>
  <c r="CM32" i="72" a="1"/>
  <c r="CM32" i="72" s="1"/>
  <c r="CK32" i="72" a="1"/>
  <c r="CK32" i="72" s="1"/>
  <c r="CQ17" i="72" a="1"/>
  <c r="CQ17" i="72" s="1"/>
  <c r="BV17" i="72" a="1"/>
  <c r="BV17" i="72" s="1"/>
  <c r="CO17" i="72" a="1"/>
  <c r="CO17" i="72" s="1"/>
  <c r="CN17" i="72" a="1"/>
  <c r="CN17" i="72" s="1"/>
  <c r="CM17" i="72" a="1"/>
  <c r="CM17" i="72" s="1"/>
  <c r="CL17" i="72" a="1"/>
  <c r="CL17" i="72" s="1"/>
  <c r="CP17" i="72" a="1"/>
  <c r="CP17" i="72" s="1"/>
  <c r="CJ17" i="72" a="1"/>
  <c r="CJ17" i="72" s="1"/>
  <c r="CK17" i="72" a="1"/>
  <c r="CK17" i="72" s="1"/>
  <c r="DJ28" i="72" a="1"/>
  <c r="DJ28" i="72" s="1"/>
  <c r="DN28" i="72" a="1"/>
  <c r="DN28" i="72" s="1"/>
  <c r="CS28" i="72" a="1"/>
  <c r="CS28" i="72" s="1"/>
  <c r="DI28" i="72" a="1"/>
  <c r="DI28" i="72" s="1"/>
  <c r="DM28" i="72" a="1"/>
  <c r="DM28" i="72" s="1"/>
  <c r="DH28" i="72" a="1"/>
  <c r="DH28" i="72" s="1"/>
  <c r="DL28" i="72" a="1"/>
  <c r="DL28" i="72" s="1"/>
  <c r="DG28" i="72" a="1"/>
  <c r="DG28" i="72" s="1"/>
  <c r="DK28" i="72" a="1"/>
  <c r="DK28" i="72" s="1"/>
  <c r="DK33" i="72" a="1"/>
  <c r="DK33" i="72" s="1"/>
  <c r="DG33" i="72" a="1"/>
  <c r="DG33" i="72" s="1"/>
  <c r="DI33" i="72" a="1"/>
  <c r="DI33" i="72" s="1"/>
  <c r="DL33" i="72" a="1"/>
  <c r="DL33" i="72" s="1"/>
  <c r="DJ33" i="72" a="1"/>
  <c r="DJ33" i="72" s="1"/>
  <c r="DH33" i="72" a="1"/>
  <c r="DH33" i="72" s="1"/>
  <c r="CS33" i="72" a="1"/>
  <c r="CS33" i="72" s="1"/>
  <c r="DN33" i="72" a="1"/>
  <c r="DN33" i="72" s="1"/>
  <c r="DM33" i="72" a="1"/>
  <c r="DM33" i="72" s="1"/>
  <c r="EG29" i="72" a="1"/>
  <c r="EG29" i="72" s="1"/>
  <c r="EF29" i="72" a="1"/>
  <c r="EF29" i="72" s="1"/>
  <c r="EJ29" i="72" a="1"/>
  <c r="EJ29" i="72" s="1"/>
  <c r="EI29" i="72" a="1"/>
  <c r="EI29" i="72" s="1"/>
  <c r="EK29" i="72" a="1"/>
  <c r="EK29" i="72" s="1"/>
  <c r="DP29" i="72" a="1"/>
  <c r="DP29" i="72" s="1"/>
  <c r="EH29" i="72" a="1"/>
  <c r="EH29" i="72" s="1"/>
  <c r="EE29" i="72" a="1"/>
  <c r="EE29" i="72" s="1"/>
  <c r="ED29" i="72" a="1"/>
  <c r="ED29" i="72" s="1"/>
  <c r="EJ32" i="72" a="1"/>
  <c r="EJ32" i="72" s="1"/>
  <c r="EF32" i="72" a="1"/>
  <c r="EF32" i="72" s="1"/>
  <c r="DP32" i="72" a="1"/>
  <c r="DP32" i="72" s="1"/>
  <c r="EH32" i="72" a="1"/>
  <c r="EH32" i="72" s="1"/>
  <c r="EI32" i="72" a="1"/>
  <c r="EI32" i="72" s="1"/>
  <c r="EG32" i="72" a="1"/>
  <c r="EG32" i="72" s="1"/>
  <c r="EE32" i="72" a="1"/>
  <c r="EE32" i="72" s="1"/>
  <c r="ED32" i="72" a="1"/>
  <c r="ED32" i="72" s="1"/>
  <c r="EK32" i="72" a="1"/>
  <c r="EK32" i="72" s="1"/>
  <c r="FE14" i="72" a="1"/>
  <c r="FE14" i="72" s="1"/>
  <c r="FA14" i="72" a="1"/>
  <c r="FA14" i="72" s="1"/>
  <c r="FC14" i="72" a="1"/>
  <c r="FC14" i="72" s="1"/>
  <c r="FF14" i="72" a="1"/>
  <c r="FF14" i="72" s="1"/>
  <c r="FH14" i="72" a="1"/>
  <c r="FH14" i="72" s="1"/>
  <c r="FD14" i="72" a="1"/>
  <c r="FD14" i="72" s="1"/>
  <c r="FG14" i="72" a="1"/>
  <c r="FG14" i="72" s="1"/>
  <c r="EM14" i="72" a="1"/>
  <c r="EM14" i="72" s="1"/>
  <c r="FB14" i="72" a="1"/>
  <c r="FB14" i="72" s="1"/>
  <c r="FE32" i="72" a="1"/>
  <c r="FE32" i="72" s="1"/>
  <c r="FA32" i="72" a="1"/>
  <c r="FA32" i="72" s="1"/>
  <c r="FC32" i="72" a="1"/>
  <c r="FC32" i="72" s="1"/>
  <c r="FH32" i="72" a="1"/>
  <c r="FH32" i="72" s="1"/>
  <c r="FG32" i="72" a="1"/>
  <c r="FG32" i="72" s="1"/>
  <c r="FF32" i="72" a="1"/>
  <c r="FF32" i="72" s="1"/>
  <c r="FD32" i="72" a="1"/>
  <c r="FD32" i="72" s="1"/>
  <c r="FB32" i="72" a="1"/>
  <c r="FB32" i="72" s="1"/>
  <c r="EM32" i="72" a="1"/>
  <c r="EM32" i="72" s="1"/>
  <c r="GB26" i="72" a="1"/>
  <c r="GB26" i="72" s="1"/>
  <c r="GA26" i="72" a="1"/>
  <c r="GA26" i="72" s="1"/>
  <c r="FJ26" i="72" a="1"/>
  <c r="FJ26" i="72" s="1"/>
  <c r="GE26" i="72" a="1"/>
  <c r="GE26" i="72" s="1"/>
  <c r="FZ26" i="72" a="1"/>
  <c r="FZ26" i="72" s="1"/>
  <c r="GD26" i="72" a="1"/>
  <c r="GD26" i="72" s="1"/>
  <c r="FY26" i="72" a="1"/>
  <c r="FY26" i="72" s="1"/>
  <c r="GC26" i="72" a="1"/>
  <c r="GC26" i="72" s="1"/>
  <c r="FX26" i="72" a="1"/>
  <c r="FX26" i="72" s="1"/>
  <c r="GE30" i="72" a="1"/>
  <c r="GE30" i="72" s="1"/>
  <c r="FJ30" i="72" a="1"/>
  <c r="FJ30" i="72" s="1"/>
  <c r="GB30" i="72" a="1"/>
  <c r="GB30" i="72" s="1"/>
  <c r="GA30" i="72" a="1"/>
  <c r="GA30" i="72" s="1"/>
  <c r="FZ30" i="72" a="1"/>
  <c r="FZ30" i="72" s="1"/>
  <c r="FY30" i="72" a="1"/>
  <c r="FY30" i="72" s="1"/>
  <c r="GD30" i="72" a="1"/>
  <c r="GD30" i="72" s="1"/>
  <c r="GC30" i="72" a="1"/>
  <c r="GC30" i="72" s="1"/>
  <c r="FX30" i="72" a="1"/>
  <c r="FX30" i="72" s="1"/>
  <c r="GD22" i="72" a="1"/>
  <c r="GD22" i="72" s="1"/>
  <c r="FZ22" i="72" a="1"/>
  <c r="FZ22" i="72" s="1"/>
  <c r="FJ22" i="72" a="1"/>
  <c r="FJ22" i="72" s="1"/>
  <c r="GC22" i="72" a="1"/>
  <c r="GC22" i="72" s="1"/>
  <c r="FX22" i="72" a="1"/>
  <c r="FX22" i="72" s="1"/>
  <c r="GA22" i="72" a="1"/>
  <c r="GA22" i="72" s="1"/>
  <c r="GB22" i="72" a="1"/>
  <c r="GB22" i="72" s="1"/>
  <c r="FY22" i="72" a="1"/>
  <c r="FY22" i="72" s="1"/>
  <c r="GE22" i="72" a="1"/>
  <c r="GE22" i="72" s="1"/>
  <c r="GX27" i="72" a="1"/>
  <c r="GX27" i="72" s="1"/>
  <c r="HB27" i="72" a="1"/>
  <c r="HB27" i="72" s="1"/>
  <c r="GG27" i="72" a="1"/>
  <c r="GG27" i="72" s="1"/>
  <c r="GW27" i="72" a="1"/>
  <c r="GW27" i="72" s="1"/>
  <c r="HA27" i="72" a="1"/>
  <c r="HA27" i="72" s="1"/>
  <c r="GV27" i="72" a="1"/>
  <c r="GV27" i="72" s="1"/>
  <c r="GZ27" i="72" a="1"/>
  <c r="GZ27" i="72" s="1"/>
  <c r="GU27" i="72" a="1"/>
  <c r="GU27" i="72" s="1"/>
  <c r="GY27" i="72" a="1"/>
  <c r="GY27" i="72" s="1"/>
  <c r="HA19" i="72" a="1"/>
  <c r="HA19" i="72" s="1"/>
  <c r="GW19" i="72" a="1"/>
  <c r="GW19" i="72" s="1"/>
  <c r="GG19" i="72" a="1"/>
  <c r="GG19" i="72" s="1"/>
  <c r="GZ19" i="72" a="1"/>
  <c r="GZ19" i="72" s="1"/>
  <c r="GU19" i="72" a="1"/>
  <c r="GU19" i="72" s="1"/>
  <c r="GY19" i="72" a="1"/>
  <c r="GY19" i="72" s="1"/>
  <c r="HB19" i="72" a="1"/>
  <c r="HB19" i="72" s="1"/>
  <c r="GX19" i="72" a="1"/>
  <c r="GX19" i="72" s="1"/>
  <c r="GV19" i="72" a="1"/>
  <c r="GV19" i="72" s="1"/>
  <c r="HU24" i="72" a="1"/>
  <c r="HU24" i="72" s="1"/>
  <c r="HD24" i="72" a="1"/>
  <c r="HD24" i="72" s="1"/>
  <c r="HY24" i="72" a="1"/>
  <c r="HY24" i="72" s="1"/>
  <c r="HT24" i="72" a="1"/>
  <c r="HT24" i="72" s="1"/>
  <c r="HX24" i="72" a="1"/>
  <c r="HX24" i="72" s="1"/>
  <c r="HS24" i="72" a="1"/>
  <c r="HS24" i="72" s="1"/>
  <c r="HV24" i="72" a="1"/>
  <c r="HV24" i="72" s="1"/>
  <c r="HW24" i="72" a="1"/>
  <c r="HW24" i="72" s="1"/>
  <c r="HR24" i="72" a="1"/>
  <c r="HR24" i="72" s="1"/>
  <c r="IQ24" i="72" a="1"/>
  <c r="IQ24" i="72" s="1"/>
  <c r="IU24" i="72" a="1"/>
  <c r="IU24" i="72" s="1"/>
  <c r="IP24" i="72" a="1"/>
  <c r="IP24" i="72" s="1"/>
  <c r="IT24" i="72" a="1"/>
  <c r="IT24" i="72" s="1"/>
  <c r="IO24" i="72" a="1"/>
  <c r="IO24" i="72" s="1"/>
  <c r="IR24" i="72" a="1"/>
  <c r="IR24" i="72" s="1"/>
  <c r="IA24" i="72" a="1"/>
  <c r="IA24" i="72" s="1"/>
  <c r="IV24" i="72" a="1"/>
  <c r="IV24" i="72" s="1"/>
  <c r="IS24" i="72" a="1"/>
  <c r="IS24" i="72" s="1"/>
  <c r="IS32" i="72" a="1"/>
  <c r="IS32" i="72" s="1"/>
  <c r="IO32" i="72" a="1"/>
  <c r="IO32" i="72" s="1"/>
  <c r="IQ32" i="72" a="1"/>
  <c r="IQ32" i="72" s="1"/>
  <c r="IU32" i="72" a="1"/>
  <c r="IU32" i="72" s="1"/>
  <c r="IT32" i="72" a="1"/>
  <c r="IT32" i="72" s="1"/>
  <c r="IR32" i="72" a="1"/>
  <c r="IR32" i="72" s="1"/>
  <c r="IP32" i="72" a="1"/>
  <c r="IP32" i="72" s="1"/>
  <c r="IA32" i="72" a="1"/>
  <c r="IA32" i="72" s="1"/>
  <c r="IV32" i="72" a="1"/>
  <c r="IV32" i="72" s="1"/>
  <c r="JS14" i="72" a="1"/>
  <c r="JS14" i="72" s="1"/>
  <c r="JO14" i="72" a="1"/>
  <c r="JO14" i="72" s="1"/>
  <c r="JR14" i="72" a="1"/>
  <c r="JR14" i="72" s="1"/>
  <c r="JN14" i="72" a="1"/>
  <c r="JN14" i="72" s="1"/>
  <c r="IX14" i="72" a="1"/>
  <c r="IX14" i="72" s="1"/>
  <c r="JL14" i="72" a="1"/>
  <c r="JL14" i="72" s="1"/>
  <c r="JQ14" i="72" a="1"/>
  <c r="JQ14" i="72" s="1"/>
  <c r="JM14" i="72" a="1"/>
  <c r="JM14" i="72" s="1"/>
  <c r="JP14" i="72" a="1"/>
  <c r="JP14" i="72" s="1"/>
  <c r="JM27" i="72" a="1"/>
  <c r="JM27" i="72" s="1"/>
  <c r="JQ27" i="72" a="1"/>
  <c r="JQ27" i="72" s="1"/>
  <c r="JL27" i="72" a="1"/>
  <c r="JL27" i="72" s="1"/>
  <c r="JP27" i="72" a="1"/>
  <c r="JP27" i="72" s="1"/>
  <c r="JO27" i="72" a="1"/>
  <c r="JO27" i="72" s="1"/>
  <c r="IX27" i="72" a="1"/>
  <c r="IX27" i="72" s="1"/>
  <c r="JS27" i="72" a="1"/>
  <c r="JS27" i="72" s="1"/>
  <c r="JN27" i="72" a="1"/>
  <c r="JN27" i="72" s="1"/>
  <c r="JR27" i="72" a="1"/>
  <c r="JR27" i="72" s="1"/>
  <c r="HB18" i="72" a="1"/>
  <c r="HB18" i="72" s="1"/>
  <c r="GG18" i="72" a="1"/>
  <c r="GG18" i="72" s="1"/>
  <c r="HA18" i="72" a="1"/>
  <c r="HA18" i="72" s="1"/>
  <c r="GV18" i="72" a="1"/>
  <c r="GV18" i="72" s="1"/>
  <c r="GU18" i="72" a="1"/>
  <c r="GU18" i="72" s="1"/>
  <c r="GY18" i="72" a="1"/>
  <c r="GY18" i="72" s="1"/>
  <c r="GX18" i="72" a="1"/>
  <c r="GX18" i="72" s="1"/>
  <c r="GW18" i="72" a="1"/>
  <c r="GW18" i="72" s="1"/>
  <c r="GZ18" i="72" a="1"/>
  <c r="GZ18" i="72" s="1"/>
  <c r="CP33" i="72" a="1"/>
  <c r="CP33" i="72" s="1"/>
  <c r="CL33" i="72" a="1"/>
  <c r="CL33" i="72" s="1"/>
  <c r="BV33" i="72" a="1"/>
  <c r="BV33" i="72" s="1"/>
  <c r="CN33" i="72" a="1"/>
  <c r="CN33" i="72" s="1"/>
  <c r="CK33" i="72" a="1"/>
  <c r="CK33" i="72" s="1"/>
  <c r="CJ33" i="72" a="1"/>
  <c r="CJ33" i="72" s="1"/>
  <c r="CQ33" i="72" a="1"/>
  <c r="CQ33" i="72" s="1"/>
  <c r="CO33" i="72" a="1"/>
  <c r="CO33" i="72" s="1"/>
  <c r="CM33" i="72" a="1"/>
  <c r="CM33" i="72" s="1"/>
  <c r="FF26" i="72" a="1"/>
  <c r="FF26" i="72" s="1"/>
  <c r="FA26" i="72" a="1"/>
  <c r="FA26" i="72" s="1"/>
  <c r="FE26" i="72" a="1"/>
  <c r="FE26" i="72" s="1"/>
  <c r="FD26" i="72" a="1"/>
  <c r="FD26" i="72" s="1"/>
  <c r="FH26" i="72" a="1"/>
  <c r="FH26" i="72" s="1"/>
  <c r="EM26" i="72" a="1"/>
  <c r="EM26" i="72" s="1"/>
  <c r="FC26" i="72" a="1"/>
  <c r="FC26" i="72" s="1"/>
  <c r="FG26" i="72" a="1"/>
  <c r="FG26" i="72" s="1"/>
  <c r="FB26" i="72" a="1"/>
  <c r="FB26" i="72" s="1"/>
  <c r="HV19" i="72" a="1"/>
  <c r="HV19" i="72" s="1"/>
  <c r="HR19" i="72" a="1"/>
  <c r="HR19" i="72" s="1"/>
  <c r="HX19" i="72" a="1"/>
  <c r="HX19" i="72" s="1"/>
  <c r="HS19" i="72" a="1"/>
  <c r="HS19" i="72" s="1"/>
  <c r="HW19" i="72" a="1"/>
  <c r="HW19" i="72" s="1"/>
  <c r="HY19" i="72" a="1"/>
  <c r="HY19" i="72" s="1"/>
  <c r="HU19" i="72" a="1"/>
  <c r="HU19" i="72" s="1"/>
  <c r="HT19" i="72" a="1"/>
  <c r="HT19" i="72" s="1"/>
  <c r="HD19" i="72" a="1"/>
  <c r="HD19" i="72" s="1"/>
  <c r="IO30" i="72" a="1"/>
  <c r="IO30" i="72" s="1"/>
  <c r="IS30" i="72" a="1"/>
  <c r="IS30" i="72" s="1"/>
  <c r="IV30" i="72" a="1"/>
  <c r="IV30" i="72" s="1"/>
  <c r="IA30" i="72" a="1"/>
  <c r="IA30" i="72" s="1"/>
  <c r="IQ30" i="72" a="1"/>
  <c r="IQ30" i="72" s="1"/>
  <c r="IU30" i="72" a="1"/>
  <c r="IU30" i="72" s="1"/>
  <c r="IT30" i="72" a="1"/>
  <c r="IT30" i="72" s="1"/>
  <c r="IR30" i="72" a="1"/>
  <c r="IR30" i="72" s="1"/>
  <c r="IP30" i="72" a="1"/>
  <c r="IP30" i="72" s="1"/>
  <c r="BR15" i="72" a="1"/>
  <c r="BR15" i="72" s="1"/>
  <c r="BN15" i="72" a="1"/>
  <c r="BN15" i="72" s="1"/>
  <c r="BQ15" i="72" a="1"/>
  <c r="BQ15" i="72" s="1"/>
  <c r="BM15" i="72" a="1"/>
  <c r="BM15" i="72" s="1"/>
  <c r="BS15" i="72" a="1"/>
  <c r="BS15" i="72" s="1"/>
  <c r="BO15" i="72" a="1"/>
  <c r="BO15" i="72" s="1"/>
  <c r="BT15" i="72" a="1"/>
  <c r="BT15" i="72" s="1"/>
  <c r="BP15" i="72" a="1"/>
  <c r="BP15" i="72" s="1"/>
  <c r="AY15" i="72" a="1"/>
  <c r="AY15" i="72" s="1"/>
  <c r="BQ33" i="72" a="1"/>
  <c r="BQ33" i="72" s="1"/>
  <c r="BM33" i="72" a="1"/>
  <c r="BM33" i="72" s="1"/>
  <c r="BS33" i="72" a="1"/>
  <c r="BS33" i="72" s="1"/>
  <c r="AY33" i="72" a="1"/>
  <c r="AY33" i="72" s="1"/>
  <c r="BT33" i="72" a="1"/>
  <c r="BT33" i="72" s="1"/>
  <c r="BR33" i="72" a="1"/>
  <c r="BR33" i="72" s="1"/>
  <c r="BP33" i="72" a="1"/>
  <c r="BP33" i="72" s="1"/>
  <c r="BO33" i="72" a="1"/>
  <c r="BO33" i="72" s="1"/>
  <c r="BN33" i="72" a="1"/>
  <c r="BN33" i="72" s="1"/>
  <c r="BR16" i="72" a="1"/>
  <c r="BR16" i="72" s="1"/>
  <c r="BM16" i="72" a="1"/>
  <c r="BM16" i="72" s="1"/>
  <c r="BQ16" i="72" a="1"/>
  <c r="BQ16" i="72" s="1"/>
  <c r="BP16" i="72" a="1"/>
  <c r="BP16" i="72" s="1"/>
  <c r="BT16" i="72" a="1"/>
  <c r="BT16" i="72" s="1"/>
  <c r="AY16" i="72" a="1"/>
  <c r="AY16" i="72" s="1"/>
  <c r="BS16" i="72" a="1"/>
  <c r="BS16" i="72" s="1"/>
  <c r="BN16" i="72" a="1"/>
  <c r="BN16" i="72" s="1"/>
  <c r="BO16" i="72" a="1"/>
  <c r="BO16" i="72" s="1"/>
  <c r="CN19" i="72" a="1"/>
  <c r="CN19" i="72" s="1"/>
  <c r="CQ19" i="72" a="1"/>
  <c r="CQ19" i="72" s="1"/>
  <c r="BV19" i="72" a="1"/>
  <c r="BV19" i="72" s="1"/>
  <c r="CP19" i="72" a="1"/>
  <c r="CP19" i="72" s="1"/>
  <c r="CO19" i="72" a="1"/>
  <c r="CO19" i="72" s="1"/>
  <c r="CM19" i="72" a="1"/>
  <c r="CM19" i="72" s="1"/>
  <c r="CL19" i="72" a="1"/>
  <c r="CL19" i="72" s="1"/>
  <c r="CK19" i="72" a="1"/>
  <c r="CK19" i="72" s="1"/>
  <c r="CJ19" i="72" a="1"/>
  <c r="CJ19" i="72" s="1"/>
  <c r="CP34" i="72" a="1"/>
  <c r="CP34" i="72" s="1"/>
  <c r="CL34" i="72" a="1"/>
  <c r="CL34" i="72" s="1"/>
  <c r="BV34" i="72" a="1"/>
  <c r="BV34" i="72" s="1"/>
  <c r="CJ34" i="72" a="1"/>
  <c r="CJ34" i="72" s="1"/>
  <c r="CN34" i="72" a="1"/>
  <c r="CN34" i="72" s="1"/>
  <c r="CM34" i="72" a="1"/>
  <c r="CM34" i="72" s="1"/>
  <c r="CK34" i="72" a="1"/>
  <c r="CK34" i="72" s="1"/>
  <c r="CQ34" i="72" a="1"/>
  <c r="CQ34" i="72" s="1"/>
  <c r="CO34" i="72" a="1"/>
  <c r="CO34" i="72" s="1"/>
  <c r="DN24" i="72" a="1"/>
  <c r="DN24" i="72" s="1"/>
  <c r="CS24" i="72" a="1"/>
  <c r="CS24" i="72" s="1"/>
  <c r="DI24" i="72" a="1"/>
  <c r="DI24" i="72" s="1"/>
  <c r="DH24" i="72" a="1"/>
  <c r="DH24" i="72" s="1"/>
  <c r="DM24" i="72" a="1"/>
  <c r="DM24" i="72" s="1"/>
  <c r="DL24" i="72" a="1"/>
  <c r="DL24" i="72" s="1"/>
  <c r="DK24" i="72" a="1"/>
  <c r="DK24" i="72" s="1"/>
  <c r="DJ24" i="72" a="1"/>
  <c r="DJ24" i="72" s="1"/>
  <c r="DG24" i="72" a="1"/>
  <c r="DG24" i="72" s="1"/>
  <c r="DM20" i="72" a="1"/>
  <c r="DM20" i="72" s="1"/>
  <c r="DI20" i="72" a="1"/>
  <c r="DI20" i="72" s="1"/>
  <c r="CS20" i="72" a="1"/>
  <c r="CS20" i="72" s="1"/>
  <c r="DK20" i="72" a="1"/>
  <c r="DK20" i="72" s="1"/>
  <c r="DJ20" i="72" a="1"/>
  <c r="DJ20" i="72" s="1"/>
  <c r="DN20" i="72" a="1"/>
  <c r="DN20" i="72" s="1"/>
  <c r="DH20" i="72" a="1"/>
  <c r="DH20" i="72" s="1"/>
  <c r="DL20" i="72" a="1"/>
  <c r="DL20" i="72" s="1"/>
  <c r="DG20" i="72" a="1"/>
  <c r="DG20" i="72" s="1"/>
  <c r="EK16" i="72" a="1"/>
  <c r="EK16" i="72" s="1"/>
  <c r="DP16" i="72" a="1"/>
  <c r="DP16" i="72" s="1"/>
  <c r="EF16" i="72" a="1"/>
  <c r="EF16" i="72" s="1"/>
  <c r="EJ16" i="72" a="1"/>
  <c r="EJ16" i="72" s="1"/>
  <c r="EE16" i="72" a="1"/>
  <c r="EE16" i="72" s="1"/>
  <c r="EI16" i="72" a="1"/>
  <c r="EI16" i="72" s="1"/>
  <c r="ED16" i="72" a="1"/>
  <c r="ED16" i="72" s="1"/>
  <c r="EG16" i="72" a="1"/>
  <c r="EG16" i="72" s="1"/>
  <c r="EH16" i="72" a="1"/>
  <c r="EH16" i="72" s="1"/>
  <c r="EJ33" i="72" a="1"/>
  <c r="EJ33" i="72" s="1"/>
  <c r="EF33" i="72" a="1"/>
  <c r="EF33" i="72" s="1"/>
  <c r="DP33" i="72" a="1"/>
  <c r="DP33" i="72" s="1"/>
  <c r="ED33" i="72" a="1"/>
  <c r="ED33" i="72" s="1"/>
  <c r="EK33" i="72" a="1"/>
  <c r="EK33" i="72" s="1"/>
  <c r="EI33" i="72" a="1"/>
  <c r="EI33" i="72" s="1"/>
  <c r="EH33" i="72" a="1"/>
  <c r="EH33" i="72" s="1"/>
  <c r="EG33" i="72" a="1"/>
  <c r="EG33" i="72" s="1"/>
  <c r="EE33" i="72" a="1"/>
  <c r="EE33" i="72" s="1"/>
  <c r="FG15" i="72" a="1"/>
  <c r="FG15" i="72" s="1"/>
  <c r="FF15" i="72" a="1"/>
  <c r="FF15" i="72" s="1"/>
  <c r="FB15" i="72" a="1"/>
  <c r="FB15" i="72" s="1"/>
  <c r="FE15" i="72" a="1"/>
  <c r="FE15" i="72" s="1"/>
  <c r="FA15" i="72" a="1"/>
  <c r="FA15" i="72" s="1"/>
  <c r="FC15" i="72" a="1"/>
  <c r="FC15" i="72" s="1"/>
  <c r="EM15" i="72" a="1"/>
  <c r="EM15" i="72" s="1"/>
  <c r="FH15" i="72" a="1"/>
  <c r="FH15" i="72" s="1"/>
  <c r="FD15" i="72" a="1"/>
  <c r="FD15" i="72" s="1"/>
  <c r="FH29" i="72" a="1"/>
  <c r="FH29" i="72" s="1"/>
  <c r="EM29" i="72" a="1"/>
  <c r="EM29" i="72" s="1"/>
  <c r="FG29" i="72" a="1"/>
  <c r="FG29" i="72" s="1"/>
  <c r="FB29" i="72" a="1"/>
  <c r="FB29" i="72" s="1"/>
  <c r="FF29" i="72" a="1"/>
  <c r="FF29" i="72" s="1"/>
  <c r="FE29" i="72" a="1"/>
  <c r="FE29" i="72" s="1"/>
  <c r="FD29" i="72" a="1"/>
  <c r="FD29" i="72" s="1"/>
  <c r="FC29" i="72" a="1"/>
  <c r="FC29" i="72" s="1"/>
  <c r="FA29" i="72" a="1"/>
  <c r="FA29" i="72" s="1"/>
  <c r="GD23" i="72" a="1"/>
  <c r="GD23" i="72" s="1"/>
  <c r="FZ23" i="72" a="1"/>
  <c r="FZ23" i="72" s="1"/>
  <c r="FJ23" i="72" a="1"/>
  <c r="FJ23" i="72" s="1"/>
  <c r="GE23" i="72" a="1"/>
  <c r="GE23" i="72" s="1"/>
  <c r="FY23" i="72" a="1"/>
  <c r="FY23" i="72" s="1"/>
  <c r="GC23" i="72" a="1"/>
  <c r="GC23" i="72" s="1"/>
  <c r="FX23" i="72" a="1"/>
  <c r="FX23" i="72" s="1"/>
  <c r="GB23" i="72" a="1"/>
  <c r="GB23" i="72" s="1"/>
  <c r="GA23" i="72" a="1"/>
  <c r="GA23" i="72" s="1"/>
  <c r="GD34" i="72" a="1"/>
  <c r="GD34" i="72" s="1"/>
  <c r="FZ34" i="72" a="1"/>
  <c r="FZ34" i="72" s="1"/>
  <c r="FJ34" i="72" a="1"/>
  <c r="FJ34" i="72" s="1"/>
  <c r="FX34" i="72" a="1"/>
  <c r="FX34" i="72" s="1"/>
  <c r="GE34" i="72" a="1"/>
  <c r="GE34" i="72" s="1"/>
  <c r="GC34" i="72" a="1"/>
  <c r="GC34" i="72" s="1"/>
  <c r="GB34" i="72" a="1"/>
  <c r="GB34" i="72" s="1"/>
  <c r="GA34" i="72" a="1"/>
  <c r="GA34" i="72" s="1"/>
  <c r="FY34" i="72" a="1"/>
  <c r="FY34" i="72" s="1"/>
  <c r="HB25" i="72" a="1"/>
  <c r="HB25" i="72" s="1"/>
  <c r="GG25" i="72" a="1"/>
  <c r="GG25" i="72" s="1"/>
  <c r="GW25" i="72" a="1"/>
  <c r="GW25" i="72" s="1"/>
  <c r="GV25" i="72" a="1"/>
  <c r="GV25" i="72" s="1"/>
  <c r="GY25" i="72" a="1"/>
  <c r="GY25" i="72" s="1"/>
  <c r="GU25" i="72" a="1"/>
  <c r="GU25" i="72" s="1"/>
  <c r="HA25" i="72" a="1"/>
  <c r="HA25" i="72" s="1"/>
  <c r="GZ25" i="72" a="1"/>
  <c r="GZ25" i="72" s="1"/>
  <c r="GX25" i="72" a="1"/>
  <c r="GX25" i="72" s="1"/>
  <c r="GX26" i="72" a="1"/>
  <c r="GX26" i="72" s="1"/>
  <c r="HB26" i="72" a="1"/>
  <c r="HB26" i="72" s="1"/>
  <c r="GG26" i="72" a="1"/>
  <c r="GG26" i="72" s="1"/>
  <c r="GW26" i="72" a="1"/>
  <c r="GW26" i="72" s="1"/>
  <c r="HA26" i="72" a="1"/>
  <c r="HA26" i="72" s="1"/>
  <c r="GV26" i="72" a="1"/>
  <c r="GV26" i="72" s="1"/>
  <c r="GZ26" i="72" a="1"/>
  <c r="GZ26" i="72" s="1"/>
  <c r="GU26" i="72" a="1"/>
  <c r="GU26" i="72" s="1"/>
  <c r="GY26" i="72" a="1"/>
  <c r="GY26" i="72" s="1"/>
  <c r="HS31" i="72" a="1"/>
  <c r="HS31" i="72" s="1"/>
  <c r="HX31" i="72" a="1"/>
  <c r="HX31" i="72" s="1"/>
  <c r="HR31" i="72" a="1"/>
  <c r="HR31" i="72" s="1"/>
  <c r="HY31" i="72" a="1"/>
  <c r="HY31" i="72" s="1"/>
  <c r="HW31" i="72" a="1"/>
  <c r="HW31" i="72" s="1"/>
  <c r="HV31" i="72" a="1"/>
  <c r="HV31" i="72" s="1"/>
  <c r="HD31" i="72" a="1"/>
  <c r="HD31" i="72" s="1"/>
  <c r="HU31" i="72" a="1"/>
  <c r="HU31" i="72" s="1"/>
  <c r="HT31" i="72" a="1"/>
  <c r="HT31" i="72" s="1"/>
  <c r="HT17" i="72" a="1"/>
  <c r="HT17" i="72" s="1"/>
  <c r="HR17" i="72" a="1"/>
  <c r="HR17" i="72" s="1"/>
  <c r="HV17" i="72" a="1"/>
  <c r="HV17" i="72" s="1"/>
  <c r="HD17" i="72" a="1"/>
  <c r="HD17" i="72" s="1"/>
  <c r="HU17" i="72" a="1"/>
  <c r="HU17" i="72" s="1"/>
  <c r="HW17" i="72" a="1"/>
  <c r="HW17" i="72" s="1"/>
  <c r="HX17" i="72" a="1"/>
  <c r="HX17" i="72" s="1"/>
  <c r="HY17" i="72" a="1"/>
  <c r="HY17" i="72" s="1"/>
  <c r="HS17" i="72" a="1"/>
  <c r="HS17" i="72" s="1"/>
  <c r="IR28" i="72" a="1"/>
  <c r="IR28" i="72" s="1"/>
  <c r="IQ28" i="72" a="1"/>
  <c r="IQ28" i="72" s="1"/>
  <c r="IU28" i="72" a="1"/>
  <c r="IU28" i="72" s="1"/>
  <c r="IP28" i="72" a="1"/>
  <c r="IP28" i="72" s="1"/>
  <c r="IA28" i="72" a="1"/>
  <c r="IA28" i="72" s="1"/>
  <c r="IS28" i="72" a="1"/>
  <c r="IS28" i="72" s="1"/>
  <c r="IO28" i="72" a="1"/>
  <c r="IO28" i="72" s="1"/>
  <c r="IV28" i="72" a="1"/>
  <c r="IV28" i="72" s="1"/>
  <c r="IT28" i="72" a="1"/>
  <c r="IT28" i="72" s="1"/>
  <c r="IQ18" i="72" a="1"/>
  <c r="IQ18" i="72" s="1"/>
  <c r="IT18" i="72" a="1"/>
  <c r="IT18" i="72" s="1"/>
  <c r="IS18" i="72" a="1"/>
  <c r="IS18" i="72" s="1"/>
  <c r="IR18" i="72" a="1"/>
  <c r="IR18" i="72" s="1"/>
  <c r="IP18" i="72" a="1"/>
  <c r="IP18" i="72" s="1"/>
  <c r="IO18" i="72" a="1"/>
  <c r="IO18" i="72" s="1"/>
  <c r="IV18" i="72" a="1"/>
  <c r="IV18" i="72" s="1"/>
  <c r="IA18" i="72" a="1"/>
  <c r="IA18" i="72" s="1"/>
  <c r="IU18" i="72" a="1"/>
  <c r="IU18" i="72" s="1"/>
  <c r="JQ23" i="72" a="1"/>
  <c r="JQ23" i="72" s="1"/>
  <c r="JL23" i="72" a="1"/>
  <c r="JL23" i="72" s="1"/>
  <c r="JO23" i="72" a="1"/>
  <c r="JO23" i="72" s="1"/>
  <c r="JN23" i="72" a="1"/>
  <c r="JN23" i="72" s="1"/>
  <c r="JM23" i="72" a="1"/>
  <c r="JM23" i="72" s="1"/>
  <c r="JS23" i="72" a="1"/>
  <c r="JS23" i="72" s="1"/>
  <c r="JR23" i="72" a="1"/>
  <c r="JR23" i="72" s="1"/>
  <c r="JP23" i="72" a="1"/>
  <c r="JP23" i="72" s="1"/>
  <c r="IX23" i="72" a="1"/>
  <c r="IX23" i="72" s="1"/>
  <c r="JQ29" i="72" a="1"/>
  <c r="JQ29" i="72" s="1"/>
  <c r="JM29" i="72" a="1"/>
  <c r="JM29" i="72" s="1"/>
  <c r="JO29" i="72" a="1"/>
  <c r="JO29" i="72" s="1"/>
  <c r="IX29" i="72" a="1"/>
  <c r="IX29" i="72" s="1"/>
  <c r="JL29" i="72" a="1"/>
  <c r="JL29" i="72" s="1"/>
  <c r="JS29" i="72" a="1"/>
  <c r="JS29" i="72" s="1"/>
  <c r="JR29" i="72" a="1"/>
  <c r="JR29" i="72" s="1"/>
  <c r="JP29" i="72" a="1"/>
  <c r="JP29" i="72" s="1"/>
  <c r="JN29" i="72" a="1"/>
  <c r="JN29" i="72" s="1"/>
  <c r="HY26" i="72" a="1"/>
  <c r="HY26" i="72" s="1"/>
  <c r="HT26" i="72" a="1"/>
  <c r="HT26" i="72" s="1"/>
  <c r="HX26" i="72" a="1"/>
  <c r="HX26" i="72" s="1"/>
  <c r="HS26" i="72" a="1"/>
  <c r="HS26" i="72" s="1"/>
  <c r="HW26" i="72" a="1"/>
  <c r="HW26" i="72" s="1"/>
  <c r="HR26" i="72" a="1"/>
  <c r="HR26" i="72" s="1"/>
  <c r="HV26" i="72" a="1"/>
  <c r="HV26" i="72" s="1"/>
  <c r="HU26" i="72" a="1"/>
  <c r="HU26" i="72" s="1"/>
  <c r="HD26" i="72" a="1"/>
  <c r="HD26" i="72" s="1"/>
  <c r="DK29" i="72" a="1"/>
  <c r="DK29" i="72" s="1"/>
  <c r="DJ29" i="72" a="1"/>
  <c r="DJ29" i="72" s="1"/>
  <c r="DN29" i="72" a="1"/>
  <c r="DN29" i="72" s="1"/>
  <c r="CS29" i="72" a="1"/>
  <c r="CS29" i="72" s="1"/>
  <c r="DM29" i="72" a="1"/>
  <c r="DM29" i="72" s="1"/>
  <c r="DH29" i="72" a="1"/>
  <c r="DH29" i="72" s="1"/>
  <c r="DL29" i="72" a="1"/>
  <c r="DL29" i="72" s="1"/>
  <c r="DI29" i="72" a="1"/>
  <c r="DI29" i="72" s="1"/>
  <c r="DG29" i="72" a="1"/>
  <c r="DG29" i="72" s="1"/>
  <c r="GD29" i="72" a="1"/>
  <c r="GD29" i="72" s="1"/>
  <c r="GC29" i="72" a="1"/>
  <c r="GC29" i="72" s="1"/>
  <c r="FX29" i="72" a="1"/>
  <c r="FX29" i="72" s="1"/>
  <c r="GA29" i="72" a="1"/>
  <c r="GA29" i="72" s="1"/>
  <c r="GB29" i="72" a="1"/>
  <c r="GB29" i="72" s="1"/>
  <c r="FZ29" i="72" a="1"/>
  <c r="FZ29" i="72" s="1"/>
  <c r="FY29" i="72" a="1"/>
  <c r="FY29" i="72" s="1"/>
  <c r="GE29" i="72" a="1"/>
  <c r="GE29" i="72" s="1"/>
  <c r="FJ29" i="72" a="1"/>
  <c r="FJ29" i="72" s="1"/>
  <c r="HY23" i="72" a="1"/>
  <c r="HY23" i="72" s="1"/>
  <c r="HU23" i="72" a="1"/>
  <c r="HU23" i="72" s="1"/>
  <c r="HX23" i="72" a="1"/>
  <c r="HX23" i="72" s="1"/>
  <c r="HT23" i="72" a="1"/>
  <c r="HT23" i="72" s="1"/>
  <c r="HD23" i="72" a="1"/>
  <c r="HD23" i="72" s="1"/>
  <c r="HV23" i="72" a="1"/>
  <c r="HV23" i="72" s="1"/>
  <c r="HS23" i="72" a="1"/>
  <c r="HS23" i="72" s="1"/>
  <c r="HR23" i="72" a="1"/>
  <c r="HR23" i="72" s="1"/>
  <c r="HW23" i="72" a="1"/>
  <c r="HW23" i="72" s="1"/>
  <c r="JP21" i="72" a="1"/>
  <c r="JP21" i="72" s="1"/>
  <c r="JL21" i="72" a="1"/>
  <c r="JL21" i="72" s="1"/>
  <c r="JN21" i="72" a="1"/>
  <c r="JN21" i="72" s="1"/>
  <c r="JS21" i="72" a="1"/>
  <c r="JS21" i="72" s="1"/>
  <c r="JM21" i="72" a="1"/>
  <c r="JM21" i="72" s="1"/>
  <c r="JR21" i="72" a="1"/>
  <c r="JR21" i="72" s="1"/>
  <c r="JQ21" i="72" a="1"/>
  <c r="JQ21" i="72" s="1"/>
  <c r="IX21" i="72" a="1"/>
  <c r="IX21" i="72" s="1"/>
  <c r="JO21" i="72" a="1"/>
  <c r="JO21" i="72" s="1"/>
  <c r="BS22" i="72" a="1"/>
  <c r="BS22" i="72" s="1"/>
  <c r="BO22" i="72" a="1"/>
  <c r="BO22" i="72" s="1"/>
  <c r="AY22" i="72" a="1"/>
  <c r="AY22" i="72" s="1"/>
  <c r="BQ22" i="72" a="1"/>
  <c r="BQ22" i="72" s="1"/>
  <c r="BP22" i="72" a="1"/>
  <c r="BP22" i="72" s="1"/>
  <c r="BN22" i="72" a="1"/>
  <c r="BN22" i="72" s="1"/>
  <c r="BT22" i="72" a="1"/>
  <c r="BT22" i="72" s="1"/>
  <c r="BM22" i="72" a="1"/>
  <c r="BM22" i="72" s="1"/>
  <c r="BR22" i="72" a="1"/>
  <c r="BR22" i="72" s="1"/>
  <c r="BT31" i="72" a="1"/>
  <c r="BT31" i="72" s="1"/>
  <c r="AY31" i="72" a="1"/>
  <c r="AY31" i="72" s="1"/>
  <c r="BO31" i="72" a="1"/>
  <c r="BO31" i="72" s="1"/>
  <c r="BN31" i="72" a="1"/>
  <c r="BN31" i="72" s="1"/>
  <c r="BR31" i="72" a="1"/>
  <c r="BR31" i="72" s="1"/>
  <c r="BM31" i="72" a="1"/>
  <c r="BM31" i="72" s="1"/>
  <c r="BS31" i="72" a="1"/>
  <c r="BS31" i="72" s="1"/>
  <c r="BQ31" i="72" a="1"/>
  <c r="BQ31" i="72" s="1"/>
  <c r="BP31" i="72" a="1"/>
  <c r="BP31" i="72" s="1"/>
  <c r="BO21" i="72" a="1"/>
  <c r="BO21" i="72" s="1"/>
  <c r="BT21" i="72" a="1"/>
  <c r="BT21" i="72" s="1"/>
  <c r="BP21" i="72" a="1"/>
  <c r="BP21" i="72" s="1"/>
  <c r="BN21" i="72" a="1"/>
  <c r="BN21" i="72" s="1"/>
  <c r="BM21" i="72" a="1"/>
  <c r="BM21" i="72" s="1"/>
  <c r="BS21" i="72" a="1"/>
  <c r="BS21" i="72" s="1"/>
  <c r="AY21" i="72" a="1"/>
  <c r="AY21" i="72" s="1"/>
  <c r="BR21" i="72" a="1"/>
  <c r="BR21" i="72" s="1"/>
  <c r="BQ21" i="72" a="1"/>
  <c r="BQ21" i="72" s="1"/>
  <c r="CP23" i="72" a="1"/>
  <c r="CP23" i="72" s="1"/>
  <c r="CL23" i="72" a="1"/>
  <c r="CL23" i="72" s="1"/>
  <c r="BV23" i="72" a="1"/>
  <c r="BV23" i="72" s="1"/>
  <c r="CN23" i="72" a="1"/>
  <c r="CN23" i="72" s="1"/>
  <c r="CM23" i="72" a="1"/>
  <c r="CM23" i="72" s="1"/>
  <c r="CQ23" i="72" a="1"/>
  <c r="CQ23" i="72" s="1"/>
  <c r="CK23" i="72" a="1"/>
  <c r="CK23" i="72" s="1"/>
  <c r="CO23" i="72" a="1"/>
  <c r="CO23" i="72" s="1"/>
  <c r="CJ23" i="72" a="1"/>
  <c r="CJ23" i="72" s="1"/>
  <c r="CN28" i="72" a="1"/>
  <c r="CN28" i="72" s="1"/>
  <c r="CM28" i="72" a="1"/>
  <c r="CM28" i="72" s="1"/>
  <c r="BV28" i="72" a="1"/>
  <c r="BV28" i="72" s="1"/>
  <c r="CQ28" i="72" a="1"/>
  <c r="CQ28" i="72" s="1"/>
  <c r="CL28" i="72" a="1"/>
  <c r="CL28" i="72" s="1"/>
  <c r="CP28" i="72" a="1"/>
  <c r="CP28" i="72" s="1"/>
  <c r="CK28" i="72" a="1"/>
  <c r="CK28" i="72" s="1"/>
  <c r="CO28" i="72" a="1"/>
  <c r="CO28" i="72" s="1"/>
  <c r="CJ28" i="72" a="1"/>
  <c r="CJ28" i="72" s="1"/>
  <c r="DL21" i="72" a="1"/>
  <c r="DL21" i="72" s="1"/>
  <c r="DG21" i="72" a="1"/>
  <c r="DG21" i="72" s="1"/>
  <c r="DK21" i="72" a="1"/>
  <c r="DK21" i="72" s="1"/>
  <c r="CS21" i="72" a="1"/>
  <c r="CS21" i="72" s="1"/>
  <c r="DJ21" i="72" a="1"/>
  <c r="DJ21" i="72" s="1"/>
  <c r="DH21" i="72" a="1"/>
  <c r="DH21" i="72" s="1"/>
  <c r="DN21" i="72" a="1"/>
  <c r="DN21" i="72" s="1"/>
  <c r="DM21" i="72" a="1"/>
  <c r="DM21" i="72" s="1"/>
  <c r="DI21" i="72" a="1"/>
  <c r="DI21" i="72" s="1"/>
  <c r="DK34" i="72" a="1"/>
  <c r="DK34" i="72" s="1"/>
  <c r="DG34" i="72" a="1"/>
  <c r="DG34" i="72" s="1"/>
  <c r="DM34" i="72" a="1"/>
  <c r="DM34" i="72" s="1"/>
  <c r="CS34" i="72" a="1"/>
  <c r="CS34" i="72" s="1"/>
  <c r="DN34" i="72" a="1"/>
  <c r="DN34" i="72" s="1"/>
  <c r="DL34" i="72" a="1"/>
  <c r="DL34" i="72" s="1"/>
  <c r="DJ34" i="72" a="1"/>
  <c r="DJ34" i="72" s="1"/>
  <c r="DI34" i="72" a="1"/>
  <c r="DI34" i="72" s="1"/>
  <c r="DH34" i="72" a="1"/>
  <c r="DH34" i="72" s="1"/>
  <c r="EH19" i="72" a="1"/>
  <c r="EH19" i="72" s="1"/>
  <c r="ED19" i="72" a="1"/>
  <c r="ED19" i="72" s="1"/>
  <c r="EJ19" i="72" a="1"/>
  <c r="EJ19" i="72" s="1"/>
  <c r="EI19" i="72" a="1"/>
  <c r="EI19" i="72" s="1"/>
  <c r="EG19" i="72" a="1"/>
  <c r="EG19" i="72" s="1"/>
  <c r="EF19" i="72" a="1"/>
  <c r="EF19" i="72" s="1"/>
  <c r="EE19" i="72" a="1"/>
  <c r="EE19" i="72" s="1"/>
  <c r="DP19" i="72" a="1"/>
  <c r="DP19" i="72" s="1"/>
  <c r="EK19" i="72" a="1"/>
  <c r="EK19" i="72" s="1"/>
  <c r="EJ18" i="72" a="1"/>
  <c r="EJ18" i="72" s="1"/>
  <c r="EI18" i="72" a="1"/>
  <c r="EI18" i="72" s="1"/>
  <c r="EH18" i="72" a="1"/>
  <c r="EH18" i="72" s="1"/>
  <c r="EK18" i="72" a="1"/>
  <c r="EK18" i="72" s="1"/>
  <c r="DP18" i="72" a="1"/>
  <c r="DP18" i="72" s="1"/>
  <c r="EG18" i="72" a="1"/>
  <c r="EG18" i="72" s="1"/>
  <c r="ED18" i="72" a="1"/>
  <c r="ED18" i="72" s="1"/>
  <c r="EF18" i="72" a="1"/>
  <c r="EF18" i="72" s="1"/>
  <c r="EE18" i="72" a="1"/>
  <c r="EE18" i="72" s="1"/>
  <c r="FG20" i="72" a="1"/>
  <c r="FG20" i="72" s="1"/>
  <c r="FC20" i="72" a="1"/>
  <c r="FC20" i="72" s="1"/>
  <c r="EM20" i="72" a="1"/>
  <c r="EM20" i="72" s="1"/>
  <c r="FF20" i="72" a="1"/>
  <c r="FF20" i="72" s="1"/>
  <c r="FA20" i="72" a="1"/>
  <c r="FA20" i="72" s="1"/>
  <c r="FE20" i="72" a="1"/>
  <c r="FE20" i="72" s="1"/>
  <c r="FD20" i="72" a="1"/>
  <c r="FD20" i="72" s="1"/>
  <c r="FH20" i="72" a="1"/>
  <c r="FH20" i="72" s="1"/>
  <c r="FB20" i="72" a="1"/>
  <c r="FB20" i="72" s="1"/>
  <c r="FG19" i="72" a="1"/>
  <c r="FG19" i="72" s="1"/>
  <c r="FC19" i="72" a="1"/>
  <c r="FC19" i="72" s="1"/>
  <c r="EM19" i="72" a="1"/>
  <c r="EM19" i="72" s="1"/>
  <c r="FH19" i="72" a="1"/>
  <c r="FH19" i="72" s="1"/>
  <c r="FF19" i="72" a="1"/>
  <c r="FF19" i="72" s="1"/>
  <c r="FE19" i="72" a="1"/>
  <c r="FE19" i="72" s="1"/>
  <c r="FD19" i="72" a="1"/>
  <c r="FD19" i="72" s="1"/>
  <c r="FB19" i="72" a="1"/>
  <c r="FB19" i="72" s="1"/>
  <c r="FA19" i="72" a="1"/>
  <c r="FA19" i="72" s="1"/>
  <c r="FX18" i="72" a="1"/>
  <c r="FX18" i="72" s="1"/>
  <c r="GA18" i="72" a="1"/>
  <c r="GA18" i="72" s="1"/>
  <c r="FZ18" i="72" a="1"/>
  <c r="FZ18" i="72" s="1"/>
  <c r="FY18" i="72" a="1"/>
  <c r="FY18" i="72" s="1"/>
  <c r="GD18" i="72" a="1"/>
  <c r="GD18" i="72" s="1"/>
  <c r="GC18" i="72" a="1"/>
  <c r="GC18" i="72" s="1"/>
  <c r="GB18" i="72" a="1"/>
  <c r="GB18" i="72" s="1"/>
  <c r="GE18" i="72" a="1"/>
  <c r="GE18" i="72" s="1"/>
  <c r="FJ18" i="72" a="1"/>
  <c r="FJ18" i="72" s="1"/>
  <c r="GB17" i="72" a="1"/>
  <c r="GB17" i="72" s="1"/>
  <c r="GD17" i="72" a="1"/>
  <c r="GD17" i="72" s="1"/>
  <c r="FX17" i="72" a="1"/>
  <c r="FX17" i="72" s="1"/>
  <c r="GC17" i="72" a="1"/>
  <c r="GC17" i="72" s="1"/>
  <c r="GA17" i="72" a="1"/>
  <c r="GA17" i="72" s="1"/>
  <c r="FJ17" i="72" a="1"/>
  <c r="FJ17" i="72" s="1"/>
  <c r="FZ17" i="72" a="1"/>
  <c r="FZ17" i="72" s="1"/>
  <c r="GE17" i="72" a="1"/>
  <c r="GE17" i="72" s="1"/>
  <c r="FY17" i="72" a="1"/>
  <c r="FY17" i="72" s="1"/>
  <c r="GY32" i="72" a="1"/>
  <c r="GY32" i="72" s="1"/>
  <c r="GU32" i="72" a="1"/>
  <c r="GU32" i="72" s="1"/>
  <c r="HA32" i="72" a="1"/>
  <c r="HA32" i="72" s="1"/>
  <c r="GG32" i="72" a="1"/>
  <c r="GG32" i="72" s="1"/>
  <c r="GV32" i="72" a="1"/>
  <c r="GV32" i="72" s="1"/>
  <c r="HB32" i="72" a="1"/>
  <c r="HB32" i="72" s="1"/>
  <c r="GZ32" i="72" a="1"/>
  <c r="GZ32" i="72" s="1"/>
  <c r="GX32" i="72" a="1"/>
  <c r="GX32" i="72" s="1"/>
  <c r="GW32" i="72" a="1"/>
  <c r="GW32" i="72" s="1"/>
  <c r="GY22" i="72" a="1"/>
  <c r="GY22" i="72" s="1"/>
  <c r="GU22" i="72" a="1"/>
  <c r="GU22" i="72" s="1"/>
  <c r="HA22" i="72" a="1"/>
  <c r="HA22" i="72" s="1"/>
  <c r="GZ22" i="72" a="1"/>
  <c r="GZ22" i="72" s="1"/>
  <c r="GX22" i="72" a="1"/>
  <c r="GX22" i="72" s="1"/>
  <c r="GG22" i="72" a="1"/>
  <c r="GG22" i="72" s="1"/>
  <c r="HB22" i="72" a="1"/>
  <c r="HB22" i="72" s="1"/>
  <c r="GW22" i="72" a="1"/>
  <c r="GW22" i="72" s="1"/>
  <c r="GV22" i="72" a="1"/>
  <c r="GV22" i="72" s="1"/>
  <c r="HV21" i="72" a="1"/>
  <c r="HV21" i="72" s="1"/>
  <c r="HR21" i="72" a="1"/>
  <c r="HR21" i="72" s="1"/>
  <c r="HT21" i="72" a="1"/>
  <c r="HT21" i="72" s="1"/>
  <c r="HY21" i="72" a="1"/>
  <c r="HY21" i="72" s="1"/>
  <c r="HS21" i="72" a="1"/>
  <c r="HS21" i="72" s="1"/>
  <c r="HX21" i="72" a="1"/>
  <c r="HX21" i="72" s="1"/>
  <c r="HW21" i="72" a="1"/>
  <c r="HW21" i="72" s="1"/>
  <c r="HD21" i="72" a="1"/>
  <c r="HD21" i="72" s="1"/>
  <c r="HU21" i="72" a="1"/>
  <c r="HU21" i="72" s="1"/>
  <c r="HX34" i="72" a="1"/>
  <c r="HX34" i="72" s="1"/>
  <c r="HT34" i="72" a="1"/>
  <c r="HT34" i="72" s="1"/>
  <c r="HD34" i="72" a="1"/>
  <c r="HD34" i="72" s="1"/>
  <c r="HY34" i="72" a="1"/>
  <c r="HY34" i="72" s="1"/>
  <c r="HW34" i="72" a="1"/>
  <c r="HW34" i="72" s="1"/>
  <c r="HV34" i="72" a="1"/>
  <c r="HV34" i="72" s="1"/>
  <c r="HU34" i="72" a="1"/>
  <c r="HU34" i="72" s="1"/>
  <c r="HS34" i="72" a="1"/>
  <c r="HS34" i="72" s="1"/>
  <c r="HR34" i="72" a="1"/>
  <c r="HR34" i="72" s="1"/>
  <c r="IV15" i="72" a="1"/>
  <c r="IV15" i="72" s="1"/>
  <c r="IA15" i="72" a="1"/>
  <c r="IA15" i="72" s="1"/>
  <c r="IQ15" i="72" a="1"/>
  <c r="IQ15" i="72" s="1"/>
  <c r="IU15" i="72" a="1"/>
  <c r="IU15" i="72" s="1"/>
  <c r="IP15" i="72" a="1"/>
  <c r="IP15" i="72" s="1"/>
  <c r="IT15" i="72" a="1"/>
  <c r="IT15" i="72" s="1"/>
  <c r="IO15" i="72" a="1"/>
  <c r="IO15" i="72" s="1"/>
  <c r="IS15" i="72" a="1"/>
  <c r="IS15" i="72" s="1"/>
  <c r="IR15" i="72" a="1"/>
  <c r="IR15" i="72" s="1"/>
  <c r="IQ27" i="72" a="1"/>
  <c r="IQ27" i="72" s="1"/>
  <c r="IU27" i="72" a="1"/>
  <c r="IU27" i="72" s="1"/>
  <c r="IP27" i="72" a="1"/>
  <c r="IP27" i="72" s="1"/>
  <c r="IT27" i="72" a="1"/>
  <c r="IT27" i="72" s="1"/>
  <c r="IO27" i="72" a="1"/>
  <c r="IO27" i="72" s="1"/>
  <c r="IS27" i="72" a="1"/>
  <c r="IS27" i="72" s="1"/>
  <c r="IR27" i="72" a="1"/>
  <c r="IR27" i="72" s="1"/>
  <c r="IV27" i="72" a="1"/>
  <c r="IV27" i="72" s="1"/>
  <c r="IA27" i="72" a="1"/>
  <c r="IA27" i="72" s="1"/>
  <c r="JR24" i="72" a="1"/>
  <c r="JR24" i="72" s="1"/>
  <c r="JM24" i="72" a="1"/>
  <c r="JM24" i="72" s="1"/>
  <c r="JQ24" i="72" a="1"/>
  <c r="JQ24" i="72" s="1"/>
  <c r="JL24" i="72" a="1"/>
  <c r="JL24" i="72" s="1"/>
  <c r="JN24" i="72" a="1"/>
  <c r="JN24" i="72" s="1"/>
  <c r="IX24" i="72" a="1"/>
  <c r="IX24" i="72" s="1"/>
  <c r="JS24" i="72" a="1"/>
  <c r="JS24" i="72" s="1"/>
  <c r="JP24" i="72" a="1"/>
  <c r="JP24" i="72" s="1"/>
  <c r="JO24" i="72" a="1"/>
  <c r="JO24" i="72" s="1"/>
  <c r="JS20" i="72" a="1"/>
  <c r="JS20" i="72" s="1"/>
  <c r="JN20" i="72" a="1"/>
  <c r="JN20" i="72" s="1"/>
  <c r="JM20" i="72" a="1"/>
  <c r="JM20" i="72" s="1"/>
  <c r="JQ20" i="72" a="1"/>
  <c r="JQ20" i="72" s="1"/>
  <c r="JP20" i="72" a="1"/>
  <c r="JP20" i="72" s="1"/>
  <c r="IX20" i="72" a="1"/>
  <c r="IX20" i="72" s="1"/>
  <c r="JO20" i="72" a="1"/>
  <c r="JO20" i="72" s="1"/>
  <c r="JL20" i="72" a="1"/>
  <c r="JL20" i="72" s="1"/>
  <c r="JR20" i="72" a="1"/>
  <c r="JR20" i="72" s="1"/>
  <c r="HX20" i="72" a="1"/>
  <c r="HX20" i="72" s="1"/>
  <c r="HR20" i="72" a="1"/>
  <c r="HR20" i="72" s="1"/>
  <c r="HW20" i="72" a="1"/>
  <c r="HW20" i="72" s="1"/>
  <c r="HU20" i="72" a="1"/>
  <c r="HU20" i="72" s="1"/>
  <c r="HT20" i="72" a="1"/>
  <c r="HT20" i="72" s="1"/>
  <c r="HS20" i="72" a="1"/>
  <c r="HS20" i="72" s="1"/>
  <c r="HY20" i="72" a="1"/>
  <c r="HY20" i="72" s="1"/>
  <c r="HV20" i="72" a="1"/>
  <c r="HV20" i="72" s="1"/>
  <c r="HD20" i="72" a="1"/>
  <c r="HD20" i="72" s="1"/>
  <c r="DI26" i="72" a="1"/>
  <c r="DI26" i="72" s="1"/>
  <c r="DM26" i="72" a="1"/>
  <c r="DM26" i="72" s="1"/>
  <c r="DH26" i="72" a="1"/>
  <c r="DH26" i="72" s="1"/>
  <c r="DL26" i="72" a="1"/>
  <c r="DL26" i="72" s="1"/>
  <c r="DG26" i="72" a="1"/>
  <c r="DG26" i="72" s="1"/>
  <c r="DJ26" i="72" a="1"/>
  <c r="DJ26" i="72" s="1"/>
  <c r="DN26" i="72" a="1"/>
  <c r="DN26" i="72" s="1"/>
  <c r="DK26" i="72" a="1"/>
  <c r="DK26" i="72" s="1"/>
  <c r="CS26" i="72" a="1"/>
  <c r="CS26" i="72" s="1"/>
  <c r="GC31" i="72" a="1"/>
  <c r="GC31" i="72" s="1"/>
  <c r="FY31" i="72" a="1"/>
  <c r="FY31" i="72" s="1"/>
  <c r="GB31" i="72" a="1"/>
  <c r="GB31" i="72" s="1"/>
  <c r="GA31" i="72" a="1"/>
  <c r="GA31" i="72" s="1"/>
  <c r="FJ31" i="72" a="1"/>
  <c r="FJ31" i="72" s="1"/>
  <c r="GE31" i="72" a="1"/>
  <c r="GE31" i="72" s="1"/>
  <c r="FZ31" i="72" a="1"/>
  <c r="FZ31" i="72" s="1"/>
  <c r="GD31" i="72" a="1"/>
  <c r="GD31" i="72" s="1"/>
  <c r="FX31" i="72" a="1"/>
  <c r="FX31" i="72" s="1"/>
  <c r="HX22" i="72" a="1"/>
  <c r="HX22" i="72" s="1"/>
  <c r="HT22" i="72" a="1"/>
  <c r="HT22" i="72" s="1"/>
  <c r="HD22" i="72" a="1"/>
  <c r="HD22" i="72" s="1"/>
  <c r="HS22" i="72" a="1"/>
  <c r="HS22" i="72" s="1"/>
  <c r="HW22" i="72" a="1"/>
  <c r="HW22" i="72" s="1"/>
  <c r="HR22" i="72" a="1"/>
  <c r="HR22" i="72" s="1"/>
  <c r="HV22" i="72" a="1"/>
  <c r="HV22" i="72" s="1"/>
  <c r="HY22" i="72" a="1"/>
  <c r="HY22" i="72" s="1"/>
  <c r="HU22" i="72" a="1"/>
  <c r="HU22" i="72" s="1"/>
  <c r="JQ17" i="72" a="1"/>
  <c r="JQ17" i="72" s="1"/>
  <c r="JP17" i="72" a="1"/>
  <c r="JP17" i="72" s="1"/>
  <c r="JS17" i="72" a="1"/>
  <c r="JS17" i="72" s="1"/>
  <c r="IX17" i="72" a="1"/>
  <c r="IX17" i="72" s="1"/>
  <c r="JM17" i="72" a="1"/>
  <c r="JM17" i="72" s="1"/>
  <c r="JL17" i="72" a="1"/>
  <c r="JL17" i="72" s="1"/>
  <c r="JN17" i="72" a="1"/>
  <c r="JN17" i="72" s="1"/>
  <c r="JR17" i="72" a="1"/>
  <c r="JR17" i="72" s="1"/>
  <c r="JO17" i="72" a="1"/>
  <c r="JO17" i="72" s="1"/>
  <c r="BS29" i="72" a="1"/>
  <c r="BS29" i="72" s="1"/>
  <c r="BN29" i="72" a="1"/>
  <c r="BN29" i="72" s="1"/>
  <c r="BM29" i="72" a="1"/>
  <c r="BM29" i="72" s="1"/>
  <c r="BQ29" i="72" a="1"/>
  <c r="BQ29" i="72" s="1"/>
  <c r="BP29" i="72" a="1"/>
  <c r="BP29" i="72" s="1"/>
  <c r="BO29" i="72" a="1"/>
  <c r="BO29" i="72" s="1"/>
  <c r="BT29" i="72" a="1"/>
  <c r="BT29" i="72" s="1"/>
  <c r="AY29" i="72" a="1"/>
  <c r="AY29" i="72" s="1"/>
  <c r="BR29" i="72" a="1"/>
  <c r="BR29" i="72" s="1"/>
  <c r="BQ27" i="72" a="1"/>
  <c r="BQ27" i="72" s="1"/>
  <c r="BP27" i="72" a="1"/>
  <c r="BP27" i="72" s="1"/>
  <c r="BT27" i="72" a="1"/>
  <c r="BT27" i="72" s="1"/>
  <c r="AY27" i="72" a="1"/>
  <c r="AY27" i="72" s="1"/>
  <c r="BO27" i="72" a="1"/>
  <c r="BO27" i="72" s="1"/>
  <c r="BS27" i="72" a="1"/>
  <c r="BS27" i="72" s="1"/>
  <c r="BN27" i="72" a="1"/>
  <c r="BN27" i="72" s="1"/>
  <c r="BR27" i="72" a="1"/>
  <c r="BR27" i="72" s="1"/>
  <c r="BM27" i="72" a="1"/>
  <c r="BM27" i="72" s="1"/>
  <c r="CO29" i="72" a="1"/>
  <c r="CO29" i="72" s="1"/>
  <c r="CN29" i="72" a="1"/>
  <c r="CN29" i="72" s="1"/>
  <c r="CM29" i="72" a="1"/>
  <c r="CM29" i="72" s="1"/>
  <c r="CL29" i="72" a="1"/>
  <c r="CL29" i="72" s="1"/>
  <c r="CJ29" i="72" a="1"/>
  <c r="CJ29" i="72" s="1"/>
  <c r="CQ29" i="72" a="1"/>
  <c r="CQ29" i="72" s="1"/>
  <c r="CP29" i="72" a="1"/>
  <c r="CP29" i="72" s="1"/>
  <c r="BV29" i="72" a="1"/>
  <c r="BV29" i="72" s="1"/>
  <c r="CK29" i="72" a="1"/>
  <c r="CK29" i="72" s="1"/>
  <c r="CM24" i="72" a="1"/>
  <c r="CM24" i="72" s="1"/>
  <c r="BV24" i="72" a="1"/>
  <c r="BV24" i="72" s="1"/>
  <c r="CP24" i="72" a="1"/>
  <c r="CP24" i="72" s="1"/>
  <c r="CL24" i="72" a="1"/>
  <c r="CL24" i="72" s="1"/>
  <c r="CK24" i="72" a="1"/>
  <c r="CK24" i="72" s="1"/>
  <c r="CQ24" i="72" a="1"/>
  <c r="CQ24" i="72" s="1"/>
  <c r="CJ24" i="72" a="1"/>
  <c r="CJ24" i="72" s="1"/>
  <c r="CO24" i="72" a="1"/>
  <c r="CO24" i="72" s="1"/>
  <c r="CN24" i="72" a="1"/>
  <c r="CN24" i="72" s="1"/>
  <c r="CJ16" i="72" a="1"/>
  <c r="CJ16" i="72" s="1"/>
  <c r="CN16" i="72" a="1"/>
  <c r="CN16" i="72" s="1"/>
  <c r="CM16" i="72" a="1"/>
  <c r="CM16" i="72" s="1"/>
  <c r="CQ16" i="72" a="1"/>
  <c r="CQ16" i="72" s="1"/>
  <c r="BV16" i="72" a="1"/>
  <c r="BV16" i="72" s="1"/>
  <c r="CL16" i="72" a="1"/>
  <c r="CL16" i="72" s="1"/>
  <c r="CP16" i="72" a="1"/>
  <c r="CP16" i="72" s="1"/>
  <c r="CO16" i="72" a="1"/>
  <c r="CO16" i="72" s="1"/>
  <c r="CK16" i="72" a="1"/>
  <c r="CK16" i="72" s="1"/>
  <c r="DK14" i="72" a="1"/>
  <c r="DK14" i="72" s="1"/>
  <c r="DG14" i="72" a="1"/>
  <c r="DG14" i="72" s="1"/>
  <c r="DM14" i="72" a="1"/>
  <c r="DM14" i="72" s="1"/>
  <c r="DI14" i="72" a="1"/>
  <c r="DI14" i="72" s="1"/>
  <c r="DL14" i="72" a="1"/>
  <c r="DL14" i="72" s="1"/>
  <c r="DH14" i="72" a="1"/>
  <c r="DH14" i="72" s="1"/>
  <c r="DN14" i="72" a="1"/>
  <c r="DN14" i="72" s="1"/>
  <c r="DJ14" i="72" a="1"/>
  <c r="DJ14" i="72" s="1"/>
  <c r="CS14" i="72" a="1"/>
  <c r="CS14" i="72" s="1"/>
  <c r="DN18" i="72" a="1"/>
  <c r="DN18" i="72" s="1"/>
  <c r="CS18" i="72" a="1"/>
  <c r="CS18" i="72" s="1"/>
  <c r="DM18" i="72" a="1"/>
  <c r="DM18" i="72" s="1"/>
  <c r="DH18" i="72" a="1"/>
  <c r="DH18" i="72" s="1"/>
  <c r="DG18" i="72" a="1"/>
  <c r="DG18" i="72" s="1"/>
  <c r="DI18" i="72" a="1"/>
  <c r="DI18" i="72" s="1"/>
  <c r="DL18" i="72" a="1"/>
  <c r="DL18" i="72" s="1"/>
  <c r="DK18" i="72" a="1"/>
  <c r="DK18" i="72" s="1"/>
  <c r="DJ18" i="72" a="1"/>
  <c r="DJ18" i="72" s="1"/>
  <c r="EJ23" i="72" a="1"/>
  <c r="EJ23" i="72" s="1"/>
  <c r="EF23" i="72" a="1"/>
  <c r="EF23" i="72" s="1"/>
  <c r="DP23" i="72" a="1"/>
  <c r="DP23" i="72" s="1"/>
  <c r="EI23" i="72" a="1"/>
  <c r="EI23" i="72" s="1"/>
  <c r="ED23" i="72" a="1"/>
  <c r="ED23" i="72" s="1"/>
  <c r="EH23" i="72" a="1"/>
  <c r="EH23" i="72" s="1"/>
  <c r="EG23" i="72" a="1"/>
  <c r="EG23" i="72" s="1"/>
  <c r="EE23" i="72" a="1"/>
  <c r="EE23" i="72" s="1"/>
  <c r="EK23" i="72" a="1"/>
  <c r="EK23" i="72" s="1"/>
  <c r="EK28" i="72" a="1"/>
  <c r="EK28" i="72" s="1"/>
  <c r="EF28" i="72" a="1"/>
  <c r="EF28" i="72" s="1"/>
  <c r="EJ28" i="72" a="1"/>
  <c r="EJ28" i="72" s="1"/>
  <c r="EE28" i="72" a="1"/>
  <c r="EE28" i="72" s="1"/>
  <c r="EI28" i="72" a="1"/>
  <c r="EI28" i="72" s="1"/>
  <c r="ED28" i="72" a="1"/>
  <c r="ED28" i="72" s="1"/>
  <c r="EH28" i="72" a="1"/>
  <c r="EH28" i="72" s="1"/>
  <c r="EG28" i="72" a="1"/>
  <c r="EG28" i="72" s="1"/>
  <c r="DP28" i="72" a="1"/>
  <c r="DP28" i="72" s="1"/>
  <c r="FB27" i="72" a="1"/>
  <c r="FB27" i="72" s="1"/>
  <c r="FF27" i="72" a="1"/>
  <c r="FF27" i="72" s="1"/>
  <c r="FA27" i="72" a="1"/>
  <c r="FA27" i="72" s="1"/>
  <c r="FE27" i="72" a="1"/>
  <c r="FE27" i="72" s="1"/>
  <c r="FD27" i="72" a="1"/>
  <c r="FD27" i="72" s="1"/>
  <c r="FH27" i="72" a="1"/>
  <c r="FH27" i="72" s="1"/>
  <c r="EM27" i="72" a="1"/>
  <c r="EM27" i="72" s="1"/>
  <c r="FC27" i="72" a="1"/>
  <c r="FC27" i="72" s="1"/>
  <c r="FG27" i="72" a="1"/>
  <c r="FG27" i="72" s="1"/>
  <c r="FH25" i="72" a="1"/>
  <c r="FH25" i="72" s="1"/>
  <c r="EM25" i="72" a="1"/>
  <c r="EM25" i="72" s="1"/>
  <c r="FF25" i="72" a="1"/>
  <c r="FF25" i="72" s="1"/>
  <c r="FE25" i="72" a="1"/>
  <c r="FE25" i="72" s="1"/>
  <c r="FD25" i="72" a="1"/>
  <c r="FD25" i="72" s="1"/>
  <c r="FC25" i="72" a="1"/>
  <c r="FC25" i="72" s="1"/>
  <c r="FB25" i="72" a="1"/>
  <c r="FB25" i="72" s="1"/>
  <c r="FG25" i="72" a="1"/>
  <c r="FG25" i="72" s="1"/>
  <c r="FA25" i="72" a="1"/>
  <c r="FA25" i="72" s="1"/>
  <c r="FX24" i="72" a="1"/>
  <c r="FX24" i="72" s="1"/>
  <c r="GB24" i="72" a="1"/>
  <c r="GB24" i="72" s="1"/>
  <c r="GA24" i="72" a="1"/>
  <c r="GA24" i="72" s="1"/>
  <c r="FJ24" i="72" a="1"/>
  <c r="FJ24" i="72" s="1"/>
  <c r="FY24" i="72" a="1"/>
  <c r="FY24" i="72" s="1"/>
  <c r="GD24" i="72" a="1"/>
  <c r="GD24" i="72" s="1"/>
  <c r="GC24" i="72" a="1"/>
  <c r="GC24" i="72" s="1"/>
  <c r="FZ24" i="72" a="1"/>
  <c r="FZ24" i="72" s="1"/>
  <c r="GE24" i="72" a="1"/>
  <c r="GE24" i="72" s="1"/>
  <c r="GB20" i="72" a="1"/>
  <c r="GB20" i="72" s="1"/>
  <c r="FX20" i="72" a="1"/>
  <c r="FX20" i="72" s="1"/>
  <c r="GD20" i="72" a="1"/>
  <c r="GD20" i="72" s="1"/>
  <c r="FY20" i="72" a="1"/>
  <c r="FY20" i="72" s="1"/>
  <c r="GC20" i="72" a="1"/>
  <c r="GC20" i="72" s="1"/>
  <c r="GA20" i="72" a="1"/>
  <c r="GA20" i="72" s="1"/>
  <c r="FJ20" i="72" a="1"/>
  <c r="FJ20" i="72" s="1"/>
  <c r="GE20" i="72" a="1"/>
  <c r="GE20" i="72" s="1"/>
  <c r="FZ20" i="72" a="1"/>
  <c r="FZ20" i="72" s="1"/>
  <c r="GX17" i="72" a="1"/>
  <c r="GX17" i="72" s="1"/>
  <c r="GZ17" i="72" a="1"/>
  <c r="GZ17" i="72" s="1"/>
  <c r="GW17" i="72" a="1"/>
  <c r="GW17" i="72" s="1"/>
  <c r="HB17" i="72" a="1"/>
  <c r="HB17" i="72" s="1"/>
  <c r="GV17" i="72" a="1"/>
  <c r="GV17" i="72" s="1"/>
  <c r="GU17" i="72" a="1"/>
  <c r="GU17" i="72" s="1"/>
  <c r="HA17" i="72" a="1"/>
  <c r="HA17" i="72" s="1"/>
  <c r="GY17" i="72" a="1"/>
  <c r="GY17" i="72" s="1"/>
  <c r="GG17" i="72" a="1"/>
  <c r="GG17" i="72" s="1"/>
  <c r="HA30" i="72" a="1"/>
  <c r="HA30" i="72" s="1"/>
  <c r="GY30" i="72" a="1"/>
  <c r="GY30" i="72" s="1"/>
  <c r="GX30" i="72" a="1"/>
  <c r="GX30" i="72" s="1"/>
  <c r="HB30" i="72" a="1"/>
  <c r="HB30" i="72" s="1"/>
  <c r="GU30" i="72" a="1"/>
  <c r="GU30" i="72" s="1"/>
  <c r="GZ30" i="72" a="1"/>
  <c r="GZ30" i="72" s="1"/>
  <c r="GG30" i="72" a="1"/>
  <c r="GG30" i="72" s="1"/>
  <c r="GW30" i="72" a="1"/>
  <c r="GW30" i="72" s="1"/>
  <c r="GV30" i="72" a="1"/>
  <c r="GV30" i="72" s="1"/>
  <c r="HU27" i="72" a="1"/>
  <c r="HU27" i="72" s="1"/>
  <c r="HD27" i="72" a="1"/>
  <c r="HD27" i="72" s="1"/>
  <c r="HY27" i="72" a="1"/>
  <c r="HY27" i="72" s="1"/>
  <c r="HT27" i="72" a="1"/>
  <c r="HT27" i="72" s="1"/>
  <c r="HX27" i="72" a="1"/>
  <c r="HX27" i="72" s="1"/>
  <c r="HS27" i="72" a="1"/>
  <c r="HS27" i="72" s="1"/>
  <c r="HW27" i="72" a="1"/>
  <c r="HW27" i="72" s="1"/>
  <c r="HR27" i="72" a="1"/>
  <c r="HR27" i="72" s="1"/>
  <c r="HV27" i="72" a="1"/>
  <c r="HV27" i="72" s="1"/>
  <c r="HU15" i="72" a="1"/>
  <c r="HU15" i="72" s="1"/>
  <c r="HY15" i="72" a="1"/>
  <c r="HY15" i="72" s="1"/>
  <c r="HD15" i="72" a="1"/>
  <c r="HD15" i="72" s="1"/>
  <c r="HT15" i="72" a="1"/>
  <c r="HT15" i="72" s="1"/>
  <c r="HR15" i="72" a="1"/>
  <c r="HR15" i="72" s="1"/>
  <c r="HX15" i="72" a="1"/>
  <c r="HX15" i="72" s="1"/>
  <c r="HS15" i="72" a="1"/>
  <c r="HS15" i="72" s="1"/>
  <c r="HW15" i="72" a="1"/>
  <c r="HW15" i="72" s="1"/>
  <c r="HV15" i="72" a="1"/>
  <c r="HV15" i="72" s="1"/>
  <c r="IP25" i="72" a="1"/>
  <c r="IP25" i="72" s="1"/>
  <c r="IT25" i="72" a="1"/>
  <c r="IT25" i="72" s="1"/>
  <c r="IO25" i="72" a="1"/>
  <c r="IO25" i="72" s="1"/>
  <c r="IV25" i="72" a="1"/>
  <c r="IV25" i="72" s="1"/>
  <c r="IA25" i="72" a="1"/>
  <c r="IA25" i="72" s="1"/>
  <c r="IQ25" i="72" a="1"/>
  <c r="IQ25" i="72" s="1"/>
  <c r="IU25" i="72" a="1"/>
  <c r="IU25" i="72" s="1"/>
  <c r="IS25" i="72" a="1"/>
  <c r="IS25" i="72" s="1"/>
  <c r="IR25" i="72" a="1"/>
  <c r="IR25" i="72" s="1"/>
  <c r="IS33" i="72" a="1"/>
  <c r="IS33" i="72" s="1"/>
  <c r="IO33" i="72" a="1"/>
  <c r="IO33" i="72" s="1"/>
  <c r="IU33" i="72" a="1"/>
  <c r="IU33" i="72" s="1"/>
  <c r="IA33" i="72" a="1"/>
  <c r="IA33" i="72" s="1"/>
  <c r="IV33" i="72" a="1"/>
  <c r="IV33" i="72" s="1"/>
  <c r="IT33" i="72" a="1"/>
  <c r="IT33" i="72" s="1"/>
  <c r="IR33" i="72" a="1"/>
  <c r="IR33" i="72" s="1"/>
  <c r="IQ33" i="72" a="1"/>
  <c r="IQ33" i="72" s="1"/>
  <c r="IP33" i="72" a="1"/>
  <c r="IP33" i="72" s="1"/>
  <c r="JR34" i="72" a="1"/>
  <c r="JR34" i="72" s="1"/>
  <c r="JN34" i="72" a="1"/>
  <c r="JN34" i="72" s="1"/>
  <c r="IX34" i="72" a="1"/>
  <c r="IX34" i="72" s="1"/>
  <c r="JQ34" i="72" a="1"/>
  <c r="JQ34" i="72" s="1"/>
  <c r="JM34" i="72" a="1"/>
  <c r="JM34" i="72" s="1"/>
  <c r="JS34" i="72" a="1"/>
  <c r="JS34" i="72" s="1"/>
  <c r="JP34" i="72" a="1"/>
  <c r="JP34" i="72" s="1"/>
  <c r="JO34" i="72" a="1"/>
  <c r="JO34" i="72" s="1"/>
  <c r="JL34" i="72" a="1"/>
  <c r="JL34" i="72" s="1"/>
  <c r="JR32" i="72" a="1"/>
  <c r="JR32" i="72" s="1"/>
  <c r="JN32" i="72" a="1"/>
  <c r="JN32" i="72" s="1"/>
  <c r="IX32" i="72" a="1"/>
  <c r="IX32" i="72" s="1"/>
  <c r="JL32" i="72" a="1"/>
  <c r="JL32" i="72" s="1"/>
  <c r="JS32" i="72" a="1"/>
  <c r="JS32" i="72" s="1"/>
  <c r="JQ32" i="72" a="1"/>
  <c r="JQ32" i="72" s="1"/>
  <c r="JP32" i="72" a="1"/>
  <c r="JP32" i="72" s="1"/>
  <c r="JO32" i="72" a="1"/>
  <c r="JO32" i="72" s="1"/>
  <c r="JM32" i="72" a="1"/>
  <c r="JM32" i="72" s="1"/>
  <c r="FH21" i="72" a="1"/>
  <c r="FH21" i="72" s="1"/>
  <c r="FG21" i="72" a="1"/>
  <c r="FG21" i="72" s="1"/>
  <c r="FB21" i="72" a="1"/>
  <c r="FB21" i="72" s="1"/>
  <c r="FF21" i="72" a="1"/>
  <c r="FF21" i="72" s="1"/>
  <c r="FA21" i="72" a="1"/>
  <c r="FA21" i="72" s="1"/>
  <c r="EM21" i="72" a="1"/>
  <c r="EM21" i="72" s="1"/>
  <c r="FE21" i="72" a="1"/>
  <c r="FE21" i="72" s="1"/>
  <c r="FD21" i="72" a="1"/>
  <c r="FD21" i="72" s="1"/>
  <c r="FC21" i="72" a="1"/>
  <c r="FC21" i="72" s="1"/>
  <c r="DK32" i="72" a="1"/>
  <c r="DK32" i="72" s="1"/>
  <c r="DG32" i="72" a="1"/>
  <c r="DG32" i="72" s="1"/>
  <c r="DM32" i="72" a="1"/>
  <c r="DM32" i="72" s="1"/>
  <c r="CS32" i="72" a="1"/>
  <c r="CS32" i="72" s="1"/>
  <c r="DI32" i="72" a="1"/>
  <c r="DI32" i="72" s="1"/>
  <c r="DH32" i="72" a="1"/>
  <c r="DH32" i="72" s="1"/>
  <c r="DN32" i="72" a="1"/>
  <c r="DN32" i="72" s="1"/>
  <c r="DL32" i="72" a="1"/>
  <c r="DL32" i="72" s="1"/>
  <c r="DJ32" i="72" a="1"/>
  <c r="DJ32" i="72" s="1"/>
  <c r="GC15" i="72" a="1"/>
  <c r="GC15" i="72" s="1"/>
  <c r="FX15" i="72" a="1"/>
  <c r="FX15" i="72" s="1"/>
  <c r="GB15" i="72" a="1"/>
  <c r="GB15" i="72" s="1"/>
  <c r="GD15" i="72" a="1"/>
  <c r="GD15" i="72" s="1"/>
  <c r="GA15" i="72" a="1"/>
  <c r="GA15" i="72" s="1"/>
  <c r="GE15" i="72" a="1"/>
  <c r="GE15" i="72" s="1"/>
  <c r="FJ15" i="72" a="1"/>
  <c r="FJ15" i="72" s="1"/>
  <c r="FY15" i="72" a="1"/>
  <c r="FY15" i="72" s="1"/>
  <c r="FZ15" i="72" a="1"/>
  <c r="FZ15" i="72" s="1"/>
  <c r="IR16" i="72" a="1"/>
  <c r="IR16" i="72" s="1"/>
  <c r="IV16" i="72" a="1"/>
  <c r="IV16" i="72" s="1"/>
  <c r="IA16" i="72" a="1"/>
  <c r="IA16" i="72" s="1"/>
  <c r="IQ16" i="72" a="1"/>
  <c r="IQ16" i="72" s="1"/>
  <c r="IU16" i="72" a="1"/>
  <c r="IU16" i="72" s="1"/>
  <c r="IP16" i="72" a="1"/>
  <c r="IP16" i="72" s="1"/>
  <c r="IT16" i="72" a="1"/>
  <c r="IT16" i="72" s="1"/>
  <c r="IO16" i="72" a="1"/>
  <c r="IO16" i="72" s="1"/>
  <c r="IS16" i="72" a="1"/>
  <c r="IS16" i="72" s="1"/>
  <c r="JP19" i="72" a="1"/>
  <c r="JP19" i="72" s="1"/>
  <c r="JL19" i="72" a="1"/>
  <c r="JL19" i="72" s="1"/>
  <c r="JS19" i="72" a="1"/>
  <c r="JS19" i="72" s="1"/>
  <c r="JN19" i="72" a="1"/>
  <c r="JN19" i="72" s="1"/>
  <c r="JR19" i="72" a="1"/>
  <c r="JR19" i="72" s="1"/>
  <c r="JM19" i="72" a="1"/>
  <c r="JM19" i="72" s="1"/>
  <c r="JQ19" i="72" a="1"/>
  <c r="JQ19" i="72" s="1"/>
  <c r="JO19" i="72" a="1"/>
  <c r="JO19" i="72" s="1"/>
  <c r="IX19" i="72" a="1"/>
  <c r="IX19" i="72" s="1"/>
  <c r="BS17" i="72" a="1"/>
  <c r="BS17" i="72" s="1"/>
  <c r="BN17" i="72" a="1"/>
  <c r="BN17" i="72" s="1"/>
  <c r="BO17" i="72" a="1"/>
  <c r="BO17" i="72" s="1"/>
  <c r="BT17" i="72" a="1"/>
  <c r="BT17" i="72" s="1"/>
  <c r="BM17" i="72" a="1"/>
  <c r="BM17" i="72" s="1"/>
  <c r="BR17" i="72" a="1"/>
  <c r="BR17" i="72" s="1"/>
  <c r="BQ17" i="72" a="1"/>
  <c r="BQ17" i="72" s="1"/>
  <c r="BP17" i="72" a="1"/>
  <c r="BP17" i="72" s="1"/>
  <c r="AY17" i="72" a="1"/>
  <c r="AY17" i="72" s="1"/>
  <c r="BQ18" i="72" a="1"/>
  <c r="BQ18" i="72" s="1"/>
  <c r="BP18" i="72" a="1"/>
  <c r="BP18" i="72" s="1"/>
  <c r="BO18" i="72" a="1"/>
  <c r="BO18" i="72" s="1"/>
  <c r="BS18" i="72" a="1"/>
  <c r="BS18" i="72" s="1"/>
  <c r="BR18" i="72" a="1"/>
  <c r="BR18" i="72" s="1"/>
  <c r="AY18" i="72" a="1"/>
  <c r="AY18" i="72" s="1"/>
  <c r="BT18" i="72" a="1"/>
  <c r="BT18" i="72" s="1"/>
  <c r="BN18" i="72" a="1"/>
  <c r="BN18" i="72" s="1"/>
  <c r="BM18" i="72" a="1"/>
  <c r="BM18" i="72" s="1"/>
  <c r="CM26" i="72" a="1"/>
  <c r="CM26" i="72" s="1"/>
  <c r="BV26" i="72" a="1"/>
  <c r="BV26" i="72" s="1"/>
  <c r="CQ26" i="72" a="1"/>
  <c r="CQ26" i="72" s="1"/>
  <c r="CL26" i="72" a="1"/>
  <c r="CL26" i="72" s="1"/>
  <c r="CP26" i="72" a="1"/>
  <c r="CP26" i="72" s="1"/>
  <c r="CK26" i="72" a="1"/>
  <c r="CK26" i="72" s="1"/>
  <c r="CJ26" i="72" a="1"/>
  <c r="CJ26" i="72" s="1"/>
  <c r="CN26" i="72" a="1"/>
  <c r="CN26" i="72" s="1"/>
  <c r="CO26" i="72" a="1"/>
  <c r="CO26" i="72" s="1"/>
  <c r="CM18" i="72" a="1"/>
  <c r="CM18" i="72" s="1"/>
  <c r="CL18" i="72" a="1"/>
  <c r="CL18" i="72" s="1"/>
  <c r="CK18" i="72" a="1"/>
  <c r="CK18" i="72" s="1"/>
  <c r="CN18" i="72" a="1"/>
  <c r="CN18" i="72" s="1"/>
  <c r="CQ18" i="72" a="1"/>
  <c r="CQ18" i="72" s="1"/>
  <c r="CJ18" i="72" a="1"/>
  <c r="CJ18" i="72" s="1"/>
  <c r="CP18" i="72" a="1"/>
  <c r="CP18" i="72" s="1"/>
  <c r="CO18" i="72" a="1"/>
  <c r="CO18" i="72" s="1"/>
  <c r="BV18" i="72" a="1"/>
  <c r="BV18" i="72" s="1"/>
  <c r="CP25" i="72" a="1"/>
  <c r="CP25" i="72" s="1"/>
  <c r="CL25" i="72" a="1"/>
  <c r="CL25" i="72" s="1"/>
  <c r="CQ25" i="72" a="1"/>
  <c r="CQ25" i="72" s="1"/>
  <c r="CK25" i="72" a="1"/>
  <c r="CK25" i="72" s="1"/>
  <c r="CO25" i="72" a="1"/>
  <c r="CO25" i="72" s="1"/>
  <c r="CJ25" i="72" a="1"/>
  <c r="CJ25" i="72" s="1"/>
  <c r="BV25" i="72" a="1"/>
  <c r="BV25" i="72" s="1"/>
  <c r="CN25" i="72" a="1"/>
  <c r="CN25" i="72" s="1"/>
  <c r="CM25" i="72" a="1"/>
  <c r="CM25" i="72" s="1"/>
  <c r="DK23" i="72" a="1"/>
  <c r="DK23" i="72" s="1"/>
  <c r="DG23" i="72" a="1"/>
  <c r="DG23" i="72" s="1"/>
  <c r="DJ23" i="72" a="1"/>
  <c r="DJ23" i="72" s="1"/>
  <c r="CS23" i="72" a="1"/>
  <c r="CS23" i="72" s="1"/>
  <c r="DN23" i="72" a="1"/>
  <c r="DN23" i="72" s="1"/>
  <c r="DI23" i="72" a="1"/>
  <c r="DI23" i="72" s="1"/>
  <c r="DM23" i="72" a="1"/>
  <c r="DM23" i="72" s="1"/>
  <c r="DL23" i="72" a="1"/>
  <c r="DL23" i="72" s="1"/>
  <c r="DH23" i="72" a="1"/>
  <c r="DH23" i="72" s="1"/>
  <c r="DI17" i="72" a="1"/>
  <c r="DI17" i="72" s="1"/>
  <c r="DK17" i="72" a="1"/>
  <c r="DK17" i="72" s="1"/>
  <c r="DM17" i="72" a="1"/>
  <c r="DM17" i="72" s="1"/>
  <c r="DG17" i="72" a="1"/>
  <c r="DG17" i="72" s="1"/>
  <c r="DL17" i="72" a="1"/>
  <c r="DL17" i="72" s="1"/>
  <c r="CS17" i="72" a="1"/>
  <c r="CS17" i="72" s="1"/>
  <c r="DJ17" i="72" a="1"/>
  <c r="DJ17" i="72" s="1"/>
  <c r="DN17" i="72" a="1"/>
  <c r="DN17" i="72" s="1"/>
  <c r="DH17" i="72" a="1"/>
  <c r="DH17" i="72" s="1"/>
  <c r="ED31" i="72" a="1"/>
  <c r="ED31" i="72" s="1"/>
  <c r="EH31" i="72" a="1"/>
  <c r="EH31" i="72" s="1"/>
  <c r="EG31" i="72" a="1"/>
  <c r="EG31" i="72" s="1"/>
  <c r="EK31" i="72" a="1"/>
  <c r="EK31" i="72" s="1"/>
  <c r="DP31" i="72" a="1"/>
  <c r="DP31" i="72" s="1"/>
  <c r="EF31" i="72" a="1"/>
  <c r="EF31" i="72" s="1"/>
  <c r="EJ31" i="72" a="1"/>
  <c r="EJ31" i="72" s="1"/>
  <c r="EI31" i="72" a="1"/>
  <c r="EI31" i="72" s="1"/>
  <c r="EE31" i="72" a="1"/>
  <c r="EE31" i="72" s="1"/>
  <c r="EH30" i="72" a="1"/>
  <c r="EH30" i="72" s="1"/>
  <c r="EJ30" i="72" a="1"/>
  <c r="EJ30" i="72" s="1"/>
  <c r="EE30" i="72" a="1"/>
  <c r="EE30" i="72" s="1"/>
  <c r="ED30" i="72" a="1"/>
  <c r="ED30" i="72" s="1"/>
  <c r="EI30" i="72" a="1"/>
  <c r="EI30" i="72" s="1"/>
  <c r="DP30" i="72" a="1"/>
  <c r="DP30" i="72" s="1"/>
  <c r="EG30" i="72" a="1"/>
  <c r="EG30" i="72" s="1"/>
  <c r="EK30" i="72" a="1"/>
  <c r="EK30" i="72" s="1"/>
  <c r="EF30" i="72" a="1"/>
  <c r="EF30" i="72" s="1"/>
  <c r="FE33" i="72" a="1"/>
  <c r="FE33" i="72" s="1"/>
  <c r="FA33" i="72" a="1"/>
  <c r="FA33" i="72" s="1"/>
  <c r="FG33" i="72" a="1"/>
  <c r="FG33" i="72" s="1"/>
  <c r="EM33" i="72" a="1"/>
  <c r="EM33" i="72" s="1"/>
  <c r="FH33" i="72" a="1"/>
  <c r="FH33" i="72" s="1"/>
  <c r="FF33" i="72" a="1"/>
  <c r="FF33" i="72" s="1"/>
  <c r="FD33" i="72" a="1"/>
  <c r="FD33" i="72" s="1"/>
  <c r="FC33" i="72" a="1"/>
  <c r="FC33" i="72" s="1"/>
  <c r="FB33" i="72" a="1"/>
  <c r="FB33" i="72" s="1"/>
  <c r="FC16" i="72" a="1"/>
  <c r="FC16" i="72" s="1"/>
  <c r="FG16" i="72" a="1"/>
  <c r="FG16" i="72" s="1"/>
  <c r="FB16" i="72" a="1"/>
  <c r="FB16" i="72" s="1"/>
  <c r="FF16" i="72" a="1"/>
  <c r="FF16" i="72" s="1"/>
  <c r="FA16" i="72" a="1"/>
  <c r="FA16" i="72" s="1"/>
  <c r="FE16" i="72" a="1"/>
  <c r="FE16" i="72" s="1"/>
  <c r="FH16" i="72" a="1"/>
  <c r="FH16" i="72" s="1"/>
  <c r="EM16" i="72" a="1"/>
  <c r="EM16" i="72" s="1"/>
  <c r="FD16" i="72" a="1"/>
  <c r="FD16" i="72" s="1"/>
  <c r="GE14" i="72" a="1"/>
  <c r="GE14" i="72" s="1"/>
  <c r="GA14" i="72" a="1"/>
  <c r="GA14" i="72" s="1"/>
  <c r="GD14" i="72" a="1"/>
  <c r="GD14" i="72" s="1"/>
  <c r="FZ14" i="72" a="1"/>
  <c r="FZ14" i="72" s="1"/>
  <c r="FJ14" i="72" a="1"/>
  <c r="FJ14" i="72" s="1"/>
  <c r="FX14" i="72" a="1"/>
  <c r="FX14" i="72" s="1"/>
  <c r="GC14" i="72" a="1"/>
  <c r="GC14" i="72" s="1"/>
  <c r="FY14" i="72" a="1"/>
  <c r="FY14" i="72" s="1"/>
  <c r="GB14" i="72" a="1"/>
  <c r="GB14" i="72" s="1"/>
  <c r="GC28" i="72" a="1"/>
  <c r="GC28" i="72" s="1"/>
  <c r="FX28" i="72" a="1"/>
  <c r="FX28" i="72" s="1"/>
  <c r="GB28" i="72" a="1"/>
  <c r="GB28" i="72" s="1"/>
  <c r="GA28" i="72" a="1"/>
  <c r="GA28" i="72" s="1"/>
  <c r="FJ28" i="72" a="1"/>
  <c r="FJ28" i="72" s="1"/>
  <c r="GE28" i="72" a="1"/>
  <c r="GE28" i="72" s="1"/>
  <c r="FZ28" i="72" a="1"/>
  <c r="FZ28" i="72" s="1"/>
  <c r="GD28" i="72" a="1"/>
  <c r="GD28" i="72" s="1"/>
  <c r="FY28" i="72" a="1"/>
  <c r="FY28" i="72" s="1"/>
  <c r="GX24" i="72" a="1"/>
  <c r="GX24" i="72" s="1"/>
  <c r="HB24" i="72" a="1"/>
  <c r="HB24" i="72" s="1"/>
  <c r="GG24" i="72" a="1"/>
  <c r="GG24" i="72" s="1"/>
  <c r="GW24" i="72" a="1"/>
  <c r="GW24" i="72" s="1"/>
  <c r="GZ24" i="72" a="1"/>
  <c r="GZ24" i="72" s="1"/>
  <c r="GU24" i="72" a="1"/>
  <c r="GU24" i="72" s="1"/>
  <c r="HA24" i="72" a="1"/>
  <c r="HA24" i="72" s="1"/>
  <c r="GY24" i="72" a="1"/>
  <c r="GY24" i="72" s="1"/>
  <c r="GV24" i="72" a="1"/>
  <c r="GV24" i="72" s="1"/>
  <c r="HA20" i="72" a="1"/>
  <c r="HA20" i="72" s="1"/>
  <c r="GW20" i="72" a="1"/>
  <c r="GW20" i="72" s="1"/>
  <c r="GG20" i="72" a="1"/>
  <c r="GG20" i="72" s="1"/>
  <c r="HB20" i="72" a="1"/>
  <c r="HB20" i="72" s="1"/>
  <c r="GV20" i="72" a="1"/>
  <c r="GV20" i="72" s="1"/>
  <c r="GZ20" i="72" a="1"/>
  <c r="GZ20" i="72" s="1"/>
  <c r="GU20" i="72" a="1"/>
  <c r="GU20" i="72" s="1"/>
  <c r="GY20" i="72" a="1"/>
  <c r="GY20" i="72" s="1"/>
  <c r="GX20" i="72" a="1"/>
  <c r="GX20" i="72" s="1"/>
  <c r="HY14" i="72" a="1"/>
  <c r="HY14" i="72" s="1"/>
  <c r="HU14" i="72" a="1"/>
  <c r="HU14" i="72" s="1"/>
  <c r="HX14" i="72" a="1"/>
  <c r="HX14" i="72" s="1"/>
  <c r="HT14" i="72" a="1"/>
  <c r="HT14" i="72" s="1"/>
  <c r="HD14" i="72" a="1"/>
  <c r="HD14" i="72" s="1"/>
  <c r="HW14" i="72" a="1"/>
  <c r="HW14" i="72" s="1"/>
  <c r="HS14" i="72" a="1"/>
  <c r="HS14" i="72" s="1"/>
  <c r="HV14" i="72" a="1"/>
  <c r="HV14" i="72" s="1"/>
  <c r="HR14" i="72" a="1"/>
  <c r="HR14" i="72" s="1"/>
  <c r="HV28" i="72" a="1"/>
  <c r="HV28" i="72" s="1"/>
  <c r="HR28" i="72" a="1"/>
  <c r="HR28" i="72" s="1"/>
  <c r="HY28" i="72" a="1"/>
  <c r="HY28" i="72" s="1"/>
  <c r="HU28" i="72" a="1"/>
  <c r="HU28" i="72" s="1"/>
  <c r="HS28" i="72" a="1"/>
  <c r="HS28" i="72" s="1"/>
  <c r="HX28" i="72" a="1"/>
  <c r="HX28" i="72" s="1"/>
  <c r="HW28" i="72" a="1"/>
  <c r="HW28" i="72" s="1"/>
  <c r="HD28" i="72" a="1"/>
  <c r="HD28" i="72" s="1"/>
  <c r="HT28" i="72" a="1"/>
  <c r="HT28" i="72" s="1"/>
  <c r="IS22" i="72" a="1"/>
  <c r="IS22" i="72" s="1"/>
  <c r="IO22" i="72" a="1"/>
  <c r="IO22" i="72" s="1"/>
  <c r="IV22" i="72" a="1"/>
  <c r="IV22" i="72" s="1"/>
  <c r="IQ22" i="72" a="1"/>
  <c r="IQ22" i="72" s="1"/>
  <c r="IP22" i="72" a="1"/>
  <c r="IP22" i="72" s="1"/>
  <c r="IU22" i="72" a="1"/>
  <c r="IU22" i="72" s="1"/>
  <c r="IT22" i="72" a="1"/>
  <c r="IT22" i="72" s="1"/>
  <c r="IA22" i="72" a="1"/>
  <c r="IA22" i="72" s="1"/>
  <c r="IR22" i="72" a="1"/>
  <c r="IR22" i="72" s="1"/>
  <c r="IV31" i="72" a="1"/>
  <c r="IV31" i="72" s="1"/>
  <c r="IU31" i="72" a="1"/>
  <c r="IU31" i="72" s="1"/>
  <c r="IP31" i="72" a="1"/>
  <c r="IP31" i="72" s="1"/>
  <c r="IS31" i="72" a="1"/>
  <c r="IS31" i="72" s="1"/>
  <c r="IR31" i="72" a="1"/>
  <c r="IR31" i="72" s="1"/>
  <c r="IQ31" i="72" a="1"/>
  <c r="IQ31" i="72" s="1"/>
  <c r="IO31" i="72" a="1"/>
  <c r="IO31" i="72" s="1"/>
  <c r="IT31" i="72" a="1"/>
  <c r="IT31" i="72" s="1"/>
  <c r="IA31" i="72" a="1"/>
  <c r="IA31" i="72" s="1"/>
  <c r="JN28" i="72" a="1"/>
  <c r="JN28" i="72" s="1"/>
  <c r="JM28" i="72" a="1"/>
  <c r="JM28" i="72" s="1"/>
  <c r="JQ28" i="72" a="1"/>
  <c r="JQ28" i="72" s="1"/>
  <c r="JP28" i="72" a="1"/>
  <c r="JP28" i="72" s="1"/>
  <c r="JL28" i="72" a="1"/>
  <c r="JL28" i="72" s="1"/>
  <c r="JS28" i="72" a="1"/>
  <c r="JS28" i="72" s="1"/>
  <c r="JR28" i="72" a="1"/>
  <c r="JR28" i="72" s="1"/>
  <c r="IX28" i="72" a="1"/>
  <c r="IX28" i="72" s="1"/>
  <c r="JO28" i="72" a="1"/>
  <c r="JO28" i="72" s="1"/>
  <c r="JQ26" i="72" a="1"/>
  <c r="JQ26" i="72" s="1"/>
  <c r="JL26" i="72" a="1"/>
  <c r="JL26" i="72" s="1"/>
  <c r="JP26" i="72" a="1"/>
  <c r="JP26" i="72" s="1"/>
  <c r="JO26" i="72" a="1"/>
  <c r="JO26" i="72" s="1"/>
  <c r="IX26" i="72" a="1"/>
  <c r="IX26" i="72" s="1"/>
  <c r="JS26" i="72" a="1"/>
  <c r="JS26" i="72" s="1"/>
  <c r="JN26" i="72" a="1"/>
  <c r="JN26" i="72" s="1"/>
  <c r="JR26" i="72" a="1"/>
  <c r="JR26" i="72" s="1"/>
  <c r="JM26" i="72" a="1"/>
  <c r="JM26" i="72" s="1"/>
  <c r="JP31" i="72" a="1"/>
  <c r="JP31" i="72" s="1"/>
  <c r="JS31" i="72" a="1"/>
  <c r="JS31" i="72" s="1"/>
  <c r="JN31" i="72" a="1"/>
  <c r="JN31" i="72" s="1"/>
  <c r="JL31" i="72" a="1"/>
  <c r="JL31" i="72" s="1"/>
  <c r="JR31" i="72" a="1"/>
  <c r="JR31" i="72" s="1"/>
  <c r="JQ31" i="72" a="1"/>
  <c r="JQ31" i="72" s="1"/>
  <c r="IX31" i="72" a="1"/>
  <c r="IX31" i="72" s="1"/>
  <c r="JO31" i="72" a="1"/>
  <c r="JO31" i="72" s="1"/>
  <c r="JM31" i="72" a="1"/>
  <c r="JM31" i="72" s="1"/>
  <c r="FH31" i="72" a="1"/>
  <c r="FH31" i="72" s="1"/>
  <c r="FD31" i="72" a="1"/>
  <c r="FD31" i="72" s="1"/>
  <c r="FE31" i="72" a="1"/>
  <c r="FE31" i="72" s="1"/>
  <c r="EM31" i="72" a="1"/>
  <c r="EM31" i="72" s="1"/>
  <c r="FC31" i="72" a="1"/>
  <c r="FC31" i="72" s="1"/>
  <c r="FG31" i="72" a="1"/>
  <c r="FG31" i="72" s="1"/>
  <c r="FB31" i="72" a="1"/>
  <c r="FB31" i="72" s="1"/>
  <c r="FF31" i="72" a="1"/>
  <c r="FF31" i="72" s="1"/>
  <c r="FA31" i="72" a="1"/>
  <c r="FA31" i="72" s="1"/>
  <c r="EE17" i="72" a="1"/>
  <c r="EE17" i="72" s="1"/>
  <c r="EG17" i="72" a="1"/>
  <c r="EG17" i="72" s="1"/>
  <c r="EF17" i="72" a="1"/>
  <c r="EF17" i="72" s="1"/>
  <c r="EK17" i="72" a="1"/>
  <c r="EK17" i="72" s="1"/>
  <c r="EJ17" i="72" a="1"/>
  <c r="EJ17" i="72" s="1"/>
  <c r="ED17" i="72" a="1"/>
  <c r="ED17" i="72" s="1"/>
  <c r="DP17" i="72" a="1"/>
  <c r="DP17" i="72" s="1"/>
  <c r="EI17" i="72" a="1"/>
  <c r="EI17" i="72" s="1"/>
  <c r="EH17" i="72" a="1"/>
  <c r="EH17" i="72" s="1"/>
  <c r="GA25" i="72" a="1"/>
  <c r="GA25" i="72" s="1"/>
  <c r="FJ25" i="72" a="1"/>
  <c r="FJ25" i="72" s="1"/>
  <c r="GD25" i="72" a="1"/>
  <c r="GD25" i="72" s="1"/>
  <c r="GC25" i="72" a="1"/>
  <c r="GC25" i="72" s="1"/>
  <c r="FY25" i="72" a="1"/>
  <c r="FY25" i="72" s="1"/>
  <c r="FX25" i="72" a="1"/>
  <c r="FX25" i="72" s="1"/>
  <c r="GE25" i="72" a="1"/>
  <c r="GE25" i="72" s="1"/>
  <c r="GB25" i="72" a="1"/>
  <c r="GB25" i="72" s="1"/>
  <c r="FZ25" i="72" a="1"/>
  <c r="FZ25" i="72" s="1"/>
  <c r="IU21" i="72" a="1"/>
  <c r="IU21" i="72" s="1"/>
  <c r="IQ21" i="72" a="1"/>
  <c r="IQ21" i="72" s="1"/>
  <c r="IA21" i="72" a="1"/>
  <c r="IA21" i="72" s="1"/>
  <c r="IT21" i="72" a="1"/>
  <c r="IT21" i="72" s="1"/>
  <c r="IS21" i="72" a="1"/>
  <c r="IS21" i="72" s="1"/>
  <c r="IR21" i="72" a="1"/>
  <c r="IR21" i="72" s="1"/>
  <c r="IP21" i="72" a="1"/>
  <c r="IP21" i="72" s="1"/>
  <c r="IV21" i="72" a="1"/>
  <c r="IV21" i="72" s="1"/>
  <c r="IO21" i="72" a="1"/>
  <c r="IO21" i="72" s="1"/>
  <c r="JL25" i="72" a="1"/>
  <c r="JL25" i="72" s="1"/>
  <c r="JP25" i="72" a="1"/>
  <c r="JP25" i="72" s="1"/>
  <c r="JO25" i="72" a="1"/>
  <c r="JO25" i="72" s="1"/>
  <c r="IX25" i="72" a="1"/>
  <c r="IX25" i="72" s="1"/>
  <c r="JR25" i="72" a="1"/>
  <c r="JR25" i="72" s="1"/>
  <c r="JM25" i="72" a="1"/>
  <c r="JM25" i="72" s="1"/>
  <c r="JQ25" i="72" a="1"/>
  <c r="JQ25" i="72" s="1"/>
  <c r="JN25" i="72" a="1"/>
  <c r="JN25" i="72" s="1"/>
  <c r="JS25" i="72" a="1"/>
  <c r="JS25" i="72" s="1"/>
  <c r="BQ34" i="72" a="1"/>
  <c r="BQ34" i="72" s="1"/>
  <c r="BM34" i="72" a="1"/>
  <c r="BM34" i="72" s="1"/>
  <c r="BO34" i="72" a="1"/>
  <c r="BO34" i="72" s="1"/>
  <c r="BN34" i="72" a="1"/>
  <c r="BN34" i="72" s="1"/>
  <c r="AY34" i="72" a="1"/>
  <c r="AY34" i="72" s="1"/>
  <c r="BT34" i="72" a="1"/>
  <c r="BT34" i="72" s="1"/>
  <c r="BS34" i="72" a="1"/>
  <c r="BS34" i="72" s="1"/>
  <c r="BR34" i="72" a="1"/>
  <c r="BR34" i="72" s="1"/>
  <c r="BP34" i="72" a="1"/>
  <c r="BP34" i="72" s="1"/>
  <c r="BP26" i="72" a="1"/>
  <c r="BP26" i="72" s="1"/>
  <c r="BT26" i="72" a="1"/>
  <c r="BT26" i="72" s="1"/>
  <c r="AY26" i="72" a="1"/>
  <c r="AY26" i="72" s="1"/>
  <c r="BO26" i="72" a="1"/>
  <c r="BO26" i="72" s="1"/>
  <c r="BN26" i="72" a="1"/>
  <c r="BN26" i="72" s="1"/>
  <c r="BR26" i="72" a="1"/>
  <c r="BR26" i="72" s="1"/>
  <c r="BM26" i="72" a="1"/>
  <c r="BM26" i="72" s="1"/>
  <c r="BS26" i="72" a="1"/>
  <c r="BS26" i="72" s="1"/>
  <c r="BQ26" i="72" a="1"/>
  <c r="BQ26" i="72" s="1"/>
  <c r="CM27" i="72" a="1"/>
  <c r="CM27" i="72" s="1"/>
  <c r="BV27" i="72" a="1"/>
  <c r="BV27" i="72" s="1"/>
  <c r="CQ27" i="72" a="1"/>
  <c r="CQ27" i="72" s="1"/>
  <c r="CL27" i="72" a="1"/>
  <c r="CL27" i="72" s="1"/>
  <c r="CP27" i="72" a="1"/>
  <c r="CP27" i="72" s="1"/>
  <c r="CK27" i="72" a="1"/>
  <c r="CK27" i="72" s="1"/>
  <c r="CO27" i="72" a="1"/>
  <c r="CO27" i="72" s="1"/>
  <c r="CJ27" i="72" a="1"/>
  <c r="CJ27" i="72" s="1"/>
  <c r="CN27" i="72" a="1"/>
  <c r="CN27" i="72" s="1"/>
  <c r="CP14" i="72" a="1"/>
  <c r="CP14" i="72" s="1"/>
  <c r="CL14" i="72" a="1"/>
  <c r="CL14" i="72" s="1"/>
  <c r="BV14" i="72" a="1"/>
  <c r="BV14" i="72" s="1"/>
  <c r="CO14" i="72" a="1"/>
  <c r="CO14" i="72" s="1"/>
  <c r="CK14" i="72" a="1"/>
  <c r="CK14" i="72" s="1"/>
  <c r="CJ14" i="72" a="1"/>
  <c r="CJ14" i="72" s="1"/>
  <c r="CQ14" i="72" a="1"/>
  <c r="CQ14" i="72" s="1"/>
  <c r="CM14" i="72" a="1"/>
  <c r="CM14" i="72" s="1"/>
  <c r="CN14" i="72" a="1"/>
  <c r="CN14" i="72" s="1"/>
  <c r="DH31" i="72" a="1"/>
  <c r="DH31" i="72" s="1"/>
  <c r="DL31" i="72" a="1"/>
  <c r="DL31" i="72" s="1"/>
  <c r="DK31" i="72" a="1"/>
  <c r="DK31" i="72" s="1"/>
  <c r="DJ31" i="72" a="1"/>
  <c r="DJ31" i="72" s="1"/>
  <c r="DN31" i="72" a="1"/>
  <c r="DN31" i="72" s="1"/>
  <c r="CS31" i="72" a="1"/>
  <c r="CS31" i="72" s="1"/>
  <c r="DM31" i="72" a="1"/>
  <c r="DM31" i="72" s="1"/>
  <c r="DI31" i="72" a="1"/>
  <c r="DI31" i="72" s="1"/>
  <c r="DG31" i="72" a="1"/>
  <c r="DG31" i="72" s="1"/>
  <c r="DJ16" i="72" a="1"/>
  <c r="DJ16" i="72" s="1"/>
  <c r="DN16" i="72" a="1"/>
  <c r="DN16" i="72" s="1"/>
  <c r="CS16" i="72" a="1"/>
  <c r="CS16" i="72" s="1"/>
  <c r="DI16" i="72" a="1"/>
  <c r="DI16" i="72" s="1"/>
  <c r="DM16" i="72" a="1"/>
  <c r="DM16" i="72" s="1"/>
  <c r="DH16" i="72" a="1"/>
  <c r="DH16" i="72" s="1"/>
  <c r="DL16" i="72" a="1"/>
  <c r="DL16" i="72" s="1"/>
  <c r="DK16" i="72" a="1"/>
  <c r="DK16" i="72" s="1"/>
  <c r="DG16" i="72" a="1"/>
  <c r="DG16" i="72" s="1"/>
  <c r="DK22" i="72" a="1"/>
  <c r="DK22" i="72" s="1"/>
  <c r="DG22" i="72" a="1"/>
  <c r="DG22" i="72" s="1"/>
  <c r="DH22" i="72" a="1"/>
  <c r="DH22" i="72" s="1"/>
  <c r="DM22" i="72" a="1"/>
  <c r="DM22" i="72" s="1"/>
  <c r="DN22" i="72" a="1"/>
  <c r="DN22" i="72" s="1"/>
  <c r="DL22" i="72" a="1"/>
  <c r="DL22" i="72" s="1"/>
  <c r="CS22" i="72" a="1"/>
  <c r="CS22" i="72" s="1"/>
  <c r="DJ22" i="72" a="1"/>
  <c r="DJ22" i="72" s="1"/>
  <c r="DI22" i="72" a="1"/>
  <c r="DI22" i="72" s="1"/>
  <c r="EJ34" i="72" a="1"/>
  <c r="EJ34" i="72" s="1"/>
  <c r="EF34" i="72" a="1"/>
  <c r="EF34" i="72" s="1"/>
  <c r="DP34" i="72" a="1"/>
  <c r="DP34" i="72" s="1"/>
  <c r="EH34" i="72" a="1"/>
  <c r="EH34" i="72" s="1"/>
  <c r="EK34" i="72" a="1"/>
  <c r="EK34" i="72" s="1"/>
  <c r="EI34" i="72" a="1"/>
  <c r="EI34" i="72" s="1"/>
  <c r="EG34" i="72" a="1"/>
  <c r="EG34" i="72" s="1"/>
  <c r="EE34" i="72" a="1"/>
  <c r="EE34" i="72" s="1"/>
  <c r="ED34" i="72" a="1"/>
  <c r="ED34" i="72" s="1"/>
  <c r="EJ24" i="72" a="1"/>
  <c r="EJ24" i="72" s="1"/>
  <c r="EE24" i="72" a="1"/>
  <c r="EE24" i="72" s="1"/>
  <c r="ED24" i="72" a="1"/>
  <c r="ED24" i="72" s="1"/>
  <c r="EG24" i="72" a="1"/>
  <c r="EG24" i="72" s="1"/>
  <c r="DP24" i="72" a="1"/>
  <c r="DP24" i="72" s="1"/>
  <c r="EK24" i="72" a="1"/>
  <c r="EK24" i="72" s="1"/>
  <c r="EI24" i="72" a="1"/>
  <c r="EI24" i="72" s="1"/>
  <c r="EH24" i="72" a="1"/>
  <c r="EH24" i="72" s="1"/>
  <c r="EF24" i="72" a="1"/>
  <c r="EF24" i="72" s="1"/>
  <c r="FE22" i="72" a="1"/>
  <c r="FE22" i="72" s="1"/>
  <c r="FA22" i="72" a="1"/>
  <c r="FA22" i="72" s="1"/>
  <c r="FH22" i="72" a="1"/>
  <c r="FH22" i="72" s="1"/>
  <c r="FC22" i="72" a="1"/>
  <c r="FC22" i="72" s="1"/>
  <c r="FG22" i="72" a="1"/>
  <c r="FG22" i="72" s="1"/>
  <c r="FF22" i="72" a="1"/>
  <c r="FF22" i="72" s="1"/>
  <c r="FD22" i="72" a="1"/>
  <c r="FD22" i="72" s="1"/>
  <c r="FB22" i="72" a="1"/>
  <c r="FB22" i="72" s="1"/>
  <c r="EM22" i="72" a="1"/>
  <c r="EM22" i="72" s="1"/>
  <c r="FB24" i="72" a="1"/>
  <c r="FB24" i="72" s="1"/>
  <c r="FF24" i="72" a="1"/>
  <c r="FF24" i="72" s="1"/>
  <c r="FA24" i="72" a="1"/>
  <c r="FA24" i="72" s="1"/>
  <c r="FC24" i="72" a="1"/>
  <c r="FC24" i="72" s="1"/>
  <c r="FG24" i="72" a="1"/>
  <c r="FG24" i="72" s="1"/>
  <c r="EM24" i="72" a="1"/>
  <c r="EM24" i="72" s="1"/>
  <c r="FE24" i="72" a="1"/>
  <c r="FE24" i="72" s="1"/>
  <c r="FD24" i="72" a="1"/>
  <c r="FD24" i="72" s="1"/>
  <c r="FH24" i="72" a="1"/>
  <c r="FH24" i="72" s="1"/>
  <c r="FX27" i="72" a="1"/>
  <c r="FX27" i="72" s="1"/>
  <c r="GB27" i="72" a="1"/>
  <c r="GB27" i="72" s="1"/>
  <c r="GA27" i="72" a="1"/>
  <c r="GA27" i="72" s="1"/>
  <c r="FJ27" i="72" a="1"/>
  <c r="FJ27" i="72" s="1"/>
  <c r="GE27" i="72" a="1"/>
  <c r="GE27" i="72" s="1"/>
  <c r="FZ27" i="72" a="1"/>
  <c r="FZ27" i="72" s="1"/>
  <c r="GD27" i="72" a="1"/>
  <c r="GD27" i="72" s="1"/>
  <c r="FY27" i="72" a="1"/>
  <c r="FY27" i="72" s="1"/>
  <c r="GC27" i="72" a="1"/>
  <c r="GC27" i="72" s="1"/>
  <c r="GD32" i="72" a="1"/>
  <c r="GD32" i="72" s="1"/>
  <c r="FZ32" i="72" a="1"/>
  <c r="FZ32" i="72" s="1"/>
  <c r="FJ32" i="72" a="1"/>
  <c r="FJ32" i="72" s="1"/>
  <c r="FX32" i="72" a="1"/>
  <c r="FX32" i="72" s="1"/>
  <c r="GE32" i="72" a="1"/>
  <c r="GE32" i="72" s="1"/>
  <c r="GC32" i="72" a="1"/>
  <c r="GC32" i="72" s="1"/>
  <c r="GB32" i="72" a="1"/>
  <c r="GB32" i="72" s="1"/>
  <c r="GA32" i="72" a="1"/>
  <c r="GA32" i="72" s="1"/>
  <c r="FY32" i="72" a="1"/>
  <c r="FY32" i="72" s="1"/>
  <c r="HA21" i="72" a="1"/>
  <c r="HA21" i="72" s="1"/>
  <c r="GW21" i="72" a="1"/>
  <c r="GW21" i="72" s="1"/>
  <c r="GG21" i="72" a="1"/>
  <c r="GG21" i="72" s="1"/>
  <c r="GZ21" i="72" a="1"/>
  <c r="GZ21" i="72" s="1"/>
  <c r="GY21" i="72" a="1"/>
  <c r="GY21" i="72" s="1"/>
  <c r="GV21" i="72" a="1"/>
  <c r="GV21" i="72" s="1"/>
  <c r="GX21" i="72" a="1"/>
  <c r="GX21" i="72" s="1"/>
  <c r="GU21" i="72" a="1"/>
  <c r="GU21" i="72" s="1"/>
  <c r="HB21" i="72" a="1"/>
  <c r="HB21" i="72" s="1"/>
  <c r="GZ14" i="72" a="1"/>
  <c r="GZ14" i="72" s="1"/>
  <c r="GV14" i="72" a="1"/>
  <c r="GV14" i="72" s="1"/>
  <c r="GY14" i="72" a="1"/>
  <c r="GY14" i="72" s="1"/>
  <c r="GU14" i="72" a="1"/>
  <c r="GU14" i="72" s="1"/>
  <c r="HB14" i="72" a="1"/>
  <c r="HB14" i="72" s="1"/>
  <c r="GX14" i="72" a="1"/>
  <c r="GX14" i="72" s="1"/>
  <c r="GW14" i="72" a="1"/>
  <c r="GW14" i="72" s="1"/>
  <c r="GG14" i="72" a="1"/>
  <c r="GG14" i="72" s="1"/>
  <c r="HA14" i="72" a="1"/>
  <c r="HA14" i="72" s="1"/>
  <c r="HX33" i="72" a="1"/>
  <c r="HX33" i="72" s="1"/>
  <c r="HT33" i="72" a="1"/>
  <c r="HT33" i="72" s="1"/>
  <c r="HD33" i="72" a="1"/>
  <c r="HD33" i="72" s="1"/>
  <c r="HR33" i="72" a="1"/>
  <c r="HR33" i="72" s="1"/>
  <c r="HW33" i="72" a="1"/>
  <c r="HW33" i="72" s="1"/>
  <c r="HV33" i="72" a="1"/>
  <c r="HV33" i="72" s="1"/>
  <c r="HU33" i="72" a="1"/>
  <c r="HU33" i="72" s="1"/>
  <c r="HS33" i="72" a="1"/>
  <c r="HS33" i="72" s="1"/>
  <c r="HY33" i="72" a="1"/>
  <c r="HY33" i="72" s="1"/>
  <c r="HX32" i="72" a="1"/>
  <c r="HX32" i="72" s="1"/>
  <c r="HT32" i="72" a="1"/>
  <c r="HT32" i="72" s="1"/>
  <c r="HD32" i="72" a="1"/>
  <c r="HD32" i="72" s="1"/>
  <c r="HV32" i="72" a="1"/>
  <c r="HV32" i="72" s="1"/>
  <c r="HU32" i="72" a="1"/>
  <c r="HU32" i="72" s="1"/>
  <c r="HS32" i="72" a="1"/>
  <c r="HS32" i="72" s="1"/>
  <c r="HR32" i="72" a="1"/>
  <c r="HR32" i="72" s="1"/>
  <c r="HY32" i="72" a="1"/>
  <c r="HY32" i="72" s="1"/>
  <c r="HW32" i="72" a="1"/>
  <c r="HW32" i="72" s="1"/>
  <c r="IU17" i="72" a="1"/>
  <c r="IU17" i="72" s="1"/>
  <c r="IP17" i="72" a="1"/>
  <c r="IP17" i="72" s="1"/>
  <c r="IT17" i="72" a="1"/>
  <c r="IT17" i="72" s="1"/>
  <c r="IS17" i="72" a="1"/>
  <c r="IS17" i="72" s="1"/>
  <c r="IR17" i="72" a="1"/>
  <c r="IR17" i="72" s="1"/>
  <c r="IA17" i="72" a="1"/>
  <c r="IA17" i="72" s="1"/>
  <c r="IQ17" i="72" a="1"/>
  <c r="IQ17" i="72" s="1"/>
  <c r="IO17" i="72" a="1"/>
  <c r="IO17" i="72" s="1"/>
  <c r="IV17" i="72" a="1"/>
  <c r="IV17" i="72" s="1"/>
  <c r="IT14" i="72" a="1"/>
  <c r="IT14" i="72" s="1"/>
  <c r="IP14" i="72" a="1"/>
  <c r="IP14" i="72" s="1"/>
  <c r="IS14" i="72" a="1"/>
  <c r="IS14" i="72" s="1"/>
  <c r="IO14" i="72" a="1"/>
  <c r="IO14" i="72" s="1"/>
  <c r="IU14" i="72" a="1"/>
  <c r="IU14" i="72" s="1"/>
  <c r="IV14" i="72" a="1"/>
  <c r="IV14" i="72" s="1"/>
  <c r="IR14" i="72" a="1"/>
  <c r="IR14" i="72" s="1"/>
  <c r="IQ14" i="72" a="1"/>
  <c r="IQ14" i="72" s="1"/>
  <c r="IA14" i="72" a="1"/>
  <c r="IA14" i="72" s="1"/>
  <c r="JM18" i="72" a="1"/>
  <c r="JM18" i="72" s="1"/>
  <c r="JL18" i="72" a="1"/>
  <c r="JL18" i="72" s="1"/>
  <c r="JO18" i="72" a="1"/>
  <c r="JO18" i="72" s="1"/>
  <c r="JN18" i="72" a="1"/>
  <c r="JN18" i="72" s="1"/>
  <c r="JS18" i="72" a="1"/>
  <c r="JS18" i="72" s="1"/>
  <c r="IX18" i="72" a="1"/>
  <c r="IX18" i="72" s="1"/>
  <c r="JR18" i="72" a="1"/>
  <c r="JR18" i="72" s="1"/>
  <c r="JQ18" i="72" a="1"/>
  <c r="JQ18" i="72" s="1"/>
  <c r="JP18" i="72" a="1"/>
  <c r="JP18" i="72" s="1"/>
  <c r="JR15" i="72" a="1"/>
  <c r="JR15" i="72" s="1"/>
  <c r="JM15" i="72" a="1"/>
  <c r="JM15" i="72" s="1"/>
  <c r="JQ15" i="72" a="1"/>
  <c r="JQ15" i="72" s="1"/>
  <c r="JL15" i="72" a="1"/>
  <c r="JL15" i="72" s="1"/>
  <c r="JP15" i="72" a="1"/>
  <c r="JP15" i="72" s="1"/>
  <c r="JO15" i="72" a="1"/>
  <c r="JO15" i="72" s="1"/>
  <c r="JN15" i="72" a="1"/>
  <c r="JN15" i="72" s="1"/>
  <c r="JS15" i="72" a="1"/>
  <c r="JS15" i="72" s="1"/>
  <c r="IX15" i="72" a="1"/>
  <c r="IX15" i="72" s="1"/>
  <c r="CO21" i="72" a="1"/>
  <c r="CO21" i="72" s="1"/>
  <c r="CN21" i="72" a="1"/>
  <c r="CN21" i="72" s="1"/>
  <c r="CM21" i="72" a="1"/>
  <c r="CM21" i="72" s="1"/>
  <c r="BV21" i="72" a="1"/>
  <c r="BV21" i="72" s="1"/>
  <c r="CK21" i="72" a="1"/>
  <c r="CK21" i="72" s="1"/>
  <c r="CJ21" i="72" a="1"/>
  <c r="CJ21" i="72" s="1"/>
  <c r="CQ21" i="72" a="1"/>
  <c r="CQ21" i="72" s="1"/>
  <c r="CP21" i="72" a="1"/>
  <c r="CP21" i="72" s="1"/>
  <c r="CL21" i="72" a="1"/>
  <c r="CL21" i="72" s="1"/>
  <c r="EE21" i="72" a="1"/>
  <c r="EE21" i="72" s="1"/>
  <c r="EJ21" i="72" a="1"/>
  <c r="EJ21" i="72" s="1"/>
  <c r="ED21" i="72" a="1"/>
  <c r="ED21" i="72" s="1"/>
  <c r="EH21" i="72" a="1"/>
  <c r="EH21" i="72" s="1"/>
  <c r="EF21" i="72" a="1"/>
  <c r="EF21" i="72" s="1"/>
  <c r="DP21" i="72" a="1"/>
  <c r="DP21" i="72" s="1"/>
  <c r="EK21" i="72" a="1"/>
  <c r="EK21" i="72" s="1"/>
  <c r="EI21" i="72" a="1"/>
  <c r="EI21" i="72" s="1"/>
  <c r="EG21" i="72" a="1"/>
  <c r="EG21" i="72" s="1"/>
  <c r="EJ27" i="72" a="1"/>
  <c r="EJ27" i="72" s="1"/>
  <c r="EE27" i="72" a="1"/>
  <c r="EE27" i="72" s="1"/>
  <c r="EI27" i="72" a="1"/>
  <c r="EI27" i="72" s="1"/>
  <c r="ED27" i="72" a="1"/>
  <c r="ED27" i="72" s="1"/>
  <c r="EH27" i="72" a="1"/>
  <c r="EH27" i="72" s="1"/>
  <c r="EG27" i="72" a="1"/>
  <c r="EG27" i="72" s="1"/>
  <c r="DP27" i="72" a="1"/>
  <c r="DP27" i="72" s="1"/>
  <c r="EK27" i="72" a="1"/>
  <c r="EK27" i="72" s="1"/>
  <c r="EF27" i="72" a="1"/>
  <c r="EF27" i="72" s="1"/>
  <c r="GU16" i="72" a="1"/>
  <c r="GU16" i="72" s="1"/>
  <c r="GY16" i="72" a="1"/>
  <c r="GY16" i="72" s="1"/>
  <c r="GX16" i="72" a="1"/>
  <c r="GX16" i="72" s="1"/>
  <c r="HB16" i="72" a="1"/>
  <c r="HB16" i="72" s="1"/>
  <c r="GG16" i="72" a="1"/>
  <c r="GG16" i="72" s="1"/>
  <c r="GW16" i="72" a="1"/>
  <c r="GW16" i="72" s="1"/>
  <c r="GZ16" i="72" a="1"/>
  <c r="GZ16" i="72" s="1"/>
  <c r="HA16" i="72" a="1"/>
  <c r="HA16" i="72" s="1"/>
  <c r="GV16" i="72" a="1"/>
  <c r="GV16" i="72" s="1"/>
  <c r="IU26" i="72" a="1"/>
  <c r="IU26" i="72" s="1"/>
  <c r="IP26" i="72" a="1"/>
  <c r="IP26" i="72" s="1"/>
  <c r="IT26" i="72" a="1"/>
  <c r="IT26" i="72" s="1"/>
  <c r="IO26" i="72" a="1"/>
  <c r="IO26" i="72" s="1"/>
  <c r="IS26" i="72" a="1"/>
  <c r="IS26" i="72" s="1"/>
  <c r="IR26" i="72" a="1"/>
  <c r="IR26" i="72" s="1"/>
  <c r="IV26" i="72" a="1"/>
  <c r="IV26" i="72" s="1"/>
  <c r="IA26" i="72" a="1"/>
  <c r="IA26" i="72" s="1"/>
  <c r="IQ26" i="72" a="1"/>
  <c r="IQ26" i="72" s="1"/>
  <c r="JO30" i="72" a="1"/>
  <c r="JO30" i="72" s="1"/>
  <c r="JN30" i="72" a="1"/>
  <c r="JN30" i="72" s="1"/>
  <c r="JR30" i="72" a="1"/>
  <c r="JR30" i="72" s="1"/>
  <c r="JM30" i="72" a="1"/>
  <c r="JM30" i="72" s="1"/>
  <c r="JQ30" i="72" a="1"/>
  <c r="JQ30" i="72" s="1"/>
  <c r="JS30" i="72" a="1"/>
  <c r="JS30" i="72" s="1"/>
  <c r="JP30" i="72" a="1"/>
  <c r="JP30" i="72" s="1"/>
  <c r="JL30" i="72" a="1"/>
  <c r="JL30" i="72" s="1"/>
  <c r="IX30" i="72" a="1"/>
  <c r="IX30" i="72" s="1"/>
  <c r="BQ32" i="72" a="1"/>
  <c r="BQ32" i="72" s="1"/>
  <c r="BM32" i="72" a="1"/>
  <c r="BM32" i="72" s="1"/>
  <c r="BS32" i="72" a="1"/>
  <c r="BS32" i="72" s="1"/>
  <c r="BP32" i="72" a="1"/>
  <c r="BP32" i="72" s="1"/>
  <c r="AY32" i="72" a="1"/>
  <c r="AY32" i="72" s="1"/>
  <c r="BT32" i="72" a="1"/>
  <c r="BT32" i="72" s="1"/>
  <c r="BR32" i="72" a="1"/>
  <c r="BR32" i="72" s="1"/>
  <c r="BO32" i="72" a="1"/>
  <c r="BO32" i="72" s="1"/>
  <c r="BN32" i="72" a="1"/>
  <c r="BN32" i="72" s="1"/>
  <c r="BO30" i="72" a="1"/>
  <c r="BO30" i="72" s="1"/>
  <c r="BQ30" i="72" a="1"/>
  <c r="BQ30" i="72" s="1"/>
  <c r="BM30" i="72" a="1"/>
  <c r="BM30" i="72" s="1"/>
  <c r="BP30" i="72" a="1"/>
  <c r="BP30" i="72" s="1"/>
  <c r="AY30" i="72" a="1"/>
  <c r="AY30" i="72" s="1"/>
  <c r="BT30" i="72" a="1"/>
  <c r="BT30" i="72" s="1"/>
  <c r="BS30" i="72" a="1"/>
  <c r="BS30" i="72" s="1"/>
  <c r="BR30" i="72" a="1"/>
  <c r="BR30" i="72" s="1"/>
  <c r="BN30" i="72" a="1"/>
  <c r="BN30" i="72" s="1"/>
  <c r="CQ15" i="72" a="1"/>
  <c r="CQ15" i="72" s="1"/>
  <c r="CM15" i="72" a="1"/>
  <c r="CM15" i="72" s="1"/>
  <c r="CP15" i="72" a="1"/>
  <c r="CP15" i="72" s="1"/>
  <c r="CL15" i="72" a="1"/>
  <c r="CL15" i="72" s="1"/>
  <c r="BV15" i="72" a="1"/>
  <c r="BV15" i="72" s="1"/>
  <c r="CN15" i="72" a="1"/>
  <c r="CN15" i="72" s="1"/>
  <c r="CO15" i="72" a="1"/>
  <c r="CO15" i="72" s="1"/>
  <c r="CK15" i="72" a="1"/>
  <c r="CK15" i="72" s="1"/>
  <c r="CJ15" i="72" a="1"/>
  <c r="CJ15" i="72" s="1"/>
  <c r="CL31" i="72" a="1"/>
  <c r="CL31" i="72" s="1"/>
  <c r="CP31" i="72" a="1"/>
  <c r="CP31" i="72" s="1"/>
  <c r="CK31" i="72" a="1"/>
  <c r="CK31" i="72" s="1"/>
  <c r="CJ31" i="72" a="1"/>
  <c r="CJ31" i="72" s="1"/>
  <c r="CN31" i="72" a="1"/>
  <c r="CN31" i="72" s="1"/>
  <c r="CQ31" i="72" a="1"/>
  <c r="CQ31" i="72" s="1"/>
  <c r="BV31" i="72" a="1"/>
  <c r="BV31" i="72" s="1"/>
  <c r="CO31" i="72" a="1"/>
  <c r="CO31" i="72" s="1"/>
  <c r="CM31" i="72" a="1"/>
  <c r="CM31" i="72" s="1"/>
  <c r="DL30" i="72" a="1"/>
  <c r="DL30" i="72" s="1"/>
  <c r="DI30" i="72" a="1"/>
  <c r="DI30" i="72" s="1"/>
  <c r="DK30" i="72" a="1"/>
  <c r="DK30" i="72" s="1"/>
  <c r="CS30" i="72" a="1"/>
  <c r="CS30" i="72" s="1"/>
  <c r="DN30" i="72" a="1"/>
  <c r="DN30" i="72" s="1"/>
  <c r="DH30" i="72" a="1"/>
  <c r="DH30" i="72" s="1"/>
  <c r="DM30" i="72" a="1"/>
  <c r="DM30" i="72" s="1"/>
  <c r="DG30" i="72" a="1"/>
  <c r="DG30" i="72" s="1"/>
  <c r="DJ30" i="72" a="1"/>
  <c r="DJ30" i="72" s="1"/>
  <c r="DN27" i="72" a="1"/>
  <c r="DN27" i="72" s="1"/>
  <c r="CS27" i="72" a="1"/>
  <c r="CS27" i="72" s="1"/>
  <c r="DI27" i="72" a="1"/>
  <c r="DI27" i="72" s="1"/>
  <c r="DM27" i="72" a="1"/>
  <c r="DM27" i="72" s="1"/>
  <c r="DH27" i="72" a="1"/>
  <c r="DH27" i="72" s="1"/>
  <c r="DL27" i="72" a="1"/>
  <c r="DL27" i="72" s="1"/>
  <c r="DG27" i="72" a="1"/>
  <c r="DG27" i="72" s="1"/>
  <c r="DK27" i="72" a="1"/>
  <c r="DK27" i="72" s="1"/>
  <c r="DJ27" i="72" a="1"/>
  <c r="DJ27" i="72" s="1"/>
  <c r="ED25" i="72" a="1"/>
  <c r="ED25" i="72" s="1"/>
  <c r="EG25" i="72" a="1"/>
  <c r="EG25" i="72" s="1"/>
  <c r="EF25" i="72" a="1"/>
  <c r="EF25" i="72" s="1"/>
  <c r="EK25" i="72" a="1"/>
  <c r="EK25" i="72" s="1"/>
  <c r="EE25" i="72" a="1"/>
  <c r="EE25" i="72" s="1"/>
  <c r="EJ25" i="72" a="1"/>
  <c r="EJ25" i="72" s="1"/>
  <c r="EI25" i="72" a="1"/>
  <c r="EI25" i="72" s="1"/>
  <c r="DP25" i="72" a="1"/>
  <c r="DP25" i="72" s="1"/>
  <c r="EH25" i="72" a="1"/>
  <c r="EH25" i="72" s="1"/>
  <c r="EH20" i="72" a="1"/>
  <c r="EH20" i="72" s="1"/>
  <c r="ED20" i="72" a="1"/>
  <c r="ED20" i="72" s="1"/>
  <c r="EI20" i="72" a="1"/>
  <c r="EI20" i="72" s="1"/>
  <c r="EG20" i="72" a="1"/>
  <c r="EG20" i="72" s="1"/>
  <c r="DP20" i="72" a="1"/>
  <c r="DP20" i="72" s="1"/>
  <c r="EK20" i="72" a="1"/>
  <c r="EK20" i="72" s="1"/>
  <c r="EF20" i="72" a="1"/>
  <c r="EF20" i="72" s="1"/>
  <c r="EJ20" i="72" a="1"/>
  <c r="EJ20" i="72" s="1"/>
  <c r="EE20" i="72" a="1"/>
  <c r="EE20" i="72" s="1"/>
  <c r="EE26" i="72" a="1"/>
  <c r="EE26" i="72" s="1"/>
  <c r="EI26" i="72" a="1"/>
  <c r="EI26" i="72" s="1"/>
  <c r="ED26" i="72" a="1"/>
  <c r="ED26" i="72" s="1"/>
  <c r="EH26" i="72" a="1"/>
  <c r="EH26" i="72" s="1"/>
  <c r="EG26" i="72" a="1"/>
  <c r="EG26" i="72" s="1"/>
  <c r="DP26" i="72" a="1"/>
  <c r="DP26" i="72" s="1"/>
  <c r="EK26" i="72" a="1"/>
  <c r="EK26" i="72" s="1"/>
  <c r="EF26" i="72" a="1"/>
  <c r="EF26" i="72" s="1"/>
  <c r="EJ26" i="72" a="1"/>
  <c r="EJ26" i="72" s="1"/>
  <c r="FA17" i="72" a="1"/>
  <c r="FA17" i="72" s="1"/>
  <c r="FH17" i="72" a="1"/>
  <c r="FH17" i="72" s="1"/>
  <c r="EM17" i="72" a="1"/>
  <c r="EM17" i="72" s="1"/>
  <c r="FE17" i="72" a="1"/>
  <c r="FE17" i="72" s="1"/>
  <c r="FD17" i="72" a="1"/>
  <c r="FD17" i="72" s="1"/>
  <c r="FC17" i="72" a="1"/>
  <c r="FC17" i="72" s="1"/>
  <c r="FB17" i="72" a="1"/>
  <c r="FB17" i="72" s="1"/>
  <c r="FF17" i="72" a="1"/>
  <c r="FF17" i="72" s="1"/>
  <c r="FG17" i="72" a="1"/>
  <c r="FG17" i="72" s="1"/>
  <c r="FG28" i="72" a="1"/>
  <c r="FG28" i="72" s="1"/>
  <c r="FB28" i="72" a="1"/>
  <c r="FB28" i="72" s="1"/>
  <c r="FF28" i="72" a="1"/>
  <c r="FF28" i="72" s="1"/>
  <c r="FA28" i="72" a="1"/>
  <c r="FA28" i="72" s="1"/>
  <c r="FE28" i="72" a="1"/>
  <c r="FE28" i="72" s="1"/>
  <c r="FD28" i="72" a="1"/>
  <c r="FD28" i="72" s="1"/>
  <c r="FH28" i="72" a="1"/>
  <c r="FH28" i="72" s="1"/>
  <c r="EM28" i="72" a="1"/>
  <c r="EM28" i="72" s="1"/>
  <c r="FC28" i="72" a="1"/>
  <c r="FC28" i="72" s="1"/>
  <c r="GE21" i="72" a="1"/>
  <c r="GE21" i="72" s="1"/>
  <c r="FZ21" i="72" a="1"/>
  <c r="FZ21" i="72" s="1"/>
  <c r="GD21" i="72" a="1"/>
  <c r="GD21" i="72" s="1"/>
  <c r="FX21" i="72" a="1"/>
  <c r="FX21" i="72" s="1"/>
  <c r="GC21" i="72" a="1"/>
  <c r="GC21" i="72" s="1"/>
  <c r="FY21" i="72" a="1"/>
  <c r="FY21" i="72" s="1"/>
  <c r="FJ21" i="72" a="1"/>
  <c r="FJ21" i="72" s="1"/>
  <c r="GB21" i="72" a="1"/>
  <c r="GB21" i="72" s="1"/>
  <c r="GA21" i="72" a="1"/>
  <c r="GA21" i="72" s="1"/>
  <c r="GD33" i="72" a="1"/>
  <c r="GD33" i="72" s="1"/>
  <c r="FZ33" i="72" a="1"/>
  <c r="FZ33" i="72" s="1"/>
  <c r="FJ33" i="72" a="1"/>
  <c r="FJ33" i="72" s="1"/>
  <c r="GB33" i="72" a="1"/>
  <c r="GB33" i="72" s="1"/>
  <c r="FX33" i="72" a="1"/>
  <c r="FX33" i="72" s="1"/>
  <c r="GE33" i="72" a="1"/>
  <c r="GE33" i="72" s="1"/>
  <c r="GC33" i="72" a="1"/>
  <c r="GC33" i="72" s="1"/>
  <c r="GA33" i="72" a="1"/>
  <c r="GA33" i="72" s="1"/>
  <c r="FY33" i="72" a="1"/>
  <c r="FY33" i="72" s="1"/>
  <c r="GY34" i="72" a="1"/>
  <c r="GY34" i="72" s="1"/>
  <c r="GU34" i="72" a="1"/>
  <c r="GU34" i="72" s="1"/>
  <c r="HB34" i="72" a="1"/>
  <c r="HB34" i="72" s="1"/>
  <c r="HA34" i="72" a="1"/>
  <c r="HA34" i="72" s="1"/>
  <c r="GG34" i="72" a="1"/>
  <c r="GG34" i="72" s="1"/>
  <c r="GZ34" i="72" a="1"/>
  <c r="GZ34" i="72" s="1"/>
  <c r="GX34" i="72" a="1"/>
  <c r="GX34" i="72" s="1"/>
  <c r="GW34" i="72" a="1"/>
  <c r="GW34" i="72" s="1"/>
  <c r="GV34" i="72" a="1"/>
  <c r="GV34" i="72" s="1"/>
  <c r="GZ31" i="72" a="1"/>
  <c r="GZ31" i="72" s="1"/>
  <c r="GU31" i="72" a="1"/>
  <c r="GU31" i="72" s="1"/>
  <c r="GV31" i="72" a="1"/>
  <c r="GV31" i="72" s="1"/>
  <c r="HB31" i="72" a="1"/>
  <c r="HB31" i="72" s="1"/>
  <c r="HA31" i="72" a="1"/>
  <c r="HA31" i="72" s="1"/>
  <c r="GG31" i="72" a="1"/>
  <c r="GG31" i="72" s="1"/>
  <c r="GY31" i="72" a="1"/>
  <c r="GY31" i="72" s="1"/>
  <c r="GW31" i="72" a="1"/>
  <c r="GW31" i="72" s="1"/>
  <c r="GX31" i="72" a="1"/>
  <c r="GX31" i="72" s="1"/>
  <c r="HX25" i="72" a="1"/>
  <c r="HX25" i="72" s="1"/>
  <c r="HS25" i="72" a="1"/>
  <c r="HS25" i="72" s="1"/>
  <c r="HR25" i="72" a="1"/>
  <c r="HR25" i="72" s="1"/>
  <c r="HU25" i="72" a="1"/>
  <c r="HU25" i="72" s="1"/>
  <c r="HD25" i="72" a="1"/>
  <c r="HD25" i="72" s="1"/>
  <c r="HY25" i="72" a="1"/>
  <c r="HY25" i="72" s="1"/>
  <c r="HW25" i="72" a="1"/>
  <c r="HW25" i="72" s="1"/>
  <c r="HV25" i="72" a="1"/>
  <c r="HV25" i="72" s="1"/>
  <c r="HT25" i="72" a="1"/>
  <c r="HT25" i="72" s="1"/>
  <c r="HR29" i="72" a="1"/>
  <c r="HR29" i="72" s="1"/>
  <c r="HU29" i="72" a="1"/>
  <c r="HU29" i="72" s="1"/>
  <c r="HY29" i="72" a="1"/>
  <c r="HY29" i="72" s="1"/>
  <c r="HD29" i="72" a="1"/>
  <c r="HD29" i="72" s="1"/>
  <c r="HX29" i="72" a="1"/>
  <c r="HX29" i="72" s="1"/>
  <c r="HT29" i="72" a="1"/>
  <c r="HT29" i="72" s="1"/>
  <c r="HS29" i="72" a="1"/>
  <c r="HS29" i="72" s="1"/>
  <c r="HW29" i="72" a="1"/>
  <c r="HW29" i="72" s="1"/>
  <c r="HV29" i="72" a="1"/>
  <c r="HV29" i="72" s="1"/>
  <c r="IU19" i="72" a="1"/>
  <c r="IU19" i="72" s="1"/>
  <c r="IQ19" i="72" a="1"/>
  <c r="IQ19" i="72" s="1"/>
  <c r="IA19" i="72" a="1"/>
  <c r="IA19" i="72" s="1"/>
  <c r="IV19" i="72" a="1"/>
  <c r="IV19" i="72" s="1"/>
  <c r="IP19" i="72" a="1"/>
  <c r="IP19" i="72" s="1"/>
  <c r="IT19" i="72" a="1"/>
  <c r="IT19" i="72" s="1"/>
  <c r="IO19" i="72" a="1"/>
  <c r="IO19" i="72" s="1"/>
  <c r="IS19" i="72" a="1"/>
  <c r="IS19" i="72" s="1"/>
  <c r="IR19" i="72" a="1"/>
  <c r="IR19" i="72" s="1"/>
  <c r="IU23" i="72" a="1"/>
  <c r="IU23" i="72" s="1"/>
  <c r="IP23" i="72" a="1"/>
  <c r="IP23" i="72" s="1"/>
  <c r="IS23" i="72" a="1"/>
  <c r="IS23" i="72" s="1"/>
  <c r="IO23" i="72" a="1"/>
  <c r="IO23" i="72" s="1"/>
  <c r="IV23" i="72" a="1"/>
  <c r="IV23" i="72" s="1"/>
  <c r="IT23" i="72" a="1"/>
  <c r="IT23" i="72" s="1"/>
  <c r="IA23" i="72" a="1"/>
  <c r="IA23" i="72" s="1"/>
  <c r="IR23" i="72" a="1"/>
  <c r="IR23" i="72" s="1"/>
  <c r="IQ23" i="72" a="1"/>
  <c r="IQ23" i="72" s="1"/>
  <c r="JN16" i="72" a="1"/>
  <c r="JN16" i="72" s="1"/>
  <c r="JR16" i="72" a="1"/>
  <c r="JR16" i="72" s="1"/>
  <c r="JM16" i="72" a="1"/>
  <c r="JM16" i="72" s="1"/>
  <c r="JQ16" i="72" a="1"/>
  <c r="JQ16" i="72" s="1"/>
  <c r="JP16" i="72" a="1"/>
  <c r="JP16" i="72" s="1"/>
  <c r="JL16" i="72" a="1"/>
  <c r="JL16" i="72" s="1"/>
  <c r="JS16" i="72" a="1"/>
  <c r="JS16" i="72" s="1"/>
  <c r="IX16" i="72" a="1"/>
  <c r="IX16" i="72" s="1"/>
  <c r="JO16" i="72" a="1"/>
  <c r="JO16" i="72" s="1"/>
  <c r="GY15" i="72" a="1"/>
  <c r="GY15" i="72" s="1"/>
  <c r="GX15" i="72" a="1"/>
  <c r="GX15" i="72" s="1"/>
  <c r="HB15" i="72" a="1"/>
  <c r="HB15" i="72" s="1"/>
  <c r="GG15" i="72" a="1"/>
  <c r="GG15" i="72" s="1"/>
  <c r="GW15" i="72" a="1"/>
  <c r="GW15" i="72" s="1"/>
  <c r="GU15" i="72" a="1"/>
  <c r="GU15" i="72" s="1"/>
  <c r="GZ15" i="72" a="1"/>
  <c r="GZ15" i="72" s="1"/>
  <c r="HA15" i="72" a="1"/>
  <c r="HA15" i="72" s="1"/>
  <c r="GV15" i="72" a="1"/>
  <c r="GV15" i="72" s="1"/>
  <c r="DL15" i="72" a="1"/>
  <c r="DL15" i="72" s="1"/>
  <c r="DH15" i="72" a="1"/>
  <c r="DH15" i="72" s="1"/>
  <c r="DK15" i="72" a="1"/>
  <c r="DK15" i="72" s="1"/>
  <c r="DG15" i="72" a="1"/>
  <c r="DG15" i="72" s="1"/>
  <c r="DN15" i="72" a="1"/>
  <c r="DN15" i="72" s="1"/>
  <c r="DJ15" i="72" a="1"/>
  <c r="DJ15" i="72" s="1"/>
  <c r="DM15" i="72" a="1"/>
  <c r="DM15" i="72" s="1"/>
  <c r="DI15" i="72" a="1"/>
  <c r="DI15" i="72" s="1"/>
  <c r="CS15" i="72" a="1"/>
  <c r="CS15" i="72" s="1"/>
  <c r="FE34" i="72" a="1"/>
  <c r="FE34" i="72" s="1"/>
  <c r="FA34" i="72" a="1"/>
  <c r="FA34" i="72" s="1"/>
  <c r="FC34" i="72" a="1"/>
  <c r="FC34" i="72" s="1"/>
  <c r="FH34" i="72" a="1"/>
  <c r="FH34" i="72" s="1"/>
  <c r="EM34" i="72" a="1"/>
  <c r="EM34" i="72" s="1"/>
  <c r="FG34" i="72" a="1"/>
  <c r="FG34" i="72" s="1"/>
  <c r="FF34" i="72" a="1"/>
  <c r="FF34" i="72" s="1"/>
  <c r="FD34" i="72" a="1"/>
  <c r="FD34" i="72" s="1"/>
  <c r="FB34" i="72" a="1"/>
  <c r="FB34" i="72" s="1"/>
  <c r="GY33" i="72" a="1"/>
  <c r="GY33" i="72" s="1"/>
  <c r="GU33" i="72" a="1"/>
  <c r="GU33" i="72" s="1"/>
  <c r="GW33" i="72" a="1"/>
  <c r="GW33" i="72" s="1"/>
  <c r="GX33" i="72" a="1"/>
  <c r="GX33" i="72" s="1"/>
  <c r="GV33" i="72" a="1"/>
  <c r="GV33" i="72" s="1"/>
  <c r="GG33" i="72" a="1"/>
  <c r="GG33" i="72" s="1"/>
  <c r="HB33" i="72" a="1"/>
  <c r="HB33" i="72" s="1"/>
  <c r="HA33" i="72" a="1"/>
  <c r="HA33" i="72" s="1"/>
  <c r="GZ33" i="72" a="1"/>
  <c r="GZ33" i="72" s="1"/>
  <c r="IS34" i="72" a="1"/>
  <c r="IS34" i="72" s="1"/>
  <c r="IO34" i="72" a="1"/>
  <c r="IO34" i="72" s="1"/>
  <c r="IV34" i="72" a="1"/>
  <c r="IV34" i="72" s="1"/>
  <c r="IR34" i="72" a="1"/>
  <c r="IR34" i="72" s="1"/>
  <c r="IU34" i="72" a="1"/>
  <c r="IU34" i="72" s="1"/>
  <c r="IT34" i="72" a="1"/>
  <c r="IT34" i="72" s="1"/>
  <c r="IQ34" i="72" a="1"/>
  <c r="IQ34" i="72" s="1"/>
  <c r="IP34" i="72" a="1"/>
  <c r="IP34" i="72" s="1"/>
  <c r="IA34" i="72" a="1"/>
  <c r="IA34" i="72" s="1"/>
  <c r="BQ23" i="72" a="1"/>
  <c r="BQ23" i="72" s="1"/>
  <c r="BM23" i="72" a="1"/>
  <c r="BM23" i="72" s="1"/>
  <c r="BP23" i="72" a="1"/>
  <c r="BP23" i="72" s="1"/>
  <c r="AY23" i="72" a="1"/>
  <c r="AY23" i="72" s="1"/>
  <c r="BT23" i="72" a="1"/>
  <c r="BT23" i="72" s="1"/>
  <c r="BO23" i="72" a="1"/>
  <c r="BO23" i="72" s="1"/>
  <c r="BN23" i="72" a="1"/>
  <c r="BN23" i="72" s="1"/>
  <c r="BS23" i="72" a="1"/>
  <c r="BS23" i="72" s="1"/>
  <c r="BR23" i="72" a="1"/>
  <c r="BR23" i="72" s="1"/>
  <c r="BT25" i="72" a="1"/>
  <c r="BT25" i="72" s="1"/>
  <c r="AY25" i="72" a="1"/>
  <c r="AY25" i="72" s="1"/>
  <c r="BS25" i="72" a="1"/>
  <c r="BS25" i="72" s="1"/>
  <c r="BN25" i="72" a="1"/>
  <c r="BN25" i="72" s="1"/>
  <c r="BM25" i="72" a="1"/>
  <c r="BM25" i="72" s="1"/>
  <c r="BR25" i="72" a="1"/>
  <c r="BR25" i="72" s="1"/>
  <c r="BQ25" i="72" a="1"/>
  <c r="BQ25" i="72" s="1"/>
  <c r="BP25" i="72" a="1"/>
  <c r="BP25" i="72" s="1"/>
  <c r="BO25" i="72" a="1"/>
  <c r="BO25" i="72" s="1"/>
  <c r="BQ24" i="72" a="1"/>
  <c r="BQ24" i="72" s="1"/>
  <c r="BT24" i="72" a="1"/>
  <c r="BT24" i="72" s="1"/>
  <c r="AY24" i="72" a="1"/>
  <c r="AY24" i="72" s="1"/>
  <c r="BS24" i="72" a="1"/>
  <c r="BS24" i="72" s="1"/>
  <c r="BR24" i="72" a="1"/>
  <c r="BR24" i="72" s="1"/>
  <c r="BP24" i="72" a="1"/>
  <c r="BP24" i="72" s="1"/>
  <c r="BO24" i="72" a="1"/>
  <c r="BO24" i="72" s="1"/>
  <c r="BN24" i="72" a="1"/>
  <c r="BN24" i="72" s="1"/>
  <c r="BM24" i="72" a="1"/>
  <c r="BM24" i="72" s="1"/>
  <c r="CP30" i="72" a="1"/>
  <c r="CP30" i="72" s="1"/>
  <c r="CK30" i="72" a="1"/>
  <c r="CK30" i="72" s="1"/>
  <c r="CM30" i="72" a="1"/>
  <c r="CM30" i="72" s="1"/>
  <c r="CL30" i="72" a="1"/>
  <c r="CL30" i="72" s="1"/>
  <c r="CJ30" i="72" a="1"/>
  <c r="CJ30" i="72" s="1"/>
  <c r="CO30" i="72" a="1"/>
  <c r="CO30" i="72" s="1"/>
  <c r="CN30" i="72" a="1"/>
  <c r="CN30" i="72" s="1"/>
  <c r="BV30" i="72" a="1"/>
  <c r="BV30" i="72" s="1"/>
  <c r="CQ30" i="72" a="1"/>
  <c r="CQ30" i="72" s="1"/>
  <c r="CN20" i="72" a="1"/>
  <c r="CN20" i="72" s="1"/>
  <c r="CJ20" i="72" a="1"/>
  <c r="CJ20" i="72" s="1"/>
  <c r="CM20" i="72" a="1"/>
  <c r="CM20" i="72" s="1"/>
  <c r="BV20" i="72" a="1"/>
  <c r="BV20" i="72" s="1"/>
  <c r="CQ20" i="72" a="1"/>
  <c r="CQ20" i="72" s="1"/>
  <c r="CL20" i="72" a="1"/>
  <c r="CL20" i="72" s="1"/>
  <c r="CP20" i="72" a="1"/>
  <c r="CP20" i="72" s="1"/>
  <c r="CK20" i="72" a="1"/>
  <c r="CK20" i="72" s="1"/>
  <c r="CO20" i="72" a="1"/>
  <c r="CO20" i="72" s="1"/>
  <c r="DH25" i="72" a="1"/>
  <c r="DH25" i="72" s="1"/>
  <c r="DN25" i="72" a="1"/>
  <c r="DN25" i="72" s="1"/>
  <c r="DI25" i="72" a="1"/>
  <c r="DI25" i="72" s="1"/>
  <c r="DM25" i="72" a="1"/>
  <c r="DM25" i="72" s="1"/>
  <c r="DG25" i="72" a="1"/>
  <c r="DG25" i="72" s="1"/>
  <c r="DL25" i="72" a="1"/>
  <c r="DL25" i="72" s="1"/>
  <c r="DK25" i="72" a="1"/>
  <c r="DK25" i="72" s="1"/>
  <c r="DJ25" i="72" a="1"/>
  <c r="DJ25" i="72" s="1"/>
  <c r="CS25" i="72" a="1"/>
  <c r="CS25" i="72" s="1"/>
  <c r="DM19" i="72" a="1"/>
  <c r="DM19" i="72" s="1"/>
  <c r="DI19" i="72" a="1"/>
  <c r="DI19" i="72" s="1"/>
  <c r="DL19" i="72" a="1"/>
  <c r="DL19" i="72" s="1"/>
  <c r="DK19" i="72" a="1"/>
  <c r="DK19" i="72" s="1"/>
  <c r="DJ19" i="72" a="1"/>
  <c r="DJ19" i="72" s="1"/>
  <c r="DH19" i="72" a="1"/>
  <c r="DH19" i="72" s="1"/>
  <c r="DG19" i="72" a="1"/>
  <c r="DG19" i="72" s="1"/>
  <c r="CS19" i="72" a="1"/>
  <c r="CS19" i="72" s="1"/>
  <c r="DN19" i="72" a="1"/>
  <c r="DN19" i="72" s="1"/>
  <c r="EK15" i="72" a="1"/>
  <c r="EK15" i="72" s="1"/>
  <c r="EG15" i="72" a="1"/>
  <c r="EG15" i="72" s="1"/>
  <c r="EJ15" i="72" a="1"/>
  <c r="EJ15" i="72" s="1"/>
  <c r="EF15" i="72" a="1"/>
  <c r="EF15" i="72" s="1"/>
  <c r="DP15" i="72" a="1"/>
  <c r="DP15" i="72" s="1"/>
  <c r="EI15" i="72" a="1"/>
  <c r="EI15" i="72" s="1"/>
  <c r="EE15" i="72" a="1"/>
  <c r="EE15" i="72" s="1"/>
  <c r="EH15" i="72" a="1"/>
  <c r="EH15" i="72" s="1"/>
  <c r="ED15" i="72" a="1"/>
  <c r="ED15" i="72" s="1"/>
  <c r="EJ14" i="72" a="1"/>
  <c r="EJ14" i="72" s="1"/>
  <c r="EF14" i="72" a="1"/>
  <c r="EF14" i="72" s="1"/>
  <c r="DP14" i="72" a="1"/>
  <c r="DP14" i="72" s="1"/>
  <c r="EH14" i="72" a="1"/>
  <c r="EH14" i="72" s="1"/>
  <c r="EK14" i="72" a="1"/>
  <c r="EK14" i="72" s="1"/>
  <c r="EI14" i="72" a="1"/>
  <c r="EI14" i="72" s="1"/>
  <c r="EE14" i="72" a="1"/>
  <c r="EE14" i="72" s="1"/>
  <c r="ED14" i="72" a="1"/>
  <c r="ED14" i="72" s="1"/>
  <c r="EG14" i="72" a="1"/>
  <c r="EG14" i="72" s="1"/>
  <c r="EJ22" i="72" a="1"/>
  <c r="EJ22" i="72" s="1"/>
  <c r="EF22" i="72" a="1"/>
  <c r="EF22" i="72" s="1"/>
  <c r="DP22" i="72" a="1"/>
  <c r="DP22" i="72" s="1"/>
  <c r="EG22" i="72" a="1"/>
  <c r="EG22" i="72" s="1"/>
  <c r="EK22" i="72" a="1"/>
  <c r="EK22" i="72" s="1"/>
  <c r="EE22" i="72" a="1"/>
  <c r="EE22" i="72" s="1"/>
  <c r="EI22" i="72" a="1"/>
  <c r="EI22" i="72" s="1"/>
  <c r="EH22" i="72" a="1"/>
  <c r="EH22" i="72" s="1"/>
  <c r="ED22" i="72" a="1"/>
  <c r="ED22" i="72" s="1"/>
  <c r="FE23" i="72" a="1"/>
  <c r="FE23" i="72" s="1"/>
  <c r="FA23" i="72" a="1"/>
  <c r="FA23" i="72" s="1"/>
  <c r="FB23" i="72" a="1"/>
  <c r="FB23" i="72" s="1"/>
  <c r="FG23" i="72" a="1"/>
  <c r="FG23" i="72" s="1"/>
  <c r="FF23" i="72" a="1"/>
  <c r="FF23" i="72" s="1"/>
  <c r="FD23" i="72" a="1"/>
  <c r="FD23" i="72" s="1"/>
  <c r="EM23" i="72" a="1"/>
  <c r="EM23" i="72" s="1"/>
  <c r="FH23" i="72" a="1"/>
  <c r="FH23" i="72" s="1"/>
  <c r="FC23" i="72" a="1"/>
  <c r="FC23" i="72" s="1"/>
  <c r="FF18" i="72" a="1"/>
  <c r="FF18" i="72" s="1"/>
  <c r="FE18" i="72" a="1"/>
  <c r="FE18" i="72" s="1"/>
  <c r="FD18" i="72" a="1"/>
  <c r="FD18" i="72" s="1"/>
  <c r="FC18" i="72" a="1"/>
  <c r="FC18" i="72" s="1"/>
  <c r="FH18" i="72" a="1"/>
  <c r="FH18" i="72" s="1"/>
  <c r="EM18" i="72" a="1"/>
  <c r="EM18" i="72" s="1"/>
  <c r="FG18" i="72" a="1"/>
  <c r="FG18" i="72" s="1"/>
  <c r="FB18" i="72" a="1"/>
  <c r="FB18" i="72" s="1"/>
  <c r="FA18" i="72" a="1"/>
  <c r="FA18" i="72" s="1"/>
  <c r="FY16" i="72" a="1"/>
  <c r="FY16" i="72" s="1"/>
  <c r="GC16" i="72" a="1"/>
  <c r="GC16" i="72" s="1"/>
  <c r="FX16" i="72" a="1"/>
  <c r="FX16" i="72" s="1"/>
  <c r="GB16" i="72" a="1"/>
  <c r="GB16" i="72" s="1"/>
  <c r="GA16" i="72" a="1"/>
  <c r="GA16" i="72" s="1"/>
  <c r="GE16" i="72" a="1"/>
  <c r="GE16" i="72" s="1"/>
  <c r="FJ16" i="72" a="1"/>
  <c r="FJ16" i="72" s="1"/>
  <c r="GD16" i="72" a="1"/>
  <c r="GD16" i="72" s="1"/>
  <c r="FZ16" i="72" a="1"/>
  <c r="FZ16" i="72" s="1"/>
  <c r="GB19" i="72" a="1"/>
  <c r="GB19" i="72" s="1"/>
  <c r="FX19" i="72" a="1"/>
  <c r="FX19" i="72" s="1"/>
  <c r="GC19" i="72" a="1"/>
  <c r="GC19" i="72" s="1"/>
  <c r="GE19" i="72" a="1"/>
  <c r="GE19" i="72" s="1"/>
  <c r="GD19" i="72" a="1"/>
  <c r="GD19" i="72" s="1"/>
  <c r="GA19" i="72" a="1"/>
  <c r="GA19" i="72" s="1"/>
  <c r="FZ19" i="72" a="1"/>
  <c r="FZ19" i="72" s="1"/>
  <c r="FY19" i="72" a="1"/>
  <c r="FY19" i="72" s="1"/>
  <c r="FJ19" i="72" a="1"/>
  <c r="FJ19" i="72" s="1"/>
  <c r="GY23" i="72" a="1"/>
  <c r="GY23" i="72" s="1"/>
  <c r="GU23" i="72" a="1"/>
  <c r="GU23" i="72" s="1"/>
  <c r="HB23" i="72" a="1"/>
  <c r="HB23" i="72" s="1"/>
  <c r="GW23" i="72" a="1"/>
  <c r="GW23" i="72" s="1"/>
  <c r="GV23" i="72" a="1"/>
  <c r="GV23" i="72" s="1"/>
  <c r="HA23" i="72" a="1"/>
  <c r="HA23" i="72" s="1"/>
  <c r="GZ23" i="72" a="1"/>
  <c r="GZ23" i="72" s="1"/>
  <c r="GX23" i="72" a="1"/>
  <c r="GX23" i="72" s="1"/>
  <c r="GG23" i="72" a="1"/>
  <c r="GG23" i="72" s="1"/>
  <c r="HA28" i="72" a="1"/>
  <c r="HA28" i="72" s="1"/>
  <c r="GW28" i="72" a="1"/>
  <c r="GW28" i="72" s="1"/>
  <c r="GG28" i="72" a="1"/>
  <c r="GG28" i="72" s="1"/>
  <c r="GU28" i="72" a="1"/>
  <c r="GU28" i="72" s="1"/>
  <c r="GZ28" i="72" a="1"/>
  <c r="GZ28" i="72" s="1"/>
  <c r="GY28" i="72" a="1"/>
  <c r="GY28" i="72" s="1"/>
  <c r="GX28" i="72" a="1"/>
  <c r="GX28" i="72" s="1"/>
  <c r="HB28" i="72" a="1"/>
  <c r="HB28" i="72" s="1"/>
  <c r="GV28" i="72" a="1"/>
  <c r="GV28" i="72" s="1"/>
  <c r="HW30" i="72" a="1"/>
  <c r="HW30" i="72" s="1"/>
  <c r="HU30" i="72" a="1"/>
  <c r="HU30" i="72" s="1"/>
  <c r="HY30" i="72" a="1"/>
  <c r="HY30" i="72" s="1"/>
  <c r="HD30" i="72" a="1"/>
  <c r="HD30" i="72" s="1"/>
  <c r="HX30" i="72" a="1"/>
  <c r="HX30" i="72" s="1"/>
  <c r="HV30" i="72" a="1"/>
  <c r="HV30" i="72" s="1"/>
  <c r="HT30" i="72" a="1"/>
  <c r="HT30" i="72" s="1"/>
  <c r="HS30" i="72" a="1"/>
  <c r="HS30" i="72" s="1"/>
  <c r="HR30" i="72" a="1"/>
  <c r="HR30" i="72" s="1"/>
  <c r="HV16" i="72" a="1"/>
  <c r="HV16" i="72" s="1"/>
  <c r="HU16" i="72" a="1"/>
  <c r="HU16" i="72" s="1"/>
  <c r="HY16" i="72" a="1"/>
  <c r="HY16" i="72" s="1"/>
  <c r="HD16" i="72" a="1"/>
  <c r="HD16" i="72" s="1"/>
  <c r="HT16" i="72" a="1"/>
  <c r="HT16" i="72" s="1"/>
  <c r="HX16" i="72" a="1"/>
  <c r="HX16" i="72" s="1"/>
  <c r="HS16" i="72" a="1"/>
  <c r="HS16" i="72" s="1"/>
  <c r="HR16" i="72" a="1"/>
  <c r="HR16" i="72" s="1"/>
  <c r="HW16" i="72" a="1"/>
  <c r="HW16" i="72" s="1"/>
  <c r="IV29" i="72" a="1"/>
  <c r="IV29" i="72" s="1"/>
  <c r="IR29" i="72" a="1"/>
  <c r="IR29" i="72" s="1"/>
  <c r="IS29" i="72" a="1"/>
  <c r="IS29" i="72" s="1"/>
  <c r="IA29" i="72" a="1"/>
  <c r="IA29" i="72" s="1"/>
  <c r="IQ29" i="72" a="1"/>
  <c r="IQ29" i="72" s="1"/>
  <c r="IU29" i="72" a="1"/>
  <c r="IU29" i="72" s="1"/>
  <c r="IO29" i="72" a="1"/>
  <c r="IO29" i="72" s="1"/>
  <c r="IT29" i="72" a="1"/>
  <c r="IT29" i="72" s="1"/>
  <c r="IP29" i="72" a="1"/>
  <c r="IP29" i="72" s="1"/>
  <c r="JR22" i="72" a="1"/>
  <c r="JR22" i="72" s="1"/>
  <c r="JN22" i="72" a="1"/>
  <c r="JN22" i="72" s="1"/>
  <c r="IX22" i="72" a="1"/>
  <c r="IX22" i="72" s="1"/>
  <c r="JS22" i="72" a="1"/>
  <c r="JS22" i="72" s="1"/>
  <c r="JM22" i="72" a="1"/>
  <c r="JM22" i="72" s="1"/>
  <c r="JQ22" i="72" a="1"/>
  <c r="JQ22" i="72" s="1"/>
  <c r="JL22" i="72" a="1"/>
  <c r="JL22" i="72" s="1"/>
  <c r="JO22" i="72" a="1"/>
  <c r="JO22" i="72" s="1"/>
  <c r="JP22" i="72" a="1"/>
  <c r="JP22" i="72" s="1"/>
  <c r="JR33" i="72" a="1"/>
  <c r="JR33" i="72" s="1"/>
  <c r="JN33" i="72" a="1"/>
  <c r="JN33" i="72" s="1"/>
  <c r="IX33" i="72" a="1"/>
  <c r="IX33" i="72" s="1"/>
  <c r="JP33" i="72" a="1"/>
  <c r="JP33" i="72" s="1"/>
  <c r="JS33" i="72" a="1"/>
  <c r="JS33" i="72" s="1"/>
  <c r="JQ33" i="72" a="1"/>
  <c r="JQ33" i="72" s="1"/>
  <c r="JO33" i="72" a="1"/>
  <c r="JO33" i="72" s="1"/>
  <c r="JM33" i="72" a="1"/>
  <c r="JM33" i="72" s="1"/>
  <c r="JL33" i="72" a="1"/>
  <c r="JL33" i="72" s="1"/>
  <c r="AB60" i="72"/>
  <c r="AB52" i="72"/>
  <c r="AB44" i="72"/>
  <c r="AB45" i="72"/>
  <c r="AB59" i="72"/>
  <c r="AB51" i="72"/>
  <c r="AB43" i="72"/>
  <c r="AB61" i="72"/>
  <c r="AB58" i="72"/>
  <c r="AB50" i="72"/>
  <c r="AB42" i="72"/>
  <c r="AB65" i="72"/>
  <c r="AB57" i="72"/>
  <c r="AB49" i="72"/>
  <c r="AB41" i="72"/>
  <c r="AB64" i="72"/>
  <c r="AB56" i="72"/>
  <c r="AB48" i="72"/>
  <c r="AB40" i="72"/>
  <c r="AB63" i="72"/>
  <c r="AB55" i="72"/>
  <c r="AB47" i="72"/>
  <c r="AB39" i="72"/>
  <c r="AB62" i="72"/>
  <c r="AB54" i="72"/>
  <c r="AB46" i="72"/>
  <c r="AB53" i="72"/>
  <c r="CD28" i="72"/>
  <c r="CD24" i="72"/>
  <c r="CD20" i="72"/>
  <c r="CD16" i="72"/>
  <c r="CD12" i="72"/>
  <c r="CC24" i="72"/>
  <c r="CC28" i="72"/>
  <c r="CD32" i="72"/>
  <c r="CD27" i="72"/>
  <c r="CD23" i="72"/>
  <c r="CD19" i="72"/>
  <c r="CD15" i="72"/>
  <c r="CB12" i="72"/>
  <c r="CC29" i="72"/>
  <c r="CC21" i="72"/>
  <c r="CC17" i="72"/>
  <c r="CE12" i="72"/>
  <c r="CC33" i="72"/>
  <c r="CC16" i="72"/>
  <c r="CC32" i="72"/>
  <c r="CC27" i="72"/>
  <c r="CC23" i="72"/>
  <c r="CC19" i="72"/>
  <c r="CC15" i="72"/>
  <c r="CA12" i="72"/>
  <c r="CC30" i="72"/>
  <c r="CC22" i="72"/>
  <c r="CC18" i="72"/>
  <c r="CC14" i="72"/>
  <c r="BY12" i="72"/>
  <c r="CD30" i="72"/>
  <c r="CD26" i="72"/>
  <c r="CD22" i="72"/>
  <c r="CD18" i="72"/>
  <c r="CD14" i="72"/>
  <c r="BZ12" i="72"/>
  <c r="CC26" i="72"/>
  <c r="CC25" i="72"/>
  <c r="CC20" i="72"/>
  <c r="CC12" i="72"/>
  <c r="CD29" i="72"/>
  <c r="CD25" i="72"/>
  <c r="CD21" i="72"/>
  <c r="CD17" i="72"/>
  <c r="CF12" i="72"/>
  <c r="CD34" i="72"/>
  <c r="CD33" i="72"/>
  <c r="CC31" i="72"/>
  <c r="CD31" i="72"/>
  <c r="CC34" i="72"/>
  <c r="AN4" i="75"/>
  <c r="F75" i="59"/>
  <c r="F74" i="59"/>
  <c r="F76" i="59"/>
  <c r="BY4" i="72"/>
  <c r="U20" i="36"/>
  <c r="V20" i="36"/>
  <c r="T20" i="36"/>
  <c r="U21" i="36"/>
  <c r="V21" i="36"/>
  <c r="T21" i="36"/>
  <c r="T22" i="36"/>
  <c r="U22" i="36"/>
  <c r="V22" i="36"/>
  <c r="V23" i="36"/>
  <c r="T23" i="36"/>
  <c r="U23" i="36"/>
  <c r="V16" i="36"/>
  <c r="T16" i="36"/>
  <c r="U16" i="36"/>
  <c r="U24" i="36"/>
  <c r="V24" i="36"/>
  <c r="T24" i="36"/>
  <c r="T15" i="36"/>
  <c r="V15" i="36"/>
  <c r="U15" i="36"/>
  <c r="T19" i="36"/>
  <c r="U19" i="36"/>
  <c r="V19" i="36"/>
  <c r="U18" i="36"/>
  <c r="V18" i="36"/>
  <c r="T18" i="36"/>
  <c r="HG51" i="72"/>
  <c r="D22" i="36" s="1"/>
  <c r="HG52" i="72"/>
  <c r="E22" i="36" s="1"/>
  <c r="FM51" i="72"/>
  <c r="D20" i="36" s="1"/>
  <c r="FM52" i="72"/>
  <c r="E20" i="36" s="1"/>
  <c r="GJ51" i="72"/>
  <c r="D21" i="36" s="1"/>
  <c r="GJ52" i="72"/>
  <c r="E21" i="36" s="1"/>
  <c r="ID51" i="72"/>
  <c r="D23" i="36" s="1"/>
  <c r="ID52" i="72"/>
  <c r="E23" i="36" s="1"/>
  <c r="JA51" i="72"/>
  <c r="D24" i="36" s="1"/>
  <c r="JA52" i="72"/>
  <c r="E24" i="36" s="1"/>
  <c r="BY51" i="72"/>
  <c r="D16" i="36" s="1"/>
  <c r="BY52" i="72"/>
  <c r="E16" i="36" s="1"/>
  <c r="EP51" i="72"/>
  <c r="D19" i="36" s="1"/>
  <c r="EP52" i="72"/>
  <c r="E19" i="36" s="1"/>
  <c r="CV51" i="72"/>
  <c r="D17" i="36" s="1"/>
  <c r="S17" i="36" s="1"/>
  <c r="CV52" i="72"/>
  <c r="E17" i="36" s="1"/>
  <c r="Q17" i="36" s="1"/>
  <c r="BB52" i="72"/>
  <c r="E15" i="36" s="1"/>
  <c r="BB49" i="72"/>
  <c r="G31" i="70"/>
  <c r="DS51" i="72"/>
  <c r="D18" i="36" s="1"/>
  <c r="E18" i="36"/>
  <c r="BB51" i="72"/>
  <c r="B16" i="36"/>
  <c r="B38" i="43"/>
  <c r="AC63" i="61"/>
  <c r="F57" i="59"/>
  <c r="F53" i="59"/>
  <c r="F49" i="59"/>
  <c r="F56" i="59"/>
  <c r="F52" i="59"/>
  <c r="F48" i="59"/>
  <c r="F55" i="59"/>
  <c r="F51" i="59"/>
  <c r="F47" i="59"/>
  <c r="F58" i="59"/>
  <c r="F54" i="59"/>
  <c r="F50" i="59"/>
  <c r="AC66" i="61"/>
  <c r="F61" i="59"/>
  <c r="AC64" i="61"/>
  <c r="F59" i="59"/>
  <c r="AC68" i="61"/>
  <c r="F63" i="59"/>
  <c r="F62" i="59"/>
  <c r="AC62" i="61"/>
  <c r="F45" i="59"/>
  <c r="F41" i="59"/>
  <c r="F37" i="59"/>
  <c r="F44" i="59"/>
  <c r="F40" i="59"/>
  <c r="F43" i="59"/>
  <c r="F39" i="59"/>
  <c r="F46" i="59"/>
  <c r="F42" i="59"/>
  <c r="F38" i="59"/>
  <c r="AC69" i="61"/>
  <c r="F64" i="59"/>
  <c r="AC74" i="61"/>
  <c r="F69" i="59"/>
  <c r="AC59" i="61"/>
  <c r="F34" i="59"/>
  <c r="AC65" i="61"/>
  <c r="F60" i="59"/>
  <c r="AC75" i="61"/>
  <c r="F71" i="59"/>
  <c r="F70" i="59"/>
  <c r="AC77" i="61"/>
  <c r="F4" i="59"/>
  <c r="F8" i="59"/>
  <c r="F12" i="59"/>
  <c r="F5" i="59"/>
  <c r="F9" i="59"/>
  <c r="F3" i="59"/>
  <c r="F6" i="59"/>
  <c r="F10" i="59"/>
  <c r="F7" i="59"/>
  <c r="F11" i="59"/>
  <c r="AC72" i="61"/>
  <c r="F67" i="59"/>
  <c r="AC73" i="61"/>
  <c r="F68" i="59"/>
  <c r="AC57" i="61"/>
  <c r="F32" i="59"/>
  <c r="F28" i="59"/>
  <c r="F24" i="59"/>
  <c r="F20" i="59"/>
  <c r="F16" i="59"/>
  <c r="F31" i="59"/>
  <c r="F27" i="59"/>
  <c r="F23" i="59"/>
  <c r="F19" i="59"/>
  <c r="F15" i="59"/>
  <c r="F30" i="59"/>
  <c r="F26" i="59"/>
  <c r="F22" i="59"/>
  <c r="F18" i="59"/>
  <c r="F14" i="59"/>
  <c r="F29" i="59"/>
  <c r="F25" i="59"/>
  <c r="F21" i="59"/>
  <c r="F17" i="59"/>
  <c r="F13" i="59"/>
  <c r="AC70" i="61"/>
  <c r="F65" i="59"/>
  <c r="AC61" i="61"/>
  <c r="F36" i="59"/>
  <c r="AC60" i="61"/>
  <c r="F35" i="59"/>
  <c r="AC76" i="61"/>
  <c r="F72" i="59"/>
  <c r="AC71" i="61"/>
  <c r="F66" i="59"/>
  <c r="AC58" i="61"/>
  <c r="F33" i="59"/>
  <c r="AC56" i="61"/>
  <c r="F2" i="59"/>
  <c r="AD8" i="75"/>
  <c r="AD6" i="75"/>
  <c r="A6" i="75"/>
  <c r="A11" i="75"/>
  <c r="AD15" i="75"/>
  <c r="A15" i="75"/>
  <c r="AD11" i="75"/>
  <c r="A7" i="75"/>
  <c r="AD12" i="75"/>
  <c r="A12" i="75"/>
  <c r="AD13" i="75"/>
  <c r="A13" i="75"/>
  <c r="AD7" i="75"/>
  <c r="A8" i="75"/>
  <c r="AD10" i="75"/>
  <c r="A10" i="75"/>
  <c r="AD9" i="75"/>
  <c r="A9" i="75"/>
  <c r="AD14" i="75"/>
  <c r="A14" i="75"/>
  <c r="EP49" i="72"/>
  <c r="JA49" i="72"/>
  <c r="ID49" i="72"/>
  <c r="GJ49" i="72"/>
  <c r="FM49" i="72"/>
  <c r="HG49" i="72"/>
  <c r="DS49" i="72"/>
  <c r="CV49" i="72"/>
  <c r="BY49" i="72"/>
  <c r="BY50" i="72"/>
  <c r="DS2" i="72"/>
  <c r="Z9" i="75"/>
  <c r="I18" i="36" s="1"/>
  <c r="Y9" i="75"/>
  <c r="HG2" i="72"/>
  <c r="Z13" i="75"/>
  <c r="I22" i="36" s="1"/>
  <c r="Y13" i="75"/>
  <c r="CV2" i="72"/>
  <c r="Y8" i="75"/>
  <c r="Z8" i="75"/>
  <c r="I17" i="36" s="1"/>
  <c r="FM2" i="72"/>
  <c r="Y11" i="75"/>
  <c r="Z11" i="75"/>
  <c r="I20" i="36" s="1"/>
  <c r="GJ2" i="72"/>
  <c r="Y12" i="75"/>
  <c r="Z12" i="75"/>
  <c r="I21" i="36" s="1"/>
  <c r="JA2" i="72"/>
  <c r="Y15" i="75"/>
  <c r="Z15" i="75"/>
  <c r="I24" i="36" s="1"/>
  <c r="BB2" i="72"/>
  <c r="Y6" i="75"/>
  <c r="Z6" i="75"/>
  <c r="I15" i="36" s="1"/>
  <c r="G15" i="36" s="1"/>
  <c r="EP2" i="72"/>
  <c r="Z10" i="75"/>
  <c r="I19" i="36" s="1"/>
  <c r="Y10" i="75"/>
  <c r="ID2" i="72"/>
  <c r="Z14" i="75"/>
  <c r="I23" i="36" s="1"/>
  <c r="Y14" i="75"/>
  <c r="T38" i="72"/>
  <c r="O206" i="94" l="1"/>
  <c r="H5" i="94"/>
  <c r="H9" i="94"/>
  <c r="FJ35" i="72"/>
  <c r="FK24" i="72" s="1"/>
  <c r="CS35" i="72"/>
  <c r="CT28" i="72" s="1"/>
  <c r="DP35" i="72"/>
  <c r="DQ14" i="72" s="1"/>
  <c r="EM35" i="72"/>
  <c r="EN16" i="72" s="1"/>
  <c r="EP16" i="72" s="1"/>
  <c r="EV16" i="72" s="1"/>
  <c r="HD35" i="72"/>
  <c r="HE18" i="72" s="1"/>
  <c r="HG18" i="72" s="1"/>
  <c r="HH18" i="72" s="1"/>
  <c r="GG35" i="72"/>
  <c r="GH29" i="72" s="1"/>
  <c r="BV35" i="72"/>
  <c r="BW28" i="72" s="1"/>
  <c r="IA35" i="72"/>
  <c r="IB29" i="72" s="1"/>
  <c r="IX35" i="72"/>
  <c r="IY14" i="72" s="1"/>
  <c r="Z39" i="72"/>
  <c r="Z41" i="72"/>
  <c r="Z43" i="72"/>
  <c r="Z47" i="72"/>
  <c r="Z49" i="72"/>
  <c r="Z51" i="72"/>
  <c r="Z55" i="72"/>
  <c r="Z57" i="72"/>
  <c r="Z59" i="72"/>
  <c r="Z63" i="72"/>
  <c r="Z65" i="72"/>
  <c r="Z53" i="72"/>
  <c r="Z40" i="72"/>
  <c r="Z42" i="72"/>
  <c r="Z45" i="72"/>
  <c r="Z46" i="72"/>
  <c r="Z48" i="72"/>
  <c r="Z50" i="72"/>
  <c r="Z44" i="72"/>
  <c r="Z54" i="72"/>
  <c r="Z56" i="72"/>
  <c r="Z58" i="72"/>
  <c r="Z52" i="72"/>
  <c r="Z62" i="72"/>
  <c r="Z64" i="72"/>
  <c r="Z61" i="72"/>
  <c r="Z60" i="72"/>
  <c r="JE22" i="72"/>
  <c r="JF19" i="72"/>
  <c r="JE19" i="72"/>
  <c r="JF16" i="72"/>
  <c r="JE14" i="72"/>
  <c r="JA12" i="72"/>
  <c r="JB12" i="72"/>
  <c r="JE30" i="72"/>
  <c r="JF27" i="72"/>
  <c r="JF30" i="72"/>
  <c r="JF28" i="72"/>
  <c r="JG12" i="72"/>
  <c r="JE31" i="72"/>
  <c r="JE32" i="72"/>
  <c r="JC12" i="72"/>
  <c r="JF17" i="72"/>
  <c r="JF12" i="72"/>
  <c r="JF26" i="72"/>
  <c r="JH12" i="72"/>
  <c r="JF32" i="72"/>
  <c r="JF14" i="72"/>
  <c r="JE20" i="72"/>
  <c r="JF15" i="72"/>
  <c r="JE29" i="72"/>
  <c r="JE16" i="72"/>
  <c r="JE17" i="72"/>
  <c r="JF25" i="72"/>
  <c r="JF23" i="72"/>
  <c r="JF34" i="72"/>
  <c r="JF21" i="72"/>
  <c r="JF22" i="72"/>
  <c r="JE28" i="72"/>
  <c r="JE26" i="72"/>
  <c r="JE15" i="72"/>
  <c r="JE24" i="72"/>
  <c r="JE25" i="72"/>
  <c r="JF33" i="72"/>
  <c r="JE34" i="72"/>
  <c r="JE23" i="72"/>
  <c r="JF29" i="72"/>
  <c r="JE33" i="72"/>
  <c r="JE12" i="72"/>
  <c r="JF18" i="72"/>
  <c r="JE18" i="72"/>
  <c r="JF24" i="72"/>
  <c r="JD12" i="72"/>
  <c r="JF20" i="72"/>
  <c r="JE21" i="72"/>
  <c r="JF31" i="72"/>
  <c r="JE27" i="72"/>
  <c r="IH33" i="72"/>
  <c r="IH17" i="72"/>
  <c r="II30" i="72"/>
  <c r="IH16" i="72"/>
  <c r="IH30" i="72"/>
  <c r="II14" i="72"/>
  <c r="II27" i="72"/>
  <c r="IH14" i="72"/>
  <c r="IH25" i="72"/>
  <c r="IK12" i="72"/>
  <c r="II22" i="72"/>
  <c r="IF12" i="72"/>
  <c r="II19" i="72"/>
  <c r="IH22" i="72"/>
  <c r="IE12" i="72"/>
  <c r="II32" i="72"/>
  <c r="IH15" i="72"/>
  <c r="II23" i="72"/>
  <c r="IH29" i="72"/>
  <c r="IH19" i="72"/>
  <c r="IG12" i="72"/>
  <c r="II20" i="72"/>
  <c r="IH26" i="72"/>
  <c r="II34" i="72"/>
  <c r="II24" i="72"/>
  <c r="II17" i="72"/>
  <c r="IH23" i="72"/>
  <c r="II31" i="72"/>
  <c r="II21" i="72"/>
  <c r="IH27" i="72"/>
  <c r="IH20" i="72"/>
  <c r="II28" i="72"/>
  <c r="IH34" i="72"/>
  <c r="IH24" i="72"/>
  <c r="II25" i="72"/>
  <c r="IH31" i="72"/>
  <c r="IJ12" i="72"/>
  <c r="II29" i="72"/>
  <c r="IH28" i="72"/>
  <c r="II12" i="72"/>
  <c r="II18" i="72"/>
  <c r="IH32" i="72"/>
  <c r="II33" i="72"/>
  <c r="II15" i="72"/>
  <c r="IH21" i="72"/>
  <c r="ID12" i="72"/>
  <c r="IH12" i="72"/>
  <c r="IH18" i="72"/>
  <c r="II26" i="72"/>
  <c r="II16" i="72"/>
  <c r="HK31" i="72"/>
  <c r="HL24" i="72"/>
  <c r="HL19" i="72"/>
  <c r="HK14" i="72"/>
  <c r="HK30" i="72"/>
  <c r="HK24" i="72"/>
  <c r="HK19" i="72"/>
  <c r="HN12" i="72"/>
  <c r="HK32" i="72"/>
  <c r="HL25" i="72"/>
  <c r="HK20" i="72"/>
  <c r="HK15" i="72"/>
  <c r="HL29" i="72"/>
  <c r="HL23" i="72"/>
  <c r="HK18" i="72"/>
  <c r="HL12" i="72"/>
  <c r="HK12" i="72"/>
  <c r="HK28" i="72"/>
  <c r="HK22" i="72"/>
  <c r="HL16" i="72"/>
  <c r="HJ12" i="72"/>
  <c r="HL27" i="72"/>
  <c r="HL28" i="72"/>
  <c r="HK23" i="72"/>
  <c r="HL17" i="72"/>
  <c r="HL33" i="72"/>
  <c r="HL21" i="72"/>
  <c r="HK16" i="72"/>
  <c r="HH12" i="72"/>
  <c r="HL32" i="72"/>
  <c r="HK27" i="72"/>
  <c r="HL20" i="72"/>
  <c r="HL15" i="72"/>
  <c r="HG12" i="72"/>
  <c r="HL34" i="72"/>
  <c r="HK33" i="72"/>
  <c r="HK29" i="72"/>
  <c r="HK26" i="72"/>
  <c r="HI12" i="72"/>
  <c r="HL31" i="72"/>
  <c r="HL14" i="72"/>
  <c r="HK34" i="72"/>
  <c r="HK17" i="72"/>
  <c r="HM12" i="72"/>
  <c r="HL22" i="72"/>
  <c r="HL18" i="72"/>
  <c r="HK25" i="72"/>
  <c r="HK21" i="72"/>
  <c r="HL30" i="72"/>
  <c r="HL26" i="72"/>
  <c r="GO34" i="72"/>
  <c r="GN30" i="72"/>
  <c r="GN26" i="72"/>
  <c r="GN22" i="72"/>
  <c r="GN18" i="72"/>
  <c r="GN14" i="72"/>
  <c r="GJ12" i="72"/>
  <c r="GO33" i="72"/>
  <c r="GN29" i="72"/>
  <c r="GN21" i="72"/>
  <c r="GN17" i="72"/>
  <c r="GM12" i="72"/>
  <c r="GN31" i="72"/>
  <c r="GN19" i="72"/>
  <c r="GL12" i="72"/>
  <c r="GN34" i="72"/>
  <c r="GO29" i="72"/>
  <c r="GO25" i="72"/>
  <c r="GO21" i="72"/>
  <c r="GO17" i="72"/>
  <c r="GQ12" i="72"/>
  <c r="GN23" i="72"/>
  <c r="GO30" i="72"/>
  <c r="GO26" i="72"/>
  <c r="GO22" i="72"/>
  <c r="GO14" i="72"/>
  <c r="GK12" i="72"/>
  <c r="GN25" i="72"/>
  <c r="GP12" i="72"/>
  <c r="GN27" i="72"/>
  <c r="GN15" i="72"/>
  <c r="GO18" i="72"/>
  <c r="GN33" i="72"/>
  <c r="GO28" i="72"/>
  <c r="GO24" i="72"/>
  <c r="GO20" i="72"/>
  <c r="GO16" i="72"/>
  <c r="GO12" i="72"/>
  <c r="GO31" i="72"/>
  <c r="GO27" i="72"/>
  <c r="GO32" i="72"/>
  <c r="GN28" i="72"/>
  <c r="GN24" i="72"/>
  <c r="GN20" i="72"/>
  <c r="GN16" i="72"/>
  <c r="GN12" i="72"/>
  <c r="GO23" i="72"/>
  <c r="GO19" i="72"/>
  <c r="GO15" i="72"/>
  <c r="GN32" i="72"/>
  <c r="FR31" i="72"/>
  <c r="FR27" i="72"/>
  <c r="FR23" i="72"/>
  <c r="FR19" i="72"/>
  <c r="FR15" i="72"/>
  <c r="FP12" i="72"/>
  <c r="FQ31" i="72"/>
  <c r="FQ27" i="72"/>
  <c r="FQ23" i="72"/>
  <c r="FQ19" i="72"/>
  <c r="FQ15" i="72"/>
  <c r="FO12" i="72"/>
  <c r="FR34" i="72"/>
  <c r="FR30" i="72"/>
  <c r="FR26" i="72"/>
  <c r="FR22" i="72"/>
  <c r="FR18" i="72"/>
  <c r="FR14" i="72"/>
  <c r="FN12" i="72"/>
  <c r="FQ34" i="72"/>
  <c r="FQ30" i="72"/>
  <c r="FQ26" i="72"/>
  <c r="FQ22" i="72"/>
  <c r="FQ18" i="72"/>
  <c r="FQ14" i="72"/>
  <c r="FM12" i="72"/>
  <c r="FQ32" i="72"/>
  <c r="FQ28" i="72"/>
  <c r="FQ24" i="72"/>
  <c r="FQ20" i="72"/>
  <c r="FQ16" i="72"/>
  <c r="FQ12" i="72"/>
  <c r="FR33" i="72"/>
  <c r="FR29" i="72"/>
  <c r="FR25" i="72"/>
  <c r="FR21" i="72"/>
  <c r="FR17" i="72"/>
  <c r="FT12" i="72"/>
  <c r="FQ33" i="72"/>
  <c r="FQ29" i="72"/>
  <c r="FQ25" i="72"/>
  <c r="FQ21" i="72"/>
  <c r="FQ17" i="72"/>
  <c r="FS12" i="72"/>
  <c r="FR32" i="72"/>
  <c r="FR28" i="72"/>
  <c r="FR24" i="72"/>
  <c r="FR20" i="72"/>
  <c r="FR12" i="72"/>
  <c r="FR16" i="72"/>
  <c r="ET28" i="72"/>
  <c r="EU21" i="72"/>
  <c r="EU17" i="72"/>
  <c r="EW12" i="72"/>
  <c r="EU27" i="72"/>
  <c r="ET21" i="72"/>
  <c r="ET17" i="72"/>
  <c r="EV12" i="72"/>
  <c r="EU12" i="72"/>
  <c r="EU31" i="72"/>
  <c r="EU19" i="72"/>
  <c r="ES12" i="72"/>
  <c r="ET19" i="72"/>
  <c r="ET26" i="72"/>
  <c r="EU20" i="72"/>
  <c r="EU16" i="72"/>
  <c r="EU24" i="72"/>
  <c r="EU15" i="72"/>
  <c r="EU23" i="72"/>
  <c r="ET33" i="72"/>
  <c r="ET25" i="72"/>
  <c r="ET20" i="72"/>
  <c r="ET16" i="72"/>
  <c r="ET12" i="72"/>
  <c r="ET30" i="72"/>
  <c r="ER12" i="72"/>
  <c r="ET18" i="72"/>
  <c r="ET15" i="72"/>
  <c r="EU28" i="72"/>
  <c r="ET22" i="72"/>
  <c r="ET14" i="72"/>
  <c r="EP12" i="72"/>
  <c r="EU29" i="72"/>
  <c r="EU22" i="72"/>
  <c r="EU18" i="72"/>
  <c r="EU14" i="72"/>
  <c r="EQ12" i="72"/>
  <c r="EU32" i="72"/>
  <c r="EU30" i="72"/>
  <c r="ET34" i="72"/>
  <c r="ET24" i="72"/>
  <c r="ET31" i="72"/>
  <c r="EU33" i="72"/>
  <c r="ET27" i="72"/>
  <c r="EU26" i="72"/>
  <c r="ET32" i="72"/>
  <c r="ET29" i="72"/>
  <c r="EU34" i="72"/>
  <c r="EU25" i="72"/>
  <c r="ET23" i="72"/>
  <c r="DW21" i="72"/>
  <c r="DW19" i="72"/>
  <c r="DX22" i="72"/>
  <c r="DZ12" i="72"/>
  <c r="DW29" i="72"/>
  <c r="DX33" i="72"/>
  <c r="DX21" i="72"/>
  <c r="DW16" i="72"/>
  <c r="DY12" i="72"/>
  <c r="DW34" i="72"/>
  <c r="DX19" i="72"/>
  <c r="DX18" i="72"/>
  <c r="DW23" i="72"/>
  <c r="DW15" i="72"/>
  <c r="DX30" i="72"/>
  <c r="DX17" i="72"/>
  <c r="DU12" i="72"/>
  <c r="DW31" i="72"/>
  <c r="DW27" i="72"/>
  <c r="DW20" i="72"/>
  <c r="DX26" i="72"/>
  <c r="DX16" i="72"/>
  <c r="DX15" i="72"/>
  <c r="DW30" i="72"/>
  <c r="DW26" i="72"/>
  <c r="DW22" i="72"/>
  <c r="DW14" i="72"/>
  <c r="DX23" i="72"/>
  <c r="DW17" i="72"/>
  <c r="DX25" i="72"/>
  <c r="DX14" i="72"/>
  <c r="DW24" i="72"/>
  <c r="DX32" i="72"/>
  <c r="DW12" i="72"/>
  <c r="DX31" i="72"/>
  <c r="DV12" i="72"/>
  <c r="DW18" i="72"/>
  <c r="DX34" i="72"/>
  <c r="DW33" i="72"/>
  <c r="DW32" i="72"/>
  <c r="DX27" i="72"/>
  <c r="DX12" i="72"/>
  <c r="DX28" i="72"/>
  <c r="DW25" i="72"/>
  <c r="DS12" i="72"/>
  <c r="DX20" i="72"/>
  <c r="DW28" i="72"/>
  <c r="DX24" i="72"/>
  <c r="DX29" i="72"/>
  <c r="DT12" i="72"/>
  <c r="DA33" i="72"/>
  <c r="DA29" i="72"/>
  <c r="DA25" i="72"/>
  <c r="DA21" i="72"/>
  <c r="DA17" i="72"/>
  <c r="DC12" i="72"/>
  <c r="DA19" i="72"/>
  <c r="CZ27" i="72"/>
  <c r="CZ33" i="72"/>
  <c r="CZ29" i="72"/>
  <c r="CZ25" i="72"/>
  <c r="CZ21" i="72"/>
  <c r="CZ17" i="72"/>
  <c r="DB12" i="72"/>
  <c r="CZ24" i="72"/>
  <c r="CZ12" i="72"/>
  <c r="DA27" i="72"/>
  <c r="DA15" i="72"/>
  <c r="CZ15" i="72"/>
  <c r="DA32" i="72"/>
  <c r="DA28" i="72"/>
  <c r="DA24" i="72"/>
  <c r="DA20" i="72"/>
  <c r="DA16" i="72"/>
  <c r="DA12" i="72"/>
  <c r="CZ32" i="72"/>
  <c r="CZ16" i="72"/>
  <c r="CZ19" i="72"/>
  <c r="CZ23" i="72"/>
  <c r="DA34" i="72"/>
  <c r="DA30" i="72"/>
  <c r="DA26" i="72"/>
  <c r="DA22" i="72"/>
  <c r="DA18" i="72"/>
  <c r="DA14" i="72"/>
  <c r="CW12" i="72"/>
  <c r="CZ31" i="72"/>
  <c r="CZ34" i="72"/>
  <c r="CZ30" i="72"/>
  <c r="CZ26" i="72"/>
  <c r="CZ22" i="72"/>
  <c r="CZ18" i="72"/>
  <c r="CZ14" i="72"/>
  <c r="CV12" i="72"/>
  <c r="CZ28" i="72"/>
  <c r="CZ20" i="72"/>
  <c r="DA31" i="72"/>
  <c r="DA23" i="72"/>
  <c r="CY12" i="72"/>
  <c r="CX12" i="72"/>
  <c r="BF34" i="72"/>
  <c r="BG28" i="72"/>
  <c r="BF23" i="72"/>
  <c r="BG16" i="72"/>
  <c r="BF28" i="72"/>
  <c r="BG15" i="72"/>
  <c r="BG25" i="72"/>
  <c r="BE12" i="72"/>
  <c r="BF33" i="72"/>
  <c r="BG27" i="72"/>
  <c r="BF21" i="72"/>
  <c r="BI12" i="72"/>
  <c r="BG31" i="72"/>
  <c r="BG26" i="72"/>
  <c r="BF20" i="72"/>
  <c r="BG12" i="72"/>
  <c r="BG29" i="72"/>
  <c r="BF25" i="72"/>
  <c r="BF18" i="72"/>
  <c r="BC12" i="72"/>
  <c r="BF22" i="72"/>
  <c r="BF31" i="72"/>
  <c r="BF26" i="72"/>
  <c r="BG19" i="72"/>
  <c r="BF12" i="72"/>
  <c r="BF30" i="72"/>
  <c r="BF19" i="72"/>
  <c r="BF29" i="72"/>
  <c r="BG23" i="72"/>
  <c r="BF17" i="72"/>
  <c r="BB12" i="72"/>
  <c r="BG33" i="72"/>
  <c r="BG20" i="72"/>
  <c r="BF16" i="72"/>
  <c r="BG22" i="72"/>
  <c r="BG24" i="72"/>
  <c r="BH12" i="72"/>
  <c r="BF24" i="72"/>
  <c r="BF27" i="72"/>
  <c r="BF15" i="72"/>
  <c r="BG30" i="72"/>
  <c r="BG32" i="72"/>
  <c r="BG18" i="72"/>
  <c r="BG14" i="72"/>
  <c r="BG17" i="72"/>
  <c r="BF32" i="72"/>
  <c r="BF14" i="72"/>
  <c r="BD12" i="72"/>
  <c r="BG21" i="72"/>
  <c r="BG34" i="72"/>
  <c r="D15" i="36"/>
  <c r="S15" i="36" s="1"/>
  <c r="AB37" i="72"/>
  <c r="EP50" i="72"/>
  <c r="CV50" i="72"/>
  <c r="GJ50" i="72"/>
  <c r="FM50" i="72"/>
  <c r="AA11" i="75" s="1"/>
  <c r="ID50" i="72"/>
  <c r="DS50" i="72"/>
  <c r="CC35" i="72"/>
  <c r="CD35" i="72"/>
  <c r="BB4" i="72"/>
  <c r="S20" i="36"/>
  <c r="Q20" i="36"/>
  <c r="Q19" i="36"/>
  <c r="S19" i="36"/>
  <c r="AA14" i="75"/>
  <c r="Q22" i="36"/>
  <c r="S22" i="36"/>
  <c r="S24" i="36"/>
  <c r="S21" i="36"/>
  <c r="R21" i="36"/>
  <c r="Q23" i="36"/>
  <c r="S23" i="36"/>
  <c r="S16" i="36"/>
  <c r="Q16" i="36"/>
  <c r="Q15" i="36"/>
  <c r="Q18" i="36"/>
  <c r="S18" i="36"/>
  <c r="Q24" i="36"/>
  <c r="Q21" i="36"/>
  <c r="R22" i="36"/>
  <c r="R16" i="36"/>
  <c r="R24" i="36"/>
  <c r="R23" i="36"/>
  <c r="R17" i="36"/>
  <c r="R19" i="36"/>
  <c r="R20" i="36"/>
  <c r="R18" i="36"/>
  <c r="X9" i="75"/>
  <c r="X14" i="75"/>
  <c r="K23" i="36" s="1"/>
  <c r="X13" i="75"/>
  <c r="K22" i="36" s="1"/>
  <c r="X15" i="75"/>
  <c r="K24" i="36" s="1"/>
  <c r="X10" i="75"/>
  <c r="K19" i="36" s="1"/>
  <c r="X11" i="75"/>
  <c r="K20" i="36" s="1"/>
  <c r="X12" i="75"/>
  <c r="K21" i="36" s="1"/>
  <c r="X6" i="75"/>
  <c r="K15" i="36" s="1"/>
  <c r="B17" i="36"/>
  <c r="B39" i="43"/>
  <c r="B23" i="36"/>
  <c r="B45" i="43"/>
  <c r="B20" i="36"/>
  <c r="B42" i="43"/>
  <c r="B18" i="36"/>
  <c r="B40" i="43"/>
  <c r="B21" i="36"/>
  <c r="B43" i="43"/>
  <c r="B22" i="36"/>
  <c r="B44" i="43"/>
  <c r="B19" i="36"/>
  <c r="B41" i="43"/>
  <c r="B24" i="36"/>
  <c r="B46" i="43"/>
  <c r="B15" i="36"/>
  <c r="B37" i="43"/>
  <c r="AD5" i="75"/>
  <c r="BB50" i="72"/>
  <c r="DS4" i="72"/>
  <c r="JA50" i="72"/>
  <c r="HG50" i="72"/>
  <c r="JA4" i="72"/>
  <c r="ID4" i="72"/>
  <c r="GJ4" i="72"/>
  <c r="HG4" i="72"/>
  <c r="EP4" i="72"/>
  <c r="CV4" i="72"/>
  <c r="FM4" i="72"/>
  <c r="CT24" i="72" l="1"/>
  <c r="FK29" i="72"/>
  <c r="HJ18" i="72"/>
  <c r="HN18" i="72"/>
  <c r="CT21" i="72"/>
  <c r="CV21" i="72" s="1"/>
  <c r="DC21" i="72" s="1"/>
  <c r="FK28" i="72"/>
  <c r="CT33" i="72"/>
  <c r="DQ24" i="72"/>
  <c r="DS24" i="72" s="1"/>
  <c r="DZ24" i="72" s="1"/>
  <c r="CT18" i="72"/>
  <c r="CV18" i="72" s="1"/>
  <c r="DB18" i="72" s="1"/>
  <c r="DQ23" i="72"/>
  <c r="DS23" i="72" s="1"/>
  <c r="DY23" i="72" s="1"/>
  <c r="CT31" i="72"/>
  <c r="DQ30" i="72"/>
  <c r="DQ27" i="72"/>
  <c r="FK32" i="72"/>
  <c r="DQ26" i="72"/>
  <c r="DQ19" i="72"/>
  <c r="DS19" i="72" s="1"/>
  <c r="DZ19" i="72" s="1"/>
  <c r="DQ21" i="72"/>
  <c r="DS21" i="72" s="1"/>
  <c r="FK33" i="72"/>
  <c r="DQ18" i="72"/>
  <c r="DS18" i="72" s="1"/>
  <c r="DV18" i="72" s="1"/>
  <c r="FK19" i="72"/>
  <c r="FM19" i="72" s="1"/>
  <c r="FS19" i="72" s="1"/>
  <c r="FK18" i="72"/>
  <c r="FM18" i="72" s="1"/>
  <c r="FT18" i="72" s="1"/>
  <c r="CT25" i="72"/>
  <c r="CV25" i="72" s="1"/>
  <c r="DC25" i="72" s="1"/>
  <c r="CT17" i="72"/>
  <c r="CV17" i="72" s="1"/>
  <c r="DC17" i="72" s="1"/>
  <c r="CT16" i="72"/>
  <c r="CV16" i="72" s="1"/>
  <c r="FK27" i="72"/>
  <c r="HE31" i="72"/>
  <c r="CT30" i="72"/>
  <c r="CY18" i="72"/>
  <c r="HM18" i="72"/>
  <c r="CT27" i="72"/>
  <c r="HE17" i="72"/>
  <c r="HG17" i="72" s="1"/>
  <c r="HM17" i="72" s="1"/>
  <c r="CT22" i="72"/>
  <c r="CV22" i="72" s="1"/>
  <c r="CT34" i="72"/>
  <c r="G4" i="95"/>
  <c r="G45" i="94"/>
  <c r="C78" i="95"/>
  <c r="G17" i="94"/>
  <c r="G31" i="94"/>
  <c r="F22" i="12"/>
  <c r="I22" i="12"/>
  <c r="CV24" i="72"/>
  <c r="DB24" i="72" s="1"/>
  <c r="CT20" i="72"/>
  <c r="CV20" i="72" s="1"/>
  <c r="CY20" i="72" s="1"/>
  <c r="HE29" i="72"/>
  <c r="DQ34" i="72"/>
  <c r="CT29" i="72"/>
  <c r="DQ17" i="72"/>
  <c r="DS17" i="72" s="1"/>
  <c r="DZ17" i="72" s="1"/>
  <c r="DQ25" i="72"/>
  <c r="DS25" i="72" s="1"/>
  <c r="DZ25" i="72" s="1"/>
  <c r="HE22" i="72"/>
  <c r="HG22" i="72" s="1"/>
  <c r="HM22" i="72" s="1"/>
  <c r="HE34" i="72"/>
  <c r="FM24" i="72"/>
  <c r="FS24" i="72" s="1"/>
  <c r="CT26" i="72"/>
  <c r="FK31" i="72"/>
  <c r="IY21" i="72"/>
  <c r="JA21" i="72" s="1"/>
  <c r="JH21" i="72" s="1"/>
  <c r="BW14" i="72"/>
  <c r="BW35" i="72" s="1"/>
  <c r="CT32" i="72"/>
  <c r="FK17" i="72"/>
  <c r="FM17" i="72" s="1"/>
  <c r="FN17" i="72" s="1"/>
  <c r="IY29" i="72"/>
  <c r="IY19" i="72"/>
  <c r="JA19" i="72" s="1"/>
  <c r="JG19" i="72" s="1"/>
  <c r="DQ28" i="72"/>
  <c r="HE20" i="72"/>
  <c r="HG20" i="72" s="1"/>
  <c r="HM20" i="72" s="1"/>
  <c r="HE24" i="72"/>
  <c r="HG24" i="72" s="1"/>
  <c r="HJ24" i="72" s="1"/>
  <c r="EN30" i="72"/>
  <c r="GH30" i="72"/>
  <c r="EN24" i="72"/>
  <c r="EP24" i="72" s="1"/>
  <c r="EN32" i="72"/>
  <c r="EN20" i="72"/>
  <c r="EP20" i="72" s="1"/>
  <c r="EW20" i="72" s="1"/>
  <c r="EN28" i="72"/>
  <c r="EN31" i="72"/>
  <c r="EN33" i="72"/>
  <c r="BW15" i="72"/>
  <c r="BY15" i="72" s="1"/>
  <c r="HE14" i="72"/>
  <c r="HE35" i="72" s="1"/>
  <c r="EN27" i="72"/>
  <c r="EN19" i="72"/>
  <c r="EP19" i="72" s="1"/>
  <c r="ES19" i="72" s="1"/>
  <c r="GH18" i="72"/>
  <c r="GJ18" i="72" s="1"/>
  <c r="GM18" i="72" s="1"/>
  <c r="GH34" i="72"/>
  <c r="HE21" i="72"/>
  <c r="HG21" i="72" s="1"/>
  <c r="CT23" i="72"/>
  <c r="CV23" i="72" s="1"/>
  <c r="DB23" i="72" s="1"/>
  <c r="HE27" i="72"/>
  <c r="FK14" i="72"/>
  <c r="FK35" i="72" s="1"/>
  <c r="EN23" i="72"/>
  <c r="EP23" i="72" s="1"/>
  <c r="EV23" i="72" s="1"/>
  <c r="IY23" i="72"/>
  <c r="JA23" i="72" s="1"/>
  <c r="JD23" i="72" s="1"/>
  <c r="CT15" i="72"/>
  <c r="CV15" i="72" s="1"/>
  <c r="DC15" i="72" s="1"/>
  <c r="EN15" i="72"/>
  <c r="EP15" i="72" s="1"/>
  <c r="GH32" i="72"/>
  <c r="HE23" i="72"/>
  <c r="HG23" i="72" s="1"/>
  <c r="HN23" i="72" s="1"/>
  <c r="FK21" i="72"/>
  <c r="FM21" i="72" s="1"/>
  <c r="DQ22" i="72"/>
  <c r="DS22" i="72" s="1"/>
  <c r="DT22" i="72" s="1"/>
  <c r="EN17" i="72"/>
  <c r="EP17" i="72" s="1"/>
  <c r="DQ33" i="72"/>
  <c r="CT19" i="72"/>
  <c r="CV19" i="72" s="1"/>
  <c r="DQ35" i="72"/>
  <c r="DS14" i="72"/>
  <c r="DV14" i="72" s="1"/>
  <c r="IB22" i="72"/>
  <c r="ID22" i="72" s="1"/>
  <c r="IK22" i="72" s="1"/>
  <c r="IB33" i="72"/>
  <c r="IB20" i="72"/>
  <c r="ID20" i="72" s="1"/>
  <c r="IB34" i="72"/>
  <c r="HE26" i="72"/>
  <c r="IB14" i="72"/>
  <c r="BW31" i="72"/>
  <c r="IB30" i="72"/>
  <c r="IY22" i="72"/>
  <c r="JA22" i="72" s="1"/>
  <c r="JG22" i="72" s="1"/>
  <c r="IY25" i="72"/>
  <c r="JA25" i="72" s="1"/>
  <c r="IB19" i="72"/>
  <c r="ID19" i="72" s="1"/>
  <c r="IJ19" i="72" s="1"/>
  <c r="BW24" i="72"/>
  <c r="BY24" i="72" s="1"/>
  <c r="IY15" i="72"/>
  <c r="JA15" i="72" s="1"/>
  <c r="JH15" i="72" s="1"/>
  <c r="IB24" i="72"/>
  <c r="ID24" i="72" s="1"/>
  <c r="EN34" i="72"/>
  <c r="IB15" i="72"/>
  <c r="ID15" i="72" s="1"/>
  <c r="BW20" i="72"/>
  <c r="BY20" i="72" s="1"/>
  <c r="BW29" i="72"/>
  <c r="IB28" i="72"/>
  <c r="GH21" i="72"/>
  <c r="GJ21" i="72" s="1"/>
  <c r="BW32" i="72"/>
  <c r="BW21" i="72"/>
  <c r="BY21" i="72" s="1"/>
  <c r="IB27" i="72"/>
  <c r="BW16" i="72"/>
  <c r="BY16" i="72" s="1"/>
  <c r="HE25" i="72"/>
  <c r="HG25" i="72" s="1"/>
  <c r="HM25" i="72" s="1"/>
  <c r="BW22" i="72"/>
  <c r="BY22" i="72" s="1"/>
  <c r="GH22" i="72"/>
  <c r="GJ22" i="72" s="1"/>
  <c r="JA14" i="72"/>
  <c r="JG14" i="72" s="1"/>
  <c r="IY35" i="72"/>
  <c r="IY34" i="72"/>
  <c r="BW17" i="72"/>
  <c r="BY17" i="72" s="1"/>
  <c r="BW18" i="72"/>
  <c r="BY18" i="72" s="1"/>
  <c r="GH31" i="72"/>
  <c r="HE15" i="72"/>
  <c r="HG15" i="72" s="1"/>
  <c r="HM15" i="72" s="1"/>
  <c r="IB32" i="72"/>
  <c r="GH17" i="72"/>
  <c r="GJ17" i="72" s="1"/>
  <c r="GP17" i="72" s="1"/>
  <c r="EN14" i="72"/>
  <c r="EN21" i="72"/>
  <c r="EP21" i="72" s="1"/>
  <c r="EQ21" i="72" s="1"/>
  <c r="ER21" i="72" s="1"/>
  <c r="IY30" i="72"/>
  <c r="DQ29" i="72"/>
  <c r="EN29" i="72"/>
  <c r="EN25" i="72"/>
  <c r="EP25" i="72" s="1"/>
  <c r="EV25" i="72" s="1"/>
  <c r="IY20" i="72"/>
  <c r="JA20" i="72" s="1"/>
  <c r="JG20" i="72" s="1"/>
  <c r="EN22" i="72"/>
  <c r="EP22" i="72" s="1"/>
  <c r="EQ22" i="72" s="1"/>
  <c r="EN18" i="72"/>
  <c r="EP18" i="72" s="1"/>
  <c r="EV18" i="72" s="1"/>
  <c r="BW23" i="72"/>
  <c r="BY23" i="72" s="1"/>
  <c r="GH28" i="72"/>
  <c r="IY17" i="72"/>
  <c r="JA17" i="72" s="1"/>
  <c r="JG17" i="72" s="1"/>
  <c r="IY26" i="72"/>
  <c r="IY32" i="72"/>
  <c r="FK15" i="72"/>
  <c r="FM15" i="72" s="1"/>
  <c r="FS15" i="72" s="1"/>
  <c r="FK30" i="72"/>
  <c r="FK23" i="72"/>
  <c r="FM23" i="72" s="1"/>
  <c r="FS23" i="72" s="1"/>
  <c r="BW26" i="72"/>
  <c r="DQ15" i="72"/>
  <c r="DS15" i="72" s="1"/>
  <c r="DZ15" i="72" s="1"/>
  <c r="CT14" i="72"/>
  <c r="HE32" i="72"/>
  <c r="HE16" i="72"/>
  <c r="HG16" i="72" s="1"/>
  <c r="HN16" i="72" s="1"/>
  <c r="BW19" i="72"/>
  <c r="BY19" i="72" s="1"/>
  <c r="GH20" i="72"/>
  <c r="GJ20" i="72" s="1"/>
  <c r="IY27" i="72"/>
  <c r="GH14" i="72"/>
  <c r="IB31" i="72"/>
  <c r="BW27" i="72"/>
  <c r="GH26" i="72"/>
  <c r="BW33" i="72"/>
  <c r="GH33" i="72"/>
  <c r="GH19" i="72"/>
  <c r="GJ19" i="72" s="1"/>
  <c r="GQ19" i="72" s="1"/>
  <c r="BW30" i="72"/>
  <c r="FK22" i="72"/>
  <c r="FM22" i="72" s="1"/>
  <c r="FT22" i="72" s="1"/>
  <c r="FK34" i="72"/>
  <c r="BW25" i="72"/>
  <c r="BY25" i="72" s="1"/>
  <c r="FK16" i="72"/>
  <c r="FM16" i="72" s="1"/>
  <c r="FS16" i="72" s="1"/>
  <c r="DQ32" i="72"/>
  <c r="GH16" i="72"/>
  <c r="GJ16" i="72" s="1"/>
  <c r="IB17" i="72"/>
  <c r="ID17" i="72" s="1"/>
  <c r="IJ17" i="72" s="1"/>
  <c r="IB16" i="72"/>
  <c r="ID16" i="72" s="1"/>
  <c r="IJ16" i="72" s="1"/>
  <c r="HE19" i="72"/>
  <c r="HG19" i="72" s="1"/>
  <c r="HM19" i="72" s="1"/>
  <c r="GH24" i="72"/>
  <c r="GJ24" i="72" s="1"/>
  <c r="GQ24" i="72" s="1"/>
  <c r="IY33" i="72"/>
  <c r="IY28" i="72"/>
  <c r="GH27" i="72"/>
  <c r="DQ31" i="72"/>
  <c r="GH23" i="72"/>
  <c r="GJ23" i="72" s="1"/>
  <c r="GQ23" i="72" s="1"/>
  <c r="BW34" i="72"/>
  <c r="FK20" i="72"/>
  <c r="FM20" i="72" s="1"/>
  <c r="FS20" i="72" s="1"/>
  <c r="IY16" i="72"/>
  <c r="JA16" i="72" s="1"/>
  <c r="JH16" i="72" s="1"/>
  <c r="IB25" i="72"/>
  <c r="ID25" i="72" s="1"/>
  <c r="IB23" i="72"/>
  <c r="ID23" i="72" s="1"/>
  <c r="IJ23" i="72" s="1"/>
  <c r="FK25" i="72"/>
  <c r="FM25" i="72" s="1"/>
  <c r="FS25" i="72" s="1"/>
  <c r="IY18" i="72"/>
  <c r="JA18" i="72" s="1"/>
  <c r="FK26" i="72"/>
  <c r="HE33" i="72"/>
  <c r="HE30" i="72"/>
  <c r="HG30" i="72" s="1"/>
  <c r="DQ20" i="72"/>
  <c r="DS20" i="72" s="1"/>
  <c r="DZ20" i="72" s="1"/>
  <c r="HE28" i="72"/>
  <c r="IB21" i="72"/>
  <c r="ID21" i="72" s="1"/>
  <c r="IJ21" i="72" s="1"/>
  <c r="DQ16" i="72"/>
  <c r="DS16" i="72" s="1"/>
  <c r="DZ16" i="72" s="1"/>
  <c r="IY31" i="72"/>
  <c r="EN26" i="72"/>
  <c r="IY24" i="72"/>
  <c r="JA24" i="72" s="1"/>
  <c r="JG24" i="72" s="1"/>
  <c r="IB18" i="72"/>
  <c r="ID18" i="72" s="1"/>
  <c r="IE18" i="72" s="1"/>
  <c r="GH25" i="72"/>
  <c r="GJ25" i="72" s="1"/>
  <c r="GP25" i="72" s="1"/>
  <c r="GH15" i="72"/>
  <c r="GJ15" i="72" s="1"/>
  <c r="GP15" i="72" s="1"/>
  <c r="IB26" i="72"/>
  <c r="HI18" i="72"/>
  <c r="FP19" i="72"/>
  <c r="DT18" i="72"/>
  <c r="DZ18" i="72"/>
  <c r="DY18" i="72"/>
  <c r="JB21" i="72"/>
  <c r="JB15" i="72"/>
  <c r="HJ20" i="72"/>
  <c r="FT24" i="72"/>
  <c r="FT23" i="72"/>
  <c r="CY23" i="72"/>
  <c r="CY21" i="72"/>
  <c r="FS18" i="72"/>
  <c r="JG16" i="72"/>
  <c r="HN20" i="72"/>
  <c r="CW18" i="72"/>
  <c r="CV30" i="72" s="1"/>
  <c r="DC18" i="72"/>
  <c r="IG21" i="72"/>
  <c r="GK25" i="72"/>
  <c r="GL25" i="72" s="1"/>
  <c r="EV20" i="72"/>
  <c r="EQ16" i="72"/>
  <c r="EW16" i="72"/>
  <c r="ES16" i="72"/>
  <c r="HN25" i="72"/>
  <c r="DT20" i="72"/>
  <c r="GP24" i="72"/>
  <c r="GK24" i="72"/>
  <c r="GL24" i="72" s="1"/>
  <c r="DV15" i="72"/>
  <c r="DY15" i="72"/>
  <c r="R15" i="36"/>
  <c r="Z37" i="72"/>
  <c r="H22" i="72"/>
  <c r="H14" i="72"/>
  <c r="H28" i="72"/>
  <c r="H25" i="72"/>
  <c r="H19" i="72"/>
  <c r="H23" i="72"/>
  <c r="H33" i="72"/>
  <c r="H26" i="72"/>
  <c r="H16" i="72"/>
  <c r="H32" i="72"/>
  <c r="H30" i="72"/>
  <c r="H15" i="72"/>
  <c r="H27" i="72"/>
  <c r="H20" i="72"/>
  <c r="H31" i="72"/>
  <c r="H29" i="72"/>
  <c r="H21" i="72"/>
  <c r="H17" i="72"/>
  <c r="H18" i="72"/>
  <c r="H34" i="72"/>
  <c r="H24" i="72"/>
  <c r="ET35" i="72"/>
  <c r="FR35" i="72"/>
  <c r="GO35" i="72"/>
  <c r="JE35" i="72"/>
  <c r="BG35" i="72"/>
  <c r="II35" i="72"/>
  <c r="DA35" i="72"/>
  <c r="BF35" i="72"/>
  <c r="FQ35" i="72"/>
  <c r="GN35" i="72"/>
  <c r="HL35" i="72"/>
  <c r="IH35" i="72"/>
  <c r="CZ35" i="72"/>
  <c r="JF35" i="72"/>
  <c r="HK35" i="72"/>
  <c r="DW35" i="72"/>
  <c r="DX35" i="72"/>
  <c r="EU35" i="72"/>
  <c r="X8" i="75"/>
  <c r="X7" i="75"/>
  <c r="K16" i="36" s="1"/>
  <c r="W16" i="36" s="1"/>
  <c r="K18" i="36"/>
  <c r="W18" i="36" s="1"/>
  <c r="AB14" i="75"/>
  <c r="AB11" i="75"/>
  <c r="AA15" i="75"/>
  <c r="AA6" i="75"/>
  <c r="W24" i="36"/>
  <c r="W21" i="36"/>
  <c r="W22" i="36"/>
  <c r="W19" i="36"/>
  <c r="W20" i="36"/>
  <c r="W23" i="36"/>
  <c r="W15" i="36"/>
  <c r="T40" i="72"/>
  <c r="T44" i="72"/>
  <c r="T41" i="72"/>
  <c r="T45" i="72"/>
  <c r="T42" i="72"/>
  <c r="T46" i="72"/>
  <c r="T43" i="72"/>
  <c r="T47" i="72"/>
  <c r="T39" i="72"/>
  <c r="D25" i="57"/>
  <c r="D29" i="57"/>
  <c r="D23" i="57"/>
  <c r="D26" i="57"/>
  <c r="D30" i="57"/>
  <c r="D27" i="57"/>
  <c r="D31" i="57"/>
  <c r="D24" i="57"/>
  <c r="D28" i="57"/>
  <c r="D32" i="57"/>
  <c r="DY17" i="72" l="1"/>
  <c r="GK18" i="72"/>
  <c r="GJ30" i="72" s="1"/>
  <c r="GQ18" i="72"/>
  <c r="CW21" i="72"/>
  <c r="CV33" i="72" s="1"/>
  <c r="DC33" i="72" s="1"/>
  <c r="DB20" i="72"/>
  <c r="FT16" i="72"/>
  <c r="DB15" i="72"/>
  <c r="DB21" i="72"/>
  <c r="ES25" i="72"/>
  <c r="FP24" i="72"/>
  <c r="HH25" i="72"/>
  <c r="HI25" i="72" s="1"/>
  <c r="JB19" i="72"/>
  <c r="FP18" i="72"/>
  <c r="FN18" i="72"/>
  <c r="EQ20" i="72"/>
  <c r="ES20" i="72"/>
  <c r="HH20" i="72"/>
  <c r="HG32" i="72" s="1"/>
  <c r="FN24" i="72"/>
  <c r="FO24" i="72" s="1"/>
  <c r="JH19" i="72"/>
  <c r="CY15" i="72"/>
  <c r="GP18" i="72"/>
  <c r="FT19" i="72"/>
  <c r="JD19" i="72"/>
  <c r="CW15" i="72"/>
  <c r="FN19" i="72"/>
  <c r="FO19" i="72" s="1"/>
  <c r="IG23" i="72"/>
  <c r="IE23" i="72"/>
  <c r="IF23" i="72" s="1"/>
  <c r="HJ25" i="72"/>
  <c r="FN16" i="72"/>
  <c r="JD22" i="72"/>
  <c r="GQ15" i="72"/>
  <c r="IK21" i="72"/>
  <c r="FP16" i="72"/>
  <c r="JH22" i="72"/>
  <c r="IK23" i="72"/>
  <c r="JB22" i="72"/>
  <c r="DB17" i="72"/>
  <c r="IE19" i="72"/>
  <c r="CW17" i="72"/>
  <c r="CY17" i="72"/>
  <c r="DV19" i="72"/>
  <c r="JH20" i="72"/>
  <c r="FN15" i="72"/>
  <c r="FO15" i="72" s="1"/>
  <c r="DT25" i="72"/>
  <c r="DU25" i="72" s="1"/>
  <c r="DV16" i="72"/>
  <c r="BY14" i="72"/>
  <c r="FP25" i="72"/>
  <c r="DY19" i="72"/>
  <c r="DT19" i="72"/>
  <c r="DU19" i="72" s="1"/>
  <c r="HH15" i="72"/>
  <c r="HI15" i="72" s="1"/>
  <c r="IE21" i="72"/>
  <c r="IF21" i="72" s="1"/>
  <c r="DY20" i="72"/>
  <c r="GQ25" i="72"/>
  <c r="DV20" i="72"/>
  <c r="GM25" i="72"/>
  <c r="JB16" i="72"/>
  <c r="JC16" i="72" s="1"/>
  <c r="GM24" i="72"/>
  <c r="DT15" i="72"/>
  <c r="DS27" i="72" s="1"/>
  <c r="GP23" i="72"/>
  <c r="DV24" i="72"/>
  <c r="DV23" i="72"/>
  <c r="GQ17" i="72"/>
  <c r="DZ23" i="72"/>
  <c r="DT23" i="72"/>
  <c r="DU23" i="72" s="1"/>
  <c r="DY24" i="72"/>
  <c r="DT24" i="72"/>
  <c r="DU24" i="72" s="1"/>
  <c r="HJ22" i="72"/>
  <c r="CW24" i="72"/>
  <c r="IG19" i="72"/>
  <c r="FT15" i="72"/>
  <c r="IK19" i="72"/>
  <c r="CY24" i="72"/>
  <c r="EP33" i="72"/>
  <c r="ES33" i="72" s="1"/>
  <c r="HN22" i="72"/>
  <c r="EW23" i="72"/>
  <c r="FP17" i="72"/>
  <c r="HH22" i="72"/>
  <c r="DC24" i="72"/>
  <c r="GK15" i="72"/>
  <c r="GL15" i="72" s="1"/>
  <c r="HM23" i="72"/>
  <c r="JH17" i="72"/>
  <c r="HH24" i="72"/>
  <c r="HI24" i="72" s="1"/>
  <c r="HH23" i="72"/>
  <c r="HI23" i="72" s="1"/>
  <c r="JD17" i="72"/>
  <c r="GM15" i="72"/>
  <c r="HM24" i="72"/>
  <c r="CV29" i="72"/>
  <c r="DC29" i="72" s="1"/>
  <c r="HJ23" i="72"/>
  <c r="CV27" i="72"/>
  <c r="CW27" i="72" s="1"/>
  <c r="JB17" i="72"/>
  <c r="JA29" i="72" s="1"/>
  <c r="HN24" i="72"/>
  <c r="CY25" i="72"/>
  <c r="DV21" i="72"/>
  <c r="DY21" i="72"/>
  <c r="DZ21" i="72"/>
  <c r="DT21" i="72"/>
  <c r="DB25" i="72"/>
  <c r="JG21" i="72"/>
  <c r="CY16" i="72"/>
  <c r="DC16" i="72"/>
  <c r="CW16" i="72"/>
  <c r="CV28" i="72" s="1"/>
  <c r="DB16" i="72"/>
  <c r="CW25" i="72"/>
  <c r="JD21" i="72"/>
  <c r="CY22" i="72"/>
  <c r="CW22" i="72"/>
  <c r="CV34" i="72" s="1"/>
  <c r="DB22" i="72"/>
  <c r="DC22" i="72"/>
  <c r="FM14" i="72"/>
  <c r="DB33" i="72"/>
  <c r="FP15" i="72"/>
  <c r="GM23" i="72"/>
  <c r="JD20" i="72"/>
  <c r="DV25" i="72"/>
  <c r="GM17" i="72"/>
  <c r="CY33" i="72"/>
  <c r="JB20" i="72"/>
  <c r="HG14" i="72"/>
  <c r="CW33" i="72"/>
  <c r="DV17" i="72"/>
  <c r="HJ17" i="72"/>
  <c r="JH14" i="72"/>
  <c r="ES22" i="72"/>
  <c r="HH17" i="72"/>
  <c r="HI17" i="72" s="1"/>
  <c r="JB14" i="72"/>
  <c r="GK17" i="72"/>
  <c r="GL17" i="72" s="1"/>
  <c r="IK17" i="72"/>
  <c r="DT17" i="72"/>
  <c r="DU17" i="72" s="1"/>
  <c r="JD14" i="72"/>
  <c r="HN17" i="72"/>
  <c r="DY25" i="72"/>
  <c r="GK23" i="72"/>
  <c r="GL23" i="72" s="1"/>
  <c r="IG17" i="72"/>
  <c r="GP19" i="72"/>
  <c r="D62" i="95"/>
  <c r="Q26" i="95" s="1"/>
  <c r="K30" i="95"/>
  <c r="P48" i="95"/>
  <c r="K31" i="95"/>
  <c r="CW20" i="72"/>
  <c r="CV32" i="72" s="1"/>
  <c r="DC20" i="72"/>
  <c r="HN30" i="72"/>
  <c r="HH30" i="72"/>
  <c r="HI30" i="72" s="1"/>
  <c r="HM30" i="72"/>
  <c r="EV19" i="72"/>
  <c r="HN19" i="72"/>
  <c r="FN22" i="72"/>
  <c r="FO22" i="72" s="1"/>
  <c r="IE17" i="72"/>
  <c r="IF17" i="72" s="1"/>
  <c r="FS17" i="72"/>
  <c r="FT17" i="72"/>
  <c r="FS22" i="72"/>
  <c r="HH19" i="72"/>
  <c r="HI19" i="72" s="1"/>
  <c r="FP22" i="72"/>
  <c r="JG23" i="72"/>
  <c r="EQ19" i="72"/>
  <c r="ER19" i="72" s="1"/>
  <c r="ES21" i="72"/>
  <c r="JB23" i="72"/>
  <c r="JC23" i="72" s="1"/>
  <c r="EW21" i="72"/>
  <c r="HJ19" i="72"/>
  <c r="GM19" i="72"/>
  <c r="JH23" i="72"/>
  <c r="EV21" i="72"/>
  <c r="EW19" i="72"/>
  <c r="GK19" i="72"/>
  <c r="GL19" i="72" s="1"/>
  <c r="EW18" i="72"/>
  <c r="EQ23" i="72"/>
  <c r="ER23" i="72" s="1"/>
  <c r="IE16" i="72"/>
  <c r="IF16" i="72" s="1"/>
  <c r="ES18" i="72"/>
  <c r="ES23" i="72"/>
  <c r="IJ22" i="72"/>
  <c r="EQ18" i="72"/>
  <c r="ER18" i="72" s="1"/>
  <c r="JH24" i="72"/>
  <c r="FN23" i="72"/>
  <c r="FO23" i="72" s="1"/>
  <c r="IK16" i="72"/>
  <c r="JB24" i="72"/>
  <c r="JC24" i="72" s="1"/>
  <c r="JD24" i="72"/>
  <c r="IG22" i="72"/>
  <c r="FP23" i="72"/>
  <c r="IG16" i="72"/>
  <c r="IE22" i="72"/>
  <c r="IF22" i="72" s="1"/>
  <c r="FN25" i="72"/>
  <c r="FO25" i="72" s="1"/>
  <c r="HH16" i="72"/>
  <c r="HI16" i="72" s="1"/>
  <c r="CW23" i="72"/>
  <c r="HM16" i="72"/>
  <c r="EW15" i="72"/>
  <c r="EV15" i="72"/>
  <c r="EQ15" i="72"/>
  <c r="ES15" i="72"/>
  <c r="HM21" i="72"/>
  <c r="HH21" i="72"/>
  <c r="HJ21" i="72"/>
  <c r="HN21" i="72"/>
  <c r="DZ14" i="72"/>
  <c r="DT14" i="72"/>
  <c r="DU14" i="72" s="1"/>
  <c r="HJ15" i="72"/>
  <c r="HJ16" i="72"/>
  <c r="DC19" i="72"/>
  <c r="CW19" i="72"/>
  <c r="CV31" i="72" s="1"/>
  <c r="CY19" i="72"/>
  <c r="DB19" i="72"/>
  <c r="DT16" i="72"/>
  <c r="EV17" i="72"/>
  <c r="ES17" i="72"/>
  <c r="EW17" i="72"/>
  <c r="EQ17" i="72"/>
  <c r="DY14" i="72"/>
  <c r="DY22" i="72"/>
  <c r="DZ22" i="72"/>
  <c r="DV22" i="72"/>
  <c r="EW24" i="72"/>
  <c r="ES24" i="72"/>
  <c r="EQ24" i="72"/>
  <c r="ER24" i="72" s="1"/>
  <c r="EV24" i="72"/>
  <c r="EW25" i="72"/>
  <c r="DC23" i="72"/>
  <c r="FS21" i="72"/>
  <c r="FT21" i="72"/>
  <c r="FP21" i="72"/>
  <c r="FN21" i="72"/>
  <c r="DY16" i="72"/>
  <c r="HN15" i="72"/>
  <c r="EQ25" i="72"/>
  <c r="ER25" i="72" s="1"/>
  <c r="FT25" i="72"/>
  <c r="HJ30" i="72"/>
  <c r="JD16" i="72"/>
  <c r="CF15" i="72"/>
  <c r="CB15" i="72"/>
  <c r="BZ15" i="72"/>
  <c r="CE15" i="72"/>
  <c r="IK25" i="72"/>
  <c r="IE25" i="72"/>
  <c r="IF25" i="72" s="1"/>
  <c r="IG25" i="72"/>
  <c r="IJ25" i="72"/>
  <c r="CB25" i="72"/>
  <c r="BZ25" i="72"/>
  <c r="CA25" i="72" s="1"/>
  <c r="CE25" i="72"/>
  <c r="CF25" i="72"/>
  <c r="CT35" i="72"/>
  <c r="CV14" i="72"/>
  <c r="CF18" i="72"/>
  <c r="CB18" i="72"/>
  <c r="CE18" i="72"/>
  <c r="BZ18" i="72"/>
  <c r="CE16" i="72"/>
  <c r="CF16" i="72"/>
  <c r="BZ16" i="72"/>
  <c r="CB16" i="72"/>
  <c r="JG25" i="72"/>
  <c r="JH25" i="72"/>
  <c r="JB25" i="72"/>
  <c r="JC25" i="72" s="1"/>
  <c r="JD25" i="72"/>
  <c r="CE17" i="72"/>
  <c r="BZ17" i="72"/>
  <c r="CF17" i="72"/>
  <c r="CB17" i="72"/>
  <c r="CE20" i="72"/>
  <c r="CF20" i="72"/>
  <c r="CB20" i="72"/>
  <c r="BZ20" i="72"/>
  <c r="IJ20" i="72"/>
  <c r="IK20" i="72"/>
  <c r="IE20" i="72"/>
  <c r="IG20" i="72"/>
  <c r="IG18" i="72"/>
  <c r="IK18" i="72"/>
  <c r="IJ18" i="72"/>
  <c r="FP20" i="72"/>
  <c r="FT20" i="72"/>
  <c r="FN20" i="72"/>
  <c r="GH35" i="72"/>
  <c r="GJ14" i="72"/>
  <c r="CF23" i="72"/>
  <c r="CE23" i="72"/>
  <c r="CB23" i="72"/>
  <c r="BZ23" i="72"/>
  <c r="CA23" i="72" s="1"/>
  <c r="CF21" i="72"/>
  <c r="BZ21" i="72"/>
  <c r="CB21" i="72"/>
  <c r="CE21" i="72"/>
  <c r="IK15" i="72"/>
  <c r="IE15" i="72"/>
  <c r="IG15" i="72"/>
  <c r="IJ15" i="72"/>
  <c r="EN35" i="72"/>
  <c r="EP14" i="72"/>
  <c r="GP20" i="72"/>
  <c r="GQ20" i="72"/>
  <c r="GM20" i="72"/>
  <c r="GK20" i="72"/>
  <c r="EV22" i="72"/>
  <c r="EW22" i="72"/>
  <c r="GQ21" i="72"/>
  <c r="GP21" i="72"/>
  <c r="GM21" i="72"/>
  <c r="GK21" i="72"/>
  <c r="IG24" i="72"/>
  <c r="IJ24" i="72"/>
  <c r="IK24" i="72"/>
  <c r="IE24" i="72"/>
  <c r="IF24" i="72" s="1"/>
  <c r="IB35" i="72"/>
  <c r="ID14" i="72"/>
  <c r="CE14" i="72"/>
  <c r="CF14" i="72"/>
  <c r="BZ14" i="72"/>
  <c r="CB14" i="72"/>
  <c r="JB18" i="72"/>
  <c r="JD18" i="72"/>
  <c r="JG18" i="72"/>
  <c r="JH18" i="72"/>
  <c r="GQ16" i="72"/>
  <c r="GK16" i="72"/>
  <c r="GP16" i="72"/>
  <c r="GM16" i="72"/>
  <c r="CE19" i="72"/>
  <c r="CF19" i="72"/>
  <c r="BZ19" i="72"/>
  <c r="CB19" i="72"/>
  <c r="GK22" i="72"/>
  <c r="GQ22" i="72"/>
  <c r="GP22" i="72"/>
  <c r="GM22" i="72"/>
  <c r="JD15" i="72"/>
  <c r="JG15" i="72"/>
  <c r="FS14" i="72"/>
  <c r="FT14" i="72"/>
  <c r="FP14" i="72"/>
  <c r="FN14" i="72"/>
  <c r="CE22" i="72"/>
  <c r="CF22" i="72"/>
  <c r="CB22" i="72"/>
  <c r="BZ22" i="72"/>
  <c r="CF24" i="72"/>
  <c r="CE24" i="72"/>
  <c r="CB24" i="72"/>
  <c r="BZ24" i="72"/>
  <c r="CA24" i="72" s="1"/>
  <c r="DB29" i="72"/>
  <c r="JC14" i="72"/>
  <c r="JA26" i="72"/>
  <c r="JC19" i="72"/>
  <c r="JA31" i="72"/>
  <c r="JC15" i="72"/>
  <c r="JA27" i="72"/>
  <c r="JA28" i="72"/>
  <c r="JC22" i="72"/>
  <c r="JA34" i="72"/>
  <c r="JC20" i="72"/>
  <c r="JA32" i="72"/>
  <c r="JC21" i="72"/>
  <c r="JA33" i="72"/>
  <c r="IF18" i="72"/>
  <c r="ID30" i="72"/>
  <c r="ID29" i="72"/>
  <c r="IF19" i="72"/>
  <c r="ID31" i="72"/>
  <c r="HI22" i="72"/>
  <c r="HG34" i="72"/>
  <c r="HI20" i="72"/>
  <c r="GL18" i="72"/>
  <c r="FM27" i="72"/>
  <c r="FO18" i="72"/>
  <c r="FM30" i="72"/>
  <c r="FM31" i="72"/>
  <c r="FO17" i="72"/>
  <c r="FM29" i="72"/>
  <c r="FO16" i="72"/>
  <c r="FM28" i="72"/>
  <c r="ER20" i="72"/>
  <c r="EP32" i="72"/>
  <c r="ER16" i="72"/>
  <c r="EP28" i="72"/>
  <c r="ER22" i="72"/>
  <c r="EP34" i="72"/>
  <c r="DU22" i="72"/>
  <c r="DS34" i="72"/>
  <c r="DU15" i="72"/>
  <c r="DU18" i="72"/>
  <c r="DS30" i="72"/>
  <c r="DU20" i="72"/>
  <c r="DS32" i="72"/>
  <c r="DU16" i="72"/>
  <c r="DS28" i="72"/>
  <c r="CY30" i="72"/>
  <c r="DC30" i="72"/>
  <c r="CW30" i="72"/>
  <c r="DB30" i="72"/>
  <c r="AH39" i="72"/>
  <c r="AH38" i="72"/>
  <c r="AH37" i="72" s="1"/>
  <c r="X16" i="75"/>
  <c r="K17" i="36"/>
  <c r="K25" i="36" s="1"/>
  <c r="AB6" i="75"/>
  <c r="AB15" i="75"/>
  <c r="AU100" i="61"/>
  <c r="AU103" i="61"/>
  <c r="AJ98" i="61"/>
  <c r="AY103" i="61"/>
  <c r="AJ102" i="61"/>
  <c r="AY101" i="61"/>
  <c r="AY95" i="61"/>
  <c r="AU104" i="61"/>
  <c r="AY104" i="61"/>
  <c r="AU99" i="61"/>
  <c r="AU101" i="61"/>
  <c r="AU98" i="61"/>
  <c r="AU102" i="61"/>
  <c r="AJ104" i="61"/>
  <c r="AY102" i="61"/>
  <c r="AU96" i="61"/>
  <c r="AY96" i="61"/>
  <c r="AJ99" i="61"/>
  <c r="AY97" i="61"/>
  <c r="AJ97" i="61"/>
  <c r="AY98" i="61"/>
  <c r="AJ96" i="61"/>
  <c r="AJ101" i="61"/>
  <c r="AY100" i="61"/>
  <c r="AU95" i="61"/>
  <c r="AJ100" i="61"/>
  <c r="AY99" i="61"/>
  <c r="AJ103" i="61"/>
  <c r="AJ95" i="61"/>
  <c r="AU97" i="61"/>
  <c r="AI14" i="72"/>
  <c r="AM14" i="72" s="1"/>
  <c r="AI23" i="72"/>
  <c r="AM23" i="72" s="1"/>
  <c r="AN23" i="72" s="1"/>
  <c r="AJ23" i="72" s="1"/>
  <c r="AI21" i="72"/>
  <c r="AM21" i="72" s="1"/>
  <c r="AN21" i="72" s="1"/>
  <c r="AJ21" i="72" s="1"/>
  <c r="AI30" i="72"/>
  <c r="AM30" i="72" s="1"/>
  <c r="AN30" i="72" s="1"/>
  <c r="AJ30" i="72" s="1"/>
  <c r="AI20" i="72"/>
  <c r="AM20" i="72" s="1"/>
  <c r="AN20" i="72" s="1"/>
  <c r="AJ20" i="72" s="1"/>
  <c r="AI25" i="72"/>
  <c r="AM25" i="72" s="1"/>
  <c r="AN25" i="72" s="1"/>
  <c r="AJ25" i="72" s="1"/>
  <c r="AI18" i="72"/>
  <c r="AM18" i="72" s="1"/>
  <c r="AN18" i="72" s="1"/>
  <c r="AJ18" i="72" s="1"/>
  <c r="AI34" i="72"/>
  <c r="AM34" i="72" s="1"/>
  <c r="AN34" i="72" s="1"/>
  <c r="AJ34" i="72" s="1"/>
  <c r="AI27" i="72"/>
  <c r="AM27" i="72" s="1"/>
  <c r="AN27" i="72" s="1"/>
  <c r="AJ27" i="72" s="1"/>
  <c r="AI24" i="72"/>
  <c r="AM24" i="72" s="1"/>
  <c r="AN24" i="72" s="1"/>
  <c r="AJ24" i="72" s="1"/>
  <c r="AI29" i="72"/>
  <c r="AM29" i="72" s="1"/>
  <c r="AN29" i="72" s="1"/>
  <c r="AJ29" i="72" s="1"/>
  <c r="AI22" i="72"/>
  <c r="AM22" i="72" s="1"/>
  <c r="AN22" i="72" s="1"/>
  <c r="AJ22" i="72" s="1"/>
  <c r="AI15" i="72"/>
  <c r="AM15" i="72" s="1"/>
  <c r="AN15" i="72" s="1"/>
  <c r="AJ15" i="72" s="1"/>
  <c r="AI31" i="72"/>
  <c r="AM31" i="72" s="1"/>
  <c r="AN31" i="72" s="1"/>
  <c r="AJ31" i="72" s="1"/>
  <c r="AI28" i="72"/>
  <c r="AM28" i="72" s="1"/>
  <c r="AN28" i="72" s="1"/>
  <c r="AJ28" i="72" s="1"/>
  <c r="AI17" i="72"/>
  <c r="AM17" i="72" s="1"/>
  <c r="AN17" i="72" s="1"/>
  <c r="AJ17" i="72" s="1"/>
  <c r="AI33" i="72"/>
  <c r="AM33" i="72" s="1"/>
  <c r="AN33" i="72" s="1"/>
  <c r="AJ33" i="72" s="1"/>
  <c r="AI26" i="72"/>
  <c r="AM26" i="72" s="1"/>
  <c r="AN26" i="72" s="1"/>
  <c r="AJ26" i="72" s="1"/>
  <c r="AI19" i="72"/>
  <c r="AM19" i="72" s="1"/>
  <c r="AN19" i="72" s="1"/>
  <c r="AJ19" i="72" s="1"/>
  <c r="AI16" i="72"/>
  <c r="AM16" i="72" s="1"/>
  <c r="AN16" i="72" s="1"/>
  <c r="AJ16" i="72" s="1"/>
  <c r="AI32" i="72"/>
  <c r="AM32" i="72" s="1"/>
  <c r="AN32" i="72" s="1"/>
  <c r="AJ32" i="72" s="1"/>
  <c r="G21" i="72"/>
  <c r="G15" i="72"/>
  <c r="G29" i="72"/>
  <c r="G28" i="72"/>
  <c r="G23" i="72"/>
  <c r="G32" i="72"/>
  <c r="G30" i="72"/>
  <c r="G25" i="72"/>
  <c r="G31" i="72"/>
  <c r="G20" i="72"/>
  <c r="G22" i="72"/>
  <c r="G24" i="72"/>
  <c r="G16" i="72"/>
  <c r="G34" i="72"/>
  <c r="G18" i="72"/>
  <c r="G27" i="72"/>
  <c r="G19" i="72"/>
  <c r="G26" i="72"/>
  <c r="G17" i="72"/>
  <c r="G33" i="72"/>
  <c r="G14" i="72"/>
  <c r="R43" i="72"/>
  <c r="R39" i="72"/>
  <c r="R41" i="72"/>
  <c r="R46" i="72"/>
  <c r="R47" i="72"/>
  <c r="R45" i="72"/>
  <c r="R44" i="72"/>
  <c r="R42" i="72"/>
  <c r="R40" i="72"/>
  <c r="R38" i="72"/>
  <c r="K95" i="61"/>
  <c r="U95" i="61"/>
  <c r="U102" i="61"/>
  <c r="U98" i="61"/>
  <c r="K100" i="61"/>
  <c r="K49" i="95" s="1"/>
  <c r="U99" i="61"/>
  <c r="U96" i="61"/>
  <c r="U104" i="61"/>
  <c r="K97" i="61"/>
  <c r="K46" i="95" s="1"/>
  <c r="K96" i="61"/>
  <c r="K45" i="95" s="1"/>
  <c r="U97" i="61"/>
  <c r="K98" i="61"/>
  <c r="K47" i="95" s="1"/>
  <c r="K99" i="61"/>
  <c r="K48" i="95" s="1"/>
  <c r="U101" i="61"/>
  <c r="K104" i="61"/>
  <c r="K53" i="95" s="1"/>
  <c r="K102" i="61"/>
  <c r="K51" i="95" s="1"/>
  <c r="K101" i="61"/>
  <c r="K50" i="95" s="1"/>
  <c r="U103" i="61"/>
  <c r="K103" i="61"/>
  <c r="K52" i="95" s="1"/>
  <c r="U100" i="61"/>
  <c r="AD15" i="72"/>
  <c r="AD34" i="72"/>
  <c r="AD33" i="72"/>
  <c r="AD23" i="72"/>
  <c r="AC33" i="72"/>
  <c r="AC32" i="72"/>
  <c r="AD14" i="72"/>
  <c r="X32" i="72"/>
  <c r="AD20" i="72"/>
  <c r="AC28" i="72"/>
  <c r="AD18" i="72"/>
  <c r="AD28" i="72"/>
  <c r="X33" i="72"/>
  <c r="AD21" i="72"/>
  <c r="AC24" i="72"/>
  <c r="AD19" i="72"/>
  <c r="AC15" i="72"/>
  <c r="X26" i="72"/>
  <c r="AC30" i="72"/>
  <c r="X27" i="72"/>
  <c r="X17" i="72"/>
  <c r="X21" i="72"/>
  <c r="X24" i="72"/>
  <c r="AC23" i="72"/>
  <c r="AD31" i="72"/>
  <c r="X23" i="72"/>
  <c r="X31" i="72"/>
  <c r="AD30" i="72"/>
  <c r="AD22" i="72"/>
  <c r="X19" i="72"/>
  <c r="AD26" i="72"/>
  <c r="AC17" i="72"/>
  <c r="AD32" i="72"/>
  <c r="AC21" i="72"/>
  <c r="AC19" i="72"/>
  <c r="AD27" i="72"/>
  <c r="X25" i="72"/>
  <c r="X15" i="72"/>
  <c r="X28" i="72"/>
  <c r="AC26" i="72"/>
  <c r="AC29" i="72"/>
  <c r="AD25" i="72"/>
  <c r="AD16" i="72"/>
  <c r="AD29" i="72"/>
  <c r="AC22" i="72"/>
  <c r="X29" i="72"/>
  <c r="AC18" i="72"/>
  <c r="X14" i="72"/>
  <c r="AD24" i="72"/>
  <c r="AD17" i="72"/>
  <c r="X22" i="72"/>
  <c r="AC34" i="72"/>
  <c r="AC16" i="72"/>
  <c r="X34" i="72"/>
  <c r="X30" i="72"/>
  <c r="AC31" i="72"/>
  <c r="AC27" i="72"/>
  <c r="AC25" i="72"/>
  <c r="X18" i="72"/>
  <c r="X20" i="72"/>
  <c r="X16" i="72"/>
  <c r="AC14" i="72"/>
  <c r="AC20" i="72"/>
  <c r="AA7" i="75"/>
  <c r="DC27" i="72" l="1"/>
  <c r="DB27" i="72"/>
  <c r="ID34" i="72"/>
  <c r="IK34" i="72" s="1"/>
  <c r="GJ31" i="72"/>
  <c r="ID33" i="72"/>
  <c r="GJ27" i="72"/>
  <c r="GP27" i="72" s="1"/>
  <c r="CY29" i="72"/>
  <c r="CW29" i="72"/>
  <c r="HG29" i="72"/>
  <c r="HN29" i="72" s="1"/>
  <c r="CY27" i="72"/>
  <c r="EP31" i="72"/>
  <c r="EV31" i="72" s="1"/>
  <c r="DS31" i="72"/>
  <c r="HG27" i="72"/>
  <c r="HM27" i="72" s="1"/>
  <c r="JC17" i="72"/>
  <c r="FM34" i="72"/>
  <c r="FS34" i="72" s="1"/>
  <c r="DS26" i="72"/>
  <c r="DV26" i="72" s="1"/>
  <c r="EW33" i="72"/>
  <c r="EQ33" i="72"/>
  <c r="ER33" i="72" s="1"/>
  <c r="EV33" i="72"/>
  <c r="DC28" i="72"/>
  <c r="CW28" i="72"/>
  <c r="DB28" i="72"/>
  <c r="CY28" i="72"/>
  <c r="HG28" i="72"/>
  <c r="HH28" i="72" s="1"/>
  <c r="HI28" i="72" s="1"/>
  <c r="GJ29" i="72"/>
  <c r="GK29" i="72" s="1"/>
  <c r="GL29" i="72" s="1"/>
  <c r="DU21" i="72"/>
  <c r="DS33" i="72"/>
  <c r="DS29" i="72"/>
  <c r="HM14" i="72"/>
  <c r="HH14" i="72"/>
  <c r="HN14" i="72"/>
  <c r="HJ14" i="72"/>
  <c r="ID28" i="72"/>
  <c r="IE28" i="72" s="1"/>
  <c r="DC34" i="72"/>
  <c r="DB34" i="72"/>
  <c r="CW34" i="72"/>
  <c r="CY34" i="72"/>
  <c r="DC32" i="72"/>
  <c r="DB32" i="72"/>
  <c r="CW32" i="72"/>
  <c r="CY32" i="72"/>
  <c r="EP30" i="72"/>
  <c r="EV30" i="72" s="1"/>
  <c r="K44" i="95"/>
  <c r="L7" i="95"/>
  <c r="HG31" i="72"/>
  <c r="HN31" i="72" s="1"/>
  <c r="ER15" i="72"/>
  <c r="EP27" i="72"/>
  <c r="FO21" i="72"/>
  <c r="FM33" i="72"/>
  <c r="BY27" i="72"/>
  <c r="CA15" i="72"/>
  <c r="DC31" i="72"/>
  <c r="DB31" i="72"/>
  <c r="CW31" i="72"/>
  <c r="CY31" i="72"/>
  <c r="HI21" i="72"/>
  <c r="HG33" i="72"/>
  <c r="ER17" i="72"/>
  <c r="EP29" i="72"/>
  <c r="IG14" i="72"/>
  <c r="IK14" i="72"/>
  <c r="IE14" i="72"/>
  <c r="IJ14" i="72"/>
  <c r="EV14" i="72"/>
  <c r="ES14" i="72"/>
  <c r="EQ14" i="72"/>
  <c r="EW14" i="72"/>
  <c r="BY33" i="72"/>
  <c r="CA21" i="72"/>
  <c r="FO20" i="72"/>
  <c r="FM32" i="72"/>
  <c r="CA17" i="72"/>
  <c r="BY29" i="72"/>
  <c r="CA19" i="72"/>
  <c r="BY31" i="72"/>
  <c r="CA22" i="72"/>
  <c r="BY34" i="72"/>
  <c r="CA20" i="72"/>
  <c r="BY32" i="72"/>
  <c r="CA18" i="72"/>
  <c r="BY30" i="72"/>
  <c r="JC18" i="72"/>
  <c r="JA30" i="72"/>
  <c r="JA35" i="72" s="1"/>
  <c r="GL20" i="72"/>
  <c r="GJ32" i="72"/>
  <c r="IF15" i="72"/>
  <c r="ID27" i="72"/>
  <c r="CA14" i="72"/>
  <c r="BY26" i="72"/>
  <c r="FO14" i="72"/>
  <c r="FM26" i="72"/>
  <c r="GL16" i="72"/>
  <c r="GJ28" i="72"/>
  <c r="GL21" i="72"/>
  <c r="GJ33" i="72"/>
  <c r="GQ14" i="72"/>
  <c r="GK14" i="72"/>
  <c r="GM14" i="72"/>
  <c r="GP14" i="72"/>
  <c r="CY14" i="72"/>
  <c r="DB14" i="72"/>
  <c r="DC14" i="72"/>
  <c r="CW14" i="72"/>
  <c r="CV26" i="72" s="1"/>
  <c r="GL22" i="72"/>
  <c r="GJ34" i="72"/>
  <c r="IF20" i="72"/>
  <c r="ID32" i="72"/>
  <c r="BY28" i="72"/>
  <c r="CA16" i="72"/>
  <c r="JB26" i="72"/>
  <c r="JC26" i="72" s="1"/>
  <c r="JH26" i="72"/>
  <c r="JG26" i="72"/>
  <c r="JD26" i="72"/>
  <c r="JH34" i="72"/>
  <c r="JD34" i="72"/>
  <c r="JG34" i="72"/>
  <c r="JB34" i="72"/>
  <c r="JC34" i="72" s="1"/>
  <c r="JG33" i="72"/>
  <c r="JB33" i="72"/>
  <c r="JC33" i="72" s="1"/>
  <c r="JH33" i="72"/>
  <c r="JD33" i="72"/>
  <c r="JG28" i="72"/>
  <c r="JB28" i="72"/>
  <c r="JC28" i="72" s="1"/>
  <c r="JD28" i="72"/>
  <c r="JH28" i="72"/>
  <c r="JG29" i="72"/>
  <c r="JB29" i="72"/>
  <c r="JC29" i="72" s="1"/>
  <c r="JD29" i="72"/>
  <c r="JH29" i="72"/>
  <c r="JG27" i="72"/>
  <c r="JB27" i="72"/>
  <c r="JH27" i="72"/>
  <c r="JD27" i="72"/>
  <c r="JG32" i="72"/>
  <c r="JB32" i="72"/>
  <c r="JC32" i="72" s="1"/>
  <c r="JD32" i="72"/>
  <c r="JH32" i="72"/>
  <c r="JG31" i="72"/>
  <c r="JB31" i="72"/>
  <c r="JC31" i="72" s="1"/>
  <c r="JD31" i="72"/>
  <c r="JH31" i="72"/>
  <c r="IJ31" i="72"/>
  <c r="IK31" i="72"/>
  <c r="IE31" i="72"/>
  <c r="IF31" i="72" s="1"/>
  <c r="IG31" i="72"/>
  <c r="IJ29" i="72"/>
  <c r="IK29" i="72"/>
  <c r="IE29" i="72"/>
  <c r="IF29" i="72" s="1"/>
  <c r="IG29" i="72"/>
  <c r="IE33" i="72"/>
  <c r="IF33" i="72" s="1"/>
  <c r="IK33" i="72"/>
  <c r="IJ33" i="72"/>
  <c r="IG33" i="72"/>
  <c r="IK30" i="72"/>
  <c r="IE30" i="72"/>
  <c r="IF30" i="72" s="1"/>
  <c r="IJ30" i="72"/>
  <c r="IG30" i="72"/>
  <c r="HM34" i="72"/>
  <c r="HJ34" i="72"/>
  <c r="HN34" i="72"/>
  <c r="HH34" i="72"/>
  <c r="HI34" i="72" s="1"/>
  <c r="HM32" i="72"/>
  <c r="HH32" i="72"/>
  <c r="HI32" i="72" s="1"/>
  <c r="HJ32" i="72"/>
  <c r="HN32" i="72"/>
  <c r="HJ31" i="72"/>
  <c r="HJ29" i="72"/>
  <c r="GP31" i="72"/>
  <c r="GQ31" i="72"/>
  <c r="GK31" i="72"/>
  <c r="GL31" i="72" s="1"/>
  <c r="GM31" i="72"/>
  <c r="GM30" i="72"/>
  <c r="GK30" i="72"/>
  <c r="GL30" i="72" s="1"/>
  <c r="GP30" i="72"/>
  <c r="GQ30" i="72"/>
  <c r="GM27" i="72"/>
  <c r="FT29" i="72"/>
  <c r="FN29" i="72"/>
  <c r="FO29" i="72" s="1"/>
  <c r="FS29" i="72"/>
  <c r="FP29" i="72"/>
  <c r="FP31" i="72"/>
  <c r="FS31" i="72"/>
  <c r="FT31" i="72"/>
  <c r="FN31" i="72"/>
  <c r="FO31" i="72" s="1"/>
  <c r="FT34" i="72"/>
  <c r="FT30" i="72"/>
  <c r="FS30" i="72"/>
  <c r="FP30" i="72"/>
  <c r="FN30" i="72"/>
  <c r="FO30" i="72" s="1"/>
  <c r="FS28" i="72"/>
  <c r="FP28" i="72"/>
  <c r="FN28" i="72"/>
  <c r="FO28" i="72" s="1"/>
  <c r="FT28" i="72"/>
  <c r="FS27" i="72"/>
  <c r="FN27" i="72"/>
  <c r="FP27" i="72"/>
  <c r="FT27" i="72"/>
  <c r="EV28" i="72"/>
  <c r="ES28" i="72"/>
  <c r="EW28" i="72"/>
  <c r="EQ28" i="72"/>
  <c r="EV32" i="72"/>
  <c r="EW32" i="72"/>
  <c r="EQ32" i="72"/>
  <c r="ER32" i="72" s="1"/>
  <c r="ES32" i="72"/>
  <c r="EV34" i="72"/>
  <c r="ES34" i="72"/>
  <c r="EW34" i="72"/>
  <c r="EQ34" i="72"/>
  <c r="ER34" i="72" s="1"/>
  <c r="DT29" i="72"/>
  <c r="DU29" i="72" s="1"/>
  <c r="DV29" i="72"/>
  <c r="DY29" i="72"/>
  <c r="DZ29" i="72"/>
  <c r="DY28" i="72"/>
  <c r="DZ28" i="72"/>
  <c r="DT28" i="72"/>
  <c r="DU28" i="72" s="1"/>
  <c r="DV28" i="72"/>
  <c r="DY30" i="72"/>
  <c r="DV30" i="72"/>
  <c r="DT30" i="72"/>
  <c r="DU30" i="72" s="1"/>
  <c r="DZ30" i="72"/>
  <c r="DY32" i="72"/>
  <c r="DV32" i="72"/>
  <c r="DZ32" i="72"/>
  <c r="DT32" i="72"/>
  <c r="DU32" i="72" s="1"/>
  <c r="DZ27" i="72"/>
  <c r="DY27" i="72"/>
  <c r="DT27" i="72"/>
  <c r="DV27" i="72"/>
  <c r="DZ31" i="72"/>
  <c r="DY31" i="72"/>
  <c r="DV31" i="72"/>
  <c r="DT31" i="72"/>
  <c r="DU31" i="72" s="1"/>
  <c r="DY34" i="72"/>
  <c r="DT34" i="72"/>
  <c r="DU34" i="72" s="1"/>
  <c r="DV34" i="72"/>
  <c r="DZ34" i="72"/>
  <c r="AH40" i="72"/>
  <c r="L6" i="94" s="1"/>
  <c r="W10" i="76"/>
  <c r="B4" i="43"/>
  <c r="B5" i="43"/>
  <c r="K26" i="36"/>
  <c r="H6" i="94" s="1"/>
  <c r="W17" i="36"/>
  <c r="AB7" i="75"/>
  <c r="AN14" i="72"/>
  <c r="AJ14" i="72" s="1"/>
  <c r="AI35" i="72"/>
  <c r="AK35" i="72" s="1"/>
  <c r="S49" i="72"/>
  <c r="AA10" i="75"/>
  <c r="X35" i="72"/>
  <c r="AA12" i="75"/>
  <c r="AD35" i="72"/>
  <c r="AA9" i="75"/>
  <c r="AC35" i="72"/>
  <c r="HM29" i="72" l="1"/>
  <c r="ES31" i="72"/>
  <c r="IE34" i="72"/>
  <c r="IF34" i="72" s="1"/>
  <c r="IG34" i="72"/>
  <c r="HH29" i="72"/>
  <c r="HI29" i="72" s="1"/>
  <c r="GK27" i="72"/>
  <c r="GQ27" i="72"/>
  <c r="IJ34" i="72"/>
  <c r="EW31" i="72"/>
  <c r="EQ31" i="72"/>
  <c r="ER31" i="72" s="1"/>
  <c r="HH31" i="72"/>
  <c r="HI31" i="72" s="1"/>
  <c r="HM31" i="72"/>
  <c r="HN27" i="72"/>
  <c r="HJ27" i="72"/>
  <c r="HH27" i="72"/>
  <c r="HN28" i="72"/>
  <c r="HJ28" i="72"/>
  <c r="DZ26" i="72"/>
  <c r="DT26" i="72"/>
  <c r="DU26" i="72" s="1"/>
  <c r="HM28" i="72"/>
  <c r="DY26" i="72"/>
  <c r="FN34" i="72"/>
  <c r="FO34" i="72" s="1"/>
  <c r="FP34" i="72"/>
  <c r="GP29" i="72"/>
  <c r="IG28" i="72"/>
  <c r="FM35" i="72"/>
  <c r="GQ29" i="72"/>
  <c r="IJ28" i="72"/>
  <c r="GM29" i="72"/>
  <c r="IK28" i="72"/>
  <c r="DT33" i="72"/>
  <c r="DU33" i="72" s="1"/>
  <c r="DZ33" i="72"/>
  <c r="DV33" i="72"/>
  <c r="DV35" i="72" s="1"/>
  <c r="DY33" i="72"/>
  <c r="DS35" i="72"/>
  <c r="EW30" i="72"/>
  <c r="EQ30" i="72"/>
  <c r="ER30" i="72" s="1"/>
  <c r="HG26" i="72"/>
  <c r="HI14" i="72"/>
  <c r="ES30" i="72"/>
  <c r="H6" i="12"/>
  <c r="L5" i="94"/>
  <c r="EV29" i="72"/>
  <c r="EW29" i="72"/>
  <c r="EQ29" i="72"/>
  <c r="ER29" i="72" s="1"/>
  <c r="ES29" i="72"/>
  <c r="CE27" i="72"/>
  <c r="BZ27" i="72"/>
  <c r="CA27" i="72" s="1"/>
  <c r="CB27" i="72"/>
  <c r="CF27" i="72"/>
  <c r="HM33" i="72"/>
  <c r="HJ33" i="72"/>
  <c r="HN33" i="72"/>
  <c r="HH33" i="72"/>
  <c r="HI33" i="72" s="1"/>
  <c r="FN33" i="72"/>
  <c r="FO33" i="72" s="1"/>
  <c r="FS33" i="72"/>
  <c r="FP33" i="72"/>
  <c r="FT33" i="72"/>
  <c r="ES27" i="72"/>
  <c r="EV27" i="72"/>
  <c r="EQ27" i="72"/>
  <c r="ER27" i="72" s="1"/>
  <c r="EW27" i="72"/>
  <c r="DB26" i="72"/>
  <c r="DB35" i="72" s="1"/>
  <c r="DC26" i="72"/>
  <c r="DC35" i="72" s="1"/>
  <c r="CW26" i="72"/>
  <c r="CW35" i="72" s="1"/>
  <c r="F17" i="36" s="1"/>
  <c r="CY26" i="72"/>
  <c r="CY35" i="72" s="1"/>
  <c r="CV35" i="72"/>
  <c r="GM33" i="72"/>
  <c r="GP33" i="72"/>
  <c r="GK33" i="72"/>
  <c r="GL33" i="72" s="1"/>
  <c r="GQ33" i="72"/>
  <c r="IJ27" i="72"/>
  <c r="IK27" i="72"/>
  <c r="IE27" i="72"/>
  <c r="IF27" i="72" s="1"/>
  <c r="IG27" i="72"/>
  <c r="BZ32" i="72"/>
  <c r="CA32" i="72" s="1"/>
  <c r="CE32" i="72"/>
  <c r="CF32" i="72"/>
  <c r="CB32" i="72"/>
  <c r="FS32" i="72"/>
  <c r="FP32" i="72"/>
  <c r="FN32" i="72"/>
  <c r="FO32" i="72" s="1"/>
  <c r="FT32" i="72"/>
  <c r="IF14" i="72"/>
  <c r="ID26" i="72"/>
  <c r="GQ28" i="72"/>
  <c r="GP28" i="72"/>
  <c r="GK28" i="72"/>
  <c r="GL28" i="72" s="1"/>
  <c r="GM28" i="72"/>
  <c r="GP32" i="72"/>
  <c r="GM32" i="72"/>
  <c r="GK32" i="72"/>
  <c r="GL32" i="72" s="1"/>
  <c r="GQ32" i="72"/>
  <c r="CE34" i="72"/>
  <c r="BZ34" i="72"/>
  <c r="CA34" i="72" s="1"/>
  <c r="CB34" i="72"/>
  <c r="CF34" i="72"/>
  <c r="CE28" i="72"/>
  <c r="CF28" i="72"/>
  <c r="CB28" i="72"/>
  <c r="BZ28" i="72"/>
  <c r="CA28" i="72" s="1"/>
  <c r="CB33" i="72"/>
  <c r="CE33" i="72"/>
  <c r="CF33" i="72"/>
  <c r="BZ33" i="72"/>
  <c r="CA33" i="72" s="1"/>
  <c r="IJ32" i="72"/>
  <c r="IG32" i="72"/>
  <c r="IE32" i="72"/>
  <c r="IF32" i="72" s="1"/>
  <c r="IK32" i="72"/>
  <c r="FS26" i="72"/>
  <c r="FP26" i="72"/>
  <c r="FN26" i="72"/>
  <c r="FO26" i="72" s="1"/>
  <c r="FT26" i="72"/>
  <c r="JG30" i="72"/>
  <c r="JG35" i="72" s="1"/>
  <c r="JA9" i="72" s="1"/>
  <c r="D46" i="43" s="1"/>
  <c r="F46" i="43" s="1"/>
  <c r="JB30" i="72"/>
  <c r="JC30" i="72" s="1"/>
  <c r="JD30" i="72"/>
  <c r="JD35" i="72" s="1"/>
  <c r="JH30" i="72"/>
  <c r="JH35" i="72" s="1"/>
  <c r="JA10" i="72" s="1"/>
  <c r="E46" i="43" s="1"/>
  <c r="G46" i="43" s="1"/>
  <c r="CF31" i="72"/>
  <c r="CB31" i="72"/>
  <c r="BZ31" i="72"/>
  <c r="CA31" i="72" s="1"/>
  <c r="CE31" i="72"/>
  <c r="ER14" i="72"/>
  <c r="EP26" i="72"/>
  <c r="GP34" i="72"/>
  <c r="GK34" i="72"/>
  <c r="GL34" i="72" s="1"/>
  <c r="GQ34" i="72"/>
  <c r="GM34" i="72"/>
  <c r="GL14" i="72"/>
  <c r="GJ26" i="72"/>
  <c r="BY35" i="72"/>
  <c r="CE26" i="72"/>
  <c r="CF26" i="72"/>
  <c r="BZ26" i="72"/>
  <c r="CB26" i="72"/>
  <c r="CB30" i="72"/>
  <c r="CE30" i="72"/>
  <c r="CF30" i="72"/>
  <c r="BZ30" i="72"/>
  <c r="CA30" i="72" s="1"/>
  <c r="BZ29" i="72"/>
  <c r="CA29" i="72" s="1"/>
  <c r="CE29" i="72"/>
  <c r="CF29" i="72"/>
  <c r="CB29" i="72"/>
  <c r="JC27" i="72"/>
  <c r="IF28" i="72"/>
  <c r="HI27" i="72"/>
  <c r="GL27" i="72"/>
  <c r="FO27" i="72"/>
  <c r="ER28" i="72"/>
  <c r="DU27" i="72"/>
  <c r="DZ35" i="72"/>
  <c r="H7" i="12"/>
  <c r="H6" i="70"/>
  <c r="H6" i="11"/>
  <c r="E6" i="70"/>
  <c r="E7" i="12"/>
  <c r="AB12" i="75"/>
  <c r="AB10" i="75"/>
  <c r="AB9" i="75"/>
  <c r="AJ35" i="72"/>
  <c r="H5" i="11"/>
  <c r="H5" i="70"/>
  <c r="AA8" i="75"/>
  <c r="AA13" i="75"/>
  <c r="DY35" i="72" l="1"/>
  <c r="DS9" i="72" s="1"/>
  <c r="D40" i="43" s="1"/>
  <c r="F40" i="43" s="1"/>
  <c r="DS10" i="72"/>
  <c r="E40" i="43" s="1"/>
  <c r="DU35" i="72"/>
  <c r="DT35" i="72"/>
  <c r="F18" i="36" s="1"/>
  <c r="P18" i="36" s="1"/>
  <c r="AF18" i="36" s="1"/>
  <c r="CV10" i="72"/>
  <c r="E39" i="43" s="1"/>
  <c r="CV9" i="72"/>
  <c r="D39" i="43" s="1"/>
  <c r="HH26" i="72"/>
  <c r="HI26" i="72" s="1"/>
  <c r="HI35" i="72" s="1"/>
  <c r="HJ26" i="72"/>
  <c r="HJ35" i="72" s="1"/>
  <c r="HG35" i="72"/>
  <c r="HM26" i="72"/>
  <c r="HM35" i="72" s="1"/>
  <c r="HN26" i="72"/>
  <c r="HN35" i="72" s="1"/>
  <c r="JB35" i="72"/>
  <c r="F24" i="36" s="1"/>
  <c r="JC35" i="72"/>
  <c r="FT35" i="72"/>
  <c r="FM10" i="72" s="1"/>
  <c r="E42" i="43" s="1"/>
  <c r="G42" i="43" s="1"/>
  <c r="FS35" i="72"/>
  <c r="FM9" i="72" s="1"/>
  <c r="D42" i="43" s="1"/>
  <c r="F42" i="43" s="1"/>
  <c r="FP35" i="72"/>
  <c r="O17" i="36"/>
  <c r="AE17" i="36" s="1"/>
  <c r="Z17" i="36"/>
  <c r="Y17" i="36"/>
  <c r="X17" i="36"/>
  <c r="FN35" i="72"/>
  <c r="F20" i="36" s="1"/>
  <c r="FO35" i="72"/>
  <c r="CE35" i="72"/>
  <c r="BY9" i="72" s="1"/>
  <c r="D38" i="43" s="1"/>
  <c r="F38" i="43" s="1"/>
  <c r="CB35" i="72"/>
  <c r="CA26" i="72"/>
  <c r="CA35" i="72" s="1"/>
  <c r="BZ35" i="72"/>
  <c r="F16" i="36" s="1"/>
  <c r="CF35" i="72"/>
  <c r="BY10" i="72" s="1"/>
  <c r="E38" i="43" s="1"/>
  <c r="G38" i="43" s="1"/>
  <c r="EP35" i="72"/>
  <c r="EW26" i="72"/>
  <c r="EW35" i="72" s="1"/>
  <c r="EQ26" i="72"/>
  <c r="EV26" i="72"/>
  <c r="EV35" i="72" s="1"/>
  <c r="ES26" i="72"/>
  <c r="ES35" i="72" s="1"/>
  <c r="IG26" i="72"/>
  <c r="IG35" i="72" s="1"/>
  <c r="IJ26" i="72"/>
  <c r="IJ35" i="72" s="1"/>
  <c r="ID35" i="72"/>
  <c r="IK26" i="72"/>
  <c r="IK35" i="72" s="1"/>
  <c r="IE26" i="72"/>
  <c r="GM26" i="72"/>
  <c r="GM35" i="72" s="1"/>
  <c r="GP26" i="72"/>
  <c r="GP35" i="72" s="1"/>
  <c r="GK26" i="72"/>
  <c r="GQ26" i="72"/>
  <c r="GQ35" i="72" s="1"/>
  <c r="GJ35" i="72"/>
  <c r="E6" i="11"/>
  <c r="H5" i="89"/>
  <c r="T44" i="61"/>
  <c r="AA16" i="75"/>
  <c r="G40" i="43"/>
  <c r="AB8" i="75"/>
  <c r="AB13" i="75"/>
  <c r="P17" i="36"/>
  <c r="AF17" i="36" s="1"/>
  <c r="HG9" i="72" l="1"/>
  <c r="D44" i="43" s="1"/>
  <c r="HG10" i="72"/>
  <c r="E44" i="43" s="1"/>
  <c r="HH35" i="72"/>
  <c r="F22" i="36" s="1"/>
  <c r="X22" i="36" s="1"/>
  <c r="Z18" i="36"/>
  <c r="X18" i="36"/>
  <c r="Y18" i="36"/>
  <c r="O18" i="36"/>
  <c r="AE18" i="36" s="1"/>
  <c r="Z22" i="36"/>
  <c r="P24" i="36"/>
  <c r="AF24" i="36" s="1"/>
  <c r="O24" i="36"/>
  <c r="AE24" i="36" s="1"/>
  <c r="Y24" i="36"/>
  <c r="Z24" i="36"/>
  <c r="X24" i="36"/>
  <c r="ID10" i="72"/>
  <c r="E45" i="43" s="1"/>
  <c r="G45" i="43" s="1"/>
  <c r="Z20" i="36"/>
  <c r="Y20" i="36"/>
  <c r="P20" i="36"/>
  <c r="AF20" i="36" s="1"/>
  <c r="X20" i="36"/>
  <c r="O20" i="36"/>
  <c r="AE20" i="36" s="1"/>
  <c r="ID9" i="72"/>
  <c r="D45" i="43" s="1"/>
  <c r="F45" i="43" s="1"/>
  <c r="GJ10" i="72"/>
  <c r="E43" i="43" s="1"/>
  <c r="G43" i="43" s="1"/>
  <c r="Z16" i="36"/>
  <c r="P16" i="36"/>
  <c r="AF16" i="36" s="1"/>
  <c r="X16" i="36"/>
  <c r="O16" i="36"/>
  <c r="AE16" i="36" s="1"/>
  <c r="Y16" i="36"/>
  <c r="GL26" i="72"/>
  <c r="GL35" i="72" s="1"/>
  <c r="GK35" i="72"/>
  <c r="F21" i="36" s="1"/>
  <c r="GJ9" i="72"/>
  <c r="D43" i="43" s="1"/>
  <c r="F43" i="43" s="1"/>
  <c r="EP9" i="72"/>
  <c r="D41" i="43" s="1"/>
  <c r="F41" i="43" s="1"/>
  <c r="ER26" i="72"/>
  <c r="ER35" i="72" s="1"/>
  <c r="EQ35" i="72"/>
  <c r="F19" i="36" s="1"/>
  <c r="IF26" i="72"/>
  <c r="IF35" i="72" s="1"/>
  <c r="IE35" i="72"/>
  <c r="F23" i="36" s="1"/>
  <c r="EP10" i="72"/>
  <c r="E41" i="43" s="1"/>
  <c r="G41" i="43" s="1"/>
  <c r="N33" i="12"/>
  <c r="I32" i="12" s="1"/>
  <c r="N34" i="12"/>
  <c r="G44" i="43"/>
  <c r="G39" i="43"/>
  <c r="F39" i="43"/>
  <c r="F44" i="43"/>
  <c r="AB16" i="75"/>
  <c r="AU3" i="76" s="1"/>
  <c r="H7" i="94" s="1"/>
  <c r="C10" i="69"/>
  <c r="C4" i="69"/>
  <c r="Y22" i="36" l="1"/>
  <c r="O22" i="36"/>
  <c r="AE22" i="36" s="1"/>
  <c r="P22" i="36"/>
  <c r="AF22" i="36" s="1"/>
  <c r="O23" i="36"/>
  <c r="AE23" i="36" s="1"/>
  <c r="Y23" i="36"/>
  <c r="Z23" i="36"/>
  <c r="X23" i="36"/>
  <c r="P23" i="36"/>
  <c r="AF23" i="36" s="1"/>
  <c r="X21" i="36"/>
  <c r="P21" i="36"/>
  <c r="AF21" i="36" s="1"/>
  <c r="Y21" i="36"/>
  <c r="O21" i="36"/>
  <c r="AE21" i="36" s="1"/>
  <c r="Z21" i="36"/>
  <c r="O19" i="36"/>
  <c r="AE19" i="36" s="1"/>
  <c r="X19" i="36"/>
  <c r="Z19" i="36"/>
  <c r="P19" i="36"/>
  <c r="AF19" i="36" s="1"/>
  <c r="Y19" i="36"/>
  <c r="H33" i="12"/>
  <c r="G35" i="72" l="1"/>
  <c r="B37" i="65" l="1"/>
  <c r="E7" i="11" l="1"/>
  <c r="H4" i="12"/>
  <c r="E7" i="70" l="1"/>
  <c r="E8" i="12"/>
  <c r="B39" i="65" s="1"/>
  <c r="B7" i="43"/>
  <c r="J3" i="36"/>
  <c r="H3" i="11"/>
  <c r="G101" i="94" l="1"/>
  <c r="G87" i="94"/>
  <c r="K11" i="6"/>
  <c r="K12" i="6" s="1"/>
  <c r="B6" i="43"/>
  <c r="B11" i="43"/>
  <c r="B8" i="43"/>
  <c r="R24" i="61" l="1"/>
  <c r="B15" i="65" l="1"/>
  <c r="B14" i="65"/>
  <c r="AV24" i="61" l="1"/>
  <c r="D15" i="65" l="1"/>
  <c r="C11" i="69"/>
  <c r="AV18" i="61" l="1"/>
  <c r="AV20" i="61"/>
  <c r="R22" i="61"/>
  <c r="R20" i="61"/>
  <c r="K12" i="61"/>
  <c r="R14" i="61"/>
  <c r="C3" i="69" s="1"/>
  <c r="K7" i="36" l="1"/>
  <c r="G31" i="59" l="1"/>
  <c r="G32" i="59"/>
  <c r="G2" i="59"/>
  <c r="G46" i="59"/>
  <c r="G42" i="59"/>
  <c r="G38" i="59"/>
  <c r="G45" i="59"/>
  <c r="G41" i="59"/>
  <c r="G37" i="59"/>
  <c r="G44" i="59"/>
  <c r="G40" i="59"/>
  <c r="G43" i="59"/>
  <c r="G39" i="59"/>
  <c r="G28" i="59"/>
  <c r="G24" i="59"/>
  <c r="G20" i="59"/>
  <c r="G16" i="59"/>
  <c r="G27" i="59"/>
  <c r="G23" i="59"/>
  <c r="G19" i="59"/>
  <c r="G15" i="59"/>
  <c r="G30" i="59"/>
  <c r="G26" i="59"/>
  <c r="G22" i="59"/>
  <c r="G18" i="59"/>
  <c r="G14" i="59"/>
  <c r="G29" i="59"/>
  <c r="G25" i="59"/>
  <c r="G21" i="59"/>
  <c r="G17" i="59"/>
  <c r="G12" i="59"/>
  <c r="G8" i="59"/>
  <c r="G4" i="59"/>
  <c r="G11" i="59"/>
  <c r="G7" i="59"/>
  <c r="G3" i="59"/>
  <c r="G10" i="59"/>
  <c r="G6" i="59"/>
  <c r="G9" i="59"/>
  <c r="G5" i="59"/>
  <c r="G62" i="59"/>
  <c r="G75" i="59"/>
  <c r="G74" i="59"/>
  <c r="G63" i="59"/>
  <c r="G76" i="59"/>
  <c r="G58" i="59"/>
  <c r="G54" i="59"/>
  <c r="G50" i="59"/>
  <c r="G57" i="59"/>
  <c r="G53" i="59"/>
  <c r="G49" i="59"/>
  <c r="G56" i="59"/>
  <c r="G52" i="59"/>
  <c r="G48" i="59"/>
  <c r="G73" i="59"/>
  <c r="G55" i="59"/>
  <c r="G51" i="59"/>
  <c r="G47" i="59"/>
  <c r="G61" i="59" l="1"/>
  <c r="G34" i="59"/>
  <c r="G60" i="59"/>
  <c r="G33" i="59"/>
  <c r="G35" i="59"/>
  <c r="G13" i="59"/>
  <c r="G64" i="59"/>
  <c r="G65" i="59"/>
  <c r="G59" i="59"/>
  <c r="G67" i="59"/>
  <c r="B12" i="65" l="1"/>
  <c r="B9" i="43" l="1"/>
  <c r="B12" i="43" s="1"/>
  <c r="K10" i="61" l="1"/>
  <c r="T48" i="61" l="1"/>
  <c r="C9" i="69"/>
  <c r="G17" i="36"/>
  <c r="G71" i="59" l="1"/>
  <c r="G69" i="59"/>
  <c r="G68" i="59"/>
  <c r="G36" i="59"/>
  <c r="G16" i="36"/>
  <c r="H21" i="36"/>
  <c r="G21" i="36"/>
  <c r="H18" i="36"/>
  <c r="G18" i="36"/>
  <c r="H22" i="36"/>
  <c r="G22" i="36"/>
  <c r="H24" i="36"/>
  <c r="G24" i="36"/>
  <c r="H19" i="36"/>
  <c r="G19" i="36"/>
  <c r="H23" i="36"/>
  <c r="G23" i="36"/>
  <c r="H20" i="36"/>
  <c r="G20" i="36"/>
  <c r="H16" i="36"/>
  <c r="H17" i="36"/>
  <c r="H15" i="36"/>
  <c r="M16" i="36" l="1"/>
  <c r="A16" i="36" s="1"/>
  <c r="W7" i="75" s="1"/>
  <c r="M20" i="36"/>
  <c r="L15" i="36"/>
  <c r="N15" i="36" s="1"/>
  <c r="AD15" i="36" s="1"/>
  <c r="M15" i="36"/>
  <c r="A15" i="36" s="1"/>
  <c r="W6" i="75" s="1"/>
  <c r="M19" i="36"/>
  <c r="M21" i="36"/>
  <c r="M22" i="36"/>
  <c r="M24" i="36"/>
  <c r="L17" i="36"/>
  <c r="N17" i="36" s="1"/>
  <c r="AD17" i="36" s="1"/>
  <c r="AG17" i="36" s="1"/>
  <c r="M17" i="36"/>
  <c r="A17" i="36" s="1"/>
  <c r="W8" i="75" s="1"/>
  <c r="M23" i="36"/>
  <c r="M18" i="36"/>
  <c r="G70" i="59"/>
  <c r="L23" i="36"/>
  <c r="N23" i="36" s="1"/>
  <c r="AD23" i="36" s="1"/>
  <c r="AG23" i="36" s="1"/>
  <c r="L24" i="36"/>
  <c r="N24" i="36" s="1"/>
  <c r="AD24" i="36" s="1"/>
  <c r="AG24" i="36" s="1"/>
  <c r="L18" i="36"/>
  <c r="N18" i="36" s="1"/>
  <c r="AD18" i="36" s="1"/>
  <c r="AG18" i="36" s="1"/>
  <c r="L20" i="36"/>
  <c r="N20" i="36" s="1"/>
  <c r="AD20" i="36" s="1"/>
  <c r="AG20" i="36" s="1"/>
  <c r="L16" i="36"/>
  <c r="N16" i="36" s="1"/>
  <c r="AD16" i="36" s="1"/>
  <c r="AG16" i="36" s="1"/>
  <c r="L19" i="36"/>
  <c r="N19" i="36" s="1"/>
  <c r="AD19" i="36" s="1"/>
  <c r="AG19" i="36" s="1"/>
  <c r="L22" i="36"/>
  <c r="N22" i="36" s="1"/>
  <c r="AD22" i="36" s="1"/>
  <c r="AG22" i="36" s="1"/>
  <c r="L21" i="36"/>
  <c r="N21" i="36" s="1"/>
  <c r="AD21" i="36" s="1"/>
  <c r="AG21" i="36" s="1"/>
  <c r="AD25" i="36" l="1"/>
  <c r="E17" i="11" l="1"/>
  <c r="E28" i="12" l="1"/>
  <c r="F1" i="6" l="1"/>
  <c r="K1" i="6" l="1"/>
  <c r="J1" i="6"/>
  <c r="H1" i="6"/>
  <c r="K19" i="6" l="1"/>
  <c r="K20" i="6" l="1"/>
  <c r="G72" i="59" l="1"/>
  <c r="G66" i="59"/>
  <c r="E12" i="12" l="1"/>
  <c r="E13" i="11" l="1"/>
  <c r="N12" i="12"/>
  <c r="E6" i="12"/>
  <c r="E5" i="11"/>
  <c r="E5" i="70"/>
  <c r="B14" i="43"/>
  <c r="C21" i="43"/>
  <c r="C22" i="43" s="1"/>
  <c r="C23" i="43" s="1"/>
  <c r="B23" i="65"/>
  <c r="T28" i="61" l="1"/>
  <c r="T36" i="61" s="1"/>
  <c r="C23" i="69" s="1"/>
  <c r="I13" i="11"/>
  <c r="D25" i="43"/>
  <c r="D24" i="43"/>
  <c r="I17" i="11"/>
  <c r="B15" i="43"/>
  <c r="B16" i="43"/>
  <c r="I17" i="75" l="1"/>
  <c r="G32" i="70" l="1"/>
  <c r="H10" i="94" s="1"/>
  <c r="B25" i="65" l="1"/>
  <c r="B38" i="65"/>
  <c r="U1" i="12" l="1"/>
  <c r="AF27" i="70" l="1"/>
  <c r="Z127" i="61" s="1"/>
  <c r="AF12" i="70"/>
  <c r="AF22" i="70"/>
  <c r="AG22" i="70" s="1"/>
  <c r="AF122" i="61" s="1"/>
  <c r="AF19" i="70"/>
  <c r="AG19" i="70" s="1"/>
  <c r="AF119" i="61" s="1"/>
  <c r="AF29" i="70"/>
  <c r="Z129" i="61" s="1"/>
  <c r="AF13" i="70"/>
  <c r="AG13" i="70" s="1"/>
  <c r="AF113" i="61" s="1"/>
  <c r="AF14" i="70"/>
  <c r="Z114" i="61" s="1"/>
  <c r="AF16" i="70"/>
  <c r="AH16" i="70" s="1"/>
  <c r="AM116" i="61" s="1"/>
  <c r="AF17" i="70"/>
  <c r="Z117" i="61" s="1"/>
  <c r="AF18" i="70"/>
  <c r="Z118" i="61" s="1"/>
  <c r="AF28" i="70"/>
  <c r="Z128" i="61" s="1"/>
  <c r="AF10" i="70"/>
  <c r="AF26" i="70"/>
  <c r="Z126" i="61" s="1"/>
  <c r="AF24" i="70"/>
  <c r="AH24" i="70" s="1"/>
  <c r="AM124" i="61" s="1"/>
  <c r="AF21" i="70"/>
  <c r="AF11" i="70"/>
  <c r="AF23" i="70"/>
  <c r="AF30" i="70"/>
  <c r="AF25" i="70"/>
  <c r="AF15" i="70"/>
  <c r="AF20" i="70"/>
  <c r="AH18" i="70" l="1"/>
  <c r="AM118" i="61" s="1"/>
  <c r="AH14" i="70"/>
  <c r="AM114" i="61" s="1"/>
  <c r="AG14" i="70"/>
  <c r="AF114" i="61" s="1"/>
  <c r="AG16" i="70"/>
  <c r="AF116" i="61" s="1"/>
  <c r="AG28" i="70"/>
  <c r="AF128" i="61" s="1"/>
  <c r="AG24" i="70"/>
  <c r="AF124" i="61" s="1"/>
  <c r="Z122" i="61"/>
  <c r="AH22" i="70"/>
  <c r="AM122" i="61" s="1"/>
  <c r="AH27" i="70"/>
  <c r="AM127" i="61" s="1"/>
  <c r="AH28" i="70"/>
  <c r="AM128" i="61" s="1"/>
  <c r="AH19" i="70"/>
  <c r="AM119" i="61" s="1"/>
  <c r="Z116" i="61"/>
  <c r="Z119" i="61"/>
  <c r="AH13" i="70"/>
  <c r="AM113" i="61" s="1"/>
  <c r="AG27" i="70"/>
  <c r="AF127" i="61" s="1"/>
  <c r="AH29" i="70"/>
  <c r="AM129" i="61" s="1"/>
  <c r="AG17" i="70"/>
  <c r="AF117" i="61" s="1"/>
  <c r="AG29" i="70"/>
  <c r="AF129" i="61" s="1"/>
  <c r="AH26" i="70"/>
  <c r="AM126" i="61" s="1"/>
  <c r="AH17" i="70"/>
  <c r="AM117" i="61" s="1"/>
  <c r="Z113" i="61"/>
  <c r="AG26" i="70"/>
  <c r="AF126" i="61" s="1"/>
  <c r="AG18" i="70"/>
  <c r="AF118" i="61" s="1"/>
  <c r="K35" i="70"/>
  <c r="Z124" i="61"/>
  <c r="AG20" i="70"/>
  <c r="AF120" i="61" s="1"/>
  <c r="Z120" i="61"/>
  <c r="AH20" i="70"/>
  <c r="AM120" i="61" s="1"/>
  <c r="AH12" i="70"/>
  <c r="AM112" i="61" s="1"/>
  <c r="Z112" i="61"/>
  <c r="AG12" i="70"/>
  <c r="AF112" i="61" s="1"/>
  <c r="AG21" i="70"/>
  <c r="AF121" i="61" s="1"/>
  <c r="Z121" i="61"/>
  <c r="AH21" i="70"/>
  <c r="AM121" i="61" s="1"/>
  <c r="AH30" i="70"/>
  <c r="AM130" i="61" s="1"/>
  <c r="Z130" i="61"/>
  <c r="AG30" i="70"/>
  <c r="AF130" i="61" s="1"/>
  <c r="K34" i="70"/>
  <c r="Z123" i="61"/>
  <c r="AH23" i="70"/>
  <c r="AM123" i="61" s="1"/>
  <c r="AG23" i="70"/>
  <c r="AF123" i="61" s="1"/>
  <c r="AH10" i="70"/>
  <c r="AM110" i="61" s="1"/>
  <c r="AG10" i="70"/>
  <c r="AF110" i="61" s="1"/>
  <c r="Z110" i="61"/>
  <c r="AG15" i="70"/>
  <c r="AF115" i="61" s="1"/>
  <c r="Z115" i="61"/>
  <c r="AH15" i="70"/>
  <c r="AM115" i="61" s="1"/>
  <c r="Z125" i="61"/>
  <c r="AH25" i="70"/>
  <c r="AM125" i="61" s="1"/>
  <c r="AG25" i="70"/>
  <c r="AF125" i="61" s="1"/>
  <c r="Z111" i="61"/>
  <c r="AG11" i="70"/>
  <c r="AF111" i="61" s="1"/>
  <c r="AH11" i="70"/>
  <c r="AM111" i="61" s="1"/>
  <c r="Z131" i="61" l="1"/>
  <c r="BL14" i="72" l="1"/>
  <c r="BR14" i="72" l="1" a="1"/>
  <c r="BR14" i="72" s="1"/>
  <c r="BN14" i="72" a="1"/>
  <c r="BN14" i="72" s="1"/>
  <c r="BQ14" i="72" a="1"/>
  <c r="BQ14" i="72" s="1"/>
  <c r="BM14" i="72" a="1"/>
  <c r="BM14" i="72" s="1"/>
  <c r="BT14" i="72" a="1"/>
  <c r="BT14" i="72" s="1"/>
  <c r="BP14" i="72" a="1"/>
  <c r="BP14" i="72" s="1"/>
  <c r="BO14" i="72" a="1"/>
  <c r="BO14" i="72" s="1"/>
  <c r="BS14" i="72" a="1"/>
  <c r="BS14" i="72" s="1"/>
  <c r="AY14" i="72" a="1"/>
  <c r="AY14" i="72" s="1"/>
  <c r="AY35" i="72" s="1"/>
  <c r="AZ14" i="72" s="1"/>
  <c r="AZ35" i="72" l="1"/>
  <c r="BB14" i="72"/>
  <c r="AZ26" i="72"/>
  <c r="AZ33" i="72"/>
  <c r="AZ22" i="72"/>
  <c r="BB22" i="72" s="1"/>
  <c r="AZ31" i="72"/>
  <c r="AZ27" i="72"/>
  <c r="AZ18" i="72"/>
  <c r="BB18" i="72" s="1"/>
  <c r="AZ24" i="72"/>
  <c r="BB24" i="72" s="1"/>
  <c r="AZ29" i="72"/>
  <c r="AZ28" i="72"/>
  <c r="AZ30" i="72"/>
  <c r="AZ23" i="72"/>
  <c r="BB23" i="72" s="1"/>
  <c r="AZ19" i="72"/>
  <c r="BB19" i="72" s="1"/>
  <c r="AZ25" i="72"/>
  <c r="BB25" i="72" s="1"/>
  <c r="AZ32" i="72"/>
  <c r="AZ34" i="72"/>
  <c r="AZ16" i="72"/>
  <c r="BB16" i="72" s="1"/>
  <c r="AZ20" i="72"/>
  <c r="BB20" i="72" s="1"/>
  <c r="AZ17" i="72"/>
  <c r="BB17" i="72" s="1"/>
  <c r="AZ15" i="72"/>
  <c r="BB15" i="72" s="1"/>
  <c r="AZ21" i="72"/>
  <c r="BB21" i="72" s="1"/>
  <c r="BH18" i="72" l="1"/>
  <c r="BI18" i="72"/>
  <c r="BE18" i="72"/>
  <c r="BC18" i="72"/>
  <c r="AB18" i="72"/>
  <c r="C18" i="72"/>
  <c r="D16" i="76" s="1"/>
  <c r="T18" i="72"/>
  <c r="BE25" i="72"/>
  <c r="BH25" i="72"/>
  <c r="BI25" i="72"/>
  <c r="BC25" i="72"/>
  <c r="C25" i="72"/>
  <c r="D23" i="76" s="1"/>
  <c r="AB25" i="72"/>
  <c r="T25" i="72"/>
  <c r="BH21" i="72"/>
  <c r="BE21" i="72"/>
  <c r="BC21" i="72"/>
  <c r="BI21" i="72"/>
  <c r="AB21" i="72"/>
  <c r="T21" i="72"/>
  <c r="C21" i="72"/>
  <c r="D19" i="76" s="1"/>
  <c r="BC19" i="72"/>
  <c r="BH19" i="72"/>
  <c r="BE19" i="72"/>
  <c r="BI19" i="72"/>
  <c r="C19" i="72"/>
  <c r="D17" i="76" s="1"/>
  <c r="T19" i="72"/>
  <c r="AB19" i="72"/>
  <c r="BH15" i="72"/>
  <c r="BI15" i="72"/>
  <c r="BC15" i="72"/>
  <c r="BE15" i="72"/>
  <c r="C15" i="72"/>
  <c r="D13" i="76" s="1"/>
  <c r="AB15" i="72"/>
  <c r="T15" i="72"/>
  <c r="BE23" i="72"/>
  <c r="BI23" i="72"/>
  <c r="BC23" i="72"/>
  <c r="BH23" i="72"/>
  <c r="AB23" i="72"/>
  <c r="T23" i="72"/>
  <c r="C23" i="72"/>
  <c r="D21" i="76" s="1"/>
  <c r="BH22" i="72"/>
  <c r="BI22" i="72"/>
  <c r="BE22" i="72"/>
  <c r="BC22" i="72"/>
  <c r="C22" i="72"/>
  <c r="D20" i="76" s="1"/>
  <c r="T22" i="72"/>
  <c r="AB22" i="72"/>
  <c r="BH17" i="72"/>
  <c r="BC17" i="72"/>
  <c r="BI17" i="72"/>
  <c r="BE17" i="72"/>
  <c r="C17" i="72"/>
  <c r="D15" i="76" s="1"/>
  <c r="T17" i="72"/>
  <c r="AB17" i="72"/>
  <c r="I17" i="72"/>
  <c r="O13" i="70" s="1"/>
  <c r="BH20" i="72"/>
  <c r="BC20" i="72"/>
  <c r="BE20" i="72"/>
  <c r="BI20" i="72"/>
  <c r="T20" i="72"/>
  <c r="C20" i="72"/>
  <c r="D18" i="76" s="1"/>
  <c r="AB20" i="72"/>
  <c r="BI16" i="72"/>
  <c r="BC16" i="72"/>
  <c r="BH16" i="72"/>
  <c r="BE16" i="72"/>
  <c r="C16" i="72"/>
  <c r="D14" i="76" s="1"/>
  <c r="AB16" i="72"/>
  <c r="T16" i="72"/>
  <c r="AB14" i="72"/>
  <c r="BC14" i="72"/>
  <c r="T14" i="72"/>
  <c r="BE14" i="72"/>
  <c r="BH14" i="72"/>
  <c r="C14" i="72"/>
  <c r="L14" i="72" s="1"/>
  <c r="BI14" i="72"/>
  <c r="BE24" i="72"/>
  <c r="BI24" i="72"/>
  <c r="BH24" i="72"/>
  <c r="BC24" i="72"/>
  <c r="C24" i="72"/>
  <c r="D22" i="76" s="1"/>
  <c r="T24" i="72"/>
  <c r="AB24" i="72"/>
  <c r="I24" i="72" l="1"/>
  <c r="O20" i="70" s="1"/>
  <c r="J15" i="72"/>
  <c r="P11" i="70" s="1"/>
  <c r="N19" i="72"/>
  <c r="AQ19" i="72" s="1"/>
  <c r="N21" i="72"/>
  <c r="AQ21" i="72" s="1"/>
  <c r="L21" i="72"/>
  <c r="N24" i="72"/>
  <c r="AQ24" i="72" s="1"/>
  <c r="J17" i="72"/>
  <c r="P13" i="70" s="1"/>
  <c r="K21" i="72"/>
  <c r="Q17" i="70" s="1"/>
  <c r="L24" i="72"/>
  <c r="K17" i="72"/>
  <c r="Q13" i="70" s="1"/>
  <c r="N22" i="72"/>
  <c r="AQ22" i="72" s="1"/>
  <c r="L23" i="72"/>
  <c r="K19" i="72"/>
  <c r="Q15" i="70" s="1"/>
  <c r="L19" i="72"/>
  <c r="J19" i="72"/>
  <c r="P15" i="70" s="1"/>
  <c r="I19" i="72"/>
  <c r="O15" i="70" s="1"/>
  <c r="N16" i="72"/>
  <c r="AQ16" i="72" s="1"/>
  <c r="J20" i="72"/>
  <c r="P16" i="70" s="1"/>
  <c r="N17" i="72"/>
  <c r="AQ17" i="72" s="1"/>
  <c r="J18" i="72"/>
  <c r="P14" i="70" s="1"/>
  <c r="N25" i="72"/>
  <c r="AQ25" i="72" s="1"/>
  <c r="K23" i="72"/>
  <c r="Q19" i="70" s="1"/>
  <c r="K25" i="72"/>
  <c r="Q21" i="70" s="1"/>
  <c r="J24" i="72"/>
  <c r="P20" i="70" s="1"/>
  <c r="L16" i="72"/>
  <c r="N23" i="72"/>
  <c r="AQ23" i="72" s="1"/>
  <c r="J25" i="72"/>
  <c r="P21" i="70" s="1"/>
  <c r="J16" i="72"/>
  <c r="P12" i="70" s="1"/>
  <c r="I25" i="72"/>
  <c r="O21" i="70" s="1"/>
  <c r="I16" i="72"/>
  <c r="O12" i="70" s="1"/>
  <c r="L25" i="72"/>
  <c r="I18" i="72"/>
  <c r="O14" i="70" s="1"/>
  <c r="N14" i="72"/>
  <c r="AQ14" i="72" s="1"/>
  <c r="D12" i="76"/>
  <c r="AF20" i="72"/>
  <c r="AE20" i="72"/>
  <c r="M16" i="70" s="1"/>
  <c r="AU20" i="72"/>
  <c r="W16" i="70" s="1"/>
  <c r="AE22" i="72"/>
  <c r="M18" i="70" s="1"/>
  <c r="AU22" i="72"/>
  <c r="W18" i="70" s="1"/>
  <c r="AF22" i="72"/>
  <c r="J23" i="72"/>
  <c r="P19" i="70" s="1"/>
  <c r="BD23" i="72"/>
  <c r="D23" i="72"/>
  <c r="E21" i="76" s="1"/>
  <c r="H21" i="76" s="1"/>
  <c r="U23" i="72"/>
  <c r="Y15" i="72"/>
  <c r="F19" i="72"/>
  <c r="G17" i="76" s="1"/>
  <c r="I17" i="76" s="1"/>
  <c r="W19" i="72"/>
  <c r="Y18" i="72"/>
  <c r="BD24" i="72"/>
  <c r="U24" i="72"/>
  <c r="D24" i="72"/>
  <c r="E22" i="76" s="1"/>
  <c r="H22" i="76" s="1"/>
  <c r="L35" i="72"/>
  <c r="M35" i="72" s="1"/>
  <c r="BD16" i="72"/>
  <c r="BB28" i="72"/>
  <c r="D16" i="72"/>
  <c r="E14" i="76" s="1"/>
  <c r="U16" i="72"/>
  <c r="BD17" i="72"/>
  <c r="BB29" i="72"/>
  <c r="D17" i="72"/>
  <c r="E15" i="76" s="1"/>
  <c r="H15" i="76" s="1"/>
  <c r="U17" i="72"/>
  <c r="Y22" i="72"/>
  <c r="AF15" i="72"/>
  <c r="AE15" i="72"/>
  <c r="M11" i="70" s="1"/>
  <c r="AU15" i="72"/>
  <c r="W11" i="70" s="1"/>
  <c r="Y21" i="72"/>
  <c r="F23" i="72"/>
  <c r="G21" i="76" s="1"/>
  <c r="I21" i="76" s="1"/>
  <c r="W23" i="72"/>
  <c r="BD19" i="72"/>
  <c r="BB31" i="72"/>
  <c r="D19" i="72"/>
  <c r="E17" i="76" s="1"/>
  <c r="H17" i="76" s="1"/>
  <c r="U19" i="72"/>
  <c r="AF21" i="72"/>
  <c r="AE21" i="72"/>
  <c r="M17" i="70" s="1"/>
  <c r="AU21" i="72"/>
  <c r="W17" i="70" s="1"/>
  <c r="W25" i="72"/>
  <c r="F25" i="72"/>
  <c r="G23" i="76" s="1"/>
  <c r="I23" i="76" s="1"/>
  <c r="AE18" i="72"/>
  <c r="M14" i="70" s="1"/>
  <c r="AU18" i="72"/>
  <c r="W14" i="70" s="1"/>
  <c r="AF18" i="72"/>
  <c r="W17" i="72"/>
  <c r="F17" i="72"/>
  <c r="G15" i="76" s="1"/>
  <c r="I15" i="76" s="1"/>
  <c r="F24" i="72"/>
  <c r="G22" i="76" s="1"/>
  <c r="I22" i="76" s="1"/>
  <c r="W24" i="72"/>
  <c r="Y20" i="72"/>
  <c r="K24" i="72"/>
  <c r="Q20" i="70" s="1"/>
  <c r="I14" i="72"/>
  <c r="O10" i="70" s="1"/>
  <c r="W14" i="72"/>
  <c r="F14" i="72"/>
  <c r="K16" i="72"/>
  <c r="Q12" i="70" s="1"/>
  <c r="N20" i="72"/>
  <c r="AQ20" i="72" s="1"/>
  <c r="L17" i="72"/>
  <c r="K22" i="72"/>
  <c r="Q18" i="70" s="1"/>
  <c r="BD22" i="72"/>
  <c r="BB34" i="72"/>
  <c r="D22" i="72"/>
  <c r="E20" i="76" s="1"/>
  <c r="H20" i="76" s="1"/>
  <c r="U22" i="72"/>
  <c r="I23" i="72"/>
  <c r="O19" i="70" s="1"/>
  <c r="I15" i="72"/>
  <c r="O11" i="70" s="1"/>
  <c r="W15" i="72"/>
  <c r="F15" i="72"/>
  <c r="G13" i="76" s="1"/>
  <c r="I13" i="76" s="1"/>
  <c r="BB30" i="72"/>
  <c r="BD18" i="72"/>
  <c r="D18" i="72"/>
  <c r="E16" i="76" s="1"/>
  <c r="H16" i="76" s="1"/>
  <c r="U18" i="72"/>
  <c r="AE24" i="72"/>
  <c r="M20" i="70" s="1"/>
  <c r="AF24" i="72"/>
  <c r="AU24" i="72"/>
  <c r="W20" i="70" s="1"/>
  <c r="Y14" i="72"/>
  <c r="Y16" i="72"/>
  <c r="K20" i="72"/>
  <c r="Q16" i="70" s="1"/>
  <c r="F20" i="72"/>
  <c r="G18" i="76" s="1"/>
  <c r="I18" i="76" s="1"/>
  <c r="W20" i="72"/>
  <c r="AU17" i="72"/>
  <c r="W13" i="70" s="1"/>
  <c r="AF17" i="72"/>
  <c r="AE17" i="72"/>
  <c r="M13" i="70" s="1"/>
  <c r="J22" i="72"/>
  <c r="P18" i="70" s="1"/>
  <c r="W22" i="72"/>
  <c r="F22" i="72"/>
  <c r="G20" i="76" s="1"/>
  <c r="I20" i="76" s="1"/>
  <c r="N15" i="72"/>
  <c r="AQ15" i="72" s="1"/>
  <c r="BD15" i="72"/>
  <c r="BB27" i="72"/>
  <c r="D15" i="72"/>
  <c r="E13" i="76" s="1"/>
  <c r="H13" i="76" s="1"/>
  <c r="U15" i="72"/>
  <c r="AU19" i="72"/>
  <c r="W15" i="70" s="1"/>
  <c r="AE19" i="72"/>
  <c r="M15" i="70" s="1"/>
  <c r="AF19" i="72"/>
  <c r="I21" i="72"/>
  <c r="O17" i="70" s="1"/>
  <c r="BD21" i="72"/>
  <c r="BB33" i="72"/>
  <c r="U21" i="72"/>
  <c r="D21" i="72"/>
  <c r="E19" i="76" s="1"/>
  <c r="H19" i="76" s="1"/>
  <c r="Y25" i="72"/>
  <c r="K18" i="72"/>
  <c r="Q14" i="70" s="1"/>
  <c r="F18" i="72"/>
  <c r="G16" i="76" s="1"/>
  <c r="I16" i="76" s="1"/>
  <c r="W18" i="72"/>
  <c r="W16" i="72"/>
  <c r="F16" i="72"/>
  <c r="G14" i="76" s="1"/>
  <c r="I14" i="76" s="1"/>
  <c r="Y24" i="72"/>
  <c r="K14" i="72"/>
  <c r="Q10" i="70" s="1"/>
  <c r="BB26" i="72"/>
  <c r="BD14" i="72"/>
  <c r="D14" i="72"/>
  <c r="U14" i="72"/>
  <c r="AF16" i="72"/>
  <c r="AE16" i="72"/>
  <c r="M12" i="70" s="1"/>
  <c r="AU16" i="72"/>
  <c r="W12" i="70" s="1"/>
  <c r="I20" i="72"/>
  <c r="O16" i="70" s="1"/>
  <c r="BB32" i="72"/>
  <c r="BD20" i="72"/>
  <c r="D20" i="72"/>
  <c r="E18" i="76" s="1"/>
  <c r="H18" i="76" s="1"/>
  <c r="U20" i="72"/>
  <c r="Y17" i="72"/>
  <c r="I22" i="72"/>
  <c r="O18" i="70" s="1"/>
  <c r="Y23" i="72"/>
  <c r="L15" i="72"/>
  <c r="Y19" i="72"/>
  <c r="W21" i="72"/>
  <c r="F21" i="72"/>
  <c r="G19" i="76" s="1"/>
  <c r="I19" i="76" s="1"/>
  <c r="AU25" i="72"/>
  <c r="W21" i="70" s="1"/>
  <c r="AF25" i="72"/>
  <c r="AE25" i="72"/>
  <c r="M21" i="70" s="1"/>
  <c r="N18" i="72"/>
  <c r="AQ18" i="72" s="1"/>
  <c r="BD25" i="72"/>
  <c r="U25" i="72"/>
  <c r="D25" i="72"/>
  <c r="E23" i="76" s="1"/>
  <c r="H23" i="76" s="1"/>
  <c r="J14" i="72"/>
  <c r="P10" i="70" s="1"/>
  <c r="AE14" i="72"/>
  <c r="M10" i="70" s="1"/>
  <c r="AU14" i="72"/>
  <c r="W10" i="70" s="1"/>
  <c r="AF14" i="72"/>
  <c r="H14" i="76"/>
  <c r="L20" i="72"/>
  <c r="L22" i="72"/>
  <c r="AU23" i="72"/>
  <c r="W19" i="70" s="1"/>
  <c r="AF23" i="72"/>
  <c r="AE23" i="72"/>
  <c r="M19" i="70" s="1"/>
  <c r="K15" i="72"/>
  <c r="Q11" i="70" s="1"/>
  <c r="J21" i="72"/>
  <c r="P17" i="70" s="1"/>
  <c r="L18" i="72"/>
  <c r="M23" i="72" l="1"/>
  <c r="W21" i="76" s="1"/>
  <c r="M21" i="72"/>
  <c r="W19" i="76" s="1"/>
  <c r="M18" i="72"/>
  <c r="W16" i="76" s="1"/>
  <c r="M16" i="72"/>
  <c r="W14" i="76" s="1"/>
  <c r="M15" i="72"/>
  <c r="W13" i="76" s="1"/>
  <c r="M25" i="72"/>
  <c r="W23" i="76" s="1"/>
  <c r="M22" i="72"/>
  <c r="W20" i="76" s="1"/>
  <c r="M24" i="72"/>
  <c r="W22" i="76" s="1"/>
  <c r="M20" i="72"/>
  <c r="W18" i="76" s="1"/>
  <c r="M17" i="72"/>
  <c r="W15" i="76" s="1"/>
  <c r="G12" i="76"/>
  <c r="I12" i="76" s="1"/>
  <c r="AB28" i="72"/>
  <c r="C28" i="72"/>
  <c r="D26" i="76" s="1"/>
  <c r="BI28" i="72"/>
  <c r="BH28" i="72"/>
  <c r="T28" i="72"/>
  <c r="BE28" i="72"/>
  <c r="BC28" i="72"/>
  <c r="E12" i="76"/>
  <c r="BI31" i="72"/>
  <c r="BE31" i="72"/>
  <c r="BC31" i="72"/>
  <c r="BH31" i="72"/>
  <c r="C31" i="72"/>
  <c r="D29" i="76" s="1"/>
  <c r="AB31" i="72"/>
  <c r="T31" i="72"/>
  <c r="T33" i="72"/>
  <c r="C33" i="72"/>
  <c r="D31" i="76" s="1"/>
  <c r="AB33" i="72"/>
  <c r="BC33" i="72"/>
  <c r="BH33" i="72"/>
  <c r="BE33" i="72"/>
  <c r="BI33" i="72"/>
  <c r="AB27" i="72"/>
  <c r="C27" i="72"/>
  <c r="D25" i="76" s="1"/>
  <c r="T27" i="72"/>
  <c r="BH27" i="72"/>
  <c r="BC27" i="72"/>
  <c r="BI27" i="72"/>
  <c r="BE27" i="72"/>
  <c r="BH30" i="72"/>
  <c r="BE30" i="72"/>
  <c r="BI30" i="72"/>
  <c r="BC30" i="72"/>
  <c r="C30" i="72"/>
  <c r="D28" i="76" s="1"/>
  <c r="T30" i="72"/>
  <c r="AB30" i="72"/>
  <c r="C34" i="72"/>
  <c r="D32" i="76" s="1"/>
  <c r="AB34" i="72"/>
  <c r="T34" i="72"/>
  <c r="BH34" i="72"/>
  <c r="BE34" i="72"/>
  <c r="BC34" i="72"/>
  <c r="BI34" i="72"/>
  <c r="BI29" i="72"/>
  <c r="BE29" i="72"/>
  <c r="T29" i="72"/>
  <c r="AB29" i="72"/>
  <c r="BH29" i="72"/>
  <c r="C29" i="72"/>
  <c r="L29" i="72" s="1"/>
  <c r="M29" i="72" s="1"/>
  <c r="W27" i="76" s="1"/>
  <c r="BC29" i="72"/>
  <c r="M14" i="72"/>
  <c r="W12" i="76" s="1"/>
  <c r="W33" i="76" s="1"/>
  <c r="BI32" i="72"/>
  <c r="BE32" i="72"/>
  <c r="T32" i="72"/>
  <c r="BC32" i="72"/>
  <c r="AB32" i="72"/>
  <c r="BH32" i="72"/>
  <c r="C32" i="72"/>
  <c r="D30" i="76" s="1"/>
  <c r="T26" i="72"/>
  <c r="AB26" i="72"/>
  <c r="BE26" i="72"/>
  <c r="BI26" i="72"/>
  <c r="BH26" i="72"/>
  <c r="BC26" i="72"/>
  <c r="C26" i="72"/>
  <c r="N26" i="72" s="1"/>
  <c r="AQ26" i="72" s="1"/>
  <c r="BB35" i="72"/>
  <c r="M19" i="72"/>
  <c r="W17" i="76" s="1"/>
  <c r="I26" i="72" l="1"/>
  <c r="O22" i="70" s="1"/>
  <c r="J26" i="72"/>
  <c r="P22" i="70" s="1"/>
  <c r="K29" i="72"/>
  <c r="Q25" i="70" s="1"/>
  <c r="N33" i="72"/>
  <c r="AQ33" i="72" s="1"/>
  <c r="I32" i="72"/>
  <c r="O28" i="70" s="1"/>
  <c r="N32" i="72"/>
  <c r="AQ32" i="72" s="1"/>
  <c r="J33" i="72"/>
  <c r="P29" i="70" s="1"/>
  <c r="I31" i="72"/>
  <c r="O27" i="70" s="1"/>
  <c r="I34" i="72"/>
  <c r="O30" i="70" s="1"/>
  <c r="I27" i="72"/>
  <c r="O23" i="70" s="1"/>
  <c r="L26" i="72"/>
  <c r="M26" i="72" s="1"/>
  <c r="W24" i="76" s="1"/>
  <c r="N30" i="72"/>
  <c r="AQ30" i="72" s="1"/>
  <c r="N29" i="72"/>
  <c r="AQ29" i="72" s="1"/>
  <c r="K30" i="72"/>
  <c r="Q26" i="70" s="1"/>
  <c r="L31" i="72"/>
  <c r="M31" i="72" s="1"/>
  <c r="W29" i="76" s="1"/>
  <c r="I29" i="72"/>
  <c r="O25" i="70" s="1"/>
  <c r="N31" i="72"/>
  <c r="AQ31" i="72" s="1"/>
  <c r="K31" i="72"/>
  <c r="Q27" i="70" s="1"/>
  <c r="I28" i="72"/>
  <c r="O24" i="70" s="1"/>
  <c r="J31" i="72"/>
  <c r="P27" i="70" s="1"/>
  <c r="L28" i="72"/>
  <c r="M28" i="72" s="1"/>
  <c r="W26" i="76" s="1"/>
  <c r="AE32" i="72"/>
  <c r="M28" i="70" s="1"/>
  <c r="AF32" i="72"/>
  <c r="AU32" i="72"/>
  <c r="W28" i="70" s="1"/>
  <c r="F29" i="72"/>
  <c r="G27" i="76" s="1"/>
  <c r="W29" i="72"/>
  <c r="F34" i="72"/>
  <c r="G32" i="76" s="1"/>
  <c r="W34" i="72"/>
  <c r="AU30" i="72"/>
  <c r="W26" i="70" s="1"/>
  <c r="AE30" i="72"/>
  <c r="M26" i="70" s="1"/>
  <c r="AF30" i="72"/>
  <c r="AU33" i="72"/>
  <c r="W29" i="70" s="1"/>
  <c r="AF33" i="72"/>
  <c r="AE33" i="72"/>
  <c r="M29" i="70" s="1"/>
  <c r="Y31" i="72"/>
  <c r="CX27" i="72"/>
  <c r="CX18" i="72"/>
  <c r="CX28" i="72"/>
  <c r="CX19" i="72"/>
  <c r="CX30" i="72"/>
  <c r="CX23" i="72"/>
  <c r="CX21" i="72"/>
  <c r="CX24" i="72"/>
  <c r="CX17" i="72"/>
  <c r="CX16" i="72"/>
  <c r="D28" i="72"/>
  <c r="E26" i="76" s="1"/>
  <c r="CX29" i="72"/>
  <c r="CX22" i="72"/>
  <c r="CX26" i="72"/>
  <c r="U28" i="72"/>
  <c r="BD28" i="72"/>
  <c r="CX20" i="72"/>
  <c r="CX31" i="72"/>
  <c r="CX33" i="72"/>
  <c r="CX25" i="72"/>
  <c r="CX15" i="72"/>
  <c r="CX32" i="72"/>
  <c r="CX34" i="72"/>
  <c r="CX14" i="72"/>
  <c r="AU26" i="72"/>
  <c r="W22" i="70" s="1"/>
  <c r="AF26" i="72"/>
  <c r="AE26" i="72"/>
  <c r="M22" i="70" s="1"/>
  <c r="AB35" i="72"/>
  <c r="K32" i="72"/>
  <c r="Q28" i="70" s="1"/>
  <c r="BD32" i="72"/>
  <c r="V32" i="72" s="1"/>
  <c r="U32" i="72"/>
  <c r="D32" i="72"/>
  <c r="E30" i="76" s="1"/>
  <c r="H30" i="76" s="1"/>
  <c r="J34" i="72"/>
  <c r="P30" i="70" s="1"/>
  <c r="Y30" i="72"/>
  <c r="F30" i="72"/>
  <c r="G28" i="76" s="1"/>
  <c r="W30" i="72"/>
  <c r="J27" i="72"/>
  <c r="P23" i="70" s="1"/>
  <c r="BD31" i="72"/>
  <c r="U31" i="72"/>
  <c r="D31" i="72"/>
  <c r="E29" i="76" s="1"/>
  <c r="H29" i="76" s="1"/>
  <c r="Y26" i="72"/>
  <c r="T35" i="72"/>
  <c r="Q32" i="72" s="1"/>
  <c r="R32" i="72" s="1"/>
  <c r="AU28" i="72"/>
  <c r="W24" i="70" s="1"/>
  <c r="AF28" i="72"/>
  <c r="AE28" i="72"/>
  <c r="M24" i="70" s="1"/>
  <c r="L32" i="72"/>
  <c r="M32" i="72" s="1"/>
  <c r="W30" i="76" s="1"/>
  <c r="W32" i="72"/>
  <c r="F32" i="72"/>
  <c r="G30" i="76" s="1"/>
  <c r="I30" i="76" s="1"/>
  <c r="J29" i="72"/>
  <c r="P25" i="70" s="1"/>
  <c r="D27" i="76"/>
  <c r="N34" i="72"/>
  <c r="AQ34" i="72" s="1"/>
  <c r="K34" i="72"/>
  <c r="Q30" i="70" s="1"/>
  <c r="I30" i="72"/>
  <c r="O26" i="70" s="1"/>
  <c r="N27" i="72"/>
  <c r="AQ27" i="72" s="1"/>
  <c r="F33" i="72"/>
  <c r="G31" i="76" s="1"/>
  <c r="W33" i="72"/>
  <c r="Y28" i="72"/>
  <c r="Y32" i="72"/>
  <c r="BD29" i="72"/>
  <c r="D29" i="72"/>
  <c r="E27" i="76" s="1"/>
  <c r="U29" i="72"/>
  <c r="BD27" i="72"/>
  <c r="U27" i="72"/>
  <c r="D27" i="72"/>
  <c r="E25" i="76" s="1"/>
  <c r="H25" i="76" s="1"/>
  <c r="Y33" i="72"/>
  <c r="F31" i="72"/>
  <c r="G29" i="76" s="1"/>
  <c r="W31" i="72"/>
  <c r="F28" i="72"/>
  <c r="G26" i="76" s="1"/>
  <c r="I26" i="76" s="1"/>
  <c r="W28" i="72"/>
  <c r="D24" i="76"/>
  <c r="C35" i="72"/>
  <c r="K35" i="72" s="1"/>
  <c r="J32" i="72"/>
  <c r="P28" i="70" s="1"/>
  <c r="Y34" i="72"/>
  <c r="J30" i="72"/>
  <c r="P26" i="70" s="1"/>
  <c r="L27" i="72"/>
  <c r="M27" i="72" s="1"/>
  <c r="W25" i="76" s="1"/>
  <c r="Y27" i="72"/>
  <c r="L33" i="72"/>
  <c r="M33" i="72" s="1"/>
  <c r="W31" i="76" s="1"/>
  <c r="J28" i="72"/>
  <c r="P24" i="70" s="1"/>
  <c r="U26" i="72"/>
  <c r="D26" i="72"/>
  <c r="BD26" i="72"/>
  <c r="BC35" i="72"/>
  <c r="F15" i="36" s="1"/>
  <c r="AE34" i="72"/>
  <c r="M30" i="70" s="1"/>
  <c r="AF34" i="72"/>
  <c r="AU34" i="72"/>
  <c r="W30" i="70" s="1"/>
  <c r="I28" i="76"/>
  <c r="AF31" i="72"/>
  <c r="AE31" i="72"/>
  <c r="M27" i="70" s="1"/>
  <c r="AU31" i="72"/>
  <c r="W27" i="70" s="1"/>
  <c r="W26" i="72"/>
  <c r="F26" i="72"/>
  <c r="BE35" i="72"/>
  <c r="BD34" i="72"/>
  <c r="D34" i="72"/>
  <c r="E32" i="76" s="1"/>
  <c r="H32" i="76" s="1"/>
  <c r="U34" i="72"/>
  <c r="I32" i="76"/>
  <c r="W27" i="72"/>
  <c r="F27" i="72"/>
  <c r="G25" i="76" s="1"/>
  <c r="AU27" i="72"/>
  <c r="W23" i="70" s="1"/>
  <c r="AE27" i="72"/>
  <c r="M23" i="70" s="1"/>
  <c r="AF27" i="72"/>
  <c r="K33" i="72"/>
  <c r="Q29" i="70" s="1"/>
  <c r="H12" i="76"/>
  <c r="AE29" i="72"/>
  <c r="M25" i="70" s="1"/>
  <c r="AU29" i="72"/>
  <c r="W25" i="70" s="1"/>
  <c r="AF29" i="72"/>
  <c r="BH35" i="72"/>
  <c r="BB9" i="72" s="1"/>
  <c r="D37" i="43" s="1"/>
  <c r="F37" i="43" s="1"/>
  <c r="F47" i="43" s="1"/>
  <c r="E29" i="11" s="1"/>
  <c r="K26" i="72"/>
  <c r="Q22" i="70" s="1"/>
  <c r="BI35" i="72"/>
  <c r="BB10" i="72" s="1"/>
  <c r="E37" i="43" s="1"/>
  <c r="G37" i="43" s="1"/>
  <c r="G47" i="43" s="1"/>
  <c r="Y29" i="72"/>
  <c r="L34" i="72"/>
  <c r="M34" i="72" s="1"/>
  <c r="W32" i="76" s="1"/>
  <c r="L30" i="72"/>
  <c r="M30" i="72" s="1"/>
  <c r="W28" i="76" s="1"/>
  <c r="BD30" i="72"/>
  <c r="D30" i="72"/>
  <c r="E28" i="76" s="1"/>
  <c r="U30" i="72"/>
  <c r="K27" i="72"/>
  <c r="Q23" i="70" s="1"/>
  <c r="I33" i="72"/>
  <c r="O29" i="70" s="1"/>
  <c r="BD33" i="72"/>
  <c r="V33" i="72" s="1"/>
  <c r="U33" i="72"/>
  <c r="D33" i="72"/>
  <c r="E31" i="76" s="1"/>
  <c r="H31" i="76" s="1"/>
  <c r="I29" i="76"/>
  <c r="N28" i="72"/>
  <c r="AQ28" i="72" s="1"/>
  <c r="K28" i="72"/>
  <c r="Q24" i="70" s="1"/>
  <c r="V29" i="72" l="1"/>
  <c r="V34" i="72"/>
  <c r="N35" i="72"/>
  <c r="V31" i="72"/>
  <c r="V30" i="72"/>
  <c r="E20" i="72"/>
  <c r="F18" i="76" s="1"/>
  <c r="V20" i="72"/>
  <c r="E23" i="11"/>
  <c r="I23" i="11" s="1"/>
  <c r="E17" i="12"/>
  <c r="J35" i="72"/>
  <c r="Q27" i="72"/>
  <c r="R27" i="72" s="1"/>
  <c r="D33" i="76"/>
  <c r="A27" i="76" s="1"/>
  <c r="L27" i="76" s="1"/>
  <c r="AH27" i="76" s="1"/>
  <c r="Q26" i="72"/>
  <c r="R26" i="72" s="1"/>
  <c r="CX35" i="72"/>
  <c r="V14" i="72"/>
  <c r="E14" i="72"/>
  <c r="E28" i="72"/>
  <c r="F26" i="76" s="1"/>
  <c r="V28" i="72"/>
  <c r="E24" i="72"/>
  <c r="F22" i="76" s="1"/>
  <c r="V24" i="72"/>
  <c r="Q31" i="72"/>
  <c r="R31" i="72" s="1"/>
  <c r="I35" i="72"/>
  <c r="Z15" i="36"/>
  <c r="O15" i="36"/>
  <c r="AE15" i="36" s="1"/>
  <c r="P15" i="36"/>
  <c r="AF15" i="36" s="1"/>
  <c r="AF25" i="36" s="1"/>
  <c r="E15" i="11" s="1"/>
  <c r="X15" i="36"/>
  <c r="Y15" i="36"/>
  <c r="V27" i="72"/>
  <c r="E27" i="72"/>
  <c r="F25" i="76" s="1"/>
  <c r="E34" i="72"/>
  <c r="F32" i="76" s="1"/>
  <c r="E21" i="72"/>
  <c r="F19" i="76" s="1"/>
  <c r="V21" i="72"/>
  <c r="Q28" i="72"/>
  <c r="R28" i="72" s="1"/>
  <c r="I25" i="76"/>
  <c r="V26" i="72"/>
  <c r="E26" i="72"/>
  <c r="F24" i="76" s="1"/>
  <c r="BD35" i="72"/>
  <c r="AF35" i="72"/>
  <c r="AE35" i="72"/>
  <c r="E32" i="72"/>
  <c r="F30" i="76" s="1"/>
  <c r="E23" i="72"/>
  <c r="F21" i="76" s="1"/>
  <c r="V23" i="72"/>
  <c r="E17" i="72"/>
  <c r="F15" i="76" s="1"/>
  <c r="V17" i="72"/>
  <c r="G24" i="76"/>
  <c r="I24" i="76" s="1"/>
  <c r="F35" i="72"/>
  <c r="E24" i="76"/>
  <c r="H24" i="76" s="1"/>
  <c r="D35" i="72"/>
  <c r="Q30" i="72"/>
  <c r="R30" i="72" s="1"/>
  <c r="E15" i="72"/>
  <c r="F13" i="76" s="1"/>
  <c r="V15" i="72"/>
  <c r="E22" i="72"/>
  <c r="F20" i="76" s="1"/>
  <c r="V22" i="72"/>
  <c r="E30" i="72"/>
  <c r="F28" i="76" s="1"/>
  <c r="I27" i="76"/>
  <c r="H27" i="76"/>
  <c r="W35" i="72"/>
  <c r="H28" i="76"/>
  <c r="U35" i="72"/>
  <c r="Q34" i="72"/>
  <c r="R34" i="72" s="1"/>
  <c r="E25" i="72"/>
  <c r="F23" i="76" s="1"/>
  <c r="V25" i="72"/>
  <c r="E29" i="72"/>
  <c r="F27" i="76" s="1"/>
  <c r="E19" i="72"/>
  <c r="F17" i="76" s="1"/>
  <c r="V19" i="72"/>
  <c r="I29" i="11"/>
  <c r="B30" i="65"/>
  <c r="E30" i="12"/>
  <c r="Q33" i="72"/>
  <c r="R33" i="72" s="1"/>
  <c r="E33" i="72"/>
  <c r="F31" i="76" s="1"/>
  <c r="H26" i="76"/>
  <c r="Q14" i="72"/>
  <c r="Q23" i="72"/>
  <c r="R23" i="72" s="1"/>
  <c r="Q22" i="72"/>
  <c r="R22" i="72" s="1"/>
  <c r="Q25" i="72"/>
  <c r="R25" i="72" s="1"/>
  <c r="Q17" i="72"/>
  <c r="R17" i="72" s="1"/>
  <c r="Q21" i="72"/>
  <c r="R21" i="72" s="1"/>
  <c r="Q15" i="72"/>
  <c r="R15" i="72" s="1"/>
  <c r="Q16" i="72"/>
  <c r="R16" i="72" s="1"/>
  <c r="Q19" i="72"/>
  <c r="R19" i="72" s="1"/>
  <c r="Q18" i="72"/>
  <c r="R18" i="72" s="1"/>
  <c r="Q20" i="72"/>
  <c r="R20" i="72" s="1"/>
  <c r="Q24" i="72"/>
  <c r="R24" i="72" s="1"/>
  <c r="Q29" i="72"/>
  <c r="R29" i="72" s="1"/>
  <c r="I31" i="76"/>
  <c r="E31" i="72"/>
  <c r="F29" i="76" s="1"/>
  <c r="E16" i="72"/>
  <c r="F14" i="76" s="1"/>
  <c r="V16" i="72"/>
  <c r="E18" i="72"/>
  <c r="F16" i="76" s="1"/>
  <c r="V18" i="72"/>
  <c r="R14" i="72" l="1"/>
  <c r="R35" i="72" s="1"/>
  <c r="Q35" i="72"/>
  <c r="E27" i="12"/>
  <c r="I15" i="11"/>
  <c r="AG15" i="36"/>
  <c r="AE25" i="36"/>
  <c r="F12" i="76"/>
  <c r="F33" i="76" s="1"/>
  <c r="E35" i="72"/>
  <c r="E36" i="72" s="1"/>
  <c r="V35" i="72"/>
  <c r="V11" i="72" s="1"/>
  <c r="G33" i="76"/>
  <c r="I17" i="12"/>
  <c r="B26" i="65"/>
  <c r="E33" i="76"/>
  <c r="A12" i="76"/>
  <c r="A15" i="76"/>
  <c r="L15" i="76" s="1"/>
  <c r="AH15" i="76" s="1"/>
  <c r="A18" i="76"/>
  <c r="L18" i="76" s="1"/>
  <c r="AH18" i="76" s="1"/>
  <c r="A14" i="76"/>
  <c r="L14" i="76" s="1"/>
  <c r="AH14" i="76" s="1"/>
  <c r="A21" i="76"/>
  <c r="L21" i="76" s="1"/>
  <c r="AH21" i="76" s="1"/>
  <c r="A13" i="76"/>
  <c r="L13" i="76" s="1"/>
  <c r="AH13" i="76" s="1"/>
  <c r="A23" i="76"/>
  <c r="L23" i="76" s="1"/>
  <c r="AH23" i="76" s="1"/>
  <c r="A17" i="76"/>
  <c r="L17" i="76" s="1"/>
  <c r="AH17" i="76" s="1"/>
  <c r="A16" i="76"/>
  <c r="L16" i="76" s="1"/>
  <c r="AH16" i="76" s="1"/>
  <c r="A20" i="76"/>
  <c r="L20" i="76" s="1"/>
  <c r="AH20" i="76" s="1"/>
  <c r="A19" i="76"/>
  <c r="L19" i="76" s="1"/>
  <c r="AH19" i="76" s="1"/>
  <c r="A22" i="76"/>
  <c r="L22" i="76" s="1"/>
  <c r="AH22" i="76" s="1"/>
  <c r="A26" i="76"/>
  <c r="L26" i="76" s="1"/>
  <c r="AH26" i="76" s="1"/>
  <c r="A31" i="76"/>
  <c r="L31" i="76" s="1"/>
  <c r="AH31" i="76" s="1"/>
  <c r="A28" i="76"/>
  <c r="L28" i="76" s="1"/>
  <c r="AH28" i="76" s="1"/>
  <c r="A30" i="76"/>
  <c r="L30" i="76" s="1"/>
  <c r="AH30" i="76" s="1"/>
  <c r="A32" i="76"/>
  <c r="L32" i="76" s="1"/>
  <c r="AH32" i="76" s="1"/>
  <c r="A29" i="76"/>
  <c r="L29" i="76" s="1"/>
  <c r="AH29" i="76" s="1"/>
  <c r="A25" i="76"/>
  <c r="L25" i="76" s="1"/>
  <c r="AH25" i="76" s="1"/>
  <c r="A24" i="76"/>
  <c r="L24" i="76" s="1"/>
  <c r="AH24" i="76" s="1"/>
  <c r="AG25" i="36" l="1"/>
  <c r="E11" i="11"/>
  <c r="A33" i="76"/>
  <c r="L12" i="76"/>
  <c r="AH12" i="76" l="1"/>
  <c r="AH33" i="76" s="1"/>
  <c r="L33" i="76"/>
  <c r="I11" i="11"/>
  <c r="E25" i="12"/>
  <c r="E19" i="11"/>
  <c r="B29" i="65" l="1"/>
  <c r="I19" i="11"/>
  <c r="Q12" i="76"/>
  <c r="Q33" i="76" s="1"/>
  <c r="P18" i="76"/>
  <c r="O25" i="76"/>
  <c r="P23" i="76"/>
  <c r="O13" i="76"/>
  <c r="O21" i="76"/>
  <c r="P19" i="76"/>
  <c r="O26" i="76"/>
  <c r="O14" i="76"/>
  <c r="P16" i="76"/>
  <c r="R13" i="76"/>
  <c r="R22" i="76"/>
  <c r="R23" i="76"/>
  <c r="O18" i="76"/>
  <c r="R12" i="76"/>
  <c r="R33" i="76" s="1"/>
  <c r="P15" i="76"/>
  <c r="P17" i="76"/>
  <c r="P20" i="76"/>
  <c r="R18" i="76"/>
  <c r="O23" i="76"/>
  <c r="R19" i="76"/>
  <c r="P21" i="76"/>
  <c r="R20" i="76"/>
  <c r="O15" i="76"/>
  <c r="O17" i="76"/>
  <c r="O12" i="76"/>
  <c r="R16" i="76"/>
  <c r="O30" i="76"/>
  <c r="O19" i="76"/>
  <c r="O16" i="76"/>
  <c r="P22" i="76"/>
  <c r="O29" i="76"/>
  <c r="O20" i="76"/>
  <c r="P12" i="76"/>
  <c r="P33" i="76" s="1"/>
  <c r="R15" i="76"/>
  <c r="R14" i="76"/>
  <c r="R21" i="76"/>
  <c r="O31" i="76"/>
  <c r="O28" i="76"/>
  <c r="P14" i="76"/>
  <c r="R17" i="76"/>
  <c r="O22" i="76"/>
  <c r="O32" i="76"/>
  <c r="P13" i="76"/>
  <c r="R32" i="76"/>
  <c r="R26" i="76"/>
  <c r="R25" i="76"/>
  <c r="R31" i="76"/>
  <c r="R29" i="76"/>
  <c r="P30" i="76"/>
  <c r="O24" i="76"/>
  <c r="P29" i="76"/>
  <c r="P32" i="76"/>
  <c r="P28" i="76"/>
  <c r="R28" i="76"/>
  <c r="O27" i="76"/>
  <c r="R30" i="76"/>
  <c r="P31" i="76"/>
  <c r="R27" i="76"/>
  <c r="P26" i="76"/>
  <c r="P27" i="76"/>
  <c r="P25" i="76"/>
  <c r="Q14" i="76"/>
  <c r="Q24" i="76"/>
  <c r="Q28" i="76"/>
  <c r="Q17" i="76"/>
  <c r="Q19" i="76"/>
  <c r="Q23" i="76"/>
  <c r="Q13" i="76"/>
  <c r="Q20" i="76"/>
  <c r="P24" i="76"/>
  <c r="Q25" i="76"/>
  <c r="Q21" i="76"/>
  <c r="R24" i="76"/>
  <c r="Q29" i="76"/>
  <c r="Q16" i="76"/>
  <c r="Q32" i="76"/>
  <c r="Q26" i="76"/>
  <c r="Q31" i="76"/>
  <c r="Q15" i="76"/>
  <c r="Q18" i="76"/>
  <c r="Q30" i="76"/>
  <c r="Q27" i="76"/>
  <c r="Q22" i="76"/>
  <c r="S19" i="76" l="1"/>
  <c r="AO19" i="76" s="1"/>
  <c r="T19" i="76"/>
  <c r="AP19" i="76" s="1"/>
  <c r="Y19" i="76"/>
  <c r="S13" i="76"/>
  <c r="AO13" i="76" s="1"/>
  <c r="Y13" i="76"/>
  <c r="T13" i="76"/>
  <c r="AP13" i="76" s="1"/>
  <c r="T21" i="76"/>
  <c r="AP21" i="76" s="1"/>
  <c r="S21" i="76"/>
  <c r="AO21" i="76" s="1"/>
  <c r="Y21" i="76"/>
  <c r="T30" i="76"/>
  <c r="AP30" i="76" s="1"/>
  <c r="Y30" i="76"/>
  <c r="S30" i="76"/>
  <c r="AO30" i="76" s="1"/>
  <c r="S23" i="76"/>
  <c r="AO23" i="76" s="1"/>
  <c r="T23" i="76"/>
  <c r="AP23" i="76" s="1"/>
  <c r="Y23" i="76"/>
  <c r="T18" i="76"/>
  <c r="AP18" i="76" s="1"/>
  <c r="Y18" i="76"/>
  <c r="S18" i="76"/>
  <c r="AO18" i="76" s="1"/>
  <c r="S24" i="76"/>
  <c r="AO24" i="76" s="1"/>
  <c r="T24" i="76"/>
  <c r="AP24" i="76" s="1"/>
  <c r="Y24" i="76"/>
  <c r="T32" i="76"/>
  <c r="AP32" i="76" s="1"/>
  <c r="Y32" i="76"/>
  <c r="S32" i="76"/>
  <c r="AO32" i="76" s="1"/>
  <c r="T25" i="76"/>
  <c r="AP25" i="76" s="1"/>
  <c r="Y25" i="76"/>
  <c r="S25" i="76"/>
  <c r="AO25" i="76" s="1"/>
  <c r="T12" i="76"/>
  <c r="AP12" i="76" s="1"/>
  <c r="O33" i="76"/>
  <c r="Y12" i="76"/>
  <c r="S12" i="76"/>
  <c r="AO12" i="76" s="1"/>
  <c r="Y22" i="76"/>
  <c r="T22" i="76"/>
  <c r="AP22" i="76" s="1"/>
  <c r="S22" i="76"/>
  <c r="AO22" i="76" s="1"/>
  <c r="T20" i="76"/>
  <c r="AP20" i="76" s="1"/>
  <c r="S20" i="76"/>
  <c r="AO20" i="76" s="1"/>
  <c r="Y20" i="76"/>
  <c r="S17" i="76"/>
  <c r="AO17" i="76" s="1"/>
  <c r="Y17" i="76"/>
  <c r="T17" i="76"/>
  <c r="AP17" i="76" s="1"/>
  <c r="T14" i="76"/>
  <c r="AP14" i="76" s="1"/>
  <c r="S14" i="76"/>
  <c r="AO14" i="76" s="1"/>
  <c r="Y14" i="76"/>
  <c r="T31" i="76"/>
  <c r="AP31" i="76" s="1"/>
  <c r="Y31" i="76"/>
  <c r="S31" i="76"/>
  <c r="AO31" i="76" s="1"/>
  <c r="S27" i="76"/>
  <c r="AO27" i="76" s="1"/>
  <c r="T27" i="76"/>
  <c r="AP27" i="76" s="1"/>
  <c r="Y27" i="76"/>
  <c r="S29" i="76"/>
  <c r="AO29" i="76" s="1"/>
  <c r="T29" i="76"/>
  <c r="AP29" i="76" s="1"/>
  <c r="Y29" i="76"/>
  <c r="T15" i="76"/>
  <c r="AP15" i="76" s="1"/>
  <c r="Y15" i="76"/>
  <c r="S15" i="76"/>
  <c r="AO15" i="76" s="1"/>
  <c r="Y26" i="76"/>
  <c r="S26" i="76"/>
  <c r="AO26" i="76" s="1"/>
  <c r="T26" i="76"/>
  <c r="AP26" i="76" s="1"/>
  <c r="T16" i="76"/>
  <c r="AP16" i="76" s="1"/>
  <c r="S16" i="76"/>
  <c r="AO16" i="76" s="1"/>
  <c r="Y16" i="76"/>
  <c r="T28" i="76"/>
  <c r="AP28" i="76" s="1"/>
  <c r="Y28" i="76"/>
  <c r="S28" i="76"/>
  <c r="AO28" i="76" s="1"/>
  <c r="Z28" i="76" l="1"/>
  <c r="AA28" i="76"/>
  <c r="AA17" i="76"/>
  <c r="Z17" i="76"/>
  <c r="Z32" i="76"/>
  <c r="AA32" i="76"/>
  <c r="AA23" i="76"/>
  <c r="Z23" i="76"/>
  <c r="S26" i="70"/>
  <c r="T26" i="70"/>
  <c r="U26" i="70"/>
  <c r="AA15" i="76"/>
  <c r="Z15" i="76"/>
  <c r="Z12" i="76"/>
  <c r="Z33" i="76" s="1"/>
  <c r="Y33" i="76"/>
  <c r="AA12" i="76"/>
  <c r="T30" i="70"/>
  <c r="S30" i="70"/>
  <c r="U30" i="70"/>
  <c r="T11" i="70"/>
  <c r="S11" i="70"/>
  <c r="U11" i="70"/>
  <c r="AA16" i="76"/>
  <c r="Z16" i="76"/>
  <c r="Z31" i="76"/>
  <c r="AA31" i="76"/>
  <c r="Z20" i="76"/>
  <c r="AA20" i="76"/>
  <c r="Z24" i="76"/>
  <c r="AA24" i="76"/>
  <c r="Z13" i="76"/>
  <c r="AA13" i="76"/>
  <c r="Z29" i="76"/>
  <c r="AA29" i="76"/>
  <c r="U29" i="70"/>
  <c r="S29" i="70"/>
  <c r="T29" i="70"/>
  <c r="U22" i="70"/>
  <c r="S22" i="70"/>
  <c r="T22" i="70"/>
  <c r="AA26" i="76"/>
  <c r="Z26" i="76"/>
  <c r="AA22" i="76"/>
  <c r="Z22" i="76"/>
  <c r="AA14" i="76"/>
  <c r="Z14" i="76"/>
  <c r="AA30" i="76"/>
  <c r="Z30" i="76"/>
  <c r="AA19" i="76"/>
  <c r="Z19" i="76"/>
  <c r="T24" i="70"/>
  <c r="S24" i="70"/>
  <c r="U24" i="70"/>
  <c r="S27" i="70"/>
  <c r="T27" i="70"/>
  <c r="U27" i="70"/>
  <c r="AA25" i="76"/>
  <c r="Z25" i="76"/>
  <c r="U25" i="70"/>
  <c r="T25" i="70"/>
  <c r="S25" i="70"/>
  <c r="AA27" i="76"/>
  <c r="Z27" i="76"/>
  <c r="T12" i="70"/>
  <c r="U12" i="70"/>
  <c r="S12" i="70"/>
  <c r="Z18" i="76"/>
  <c r="AA18" i="76"/>
  <c r="AA21" i="76"/>
  <c r="Z21" i="76"/>
  <c r="AD30" i="76" l="1"/>
  <c r="AC30" i="76"/>
  <c r="AC16" i="76"/>
  <c r="AD16" i="76"/>
  <c r="AD23" i="76"/>
  <c r="AC23" i="76"/>
  <c r="AD27" i="76"/>
  <c r="AC27" i="76"/>
  <c r="X20" i="76"/>
  <c r="X27" i="76"/>
  <c r="X31" i="76"/>
  <c r="X15" i="76"/>
  <c r="X29" i="76"/>
  <c r="X25" i="76"/>
  <c r="X22" i="76"/>
  <c r="X17" i="76"/>
  <c r="X30" i="76"/>
  <c r="X14" i="76"/>
  <c r="X18" i="76"/>
  <c r="X13" i="76"/>
  <c r="X23" i="76"/>
  <c r="X12" i="76"/>
  <c r="X28" i="76"/>
  <c r="X26" i="76"/>
  <c r="X19" i="76"/>
  <c r="X21" i="76"/>
  <c r="X16" i="76"/>
  <c r="X24" i="76"/>
  <c r="X32" i="76"/>
  <c r="AD32" i="76"/>
  <c r="AC32" i="76"/>
  <c r="AD21" i="76"/>
  <c r="AC21" i="76"/>
  <c r="AD14" i="76"/>
  <c r="AC14" i="76"/>
  <c r="AD20" i="76"/>
  <c r="AC20" i="76"/>
  <c r="AD15" i="76"/>
  <c r="AC15" i="76"/>
  <c r="AD22" i="76"/>
  <c r="AC22" i="76"/>
  <c r="AC17" i="76"/>
  <c r="AD17" i="76"/>
  <c r="AA33" i="76"/>
  <c r="AC12" i="76"/>
  <c r="AC33" i="76" s="1"/>
  <c r="AD12" i="76"/>
  <c r="AD29" i="76"/>
  <c r="AC29" i="76"/>
  <c r="AD31" i="76"/>
  <c r="AC31" i="76"/>
  <c r="AD28" i="76"/>
  <c r="AC28" i="76"/>
  <c r="AC13" i="76"/>
  <c r="AD13" i="76"/>
  <c r="AC24" i="76"/>
  <c r="AD24" i="76"/>
  <c r="AC18" i="76"/>
  <c r="AD18" i="76"/>
  <c r="AC25" i="76"/>
  <c r="AD25" i="76"/>
  <c r="AD19" i="76"/>
  <c r="AC19" i="76"/>
  <c r="AD26" i="76"/>
  <c r="AC26" i="76"/>
  <c r="AF24" i="76" l="1"/>
  <c r="AI24" i="76" s="1"/>
  <c r="AF27" i="76"/>
  <c r="AI27" i="76" s="1"/>
  <c r="AF15" i="76"/>
  <c r="AI15" i="76" s="1"/>
  <c r="AF19" i="76"/>
  <c r="AI19" i="76" s="1"/>
  <c r="AF23" i="76"/>
  <c r="AI23" i="76" s="1"/>
  <c r="AF22" i="76"/>
  <c r="AI22" i="76" s="1"/>
  <c r="AF29" i="76"/>
  <c r="AI29" i="76" s="1"/>
  <c r="AF12" i="76"/>
  <c r="AD33" i="76"/>
  <c r="AF16" i="76"/>
  <c r="AI16" i="76" s="1"/>
  <c r="AF21" i="76"/>
  <c r="AI21" i="76" s="1"/>
  <c r="AF26" i="76"/>
  <c r="AI26" i="76" s="1"/>
  <c r="X33" i="76"/>
  <c r="AB32" i="76" s="1"/>
  <c r="AF28" i="76"/>
  <c r="AI28" i="76" s="1"/>
  <c r="AF17" i="76"/>
  <c r="AI17" i="76" s="1"/>
  <c r="AF13" i="76"/>
  <c r="AI13" i="76" s="1"/>
  <c r="AF32" i="76"/>
  <c r="AI32" i="76" s="1"/>
  <c r="AF25" i="76"/>
  <c r="AI25" i="76" s="1"/>
  <c r="AF14" i="76"/>
  <c r="AI14" i="76" s="1"/>
  <c r="AF20" i="76"/>
  <c r="AI20" i="76" s="1"/>
  <c r="AF18" i="76"/>
  <c r="AI18" i="76" s="1"/>
  <c r="AF31" i="76"/>
  <c r="AI31" i="76" s="1"/>
  <c r="AF30" i="76"/>
  <c r="AI30" i="76" s="1"/>
  <c r="AB31" i="76" l="1"/>
  <c r="AB23" i="76"/>
  <c r="AB26" i="76"/>
  <c r="AB24" i="76"/>
  <c r="AB20" i="76"/>
  <c r="AB14" i="76"/>
  <c r="AB16" i="76"/>
  <c r="AB27" i="76"/>
  <c r="AB30" i="76"/>
  <c r="AB21" i="76"/>
  <c r="AB29" i="76"/>
  <c r="AB18" i="76"/>
  <c r="AB19" i="76"/>
  <c r="AB17" i="76"/>
  <c r="AB25" i="76"/>
  <c r="AF33" i="76"/>
  <c r="AI12" i="76"/>
  <c r="AI33" i="76" s="1"/>
  <c r="AB22" i="76"/>
  <c r="AB28" i="76"/>
  <c r="AB12" i="76"/>
  <c r="AB33" i="76" s="1"/>
  <c r="AB15" i="76"/>
  <c r="AB13" i="76"/>
  <c r="AL14" i="76" l="1"/>
  <c r="AL18" i="76"/>
  <c r="AL24" i="76"/>
  <c r="AL15" i="76"/>
  <c r="AL22" i="76"/>
  <c r="AL27" i="76"/>
  <c r="AL13" i="76"/>
  <c r="AL31" i="76"/>
  <c r="AL17" i="76"/>
  <c r="AL19" i="76"/>
  <c r="AL29" i="76"/>
  <c r="AL16" i="76"/>
  <c r="AL28" i="76"/>
  <c r="AL21" i="76"/>
  <c r="AL32" i="76"/>
  <c r="AL12" i="76"/>
  <c r="AL25" i="76"/>
  <c r="AL20" i="76"/>
  <c r="AL23" i="76"/>
  <c r="AL26" i="76"/>
  <c r="AL30" i="76"/>
  <c r="G10" i="70" l="1"/>
  <c r="J10" i="70" s="1"/>
  <c r="AQ12" i="76"/>
  <c r="AR12" i="76"/>
  <c r="AL33" i="76"/>
  <c r="AU2" i="76" s="1"/>
  <c r="AM12" i="76"/>
  <c r="AP14" i="72"/>
  <c r="AN12" i="76"/>
  <c r="AP15" i="72"/>
  <c r="AQ13" i="76"/>
  <c r="AM13" i="76"/>
  <c r="H11" i="70" s="1"/>
  <c r="AB11" i="70" s="1"/>
  <c r="AN13" i="76"/>
  <c r="I11" i="70" s="1"/>
  <c r="G11" i="70"/>
  <c r="J11" i="70" s="1"/>
  <c r="AR13" i="76"/>
  <c r="AQ30" i="76"/>
  <c r="AM30" i="76"/>
  <c r="H28" i="70" s="1"/>
  <c r="AB28" i="70" s="1"/>
  <c r="AP32" i="72"/>
  <c r="AR30" i="76"/>
  <c r="G28" i="70"/>
  <c r="J28" i="70" s="1"/>
  <c r="AN30" i="76"/>
  <c r="I28" i="70" s="1"/>
  <c r="AN22" i="76"/>
  <c r="I20" i="70" s="1"/>
  <c r="AP24" i="72"/>
  <c r="AQ22" i="76"/>
  <c r="G20" i="70"/>
  <c r="J20" i="70" s="1"/>
  <c r="AR22" i="76"/>
  <c r="AM22" i="76"/>
  <c r="H20" i="70" s="1"/>
  <c r="AB20" i="70" s="1"/>
  <c r="AM26" i="76"/>
  <c r="H24" i="70" s="1"/>
  <c r="AB24" i="70" s="1"/>
  <c r="AN26" i="76"/>
  <c r="I24" i="70" s="1"/>
  <c r="G24" i="70"/>
  <c r="J24" i="70" s="1"/>
  <c r="AR26" i="76"/>
  <c r="AQ26" i="76"/>
  <c r="AP28" i="72"/>
  <c r="AN15" i="76"/>
  <c r="I13" i="70" s="1"/>
  <c r="G13" i="70"/>
  <c r="J13" i="70" s="1"/>
  <c r="AP17" i="72"/>
  <c r="AR15" i="76"/>
  <c r="AQ15" i="76"/>
  <c r="AM15" i="76"/>
  <c r="H13" i="70" s="1"/>
  <c r="AB13" i="70" s="1"/>
  <c r="AP33" i="72"/>
  <c r="AN31" i="76"/>
  <c r="I29" i="70" s="1"/>
  <c r="G29" i="70"/>
  <c r="J29" i="70" s="1"/>
  <c r="AR31" i="76"/>
  <c r="AQ31" i="76"/>
  <c r="AM31" i="76"/>
  <c r="H29" i="70" s="1"/>
  <c r="AB29" i="70" s="1"/>
  <c r="G19" i="70"/>
  <c r="J19" i="70" s="1"/>
  <c r="AM21" i="76"/>
  <c r="H19" i="70" s="1"/>
  <c r="AB19" i="70" s="1"/>
  <c r="AR21" i="76"/>
  <c r="AN21" i="76"/>
  <c r="I19" i="70" s="1"/>
  <c r="AP23" i="72"/>
  <c r="AQ21" i="76"/>
  <c r="AN29" i="76"/>
  <c r="I27" i="70" s="1"/>
  <c r="G27" i="70"/>
  <c r="J27" i="70" s="1"/>
  <c r="AQ29" i="76"/>
  <c r="AM29" i="76"/>
  <c r="H27" i="70" s="1"/>
  <c r="AB27" i="70" s="1"/>
  <c r="AR29" i="76"/>
  <c r="AP31" i="72"/>
  <c r="G22" i="70"/>
  <c r="J22" i="70" s="1"/>
  <c r="AQ24" i="76"/>
  <c r="AM24" i="76"/>
  <c r="H22" i="70" s="1"/>
  <c r="AB22" i="70" s="1"/>
  <c r="AP26" i="72"/>
  <c r="AR24" i="76"/>
  <c r="AN24" i="76"/>
  <c r="I22" i="70" s="1"/>
  <c r="AM32" i="76"/>
  <c r="H30" i="70" s="1"/>
  <c r="AB30" i="70" s="1"/>
  <c r="AQ32" i="76"/>
  <c r="AR32" i="76"/>
  <c r="AP34" i="72"/>
  <c r="G30" i="70"/>
  <c r="J30" i="70" s="1"/>
  <c r="AN32" i="76"/>
  <c r="I30" i="70" s="1"/>
  <c r="AQ27" i="76"/>
  <c r="AN27" i="76"/>
  <c r="I25" i="70" s="1"/>
  <c r="AP29" i="72"/>
  <c r="AM27" i="76"/>
  <c r="H25" i="70" s="1"/>
  <c r="AB25" i="70" s="1"/>
  <c r="AR27" i="76"/>
  <c r="G25" i="70"/>
  <c r="J25" i="70" s="1"/>
  <c r="AR16" i="76"/>
  <c r="AQ16" i="76"/>
  <c r="G14" i="70"/>
  <c r="J14" i="70" s="1"/>
  <c r="AP18" i="72"/>
  <c r="AM16" i="76"/>
  <c r="H14" i="70" s="1"/>
  <c r="AB14" i="70" s="1"/>
  <c r="AN16" i="76"/>
  <c r="I14" i="70" s="1"/>
  <c r="AQ20" i="76"/>
  <c r="AN20" i="76"/>
  <c r="I18" i="70" s="1"/>
  <c r="AM20" i="76"/>
  <c r="H18" i="70" s="1"/>
  <c r="AB18" i="70" s="1"/>
  <c r="AP22" i="72"/>
  <c r="G18" i="70"/>
  <c r="J18" i="70" s="1"/>
  <c r="AR20" i="76"/>
  <c r="AN19" i="76"/>
  <c r="I17" i="70" s="1"/>
  <c r="AR19" i="76"/>
  <c r="G17" i="70"/>
  <c r="J17" i="70" s="1"/>
  <c r="AM19" i="76"/>
  <c r="H17" i="70" s="1"/>
  <c r="AB17" i="70" s="1"/>
  <c r="AQ19" i="76"/>
  <c r="AP21" i="72"/>
  <c r="AQ18" i="76"/>
  <c r="AM18" i="76"/>
  <c r="H16" i="70" s="1"/>
  <c r="AB16" i="70" s="1"/>
  <c r="AN18" i="76"/>
  <c r="I16" i="70" s="1"/>
  <c r="G16" i="70"/>
  <c r="J16" i="70" s="1"/>
  <c r="AR18" i="76"/>
  <c r="AP20" i="72"/>
  <c r="AM28" i="76"/>
  <c r="H26" i="70" s="1"/>
  <c r="AB26" i="70" s="1"/>
  <c r="AQ28" i="76"/>
  <c r="AP30" i="72"/>
  <c r="AR28" i="76"/>
  <c r="G26" i="70"/>
  <c r="J26" i="70" s="1"/>
  <c r="AN28" i="76"/>
  <c r="I26" i="70" s="1"/>
  <c r="AM23" i="76"/>
  <c r="H21" i="70" s="1"/>
  <c r="AB21" i="70" s="1"/>
  <c r="G21" i="70"/>
  <c r="J21" i="70" s="1"/>
  <c r="AN23" i="76"/>
  <c r="I21" i="70" s="1"/>
  <c r="AR23" i="76"/>
  <c r="AQ23" i="76"/>
  <c r="AP25" i="72"/>
  <c r="AM25" i="76"/>
  <c r="H23" i="70" s="1"/>
  <c r="AB23" i="70" s="1"/>
  <c r="AN25" i="76"/>
  <c r="I23" i="70" s="1"/>
  <c r="AR25" i="76"/>
  <c r="AP27" i="72"/>
  <c r="G23" i="70"/>
  <c r="J23" i="70" s="1"/>
  <c r="AQ25" i="76"/>
  <c r="AN17" i="76"/>
  <c r="I15" i="70" s="1"/>
  <c r="AQ17" i="76"/>
  <c r="AP19" i="72"/>
  <c r="G15" i="70"/>
  <c r="AR17" i="76"/>
  <c r="AM17" i="76"/>
  <c r="H15" i="70" s="1"/>
  <c r="AB15" i="70" s="1"/>
  <c r="AN14" i="76"/>
  <c r="I12" i="70" s="1"/>
  <c r="AQ14" i="76"/>
  <c r="AP16" i="72"/>
  <c r="AM14" i="76"/>
  <c r="H12" i="70" s="1"/>
  <c r="AB12" i="70" s="1"/>
  <c r="G12" i="70"/>
  <c r="J12" i="70" s="1"/>
  <c r="AR14" i="76"/>
  <c r="AU36" i="61" l="1"/>
  <c r="J15" i="70"/>
  <c r="J31" i="70" s="1"/>
  <c r="I34" i="70" s="1"/>
  <c r="I10" i="70"/>
  <c r="I31" i="70" s="1"/>
  <c r="AN33" i="76"/>
  <c r="H10" i="70"/>
  <c r="AM33" i="76"/>
  <c r="BJ6" i="76"/>
  <c r="BJ7" i="76" s="1"/>
  <c r="I33" i="70" s="1"/>
  <c r="AX6" i="76"/>
  <c r="AX7" i="76" s="1"/>
  <c r="AB10" i="70" l="1"/>
  <c r="H31" i="70"/>
  <c r="I40" i="70"/>
  <c r="E13" i="12"/>
  <c r="I35" i="70"/>
  <c r="G37" i="70" l="1"/>
  <c r="I37" i="70"/>
  <c r="G13" i="12"/>
  <c r="N13" i="12"/>
  <c r="B24" i="65"/>
  <c r="E20" i="12"/>
  <c r="I39" i="70"/>
  <c r="T38" i="61"/>
  <c r="C22" i="69" s="1"/>
  <c r="G12" i="12"/>
  <c r="G17" i="12"/>
  <c r="D29" i="65"/>
  <c r="D25" i="65"/>
  <c r="G26" i="12"/>
  <c r="G13" i="11" s="1"/>
  <c r="G17" i="11"/>
  <c r="G22" i="12"/>
  <c r="G23" i="11"/>
  <c r="D30" i="65"/>
  <c r="G15" i="11"/>
  <c r="D26" i="65"/>
  <c r="G11" i="11"/>
  <c r="T40" i="61"/>
  <c r="G28" i="12"/>
  <c r="E30" i="11"/>
  <c r="G36" i="12"/>
  <c r="G5" i="89"/>
  <c r="G27" i="12"/>
  <c r="I5" i="89"/>
  <c r="G29" i="11"/>
  <c r="G25" i="12"/>
  <c r="G36" i="11"/>
  <c r="G30" i="12"/>
  <c r="G19" i="11"/>
  <c r="N17" i="12"/>
  <c r="K36" i="70"/>
  <c r="L33" i="70"/>
  <c r="K33" i="70"/>
  <c r="G30" i="11" l="1"/>
  <c r="B31" i="65"/>
  <c r="D31" i="65" s="1"/>
  <c r="E31" i="12"/>
  <c r="G31" i="12" s="1"/>
  <c r="I30" i="11"/>
  <c r="I20" i="12"/>
  <c r="G20" i="12"/>
  <c r="E23" i="12"/>
  <c r="B27" i="65"/>
  <c r="D24" i="65"/>
  <c r="E34" i="12" l="1"/>
  <c r="G23" i="12"/>
  <c r="B33" i="65"/>
  <c r="D27" i="65"/>
  <c r="B35" i="65" l="1"/>
  <c r="B34" i="65"/>
  <c r="D33" i="65"/>
  <c r="M34" i="12"/>
  <c r="I34" i="12"/>
  <c r="C27" i="43" s="1"/>
  <c r="E38" i="12"/>
  <c r="G34" i="12"/>
  <c r="K34" i="12"/>
  <c r="M38" i="12" l="1"/>
  <c r="G38" i="12"/>
  <c r="K38" i="12"/>
  <c r="I38" i="12"/>
  <c r="C28" i="43"/>
  <c r="H34" i="12"/>
  <c r="H38" i="12"/>
  <c r="N38" i="12"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G5" authorId="0" shapeId="0" xr:uid="{00000000-0006-0000-0200-000001000000}">
      <text>
        <r>
          <rPr>
            <b/>
            <sz val="8"/>
            <color indexed="81"/>
            <rFont val="Tahoma"/>
            <family val="2"/>
          </rPr>
          <t>Enter Customer Number(s) below.  If you do not have a Customer Number, enter "New Store" to model for a prospect.
If existing customer data does not populate, check the Pre-Loaded Customers tab to validate the customer number.  If the customer does not appear on that tab, then there was insufficient historical data to model the customer as an existing customer.  Model as a prospect using menu type averages.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B9" authorId="0" shapeId="0" xr:uid="{00000000-0006-0000-0300-000001000000}">
      <text>
        <r>
          <rPr>
            <b/>
            <sz val="8"/>
            <color indexed="81"/>
            <rFont val="Tahoma"/>
            <family val="2"/>
          </rPr>
          <t>Enter a Volume Adjustment percentage to increase the spend in that PIM bucket.  Volume will be reallocated across the other buckets to remain at the Annual Sales Target.</t>
        </r>
      </text>
    </comment>
    <comment ref="C9" authorId="0" shapeId="0" xr:uid="{00000000-0006-0000-0300-000002000000}">
      <text>
        <r>
          <rPr>
            <b/>
            <sz val="8"/>
            <color indexed="81"/>
            <rFont val="Tahoma"/>
            <family val="2"/>
          </rPr>
          <t>Switch thie field for a scenario where the current customer(s) have no (or very low) volume in a PIM Class that you expect them to buy after executing this agreement.  
The assumed sales volume in that PIM Class will be set to the menu-type average, or, in the case of multiple menu types in the agreement, the weighted average of volume for that PIM Class with other PIM Class volumes reallocated to hold the Annual Sales Volume constant.</t>
        </r>
      </text>
    </comment>
    <comment ref="D9" authorId="0" shapeId="0" xr:uid="{00000000-0006-0000-0300-000003000000}">
      <text>
        <r>
          <rPr>
            <b/>
            <sz val="8"/>
            <color indexed="81"/>
            <rFont val="Tahoma"/>
            <family val="2"/>
          </rPr>
          <t>Use the drop-downs in unlocked cells to toggle Pricing Standard between % and $/LB or $/CS.  
Modeling of rebates will exclude volume from PIM Classes priced this way; actual rebates after application of standard exclusions will vary.
Not available for Incentive-Only deals.</t>
        </r>
      </text>
    </comment>
    <comment ref="E9" authorId="0" shapeId="0" xr:uid="{00000000-0006-0000-0300-000004000000}">
      <text>
        <r>
          <rPr>
            <b/>
            <sz val="8"/>
            <color indexed="81"/>
            <rFont val="Tahoma"/>
            <family val="2"/>
          </rPr>
          <t>Use the drop-downs provided below to exclude any PIM buckets  Excluded PIM Classes will not be included in modeling or eligible incentive spend.  Volume is proportionately allocated across other buckets to remain at the Annual Sales Target.</t>
        </r>
      </text>
    </comment>
    <comment ref="K9" authorId="0" shapeId="0" xr:uid="{00000000-0006-0000-0300-000005000000}">
      <text>
        <r>
          <rPr>
            <b/>
            <sz val="8"/>
            <color indexed="81"/>
            <rFont val="Tahoma"/>
            <family val="2"/>
          </rPr>
          <t>For MDA deals, enter the expected margin (%) or markup ($/LB or $/CS)
If the cell is converting your $ entries into %, check that the Pricing Standard is set to $/LB or $/CS and try entering a "$" symbol prior to the number.</t>
        </r>
      </text>
    </comment>
    <comment ref="M9" authorId="0" shapeId="0" xr:uid="{00000000-0006-0000-0300-000006000000}">
      <text>
        <r>
          <rPr>
            <b/>
            <sz val="8"/>
            <color indexed="81"/>
            <rFont val="Tahoma"/>
            <family val="2"/>
          </rPr>
          <t>For existing customers, this is the current margin % based on 12-months of sales.</t>
        </r>
      </text>
    </comment>
    <comment ref="F11" authorId="0" shapeId="0" xr:uid="{00000000-0006-0000-0300-000007000000}">
      <text>
        <r>
          <rPr>
            <b/>
            <sz val="8"/>
            <color indexed="81"/>
            <rFont val="Arial"/>
            <family val="2"/>
          </rPr>
          <t>BEEF-BOXED/STEAKS INCLUDED CATEGORIES:</t>
        </r>
        <r>
          <rPr>
            <sz val="8"/>
            <color indexed="81"/>
            <rFont val="Arial"/>
            <family val="2"/>
          </rPr>
          <t xml:space="preserve">
BEEF ROAST, CORNED BEEF &amp; PASTRAMI
BEEF, BOXED, CHUCKS, FZN
BEEF, BOXED, CHUCKS, REF
BEEF, BOXED, LOINS, FZN
BEEF, BOXED, LOINS, REF
BEEF, BOXED, RIB, FZN
BEEF, BOXED, RIB, REF
BEEF, BOXED, ROUND, FZN
BEEF, BOXED, THIN MEATS, FZN
BEEF, BOXED, THIN MEATS, REF
BEEF, STEAKS, CHUCKS, FZN
BEEF, STEAKS, CHUCKS, REF
BEEF, STEAKS, CUBED, CUTLET &amp; SWISS, FZN
BEEF, STEAKS, LOINS, FZN
BEEF, STEAKS, LOINS, REF
BEEF, STEAKS, OTHER (INCL. OFFAL), REF
BEEF, STEAKS, RIB, FZN
BEEF, STEAKS, RIB, REF
BEEF, STEAKS, ROUNDS, REF
BEEF, STEAKS, THIN MEATS, FZN
BEEF, STEAKS, THIN MEATS, REF</t>
        </r>
      </text>
    </comment>
    <comment ref="F12" authorId="0" shapeId="0" xr:uid="{00000000-0006-0000-0300-000008000000}">
      <text>
        <r>
          <rPr>
            <b/>
            <sz val="8"/>
            <color indexed="81"/>
            <rFont val="Arial"/>
            <family val="2"/>
          </rPr>
          <t xml:space="preserve">BEEF-GROUND/PROCESSED INCLUDED CATEGORIES:
</t>
        </r>
        <r>
          <rPr>
            <sz val="8"/>
            <color indexed="81"/>
            <rFont val="Arial"/>
            <family val="2"/>
          </rPr>
          <t xml:space="preserve">
BEEF, BOXED, OTHER (INCL. OFFAL), FZN
BEEF, BOXED, OTHER (INCL. OFFAL), REF
BEEF, BOXED, ROUNDS, REF
BEEF, BOXED, WHOLE, REF
BEEF, FURTHER PROCESSED
BEEF, GROUND
BEEF, STEAKS, CUBED, CUTLET &amp; SWISS, REF
BEEF, STEAKS, OTHER (INCL. OFFAL), FZN
BEEF, STEAKS, ROUNDS, FZN
VEAL</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Boone, Roger A</author>
    <author>Kleiman, Noah A</author>
    <author>Prathima RM</author>
  </authors>
  <commentList>
    <comment ref="D4" authorId="0" shapeId="0" xr:uid="{D6C70679-8D79-4280-9DCA-CA3CB5F20875}">
      <text>
        <r>
          <rPr>
            <b/>
            <sz val="11"/>
            <color indexed="21"/>
            <rFont val="Calibri"/>
            <family val="2"/>
            <scheme val="minor"/>
          </rPr>
          <t xml:space="preserve">Only applies to CIA agreements. </t>
        </r>
        <r>
          <rPr>
            <b/>
            <sz val="11"/>
            <color indexed="81"/>
            <rFont val="Calibri"/>
            <family val="2"/>
            <scheme val="minor"/>
          </rPr>
          <t xml:space="preserve">
When Auto Renewal is set to Yes the auto renewal language will print on the incentive agreement and any earned incentive can be renewed for another year up to a max of 5 years.</t>
        </r>
      </text>
    </comment>
    <comment ref="D6" authorId="0" shapeId="0" xr:uid="{ABC072D1-5216-4471-AC5A-27C1169C8E51}">
      <text>
        <r>
          <rPr>
            <b/>
            <sz val="11"/>
            <color indexed="81"/>
            <rFont val="Calibri"/>
            <family val="2"/>
            <scheme val="minor"/>
          </rPr>
          <t xml:space="preserve">When Auto Approval Flag is set to Yes the system will automatically release payments to the customer if all customers on the agreement are 90% current and their rebate amounts are less than the minimum set for the market. </t>
        </r>
      </text>
    </comment>
    <comment ref="G9" authorId="1" shapeId="0" xr:uid="{46FCB363-6C57-4130-89E8-575D8D83A583}">
      <text>
        <r>
          <rPr>
            <b/>
            <sz val="10"/>
            <color indexed="81"/>
            <rFont val="Calibri"/>
            <family val="2"/>
            <scheme val="minor"/>
          </rPr>
          <t>Qualifying incentive sales excludes all PIM Classes that were excluded on PIM Model tab.</t>
        </r>
      </text>
    </comment>
    <comment ref="G10" authorId="1" shapeId="0" xr:uid="{AEECF33C-9C6D-4C88-86A1-CE2BF6C863B5}">
      <text>
        <r>
          <rPr>
            <b/>
            <sz val="10"/>
            <color indexed="81"/>
            <rFont val="Calibri"/>
            <family val="2"/>
            <scheme val="minor"/>
          </rPr>
          <t>Eligible payout sales excludes any qualifying volume priced at $/LB or $/CS.  This spend is eligible for incentive payouts.</t>
        </r>
      </text>
    </comment>
    <comment ref="D12" authorId="1" shapeId="0" xr:uid="{75B3C932-901C-4AD1-A544-195DDD455868}">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26" authorId="1" shapeId="0" xr:uid="{F0EBC603-2137-4C93-B40B-02641FC8E911}">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40" authorId="1" shapeId="0" xr:uid="{6D336A54-C210-4625-8507-C5450D221C04}">
      <text>
        <r>
          <rPr>
            <b/>
            <sz val="11"/>
            <color indexed="81"/>
            <rFont val="Calibri"/>
            <family val="2"/>
            <scheme val="minor"/>
          </rPr>
          <t xml:space="preserve">Volume incentives are incentives that pays back a percentage on eligible sales back to first dollar.
Tiers are based on weekly sales average during the incentive period. 
</t>
        </r>
        <r>
          <rPr>
            <b/>
            <sz val="11"/>
            <color indexed="21"/>
            <rFont val="Calibri"/>
            <family val="2"/>
            <scheme val="minor"/>
          </rPr>
          <t>Single Rate</t>
        </r>
        <r>
          <rPr>
            <b/>
            <sz val="11"/>
            <color indexed="81"/>
            <rFont val="Calibri"/>
            <family val="2"/>
            <scheme val="minor"/>
          </rPr>
          <t xml:space="preserve"> - Pays a single rate on eligible sales back to first dollar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54" authorId="1" shapeId="0" xr:uid="{AF6277FF-4E8F-4BFA-9C0D-E2F04E715E2C}">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68" authorId="1" shapeId="0" xr:uid="{9354EBB2-66D1-44AC-867F-680DFC609D60}">
      <text>
        <r>
          <rPr>
            <b/>
            <sz val="11"/>
            <color indexed="81"/>
            <rFont val="Calibri"/>
            <family val="2"/>
            <scheme val="minor"/>
          </rPr>
          <t xml:space="preserve">Drop-Size incentives are incentives that pays back a percentage on every dollar of eligible sales if the customer hits their drop size target.
Tiers are based on average drops during the incentive period.
</t>
        </r>
        <r>
          <rPr>
            <b/>
            <sz val="11"/>
            <color indexed="21"/>
            <rFont val="Calibri"/>
            <family val="2"/>
            <scheme val="minor"/>
          </rPr>
          <t>Threshold</t>
        </r>
        <r>
          <rPr>
            <b/>
            <sz val="11"/>
            <color indexed="81"/>
            <rFont val="Calibri"/>
            <family val="2"/>
            <scheme val="minor"/>
          </rPr>
          <t xml:space="preserve"> - Pays a single rate on eligible sales back to first dollar once the customer achieves their threshold
</t>
        </r>
        <r>
          <rPr>
            <b/>
            <sz val="11"/>
            <color indexed="21"/>
            <rFont val="Calibri"/>
            <family val="2"/>
            <scheme val="minor"/>
          </rPr>
          <t>Tiered</t>
        </r>
        <r>
          <rPr>
            <b/>
            <sz val="11"/>
            <color indexed="81"/>
            <rFont val="Calibri"/>
            <family val="2"/>
            <scheme val="minor"/>
          </rPr>
          <t xml:space="preserve"> - Pays the single rate on eligible sales back to first dollar for the highest tier the customer achieves during the incentive period</t>
        </r>
      </text>
    </comment>
    <comment ref="D82" authorId="1" shapeId="0" xr:uid="{551C30EE-756D-40E3-B608-85F63ED2F0FB}">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96" authorId="1" shapeId="0" xr:uid="{3337BA47-E2B6-45A3-B06E-88F66ADFDAC8}">
      <text>
        <r>
          <rPr>
            <b/>
            <sz val="11"/>
            <color indexed="81"/>
            <rFont val="Calibri"/>
            <family val="2"/>
            <scheme val="minor"/>
          </rPr>
          <t xml:space="preserve">Exclusive Brand (EB) incentives are incentives that pays back a percentage on eligible EB sales dollar.
Tiers are based on the percent of EB sales over total sales during the incentive period. 
</t>
        </r>
        <r>
          <rPr>
            <b/>
            <sz val="11"/>
            <color indexed="21"/>
            <rFont val="Calibri"/>
            <family val="2"/>
            <scheme val="minor"/>
          </rPr>
          <t>Single Rate</t>
        </r>
        <r>
          <rPr>
            <b/>
            <sz val="11"/>
            <color indexed="81"/>
            <rFont val="Calibri"/>
            <family val="2"/>
            <scheme val="minor"/>
          </rPr>
          <t xml:space="preserve"> - Pays a single rate on eligible EB sales back to first dollar
</t>
        </r>
        <r>
          <rPr>
            <b/>
            <sz val="11"/>
            <color indexed="21"/>
            <rFont val="Calibri"/>
            <family val="2"/>
            <scheme val="minor"/>
          </rPr>
          <t>Threshold</t>
        </r>
        <r>
          <rPr>
            <b/>
            <sz val="11"/>
            <color indexed="81"/>
            <rFont val="Calibri"/>
            <family val="2"/>
            <scheme val="minor"/>
          </rPr>
          <t xml:space="preserve"> - Pays a single rate on eligible EB sales back to first dollar
 once the customer achieves their threshold during the incentive period
</t>
        </r>
        <r>
          <rPr>
            <b/>
            <sz val="11"/>
            <color indexed="21"/>
            <rFont val="Calibri"/>
            <family val="2"/>
            <scheme val="minor"/>
          </rPr>
          <t>Tiered</t>
        </r>
        <r>
          <rPr>
            <b/>
            <sz val="11"/>
            <color indexed="81"/>
            <rFont val="Calibri"/>
            <family val="2"/>
            <scheme val="minor"/>
          </rPr>
          <t xml:space="preserve"> - Pays the single rate on eligible EB sales back to first dollar for the highest tier the customer achieves during the incentive 
period</t>
        </r>
      </text>
    </comment>
    <comment ref="D110" authorId="2" shapeId="0" xr:uid="{D076C6F0-DAD1-4479-AAC0-81555D181BE5}">
      <text>
        <r>
          <rPr>
            <b/>
            <sz val="11"/>
            <color indexed="81"/>
            <rFont val="Calibri"/>
            <family val="2"/>
            <scheme val="minor"/>
          </rPr>
          <t>Sales Growth Incentive is an incentive that pays a percentage on only eligible sales above the tier
The tier is based on average weekly sales during the incentive period</t>
        </r>
      </text>
    </comment>
    <comment ref="D118" authorId="1" shapeId="0" xr:uid="{F7C49A1E-7516-4B84-A4AF-808BD23D44AF}">
      <text>
        <r>
          <rPr>
            <b/>
            <sz val="11"/>
            <color indexed="81"/>
            <rFont val="Calibri"/>
            <family val="2"/>
            <scheme val="minor"/>
          </rPr>
          <t>eCommerce Incentive is an incentive that pays a percentage of sales back to first dollar only on their eligible eCommerce's sales
The threshold is based on average weekly sales place through our eCommerce's platforms over total sales during the incentive period</t>
        </r>
      </text>
    </comment>
    <comment ref="D126" authorId="2" shapeId="0" xr:uid="{FA58BD48-32F0-4CAA-8E56-EAFE626B6EC2}">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34" authorId="2" shapeId="0" xr:uid="{C8EFCAD1-AF89-4001-87AD-A9D8C9FB5310}">
      <text>
        <r>
          <rPr>
            <b/>
            <sz val="11"/>
            <color indexed="81"/>
            <rFont val="Calibri"/>
            <family val="2"/>
            <scheme val="minor"/>
          </rPr>
          <t>CBT incentive that reimburses customers for CBT expenses incurred during the agreement term up to this total dollar value.</t>
        </r>
        <r>
          <rPr>
            <b/>
            <sz val="9"/>
            <color indexed="81"/>
            <rFont val="Tahoma"/>
            <family val="2"/>
          </rPr>
          <t xml:space="preserve">
</t>
        </r>
      </text>
    </comment>
    <comment ref="D142" authorId="1" shapeId="0" xr:uid="{F74A0898-0810-4CF3-B673-655671DB61F5}">
      <text>
        <r>
          <rPr>
            <b/>
            <sz val="11"/>
            <color indexed="81"/>
            <rFont val="Calibri"/>
            <family val="2"/>
            <scheme val="minor"/>
          </rPr>
          <t>You can offer this incentive within the ALC model only if you include the credit card variable expense by selecting “Yes” for credit card on the first tab.  This incentive eliminates the CC variable expense in return for a 1% rebate on all volume (no exclusions).
Before generating an agreement with this incentive in it, your Area Finance Director must pre-approve the included customers for this incentive.</t>
        </r>
      </text>
    </comment>
    <comment ref="D150" authorId="1" shapeId="0" xr:uid="{BB8A006D-B75B-4CEE-94BC-4F69A45C8567}">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57" authorId="2" shapeId="0" xr:uid="{A64C23F1-22E9-4D34-A3DD-16C36EAB8AAB}">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61" authorId="1" shapeId="0" xr:uid="{FEBE8B0E-3E9F-49AA-B5CD-B746FF2E9ECA}">
      <text>
        <r>
          <rPr>
            <b/>
            <sz val="11"/>
            <color indexed="81"/>
            <rFont val="Calibri"/>
            <family val="2"/>
            <scheme val="minor"/>
          </rPr>
          <t xml:space="preserve">Prepaid Incentive with Rollover incentive is used to move unearned prepaid from a prior agreement into a new agreement.
There are two options: 
</t>
        </r>
        <r>
          <rPr>
            <b/>
            <sz val="11"/>
            <color indexed="21"/>
            <rFont val="Calibri"/>
            <family val="2"/>
            <scheme val="minor"/>
          </rPr>
          <t>Prepaid Rollover No Payment</t>
        </r>
        <r>
          <rPr>
            <b/>
            <sz val="11"/>
            <color indexed="81"/>
            <rFont val="Calibri"/>
            <family val="2"/>
            <scheme val="minor"/>
          </rPr>
          <t xml:space="preserve"> - No new money paid out
</t>
        </r>
        <r>
          <rPr>
            <b/>
            <sz val="11"/>
            <color indexed="21"/>
            <rFont val="Calibri"/>
            <family val="2"/>
            <scheme val="minor"/>
          </rPr>
          <t>Prepaid Rollover</t>
        </r>
        <r>
          <rPr>
            <b/>
            <sz val="11"/>
            <color indexed="81"/>
            <rFont val="Calibri"/>
            <family val="2"/>
            <scheme val="minor"/>
          </rPr>
          <t xml:space="preserve"> - New money can be paid out</t>
        </r>
      </text>
    </comment>
    <comment ref="G168" authorId="2" shapeId="0" xr:uid="{74DE916D-68E0-4AB4-9EE7-42D7F95BAD76}">
      <text>
        <r>
          <rPr>
            <b/>
            <sz val="11"/>
            <color indexed="81"/>
            <rFont val="Calibri"/>
            <family val="2"/>
            <scheme val="minor"/>
          </rPr>
          <t>Use previous Agreement ID or if there wasn't one use the CASIS tracking number</t>
        </r>
        <r>
          <rPr>
            <b/>
            <sz val="9"/>
            <color indexed="81"/>
            <rFont val="Tahoma"/>
            <family val="2"/>
          </rPr>
          <t xml:space="preserve">
</t>
        </r>
      </text>
    </comment>
    <comment ref="D172" authorId="1" shapeId="0" xr:uid="{F0F76B6E-39EA-4CDF-A298-AC7D00FBF5A6}">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84" authorId="1" shapeId="0" xr:uid="{38BF8EF2-554B-4E57-8343-ACAB35F4F10A}">
      <text>
        <r>
          <rPr>
            <b/>
            <sz val="11"/>
            <color indexed="81"/>
            <rFont val="Calibri"/>
            <family val="2"/>
            <scheme val="minor"/>
          </rPr>
          <t xml:space="preserve">Prepaid Single Payment - a onetime payment for full amount
</t>
        </r>
        <r>
          <rPr>
            <b/>
            <sz val="11"/>
            <color indexed="21"/>
            <rFont val="Calibri"/>
            <family val="2"/>
            <scheme val="minor"/>
          </rPr>
          <t>Prepaid Multi YR Under</t>
        </r>
        <r>
          <rPr>
            <b/>
            <sz val="11"/>
            <color indexed="81"/>
            <rFont val="Calibri"/>
            <family val="2"/>
            <scheme val="minor"/>
          </rPr>
          <t xml:space="preserve"> - Will pay out in installments as the customer achieves their purchase commitment. If there is less than a year left the prepaid will convert to a volume incentive
</t>
        </r>
        <r>
          <rPr>
            <b/>
            <sz val="11"/>
            <color indexed="21"/>
            <rFont val="Calibri"/>
            <family val="2"/>
            <scheme val="minor"/>
          </rPr>
          <t>Multi Payment Prepaid Incentive</t>
        </r>
        <r>
          <rPr>
            <b/>
            <sz val="11"/>
            <color indexed="81"/>
            <rFont val="Calibri"/>
            <family val="2"/>
            <scheme val="minor"/>
          </rPr>
          <t xml:space="preserve"> - Will pay out in installments at the anniversary of the agreement's effective date</t>
        </r>
      </text>
    </comment>
    <comment ref="D196" authorId="1" shapeId="0" xr:uid="{F2F1086C-AFBC-4DAC-A8CE-0BF7D276E94E}">
      <text>
        <r>
          <rPr>
            <b/>
            <sz val="11"/>
            <color indexed="81"/>
            <rFont val="Calibri"/>
            <family val="2"/>
            <scheme val="minor"/>
          </rPr>
          <t>New Customer Location this incentive is used to establish how USF will calculate a payment to the customer when they bring on a new location.
Agreement must include a Prepaid incentive and the rate cannot exceed the rate being paid on the Prepaid.</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Kleiman, Noah A</author>
  </authors>
  <commentList>
    <comment ref="D16" authorId="0" shapeId="0" xr:uid="{00000000-0006-0000-0600-000001000000}">
      <text>
        <r>
          <rPr>
            <b/>
            <sz val="8"/>
            <color indexed="81"/>
            <rFont val="Tahoma"/>
            <family val="2"/>
          </rPr>
          <t>In order to more accurately model your customer's contribution margin, you can increase the expectected Investment Spend by entering a dollar amount in cell E16. This dollar value will be added to their estimated Investment Spend in cell E17.  You must enter a positive amount, which will then be converted into a negative impact to contribution margin.</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brz6026</author>
  </authors>
  <commentList>
    <comment ref="D13" authorId="0" shapeId="0" xr:uid="{E5D51868-3A84-4FF8-AC1F-91F41673A5ED}">
      <text>
        <r>
          <rPr>
            <b/>
            <sz val="8"/>
            <color indexed="81"/>
            <rFont val="Tahoma"/>
            <family val="2"/>
          </rPr>
          <t>brz6026:</t>
        </r>
        <r>
          <rPr>
            <sz val="8"/>
            <color indexed="81"/>
            <rFont val="Tahoma"/>
            <family val="2"/>
          </rPr>
          <t xml:space="preserve">
=IF(Start Date+364*Years)-1&gt;=44555,(Start Date+(364*Years)+6,Start Date+(364*Years)-1)</t>
        </r>
      </text>
    </comment>
    <comment ref="D25" authorId="0" shapeId="0" xr:uid="{0F3742CF-0B31-496C-9EDE-D160C3C612AD}">
      <text>
        <r>
          <rPr>
            <b/>
            <sz val="8"/>
            <color indexed="81"/>
            <rFont val="Tahoma"/>
            <family val="2"/>
          </rPr>
          <t>brz6026:</t>
        </r>
        <r>
          <rPr>
            <sz val="8"/>
            <color indexed="81"/>
            <rFont val="Tahoma"/>
            <family val="2"/>
          </rPr>
          <t xml:space="preserve">
=IF(Start Date+364*Years)-1&gt;=44555,(Start Date+(364*Years)+6,Start Date+(364*Years)-1)</t>
        </r>
      </text>
    </comment>
    <comment ref="D35" authorId="0" shapeId="0" xr:uid="{4D09140E-3A36-4870-A996-F682012E4516}">
      <text>
        <r>
          <rPr>
            <b/>
            <sz val="8"/>
            <color indexed="81"/>
            <rFont val="Tahoma"/>
            <family val="2"/>
          </rPr>
          <t>brz6026:</t>
        </r>
        <r>
          <rPr>
            <sz val="8"/>
            <color indexed="81"/>
            <rFont val="Tahoma"/>
            <family val="2"/>
          </rPr>
          <t xml:space="preserve">
=IF(Start Date+364*Years)-1&gt;=44555,(Start Date+(364*Years)+6,Start Date+(364*Years)-1)</t>
        </r>
      </text>
    </comment>
    <comment ref="D45" authorId="0" shapeId="0" xr:uid="{C679DB8C-EAE3-48A1-86E3-26BAC663017B}">
      <text>
        <r>
          <rPr>
            <b/>
            <sz val="8"/>
            <color indexed="81"/>
            <rFont val="Tahoma"/>
            <family val="2"/>
          </rPr>
          <t>brz6026:</t>
        </r>
        <r>
          <rPr>
            <sz val="8"/>
            <color indexed="81"/>
            <rFont val="Tahoma"/>
            <family val="2"/>
          </rPr>
          <t xml:space="preserve">
=IF(Start Date+364*Years)-1&gt;=44555,(Start Date+(364*Years)+6,Start Date+(364*Years)-1)</t>
        </r>
      </text>
    </comment>
    <comment ref="D52" authorId="0" shapeId="0" xr:uid="{EEEF6BC0-9341-4CDA-8683-FC8728DD5FE0}">
      <text>
        <r>
          <rPr>
            <b/>
            <sz val="8"/>
            <color indexed="81"/>
            <rFont val="Tahoma"/>
            <family val="2"/>
          </rPr>
          <t>brz6026:</t>
        </r>
        <r>
          <rPr>
            <sz val="8"/>
            <color indexed="81"/>
            <rFont val="Tahoma"/>
            <family val="2"/>
          </rPr>
          <t xml:space="preserve">
=IF(Start Date+364*Years)-1&gt;=44555,(Start Date+(364*Years)+6,Start Date+(364*Years)-1)</t>
        </r>
      </text>
    </comment>
    <comment ref="D58" authorId="0" shapeId="0" xr:uid="{51C22A11-3AE0-4E68-A1FB-8307869A45E4}">
      <text>
        <r>
          <rPr>
            <b/>
            <sz val="8"/>
            <color indexed="81"/>
            <rFont val="Tahoma"/>
            <family val="2"/>
          </rPr>
          <t>brz6026:</t>
        </r>
        <r>
          <rPr>
            <sz val="8"/>
            <color indexed="81"/>
            <rFont val="Tahoma"/>
            <family val="2"/>
          </rPr>
          <t xml:space="preserve">
=IF(Start Date+364*Years)-1&gt;=44555,(Start Date+(364*Years)+6,Start Date+(364*Years)-1)</t>
        </r>
      </text>
    </comment>
    <comment ref="D67" authorId="0" shapeId="0" xr:uid="{FC378F82-EA9A-42A2-B1DA-946D33D75D9B}">
      <text>
        <r>
          <rPr>
            <b/>
            <sz val="8"/>
            <color indexed="81"/>
            <rFont val="Tahoma"/>
            <family val="2"/>
          </rPr>
          <t>brz6026:</t>
        </r>
        <r>
          <rPr>
            <sz val="8"/>
            <color indexed="81"/>
            <rFont val="Tahoma"/>
            <family val="2"/>
          </rPr>
          <t xml:space="preserve">
=IF(Start Date+364*Years)-1&gt;=44555,(Start Date+(364*Years)+6,Start Date+(364*Years)-1)</t>
        </r>
      </text>
    </comment>
    <comment ref="D75" authorId="0" shapeId="0" xr:uid="{F46CBC08-7D98-4D5B-A750-AE3434431548}">
      <text>
        <r>
          <rPr>
            <b/>
            <sz val="8"/>
            <color indexed="81"/>
            <rFont val="Tahoma"/>
            <family val="2"/>
          </rPr>
          <t>brz6026:</t>
        </r>
        <r>
          <rPr>
            <sz val="8"/>
            <color indexed="81"/>
            <rFont val="Tahoma"/>
            <family val="2"/>
          </rPr>
          <t xml:space="preserve">
=IF(Start Date+364*Years)-1&gt;=44555,(Start Date+(364*Years)+6,Start Date+(364*Years)-1)</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brz6026</author>
    <author>Roger Boone</author>
  </authors>
  <commentList>
    <comment ref="T42" authorId="0" shapeId="0" xr:uid="{00000000-0006-0000-0E00-000001000000}">
      <text>
        <r>
          <rPr>
            <b/>
            <sz val="8"/>
            <color indexed="81"/>
            <rFont val="Tahoma"/>
            <family val="2"/>
          </rPr>
          <t>The Division's standard street fuel will be used</t>
        </r>
        <r>
          <rPr>
            <sz val="8"/>
            <color indexed="81"/>
            <rFont val="Tahoma"/>
            <family val="2"/>
          </rPr>
          <t xml:space="preserve">
</t>
        </r>
      </text>
    </comment>
    <comment ref="AU46" authorId="0" shapeId="0" xr:uid="{00000000-0006-0000-0E00-000002000000}">
      <text>
        <r>
          <rPr>
            <b/>
            <sz val="8"/>
            <color indexed="81"/>
            <rFont val="Tahoma"/>
            <family val="2"/>
          </rPr>
          <t>Can by percent or dollar amount</t>
        </r>
        <r>
          <rPr>
            <sz val="8"/>
            <color indexed="81"/>
            <rFont val="Tahoma"/>
            <family val="2"/>
          </rPr>
          <t xml:space="preserve">
</t>
        </r>
      </text>
    </comment>
    <comment ref="AU48" authorId="1" shapeId="0" xr:uid="{00000000-0006-0000-0E00-000003000000}">
      <text>
        <r>
          <rPr>
            <b/>
            <sz val="8"/>
            <color indexed="81"/>
            <rFont val="Tahoma"/>
            <family val="2"/>
          </rPr>
          <t>System only handles dollar amounts</t>
        </r>
      </text>
    </comment>
    <comment ref="T50" authorId="0" shapeId="0" xr:uid="{00000000-0006-0000-0E00-000004000000}">
      <text>
        <r>
          <rPr>
            <b/>
            <sz val="8"/>
            <color indexed="81"/>
            <rFont val="Tahoma"/>
            <family val="2"/>
          </rPr>
          <t>Can also be based on a case amount</t>
        </r>
        <r>
          <rPr>
            <sz val="8"/>
            <color indexed="81"/>
            <rFont val="Tahoma"/>
            <family val="2"/>
          </rPr>
          <t xml:space="preserve">
</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437BFEC-F883-4656-9C07-076C050247DC}" name="Connection" type="1" refreshedVersion="0" deleted="1" background="1" saveData="1">
    <dbPr connection="" command=""/>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<sst xmlns="http://schemas.openxmlformats.org/spreadsheetml/2006/main" count="9532" uniqueCount="1606">
  <si>
    <t>BBQ</t>
  </si>
  <si>
    <t>INDEPENDENT RESTAURATEURS</t>
  </si>
  <si>
    <t>KNOXVILLE</t>
  </si>
  <si>
    <t>SOUTH</t>
  </si>
  <si>
    <t>CHICKEN</t>
  </si>
  <si>
    <t>ATLANTA</t>
  </si>
  <si>
    <t>CLASSIC &amp; VARIED MENU</t>
  </si>
  <si>
    <t>PORT ORANGE</t>
  </si>
  <si>
    <t>SOUTHEAST</t>
  </si>
  <si>
    <t>SANDWICHES, SOUPS AND SALADS, DELI, SUBS &amp; HOT DOG</t>
  </si>
  <si>
    <t>COLUMBIA</t>
  </si>
  <si>
    <t>PIZZA, PASTA &amp; ITALIAN</t>
  </si>
  <si>
    <t>ALBANY</t>
  </si>
  <si>
    <t>NORTHEAST</t>
  </si>
  <si>
    <t>AMERICAN AND AMERICAN TRADITIONAL</t>
  </si>
  <si>
    <t>EUROPEAN</t>
  </si>
  <si>
    <t>RALEIGH</t>
  </si>
  <si>
    <t>SAN FRANCISCO</t>
  </si>
  <si>
    <t>WEST</t>
  </si>
  <si>
    <t>BUFFALO</t>
  </si>
  <si>
    <t>MEXICAN</t>
  </si>
  <si>
    <t>MANASSAS</t>
  </si>
  <si>
    <t>CINCINNATI</t>
  </si>
  <si>
    <t>MIDWEST</t>
  </si>
  <si>
    <t>OKLAHOMA CITY</t>
  </si>
  <si>
    <t>ROANOKE</t>
  </si>
  <si>
    <t>DALLAS</t>
  </si>
  <si>
    <t>PHILADELPHIA - BRIDGEPORT</t>
  </si>
  <si>
    <t>METRO NEW YORK</t>
  </si>
  <si>
    <t>BOCA RATON</t>
  </si>
  <si>
    <t>SALT LAKE CITY</t>
  </si>
  <si>
    <t>STREATOR</t>
  </si>
  <si>
    <t>FORT MILL</t>
  </si>
  <si>
    <t>ALLENTOWN</t>
  </si>
  <si>
    <t>BAR &amp; GRILL, BREW PUB, &amp; EATERTAINMENT</t>
  </si>
  <si>
    <t>CHINESE</t>
  </si>
  <si>
    <t>OTHER ASIAN</t>
  </si>
  <si>
    <t>KANSAS CITY</t>
  </si>
  <si>
    <t>STEAK, SEAFOOD &amp; FISH</t>
  </si>
  <si>
    <t>MINNESOTA</t>
  </si>
  <si>
    <t>SAN DIEGO</t>
  </si>
  <si>
    <t>MENOMONEE FALLS</t>
  </si>
  <si>
    <t>AUSTIN</t>
  </si>
  <si>
    <t>CLEVELAND</t>
  </si>
  <si>
    <t>ST.LOUIS</t>
  </si>
  <si>
    <t>FROZEN DESSERTS</t>
  </si>
  <si>
    <t>INDIANAPOLIS</t>
  </si>
  <si>
    <t>SALEM</t>
  </si>
  <si>
    <t>HAMBURGERS</t>
  </si>
  <si>
    <t>MONTGOMERY</t>
  </si>
  <si>
    <t>DENVER</t>
  </si>
  <si>
    <t>MEMPHIS</t>
  </si>
  <si>
    <t>LAS VEGAS</t>
  </si>
  <si>
    <t>WESTERN PA - GREENSBURG</t>
  </si>
  <si>
    <t>PHOENIX</t>
  </si>
  <si>
    <t>CORONA</t>
  </si>
  <si>
    <t>ALBUQUERQUE</t>
  </si>
  <si>
    <t>TAMPA</t>
  </si>
  <si>
    <t>CHICAGO</t>
  </si>
  <si>
    <t>PHILADELPHIA - SWEDESBORO</t>
  </si>
  <si>
    <t>LATIN AMERICAN</t>
  </si>
  <si>
    <t>SOUTHERN NEW ENGLAND</t>
  </si>
  <si>
    <t>AMERICAN REGIONAL</t>
  </si>
  <si>
    <t>LOS ANGELES</t>
  </si>
  <si>
    <t>BOSTON</t>
  </si>
  <si>
    <t>JACKSON</t>
  </si>
  <si>
    <t>NORTH DAKOTA - BISMARCK</t>
  </si>
  <si>
    <t>DETROIT</t>
  </si>
  <si>
    <t>LUBBOCK</t>
  </si>
  <si>
    <t>BEVERAGES</t>
  </si>
  <si>
    <t>NORTH DAKOTA - GRAND FORKS</t>
  </si>
  <si>
    <t>OTHER ETHNIC FOOD</t>
  </si>
  <si>
    <t>OMAHA</t>
  </si>
  <si>
    <t>RENO</t>
  </si>
  <si>
    <t>BAKERIES, BAGELS, DONUTS AND COFFEE &amp; SNACKS</t>
  </si>
  <si>
    <t>SEATTLE</t>
  </si>
  <si>
    <t>LITTLE ROCK</t>
  </si>
  <si>
    <t>IOWA</t>
  </si>
  <si>
    <t>WAUKESHA</t>
  </si>
  <si>
    <t>WESTERN PA - ALTOONA</t>
  </si>
  <si>
    <t>HOUSTON</t>
  </si>
  <si>
    <t>WEST VIRGINIA</t>
  </si>
  <si>
    <t>Sales $</t>
  </si>
  <si>
    <t>Cases</t>
  </si>
  <si>
    <t>Market Name</t>
  </si>
  <si>
    <t>Region Name</t>
  </si>
  <si>
    <t>SALADS, WET, REF &amp; FZN</t>
  </si>
  <si>
    <t>SPECIALTY MEATS</t>
  </si>
  <si>
    <t>SEAFOOD</t>
  </si>
  <si>
    <t>PROCESSED MEAT</t>
  </si>
  <si>
    <t>POULTRY</t>
  </si>
  <si>
    <t>PORK</t>
  </si>
  <si>
    <t>OILS &amp; SHORTENING</t>
  </si>
  <si>
    <t>GROCERY, REF &amp; FZN</t>
  </si>
  <si>
    <t>PRODUCE, FRESH</t>
  </si>
  <si>
    <t>DISPOSABLES</t>
  </si>
  <si>
    <t>EQUIPMENT &amp; SUPPLIES</t>
  </si>
  <si>
    <t>GROCERY, DRY</t>
  </si>
  <si>
    <t>DAIRY</t>
  </si>
  <si>
    <t>APPETIZERS, ENTREES, &amp; POTATOES REF &amp; FZN</t>
  </si>
  <si>
    <t>CHEESE</t>
  </si>
  <si>
    <t>FRUITS &amp; VEGETABLES, CANNED &amp; DRIED</t>
  </si>
  <si>
    <t>BEVERAGE</t>
  </si>
  <si>
    <t>BEEF</t>
  </si>
  <si>
    <t>CHEMICALS &amp; CLEANING AGENTS</t>
  </si>
  <si>
    <t>MEAT SUBSTITUTE</t>
  </si>
  <si>
    <t>ALL</t>
  </si>
  <si>
    <t xml:space="preserve">Pyramid Segment: </t>
  </si>
  <si>
    <t>PIM CLASS</t>
  </si>
  <si>
    <t xml:space="preserve">TOTALS:  </t>
  </si>
  <si>
    <t xml:space="preserve">Region: </t>
  </si>
  <si>
    <t>NATIONAL CHAINS</t>
  </si>
  <si>
    <t>HEALTHCARE</t>
  </si>
  <si>
    <t>HOSPITALITY</t>
  </si>
  <si>
    <t>EDUCATION</t>
  </si>
  <si>
    <t>REGIONAL CONCEPTS</t>
  </si>
  <si>
    <t>GOVERNMENT</t>
  </si>
  <si>
    <t>RETAIL</t>
  </si>
  <si>
    <t>OTHER</t>
  </si>
  <si>
    <t>SUMMARY</t>
  </si>
  <si>
    <t xml:space="preserve">Market: </t>
  </si>
  <si>
    <t>CHARLOTTE</t>
  </si>
  <si>
    <t>PITTSTON</t>
  </si>
  <si>
    <t>Select Region</t>
  </si>
  <si>
    <t>Select Pyramid Segment</t>
  </si>
  <si>
    <t>Variable Expenses</t>
  </si>
  <si>
    <t>Minimum</t>
  </si>
  <si>
    <t>Recommended</t>
  </si>
  <si>
    <t>Maximum</t>
  </si>
  <si>
    <t>Tracking &amp; Profitability</t>
  </si>
  <si>
    <t>Up-Front Signing Bonus</t>
  </si>
  <si>
    <t>Type</t>
  </si>
  <si>
    <t>Other 5</t>
  </si>
  <si>
    <t>9U</t>
  </si>
  <si>
    <t>L</t>
  </si>
  <si>
    <t>9I</t>
  </si>
  <si>
    <t>9D</t>
  </si>
  <si>
    <t>9B</t>
  </si>
  <si>
    <t>8V</t>
  </si>
  <si>
    <t>8U</t>
  </si>
  <si>
    <t>8S</t>
  </si>
  <si>
    <t>8N</t>
  </si>
  <si>
    <t>8L</t>
  </si>
  <si>
    <t>8E</t>
  </si>
  <si>
    <t>6Z</t>
  </si>
  <si>
    <t>6Y</t>
  </si>
  <si>
    <t>6W</t>
  </si>
  <si>
    <t>6V</t>
  </si>
  <si>
    <t>6U</t>
  </si>
  <si>
    <t>6N</t>
  </si>
  <si>
    <t>6J</t>
  </si>
  <si>
    <t>6I</t>
  </si>
  <si>
    <t>6H</t>
  </si>
  <si>
    <t>6G</t>
  </si>
  <si>
    <t>6F</t>
  </si>
  <si>
    <t>6D</t>
  </si>
  <si>
    <t>6B</t>
  </si>
  <si>
    <t>5Z</t>
  </si>
  <si>
    <t>5Y</t>
  </si>
  <si>
    <t>5O</t>
  </si>
  <si>
    <t>5I</t>
  </si>
  <si>
    <t>5G</t>
  </si>
  <si>
    <t>5E</t>
  </si>
  <si>
    <t>5D</t>
  </si>
  <si>
    <t>4V</t>
  </si>
  <si>
    <t>4U</t>
  </si>
  <si>
    <t>4R</t>
  </si>
  <si>
    <t>4Q</t>
  </si>
  <si>
    <t>4O</t>
  </si>
  <si>
    <t>4J</t>
  </si>
  <si>
    <t>4I</t>
  </si>
  <si>
    <t>4H</t>
  </si>
  <si>
    <t>4C</t>
  </si>
  <si>
    <t>3Z</t>
  </si>
  <si>
    <t>3Y</t>
  </si>
  <si>
    <t>3W</t>
  </si>
  <si>
    <t>3V</t>
  </si>
  <si>
    <t>3M</t>
  </si>
  <si>
    <t>3L</t>
  </si>
  <si>
    <t>3K</t>
  </si>
  <si>
    <t>3J</t>
  </si>
  <si>
    <t>3F</t>
  </si>
  <si>
    <t>3E</t>
  </si>
  <si>
    <t>3D</t>
  </si>
  <si>
    <t>2Z</t>
  </si>
  <si>
    <t>2R</t>
  </si>
  <si>
    <t>2O</t>
  </si>
  <si>
    <t>2N</t>
  </si>
  <si>
    <t>2L</t>
  </si>
  <si>
    <t>2J</t>
  </si>
  <si>
    <t>2I</t>
  </si>
  <si>
    <t>2H</t>
  </si>
  <si>
    <t>2G</t>
  </si>
  <si>
    <t>Area Name</t>
  </si>
  <si>
    <t>LAKE MICHIGAN</t>
  </si>
  <si>
    <t>OHIO VALLEY</t>
  </si>
  <si>
    <t>LAKE ERIE</t>
  </si>
  <si>
    <t>MISSOURI</t>
  </si>
  <si>
    <t>GREAT PLAINS</t>
  </si>
  <si>
    <t>UPPER MIDWEST</t>
  </si>
  <si>
    <t>TGP</t>
  </si>
  <si>
    <t>Select Accountability Type</t>
  </si>
  <si>
    <t>Max</t>
  </si>
  <si>
    <t>Select Incentive Type</t>
  </si>
  <si>
    <t>Zip Code</t>
  </si>
  <si>
    <t>Drops/Wk</t>
  </si>
  <si>
    <t>LOCALLY ACCOUNTABLE</t>
  </si>
  <si>
    <t>NATIONALLY ACCOUNTABLE</t>
  </si>
  <si>
    <t>PIM Model</t>
  </si>
  <si>
    <t xml:space="preserve">Estimated Contribution: </t>
  </si>
  <si>
    <t>Variable Costs &amp; Income</t>
  </si>
  <si>
    <t>Select Term</t>
  </si>
  <si>
    <t>Q1</t>
  </si>
  <si>
    <t>Q2</t>
  </si>
  <si>
    <t>Q3</t>
  </si>
  <si>
    <t>Mean</t>
  </si>
  <si>
    <t>Min</t>
  </si>
  <si>
    <t>Drop-Size</t>
  </si>
  <si>
    <t>Total Other Income</t>
  </si>
  <si>
    <t>CASH</t>
  </si>
  <si>
    <t xml:space="preserve">Other GP: </t>
  </si>
  <si>
    <t xml:space="preserve">Purchase Allowance: </t>
  </si>
  <si>
    <t xml:space="preserve">Incentives: </t>
  </si>
  <si>
    <t xml:space="preserve">Net Margin: </t>
  </si>
  <si>
    <t xml:space="preserve">Investment Spending: </t>
  </si>
  <si>
    <t>Enter Margin</t>
  </si>
  <si>
    <t xml:space="preserve">Annual Incentive Cost: </t>
  </si>
  <si>
    <t xml:space="preserve">% of Sales: </t>
  </si>
  <si>
    <t xml:space="preserve">Total Variable Expenses: </t>
  </si>
  <si>
    <t>Target</t>
  </si>
  <si>
    <t>Inv. Cost Change + Freight Income + Cash Disc. + Inv. Adjustments / Cases</t>
  </si>
  <si>
    <t>Value ($)</t>
  </si>
  <si>
    <t>Fuel Surcharge Per Invoice</t>
  </si>
  <si>
    <t>$0 - $2.49</t>
  </si>
  <si>
    <t>$2.50 - $2.99</t>
  </si>
  <si>
    <t>$3.00 - $3.49</t>
  </si>
  <si>
    <t>$3.50 - $3.99</t>
  </si>
  <si>
    <t>$4.00 - $4.49</t>
  </si>
  <si>
    <t>$4.50 - $4.99</t>
  </si>
  <si>
    <t>$5.00+</t>
  </si>
  <si>
    <t>Select Diesel Cost</t>
  </si>
  <si>
    <t>X</t>
  </si>
  <si>
    <t>N</t>
  </si>
  <si>
    <t>NORCROSS</t>
  </si>
  <si>
    <t>CONCAT</t>
  </si>
  <si>
    <t>Market</t>
  </si>
  <si>
    <t>Below 36%</t>
  </si>
  <si>
    <t>36-50%</t>
  </si>
  <si>
    <t>50-59%</t>
  </si>
  <si>
    <t>Above 59%</t>
  </si>
  <si>
    <t>PA Lower Quartile</t>
  </si>
  <si>
    <t>Median</t>
  </si>
  <si>
    <t>Upper Whisker</t>
  </si>
  <si>
    <t>Invest Lower Quartile</t>
  </si>
  <si>
    <t>PIM Class</t>
  </si>
  <si>
    <t>USDA (SCHOOL PROGRAMS)</t>
  </si>
  <si>
    <t>Menu Grouping</t>
  </si>
  <si>
    <t>EDUCATION (PYR)</t>
  </si>
  <si>
    <t>GOVERNMENT (PYR)</t>
  </si>
  <si>
    <t>HEALTHCARE (PYR)</t>
  </si>
  <si>
    <t>HOSPITALITY (PYR)</t>
  </si>
  <si>
    <t>INDEPENDENT RESTAURATEURS (PYR)</t>
  </si>
  <si>
    <t>NATIONAL CHAINS (PYR)</t>
  </si>
  <si>
    <t>OTHER (PYR)</t>
  </si>
  <si>
    <t>REGIONAL CONCEPTS (PYR)</t>
  </si>
  <si>
    <t>RETAIL (PYR)</t>
  </si>
  <si>
    <t>Total</t>
  </si>
  <si>
    <t>Q4</t>
  </si>
  <si>
    <t>Q5</t>
  </si>
  <si>
    <t>APPETIZERS, ENTREES, &amp; POTATOES REF &amp; FZNQ1</t>
  </si>
  <si>
    <t>APPETIZERS, ENTREES, &amp; POTATOES REF &amp; FZNQ2</t>
  </si>
  <si>
    <t>APPETIZERS, ENTREES, &amp; POTATOES REF &amp; FZNQ3</t>
  </si>
  <si>
    <t>APPETIZERS, ENTREES, &amp; POTATOES REF &amp; FZNQ4</t>
  </si>
  <si>
    <t>APPETIZERS, ENTREES, &amp; POTATOES REF &amp; FZNQ5</t>
  </si>
  <si>
    <t>BEVERAGEQ1</t>
  </si>
  <si>
    <t>BEVERAGEQ2</t>
  </si>
  <si>
    <t>BEVERAGEQ3</t>
  </si>
  <si>
    <t>BEVERAGEQ4</t>
  </si>
  <si>
    <t>BEVERAGEQ5</t>
  </si>
  <si>
    <t>CHEESEQ1</t>
  </si>
  <si>
    <t>CHEESEQ2</t>
  </si>
  <si>
    <t>CHEESEQ3</t>
  </si>
  <si>
    <t>CHEESEQ4</t>
  </si>
  <si>
    <t>CHEESEQ5</t>
  </si>
  <si>
    <t>CHEMICALS &amp; CLEANING AGENTSQ1</t>
  </si>
  <si>
    <t>CHEMICALS &amp; CLEANING AGENTSQ2</t>
  </si>
  <si>
    <t>CHEMICALS &amp; CLEANING AGENTSQ3</t>
  </si>
  <si>
    <t>CHEMICALS &amp; CLEANING AGENTSQ4</t>
  </si>
  <si>
    <t>CHEMICALS &amp; CLEANING AGENTSQ5</t>
  </si>
  <si>
    <t>DAIRYQ1</t>
  </si>
  <si>
    <t>DAIRYQ2</t>
  </si>
  <si>
    <t>DAIRYQ3</t>
  </si>
  <si>
    <t>DAIRYQ4</t>
  </si>
  <si>
    <t>DAIRYQ5</t>
  </si>
  <si>
    <t>DISPOSABLESQ1</t>
  </si>
  <si>
    <t>DISPOSABLESQ2</t>
  </si>
  <si>
    <t>DISPOSABLESQ3</t>
  </si>
  <si>
    <t>DISPOSABLESQ4</t>
  </si>
  <si>
    <t>DISPOSABLESQ5</t>
  </si>
  <si>
    <t>EQUIPMENT &amp; SUPPLIESQ1</t>
  </si>
  <si>
    <t>EQUIPMENT &amp; SUPPLIESQ2</t>
  </si>
  <si>
    <t>EQUIPMENT &amp; SUPPLIESQ3</t>
  </si>
  <si>
    <t>EQUIPMENT &amp; SUPPLIESQ4</t>
  </si>
  <si>
    <t>EQUIPMENT &amp; SUPPLIESQ5</t>
  </si>
  <si>
    <t>FRUITS &amp; VEGETABLES, CANNED &amp; DRIEDQ1</t>
  </si>
  <si>
    <t>FRUITS &amp; VEGETABLES, CANNED &amp; DRIEDQ2</t>
  </si>
  <si>
    <t>FRUITS &amp; VEGETABLES, CANNED &amp; DRIEDQ3</t>
  </si>
  <si>
    <t>FRUITS &amp; VEGETABLES, CANNED &amp; DRIEDQ4</t>
  </si>
  <si>
    <t>FRUITS &amp; VEGETABLES, CANNED &amp; DRIEDQ5</t>
  </si>
  <si>
    <t>GROCERY, DRYQ1</t>
  </si>
  <si>
    <t>GROCERY, DRYQ2</t>
  </si>
  <si>
    <t>GROCERY, DRYQ3</t>
  </si>
  <si>
    <t>GROCERY, DRYQ4</t>
  </si>
  <si>
    <t>GROCERY, DRYQ5</t>
  </si>
  <si>
    <t>GROCERY, REF &amp; FZNQ1</t>
  </si>
  <si>
    <t>GROCERY, REF &amp; FZNQ2</t>
  </si>
  <si>
    <t>GROCERY, REF &amp; FZNQ3</t>
  </si>
  <si>
    <t>GROCERY, REF &amp; FZNQ4</t>
  </si>
  <si>
    <t>GROCERY, REF &amp; FZNQ5</t>
  </si>
  <si>
    <t>MEAT SUBSTITUTEQ1</t>
  </si>
  <si>
    <t>MEAT SUBSTITUTEQ2</t>
  </si>
  <si>
    <t>MEAT SUBSTITUTEQ3</t>
  </si>
  <si>
    <t>MEAT SUBSTITUTEQ4</t>
  </si>
  <si>
    <t>MEAT SUBSTITUTEQ5</t>
  </si>
  <si>
    <t>OILS &amp; SHORTENINGQ1</t>
  </si>
  <si>
    <t>OILS &amp; SHORTENINGQ2</t>
  </si>
  <si>
    <t>OILS &amp; SHORTENINGQ3</t>
  </si>
  <si>
    <t>OILS &amp; SHORTENINGQ4</t>
  </si>
  <si>
    <t>OILS &amp; SHORTENINGQ5</t>
  </si>
  <si>
    <t>PORKQ1</t>
  </si>
  <si>
    <t>PORKQ2</t>
  </si>
  <si>
    <t>PORKQ3</t>
  </si>
  <si>
    <t>PORKQ4</t>
  </si>
  <si>
    <t>PORKQ5</t>
  </si>
  <si>
    <t>POULTRYQ1</t>
  </si>
  <si>
    <t>POULTRYQ2</t>
  </si>
  <si>
    <t>POULTRYQ3</t>
  </si>
  <si>
    <t>POULTRYQ4</t>
  </si>
  <si>
    <t>POULTRYQ5</t>
  </si>
  <si>
    <t>PROCESSED MEATQ1</t>
  </si>
  <si>
    <t>PROCESSED MEATQ2</t>
  </si>
  <si>
    <t>PROCESSED MEATQ3</t>
  </si>
  <si>
    <t>PROCESSED MEATQ4</t>
  </si>
  <si>
    <t>PROCESSED MEATQ5</t>
  </si>
  <si>
    <t>PRODUCE, FRESHQ1</t>
  </si>
  <si>
    <t>PRODUCE, FRESHQ2</t>
  </si>
  <si>
    <t>PRODUCE, FRESHQ3</t>
  </si>
  <si>
    <t>PRODUCE, FRESHQ4</t>
  </si>
  <si>
    <t>PRODUCE, FRESHQ5</t>
  </si>
  <si>
    <t>SALADS, WET, REF &amp; FZNQ1</t>
  </si>
  <si>
    <t>SALADS, WET, REF &amp; FZNQ2</t>
  </si>
  <si>
    <t>SALADS, WET, REF &amp; FZNQ3</t>
  </si>
  <si>
    <t>SALADS, WET, REF &amp; FZNQ4</t>
  </si>
  <si>
    <t>SALADS, WET, REF &amp; FZNQ5</t>
  </si>
  <si>
    <t>SEAFOODQ1</t>
  </si>
  <si>
    <t>SEAFOODQ2</t>
  </si>
  <si>
    <t>SEAFOODQ3</t>
  </si>
  <si>
    <t>SEAFOODQ4</t>
  </si>
  <si>
    <t>SEAFOODQ5</t>
  </si>
  <si>
    <t>SPECIALTY MEATSQ1</t>
  </si>
  <si>
    <t>SPECIALTY MEATSQ2</t>
  </si>
  <si>
    <t>SPECIALTY MEATSQ3</t>
  </si>
  <si>
    <t>SPECIALTY MEATSQ4</t>
  </si>
  <si>
    <t>SPECIALTY MEATSQ5</t>
  </si>
  <si>
    <t>USDA (SCHOOL PROGRAMS)Q1</t>
  </si>
  <si>
    <t>USDA (SCHOOL PROGRAMS)Q2</t>
  </si>
  <si>
    <t>USDA (SCHOOL PROGRAMS)Q3</t>
  </si>
  <si>
    <t>USDA (SCHOOL PROGRAMS)Q4</t>
  </si>
  <si>
    <t>USDA (SCHOOL PROGRAMS)Q5</t>
  </si>
  <si>
    <t>Per Case</t>
  </si>
  <si>
    <t>New Business</t>
  </si>
  <si>
    <t>Protect Business</t>
  </si>
  <si>
    <t>Category Gain</t>
  </si>
  <si>
    <t>Customer Growth</t>
  </si>
  <si>
    <t>MDA</t>
  </si>
  <si>
    <t>8O</t>
  </si>
  <si>
    <t>Branch Code</t>
  </si>
  <si>
    <t>Market Number</t>
  </si>
  <si>
    <t>DELAWARE VALLEY</t>
  </si>
  <si>
    <t>METRO NY</t>
  </si>
  <si>
    <t>9F</t>
  </si>
  <si>
    <t>UPSTATE NEW YORK</t>
  </si>
  <si>
    <t>GULF STATES</t>
  </si>
  <si>
    <t>MID-SOUTH</t>
  </si>
  <si>
    <t>SOUTH TEXAS</t>
  </si>
  <si>
    <t>TEXHOMA</t>
  </si>
  <si>
    <t>EASTERN NORTH CAROLINA</t>
  </si>
  <si>
    <t>METRO DC</t>
  </si>
  <si>
    <t>NORTH FLORIDA</t>
  </si>
  <si>
    <t>SOUTH CAROLINA</t>
  </si>
  <si>
    <t>SOUTH FLORIDA</t>
  </si>
  <si>
    <t>WESTERN NORTH CAROLINA</t>
  </si>
  <si>
    <t>MOUNTAIN WEST</t>
  </si>
  <si>
    <t>NORTHERN CALIFORNIA</t>
  </si>
  <si>
    <t>ROCKY MOUNTAIN</t>
  </si>
  <si>
    <t>SOUTHERN CALIFORNIA</t>
  </si>
  <si>
    <t>SOUTHWEST</t>
  </si>
  <si>
    <t>Sales</t>
  </si>
  <si>
    <t>EB Cases</t>
  </si>
  <si>
    <t>TAGP</t>
  </si>
  <si>
    <t>MI CASITA #2</t>
  </si>
  <si>
    <t>CHANDLERS BURG BIST - DEL</t>
  </si>
  <si>
    <t>SPOT RESTAURANT</t>
  </si>
  <si>
    <t>MIGUEL'S</t>
  </si>
  <si>
    <t>HEALTHCARE GROUP PURCHASING</t>
  </si>
  <si>
    <t>EL TORO #05 HUBER HEIGHTS</t>
  </si>
  <si>
    <t>RAMSEY'S COMMISSARY</t>
  </si>
  <si>
    <t>RICARDO GRILL AND BAR</t>
  </si>
  <si>
    <t>PALMERS</t>
  </si>
  <si>
    <t>JACK'S CATERING</t>
  </si>
  <si>
    <t>VILLA NOVA</t>
  </si>
  <si>
    <t>GILLUM'S SPORTS LOUNGE</t>
  </si>
  <si>
    <t>DIRTY FRANKS HOT DOGS</t>
  </si>
  <si>
    <t>SPINDLETOP HALL INC</t>
  </si>
  <si>
    <t>GREYHOUND TAVERN</t>
  </si>
  <si>
    <t>TREASURE ISLAND SUPPER CL</t>
  </si>
  <si>
    <t>COLLIER'S FAMILY RESTAURA</t>
  </si>
  <si>
    <t>SAUL GOOD # 3</t>
  </si>
  <si>
    <t>SAUL GOOD</t>
  </si>
  <si>
    <t>COPEYS BUTCHER SHOP</t>
  </si>
  <si>
    <t>LOS MARIACHIS</t>
  </si>
  <si>
    <t>BLUE DOOR SMOKEHOUSE</t>
  </si>
  <si>
    <t>OAKWOOD CLUB INC</t>
  </si>
  <si>
    <t>EASTERN KENTUCKY FOODS</t>
  </si>
  <si>
    <t>TOUSEY HOUSE TAVERN</t>
  </si>
  <si>
    <t>CINCO DE MAYO</t>
  </si>
  <si>
    <t>PERICOS</t>
  </si>
  <si>
    <t>HERRADURA MEXICAN BAR AND</t>
  </si>
  <si>
    <t>OAK TAVERN</t>
  </si>
  <si>
    <t>LA COMEDIA ENTERPRISES IN</t>
  </si>
  <si>
    <t>PELICAN'S REEF</t>
  </si>
  <si>
    <t>PUTTERS SPORTS GRILL MAIN</t>
  </si>
  <si>
    <t>AP SUGGINS BAR &amp; GRILL</t>
  </si>
  <si>
    <t>MONTGOMERY INN-BOATHOUSE</t>
  </si>
  <si>
    <t>MARIO'S PIZZA ( DIP 8/15)</t>
  </si>
  <si>
    <t>WESTSHORE MASON</t>
  </si>
  <si>
    <t>EL JIMADOR</t>
  </si>
  <si>
    <t>SAUL GOOD # 2</t>
  </si>
  <si>
    <t>NAPA PRIME</t>
  </si>
  <si>
    <t>HOLY GRAIL TAVRN &amp; GRLLE</t>
  </si>
  <si>
    <t>TIP TOP</t>
  </si>
  <si>
    <t>OLD MOHAWK</t>
  </si>
  <si>
    <t>PUTTERS SPORTS GRILL I</t>
  </si>
  <si>
    <t>HEBRON GRILLE</t>
  </si>
  <si>
    <t>TONY'S STEAK AND SEAFOOD</t>
  </si>
  <si>
    <t>M&amp;B</t>
  </si>
  <si>
    <t>CENTURY INN</t>
  </si>
  <si>
    <t>G&amp;W</t>
  </si>
  <si>
    <t>MIYAKO SUSHI &amp; STEAKHOUSE</t>
  </si>
  <si>
    <t>ZOMBIE DOGZ</t>
  </si>
  <si>
    <t>EL PARCUTIN MEXICAN</t>
  </si>
  <si>
    <t>DOUBLE B DISTRIBUTORS</t>
  </si>
  <si>
    <t>THE DOCK AT WATER</t>
  </si>
  <si>
    <t>Select Current Customer</t>
  </si>
  <si>
    <t>Select Business Strategy</t>
  </si>
  <si>
    <t>Select Market</t>
  </si>
  <si>
    <t>Select Deal Type</t>
  </si>
  <si>
    <t>Select # of Locations</t>
  </si>
  <si>
    <t>Select Menu Type</t>
  </si>
  <si>
    <t>Select Expected EB%</t>
  </si>
  <si>
    <t>Spend</t>
  </si>
  <si>
    <t>Drops</t>
  </si>
  <si>
    <t>Average</t>
  </si>
  <si>
    <t>ACTUAL</t>
  </si>
  <si>
    <t>EB %:</t>
  </si>
  <si>
    <t>Gain Average</t>
  </si>
  <si>
    <t>Exclude PIM Classes Below</t>
  </si>
  <si>
    <t xml:space="preserve">EB%: </t>
  </si>
  <si>
    <t>Above .8</t>
  </si>
  <si>
    <t xml:space="preserve">PA: </t>
  </si>
  <si>
    <t>Value-Added Service</t>
  </si>
  <si>
    <t>ChowNow</t>
  </si>
  <si>
    <t>Bento Box</t>
  </si>
  <si>
    <t>Menu Design</t>
  </si>
  <si>
    <t>eCommerce %</t>
  </si>
  <si>
    <t>Expected EB Penetration</t>
  </si>
  <si>
    <t>EB Discount Rate</t>
  </si>
  <si>
    <t>Actual EB</t>
  </si>
  <si>
    <t>Drop Size</t>
  </si>
  <si>
    <t>Discount</t>
  </si>
  <si>
    <t>Product Mix:</t>
  </si>
  <si>
    <t>Distribution Geography:</t>
  </si>
  <si>
    <t>%</t>
  </si>
  <si>
    <t>ACH</t>
  </si>
  <si>
    <t>Check</t>
  </si>
  <si>
    <t>Credit Memo</t>
  </si>
  <si>
    <t>EB Sales for Incentive</t>
  </si>
  <si>
    <t>Actual</t>
  </si>
  <si>
    <t>Actual Sales</t>
  </si>
  <si>
    <t>Weekly Spend</t>
  </si>
  <si>
    <t xml:space="preserve">Gross Margin: </t>
  </si>
  <si>
    <t xml:space="preserve">Gross TAGP: </t>
  </si>
  <si>
    <t xml:space="preserve">Gross TAGP/ Drop: </t>
  </si>
  <si>
    <t>Annual Incentive Cost</t>
  </si>
  <si>
    <t>Spend Q</t>
  </si>
  <si>
    <t>Min TAGP</t>
  </si>
  <si>
    <t>Incentive Only Margin Ranges</t>
  </si>
  <si>
    <t>$/LB</t>
  </si>
  <si>
    <t>$/CS</t>
  </si>
  <si>
    <t>COP</t>
  </si>
  <si>
    <t>Produce</t>
  </si>
  <si>
    <t>Weight</t>
  </si>
  <si>
    <t>Sales $/LB</t>
  </si>
  <si>
    <t>Average Sales $ /CS</t>
  </si>
  <si>
    <t>Sales $/CS</t>
  </si>
  <si>
    <t>Per Case or LB Conversions</t>
  </si>
  <si>
    <t>EB %</t>
  </si>
  <si>
    <t>BEEF-BOXED/STEAKS</t>
  </si>
  <si>
    <t>BEEF-GROUND/PROCESSED</t>
  </si>
  <si>
    <t>BEEF-BOXED/STEAKSQ1</t>
  </si>
  <si>
    <t>BEEF-BOXED/STEAKSQ2</t>
  </si>
  <si>
    <t>BEEF-BOXED/STEAKSQ3</t>
  </si>
  <si>
    <t>BEEF-BOXED/STEAKSQ4</t>
  </si>
  <si>
    <t>BEEF-BOXED/STEAKSQ5</t>
  </si>
  <si>
    <t>BEEF-GROUND/PROCESSEDQ1</t>
  </si>
  <si>
    <t>BEEF-GROUND/PROCESSEDQ2</t>
  </si>
  <si>
    <t>BEEF-GROUND/PROCESSEDQ3</t>
  </si>
  <si>
    <t>BEEF-GROUND/PROCESSEDQ4</t>
  </si>
  <si>
    <t>BEEF-GROUND/PROCESSEDQ5</t>
  </si>
  <si>
    <t>Manual Select</t>
  </si>
  <si>
    <t>Weekly Sales Target</t>
  </si>
  <si>
    <t>Incentive Payout %</t>
  </si>
  <si>
    <t xml:space="preserve"> </t>
  </si>
  <si>
    <t>TAGP %</t>
  </si>
  <si>
    <t xml:space="preserve">Drop-Size  </t>
  </si>
  <si>
    <t xml:space="preserve">Tier 1 Growth: </t>
  </si>
  <si>
    <t xml:space="preserve">Tier 2 Growth: </t>
  </si>
  <si>
    <t xml:space="preserve">Tier 3 Growth: </t>
  </si>
  <si>
    <t>Offer this Incentive?</t>
  </si>
  <si>
    <t>YES</t>
  </si>
  <si>
    <t>Exclusive Brand</t>
  </si>
  <si>
    <t>NO</t>
  </si>
  <si>
    <t>PA %</t>
  </si>
  <si>
    <t>Pyramid Grouping</t>
  </si>
  <si>
    <t>Q1AMERICAN AND AMERICAN TRADITIONAL</t>
  </si>
  <si>
    <t>Q2AMERICAN AND AMERICAN TRADITIONAL</t>
  </si>
  <si>
    <t>Q3AMERICAN AND AMERICAN TRADITIONAL</t>
  </si>
  <si>
    <t>Q4AMERICAN AND AMERICAN TRADITIONAL</t>
  </si>
  <si>
    <t>Q1AMERICAN REGIONAL</t>
  </si>
  <si>
    <t>Q2AMERICAN REGIONAL</t>
  </si>
  <si>
    <t>Q3AMERICAN REGIONAL</t>
  </si>
  <si>
    <t>Q4AMERICAN REGIONAL</t>
  </si>
  <si>
    <t>Q1BAKERIES, BAGELS, DONUTS AND COFFEE &amp; SNACKS</t>
  </si>
  <si>
    <t>Q2BAKERIES, BAGELS, DONUTS AND COFFEE &amp; SNACKS</t>
  </si>
  <si>
    <t>Q3BAKERIES, BAGELS, DONUTS AND COFFEE &amp; SNACKS</t>
  </si>
  <si>
    <t>Q4BAKERIES, BAGELS, DONUTS AND COFFEE &amp; SNACKS</t>
  </si>
  <si>
    <t>Q1BAR &amp; GRILL, BREW PUB, &amp; EATERTAINMENT</t>
  </si>
  <si>
    <t>Q2BAR &amp; GRILL, BREW PUB, &amp; EATERTAINMENT</t>
  </si>
  <si>
    <t>Q3BAR &amp; GRILL, BREW PUB, &amp; EATERTAINMENT</t>
  </si>
  <si>
    <t>Q4BAR &amp; GRILL, BREW PUB, &amp; EATERTAINMENT</t>
  </si>
  <si>
    <t>Q1BBQ</t>
  </si>
  <si>
    <t>Q2BBQ</t>
  </si>
  <si>
    <t>Q3BBQ</t>
  </si>
  <si>
    <t>Q4BBQ</t>
  </si>
  <si>
    <t>Q1BEVERAGES</t>
  </si>
  <si>
    <t>Q2BEVERAGES</t>
  </si>
  <si>
    <t>Q3BEVERAGES</t>
  </si>
  <si>
    <t>Q4BEVERAGES</t>
  </si>
  <si>
    <t>Q1CHICKEN</t>
  </si>
  <si>
    <t>Q2CHICKEN</t>
  </si>
  <si>
    <t>Q3CHICKEN</t>
  </si>
  <si>
    <t>Q4CHICKEN</t>
  </si>
  <si>
    <t>Q1CHINESE</t>
  </si>
  <si>
    <t>Q2CHINESE</t>
  </si>
  <si>
    <t>Q3CHINESE</t>
  </si>
  <si>
    <t>Q4CHINESE</t>
  </si>
  <si>
    <t>Q1CLASSIC &amp; VARIED MENU</t>
  </si>
  <si>
    <t>Q2CLASSIC &amp; VARIED MENU</t>
  </si>
  <si>
    <t>Q3CLASSIC &amp; VARIED MENU</t>
  </si>
  <si>
    <t>Q4CLASSIC &amp; VARIED MENU</t>
  </si>
  <si>
    <t>Q1EDUCATION (PYR)</t>
  </si>
  <si>
    <t>Q2EDUCATION (PYR)</t>
  </si>
  <si>
    <t>Q3EDUCATION (PYR)</t>
  </si>
  <si>
    <t>Q4EDUCATION (PYR)</t>
  </si>
  <si>
    <t>Q1EUROPEAN</t>
  </si>
  <si>
    <t>Q2EUROPEAN</t>
  </si>
  <si>
    <t>Q3EUROPEAN</t>
  </si>
  <si>
    <t>Q4EUROPEAN</t>
  </si>
  <si>
    <t>Q1FROZEN DESSERTS</t>
  </si>
  <si>
    <t>Q2FROZEN DESSERTS</t>
  </si>
  <si>
    <t>Q3FROZEN DESSERTS</t>
  </si>
  <si>
    <t>Q4FROZEN DESSERTS</t>
  </si>
  <si>
    <t>Q1GOVERNMENT (PYR)</t>
  </si>
  <si>
    <t>Q2GOVERNMENT (PYR)</t>
  </si>
  <si>
    <t>Q3GOVERNMENT (PYR)</t>
  </si>
  <si>
    <t>Q4GOVERNMENT (PYR)</t>
  </si>
  <si>
    <t>Q1HAMBURGERS</t>
  </si>
  <si>
    <t>Q2HAMBURGERS</t>
  </si>
  <si>
    <t>Q3HAMBURGERS</t>
  </si>
  <si>
    <t>Q4HAMBURGERS</t>
  </si>
  <si>
    <t>Q1HEALTHCARE (PYR)</t>
  </si>
  <si>
    <t>Q2HEALTHCARE (PYR)</t>
  </si>
  <si>
    <t>Q3HEALTHCARE (PYR)</t>
  </si>
  <si>
    <t>Q4HEALTHCARE (PYR)</t>
  </si>
  <si>
    <t>Q1HOSPITALITY (PYR)</t>
  </si>
  <si>
    <t>Q2HOSPITALITY (PYR)</t>
  </si>
  <si>
    <t>Q3HOSPITALITY (PYR)</t>
  </si>
  <si>
    <t>Q4HOSPITALITY (PYR)</t>
  </si>
  <si>
    <t>Q1INDEPENDENT RESTAURATEURS (PYR)</t>
  </si>
  <si>
    <t>Q2INDEPENDENT RESTAURATEURS (PYR)</t>
  </si>
  <si>
    <t>Q3INDEPENDENT RESTAURATEURS (PYR)</t>
  </si>
  <si>
    <t>Q4INDEPENDENT RESTAURATEURS (PYR)</t>
  </si>
  <si>
    <t>Q1LATIN AMERICAN</t>
  </si>
  <si>
    <t>Q2LATIN AMERICAN</t>
  </si>
  <si>
    <t>Q3LATIN AMERICAN</t>
  </si>
  <si>
    <t>Q4LATIN AMERICAN</t>
  </si>
  <si>
    <t>Q1MEXICAN</t>
  </si>
  <si>
    <t>Q2MEXICAN</t>
  </si>
  <si>
    <t>Q3MEXICAN</t>
  </si>
  <si>
    <t>Q4MEXICAN</t>
  </si>
  <si>
    <t>Q1NATIONAL CHAINS (PYR)</t>
  </si>
  <si>
    <t>Q2NATIONAL CHAINS (PYR)</t>
  </si>
  <si>
    <t>Q3NATIONAL CHAINS (PYR)</t>
  </si>
  <si>
    <t>Q4NATIONAL CHAINS (PYR)</t>
  </si>
  <si>
    <t>Q1OTHER (PYR)</t>
  </si>
  <si>
    <t>Q2OTHER (PYR)</t>
  </si>
  <si>
    <t>Q3OTHER (PYR)</t>
  </si>
  <si>
    <t>Q4OTHER (PYR)</t>
  </si>
  <si>
    <t>Q1OTHER ASIAN</t>
  </si>
  <si>
    <t>Q2OTHER ASIAN</t>
  </si>
  <si>
    <t>Q3OTHER ASIAN</t>
  </si>
  <si>
    <t>Q4OTHER ASIAN</t>
  </si>
  <si>
    <t>Q1OTHER ETHNIC FOOD</t>
  </si>
  <si>
    <t>Q2OTHER ETHNIC FOOD</t>
  </si>
  <si>
    <t>Q3OTHER ETHNIC FOOD</t>
  </si>
  <si>
    <t>Q4OTHER ETHNIC FOOD</t>
  </si>
  <si>
    <t>Q1PIZZA, PASTA &amp; ITALIAN</t>
  </si>
  <si>
    <t>Q2PIZZA, PASTA &amp; ITALIAN</t>
  </si>
  <si>
    <t>Q3PIZZA, PASTA &amp; ITALIAN</t>
  </si>
  <si>
    <t>Q4PIZZA, PASTA &amp; ITALIAN</t>
  </si>
  <si>
    <t>Q1REGIONAL CONCEPTS (PYR)</t>
  </si>
  <si>
    <t>Q2REGIONAL CONCEPTS (PYR)</t>
  </si>
  <si>
    <t>Q3REGIONAL CONCEPTS (PYR)</t>
  </si>
  <si>
    <t>Q4REGIONAL CONCEPTS (PYR)</t>
  </si>
  <si>
    <t>Q1RETAIL (PYR)</t>
  </si>
  <si>
    <t>Q2RETAIL (PYR)</t>
  </si>
  <si>
    <t>Q3RETAIL (PYR)</t>
  </si>
  <si>
    <t>Q4RETAIL (PYR)</t>
  </si>
  <si>
    <t>Q1SANDWICHES, SOUPS AND SALADS, DELI, SUBS &amp; HOT DOG</t>
  </si>
  <si>
    <t>Q2SANDWICHES, SOUPS AND SALADS, DELI, SUBS &amp; HOT DOG</t>
  </si>
  <si>
    <t>Q3SANDWICHES, SOUPS AND SALADS, DELI, SUBS &amp; HOT DOG</t>
  </si>
  <si>
    <t>Q4SANDWICHES, SOUPS AND SALADS, DELI, SUBS &amp; HOT DOG</t>
  </si>
  <si>
    <t>Q1STEAK, SEAFOOD &amp; FISH</t>
  </si>
  <si>
    <t>Q2STEAK, SEAFOOD &amp; FISH</t>
  </si>
  <si>
    <t>Q3STEAK, SEAFOOD &amp; FISH</t>
  </si>
  <si>
    <t>Q4STEAK, SEAFOOD &amp; FISH</t>
  </si>
  <si>
    <t>Type of Entity</t>
  </si>
  <si>
    <t>Yes / No</t>
  </si>
  <si>
    <t>Payment options</t>
  </si>
  <si>
    <t>Customer and Contract Information</t>
  </si>
  <si>
    <t>Corporation, Limited Liability Company</t>
  </si>
  <si>
    <t>Yes</t>
  </si>
  <si>
    <t>Franchisor</t>
  </si>
  <si>
    <t>No</t>
  </si>
  <si>
    <t>City, State, Zip</t>
  </si>
  <si>
    <t>Contract Assumptions</t>
  </si>
  <si>
    <t>Estimated Annual Sales to USF:</t>
  </si>
  <si>
    <t>Dry</t>
  </si>
  <si>
    <t>Ref</t>
  </si>
  <si>
    <t>Product Category Sales Mix:</t>
  </si>
  <si>
    <t>Maximum Miles from Warehouse:</t>
  </si>
  <si>
    <t>LIC</t>
  </si>
  <si>
    <t>D</t>
  </si>
  <si>
    <t>M</t>
  </si>
  <si>
    <t>PWW</t>
  </si>
  <si>
    <t>W</t>
  </si>
  <si>
    <t>TMC</t>
  </si>
  <si>
    <t>S</t>
  </si>
  <si>
    <t>Cost Point Markup 4</t>
  </si>
  <si>
    <t>Cost Point Markup 3</t>
  </si>
  <si>
    <t>Cost Point Markup 2</t>
  </si>
  <si>
    <t>Cost Point Markup 1</t>
  </si>
  <si>
    <t>Each Markup Per</t>
  </si>
  <si>
    <t>Each Markup Amount</t>
  </si>
  <si>
    <t>Min Markup Amount</t>
  </si>
  <si>
    <t>Calc</t>
  </si>
  <si>
    <t>Markup Per</t>
  </si>
  <si>
    <t>EB Markup Amount</t>
  </si>
  <si>
    <t>Markup Amount</t>
  </si>
  <si>
    <t>Price Basis</t>
  </si>
  <si>
    <t>Cycle</t>
  </si>
  <si>
    <t>Category</t>
  </si>
  <si>
    <t>PIM Class ID (Current)</t>
  </si>
  <si>
    <t>Margin Lookup for Tempe</t>
  </si>
  <si>
    <t>Salaries, Commissions, Variable Area Level Selling Costs, &amp; Other Selling Costs</t>
  </si>
  <si>
    <t xml:space="preserve">Time Cost, Mileage Cost, &amp; Other Delivery Cost
</t>
  </si>
  <si>
    <t xml:space="preserve">Market Average Based on Assortment, Slots, &amp; Pick Times
</t>
  </si>
  <si>
    <t xml:space="preserve">Gross Sales: </t>
  </si>
  <si>
    <t>Deviation First:  Selling Price = (Delivered Price - Vendor deviation) / (1 - margin (expressed as a decimal))</t>
  </si>
  <si>
    <t>Margin First:  Selling Price = (Delivered Price / (1 - margin (expressed as a decimal))) - Vendor deviation</t>
  </si>
  <si>
    <t>**Standard language is to apply the margin first then apply any vendor deviations</t>
  </si>
  <si>
    <t>Flat Fee:  Selling Price = Delivered Price + Flat Fee</t>
  </si>
  <si>
    <t>Markup:   Selling Price = Delivered Price * (1 + markup (expressed as a decimal))</t>
  </si>
  <si>
    <t>Margin:   Sell Price = Delivered Price / (1- margin (expressed as a decimal))</t>
  </si>
  <si>
    <t>*Standard language default is Margin Basis</t>
  </si>
  <si>
    <t>TMC Pricing:</t>
  </si>
  <si>
    <t>Margin %</t>
  </si>
  <si>
    <t>Fee:</t>
  </si>
  <si>
    <t>Minimum Delivery Requirements:</t>
  </si>
  <si>
    <t>Minimum per Case Mark-up:</t>
  </si>
  <si>
    <t>Deliveries per Customer/Wk:</t>
  </si>
  <si>
    <t>Split Case Fee:</t>
  </si>
  <si>
    <t>Base Fuel Price*:</t>
  </si>
  <si>
    <t>Special Pricing Agreements:</t>
  </si>
  <si>
    <t>Average Cases Size/Cost:</t>
  </si>
  <si>
    <t>Special Order Products</t>
  </si>
  <si>
    <t>Average Cases Per Delivery:</t>
  </si>
  <si>
    <t>Proprietary Products:</t>
  </si>
  <si>
    <t>Average Dollars Per Delivery:</t>
  </si>
  <si>
    <t>Payment/Credit Terms:</t>
  </si>
  <si>
    <t>cases per week to be stocked</t>
  </si>
  <si>
    <t>Minimum:</t>
  </si>
  <si>
    <t>% of Purchases from Order Guide</t>
  </si>
  <si>
    <t>for additional slots</t>
  </si>
  <si>
    <t>Additional Mark-up:</t>
  </si>
  <si>
    <t>(Number of slots should equal number of Proprietary products)</t>
  </si>
  <si>
    <t>Frz</t>
  </si>
  <si>
    <t>Number of Slots:</t>
  </si>
  <si>
    <t>End of Month</t>
  </si>
  <si>
    <t>Sunday date</t>
  </si>
  <si>
    <t xml:space="preserve">Type of Entity: </t>
  </si>
  <si>
    <t>Presentation Date:</t>
  </si>
  <si>
    <t>Contract Worksheet</t>
  </si>
  <si>
    <t>Average Drop Size ($)</t>
  </si>
  <si>
    <t>eCommerce</t>
  </si>
  <si>
    <t>Group</t>
  </si>
  <si>
    <t>Beef, Ground &amp; Processed (PIM 131, 132, 254, 368, 369, 373, 377,</t>
  </si>
  <si>
    <t>381, 384, 388)</t>
  </si>
  <si>
    <t>Additional Information</t>
  </si>
  <si>
    <t>Qualifying Incentive Spend</t>
  </si>
  <si>
    <t>Start Date</t>
  </si>
  <si>
    <t>Years</t>
  </si>
  <si>
    <t>End Date</t>
  </si>
  <si>
    <t>Beginning Weeks</t>
  </si>
  <si>
    <t>Customer Number</t>
  </si>
  <si>
    <t>Customer Name</t>
  </si>
  <si>
    <t>Volume Incentive</t>
  </si>
  <si>
    <t>Tracking Program 001</t>
  </si>
  <si>
    <t>Tracking Program 002</t>
  </si>
  <si>
    <t>Tracking Program 003</t>
  </si>
  <si>
    <t>State Date</t>
  </si>
  <si>
    <t>End date</t>
  </si>
  <si>
    <t>Start</t>
  </si>
  <si>
    <t>End</t>
  </si>
  <si>
    <t>Weekly Minimum</t>
  </si>
  <si>
    <t>Weekly Maximum</t>
  </si>
  <si>
    <t>Qualifying Incentive Rate</t>
  </si>
  <si>
    <t>Tier Growth</t>
  </si>
  <si>
    <t>Tracking Program 004</t>
  </si>
  <si>
    <t>Tracking Program 005</t>
  </si>
  <si>
    <t>Ecommerce</t>
  </si>
  <si>
    <t>Payment Amount</t>
  </si>
  <si>
    <t>Tracking Program 007</t>
  </si>
  <si>
    <t>Tracking Program 006</t>
  </si>
  <si>
    <t>Request Name</t>
  </si>
  <si>
    <t>Est Annualized Rebate</t>
  </si>
  <si>
    <t>Compay Name</t>
  </si>
  <si>
    <t>Total Years</t>
  </si>
  <si>
    <t>Standard Fuel</t>
  </si>
  <si>
    <t>EVIDENCE OF AUTHORIZATION</t>
  </si>
  <si>
    <t>CUSTOMER AGREEMENTS</t>
  </si>
  <si>
    <t xml:space="preserve">Actions covered by the Bill of Authority Policy must have an Evidence of Authorization (“EOA”) completed before any contract or other document (“Agreement”) is executed. Approvers may indicate their approval by completing an EOA Form (including using electronic email or DocuSign to complete the EOA Form). Customer Agreements may only be signed by individuals that are Vice Presidents or higher grades.  </t>
  </si>
  <si>
    <t>The signatory of the agreement is responsible for ensuring the completion of the Evidence of Authorization prior to signature of the contract.</t>
  </si>
  <si>
    <t xml:space="preserve">Key Contract Information and Profitability Metrics </t>
  </si>
  <si>
    <t>(Estimated at time of Contract)</t>
  </si>
  <si>
    <t>US Foods Business Unit:</t>
  </si>
  <si>
    <t>US Foods, Inc.</t>
  </si>
  <si>
    <t>Counter Parties:</t>
  </si>
  <si>
    <t>Contract Date:</t>
  </si>
  <si>
    <t>Contract Term:</t>
  </si>
  <si>
    <t>Start Date:</t>
  </si>
  <si>
    <t>End Date:</t>
  </si>
  <si>
    <t>Termination Rights:</t>
  </si>
  <si>
    <t>Signing Incentives:</t>
  </si>
  <si>
    <t>Other Rebates/Incentives:</t>
  </si>
  <si>
    <t>Local Sales Agreements / Operations Authority</t>
  </si>
  <si>
    <r>
      <t>1.</t>
    </r>
    <r>
      <rPr>
        <sz val="7"/>
        <color theme="1"/>
        <rFont val="Times New Roman"/>
        <family val="1"/>
      </rPr>
      <t xml:space="preserve">       </t>
    </r>
    <r>
      <rPr>
        <sz val="11"/>
        <color theme="1"/>
        <rFont val="Calibri"/>
        <family val="2"/>
        <scheme val="minor"/>
      </rPr>
      <t>Signature:</t>
    </r>
  </si>
  <si>
    <t>Date:</t>
  </si>
  <si>
    <t>Name:</t>
  </si>
  <si>
    <t>Title:</t>
  </si>
  <si>
    <t xml:space="preserve">VPLS </t>
  </si>
  <si>
    <r>
      <t>2.</t>
    </r>
    <r>
      <rPr>
        <sz val="7"/>
        <color theme="1"/>
        <rFont val="Times New Roman"/>
        <family val="1"/>
      </rPr>
      <t xml:space="preserve">       </t>
    </r>
    <r>
      <rPr>
        <sz val="11"/>
        <color theme="1"/>
        <rFont val="Calibri"/>
        <family val="2"/>
        <scheme val="minor"/>
      </rPr>
      <t>Signature:</t>
    </r>
  </si>
  <si>
    <t>Area President</t>
  </si>
  <si>
    <r>
      <t>3.</t>
    </r>
    <r>
      <rPr>
        <sz val="7"/>
        <color theme="1"/>
        <rFont val="Times New Roman"/>
        <family val="1"/>
      </rPr>
      <t xml:space="preserve">       </t>
    </r>
    <r>
      <rPr>
        <sz val="11"/>
        <color theme="1"/>
        <rFont val="Calibri"/>
        <family val="2"/>
        <scheme val="minor"/>
      </rPr>
      <t>Signature:</t>
    </r>
  </si>
  <si>
    <t xml:space="preserve">Region VPLS </t>
  </si>
  <si>
    <r>
      <t>4.</t>
    </r>
    <r>
      <rPr>
        <sz val="7"/>
        <color theme="1"/>
        <rFont val="Times New Roman"/>
        <family val="1"/>
      </rPr>
      <t xml:space="preserve">       </t>
    </r>
    <r>
      <rPr>
        <sz val="11"/>
        <color theme="1"/>
        <rFont val="Calibri"/>
        <family val="2"/>
        <scheme val="minor"/>
      </rPr>
      <t>Signature:</t>
    </r>
  </si>
  <si>
    <t xml:space="preserve">Region President </t>
  </si>
  <si>
    <t>Local Sales Agreements/ Finance Authority</t>
  </si>
  <si>
    <t>Area Finance Director</t>
  </si>
  <si>
    <t xml:space="preserve">VP Region Finance </t>
  </si>
  <si>
    <t>Local Sales Agreements/ Legal Approval</t>
  </si>
  <si>
    <t>Signature:</t>
  </si>
  <si>
    <t>Local Sales Agreements/Revenue Management Approval</t>
  </si>
  <si>
    <t>Effective Date</t>
  </si>
  <si>
    <t>Name</t>
  </si>
  <si>
    <t>Address</t>
  </si>
  <si>
    <t>Phone</t>
  </si>
  <si>
    <t>Annual Run Rate</t>
  </si>
  <si>
    <t>CIA Worksheet</t>
  </si>
  <si>
    <t>CIA Template Information</t>
  </si>
  <si>
    <t>City</t>
  </si>
  <si>
    <t>State</t>
  </si>
  <si>
    <t>Customer 1:</t>
  </si>
  <si>
    <t>Customer 2:</t>
  </si>
  <si>
    <t>Customer 3:</t>
  </si>
  <si>
    <t>Customer 4:</t>
  </si>
  <si>
    <t>Customer 5:</t>
  </si>
  <si>
    <t>Customer 6:</t>
  </si>
  <si>
    <t>Customer 7:</t>
  </si>
  <si>
    <t>Customer 8:</t>
  </si>
  <si>
    <t>Customer 9:</t>
  </si>
  <si>
    <t>Customer 10:</t>
  </si>
  <si>
    <t xml:space="preserve">Customer 1: </t>
  </si>
  <si>
    <t xml:space="preserve">Customer 2: </t>
  </si>
  <si>
    <t xml:space="preserve">Customer 3: </t>
  </si>
  <si>
    <t xml:space="preserve">Customer 4: </t>
  </si>
  <si>
    <t xml:space="preserve">Customer 5: </t>
  </si>
  <si>
    <t xml:space="preserve">Customer 6: </t>
  </si>
  <si>
    <t xml:space="preserve">Customer 7: </t>
  </si>
  <si>
    <t xml:space="preserve">Customer 8: </t>
  </si>
  <si>
    <t xml:space="preserve">Customer 9: </t>
  </si>
  <si>
    <t xml:space="preserve">Customer 10: </t>
  </si>
  <si>
    <t>Total Basket</t>
  </si>
  <si>
    <t xml:space="preserve">Customer #: </t>
  </si>
  <si>
    <t xml:space="preserve">Customer Name: </t>
  </si>
  <si>
    <t xml:space="preserve">Address 1: </t>
  </si>
  <si>
    <t xml:space="preserve">Address 2: </t>
  </si>
  <si>
    <t xml:space="preserve">City: </t>
  </si>
  <si>
    <t xml:space="preserve">State: </t>
  </si>
  <si>
    <t xml:space="preserve">Zip: </t>
  </si>
  <si>
    <t xml:space="preserve">Phone Number: </t>
  </si>
  <si>
    <t>Existing Customers</t>
  </si>
  <si>
    <t>Delivery</t>
  </si>
  <si>
    <t>Selling</t>
  </si>
  <si>
    <t>Warehouse</t>
  </si>
  <si>
    <t>Menu Type:</t>
  </si>
  <si>
    <t>PYRAMID SEGMENT RANKER</t>
  </si>
  <si>
    <t xml:space="preserve">Count of New: </t>
  </si>
  <si>
    <t xml:space="preserve">Count of Existing: </t>
  </si>
  <si>
    <t xml:space="preserve">Drops: </t>
  </si>
  <si>
    <t xml:space="preserve">For PA+Self Fund Lookup: </t>
  </si>
  <si>
    <t xml:space="preserve">Multiple Tied?: </t>
  </si>
  <si>
    <t xml:space="preserve">Variable Expenses: </t>
  </si>
  <si>
    <t xml:space="preserve">Non-Standard Provisions: </t>
  </si>
  <si>
    <t xml:space="preserve">Contribution $/Drop: </t>
  </si>
  <si>
    <t>Zip</t>
  </si>
  <si>
    <t xml:space="preserve">Contract Name: </t>
  </si>
  <si>
    <t>Level:</t>
  </si>
  <si>
    <t>Allow Price Override:</t>
  </si>
  <si>
    <t>Effective Date:</t>
  </si>
  <si>
    <t>Source System Usage:</t>
  </si>
  <si>
    <t>ASYS</t>
  </si>
  <si>
    <t>Responsible Location:</t>
  </si>
  <si>
    <t>Margin Calculation:</t>
  </si>
  <si>
    <t>General Header</t>
  </si>
  <si>
    <t>Defaults</t>
  </si>
  <si>
    <t>Minimum Markup Amount:</t>
  </si>
  <si>
    <t>Calculate Markup Based ON:</t>
  </si>
  <si>
    <t>Sell</t>
  </si>
  <si>
    <t xml:space="preserve">Cost Basis: </t>
  </si>
  <si>
    <t>Cycle:</t>
  </si>
  <si>
    <t>Weekly</t>
  </si>
  <si>
    <t>Part Case Charge:</t>
  </si>
  <si>
    <t>Per:</t>
  </si>
  <si>
    <t>Written Agreement?</t>
  </si>
  <si>
    <t>Audit Agreed Upon?</t>
  </si>
  <si>
    <t>Average Drop # Case</t>
  </si>
  <si>
    <t>Cost ($)</t>
  </si>
  <si>
    <t>Margin Erosion %</t>
  </si>
  <si>
    <t xml:space="preserve">Contact Person </t>
  </si>
  <si>
    <t>Paid to GL Account</t>
  </si>
  <si>
    <t>Paid to:</t>
  </si>
  <si>
    <t>USF Fiscal Quarter</t>
  </si>
  <si>
    <t>Pay By:</t>
  </si>
  <si>
    <t xml:space="preserve">Annual </t>
  </si>
  <si>
    <t xml:space="preserve">DBA Name of Customer: </t>
  </si>
  <si>
    <t xml:space="preserve">Business Mailing Address: </t>
  </si>
  <si>
    <t xml:space="preserve">Attention: </t>
  </si>
  <si>
    <t xml:space="preserve">City, State, Zip: </t>
  </si>
  <si>
    <t xml:space="preserve">Effective Start Date: </t>
  </si>
  <si>
    <t xml:space="preserve">CM % of Sales: </t>
  </si>
  <si>
    <t xml:space="preserve">Market Name: </t>
  </si>
  <si>
    <t>Market Contact:</t>
  </si>
  <si>
    <t xml:space="preserve">Expiration Date: </t>
  </si>
  <si>
    <t>Effective Accural Rate:</t>
  </si>
  <si>
    <t>UOM Payout:</t>
  </si>
  <si>
    <t>Percentage</t>
  </si>
  <si>
    <t xml:space="preserve">Market Contact: </t>
  </si>
  <si>
    <t>A La Carte - Local Contracting</t>
  </si>
  <si>
    <t>Total months</t>
  </si>
  <si>
    <t>Pay Method:</t>
  </si>
  <si>
    <t>Pay Method</t>
  </si>
  <si>
    <t xml:space="preserve">Pay By: </t>
  </si>
  <si>
    <t>CONNECTICUT</t>
  </si>
  <si>
    <t>BISMARCK</t>
  </si>
  <si>
    <t>GRAND FORKS</t>
  </si>
  <si>
    <t xml:space="preserve">Qualifying Sales: </t>
  </si>
  <si>
    <t xml:space="preserve">Eligible Payout Sales: </t>
  </si>
  <si>
    <t>Volume</t>
  </si>
  <si>
    <t xml:space="preserve">Legal Name: </t>
  </si>
  <si>
    <t>Menu Type</t>
  </si>
  <si>
    <t xml:space="preserve">Spend: </t>
  </si>
  <si>
    <t>Actual Spend:</t>
  </si>
  <si>
    <t>Input Spend:</t>
  </si>
  <si>
    <t>Input Menu Type:</t>
  </si>
  <si>
    <t>Basket Composition</t>
  </si>
  <si>
    <t>Spend Multiplier:</t>
  </si>
  <si>
    <t>Input EB:</t>
  </si>
  <si>
    <t>TGP %</t>
  </si>
  <si>
    <t>ExistSales</t>
  </si>
  <si>
    <t>ExistTAGP</t>
  </si>
  <si>
    <t>ExistTGP</t>
  </si>
  <si>
    <t>Drops/Wk:</t>
  </si>
  <si>
    <t>Current Zip Code</t>
  </si>
  <si>
    <t>Actual EB:</t>
  </si>
  <si>
    <t>Current Spend</t>
  </si>
  <si>
    <t>Menu</t>
  </si>
  <si>
    <t>Customer Inputs</t>
  </si>
  <si>
    <t>Pyramid</t>
  </si>
  <si>
    <t>REGION</t>
  </si>
  <si>
    <t>MARKET</t>
  </si>
  <si>
    <t>BRANCH CODE</t>
  </si>
  <si>
    <t>ACCOUNTABILITY</t>
  </si>
  <si>
    <t>CONTRACT STATUS</t>
  </si>
  <si>
    <t xml:space="preserve">Up-Front Signing: </t>
  </si>
  <si>
    <t>Individual Customers</t>
  </si>
  <si>
    <t>Enter Customer(s)</t>
  </si>
  <si>
    <t>Spend:</t>
  </si>
  <si>
    <t>Self-Funded Deviations</t>
  </si>
  <si>
    <t>Volume Adjustment</t>
  </si>
  <si>
    <t>Don't Delete</t>
  </si>
  <si>
    <t>New Locations:</t>
  </si>
  <si>
    <t>New St Rank</t>
  </si>
  <si>
    <t>Build Menu Type:</t>
  </si>
  <si>
    <t>Location:</t>
  </si>
  <si>
    <t>PA $</t>
  </si>
  <si>
    <t>PA Rate</t>
  </si>
  <si>
    <t xml:space="preserve">EB Bucket: </t>
  </si>
  <si>
    <t xml:space="preserve">CONCAT: </t>
  </si>
  <si>
    <t xml:space="preserve">Self-Fund: </t>
  </si>
  <si>
    <t xml:space="preserve">New PA: </t>
  </si>
  <si>
    <t xml:space="preserve">PA based on predominant Menu: </t>
  </si>
  <si>
    <t>Self-Fund Rate</t>
  </si>
  <si>
    <t>Self-Funding</t>
  </si>
  <si>
    <t>Multi-Location EB+Self-Funding</t>
  </si>
  <si>
    <t xml:space="preserve">Investment Spend: </t>
  </si>
  <si>
    <t xml:space="preserve">Menu Type Display: </t>
  </si>
  <si>
    <t>EB% before Growth:</t>
  </si>
  <si>
    <t xml:space="preserve">Gross TGP: </t>
  </si>
  <si>
    <t>Total:</t>
  </si>
  <si>
    <t>For existing TAGP</t>
  </si>
  <si>
    <t>Feeds PIM Ranges</t>
  </si>
  <si>
    <t>Total Basket from Multi-Customer</t>
  </si>
  <si>
    <t>Basket after Exclusions</t>
  </si>
  <si>
    <t>Growth Sales</t>
  </si>
  <si>
    <t>Basket after Growth Added - Feeds PIM Model</t>
  </si>
  <si>
    <t>Existing Margin %</t>
  </si>
  <si>
    <t>Incentive Tiers</t>
  </si>
  <si>
    <t>MDA TIERS</t>
  </si>
  <si>
    <t>Spend Tiers</t>
  </si>
  <si>
    <t>MDA - TAGP Tiers</t>
  </si>
  <si>
    <t>CIA - TAGP Tiers</t>
  </si>
  <si>
    <t>Annual Spend</t>
  </si>
  <si>
    <t>Customer Q</t>
  </si>
  <si>
    <t>INCLUDE</t>
  </si>
  <si>
    <t xml:space="preserve">Existing Base Cases: </t>
  </si>
  <si>
    <t>Base Cases</t>
  </si>
  <si>
    <t>Base Existing Delivery</t>
  </si>
  <si>
    <t>Base Existing Selling</t>
  </si>
  <si>
    <t>Base Existing Warehouse</t>
  </si>
  <si>
    <t>Existing Drops:</t>
  </si>
  <si>
    <t>Existing Base Cases:</t>
  </si>
  <si>
    <t>Drops:</t>
  </si>
  <si>
    <t>Pyramid Segment:</t>
  </si>
  <si>
    <t>Base Drops</t>
  </si>
  <si>
    <t>Feeds Model</t>
  </si>
  <si>
    <t>3zip Trim</t>
  </si>
  <si>
    <t>4zip Trim</t>
  </si>
  <si>
    <t>Zip Code Avg Var. Delivery per Drop</t>
  </si>
  <si>
    <t>Base Delivery / Drop</t>
  </si>
  <si>
    <t>Base Selling / Case</t>
  </si>
  <si>
    <t>Modeled Cases</t>
  </si>
  <si>
    <t>Base OR Modeled</t>
  </si>
  <si>
    <t>New or Existing</t>
  </si>
  <si>
    <t>Spec Variable Delivery</t>
  </si>
  <si>
    <t>Spec Variable Selling</t>
  </si>
  <si>
    <t>Spec Variable Warehouse</t>
  </si>
  <si>
    <t>Adjusted Existing Delivery</t>
  </si>
  <si>
    <t>Adjusted Existing Selling</t>
  </si>
  <si>
    <t>Base Warehouse / Case</t>
  </si>
  <si>
    <t>Adjusted Existing Warehouse</t>
  </si>
  <si>
    <t>CIA</t>
  </si>
  <si>
    <t>AVG</t>
  </si>
  <si>
    <t>Grow Avg Basket Comp</t>
  </si>
  <si>
    <t>AVG Sales</t>
  </si>
  <si>
    <t>Basket Post-AVGs</t>
  </si>
  <si>
    <t>Sales 4 Model</t>
  </si>
  <si>
    <t>New Comp</t>
  </si>
  <si>
    <t>After Adding Averages</t>
  </si>
  <si>
    <t>EXCLUDE</t>
  </si>
  <si>
    <t>Existing</t>
  </si>
  <si>
    <t>Spec</t>
  </si>
  <si>
    <t>SpecSales</t>
  </si>
  <si>
    <t>Spec Sales to calculate weighted incentive margin</t>
  </si>
  <si>
    <t>TAGP % For Incentive Modeling</t>
  </si>
  <si>
    <t>Add Average Volume</t>
  </si>
  <si>
    <t>(Must be a Sunday)</t>
  </si>
  <si>
    <t>CUSTOMER INFORMATION</t>
  </si>
  <si>
    <t>Margins outside of recommended bounds</t>
  </si>
  <si>
    <t>Margin Outlier</t>
  </si>
  <si>
    <t>Recommended Min/Max</t>
  </si>
  <si>
    <t>Above/Below Threshold</t>
  </si>
  <si>
    <t>Limit</t>
  </si>
  <si>
    <t>Actual Margin Entered</t>
  </si>
  <si>
    <t>TOTAL</t>
  </si>
  <si>
    <t>MODEL OUTLIERS</t>
  </si>
  <si>
    <t>Volume Adjust</t>
  </si>
  <si>
    <t>DBA</t>
  </si>
  <si>
    <t>based on the creditworthiness of the participating customer</t>
  </si>
  <si>
    <t>Self-Funding Lookup</t>
  </si>
  <si>
    <t>Old PA Lookup Table by EB %</t>
  </si>
  <si>
    <t>MDA CM Tiers</t>
  </si>
  <si>
    <t>CIA CM Tiers</t>
  </si>
  <si>
    <t>MDA CM % Target</t>
  </si>
  <si>
    <t>CIA CM % Target</t>
  </si>
  <si>
    <t>CM Target for Model</t>
  </si>
  <si>
    <t>Locations</t>
  </si>
  <si>
    <t>Weekly Spend/ Location</t>
  </si>
  <si>
    <t>M1</t>
  </si>
  <si>
    <t>M2</t>
  </si>
  <si>
    <t>M3</t>
  </si>
  <si>
    <t>M4</t>
  </si>
  <si>
    <t>M5</t>
  </si>
  <si>
    <t>C1</t>
  </si>
  <si>
    <t>C2</t>
  </si>
  <si>
    <t>C3</t>
  </si>
  <si>
    <t>C4</t>
  </si>
  <si>
    <t>C5</t>
  </si>
  <si>
    <t>PRIME Headers</t>
  </si>
  <si>
    <t>Zip Code Error</t>
  </si>
  <si>
    <t>Alert for Inputs</t>
  </si>
  <si>
    <t xml:space="preserve">Location </t>
  </si>
  <si>
    <t>AVG?</t>
  </si>
  <si>
    <t>Old Formulas</t>
  </si>
  <si>
    <t>TBD</t>
  </si>
  <si>
    <t>Select Payment Method</t>
  </si>
  <si>
    <t>Exclusive Brand %</t>
  </si>
  <si>
    <t xml:space="preserve">Increase Investment Spend: </t>
  </si>
  <si>
    <t>Tier 1</t>
  </si>
  <si>
    <t>Tier2</t>
  </si>
  <si>
    <t>Tier3</t>
  </si>
  <si>
    <t>Tier4</t>
  </si>
  <si>
    <t>4
Minimum</t>
  </si>
  <si>
    <t>5
Rate</t>
  </si>
  <si>
    <t>3
Minimum</t>
  </si>
  <si>
    <t>4
Rate</t>
  </si>
  <si>
    <t>Blended EB%^^</t>
  </si>
  <si>
    <t>Credit Card Conversion</t>
  </si>
  <si>
    <t>Credit Card Convesion</t>
  </si>
  <si>
    <t xml:space="preserve">Start </t>
  </si>
  <si>
    <t>WISCONSIN</t>
  </si>
  <si>
    <t>BRNCH_CD</t>
  </si>
  <si>
    <t>DIV_NBR</t>
  </si>
  <si>
    <t>PYR_SEG_DESC</t>
  </si>
  <si>
    <t>CUST_ACCTBLY_FLG</t>
  </si>
  <si>
    <t>CUST_CNTRCT_FLG</t>
  </si>
  <si>
    <t>CUST_NM</t>
  </si>
  <si>
    <t>CUST_NBR</t>
  </si>
  <si>
    <t>DIV_NM</t>
  </si>
  <si>
    <t>Total Variable Cost Per Case</t>
  </si>
  <si>
    <t>Other GP Per Case</t>
  </si>
  <si>
    <t>CM Per Case</t>
  </si>
  <si>
    <t>DAKOTAS</t>
  </si>
  <si>
    <t>6S</t>
  </si>
  <si>
    <t>3S</t>
  </si>
  <si>
    <t>SIOUX FALLS</t>
  </si>
  <si>
    <t>6A</t>
  </si>
  <si>
    <t>GRAND ISLAND</t>
  </si>
  <si>
    <t>NORTHERN NEW ENGLAND</t>
  </si>
  <si>
    <t>WESTERN PA</t>
  </si>
  <si>
    <t>BLUFF STATES</t>
  </si>
  <si>
    <t>5T</t>
  </si>
  <si>
    <t>2C</t>
  </si>
  <si>
    <t>ADDR_LN_1</t>
  </si>
  <si>
    <t>CITY</t>
  </si>
  <si>
    <t>ST</t>
  </si>
  <si>
    <t>ZIP_CODE</t>
  </si>
  <si>
    <t>PARENT_MULTI_UNIT</t>
  </si>
  <si>
    <t>PYRAMID_SEGMENT_DESC</t>
  </si>
  <si>
    <t>ACCOUNTABLITY</t>
  </si>
  <si>
    <t>MENU_GROUPING</t>
  </si>
  <si>
    <t>SIMPLIFIED_MENU_TYPE</t>
  </si>
  <si>
    <t>PIM_CLASS_DESC</t>
  </si>
  <si>
    <t>Z5_ZIP</t>
  </si>
  <si>
    <t>REGION_NAME</t>
  </si>
  <si>
    <t>DIVISION_NAME</t>
  </si>
  <si>
    <t>ZONE_NAME</t>
  </si>
  <si>
    <t>QUANTITY_SHIPPED_SUM</t>
  </si>
  <si>
    <t>EB_CASES</t>
  </si>
  <si>
    <t>NET_WEIGHT_SHIPPED_SUM</t>
  </si>
  <si>
    <t>GROSS_SALES_EXTENDED_SUM</t>
  </si>
  <si>
    <t>GROSS_TGP_SUM</t>
  </si>
  <si>
    <t>TOTAL_ALLOWANCE_SUM</t>
  </si>
  <si>
    <t>TOTAL_VENDOR_FUNDED_DEVIATIONS</t>
  </si>
  <si>
    <t>TOTAL_INTERNAL_FUNDED_DEVIATIONS</t>
  </si>
  <si>
    <t>STATE</t>
  </si>
  <si>
    <t>ADDRESS_1</t>
  </si>
  <si>
    <t>ADDRESS_2</t>
  </si>
  <si>
    <t>PHONE_NUMBER</t>
  </si>
  <si>
    <t>MARKET_NAME</t>
  </si>
  <si>
    <t>SUM ("VARIABLE SELLING COST")</t>
  </si>
  <si>
    <t>SUM("SEMI FIXED SALARY SHARE")</t>
  </si>
  <si>
    <t>SUM(UNFRM_QTY_SHIPPED)</t>
  </si>
  <si>
    <t>SUM(GROSS_SALES_EXTENDED)</t>
  </si>
  <si>
    <t>Variable Selling/Case</t>
  </si>
  <si>
    <t>Variable Selling/Sales</t>
  </si>
  <si>
    <t>Semi-Fixed Salary/Case</t>
  </si>
  <si>
    <t>SUM(NET_SALES)</t>
  </si>
  <si>
    <t>A5_DIGIT_ZIP</t>
  </si>
  <si>
    <t>Total Variable Delivery</t>
  </si>
  <si>
    <t>SUM(DROPS)</t>
  </si>
  <si>
    <t>DELIVERY_COST_PER_DROP</t>
  </si>
  <si>
    <t>A4_DIGIT_ZIP</t>
  </si>
  <si>
    <t>A3_DIGIT_ZIP</t>
  </si>
  <si>
    <t>Customer Information:</t>
  </si>
  <si>
    <t>SUM(C."VARIABLE DELIVERY COST")</t>
  </si>
  <si>
    <t>SUM(C."VARIABLE SELLING COST")</t>
  </si>
  <si>
    <t>SUM(C."VARIABLE WAREHOUSE COST")</t>
  </si>
  <si>
    <t>SUM(C.DROPS)</t>
  </si>
  <si>
    <t>VARIABLE_DELIVERY_COST_PER_CASE</t>
  </si>
  <si>
    <t>VARIABLE_WAREHOUSE_COST_PER_CASE</t>
  </si>
  <si>
    <t>VARIABLE_SELLING_COST_PER_CASE</t>
  </si>
  <si>
    <t>HOS</t>
  </si>
  <si>
    <t>IND</t>
  </si>
  <si>
    <t>NEW CUST</t>
  </si>
  <si>
    <t>CALL</t>
  </si>
  <si>
    <t>Multi-Year</t>
  </si>
  <si>
    <t>Multi Year</t>
  </si>
  <si>
    <t>0.1</t>
  </si>
  <si>
    <t>0.15</t>
  </si>
  <si>
    <t>0.2</t>
  </si>
  <si>
    <t>0.25</t>
  </si>
  <si>
    <t>0.3</t>
  </si>
  <si>
    <t>0.35</t>
  </si>
  <si>
    <t>0.4</t>
  </si>
  <si>
    <t>0.45</t>
  </si>
  <si>
    <t>0.5</t>
  </si>
  <si>
    <t>0.55</t>
  </si>
  <si>
    <t>0.6</t>
  </si>
  <si>
    <t>0.65</t>
  </si>
  <si>
    <t>0.7</t>
  </si>
  <si>
    <t>0.75</t>
  </si>
  <si>
    <t>0.8</t>
  </si>
  <si>
    <t>0.85</t>
  </si>
  <si>
    <t>0.9</t>
  </si>
  <si>
    <t>0.95</t>
  </si>
  <si>
    <t/>
  </si>
  <si>
    <t>Year</t>
  </si>
  <si>
    <t>Annual Sales Commitment:</t>
  </si>
  <si>
    <t>CHECK Business Tools</t>
  </si>
  <si>
    <t>SI1</t>
  </si>
  <si>
    <t>SI2</t>
  </si>
  <si>
    <t>SI3</t>
  </si>
  <si>
    <t>SI4</t>
  </si>
  <si>
    <t>SI5</t>
  </si>
  <si>
    <t>CHECK Business Tool</t>
  </si>
  <si>
    <t>Please explain why the customer can’t move off credit card to ACH or lower cost payment method.</t>
  </si>
  <si>
    <t xml:space="preserve">Credit Card Expense: </t>
  </si>
  <si>
    <t>Gross sales multiplied by the maximum credit card fee amount (2.5%)</t>
  </si>
  <si>
    <t>Unit</t>
  </si>
  <si>
    <t>Credit Rate</t>
  </si>
  <si>
    <t>National CC Rate</t>
  </si>
  <si>
    <t>MARKET NUMBER</t>
  </si>
  <si>
    <t>MARKET NAME</t>
  </si>
  <si>
    <t>Prepaid</t>
  </si>
  <si>
    <t>Multi Years Prepaid</t>
  </si>
  <si>
    <t>PON Only</t>
  </si>
  <si>
    <t>STANDARD</t>
  </si>
  <si>
    <t>CURRENT</t>
  </si>
  <si>
    <t>Is this a MDA Renewal?</t>
  </si>
  <si>
    <t>Sales Growth Incentive</t>
  </si>
  <si>
    <t>Weekly Baseline</t>
  </si>
  <si>
    <t>Rate</t>
  </si>
  <si>
    <t>Period:</t>
  </si>
  <si>
    <t>Sales Growth</t>
  </si>
  <si>
    <t>Regional</t>
  </si>
  <si>
    <t>Pay Menthod</t>
  </si>
  <si>
    <t>Period</t>
  </si>
  <si>
    <t>Precentage Rate</t>
  </si>
  <si>
    <t>Minimim Target</t>
  </si>
  <si>
    <t>Tracking Program 008</t>
  </si>
  <si>
    <t>9A</t>
  </si>
  <si>
    <t>ANCHORAGE</t>
  </si>
  <si>
    <t>9J</t>
  </si>
  <si>
    <t>BILLINGS</t>
  </si>
  <si>
    <t>9O</t>
  </si>
  <si>
    <t>DENVER NORTH</t>
  </si>
  <si>
    <t>DENVER SOUTH</t>
  </si>
  <si>
    <t>9P</t>
  </si>
  <si>
    <t>CASCADE MOUNTAIN</t>
  </si>
  <si>
    <t>PORTLAND</t>
  </si>
  <si>
    <t>9L</t>
  </si>
  <si>
    <t>SEATTLE NORTH</t>
  </si>
  <si>
    <t>SEATTLE SOUTH</t>
  </si>
  <si>
    <t>9Q</t>
  </si>
  <si>
    <t>SPOKANE</t>
  </si>
  <si>
    <t>NEW MEX TEX</t>
  </si>
  <si>
    <t>8A</t>
  </si>
  <si>
    <t>SYSTEMS AREA</t>
  </si>
  <si>
    <t>FONTANA SYSTEMS</t>
  </si>
  <si>
    <t>8T</t>
  </si>
  <si>
    <t>PHOENIX SYSTEMS</t>
  </si>
  <si>
    <t>8B</t>
  </si>
  <si>
    <t>TRACY SYSTEMS</t>
  </si>
  <si>
    <t>Revman Override</t>
  </si>
  <si>
    <t>--</t>
  </si>
  <si>
    <t>Prepaid Incentive</t>
  </si>
  <si>
    <t>Prepaid Rollover</t>
  </si>
  <si>
    <t>Previous Prepaid Amount</t>
  </si>
  <si>
    <t>Previous Agreement Effective Date</t>
  </si>
  <si>
    <t>New Money</t>
  </si>
  <si>
    <t>Classification</t>
  </si>
  <si>
    <t>Previous Amount</t>
  </si>
  <si>
    <t>Unamortized</t>
  </si>
  <si>
    <t>New Amount</t>
  </si>
  <si>
    <t>Total Commitment</t>
  </si>
  <si>
    <t>Number of Payments</t>
  </si>
  <si>
    <t>Volume Rate</t>
  </si>
  <si>
    <t>Prepaid Rollover Incentive New Tracking</t>
  </si>
  <si>
    <t>Tracking Program TBD</t>
  </si>
  <si>
    <t>Note:</t>
  </si>
  <si>
    <t>Credit</t>
  </si>
  <si>
    <t>What is the A/R balance:</t>
  </si>
  <si>
    <t>$</t>
  </si>
  <si>
    <t>Terms:</t>
  </si>
  <si>
    <t>Percent Current (End of Period):</t>
  </si>
  <si>
    <t>Do we have a personal guarantee?:</t>
  </si>
  <si>
    <t>RAM Score Avg:</t>
  </si>
  <si>
    <t>Do we have a UCC1?:</t>
  </si>
  <si>
    <t>Have we had collection issues in the past?:</t>
  </si>
  <si>
    <t>Time Frame:</t>
  </si>
  <si>
    <t>Credit Comments:</t>
  </si>
  <si>
    <t>Revenue Management Comments:</t>
  </si>
  <si>
    <t>Local Sales Agreements/ Credit Review Acknowledgement</t>
  </si>
  <si>
    <t xml:space="preserve">               Name:</t>
  </si>
  <si>
    <t>Area Credit Mgr</t>
  </si>
  <si>
    <t>Value</t>
  </si>
  <si>
    <t>Percent</t>
  </si>
  <si>
    <t>Key</t>
  </si>
  <si>
    <t>No Payment</t>
  </si>
  <si>
    <t>PON with Existing CIA</t>
  </si>
  <si>
    <t>PON with New CIA</t>
  </si>
  <si>
    <t>GROSS_SALES_EXTENDED_EB</t>
  </si>
  <si>
    <t>Agreement Option:</t>
  </si>
  <si>
    <t>New</t>
  </si>
  <si>
    <t xml:space="preserve">Agreement Classification: </t>
  </si>
  <si>
    <t xml:space="preserve">Initial Agreement Terms: </t>
  </si>
  <si>
    <t>Frozen</t>
  </si>
  <si>
    <t>Refrigerated</t>
  </si>
  <si>
    <t>Proprietary Inventory Turn</t>
  </si>
  <si>
    <t>Business Case</t>
  </si>
  <si>
    <t xml:space="preserve">Annual Purchase Commitment: </t>
  </si>
  <si>
    <t xml:space="preserve">Deliveries Per Customer Unit Per Week: </t>
  </si>
  <si>
    <t xml:space="preserve">EB Percentage: </t>
  </si>
  <si>
    <t xml:space="preserve">Agreement Level: </t>
  </si>
  <si>
    <t>Total Dollars</t>
  </si>
  <si>
    <t>Rate Per Case</t>
  </si>
  <si>
    <t>Variable Selling Expenses:</t>
  </si>
  <si>
    <t xml:space="preserve">Variable Warehouse Expenses: </t>
  </si>
  <si>
    <t>Credit Card Expense:</t>
  </si>
  <si>
    <t xml:space="preserve">Variable Delivery Expense: </t>
  </si>
  <si>
    <t xml:space="preserve">Menu Type or Sub-Segment: </t>
  </si>
  <si>
    <t xml:space="preserve">Legal Entity: </t>
  </si>
  <si>
    <t xml:space="preserve">DBA Name: </t>
  </si>
  <si>
    <t xml:space="preserve">Legal Entity Address: </t>
  </si>
  <si>
    <t xml:space="preserve">Legal Entity City, State, Zip: </t>
  </si>
  <si>
    <t xml:space="preserve">Agreement Effective Date: </t>
  </si>
  <si>
    <t>Agreement Expiration Date:</t>
  </si>
  <si>
    <t>Agreement Classification:</t>
  </si>
  <si>
    <t>Shipping Location Number</t>
  </si>
  <si>
    <t>Expiration Date</t>
  </si>
  <si>
    <t>Secondary or Internal Customer</t>
  </si>
  <si>
    <t>Fuel Surcharge Applied</t>
  </si>
  <si>
    <t>Pyramid Segment</t>
  </si>
  <si>
    <t>Current Deliveries Per Customer Unit Per Week</t>
  </si>
  <si>
    <t>Current EB Percentage</t>
  </si>
  <si>
    <t>Annual Purchase Commitment</t>
  </si>
  <si>
    <t>Deliveries Per Customer Unit Per Week</t>
  </si>
  <si>
    <t>Menu Type or Sub-Segment</t>
  </si>
  <si>
    <t>EB Percentage</t>
  </si>
  <si>
    <t>Model As</t>
  </si>
  <si>
    <t>Current Menu Type or Sub-Segment</t>
  </si>
  <si>
    <t>Select HOS</t>
  </si>
  <si>
    <t>CASINOS</t>
  </si>
  <si>
    <t>CATERING</t>
  </si>
  <si>
    <t>LODGING</t>
  </si>
  <si>
    <t>RECREATION</t>
  </si>
  <si>
    <t>TRANSPORTATION</t>
  </si>
  <si>
    <t>Agreement Data</t>
  </si>
  <si>
    <t>Minimum Delivery Charge Table</t>
  </si>
  <si>
    <t>$500/$25</t>
  </si>
  <si>
    <t>Lead Market</t>
  </si>
  <si>
    <t>Agreement Sub Classification</t>
  </si>
  <si>
    <t>Multi Market Flag</t>
  </si>
  <si>
    <t>Standard Agreement</t>
  </si>
  <si>
    <t>Average Cases Per Delivery</t>
  </si>
  <si>
    <t>Average Purchases Per Delivery</t>
  </si>
  <si>
    <t>Average Cost Per Case</t>
  </si>
  <si>
    <t>$500/$35</t>
  </si>
  <si>
    <t>Corporate</t>
  </si>
  <si>
    <t>$500/$50</t>
  </si>
  <si>
    <t>$600/$35</t>
  </si>
  <si>
    <t>Performance and Language</t>
  </si>
  <si>
    <t>$600/$50</t>
  </si>
  <si>
    <t>$750/$35</t>
  </si>
  <si>
    <t>Minimum Percentage of Purchases to be Directed to USF</t>
  </si>
  <si>
    <t>Maximum Distance From USF DC to Shipping Locations (miles)</t>
  </si>
  <si>
    <t>Minimum Delivery Selection</t>
  </si>
  <si>
    <t>Minimum Delivery Size Requirement</t>
  </si>
  <si>
    <t>Minimum Delivery Fee</t>
  </si>
  <si>
    <t>Primary Form of Payment</t>
  </si>
  <si>
    <t>Fuel Surcharge Included</t>
  </si>
  <si>
    <t>Fuel Surcharge Per</t>
  </si>
  <si>
    <t>Invoice</t>
  </si>
  <si>
    <t>$750/$50</t>
  </si>
  <si>
    <t>$1000/$35</t>
  </si>
  <si>
    <t>$1000/$50</t>
  </si>
  <si>
    <t>Split Case Applied Flag</t>
  </si>
  <si>
    <t>Split Case Surcharge Amount</t>
  </si>
  <si>
    <t>Split Case Per</t>
  </si>
  <si>
    <t>Minimum per Case Markup Flag</t>
  </si>
  <si>
    <t>Minimum Per Case Markup</t>
  </si>
  <si>
    <t>Special Order Product Surcharge Amount</t>
  </si>
  <si>
    <t>Special Order Products Surcharge Amount Type Code</t>
  </si>
  <si>
    <t>Max Credit Terms</t>
  </si>
  <si>
    <t>$1500/$35</t>
  </si>
  <si>
    <t>Will be based on the creditworthiness of the participating customers</t>
  </si>
  <si>
    <t>$1500/$50</t>
  </si>
  <si>
    <t>$5000/$100</t>
  </si>
  <si>
    <t>Language</t>
  </si>
  <si>
    <t>$1500$/$35</t>
  </si>
  <si>
    <t>Audit Frequency Code</t>
  </si>
  <si>
    <t>Audit Nbr of Invoice Line Items</t>
  </si>
  <si>
    <t>Margin Erosion Rate</t>
  </si>
  <si>
    <t>CPI Standard</t>
  </si>
  <si>
    <t>Audit Age of Invoices</t>
  </si>
  <si>
    <t>CPI ECI</t>
  </si>
  <si>
    <t>Margin Calculation MDA Language</t>
  </si>
  <si>
    <t>Per</t>
  </si>
  <si>
    <t>Net Weight</t>
  </si>
  <si>
    <t>Gross TAGP</t>
  </si>
  <si>
    <t xml:space="preserve">Gross TAGP Percentage: </t>
  </si>
  <si>
    <t xml:space="preserve">Gross TAGP Rate Per Case: </t>
  </si>
  <si>
    <t xml:space="preserve">Self Funded: </t>
  </si>
  <si>
    <t xml:space="preserve">Rebates: </t>
  </si>
  <si>
    <t xml:space="preserve">Net TGP: </t>
  </si>
  <si>
    <t xml:space="preserve">Variable Selling Expenses: </t>
  </si>
  <si>
    <t xml:space="preserve">Contribution Margin: </t>
  </si>
  <si>
    <t>Per Drop</t>
  </si>
  <si>
    <t>Per Location Weekly</t>
  </si>
  <si>
    <t xml:space="preserve">Rent Charge: </t>
  </si>
  <si>
    <t xml:space="preserve">Contribution Margin Less Rent: </t>
  </si>
  <si>
    <t>Rent Charge</t>
  </si>
  <si>
    <t>Proprietary Items:</t>
  </si>
  <si>
    <t xml:space="preserve">Pick &amp; Reserve Slots: </t>
  </si>
  <si>
    <t>Agreement Annual Purchase Commitment</t>
  </si>
  <si>
    <t>Agreement Deliveries Per Customer Unit Per Week</t>
  </si>
  <si>
    <t>Pricing Rules</t>
  </si>
  <si>
    <t>Price Sch</t>
  </si>
  <si>
    <t xml:space="preserve">Cost Basis </t>
  </si>
  <si>
    <t>Margin Calculation Code</t>
  </si>
  <si>
    <t>EBP Cost Basis</t>
  </si>
  <si>
    <t>Eligible EBP Language</t>
  </si>
  <si>
    <t>Pricing Override Flag</t>
  </si>
  <si>
    <t>Product Pricing Schedule Included Flag</t>
  </si>
  <si>
    <t>Special Pricing Flag</t>
  </si>
  <si>
    <t>Altenate Pricing Schedule Flag</t>
  </si>
  <si>
    <t>EB Pricing Schedule Flag</t>
  </si>
  <si>
    <t>Pricing Termination End Date</t>
  </si>
  <si>
    <t>Pricing Termination End Date Flag</t>
  </si>
  <si>
    <t>PB</t>
  </si>
  <si>
    <t>EBP</t>
  </si>
  <si>
    <t>Pricing Schedule</t>
  </si>
  <si>
    <t>PIM Class Code</t>
  </si>
  <si>
    <t>PIM Category Code</t>
  </si>
  <si>
    <t>Special Pricing Code</t>
  </si>
  <si>
    <t>Markup Amt</t>
  </si>
  <si>
    <t>EB Markup Amt</t>
  </si>
  <si>
    <t>Min CS Markup Override Flag</t>
  </si>
  <si>
    <t>Min CS Markup Amt</t>
  </si>
  <si>
    <t>Split Case Fee Override Flag</t>
  </si>
  <si>
    <t>Split Case Fee</t>
  </si>
  <si>
    <t>PIM Description</t>
  </si>
  <si>
    <t>T</t>
  </si>
  <si>
    <t>Alternate Pricing Schedule</t>
  </si>
  <si>
    <t>PIM DESCRIPTION</t>
  </si>
  <si>
    <t>Total Agreement Annual Purchase Commitment</t>
  </si>
  <si>
    <t>Total Current Sales</t>
  </si>
  <si>
    <t>Total Annual Purchase Commitment</t>
  </si>
  <si>
    <t>BEEF, GROUND OR PROCESSED</t>
  </si>
  <si>
    <t>Minimum Delivery Charge Applied Flag</t>
  </si>
  <si>
    <t>NEW ORLEANS</t>
  </si>
  <si>
    <t>ACCOUNT</t>
  </si>
  <si>
    <t>PROP_SLOT_CHARGE</t>
  </si>
  <si>
    <t>CNT_PRTRY_ITEMS</t>
  </si>
  <si>
    <t>PRTRY_PICK_SLOTS</t>
  </si>
  <si>
    <t>PRTRY_RESERVE_SLOTS</t>
  </si>
  <si>
    <t>PRTRY_TOTAL_SLOTS</t>
  </si>
  <si>
    <t>TOTAL from Welcome tab</t>
  </si>
  <si>
    <t>Proprietary Items</t>
  </si>
  <si>
    <t>Countif</t>
  </si>
  <si>
    <t>Aggergation CNT_PRTRY_ITEMS</t>
  </si>
  <si>
    <t>Aggergation PRTRY_TOTAL_SLOTS</t>
  </si>
  <si>
    <t>Annual Rent Charge</t>
  </si>
  <si>
    <t>Total Annual Rent Charge</t>
  </si>
  <si>
    <t>Step1</t>
  </si>
  <si>
    <t>Step2</t>
  </si>
  <si>
    <t>step2</t>
  </si>
  <si>
    <t>step3</t>
  </si>
  <si>
    <t>Pick Slot Factor</t>
  </si>
  <si>
    <t>Reserve Slot Factor</t>
  </si>
  <si>
    <t>Sub-Segment</t>
  </si>
  <si>
    <t>MENU TYPE &amp; SUB-SEGMENT RANKER</t>
  </si>
  <si>
    <t>Rec</t>
  </si>
  <si>
    <t>MIX for Growth</t>
  </si>
  <si>
    <t>NORMALIZED MIX</t>
  </si>
  <si>
    <t>CIA Guidence</t>
  </si>
  <si>
    <t>SFD $</t>
  </si>
  <si>
    <t>LOOKUP</t>
  </si>
  <si>
    <t>Data Points</t>
  </si>
  <si>
    <t>Field to Use</t>
  </si>
  <si>
    <t>Sales per Case</t>
  </si>
  <si>
    <t>Sales Per Pound</t>
  </si>
  <si>
    <t>PA as % of Sales</t>
  </si>
  <si>
    <t>SFD as % of Sales</t>
  </si>
  <si>
    <t>SFD %</t>
  </si>
  <si>
    <t>CENTRAL</t>
  </si>
  <si>
    <t>VIRGINIAS</t>
  </si>
  <si>
    <t>CLOSED</t>
  </si>
  <si>
    <t>zzBALTIMORE</t>
  </si>
  <si>
    <t>zzRHODE ISLAND</t>
  </si>
  <si>
    <t>zzSIOUX CITY</t>
  </si>
  <si>
    <t>zzSIOUX FALLS</t>
  </si>
  <si>
    <t>zzWAUKESHA</t>
  </si>
  <si>
    <t>zzWESTERN PA - ALTOONA</t>
  </si>
  <si>
    <t>BEEFQ2</t>
  </si>
  <si>
    <t>BEEFQ3</t>
  </si>
  <si>
    <t>BEEFQ4</t>
  </si>
  <si>
    <t>BEEFQ5</t>
  </si>
  <si>
    <t>BEEFQ1</t>
  </si>
  <si>
    <t>BEEF, GROUND OR PROCESSEDQ2</t>
  </si>
  <si>
    <t>BEEF, GROUND OR PROCESSEDQ3</t>
  </si>
  <si>
    <t>BEEF, GROUND OR PROCESSEDQ4</t>
  </si>
  <si>
    <t>BEEF, GROUND OR PROCESSEDQ5</t>
  </si>
  <si>
    <t>BEEF, GROUND OR PROCESSEDQ1</t>
  </si>
  <si>
    <t>Rev Man Expense Override</t>
  </si>
  <si>
    <t>SUB_SEGMENT</t>
  </si>
  <si>
    <t>ALC</t>
  </si>
  <si>
    <t>UPLOAD</t>
  </si>
  <si>
    <t>COPY DATA</t>
  </si>
  <si>
    <t>AUDIT</t>
  </si>
  <si>
    <t>Field Name</t>
  </si>
  <si>
    <t>Start Cell</t>
  </si>
  <si>
    <t>End Cell</t>
  </si>
  <si>
    <t>Tab Name</t>
  </si>
  <si>
    <t>Cell Number</t>
  </si>
  <si>
    <t>FORM</t>
  </si>
  <si>
    <t>Agreement Worksheet</t>
  </si>
  <si>
    <t>Market Branch Code</t>
  </si>
  <si>
    <t>A</t>
  </si>
  <si>
    <t>Markets</t>
  </si>
  <si>
    <t>B</t>
  </si>
  <si>
    <t>E</t>
  </si>
  <si>
    <t>TABLE</t>
  </si>
  <si>
    <t>Required Info to Submit</t>
  </si>
  <si>
    <t>Customers</t>
  </si>
  <si>
    <t>K</t>
  </si>
  <si>
    <t>F</t>
  </si>
  <si>
    <t>G</t>
  </si>
  <si>
    <t>H</t>
  </si>
  <si>
    <t>I</t>
  </si>
  <si>
    <t>O</t>
  </si>
  <si>
    <t>J</t>
  </si>
  <si>
    <t>Fuel Charge Applied</t>
  </si>
  <si>
    <t>Customer Performance</t>
  </si>
  <si>
    <t>Minimum EB Percentage of Purchases</t>
  </si>
  <si>
    <t>C</t>
  </si>
  <si>
    <t>Minimum per Case Markup</t>
  </si>
  <si>
    <t>Special Order Products Surcharge  Amount</t>
  </si>
  <si>
    <t>P</t>
  </si>
  <si>
    <t>Welcome</t>
  </si>
  <si>
    <t>Proprietary Slots Additional Markup</t>
  </si>
  <si>
    <t>Q</t>
  </si>
  <si>
    <t>Proprietary Slots Alloted Table</t>
  </si>
  <si>
    <t>Margin Basis Code</t>
  </si>
  <si>
    <t>Basket Composition Adj</t>
  </si>
  <si>
    <t>INCENTIVES</t>
  </si>
  <si>
    <t>Incentive Period</t>
  </si>
  <si>
    <t>Payment Method</t>
  </si>
  <si>
    <t>AP/AR Vendor Number</t>
  </si>
  <si>
    <t>Incentive Type</t>
  </si>
  <si>
    <t>Please Select</t>
  </si>
  <si>
    <t>Incentive Effective Date</t>
  </si>
  <si>
    <t>Incentive Expiration Date</t>
  </si>
  <si>
    <t>Minimum Units</t>
  </si>
  <si>
    <t>Maximum Units</t>
  </si>
  <si>
    <t>Rate % of Sales</t>
  </si>
  <si>
    <t>Tier 2</t>
  </si>
  <si>
    <t>Tier 3</t>
  </si>
  <si>
    <t xml:space="preserve">Tier 4 Growth: </t>
  </si>
  <si>
    <t>Tier 4</t>
  </si>
  <si>
    <t xml:space="preserve">Tier 5 Growth: </t>
  </si>
  <si>
    <t>Tier 5</t>
  </si>
  <si>
    <t>FF Payment Amount</t>
  </si>
  <si>
    <t>Paid To</t>
  </si>
  <si>
    <t>Initial Agreement Terms:</t>
  </si>
  <si>
    <t>Credit Card Payment:</t>
  </si>
  <si>
    <t>Proprietary Slots Included Flag:</t>
  </si>
  <si>
    <t>Required Info To Submit</t>
  </si>
  <si>
    <t>Agreement Classification</t>
  </si>
  <si>
    <t>Initial Agreement Terms</t>
  </si>
  <si>
    <t>Credit Card Payment</t>
  </si>
  <si>
    <t>Proprietary Slots Included Flag</t>
  </si>
  <si>
    <t>Order</t>
  </si>
  <si>
    <t>Tab</t>
  </si>
  <si>
    <t>Agreement Section</t>
  </si>
  <si>
    <t>Metadata Fields</t>
  </si>
  <si>
    <t>Audit</t>
  </si>
  <si>
    <t>N/A</t>
  </si>
  <si>
    <t>Audit Type</t>
  </si>
  <si>
    <t>Audit Date</t>
  </si>
  <si>
    <t>Upload</t>
  </si>
  <si>
    <t>Upload File Created</t>
  </si>
  <si>
    <t>Agreement Information</t>
  </si>
  <si>
    <t>Agreement Template</t>
  </si>
  <si>
    <t>Agreement Terms</t>
  </si>
  <si>
    <t>Agreement Dates</t>
  </si>
  <si>
    <t>Agreement Effective Date</t>
  </si>
  <si>
    <t>Agreement Expiration Date</t>
  </si>
  <si>
    <t>Charges</t>
  </si>
  <si>
    <t>Fuel Surcharge Chart</t>
  </si>
  <si>
    <t>Proprietary Slots</t>
  </si>
  <si>
    <t>Proprietary Slots Allotted Table</t>
  </si>
  <si>
    <t>Proprietary Slot Additional Markup</t>
  </si>
  <si>
    <t>Customer</t>
  </si>
  <si>
    <t>Customer 1</t>
  </si>
  <si>
    <t>Rev Man Override</t>
  </si>
  <si>
    <t>End Customer?</t>
  </si>
  <si>
    <t>Listing of Customer Locations</t>
  </si>
  <si>
    <t>Customer 2</t>
  </si>
  <si>
    <t>Customer 3</t>
  </si>
  <si>
    <t>Customer 4</t>
  </si>
  <si>
    <t>Customer 5</t>
  </si>
  <si>
    <t>Customer 6</t>
  </si>
  <si>
    <t>Customer 7</t>
  </si>
  <si>
    <t>Customer 8</t>
  </si>
  <si>
    <t>Customer 9</t>
  </si>
  <si>
    <t>Customer 10</t>
  </si>
  <si>
    <t>Terms &amp; Conditions</t>
  </si>
  <si>
    <t>PWW/P07 clause when Cost Basis = PWW/P07
or
PWW clause when Cost Basis = PWW</t>
  </si>
  <si>
    <t>Cost Basis</t>
  </si>
  <si>
    <t>Margin Basis Clause when Margin Basis = S
Markup Basis Clause when Margin Basis = C</t>
  </si>
  <si>
    <t>Margin Calculation Clause</t>
  </si>
  <si>
    <t>Pricing Schedule or Altnerate Pricing Schedule</t>
  </si>
  <si>
    <t>Manual Intervention Required</t>
  </si>
  <si>
    <t>Market Info</t>
  </si>
  <si>
    <t>Market Contact</t>
  </si>
  <si>
    <t>Legal Entity</t>
  </si>
  <si>
    <t>Customer Information</t>
  </si>
  <si>
    <t>DBA Name</t>
  </si>
  <si>
    <t>Legal Entity Address</t>
  </si>
  <si>
    <t>Attention</t>
  </si>
  <si>
    <t>Phone Number</t>
  </si>
  <si>
    <t>Legal Entity City, State, Zip</t>
  </si>
  <si>
    <t>Price Verification Clause</t>
  </si>
  <si>
    <t>Audit Age of Invoice</t>
  </si>
  <si>
    <t>CPI Standard Clause</t>
  </si>
  <si>
    <t>PWWP07 Clause</t>
  </si>
  <si>
    <t>Exclusive Brand and Packer Label Product Delivered Price Clause</t>
  </si>
  <si>
    <t>Eligible EBP Lanugage</t>
  </si>
  <si>
    <t>Agreement Flag</t>
  </si>
  <si>
    <t>Alternate Pricing Schedule Flag</t>
  </si>
  <si>
    <t>Performance</t>
  </si>
  <si>
    <t>Increase Investment Spend</t>
  </si>
  <si>
    <t>Audit Comparison Table</t>
  </si>
  <si>
    <t>Dates</t>
  </si>
  <si>
    <t>Selection Box</t>
  </si>
  <si>
    <t># of Locations:</t>
  </si>
  <si>
    <t>Market Name:</t>
  </si>
  <si>
    <t>Proprietary Slots Additional Markup:</t>
  </si>
  <si>
    <t>Row Number</t>
  </si>
  <si>
    <t># of Locations</t>
  </si>
  <si>
    <t xml:space="preserve">Auto Approval: </t>
  </si>
  <si>
    <t xml:space="preserve">Auto Renewal: </t>
  </si>
  <si>
    <t>Prepaid Incentive Rollover</t>
  </si>
  <si>
    <t>Unamortized Prepaid Amount</t>
  </si>
  <si>
    <t>Net Prepaid Amount</t>
  </si>
  <si>
    <t xml:space="preserve">Recommendation:  </t>
  </si>
  <si>
    <t>Have Sales Analyst configure this Incentive Type</t>
  </si>
  <si>
    <t>Previous Agreement ID</t>
  </si>
  <si>
    <t>Previous Agreement Incentive Reference Number</t>
  </si>
  <si>
    <t>Previous Agreement Expiration Date</t>
  </si>
  <si>
    <t>Payment Sequence</t>
  </si>
  <si>
    <t>Purchase Commitment</t>
  </si>
  <si>
    <t>New Customer Location</t>
  </si>
  <si>
    <t>Rate cannot exceed 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</si>
</sst>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1">
    <numFmt numFmtId="8" formatCode="&quot;$&quot;#,##0.00_);[Red]\(&quot;$&quot;#,##0.00\)"/>
    <numFmt numFmtId="44" formatCode="_(&quot;$&quot;* #,##0.00_);_(&quot;$&quot;* \(#,##0.00\);_(&quot;$&quot;* &quot;-&quot;??_);_(@_)"/>
    <numFmt numFmtId="43" formatCode="_(* #,##0.00_);_(* \(#,##0.00\);_(* &quot;-&quot;??_);_(@_)"/>
    <numFmt numFmtId="164" formatCode="0.0%"/>
    <numFmt numFmtId="165" formatCode="_(* #,##0_);_(* \(#,##0\);_(* &quot;-&quot;??_);_(@_)"/>
    <numFmt numFmtId="166" formatCode="_(&quot;$&quot;* #,##0_);_(&quot;$&quot;* \(#,##0\);_(&quot;$&quot;* &quot;-&quot;??_);_(@_)"/>
    <numFmt numFmtId="167" formatCode="&quot;$&quot;#,##0"/>
    <numFmt numFmtId="168" formatCode="0.0"/>
    <numFmt numFmtId="169" formatCode="&quot;$&quot;#,##0.00"/>
    <numFmt numFmtId="170" formatCode="_(* #,##0.000_);_(* \(#,##0.000\);_(* &quot;-&quot;??_);_(@_)"/>
    <numFmt numFmtId="171" formatCode="0.0000"/>
    <numFmt numFmtId="172" formatCode="[$-F800]dddd\,\ mmmm\ dd\,\ yyyy"/>
    <numFmt numFmtId="173" formatCode="_(* #,##0.0_);_(* \(#,##0.0\);_(* &quot;-&quot;??_);_(@_)"/>
    <numFmt numFmtId="174" formatCode="0_);\(0\)"/>
    <numFmt numFmtId="175" formatCode="_(* #,##0.000000_);_(* \(#,##0.000000\);_(* &quot;-&quot;??_);_(@_)"/>
    <numFmt numFmtId="176" formatCode="_(* #,##0.0000_);_(* \(#,##0.0000\);_(* &quot;-&quot;??_);_(@_)"/>
    <numFmt numFmtId="177" formatCode="0.0000%"/>
    <numFmt numFmtId="178" formatCode="0.000%"/>
    <numFmt numFmtId="179" formatCode="mm/dd/yyyy"/>
    <numFmt numFmtId="180" formatCode="0000#####"/>
    <numFmt numFmtId="181" formatCode="0000####"/>
  </numFmts>
  <fonts count="92" x14ac:knownFonts="1">
    <font>
      <sz val="11"/>
      <color theme="1"/>
      <name val="Calibri"/>
      <family val="2"/>
      <scheme val="minor"/>
    </font>
    <font>
      <sz val="10"/>
      <color theme="1"/>
      <name val="Calibri"/>
      <family val="2"/>
      <scheme val="minor"/>
    </font>
    <font>
      <sz val="11"/>
      <color theme="1"/>
      <name val="Calibri"/>
      <family val="2"/>
      <scheme val="minor"/>
    </font>
    <font>
      <b/>
      <sz val="11"/>
      <color theme="1"/>
      <name val="Calibri"/>
      <family val="2"/>
      <scheme val="minor"/>
    </font>
    <font>
      <sz val="10"/>
      <color theme="1"/>
      <name val="Calibri"/>
      <family val="2"/>
      <scheme val="minor"/>
    </font>
    <font>
      <b/>
      <sz val="10"/>
      <color theme="1"/>
      <name val="Calibri"/>
      <family val="2"/>
      <scheme val="minor"/>
    </font>
    <font>
      <b/>
      <sz val="12"/>
      <color theme="1"/>
      <name val="Calibri"/>
      <family val="2"/>
      <scheme val="minor"/>
    </font>
    <font>
      <b/>
      <sz val="14"/>
      <color theme="1"/>
      <name val="Calibri"/>
      <family val="2"/>
      <scheme val="minor"/>
    </font>
    <font>
      <b/>
      <sz val="11"/>
      <color theme="0"/>
      <name val="Calibri"/>
      <family val="2"/>
      <scheme val="minor"/>
    </font>
    <font>
      <b/>
      <sz val="11"/>
      <name val="Calibri"/>
      <family val="2"/>
      <scheme val="minor"/>
    </font>
    <font>
      <sz val="11"/>
      <name val="Calibri"/>
      <family val="2"/>
      <scheme val="minor"/>
    </font>
    <font>
      <sz val="11"/>
      <color theme="0" tint="-0.499984740745262"/>
      <name val="Calibri"/>
      <family val="2"/>
      <scheme val="minor"/>
    </font>
    <font>
      <sz val="14"/>
      <color theme="1"/>
      <name val="Calibri"/>
      <family val="2"/>
      <scheme val="minor"/>
    </font>
    <font>
      <b/>
      <i/>
      <sz val="14"/>
      <color theme="1"/>
      <name val="Calibri"/>
      <family val="2"/>
      <scheme val="minor"/>
    </font>
    <font>
      <b/>
      <i/>
      <sz val="12"/>
      <color theme="1"/>
      <name val="Calibri"/>
      <family val="2"/>
      <scheme val="minor"/>
    </font>
    <font>
      <i/>
      <sz val="11"/>
      <color theme="1"/>
      <name val="Calibri"/>
      <family val="2"/>
      <scheme val="minor"/>
    </font>
    <font>
      <b/>
      <sz val="16"/>
      <color theme="1"/>
      <name val="Calibri"/>
      <family val="2"/>
      <scheme val="minor"/>
    </font>
    <font>
      <sz val="14"/>
      <color theme="0" tint="-0.499984740745262"/>
      <name val="Calibri"/>
      <family val="2"/>
      <scheme val="minor"/>
    </font>
    <font>
      <b/>
      <sz val="10"/>
      <color theme="0"/>
      <name val="Calibri"/>
      <family val="2"/>
      <scheme val="minor"/>
    </font>
    <font>
      <b/>
      <i/>
      <sz val="16"/>
      <color theme="1"/>
      <name val="Calibri"/>
      <family val="2"/>
      <scheme val="minor"/>
    </font>
    <font>
      <sz val="10"/>
      <name val="Arial"/>
      <family val="2"/>
    </font>
    <font>
      <sz val="10"/>
      <name val="Calibri"/>
      <family val="2"/>
      <scheme val="minor"/>
    </font>
    <font>
      <b/>
      <sz val="11"/>
      <color rgb="FFC00000"/>
      <name val="Calibri"/>
      <family val="2"/>
      <scheme val="minor"/>
    </font>
    <font>
      <b/>
      <sz val="11"/>
      <color theme="9" tint="-0.249977111117893"/>
      <name val="Calibri"/>
      <family val="2"/>
      <scheme val="minor"/>
    </font>
    <font>
      <b/>
      <sz val="8"/>
      <name val="Calibri"/>
      <family val="2"/>
      <scheme val="minor"/>
    </font>
    <font>
      <sz val="11"/>
      <color rgb="FFC00000"/>
      <name val="Calibri"/>
      <family val="2"/>
      <scheme val="minor"/>
    </font>
    <font>
      <sz val="11"/>
      <color theme="0"/>
      <name val="Calibri"/>
      <family val="2"/>
      <scheme val="minor"/>
    </font>
    <font>
      <sz val="11"/>
      <color theme="8" tint="0.79998168889431442"/>
      <name val="Calibri"/>
      <family val="2"/>
      <scheme val="minor"/>
    </font>
    <font>
      <b/>
      <sz val="10"/>
      <color rgb="FFC00000"/>
      <name val="Calibri"/>
      <family val="2"/>
      <scheme val="minor"/>
    </font>
    <font>
      <b/>
      <i/>
      <sz val="10"/>
      <name val="Calibri"/>
      <family val="2"/>
      <scheme val="minor"/>
    </font>
    <font>
      <b/>
      <sz val="10"/>
      <name val="Calibri"/>
      <family val="2"/>
      <scheme val="minor"/>
    </font>
    <font>
      <b/>
      <sz val="8"/>
      <color indexed="81"/>
      <name val="Arial"/>
      <family val="2"/>
    </font>
    <font>
      <sz val="8"/>
      <color indexed="81"/>
      <name val="Arial"/>
      <family val="2"/>
    </font>
    <font>
      <b/>
      <i/>
      <sz val="10"/>
      <color theme="1"/>
      <name val="Calibri"/>
      <family val="2"/>
      <scheme val="minor"/>
    </font>
    <font>
      <sz val="12"/>
      <color theme="1"/>
      <name val="Calibri"/>
      <family val="2"/>
      <scheme val="minor"/>
    </font>
    <font>
      <b/>
      <sz val="11"/>
      <color theme="8" tint="0.79998168889431442"/>
      <name val="Calibri"/>
      <family val="2"/>
      <scheme val="minor"/>
    </font>
    <font>
      <sz val="8"/>
      <color indexed="81"/>
      <name val="Tahoma"/>
      <family val="2"/>
    </font>
    <font>
      <b/>
      <sz val="14"/>
      <color theme="0"/>
      <name val="Calibri"/>
      <family val="2"/>
      <scheme val="minor"/>
    </font>
    <font>
      <b/>
      <sz val="10"/>
      <name val="Arial"/>
      <family val="2"/>
    </font>
    <font>
      <sz val="11"/>
      <color indexed="8"/>
      <name val="Calibri"/>
      <family val="2"/>
      <scheme val="minor"/>
    </font>
    <font>
      <u/>
      <sz val="11"/>
      <color theme="8" tint="0.79998168889431442"/>
      <name val="Calibri"/>
      <family val="2"/>
      <scheme val="minor"/>
    </font>
    <font>
      <u/>
      <sz val="11"/>
      <color theme="1"/>
      <name val="Calibri"/>
      <family val="2"/>
      <scheme val="minor"/>
    </font>
    <font>
      <sz val="8"/>
      <color theme="1"/>
      <name val="Calibri"/>
      <family val="2"/>
      <scheme val="minor"/>
    </font>
    <font>
      <sz val="9"/>
      <color theme="1"/>
      <name val="Calibri"/>
      <family val="2"/>
      <scheme val="minor"/>
    </font>
    <font>
      <b/>
      <sz val="11"/>
      <color rgb="FF00B050"/>
      <name val="Calibri"/>
      <family val="2"/>
      <scheme val="minor"/>
    </font>
    <font>
      <b/>
      <sz val="11"/>
      <color rgb="FFFF0000"/>
      <name val="Calibri"/>
      <family val="2"/>
      <scheme val="minor"/>
    </font>
    <font>
      <vertAlign val="superscript"/>
      <sz val="11"/>
      <color theme="1"/>
      <name val="Calibri"/>
      <family val="2"/>
      <scheme val="minor"/>
    </font>
    <font>
      <b/>
      <sz val="28"/>
      <color theme="1"/>
      <name val="Calibri"/>
      <family val="2"/>
      <scheme val="minor"/>
    </font>
    <font>
      <b/>
      <sz val="8"/>
      <color indexed="81"/>
      <name val="Tahoma"/>
      <family val="2"/>
    </font>
    <font>
      <b/>
      <sz val="11"/>
      <color theme="9"/>
      <name val="Calibri"/>
      <family val="2"/>
      <scheme val="minor"/>
    </font>
    <font>
      <b/>
      <sz val="11"/>
      <color theme="0" tint="-0.499984740745262"/>
      <name val="Calibri"/>
      <family val="2"/>
      <scheme val="minor"/>
    </font>
    <font>
      <b/>
      <sz val="11"/>
      <color theme="1"/>
      <name val="Times New Roman"/>
      <family val="1"/>
    </font>
    <font>
      <sz val="11"/>
      <color theme="1"/>
      <name val="Times New Roman"/>
      <family val="1"/>
    </font>
    <font>
      <b/>
      <i/>
      <sz val="10"/>
      <color theme="1"/>
      <name val="Arial"/>
      <family val="2"/>
    </font>
    <font>
      <b/>
      <i/>
      <sz val="11"/>
      <color theme="1"/>
      <name val="Times New Roman"/>
      <family val="1"/>
    </font>
    <font>
      <sz val="7"/>
      <color theme="1"/>
      <name val="Times New Roman"/>
      <family val="1"/>
    </font>
    <font>
      <i/>
      <sz val="10"/>
      <color rgb="FFC00000"/>
      <name val="Calibri"/>
      <family val="2"/>
      <scheme val="minor"/>
    </font>
    <font>
      <b/>
      <sz val="9"/>
      <color theme="1"/>
      <name val="Calibri"/>
      <family val="2"/>
      <scheme val="minor"/>
    </font>
    <font>
      <b/>
      <sz val="22"/>
      <color theme="1"/>
      <name val="Calibri"/>
      <family val="2"/>
      <scheme val="minor"/>
    </font>
    <font>
      <sz val="11"/>
      <color rgb="FFFF0000"/>
      <name val="Calibri"/>
      <family val="2"/>
      <scheme val="minor"/>
    </font>
    <font>
      <b/>
      <i/>
      <sz val="14"/>
      <name val="Calibri"/>
      <family val="2"/>
      <scheme val="minor"/>
    </font>
    <font>
      <b/>
      <sz val="9"/>
      <color rgb="FFFF0000"/>
      <name val="Calibri"/>
      <family val="2"/>
      <scheme val="minor"/>
    </font>
    <font>
      <b/>
      <i/>
      <sz val="10"/>
      <color rgb="FFFF0000"/>
      <name val="Calibri"/>
      <family val="2"/>
      <scheme val="minor"/>
    </font>
    <font>
      <b/>
      <i/>
      <sz val="11"/>
      <color rgb="FFFF0000"/>
      <name val="Calibri"/>
      <family val="2"/>
      <scheme val="minor"/>
    </font>
    <font>
      <b/>
      <sz val="10.5"/>
      <color theme="0"/>
      <name val="Calibri"/>
      <family val="2"/>
      <scheme val="minor"/>
    </font>
    <font>
      <sz val="10"/>
      <color theme="0"/>
      <name val="Calibri"/>
      <family val="2"/>
      <scheme val="minor"/>
    </font>
    <font>
      <b/>
      <i/>
      <sz val="11"/>
      <color theme="1"/>
      <name val="Calibri"/>
      <family val="2"/>
      <scheme val="minor"/>
    </font>
    <font>
      <b/>
      <sz val="13"/>
      <color rgb="FFC00000"/>
      <name val="Calibri"/>
      <family val="2"/>
      <scheme val="minor"/>
    </font>
    <font>
      <sz val="9"/>
      <name val="Calibri"/>
      <family val="2"/>
      <scheme val="minor"/>
    </font>
    <font>
      <b/>
      <sz val="10"/>
      <color rgb="FFFF0000"/>
      <name val="Calibri"/>
      <family val="2"/>
      <scheme val="minor"/>
    </font>
    <font>
      <i/>
      <sz val="11"/>
      <color theme="0"/>
      <name val="Calibri"/>
      <family val="2"/>
      <scheme val="minor"/>
    </font>
    <font>
      <sz val="11"/>
      <color rgb="FF444444"/>
      <name val="Calibri"/>
      <family val="2"/>
      <scheme val="minor"/>
    </font>
    <font>
      <b/>
      <sz val="12"/>
      <color theme="8" tint="0.79998168889431442"/>
      <name val="Calibri"/>
      <family val="2"/>
      <scheme val="minor"/>
    </font>
    <font>
      <b/>
      <sz val="12"/>
      <color theme="9" tint="0.39997558519241921"/>
      <name val="Calibri"/>
      <family val="2"/>
      <scheme val="minor"/>
    </font>
    <font>
      <sz val="8"/>
      <color rgb="FFFF0000"/>
      <name val="Calibri"/>
      <family val="2"/>
      <scheme val="minor"/>
    </font>
    <font>
      <b/>
      <sz val="8"/>
      <color theme="1"/>
      <name val="Calibri"/>
      <family val="2"/>
      <scheme val="minor"/>
    </font>
    <font>
      <sz val="12"/>
      <color theme="8" tint="0.79998168889431442"/>
      <name val="Calibri"/>
      <family val="2"/>
      <scheme val="minor"/>
    </font>
    <font>
      <i/>
      <sz val="10"/>
      <color theme="1"/>
      <name val="Calibri"/>
      <family val="2"/>
      <scheme val="minor"/>
    </font>
    <font>
      <sz val="10"/>
      <color rgb="FF202124"/>
      <name val="Arial"/>
      <family val="2"/>
    </font>
    <font>
      <sz val="11"/>
      <color rgb="FF222222"/>
      <name val="Calibri"/>
      <family val="2"/>
    </font>
    <font>
      <b/>
      <sz val="10"/>
      <color rgb="FF000000"/>
      <name val="Calibri"/>
      <family val="2"/>
      <scheme val="minor"/>
    </font>
    <font>
      <b/>
      <sz val="11"/>
      <color rgb="FFFFFFFF"/>
      <name val="Calibri"/>
      <family val="2"/>
      <scheme val="minor"/>
    </font>
    <font>
      <sz val="10"/>
      <color indexed="8"/>
      <name val="Calibri"/>
      <family val="2"/>
      <scheme val="minor"/>
    </font>
    <font>
      <sz val="8"/>
      <color theme="0"/>
      <name val="Calibri"/>
      <family val="2"/>
      <scheme val="minor"/>
    </font>
    <font>
      <b/>
      <sz val="8"/>
      <color theme="0"/>
      <name val="Calibri"/>
      <family val="2"/>
      <scheme val="minor"/>
    </font>
    <font>
      <b/>
      <sz val="11"/>
      <color indexed="21"/>
      <name val="Calibri"/>
      <family val="2"/>
      <scheme val="minor"/>
    </font>
    <font>
      <b/>
      <sz val="11"/>
      <color indexed="81"/>
      <name val="Calibri"/>
      <family val="2"/>
      <scheme val="minor"/>
    </font>
    <font>
      <b/>
      <sz val="10"/>
      <color indexed="81"/>
      <name val="Calibri"/>
      <family val="2"/>
      <scheme val="minor"/>
    </font>
    <font>
      <b/>
      <sz val="9"/>
      <color indexed="81"/>
      <name val="Tahoma"/>
      <family val="2"/>
    </font>
    <font>
      <sz val="10"/>
      <color rgb="FF000000"/>
      <name val="Calibri"/>
      <family val="2"/>
      <scheme val="minor"/>
    </font>
    <font>
      <sz val="11"/>
      <color theme="4" tint="0.79998168889431442"/>
      <name val="Calibri"/>
      <family val="2"/>
      <scheme val="minor"/>
    </font>
    <font>
      <b/>
      <sz val="11"/>
      <color theme="4" tint="0.79998168889431442"/>
      <name val="Calibri"/>
      <family val="2"/>
      <scheme val="minor"/>
    </font>
  </fonts>
  <fills count="4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tint="-0.249977111117893"/>
        <bgColor indexed="64"/>
      </patternFill>
    </fill>
    <fill>
      <patternFill patternType="solid">
        <fgColor rgb="FFFFFF00"/>
        <bgColor indexed="64"/>
      </patternFill>
    </fill>
    <fill>
      <patternFill patternType="solid">
        <fgColor theme="4" tint="0.59999389629810485"/>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rgb="FF002060"/>
        <bgColor indexed="64"/>
      </patternFill>
    </fill>
    <fill>
      <patternFill patternType="solid">
        <fgColor rgb="FFC00000"/>
        <bgColor indexed="64"/>
      </patternFill>
    </fill>
    <fill>
      <patternFill patternType="solid">
        <fgColor rgb="FF92D050"/>
        <bgColor indexed="64"/>
      </patternFill>
    </fill>
    <fill>
      <patternFill patternType="solid">
        <fgColor theme="4" tint="-0.249977111117893"/>
        <bgColor indexed="64"/>
      </patternFill>
    </fill>
    <fill>
      <patternFill patternType="solid">
        <fgColor theme="1"/>
        <bgColor indexed="64"/>
      </patternFill>
    </fill>
    <fill>
      <patternFill patternType="solid">
        <fgColor theme="7" tint="0.59999389629810485"/>
        <bgColor indexed="64"/>
      </patternFill>
    </fill>
    <fill>
      <patternFill patternType="solid">
        <fgColor theme="0" tint="-0.499984740745262"/>
        <bgColor indexed="64"/>
      </patternFill>
    </fill>
    <fill>
      <patternFill patternType="solid">
        <fgColor theme="9" tint="0.59999389629810485"/>
        <bgColor indexed="64"/>
      </patternFill>
    </fill>
    <fill>
      <patternFill patternType="solid">
        <fgColor rgb="FFFFA3A3"/>
        <bgColor indexed="64"/>
      </patternFill>
    </fill>
    <fill>
      <patternFill patternType="solid">
        <fgColor theme="5" tint="0.59999389629810485"/>
        <bgColor indexed="64"/>
      </patternFill>
    </fill>
    <fill>
      <patternFill patternType="solid">
        <fgColor rgb="FFFF0000"/>
        <bgColor indexed="64"/>
      </patternFill>
    </fill>
    <fill>
      <patternFill patternType="solid">
        <fgColor theme="7"/>
        <bgColor indexed="64"/>
      </patternFill>
    </fill>
    <fill>
      <patternFill patternType="solid">
        <fgColor theme="9" tint="0.39997558519241921"/>
        <bgColor indexed="64"/>
      </patternFill>
    </fill>
    <fill>
      <patternFill patternType="solid">
        <fgColor theme="4" tint="0.39997558519241921"/>
        <bgColor indexed="64"/>
      </patternFill>
    </fill>
    <fill>
      <patternFill patternType="solid">
        <fgColor rgb="FF76923C"/>
        <bgColor indexed="64"/>
      </patternFill>
    </fill>
    <fill>
      <patternFill patternType="solid">
        <fgColor rgb="FFF79646"/>
        <bgColor indexed="64"/>
      </patternFill>
    </fill>
    <fill>
      <patternFill patternType="solid">
        <fgColor rgb="FFA6A6A6"/>
        <bgColor indexed="64"/>
      </patternFill>
    </fill>
    <fill>
      <patternFill patternType="solid">
        <fgColor rgb="FF00B050"/>
        <bgColor indexed="64"/>
      </patternFill>
    </fill>
    <fill>
      <patternFill patternType="solid">
        <fgColor rgb="FFFFCCCC"/>
        <bgColor indexed="64"/>
      </patternFill>
    </fill>
    <fill>
      <patternFill patternType="solid">
        <fgColor theme="5" tint="0.39997558519241921"/>
        <bgColor indexed="64"/>
      </patternFill>
    </fill>
    <fill>
      <patternFill patternType="solid">
        <fgColor theme="4"/>
        <bgColor indexed="64"/>
      </patternFill>
    </fill>
    <fill>
      <patternFill patternType="solid">
        <fgColor rgb="FFFFC7CE"/>
        <bgColor indexed="64"/>
      </patternFill>
    </fill>
    <fill>
      <patternFill patternType="solid">
        <fgColor theme="3" tint="0.79998168889431442"/>
        <bgColor indexed="64"/>
      </patternFill>
    </fill>
    <fill>
      <patternFill patternType="solid">
        <fgColor theme="0" tint="-0.24994659260841701"/>
        <bgColor indexed="64"/>
      </patternFill>
    </fill>
    <fill>
      <patternFill patternType="solid">
        <fgColor indexed="13"/>
        <bgColor indexed="64"/>
      </patternFill>
    </fill>
    <fill>
      <patternFill patternType="solid">
        <fgColor rgb="FF002060"/>
        <bgColor rgb="FF000000"/>
      </patternFill>
    </fill>
    <fill>
      <patternFill patternType="solid">
        <fgColor rgb="FFBFBFBF"/>
        <bgColor indexed="64"/>
      </patternFill>
    </fill>
    <fill>
      <patternFill patternType="solid">
        <fgColor indexed="22"/>
        <bgColor indexed="64"/>
      </patternFill>
    </fill>
    <fill>
      <patternFill patternType="solid">
        <fgColor rgb="FFF4B084"/>
        <bgColor indexed="64"/>
      </patternFill>
    </fill>
    <fill>
      <patternFill patternType="solid">
        <fgColor indexed="9"/>
        <bgColor indexed="64"/>
      </patternFill>
    </fill>
    <fill>
      <patternFill patternType="solid">
        <fgColor theme="8" tint="0.59999389629810485"/>
        <bgColor indexed="64"/>
      </patternFill>
    </fill>
  </fills>
  <borders count="91">
    <border>
      <left/>
      <right/>
      <top/>
      <bottom/>
      <diagonal/>
    </border>
    <border>
      <left/>
      <right style="thin">
        <color indexed="64"/>
      </right>
      <top/>
      <bottom style="thin">
        <color indexed="64"/>
      </bottom>
      <diagonal/>
    </border>
    <border>
      <left/>
      <right/>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right/>
      <top style="medium">
        <color indexed="64"/>
      </top>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top/>
      <bottom/>
      <diagonal/>
    </border>
    <border>
      <left style="medium">
        <color indexed="64"/>
      </left>
      <right/>
      <top/>
      <bottom style="medium">
        <color indexed="64"/>
      </bottom>
      <diagonal/>
    </border>
    <border>
      <left style="thin">
        <color indexed="64"/>
      </left>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diagonal/>
    </border>
    <border>
      <left style="medium">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medium">
        <color indexed="64"/>
      </top>
      <bottom/>
      <diagonal/>
    </border>
    <border>
      <left/>
      <right style="medium">
        <color indexed="64"/>
      </right>
      <top/>
      <bottom/>
      <diagonal/>
    </border>
    <border>
      <left/>
      <right style="medium">
        <color indexed="64"/>
      </right>
      <top/>
      <bottom style="medium">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medium">
        <color indexed="64"/>
      </bottom>
      <diagonal/>
    </border>
    <border>
      <left style="thin">
        <color indexed="64"/>
      </left>
      <right/>
      <top style="thin">
        <color indexed="64"/>
      </top>
      <bottom style="medium">
        <color indexed="64"/>
      </bottom>
      <diagonal/>
    </border>
    <border>
      <left/>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indexed="64"/>
      </top>
      <bottom style="thin">
        <color indexed="64"/>
      </bottom>
      <diagonal/>
    </border>
    <border>
      <left style="medium">
        <color indexed="64"/>
      </left>
      <right style="thin">
        <color indexed="64"/>
      </right>
      <top/>
      <bottom style="thin">
        <color indexed="64"/>
      </bottom>
      <diagonal/>
    </border>
    <border>
      <left style="thin">
        <color indexed="64"/>
      </left>
      <right style="thin">
        <color indexed="64"/>
      </right>
      <top style="medium">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thin">
        <color indexed="64"/>
      </right>
      <top/>
      <bottom/>
      <diagonal/>
    </border>
    <border>
      <left style="thin">
        <color indexed="64"/>
      </left>
      <right style="medium">
        <color indexed="64"/>
      </right>
      <top/>
      <bottom/>
      <diagonal/>
    </border>
    <border>
      <left style="medium">
        <color indexed="64"/>
      </left>
      <right style="medium">
        <color indexed="64"/>
      </right>
      <top style="medium">
        <color indexed="64"/>
      </top>
      <bottom/>
      <diagonal/>
    </border>
    <border>
      <left/>
      <right style="thin">
        <color indexed="64"/>
      </right>
      <top style="thin">
        <color indexed="64"/>
      </top>
      <bottom style="thin">
        <color indexed="64"/>
      </bottom>
      <diagonal/>
    </border>
    <border>
      <left style="thin">
        <color indexed="64"/>
      </left>
      <right/>
      <top style="medium">
        <color indexed="64"/>
      </top>
      <bottom style="medium">
        <color indexed="64"/>
      </bottom>
      <diagonal/>
    </border>
    <border>
      <left style="thin">
        <color indexed="64"/>
      </left>
      <right style="medium">
        <color indexed="64"/>
      </right>
      <top style="medium">
        <color indexed="64"/>
      </top>
      <bottom/>
      <diagonal/>
    </border>
    <border>
      <left style="thin">
        <color indexed="64"/>
      </left>
      <right style="medium">
        <color indexed="64"/>
      </right>
      <top/>
      <bottom style="medium">
        <color indexed="64"/>
      </bottom>
      <diagonal/>
    </border>
    <border>
      <left style="thin">
        <color indexed="64"/>
      </left>
      <right style="thin">
        <color indexed="64"/>
      </right>
      <top style="thin">
        <color indexed="64"/>
      </top>
      <bottom/>
      <diagonal/>
    </border>
    <border>
      <left style="medium">
        <color indexed="64"/>
      </left>
      <right/>
      <top/>
      <bottom style="thin">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medium">
        <color indexed="64"/>
      </top>
      <bottom/>
      <diagonal/>
    </border>
    <border>
      <left/>
      <right style="thin">
        <color indexed="64"/>
      </right>
      <top/>
      <bottom style="medium">
        <color indexed="64"/>
      </bottom>
      <diagonal/>
    </border>
    <border>
      <left/>
      <right/>
      <top style="medium">
        <color indexed="64"/>
      </top>
      <bottom style="medium">
        <color indexed="64"/>
      </bottom>
      <diagonal/>
    </border>
    <border>
      <left style="thin">
        <color indexed="64"/>
      </left>
      <right/>
      <top/>
      <bottom style="medium">
        <color indexed="64"/>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right style="thin">
        <color indexed="64"/>
      </right>
      <top style="medium">
        <color indexed="64"/>
      </top>
      <bottom style="medium">
        <color indexed="64"/>
      </bottom>
      <diagonal/>
    </border>
    <border>
      <left style="medium">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style="thin">
        <color indexed="64"/>
      </right>
      <top style="thin">
        <color indexed="64"/>
      </top>
      <bottom style="double">
        <color indexed="64"/>
      </bottom>
      <diagonal/>
    </border>
    <border>
      <left style="medium">
        <color indexed="64"/>
      </left>
      <right style="thin">
        <color indexed="64"/>
      </right>
      <top style="thin">
        <color indexed="64"/>
      </top>
      <bottom style="double">
        <color indexed="64"/>
      </bottom>
      <diagonal/>
    </border>
    <border>
      <left style="thin">
        <color indexed="64"/>
      </left>
      <right style="medium">
        <color indexed="64"/>
      </right>
      <top style="thin">
        <color indexed="64"/>
      </top>
      <bottom style="double">
        <color indexed="64"/>
      </bottom>
      <diagonal/>
    </border>
    <border>
      <left/>
      <right style="thin">
        <color indexed="64"/>
      </right>
      <top style="medium">
        <color indexed="64"/>
      </top>
      <bottom style="thin">
        <color indexed="64"/>
      </bottom>
      <diagonal/>
    </border>
    <border>
      <left style="medium">
        <color indexed="64"/>
      </left>
      <right/>
      <top style="thin">
        <color indexed="64"/>
      </top>
      <bottom/>
      <diagonal/>
    </border>
    <border>
      <left/>
      <right style="medium">
        <color indexed="64"/>
      </right>
      <top style="thin">
        <color indexed="64"/>
      </top>
      <bottom/>
      <diagonal/>
    </border>
    <border>
      <left style="thin">
        <color indexed="64"/>
      </left>
      <right/>
      <top style="thin">
        <color indexed="64"/>
      </top>
      <bottom style="double">
        <color indexed="64"/>
      </bottom>
      <diagonal/>
    </border>
    <border>
      <left/>
      <right/>
      <top style="thin">
        <color indexed="64"/>
      </top>
      <bottom style="double">
        <color indexed="64"/>
      </bottom>
      <diagonal/>
    </border>
    <border>
      <left/>
      <right style="thin">
        <color indexed="64"/>
      </right>
      <top style="thin">
        <color indexed="64"/>
      </top>
      <bottom style="double">
        <color indexed="64"/>
      </bottom>
      <diagonal/>
    </border>
    <border>
      <left/>
      <right style="medium">
        <color indexed="64"/>
      </right>
      <top/>
      <bottom style="thin">
        <color indexed="64"/>
      </bottom>
      <diagonal/>
    </border>
    <border>
      <left/>
      <right style="medium">
        <color indexed="64"/>
      </right>
      <top style="thin">
        <color indexed="64"/>
      </top>
      <bottom style="double">
        <color indexed="64"/>
      </bottom>
      <diagonal/>
    </border>
    <border>
      <left style="thin">
        <color indexed="64"/>
      </left>
      <right style="medium">
        <color indexed="64"/>
      </right>
      <top style="thin">
        <color indexed="64"/>
      </top>
      <bottom/>
      <diagonal/>
    </border>
    <border>
      <left style="thin">
        <color indexed="64"/>
      </left>
      <right style="thin">
        <color indexed="64"/>
      </right>
      <top style="medium">
        <color indexed="64"/>
      </top>
      <bottom/>
      <diagonal/>
    </border>
    <border>
      <left style="thin">
        <color indexed="64"/>
      </left>
      <right/>
      <top style="medium">
        <color indexed="64"/>
      </top>
      <bottom/>
      <diagonal/>
    </border>
    <border>
      <left style="thin">
        <color rgb="FF000000"/>
      </left>
      <right style="thin">
        <color rgb="FF000000"/>
      </right>
      <top style="thin">
        <color rgb="FF000000"/>
      </top>
      <bottom style="thin">
        <color rgb="FF000000"/>
      </bottom>
      <diagonal/>
    </border>
    <border>
      <left style="medium">
        <color indexed="64"/>
      </left>
      <right style="thin">
        <color rgb="FF000000"/>
      </right>
      <top style="thin">
        <color rgb="FF000000"/>
      </top>
      <bottom style="thin">
        <color rgb="FF000000"/>
      </bottom>
      <diagonal/>
    </border>
    <border>
      <left style="thin">
        <color rgb="FF000000"/>
      </left>
      <right/>
      <top style="thin">
        <color rgb="FF000000"/>
      </top>
      <bottom style="thin">
        <color rgb="FF000000"/>
      </bottom>
      <diagonal/>
    </border>
    <border>
      <left style="medium">
        <color indexed="64"/>
      </left>
      <right style="thin">
        <color rgb="FF000000"/>
      </right>
      <top style="thin">
        <color rgb="FF000000"/>
      </top>
      <bottom style="medium">
        <color indexed="64"/>
      </bottom>
      <diagonal/>
    </border>
    <border>
      <left style="thin">
        <color rgb="FF000000"/>
      </left>
      <right style="thin">
        <color rgb="FF000000"/>
      </right>
      <top style="thin">
        <color rgb="FF000000"/>
      </top>
      <bottom style="medium">
        <color indexed="64"/>
      </bottom>
      <diagonal/>
    </border>
    <border>
      <left style="thin">
        <color rgb="FF000000"/>
      </left>
      <right/>
      <top style="thin">
        <color rgb="FF000000"/>
      </top>
      <bottom style="medium">
        <color indexed="64"/>
      </bottom>
      <diagonal/>
    </border>
    <border>
      <left style="medium">
        <color indexed="64"/>
      </left>
      <right style="medium">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medium">
        <color indexed="64"/>
      </bottom>
      <diagonal/>
    </border>
    <border>
      <left style="medium">
        <color indexed="64"/>
      </left>
      <right style="thin">
        <color indexed="64"/>
      </right>
      <top style="medium">
        <color indexed="64"/>
      </top>
      <bottom/>
      <diagonal/>
    </border>
  </borders>
  <cellStyleXfs count="8">
    <xf numFmtId="0" fontId="0" fillId="0" borderId="0"/>
    <xf numFmtId="43" fontId="2" fillId="0" borderId="0" applyFont="0" applyFill="0" applyBorder="0" applyAlignment="0" applyProtection="0"/>
    <xf numFmtId="9" fontId="2" fillId="0" borderId="0" applyFont="0" applyFill="0" applyBorder="0" applyAlignment="0" applyProtection="0"/>
    <xf numFmtId="44" fontId="2" fillId="0" borderId="0" applyFont="0" applyFill="0" applyBorder="0" applyAlignment="0" applyProtection="0"/>
    <xf numFmtId="0" fontId="20" fillId="0" borderId="0"/>
    <xf numFmtId="0" fontId="39" fillId="0" borderId="0"/>
    <xf numFmtId="0" fontId="2" fillId="0" borderId="0"/>
    <xf numFmtId="9" fontId="2" fillId="0" borderId="0" applyFont="0" applyFill="0" applyBorder="0" applyAlignment="0" applyProtection="0"/>
  </cellStyleXfs>
  <cellXfs count="1616">
    <xf numFmtId="0" fontId="0" fillId="0" borderId="0" xfId="0"/>
    <xf numFmtId="0" fontId="0" fillId="0" borderId="9" xfId="0" applyBorder="1"/>
    <xf numFmtId="0" fontId="0" fillId="0" borderId="0" xfId="0" applyAlignment="1">
      <alignment horizontal="center"/>
    </xf>
    <xf numFmtId="0" fontId="10" fillId="0" borderId="0" xfId="0" applyFont="1" applyAlignment="1">
      <alignment vertical="center"/>
    </xf>
    <xf numFmtId="0" fontId="11" fillId="0" borderId="0" xfId="0" applyFont="1" applyAlignment="1">
      <alignment vertical="center"/>
    </xf>
    <xf numFmtId="0" fontId="0" fillId="0" borderId="0" xfId="0" applyAlignment="1">
      <alignment vertical="center"/>
    </xf>
    <xf numFmtId="0" fontId="8" fillId="11" borderId="9" xfId="0" applyFont="1" applyFill="1" applyBorder="1" applyAlignment="1">
      <alignment horizontal="center" vertical="center"/>
    </xf>
    <xf numFmtId="0" fontId="3" fillId="10" borderId="0" xfId="0" applyFont="1" applyFill="1" applyAlignment="1">
      <alignment horizontal="right" vertical="center"/>
    </xf>
    <xf numFmtId="0" fontId="3" fillId="0" borderId="9" xfId="0" applyFont="1" applyBorder="1" applyAlignment="1">
      <alignment horizontal="right" vertical="center"/>
    </xf>
    <xf numFmtId="0" fontId="11" fillId="0" borderId="0" xfId="0" applyFont="1" applyAlignment="1">
      <alignment horizontal="center" vertical="center"/>
    </xf>
    <xf numFmtId="0" fontId="11" fillId="0" borderId="0" xfId="0" applyFont="1" applyAlignment="1">
      <alignment horizontal="center"/>
    </xf>
    <xf numFmtId="0" fontId="17" fillId="0" borderId="0" xfId="0" applyFont="1" applyAlignment="1">
      <alignment horizontal="center"/>
    </xf>
    <xf numFmtId="166" fontId="3" fillId="0" borderId="9" xfId="0" applyNumberFormat="1" applyFont="1" applyBorder="1" applyAlignment="1">
      <alignment vertical="center"/>
    </xf>
    <xf numFmtId="166" fontId="3" fillId="0" borderId="9" xfId="3" applyNumberFormat="1" applyFont="1" applyBorder="1" applyAlignment="1">
      <alignment vertical="center"/>
    </xf>
    <xf numFmtId="0" fontId="10" fillId="0" borderId="0" xfId="0" applyFont="1" applyAlignment="1">
      <alignment horizontal="center" vertical="center"/>
    </xf>
    <xf numFmtId="0" fontId="0" fillId="0" borderId="9" xfId="0" applyBorder="1" applyAlignment="1">
      <alignment horizontal="center"/>
    </xf>
    <xf numFmtId="0" fontId="22" fillId="0" borderId="9" xfId="0" applyFont="1" applyBorder="1" applyAlignment="1">
      <alignment horizontal="right" vertical="center"/>
    </xf>
    <xf numFmtId="0" fontId="23" fillId="0" borderId="9" xfId="0" applyFont="1" applyBorder="1" applyAlignment="1">
      <alignment horizontal="right" vertical="center"/>
    </xf>
    <xf numFmtId="10" fontId="0" fillId="0" borderId="0" xfId="0" applyNumberFormat="1"/>
    <xf numFmtId="43" fontId="0" fillId="0" borderId="0" xfId="1" applyFont="1"/>
    <xf numFmtId="44" fontId="0" fillId="0" borderId="0" xfId="3" applyFont="1"/>
    <xf numFmtId="0" fontId="0" fillId="0" borderId="0" xfId="0" applyAlignment="1">
      <alignment horizontal="center" wrapText="1"/>
    </xf>
    <xf numFmtId="10" fontId="0" fillId="0" borderId="0" xfId="2" applyNumberFormat="1" applyFont="1"/>
    <xf numFmtId="166" fontId="0" fillId="0" borderId="0" xfId="0" applyNumberFormat="1"/>
    <xf numFmtId="164" fontId="0" fillId="0" borderId="0" xfId="2" applyNumberFormat="1" applyFont="1"/>
    <xf numFmtId="44" fontId="0" fillId="0" borderId="0" xfId="0" applyNumberFormat="1"/>
    <xf numFmtId="165" fontId="0" fillId="0" borderId="0" xfId="1" applyNumberFormat="1" applyFont="1"/>
    <xf numFmtId="0" fontId="4" fillId="0" borderId="0" xfId="0" applyFont="1" applyAlignment="1">
      <alignment horizontal="center"/>
    </xf>
    <xf numFmtId="0" fontId="8" fillId="17" borderId="45" xfId="0" applyFont="1" applyFill="1" applyBorder="1" applyAlignment="1">
      <alignment horizontal="center"/>
    </xf>
    <xf numFmtId="0" fontId="8" fillId="17" borderId="24" xfId="0" applyFont="1" applyFill="1" applyBorder="1" applyAlignment="1">
      <alignment horizontal="center"/>
    </xf>
    <xf numFmtId="0" fontId="0" fillId="0" borderId="8" xfId="0" applyBorder="1"/>
    <xf numFmtId="0" fontId="0" fillId="0" borderId="10" xfId="0" applyBorder="1" applyAlignment="1">
      <alignment horizontal="center"/>
    </xf>
    <xf numFmtId="0" fontId="0" fillId="0" borderId="4" xfId="0" applyBorder="1"/>
    <xf numFmtId="0" fontId="0" fillId="0" borderId="10" xfId="0" applyBorder="1"/>
    <xf numFmtId="0" fontId="24" fillId="10" borderId="0" xfId="0" applyFont="1" applyFill="1" applyAlignment="1">
      <alignment horizontal="center" vertical="top" wrapText="1"/>
    </xf>
    <xf numFmtId="0" fontId="8" fillId="10" borderId="20" xfId="0" applyFont="1" applyFill="1" applyBorder="1" applyAlignment="1">
      <alignment horizontal="center" vertical="center"/>
    </xf>
    <xf numFmtId="166" fontId="3" fillId="10" borderId="20" xfId="0" applyNumberFormat="1" applyFont="1" applyFill="1" applyBorder="1" applyAlignment="1">
      <alignment vertical="center"/>
    </xf>
    <xf numFmtId="166" fontId="3" fillId="10" borderId="20" xfId="3" applyNumberFormat="1" applyFont="1" applyFill="1" applyBorder="1" applyAlignment="1">
      <alignment vertical="center"/>
    </xf>
    <xf numFmtId="166" fontId="0" fillId="0" borderId="0" xfId="3" applyNumberFormat="1" applyFont="1"/>
    <xf numFmtId="9" fontId="0" fillId="0" borderId="0" xfId="0" applyNumberFormat="1"/>
    <xf numFmtId="0" fontId="0" fillId="7" borderId="0" xfId="0" applyFill="1" applyAlignment="1">
      <alignment horizontal="center"/>
    </xf>
    <xf numFmtId="0" fontId="0" fillId="10" borderId="0" xfId="0" applyFill="1"/>
    <xf numFmtId="0" fontId="10" fillId="0" borderId="9" xfId="0" applyFont="1" applyBorder="1" applyAlignment="1">
      <alignment horizontal="center" vertical="center"/>
    </xf>
    <xf numFmtId="0" fontId="11" fillId="0" borderId="9" xfId="0" applyFont="1" applyBorder="1" applyAlignment="1">
      <alignment horizontal="center" vertical="center"/>
    </xf>
    <xf numFmtId="0" fontId="11" fillId="0" borderId="9" xfId="0" applyFont="1" applyBorder="1" applyAlignment="1">
      <alignment horizontal="center"/>
    </xf>
    <xf numFmtId="10" fontId="0" fillId="0" borderId="9" xfId="2" applyNumberFormat="1" applyFont="1" applyBorder="1"/>
    <xf numFmtId="164" fontId="11" fillId="0" borderId="9" xfId="2" applyNumberFormat="1" applyFont="1" applyBorder="1" applyAlignment="1">
      <alignment horizontal="center"/>
    </xf>
    <xf numFmtId="0" fontId="0" fillId="0" borderId="24" xfId="0" applyBorder="1" applyAlignment="1">
      <alignment horizontal="right"/>
    </xf>
    <xf numFmtId="0" fontId="0" fillId="0" borderId="51" xfId="0" applyBorder="1" applyAlignment="1">
      <alignment horizontal="center"/>
    </xf>
    <xf numFmtId="10" fontId="0" fillId="0" borderId="51" xfId="2" applyNumberFormat="1" applyFont="1" applyBorder="1" applyAlignment="1">
      <alignment horizontal="center"/>
    </xf>
    <xf numFmtId="164" fontId="0" fillId="0" borderId="9" xfId="2" applyNumberFormat="1" applyFont="1" applyBorder="1"/>
    <xf numFmtId="0" fontId="0" fillId="0" borderId="6" xfId="0" applyBorder="1"/>
    <xf numFmtId="0" fontId="0" fillId="3" borderId="9" xfId="0" applyFill="1" applyBorder="1"/>
    <xf numFmtId="44" fontId="0" fillId="0" borderId="0" xfId="0" applyNumberFormat="1" applyAlignment="1">
      <alignment horizontal="center"/>
    </xf>
    <xf numFmtId="0" fontId="3" fillId="0" borderId="0" xfId="0" applyFont="1" applyAlignment="1">
      <alignment horizontal="center" vertical="center"/>
    </xf>
    <xf numFmtId="164" fontId="0" fillId="0" borderId="0" xfId="0" applyNumberFormat="1"/>
    <xf numFmtId="0" fontId="0" fillId="3" borderId="9" xfId="0" applyFill="1" applyBorder="1" applyAlignment="1">
      <alignment horizontal="left" indent="1"/>
    </xf>
    <xf numFmtId="170" fontId="0" fillId="0" borderId="0" xfId="1" applyNumberFormat="1" applyFont="1"/>
    <xf numFmtId="9" fontId="0" fillId="0" borderId="0" xfId="2" applyFont="1"/>
    <xf numFmtId="0" fontId="39" fillId="0" borderId="0" xfId="5"/>
    <xf numFmtId="0" fontId="38" fillId="0" borderId="0" xfId="5" applyFont="1"/>
    <xf numFmtId="2" fontId="38" fillId="0" borderId="0" xfId="5" applyNumberFormat="1" applyFont="1"/>
    <xf numFmtId="171" fontId="38" fillId="0" borderId="0" xfId="5" applyNumberFormat="1" applyFont="1"/>
    <xf numFmtId="0" fontId="42" fillId="0" borderId="0" xfId="0" applyFont="1"/>
    <xf numFmtId="44" fontId="3" fillId="10" borderId="0" xfId="3" applyFont="1" applyFill="1" applyAlignment="1">
      <alignment vertical="center"/>
    </xf>
    <xf numFmtId="2" fontId="0" fillId="0" borderId="0" xfId="2" applyNumberFormat="1" applyFont="1"/>
    <xf numFmtId="2" fontId="39" fillId="0" borderId="0" xfId="5" applyNumberFormat="1"/>
    <xf numFmtId="2" fontId="0" fillId="0" borderId="0" xfId="0" applyNumberFormat="1"/>
    <xf numFmtId="0" fontId="20" fillId="0" borderId="0" xfId="0" applyFont="1"/>
    <xf numFmtId="164" fontId="0" fillId="2" borderId="9" xfId="2" applyNumberFormat="1" applyFont="1" applyFill="1" applyBorder="1" applyAlignment="1">
      <alignment horizontal="center" vertical="center"/>
    </xf>
    <xf numFmtId="0" fontId="39" fillId="22" borderId="0" xfId="5" applyFill="1"/>
    <xf numFmtId="2" fontId="39" fillId="0" borderId="0" xfId="2" applyNumberFormat="1" applyFont="1"/>
    <xf numFmtId="0" fontId="52" fillId="0" borderId="0" xfId="0" applyFont="1" applyAlignment="1">
      <alignment horizontal="justify" vertical="center"/>
    </xf>
    <xf numFmtId="0" fontId="54" fillId="0" borderId="0" xfId="0" applyFont="1" applyAlignment="1">
      <alignment horizontal="justify" vertical="center"/>
    </xf>
    <xf numFmtId="0" fontId="0" fillId="0" borderId="0" xfId="0" applyAlignment="1">
      <alignment horizontal="justify" vertical="center" wrapText="1"/>
    </xf>
    <xf numFmtId="0" fontId="0" fillId="0" borderId="11" xfId="0" applyBorder="1" applyAlignment="1">
      <alignment horizontal="justify" vertical="center" wrapText="1"/>
    </xf>
    <xf numFmtId="0" fontId="0" fillId="0" borderId="0" xfId="0" applyAlignment="1">
      <alignment horizontal="right" vertical="center" wrapText="1"/>
    </xf>
    <xf numFmtId="0" fontId="0" fillId="0" borderId="0" xfId="0" applyAlignment="1">
      <alignment horizontal="left" vertical="center" wrapText="1" indent="5"/>
    </xf>
    <xf numFmtId="0" fontId="0" fillId="0" borderId="0" xfId="0" applyAlignment="1">
      <alignment vertical="center" wrapText="1"/>
    </xf>
    <xf numFmtId="0" fontId="0" fillId="0" borderId="0" xfId="0" applyAlignment="1">
      <alignment horizontal="left" vertical="center" wrapText="1"/>
    </xf>
    <xf numFmtId="0" fontId="0" fillId="0" borderId="0" xfId="0" applyAlignment="1">
      <alignment horizontal="center" vertical="center" wrapText="1"/>
    </xf>
    <xf numFmtId="0" fontId="0" fillId="0" borderId="0" xfId="0" applyAlignment="1">
      <alignment horizontal="left" vertical="center" wrapText="1" indent="3"/>
    </xf>
    <xf numFmtId="0" fontId="0" fillId="0" borderId="0" xfId="0" applyAlignment="1">
      <alignment horizontal="left" vertical="center" wrapText="1" indent="2"/>
    </xf>
    <xf numFmtId="0" fontId="0" fillId="0" borderId="0" xfId="0" applyAlignment="1">
      <alignment horizontal="right"/>
    </xf>
    <xf numFmtId="0" fontId="42" fillId="0" borderId="0" xfId="0" applyFont="1" applyAlignment="1">
      <alignment horizontal="left"/>
    </xf>
    <xf numFmtId="0" fontId="0" fillId="0" borderId="9" xfId="0" applyBorder="1" applyAlignment="1">
      <alignment horizontal="right"/>
    </xf>
    <xf numFmtId="0" fontId="0" fillId="2" borderId="9" xfId="0" applyFill="1" applyBorder="1" applyAlignment="1">
      <alignment horizontal="center"/>
    </xf>
    <xf numFmtId="43" fontId="42" fillId="0" borderId="9" xfId="1" applyFont="1" applyBorder="1"/>
    <xf numFmtId="0" fontId="42" fillId="0" borderId="36" xfId="0" applyFont="1" applyBorder="1"/>
    <xf numFmtId="0" fontId="42" fillId="0" borderId="64" xfId="0" applyFont="1" applyBorder="1" applyAlignment="1">
      <alignment horizontal="center"/>
    </xf>
    <xf numFmtId="0" fontId="42" fillId="0" borderId="45" xfId="0" applyFont="1" applyBorder="1" applyAlignment="1">
      <alignment horizontal="center"/>
    </xf>
    <xf numFmtId="0" fontId="42" fillId="0" borderId="25" xfId="0" applyFont="1" applyBorder="1" applyAlignment="1">
      <alignment horizontal="center"/>
    </xf>
    <xf numFmtId="44" fontId="42" fillId="0" borderId="5" xfId="3" applyFont="1" applyBorder="1"/>
    <xf numFmtId="43" fontId="42" fillId="0" borderId="6" xfId="1" applyFont="1" applyBorder="1"/>
    <xf numFmtId="44" fontId="42" fillId="0" borderId="7" xfId="3" applyFont="1" applyBorder="1"/>
    <xf numFmtId="44" fontId="42" fillId="0" borderId="3" xfId="3" applyFont="1" applyBorder="1"/>
    <xf numFmtId="44" fontId="42" fillId="0" borderId="26" xfId="3" applyFont="1" applyBorder="1"/>
    <xf numFmtId="44" fontId="42" fillId="0" borderId="4" xfId="3" applyFont="1" applyBorder="1"/>
    <xf numFmtId="43" fontId="42" fillId="0" borderId="10" xfId="1" applyFont="1" applyBorder="1"/>
    <xf numFmtId="44" fontId="42" fillId="0" borderId="27" xfId="3" applyFont="1" applyBorder="1"/>
    <xf numFmtId="0" fontId="42" fillId="2" borderId="32" xfId="0" applyFont="1" applyFill="1" applyBorder="1"/>
    <xf numFmtId="0" fontId="42" fillId="2" borderId="33" xfId="0" applyFont="1" applyFill="1" applyBorder="1"/>
    <xf numFmtId="0" fontId="42" fillId="0" borderId="0" xfId="0" applyFont="1" applyAlignment="1">
      <alignment horizontal="right"/>
    </xf>
    <xf numFmtId="166" fontId="42" fillId="0" borderId="24" xfId="3" applyNumberFormat="1" applyFont="1" applyBorder="1"/>
    <xf numFmtId="165" fontId="42" fillId="0" borderId="45" xfId="1" applyNumberFormat="1" applyFont="1" applyBorder="1"/>
    <xf numFmtId="165" fontId="42" fillId="0" borderId="25" xfId="1" applyNumberFormat="1" applyFont="1" applyBorder="1"/>
    <xf numFmtId="165" fontId="42" fillId="0" borderId="0" xfId="1" applyNumberFormat="1" applyFont="1"/>
    <xf numFmtId="0" fontId="42" fillId="0" borderId="49" xfId="0" applyFont="1" applyBorder="1" applyAlignment="1">
      <alignment horizontal="center"/>
    </xf>
    <xf numFmtId="44" fontId="42" fillId="0" borderId="44" xfId="3" applyFont="1" applyBorder="1"/>
    <xf numFmtId="43" fontId="42" fillId="0" borderId="8" xfId="1" applyFont="1" applyBorder="1"/>
    <xf numFmtId="0" fontId="42" fillId="0" borderId="24" xfId="0" applyFont="1" applyBorder="1" applyAlignment="1">
      <alignment horizontal="center"/>
    </xf>
    <xf numFmtId="44" fontId="42" fillId="0" borderId="21" xfId="3" applyFont="1" applyBorder="1"/>
    <xf numFmtId="44" fontId="42" fillId="0" borderId="41" xfId="3" applyFont="1" applyBorder="1"/>
    <xf numFmtId="44" fontId="42" fillId="0" borderId="39" xfId="3" applyFont="1" applyBorder="1"/>
    <xf numFmtId="164" fontId="42" fillId="0" borderId="31" xfId="2" applyNumberFormat="1" applyFont="1" applyBorder="1"/>
    <xf numFmtId="164" fontId="42" fillId="0" borderId="32" xfId="2" applyNumberFormat="1" applyFont="1" applyBorder="1"/>
    <xf numFmtId="164" fontId="42" fillId="0" borderId="33" xfId="2" applyNumberFormat="1" applyFont="1" applyBorder="1"/>
    <xf numFmtId="14" fontId="0" fillId="0" borderId="0" xfId="0" applyNumberFormat="1" applyAlignment="1">
      <alignment horizontal="justify" vertical="center" wrapText="1"/>
    </xf>
    <xf numFmtId="0" fontId="29" fillId="10" borderId="18" xfId="0" applyFont="1" applyFill="1" applyBorder="1" applyAlignment="1">
      <alignment vertical="top" wrapText="1"/>
    </xf>
    <xf numFmtId="0" fontId="52" fillId="10" borderId="0" xfId="0" applyFont="1" applyFill="1" applyAlignment="1">
      <alignment horizontal="left" vertical="center" indent="2"/>
    </xf>
    <xf numFmtId="0" fontId="0" fillId="10" borderId="0" xfId="0" applyFill="1" applyAlignment="1">
      <alignment horizontal="justify" vertical="center" wrapText="1"/>
    </xf>
    <xf numFmtId="14" fontId="0" fillId="0" borderId="60" xfId="0" applyNumberFormat="1" applyBorder="1" applyAlignment="1">
      <alignment horizontal="justify" vertical="center" wrapText="1"/>
    </xf>
    <xf numFmtId="164" fontId="3" fillId="0" borderId="9" xfId="2" applyNumberFormat="1" applyFont="1" applyBorder="1" applyAlignment="1">
      <alignment horizontal="right" vertical="center"/>
    </xf>
    <xf numFmtId="164" fontId="3" fillId="10" borderId="0" xfId="2" applyNumberFormat="1" applyFont="1" applyFill="1" applyAlignment="1">
      <alignment horizontal="right" vertical="center"/>
    </xf>
    <xf numFmtId="166" fontId="3" fillId="10" borderId="0" xfId="0" applyNumberFormat="1" applyFont="1" applyFill="1" applyAlignment="1">
      <alignment vertical="center"/>
    </xf>
    <xf numFmtId="0" fontId="8" fillId="11" borderId="23" xfId="0" applyFont="1" applyFill="1" applyBorder="1" applyAlignment="1">
      <alignment horizontal="center" vertical="center"/>
    </xf>
    <xf numFmtId="166" fontId="35" fillId="10" borderId="0" xfId="0" applyNumberFormat="1" applyFont="1" applyFill="1" applyAlignment="1">
      <alignment vertical="center"/>
    </xf>
    <xf numFmtId="44" fontId="42" fillId="0" borderId="0" xfId="3" applyFont="1"/>
    <xf numFmtId="9" fontId="42" fillId="0" borderId="0" xfId="2" applyFont="1"/>
    <xf numFmtId="44" fontId="3" fillId="0" borderId="9" xfId="3" applyFont="1" applyBorder="1" applyAlignment="1">
      <alignment horizontal="center" vertical="center"/>
    </xf>
    <xf numFmtId="44" fontId="3" fillId="10" borderId="0" xfId="3" applyFont="1" applyFill="1" applyAlignment="1">
      <alignment horizontal="center" vertical="center"/>
    </xf>
    <xf numFmtId="44" fontId="24" fillId="10" borderId="18" xfId="3" applyFont="1" applyFill="1" applyBorder="1" applyAlignment="1">
      <alignment horizontal="center" vertical="top" wrapText="1"/>
    </xf>
    <xf numFmtId="164" fontId="3" fillId="0" borderId="9" xfId="2" applyNumberFormat="1" applyFont="1" applyBorder="1" applyAlignment="1">
      <alignment vertical="center"/>
    </xf>
    <xf numFmtId="14" fontId="0" fillId="0" borderId="2" xfId="0" applyNumberFormat="1" applyBorder="1" applyAlignment="1">
      <alignment horizontal="justify" vertical="center" wrapText="1"/>
    </xf>
    <xf numFmtId="0" fontId="0" fillId="0" borderId="2" xfId="0" applyBorder="1" applyAlignment="1">
      <alignment horizontal="justify" vertical="center" wrapText="1"/>
    </xf>
    <xf numFmtId="0" fontId="0" fillId="3" borderId="0" xfId="0" applyFill="1"/>
    <xf numFmtId="0" fontId="0" fillId="0" borderId="11" xfId="0" applyBorder="1"/>
    <xf numFmtId="0" fontId="3" fillId="3" borderId="0" xfId="0" applyFont="1" applyFill="1" applyAlignment="1">
      <alignment horizontal="right"/>
    </xf>
    <xf numFmtId="0" fontId="0" fillId="0" borderId="14" xfId="0" applyBorder="1"/>
    <xf numFmtId="0" fontId="0" fillId="0" borderId="29" xfId="0" applyBorder="1"/>
    <xf numFmtId="0" fontId="4" fillId="3" borderId="0" xfId="0" applyFont="1" applyFill="1"/>
    <xf numFmtId="0" fontId="4" fillId="0" borderId="0" xfId="0" applyFont="1"/>
    <xf numFmtId="0" fontId="10" fillId="3" borderId="0" xfId="0" applyFont="1" applyFill="1"/>
    <xf numFmtId="0" fontId="21" fillId="3" borderId="0" xfId="0" applyFont="1" applyFill="1" applyAlignment="1">
      <alignment horizontal="center"/>
    </xf>
    <xf numFmtId="167" fontId="4" fillId="0" borderId="26" xfId="3" applyNumberFormat="1" applyFont="1" applyBorder="1" applyAlignment="1">
      <alignment horizontal="center"/>
    </xf>
    <xf numFmtId="168" fontId="4" fillId="0" borderId="26" xfId="1" applyNumberFormat="1" applyFont="1" applyBorder="1" applyAlignment="1">
      <alignment horizontal="center"/>
    </xf>
    <xf numFmtId="0" fontId="0" fillId="10" borderId="0" xfId="0" applyFill="1" applyAlignment="1">
      <alignment horizontal="center" vertical="center"/>
    </xf>
    <xf numFmtId="0" fontId="4" fillId="14" borderId="0" xfId="0" applyFont="1" applyFill="1"/>
    <xf numFmtId="0" fontId="18" fillId="14" borderId="0" xfId="0" applyFont="1" applyFill="1" applyAlignment="1">
      <alignment horizontal="center"/>
    </xf>
    <xf numFmtId="0" fontId="3" fillId="6" borderId="36" xfId="0" applyFont="1" applyFill="1" applyBorder="1" applyAlignment="1">
      <alignment horizontal="center" vertical="center"/>
    </xf>
    <xf numFmtId="0" fontId="3" fillId="6" borderId="24" xfId="0" applyFont="1" applyFill="1" applyBorder="1" applyAlignment="1">
      <alignment horizontal="center" vertical="center"/>
    </xf>
    <xf numFmtId="0" fontId="3" fillId="6" borderId="45" xfId="0" applyFont="1" applyFill="1" applyBorder="1" applyAlignment="1">
      <alignment horizontal="center" vertical="center"/>
    </xf>
    <xf numFmtId="0" fontId="3" fillId="6" borderId="25" xfId="0" applyFont="1" applyFill="1" applyBorder="1" applyAlignment="1">
      <alignment horizontal="center" vertical="center"/>
    </xf>
    <xf numFmtId="0" fontId="8" fillId="12" borderId="36" xfId="0" applyFont="1" applyFill="1" applyBorder="1" applyAlignment="1">
      <alignment horizontal="center" vertical="center"/>
    </xf>
    <xf numFmtId="0" fontId="8" fillId="3" borderId="0" xfId="0" applyFont="1" applyFill="1" applyAlignment="1">
      <alignment horizontal="center" vertical="center"/>
    </xf>
    <xf numFmtId="0" fontId="3" fillId="6" borderId="31" xfId="0" applyFont="1" applyFill="1" applyBorder="1" applyAlignment="1">
      <alignment horizontal="center" vertical="center" wrapText="1"/>
    </xf>
    <xf numFmtId="0" fontId="4" fillId="3" borderId="0" xfId="0" applyFont="1" applyFill="1" applyAlignment="1">
      <alignment horizontal="center" vertical="center" wrapText="1"/>
    </xf>
    <xf numFmtId="0" fontId="18" fillId="11" borderId="47" xfId="0" applyFont="1" applyFill="1" applyBorder="1" applyAlignment="1">
      <alignment horizontal="center" vertical="center"/>
    </xf>
    <xf numFmtId="0" fontId="18" fillId="11" borderId="54" xfId="0" applyFont="1" applyFill="1" applyBorder="1" applyAlignment="1">
      <alignment horizontal="center" vertical="center"/>
    </xf>
    <xf numFmtId="0" fontId="18" fillId="11" borderId="48" xfId="0" applyFont="1" applyFill="1" applyBorder="1" applyAlignment="1">
      <alignment horizontal="center" vertical="center"/>
    </xf>
    <xf numFmtId="0" fontId="4" fillId="3" borderId="0" xfId="0" applyFont="1" applyFill="1" applyAlignment="1">
      <alignment horizontal="center" wrapText="1"/>
    </xf>
    <xf numFmtId="0" fontId="5" fillId="2" borderId="31" xfId="0" applyFont="1" applyFill="1" applyBorder="1"/>
    <xf numFmtId="165" fontId="4" fillId="3" borderId="0" xfId="1" applyNumberFormat="1" applyFont="1" applyFill="1"/>
    <xf numFmtId="164" fontId="3" fillId="2" borderId="9" xfId="2" applyNumberFormat="1" applyFont="1" applyFill="1" applyBorder="1" applyAlignment="1">
      <alignment horizontal="center" vertical="center"/>
    </xf>
    <xf numFmtId="10" fontId="4" fillId="3" borderId="0" xfId="2" applyNumberFormat="1" applyFont="1" applyFill="1"/>
    <xf numFmtId="0" fontId="5" fillId="2" borderId="32" xfId="0" applyFont="1" applyFill="1" applyBorder="1"/>
    <xf numFmtId="0" fontId="5" fillId="2" borderId="33" xfId="0" applyFont="1" applyFill="1" applyBorder="1"/>
    <xf numFmtId="0" fontId="5" fillId="3" borderId="0" xfId="0" applyFont="1" applyFill="1" applyAlignment="1">
      <alignment horizontal="right"/>
    </xf>
    <xf numFmtId="166" fontId="3" fillId="2" borderId="24" xfId="0" applyNumberFormat="1" applyFont="1" applyFill="1" applyBorder="1"/>
    <xf numFmtId="165" fontId="3" fillId="2" borderId="45" xfId="1" applyNumberFormat="1" applyFont="1" applyFill="1" applyBorder="1"/>
    <xf numFmtId="165" fontId="3" fillId="2" borderId="25" xfId="1" applyNumberFormat="1" applyFont="1" applyFill="1" applyBorder="1"/>
    <xf numFmtId="43" fontId="26" fillId="3" borderId="0" xfId="1" applyFont="1" applyFill="1"/>
    <xf numFmtId="0" fontId="28" fillId="3" borderId="0" xfId="0" applyFont="1" applyFill="1" applyAlignment="1">
      <alignment horizontal="left" indent="1"/>
    </xf>
    <xf numFmtId="0" fontId="0" fillId="0" borderId="11" xfId="0" applyBorder="1" applyAlignment="1">
      <alignment vertical="center"/>
    </xf>
    <xf numFmtId="0" fontId="19" fillId="0" borderId="11" xfId="0" applyFont="1" applyBorder="1" applyAlignment="1">
      <alignment horizontal="center"/>
    </xf>
    <xf numFmtId="0" fontId="0" fillId="0" borderId="11" xfId="0" applyBorder="1" applyAlignment="1">
      <alignment horizontal="center" vertical="center"/>
    </xf>
    <xf numFmtId="0" fontId="0" fillId="0" borderId="28" xfId="0" applyBorder="1" applyAlignment="1">
      <alignment vertical="center"/>
    </xf>
    <xf numFmtId="0" fontId="0" fillId="0" borderId="0" xfId="0" applyAlignment="1">
      <alignment horizontal="center" vertical="center"/>
    </xf>
    <xf numFmtId="0" fontId="0" fillId="3" borderId="0" xfId="0" applyFill="1" applyAlignment="1">
      <alignment vertical="center"/>
    </xf>
    <xf numFmtId="0" fontId="0" fillId="0" borderId="14" xfId="0" applyBorder="1" applyAlignment="1">
      <alignment vertical="center"/>
    </xf>
    <xf numFmtId="0" fontId="0" fillId="0" borderId="29" xfId="0" applyBorder="1" applyAlignment="1">
      <alignment vertical="center"/>
    </xf>
    <xf numFmtId="0" fontId="0" fillId="3" borderId="0" xfId="0" applyFill="1" applyAlignment="1">
      <alignment horizontal="center" vertical="center"/>
    </xf>
    <xf numFmtId="169" fontId="26" fillId="3" borderId="0" xfId="0" applyNumberFormat="1" applyFont="1" applyFill="1" applyAlignment="1">
      <alignment horizontal="center" vertical="center"/>
    </xf>
    <xf numFmtId="0" fontId="0" fillId="3" borderId="29" xfId="0" applyFill="1" applyBorder="1" applyAlignment="1">
      <alignment vertical="center"/>
    </xf>
    <xf numFmtId="0" fontId="6" fillId="2" borderId="5" xfId="0" applyFont="1" applyFill="1" applyBorder="1" applyAlignment="1">
      <alignment horizontal="right" vertical="center"/>
    </xf>
    <xf numFmtId="0" fontId="6" fillId="2" borderId="4" xfId="0" applyFont="1" applyFill="1" applyBorder="1" applyAlignment="1">
      <alignment horizontal="right" vertical="center"/>
    </xf>
    <xf numFmtId="0" fontId="0" fillId="10" borderId="18" xfId="0" applyFill="1" applyBorder="1" applyAlignment="1">
      <alignment vertical="center"/>
    </xf>
    <xf numFmtId="0" fontId="0" fillId="10" borderId="18" xfId="0" applyFill="1" applyBorder="1" applyAlignment="1">
      <alignment horizontal="center" vertical="center"/>
    </xf>
    <xf numFmtId="0" fontId="16" fillId="10" borderId="18" xfId="0" applyFont="1" applyFill="1" applyBorder="1" applyAlignment="1">
      <alignment horizontal="left" vertical="center"/>
    </xf>
    <xf numFmtId="0" fontId="3" fillId="10" borderId="18" xfId="0" applyFont="1" applyFill="1" applyBorder="1" applyAlignment="1">
      <alignment horizontal="center" vertical="center"/>
    </xf>
    <xf numFmtId="0" fontId="0" fillId="10" borderId="19" xfId="0" applyFill="1" applyBorder="1" applyAlignment="1">
      <alignment vertical="center"/>
    </xf>
    <xf numFmtId="0" fontId="0" fillId="10" borderId="0" xfId="0" applyFill="1" applyAlignment="1">
      <alignment vertical="center"/>
    </xf>
    <xf numFmtId="0" fontId="7" fillId="10" borderId="0" xfId="0" applyFont="1" applyFill="1" applyAlignment="1">
      <alignment horizontal="right" vertical="center"/>
    </xf>
    <xf numFmtId="0" fontId="0" fillId="10" borderId="20" xfId="0" applyFill="1" applyBorder="1" applyAlignment="1">
      <alignment vertical="center"/>
    </xf>
    <xf numFmtId="0" fontId="33" fillId="10" borderId="0" xfId="0" applyFont="1" applyFill="1" applyAlignment="1">
      <alignment horizontal="center" vertical="center"/>
    </xf>
    <xf numFmtId="0" fontId="14" fillId="10" borderId="0" xfId="0" applyFont="1" applyFill="1" applyAlignment="1">
      <alignment horizontal="right" vertical="center"/>
    </xf>
    <xf numFmtId="0" fontId="8" fillId="11" borderId="8" xfId="0" applyFont="1" applyFill="1" applyBorder="1" applyAlignment="1">
      <alignment horizontal="center" vertical="center"/>
    </xf>
    <xf numFmtId="0" fontId="8" fillId="11" borderId="8" xfId="0" applyFont="1" applyFill="1" applyBorder="1" applyAlignment="1">
      <alignment horizontal="center" vertical="center" wrapText="1"/>
    </xf>
    <xf numFmtId="0" fontId="8" fillId="10" borderId="0" xfId="0" applyFont="1" applyFill="1" applyAlignment="1">
      <alignment horizontal="center" vertical="center"/>
    </xf>
    <xf numFmtId="0" fontId="6" fillId="10" borderId="0" xfId="0" applyFont="1" applyFill="1" applyAlignment="1">
      <alignment horizontal="right" vertical="center"/>
    </xf>
    <xf numFmtId="166" fontId="0" fillId="10" borderId="0" xfId="3" applyNumberFormat="1" applyFont="1" applyFill="1" applyAlignment="1">
      <alignment vertical="center"/>
    </xf>
    <xf numFmtId="166" fontId="0" fillId="4" borderId="9" xfId="3" applyNumberFormat="1" applyFont="1" applyFill="1" applyBorder="1" applyAlignment="1">
      <alignment horizontal="center" vertical="center"/>
    </xf>
    <xf numFmtId="0" fontId="10" fillId="10" borderId="22" xfId="0" applyFont="1" applyFill="1" applyBorder="1" applyAlignment="1">
      <alignment horizontal="right" vertical="center"/>
    </xf>
    <xf numFmtId="9" fontId="10" fillId="10" borderId="22" xfId="2" applyFont="1" applyFill="1" applyBorder="1" applyAlignment="1">
      <alignment vertical="center"/>
    </xf>
    <xf numFmtId="0" fontId="6" fillId="10" borderId="22" xfId="0" applyFont="1" applyFill="1" applyBorder="1" applyAlignment="1">
      <alignment horizontal="right" vertical="center"/>
    </xf>
    <xf numFmtId="164" fontId="0" fillId="10" borderId="22" xfId="2" applyNumberFormat="1" applyFont="1" applyFill="1" applyBorder="1" applyAlignment="1">
      <alignment horizontal="center" vertical="center"/>
    </xf>
    <xf numFmtId="0" fontId="25" fillId="10" borderId="22" xfId="0" applyFont="1" applyFill="1" applyBorder="1" applyAlignment="1">
      <alignment horizontal="center" vertical="center"/>
    </xf>
    <xf numFmtId="0" fontId="0" fillId="10" borderId="22" xfId="0" applyFill="1" applyBorder="1" applyAlignment="1">
      <alignment horizontal="center" vertical="center"/>
    </xf>
    <xf numFmtId="166" fontId="0" fillId="10" borderId="22" xfId="3" applyNumberFormat="1" applyFont="1" applyFill="1" applyBorder="1" applyAlignment="1">
      <alignment vertical="center"/>
    </xf>
    <xf numFmtId="166" fontId="0" fillId="10" borderId="22" xfId="3" applyNumberFormat="1" applyFont="1" applyFill="1" applyBorder="1" applyAlignment="1">
      <alignment horizontal="center" vertical="center"/>
    </xf>
    <xf numFmtId="0" fontId="0" fillId="10" borderId="1" xfId="0" applyFill="1" applyBorder="1" applyAlignment="1">
      <alignment vertical="center"/>
    </xf>
    <xf numFmtId="0" fontId="10" fillId="3" borderId="0" xfId="0" applyFont="1" applyFill="1" applyAlignment="1">
      <alignment horizontal="right" vertical="center"/>
    </xf>
    <xf numFmtId="9" fontId="10" fillId="3" borderId="0" xfId="2" applyFont="1" applyFill="1" applyAlignment="1">
      <alignment vertical="center"/>
    </xf>
    <xf numFmtId="0" fontId="6" fillId="3" borderId="0" xfId="0" applyFont="1" applyFill="1" applyAlignment="1">
      <alignment horizontal="right" vertical="center"/>
    </xf>
    <xf numFmtId="164" fontId="0" fillId="3" borderId="0" xfId="2" applyNumberFormat="1" applyFont="1" applyFill="1" applyAlignment="1">
      <alignment horizontal="center" vertical="center"/>
    </xf>
    <xf numFmtId="0" fontId="25" fillId="3" borderId="0" xfId="0" applyFont="1" applyFill="1" applyAlignment="1">
      <alignment horizontal="center" vertical="center"/>
    </xf>
    <xf numFmtId="164" fontId="0" fillId="3" borderId="0" xfId="2" applyNumberFormat="1" applyFont="1" applyFill="1" applyAlignment="1">
      <alignment horizontal="center" vertical="center" wrapText="1"/>
    </xf>
    <xf numFmtId="166" fontId="0" fillId="3" borderId="0" xfId="3" applyNumberFormat="1" applyFont="1" applyFill="1" applyAlignment="1">
      <alignment vertical="center"/>
    </xf>
    <xf numFmtId="166" fontId="0" fillId="3" borderId="0" xfId="3" applyNumberFormat="1" applyFont="1" applyFill="1" applyAlignment="1">
      <alignment horizontal="center" vertical="center"/>
    </xf>
    <xf numFmtId="0" fontId="6" fillId="10" borderId="18" xfId="0" applyFont="1" applyFill="1" applyBorder="1" applyAlignment="1">
      <alignment horizontal="right" vertical="center"/>
    </xf>
    <xf numFmtId="164" fontId="0" fillId="10" borderId="18" xfId="2" applyNumberFormat="1" applyFont="1" applyFill="1" applyBorder="1" applyAlignment="1">
      <alignment horizontal="center" vertical="center"/>
    </xf>
    <xf numFmtId="164" fontId="0" fillId="10" borderId="18" xfId="2" applyNumberFormat="1" applyFont="1" applyFill="1" applyBorder="1" applyAlignment="1">
      <alignment horizontal="center" vertical="center" wrapText="1"/>
    </xf>
    <xf numFmtId="166" fontId="0" fillId="10" borderId="18" xfId="3" applyNumberFormat="1" applyFont="1" applyFill="1" applyBorder="1" applyAlignment="1">
      <alignment vertical="center"/>
    </xf>
    <xf numFmtId="166" fontId="0" fillId="10" borderId="18" xfId="3" applyNumberFormat="1" applyFont="1" applyFill="1" applyBorder="1" applyAlignment="1">
      <alignment horizontal="center" vertical="center"/>
    </xf>
    <xf numFmtId="166" fontId="0" fillId="10" borderId="0" xfId="3" applyNumberFormat="1" applyFont="1" applyFill="1" applyAlignment="1">
      <alignment horizontal="center" vertical="center"/>
    </xf>
    <xf numFmtId="0" fontId="5" fillId="10" borderId="0" xfId="0" applyFont="1" applyFill="1" applyAlignment="1">
      <alignment horizontal="left" vertical="center"/>
    </xf>
    <xf numFmtId="0" fontId="0" fillId="10" borderId="0" xfId="0" applyFill="1" applyAlignment="1">
      <alignment horizontal="center" vertical="center" wrapText="1"/>
    </xf>
    <xf numFmtId="167" fontId="0" fillId="2" borderId="9" xfId="3" applyNumberFormat="1" applyFont="1" applyFill="1" applyBorder="1" applyAlignment="1">
      <alignment horizontal="center" vertical="center"/>
    </xf>
    <xf numFmtId="0" fontId="10" fillId="10" borderId="20" xfId="0" applyFont="1" applyFill="1" applyBorder="1"/>
    <xf numFmtId="168" fontId="0" fillId="10" borderId="22" xfId="1" applyNumberFormat="1" applyFont="1" applyFill="1" applyBorder="1" applyAlignment="1">
      <alignment horizontal="center" vertical="center"/>
    </xf>
    <xf numFmtId="0" fontId="0" fillId="10" borderId="22" xfId="0" applyFill="1" applyBorder="1"/>
    <xf numFmtId="0" fontId="10" fillId="10" borderId="1" xfId="0" applyFont="1" applyFill="1" applyBorder="1"/>
    <xf numFmtId="168" fontId="0" fillId="10" borderId="18" xfId="1" applyNumberFormat="1" applyFont="1" applyFill="1" applyBorder="1" applyAlignment="1">
      <alignment horizontal="center" vertical="center"/>
    </xf>
    <xf numFmtId="0" fontId="0" fillId="10" borderId="18" xfId="0" applyFill="1" applyBorder="1"/>
    <xf numFmtId="0" fontId="10" fillId="10" borderId="19" xfId="0" applyFont="1" applyFill="1" applyBorder="1"/>
    <xf numFmtId="0" fontId="0" fillId="10" borderId="0" xfId="0" applyFill="1" applyAlignment="1">
      <alignment wrapText="1"/>
    </xf>
    <xf numFmtId="0" fontId="8" fillId="11" borderId="9" xfId="0" applyFont="1" applyFill="1" applyBorder="1" applyAlignment="1">
      <alignment horizontal="center" vertical="center" wrapText="1"/>
    </xf>
    <xf numFmtId="164" fontId="0" fillId="10" borderId="0" xfId="2" applyNumberFormat="1" applyFont="1" applyFill="1" applyAlignment="1">
      <alignment vertical="center"/>
    </xf>
    <xf numFmtId="0" fontId="0" fillId="10" borderId="22" xfId="2" applyNumberFormat="1" applyFont="1" applyFill="1" applyBorder="1" applyAlignment="1">
      <alignment horizontal="center" vertical="center"/>
    </xf>
    <xf numFmtId="0" fontId="0" fillId="10" borderId="22" xfId="0" applyFill="1" applyBorder="1" applyAlignment="1">
      <alignment vertical="center"/>
    </xf>
    <xf numFmtId="167" fontId="0" fillId="10" borderId="22" xfId="3" applyNumberFormat="1" applyFont="1" applyFill="1" applyBorder="1" applyAlignment="1">
      <alignment horizontal="center" vertical="center" wrapText="1"/>
    </xf>
    <xf numFmtId="0" fontId="0" fillId="3" borderId="0" xfId="2" applyNumberFormat="1" applyFont="1" applyFill="1" applyAlignment="1">
      <alignment horizontal="center" vertical="center"/>
    </xf>
    <xf numFmtId="167" fontId="0" fillId="3" borderId="0" xfId="3" applyNumberFormat="1" applyFont="1" applyFill="1" applyAlignment="1">
      <alignment horizontal="center" vertical="center" wrapText="1"/>
    </xf>
    <xf numFmtId="0" fontId="0" fillId="10" borderId="18" xfId="2" applyNumberFormat="1" applyFont="1" applyFill="1" applyBorder="1" applyAlignment="1">
      <alignment horizontal="center" vertical="center"/>
    </xf>
    <xf numFmtId="167" fontId="0" fillId="10" borderId="18" xfId="3" applyNumberFormat="1" applyFont="1" applyFill="1" applyBorder="1" applyAlignment="1">
      <alignment horizontal="center" vertical="center" wrapText="1"/>
    </xf>
    <xf numFmtId="0" fontId="0" fillId="10" borderId="0" xfId="2" applyNumberFormat="1" applyFont="1" applyFill="1" applyAlignment="1">
      <alignment horizontal="center" vertical="center"/>
    </xf>
    <xf numFmtId="167" fontId="0" fillId="10" borderId="0" xfId="3" applyNumberFormat="1" applyFont="1" applyFill="1" applyAlignment="1">
      <alignment horizontal="center" vertical="center" wrapText="1"/>
    </xf>
    <xf numFmtId="0" fontId="34" fillId="10" borderId="0" xfId="0" applyFont="1" applyFill="1" applyAlignment="1">
      <alignment horizontal="center" vertical="center"/>
    </xf>
    <xf numFmtId="0" fontId="0" fillId="10" borderId="22" xfId="0" applyFill="1" applyBorder="1" applyAlignment="1">
      <alignment wrapText="1"/>
    </xf>
    <xf numFmtId="0" fontId="0" fillId="0" borderId="0" xfId="0" applyAlignment="1">
      <alignment wrapText="1"/>
    </xf>
    <xf numFmtId="0" fontId="10" fillId="0" borderId="0" xfId="0" applyFont="1"/>
    <xf numFmtId="0" fontId="0" fillId="10" borderId="16" xfId="0" applyFill="1" applyBorder="1" applyAlignment="1">
      <alignment vertical="center"/>
    </xf>
    <xf numFmtId="0" fontId="27" fillId="10" borderId="20" xfId="0" applyFont="1" applyFill="1" applyBorder="1" applyAlignment="1">
      <alignment vertical="center"/>
    </xf>
    <xf numFmtId="0" fontId="0" fillId="10" borderId="21" xfId="0" applyFill="1" applyBorder="1" applyAlignment="1">
      <alignment vertical="center"/>
    </xf>
    <xf numFmtId="0" fontId="27" fillId="10" borderId="1" xfId="0" applyFont="1" applyFill="1" applyBorder="1" applyAlignment="1">
      <alignment vertical="center"/>
    </xf>
    <xf numFmtId="0" fontId="27" fillId="3" borderId="0" xfId="0" applyFont="1" applyFill="1" applyAlignment="1">
      <alignment vertical="center"/>
    </xf>
    <xf numFmtId="0" fontId="0" fillId="10" borderId="17" xfId="0" applyFill="1" applyBorder="1" applyAlignment="1">
      <alignment vertical="center"/>
    </xf>
    <xf numFmtId="0" fontId="27" fillId="10" borderId="19" xfId="0" applyFont="1" applyFill="1" applyBorder="1" applyAlignment="1">
      <alignment vertical="center"/>
    </xf>
    <xf numFmtId="0" fontId="10" fillId="10" borderId="1" xfId="0" applyFont="1" applyFill="1" applyBorder="1" applyAlignment="1">
      <alignment horizontal="center" vertical="center"/>
    </xf>
    <xf numFmtId="0" fontId="0" fillId="0" borderId="29" xfId="0" applyBorder="1" applyAlignment="1">
      <alignment horizontal="center" vertical="center"/>
    </xf>
    <xf numFmtId="0" fontId="12" fillId="0" borderId="0" xfId="0" applyFont="1"/>
    <xf numFmtId="0" fontId="7" fillId="0" borderId="0" xfId="0" applyFont="1" applyAlignment="1">
      <alignment horizontal="right" vertical="center"/>
    </xf>
    <xf numFmtId="166" fontId="12" fillId="0" borderId="9" xfId="3" applyNumberFormat="1" applyFont="1" applyBorder="1" applyAlignment="1">
      <alignment horizontal="center" vertical="center"/>
    </xf>
    <xf numFmtId="0" fontId="12" fillId="0" borderId="29" xfId="0" applyFont="1" applyBorder="1"/>
    <xf numFmtId="10" fontId="12" fillId="0" borderId="9" xfId="2" applyNumberFormat="1" applyFont="1" applyBorder="1" applyAlignment="1">
      <alignment horizontal="right" vertical="center"/>
    </xf>
    <xf numFmtId="0" fontId="0" fillId="0" borderId="15" xfId="0" applyBorder="1"/>
    <xf numFmtId="0" fontId="0" fillId="0" borderId="2" xfId="0" applyBorder="1"/>
    <xf numFmtId="0" fontId="0" fillId="0" borderId="30" xfId="0" applyBorder="1"/>
    <xf numFmtId="0" fontId="0" fillId="5" borderId="9" xfId="0" applyFill="1" applyBorder="1"/>
    <xf numFmtId="0" fontId="0" fillId="0" borderId="9" xfId="0" applyBorder="1" applyAlignment="1">
      <alignment vertical="center"/>
    </xf>
    <xf numFmtId="0" fontId="0" fillId="0" borderId="18" xfId="0" applyBorder="1"/>
    <xf numFmtId="0" fontId="0" fillId="0" borderId="44" xfId="0" applyBorder="1" applyAlignment="1">
      <alignment horizontal="right"/>
    </xf>
    <xf numFmtId="0" fontId="0" fillId="0" borderId="3" xfId="0" applyBorder="1" applyAlignment="1">
      <alignment horizontal="right"/>
    </xf>
    <xf numFmtId="0" fontId="0" fillId="0" borderId="18" xfId="0" applyBorder="1" applyAlignment="1">
      <alignment horizontal="center"/>
    </xf>
    <xf numFmtId="0" fontId="0" fillId="0" borderId="4" xfId="0" applyBorder="1" applyAlignment="1">
      <alignment horizontal="right"/>
    </xf>
    <xf numFmtId="0" fontId="45" fillId="0" borderId="0" xfId="0" applyFont="1"/>
    <xf numFmtId="0" fontId="46" fillId="0" borderId="0" xfId="0" applyFont="1"/>
    <xf numFmtId="0" fontId="44" fillId="0" borderId="0" xfId="0" applyFont="1"/>
    <xf numFmtId="0" fontId="0" fillId="0" borderId="0" xfId="0" applyAlignment="1">
      <alignment horizontal="left"/>
    </xf>
    <xf numFmtId="0" fontId="0" fillId="0" borderId="22" xfId="0" applyBorder="1"/>
    <xf numFmtId="0" fontId="3" fillId="0" borderId="0" xfId="0" applyFont="1" applyAlignment="1">
      <alignment horizontal="center"/>
    </xf>
    <xf numFmtId="0" fontId="15" fillId="0" borderId="0" xfId="0" applyFont="1"/>
    <xf numFmtId="0" fontId="43" fillId="0" borderId="0" xfId="0" applyFont="1"/>
    <xf numFmtId="0" fontId="0" fillId="0" borderId="2" xfId="0" applyBorder="1" applyAlignment="1" applyProtection="1">
      <alignment vertical="center" wrapText="1"/>
      <protection locked="0"/>
    </xf>
    <xf numFmtId="0" fontId="3" fillId="0" borderId="2" xfId="0" applyFont="1" applyBorder="1" applyAlignment="1" applyProtection="1">
      <alignment vertical="center" wrapText="1"/>
      <protection locked="0"/>
    </xf>
    <xf numFmtId="0" fontId="11" fillId="17" borderId="0" xfId="0" applyFont="1" applyFill="1"/>
    <xf numFmtId="0" fontId="0" fillId="17" borderId="0" xfId="0" applyFill="1"/>
    <xf numFmtId="0" fontId="0" fillId="23" borderId="0" xfId="0" applyFill="1" applyAlignment="1">
      <alignment wrapText="1"/>
    </xf>
    <xf numFmtId="0" fontId="0" fillId="17" borderId="0" xfId="0" applyFill="1" applyAlignment="1">
      <alignment wrapText="1"/>
    </xf>
    <xf numFmtId="0" fontId="0" fillId="17" borderId="0" xfId="0" quotePrefix="1" applyFill="1"/>
    <xf numFmtId="0" fontId="3" fillId="0" borderId="42" xfId="0" applyFont="1" applyBorder="1" applyAlignment="1">
      <alignment horizontal="right"/>
    </xf>
    <xf numFmtId="0" fontId="0" fillId="0" borderId="50" xfId="0" applyBorder="1"/>
    <xf numFmtId="0" fontId="11" fillId="17" borderId="11" xfId="0" applyFont="1" applyFill="1" applyBorder="1"/>
    <xf numFmtId="0" fontId="0" fillId="17" borderId="11" xfId="0" applyFill="1" applyBorder="1"/>
    <xf numFmtId="0" fontId="0" fillId="0" borderId="13" xfId="0" applyBorder="1" applyAlignment="1">
      <alignment wrapText="1"/>
    </xf>
    <xf numFmtId="14" fontId="0" fillId="0" borderId="11" xfId="0" applyNumberFormat="1" applyBorder="1" applyAlignment="1">
      <alignment wrapText="1"/>
    </xf>
    <xf numFmtId="0" fontId="0" fillId="0" borderId="11" xfId="0" applyBorder="1" applyAlignment="1">
      <alignment wrapText="1"/>
    </xf>
    <xf numFmtId="14" fontId="11" fillId="17" borderId="11" xfId="0" applyNumberFormat="1" applyFont="1" applyFill="1" applyBorder="1" applyAlignment="1">
      <alignment wrapText="1"/>
    </xf>
    <xf numFmtId="0" fontId="0" fillId="17" borderId="11" xfId="0" applyFill="1" applyBorder="1" applyAlignment="1">
      <alignment wrapText="1"/>
    </xf>
    <xf numFmtId="0" fontId="0" fillId="0" borderId="11" xfId="0" applyBorder="1" applyAlignment="1">
      <alignment horizontal="right" wrapText="1"/>
    </xf>
    <xf numFmtId="14" fontId="0" fillId="0" borderId="28" xfId="0" applyNumberFormat="1" applyBorder="1" applyAlignment="1">
      <alignment wrapText="1"/>
    </xf>
    <xf numFmtId="0" fontId="0" fillId="0" borderId="14" xfId="0" applyBorder="1" applyAlignment="1">
      <alignment wrapText="1"/>
    </xf>
    <xf numFmtId="14" fontId="0" fillId="0" borderId="0" xfId="0" applyNumberFormat="1" applyAlignment="1">
      <alignment wrapText="1"/>
    </xf>
    <xf numFmtId="14" fontId="11" fillId="17" borderId="0" xfId="0" applyNumberFormat="1" applyFont="1" applyFill="1" applyAlignment="1">
      <alignment wrapText="1"/>
    </xf>
    <xf numFmtId="164" fontId="0" fillId="0" borderId="0" xfId="2" applyNumberFormat="1" applyFont="1" applyAlignment="1">
      <alignment horizontal="right" wrapText="1"/>
    </xf>
    <xf numFmtId="0" fontId="0" fillId="0" borderId="0" xfId="0" applyAlignment="1">
      <alignment horizontal="right" wrapText="1"/>
    </xf>
    <xf numFmtId="14" fontId="0" fillId="0" borderId="29" xfId="0" applyNumberFormat="1" applyBorder="1" applyAlignment="1">
      <alignment wrapText="1"/>
    </xf>
    <xf numFmtId="14" fontId="0" fillId="17" borderId="0" xfId="0" quotePrefix="1" applyNumberFormat="1" applyFill="1"/>
    <xf numFmtId="0" fontId="3" fillId="0" borderId="14" xfId="0" applyFont="1" applyBorder="1" applyAlignment="1">
      <alignment wrapText="1"/>
    </xf>
    <xf numFmtId="0" fontId="3" fillId="0" borderId="9" xfId="0" applyFont="1" applyBorder="1" applyAlignment="1">
      <alignment wrapText="1"/>
    </xf>
    <xf numFmtId="0" fontId="50" fillId="17" borderId="0" xfId="0" applyFont="1" applyFill="1" applyAlignment="1">
      <alignment wrapText="1"/>
    </xf>
    <xf numFmtId="0" fontId="3" fillId="0" borderId="0" xfId="0" applyFont="1" applyAlignment="1">
      <alignment wrapText="1"/>
    </xf>
    <xf numFmtId="0" fontId="3" fillId="17" borderId="0" xfId="0" applyFont="1" applyFill="1" applyAlignment="1">
      <alignment wrapText="1"/>
    </xf>
    <xf numFmtId="164" fontId="0" fillId="23" borderId="9" xfId="0" applyNumberFormat="1" applyFill="1" applyBorder="1"/>
    <xf numFmtId="164" fontId="11" fillId="17" borderId="0" xfId="0" applyNumberFormat="1" applyFont="1" applyFill="1"/>
    <xf numFmtId="9" fontId="0" fillId="23" borderId="0" xfId="0" applyNumberFormat="1" applyFill="1"/>
    <xf numFmtId="9" fontId="0" fillId="17" borderId="0" xfId="0" applyNumberFormat="1" applyFill="1"/>
    <xf numFmtId="44" fontId="0" fillId="23" borderId="10" xfId="3" applyFont="1" applyFill="1" applyBorder="1"/>
    <xf numFmtId="44" fontId="0" fillId="0" borderId="10" xfId="3" applyFont="1" applyBorder="1"/>
    <xf numFmtId="164" fontId="0" fillId="23" borderId="10" xfId="0" applyNumberFormat="1" applyFill="1" applyBorder="1"/>
    <xf numFmtId="164" fontId="11" fillId="17" borderId="2" xfId="0" applyNumberFormat="1" applyFont="1" applyFill="1" applyBorder="1"/>
    <xf numFmtId="9" fontId="0" fillId="23" borderId="2" xfId="0" applyNumberFormat="1" applyFill="1" applyBorder="1"/>
    <xf numFmtId="9" fontId="0" fillId="17" borderId="2" xfId="0" applyNumberFormat="1" applyFill="1" applyBorder="1"/>
    <xf numFmtId="0" fontId="0" fillId="17" borderId="2" xfId="0" applyFill="1" applyBorder="1"/>
    <xf numFmtId="0" fontId="0" fillId="0" borderId="14" xfId="0" applyBorder="1" applyAlignment="1">
      <alignment horizontal="right"/>
    </xf>
    <xf numFmtId="14" fontId="0" fillId="0" borderId="29" xfId="0" applyNumberFormat="1" applyBorder="1"/>
    <xf numFmtId="0" fontId="11" fillId="17" borderId="0" xfId="0" quotePrefix="1" applyFont="1" applyFill="1"/>
    <xf numFmtId="0" fontId="11" fillId="17" borderId="2" xfId="0" applyFont="1" applyFill="1" applyBorder="1"/>
    <xf numFmtId="43" fontId="0" fillId="0" borderId="0" xfId="0" applyNumberFormat="1"/>
    <xf numFmtId="9" fontId="0" fillId="0" borderId="10" xfId="0" applyNumberFormat="1" applyBorder="1"/>
    <xf numFmtId="0" fontId="0" fillId="29" borderId="14" xfId="0" applyFill="1" applyBorder="1" applyAlignment="1">
      <alignment horizontal="center"/>
    </xf>
    <xf numFmtId="0" fontId="0" fillId="0" borderId="13" xfId="0" applyBorder="1" applyAlignment="1">
      <alignment horizontal="right" wrapText="1"/>
    </xf>
    <xf numFmtId="0" fontId="0" fillId="0" borderId="14" xfId="0" applyBorder="1" applyAlignment="1">
      <alignment horizontal="right" wrapText="1"/>
    </xf>
    <xf numFmtId="14" fontId="0" fillId="0" borderId="29" xfId="0" quotePrefix="1" applyNumberFormat="1" applyBorder="1"/>
    <xf numFmtId="0" fontId="0" fillId="0" borderId="13" xfId="0" applyBorder="1"/>
    <xf numFmtId="0" fontId="0" fillId="0" borderId="11" xfId="0" applyBorder="1" applyAlignment="1">
      <alignment horizontal="right"/>
    </xf>
    <xf numFmtId="14" fontId="0" fillId="0" borderId="28" xfId="0" applyNumberFormat="1" applyBorder="1"/>
    <xf numFmtId="0" fontId="0" fillId="0" borderId="28" xfId="0" applyBorder="1"/>
    <xf numFmtId="14" fontId="0" fillId="0" borderId="0" xfId="0" applyNumberFormat="1"/>
    <xf numFmtId="0" fontId="0" fillId="29" borderId="0" xfId="0" applyFill="1" applyAlignment="1">
      <alignment horizontal="center"/>
    </xf>
    <xf numFmtId="0" fontId="3" fillId="0" borderId="65" xfId="0" applyFont="1" applyBorder="1" applyAlignment="1">
      <alignment horizontal="right"/>
    </xf>
    <xf numFmtId="43" fontId="0" fillId="23" borderId="10" xfId="1" applyFont="1" applyFill="1" applyBorder="1"/>
    <xf numFmtId="0" fontId="3" fillId="23" borderId="24" xfId="0" applyFont="1" applyFill="1" applyBorder="1"/>
    <xf numFmtId="166" fontId="0" fillId="23" borderId="9" xfId="3" applyNumberFormat="1" applyFont="1" applyFill="1" applyBorder="1"/>
    <xf numFmtId="166" fontId="0" fillId="23" borderId="10" xfId="3" applyNumberFormat="1" applyFont="1" applyFill="1" applyBorder="1"/>
    <xf numFmtId="0" fontId="0" fillId="0" borderId="9" xfId="3" applyNumberFormat="1" applyFont="1" applyBorder="1"/>
    <xf numFmtId="0" fontId="0" fillId="0" borderId="0" xfId="1" applyNumberFormat="1" applyFont="1"/>
    <xf numFmtId="174" fontId="0" fillId="0" borderId="0" xfId="1" applyNumberFormat="1" applyFont="1"/>
    <xf numFmtId="174" fontId="0" fillId="0" borderId="2" xfId="1" applyNumberFormat="1" applyFont="1" applyBorder="1"/>
    <xf numFmtId="44" fontId="0" fillId="0" borderId="9" xfId="3" applyFont="1" applyBorder="1"/>
    <xf numFmtId="0" fontId="16" fillId="10" borderId="0" xfId="0" applyFont="1" applyFill="1" applyAlignment="1">
      <alignment horizontal="left" vertical="center"/>
    </xf>
    <xf numFmtId="0" fontId="30" fillId="10" borderId="0" xfId="0" applyFont="1" applyFill="1" applyAlignment="1">
      <alignment horizontal="right" vertical="center"/>
    </xf>
    <xf numFmtId="0" fontId="0" fillId="0" borderId="9" xfId="0" applyBorder="1" applyAlignment="1">
      <alignment horizontal="center" wrapText="1"/>
    </xf>
    <xf numFmtId="10" fontId="0" fillId="0" borderId="9" xfId="0" applyNumberFormat="1" applyBorder="1"/>
    <xf numFmtId="0" fontId="10" fillId="3" borderId="29" xfId="0" applyFont="1" applyFill="1" applyBorder="1"/>
    <xf numFmtId="0" fontId="60" fillId="3" borderId="11" xfId="0" applyFont="1" applyFill="1" applyBorder="1" applyAlignment="1">
      <alignment horizontal="left" indent="2"/>
    </xf>
    <xf numFmtId="0" fontId="10" fillId="3" borderId="11" xfId="0" applyFont="1" applyFill="1" applyBorder="1"/>
    <xf numFmtId="0" fontId="10" fillId="3" borderId="28" xfId="0" applyFont="1" applyFill="1" applyBorder="1"/>
    <xf numFmtId="0" fontId="9" fillId="8" borderId="9" xfId="0" applyFont="1" applyFill="1" applyBorder="1" applyAlignment="1">
      <alignment horizontal="right"/>
    </xf>
    <xf numFmtId="0" fontId="21" fillId="7" borderId="9" xfId="0" applyFont="1" applyFill="1" applyBorder="1" applyAlignment="1" applyProtection="1">
      <alignment horizontal="center"/>
      <protection locked="0"/>
    </xf>
    <xf numFmtId="0" fontId="9" fillId="3" borderId="0" xfId="0" applyFont="1" applyFill="1" applyAlignment="1">
      <alignment horizontal="right"/>
    </xf>
    <xf numFmtId="0" fontId="10" fillId="3" borderId="15" xfId="0" applyFont="1" applyFill="1" applyBorder="1"/>
    <xf numFmtId="0" fontId="10" fillId="3" borderId="30" xfId="0" applyFont="1" applyFill="1" applyBorder="1"/>
    <xf numFmtId="0" fontId="4" fillId="0" borderId="26" xfId="0" applyFont="1" applyBorder="1" applyAlignment="1">
      <alignment horizontal="center"/>
    </xf>
    <xf numFmtId="167" fontId="4" fillId="0" borderId="26" xfId="0" applyNumberFormat="1" applyFont="1" applyBorder="1" applyAlignment="1">
      <alignment horizontal="center"/>
    </xf>
    <xf numFmtId="164" fontId="10" fillId="3" borderId="0" xfId="2" applyNumberFormat="1" applyFont="1" applyFill="1"/>
    <xf numFmtId="0" fontId="0" fillId="2" borderId="9" xfId="1" applyNumberFormat="1" applyFont="1" applyFill="1" applyBorder="1" applyAlignment="1">
      <alignment horizontal="center"/>
    </xf>
    <xf numFmtId="0" fontId="0" fillId="2" borderId="0" xfId="0" applyFill="1" applyAlignment="1">
      <alignment horizontal="center"/>
    </xf>
    <xf numFmtId="0" fontId="42" fillId="0" borderId="0" xfId="0" applyFont="1" applyAlignment="1">
      <alignment horizontal="center"/>
    </xf>
    <xf numFmtId="9" fontId="0" fillId="2" borderId="9" xfId="0" applyNumberFormat="1" applyFill="1" applyBorder="1" applyAlignment="1">
      <alignment horizontal="center"/>
    </xf>
    <xf numFmtId="10" fontId="42" fillId="0" borderId="0" xfId="2" applyNumberFormat="1" applyFont="1"/>
    <xf numFmtId="0" fontId="60" fillId="3" borderId="14" xfId="0" applyFont="1" applyFill="1" applyBorder="1" applyAlignment="1">
      <alignment horizontal="left" indent="2"/>
    </xf>
    <xf numFmtId="0" fontId="10" fillId="3" borderId="14" xfId="0" applyFont="1" applyFill="1" applyBorder="1"/>
    <xf numFmtId="0" fontId="9" fillId="3" borderId="2" xfId="0" applyFont="1" applyFill="1" applyBorder="1" applyAlignment="1">
      <alignment horizontal="right"/>
    </xf>
    <xf numFmtId="164" fontId="42" fillId="0" borderId="0" xfId="2" applyNumberFormat="1" applyFont="1"/>
    <xf numFmtId="0" fontId="42" fillId="0" borderId="51" xfId="0" applyFont="1" applyBorder="1" applyAlignment="1">
      <alignment horizontal="center"/>
    </xf>
    <xf numFmtId="44" fontId="42" fillId="0" borderId="34" xfId="3" applyFont="1" applyBorder="1"/>
    <xf numFmtId="165" fontId="42" fillId="0" borderId="51" xfId="1" applyNumberFormat="1" applyFont="1" applyBorder="1"/>
    <xf numFmtId="0" fontId="43" fillId="0" borderId="0" xfId="0" applyFont="1" applyAlignment="1">
      <alignment horizontal="center"/>
    </xf>
    <xf numFmtId="0" fontId="42" fillId="0" borderId="59" xfId="0" applyFont="1" applyBorder="1" applyAlignment="1">
      <alignment horizontal="center"/>
    </xf>
    <xf numFmtId="0" fontId="42" fillId="0" borderId="63" xfId="0" applyFont="1" applyBorder="1" applyAlignment="1">
      <alignment horizontal="center"/>
    </xf>
    <xf numFmtId="0" fontId="42" fillId="0" borderId="61" xfId="0" applyFont="1" applyBorder="1" applyAlignment="1">
      <alignment horizontal="center"/>
    </xf>
    <xf numFmtId="0" fontId="42" fillId="0" borderId="53" xfId="0" applyFont="1" applyBorder="1" applyAlignment="1">
      <alignment horizontal="center"/>
    </xf>
    <xf numFmtId="0" fontId="43" fillId="0" borderId="24" xfId="0" applyFont="1" applyBorder="1" applyAlignment="1">
      <alignment horizontal="center"/>
    </xf>
    <xf numFmtId="0" fontId="43" fillId="0" borderId="45" xfId="0" applyFont="1" applyBorder="1" applyAlignment="1">
      <alignment horizontal="center"/>
    </xf>
    <xf numFmtId="0" fontId="43" fillId="0" borderId="25" xfId="0" applyFont="1" applyBorder="1" applyAlignment="1">
      <alignment horizontal="center"/>
    </xf>
    <xf numFmtId="0" fontId="18" fillId="14" borderId="9" xfId="0" applyFont="1" applyFill="1" applyBorder="1" applyAlignment="1">
      <alignment horizontal="center"/>
    </xf>
    <xf numFmtId="0" fontId="18" fillId="11" borderId="9" xfId="0" applyFont="1" applyFill="1" applyBorder="1" applyAlignment="1">
      <alignment horizontal="center" vertical="center"/>
    </xf>
    <xf numFmtId="0" fontId="5" fillId="7" borderId="25" xfId="0" applyFont="1" applyFill="1" applyBorder="1" applyAlignment="1">
      <alignment horizontal="center" vertical="center" wrapText="1"/>
    </xf>
    <xf numFmtId="9" fontId="0" fillId="2" borderId="9" xfId="2" applyFont="1" applyFill="1" applyBorder="1" applyAlignment="1">
      <alignment horizontal="center"/>
    </xf>
    <xf numFmtId="0" fontId="21" fillId="3" borderId="2" xfId="0" applyFont="1" applyFill="1" applyBorder="1" applyAlignment="1">
      <alignment horizontal="center"/>
    </xf>
    <xf numFmtId="9" fontId="0" fillId="3" borderId="0" xfId="0" applyNumberFormat="1" applyFill="1"/>
    <xf numFmtId="166" fontId="4" fillId="4" borderId="46" xfId="3" applyNumberFormat="1" applyFont="1" applyFill="1" applyBorder="1" applyAlignment="1">
      <alignment horizontal="center"/>
    </xf>
    <xf numFmtId="166" fontId="3" fillId="2" borderId="25" xfId="3" applyNumberFormat="1" applyFont="1" applyFill="1" applyBorder="1"/>
    <xf numFmtId="168" fontId="4" fillId="3" borderId="7" xfId="1" applyNumberFormat="1" applyFont="1" applyFill="1" applyBorder="1" applyAlignment="1">
      <alignment horizontal="center"/>
    </xf>
    <xf numFmtId="164" fontId="4" fillId="0" borderId="27" xfId="2" applyNumberFormat="1" applyFont="1" applyBorder="1" applyAlignment="1">
      <alignment horizontal="center"/>
    </xf>
    <xf numFmtId="167" fontId="4" fillId="3" borderId="0" xfId="0" applyNumberFormat="1" applyFont="1" applyFill="1"/>
    <xf numFmtId="168" fontId="4" fillId="3" borderId="0" xfId="0" applyNumberFormat="1" applyFont="1" applyFill="1"/>
    <xf numFmtId="2" fontId="0" fillId="0" borderId="9" xfId="0" applyNumberFormat="1" applyBorder="1"/>
    <xf numFmtId="2" fontId="0" fillId="0" borderId="9" xfId="2" applyNumberFormat="1" applyFont="1" applyBorder="1"/>
    <xf numFmtId="0" fontId="25" fillId="3" borderId="0" xfId="0" applyFont="1" applyFill="1" applyAlignment="1">
      <alignment vertical="center"/>
    </xf>
    <xf numFmtId="0" fontId="12" fillId="3" borderId="0" xfId="0" applyFont="1" applyFill="1"/>
    <xf numFmtId="0" fontId="0" fillId="5" borderId="0" xfId="0" applyFill="1"/>
    <xf numFmtId="0" fontId="3" fillId="0" borderId="0" xfId="0" applyFont="1" applyAlignment="1">
      <alignment horizontal="right" vertical="top"/>
    </xf>
    <xf numFmtId="0" fontId="3" fillId="0" borderId="0" xfId="0" applyFont="1" applyAlignment="1">
      <alignment horizontal="right"/>
    </xf>
    <xf numFmtId="0" fontId="3" fillId="2" borderId="10" xfId="0" applyFont="1" applyFill="1" applyBorder="1" applyAlignment="1">
      <alignment horizontal="center"/>
    </xf>
    <xf numFmtId="0" fontId="0" fillId="2" borderId="9" xfId="0" applyFill="1" applyBorder="1" applyAlignment="1">
      <alignment horizontal="left"/>
    </xf>
    <xf numFmtId="9" fontId="0" fillId="0" borderId="9" xfId="0" applyNumberFormat="1" applyBorder="1"/>
    <xf numFmtId="166" fontId="0" fillId="0" borderId="3" xfId="3" applyNumberFormat="1" applyFont="1" applyBorder="1"/>
    <xf numFmtId="166" fontId="0" fillId="0" borderId="26" xfId="3" applyNumberFormat="1" applyFont="1" applyBorder="1"/>
    <xf numFmtId="166" fontId="0" fillId="0" borderId="68" xfId="3" applyNumberFormat="1" applyFont="1" applyBorder="1"/>
    <xf numFmtId="166" fontId="0" fillId="0" borderId="69" xfId="3" applyNumberFormat="1" applyFont="1" applyBorder="1"/>
    <xf numFmtId="9" fontId="0" fillId="0" borderId="8" xfId="0" applyNumberFormat="1" applyBorder="1"/>
    <xf numFmtId="166" fontId="0" fillId="0" borderId="44" xfId="3" applyNumberFormat="1" applyFont="1" applyBorder="1"/>
    <xf numFmtId="166" fontId="0" fillId="0" borderId="12" xfId="3" applyNumberFormat="1" applyFont="1" applyBorder="1"/>
    <xf numFmtId="0" fontId="0" fillId="0" borderId="45" xfId="0" applyBorder="1" applyAlignment="1">
      <alignment horizontal="center"/>
    </xf>
    <xf numFmtId="0" fontId="0" fillId="0" borderId="25" xfId="0" applyBorder="1" applyAlignment="1">
      <alignment horizontal="center"/>
    </xf>
    <xf numFmtId="0" fontId="0" fillId="0" borderId="24" xfId="0" applyBorder="1" applyAlignment="1">
      <alignment horizontal="center"/>
    </xf>
    <xf numFmtId="0" fontId="0" fillId="0" borderId="64" xfId="0" applyBorder="1"/>
    <xf numFmtId="0" fontId="0" fillId="0" borderId="1" xfId="0" applyBorder="1"/>
    <xf numFmtId="0" fontId="0" fillId="0" borderId="66" xfId="0" applyBorder="1"/>
    <xf numFmtId="0" fontId="0" fillId="7" borderId="36" xfId="0" applyFill="1" applyBorder="1"/>
    <xf numFmtId="0" fontId="0" fillId="7" borderId="46" xfId="0" applyFill="1" applyBorder="1"/>
    <xf numFmtId="0" fontId="0" fillId="7" borderId="32" xfId="0" applyFill="1" applyBorder="1"/>
    <xf numFmtId="0" fontId="0" fillId="7" borderId="33" xfId="0" applyFill="1" applyBorder="1"/>
    <xf numFmtId="0" fontId="3" fillId="7" borderId="36" xfId="0" applyFont="1" applyFill="1" applyBorder="1"/>
    <xf numFmtId="166" fontId="0" fillId="7" borderId="62" xfId="3" applyNumberFormat="1" applyFont="1" applyFill="1" applyBorder="1"/>
    <xf numFmtId="166" fontId="0" fillId="7" borderId="53" xfId="3" applyNumberFormat="1" applyFont="1" applyFill="1" applyBorder="1"/>
    <xf numFmtId="164" fontId="42" fillId="0" borderId="23" xfId="2" applyNumberFormat="1" applyFont="1" applyBorder="1"/>
    <xf numFmtId="0" fontId="42" fillId="0" borderId="9" xfId="0" applyFont="1" applyBorder="1"/>
    <xf numFmtId="0" fontId="57" fillId="0" borderId="11" xfId="0" applyFont="1" applyBorder="1"/>
    <xf numFmtId="0" fontId="42" fillId="0" borderId="3" xfId="0" applyFont="1" applyBorder="1"/>
    <xf numFmtId="0" fontId="42" fillId="0" borderId="26" xfId="0" applyFont="1" applyBorder="1"/>
    <xf numFmtId="0" fontId="42" fillId="0" borderId="15" xfId="0" applyFont="1" applyBorder="1"/>
    <xf numFmtId="0" fontId="42" fillId="7" borderId="2" xfId="0" applyFont="1" applyFill="1" applyBorder="1"/>
    <xf numFmtId="0" fontId="42" fillId="0" borderId="30" xfId="0" applyFont="1" applyBorder="1"/>
    <xf numFmtId="0" fontId="42" fillId="0" borderId="13" xfId="0" applyFont="1" applyBorder="1"/>
    <xf numFmtId="0" fontId="42" fillId="0" borderId="28" xfId="0" applyFont="1" applyBorder="1"/>
    <xf numFmtId="0" fontId="42" fillId="0" borderId="14" xfId="0" applyFont="1" applyBorder="1" applyAlignment="1">
      <alignment horizontal="right"/>
    </xf>
    <xf numFmtId="0" fontId="43" fillId="0" borderId="0" xfId="0" applyFont="1" applyAlignment="1">
      <alignment horizontal="left"/>
    </xf>
    <xf numFmtId="0" fontId="42" fillId="0" borderId="15" xfId="0" applyFont="1" applyBorder="1" applyAlignment="1">
      <alignment horizontal="right"/>
    </xf>
    <xf numFmtId="0" fontId="43" fillId="0" borderId="2" xfId="0" applyFont="1" applyBorder="1" applyAlignment="1">
      <alignment horizontal="left"/>
    </xf>
    <xf numFmtId="0" fontId="43" fillId="7" borderId="24" xfId="0" applyFont="1" applyFill="1" applyBorder="1" applyAlignment="1">
      <alignment horizontal="center"/>
    </xf>
    <xf numFmtId="0" fontId="43" fillId="7" borderId="45" xfId="0" applyFont="1" applyFill="1" applyBorder="1" applyAlignment="1">
      <alignment horizontal="center"/>
    </xf>
    <xf numFmtId="0" fontId="43" fillId="7" borderId="25" xfId="0" applyFont="1" applyFill="1" applyBorder="1" applyAlignment="1">
      <alignment horizontal="center"/>
    </xf>
    <xf numFmtId="0" fontId="0" fillId="7" borderId="0" xfId="0" applyFill="1"/>
    <xf numFmtId="0" fontId="42" fillId="7" borderId="24" xfId="0" applyFont="1" applyFill="1" applyBorder="1" applyAlignment="1">
      <alignment horizontal="center"/>
    </xf>
    <xf numFmtId="0" fontId="42" fillId="7" borderId="45" xfId="0" applyFont="1" applyFill="1" applyBorder="1" applyAlignment="1">
      <alignment horizontal="center"/>
    </xf>
    <xf numFmtId="0" fontId="42" fillId="7" borderId="25" xfId="0" applyFont="1" applyFill="1" applyBorder="1" applyAlignment="1">
      <alignment horizontal="center"/>
    </xf>
    <xf numFmtId="44" fontId="42" fillId="7" borderId="44" xfId="3" applyFont="1" applyFill="1" applyBorder="1"/>
    <xf numFmtId="44" fontId="42" fillId="7" borderId="8" xfId="3" applyFont="1" applyFill="1" applyBorder="1"/>
    <xf numFmtId="164" fontId="42" fillId="7" borderId="8" xfId="2" applyNumberFormat="1" applyFont="1" applyFill="1" applyBorder="1"/>
    <xf numFmtId="164" fontId="42" fillId="7" borderId="12" xfId="2" applyNumberFormat="1" applyFont="1" applyFill="1" applyBorder="1"/>
    <xf numFmtId="44" fontId="42" fillId="7" borderId="3" xfId="3" applyFont="1" applyFill="1" applyBorder="1"/>
    <xf numFmtId="44" fontId="42" fillId="7" borderId="9" xfId="3" applyFont="1" applyFill="1" applyBorder="1"/>
    <xf numFmtId="164" fontId="42" fillId="7" borderId="9" xfId="2" applyNumberFormat="1" applyFont="1" applyFill="1" applyBorder="1"/>
    <xf numFmtId="164" fontId="42" fillId="7" borderId="26" xfId="2" applyNumberFormat="1" applyFont="1" applyFill="1" applyBorder="1"/>
    <xf numFmtId="44" fontId="42" fillId="7" borderId="4" xfId="3" applyFont="1" applyFill="1" applyBorder="1"/>
    <xf numFmtId="44" fontId="42" fillId="7" borderId="10" xfId="3" applyFont="1" applyFill="1" applyBorder="1"/>
    <xf numFmtId="164" fontId="42" fillId="7" borderId="10" xfId="2" applyNumberFormat="1" applyFont="1" applyFill="1" applyBorder="1"/>
    <xf numFmtId="164" fontId="42" fillId="7" borderId="27" xfId="2" applyNumberFormat="1" applyFont="1" applyFill="1" applyBorder="1"/>
    <xf numFmtId="165" fontId="42" fillId="7" borderId="24" xfId="1" applyNumberFormat="1" applyFont="1" applyFill="1" applyBorder="1"/>
    <xf numFmtId="44" fontId="42" fillId="7" borderId="45" xfId="3" applyFont="1" applyFill="1" applyBorder="1"/>
    <xf numFmtId="164" fontId="42" fillId="7" borderId="45" xfId="2" applyNumberFormat="1" applyFont="1" applyFill="1" applyBorder="1"/>
    <xf numFmtId="164" fontId="42" fillId="7" borderId="25" xfId="2" applyNumberFormat="1" applyFont="1" applyFill="1" applyBorder="1"/>
    <xf numFmtId="43" fontId="42" fillId="7" borderId="8" xfId="1" applyFont="1" applyFill="1" applyBorder="1"/>
    <xf numFmtId="44" fontId="42" fillId="7" borderId="21" xfId="3" applyFont="1" applyFill="1" applyBorder="1"/>
    <xf numFmtId="0" fontId="3" fillId="7" borderId="0" xfId="0" applyFont="1" applyFill="1"/>
    <xf numFmtId="175" fontId="0" fillId="0" borderId="0" xfId="0" applyNumberFormat="1"/>
    <xf numFmtId="43" fontId="0" fillId="7" borderId="0" xfId="0" applyNumberFormat="1" applyFill="1"/>
    <xf numFmtId="43" fontId="0" fillId="7" borderId="0" xfId="1" applyFont="1" applyFill="1"/>
    <xf numFmtId="166" fontId="6" fillId="3" borderId="48" xfId="3" applyNumberFormat="1" applyFont="1" applyFill="1" applyBorder="1" applyAlignment="1">
      <alignment horizontal="right" vertical="center"/>
    </xf>
    <xf numFmtId="10" fontId="6" fillId="3" borderId="48" xfId="2" applyNumberFormat="1" applyFont="1" applyFill="1" applyBorder="1" applyAlignment="1">
      <alignment horizontal="right" vertical="center"/>
    </xf>
    <xf numFmtId="44" fontId="6" fillId="3" borderId="48" xfId="3" applyFont="1" applyFill="1" applyBorder="1" applyAlignment="1">
      <alignment horizontal="right" vertical="center"/>
    </xf>
    <xf numFmtId="166" fontId="6" fillId="3" borderId="53" xfId="3" applyNumberFormat="1" applyFont="1" applyFill="1" applyBorder="1" applyAlignment="1">
      <alignment horizontal="right" vertical="center"/>
    </xf>
    <xf numFmtId="10" fontId="37" fillId="3" borderId="52" xfId="2" applyNumberFormat="1" applyFont="1" applyFill="1" applyBorder="1" applyAlignment="1">
      <alignment horizontal="center"/>
    </xf>
    <xf numFmtId="0" fontId="4" fillId="14" borderId="0" xfId="0" applyFont="1" applyFill="1" applyAlignment="1">
      <alignment horizontal="center"/>
    </xf>
    <xf numFmtId="0" fontId="64" fillId="11" borderId="54" xfId="0" applyFont="1" applyFill="1" applyBorder="1" applyAlignment="1">
      <alignment horizontal="center" vertical="center"/>
    </xf>
    <xf numFmtId="0" fontId="64" fillId="11" borderId="47" xfId="0" applyFont="1" applyFill="1" applyBorder="1" applyAlignment="1">
      <alignment horizontal="center" vertical="center"/>
    </xf>
    <xf numFmtId="0" fontId="64" fillId="11" borderId="48" xfId="0" applyFont="1" applyFill="1" applyBorder="1" applyAlignment="1">
      <alignment horizontal="center" vertical="center"/>
    </xf>
    <xf numFmtId="0" fontId="9" fillId="30" borderId="0" xfId="0" applyFont="1" applyFill="1" applyAlignment="1">
      <alignment horizontal="center"/>
    </xf>
    <xf numFmtId="0" fontId="3" fillId="2" borderId="5" xfId="0" applyFont="1" applyFill="1" applyBorder="1" applyAlignment="1">
      <alignment horizontal="right"/>
    </xf>
    <xf numFmtId="0" fontId="3" fillId="2" borderId="3" xfId="0" applyFont="1" applyFill="1" applyBorder="1" applyAlignment="1">
      <alignment horizontal="right"/>
    </xf>
    <xf numFmtId="0" fontId="3" fillId="2" borderId="4" xfId="0" applyFont="1" applyFill="1" applyBorder="1" applyAlignment="1">
      <alignment horizontal="right"/>
    </xf>
    <xf numFmtId="165" fontId="26" fillId="3" borderId="0" xfId="1" applyNumberFormat="1" applyFont="1" applyFill="1"/>
    <xf numFmtId="0" fontId="6" fillId="0" borderId="0" xfId="0" applyFont="1" applyAlignment="1">
      <alignment horizontal="center"/>
    </xf>
    <xf numFmtId="10" fontId="6" fillId="0" borderId="0" xfId="2" applyNumberFormat="1" applyFont="1" applyAlignment="1">
      <alignment horizontal="center" vertical="center"/>
    </xf>
    <xf numFmtId="0" fontId="8" fillId="10" borderId="0" xfId="0" applyFont="1" applyFill="1" applyAlignment="1">
      <alignment horizontal="center" vertical="center" wrapText="1"/>
    </xf>
    <xf numFmtId="164" fontId="0" fillId="0" borderId="6" xfId="2" applyNumberFormat="1" applyFont="1" applyBorder="1" applyAlignment="1">
      <alignment horizontal="center"/>
    </xf>
    <xf numFmtId="164" fontId="0" fillId="0" borderId="7" xfId="2" applyNumberFormat="1" applyFont="1" applyBorder="1" applyAlignment="1">
      <alignment horizontal="center"/>
    </xf>
    <xf numFmtId="164" fontId="0" fillId="0" borderId="9" xfId="2" applyNumberFormat="1" applyFont="1" applyBorder="1" applyAlignment="1">
      <alignment horizontal="center"/>
    </xf>
    <xf numFmtId="164" fontId="0" fillId="0" borderId="26" xfId="2" applyNumberFormat="1" applyFont="1" applyBorder="1" applyAlignment="1">
      <alignment horizontal="center"/>
    </xf>
    <xf numFmtId="164" fontId="0" fillId="0" borderId="10" xfId="2" applyNumberFormat="1" applyFont="1" applyBorder="1" applyAlignment="1">
      <alignment horizontal="center"/>
    </xf>
    <xf numFmtId="164" fontId="0" fillId="0" borderId="27" xfId="2" applyNumberFormat="1" applyFont="1" applyBorder="1" applyAlignment="1">
      <alignment horizontal="center"/>
    </xf>
    <xf numFmtId="0" fontId="0" fillId="0" borderId="36" xfId="0" applyBorder="1" applyAlignment="1">
      <alignment horizontal="center"/>
    </xf>
    <xf numFmtId="0" fontId="0" fillId="0" borderId="70" xfId="0" applyBorder="1"/>
    <xf numFmtId="166" fontId="0" fillId="0" borderId="31" xfId="3" applyNumberFormat="1" applyFont="1" applyBorder="1"/>
    <xf numFmtId="166" fontId="0" fillId="0" borderId="32" xfId="3" applyNumberFormat="1" applyFont="1" applyBorder="1"/>
    <xf numFmtId="0" fontId="0" fillId="0" borderId="33" xfId="0" applyBorder="1"/>
    <xf numFmtId="166" fontId="0" fillId="0" borderId="33" xfId="3" applyNumberFormat="1" applyFont="1" applyBorder="1"/>
    <xf numFmtId="9" fontId="0" fillId="0" borderId="0" xfId="2" applyFont="1" applyAlignment="1">
      <alignment horizontal="center"/>
    </xf>
    <xf numFmtId="166" fontId="0" fillId="0" borderId="9" xfId="3" applyNumberFormat="1" applyFont="1" applyBorder="1"/>
    <xf numFmtId="0" fontId="21" fillId="6" borderId="9" xfId="0" applyFont="1" applyFill="1" applyBorder="1" applyAlignment="1">
      <alignment horizontal="center"/>
    </xf>
    <xf numFmtId="0" fontId="0" fillId="3" borderId="0" xfId="0" applyFill="1" applyProtection="1">
      <protection locked="0"/>
    </xf>
    <xf numFmtId="0" fontId="5" fillId="7" borderId="56" xfId="0" applyFont="1" applyFill="1" applyBorder="1" applyAlignment="1">
      <alignment horizontal="center" vertical="center" wrapText="1"/>
    </xf>
    <xf numFmtId="0" fontId="5" fillId="7" borderId="45" xfId="0" applyFont="1" applyFill="1" applyBorder="1" applyAlignment="1">
      <alignment horizontal="center" vertical="center" wrapText="1"/>
    </xf>
    <xf numFmtId="0" fontId="19" fillId="3" borderId="0" xfId="0" applyFont="1" applyFill="1" applyAlignment="1">
      <alignment horizontal="center" vertical="center"/>
    </xf>
    <xf numFmtId="0" fontId="4" fillId="3" borderId="0" xfId="0" applyFont="1" applyFill="1" applyProtection="1">
      <protection locked="0"/>
    </xf>
    <xf numFmtId="9" fontId="21" fillId="10" borderId="0" xfId="2" applyFont="1" applyFill="1" applyAlignment="1">
      <alignment vertical="center"/>
    </xf>
    <xf numFmtId="0" fontId="0" fillId="0" borderId="11" xfId="0" applyBorder="1" applyAlignment="1" applyProtection="1">
      <alignment vertical="center"/>
      <protection locked="0"/>
    </xf>
    <xf numFmtId="0" fontId="0" fillId="0" borderId="28" xfId="0" applyBorder="1" applyAlignment="1" applyProtection="1">
      <alignment vertical="center"/>
      <protection locked="0"/>
    </xf>
    <xf numFmtId="0" fontId="0" fillId="3" borderId="11" xfId="0" applyFill="1" applyBorder="1" applyAlignment="1">
      <alignment vertical="center"/>
    </xf>
    <xf numFmtId="1" fontId="4" fillId="3" borderId="0" xfId="3" applyNumberFormat="1" applyFont="1" applyFill="1"/>
    <xf numFmtId="167" fontId="4" fillId="3" borderId="0" xfId="3" applyNumberFormat="1" applyFont="1" applyFill="1"/>
    <xf numFmtId="0" fontId="59" fillId="0" borderId="0" xfId="0" applyFont="1" applyAlignment="1">
      <alignment vertical="center"/>
    </xf>
    <xf numFmtId="0" fontId="45" fillId="3" borderId="0" xfId="0" applyFont="1" applyFill="1" applyAlignment="1">
      <alignment horizontal="center" vertical="center"/>
    </xf>
    <xf numFmtId="164" fontId="59" fillId="3" borderId="0" xfId="2" applyNumberFormat="1" applyFont="1" applyFill="1" applyAlignment="1">
      <alignment horizontal="center"/>
    </xf>
    <xf numFmtId="0" fontId="3" fillId="10" borderId="18" xfId="0" applyFont="1" applyFill="1" applyBorder="1" applyAlignment="1">
      <alignment horizontal="left" vertical="center"/>
    </xf>
    <xf numFmtId="0" fontId="40" fillId="10" borderId="18" xfId="0" applyFont="1" applyFill="1" applyBorder="1" applyAlignment="1">
      <alignment vertical="center"/>
    </xf>
    <xf numFmtId="0" fontId="40" fillId="10" borderId="19" xfId="0" applyFont="1" applyFill="1" applyBorder="1" applyAlignment="1">
      <alignment vertical="center"/>
    </xf>
    <xf numFmtId="0" fontId="59" fillId="3" borderId="0" xfId="0" applyFont="1" applyFill="1" applyAlignment="1">
      <alignment vertical="center"/>
    </xf>
    <xf numFmtId="0" fontId="3" fillId="2" borderId="9" xfId="0" applyFont="1" applyFill="1" applyBorder="1" applyAlignment="1">
      <alignment horizontal="right" vertical="center" wrapText="1"/>
    </xf>
    <xf numFmtId="166" fontId="0" fillId="3" borderId="9" xfId="3" applyNumberFormat="1" applyFont="1" applyFill="1" applyBorder="1" applyAlignment="1">
      <alignment horizontal="right" vertical="center"/>
    </xf>
    <xf numFmtId="44" fontId="0" fillId="3" borderId="9" xfId="3" applyFont="1" applyFill="1" applyBorder="1" applyAlignment="1">
      <alignment horizontal="right" vertical="center"/>
    </xf>
    <xf numFmtId="0" fontId="10" fillId="10" borderId="0" xfId="0" applyFont="1" applyFill="1" applyAlignment="1">
      <alignment vertical="center"/>
    </xf>
    <xf numFmtId="44" fontId="10" fillId="10" borderId="0" xfId="3" applyFont="1" applyFill="1" applyAlignment="1">
      <alignment horizontal="right" vertical="center"/>
    </xf>
    <xf numFmtId="0" fontId="35" fillId="10" borderId="0" xfId="0" applyFont="1" applyFill="1" applyAlignment="1">
      <alignment horizontal="center" vertical="center"/>
    </xf>
    <xf numFmtId="0" fontId="27" fillId="10" borderId="0" xfId="0" applyFont="1" applyFill="1" applyAlignment="1">
      <alignment vertical="center"/>
    </xf>
    <xf numFmtId="0" fontId="3" fillId="6" borderId="9" xfId="0" applyFont="1" applyFill="1" applyBorder="1" applyAlignment="1">
      <alignment horizontal="right" vertical="center"/>
    </xf>
    <xf numFmtId="166" fontId="3" fillId="4" borderId="9" xfId="3" applyNumberFormat="1" applyFont="1" applyFill="1" applyBorder="1" applyAlignment="1">
      <alignment vertical="center"/>
    </xf>
    <xf numFmtId="44" fontId="3" fillId="4" borderId="9" xfId="3" applyFont="1" applyFill="1" applyBorder="1" applyAlignment="1">
      <alignment vertical="center"/>
    </xf>
    <xf numFmtId="0" fontId="15" fillId="10" borderId="0" xfId="0" applyFont="1" applyFill="1" applyAlignment="1">
      <alignment vertical="center"/>
    </xf>
    <xf numFmtId="0" fontId="27" fillId="10" borderId="22" xfId="0" applyFont="1" applyFill="1" applyBorder="1" applyAlignment="1">
      <alignment vertical="center"/>
    </xf>
    <xf numFmtId="0" fontId="0" fillId="3" borderId="14" xfId="0" applyFill="1" applyBorder="1" applyAlignment="1">
      <alignment vertical="center"/>
    </xf>
    <xf numFmtId="0" fontId="27" fillId="10" borderId="18" xfId="0" applyFont="1" applyFill="1" applyBorder="1" applyAlignment="1">
      <alignment vertical="center"/>
    </xf>
    <xf numFmtId="0" fontId="3" fillId="2" borderId="9" xfId="0" applyFont="1" applyFill="1" applyBorder="1" applyAlignment="1">
      <alignment horizontal="right" vertical="center"/>
    </xf>
    <xf numFmtId="166" fontId="3" fillId="3" borderId="9" xfId="3" applyNumberFormat="1" applyFont="1" applyFill="1" applyBorder="1" applyAlignment="1">
      <alignment horizontal="center" vertical="center"/>
    </xf>
    <xf numFmtId="44" fontId="3" fillId="3" borderId="9" xfId="3" applyFont="1" applyFill="1" applyBorder="1" applyAlignment="1">
      <alignment horizontal="right" vertical="center"/>
    </xf>
    <xf numFmtId="0" fontId="0" fillId="10" borderId="22" xfId="0" applyFill="1" applyBorder="1" applyAlignment="1">
      <alignment horizontal="right" vertical="center" wrapText="1"/>
    </xf>
    <xf numFmtId="166" fontId="0" fillId="10" borderId="22" xfId="3" applyNumberFormat="1" applyFont="1" applyFill="1" applyBorder="1" applyAlignment="1">
      <alignment horizontal="right" vertical="center"/>
    </xf>
    <xf numFmtId="44" fontId="0" fillId="10" borderId="22" xfId="3" applyFont="1" applyFill="1" applyBorder="1" applyAlignment="1">
      <alignment horizontal="right" vertical="center"/>
    </xf>
    <xf numFmtId="0" fontId="0" fillId="10" borderId="21" xfId="0" applyFill="1" applyBorder="1" applyAlignment="1">
      <alignment vertical="center" wrapText="1"/>
    </xf>
    <xf numFmtId="0" fontId="0" fillId="10" borderId="22" xfId="0" applyFill="1" applyBorder="1" applyAlignment="1">
      <alignment vertical="center" wrapText="1"/>
    </xf>
    <xf numFmtId="0" fontId="3" fillId="0" borderId="0" xfId="0" applyFont="1" applyAlignment="1">
      <alignment horizontal="right" vertical="center"/>
    </xf>
    <xf numFmtId="0" fontId="19" fillId="0" borderId="11" xfId="0" applyFont="1" applyBorder="1" applyAlignment="1">
      <alignment horizontal="left" vertical="center"/>
    </xf>
    <xf numFmtId="0" fontId="19" fillId="3" borderId="11" xfId="0" applyFont="1" applyFill="1" applyBorder="1" applyAlignment="1">
      <alignment horizontal="left" vertical="center"/>
    </xf>
    <xf numFmtId="0" fontId="0" fillId="0" borderId="28" xfId="0" applyBorder="1" applyAlignment="1">
      <alignment horizontal="center" vertical="center"/>
    </xf>
    <xf numFmtId="0" fontId="4" fillId="0" borderId="29" xfId="0" applyFont="1" applyBorder="1" applyAlignment="1">
      <alignment horizontal="center"/>
    </xf>
    <xf numFmtId="168" fontId="4" fillId="0" borderId="26" xfId="0" applyNumberFormat="1" applyFont="1" applyBorder="1" applyAlignment="1">
      <alignment horizontal="center" vertical="center"/>
    </xf>
    <xf numFmtId="9" fontId="4" fillId="0" borderId="29" xfId="0" applyNumberFormat="1" applyFont="1" applyBorder="1" applyAlignment="1">
      <alignment horizontal="center"/>
    </xf>
    <xf numFmtId="0" fontId="3" fillId="10" borderId="18" xfId="0" applyFont="1" applyFill="1" applyBorder="1" applyAlignment="1">
      <alignment horizontal="right" vertical="center"/>
    </xf>
    <xf numFmtId="44" fontId="3" fillId="0" borderId="9" xfId="0" applyNumberFormat="1" applyFont="1" applyBorder="1" applyAlignment="1">
      <alignment vertical="center"/>
    </xf>
    <xf numFmtId="44" fontId="3" fillId="10" borderId="0" xfId="0" applyNumberFormat="1" applyFont="1" applyFill="1" applyAlignment="1">
      <alignment vertical="center"/>
    </xf>
    <xf numFmtId="0" fontId="27" fillId="10" borderId="0" xfId="0" applyFont="1" applyFill="1" applyAlignment="1">
      <alignment horizontal="center" vertical="center"/>
    </xf>
    <xf numFmtId="0" fontId="49" fillId="10" borderId="9" xfId="0" applyFont="1" applyFill="1" applyBorder="1" applyAlignment="1">
      <alignment vertical="center" wrapText="1"/>
    </xf>
    <xf numFmtId="0" fontId="28" fillId="10" borderId="20" xfId="0" applyFont="1" applyFill="1" applyBorder="1" applyAlignment="1">
      <alignment horizontal="center" vertical="center" wrapText="1"/>
    </xf>
    <xf numFmtId="0" fontId="22" fillId="21" borderId="9" xfId="0" applyFont="1" applyFill="1" applyBorder="1" applyAlignment="1">
      <alignment vertical="center" wrapText="1"/>
    </xf>
    <xf numFmtId="166" fontId="0" fillId="10" borderId="0" xfId="0" applyNumberFormat="1" applyFill="1" applyAlignment="1">
      <alignment vertical="center"/>
    </xf>
    <xf numFmtId="0" fontId="28" fillId="10" borderId="20" xfId="0" applyFont="1" applyFill="1" applyBorder="1" applyAlignment="1">
      <alignment vertical="center" wrapText="1"/>
    </xf>
    <xf numFmtId="0" fontId="56" fillId="10" borderId="0" xfId="0" applyFont="1" applyFill="1" applyAlignment="1">
      <alignment horizontal="right" vertical="center"/>
    </xf>
    <xf numFmtId="164" fontId="3" fillId="0" borderId="9" xfId="2" applyNumberFormat="1" applyFont="1" applyBorder="1" applyAlignment="1">
      <alignment horizontal="center" vertical="center"/>
    </xf>
    <xf numFmtId="166" fontId="35" fillId="10" borderId="20" xfId="0" applyNumberFormat="1" applyFont="1" applyFill="1" applyBorder="1" applyAlignment="1">
      <alignment vertical="center"/>
    </xf>
    <xf numFmtId="0" fontId="0" fillId="10" borderId="20" xfId="0" applyFill="1" applyBorder="1" applyAlignment="1">
      <alignment horizontal="center" vertical="center"/>
    </xf>
    <xf numFmtId="44" fontId="0" fillId="10" borderId="0" xfId="0" applyNumberFormat="1" applyFill="1" applyAlignment="1">
      <alignment vertical="center"/>
    </xf>
    <xf numFmtId="44" fontId="3" fillId="0" borderId="9" xfId="3" applyFont="1" applyBorder="1" applyAlignment="1">
      <alignment vertical="center"/>
    </xf>
    <xf numFmtId="0" fontId="3" fillId="10" borderId="0" xfId="0" applyFont="1" applyFill="1" applyAlignment="1">
      <alignment vertical="center"/>
    </xf>
    <xf numFmtId="44" fontId="24" fillId="10" borderId="0" xfId="0" applyNumberFormat="1" applyFont="1" applyFill="1" applyAlignment="1">
      <alignment horizontal="center" vertical="top" wrapText="1"/>
    </xf>
    <xf numFmtId="164" fontId="35" fillId="10" borderId="0" xfId="2" applyNumberFormat="1" applyFont="1" applyFill="1" applyAlignment="1">
      <alignment horizontal="center" vertical="center"/>
    </xf>
    <xf numFmtId="164" fontId="22" fillId="19" borderId="9" xfId="2" applyNumberFormat="1" applyFont="1" applyFill="1" applyBorder="1" applyAlignment="1">
      <alignment horizontal="center" vertical="center"/>
    </xf>
    <xf numFmtId="0" fontId="3" fillId="10" borderId="22" xfId="0" applyFont="1" applyFill="1" applyBorder="1" applyAlignment="1">
      <alignment horizontal="right" vertical="center"/>
    </xf>
    <xf numFmtId="44" fontId="3" fillId="10" borderId="22" xfId="0" applyNumberFormat="1" applyFont="1" applyFill="1" applyBorder="1" applyAlignment="1">
      <alignment vertical="center"/>
    </xf>
    <xf numFmtId="0" fontId="8" fillId="14" borderId="0" xfId="0" applyFont="1" applyFill="1" applyAlignment="1">
      <alignment horizontal="center" vertical="center" wrapText="1"/>
    </xf>
    <xf numFmtId="0" fontId="65" fillId="3" borderId="0" xfId="0" applyFont="1" applyFill="1"/>
    <xf numFmtId="0" fontId="0" fillId="0" borderId="0" xfId="0" applyAlignment="1" applyProtection="1">
      <alignment horizontal="center" vertical="center"/>
      <protection locked="0"/>
    </xf>
    <xf numFmtId="165" fontId="4" fillId="0" borderId="0" xfId="1" applyNumberFormat="1" applyFont="1"/>
    <xf numFmtId="166" fontId="4" fillId="0" borderId="0" xfId="3" applyNumberFormat="1" applyFont="1"/>
    <xf numFmtId="44" fontId="4" fillId="0" borderId="0" xfId="3" applyFont="1"/>
    <xf numFmtId="43" fontId="4" fillId="0" borderId="0" xfId="0" applyNumberFormat="1" applyFont="1"/>
    <xf numFmtId="0" fontId="4" fillId="0" borderId="9" xfId="0" applyFont="1" applyBorder="1" applyAlignment="1">
      <alignment horizontal="right"/>
    </xf>
    <xf numFmtId="2" fontId="4" fillId="0" borderId="0" xfId="0" applyNumberFormat="1" applyFont="1"/>
    <xf numFmtId="0" fontId="4" fillId="0" borderId="0" xfId="0" applyFont="1" applyAlignment="1">
      <alignment horizontal="right"/>
    </xf>
    <xf numFmtId="0" fontId="4" fillId="0" borderId="0" xfId="0" applyFont="1" applyAlignment="1">
      <alignment wrapText="1"/>
    </xf>
    <xf numFmtId="0" fontId="4" fillId="21" borderId="0" xfId="0" applyFont="1" applyFill="1" applyAlignment="1">
      <alignment horizontal="center" wrapText="1"/>
    </xf>
    <xf numFmtId="0" fontId="4" fillId="0" borderId="0" xfId="0" applyFont="1" applyAlignment="1">
      <alignment horizontal="center" wrapText="1"/>
    </xf>
    <xf numFmtId="0" fontId="4" fillId="31" borderId="0" xfId="0" applyFont="1" applyFill="1" applyAlignment="1">
      <alignment horizontal="center" wrapText="1"/>
    </xf>
    <xf numFmtId="0" fontId="21" fillId="31" borderId="0" xfId="0" applyFont="1" applyFill="1" applyAlignment="1">
      <alignment horizontal="center" wrapText="1"/>
    </xf>
    <xf numFmtId="0" fontId="5" fillId="0" borderId="0" xfId="0" applyFont="1" applyAlignment="1">
      <alignment horizontal="right"/>
    </xf>
    <xf numFmtId="0" fontId="5" fillId="0" borderId="9" xfId="0" applyFont="1" applyBorder="1" applyAlignment="1">
      <alignment horizontal="right"/>
    </xf>
    <xf numFmtId="43" fontId="4" fillId="0" borderId="0" xfId="1" applyFont="1"/>
    <xf numFmtId="0" fontId="5" fillId="8" borderId="9" xfId="0" applyFont="1" applyFill="1" applyBorder="1" applyAlignment="1">
      <alignment horizontal="right"/>
    </xf>
    <xf numFmtId="0" fontId="21" fillId="0" borderId="0" xfId="0" applyFont="1"/>
    <xf numFmtId="44" fontId="4" fillId="0" borderId="0" xfId="0" applyNumberFormat="1" applyFont="1"/>
    <xf numFmtId="166" fontId="4" fillId="0" borderId="9" xfId="3" applyNumberFormat="1" applyFont="1" applyBorder="1" applyAlignment="1">
      <alignment horizontal="right"/>
    </xf>
    <xf numFmtId="0" fontId="4" fillId="23" borderId="0" xfId="0" applyFont="1" applyFill="1" applyAlignment="1">
      <alignment horizontal="center" wrapText="1"/>
    </xf>
    <xf numFmtId="0" fontId="4" fillId="0" borderId="41" xfId="0" applyFont="1" applyBorder="1" applyAlignment="1">
      <alignment horizontal="right"/>
    </xf>
    <xf numFmtId="0" fontId="4" fillId="0" borderId="9" xfId="0" applyFont="1" applyBorder="1" applyAlignment="1">
      <alignment horizontal="center" wrapText="1"/>
    </xf>
    <xf numFmtId="0" fontId="4" fillId="0" borderId="9" xfId="0" applyFont="1" applyBorder="1" applyAlignment="1">
      <alignment horizontal="center"/>
    </xf>
    <xf numFmtId="166" fontId="4" fillId="0" borderId="9" xfId="3" applyNumberFormat="1" applyFont="1" applyBorder="1"/>
    <xf numFmtId="166" fontId="5" fillId="0" borderId="8" xfId="3" applyNumberFormat="1" applyFont="1" applyBorder="1"/>
    <xf numFmtId="166" fontId="4" fillId="0" borderId="67" xfId="3" applyNumberFormat="1" applyFont="1" applyBorder="1"/>
    <xf numFmtId="0" fontId="5" fillId="0" borderId="8" xfId="0" applyFont="1" applyBorder="1" applyAlignment="1">
      <alignment horizontal="right"/>
    </xf>
    <xf numFmtId="0" fontId="4" fillId="0" borderId="67" xfId="0" applyFont="1" applyBorder="1" applyAlignment="1">
      <alignment horizontal="right"/>
    </xf>
    <xf numFmtId="9" fontId="4" fillId="3" borderId="5" xfId="2" applyFont="1" applyFill="1" applyBorder="1" applyAlignment="1" applyProtection="1">
      <alignment horizontal="center" vertical="center"/>
      <protection locked="0"/>
    </xf>
    <xf numFmtId="0" fontId="6" fillId="3" borderId="7" xfId="0" applyFont="1" applyFill="1" applyBorder="1" applyAlignment="1" applyProtection="1">
      <alignment horizontal="center" vertical="center"/>
      <protection locked="0"/>
    </xf>
    <xf numFmtId="9" fontId="4" fillId="3" borderId="3" xfId="2" applyFont="1" applyFill="1" applyBorder="1" applyAlignment="1" applyProtection="1">
      <alignment horizontal="center" vertical="center"/>
      <protection locked="0"/>
    </xf>
    <xf numFmtId="0" fontId="6" fillId="3" borderId="26" xfId="0" applyFont="1" applyFill="1" applyBorder="1" applyAlignment="1" applyProtection="1">
      <alignment horizontal="center" vertical="center"/>
      <protection locked="0"/>
    </xf>
    <xf numFmtId="9" fontId="4" fillId="3" borderId="4" xfId="2" applyFont="1" applyFill="1" applyBorder="1" applyAlignment="1" applyProtection="1">
      <alignment horizontal="center" vertical="center"/>
      <protection locked="0"/>
    </xf>
    <xf numFmtId="0" fontId="6" fillId="3" borderId="27" xfId="0" applyFont="1" applyFill="1" applyBorder="1" applyAlignment="1" applyProtection="1">
      <alignment horizontal="center" vertical="center"/>
      <protection locked="0"/>
    </xf>
    <xf numFmtId="9" fontId="5" fillId="3" borderId="6" xfId="2" applyFont="1" applyFill="1" applyBorder="1" applyAlignment="1" applyProtection="1">
      <alignment horizontal="center" vertical="center"/>
      <protection locked="0"/>
    </xf>
    <xf numFmtId="9" fontId="5" fillId="3" borderId="9" xfId="2" applyFont="1" applyFill="1" applyBorder="1" applyAlignment="1" applyProtection="1">
      <alignment horizontal="center" vertical="center"/>
      <protection locked="0"/>
    </xf>
    <xf numFmtId="9" fontId="5" fillId="3" borderId="10" xfId="2" applyFont="1" applyFill="1" applyBorder="1" applyAlignment="1" applyProtection="1">
      <alignment horizontal="center" vertical="center"/>
      <protection locked="0"/>
    </xf>
    <xf numFmtId="176" fontId="0" fillId="0" borderId="0" xfId="1" applyNumberFormat="1" applyFont="1"/>
    <xf numFmtId="176" fontId="0" fillId="0" borderId="0" xfId="0" applyNumberFormat="1"/>
    <xf numFmtId="166" fontId="4" fillId="3" borderId="0" xfId="0" applyNumberFormat="1" applyFont="1" applyFill="1"/>
    <xf numFmtId="0" fontId="9" fillId="2" borderId="44" xfId="0" applyFont="1" applyFill="1" applyBorder="1" applyAlignment="1">
      <alignment horizontal="center"/>
    </xf>
    <xf numFmtId="0" fontId="9" fillId="2" borderId="3" xfId="0" applyFont="1" applyFill="1" applyBorder="1" applyAlignment="1">
      <alignment horizontal="center"/>
    </xf>
    <xf numFmtId="0" fontId="9" fillId="2" borderId="4" xfId="0" applyFont="1" applyFill="1" applyBorder="1" applyAlignment="1">
      <alignment horizontal="center"/>
    </xf>
    <xf numFmtId="9" fontId="21" fillId="7" borderId="26" xfId="0" applyNumberFormat="1" applyFont="1" applyFill="1" applyBorder="1" applyAlignment="1" applyProtection="1">
      <alignment horizontal="center"/>
      <protection locked="0"/>
    </xf>
    <xf numFmtId="9" fontId="21" fillId="7" borderId="27" xfId="0" applyNumberFormat="1" applyFont="1" applyFill="1" applyBorder="1" applyAlignment="1" applyProtection="1">
      <alignment horizontal="center"/>
      <protection locked="0"/>
    </xf>
    <xf numFmtId="166" fontId="42" fillId="7" borderId="45" xfId="3" applyNumberFormat="1" applyFont="1" applyFill="1" applyBorder="1"/>
    <xf numFmtId="0" fontId="0" fillId="0" borderId="71" xfId="0" applyBorder="1"/>
    <xf numFmtId="0" fontId="0" fillId="0" borderId="72" xfId="0" applyBorder="1"/>
    <xf numFmtId="0" fontId="15" fillId="0" borderId="29" xfId="0" applyFont="1" applyBorder="1"/>
    <xf numFmtId="0" fontId="30" fillId="3" borderId="50" xfId="0" applyFont="1" applyFill="1" applyBorder="1" applyAlignment="1">
      <alignment horizontal="center"/>
    </xf>
    <xf numFmtId="0" fontId="0" fillId="3" borderId="50" xfId="0" applyFill="1" applyBorder="1"/>
    <xf numFmtId="0" fontId="0" fillId="3" borderId="11" xfId="0" applyFill="1" applyBorder="1"/>
    <xf numFmtId="0" fontId="0" fillId="3" borderId="28" xfId="0" applyFill="1" applyBorder="1"/>
    <xf numFmtId="0" fontId="0" fillId="3" borderId="14" xfId="0" applyFill="1" applyBorder="1"/>
    <xf numFmtId="0" fontId="0" fillId="3" borderId="29" xfId="0" applyFill="1" applyBorder="1"/>
    <xf numFmtId="0" fontId="0" fillId="3" borderId="15" xfId="0" applyFill="1" applyBorder="1"/>
    <xf numFmtId="0" fontId="0" fillId="3" borderId="2" xfId="0" applyFill="1" applyBorder="1"/>
    <xf numFmtId="0" fontId="0" fillId="3" borderId="30" xfId="0" applyFill="1" applyBorder="1"/>
    <xf numFmtId="173" fontId="4" fillId="7" borderId="6" xfId="1" applyNumberFormat="1" applyFont="1" applyFill="1" applyBorder="1" applyAlignment="1" applyProtection="1">
      <alignment horizontal="center"/>
      <protection locked="0"/>
    </xf>
    <xf numFmtId="173" fontId="4" fillId="7" borderId="9" xfId="1" applyNumberFormat="1" applyFont="1" applyFill="1" applyBorder="1" applyAlignment="1" applyProtection="1">
      <alignment horizontal="center"/>
      <protection locked="0"/>
    </xf>
    <xf numFmtId="173" fontId="4" fillId="7" borderId="10" xfId="1" applyNumberFormat="1" applyFont="1" applyFill="1" applyBorder="1" applyAlignment="1" applyProtection="1">
      <alignment horizontal="center"/>
      <protection locked="0"/>
    </xf>
    <xf numFmtId="0" fontId="3" fillId="0" borderId="0" xfId="0" applyFont="1" applyAlignment="1">
      <alignment horizontal="left" indent="1"/>
    </xf>
    <xf numFmtId="0" fontId="3" fillId="0" borderId="5" xfId="0" applyFont="1" applyBorder="1" applyAlignment="1">
      <alignment horizontal="center"/>
    </xf>
    <xf numFmtId="0" fontId="3" fillId="0" borderId="3" xfId="0" applyFont="1" applyBorder="1" applyAlignment="1">
      <alignment horizontal="center"/>
    </xf>
    <xf numFmtId="0" fontId="3" fillId="0" borderId="4" xfId="0" applyFont="1" applyBorder="1" applyAlignment="1">
      <alignment horizontal="center"/>
    </xf>
    <xf numFmtId="0" fontId="4" fillId="3" borderId="0" xfId="0" applyFont="1" applyFill="1" applyAlignment="1">
      <alignment wrapText="1"/>
    </xf>
    <xf numFmtId="165" fontId="0" fillId="23" borderId="0" xfId="1" applyNumberFormat="1" applyFont="1" applyFill="1" applyAlignment="1">
      <alignment wrapText="1"/>
    </xf>
    <xf numFmtId="0" fontId="0" fillId="0" borderId="29" xfId="0" applyBorder="1" applyAlignment="1">
      <alignment wrapText="1"/>
    </xf>
    <xf numFmtId="166" fontId="4" fillId="4" borderId="55" xfId="3" applyNumberFormat="1" applyFont="1" applyFill="1" applyBorder="1" applyAlignment="1" applyProtection="1">
      <alignment horizontal="center"/>
      <protection hidden="1"/>
    </xf>
    <xf numFmtId="165" fontId="4" fillId="4" borderId="6" xfId="1" applyNumberFormat="1" applyFont="1" applyFill="1" applyBorder="1" applyAlignment="1" applyProtection="1">
      <alignment horizontal="center"/>
      <protection hidden="1"/>
    </xf>
    <xf numFmtId="165" fontId="4" fillId="4" borderId="7" xfId="1" applyNumberFormat="1" applyFont="1" applyFill="1" applyBorder="1" applyAlignment="1" applyProtection="1">
      <alignment horizontal="center"/>
      <protection hidden="1"/>
    </xf>
    <xf numFmtId="166" fontId="4" fillId="4" borderId="44" xfId="3" applyNumberFormat="1" applyFont="1" applyFill="1" applyBorder="1" applyAlignment="1" applyProtection="1">
      <alignment horizontal="center"/>
      <protection hidden="1"/>
    </xf>
    <xf numFmtId="165" fontId="4" fillId="4" borderId="8" xfId="1" applyNumberFormat="1" applyFont="1" applyFill="1" applyBorder="1" applyAlignment="1" applyProtection="1">
      <alignment horizontal="center"/>
      <protection hidden="1"/>
    </xf>
    <xf numFmtId="165" fontId="4" fillId="4" borderId="12" xfId="1" applyNumberFormat="1" applyFont="1" applyFill="1" applyBorder="1" applyAlignment="1" applyProtection="1">
      <alignment horizontal="center"/>
      <protection hidden="1"/>
    </xf>
    <xf numFmtId="165" fontId="4" fillId="4" borderId="48" xfId="1" applyNumberFormat="1" applyFont="1" applyFill="1" applyBorder="1" applyAlignment="1" applyProtection="1">
      <alignment horizontal="center"/>
      <protection hidden="1"/>
    </xf>
    <xf numFmtId="0" fontId="3" fillId="0" borderId="0" xfId="0" applyFont="1" applyProtection="1">
      <protection hidden="1"/>
    </xf>
    <xf numFmtId="0" fontId="3" fillId="2" borderId="8" xfId="0" applyFont="1" applyFill="1" applyBorder="1" applyAlignment="1" applyProtection="1">
      <alignment horizontal="center"/>
      <protection hidden="1"/>
    </xf>
    <xf numFmtId="0" fontId="30" fillId="6" borderId="25" xfId="0" applyFont="1" applyFill="1" applyBorder="1" applyAlignment="1">
      <alignment horizontal="center" wrapText="1"/>
    </xf>
    <xf numFmtId="0" fontId="30" fillId="18" borderId="45" xfId="0" applyFont="1" applyFill="1" applyBorder="1" applyAlignment="1">
      <alignment horizontal="center" wrapText="1"/>
    </xf>
    <xf numFmtId="0" fontId="30" fillId="18" borderId="25" xfId="0" applyFont="1" applyFill="1" applyBorder="1" applyAlignment="1">
      <alignment horizontal="center" wrapText="1"/>
    </xf>
    <xf numFmtId="0" fontId="0" fillId="0" borderId="2" xfId="0" applyBorder="1" applyAlignment="1">
      <alignment vertical="center"/>
    </xf>
    <xf numFmtId="0" fontId="25" fillId="10" borderId="0" xfId="0" applyFont="1" applyFill="1" applyAlignment="1">
      <alignment horizontal="center" vertical="center"/>
    </xf>
    <xf numFmtId="169" fontId="25" fillId="10" borderId="0" xfId="0" applyNumberFormat="1" applyFont="1" applyFill="1" applyAlignment="1">
      <alignment horizontal="center" vertical="center"/>
    </xf>
    <xf numFmtId="0" fontId="8" fillId="12" borderId="9" xfId="0" applyFont="1" applyFill="1" applyBorder="1" applyAlignment="1">
      <alignment horizontal="center" vertical="center"/>
    </xf>
    <xf numFmtId="0" fontId="4" fillId="3" borderId="0" xfId="0" applyFont="1" applyFill="1" applyAlignment="1">
      <alignment horizontal="center"/>
    </xf>
    <xf numFmtId="0" fontId="4" fillId="0" borderId="7" xfId="0" applyFont="1" applyBorder="1" applyAlignment="1">
      <alignment horizontal="center"/>
    </xf>
    <xf numFmtId="0" fontId="0" fillId="0" borderId="15" xfId="0" applyBorder="1" applyAlignment="1">
      <alignment vertical="center"/>
    </xf>
    <xf numFmtId="0" fontId="0" fillId="0" borderId="30" xfId="0" applyBorder="1" applyAlignment="1">
      <alignment vertical="center"/>
    </xf>
    <xf numFmtId="0" fontId="0" fillId="0" borderId="76" xfId="0" applyBorder="1"/>
    <xf numFmtId="0" fontId="0" fillId="10" borderId="42" xfId="0" applyFill="1" applyBorder="1" applyAlignment="1">
      <alignment horizontal="center"/>
    </xf>
    <xf numFmtId="165" fontId="0" fillId="0" borderId="9" xfId="1" applyNumberFormat="1" applyFont="1" applyBorder="1"/>
    <xf numFmtId="0" fontId="63" fillId="3" borderId="2" xfId="0" applyFont="1" applyFill="1" applyBorder="1"/>
    <xf numFmtId="0" fontId="0" fillId="0" borderId="0" xfId="0" applyProtection="1">
      <protection locked="0"/>
    </xf>
    <xf numFmtId="0" fontId="7" fillId="0" borderId="2" xfId="0" applyFont="1" applyBorder="1" applyAlignment="1">
      <alignment horizontal="right" vertical="center"/>
    </xf>
    <xf numFmtId="10" fontId="6" fillId="0" borderId="2" xfId="2" applyNumberFormat="1" applyFont="1" applyBorder="1" applyAlignment="1">
      <alignment horizontal="center" vertical="center"/>
    </xf>
    <xf numFmtId="0" fontId="0" fillId="3" borderId="2" xfId="0" applyFill="1" applyBorder="1" applyAlignment="1">
      <alignment vertical="center"/>
    </xf>
    <xf numFmtId="0" fontId="3" fillId="3" borderId="2" xfId="0" applyFont="1" applyFill="1" applyBorder="1" applyAlignment="1">
      <alignment horizontal="right" vertical="center"/>
    </xf>
    <xf numFmtId="44" fontId="3" fillId="3" borderId="2" xfId="0" applyNumberFormat="1" applyFont="1" applyFill="1" applyBorder="1" applyAlignment="1">
      <alignment vertical="center"/>
    </xf>
    <xf numFmtId="0" fontId="0" fillId="3" borderId="2" xfId="0" applyFill="1" applyBorder="1" applyAlignment="1">
      <alignment horizontal="center" vertical="center"/>
    </xf>
    <xf numFmtId="0" fontId="3" fillId="3" borderId="0" xfId="0" applyFont="1" applyFill="1" applyAlignment="1">
      <alignment horizontal="center"/>
    </xf>
    <xf numFmtId="0" fontId="3" fillId="0" borderId="2" xfId="0" applyFont="1" applyBorder="1" applyProtection="1">
      <protection hidden="1"/>
    </xf>
    <xf numFmtId="0" fontId="3" fillId="3" borderId="2" xfId="0" applyFont="1" applyFill="1" applyBorder="1" applyAlignment="1" applyProtection="1">
      <alignment horizontal="center"/>
      <protection hidden="1"/>
    </xf>
    <xf numFmtId="0" fontId="0" fillId="3" borderId="2" xfId="0" applyFill="1" applyBorder="1" applyAlignment="1" applyProtection="1">
      <alignment horizontal="left" indent="1"/>
      <protection locked="0"/>
    </xf>
    <xf numFmtId="0" fontId="0" fillId="3" borderId="2" xfId="0" applyFill="1" applyBorder="1" applyProtection="1">
      <protection locked="0"/>
    </xf>
    <xf numFmtId="0" fontId="0" fillId="0" borderId="71" xfId="0" applyBorder="1" applyAlignment="1">
      <alignment horizontal="center"/>
    </xf>
    <xf numFmtId="0" fontId="0" fillId="0" borderId="72" xfId="0" applyBorder="1" applyAlignment="1">
      <alignment horizontal="center"/>
    </xf>
    <xf numFmtId="0" fontId="43" fillId="0" borderId="14" xfId="0" applyFont="1" applyBorder="1"/>
    <xf numFmtId="0" fontId="0" fillId="0" borderId="55" xfId="0" applyBorder="1"/>
    <xf numFmtId="0" fontId="15" fillId="0" borderId="14" xfId="0" applyFont="1" applyBorder="1" applyAlignment="1">
      <alignment vertical="center"/>
    </xf>
    <xf numFmtId="0" fontId="0" fillId="3" borderId="0" xfId="0" applyFill="1" applyAlignment="1">
      <alignment horizontal="right"/>
    </xf>
    <xf numFmtId="0" fontId="0" fillId="3" borderId="29" xfId="0" applyFill="1" applyBorder="1" applyAlignment="1">
      <alignment horizontal="right"/>
    </xf>
    <xf numFmtId="14" fontId="0" fillId="3" borderId="29" xfId="0" applyNumberFormat="1" applyFill="1" applyBorder="1" applyAlignment="1">
      <alignment horizontal="right"/>
    </xf>
    <xf numFmtId="0" fontId="0" fillId="3" borderId="14" xfId="0" applyFill="1" applyBorder="1" applyAlignment="1">
      <alignment wrapText="1"/>
    </xf>
    <xf numFmtId="43" fontId="0" fillId="3" borderId="29" xfId="1" applyFont="1" applyFill="1" applyBorder="1" applyAlignment="1">
      <alignment horizontal="right"/>
    </xf>
    <xf numFmtId="44" fontId="0" fillId="3" borderId="29" xfId="0" applyNumberFormat="1" applyFill="1" applyBorder="1" applyAlignment="1">
      <alignment horizontal="right"/>
    </xf>
    <xf numFmtId="0" fontId="0" fillId="3" borderId="15" xfId="0" applyFill="1" applyBorder="1" applyAlignment="1">
      <alignment wrapText="1"/>
    </xf>
    <xf numFmtId="0" fontId="0" fillId="3" borderId="30" xfId="0" applyFill="1" applyBorder="1" applyAlignment="1">
      <alignment horizontal="right"/>
    </xf>
    <xf numFmtId="166" fontId="5" fillId="0" borderId="9" xfId="3" applyNumberFormat="1" applyFont="1" applyBorder="1"/>
    <xf numFmtId="166" fontId="5" fillId="0" borderId="67" xfId="3" applyNumberFormat="1" applyFont="1" applyBorder="1"/>
    <xf numFmtId="9" fontId="67" fillId="3" borderId="0" xfId="2" applyFont="1" applyFill="1" applyAlignment="1" applyProtection="1">
      <alignment horizontal="center" vertical="center"/>
      <protection hidden="1"/>
    </xf>
    <xf numFmtId="0" fontId="10" fillId="3" borderId="14" xfId="0" applyFont="1" applyFill="1" applyBorder="1" applyProtection="1">
      <protection locked="0"/>
    </xf>
    <xf numFmtId="0" fontId="30" fillId="6" borderId="24" xfId="0" applyFont="1" applyFill="1" applyBorder="1" applyAlignment="1">
      <alignment horizontal="center"/>
    </xf>
    <xf numFmtId="0" fontId="0" fillId="0" borderId="13" xfId="0" applyBorder="1" applyAlignment="1" applyProtection="1">
      <alignment vertical="center"/>
      <protection locked="0"/>
    </xf>
    <xf numFmtId="0" fontId="0" fillId="3" borderId="13" xfId="0" applyFill="1" applyBorder="1" applyProtection="1">
      <protection locked="0"/>
    </xf>
    <xf numFmtId="0" fontId="0" fillId="0" borderId="44" xfId="0" applyBorder="1" applyAlignment="1">
      <alignment horizontal="left"/>
    </xf>
    <xf numFmtId="166" fontId="28" fillId="0" borderId="0" xfId="3" applyNumberFormat="1" applyFont="1" applyAlignment="1">
      <alignment horizontal="center"/>
    </xf>
    <xf numFmtId="0" fontId="26" fillId="0" borderId="2" xfId="0" applyFont="1" applyBorder="1" applyAlignment="1">
      <alignment vertical="center"/>
    </xf>
    <xf numFmtId="0" fontId="26" fillId="3" borderId="0" xfId="0" applyFont="1" applyFill="1" applyAlignment="1">
      <alignment vertical="center"/>
    </xf>
    <xf numFmtId="0" fontId="26" fillId="3" borderId="0" xfId="0" applyFont="1" applyFill="1"/>
    <xf numFmtId="0" fontId="26" fillId="0" borderId="0" xfId="0" applyFont="1"/>
    <xf numFmtId="0" fontId="26" fillId="0" borderId="0" xfId="0" applyFont="1" applyAlignment="1">
      <alignment vertical="center"/>
    </xf>
    <xf numFmtId="0" fontId="15" fillId="10" borderId="0" xfId="0" applyFont="1" applyFill="1" applyAlignment="1">
      <alignment horizontal="right" vertical="center"/>
    </xf>
    <xf numFmtId="0" fontId="3" fillId="10" borderId="0" xfId="0" applyFont="1" applyFill="1" applyAlignment="1">
      <alignment horizontal="center" vertical="center"/>
    </xf>
    <xf numFmtId="0" fontId="69" fillId="10" borderId="0" xfId="0" applyFont="1" applyFill="1" applyAlignment="1">
      <alignment horizontal="center" vertical="center" wrapText="1"/>
    </xf>
    <xf numFmtId="0" fontId="0" fillId="0" borderId="54" xfId="0" applyBorder="1"/>
    <xf numFmtId="10" fontId="0" fillId="0" borderId="54" xfId="2" applyNumberFormat="1" applyFont="1" applyBorder="1"/>
    <xf numFmtId="0" fontId="3" fillId="0" borderId="26" xfId="0" applyFont="1" applyBorder="1" applyAlignment="1">
      <alignment wrapText="1"/>
    </xf>
    <xf numFmtId="9" fontId="0" fillId="0" borderId="78" xfId="2" applyFont="1" applyBorder="1"/>
    <xf numFmtId="10" fontId="0" fillId="23" borderId="27" xfId="2" applyNumberFormat="1" applyFont="1" applyFill="1" applyBorder="1"/>
    <xf numFmtId="10" fontId="0" fillId="23" borderId="26" xfId="2" applyNumberFormat="1" applyFont="1" applyFill="1" applyBorder="1"/>
    <xf numFmtId="10" fontId="0" fillId="0" borderId="29" xfId="0" applyNumberFormat="1" applyBorder="1"/>
    <xf numFmtId="10" fontId="0" fillId="0" borderId="29" xfId="2" applyNumberFormat="1" applyFont="1" applyBorder="1"/>
    <xf numFmtId="44" fontId="45" fillId="10" borderId="0" xfId="0" applyNumberFormat="1" applyFont="1" applyFill="1" applyAlignment="1">
      <alignment vertical="center"/>
    </xf>
    <xf numFmtId="0" fontId="59" fillId="10" borderId="0" xfId="0" applyFont="1" applyFill="1" applyAlignment="1">
      <alignment horizontal="center" vertical="center"/>
    </xf>
    <xf numFmtId="0" fontId="45" fillId="10" borderId="0" xfId="0" applyFont="1" applyFill="1" applyAlignment="1">
      <alignment vertical="center" wrapText="1"/>
    </xf>
    <xf numFmtId="0" fontId="3" fillId="0" borderId="54" xfId="0" applyFont="1" applyBorder="1" applyAlignment="1">
      <alignment horizontal="right" vertical="center"/>
    </xf>
    <xf numFmtId="166" fontId="3" fillId="0" borderId="54" xfId="0" applyNumberFormat="1" applyFont="1" applyBorder="1" applyAlignment="1">
      <alignment vertical="center"/>
    </xf>
    <xf numFmtId="44" fontId="3" fillId="0" borderId="54" xfId="0" applyNumberFormat="1" applyFont="1" applyBorder="1" applyAlignment="1">
      <alignment vertical="center"/>
    </xf>
    <xf numFmtId="0" fontId="45" fillId="10" borderId="0" xfId="0" applyFont="1" applyFill="1" applyAlignment="1">
      <alignment horizontal="right" vertical="center"/>
    </xf>
    <xf numFmtId="166" fontId="45" fillId="10" borderId="0" xfId="0" applyNumberFormat="1" applyFont="1" applyFill="1" applyAlignment="1">
      <alignment vertical="center"/>
    </xf>
    <xf numFmtId="166" fontId="3" fillId="7" borderId="9" xfId="0" applyNumberFormat="1" applyFont="1" applyFill="1" applyBorder="1" applyAlignment="1" applyProtection="1">
      <alignment vertical="center"/>
      <protection locked="0"/>
    </xf>
    <xf numFmtId="0" fontId="3" fillId="29" borderId="14" xfId="0" applyFont="1" applyFill="1" applyBorder="1" applyAlignment="1">
      <alignment wrapText="1"/>
    </xf>
    <xf numFmtId="0" fontId="3" fillId="29" borderId="0" xfId="0" applyFont="1" applyFill="1" applyAlignment="1">
      <alignment wrapText="1"/>
    </xf>
    <xf numFmtId="0" fontId="3" fillId="29" borderId="29" xfId="0" applyFont="1" applyFill="1" applyBorder="1" applyAlignment="1">
      <alignment wrapText="1"/>
    </xf>
    <xf numFmtId="44" fontId="27" fillId="10" borderId="0" xfId="0" applyNumberFormat="1" applyFont="1" applyFill="1" applyAlignment="1">
      <alignment vertical="center"/>
    </xf>
    <xf numFmtId="0" fontId="10" fillId="3" borderId="0" xfId="0" applyFont="1" applyFill="1" applyAlignment="1">
      <alignment horizontal="center" vertical="center"/>
    </xf>
    <xf numFmtId="0" fontId="10" fillId="10" borderId="19" xfId="0" applyFont="1" applyFill="1" applyBorder="1" applyAlignment="1">
      <alignment horizontal="center" vertical="center"/>
    </xf>
    <xf numFmtId="0" fontId="10" fillId="10" borderId="20" xfId="0" applyFont="1" applyFill="1" applyBorder="1" applyAlignment="1">
      <alignment horizontal="center" vertical="center"/>
    </xf>
    <xf numFmtId="0" fontId="70" fillId="3" borderId="0" xfId="0" applyFont="1" applyFill="1" applyAlignment="1">
      <alignment horizontal="right" vertical="center"/>
    </xf>
    <xf numFmtId="43" fontId="27" fillId="10" borderId="22" xfId="1" applyFont="1" applyFill="1" applyBorder="1" applyAlignment="1">
      <alignment horizontal="center" vertical="center" wrapText="1"/>
    </xf>
    <xf numFmtId="0" fontId="71" fillId="0" borderId="0" xfId="0" applyFont="1"/>
    <xf numFmtId="0" fontId="6" fillId="3" borderId="42" xfId="0" applyFont="1" applyFill="1" applyBorder="1" applyAlignment="1" applyProtection="1">
      <alignment horizontal="center" vertical="center"/>
      <protection locked="0"/>
    </xf>
    <xf numFmtId="0" fontId="6" fillId="3" borderId="50" xfId="0" applyFont="1" applyFill="1" applyBorder="1" applyAlignment="1" applyProtection="1">
      <alignment horizontal="center" vertical="center"/>
      <protection locked="0"/>
    </xf>
    <xf numFmtId="0" fontId="6" fillId="3" borderId="2" xfId="0" applyFont="1" applyFill="1" applyBorder="1" applyAlignment="1" applyProtection="1">
      <alignment horizontal="center" vertical="center"/>
      <protection locked="0"/>
    </xf>
    <xf numFmtId="0" fontId="0" fillId="0" borderId="8" xfId="0" applyBorder="1" applyAlignment="1" applyProtection="1">
      <alignment horizontal="left" indent="1"/>
      <protection locked="0"/>
    </xf>
    <xf numFmtId="0" fontId="0" fillId="0" borderId="8" xfId="0" applyBorder="1" applyProtection="1">
      <protection locked="0"/>
    </xf>
    <xf numFmtId="0" fontId="0" fillId="0" borderId="8" xfId="0" applyBorder="1" applyAlignment="1" applyProtection="1">
      <alignment horizontal="center"/>
      <protection locked="0"/>
    </xf>
    <xf numFmtId="0" fontId="0" fillId="0" borderId="0" xfId="0"/>
    <xf numFmtId="0" fontId="0" fillId="0" borderId="0" xfId="0"/>
    <xf numFmtId="0" fontId="3" fillId="0" borderId="0" xfId="0" applyFont="1"/>
    <xf numFmtId="0" fontId="1" fillId="0" borderId="0" xfId="0" applyFont="1"/>
    <xf numFmtId="0" fontId="0" fillId="0" borderId="0" xfId="0"/>
    <xf numFmtId="0" fontId="25" fillId="10" borderId="0" xfId="0" applyFont="1" applyFill="1" applyAlignment="1">
      <alignment vertical="center"/>
    </xf>
    <xf numFmtId="0" fontId="4" fillId="0" borderId="9" xfId="0" applyFont="1" applyBorder="1" applyAlignment="1">
      <alignment horizontal="center"/>
    </xf>
    <xf numFmtId="0" fontId="4" fillId="0" borderId="10" xfId="0" applyFont="1" applyBorder="1" applyAlignment="1">
      <alignment horizontal="center"/>
    </xf>
    <xf numFmtId="0" fontId="0" fillId="16" borderId="0" xfId="0" applyFill="1"/>
    <xf numFmtId="0" fontId="4" fillId="0" borderId="79" xfId="0" applyFont="1" applyBorder="1" applyAlignment="1">
      <alignment horizontal="center"/>
    </xf>
    <xf numFmtId="0" fontId="0" fillId="3" borderId="0" xfId="0" applyFill="1" applyBorder="1"/>
    <xf numFmtId="0" fontId="0" fillId="0" borderId="0" xfId="0" applyBorder="1"/>
    <xf numFmtId="0" fontId="10" fillId="3" borderId="0" xfId="0" applyFont="1" applyFill="1" applyBorder="1"/>
    <xf numFmtId="0" fontId="24" fillId="3" borderId="0" xfId="0" applyFont="1" applyFill="1" applyBorder="1" applyAlignment="1">
      <alignment horizontal="center" wrapText="1"/>
    </xf>
    <xf numFmtId="166" fontId="0" fillId="3" borderId="0" xfId="0" applyNumberFormat="1" applyFill="1" applyBorder="1"/>
    <xf numFmtId="0" fontId="0" fillId="0" borderId="0" xfId="0"/>
    <xf numFmtId="0" fontId="0" fillId="0" borderId="9" xfId="0" applyBorder="1"/>
    <xf numFmtId="0" fontId="30" fillId="20" borderId="58" xfId="0" applyFont="1" applyFill="1" applyBorder="1" applyAlignment="1">
      <alignment horizontal="center" wrapText="1"/>
    </xf>
    <xf numFmtId="0" fontId="30" fillId="20" borderId="79" xfId="0" applyFont="1" applyFill="1" applyBorder="1" applyAlignment="1">
      <alignment horizontal="center" wrapText="1"/>
    </xf>
    <xf numFmtId="0" fontId="68" fillId="7" borderId="9" xfId="0" applyFont="1" applyFill="1" applyBorder="1" applyProtection="1">
      <protection locked="0"/>
    </xf>
    <xf numFmtId="1" fontId="21" fillId="7" borderId="9" xfId="1" quotePrefix="1" applyNumberFormat="1" applyFont="1" applyFill="1" applyBorder="1" applyAlignment="1" applyProtection="1">
      <alignment horizontal="center"/>
      <protection locked="0"/>
    </xf>
    <xf numFmtId="166" fontId="21" fillId="7" borderId="5" xfId="3" applyNumberFormat="1" applyFont="1" applyFill="1" applyBorder="1" applyProtection="1">
      <protection locked="0"/>
    </xf>
    <xf numFmtId="0" fontId="68" fillId="7" borderId="6" xfId="0" applyFont="1" applyFill="1" applyBorder="1" applyProtection="1">
      <protection locked="0"/>
    </xf>
    <xf numFmtId="1" fontId="21" fillId="7" borderId="6" xfId="1" quotePrefix="1" applyNumberFormat="1" applyFont="1" applyFill="1" applyBorder="1" applyAlignment="1" applyProtection="1">
      <alignment horizontal="center"/>
      <protection locked="0"/>
    </xf>
    <xf numFmtId="166" fontId="21" fillId="7" borderId="3" xfId="3" applyNumberFormat="1" applyFont="1" applyFill="1" applyBorder="1" applyProtection="1">
      <protection locked="0"/>
    </xf>
    <xf numFmtId="166" fontId="21" fillId="7" borderId="4" xfId="3" applyNumberFormat="1" applyFont="1" applyFill="1" applyBorder="1" applyProtection="1">
      <protection locked="0"/>
    </xf>
    <xf numFmtId="0" fontId="68" fillId="7" borderId="10" xfId="0" applyFont="1" applyFill="1" applyBorder="1" applyProtection="1">
      <protection locked="0"/>
    </xf>
    <xf numFmtId="1" fontId="21" fillId="7" borderId="10" xfId="1" quotePrefix="1" applyNumberFormat="1" applyFont="1" applyFill="1" applyBorder="1" applyAlignment="1" applyProtection="1">
      <alignment horizontal="center"/>
      <protection locked="0"/>
    </xf>
    <xf numFmtId="177" fontId="0" fillId="0" borderId="12" xfId="2" applyNumberFormat="1" applyFont="1" applyBorder="1"/>
    <xf numFmtId="2" fontId="0" fillId="7" borderId="9" xfId="0" applyNumberFormat="1" applyFill="1" applyBorder="1"/>
    <xf numFmtId="10" fontId="0" fillId="7" borderId="9" xfId="2" applyNumberFormat="1" applyFont="1" applyFill="1" applyBorder="1"/>
    <xf numFmtId="44" fontId="0" fillId="0" borderId="0" xfId="3" applyFont="1" applyBorder="1"/>
    <xf numFmtId="43" fontId="0" fillId="0" borderId="0" xfId="1" applyFont="1" applyBorder="1"/>
    <xf numFmtId="43" fontId="26" fillId="0" borderId="29" xfId="0" applyNumberFormat="1" applyFont="1" applyBorder="1"/>
    <xf numFmtId="0" fontId="26" fillId="0" borderId="14" xfId="0" applyFont="1" applyBorder="1"/>
    <xf numFmtId="0" fontId="26" fillId="0" borderId="29" xfId="0" applyFont="1" applyBorder="1"/>
    <xf numFmtId="0" fontId="26" fillId="0" borderId="14" xfId="0" applyFont="1" applyBorder="1" applyAlignment="1">
      <alignment horizontal="right"/>
    </xf>
    <xf numFmtId="44" fontId="26" fillId="0" borderId="29" xfId="0" applyNumberFormat="1" applyFont="1" applyBorder="1"/>
    <xf numFmtId="0" fontId="26" fillId="0" borderId="15" xfId="0" applyFont="1" applyBorder="1" applyAlignment="1">
      <alignment horizontal="right"/>
    </xf>
    <xf numFmtId="14" fontId="26" fillId="0" borderId="2" xfId="0" applyNumberFormat="1" applyFont="1" applyBorder="1"/>
    <xf numFmtId="44" fontId="26" fillId="0" borderId="30" xfId="0" applyNumberFormat="1" applyFont="1" applyBorder="1"/>
    <xf numFmtId="0" fontId="3" fillId="23" borderId="56" xfId="0" applyFont="1" applyFill="1" applyBorder="1"/>
    <xf numFmtId="0" fontId="3" fillId="23" borderId="25" xfId="0" applyFont="1" applyFill="1" applyBorder="1"/>
    <xf numFmtId="0" fontId="0" fillId="17" borderId="60" xfId="0" applyFill="1" applyBorder="1"/>
    <xf numFmtId="0" fontId="0" fillId="17" borderId="36" xfId="0" applyFill="1" applyBorder="1"/>
    <xf numFmtId="0" fontId="0" fillId="0" borderId="0" xfId="0" applyAlignment="1">
      <alignment vertical="center"/>
    </xf>
    <xf numFmtId="0" fontId="0" fillId="0" borderId="0" xfId="0"/>
    <xf numFmtId="49" fontId="0" fillId="0" borderId="9" xfId="0" applyNumberFormat="1" applyBorder="1"/>
    <xf numFmtId="49" fontId="0" fillId="0" borderId="9" xfId="2" applyNumberFormat="1" applyFont="1" applyBorder="1"/>
    <xf numFmtId="0" fontId="0" fillId="0" borderId="0" xfId="0"/>
    <xf numFmtId="10" fontId="0" fillId="2" borderId="9" xfId="2" applyNumberFormat="1" applyFont="1" applyFill="1" applyBorder="1" applyAlignment="1">
      <alignment horizontal="center" vertical="center" wrapText="1"/>
    </xf>
    <xf numFmtId="10" fontId="0" fillId="2" borderId="9" xfId="2" applyNumberFormat="1" applyFont="1" applyFill="1" applyBorder="1" applyAlignment="1" applyProtection="1">
      <alignment horizontal="center" vertical="center" wrapText="1"/>
      <protection locked="0"/>
    </xf>
    <xf numFmtId="10" fontId="0" fillId="0" borderId="30" xfId="2" applyNumberFormat="1" applyFont="1" applyBorder="1"/>
    <xf numFmtId="0" fontId="26" fillId="0" borderId="0" xfId="0" applyFont="1" applyFill="1"/>
    <xf numFmtId="10" fontId="0" fillId="23" borderId="10" xfId="2" applyNumberFormat="1" applyFont="1" applyFill="1" applyBorder="1"/>
    <xf numFmtId="0" fontId="0" fillId="16" borderId="9" xfId="0" applyFill="1" applyBorder="1"/>
    <xf numFmtId="0" fontId="0" fillId="0" borderId="0" xfId="0"/>
    <xf numFmtId="0" fontId="74" fillId="10" borderId="22" xfId="0" applyFont="1" applyFill="1" applyBorder="1"/>
    <xf numFmtId="43" fontId="0" fillId="0" borderId="29" xfId="1" applyFont="1" applyFill="1" applyBorder="1"/>
    <xf numFmtId="10" fontId="5" fillId="3" borderId="32" xfId="2" applyNumberFormat="1" applyFont="1" applyFill="1" applyBorder="1" applyAlignment="1" applyProtection="1">
      <alignment horizontal="center"/>
      <protection hidden="1"/>
    </xf>
    <xf numFmtId="10" fontId="5" fillId="3" borderId="33" xfId="2" applyNumberFormat="1" applyFont="1" applyFill="1" applyBorder="1" applyAlignment="1" applyProtection="1">
      <alignment horizontal="center"/>
      <protection hidden="1"/>
    </xf>
    <xf numFmtId="178" fontId="3" fillId="7" borderId="32" xfId="2" applyNumberFormat="1" applyFont="1" applyFill="1" applyBorder="1" applyAlignment="1" applyProtection="1">
      <alignment horizontal="center" vertical="center"/>
      <protection locked="0" hidden="1"/>
    </xf>
    <xf numFmtId="178" fontId="3" fillId="7" borderId="33" xfId="2" applyNumberFormat="1" applyFont="1" applyFill="1" applyBorder="1" applyAlignment="1" applyProtection="1">
      <alignment horizontal="center" vertical="center"/>
      <protection locked="0" hidden="1"/>
    </xf>
    <xf numFmtId="10" fontId="3" fillId="2" borderId="9" xfId="2" applyNumberFormat="1" applyFont="1" applyFill="1" applyBorder="1" applyAlignment="1" applyProtection="1">
      <alignment horizontal="center" vertical="center"/>
      <protection hidden="1"/>
    </xf>
    <xf numFmtId="0" fontId="3" fillId="0" borderId="26" xfId="0" applyFont="1" applyBorder="1"/>
    <xf numFmtId="0" fontId="3" fillId="0" borderId="14" xfId="0" applyFont="1" applyBorder="1"/>
    <xf numFmtId="0" fontId="3" fillId="0" borderId="29" xfId="0" applyFont="1" applyBorder="1"/>
    <xf numFmtId="0" fontId="0" fillId="0" borderId="0" xfId="0"/>
    <xf numFmtId="0" fontId="0" fillId="0" borderId="0" xfId="0" applyAlignment="1">
      <alignment vertical="center"/>
    </xf>
    <xf numFmtId="0" fontId="0" fillId="0" borderId="11" xfId="0" applyBorder="1" applyAlignment="1">
      <alignment vertical="center"/>
    </xf>
    <xf numFmtId="0" fontId="0" fillId="0" borderId="0" xfId="0" applyAlignment="1">
      <alignment horizontal="center"/>
    </xf>
    <xf numFmtId="166" fontId="0" fillId="0" borderId="0" xfId="0" applyNumberFormat="1" applyAlignment="1">
      <alignment vertical="center"/>
    </xf>
    <xf numFmtId="0" fontId="4" fillId="0" borderId="0" xfId="0" applyFont="1" applyBorder="1" applyAlignment="1">
      <alignment horizontal="center"/>
    </xf>
    <xf numFmtId="9" fontId="4" fillId="0" borderId="0" xfId="0" applyNumberFormat="1" applyFont="1" applyBorder="1" applyAlignment="1">
      <alignment horizontal="center"/>
    </xf>
    <xf numFmtId="0" fontId="0" fillId="0" borderId="0" xfId="0" applyBorder="1" applyAlignment="1">
      <alignment horizontal="center"/>
    </xf>
    <xf numFmtId="44" fontId="3" fillId="0" borderId="9" xfId="0" applyNumberFormat="1" applyFont="1" applyBorder="1" applyAlignment="1">
      <alignment horizontal="center"/>
    </xf>
    <xf numFmtId="14" fontId="3" fillId="0" borderId="9" xfId="0" applyNumberFormat="1" applyFont="1" applyBorder="1" applyAlignment="1">
      <alignment horizontal="center"/>
    </xf>
    <xf numFmtId="0" fontId="76" fillId="10" borderId="0" xfId="0" applyFont="1" applyFill="1" applyAlignment="1">
      <alignment horizontal="center" vertical="center"/>
    </xf>
    <xf numFmtId="0" fontId="72" fillId="10" borderId="0" xfId="0" applyFont="1" applyFill="1" applyAlignment="1">
      <alignment horizontal="right" vertical="center"/>
    </xf>
    <xf numFmtId="0" fontId="27" fillId="10" borderId="22" xfId="0" applyFont="1" applyFill="1" applyBorder="1" applyAlignment="1">
      <alignment horizontal="center" vertical="center"/>
    </xf>
    <xf numFmtId="0" fontId="27" fillId="10" borderId="0" xfId="2" applyNumberFormat="1" applyFont="1" applyFill="1" applyBorder="1" applyAlignment="1">
      <alignment horizontal="center" vertical="center"/>
    </xf>
    <xf numFmtId="0" fontId="0" fillId="0" borderId="0" xfId="0" applyFill="1"/>
    <xf numFmtId="0" fontId="0" fillId="17" borderId="20" xfId="0" applyFill="1" applyBorder="1"/>
    <xf numFmtId="0" fontId="0" fillId="0" borderId="31" xfId="0" applyBorder="1"/>
    <xf numFmtId="0" fontId="0" fillId="0" borderId="32" xfId="0" applyBorder="1"/>
    <xf numFmtId="0" fontId="11" fillId="17" borderId="36" xfId="0" applyFont="1" applyFill="1" applyBorder="1"/>
    <xf numFmtId="0" fontId="0" fillId="0" borderId="56" xfId="0" applyBorder="1"/>
    <xf numFmtId="0" fontId="0" fillId="0" borderId="57" xfId="0" applyBorder="1"/>
    <xf numFmtId="0" fontId="0" fillId="0" borderId="60" xfId="0" applyBorder="1"/>
    <xf numFmtId="0" fontId="0" fillId="17" borderId="57" xfId="0" applyFill="1" applyBorder="1"/>
    <xf numFmtId="0" fontId="11" fillId="17" borderId="57" xfId="0" applyFont="1" applyFill="1" applyBorder="1"/>
    <xf numFmtId="10" fontId="0" fillId="23" borderId="26" xfId="0" applyNumberFormat="1" applyFill="1" applyBorder="1"/>
    <xf numFmtId="10" fontId="0" fillId="23" borderId="27" xfId="0" applyNumberFormat="1" applyFill="1" applyBorder="1"/>
    <xf numFmtId="10" fontId="0" fillId="0" borderId="27" xfId="2" applyNumberFormat="1" applyFont="1" applyBorder="1"/>
    <xf numFmtId="0" fontId="0" fillId="0" borderId="0" xfId="0"/>
    <xf numFmtId="166" fontId="0" fillId="10" borderId="0" xfId="3" applyNumberFormat="1" applyFont="1" applyFill="1" applyBorder="1" applyAlignment="1">
      <alignment vertical="center"/>
    </xf>
    <xf numFmtId="0" fontId="0" fillId="10" borderId="0" xfId="2" applyNumberFormat="1" applyFont="1" applyFill="1" applyBorder="1" applyAlignment="1">
      <alignment horizontal="center" vertical="center"/>
    </xf>
    <xf numFmtId="0" fontId="0" fillId="0" borderId="13" xfId="0" applyBorder="1" applyAlignment="1">
      <alignment horizontal="right"/>
    </xf>
    <xf numFmtId="0" fontId="3" fillId="0" borderId="14" xfId="0" applyFont="1" applyBorder="1" applyAlignment="1">
      <alignment horizontal="center" wrapText="1"/>
    </xf>
    <xf numFmtId="44" fontId="0" fillId="0" borderId="0" xfId="3" applyFont="1" applyFill="1" applyBorder="1"/>
    <xf numFmtId="44" fontId="0" fillId="23" borderId="26" xfId="3" applyFont="1" applyFill="1" applyBorder="1"/>
    <xf numFmtId="44" fontId="0" fillId="23" borderId="27" xfId="0" applyNumberFormat="1" applyFill="1" applyBorder="1"/>
    <xf numFmtId="0" fontId="0" fillId="23" borderId="9" xfId="0" applyFill="1" applyBorder="1"/>
    <xf numFmtId="0" fontId="3" fillId="0" borderId="9" xfId="0" applyFont="1" applyBorder="1"/>
    <xf numFmtId="43" fontId="3" fillId="0" borderId="9" xfId="1" applyFont="1" applyFill="1" applyBorder="1"/>
    <xf numFmtId="0" fontId="3" fillId="0" borderId="10" xfId="0" applyFont="1" applyBorder="1"/>
    <xf numFmtId="44" fontId="0" fillId="23" borderId="9" xfId="3" applyFont="1" applyFill="1" applyBorder="1"/>
    <xf numFmtId="43" fontId="0" fillId="23" borderId="26" xfId="1" applyFont="1" applyFill="1" applyBorder="1"/>
    <xf numFmtId="43" fontId="3" fillId="0" borderId="29" xfId="1" applyFont="1" applyFill="1" applyBorder="1"/>
    <xf numFmtId="0" fontId="3" fillId="32" borderId="14" xfId="0" applyFont="1" applyFill="1" applyBorder="1" applyAlignment="1">
      <alignment horizontal="center" wrapText="1"/>
    </xf>
    <xf numFmtId="44" fontId="0" fillId="16" borderId="0" xfId="3" applyFont="1" applyFill="1" applyBorder="1"/>
    <xf numFmtId="0" fontId="0" fillId="16" borderId="2" xfId="0" applyFill="1" applyBorder="1"/>
    <xf numFmtId="0" fontId="0" fillId="16" borderId="30" xfId="0" applyFill="1" applyBorder="1"/>
    <xf numFmtId="0" fontId="42" fillId="10" borderId="22" xfId="0" applyFont="1" applyFill="1" applyBorder="1" applyAlignment="1">
      <alignment horizontal="center" vertical="center"/>
    </xf>
    <xf numFmtId="0" fontId="52" fillId="0" borderId="0" xfId="0" applyFont="1" applyFill="1" applyAlignment="1">
      <alignment horizontal="left" vertical="center" indent="2"/>
    </xf>
    <xf numFmtId="0" fontId="34" fillId="0" borderId="14" xfId="6" applyFont="1" applyBorder="1"/>
    <xf numFmtId="0" fontId="34" fillId="0" borderId="0" xfId="6" applyFont="1"/>
    <xf numFmtId="0" fontId="34" fillId="3" borderId="0" xfId="6" applyFont="1" applyFill="1"/>
    <xf numFmtId="0" fontId="34" fillId="3" borderId="29" xfId="6" applyFont="1" applyFill="1" applyBorder="1"/>
    <xf numFmtId="0" fontId="34" fillId="0" borderId="0" xfId="6" applyFont="1" applyAlignment="1">
      <alignment horizontal="center"/>
    </xf>
    <xf numFmtId="0" fontId="34" fillId="0" borderId="29" xfId="6" applyFont="1" applyBorder="1"/>
    <xf numFmtId="0" fontId="34" fillId="0" borderId="0" xfId="6" applyFont="1" applyAlignment="1">
      <alignment wrapText="1"/>
    </xf>
    <xf numFmtId="0" fontId="10" fillId="0" borderId="0" xfId="6" applyFont="1" applyAlignment="1">
      <alignment horizontal="right" vertical="center" wrapText="1"/>
    </xf>
    <xf numFmtId="0" fontId="2" fillId="0" borderId="0" xfId="6" applyAlignment="1">
      <alignment vertical="center"/>
    </xf>
    <xf numFmtId="0" fontId="2" fillId="0" borderId="0" xfId="6"/>
    <xf numFmtId="0" fontId="10" fillId="0" borderId="0" xfId="6" applyFont="1" applyAlignment="1">
      <alignment horizontal="left" vertical="center" wrapText="1"/>
    </xf>
    <xf numFmtId="0" fontId="2" fillId="3" borderId="60" xfId="6" applyFill="1" applyBorder="1"/>
    <xf numFmtId="169" fontId="34" fillId="33" borderId="22" xfId="6" applyNumberFormat="1" applyFont="1" applyFill="1" applyBorder="1" applyAlignment="1" applyProtection="1">
      <alignment horizontal="center"/>
      <protection locked="0"/>
    </xf>
    <xf numFmtId="0" fontId="34" fillId="33" borderId="22" xfId="6" applyFont="1" applyFill="1" applyBorder="1" applyAlignment="1" applyProtection="1">
      <alignment horizontal="center"/>
      <protection locked="0"/>
    </xf>
    <xf numFmtId="10" fontId="34" fillId="33" borderId="76" xfId="7" applyNumberFormat="1" applyFont="1" applyFill="1" applyBorder="1" applyAlignment="1" applyProtection="1">
      <alignment horizontal="center"/>
      <protection locked="0"/>
    </xf>
    <xf numFmtId="44" fontId="3" fillId="0" borderId="0" xfId="0" applyNumberFormat="1" applyFont="1" applyFill="1" applyBorder="1" applyAlignment="1">
      <alignment horizontal="center"/>
    </xf>
    <xf numFmtId="14" fontId="3" fillId="0" borderId="0" xfId="0" applyNumberFormat="1" applyFont="1" applyFill="1" applyBorder="1" applyAlignment="1">
      <alignment horizontal="center"/>
    </xf>
    <xf numFmtId="165" fontId="77" fillId="10" borderId="0" xfId="1" applyNumberFormat="1" applyFont="1" applyFill="1" applyAlignment="1">
      <alignment vertical="center"/>
    </xf>
    <xf numFmtId="166" fontId="0" fillId="10" borderId="0" xfId="3" applyNumberFormat="1" applyFont="1" applyFill="1" applyBorder="1" applyAlignment="1">
      <alignment horizontal="center" vertical="center"/>
    </xf>
    <xf numFmtId="0" fontId="0" fillId="0" borderId="0" xfId="0"/>
    <xf numFmtId="0" fontId="78" fillId="0" borderId="0" xfId="0" applyFont="1"/>
    <xf numFmtId="4" fontId="0" fillId="0" borderId="0" xfId="1" applyNumberFormat="1" applyFont="1" applyFill="1" applyBorder="1"/>
    <xf numFmtId="43" fontId="0" fillId="0" borderId="0" xfId="1" applyFont="1" applyFill="1" applyBorder="1"/>
    <xf numFmtId="165" fontId="0" fillId="0" borderId="0" xfId="1" applyNumberFormat="1" applyFont="1" applyAlignment="1"/>
    <xf numFmtId="0" fontId="79" fillId="0" borderId="0" xfId="0" applyFont="1" applyAlignment="1">
      <alignment vertical="center" wrapText="1"/>
    </xf>
    <xf numFmtId="0" fontId="1" fillId="3" borderId="0" xfId="0" applyFont="1" applyFill="1"/>
    <xf numFmtId="0" fontId="0" fillId="0" borderId="0" xfId="0" applyAlignment="1"/>
    <xf numFmtId="0" fontId="0" fillId="0" borderId="0" xfId="0"/>
    <xf numFmtId="0" fontId="0" fillId="0" borderId="0" xfId="0"/>
    <xf numFmtId="0" fontId="21" fillId="34" borderId="9" xfId="0" applyFont="1" applyFill="1" applyBorder="1" applyAlignment="1" applyProtection="1">
      <alignment horizontal="center"/>
    </xf>
    <xf numFmtId="0" fontId="21" fillId="35" borderId="9" xfId="0" applyFont="1" applyFill="1" applyBorder="1" applyAlignment="1" applyProtection="1">
      <alignment horizontal="center"/>
      <protection locked="0"/>
    </xf>
    <xf numFmtId="0" fontId="0" fillId="0" borderId="0" xfId="0"/>
    <xf numFmtId="0" fontId="0" fillId="0" borderId="0" xfId="0"/>
    <xf numFmtId="44" fontId="21" fillId="7" borderId="9" xfId="0" applyNumberFormat="1" applyFont="1" applyFill="1" applyBorder="1" applyAlignment="1" applyProtection="1">
      <alignment horizontal="center"/>
      <protection locked="0"/>
    </xf>
    <xf numFmtId="0" fontId="0" fillId="0" borderId="5" xfId="0" applyBorder="1" applyAlignment="1">
      <alignment horizontal="center" vertical="center"/>
    </xf>
    <xf numFmtId="0" fontId="21" fillId="0" borderId="7" xfId="0" applyFont="1" applyBorder="1" applyAlignment="1">
      <alignment horizontal="center" vertical="center" wrapText="1"/>
    </xf>
    <xf numFmtId="0" fontId="0" fillId="0" borderId="70" xfId="0" applyBorder="1" applyAlignment="1">
      <alignment horizontal="center" vertical="center"/>
    </xf>
    <xf numFmtId="0" fontId="0" fillId="0" borderId="6" xfId="0" applyBorder="1" applyAlignment="1">
      <alignment horizontal="center" vertical="center"/>
    </xf>
    <xf numFmtId="0" fontId="10" fillId="34" borderId="4" xfId="0" applyFont="1" applyFill="1" applyBorder="1" applyAlignment="1">
      <alignment horizontal="left" vertical="center"/>
    </xf>
    <xf numFmtId="0" fontId="21" fillId="3" borderId="10" xfId="0" applyFont="1" applyFill="1" applyBorder="1" applyAlignment="1" applyProtection="1">
      <alignment horizontal="center"/>
      <protection locked="0"/>
    </xf>
    <xf numFmtId="0" fontId="21" fillId="3" borderId="66" xfId="0" applyFont="1" applyFill="1" applyBorder="1" applyAlignment="1" applyProtection="1">
      <alignment horizontal="center"/>
      <protection locked="0"/>
    </xf>
    <xf numFmtId="0" fontId="10" fillId="3" borderId="30" xfId="0" applyFont="1" applyFill="1" applyBorder="1" applyAlignment="1" applyProtection="1">
      <alignment horizontal="center"/>
      <protection locked="0"/>
    </xf>
    <xf numFmtId="0" fontId="21" fillId="34" borderId="66" xfId="0" applyFont="1" applyFill="1" applyBorder="1" applyAlignment="1" applyProtection="1">
      <alignment horizontal="center"/>
    </xf>
    <xf numFmtId="0" fontId="6" fillId="6" borderId="43" xfId="0" applyFont="1" applyFill="1" applyBorder="1" applyAlignment="1" applyProtection="1">
      <alignment horizontal="center" vertical="center"/>
    </xf>
    <xf numFmtId="0" fontId="6" fillId="6" borderId="42" xfId="0" applyFont="1" applyFill="1" applyBorder="1" applyAlignment="1" applyProtection="1">
      <alignment horizontal="center" vertical="center"/>
    </xf>
    <xf numFmtId="0" fontId="0" fillId="0" borderId="0" xfId="0"/>
    <xf numFmtId="0" fontId="3" fillId="2" borderId="10" xfId="0" applyFont="1" applyFill="1" applyBorder="1" applyAlignment="1">
      <alignment horizontal="center" wrapText="1"/>
    </xf>
    <xf numFmtId="179" fontId="0" fillId="2" borderId="8" xfId="0" applyNumberFormat="1" applyFill="1" applyBorder="1" applyAlignment="1" applyProtection="1">
      <alignment horizontal="center"/>
    </xf>
    <xf numFmtId="179" fontId="0" fillId="2" borderId="9" xfId="0" applyNumberFormat="1" applyFill="1" applyBorder="1" applyAlignment="1" applyProtection="1">
      <alignment horizontal="center"/>
    </xf>
    <xf numFmtId="0" fontId="19" fillId="3" borderId="11" xfId="0" applyFont="1" applyFill="1" applyBorder="1" applyAlignment="1">
      <alignment horizontal="left" indent="1"/>
    </xf>
    <xf numFmtId="0" fontId="0" fillId="0" borderId="0" xfId="0"/>
    <xf numFmtId="0" fontId="30" fillId="18" borderId="64" xfId="0" applyFont="1" applyFill="1" applyBorder="1" applyAlignment="1">
      <alignment horizontal="center" wrapText="1"/>
    </xf>
    <xf numFmtId="166" fontId="21" fillId="3" borderId="58" xfId="3" applyNumberFormat="1" applyFont="1" applyFill="1" applyBorder="1" applyAlignment="1">
      <alignment horizontal="left"/>
    </xf>
    <xf numFmtId="166" fontId="21" fillId="3" borderId="50" xfId="3" applyNumberFormat="1" applyFont="1" applyFill="1" applyBorder="1" applyAlignment="1">
      <alignment horizontal="left"/>
    </xf>
    <xf numFmtId="166" fontId="21" fillId="3" borderId="66" xfId="3" applyNumberFormat="1" applyFont="1" applyFill="1" applyBorder="1" applyAlignment="1">
      <alignment horizontal="left"/>
    </xf>
    <xf numFmtId="0" fontId="30" fillId="20" borderId="80" xfId="0" applyFont="1" applyFill="1" applyBorder="1" applyAlignment="1">
      <alignment horizontal="center" wrapText="1"/>
    </xf>
    <xf numFmtId="0" fontId="30" fillId="20" borderId="45" xfId="0" applyFont="1" applyFill="1" applyBorder="1" applyAlignment="1">
      <alignment horizontal="center" wrapText="1"/>
    </xf>
    <xf numFmtId="0" fontId="0" fillId="3" borderId="0" xfId="0" applyFont="1" applyFill="1"/>
    <xf numFmtId="0" fontId="69" fillId="3" borderId="29" xfId="0" applyFont="1" applyFill="1" applyBorder="1" applyAlignment="1" applyProtection="1">
      <alignment horizontal="center"/>
      <protection hidden="1"/>
    </xf>
    <xf numFmtId="9" fontId="21" fillId="7" borderId="12" xfId="0" applyNumberFormat="1" applyFont="1" applyFill="1" applyBorder="1" applyAlignment="1" applyProtection="1">
      <alignment horizontal="center"/>
      <protection locked="0"/>
    </xf>
    <xf numFmtId="0" fontId="30" fillId="20" borderId="25" xfId="0" applyFont="1" applyFill="1" applyBorder="1" applyAlignment="1">
      <alignment horizontal="center" wrapText="1"/>
    </xf>
    <xf numFmtId="0" fontId="0" fillId="0" borderId="0" xfId="0"/>
    <xf numFmtId="0" fontId="0" fillId="0" borderId="0" xfId="0"/>
    <xf numFmtId="0" fontId="1" fillId="0" borderId="10" xfId="0" applyFont="1" applyBorder="1" applyAlignment="1" applyProtection="1">
      <alignment horizontal="center" vertical="center"/>
      <protection locked="0"/>
    </xf>
    <xf numFmtId="169" fontId="1" fillId="0" borderId="10" xfId="0" applyNumberFormat="1" applyFont="1" applyBorder="1" applyAlignment="1" applyProtection="1">
      <alignment horizontal="center" vertical="center"/>
      <protection locked="0"/>
    </xf>
    <xf numFmtId="0" fontId="1" fillId="0" borderId="85" xfId="0" applyFont="1" applyBorder="1" applyAlignment="1" applyProtection="1">
      <alignment horizontal="center" vertical="center"/>
      <protection locked="0"/>
    </xf>
    <xf numFmtId="2" fontId="1" fillId="0" borderId="84" xfId="0" applyNumberFormat="1" applyFont="1" applyBorder="1" applyAlignment="1" applyProtection="1">
      <alignment horizontal="center" vertical="center"/>
      <protection locked="0"/>
    </xf>
    <xf numFmtId="2" fontId="1" fillId="0" borderId="85" xfId="0" applyNumberFormat="1" applyFont="1" applyBorder="1" applyAlignment="1" applyProtection="1">
      <alignment horizontal="center" vertical="center"/>
      <protection locked="0"/>
    </xf>
    <xf numFmtId="2" fontId="1" fillId="0" borderId="86" xfId="0" applyNumberFormat="1" applyFont="1" applyBorder="1" applyAlignment="1" applyProtection="1">
      <alignment horizontal="center" vertical="center"/>
      <protection locked="0"/>
    </xf>
    <xf numFmtId="0" fontId="0" fillId="0" borderId="0" xfId="0" applyProtection="1"/>
    <xf numFmtId="0" fontId="1" fillId="27" borderId="81" xfId="0" applyFont="1" applyFill="1" applyBorder="1" applyProtection="1"/>
    <xf numFmtId="0" fontId="1" fillId="6" borderId="4" xfId="0" applyFont="1" applyFill="1" applyBorder="1" applyAlignment="1" applyProtection="1">
      <alignment horizontal="center" vertical="center"/>
    </xf>
    <xf numFmtId="169" fontId="1" fillId="6" borderId="10" xfId="0" applyNumberFormat="1" applyFont="1" applyFill="1" applyBorder="1" applyAlignment="1" applyProtection="1">
      <alignment horizontal="center" vertical="center"/>
    </xf>
    <xf numFmtId="169" fontId="1" fillId="6" borderId="27" xfId="0" applyNumberFormat="1" applyFont="1" applyFill="1" applyBorder="1" applyAlignment="1" applyProtection="1">
      <alignment horizontal="center" vertical="center"/>
    </xf>
    <xf numFmtId="169" fontId="1" fillId="6" borderId="9" xfId="0" applyNumberFormat="1" applyFont="1" applyFill="1" applyBorder="1" applyAlignment="1" applyProtection="1">
      <alignment horizontal="center" vertical="center"/>
    </xf>
    <xf numFmtId="0" fontId="1" fillId="6" borderId="10" xfId="0" applyFont="1" applyFill="1" applyBorder="1" applyAlignment="1" applyProtection="1">
      <alignment horizontal="center" vertical="center"/>
    </xf>
    <xf numFmtId="2" fontId="1" fillId="0" borderId="3" xfId="0" applyNumberFormat="1" applyFont="1" applyBorder="1" applyAlignment="1" applyProtection="1">
      <alignment horizontal="center" vertical="center"/>
      <protection locked="0"/>
    </xf>
    <xf numFmtId="2" fontId="1" fillId="0" borderId="9" xfId="0" applyNumberFormat="1" applyFont="1" applyBorder="1" applyAlignment="1" applyProtection="1">
      <alignment horizontal="center" vertical="center"/>
      <protection locked="0"/>
    </xf>
    <xf numFmtId="0" fontId="1" fillId="0" borderId="9" xfId="0" applyFont="1" applyBorder="1" applyAlignment="1" applyProtection="1">
      <alignment horizontal="center" vertical="center"/>
      <protection locked="0"/>
    </xf>
    <xf numFmtId="0" fontId="1" fillId="0" borderId="26" xfId="0" applyFont="1" applyBorder="1" applyAlignment="1" applyProtection="1">
      <alignment horizontal="center" vertical="center"/>
      <protection locked="0"/>
    </xf>
    <xf numFmtId="0" fontId="1" fillId="0" borderId="27" xfId="0" applyFont="1" applyBorder="1" applyAlignment="1" applyProtection="1">
      <alignment horizontal="left" vertical="center" wrapText="1"/>
      <protection locked="0"/>
    </xf>
    <xf numFmtId="1" fontId="0" fillId="0" borderId="0" xfId="0" applyNumberFormat="1"/>
    <xf numFmtId="10" fontId="0" fillId="3" borderId="29" xfId="0" applyNumberFormat="1" applyFill="1" applyBorder="1" applyAlignment="1">
      <alignment horizontal="right"/>
    </xf>
    <xf numFmtId="0" fontId="1" fillId="6" borderId="27" xfId="0" applyFont="1" applyFill="1" applyBorder="1" applyAlignment="1" applyProtection="1">
      <alignment horizontal="center" vertical="center"/>
    </xf>
    <xf numFmtId="0" fontId="4" fillId="3" borderId="0" xfId="0" applyFont="1" applyFill="1" applyAlignment="1">
      <alignment horizontal="center"/>
    </xf>
    <xf numFmtId="0" fontId="0" fillId="0" borderId="0" xfId="0"/>
    <xf numFmtId="0" fontId="0" fillId="0" borderId="0" xfId="0" applyAlignment="1">
      <alignment vertical="center"/>
    </xf>
    <xf numFmtId="0" fontId="81" fillId="36" borderId="9" xfId="0" applyFont="1" applyFill="1" applyBorder="1" applyAlignment="1">
      <alignment horizontal="center" vertical="center"/>
    </xf>
    <xf numFmtId="0" fontId="81" fillId="36" borderId="8" xfId="0" applyFont="1" applyFill="1" applyBorder="1" applyAlignment="1">
      <alignment horizontal="center" vertical="center"/>
    </xf>
    <xf numFmtId="0" fontId="81" fillId="36" borderId="8" xfId="0" applyFont="1" applyFill="1" applyBorder="1" applyAlignment="1">
      <alignment horizontal="center" vertical="center" wrapText="1"/>
    </xf>
    <xf numFmtId="166" fontId="3" fillId="10" borderId="0" xfId="0" applyNumberFormat="1" applyFont="1" applyFill="1" applyBorder="1" applyAlignment="1">
      <alignment vertical="center"/>
    </xf>
    <xf numFmtId="14" fontId="3" fillId="0" borderId="0" xfId="0" applyNumberFormat="1" applyFont="1" applyBorder="1" applyAlignment="1">
      <alignment horizontal="center"/>
    </xf>
    <xf numFmtId="0" fontId="19" fillId="3" borderId="11" xfId="0" applyFont="1" applyFill="1" applyBorder="1" applyAlignment="1">
      <alignment horizontal="left" indent="1"/>
    </xf>
    <xf numFmtId="0" fontId="0" fillId="0" borderId="0" xfId="0"/>
    <xf numFmtId="0" fontId="0" fillId="0" borderId="0" xfId="0" applyAlignment="1">
      <alignment vertical="center"/>
    </xf>
    <xf numFmtId="0" fontId="8" fillId="12" borderId="9" xfId="0" applyFont="1" applyFill="1" applyBorder="1" applyAlignment="1">
      <alignment horizontal="center" vertical="center"/>
    </xf>
    <xf numFmtId="0" fontId="27" fillId="10" borderId="0" xfId="0" applyFont="1" applyFill="1" applyBorder="1" applyAlignment="1">
      <alignment vertical="center"/>
    </xf>
    <xf numFmtId="0" fontId="21" fillId="3" borderId="1" xfId="0" applyFont="1" applyFill="1" applyBorder="1" applyAlignment="1" applyProtection="1">
      <alignment horizontal="center"/>
      <protection locked="0"/>
    </xf>
    <xf numFmtId="0" fontId="21" fillId="3" borderId="59" xfId="0" applyFont="1" applyFill="1" applyBorder="1" applyAlignment="1" applyProtection="1">
      <alignment horizontal="center"/>
      <protection locked="0"/>
    </xf>
    <xf numFmtId="0" fontId="30" fillId="6" borderId="64" xfId="0" applyFont="1" applyFill="1" applyBorder="1" applyAlignment="1">
      <alignment horizontal="center" wrapText="1"/>
    </xf>
    <xf numFmtId="0" fontId="30" fillId="6" borderId="45" xfId="0" applyFont="1" applyFill="1" applyBorder="1" applyAlignment="1">
      <alignment horizontal="center" wrapText="1"/>
    </xf>
    <xf numFmtId="0" fontId="21" fillId="3" borderId="70" xfId="0" applyFont="1" applyFill="1" applyBorder="1" applyAlignment="1" applyProtection="1">
      <alignment horizontal="center"/>
      <protection locked="0"/>
    </xf>
    <xf numFmtId="0" fontId="21" fillId="2" borderId="9" xfId="0" applyFont="1" applyFill="1" applyBorder="1" applyAlignment="1" applyProtection="1">
      <alignment horizontal="center"/>
      <protection locked="0"/>
    </xf>
    <xf numFmtId="0" fontId="21" fillId="2" borderId="10" xfId="0" applyFont="1" applyFill="1" applyBorder="1" applyAlignment="1" applyProtection="1">
      <alignment horizontal="center"/>
      <protection locked="0"/>
    </xf>
    <xf numFmtId="0" fontId="21" fillId="2" borderId="8" xfId="0" applyFont="1" applyFill="1" applyBorder="1" applyAlignment="1" applyProtection="1">
      <alignment horizontal="center"/>
      <protection locked="0"/>
    </xf>
    <xf numFmtId="169" fontId="21" fillId="2" borderId="10" xfId="0" applyNumberFormat="1" applyFont="1" applyFill="1" applyBorder="1" applyAlignment="1" applyProtection="1">
      <alignment horizontal="center"/>
    </xf>
    <xf numFmtId="2" fontId="3" fillId="3" borderId="9" xfId="3" applyNumberFormat="1" applyFont="1" applyFill="1" applyBorder="1" applyAlignment="1">
      <alignment horizontal="center" vertical="center"/>
    </xf>
    <xf numFmtId="0" fontId="0" fillId="0" borderId="0" xfId="0"/>
    <xf numFmtId="0" fontId="0" fillId="0" borderId="0" xfId="0" applyAlignment="1">
      <alignment horizontal="center"/>
    </xf>
    <xf numFmtId="0" fontId="1" fillId="0" borderId="0" xfId="0" applyFont="1" applyProtection="1">
      <protection locked="0"/>
    </xf>
    <xf numFmtId="0" fontId="80" fillId="0" borderId="5" xfId="0" applyFont="1" applyBorder="1" applyAlignment="1" applyProtection="1">
      <alignment horizontal="center" vertical="center"/>
      <protection locked="0"/>
    </xf>
    <xf numFmtId="0" fontId="80" fillId="0" borderId="6" xfId="0" applyFont="1" applyBorder="1" applyAlignment="1" applyProtection="1">
      <alignment horizontal="center" vertical="center" wrapText="1"/>
      <protection locked="0"/>
    </xf>
    <xf numFmtId="0" fontId="5" fillId="0" borderId="6" xfId="0" applyFont="1" applyBorder="1" applyAlignment="1" applyProtection="1">
      <alignment horizontal="center" vertical="center" wrapText="1"/>
      <protection locked="0"/>
    </xf>
    <xf numFmtId="0" fontId="5" fillId="0" borderId="7" xfId="0" applyFont="1" applyBorder="1" applyAlignment="1" applyProtection="1">
      <alignment horizontal="center" vertical="center" wrapText="1"/>
      <protection locked="0"/>
    </xf>
    <xf numFmtId="0" fontId="1" fillId="0" borderId="27" xfId="0" applyFont="1" applyBorder="1" applyAlignment="1" applyProtection="1">
      <alignment horizontal="center" vertical="center"/>
      <protection locked="0"/>
    </xf>
    <xf numFmtId="179" fontId="1" fillId="6" borderId="10" xfId="0" applyNumberFormat="1" applyFont="1" applyFill="1" applyBorder="1" applyAlignment="1" applyProtection="1">
      <alignment horizontal="center" vertical="center"/>
    </xf>
    <xf numFmtId="0" fontId="1" fillId="0" borderId="9" xfId="0" applyFont="1" applyBorder="1" applyProtection="1">
      <protection locked="0"/>
    </xf>
    <xf numFmtId="0" fontId="1" fillId="0" borderId="10" xfId="0" applyFont="1" applyBorder="1" applyProtection="1">
      <protection locked="0"/>
    </xf>
    <xf numFmtId="0" fontId="5" fillId="0" borderId="5" xfId="0" applyFont="1" applyBorder="1" applyAlignment="1" applyProtection="1">
      <alignment horizontal="center" vertical="center" wrapText="1"/>
      <protection locked="0"/>
    </xf>
    <xf numFmtId="0" fontId="30" fillId="0" borderId="6" xfId="0" applyFont="1" applyBorder="1" applyAlignment="1" applyProtection="1">
      <alignment horizontal="center" vertical="center" wrapText="1"/>
      <protection locked="0"/>
    </xf>
    <xf numFmtId="0" fontId="1" fillId="6" borderId="3" xfId="0" applyFont="1" applyFill="1" applyBorder="1" applyAlignment="1" applyProtection="1">
      <alignment horizontal="center" vertical="center"/>
    </xf>
    <xf numFmtId="0" fontId="1" fillId="6" borderId="9" xfId="0" applyFont="1" applyFill="1" applyBorder="1" applyAlignment="1" applyProtection="1">
      <alignment horizontal="center"/>
    </xf>
    <xf numFmtId="0" fontId="1" fillId="6" borderId="9" xfId="0" applyFont="1" applyFill="1" applyBorder="1" applyAlignment="1" applyProtection="1">
      <alignment horizontal="center" vertical="center"/>
    </xf>
    <xf numFmtId="0" fontId="1" fillId="6" borderId="3" xfId="0" applyFont="1" applyFill="1" applyBorder="1" applyAlignment="1" applyProtection="1">
      <alignment horizontal="center" vertical="center" wrapText="1"/>
    </xf>
    <xf numFmtId="0" fontId="5" fillId="6" borderId="9" xfId="0" applyFont="1" applyFill="1" applyBorder="1" applyAlignment="1" applyProtection="1">
      <alignment horizontal="center" vertical="center" wrapText="1"/>
    </xf>
    <xf numFmtId="0" fontId="1" fillId="6" borderId="9" xfId="0" applyFont="1" applyFill="1" applyBorder="1" applyProtection="1"/>
    <xf numFmtId="0" fontId="1" fillId="6" borderId="10" xfId="0" applyFont="1" applyFill="1" applyBorder="1" applyAlignment="1" applyProtection="1">
      <alignment horizontal="center"/>
    </xf>
    <xf numFmtId="0" fontId="1" fillId="6" borderId="10" xfId="0" applyFont="1" applyFill="1" applyBorder="1" applyProtection="1"/>
    <xf numFmtId="171" fontId="1" fillId="6" borderId="9" xfId="0" applyNumberFormat="1" applyFont="1" applyFill="1" applyBorder="1" applyAlignment="1" applyProtection="1">
      <alignment horizontal="right"/>
    </xf>
    <xf numFmtId="171" fontId="1" fillId="6" borderId="10" xfId="0" applyNumberFormat="1" applyFont="1" applyFill="1" applyBorder="1" applyAlignment="1" applyProtection="1">
      <alignment horizontal="right"/>
    </xf>
    <xf numFmtId="0" fontId="5" fillId="2" borderId="32" xfId="0" applyFont="1" applyFill="1" applyBorder="1" applyAlignment="1"/>
    <xf numFmtId="171" fontId="1" fillId="37" borderId="9" xfId="0" applyNumberFormat="1" applyFont="1" applyFill="1" applyBorder="1" applyAlignment="1" applyProtection="1">
      <alignment horizontal="right"/>
    </xf>
    <xf numFmtId="0" fontId="1" fillId="38" borderId="9" xfId="0" applyFont="1" applyFill="1" applyBorder="1" applyAlignment="1" applyProtection="1">
      <alignment horizontal="center" vertical="center"/>
    </xf>
    <xf numFmtId="0" fontId="1" fillId="38" borderId="10" xfId="0" applyFont="1" applyFill="1" applyBorder="1" applyAlignment="1" applyProtection="1">
      <alignment horizontal="center" vertical="center"/>
    </xf>
    <xf numFmtId="0" fontId="1" fillId="38" borderId="41" xfId="0" applyFont="1" applyFill="1" applyBorder="1" applyAlignment="1" applyProtection="1">
      <alignment horizontal="center" vertical="center"/>
    </xf>
    <xf numFmtId="0" fontId="1" fillId="38" borderId="39" xfId="0" applyFont="1" applyFill="1" applyBorder="1" applyAlignment="1" applyProtection="1">
      <alignment horizontal="center" vertical="center"/>
    </xf>
    <xf numFmtId="0" fontId="1" fillId="6" borderId="26" xfId="0" applyFont="1" applyFill="1" applyBorder="1" applyAlignment="1" applyProtection="1">
      <alignment vertical="top" wrapText="1"/>
    </xf>
    <xf numFmtId="0" fontId="1" fillId="6" borderId="26" xfId="0" applyFont="1" applyFill="1" applyBorder="1" applyAlignment="1" applyProtection="1">
      <alignment wrapText="1"/>
    </xf>
    <xf numFmtId="0" fontId="1" fillId="6" borderId="27" xfId="0" applyFont="1" applyFill="1" applyBorder="1" applyAlignment="1" applyProtection="1">
      <alignment wrapText="1"/>
    </xf>
    <xf numFmtId="0" fontId="82" fillId="6" borderId="9" xfId="5" applyFont="1" applyFill="1" applyBorder="1" applyProtection="1"/>
    <xf numFmtId="0" fontId="3" fillId="3" borderId="0" xfId="0" applyFont="1" applyFill="1" applyBorder="1" applyAlignment="1">
      <alignment horizontal="right" vertical="center" wrapText="1"/>
    </xf>
    <xf numFmtId="0" fontId="3" fillId="3" borderId="0" xfId="0" applyFont="1" applyFill="1" applyBorder="1" applyAlignment="1">
      <alignment horizontal="right" wrapText="1"/>
    </xf>
    <xf numFmtId="0" fontId="83" fillId="0" borderId="0" xfId="0" applyFont="1"/>
    <xf numFmtId="0" fontId="84" fillId="0" borderId="0" xfId="0" applyFont="1"/>
    <xf numFmtId="0" fontId="1" fillId="6" borderId="26" xfId="0" applyFont="1" applyFill="1" applyBorder="1" applyAlignment="1" applyProtection="1">
      <alignment horizontal="left" vertical="center" wrapText="1"/>
    </xf>
    <xf numFmtId="2" fontId="1" fillId="6" borderId="9" xfId="0" applyNumberFormat="1" applyFont="1" applyFill="1" applyBorder="1" applyAlignment="1" applyProtection="1">
      <alignment horizontal="center" vertical="center"/>
    </xf>
    <xf numFmtId="2" fontId="21" fillId="2" borderId="7" xfId="0" applyNumberFormat="1" applyFont="1" applyFill="1" applyBorder="1" applyAlignment="1" applyProtection="1">
      <alignment horizontal="center"/>
    </xf>
    <xf numFmtId="2" fontId="21" fillId="2" borderId="27" xfId="0" applyNumberFormat="1" applyFont="1" applyFill="1" applyBorder="1" applyAlignment="1" applyProtection="1">
      <alignment horizontal="center"/>
    </xf>
    <xf numFmtId="2" fontId="21" fillId="2" borderId="26" xfId="0" applyNumberFormat="1" applyFont="1" applyFill="1" applyBorder="1" applyAlignment="1" applyProtection="1">
      <alignment horizontal="center"/>
    </xf>
    <xf numFmtId="0" fontId="0" fillId="0" borderId="9" xfId="0" applyBorder="1" applyAlignment="1" applyProtection="1">
      <alignment horizontal="center"/>
      <protection locked="0"/>
    </xf>
    <xf numFmtId="0" fontId="1" fillId="0" borderId="14" xfId="0" applyFont="1" applyBorder="1" applyProtection="1">
      <protection locked="0"/>
    </xf>
    <xf numFmtId="0" fontId="1" fillId="0" borderId="29" xfId="0" applyFont="1" applyBorder="1" applyProtection="1">
      <protection locked="0"/>
    </xf>
    <xf numFmtId="0" fontId="80" fillId="0" borderId="3" xfId="0" applyFont="1" applyBorder="1" applyAlignment="1" applyProtection="1">
      <alignment horizontal="center" vertical="center"/>
      <protection locked="0"/>
    </xf>
    <xf numFmtId="0" fontId="80" fillId="0" borderId="9" xfId="0" applyFont="1" applyBorder="1" applyAlignment="1" applyProtection="1">
      <alignment horizontal="center" vertical="center" wrapText="1"/>
      <protection locked="0"/>
    </xf>
    <xf numFmtId="0" fontId="5" fillId="0" borderId="9" xfId="0" applyFont="1" applyBorder="1" applyAlignment="1" applyProtection="1">
      <alignment horizontal="center" vertical="center" wrapText="1"/>
      <protection locked="0"/>
    </xf>
    <xf numFmtId="0" fontId="5" fillId="0" borderId="26" xfId="0" applyFont="1" applyBorder="1" applyAlignment="1" applyProtection="1">
      <alignment horizontal="center" vertical="center" wrapText="1"/>
      <protection locked="0"/>
    </xf>
    <xf numFmtId="0" fontId="1" fillId="0" borderId="14" xfId="0" applyFont="1" applyBorder="1" applyAlignment="1" applyProtection="1">
      <alignment horizontal="center"/>
      <protection locked="0"/>
    </xf>
    <xf numFmtId="0" fontId="1" fillId="0" borderId="0" xfId="0" applyFont="1" applyAlignment="1" applyProtection="1">
      <alignment horizontal="center"/>
      <protection locked="0"/>
    </xf>
    <xf numFmtId="0" fontId="1" fillId="0" borderId="29" xfId="0" applyFont="1" applyBorder="1" applyAlignment="1" applyProtection="1">
      <alignment horizontal="center"/>
      <protection locked="0"/>
    </xf>
    <xf numFmtId="0" fontId="80" fillId="0" borderId="3" xfId="0" applyFont="1" applyBorder="1" applyAlignment="1" applyProtection="1">
      <alignment horizontal="center" vertical="center" wrapText="1"/>
      <protection locked="0"/>
    </xf>
    <xf numFmtId="0" fontId="80" fillId="0" borderId="26" xfId="0" applyFont="1" applyBorder="1" applyAlignment="1" applyProtection="1">
      <alignment horizontal="center" vertical="center" wrapText="1"/>
      <protection locked="0"/>
    </xf>
    <xf numFmtId="0" fontId="1" fillId="0" borderId="14" xfId="0" applyFont="1" applyBorder="1" applyAlignment="1" applyProtection="1">
      <alignment wrapText="1"/>
      <protection locked="0"/>
    </xf>
    <xf numFmtId="0" fontId="1" fillId="0" borderId="0" xfId="0" applyFont="1" applyAlignment="1" applyProtection="1">
      <alignment wrapText="1"/>
      <protection locked="0"/>
    </xf>
    <xf numFmtId="0" fontId="5" fillId="0" borderId="82" xfId="0" applyFont="1" applyBorder="1" applyAlignment="1" applyProtection="1">
      <alignment horizontal="center" vertical="center" wrapText="1"/>
      <protection locked="0"/>
    </xf>
    <xf numFmtId="0" fontId="5" fillId="0" borderId="81" xfId="0" applyFont="1" applyBorder="1" applyAlignment="1" applyProtection="1">
      <alignment horizontal="center" vertical="center" wrapText="1"/>
      <protection locked="0"/>
    </xf>
    <xf numFmtId="0" fontId="5" fillId="0" borderId="83" xfId="0" applyFont="1" applyBorder="1" applyAlignment="1" applyProtection="1">
      <alignment horizontal="center" vertical="center" wrapText="1"/>
      <protection locked="0"/>
    </xf>
    <xf numFmtId="169" fontId="21" fillId="2" borderId="6" xfId="0" applyNumberFormat="1" applyFont="1" applyFill="1" applyBorder="1" applyAlignment="1" applyProtection="1">
      <alignment horizontal="center"/>
    </xf>
    <xf numFmtId="169" fontId="21" fillId="2" borderId="9" xfId="0" applyNumberFormat="1" applyFont="1" applyFill="1" applyBorder="1" applyAlignment="1" applyProtection="1">
      <alignment horizontal="center"/>
    </xf>
    <xf numFmtId="0" fontId="1" fillId="3" borderId="9" xfId="0" applyFont="1" applyFill="1" applyBorder="1" applyAlignment="1" applyProtection="1">
      <alignment horizontal="center" vertical="center"/>
      <protection locked="0"/>
    </xf>
    <xf numFmtId="0" fontId="1" fillId="3" borderId="10" xfId="0" applyFont="1" applyFill="1" applyBorder="1" applyAlignment="1" applyProtection="1">
      <alignment horizontal="center" vertical="center"/>
      <protection locked="0"/>
    </xf>
    <xf numFmtId="0" fontId="0" fillId="0" borderId="0" xfId="0"/>
    <xf numFmtId="0" fontId="0" fillId="2" borderId="9" xfId="0" applyFill="1" applyBorder="1"/>
    <xf numFmtId="0" fontId="0" fillId="2" borderId="9" xfId="0" applyFill="1" applyBorder="1" applyAlignment="1">
      <alignment wrapText="1"/>
    </xf>
    <xf numFmtId="0" fontId="3" fillId="2" borderId="9" xfId="0" applyFont="1" applyFill="1" applyBorder="1" applyAlignment="1">
      <alignment horizontal="center" wrapText="1"/>
    </xf>
    <xf numFmtId="166" fontId="3" fillId="0" borderId="9" xfId="2" applyNumberFormat="1" applyFont="1" applyBorder="1" applyAlignment="1">
      <alignment horizontal="center" vertical="center"/>
    </xf>
    <xf numFmtId="0" fontId="0" fillId="0" borderId="0" xfId="0"/>
    <xf numFmtId="0" fontId="0" fillId="0" borderId="3" xfId="0" applyBorder="1"/>
    <xf numFmtId="0" fontId="0" fillId="0" borderId="9" xfId="0" applyBorder="1"/>
    <xf numFmtId="0" fontId="0" fillId="0" borderId="26" xfId="0" applyBorder="1"/>
    <xf numFmtId="0" fontId="0" fillId="0" borderId="10" xfId="0" applyBorder="1"/>
    <xf numFmtId="0" fontId="43" fillId="7" borderId="11" xfId="0" applyFont="1" applyFill="1" applyBorder="1" applyAlignment="1">
      <alignment horizontal="left"/>
    </xf>
    <xf numFmtId="0" fontId="0" fillId="0" borderId="27" xfId="0" applyBorder="1"/>
    <xf numFmtId="0" fontId="0" fillId="0" borderId="0" xfId="0"/>
    <xf numFmtId="0" fontId="0" fillId="0" borderId="9" xfId="0" applyBorder="1" applyAlignment="1">
      <alignment horizontal="center"/>
    </xf>
    <xf numFmtId="0" fontId="0" fillId="0" borderId="0" xfId="0" applyAlignment="1">
      <alignment horizontal="right"/>
    </xf>
    <xf numFmtId="0" fontId="0" fillId="0" borderId="9" xfId="0" applyBorder="1"/>
    <xf numFmtId="0" fontId="0" fillId="0" borderId="10" xfId="0" applyBorder="1"/>
    <xf numFmtId="166" fontId="21" fillId="3" borderId="10" xfId="3" applyNumberFormat="1" applyFont="1" applyFill="1" applyBorder="1" applyAlignment="1">
      <alignment horizontal="left"/>
    </xf>
    <xf numFmtId="165" fontId="42" fillId="0" borderId="0" xfId="1" applyNumberFormat="1" applyFont="1" applyBorder="1"/>
    <xf numFmtId="0" fontId="42" fillId="7" borderId="24" xfId="0" applyFont="1" applyFill="1" applyBorder="1" applyAlignment="1">
      <alignment horizontal="center" wrapText="1"/>
    </xf>
    <xf numFmtId="10" fontId="42" fillId="7" borderId="8" xfId="1" applyNumberFormat="1" applyFont="1" applyFill="1" applyBorder="1"/>
    <xf numFmtId="9" fontId="42" fillId="7" borderId="8" xfId="1" applyNumberFormat="1" applyFont="1" applyFill="1" applyBorder="1"/>
    <xf numFmtId="164" fontId="42" fillId="7" borderId="0" xfId="2" applyNumberFormat="1" applyFont="1" applyFill="1" applyBorder="1"/>
    <xf numFmtId="0" fontId="42" fillId="7" borderId="0" xfId="2" applyNumberFormat="1" applyFont="1" applyFill="1" applyBorder="1"/>
    <xf numFmtId="44" fontId="42" fillId="0" borderId="0" xfId="3" applyFont="1" applyBorder="1"/>
    <xf numFmtId="0" fontId="42" fillId="3" borderId="25" xfId="0" applyFont="1" applyFill="1" applyBorder="1" applyAlignment="1">
      <alignment horizontal="center"/>
    </xf>
    <xf numFmtId="0" fontId="42" fillId="0" borderId="0" xfId="3" applyNumberFormat="1" applyFont="1" applyBorder="1" applyAlignment="1"/>
    <xf numFmtId="0" fontId="42" fillId="0" borderId="0" xfId="3" applyNumberFormat="1" applyFont="1" applyBorder="1"/>
    <xf numFmtId="9" fontId="42" fillId="0" borderId="0" xfId="3" applyNumberFormat="1" applyFont="1" applyBorder="1"/>
    <xf numFmtId="0" fontId="43" fillId="3" borderId="24" xfId="0" applyFont="1" applyFill="1" applyBorder="1" applyAlignment="1">
      <alignment horizontal="center"/>
    </xf>
    <xf numFmtId="0" fontId="42" fillId="0" borderId="25" xfId="0" applyFont="1" applyBorder="1" applyAlignment="1">
      <alignment horizontal="center" vertical="center" wrapText="1"/>
    </xf>
    <xf numFmtId="0" fontId="0" fillId="0" borderId="3" xfId="0" applyBorder="1" applyAlignment="1">
      <alignment horizontal="center"/>
    </xf>
    <xf numFmtId="0" fontId="0" fillId="0" borderId="4" xfId="0" applyBorder="1" applyAlignment="1">
      <alignment horizontal="center"/>
    </xf>
    <xf numFmtId="9" fontId="0" fillId="0" borderId="12" xfId="0" applyNumberFormat="1" applyBorder="1"/>
    <xf numFmtId="9" fontId="21" fillId="7" borderId="6" xfId="1" quotePrefix="1" applyNumberFormat="1" applyFont="1" applyFill="1" applyBorder="1" applyAlignment="1" applyProtection="1">
      <alignment horizontal="center"/>
      <protection locked="0"/>
    </xf>
    <xf numFmtId="9" fontId="21" fillId="7" borderId="9" xfId="1" quotePrefix="1" applyNumberFormat="1" applyFont="1" applyFill="1" applyBorder="1" applyAlignment="1" applyProtection="1">
      <alignment horizontal="center"/>
      <protection locked="0"/>
    </xf>
    <xf numFmtId="9" fontId="21" fillId="7" borderId="10" xfId="1" quotePrefix="1" applyNumberFormat="1" applyFont="1" applyFill="1" applyBorder="1" applyAlignment="1" applyProtection="1">
      <alignment horizontal="center"/>
      <protection locked="0"/>
    </xf>
    <xf numFmtId="43" fontId="3" fillId="2" borderId="9" xfId="2" applyNumberFormat="1" applyFont="1" applyFill="1" applyBorder="1" applyAlignment="1" applyProtection="1">
      <alignment horizontal="center" vertical="center"/>
      <protection hidden="1"/>
    </xf>
    <xf numFmtId="0" fontId="0" fillId="39" borderId="9" xfId="0" applyFill="1" applyBorder="1" applyAlignment="1">
      <alignment horizontal="center" vertical="center" wrapText="1"/>
    </xf>
    <xf numFmtId="0" fontId="0" fillId="39" borderId="9" xfId="0" applyFill="1" applyBorder="1" applyAlignment="1">
      <alignment horizontal="center" vertical="center"/>
    </xf>
    <xf numFmtId="0" fontId="0" fillId="0" borderId="9" xfId="0" applyBorder="1" applyAlignment="1">
      <alignment wrapText="1"/>
    </xf>
    <xf numFmtId="0" fontId="0" fillId="0" borderId="54" xfId="0" applyBorder="1" applyAlignment="1">
      <alignment wrapText="1"/>
    </xf>
    <xf numFmtId="0" fontId="0" fillId="3" borderId="9" xfId="0" applyFill="1" applyBorder="1" applyAlignment="1">
      <alignment horizontal="left" vertical="center" wrapText="1"/>
    </xf>
    <xf numFmtId="0" fontId="0" fillId="3" borderId="9" xfId="0" applyFill="1" applyBorder="1" applyAlignment="1">
      <alignment wrapText="1"/>
    </xf>
    <xf numFmtId="0" fontId="0" fillId="3" borderId="54" xfId="0" applyFill="1" applyBorder="1" applyAlignment="1">
      <alignment wrapText="1"/>
    </xf>
    <xf numFmtId="1" fontId="26" fillId="0" borderId="0" xfId="0" quotePrefix="1" applyNumberFormat="1" applyFont="1"/>
    <xf numFmtId="1" fontId="26" fillId="0" borderId="0" xfId="0" applyNumberFormat="1" applyFont="1"/>
    <xf numFmtId="0" fontId="0" fillId="0" borderId="0" xfId="0"/>
    <xf numFmtId="0" fontId="0" fillId="0" borderId="0" xfId="0"/>
    <xf numFmtId="0" fontId="0" fillId="0" borderId="0" xfId="0" applyAlignment="1">
      <alignment vertical="center"/>
    </xf>
    <xf numFmtId="0" fontId="25" fillId="10" borderId="18" xfId="0" applyFont="1" applyFill="1" applyBorder="1" applyAlignment="1">
      <alignment horizontal="center" vertical="center"/>
    </xf>
    <xf numFmtId="0" fontId="0" fillId="0" borderId="11" xfId="0" applyBorder="1" applyAlignment="1">
      <alignment vertical="center"/>
    </xf>
    <xf numFmtId="0" fontId="0" fillId="0" borderId="0" xfId="0" applyAlignment="1">
      <alignment horizontal="right"/>
    </xf>
    <xf numFmtId="0" fontId="0" fillId="0" borderId="0" xfId="0" applyAlignment="1">
      <alignment horizontal="left"/>
    </xf>
    <xf numFmtId="0" fontId="0" fillId="0" borderId="42" xfId="0" applyBorder="1"/>
    <xf numFmtId="0" fontId="0" fillId="0" borderId="50" xfId="0" applyBorder="1"/>
    <xf numFmtId="0" fontId="0" fillId="0" borderId="9" xfId="0" applyBorder="1"/>
    <xf numFmtId="0" fontId="0" fillId="0" borderId="26" xfId="0" applyBorder="1"/>
    <xf numFmtId="0" fontId="0" fillId="0" borderId="0" xfId="0" applyAlignment="1">
      <alignment horizontal="center"/>
    </xf>
    <xf numFmtId="0" fontId="0" fillId="3" borderId="0" xfId="0" applyFill="1" applyAlignment="1">
      <alignment horizontal="right"/>
    </xf>
    <xf numFmtId="0" fontId="0" fillId="0" borderId="14" xfId="0" applyBorder="1" applyAlignment="1">
      <alignment horizontal="right"/>
    </xf>
    <xf numFmtId="0" fontId="0" fillId="0" borderId="14" xfId="0" applyBorder="1" applyAlignment="1">
      <alignment horizontal="center"/>
    </xf>
    <xf numFmtId="0" fontId="0" fillId="0" borderId="10" xfId="0" applyBorder="1"/>
    <xf numFmtId="0" fontId="42" fillId="0" borderId="0" xfId="0" applyFont="1" applyAlignment="1">
      <alignment horizontal="center" vertical="center" wrapText="1"/>
    </xf>
    <xf numFmtId="0" fontId="3" fillId="2" borderId="88" xfId="0" applyFont="1" applyFill="1" applyBorder="1" applyAlignment="1">
      <alignment horizontal="right"/>
    </xf>
    <xf numFmtId="0" fontId="3" fillId="2" borderId="65" xfId="0" applyFont="1" applyFill="1" applyBorder="1" applyAlignment="1">
      <alignment horizontal="right"/>
    </xf>
    <xf numFmtId="0" fontId="3" fillId="2" borderId="89" xfId="0" applyFont="1" applyFill="1" applyBorder="1" applyAlignment="1">
      <alignment horizontal="right"/>
    </xf>
    <xf numFmtId="0" fontId="3" fillId="6" borderId="36" xfId="0" applyFont="1" applyFill="1" applyBorder="1" applyAlignment="1">
      <alignment horizontal="right"/>
    </xf>
    <xf numFmtId="0" fontId="0" fillId="7" borderId="57" xfId="0" applyFill="1" applyBorder="1" applyAlignment="1" applyProtection="1">
      <alignment horizontal="center" vertical="center" wrapText="1"/>
      <protection locked="0"/>
    </xf>
    <xf numFmtId="0" fontId="0" fillId="3" borderId="0" xfId="0" applyFill="1" applyAlignment="1">
      <alignment horizontal="right" vertical="center"/>
    </xf>
    <xf numFmtId="0" fontId="3" fillId="6" borderId="36" xfId="0" applyFont="1" applyFill="1" applyBorder="1" applyAlignment="1">
      <alignment horizontal="right" vertical="center"/>
    </xf>
    <xf numFmtId="0" fontId="19" fillId="0" borderId="11" xfId="0" applyFont="1" applyBorder="1" applyAlignment="1">
      <alignment horizontal="center" vertical="center"/>
    </xf>
    <xf numFmtId="0" fontId="0" fillId="0" borderId="0" xfId="0" applyAlignment="1">
      <alignment horizontal="right" vertical="center"/>
    </xf>
    <xf numFmtId="9" fontId="1" fillId="0" borderId="0" xfId="0" applyNumberFormat="1" applyFont="1"/>
    <xf numFmtId="0" fontId="0" fillId="0" borderId="20" xfId="0" applyBorder="1" applyAlignment="1">
      <alignment vertical="center"/>
    </xf>
    <xf numFmtId="0" fontId="66" fillId="6" borderId="36" xfId="0" applyFont="1" applyFill="1" applyBorder="1" applyAlignment="1">
      <alignment horizontal="right" vertical="center"/>
    </xf>
    <xf numFmtId="0" fontId="3" fillId="7" borderId="36" xfId="0" applyFont="1" applyFill="1" applyBorder="1" applyAlignment="1">
      <alignment horizontal="center" vertical="center" wrapText="1"/>
    </xf>
    <xf numFmtId="0" fontId="8" fillId="11" borderId="36" xfId="0" applyFont="1" applyFill="1" applyBorder="1" applyAlignment="1">
      <alignment horizontal="right" vertical="center" wrapText="1"/>
    </xf>
    <xf numFmtId="0" fontId="3" fillId="6" borderId="36" xfId="0" applyFont="1" applyFill="1" applyBorder="1" applyAlignment="1">
      <alignment horizontal="center" vertical="center" wrapText="1"/>
    </xf>
    <xf numFmtId="0" fontId="1" fillId="2" borderId="8" xfId="0" applyFont="1" applyFill="1" applyBorder="1" applyAlignment="1">
      <alignment horizontal="center" vertical="center"/>
    </xf>
    <xf numFmtId="180" fontId="0" fillId="3" borderId="8" xfId="0" applyNumberFormat="1" applyFill="1" applyBorder="1" applyAlignment="1">
      <alignment horizontal="center" vertical="center"/>
    </xf>
    <xf numFmtId="0" fontId="33" fillId="10" borderId="0" xfId="0" applyFont="1" applyFill="1" applyAlignment="1">
      <alignment horizontal="right" vertical="center"/>
    </xf>
    <xf numFmtId="0" fontId="8" fillId="11" borderId="60" xfId="0" applyFont="1" applyFill="1" applyBorder="1" applyAlignment="1">
      <alignment horizontal="right" vertical="center" wrapText="1"/>
    </xf>
    <xf numFmtId="179" fontId="3" fillId="6" borderId="36" xfId="0" applyNumberFormat="1" applyFont="1" applyFill="1" applyBorder="1" applyAlignment="1">
      <alignment horizontal="left" vertical="center"/>
    </xf>
    <xf numFmtId="0" fontId="3" fillId="6" borderId="36" xfId="0" applyFont="1" applyFill="1" applyBorder="1" applyAlignment="1">
      <alignment horizontal="left" vertical="center"/>
    </xf>
    <xf numFmtId="167" fontId="0" fillId="2" borderId="9" xfId="3" applyNumberFormat="1" applyFont="1" applyFill="1" applyBorder="1" applyAlignment="1" applyProtection="1">
      <alignment horizontal="center" vertical="center"/>
    </xf>
    <xf numFmtId="0" fontId="30" fillId="6" borderId="88" xfId="0" applyFont="1" applyFill="1" applyBorder="1" applyAlignment="1">
      <alignment horizontal="right" vertical="center"/>
    </xf>
    <xf numFmtId="9" fontId="21" fillId="4" borderId="31" xfId="2" applyFont="1" applyFill="1" applyBorder="1" applyAlignment="1">
      <alignment vertical="center"/>
    </xf>
    <xf numFmtId="0" fontId="3" fillId="10" borderId="0" xfId="0" applyFont="1" applyFill="1" applyAlignment="1">
      <alignment horizontal="right" vertical="center" wrapText="1"/>
    </xf>
    <xf numFmtId="169" fontId="0" fillId="2" borderId="9" xfId="2" applyNumberFormat="1" applyFont="1" applyFill="1" applyBorder="1" applyAlignment="1">
      <alignment horizontal="center" vertical="center" wrapText="1"/>
    </xf>
    <xf numFmtId="166" fontId="0" fillId="6" borderId="9" xfId="3" applyNumberFormat="1" applyFont="1" applyFill="1" applyBorder="1" applyAlignment="1">
      <alignment horizontal="center" vertical="center"/>
    </xf>
    <xf numFmtId="0" fontId="30" fillId="6" borderId="65" xfId="0" applyFont="1" applyFill="1" applyBorder="1" applyAlignment="1">
      <alignment horizontal="right" vertical="center"/>
    </xf>
    <xf numFmtId="9" fontId="21" fillId="4" borderId="32" xfId="2" applyFont="1" applyFill="1" applyBorder="1" applyAlignment="1">
      <alignment vertical="center"/>
    </xf>
    <xf numFmtId="169" fontId="0" fillId="2" borderId="9" xfId="2" applyNumberFormat="1" applyFont="1" applyFill="1" applyBorder="1" applyAlignment="1" applyProtection="1">
      <alignment horizontal="center" vertical="center" wrapText="1"/>
      <protection locked="0"/>
    </xf>
    <xf numFmtId="0" fontId="21" fillId="10" borderId="16" xfId="0" applyFont="1" applyFill="1" applyBorder="1" applyAlignment="1">
      <alignment vertical="center"/>
    </xf>
    <xf numFmtId="0" fontId="21" fillId="10" borderId="0" xfId="0" applyFont="1" applyFill="1" applyAlignment="1">
      <alignment vertical="center"/>
    </xf>
    <xf numFmtId="0" fontId="30" fillId="6" borderId="89" xfId="0" applyFont="1" applyFill="1" applyBorder="1" applyAlignment="1">
      <alignment horizontal="right" vertical="center"/>
    </xf>
    <xf numFmtId="9" fontId="21" fillId="4" borderId="33" xfId="2" applyFont="1" applyFill="1" applyBorder="1" applyAlignment="1">
      <alignment vertical="center"/>
    </xf>
    <xf numFmtId="0" fontId="15" fillId="6" borderId="36" xfId="0" applyFont="1" applyFill="1" applyBorder="1" applyAlignment="1">
      <alignment horizontal="right" vertical="center"/>
    </xf>
    <xf numFmtId="0" fontId="3" fillId="7" borderId="57" xfId="0" applyFont="1" applyFill="1" applyBorder="1" applyAlignment="1" applyProtection="1">
      <alignment horizontal="center" vertical="center"/>
      <protection locked="0"/>
    </xf>
    <xf numFmtId="0" fontId="3" fillId="6" borderId="36" xfId="0" applyFont="1" applyFill="1" applyBorder="1" applyAlignment="1" applyProtection="1">
      <alignment horizontal="center" vertical="center" wrapText="1"/>
      <protection locked="0"/>
    </xf>
    <xf numFmtId="181" fontId="0" fillId="3" borderId="8" xfId="0" applyNumberFormat="1" applyFill="1" applyBorder="1" applyAlignment="1">
      <alignment horizontal="center" vertical="center"/>
    </xf>
    <xf numFmtId="166" fontId="0" fillId="2" borderId="9" xfId="3" applyNumberFormat="1" applyFont="1" applyFill="1" applyBorder="1" applyAlignment="1">
      <alignment horizontal="center" vertical="center"/>
    </xf>
    <xf numFmtId="0" fontId="0" fillId="10" borderId="0" xfId="0" applyFill="1" applyAlignment="1">
      <alignment horizontal="right" vertical="center"/>
    </xf>
    <xf numFmtId="0" fontId="8" fillId="11" borderId="56" xfId="0" applyFont="1" applyFill="1" applyBorder="1" applyAlignment="1">
      <alignment horizontal="right" vertical="center" wrapText="1"/>
    </xf>
    <xf numFmtId="166" fontId="0" fillId="10" borderId="0" xfId="3" applyNumberFormat="1" applyFont="1" applyFill="1" applyAlignment="1">
      <alignment horizontal="right" vertical="center"/>
    </xf>
    <xf numFmtId="0" fontId="30" fillId="6" borderId="31" xfId="0" applyFont="1" applyFill="1" applyBorder="1" applyAlignment="1">
      <alignment horizontal="right" vertical="center"/>
    </xf>
    <xf numFmtId="0" fontId="30" fillId="6" borderId="32" xfId="0" applyFont="1" applyFill="1" applyBorder="1" applyAlignment="1">
      <alignment horizontal="right" vertical="center"/>
    </xf>
    <xf numFmtId="0" fontId="0" fillId="0" borderId="20" xfId="0" applyBorder="1"/>
    <xf numFmtId="0" fontId="30" fillId="6" borderId="33" xfId="0" applyFont="1" applyFill="1" applyBorder="1" applyAlignment="1">
      <alignment horizontal="right" vertical="center"/>
    </xf>
    <xf numFmtId="9" fontId="10" fillId="3" borderId="0" xfId="2" applyFont="1" applyFill="1" applyBorder="1" applyAlignment="1">
      <alignment vertical="center"/>
    </xf>
    <xf numFmtId="168" fontId="0" fillId="3" borderId="0" xfId="1" applyNumberFormat="1" applyFont="1" applyFill="1" applyBorder="1" applyAlignment="1">
      <alignment horizontal="center" vertical="center"/>
    </xf>
    <xf numFmtId="43" fontId="27" fillId="3" borderId="0" xfId="1" applyFont="1" applyFill="1" applyBorder="1" applyAlignment="1">
      <alignment horizontal="center" vertical="center" wrapText="1"/>
    </xf>
    <xf numFmtId="166" fontId="0" fillId="3" borderId="0" xfId="3" applyNumberFormat="1" applyFont="1" applyFill="1" applyBorder="1" applyAlignment="1">
      <alignment vertical="center"/>
    </xf>
    <xf numFmtId="166" fontId="0" fillId="3" borderId="0" xfId="3" applyNumberFormat="1" applyFont="1" applyFill="1" applyBorder="1" applyAlignment="1">
      <alignment horizontal="center" vertical="center"/>
    </xf>
    <xf numFmtId="180" fontId="0" fillId="3" borderId="8" xfId="0" applyNumberFormat="1" applyFill="1" applyBorder="1" applyAlignment="1" applyProtection="1">
      <alignment horizontal="center" vertical="center"/>
      <protection locked="0"/>
    </xf>
    <xf numFmtId="9" fontId="21" fillId="4" borderId="35" xfId="2" applyFont="1" applyFill="1" applyBorder="1" applyAlignment="1">
      <alignment vertical="center"/>
    </xf>
    <xf numFmtId="9" fontId="21" fillId="4" borderId="37" xfId="2" applyFont="1" applyFill="1" applyBorder="1" applyAlignment="1">
      <alignment vertical="center"/>
    </xf>
    <xf numFmtId="9" fontId="21" fillId="4" borderId="38" xfId="2" applyFont="1" applyFill="1" applyBorder="1" applyAlignment="1">
      <alignment vertical="center"/>
    </xf>
    <xf numFmtId="164" fontId="0" fillId="2" borderId="9" xfId="2" applyNumberFormat="1" applyFont="1" applyFill="1" applyBorder="1" applyAlignment="1" applyProtection="1">
      <alignment horizontal="center" vertical="center"/>
    </xf>
    <xf numFmtId="0" fontId="0" fillId="10" borderId="22" xfId="0" applyFill="1" applyBorder="1" applyAlignment="1">
      <alignment horizontal="right"/>
    </xf>
    <xf numFmtId="0" fontId="1" fillId="3" borderId="0" xfId="0" applyFont="1" applyFill="1" applyAlignment="1">
      <alignment horizontal="center" vertical="center"/>
    </xf>
    <xf numFmtId="0" fontId="0" fillId="10" borderId="0" xfId="0" applyFill="1" applyAlignment="1">
      <alignment horizontal="right"/>
    </xf>
    <xf numFmtId="0" fontId="8" fillId="11" borderId="36" xfId="0" applyFont="1" applyFill="1" applyBorder="1" applyAlignment="1">
      <alignment horizontal="center" vertical="center" wrapText="1"/>
    </xf>
    <xf numFmtId="0" fontId="0" fillId="10" borderId="22" xfId="0" applyFill="1" applyBorder="1" applyAlignment="1">
      <alignment horizontal="right" vertical="center"/>
    </xf>
    <xf numFmtId="0" fontId="72" fillId="10" borderId="0" xfId="0" applyFont="1" applyFill="1" applyAlignment="1">
      <alignment vertical="center" wrapText="1"/>
    </xf>
    <xf numFmtId="0" fontId="12" fillId="0" borderId="0" xfId="0" applyFont="1" applyAlignment="1">
      <alignment horizontal="right"/>
    </xf>
    <xf numFmtId="0" fontId="0" fillId="0" borderId="2" xfId="0" applyBorder="1" applyAlignment="1">
      <alignment horizontal="right"/>
    </xf>
    <xf numFmtId="0" fontId="0" fillId="10" borderId="0" xfId="0" applyFill="1" applyAlignment="1" applyProtection="1">
      <alignment horizontal="center" vertical="center"/>
    </xf>
    <xf numFmtId="14" fontId="26" fillId="0" borderId="0" xfId="0" applyNumberFormat="1" applyFont="1"/>
    <xf numFmtId="0" fontId="0" fillId="0" borderId="0" xfId="0" applyAlignment="1">
      <alignment vertical="top"/>
    </xf>
    <xf numFmtId="0" fontId="0" fillId="0" borderId="29" xfId="0" applyBorder="1" applyAlignment="1">
      <alignment vertical="top"/>
    </xf>
    <xf numFmtId="0" fontId="0" fillId="0" borderId="2" xfId="0" applyBorder="1" applyAlignment="1">
      <alignment vertical="top"/>
    </xf>
    <xf numFmtId="0" fontId="0" fillId="0" borderId="30" xfId="0" applyBorder="1" applyAlignment="1">
      <alignment vertical="top"/>
    </xf>
    <xf numFmtId="0" fontId="3" fillId="0" borderId="3" xfId="0" applyFont="1" applyBorder="1"/>
    <xf numFmtId="44" fontId="0" fillId="23" borderId="41" xfId="0" applyNumberFormat="1" applyFill="1" applyBorder="1"/>
    <xf numFmtId="0" fontId="0" fillId="23" borderId="41" xfId="0" applyFill="1" applyBorder="1" applyAlignment="1">
      <alignment horizontal="right"/>
    </xf>
    <xf numFmtId="14" fontId="0" fillId="23" borderId="26" xfId="0" applyNumberFormat="1" applyFill="1" applyBorder="1"/>
    <xf numFmtId="44" fontId="0" fillId="23" borderId="41" xfId="0" applyNumberFormat="1" applyFill="1" applyBorder="1" applyAlignment="1">
      <alignment horizontal="right"/>
    </xf>
    <xf numFmtId="166" fontId="27" fillId="10" borderId="22" xfId="3" applyNumberFormat="1" applyFont="1" applyFill="1" applyBorder="1" applyAlignment="1">
      <alignment vertical="center"/>
    </xf>
    <xf numFmtId="166" fontId="59" fillId="10" borderId="0" xfId="3" applyNumberFormat="1" applyFont="1" applyFill="1" applyBorder="1" applyAlignment="1">
      <alignment horizontal="left" vertical="center"/>
    </xf>
    <xf numFmtId="0" fontId="0" fillId="3" borderId="0" xfId="0" applyFill="1" applyBorder="1" applyAlignment="1">
      <alignment horizontal="center" vertical="center"/>
    </xf>
    <xf numFmtId="0" fontId="12" fillId="0" borderId="0" xfId="0" applyFont="1" applyBorder="1"/>
    <xf numFmtId="0" fontId="3" fillId="7" borderId="36" xfId="0" applyFont="1" applyFill="1" applyBorder="1" applyAlignment="1" applyProtection="1">
      <alignment horizontal="center" vertical="center" wrapText="1"/>
      <protection locked="0"/>
    </xf>
    <xf numFmtId="0" fontId="0" fillId="0" borderId="0" xfId="0" applyAlignment="1" applyProtection="1">
      <alignment horizontal="right" vertical="center"/>
      <protection locked="0"/>
    </xf>
    <xf numFmtId="0" fontId="0" fillId="7" borderId="36" xfId="0" applyFill="1" applyBorder="1" applyAlignment="1" applyProtection="1">
      <alignment horizontal="center" vertical="center" wrapText="1"/>
      <protection locked="0"/>
    </xf>
    <xf numFmtId="0" fontId="1" fillId="2" borderId="8" xfId="0" applyFont="1" applyFill="1" applyBorder="1" applyAlignment="1" applyProtection="1">
      <alignment horizontal="center" vertical="center"/>
    </xf>
    <xf numFmtId="0" fontId="3" fillId="6" borderId="36" xfId="0" applyFont="1" applyFill="1" applyBorder="1" applyAlignment="1" applyProtection="1">
      <alignment horizontal="center" vertical="center" wrapText="1"/>
    </xf>
    <xf numFmtId="166" fontId="0" fillId="10" borderId="0" xfId="3" applyNumberFormat="1" applyFont="1" applyFill="1" applyBorder="1" applyAlignment="1">
      <alignment horizontal="left" vertical="center"/>
    </xf>
    <xf numFmtId="0" fontId="0" fillId="0" borderId="0" xfId="0" applyAlignment="1">
      <alignment horizontal="left"/>
    </xf>
    <xf numFmtId="0" fontId="0" fillId="0" borderId="0" xfId="0" applyAlignment="1">
      <alignment horizontal="left" wrapText="1"/>
    </xf>
    <xf numFmtId="0" fontId="0" fillId="3" borderId="9" xfId="0" applyFill="1" applyBorder="1" applyAlignment="1">
      <alignment horizontal="left" vertical="top" wrapText="1"/>
    </xf>
    <xf numFmtId="0" fontId="0" fillId="3" borderId="9" xfId="0" applyFill="1" applyBorder="1" applyAlignment="1">
      <alignment horizontal="left" wrapText="1"/>
    </xf>
    <xf numFmtId="0" fontId="0" fillId="0" borderId="9" xfId="0" applyBorder="1" applyAlignment="1">
      <alignment horizontal="left" vertical="top"/>
    </xf>
    <xf numFmtId="0" fontId="0" fillId="0" borderId="9" xfId="0" applyBorder="1" applyAlignment="1">
      <alignment horizontal="left" vertical="top" wrapText="1"/>
    </xf>
    <xf numFmtId="0" fontId="3" fillId="0" borderId="9" xfId="0" applyFont="1" applyBorder="1" applyAlignment="1">
      <alignment horizontal="left" vertical="center" wrapText="1"/>
    </xf>
    <xf numFmtId="0" fontId="10" fillId="0" borderId="9" xfId="0" applyFont="1" applyBorder="1" applyAlignment="1">
      <alignment horizontal="left" vertical="top" wrapText="1"/>
    </xf>
    <xf numFmtId="0" fontId="3" fillId="0" borderId="9" xfId="0" applyFont="1" applyBorder="1" applyAlignment="1">
      <alignment horizontal="left" vertical="top" wrapText="1"/>
    </xf>
    <xf numFmtId="0" fontId="0" fillId="0" borderId="9" xfId="0" applyBorder="1" applyAlignment="1">
      <alignment horizontal="left" wrapText="1"/>
    </xf>
    <xf numFmtId="0" fontId="0" fillId="0" borderId="9" xfId="0" applyBorder="1" applyAlignment="1">
      <alignment horizontal="left" vertical="center" wrapText="1"/>
    </xf>
    <xf numFmtId="0" fontId="3" fillId="0" borderId="9" xfId="0" applyFont="1" applyBorder="1" applyAlignment="1">
      <alignment horizontal="left" vertical="center"/>
    </xf>
    <xf numFmtId="0" fontId="0" fillId="0" borderId="9" xfId="0" applyBorder="1" applyAlignment="1">
      <alignment horizontal="left" vertical="center"/>
    </xf>
    <xf numFmtId="0" fontId="59" fillId="0" borderId="9" xfId="0" applyFont="1" applyBorder="1" applyAlignment="1">
      <alignment horizontal="left" vertical="top"/>
    </xf>
    <xf numFmtId="0" fontId="0" fillId="0" borderId="9" xfId="0" applyBorder="1" applyAlignment="1">
      <alignment horizontal="left"/>
    </xf>
    <xf numFmtId="0" fontId="59" fillId="0" borderId="9" xfId="0" applyFont="1" applyBorder="1" applyAlignment="1">
      <alignment horizontal="left"/>
    </xf>
    <xf numFmtId="0" fontId="89" fillId="0" borderId="9" xfId="0" applyFont="1" applyBorder="1" applyAlignment="1">
      <alignment horizontal="left"/>
    </xf>
    <xf numFmtId="0" fontId="3" fillId="0" borderId="90" xfId="0" applyFont="1" applyBorder="1" applyAlignment="1">
      <alignment horizontal="center" vertical="center"/>
    </xf>
    <xf numFmtId="0" fontId="3" fillId="0" borderId="79" xfId="0" applyFont="1" applyBorder="1" applyAlignment="1">
      <alignment horizontal="center" vertical="center"/>
    </xf>
    <xf numFmtId="0" fontId="3" fillId="0" borderId="52" xfId="0" applyFont="1" applyBorder="1" applyAlignment="1">
      <alignment horizontal="center" vertical="center"/>
    </xf>
    <xf numFmtId="0" fontId="59" fillId="0" borderId="4" xfId="0" applyFont="1" applyBorder="1"/>
    <xf numFmtId="14" fontId="59" fillId="0" borderId="10" xfId="0" applyNumberFormat="1" applyFont="1" applyBorder="1"/>
    <xf numFmtId="0" fontId="59" fillId="40" borderId="27" xfId="0" applyFont="1" applyFill="1" applyBorder="1"/>
    <xf numFmtId="173" fontId="1" fillId="0" borderId="54" xfId="1" applyNumberFormat="1" applyFont="1" applyBorder="1" applyAlignment="1">
      <alignment horizontal="center"/>
    </xf>
    <xf numFmtId="173" fontId="1" fillId="0" borderId="9" xfId="1" applyNumberFormat="1" applyFont="1" applyBorder="1" applyAlignment="1">
      <alignment horizontal="center"/>
    </xf>
    <xf numFmtId="173" fontId="1" fillId="0" borderId="10" xfId="1" applyNumberFormat="1" applyFont="1" applyBorder="1" applyAlignment="1">
      <alignment horizontal="center"/>
    </xf>
    <xf numFmtId="9" fontId="1" fillId="0" borderId="80" xfId="0" applyNumberFormat="1" applyFont="1" applyBorder="1" applyAlignment="1">
      <alignment horizontal="center"/>
    </xf>
    <xf numFmtId="9" fontId="1" fillId="0" borderId="41" xfId="0" applyNumberFormat="1" applyFont="1" applyBorder="1" applyAlignment="1">
      <alignment horizontal="center"/>
    </xf>
    <xf numFmtId="9" fontId="1" fillId="0" borderId="39" xfId="0" applyNumberFormat="1" applyFont="1" applyBorder="1" applyAlignment="1">
      <alignment horizontal="center"/>
    </xf>
    <xf numFmtId="0" fontId="0" fillId="0" borderId="0" xfId="0"/>
    <xf numFmtId="0" fontId="0" fillId="0" borderId="9" xfId="0" applyBorder="1"/>
    <xf numFmtId="0" fontId="0" fillId="18" borderId="9" xfId="0" applyFill="1" applyBorder="1" applyAlignment="1">
      <alignment wrapText="1"/>
    </xf>
    <xf numFmtId="0" fontId="0" fillId="3" borderId="50" xfId="0" applyFill="1" applyBorder="1" applyAlignment="1">
      <alignment wrapText="1"/>
    </xf>
    <xf numFmtId="0" fontId="0" fillId="18" borderId="9" xfId="0" applyFill="1" applyBorder="1"/>
    <xf numFmtId="0" fontId="0" fillId="18" borderId="9" xfId="0" applyFill="1" applyBorder="1" applyAlignment="1">
      <alignment horizontal="left" wrapText="1"/>
    </xf>
    <xf numFmtId="0" fontId="0" fillId="41" borderId="9" xfId="0" applyFill="1" applyBorder="1" applyAlignment="1">
      <alignment wrapText="1"/>
    </xf>
    <xf numFmtId="0" fontId="0" fillId="41" borderId="9" xfId="0" applyFill="1" applyBorder="1"/>
    <xf numFmtId="0" fontId="0" fillId="41" borderId="9" xfId="0" applyFill="1" applyBorder="1" applyAlignment="1">
      <alignment horizontal="left" wrapText="1"/>
    </xf>
    <xf numFmtId="0" fontId="0" fillId="3" borderId="41" xfId="0" applyFill="1" applyBorder="1" applyAlignment="1">
      <alignment wrapText="1"/>
    </xf>
    <xf numFmtId="0" fontId="0" fillId="3" borderId="9" xfId="0" applyFill="1" applyBorder="1" applyAlignment="1">
      <alignment horizontal="left" vertical="top"/>
    </xf>
    <xf numFmtId="0" fontId="0" fillId="18" borderId="9" xfId="0" applyFill="1" applyBorder="1" applyAlignment="1">
      <alignment horizontal="left" vertical="center" wrapText="1"/>
    </xf>
    <xf numFmtId="0" fontId="0" fillId="18" borderId="9" xfId="0" applyFill="1" applyBorder="1" applyAlignment="1">
      <alignment horizontal="left" vertical="top" wrapText="1"/>
    </xf>
    <xf numFmtId="0" fontId="0" fillId="41" borderId="9" xfId="0" applyFill="1" applyBorder="1" applyAlignment="1">
      <alignment horizontal="left" vertical="center" wrapText="1"/>
    </xf>
    <xf numFmtId="0" fontId="0" fillId="41" borderId="9" xfId="0" applyFill="1" applyBorder="1" applyAlignment="1">
      <alignment horizontal="left" vertical="top" wrapText="1"/>
    </xf>
    <xf numFmtId="0" fontId="0" fillId="3" borderId="41" xfId="0" applyFill="1" applyBorder="1" applyAlignment="1">
      <alignment horizontal="left" vertical="top"/>
    </xf>
    <xf numFmtId="0" fontId="0" fillId="18" borderId="9" xfId="0" applyFill="1" applyBorder="1" applyAlignment="1">
      <alignment horizontal="left" vertical="top"/>
    </xf>
    <xf numFmtId="0" fontId="0" fillId="18" borderId="9" xfId="0" applyFill="1" applyBorder="1" applyAlignment="1">
      <alignment horizontal="left" vertical="center"/>
    </xf>
    <xf numFmtId="0" fontId="0" fillId="18" borderId="9" xfId="0" applyFill="1" applyBorder="1" applyAlignment="1">
      <alignment horizontal="left"/>
    </xf>
    <xf numFmtId="0" fontId="0" fillId="41" borderId="9" xfId="0" applyFill="1" applyBorder="1" applyAlignment="1">
      <alignment horizontal="left" vertical="top"/>
    </xf>
    <xf numFmtId="0" fontId="0" fillId="41" borderId="9" xfId="0" applyFill="1" applyBorder="1" applyAlignment="1">
      <alignment horizontal="left" vertical="center"/>
    </xf>
    <xf numFmtId="0" fontId="0" fillId="41" borderId="9" xfId="0" applyFill="1" applyBorder="1" applyAlignment="1">
      <alignment horizontal="left"/>
    </xf>
    <xf numFmtId="0" fontId="0" fillId="7" borderId="9" xfId="0" applyFill="1" applyBorder="1" applyAlignment="1">
      <alignment horizontal="left" vertical="top"/>
    </xf>
    <xf numFmtId="0" fontId="0" fillId="7" borderId="9" xfId="0" applyFill="1" applyBorder="1" applyAlignment="1">
      <alignment horizontal="left" vertical="center"/>
    </xf>
    <xf numFmtId="0" fontId="0" fillId="7" borderId="9" xfId="0" applyFill="1" applyBorder="1" applyAlignment="1">
      <alignment horizontal="left"/>
    </xf>
    <xf numFmtId="0" fontId="10" fillId="3" borderId="9" xfId="0" applyFont="1" applyFill="1" applyBorder="1"/>
    <xf numFmtId="0" fontId="0" fillId="0" borderId="9" xfId="0" applyBorder="1"/>
    <xf numFmtId="166" fontId="27" fillId="10" borderId="22" xfId="3" applyNumberFormat="1" applyFont="1" applyFill="1" applyBorder="1" applyAlignment="1" applyProtection="1">
      <alignment vertical="center"/>
      <protection locked="0"/>
    </xf>
    <xf numFmtId="0" fontId="0" fillId="0" borderId="0" xfId="0" applyAlignment="1">
      <alignment vertical="center"/>
    </xf>
    <xf numFmtId="169" fontId="0" fillId="2" borderId="9" xfId="2" applyNumberFormat="1" applyFont="1" applyFill="1" applyBorder="1" applyAlignment="1" applyProtection="1">
      <alignment horizontal="center" vertical="center"/>
    </xf>
    <xf numFmtId="0" fontId="0" fillId="0" borderId="0" xfId="0" applyAlignment="1">
      <alignment vertical="center"/>
    </xf>
    <xf numFmtId="0" fontId="3" fillId="7" borderId="36" xfId="0" applyFont="1" applyFill="1" applyBorder="1" applyAlignment="1">
      <alignment horizontal="center" vertical="top" wrapText="1"/>
    </xf>
    <xf numFmtId="0" fontId="6" fillId="10" borderId="0" xfId="0" applyFont="1" applyFill="1" applyAlignment="1">
      <alignment horizontal="center" vertical="center"/>
    </xf>
    <xf numFmtId="0" fontId="75" fillId="10" borderId="0" xfId="0" applyFont="1" applyFill="1" applyAlignment="1">
      <alignment vertical="center" wrapText="1"/>
    </xf>
    <xf numFmtId="0" fontId="75" fillId="10" borderId="20" xfId="0" applyFont="1" applyFill="1" applyBorder="1" applyAlignment="1">
      <alignment vertical="center" wrapText="1"/>
    </xf>
    <xf numFmtId="0" fontId="3" fillId="10" borderId="23" xfId="0" applyFont="1" applyFill="1" applyBorder="1" applyAlignment="1">
      <alignment vertical="center" wrapText="1"/>
    </xf>
    <xf numFmtId="0" fontId="0" fillId="10" borderId="0" xfId="0" applyFill="1" applyAlignment="1">
      <alignment horizontal="center" vertical="center"/>
    </xf>
    <xf numFmtId="169" fontId="0" fillId="2" borderId="9" xfId="3" applyNumberFormat="1" applyFont="1" applyFill="1" applyBorder="1" applyAlignment="1" applyProtection="1">
      <alignment horizontal="center" vertical="center"/>
      <protection locked="0"/>
    </xf>
    <xf numFmtId="166" fontId="0" fillId="2" borderId="9" xfId="3" applyNumberFormat="1" applyFont="1" applyFill="1" applyBorder="1" applyAlignment="1" applyProtection="1">
      <alignment horizontal="center" vertical="center"/>
    </xf>
    <xf numFmtId="0" fontId="0" fillId="2" borderId="9" xfId="3" applyNumberFormat="1" applyFont="1" applyFill="1" applyBorder="1" applyAlignment="1" applyProtection="1">
      <alignment horizontal="center" vertical="center"/>
      <protection locked="0"/>
    </xf>
    <xf numFmtId="179" fontId="0" fillId="2" borderId="9" xfId="3" applyNumberFormat="1" applyFont="1" applyFill="1" applyBorder="1" applyAlignment="1" applyProtection="1">
      <alignment horizontal="center" vertical="center"/>
      <protection locked="0"/>
    </xf>
    <xf numFmtId="0" fontId="0" fillId="10" borderId="0" xfId="0" applyFill="1" applyAlignment="1">
      <alignment horizontal="right" vertical="center" wrapText="1"/>
    </xf>
    <xf numFmtId="0" fontId="3" fillId="6" borderId="36" xfId="0" applyFont="1" applyFill="1" applyBorder="1" applyAlignment="1" applyProtection="1">
      <alignment horizontal="center" wrapText="1"/>
    </xf>
    <xf numFmtId="169" fontId="0" fillId="2" borderId="9" xfId="3" applyNumberFormat="1" applyFont="1" applyFill="1" applyBorder="1" applyAlignment="1" applyProtection="1">
      <alignment horizontal="center" vertical="center"/>
    </xf>
    <xf numFmtId="0" fontId="75" fillId="10" borderId="22" xfId="0" applyFont="1" applyFill="1" applyBorder="1" applyAlignment="1">
      <alignment vertical="center" wrapText="1"/>
    </xf>
    <xf numFmtId="0" fontId="0" fillId="10" borderId="0" xfId="0" applyFill="1" applyAlignment="1">
      <alignment vertical="center" wrapText="1"/>
    </xf>
    <xf numFmtId="166" fontId="3" fillId="10" borderId="0" xfId="3" applyNumberFormat="1" applyFont="1" applyFill="1" applyBorder="1" applyAlignment="1">
      <alignment horizontal="center" vertical="center"/>
    </xf>
    <xf numFmtId="166" fontId="3" fillId="10" borderId="0" xfId="3" applyNumberFormat="1" applyFont="1" applyFill="1" applyBorder="1" applyAlignment="1">
      <alignment horizontal="center" vertical="center" wrapText="1"/>
    </xf>
    <xf numFmtId="169" fontId="90" fillId="10" borderId="22" xfId="0" applyNumberFormat="1" applyFont="1" applyFill="1" applyBorder="1" applyAlignment="1">
      <alignment horizontal="center" vertical="center"/>
    </xf>
    <xf numFmtId="0" fontId="0" fillId="2" borderId="8" xfId="0" applyFill="1" applyBorder="1" applyAlignment="1" applyProtection="1">
      <alignment horizontal="center" vertical="center"/>
    </xf>
    <xf numFmtId="3" fontId="0" fillId="2" borderId="9" xfId="3" applyNumberFormat="1" applyFont="1" applyFill="1" applyBorder="1" applyAlignment="1" applyProtection="1">
      <alignment horizontal="center" vertical="center"/>
    </xf>
    <xf numFmtId="2" fontId="0" fillId="2" borderId="9" xfId="3" applyNumberFormat="1" applyFont="1" applyFill="1" applyBorder="1" applyAlignment="1" applyProtection="1">
      <alignment horizontal="center" vertical="center"/>
    </xf>
    <xf numFmtId="0" fontId="72" fillId="10" borderId="18" xfId="0" applyFont="1" applyFill="1" applyBorder="1" applyAlignment="1">
      <alignment vertical="center" wrapText="1"/>
    </xf>
    <xf numFmtId="0" fontId="91" fillId="10" borderId="22" xfId="0" applyFont="1" applyFill="1" applyBorder="1" applyAlignment="1">
      <alignment horizontal="center" vertical="center"/>
    </xf>
    <xf numFmtId="0" fontId="90" fillId="10" borderId="0" xfId="0" applyFont="1" applyFill="1" applyAlignment="1">
      <alignment vertical="center"/>
    </xf>
    <xf numFmtId="10" fontId="0" fillId="2" borderId="9" xfId="3" applyNumberFormat="1" applyFont="1" applyFill="1" applyBorder="1" applyAlignment="1" applyProtection="1">
      <alignment horizontal="center" vertical="center"/>
      <protection locked="0"/>
    </xf>
    <xf numFmtId="0" fontId="3" fillId="25" borderId="56" xfId="6" applyFont="1" applyFill="1" applyBorder="1" applyAlignment="1">
      <alignment horizontal="left" vertical="center" wrapText="1"/>
    </xf>
    <xf numFmtId="0" fontId="3" fillId="25" borderId="60" xfId="6" applyFont="1" applyFill="1" applyBorder="1" applyAlignment="1">
      <alignment horizontal="left" vertical="center" wrapText="1"/>
    </xf>
    <xf numFmtId="0" fontId="3" fillId="25" borderId="57" xfId="6" applyFont="1" applyFill="1" applyBorder="1" applyAlignment="1">
      <alignment horizontal="left" vertical="center" wrapText="1"/>
    </xf>
    <xf numFmtId="0" fontId="34" fillId="33" borderId="14" xfId="6" applyFont="1" applyFill="1" applyBorder="1" applyAlignment="1" applyProtection="1">
      <alignment horizontal="center"/>
      <protection locked="0"/>
    </xf>
    <xf numFmtId="0" fontId="34" fillId="33" borderId="0" xfId="6" applyFont="1" applyFill="1" applyAlignment="1" applyProtection="1">
      <alignment horizontal="center"/>
      <protection locked="0"/>
    </xf>
    <xf numFmtId="0" fontId="34" fillId="33" borderId="29" xfId="6" applyFont="1" applyFill="1" applyBorder="1" applyAlignment="1" applyProtection="1">
      <alignment horizontal="center"/>
      <protection locked="0"/>
    </xf>
    <xf numFmtId="0" fontId="34" fillId="33" borderId="15" xfId="6" applyFont="1" applyFill="1" applyBorder="1" applyAlignment="1" applyProtection="1">
      <alignment horizontal="center"/>
      <protection locked="0"/>
    </xf>
    <xf numFmtId="0" fontId="34" fillId="33" borderId="2" xfId="6" applyFont="1" applyFill="1" applyBorder="1" applyAlignment="1" applyProtection="1">
      <alignment horizontal="center"/>
      <protection locked="0"/>
    </xf>
    <xf numFmtId="0" fontId="34" fillId="33" borderId="30" xfId="6" applyFont="1" applyFill="1" applyBorder="1" applyAlignment="1" applyProtection="1">
      <alignment horizontal="center"/>
      <protection locked="0"/>
    </xf>
    <xf numFmtId="0" fontId="34" fillId="33" borderId="14" xfId="6" applyFont="1" applyFill="1" applyBorder="1" applyAlignment="1">
      <alignment horizontal="center"/>
    </xf>
    <xf numFmtId="0" fontId="34" fillId="33" borderId="0" xfId="6" applyFont="1" applyFill="1" applyAlignment="1">
      <alignment horizontal="center"/>
    </xf>
    <xf numFmtId="0" fontId="34" fillId="33" borderId="29" xfId="6" applyFont="1" applyFill="1" applyBorder="1" applyAlignment="1">
      <alignment horizontal="center"/>
    </xf>
    <xf numFmtId="0" fontId="34" fillId="33" borderId="15" xfId="6" applyFont="1" applyFill="1" applyBorder="1" applyAlignment="1">
      <alignment horizontal="center"/>
    </xf>
    <xf numFmtId="0" fontId="34" fillId="33" borderId="2" xfId="6" applyFont="1" applyFill="1" applyBorder="1" applyAlignment="1">
      <alignment horizontal="center"/>
    </xf>
    <xf numFmtId="0" fontId="34" fillId="33" borderId="30" xfId="6" applyFont="1" applyFill="1" applyBorder="1" applyAlignment="1">
      <alignment horizontal="center"/>
    </xf>
    <xf numFmtId="0" fontId="3" fillId="27" borderId="56" xfId="6" applyFont="1" applyFill="1" applyBorder="1" applyAlignment="1">
      <alignment vertical="center" wrapText="1"/>
    </xf>
    <xf numFmtId="0" fontId="3" fillId="27" borderId="60" xfId="6" applyFont="1" applyFill="1" applyBorder="1" applyAlignment="1">
      <alignment vertical="center" wrapText="1"/>
    </xf>
    <xf numFmtId="0" fontId="3" fillId="27" borderId="57" xfId="6" applyFont="1" applyFill="1" applyBorder="1" applyAlignment="1">
      <alignment vertical="center" wrapText="1"/>
    </xf>
    <xf numFmtId="0" fontId="3" fillId="27" borderId="56" xfId="0" applyFont="1" applyFill="1" applyBorder="1" applyAlignment="1">
      <alignment vertical="center" wrapText="1"/>
    </xf>
    <xf numFmtId="0" fontId="3" fillId="27" borderId="60" xfId="0" applyFont="1" applyFill="1" applyBorder="1" applyAlignment="1">
      <alignment vertical="center" wrapText="1"/>
    </xf>
    <xf numFmtId="0" fontId="3" fillId="27" borderId="57" xfId="0" applyFont="1" applyFill="1" applyBorder="1" applyAlignment="1">
      <alignment vertical="center" wrapText="1"/>
    </xf>
    <xf numFmtId="0" fontId="51" fillId="0" borderId="0" xfId="0" applyFont="1" applyAlignment="1">
      <alignment horizontal="center" vertical="center"/>
    </xf>
    <xf numFmtId="0" fontId="3" fillId="25" borderId="56" xfId="0" applyFont="1" applyFill="1" applyBorder="1" applyAlignment="1">
      <alignment vertical="center" wrapText="1"/>
    </xf>
    <xf numFmtId="0" fontId="3" fillId="25" borderId="60" xfId="0" applyFont="1" applyFill="1" applyBorder="1" applyAlignment="1">
      <alignment vertical="center" wrapText="1"/>
    </xf>
    <xf numFmtId="0" fontId="3" fillId="25" borderId="57" xfId="0" applyFont="1" applyFill="1" applyBorder="1" applyAlignment="1">
      <alignment vertical="center" wrapText="1"/>
    </xf>
    <xf numFmtId="0" fontId="3" fillId="26" borderId="56" xfId="0" applyFont="1" applyFill="1" applyBorder="1" applyAlignment="1">
      <alignment vertical="center" wrapText="1"/>
    </xf>
    <xf numFmtId="0" fontId="3" fillId="26" borderId="60" xfId="0" applyFont="1" applyFill="1" applyBorder="1" applyAlignment="1">
      <alignment vertical="center" wrapText="1"/>
    </xf>
    <xf numFmtId="0" fontId="3" fillId="26" borderId="57" xfId="0" applyFont="1" applyFill="1" applyBorder="1" applyAlignment="1">
      <alignment vertical="center" wrapText="1"/>
    </xf>
    <xf numFmtId="14" fontId="0" fillId="0" borderId="2" xfId="0" applyNumberFormat="1" applyBorder="1" applyAlignment="1">
      <alignment horizontal="justify" vertical="center" wrapText="1"/>
    </xf>
    <xf numFmtId="0" fontId="0" fillId="0" borderId="0" xfId="0" applyAlignment="1">
      <alignment horizontal="justify" vertical="center" wrapText="1"/>
    </xf>
    <xf numFmtId="0" fontId="0" fillId="0" borderId="2" xfId="0" applyBorder="1" applyAlignment="1">
      <alignment horizontal="justify" vertical="center" wrapText="1"/>
    </xf>
    <xf numFmtId="0" fontId="0" fillId="0" borderId="60" xfId="0" applyBorder="1" applyAlignment="1">
      <alignment horizontal="justify" vertical="center" wrapText="1"/>
    </xf>
    <xf numFmtId="0" fontId="51" fillId="25" borderId="13" xfId="0" applyFont="1" applyFill="1" applyBorder="1" applyAlignment="1">
      <alignment horizontal="center" vertical="center" wrapText="1"/>
    </xf>
    <xf numFmtId="0" fontId="51" fillId="25" borderId="11" xfId="0" applyFont="1" applyFill="1" applyBorder="1" applyAlignment="1">
      <alignment horizontal="center" vertical="center" wrapText="1"/>
    </xf>
    <xf numFmtId="0" fontId="51" fillId="25" borderId="28" xfId="0" applyFont="1" applyFill="1" applyBorder="1" applyAlignment="1">
      <alignment horizontal="center" vertical="center" wrapText="1"/>
    </xf>
    <xf numFmtId="0" fontId="52" fillId="25" borderId="15" xfId="0" applyFont="1" applyFill="1" applyBorder="1" applyAlignment="1">
      <alignment horizontal="center" vertical="center" wrapText="1"/>
    </xf>
    <xf numFmtId="0" fontId="52" fillId="25" borderId="2" xfId="0" applyFont="1" applyFill="1" applyBorder="1" applyAlignment="1">
      <alignment horizontal="center" vertical="center" wrapText="1"/>
    </xf>
    <xf numFmtId="0" fontId="52" fillId="25" borderId="30" xfId="0" applyFont="1" applyFill="1" applyBorder="1" applyAlignment="1">
      <alignment horizontal="center" vertical="center" wrapText="1"/>
    </xf>
    <xf numFmtId="0" fontId="53" fillId="0" borderId="0" xfId="0" applyFont="1" applyAlignment="1">
      <alignment horizontal="center" vertical="center" wrapText="1"/>
    </xf>
    <xf numFmtId="0" fontId="52" fillId="0" borderId="0" xfId="0" applyFont="1" applyAlignment="1">
      <alignment horizontal="center" vertical="center" wrapText="1"/>
    </xf>
    <xf numFmtId="0" fontId="29" fillId="0" borderId="22" xfId="0" quotePrefix="1" applyFont="1" applyBorder="1" applyAlignment="1" applyProtection="1">
      <alignment horizontal="center" vertical="top"/>
      <protection locked="0"/>
    </xf>
    <xf numFmtId="0" fontId="29" fillId="0" borderId="22" xfId="0" applyFont="1" applyBorder="1" applyAlignment="1" applyProtection="1">
      <alignment horizontal="center" vertical="top"/>
      <protection locked="0"/>
    </xf>
    <xf numFmtId="0" fontId="42" fillId="3" borderId="13" xfId="0" applyFont="1" applyFill="1" applyBorder="1" applyAlignment="1" applyProtection="1">
      <alignment horizontal="left" vertical="top" wrapText="1"/>
      <protection locked="0"/>
    </xf>
    <xf numFmtId="0" fontId="42" fillId="3" borderId="11" xfId="0" applyFont="1" applyFill="1" applyBorder="1" applyAlignment="1" applyProtection="1">
      <alignment horizontal="left" vertical="top" wrapText="1"/>
      <protection locked="0"/>
    </xf>
    <xf numFmtId="0" fontId="42" fillId="3" borderId="28" xfId="0" applyFont="1" applyFill="1" applyBorder="1" applyAlignment="1" applyProtection="1">
      <alignment horizontal="left" vertical="top" wrapText="1"/>
      <protection locked="0"/>
    </xf>
    <xf numFmtId="0" fontId="42" fillId="3" borderId="14" xfId="0" applyFont="1" applyFill="1" applyBorder="1" applyAlignment="1" applyProtection="1">
      <alignment horizontal="left" vertical="top" wrapText="1"/>
      <protection locked="0"/>
    </xf>
    <xf numFmtId="0" fontId="42" fillId="3" borderId="0" xfId="0" applyFont="1" applyFill="1" applyAlignment="1" applyProtection="1">
      <alignment horizontal="left" vertical="top" wrapText="1"/>
      <protection locked="0"/>
    </xf>
    <xf numFmtId="0" fontId="42" fillId="3" borderId="29" xfId="0" applyFont="1" applyFill="1" applyBorder="1" applyAlignment="1" applyProtection="1">
      <alignment horizontal="left" vertical="top" wrapText="1"/>
      <protection locked="0"/>
    </xf>
    <xf numFmtId="0" fontId="42" fillId="3" borderId="15" xfId="0" applyFont="1" applyFill="1" applyBorder="1" applyAlignment="1" applyProtection="1">
      <alignment horizontal="left" vertical="top" wrapText="1"/>
      <protection locked="0"/>
    </xf>
    <xf numFmtId="0" fontId="42" fillId="3" borderId="2" xfId="0" applyFont="1" applyFill="1" applyBorder="1" applyAlignment="1" applyProtection="1">
      <alignment horizontal="left" vertical="top" wrapText="1"/>
      <protection locked="0"/>
    </xf>
    <xf numFmtId="0" fontId="42" fillId="3" borderId="30" xfId="0" applyFont="1" applyFill="1" applyBorder="1" applyAlignment="1" applyProtection="1">
      <alignment horizontal="left" vertical="top" wrapText="1"/>
      <protection locked="0"/>
    </xf>
    <xf numFmtId="0" fontId="3" fillId="3" borderId="56" xfId="0" applyFont="1" applyFill="1" applyBorder="1" applyAlignment="1">
      <alignment horizontal="center" vertical="center"/>
    </xf>
    <xf numFmtId="0" fontId="3" fillId="3" borderId="60" xfId="0" applyFont="1" applyFill="1" applyBorder="1" applyAlignment="1">
      <alignment horizontal="center" vertical="center"/>
    </xf>
    <xf numFmtId="0" fontId="3" fillId="3" borderId="57" xfId="0" applyFont="1" applyFill="1" applyBorder="1" applyAlignment="1">
      <alignment horizontal="center" vertical="center"/>
    </xf>
    <xf numFmtId="0" fontId="3" fillId="7" borderId="56" xfId="0" applyFont="1" applyFill="1" applyBorder="1" applyAlignment="1">
      <alignment horizontal="center" vertical="center" wrapText="1"/>
    </xf>
    <xf numFmtId="0" fontId="3" fillId="7" borderId="60" xfId="0" applyFont="1" applyFill="1" applyBorder="1" applyAlignment="1">
      <alignment horizontal="center" vertical="center" wrapText="1"/>
    </xf>
    <xf numFmtId="0" fontId="3" fillId="7" borderId="57" xfId="0" applyFont="1" applyFill="1" applyBorder="1" applyAlignment="1">
      <alignment horizontal="center" vertical="center" wrapText="1"/>
    </xf>
    <xf numFmtId="0" fontId="19" fillId="3" borderId="11" xfId="0" applyFont="1" applyFill="1" applyBorder="1" applyAlignment="1">
      <alignment horizontal="left" indent="1"/>
    </xf>
    <xf numFmtId="0" fontId="62" fillId="3" borderId="0" xfId="0" applyFont="1" applyFill="1" applyBorder="1" applyAlignment="1">
      <alignment horizontal="center" vertical="top"/>
    </xf>
    <xf numFmtId="0" fontId="61" fillId="3" borderId="2" xfId="0" applyFont="1" applyFill="1" applyBorder="1" applyAlignment="1">
      <alignment horizontal="center" vertical="top"/>
    </xf>
    <xf numFmtId="166" fontId="3" fillId="3" borderId="31" xfId="0" applyNumberFormat="1" applyFont="1" applyFill="1" applyBorder="1" applyAlignment="1">
      <alignment horizontal="center" vertical="center"/>
    </xf>
    <xf numFmtId="166" fontId="3" fillId="3" borderId="33" xfId="0" applyNumberFormat="1" applyFont="1" applyFill="1" applyBorder="1" applyAlignment="1">
      <alignment horizontal="center" vertical="center"/>
    </xf>
    <xf numFmtId="0" fontId="65" fillId="3" borderId="0" xfId="0" applyFont="1" applyFill="1" applyBorder="1" applyAlignment="1">
      <alignment horizontal="center" vertical="center" wrapText="1"/>
    </xf>
    <xf numFmtId="0" fontId="3" fillId="6" borderId="31" xfId="0" applyFont="1" applyFill="1" applyBorder="1" applyAlignment="1">
      <alignment horizontal="left" vertical="center" wrapText="1"/>
    </xf>
    <xf numFmtId="0" fontId="3" fillId="6" borderId="33" xfId="0" applyFont="1" applyFill="1" applyBorder="1" applyAlignment="1">
      <alignment horizontal="left" vertical="center" wrapText="1"/>
    </xf>
    <xf numFmtId="166" fontId="3" fillId="3" borderId="49" xfId="0" applyNumberFormat="1" applyFont="1" applyFill="1" applyBorder="1" applyAlignment="1">
      <alignment horizontal="center" vertical="center"/>
    </xf>
    <xf numFmtId="166" fontId="3" fillId="3" borderId="87" xfId="0" applyNumberFormat="1" applyFont="1" applyFill="1" applyBorder="1" applyAlignment="1">
      <alignment horizontal="center" vertical="center"/>
    </xf>
    <xf numFmtId="0" fontId="3" fillId="6" borderId="49" xfId="0" applyFont="1" applyFill="1" applyBorder="1" applyAlignment="1">
      <alignment horizontal="left" wrapText="1"/>
    </xf>
    <xf numFmtId="0" fontId="3" fillId="6" borderId="87" xfId="0" applyFont="1" applyFill="1" applyBorder="1" applyAlignment="1">
      <alignment horizontal="left" wrapText="1"/>
    </xf>
    <xf numFmtId="0" fontId="4" fillId="0" borderId="41" xfId="0" applyFont="1" applyBorder="1" applyAlignment="1">
      <alignment horizontal="center"/>
    </xf>
    <xf numFmtId="0" fontId="4" fillId="0" borderId="42" xfId="0" applyFont="1" applyBorder="1" applyAlignment="1">
      <alignment horizontal="center"/>
    </xf>
    <xf numFmtId="0" fontId="4" fillId="0" borderId="37" xfId="0" applyFont="1" applyBorder="1" applyAlignment="1">
      <alignment horizontal="center"/>
    </xf>
    <xf numFmtId="0" fontId="4" fillId="0" borderId="34" xfId="0" applyFont="1" applyBorder="1" applyAlignment="1">
      <alignment horizontal="center"/>
    </xf>
    <xf numFmtId="0" fontId="4" fillId="0" borderId="43" xfId="0" applyFont="1" applyBorder="1" applyAlignment="1">
      <alignment horizontal="center"/>
    </xf>
    <xf numFmtId="0" fontId="4" fillId="0" borderId="35" xfId="0" applyFont="1" applyBorder="1" applyAlignment="1">
      <alignment horizontal="center"/>
    </xf>
    <xf numFmtId="0" fontId="4" fillId="0" borderId="39" xfId="0" applyFont="1" applyBorder="1" applyAlignment="1">
      <alignment horizontal="center"/>
    </xf>
    <xf numFmtId="0" fontId="4" fillId="0" borderId="40" xfId="0" applyFont="1" applyBorder="1" applyAlignment="1">
      <alignment horizontal="center"/>
    </xf>
    <xf numFmtId="0" fontId="4" fillId="0" borderId="38" xfId="0" applyFont="1" applyBorder="1" applyAlignment="1">
      <alignment horizontal="center"/>
    </xf>
    <xf numFmtId="166" fontId="3" fillId="2" borderId="14" xfId="0" applyNumberFormat="1" applyFont="1" applyFill="1" applyBorder="1" applyAlignment="1">
      <alignment horizontal="right" vertical="center"/>
    </xf>
    <xf numFmtId="166" fontId="3" fillId="2" borderId="20" xfId="0" applyNumberFormat="1" applyFont="1" applyFill="1" applyBorder="1" applyAlignment="1">
      <alignment horizontal="right" vertical="center"/>
    </xf>
    <xf numFmtId="166" fontId="7" fillId="2" borderId="13" xfId="0" applyNumberFormat="1" applyFont="1" applyFill="1" applyBorder="1" applyAlignment="1">
      <alignment horizontal="right" vertical="center"/>
    </xf>
    <xf numFmtId="166" fontId="7" fillId="2" borderId="58" xfId="0" applyNumberFormat="1" applyFont="1" applyFill="1" applyBorder="1" applyAlignment="1">
      <alignment horizontal="right" vertical="center"/>
    </xf>
    <xf numFmtId="0" fontId="62" fillId="3" borderId="0" xfId="0" applyFont="1" applyFill="1" applyAlignment="1">
      <alignment horizontal="center" vertical="center" wrapText="1"/>
    </xf>
    <xf numFmtId="166" fontId="3" fillId="2" borderId="15" xfId="0" applyNumberFormat="1" applyFont="1" applyFill="1" applyBorder="1" applyAlignment="1">
      <alignment horizontal="right" vertical="center"/>
    </xf>
    <xf numFmtId="166" fontId="3" fillId="2" borderId="59" xfId="0" applyNumberFormat="1" applyFont="1" applyFill="1" applyBorder="1" applyAlignment="1">
      <alignment horizontal="right" vertical="center"/>
    </xf>
    <xf numFmtId="0" fontId="4" fillId="3" borderId="0" xfId="0" applyFont="1" applyFill="1" applyAlignment="1">
      <alignment horizontal="center"/>
    </xf>
    <xf numFmtId="0" fontId="0" fillId="10" borderId="0" xfId="0" applyFill="1" applyAlignment="1">
      <alignment horizontal="center" vertical="center"/>
    </xf>
    <xf numFmtId="0" fontId="7" fillId="10" borderId="13" xfId="0" applyFont="1" applyFill="1" applyBorder="1" applyAlignment="1">
      <alignment horizontal="center" vertical="center"/>
    </xf>
    <xf numFmtId="0" fontId="7" fillId="10" borderId="28" xfId="0" applyFont="1" applyFill="1" applyBorder="1" applyAlignment="1">
      <alignment horizontal="center" vertical="center"/>
    </xf>
    <xf numFmtId="0" fontId="0" fillId="10" borderId="15" xfId="0" applyFill="1" applyBorder="1" applyAlignment="1">
      <alignment horizontal="center" vertical="top"/>
    </xf>
    <xf numFmtId="0" fontId="0" fillId="10" borderId="30" xfId="0" applyFill="1" applyBorder="1" applyAlignment="1">
      <alignment horizontal="center" vertical="top"/>
    </xf>
    <xf numFmtId="166" fontId="1" fillId="10" borderId="18" xfId="3" applyNumberFormat="1" applyFont="1" applyFill="1" applyBorder="1" applyAlignment="1">
      <alignment horizontal="center" vertical="center" wrapText="1"/>
    </xf>
    <xf numFmtId="166" fontId="1" fillId="10" borderId="19" xfId="3" applyNumberFormat="1" applyFont="1" applyFill="1" applyBorder="1" applyAlignment="1">
      <alignment horizontal="center" vertical="center" wrapText="1"/>
    </xf>
    <xf numFmtId="166" fontId="1" fillId="10" borderId="0" xfId="3" applyNumberFormat="1" applyFont="1" applyFill="1" applyBorder="1" applyAlignment="1">
      <alignment horizontal="center" vertical="center" wrapText="1"/>
    </xf>
    <xf numFmtId="166" fontId="1" fillId="10" borderId="20" xfId="3" applyNumberFormat="1" applyFont="1" applyFill="1" applyBorder="1" applyAlignment="1">
      <alignment horizontal="center" vertical="center" wrapText="1"/>
    </xf>
    <xf numFmtId="0" fontId="13" fillId="10" borderId="18" xfId="0" applyFont="1" applyFill="1" applyBorder="1" applyAlignment="1">
      <alignment horizontal="center" vertical="center"/>
    </xf>
    <xf numFmtId="166" fontId="6" fillId="3" borderId="10" xfId="3" applyNumberFormat="1" applyFont="1" applyFill="1" applyBorder="1" applyAlignment="1">
      <alignment horizontal="center" vertical="center"/>
    </xf>
    <xf numFmtId="166" fontId="6" fillId="3" borderId="27" xfId="3" applyNumberFormat="1" applyFont="1" applyFill="1" applyBorder="1" applyAlignment="1">
      <alignment horizontal="center" vertical="center"/>
    </xf>
    <xf numFmtId="0" fontId="1" fillId="0" borderId="5" xfId="0" applyFont="1" applyBorder="1" applyAlignment="1">
      <alignment horizontal="center"/>
    </xf>
    <xf numFmtId="0" fontId="1" fillId="0" borderId="7" xfId="0" applyFont="1" applyBorder="1" applyAlignment="1">
      <alignment horizontal="center"/>
    </xf>
    <xf numFmtId="0" fontId="1" fillId="0" borderId="88" xfId="0" applyFont="1" applyBorder="1" applyAlignment="1">
      <alignment horizontal="center"/>
    </xf>
    <xf numFmtId="0" fontId="1" fillId="0" borderId="35" xfId="0" applyFont="1" applyBorder="1" applyAlignment="1">
      <alignment horizontal="center"/>
    </xf>
    <xf numFmtId="0" fontId="1" fillId="0" borderId="3" xfId="0" applyFont="1" applyBorder="1" applyAlignment="1">
      <alignment horizontal="center"/>
    </xf>
    <xf numFmtId="0" fontId="1" fillId="0" borderId="26" xfId="0" applyFont="1" applyBorder="1" applyAlignment="1">
      <alignment horizontal="center"/>
    </xf>
    <xf numFmtId="0" fontId="1" fillId="0" borderId="65" xfId="0" applyFont="1" applyBorder="1" applyAlignment="1">
      <alignment horizontal="center"/>
    </xf>
    <xf numFmtId="0" fontId="1" fillId="0" borderId="37" xfId="0" applyFont="1" applyBorder="1" applyAlignment="1">
      <alignment horizontal="center"/>
    </xf>
    <xf numFmtId="167" fontId="1" fillId="0" borderId="3" xfId="0" applyNumberFormat="1" applyFont="1" applyBorder="1" applyAlignment="1">
      <alignment horizontal="center"/>
    </xf>
    <xf numFmtId="167" fontId="1" fillId="0" borderId="26" xfId="0" applyNumberFormat="1" applyFont="1" applyBorder="1" applyAlignment="1">
      <alignment horizontal="center"/>
    </xf>
    <xf numFmtId="168" fontId="1" fillId="0" borderId="3" xfId="0" applyNumberFormat="1" applyFont="1" applyBorder="1" applyAlignment="1">
      <alignment horizontal="center"/>
    </xf>
    <xf numFmtId="168" fontId="1" fillId="0" borderId="26" xfId="0" applyNumberFormat="1" applyFont="1" applyBorder="1" applyAlignment="1">
      <alignment horizontal="center"/>
    </xf>
    <xf numFmtId="164" fontId="1" fillId="0" borderId="4" xfId="2" applyNumberFormat="1" applyFont="1" applyBorder="1" applyAlignment="1">
      <alignment horizontal="center" vertical="center"/>
    </xf>
    <xf numFmtId="164" fontId="1" fillId="0" borderId="27" xfId="2" applyNumberFormat="1" applyFont="1" applyBorder="1" applyAlignment="1">
      <alignment horizontal="center" vertical="center"/>
    </xf>
    <xf numFmtId="9" fontId="1" fillId="0" borderId="89" xfId="0" applyNumberFormat="1" applyFont="1" applyBorder="1" applyAlignment="1">
      <alignment horizontal="center"/>
    </xf>
    <xf numFmtId="9" fontId="1" fillId="0" borderId="38" xfId="0" applyNumberFormat="1" applyFont="1" applyBorder="1" applyAlignment="1">
      <alignment horizontal="center"/>
    </xf>
    <xf numFmtId="166" fontId="6" fillId="3" borderId="6" xfId="3" applyNumberFormat="1" applyFont="1" applyFill="1" applyBorder="1" applyAlignment="1">
      <alignment horizontal="center" vertical="center"/>
    </xf>
    <xf numFmtId="166" fontId="6" fillId="3" borderId="7" xfId="3" applyNumberFormat="1" applyFont="1" applyFill="1" applyBorder="1" applyAlignment="1">
      <alignment horizontal="center" vertical="center"/>
    </xf>
    <xf numFmtId="0" fontId="13" fillId="10" borderId="18" xfId="0" applyFont="1" applyFill="1" applyBorder="1" applyAlignment="1">
      <alignment horizontal="center" vertical="top"/>
    </xf>
    <xf numFmtId="169" fontId="25" fillId="10" borderId="18" xfId="0" applyNumberFormat="1" applyFont="1" applyFill="1" applyBorder="1" applyAlignment="1">
      <alignment horizontal="center" vertical="center"/>
    </xf>
    <xf numFmtId="0" fontId="25" fillId="10" borderId="18" xfId="0" applyFont="1" applyFill="1" applyBorder="1" applyAlignment="1">
      <alignment horizontal="center" vertical="center"/>
    </xf>
    <xf numFmtId="166" fontId="3" fillId="10" borderId="18" xfId="3" applyNumberFormat="1" applyFont="1" applyFill="1" applyBorder="1" applyAlignment="1">
      <alignment horizontal="center" vertical="center"/>
    </xf>
    <xf numFmtId="0" fontId="14" fillId="10" borderId="40" xfId="0" applyFont="1" applyFill="1" applyBorder="1" applyAlignment="1">
      <alignment horizontal="center" vertical="center"/>
    </xf>
    <xf numFmtId="0" fontId="0" fillId="0" borderId="0" xfId="0"/>
    <xf numFmtId="0" fontId="0" fillId="0" borderId="0" xfId="0" applyAlignment="1">
      <alignment vertical="center"/>
    </xf>
    <xf numFmtId="0" fontId="3" fillId="10" borderId="23" xfId="0" applyFont="1" applyFill="1" applyBorder="1" applyAlignment="1">
      <alignment horizontal="right" vertical="center" wrapText="1"/>
    </xf>
    <xf numFmtId="0" fontId="0" fillId="0" borderId="23" xfId="0" applyBorder="1" applyAlignment="1">
      <alignment horizontal="right" vertical="center" wrapText="1"/>
    </xf>
    <xf numFmtId="0" fontId="3" fillId="0" borderId="23" xfId="0" applyFont="1" applyBorder="1" applyAlignment="1">
      <alignment horizontal="right" vertical="center" wrapText="1"/>
    </xf>
    <xf numFmtId="0" fontId="19" fillId="0" borderId="60" xfId="0" applyFont="1" applyBorder="1" applyAlignment="1">
      <alignment horizontal="left" vertical="top" indent="1"/>
    </xf>
    <xf numFmtId="164" fontId="3" fillId="3" borderId="9" xfId="2" applyNumberFormat="1" applyFont="1" applyFill="1" applyBorder="1" applyAlignment="1">
      <alignment horizontal="center" vertical="center"/>
    </xf>
    <xf numFmtId="164" fontId="3" fillId="4" borderId="9" xfId="2" applyNumberFormat="1" applyFont="1" applyFill="1" applyBorder="1" applyAlignment="1">
      <alignment horizontal="center" vertical="center"/>
    </xf>
    <xf numFmtId="0" fontId="8" fillId="12" borderId="9" xfId="0" applyFont="1" applyFill="1" applyBorder="1" applyAlignment="1">
      <alignment horizontal="center" vertical="center"/>
    </xf>
    <xf numFmtId="0" fontId="29" fillId="10" borderId="0" xfId="0" applyFont="1" applyFill="1" applyAlignment="1">
      <alignment horizontal="center" vertical="top" wrapText="1"/>
    </xf>
    <xf numFmtId="0" fontId="4" fillId="0" borderId="6" xfId="0" applyFont="1" applyBorder="1" applyAlignment="1">
      <alignment horizontal="center"/>
    </xf>
    <xf numFmtId="0" fontId="4" fillId="0" borderId="7" xfId="0" applyFont="1" applyBorder="1" applyAlignment="1">
      <alignment horizontal="center"/>
    </xf>
    <xf numFmtId="0" fontId="4" fillId="0" borderId="9" xfId="0" applyFont="1" applyBorder="1" applyAlignment="1">
      <alignment horizontal="center"/>
    </xf>
    <xf numFmtId="0" fontId="4" fillId="0" borderId="26" xfId="0" applyFont="1" applyBorder="1" applyAlignment="1">
      <alignment horizontal="center"/>
    </xf>
    <xf numFmtId="0" fontId="3" fillId="2" borderId="5" xfId="0" applyFont="1" applyFill="1" applyBorder="1" applyAlignment="1">
      <alignment horizontal="right"/>
    </xf>
    <xf numFmtId="0" fontId="3" fillId="2" borderId="6" xfId="0" applyFont="1" applyFill="1" applyBorder="1" applyAlignment="1">
      <alignment horizontal="right"/>
    </xf>
    <xf numFmtId="0" fontId="3" fillId="2" borderId="3" xfId="0" applyFont="1" applyFill="1" applyBorder="1" applyAlignment="1">
      <alignment horizontal="right"/>
    </xf>
    <xf numFmtId="0" fontId="3" fillId="2" borderId="9" xfId="0" applyFont="1" applyFill="1" applyBorder="1" applyAlignment="1">
      <alignment horizontal="right"/>
    </xf>
    <xf numFmtId="0" fontId="29" fillId="10" borderId="42" xfId="0" applyFont="1" applyFill="1" applyBorder="1" applyAlignment="1">
      <alignment horizontal="center" vertical="top" wrapText="1"/>
    </xf>
    <xf numFmtId="0" fontId="4" fillId="0" borderId="10" xfId="0" applyFont="1" applyBorder="1" applyAlignment="1">
      <alignment horizontal="center"/>
    </xf>
    <xf numFmtId="0" fontId="4" fillId="0" borderId="27" xfId="0" applyFont="1" applyBorder="1" applyAlignment="1">
      <alignment horizontal="center"/>
    </xf>
    <xf numFmtId="0" fontId="3" fillId="2" borderId="4" xfId="0" applyFont="1" applyFill="1" applyBorder="1" applyAlignment="1">
      <alignment horizontal="right"/>
    </xf>
    <xf numFmtId="0" fontId="3" fillId="2" borderId="10" xfId="0" applyFont="1" applyFill="1" applyBorder="1" applyAlignment="1">
      <alignment horizontal="right"/>
    </xf>
    <xf numFmtId="0" fontId="29" fillId="10" borderId="18" xfId="0" applyFont="1" applyFill="1" applyBorder="1" applyAlignment="1">
      <alignment horizontal="center" vertical="top" wrapText="1"/>
    </xf>
    <xf numFmtId="0" fontId="29" fillId="10" borderId="22" xfId="0" applyFont="1" applyFill="1" applyBorder="1" applyAlignment="1">
      <alignment horizontal="center" vertical="top" wrapText="1"/>
    </xf>
    <xf numFmtId="9" fontId="4" fillId="0" borderId="39" xfId="0" applyNumberFormat="1" applyFont="1" applyBorder="1" applyAlignment="1">
      <alignment horizontal="center"/>
    </xf>
    <xf numFmtId="9" fontId="4" fillId="0" borderId="40" xfId="0" applyNumberFormat="1" applyFont="1" applyBorder="1" applyAlignment="1">
      <alignment horizontal="center"/>
    </xf>
    <xf numFmtId="9" fontId="4" fillId="0" borderId="38" xfId="0" applyNumberFormat="1" applyFont="1" applyBorder="1" applyAlignment="1">
      <alignment horizontal="center"/>
    </xf>
    <xf numFmtId="0" fontId="8" fillId="11" borderId="41" xfId="0" applyFont="1" applyFill="1" applyBorder="1" applyAlignment="1">
      <alignment horizontal="center" vertical="center" wrapText="1"/>
    </xf>
    <xf numFmtId="0" fontId="8" fillId="11" borderId="50" xfId="0" applyFont="1" applyFill="1" applyBorder="1" applyAlignment="1">
      <alignment horizontal="center" vertical="center" wrapText="1"/>
    </xf>
    <xf numFmtId="0" fontId="0" fillId="0" borderId="11" xfId="0" applyBorder="1" applyAlignment="1">
      <alignment vertical="center"/>
    </xf>
    <xf numFmtId="0" fontId="63" fillId="10" borderId="0" xfId="0" applyFont="1" applyFill="1" applyAlignment="1">
      <alignment horizontal="center"/>
    </xf>
    <xf numFmtId="0" fontId="29" fillId="10" borderId="0" xfId="0" applyFont="1" applyFill="1" applyBorder="1" applyAlignment="1">
      <alignment horizontal="center" vertical="top" wrapText="1"/>
    </xf>
    <xf numFmtId="0" fontId="8" fillId="3" borderId="0" xfId="0" applyFont="1" applyFill="1" applyBorder="1" applyAlignment="1">
      <alignment horizontal="center" vertical="center" wrapText="1"/>
    </xf>
    <xf numFmtId="0" fontId="3" fillId="0" borderId="56" xfId="0" applyFont="1" applyBorder="1" applyAlignment="1">
      <alignment horizontal="center" vertical="center"/>
    </xf>
    <xf numFmtId="0" fontId="3" fillId="0" borderId="60" xfId="0" applyFont="1" applyBorder="1" applyAlignment="1">
      <alignment horizontal="center" vertical="center"/>
    </xf>
    <xf numFmtId="0" fontId="3" fillId="0" borderId="57" xfId="0" applyFont="1" applyBorder="1" applyAlignment="1">
      <alignment horizontal="center" vertical="center"/>
    </xf>
    <xf numFmtId="0" fontId="26" fillId="17" borderId="41" xfId="0" applyFont="1" applyFill="1" applyBorder="1" applyAlignment="1" applyProtection="1">
      <alignment horizontal="center"/>
    </xf>
    <xf numFmtId="0" fontId="26" fillId="17" borderId="50" xfId="0" applyFont="1" applyFill="1" applyBorder="1" applyAlignment="1" applyProtection="1">
      <alignment horizontal="center"/>
    </xf>
    <xf numFmtId="0" fontId="37" fillId="11" borderId="13" xfId="0" applyFont="1" applyFill="1" applyBorder="1" applyAlignment="1">
      <alignment horizontal="center" vertical="center"/>
    </xf>
    <xf numFmtId="0" fontId="37" fillId="11" borderId="11" xfId="0" applyFont="1" applyFill="1" applyBorder="1" applyAlignment="1">
      <alignment horizontal="center" vertical="center"/>
    </xf>
    <xf numFmtId="0" fontId="37" fillId="11" borderId="28" xfId="0" applyFont="1" applyFill="1" applyBorder="1" applyAlignment="1">
      <alignment horizontal="center" vertical="center"/>
    </xf>
    <xf numFmtId="0" fontId="0" fillId="7" borderId="9" xfId="0" applyFill="1" applyBorder="1" applyAlignment="1" applyProtection="1">
      <alignment horizontal="center"/>
      <protection locked="0"/>
    </xf>
    <xf numFmtId="179" fontId="0" fillId="7" borderId="9" xfId="0" applyNumberFormat="1" applyFill="1" applyBorder="1" applyAlignment="1" applyProtection="1">
      <alignment horizontal="center"/>
      <protection locked="0"/>
    </xf>
    <xf numFmtId="0" fontId="0" fillId="3" borderId="0" xfId="0" applyFill="1" applyAlignment="1">
      <alignment horizontal="center"/>
    </xf>
    <xf numFmtId="179" fontId="0" fillId="17" borderId="9" xfId="0" applyNumberFormat="1" applyFill="1" applyBorder="1" applyAlignment="1">
      <alignment horizontal="center"/>
    </xf>
    <xf numFmtId="0" fontId="7" fillId="23" borderId="9" xfId="0" applyFont="1" applyFill="1" applyBorder="1" applyAlignment="1">
      <alignment horizontal="center"/>
    </xf>
    <xf numFmtId="0" fontId="80" fillId="0" borderId="56" xfId="0" applyFont="1" applyBorder="1" applyAlignment="1" applyProtection="1">
      <alignment horizontal="center" vertical="center"/>
      <protection locked="0"/>
    </xf>
    <xf numFmtId="0" fontId="0" fillId="0" borderId="60" xfId="0" applyBorder="1" applyAlignment="1" applyProtection="1">
      <alignment horizontal="center" vertical="center"/>
      <protection locked="0"/>
    </xf>
    <xf numFmtId="0" fontId="0" fillId="0" borderId="57" xfId="0" applyBorder="1" applyAlignment="1" applyProtection="1">
      <alignment horizontal="center" vertical="center"/>
      <protection locked="0"/>
    </xf>
    <xf numFmtId="0" fontId="1" fillId="27" borderId="81" xfId="0" applyFont="1" applyFill="1" applyBorder="1" applyAlignment="1" applyProtection="1">
      <alignment horizontal="center"/>
    </xf>
    <xf numFmtId="0" fontId="80" fillId="0" borderId="56" xfId="0" applyFont="1" applyBorder="1" applyAlignment="1" applyProtection="1">
      <alignment horizontal="center"/>
      <protection locked="0"/>
    </xf>
    <xf numFmtId="0" fontId="0" fillId="0" borderId="60" xfId="0" applyBorder="1" applyAlignment="1" applyProtection="1">
      <alignment horizontal="center"/>
      <protection locked="0"/>
    </xf>
    <xf numFmtId="0" fontId="0" fillId="0" borderId="57" xfId="0" applyBorder="1" applyAlignment="1" applyProtection="1">
      <alignment horizontal="center"/>
      <protection locked="0"/>
    </xf>
    <xf numFmtId="0" fontId="3" fillId="0" borderId="56" xfId="0" applyFont="1" applyBorder="1" applyAlignment="1" applyProtection="1">
      <alignment horizontal="center" vertical="center"/>
      <protection locked="0"/>
    </xf>
    <xf numFmtId="0" fontId="5" fillId="0" borderId="56" xfId="0" applyFont="1" applyBorder="1" applyAlignment="1" applyProtection="1">
      <alignment horizontal="center" vertical="center"/>
      <protection locked="0"/>
    </xf>
    <xf numFmtId="0" fontId="3" fillId="0" borderId="60" xfId="0" applyFont="1" applyBorder="1" applyAlignment="1" applyProtection="1">
      <alignment horizontal="center" vertical="center"/>
      <protection locked="0"/>
    </xf>
    <xf numFmtId="0" fontId="3" fillId="0" borderId="57" xfId="0" applyFont="1" applyBorder="1" applyAlignment="1" applyProtection="1">
      <alignment horizontal="center" vertical="center"/>
      <protection locked="0"/>
    </xf>
    <xf numFmtId="43" fontId="4" fillId="7" borderId="41" xfId="0" applyNumberFormat="1" applyFont="1" applyFill="1" applyBorder="1" applyAlignment="1">
      <alignment horizontal="center"/>
    </xf>
    <xf numFmtId="43" fontId="4" fillId="7" borderId="42" xfId="0" applyNumberFormat="1" applyFont="1" applyFill="1" applyBorder="1" applyAlignment="1">
      <alignment horizontal="center"/>
    </xf>
    <xf numFmtId="43" fontId="4" fillId="7" borderId="50" xfId="0" applyNumberFormat="1" applyFont="1" applyFill="1" applyBorder="1" applyAlignment="1">
      <alignment horizontal="center"/>
    </xf>
    <xf numFmtId="0" fontId="4" fillId="0" borderId="0" xfId="0" applyFont="1" applyAlignment="1">
      <alignment horizontal="center"/>
    </xf>
    <xf numFmtId="0" fontId="21" fillId="16" borderId="9" xfId="0" applyFont="1" applyFill="1" applyBorder="1" applyAlignment="1">
      <alignment horizontal="center"/>
    </xf>
    <xf numFmtId="0" fontId="0" fillId="0" borderId="9" xfId="0" applyBorder="1" applyAlignment="1">
      <alignment horizontal="center"/>
    </xf>
    <xf numFmtId="0" fontId="0" fillId="0" borderId="41" xfId="0" applyBorder="1" applyAlignment="1">
      <alignment horizontal="center"/>
    </xf>
    <xf numFmtId="0" fontId="0" fillId="0" borderId="42" xfId="0" applyBorder="1" applyAlignment="1">
      <alignment horizontal="center"/>
    </xf>
    <xf numFmtId="0" fontId="0" fillId="0" borderId="50" xfId="0" applyBorder="1" applyAlignment="1">
      <alignment horizontal="center"/>
    </xf>
    <xf numFmtId="0" fontId="0" fillId="0" borderId="0" xfId="0" applyAlignment="1">
      <alignment horizontal="right"/>
    </xf>
    <xf numFmtId="0" fontId="42" fillId="0" borderId="0" xfId="0" applyFont="1" applyAlignment="1">
      <alignment horizontal="center" wrapText="1"/>
    </xf>
    <xf numFmtId="0" fontId="0" fillId="0" borderId="56" xfId="0" applyBorder="1" applyAlignment="1">
      <alignment horizontal="center"/>
    </xf>
    <xf numFmtId="0" fontId="0" fillId="0" borderId="57" xfId="0" applyBorder="1" applyAlignment="1">
      <alignment horizontal="center"/>
    </xf>
    <xf numFmtId="0" fontId="6" fillId="0" borderId="22" xfId="0" applyFont="1" applyBorder="1" applyAlignment="1">
      <alignment horizontal="center"/>
    </xf>
    <xf numFmtId="0" fontId="9" fillId="30" borderId="0" xfId="0" applyFont="1" applyFill="1" applyAlignment="1">
      <alignment horizontal="center"/>
    </xf>
    <xf numFmtId="0" fontId="0" fillId="0" borderId="0" xfId="0" quotePrefix="1" applyAlignment="1">
      <alignment horizontal="left" wrapText="1"/>
    </xf>
    <xf numFmtId="0" fontId="0" fillId="0" borderId="0" xfId="0" applyAlignment="1">
      <alignment horizontal="left"/>
    </xf>
    <xf numFmtId="14" fontId="0" fillId="0" borderId="0" xfId="0" applyNumberFormat="1" applyAlignment="1">
      <alignment horizontal="left"/>
    </xf>
    <xf numFmtId="0" fontId="58" fillId="24" borderId="0" xfId="0" applyFont="1" applyFill="1" applyAlignment="1">
      <alignment horizontal="center"/>
    </xf>
    <xf numFmtId="0" fontId="0" fillId="20" borderId="0" xfId="0" applyFill="1" applyAlignment="1">
      <alignment horizontal="center"/>
    </xf>
    <xf numFmtId="0" fontId="58" fillId="23" borderId="13" xfId="0" applyFont="1" applyFill="1" applyBorder="1" applyAlignment="1">
      <alignment horizontal="center"/>
    </xf>
    <xf numFmtId="0" fontId="58" fillId="23" borderId="11" xfId="0" applyFont="1" applyFill="1" applyBorder="1" applyAlignment="1">
      <alignment horizontal="center"/>
    </xf>
    <xf numFmtId="0" fontId="58" fillId="23" borderId="28" xfId="0" applyFont="1" applyFill="1" applyBorder="1" applyAlignment="1">
      <alignment horizontal="center"/>
    </xf>
    <xf numFmtId="0" fontId="0" fillId="0" borderId="0" xfId="0" applyAlignment="1">
      <alignment horizontal="left" wrapText="1"/>
    </xf>
    <xf numFmtId="172" fontId="0" fillId="0" borderId="0" xfId="0" applyNumberFormat="1" applyAlignment="1">
      <alignment horizontal="left"/>
    </xf>
    <xf numFmtId="44" fontId="0" fillId="0" borderId="0" xfId="3" applyFont="1" applyAlignment="1">
      <alignment horizontal="left"/>
    </xf>
    <xf numFmtId="0" fontId="6" fillId="23" borderId="56" xfId="0" applyFont="1" applyFill="1" applyBorder="1" applyAlignment="1">
      <alignment horizontal="center"/>
    </xf>
    <xf numFmtId="0" fontId="6" fillId="23" borderId="60" xfId="0" applyFont="1" applyFill="1" applyBorder="1" applyAlignment="1">
      <alignment horizontal="center"/>
    </xf>
    <xf numFmtId="0" fontId="6" fillId="23" borderId="57" xfId="0" applyFont="1" applyFill="1" applyBorder="1" applyAlignment="1">
      <alignment horizontal="center"/>
    </xf>
    <xf numFmtId="0" fontId="73" fillId="23" borderId="56" xfId="0" applyFont="1" applyFill="1" applyBorder="1" applyAlignment="1">
      <alignment horizontal="center"/>
    </xf>
    <xf numFmtId="0" fontId="73" fillId="23" borderId="60" xfId="0" applyFont="1" applyFill="1" applyBorder="1" applyAlignment="1">
      <alignment horizontal="center"/>
    </xf>
    <xf numFmtId="0" fontId="73" fillId="23" borderId="57" xfId="0" applyFont="1" applyFill="1" applyBorder="1" applyAlignment="1">
      <alignment horizontal="center"/>
    </xf>
    <xf numFmtId="0" fontId="0" fillId="0" borderId="2" xfId="0" applyBorder="1" applyAlignment="1">
      <alignment horizontal="left"/>
    </xf>
    <xf numFmtId="0" fontId="3" fillId="24" borderId="13" xfId="0" applyFont="1" applyFill="1" applyBorder="1" applyAlignment="1">
      <alignment horizontal="center"/>
    </xf>
    <xf numFmtId="0" fontId="3" fillId="24" borderId="11" xfId="0" applyFont="1" applyFill="1" applyBorder="1" applyAlignment="1">
      <alignment horizontal="center"/>
    </xf>
    <xf numFmtId="0" fontId="3" fillId="24" borderId="28" xfId="0" applyFont="1" applyFill="1" applyBorder="1" applyAlignment="1">
      <alignment horizontal="center"/>
    </xf>
    <xf numFmtId="0" fontId="3" fillId="28" borderId="56" xfId="0" applyFont="1" applyFill="1" applyBorder="1" applyAlignment="1">
      <alignment horizontal="center"/>
    </xf>
    <xf numFmtId="0" fontId="3" fillId="28" borderId="60" xfId="0" applyFont="1" applyFill="1" applyBorder="1" applyAlignment="1">
      <alignment horizontal="center"/>
    </xf>
    <xf numFmtId="0" fontId="3" fillId="28" borderId="57" xfId="0" applyFont="1" applyFill="1" applyBorder="1" applyAlignment="1">
      <alignment horizontal="center"/>
    </xf>
    <xf numFmtId="0" fontId="44" fillId="28" borderId="56" xfId="0" applyFont="1" applyFill="1" applyBorder="1" applyAlignment="1">
      <alignment horizontal="center"/>
    </xf>
    <xf numFmtId="0" fontId="44" fillId="28" borderId="60" xfId="0" applyFont="1" applyFill="1" applyBorder="1" applyAlignment="1">
      <alignment horizontal="center"/>
    </xf>
    <xf numFmtId="0" fontId="44" fillId="28" borderId="57" xfId="0" applyFont="1" applyFill="1" applyBorder="1" applyAlignment="1">
      <alignment horizontal="center"/>
    </xf>
    <xf numFmtId="0" fontId="6" fillId="23" borderId="15" xfId="0" applyFont="1" applyFill="1" applyBorder="1" applyAlignment="1">
      <alignment horizontal="center"/>
    </xf>
    <xf numFmtId="0" fontId="6" fillId="23" borderId="2" xfId="0" applyFont="1" applyFill="1" applyBorder="1" applyAlignment="1">
      <alignment horizontal="center"/>
    </xf>
    <xf numFmtId="0" fontId="6" fillId="23" borderId="30" xfId="0" applyFont="1" applyFill="1" applyBorder="1" applyAlignment="1">
      <alignment horizontal="center"/>
    </xf>
    <xf numFmtId="0" fontId="3" fillId="23" borderId="56" xfId="0" applyFont="1" applyFill="1" applyBorder="1" applyAlignment="1">
      <alignment horizontal="center"/>
    </xf>
    <xf numFmtId="0" fontId="3" fillId="23" borderId="60" xfId="0" applyFont="1" applyFill="1" applyBorder="1" applyAlignment="1">
      <alignment horizontal="center"/>
    </xf>
    <xf numFmtId="0" fontId="3" fillId="23" borderId="57" xfId="0" applyFont="1" applyFill="1" applyBorder="1" applyAlignment="1">
      <alignment horizontal="center"/>
    </xf>
    <xf numFmtId="0" fontId="3" fillId="28" borderId="13" xfId="0" applyFont="1" applyFill="1" applyBorder="1" applyAlignment="1">
      <alignment horizontal="center"/>
    </xf>
    <xf numFmtId="0" fontId="3" fillId="28" borderId="11" xfId="0" applyFont="1" applyFill="1" applyBorder="1" applyAlignment="1">
      <alignment horizontal="center"/>
    </xf>
    <xf numFmtId="0" fontId="3" fillId="28" borderId="28" xfId="0" applyFont="1" applyFill="1" applyBorder="1" applyAlignment="1">
      <alignment horizontal="center"/>
    </xf>
    <xf numFmtId="0" fontId="3" fillId="28" borderId="15" xfId="0" applyFont="1" applyFill="1" applyBorder="1" applyAlignment="1">
      <alignment horizontal="center"/>
    </xf>
    <xf numFmtId="0" fontId="3" fillId="28" borderId="2" xfId="0" applyFont="1" applyFill="1" applyBorder="1" applyAlignment="1">
      <alignment horizontal="center"/>
    </xf>
    <xf numFmtId="0" fontId="3" fillId="28" borderId="30" xfId="0" applyFont="1" applyFill="1" applyBorder="1" applyAlignment="1">
      <alignment horizontal="center"/>
    </xf>
    <xf numFmtId="0" fontId="0" fillId="16" borderId="0" xfId="0" applyFill="1" applyAlignment="1">
      <alignment horizontal="left"/>
    </xf>
    <xf numFmtId="0" fontId="0" fillId="16" borderId="29" xfId="0" applyFill="1" applyBorder="1" applyAlignment="1">
      <alignment horizontal="left"/>
    </xf>
    <xf numFmtId="0" fontId="37" fillId="15" borderId="65" xfId="0" applyFont="1" applyFill="1" applyBorder="1" applyAlignment="1">
      <alignment horizontal="center"/>
    </xf>
    <xf numFmtId="0" fontId="37" fillId="15" borderId="42" xfId="0" applyFont="1" applyFill="1" applyBorder="1" applyAlignment="1">
      <alignment horizontal="center"/>
    </xf>
    <xf numFmtId="0" fontId="37" fillId="15" borderId="37" xfId="0" applyFont="1" applyFill="1" applyBorder="1" applyAlignment="1">
      <alignment horizontal="center"/>
    </xf>
    <xf numFmtId="0" fontId="0" fillId="0" borderId="34" xfId="0" applyBorder="1" applyAlignment="1">
      <alignment horizontal="center"/>
    </xf>
    <xf numFmtId="0" fontId="0" fillId="0" borderId="43" xfId="0" applyBorder="1" applyAlignment="1">
      <alignment horizontal="center"/>
    </xf>
    <xf numFmtId="0" fontId="0" fillId="0" borderId="70" xfId="0" applyBorder="1" applyAlignment="1">
      <alignment horizontal="center"/>
    </xf>
    <xf numFmtId="0" fontId="9" fillId="3" borderId="51" xfId="0" applyFont="1" applyFill="1" applyBorder="1" applyAlignment="1">
      <alignment horizontal="left" indent="1"/>
    </xf>
    <xf numFmtId="0" fontId="9" fillId="3" borderId="60" xfId="0" applyFont="1" applyFill="1" applyBorder="1" applyAlignment="1">
      <alignment horizontal="left" indent="1"/>
    </xf>
    <xf numFmtId="0" fontId="9" fillId="3" borderId="64" xfId="0" applyFont="1" applyFill="1" applyBorder="1" applyAlignment="1">
      <alignment horizontal="left" indent="1"/>
    </xf>
    <xf numFmtId="0" fontId="0" fillId="0" borderId="39" xfId="0" applyBorder="1"/>
    <xf numFmtId="0" fontId="0" fillId="0" borderId="40" xfId="0" applyBorder="1"/>
    <xf numFmtId="0" fontId="0" fillId="0" borderId="38" xfId="0" applyBorder="1"/>
    <xf numFmtId="0" fontId="0" fillId="0" borderId="41" xfId="0" applyBorder="1"/>
    <xf numFmtId="0" fontId="0" fillId="0" borderId="42" xfId="0" applyBorder="1"/>
    <xf numFmtId="0" fontId="0" fillId="0" borderId="37" xfId="0" applyBorder="1"/>
    <xf numFmtId="0" fontId="0" fillId="0" borderId="34" xfId="0" applyBorder="1"/>
    <xf numFmtId="0" fontId="0" fillId="0" borderId="43" xfId="0" applyBorder="1"/>
    <xf numFmtId="0" fontId="0" fillId="0" borderId="35" xfId="0" applyBorder="1"/>
    <xf numFmtId="0" fontId="9" fillId="3" borderId="57" xfId="0" applyFont="1" applyFill="1" applyBorder="1" applyAlignment="1">
      <alignment horizontal="left" indent="1"/>
    </xf>
    <xf numFmtId="0" fontId="0" fillId="0" borderId="39" xfId="0" applyBorder="1" applyAlignment="1">
      <alignment horizontal="center"/>
    </xf>
    <xf numFmtId="0" fontId="0" fillId="0" borderId="40" xfId="0" applyBorder="1" applyAlignment="1">
      <alignment horizontal="center"/>
    </xf>
    <xf numFmtId="0" fontId="0" fillId="0" borderId="66" xfId="0" applyBorder="1" applyAlignment="1">
      <alignment horizontal="center"/>
    </xf>
    <xf numFmtId="0" fontId="0" fillId="0" borderId="9" xfId="0" applyBorder="1"/>
    <xf numFmtId="0" fontId="0" fillId="0" borderId="6" xfId="0" applyBorder="1"/>
    <xf numFmtId="0" fontId="0" fillId="0" borderId="39" xfId="0" applyBorder="1" applyAlignment="1">
      <alignment horizontal="left" indent="1"/>
    </xf>
    <xf numFmtId="0" fontId="0" fillId="0" borderId="40" xfId="0" applyBorder="1" applyAlignment="1">
      <alignment horizontal="left" indent="1"/>
    </xf>
    <xf numFmtId="0" fontId="0" fillId="0" borderId="66" xfId="0" applyBorder="1" applyAlignment="1">
      <alignment horizontal="left" indent="1"/>
    </xf>
    <xf numFmtId="0" fontId="0" fillId="0" borderId="41" xfId="0" applyBorder="1" applyAlignment="1">
      <alignment horizontal="left" indent="1"/>
    </xf>
    <xf numFmtId="0" fontId="0" fillId="0" borderId="42" xfId="0" applyBorder="1" applyAlignment="1">
      <alignment horizontal="left" indent="1"/>
    </xf>
    <xf numFmtId="0" fontId="0" fillId="0" borderId="50" xfId="0" applyBorder="1" applyAlignment="1">
      <alignment horizontal="left" indent="1"/>
    </xf>
    <xf numFmtId="0" fontId="0" fillId="0" borderId="34" xfId="0" applyBorder="1" applyAlignment="1">
      <alignment horizontal="left" indent="1"/>
    </xf>
    <xf numFmtId="0" fontId="0" fillId="0" borderId="43" xfId="0" applyBorder="1" applyAlignment="1">
      <alignment horizontal="left" indent="1"/>
    </xf>
    <xf numFmtId="0" fontId="0" fillId="0" borderId="70" xfId="0" applyBorder="1" applyAlignment="1">
      <alignment horizontal="left" indent="1"/>
    </xf>
    <xf numFmtId="0" fontId="0" fillId="0" borderId="10" xfId="0" applyBorder="1"/>
    <xf numFmtId="0" fontId="0" fillId="0" borderId="10" xfId="0" applyBorder="1" applyAlignment="1">
      <alignment horizontal="right"/>
    </xf>
    <xf numFmtId="0" fontId="0" fillId="0" borderId="9" xfId="0" applyBorder="1" applyAlignment="1">
      <alignment horizontal="right"/>
    </xf>
    <xf numFmtId="0" fontId="0" fillId="0" borderId="6" xfId="0" applyBorder="1" applyAlignment="1">
      <alignment horizontal="right"/>
    </xf>
    <xf numFmtId="0" fontId="9" fillId="3" borderId="56" xfId="0" applyFont="1" applyFill="1" applyBorder="1" applyAlignment="1">
      <alignment horizontal="left" indent="1"/>
    </xf>
    <xf numFmtId="0" fontId="47" fillId="0" borderId="14" xfId="0" applyFont="1" applyBorder="1" applyAlignment="1">
      <alignment horizontal="center"/>
    </xf>
    <xf numFmtId="0" fontId="47" fillId="0" borderId="0" xfId="0" applyFont="1" applyAlignment="1">
      <alignment horizontal="center"/>
    </xf>
    <xf numFmtId="0" fontId="47" fillId="0" borderId="29" xfId="0" applyFont="1" applyBorder="1" applyAlignment="1">
      <alignment horizontal="center"/>
    </xf>
    <xf numFmtId="0" fontId="0" fillId="0" borderId="14" xfId="0" applyBorder="1" applyAlignment="1">
      <alignment horizontal="center"/>
    </xf>
    <xf numFmtId="0" fontId="0" fillId="0" borderId="0" xfId="0" applyAlignment="1">
      <alignment horizontal="center"/>
    </xf>
    <xf numFmtId="0" fontId="0" fillId="0" borderId="29" xfId="0" applyBorder="1" applyAlignment="1">
      <alignment horizontal="center"/>
    </xf>
    <xf numFmtId="0" fontId="0" fillId="0" borderId="22" xfId="0" applyBorder="1" applyAlignment="1">
      <alignment horizontal="center"/>
    </xf>
    <xf numFmtId="0" fontId="0" fillId="10" borderId="42" xfId="0" applyFill="1" applyBorder="1" applyAlignment="1">
      <alignment horizontal="center"/>
    </xf>
    <xf numFmtId="0" fontId="41" fillId="0" borderId="22" xfId="0" applyFont="1" applyBorder="1" applyAlignment="1">
      <alignment horizontal="center"/>
    </xf>
    <xf numFmtId="0" fontId="0" fillId="3" borderId="0" xfId="0" applyFill="1" applyAlignment="1">
      <alignment horizontal="right"/>
    </xf>
    <xf numFmtId="0" fontId="0" fillId="10" borderId="22" xfId="0" applyFill="1" applyBorder="1" applyAlignment="1">
      <alignment horizontal="left"/>
    </xf>
    <xf numFmtId="0" fontId="0" fillId="10" borderId="22" xfId="0" applyFill="1" applyBorder="1" applyAlignment="1">
      <alignment horizontal="left" wrapText="1"/>
    </xf>
    <xf numFmtId="0" fontId="0" fillId="3" borderId="14" xfId="0" applyFill="1" applyBorder="1" applyAlignment="1">
      <alignment horizontal="right"/>
    </xf>
    <xf numFmtId="0" fontId="10" fillId="3" borderId="14" xfId="0" applyFont="1" applyFill="1" applyBorder="1" applyAlignment="1">
      <alignment horizontal="right"/>
    </xf>
    <xf numFmtId="0" fontId="10" fillId="3" borderId="0" xfId="0" applyFont="1" applyFill="1" applyAlignment="1">
      <alignment horizontal="right"/>
    </xf>
    <xf numFmtId="0" fontId="46" fillId="0" borderId="0" xfId="0" applyFont="1" applyAlignment="1">
      <alignment horizontal="center"/>
    </xf>
    <xf numFmtId="0" fontId="0" fillId="3" borderId="0" xfId="0" applyFill="1" applyAlignment="1">
      <alignment horizontal="left"/>
    </xf>
    <xf numFmtId="14" fontId="0" fillId="10" borderId="22" xfId="0" applyNumberFormat="1" applyFill="1" applyBorder="1" applyAlignment="1">
      <alignment horizontal="center"/>
    </xf>
    <xf numFmtId="14" fontId="0" fillId="20" borderId="22" xfId="0" applyNumberFormat="1" applyFill="1" applyBorder="1" applyAlignment="1">
      <alignment horizontal="left"/>
    </xf>
    <xf numFmtId="0" fontId="0" fillId="0" borderId="14" xfId="0" applyBorder="1" applyAlignment="1">
      <alignment horizontal="right"/>
    </xf>
    <xf numFmtId="0" fontId="0" fillId="10" borderId="22" xfId="0" applyFill="1" applyBorder="1" applyAlignment="1">
      <alignment horizontal="center"/>
    </xf>
    <xf numFmtId="14" fontId="0" fillId="10" borderId="22" xfId="0" applyNumberFormat="1" applyFill="1" applyBorder="1" applyAlignment="1">
      <alignment horizontal="left"/>
    </xf>
    <xf numFmtId="44" fontId="0" fillId="10" borderId="22" xfId="3" applyFont="1" applyFill="1" applyBorder="1" applyAlignment="1">
      <alignment horizontal="left"/>
    </xf>
    <xf numFmtId="0" fontId="4" fillId="9" borderId="0" xfId="0" applyFont="1" applyFill="1" applyAlignment="1">
      <alignment horizontal="left"/>
    </xf>
    <xf numFmtId="0" fontId="3" fillId="0" borderId="0" xfId="0" applyFont="1" applyAlignment="1">
      <alignment horizontal="right"/>
    </xf>
    <xf numFmtId="0" fontId="0" fillId="23" borderId="14" xfId="0" applyFill="1" applyBorder="1" applyAlignment="1">
      <alignment horizontal="right"/>
    </xf>
    <xf numFmtId="0" fontId="0" fillId="23" borderId="0" xfId="0" applyFill="1" applyAlignment="1">
      <alignment horizontal="right"/>
    </xf>
    <xf numFmtId="0" fontId="0" fillId="3" borderId="29" xfId="0" applyFill="1" applyBorder="1" applyAlignment="1">
      <alignment horizontal="center"/>
    </xf>
    <xf numFmtId="173" fontId="0" fillId="10" borderId="22" xfId="1" applyNumberFormat="1" applyFont="1" applyFill="1" applyBorder="1" applyAlignment="1">
      <alignment horizontal="left"/>
    </xf>
    <xf numFmtId="9" fontId="0" fillId="10" borderId="22" xfId="2" applyFont="1" applyFill="1" applyBorder="1" applyAlignment="1">
      <alignment horizontal="center"/>
    </xf>
    <xf numFmtId="0" fontId="0" fillId="0" borderId="14" xfId="0" applyFill="1" applyBorder="1" applyAlignment="1">
      <alignment horizontal="right"/>
    </xf>
    <xf numFmtId="0" fontId="0" fillId="0" borderId="0" xfId="0" applyFill="1" applyAlignment="1">
      <alignment horizontal="right"/>
    </xf>
    <xf numFmtId="44" fontId="0" fillId="10" borderId="22" xfId="3" applyFont="1" applyFill="1" applyBorder="1" applyAlignment="1">
      <alignment horizontal="center"/>
    </xf>
    <xf numFmtId="0" fontId="43" fillId="0" borderId="22" xfId="0" applyFont="1" applyBorder="1" applyAlignment="1">
      <alignment horizontal="left"/>
    </xf>
    <xf numFmtId="0" fontId="3" fillId="0" borderId="14" xfId="0" applyFont="1" applyBorder="1" applyAlignment="1">
      <alignment horizontal="right"/>
    </xf>
    <xf numFmtId="166" fontId="0" fillId="10" borderId="22" xfId="3" applyNumberFormat="1" applyFont="1" applyFill="1" applyBorder="1" applyAlignment="1">
      <alignment horizontal="left"/>
    </xf>
    <xf numFmtId="165" fontId="0" fillId="10" borderId="22" xfId="1" applyNumberFormat="1" applyFont="1" applyFill="1" applyBorder="1" applyAlignment="1">
      <alignment horizontal="left"/>
    </xf>
    <xf numFmtId="0" fontId="37" fillId="15" borderId="55" xfId="0" applyFont="1" applyFill="1" applyBorder="1" applyAlignment="1">
      <alignment horizontal="center"/>
    </xf>
    <xf numFmtId="0" fontId="37" fillId="15" borderId="22" xfId="0" applyFont="1" applyFill="1" applyBorder="1" applyAlignment="1">
      <alignment horizontal="center"/>
    </xf>
    <xf numFmtId="0" fontId="37" fillId="15" borderId="76" xfId="0" applyFont="1" applyFill="1" applyBorder="1" applyAlignment="1">
      <alignment horizontal="center"/>
    </xf>
    <xf numFmtId="10" fontId="0" fillId="10" borderId="22" xfId="0" applyNumberFormat="1" applyFill="1" applyBorder="1" applyAlignment="1">
      <alignment horizontal="right"/>
    </xf>
    <xf numFmtId="0" fontId="3" fillId="0" borderId="71" xfId="0" applyFont="1" applyBorder="1" applyAlignment="1">
      <alignment horizontal="center"/>
    </xf>
    <xf numFmtId="0" fontId="3" fillId="0" borderId="18" xfId="0" applyFont="1" applyBorder="1" applyAlignment="1">
      <alignment horizontal="center"/>
    </xf>
    <xf numFmtId="0" fontId="3" fillId="0" borderId="72" xfId="0" applyFont="1" applyBorder="1" applyAlignment="1">
      <alignment horizontal="center"/>
    </xf>
    <xf numFmtId="8" fontId="0" fillId="10" borderId="22" xfId="3" applyNumberFormat="1" applyFont="1" applyFill="1" applyBorder="1" applyAlignment="1">
      <alignment horizontal="right"/>
    </xf>
    <xf numFmtId="44" fontId="0" fillId="10" borderId="22" xfId="3" applyFont="1" applyFill="1" applyBorder="1" applyAlignment="1">
      <alignment horizontal="right"/>
    </xf>
    <xf numFmtId="0" fontId="0" fillId="0" borderId="5" xfId="0" applyBorder="1"/>
    <xf numFmtId="0" fontId="0" fillId="0" borderId="7" xfId="0" applyBorder="1"/>
    <xf numFmtId="0" fontId="0" fillId="0" borderId="3" xfId="0" applyBorder="1"/>
    <xf numFmtId="0" fontId="0" fillId="0" borderId="26" xfId="0" applyBorder="1"/>
    <xf numFmtId="0" fontId="66" fillId="0" borderId="24" xfId="0" applyFont="1" applyBorder="1" applyAlignment="1">
      <alignment horizontal="center" wrapText="1"/>
    </xf>
    <xf numFmtId="0" fontId="66" fillId="0" borderId="45" xfId="0" applyFont="1" applyBorder="1" applyAlignment="1">
      <alignment horizontal="center" wrapText="1"/>
    </xf>
    <xf numFmtId="0" fontId="0" fillId="0" borderId="8" xfId="0" applyBorder="1" applyAlignment="1">
      <alignment horizontal="center"/>
    </xf>
    <xf numFmtId="9" fontId="0" fillId="0" borderId="68" xfId="0" applyNumberFormat="1" applyBorder="1" applyAlignment="1">
      <alignment horizontal="center"/>
    </xf>
    <xf numFmtId="0" fontId="0" fillId="0" borderId="67" xfId="0" applyBorder="1" applyAlignment="1">
      <alignment horizontal="center"/>
    </xf>
    <xf numFmtId="9" fontId="0" fillId="0" borderId="44" xfId="0" applyNumberFormat="1" applyBorder="1" applyAlignment="1">
      <alignment horizontal="center"/>
    </xf>
    <xf numFmtId="9" fontId="0" fillId="0" borderId="3" xfId="0" applyNumberFormat="1" applyBorder="1" applyAlignment="1">
      <alignment horizontal="center"/>
    </xf>
    <xf numFmtId="0" fontId="0" fillId="0" borderId="68" xfId="0" applyBorder="1"/>
    <xf numFmtId="0" fontId="0" fillId="0" borderId="67" xfId="0" applyBorder="1"/>
    <xf numFmtId="0" fontId="0" fillId="0" borderId="69" xfId="0" applyBorder="1"/>
    <xf numFmtId="0" fontId="0" fillId="0" borderId="50" xfId="0" applyBorder="1"/>
    <xf numFmtId="0" fontId="0" fillId="0" borderId="73" xfId="0" applyBorder="1"/>
    <xf numFmtId="0" fontId="0" fillId="0" borderId="74" xfId="0" applyBorder="1"/>
    <xf numFmtId="0" fontId="0" fillId="0" borderId="77" xfId="0" applyBorder="1"/>
    <xf numFmtId="0" fontId="0" fillId="0" borderId="21" xfId="0" applyBorder="1"/>
    <xf numFmtId="0" fontId="0" fillId="0" borderId="22" xfId="0" applyBorder="1"/>
    <xf numFmtId="0" fontId="0" fillId="0" borderId="1" xfId="0" applyBorder="1"/>
    <xf numFmtId="0" fontId="3" fillId="0" borderId="62" xfId="0" applyFont="1" applyBorder="1" applyAlignment="1">
      <alignment horizontal="right" indent="1"/>
    </xf>
    <xf numFmtId="0" fontId="3" fillId="0" borderId="63" xfId="0" applyFont="1" applyBorder="1" applyAlignment="1">
      <alignment horizontal="right" indent="1"/>
    </xf>
    <xf numFmtId="0" fontId="3" fillId="0" borderId="53" xfId="0" applyFont="1" applyBorder="1" applyAlignment="1">
      <alignment horizontal="right" indent="1"/>
    </xf>
    <xf numFmtId="165" fontId="3" fillId="0" borderId="62" xfId="1" applyNumberFormat="1" applyFont="1" applyBorder="1" applyAlignment="1">
      <alignment horizontal="center"/>
    </xf>
    <xf numFmtId="165" fontId="3" fillId="0" borderId="63" xfId="1" applyNumberFormat="1" applyFont="1" applyBorder="1" applyAlignment="1">
      <alignment horizontal="center"/>
    </xf>
    <xf numFmtId="0" fontId="3" fillId="0" borderId="61" xfId="0" applyFont="1" applyBorder="1"/>
    <xf numFmtId="0" fontId="3" fillId="0" borderId="2" xfId="0" applyFont="1" applyBorder="1"/>
    <xf numFmtId="0" fontId="3" fillId="0" borderId="59" xfId="0" applyFont="1" applyBorder="1"/>
    <xf numFmtId="0" fontId="3" fillId="0" borderId="30" xfId="0" applyFont="1" applyBorder="1"/>
    <xf numFmtId="0" fontId="0" fillId="0" borderId="75" xfId="0" applyBorder="1"/>
    <xf numFmtId="0" fontId="66" fillId="0" borderId="25" xfId="0" applyFont="1" applyBorder="1" applyAlignment="1">
      <alignment horizontal="center" wrapText="1"/>
    </xf>
    <xf numFmtId="0" fontId="0" fillId="0" borderId="76" xfId="0" applyBorder="1"/>
    <xf numFmtId="0" fontId="3" fillId="13" borderId="14" xfId="0" applyFont="1" applyFill="1" applyBorder="1" applyAlignment="1">
      <alignment horizontal="center"/>
    </xf>
    <xf numFmtId="0" fontId="3" fillId="13" borderId="29" xfId="0" applyFont="1" applyFill="1" applyBorder="1" applyAlignment="1">
      <alignment horizontal="center"/>
    </xf>
    <xf numFmtId="0" fontId="6" fillId="3" borderId="13" xfId="0" applyFont="1" applyFill="1" applyBorder="1" applyAlignment="1">
      <alignment horizontal="center"/>
    </xf>
    <xf numFmtId="0" fontId="6" fillId="3" borderId="28" xfId="0" applyFont="1" applyFill="1" applyBorder="1" applyAlignment="1">
      <alignment horizontal="center"/>
    </xf>
  </cellXfs>
  <cellStyles count="8">
    <cellStyle name="Comma" xfId="1" builtinId="3"/>
    <cellStyle name="Currency" xfId="3" builtinId="4"/>
    <cellStyle name="Normal" xfId="0" builtinId="0"/>
    <cellStyle name="Normal 2" xfId="5" xr:uid="{00000000-0005-0000-0000-000003000000}"/>
    <cellStyle name="Normal 3" xfId="4" xr:uid="{00000000-0005-0000-0000-000004000000}"/>
    <cellStyle name="Normal 7" xfId="6" xr:uid="{22FCA84C-C632-4619-8653-DC8E1A80F9FC}"/>
    <cellStyle name="Percent" xfId="2" builtinId="5"/>
    <cellStyle name="Percent 3 2" xfId="7" xr:uid="{D4F0B5F8-58CD-48E6-8DF0-3DE5B80526C3}"/>
  </cellStyles>
  <dxfs count="413">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9B9B"/>
        </patternFill>
      </fill>
    </dxf>
    <dxf>
      <font>
        <b/>
        <i val="0"/>
      </font>
      <fill>
        <patternFill>
          <bgColor rgb="FFFF0000"/>
        </patternFill>
      </fill>
    </dxf>
    <dxf>
      <fill>
        <patternFill>
          <bgColor rgb="FFFFFF00"/>
        </patternFill>
      </fill>
    </dxf>
    <dxf>
      <fill>
        <patternFill>
          <bgColor theme="8" tint="0.59996337778862885"/>
        </patternFill>
      </fill>
    </dxf>
    <dxf>
      <font>
        <color theme="0"/>
      </font>
      <fill>
        <patternFill patternType="none">
          <bgColor auto="1"/>
        </patternFill>
      </fill>
      <border>
        <left/>
        <right/>
        <top/>
        <bottom/>
        <vertical/>
        <horizontal/>
      </border>
    </dxf>
    <dxf>
      <font>
        <color theme="0"/>
      </font>
    </dxf>
    <dxf>
      <font>
        <color theme="0"/>
      </font>
      <fill>
        <patternFill patternType="none">
          <bgColor auto="1"/>
        </patternFill>
      </fill>
      <border>
        <left/>
        <right/>
        <top/>
        <bottom/>
        <vertical/>
        <horizontal/>
      </border>
    </dxf>
    <dxf>
      <font>
        <color theme="0"/>
      </font>
    </dxf>
    <dxf>
      <font>
        <color theme="0"/>
      </font>
    </dxf>
    <dxf>
      <font>
        <color theme="0"/>
      </font>
    </dxf>
    <dxf>
      <fill>
        <patternFill patternType="none">
          <bgColor auto="1"/>
        </patternFill>
      </fill>
    </dxf>
    <dxf>
      <fill>
        <patternFill patternType="none">
          <bgColor auto="1"/>
        </patternFill>
      </fill>
    </dxf>
    <dxf>
      <fill>
        <patternFill>
          <bgColor rgb="FFFFCCCC"/>
        </patternFill>
      </fill>
    </dxf>
    <dxf>
      <fill>
        <patternFill>
          <bgColor rgb="FFFFCCCC"/>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8" tint="0.39994506668294322"/>
        </patternFill>
      </fill>
    </dxf>
    <dxf>
      <fill>
        <patternFill>
          <bgColor rgb="FFFFFF00"/>
        </patternFill>
      </fill>
    </dxf>
    <dxf>
      <fill>
        <patternFill>
          <bgColor rgb="FFFFFF00"/>
        </patternFill>
      </fill>
    </dxf>
    <dxf>
      <font>
        <b/>
        <i val="0"/>
        <color theme="1"/>
      </font>
      <fill>
        <patternFill>
          <bgColor theme="9" tint="0.39994506668294322"/>
        </patternFill>
      </fill>
    </dxf>
    <dxf>
      <font>
        <color theme="1"/>
      </font>
      <fill>
        <patternFill>
          <bgColor rgb="FFFFFF00"/>
        </patternFill>
      </fill>
    </dxf>
    <dxf>
      <font>
        <b val="0"/>
        <i val="0"/>
        <strike/>
      </font>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ill>
        <patternFill>
          <bgColor rgb="FFFF0000"/>
        </patternFill>
      </fill>
    </dxf>
    <dxf>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strike/>
      </font>
      <fill>
        <patternFill>
          <bgColor rgb="FFFF0000"/>
        </patternFill>
      </fill>
    </dxf>
    <dxf>
      <font>
        <color auto="1"/>
      </font>
    </dxf>
    <dxf>
      <font>
        <color auto="1"/>
      </font>
      <fill>
        <patternFill>
          <bgColor rgb="FFFFFF00"/>
        </patternFill>
      </fill>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ill>
        <patternFill>
          <bgColor theme="5" tint="0.39994506668294322"/>
        </patternFill>
      </fill>
    </dxf>
    <dxf>
      <font>
        <b/>
        <i val="0"/>
        <color theme="1"/>
      </font>
      <fill>
        <patternFill>
          <bgColor rgb="FFFF0000"/>
        </patternFill>
      </fill>
    </dxf>
    <dxf>
      <font>
        <color theme="0"/>
      </font>
      <fill>
        <patternFill>
          <bgColor theme="0"/>
        </patternFill>
      </fill>
      <border>
        <left/>
        <right/>
        <top/>
        <bottom/>
        <vertical/>
        <horizontal/>
      </border>
    </dxf>
    <dxf>
      <border>
        <bottom style="thin">
          <color auto="1"/>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theme="0"/>
      </font>
      <fill>
        <patternFill>
          <bgColor theme="0"/>
        </patternFill>
      </fill>
      <border>
        <left/>
        <right/>
        <top/>
        <bottom/>
        <vertical/>
        <horizontal/>
      </border>
    </dxf>
    <dxf>
      <font>
        <color rgb="FFFF0000"/>
      </font>
      <fill>
        <patternFill>
          <bgColor rgb="FFFF0000"/>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0"/>
      </font>
      <fill>
        <patternFill>
          <bgColor theme="0"/>
        </patternFill>
      </fill>
      <border>
        <left/>
        <right/>
        <top/>
        <bottom/>
      </border>
    </dxf>
    <dxf>
      <fill>
        <patternFill>
          <bgColor rgb="FFFF0000"/>
        </patternFill>
      </fill>
    </dxf>
    <dxf>
      <font>
        <b/>
        <i val="0"/>
        <color theme="9"/>
      </font>
      <fill>
        <patternFill>
          <bgColor theme="9"/>
        </patternFill>
      </fill>
    </dxf>
    <dxf>
      <font>
        <color rgb="FFFFFF00"/>
      </font>
      <fill>
        <patternFill>
          <bgColor rgb="FFFFFF00"/>
        </patternFill>
      </fill>
    </dxf>
    <dxf>
      <font>
        <b/>
        <i val="0"/>
        <color rgb="FFFF0000"/>
      </font>
      <fill>
        <patternFill>
          <bgColor rgb="FFFF0000"/>
        </patternFill>
      </fill>
    </dxf>
    <dxf>
      <font>
        <color rgb="FFFF0000"/>
      </font>
      <fill>
        <patternFill>
          <bgColor rgb="FFFF0000"/>
        </patternFill>
      </fill>
    </dxf>
    <dxf>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auto="1"/>
      </font>
      <fill>
        <patternFill>
          <bgColor theme="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auto="1"/>
        </left>
        <right style="thin">
          <color auto="1"/>
        </right>
        <top style="thin">
          <color auto="1"/>
        </top>
        <bottom style="thin">
          <color auto="1"/>
        </bottom>
        <vertical/>
        <horizontal/>
      </border>
    </dxf>
    <dxf>
      <font>
        <color theme="0"/>
      </font>
      <fill>
        <patternFill>
          <bgColor theme="0"/>
        </patternFill>
      </fill>
      <border>
        <left/>
        <right/>
        <top/>
        <bottom/>
        <vertical/>
        <horizontal/>
      </border>
    </dxf>
    <dxf>
      <font>
        <color theme="9"/>
      </font>
      <fill>
        <patternFill>
          <bgColor theme="9"/>
        </patternFill>
      </fill>
      <border>
        <left style="thin">
          <color auto="1"/>
        </left>
        <right style="thin">
          <color auto="1"/>
        </right>
        <top style="thin">
          <color auto="1"/>
        </top>
        <bottom style="thin">
          <color auto="1"/>
        </bottom>
      </border>
    </dxf>
    <dxf>
      <font>
        <color rgb="FFFFFF00"/>
      </font>
      <fill>
        <patternFill>
          <bgColor rgb="FFFFFF00"/>
        </patternFill>
      </fill>
      <border>
        <left style="thin">
          <color auto="1"/>
        </left>
        <right style="thin">
          <color auto="1"/>
        </right>
        <top style="thin">
          <color auto="1"/>
        </top>
        <bottom style="thin">
          <color auto="1"/>
        </bottom>
      </border>
    </dxf>
    <dxf>
      <font>
        <b/>
        <i val="0"/>
        <color rgb="FFFF0000"/>
      </font>
      <fill>
        <patternFill>
          <bgColor rgb="FFFF0000"/>
        </patternFill>
      </fill>
      <border>
        <left style="thin">
          <color auto="1"/>
        </left>
        <right style="thin">
          <color auto="1"/>
        </right>
        <top style="thin">
          <color auto="1"/>
        </top>
        <bottom style="thin">
          <color auto="1"/>
        </bottom>
      </border>
    </dxf>
    <dxf>
      <font>
        <color rgb="FFFF0000"/>
      </font>
      <fill>
        <patternFill>
          <bgColor rgb="FFFF0000"/>
        </patternFill>
      </fill>
      <border>
        <left style="thin">
          <color auto="1"/>
        </left>
        <right style="thin">
          <color auto="1"/>
        </right>
        <top style="thin">
          <color auto="1"/>
        </top>
        <bottom style="thin">
          <color auto="1"/>
        </bottom>
      </border>
    </dxf>
    <dxf>
      <font>
        <b/>
        <i val="0"/>
        <color theme="9"/>
      </font>
      <fill>
        <patternFill>
          <bgColor theme="9"/>
        </patternFill>
      </fill>
      <border>
        <left style="thin">
          <color auto="1"/>
        </left>
        <right style="thin">
          <color auto="1"/>
        </right>
        <top style="thin">
          <color auto="1"/>
        </top>
        <bottom style="thin">
          <color auto="1"/>
        </bottom>
      </border>
    </dxf>
    <dxf>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ont>
        <color theme="1"/>
      </font>
      <border>
        <left style="thin">
          <color auto="1"/>
        </left>
        <right style="thin">
          <color auto="1"/>
        </right>
        <top style="thin">
          <color auto="1"/>
        </top>
        <bottom style="thin">
          <color auto="1"/>
        </bottom>
        <vertical/>
        <horizontal/>
      </border>
    </dxf>
    <dxf>
      <fill>
        <patternFill>
          <bgColor rgb="FF002060"/>
        </patternFill>
      </fill>
      <border>
        <left style="thin">
          <color auto="1"/>
        </left>
        <right style="thin">
          <color auto="1"/>
        </right>
        <top style="thin">
          <color auto="1"/>
        </top>
        <bottom style="thin">
          <color auto="1"/>
        </bottom>
        <vertical/>
        <horizontal/>
      </border>
    </dxf>
    <dxf>
      <font>
        <color theme="0"/>
      </font>
      <fill>
        <patternFill>
          <bgColor rgb="FF002060"/>
        </patternFill>
      </fill>
      <border>
        <left style="thin">
          <color theme="1"/>
        </left>
        <right style="thin">
          <color theme="1"/>
        </right>
        <top style="thin">
          <color theme="1"/>
        </top>
        <bottom style="thin">
          <color theme="1"/>
        </bottom>
        <vertical/>
        <horizontal/>
      </border>
    </dxf>
    <dxf>
      <font>
        <color rgb="FFFFFF00"/>
      </font>
      <fill>
        <patternFill>
          <bgColor rgb="FFFFFF00"/>
        </patternFill>
      </fill>
    </dxf>
    <dxf>
      <font>
        <color theme="0"/>
      </font>
      <fill>
        <patternFill>
          <bgColor theme="0"/>
        </patternFill>
      </fill>
      <border>
        <left/>
        <right/>
        <top/>
        <bottom/>
      </border>
    </dxf>
    <dxf>
      <fill>
        <patternFill>
          <bgColor theme="0"/>
        </patternFill>
      </fill>
    </dxf>
    <dxf>
      <font>
        <b/>
        <i val="0"/>
        <color auto="1"/>
      </font>
      <fill>
        <patternFill>
          <bgColor theme="9"/>
        </patternFill>
      </fill>
    </dxf>
    <dxf>
      <font>
        <b/>
        <i val="0"/>
        <color theme="9"/>
      </font>
      <fill>
        <patternFill>
          <bgColor theme="9"/>
        </patternFill>
      </fill>
    </dxf>
    <dxf>
      <font>
        <color rgb="FFFF0000"/>
      </font>
      <fill>
        <patternFill>
          <bgColor rgb="FFFF0000"/>
        </patternFill>
      </fill>
    </dxf>
    <dxf>
      <font>
        <b/>
        <i val="0"/>
        <color theme="9"/>
      </font>
      <fill>
        <patternFill>
          <bgColor theme="9"/>
        </patternFill>
      </fill>
    </dxf>
    <dxf>
      <font>
        <color rgb="FFFF0000"/>
      </font>
      <fill>
        <patternFill>
          <bgColor rgb="FFFF0000"/>
        </patternFill>
      </fill>
    </dxf>
    <dxf>
      <font>
        <color rgb="FFFFFF00"/>
      </font>
      <fill>
        <patternFill>
          <bgColor rgb="FFFFFF00"/>
        </patternFill>
      </fill>
    </dxf>
    <dxf>
      <font>
        <color rgb="FF006100"/>
      </font>
      <fill>
        <patternFill>
          <bgColor rgb="FFC6EFCE"/>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ont>
        <color theme="0"/>
      </font>
      <fill>
        <patternFill>
          <bgColor rgb="FFFF0000"/>
        </patternFill>
      </fill>
      <border>
        <left style="thin">
          <color auto="1"/>
        </left>
        <right style="thin">
          <color auto="1"/>
        </right>
        <top style="thin">
          <color auto="1"/>
        </top>
        <bottom style="thin">
          <color auto="1"/>
        </bottom>
      </border>
    </dxf>
    <dxf>
      <fill>
        <patternFill>
          <bgColor rgb="FFFFFF00"/>
        </patternFill>
      </fill>
      <border>
        <left style="thin">
          <color auto="1"/>
        </left>
        <right style="thin">
          <color auto="1"/>
        </right>
        <top style="thin">
          <color auto="1"/>
        </top>
        <bottom style="thin">
          <color auto="1"/>
        </bottom>
        <vertical/>
        <horizontal/>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border>
        <left style="thin">
          <color auto="1"/>
        </left>
        <right style="thin">
          <color auto="1"/>
        </right>
        <top style="thin">
          <color auto="1"/>
        </top>
        <bottom style="thin">
          <color auto="1"/>
        </bottom>
      </border>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patternFill>
      </fill>
    </dxf>
    <dxf>
      <fill>
        <patternFill>
          <bgColor theme="0" tint="-0.1499679555650502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theme="0" tint="-0.2499465926084170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rgb="FF9C0006"/>
      </font>
      <fill>
        <patternFill>
          <bgColor rgb="FFFFC7CE"/>
        </patternFill>
      </fill>
    </dxf>
    <dxf>
      <font>
        <color theme="9" tint="-0.499984740745262"/>
      </font>
      <fill>
        <patternFill>
          <bgColor theme="9" tint="0.39994506668294322"/>
        </patternFill>
      </fill>
    </dxf>
    <dxf>
      <font>
        <color rgb="FF9C0006"/>
      </font>
      <fill>
        <patternFill>
          <bgColor rgb="FFFFC7CE"/>
        </patternFill>
      </fill>
    </dxf>
    <dxf>
      <fill>
        <patternFill>
          <bgColor rgb="FFFF0000"/>
        </patternFill>
      </fill>
      <border>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numFmt numFmtId="169" formatCode="&quot;$&quot;#,##0.00"/>
    </dxf>
    <dxf>
      <font>
        <b val="0"/>
        <i val="0"/>
        <color theme="0"/>
      </font>
      <fill>
        <patternFill>
          <bgColor rgb="FFFF0000"/>
        </patternFill>
      </fill>
    </dxf>
    <dxf>
      <numFmt numFmtId="169" formatCode="&quot;$&quot;#,##0.00"/>
    </dxf>
    <dxf>
      <fill>
        <patternFill>
          <bgColor theme="0" tint="-0.24994659260841701"/>
        </patternFill>
      </fill>
    </dxf>
    <dxf>
      <fill>
        <patternFill>
          <bgColor theme="9"/>
        </patternFill>
      </fill>
    </dxf>
    <dxf>
      <fill>
        <patternFill>
          <bgColor rgb="FFFF0000"/>
        </patternFill>
      </fill>
    </dxf>
    <dxf>
      <font>
        <b/>
        <i val="0"/>
      </font>
      <fill>
        <patternFill>
          <bgColor rgb="FFFF0000"/>
        </patternFill>
      </fill>
    </dxf>
    <dxf>
      <font>
        <color rgb="FFE2AC00"/>
      </font>
    </dxf>
    <dxf>
      <font>
        <color theme="0"/>
      </font>
      <fill>
        <patternFill>
          <bgColor theme="0"/>
        </patternFill>
      </fill>
      <border>
        <left style="thin">
          <color auto="1"/>
        </left>
        <right/>
        <top/>
        <bottom/>
        <vertical/>
        <horizontal/>
      </border>
    </dxf>
    <dxf>
      <font>
        <color theme="0"/>
      </font>
      <fill>
        <patternFill>
          <bgColor theme="0"/>
        </patternFill>
      </fill>
      <border>
        <left style="thin">
          <color auto="1"/>
        </left>
        <right/>
        <top/>
        <bottom/>
        <vertical/>
        <horizontal/>
      </border>
    </dxf>
    <dxf>
      <font>
        <color theme="0"/>
      </font>
      <fill>
        <patternFill>
          <bgColor theme="0"/>
        </patternFill>
      </fill>
      <border>
        <left/>
        <right style="thin">
          <color auto="1"/>
        </right>
        <top/>
        <bottom/>
        <vertical/>
        <horizontal/>
      </border>
    </dxf>
    <dxf>
      <font>
        <strike/>
      </font>
      <fill>
        <patternFill>
          <bgColor rgb="FFFF0000"/>
        </patternFill>
      </fill>
    </dxf>
    <dxf>
      <font>
        <color theme="5" tint="-0.24994659260841701"/>
      </font>
      <fill>
        <patternFill>
          <bgColor theme="5" tint="-0.24994659260841701"/>
        </patternFill>
      </fill>
    </dxf>
    <dxf>
      <font>
        <strike/>
      </font>
    </dxf>
    <dxf>
      <font>
        <color theme="5" tint="-0.24994659260841701"/>
      </font>
      <fill>
        <patternFill>
          <bgColor theme="5" tint="-0.24994659260841701"/>
        </patternFill>
      </fill>
    </dxf>
    <dxf>
      <font>
        <strike/>
      </font>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ill>
        <patternFill>
          <bgColor theme="0" tint="-0.24994659260841701"/>
        </patternFill>
      </fill>
    </dxf>
    <dxf>
      <font>
        <color theme="5" tint="-0.24994659260841701"/>
      </font>
      <fill>
        <patternFill>
          <bgColor theme="5" tint="-0.24994659260841701"/>
        </patternFill>
      </fill>
    </dxf>
    <dxf>
      <fill>
        <patternFill>
          <bgColor rgb="FFFFFF0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rgb="FFFFFF00"/>
        </patternFill>
      </fill>
    </dxf>
    <dxf>
      <fill>
        <patternFill>
          <bgColor rgb="FFFF0000"/>
        </patternFill>
      </fill>
    </dxf>
    <dxf>
      <fill>
        <patternFill>
          <bgColor rgb="FFFF0000"/>
        </patternFill>
      </fill>
    </dxf>
    <dxf>
      <fill>
        <patternFill>
          <bgColor rgb="FFFF0000"/>
        </patternFill>
      </fill>
    </dxf>
    <dxf>
      <font>
        <color theme="5" tint="-0.24994659260841701"/>
      </font>
      <fill>
        <patternFill>
          <bgColor theme="5" tint="-0.24994659260841701"/>
        </patternFill>
      </fill>
    </dxf>
    <dxf>
      <fill>
        <patternFill>
          <bgColor theme="0"/>
        </patternFill>
      </fill>
    </dxf>
    <dxf>
      <fill>
        <patternFill>
          <bgColor theme="0"/>
        </patternFill>
      </fill>
    </dxf>
    <dxf>
      <fill>
        <patternFill>
          <bgColor theme="0"/>
        </patternFill>
      </fill>
    </dxf>
    <dxf>
      <font>
        <b/>
        <i val="0"/>
        <color theme="0"/>
      </font>
      <fill>
        <patternFill>
          <bgColor rgb="FFFF0000"/>
        </patternFill>
      </fill>
      <border>
        <left style="thin">
          <color auto="1"/>
        </left>
        <right style="thin">
          <color auto="1"/>
        </right>
        <top style="thin">
          <color auto="1"/>
        </top>
        <bottom style="thin">
          <color auto="1"/>
        </bottom>
        <vertical/>
        <horizontal/>
      </border>
    </dxf>
    <dxf>
      <fill>
        <patternFill>
          <bgColor rgb="FFFF0000"/>
        </patternFill>
      </fill>
    </dxf>
    <dxf>
      <fill>
        <patternFill>
          <bgColor theme="0"/>
        </patternFill>
      </fill>
    </dxf>
    <dxf>
      <fill>
        <patternFill>
          <bgColor theme="0" tint="-0.24994659260841701"/>
        </patternFill>
      </fill>
    </dxf>
    <dxf>
      <font>
        <color theme="0"/>
      </font>
      <fill>
        <patternFill>
          <bgColor theme="0"/>
        </patternFill>
      </fill>
      <border>
        <left/>
        <right/>
        <top/>
        <bottom/>
        <vertical/>
        <horizontal/>
      </border>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s>
  <tableStyles count="0" defaultTableStyle="TableStyleMedium2" defaultPivotStyle="PivotStyleLight16"/>
  <colors>
    <mruColors>
      <color rgb="FFBFBFBF"/>
      <color rgb="FFFFC7CE"/>
      <color rgb="FFFF9B9B"/>
      <color rgb="FFFFCCCC"/>
      <color rgb="FFFF0000"/>
      <color rgb="FFCCB9B2"/>
      <color rgb="FFCF4520"/>
      <color rgb="FF9C0006"/>
      <color rgb="FFE2AC00"/>
      <color rgb="FFF4B08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theme" Target="theme/theme1.xml"/><Relationship Id="rId47" Type="http://schemas.openxmlformats.org/officeDocument/2006/relationships/calcChain" Target="calcChain.xml"/><Relationship Id="rId50" Type="http://schemas.openxmlformats.org/officeDocument/2006/relationships/customXml" Target="../customXml/item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connections" Target="connections.xml"/><Relationship Id="rId48" Type="http://schemas.openxmlformats.org/officeDocument/2006/relationships/customXml" Target="../customXml/item1.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3</xdr:col>
      <xdr:colOff>478674</xdr:colOff>
      <xdr:row>20</xdr:row>
      <xdr:rowOff>129887</xdr:rowOff>
    </xdr:from>
    <xdr:to>
      <xdr:col>4</xdr:col>
      <xdr:colOff>8660</xdr:colOff>
      <xdr:row>22</xdr:row>
      <xdr:rowOff>173182</xdr:rowOff>
    </xdr:to>
    <xdr:sp macro="[0]!NextActiveSheet" textlink="">
      <xdr:nvSpPr>
        <xdr:cNvPr id="3" name="Rectangle 2">
          <a:extLst>
            <a:ext uri="{FF2B5EF4-FFF2-40B4-BE49-F238E27FC236}">
              <a16:creationId xmlns:a16="http://schemas.microsoft.com/office/drawing/2014/main" id="{00000000-0008-0000-0000-000003000000}"/>
            </a:ext>
          </a:extLst>
        </xdr:cNvPr>
        <xdr:cNvSpPr>
          <a:spLocks noChangeArrowheads="1"/>
        </xdr:cNvSpPr>
      </xdr:nvSpPr>
      <xdr:spPr bwMode="auto">
        <a:xfrm>
          <a:off x="3924992" y="4641273"/>
          <a:ext cx="1305100" cy="424295"/>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13</xdr:col>
      <xdr:colOff>176959</xdr:colOff>
      <xdr:row>20</xdr:row>
      <xdr:rowOff>0</xdr:rowOff>
    </xdr:from>
    <xdr:to>
      <xdr:col>15</xdr:col>
      <xdr:colOff>118539</xdr:colOff>
      <xdr:row>22</xdr:row>
      <xdr:rowOff>16933</xdr:rowOff>
    </xdr:to>
    <xdr:sp macro="[0]!ClearCustomerInputs" textlink="">
      <xdr:nvSpPr>
        <xdr:cNvPr id="2" name="Rectangle 1">
          <a:extLst>
            <a:ext uri="{FF2B5EF4-FFF2-40B4-BE49-F238E27FC236}">
              <a16:creationId xmlns:a16="http://schemas.microsoft.com/office/drawing/2014/main" id="{00000000-0008-0000-0100-000002000000}"/>
            </a:ext>
          </a:extLst>
        </xdr:cNvPr>
        <xdr:cNvSpPr>
          <a:spLocks noChangeArrowheads="1"/>
        </xdr:cNvSpPr>
      </xdr:nvSpPr>
      <xdr:spPr bwMode="auto">
        <a:xfrm>
          <a:off x="6696292" y="4097867"/>
          <a:ext cx="1651847" cy="397933"/>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5</xdr:col>
      <xdr:colOff>186234</xdr:colOff>
      <xdr:row>20</xdr:row>
      <xdr:rowOff>0</xdr:rowOff>
    </xdr:from>
    <xdr:to>
      <xdr:col>6</xdr:col>
      <xdr:colOff>906747</xdr:colOff>
      <xdr:row>22</xdr:row>
      <xdr:rowOff>16933</xdr:rowOff>
    </xdr:to>
    <xdr:sp macro="[0]!PrevActiveSheet" textlink="">
      <xdr:nvSpPr>
        <xdr:cNvPr id="3" name="Rectangle 2">
          <a:extLst>
            <a:ext uri="{FF2B5EF4-FFF2-40B4-BE49-F238E27FC236}">
              <a16:creationId xmlns:a16="http://schemas.microsoft.com/office/drawing/2014/main" id="{00000000-0008-0000-0100-000003000000}"/>
            </a:ext>
          </a:extLst>
        </xdr:cNvPr>
        <xdr:cNvSpPr>
          <a:spLocks noChangeArrowheads="1"/>
        </xdr:cNvSpPr>
      </xdr:nvSpPr>
      <xdr:spPr bwMode="auto">
        <a:xfrm>
          <a:off x="364034" y="3920067"/>
          <a:ext cx="1397846" cy="397933"/>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17</xdr:col>
      <xdr:colOff>2243667</xdr:colOff>
      <xdr:row>20</xdr:row>
      <xdr:rowOff>848</xdr:rowOff>
    </xdr:from>
    <xdr:to>
      <xdr:col>22</xdr:col>
      <xdr:colOff>67723</xdr:colOff>
      <xdr:row>22</xdr:row>
      <xdr:rowOff>17781</xdr:rowOff>
    </xdr:to>
    <xdr:sp macro="[0]!NextActiveSheet" textlink="">
      <xdr:nvSpPr>
        <xdr:cNvPr id="4" name="Rectangle 3">
          <a:extLst>
            <a:ext uri="{FF2B5EF4-FFF2-40B4-BE49-F238E27FC236}">
              <a16:creationId xmlns:a16="http://schemas.microsoft.com/office/drawing/2014/main" id="{00000000-0008-0000-0100-000004000000}"/>
            </a:ext>
          </a:extLst>
        </xdr:cNvPr>
        <xdr:cNvSpPr>
          <a:spLocks noChangeArrowheads="1"/>
        </xdr:cNvSpPr>
      </xdr:nvSpPr>
      <xdr:spPr bwMode="auto">
        <a:xfrm>
          <a:off x="11971867" y="4098715"/>
          <a:ext cx="1811856" cy="39793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5</xdr:col>
      <xdr:colOff>516581</xdr:colOff>
      <xdr:row>34</xdr:row>
      <xdr:rowOff>37538</xdr:rowOff>
    </xdr:from>
    <xdr:to>
      <xdr:col>5</xdr:col>
      <xdr:colOff>1907231</xdr:colOff>
      <xdr:row>36</xdr:row>
      <xdr:rowOff>709</xdr:rowOff>
    </xdr:to>
    <xdr:sp macro="[0]!ClearPimModel" textlink="">
      <xdr:nvSpPr>
        <xdr:cNvPr id="2" name="Rectangle 1">
          <a:extLst>
            <a:ext uri="{FF2B5EF4-FFF2-40B4-BE49-F238E27FC236}">
              <a16:creationId xmlns:a16="http://schemas.microsoft.com/office/drawing/2014/main" id="{00000000-0008-0000-0200-000002000000}"/>
            </a:ext>
          </a:extLst>
        </xdr:cNvPr>
        <xdr:cNvSpPr>
          <a:spLocks noChangeArrowheads="1"/>
        </xdr:cNvSpPr>
      </xdr:nvSpPr>
      <xdr:spPr bwMode="auto">
        <a:xfrm>
          <a:off x="5124440" y="7576856"/>
          <a:ext cx="1390650" cy="402441"/>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123825</xdr:colOff>
      <xdr:row>34</xdr:row>
      <xdr:rowOff>37535</xdr:rowOff>
    </xdr:from>
    <xdr:to>
      <xdr:col>15</xdr:col>
      <xdr:colOff>586636</xdr:colOff>
      <xdr:row>36</xdr:row>
      <xdr:rowOff>4479</xdr:rowOff>
    </xdr:to>
    <xdr:sp macro="[0]!NextActiveSheet" textlink="">
      <xdr:nvSpPr>
        <xdr:cNvPr id="3" name="Rectangle 2">
          <a:extLst>
            <a:ext uri="{FF2B5EF4-FFF2-40B4-BE49-F238E27FC236}">
              <a16:creationId xmlns:a16="http://schemas.microsoft.com/office/drawing/2014/main" id="{00000000-0008-0000-0200-000003000000}"/>
            </a:ext>
          </a:extLst>
        </xdr:cNvPr>
        <xdr:cNvSpPr>
          <a:spLocks noChangeArrowheads="1"/>
        </xdr:cNvSpPr>
      </xdr:nvSpPr>
      <xdr:spPr bwMode="auto">
        <a:xfrm>
          <a:off x="12449175" y="7676585"/>
          <a:ext cx="1405786" cy="462244"/>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190500</xdr:colOff>
      <xdr:row>34</xdr:row>
      <xdr:rowOff>37537</xdr:rowOff>
    </xdr:from>
    <xdr:to>
      <xdr:col>2</xdr:col>
      <xdr:colOff>552451</xdr:colOff>
      <xdr:row>36</xdr:row>
      <xdr:rowOff>4481</xdr:rowOff>
    </xdr:to>
    <xdr:sp macro="[0]!PrevActiveSheet" textlink="">
      <xdr:nvSpPr>
        <xdr:cNvPr id="4" name="Rectangle 3">
          <a:extLst>
            <a:ext uri="{FF2B5EF4-FFF2-40B4-BE49-F238E27FC236}">
              <a16:creationId xmlns:a16="http://schemas.microsoft.com/office/drawing/2014/main" id="{00000000-0008-0000-0200-000004000000}"/>
            </a:ext>
          </a:extLst>
        </xdr:cNvPr>
        <xdr:cNvSpPr>
          <a:spLocks noChangeArrowheads="1"/>
        </xdr:cNvSpPr>
      </xdr:nvSpPr>
      <xdr:spPr bwMode="auto">
        <a:xfrm>
          <a:off x="333935" y="7576855"/>
          <a:ext cx="1428751" cy="406214"/>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10</xdr:col>
      <xdr:colOff>3061</xdr:colOff>
      <xdr:row>7</xdr:row>
      <xdr:rowOff>149677</xdr:rowOff>
    </xdr:from>
    <xdr:to>
      <xdr:col>11</xdr:col>
      <xdr:colOff>11906</xdr:colOff>
      <xdr:row>9</xdr:row>
      <xdr:rowOff>214312</xdr:rowOff>
    </xdr:to>
    <xdr:sp macro="[0]!Incentives" textlink="">
      <xdr:nvSpPr>
        <xdr:cNvPr id="2" name="Rectangle 1">
          <a:extLst>
            <a:ext uri="{FF2B5EF4-FFF2-40B4-BE49-F238E27FC236}">
              <a16:creationId xmlns:a16="http://schemas.microsoft.com/office/drawing/2014/main" id="{3782AEC9-B54E-4CF1-93D0-8F858FDB7509}"/>
            </a:ext>
          </a:extLst>
        </xdr:cNvPr>
        <xdr:cNvSpPr>
          <a:spLocks noChangeArrowheads="1"/>
        </xdr:cNvSpPr>
      </xdr:nvSpPr>
      <xdr:spPr bwMode="auto">
        <a:xfrm>
          <a:off x="9585211" y="1616527"/>
          <a:ext cx="1780495" cy="502785"/>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8</xdr:col>
      <xdr:colOff>59530</xdr:colOff>
      <xdr:row>207</xdr:row>
      <xdr:rowOff>142875</xdr:rowOff>
    </xdr:from>
    <xdr:to>
      <xdr:col>8</xdr:col>
      <xdr:colOff>1631155</xdr:colOff>
      <xdr:row>207</xdr:row>
      <xdr:rowOff>535781</xdr:rowOff>
    </xdr:to>
    <xdr:sp macro="[0]!Incentives" textlink="">
      <xdr:nvSpPr>
        <xdr:cNvPr id="3" name="Rectangle 2">
          <a:extLst>
            <a:ext uri="{FF2B5EF4-FFF2-40B4-BE49-F238E27FC236}">
              <a16:creationId xmlns:a16="http://schemas.microsoft.com/office/drawing/2014/main" id="{7A8CADAF-6C5D-457C-8197-35AF1EE6FBD7}"/>
            </a:ext>
          </a:extLst>
        </xdr:cNvPr>
        <xdr:cNvSpPr>
          <a:spLocks noChangeArrowheads="1"/>
        </xdr:cNvSpPr>
      </xdr:nvSpPr>
      <xdr:spPr bwMode="auto">
        <a:xfrm>
          <a:off x="7512843" y="24217313"/>
          <a:ext cx="1571625" cy="392906"/>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13</xdr:col>
      <xdr:colOff>316705</xdr:colOff>
      <xdr:row>207</xdr:row>
      <xdr:rowOff>107157</xdr:rowOff>
    </xdr:from>
    <xdr:to>
      <xdr:col>15</xdr:col>
      <xdr:colOff>0</xdr:colOff>
      <xdr:row>207</xdr:row>
      <xdr:rowOff>469107</xdr:rowOff>
    </xdr:to>
    <xdr:sp macro="[0]!NextActiveSheet" textlink="">
      <xdr:nvSpPr>
        <xdr:cNvPr id="4" name="Rectangle 3">
          <a:extLst>
            <a:ext uri="{FF2B5EF4-FFF2-40B4-BE49-F238E27FC236}">
              <a16:creationId xmlns:a16="http://schemas.microsoft.com/office/drawing/2014/main" id="{8C39B439-BABC-4D30-94D8-C60D03640E92}"/>
            </a:ext>
          </a:extLst>
        </xdr:cNvPr>
        <xdr:cNvSpPr>
          <a:spLocks noChangeArrowheads="1"/>
        </xdr:cNvSpPr>
      </xdr:nvSpPr>
      <xdr:spPr bwMode="auto">
        <a:xfrm>
          <a:off x="13604080" y="24181595"/>
          <a:ext cx="1588295"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202405</xdr:colOff>
      <xdr:row>207</xdr:row>
      <xdr:rowOff>178595</xdr:rowOff>
    </xdr:from>
    <xdr:to>
      <xdr:col>3</xdr:col>
      <xdr:colOff>1547811</xdr:colOff>
      <xdr:row>207</xdr:row>
      <xdr:rowOff>547687</xdr:rowOff>
    </xdr:to>
    <xdr:sp macro="[0]!PrevActiveSheet" textlink="">
      <xdr:nvSpPr>
        <xdr:cNvPr id="5" name="Rectangle 4">
          <a:extLst>
            <a:ext uri="{FF2B5EF4-FFF2-40B4-BE49-F238E27FC236}">
              <a16:creationId xmlns:a16="http://schemas.microsoft.com/office/drawing/2014/main" id="{199574B9-1C90-4950-AE1A-60469BCC3093}"/>
            </a:ext>
          </a:extLst>
        </xdr:cNvPr>
        <xdr:cNvSpPr>
          <a:spLocks noChangeArrowheads="1"/>
        </xdr:cNvSpPr>
      </xdr:nvSpPr>
      <xdr:spPr bwMode="auto">
        <a:xfrm>
          <a:off x="273843" y="24253033"/>
          <a:ext cx="1595437" cy="369092"/>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11909</xdr:colOff>
      <xdr:row>12</xdr:row>
      <xdr:rowOff>4</xdr:rowOff>
    </xdr:from>
    <xdr:to>
      <xdr:col>2</xdr:col>
      <xdr:colOff>1762124</xdr:colOff>
      <xdr:row>14</xdr:row>
      <xdr:rowOff>0</xdr:rowOff>
    </xdr:to>
    <xdr:sp macro="[0]!VolumeButton" textlink="">
      <xdr:nvSpPr>
        <xdr:cNvPr id="7" name="Rectangle 6">
          <a:extLst>
            <a:ext uri="{FF2B5EF4-FFF2-40B4-BE49-F238E27FC236}">
              <a16:creationId xmlns:a16="http://schemas.microsoft.com/office/drawing/2014/main" id="{DF0DD0EC-C549-4173-AE56-66AFDEE26CDB}"/>
            </a:ext>
          </a:extLst>
        </xdr:cNvPr>
        <xdr:cNvSpPr>
          <a:spLocks noChangeArrowheads="1"/>
        </xdr:cNvSpPr>
      </xdr:nvSpPr>
      <xdr:spPr bwMode="auto">
        <a:xfrm>
          <a:off x="314325" y="2638429"/>
          <a:ext cx="0" cy="457196"/>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Add Volume Incentive </a:t>
          </a:r>
        </a:p>
      </xdr:txBody>
    </xdr:sp>
    <xdr:clientData/>
  </xdr:twoCellAnchor>
  <xdr:twoCellAnchor>
    <xdr:from>
      <xdr:col>2</xdr:col>
      <xdr:colOff>23812</xdr:colOff>
      <xdr:row>54</xdr:row>
      <xdr:rowOff>1</xdr:rowOff>
    </xdr:from>
    <xdr:to>
      <xdr:col>2</xdr:col>
      <xdr:colOff>1762124</xdr:colOff>
      <xdr:row>56</xdr:row>
      <xdr:rowOff>0</xdr:rowOff>
    </xdr:to>
    <xdr:sp macro="[0]!DropSizeButton" textlink="">
      <xdr:nvSpPr>
        <xdr:cNvPr id="8" name="Rectangle 7">
          <a:extLst>
            <a:ext uri="{FF2B5EF4-FFF2-40B4-BE49-F238E27FC236}">
              <a16:creationId xmlns:a16="http://schemas.microsoft.com/office/drawing/2014/main" id="{DA8D2B9B-A4CB-4AB0-8940-EE765FFCB96C}"/>
            </a:ext>
          </a:extLst>
        </xdr:cNvPr>
        <xdr:cNvSpPr>
          <a:spLocks noChangeArrowheads="1"/>
        </xdr:cNvSpPr>
      </xdr:nvSpPr>
      <xdr:spPr bwMode="auto">
        <a:xfrm>
          <a:off x="314325" y="5295901"/>
          <a:ext cx="0" cy="6476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Drop Size Incentive</a:t>
          </a:r>
        </a:p>
      </xdr:txBody>
    </xdr:sp>
    <xdr:clientData/>
  </xdr:twoCellAnchor>
  <xdr:twoCellAnchor>
    <xdr:from>
      <xdr:col>2</xdr:col>
      <xdr:colOff>11906</xdr:colOff>
      <xdr:row>82</xdr:row>
      <xdr:rowOff>0</xdr:rowOff>
    </xdr:from>
    <xdr:to>
      <xdr:col>2</xdr:col>
      <xdr:colOff>1750219</xdr:colOff>
      <xdr:row>84</xdr:row>
      <xdr:rowOff>-1</xdr:rowOff>
    </xdr:to>
    <xdr:sp macro="[0]!EB_Button" textlink="">
      <xdr:nvSpPr>
        <xdr:cNvPr id="9" name="Rectangle 8">
          <a:extLst>
            <a:ext uri="{FF2B5EF4-FFF2-40B4-BE49-F238E27FC236}">
              <a16:creationId xmlns:a16="http://schemas.microsoft.com/office/drawing/2014/main" id="{6039AA73-97ED-4755-82A4-8B3128F6F20B}"/>
            </a:ext>
          </a:extLst>
        </xdr:cNvPr>
        <xdr:cNvSpPr>
          <a:spLocks noChangeArrowheads="1"/>
        </xdr:cNvSpPr>
      </xdr:nvSpPr>
      <xdr:spPr bwMode="auto">
        <a:xfrm>
          <a:off x="314325" y="8181975"/>
          <a:ext cx="0" cy="4571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4</xdr:col>
      <xdr:colOff>904875</xdr:colOff>
      <xdr:row>81</xdr:row>
      <xdr:rowOff>95250</xdr:rowOff>
    </xdr:from>
    <xdr:to>
      <xdr:col>4</xdr:col>
      <xdr:colOff>904875</xdr:colOff>
      <xdr:row>83</xdr:row>
      <xdr:rowOff>59531</xdr:rowOff>
    </xdr:to>
    <xdr:sp macro="[0]!EB_Button" textlink="">
      <xdr:nvSpPr>
        <xdr:cNvPr id="10" name="Rectangle 9">
          <a:extLst>
            <a:ext uri="{FF2B5EF4-FFF2-40B4-BE49-F238E27FC236}">
              <a16:creationId xmlns:a16="http://schemas.microsoft.com/office/drawing/2014/main" id="{D2A4690C-C515-44D8-9639-9D4B92BB72BB}"/>
            </a:ext>
          </a:extLst>
        </xdr:cNvPr>
        <xdr:cNvSpPr>
          <a:spLocks noChangeArrowheads="1"/>
        </xdr:cNvSpPr>
      </xdr:nvSpPr>
      <xdr:spPr bwMode="auto">
        <a:xfrm>
          <a:off x="2976563" y="7977188"/>
          <a:ext cx="0" cy="452437"/>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EB Incentive</a:t>
          </a:r>
        </a:p>
      </xdr:txBody>
    </xdr:sp>
    <xdr:clientData/>
  </xdr:twoCellAnchor>
  <xdr:twoCellAnchor>
    <xdr:from>
      <xdr:col>2</xdr:col>
      <xdr:colOff>0</xdr:colOff>
      <xdr:row>126</xdr:row>
      <xdr:rowOff>0</xdr:rowOff>
    </xdr:from>
    <xdr:to>
      <xdr:col>2</xdr:col>
      <xdr:colOff>1738313</xdr:colOff>
      <xdr:row>128</xdr:row>
      <xdr:rowOff>119062</xdr:rowOff>
    </xdr:to>
    <xdr:sp macro="[0]!Check_Button" textlink="">
      <xdr:nvSpPr>
        <xdr:cNvPr id="11" name="Rectangle 10">
          <a:extLst>
            <a:ext uri="{FF2B5EF4-FFF2-40B4-BE49-F238E27FC236}">
              <a16:creationId xmlns:a16="http://schemas.microsoft.com/office/drawing/2014/main" id="{0D6AEE52-683B-402D-9F8E-8F9FB588C200}"/>
            </a:ext>
          </a:extLst>
        </xdr:cNvPr>
        <xdr:cNvSpPr>
          <a:spLocks noChangeArrowheads="1"/>
        </xdr:cNvSpPr>
      </xdr:nvSpPr>
      <xdr:spPr bwMode="auto">
        <a:xfrm>
          <a:off x="321469" y="14263688"/>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Check Business Tools Incentive</a:t>
          </a:r>
        </a:p>
      </xdr:txBody>
    </xdr:sp>
    <xdr:clientData/>
  </xdr:twoCellAnchor>
  <xdr:twoCellAnchor>
    <xdr:from>
      <xdr:col>2</xdr:col>
      <xdr:colOff>0</xdr:colOff>
      <xdr:row>150</xdr:row>
      <xdr:rowOff>0</xdr:rowOff>
    </xdr:from>
    <xdr:to>
      <xdr:col>2</xdr:col>
      <xdr:colOff>1738313</xdr:colOff>
      <xdr:row>152</xdr:row>
      <xdr:rowOff>130968</xdr:rowOff>
    </xdr:to>
    <xdr:sp macro="[0]!Prepaid_Rollover_Button" textlink="">
      <xdr:nvSpPr>
        <xdr:cNvPr id="13" name="Rectangle 12">
          <a:extLst>
            <a:ext uri="{FF2B5EF4-FFF2-40B4-BE49-F238E27FC236}">
              <a16:creationId xmlns:a16="http://schemas.microsoft.com/office/drawing/2014/main" id="{E7F2CABE-2A10-4C4D-88CE-DB051767A1EF}"/>
            </a:ext>
          </a:extLst>
        </xdr:cNvPr>
        <xdr:cNvSpPr>
          <a:spLocks noChangeArrowheads="1"/>
        </xdr:cNvSpPr>
      </xdr:nvSpPr>
      <xdr:spPr bwMode="auto">
        <a:xfrm>
          <a:off x="321469" y="17811750"/>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Rollover Incentive</a:t>
          </a:r>
        </a:p>
      </xdr:txBody>
    </xdr:sp>
    <xdr:clientData/>
  </xdr:twoCellAnchor>
  <xdr:twoCellAnchor>
    <xdr:from>
      <xdr:col>2</xdr:col>
      <xdr:colOff>0</xdr:colOff>
      <xdr:row>172</xdr:row>
      <xdr:rowOff>0</xdr:rowOff>
    </xdr:from>
    <xdr:to>
      <xdr:col>2</xdr:col>
      <xdr:colOff>1738313</xdr:colOff>
      <xdr:row>174</xdr:row>
      <xdr:rowOff>119061</xdr:rowOff>
    </xdr:to>
    <xdr:sp macro="[0]!Prepaid_Button" textlink="">
      <xdr:nvSpPr>
        <xdr:cNvPr id="14" name="Rectangle 13">
          <a:extLst>
            <a:ext uri="{FF2B5EF4-FFF2-40B4-BE49-F238E27FC236}">
              <a16:creationId xmlns:a16="http://schemas.microsoft.com/office/drawing/2014/main" id="{310CECB7-1B59-451C-A291-3929F557A4B4}"/>
            </a:ext>
          </a:extLst>
        </xdr:cNvPr>
        <xdr:cNvSpPr>
          <a:spLocks noChangeArrowheads="1"/>
        </xdr:cNvSpPr>
      </xdr:nvSpPr>
      <xdr:spPr bwMode="auto">
        <a:xfrm>
          <a:off x="321469" y="20526375"/>
          <a:ext cx="1738313" cy="571499"/>
        </a:xfrm>
        <a:prstGeom prst="rect">
          <a:avLst/>
        </a:prstGeom>
        <a:solidFill>
          <a:schemeClr val="accent2"/>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r>
            <a:rPr lang="en-US" sz="1100" b="1" i="0" baseline="0">
              <a:solidFill>
                <a:schemeClr val="bg1"/>
              </a:solidFill>
              <a:effectLst/>
              <a:latin typeface="+mn-lt"/>
              <a:ea typeface="+mn-ea"/>
              <a:cs typeface="+mn-cs"/>
            </a:rPr>
            <a:t>Add Prepaid Incentive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2</xdr:col>
      <xdr:colOff>228600</xdr:colOff>
      <xdr:row>38</xdr:row>
      <xdr:rowOff>57150</xdr:rowOff>
    </xdr:from>
    <xdr:to>
      <xdr:col>3</xdr:col>
      <xdr:colOff>1121621</xdr:colOff>
      <xdr:row>38</xdr:row>
      <xdr:rowOff>428625</xdr:rowOff>
    </xdr:to>
    <xdr:sp macro="[0]!PrevActiveSheet" textlink="">
      <xdr:nvSpPr>
        <xdr:cNvPr id="2" name="Rectangle 1">
          <a:extLst>
            <a:ext uri="{FF2B5EF4-FFF2-40B4-BE49-F238E27FC236}">
              <a16:creationId xmlns:a16="http://schemas.microsoft.com/office/drawing/2014/main" id="{00000000-0008-0000-0400-000002000000}"/>
            </a:ext>
          </a:extLst>
        </xdr:cNvPr>
        <xdr:cNvSpPr>
          <a:spLocks noChangeArrowheads="1"/>
        </xdr:cNvSpPr>
      </xdr:nvSpPr>
      <xdr:spPr bwMode="auto">
        <a:xfrm>
          <a:off x="742950" y="7610475"/>
          <a:ext cx="1397846" cy="371475"/>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8</xdr:col>
      <xdr:colOff>180975</xdr:colOff>
      <xdr:row>38</xdr:row>
      <xdr:rowOff>57149</xdr:rowOff>
    </xdr:from>
    <xdr:to>
      <xdr:col>10</xdr:col>
      <xdr:colOff>282536</xdr:colOff>
      <xdr:row>38</xdr:row>
      <xdr:rowOff>436032</xdr:rowOff>
    </xdr:to>
    <xdr:sp macro="[0]!NextActiveSheet" textlink="">
      <xdr:nvSpPr>
        <xdr:cNvPr id="3" name="Rectangle 2">
          <a:extLst>
            <a:ext uri="{FF2B5EF4-FFF2-40B4-BE49-F238E27FC236}">
              <a16:creationId xmlns:a16="http://schemas.microsoft.com/office/drawing/2014/main" id="{00000000-0008-0000-0400-000003000000}"/>
            </a:ext>
          </a:extLst>
        </xdr:cNvPr>
        <xdr:cNvSpPr>
          <a:spLocks noChangeArrowheads="1"/>
        </xdr:cNvSpPr>
      </xdr:nvSpPr>
      <xdr:spPr bwMode="auto">
        <a:xfrm>
          <a:off x="6886575" y="7610474"/>
          <a:ext cx="1396961" cy="378883"/>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13</xdr:col>
      <xdr:colOff>619125</xdr:colOff>
      <xdr:row>40</xdr:row>
      <xdr:rowOff>66675</xdr:rowOff>
    </xdr:from>
    <xdr:to>
      <xdr:col>18</xdr:col>
      <xdr:colOff>304800</xdr:colOff>
      <xdr:row>40</xdr:row>
      <xdr:rowOff>428625</xdr:rowOff>
    </xdr:to>
    <xdr:sp macro="[0]!NextActiveSheet" textlink="">
      <xdr:nvSpPr>
        <xdr:cNvPr id="2" name="Rectangle 1">
          <a:extLst>
            <a:ext uri="{FF2B5EF4-FFF2-40B4-BE49-F238E27FC236}">
              <a16:creationId xmlns:a16="http://schemas.microsoft.com/office/drawing/2014/main" id="{00000000-0008-0000-0500-000002000000}"/>
            </a:ext>
          </a:extLst>
        </xdr:cNvPr>
        <xdr:cNvSpPr>
          <a:spLocks noChangeArrowheads="1"/>
        </xdr:cNvSpPr>
      </xdr:nvSpPr>
      <xdr:spPr bwMode="auto">
        <a:xfrm>
          <a:off x="7429500" y="8972550"/>
          <a:ext cx="1138238" cy="36195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NEXT SHEET</a:t>
          </a:r>
        </a:p>
      </xdr:txBody>
    </xdr:sp>
    <xdr:clientData/>
  </xdr:twoCellAnchor>
  <xdr:twoCellAnchor>
    <xdr:from>
      <xdr:col>1</xdr:col>
      <xdr:colOff>123825</xdr:colOff>
      <xdr:row>40</xdr:row>
      <xdr:rowOff>66675</xdr:rowOff>
    </xdr:from>
    <xdr:to>
      <xdr:col>3</xdr:col>
      <xdr:colOff>695325</xdr:colOff>
      <xdr:row>40</xdr:row>
      <xdr:rowOff>428625</xdr:rowOff>
    </xdr:to>
    <xdr:sp macro="[0]!PrevActiveSheet" textlink="">
      <xdr:nvSpPr>
        <xdr:cNvPr id="3" name="Rectangle 2">
          <a:extLst>
            <a:ext uri="{FF2B5EF4-FFF2-40B4-BE49-F238E27FC236}">
              <a16:creationId xmlns:a16="http://schemas.microsoft.com/office/drawing/2014/main" id="{00000000-0008-0000-0500-000003000000}"/>
            </a:ext>
          </a:extLst>
        </xdr:cNvPr>
        <xdr:cNvSpPr>
          <a:spLocks noChangeArrowheads="1"/>
        </xdr:cNvSpPr>
      </xdr:nvSpPr>
      <xdr:spPr bwMode="auto">
        <a:xfrm>
          <a:off x="302419" y="8317706"/>
          <a:ext cx="1178719" cy="36195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5</xdr:col>
      <xdr:colOff>104775</xdr:colOff>
      <xdr:row>40</xdr:row>
      <xdr:rowOff>66675</xdr:rowOff>
    </xdr:from>
    <xdr:to>
      <xdr:col>7</xdr:col>
      <xdr:colOff>95250</xdr:colOff>
      <xdr:row>40</xdr:row>
      <xdr:rowOff>428625</xdr:rowOff>
    </xdr:to>
    <xdr:sp macro="[0]!ClearTracking" textlink="">
      <xdr:nvSpPr>
        <xdr:cNvPr id="4" name="Rectangle 3">
          <a:extLst>
            <a:ext uri="{FF2B5EF4-FFF2-40B4-BE49-F238E27FC236}">
              <a16:creationId xmlns:a16="http://schemas.microsoft.com/office/drawing/2014/main" id="{F8C93862-BD87-4F78-807E-27BB21A4D485}"/>
            </a:ext>
          </a:extLst>
        </xdr:cNvPr>
        <xdr:cNvSpPr>
          <a:spLocks noChangeArrowheads="1"/>
        </xdr:cNvSpPr>
      </xdr:nvSpPr>
      <xdr:spPr bwMode="auto">
        <a:xfrm>
          <a:off x="4224338" y="8972550"/>
          <a:ext cx="1312068" cy="36195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1325880</xdr:colOff>
      <xdr:row>33</xdr:row>
      <xdr:rowOff>129540</xdr:rowOff>
    </xdr:from>
    <xdr:to>
      <xdr:col>6</xdr:col>
      <xdr:colOff>838199</xdr:colOff>
      <xdr:row>35</xdr:row>
      <xdr:rowOff>66675</xdr:rowOff>
    </xdr:to>
    <xdr:sp macro="[0]!RequireInfoClear" textlink="">
      <xdr:nvSpPr>
        <xdr:cNvPr id="2" name="Rectangle 1">
          <a:extLst>
            <a:ext uri="{FF2B5EF4-FFF2-40B4-BE49-F238E27FC236}">
              <a16:creationId xmlns:a16="http://schemas.microsoft.com/office/drawing/2014/main" id="{00000000-0008-0000-0600-000002000000}"/>
            </a:ext>
          </a:extLst>
        </xdr:cNvPr>
        <xdr:cNvSpPr>
          <a:spLocks noChangeArrowheads="1"/>
        </xdr:cNvSpPr>
      </xdr:nvSpPr>
      <xdr:spPr bwMode="auto">
        <a:xfrm>
          <a:off x="3697605" y="5968365"/>
          <a:ext cx="1322069" cy="365760"/>
        </a:xfrm>
        <a:prstGeom prst="rect">
          <a:avLst/>
        </a:prstGeom>
        <a:solidFill>
          <a:srgbClr val="CF4520"/>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RESET SELECTIONS</a:t>
          </a:r>
        </a:p>
      </xdr:txBody>
    </xdr:sp>
    <xdr:clientData/>
  </xdr:twoCellAnchor>
  <xdr:twoCellAnchor>
    <xdr:from>
      <xdr:col>7</xdr:col>
      <xdr:colOff>967740</xdr:colOff>
      <xdr:row>33</xdr:row>
      <xdr:rowOff>129540</xdr:rowOff>
    </xdr:from>
    <xdr:to>
      <xdr:col>9</xdr:col>
      <xdr:colOff>624840</xdr:colOff>
      <xdr:row>35</xdr:row>
      <xdr:rowOff>68580</xdr:rowOff>
    </xdr:to>
    <xdr:sp macro="[0]!Submit" textlink="">
      <xdr:nvSpPr>
        <xdr:cNvPr id="3" name="Rectangle 2">
          <a:extLst>
            <a:ext uri="{FF2B5EF4-FFF2-40B4-BE49-F238E27FC236}">
              <a16:creationId xmlns:a16="http://schemas.microsoft.com/office/drawing/2014/main" id="{00000000-0008-0000-0600-000003000000}"/>
            </a:ext>
          </a:extLst>
        </xdr:cNvPr>
        <xdr:cNvSpPr>
          <a:spLocks noChangeArrowheads="1"/>
        </xdr:cNvSpPr>
      </xdr:nvSpPr>
      <xdr:spPr bwMode="auto">
        <a:xfrm>
          <a:off x="7002780" y="6012180"/>
          <a:ext cx="1257300" cy="373380"/>
        </a:xfrm>
        <a:prstGeom prst="rect">
          <a:avLst/>
        </a:prstGeom>
        <a:solidFill>
          <a:schemeClr val="accent6"/>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SAVE &amp; PUBLISH</a:t>
          </a:r>
        </a:p>
      </xdr:txBody>
    </xdr:sp>
    <xdr:clientData/>
  </xdr:twoCellAnchor>
  <xdr:twoCellAnchor>
    <xdr:from>
      <xdr:col>2</xdr:col>
      <xdr:colOff>388620</xdr:colOff>
      <xdr:row>33</xdr:row>
      <xdr:rowOff>129540</xdr:rowOff>
    </xdr:from>
    <xdr:to>
      <xdr:col>4</xdr:col>
      <xdr:colOff>741045</xdr:colOff>
      <xdr:row>35</xdr:row>
      <xdr:rowOff>68580</xdr:rowOff>
    </xdr:to>
    <xdr:sp macro="[0]!PrevActiveSheet" textlink="">
      <xdr:nvSpPr>
        <xdr:cNvPr id="4" name="Rectangle 3">
          <a:extLst>
            <a:ext uri="{FF2B5EF4-FFF2-40B4-BE49-F238E27FC236}">
              <a16:creationId xmlns:a16="http://schemas.microsoft.com/office/drawing/2014/main" id="{00000000-0008-0000-0600-000004000000}"/>
            </a:ext>
          </a:extLst>
        </xdr:cNvPr>
        <xdr:cNvSpPr>
          <a:spLocks noChangeArrowheads="1"/>
        </xdr:cNvSpPr>
      </xdr:nvSpPr>
      <xdr:spPr bwMode="auto">
        <a:xfrm>
          <a:off x="594360" y="6012180"/>
          <a:ext cx="1190625" cy="373380"/>
        </a:xfrm>
        <a:prstGeom prst="rect">
          <a:avLst/>
        </a:prstGeom>
        <a:solidFill>
          <a:schemeClr val="accent4">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PREVIOUS SHEET</a:t>
          </a:r>
        </a:p>
      </xdr:txBody>
    </xdr:sp>
    <xdr:clientData/>
  </xdr:twoCellAnchor>
  <xdr:twoCellAnchor>
    <xdr:from>
      <xdr:col>2</xdr:col>
      <xdr:colOff>368141</xdr:colOff>
      <xdr:row>38</xdr:row>
      <xdr:rowOff>142399</xdr:rowOff>
    </xdr:from>
    <xdr:to>
      <xdr:col>4</xdr:col>
      <xdr:colOff>720566</xdr:colOff>
      <xdr:row>40</xdr:row>
      <xdr:rowOff>140970</xdr:rowOff>
    </xdr:to>
    <xdr:sp macro="[0]!Createaudit" textlink="">
      <xdr:nvSpPr>
        <xdr:cNvPr id="5" name="Rectangle 4">
          <a:extLst>
            <a:ext uri="{FF2B5EF4-FFF2-40B4-BE49-F238E27FC236}">
              <a16:creationId xmlns:a16="http://schemas.microsoft.com/office/drawing/2014/main" id="{0A643D83-D6CC-41DA-8DC2-50EDBE9B82DA}"/>
            </a:ext>
          </a:extLst>
        </xdr:cNvPr>
        <xdr:cNvSpPr>
          <a:spLocks noChangeArrowheads="1"/>
        </xdr:cNvSpPr>
      </xdr:nvSpPr>
      <xdr:spPr bwMode="auto">
        <a:xfrm>
          <a:off x="570547" y="8083868"/>
          <a:ext cx="1162050" cy="379571"/>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Audit</a:t>
          </a:r>
        </a:p>
      </xdr:txBody>
    </xdr:sp>
    <xdr:clientData/>
  </xdr:twoCellAnchor>
  <xdr:twoCellAnchor>
    <xdr:from>
      <xdr:col>5</xdr:col>
      <xdr:colOff>1321594</xdr:colOff>
      <xdr:row>38</xdr:row>
      <xdr:rowOff>128113</xdr:rowOff>
    </xdr:from>
    <xdr:to>
      <xdr:col>6</xdr:col>
      <xdr:colOff>857250</xdr:colOff>
      <xdr:row>40</xdr:row>
      <xdr:rowOff>95251</xdr:rowOff>
    </xdr:to>
    <xdr:sp macro="[0]!Compareaudit" textlink="">
      <xdr:nvSpPr>
        <xdr:cNvPr id="6" name="Rectangle 5">
          <a:extLst>
            <a:ext uri="{FF2B5EF4-FFF2-40B4-BE49-F238E27FC236}">
              <a16:creationId xmlns:a16="http://schemas.microsoft.com/office/drawing/2014/main" id="{75F9BC75-B80D-4E88-8E35-82636262DC0C}"/>
            </a:ext>
          </a:extLst>
        </xdr:cNvPr>
        <xdr:cNvSpPr>
          <a:spLocks noChangeArrowheads="1"/>
        </xdr:cNvSpPr>
      </xdr:nvSpPr>
      <xdr:spPr bwMode="auto">
        <a:xfrm>
          <a:off x="3619500" y="8069582"/>
          <a:ext cx="1285875" cy="348138"/>
        </a:xfrm>
        <a:prstGeom prst="rect">
          <a:avLst/>
        </a:prstGeom>
        <a:solidFill>
          <a:schemeClr val="accent1">
            <a:lumMod val="75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100" b="1" i="0" u="none" strike="noStrike" baseline="0">
              <a:solidFill>
                <a:schemeClr val="bg1"/>
              </a:solidFill>
              <a:latin typeface="+mn-lt"/>
              <a:cs typeface="Arial"/>
            </a:rPr>
            <a:t>Initiate Comparison</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161925</xdr:colOff>
      <xdr:row>0</xdr:row>
      <xdr:rowOff>152400</xdr:rowOff>
    </xdr:from>
    <xdr:to>
      <xdr:col>4</xdr:col>
      <xdr:colOff>161925</xdr:colOff>
      <xdr:row>3</xdr:row>
      <xdr:rowOff>114300</xdr:rowOff>
    </xdr:to>
    <xdr:sp macro="[0]!UploadFile" textlink="">
      <xdr:nvSpPr>
        <xdr:cNvPr id="2" name="Rectangle 1">
          <a:extLst>
            <a:ext uri="{FF2B5EF4-FFF2-40B4-BE49-F238E27FC236}">
              <a16:creationId xmlns:a16="http://schemas.microsoft.com/office/drawing/2014/main" id="{C0A9030D-6425-4490-BA3C-6F1445CC131D}"/>
            </a:ext>
          </a:extLst>
        </xdr:cNvPr>
        <xdr:cNvSpPr>
          <a:spLocks noChangeArrowheads="1"/>
        </xdr:cNvSpPr>
      </xdr:nvSpPr>
      <xdr:spPr bwMode="auto">
        <a:xfrm>
          <a:off x="161925" y="152400"/>
          <a:ext cx="2438400" cy="533400"/>
        </a:xfrm>
        <a:prstGeom prst="rect">
          <a:avLst/>
        </a:prstGeom>
        <a:solidFill>
          <a:schemeClr val="accent6">
            <a:lumMod val="60000"/>
            <a:lumOff val="40000"/>
          </a:schemeClr>
        </a:solidFill>
        <a:ln w="9525">
          <a:solidFill>
            <a:srgbClr val="000000"/>
          </a:solidFill>
          <a:miter lim="800000"/>
          <a:headEnd/>
          <a:tailEnd/>
        </a:ln>
        <a:scene3d>
          <a:camera prst="orthographicFront"/>
          <a:lightRig rig="threePt" dir="t"/>
        </a:scene3d>
        <a:sp3d>
          <a:bevelT w="114300" prst="artDeco"/>
        </a:sp3d>
      </xdr:spPr>
      <xdr:txBody>
        <a:bodyPr vertOverflow="clip" wrap="square" lIns="27432" tIns="22860" rIns="0" bIns="0" anchor="ctr" upright="1"/>
        <a:lstStyle/>
        <a:p>
          <a:pPr algn="ctr" rtl="0">
            <a:defRPr sz="1000"/>
          </a:pPr>
          <a:r>
            <a:rPr lang="en-US" sz="1400" b="1" i="0" u="none" strike="noStrike" baseline="0">
              <a:solidFill>
                <a:schemeClr val="tx1"/>
              </a:solidFill>
              <a:latin typeface="+mn-lt"/>
              <a:cs typeface="Arial"/>
            </a:rPr>
            <a:t>Create PM Upload File</a:t>
          </a:r>
        </a:p>
      </xdr:txBody>
    </xdr:sp>
    <xdr:clientData/>
  </xdr:twoCellAnchor>
</xdr:wsDr>
</file>

<file path=xl/drawings/drawing9.xml><?xml version="1.0" encoding="utf-8"?>
<xdr:wsDr xmlns:xdr="http://schemas.openxmlformats.org/drawingml/2006/spreadsheetDrawing" xmlns:a="http://schemas.openxmlformats.org/drawingml/2006/main">
  <xdr:oneCellAnchor>
    <xdr:from>
      <xdr:col>1</xdr:col>
      <xdr:colOff>114300</xdr:colOff>
      <xdr:row>0</xdr:row>
      <xdr:rowOff>123825</xdr:rowOff>
    </xdr:from>
    <xdr:ext cx="1190625" cy="1132656"/>
    <xdr:pic>
      <xdr:nvPicPr>
        <xdr:cNvPr id="2" name="Picture 1" descr="USF-PRI-C.jpg">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1" cstate="print"/>
        <a:stretch>
          <a:fillRect/>
        </a:stretch>
      </xdr:blipFill>
      <xdr:spPr>
        <a:xfrm>
          <a:off x="243840" y="123825"/>
          <a:ext cx="1190625" cy="1132656"/>
        </a:xfrm>
        <a:prstGeom prst="rect">
          <a:avLst/>
        </a:prstGeom>
      </xdr:spPr>
    </xdr:pic>
    <xdr:clientData/>
  </xdr:one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https://usfoods.sharepoint.com/Users/zvt6026/AppData/Local/Microsoft/Windows/Temporary%20Internet%20Files/Content.Outlook/PAYI50R9/MDA%20Worksheet%20-%20revise%20for%20A%20La%20Carte%20(9.11.17).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MDA Worksheet"/>
      <sheetName val="add to A La Carte"/>
      <sheetName val="Customers"/>
      <sheetName val="Other"/>
      <sheetName val="Drop Box"/>
      <sheetName val="Sheet1"/>
    </sheetNames>
    <sheetDataSet>
      <sheetData sheetId="0" refreshError="1"/>
      <sheetData sheetId="1" refreshError="1"/>
      <sheetData sheetId="2" refreshError="1"/>
      <sheetData sheetId="3" refreshError="1"/>
      <sheetData sheetId="4">
        <row r="3">
          <cell r="A3" t="str">
            <v>IND-Independent Restaurant</v>
          </cell>
          <cell r="B3" t="str">
            <v>ACH AUTO DEDUCT</v>
          </cell>
          <cell r="C3" t="str">
            <v>by Percent</v>
          </cell>
          <cell r="E3" t="str">
            <v>Individual Customer</v>
          </cell>
          <cell r="F3" t="str">
            <v>Exclusive Brands</v>
          </cell>
          <cell r="G3" t="str">
            <v>Fiscal/Monthly</v>
          </cell>
          <cell r="H3" t="str">
            <v>New Business</v>
          </cell>
          <cell r="I3" t="str">
            <v>YES</v>
          </cell>
          <cell r="J3" t="str">
            <v>2140 ALBANY</v>
          </cell>
          <cell r="K3" t="str">
            <v>All Customers</v>
          </cell>
          <cell r="L3" t="str">
            <v>Include Routed Orders Only</v>
          </cell>
          <cell r="M3" t="str">
            <v>Daily Invoices</v>
          </cell>
          <cell r="N3" t="str">
            <v>Individual Invoices/Days to Pay</v>
          </cell>
          <cell r="R3" t="str">
            <v>Check</v>
          </cell>
        </row>
        <row r="4">
          <cell r="A4" t="str">
            <v>REG-Regional Concept</v>
          </cell>
          <cell r="B4" t="str">
            <v>COD - CASH</v>
          </cell>
          <cell r="C4" t="str">
            <v>by Dollars</v>
          </cell>
          <cell r="E4" t="str">
            <v>Corp Check</v>
          </cell>
          <cell r="F4" t="str">
            <v>Volume Based</v>
          </cell>
          <cell r="G4" t="str">
            <v>Fiscal/Quarterly</v>
          </cell>
          <cell r="H4" t="str">
            <v>Migrated</v>
          </cell>
          <cell r="I4" t="str">
            <v>No</v>
          </cell>
          <cell r="J4" t="str">
            <v>1933 ALBUQUERQUE</v>
          </cell>
          <cell r="K4" t="str">
            <v>Individual Customers</v>
          </cell>
          <cell r="L4" t="str">
            <v>Include All Orders</v>
          </cell>
          <cell r="M4" t="str">
            <v>Average Invoices</v>
          </cell>
          <cell r="N4" t="str">
            <v>Individual Invoices/DSO</v>
          </cell>
          <cell r="R4" t="str">
            <v>Credit Memo</v>
          </cell>
        </row>
        <row r="5">
          <cell r="A5" t="str">
            <v>HC-Healthcare</v>
          </cell>
          <cell r="B5" t="str">
            <v>COD CHECK</v>
          </cell>
          <cell r="C5" t="str">
            <v>by Cases</v>
          </cell>
          <cell r="E5" t="str">
            <v>Corp Credit Memo</v>
          </cell>
          <cell r="F5" t="str">
            <v>Drop Size</v>
          </cell>
          <cell r="G5" t="str">
            <v>Fiscal/Annually</v>
          </cell>
          <cell r="H5" t="str">
            <v>Renewal</v>
          </cell>
          <cell r="J5" t="str">
            <v>2110 ALLENTOWN</v>
          </cell>
          <cell r="L5" t="str">
            <v>Exclude Vendor Shipped</v>
          </cell>
          <cell r="N5" t="str">
            <v>Individual Invoices/% Current</v>
          </cell>
          <cell r="R5" t="str">
            <v>Post to GL</v>
          </cell>
        </row>
        <row r="6">
          <cell r="A6" t="str">
            <v>HOS-Hospitality</v>
          </cell>
          <cell r="B6" t="str">
            <v>COD/CHECK</v>
          </cell>
          <cell r="C6" t="str">
            <v>by LBS</v>
          </cell>
          <cell r="E6" t="str">
            <v>Post to GL Acct</v>
          </cell>
          <cell r="F6" t="str">
            <v>Flat Fee/Signing Bonus</v>
          </cell>
          <cell r="G6" t="str">
            <v>Calendar/Monthly</v>
          </cell>
          <cell r="J6" t="str">
            <v>2220 ATLANTA</v>
          </cell>
          <cell r="L6" t="str">
            <v>Exclude Unlinked Credit/Debit Memos</v>
          </cell>
          <cell r="N6" t="str">
            <v>Average Invoices/Days to Pay</v>
          </cell>
        </row>
        <row r="7">
          <cell r="A7" t="str">
            <v>EDU-Education</v>
          </cell>
          <cell r="B7" t="str">
            <v>CREDIT CARD</v>
          </cell>
          <cell r="F7" t="str">
            <v>Flat Fee/Marketing</v>
          </cell>
          <cell r="G7" t="str">
            <v>Calendar/Quarterly</v>
          </cell>
          <cell r="J7" t="str">
            <v>3023 AUSTIN</v>
          </cell>
          <cell r="L7" t="str">
            <v>Exclude Will Call</v>
          </cell>
          <cell r="N7" t="str">
            <v>Average Invoices/DSO</v>
          </cell>
        </row>
        <row r="8">
          <cell r="A8" t="str">
            <v>OTH-Other</v>
          </cell>
          <cell r="B8" t="str">
            <v>NET  3 DAYS</v>
          </cell>
          <cell r="F8" t="str">
            <v>Manual Estimator</v>
          </cell>
          <cell r="G8" t="str">
            <v>Calendar/Annually</v>
          </cell>
          <cell r="J8" t="str">
            <v>2010 BALTIMORE</v>
          </cell>
          <cell r="L8" t="str">
            <v>Exclude Cash and Carry (Chef's Stores)</v>
          </cell>
          <cell r="N8" t="str">
            <v>Average Invoices/% Current</v>
          </cell>
        </row>
        <row r="9">
          <cell r="A9" t="str">
            <v>RTL-Retail</v>
          </cell>
          <cell r="B9" t="str">
            <v>NET  7 DAYS</v>
          </cell>
          <cell r="F9" t="str">
            <v>Manual Tracking</v>
          </cell>
          <cell r="G9" t="str">
            <v>Program</v>
          </cell>
          <cell r="J9" t="str">
            <v>2148 BOSTON</v>
          </cell>
        </row>
        <row r="10">
          <cell r="A10" t="str">
            <v>GOV-Government</v>
          </cell>
          <cell r="B10" t="str">
            <v>NET 10 DAYS</v>
          </cell>
          <cell r="F10" t="str">
            <v>Prompt Pay</v>
          </cell>
          <cell r="G10" t="str">
            <v>Weekly</v>
          </cell>
          <cell r="J10" t="str">
            <v>2155 BOSTON SOUTH</v>
          </cell>
        </row>
        <row r="11">
          <cell r="A11" t="str">
            <v>NCH-National Chain</v>
          </cell>
          <cell r="B11" t="str">
            <v>NET 10 EOM</v>
          </cell>
          <cell r="F11" t="str">
            <v>New Business Incentive</v>
          </cell>
          <cell r="J11" t="str">
            <v>2190 BUFFALO</v>
          </cell>
        </row>
        <row r="12">
          <cell r="B12" t="str">
            <v>NET 14 DAYS</v>
          </cell>
          <cell r="F12" t="str">
            <v>Upcharge</v>
          </cell>
          <cell r="J12" t="str">
            <v>2210 CHARLOTTE</v>
          </cell>
        </row>
        <row r="13">
          <cell r="B13" t="str">
            <v>NET 21 DAYS</v>
          </cell>
          <cell r="F13" t="str">
            <v>VAS Request</v>
          </cell>
          <cell r="J13" t="str">
            <v>2099 CHICAGO</v>
          </cell>
        </row>
        <row r="14">
          <cell r="B14" t="str">
            <v>NET 28 DAYS</v>
          </cell>
          <cell r="F14" t="str">
            <v>My Kitchens Promotion</v>
          </cell>
          <cell r="J14" t="str">
            <v>1103 CINCINNATI</v>
          </cell>
        </row>
        <row r="15">
          <cell r="B15" t="str">
            <v>NET 30 DAYS</v>
          </cell>
          <cell r="J15" t="str">
            <v>1104 CLEVELAND</v>
          </cell>
        </row>
        <row r="16">
          <cell r="B16" t="str">
            <v>NET 45 DAYS</v>
          </cell>
          <cell r="J16" t="str">
            <v>2260 COLUMBIA</v>
          </cell>
        </row>
        <row r="17">
          <cell r="B17" t="str">
            <v>NET 60 DAYS</v>
          </cell>
          <cell r="J17" t="str">
            <v>4150 CORONA</v>
          </cell>
        </row>
        <row r="18">
          <cell r="J18" t="str">
            <v>3150 DALLAS</v>
          </cell>
        </row>
        <row r="19">
          <cell r="J19" t="str">
            <v>3160 DENVER</v>
          </cell>
        </row>
        <row r="20">
          <cell r="J20" t="str">
            <v>1106 DETROIT</v>
          </cell>
        </row>
        <row r="21">
          <cell r="J21" t="str">
            <v>2380 FAIRMONT</v>
          </cell>
        </row>
        <row r="22">
          <cell r="J22" t="str">
            <v>2250 FORT MILL</v>
          </cell>
        </row>
        <row r="23">
          <cell r="J23" t="str">
            <v>3126 HOUSTON</v>
          </cell>
        </row>
        <row r="24">
          <cell r="J24" t="str">
            <v>1054 INDIANAPOLIS</v>
          </cell>
        </row>
        <row r="25">
          <cell r="J25" t="str">
            <v>2370 IOWA CITY</v>
          </cell>
        </row>
        <row r="26">
          <cell r="J26" t="str">
            <v>3186 JACKSON</v>
          </cell>
        </row>
        <row r="27">
          <cell r="J27" t="str">
            <v>3230 KANSAS CITY</v>
          </cell>
        </row>
        <row r="28">
          <cell r="J28" t="str">
            <v>2270 KNOXVILLE</v>
          </cell>
        </row>
        <row r="29">
          <cell r="J29" t="str">
            <v>3130 LAKELAND</v>
          </cell>
        </row>
        <row r="30">
          <cell r="J30" t="str">
            <v>4100 LAS VEGAS</v>
          </cell>
        </row>
        <row r="31">
          <cell r="J31" t="str">
            <v>3051 LITTLE ROCK</v>
          </cell>
        </row>
        <row r="32">
          <cell r="J32" t="str">
            <v>4120 LOS ANGELES</v>
          </cell>
        </row>
        <row r="33">
          <cell r="J33" t="str">
            <v>3120 LUBBOCK</v>
          </cell>
        </row>
        <row r="34">
          <cell r="J34" t="str">
            <v>2125 MANASSAS</v>
          </cell>
        </row>
        <row r="35">
          <cell r="J35" t="str">
            <v>3147 MEMPHIS</v>
          </cell>
        </row>
        <row r="36">
          <cell r="J36" t="str">
            <v>2160 METRO NEW YORK</v>
          </cell>
        </row>
        <row r="37">
          <cell r="J37" t="str">
            <v>0248 MILWAUKEE</v>
          </cell>
        </row>
        <row r="38">
          <cell r="J38" t="str">
            <v>2350 MINNESOTA</v>
          </cell>
        </row>
        <row r="39">
          <cell r="J39" t="str">
            <v>3210 MISSOURI - SALEM</v>
          </cell>
        </row>
        <row r="40">
          <cell r="J40" t="str">
            <v>3220 MISSOURI - ST. LOUIS</v>
          </cell>
        </row>
        <row r="41">
          <cell r="J41" t="str">
            <v>2230 MONTGOMERY</v>
          </cell>
        </row>
        <row r="42">
          <cell r="J42" t="str">
            <v>3139 NORCROSS</v>
          </cell>
        </row>
        <row r="43">
          <cell r="J43" t="str">
            <v>2345 NORTH DAKOTA - BISMARCK</v>
          </cell>
        </row>
        <row r="44">
          <cell r="J44" t="str">
            <v>2340 NORTH DAKOTA - GRAND FORKS</v>
          </cell>
        </row>
        <row r="45">
          <cell r="J45" t="str">
            <v>4147 NORTHWEST</v>
          </cell>
        </row>
        <row r="46">
          <cell r="J46" t="str">
            <v>3170 OKLAHOMA CITY</v>
          </cell>
        </row>
        <row r="47">
          <cell r="J47" t="str">
            <v>3180 OKLAHOMA CITY - WEST</v>
          </cell>
        </row>
        <row r="48">
          <cell r="J48" t="str">
            <v>2360 OMAHA</v>
          </cell>
        </row>
        <row r="49">
          <cell r="J49" t="str">
            <v>3060 ORMOND BEACH</v>
          </cell>
        </row>
        <row r="50">
          <cell r="J50" t="str">
            <v>3190 PHILADELPHIA - BRIDGEPORT</v>
          </cell>
        </row>
        <row r="51">
          <cell r="J51" t="str">
            <v>2116 PHILADELPHIA - SWEDESBORO</v>
          </cell>
        </row>
        <row r="52">
          <cell r="J52" t="str">
            <v>4146 PHOENIX</v>
          </cell>
        </row>
        <row r="53">
          <cell r="J53" t="str">
            <v>3055 PORT ORANGE</v>
          </cell>
        </row>
        <row r="54">
          <cell r="J54" t="str">
            <v>3030 PORTLAND</v>
          </cell>
        </row>
        <row r="55">
          <cell r="J55" t="str">
            <v>2240 RALEIGH</v>
          </cell>
        </row>
        <row r="56">
          <cell r="J56" t="str">
            <v>4110 RENO</v>
          </cell>
        </row>
        <row r="57">
          <cell r="J57" t="str">
            <v>2135 ROANOKE</v>
          </cell>
        </row>
        <row r="58">
          <cell r="J58" t="str">
            <v>4118 SALT LAKE CITY</v>
          </cell>
        </row>
        <row r="59">
          <cell r="J59" t="str">
            <v>4140 SAN DIEGO</v>
          </cell>
        </row>
        <row r="60">
          <cell r="J60" t="str">
            <v>4117 SAN FRANCISCO</v>
          </cell>
        </row>
        <row r="61">
          <cell r="J61" t="str">
            <v>3135 SOUTH FLORIDA</v>
          </cell>
        </row>
        <row r="62">
          <cell r="J62" t="str">
            <v>2020 SOUTHERN NEW ENGLAND</v>
          </cell>
        </row>
        <row r="63">
          <cell r="J63" t="str">
            <v>2330 STREATOR</v>
          </cell>
        </row>
        <row r="64">
          <cell r="J64" t="str">
            <v>3103 TAMPA</v>
          </cell>
        </row>
        <row r="65">
          <cell r="J65" t="str">
            <v>2310 WAUKESHA</v>
          </cell>
        </row>
        <row r="66">
          <cell r="J66" t="str">
            <v>2165 WEST VIRGINIA</v>
          </cell>
        </row>
        <row r="67">
          <cell r="J67" t="str">
            <v>2180 WESTERN PA - ALTOONA</v>
          </cell>
        </row>
        <row r="68">
          <cell r="J68" t="str">
            <v>2185 WESTERN PA - GREENSBURG</v>
          </cell>
        </row>
      </sheetData>
      <sheetData sheetId="5" refreshError="1"/>
    </sheetDataSet>
  </externalBook>
</external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57F05324-A277-468A-8EB6-4A8E2A6609E7}" autoFormatId="0" applyNumberFormats="0" applyBorderFormats="0" applyFontFormats="1" applyPatternFormats="1" applyAlignmentFormats="0" applyWidthHeightFormats="0">
  <queryTableRefresh preserveSortFilterLayout="0" nextId="6">
    <queryTableFields count="2">
      <queryTableField id="1" name="CUST_NBR"/>
      <queryTableField id="2" name="CUST_NM"/>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 xr16:uid="{A287E058-BA21-4A91-9C38-244232F670C5}" autoFormatId="0" applyNumberFormats="0" applyBorderFormats="0" applyFontFormats="1" applyPatternFormats="1" applyAlignmentFormats="0" applyWidthHeightFormats="0">
  <queryTableRefresh preserveSortFilterLayout="0" nextId="3">
    <queryTableFields count="2">
      <queryTableField id="1" name="CUST_NBR"/>
      <queryTableField id="2" name="CUST_NM"/>
    </queryTableFields>
    <sortState xmlns:xlrd2="http://schemas.microsoft.com/office/spreadsheetml/2017/richdata2" ref="A2:B1053">
      <sortCondition ref="B1"/>
    </sortState>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1" xr16:uid="{0A9B318E-3C37-4F18-9274-561D10B00609}" autoFormatId="0" applyNumberFormats="0" applyBorderFormats="0" applyFontFormats="1" applyPatternFormats="1" applyAlignmentFormats="0" applyWidthHeightFormats="0">
  <queryTableRefresh preserveSortFilterLayout="0" nextId="30">
    <queryTableFields count="29">
      <queryTableField id="1" name="CUST_NBR"/>
      <queryTableField id="2" name="CUST_NM"/>
      <queryTableField id="3" name="PARENT_MULTI_UNIT"/>
      <queryTableField id="4" name="PYRAMID_SEGMENT_DESC"/>
      <queryTableField id="5" name="ACCOUNTABLITY"/>
      <queryTableField id="6" name="MENU_GROUPING"/>
      <queryTableField id="7" name="SIMPLIFIED_MENU_TYPE"/>
      <queryTableField id="8" name="PIM_CLASS_DESC"/>
      <queryTableField id="9" name="ZIP_CODE"/>
      <queryTableField id="10" name="Z5_ZIP"/>
      <queryTableField id="11" name="REGION_NAME"/>
      <queryTableField id="12" name="DIVISION_NAME"/>
      <queryTableField id="13" name="ZONE_NAME"/>
      <queryTableField id="14" name="QUANTITY_SHIPPED_SUM"/>
      <queryTableField id="15" name="EB_CASES"/>
      <queryTableField id="16" name="NET_WEIGHT_SHIPPED_SUM"/>
      <queryTableField id="17" name="GROSS_SALES_EXTENDED_SUM"/>
      <queryTableField id="18" name="GROSS_TGP_SUM"/>
      <queryTableField id="19" name="TOTAL_ALLOWANCE_SUM"/>
      <queryTableField id="20" name="TOTAL_VENDOR_FUNDED_DEVIATIONS"/>
      <queryTableField id="21" name="TOTAL_INTERNAL_FUNDED_DEVIATIONS"/>
      <queryTableField id="22" name="TAGP"/>
      <queryTableField id="23" name="CITY"/>
      <queryTableField id="24" name="STATE"/>
      <queryTableField id="25" name="ADDRESS_1"/>
      <queryTableField id="26" name="ADDRESS_2"/>
      <queryTableField id="27" name="PHONE_NUMBER"/>
      <queryTableField id="28" name="BRNCH_CD"/>
      <queryTableField id="29" name="GROSS_SALES_EXTENDED_EB"/>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connectionId="1" xr16:uid="{27440CBA-5FBE-4FB5-907C-4BB78DB84A12}" autoFormatId="0" applyNumberFormats="0" applyBorderFormats="0" applyFontFormats="1" applyPatternFormats="1" applyAlignmentFormats="0" applyWidthHeightFormats="0">
  <queryTableRefresh preserveSortFilterLayout="0" nextId="7">
    <queryTableFields count="6">
      <queryTableField id="1" name="CUST_NM"/>
      <queryTableField id="2" name="CUST_NBR"/>
      <queryTableField id="3" name="SUM(C.&quot;VARIABLE DELIVERY COST&quot;)"/>
      <queryTableField id="4" name="SUM(C.&quot;VARIABLE SELLING COST&quot;)"/>
      <queryTableField id="5" name="SUM(C.&quot;VARIABLE WAREHOUSE COST&quot;)"/>
      <queryTableField id="6" name="SUM(C.DROPS)"/>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connectionId="1" xr16:uid="{B0856F84-5009-427A-92A9-9139C44CC4EE}" autoFormatId="0" applyNumberFormats="0" applyBorderFormats="0" applyFontFormats="1" applyPatternFormats="1" applyAlignmentFormats="0" applyWidthHeightFormats="0">
  <queryTableRefresh preserveSortFilterLayout="0" nextId="7">
    <queryTableFields count="6">
      <queryTableField id="1" name="CUST_NBR"/>
      <queryTableField id="2" name="CUST_NM"/>
      <queryTableField id="3" name="ADDR_LN_1"/>
      <queryTableField id="4" name="CITY"/>
      <queryTableField id="5" name="ST"/>
      <queryTableField id="6" name="ZIP_CODE"/>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2" connectionId="1" xr16:uid="{A27622AB-2238-417C-818E-F33B3BBBB586}" autoFormatId="0" applyNumberFormats="0" applyBorderFormats="0" applyFontFormats="1" applyPatternFormats="1" applyAlignmentFormats="0" applyWidthHeightFormats="0">
  <queryTableRefresh preserveSortFilterLayout="0" nextId="16">
    <queryTableFields count="15">
      <queryTableField id="1" name="BRNCH_CD"/>
      <queryTableField id="2" name="CONCAT"/>
      <queryTableField id="3" name="MARKET_NAME"/>
      <queryTableField id="4" name="DIV_NBR"/>
      <queryTableField id="5" name="PYR_SEG_DESC"/>
      <queryTableField id="6" name="CUST_ACCTBLY_FLG"/>
      <queryTableField id="7" name="CUST_CNTRCT_FLG"/>
      <queryTableField id="8" name="SUM (&quot;VARIABLE SELLING COST&quot;)"/>
      <queryTableField id="9" name="SUM(&quot;SEMI FIXED SALARY SHARE&quot;)"/>
      <queryTableField id="10" name="SUM(UNFRM_QTY_SHIPPED)"/>
      <queryTableField id="11" name="SUM(GROSS_SALES_EXTENDED)"/>
      <queryTableField id="12" name="Variable Selling/Case"/>
      <queryTableField id="13" name="Variable Selling/Sales"/>
      <queryTableField id="14" name="Semi-Fixed Salary/Case"/>
      <queryTableField id="15" name="Semi-Fixed Salary/Case"/>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2" connectionId="1" xr16:uid="{AFA816BB-732A-4438-8FB4-74B7962804BB}" autoFormatId="0" applyNumberFormats="0" applyBorderFormats="0" applyFontFormats="1" applyPatternFormats="1" applyAlignmentFormats="0" applyWidthHeightFormats="0">
  <queryTableRefresh preserveSortFilterLayout="0" nextId="14">
    <queryTableFields count="13">
      <queryTableField id="1" name="CUST_ACCTBLY_FLG"/>
      <queryTableField id="2" name="BRNCH_CD"/>
      <queryTableField id="3" name="DIV_NBR"/>
      <queryTableField id="4" name="DIV_NM"/>
      <queryTableField id="5" name="SUM(GROSS_SALES_EXTENDED)"/>
      <queryTableField id="6" name="SUM(NET_SALES)"/>
      <queryTableField id="7" name="SUM(UNFRM_QTY_SHIPPED)"/>
      <queryTableField id="8" name="VARIABLE_DELIVERY_COST_PER_CASE"/>
      <queryTableField id="9" name="VARIABLE_WAREHOUSE_COST_PER_CASE"/>
      <queryTableField id="10" name="VARIABLE_SELLING_COST_PER_CASE"/>
      <queryTableField id="11" name="Total Variable Cost Per Case"/>
      <queryTableField id="12" name="Other GP Per Case"/>
      <queryTableField id="13" name="CM Per Case"/>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2" connectionId="1" xr16:uid="{F2DBF53B-91AE-45B1-A14D-FD4072FDAA3A}" autoFormatId="0" applyNumberFormats="0" applyBorderFormats="0" applyFontFormats="1" applyPatternFormats="1" applyAlignmentFormats="0" applyWidthHeightFormats="0">
  <queryTableRefresh preserveSortFilterLayout="0" nextId="7">
    <queryTableFields count="6">
      <queryTableField id="1" name="CONCAT"/>
      <queryTableField id="2" name="A3_DIGIT_ZIP"/>
      <queryTableField id="3" name="BRNCH_CD"/>
      <queryTableField id="4" name="Total Variable Delivery"/>
      <queryTableField id="5" name="SUM(DROPS)"/>
      <queryTableField id="6" name="DELIVERY_COST_PER_DROP"/>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2" connectionId="1" xr16:uid="{2633FF0B-B858-495C-A21A-00BC5D5F3217}" autoFormatId="0" applyNumberFormats="0" applyBorderFormats="0" applyFontFormats="1" applyPatternFormats="1" applyAlignmentFormats="0" applyWidthHeightFormats="0">
  <queryTableRefresh preserveSortFilterLayout="0" nextId="7">
    <queryTableFields count="6">
      <queryTableField id="1" name="CONCAT"/>
      <queryTableField id="2" name="A4_DIGIT_ZIP"/>
      <queryTableField id="3" name="BRNCH_CD"/>
      <queryTableField id="4" name="Total Variable Delivery"/>
      <queryTableField id="5" name="SUM(DROPS)"/>
      <queryTableField id="6" name="DELIVERY_COST_PER_DROP"/>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connectionId="1" xr16:uid="{71DFF128-E621-450F-8E16-F4153170681B}" autoFormatId="0" applyNumberFormats="0" applyBorderFormats="0" applyFontFormats="1" applyPatternFormats="1" applyAlignmentFormats="0" applyWidthHeightFormats="0">
  <queryTableRefresh preserveSortFilterLayout="0" nextId="7">
    <queryTableFields count="6">
      <queryTableField id="1" name="CONCAT"/>
      <queryTableField id="2" name="A5_DIGIT_ZIP"/>
      <queryTableField id="3" name="BRNCH_CD"/>
      <queryTableField id="4" name="Total Variable Delivery"/>
      <queryTableField id="5" name="SUM(DROPS)"/>
      <queryTableField id="6" name="DELIVERY_COST_PER_DROP"/>
    </queryTableFields>
  </queryTableRefresh>
</query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omments" Target="../comments1.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5.bin"/><Relationship Id="rId4" Type="http://schemas.openxmlformats.org/officeDocument/2006/relationships/comments" Target="../comments3.xml"/></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8.bin"/><Relationship Id="rId4" Type="http://schemas.openxmlformats.org/officeDocument/2006/relationships/comments" Target="../comments4.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9.xml"/><Relationship Id="rId1" Type="http://schemas.openxmlformats.org/officeDocument/2006/relationships/printerSettings" Target="../printerSettings/printerSettings19.bin"/><Relationship Id="rId4" Type="http://schemas.openxmlformats.org/officeDocument/2006/relationships/comments" Target="../comments6.x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2" Type="http://schemas.openxmlformats.org/officeDocument/2006/relationships/queryTable" Target="../queryTables/queryTable3.xml"/><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2" Type="http://schemas.openxmlformats.org/officeDocument/2006/relationships/queryTable" Target="../queryTables/queryTable4.xml"/><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2" Type="http://schemas.openxmlformats.org/officeDocument/2006/relationships/queryTable" Target="../queryTables/queryTable5.xml"/><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2" Type="http://schemas.openxmlformats.org/officeDocument/2006/relationships/queryTable" Target="../queryTables/queryTable6.xml"/><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7.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2" Type="http://schemas.openxmlformats.org/officeDocument/2006/relationships/queryTable" Target="../queryTables/queryTable8.xml"/><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2" Type="http://schemas.openxmlformats.org/officeDocument/2006/relationships/queryTable" Target="../queryTables/queryTable9.xml"/><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2" Type="http://schemas.openxmlformats.org/officeDocument/2006/relationships/queryTable" Target="../queryTables/queryTable10.xml"/><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2">
    <tabColor rgb="FFFF0000"/>
  </sheetPr>
  <dimension ref="A1:E86"/>
  <sheetViews>
    <sheetView topLeftCell="A24" zoomScaleNormal="100" workbookViewId="0">
      <selection activeCell="B39" sqref="B39"/>
    </sheetView>
  </sheetViews>
  <sheetFormatPr defaultRowHeight="15" x14ac:dyDescent="0.25"/>
  <cols>
    <col min="1" max="1" width="24.140625" customWidth="1"/>
    <col min="2" max="2" width="17.85546875" customWidth="1"/>
    <col min="3" max="3" width="13.42578125" bestFit="1" customWidth="1"/>
    <col min="4" max="4" width="29.5703125" customWidth="1"/>
    <col min="5" max="5" width="14.28515625" customWidth="1"/>
  </cols>
  <sheetData>
    <row r="1" spans="1:5" x14ac:dyDescent="0.25">
      <c r="A1" s="1281" t="s">
        <v>759</v>
      </c>
      <c r="B1" s="1281"/>
      <c r="C1" s="1281"/>
      <c r="D1" s="1281"/>
      <c r="E1" s="1281"/>
    </row>
    <row r="2" spans="1:5" x14ac:dyDescent="0.25">
      <c r="A2" s="1281" t="s">
        <v>760</v>
      </c>
      <c r="B2" s="1281"/>
      <c r="C2" s="1281"/>
      <c r="D2" s="1281"/>
      <c r="E2" s="1281"/>
    </row>
    <row r="3" spans="1:5" x14ac:dyDescent="0.25">
      <c r="A3" s="72"/>
    </row>
    <row r="4" spans="1:5" ht="78" customHeight="1" x14ac:dyDescent="0.25">
      <c r="A4" s="1299" t="s">
        <v>761</v>
      </c>
      <c r="B4" s="1299"/>
      <c r="C4" s="1299"/>
      <c r="D4" s="1299"/>
      <c r="E4" s="1299"/>
    </row>
    <row r="5" spans="1:5" x14ac:dyDescent="0.25">
      <c r="A5" s="72"/>
    </row>
    <row r="6" spans="1:5" ht="31.5" customHeight="1" x14ac:dyDescent="0.25">
      <c r="A6" s="1298" t="s">
        <v>762</v>
      </c>
      <c r="B6" s="1298"/>
      <c r="C6" s="1298"/>
      <c r="D6" s="1298"/>
      <c r="E6" s="1298"/>
    </row>
    <row r="7" spans="1:5" ht="15.75" thickBot="1" x14ac:dyDescent="0.3">
      <c r="A7" s="73"/>
    </row>
    <row r="8" spans="1:5" ht="15" customHeight="1" x14ac:dyDescent="0.25">
      <c r="A8" s="1292" t="s">
        <v>763</v>
      </c>
      <c r="B8" s="1293"/>
      <c r="C8" s="1293"/>
      <c r="D8" s="1293"/>
      <c r="E8" s="1294"/>
    </row>
    <row r="9" spans="1:5" ht="15" customHeight="1" thickBot="1" x14ac:dyDescent="0.3">
      <c r="A9" s="1295" t="s">
        <v>764</v>
      </c>
      <c r="B9" s="1296"/>
      <c r="C9" s="1296"/>
      <c r="D9" s="1296"/>
      <c r="E9" s="1297"/>
    </row>
    <row r="10" spans="1:5" x14ac:dyDescent="0.25">
      <c r="A10" s="74"/>
      <c r="B10" s="1289"/>
      <c r="C10" s="1289"/>
      <c r="D10" s="78"/>
    </row>
    <row r="11" spans="1:5" ht="31.5" customHeight="1" thickBot="1" x14ac:dyDescent="0.3">
      <c r="A11" s="76" t="s">
        <v>765</v>
      </c>
      <c r="B11" s="1290" t="s">
        <v>766</v>
      </c>
      <c r="C11" s="1290"/>
      <c r="D11" s="78">
        <f>Welcome!$D$4</f>
        <v>0</v>
      </c>
    </row>
    <row r="12" spans="1:5" ht="15.75" thickBot="1" x14ac:dyDescent="0.3">
      <c r="A12" s="76" t="s">
        <v>767</v>
      </c>
      <c r="B12" s="1291">
        <f>'MDA Worksheet'!$R$18</f>
        <v>0</v>
      </c>
      <c r="C12" s="1291"/>
      <c r="D12" s="74"/>
    </row>
    <row r="13" spans="1:5" x14ac:dyDescent="0.25">
      <c r="A13" s="76"/>
      <c r="B13" s="74"/>
      <c r="C13" s="75"/>
      <c r="D13" s="74"/>
    </row>
    <row r="14" spans="1:5" ht="30.75" thickBot="1" x14ac:dyDescent="0.3">
      <c r="A14" s="76" t="s">
        <v>768</v>
      </c>
      <c r="B14" s="133">
        <f>'MDA Worksheet'!$R$24</f>
        <v>0</v>
      </c>
      <c r="C14" s="74" t="s">
        <v>769</v>
      </c>
      <c r="D14" s="134" t="str">
        <f>Welcome!$D$12&amp;" Years"</f>
        <v>Select Term Years</v>
      </c>
    </row>
    <row r="15" spans="1:5" ht="15.75" thickBot="1" x14ac:dyDescent="0.3">
      <c r="A15" s="76" t="s">
        <v>770</v>
      </c>
      <c r="B15" s="121">
        <f>'MDA Worksheet'!$R$24</f>
        <v>0</v>
      </c>
      <c r="C15" s="74" t="s">
        <v>771</v>
      </c>
      <c r="D15" s="121" t="e">
        <f>'MDA Worksheet'!$AV$24</f>
        <v>#REF!</v>
      </c>
    </row>
    <row r="16" spans="1:5" x14ac:dyDescent="0.25">
      <c r="A16" s="74"/>
      <c r="B16" s="117"/>
      <c r="C16" s="74"/>
      <c r="D16" s="117"/>
    </row>
    <row r="17" spans="1:5" ht="15.75" thickBot="1" x14ac:dyDescent="0.3">
      <c r="A17" s="76" t="s">
        <v>772</v>
      </c>
      <c r="B17" s="1288"/>
      <c r="C17" s="1288"/>
      <c r="D17" s="1288"/>
      <c r="E17" s="1288"/>
    </row>
    <row r="18" spans="1:5" x14ac:dyDescent="0.25">
      <c r="A18" s="74"/>
      <c r="B18" s="117"/>
      <c r="C18" s="74"/>
      <c r="D18" s="117"/>
    </row>
    <row r="19" spans="1:5" ht="15.75" thickBot="1" x14ac:dyDescent="0.3">
      <c r="A19" s="76" t="s">
        <v>843</v>
      </c>
      <c r="B19" s="1288">
        <f>Welcome!$D$8</f>
        <v>0</v>
      </c>
      <c r="C19" s="1288"/>
      <c r="D19" s="1288"/>
      <c r="E19" s="1288"/>
    </row>
    <row r="20" spans="1:5" x14ac:dyDescent="0.25">
      <c r="A20" s="76"/>
      <c r="B20" s="117"/>
      <c r="C20" s="74"/>
      <c r="D20" s="117"/>
    </row>
    <row r="21" spans="1:5" x14ac:dyDescent="0.25">
      <c r="A21" s="120"/>
      <c r="B21" s="120"/>
      <c r="C21" s="120"/>
      <c r="D21" s="120"/>
      <c r="E21" s="41"/>
    </row>
    <row r="22" spans="1:5" x14ac:dyDescent="0.25">
      <c r="A22" s="7"/>
      <c r="B22" s="6" t="s">
        <v>231</v>
      </c>
      <c r="C22" s="35"/>
      <c r="D22" s="125" t="s">
        <v>369</v>
      </c>
      <c r="E22" s="41"/>
    </row>
    <row r="23" spans="1:5" x14ac:dyDescent="0.25">
      <c r="A23" s="8" t="s">
        <v>687</v>
      </c>
      <c r="B23" s="12">
        <f>'Tracking &amp; Profitability'!$E$12</f>
        <v>0</v>
      </c>
      <c r="C23" s="124"/>
      <c r="D23" s="64"/>
      <c r="E23" s="41"/>
    </row>
    <row r="24" spans="1:5" x14ac:dyDescent="0.25">
      <c r="A24" s="8" t="s">
        <v>490</v>
      </c>
      <c r="B24" s="12">
        <f>IFERROR('Tracking &amp; Profitability'!$E$13,0)</f>
        <v>0</v>
      </c>
      <c r="C24" s="36"/>
      <c r="D24" s="129">
        <f>IFERROR($B$24/'PIM Model'!$H$31,0)</f>
        <v>0</v>
      </c>
      <c r="E24" s="41"/>
    </row>
    <row r="25" spans="1:5" x14ac:dyDescent="0.25">
      <c r="A25" s="16" t="s">
        <v>222</v>
      </c>
      <c r="B25" s="12">
        <f>IFERROR(#REF!*-1,0)</f>
        <v>0</v>
      </c>
      <c r="C25" s="126"/>
      <c r="D25" s="129">
        <f>IFERROR($B$25/'PIM Model'!$H$31,0)</f>
        <v>0</v>
      </c>
      <c r="E25" s="41"/>
    </row>
    <row r="26" spans="1:5" s="797" customFormat="1" x14ac:dyDescent="0.25">
      <c r="A26" s="16" t="s">
        <v>224</v>
      </c>
      <c r="B26" s="12">
        <f>IFERROR('Tracking &amp; Profitability'!$E$17,0)</f>
        <v>0</v>
      </c>
      <c r="C26" s="126"/>
      <c r="D26" s="129">
        <f>IFERROR(#REF!/'PIM Model'!$H$31,0)</f>
        <v>0</v>
      </c>
      <c r="E26" s="41"/>
    </row>
    <row r="27" spans="1:5" x14ac:dyDescent="0.25">
      <c r="A27" s="8" t="s">
        <v>223</v>
      </c>
      <c r="B27" s="12">
        <f>B24+B25+B26</f>
        <v>0</v>
      </c>
      <c r="C27" s="36"/>
      <c r="D27" s="129">
        <f>IFERROR($B$27/'PIM Model'!$H$31,0)</f>
        <v>0</v>
      </c>
      <c r="E27" s="41"/>
    </row>
    <row r="28" spans="1:5" x14ac:dyDescent="0.25">
      <c r="A28" s="41"/>
      <c r="B28" s="41"/>
      <c r="C28" s="41"/>
      <c r="D28" s="130"/>
      <c r="E28" s="41"/>
    </row>
    <row r="29" spans="1:5" x14ac:dyDescent="0.25">
      <c r="A29" s="16" t="s">
        <v>842</v>
      </c>
      <c r="B29" s="13">
        <f>IFERROR('Variable Costs &amp; Income'!$E$19*-1,0)</f>
        <v>0</v>
      </c>
      <c r="C29" s="37"/>
      <c r="D29" s="129">
        <f>IFERROR($B$29/'PIM Model'!$H$31,0)</f>
        <v>0</v>
      </c>
      <c r="E29" s="41"/>
    </row>
    <row r="30" spans="1:5" x14ac:dyDescent="0.25">
      <c r="A30" s="17" t="s">
        <v>221</v>
      </c>
      <c r="B30" s="12">
        <f>IFERROR('Variable Costs &amp; Income'!$E$29,0)</f>
        <v>0</v>
      </c>
      <c r="C30" s="36"/>
      <c r="D30" s="129">
        <f>IFERROR($B$30/'PIM Model'!$H$31,0)</f>
        <v>0</v>
      </c>
      <c r="E30" s="41"/>
    </row>
    <row r="31" spans="1:5" x14ac:dyDescent="0.25">
      <c r="A31" s="17" t="s">
        <v>220</v>
      </c>
      <c r="B31" s="12">
        <f>'Variable Costs &amp; Income'!$E$30</f>
        <v>0</v>
      </c>
      <c r="C31" s="36"/>
      <c r="D31" s="129">
        <f>IFERROR($B$31/'PIM Model'!$H$31,0)</f>
        <v>0</v>
      </c>
      <c r="E31" s="41"/>
    </row>
    <row r="32" spans="1:5" x14ac:dyDescent="0.25">
      <c r="A32" s="118"/>
      <c r="B32" s="118"/>
      <c r="C32" s="34"/>
      <c r="D32" s="131"/>
      <c r="E32" s="41"/>
    </row>
    <row r="33" spans="1:5" x14ac:dyDescent="0.25">
      <c r="A33" s="8" t="s">
        <v>209</v>
      </c>
      <c r="B33" s="12">
        <f>IFERROR(B27+B29+B30+B31,"")</f>
        <v>0</v>
      </c>
      <c r="C33" s="36"/>
      <c r="D33" s="129">
        <f>IFERROR($B$33/'PIM Model'!$H$31,0)</f>
        <v>0</v>
      </c>
      <c r="E33" s="41"/>
    </row>
    <row r="34" spans="1:5" x14ac:dyDescent="0.25">
      <c r="A34" s="8" t="s">
        <v>844</v>
      </c>
      <c r="B34" s="12">
        <f>IFERROR($B$33/('Tracking &amp; Profitability'!E7*52),0)</f>
        <v>0</v>
      </c>
      <c r="C34" s="41"/>
      <c r="D34" s="41"/>
      <c r="E34" s="41"/>
    </row>
    <row r="35" spans="1:5" x14ac:dyDescent="0.25">
      <c r="A35" s="8" t="s">
        <v>880</v>
      </c>
      <c r="B35" s="132">
        <f>IFERROR(B33/B23,0)</f>
        <v>0</v>
      </c>
      <c r="C35" s="41"/>
      <c r="D35" s="41"/>
      <c r="E35" s="41"/>
    </row>
    <row r="36" spans="1:5" x14ac:dyDescent="0.25">
      <c r="A36" s="119"/>
      <c r="B36" s="41"/>
      <c r="C36" s="41"/>
      <c r="D36" s="123"/>
      <c r="E36" s="41"/>
    </row>
    <row r="37" spans="1:5" x14ac:dyDescent="0.25">
      <c r="A37" s="8" t="s">
        <v>773</v>
      </c>
      <c r="B37" s="12" t="e">
        <f>#REF!</f>
        <v>#REF!</v>
      </c>
      <c r="C37" s="41"/>
      <c r="D37" s="41"/>
      <c r="E37" s="41"/>
    </row>
    <row r="38" spans="1:5" x14ac:dyDescent="0.25">
      <c r="A38" s="8" t="s">
        <v>774</v>
      </c>
      <c r="B38" s="12" t="e">
        <f>SUM(#REF!-#REF!-#REF!)</f>
        <v>#REF!</v>
      </c>
      <c r="C38" s="41"/>
      <c r="D38" s="41"/>
      <c r="E38" s="41"/>
    </row>
    <row r="39" spans="1:5" x14ac:dyDescent="0.25">
      <c r="A39" s="8" t="s">
        <v>464</v>
      </c>
      <c r="B39" s="122">
        <f>'Tracking &amp; Profitability'!$E$8</f>
        <v>0</v>
      </c>
      <c r="C39" s="41"/>
      <c r="D39" s="41"/>
      <c r="E39" s="41"/>
    </row>
    <row r="40" spans="1:5" x14ac:dyDescent="0.25">
      <c r="A40" s="119"/>
      <c r="B40" s="41"/>
      <c r="C40" s="41"/>
      <c r="D40" s="41"/>
      <c r="E40" s="41"/>
    </row>
    <row r="41" spans="1:5" s="822" customFormat="1" ht="15.75" thickBot="1" x14ac:dyDescent="0.3">
      <c r="A41" s="855"/>
    </row>
    <row r="42" spans="1:5" s="822" customFormat="1" ht="15.75" thickBot="1" x14ac:dyDescent="0.3">
      <c r="A42" s="1260" t="s">
        <v>1242</v>
      </c>
      <c r="B42" s="1261"/>
      <c r="C42" s="1261"/>
      <c r="D42" s="1261"/>
      <c r="E42" s="1262"/>
    </row>
    <row r="43" spans="1:5" s="822" customFormat="1" x14ac:dyDescent="0.25">
      <c r="A43" s="1269"/>
      <c r="B43" s="1270"/>
      <c r="C43" s="1270"/>
      <c r="D43" s="1270"/>
      <c r="E43" s="1271"/>
    </row>
    <row r="44" spans="1:5" s="822" customFormat="1" ht="15.75" thickBot="1" x14ac:dyDescent="0.3">
      <c r="A44" s="1272"/>
      <c r="B44" s="1273"/>
      <c r="C44" s="1273"/>
      <c r="D44" s="1273"/>
      <c r="E44" s="1274"/>
    </row>
    <row r="45" spans="1:5" s="822" customFormat="1" ht="15.75" thickBot="1" x14ac:dyDescent="0.3">
      <c r="A45" s="855"/>
    </row>
    <row r="46" spans="1:5" s="822" customFormat="1" ht="15.75" thickBot="1" x14ac:dyDescent="0.3">
      <c r="A46" s="1260" t="s">
        <v>1231</v>
      </c>
      <c r="B46" s="1261"/>
      <c r="C46" s="1261"/>
      <c r="D46" s="1261"/>
      <c r="E46" s="1262"/>
    </row>
    <row r="47" spans="1:5" s="822" customFormat="1" ht="15.75" x14ac:dyDescent="0.25">
      <c r="A47" s="856" t="s">
        <v>1232</v>
      </c>
      <c r="B47" s="857"/>
      <c r="C47" s="868" t="s">
        <v>1233</v>
      </c>
      <c r="D47" s="858"/>
      <c r="E47" s="859"/>
    </row>
    <row r="48" spans="1:5" s="822" customFormat="1" ht="15" customHeight="1" x14ac:dyDescent="0.25">
      <c r="A48" s="856" t="s">
        <v>1234</v>
      </c>
      <c r="B48" s="857"/>
      <c r="C48" s="869"/>
      <c r="D48" s="862" t="s">
        <v>1235</v>
      </c>
      <c r="E48" s="870"/>
    </row>
    <row r="49" spans="1:5" s="822" customFormat="1" ht="15.75" x14ac:dyDescent="0.25">
      <c r="A49" s="856" t="s">
        <v>1236</v>
      </c>
      <c r="B49" s="857"/>
      <c r="C49" s="869"/>
      <c r="D49" s="858" t="s">
        <v>1237</v>
      </c>
      <c r="E49" s="870"/>
    </row>
    <row r="50" spans="1:5" s="822" customFormat="1" ht="15.75" x14ac:dyDescent="0.25">
      <c r="A50" s="856" t="s">
        <v>1238</v>
      </c>
      <c r="B50" s="857"/>
      <c r="C50" s="869"/>
      <c r="D50" s="858"/>
      <c r="E50" s="859"/>
    </row>
    <row r="51" spans="1:5" s="822" customFormat="1" ht="15.75" x14ac:dyDescent="0.25">
      <c r="A51" s="856" t="s">
        <v>1239</v>
      </c>
      <c r="B51" s="857"/>
      <c r="C51" s="869"/>
      <c r="D51" s="858" t="s">
        <v>1240</v>
      </c>
      <c r="E51" s="870"/>
    </row>
    <row r="52" spans="1:5" s="822" customFormat="1" ht="15.75" x14ac:dyDescent="0.25">
      <c r="A52" s="856" t="s">
        <v>1241</v>
      </c>
      <c r="B52" s="857"/>
      <c r="C52" s="860"/>
      <c r="D52" s="857"/>
      <c r="E52" s="861"/>
    </row>
    <row r="53" spans="1:5" s="822" customFormat="1" x14ac:dyDescent="0.25">
      <c r="A53" s="1263"/>
      <c r="B53" s="1264"/>
      <c r="C53" s="1264"/>
      <c r="D53" s="1264"/>
      <c r="E53" s="1265"/>
    </row>
    <row r="54" spans="1:5" s="822" customFormat="1" ht="15.75" thickBot="1" x14ac:dyDescent="0.3">
      <c r="A54" s="1266"/>
      <c r="B54" s="1267"/>
      <c r="C54" s="1267"/>
      <c r="D54" s="1267"/>
      <c r="E54" s="1268"/>
    </row>
    <row r="55" spans="1:5" ht="15.75" thickBot="1" x14ac:dyDescent="0.3">
      <c r="A55" s="855"/>
      <c r="B55" s="822"/>
      <c r="C55" s="822"/>
      <c r="D55" s="822"/>
      <c r="E55" s="822"/>
    </row>
    <row r="56" spans="1:5" ht="30.75" customHeight="1" thickBot="1" x14ac:dyDescent="0.3">
      <c r="A56" s="1282" t="s">
        <v>775</v>
      </c>
      <c r="B56" s="1283"/>
      <c r="C56" s="1283"/>
      <c r="D56" s="1283"/>
      <c r="E56" s="1284"/>
    </row>
    <row r="57" spans="1:5" ht="15" customHeight="1" x14ac:dyDescent="0.25">
      <c r="A57" s="77"/>
      <c r="B57" s="78"/>
      <c r="C57" s="78"/>
      <c r="D57" s="78"/>
    </row>
    <row r="58" spans="1:5" ht="30.95" customHeight="1" thickBot="1" x14ac:dyDescent="0.3">
      <c r="A58" s="79" t="s">
        <v>776</v>
      </c>
      <c r="B58" s="283"/>
      <c r="C58" s="80" t="s">
        <v>777</v>
      </c>
      <c r="D58" s="283"/>
    </row>
    <row r="59" spans="1:5" ht="30.95" customHeight="1" thickBot="1" x14ac:dyDescent="0.3">
      <c r="A59" s="81" t="s">
        <v>778</v>
      </c>
      <c r="B59" s="283"/>
      <c r="C59" s="80" t="s">
        <v>779</v>
      </c>
      <c r="D59" s="284" t="s">
        <v>780</v>
      </c>
    </row>
    <row r="60" spans="1:5" ht="30.95" customHeight="1" thickBot="1" x14ac:dyDescent="0.3">
      <c r="A60" s="79" t="s">
        <v>781</v>
      </c>
      <c r="B60" s="283"/>
      <c r="C60" s="80" t="s">
        <v>777</v>
      </c>
      <c r="D60" s="284"/>
    </row>
    <row r="61" spans="1:5" ht="30.6" customHeight="1" thickBot="1" x14ac:dyDescent="0.3">
      <c r="A61" s="81" t="s">
        <v>778</v>
      </c>
      <c r="B61" s="283"/>
      <c r="C61" s="80" t="s">
        <v>779</v>
      </c>
      <c r="D61" s="284" t="s">
        <v>782</v>
      </c>
    </row>
    <row r="62" spans="1:5" ht="30.75" customHeight="1" thickBot="1" x14ac:dyDescent="0.3">
      <c r="A62" s="79" t="s">
        <v>783</v>
      </c>
      <c r="B62" s="283"/>
      <c r="C62" s="80" t="s">
        <v>777</v>
      </c>
      <c r="D62" s="283"/>
    </row>
    <row r="63" spans="1:5" ht="30.75" customHeight="1" thickBot="1" x14ac:dyDescent="0.3">
      <c r="A63" s="81" t="s">
        <v>778</v>
      </c>
      <c r="B63" s="284"/>
      <c r="C63" s="80" t="s">
        <v>779</v>
      </c>
      <c r="D63" s="284" t="s">
        <v>784</v>
      </c>
    </row>
    <row r="64" spans="1:5" ht="30.75" customHeight="1" thickBot="1" x14ac:dyDescent="0.3">
      <c r="A64" s="79" t="s">
        <v>785</v>
      </c>
      <c r="B64" s="284"/>
      <c r="C64" s="80" t="s">
        <v>777</v>
      </c>
      <c r="D64" s="284"/>
    </row>
    <row r="65" spans="1:5" ht="30.95" customHeight="1" thickBot="1" x14ac:dyDescent="0.3">
      <c r="A65" s="81" t="s">
        <v>778</v>
      </c>
      <c r="B65" s="284"/>
      <c r="C65" s="80" t="s">
        <v>779</v>
      </c>
      <c r="D65" s="284" t="s">
        <v>786</v>
      </c>
    </row>
    <row r="66" spans="1:5" ht="15.75" thickBot="1" x14ac:dyDescent="0.3">
      <c r="A66" s="5"/>
    </row>
    <row r="67" spans="1:5" ht="15.75" thickBot="1" x14ac:dyDescent="0.3">
      <c r="A67" s="1285" t="s">
        <v>787</v>
      </c>
      <c r="B67" s="1286"/>
      <c r="C67" s="1286"/>
      <c r="D67" s="1286"/>
      <c r="E67" s="1287"/>
    </row>
    <row r="68" spans="1:5" x14ac:dyDescent="0.25">
      <c r="A68" s="77"/>
      <c r="B68" s="78"/>
      <c r="C68" s="78"/>
      <c r="D68" s="78"/>
    </row>
    <row r="69" spans="1:5" ht="30.95" customHeight="1" thickBot="1" x14ac:dyDescent="0.3">
      <c r="A69" s="79" t="s">
        <v>776</v>
      </c>
      <c r="B69" s="283"/>
      <c r="C69" s="80" t="s">
        <v>777</v>
      </c>
      <c r="D69" s="283"/>
    </row>
    <row r="70" spans="1:5" ht="30.95" customHeight="1" thickBot="1" x14ac:dyDescent="0.3">
      <c r="A70" s="81" t="s">
        <v>778</v>
      </c>
      <c r="B70" s="283"/>
      <c r="C70" s="80" t="s">
        <v>779</v>
      </c>
      <c r="D70" s="284" t="s">
        <v>788</v>
      </c>
    </row>
    <row r="71" spans="1:5" ht="30.95" customHeight="1" thickBot="1" x14ac:dyDescent="0.3">
      <c r="A71" s="79" t="s">
        <v>781</v>
      </c>
      <c r="B71" s="283"/>
      <c r="C71" s="80" t="s">
        <v>777</v>
      </c>
      <c r="D71" s="283"/>
    </row>
    <row r="72" spans="1:5" ht="30.95" customHeight="1" thickBot="1" x14ac:dyDescent="0.3">
      <c r="A72" s="81" t="s">
        <v>778</v>
      </c>
      <c r="B72" s="284"/>
      <c r="C72" s="80" t="s">
        <v>779</v>
      </c>
      <c r="D72" s="284" t="s">
        <v>789</v>
      </c>
    </row>
    <row r="73" spans="1:5" ht="15.75" thickBot="1" x14ac:dyDescent="0.3"/>
    <row r="74" spans="1:5" ht="15.75" thickBot="1" x14ac:dyDescent="0.3">
      <c r="A74" s="1275" t="s">
        <v>1243</v>
      </c>
      <c r="B74" s="1276"/>
      <c r="C74" s="1276"/>
      <c r="D74" s="1276"/>
      <c r="E74" s="1277"/>
    </row>
    <row r="75" spans="1:5" ht="30.95" customHeight="1" thickBot="1" x14ac:dyDescent="0.3">
      <c r="A75" s="866" t="s">
        <v>791</v>
      </c>
      <c r="B75" s="283"/>
      <c r="C75" s="863" t="s">
        <v>777</v>
      </c>
      <c r="D75" s="283"/>
    </row>
    <row r="76" spans="1:5" ht="30.95" customHeight="1" thickBot="1" x14ac:dyDescent="0.3">
      <c r="A76" s="866" t="s">
        <v>1244</v>
      </c>
      <c r="B76" s="283"/>
      <c r="C76" s="863" t="s">
        <v>779</v>
      </c>
      <c r="D76" s="867" t="s">
        <v>1245</v>
      </c>
    </row>
    <row r="77" spans="1:5" ht="15" customHeight="1" thickBot="1" x14ac:dyDescent="0.3">
      <c r="A77" s="864"/>
      <c r="B77" s="864"/>
      <c r="C77" s="865"/>
      <c r="D77" s="865"/>
      <c r="E77" s="865"/>
    </row>
    <row r="78" spans="1:5" ht="15.75" thickBot="1" x14ac:dyDescent="0.3">
      <c r="A78" s="1278" t="s">
        <v>790</v>
      </c>
      <c r="B78" s="1279"/>
      <c r="C78" s="1279"/>
      <c r="D78" s="1279"/>
      <c r="E78" s="1280"/>
    </row>
    <row r="79" spans="1:5" x14ac:dyDescent="0.25">
      <c r="A79" s="77"/>
      <c r="B79" s="78"/>
      <c r="C79" s="78"/>
      <c r="D79" s="78"/>
    </row>
    <row r="80" spans="1:5" ht="30.95" customHeight="1" thickBot="1" x14ac:dyDescent="0.3">
      <c r="A80" s="79" t="s">
        <v>791</v>
      </c>
      <c r="B80" s="283"/>
      <c r="C80" s="80" t="s">
        <v>777</v>
      </c>
      <c r="D80" s="283"/>
    </row>
    <row r="81" spans="1:5" ht="30.95" customHeight="1" thickBot="1" x14ac:dyDescent="0.3">
      <c r="A81" s="82" t="s">
        <v>778</v>
      </c>
      <c r="B81" s="283"/>
      <c r="C81" s="80" t="s">
        <v>779</v>
      </c>
      <c r="D81" s="283"/>
    </row>
    <row r="82" spans="1:5" ht="15.75" thickBot="1" x14ac:dyDescent="0.3">
      <c r="A82" s="5"/>
    </row>
    <row r="83" spans="1:5" ht="15.75" thickBot="1" x14ac:dyDescent="0.3">
      <c r="A83" s="1278" t="s">
        <v>792</v>
      </c>
      <c r="B83" s="1279"/>
      <c r="C83" s="1279"/>
      <c r="D83" s="1279"/>
      <c r="E83" s="1280"/>
    </row>
    <row r="84" spans="1:5" x14ac:dyDescent="0.25">
      <c r="A84" s="77"/>
      <c r="B84" s="78"/>
      <c r="C84" s="78"/>
      <c r="D84" s="78"/>
    </row>
    <row r="85" spans="1:5" ht="30.95" customHeight="1" thickBot="1" x14ac:dyDescent="0.3">
      <c r="A85" s="79" t="s">
        <v>791</v>
      </c>
      <c r="B85" s="283"/>
      <c r="C85" s="80" t="s">
        <v>777</v>
      </c>
      <c r="D85" s="283"/>
    </row>
    <row r="86" spans="1:5" ht="30.95" customHeight="1" thickBot="1" x14ac:dyDescent="0.3">
      <c r="A86" s="82" t="s">
        <v>778</v>
      </c>
      <c r="B86" s="283"/>
      <c r="C86" s="80" t="s">
        <v>779</v>
      </c>
      <c r="D86" s="283"/>
    </row>
  </sheetData>
  <sheetProtection algorithmName="SHA-512" hashValue="5Tt2riOF0i3d77D155qDg2kmBpzYjYKdKOfCwdgk7Ka44Hn6cSIfCjEFBDxAzTEppldOXgosaqdYZuiJcXTvfw==" saltValue="6UfQqmLw10AauGNP5uJf1w==" spinCount="100000" sheet="1" objects="1" scenarios="1"/>
  <mergeCells count="20">
    <mergeCell ref="A83:E83"/>
    <mergeCell ref="A2:E2"/>
    <mergeCell ref="A1:E1"/>
    <mergeCell ref="A56:E56"/>
    <mergeCell ref="A67:E67"/>
    <mergeCell ref="A78:E78"/>
    <mergeCell ref="B17:E17"/>
    <mergeCell ref="B19:E19"/>
    <mergeCell ref="B10:C10"/>
    <mergeCell ref="B11:C11"/>
    <mergeCell ref="B12:C12"/>
    <mergeCell ref="A8:E8"/>
    <mergeCell ref="A9:E9"/>
    <mergeCell ref="A6:E6"/>
    <mergeCell ref="A4:E4"/>
    <mergeCell ref="A46:E46"/>
    <mergeCell ref="A53:E54"/>
    <mergeCell ref="A42:E42"/>
    <mergeCell ref="A43:E44"/>
    <mergeCell ref="A74:E74"/>
  </mergeCells>
  <conditionalFormatting sqref="C48">
    <cfRule type="expression" dxfId="412" priority="7">
      <formula>NOT(ISBLANK(C48))</formula>
    </cfRule>
  </conditionalFormatting>
  <conditionalFormatting sqref="E48">
    <cfRule type="expression" dxfId="411" priority="6">
      <formula>NOT(ISBLANK(E48))</formula>
    </cfRule>
  </conditionalFormatting>
  <conditionalFormatting sqref="E49">
    <cfRule type="expression" dxfId="410" priority="5">
      <formula>NOT(ISBLANK(E49))</formula>
    </cfRule>
  </conditionalFormatting>
  <conditionalFormatting sqref="E51">
    <cfRule type="expression" dxfId="409" priority="4">
      <formula>NOT(ISBLANK(E51))</formula>
    </cfRule>
  </conditionalFormatting>
  <conditionalFormatting sqref="C49">
    <cfRule type="expression" dxfId="408" priority="3">
      <formula>NOT(ISBLANK(C49))</formula>
    </cfRule>
  </conditionalFormatting>
  <conditionalFormatting sqref="C50">
    <cfRule type="expression" dxfId="407" priority="2">
      <formula>NOT(ISBLANK(C50))</formula>
    </cfRule>
  </conditionalFormatting>
  <conditionalFormatting sqref="C51">
    <cfRule type="expression" dxfId="406" priority="1">
      <formula>NOT(ISBLANK(C51))</formula>
    </cfRule>
  </conditionalFormatting>
  <printOptions horizontalCentered="1"/>
  <pageMargins left="0.25" right="0.25" top="0.75" bottom="0.75" header="0.3" footer="0.3"/>
  <pageSetup scale="70"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_1">
    <tabColor rgb="FFFFC000"/>
    <pageSetUpPr fitToPage="1"/>
  </sheetPr>
  <dimension ref="A1:AC105"/>
  <sheetViews>
    <sheetView tabSelected="1" zoomScaleNormal="100" workbookViewId="0">
      <selection activeCell="D12" sqref="D12"/>
    </sheetView>
  </sheetViews>
  <sheetFormatPr defaultColWidth="8.85546875" defaultRowHeight="15" x14ac:dyDescent="0.25"/>
  <cols>
    <col min="1" max="1" width="3.28515625" customWidth="1"/>
    <col min="2" max="2" width="6.28515625" customWidth="1"/>
    <col min="3" max="3" width="34.28515625" customWidth="1"/>
    <col min="4" max="4" width="26" customWidth="1"/>
    <col min="5" max="5" width="15.7109375" style="888" customWidth="1"/>
    <col min="6" max="6" width="14.7109375" style="888" customWidth="1"/>
    <col min="7" max="7" width="13.140625" style="888" customWidth="1"/>
    <col min="8" max="8" width="15.140625" style="888" customWidth="1"/>
    <col min="9" max="9" width="12.7109375" customWidth="1"/>
    <col min="10" max="10" width="15.28515625" customWidth="1"/>
    <col min="11" max="11" width="3.28515625" customWidth="1"/>
    <col min="25" max="25" width="10.7109375" hidden="1" customWidth="1"/>
    <col min="26" max="26" width="11.42578125" hidden="1" customWidth="1"/>
  </cols>
  <sheetData>
    <row r="1" spans="1:29" ht="15" customHeight="1" thickBot="1" x14ac:dyDescent="0.3">
      <c r="A1" s="503"/>
      <c r="B1" s="135"/>
      <c r="C1" s="135"/>
      <c r="D1" s="135"/>
      <c r="E1" s="135"/>
      <c r="F1" s="135"/>
      <c r="G1" s="135"/>
      <c r="H1" s="135"/>
      <c r="I1" s="135"/>
      <c r="J1" s="135"/>
      <c r="K1" s="135"/>
      <c r="L1" s="135"/>
      <c r="M1" s="135"/>
      <c r="N1" s="135"/>
      <c r="O1" s="135"/>
      <c r="P1" s="135"/>
      <c r="Q1" s="135"/>
      <c r="R1" s="135"/>
      <c r="S1" s="135"/>
      <c r="T1" s="135"/>
      <c r="U1" s="135"/>
      <c r="V1" s="135"/>
      <c r="W1" s="135"/>
      <c r="X1" s="135"/>
      <c r="Y1" s="135"/>
      <c r="Z1" s="135" t="s">
        <v>991</v>
      </c>
      <c r="AA1" s="135"/>
      <c r="AB1" s="135"/>
      <c r="AC1" s="135"/>
    </row>
    <row r="2" spans="1:29" ht="21" customHeight="1" x14ac:dyDescent="0.3">
      <c r="A2" s="142"/>
      <c r="B2" s="334"/>
      <c r="C2" s="355" t="s">
        <v>888</v>
      </c>
      <c r="D2" s="356"/>
      <c r="E2" s="356"/>
      <c r="F2" s="356"/>
      <c r="G2" s="356"/>
      <c r="H2" s="356"/>
      <c r="I2" s="357"/>
      <c r="J2" s="142"/>
      <c r="K2" s="135"/>
      <c r="L2" s="135"/>
      <c r="M2" s="135"/>
      <c r="N2" s="135"/>
      <c r="O2" s="135"/>
      <c r="P2" s="135"/>
      <c r="Q2" s="135"/>
      <c r="R2" s="135"/>
      <c r="S2" s="135"/>
      <c r="T2" s="135"/>
      <c r="U2" s="135"/>
      <c r="V2" s="135"/>
      <c r="W2" s="135"/>
      <c r="X2" s="135"/>
      <c r="Y2" s="135"/>
      <c r="Z2" s="135"/>
      <c r="AA2" s="135"/>
      <c r="AB2" s="135"/>
      <c r="AC2" s="135"/>
    </row>
    <row r="3" spans="1:29" ht="21.6" customHeight="1" x14ac:dyDescent="0.3">
      <c r="A3" s="142"/>
      <c r="B3" s="371"/>
      <c r="C3" s="1300" t="s">
        <v>1215</v>
      </c>
      <c r="D3" s="1301"/>
      <c r="E3" s="135"/>
      <c r="F3" s="135"/>
      <c r="G3" s="135"/>
      <c r="H3" s="135"/>
      <c r="I3" s="354"/>
      <c r="J3" s="142"/>
      <c r="K3" s="135"/>
      <c r="L3" s="135"/>
      <c r="M3" s="135"/>
      <c r="N3" s="135"/>
      <c r="O3" s="135"/>
      <c r="P3" s="135"/>
      <c r="Q3" s="135"/>
      <c r="R3" s="135"/>
      <c r="S3" s="135"/>
      <c r="T3" s="135"/>
      <c r="U3" s="135"/>
      <c r="V3" s="135"/>
      <c r="W3" s="135"/>
      <c r="X3" s="135"/>
      <c r="Y3" s="135"/>
      <c r="Z3" s="135"/>
      <c r="AA3" s="135"/>
      <c r="AB3" s="135"/>
      <c r="AC3" s="135"/>
    </row>
    <row r="4" spans="1:29" x14ac:dyDescent="0.25">
      <c r="A4" s="142"/>
      <c r="B4" s="372"/>
      <c r="C4" s="358" t="s">
        <v>1588</v>
      </c>
      <c r="D4" s="502">
        <f>'Existing Customers'!$L$2</f>
        <v>0</v>
      </c>
      <c r="E4" s="142"/>
      <c r="F4" s="142"/>
      <c r="G4" s="142"/>
      <c r="H4" s="142"/>
      <c r="I4" s="354"/>
      <c r="J4" s="142"/>
      <c r="K4" s="135"/>
      <c r="L4" s="135"/>
      <c r="M4" s="135"/>
      <c r="N4" s="135"/>
      <c r="O4" s="135"/>
      <c r="P4" s="135"/>
      <c r="Q4" s="135"/>
      <c r="R4" s="135"/>
      <c r="S4" s="135"/>
      <c r="T4" s="135"/>
      <c r="U4" s="135"/>
      <c r="V4" s="135"/>
      <c r="W4" s="135"/>
      <c r="X4" s="135"/>
      <c r="Y4" s="135"/>
      <c r="Z4" s="135"/>
      <c r="AA4" s="135"/>
      <c r="AB4" s="135"/>
      <c r="AC4" s="135"/>
    </row>
    <row r="5" spans="1:29" ht="16.899999999999999" customHeight="1" x14ac:dyDescent="0.25">
      <c r="A5" s="142"/>
      <c r="B5" s="372"/>
      <c r="C5" s="142"/>
      <c r="D5" s="142"/>
      <c r="E5" s="142"/>
      <c r="F5" s="142"/>
      <c r="G5" s="142"/>
      <c r="H5" s="142"/>
      <c r="I5" s="354"/>
      <c r="J5" s="142"/>
      <c r="K5" s="135"/>
      <c r="L5" s="135"/>
      <c r="M5" s="135"/>
      <c r="N5" s="135"/>
      <c r="O5" s="135"/>
      <c r="P5" s="135"/>
      <c r="Q5" s="135"/>
      <c r="R5" s="135"/>
      <c r="S5" s="135"/>
      <c r="T5" s="135"/>
      <c r="U5" s="135"/>
      <c r="V5" s="135"/>
      <c r="W5" s="135"/>
      <c r="X5" s="135"/>
      <c r="Y5" s="135"/>
      <c r="Z5" s="135"/>
      <c r="AA5" s="135"/>
      <c r="AB5" s="135"/>
      <c r="AC5" s="135"/>
    </row>
    <row r="6" spans="1:29" s="884" customFormat="1" ht="16.899999999999999" customHeight="1" x14ac:dyDescent="0.25">
      <c r="A6" s="142"/>
      <c r="B6" s="372"/>
      <c r="C6" s="358" t="s">
        <v>1253</v>
      </c>
      <c r="D6" s="885" t="s">
        <v>1254</v>
      </c>
      <c r="E6" s="142"/>
      <c r="F6" s="142"/>
      <c r="G6" s="142"/>
      <c r="H6" s="142"/>
      <c r="I6" s="354"/>
      <c r="J6" s="142"/>
      <c r="K6" s="135"/>
      <c r="L6" s="135"/>
      <c r="M6" s="135"/>
      <c r="N6" s="135"/>
      <c r="O6" s="135"/>
      <c r="P6" s="135"/>
      <c r="Q6" s="135"/>
      <c r="R6" s="135"/>
      <c r="S6" s="135"/>
      <c r="T6" s="135"/>
      <c r="U6" s="135"/>
      <c r="V6" s="135"/>
      <c r="W6" s="135"/>
      <c r="X6" s="135"/>
      <c r="Y6" s="135"/>
      <c r="Z6" s="135"/>
      <c r="AA6" s="135"/>
      <c r="AB6" s="135"/>
      <c r="AC6" s="135"/>
    </row>
    <row r="7" spans="1:29" s="884" customFormat="1" ht="16.899999999999999" customHeight="1" x14ac:dyDescent="0.25">
      <c r="A7" s="142"/>
      <c r="B7" s="372"/>
      <c r="C7" s="142"/>
      <c r="D7" s="142"/>
      <c r="E7" s="142"/>
      <c r="F7" s="142"/>
      <c r="G7" s="142"/>
      <c r="H7" s="142"/>
      <c r="I7" s="354"/>
      <c r="J7" s="142"/>
      <c r="K7" s="135"/>
      <c r="L7" s="135"/>
      <c r="M7" s="135"/>
      <c r="N7" s="135"/>
      <c r="O7" s="135"/>
      <c r="P7" s="135"/>
      <c r="Q7" s="135"/>
      <c r="R7" s="135"/>
      <c r="S7" s="135"/>
      <c r="T7" s="135"/>
      <c r="U7" s="135"/>
      <c r="V7" s="135"/>
      <c r="W7" s="135"/>
      <c r="X7" s="135"/>
      <c r="Y7" s="135"/>
      <c r="Z7" s="135"/>
      <c r="AA7" s="135"/>
      <c r="AB7" s="135"/>
      <c r="AC7" s="135"/>
    </row>
    <row r="8" spans="1:29" x14ac:dyDescent="0.25">
      <c r="A8" s="142"/>
      <c r="B8" s="372"/>
      <c r="C8" s="358" t="s">
        <v>1278</v>
      </c>
      <c r="D8" s="359"/>
      <c r="E8" s="142"/>
      <c r="F8" s="142"/>
      <c r="G8" s="142"/>
      <c r="H8" s="142"/>
      <c r="I8" s="354"/>
      <c r="J8" s="142"/>
      <c r="K8" s="135"/>
      <c r="L8" s="135"/>
      <c r="M8" s="135"/>
      <c r="N8" s="135"/>
      <c r="O8" s="135"/>
      <c r="P8" s="135"/>
      <c r="Q8" s="135"/>
      <c r="R8" s="135"/>
      <c r="S8" s="135"/>
      <c r="T8" s="135"/>
      <c r="U8" s="135"/>
      <c r="V8" s="135"/>
      <c r="W8" s="135"/>
      <c r="X8" s="135"/>
      <c r="Y8" s="135"/>
      <c r="Z8" s="135"/>
      <c r="AA8" s="135"/>
      <c r="AB8" s="135"/>
      <c r="AC8" s="135"/>
    </row>
    <row r="9" spans="1:29" ht="16.899999999999999" customHeight="1" x14ac:dyDescent="0.25">
      <c r="A9" s="142"/>
      <c r="B9" s="372"/>
      <c r="C9" s="752"/>
      <c r="D9" s="752"/>
      <c r="E9" s="142"/>
      <c r="F9" s="142"/>
      <c r="G9" s="142"/>
      <c r="H9" s="142"/>
      <c r="I9" s="354"/>
      <c r="J9" s="142"/>
      <c r="K9" s="135"/>
      <c r="L9" s="135"/>
      <c r="M9" s="135"/>
      <c r="N9" s="135"/>
      <c r="O9" s="135"/>
      <c r="P9" s="135"/>
      <c r="Q9" s="135"/>
      <c r="R9" s="135"/>
      <c r="S9" s="135"/>
      <c r="T9" s="135"/>
      <c r="U9" s="135"/>
      <c r="V9" s="135"/>
      <c r="W9" s="135"/>
      <c r="X9" s="135"/>
      <c r="Y9" s="135" t="s">
        <v>1178</v>
      </c>
      <c r="Z9" s="135">
        <f>D8</f>
        <v>0</v>
      </c>
      <c r="AA9" s="135"/>
      <c r="AB9" s="135"/>
      <c r="AC9" s="135"/>
    </row>
    <row r="10" spans="1:29" hidden="1" x14ac:dyDescent="0.25">
      <c r="A10" s="142"/>
      <c r="B10" s="372"/>
      <c r="C10" s="358" t="s">
        <v>1179</v>
      </c>
      <c r="D10" s="359" t="s">
        <v>653</v>
      </c>
      <c r="E10" s="142"/>
      <c r="F10" s="142"/>
      <c r="G10" s="142"/>
      <c r="H10" s="142"/>
      <c r="I10" s="354"/>
      <c r="J10" s="142"/>
      <c r="K10" s="135"/>
      <c r="L10" s="135"/>
      <c r="M10" s="135"/>
      <c r="N10" s="135"/>
      <c r="O10" s="135"/>
      <c r="P10" s="135"/>
      <c r="Q10" s="135"/>
      <c r="R10" s="135"/>
      <c r="S10" s="135"/>
      <c r="T10" s="135"/>
      <c r="U10" s="135"/>
      <c r="V10" s="135"/>
      <c r="W10" s="135"/>
      <c r="X10" s="135"/>
      <c r="Y10" s="135" t="s">
        <v>1177</v>
      </c>
      <c r="Z10" s="796" t="s">
        <v>211</v>
      </c>
      <c r="AA10" s="135"/>
      <c r="AB10" s="135"/>
      <c r="AC10" s="135"/>
    </row>
    <row r="11" spans="1:29" ht="16.899999999999999" hidden="1" customHeight="1" x14ac:dyDescent="0.25">
      <c r="A11" s="142"/>
      <c r="B11" s="372"/>
      <c r="C11" s="142"/>
      <c r="D11" s="142"/>
      <c r="E11" s="142"/>
      <c r="F11" s="142"/>
      <c r="G11" s="142"/>
      <c r="H11" s="142"/>
      <c r="I11" s="354"/>
      <c r="J11" s="142"/>
      <c r="K11" s="135"/>
      <c r="L11" s="135"/>
      <c r="M11" s="135"/>
      <c r="N11" s="135"/>
      <c r="O11" s="135"/>
      <c r="P11" s="135"/>
      <c r="Q11" s="135"/>
      <c r="R11" s="135"/>
      <c r="S11" s="135"/>
      <c r="T11" s="135"/>
      <c r="U11" s="135"/>
      <c r="V11" s="135"/>
      <c r="W11" s="135"/>
      <c r="X11" s="135"/>
      <c r="Y11" s="135">
        <v>1</v>
      </c>
      <c r="Z11" s="52" t="str">
        <f>IF(AND($Z$9="MDA",$D$10="No"),"",IF(AND($Z$9="MDA",$D$10="Yes"),Y11,IF(OR($Z$9="PON ONLY",$Z$9="MDA",$Z$9="CIA",$Z$9="PON with Existing CIA",$Z$9="PON with New CIA"),Y11,"")))</f>
        <v/>
      </c>
      <c r="AA11" s="135"/>
      <c r="AB11" s="135"/>
      <c r="AC11" s="135"/>
    </row>
    <row r="12" spans="1:29" x14ac:dyDescent="0.25">
      <c r="A12" s="142"/>
      <c r="B12" s="372"/>
      <c r="C12" s="358" t="s">
        <v>1515</v>
      </c>
      <c r="D12" s="886" t="s">
        <v>211</v>
      </c>
      <c r="E12" s="142"/>
      <c r="F12" s="142"/>
      <c r="G12" s="142"/>
      <c r="H12" s="142"/>
      <c r="I12" s="354"/>
      <c r="J12" s="142"/>
      <c r="K12" s="135"/>
      <c r="L12" s="135"/>
      <c r="M12" s="135"/>
      <c r="N12" s="135"/>
      <c r="O12" s="135"/>
      <c r="P12" s="135"/>
      <c r="Q12" s="135"/>
      <c r="R12" s="135"/>
      <c r="S12" s="135"/>
      <c r="T12" s="135"/>
      <c r="U12" s="135"/>
      <c r="V12" s="135"/>
      <c r="W12" s="135"/>
      <c r="X12" s="135"/>
      <c r="Y12" s="135">
        <v>2</v>
      </c>
      <c r="Z12" s="52" t="str">
        <f>IF(OR($Z$9="PON ONLY",$Z$9="PON with Existing CIA"),"",IF($Z$9="MDA",Y12,IF($Z$9="CIA",Y12,IF($Z$9="PON with New CIA",Y12,""))))</f>
        <v/>
      </c>
      <c r="AA12" s="135"/>
      <c r="AB12" s="135"/>
      <c r="AC12" s="135"/>
    </row>
    <row r="13" spans="1:29" s="742" customFormat="1" x14ac:dyDescent="0.25">
      <c r="A13" s="142"/>
      <c r="B13" s="372"/>
      <c r="C13" s="360"/>
      <c r="D13" s="143"/>
      <c r="E13" s="142"/>
      <c r="F13" s="142"/>
      <c r="G13" s="142"/>
      <c r="H13" s="142"/>
      <c r="I13" s="354"/>
      <c r="J13" s="142"/>
      <c r="K13" s="135"/>
      <c r="L13" s="135"/>
      <c r="M13" s="135"/>
      <c r="N13" s="135"/>
      <c r="O13" s="135"/>
      <c r="P13" s="135"/>
      <c r="Q13" s="135"/>
      <c r="R13" s="135"/>
      <c r="S13" s="135"/>
      <c r="T13" s="135"/>
      <c r="U13" s="135"/>
      <c r="V13" s="135"/>
      <c r="W13" s="135"/>
      <c r="X13" s="135"/>
      <c r="Y13" s="135">
        <v>3</v>
      </c>
      <c r="Z13" s="52" t="str">
        <f>IF(OR($Z$9="PON ONLY",$Z$9="PON with Existing CIA"),"",IF($Z$9="MDA",Y13,IF($Z$9="CIA",Y13,IF($Z$9="PON with New CIA",Y13,""))))</f>
        <v/>
      </c>
      <c r="AA13" s="135"/>
      <c r="AB13" s="135"/>
      <c r="AC13" s="135"/>
    </row>
    <row r="14" spans="1:29" x14ac:dyDescent="0.25">
      <c r="A14" s="142"/>
      <c r="B14" s="372"/>
      <c r="C14" s="358" t="s">
        <v>1587</v>
      </c>
      <c r="D14" s="359" t="s">
        <v>457</v>
      </c>
      <c r="E14" s="142"/>
      <c r="F14" s="142"/>
      <c r="G14" s="142"/>
      <c r="H14" s="142"/>
      <c r="I14" s="354"/>
      <c r="J14" s="142"/>
      <c r="K14" s="135"/>
      <c r="L14" s="135"/>
      <c r="M14" s="135"/>
      <c r="N14" s="135"/>
      <c r="O14" s="135"/>
      <c r="P14" s="135"/>
      <c r="Q14" s="135"/>
      <c r="R14" s="135"/>
      <c r="S14" s="135"/>
      <c r="T14" s="135"/>
      <c r="U14" s="135"/>
      <c r="V14" s="135"/>
      <c r="W14" s="135"/>
      <c r="X14" s="135"/>
      <c r="Y14" s="135">
        <v>4</v>
      </c>
      <c r="Z14" s="52" t="str">
        <f>IF(OR($Z$9="PON ONLY",$Z$9="PON with Existing CIA"),"",IF($Z$9="MDA",Y14,IF($Z$9="CIA",Y14,IF($Z$9="PON with New CIA",Y14,""))))</f>
        <v/>
      </c>
      <c r="AA14" s="135"/>
      <c r="AB14" s="135"/>
      <c r="AC14" s="135"/>
    </row>
    <row r="15" spans="1:29" ht="19.899999999999999" customHeight="1" x14ac:dyDescent="0.25">
      <c r="A15" s="142"/>
      <c r="B15" s="372"/>
      <c r="E15" s="142"/>
      <c r="F15" s="142"/>
      <c r="G15" s="142"/>
      <c r="H15" s="142"/>
      <c r="I15" s="354"/>
      <c r="J15" s="142"/>
      <c r="K15" s="135"/>
      <c r="L15" s="135"/>
      <c r="M15" s="135"/>
      <c r="N15" s="135"/>
      <c r="O15" s="135"/>
      <c r="P15" s="135"/>
      <c r="Q15" s="135"/>
      <c r="R15" s="135"/>
      <c r="S15" s="135"/>
      <c r="T15" s="135"/>
      <c r="U15" s="135"/>
      <c r="V15" s="135"/>
      <c r="W15" s="135"/>
      <c r="X15" s="135"/>
      <c r="Y15" s="135">
        <v>5</v>
      </c>
      <c r="Z15" s="52" t="str">
        <f>IF(OR($Z$9="PON ONLY",$Z$9="PON with Existing CIA"),"",IF($Z$9="MDA",Y15,IF($Z$9="CIA",Y15,IF($Z$9="PON with New CIA",Y15,""))))</f>
        <v/>
      </c>
      <c r="AA15" s="135"/>
      <c r="AB15" s="135"/>
      <c r="AC15" s="135"/>
    </row>
    <row r="16" spans="1:29" x14ac:dyDescent="0.25">
      <c r="A16" s="142"/>
      <c r="B16" s="372"/>
      <c r="C16" s="358" t="s">
        <v>1516</v>
      </c>
      <c r="D16" s="359"/>
      <c r="E16" s="142"/>
      <c r="F16" s="142"/>
      <c r="G16" s="142"/>
      <c r="H16" s="142"/>
      <c r="I16" s="354"/>
      <c r="J16" s="142"/>
      <c r="K16" s="135"/>
      <c r="L16" s="135"/>
      <c r="M16" s="135"/>
      <c r="N16" s="135"/>
      <c r="O16" s="135"/>
      <c r="P16" s="135"/>
      <c r="Q16" s="135"/>
      <c r="R16" s="135"/>
      <c r="S16" s="135"/>
      <c r="T16" s="135"/>
      <c r="U16" s="135"/>
      <c r="V16" s="135"/>
      <c r="W16" s="135"/>
      <c r="X16" s="135"/>
      <c r="Y16" s="135"/>
      <c r="Z16" s="135"/>
      <c r="AA16" s="135"/>
      <c r="AB16" s="135"/>
      <c r="AC16" s="135"/>
    </row>
    <row r="17" spans="1:29" s="887" customFormat="1" x14ac:dyDescent="0.25">
      <c r="A17" s="142"/>
      <c r="B17" s="372"/>
      <c r="C17" s="135"/>
      <c r="D17" s="135"/>
      <c r="E17" s="142"/>
      <c r="F17" s="142"/>
      <c r="G17" s="142"/>
      <c r="H17" s="142"/>
      <c r="I17" s="354"/>
      <c r="J17" s="142"/>
      <c r="K17" s="135"/>
      <c r="L17" s="135"/>
      <c r="M17" s="135"/>
      <c r="N17" s="135"/>
      <c r="O17" s="135"/>
      <c r="P17" s="135"/>
      <c r="Q17" s="135"/>
      <c r="R17" s="135"/>
      <c r="S17" s="135"/>
      <c r="T17" s="135"/>
      <c r="U17" s="135"/>
      <c r="V17" s="135"/>
      <c r="W17" s="135"/>
      <c r="X17" s="135"/>
      <c r="Y17" s="135"/>
      <c r="Z17" s="135"/>
      <c r="AA17" s="135"/>
      <c r="AB17" s="135"/>
      <c r="AC17" s="135"/>
    </row>
    <row r="18" spans="1:29" s="887" customFormat="1" hidden="1" x14ac:dyDescent="0.25">
      <c r="A18" s="142"/>
      <c r="B18" s="372"/>
      <c r="C18" s="358" t="s">
        <v>1517</v>
      </c>
      <c r="D18" s="359" t="s">
        <v>653</v>
      </c>
      <c r="E18" s="142"/>
      <c r="F18" s="142"/>
      <c r="G18" s="142"/>
      <c r="H18" s="142"/>
      <c r="I18" s="354"/>
      <c r="J18" s="142"/>
      <c r="K18" s="135"/>
      <c r="L18" s="135"/>
      <c r="M18" s="135"/>
      <c r="N18" s="135"/>
      <c r="O18" s="135"/>
      <c r="P18" s="135"/>
      <c r="Q18" s="135"/>
      <c r="R18" s="135"/>
      <c r="S18" s="135"/>
      <c r="T18" s="135"/>
      <c r="U18" s="135"/>
      <c r="V18" s="135"/>
      <c r="W18" s="135"/>
      <c r="X18" s="135"/>
      <c r="Y18" s="135"/>
      <c r="Z18" s="135"/>
      <c r="AA18" s="135"/>
      <c r="AB18" s="135"/>
      <c r="AC18" s="135"/>
    </row>
    <row r="19" spans="1:29" s="887" customFormat="1" hidden="1" x14ac:dyDescent="0.25">
      <c r="A19" s="142"/>
      <c r="B19" s="372"/>
      <c r="C19" s="135"/>
      <c r="D19" s="135"/>
      <c r="E19" s="142"/>
      <c r="F19" s="142"/>
      <c r="G19" s="142"/>
      <c r="H19" s="142"/>
      <c r="I19" s="354"/>
      <c r="J19" s="142"/>
      <c r="K19" s="135"/>
      <c r="L19" s="135"/>
      <c r="M19" s="135"/>
      <c r="N19" s="135"/>
      <c r="O19" s="135"/>
      <c r="P19" s="135"/>
      <c r="Q19" s="135"/>
      <c r="R19" s="135"/>
      <c r="S19" s="135"/>
      <c r="T19" s="135"/>
      <c r="U19" s="135"/>
      <c r="V19" s="135"/>
      <c r="W19" s="135"/>
      <c r="X19" s="135"/>
      <c r="Y19" s="135"/>
      <c r="Z19" s="135"/>
      <c r="AA19" s="135"/>
      <c r="AB19" s="135"/>
      <c r="AC19" s="135"/>
    </row>
    <row r="20" spans="1:29" s="887" customFormat="1" hidden="1" x14ac:dyDescent="0.25">
      <c r="A20" s="142"/>
      <c r="B20" s="372"/>
      <c r="C20" s="358" t="s">
        <v>1589</v>
      </c>
      <c r="D20" s="889"/>
      <c r="E20" s="142"/>
      <c r="F20" s="142"/>
      <c r="G20" s="142"/>
      <c r="H20" s="142"/>
      <c r="I20" s="354"/>
      <c r="J20" s="142"/>
      <c r="K20" s="135"/>
      <c r="L20" s="135"/>
      <c r="M20" s="135"/>
      <c r="N20" s="135"/>
      <c r="O20" s="135"/>
      <c r="P20" s="135"/>
      <c r="Q20" s="135"/>
      <c r="R20" s="135"/>
      <c r="S20" s="135"/>
      <c r="T20" s="135"/>
      <c r="U20" s="135"/>
      <c r="V20" s="135"/>
      <c r="W20" s="135"/>
      <c r="X20" s="135"/>
      <c r="Y20" s="135"/>
      <c r="Z20" s="135"/>
      <c r="AA20" s="135"/>
      <c r="AB20" s="135"/>
      <c r="AC20" s="135"/>
    </row>
    <row r="21" spans="1:29" s="888" customFormat="1" hidden="1" x14ac:dyDescent="0.25">
      <c r="A21" s="142"/>
      <c r="B21" s="372"/>
      <c r="C21" s="135"/>
      <c r="D21" s="135"/>
      <c r="E21" s="135"/>
      <c r="F21" s="135"/>
      <c r="G21" s="135"/>
      <c r="H21" s="135"/>
      <c r="I21" s="354"/>
      <c r="J21" s="142"/>
      <c r="K21" s="135"/>
      <c r="L21" s="135"/>
      <c r="M21" s="135"/>
      <c r="N21" s="135"/>
      <c r="O21" s="135"/>
      <c r="P21" s="135"/>
      <c r="Q21" s="135"/>
      <c r="R21" s="135"/>
      <c r="S21" s="135"/>
      <c r="T21" s="135"/>
      <c r="U21" s="135"/>
      <c r="V21" s="135"/>
      <c r="W21" s="135"/>
      <c r="X21" s="135"/>
      <c r="Y21" s="135"/>
      <c r="Z21" s="135"/>
      <c r="AA21" s="135"/>
      <c r="AB21" s="135"/>
      <c r="AC21" s="135"/>
    </row>
    <row r="22" spans="1:29" s="888" customFormat="1" x14ac:dyDescent="0.25">
      <c r="A22" s="142"/>
      <c r="B22" s="372"/>
      <c r="C22" s="135"/>
      <c r="D22" s="135"/>
      <c r="E22" s="135"/>
      <c r="F22" s="135"/>
      <c r="G22" s="135"/>
      <c r="H22" s="135"/>
      <c r="I22" s="354"/>
      <c r="J22" s="142"/>
      <c r="K22" s="135"/>
      <c r="L22" s="135"/>
      <c r="M22" s="135"/>
      <c r="N22" s="135"/>
      <c r="O22" s="135"/>
      <c r="P22" s="135"/>
      <c r="Q22" s="135"/>
      <c r="R22" s="135"/>
      <c r="S22" s="135"/>
      <c r="T22" s="135"/>
      <c r="U22" s="135"/>
      <c r="V22" s="135"/>
      <c r="W22" s="135"/>
      <c r="X22" s="135"/>
      <c r="Y22" s="135"/>
      <c r="Z22" s="135"/>
      <c r="AA22" s="135"/>
      <c r="AB22" s="135"/>
      <c r="AC22" s="135"/>
    </row>
    <row r="23" spans="1:29" s="888" customFormat="1" x14ac:dyDescent="0.25">
      <c r="A23" s="142"/>
      <c r="B23" s="372"/>
      <c r="C23" s="135"/>
      <c r="D23" s="135"/>
      <c r="E23" s="135"/>
      <c r="F23" s="135"/>
      <c r="G23" s="135"/>
      <c r="H23" s="135"/>
      <c r="I23" s="354"/>
      <c r="J23" s="142"/>
      <c r="K23" s="135"/>
      <c r="L23" s="135"/>
      <c r="M23" s="135"/>
      <c r="N23" s="135"/>
      <c r="O23" s="135"/>
      <c r="P23" s="135"/>
      <c r="Q23" s="135"/>
      <c r="R23" s="135"/>
      <c r="S23" s="135"/>
      <c r="T23" s="135"/>
      <c r="U23" s="135"/>
      <c r="V23" s="135"/>
      <c r="W23" s="135"/>
      <c r="X23" s="135"/>
      <c r="Y23" s="135"/>
      <c r="Z23" s="135"/>
      <c r="AA23" s="135"/>
      <c r="AB23" s="135"/>
      <c r="AC23" s="135"/>
    </row>
    <row r="24" spans="1:29" s="888" customFormat="1" x14ac:dyDescent="0.25">
      <c r="A24" s="142"/>
      <c r="B24" s="372"/>
      <c r="C24" s="135"/>
      <c r="D24" s="135"/>
      <c r="E24" s="135"/>
      <c r="F24" s="135"/>
      <c r="G24" s="135"/>
      <c r="H24" s="135"/>
      <c r="I24" s="354"/>
      <c r="J24" s="142"/>
      <c r="K24" s="135"/>
      <c r="L24" s="135"/>
      <c r="M24" s="135"/>
      <c r="N24" s="135"/>
      <c r="O24" s="135"/>
      <c r="P24" s="135"/>
      <c r="Q24" s="135"/>
      <c r="R24" s="135"/>
      <c r="S24" s="135"/>
      <c r="T24" s="135"/>
      <c r="U24" s="135"/>
      <c r="V24" s="135"/>
      <c r="W24" s="135"/>
      <c r="X24" s="135"/>
      <c r="Y24" s="135"/>
      <c r="Z24" s="135"/>
      <c r="AA24" s="135"/>
      <c r="AB24" s="135"/>
      <c r="AC24" s="135"/>
    </row>
    <row r="25" spans="1:29" s="888" customFormat="1" ht="29.25" hidden="1" customHeight="1" x14ac:dyDescent="0.25">
      <c r="A25" s="142"/>
      <c r="B25" s="372"/>
      <c r="C25" s="890" t="s">
        <v>245</v>
      </c>
      <c r="D25" s="893" t="s">
        <v>657</v>
      </c>
      <c r="E25" s="893" t="s">
        <v>1257</v>
      </c>
      <c r="F25" s="893" t="s">
        <v>1258</v>
      </c>
      <c r="G25" s="892" t="s">
        <v>266</v>
      </c>
      <c r="H25" s="891" t="s">
        <v>1259</v>
      </c>
      <c r="I25" s="354"/>
      <c r="J25" s="142"/>
      <c r="K25" s="135"/>
      <c r="L25" s="135"/>
      <c r="M25" s="135"/>
      <c r="N25" s="135"/>
      <c r="O25" s="135"/>
      <c r="P25" s="135"/>
      <c r="Q25" s="135"/>
      <c r="R25" s="135"/>
      <c r="S25" s="135"/>
      <c r="T25" s="135"/>
      <c r="U25" s="135"/>
      <c r="V25" s="135"/>
      <c r="W25" s="135"/>
      <c r="X25" s="135"/>
      <c r="Y25" s="135"/>
      <c r="Z25" s="135"/>
      <c r="AA25" s="135"/>
      <c r="AB25" s="135"/>
      <c r="AC25" s="135"/>
    </row>
    <row r="26" spans="1:29" s="888" customFormat="1" ht="26.25" hidden="1" customHeight="1" thickBot="1" x14ac:dyDescent="0.3">
      <c r="A26" s="142"/>
      <c r="B26" s="372"/>
      <c r="C26" s="894">
        <f>D4</f>
        <v>0</v>
      </c>
      <c r="D26" s="895"/>
      <c r="E26" s="895"/>
      <c r="F26" s="896"/>
      <c r="G26" s="898">
        <f>D26+E26+F26</f>
        <v>0</v>
      </c>
      <c r="H26" s="897">
        <v>5</v>
      </c>
      <c r="I26" s="354"/>
      <c r="J26" s="142"/>
      <c r="K26" s="135"/>
      <c r="L26" s="135"/>
      <c r="M26" s="135"/>
      <c r="N26" s="135"/>
      <c r="O26" s="135"/>
      <c r="P26" s="135"/>
      <c r="Q26" s="135"/>
      <c r="R26" s="135"/>
      <c r="S26" s="135"/>
      <c r="T26" s="135"/>
      <c r="U26" s="135"/>
      <c r="V26" s="135"/>
      <c r="W26" s="135"/>
      <c r="X26" s="135"/>
      <c r="Y26" s="135"/>
      <c r="Z26" s="135"/>
      <c r="AA26" s="135"/>
      <c r="AB26" s="135"/>
      <c r="AC26" s="135"/>
    </row>
    <row r="27" spans="1:29" ht="19.899999999999999" customHeight="1" thickBot="1" x14ac:dyDescent="0.3">
      <c r="A27" s="142"/>
      <c r="B27" s="361"/>
      <c r="C27" s="373"/>
      <c r="D27" s="390"/>
      <c r="E27" s="390"/>
      <c r="F27" s="390"/>
      <c r="G27" s="390"/>
      <c r="H27" s="390"/>
      <c r="I27" s="362"/>
      <c r="J27" s="142"/>
      <c r="K27" s="135"/>
      <c r="L27" s="135"/>
      <c r="M27" s="135"/>
      <c r="N27" s="135"/>
      <c r="O27" s="135"/>
      <c r="P27" s="135"/>
      <c r="Q27" s="135"/>
      <c r="R27" s="135"/>
      <c r="S27" s="135"/>
      <c r="T27" s="135"/>
      <c r="U27" s="135"/>
      <c r="V27" s="135"/>
      <c r="W27" s="135"/>
      <c r="X27" s="135"/>
      <c r="Y27" s="135"/>
      <c r="Z27" s="135"/>
      <c r="AA27" s="135"/>
      <c r="AB27" s="135"/>
      <c r="AC27" s="135"/>
    </row>
    <row r="28" spans="1:29" ht="33" customHeight="1" thickBot="1" x14ac:dyDescent="0.3">
      <c r="A28" s="142"/>
      <c r="B28" s="142"/>
      <c r="C28" s="360"/>
      <c r="D28" s="143"/>
      <c r="E28" s="143"/>
      <c r="F28" s="143"/>
      <c r="G28" s="143"/>
      <c r="H28" s="143"/>
      <c r="I28" s="142"/>
      <c r="J28" s="142"/>
      <c r="K28" s="135"/>
      <c r="L28" s="135"/>
      <c r="M28" s="135"/>
      <c r="N28" s="135"/>
      <c r="O28" s="135"/>
      <c r="P28" s="135"/>
      <c r="Q28" s="135"/>
      <c r="R28" s="135"/>
      <c r="S28" s="135"/>
      <c r="T28" s="135"/>
      <c r="U28" s="135"/>
      <c r="V28" s="135"/>
      <c r="W28" s="135"/>
      <c r="X28" s="135"/>
      <c r="Y28" s="135"/>
      <c r="Z28" s="135"/>
      <c r="AA28" s="135"/>
      <c r="AB28" s="135"/>
      <c r="AC28" s="135"/>
    </row>
    <row r="29" spans="1:29" ht="19.899999999999999" customHeight="1" thickBot="1" x14ac:dyDescent="0.3">
      <c r="A29" s="142"/>
      <c r="B29" s="1311" t="s">
        <v>1260</v>
      </c>
      <c r="C29" s="1312"/>
      <c r="D29" s="1312"/>
      <c r="E29" s="1312"/>
      <c r="F29" s="1312"/>
      <c r="G29" s="1312"/>
      <c r="H29" s="1312"/>
      <c r="I29" s="1313"/>
      <c r="J29" s="142"/>
      <c r="K29" s="135"/>
      <c r="L29" s="135"/>
      <c r="M29" s="135"/>
      <c r="N29" s="135"/>
      <c r="O29" s="135"/>
      <c r="P29" s="135"/>
      <c r="Q29" s="135"/>
      <c r="R29" s="135"/>
      <c r="S29" s="135"/>
      <c r="T29" s="135"/>
      <c r="U29" s="135"/>
      <c r="V29" s="135"/>
      <c r="W29" s="135"/>
      <c r="X29" s="135"/>
      <c r="Y29" s="135"/>
      <c r="Z29" s="135"/>
      <c r="AA29" s="135"/>
      <c r="AB29" s="135"/>
      <c r="AC29" s="135"/>
    </row>
    <row r="30" spans="1:29" ht="19.899999999999999" customHeight="1" x14ac:dyDescent="0.25">
      <c r="A30" s="142"/>
      <c r="B30" s="1302"/>
      <c r="C30" s="1303"/>
      <c r="D30" s="1303"/>
      <c r="E30" s="1303"/>
      <c r="F30" s="1303"/>
      <c r="G30" s="1303"/>
      <c r="H30" s="1303"/>
      <c r="I30" s="1304"/>
      <c r="J30" s="142"/>
      <c r="K30" s="135"/>
      <c r="L30" s="135"/>
      <c r="M30" s="135"/>
      <c r="N30" s="135"/>
      <c r="O30" s="135"/>
      <c r="P30" s="135"/>
      <c r="Q30" s="135"/>
      <c r="R30" s="135"/>
      <c r="S30" s="135"/>
      <c r="T30" s="135"/>
      <c r="U30" s="135"/>
      <c r="V30" s="135"/>
      <c r="W30" s="135"/>
      <c r="X30" s="135"/>
      <c r="Y30" s="135"/>
      <c r="Z30" s="135"/>
      <c r="AA30" s="135"/>
      <c r="AB30" s="135"/>
      <c r="AC30" s="135"/>
    </row>
    <row r="31" spans="1:29" ht="19.899999999999999" customHeight="1" x14ac:dyDescent="0.25">
      <c r="A31" s="142"/>
      <c r="B31" s="1305"/>
      <c r="C31" s="1306"/>
      <c r="D31" s="1306"/>
      <c r="E31" s="1306"/>
      <c r="F31" s="1306"/>
      <c r="G31" s="1306"/>
      <c r="H31" s="1306"/>
      <c r="I31" s="1307"/>
      <c r="J31" s="142"/>
      <c r="K31" s="135"/>
      <c r="L31" s="135"/>
      <c r="M31" s="135"/>
      <c r="N31" s="135"/>
      <c r="O31" s="135"/>
      <c r="P31" s="135"/>
      <c r="Q31" s="135"/>
      <c r="R31" s="135"/>
      <c r="S31" s="135"/>
      <c r="T31" s="135"/>
      <c r="U31" s="135"/>
      <c r="V31" s="135"/>
      <c r="W31" s="135"/>
      <c r="X31" s="135"/>
      <c r="Y31" s="135"/>
      <c r="Z31" s="135"/>
      <c r="AA31" s="135"/>
      <c r="AB31" s="135"/>
      <c r="AC31" s="135"/>
    </row>
    <row r="32" spans="1:29" ht="19.899999999999999" customHeight="1" x14ac:dyDescent="0.25">
      <c r="A32" s="142"/>
      <c r="B32" s="1305"/>
      <c r="C32" s="1306"/>
      <c r="D32" s="1306"/>
      <c r="E32" s="1306"/>
      <c r="F32" s="1306"/>
      <c r="G32" s="1306"/>
      <c r="H32" s="1306"/>
      <c r="I32" s="1307"/>
      <c r="J32" s="142"/>
      <c r="K32" s="135"/>
      <c r="L32" s="135"/>
      <c r="M32" s="135"/>
      <c r="N32" s="135"/>
      <c r="O32" s="135"/>
      <c r="P32" s="135"/>
      <c r="Q32" s="135"/>
      <c r="R32" s="135"/>
      <c r="S32" s="135"/>
      <c r="T32" s="135"/>
      <c r="U32" s="135"/>
      <c r="V32" s="135"/>
      <c r="W32" s="135"/>
      <c r="X32" s="135"/>
      <c r="Y32" s="135"/>
      <c r="Z32" s="135"/>
      <c r="AA32" s="135"/>
      <c r="AB32" s="135"/>
      <c r="AC32" s="135"/>
    </row>
    <row r="33" spans="1:29" ht="27" customHeight="1" x14ac:dyDescent="0.25">
      <c r="A33" s="142"/>
      <c r="B33" s="1305"/>
      <c r="C33" s="1306"/>
      <c r="D33" s="1306"/>
      <c r="E33" s="1306"/>
      <c r="F33" s="1306"/>
      <c r="G33" s="1306"/>
      <c r="H33" s="1306"/>
      <c r="I33" s="1307"/>
      <c r="J33" s="142"/>
      <c r="K33" s="135"/>
      <c r="L33" s="135"/>
      <c r="M33" s="135"/>
      <c r="N33" s="135"/>
      <c r="O33" s="135"/>
      <c r="P33" s="135"/>
      <c r="Q33" s="135"/>
      <c r="R33" s="135"/>
      <c r="S33" s="135"/>
      <c r="T33" s="135"/>
      <c r="U33" s="135"/>
      <c r="V33" s="135"/>
      <c r="W33" s="135"/>
      <c r="X33" s="135"/>
      <c r="Y33" s="135"/>
      <c r="Z33" s="135"/>
      <c r="AA33" s="135"/>
      <c r="AB33" s="135"/>
      <c r="AC33" s="135"/>
    </row>
    <row r="34" spans="1:29" ht="15.6" customHeight="1" x14ac:dyDescent="0.25">
      <c r="A34" s="142"/>
      <c r="B34" s="1305"/>
      <c r="C34" s="1306"/>
      <c r="D34" s="1306"/>
      <c r="E34" s="1306"/>
      <c r="F34" s="1306"/>
      <c r="G34" s="1306"/>
      <c r="H34" s="1306"/>
      <c r="I34" s="1307"/>
      <c r="J34" s="142"/>
      <c r="K34" s="135"/>
      <c r="L34" s="135"/>
      <c r="M34" s="135"/>
      <c r="N34" s="135"/>
      <c r="O34" s="135"/>
      <c r="P34" s="135"/>
      <c r="Q34" s="135"/>
      <c r="R34" s="135"/>
      <c r="S34" s="135"/>
      <c r="T34" s="135"/>
      <c r="U34" s="135"/>
      <c r="V34" s="135"/>
      <c r="W34" s="135"/>
      <c r="X34" s="135"/>
      <c r="Y34" s="135"/>
      <c r="Z34" s="135"/>
      <c r="AA34" s="135"/>
      <c r="AB34" s="135"/>
      <c r="AC34" s="135"/>
    </row>
    <row r="35" spans="1:29" ht="27.75" customHeight="1" thickBot="1" x14ac:dyDescent="0.3">
      <c r="A35" s="135"/>
      <c r="B35" s="1308"/>
      <c r="C35" s="1309"/>
      <c r="D35" s="1309"/>
      <c r="E35" s="1309"/>
      <c r="F35" s="1309"/>
      <c r="G35" s="1309"/>
      <c r="H35" s="1309"/>
      <c r="I35" s="1310"/>
      <c r="J35" s="135"/>
      <c r="K35" s="135"/>
      <c r="L35" s="135"/>
      <c r="M35" s="135"/>
      <c r="N35" s="135"/>
      <c r="O35" s="135"/>
      <c r="P35" s="135"/>
      <c r="Q35" s="135"/>
      <c r="R35" s="135"/>
      <c r="S35" s="135"/>
      <c r="T35" s="135"/>
      <c r="U35" s="135"/>
      <c r="V35" s="135"/>
      <c r="W35" s="135"/>
      <c r="X35" s="135"/>
      <c r="Y35" s="135"/>
      <c r="Z35" s="135"/>
      <c r="AA35" s="135"/>
      <c r="AB35" s="135"/>
      <c r="AC35" s="135"/>
    </row>
    <row r="36" spans="1:29" ht="15.75" thickBot="1" x14ac:dyDescent="0.3">
      <c r="A36" s="135"/>
      <c r="B36" s="142"/>
      <c r="C36" s="360"/>
      <c r="D36" s="143"/>
      <c r="E36" s="143"/>
      <c r="F36" s="143"/>
      <c r="G36" s="143"/>
      <c r="H36" s="143"/>
      <c r="I36" s="142"/>
      <c r="J36" s="135"/>
      <c r="K36" s="135"/>
      <c r="L36" s="135"/>
      <c r="M36" s="135"/>
      <c r="N36" s="135"/>
      <c r="O36" s="135"/>
      <c r="P36" s="135"/>
      <c r="Q36" s="135"/>
      <c r="R36" s="135"/>
      <c r="S36" s="135"/>
      <c r="T36" s="135"/>
      <c r="U36" s="135"/>
      <c r="V36" s="135"/>
      <c r="W36" s="135"/>
      <c r="X36" s="135"/>
      <c r="Y36" s="135"/>
      <c r="Z36" s="135"/>
      <c r="AA36" s="135"/>
      <c r="AB36" s="135"/>
      <c r="AC36" s="135"/>
    </row>
    <row r="37" spans="1:29" ht="15.75" thickBot="1" x14ac:dyDescent="0.3">
      <c r="A37" s="135"/>
      <c r="B37" s="1314" t="s">
        <v>1166</v>
      </c>
      <c r="C37" s="1315"/>
      <c r="D37" s="1315"/>
      <c r="E37" s="1315"/>
      <c r="F37" s="1315"/>
      <c r="G37" s="1315"/>
      <c r="H37" s="1315"/>
      <c r="I37" s="1316"/>
      <c r="J37" s="135"/>
      <c r="K37" s="135"/>
      <c r="L37" s="135"/>
      <c r="M37" s="135"/>
      <c r="N37" s="135"/>
      <c r="O37" s="135"/>
      <c r="P37" s="135"/>
      <c r="Q37" s="135"/>
      <c r="R37" s="135"/>
      <c r="S37" s="135"/>
      <c r="T37" s="135"/>
      <c r="U37" s="135"/>
      <c r="V37" s="135"/>
      <c r="W37" s="135"/>
      <c r="X37" s="135"/>
      <c r="Y37" s="135"/>
      <c r="Z37" s="135"/>
      <c r="AA37" s="135"/>
      <c r="AB37" s="135"/>
      <c r="AC37" s="135"/>
    </row>
    <row r="38" spans="1:29" x14ac:dyDescent="0.25">
      <c r="A38" s="135"/>
      <c r="B38" s="1302"/>
      <c r="C38" s="1303"/>
      <c r="D38" s="1303"/>
      <c r="E38" s="1303"/>
      <c r="F38" s="1303"/>
      <c r="G38" s="1303"/>
      <c r="H38" s="1303"/>
      <c r="I38" s="1304"/>
      <c r="J38" s="135"/>
      <c r="K38" s="135"/>
      <c r="L38" s="135"/>
      <c r="M38" s="135"/>
      <c r="N38" s="135"/>
      <c r="O38" s="135"/>
      <c r="P38" s="135"/>
      <c r="Q38" s="135"/>
      <c r="R38" s="135"/>
      <c r="S38" s="135"/>
      <c r="T38" s="135"/>
      <c r="U38" s="135"/>
      <c r="V38" s="135"/>
      <c r="W38" s="135"/>
      <c r="X38" s="135"/>
      <c r="Y38" s="135"/>
      <c r="Z38" s="135"/>
      <c r="AA38" s="135"/>
      <c r="AB38" s="135"/>
      <c r="AC38" s="135"/>
    </row>
    <row r="39" spans="1:29" x14ac:dyDescent="0.25">
      <c r="A39" s="135"/>
      <c r="B39" s="1305"/>
      <c r="C39" s="1306"/>
      <c r="D39" s="1306"/>
      <c r="E39" s="1306"/>
      <c r="F39" s="1306"/>
      <c r="G39" s="1306"/>
      <c r="H39" s="1306"/>
      <c r="I39" s="1307"/>
      <c r="J39" s="135"/>
      <c r="K39" s="135"/>
      <c r="L39" s="135"/>
      <c r="M39" s="135"/>
      <c r="N39" s="135"/>
      <c r="O39" s="135"/>
      <c r="P39" s="135"/>
      <c r="Q39" s="135"/>
      <c r="R39" s="135"/>
      <c r="S39" s="135"/>
      <c r="T39" s="135"/>
      <c r="U39" s="135"/>
      <c r="V39" s="135"/>
      <c r="W39" s="135"/>
      <c r="X39" s="135"/>
      <c r="Y39" s="135"/>
      <c r="Z39" s="135"/>
      <c r="AA39" s="135"/>
      <c r="AB39" s="135"/>
      <c r="AC39" s="135"/>
    </row>
    <row r="40" spans="1:29" x14ac:dyDescent="0.25">
      <c r="A40" s="135"/>
      <c r="B40" s="1305"/>
      <c r="C40" s="1306"/>
      <c r="D40" s="1306"/>
      <c r="E40" s="1306"/>
      <c r="F40" s="1306"/>
      <c r="G40" s="1306"/>
      <c r="H40" s="1306"/>
      <c r="I40" s="1307"/>
      <c r="J40" s="135"/>
      <c r="K40" s="135"/>
      <c r="L40" s="135"/>
      <c r="M40" s="135"/>
      <c r="N40" s="135"/>
      <c r="O40" s="135"/>
      <c r="P40" s="135"/>
      <c r="Q40" s="135"/>
      <c r="R40" s="135"/>
      <c r="S40" s="135"/>
      <c r="T40" s="135"/>
      <c r="U40" s="135"/>
      <c r="V40" s="135"/>
      <c r="W40" s="135"/>
      <c r="X40" s="135"/>
      <c r="Y40" s="135"/>
      <c r="Z40" s="135"/>
      <c r="AA40" s="135"/>
      <c r="AB40" s="135"/>
      <c r="AC40" s="135"/>
    </row>
    <row r="41" spans="1:29" x14ac:dyDescent="0.25">
      <c r="A41" s="135"/>
      <c r="B41" s="1305"/>
      <c r="C41" s="1306"/>
      <c r="D41" s="1306"/>
      <c r="E41" s="1306"/>
      <c r="F41" s="1306"/>
      <c r="G41" s="1306"/>
      <c r="H41" s="1306"/>
      <c r="I41" s="1307"/>
      <c r="J41" s="135"/>
      <c r="K41" s="135"/>
      <c r="L41" s="135"/>
      <c r="M41" s="135"/>
      <c r="N41" s="135"/>
      <c r="O41" s="135"/>
      <c r="P41" s="135"/>
      <c r="Q41" s="135"/>
      <c r="R41" s="135"/>
      <c r="S41" s="135"/>
      <c r="T41" s="135"/>
      <c r="U41" s="135"/>
      <c r="V41" s="135"/>
      <c r="W41" s="135"/>
      <c r="X41" s="135"/>
      <c r="Y41" s="135"/>
      <c r="Z41" s="135"/>
      <c r="AA41" s="135"/>
      <c r="AB41" s="135"/>
      <c r="AC41" s="135"/>
    </row>
    <row r="42" spans="1:29" x14ac:dyDescent="0.25">
      <c r="A42" s="135"/>
      <c r="B42" s="1305"/>
      <c r="C42" s="1306"/>
      <c r="D42" s="1306"/>
      <c r="E42" s="1306"/>
      <c r="F42" s="1306"/>
      <c r="G42" s="1306"/>
      <c r="H42" s="1306"/>
      <c r="I42" s="1307"/>
      <c r="J42" s="135"/>
      <c r="K42" s="135"/>
      <c r="L42" s="135"/>
      <c r="M42" s="135"/>
      <c r="N42" s="135"/>
      <c r="O42" s="135"/>
      <c r="P42" s="135"/>
      <c r="Q42" s="135"/>
      <c r="R42" s="135"/>
      <c r="S42" s="135"/>
      <c r="T42" s="135"/>
      <c r="U42" s="135"/>
      <c r="V42" s="135"/>
      <c r="W42" s="135"/>
      <c r="X42" s="135"/>
      <c r="Y42" s="135"/>
      <c r="Z42" s="135"/>
      <c r="AA42" s="135"/>
      <c r="AB42" s="135"/>
      <c r="AC42" s="135"/>
    </row>
    <row r="43" spans="1:29" ht="15.75" thickBot="1" x14ac:dyDescent="0.3">
      <c r="A43" s="135"/>
      <c r="B43" s="1308"/>
      <c r="C43" s="1309"/>
      <c r="D43" s="1309"/>
      <c r="E43" s="1309"/>
      <c r="F43" s="1309"/>
      <c r="G43" s="1309"/>
      <c r="H43" s="1309"/>
      <c r="I43" s="1310"/>
      <c r="J43" s="135"/>
      <c r="K43" s="135"/>
      <c r="L43" s="135"/>
      <c r="M43" s="135"/>
      <c r="N43" s="135"/>
      <c r="O43" s="135"/>
      <c r="P43" s="135"/>
      <c r="Q43" s="135"/>
      <c r="R43" s="135"/>
      <c r="S43" s="135"/>
      <c r="T43" s="135"/>
      <c r="U43" s="135"/>
      <c r="V43" s="135"/>
      <c r="W43" s="135"/>
      <c r="X43" s="135"/>
      <c r="Y43" s="135"/>
      <c r="Z43" s="135"/>
      <c r="AA43" s="135"/>
      <c r="AB43" s="135"/>
      <c r="AC43" s="135"/>
    </row>
    <row r="44" spans="1:29" x14ac:dyDescent="0.25">
      <c r="A44" s="135"/>
      <c r="B44" s="135"/>
      <c r="C44" s="135"/>
      <c r="D44" s="135"/>
      <c r="E44" s="135"/>
      <c r="F44" s="135"/>
      <c r="G44" s="135"/>
      <c r="H44" s="135"/>
      <c r="I44" s="135"/>
      <c r="J44" s="135"/>
      <c r="K44" s="135"/>
      <c r="L44" s="135"/>
      <c r="M44" s="135"/>
      <c r="N44" s="135"/>
      <c r="O44" s="135"/>
      <c r="P44" s="135"/>
      <c r="Q44" s="135"/>
      <c r="R44" s="135"/>
      <c r="S44" s="135"/>
      <c r="T44" s="135"/>
      <c r="U44" s="135"/>
      <c r="V44" s="135"/>
      <c r="W44" s="135"/>
      <c r="X44" s="135"/>
      <c r="Y44" s="135"/>
      <c r="Z44" s="135"/>
      <c r="AA44" s="135"/>
      <c r="AB44" s="135"/>
      <c r="AC44" s="135"/>
    </row>
    <row r="45" spans="1:29" x14ac:dyDescent="0.25">
      <c r="A45" s="135"/>
      <c r="B45" s="135"/>
      <c r="C45" s="135"/>
      <c r="D45" s="13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row>
    <row r="46" spans="1:29" x14ac:dyDescent="0.25">
      <c r="A46" s="135"/>
      <c r="B46" s="135"/>
      <c r="C46" s="135"/>
      <c r="D46" s="135"/>
      <c r="E46" s="135"/>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row>
    <row r="47" spans="1:29" x14ac:dyDescent="0.25">
      <c r="A47" s="135"/>
      <c r="B47" s="135"/>
      <c r="C47" s="135"/>
      <c r="D47" s="135"/>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row>
    <row r="48" spans="1:29" x14ac:dyDescent="0.25">
      <c r="A48" s="142"/>
      <c r="B48" s="135"/>
      <c r="C48" s="135"/>
      <c r="D48" s="135"/>
      <c r="E48" s="135"/>
      <c r="F48" s="135"/>
      <c r="G48" s="135"/>
      <c r="H48" s="135"/>
      <c r="I48" s="135"/>
      <c r="J48" s="142"/>
      <c r="K48" s="135"/>
      <c r="L48" s="135"/>
      <c r="M48" s="135"/>
      <c r="N48" s="135"/>
      <c r="O48" s="135"/>
      <c r="P48" s="135"/>
      <c r="Q48" s="135"/>
      <c r="R48" s="135"/>
      <c r="S48" s="135"/>
      <c r="T48" s="135"/>
      <c r="U48" s="135"/>
      <c r="V48" s="135"/>
      <c r="W48" s="135"/>
      <c r="X48" s="135"/>
      <c r="Y48" s="135"/>
      <c r="Z48" s="135"/>
      <c r="AA48" s="135"/>
      <c r="AB48" s="135"/>
      <c r="AC48" s="135"/>
    </row>
    <row r="49" spans="1:29" x14ac:dyDescent="0.25">
      <c r="A49" s="142"/>
      <c r="B49" s="135"/>
      <c r="C49" s="135"/>
      <c r="D49" s="135"/>
      <c r="E49" s="135"/>
      <c r="F49" s="135"/>
      <c r="G49" s="135"/>
      <c r="H49" s="135"/>
      <c r="I49" s="135"/>
      <c r="J49" s="142"/>
      <c r="K49" s="135"/>
      <c r="L49" s="135"/>
      <c r="M49" s="135"/>
      <c r="N49" s="135"/>
      <c r="O49" s="135"/>
      <c r="P49" s="135"/>
      <c r="Q49" s="135"/>
      <c r="R49" s="135"/>
      <c r="S49" s="135"/>
      <c r="T49" s="135"/>
      <c r="U49" s="135"/>
      <c r="V49" s="135"/>
      <c r="W49" s="135"/>
      <c r="X49" s="135"/>
      <c r="Y49" s="135"/>
      <c r="Z49" s="135"/>
      <c r="AA49" s="135"/>
      <c r="AB49" s="135"/>
      <c r="AC49" s="135"/>
    </row>
    <row r="50" spans="1:29" x14ac:dyDescent="0.25">
      <c r="A50" s="142"/>
      <c r="B50" s="135"/>
      <c r="C50" s="135"/>
      <c r="D50" s="135"/>
      <c r="E50" s="135"/>
      <c r="F50" s="135"/>
      <c r="G50" s="135"/>
      <c r="H50" s="135"/>
      <c r="I50" s="135"/>
      <c r="J50" s="142"/>
      <c r="K50" s="135"/>
      <c r="L50" s="135"/>
      <c r="M50" s="135"/>
      <c r="N50" s="135"/>
      <c r="O50" s="135"/>
      <c r="P50" s="135"/>
      <c r="Q50" s="135"/>
      <c r="R50" s="135"/>
      <c r="S50" s="135"/>
      <c r="T50" s="135"/>
      <c r="U50" s="135"/>
      <c r="V50" s="135"/>
      <c r="W50" s="135"/>
      <c r="X50" s="135"/>
      <c r="Y50" s="135"/>
      <c r="Z50" s="135"/>
      <c r="AA50" s="135"/>
      <c r="AB50" s="135"/>
      <c r="AC50" s="135"/>
    </row>
    <row r="51" spans="1:29" x14ac:dyDescent="0.25">
      <c r="A51" s="142"/>
      <c r="B51" s="142"/>
      <c r="C51" s="142"/>
      <c r="D51" s="142"/>
      <c r="E51" s="142"/>
      <c r="F51" s="142"/>
      <c r="G51" s="142"/>
      <c r="H51" s="142"/>
      <c r="I51" s="142"/>
      <c r="J51" s="142"/>
      <c r="K51" s="135"/>
      <c r="L51" s="135"/>
      <c r="M51" s="135"/>
      <c r="N51" s="135"/>
      <c r="O51" s="135"/>
      <c r="P51" s="135"/>
      <c r="Q51" s="135"/>
      <c r="R51" s="135"/>
      <c r="S51" s="135"/>
      <c r="T51" s="135"/>
      <c r="U51" s="135"/>
      <c r="V51" s="135"/>
      <c r="W51" s="135"/>
      <c r="X51" s="135"/>
      <c r="Y51" s="135"/>
      <c r="Z51" s="135"/>
      <c r="AA51" s="135"/>
      <c r="AB51" s="135"/>
      <c r="AC51" s="135"/>
    </row>
    <row r="52" spans="1:29" x14ac:dyDescent="0.25">
      <c r="A52" s="142"/>
      <c r="B52" s="142"/>
      <c r="C52" s="142"/>
      <c r="D52" s="142"/>
      <c r="E52" s="142"/>
      <c r="F52" s="142"/>
      <c r="G52" s="142"/>
      <c r="H52" s="142"/>
      <c r="I52" s="142"/>
      <c r="J52" s="142"/>
      <c r="K52" s="135"/>
      <c r="L52" s="135"/>
      <c r="M52" s="135"/>
      <c r="N52" s="135"/>
      <c r="O52" s="135"/>
      <c r="P52" s="135"/>
      <c r="Q52" s="135"/>
      <c r="R52" s="135"/>
      <c r="S52" s="135"/>
      <c r="T52" s="135"/>
      <c r="U52" s="135"/>
      <c r="V52" s="135"/>
      <c r="W52" s="135"/>
      <c r="X52" s="135"/>
      <c r="Y52" s="135"/>
      <c r="Z52" s="135"/>
      <c r="AA52" s="135"/>
      <c r="AB52" s="135"/>
      <c r="AC52" s="135"/>
    </row>
    <row r="53" spans="1:29" x14ac:dyDescent="0.25">
      <c r="A53" s="142"/>
      <c r="B53" s="142"/>
      <c r="C53" s="142"/>
      <c r="D53" s="142"/>
      <c r="E53" s="142"/>
      <c r="F53" s="142"/>
      <c r="G53" s="142"/>
      <c r="H53" s="142"/>
      <c r="I53" s="142"/>
      <c r="J53" s="142"/>
      <c r="K53" s="135"/>
      <c r="L53" s="135"/>
      <c r="M53" s="135"/>
      <c r="N53" s="135"/>
      <c r="O53" s="135"/>
      <c r="P53" s="135"/>
      <c r="Q53" s="135"/>
      <c r="R53" s="135"/>
      <c r="S53" s="135"/>
      <c r="T53" s="135"/>
      <c r="U53" s="135"/>
      <c r="V53" s="135"/>
      <c r="W53" s="135"/>
      <c r="X53" s="135"/>
      <c r="Y53" s="135"/>
      <c r="Z53" s="135"/>
      <c r="AA53" s="135"/>
      <c r="AB53" s="135"/>
      <c r="AC53" s="135"/>
    </row>
    <row r="54" spans="1:29" x14ac:dyDescent="0.25">
      <c r="A54" s="142"/>
      <c r="B54" s="142"/>
      <c r="C54" s="142"/>
      <c r="D54" s="142"/>
      <c r="E54" s="142"/>
      <c r="F54" s="142"/>
      <c r="G54" s="142"/>
      <c r="H54" s="142"/>
      <c r="I54" s="142"/>
      <c r="J54" s="142"/>
      <c r="K54" s="135"/>
      <c r="L54" s="135"/>
      <c r="M54" s="135"/>
      <c r="N54" s="135"/>
      <c r="O54" s="135"/>
      <c r="P54" s="135"/>
      <c r="Q54" s="135"/>
      <c r="R54" s="135"/>
      <c r="S54" s="135"/>
      <c r="T54" s="135"/>
      <c r="U54" s="135"/>
      <c r="V54" s="135"/>
      <c r="W54" s="135"/>
      <c r="X54" s="135"/>
      <c r="Y54" s="135"/>
      <c r="Z54" s="135"/>
      <c r="AA54" s="135"/>
      <c r="AB54" s="135"/>
      <c r="AC54" s="135"/>
    </row>
    <row r="55" spans="1:29" x14ac:dyDescent="0.25">
      <c r="A55" s="142"/>
      <c r="B55" s="142"/>
      <c r="C55" s="142"/>
      <c r="D55" s="142"/>
      <c r="E55" s="142"/>
      <c r="F55" s="142"/>
      <c r="G55" s="142"/>
      <c r="H55" s="142"/>
      <c r="I55" s="142"/>
      <c r="J55" s="142"/>
      <c r="K55" s="135"/>
      <c r="L55" s="135"/>
      <c r="M55" s="135"/>
      <c r="N55" s="135"/>
      <c r="O55" s="135"/>
      <c r="P55" s="135"/>
      <c r="Q55" s="135"/>
      <c r="R55" s="135"/>
      <c r="S55" s="135"/>
      <c r="T55" s="135"/>
      <c r="U55" s="135"/>
      <c r="V55" s="135"/>
      <c r="W55" s="135"/>
      <c r="X55" s="135"/>
      <c r="Y55" s="135"/>
      <c r="Z55" s="135"/>
      <c r="AA55" s="135"/>
      <c r="AB55" s="135"/>
      <c r="AC55" s="135"/>
    </row>
    <row r="56" spans="1:29" x14ac:dyDescent="0.25">
      <c r="A56" s="142"/>
      <c r="B56" s="142"/>
      <c r="C56" s="142"/>
      <c r="D56" s="142"/>
      <c r="E56" s="142"/>
      <c r="F56" s="142"/>
      <c r="G56" s="142"/>
      <c r="H56" s="142"/>
      <c r="I56" s="142"/>
      <c r="J56" s="142"/>
      <c r="K56" s="135"/>
      <c r="L56" s="135"/>
      <c r="M56" s="135"/>
      <c r="N56" s="135"/>
      <c r="O56" s="135"/>
      <c r="P56" s="135"/>
      <c r="Q56" s="135"/>
      <c r="R56" s="135"/>
      <c r="S56" s="135"/>
      <c r="T56" s="135"/>
      <c r="U56" s="135"/>
      <c r="V56" s="135"/>
      <c r="W56" s="135"/>
      <c r="X56" s="135"/>
      <c r="Y56" s="135"/>
      <c r="Z56" s="135"/>
      <c r="AA56" s="135"/>
      <c r="AB56" s="135"/>
      <c r="AC56" s="135"/>
    </row>
    <row r="57" spans="1:29" x14ac:dyDescent="0.25">
      <c r="A57" s="142"/>
      <c r="B57" s="142"/>
      <c r="C57" s="142"/>
      <c r="D57" s="142"/>
      <c r="E57" s="142"/>
      <c r="F57" s="142"/>
      <c r="G57" s="142"/>
      <c r="H57" s="142"/>
      <c r="I57" s="142"/>
      <c r="J57" s="142"/>
      <c r="K57" s="135"/>
      <c r="L57" s="135"/>
      <c r="M57" s="135"/>
      <c r="N57" s="135"/>
      <c r="O57" s="135"/>
      <c r="P57" s="135"/>
      <c r="Q57" s="135"/>
      <c r="R57" s="135"/>
      <c r="S57" s="135"/>
      <c r="T57" s="135"/>
      <c r="U57" s="135"/>
      <c r="V57" s="135"/>
      <c r="W57" s="135"/>
      <c r="X57" s="135"/>
      <c r="Y57" s="135"/>
      <c r="Z57" s="135"/>
      <c r="AA57" s="135"/>
      <c r="AB57" s="135"/>
      <c r="AC57" s="135"/>
    </row>
    <row r="58" spans="1:29" x14ac:dyDescent="0.25">
      <c r="A58" s="142"/>
      <c r="B58" s="142"/>
      <c r="C58" s="142"/>
      <c r="D58" s="142"/>
      <c r="E58" s="142"/>
      <c r="F58" s="142"/>
      <c r="G58" s="142"/>
      <c r="H58" s="142"/>
      <c r="I58" s="142"/>
      <c r="J58" s="142"/>
      <c r="K58" s="135"/>
      <c r="L58" s="135"/>
      <c r="M58" s="135"/>
      <c r="N58" s="135"/>
      <c r="O58" s="135"/>
      <c r="P58" s="135"/>
      <c r="Q58" s="135"/>
      <c r="R58" s="135"/>
      <c r="S58" s="135"/>
      <c r="T58" s="135"/>
      <c r="U58" s="135"/>
      <c r="V58" s="135"/>
      <c r="W58" s="135"/>
      <c r="X58" s="135"/>
      <c r="Y58" s="135"/>
      <c r="Z58" s="135"/>
      <c r="AA58" s="135"/>
      <c r="AB58" s="135"/>
      <c r="AC58" s="135"/>
    </row>
    <row r="59" spans="1:29" x14ac:dyDescent="0.25">
      <c r="A59" s="135"/>
      <c r="B59" s="142"/>
      <c r="C59" s="142"/>
      <c r="D59" s="142"/>
      <c r="E59" s="142"/>
      <c r="F59" s="142"/>
      <c r="G59" s="142"/>
      <c r="H59" s="142"/>
      <c r="I59" s="142"/>
      <c r="J59" s="135"/>
      <c r="K59" s="135"/>
      <c r="L59" s="135"/>
      <c r="M59" s="135"/>
      <c r="N59" s="135"/>
      <c r="O59" s="135"/>
      <c r="P59" s="135"/>
      <c r="Q59" s="135"/>
      <c r="R59" s="135"/>
      <c r="S59" s="135"/>
      <c r="T59" s="135"/>
      <c r="U59" s="135"/>
      <c r="V59" s="135"/>
      <c r="W59" s="135"/>
      <c r="X59" s="135"/>
      <c r="Y59" s="135"/>
      <c r="Z59" s="135"/>
      <c r="AA59" s="135"/>
      <c r="AB59" s="135"/>
      <c r="AC59" s="135"/>
    </row>
    <row r="60" spans="1:29" x14ac:dyDescent="0.25">
      <c r="A60" s="135"/>
      <c r="B60" s="142"/>
      <c r="C60" s="142"/>
      <c r="D60" s="142"/>
      <c r="E60" s="142"/>
      <c r="F60" s="142"/>
      <c r="G60" s="142"/>
      <c r="H60" s="142"/>
      <c r="I60" s="142"/>
      <c r="J60" s="135"/>
      <c r="K60" s="135"/>
      <c r="L60" s="135"/>
      <c r="M60" s="135"/>
      <c r="N60" s="135"/>
      <c r="O60" s="135"/>
      <c r="P60" s="135"/>
      <c r="Q60" s="135"/>
      <c r="R60" s="135"/>
      <c r="S60" s="135"/>
      <c r="T60" s="135"/>
      <c r="U60" s="135"/>
      <c r="V60" s="135"/>
      <c r="W60" s="135"/>
      <c r="X60" s="135"/>
      <c r="Y60" s="135"/>
      <c r="Z60" s="135"/>
      <c r="AA60" s="135"/>
      <c r="AB60" s="135"/>
      <c r="AC60" s="135"/>
    </row>
    <row r="61" spans="1:29" x14ac:dyDescent="0.25">
      <c r="A61" s="135"/>
      <c r="B61" s="142"/>
      <c r="C61" s="142"/>
      <c r="D61" s="142"/>
      <c r="E61" s="142"/>
      <c r="F61" s="142"/>
      <c r="G61" s="142"/>
      <c r="H61" s="142"/>
      <c r="I61" s="142"/>
      <c r="J61" s="135"/>
      <c r="K61" s="135"/>
      <c r="L61" s="135"/>
      <c r="M61" s="135"/>
      <c r="N61" s="135"/>
      <c r="O61" s="135"/>
      <c r="P61" s="135"/>
      <c r="Q61" s="135"/>
      <c r="R61" s="135"/>
      <c r="S61" s="135"/>
      <c r="T61" s="135"/>
      <c r="U61" s="135"/>
      <c r="V61" s="135"/>
      <c r="W61" s="135"/>
      <c r="X61" s="135"/>
      <c r="Y61" s="135"/>
      <c r="Z61" s="135"/>
      <c r="AA61" s="135"/>
      <c r="AB61" s="135"/>
      <c r="AC61" s="135"/>
    </row>
    <row r="62" spans="1:29" x14ac:dyDescent="0.25">
      <c r="A62" s="135"/>
      <c r="B62" s="135"/>
      <c r="C62" s="135"/>
      <c r="D62" s="135"/>
      <c r="E62" s="135"/>
      <c r="F62" s="135"/>
      <c r="G62" s="135"/>
      <c r="H62" s="135"/>
      <c r="I62" s="135"/>
      <c r="J62" s="135"/>
      <c r="K62" s="135"/>
      <c r="L62" s="135"/>
      <c r="M62" s="135"/>
      <c r="N62" s="135"/>
      <c r="O62" s="135"/>
      <c r="P62" s="135"/>
      <c r="Q62" s="135"/>
      <c r="R62" s="135"/>
      <c r="S62" s="135"/>
      <c r="T62" s="135"/>
      <c r="U62" s="135"/>
      <c r="V62" s="135"/>
      <c r="W62" s="135"/>
      <c r="X62" s="135"/>
      <c r="Y62" s="135"/>
      <c r="Z62" s="135"/>
      <c r="AA62" s="135"/>
      <c r="AB62" s="135"/>
      <c r="AC62" s="135"/>
    </row>
    <row r="63" spans="1:29" x14ac:dyDescent="0.25">
      <c r="A63" s="135"/>
      <c r="B63" s="135"/>
      <c r="C63" s="135"/>
      <c r="D63" s="135"/>
      <c r="E63" s="135"/>
      <c r="F63" s="135"/>
      <c r="G63" s="135"/>
      <c r="H63" s="135"/>
      <c r="I63" s="135"/>
      <c r="J63" s="135"/>
      <c r="K63" s="135"/>
      <c r="L63" s="135"/>
      <c r="M63" s="135"/>
      <c r="N63" s="135"/>
      <c r="O63" s="135"/>
      <c r="P63" s="135"/>
      <c r="Q63" s="135"/>
      <c r="R63" s="135"/>
      <c r="S63" s="135"/>
      <c r="T63" s="135"/>
      <c r="U63" s="135"/>
      <c r="V63" s="135"/>
      <c r="W63" s="135"/>
      <c r="X63" s="135"/>
      <c r="Y63" s="135"/>
      <c r="Z63" s="135"/>
      <c r="AA63" s="135"/>
      <c r="AB63" s="135"/>
      <c r="AC63" s="135"/>
    </row>
    <row r="64" spans="1:29" x14ac:dyDescent="0.25">
      <c r="A64" s="135"/>
      <c r="B64" s="135"/>
      <c r="C64" s="135"/>
      <c r="D64" s="135"/>
      <c r="E64" s="135"/>
      <c r="F64" s="135"/>
      <c r="G64" s="135"/>
      <c r="H64" s="135"/>
      <c r="I64" s="135"/>
      <c r="J64" s="135"/>
      <c r="K64" s="135"/>
      <c r="L64" s="135"/>
      <c r="M64" s="135"/>
      <c r="N64" s="135"/>
      <c r="O64" s="135"/>
      <c r="P64" s="135"/>
      <c r="Q64" s="135"/>
      <c r="R64" s="135"/>
      <c r="S64" s="135"/>
      <c r="T64" s="135"/>
      <c r="U64" s="135"/>
      <c r="V64" s="135"/>
      <c r="W64" s="135"/>
      <c r="X64" s="135"/>
      <c r="Y64" s="135"/>
      <c r="Z64" s="135"/>
      <c r="AA64" s="135"/>
      <c r="AB64" s="135"/>
      <c r="AC64" s="135"/>
    </row>
    <row r="65" spans="1:29" x14ac:dyDescent="0.25">
      <c r="A65" s="135"/>
      <c r="B65" s="135"/>
      <c r="C65" s="135"/>
      <c r="D65" s="135"/>
      <c r="E65" s="135"/>
      <c r="F65" s="135"/>
      <c r="G65" s="135"/>
      <c r="H65" s="135"/>
      <c r="I65" s="135"/>
      <c r="J65" s="135"/>
      <c r="K65" s="135"/>
      <c r="L65" s="135"/>
      <c r="M65" s="135"/>
      <c r="N65" s="135"/>
      <c r="O65" s="135"/>
      <c r="P65" s="135"/>
      <c r="Q65" s="135"/>
      <c r="R65" s="135"/>
      <c r="S65" s="135"/>
      <c r="T65" s="135"/>
      <c r="U65" s="135"/>
      <c r="V65" s="135"/>
      <c r="W65" s="135"/>
      <c r="X65" s="135"/>
      <c r="Y65" s="135"/>
      <c r="Z65" s="135"/>
      <c r="AA65" s="135"/>
      <c r="AB65" s="135"/>
      <c r="AC65" s="135"/>
    </row>
    <row r="66" spans="1:29" x14ac:dyDescent="0.25">
      <c r="A66" s="135"/>
      <c r="B66" s="135"/>
      <c r="C66" s="135"/>
      <c r="D66" s="135"/>
      <c r="E66" s="135"/>
      <c r="F66" s="135"/>
      <c r="G66" s="135"/>
      <c r="H66" s="135"/>
      <c r="I66" s="135"/>
      <c r="J66" s="135"/>
      <c r="K66" s="135"/>
      <c r="L66" s="135"/>
      <c r="M66" s="135"/>
      <c r="N66" s="135"/>
      <c r="O66" s="135"/>
      <c r="P66" s="135"/>
      <c r="Q66" s="135"/>
      <c r="R66" s="135"/>
      <c r="S66" s="135"/>
      <c r="T66" s="135"/>
      <c r="U66" s="135"/>
      <c r="V66" s="135"/>
      <c r="W66" s="135"/>
      <c r="X66" s="135"/>
      <c r="Y66" s="135"/>
      <c r="Z66" s="135"/>
      <c r="AA66" s="135"/>
      <c r="AB66" s="135"/>
      <c r="AC66" s="135"/>
    </row>
    <row r="67" spans="1:29" x14ac:dyDescent="0.25">
      <c r="A67" s="135"/>
      <c r="B67" s="135"/>
      <c r="C67" s="135"/>
      <c r="D67" s="135"/>
      <c r="E67" s="135"/>
      <c r="F67" s="135"/>
      <c r="G67" s="135"/>
      <c r="H67" s="135"/>
      <c r="I67" s="135"/>
      <c r="J67" s="135"/>
      <c r="K67" s="135"/>
      <c r="L67" s="135"/>
      <c r="M67" s="135"/>
      <c r="N67" s="135"/>
      <c r="O67" s="135"/>
      <c r="P67" s="135"/>
      <c r="Q67" s="135"/>
      <c r="R67" s="135"/>
      <c r="S67" s="135"/>
      <c r="T67" s="135"/>
      <c r="U67" s="135"/>
      <c r="V67" s="135"/>
      <c r="W67" s="135"/>
      <c r="X67" s="135"/>
      <c r="Y67" s="135"/>
      <c r="Z67" s="135"/>
      <c r="AA67" s="135"/>
      <c r="AB67" s="135"/>
      <c r="AC67" s="135"/>
    </row>
    <row r="68" spans="1:29" x14ac:dyDescent="0.25">
      <c r="A68" s="135"/>
      <c r="B68" s="135"/>
      <c r="C68" s="135"/>
      <c r="D68" s="135"/>
      <c r="E68" s="135"/>
      <c r="F68" s="135"/>
      <c r="G68" s="135"/>
      <c r="H68" s="135"/>
      <c r="I68" s="135"/>
      <c r="J68" s="135"/>
      <c r="K68" s="135"/>
      <c r="L68" s="135"/>
      <c r="M68" s="135"/>
      <c r="N68" s="135"/>
      <c r="O68" s="135"/>
      <c r="P68" s="135"/>
      <c r="Q68" s="135"/>
      <c r="R68" s="135"/>
      <c r="S68" s="135"/>
      <c r="T68" s="135"/>
      <c r="U68" s="135"/>
      <c r="V68" s="135"/>
      <c r="W68" s="135"/>
      <c r="X68" s="135"/>
      <c r="Y68" s="135"/>
      <c r="Z68" s="135"/>
      <c r="AA68" s="135"/>
      <c r="AB68" s="135"/>
      <c r="AC68" s="135"/>
    </row>
    <row r="69" spans="1:29" x14ac:dyDescent="0.25">
      <c r="A69" s="135"/>
      <c r="B69" s="135"/>
      <c r="C69" s="135"/>
      <c r="D69" s="135"/>
      <c r="E69" s="135"/>
      <c r="F69" s="135"/>
      <c r="G69" s="135"/>
      <c r="H69" s="135"/>
      <c r="I69" s="135"/>
      <c r="J69" s="135"/>
      <c r="K69" s="135"/>
      <c r="L69" s="135"/>
      <c r="M69" s="135"/>
      <c r="N69" s="135"/>
      <c r="O69" s="135"/>
      <c r="P69" s="135"/>
      <c r="Q69" s="135"/>
      <c r="R69" s="135"/>
      <c r="S69" s="135"/>
      <c r="T69" s="135"/>
      <c r="U69" s="135"/>
      <c r="V69" s="135"/>
      <c r="W69" s="135"/>
      <c r="X69" s="135"/>
      <c r="Y69" s="135"/>
      <c r="Z69" s="135"/>
      <c r="AA69" s="135"/>
      <c r="AB69" s="135"/>
      <c r="AC69" s="135"/>
    </row>
    <row r="70" spans="1:29" x14ac:dyDescent="0.25">
      <c r="A70" s="135"/>
      <c r="B70" s="135"/>
      <c r="C70" s="135"/>
      <c r="D70" s="135"/>
      <c r="E70" s="135"/>
      <c r="F70" s="135"/>
      <c r="G70" s="135"/>
      <c r="H70" s="135"/>
      <c r="I70" s="135"/>
      <c r="J70" s="135"/>
      <c r="K70" s="135"/>
      <c r="L70" s="135"/>
      <c r="M70" s="135"/>
      <c r="N70" s="135"/>
      <c r="O70" s="135"/>
      <c r="P70" s="135"/>
      <c r="Q70" s="135"/>
      <c r="R70" s="135"/>
      <c r="S70" s="135"/>
      <c r="T70" s="135"/>
      <c r="U70" s="135"/>
      <c r="V70" s="135"/>
      <c r="W70" s="135"/>
      <c r="X70" s="135"/>
      <c r="Y70" s="135"/>
      <c r="Z70" s="135"/>
      <c r="AA70" s="135"/>
      <c r="AB70" s="135"/>
      <c r="AC70" s="135"/>
    </row>
    <row r="71" spans="1:29" x14ac:dyDescent="0.25">
      <c r="A71" s="135"/>
      <c r="B71" s="135"/>
      <c r="C71" s="135"/>
      <c r="D71" s="135"/>
      <c r="E71" s="135"/>
      <c r="F71" s="135"/>
      <c r="G71" s="135"/>
      <c r="H71" s="135"/>
      <c r="I71" s="135"/>
      <c r="J71" s="135"/>
      <c r="K71" s="135"/>
      <c r="L71" s="135"/>
      <c r="M71" s="135"/>
      <c r="N71" s="135"/>
      <c r="O71" s="135"/>
      <c r="P71" s="135"/>
      <c r="Q71" s="135"/>
      <c r="R71" s="135"/>
      <c r="S71" s="135"/>
      <c r="T71" s="135"/>
      <c r="U71" s="135"/>
      <c r="V71" s="135"/>
      <c r="W71" s="135"/>
      <c r="X71" s="135"/>
      <c r="Y71" s="135"/>
      <c r="Z71" s="135"/>
      <c r="AA71" s="135"/>
      <c r="AB71" s="135"/>
      <c r="AC71" s="135"/>
    </row>
    <row r="72" spans="1:29" x14ac:dyDescent="0.25">
      <c r="A72" s="135"/>
      <c r="B72" s="135"/>
      <c r="C72" s="135"/>
      <c r="D72" s="135"/>
      <c r="E72" s="135"/>
      <c r="F72" s="135"/>
      <c r="G72" s="135"/>
      <c r="H72" s="135"/>
      <c r="I72" s="135"/>
      <c r="J72" s="135"/>
      <c r="K72" s="135"/>
      <c r="L72" s="135"/>
      <c r="M72" s="135"/>
      <c r="N72" s="135"/>
      <c r="O72" s="135"/>
      <c r="P72" s="135"/>
      <c r="Q72" s="135"/>
      <c r="R72" s="135"/>
      <c r="S72" s="135"/>
      <c r="T72" s="135"/>
      <c r="U72" s="135"/>
      <c r="V72" s="135"/>
      <c r="W72" s="135"/>
      <c r="X72" s="135"/>
      <c r="Y72" s="135"/>
      <c r="Z72" s="135"/>
      <c r="AA72" s="135"/>
      <c r="AB72" s="135"/>
      <c r="AC72" s="135"/>
    </row>
    <row r="73" spans="1:29" x14ac:dyDescent="0.25">
      <c r="A73" s="135"/>
      <c r="B73" s="135"/>
      <c r="C73" s="135"/>
      <c r="D73" s="135"/>
      <c r="E73" s="135"/>
      <c r="F73" s="135"/>
      <c r="G73" s="135"/>
      <c r="H73" s="135"/>
      <c r="I73" s="135"/>
      <c r="J73" s="135"/>
      <c r="K73" s="135"/>
      <c r="L73" s="135"/>
      <c r="M73" s="135"/>
      <c r="N73" s="135"/>
      <c r="O73" s="135"/>
      <c r="P73" s="135"/>
      <c r="Q73" s="135"/>
      <c r="R73" s="135"/>
      <c r="S73" s="135"/>
      <c r="T73" s="135"/>
      <c r="U73" s="135"/>
      <c r="V73" s="135"/>
      <c r="W73" s="135"/>
      <c r="X73" s="135"/>
      <c r="Y73" s="135"/>
      <c r="Z73" s="135"/>
      <c r="AA73" s="135"/>
      <c r="AB73" s="135"/>
      <c r="AC73" s="135"/>
    </row>
    <row r="74" spans="1:29" x14ac:dyDescent="0.25">
      <c r="A74" s="135"/>
      <c r="B74" s="135"/>
      <c r="C74" s="135"/>
      <c r="D74" s="135"/>
      <c r="E74" s="135"/>
      <c r="F74" s="135"/>
      <c r="G74" s="135"/>
      <c r="H74" s="135"/>
      <c r="I74" s="135"/>
      <c r="J74" s="135"/>
      <c r="K74" s="135"/>
      <c r="L74" s="135"/>
      <c r="M74" s="135"/>
      <c r="N74" s="135"/>
      <c r="O74" s="135"/>
      <c r="P74" s="135"/>
      <c r="Q74" s="135"/>
      <c r="R74" s="135"/>
      <c r="S74" s="135"/>
      <c r="T74" s="135"/>
      <c r="U74" s="135"/>
      <c r="V74" s="135"/>
      <c r="W74" s="135"/>
      <c r="X74" s="135"/>
      <c r="Y74" s="135"/>
      <c r="Z74" s="135"/>
      <c r="AA74" s="135"/>
      <c r="AB74" s="135"/>
      <c r="AC74" s="135"/>
    </row>
    <row r="75" spans="1:29" x14ac:dyDescent="0.25">
      <c r="A75" s="135"/>
      <c r="B75" s="135"/>
      <c r="C75" s="135"/>
      <c r="D75" s="135"/>
      <c r="E75" s="135"/>
      <c r="F75" s="135"/>
      <c r="G75" s="135"/>
      <c r="H75" s="135"/>
      <c r="I75" s="135"/>
      <c r="J75" s="135"/>
      <c r="K75" s="135"/>
      <c r="L75" s="135"/>
      <c r="M75" s="135"/>
      <c r="N75" s="135"/>
      <c r="O75" s="135"/>
      <c r="P75" s="135"/>
      <c r="Q75" s="135"/>
      <c r="R75" s="135"/>
      <c r="S75" s="135"/>
      <c r="T75" s="135"/>
      <c r="U75" s="135"/>
      <c r="V75" s="135"/>
      <c r="W75" s="135"/>
      <c r="X75" s="135"/>
      <c r="Y75" s="135"/>
      <c r="Z75" s="135"/>
      <c r="AA75" s="135"/>
      <c r="AB75" s="135"/>
      <c r="AC75" s="135"/>
    </row>
    <row r="76" spans="1:29" x14ac:dyDescent="0.25">
      <c r="A76" s="135"/>
      <c r="B76" s="135"/>
      <c r="C76" s="135"/>
      <c r="D76" s="135"/>
      <c r="E76" s="135"/>
      <c r="F76" s="135"/>
      <c r="G76" s="135"/>
      <c r="H76" s="135"/>
      <c r="I76" s="135"/>
      <c r="J76" s="135"/>
      <c r="K76" s="135"/>
      <c r="L76" s="135"/>
      <c r="M76" s="135"/>
      <c r="N76" s="135"/>
      <c r="O76" s="135"/>
      <c r="P76" s="135"/>
      <c r="Q76" s="135"/>
      <c r="R76" s="135"/>
      <c r="S76" s="135"/>
      <c r="T76" s="135"/>
      <c r="U76" s="135"/>
      <c r="V76" s="135"/>
      <c r="W76" s="135"/>
      <c r="X76" s="135"/>
      <c r="Y76" s="135"/>
      <c r="Z76" s="135"/>
      <c r="AA76" s="135"/>
      <c r="AB76" s="135"/>
      <c r="AC76" s="135"/>
    </row>
    <row r="77" spans="1:29" x14ac:dyDescent="0.25">
      <c r="A77" s="135"/>
      <c r="B77" s="135"/>
      <c r="C77" s="135"/>
      <c r="D77" s="135"/>
      <c r="E77" s="135"/>
      <c r="F77" s="135"/>
      <c r="G77" s="135"/>
      <c r="H77" s="135"/>
      <c r="I77" s="135"/>
      <c r="J77" s="135"/>
      <c r="K77" s="135"/>
      <c r="L77" s="135"/>
      <c r="M77" s="135"/>
      <c r="N77" s="135"/>
      <c r="O77" s="135"/>
      <c r="P77" s="135"/>
      <c r="Q77" s="135"/>
      <c r="R77" s="135"/>
      <c r="S77" s="135"/>
      <c r="T77" s="135"/>
      <c r="U77" s="135"/>
      <c r="V77" s="135"/>
      <c r="W77" s="135"/>
      <c r="X77" s="135"/>
      <c r="Y77" s="135"/>
      <c r="Z77" s="135"/>
      <c r="AA77" s="135"/>
      <c r="AB77" s="135"/>
      <c r="AC77" s="135"/>
    </row>
    <row r="78" spans="1:29" x14ac:dyDescent="0.25">
      <c r="A78" s="135"/>
      <c r="B78" s="135"/>
      <c r="C78" s="135"/>
      <c r="D78" s="135"/>
      <c r="E78" s="135"/>
      <c r="F78" s="135"/>
      <c r="G78" s="135"/>
      <c r="H78" s="135"/>
      <c r="I78" s="135"/>
      <c r="J78" s="135"/>
      <c r="K78" s="135"/>
      <c r="L78" s="135"/>
      <c r="M78" s="135"/>
      <c r="N78" s="135"/>
      <c r="O78" s="135"/>
      <c r="P78" s="135"/>
      <c r="Q78" s="135"/>
      <c r="R78" s="135"/>
      <c r="S78" s="135"/>
      <c r="T78" s="135"/>
      <c r="U78" s="135"/>
      <c r="V78" s="135"/>
      <c r="W78" s="135"/>
      <c r="X78" s="135"/>
      <c r="Y78" s="135"/>
      <c r="Z78" s="135"/>
      <c r="AA78" s="135"/>
      <c r="AB78" s="135"/>
      <c r="AC78" s="135"/>
    </row>
    <row r="79" spans="1:29" x14ac:dyDescent="0.25">
      <c r="A79" s="135"/>
      <c r="B79" s="135"/>
      <c r="C79" s="135"/>
      <c r="D79" s="135"/>
      <c r="E79" s="135"/>
      <c r="F79" s="135"/>
      <c r="G79" s="135"/>
      <c r="H79" s="135"/>
      <c r="I79" s="135"/>
      <c r="J79" s="135"/>
      <c r="K79" s="135"/>
      <c r="L79" s="135"/>
      <c r="M79" s="135"/>
      <c r="N79" s="135"/>
      <c r="O79" s="135"/>
      <c r="P79" s="135"/>
      <c r="Q79" s="135"/>
      <c r="R79" s="135"/>
      <c r="S79" s="135"/>
      <c r="T79" s="135"/>
      <c r="U79" s="135"/>
      <c r="V79" s="135"/>
      <c r="W79" s="135"/>
      <c r="X79" s="135"/>
      <c r="Y79" s="135"/>
      <c r="Z79" s="135"/>
      <c r="AA79" s="135"/>
      <c r="AB79" s="135"/>
      <c r="AC79" s="135"/>
    </row>
    <row r="80" spans="1:29" x14ac:dyDescent="0.25">
      <c r="A80" s="135"/>
      <c r="B80" s="135"/>
      <c r="C80" s="135"/>
      <c r="D80" s="135"/>
      <c r="E80" s="135"/>
      <c r="F80" s="135"/>
      <c r="G80" s="135"/>
      <c r="H80" s="135"/>
      <c r="I80" s="135"/>
      <c r="J80" s="135"/>
      <c r="K80" s="135"/>
      <c r="L80" s="135"/>
      <c r="M80" s="135"/>
      <c r="N80" s="135"/>
      <c r="O80" s="135"/>
      <c r="P80" s="135"/>
      <c r="Q80" s="135"/>
      <c r="R80" s="135"/>
      <c r="S80" s="135"/>
      <c r="T80" s="135"/>
      <c r="U80" s="135"/>
      <c r="V80" s="135"/>
      <c r="W80" s="135"/>
      <c r="X80" s="135"/>
      <c r="Y80" s="135"/>
      <c r="Z80" s="135"/>
      <c r="AA80" s="135"/>
      <c r="AB80" s="135"/>
      <c r="AC80" s="135"/>
    </row>
    <row r="81" spans="1:29" x14ac:dyDescent="0.25">
      <c r="A81" s="135"/>
      <c r="B81" s="135"/>
      <c r="C81" s="135"/>
      <c r="D81" s="135"/>
      <c r="E81" s="135"/>
      <c r="F81" s="135"/>
      <c r="G81" s="135"/>
      <c r="H81" s="135"/>
      <c r="I81" s="135"/>
      <c r="J81" s="135"/>
      <c r="K81" s="135"/>
      <c r="L81" s="135"/>
      <c r="M81" s="135"/>
      <c r="N81" s="135"/>
      <c r="O81" s="135"/>
      <c r="P81" s="135"/>
      <c r="Q81" s="135"/>
      <c r="R81" s="135"/>
      <c r="S81" s="135"/>
      <c r="T81" s="135"/>
      <c r="U81" s="135"/>
      <c r="V81" s="135"/>
      <c r="W81" s="135"/>
      <c r="X81" s="135"/>
      <c r="Y81" s="135"/>
      <c r="Z81" s="135"/>
      <c r="AA81" s="135"/>
      <c r="AB81" s="135"/>
      <c r="AC81" s="135"/>
    </row>
    <row r="82" spans="1:29" x14ac:dyDescent="0.25">
      <c r="A82" s="135"/>
      <c r="B82" s="135"/>
      <c r="C82" s="135"/>
      <c r="D82" s="135"/>
      <c r="E82" s="135"/>
      <c r="F82" s="135"/>
      <c r="G82" s="135"/>
      <c r="H82" s="135"/>
      <c r="I82" s="135"/>
      <c r="J82" s="135"/>
      <c r="K82" s="135"/>
      <c r="L82" s="135"/>
      <c r="M82" s="135"/>
      <c r="N82" s="135"/>
      <c r="O82" s="135"/>
      <c r="P82" s="135"/>
      <c r="Q82" s="135"/>
      <c r="R82" s="135"/>
      <c r="S82" s="135"/>
      <c r="T82" s="135"/>
      <c r="U82" s="135"/>
      <c r="V82" s="135"/>
      <c r="W82" s="135"/>
      <c r="X82" s="135"/>
      <c r="Y82" s="135"/>
      <c r="Z82" s="135"/>
      <c r="AA82" s="135"/>
      <c r="AB82" s="135"/>
      <c r="AC82" s="135"/>
    </row>
    <row r="83" spans="1:29" x14ac:dyDescent="0.25">
      <c r="A83" s="135"/>
      <c r="B83" s="135"/>
      <c r="C83" s="135"/>
      <c r="D83" s="135"/>
      <c r="E83" s="135"/>
      <c r="F83" s="135"/>
      <c r="G83" s="135"/>
      <c r="H83" s="135"/>
      <c r="I83" s="135"/>
      <c r="J83" s="135"/>
      <c r="K83" s="135"/>
      <c r="L83" s="135"/>
      <c r="M83" s="135"/>
      <c r="N83" s="135"/>
      <c r="O83" s="135"/>
      <c r="P83" s="135"/>
      <c r="Q83" s="135"/>
      <c r="R83" s="135"/>
      <c r="S83" s="135"/>
      <c r="T83" s="135"/>
      <c r="U83" s="135"/>
      <c r="V83" s="135"/>
      <c r="W83" s="135"/>
      <c r="X83" s="135"/>
      <c r="Y83" s="135"/>
      <c r="Z83" s="135"/>
      <c r="AA83" s="135"/>
      <c r="AB83" s="135"/>
      <c r="AC83" s="135"/>
    </row>
    <row r="84" spans="1:29" x14ac:dyDescent="0.25">
      <c r="A84" s="135"/>
      <c r="B84" s="135"/>
      <c r="C84" s="135"/>
      <c r="D84" s="135"/>
      <c r="E84" s="135"/>
      <c r="F84" s="135"/>
      <c r="G84" s="135"/>
      <c r="H84" s="135"/>
      <c r="I84" s="135"/>
      <c r="J84" s="135"/>
      <c r="K84" s="135"/>
      <c r="L84" s="135"/>
      <c r="M84" s="135"/>
      <c r="N84" s="135"/>
      <c r="O84" s="135"/>
      <c r="P84" s="135"/>
      <c r="Q84" s="135"/>
      <c r="R84" s="135"/>
      <c r="S84" s="135"/>
      <c r="T84" s="135"/>
      <c r="U84" s="135"/>
      <c r="V84" s="135"/>
      <c r="W84" s="135"/>
      <c r="X84" s="135"/>
      <c r="Y84" s="135"/>
      <c r="Z84" s="135"/>
      <c r="AA84" s="135"/>
      <c r="AB84" s="135"/>
      <c r="AC84" s="135"/>
    </row>
    <row r="85" spans="1:29" x14ac:dyDescent="0.25">
      <c r="A85" s="135"/>
      <c r="B85" s="135"/>
      <c r="C85" s="135"/>
      <c r="D85" s="135"/>
      <c r="E85" s="135"/>
      <c r="F85" s="135"/>
      <c r="G85" s="135"/>
      <c r="H85" s="135"/>
      <c r="I85" s="135"/>
      <c r="J85" s="135"/>
      <c r="K85" s="135"/>
      <c r="L85" s="135"/>
      <c r="M85" s="135"/>
      <c r="N85" s="135"/>
      <c r="O85" s="135"/>
      <c r="P85" s="135"/>
      <c r="Q85" s="135"/>
      <c r="R85" s="135"/>
      <c r="S85" s="135"/>
      <c r="T85" s="135"/>
      <c r="U85" s="135"/>
      <c r="V85" s="135"/>
      <c r="W85" s="135"/>
      <c r="X85" s="135"/>
      <c r="Y85" s="135"/>
      <c r="Z85" s="135"/>
      <c r="AA85" s="135"/>
      <c r="AB85" s="135"/>
      <c r="AC85" s="135"/>
    </row>
    <row r="86" spans="1:29" x14ac:dyDescent="0.25">
      <c r="A86" s="135"/>
      <c r="B86" s="135"/>
      <c r="C86" s="135"/>
      <c r="D86" s="135"/>
      <c r="E86" s="135"/>
      <c r="F86" s="135"/>
      <c r="G86" s="135"/>
      <c r="H86" s="135"/>
      <c r="I86" s="135"/>
      <c r="J86" s="135"/>
      <c r="K86" s="135"/>
      <c r="L86" s="135"/>
      <c r="M86" s="135"/>
      <c r="N86" s="135"/>
      <c r="O86" s="135"/>
      <c r="P86" s="135"/>
      <c r="Q86" s="135"/>
      <c r="R86" s="135"/>
      <c r="S86" s="135"/>
      <c r="T86" s="135"/>
      <c r="U86" s="135"/>
      <c r="V86" s="135"/>
      <c r="W86" s="135"/>
      <c r="X86" s="135"/>
      <c r="Y86" s="135"/>
      <c r="Z86" s="135"/>
      <c r="AA86" s="135"/>
      <c r="AB86" s="135"/>
      <c r="AC86" s="135"/>
    </row>
    <row r="87" spans="1:29" x14ac:dyDescent="0.25">
      <c r="A87" s="135"/>
      <c r="B87" s="135"/>
      <c r="C87" s="135"/>
      <c r="D87" s="135"/>
      <c r="E87" s="135"/>
      <c r="F87" s="135"/>
      <c r="G87" s="135"/>
      <c r="H87" s="135"/>
      <c r="I87" s="135"/>
      <c r="J87" s="135"/>
      <c r="K87" s="135"/>
      <c r="L87" s="135"/>
      <c r="M87" s="135"/>
      <c r="N87" s="135"/>
      <c r="O87" s="135"/>
      <c r="P87" s="135"/>
      <c r="Q87" s="135"/>
      <c r="R87" s="135"/>
      <c r="S87" s="135"/>
      <c r="T87" s="135"/>
      <c r="U87" s="135"/>
      <c r="V87" s="135"/>
      <c r="W87" s="135"/>
      <c r="X87" s="135"/>
      <c r="Y87" s="135"/>
      <c r="Z87" s="135"/>
      <c r="AA87" s="135"/>
      <c r="AB87" s="135"/>
      <c r="AC87" s="135"/>
    </row>
    <row r="88" spans="1:29" x14ac:dyDescent="0.25">
      <c r="A88" s="135"/>
      <c r="B88" s="135"/>
      <c r="C88" s="135"/>
      <c r="D88" s="135"/>
      <c r="E88" s="135"/>
      <c r="F88" s="135"/>
      <c r="G88" s="135"/>
      <c r="H88" s="135"/>
      <c r="I88" s="135"/>
      <c r="J88" s="135"/>
      <c r="K88" s="135"/>
      <c r="L88" s="135"/>
      <c r="M88" s="135"/>
      <c r="N88" s="135"/>
      <c r="O88" s="135"/>
      <c r="P88" s="135"/>
      <c r="Q88" s="135"/>
      <c r="R88" s="135"/>
      <c r="S88" s="135"/>
      <c r="T88" s="135"/>
      <c r="U88" s="135"/>
      <c r="V88" s="135"/>
      <c r="W88" s="135"/>
      <c r="X88" s="135"/>
      <c r="Y88" s="135"/>
      <c r="Z88" s="135"/>
      <c r="AA88" s="135"/>
      <c r="AB88" s="135"/>
      <c r="AC88" s="135"/>
    </row>
    <row r="89" spans="1:29" x14ac:dyDescent="0.25">
      <c r="A89" s="135"/>
      <c r="B89" s="135"/>
      <c r="C89" s="135"/>
      <c r="D89" s="135"/>
      <c r="E89" s="135"/>
      <c r="F89" s="135"/>
      <c r="G89" s="135"/>
      <c r="H89" s="135"/>
      <c r="I89" s="135"/>
      <c r="J89" s="135"/>
      <c r="K89" s="135"/>
      <c r="L89" s="135"/>
      <c r="M89" s="135"/>
      <c r="N89" s="135"/>
      <c r="O89" s="135"/>
      <c r="P89" s="135"/>
      <c r="Q89" s="135"/>
      <c r="R89" s="135"/>
      <c r="S89" s="135"/>
      <c r="T89" s="135"/>
      <c r="U89" s="135"/>
      <c r="V89" s="135"/>
      <c r="W89" s="135"/>
      <c r="X89" s="135"/>
      <c r="Y89" s="135"/>
      <c r="Z89" s="135"/>
      <c r="AA89" s="135"/>
      <c r="AB89" s="135"/>
      <c r="AC89" s="135"/>
    </row>
    <row r="90" spans="1:29" x14ac:dyDescent="0.25">
      <c r="A90" s="135"/>
      <c r="B90" s="135"/>
      <c r="C90" s="135"/>
      <c r="D90" s="135"/>
      <c r="E90" s="135"/>
      <c r="F90" s="135"/>
      <c r="G90" s="135"/>
      <c r="H90" s="135"/>
      <c r="I90" s="135"/>
      <c r="J90" s="135"/>
      <c r="K90" s="135"/>
      <c r="L90" s="135"/>
      <c r="M90" s="135"/>
      <c r="N90" s="135"/>
      <c r="O90" s="135"/>
      <c r="P90" s="135"/>
      <c r="Q90" s="135"/>
      <c r="R90" s="135"/>
      <c r="S90" s="135"/>
      <c r="T90" s="135"/>
      <c r="U90" s="135"/>
      <c r="V90" s="135"/>
      <c r="W90" s="135"/>
      <c r="X90" s="135"/>
      <c r="Y90" s="135"/>
      <c r="Z90" s="135"/>
      <c r="AA90" s="135"/>
      <c r="AB90" s="135"/>
      <c r="AC90" s="135"/>
    </row>
    <row r="91" spans="1:29" x14ac:dyDescent="0.25">
      <c r="A91" s="135"/>
      <c r="B91" s="135"/>
      <c r="C91" s="135"/>
      <c r="D91" s="135"/>
      <c r="E91" s="135"/>
      <c r="F91" s="135"/>
      <c r="G91" s="135"/>
      <c r="H91" s="135"/>
      <c r="I91" s="135"/>
      <c r="J91" s="135"/>
      <c r="K91" s="135"/>
      <c r="L91" s="135"/>
      <c r="M91" s="135"/>
      <c r="N91" s="135"/>
      <c r="O91" s="135"/>
      <c r="P91" s="135"/>
      <c r="Q91" s="135"/>
      <c r="R91" s="135"/>
      <c r="S91" s="135"/>
      <c r="T91" s="135"/>
      <c r="U91" s="135"/>
      <c r="V91" s="135"/>
      <c r="W91" s="135"/>
      <c r="X91" s="135"/>
      <c r="Y91" s="135"/>
      <c r="Z91" s="135"/>
      <c r="AA91" s="135"/>
      <c r="AB91" s="135"/>
      <c r="AC91" s="135"/>
    </row>
    <row r="92" spans="1:29" x14ac:dyDescent="0.25">
      <c r="A92" s="135"/>
      <c r="B92" s="135"/>
      <c r="C92" s="135"/>
      <c r="D92" s="135"/>
      <c r="E92" s="135"/>
      <c r="F92" s="135"/>
      <c r="G92" s="135"/>
      <c r="H92" s="135"/>
      <c r="I92" s="135"/>
      <c r="J92" s="135"/>
      <c r="K92" s="135"/>
      <c r="L92" s="135"/>
      <c r="M92" s="135"/>
      <c r="N92" s="135"/>
      <c r="O92" s="135"/>
      <c r="P92" s="135"/>
      <c r="Q92" s="135"/>
      <c r="R92" s="135"/>
      <c r="S92" s="135"/>
      <c r="T92" s="135"/>
      <c r="U92" s="135"/>
      <c r="V92" s="135"/>
      <c r="W92" s="135"/>
      <c r="X92" s="135"/>
      <c r="Y92" s="135"/>
      <c r="Z92" s="135"/>
      <c r="AA92" s="135"/>
      <c r="AB92" s="135"/>
      <c r="AC92" s="135"/>
    </row>
    <row r="93" spans="1:29" x14ac:dyDescent="0.25">
      <c r="A93" s="135"/>
      <c r="B93" s="135"/>
      <c r="C93" s="135"/>
      <c r="D93" s="135"/>
      <c r="E93" s="135"/>
      <c r="F93" s="135"/>
      <c r="G93" s="135"/>
      <c r="H93" s="135"/>
      <c r="I93" s="135"/>
      <c r="J93" s="135"/>
      <c r="K93" s="135"/>
      <c r="L93" s="135"/>
      <c r="M93" s="135"/>
      <c r="N93" s="135"/>
      <c r="O93" s="135"/>
      <c r="P93" s="135"/>
      <c r="Q93" s="135"/>
      <c r="R93" s="135"/>
      <c r="S93" s="135"/>
      <c r="T93" s="135"/>
      <c r="U93" s="135"/>
      <c r="V93" s="135"/>
      <c r="W93" s="135"/>
      <c r="X93" s="135"/>
      <c r="Y93" s="135"/>
      <c r="Z93" s="135"/>
      <c r="AA93" s="135"/>
      <c r="AB93" s="135"/>
      <c r="AC93" s="135"/>
    </row>
    <row r="94" spans="1:29" x14ac:dyDescent="0.25">
      <c r="A94" s="135"/>
      <c r="B94" s="135"/>
      <c r="C94" s="135"/>
      <c r="D94" s="135"/>
      <c r="E94" s="135"/>
      <c r="F94" s="135"/>
      <c r="G94" s="135"/>
      <c r="H94" s="135"/>
      <c r="I94" s="135"/>
      <c r="J94" s="135"/>
      <c r="K94" s="135"/>
      <c r="L94" s="135"/>
      <c r="M94" s="135"/>
      <c r="N94" s="135"/>
      <c r="O94" s="135"/>
      <c r="P94" s="135"/>
      <c r="Q94" s="135"/>
      <c r="R94" s="135"/>
      <c r="S94" s="135"/>
      <c r="T94" s="135"/>
      <c r="U94" s="135"/>
      <c r="V94" s="135"/>
      <c r="W94" s="135"/>
      <c r="X94" s="135"/>
      <c r="Y94" s="135"/>
      <c r="Z94" s="135"/>
      <c r="AA94" s="135"/>
      <c r="AB94" s="135"/>
      <c r="AC94" s="135"/>
    </row>
    <row r="95" spans="1:29" x14ac:dyDescent="0.25">
      <c r="A95" s="135"/>
      <c r="B95" s="135"/>
      <c r="C95" s="135"/>
      <c r="D95" s="135"/>
      <c r="E95" s="135"/>
      <c r="F95" s="135"/>
      <c r="G95" s="135"/>
      <c r="H95" s="135"/>
      <c r="I95" s="135"/>
      <c r="J95" s="135"/>
      <c r="K95" s="135"/>
      <c r="L95" s="135"/>
      <c r="M95" s="135"/>
      <c r="N95" s="135"/>
      <c r="O95" s="135"/>
      <c r="P95" s="135"/>
      <c r="Q95" s="135"/>
      <c r="R95" s="135"/>
      <c r="S95" s="135"/>
      <c r="T95" s="135"/>
      <c r="U95" s="135"/>
      <c r="V95" s="135"/>
      <c r="W95" s="135"/>
      <c r="X95" s="135"/>
      <c r="Y95" s="135"/>
      <c r="Z95" s="135"/>
      <c r="AA95" s="135"/>
      <c r="AB95" s="135"/>
      <c r="AC95" s="135"/>
    </row>
    <row r="96" spans="1:29" x14ac:dyDescent="0.25">
      <c r="A96" s="135"/>
      <c r="B96" s="135"/>
      <c r="C96" s="135"/>
      <c r="D96" s="135"/>
      <c r="E96" s="135"/>
      <c r="F96" s="135"/>
      <c r="G96" s="135"/>
      <c r="H96" s="135"/>
      <c r="I96" s="135"/>
      <c r="J96" s="135"/>
      <c r="K96" s="135"/>
      <c r="L96" s="135"/>
      <c r="M96" s="135"/>
      <c r="N96" s="135"/>
      <c r="O96" s="135"/>
      <c r="P96" s="135"/>
      <c r="Q96" s="135"/>
      <c r="R96" s="135"/>
      <c r="S96" s="135"/>
      <c r="T96" s="135"/>
      <c r="U96" s="135"/>
      <c r="V96" s="135"/>
      <c r="W96" s="135"/>
      <c r="X96" s="135"/>
      <c r="Y96" s="135"/>
      <c r="Z96" s="135"/>
      <c r="AA96" s="135"/>
      <c r="AB96" s="135"/>
      <c r="AC96" s="135"/>
    </row>
    <row r="97" spans="1:29" x14ac:dyDescent="0.25">
      <c r="A97" s="135"/>
      <c r="B97" s="135"/>
      <c r="C97" s="135"/>
      <c r="D97" s="135"/>
      <c r="E97" s="135"/>
      <c r="F97" s="135"/>
      <c r="G97" s="135"/>
      <c r="H97" s="135"/>
      <c r="I97" s="135"/>
      <c r="J97" s="135"/>
      <c r="K97" s="135"/>
      <c r="L97" s="135"/>
      <c r="M97" s="135"/>
      <c r="N97" s="135"/>
      <c r="O97" s="135"/>
      <c r="P97" s="135"/>
      <c r="Q97" s="135"/>
      <c r="R97" s="135"/>
      <c r="S97" s="135"/>
      <c r="T97" s="135"/>
      <c r="U97" s="135"/>
      <c r="V97" s="135"/>
      <c r="W97" s="135"/>
      <c r="X97" s="135"/>
      <c r="Y97" s="135"/>
      <c r="Z97" s="135"/>
      <c r="AA97" s="135"/>
      <c r="AB97" s="135"/>
      <c r="AC97" s="135"/>
    </row>
    <row r="98" spans="1:29" x14ac:dyDescent="0.25">
      <c r="A98" s="135"/>
      <c r="B98" s="135"/>
      <c r="C98" s="135"/>
      <c r="D98" s="135"/>
      <c r="E98" s="135"/>
      <c r="F98" s="135"/>
      <c r="G98" s="135"/>
      <c r="H98" s="135"/>
      <c r="I98" s="135"/>
      <c r="J98" s="135"/>
      <c r="K98" s="135"/>
      <c r="L98" s="135"/>
      <c r="M98" s="135"/>
      <c r="N98" s="135"/>
      <c r="O98" s="135"/>
      <c r="P98" s="135"/>
      <c r="Q98" s="135"/>
      <c r="R98" s="135"/>
      <c r="S98" s="135"/>
      <c r="T98" s="135"/>
      <c r="U98" s="135"/>
      <c r="V98" s="135"/>
      <c r="W98" s="135"/>
      <c r="X98" s="135"/>
      <c r="Y98" s="135"/>
      <c r="Z98" s="135"/>
      <c r="AA98" s="135"/>
      <c r="AB98" s="135"/>
      <c r="AC98" s="135"/>
    </row>
    <row r="99" spans="1:29" x14ac:dyDescent="0.25">
      <c r="A99" s="135"/>
      <c r="B99" s="135"/>
      <c r="C99" s="135"/>
      <c r="D99" s="135"/>
      <c r="E99" s="135"/>
      <c r="F99" s="135"/>
      <c r="G99" s="135"/>
      <c r="H99" s="135"/>
      <c r="I99" s="135"/>
      <c r="J99" s="135"/>
      <c r="K99" s="135"/>
      <c r="L99" s="135"/>
      <c r="M99" s="135"/>
      <c r="N99" s="135"/>
      <c r="O99" s="135"/>
      <c r="P99" s="135"/>
      <c r="Q99" s="135"/>
      <c r="R99" s="135"/>
      <c r="S99" s="135"/>
      <c r="T99" s="135"/>
      <c r="U99" s="135"/>
      <c r="V99" s="135"/>
      <c r="W99" s="135"/>
      <c r="X99" s="135"/>
      <c r="Y99" s="135"/>
      <c r="Z99" s="135"/>
      <c r="AA99" s="135"/>
      <c r="AB99" s="135"/>
      <c r="AC99" s="135"/>
    </row>
    <row r="100" spans="1:29" x14ac:dyDescent="0.25">
      <c r="A100" s="135"/>
      <c r="B100" s="135"/>
      <c r="C100" s="135"/>
      <c r="D100" s="135"/>
      <c r="E100" s="135"/>
      <c r="F100" s="135"/>
      <c r="G100" s="135"/>
      <c r="H100" s="135"/>
      <c r="I100" s="135"/>
      <c r="J100" s="135"/>
      <c r="K100" s="135"/>
      <c r="L100" s="135"/>
      <c r="M100" s="135"/>
      <c r="N100" s="135"/>
      <c r="O100" s="135"/>
      <c r="P100" s="135"/>
      <c r="Q100" s="135"/>
      <c r="R100" s="135"/>
      <c r="S100" s="135"/>
      <c r="T100" s="135"/>
      <c r="U100" s="135"/>
      <c r="V100" s="135"/>
      <c r="W100" s="135"/>
      <c r="X100" s="135"/>
      <c r="Y100" s="135"/>
      <c r="Z100" s="135"/>
      <c r="AA100" s="135"/>
      <c r="AB100" s="135"/>
      <c r="AC100" s="135"/>
    </row>
    <row r="101" spans="1:29" x14ac:dyDescent="0.25">
      <c r="A101" s="135"/>
      <c r="B101" s="135"/>
      <c r="C101" s="135"/>
      <c r="D101" s="135"/>
      <c r="E101" s="135"/>
      <c r="F101" s="135"/>
      <c r="G101" s="135"/>
      <c r="H101" s="135"/>
      <c r="I101" s="135"/>
      <c r="J101" s="135"/>
      <c r="K101" s="135"/>
      <c r="L101" s="135"/>
      <c r="M101" s="135"/>
      <c r="N101" s="135"/>
      <c r="O101" s="135"/>
      <c r="P101" s="135"/>
      <c r="Q101" s="135"/>
      <c r="R101" s="135"/>
      <c r="S101" s="135"/>
      <c r="T101" s="135"/>
      <c r="U101" s="135"/>
      <c r="V101" s="135"/>
      <c r="W101" s="135"/>
      <c r="X101" s="135"/>
      <c r="Y101" s="135"/>
      <c r="Z101" s="135"/>
      <c r="AA101" s="135"/>
      <c r="AB101" s="135"/>
      <c r="AC101" s="135"/>
    </row>
    <row r="102" spans="1:29" x14ac:dyDescent="0.25">
      <c r="A102" s="135"/>
      <c r="B102" s="135"/>
      <c r="C102" s="135"/>
      <c r="D102" s="135"/>
      <c r="E102" s="135"/>
      <c r="F102" s="135"/>
      <c r="G102" s="135"/>
      <c r="H102" s="135"/>
      <c r="I102" s="135"/>
      <c r="J102" s="135"/>
      <c r="K102" s="135"/>
      <c r="L102" s="135"/>
      <c r="M102" s="135"/>
      <c r="N102" s="135"/>
      <c r="O102" s="135"/>
      <c r="P102" s="135"/>
      <c r="Q102" s="135"/>
      <c r="R102" s="135"/>
      <c r="S102" s="135"/>
      <c r="T102" s="135"/>
      <c r="U102" s="135"/>
      <c r="V102" s="135"/>
      <c r="W102" s="135"/>
      <c r="X102" s="135"/>
      <c r="Y102" s="135"/>
      <c r="Z102" s="135"/>
      <c r="AA102" s="135"/>
      <c r="AB102" s="135"/>
      <c r="AC102" s="135"/>
    </row>
    <row r="103" spans="1:29" x14ac:dyDescent="0.25">
      <c r="B103" s="135"/>
      <c r="C103" s="135"/>
      <c r="D103" s="135"/>
      <c r="E103" s="135"/>
      <c r="F103" s="135"/>
      <c r="G103" s="135"/>
      <c r="H103" s="135"/>
      <c r="I103" s="135"/>
    </row>
    <row r="104" spans="1:29" x14ac:dyDescent="0.25">
      <c r="B104" s="135"/>
      <c r="C104" s="135"/>
      <c r="D104" s="135"/>
      <c r="E104" s="135"/>
      <c r="F104" s="135"/>
      <c r="G104" s="135"/>
      <c r="H104" s="135"/>
      <c r="I104" s="135"/>
    </row>
    <row r="105" spans="1:29" x14ac:dyDescent="0.25">
      <c r="B105" s="135"/>
      <c r="C105" s="135"/>
      <c r="D105" s="135"/>
      <c r="E105" s="135"/>
      <c r="F105" s="135"/>
      <c r="G105" s="135"/>
      <c r="H105" s="135"/>
      <c r="I105" s="135"/>
    </row>
  </sheetData>
  <sheetProtection algorithmName="SHA-512" hashValue="yC7EtvxQCNNMHiv4VhXlUQMEu8MZwmys8V89U0B0mXLX3E9tVr8O6td/zPVcbkuXwvKgXidBoDncm9XfxAyNLQ==" saltValue="0BQqPv/4hBIsTBksDzemGw==" spinCount="100000" sheet="1" objects="1" scenarios="1" selectLockedCells="1"/>
  <mergeCells count="5">
    <mergeCell ref="C3:D3"/>
    <mergeCell ref="B30:I35"/>
    <mergeCell ref="B29:I29"/>
    <mergeCell ref="B37:I37"/>
    <mergeCell ref="B38:I43"/>
  </mergeCells>
  <conditionalFormatting sqref="B37:I43">
    <cfRule type="expression" dxfId="405" priority="2">
      <formula>$D$16="No"</formula>
    </cfRule>
  </conditionalFormatting>
  <dataValidations count="4">
    <dataValidation type="list" allowBlank="1" showInputMessage="1" showErrorMessage="1" sqref="D10" xr:uid="{6C9A9740-786D-439D-8842-F9CFA15CE546}">
      <formula1>"Yes,No"</formula1>
    </dataValidation>
    <dataValidation type="list" allowBlank="1" showInputMessage="1" showErrorMessage="1" error="Please select from the dropdown menu" sqref="D12" xr:uid="{00000000-0002-0000-0100-000001000000}">
      <formula1>$Z$10:$Z$15</formula1>
    </dataValidation>
    <dataValidation type="list" allowBlank="1" showInputMessage="1" showErrorMessage="1" error="Please select from the dropdown menu" sqref="D16 D18" xr:uid="{D39C76A7-E4F3-4765-93EC-84A985E59DB7}">
      <formula1>"Yes,No"</formula1>
    </dataValidation>
    <dataValidation type="list" allowBlank="1" showInputMessage="1" showErrorMessage="1" error="Please select from the dropdown menu" sqref="D6" xr:uid="{8250300D-A807-4BD6-87F6-754ECDDB34DC}">
      <formula1>"New,Amendment"</formula1>
    </dataValidation>
  </dataValidations>
  <printOptions horizontalCentered="1"/>
  <pageMargins left="0.25" right="0.25" top="0.75" bottom="0.75" header="0.3" footer="0.3"/>
  <pageSetup scale="9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colBreaks count="1" manualBreakCount="1">
    <brk id="11" max="1048575" man="1"/>
  </colBreaks>
  <drawing r:id="rId2"/>
  <extLst>
    <ext xmlns:x14="http://schemas.microsoft.com/office/spreadsheetml/2009/9/main" uri="{CCE6A557-97BC-4b89-ADB6-D9C93CAAB3DF}">
      <x14:dataValidations xmlns:xm="http://schemas.microsoft.com/office/excel/2006/main" count="2">
        <x14:dataValidation type="list" allowBlank="1" showInputMessage="1" showErrorMessage="1" error="Please select from the dropdown menu" xr:uid="{00000000-0002-0000-0100-000002000000}">
          <x14:formula1>
            <xm:f>Lookups!$AA$1:$AA$11</xm:f>
          </x14:formula1>
          <xm:sqref>D14</xm:sqref>
        </x14:dataValidation>
        <x14:dataValidation type="list" allowBlank="1" showInputMessage="1" showErrorMessage="1" error="Please select from the dropdown menu" xr:uid="{00000000-0002-0000-0100-000000000000}">
          <x14:formula1>
            <xm:f>Lookups!$AB$2:$AB$6</xm:f>
          </x14:formula1>
          <xm:sqref>D8</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_2">
    <tabColor rgb="FFFFC000"/>
    <pageSetUpPr fitToPage="1"/>
  </sheetPr>
  <dimension ref="A1:BE50"/>
  <sheetViews>
    <sheetView showGridLines="0" topLeftCell="D1" zoomScale="82" zoomScaleNormal="82" zoomScaleSheetLayoutView="80" workbookViewId="0">
      <selection activeCell="P6" sqref="P6"/>
    </sheetView>
  </sheetViews>
  <sheetFormatPr defaultColWidth="8.85546875" defaultRowHeight="15" x14ac:dyDescent="0.25"/>
  <cols>
    <col min="1" max="1" width="4.140625" hidden="1" customWidth="1"/>
    <col min="2" max="2" width="9" hidden="1" customWidth="1"/>
    <col min="3" max="3" width="3" hidden="1" customWidth="1"/>
    <col min="4" max="4" width="0.5703125" style="135" customWidth="1"/>
    <col min="5" max="5" width="2.7109375" customWidth="1"/>
    <col min="6" max="6" width="8.42578125" customWidth="1"/>
    <col min="7" max="7" width="14.5703125" customWidth="1"/>
    <col min="8" max="8" width="33.140625" style="906" customWidth="1"/>
    <col min="9" max="9" width="17" style="949" hidden="1" customWidth="1"/>
    <col min="10" max="10" width="23.140625" style="949" hidden="1" customWidth="1"/>
    <col min="11" max="11" width="17" customWidth="1"/>
    <col min="12" max="12" width="19.42578125" customWidth="1"/>
    <col min="13" max="13" width="42.140625" customWidth="1"/>
    <col min="14" max="14" width="10.5703125" customWidth="1"/>
    <col min="15" max="15" width="12.28515625" customWidth="1"/>
    <col min="16" max="16" width="13.140625" customWidth="1"/>
    <col min="17" max="17" width="21" customWidth="1"/>
    <col min="18" max="18" width="43.28515625" bestFit="1" customWidth="1"/>
    <col min="19" max="19" width="17.140625" customWidth="1"/>
    <col min="20" max="20" width="11.42578125" customWidth="1"/>
    <col min="21" max="21" width="16.28515625" style="906" customWidth="1"/>
    <col min="22" max="22" width="13.28515625" style="906" hidden="1" customWidth="1"/>
    <col min="23" max="23" width="4.5703125" customWidth="1"/>
    <col min="24" max="24" width="12" hidden="1" customWidth="1"/>
    <col min="25" max="25" width="38.7109375" hidden="1" customWidth="1"/>
    <col min="26" max="26" width="8" hidden="1" customWidth="1"/>
    <col min="27" max="27" width="12" hidden="1" customWidth="1"/>
    <col min="28" max="28" width="13.85546875" hidden="1" customWidth="1"/>
    <col min="29" max="29" width="11.28515625" hidden="1" customWidth="1"/>
    <col min="30" max="30" width="2" hidden="1" customWidth="1"/>
    <col min="31" max="36" width="8.85546875" hidden="1" customWidth="1"/>
    <col min="37" max="37" width="12.7109375" hidden="1" customWidth="1"/>
    <col min="38" max="38" width="8.85546875" hidden="1" customWidth="1"/>
    <col min="39" max="39" width="10.5703125" hidden="1" customWidth="1"/>
    <col min="40" max="40" width="8.85546875" hidden="1" customWidth="1"/>
    <col min="42" max="44" width="8.85546875" hidden="1" customWidth="1"/>
    <col min="45" max="45" width="13" hidden="1" customWidth="1"/>
    <col min="46" max="46" width="24.85546875" hidden="1" customWidth="1"/>
    <col min="47" max="47" width="21.7109375" hidden="1" customWidth="1"/>
    <col min="48" max="49" width="21.7109375" style="1026" hidden="1" customWidth="1"/>
    <col min="50" max="50" width="17.7109375" hidden="1" customWidth="1"/>
    <col min="51" max="51" width="20.7109375" hidden="1" customWidth="1"/>
    <col min="52" max="52" width="12" hidden="1" customWidth="1"/>
    <col min="53" max="53" width="18.5703125" hidden="1" customWidth="1"/>
    <col min="54" max="54" width="20.7109375" hidden="1" customWidth="1"/>
    <col min="55" max="55" width="16.140625" hidden="1" customWidth="1"/>
    <col min="56" max="56" width="15.28515625" hidden="1" customWidth="1"/>
    <col min="57" max="57" width="8.85546875" hidden="1" customWidth="1"/>
  </cols>
  <sheetData>
    <row r="1" spans="1:56" ht="10.9" customHeight="1" thickBot="1" x14ac:dyDescent="0.3">
      <c r="E1" s="135"/>
      <c r="F1" s="135"/>
      <c r="G1" s="391"/>
      <c r="H1" s="391"/>
      <c r="I1" s="391"/>
      <c r="J1" s="391"/>
      <c r="K1" s="135"/>
      <c r="L1" s="135"/>
      <c r="M1" s="135"/>
      <c r="N1" s="135"/>
      <c r="O1" s="135"/>
      <c r="P1" s="135"/>
      <c r="Q1" s="135"/>
      <c r="R1" s="135"/>
      <c r="S1" s="135"/>
      <c r="T1" s="135"/>
      <c r="U1" s="135"/>
      <c r="V1" s="135"/>
      <c r="W1" s="135"/>
      <c r="X1" s="135"/>
      <c r="Y1" s="135"/>
      <c r="Z1" s="135"/>
      <c r="AA1" s="135"/>
      <c r="AB1" s="135"/>
      <c r="AC1" s="135"/>
      <c r="AD1" s="135"/>
      <c r="AE1" s="135"/>
      <c r="AF1" s="135"/>
      <c r="AG1" s="135" t="e">
        <f>VLOOKUP('Existing Customers'!AB2,'Market Geography'!A:B,2,0)</f>
        <v>#N/A</v>
      </c>
      <c r="AH1" s="135"/>
      <c r="AI1" s="135"/>
      <c r="AJ1" s="135"/>
      <c r="AK1" s="135"/>
      <c r="AL1" s="135"/>
      <c r="AM1" s="135"/>
      <c r="AN1" s="135"/>
      <c r="AO1" s="135"/>
      <c r="AP1" s="135"/>
      <c r="AQ1" s="135"/>
      <c r="AR1" s="135"/>
      <c r="AS1" s="135"/>
      <c r="AT1" s="135"/>
      <c r="AU1" s="135"/>
      <c r="AV1" s="135"/>
      <c r="AW1" s="135"/>
      <c r="AX1" s="135"/>
      <c r="AY1" s="135"/>
      <c r="AZ1" s="135"/>
      <c r="BA1" s="135"/>
      <c r="BB1" s="135"/>
      <c r="BC1" s="135"/>
      <c r="BD1" s="135"/>
    </row>
    <row r="2" spans="1:56" ht="21" x14ac:dyDescent="0.35">
      <c r="E2" s="697"/>
      <c r="F2" s="1317" t="s">
        <v>917</v>
      </c>
      <c r="G2" s="1317"/>
      <c r="H2" s="905"/>
      <c r="I2" s="948"/>
      <c r="J2" s="948"/>
      <c r="K2" s="625"/>
      <c r="L2" s="625"/>
      <c r="M2" s="625"/>
      <c r="N2" s="625"/>
      <c r="O2" s="625"/>
      <c r="P2" s="136"/>
      <c r="Q2" s="136"/>
      <c r="R2" s="136"/>
      <c r="S2" s="625"/>
      <c r="T2" s="625"/>
      <c r="U2" s="625"/>
      <c r="V2" s="625"/>
      <c r="W2" s="626"/>
      <c r="X2" s="135"/>
      <c r="Y2" s="135"/>
      <c r="Z2" s="135"/>
      <c r="AA2" s="135"/>
      <c r="AB2" s="135"/>
      <c r="AC2" s="135"/>
      <c r="AD2" s="135"/>
      <c r="AE2" s="135"/>
      <c r="AF2" s="135"/>
      <c r="AG2" s="135"/>
      <c r="AH2" s="135"/>
      <c r="AI2" s="135"/>
      <c r="AJ2" s="135"/>
      <c r="AL2" s="135"/>
      <c r="AM2" s="135"/>
      <c r="AN2" s="135"/>
      <c r="AO2" s="135"/>
      <c r="AP2" s="135"/>
      <c r="AQ2" s="135"/>
      <c r="AR2" s="135"/>
      <c r="AS2" s="135"/>
      <c r="AT2" s="135"/>
      <c r="AU2" s="135"/>
      <c r="AV2" s="135"/>
      <c r="AW2" s="135"/>
      <c r="AX2" s="135"/>
      <c r="AY2" s="135"/>
      <c r="AZ2" s="135"/>
      <c r="BA2" s="135"/>
      <c r="BB2" s="135"/>
      <c r="BC2" s="135"/>
      <c r="BD2" s="135"/>
    </row>
    <row r="3" spans="1:56" ht="27" customHeight="1" x14ac:dyDescent="0.25">
      <c r="E3" s="627"/>
      <c r="F3" s="751"/>
      <c r="G3" s="751"/>
      <c r="H3" s="751"/>
      <c r="I3" s="751"/>
      <c r="J3" s="751"/>
      <c r="K3" s="751"/>
      <c r="L3" s="1322"/>
      <c r="M3" s="1322"/>
      <c r="N3" s="1322"/>
      <c r="O3" s="752"/>
      <c r="P3" s="1318" t="str">
        <f>IF(COUNTIFS($P$6:$P$15,"&gt;0")&lt;$C$4,"Must Enter Expected Sales for All Locations","")</f>
        <v/>
      </c>
      <c r="Q3" s="1318"/>
      <c r="R3" s="1318"/>
      <c r="S3" s="751"/>
      <c r="T3" s="751"/>
      <c r="U3" s="751"/>
      <c r="V3" s="751"/>
      <c r="W3" s="628"/>
      <c r="X3" s="135"/>
      <c r="Y3" s="135"/>
      <c r="Z3" s="135"/>
      <c r="AA3" s="135"/>
      <c r="AB3" s="135"/>
      <c r="AC3" s="135"/>
      <c r="AD3" s="135"/>
      <c r="AE3" s="135"/>
      <c r="AF3" s="135"/>
      <c r="AG3" s="135"/>
      <c r="AH3" s="135"/>
      <c r="AI3" s="135"/>
      <c r="AJ3" s="135"/>
      <c r="AL3" s="135"/>
      <c r="AM3" s="135"/>
      <c r="AN3" s="135"/>
      <c r="AO3" s="135"/>
      <c r="AP3" s="135"/>
      <c r="AQ3" s="135"/>
      <c r="AR3" s="135"/>
      <c r="AS3" s="135"/>
      <c r="AT3" s="135"/>
      <c r="AU3" s="135"/>
      <c r="AV3" s="135"/>
      <c r="AW3" s="135"/>
      <c r="AX3" s="135"/>
      <c r="AY3" s="135"/>
      <c r="AZ3" s="135"/>
      <c r="BA3" s="135"/>
      <c r="BB3" s="135"/>
      <c r="BC3" s="135"/>
      <c r="BD3" s="135"/>
    </row>
    <row r="4" spans="1:56" ht="21" customHeight="1" thickBot="1" x14ac:dyDescent="0.3">
      <c r="C4" s="142">
        <f>IF(Welcome!$D$14="Select # of Locations",0,Welcome!$D$14)</f>
        <v>0</v>
      </c>
      <c r="D4" s="142"/>
      <c r="E4" s="372"/>
      <c r="F4" s="753"/>
      <c r="G4" s="753"/>
      <c r="H4" s="753"/>
      <c r="I4" s="753"/>
      <c r="J4" s="753"/>
      <c r="K4" s="753"/>
      <c r="L4" s="753"/>
      <c r="M4" s="753"/>
      <c r="N4" s="753"/>
      <c r="O4" s="1319" t="str">
        <f>IF(COUNTIFS($P$6:$P$15,"&gt;0")&lt;$C$4,"VVVVV","")</f>
        <v/>
      </c>
      <c r="P4" s="1319"/>
      <c r="Q4" s="1319"/>
      <c r="R4" s="751"/>
      <c r="S4" s="751"/>
      <c r="T4" s="754"/>
      <c r="U4" s="754"/>
      <c r="V4" s="754"/>
      <c r="W4" s="628"/>
      <c r="X4" s="135"/>
      <c r="Y4" s="135"/>
      <c r="Z4" s="135"/>
      <c r="AA4" s="135"/>
      <c r="AB4" s="135"/>
      <c r="AE4" s="2"/>
      <c r="AF4" s="135"/>
      <c r="AH4" s="135"/>
      <c r="AI4" s="135"/>
      <c r="AJ4" s="135"/>
      <c r="AK4" s="445" t="e">
        <f>Welcome!#REF!</f>
        <v>#REF!</v>
      </c>
      <c r="AL4" s="445"/>
      <c r="AM4" s="445"/>
      <c r="AN4" s="749">
        <f>COUNTIF($AN$6:$AN$15,"FLAG")</f>
        <v>0</v>
      </c>
      <c r="AO4" s="135"/>
      <c r="AP4" s="135"/>
      <c r="AQ4" s="135"/>
      <c r="AR4" s="135"/>
      <c r="AS4" s="135"/>
      <c r="AT4" s="135"/>
      <c r="AU4" s="135"/>
      <c r="AV4" s="135"/>
      <c r="AW4" s="135"/>
      <c r="AX4" s="135"/>
      <c r="AY4" s="135"/>
      <c r="AZ4" s="135" t="s">
        <v>1415</v>
      </c>
      <c r="BA4" s="135" t="s">
        <v>1416</v>
      </c>
      <c r="BB4" s="135" t="s">
        <v>1417</v>
      </c>
      <c r="BC4" s="135"/>
      <c r="BD4" s="135" t="s">
        <v>1418</v>
      </c>
    </row>
    <row r="5" spans="1:56" ht="49.5" customHeight="1" thickBot="1" x14ac:dyDescent="0.3">
      <c r="E5" s="627"/>
      <c r="F5" s="695" t="s">
        <v>1041</v>
      </c>
      <c r="G5" s="956" t="s">
        <v>734</v>
      </c>
      <c r="H5" s="955" t="s">
        <v>1283</v>
      </c>
      <c r="I5" s="956" t="s">
        <v>1365</v>
      </c>
      <c r="J5" s="651" t="s">
        <v>1366</v>
      </c>
      <c r="K5" s="907" t="s">
        <v>915</v>
      </c>
      <c r="L5" s="652" t="s">
        <v>1284</v>
      </c>
      <c r="M5" s="652" t="s">
        <v>1291</v>
      </c>
      <c r="N5" s="652" t="s">
        <v>913</v>
      </c>
      <c r="O5" s="653" t="s">
        <v>1285</v>
      </c>
      <c r="P5" s="758" t="s">
        <v>1286</v>
      </c>
      <c r="Q5" s="759" t="s">
        <v>1287</v>
      </c>
      <c r="R5" s="759" t="s">
        <v>1288</v>
      </c>
      <c r="S5" s="759" t="s">
        <v>204</v>
      </c>
      <c r="T5" s="911" t="s">
        <v>1289</v>
      </c>
      <c r="U5" s="912" t="s">
        <v>1290</v>
      </c>
      <c r="V5" s="916" t="s">
        <v>1455</v>
      </c>
      <c r="W5" s="628"/>
      <c r="X5" s="623" t="s">
        <v>461</v>
      </c>
      <c r="Y5" s="52" t="s">
        <v>916</v>
      </c>
      <c r="Z5" s="52" t="s">
        <v>204</v>
      </c>
      <c r="AA5" s="52" t="s">
        <v>506</v>
      </c>
      <c r="AB5" s="135"/>
      <c r="AC5" t="s">
        <v>932</v>
      </c>
      <c r="AD5">
        <f>MAX(AD6:AD15)</f>
        <v>0</v>
      </c>
      <c r="AE5" s="2"/>
      <c r="AF5" s="135"/>
      <c r="AH5" s="135"/>
      <c r="AI5" s="135"/>
      <c r="AJ5" s="135"/>
      <c r="AK5" s="135" t="s">
        <v>1132</v>
      </c>
      <c r="AL5" s="135" t="s">
        <v>1133</v>
      </c>
      <c r="AM5" s="135" t="s">
        <v>1134</v>
      </c>
      <c r="AN5" s="135" t="s">
        <v>1135</v>
      </c>
      <c r="AO5" s="135"/>
      <c r="AP5" s="135"/>
      <c r="AQ5" s="135"/>
      <c r="AR5" s="135"/>
      <c r="AS5" s="1027" t="s">
        <v>1402</v>
      </c>
      <c r="AT5" s="1027" t="s">
        <v>1408</v>
      </c>
      <c r="AU5" s="1027" t="s">
        <v>1409</v>
      </c>
      <c r="AV5" s="1027" t="s">
        <v>1419</v>
      </c>
      <c r="AW5" s="1027" t="s">
        <v>1420</v>
      </c>
      <c r="AX5" s="1027" t="s">
        <v>1404</v>
      </c>
      <c r="AY5" s="1027" t="s">
        <v>1407</v>
      </c>
      <c r="AZ5" s="1027" t="s">
        <v>1410</v>
      </c>
      <c r="BA5" s="1028" t="s">
        <v>1411</v>
      </c>
      <c r="BB5" s="1028" t="s">
        <v>1412</v>
      </c>
      <c r="BC5" s="1029" t="s">
        <v>1413</v>
      </c>
      <c r="BD5" s="1029" t="s">
        <v>1414</v>
      </c>
    </row>
    <row r="6" spans="1:56" x14ac:dyDescent="0.25">
      <c r="A6" t="str">
        <f t="shared" ref="A6:A15" si="0">IFERROR(RANK($AE6,$AE$6:$AE$15,1),"")</f>
        <v/>
      </c>
      <c r="B6">
        <f t="shared" ref="B6:B15" si="1">IF($G6="New Store",$G6&amp;" "&amp;$AC6,$G6)</f>
        <v>0</v>
      </c>
      <c r="C6" s="142">
        <v>1</v>
      </c>
      <c r="D6" s="142"/>
      <c r="E6" s="694"/>
      <c r="F6" s="614" t="str">
        <f>IF(Welcome!$D$14="Select # of Locations","",IF($C6&lt;=Welcome!$D$14,$C6,""))</f>
        <v/>
      </c>
      <c r="G6" s="960"/>
      <c r="H6" s="957"/>
      <c r="I6" s="1022"/>
      <c r="J6" s="1002"/>
      <c r="K6" s="908" t="str">
        <f>IF($C$4&gt;=$C6,IF(SUMIF('Existing Customers'!$A:$A,'Customer Inputs'!$G6,'Existing Customers'!$Q:$Q)=0,"Enter Spend&gt;&gt;&gt;",ROUND(SUMIF('Existing Customers'!$A:$A,'Customer Inputs'!$G6,'Existing Customers'!$Q:$Q),0)),"")</f>
        <v/>
      </c>
      <c r="L6" s="1198" t="str">
        <f>IF($F6="","",'Multi-Customer'!$BB49)</f>
        <v/>
      </c>
      <c r="M6" s="909" t="str">
        <f>IF($F6="","",IFERROR(VLOOKUP($G6,'Existing Customers'!$A:$AD,30,FALSE),"Enter Menu Type&gt;&gt;"))</f>
        <v/>
      </c>
      <c r="N6" s="750" t="str">
        <f>IFERROR(IF($C$4&gt;=$C6,VLOOKUP($G6,'Existing Customers'!$A:$J,10,FALSE),""),"Enter Zip Code &gt;")</f>
        <v/>
      </c>
      <c r="O6" s="1201" t="str">
        <f>IF($F6="","",'Multi-Customer'!$BB50)</f>
        <v/>
      </c>
      <c r="P6" s="762"/>
      <c r="Q6" s="632"/>
      <c r="R6" s="763"/>
      <c r="S6" s="764"/>
      <c r="T6" s="1060"/>
      <c r="U6" s="761"/>
      <c r="V6" s="915" t="s">
        <v>653</v>
      </c>
      <c r="W6" s="914" t="str">
        <f>IF($F6="","",'Variable Costs (Back)'!$A15)</f>
        <v/>
      </c>
      <c r="X6" s="624" t="str">
        <f>IF(Q6="",L6,Q6)</f>
        <v/>
      </c>
      <c r="Y6" s="52" t="str">
        <f t="shared" ref="Y6:Y15" si="2">IF(K6="Enter Spend&gt;&gt;&gt;",R6,M6)</f>
        <v/>
      </c>
      <c r="Z6" s="52" t="str">
        <f t="shared" ref="Z6:Z15" si="3">IF(K6="Enter Spend&gt;&gt;&gt;",S6,N6)</f>
        <v/>
      </c>
      <c r="AA6" s="52" t="str">
        <f>IF(T6="",O6,T6)</f>
        <v/>
      </c>
      <c r="AB6" s="135">
        <f>IFERROR(AA6*(P6/$P$17),0)</f>
        <v>0</v>
      </c>
      <c r="AC6">
        <f>IF($G6="New Store",COUNTIF($G$6:$G$15,"New Store")-COUNTIF($G7:$G$15,"New Store"),0)</f>
        <v>0</v>
      </c>
      <c r="AD6" t="str">
        <f t="shared" ref="AD6:AD15" si="4">IFERROR(RANK($AE6,$AE$6:$AE$15,1),"")</f>
        <v/>
      </c>
      <c r="AE6" s="2" t="str">
        <f t="shared" ref="AE6:AE15" si="5">IF($G6="New Store",$F6,IF($K6="Enter Spend&gt;&gt;&gt;",$F6,""))</f>
        <v/>
      </c>
      <c r="AF6" s="135"/>
      <c r="AG6" t="e">
        <f>_xlfn.CONCAT($AG$1,"_",IF(NOT(ISBLANK($H$6)),$H$6,""),"_",IF(AND(NOT(ISBLANK($G$6)),$G$6&lt;&gt;"New"),IF($M$6&lt;&gt;"Enter Menu Type&gt;&gt;",IF($R$6=0,$M$6,$R$6),$R$6),""))</f>
        <v>#N/A</v>
      </c>
      <c r="AH6" s="135"/>
      <c r="AI6" s="135"/>
      <c r="AJ6" s="135"/>
      <c r="AK6" s="135" t="b">
        <f>NOT(ISERROR(IFERROR(VLOOKUP($G6&amp;"",'HOS_Modellable Customers'!$A:$A,1,0),VLOOKUP($G6,'HOS_Modellable Customers'!$A:$A,1,0))))</f>
        <v>0</v>
      </c>
      <c r="AL6" s="135" t="b">
        <f>NOT(ISERROR(IFERROR(VLOOKUP($G6&amp;"",'Modellable Customers'!$A:$A,1,0),VLOOKUP($G6,'Modellable Customers'!$A:$A,1,0))))</f>
        <v>0</v>
      </c>
      <c r="AM6" s="135" t="b">
        <f>IF(K6="Enter Spend&gt;&gt;&gt;",TRUE,FALSE)</f>
        <v>0</v>
      </c>
      <c r="AN6" s="135" t="str">
        <f>IF(G6="","CLEAR",IF(AM6=TRUE,"CLEAR",IF(AND($AK$4="HOSPITALITY",AK6=TRUE),"CLEAR",IF(AND($AK$4="INDEPENDENT RESTAURATEURS",AL6=TRUE),"CLEAR","FLAG"))))</f>
        <v>CLEAR</v>
      </c>
      <c r="AO6" s="135"/>
      <c r="AP6" s="135" t="str">
        <f>IF($G6="","",IF(AR6="","Prospect","Existing"))</f>
        <v/>
      </c>
      <c r="AQ6" s="913" t="str">
        <f>IF($F6="","",IF(OR(U6="",U6="Existing"),IFERROR(VLOOKUP($G6,'Existing Customers'!$A:$F,4,FALSE),""),""))</f>
        <v/>
      </c>
      <c r="AR6" s="135" t="str">
        <f>IF($F6="","",IFERROR(VLOOKUP($G6,'Existing Customers'!$A:$F,4,FALSE),""))</f>
        <v/>
      </c>
      <c r="AS6" s="52" t="str">
        <f>IF($F6="","",IFERROR(VLOOKUP($G6,'Existing Customer Variable Exp'!$B:$L,6,FALSE),0))</f>
        <v/>
      </c>
      <c r="AT6" s="52" t="str">
        <f>IF($F6="","",IF(AS6=0,Welcome!$G$26,0))</f>
        <v/>
      </c>
      <c r="AU6" s="52" t="str">
        <f>IF($F6="","",IF(AT6&lt;&gt;0,(AT6*AV6)+(AT6*AW6),0))</f>
        <v/>
      </c>
      <c r="AV6" s="52" t="str">
        <f>IF($F6="","",IFERROR(VLOOKUP($H6,'Prospect Slot Assumptions'!$A:$D,2,FALSE),0))</f>
        <v/>
      </c>
      <c r="AW6" s="52" t="str">
        <f>IF($F6="","",IFERROR(VLOOKUP($H6,'Prospect Slot Assumptions'!$A:$D,3,FALSE),0))</f>
        <v/>
      </c>
      <c r="AX6" s="52" t="str">
        <f>IF($F6="","",IFERROR(VLOOKUP($G6,'Existing Customer Variable Exp'!$B:$L,8,FALSE),0))</f>
        <v/>
      </c>
      <c r="AY6" s="52" t="str">
        <f>IF($F6="","",IFERROR(VLOOKUP($G6,'Existing Customer Variable Exp'!$B:$L,11,FALSE),0))</f>
        <v/>
      </c>
      <c r="AZ6" s="52" t="str">
        <f>IF($F6="","",IF(AS6&lt;&gt;"",COUNTIF($AS$6:$AS$15,AS6),1))</f>
        <v/>
      </c>
      <c r="BA6" s="52" t="str">
        <f>IF($F6="","",IFERROR(AX6/AZ6,0))</f>
        <v/>
      </c>
      <c r="BB6" s="52" t="str">
        <f>IF($F6="","",IFERROR(AY6/AZ6,0))</f>
        <v/>
      </c>
      <c r="BC6" s="52" t="str">
        <f>IF($F6="","",IFERROR(VLOOKUP($H6,'Prospect Slot Assumptions'!$A:$D,4,FALSE),0))</f>
        <v/>
      </c>
      <c r="BD6" s="52" t="str">
        <f>IF($F6="","",IFERROR(BC6*BB6,0))</f>
        <v/>
      </c>
    </row>
    <row r="7" spans="1:56" x14ac:dyDescent="0.25">
      <c r="A7" t="str">
        <f t="shared" si="0"/>
        <v/>
      </c>
      <c r="B7">
        <f t="shared" si="1"/>
        <v>0</v>
      </c>
      <c r="C7" s="142">
        <v>2</v>
      </c>
      <c r="D7" s="142"/>
      <c r="E7" s="694"/>
      <c r="F7" s="615" t="str">
        <f>IF(Welcome!$D$14="Select # of Locations","",IF($C7&lt;=Welcome!$D$14,$C7,""))</f>
        <v/>
      </c>
      <c r="G7" s="958"/>
      <c r="H7" s="953"/>
      <c r="I7" s="1023"/>
      <c r="J7" s="1004"/>
      <c r="K7" s="909" t="str">
        <f>IF($C$4&gt;=$C7,IF(SUMIF('Existing Customers'!$A:$A,'Customer Inputs'!$G7,'Existing Customers'!$Q:$Q)=0,"Enter Spend&gt;&gt;&gt;",ROUND(SUMIF('Existing Customers'!$A:$A,'Customer Inputs'!$G7,'Existing Customers'!$Q:$Q),0)),"")</f>
        <v/>
      </c>
      <c r="L7" s="1199" t="str">
        <f>IF($F7="","",'Multi-Customer'!$BY49)</f>
        <v/>
      </c>
      <c r="M7" s="909" t="str">
        <f>IF($F7="","",IFERROR(VLOOKUP($G7,'Existing Customers'!$A:$AD,30,FALSE),"Enter Menu Type&gt;&gt;"))</f>
        <v/>
      </c>
      <c r="N7" s="747" t="str">
        <f>IFERROR(IF($C$4&gt;=$C7,VLOOKUP($G7,'Existing Customers'!$A:$J,10,FALSE),""),"Enter Zip Code &gt;")</f>
        <v/>
      </c>
      <c r="O7" s="1202" t="str">
        <f>IF($F7="","",'Multi-Customer'!$BY50)</f>
        <v/>
      </c>
      <c r="P7" s="765"/>
      <c r="Q7" s="633"/>
      <c r="R7" s="760"/>
      <c r="S7" s="761"/>
      <c r="T7" s="1061"/>
      <c r="U7" s="761"/>
      <c r="V7" s="617" t="s">
        <v>653</v>
      </c>
      <c r="W7" s="914" t="str">
        <f>IF($F7="","",'Variable Costs (Back)'!$A16)</f>
        <v/>
      </c>
      <c r="X7" s="624" t="str">
        <f t="shared" ref="X7:X15" si="6">IF(Q7="",L7,Q7)</f>
        <v/>
      </c>
      <c r="Y7" s="52" t="str">
        <f t="shared" si="2"/>
        <v/>
      </c>
      <c r="Z7" s="52" t="str">
        <f t="shared" si="3"/>
        <v/>
      </c>
      <c r="AA7" s="52" t="str">
        <f t="shared" ref="AA7:AA15" si="7">IF(T7="",O7,T7)</f>
        <v/>
      </c>
      <c r="AB7" s="135">
        <f t="shared" ref="AB7:AB15" si="8">IFERROR(AA7*(P7/$P$17),0)</f>
        <v>0</v>
      </c>
      <c r="AC7">
        <f>IF($G7="New Store",COUNTIF($G$6:$G$15,"New Store")-COUNTIF($G8:$G$15,"New Store"),0)</f>
        <v>0</v>
      </c>
      <c r="AD7" t="str">
        <f t="shared" si="4"/>
        <v/>
      </c>
      <c r="AE7" s="2" t="str">
        <f t="shared" si="5"/>
        <v/>
      </c>
      <c r="AF7" s="135"/>
      <c r="AG7" t="e">
        <f>_xlfn.CONCAT($AG$1,"_",IF(NOT(ISBLANK($H$7)),$H$7,""),"_",IF(AND(NOT(ISBLANK($G$7)),$G$7&lt;&gt;"New"),IF($M$7&lt;&gt;"Enter Menu Type&gt;&gt;",IF($R$7=0,$M$7,$R$7),$R$7),""))</f>
        <v>#N/A</v>
      </c>
      <c r="AH7" s="135"/>
      <c r="AI7" s="135"/>
      <c r="AJ7" s="135"/>
      <c r="AK7" s="135" t="b">
        <f>NOT(ISERROR(IFERROR(VLOOKUP($G7&amp;"",'HOS_Modellable Customers'!$A:$A,1,0),VLOOKUP($G7,'HOS_Modellable Customers'!$A:$A,1,0))))</f>
        <v>0</v>
      </c>
      <c r="AL7" s="135" t="b">
        <f>NOT(ISERROR(IFERROR(VLOOKUP($G7&amp;"",'Modellable Customers'!$A:$A,1,0),VLOOKUP($G7,'Modellable Customers'!$A:$A,1,0))))</f>
        <v>0</v>
      </c>
      <c r="AM7" s="135" t="b">
        <f t="shared" ref="AM7:AM12" si="9">IF(K7="Enter Spend&gt;&gt;&gt;",TRUE,FALSE)</f>
        <v>0</v>
      </c>
      <c r="AN7" s="135" t="str">
        <f t="shared" ref="AN7:AN15" si="10">IF(G7="","CLEAR",IF(AM7=TRUE,"CLEAR",IF(AND($AK$4="HOSPITALITY",AK7=TRUE),"CLEAR",IF(AND($AK$4="INDEPENDENT RESTAURATEURS",AL7=TRUE),"CLEAR","FLAG"))))</f>
        <v>CLEAR</v>
      </c>
      <c r="AO7" s="135"/>
      <c r="AP7" s="135" t="str">
        <f t="shared" ref="AP7:AP15" si="11">IF($G7="","",IF(AR7="","Prospect","Existing"))</f>
        <v/>
      </c>
      <c r="AQ7" s="913" t="str">
        <f>IF($F7="","",IF(OR(U7="",U7="Existing"),IFERROR(VLOOKUP($G7,'Existing Customers'!$A:$F,4,FALSE),""),""))</f>
        <v/>
      </c>
      <c r="AR7" s="135" t="str">
        <f>IF($F7="","",IFERROR(VLOOKUP($G7,'Existing Customers'!$A:$F,4,FALSE),""))</f>
        <v/>
      </c>
      <c r="AS7" s="52" t="str">
        <f>IF($F7="","",IFERROR(VLOOKUP($G7,'Existing Customer Variable Exp'!$B:$L,6,FALSE),0))</f>
        <v/>
      </c>
      <c r="AT7" s="52" t="str">
        <f>IF($F7="","",IF(AS7=0,Welcome!$G$26,0))</f>
        <v/>
      </c>
      <c r="AU7" s="52" t="str">
        <f t="shared" ref="AU7:AU15" si="12">IF($F7="","",IF(AT7&lt;&gt;0,(AT7*AV7)+(AT7*AW7),0))</f>
        <v/>
      </c>
      <c r="AV7" s="52" t="str">
        <f>IF($F7="","",IFERROR(VLOOKUP($H7,'Prospect Slot Assumptions'!$A:$D,2,FALSE),0))</f>
        <v/>
      </c>
      <c r="AW7" s="52" t="str">
        <f>IF($F7="","",IFERROR(VLOOKUP($H7,'Prospect Slot Assumptions'!$A:$D,3,FALSE),0))</f>
        <v/>
      </c>
      <c r="AX7" s="52" t="str">
        <f>IF($F7="","",IFERROR(VLOOKUP($G7,'Existing Customer Variable Exp'!$B:$L,8,FALSE),0))</f>
        <v/>
      </c>
      <c r="AY7" s="52" t="str">
        <f>IF($F7="","",IFERROR(VLOOKUP($G7,'Existing Customer Variable Exp'!$B:$L,11,FALSE),0))</f>
        <v/>
      </c>
      <c r="AZ7" s="52" t="str">
        <f t="shared" ref="AZ7:AZ15" si="13">IF($F7="","",IF(AS7&lt;&gt;"",COUNTIF($AS$6:$AS$15,AS7),1))</f>
        <v/>
      </c>
      <c r="BA7" s="52" t="str">
        <f t="shared" ref="BA7:BA15" si="14">IF($F7="","",IFERROR(AX7/AZ7,0))</f>
        <v/>
      </c>
      <c r="BB7" s="52" t="str">
        <f t="shared" ref="BB7:BB15" si="15">IF($F7="","",IFERROR(AY7/AZ7,0))</f>
        <v/>
      </c>
      <c r="BC7" s="52" t="str">
        <f>IF($F7="","",IFERROR(VLOOKUP($H7,'Prospect Slot Assumptions'!$A:$D,4,FALSE),0))</f>
        <v/>
      </c>
      <c r="BD7" s="52" t="str">
        <f t="shared" ref="BD7:BD15" si="16">IF($F7="","",IFERROR(BC7*BB7,0))</f>
        <v/>
      </c>
    </row>
    <row r="8" spans="1:56" x14ac:dyDescent="0.25">
      <c r="A8" t="str">
        <f t="shared" si="0"/>
        <v/>
      </c>
      <c r="B8">
        <f t="shared" si="1"/>
        <v>0</v>
      </c>
      <c r="C8" s="142">
        <v>3</v>
      </c>
      <c r="D8" s="142"/>
      <c r="E8" s="694"/>
      <c r="F8" s="615" t="str">
        <f>IF(Welcome!$D$14="Select # of Locations","",IF($C8&lt;=Welcome!$D$14,$C8,""))</f>
        <v/>
      </c>
      <c r="G8" s="958"/>
      <c r="H8" s="953"/>
      <c r="I8" s="1023"/>
      <c r="J8" s="1004"/>
      <c r="K8" s="909" t="str">
        <f>IF($C$4&gt;=$C8,IF(SUMIF('Existing Customers'!$A:$A,'Customer Inputs'!$G8,'Existing Customers'!$Q:$Q)=0,"Enter Spend&gt;&gt;&gt;",ROUND(SUMIF('Existing Customers'!$A:$A,'Customer Inputs'!$G8,'Existing Customers'!$Q:$Q),0)),"")</f>
        <v/>
      </c>
      <c r="L8" s="1199" t="str">
        <f>IF($F8="","",'Multi-Customer'!$CV49)</f>
        <v/>
      </c>
      <c r="M8" s="909" t="str">
        <f>IF($F8="","",IFERROR(VLOOKUP($G8,'Existing Customers'!$A:$AD,30,FALSE),"Enter Menu Type&gt;&gt;"))</f>
        <v/>
      </c>
      <c r="N8" s="747" t="str">
        <f>IFERROR(IF($C$4&gt;=$C8,VLOOKUP($G8,'Existing Customers'!$A:$J,10,FALSE),""),"Enter Zip Code &gt;")</f>
        <v/>
      </c>
      <c r="O8" s="1202" t="str">
        <f>IF($F8="","",'Multi-Customer'!$CV50)</f>
        <v/>
      </c>
      <c r="P8" s="765"/>
      <c r="Q8" s="633"/>
      <c r="R8" s="760"/>
      <c r="S8" s="761"/>
      <c r="T8" s="1061"/>
      <c r="U8" s="761"/>
      <c r="V8" s="617" t="s">
        <v>653</v>
      </c>
      <c r="W8" s="914" t="str">
        <f>IF($F8="","",'Variable Costs (Back)'!$A17)</f>
        <v/>
      </c>
      <c r="X8" s="624" t="str">
        <f t="shared" si="6"/>
        <v/>
      </c>
      <c r="Y8" s="52" t="str">
        <f t="shared" si="2"/>
        <v/>
      </c>
      <c r="Z8" s="52" t="str">
        <f t="shared" si="3"/>
        <v/>
      </c>
      <c r="AA8" s="52" t="str">
        <f t="shared" si="7"/>
        <v/>
      </c>
      <c r="AB8" s="135">
        <f t="shared" si="8"/>
        <v>0</v>
      </c>
      <c r="AC8">
        <f>IF($G8="New Store",COUNTIF($G$6:$G$15,"New Store")-COUNTIF($G9:$G$15,"New Store"),0)</f>
        <v>0</v>
      </c>
      <c r="AD8" t="str">
        <f t="shared" si="4"/>
        <v/>
      </c>
      <c r="AE8" s="2" t="str">
        <f t="shared" si="5"/>
        <v/>
      </c>
      <c r="AF8" s="135"/>
      <c r="AG8" t="e">
        <f>_xlfn.CONCAT($AG$1,"_",IF(NOT(ISBLANK($H$8)),$H$8,""),"_",IF(AND(NOT(ISBLANK($G$8)),$G$8&lt;&gt;"New"),IF($M$8&lt;&gt;"Enter Menu Type&gt;&gt;",IF($R$8=0,$M$8,$R$8),$R$8),""))</f>
        <v>#N/A</v>
      </c>
      <c r="AH8" s="135"/>
      <c r="AI8" s="135"/>
      <c r="AJ8" s="135"/>
      <c r="AK8" s="135" t="b">
        <f>NOT(ISERROR(IFERROR(VLOOKUP($G8&amp;"",'HOS_Modellable Customers'!$A:$A,1,0),VLOOKUP($G8,'HOS_Modellable Customers'!$A:$A,1,0))))</f>
        <v>0</v>
      </c>
      <c r="AL8" s="135" t="b">
        <f>NOT(ISERROR(IFERROR(VLOOKUP($G8&amp;"",'Modellable Customers'!$A:$A,1,0),VLOOKUP($G8,'Modellable Customers'!$A:$A,1,0))))</f>
        <v>0</v>
      </c>
      <c r="AM8" s="135" t="b">
        <f t="shared" si="9"/>
        <v>0</v>
      </c>
      <c r="AN8" s="135" t="str">
        <f t="shared" si="10"/>
        <v>CLEAR</v>
      </c>
      <c r="AO8" s="135"/>
      <c r="AP8" s="135" t="str">
        <f t="shared" si="11"/>
        <v/>
      </c>
      <c r="AQ8" s="913" t="str">
        <f>IF($F8="","",IF(OR(U8="",U8="Existing"),IFERROR(VLOOKUP($G8,'Existing Customers'!$A:$F,4,FALSE),""),""))</f>
        <v/>
      </c>
      <c r="AR8" s="135" t="str">
        <f>IF($F8="","",IFERROR(VLOOKUP($G8,'Existing Customers'!$A:$F,4,FALSE),""))</f>
        <v/>
      </c>
      <c r="AS8" s="52" t="str">
        <f>IF($F8="","",IFERROR(VLOOKUP($G8,'Existing Customer Variable Exp'!$B:$L,6,FALSE),0))</f>
        <v/>
      </c>
      <c r="AT8" s="52" t="str">
        <f>IF($F8="","",IF(AS8=0,Welcome!$G$26,0))</f>
        <v/>
      </c>
      <c r="AU8" s="52" t="str">
        <f t="shared" si="12"/>
        <v/>
      </c>
      <c r="AV8" s="52" t="str">
        <f>IF($F8="","",IFERROR(VLOOKUP($H8,'Prospect Slot Assumptions'!$A:$D,2,FALSE),0))</f>
        <v/>
      </c>
      <c r="AW8" s="52" t="str">
        <f>IF($F8="","",IFERROR(VLOOKUP($H8,'Prospect Slot Assumptions'!$A:$D,3,FALSE),0))</f>
        <v/>
      </c>
      <c r="AX8" s="52" t="str">
        <f>IF($F8="","",IFERROR(VLOOKUP($G8,'Existing Customer Variable Exp'!$B:$L,8,FALSE),0))</f>
        <v/>
      </c>
      <c r="AY8" s="52" t="str">
        <f>IF($F8="","",IFERROR(VLOOKUP($G8,'Existing Customer Variable Exp'!$B:$L,11,FALSE),0))</f>
        <v/>
      </c>
      <c r="AZ8" s="52" t="str">
        <f t="shared" si="13"/>
        <v/>
      </c>
      <c r="BA8" s="52" t="str">
        <f t="shared" si="14"/>
        <v/>
      </c>
      <c r="BB8" s="52" t="str">
        <f t="shared" si="15"/>
        <v/>
      </c>
      <c r="BC8" s="52" t="str">
        <f>IF($F8="","",IFERROR(VLOOKUP($H8,'Prospect Slot Assumptions'!$A:$D,4,FALSE),0))</f>
        <v/>
      </c>
      <c r="BD8" s="52" t="str">
        <f t="shared" si="16"/>
        <v/>
      </c>
    </row>
    <row r="9" spans="1:56" x14ac:dyDescent="0.25">
      <c r="A9" t="str">
        <f t="shared" si="0"/>
        <v/>
      </c>
      <c r="B9">
        <f t="shared" si="1"/>
        <v>0</v>
      </c>
      <c r="C9" s="142">
        <v>4</v>
      </c>
      <c r="D9" s="142"/>
      <c r="E9" s="694"/>
      <c r="F9" s="615" t="str">
        <f>IF(Welcome!$D$14="Select # of Locations","",IF($C9&lt;=Welcome!$D$14,$C9,""))</f>
        <v/>
      </c>
      <c r="G9" s="958"/>
      <c r="H9" s="953"/>
      <c r="I9" s="1023"/>
      <c r="J9" s="1004"/>
      <c r="K9" s="909" t="str">
        <f>IF($C$4&gt;=$C9,IF(SUMIF('Existing Customers'!$A:$A,'Customer Inputs'!$G9,'Existing Customers'!$Q:$Q)=0,"Enter Spend&gt;&gt;&gt;",ROUND(SUMIF('Existing Customers'!$A:$A,'Customer Inputs'!$G9,'Existing Customers'!$Q:$Q),0)),"")</f>
        <v/>
      </c>
      <c r="L9" s="1199" t="str">
        <f>IF($F9="","",'Multi-Customer'!$DS49)</f>
        <v/>
      </c>
      <c r="M9" s="909" t="str">
        <f>IF($F9="","",IFERROR(VLOOKUP($G9,'Existing Customers'!$A:$AD,30,FALSE),"Enter Menu Type&gt;&gt;"))</f>
        <v/>
      </c>
      <c r="N9" s="747" t="str">
        <f>IFERROR(IF($C$4&gt;=$C9,VLOOKUP($G9,'Existing Customers'!$A:$J,10,FALSE),""),"Enter Zip Code &gt;")</f>
        <v/>
      </c>
      <c r="O9" s="1202" t="str">
        <f>IF($F9="","",'Multi-Customer'!$DS50)</f>
        <v/>
      </c>
      <c r="P9" s="765"/>
      <c r="Q9" s="633"/>
      <c r="R9" s="760"/>
      <c r="S9" s="761"/>
      <c r="T9" s="1061"/>
      <c r="U9" s="761"/>
      <c r="V9" s="617" t="s">
        <v>653</v>
      </c>
      <c r="W9" s="914" t="str">
        <f>IF($F9="","",'Variable Costs (Back)'!$A18)</f>
        <v/>
      </c>
      <c r="X9" s="624" t="str">
        <f>IF(Q9="",L9,Q9)</f>
        <v/>
      </c>
      <c r="Y9" s="52" t="str">
        <f t="shared" si="2"/>
        <v/>
      </c>
      <c r="Z9" s="52" t="str">
        <f t="shared" si="3"/>
        <v/>
      </c>
      <c r="AA9" s="52" t="str">
        <f t="shared" si="7"/>
        <v/>
      </c>
      <c r="AB9" s="135">
        <f t="shared" si="8"/>
        <v>0</v>
      </c>
      <c r="AC9">
        <f>IF($G9="New Store",COUNTIF($G$6:$G$15,"New Store")-COUNTIF($G10:$G$15,"New Store"),0)</f>
        <v>0</v>
      </c>
      <c r="AD9" t="str">
        <f t="shared" si="4"/>
        <v/>
      </c>
      <c r="AE9" s="2" t="str">
        <f t="shared" si="5"/>
        <v/>
      </c>
      <c r="AF9" s="135"/>
      <c r="AG9" t="e">
        <f>_xlfn.CONCAT($AG$1,"_",IF(NOT(ISBLANK($H$9)),$H$9,""),"_",IF(AND(NOT(ISBLANK($G$9)),$G$9&lt;&gt;"New"),IF($M$9&lt;&gt;"Enter Menu Type&gt;&gt;",IF($R$9=0,$M$9,$R$9),$R$9),""))</f>
        <v>#N/A</v>
      </c>
      <c r="AH9" s="135"/>
      <c r="AI9" s="135"/>
      <c r="AJ9" s="135"/>
      <c r="AK9" s="135" t="b">
        <f>NOT(ISERROR(IFERROR(VLOOKUP($G9&amp;"",'HOS_Modellable Customers'!$A:$A,1,0),VLOOKUP($G9,'HOS_Modellable Customers'!$A:$A,1,0))))</f>
        <v>0</v>
      </c>
      <c r="AL9" s="135" t="b">
        <f>NOT(ISERROR(IFERROR(VLOOKUP($G9&amp;"",'Modellable Customers'!$A:$A,1,0),VLOOKUP($G9,'Modellable Customers'!$A:$A,1,0))))</f>
        <v>0</v>
      </c>
      <c r="AM9" s="135" t="b">
        <f t="shared" si="9"/>
        <v>0</v>
      </c>
      <c r="AN9" s="135" t="str">
        <f t="shared" si="10"/>
        <v>CLEAR</v>
      </c>
      <c r="AO9" s="135"/>
      <c r="AP9" s="135" t="str">
        <f t="shared" si="11"/>
        <v/>
      </c>
      <c r="AQ9" s="913" t="str">
        <f>IF($F9="","",IF(OR(U9="",U9="Existing"),IFERROR(VLOOKUP($G9,'Existing Customers'!$A:$F,4,FALSE),""),""))</f>
        <v/>
      </c>
      <c r="AR9" s="135" t="str">
        <f>IF($F9="","",IFERROR(VLOOKUP($G9,'Existing Customers'!$A:$F,4,FALSE),""))</f>
        <v/>
      </c>
      <c r="AS9" s="52" t="str">
        <f>IF($F9="","",IFERROR(VLOOKUP($G9,'Existing Customer Variable Exp'!$B:$L,6,FALSE),0))</f>
        <v/>
      </c>
      <c r="AT9" s="52" t="str">
        <f>IF($F9="","",IF(AS9=0,Welcome!$G$26,0))</f>
        <v/>
      </c>
      <c r="AU9" s="52" t="str">
        <f t="shared" si="12"/>
        <v/>
      </c>
      <c r="AV9" s="52" t="str">
        <f>IF($F9="","",IFERROR(VLOOKUP($H9,'Prospect Slot Assumptions'!$A:$D,2,FALSE),0))</f>
        <v/>
      </c>
      <c r="AW9" s="52" t="str">
        <f>IF($F9="","",IFERROR(VLOOKUP($H9,'Prospect Slot Assumptions'!$A:$D,3,FALSE),0))</f>
        <v/>
      </c>
      <c r="AX9" s="52" t="str">
        <f>IF($F9="","",IFERROR(VLOOKUP($G9,'Existing Customer Variable Exp'!$B:$L,8,FALSE),0))</f>
        <v/>
      </c>
      <c r="AY9" s="52" t="str">
        <f>IF($F9="","",IFERROR(VLOOKUP($G9,'Existing Customer Variable Exp'!$B:$L,11,FALSE),0))</f>
        <v/>
      </c>
      <c r="AZ9" s="52" t="str">
        <f t="shared" si="13"/>
        <v/>
      </c>
      <c r="BA9" s="52" t="str">
        <f t="shared" si="14"/>
        <v/>
      </c>
      <c r="BB9" s="52" t="str">
        <f t="shared" si="15"/>
        <v/>
      </c>
      <c r="BC9" s="52" t="str">
        <f>IF($F9="","",IFERROR(VLOOKUP($H9,'Prospect Slot Assumptions'!$A:$D,4,FALSE),0))</f>
        <v/>
      </c>
      <c r="BD9" s="52" t="str">
        <f t="shared" si="16"/>
        <v/>
      </c>
    </row>
    <row r="10" spans="1:56" x14ac:dyDescent="0.25">
      <c r="A10" t="str">
        <f t="shared" si="0"/>
        <v/>
      </c>
      <c r="B10">
        <f t="shared" si="1"/>
        <v>0</v>
      </c>
      <c r="C10" s="142">
        <v>5</v>
      </c>
      <c r="D10" s="142"/>
      <c r="E10" s="694"/>
      <c r="F10" s="615" t="str">
        <f>IF(Welcome!$D$14="Select # of Locations","",IF($C10&lt;=Welcome!$D$14,$C10,""))</f>
        <v/>
      </c>
      <c r="G10" s="958"/>
      <c r="H10" s="953"/>
      <c r="I10" s="1023"/>
      <c r="J10" s="1004"/>
      <c r="K10" s="909" t="str">
        <f>IF($C$4&gt;=$C10,IF(SUMIF('Existing Customers'!$A:$A,'Customer Inputs'!$G10,'Existing Customers'!$Q:$Q)=0,"Enter Spend&gt;&gt;&gt;",ROUND(SUMIF('Existing Customers'!$A:$A,'Customer Inputs'!$G10,'Existing Customers'!$Q:$Q),0)),"")</f>
        <v/>
      </c>
      <c r="L10" s="1199" t="str">
        <f>IF($F10="","",'Multi-Customer'!$EP49)</f>
        <v/>
      </c>
      <c r="M10" s="909" t="str">
        <f>IF($F10="","",IFERROR(VLOOKUP($G10,'Existing Customers'!$A:$AD,30,FALSE),"Enter Menu Type&gt;&gt;"))</f>
        <v/>
      </c>
      <c r="N10" s="747" t="str">
        <f>IFERROR(IF($C$4&gt;=$C10,VLOOKUP($G10,'Existing Customers'!$A:$J,10,FALSE),""),"Enter Zip Code &gt;")</f>
        <v/>
      </c>
      <c r="O10" s="1202" t="str">
        <f>IF($F10="","",'Multi-Customer'!$EP50)</f>
        <v/>
      </c>
      <c r="P10" s="765"/>
      <c r="Q10" s="633"/>
      <c r="R10" s="760"/>
      <c r="S10" s="761"/>
      <c r="T10" s="1061"/>
      <c r="U10" s="761"/>
      <c r="V10" s="617" t="s">
        <v>653</v>
      </c>
      <c r="W10" s="914" t="str">
        <f>IF($F10="","",'Variable Costs (Back)'!$A19)</f>
        <v/>
      </c>
      <c r="X10" s="624" t="str">
        <f t="shared" si="6"/>
        <v/>
      </c>
      <c r="Y10" s="52" t="str">
        <f t="shared" si="2"/>
        <v/>
      </c>
      <c r="Z10" s="52" t="str">
        <f t="shared" si="3"/>
        <v/>
      </c>
      <c r="AA10" s="52" t="str">
        <f t="shared" si="7"/>
        <v/>
      </c>
      <c r="AB10" s="135">
        <f t="shared" si="8"/>
        <v>0</v>
      </c>
      <c r="AC10">
        <f>IF($G10="New Store",COUNTIF($G$6:$G$15,"New Store")-COUNTIF($G11:$G$15,"New Store"),0)</f>
        <v>0</v>
      </c>
      <c r="AD10" t="str">
        <f t="shared" si="4"/>
        <v/>
      </c>
      <c r="AE10" s="2" t="str">
        <f t="shared" si="5"/>
        <v/>
      </c>
      <c r="AF10" s="135"/>
      <c r="AG10" t="e">
        <f>_xlfn.CONCAT($AG$1,"_",IF(NOT(ISBLANK($H$10)),$H$10,""),"_",IF(AND(NOT(ISBLANK($G$10)),$G$10&lt;&gt;"New"),IF($M$10&lt;&gt;"Enter Menu Type&gt;&gt;",IF($R$10=0,$M$10,$R$10),$R$10),""))</f>
        <v>#N/A</v>
      </c>
      <c r="AH10" s="135"/>
      <c r="AI10" s="135"/>
      <c r="AJ10" s="135"/>
      <c r="AK10" s="135" t="b">
        <f>NOT(ISERROR(IFERROR(VLOOKUP($G10&amp;"",'HOS_Modellable Customers'!$A:$A,1,0),VLOOKUP($G10,'HOS_Modellable Customers'!$A:$A,1,0))))</f>
        <v>0</v>
      </c>
      <c r="AL10" s="135" t="b">
        <f>NOT(ISERROR(IFERROR(VLOOKUP($G10&amp;"",'Modellable Customers'!$A:$A,1,0),VLOOKUP($G10,'Modellable Customers'!$A:$A,1,0))))</f>
        <v>0</v>
      </c>
      <c r="AM10" s="135" t="b">
        <f t="shared" si="9"/>
        <v>0</v>
      </c>
      <c r="AN10" s="135" t="str">
        <f t="shared" si="10"/>
        <v>CLEAR</v>
      </c>
      <c r="AO10" s="135"/>
      <c r="AP10" s="135" t="str">
        <f t="shared" si="11"/>
        <v/>
      </c>
      <c r="AQ10" s="913" t="str">
        <f>IF($F10="","",IF(OR(U10="",U10="Existing"),IFERROR(VLOOKUP($G10,'Existing Customers'!$A:$F,4,FALSE),""),""))</f>
        <v/>
      </c>
      <c r="AR10" s="135" t="str">
        <f>IF($F10="","",IFERROR(VLOOKUP($G10,'Existing Customers'!$A:$F,4,FALSE),""))</f>
        <v/>
      </c>
      <c r="AS10" s="52" t="str">
        <f>IF($F10="","",IFERROR(VLOOKUP($G10,'Existing Customer Variable Exp'!$B:$L,6,FALSE),0))</f>
        <v/>
      </c>
      <c r="AT10" s="52" t="str">
        <f>IF($F10="","",IF(AS10=0,Welcome!$G$26,0))</f>
        <v/>
      </c>
      <c r="AU10" s="52" t="str">
        <f t="shared" si="12"/>
        <v/>
      </c>
      <c r="AV10" s="52" t="str">
        <f>IF($F10="","",IFERROR(VLOOKUP($H10,'Prospect Slot Assumptions'!$A:$D,2,FALSE),0))</f>
        <v/>
      </c>
      <c r="AW10" s="52" t="str">
        <f>IF($F10="","",IFERROR(VLOOKUP($H10,'Prospect Slot Assumptions'!$A:$D,3,FALSE),0))</f>
        <v/>
      </c>
      <c r="AX10" s="52" t="str">
        <f>IF($F10="","",IFERROR(VLOOKUP($G10,'Existing Customer Variable Exp'!$B:$L,8,FALSE),0))</f>
        <v/>
      </c>
      <c r="AY10" s="52" t="str">
        <f>IF($F10="","",IFERROR(VLOOKUP($G10,'Existing Customer Variable Exp'!$B:$L,11,FALSE),0))</f>
        <v/>
      </c>
      <c r="AZ10" s="52" t="str">
        <f t="shared" si="13"/>
        <v/>
      </c>
      <c r="BA10" s="52" t="str">
        <f t="shared" si="14"/>
        <v/>
      </c>
      <c r="BB10" s="52" t="str">
        <f t="shared" si="15"/>
        <v/>
      </c>
      <c r="BC10" s="52" t="str">
        <f>IF($F10="","",IFERROR(VLOOKUP($H10,'Prospect Slot Assumptions'!$A:$D,4,FALSE),0))</f>
        <v/>
      </c>
      <c r="BD10" s="52" t="str">
        <f t="shared" si="16"/>
        <v/>
      </c>
    </row>
    <row r="11" spans="1:56" x14ac:dyDescent="0.25">
      <c r="A11" t="str">
        <f t="shared" si="0"/>
        <v/>
      </c>
      <c r="B11">
        <f t="shared" si="1"/>
        <v>0</v>
      </c>
      <c r="C11" s="142">
        <v>6</v>
      </c>
      <c r="D11" s="142"/>
      <c r="E11" s="694"/>
      <c r="F11" s="615" t="str">
        <f>IF(Welcome!$D$14="Select # of Locations","",IF($C11&lt;=Welcome!$D$14,$C11,""))</f>
        <v/>
      </c>
      <c r="G11" s="958"/>
      <c r="H11" s="953"/>
      <c r="I11" s="1023"/>
      <c r="J11" s="1004"/>
      <c r="K11" s="909" t="str">
        <f>IF($C$4&gt;=$C11,IF(SUMIF('Existing Customers'!$A:$A,'Customer Inputs'!$G11,'Existing Customers'!$Q:$Q)=0,"Enter Spend&gt;&gt;&gt;",ROUND(SUMIF('Existing Customers'!$A:$A,'Customer Inputs'!$G11,'Existing Customers'!$Q:$Q),0)),"")</f>
        <v/>
      </c>
      <c r="L11" s="1199" t="str">
        <f>IF($F11="","",'Multi-Customer'!$FM49)</f>
        <v/>
      </c>
      <c r="M11" s="909" t="str">
        <f>IF($F11="","",IFERROR(VLOOKUP($G11,'Existing Customers'!$A:$AD,30,FALSE),"Enter Menu Type&gt;&gt;"))</f>
        <v/>
      </c>
      <c r="N11" s="747" t="str">
        <f>IFERROR(IF($C$4&gt;=$C11,VLOOKUP($G11,'Existing Customers'!$A:$J,10,FALSE),""),"Enter Zip Code &gt;")</f>
        <v/>
      </c>
      <c r="O11" s="1202" t="str">
        <f>IF($F11="","",'Multi-Customer'!$FM50)</f>
        <v/>
      </c>
      <c r="P11" s="765"/>
      <c r="Q11" s="633"/>
      <c r="R11" s="760"/>
      <c r="S11" s="761"/>
      <c r="T11" s="1061"/>
      <c r="U11" s="761"/>
      <c r="V11" s="617" t="s">
        <v>653</v>
      </c>
      <c r="W11" s="914" t="str">
        <f>IF($F11="","",'Variable Costs (Back)'!$A20)</f>
        <v/>
      </c>
      <c r="X11" s="624" t="str">
        <f t="shared" si="6"/>
        <v/>
      </c>
      <c r="Y11" s="52" t="str">
        <f t="shared" si="2"/>
        <v/>
      </c>
      <c r="Z11" s="52" t="str">
        <f t="shared" si="3"/>
        <v/>
      </c>
      <c r="AA11" s="52" t="str">
        <f t="shared" si="7"/>
        <v/>
      </c>
      <c r="AB11" s="135">
        <f t="shared" si="8"/>
        <v>0</v>
      </c>
      <c r="AC11">
        <f>IF($G11="New Store",COUNTIF($G$6:$G$15,"New Store")-COUNTIF($G12:$G$15,"New Store"),0)</f>
        <v>0</v>
      </c>
      <c r="AD11" t="str">
        <f t="shared" si="4"/>
        <v/>
      </c>
      <c r="AE11" s="2" t="str">
        <f t="shared" si="5"/>
        <v/>
      </c>
      <c r="AF11" s="135"/>
      <c r="AG11" t="e">
        <f>_xlfn.CONCAT($AG$1,"_",IF(NOT(ISBLANK($H$11)),$H$11,""),"_",IF(AND(NOT(ISBLANK($G$11)),$G$11&lt;&gt;"New"),IF($M$11&lt;&gt;"Enter Menu Type&gt;&gt;",IF($R$11=0,$M$11,$R$11),$R$11),""))</f>
        <v>#N/A</v>
      </c>
      <c r="AH11" s="135"/>
      <c r="AI11" s="135"/>
      <c r="AJ11" s="135"/>
      <c r="AK11" s="135" t="b">
        <f>NOT(ISERROR(IFERROR(VLOOKUP($G11&amp;"",'HOS_Modellable Customers'!$A:$A,1,0),VLOOKUP($G11,'HOS_Modellable Customers'!$A:$A,1,0))))</f>
        <v>0</v>
      </c>
      <c r="AL11" s="135" t="b">
        <f>NOT(ISERROR(IFERROR(VLOOKUP($G11&amp;"",'Modellable Customers'!$A:$A,1,0),VLOOKUP($G11,'Modellable Customers'!$A:$A,1,0))))</f>
        <v>0</v>
      </c>
      <c r="AM11" s="135" t="b">
        <f t="shared" si="9"/>
        <v>0</v>
      </c>
      <c r="AN11" s="135" t="str">
        <f t="shared" si="10"/>
        <v>CLEAR</v>
      </c>
      <c r="AO11" s="135"/>
      <c r="AP11" s="135" t="str">
        <f t="shared" si="11"/>
        <v/>
      </c>
      <c r="AQ11" s="913" t="str">
        <f>IF($F11="","",IF(OR(U11="",U11="Existing"),IFERROR(VLOOKUP($G11,'Existing Customers'!$A:$F,4,FALSE),""),""))</f>
        <v/>
      </c>
      <c r="AR11" s="135" t="str">
        <f>IF($F11="","",IFERROR(VLOOKUP($G11,'Existing Customers'!$A:$F,4,FALSE),""))</f>
        <v/>
      </c>
      <c r="AS11" s="52" t="str">
        <f>IF($F11="","",IFERROR(VLOOKUP($G11,'Existing Customer Variable Exp'!$B:$L,6,FALSE),0))</f>
        <v/>
      </c>
      <c r="AT11" s="52" t="str">
        <f>IF($F11="","",IF(AS11=0,Welcome!$G$26,0))</f>
        <v/>
      </c>
      <c r="AU11" s="52" t="str">
        <f t="shared" si="12"/>
        <v/>
      </c>
      <c r="AV11" s="52" t="str">
        <f>IF($F11="","",IFERROR(VLOOKUP($H11,'Prospect Slot Assumptions'!$A:$D,2,FALSE),0))</f>
        <v/>
      </c>
      <c r="AW11" s="52" t="str">
        <f>IF($F11="","",IFERROR(VLOOKUP($H11,'Prospect Slot Assumptions'!$A:$D,3,FALSE),0))</f>
        <v/>
      </c>
      <c r="AX11" s="52" t="str">
        <f>IF($F11="","",IFERROR(VLOOKUP($G11,'Existing Customer Variable Exp'!$B:$L,8,FALSE),0))</f>
        <v/>
      </c>
      <c r="AY11" s="52" t="str">
        <f>IF($F11="","",IFERROR(VLOOKUP($G11,'Existing Customer Variable Exp'!$B:$L,11,FALSE),0))</f>
        <v/>
      </c>
      <c r="AZ11" s="52" t="str">
        <f t="shared" si="13"/>
        <v/>
      </c>
      <c r="BA11" s="52" t="str">
        <f t="shared" si="14"/>
        <v/>
      </c>
      <c r="BB11" s="52" t="str">
        <f t="shared" si="15"/>
        <v/>
      </c>
      <c r="BC11" s="52" t="str">
        <f>IF($F11="","",IFERROR(VLOOKUP($H11,'Prospect Slot Assumptions'!$A:$D,4,FALSE),0))</f>
        <v/>
      </c>
      <c r="BD11" s="52" t="str">
        <f t="shared" si="16"/>
        <v/>
      </c>
    </row>
    <row r="12" spans="1:56" x14ac:dyDescent="0.25">
      <c r="A12" t="str">
        <f t="shared" si="0"/>
        <v/>
      </c>
      <c r="B12">
        <f t="shared" si="1"/>
        <v>0</v>
      </c>
      <c r="C12" s="142">
        <v>7</v>
      </c>
      <c r="D12" s="142"/>
      <c r="E12" s="694"/>
      <c r="F12" s="615" t="str">
        <f>IF(Welcome!$D$14="Select # of Locations","",IF($C12&lt;=Welcome!$D$14,$C12,""))</f>
        <v/>
      </c>
      <c r="G12" s="958"/>
      <c r="H12" s="953"/>
      <c r="I12" s="1023"/>
      <c r="J12" s="1004"/>
      <c r="K12" s="909" t="str">
        <f>IF($C$4&gt;=$C12,IF(SUMIF('Existing Customers'!$A:$A,'Customer Inputs'!$G12,'Existing Customers'!$Q:$Q)=0,"Enter Spend&gt;&gt;&gt;",ROUND(SUMIF('Existing Customers'!$A:$A,'Customer Inputs'!$G12,'Existing Customers'!$Q:$Q),0)),"")</f>
        <v/>
      </c>
      <c r="L12" s="1199" t="str">
        <f>IF($F12="","",'Multi-Customer'!$GJ49)</f>
        <v/>
      </c>
      <c r="M12" s="909" t="str">
        <f>IF($F12="","",IFERROR(VLOOKUP($G12,'Existing Customers'!$A:$AD,30,FALSE),"Enter Menu Type&gt;&gt;"))</f>
        <v/>
      </c>
      <c r="N12" s="747" t="str">
        <f>IFERROR(IF($C$4&gt;=$C12,VLOOKUP($G12,'Existing Customers'!$A:$J,10,FALSE),""),"Enter Zip Code &gt;")</f>
        <v/>
      </c>
      <c r="O12" s="1202" t="str">
        <f>IF($F12="","",'Multi-Customer'!$GJ50)</f>
        <v/>
      </c>
      <c r="P12" s="765"/>
      <c r="Q12" s="633"/>
      <c r="R12" s="760"/>
      <c r="S12" s="761"/>
      <c r="T12" s="1061"/>
      <c r="U12" s="761"/>
      <c r="V12" s="617" t="s">
        <v>653</v>
      </c>
      <c r="W12" s="914" t="str">
        <f>IF($F12="","",'Variable Costs (Back)'!$A21)</f>
        <v/>
      </c>
      <c r="X12" s="624" t="str">
        <f t="shared" si="6"/>
        <v/>
      </c>
      <c r="Y12" s="52" t="str">
        <f t="shared" si="2"/>
        <v/>
      </c>
      <c r="Z12" s="52" t="str">
        <f t="shared" si="3"/>
        <v/>
      </c>
      <c r="AA12" s="52" t="str">
        <f t="shared" si="7"/>
        <v/>
      </c>
      <c r="AB12" s="135">
        <f t="shared" si="8"/>
        <v>0</v>
      </c>
      <c r="AC12">
        <f>IF($G12="New Store",COUNTIF($G$6:$G$15,"New Store")-COUNTIF($G13:$G$15,"New Store"),0)</f>
        <v>0</v>
      </c>
      <c r="AD12" t="str">
        <f t="shared" si="4"/>
        <v/>
      </c>
      <c r="AE12" s="2" t="str">
        <f t="shared" si="5"/>
        <v/>
      </c>
      <c r="AF12" s="135"/>
      <c r="AG12" t="e">
        <f>_xlfn.CONCAT($AG$1,"_",IF(NOT(ISBLANK($H$12)),$H$12,""),"_",IF(AND(NOT(ISBLANK($G$12)),$G$12&lt;&gt;"New"),IF($M$12&lt;&gt;"Enter Menu Type&gt;&gt;",IF($R$12=0,$M$12,$R$12),$R$12),""))</f>
        <v>#N/A</v>
      </c>
      <c r="AH12" s="135"/>
      <c r="AI12" s="135"/>
      <c r="AJ12" s="135"/>
      <c r="AK12" s="135" t="b">
        <f>NOT(ISERROR(IFERROR(VLOOKUP($G12&amp;"",'HOS_Modellable Customers'!$A:$A,1,0),VLOOKUP($G12,'HOS_Modellable Customers'!$A:$A,1,0))))</f>
        <v>0</v>
      </c>
      <c r="AL12" s="135" t="b">
        <f>NOT(ISERROR(IFERROR(VLOOKUP($G12&amp;"",'Modellable Customers'!$A:$A,1,0),VLOOKUP($G12,'Modellable Customers'!$A:$A,1,0))))</f>
        <v>0</v>
      </c>
      <c r="AM12" s="135" t="b">
        <f t="shared" si="9"/>
        <v>0</v>
      </c>
      <c r="AN12" s="135" t="str">
        <f t="shared" si="10"/>
        <v>CLEAR</v>
      </c>
      <c r="AO12" s="135"/>
      <c r="AP12" s="135" t="str">
        <f t="shared" si="11"/>
        <v/>
      </c>
      <c r="AQ12" s="913" t="str">
        <f>IF($F12="","",IF(OR(U12="",U12="Existing"),IFERROR(VLOOKUP($G12,'Existing Customers'!$A:$F,4,FALSE),""),""))</f>
        <v/>
      </c>
      <c r="AR12" s="135" t="str">
        <f>IF($F12="","",IFERROR(VLOOKUP($G12,'Existing Customers'!$A:$F,4,FALSE),""))</f>
        <v/>
      </c>
      <c r="AS12" s="52" t="str">
        <f>IF($F12="","",IFERROR(VLOOKUP($G12,'Existing Customer Variable Exp'!$B:$L,6,FALSE),0))</f>
        <v/>
      </c>
      <c r="AT12" s="52" t="str">
        <f>IF($F12="","",IF(AS12=0,Welcome!$G$26,0))</f>
        <v/>
      </c>
      <c r="AU12" s="52" t="str">
        <f t="shared" si="12"/>
        <v/>
      </c>
      <c r="AV12" s="52" t="str">
        <f>IF($F12="","",IFERROR(VLOOKUP($H12,'Prospect Slot Assumptions'!$A:$D,2,FALSE),0))</f>
        <v/>
      </c>
      <c r="AW12" s="52" t="str">
        <f>IF($F12="","",IFERROR(VLOOKUP($H12,'Prospect Slot Assumptions'!$A:$D,3,FALSE),0))</f>
        <v/>
      </c>
      <c r="AX12" s="52" t="str">
        <f>IF($F12="","",IFERROR(VLOOKUP($G12,'Existing Customer Variable Exp'!$B:$L,8,FALSE),0))</f>
        <v/>
      </c>
      <c r="AY12" s="52" t="str">
        <f>IF($F12="","",IFERROR(VLOOKUP($G12,'Existing Customer Variable Exp'!$B:$L,11,FALSE),0))</f>
        <v/>
      </c>
      <c r="AZ12" s="52" t="str">
        <f t="shared" si="13"/>
        <v/>
      </c>
      <c r="BA12" s="52" t="str">
        <f t="shared" si="14"/>
        <v/>
      </c>
      <c r="BB12" s="52" t="str">
        <f t="shared" si="15"/>
        <v/>
      </c>
      <c r="BC12" s="52" t="str">
        <f>IF($F12="","",IFERROR(VLOOKUP($H12,'Prospect Slot Assumptions'!$A:$D,4,FALSE),0))</f>
        <v/>
      </c>
      <c r="BD12" s="52" t="str">
        <f t="shared" si="16"/>
        <v/>
      </c>
    </row>
    <row r="13" spans="1:56" x14ac:dyDescent="0.25">
      <c r="A13" t="str">
        <f t="shared" si="0"/>
        <v/>
      </c>
      <c r="B13">
        <f t="shared" si="1"/>
        <v>0</v>
      </c>
      <c r="C13" s="142">
        <v>8</v>
      </c>
      <c r="D13" s="142"/>
      <c r="E13" s="694"/>
      <c r="F13" s="615" t="str">
        <f>IF(Welcome!$D$14="Select # of Locations","",IF($C13&lt;=Welcome!$D$14,$C13,""))</f>
        <v/>
      </c>
      <c r="G13" s="958"/>
      <c r="H13" s="953"/>
      <c r="I13" s="1023"/>
      <c r="J13" s="1004"/>
      <c r="K13" s="909" t="str">
        <f>IF($C$4&gt;=$C13,IF(SUMIF('Existing Customers'!$A:$A,'Customer Inputs'!$G13,'Existing Customers'!$Q:$Q)=0,"Enter Spend&gt;&gt;&gt;",ROUND(SUMIF('Existing Customers'!$A:$A,'Customer Inputs'!$G13,'Existing Customers'!$Q:$Q),0)),"")</f>
        <v/>
      </c>
      <c r="L13" s="1199" t="str">
        <f>IF($F13="","",'Multi-Customer'!$HG49)</f>
        <v/>
      </c>
      <c r="M13" s="909" t="str">
        <f>IF($F13="","",IFERROR(VLOOKUP($G13,'Existing Customers'!$A:$AD,30,FALSE),"Enter Menu Type&gt;&gt;"))</f>
        <v/>
      </c>
      <c r="N13" s="747" t="str">
        <f>IFERROR(IF($C$4&gt;=$C13,VLOOKUP($G13,'Existing Customers'!$A:$J,10,FALSE),""),"Enter Zip Code &gt;")</f>
        <v/>
      </c>
      <c r="O13" s="1202" t="str">
        <f>IF($F13="","",'Multi-Customer'!$HG50)</f>
        <v/>
      </c>
      <c r="P13" s="765"/>
      <c r="Q13" s="633"/>
      <c r="R13" s="760"/>
      <c r="S13" s="761"/>
      <c r="T13" s="1061"/>
      <c r="U13" s="761"/>
      <c r="V13" s="617" t="s">
        <v>653</v>
      </c>
      <c r="W13" s="914" t="str">
        <f>IF($F13="","",'Variable Costs (Back)'!$A22)</f>
        <v/>
      </c>
      <c r="X13" s="624" t="str">
        <f t="shared" si="6"/>
        <v/>
      </c>
      <c r="Y13" s="52" t="str">
        <f t="shared" si="2"/>
        <v/>
      </c>
      <c r="Z13" s="52" t="str">
        <f t="shared" si="3"/>
        <v/>
      </c>
      <c r="AA13" s="52" t="str">
        <f t="shared" si="7"/>
        <v/>
      </c>
      <c r="AB13" s="135">
        <f t="shared" si="8"/>
        <v>0</v>
      </c>
      <c r="AC13">
        <f>IF($G13="New Store",COUNTIF($G$6:$G$15,"New Store")-COUNTIF($G14:$G$15,"New Store"),0)</f>
        <v>0</v>
      </c>
      <c r="AD13" t="str">
        <f t="shared" si="4"/>
        <v/>
      </c>
      <c r="AE13" s="2" t="str">
        <f t="shared" si="5"/>
        <v/>
      </c>
      <c r="AF13" s="135"/>
      <c r="AG13" t="e">
        <f>_xlfn.CONCAT($AG$1,"_",IF(NOT(ISBLANK($H$13)),$H$13,""),"_",IF(AND(NOT(ISBLANK($G$13)),$G$13&lt;&gt;"New"),IF($M$13&lt;&gt;"Enter Menu Type&gt;&gt;",IF($R$13=0,$M$13,$R$13),$R$13),""))</f>
        <v>#N/A</v>
      </c>
      <c r="AH13" s="135"/>
      <c r="AI13" s="135"/>
      <c r="AJ13" s="135"/>
      <c r="AK13" s="135" t="b">
        <f>NOT(ISERROR(IFERROR(VLOOKUP($G13&amp;"",'HOS_Modellable Customers'!$A:$A,1,0),VLOOKUP($G13,'HOS_Modellable Customers'!$A:$A,1,0))))</f>
        <v>0</v>
      </c>
      <c r="AL13" s="135" t="b">
        <f>NOT(ISERROR(IFERROR(VLOOKUP($G13&amp;"",'Modellable Customers'!$A:$A,1,0),VLOOKUP($G13,'Modellable Customers'!$A:$A,1,0))))</f>
        <v>0</v>
      </c>
      <c r="AM13" s="135" t="b">
        <f t="shared" ref="AM13:AM15" si="17">IF(K13="Enter Spend&gt;&gt;&gt;",TRUE,FALSE)</f>
        <v>0</v>
      </c>
      <c r="AN13" s="135" t="str">
        <f t="shared" si="10"/>
        <v>CLEAR</v>
      </c>
      <c r="AO13" s="135"/>
      <c r="AP13" s="135" t="str">
        <f t="shared" si="11"/>
        <v/>
      </c>
      <c r="AQ13" s="913" t="str">
        <f>IF($F13="","",IF(OR(U13="",U13="Existing"),IFERROR(VLOOKUP($G13,'Existing Customers'!$A:$F,4,FALSE),""),""))</f>
        <v/>
      </c>
      <c r="AR13" s="135" t="str">
        <f>IF($F13="","",IFERROR(VLOOKUP($G13,'Existing Customers'!$A:$F,4,FALSE),""))</f>
        <v/>
      </c>
      <c r="AS13" s="52" t="str">
        <f>IF($F13="","",IFERROR(VLOOKUP($G13,'Existing Customer Variable Exp'!$B:$L,6,FALSE),0))</f>
        <v/>
      </c>
      <c r="AT13" s="52" t="str">
        <f>IF($F13="","",IF(AS13=0,Welcome!$G$26,0))</f>
        <v/>
      </c>
      <c r="AU13" s="52" t="str">
        <f t="shared" si="12"/>
        <v/>
      </c>
      <c r="AV13" s="52" t="str">
        <f>IF($F13="","",IFERROR(VLOOKUP($H13,'Prospect Slot Assumptions'!$A:$D,2,FALSE),0))</f>
        <v/>
      </c>
      <c r="AW13" s="52" t="str">
        <f>IF($F13="","",IFERROR(VLOOKUP($H13,'Prospect Slot Assumptions'!$A:$D,3,FALSE),0))</f>
        <v/>
      </c>
      <c r="AX13" s="52" t="str">
        <f>IF($F13="","",IFERROR(VLOOKUP($G13,'Existing Customer Variable Exp'!$B:$L,8,FALSE),0))</f>
        <v/>
      </c>
      <c r="AY13" s="52" t="str">
        <f>IF($F13="","",IFERROR(VLOOKUP($G13,'Existing Customer Variable Exp'!$B:$L,11,FALSE),0))</f>
        <v/>
      </c>
      <c r="AZ13" s="52" t="str">
        <f t="shared" si="13"/>
        <v/>
      </c>
      <c r="BA13" s="52" t="str">
        <f t="shared" si="14"/>
        <v/>
      </c>
      <c r="BB13" s="52" t="str">
        <f t="shared" si="15"/>
        <v/>
      </c>
      <c r="BC13" s="52" t="str">
        <f>IF($F13="","",IFERROR(VLOOKUP($H13,'Prospect Slot Assumptions'!$A:$D,4,FALSE),0))</f>
        <v/>
      </c>
      <c r="BD13" s="52" t="str">
        <f t="shared" si="16"/>
        <v/>
      </c>
    </row>
    <row r="14" spans="1:56" x14ac:dyDescent="0.25">
      <c r="A14" t="str">
        <f t="shared" si="0"/>
        <v/>
      </c>
      <c r="B14">
        <f t="shared" si="1"/>
        <v>0</v>
      </c>
      <c r="C14" s="142">
        <v>9</v>
      </c>
      <c r="D14" s="142"/>
      <c r="E14" s="694"/>
      <c r="F14" s="615" t="str">
        <f>IF(Welcome!$D$14="Select # of Locations","",IF($C14&lt;=Welcome!$D$14,$C14,""))</f>
        <v/>
      </c>
      <c r="G14" s="958"/>
      <c r="H14" s="953"/>
      <c r="I14" s="1023"/>
      <c r="J14" s="1004"/>
      <c r="K14" s="909" t="str">
        <f>IF($C$4&gt;=$C14,IF(SUMIF('Existing Customers'!$A:$A,'Customer Inputs'!$G14,'Existing Customers'!$Q:$Q)=0,"Enter Spend&gt;&gt;&gt;",ROUND(SUMIF('Existing Customers'!$A:$A,'Customer Inputs'!$G14,'Existing Customers'!$Q:$Q),0)),"")</f>
        <v/>
      </c>
      <c r="L14" s="1199" t="str">
        <f>IF($F14="","",'Multi-Customer'!$ID49)</f>
        <v/>
      </c>
      <c r="M14" s="909" t="str">
        <f>IF($F14="","",IFERROR(VLOOKUP($G14,'Existing Customers'!$A:$AD,30,FALSE),"Enter Menu Type&gt;&gt;"))</f>
        <v/>
      </c>
      <c r="N14" s="747" t="str">
        <f>IFERROR(IF($C$4&gt;=$C14,VLOOKUP($G14,'Existing Customers'!$A:$J,10,FALSE),""),"Enter Zip Code &gt;")</f>
        <v/>
      </c>
      <c r="O14" s="1202" t="str">
        <f>IF($F14="","",'Multi-Customer'!$ID50)</f>
        <v/>
      </c>
      <c r="P14" s="765"/>
      <c r="Q14" s="633"/>
      <c r="R14" s="760"/>
      <c r="S14" s="761"/>
      <c r="T14" s="1061"/>
      <c r="U14" s="761"/>
      <c r="V14" s="617" t="s">
        <v>653</v>
      </c>
      <c r="W14" s="914" t="str">
        <f>IF($F14="","",'Variable Costs (Back)'!$A23)</f>
        <v/>
      </c>
      <c r="X14" s="624" t="str">
        <f t="shared" si="6"/>
        <v/>
      </c>
      <c r="Y14" s="52" t="str">
        <f t="shared" si="2"/>
        <v/>
      </c>
      <c r="Z14" s="52" t="str">
        <f t="shared" si="3"/>
        <v/>
      </c>
      <c r="AA14" s="52" t="str">
        <f t="shared" si="7"/>
        <v/>
      </c>
      <c r="AB14" s="135">
        <f t="shared" si="8"/>
        <v>0</v>
      </c>
      <c r="AC14">
        <f>IF($G14="New Store",COUNTIF($G$6:$G$15,"New Store")-COUNTIF($G15:$G$15,"New Store"),0)</f>
        <v>0</v>
      </c>
      <c r="AD14" t="str">
        <f t="shared" si="4"/>
        <v/>
      </c>
      <c r="AE14" s="2" t="str">
        <f t="shared" si="5"/>
        <v/>
      </c>
      <c r="AF14" s="135"/>
      <c r="AG14" t="e">
        <f>_xlfn.CONCAT($AG$1,"_",IF(NOT(ISBLANK($H$14)),$H$14,""),"_",IF(AND(NOT(ISBLANK($G$14)),$G$14&lt;&gt;"New"),IF($M$14&lt;&gt;"Enter Menu Type&gt;&gt;",IF($R$14=0,$M$14,$R$14),$R$14),""))</f>
        <v>#N/A</v>
      </c>
      <c r="AH14" s="135"/>
      <c r="AI14" s="135"/>
      <c r="AJ14" s="135"/>
      <c r="AK14" s="135" t="b">
        <f>NOT(ISERROR(IFERROR(VLOOKUP($G14&amp;"",'HOS_Modellable Customers'!$A:$A,1,0),VLOOKUP($G14,'HOS_Modellable Customers'!$A:$A,1,0))))</f>
        <v>0</v>
      </c>
      <c r="AL14" s="135" t="b">
        <f>NOT(ISERROR(IFERROR(VLOOKUP($G14&amp;"",'Modellable Customers'!$A:$A,1,0),VLOOKUP($G14,'Modellable Customers'!$A:$A,1,0))))</f>
        <v>0</v>
      </c>
      <c r="AM14" s="135" t="b">
        <f t="shared" si="17"/>
        <v>0</v>
      </c>
      <c r="AN14" s="135" t="str">
        <f t="shared" si="10"/>
        <v>CLEAR</v>
      </c>
      <c r="AO14" s="135"/>
      <c r="AP14" s="135" t="str">
        <f t="shared" si="11"/>
        <v/>
      </c>
      <c r="AQ14" s="913" t="str">
        <f>IF($F14="","",IF(OR(U14="",U14="Existing"),IFERROR(VLOOKUP($G14,'Existing Customers'!$A:$F,4,FALSE),""),""))</f>
        <v/>
      </c>
      <c r="AR14" s="135" t="str">
        <f>IF($F14="","",IFERROR(VLOOKUP($G14,'Existing Customers'!$A:$F,4,FALSE),""))</f>
        <v/>
      </c>
      <c r="AS14" s="52" t="str">
        <f>IF($F14="","",IFERROR(VLOOKUP($G14,'Existing Customer Variable Exp'!$B:$L,6,FALSE),0))</f>
        <v/>
      </c>
      <c r="AT14" s="52" t="str">
        <f>IF($F14="","",IF(AS14=0,Welcome!$G$26,0))</f>
        <v/>
      </c>
      <c r="AU14" s="52" t="str">
        <f t="shared" si="12"/>
        <v/>
      </c>
      <c r="AV14" s="52" t="str">
        <f>IF($F14="","",IFERROR(VLOOKUP($H14,'Prospect Slot Assumptions'!$A:$D,2,FALSE),0))</f>
        <v/>
      </c>
      <c r="AW14" s="52" t="str">
        <f>IF($F14="","",IFERROR(VLOOKUP($H14,'Prospect Slot Assumptions'!$A:$D,3,FALSE),0))</f>
        <v/>
      </c>
      <c r="AX14" s="52" t="str">
        <f>IF($F14="","",IFERROR(VLOOKUP($G14,'Existing Customer Variable Exp'!$B:$L,8,FALSE),0))</f>
        <v/>
      </c>
      <c r="AY14" s="52" t="str">
        <f>IF($F14="","",IFERROR(VLOOKUP($G14,'Existing Customer Variable Exp'!$B:$L,11,FALSE),0))</f>
        <v/>
      </c>
      <c r="AZ14" s="52" t="str">
        <f t="shared" si="13"/>
        <v/>
      </c>
      <c r="BA14" s="52" t="str">
        <f t="shared" si="14"/>
        <v/>
      </c>
      <c r="BB14" s="52" t="str">
        <f t="shared" si="15"/>
        <v/>
      </c>
      <c r="BC14" s="52" t="str">
        <f>IF($F14="","",IFERROR(VLOOKUP($H14,'Prospect Slot Assumptions'!$A:$D,4,FALSE),0))</f>
        <v/>
      </c>
      <c r="BD14" s="52" t="str">
        <f t="shared" si="16"/>
        <v/>
      </c>
    </row>
    <row r="15" spans="1:56" ht="15.75" thickBot="1" x14ac:dyDescent="0.3">
      <c r="A15" t="str">
        <f t="shared" si="0"/>
        <v/>
      </c>
      <c r="B15">
        <f t="shared" si="1"/>
        <v>0</v>
      </c>
      <c r="C15" s="142">
        <v>10</v>
      </c>
      <c r="D15" s="142"/>
      <c r="E15" s="694"/>
      <c r="F15" s="616" t="str">
        <f>IF(Welcome!$D$14="Select # of Locations","",IF($C15&lt;=Welcome!$D$14,$C15,""))</f>
        <v/>
      </c>
      <c r="G15" s="959"/>
      <c r="H15" s="954"/>
      <c r="I15" s="961"/>
      <c r="J15" s="1003"/>
      <c r="K15" s="910" t="str">
        <f>IF($C$4&gt;=$C15,IF(SUMIF('Existing Customers'!$A:$A,'Customer Inputs'!$G15,'Existing Customers'!$Q:$Q)=0,"Enter Spend&gt;&gt;&gt;",ROUND(SUMIF('Existing Customers'!$A:$A,'Customer Inputs'!$G15,'Existing Customers'!$Q:$Q),0)),"")</f>
        <v/>
      </c>
      <c r="L15" s="1200" t="str">
        <f>IF($F15="","",'Multi-Customer'!$JA49)</f>
        <v/>
      </c>
      <c r="M15" s="1043" t="str">
        <f>IF($F15="","",IFERROR(VLOOKUP($G15,'Existing Customers'!$A:$AD,30,FALSE),"Enter Menu Type&gt;&gt;"))</f>
        <v/>
      </c>
      <c r="N15" s="748" t="str">
        <f>IFERROR(IF($C$4&gt;=$C15,VLOOKUP($G15,'Existing Customers'!$A:$J,10,FALSE),""),"Enter Zip Code &gt;")</f>
        <v/>
      </c>
      <c r="O15" s="1203" t="str">
        <f>IF($F15="","",'Multi-Customer'!$JA50)</f>
        <v/>
      </c>
      <c r="P15" s="766"/>
      <c r="Q15" s="634"/>
      <c r="R15" s="767"/>
      <c r="S15" s="768"/>
      <c r="T15" s="1062"/>
      <c r="U15" s="768"/>
      <c r="V15" s="618" t="s">
        <v>653</v>
      </c>
      <c r="W15" s="914" t="str">
        <f>IF($F15="","",'Variable Costs (Back)'!$A24)</f>
        <v/>
      </c>
      <c r="X15" s="624" t="str">
        <f t="shared" si="6"/>
        <v/>
      </c>
      <c r="Y15" s="52" t="str">
        <f t="shared" si="2"/>
        <v/>
      </c>
      <c r="Z15" s="52" t="str">
        <f t="shared" si="3"/>
        <v/>
      </c>
      <c r="AA15" s="52" t="str">
        <f t="shared" si="7"/>
        <v/>
      </c>
      <c r="AB15" s="135">
        <f t="shared" si="8"/>
        <v>0</v>
      </c>
      <c r="AC15">
        <f>IF(IF($G15="New Store",COUNTIF($G$6:$G$15,"New Store")-COUNTIF($G$15:$G16,"New Store"),0)=9,10,9)</f>
        <v>9</v>
      </c>
      <c r="AD15" t="str">
        <f t="shared" si="4"/>
        <v/>
      </c>
      <c r="AE15" s="2" t="str">
        <f t="shared" si="5"/>
        <v/>
      </c>
      <c r="AF15" s="135"/>
      <c r="AG15" s="135" t="e">
        <f>_xlfn.CONCAT($AG$1,"_",IF(NOT(ISBLANK($H$15)),$H$15,""),"_",IF(AND(NOT(ISBLANK($G$15)),$G$15&lt;&gt;"New"),IF($M$15&lt;&gt;"Enter Menu Type&gt;&gt;",IF($R$15=0,$M$15,$R$15),$R$15),""))</f>
        <v>#N/A</v>
      </c>
      <c r="AH15" s="135"/>
      <c r="AI15" s="135"/>
      <c r="AJ15" s="135"/>
      <c r="AK15" s="135" t="b">
        <f>NOT(ISERROR(IFERROR(VLOOKUP($G15&amp;"",'HOS_Modellable Customers'!$A:$A,1,0),VLOOKUP($G15,'HOS_Modellable Customers'!$A:$A,1,0))))</f>
        <v>0</v>
      </c>
      <c r="AL15" s="135" t="b">
        <f>NOT(ISERROR(IFERROR(VLOOKUP($G15&amp;"",'Modellable Customers'!$A:$A,1,0),VLOOKUP($G15,'Modellable Customers'!$A:$A,1,0))))</f>
        <v>0</v>
      </c>
      <c r="AM15" s="135" t="b">
        <f t="shared" si="17"/>
        <v>0</v>
      </c>
      <c r="AN15" s="135" t="str">
        <f t="shared" si="10"/>
        <v>CLEAR</v>
      </c>
      <c r="AO15" s="135"/>
      <c r="AP15" s="135" t="str">
        <f t="shared" si="11"/>
        <v/>
      </c>
      <c r="AQ15" s="913" t="str">
        <f>IF($F15="","",IF(OR(U15="",U15="Existing"),IFERROR(VLOOKUP($G15,'Existing Customers'!$A:$F,4,FALSE),""),""))</f>
        <v/>
      </c>
      <c r="AR15" s="135" t="str">
        <f>IF($F15="","",IFERROR(VLOOKUP($G15,'Existing Customers'!$A:$F,4,FALSE),""))</f>
        <v/>
      </c>
      <c r="AS15" s="52" t="str">
        <f>IF($F15="","",IFERROR(VLOOKUP($G15,'Existing Customer Variable Exp'!$B:$L,6,FALSE),0))</f>
        <v/>
      </c>
      <c r="AT15" s="52" t="str">
        <f>IF($F15="","",IF(AS15=0,Welcome!$G$26,0))</f>
        <v/>
      </c>
      <c r="AU15" s="52" t="str">
        <f t="shared" si="12"/>
        <v/>
      </c>
      <c r="AV15" s="52" t="str">
        <f>IF($F15="","",IFERROR(VLOOKUP($H15,'Prospect Slot Assumptions'!$A:$D,2,FALSE),0))</f>
        <v/>
      </c>
      <c r="AW15" s="52" t="str">
        <f>IF($F15="","",IFERROR(VLOOKUP($H15,'Prospect Slot Assumptions'!$A:$D,3,FALSE),0))</f>
        <v/>
      </c>
      <c r="AX15" s="52" t="str">
        <f>IF($F15="","",IFERROR(VLOOKUP($G15,'Existing Customer Variable Exp'!$B:$L,8,FALSE),0))</f>
        <v/>
      </c>
      <c r="AY15" s="52" t="str">
        <f>IF($F15="","",IFERROR(VLOOKUP($G15,'Existing Customer Variable Exp'!$B:$L,11,FALSE),0))</f>
        <v/>
      </c>
      <c r="AZ15" s="52" t="str">
        <f t="shared" si="13"/>
        <v/>
      </c>
      <c r="BA15" s="52" t="str">
        <f t="shared" si="14"/>
        <v/>
      </c>
      <c r="BB15" s="52" t="str">
        <f t="shared" si="15"/>
        <v/>
      </c>
      <c r="BC15" s="52" t="str">
        <f>IF($F15="","",IFERROR(VLOOKUP($H15,'Prospect Slot Assumptions'!$A:$D,4,FALSE),0))</f>
        <v/>
      </c>
      <c r="BD15" s="52" t="str">
        <f t="shared" si="16"/>
        <v/>
      </c>
    </row>
    <row r="16" spans="1:56" ht="15.75" thickBot="1" x14ac:dyDescent="0.3">
      <c r="E16" s="627"/>
      <c r="F16" s="751"/>
      <c r="G16" s="751"/>
      <c r="H16" s="751"/>
      <c r="I16" s="751"/>
      <c r="J16" s="751"/>
      <c r="K16" s="755"/>
      <c r="L16" s="751"/>
      <c r="M16" s="751"/>
      <c r="N16" s="751"/>
      <c r="O16" s="751"/>
      <c r="P16" s="751"/>
      <c r="Q16" s="751"/>
      <c r="R16" s="751"/>
      <c r="S16" s="751"/>
      <c r="T16" s="751"/>
      <c r="U16" s="751"/>
      <c r="V16" s="751"/>
      <c r="W16" s="628"/>
      <c r="X16" s="135">
        <f>COUNTIF($X$6:$X$15,"Enter Drops &gt;")</f>
        <v>0</v>
      </c>
      <c r="Y16" s="135"/>
      <c r="Z16" s="135"/>
      <c r="AA16" s="683">
        <f>COUNTIF($AA$6:$AA$15,"Enter EB % &gt;")</f>
        <v>0</v>
      </c>
      <c r="AB16" s="135">
        <f>SUM(AB6:AB15)</f>
        <v>0</v>
      </c>
      <c r="AC16" s="135"/>
      <c r="AD16" s="135"/>
      <c r="AE16" s="135"/>
      <c r="AF16" s="135"/>
      <c r="AG16" s="135"/>
      <c r="AH16" s="135"/>
      <c r="AI16" s="135"/>
      <c r="AJ16" s="135"/>
      <c r="AK16" s="135"/>
      <c r="AL16" s="135"/>
      <c r="AM16" s="135"/>
      <c r="AN16" s="135"/>
      <c r="AO16" s="135"/>
      <c r="AP16" s="135"/>
      <c r="AQ16" s="135"/>
      <c r="AR16" s="135"/>
      <c r="AS16" s="135"/>
      <c r="AT16" s="135"/>
      <c r="AU16" s="135"/>
      <c r="AV16" s="135"/>
      <c r="AW16" s="135"/>
      <c r="AX16" s="135"/>
      <c r="AY16" s="135"/>
      <c r="AZ16" s="135"/>
      <c r="BA16" s="52">
        <f>SUM(BA6:BA15)</f>
        <v>0</v>
      </c>
      <c r="BB16" s="751"/>
      <c r="BC16" s="52">
        <f>SUM(BC6:BC15)</f>
        <v>0</v>
      </c>
      <c r="BD16" s="52">
        <f>SUM(BD6:BD15)</f>
        <v>0</v>
      </c>
    </row>
    <row r="17" spans="5:56" ht="14.45" customHeight="1" x14ac:dyDescent="0.25">
      <c r="E17" s="627"/>
      <c r="F17" s="751"/>
      <c r="G17" s="996" t="s">
        <v>1156</v>
      </c>
      <c r="H17" s="996" t="s">
        <v>1156</v>
      </c>
      <c r="I17" s="1320">
        <f>SUM($I$6:$I$15)</f>
        <v>0</v>
      </c>
      <c r="J17" s="1323" t="s">
        <v>1396</v>
      </c>
      <c r="K17" s="1325">
        <f>SUM($K$6:$K$15)</f>
        <v>0</v>
      </c>
      <c r="L17" s="1323" t="s">
        <v>1397</v>
      </c>
      <c r="M17" s="751"/>
      <c r="N17" s="751"/>
      <c r="O17" s="751"/>
      <c r="P17" s="1320">
        <f>SUMIF($F$6:$F$15,"&gt;0",$P$6:$P$15)</f>
        <v>0</v>
      </c>
      <c r="Q17" s="1327" t="s">
        <v>1398</v>
      </c>
      <c r="R17" s="997"/>
      <c r="S17" s="751"/>
      <c r="T17" s="751"/>
      <c r="U17" s="751"/>
      <c r="V17" s="751"/>
      <c r="W17" s="628"/>
      <c r="X17" s="135"/>
      <c r="Y17" s="135"/>
      <c r="Z17" s="135"/>
      <c r="AA17" s="135"/>
      <c r="AB17" s="135" t="s">
        <v>1056</v>
      </c>
      <c r="AC17" s="135"/>
      <c r="AD17" s="135"/>
      <c r="AE17" s="135"/>
      <c r="AF17" s="135"/>
      <c r="AG17" s="135"/>
      <c r="AH17" s="135"/>
      <c r="AI17" s="135"/>
      <c r="AJ17" s="135"/>
      <c r="AK17" s="135"/>
      <c r="AL17" s="135"/>
      <c r="AM17" s="135"/>
      <c r="AN17" s="135"/>
      <c r="AO17" s="135"/>
      <c r="AP17" s="135"/>
      <c r="AQ17" s="135"/>
      <c r="AR17" s="135"/>
      <c r="AS17" s="135"/>
      <c r="AT17" s="135"/>
      <c r="AU17" s="135"/>
      <c r="AV17" s="135"/>
      <c r="AW17" s="135"/>
      <c r="AX17" s="135"/>
      <c r="AY17" s="135"/>
      <c r="AZ17" s="135"/>
      <c r="BA17" s="135"/>
      <c r="BB17" s="135"/>
      <c r="BC17" s="135"/>
      <c r="BD17" s="135"/>
    </row>
    <row r="18" spans="5:56" ht="20.25" customHeight="1" thickBot="1" x14ac:dyDescent="0.3">
      <c r="E18" s="627"/>
      <c r="F18" s="751"/>
      <c r="G18" s="996"/>
      <c r="H18" s="996"/>
      <c r="I18" s="1321"/>
      <c r="J18" s="1324"/>
      <c r="K18" s="1326"/>
      <c r="L18" s="1324"/>
      <c r="M18" s="751"/>
      <c r="N18" s="751"/>
      <c r="O18" s="751"/>
      <c r="P18" s="1321"/>
      <c r="Q18" s="1328"/>
      <c r="R18" s="997"/>
      <c r="S18" s="751"/>
      <c r="T18" s="751"/>
      <c r="U18" s="751"/>
      <c r="V18" s="751"/>
      <c r="W18" s="628"/>
      <c r="X18" s="135"/>
      <c r="Y18" s="135"/>
      <c r="Z18" s="135"/>
      <c r="AA18" s="135"/>
      <c r="AB18" s="135"/>
      <c r="AC18" s="135"/>
      <c r="AD18" s="135"/>
      <c r="AE18" s="135"/>
      <c r="AF18" s="135"/>
      <c r="AG18" s="135"/>
      <c r="AH18" s="135"/>
      <c r="AI18" s="135"/>
      <c r="AJ18" s="135"/>
      <c r="AK18" s="135"/>
      <c r="AL18" s="135"/>
      <c r="AM18" s="135"/>
      <c r="AN18" s="135"/>
      <c r="AO18" s="135"/>
      <c r="AP18" s="135"/>
      <c r="AQ18" s="135"/>
      <c r="AR18" s="135"/>
      <c r="AS18" s="135"/>
      <c r="AT18" s="135"/>
      <c r="AU18" s="135"/>
      <c r="AV18" s="135"/>
      <c r="AW18" s="135"/>
      <c r="AX18" s="135"/>
      <c r="AY18" s="135"/>
      <c r="AZ18" s="135"/>
      <c r="BA18" s="135"/>
      <c r="BB18" s="135"/>
      <c r="BC18" s="135"/>
      <c r="BD18" s="135"/>
    </row>
    <row r="19" spans="5:56" ht="19.149999999999999" customHeight="1" thickBot="1" x14ac:dyDescent="0.3">
      <c r="E19" s="629"/>
      <c r="F19" s="630"/>
      <c r="G19" s="630"/>
      <c r="H19" s="630"/>
      <c r="I19" s="630"/>
      <c r="J19" s="630"/>
      <c r="K19" s="630"/>
      <c r="L19" s="630"/>
      <c r="M19" s="630"/>
      <c r="N19" s="665"/>
      <c r="O19" s="266"/>
      <c r="P19" s="665"/>
      <c r="Q19" s="665"/>
      <c r="R19" s="630"/>
      <c r="S19" s="630"/>
      <c r="T19" s="630"/>
      <c r="U19" s="630"/>
      <c r="V19" s="630"/>
      <c r="W19" s="631"/>
      <c r="X19" s="135"/>
      <c r="Y19" s="135"/>
      <c r="Z19" s="135"/>
      <c r="AA19" s="135"/>
      <c r="AB19" s="135"/>
      <c r="AC19" s="135"/>
      <c r="AD19" s="135"/>
      <c r="AE19" s="135"/>
      <c r="AF19" s="135"/>
      <c r="AG19" s="135"/>
      <c r="AH19" s="135"/>
      <c r="AI19" s="135"/>
      <c r="AJ19" s="135"/>
      <c r="AK19" s="135"/>
      <c r="AL19" s="135"/>
      <c r="AM19" s="135"/>
      <c r="AN19" s="135"/>
      <c r="AO19" s="135"/>
      <c r="AP19" s="135"/>
      <c r="AQ19" s="135"/>
      <c r="AR19" s="135"/>
      <c r="AS19" s="135"/>
      <c r="AT19" s="135"/>
      <c r="AU19" s="135"/>
      <c r="AV19" s="135"/>
      <c r="AW19" s="135"/>
      <c r="AX19" s="135"/>
      <c r="AY19" s="135"/>
      <c r="AZ19" s="135"/>
      <c r="BA19" s="135"/>
      <c r="BB19" s="135"/>
      <c r="BC19" s="135"/>
      <c r="BD19" s="135"/>
    </row>
    <row r="20" spans="5:56" x14ac:dyDescent="0.25">
      <c r="E20" s="135"/>
      <c r="F20" s="135"/>
      <c r="G20" s="135"/>
      <c r="H20" s="135"/>
      <c r="I20" s="135"/>
      <c r="J20" s="135"/>
      <c r="K20" s="135"/>
      <c r="L20" s="135"/>
      <c r="M20" s="135"/>
      <c r="N20" s="135"/>
      <c r="O20" s="135"/>
      <c r="P20" s="135"/>
      <c r="Q20" s="135"/>
      <c r="R20" s="135"/>
      <c r="S20" s="135"/>
      <c r="T20" s="135"/>
      <c r="U20" s="135"/>
      <c r="V20" s="135"/>
      <c r="W20" s="135"/>
      <c r="X20" s="135"/>
      <c r="Y20" s="135"/>
      <c r="Z20" s="135"/>
      <c r="AA20" s="135"/>
      <c r="AB20" s="135"/>
      <c r="AC20" s="135"/>
      <c r="AD20" s="135"/>
      <c r="AE20" s="135"/>
      <c r="AF20" s="135"/>
      <c r="AG20" s="135"/>
      <c r="AH20" s="135"/>
      <c r="AI20" s="135"/>
      <c r="AJ20" s="135"/>
      <c r="AK20" s="135"/>
      <c r="AL20" s="135"/>
      <c r="AM20" s="135"/>
      <c r="AN20" s="135"/>
      <c r="AO20" s="135"/>
      <c r="AP20" s="135"/>
      <c r="AQ20" s="135"/>
      <c r="AR20" s="135"/>
      <c r="AS20" s="135"/>
      <c r="AT20" s="135"/>
      <c r="AU20" s="135"/>
      <c r="AV20" s="135"/>
      <c r="AW20" s="135"/>
      <c r="AX20" s="135"/>
      <c r="AY20" s="135"/>
      <c r="AZ20" s="135"/>
      <c r="BA20" s="135"/>
      <c r="BB20" s="135"/>
      <c r="BC20" s="135"/>
      <c r="BD20" s="135"/>
    </row>
    <row r="21" spans="5:56" ht="15" customHeight="1" x14ac:dyDescent="0.25">
      <c r="E21" s="135"/>
      <c r="F21" s="135"/>
      <c r="G21" s="135"/>
      <c r="H21" s="135"/>
      <c r="I21" s="135"/>
      <c r="J21" s="135"/>
      <c r="K21" s="135"/>
      <c r="L21" s="135"/>
      <c r="M21" s="135"/>
      <c r="N21" s="135"/>
      <c r="O21" s="135"/>
      <c r="P21" s="135"/>
      <c r="Q21" s="135"/>
      <c r="R21" s="135"/>
      <c r="S21" s="135"/>
      <c r="T21" s="135"/>
      <c r="U21" s="135"/>
      <c r="V21" s="135"/>
      <c r="W21" s="135"/>
      <c r="X21" s="135"/>
      <c r="Y21" s="135"/>
      <c r="Z21" s="135"/>
      <c r="AA21" s="135"/>
      <c r="AB21" s="135"/>
      <c r="AC21" s="135"/>
      <c r="AD21" s="135"/>
      <c r="AE21" s="135"/>
      <c r="AF21" s="135"/>
      <c r="AG21" s="135"/>
      <c r="AH21" s="135"/>
      <c r="AI21" s="135"/>
      <c r="AJ21" s="135"/>
      <c r="AK21" s="135"/>
      <c r="AL21" s="135"/>
      <c r="AM21" s="135"/>
      <c r="AN21" s="135"/>
      <c r="AO21" s="135"/>
      <c r="AP21" s="135"/>
      <c r="AQ21" s="135"/>
      <c r="AR21" s="135"/>
      <c r="AS21" s="135"/>
      <c r="AT21" s="135"/>
      <c r="AU21" s="135"/>
      <c r="AV21" s="135"/>
      <c r="AW21" s="135"/>
      <c r="AX21" s="135"/>
      <c r="AY21" s="135"/>
      <c r="AZ21" s="135"/>
      <c r="BA21" s="135"/>
      <c r="BB21" s="135"/>
      <c r="BC21" s="135"/>
      <c r="BD21" s="135"/>
    </row>
    <row r="22" spans="5:56" x14ac:dyDescent="0.25">
      <c r="E22" s="135"/>
      <c r="F22" s="135"/>
      <c r="G22" s="135"/>
      <c r="H22" s="135"/>
      <c r="I22" s="135"/>
      <c r="J22" s="135"/>
      <c r="K22" s="135"/>
      <c r="L22" s="135"/>
      <c r="M22" s="135"/>
      <c r="N22" s="135"/>
      <c r="O22" s="135"/>
      <c r="P22" s="135"/>
      <c r="Q22" s="135"/>
      <c r="R22" s="135"/>
      <c r="S22" s="135"/>
      <c r="T22" s="135"/>
      <c r="U22" s="135"/>
      <c r="V22" s="135"/>
      <c r="W22" s="135"/>
      <c r="X22" s="135"/>
      <c r="Y22" s="135"/>
      <c r="Z22" s="135"/>
      <c r="AA22" s="135"/>
      <c r="AB22" s="135"/>
      <c r="AC22" s="135"/>
      <c r="AD22" s="135"/>
      <c r="AE22" s="135"/>
      <c r="AF22" s="135"/>
      <c r="AG22" s="135"/>
      <c r="AH22" s="135"/>
      <c r="AI22" s="135"/>
      <c r="AJ22" s="135"/>
      <c r="AK22" s="135"/>
      <c r="AL22" s="135"/>
      <c r="AM22" s="135"/>
      <c r="AN22" s="135"/>
      <c r="AO22" s="135"/>
      <c r="AP22" s="135"/>
      <c r="AQ22" s="135"/>
      <c r="AR22" s="135"/>
      <c r="AS22" s="135"/>
      <c r="AT22" s="135"/>
      <c r="AU22" s="135"/>
      <c r="AV22" s="135"/>
      <c r="AW22" s="135"/>
      <c r="AX22" s="135"/>
      <c r="AY22" s="135"/>
      <c r="AZ22" s="135"/>
      <c r="BA22" s="135"/>
      <c r="BB22" s="135"/>
      <c r="BC22" s="135"/>
      <c r="BD22" s="135"/>
    </row>
    <row r="23" spans="5:56" x14ac:dyDescent="0.25">
      <c r="E23" s="135"/>
      <c r="F23" s="135"/>
      <c r="G23" s="135"/>
      <c r="H23" s="135"/>
      <c r="I23" s="135"/>
      <c r="J23" s="135"/>
      <c r="K23" s="135"/>
      <c r="L23" s="135"/>
      <c r="M23" s="135"/>
      <c r="N23" s="135"/>
      <c r="O23" s="135"/>
      <c r="P23" s="135"/>
      <c r="Q23" s="135"/>
      <c r="R23" s="135"/>
      <c r="S23" s="135"/>
      <c r="T23" s="135"/>
      <c r="U23" s="135"/>
      <c r="V23" s="135"/>
      <c r="W23" s="135"/>
      <c r="X23" s="135"/>
      <c r="Y23" s="135"/>
      <c r="Z23" s="135"/>
      <c r="AA23" s="135"/>
      <c r="AB23" s="135"/>
      <c r="AC23" s="135"/>
      <c r="AD23" s="135"/>
      <c r="AE23" s="135"/>
      <c r="AF23" s="135"/>
      <c r="AG23" s="135"/>
      <c r="AH23" s="135"/>
      <c r="AI23" s="135"/>
      <c r="AJ23" s="135"/>
      <c r="AK23" s="135"/>
      <c r="AL23" s="135"/>
      <c r="AM23" s="135"/>
      <c r="AN23" s="135"/>
      <c r="AO23" s="135"/>
      <c r="AP23" s="135"/>
      <c r="AQ23" s="135"/>
      <c r="AR23" s="135"/>
      <c r="AS23" s="135"/>
      <c r="AT23" s="135"/>
      <c r="AU23" s="135"/>
      <c r="AV23" s="135"/>
      <c r="AW23" s="135"/>
      <c r="AX23" s="135"/>
      <c r="AY23" s="135"/>
      <c r="AZ23" s="135"/>
      <c r="BA23" s="135"/>
      <c r="BB23" s="135"/>
      <c r="BC23" s="135"/>
      <c r="BD23" s="135"/>
    </row>
    <row r="24" spans="5:56" x14ac:dyDescent="0.25">
      <c r="E24" s="135"/>
      <c r="F24" s="135"/>
      <c r="G24" s="135"/>
      <c r="H24" s="135"/>
      <c r="I24" s="135"/>
      <c r="J24" s="135"/>
      <c r="K24" s="135"/>
      <c r="L24" s="135"/>
      <c r="M24" s="135"/>
      <c r="N24" s="135"/>
      <c r="O24" s="135"/>
      <c r="P24" s="135"/>
      <c r="Q24" s="135"/>
      <c r="R24" s="135"/>
      <c r="S24" s="135"/>
      <c r="T24" s="135"/>
      <c r="U24" s="135"/>
      <c r="V24" s="135"/>
      <c r="W24" s="135"/>
      <c r="X24" s="135"/>
      <c r="Y24" s="135"/>
      <c r="Z24" s="135"/>
      <c r="AA24" s="135"/>
      <c r="AB24" s="135"/>
      <c r="AC24" s="135"/>
      <c r="AD24" s="135"/>
      <c r="AE24" s="135"/>
      <c r="AF24" s="135"/>
      <c r="AG24" s="135"/>
      <c r="AH24" s="135"/>
      <c r="AI24" s="135"/>
      <c r="AJ24" s="135"/>
      <c r="AK24" s="135"/>
      <c r="AL24" s="135"/>
      <c r="AM24" s="135"/>
      <c r="AN24" s="135"/>
      <c r="AO24" s="135"/>
      <c r="AP24" s="135"/>
      <c r="AQ24" s="135"/>
      <c r="AR24" s="135"/>
      <c r="AS24" s="135"/>
      <c r="AT24" s="135"/>
      <c r="AU24" s="135"/>
      <c r="AV24" s="135"/>
      <c r="AW24" s="135"/>
      <c r="AX24" s="135"/>
      <c r="AY24" s="135"/>
      <c r="AZ24" s="135"/>
      <c r="BA24" s="135"/>
      <c r="BB24" s="135"/>
      <c r="BC24" s="135"/>
      <c r="BD24" s="135"/>
    </row>
    <row r="25" spans="5:56" x14ac:dyDescent="0.25">
      <c r="E25" s="135"/>
      <c r="F25" s="135"/>
      <c r="G25" s="135"/>
      <c r="H25" s="135"/>
      <c r="I25" s="135"/>
      <c r="J25" s="135"/>
      <c r="K25" s="135"/>
      <c r="L25" s="135"/>
      <c r="M25" s="135"/>
      <c r="N25" s="135"/>
      <c r="O25" s="135"/>
      <c r="P25" s="135"/>
      <c r="Q25" s="135"/>
      <c r="R25" s="135"/>
      <c r="S25" s="135"/>
      <c r="T25" s="135"/>
      <c r="U25" s="135"/>
      <c r="V25" s="135"/>
      <c r="W25" s="135"/>
      <c r="X25" s="135"/>
      <c r="Y25" s="135"/>
      <c r="Z25" s="135"/>
      <c r="AA25" s="135"/>
      <c r="AB25" s="135"/>
      <c r="AC25" s="135"/>
      <c r="AD25" s="135"/>
      <c r="AE25" s="135"/>
      <c r="AF25" s="135"/>
      <c r="AG25" s="135"/>
      <c r="AH25" s="135"/>
      <c r="AI25" s="135"/>
      <c r="AJ25" s="135"/>
      <c r="AK25" s="135"/>
      <c r="AL25" s="135"/>
      <c r="AM25" s="135"/>
      <c r="AN25" s="135"/>
      <c r="AO25" s="135"/>
      <c r="AP25" s="135"/>
      <c r="AQ25" s="135"/>
      <c r="AR25" s="135"/>
      <c r="AS25" s="135"/>
      <c r="AT25" s="135"/>
      <c r="AU25" s="135"/>
      <c r="AV25" s="135"/>
      <c r="AW25" s="135"/>
      <c r="AX25" s="135"/>
      <c r="AY25" s="135"/>
      <c r="AZ25" s="135"/>
      <c r="BA25" s="135"/>
      <c r="BB25" s="135"/>
      <c r="BC25" s="135"/>
      <c r="BD25" s="135"/>
    </row>
    <row r="26" spans="5:56" x14ac:dyDescent="0.25">
      <c r="E26" s="135"/>
      <c r="F26" s="135"/>
      <c r="G26" s="135"/>
      <c r="H26" s="135"/>
      <c r="I26" s="135"/>
      <c r="J26" s="135"/>
      <c r="K26" s="135"/>
      <c r="L26" s="135"/>
      <c r="M26" s="135"/>
      <c r="N26" s="135"/>
      <c r="O26" s="135"/>
      <c r="P26" s="135"/>
      <c r="Q26" s="135"/>
      <c r="R26" s="135"/>
      <c r="S26" s="135"/>
      <c r="T26" s="135"/>
      <c r="U26" s="135"/>
      <c r="V26" s="135"/>
      <c r="W26" s="135"/>
      <c r="X26" s="135"/>
      <c r="Y26" s="135"/>
      <c r="Z26" s="135"/>
      <c r="AA26" s="135"/>
      <c r="AB26" s="135"/>
      <c r="AC26" s="135"/>
      <c r="AD26" s="135"/>
      <c r="AE26" s="135"/>
      <c r="AF26" s="135"/>
      <c r="AG26" s="135"/>
      <c r="AH26" s="135"/>
      <c r="AI26" s="135"/>
      <c r="AJ26" s="135"/>
      <c r="AK26" s="135"/>
      <c r="AL26" s="135"/>
      <c r="AM26" s="135"/>
      <c r="AN26" s="135"/>
      <c r="AO26" s="135"/>
      <c r="AP26" s="135"/>
      <c r="AQ26" s="135"/>
      <c r="AR26" s="135"/>
      <c r="AS26" s="135"/>
      <c r="AT26" s="135"/>
      <c r="AU26" s="135"/>
      <c r="AV26" s="135"/>
      <c r="AW26" s="135"/>
      <c r="AX26" s="135"/>
      <c r="AY26" s="135"/>
      <c r="AZ26" s="135"/>
      <c r="BA26" s="135"/>
      <c r="BB26" s="135"/>
      <c r="BC26" s="135"/>
      <c r="BD26" s="135"/>
    </row>
    <row r="27" spans="5:56" x14ac:dyDescent="0.25">
      <c r="E27" s="135"/>
      <c r="F27" s="135"/>
      <c r="G27" s="135"/>
      <c r="H27" s="135"/>
      <c r="I27" s="135"/>
      <c r="J27" s="135"/>
      <c r="K27" s="135"/>
      <c r="L27" s="135"/>
      <c r="M27" s="135"/>
      <c r="N27" s="135"/>
      <c r="O27" s="135"/>
      <c r="P27" s="135"/>
      <c r="Q27" s="135"/>
      <c r="R27" s="135"/>
      <c r="S27" s="135"/>
      <c r="T27" s="135"/>
      <c r="U27" s="135"/>
      <c r="V27" s="135"/>
      <c r="W27" s="135"/>
      <c r="X27" s="135"/>
      <c r="Y27" s="135"/>
      <c r="Z27" s="135"/>
      <c r="AA27" s="135"/>
      <c r="AB27" s="135"/>
      <c r="AC27" s="135"/>
      <c r="AD27" s="135"/>
      <c r="AE27" s="135"/>
      <c r="AF27" s="135"/>
      <c r="AG27" s="135"/>
      <c r="AH27" s="135"/>
      <c r="AI27" s="135"/>
      <c r="AJ27" s="135"/>
      <c r="AK27" s="135"/>
      <c r="AL27" s="135"/>
      <c r="AM27" s="135"/>
      <c r="AN27" s="135"/>
      <c r="AO27" s="135"/>
      <c r="AP27" s="135"/>
      <c r="AQ27" s="135"/>
      <c r="AR27" s="135"/>
      <c r="AS27" s="135"/>
      <c r="AT27" s="135"/>
      <c r="AU27" s="135"/>
      <c r="AV27" s="135"/>
      <c r="AW27" s="135"/>
      <c r="AX27" s="135"/>
      <c r="AY27" s="135"/>
      <c r="AZ27" s="135"/>
      <c r="BA27" s="135"/>
      <c r="BB27" s="135"/>
      <c r="BC27" s="135"/>
      <c r="BD27" s="135"/>
    </row>
    <row r="28" spans="5:56" x14ac:dyDescent="0.25">
      <c r="E28" s="135"/>
      <c r="F28" s="135"/>
      <c r="G28" s="135"/>
      <c r="H28" s="135"/>
      <c r="I28" s="135"/>
      <c r="J28" s="135"/>
      <c r="K28" s="135"/>
      <c r="L28" s="135"/>
      <c r="M28" s="135"/>
      <c r="N28" s="135"/>
      <c r="O28" s="135"/>
      <c r="P28" s="135"/>
      <c r="Q28" s="135"/>
      <c r="R28" s="135"/>
      <c r="S28" s="135"/>
      <c r="T28" s="135"/>
      <c r="U28" s="135"/>
      <c r="V28" s="135"/>
      <c r="W28" s="135"/>
      <c r="X28" s="135"/>
      <c r="Y28" s="135"/>
      <c r="Z28" s="135"/>
      <c r="AA28" s="135"/>
      <c r="AB28" s="135"/>
      <c r="AC28" s="135"/>
      <c r="AD28" s="135"/>
      <c r="AE28" s="135"/>
      <c r="AF28" s="135"/>
      <c r="AG28" s="135"/>
      <c r="AH28" s="135"/>
      <c r="AI28" s="135"/>
      <c r="AJ28" s="135"/>
      <c r="AK28" s="135"/>
      <c r="AL28" s="135"/>
      <c r="AM28" s="135"/>
      <c r="AN28" s="135"/>
      <c r="AO28" s="135"/>
      <c r="AP28" s="135"/>
      <c r="AQ28" s="135"/>
      <c r="AR28" s="135"/>
      <c r="AS28" s="135"/>
      <c r="AT28" s="135"/>
      <c r="AU28" s="135"/>
      <c r="AV28" s="135"/>
      <c r="AW28" s="135"/>
      <c r="AX28" s="135"/>
      <c r="AY28" s="135"/>
      <c r="AZ28" s="135"/>
      <c r="BA28" s="135"/>
      <c r="BB28" s="135"/>
      <c r="BC28" s="135"/>
      <c r="BD28" s="135"/>
    </row>
    <row r="29" spans="5:56" x14ac:dyDescent="0.25">
      <c r="E29" s="135"/>
      <c r="F29" s="135"/>
      <c r="G29" s="135"/>
      <c r="H29" s="135"/>
      <c r="I29" s="135"/>
      <c r="J29" s="135"/>
      <c r="K29" s="135"/>
      <c r="L29" s="135"/>
      <c r="M29" s="135"/>
      <c r="N29" s="135"/>
      <c r="O29" s="135"/>
      <c r="P29" s="135"/>
      <c r="Q29" s="135"/>
      <c r="R29" s="135"/>
      <c r="S29" s="135"/>
      <c r="T29" s="135"/>
      <c r="U29" s="135"/>
      <c r="V29" s="135"/>
      <c r="W29" s="135"/>
      <c r="X29" s="135"/>
      <c r="Y29" s="135"/>
      <c r="Z29" s="135"/>
      <c r="AA29" s="135"/>
      <c r="AB29" s="135"/>
      <c r="AC29" s="135"/>
      <c r="AD29" s="135"/>
      <c r="AE29" s="135"/>
      <c r="AF29" s="135"/>
      <c r="AG29" s="135"/>
      <c r="AH29" s="135"/>
      <c r="AI29" s="135"/>
      <c r="AJ29" s="135"/>
      <c r="AK29" s="135"/>
      <c r="AL29" s="135"/>
      <c r="AM29" s="135"/>
      <c r="AN29" s="135"/>
      <c r="AO29" s="135"/>
      <c r="AP29" s="135"/>
      <c r="AQ29" s="135"/>
      <c r="AR29" s="135"/>
      <c r="AS29" s="135"/>
      <c r="AT29" s="135"/>
      <c r="AU29" s="135"/>
      <c r="AV29" s="135"/>
      <c r="AW29" s="135"/>
      <c r="AX29" s="135"/>
      <c r="AY29" s="135"/>
      <c r="AZ29" s="135"/>
      <c r="BA29" s="135"/>
      <c r="BB29" s="135"/>
      <c r="BC29" s="135"/>
      <c r="BD29" s="135"/>
    </row>
    <row r="30" spans="5:56" x14ac:dyDescent="0.25">
      <c r="E30" s="135"/>
      <c r="F30" s="135"/>
      <c r="G30" s="135"/>
      <c r="H30" s="135"/>
      <c r="I30" s="135"/>
      <c r="J30" s="135"/>
      <c r="K30" s="135"/>
      <c r="L30" s="135"/>
      <c r="M30" s="135"/>
      <c r="N30" s="135"/>
      <c r="O30" s="135"/>
      <c r="P30" s="135"/>
      <c r="Q30" s="135"/>
      <c r="R30" s="135"/>
      <c r="S30" s="135"/>
      <c r="T30" s="135"/>
      <c r="U30" s="135"/>
      <c r="V30" s="135"/>
      <c r="W30" s="135"/>
      <c r="X30" s="135"/>
      <c r="Y30" s="135"/>
      <c r="Z30" s="135"/>
      <c r="AA30" s="135"/>
      <c r="AB30" s="135"/>
      <c r="AC30" s="135"/>
      <c r="AD30" s="135"/>
      <c r="AE30" s="135"/>
      <c r="AF30" s="135"/>
      <c r="AG30" s="135"/>
      <c r="AH30" s="135"/>
      <c r="AI30" s="135"/>
      <c r="AJ30" s="135"/>
      <c r="AK30" s="135"/>
      <c r="AL30" s="135"/>
      <c r="AM30" s="135"/>
      <c r="AN30" s="135"/>
      <c r="AO30" s="135"/>
      <c r="AP30" s="135"/>
      <c r="AQ30" s="135"/>
      <c r="AR30" s="135"/>
      <c r="AS30" s="135"/>
      <c r="AT30" s="135"/>
      <c r="AU30" s="135"/>
      <c r="AV30" s="135"/>
      <c r="AW30" s="135"/>
      <c r="AX30" s="135"/>
      <c r="AY30" s="135"/>
      <c r="AZ30" s="135"/>
      <c r="BA30" s="135"/>
      <c r="BB30" s="135"/>
      <c r="BC30" s="135"/>
      <c r="BD30" s="135"/>
    </row>
    <row r="31" spans="5:56" x14ac:dyDescent="0.25">
      <c r="E31" s="135"/>
      <c r="F31" s="135"/>
      <c r="G31" s="135"/>
      <c r="H31" s="135"/>
      <c r="I31" s="135"/>
      <c r="J31" s="135"/>
      <c r="K31" s="135"/>
      <c r="L31" s="135"/>
      <c r="M31" s="135"/>
      <c r="N31" s="135"/>
      <c r="O31" s="135"/>
      <c r="P31" s="135"/>
      <c r="Q31" s="135"/>
      <c r="R31" s="135"/>
      <c r="S31" s="135"/>
      <c r="T31" s="135"/>
      <c r="U31" s="135"/>
      <c r="V31" s="135"/>
      <c r="W31" s="135"/>
      <c r="X31" s="135"/>
      <c r="Y31" s="135"/>
      <c r="Z31" s="135"/>
      <c r="AA31" s="135"/>
      <c r="AB31" s="135"/>
      <c r="AC31" s="135"/>
      <c r="AD31" s="135"/>
      <c r="AE31" s="135"/>
      <c r="AF31" s="135"/>
      <c r="AG31" s="135"/>
      <c r="AH31" s="135"/>
      <c r="AI31" s="135"/>
      <c r="AJ31" s="135"/>
      <c r="AK31" s="135"/>
      <c r="AL31" s="135"/>
      <c r="AM31" s="135"/>
      <c r="AN31" s="135"/>
      <c r="AO31" s="135"/>
      <c r="AP31" s="135"/>
      <c r="AQ31" s="135"/>
      <c r="AR31" s="135"/>
      <c r="AS31" s="135"/>
      <c r="AT31" s="135"/>
      <c r="AU31" s="135"/>
      <c r="AV31" s="135"/>
      <c r="AW31" s="135"/>
      <c r="AX31" s="135"/>
      <c r="AY31" s="135"/>
      <c r="AZ31" s="135"/>
      <c r="BA31" s="135"/>
      <c r="BB31" s="135"/>
      <c r="BC31" s="135"/>
      <c r="BD31" s="135"/>
    </row>
    <row r="32" spans="5:56" x14ac:dyDescent="0.25">
      <c r="E32" s="135"/>
      <c r="F32" s="135"/>
      <c r="G32" s="135"/>
      <c r="H32" s="135"/>
      <c r="I32" s="135"/>
      <c r="J32" s="135"/>
      <c r="K32" s="135"/>
      <c r="L32" s="135"/>
      <c r="M32" s="135"/>
      <c r="N32" s="135"/>
      <c r="O32" s="135"/>
      <c r="P32" s="135"/>
      <c r="Q32" s="135"/>
      <c r="R32" s="135"/>
      <c r="S32" s="135"/>
      <c r="T32" s="135"/>
      <c r="U32" s="135"/>
      <c r="V32" s="135"/>
      <c r="W32" s="135"/>
      <c r="X32" s="135"/>
      <c r="Y32" s="135"/>
      <c r="Z32" s="135"/>
      <c r="AA32" s="135"/>
      <c r="AB32" s="135"/>
      <c r="AC32" s="135"/>
      <c r="AD32" s="135"/>
      <c r="AE32" s="135"/>
      <c r="AF32" s="135"/>
      <c r="AG32" s="135"/>
      <c r="AH32" s="135"/>
      <c r="AI32" s="135"/>
      <c r="AJ32" s="135"/>
      <c r="AK32" s="135"/>
      <c r="AL32" s="135"/>
      <c r="AM32" s="135"/>
      <c r="AN32" s="135"/>
      <c r="AO32" s="135"/>
      <c r="AP32" s="135"/>
      <c r="AQ32" s="135"/>
      <c r="AR32" s="135"/>
      <c r="AS32" s="135"/>
      <c r="AT32" s="135"/>
      <c r="AU32" s="135"/>
      <c r="AV32" s="135"/>
      <c r="AW32" s="135"/>
      <c r="AX32" s="135"/>
      <c r="AY32" s="135"/>
      <c r="AZ32" s="135"/>
      <c r="BA32" s="135"/>
      <c r="BB32" s="135"/>
      <c r="BC32" s="135"/>
      <c r="BD32" s="135"/>
    </row>
    <row r="33" spans="5:56" x14ac:dyDescent="0.25">
      <c r="E33" s="135"/>
      <c r="F33" s="135"/>
      <c r="G33" s="135"/>
      <c r="H33" s="135"/>
      <c r="I33" s="135"/>
      <c r="J33" s="135"/>
      <c r="K33" s="135"/>
      <c r="L33" s="135"/>
      <c r="M33" s="135"/>
      <c r="N33" s="135"/>
      <c r="O33" s="135"/>
      <c r="P33" s="135"/>
      <c r="Q33" s="135"/>
      <c r="R33" s="135"/>
      <c r="S33" s="135"/>
      <c r="T33" s="135"/>
      <c r="U33" s="135"/>
      <c r="V33" s="135"/>
      <c r="W33" s="135"/>
      <c r="X33" s="135"/>
      <c r="Y33" s="135"/>
      <c r="Z33" s="135"/>
      <c r="AA33" s="135"/>
      <c r="AB33" s="135"/>
      <c r="AC33" s="135"/>
      <c r="AD33" s="135"/>
      <c r="AE33" s="135"/>
      <c r="AF33" s="135"/>
      <c r="AG33" s="135"/>
      <c r="AH33" s="135"/>
      <c r="AI33" s="135"/>
      <c r="AJ33" s="135"/>
      <c r="AK33" s="135"/>
      <c r="AL33" s="135"/>
      <c r="AM33" s="135"/>
      <c r="AN33" s="135"/>
      <c r="AO33" s="135"/>
      <c r="AP33" s="135"/>
      <c r="AQ33" s="135"/>
      <c r="AR33" s="135"/>
      <c r="AS33" s="135"/>
      <c r="AT33" s="135"/>
      <c r="AU33" s="135"/>
      <c r="AV33" s="135"/>
      <c r="AW33" s="135"/>
      <c r="AX33" s="135"/>
      <c r="AY33" s="135"/>
      <c r="AZ33" s="135"/>
      <c r="BA33" s="135"/>
      <c r="BB33" s="135"/>
      <c r="BC33" s="135"/>
      <c r="BD33" s="135"/>
    </row>
    <row r="34" spans="5:56" x14ac:dyDescent="0.25">
      <c r="E34" s="135"/>
      <c r="F34" s="135"/>
      <c r="G34" s="135"/>
      <c r="H34" s="135"/>
      <c r="I34" s="135"/>
      <c r="J34" s="135"/>
      <c r="K34" s="135"/>
      <c r="L34" s="135"/>
      <c r="M34" s="135"/>
      <c r="N34" s="135"/>
      <c r="O34" s="135"/>
      <c r="P34" s="135"/>
      <c r="Q34" s="135"/>
      <c r="R34" s="135"/>
      <c r="S34" s="135"/>
      <c r="T34" s="135"/>
      <c r="U34" s="135"/>
      <c r="V34" s="135"/>
      <c r="W34" s="135"/>
      <c r="X34" s="135"/>
      <c r="Y34" s="135"/>
      <c r="Z34" s="135"/>
      <c r="AA34" s="135"/>
      <c r="AB34" s="135"/>
      <c r="AC34" s="135"/>
      <c r="AD34" s="135"/>
      <c r="AE34" s="135"/>
      <c r="AF34" s="135"/>
      <c r="AG34" s="135"/>
      <c r="AH34" s="135"/>
      <c r="AI34" s="135"/>
      <c r="AJ34" s="135"/>
      <c r="AK34" s="135"/>
      <c r="AL34" s="135"/>
      <c r="AM34" s="135"/>
      <c r="AN34" s="135"/>
      <c r="AO34" s="135"/>
      <c r="AP34" s="135"/>
      <c r="AQ34" s="135"/>
      <c r="AR34" s="135"/>
      <c r="AS34" s="135"/>
      <c r="AT34" s="135"/>
      <c r="AU34" s="135"/>
      <c r="AV34" s="135"/>
      <c r="AW34" s="135"/>
      <c r="AX34" s="135"/>
      <c r="AY34" s="135"/>
      <c r="AZ34" s="135"/>
      <c r="BA34" s="135"/>
      <c r="BB34" s="135"/>
      <c r="BC34" s="135"/>
      <c r="BD34" s="135"/>
    </row>
    <row r="35" spans="5:56" x14ac:dyDescent="0.25">
      <c r="E35" s="135"/>
      <c r="F35" s="135"/>
      <c r="G35" s="135"/>
      <c r="H35" s="135"/>
      <c r="I35" s="135"/>
      <c r="J35" s="135"/>
      <c r="K35" s="135"/>
      <c r="L35" s="135"/>
      <c r="M35" s="135"/>
      <c r="N35" s="135"/>
      <c r="O35" s="135"/>
      <c r="P35" s="135"/>
      <c r="Q35" s="135"/>
      <c r="R35" s="135"/>
      <c r="S35" s="135"/>
      <c r="T35" s="135"/>
      <c r="U35" s="135"/>
      <c r="V35" s="135"/>
      <c r="W35" s="135"/>
      <c r="X35" s="135"/>
      <c r="Y35" s="135"/>
      <c r="Z35" s="135"/>
      <c r="AA35" s="135"/>
      <c r="AB35" s="135"/>
      <c r="AC35" s="135"/>
      <c r="AD35" s="135"/>
      <c r="AE35" s="135"/>
      <c r="AF35" s="135"/>
      <c r="AG35" s="135"/>
      <c r="AH35" s="135"/>
      <c r="AI35" s="135"/>
      <c r="AJ35" s="135"/>
      <c r="AK35" s="135"/>
      <c r="AL35" s="135"/>
      <c r="AM35" s="135"/>
      <c r="AN35" s="135"/>
      <c r="AO35" s="135"/>
      <c r="AP35" s="135"/>
      <c r="AQ35" s="135"/>
      <c r="AR35" s="135"/>
      <c r="AS35" s="135"/>
      <c r="AT35" s="135"/>
      <c r="AU35" s="135"/>
      <c r="AV35" s="135"/>
      <c r="AW35" s="135"/>
      <c r="AX35" s="135"/>
      <c r="AY35" s="135"/>
      <c r="AZ35" s="135"/>
      <c r="BA35" s="135"/>
      <c r="BB35" s="135"/>
      <c r="BC35" s="135"/>
      <c r="BD35" s="135"/>
    </row>
    <row r="36" spans="5:56" x14ac:dyDescent="0.25">
      <c r="E36" s="135"/>
      <c r="F36" s="135"/>
      <c r="G36" s="135"/>
      <c r="H36" s="135"/>
      <c r="I36" s="135"/>
      <c r="J36" s="135"/>
      <c r="K36" s="135"/>
      <c r="L36" s="135"/>
      <c r="M36" s="135"/>
      <c r="N36" s="135"/>
      <c r="O36" s="135"/>
      <c r="P36" s="135"/>
      <c r="Q36" s="135"/>
      <c r="R36" s="135"/>
      <c r="S36" s="135"/>
      <c r="T36" s="135"/>
      <c r="U36" s="135"/>
      <c r="V36" s="135"/>
      <c r="W36" s="135"/>
      <c r="X36" s="135"/>
      <c r="Y36" s="135"/>
      <c r="Z36" s="135"/>
      <c r="AA36" s="135"/>
      <c r="AB36" s="135"/>
      <c r="AC36" s="135"/>
      <c r="AD36" s="135"/>
      <c r="AE36" s="135"/>
      <c r="AF36" s="135"/>
      <c r="AG36" s="135"/>
      <c r="AH36" s="135"/>
      <c r="AI36" s="135"/>
      <c r="AJ36" s="135"/>
      <c r="AK36" s="135"/>
      <c r="AL36" s="135"/>
      <c r="AM36" s="135"/>
      <c r="AN36" s="135"/>
      <c r="AO36" s="135"/>
      <c r="AP36" s="135"/>
      <c r="AQ36" s="135"/>
      <c r="AR36" s="135"/>
      <c r="AS36" s="135"/>
      <c r="AT36" s="135"/>
      <c r="AU36" s="135"/>
      <c r="AV36" s="135"/>
      <c r="AW36" s="135"/>
      <c r="AX36" s="135"/>
      <c r="AY36" s="135"/>
      <c r="AZ36" s="135"/>
      <c r="BA36" s="135"/>
      <c r="BB36" s="135"/>
      <c r="BC36" s="135"/>
      <c r="BD36" s="135"/>
    </row>
    <row r="37" spans="5:56" x14ac:dyDescent="0.25">
      <c r="E37" s="135"/>
      <c r="F37" s="135"/>
      <c r="G37" s="135"/>
      <c r="H37" s="135"/>
      <c r="I37" s="135"/>
      <c r="J37" s="135"/>
      <c r="K37" s="135"/>
      <c r="L37" s="135"/>
      <c r="M37" s="135"/>
      <c r="N37" s="135"/>
      <c r="O37" s="135"/>
      <c r="P37" s="135"/>
      <c r="Q37" s="135"/>
      <c r="R37" s="135"/>
      <c r="S37" s="135"/>
      <c r="T37" s="135"/>
      <c r="U37" s="135"/>
      <c r="V37" s="135"/>
      <c r="W37" s="135"/>
      <c r="X37" s="135"/>
      <c r="Y37" s="135"/>
      <c r="Z37" s="135"/>
      <c r="AA37" s="135"/>
      <c r="AB37" s="135"/>
      <c r="AC37" s="135"/>
      <c r="AD37" s="135"/>
      <c r="AE37" s="135"/>
      <c r="AF37" s="135"/>
      <c r="AG37" s="135"/>
      <c r="AH37" s="135"/>
      <c r="AI37" s="135"/>
      <c r="AJ37" s="135"/>
      <c r="AK37" s="135"/>
      <c r="AL37" s="135"/>
      <c r="AM37" s="135"/>
      <c r="AN37" s="135"/>
      <c r="AO37" s="135"/>
      <c r="AP37" s="135"/>
      <c r="AQ37" s="135"/>
      <c r="AR37" s="135"/>
      <c r="AS37" s="135"/>
      <c r="AT37" s="135"/>
      <c r="AU37" s="135"/>
      <c r="AV37" s="135"/>
      <c r="AW37" s="135"/>
      <c r="AX37" s="135"/>
      <c r="AY37" s="135"/>
      <c r="AZ37" s="135"/>
      <c r="BA37" s="135"/>
      <c r="BB37" s="135"/>
      <c r="BC37" s="135"/>
      <c r="BD37" s="135"/>
    </row>
    <row r="38" spans="5:56" x14ac:dyDescent="0.25">
      <c r="E38" s="135"/>
      <c r="F38" s="135"/>
      <c r="G38" s="135"/>
      <c r="H38" s="135"/>
      <c r="I38" s="135"/>
      <c r="J38" s="135"/>
      <c r="K38" s="135"/>
      <c r="L38" s="135"/>
      <c r="M38" s="135"/>
      <c r="N38" s="135"/>
      <c r="O38" s="135"/>
      <c r="P38" s="135"/>
      <c r="Q38" s="135"/>
      <c r="R38" s="135"/>
      <c r="S38" s="135"/>
      <c r="T38" s="135"/>
      <c r="U38" s="135"/>
      <c r="V38" s="135"/>
      <c r="W38" s="135"/>
      <c r="X38" s="135"/>
      <c r="Y38" s="135"/>
      <c r="Z38" s="135"/>
      <c r="AA38" s="135"/>
      <c r="AB38" s="135"/>
      <c r="AC38" s="135"/>
      <c r="AD38" s="135"/>
      <c r="AE38" s="135"/>
      <c r="AF38" s="135"/>
      <c r="AG38" s="135"/>
      <c r="AH38" s="135"/>
      <c r="AI38" s="135"/>
      <c r="AJ38" s="135"/>
      <c r="AK38" s="135"/>
      <c r="AL38" s="135"/>
      <c r="AM38" s="135"/>
      <c r="AN38" s="135"/>
      <c r="AO38" s="135"/>
      <c r="AP38" s="135"/>
      <c r="AQ38" s="135"/>
      <c r="AR38" s="135"/>
      <c r="AS38" s="135"/>
      <c r="AT38" s="135"/>
      <c r="AU38" s="135"/>
      <c r="AV38" s="135"/>
      <c r="AW38" s="135"/>
      <c r="AX38" s="135"/>
      <c r="AY38" s="135"/>
      <c r="AZ38" s="135"/>
      <c r="BA38" s="135"/>
      <c r="BB38" s="135"/>
      <c r="BC38" s="135"/>
      <c r="BD38" s="135"/>
    </row>
    <row r="39" spans="5:56" x14ac:dyDescent="0.25">
      <c r="E39" s="135"/>
      <c r="F39" s="135"/>
      <c r="G39" s="135"/>
      <c r="H39" s="135"/>
      <c r="I39" s="135"/>
      <c r="J39" s="135"/>
      <c r="K39" s="135"/>
      <c r="L39" s="135"/>
      <c r="M39" s="135"/>
      <c r="N39" s="135"/>
      <c r="O39" s="135"/>
      <c r="P39" s="135"/>
      <c r="Q39" s="135"/>
      <c r="R39" s="135"/>
      <c r="S39" s="135"/>
      <c r="T39" s="135"/>
      <c r="U39" s="135"/>
      <c r="V39" s="135"/>
      <c r="W39" s="135"/>
      <c r="X39" s="135"/>
      <c r="Y39" s="135"/>
      <c r="Z39" s="135"/>
      <c r="AA39" s="135"/>
      <c r="AB39" s="135"/>
      <c r="AC39" s="135"/>
      <c r="AD39" s="135"/>
      <c r="AE39" s="135"/>
      <c r="AF39" s="135"/>
      <c r="AG39" s="135"/>
      <c r="AH39" s="135"/>
      <c r="AI39" s="135"/>
      <c r="AJ39" s="135"/>
      <c r="AK39" s="135"/>
      <c r="AL39" s="135"/>
      <c r="AM39" s="135"/>
      <c r="AN39" s="135"/>
      <c r="AO39" s="135"/>
      <c r="AP39" s="135"/>
      <c r="AQ39" s="135"/>
      <c r="AR39" s="135"/>
      <c r="AS39" s="135"/>
      <c r="AT39" s="135"/>
      <c r="AU39" s="135"/>
      <c r="AV39" s="135"/>
      <c r="AW39" s="135"/>
      <c r="AX39" s="135"/>
      <c r="AY39" s="135"/>
      <c r="AZ39" s="135"/>
      <c r="BA39" s="135"/>
      <c r="BB39" s="135"/>
      <c r="BC39" s="135"/>
      <c r="BD39" s="135"/>
    </row>
    <row r="40" spans="5:56" x14ac:dyDescent="0.25">
      <c r="E40" s="135"/>
      <c r="F40" s="135"/>
      <c r="G40" s="135"/>
      <c r="H40" s="135"/>
      <c r="I40" s="135"/>
      <c r="J40" s="135"/>
      <c r="K40" s="135"/>
      <c r="L40" s="135"/>
      <c r="M40" s="135"/>
      <c r="N40" s="135"/>
      <c r="O40" s="135"/>
      <c r="P40" s="135"/>
      <c r="Q40" s="135"/>
      <c r="R40" s="135"/>
      <c r="S40" s="135"/>
      <c r="T40" s="135"/>
      <c r="U40" s="135"/>
      <c r="V40" s="135"/>
      <c r="W40" s="135"/>
      <c r="X40" s="135"/>
      <c r="Y40" s="135"/>
      <c r="Z40" s="135"/>
      <c r="AA40" s="135"/>
      <c r="AB40" s="135"/>
      <c r="AC40" s="135"/>
      <c r="AD40" s="135"/>
      <c r="AE40" s="135"/>
      <c r="AF40" s="135"/>
      <c r="AG40" s="135"/>
      <c r="AH40" s="135"/>
      <c r="AI40" s="135"/>
      <c r="AJ40" s="135"/>
      <c r="AK40" s="135"/>
      <c r="AL40" s="135"/>
      <c r="AM40" s="135"/>
      <c r="AN40" s="135"/>
      <c r="AO40" s="135"/>
      <c r="AP40" s="135"/>
      <c r="AQ40" s="135"/>
      <c r="AR40" s="135"/>
      <c r="AS40" s="135"/>
      <c r="AT40" s="135"/>
      <c r="AU40" s="135"/>
      <c r="AV40" s="135"/>
      <c r="AW40" s="135"/>
      <c r="AX40" s="135"/>
      <c r="AY40" s="135"/>
      <c r="AZ40" s="135"/>
      <c r="BA40" s="135"/>
      <c r="BB40" s="135"/>
      <c r="BC40" s="135"/>
      <c r="BD40" s="135"/>
    </row>
    <row r="41" spans="5:56" x14ac:dyDescent="0.25">
      <c r="E41" s="135"/>
      <c r="F41" s="135"/>
      <c r="G41" s="135"/>
      <c r="H41" s="135"/>
      <c r="I41" s="135"/>
      <c r="J41" s="135"/>
      <c r="K41" s="135"/>
      <c r="L41" s="135"/>
      <c r="M41" s="135"/>
      <c r="N41" s="135"/>
      <c r="O41" s="135"/>
      <c r="P41" s="135"/>
      <c r="Q41" s="135"/>
      <c r="R41" s="135"/>
      <c r="S41" s="135"/>
      <c r="T41" s="135"/>
      <c r="U41" s="135"/>
      <c r="V41" s="135"/>
      <c r="W41" s="135"/>
      <c r="X41" s="135"/>
      <c r="Y41" s="135"/>
      <c r="Z41" s="135"/>
      <c r="AA41" s="135"/>
      <c r="AB41" s="135"/>
      <c r="AC41" s="135"/>
      <c r="AD41" s="135"/>
      <c r="AE41" s="135"/>
      <c r="AF41" s="135"/>
      <c r="AG41" s="135"/>
      <c r="AH41" s="135"/>
      <c r="AI41" s="135"/>
      <c r="AJ41" s="135"/>
      <c r="AK41" s="135"/>
      <c r="AL41" s="135"/>
      <c r="AM41" s="135"/>
      <c r="AN41" s="135"/>
      <c r="AO41" s="135"/>
      <c r="AP41" s="135"/>
      <c r="AQ41" s="135"/>
      <c r="AR41" s="135"/>
      <c r="AS41" s="135"/>
      <c r="AT41" s="135"/>
      <c r="AU41" s="135"/>
      <c r="AV41" s="135"/>
      <c r="AW41" s="135"/>
      <c r="AX41" s="135"/>
      <c r="AY41" s="135"/>
      <c r="AZ41" s="135"/>
      <c r="BA41" s="135"/>
      <c r="BB41" s="135"/>
      <c r="BC41" s="135"/>
      <c r="BD41" s="135"/>
    </row>
    <row r="42" spans="5:56" x14ac:dyDescent="0.25">
      <c r="E42" s="135"/>
      <c r="F42" s="135"/>
      <c r="G42" s="135"/>
      <c r="H42" s="135"/>
      <c r="I42" s="135"/>
      <c r="J42" s="135"/>
      <c r="K42" s="135"/>
      <c r="L42" s="135"/>
      <c r="M42" s="135"/>
      <c r="N42" s="135"/>
      <c r="O42" s="135"/>
      <c r="P42" s="135"/>
      <c r="Q42" s="135"/>
      <c r="R42" s="135"/>
      <c r="S42" s="135"/>
      <c r="T42" s="135"/>
      <c r="U42" s="135"/>
      <c r="V42" s="135"/>
      <c r="W42" s="135"/>
      <c r="X42" s="135"/>
      <c r="Y42" s="135"/>
      <c r="Z42" s="135"/>
      <c r="AA42" s="135"/>
      <c r="AB42" s="135"/>
      <c r="AC42" s="135"/>
      <c r="AD42" s="135"/>
      <c r="AE42" s="135"/>
      <c r="AF42" s="135"/>
      <c r="AG42" s="135"/>
      <c r="AH42" s="135"/>
      <c r="AI42" s="135"/>
      <c r="AJ42" s="135"/>
      <c r="AK42" s="135"/>
      <c r="AL42" s="135"/>
      <c r="AM42" s="135"/>
      <c r="AN42" s="135"/>
      <c r="AO42" s="135"/>
      <c r="AP42" s="135"/>
      <c r="AQ42" s="135"/>
      <c r="AR42" s="135"/>
      <c r="AS42" s="135"/>
      <c r="AT42" s="135"/>
      <c r="AU42" s="135"/>
      <c r="AV42" s="135"/>
      <c r="AW42" s="135"/>
      <c r="AX42" s="135"/>
      <c r="AY42" s="135"/>
      <c r="AZ42" s="135"/>
      <c r="BA42" s="135"/>
      <c r="BB42" s="135"/>
      <c r="BC42" s="135"/>
      <c r="BD42" s="135"/>
    </row>
    <row r="43" spans="5:56" x14ac:dyDescent="0.25">
      <c r="E43" s="135"/>
      <c r="F43" s="135"/>
      <c r="G43" s="135"/>
      <c r="H43" s="135"/>
      <c r="I43" s="135"/>
      <c r="J43" s="135"/>
      <c r="K43" s="135"/>
      <c r="L43" s="135"/>
      <c r="M43" s="135"/>
      <c r="N43" s="135"/>
      <c r="O43" s="135"/>
      <c r="P43" s="135"/>
      <c r="Q43" s="135"/>
      <c r="R43" s="135"/>
      <c r="S43" s="135"/>
      <c r="T43" s="135"/>
      <c r="U43" s="135"/>
      <c r="V43" s="135"/>
      <c r="W43" s="135"/>
      <c r="X43" s="135"/>
      <c r="Y43" s="135"/>
      <c r="Z43" s="135"/>
      <c r="AA43" s="135"/>
      <c r="AB43" s="135"/>
      <c r="AC43" s="135"/>
      <c r="AD43" s="135"/>
      <c r="AE43" s="135"/>
      <c r="AF43" s="135"/>
      <c r="AG43" s="135"/>
      <c r="AH43" s="135"/>
      <c r="AI43" s="135"/>
      <c r="AJ43" s="135"/>
      <c r="AK43" s="135"/>
      <c r="AL43" s="135"/>
      <c r="AM43" s="135"/>
      <c r="AN43" s="135"/>
      <c r="AO43" s="135"/>
      <c r="AP43" s="135"/>
      <c r="AQ43" s="135"/>
      <c r="AR43" s="135"/>
      <c r="AS43" s="135"/>
      <c r="AT43" s="135"/>
      <c r="AU43" s="135"/>
      <c r="AV43" s="135"/>
      <c r="AW43" s="135"/>
      <c r="AX43" s="135"/>
      <c r="AY43" s="135"/>
      <c r="AZ43" s="135"/>
      <c r="BA43" s="135"/>
      <c r="BB43" s="135"/>
      <c r="BC43" s="135"/>
      <c r="BD43" s="135"/>
    </row>
    <row r="44" spans="5:56" x14ac:dyDescent="0.25">
      <c r="E44" s="135"/>
      <c r="F44" s="135"/>
      <c r="G44" s="135"/>
      <c r="H44" s="135"/>
      <c r="I44" s="135"/>
      <c r="J44" s="135"/>
      <c r="K44" s="135"/>
      <c r="L44" s="135"/>
      <c r="M44" s="135"/>
      <c r="N44" s="135"/>
      <c r="O44" s="135"/>
      <c r="P44" s="135"/>
      <c r="Q44" s="135"/>
      <c r="R44" s="135"/>
      <c r="S44" s="135"/>
      <c r="T44" s="135"/>
      <c r="U44" s="135"/>
      <c r="V44" s="135"/>
      <c r="W44" s="135"/>
      <c r="X44" s="135"/>
      <c r="Y44" s="135"/>
      <c r="Z44" s="135"/>
      <c r="AA44" s="135"/>
      <c r="AB44" s="135"/>
      <c r="AC44" s="135"/>
      <c r="AD44" s="135"/>
      <c r="AE44" s="135"/>
      <c r="AF44" s="135"/>
      <c r="AG44" s="135"/>
      <c r="AH44" s="135"/>
      <c r="AI44" s="135"/>
      <c r="AJ44" s="135"/>
      <c r="AK44" s="135"/>
      <c r="AL44" s="135"/>
      <c r="AM44" s="135"/>
      <c r="AN44" s="135"/>
      <c r="AO44" s="135"/>
      <c r="AP44" s="135"/>
      <c r="AQ44" s="135"/>
      <c r="AR44" s="135"/>
      <c r="AS44" s="135"/>
      <c r="AT44" s="135"/>
      <c r="AU44" s="135"/>
      <c r="AV44" s="135"/>
      <c r="AW44" s="135"/>
      <c r="AX44" s="135"/>
      <c r="AY44" s="135"/>
      <c r="AZ44" s="135"/>
      <c r="BA44" s="135"/>
      <c r="BB44" s="135"/>
      <c r="BC44" s="135"/>
      <c r="BD44" s="135"/>
    </row>
    <row r="45" spans="5:56" x14ac:dyDescent="0.25">
      <c r="E45" s="135"/>
      <c r="F45" s="135"/>
      <c r="G45" s="135"/>
      <c r="H45" s="135"/>
      <c r="I45" s="135"/>
      <c r="J45" s="135"/>
      <c r="K45" s="135"/>
      <c r="L45" s="135"/>
      <c r="M45" s="135"/>
      <c r="N45" s="135"/>
      <c r="O45" s="135"/>
      <c r="P45" s="135"/>
      <c r="Q45" s="135"/>
      <c r="R45" s="135"/>
      <c r="S45" s="135"/>
      <c r="T45" s="135"/>
      <c r="U45" s="135"/>
      <c r="V45" s="135"/>
      <c r="W45" s="135"/>
      <c r="X45" s="135"/>
      <c r="Y45" s="135"/>
      <c r="Z45" s="135"/>
      <c r="AA45" s="135"/>
      <c r="AB45" s="135"/>
      <c r="AC45" s="135"/>
      <c r="AD45" s="135"/>
      <c r="AE45" s="135"/>
      <c r="AF45" s="135"/>
      <c r="AG45" s="135"/>
      <c r="AH45" s="135"/>
      <c r="AI45" s="135"/>
      <c r="AJ45" s="135"/>
      <c r="AK45" s="135"/>
      <c r="AL45" s="135"/>
      <c r="AM45" s="135"/>
      <c r="AN45" s="135"/>
      <c r="AO45" s="135"/>
      <c r="AP45" s="135"/>
      <c r="AQ45" s="135"/>
      <c r="AR45" s="135"/>
      <c r="AS45" s="135"/>
      <c r="AT45" s="135"/>
      <c r="AU45" s="135"/>
      <c r="AV45" s="135"/>
      <c r="AW45" s="135"/>
      <c r="AX45" s="135"/>
      <c r="AY45" s="135"/>
      <c r="AZ45" s="135"/>
      <c r="BA45" s="135"/>
      <c r="BB45" s="135"/>
      <c r="BC45" s="135"/>
      <c r="BD45" s="135"/>
    </row>
    <row r="46" spans="5:56" x14ac:dyDescent="0.25">
      <c r="E46" s="135"/>
      <c r="F46" s="135"/>
      <c r="G46" s="135"/>
      <c r="H46" s="135"/>
      <c r="I46" s="135"/>
      <c r="J46" s="135"/>
      <c r="K46" s="135"/>
      <c r="L46" s="135"/>
      <c r="M46" s="135"/>
      <c r="N46" s="135"/>
      <c r="O46" s="135"/>
      <c r="P46" s="135"/>
      <c r="Q46" s="135"/>
      <c r="R46" s="135"/>
      <c r="S46" s="135"/>
      <c r="T46" s="135"/>
      <c r="U46" s="135"/>
      <c r="V46" s="135"/>
      <c r="W46" s="135"/>
      <c r="X46" s="135"/>
      <c r="Y46" s="135"/>
      <c r="Z46" s="135"/>
      <c r="AA46" s="135"/>
      <c r="AB46" s="135"/>
      <c r="AC46" s="135"/>
      <c r="AD46" s="135"/>
      <c r="AE46" s="135"/>
      <c r="AF46" s="135"/>
      <c r="AG46" s="135"/>
      <c r="AH46" s="135"/>
      <c r="AI46" s="135"/>
      <c r="AJ46" s="135"/>
      <c r="AK46" s="135"/>
      <c r="AL46" s="135"/>
      <c r="AM46" s="135"/>
      <c r="AN46" s="135"/>
      <c r="AO46" s="135"/>
      <c r="AP46" s="135"/>
      <c r="AQ46" s="135"/>
      <c r="AR46" s="135"/>
      <c r="AS46" s="135"/>
      <c r="AT46" s="135"/>
      <c r="AU46" s="135"/>
      <c r="AV46" s="135"/>
      <c r="AW46" s="135"/>
      <c r="AX46" s="135"/>
      <c r="AY46" s="135"/>
      <c r="AZ46" s="135"/>
      <c r="BA46" s="135"/>
      <c r="BB46" s="135"/>
      <c r="BC46" s="135"/>
      <c r="BD46" s="135"/>
    </row>
    <row r="47" spans="5:56" x14ac:dyDescent="0.25">
      <c r="E47" s="135"/>
      <c r="F47" s="135"/>
      <c r="G47" s="135"/>
      <c r="H47" s="135"/>
      <c r="I47" s="135"/>
      <c r="J47" s="135"/>
      <c r="K47" s="135"/>
      <c r="L47" s="135"/>
      <c r="M47" s="135"/>
      <c r="N47" s="135"/>
      <c r="O47" s="135"/>
      <c r="P47" s="135"/>
      <c r="Q47" s="135"/>
      <c r="R47" s="135"/>
      <c r="S47" s="135"/>
      <c r="T47" s="135"/>
      <c r="U47" s="135"/>
      <c r="V47" s="135"/>
      <c r="W47" s="135"/>
      <c r="X47" s="135"/>
      <c r="Y47" s="135"/>
      <c r="Z47" s="135"/>
      <c r="AA47" s="135"/>
      <c r="AB47" s="135"/>
      <c r="AC47" s="135"/>
      <c r="AD47" s="135"/>
      <c r="AE47" s="135"/>
      <c r="AF47" s="135"/>
      <c r="AG47" s="135"/>
      <c r="AH47" s="135"/>
      <c r="AI47" s="135"/>
      <c r="AJ47" s="135"/>
      <c r="AK47" s="135"/>
      <c r="AL47" s="135"/>
      <c r="AM47" s="135"/>
      <c r="AN47" s="135"/>
      <c r="AO47" s="135"/>
      <c r="AP47" s="135"/>
      <c r="AQ47" s="135"/>
      <c r="AR47" s="135"/>
      <c r="AS47" s="135"/>
      <c r="AT47" s="135"/>
      <c r="AU47" s="135"/>
      <c r="AV47" s="135"/>
      <c r="AW47" s="135"/>
      <c r="AX47" s="135"/>
      <c r="AY47" s="135"/>
      <c r="AZ47" s="135"/>
      <c r="BA47" s="135"/>
      <c r="BB47" s="135"/>
      <c r="BC47" s="135"/>
      <c r="BD47" s="135"/>
    </row>
    <row r="48" spans="5:56" x14ac:dyDescent="0.25">
      <c r="E48" s="135"/>
      <c r="F48" s="135"/>
      <c r="G48" s="135"/>
      <c r="H48" s="135"/>
      <c r="I48" s="135"/>
      <c r="J48" s="135"/>
      <c r="K48" s="135"/>
      <c r="L48" s="135"/>
      <c r="M48" s="135"/>
      <c r="N48" s="135"/>
      <c r="O48" s="135"/>
      <c r="P48" s="135"/>
      <c r="Q48" s="135"/>
      <c r="R48" s="135"/>
      <c r="S48" s="135"/>
      <c r="T48" s="135"/>
      <c r="U48" s="135"/>
      <c r="V48" s="135"/>
      <c r="W48" s="135"/>
      <c r="X48" s="135"/>
      <c r="Y48" s="135"/>
      <c r="Z48" s="135"/>
      <c r="AA48" s="135"/>
      <c r="AB48" s="135"/>
      <c r="AC48" s="135"/>
      <c r="AD48" s="135"/>
      <c r="AE48" s="135"/>
      <c r="AF48" s="135"/>
      <c r="AG48" s="135"/>
      <c r="AH48" s="135"/>
      <c r="AI48" s="135"/>
      <c r="AJ48" s="135"/>
      <c r="AK48" s="135"/>
      <c r="AL48" s="135"/>
      <c r="AM48" s="135"/>
      <c r="AN48" s="135"/>
      <c r="AO48" s="135"/>
      <c r="AP48" s="135"/>
      <c r="AQ48" s="135"/>
      <c r="AR48" s="135"/>
      <c r="AS48" s="135"/>
      <c r="AT48" s="135"/>
      <c r="AU48" s="135"/>
      <c r="AV48" s="135"/>
      <c r="AW48" s="135"/>
      <c r="AX48" s="135"/>
      <c r="AY48" s="135"/>
      <c r="AZ48" s="135"/>
      <c r="BA48" s="135"/>
      <c r="BB48" s="135"/>
      <c r="BC48" s="135"/>
      <c r="BD48" s="135"/>
    </row>
    <row r="49" spans="5:56" x14ac:dyDescent="0.25">
      <c r="E49" s="135"/>
      <c r="F49" s="135"/>
      <c r="G49" s="135"/>
      <c r="H49" s="135"/>
      <c r="I49" s="135"/>
      <c r="J49" s="135"/>
      <c r="K49" s="135"/>
      <c r="L49" s="135"/>
      <c r="M49" s="135"/>
      <c r="N49" s="135"/>
      <c r="O49" s="135"/>
      <c r="P49" s="135"/>
      <c r="Q49" s="135"/>
      <c r="R49" s="135"/>
      <c r="S49" s="135"/>
      <c r="T49" s="135"/>
      <c r="U49" s="135"/>
      <c r="V49" s="135"/>
      <c r="W49" s="135"/>
      <c r="X49" s="135"/>
      <c r="Y49" s="135"/>
      <c r="Z49" s="135"/>
      <c r="AA49" s="135"/>
      <c r="AB49" s="135"/>
      <c r="AC49" s="135"/>
      <c r="AD49" s="135"/>
      <c r="AE49" s="135"/>
      <c r="AF49" s="135"/>
      <c r="AG49" s="135"/>
      <c r="AH49" s="135"/>
      <c r="AI49" s="135"/>
      <c r="AJ49" s="135"/>
      <c r="AK49" s="135"/>
      <c r="AL49" s="135"/>
      <c r="AM49" s="135"/>
      <c r="AN49" s="135"/>
      <c r="AO49" s="135"/>
      <c r="AP49" s="135"/>
      <c r="AQ49" s="135"/>
      <c r="AR49" s="135"/>
      <c r="AS49" s="135"/>
      <c r="AT49" s="135"/>
      <c r="AU49" s="135"/>
      <c r="AV49" s="135"/>
      <c r="AW49" s="135"/>
      <c r="AX49" s="135"/>
      <c r="AY49" s="135"/>
      <c r="AZ49" s="135"/>
      <c r="BA49" s="135"/>
      <c r="BB49" s="135"/>
      <c r="BC49" s="135"/>
      <c r="BD49" s="135"/>
    </row>
    <row r="50" spans="5:56" x14ac:dyDescent="0.25">
      <c r="E50" s="135"/>
      <c r="F50" s="135"/>
      <c r="G50" s="135"/>
      <c r="H50" s="135"/>
      <c r="I50" s="135"/>
      <c r="J50" s="135"/>
      <c r="K50" s="135"/>
      <c r="L50" s="135"/>
      <c r="M50" s="135"/>
      <c r="N50" s="135"/>
      <c r="O50" s="135"/>
      <c r="P50" s="135"/>
      <c r="Q50" s="135"/>
      <c r="R50" s="135"/>
      <c r="S50" s="135"/>
      <c r="T50" s="135"/>
      <c r="U50" s="135"/>
      <c r="V50" s="135"/>
      <c r="W50" s="135"/>
      <c r="X50" s="135"/>
      <c r="Y50" s="135"/>
      <c r="Z50" s="135"/>
      <c r="AA50" s="135"/>
      <c r="AB50" s="135"/>
      <c r="AC50" s="135"/>
      <c r="AD50" s="135"/>
      <c r="AE50" s="135"/>
      <c r="AF50" s="135"/>
      <c r="AG50" s="135"/>
      <c r="AH50" s="135"/>
      <c r="AI50" s="135"/>
      <c r="AJ50" s="135"/>
      <c r="AK50" s="135"/>
      <c r="AL50" s="135"/>
      <c r="AM50" s="135"/>
      <c r="AN50" s="135"/>
      <c r="AO50" s="135"/>
      <c r="AP50" s="135"/>
      <c r="AQ50" s="135"/>
      <c r="AR50" s="135"/>
      <c r="AS50" s="135"/>
      <c r="AT50" s="135"/>
      <c r="AU50" s="135"/>
      <c r="AV50" s="135"/>
      <c r="AW50" s="135"/>
      <c r="AX50" s="135"/>
      <c r="AY50" s="135"/>
      <c r="AZ50" s="135"/>
      <c r="BA50" s="135"/>
      <c r="BB50" s="135"/>
      <c r="BC50" s="135"/>
      <c r="BD50" s="135"/>
    </row>
  </sheetData>
  <sheetProtection algorithmName="SHA-512" hashValue="iy/CyjN2rq79CQNDb/oXvGuWAYdPoH8/CtJfvGZbKtzLClC+0YhWJGSUhFVLFoFDhi/8Eb50Ul5SHUhPPcYgSw==" saltValue="3FUailZe4NBua/GFYv/lBQ==" spinCount="100000" sheet="1" objects="1" scenarios="1" selectLockedCells="1"/>
  <mergeCells count="10">
    <mergeCell ref="F2:G2"/>
    <mergeCell ref="P3:R3"/>
    <mergeCell ref="O4:Q4"/>
    <mergeCell ref="P17:P18"/>
    <mergeCell ref="L3:N3"/>
    <mergeCell ref="I17:I18"/>
    <mergeCell ref="J17:J18"/>
    <mergeCell ref="K17:K18"/>
    <mergeCell ref="L17:L18"/>
    <mergeCell ref="Q17:Q18"/>
  </mergeCells>
  <conditionalFormatting sqref="R6:S15">
    <cfRule type="expression" dxfId="404" priority="15">
      <formula>$U6="Existing"</formula>
    </cfRule>
    <cfRule type="expression" dxfId="403" priority="39">
      <formula>AND($K6&lt;&gt;"Enter Spend&gt;&gt;&gt;",$U6&lt;&gt;"Prospect")</formula>
    </cfRule>
  </conditionalFormatting>
  <conditionalFormatting sqref="S6:S15">
    <cfRule type="expression" dxfId="402" priority="33">
      <formula>$W6="Zip Code Not Serviced"</formula>
    </cfRule>
  </conditionalFormatting>
  <conditionalFormatting sqref="L3:N3">
    <cfRule type="expression" dxfId="401" priority="29">
      <formula>$AN$4&gt;0</formula>
    </cfRule>
  </conditionalFormatting>
  <conditionalFormatting sqref="T6:V15">
    <cfRule type="expression" dxfId="400" priority="24">
      <formula>AND($K6&lt;&gt;"Enter Spend&gt;&gt;&gt;",$U$6&lt;&gt;"Prospect")</formula>
    </cfRule>
  </conditionalFormatting>
  <conditionalFormatting sqref="T6:V15">
    <cfRule type="expression" dxfId="399" priority="25">
      <formula>$F6=""</formula>
    </cfRule>
    <cfRule type="notContainsBlanks" dxfId="398" priority="26">
      <formula>LEN(TRIM(T6))&gt;0</formula>
    </cfRule>
  </conditionalFormatting>
  <conditionalFormatting sqref="T6:V15">
    <cfRule type="expression" dxfId="397" priority="23">
      <formula>$AN6="FLAG"</formula>
    </cfRule>
  </conditionalFormatting>
  <conditionalFormatting sqref="T6:T15">
    <cfRule type="expression" dxfId="396" priority="22">
      <formula>$W6="Zip Code Not Serviced"</formula>
    </cfRule>
  </conditionalFormatting>
  <conditionalFormatting sqref="T6:T15">
    <cfRule type="expression" dxfId="395" priority="21">
      <formula>$W6="Zip Code Not Serviced"</formula>
    </cfRule>
  </conditionalFormatting>
  <conditionalFormatting sqref="U6:U15">
    <cfRule type="expression" dxfId="394" priority="20">
      <formula>$W6="Zip Code Not Serviced"</formula>
    </cfRule>
  </conditionalFormatting>
  <conditionalFormatting sqref="G6:G15">
    <cfRule type="expression" dxfId="393" priority="37">
      <formula>$F6&lt;&gt;""</formula>
    </cfRule>
    <cfRule type="notContainsBlanks" dxfId="392" priority="47">
      <formula>LEN(TRIM(G6))&gt;0</formula>
    </cfRule>
  </conditionalFormatting>
  <conditionalFormatting sqref="P6:S15">
    <cfRule type="expression" dxfId="391" priority="40">
      <formula>$F6=""</formula>
    </cfRule>
    <cfRule type="notContainsBlanks" dxfId="390" priority="41">
      <formula>LEN(TRIM(P6))&gt;0</formula>
    </cfRule>
  </conditionalFormatting>
  <conditionalFormatting sqref="H6:H15">
    <cfRule type="notContainsBlanks" dxfId="389" priority="16">
      <formula>LEN(TRIM(H6))&gt;0</formula>
    </cfRule>
    <cfRule type="expression" dxfId="388" priority="17">
      <formula>$F6&lt;&gt;""</formula>
    </cfRule>
  </conditionalFormatting>
  <conditionalFormatting sqref="K6:K15 M6:N15 P6:S15">
    <cfRule type="expression" dxfId="387" priority="27">
      <formula>$AN6="FLAG"</formula>
    </cfRule>
  </conditionalFormatting>
  <conditionalFormatting sqref="U14">
    <cfRule type="expression" dxfId="386" priority="14">
      <formula>$AP14="Prospect"</formula>
    </cfRule>
  </conditionalFormatting>
  <conditionalFormatting sqref="U13">
    <cfRule type="expression" dxfId="385" priority="13">
      <formula>$AP13="Prospect"</formula>
    </cfRule>
  </conditionalFormatting>
  <conditionalFormatting sqref="U15">
    <cfRule type="expression" dxfId="384" priority="12">
      <formula>$AP15="Prospect"</formula>
    </cfRule>
  </conditionalFormatting>
  <conditionalFormatting sqref="U12">
    <cfRule type="expression" dxfId="383" priority="11">
      <formula>$AP12="Prospect"</formula>
    </cfRule>
  </conditionalFormatting>
  <conditionalFormatting sqref="U11">
    <cfRule type="expression" dxfId="382" priority="10">
      <formula>$AP11="Prospect"</formula>
    </cfRule>
  </conditionalFormatting>
  <conditionalFormatting sqref="U10">
    <cfRule type="expression" dxfId="381" priority="9">
      <formula>$AP10="Prospect"</formula>
    </cfRule>
  </conditionalFormatting>
  <conditionalFormatting sqref="U9">
    <cfRule type="expression" dxfId="380" priority="8">
      <formula>$AP9="Prospect"</formula>
    </cfRule>
  </conditionalFormatting>
  <conditionalFormatting sqref="U8">
    <cfRule type="expression" dxfId="379" priority="7">
      <formula>$AP8="Prospect"</formula>
    </cfRule>
  </conditionalFormatting>
  <conditionalFormatting sqref="U7">
    <cfRule type="expression" dxfId="378" priority="6">
      <formula>$AP7="Prospect"</formula>
    </cfRule>
  </conditionalFormatting>
  <conditionalFormatting sqref="U6">
    <cfRule type="expression" dxfId="377" priority="5">
      <formula>$AP6="Prospect"</formula>
    </cfRule>
  </conditionalFormatting>
  <conditionalFormatting sqref="L6:L15">
    <cfRule type="expression" dxfId="376" priority="4">
      <formula>Q6&lt;&gt;""</formula>
    </cfRule>
  </conditionalFormatting>
  <conditionalFormatting sqref="L6:L15">
    <cfRule type="expression" dxfId="375" priority="3">
      <formula>$AN6="FLAG"</formula>
    </cfRule>
  </conditionalFormatting>
  <conditionalFormatting sqref="O6:O15">
    <cfRule type="expression" dxfId="374" priority="2">
      <formula>T6&lt;&gt;""</formula>
    </cfRule>
  </conditionalFormatting>
  <conditionalFormatting sqref="O6:O15">
    <cfRule type="expression" dxfId="373" priority="1">
      <formula>$AN6="FLAG"</formula>
    </cfRule>
  </conditionalFormatting>
  <dataValidations count="2">
    <dataValidation type="list" allowBlank="1" showErrorMessage="1" errorTitle="EB % Outside Allowable Range" error="EB % must be between 0% and 100%" sqref="V6:V15" xr:uid="{46C4FD52-FFB9-49C1-B788-4089093843A9}">
      <formula1>"Yes, No"</formula1>
    </dataValidation>
    <dataValidation type="list" allowBlank="1" showInputMessage="1" showErrorMessage="1" sqref="U6:U15" xr:uid="{3BB749CB-9148-4FE5-BB67-7669772CD4A4}">
      <formula1>"Existing, Prospect"</formula1>
    </dataValidation>
  </dataValidations>
  <printOptions horizontalCentered="1"/>
  <pageMargins left="0.25" right="0.25" top="0.75" bottom="0.75" header="0.3" footer="0.3"/>
  <pageSetup scale="58"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K6" unlockedFormula="1"/>
  </ignoredErrors>
  <drawing r:id="rId2"/>
  <legacyDrawing r:id="rId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_3">
    <tabColor rgb="FFFFC000"/>
    <pageSetUpPr fitToPage="1"/>
  </sheetPr>
  <dimension ref="A1:AM67"/>
  <sheetViews>
    <sheetView zoomScale="80" zoomScaleNormal="80" zoomScaleSheetLayoutView="80" workbookViewId="0">
      <selection activeCell="N7" sqref="N7"/>
    </sheetView>
  </sheetViews>
  <sheetFormatPr defaultColWidth="8.85546875" defaultRowHeight="15" x14ac:dyDescent="0.25"/>
  <cols>
    <col min="1" max="1" width="2.140625" style="141" customWidth="1"/>
    <col min="2" max="2" width="15.5703125" style="141" customWidth="1"/>
    <col min="3" max="3" width="12.5703125" style="141" customWidth="1"/>
    <col min="4" max="4" width="38" style="141" customWidth="1"/>
    <col min="5" max="5" width="17.7109375" style="141" customWidth="1"/>
    <col min="6" max="6" width="36.140625" style="141" customWidth="1"/>
    <col min="7" max="7" width="27.7109375" style="141" customWidth="1"/>
    <col min="8" max="8" width="11.140625" bestFit="1" customWidth="1"/>
    <col min="9" max="9" width="13.7109375" customWidth="1"/>
    <col min="10" max="10" width="12" hidden="1" customWidth="1"/>
    <col min="11" max="11" width="14.140625" style="141" customWidth="1"/>
    <col min="12" max="12" width="7.28515625" style="141" customWidth="1"/>
    <col min="13" max="13" width="16.85546875" style="141" bestFit="1" customWidth="1"/>
    <col min="14" max="14" width="2.140625" style="141" customWidth="1"/>
    <col min="15" max="15" width="11.7109375" style="141" customWidth="1"/>
    <col min="16" max="16" width="17.28515625" style="141" bestFit="1" customWidth="1"/>
    <col min="17" max="17" width="11.140625" style="141" customWidth="1"/>
    <col min="18" max="18" width="2.7109375" hidden="1" customWidth="1"/>
    <col min="19" max="19" width="8.7109375" style="141" hidden="1" customWidth="1"/>
    <col min="20" max="20" width="13.140625" style="141" hidden="1" customWidth="1"/>
    <col min="21" max="21" width="9" style="141" hidden="1" customWidth="1"/>
    <col min="22" max="22" width="2.7109375" style="141" hidden="1" customWidth="1"/>
    <col min="23" max="23" width="24.85546875" style="141" hidden="1" customWidth="1"/>
    <col min="24" max="24" width="2.7109375" style="141" hidden="1" customWidth="1"/>
    <col min="25" max="25" width="22.5703125" style="141" hidden="1" customWidth="1"/>
    <col min="26" max="27" width="8.85546875" style="141" hidden="1" customWidth="1"/>
    <col min="28" max="28" width="7.140625" hidden="1" customWidth="1"/>
    <col min="29" max="29" width="15.42578125" style="141" hidden="1" customWidth="1"/>
    <col min="30" max="30" width="14.28515625" style="141" hidden="1" customWidth="1"/>
    <col min="31" max="31" width="8.85546875" style="141" hidden="1" customWidth="1"/>
    <col min="32" max="32" width="11.5703125" style="141" hidden="1" customWidth="1"/>
    <col min="33" max="34" width="8.85546875" style="141" hidden="1" customWidth="1"/>
    <col min="35" max="35" width="8.85546875" style="141" customWidth="1"/>
    <col min="36" max="16384" width="8.85546875" style="141"/>
  </cols>
  <sheetData>
    <row r="1" spans="1:39" ht="21" x14ac:dyDescent="0.25">
      <c r="A1" s="140"/>
      <c r="B1" s="140"/>
      <c r="C1" s="140"/>
      <c r="D1" s="506" t="s">
        <v>208</v>
      </c>
      <c r="E1" s="140"/>
      <c r="F1" s="140"/>
      <c r="G1" s="142"/>
      <c r="H1" s="142"/>
      <c r="I1" s="142"/>
      <c r="J1" s="142"/>
      <c r="K1" s="507"/>
      <c r="L1" s="140"/>
      <c r="M1" s="140"/>
      <c r="N1" s="140"/>
      <c r="O1" s="140"/>
      <c r="P1" s="140"/>
      <c r="Q1" s="140"/>
      <c r="R1" s="135"/>
      <c r="S1" s="140"/>
      <c r="T1" s="140"/>
      <c r="U1" s="140"/>
      <c r="V1" s="140"/>
      <c r="W1" s="140"/>
      <c r="X1" s="140"/>
      <c r="Y1" s="140"/>
      <c r="Z1" s="140"/>
      <c r="AA1" s="140"/>
      <c r="AB1" s="135"/>
      <c r="AC1" s="140"/>
      <c r="AD1" s="140"/>
      <c r="AE1" s="140"/>
      <c r="AF1" s="140"/>
      <c r="AG1" s="140"/>
      <c r="AH1" s="140"/>
      <c r="AI1" s="140"/>
      <c r="AJ1" s="140"/>
      <c r="AK1" s="140"/>
      <c r="AL1" s="140"/>
      <c r="AM1" s="140"/>
    </row>
    <row r="2" spans="1:39" ht="6.6" customHeight="1" thickBot="1" x14ac:dyDescent="0.3">
      <c r="A2" s="140"/>
      <c r="B2" s="140"/>
      <c r="C2" s="140"/>
      <c r="D2" s="506"/>
      <c r="E2" s="140"/>
      <c r="F2" s="140"/>
      <c r="G2" s="142"/>
      <c r="H2" s="142"/>
      <c r="I2" s="142"/>
      <c r="J2" s="142"/>
      <c r="K2" s="140"/>
      <c r="L2" s="140"/>
      <c r="M2" s="140"/>
      <c r="N2" s="140"/>
      <c r="O2" s="140"/>
      <c r="P2" s="140"/>
      <c r="Q2" s="140"/>
      <c r="R2" s="135"/>
      <c r="S2" s="140"/>
      <c r="T2" s="140"/>
      <c r="U2" s="140"/>
      <c r="V2" s="140"/>
      <c r="W2" s="140"/>
      <c r="X2" s="140"/>
      <c r="Y2" s="140"/>
      <c r="Z2" s="140"/>
      <c r="AA2" s="140"/>
      <c r="AB2" s="135"/>
      <c r="AC2" s="140"/>
      <c r="AD2" s="140"/>
      <c r="AE2" s="140"/>
      <c r="AF2" s="140"/>
      <c r="AG2" s="140"/>
      <c r="AH2" s="140"/>
      <c r="AI2" s="140"/>
      <c r="AJ2" s="140"/>
      <c r="AK2" s="140"/>
      <c r="AL2" s="140"/>
      <c r="AM2" s="140"/>
    </row>
    <row r="3" spans="1:39" x14ac:dyDescent="0.25">
      <c r="A3" s="140"/>
      <c r="B3" s="140"/>
      <c r="C3" s="140"/>
      <c r="D3" s="481" t="s">
        <v>1255</v>
      </c>
      <c r="E3" s="394">
        <f>Welcome!$D$8</f>
        <v>0</v>
      </c>
      <c r="F3" s="140"/>
      <c r="G3" s="481" t="s">
        <v>110</v>
      </c>
      <c r="H3" s="1332" t="e">
        <f>VLOOKUP($H$4,'Market Geography'!$D:$G,4,FALSE)</f>
        <v>#N/A</v>
      </c>
      <c r="I3" s="1333"/>
      <c r="J3" s="1333"/>
      <c r="K3" s="1334"/>
      <c r="L3" s="140"/>
      <c r="M3" s="140"/>
      <c r="N3" s="140"/>
      <c r="O3" s="140"/>
      <c r="P3" s="140"/>
      <c r="Q3" s="140"/>
      <c r="R3" s="135"/>
      <c r="S3" s="140"/>
      <c r="T3" s="140"/>
      <c r="U3" s="140"/>
      <c r="V3" s="140"/>
      <c r="W3" s="140"/>
      <c r="X3" s="140"/>
      <c r="Y3" s="140"/>
      <c r="Z3" s="140"/>
      <c r="AA3" s="140"/>
      <c r="AB3" s="135"/>
      <c r="AC3" s="140"/>
      <c r="AD3" s="140"/>
      <c r="AE3" s="140"/>
      <c r="AF3" s="140"/>
      <c r="AG3" s="140"/>
      <c r="AH3" s="140"/>
      <c r="AI3" s="140"/>
      <c r="AJ3" s="140"/>
      <c r="AK3" s="140"/>
      <c r="AL3" s="140"/>
      <c r="AM3" s="140"/>
    </row>
    <row r="4" spans="1:39" x14ac:dyDescent="0.25">
      <c r="A4" s="140"/>
      <c r="B4" s="140"/>
      <c r="C4" s="140"/>
      <c r="D4" s="482" t="s">
        <v>1256</v>
      </c>
      <c r="E4" s="363" t="str">
        <f>Welcome!$D$12</f>
        <v>Select Term</v>
      </c>
      <c r="F4" s="140"/>
      <c r="G4" s="482" t="s">
        <v>881</v>
      </c>
      <c r="H4" s="1329">
        <f>Welcome!$D$4</f>
        <v>0</v>
      </c>
      <c r="I4" s="1330"/>
      <c r="J4" s="1330"/>
      <c r="K4" s="1331"/>
      <c r="L4" s="140"/>
      <c r="M4" s="140"/>
      <c r="N4" s="140"/>
      <c r="O4" s="140"/>
      <c r="P4" s="140"/>
      <c r="Q4" s="140"/>
      <c r="R4" s="135"/>
      <c r="S4" s="140"/>
      <c r="T4" s="140"/>
      <c r="U4" s="140"/>
      <c r="V4" s="140"/>
      <c r="W4" s="140"/>
      <c r="X4" s="140"/>
      <c r="Y4" s="140"/>
      <c r="Z4" s="140"/>
      <c r="AA4" s="140"/>
      <c r="AB4" s="135"/>
      <c r="AC4" s="140"/>
      <c r="AD4" s="140"/>
      <c r="AE4" s="140"/>
      <c r="AF4" s="140"/>
      <c r="AG4" s="140"/>
      <c r="AH4" s="140"/>
      <c r="AI4" s="140"/>
      <c r="AJ4" s="140"/>
      <c r="AK4" s="140"/>
      <c r="AL4" s="140"/>
      <c r="AM4" s="140"/>
    </row>
    <row r="5" spans="1:39" x14ac:dyDescent="0.25">
      <c r="A5" s="140"/>
      <c r="B5" s="140"/>
      <c r="C5" s="140"/>
      <c r="D5" s="482" t="s">
        <v>1261</v>
      </c>
      <c r="E5" s="144">
        <f>$G$31</f>
        <v>0</v>
      </c>
      <c r="F5" s="140"/>
      <c r="G5" s="482" t="s">
        <v>107</v>
      </c>
      <c r="H5" s="1329" t="str">
        <f>'Multi-Customer'!$S$49</f>
        <v>Enter Customer(s)</v>
      </c>
      <c r="I5" s="1330"/>
      <c r="J5" s="1330"/>
      <c r="K5" s="1331"/>
      <c r="L5" s="140"/>
      <c r="M5" s="140"/>
      <c r="N5" s="140"/>
      <c r="O5" s="140"/>
      <c r="P5" s="140"/>
      <c r="Q5" s="140"/>
      <c r="R5" s="135"/>
      <c r="S5" s="140"/>
      <c r="T5" s="140"/>
      <c r="U5" s="140"/>
      <c r="V5" s="140"/>
      <c r="W5" s="140"/>
      <c r="X5" s="140"/>
      <c r="Y5" s="140"/>
      <c r="Z5" s="140"/>
      <c r="AA5" s="140"/>
      <c r="AB5" s="135"/>
      <c r="AC5" s="140"/>
      <c r="AD5" s="140"/>
      <c r="AE5" s="140"/>
      <c r="AF5" s="140"/>
      <c r="AG5" s="140"/>
      <c r="AH5" s="140"/>
      <c r="AI5" s="140"/>
      <c r="AJ5" s="140"/>
      <c r="AK5" s="140"/>
      <c r="AL5" s="140"/>
      <c r="AM5" s="140"/>
    </row>
    <row r="6" spans="1:39" x14ac:dyDescent="0.25">
      <c r="A6" s="140"/>
      <c r="B6" s="140"/>
      <c r="C6" s="140"/>
      <c r="D6" s="482" t="s">
        <v>1262</v>
      </c>
      <c r="E6" s="145">
        <f>IFERROR('Variable Costs (Back)'!$K$26,0)</f>
        <v>0</v>
      </c>
      <c r="F6" s="140"/>
      <c r="G6" s="482" t="s">
        <v>1271</v>
      </c>
      <c r="H6" s="1329" t="str">
        <f>'Multi-Customer'!$AH$40</f>
        <v>MULTIPLE TYPES</v>
      </c>
      <c r="I6" s="1330"/>
      <c r="J6" s="1330"/>
      <c r="K6" s="1331"/>
      <c r="L6" s="140"/>
      <c r="M6" s="140"/>
      <c r="N6" s="140"/>
      <c r="O6" s="140"/>
      <c r="P6" s="140"/>
      <c r="Q6" s="140"/>
      <c r="R6" s="135"/>
      <c r="S6" s="140"/>
      <c r="T6" s="140"/>
      <c r="U6" s="140"/>
      <c r="V6" s="140"/>
      <c r="W6" s="140"/>
      <c r="X6" s="140"/>
      <c r="Y6" s="140"/>
      <c r="Z6" s="140"/>
      <c r="AA6" s="140"/>
      <c r="AB6" s="135"/>
      <c r="AC6" s="140"/>
      <c r="AD6" s="140"/>
      <c r="AE6" s="140"/>
      <c r="AF6" s="140"/>
      <c r="AG6" s="140"/>
      <c r="AH6" s="140"/>
      <c r="AI6" s="140"/>
      <c r="AJ6" s="140"/>
      <c r="AK6" s="140"/>
      <c r="AL6" s="140"/>
      <c r="AM6" s="140"/>
    </row>
    <row r="7" spans="1:39" ht="15.75" thickBot="1" x14ac:dyDescent="0.3">
      <c r="A7" s="140"/>
      <c r="B7" s="140"/>
      <c r="C7" s="140"/>
      <c r="D7" s="483" t="s">
        <v>1263</v>
      </c>
      <c r="E7" s="395">
        <f>IFERROR('PIM Ranges'!$AU$3,0)</f>
        <v>0</v>
      </c>
      <c r="F7" s="140"/>
      <c r="G7" s="483" t="s">
        <v>1264</v>
      </c>
      <c r="H7" s="1335" t="s">
        <v>206</v>
      </c>
      <c r="I7" s="1336"/>
      <c r="J7" s="1336"/>
      <c r="K7" s="1337"/>
      <c r="L7" s="140"/>
      <c r="M7" s="140"/>
      <c r="N7" s="140"/>
      <c r="O7" s="140"/>
      <c r="P7" s="140"/>
      <c r="Q7" s="507"/>
      <c r="R7" s="135"/>
      <c r="S7" s="140"/>
      <c r="T7" s="140"/>
      <c r="U7" s="140"/>
      <c r="V7" s="140"/>
      <c r="W7" s="140"/>
      <c r="X7" s="140"/>
      <c r="Y7" s="140"/>
      <c r="Z7" s="140"/>
      <c r="AA7" s="140"/>
      <c r="AB7" s="135"/>
      <c r="AC7" s="140"/>
      <c r="AD7" s="140"/>
      <c r="AE7" s="140"/>
      <c r="AF7" s="140"/>
      <c r="AG7" s="140"/>
      <c r="AH7" s="140"/>
      <c r="AI7" s="140"/>
      <c r="AJ7" s="140"/>
      <c r="AK7" s="140"/>
      <c r="AL7" s="140"/>
      <c r="AM7" s="140"/>
    </row>
    <row r="8" spans="1:39" ht="31.9" customHeight="1" thickBot="1" x14ac:dyDescent="0.3">
      <c r="A8" s="140"/>
      <c r="B8" s="140"/>
      <c r="C8" s="140"/>
      <c r="D8" s="140"/>
      <c r="E8" s="140"/>
      <c r="F8" s="140"/>
      <c r="G8" s="613"/>
      <c r="H8" s="135"/>
      <c r="I8" s="135"/>
      <c r="J8" s="135"/>
      <c r="K8" s="140"/>
      <c r="L8" s="140"/>
      <c r="M8" s="140"/>
      <c r="N8" s="140"/>
      <c r="O8" s="476"/>
      <c r="P8" s="571" t="str">
        <f>IF($E$3="MDA","Contract Margin %","Margin % Used For Modeling")</f>
        <v>Margin % Used For Modeling</v>
      </c>
      <c r="Q8" s="476"/>
      <c r="R8" s="135"/>
      <c r="S8" s="147"/>
      <c r="T8" s="148" t="s">
        <v>505</v>
      </c>
      <c r="U8" s="147"/>
      <c r="V8" s="140"/>
      <c r="W8" s="386" t="s">
        <v>496</v>
      </c>
      <c r="X8" s="140"/>
      <c r="Y8" s="140"/>
      <c r="Z8" s="140"/>
      <c r="AA8" s="140"/>
      <c r="AB8" s="140"/>
      <c r="AC8" s="140"/>
      <c r="AD8" s="140"/>
      <c r="AE8" s="140"/>
      <c r="AF8" s="140"/>
      <c r="AG8" s="140"/>
      <c r="AH8" s="140"/>
      <c r="AI8" s="140"/>
      <c r="AJ8" s="140"/>
      <c r="AK8" s="140"/>
      <c r="AL8" s="140"/>
      <c r="AM8" s="140"/>
    </row>
    <row r="9" spans="1:39" ht="30" customHeight="1" thickBot="1" x14ac:dyDescent="0.3">
      <c r="A9" s="140"/>
      <c r="B9" s="504" t="s">
        <v>929</v>
      </c>
      <c r="C9" s="505" t="s">
        <v>1005</v>
      </c>
      <c r="D9" s="505" t="s">
        <v>1348</v>
      </c>
      <c r="E9" s="388" t="s">
        <v>466</v>
      </c>
      <c r="F9" s="149" t="s">
        <v>1395</v>
      </c>
      <c r="G9" s="150" t="s">
        <v>397</v>
      </c>
      <c r="H9" s="151" t="s">
        <v>83</v>
      </c>
      <c r="I9" s="152" t="s">
        <v>1349</v>
      </c>
      <c r="J9" s="149" t="s">
        <v>1350</v>
      </c>
      <c r="K9" s="153" t="s">
        <v>225</v>
      </c>
      <c r="L9" s="154"/>
      <c r="M9" s="155" t="s">
        <v>956</v>
      </c>
      <c r="N9" s="156"/>
      <c r="O9" s="478" t="s">
        <v>126</v>
      </c>
      <c r="P9" s="477" t="str">
        <f>IF($E$3="CIA","Incentive Only","Recommended")</f>
        <v>Recommended</v>
      </c>
      <c r="Q9" s="479" t="s">
        <v>128</v>
      </c>
      <c r="R9" s="135"/>
      <c r="S9" s="157" t="s">
        <v>126</v>
      </c>
      <c r="T9" s="158" t="s">
        <v>127</v>
      </c>
      <c r="U9" s="159" t="s">
        <v>128</v>
      </c>
      <c r="V9" s="140"/>
      <c r="W9" s="387" t="s">
        <v>127</v>
      </c>
      <c r="X9" s="140"/>
      <c r="Y9" s="140"/>
      <c r="Z9" s="140"/>
      <c r="AA9" s="140"/>
      <c r="AB9" s="142"/>
      <c r="AD9" s="160" t="s">
        <v>683</v>
      </c>
      <c r="AE9" s="140"/>
      <c r="AF9" s="639" t="s">
        <v>1011</v>
      </c>
      <c r="AG9" s="140" t="s">
        <v>1012</v>
      </c>
      <c r="AH9" s="140" t="s">
        <v>487</v>
      </c>
      <c r="AI9" s="140"/>
      <c r="AJ9" s="140"/>
      <c r="AK9" s="140"/>
      <c r="AL9" s="140"/>
      <c r="AM9" s="140"/>
    </row>
    <row r="10" spans="1:39" ht="17.25" x14ac:dyDescent="0.25">
      <c r="A10" s="140"/>
      <c r="B10" s="602">
        <v>0</v>
      </c>
      <c r="C10" s="608"/>
      <c r="D10" s="899" t="s">
        <v>482</v>
      </c>
      <c r="E10" s="603" t="s">
        <v>964</v>
      </c>
      <c r="F10" s="161" t="s">
        <v>99</v>
      </c>
      <c r="G10" s="642">
        <f>IFERROR('PIM Ranges'!AL12,0)</f>
        <v>0</v>
      </c>
      <c r="H10" s="643">
        <f>IFERROR('PIM Ranges'!AM12,0)</f>
        <v>0</v>
      </c>
      <c r="I10" s="644">
        <f>IFERROR('PIM Ranges'!AN12,0)</f>
        <v>0</v>
      </c>
      <c r="J10" s="392">
        <f t="shared" ref="J10:J26" si="0">IF($E$3="CIA",IF($D10="%",$P10*$G10,$P10*$I10),IF($D10="%",$K10*$G10,$K10*I10))</f>
        <v>0</v>
      </c>
      <c r="K10" s="802"/>
      <c r="L10" s="693" t="str">
        <f t="shared" ref="L10:L26" si="1">IF($E$3="CIA","",IF(K10="","",IF(K10&lt;O10,"X",IF(K10&gt;Q10,"X",""))))</f>
        <v/>
      </c>
      <c r="M10" s="800">
        <f>'Multi-Customer'!AE14</f>
        <v>0</v>
      </c>
      <c r="N10" s="162"/>
      <c r="O10" s="804" t="e">
        <f>'Multi-Customer'!$I14</f>
        <v>#DIV/0!</v>
      </c>
      <c r="P10" s="804" t="e">
        <f>'Multi-Customer'!$J14</f>
        <v>#DIV/0!</v>
      </c>
      <c r="Q10" s="804" t="e">
        <f>'Multi-Customer'!$K14</f>
        <v>#DIV/0!</v>
      </c>
      <c r="R10" s="503"/>
      <c r="S10" s="804"/>
      <c r="T10" s="804"/>
      <c r="U10" s="804"/>
      <c r="V10" s="140"/>
      <c r="W10" s="163" t="e">
        <f>'Multi-Customer'!AU14</f>
        <v>#DIV/0!</v>
      </c>
      <c r="X10" s="140"/>
      <c r="Y10" s="140"/>
      <c r="Z10" s="140"/>
      <c r="AA10" s="140"/>
      <c r="AB10" s="365" t="str">
        <f t="shared" ref="AB10:AB30" si="2">IF($E$3="CIA","",IF($H10&gt;0,IF(E10="Include",IF($K10&lt;&gt;"","","ERROR"),""),""))</f>
        <v/>
      </c>
      <c r="AC10" s="164">
        <f t="shared" ref="AC10:AC30" si="3">IF($E$3="CIA","N/A for Incentive Only Customer",K10)</f>
        <v>0</v>
      </c>
      <c r="AD10" s="140" t="str">
        <f>IF($K10="","",ROUND(IF($D10="%",AC10*100,K10),4))</f>
        <v/>
      </c>
      <c r="AE10" s="140"/>
      <c r="AF10" s="140" t="str">
        <f>IF(L10="X",IF(K10&lt;O10,"BELOW","ABOVE"),"")</f>
        <v/>
      </c>
      <c r="AG10" s="140" t="str">
        <f>IF($AF10="","",IF($AF10="ABOVE",$Q10,$O10))</f>
        <v/>
      </c>
      <c r="AH10" s="140" t="str">
        <f>IF($AF10="","",$K10)</f>
        <v/>
      </c>
      <c r="AI10" s="140"/>
      <c r="AJ10" s="140"/>
      <c r="AK10" s="140"/>
      <c r="AL10" s="140"/>
      <c r="AM10" s="140"/>
    </row>
    <row r="11" spans="1:39" ht="17.25" x14ac:dyDescent="0.25">
      <c r="A11" s="140"/>
      <c r="B11" s="604">
        <v>0</v>
      </c>
      <c r="C11" s="609"/>
      <c r="D11" s="735" t="s">
        <v>482</v>
      </c>
      <c r="E11" s="605" t="s">
        <v>964</v>
      </c>
      <c r="F11" s="986" t="s">
        <v>103</v>
      </c>
      <c r="G11" s="645">
        <f>IFERROR('PIM Ranges'!AL13,0)</f>
        <v>0</v>
      </c>
      <c r="H11" s="646">
        <f>IFERROR('PIM Ranges'!AM13,0)</f>
        <v>0</v>
      </c>
      <c r="I11" s="647">
        <f>IFERROR('PIM Ranges'!AN13,0)</f>
        <v>0</v>
      </c>
      <c r="J11" s="392">
        <f t="shared" si="0"/>
        <v>0</v>
      </c>
      <c r="K11" s="802"/>
      <c r="L11" s="693" t="str">
        <f t="shared" si="1"/>
        <v/>
      </c>
      <c r="M11" s="800">
        <f>'Multi-Customer'!AE15</f>
        <v>0</v>
      </c>
      <c r="N11" s="162"/>
      <c r="O11" s="804" t="e">
        <f>'Multi-Customer'!$I15</f>
        <v>#DIV/0!</v>
      </c>
      <c r="P11" s="804" t="e">
        <f>'Multi-Customer'!$J15</f>
        <v>#DIV/0!</v>
      </c>
      <c r="Q11" s="804" t="e">
        <f>'Multi-Customer'!$K15</f>
        <v>#DIV/0!</v>
      </c>
      <c r="R11" s="503"/>
      <c r="S11" s="1063" t="e">
        <f>'Multi-Customer'!$I15*'PIM Ranges'!$AP13</f>
        <v>#DIV/0!</v>
      </c>
      <c r="T11" s="1063" t="e">
        <f>'Multi-Customer'!$J15*'PIM Ranges'!$AP13</f>
        <v>#DIV/0!</v>
      </c>
      <c r="U11" s="1063" t="e">
        <f>'Multi-Customer'!$K15*'PIM Ranges'!$AP13</f>
        <v>#DIV/0!</v>
      </c>
      <c r="V11" s="140"/>
      <c r="W11" s="163" t="e">
        <f>'Multi-Customer'!AU15</f>
        <v>#DIV/0!</v>
      </c>
      <c r="X11" s="140"/>
      <c r="Y11" s="140"/>
      <c r="Z11" s="140"/>
      <c r="AA11" s="140"/>
      <c r="AB11" s="365" t="str">
        <f t="shared" si="2"/>
        <v/>
      </c>
      <c r="AC11" s="164">
        <f t="shared" si="3"/>
        <v>0</v>
      </c>
      <c r="AD11" s="140" t="str">
        <f t="shared" ref="AD11:AD30" si="4">IF($K11="","",ROUND(IF($D11="%",AC11*100,K11),4))</f>
        <v/>
      </c>
      <c r="AE11" s="140"/>
      <c r="AF11" s="140" t="str">
        <f t="shared" ref="AF11:AF30" si="5">IF(L11="X",IF(K11&lt;O11,"BELOW","ABOVE"),"")</f>
        <v/>
      </c>
      <c r="AG11" s="140" t="str">
        <f t="shared" ref="AG11:AG30" si="6">IF($AF11="","",IF($AF11="ABOVE",$Q11,$O11))</f>
        <v/>
      </c>
      <c r="AH11" s="140" t="str">
        <f t="shared" ref="AH11:AH30" si="7">IF($AF11="","",$K11)</f>
        <v/>
      </c>
      <c r="AI11" s="140"/>
      <c r="AJ11" s="140"/>
      <c r="AK11" s="140"/>
      <c r="AL11" s="140"/>
      <c r="AM11" s="140"/>
    </row>
    <row r="12" spans="1:39" ht="17.25" x14ac:dyDescent="0.25">
      <c r="A12" s="140"/>
      <c r="B12" s="604">
        <v>0</v>
      </c>
      <c r="C12" s="609"/>
      <c r="D12" s="735" t="s">
        <v>482</v>
      </c>
      <c r="E12" s="605" t="s">
        <v>964</v>
      </c>
      <c r="F12" s="986" t="s">
        <v>1399</v>
      </c>
      <c r="G12" s="645">
        <f>IFERROR('PIM Ranges'!AL14,0)</f>
        <v>0</v>
      </c>
      <c r="H12" s="646">
        <f>IFERROR('PIM Ranges'!AM14,0)</f>
        <v>0</v>
      </c>
      <c r="I12" s="647">
        <f>IFERROR('PIM Ranges'!AN14,0)</f>
        <v>0</v>
      </c>
      <c r="J12" s="392">
        <f t="shared" si="0"/>
        <v>0</v>
      </c>
      <c r="K12" s="802"/>
      <c r="L12" s="693" t="str">
        <f t="shared" si="1"/>
        <v/>
      </c>
      <c r="M12" s="800">
        <f>'Multi-Customer'!AE16</f>
        <v>0</v>
      </c>
      <c r="N12" s="162"/>
      <c r="O12" s="804" t="e">
        <f>'Multi-Customer'!$I16</f>
        <v>#DIV/0!</v>
      </c>
      <c r="P12" s="804" t="e">
        <f>'Multi-Customer'!$J16</f>
        <v>#DIV/0!</v>
      </c>
      <c r="Q12" s="804" t="e">
        <f>'Multi-Customer'!$K16</f>
        <v>#DIV/0!</v>
      </c>
      <c r="R12" s="503"/>
      <c r="S12" s="1063" t="e">
        <f>'Multi-Customer'!$I16*'PIM Ranges'!$AP14</f>
        <v>#DIV/0!</v>
      </c>
      <c r="T12" s="1063" t="e">
        <f>'Multi-Customer'!$J16*'PIM Ranges'!$AP14</f>
        <v>#DIV/0!</v>
      </c>
      <c r="U12" s="1063" t="e">
        <f>'Multi-Customer'!$K16*'PIM Ranges'!$AP14</f>
        <v>#DIV/0!</v>
      </c>
      <c r="V12" s="140"/>
      <c r="W12" s="163" t="e">
        <f>'Multi-Customer'!AU16</f>
        <v>#DIV/0!</v>
      </c>
      <c r="X12" s="140"/>
      <c r="Y12" s="140"/>
      <c r="Z12" s="140"/>
      <c r="AA12" s="140"/>
      <c r="AB12" s="365" t="str">
        <f t="shared" si="2"/>
        <v/>
      </c>
      <c r="AC12" s="164">
        <f t="shared" si="3"/>
        <v>0</v>
      </c>
      <c r="AD12" s="140" t="str">
        <f t="shared" si="4"/>
        <v/>
      </c>
      <c r="AE12" s="140"/>
      <c r="AF12" s="140" t="str">
        <f t="shared" si="5"/>
        <v/>
      </c>
      <c r="AG12" s="140" t="str">
        <f t="shared" si="6"/>
        <v/>
      </c>
      <c r="AH12" s="140" t="str">
        <f t="shared" si="7"/>
        <v/>
      </c>
      <c r="AI12" s="140"/>
      <c r="AJ12" s="140"/>
      <c r="AK12" s="140"/>
      <c r="AL12" s="140"/>
      <c r="AM12" s="140"/>
    </row>
    <row r="13" spans="1:39" ht="17.25" x14ac:dyDescent="0.25">
      <c r="A13" s="140"/>
      <c r="B13" s="604">
        <v>0</v>
      </c>
      <c r="C13" s="609"/>
      <c r="D13" s="900" t="s">
        <v>482</v>
      </c>
      <c r="E13" s="605" t="s">
        <v>964</v>
      </c>
      <c r="F13" s="165" t="s">
        <v>102</v>
      </c>
      <c r="G13" s="645">
        <f>IFERROR('PIM Ranges'!AL15,0)</f>
        <v>0</v>
      </c>
      <c r="H13" s="646">
        <f>IFERROR('PIM Ranges'!AM15,0)</f>
        <v>0</v>
      </c>
      <c r="I13" s="647">
        <f>IFERROR('PIM Ranges'!AN15,0)</f>
        <v>0</v>
      </c>
      <c r="J13" s="392">
        <f t="shared" si="0"/>
        <v>0</v>
      </c>
      <c r="K13" s="802"/>
      <c r="L13" s="693" t="str">
        <f t="shared" si="1"/>
        <v/>
      </c>
      <c r="M13" s="800">
        <f>'Multi-Customer'!AE17</f>
        <v>0</v>
      </c>
      <c r="N13" s="162"/>
      <c r="O13" s="804" t="e">
        <f>'Multi-Customer'!$I17</f>
        <v>#DIV/0!</v>
      </c>
      <c r="P13" s="804" t="e">
        <f>'Multi-Customer'!$J17</f>
        <v>#DIV/0!</v>
      </c>
      <c r="Q13" s="804" t="e">
        <f>'Multi-Customer'!$K17</f>
        <v>#DIV/0!</v>
      </c>
      <c r="R13" s="503"/>
      <c r="S13" s="804"/>
      <c r="T13" s="804"/>
      <c r="U13" s="804"/>
      <c r="V13" s="140"/>
      <c r="W13" s="163" t="e">
        <f>'Multi-Customer'!AU17</f>
        <v>#DIV/0!</v>
      </c>
      <c r="X13" s="140"/>
      <c r="Y13" s="140"/>
      <c r="Z13" s="140"/>
      <c r="AA13" s="140"/>
      <c r="AB13" s="365" t="str">
        <f t="shared" si="2"/>
        <v/>
      </c>
      <c r="AC13" s="164">
        <f t="shared" si="3"/>
        <v>0</v>
      </c>
      <c r="AD13" s="140" t="str">
        <f t="shared" si="4"/>
        <v/>
      </c>
      <c r="AE13" s="140"/>
      <c r="AF13" s="140" t="str">
        <f t="shared" si="5"/>
        <v/>
      </c>
      <c r="AG13" s="140" t="str">
        <f t="shared" si="6"/>
        <v/>
      </c>
      <c r="AH13" s="140" t="str">
        <f t="shared" si="7"/>
        <v/>
      </c>
      <c r="AI13" s="140"/>
      <c r="AJ13" s="140"/>
      <c r="AK13" s="140"/>
      <c r="AL13" s="140"/>
      <c r="AM13" s="140"/>
    </row>
    <row r="14" spans="1:39" ht="17.25" x14ac:dyDescent="0.25">
      <c r="A14" s="140"/>
      <c r="B14" s="604">
        <v>0</v>
      </c>
      <c r="C14" s="609"/>
      <c r="D14" s="900" t="s">
        <v>482</v>
      </c>
      <c r="E14" s="605" t="s">
        <v>964</v>
      </c>
      <c r="F14" s="165" t="s">
        <v>100</v>
      </c>
      <c r="G14" s="645">
        <f>IFERROR('PIM Ranges'!AL16,0)</f>
        <v>0</v>
      </c>
      <c r="H14" s="646">
        <f>IFERROR('PIM Ranges'!AM16,0)</f>
        <v>0</v>
      </c>
      <c r="I14" s="647">
        <f>IFERROR('PIM Ranges'!AN16,0)</f>
        <v>0</v>
      </c>
      <c r="J14" s="392">
        <f t="shared" si="0"/>
        <v>0</v>
      </c>
      <c r="K14" s="802"/>
      <c r="L14" s="693" t="str">
        <f t="shared" si="1"/>
        <v/>
      </c>
      <c r="M14" s="800">
        <f>'Multi-Customer'!AE18</f>
        <v>0</v>
      </c>
      <c r="N14" s="162"/>
      <c r="O14" s="804" t="e">
        <f>'Multi-Customer'!$I18</f>
        <v>#DIV/0!</v>
      </c>
      <c r="P14" s="804" t="e">
        <f>'Multi-Customer'!$J18</f>
        <v>#DIV/0!</v>
      </c>
      <c r="Q14" s="804" t="e">
        <f>'Multi-Customer'!$K18</f>
        <v>#DIV/0!</v>
      </c>
      <c r="R14" s="503"/>
      <c r="S14" s="804"/>
      <c r="T14" s="804"/>
      <c r="U14" s="804"/>
      <c r="V14" s="140"/>
      <c r="W14" s="163" t="e">
        <f>'Multi-Customer'!AU18</f>
        <v>#DIV/0!</v>
      </c>
      <c r="X14" s="140"/>
      <c r="Y14" s="140"/>
      <c r="Z14" s="140"/>
      <c r="AA14" s="140"/>
      <c r="AB14" s="365" t="str">
        <f t="shared" si="2"/>
        <v/>
      </c>
      <c r="AC14" s="164">
        <f t="shared" si="3"/>
        <v>0</v>
      </c>
      <c r="AD14" s="140" t="str">
        <f t="shared" si="4"/>
        <v/>
      </c>
      <c r="AE14" s="140"/>
      <c r="AF14" s="140" t="str">
        <f t="shared" si="5"/>
        <v/>
      </c>
      <c r="AG14" s="140" t="str">
        <f t="shared" si="6"/>
        <v/>
      </c>
      <c r="AH14" s="140" t="str">
        <f t="shared" si="7"/>
        <v/>
      </c>
      <c r="AI14" s="140"/>
      <c r="AJ14" s="140"/>
      <c r="AK14" s="140"/>
      <c r="AL14" s="140"/>
      <c r="AM14" s="140"/>
    </row>
    <row r="15" spans="1:39" ht="17.25" x14ac:dyDescent="0.25">
      <c r="A15" s="140"/>
      <c r="B15" s="604">
        <v>0</v>
      </c>
      <c r="C15" s="609"/>
      <c r="D15" s="900" t="s">
        <v>482</v>
      </c>
      <c r="E15" s="605" t="s">
        <v>964</v>
      </c>
      <c r="F15" s="165" t="s">
        <v>104</v>
      </c>
      <c r="G15" s="645">
        <f>IFERROR('PIM Ranges'!AL17,0)</f>
        <v>0</v>
      </c>
      <c r="H15" s="646">
        <f>IFERROR('PIM Ranges'!AM17,0)</f>
        <v>0</v>
      </c>
      <c r="I15" s="647">
        <f>IFERROR('PIM Ranges'!AN17,0)</f>
        <v>0</v>
      </c>
      <c r="J15" s="392">
        <f t="shared" si="0"/>
        <v>0</v>
      </c>
      <c r="K15" s="802"/>
      <c r="L15" s="693" t="str">
        <f t="shared" si="1"/>
        <v/>
      </c>
      <c r="M15" s="800">
        <f>'Multi-Customer'!AE19</f>
        <v>0</v>
      </c>
      <c r="N15" s="162"/>
      <c r="O15" s="804" t="e">
        <f>'Multi-Customer'!$I19</f>
        <v>#DIV/0!</v>
      </c>
      <c r="P15" s="804" t="e">
        <f>'Multi-Customer'!$J19</f>
        <v>#DIV/0!</v>
      </c>
      <c r="Q15" s="804" t="e">
        <f>'Multi-Customer'!$K19</f>
        <v>#DIV/0!</v>
      </c>
      <c r="R15" s="503"/>
      <c r="S15" s="804"/>
      <c r="T15" s="804"/>
      <c r="U15" s="804"/>
      <c r="V15" s="140"/>
      <c r="W15" s="163" t="e">
        <f>'Multi-Customer'!AU19</f>
        <v>#DIV/0!</v>
      </c>
      <c r="X15" s="140"/>
      <c r="Y15" s="140"/>
      <c r="Z15" s="140"/>
      <c r="AA15" s="140"/>
      <c r="AB15" s="365" t="str">
        <f t="shared" si="2"/>
        <v/>
      </c>
      <c r="AC15" s="164">
        <f t="shared" si="3"/>
        <v>0</v>
      </c>
      <c r="AD15" s="140" t="str">
        <f t="shared" si="4"/>
        <v/>
      </c>
      <c r="AE15" s="140"/>
      <c r="AF15" s="140" t="str">
        <f t="shared" si="5"/>
        <v/>
      </c>
      <c r="AG15" s="140" t="str">
        <f t="shared" si="6"/>
        <v/>
      </c>
      <c r="AH15" s="140" t="str">
        <f t="shared" si="7"/>
        <v/>
      </c>
      <c r="AI15" s="140"/>
      <c r="AJ15" s="140"/>
      <c r="AK15" s="140"/>
      <c r="AL15" s="140"/>
      <c r="AM15" s="140"/>
    </row>
    <row r="16" spans="1:39" ht="17.25" x14ac:dyDescent="0.25">
      <c r="A16" s="140"/>
      <c r="B16" s="604">
        <v>0</v>
      </c>
      <c r="C16" s="609"/>
      <c r="D16" s="900" t="s">
        <v>482</v>
      </c>
      <c r="E16" s="605" t="s">
        <v>964</v>
      </c>
      <c r="F16" s="165" t="s">
        <v>98</v>
      </c>
      <c r="G16" s="645">
        <f>IFERROR('PIM Ranges'!AL18,0)</f>
        <v>0</v>
      </c>
      <c r="H16" s="646">
        <f>IFERROR('PIM Ranges'!AM18,0)</f>
        <v>0</v>
      </c>
      <c r="I16" s="647">
        <f>IFERROR('PIM Ranges'!AN18,0)</f>
        <v>0</v>
      </c>
      <c r="J16" s="392">
        <f t="shared" si="0"/>
        <v>0</v>
      </c>
      <c r="K16" s="802"/>
      <c r="L16" s="693" t="str">
        <f t="shared" si="1"/>
        <v/>
      </c>
      <c r="M16" s="800">
        <f>'Multi-Customer'!AE20</f>
        <v>0</v>
      </c>
      <c r="N16" s="162"/>
      <c r="O16" s="804" t="e">
        <f>'Multi-Customer'!$I20</f>
        <v>#DIV/0!</v>
      </c>
      <c r="P16" s="804" t="e">
        <f>'Multi-Customer'!$J20</f>
        <v>#DIV/0!</v>
      </c>
      <c r="Q16" s="804" t="e">
        <f>'Multi-Customer'!$K20</f>
        <v>#DIV/0!</v>
      </c>
      <c r="R16" s="503"/>
      <c r="S16" s="804"/>
      <c r="T16" s="804"/>
      <c r="U16" s="804"/>
      <c r="V16" s="140"/>
      <c r="W16" s="163" t="e">
        <f>'Multi-Customer'!AU20</f>
        <v>#DIV/0!</v>
      </c>
      <c r="X16" s="140"/>
      <c r="Y16" s="140"/>
      <c r="Z16" s="140"/>
      <c r="AA16" s="140"/>
      <c r="AB16" s="365" t="str">
        <f t="shared" si="2"/>
        <v/>
      </c>
      <c r="AC16" s="164">
        <f t="shared" si="3"/>
        <v>0</v>
      </c>
      <c r="AD16" s="140" t="str">
        <f t="shared" si="4"/>
        <v/>
      </c>
      <c r="AE16" s="140"/>
      <c r="AF16" s="140" t="str">
        <f t="shared" si="5"/>
        <v/>
      </c>
      <c r="AG16" s="140" t="str">
        <f t="shared" si="6"/>
        <v/>
      </c>
      <c r="AH16" s="140" t="str">
        <f t="shared" si="7"/>
        <v/>
      </c>
      <c r="AI16" s="140"/>
      <c r="AJ16" s="140"/>
      <c r="AK16" s="140"/>
      <c r="AL16" s="140"/>
      <c r="AM16" s="140"/>
    </row>
    <row r="17" spans="1:39" ht="17.25" x14ac:dyDescent="0.25">
      <c r="A17" s="140"/>
      <c r="B17" s="604">
        <v>0</v>
      </c>
      <c r="C17" s="609"/>
      <c r="D17" s="900" t="s">
        <v>482</v>
      </c>
      <c r="E17" s="605" t="s">
        <v>964</v>
      </c>
      <c r="F17" s="165" t="s">
        <v>95</v>
      </c>
      <c r="G17" s="645">
        <f>IFERROR('PIM Ranges'!AL19,0)</f>
        <v>0</v>
      </c>
      <c r="H17" s="646">
        <f>IFERROR('PIM Ranges'!AM19,0)</f>
        <v>0</v>
      </c>
      <c r="I17" s="647">
        <f>IFERROR('PIM Ranges'!AN19,0)</f>
        <v>0</v>
      </c>
      <c r="J17" s="392">
        <f t="shared" si="0"/>
        <v>0</v>
      </c>
      <c r="K17" s="802"/>
      <c r="L17" s="693" t="str">
        <f t="shared" si="1"/>
        <v/>
      </c>
      <c r="M17" s="800">
        <f>'Multi-Customer'!AE21</f>
        <v>0</v>
      </c>
      <c r="N17" s="162"/>
      <c r="O17" s="804" t="e">
        <f>'Multi-Customer'!$I21</f>
        <v>#DIV/0!</v>
      </c>
      <c r="P17" s="804" t="e">
        <f>'Multi-Customer'!$J21</f>
        <v>#DIV/0!</v>
      </c>
      <c r="Q17" s="804" t="e">
        <f>'Multi-Customer'!$K21</f>
        <v>#DIV/0!</v>
      </c>
      <c r="R17" s="503"/>
      <c r="S17" s="804"/>
      <c r="T17" s="804"/>
      <c r="U17" s="804"/>
      <c r="V17" s="140"/>
      <c r="W17" s="163" t="e">
        <f>'Multi-Customer'!AU21</f>
        <v>#DIV/0!</v>
      </c>
      <c r="X17" s="140"/>
      <c r="Y17" s="140"/>
      <c r="Z17" s="140"/>
      <c r="AA17" s="140"/>
      <c r="AB17" s="365" t="str">
        <f t="shared" si="2"/>
        <v/>
      </c>
      <c r="AC17" s="164">
        <f t="shared" si="3"/>
        <v>0</v>
      </c>
      <c r="AD17" s="140" t="str">
        <f t="shared" si="4"/>
        <v/>
      </c>
      <c r="AE17" s="140"/>
      <c r="AF17" s="140" t="str">
        <f t="shared" si="5"/>
        <v/>
      </c>
      <c r="AG17" s="140" t="str">
        <f t="shared" si="6"/>
        <v/>
      </c>
      <c r="AH17" s="140" t="str">
        <f t="shared" si="7"/>
        <v/>
      </c>
      <c r="AI17" s="140"/>
      <c r="AJ17" s="140"/>
      <c r="AK17" s="140"/>
      <c r="AL17" s="140"/>
      <c r="AM17" s="140"/>
    </row>
    <row r="18" spans="1:39" ht="17.25" x14ac:dyDescent="0.25">
      <c r="A18" s="140"/>
      <c r="B18" s="604">
        <v>0</v>
      </c>
      <c r="C18" s="609"/>
      <c r="D18" s="900" t="s">
        <v>482</v>
      </c>
      <c r="E18" s="605" t="s">
        <v>964</v>
      </c>
      <c r="F18" s="165" t="s">
        <v>96</v>
      </c>
      <c r="G18" s="645">
        <f>IFERROR('PIM Ranges'!AL20,0)</f>
        <v>0</v>
      </c>
      <c r="H18" s="646">
        <f>IFERROR('PIM Ranges'!AM20,0)</f>
        <v>0</v>
      </c>
      <c r="I18" s="647">
        <f>IFERROR('PIM Ranges'!AN20,0)</f>
        <v>0</v>
      </c>
      <c r="J18" s="392">
        <f t="shared" si="0"/>
        <v>0</v>
      </c>
      <c r="K18" s="802"/>
      <c r="L18" s="693" t="str">
        <f t="shared" si="1"/>
        <v/>
      </c>
      <c r="M18" s="800">
        <f>'Multi-Customer'!AE22</f>
        <v>0</v>
      </c>
      <c r="N18" s="162"/>
      <c r="O18" s="804" t="e">
        <f>'Multi-Customer'!$I22</f>
        <v>#DIV/0!</v>
      </c>
      <c r="P18" s="804" t="e">
        <f>'Multi-Customer'!$J22</f>
        <v>#DIV/0!</v>
      </c>
      <c r="Q18" s="804" t="e">
        <f>'Multi-Customer'!$K22</f>
        <v>#DIV/0!</v>
      </c>
      <c r="R18" s="503"/>
      <c r="S18" s="804"/>
      <c r="T18" s="804"/>
      <c r="U18" s="804"/>
      <c r="V18" s="140"/>
      <c r="W18" s="163" t="e">
        <f>'Multi-Customer'!AU22</f>
        <v>#DIV/0!</v>
      </c>
      <c r="X18" s="140"/>
      <c r="Y18" s="140"/>
      <c r="Z18" s="140"/>
      <c r="AA18" s="140"/>
      <c r="AB18" s="365" t="str">
        <f t="shared" si="2"/>
        <v/>
      </c>
      <c r="AC18" s="164">
        <f t="shared" si="3"/>
        <v>0</v>
      </c>
      <c r="AD18" s="140" t="str">
        <f t="shared" si="4"/>
        <v/>
      </c>
      <c r="AE18" s="140"/>
      <c r="AF18" s="140" t="str">
        <f t="shared" si="5"/>
        <v/>
      </c>
      <c r="AG18" s="140" t="str">
        <f t="shared" si="6"/>
        <v/>
      </c>
      <c r="AH18" s="140" t="str">
        <f t="shared" si="7"/>
        <v/>
      </c>
      <c r="AI18" s="140"/>
      <c r="AJ18" s="140"/>
      <c r="AK18" s="140"/>
      <c r="AL18" s="140"/>
      <c r="AM18" s="140"/>
    </row>
    <row r="19" spans="1:39" ht="17.25" x14ac:dyDescent="0.25">
      <c r="A19" s="140"/>
      <c r="B19" s="604">
        <v>0</v>
      </c>
      <c r="C19" s="609"/>
      <c r="D19" s="900" t="s">
        <v>482</v>
      </c>
      <c r="E19" s="605" t="s">
        <v>964</v>
      </c>
      <c r="F19" s="165" t="s">
        <v>101</v>
      </c>
      <c r="G19" s="645">
        <f>IFERROR('PIM Ranges'!AL21,0)</f>
        <v>0</v>
      </c>
      <c r="H19" s="646">
        <f>IFERROR('PIM Ranges'!AM21,0)</f>
        <v>0</v>
      </c>
      <c r="I19" s="647">
        <f>IFERROR('PIM Ranges'!AN21,0)</f>
        <v>0</v>
      </c>
      <c r="J19" s="392">
        <f t="shared" si="0"/>
        <v>0</v>
      </c>
      <c r="K19" s="802"/>
      <c r="L19" s="693" t="str">
        <f t="shared" si="1"/>
        <v/>
      </c>
      <c r="M19" s="800">
        <f>'Multi-Customer'!AE23</f>
        <v>0</v>
      </c>
      <c r="N19" s="162"/>
      <c r="O19" s="804" t="e">
        <f>'Multi-Customer'!$I23</f>
        <v>#DIV/0!</v>
      </c>
      <c r="P19" s="804" t="e">
        <f>'Multi-Customer'!$J23</f>
        <v>#DIV/0!</v>
      </c>
      <c r="Q19" s="804" t="e">
        <f>'Multi-Customer'!$K23</f>
        <v>#DIV/0!</v>
      </c>
      <c r="R19" s="503"/>
      <c r="S19" s="804"/>
      <c r="T19" s="804"/>
      <c r="U19" s="804"/>
      <c r="V19" s="140"/>
      <c r="W19" s="163" t="e">
        <f>'Multi-Customer'!AU23</f>
        <v>#DIV/0!</v>
      </c>
      <c r="X19" s="140"/>
      <c r="Y19" s="140"/>
      <c r="Z19" s="140"/>
      <c r="AA19" s="140"/>
      <c r="AB19" s="365" t="str">
        <f t="shared" si="2"/>
        <v/>
      </c>
      <c r="AC19" s="164">
        <f t="shared" si="3"/>
        <v>0</v>
      </c>
      <c r="AD19" s="140" t="str">
        <f t="shared" si="4"/>
        <v/>
      </c>
      <c r="AE19" s="140"/>
      <c r="AF19" s="140" t="str">
        <f t="shared" si="5"/>
        <v/>
      </c>
      <c r="AG19" s="140" t="str">
        <f t="shared" si="6"/>
        <v/>
      </c>
      <c r="AH19" s="140" t="str">
        <f t="shared" si="7"/>
        <v/>
      </c>
      <c r="AI19" s="140"/>
      <c r="AJ19" s="140"/>
      <c r="AK19" s="140"/>
      <c r="AL19" s="140"/>
      <c r="AM19" s="140"/>
    </row>
    <row r="20" spans="1:39" ht="17.25" x14ac:dyDescent="0.25">
      <c r="A20" s="140"/>
      <c r="B20" s="604">
        <v>0</v>
      </c>
      <c r="C20" s="609"/>
      <c r="D20" s="900" t="s">
        <v>482</v>
      </c>
      <c r="E20" s="605" t="s">
        <v>964</v>
      </c>
      <c r="F20" s="165" t="s">
        <v>97</v>
      </c>
      <c r="G20" s="645">
        <f>IFERROR('PIM Ranges'!AL22,0)</f>
        <v>0</v>
      </c>
      <c r="H20" s="646">
        <f>IFERROR('PIM Ranges'!AM22,0)</f>
        <v>0</v>
      </c>
      <c r="I20" s="647">
        <f>IFERROR('PIM Ranges'!AN22,0)</f>
        <v>0</v>
      </c>
      <c r="J20" s="392">
        <f t="shared" si="0"/>
        <v>0</v>
      </c>
      <c r="K20" s="802"/>
      <c r="L20" s="693" t="str">
        <f t="shared" si="1"/>
        <v/>
      </c>
      <c r="M20" s="800">
        <f>'Multi-Customer'!AE24</f>
        <v>0</v>
      </c>
      <c r="N20" s="162"/>
      <c r="O20" s="804" t="e">
        <f>'Multi-Customer'!$I24</f>
        <v>#DIV/0!</v>
      </c>
      <c r="P20" s="804" t="e">
        <f>'Multi-Customer'!$J24</f>
        <v>#DIV/0!</v>
      </c>
      <c r="Q20" s="804" t="e">
        <f>'Multi-Customer'!$K24</f>
        <v>#DIV/0!</v>
      </c>
      <c r="R20" s="503"/>
      <c r="S20" s="804"/>
      <c r="T20" s="804"/>
      <c r="U20" s="804"/>
      <c r="V20" s="140"/>
      <c r="W20" s="163" t="e">
        <f>'Multi-Customer'!AU24</f>
        <v>#DIV/0!</v>
      </c>
      <c r="X20" s="140"/>
      <c r="Y20" s="140"/>
      <c r="Z20" s="140"/>
      <c r="AA20" s="140"/>
      <c r="AB20" s="365" t="str">
        <f t="shared" si="2"/>
        <v/>
      </c>
      <c r="AC20" s="164">
        <f t="shared" si="3"/>
        <v>0</v>
      </c>
      <c r="AD20" s="140" t="str">
        <f t="shared" si="4"/>
        <v/>
      </c>
      <c r="AE20" s="140"/>
      <c r="AF20" s="140" t="str">
        <f t="shared" si="5"/>
        <v/>
      </c>
      <c r="AG20" s="140" t="str">
        <f t="shared" si="6"/>
        <v/>
      </c>
      <c r="AH20" s="140" t="str">
        <f t="shared" si="7"/>
        <v/>
      </c>
      <c r="AI20" s="140"/>
      <c r="AJ20" s="140"/>
      <c r="AK20" s="140"/>
      <c r="AL20" s="140"/>
      <c r="AM20" s="140"/>
    </row>
    <row r="21" spans="1:39" ht="17.25" x14ac:dyDescent="0.25">
      <c r="A21" s="140"/>
      <c r="B21" s="604">
        <v>0</v>
      </c>
      <c r="C21" s="609"/>
      <c r="D21" s="900" t="s">
        <v>482</v>
      </c>
      <c r="E21" s="605" t="s">
        <v>964</v>
      </c>
      <c r="F21" s="165" t="s">
        <v>93</v>
      </c>
      <c r="G21" s="645">
        <f>IFERROR('PIM Ranges'!AL23,0)</f>
        <v>0</v>
      </c>
      <c r="H21" s="646">
        <f>IFERROR('PIM Ranges'!AM23,0)</f>
        <v>0</v>
      </c>
      <c r="I21" s="647">
        <f>IFERROR('PIM Ranges'!AN23,0)</f>
        <v>0</v>
      </c>
      <c r="J21" s="392">
        <f t="shared" si="0"/>
        <v>0</v>
      </c>
      <c r="K21" s="802"/>
      <c r="L21" s="693" t="str">
        <f t="shared" si="1"/>
        <v/>
      </c>
      <c r="M21" s="800">
        <f>'Multi-Customer'!AE25</f>
        <v>0</v>
      </c>
      <c r="N21" s="162"/>
      <c r="O21" s="804" t="e">
        <f>'Multi-Customer'!$I25</f>
        <v>#DIV/0!</v>
      </c>
      <c r="P21" s="804" t="e">
        <f>'Multi-Customer'!$J25</f>
        <v>#DIV/0!</v>
      </c>
      <c r="Q21" s="804" t="e">
        <f>'Multi-Customer'!$K25</f>
        <v>#DIV/0!</v>
      </c>
      <c r="R21" s="503"/>
      <c r="S21" s="804"/>
      <c r="T21" s="804"/>
      <c r="U21" s="804"/>
      <c r="V21" s="140"/>
      <c r="W21" s="163" t="e">
        <f>'Multi-Customer'!AU25</f>
        <v>#DIV/0!</v>
      </c>
      <c r="X21" s="140"/>
      <c r="Y21" s="140"/>
      <c r="Z21" s="140"/>
      <c r="AA21" s="140"/>
      <c r="AB21" s="365" t="str">
        <f t="shared" si="2"/>
        <v/>
      </c>
      <c r="AC21" s="164">
        <f t="shared" si="3"/>
        <v>0</v>
      </c>
      <c r="AD21" s="140" t="str">
        <f t="shared" si="4"/>
        <v/>
      </c>
      <c r="AE21" s="140"/>
      <c r="AF21" s="140" t="str">
        <f t="shared" si="5"/>
        <v/>
      </c>
      <c r="AG21" s="140" t="str">
        <f t="shared" si="6"/>
        <v/>
      </c>
      <c r="AH21" s="140" t="str">
        <f t="shared" si="7"/>
        <v/>
      </c>
      <c r="AI21" s="140"/>
      <c r="AJ21" s="140"/>
      <c r="AK21" s="140"/>
      <c r="AL21" s="140"/>
      <c r="AM21" s="140"/>
    </row>
    <row r="22" spans="1:39" ht="17.25" x14ac:dyDescent="0.25">
      <c r="A22" s="140"/>
      <c r="B22" s="604">
        <v>0</v>
      </c>
      <c r="C22" s="609"/>
      <c r="D22" s="735" t="s">
        <v>482</v>
      </c>
      <c r="E22" s="605" t="s">
        <v>964</v>
      </c>
      <c r="F22" s="165" t="s">
        <v>105</v>
      </c>
      <c r="G22" s="645">
        <f>IFERROR('PIM Ranges'!AL24,0)</f>
        <v>0</v>
      </c>
      <c r="H22" s="646">
        <f>IFERROR('PIM Ranges'!AM24,0)</f>
        <v>0</v>
      </c>
      <c r="I22" s="647">
        <f>IFERROR('PIM Ranges'!AN24,0)</f>
        <v>0</v>
      </c>
      <c r="J22" s="392">
        <f t="shared" si="0"/>
        <v>0</v>
      </c>
      <c r="K22" s="802"/>
      <c r="L22" s="693" t="str">
        <f t="shared" si="1"/>
        <v/>
      </c>
      <c r="M22" s="800">
        <f>'Multi-Customer'!AE26</f>
        <v>0</v>
      </c>
      <c r="N22" s="162"/>
      <c r="O22" s="804" t="e">
        <f>'Multi-Customer'!$I26</f>
        <v>#DIV/0!</v>
      </c>
      <c r="P22" s="804" t="e">
        <f>'Multi-Customer'!$J26</f>
        <v>#DIV/0!</v>
      </c>
      <c r="Q22" s="804" t="e">
        <f>'Multi-Customer'!$K26</f>
        <v>#DIV/0!</v>
      </c>
      <c r="R22" s="503"/>
      <c r="S22" s="1063" t="e">
        <f>'Multi-Customer'!$I26*'PIM Ranges'!$AP24</f>
        <v>#DIV/0!</v>
      </c>
      <c r="T22" s="1063" t="e">
        <f>'Multi-Customer'!$J26*'PIM Ranges'!$AP24</f>
        <v>#DIV/0!</v>
      </c>
      <c r="U22" s="1063" t="e">
        <f>'Multi-Customer'!$K26*'PIM Ranges'!$AP24</f>
        <v>#DIV/0!</v>
      </c>
      <c r="V22" s="140"/>
      <c r="W22" s="163" t="e">
        <f>'Multi-Customer'!AU26</f>
        <v>#DIV/0!</v>
      </c>
      <c r="X22" s="140"/>
      <c r="Y22" s="140"/>
      <c r="Z22" s="140"/>
      <c r="AA22" s="140"/>
      <c r="AB22" s="365" t="str">
        <f t="shared" si="2"/>
        <v/>
      </c>
      <c r="AC22" s="164">
        <f t="shared" si="3"/>
        <v>0</v>
      </c>
      <c r="AD22" s="140" t="str">
        <f t="shared" si="4"/>
        <v/>
      </c>
      <c r="AE22" s="140"/>
      <c r="AF22" s="140" t="str">
        <f t="shared" si="5"/>
        <v/>
      </c>
      <c r="AG22" s="140" t="str">
        <f t="shared" si="6"/>
        <v/>
      </c>
      <c r="AH22" s="140" t="str">
        <f t="shared" si="7"/>
        <v/>
      </c>
      <c r="AI22" s="140"/>
      <c r="AJ22" s="140"/>
      <c r="AK22" s="140"/>
      <c r="AL22" s="140"/>
      <c r="AM22" s="140"/>
    </row>
    <row r="23" spans="1:39" ht="17.25" x14ac:dyDescent="0.25">
      <c r="A23" s="140"/>
      <c r="B23" s="604">
        <v>0</v>
      </c>
      <c r="C23" s="609"/>
      <c r="D23" s="900" t="s">
        <v>482</v>
      </c>
      <c r="E23" s="605" t="s">
        <v>964</v>
      </c>
      <c r="F23" s="165" t="s">
        <v>92</v>
      </c>
      <c r="G23" s="645">
        <f>IFERROR('PIM Ranges'!AL25,0)</f>
        <v>0</v>
      </c>
      <c r="H23" s="646">
        <f>IFERROR('PIM Ranges'!AM25,0)</f>
        <v>0</v>
      </c>
      <c r="I23" s="647">
        <f>IFERROR('PIM Ranges'!AN25,0)</f>
        <v>0</v>
      </c>
      <c r="J23" s="392">
        <f t="shared" si="0"/>
        <v>0</v>
      </c>
      <c r="K23" s="802"/>
      <c r="L23" s="693" t="str">
        <f t="shared" si="1"/>
        <v/>
      </c>
      <c r="M23" s="800">
        <f>'Multi-Customer'!AE27</f>
        <v>0</v>
      </c>
      <c r="N23" s="162"/>
      <c r="O23" s="804" t="e">
        <f>'Multi-Customer'!$I27</f>
        <v>#DIV/0!</v>
      </c>
      <c r="P23" s="804" t="e">
        <f>'Multi-Customer'!$J27</f>
        <v>#DIV/0!</v>
      </c>
      <c r="Q23" s="804" t="e">
        <f>'Multi-Customer'!$K27</f>
        <v>#DIV/0!</v>
      </c>
      <c r="R23" s="503"/>
      <c r="S23" s="804"/>
      <c r="T23" s="804"/>
      <c r="U23" s="804"/>
      <c r="V23" s="140"/>
      <c r="W23" s="163" t="e">
        <f>'Multi-Customer'!AU27</f>
        <v>#DIV/0!</v>
      </c>
      <c r="X23" s="140"/>
      <c r="Y23" s="140"/>
      <c r="Z23" s="140"/>
      <c r="AA23" s="140"/>
      <c r="AB23" s="365" t="str">
        <f t="shared" si="2"/>
        <v/>
      </c>
      <c r="AC23" s="164">
        <f t="shared" si="3"/>
        <v>0</v>
      </c>
      <c r="AD23" s="140" t="str">
        <f t="shared" si="4"/>
        <v/>
      </c>
      <c r="AE23" s="140"/>
      <c r="AF23" s="140" t="str">
        <f t="shared" si="5"/>
        <v/>
      </c>
      <c r="AG23" s="140" t="str">
        <f t="shared" si="6"/>
        <v/>
      </c>
      <c r="AH23" s="140" t="str">
        <f t="shared" si="7"/>
        <v/>
      </c>
      <c r="AI23" s="140"/>
      <c r="AJ23" s="140"/>
      <c r="AK23" s="140"/>
      <c r="AL23" s="140"/>
      <c r="AM23" s="140"/>
    </row>
    <row r="24" spans="1:39" ht="17.25" x14ac:dyDescent="0.25">
      <c r="A24" s="140"/>
      <c r="B24" s="604">
        <v>0</v>
      </c>
      <c r="C24" s="609"/>
      <c r="D24" s="735" t="s">
        <v>482</v>
      </c>
      <c r="E24" s="605" t="s">
        <v>964</v>
      </c>
      <c r="F24" s="165" t="s">
        <v>91</v>
      </c>
      <c r="G24" s="645">
        <f>IFERROR('PIM Ranges'!AL26,0)</f>
        <v>0</v>
      </c>
      <c r="H24" s="646">
        <f>IFERROR('PIM Ranges'!AM26,0)</f>
        <v>0</v>
      </c>
      <c r="I24" s="647">
        <f>IFERROR('PIM Ranges'!AN26,0)</f>
        <v>0</v>
      </c>
      <c r="J24" s="392">
        <f t="shared" si="0"/>
        <v>0</v>
      </c>
      <c r="K24" s="802"/>
      <c r="L24" s="693" t="str">
        <f t="shared" si="1"/>
        <v/>
      </c>
      <c r="M24" s="800">
        <f>'Multi-Customer'!AE28</f>
        <v>0</v>
      </c>
      <c r="N24" s="162"/>
      <c r="O24" s="804" t="e">
        <f>'Multi-Customer'!$I28</f>
        <v>#DIV/0!</v>
      </c>
      <c r="P24" s="804" t="e">
        <f>'Multi-Customer'!$J28</f>
        <v>#DIV/0!</v>
      </c>
      <c r="Q24" s="804" t="e">
        <f>'Multi-Customer'!$K28</f>
        <v>#DIV/0!</v>
      </c>
      <c r="R24" s="503"/>
      <c r="S24" s="1063" t="e">
        <f>'Multi-Customer'!$I28*'PIM Ranges'!$AP26</f>
        <v>#DIV/0!</v>
      </c>
      <c r="T24" s="1063" t="e">
        <f>'Multi-Customer'!$J28*'PIM Ranges'!$AP26</f>
        <v>#DIV/0!</v>
      </c>
      <c r="U24" s="1063" t="e">
        <f>'Multi-Customer'!$K28*'PIM Ranges'!$AP26</f>
        <v>#DIV/0!</v>
      </c>
      <c r="V24" s="140"/>
      <c r="W24" s="163" t="e">
        <f>'Multi-Customer'!AU28</f>
        <v>#DIV/0!</v>
      </c>
      <c r="X24" s="140"/>
      <c r="Y24" s="140"/>
      <c r="Z24" s="140"/>
      <c r="AA24" s="140"/>
      <c r="AB24" s="365" t="str">
        <f t="shared" si="2"/>
        <v/>
      </c>
      <c r="AC24" s="164">
        <f t="shared" si="3"/>
        <v>0</v>
      </c>
      <c r="AD24" s="140" t="str">
        <f t="shared" si="4"/>
        <v/>
      </c>
      <c r="AE24" s="140"/>
      <c r="AF24" s="140" t="str">
        <f t="shared" si="5"/>
        <v/>
      </c>
      <c r="AG24" s="140" t="str">
        <f t="shared" si="6"/>
        <v/>
      </c>
      <c r="AH24" s="140" t="str">
        <f t="shared" si="7"/>
        <v/>
      </c>
      <c r="AI24" s="140"/>
      <c r="AJ24" s="140"/>
      <c r="AK24" s="140"/>
      <c r="AL24" s="140"/>
      <c r="AM24" s="140"/>
    </row>
    <row r="25" spans="1:39" ht="17.25" x14ac:dyDescent="0.25">
      <c r="A25" s="140"/>
      <c r="B25" s="604">
        <v>0</v>
      </c>
      <c r="C25" s="609"/>
      <c r="D25" s="735" t="s">
        <v>482</v>
      </c>
      <c r="E25" s="605" t="s">
        <v>964</v>
      </c>
      <c r="F25" s="165" t="s">
        <v>90</v>
      </c>
      <c r="G25" s="645">
        <f>IFERROR('PIM Ranges'!AL27,0)</f>
        <v>0</v>
      </c>
      <c r="H25" s="646">
        <f>IFERROR('PIM Ranges'!AM27,0)</f>
        <v>0</v>
      </c>
      <c r="I25" s="647">
        <f>IFERROR('PIM Ranges'!AN27,0)</f>
        <v>0</v>
      </c>
      <c r="J25" s="392">
        <f t="shared" si="0"/>
        <v>0</v>
      </c>
      <c r="K25" s="802"/>
      <c r="L25" s="693" t="str">
        <f t="shared" si="1"/>
        <v/>
      </c>
      <c r="M25" s="800">
        <f>'Multi-Customer'!AE29</f>
        <v>0</v>
      </c>
      <c r="N25" s="162"/>
      <c r="O25" s="804" t="e">
        <f>'Multi-Customer'!$I29</f>
        <v>#DIV/0!</v>
      </c>
      <c r="P25" s="804" t="e">
        <f>'Multi-Customer'!$J29</f>
        <v>#DIV/0!</v>
      </c>
      <c r="Q25" s="804" t="e">
        <f>'Multi-Customer'!$K29</f>
        <v>#DIV/0!</v>
      </c>
      <c r="R25" s="503"/>
      <c r="S25" s="1063" t="e">
        <f>'Multi-Customer'!$I29*'PIM Ranges'!$AP27</f>
        <v>#DIV/0!</v>
      </c>
      <c r="T25" s="1063" t="e">
        <f>'Multi-Customer'!$J29*'PIM Ranges'!$AP27</f>
        <v>#DIV/0!</v>
      </c>
      <c r="U25" s="1063" t="e">
        <f>'Multi-Customer'!$K29*'PIM Ranges'!$AP27</f>
        <v>#DIV/0!</v>
      </c>
      <c r="V25" s="140"/>
      <c r="W25" s="163" t="e">
        <f>'Multi-Customer'!AU29</f>
        <v>#DIV/0!</v>
      </c>
      <c r="X25" s="140"/>
      <c r="Y25" s="140"/>
      <c r="Z25" s="140"/>
      <c r="AA25" s="140"/>
      <c r="AB25" s="365" t="str">
        <f t="shared" si="2"/>
        <v/>
      </c>
      <c r="AC25" s="164">
        <f t="shared" si="3"/>
        <v>0</v>
      </c>
      <c r="AD25" s="140" t="str">
        <f t="shared" si="4"/>
        <v/>
      </c>
      <c r="AE25" s="140"/>
      <c r="AF25" s="140" t="str">
        <f t="shared" si="5"/>
        <v/>
      </c>
      <c r="AG25" s="140" t="str">
        <f t="shared" si="6"/>
        <v/>
      </c>
      <c r="AH25" s="140" t="str">
        <f t="shared" si="7"/>
        <v/>
      </c>
      <c r="AI25" s="140"/>
      <c r="AJ25" s="140"/>
      <c r="AK25" s="140"/>
      <c r="AL25" s="140"/>
      <c r="AM25" s="140"/>
    </row>
    <row r="26" spans="1:39" ht="17.25" x14ac:dyDescent="0.25">
      <c r="A26" s="140"/>
      <c r="B26" s="604">
        <v>0</v>
      </c>
      <c r="C26" s="609"/>
      <c r="D26" s="735" t="s">
        <v>482</v>
      </c>
      <c r="E26" s="605" t="s">
        <v>964</v>
      </c>
      <c r="F26" s="165" t="s">
        <v>89</v>
      </c>
      <c r="G26" s="645">
        <f>IFERROR('PIM Ranges'!AL28,0)</f>
        <v>0</v>
      </c>
      <c r="H26" s="646">
        <f>IFERROR('PIM Ranges'!AM28,0)</f>
        <v>0</v>
      </c>
      <c r="I26" s="647">
        <f>IFERROR('PIM Ranges'!AN28,0)</f>
        <v>0</v>
      </c>
      <c r="J26" s="392">
        <f t="shared" si="0"/>
        <v>0</v>
      </c>
      <c r="K26" s="802"/>
      <c r="L26" s="693" t="str">
        <f t="shared" si="1"/>
        <v/>
      </c>
      <c r="M26" s="800">
        <f>'Multi-Customer'!AE30</f>
        <v>0</v>
      </c>
      <c r="N26" s="162"/>
      <c r="O26" s="804" t="e">
        <f>'Multi-Customer'!$I30</f>
        <v>#DIV/0!</v>
      </c>
      <c r="P26" s="804" t="e">
        <f>'Multi-Customer'!$J30</f>
        <v>#DIV/0!</v>
      </c>
      <c r="Q26" s="804" t="e">
        <f>'Multi-Customer'!$K30</f>
        <v>#DIV/0!</v>
      </c>
      <c r="R26" s="503"/>
      <c r="S26" s="1063" t="e">
        <f>'Multi-Customer'!$I30*'PIM Ranges'!$AP28</f>
        <v>#DIV/0!</v>
      </c>
      <c r="T26" s="1063" t="e">
        <f>'Multi-Customer'!$J30*'PIM Ranges'!$AP28</f>
        <v>#DIV/0!</v>
      </c>
      <c r="U26" s="1063" t="e">
        <f>'Multi-Customer'!$K30*'PIM Ranges'!$AP28</f>
        <v>#DIV/0!</v>
      </c>
      <c r="V26" s="140"/>
      <c r="W26" s="163" t="e">
        <f>'Multi-Customer'!AU30</f>
        <v>#DIV/0!</v>
      </c>
      <c r="X26" s="140"/>
      <c r="Y26" s="140"/>
      <c r="Z26" s="140"/>
      <c r="AA26" s="140"/>
      <c r="AB26" s="365" t="str">
        <f t="shared" si="2"/>
        <v/>
      </c>
      <c r="AC26" s="164">
        <f t="shared" si="3"/>
        <v>0</v>
      </c>
      <c r="AD26" s="140" t="str">
        <f t="shared" si="4"/>
        <v/>
      </c>
      <c r="AE26" s="140"/>
      <c r="AF26" s="140" t="str">
        <f t="shared" si="5"/>
        <v/>
      </c>
      <c r="AG26" s="140" t="str">
        <f t="shared" si="6"/>
        <v/>
      </c>
      <c r="AH26" s="140" t="str">
        <f t="shared" si="7"/>
        <v/>
      </c>
      <c r="AI26" s="140"/>
      <c r="AJ26" s="140"/>
      <c r="AK26" s="140"/>
      <c r="AL26" s="140"/>
      <c r="AM26" s="140"/>
    </row>
    <row r="27" spans="1:39" ht="17.25" x14ac:dyDescent="0.25">
      <c r="A27" s="140"/>
      <c r="B27" s="604">
        <v>0</v>
      </c>
      <c r="C27" s="609"/>
      <c r="D27" s="735" t="s">
        <v>482</v>
      </c>
      <c r="E27" s="605" t="s">
        <v>964</v>
      </c>
      <c r="F27" s="165" t="s">
        <v>94</v>
      </c>
      <c r="G27" s="645">
        <f>IFERROR('PIM Ranges'!AL29,0)</f>
        <v>0</v>
      </c>
      <c r="H27" s="646">
        <f>IFERROR('PIM Ranges'!AM29,0)</f>
        <v>0</v>
      </c>
      <c r="I27" s="647">
        <f>IFERROR('PIM Ranges'!AN29,0)</f>
        <v>0</v>
      </c>
      <c r="J27" s="392">
        <f>IF($E$3="CIA",IF($D27="%",$P27*$G27,$P27*$H27),IF($D27="%",$K27*$G27,$K27*H27))</f>
        <v>0</v>
      </c>
      <c r="K27" s="802"/>
      <c r="L27" s="693" t="str">
        <f>IF(K27&lt;0,"X",IF($E$3="CIA","",IF(K27="","",IF(K27&lt;O27,"L",IF(K27&gt;Q27,"X","")))))</f>
        <v/>
      </c>
      <c r="M27" s="800">
        <f>'Multi-Customer'!AE31</f>
        <v>0</v>
      </c>
      <c r="N27" s="162"/>
      <c r="O27" s="804" t="e">
        <f>'Multi-Customer'!$I31</f>
        <v>#DIV/0!</v>
      </c>
      <c r="P27" s="804" t="e">
        <f>'Multi-Customer'!$J31</f>
        <v>#DIV/0!</v>
      </c>
      <c r="Q27" s="804" t="e">
        <f>'Multi-Customer'!$K31</f>
        <v>#DIV/0!</v>
      </c>
      <c r="R27" s="503"/>
      <c r="S27" s="1063" t="e">
        <f>'Multi-Customer'!$I31*'PIM Ranges'!$AO29</f>
        <v>#DIV/0!</v>
      </c>
      <c r="T27" s="1063" t="e">
        <f>'Multi-Customer'!$J31*'PIM Ranges'!$AO29</f>
        <v>#DIV/0!</v>
      </c>
      <c r="U27" s="1063" t="e">
        <f>'Multi-Customer'!$K31*'PIM Ranges'!$AO29</f>
        <v>#DIV/0!</v>
      </c>
      <c r="V27" s="140"/>
      <c r="W27" s="163" t="e">
        <f>'Multi-Customer'!AU31</f>
        <v>#DIV/0!</v>
      </c>
      <c r="X27" s="140"/>
      <c r="Y27" s="140"/>
      <c r="Z27" s="140"/>
      <c r="AA27" s="140"/>
      <c r="AB27" s="365" t="str">
        <f t="shared" si="2"/>
        <v/>
      </c>
      <c r="AC27" s="164">
        <f t="shared" si="3"/>
        <v>0</v>
      </c>
      <c r="AD27" s="140" t="str">
        <f t="shared" si="4"/>
        <v/>
      </c>
      <c r="AE27" s="140"/>
      <c r="AF27" s="140" t="str">
        <f t="shared" si="5"/>
        <v/>
      </c>
      <c r="AG27" s="140" t="str">
        <f t="shared" si="6"/>
        <v/>
      </c>
      <c r="AH27" s="140" t="str">
        <f t="shared" si="7"/>
        <v/>
      </c>
      <c r="AI27" s="140"/>
      <c r="AJ27" s="140"/>
      <c r="AK27" s="140"/>
      <c r="AL27" s="140"/>
      <c r="AM27" s="140"/>
    </row>
    <row r="28" spans="1:39" ht="17.25" x14ac:dyDescent="0.25">
      <c r="A28" s="140"/>
      <c r="B28" s="604">
        <v>0</v>
      </c>
      <c r="C28" s="609"/>
      <c r="D28" s="900" t="s">
        <v>482</v>
      </c>
      <c r="E28" s="605" t="s">
        <v>964</v>
      </c>
      <c r="F28" s="165" t="s">
        <v>86</v>
      </c>
      <c r="G28" s="645">
        <f>IFERROR('PIM Ranges'!AL30,0)</f>
        <v>0</v>
      </c>
      <c r="H28" s="646">
        <f>IFERROR('PIM Ranges'!AM30,0)</f>
        <v>0</v>
      </c>
      <c r="I28" s="647">
        <f>IFERROR('PIM Ranges'!AN30,0)</f>
        <v>0</v>
      </c>
      <c r="J28" s="392">
        <f>IF($E$3="CIA",IF($D28="%",$P28*$G28,$P28*$I28),IF($D28="%",$K28*$G28,$K28*I28))</f>
        <v>0</v>
      </c>
      <c r="K28" s="802"/>
      <c r="L28" s="693" t="str">
        <f>IF($E$3="CIA","",IF(K28="","",IF(K28&lt;O28,"X",IF(K28&gt;Q28,"X",""))))</f>
        <v/>
      </c>
      <c r="M28" s="800">
        <f>'Multi-Customer'!AE32</f>
        <v>0</v>
      </c>
      <c r="N28" s="162"/>
      <c r="O28" s="804" t="e">
        <f>'Multi-Customer'!$I32</f>
        <v>#DIV/0!</v>
      </c>
      <c r="P28" s="804" t="e">
        <f>'Multi-Customer'!$J32</f>
        <v>#DIV/0!</v>
      </c>
      <c r="Q28" s="804" t="e">
        <f>'Multi-Customer'!$K32</f>
        <v>#DIV/0!</v>
      </c>
      <c r="R28" s="503"/>
      <c r="S28" s="804"/>
      <c r="T28" s="804"/>
      <c r="U28" s="804"/>
      <c r="V28" s="140"/>
      <c r="W28" s="163" t="e">
        <f>'Multi-Customer'!AU32</f>
        <v>#DIV/0!</v>
      </c>
      <c r="X28" s="140"/>
      <c r="Y28" s="140"/>
      <c r="Z28" s="140"/>
      <c r="AA28" s="140"/>
      <c r="AB28" s="365" t="str">
        <f t="shared" si="2"/>
        <v/>
      </c>
      <c r="AC28" s="164">
        <f t="shared" si="3"/>
        <v>0</v>
      </c>
      <c r="AD28" s="140" t="str">
        <f t="shared" si="4"/>
        <v/>
      </c>
      <c r="AE28" s="140"/>
      <c r="AF28" s="140" t="str">
        <f t="shared" si="5"/>
        <v/>
      </c>
      <c r="AG28" s="140" t="str">
        <f t="shared" si="6"/>
        <v/>
      </c>
      <c r="AH28" s="140" t="str">
        <f t="shared" si="7"/>
        <v/>
      </c>
      <c r="AI28" s="140"/>
      <c r="AJ28" s="140"/>
      <c r="AK28" s="140"/>
      <c r="AL28" s="140"/>
      <c r="AM28" s="140"/>
    </row>
    <row r="29" spans="1:39" ht="17.25" x14ac:dyDescent="0.25">
      <c r="A29" s="140"/>
      <c r="B29" s="604">
        <v>0</v>
      </c>
      <c r="C29" s="609"/>
      <c r="D29" s="736" t="s">
        <v>482</v>
      </c>
      <c r="E29" s="605" t="s">
        <v>964</v>
      </c>
      <c r="F29" s="165" t="s">
        <v>88</v>
      </c>
      <c r="G29" s="645">
        <f>IFERROR('PIM Ranges'!AL31,0)</f>
        <v>0</v>
      </c>
      <c r="H29" s="646">
        <f>IFERROR('PIM Ranges'!AM31,0)</f>
        <v>0</v>
      </c>
      <c r="I29" s="647">
        <f>IFERROR('PIM Ranges'!AN31,0)</f>
        <v>0</v>
      </c>
      <c r="J29" s="392">
        <f>IF($E$3="CIA",IF($D29="%",$P29*$G29,$P29*$I29),IF($D29="%",$K29*$G29,$K29*I29))</f>
        <v>0</v>
      </c>
      <c r="K29" s="802"/>
      <c r="L29" s="693" t="str">
        <f>IF($E$3="CIA","",IF(K29="","",IF(K29&lt;O29,"X",IF(K29&gt;Q29,"X",""))))</f>
        <v/>
      </c>
      <c r="M29" s="800">
        <f>'Multi-Customer'!AE33</f>
        <v>0</v>
      </c>
      <c r="N29" s="162"/>
      <c r="O29" s="804" t="e">
        <f>'Multi-Customer'!$I33</f>
        <v>#DIV/0!</v>
      </c>
      <c r="P29" s="804" t="e">
        <f>'Multi-Customer'!$J33</f>
        <v>#DIV/0!</v>
      </c>
      <c r="Q29" s="804" t="e">
        <f>'Multi-Customer'!$K33</f>
        <v>#DIV/0!</v>
      </c>
      <c r="R29" s="503"/>
      <c r="S29" s="1063" t="e">
        <f>'Multi-Customer'!$I33*'PIM Ranges'!$AP31</f>
        <v>#DIV/0!</v>
      </c>
      <c r="T29" s="1063" t="e">
        <f>'Multi-Customer'!$J33*'PIM Ranges'!$AP31</f>
        <v>#DIV/0!</v>
      </c>
      <c r="U29" s="1063" t="e">
        <f>'Multi-Customer'!$K33*'PIM Ranges'!$AP31</f>
        <v>#DIV/0!</v>
      </c>
      <c r="V29" s="140"/>
      <c r="W29" s="163" t="e">
        <f>'Multi-Customer'!AU33</f>
        <v>#DIV/0!</v>
      </c>
      <c r="X29" s="140"/>
      <c r="Y29" s="140"/>
      <c r="Z29" s="140"/>
      <c r="AA29" s="140"/>
      <c r="AB29" s="365" t="str">
        <f t="shared" si="2"/>
        <v/>
      </c>
      <c r="AC29" s="164">
        <f t="shared" si="3"/>
        <v>0</v>
      </c>
      <c r="AD29" s="140" t="str">
        <f t="shared" si="4"/>
        <v/>
      </c>
      <c r="AE29" s="140"/>
      <c r="AF29" s="140" t="str">
        <f t="shared" si="5"/>
        <v/>
      </c>
      <c r="AG29" s="140" t="str">
        <f t="shared" si="6"/>
        <v/>
      </c>
      <c r="AH29" s="140" t="str">
        <f t="shared" si="7"/>
        <v/>
      </c>
      <c r="AI29" s="140"/>
      <c r="AJ29" s="140"/>
      <c r="AK29" s="140"/>
      <c r="AL29" s="140"/>
      <c r="AM29" s="140"/>
    </row>
    <row r="30" spans="1:39" ht="18" thickBot="1" x14ac:dyDescent="0.3">
      <c r="A30" s="140"/>
      <c r="B30" s="606">
        <v>0</v>
      </c>
      <c r="C30" s="610"/>
      <c r="D30" s="737" t="s">
        <v>482</v>
      </c>
      <c r="E30" s="607" t="s">
        <v>964</v>
      </c>
      <c r="F30" s="166" t="s">
        <v>87</v>
      </c>
      <c r="G30" s="645">
        <f>IFERROR('PIM Ranges'!AL32,0)</f>
        <v>0</v>
      </c>
      <c r="H30" s="646">
        <f>IFERROR('PIM Ranges'!AM32,0)</f>
        <v>0</v>
      </c>
      <c r="I30" s="648">
        <f>IFERROR('PIM Ranges'!AN32,0)</f>
        <v>0</v>
      </c>
      <c r="J30" s="392">
        <f>IF($E$3="CIA",IF($D30="%",$P30*$G30,$P30*$I30),IF($D30="%",$K30*$G30,$K30*I30))</f>
        <v>0</v>
      </c>
      <c r="K30" s="803"/>
      <c r="L30" s="693" t="str">
        <f>IF($E$3="CIA","",IF(K30="","",IF(K30&lt;O30,"X",IF(K30&gt;Q30,"X",""))))</f>
        <v/>
      </c>
      <c r="M30" s="801">
        <f>'Multi-Customer'!AE34</f>
        <v>0</v>
      </c>
      <c r="N30" s="162"/>
      <c r="O30" s="804" t="e">
        <f>'Multi-Customer'!$I34</f>
        <v>#DIV/0!</v>
      </c>
      <c r="P30" s="804" t="e">
        <f>'Multi-Customer'!$J34</f>
        <v>#DIV/0!</v>
      </c>
      <c r="Q30" s="804" t="e">
        <f>'Multi-Customer'!$K34</f>
        <v>#DIV/0!</v>
      </c>
      <c r="R30" s="503"/>
      <c r="S30" s="1063" t="e">
        <f>'Multi-Customer'!$I34*'PIM Ranges'!$AP32</f>
        <v>#DIV/0!</v>
      </c>
      <c r="T30" s="1063" t="e">
        <f>'Multi-Customer'!$J34*'PIM Ranges'!$AP32</f>
        <v>#DIV/0!</v>
      </c>
      <c r="U30" s="1063" t="e">
        <f>'Multi-Customer'!$K34*'PIM Ranges'!$AP32</f>
        <v>#DIV/0!</v>
      </c>
      <c r="V30" s="140"/>
      <c r="W30" s="163" t="e">
        <f>'Multi-Customer'!AU34</f>
        <v>#DIV/0!</v>
      </c>
      <c r="X30" s="140"/>
      <c r="Y30" s="140"/>
      <c r="Z30" s="140"/>
      <c r="AA30" s="140"/>
      <c r="AB30" s="365" t="str">
        <f t="shared" si="2"/>
        <v/>
      </c>
      <c r="AC30" s="164">
        <f t="shared" si="3"/>
        <v>0</v>
      </c>
      <c r="AD30" s="140" t="str">
        <f t="shared" si="4"/>
        <v/>
      </c>
      <c r="AE30" s="140"/>
      <c r="AF30" s="140" t="str">
        <f t="shared" si="5"/>
        <v/>
      </c>
      <c r="AG30" s="140" t="str">
        <f t="shared" si="6"/>
        <v/>
      </c>
      <c r="AH30" s="140" t="str">
        <f t="shared" si="7"/>
        <v/>
      </c>
      <c r="AI30" s="140"/>
      <c r="AJ30" s="140"/>
      <c r="AK30" s="140"/>
      <c r="AL30" s="140"/>
      <c r="AM30" s="140"/>
    </row>
    <row r="31" spans="1:39" ht="14.45" customHeight="1" thickBot="1" x14ac:dyDescent="0.3">
      <c r="A31" s="140"/>
      <c r="B31" s="140"/>
      <c r="C31" s="140"/>
      <c r="D31" s="140"/>
      <c r="E31" s="140"/>
      <c r="F31" s="167" t="s">
        <v>109</v>
      </c>
      <c r="G31" s="168">
        <f>'Customer Inputs'!$P$17</f>
        <v>0</v>
      </c>
      <c r="H31" s="169">
        <f>SUM(H10:H30)</f>
        <v>0</v>
      </c>
      <c r="I31" s="170">
        <f>SUM(I10:I30)</f>
        <v>0</v>
      </c>
      <c r="J31" s="393">
        <f>SUM(J10:J30)</f>
        <v>0</v>
      </c>
      <c r="K31" s="140"/>
      <c r="L31" s="140"/>
      <c r="M31" s="140"/>
      <c r="N31" s="140"/>
      <c r="O31" s="140"/>
      <c r="P31" s="140"/>
      <c r="Q31" s="140"/>
      <c r="R31" s="135"/>
      <c r="S31" s="140"/>
      <c r="T31" s="140"/>
      <c r="U31" s="140"/>
      <c r="V31" s="140"/>
      <c r="W31" s="140"/>
      <c r="X31" s="140"/>
      <c r="Y31" s="140"/>
      <c r="Z31" s="140"/>
      <c r="AA31" s="140"/>
      <c r="AB31" s="135"/>
      <c r="AC31" s="140"/>
      <c r="AD31" s="140"/>
      <c r="AE31" s="140"/>
      <c r="AF31" s="140"/>
      <c r="AG31" s="140"/>
      <c r="AH31" s="140"/>
      <c r="AI31" s="140"/>
      <c r="AJ31" s="140"/>
      <c r="AK31" s="140"/>
      <c r="AL31" s="140"/>
      <c r="AM31" s="140"/>
    </row>
    <row r="32" spans="1:39" ht="15.75" thickBot="1" x14ac:dyDescent="0.3">
      <c r="A32" s="140"/>
      <c r="B32" s="140"/>
      <c r="C32" s="140"/>
      <c r="D32" s="140"/>
      <c r="E32" s="140"/>
      <c r="F32" s="167"/>
      <c r="G32" s="171">
        <f>IF($H$32=21,$G$31,ROUND(SUMIFS($G$10:$G$30,$D$10:$D$30,"%"),0))</f>
        <v>0</v>
      </c>
      <c r="H32" s="171">
        <f>COUNTIF($D$10:$D$30,"%")</f>
        <v>21</v>
      </c>
      <c r="I32" s="135"/>
      <c r="J32" s="135"/>
      <c r="K32" s="140"/>
      <c r="L32" s="140"/>
      <c r="M32" s="140"/>
      <c r="N32" s="140"/>
      <c r="O32" s="140"/>
      <c r="P32" s="140"/>
      <c r="Q32" s="140"/>
      <c r="R32" s="135"/>
      <c r="S32" s="140"/>
      <c r="T32" s="140"/>
      <c r="U32" s="140"/>
      <c r="V32" s="140"/>
      <c r="W32" s="140"/>
      <c r="X32" s="140"/>
      <c r="Y32" s="140"/>
      <c r="Z32" s="140"/>
      <c r="AA32" s="140"/>
      <c r="AB32" s="135"/>
      <c r="AC32" s="140"/>
      <c r="AD32" s="140"/>
      <c r="AE32" s="140"/>
      <c r="AF32" s="140"/>
      <c r="AG32" s="140"/>
      <c r="AH32" s="140"/>
      <c r="AI32" s="140"/>
      <c r="AJ32" s="140"/>
      <c r="AK32" s="140"/>
      <c r="AL32" s="140"/>
      <c r="AM32" s="140"/>
    </row>
    <row r="33" spans="1:39" ht="22.15" customHeight="1" x14ac:dyDescent="0.3">
      <c r="A33" s="140"/>
      <c r="B33" s="140"/>
      <c r="C33" s="140"/>
      <c r="D33" s="140"/>
      <c r="E33" s="140"/>
      <c r="F33" s="140"/>
      <c r="G33" s="1340" t="s">
        <v>119</v>
      </c>
      <c r="H33" s="1341"/>
      <c r="I33" s="475" t="e">
        <f>IF($E$3="MDA",'PIM Ranges'!$AX$7,'PIM Ranges'!$BJ$7)</f>
        <v>#DIV/0!</v>
      </c>
      <c r="J33" s="135"/>
      <c r="K33" s="1342" t="str">
        <f>IF(COUNTIF($AB$10:$AB$30,"ERROR")&lt;1,"",IF(COUNTIF($AB$10:$AB$30,"ERROR")&lt;2,(COUNTIF($AB$10:$AB$30,"ERROR")&amp;" Margin Missing Above"),(COUNTIF($AB$10:$AB$30,"ERROR")&amp;" Margins Missing Above")))</f>
        <v/>
      </c>
      <c r="L33" s="1342" t="str">
        <f t="shared" ref="L33" si="8">IF(COUNTIF($AB$10:$AB$30,"ERROR")&lt;1,"",IF(COUNTIF($AB$10:$AB$30,"ERROR")&lt;2,(COUNTIF($AB$10:$AB$30,"ERROR")&amp;" Margin Missing Above"),(COUNTIF($AB$10:$AB$30,"ERROR")&amp;" Margins Missing Above")))</f>
        <v/>
      </c>
      <c r="M33" s="140"/>
      <c r="N33" s="140"/>
      <c r="O33" s="140"/>
      <c r="P33" s="140"/>
      <c r="Q33" s="140"/>
      <c r="R33" s="135"/>
      <c r="S33" s="140"/>
      <c r="T33" s="140"/>
      <c r="U33" s="140"/>
      <c r="V33" s="140"/>
      <c r="W33" s="140"/>
      <c r="X33" s="140"/>
      <c r="Y33" s="140"/>
      <c r="Z33" s="140"/>
      <c r="AA33" s="140"/>
      <c r="AB33" s="135"/>
      <c r="AC33" s="140"/>
      <c r="AD33" s="140"/>
      <c r="AE33" s="140"/>
      <c r="AF33" s="140"/>
      <c r="AG33" s="140"/>
      <c r="AH33" s="140"/>
      <c r="AI33" s="140"/>
      <c r="AJ33" s="140"/>
      <c r="AK33" s="140"/>
      <c r="AL33" s="140"/>
      <c r="AM33" s="140"/>
    </row>
    <row r="34" spans="1:39" ht="25.15" customHeight="1" x14ac:dyDescent="0.25">
      <c r="A34" s="140"/>
      <c r="B34" s="140"/>
      <c r="C34" s="140"/>
      <c r="D34" s="140"/>
      <c r="E34" s="140"/>
      <c r="F34" s="140"/>
      <c r="G34" s="1338" t="s">
        <v>491</v>
      </c>
      <c r="H34" s="1339"/>
      <c r="I34" s="471">
        <f>J31</f>
        <v>0</v>
      </c>
      <c r="J34" s="135"/>
      <c r="K34" s="1342" t="str">
        <f>IF(COUNTIFS($L$10:$L$30,"X",$AF$10:$AF$30,"BELOW")&lt;1,"",IF(COUNTIFS($L$10:$L$30,"X",$AF$10:$AF$30,"BELOW")&lt;2,(COUNTIFS($L$10:$L$30,"X",$AF$10:$AF$30,"BELOW")&amp;" Margin Below Minimum"),(COUNTIFS($L$10:$L$30,"X",$AF$10:$AF$30,"BELOW")&amp;" Margins Below Minimum")))</f>
        <v/>
      </c>
      <c r="L34" s="1342"/>
      <c r="M34" s="140"/>
      <c r="N34" s="140"/>
      <c r="O34" s="140"/>
      <c r="P34" s="140"/>
      <c r="Q34" s="140"/>
      <c r="R34" s="135"/>
      <c r="S34" s="140"/>
      <c r="T34" s="140"/>
      <c r="U34" s="140"/>
      <c r="V34" s="140"/>
      <c r="W34" s="140"/>
      <c r="X34" s="140"/>
      <c r="Y34" s="140"/>
      <c r="Z34" s="140"/>
      <c r="AA34" s="140"/>
      <c r="AB34" s="135"/>
      <c r="AC34" s="140"/>
      <c r="AD34" s="140"/>
      <c r="AE34" s="140"/>
      <c r="AF34" s="140"/>
      <c r="AG34" s="140"/>
      <c r="AH34" s="140"/>
      <c r="AI34" s="140"/>
      <c r="AJ34" s="140"/>
      <c r="AK34" s="140"/>
      <c r="AL34" s="140"/>
      <c r="AM34" s="140"/>
    </row>
    <row r="35" spans="1:39" ht="27" customHeight="1" x14ac:dyDescent="0.25">
      <c r="A35" s="140"/>
      <c r="B35" s="140"/>
      <c r="C35" s="140"/>
      <c r="D35" s="140"/>
      <c r="E35" s="140"/>
      <c r="F35" s="140"/>
      <c r="G35" s="1338" t="s">
        <v>1351</v>
      </c>
      <c r="H35" s="1339"/>
      <c r="I35" s="472" t="str">
        <f>IFERROR(I34/G31,"")</f>
        <v/>
      </c>
      <c r="K35" s="1342" t="str">
        <f>IF(COUNTIFS($L$10:$L$30,"X",$AF$10:$AF$30,"ABOVE")&lt;1,"",IF(COUNTIFS($L$10:$L$30,"X",$AF$10:$AF$30,"ABOVE")&lt;2,(COUNTIFS($L$10:$L$30,"X",$AF$10:$AF$30,"ABOVE")&amp;" Margin Above Maximum"),(COUNTIFS($L$10:$L$30,"X",$AF$10:$AF$30,"ABOVE")&amp;" Margins Above Maximum")))</f>
        <v/>
      </c>
      <c r="L35" s="1342"/>
      <c r="M35" s="140"/>
      <c r="N35" s="140"/>
      <c r="O35" s="140"/>
      <c r="P35" s="140"/>
      <c r="Q35" s="140"/>
      <c r="R35" s="135"/>
      <c r="S35" s="140"/>
      <c r="T35" s="140"/>
      <c r="U35" s="140"/>
      <c r="V35" s="140"/>
      <c r="W35" s="140"/>
      <c r="X35" s="140"/>
      <c r="Y35" s="140"/>
      <c r="Z35" s="140"/>
      <c r="AA35" s="140"/>
      <c r="AB35" s="135"/>
      <c r="AC35" s="140"/>
      <c r="AD35" s="140"/>
      <c r="AE35" s="140"/>
      <c r="AF35" s="140"/>
      <c r="AG35" s="140"/>
      <c r="AH35" s="140"/>
      <c r="AI35" s="140"/>
      <c r="AJ35" s="140"/>
      <c r="AK35" s="140"/>
      <c r="AL35" s="140"/>
      <c r="AM35" s="140"/>
    </row>
    <row r="36" spans="1:39" ht="12" customHeight="1" x14ac:dyDescent="0.25">
      <c r="A36" s="140"/>
      <c r="B36" s="140"/>
      <c r="C36" s="140"/>
      <c r="D36" s="140"/>
      <c r="E36" s="140"/>
      <c r="F36" s="140"/>
      <c r="G36" s="1338"/>
      <c r="H36" s="1339"/>
      <c r="I36" s="472"/>
      <c r="J36" s="135"/>
      <c r="K36" s="484">
        <f>COUNTIF('PIM Model'!$AB$10:$AB$30,"ERROR")+COUNTIFS($L$10:$L$30,"X",$AF$10:$AF$30,"BELOW")</f>
        <v>0</v>
      </c>
      <c r="L36" s="172"/>
      <c r="M36" s="172"/>
      <c r="N36" s="172"/>
      <c r="O36" s="140"/>
      <c r="P36" s="140"/>
      <c r="Q36" s="140"/>
      <c r="R36" s="135"/>
      <c r="S36" s="140"/>
      <c r="T36" s="140"/>
      <c r="U36" s="140"/>
      <c r="V36" s="140"/>
      <c r="W36" s="140"/>
      <c r="X36" s="140"/>
      <c r="Y36" s="140"/>
      <c r="Z36" s="140"/>
      <c r="AA36" s="140"/>
      <c r="AB36" s="135"/>
      <c r="AC36" s="140"/>
      <c r="AD36" s="140"/>
      <c r="AE36" s="140"/>
      <c r="AF36" s="140"/>
      <c r="AG36" s="140"/>
      <c r="AH36" s="140"/>
      <c r="AI36" s="140"/>
      <c r="AJ36" s="140"/>
      <c r="AK36" s="140"/>
      <c r="AL36" s="140"/>
      <c r="AM36" s="140"/>
    </row>
    <row r="37" spans="1:39" ht="16.149999999999999" customHeight="1" x14ac:dyDescent="0.25">
      <c r="A37" s="140"/>
      <c r="B37" s="140"/>
      <c r="C37" s="140"/>
      <c r="D37" s="140"/>
      <c r="E37" s="140"/>
      <c r="F37" s="140"/>
      <c r="G37" s="1338" t="str">
        <f>IFERROR(IF(I35&gt;I33,"","Below Recommended TAGP: "),"")</f>
        <v/>
      </c>
      <c r="H37" s="1339"/>
      <c r="I37" s="472" t="str">
        <f>IFERROR(IF(I35&lt;I33,I33-I35,""),"")</f>
        <v/>
      </c>
      <c r="J37" s="135"/>
      <c r="K37" s="140"/>
      <c r="L37" s="172"/>
      <c r="M37" s="172"/>
      <c r="N37" s="172"/>
      <c r="O37" s="140"/>
      <c r="P37" s="140"/>
      <c r="Q37" s="140"/>
      <c r="R37" s="135"/>
      <c r="S37" s="140"/>
      <c r="T37" s="140"/>
      <c r="U37" s="140"/>
      <c r="V37" s="140"/>
      <c r="W37" s="140"/>
      <c r="X37" s="140"/>
      <c r="Y37" s="140"/>
      <c r="Z37" s="140"/>
      <c r="AA37" s="140"/>
      <c r="AB37" s="135"/>
      <c r="AC37" s="140"/>
      <c r="AD37" s="140"/>
      <c r="AE37" s="140"/>
      <c r="AF37" s="140"/>
      <c r="AG37" s="140"/>
      <c r="AH37" s="140"/>
      <c r="AI37" s="140"/>
      <c r="AJ37" s="140"/>
      <c r="AK37" s="140"/>
      <c r="AL37" s="140"/>
      <c r="AM37" s="140"/>
    </row>
    <row r="38" spans="1:39" ht="4.9000000000000004" customHeight="1" x14ac:dyDescent="0.25">
      <c r="A38" s="140"/>
      <c r="B38" s="140"/>
      <c r="C38" s="140"/>
      <c r="D38" s="140"/>
      <c r="E38" s="140"/>
      <c r="F38" s="140"/>
      <c r="G38" s="1338"/>
      <c r="H38" s="1339"/>
      <c r="I38" s="472"/>
      <c r="J38" s="135"/>
      <c r="K38" s="172"/>
      <c r="L38" s="172"/>
      <c r="M38" s="172"/>
      <c r="N38" s="172"/>
      <c r="O38" s="140"/>
      <c r="P38" s="140"/>
      <c r="Q38" s="140"/>
      <c r="R38" s="135"/>
      <c r="S38" s="140"/>
      <c r="T38" s="140"/>
      <c r="U38" s="140"/>
      <c r="V38" s="140"/>
      <c r="W38" s="140"/>
      <c r="X38" s="140"/>
      <c r="Y38" s="140"/>
      <c r="Z38" s="140"/>
      <c r="AA38" s="140"/>
      <c r="AB38" s="135"/>
      <c r="AC38" s="140"/>
      <c r="AD38" s="140"/>
      <c r="AE38" s="140"/>
      <c r="AF38" s="140"/>
      <c r="AG38" s="140"/>
      <c r="AH38" s="140"/>
      <c r="AI38" s="140"/>
      <c r="AJ38" s="140"/>
      <c r="AK38" s="140"/>
      <c r="AL38" s="140"/>
      <c r="AM38" s="140"/>
    </row>
    <row r="39" spans="1:39" ht="16.149999999999999" customHeight="1" x14ac:dyDescent="0.25">
      <c r="A39" s="140"/>
      <c r="B39" s="140"/>
      <c r="C39" s="140"/>
      <c r="D39" s="140"/>
      <c r="E39" s="140"/>
      <c r="F39" s="140"/>
      <c r="G39" s="1338" t="s">
        <v>1352</v>
      </c>
      <c r="H39" s="1339"/>
      <c r="I39" s="473">
        <f>IFERROR(I34/H31,0)</f>
        <v>0</v>
      </c>
      <c r="J39" s="135"/>
      <c r="K39" s="140"/>
      <c r="L39" s="140"/>
      <c r="M39" s="140"/>
      <c r="N39" s="140"/>
      <c r="O39" s="140"/>
      <c r="P39" s="140"/>
      <c r="Q39" s="140"/>
      <c r="R39" s="135"/>
      <c r="S39" s="140"/>
      <c r="T39" s="140"/>
      <c r="U39" s="140"/>
      <c r="V39" s="140"/>
      <c r="W39" s="140"/>
      <c r="X39" s="140"/>
      <c r="Y39" s="140"/>
      <c r="Z39" s="140"/>
      <c r="AA39" s="140"/>
      <c r="AB39" s="135"/>
      <c r="AC39" s="140"/>
      <c r="AD39" s="140"/>
      <c r="AE39" s="140"/>
      <c r="AF39" s="140"/>
      <c r="AG39" s="140"/>
      <c r="AH39" s="140"/>
      <c r="AI39" s="140"/>
      <c r="AJ39" s="140"/>
      <c r="AK39" s="140"/>
      <c r="AL39" s="140"/>
      <c r="AM39" s="140"/>
    </row>
    <row r="40" spans="1:39" ht="21" customHeight="1" thickBot="1" x14ac:dyDescent="0.3">
      <c r="A40" s="140"/>
      <c r="B40" s="140"/>
      <c r="C40" s="140"/>
      <c r="D40" s="140"/>
      <c r="E40" s="140"/>
      <c r="F40" s="140"/>
      <c r="G40" s="1343" t="s">
        <v>492</v>
      </c>
      <c r="H40" s="1344"/>
      <c r="I40" s="474">
        <f>IFERROR($I$34/(52*$E$6*$K$40),0)</f>
        <v>0</v>
      </c>
      <c r="J40" s="135"/>
      <c r="K40" s="572" t="str">
        <f>Welcome!$D$14</f>
        <v>Select # of Locations</v>
      </c>
      <c r="L40" s="140"/>
      <c r="M40" s="140"/>
      <c r="N40" s="140"/>
      <c r="O40" s="140"/>
      <c r="P40" s="140"/>
      <c r="Q40" s="507"/>
      <c r="R40" s="135"/>
      <c r="S40" s="140"/>
      <c r="T40" s="140"/>
      <c r="U40" s="140"/>
      <c r="V40" s="140"/>
      <c r="W40" s="140"/>
      <c r="X40" s="140"/>
      <c r="Y40" s="140"/>
      <c r="Z40" s="140"/>
      <c r="AA40" s="140"/>
      <c r="AB40" s="135"/>
      <c r="AC40" s="140"/>
      <c r="AD40" s="140"/>
      <c r="AE40" s="140"/>
      <c r="AF40" s="140"/>
      <c r="AG40" s="140"/>
      <c r="AH40" s="140"/>
      <c r="AI40" s="140"/>
      <c r="AJ40" s="140"/>
      <c r="AK40" s="140"/>
      <c r="AL40" s="140"/>
      <c r="AM40" s="140"/>
    </row>
    <row r="41" spans="1:39" x14ac:dyDescent="0.25">
      <c r="A41" s="140"/>
      <c r="B41" s="140"/>
      <c r="C41" s="140"/>
      <c r="D41" s="140"/>
      <c r="E41" s="140"/>
      <c r="F41" s="140"/>
      <c r="G41" s="140"/>
      <c r="H41" s="135"/>
      <c r="I41" s="503"/>
      <c r="J41" s="135"/>
      <c r="K41" s="881"/>
      <c r="L41" s="140"/>
      <c r="M41" s="140"/>
      <c r="N41" s="140"/>
      <c r="O41" s="140"/>
      <c r="P41" s="140"/>
      <c r="Q41" s="140"/>
      <c r="R41" s="135"/>
      <c r="S41" s="140"/>
      <c r="T41" s="140"/>
      <c r="U41" s="140"/>
      <c r="V41" s="140"/>
      <c r="W41" s="140"/>
      <c r="X41" s="140"/>
      <c r="Y41" s="140"/>
      <c r="Z41" s="140"/>
      <c r="AA41" s="140"/>
      <c r="AB41" s="135"/>
      <c r="AC41" s="140"/>
      <c r="AD41" s="140"/>
      <c r="AE41" s="140"/>
      <c r="AF41" s="140"/>
      <c r="AG41" s="140"/>
      <c r="AH41" s="140"/>
      <c r="AI41" s="140"/>
      <c r="AJ41" s="140"/>
      <c r="AK41" s="140"/>
      <c r="AL41" s="140"/>
      <c r="AM41" s="140"/>
    </row>
    <row r="42" spans="1:39" x14ac:dyDescent="0.25">
      <c r="A42" s="140"/>
      <c r="B42" s="140"/>
      <c r="C42" s="140"/>
      <c r="D42" s="140"/>
      <c r="E42" s="140"/>
      <c r="F42" s="140"/>
      <c r="G42" s="140"/>
      <c r="H42" s="135"/>
      <c r="I42" s="135"/>
      <c r="J42" s="135"/>
      <c r="K42" s="881"/>
      <c r="L42" s="140"/>
      <c r="M42" s="140"/>
      <c r="N42" s="140"/>
      <c r="O42" s="140"/>
      <c r="P42" s="140"/>
      <c r="Q42" s="140"/>
      <c r="R42" s="135"/>
      <c r="S42" s="140"/>
      <c r="T42" s="140"/>
      <c r="U42" s="140"/>
      <c r="V42" s="140"/>
      <c r="W42" s="140"/>
      <c r="X42" s="140"/>
      <c r="Y42" s="140"/>
      <c r="Z42" s="140"/>
      <c r="AA42" s="140"/>
      <c r="AB42" s="135"/>
      <c r="AC42" s="140"/>
      <c r="AD42" s="140"/>
      <c r="AE42" s="140"/>
      <c r="AF42" s="140"/>
      <c r="AG42" s="140"/>
      <c r="AH42" s="140"/>
      <c r="AI42" s="140"/>
      <c r="AJ42" s="140"/>
      <c r="AK42" s="140"/>
      <c r="AL42" s="140"/>
      <c r="AM42" s="140"/>
    </row>
    <row r="43" spans="1:39" x14ac:dyDescent="0.25">
      <c r="A43" s="140"/>
      <c r="B43" s="140"/>
      <c r="C43" s="140"/>
      <c r="D43" s="140"/>
      <c r="E43" s="140"/>
      <c r="F43" s="140"/>
      <c r="G43" s="140"/>
      <c r="H43" s="135"/>
      <c r="I43" s="135"/>
      <c r="J43" s="135"/>
      <c r="K43" s="140"/>
      <c r="L43" s="140"/>
      <c r="M43" s="140"/>
      <c r="N43" s="140"/>
      <c r="O43" s="140"/>
      <c r="P43" s="140"/>
      <c r="Q43" s="140"/>
      <c r="R43" s="135"/>
      <c r="S43" s="140"/>
      <c r="T43" s="140"/>
      <c r="U43" s="140"/>
      <c r="V43" s="140"/>
      <c r="W43" s="140"/>
      <c r="X43" s="140"/>
      <c r="Y43" s="140"/>
      <c r="Z43" s="140"/>
      <c r="AA43" s="140"/>
      <c r="AB43" s="135"/>
      <c r="AC43" s="140"/>
      <c r="AD43" s="140"/>
      <c r="AE43" s="140"/>
      <c r="AF43" s="140"/>
      <c r="AG43" s="140"/>
      <c r="AH43" s="140"/>
      <c r="AI43" s="140"/>
      <c r="AJ43" s="140"/>
      <c r="AK43" s="140"/>
      <c r="AL43" s="140"/>
      <c r="AM43" s="140"/>
    </row>
    <row r="44" spans="1:39" x14ac:dyDescent="0.25">
      <c r="A44" s="140"/>
      <c r="B44" s="140"/>
      <c r="C44" s="140"/>
      <c r="D44" s="140"/>
      <c r="E44" s="140"/>
      <c r="F44" s="140"/>
      <c r="G44" s="140"/>
      <c r="H44" s="135"/>
      <c r="I44" s="135"/>
      <c r="J44" s="135"/>
      <c r="K44" s="140"/>
      <c r="L44" s="140"/>
      <c r="M44" s="140"/>
      <c r="N44" s="140"/>
      <c r="O44" s="140"/>
      <c r="P44" s="140"/>
      <c r="Q44" s="140"/>
      <c r="R44" s="135"/>
      <c r="S44" s="140"/>
      <c r="T44" s="140"/>
      <c r="U44" s="140"/>
      <c r="V44" s="140"/>
      <c r="W44" s="140"/>
      <c r="X44" s="140"/>
      <c r="Y44" s="140"/>
      <c r="Z44" s="140"/>
      <c r="AA44" s="140"/>
      <c r="AB44" s="135"/>
      <c r="AC44" s="140"/>
      <c r="AD44" s="140"/>
      <c r="AE44" s="140"/>
      <c r="AF44" s="140"/>
      <c r="AG44" s="140"/>
      <c r="AH44" s="140"/>
      <c r="AI44" s="140"/>
      <c r="AJ44" s="140"/>
      <c r="AK44" s="140"/>
      <c r="AL44" s="140"/>
      <c r="AM44" s="140"/>
    </row>
    <row r="45" spans="1:39" x14ac:dyDescent="0.25">
      <c r="A45" s="140"/>
      <c r="B45" s="140"/>
      <c r="C45" s="140"/>
      <c r="D45" s="140"/>
      <c r="E45" s="140"/>
      <c r="F45" s="140"/>
      <c r="G45" s="140"/>
      <c r="H45" s="135"/>
      <c r="I45" s="135"/>
      <c r="J45" s="135"/>
      <c r="K45" s="140"/>
      <c r="L45" s="140"/>
      <c r="M45" s="140"/>
      <c r="N45" s="140"/>
      <c r="O45" s="140"/>
      <c r="P45" s="140"/>
      <c r="Q45" s="140"/>
      <c r="R45" s="135"/>
      <c r="S45" s="140"/>
      <c r="T45" s="140"/>
      <c r="U45" s="140"/>
      <c r="V45" s="140"/>
      <c r="W45" s="140"/>
      <c r="X45" s="140"/>
      <c r="Y45" s="140"/>
      <c r="Z45" s="140"/>
      <c r="AA45" s="140"/>
      <c r="AB45" s="135"/>
      <c r="AC45" s="140"/>
      <c r="AD45" s="140"/>
      <c r="AE45" s="140"/>
      <c r="AF45" s="140"/>
      <c r="AG45" s="140"/>
      <c r="AH45" s="140"/>
      <c r="AI45" s="140"/>
      <c r="AJ45" s="140"/>
      <c r="AK45" s="140"/>
      <c r="AL45" s="140"/>
      <c r="AM45" s="140"/>
    </row>
    <row r="46" spans="1:39" x14ac:dyDescent="0.25">
      <c r="A46" s="140"/>
      <c r="B46" s="140"/>
      <c r="C46" s="140"/>
      <c r="D46" s="140"/>
      <c r="E46" s="140"/>
      <c r="F46" s="140"/>
      <c r="G46" s="140"/>
      <c r="H46" s="135"/>
      <c r="I46" s="135"/>
      <c r="J46" s="135"/>
      <c r="K46" s="140"/>
      <c r="L46" s="140"/>
      <c r="M46" s="140"/>
      <c r="N46" s="140"/>
      <c r="O46" s="140"/>
      <c r="P46" s="140"/>
      <c r="Q46" s="140"/>
      <c r="R46" s="135"/>
      <c r="S46" s="140"/>
      <c r="T46" s="140"/>
      <c r="U46" s="140"/>
      <c r="V46" s="140"/>
      <c r="W46" s="140"/>
      <c r="X46" s="140"/>
      <c r="Y46" s="140"/>
      <c r="Z46" s="140"/>
      <c r="AA46" s="140"/>
      <c r="AB46" s="135"/>
      <c r="AC46" s="140"/>
      <c r="AD46" s="140"/>
      <c r="AE46" s="140"/>
      <c r="AF46" s="140"/>
      <c r="AG46" s="140"/>
      <c r="AH46" s="140"/>
      <c r="AI46" s="140"/>
      <c r="AJ46" s="140"/>
      <c r="AK46" s="140"/>
      <c r="AL46" s="140"/>
      <c r="AM46" s="140"/>
    </row>
    <row r="47" spans="1:39" x14ac:dyDescent="0.25">
      <c r="A47" s="140"/>
      <c r="B47" s="140"/>
      <c r="C47" s="140"/>
      <c r="D47" s="140"/>
      <c r="E47" s="140"/>
      <c r="F47" s="140"/>
      <c r="G47" s="140"/>
      <c r="H47" s="135"/>
      <c r="I47" s="135"/>
      <c r="J47" s="135"/>
      <c r="K47" s="140"/>
      <c r="L47" s="140"/>
      <c r="M47" s="140"/>
      <c r="N47" s="140"/>
      <c r="O47" s="140"/>
      <c r="P47" s="140"/>
      <c r="Q47" s="140"/>
      <c r="R47" s="135"/>
      <c r="S47" s="140"/>
      <c r="T47" s="140"/>
      <c r="U47" s="140"/>
      <c r="V47" s="140"/>
      <c r="W47" s="140"/>
      <c r="X47" s="140"/>
      <c r="Y47" s="140"/>
      <c r="Z47" s="140"/>
      <c r="AA47" s="140"/>
      <c r="AB47" s="135"/>
      <c r="AC47" s="140"/>
      <c r="AD47" s="140"/>
      <c r="AE47" s="140"/>
      <c r="AF47" s="140"/>
      <c r="AG47" s="140"/>
      <c r="AH47" s="140"/>
      <c r="AI47" s="140"/>
      <c r="AJ47" s="140"/>
      <c r="AK47" s="140"/>
      <c r="AL47" s="140"/>
      <c r="AM47" s="140"/>
    </row>
    <row r="48" spans="1:39" x14ac:dyDescent="0.25">
      <c r="A48" s="140"/>
      <c r="B48" s="140"/>
      <c r="C48" s="140"/>
      <c r="D48" s="140"/>
      <c r="E48" s="140"/>
      <c r="F48" s="140"/>
      <c r="G48" s="140"/>
      <c r="H48" s="135"/>
      <c r="I48" s="135"/>
      <c r="J48" s="135"/>
      <c r="K48" s="140"/>
      <c r="L48" s="140"/>
      <c r="M48" s="140"/>
      <c r="N48" s="140"/>
      <c r="O48" s="140"/>
      <c r="P48" s="140"/>
      <c r="Q48" s="140"/>
      <c r="R48" s="135"/>
      <c r="S48" s="140"/>
      <c r="T48" s="140"/>
      <c r="U48" s="140"/>
      <c r="V48" s="140"/>
      <c r="W48" s="140"/>
      <c r="X48" s="140"/>
      <c r="Y48" s="140"/>
      <c r="Z48" s="140"/>
      <c r="AA48" s="140"/>
      <c r="AB48" s="135"/>
      <c r="AC48" s="140"/>
      <c r="AD48" s="140"/>
      <c r="AE48" s="140"/>
      <c r="AF48" s="140"/>
      <c r="AG48" s="140"/>
      <c r="AH48" s="140"/>
      <c r="AI48" s="140"/>
      <c r="AJ48" s="140"/>
      <c r="AK48" s="140"/>
      <c r="AL48" s="140"/>
      <c r="AM48" s="140"/>
    </row>
    <row r="49" spans="1:39" x14ac:dyDescent="0.25">
      <c r="A49" s="140"/>
      <c r="B49" s="140"/>
      <c r="C49" s="140"/>
      <c r="D49" s="140"/>
      <c r="E49" s="140"/>
      <c r="F49" s="140"/>
      <c r="G49" s="140"/>
      <c r="H49" s="135"/>
      <c r="I49" s="135"/>
      <c r="J49" s="135"/>
      <c r="K49" s="140"/>
      <c r="L49" s="140"/>
      <c r="M49" s="140"/>
      <c r="N49" s="140"/>
      <c r="O49" s="140"/>
      <c r="P49" s="140"/>
      <c r="Q49" s="140"/>
      <c r="R49" s="135"/>
      <c r="S49" s="140"/>
      <c r="T49" s="140"/>
      <c r="U49" s="140"/>
      <c r="V49" s="140"/>
      <c r="W49" s="140"/>
      <c r="X49" s="140"/>
      <c r="Y49" s="140"/>
      <c r="Z49" s="140"/>
      <c r="AA49" s="140"/>
      <c r="AB49" s="135"/>
      <c r="AC49" s="140"/>
      <c r="AD49" s="140"/>
      <c r="AE49" s="140"/>
      <c r="AF49" s="140"/>
      <c r="AG49" s="140"/>
      <c r="AH49" s="140"/>
      <c r="AI49" s="140"/>
      <c r="AJ49" s="140"/>
      <c r="AK49" s="140"/>
      <c r="AL49" s="140"/>
      <c r="AM49" s="140"/>
    </row>
    <row r="50" spans="1:39" x14ac:dyDescent="0.25">
      <c r="A50" s="140"/>
      <c r="B50" s="140"/>
      <c r="C50" s="140"/>
      <c r="D50" s="140"/>
      <c r="E50" s="140"/>
      <c r="F50" s="140"/>
      <c r="G50" s="140"/>
      <c r="H50" s="135"/>
      <c r="I50" s="135"/>
      <c r="J50" s="135"/>
      <c r="K50" s="140"/>
      <c r="L50" s="140"/>
      <c r="M50" s="140"/>
      <c r="N50" s="140"/>
      <c r="O50" s="140"/>
      <c r="P50" s="140"/>
      <c r="Q50" s="140"/>
      <c r="R50" s="135"/>
      <c r="S50" s="140"/>
      <c r="T50" s="140"/>
      <c r="U50" s="140"/>
      <c r="V50" s="140"/>
      <c r="W50" s="140"/>
      <c r="X50" s="140"/>
      <c r="Y50" s="140"/>
      <c r="Z50" s="140"/>
      <c r="AA50" s="140"/>
      <c r="AB50" s="135"/>
      <c r="AC50" s="140"/>
      <c r="AD50" s="140"/>
      <c r="AE50" s="140"/>
      <c r="AF50" s="140"/>
      <c r="AG50" s="140"/>
      <c r="AH50" s="140"/>
      <c r="AI50" s="140"/>
      <c r="AJ50" s="140"/>
      <c r="AK50" s="140"/>
      <c r="AL50" s="140"/>
      <c r="AM50" s="140"/>
    </row>
    <row r="51" spans="1:39" x14ac:dyDescent="0.25">
      <c r="A51" s="140"/>
      <c r="B51" s="140"/>
      <c r="C51" s="140"/>
      <c r="D51" s="140"/>
      <c r="E51" s="140"/>
      <c r="F51" s="140"/>
      <c r="G51" s="140"/>
      <c r="H51" s="135"/>
      <c r="I51" s="135"/>
      <c r="J51" s="135"/>
      <c r="K51" s="140"/>
      <c r="L51" s="140"/>
      <c r="M51" s="140"/>
      <c r="N51" s="140"/>
      <c r="O51" s="140"/>
      <c r="P51" s="140"/>
      <c r="Q51" s="140"/>
      <c r="R51" s="135"/>
      <c r="S51" s="140"/>
      <c r="T51" s="140"/>
      <c r="U51" s="140"/>
      <c r="V51" s="140"/>
      <c r="W51" s="140"/>
      <c r="X51" s="140"/>
      <c r="Y51" s="140"/>
      <c r="Z51" s="140"/>
      <c r="AA51" s="140"/>
      <c r="AB51" s="135"/>
      <c r="AC51" s="140"/>
      <c r="AD51" s="140"/>
      <c r="AE51" s="140"/>
      <c r="AF51" s="140"/>
      <c r="AG51" s="140"/>
      <c r="AH51" s="140"/>
      <c r="AI51" s="140"/>
      <c r="AJ51" s="140"/>
      <c r="AK51" s="140"/>
      <c r="AL51" s="140"/>
      <c r="AM51" s="140"/>
    </row>
    <row r="52" spans="1:39" x14ac:dyDescent="0.25">
      <c r="A52" s="140"/>
      <c r="B52" s="140"/>
      <c r="C52" s="140"/>
      <c r="D52" s="140"/>
      <c r="E52" s="140"/>
      <c r="F52" s="1345"/>
      <c r="G52" s="1345"/>
      <c r="H52" s="135"/>
      <c r="I52" s="135"/>
      <c r="J52" s="135"/>
      <c r="K52" s="140"/>
      <c r="L52" s="140"/>
      <c r="M52" s="140"/>
      <c r="N52" s="140"/>
      <c r="O52" s="140"/>
      <c r="P52" s="140"/>
      <c r="Q52" s="140"/>
      <c r="R52" s="135"/>
      <c r="S52" s="140"/>
      <c r="T52" s="140"/>
      <c r="U52" s="140"/>
      <c r="V52" s="140"/>
      <c r="W52" s="140"/>
      <c r="X52" s="140"/>
      <c r="Y52" s="140"/>
      <c r="Z52" s="140"/>
      <c r="AA52" s="140"/>
      <c r="AB52" s="135"/>
      <c r="AC52" s="140"/>
      <c r="AD52" s="140"/>
      <c r="AE52" s="140"/>
      <c r="AF52" s="140"/>
      <c r="AG52" s="140"/>
      <c r="AH52" s="140"/>
      <c r="AI52" s="140"/>
      <c r="AJ52" s="140"/>
      <c r="AK52" s="140"/>
      <c r="AL52" s="140"/>
      <c r="AM52" s="140"/>
    </row>
    <row r="53" spans="1:39" x14ac:dyDescent="0.25">
      <c r="A53" s="140"/>
      <c r="B53" s="140"/>
      <c r="C53" s="140"/>
      <c r="D53" s="140"/>
      <c r="E53" s="140"/>
      <c r="F53" s="1345"/>
      <c r="G53" s="1345"/>
      <c r="H53" s="135"/>
      <c r="I53" s="135"/>
      <c r="J53" s="135"/>
      <c r="K53" s="140"/>
      <c r="L53" s="140"/>
      <c r="M53" s="140"/>
      <c r="N53" s="140"/>
      <c r="O53" s="140"/>
      <c r="P53" s="140"/>
      <c r="Q53" s="140"/>
      <c r="R53" s="135"/>
      <c r="S53" s="140"/>
      <c r="T53" s="140"/>
      <c r="U53" s="140"/>
      <c r="V53" s="140"/>
      <c r="W53" s="140"/>
      <c r="X53" s="140"/>
      <c r="Y53" s="140"/>
      <c r="Z53" s="140"/>
      <c r="AA53" s="140"/>
      <c r="AB53" s="135"/>
      <c r="AC53" s="140"/>
      <c r="AD53" s="140"/>
      <c r="AE53" s="140"/>
      <c r="AF53" s="140"/>
      <c r="AG53" s="140"/>
      <c r="AH53" s="140"/>
      <c r="AI53" s="140"/>
      <c r="AJ53" s="140"/>
      <c r="AK53" s="140"/>
      <c r="AL53" s="140"/>
      <c r="AM53" s="140"/>
    </row>
    <row r="54" spans="1:39" x14ac:dyDescent="0.25">
      <c r="A54" s="140"/>
      <c r="B54" s="140"/>
      <c r="C54" s="140"/>
      <c r="D54" s="140"/>
      <c r="E54" s="140"/>
      <c r="F54" s="1345"/>
      <c r="G54" s="1345"/>
      <c r="H54" s="135"/>
      <c r="I54" s="135"/>
      <c r="J54" s="135"/>
      <c r="K54" s="140"/>
      <c r="L54" s="140"/>
      <c r="M54" s="140"/>
      <c r="N54" s="140"/>
      <c r="O54" s="140"/>
      <c r="P54" s="140"/>
      <c r="Q54" s="140"/>
      <c r="R54" s="135"/>
      <c r="S54" s="140"/>
      <c r="T54" s="140"/>
      <c r="U54" s="140"/>
      <c r="V54" s="140"/>
      <c r="W54" s="140"/>
      <c r="X54" s="140"/>
      <c r="Y54" s="140"/>
      <c r="Z54" s="140"/>
      <c r="AA54" s="140"/>
      <c r="AB54" s="135"/>
      <c r="AC54" s="140"/>
      <c r="AD54" s="140"/>
      <c r="AE54" s="140"/>
      <c r="AF54" s="140"/>
      <c r="AG54" s="140"/>
      <c r="AH54" s="140"/>
      <c r="AI54" s="140"/>
      <c r="AJ54" s="140"/>
      <c r="AK54" s="140"/>
      <c r="AL54" s="140"/>
      <c r="AM54" s="140"/>
    </row>
    <row r="55" spans="1:39" x14ac:dyDescent="0.25">
      <c r="A55" s="140"/>
      <c r="B55" s="140"/>
      <c r="C55" s="140"/>
      <c r="D55" s="140"/>
      <c r="E55" s="140"/>
      <c r="F55" s="140"/>
      <c r="G55" s="140"/>
      <c r="H55" s="135"/>
      <c r="I55" s="135"/>
      <c r="J55" s="135"/>
      <c r="K55" s="140"/>
      <c r="L55" s="140"/>
      <c r="M55" s="140"/>
      <c r="N55" s="140"/>
      <c r="O55" s="140"/>
      <c r="P55" s="140"/>
      <c r="Q55" s="140"/>
      <c r="R55" s="135"/>
      <c r="S55" s="140"/>
      <c r="T55" s="140"/>
      <c r="U55" s="140"/>
      <c r="V55" s="140"/>
      <c r="W55" s="140"/>
      <c r="X55" s="140"/>
      <c r="Y55" s="140"/>
      <c r="Z55" s="140"/>
      <c r="AA55" s="140"/>
      <c r="AB55" s="135"/>
      <c r="AC55" s="140"/>
      <c r="AD55" s="140"/>
      <c r="AE55" s="140"/>
      <c r="AF55" s="140"/>
      <c r="AG55" s="140"/>
      <c r="AH55" s="140"/>
      <c r="AI55" s="140"/>
      <c r="AJ55" s="140"/>
      <c r="AK55" s="140"/>
      <c r="AL55" s="140"/>
      <c r="AM55" s="140"/>
    </row>
    <row r="56" spans="1:39" x14ac:dyDescent="0.25">
      <c r="A56" s="140"/>
      <c r="B56" s="140"/>
      <c r="C56" s="140"/>
      <c r="D56" s="140"/>
      <c r="E56" s="140"/>
      <c r="F56" s="140"/>
      <c r="G56" s="140"/>
      <c r="H56" s="135"/>
      <c r="I56" s="135"/>
      <c r="J56" s="135"/>
      <c r="K56" s="140"/>
      <c r="L56" s="140"/>
      <c r="M56" s="140"/>
      <c r="N56" s="140"/>
      <c r="O56" s="140"/>
      <c r="P56" s="140"/>
      <c r="Q56" s="140"/>
      <c r="R56" s="135"/>
      <c r="S56" s="140"/>
      <c r="T56" s="140"/>
      <c r="U56" s="140"/>
      <c r="V56" s="140"/>
      <c r="W56" s="140"/>
      <c r="X56" s="140"/>
      <c r="Y56" s="140"/>
      <c r="Z56" s="140"/>
      <c r="AA56" s="140"/>
      <c r="AB56" s="135"/>
      <c r="AC56" s="140"/>
      <c r="AD56" s="140"/>
      <c r="AE56" s="140"/>
      <c r="AF56" s="140"/>
      <c r="AG56" s="140"/>
      <c r="AH56" s="140"/>
      <c r="AI56" s="140"/>
      <c r="AJ56" s="140"/>
      <c r="AK56" s="140"/>
      <c r="AL56" s="140"/>
      <c r="AM56" s="140"/>
    </row>
    <row r="57" spans="1:39" x14ac:dyDescent="0.25">
      <c r="A57" s="140"/>
      <c r="B57" s="140"/>
      <c r="C57" s="140"/>
      <c r="D57" s="140"/>
      <c r="E57" s="140"/>
      <c r="F57" s="140"/>
      <c r="G57" s="140"/>
      <c r="H57" s="135"/>
      <c r="I57" s="135"/>
      <c r="J57" s="135"/>
      <c r="K57" s="140"/>
      <c r="L57" s="140"/>
      <c r="M57" s="140"/>
      <c r="N57" s="140"/>
      <c r="O57" s="140"/>
      <c r="P57" s="140"/>
      <c r="Q57" s="140"/>
      <c r="R57" s="135"/>
      <c r="S57" s="140"/>
      <c r="T57" s="140"/>
      <c r="U57" s="140"/>
      <c r="V57" s="140"/>
      <c r="W57" s="140"/>
      <c r="X57" s="140"/>
      <c r="Y57" s="140"/>
      <c r="Z57" s="140"/>
      <c r="AA57" s="140"/>
      <c r="AB57" s="135"/>
      <c r="AC57" s="140"/>
      <c r="AD57" s="140"/>
      <c r="AE57" s="140"/>
      <c r="AF57" s="140"/>
      <c r="AG57" s="140"/>
      <c r="AH57" s="140"/>
      <c r="AI57" s="140"/>
      <c r="AJ57" s="140"/>
      <c r="AK57" s="140"/>
      <c r="AL57" s="140"/>
      <c r="AM57" s="140"/>
    </row>
    <row r="58" spans="1:39" x14ac:dyDescent="0.25">
      <c r="A58" s="140"/>
      <c r="B58" s="140"/>
      <c r="C58" s="140"/>
      <c r="D58" s="140"/>
      <c r="E58" s="140"/>
      <c r="F58" s="140"/>
      <c r="G58" s="140"/>
      <c r="H58" s="135"/>
      <c r="I58" s="135"/>
      <c r="J58" s="135"/>
      <c r="K58" s="140"/>
      <c r="L58" s="140"/>
      <c r="M58" s="140"/>
      <c r="N58" s="140"/>
      <c r="O58" s="140"/>
      <c r="P58" s="140"/>
      <c r="Q58" s="140"/>
      <c r="R58" s="135"/>
      <c r="S58" s="140"/>
      <c r="T58" s="140"/>
      <c r="U58" s="140"/>
      <c r="V58" s="140"/>
      <c r="W58" s="140"/>
      <c r="X58" s="140"/>
      <c r="Y58" s="140"/>
      <c r="Z58" s="140"/>
      <c r="AA58" s="140"/>
      <c r="AB58" s="135"/>
      <c r="AC58" s="140"/>
      <c r="AD58" s="140"/>
      <c r="AE58" s="140"/>
      <c r="AF58" s="140"/>
      <c r="AG58" s="140"/>
      <c r="AH58" s="140"/>
      <c r="AI58" s="140"/>
      <c r="AJ58" s="140"/>
      <c r="AK58" s="140"/>
      <c r="AL58" s="140"/>
      <c r="AM58" s="140"/>
    </row>
    <row r="59" spans="1:39" x14ac:dyDescent="0.25">
      <c r="A59" s="140"/>
      <c r="B59" s="140"/>
      <c r="C59" s="140"/>
      <c r="D59" s="140"/>
      <c r="E59" s="140"/>
      <c r="F59" s="140"/>
      <c r="G59" s="140"/>
      <c r="H59" s="135"/>
      <c r="I59" s="135"/>
      <c r="J59" s="135"/>
      <c r="K59" s="140"/>
      <c r="L59" s="140"/>
      <c r="M59" s="140"/>
      <c r="N59" s="140"/>
      <c r="O59" s="140"/>
      <c r="P59" s="140"/>
      <c r="Q59" s="140"/>
      <c r="R59" s="135"/>
      <c r="S59" s="140"/>
      <c r="T59" s="140"/>
      <c r="U59" s="140"/>
      <c r="V59" s="140"/>
      <c r="W59" s="140"/>
      <c r="X59" s="140"/>
      <c r="Y59" s="140"/>
      <c r="Z59" s="140"/>
      <c r="AA59" s="140"/>
      <c r="AB59" s="135"/>
      <c r="AC59" s="140"/>
      <c r="AD59" s="140"/>
      <c r="AE59" s="140"/>
      <c r="AF59" s="140"/>
      <c r="AG59" s="140"/>
      <c r="AH59" s="140"/>
      <c r="AI59" s="140"/>
      <c r="AJ59" s="140"/>
      <c r="AK59" s="140"/>
      <c r="AL59" s="140"/>
      <c r="AM59" s="140"/>
    </row>
    <row r="60" spans="1:39" x14ac:dyDescent="0.25">
      <c r="A60" s="140"/>
      <c r="B60" s="140"/>
      <c r="C60" s="140"/>
      <c r="D60" s="140"/>
      <c r="E60" s="140"/>
      <c r="F60" s="140"/>
      <c r="G60" s="140"/>
      <c r="H60" s="135"/>
      <c r="I60" s="135"/>
      <c r="J60" s="135"/>
      <c r="K60" s="140"/>
      <c r="L60" s="140"/>
      <c r="M60" s="140"/>
      <c r="N60" s="140"/>
      <c r="O60" s="140"/>
      <c r="P60" s="140"/>
      <c r="Q60" s="140"/>
      <c r="R60" s="135"/>
      <c r="S60" s="140"/>
      <c r="T60" s="140"/>
      <c r="U60" s="140"/>
      <c r="V60" s="140"/>
      <c r="W60" s="140"/>
      <c r="X60" s="140"/>
      <c r="Y60" s="140"/>
      <c r="Z60" s="140"/>
      <c r="AA60" s="140"/>
      <c r="AB60" s="135"/>
      <c r="AC60" s="140"/>
      <c r="AD60" s="140"/>
      <c r="AE60" s="140"/>
      <c r="AF60" s="140"/>
      <c r="AG60" s="140"/>
      <c r="AH60" s="140"/>
      <c r="AI60" s="140"/>
      <c r="AJ60" s="140"/>
      <c r="AK60" s="140"/>
      <c r="AL60" s="140"/>
      <c r="AM60" s="140"/>
    </row>
    <row r="61" spans="1:39" x14ac:dyDescent="0.25">
      <c r="A61" s="140"/>
      <c r="B61" s="140"/>
      <c r="C61" s="140"/>
      <c r="D61" s="140"/>
      <c r="E61" s="140"/>
      <c r="F61" s="140"/>
      <c r="G61" s="140"/>
      <c r="H61" s="135"/>
      <c r="I61" s="135"/>
      <c r="J61" s="135"/>
      <c r="K61" s="140"/>
      <c r="L61" s="140"/>
      <c r="M61" s="140"/>
      <c r="N61" s="140"/>
      <c r="O61" s="140"/>
      <c r="P61" s="140"/>
      <c r="Q61" s="140"/>
      <c r="R61" s="135"/>
      <c r="S61" s="140"/>
      <c r="T61" s="140"/>
      <c r="U61" s="140"/>
      <c r="V61" s="140"/>
      <c r="W61" s="140"/>
      <c r="X61" s="140"/>
      <c r="Y61" s="140"/>
      <c r="Z61" s="140"/>
      <c r="AA61" s="140"/>
      <c r="AB61" s="135"/>
      <c r="AC61" s="140"/>
      <c r="AD61" s="140"/>
      <c r="AE61" s="140"/>
      <c r="AF61" s="140"/>
      <c r="AG61" s="140"/>
      <c r="AH61" s="140"/>
      <c r="AI61" s="140"/>
      <c r="AJ61" s="140"/>
      <c r="AK61" s="140"/>
      <c r="AL61" s="140"/>
      <c r="AM61" s="140"/>
    </row>
    <row r="62" spans="1:39" x14ac:dyDescent="0.25">
      <c r="A62" s="140"/>
      <c r="B62" s="140"/>
      <c r="C62" s="140"/>
      <c r="D62" s="140"/>
      <c r="E62" s="140"/>
      <c r="F62" s="140"/>
      <c r="G62" s="140"/>
      <c r="H62" s="135"/>
      <c r="I62" s="135"/>
      <c r="J62" s="135"/>
      <c r="K62" s="140"/>
      <c r="L62" s="140"/>
      <c r="M62" s="140"/>
      <c r="N62" s="140"/>
      <c r="O62" s="140"/>
      <c r="P62" s="140"/>
      <c r="Q62" s="140"/>
      <c r="R62" s="135"/>
      <c r="S62" s="140"/>
      <c r="T62" s="140"/>
      <c r="U62" s="140"/>
      <c r="V62" s="140"/>
      <c r="W62" s="140"/>
      <c r="X62" s="140"/>
      <c r="Y62" s="140"/>
      <c r="Z62" s="140"/>
      <c r="AA62" s="140"/>
      <c r="AB62" s="135"/>
      <c r="AC62" s="140"/>
      <c r="AD62" s="140"/>
      <c r="AE62" s="140"/>
      <c r="AF62" s="140"/>
      <c r="AG62" s="140"/>
      <c r="AH62" s="140"/>
      <c r="AI62" s="140"/>
      <c r="AJ62" s="140"/>
      <c r="AK62" s="140"/>
      <c r="AL62" s="140"/>
      <c r="AM62" s="140"/>
    </row>
    <row r="63" spans="1:39" x14ac:dyDescent="0.25">
      <c r="A63" s="140"/>
      <c r="B63" s="140"/>
      <c r="C63" s="140"/>
      <c r="D63" s="140"/>
      <c r="E63" s="140"/>
      <c r="F63" s="140"/>
      <c r="G63" s="140"/>
      <c r="H63" s="135"/>
      <c r="I63" s="135"/>
      <c r="J63" s="135"/>
      <c r="K63" s="140"/>
      <c r="L63" s="140"/>
      <c r="M63" s="140"/>
      <c r="N63" s="140"/>
      <c r="O63" s="140"/>
      <c r="P63" s="140"/>
      <c r="Q63" s="140"/>
      <c r="R63" s="135"/>
      <c r="S63" s="140"/>
      <c r="T63" s="140"/>
      <c r="U63" s="140"/>
      <c r="V63" s="140"/>
      <c r="W63" s="140"/>
      <c r="X63" s="140"/>
      <c r="Y63" s="140"/>
      <c r="Z63" s="140"/>
      <c r="AA63" s="140"/>
      <c r="AB63" s="135"/>
      <c r="AC63" s="140"/>
      <c r="AD63" s="140"/>
      <c r="AE63" s="140"/>
      <c r="AF63" s="140"/>
      <c r="AG63" s="140"/>
      <c r="AH63" s="140"/>
      <c r="AI63" s="140"/>
      <c r="AJ63" s="140"/>
      <c r="AK63" s="140"/>
      <c r="AL63" s="140"/>
      <c r="AM63" s="140"/>
    </row>
    <row r="64" spans="1:39" x14ac:dyDescent="0.25">
      <c r="A64" s="140"/>
      <c r="B64" s="140"/>
      <c r="C64" s="140"/>
      <c r="D64" s="140"/>
      <c r="E64" s="140"/>
      <c r="F64" s="140"/>
      <c r="G64" s="140"/>
      <c r="H64" s="135"/>
      <c r="I64" s="135"/>
      <c r="J64" s="135"/>
      <c r="K64" s="140"/>
      <c r="L64" s="140"/>
      <c r="M64" s="140"/>
      <c r="N64" s="140"/>
      <c r="O64" s="140"/>
      <c r="P64" s="140"/>
      <c r="Q64" s="140"/>
      <c r="R64" s="135"/>
      <c r="S64" s="140"/>
      <c r="T64" s="140"/>
      <c r="U64" s="140"/>
      <c r="V64" s="140"/>
      <c r="W64" s="140"/>
      <c r="X64" s="140"/>
      <c r="Y64" s="140"/>
      <c r="Z64" s="140"/>
      <c r="AA64" s="140"/>
      <c r="AB64" s="135"/>
      <c r="AC64" s="140"/>
      <c r="AD64" s="140"/>
      <c r="AE64" s="140"/>
      <c r="AF64" s="140"/>
      <c r="AG64" s="140"/>
      <c r="AH64" s="140"/>
      <c r="AI64" s="140"/>
      <c r="AJ64" s="140"/>
      <c r="AK64" s="140"/>
      <c r="AL64" s="140"/>
      <c r="AM64" s="140"/>
    </row>
    <row r="65" spans="1:39" x14ac:dyDescent="0.25">
      <c r="A65" s="140"/>
      <c r="B65" s="140"/>
      <c r="C65" s="140"/>
      <c r="D65" s="140"/>
      <c r="E65" s="140"/>
      <c r="F65" s="140"/>
      <c r="G65" s="140"/>
      <c r="H65" s="135"/>
      <c r="I65" s="135"/>
      <c r="J65" s="135"/>
      <c r="K65" s="140"/>
      <c r="L65" s="140"/>
      <c r="M65" s="140"/>
      <c r="N65" s="140"/>
      <c r="O65" s="140"/>
      <c r="P65" s="140"/>
      <c r="Q65" s="140"/>
      <c r="R65" s="135"/>
      <c r="S65" s="140"/>
      <c r="T65" s="140"/>
      <c r="U65" s="140"/>
      <c r="V65" s="140"/>
      <c r="W65" s="140"/>
      <c r="X65" s="140"/>
      <c r="Y65" s="140"/>
      <c r="Z65" s="140"/>
      <c r="AA65" s="140"/>
      <c r="AB65" s="135"/>
      <c r="AC65" s="140"/>
      <c r="AD65" s="140"/>
      <c r="AE65" s="140"/>
      <c r="AF65" s="140"/>
      <c r="AG65" s="140"/>
      <c r="AH65" s="140"/>
      <c r="AI65" s="140"/>
      <c r="AJ65" s="140"/>
      <c r="AK65" s="140"/>
      <c r="AL65" s="140"/>
      <c r="AM65" s="140"/>
    </row>
    <row r="66" spans="1:39" x14ac:dyDescent="0.25">
      <c r="A66" s="140"/>
      <c r="B66" s="140"/>
      <c r="C66" s="140"/>
      <c r="D66" s="140"/>
      <c r="E66" s="140"/>
      <c r="F66" s="140"/>
      <c r="G66" s="140"/>
      <c r="H66" s="135"/>
      <c r="I66" s="135"/>
      <c r="J66" s="135"/>
      <c r="K66" s="140"/>
      <c r="L66" s="140"/>
      <c r="M66" s="140"/>
      <c r="N66" s="140"/>
      <c r="O66" s="140"/>
      <c r="P66" s="140"/>
      <c r="Q66" s="140"/>
      <c r="R66" s="135"/>
      <c r="S66" s="140"/>
      <c r="T66" s="140"/>
      <c r="U66" s="140"/>
      <c r="V66" s="140"/>
      <c r="W66" s="140"/>
      <c r="X66" s="140"/>
      <c r="Y66" s="140"/>
      <c r="Z66" s="140"/>
      <c r="AA66" s="140"/>
      <c r="AB66" s="135"/>
      <c r="AC66" s="140"/>
      <c r="AD66" s="140"/>
      <c r="AE66" s="140"/>
      <c r="AF66" s="140"/>
      <c r="AG66" s="140"/>
      <c r="AH66" s="140"/>
      <c r="AI66" s="140"/>
      <c r="AJ66" s="140"/>
      <c r="AK66" s="140"/>
      <c r="AL66" s="140"/>
      <c r="AM66" s="140"/>
    </row>
    <row r="67" spans="1:39" x14ac:dyDescent="0.25">
      <c r="A67" s="140"/>
      <c r="B67" s="140"/>
      <c r="C67" s="140"/>
      <c r="D67" s="140"/>
      <c r="E67" s="140"/>
      <c r="F67" s="140"/>
      <c r="G67" s="140"/>
      <c r="H67" s="135"/>
      <c r="I67" s="135"/>
      <c r="J67" s="135"/>
      <c r="K67" s="140"/>
      <c r="L67" s="140"/>
      <c r="M67" s="140"/>
      <c r="N67" s="140"/>
      <c r="O67" s="140"/>
      <c r="P67" s="140"/>
      <c r="Q67" s="140"/>
      <c r="R67" s="135"/>
      <c r="S67" s="140"/>
      <c r="T67" s="140"/>
      <c r="U67" s="140"/>
      <c r="V67" s="140"/>
      <c r="W67" s="140"/>
      <c r="X67" s="140"/>
      <c r="Y67" s="140"/>
      <c r="Z67" s="140"/>
      <c r="AA67" s="140"/>
      <c r="AB67" s="135"/>
      <c r="AC67" s="140"/>
      <c r="AD67" s="140"/>
      <c r="AE67" s="140"/>
      <c r="AF67" s="140"/>
      <c r="AG67" s="140"/>
      <c r="AH67" s="140"/>
      <c r="AI67" s="140"/>
      <c r="AJ67" s="140"/>
      <c r="AK67" s="140"/>
      <c r="AL67" s="140"/>
      <c r="AM67" s="140"/>
    </row>
  </sheetData>
  <sheetProtection algorithmName="SHA-512" hashValue="iEITyq5Y9jsL1xGBGJac2m0ZSeySGhaZzgn/P5VEF7+D7NrXp+BQD74DosLH91/+ENpgBkfcRFKVjTHdjc6Cbg==" saltValue="6VTSMzpmWAZxX07VYOtqfQ==" spinCount="100000" sheet="1" objects="1" scenarios="1"/>
  <mergeCells count="19">
    <mergeCell ref="G39:H39"/>
    <mergeCell ref="G40:H40"/>
    <mergeCell ref="F52:G52"/>
    <mergeCell ref="F53:G53"/>
    <mergeCell ref="F54:G54"/>
    <mergeCell ref="G38:H38"/>
    <mergeCell ref="G33:H33"/>
    <mergeCell ref="G34:H34"/>
    <mergeCell ref="G35:H35"/>
    <mergeCell ref="K34:L34"/>
    <mergeCell ref="G36:H36"/>
    <mergeCell ref="G37:H37"/>
    <mergeCell ref="K33:L33"/>
    <mergeCell ref="K35:L35"/>
    <mergeCell ref="H4:K4"/>
    <mergeCell ref="H3:K3"/>
    <mergeCell ref="H5:K5"/>
    <mergeCell ref="H6:K6"/>
    <mergeCell ref="H7:K7"/>
  </mergeCells>
  <conditionalFormatting sqref="B10:J30">
    <cfRule type="expression" dxfId="372" priority="20">
      <formula>$E10="EXCLUDE"</formula>
    </cfRule>
  </conditionalFormatting>
  <conditionalFormatting sqref="O8:O9">
    <cfRule type="expression" dxfId="371" priority="22">
      <formula>$E$3="CIA"</formula>
    </cfRule>
  </conditionalFormatting>
  <conditionalFormatting sqref="Q8:Q9">
    <cfRule type="expression" dxfId="370" priority="21">
      <formula>$E$3="CIA"</formula>
    </cfRule>
  </conditionalFormatting>
  <conditionalFormatting sqref="K9:K30">
    <cfRule type="expression" dxfId="369" priority="11">
      <formula>$E$3="CIA"</formula>
    </cfRule>
  </conditionalFormatting>
  <conditionalFormatting sqref="L10:L30">
    <cfRule type="expression" dxfId="368" priority="12">
      <formula>$AF10="ABOVE"</formula>
    </cfRule>
  </conditionalFormatting>
  <conditionalFormatting sqref="I35">
    <cfRule type="expression" dxfId="367" priority="82">
      <formula>$K$36&gt;0</formula>
    </cfRule>
    <cfRule type="expression" dxfId="366" priority="83">
      <formula>$I$35&lt;$I$33</formula>
    </cfRule>
    <cfRule type="expression" dxfId="365" priority="84">
      <formula>$I$35&gt;$I$33</formula>
    </cfRule>
  </conditionalFormatting>
  <conditionalFormatting sqref="D10:D30">
    <cfRule type="expression" dxfId="364" priority="23">
      <formula>$E$3="CIA"</formula>
    </cfRule>
  </conditionalFormatting>
  <conditionalFormatting sqref="K10:K30">
    <cfRule type="expression" dxfId="363" priority="10">
      <formula>$D10&lt;&gt;"%"</formula>
    </cfRule>
  </conditionalFormatting>
  <conditionalFormatting sqref="K27">
    <cfRule type="expression" dxfId="362" priority="8">
      <formula>$K$27&lt;0</formula>
    </cfRule>
  </conditionalFormatting>
  <conditionalFormatting sqref="O10:Q30">
    <cfRule type="expression" dxfId="361" priority="6">
      <formula>$D10&lt;&gt;"%"</formula>
    </cfRule>
  </conditionalFormatting>
  <conditionalFormatting sqref="O10:O30">
    <cfRule type="expression" dxfId="360" priority="5">
      <formula>$E$3="CIA"</formula>
    </cfRule>
  </conditionalFormatting>
  <conditionalFormatting sqref="Q10:Q30">
    <cfRule type="expression" dxfId="359" priority="4">
      <formula>$E$3="CIA"</formula>
    </cfRule>
  </conditionalFormatting>
  <conditionalFormatting sqref="S10:U30">
    <cfRule type="expression" dxfId="358" priority="3">
      <formula>$D10&lt;&gt;"%"</formula>
    </cfRule>
  </conditionalFormatting>
  <conditionalFormatting sqref="S10:S30">
    <cfRule type="expression" dxfId="357" priority="2">
      <formula>$E$3="CIA"</formula>
    </cfRule>
  </conditionalFormatting>
  <conditionalFormatting sqref="U10:U30">
    <cfRule type="expression" dxfId="356" priority="1">
      <formula>$E$3="CIA"</formula>
    </cfRule>
  </conditionalFormatting>
  <printOptions horizontalCentered="1" verticalCentered="1"/>
  <pageMargins left="0.25" right="0.25" top="0.75" bottom="0.75" header="0.3" footer="0.3"/>
  <pageSetup scale="59"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7" id="{7534485B-6161-40CE-8619-5F9B5CE06B84}">
            <xm:f>IF(AND(NOT(ISBLANK(Welcome!D8)),Welcome!$D$8 &lt;&gt; "CIA"),IF(COUNTBLANK(K10:K30)&gt;0,"TRUE","FALSE"),"FALSE")</xm:f>
            <x14:dxf>
              <fill>
                <patternFill>
                  <bgColor rgb="FFFF0000"/>
                </patternFill>
              </fill>
              <border>
                <left/>
                <right/>
                <top/>
                <bottom/>
                <vertical/>
                <horizontal/>
              </border>
            </x14:dxf>
          </x14:cfRule>
          <xm:sqref>I35</xm:sqref>
        </x14:conditionalFormatting>
      </x14:conditionalFormattings>
    </ext>
    <ext xmlns:x14="http://schemas.microsoft.com/office/spreadsheetml/2009/9/main" uri="{CCE6A557-97BC-4b89-ADB6-D9C93CAAB3DF}">
      <x14:dataValidations xmlns:xm="http://schemas.microsoft.com/office/excel/2006/main" count="4">
        <x14:dataValidation type="list" allowBlank="1" showInputMessage="1" showErrorMessage="1" xr:uid="{00000000-0002-0000-0300-000000000000}">
          <x14:formula1>
            <xm:f>Lookups!$AE$2:$AE$3</xm:f>
          </x14:formula1>
          <xm:sqref>D27</xm:sqref>
        </x14:dataValidation>
        <x14:dataValidation type="list" allowBlank="1" showInputMessage="1" showErrorMessage="1" xr:uid="{00000000-0002-0000-0300-000001000000}">
          <x14:formula1>
            <xm:f>Lookups!$AD$2:$AD$3</xm:f>
          </x14:formula1>
          <xm:sqref>D29:D30 D22 D24:D26 D11:D12</xm:sqref>
        </x14:dataValidation>
        <x14:dataValidation type="list" allowBlank="1" showInputMessage="1" showErrorMessage="1" xr:uid="{00000000-0002-0000-0300-000002000000}">
          <x14:formula1>
            <xm:f>Lookups!$N$1:$N$2</xm:f>
          </x14:formula1>
          <xm:sqref>E10:E30</xm:sqref>
        </x14:dataValidation>
        <x14:dataValidation type="list" allowBlank="1" showInputMessage="1" showErrorMessage="1" xr:uid="{00000000-0002-0000-0300-000003000000}">
          <x14:formula1>
            <xm:f>Lookups!$AH$1:$AH$2</xm:f>
          </x14:formula1>
          <xm:sqref>C10:C30</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31A2DF-A481-44EF-B467-285ECCC50C38}">
  <sheetPr codeName="Sheet1_7">
    <tabColor rgb="FFFFC000"/>
    <pageSetUpPr fitToPage="1"/>
  </sheetPr>
  <dimension ref="A1:AE208"/>
  <sheetViews>
    <sheetView showGridLines="0" zoomScale="80" zoomScaleNormal="80" workbookViewId="0">
      <selection activeCell="D39" sqref="D39"/>
    </sheetView>
  </sheetViews>
  <sheetFormatPr defaultColWidth="8.85546875" defaultRowHeight="15" x14ac:dyDescent="0.25"/>
  <cols>
    <col min="1" max="1" width="1" style="1074" customWidth="1"/>
    <col min="2" max="2" width="3.7109375" style="1074" customWidth="1"/>
    <col min="3" max="3" width="27.7109375" style="1074" hidden="1" customWidth="1"/>
    <col min="4" max="4" width="26.28515625" style="1078" customWidth="1"/>
    <col min="5" max="5" width="31.7109375" style="1074" customWidth="1"/>
    <col min="6" max="6" width="7.5703125" style="1074" customWidth="1"/>
    <col min="7" max="7" width="36.5703125" style="1074" customWidth="1"/>
    <col min="8" max="8" width="4.85546875" style="1074" customWidth="1"/>
    <col min="9" max="9" width="27.7109375" style="1074" customWidth="1"/>
    <col min="10" max="10" width="4.85546875" style="1074" customWidth="1"/>
    <col min="11" max="11" width="25.7109375" style="1074" customWidth="1"/>
    <col min="12" max="12" width="4.7109375" style="1074" customWidth="1"/>
    <col min="13" max="13" width="25.7109375" style="1074" customWidth="1"/>
    <col min="14" max="14" width="4.85546875" style="1074" customWidth="1"/>
    <col min="15" max="15" width="22.7109375" style="1074" customWidth="1"/>
    <col min="16" max="16" width="7" style="1074" customWidth="1"/>
    <col min="17" max="17" width="2.85546875" style="1074" customWidth="1"/>
    <col min="18" max="18" width="8" style="1075" bestFit="1" customWidth="1"/>
    <col min="19" max="19" width="9.5703125" style="1074" bestFit="1" customWidth="1"/>
    <col min="20" max="20" width="13" style="1074" bestFit="1" customWidth="1"/>
    <col min="21" max="21" width="12.7109375" style="1074" customWidth="1"/>
    <col min="22" max="22" width="8.42578125" style="1074" customWidth="1"/>
    <col min="23" max="16384" width="8.85546875" style="1074"/>
  </cols>
  <sheetData>
    <row r="1" spans="1:31" ht="5.45" customHeight="1" thickBot="1" x14ac:dyDescent="0.3"/>
    <row r="2" spans="1:31" s="1075" customFormat="1" ht="22.5" customHeight="1" thickBot="1" x14ac:dyDescent="0.4">
      <c r="A2" s="1077"/>
      <c r="B2" s="509"/>
      <c r="C2" s="1077"/>
      <c r="D2" s="1097" t="s">
        <v>1496</v>
      </c>
      <c r="E2" s="1077"/>
      <c r="F2" s="174"/>
      <c r="G2" s="175"/>
      <c r="H2" s="1077"/>
      <c r="I2" s="509"/>
      <c r="J2" s="1077"/>
      <c r="K2" s="1077"/>
      <c r="L2" s="1077"/>
      <c r="M2" s="1077"/>
      <c r="N2" s="1077"/>
      <c r="O2" s="1077"/>
      <c r="P2" s="1077"/>
      <c r="Q2" s="510"/>
      <c r="S2" s="177"/>
      <c r="T2" s="178"/>
      <c r="U2" s="178"/>
      <c r="V2" s="178"/>
      <c r="W2" s="178"/>
      <c r="X2" s="178"/>
      <c r="Y2" s="178"/>
      <c r="Z2" s="178"/>
      <c r="AA2" s="178"/>
      <c r="AB2" s="178"/>
      <c r="AC2" s="178"/>
      <c r="AD2" s="178"/>
      <c r="AE2" s="178"/>
    </row>
    <row r="3" spans="1:31" s="1075" customFormat="1" ht="18" customHeight="1" thickBot="1" x14ac:dyDescent="0.3">
      <c r="D3" s="1098"/>
      <c r="G3" s="1090" t="s">
        <v>1255</v>
      </c>
      <c r="H3" s="1358">
        <f>Welcome!$D$8</f>
        <v>0</v>
      </c>
      <c r="I3" s="1359"/>
      <c r="J3" s="1074"/>
      <c r="K3" s="1090" t="s">
        <v>110</v>
      </c>
      <c r="L3" s="1360">
        <f>IFERROR(VLOOKUP($L$4,'Market Geography'!$D:$G,4,FALSE),0)</f>
        <v>0</v>
      </c>
      <c r="M3" s="1361"/>
      <c r="N3" s="744"/>
      <c r="O3" s="744"/>
      <c r="P3" s="744"/>
      <c r="Q3" s="180"/>
      <c r="R3" s="178"/>
      <c r="S3" s="181"/>
      <c r="T3" s="178"/>
      <c r="U3" s="178"/>
      <c r="V3" s="178"/>
      <c r="W3" s="178"/>
      <c r="X3" s="178"/>
      <c r="Y3" s="178"/>
      <c r="Z3" s="178"/>
      <c r="AA3" s="178"/>
      <c r="AB3" s="178"/>
      <c r="AC3" s="178"/>
      <c r="AD3" s="178"/>
      <c r="AE3" s="178"/>
    </row>
    <row r="4" spans="1:31" s="1075" customFormat="1" ht="18" customHeight="1" thickBot="1" x14ac:dyDescent="0.3">
      <c r="D4" s="1093" t="s">
        <v>1593</v>
      </c>
      <c r="E4" s="1094" t="s">
        <v>651</v>
      </c>
      <c r="G4" s="1091" t="s">
        <v>1256</v>
      </c>
      <c r="H4" s="1362" t="str">
        <f>Welcome!$D$12</f>
        <v>Select Term</v>
      </c>
      <c r="I4" s="1363"/>
      <c r="J4" s="182"/>
      <c r="K4" s="1091" t="s">
        <v>881</v>
      </c>
      <c r="L4" s="1364">
        <f>Welcome!$D$4</f>
        <v>0</v>
      </c>
      <c r="M4" s="1365"/>
      <c r="N4" s="744"/>
      <c r="O4" s="744"/>
      <c r="P4" s="744"/>
      <c r="Q4" s="180"/>
      <c r="R4" s="178"/>
      <c r="S4" s="181"/>
      <c r="T4" s="178"/>
      <c r="U4" s="178"/>
      <c r="V4" s="178"/>
      <c r="W4" s="178"/>
      <c r="X4" s="178"/>
      <c r="Y4" s="178"/>
      <c r="Z4" s="178"/>
      <c r="AA4" s="178"/>
      <c r="AB4" s="178"/>
      <c r="AC4" s="178"/>
      <c r="AD4" s="178"/>
      <c r="AE4" s="178"/>
    </row>
    <row r="5" spans="1:31" s="1075" customFormat="1" ht="18" customHeight="1" thickBot="1" x14ac:dyDescent="0.3">
      <c r="D5" s="1095"/>
      <c r="E5" s="78"/>
      <c r="G5" s="1091" t="s">
        <v>1261</v>
      </c>
      <c r="H5" s="1366">
        <f>'PIM Model'!$G$31</f>
        <v>0</v>
      </c>
      <c r="I5" s="1367"/>
      <c r="J5" s="1074"/>
      <c r="K5" s="1091" t="s">
        <v>107</v>
      </c>
      <c r="L5" s="1364" t="str">
        <f>'Multi-Customer'!$S$49</f>
        <v>Enter Customer(s)</v>
      </c>
      <c r="M5" s="1365"/>
      <c r="N5" s="744"/>
      <c r="O5" s="744"/>
      <c r="P5" s="744"/>
      <c r="Q5" s="180"/>
      <c r="R5" s="178"/>
      <c r="S5" s="181"/>
      <c r="T5" s="178"/>
      <c r="U5" s="178"/>
      <c r="V5" s="178"/>
      <c r="W5" s="178"/>
      <c r="X5" s="178"/>
      <c r="Y5" s="178"/>
      <c r="Z5" s="178"/>
      <c r="AA5" s="178"/>
      <c r="AB5" s="178"/>
      <c r="AC5" s="178"/>
      <c r="AD5" s="178"/>
      <c r="AE5" s="178"/>
    </row>
    <row r="6" spans="1:31" s="1075" customFormat="1" ht="18" customHeight="1" thickBot="1" x14ac:dyDescent="0.3">
      <c r="D6" s="1096" t="s">
        <v>1592</v>
      </c>
      <c r="E6" s="1171" t="s">
        <v>653</v>
      </c>
      <c r="G6" s="1091" t="s">
        <v>1262</v>
      </c>
      <c r="H6" s="1368">
        <f>'Variable Costs (Back)'!$K$26</f>
        <v>0</v>
      </c>
      <c r="I6" s="1369"/>
      <c r="J6" s="1074"/>
      <c r="K6" s="1091" t="s">
        <v>1271</v>
      </c>
      <c r="L6" s="1364" t="str">
        <f>'Multi-Customer'!$AH$40</f>
        <v>MULTIPLE TYPES</v>
      </c>
      <c r="M6" s="1365"/>
      <c r="N6" s="744"/>
      <c r="O6" s="744"/>
      <c r="P6" s="744"/>
      <c r="Q6" s="180"/>
      <c r="R6" s="178"/>
      <c r="S6" s="181"/>
      <c r="T6" s="178"/>
      <c r="U6" s="178"/>
      <c r="V6" s="178"/>
      <c r="W6" s="178"/>
      <c r="X6" s="178"/>
      <c r="Y6" s="178"/>
      <c r="Z6" s="178"/>
      <c r="AA6" s="178"/>
      <c r="AB6" s="178"/>
      <c r="AC6" s="178"/>
      <c r="AD6" s="178"/>
      <c r="AE6" s="178"/>
    </row>
    <row r="7" spans="1:31" s="1075" customFormat="1" ht="15.75" thickBot="1" x14ac:dyDescent="0.3">
      <c r="D7" s="1098"/>
      <c r="G7" s="1092" t="s">
        <v>1263</v>
      </c>
      <c r="H7" s="1370">
        <f>IFERROR('PIM Ranges'!$AU$3,0)</f>
        <v>0</v>
      </c>
      <c r="I7" s="1371"/>
      <c r="J7" s="1074"/>
      <c r="K7" s="1092" t="s">
        <v>1264</v>
      </c>
      <c r="L7" s="1372" t="s">
        <v>206</v>
      </c>
      <c r="M7" s="1373"/>
      <c r="N7" s="1099"/>
      <c r="O7" s="1099"/>
      <c r="P7" s="1099"/>
      <c r="Q7" s="180"/>
      <c r="R7" s="178"/>
      <c r="S7" s="181"/>
      <c r="T7" s="178"/>
      <c r="U7" s="178"/>
      <c r="V7" s="178"/>
      <c r="W7" s="178"/>
      <c r="X7" s="178"/>
      <c r="Y7" s="178"/>
      <c r="Z7" s="178"/>
      <c r="AA7" s="178"/>
      <c r="AB7" s="178"/>
      <c r="AC7" s="178"/>
      <c r="AD7" s="178"/>
      <c r="AE7" s="178"/>
    </row>
    <row r="8" spans="1:31" s="1075" customFormat="1" ht="18" customHeight="1" thickBot="1" x14ac:dyDescent="0.3">
      <c r="D8" s="1098"/>
      <c r="F8" s="137"/>
      <c r="I8" s="178"/>
      <c r="J8" s="178"/>
      <c r="K8" s="178"/>
      <c r="L8" s="178"/>
      <c r="M8" s="178"/>
      <c r="N8" s="178"/>
      <c r="O8" s="178"/>
      <c r="P8" s="178"/>
      <c r="Q8" s="183"/>
      <c r="R8" s="178"/>
      <c r="S8" s="181"/>
      <c r="T8" s="178"/>
      <c r="U8" s="178"/>
      <c r="V8" s="178"/>
      <c r="W8" s="178"/>
      <c r="X8" s="178"/>
      <c r="Y8" s="178"/>
      <c r="Z8" s="178"/>
      <c r="AA8" s="178"/>
      <c r="AB8" s="178"/>
      <c r="AC8" s="178"/>
      <c r="AD8" s="178"/>
      <c r="AE8" s="178"/>
    </row>
    <row r="9" spans="1:31" s="1075" customFormat="1" ht="16.5" customHeight="1" x14ac:dyDescent="0.25">
      <c r="D9" s="1170"/>
      <c r="F9" s="137"/>
      <c r="G9" s="184" t="s">
        <v>896</v>
      </c>
      <c r="H9" s="1374">
        <f>IFERROR('PIM Model'!$G$31,0)</f>
        <v>0</v>
      </c>
      <c r="I9" s="1375"/>
      <c r="L9" s="178"/>
      <c r="M9" s="178"/>
      <c r="N9" s="178"/>
      <c r="O9" s="178"/>
      <c r="P9" s="178"/>
      <c r="Q9" s="183"/>
      <c r="R9" s="178"/>
      <c r="S9" s="181"/>
      <c r="T9" s="178"/>
      <c r="U9" s="178"/>
      <c r="V9" s="178"/>
      <c r="W9" s="178"/>
      <c r="X9" s="178"/>
      <c r="Y9" s="178"/>
      <c r="Z9" s="178"/>
      <c r="AA9" s="178"/>
      <c r="AB9" s="178"/>
      <c r="AC9" s="178"/>
      <c r="AD9" s="178"/>
      <c r="AE9" s="178"/>
    </row>
    <row r="10" spans="1:31" s="1075" customFormat="1" ht="18" customHeight="1" thickBot="1" x14ac:dyDescent="0.3">
      <c r="D10" s="1098"/>
      <c r="F10" s="137"/>
      <c r="G10" s="185" t="s">
        <v>897</v>
      </c>
      <c r="H10" s="1356">
        <f>IFERROR('PIM Model'!$G$32,0)</f>
        <v>0</v>
      </c>
      <c r="I10" s="1357"/>
      <c r="L10" s="178"/>
      <c r="M10" s="178"/>
      <c r="N10" s="178"/>
      <c r="O10" s="178"/>
      <c r="P10" s="178"/>
      <c r="Q10" s="183"/>
      <c r="R10" s="178"/>
      <c r="S10" s="181"/>
      <c r="T10" s="178"/>
      <c r="U10" s="178"/>
      <c r="V10" s="178"/>
      <c r="W10" s="178"/>
      <c r="X10" s="178"/>
      <c r="Y10" s="178"/>
      <c r="Z10" s="178"/>
      <c r="AA10" s="178"/>
      <c r="AB10" s="178"/>
      <c r="AC10" s="178"/>
      <c r="AD10" s="178"/>
      <c r="AE10" s="178"/>
    </row>
    <row r="11" spans="1:31" s="1075" customFormat="1" ht="18" customHeight="1" x14ac:dyDescent="0.25">
      <c r="D11" s="1098"/>
      <c r="F11" s="137"/>
      <c r="I11" s="178"/>
      <c r="J11" s="178"/>
      <c r="K11" s="178"/>
      <c r="L11" s="178"/>
      <c r="M11" s="178"/>
      <c r="N11" s="178"/>
      <c r="O11" s="178"/>
      <c r="P11" s="178"/>
      <c r="Q11" s="183"/>
      <c r="R11" s="178"/>
      <c r="S11" s="181"/>
      <c r="T11" s="178"/>
      <c r="U11" s="178"/>
      <c r="V11" s="178"/>
      <c r="W11" s="178"/>
      <c r="X11" s="178"/>
      <c r="Y11" s="178"/>
      <c r="Z11" s="178"/>
      <c r="AA11" s="178"/>
      <c r="AB11" s="178"/>
      <c r="AC11" s="178"/>
      <c r="AD11" s="178"/>
      <c r="AE11" s="178"/>
    </row>
    <row r="12" spans="1:31" s="1075" customFormat="1" ht="21.75" customHeight="1" thickBot="1" x14ac:dyDescent="0.3">
      <c r="A12" s="1100"/>
      <c r="B12" s="256"/>
      <c r="C12" s="187"/>
      <c r="D12" s="1376" t="s">
        <v>898</v>
      </c>
      <c r="E12" s="1376"/>
      <c r="F12" s="188"/>
      <c r="G12" s="1377"/>
      <c r="H12" s="1378"/>
      <c r="I12" s="189"/>
      <c r="J12" s="1379"/>
      <c r="K12" s="1379"/>
      <c r="L12" s="187"/>
      <c r="M12" s="187"/>
      <c r="N12" s="187"/>
      <c r="O12" s="187"/>
      <c r="P12" s="190"/>
      <c r="Q12" s="180"/>
      <c r="R12" s="178"/>
      <c r="S12" s="178"/>
      <c r="T12" s="178"/>
      <c r="U12" s="178"/>
      <c r="V12" s="178"/>
      <c r="W12" s="178"/>
      <c r="X12" s="178"/>
      <c r="Y12" s="178"/>
      <c r="Z12" s="178"/>
      <c r="AA12" s="178"/>
      <c r="AB12" s="178"/>
      <c r="AC12" s="178"/>
    </row>
    <row r="13" spans="1:31" s="1075" customFormat="1" ht="18" customHeight="1" thickBot="1" x14ac:dyDescent="0.3">
      <c r="A13" s="1100"/>
      <c r="B13" s="251"/>
      <c r="C13" s="146"/>
      <c r="D13" s="1101" t="s">
        <v>528</v>
      </c>
      <c r="E13" s="1169" t="s">
        <v>653</v>
      </c>
      <c r="F13" s="350"/>
      <c r="G13" s="236" t="s">
        <v>1497</v>
      </c>
      <c r="H13" s="655"/>
      <c r="I13" s="236" t="s">
        <v>1498</v>
      </c>
      <c r="J13" s="41"/>
      <c r="K13" s="236" t="s">
        <v>871</v>
      </c>
      <c r="L13" s="146"/>
      <c r="M13" s="197" t="s">
        <v>1499</v>
      </c>
      <c r="N13" s="146"/>
      <c r="O13" s="146"/>
      <c r="P13" s="193"/>
      <c r="Q13" s="180"/>
      <c r="R13" s="178"/>
      <c r="S13" s="178"/>
      <c r="T13" s="178"/>
      <c r="U13" s="178"/>
      <c r="V13" s="178"/>
      <c r="W13" s="178"/>
      <c r="X13" s="178"/>
      <c r="Y13" s="178"/>
      <c r="Z13" s="178"/>
      <c r="AA13" s="178"/>
      <c r="AB13" s="178"/>
      <c r="AC13" s="178"/>
    </row>
    <row r="14" spans="1:31" s="1075" customFormat="1" ht="18" customHeight="1" thickBot="1" x14ac:dyDescent="0.3">
      <c r="A14" s="1100"/>
      <c r="B14" s="251"/>
      <c r="C14" s="146"/>
      <c r="D14" s="1103" t="s">
        <v>1500</v>
      </c>
      <c r="E14" s="1173" t="s">
        <v>1501</v>
      </c>
      <c r="F14" s="192"/>
      <c r="G14" s="1172"/>
      <c r="H14" s="746"/>
      <c r="I14" s="1172"/>
      <c r="J14" s="146"/>
      <c r="K14" s="1172"/>
      <c r="L14" s="146"/>
      <c r="M14" s="1106"/>
      <c r="N14" s="146"/>
      <c r="O14" s="146"/>
      <c r="P14" s="193"/>
      <c r="Q14" s="180"/>
      <c r="R14" s="178"/>
      <c r="S14" s="701"/>
      <c r="T14" s="178"/>
      <c r="U14" s="178"/>
      <c r="V14" s="178"/>
      <c r="W14" s="178"/>
      <c r="X14" s="178"/>
      <c r="Y14" s="178"/>
      <c r="Z14" s="178"/>
      <c r="AA14" s="178"/>
      <c r="AB14" s="178"/>
      <c r="AC14" s="178"/>
    </row>
    <row r="15" spans="1:31" s="1075" customFormat="1" ht="15.75" thickBot="1" x14ac:dyDescent="0.3">
      <c r="A15" s="1100"/>
      <c r="B15" s="251"/>
      <c r="C15" s="146"/>
      <c r="D15" s="1107"/>
      <c r="E15" s="194"/>
      <c r="F15" s="194"/>
      <c r="G15" s="656"/>
      <c r="H15" s="655"/>
      <c r="I15" s="146"/>
      <c r="J15" s="146"/>
      <c r="K15" s="146"/>
      <c r="L15" s="146"/>
      <c r="M15" s="146"/>
      <c r="N15" s="146"/>
      <c r="O15" s="146"/>
      <c r="P15" s="193"/>
      <c r="Q15" s="180"/>
      <c r="R15" s="178"/>
      <c r="S15" s="701" t="str">
        <f>IF($E15="NO","",IF($I14="Select Payment Method","X",""))</f>
        <v/>
      </c>
      <c r="T15" s="178"/>
      <c r="U15" s="178"/>
      <c r="V15" s="178"/>
      <c r="W15" s="178"/>
      <c r="X15" s="178"/>
      <c r="Y15" s="178"/>
      <c r="Z15" s="178"/>
      <c r="AA15" s="178"/>
      <c r="AB15" s="178"/>
      <c r="AC15" s="178"/>
    </row>
    <row r="16" spans="1:31" s="1075" customFormat="1" ht="18" customHeight="1" thickBot="1" x14ac:dyDescent="0.3">
      <c r="A16" s="1100"/>
      <c r="B16" s="251"/>
      <c r="C16" s="146"/>
      <c r="D16" s="1108" t="s">
        <v>1502</v>
      </c>
      <c r="E16" s="1109" t="str">
        <f>IF(Welcome!$D$6="New",IF('Required Info to Submit'!F$14="","",'Required Info to Submit'!F$14),"")</f>
        <v/>
      </c>
      <c r="F16" s="194"/>
      <c r="G16" s="196" t="s">
        <v>520</v>
      </c>
      <c r="H16" s="655"/>
      <c r="I16" s="146"/>
      <c r="J16" s="146"/>
      <c r="K16" s="146"/>
      <c r="L16" s="146"/>
      <c r="M16" s="146"/>
      <c r="N16" s="146"/>
      <c r="O16" s="146"/>
      <c r="P16" s="193"/>
      <c r="Q16" s="180"/>
      <c r="R16" s="178"/>
      <c r="S16" s="701"/>
      <c r="T16" s="178"/>
      <c r="U16" s="178"/>
      <c r="V16" s="178"/>
      <c r="W16" s="178"/>
      <c r="X16" s="178"/>
      <c r="Y16" s="178"/>
      <c r="Z16" s="178"/>
      <c r="AA16" s="178"/>
      <c r="AB16" s="178"/>
      <c r="AC16" s="178"/>
    </row>
    <row r="17" spans="1:29" s="1075" customFormat="1" ht="18" customHeight="1" thickBot="1" x14ac:dyDescent="0.3">
      <c r="A17" s="1100"/>
      <c r="B17" s="251"/>
      <c r="C17" s="146"/>
      <c r="D17" s="1108" t="s">
        <v>1503</v>
      </c>
      <c r="E17" s="1109" t="str">
        <f>IF(Welcome!$D$6="New",IF('Required Info to Submit'!F$17="","",'Required Info to Submit'!F$17),"")</f>
        <v/>
      </c>
      <c r="F17" s="194"/>
      <c r="G17" s="1111">
        <f>$H$9/52</f>
        <v>0</v>
      </c>
      <c r="H17" s="655"/>
      <c r="I17" s="146"/>
      <c r="J17" s="146"/>
      <c r="K17" s="146"/>
      <c r="L17" s="146"/>
      <c r="M17" s="191"/>
      <c r="N17" s="874"/>
      <c r="O17" s="191"/>
      <c r="P17" s="193"/>
      <c r="Q17" s="180"/>
      <c r="R17" s="178"/>
      <c r="S17" s="701"/>
      <c r="T17" s="178"/>
      <c r="U17" s="178"/>
      <c r="V17" s="178"/>
      <c r="W17" s="178"/>
      <c r="X17" s="178"/>
      <c r="Y17" s="178"/>
      <c r="Z17" s="178"/>
      <c r="AA17" s="178"/>
      <c r="AB17" s="178"/>
      <c r="AC17" s="178"/>
    </row>
    <row r="18" spans="1:29" s="1075" customFormat="1" ht="15.75" customHeight="1" thickBot="1" x14ac:dyDescent="0.3">
      <c r="A18" s="1100"/>
      <c r="B18" s="251"/>
      <c r="C18" s="146"/>
      <c r="D18" s="1107"/>
      <c r="E18" s="194"/>
      <c r="F18" s="194"/>
      <c r="G18" s="197" t="s">
        <v>1504</v>
      </c>
      <c r="H18" s="655"/>
      <c r="I18" s="197" t="s">
        <v>1505</v>
      </c>
      <c r="J18" s="146"/>
      <c r="K18" s="197" t="s">
        <v>1506</v>
      </c>
      <c r="L18" s="146"/>
      <c r="M18" s="874"/>
      <c r="N18" s="874"/>
      <c r="O18" s="6" t="s">
        <v>493</v>
      </c>
      <c r="P18" s="193"/>
      <c r="Q18" s="180"/>
      <c r="R18" s="178"/>
      <c r="S18" s="701"/>
      <c r="T18" s="178"/>
      <c r="U18" s="178"/>
      <c r="V18" s="178"/>
      <c r="W18" s="178"/>
      <c r="X18" s="178"/>
      <c r="Y18" s="178"/>
      <c r="Z18" s="178"/>
      <c r="AA18" s="178"/>
      <c r="AB18" s="178"/>
      <c r="AC18" s="178"/>
    </row>
    <row r="19" spans="1:29" s="1075" customFormat="1" ht="18" customHeight="1" x14ac:dyDescent="0.25">
      <c r="A19" s="1100"/>
      <c r="B19" s="251"/>
      <c r="C19" s="146"/>
      <c r="D19" s="1112" t="s">
        <v>525</v>
      </c>
      <c r="E19" s="1113">
        <f>IF(G19="",0,(G19-$G$17)/$G$17)</f>
        <v>0</v>
      </c>
      <c r="F19" s="1114" t="s">
        <v>1048</v>
      </c>
      <c r="G19" s="1111"/>
      <c r="H19" s="655"/>
      <c r="I19" s="1115"/>
      <c r="J19" s="146"/>
      <c r="K19" s="792"/>
      <c r="L19" s="146"/>
      <c r="M19" s="874"/>
      <c r="N19" s="874"/>
      <c r="O19" s="1116" t="str">
        <f>IF(E13="Yes",IF(G20="",IF(G19="","",K19*H$10),IF(OR(G20&lt;G17,G20=G17),K20*H$10)),"")</f>
        <v/>
      </c>
      <c r="P19" s="193"/>
      <c r="Q19" s="180"/>
      <c r="R19" s="178"/>
      <c r="S19" s="701"/>
      <c r="T19" s="178"/>
      <c r="U19" s="178"/>
      <c r="V19" s="178"/>
      <c r="W19" s="178"/>
      <c r="X19" s="178"/>
      <c r="Y19" s="178"/>
      <c r="Z19" s="178"/>
      <c r="AA19" s="178"/>
      <c r="AB19" s="178"/>
      <c r="AC19" s="178"/>
    </row>
    <row r="20" spans="1:29" s="1075" customFormat="1" ht="18" customHeight="1" x14ac:dyDescent="0.25">
      <c r="A20" s="1100"/>
      <c r="B20" s="251"/>
      <c r="C20" s="146"/>
      <c r="D20" s="1117" t="s">
        <v>526</v>
      </c>
      <c r="E20" s="1118">
        <f t="shared" ref="E20:E23" si="0">IF(G20="",0,(G20-$G$17)/$G$17)</f>
        <v>0</v>
      </c>
      <c r="F20" s="1114" t="s">
        <v>1507</v>
      </c>
      <c r="G20" s="1111"/>
      <c r="H20" s="655"/>
      <c r="I20" s="1119"/>
      <c r="J20" s="1120" t="str">
        <f>IF($E$15="YES","**Tier 1 used for modeling purposes**","")</f>
        <v/>
      </c>
      <c r="K20" s="792"/>
      <c r="L20" s="1121"/>
      <c r="M20" s="1174" t="str">
        <f>IF($E13="Yes","**Tier 1 used for modeling purposes**","")</f>
        <v/>
      </c>
      <c r="N20" s="874"/>
      <c r="O20" s="874"/>
      <c r="P20" s="193"/>
      <c r="Q20" s="180"/>
      <c r="R20" s="178"/>
      <c r="S20" s="701"/>
      <c r="T20" s="178"/>
      <c r="U20" s="178"/>
      <c r="V20" s="178"/>
      <c r="W20" s="178"/>
      <c r="X20" s="178"/>
      <c r="Y20" s="178"/>
      <c r="Z20" s="178"/>
      <c r="AA20" s="178"/>
      <c r="AB20" s="178"/>
      <c r="AC20" s="178"/>
    </row>
    <row r="21" spans="1:29" s="1075" customFormat="1" ht="18" customHeight="1" x14ac:dyDescent="0.25">
      <c r="A21" s="1100"/>
      <c r="B21" s="251"/>
      <c r="C21" s="146"/>
      <c r="D21" s="1117" t="s">
        <v>527</v>
      </c>
      <c r="E21" s="1118">
        <f t="shared" si="0"/>
        <v>0</v>
      </c>
      <c r="F21" s="1114" t="s">
        <v>1508</v>
      </c>
      <c r="G21" s="1111"/>
      <c r="H21" s="655"/>
      <c r="I21" s="1119"/>
      <c r="J21" s="146"/>
      <c r="K21" s="792"/>
      <c r="L21" s="146"/>
      <c r="M21" s="1166" t="str">
        <f>IF($K$24&gt;0,"**Warning: You have entered an incentive payout above the recommended 5%**","")</f>
        <v/>
      </c>
      <c r="N21" s="874"/>
      <c r="O21" s="874"/>
      <c r="P21" s="193"/>
      <c r="Q21" s="180"/>
      <c r="R21" s="178"/>
      <c r="S21" s="701"/>
      <c r="T21" s="178"/>
      <c r="U21" s="178"/>
      <c r="V21" s="178"/>
      <c r="W21" s="178"/>
      <c r="X21" s="178"/>
      <c r="Y21" s="178"/>
      <c r="Z21" s="178"/>
      <c r="AA21" s="178"/>
      <c r="AB21" s="178"/>
      <c r="AC21" s="178"/>
    </row>
    <row r="22" spans="1:29" s="1075" customFormat="1" ht="18" hidden="1" customHeight="1" x14ac:dyDescent="0.25">
      <c r="A22" s="1100"/>
      <c r="B22" s="251"/>
      <c r="C22" s="146"/>
      <c r="D22" s="1117" t="s">
        <v>1509</v>
      </c>
      <c r="E22" s="1118">
        <f t="shared" si="0"/>
        <v>0</v>
      </c>
      <c r="F22" s="1114" t="s">
        <v>1510</v>
      </c>
      <c r="G22" s="1111"/>
      <c r="H22" s="655"/>
      <c r="I22" s="1119"/>
      <c r="J22" s="146"/>
      <c r="K22" s="792"/>
      <c r="L22" s="146"/>
      <c r="M22" s="874"/>
      <c r="N22" s="874"/>
      <c r="O22" s="874"/>
      <c r="P22" s="193"/>
      <c r="Q22" s="180"/>
      <c r="R22" s="178"/>
      <c r="S22" s="701"/>
      <c r="T22" s="178"/>
      <c r="U22" s="178"/>
      <c r="V22" s="178"/>
      <c r="W22" s="178"/>
      <c r="X22" s="178"/>
      <c r="Y22" s="178"/>
      <c r="Z22" s="178"/>
      <c r="AA22" s="178"/>
      <c r="AB22" s="178"/>
      <c r="AC22" s="178"/>
    </row>
    <row r="23" spans="1:29" s="1075" customFormat="1" ht="18" hidden="1" customHeight="1" thickBot="1" x14ac:dyDescent="0.3">
      <c r="A23" s="1100"/>
      <c r="B23" s="251"/>
      <c r="C23" s="146"/>
      <c r="D23" s="1122" t="s">
        <v>1511</v>
      </c>
      <c r="E23" s="1123">
        <f t="shared" si="0"/>
        <v>0</v>
      </c>
      <c r="F23" s="1114" t="s">
        <v>1512</v>
      </c>
      <c r="G23" s="1111"/>
      <c r="H23" s="655"/>
      <c r="I23" s="1119"/>
      <c r="J23" s="146"/>
      <c r="K23" s="792"/>
      <c r="L23" s="146"/>
      <c r="M23" s="874"/>
      <c r="N23" s="874"/>
      <c r="O23" s="874"/>
      <c r="P23" s="193"/>
      <c r="Q23" s="180"/>
      <c r="R23" s="178"/>
      <c r="S23" s="701"/>
      <c r="T23" s="178"/>
      <c r="U23" s="178"/>
      <c r="V23" s="178"/>
      <c r="W23" s="178"/>
      <c r="X23" s="178"/>
      <c r="Y23" s="178"/>
      <c r="Z23" s="178"/>
      <c r="AA23" s="178"/>
      <c r="AB23" s="178"/>
      <c r="AC23" s="178"/>
    </row>
    <row r="24" spans="1:29" s="1075" customFormat="1" ht="20.25" customHeight="1" x14ac:dyDescent="0.25">
      <c r="A24" s="1100"/>
      <c r="B24" s="253"/>
      <c r="C24" s="207"/>
      <c r="D24" s="202"/>
      <c r="E24" s="203"/>
      <c r="F24" s="204"/>
      <c r="G24" s="205"/>
      <c r="H24" s="206"/>
      <c r="I24" s="733">
        <f>COUNTIF($I$20:$I$23,"&gt;.03")</f>
        <v>0</v>
      </c>
      <c r="J24" s="207"/>
      <c r="K24" s="1231">
        <f>COUNTIF($K$19:$K$23,"&gt;.05")</f>
        <v>0</v>
      </c>
      <c r="L24" s="207"/>
      <c r="M24" s="209"/>
      <c r="N24" s="209"/>
      <c r="O24" s="209"/>
      <c r="P24" s="210"/>
      <c r="Q24" s="180"/>
      <c r="R24" s="178"/>
      <c r="S24" s="701"/>
      <c r="T24" s="178"/>
      <c r="U24" s="178"/>
      <c r="V24" s="178"/>
      <c r="W24" s="178"/>
      <c r="X24" s="178"/>
      <c r="Y24" s="178"/>
      <c r="Z24" s="178"/>
      <c r="AA24" s="178"/>
      <c r="AB24" s="178"/>
      <c r="AC24" s="178"/>
    </row>
    <row r="25" spans="1:29" s="1075" customFormat="1" ht="10.15" customHeight="1" x14ac:dyDescent="0.25">
      <c r="C25" s="181"/>
      <c r="D25" s="211"/>
      <c r="E25" s="212"/>
      <c r="F25" s="213"/>
      <c r="G25" s="214"/>
      <c r="H25" s="215"/>
      <c r="I25" s="216"/>
      <c r="J25" s="181"/>
      <c r="K25" s="217"/>
      <c r="L25" s="181"/>
      <c r="M25" s="218"/>
      <c r="N25" s="218"/>
      <c r="O25" s="218"/>
      <c r="P25" s="178"/>
      <c r="Q25" s="180"/>
      <c r="R25" s="178"/>
      <c r="S25" s="701"/>
      <c r="T25" s="178"/>
      <c r="U25" s="178"/>
      <c r="V25" s="178"/>
      <c r="W25" s="178"/>
      <c r="X25" s="178"/>
      <c r="Y25" s="178"/>
      <c r="Z25" s="178"/>
      <c r="AA25" s="178"/>
      <c r="AB25" s="178"/>
      <c r="AC25" s="178"/>
    </row>
    <row r="26" spans="1:29" s="1075" customFormat="1" ht="21.75" hidden="1" customHeight="1" thickBot="1" x14ac:dyDescent="0.3">
      <c r="A26" s="1100"/>
      <c r="B26" s="256"/>
      <c r="C26" s="187"/>
      <c r="D26" s="1376" t="s">
        <v>898</v>
      </c>
      <c r="E26" s="1376"/>
      <c r="F26" s="188"/>
      <c r="G26" s="1377"/>
      <c r="H26" s="1378"/>
      <c r="I26" s="189"/>
      <c r="J26" s="1379"/>
      <c r="K26" s="1379"/>
      <c r="L26" s="187"/>
      <c r="M26" s="187"/>
      <c r="N26" s="187"/>
      <c r="O26" s="187"/>
      <c r="P26" s="190"/>
      <c r="Q26" s="180"/>
      <c r="R26" s="178"/>
      <c r="S26" s="178"/>
      <c r="T26" s="178"/>
      <c r="U26" s="178"/>
      <c r="V26" s="178"/>
      <c r="W26" s="178"/>
      <c r="X26" s="178"/>
      <c r="Y26" s="178"/>
      <c r="Z26" s="178"/>
      <c r="AA26" s="178"/>
      <c r="AB26" s="178"/>
      <c r="AC26" s="178"/>
    </row>
    <row r="27" spans="1:29" s="1075" customFormat="1" ht="18" hidden="1" customHeight="1" thickBot="1" x14ac:dyDescent="0.3">
      <c r="A27" s="1100"/>
      <c r="B27" s="251"/>
      <c r="C27" s="146"/>
      <c r="D27" s="1124" t="s">
        <v>528</v>
      </c>
      <c r="E27" s="1125" t="s">
        <v>653</v>
      </c>
      <c r="F27" s="350"/>
      <c r="G27" s="236" t="s">
        <v>1497</v>
      </c>
      <c r="H27" s="655"/>
      <c r="I27" s="236" t="s">
        <v>1498</v>
      </c>
      <c r="J27" s="41"/>
      <c r="K27" s="236" t="s">
        <v>871</v>
      </c>
      <c r="L27" s="146"/>
      <c r="M27" s="197" t="s">
        <v>1499</v>
      </c>
      <c r="N27" s="146"/>
      <c r="O27" s="146"/>
      <c r="P27" s="193"/>
      <c r="Q27" s="180"/>
      <c r="R27" s="178"/>
      <c r="S27" s="178"/>
      <c r="T27" s="178"/>
      <c r="U27" s="178"/>
      <c r="V27" s="178"/>
      <c r="W27" s="178"/>
      <c r="X27" s="178"/>
      <c r="Y27" s="178"/>
      <c r="Z27" s="178"/>
      <c r="AA27" s="178"/>
      <c r="AB27" s="178"/>
      <c r="AC27" s="178"/>
    </row>
    <row r="28" spans="1:29" s="1075" customFormat="1" ht="18" hidden="1" customHeight="1" thickBot="1" x14ac:dyDescent="0.3">
      <c r="A28" s="1100"/>
      <c r="B28" s="251"/>
      <c r="C28" s="146"/>
      <c r="D28" s="1103" t="s">
        <v>1500</v>
      </c>
      <c r="E28" s="1126" t="s">
        <v>1501</v>
      </c>
      <c r="F28" s="192"/>
      <c r="G28" s="1105"/>
      <c r="H28" s="746"/>
      <c r="I28" s="1105"/>
      <c r="J28" s="146"/>
      <c r="K28" s="1105"/>
      <c r="L28" s="146"/>
      <c r="M28" s="1127"/>
      <c r="N28" s="146"/>
      <c r="O28" s="146"/>
      <c r="P28" s="193"/>
      <c r="Q28" s="180"/>
      <c r="R28" s="178"/>
      <c r="S28" s="701"/>
      <c r="T28" s="178"/>
      <c r="U28" s="178"/>
      <c r="V28" s="178"/>
      <c r="W28" s="178"/>
      <c r="X28" s="178"/>
      <c r="Y28" s="178"/>
      <c r="Z28" s="178"/>
      <c r="AA28" s="178"/>
      <c r="AB28" s="178"/>
      <c r="AC28" s="178"/>
    </row>
    <row r="29" spans="1:29" s="1075" customFormat="1" ht="15.75" hidden="1" thickBot="1" x14ac:dyDescent="0.3">
      <c r="A29" s="1100"/>
      <c r="B29" s="251"/>
      <c r="C29" s="146"/>
      <c r="D29" s="1107"/>
      <c r="E29" s="194"/>
      <c r="F29" s="194"/>
      <c r="G29" s="656"/>
      <c r="H29" s="655"/>
      <c r="I29" s="146"/>
      <c r="J29" s="146"/>
      <c r="K29" s="146"/>
      <c r="L29" s="146"/>
      <c r="M29" s="146"/>
      <c r="N29" s="146"/>
      <c r="O29" s="146"/>
      <c r="P29" s="193"/>
      <c r="Q29" s="180"/>
      <c r="R29" s="178"/>
      <c r="S29" s="701" t="str">
        <f>IF($E29="NO","",IF($I28="Select Payment Method","X",""))</f>
        <v/>
      </c>
      <c r="T29" s="178"/>
      <c r="U29" s="178"/>
      <c r="V29" s="178"/>
      <c r="W29" s="178"/>
      <c r="X29" s="178"/>
      <c r="Y29" s="178"/>
      <c r="Z29" s="178"/>
      <c r="AA29" s="178"/>
      <c r="AB29" s="178"/>
      <c r="AC29" s="178"/>
    </row>
    <row r="30" spans="1:29" s="1075" customFormat="1" ht="18" hidden="1" customHeight="1" thickBot="1" x14ac:dyDescent="0.3">
      <c r="A30" s="1100"/>
      <c r="B30" s="251"/>
      <c r="C30" s="146"/>
      <c r="D30" s="1108" t="s">
        <v>1502</v>
      </c>
      <c r="E30" s="1110" t="str">
        <f>IF(Welcome!$D$6="New",IF('Required Info to Submit'!F$14="","",'Required Info to Submit'!F$14),"")</f>
        <v/>
      </c>
      <c r="F30" s="194"/>
      <c r="G30" s="196" t="s">
        <v>520</v>
      </c>
      <c r="H30" s="655"/>
      <c r="I30" s="146"/>
      <c r="J30" s="146"/>
      <c r="K30" s="146"/>
      <c r="L30" s="146"/>
      <c r="M30" s="146"/>
      <c r="N30" s="146"/>
      <c r="O30" s="146"/>
      <c r="P30" s="193"/>
      <c r="Q30" s="180"/>
      <c r="R30" s="178"/>
      <c r="S30" s="701"/>
      <c r="T30" s="178"/>
      <c r="U30" s="178"/>
      <c r="V30" s="178"/>
      <c r="W30" s="178"/>
      <c r="X30" s="178"/>
      <c r="Y30" s="178"/>
      <c r="Z30" s="178"/>
      <c r="AA30" s="178"/>
      <c r="AB30" s="178"/>
      <c r="AC30" s="178"/>
    </row>
    <row r="31" spans="1:29" s="1075" customFormat="1" ht="18" hidden="1" customHeight="1" thickBot="1" x14ac:dyDescent="0.3">
      <c r="A31" s="1100"/>
      <c r="B31" s="251"/>
      <c r="C31" s="146"/>
      <c r="D31" s="1108" t="s">
        <v>1503</v>
      </c>
      <c r="E31" s="1109" t="str">
        <f>IF(Welcome!$D$6="New",IF('Required Info to Submit'!F$17="","",'Required Info to Submit'!F$17),"")</f>
        <v/>
      </c>
      <c r="F31" s="194"/>
      <c r="G31" s="1111">
        <f>$H$9/52</f>
        <v>0</v>
      </c>
      <c r="H31" s="655"/>
      <c r="I31" s="146"/>
      <c r="J31" s="146"/>
      <c r="K31" s="146"/>
      <c r="L31" s="146"/>
      <c r="M31" s="191"/>
      <c r="N31" s="874"/>
      <c r="O31" s="191"/>
      <c r="P31" s="193"/>
      <c r="Q31" s="180"/>
      <c r="R31" s="178"/>
      <c r="S31" s="701"/>
      <c r="T31" s="178"/>
      <c r="U31" s="178"/>
      <c r="V31" s="178"/>
      <c r="W31" s="178"/>
      <c r="X31" s="178"/>
      <c r="Y31" s="178"/>
      <c r="Z31" s="178"/>
      <c r="AA31" s="178"/>
      <c r="AB31" s="178"/>
      <c r="AC31" s="178"/>
    </row>
    <row r="32" spans="1:29" s="1075" customFormat="1" ht="15.75" hidden="1" customHeight="1" thickBot="1" x14ac:dyDescent="0.3">
      <c r="A32" s="1100"/>
      <c r="B32" s="251"/>
      <c r="C32" s="146"/>
      <c r="D32" s="1107"/>
      <c r="E32" s="194"/>
      <c r="F32" s="194"/>
      <c r="G32" s="197" t="s">
        <v>1504</v>
      </c>
      <c r="H32" s="655"/>
      <c r="I32" s="197" t="s">
        <v>1505</v>
      </c>
      <c r="J32" s="146"/>
      <c r="K32" s="197" t="s">
        <v>1506</v>
      </c>
      <c r="L32" s="146"/>
      <c r="M32" s="874"/>
      <c r="N32" s="874"/>
      <c r="O32" s="6" t="s">
        <v>493</v>
      </c>
      <c r="P32" s="193"/>
      <c r="Q32" s="180"/>
      <c r="R32" s="178"/>
      <c r="S32" s="701"/>
      <c r="T32" s="178"/>
      <c r="U32" s="178"/>
      <c r="V32" s="178"/>
      <c r="W32" s="178"/>
      <c r="X32" s="178"/>
      <c r="Y32" s="178"/>
      <c r="Z32" s="178"/>
      <c r="AA32" s="178"/>
      <c r="AB32" s="178"/>
      <c r="AC32" s="178"/>
    </row>
    <row r="33" spans="1:29" s="1075" customFormat="1" ht="18" hidden="1" customHeight="1" x14ac:dyDescent="0.25">
      <c r="A33" s="1100"/>
      <c r="B33" s="251"/>
      <c r="C33" s="146"/>
      <c r="D33" s="1112" t="s">
        <v>525</v>
      </c>
      <c r="E33" s="1113">
        <f>IF(G33="",0,(G33-$G$31)/$G$31)</f>
        <v>0</v>
      </c>
      <c r="F33" s="1114" t="s">
        <v>1048</v>
      </c>
      <c r="G33" s="1111"/>
      <c r="H33" s="655"/>
      <c r="I33" s="1115"/>
      <c r="J33" s="146"/>
      <c r="K33" s="791"/>
      <c r="L33" s="146"/>
      <c r="M33" s="874"/>
      <c r="N33" s="874"/>
      <c r="O33" s="1128">
        <f>IF(E27="Yes",IF(G34="",IF(G33="",0,K33*H$10),IF(OR(G34&lt;G31,G34=G31),K34*H$10)),0)</f>
        <v>0</v>
      </c>
      <c r="P33" s="193"/>
      <c r="Q33" s="180"/>
      <c r="R33" s="178"/>
      <c r="S33" s="701"/>
      <c r="T33" s="178"/>
      <c r="U33" s="178"/>
      <c r="V33" s="178"/>
      <c r="W33" s="178"/>
      <c r="X33" s="178"/>
      <c r="Y33" s="178"/>
      <c r="Z33" s="178"/>
      <c r="AA33" s="178"/>
      <c r="AB33" s="178"/>
      <c r="AC33" s="178"/>
    </row>
    <row r="34" spans="1:29" s="1075" customFormat="1" ht="18" hidden="1" customHeight="1" x14ac:dyDescent="0.25">
      <c r="A34" s="1100"/>
      <c r="B34" s="251"/>
      <c r="C34" s="146"/>
      <c r="D34" s="1117" t="s">
        <v>526</v>
      </c>
      <c r="E34" s="1118">
        <f t="shared" ref="E34:E37" si="1">IF(G34="",0,(G34-$G$31)/$G$31)</f>
        <v>0</v>
      </c>
      <c r="F34" s="1114" t="s">
        <v>1507</v>
      </c>
      <c r="G34" s="1111"/>
      <c r="H34" s="655"/>
      <c r="I34" s="1119"/>
      <c r="J34" s="1120" t="str">
        <f>IF($E$15="YES","**Tier 1 used for modeling purposes**","")</f>
        <v/>
      </c>
      <c r="K34" s="791"/>
      <c r="L34" s="1121"/>
      <c r="M34" s="874"/>
      <c r="N34" s="874"/>
      <c r="O34" s="874"/>
      <c r="P34" s="193"/>
      <c r="Q34" s="180"/>
      <c r="R34" s="178"/>
      <c r="S34" s="701"/>
      <c r="T34" s="178"/>
      <c r="U34" s="178"/>
      <c r="V34" s="178"/>
      <c r="W34" s="178"/>
      <c r="X34" s="178"/>
      <c r="Y34" s="178"/>
      <c r="Z34" s="178"/>
      <c r="AA34" s="178"/>
      <c r="AB34" s="178"/>
      <c r="AC34" s="178"/>
    </row>
    <row r="35" spans="1:29" s="1075" customFormat="1" ht="18" hidden="1" customHeight="1" x14ac:dyDescent="0.25">
      <c r="A35" s="1100"/>
      <c r="B35" s="251"/>
      <c r="C35" s="146"/>
      <c r="D35" s="1117" t="s">
        <v>527</v>
      </c>
      <c r="E35" s="1118">
        <f t="shared" si="1"/>
        <v>0</v>
      </c>
      <c r="F35" s="1114" t="s">
        <v>1508</v>
      </c>
      <c r="G35" s="1111"/>
      <c r="H35" s="655"/>
      <c r="I35" s="1119"/>
      <c r="J35" s="146"/>
      <c r="K35" s="791"/>
      <c r="L35" s="146"/>
      <c r="M35" s="874"/>
      <c r="N35" s="874"/>
      <c r="O35" s="874"/>
      <c r="P35" s="193"/>
      <c r="Q35" s="180"/>
      <c r="R35" s="178"/>
      <c r="S35" s="701"/>
      <c r="T35" s="178"/>
      <c r="U35" s="178"/>
      <c r="V35" s="178"/>
      <c r="W35" s="178"/>
      <c r="X35" s="178"/>
      <c r="Y35" s="178"/>
      <c r="Z35" s="178"/>
      <c r="AA35" s="178"/>
      <c r="AB35" s="178"/>
      <c r="AC35" s="178"/>
    </row>
    <row r="36" spans="1:29" s="1075" customFormat="1" ht="18" hidden="1" customHeight="1" x14ac:dyDescent="0.25">
      <c r="A36" s="1100"/>
      <c r="B36" s="251"/>
      <c r="C36" s="146"/>
      <c r="D36" s="1117" t="s">
        <v>1509</v>
      </c>
      <c r="E36" s="1118">
        <f t="shared" si="1"/>
        <v>0</v>
      </c>
      <c r="F36" s="1114" t="s">
        <v>1510</v>
      </c>
      <c r="G36" s="1111"/>
      <c r="H36" s="655"/>
      <c r="I36" s="1119"/>
      <c r="J36" s="146"/>
      <c r="K36" s="791"/>
      <c r="L36" s="146"/>
      <c r="M36" s="874"/>
      <c r="N36" s="874"/>
      <c r="O36" s="874"/>
      <c r="P36" s="193"/>
      <c r="Q36" s="180"/>
      <c r="R36" s="178"/>
      <c r="S36" s="701"/>
      <c r="T36" s="178"/>
      <c r="U36" s="178"/>
      <c r="V36" s="178"/>
      <c r="W36" s="178"/>
      <c r="X36" s="178"/>
      <c r="Y36" s="178"/>
      <c r="Z36" s="178"/>
      <c r="AA36" s="178"/>
      <c r="AB36" s="178"/>
      <c r="AC36" s="178"/>
    </row>
    <row r="37" spans="1:29" s="1075" customFormat="1" ht="18" hidden="1" customHeight="1" thickBot="1" x14ac:dyDescent="0.3">
      <c r="A37" s="1100"/>
      <c r="B37" s="251"/>
      <c r="C37" s="146"/>
      <c r="D37" s="1122" t="s">
        <v>1511</v>
      </c>
      <c r="E37" s="1123">
        <f t="shared" si="1"/>
        <v>0</v>
      </c>
      <c r="F37" s="1114" t="s">
        <v>1512</v>
      </c>
      <c r="G37" s="1111"/>
      <c r="H37" s="655"/>
      <c r="I37" s="1119"/>
      <c r="J37" s="146"/>
      <c r="K37" s="791"/>
      <c r="L37" s="146"/>
      <c r="M37" s="874"/>
      <c r="N37" s="874"/>
      <c r="O37" s="874"/>
      <c r="P37" s="193"/>
      <c r="Q37" s="180"/>
      <c r="R37" s="178"/>
      <c r="S37" s="701"/>
      <c r="T37" s="178"/>
      <c r="U37" s="178"/>
      <c r="V37" s="178"/>
      <c r="W37" s="178"/>
      <c r="X37" s="178"/>
      <c r="Y37" s="178"/>
      <c r="Z37" s="178"/>
      <c r="AA37" s="178"/>
      <c r="AB37" s="178"/>
      <c r="AC37" s="178"/>
    </row>
    <row r="38" spans="1:29" s="1075" customFormat="1" ht="20.25" hidden="1" customHeight="1" x14ac:dyDescent="0.25">
      <c r="A38" s="1100"/>
      <c r="B38" s="253"/>
      <c r="C38" s="207"/>
      <c r="D38" s="202"/>
      <c r="E38" s="203"/>
      <c r="F38" s="204"/>
      <c r="G38" s="205"/>
      <c r="H38" s="206"/>
      <c r="I38" s="733">
        <f>COUNTIF($I$20:$I$23,"&gt;.03")</f>
        <v>0</v>
      </c>
      <c r="J38" s="207"/>
      <c r="K38" s="208"/>
      <c r="L38" s="207"/>
      <c r="M38" s="209"/>
      <c r="N38" s="209"/>
      <c r="O38" s="209"/>
      <c r="P38" s="210"/>
      <c r="Q38" s="180"/>
      <c r="R38" s="178"/>
      <c r="S38" s="701"/>
      <c r="T38" s="178"/>
      <c r="U38" s="178"/>
      <c r="V38" s="178"/>
      <c r="W38" s="178"/>
      <c r="X38" s="178"/>
      <c r="Y38" s="178"/>
      <c r="Z38" s="178"/>
      <c r="AA38" s="178"/>
      <c r="AB38" s="178"/>
      <c r="AC38" s="178"/>
    </row>
    <row r="39" spans="1:29" s="1075" customFormat="1" ht="10.15" hidden="1" customHeight="1" x14ac:dyDescent="0.25">
      <c r="C39" s="181"/>
      <c r="D39" s="211"/>
      <c r="E39" s="212"/>
      <c r="F39" s="213"/>
      <c r="G39" s="214"/>
      <c r="H39" s="215"/>
      <c r="I39" s="216"/>
      <c r="J39" s="181"/>
      <c r="K39" s="217"/>
      <c r="L39" s="181"/>
      <c r="M39" s="218"/>
      <c r="N39" s="218"/>
      <c r="O39" s="218"/>
      <c r="P39" s="178"/>
      <c r="Q39" s="180"/>
      <c r="R39" s="178"/>
      <c r="S39" s="701"/>
      <c r="T39" s="178"/>
      <c r="U39" s="178"/>
      <c r="V39" s="178"/>
      <c r="W39" s="178"/>
      <c r="X39" s="178"/>
      <c r="Y39" s="178"/>
      <c r="Z39" s="178"/>
      <c r="AA39" s="178"/>
      <c r="AB39" s="178"/>
      <c r="AC39" s="178"/>
    </row>
    <row r="40" spans="1:29" s="1075" customFormat="1" ht="21.75" hidden="1" customHeight="1" thickBot="1" x14ac:dyDescent="0.3">
      <c r="A40" s="1100"/>
      <c r="B40" s="256"/>
      <c r="C40" s="187"/>
      <c r="D40" s="1376" t="s">
        <v>898</v>
      </c>
      <c r="E40" s="1376"/>
      <c r="F40" s="188"/>
      <c r="G40" s="1377"/>
      <c r="H40" s="1378"/>
      <c r="I40" s="189"/>
      <c r="J40" s="1379"/>
      <c r="K40" s="1379"/>
      <c r="L40" s="187"/>
      <c r="M40" s="187"/>
      <c r="N40" s="187"/>
      <c r="O40" s="187"/>
      <c r="P40" s="190"/>
      <c r="Q40" s="180"/>
      <c r="R40" s="178"/>
      <c r="S40" s="178"/>
      <c r="T40" s="178"/>
      <c r="U40" s="178"/>
      <c r="V40" s="178"/>
      <c r="W40" s="178"/>
      <c r="X40" s="178"/>
      <c r="Y40" s="178"/>
      <c r="Z40" s="178"/>
      <c r="AA40" s="178"/>
      <c r="AB40" s="178"/>
      <c r="AC40" s="178"/>
    </row>
    <row r="41" spans="1:29" s="1075" customFormat="1" ht="18" hidden="1" customHeight="1" thickBot="1" x14ac:dyDescent="0.3">
      <c r="A41" s="1100"/>
      <c r="B41" s="251"/>
      <c r="C41" s="146"/>
      <c r="D41" s="1124" t="s">
        <v>528</v>
      </c>
      <c r="E41" s="1125" t="s">
        <v>653</v>
      </c>
      <c r="F41" s="350"/>
      <c r="G41" s="236" t="s">
        <v>1497</v>
      </c>
      <c r="H41" s="655"/>
      <c r="I41" s="236" t="s">
        <v>1498</v>
      </c>
      <c r="J41" s="41"/>
      <c r="K41" s="236" t="s">
        <v>871</v>
      </c>
      <c r="L41" s="146"/>
      <c r="M41" s="197" t="s">
        <v>1499</v>
      </c>
      <c r="N41" s="146"/>
      <c r="O41" s="146"/>
      <c r="P41" s="193"/>
      <c r="Q41" s="180"/>
      <c r="R41" s="178"/>
      <c r="S41" s="178"/>
      <c r="T41" s="178"/>
      <c r="U41" s="178"/>
      <c r="V41" s="178"/>
      <c r="W41" s="178"/>
      <c r="X41" s="178"/>
      <c r="Y41" s="178"/>
      <c r="Z41" s="178"/>
      <c r="AA41" s="178"/>
      <c r="AB41" s="178"/>
      <c r="AC41" s="178"/>
    </row>
    <row r="42" spans="1:29" s="1075" customFormat="1" ht="18" hidden="1" customHeight="1" thickBot="1" x14ac:dyDescent="0.3">
      <c r="A42" s="1100"/>
      <c r="B42" s="251"/>
      <c r="C42" s="146"/>
      <c r="D42" s="1103" t="s">
        <v>1500</v>
      </c>
      <c r="E42" s="1126" t="s">
        <v>1501</v>
      </c>
      <c r="F42" s="192"/>
      <c r="G42" s="1105"/>
      <c r="H42" s="746"/>
      <c r="I42" s="1105"/>
      <c r="J42" s="146"/>
      <c r="K42" s="1105"/>
      <c r="L42" s="146"/>
      <c r="M42" s="1127"/>
      <c r="N42" s="146"/>
      <c r="O42" s="146"/>
      <c r="P42" s="193"/>
      <c r="Q42" s="180"/>
      <c r="R42" s="178"/>
      <c r="S42" s="701"/>
      <c r="T42" s="178"/>
      <c r="U42" s="178"/>
      <c r="V42" s="178"/>
      <c r="W42" s="178"/>
      <c r="X42" s="178"/>
      <c r="Y42" s="178"/>
      <c r="Z42" s="178"/>
      <c r="AA42" s="178"/>
      <c r="AB42" s="178"/>
      <c r="AC42" s="178"/>
    </row>
    <row r="43" spans="1:29" s="1075" customFormat="1" ht="15.75" hidden="1" thickBot="1" x14ac:dyDescent="0.3">
      <c r="A43" s="1100"/>
      <c r="B43" s="251"/>
      <c r="C43" s="146"/>
      <c r="D43" s="1107"/>
      <c r="E43" s="194"/>
      <c r="F43" s="194"/>
      <c r="G43" s="656"/>
      <c r="H43" s="655"/>
      <c r="I43" s="146"/>
      <c r="J43" s="146"/>
      <c r="K43" s="146"/>
      <c r="L43" s="146"/>
      <c r="M43" s="146"/>
      <c r="N43" s="146"/>
      <c r="O43" s="146"/>
      <c r="P43" s="193"/>
      <c r="Q43" s="180"/>
      <c r="R43" s="178"/>
      <c r="S43" s="701" t="str">
        <f>IF($E43="NO","",IF($I42="Select Payment Method","X",""))</f>
        <v/>
      </c>
      <c r="T43" s="178"/>
      <c r="U43" s="178"/>
      <c r="V43" s="178"/>
      <c r="W43" s="178"/>
      <c r="X43" s="178"/>
      <c r="Y43" s="178"/>
      <c r="Z43" s="178"/>
      <c r="AA43" s="178"/>
      <c r="AB43" s="178"/>
      <c r="AC43" s="178"/>
    </row>
    <row r="44" spans="1:29" s="1075" customFormat="1" ht="18" hidden="1" customHeight="1" thickBot="1" x14ac:dyDescent="0.3">
      <c r="A44" s="1100"/>
      <c r="B44" s="251"/>
      <c r="C44" s="146"/>
      <c r="D44" s="1108" t="s">
        <v>1502</v>
      </c>
      <c r="E44" s="1110" t="str">
        <f>IF(Welcome!$D$6="New",IF('Required Info to Submit'!F$14="","",'Required Info to Submit'!F$14),"")</f>
        <v/>
      </c>
      <c r="F44" s="194"/>
      <c r="G44" s="196" t="s">
        <v>520</v>
      </c>
      <c r="H44" s="655"/>
      <c r="I44" s="146"/>
      <c r="J44" s="146"/>
      <c r="K44" s="146"/>
      <c r="L44" s="146"/>
      <c r="M44" s="146"/>
      <c r="N44" s="146"/>
      <c r="O44" s="146"/>
      <c r="P44" s="193"/>
      <c r="Q44" s="180"/>
      <c r="R44" s="178"/>
      <c r="S44" s="701"/>
      <c r="T44" s="178"/>
      <c r="U44" s="178"/>
      <c r="V44" s="178"/>
      <c r="W44" s="178"/>
      <c r="X44" s="178"/>
      <c r="Y44" s="178"/>
      <c r="Z44" s="178"/>
      <c r="AA44" s="178"/>
      <c r="AB44" s="178"/>
      <c r="AC44" s="178"/>
    </row>
    <row r="45" spans="1:29" s="1075" customFormat="1" ht="18" hidden="1" customHeight="1" thickBot="1" x14ac:dyDescent="0.3">
      <c r="A45" s="1100"/>
      <c r="B45" s="251"/>
      <c r="C45" s="146"/>
      <c r="D45" s="1108" t="s">
        <v>1503</v>
      </c>
      <c r="E45" s="1109" t="str">
        <f>IF(Welcome!$D$6="New",IF('Required Info to Submit'!F$17="","",'Required Info to Submit'!F$17),"")</f>
        <v/>
      </c>
      <c r="F45" s="194"/>
      <c r="G45" s="1111">
        <f>$H$9/52</f>
        <v>0</v>
      </c>
      <c r="H45" s="655"/>
      <c r="I45" s="146"/>
      <c r="J45" s="146"/>
      <c r="K45" s="146"/>
      <c r="L45" s="146"/>
      <c r="M45" s="191"/>
      <c r="N45" s="874"/>
      <c r="O45" s="191"/>
      <c r="P45" s="193"/>
      <c r="Q45" s="180"/>
      <c r="R45" s="178"/>
      <c r="S45" s="701"/>
      <c r="T45" s="178"/>
      <c r="U45" s="178"/>
      <c r="V45" s="178"/>
      <c r="W45" s="178"/>
      <c r="X45" s="178"/>
      <c r="Y45" s="178"/>
      <c r="Z45" s="178"/>
      <c r="AA45" s="178"/>
      <c r="AB45" s="178"/>
      <c r="AC45" s="178"/>
    </row>
    <row r="46" spans="1:29" s="1075" customFormat="1" ht="15.75" hidden="1" customHeight="1" thickBot="1" x14ac:dyDescent="0.3">
      <c r="A46" s="1100"/>
      <c r="B46" s="251"/>
      <c r="C46" s="146"/>
      <c r="D46" s="1107"/>
      <c r="E46" s="194"/>
      <c r="F46" s="194"/>
      <c r="G46" s="197" t="s">
        <v>1504</v>
      </c>
      <c r="H46" s="655"/>
      <c r="I46" s="197" t="s">
        <v>1505</v>
      </c>
      <c r="J46" s="146"/>
      <c r="K46" s="197" t="s">
        <v>1506</v>
      </c>
      <c r="L46" s="146"/>
      <c r="M46" s="874"/>
      <c r="N46" s="874"/>
      <c r="O46" s="6" t="s">
        <v>493</v>
      </c>
      <c r="P46" s="193"/>
      <c r="Q46" s="180"/>
      <c r="R46" s="178"/>
      <c r="S46" s="701"/>
      <c r="T46" s="178"/>
      <c r="U46" s="178"/>
      <c r="V46" s="178"/>
      <c r="W46" s="178"/>
      <c r="X46" s="178"/>
      <c r="Y46" s="178"/>
      <c r="Z46" s="178"/>
      <c r="AA46" s="178"/>
      <c r="AB46" s="178"/>
      <c r="AC46" s="178"/>
    </row>
    <row r="47" spans="1:29" s="1075" customFormat="1" ht="18" hidden="1" customHeight="1" x14ac:dyDescent="0.25">
      <c r="A47" s="1100"/>
      <c r="B47" s="251"/>
      <c r="C47" s="146"/>
      <c r="D47" s="1112" t="s">
        <v>525</v>
      </c>
      <c r="E47" s="1113">
        <f>IF(G47="",0,(G47-$G$45)/$G$45)</f>
        <v>0</v>
      </c>
      <c r="F47" s="1114" t="s">
        <v>1048</v>
      </c>
      <c r="G47" s="1111"/>
      <c r="H47" s="655"/>
      <c r="I47" s="1115"/>
      <c r="J47" s="146"/>
      <c r="K47" s="791"/>
      <c r="L47" s="146"/>
      <c r="M47" s="874"/>
      <c r="N47" s="874"/>
      <c r="O47" s="1128">
        <f>IF(E41="Yes",IF(G48="",IF(G47="",0,K47*H$10),IF(OR(G48&lt;G45,G48=G45),K48*H$10)),0)</f>
        <v>0</v>
      </c>
      <c r="P47" s="193"/>
      <c r="Q47" s="180"/>
      <c r="R47" s="178"/>
      <c r="S47" s="701"/>
      <c r="T47" s="178"/>
      <c r="U47" s="178"/>
      <c r="V47" s="178"/>
      <c r="W47" s="178"/>
      <c r="X47" s="178"/>
      <c r="Y47" s="178"/>
      <c r="Z47" s="178"/>
      <c r="AA47" s="178"/>
      <c r="AB47" s="178"/>
      <c r="AC47" s="178"/>
    </row>
    <row r="48" spans="1:29" s="1075" customFormat="1" ht="18" hidden="1" customHeight="1" x14ac:dyDescent="0.25">
      <c r="A48" s="1100"/>
      <c r="B48" s="251"/>
      <c r="C48" s="146"/>
      <c r="D48" s="1117" t="s">
        <v>526</v>
      </c>
      <c r="E48" s="1118">
        <f t="shared" ref="E48:E51" si="2">IF(G48="",0,(G48-$G$45)/$G$45)</f>
        <v>0</v>
      </c>
      <c r="F48" s="1114" t="s">
        <v>1507</v>
      </c>
      <c r="G48" s="1111"/>
      <c r="H48" s="655"/>
      <c r="I48" s="1119"/>
      <c r="J48" s="1120" t="str">
        <f>IF($E$15="YES","**Tier 1 used for modeling purposes**","")</f>
        <v/>
      </c>
      <c r="K48" s="791"/>
      <c r="L48" s="1121"/>
      <c r="M48" s="874"/>
      <c r="N48" s="874"/>
      <c r="O48" s="874"/>
      <c r="P48" s="193"/>
      <c r="Q48" s="180"/>
      <c r="R48" s="178"/>
      <c r="S48" s="701"/>
      <c r="T48" s="178"/>
      <c r="U48" s="178"/>
      <c r="V48" s="178"/>
      <c r="W48" s="178"/>
      <c r="X48" s="178"/>
      <c r="Y48" s="178"/>
      <c r="Z48" s="178"/>
      <c r="AA48" s="178"/>
      <c r="AB48" s="178"/>
      <c r="AC48" s="178"/>
    </row>
    <row r="49" spans="1:29" s="1075" customFormat="1" ht="18" hidden="1" customHeight="1" x14ac:dyDescent="0.25">
      <c r="A49" s="1100"/>
      <c r="B49" s="251"/>
      <c r="C49" s="146"/>
      <c r="D49" s="1117" t="s">
        <v>527</v>
      </c>
      <c r="E49" s="1118">
        <f t="shared" si="2"/>
        <v>0</v>
      </c>
      <c r="F49" s="1114" t="s">
        <v>1508</v>
      </c>
      <c r="G49" s="1111"/>
      <c r="H49" s="655"/>
      <c r="I49" s="1119"/>
      <c r="J49" s="146"/>
      <c r="K49" s="791"/>
      <c r="L49" s="146"/>
      <c r="M49" s="874"/>
      <c r="N49" s="874"/>
      <c r="O49" s="874"/>
      <c r="P49" s="193"/>
      <c r="Q49" s="180"/>
      <c r="R49" s="178"/>
      <c r="S49" s="701"/>
      <c r="T49" s="178"/>
      <c r="U49" s="178"/>
      <c r="V49" s="178"/>
      <c r="W49" s="178"/>
      <c r="X49" s="178"/>
      <c r="Y49" s="178"/>
      <c r="Z49" s="178"/>
      <c r="AA49" s="178"/>
      <c r="AB49" s="178"/>
      <c r="AC49" s="178"/>
    </row>
    <row r="50" spans="1:29" s="1075" customFormat="1" ht="18" hidden="1" customHeight="1" x14ac:dyDescent="0.25">
      <c r="A50" s="1100"/>
      <c r="B50" s="251"/>
      <c r="C50" s="146"/>
      <c r="D50" s="1117" t="s">
        <v>1509</v>
      </c>
      <c r="E50" s="1118">
        <f t="shared" si="2"/>
        <v>0</v>
      </c>
      <c r="F50" s="1114" t="s">
        <v>1510</v>
      </c>
      <c r="G50" s="1111"/>
      <c r="H50" s="655"/>
      <c r="I50" s="1119"/>
      <c r="J50" s="146"/>
      <c r="K50" s="791"/>
      <c r="L50" s="146"/>
      <c r="M50" s="874"/>
      <c r="N50" s="874"/>
      <c r="O50" s="874"/>
      <c r="P50" s="193"/>
      <c r="Q50" s="180"/>
      <c r="R50" s="178"/>
      <c r="S50" s="701"/>
      <c r="T50" s="178"/>
      <c r="U50" s="178"/>
      <c r="V50" s="178"/>
      <c r="W50" s="178"/>
      <c r="X50" s="178"/>
      <c r="Y50" s="178"/>
      <c r="Z50" s="178"/>
      <c r="AA50" s="178"/>
      <c r="AB50" s="178"/>
      <c r="AC50" s="178"/>
    </row>
    <row r="51" spans="1:29" s="1075" customFormat="1" ht="18" hidden="1" customHeight="1" thickBot="1" x14ac:dyDescent="0.3">
      <c r="A51" s="1100"/>
      <c r="B51" s="251"/>
      <c r="C51" s="146"/>
      <c r="D51" s="1122" t="s">
        <v>1511</v>
      </c>
      <c r="E51" s="1123">
        <f t="shared" si="2"/>
        <v>0</v>
      </c>
      <c r="F51" s="1114" t="s">
        <v>1512</v>
      </c>
      <c r="G51" s="1111"/>
      <c r="H51" s="655"/>
      <c r="I51" s="1119"/>
      <c r="J51" s="146"/>
      <c r="K51" s="791"/>
      <c r="L51" s="146"/>
      <c r="M51" s="874"/>
      <c r="N51" s="874"/>
      <c r="O51" s="874"/>
      <c r="P51" s="193"/>
      <c r="Q51" s="180"/>
      <c r="R51" s="178"/>
      <c r="S51" s="701"/>
      <c r="T51" s="178"/>
      <c r="U51" s="178"/>
      <c r="V51" s="178"/>
      <c r="W51" s="178"/>
      <c r="X51" s="178"/>
      <c r="Y51" s="178"/>
      <c r="Z51" s="178"/>
      <c r="AA51" s="178"/>
      <c r="AB51" s="178"/>
      <c r="AC51" s="178"/>
    </row>
    <row r="52" spans="1:29" s="1075" customFormat="1" ht="20.25" hidden="1" customHeight="1" x14ac:dyDescent="0.25">
      <c r="A52" s="1100"/>
      <c r="B52" s="253"/>
      <c r="C52" s="207"/>
      <c r="D52" s="202"/>
      <c r="E52" s="203"/>
      <c r="F52" s="204"/>
      <c r="G52" s="205"/>
      <c r="H52" s="206"/>
      <c r="I52" s="733">
        <f>COUNTIF($I$20:$I$23,"&gt;.03")</f>
        <v>0</v>
      </c>
      <c r="J52" s="207"/>
      <c r="K52" s="208"/>
      <c r="L52" s="207"/>
      <c r="M52" s="209"/>
      <c r="N52" s="209"/>
      <c r="O52" s="209"/>
      <c r="P52" s="210"/>
      <c r="Q52" s="180"/>
      <c r="R52" s="178"/>
      <c r="S52" s="701"/>
      <c r="T52" s="178"/>
      <c r="U52" s="178"/>
      <c r="V52" s="178"/>
      <c r="W52" s="178"/>
      <c r="X52" s="178"/>
      <c r="Y52" s="178"/>
      <c r="Z52" s="178"/>
      <c r="AA52" s="178"/>
      <c r="AB52" s="178"/>
      <c r="AC52" s="178"/>
    </row>
    <row r="53" spans="1:29" s="1075" customFormat="1" ht="10.15" hidden="1" customHeight="1" x14ac:dyDescent="0.25">
      <c r="C53" s="181"/>
      <c r="D53" s="211"/>
      <c r="E53" s="212"/>
      <c r="F53" s="213"/>
      <c r="G53" s="214"/>
      <c r="H53" s="215"/>
      <c r="I53" s="216"/>
      <c r="J53" s="181"/>
      <c r="K53" s="217"/>
      <c r="L53" s="181"/>
      <c r="M53" s="218"/>
      <c r="N53" s="218"/>
      <c r="O53" s="218"/>
      <c r="P53" s="178"/>
      <c r="Q53" s="180"/>
      <c r="R53" s="178"/>
      <c r="S53" s="701"/>
      <c r="T53" s="178"/>
      <c r="U53" s="178"/>
      <c r="V53" s="178"/>
      <c r="W53" s="178"/>
      <c r="X53" s="178"/>
      <c r="Y53" s="178"/>
      <c r="Z53" s="178"/>
      <c r="AA53" s="178"/>
      <c r="AB53" s="178"/>
      <c r="AC53" s="178"/>
    </row>
    <row r="54" spans="1:29" s="1075" customFormat="1" ht="21.75" customHeight="1" thickBot="1" x14ac:dyDescent="0.3">
      <c r="A54" s="1100"/>
      <c r="B54" s="256"/>
      <c r="C54" s="187"/>
      <c r="D54" s="1355" t="s">
        <v>524</v>
      </c>
      <c r="E54" s="1355"/>
      <c r="F54" s="219"/>
      <c r="G54" s="220"/>
      <c r="H54" s="1076"/>
      <c r="I54" s="221"/>
      <c r="J54" s="187"/>
      <c r="K54" s="222"/>
      <c r="L54" s="187"/>
      <c r="M54" s="223"/>
      <c r="N54" s="223"/>
      <c r="O54" s="223"/>
      <c r="P54" s="190"/>
      <c r="Q54" s="180"/>
      <c r="R54" s="178"/>
      <c r="S54" s="701"/>
      <c r="T54" s="178"/>
      <c r="U54" s="178"/>
      <c r="V54" s="178"/>
      <c r="W54" s="178"/>
      <c r="X54" s="178"/>
      <c r="Y54" s="178"/>
      <c r="Z54" s="178"/>
      <c r="AA54" s="178"/>
      <c r="AB54" s="178"/>
      <c r="AC54" s="178"/>
    </row>
    <row r="55" spans="1:29" s="1075" customFormat="1" ht="18" customHeight="1" thickBot="1" x14ac:dyDescent="0.3">
      <c r="A55" s="1100"/>
      <c r="B55" s="251"/>
      <c r="C55" s="146"/>
      <c r="D55" s="1101" t="s">
        <v>528</v>
      </c>
      <c r="E55" s="1169" t="s">
        <v>653</v>
      </c>
      <c r="F55" s="199"/>
      <c r="G55" s="236" t="s">
        <v>1497</v>
      </c>
      <c r="H55" s="655"/>
      <c r="I55" s="236" t="s">
        <v>1498</v>
      </c>
      <c r="J55" s="41"/>
      <c r="K55" s="236" t="s">
        <v>871</v>
      </c>
      <c r="L55" s="146"/>
      <c r="M55" s="197" t="s">
        <v>1499</v>
      </c>
      <c r="N55" s="224"/>
      <c r="O55" s="224"/>
      <c r="P55" s="193"/>
      <c r="Q55" s="180"/>
      <c r="R55" s="178"/>
      <c r="S55" s="701"/>
      <c r="T55" s="178"/>
      <c r="U55" s="178"/>
      <c r="V55" s="178"/>
      <c r="W55" s="178"/>
      <c r="X55" s="178"/>
      <c r="Y55" s="178"/>
      <c r="Z55" s="178"/>
      <c r="AA55" s="178"/>
      <c r="AB55" s="178"/>
      <c r="AC55" s="178"/>
    </row>
    <row r="56" spans="1:29" s="1075" customFormat="1" ht="33" customHeight="1" thickBot="1" x14ac:dyDescent="0.3">
      <c r="A56" s="1100"/>
      <c r="B56" s="251"/>
      <c r="C56" s="146"/>
      <c r="D56" s="1103" t="s">
        <v>1500</v>
      </c>
      <c r="E56" s="1173" t="s">
        <v>1501</v>
      </c>
      <c r="F56" s="225"/>
      <c r="G56" s="1172"/>
      <c r="H56" s="655"/>
      <c r="I56" s="1172"/>
      <c r="J56" s="146"/>
      <c r="K56" s="1172"/>
      <c r="L56" s="146"/>
      <c r="M56" s="1106"/>
      <c r="N56" s="224"/>
      <c r="O56" s="224"/>
      <c r="P56" s="193"/>
      <c r="Q56" s="180"/>
      <c r="R56" s="178"/>
      <c r="S56" s="701"/>
      <c r="T56" s="178"/>
      <c r="U56" s="178"/>
      <c r="V56" s="178"/>
      <c r="W56" s="178"/>
      <c r="X56" s="178"/>
      <c r="Y56" s="178"/>
      <c r="Z56" s="178"/>
      <c r="AA56" s="178"/>
      <c r="AB56" s="178"/>
      <c r="AC56" s="178"/>
    </row>
    <row r="57" spans="1:29" s="1075" customFormat="1" ht="18" customHeight="1" thickBot="1" x14ac:dyDescent="0.3">
      <c r="A57" s="1100"/>
      <c r="B57" s="251"/>
      <c r="C57" s="146"/>
      <c r="D57" s="1129"/>
      <c r="E57" s="146"/>
      <c r="F57" s="225"/>
      <c r="G57" s="655"/>
      <c r="H57" s="655"/>
      <c r="I57" s="226"/>
      <c r="J57" s="146"/>
      <c r="K57" s="146"/>
      <c r="L57" s="146"/>
      <c r="M57" s="146"/>
      <c r="N57" s="146"/>
      <c r="O57" s="146"/>
      <c r="P57" s="193"/>
      <c r="Q57" s="180"/>
      <c r="R57" s="178"/>
      <c r="S57" s="701" t="str">
        <f>IF($E57="NO","",IF($I56="Select Payment Method","X",""))</f>
        <v/>
      </c>
      <c r="T57" s="178"/>
      <c r="U57" s="178"/>
      <c r="V57" s="178"/>
      <c r="W57" s="178"/>
      <c r="X57" s="178"/>
      <c r="Y57" s="178"/>
      <c r="Z57" s="178"/>
      <c r="AA57" s="178"/>
      <c r="AB57" s="178"/>
      <c r="AC57" s="178"/>
    </row>
    <row r="58" spans="1:29" s="1075" customFormat="1" ht="18" customHeight="1" thickBot="1" x14ac:dyDescent="0.3">
      <c r="A58" s="1100"/>
      <c r="B58" s="251"/>
      <c r="C58" s="146"/>
      <c r="D58" s="1130" t="s">
        <v>1502</v>
      </c>
      <c r="E58" s="1109" t="str">
        <f>IF(Welcome!$D$6="New",IF('Required Info to Submit'!F$14="","",'Required Info to Submit'!F$14),"")</f>
        <v/>
      </c>
      <c r="F58" s="195"/>
      <c r="G58" s="196" t="s">
        <v>723</v>
      </c>
      <c r="H58" s="655"/>
      <c r="I58" s="198"/>
      <c r="J58" s="146"/>
      <c r="K58" s="198"/>
      <c r="L58" s="146"/>
      <c r="M58" s="191"/>
      <c r="N58" s="191"/>
      <c r="O58" s="191"/>
      <c r="P58" s="193"/>
      <c r="Q58" s="180"/>
      <c r="R58" s="178"/>
      <c r="S58" s="701"/>
      <c r="T58" s="178"/>
      <c r="U58" s="178"/>
      <c r="V58" s="178"/>
      <c r="W58" s="178"/>
      <c r="X58" s="178"/>
      <c r="Y58" s="178"/>
      <c r="Z58" s="178"/>
      <c r="AA58" s="178"/>
      <c r="AB58" s="178"/>
      <c r="AC58" s="178"/>
    </row>
    <row r="59" spans="1:29" s="1075" customFormat="1" ht="18" customHeight="1" thickBot="1" x14ac:dyDescent="0.3">
      <c r="A59" s="1100"/>
      <c r="B59" s="251"/>
      <c r="C59" s="146"/>
      <c r="D59" s="1130" t="s">
        <v>1503</v>
      </c>
      <c r="E59" s="1109" t="str">
        <f>IF(Welcome!$D$6="New",IF('Required Info to Submit'!F$17="","",'Required Info to Submit'!F$17),"")</f>
        <v/>
      </c>
      <c r="F59" s="199"/>
      <c r="G59" s="227">
        <f>IFERROR($G$5/($G$6*52*Welcome!$D$14),0)</f>
        <v>0</v>
      </c>
      <c r="H59" s="655"/>
      <c r="I59" s="198"/>
      <c r="J59" s="146"/>
      <c r="K59" s="200"/>
      <c r="L59" s="200"/>
      <c r="M59" s="198"/>
      <c r="N59" s="198"/>
      <c r="O59" s="191"/>
      <c r="P59" s="193"/>
      <c r="Q59" s="180"/>
      <c r="R59" s="178"/>
      <c r="S59" s="701"/>
      <c r="T59" s="178"/>
      <c r="U59" s="178"/>
      <c r="V59" s="178"/>
      <c r="W59" s="178"/>
      <c r="X59" s="178"/>
      <c r="Y59" s="178"/>
      <c r="Z59" s="178"/>
      <c r="AA59" s="178"/>
      <c r="AB59" s="178"/>
      <c r="AC59" s="178"/>
    </row>
    <row r="60" spans="1:29" s="1075" customFormat="1" ht="18" customHeight="1" thickBot="1" x14ac:dyDescent="0.3">
      <c r="A60" s="1100"/>
      <c r="B60" s="251"/>
      <c r="C60" s="146"/>
      <c r="D60" s="1131"/>
      <c r="E60" s="200"/>
      <c r="F60" s="199"/>
      <c r="G60" s="197" t="s">
        <v>1504</v>
      </c>
      <c r="H60" s="655"/>
      <c r="I60" s="197" t="s">
        <v>1505</v>
      </c>
      <c r="J60" s="200"/>
      <c r="K60" s="197" t="s">
        <v>1506</v>
      </c>
      <c r="L60" s="200"/>
      <c r="M60" s="198"/>
      <c r="N60" s="198"/>
      <c r="O60" s="6" t="s">
        <v>493</v>
      </c>
      <c r="P60" s="193"/>
      <c r="Q60" s="180"/>
      <c r="R60" s="178"/>
      <c r="S60" s="701"/>
      <c r="T60" s="178"/>
      <c r="U60" s="178"/>
      <c r="V60" s="178"/>
      <c r="W60" s="178"/>
      <c r="X60" s="178"/>
      <c r="Y60" s="178"/>
      <c r="Z60" s="178"/>
      <c r="AA60" s="178"/>
      <c r="AB60" s="178"/>
      <c r="AC60" s="178"/>
    </row>
    <row r="61" spans="1:29" s="1075" customFormat="1" ht="18" customHeight="1" x14ac:dyDescent="0.25">
      <c r="A61" s="1100"/>
      <c r="B61" s="251"/>
      <c r="C61" s="146"/>
      <c r="D61" s="1132" t="s">
        <v>525</v>
      </c>
      <c r="E61" s="1113">
        <f>IF(G61="",0,(G61-$G$59)/$G$59)</f>
        <v>0</v>
      </c>
      <c r="F61" s="1114" t="s">
        <v>1048</v>
      </c>
      <c r="G61" s="1111"/>
      <c r="H61" s="655"/>
      <c r="I61" s="1119"/>
      <c r="J61" s="1120" t="str">
        <f>IF($E$57="YES","**Tier 1 used for modeling purposes**","")</f>
        <v/>
      </c>
      <c r="K61" s="792"/>
      <c r="L61" s="1121"/>
      <c r="M61" s="198"/>
      <c r="N61" s="200"/>
      <c r="O61" s="1128">
        <f>IF(E55="Yes",IF(G62="",IF(G61="",0,K61*H$10),IF(OR(G62&lt;G59,G62=G59),K62*H$10)),0)</f>
        <v>0</v>
      </c>
      <c r="P61" s="193"/>
      <c r="Q61" s="180"/>
      <c r="R61" s="178"/>
      <c r="S61" s="701"/>
      <c r="T61" s="178"/>
      <c r="U61" s="178"/>
      <c r="V61" s="178"/>
      <c r="W61" s="178"/>
      <c r="X61" s="178"/>
      <c r="Y61" s="178"/>
      <c r="Z61" s="178"/>
      <c r="AA61" s="178"/>
      <c r="AB61" s="178"/>
      <c r="AC61" s="178"/>
    </row>
    <row r="62" spans="1:29" s="1075" customFormat="1" ht="18" customHeight="1" x14ac:dyDescent="0.25">
      <c r="A62" s="1100"/>
      <c r="B62" s="251"/>
      <c r="C62" s="146"/>
      <c r="D62" s="1133" t="s">
        <v>526</v>
      </c>
      <c r="E62" s="1118">
        <f t="shared" ref="E62:E65" si="3">IF(G62="",0,(G62-$G$59)/$G$59)</f>
        <v>0</v>
      </c>
      <c r="F62" s="1114" t="s">
        <v>1507</v>
      </c>
      <c r="G62" s="1111"/>
      <c r="H62" s="655"/>
      <c r="I62" s="1119"/>
      <c r="J62" s="146"/>
      <c r="K62" s="792"/>
      <c r="L62" s="146"/>
      <c r="M62" s="200" t="str">
        <f>IF($E$55="Yes","**Tier 1 used for modeling purposes**","")</f>
        <v/>
      </c>
      <c r="N62" s="874"/>
      <c r="O62" s="874"/>
      <c r="P62" s="193"/>
      <c r="Q62" s="180"/>
      <c r="R62" s="178"/>
      <c r="S62" s="701"/>
      <c r="T62" s="178"/>
      <c r="U62" s="178"/>
      <c r="V62" s="178"/>
      <c r="W62" s="178"/>
      <c r="X62" s="178"/>
      <c r="Y62" s="178"/>
      <c r="Z62" s="178"/>
      <c r="AA62" s="178"/>
      <c r="AB62" s="178"/>
      <c r="AC62" s="178"/>
    </row>
    <row r="63" spans="1:29" s="1075" customFormat="1" ht="18" customHeight="1" x14ac:dyDescent="0.25">
      <c r="A63" s="1100"/>
      <c r="B63" s="251"/>
      <c r="C63" s="146"/>
      <c r="D63" s="1133" t="s">
        <v>527</v>
      </c>
      <c r="E63" s="1118">
        <f t="shared" si="3"/>
        <v>0</v>
      </c>
      <c r="F63" s="1114" t="s">
        <v>1508</v>
      </c>
      <c r="G63" s="1111"/>
      <c r="H63" s="655"/>
      <c r="I63" s="1119"/>
      <c r="J63" s="146"/>
      <c r="K63" s="792"/>
      <c r="L63" s="146"/>
      <c r="M63" s="1166" t="str">
        <f>IF($K$66&gt;0,"**Warning: You have entered an incentive payout above the recommended 5%**","")</f>
        <v/>
      </c>
      <c r="N63" s="874"/>
      <c r="O63" s="874"/>
      <c r="P63" s="193"/>
      <c r="Q63" s="180"/>
      <c r="R63" s="178"/>
      <c r="S63" s="701"/>
      <c r="T63" s="178"/>
      <c r="U63" s="178"/>
      <c r="V63" s="178"/>
      <c r="W63" s="178"/>
      <c r="X63" s="178"/>
      <c r="Y63" s="178"/>
      <c r="Z63" s="178"/>
      <c r="AA63" s="178"/>
      <c r="AB63" s="178"/>
      <c r="AC63" s="178"/>
    </row>
    <row r="64" spans="1:29" s="1075" customFormat="1" ht="18" hidden="1" customHeight="1" x14ac:dyDescent="0.25">
      <c r="A64" s="1100"/>
      <c r="B64" s="251"/>
      <c r="C64" s="146"/>
      <c r="D64" s="1133" t="s">
        <v>1509</v>
      </c>
      <c r="E64" s="1118">
        <f t="shared" si="3"/>
        <v>0</v>
      </c>
      <c r="F64" s="1114" t="s">
        <v>1510</v>
      </c>
      <c r="G64" s="1111"/>
      <c r="H64" s="655"/>
      <c r="I64" s="1119"/>
      <c r="J64" s="146"/>
      <c r="K64" s="792"/>
      <c r="L64" s="146"/>
      <c r="M64" s="874"/>
      <c r="N64" s="874"/>
      <c r="O64" s="874"/>
      <c r="P64" s="193"/>
      <c r="Q64" s="180"/>
      <c r="R64" s="178"/>
      <c r="S64" s="701"/>
      <c r="T64" s="178"/>
      <c r="U64" s="178"/>
      <c r="V64" s="178"/>
      <c r="W64" s="178"/>
      <c r="X64" s="178"/>
      <c r="Y64" s="178"/>
      <c r="Z64" s="178"/>
      <c r="AA64" s="178"/>
      <c r="AB64" s="178"/>
      <c r="AC64" s="178"/>
    </row>
    <row r="65" spans="1:29" ht="18" hidden="1" customHeight="1" thickBot="1" x14ac:dyDescent="0.3">
      <c r="A65" s="1134"/>
      <c r="B65" s="251"/>
      <c r="C65" s="41"/>
      <c r="D65" s="1135" t="s">
        <v>1511</v>
      </c>
      <c r="E65" s="1123">
        <f t="shared" si="3"/>
        <v>0</v>
      </c>
      <c r="F65" s="1114" t="s">
        <v>1512</v>
      </c>
      <c r="G65" s="1111"/>
      <c r="H65" s="655"/>
      <c r="I65" s="1119"/>
      <c r="J65" s="41"/>
      <c r="K65" s="792"/>
      <c r="L65" s="41"/>
      <c r="M65" s="874"/>
      <c r="N65" s="874"/>
      <c r="O65" s="874"/>
      <c r="P65" s="228"/>
      <c r="Q65" s="139"/>
      <c r="R65" s="135"/>
      <c r="S65" s="702"/>
      <c r="T65" s="135"/>
      <c r="U65" s="135"/>
      <c r="V65" s="135"/>
      <c r="W65" s="135"/>
      <c r="X65" s="135"/>
      <c r="Y65" s="135"/>
      <c r="Z65" s="135"/>
      <c r="AA65" s="135"/>
      <c r="AB65" s="135"/>
      <c r="AC65" s="135"/>
    </row>
    <row r="66" spans="1:29" ht="20.25" customHeight="1" x14ac:dyDescent="0.25">
      <c r="A66" s="1134"/>
      <c r="B66" s="253"/>
      <c r="C66" s="230"/>
      <c r="D66" s="202"/>
      <c r="E66" s="203"/>
      <c r="F66" s="204"/>
      <c r="G66" s="229"/>
      <c r="H66" s="206"/>
      <c r="I66" s="733">
        <f>COUNTIF($I$61:$I$65,"&gt;.03")</f>
        <v>0</v>
      </c>
      <c r="J66" s="230"/>
      <c r="K66" s="1165">
        <f>COUNTIF($K$61:$K$65,"&gt;.05")</f>
        <v>0</v>
      </c>
      <c r="L66" s="230"/>
      <c r="M66" s="209"/>
      <c r="N66" s="209"/>
      <c r="O66" s="209"/>
      <c r="P66" s="231"/>
      <c r="Q66" s="139"/>
      <c r="R66" s="135"/>
      <c r="S66" s="702"/>
      <c r="T66" s="135"/>
      <c r="U66" s="135"/>
      <c r="V66" s="135"/>
      <c r="W66" s="135"/>
      <c r="X66" s="135"/>
      <c r="Y66" s="135"/>
      <c r="Z66" s="135"/>
      <c r="AA66" s="135"/>
      <c r="AB66" s="135"/>
      <c r="AC66" s="135"/>
    </row>
    <row r="67" spans="1:29" s="135" customFormat="1" ht="9" customHeight="1" x14ac:dyDescent="0.25">
      <c r="B67" s="178"/>
      <c r="D67" s="211"/>
      <c r="E67" s="1136"/>
      <c r="F67" s="213"/>
      <c r="G67" s="1137"/>
      <c r="H67" s="215"/>
      <c r="I67" s="1138"/>
      <c r="K67" s="1139"/>
      <c r="M67" s="1140"/>
      <c r="N67" s="1140"/>
      <c r="O67" s="1140"/>
      <c r="P67" s="142"/>
      <c r="Q67" s="628"/>
      <c r="S67" s="702"/>
    </row>
    <row r="68" spans="1:29" s="1075" customFormat="1" ht="21.75" hidden="1" customHeight="1" thickBot="1" x14ac:dyDescent="0.3">
      <c r="A68" s="1100"/>
      <c r="B68" s="256"/>
      <c r="C68" s="187"/>
      <c r="D68" s="1355" t="s">
        <v>524</v>
      </c>
      <c r="E68" s="1355"/>
      <c r="F68" s="219"/>
      <c r="G68" s="220"/>
      <c r="H68" s="1076"/>
      <c r="I68" s="221"/>
      <c r="J68" s="187"/>
      <c r="K68" s="222"/>
      <c r="L68" s="187"/>
      <c r="M68" s="223"/>
      <c r="N68" s="223"/>
      <c r="O68" s="223"/>
      <c r="P68" s="190"/>
      <c r="Q68" s="180"/>
      <c r="R68" s="178"/>
      <c r="S68" s="701"/>
      <c r="T68" s="178"/>
      <c r="U68" s="178"/>
      <c r="V68" s="178"/>
      <c r="W68" s="178"/>
      <c r="X68" s="178"/>
      <c r="Y68" s="178"/>
      <c r="Z68" s="178"/>
      <c r="AA68" s="178"/>
      <c r="AB68" s="178"/>
      <c r="AC68" s="178"/>
    </row>
    <row r="69" spans="1:29" s="1075" customFormat="1" ht="18" hidden="1" customHeight="1" thickBot="1" x14ac:dyDescent="0.3">
      <c r="A69" s="1100"/>
      <c r="B69" s="251"/>
      <c r="C69" s="146"/>
      <c r="D69" s="1124" t="s">
        <v>528</v>
      </c>
      <c r="E69" s="1169" t="s">
        <v>653</v>
      </c>
      <c r="F69" s="199"/>
      <c r="G69" s="236" t="s">
        <v>1497</v>
      </c>
      <c r="H69" s="655"/>
      <c r="I69" s="236" t="s">
        <v>1498</v>
      </c>
      <c r="J69" s="41"/>
      <c r="K69" s="236" t="s">
        <v>871</v>
      </c>
      <c r="L69" s="146"/>
      <c r="M69" s="197" t="s">
        <v>1499</v>
      </c>
      <c r="N69" s="224"/>
      <c r="O69" s="224"/>
      <c r="P69" s="193"/>
      <c r="Q69" s="180"/>
      <c r="R69" s="178"/>
      <c r="S69" s="701"/>
      <c r="T69" s="178"/>
      <c r="U69" s="178"/>
      <c r="V69" s="178"/>
      <c r="W69" s="178"/>
      <c r="X69" s="178"/>
      <c r="Y69" s="178"/>
      <c r="Z69" s="178"/>
      <c r="AA69" s="178"/>
      <c r="AB69" s="178"/>
      <c r="AC69" s="178"/>
    </row>
    <row r="70" spans="1:29" s="1075" customFormat="1" ht="32.25" hidden="1" customHeight="1" thickBot="1" x14ac:dyDescent="0.3">
      <c r="A70" s="1100"/>
      <c r="B70" s="251"/>
      <c r="C70" s="146"/>
      <c r="D70" s="1103" t="s">
        <v>1500</v>
      </c>
      <c r="E70" s="1126" t="s">
        <v>1501</v>
      </c>
      <c r="F70" s="225"/>
      <c r="G70" s="1105"/>
      <c r="H70" s="655"/>
      <c r="I70" s="1105"/>
      <c r="J70" s="146"/>
      <c r="K70" s="1105"/>
      <c r="L70" s="146"/>
      <c r="M70" s="1141"/>
      <c r="N70" s="224"/>
      <c r="O70" s="224"/>
      <c r="P70" s="193"/>
      <c r="Q70" s="180"/>
      <c r="R70" s="178"/>
      <c r="S70" s="701"/>
      <c r="T70" s="178"/>
      <c r="U70" s="178"/>
      <c r="V70" s="178"/>
      <c r="W70" s="178"/>
      <c r="X70" s="178"/>
      <c r="Y70" s="178"/>
      <c r="Z70" s="178"/>
      <c r="AA70" s="178"/>
      <c r="AB70" s="178"/>
      <c r="AC70" s="178"/>
    </row>
    <row r="71" spans="1:29" s="1075" customFormat="1" ht="18" hidden="1" customHeight="1" thickBot="1" x14ac:dyDescent="0.3">
      <c r="A71" s="1100"/>
      <c r="B71" s="251"/>
      <c r="C71" s="146"/>
      <c r="D71" s="1129"/>
      <c r="E71" s="146"/>
      <c r="F71" s="225"/>
      <c r="G71" s="655"/>
      <c r="H71" s="655"/>
      <c r="I71" s="226"/>
      <c r="J71" s="146"/>
      <c r="K71" s="146"/>
      <c r="L71" s="146"/>
      <c r="M71" s="146"/>
      <c r="N71" s="146"/>
      <c r="O71" s="146"/>
      <c r="P71" s="193"/>
      <c r="Q71" s="180"/>
      <c r="R71" s="178"/>
      <c r="S71" s="701" t="str">
        <f>IF($E71="NO","",IF($I70="Select Payment Method","X",""))</f>
        <v/>
      </c>
      <c r="T71" s="178"/>
      <c r="U71" s="178"/>
      <c r="V71" s="178"/>
      <c r="W71" s="178"/>
      <c r="X71" s="178"/>
      <c r="Y71" s="178"/>
      <c r="Z71" s="178"/>
      <c r="AA71" s="178"/>
      <c r="AB71" s="178"/>
      <c r="AC71" s="178"/>
    </row>
    <row r="72" spans="1:29" s="1075" customFormat="1" ht="18" hidden="1" customHeight="1" thickBot="1" x14ac:dyDescent="0.3">
      <c r="A72" s="1100"/>
      <c r="B72" s="251"/>
      <c r="C72" s="146"/>
      <c r="D72" s="1130" t="s">
        <v>1502</v>
      </c>
      <c r="E72" s="1110" t="str">
        <f>IF(Welcome!$D$6="New",IF('Required Info to Submit'!F42="","",'Required Info to Submit'!F42),"")</f>
        <v/>
      </c>
      <c r="F72" s="195"/>
      <c r="G72" s="196" t="s">
        <v>723</v>
      </c>
      <c r="H72" s="655"/>
      <c r="I72" s="198"/>
      <c r="J72" s="146"/>
      <c r="K72" s="198"/>
      <c r="L72" s="146"/>
      <c r="M72" s="191"/>
      <c r="N72" s="191"/>
      <c r="O72" s="191"/>
      <c r="P72" s="193"/>
      <c r="Q72" s="180"/>
      <c r="R72" s="178"/>
      <c r="S72" s="701"/>
      <c r="T72" s="178"/>
      <c r="U72" s="178"/>
      <c r="V72" s="178"/>
      <c r="W72" s="178"/>
      <c r="X72" s="178"/>
      <c r="Y72" s="178"/>
      <c r="Z72" s="178"/>
      <c r="AA72" s="178"/>
      <c r="AB72" s="178"/>
      <c r="AC72" s="178"/>
    </row>
    <row r="73" spans="1:29" s="1075" customFormat="1" ht="18" hidden="1" customHeight="1" thickBot="1" x14ac:dyDescent="0.3">
      <c r="A73" s="1100"/>
      <c r="B73" s="251"/>
      <c r="C73" s="146"/>
      <c r="D73" s="1130" t="s">
        <v>1503</v>
      </c>
      <c r="E73" s="1109" t="str">
        <f>IF(Welcome!$D$6="New",IF('Required Info to Submit'!F$17="","",'Required Info to Submit'!F$17),"")</f>
        <v/>
      </c>
      <c r="F73" s="199"/>
      <c r="G73" s="227">
        <f>IFERROR($G$5/($G$6*52*Welcome!$D$14),0)</f>
        <v>0</v>
      </c>
      <c r="H73" s="655"/>
      <c r="I73" s="198"/>
      <c r="J73" s="146"/>
      <c r="K73" s="200"/>
      <c r="L73" s="200"/>
      <c r="M73" s="198"/>
      <c r="N73" s="198"/>
      <c r="O73" s="191"/>
      <c r="P73" s="193"/>
      <c r="Q73" s="180"/>
      <c r="R73" s="178"/>
      <c r="S73" s="701"/>
      <c r="T73" s="178"/>
      <c r="U73" s="178"/>
      <c r="V73" s="178"/>
      <c r="W73" s="178"/>
      <c r="X73" s="178"/>
      <c r="Y73" s="178"/>
      <c r="Z73" s="178"/>
      <c r="AA73" s="178"/>
      <c r="AB73" s="178"/>
      <c r="AC73" s="178"/>
    </row>
    <row r="74" spans="1:29" s="1075" customFormat="1" ht="18" hidden="1" customHeight="1" thickBot="1" x14ac:dyDescent="0.3">
      <c r="A74" s="1100"/>
      <c r="B74" s="251"/>
      <c r="C74" s="146"/>
      <c r="D74" s="1131"/>
      <c r="E74" s="200"/>
      <c r="F74" s="199"/>
      <c r="G74" s="197" t="s">
        <v>1504</v>
      </c>
      <c r="H74" s="655"/>
      <c r="I74" s="197" t="s">
        <v>1505</v>
      </c>
      <c r="J74" s="200"/>
      <c r="K74" s="197" t="s">
        <v>1506</v>
      </c>
      <c r="L74" s="200"/>
      <c r="M74" s="198"/>
      <c r="N74" s="198"/>
      <c r="O74" s="6" t="s">
        <v>493</v>
      </c>
      <c r="P74" s="193"/>
      <c r="Q74" s="180"/>
      <c r="R74" s="178"/>
      <c r="S74" s="701"/>
      <c r="T74" s="178"/>
      <c r="U74" s="178"/>
      <c r="V74" s="178"/>
      <c r="W74" s="178"/>
      <c r="X74" s="178"/>
      <c r="Y74" s="178"/>
      <c r="Z74" s="178"/>
      <c r="AA74" s="178"/>
      <c r="AB74" s="178"/>
      <c r="AC74" s="178"/>
    </row>
    <row r="75" spans="1:29" s="1075" customFormat="1" ht="18" hidden="1" customHeight="1" x14ac:dyDescent="0.25">
      <c r="A75" s="1100"/>
      <c r="B75" s="251"/>
      <c r="C75" s="146"/>
      <c r="D75" s="1132" t="s">
        <v>525</v>
      </c>
      <c r="E75" s="1142">
        <f>IF(G75="",0,(G75-$G$59)/$G$59)</f>
        <v>0</v>
      </c>
      <c r="F75" s="1114" t="s">
        <v>1048</v>
      </c>
      <c r="G75" s="1111"/>
      <c r="H75" s="655"/>
      <c r="I75" s="1119"/>
      <c r="J75" s="1120" t="str">
        <f>IF($E$57="YES","**Tier 1 used for modeling purposes**","")</f>
        <v/>
      </c>
      <c r="K75" s="791"/>
      <c r="L75" s="1121"/>
      <c r="M75" s="200"/>
      <c r="N75" s="200"/>
      <c r="O75" s="1128">
        <f>IF(E69="Yes",IF(G76="",IF(G75="",0,K75*H$10),IF(OR(G76&lt;G73,G76=G73),K76*H$10)),0)</f>
        <v>0</v>
      </c>
      <c r="P75" s="193"/>
      <c r="Q75" s="180"/>
      <c r="R75" s="178"/>
      <c r="S75" s="701"/>
      <c r="T75" s="178"/>
      <c r="U75" s="178"/>
      <c r="V75" s="178"/>
      <c r="W75" s="178"/>
      <c r="X75" s="178"/>
      <c r="Y75" s="178"/>
      <c r="Z75" s="178"/>
      <c r="AA75" s="178"/>
      <c r="AB75" s="178"/>
      <c r="AC75" s="178"/>
    </row>
    <row r="76" spans="1:29" s="1075" customFormat="1" ht="18" hidden="1" customHeight="1" x14ac:dyDescent="0.25">
      <c r="A76" s="1100"/>
      <c r="B76" s="251"/>
      <c r="C76" s="146"/>
      <c r="D76" s="1133" t="s">
        <v>526</v>
      </c>
      <c r="E76" s="1143">
        <f t="shared" ref="E76:E79" si="4">IF(G76="",0,(G76-$G$59)/$G$59)</f>
        <v>0</v>
      </c>
      <c r="F76" s="1114" t="s">
        <v>1507</v>
      </c>
      <c r="G76" s="1111"/>
      <c r="H76" s="655"/>
      <c r="I76" s="1119"/>
      <c r="J76" s="146"/>
      <c r="K76" s="791"/>
      <c r="L76" s="146"/>
      <c r="M76" s="874"/>
      <c r="N76" s="874"/>
      <c r="O76" s="874"/>
      <c r="P76" s="193"/>
      <c r="Q76" s="180"/>
      <c r="R76" s="178"/>
      <c r="S76" s="701"/>
      <c r="T76" s="178"/>
      <c r="U76" s="178"/>
      <c r="V76" s="178"/>
      <c r="W76" s="178"/>
      <c r="X76" s="178"/>
      <c r="Y76" s="178"/>
      <c r="Z76" s="178"/>
      <c r="AA76" s="178"/>
      <c r="AB76" s="178"/>
      <c r="AC76" s="178"/>
    </row>
    <row r="77" spans="1:29" s="1075" customFormat="1" ht="18" hidden="1" customHeight="1" x14ac:dyDescent="0.25">
      <c r="A77" s="1100"/>
      <c r="B77" s="251"/>
      <c r="C77" s="146"/>
      <c r="D77" s="1133" t="s">
        <v>527</v>
      </c>
      <c r="E77" s="1143">
        <f t="shared" si="4"/>
        <v>0</v>
      </c>
      <c r="F77" s="1114" t="s">
        <v>1508</v>
      </c>
      <c r="G77" s="1111"/>
      <c r="H77" s="655"/>
      <c r="I77" s="1119"/>
      <c r="J77" s="146"/>
      <c r="K77" s="791"/>
      <c r="L77" s="146"/>
      <c r="M77" s="874"/>
      <c r="N77" s="874"/>
      <c r="O77" s="874"/>
      <c r="P77" s="193"/>
      <c r="Q77" s="180"/>
      <c r="R77" s="178"/>
      <c r="S77" s="701"/>
      <c r="T77" s="178"/>
      <c r="U77" s="178"/>
      <c r="V77" s="178"/>
      <c r="W77" s="178"/>
      <c r="X77" s="178"/>
      <c r="Y77" s="178"/>
      <c r="Z77" s="178"/>
      <c r="AA77" s="178"/>
      <c r="AB77" s="178"/>
      <c r="AC77" s="178"/>
    </row>
    <row r="78" spans="1:29" s="1075" customFormat="1" ht="18" hidden="1" customHeight="1" x14ac:dyDescent="0.25">
      <c r="A78" s="1100"/>
      <c r="B78" s="251"/>
      <c r="C78" s="146"/>
      <c r="D78" s="1133" t="s">
        <v>1509</v>
      </c>
      <c r="E78" s="1143">
        <f t="shared" si="4"/>
        <v>0</v>
      </c>
      <c r="F78" s="1114" t="s">
        <v>1510</v>
      </c>
      <c r="G78" s="1111"/>
      <c r="H78" s="655"/>
      <c r="I78" s="1119"/>
      <c r="J78" s="146"/>
      <c r="K78" s="791"/>
      <c r="L78" s="146"/>
      <c r="M78" s="874"/>
      <c r="N78" s="874"/>
      <c r="O78" s="874"/>
      <c r="P78" s="193"/>
      <c r="Q78" s="180"/>
      <c r="R78" s="178"/>
      <c r="S78" s="701"/>
      <c r="T78" s="178"/>
      <c r="U78" s="178"/>
      <c r="V78" s="178"/>
      <c r="W78" s="178"/>
      <c r="X78" s="178"/>
      <c r="Y78" s="178"/>
      <c r="Z78" s="178"/>
      <c r="AA78" s="178"/>
      <c r="AB78" s="178"/>
      <c r="AC78" s="178"/>
    </row>
    <row r="79" spans="1:29" ht="18" hidden="1" customHeight="1" thickBot="1" x14ac:dyDescent="0.3">
      <c r="A79" s="1134"/>
      <c r="B79" s="251"/>
      <c r="C79" s="41"/>
      <c r="D79" s="1135" t="s">
        <v>1511</v>
      </c>
      <c r="E79" s="1144">
        <f t="shared" si="4"/>
        <v>0</v>
      </c>
      <c r="F79" s="1114" t="s">
        <v>1512</v>
      </c>
      <c r="G79" s="1111"/>
      <c r="H79" s="655"/>
      <c r="I79" s="1119"/>
      <c r="J79" s="41"/>
      <c r="K79" s="791"/>
      <c r="L79" s="41"/>
      <c r="M79" s="874"/>
      <c r="N79" s="874"/>
      <c r="O79" s="874"/>
      <c r="P79" s="228"/>
      <c r="Q79" s="139"/>
      <c r="R79" s="135"/>
      <c r="S79" s="702"/>
      <c r="T79" s="135"/>
      <c r="U79" s="135"/>
      <c r="V79" s="135"/>
      <c r="W79" s="135"/>
      <c r="X79" s="135"/>
      <c r="Y79" s="135"/>
      <c r="Z79" s="135"/>
      <c r="AA79" s="135"/>
      <c r="AB79" s="135"/>
      <c r="AC79" s="135"/>
    </row>
    <row r="80" spans="1:29" ht="20.25" hidden="1" customHeight="1" x14ac:dyDescent="0.25">
      <c r="A80" s="1134"/>
      <c r="B80" s="253"/>
      <c r="C80" s="230"/>
      <c r="D80" s="202"/>
      <c r="E80" s="203"/>
      <c r="F80" s="204"/>
      <c r="G80" s="229"/>
      <c r="H80" s="206"/>
      <c r="I80" s="733">
        <f>COUNTIF($I$61:$I$65,"&gt;.03")</f>
        <v>0</v>
      </c>
      <c r="J80" s="230"/>
      <c r="K80" s="208"/>
      <c r="L80" s="230"/>
      <c r="M80" s="209"/>
      <c r="N80" s="209"/>
      <c r="O80" s="209"/>
      <c r="P80" s="231"/>
      <c r="Q80" s="139"/>
      <c r="R80" s="135"/>
      <c r="S80" s="702"/>
      <c r="T80" s="135"/>
      <c r="U80" s="135"/>
      <c r="V80" s="135"/>
      <c r="W80" s="135"/>
      <c r="X80" s="135"/>
      <c r="Y80" s="135"/>
      <c r="Z80" s="135"/>
      <c r="AA80" s="135"/>
      <c r="AB80" s="135"/>
      <c r="AC80" s="135"/>
    </row>
    <row r="81" spans="1:29" s="135" customFormat="1" ht="9" hidden="1" customHeight="1" x14ac:dyDescent="0.25">
      <c r="B81" s="178"/>
      <c r="D81" s="211"/>
      <c r="E81" s="1136"/>
      <c r="F81" s="213"/>
      <c r="G81" s="1137"/>
      <c r="H81" s="215"/>
      <c r="I81" s="1138"/>
      <c r="K81" s="1139"/>
      <c r="M81" s="1140"/>
      <c r="N81" s="1140"/>
      <c r="O81" s="1140"/>
      <c r="P81" s="142"/>
      <c r="Q81" s="628"/>
      <c r="S81" s="702"/>
    </row>
    <row r="82" spans="1:29" ht="21" customHeight="1" thickBot="1" x14ac:dyDescent="0.3">
      <c r="A82" s="1134"/>
      <c r="B82" s="256"/>
      <c r="C82" s="233"/>
      <c r="D82" s="1355" t="s">
        <v>530</v>
      </c>
      <c r="E82" s="1355"/>
      <c r="F82" s="219"/>
      <c r="G82" s="232"/>
      <c r="H82" s="1076"/>
      <c r="I82" s="221"/>
      <c r="J82" s="233"/>
      <c r="K82" s="222"/>
      <c r="L82" s="233"/>
      <c r="M82" s="223"/>
      <c r="N82" s="223"/>
      <c r="O82" s="223"/>
      <c r="P82" s="234"/>
      <c r="Q82" s="139"/>
      <c r="R82" s="135"/>
      <c r="S82" s="702"/>
      <c r="T82" s="135"/>
      <c r="U82" s="135"/>
      <c r="V82" s="135"/>
      <c r="W82" s="135"/>
      <c r="X82" s="135"/>
      <c r="Y82" s="135"/>
      <c r="Z82" s="135"/>
      <c r="AA82" s="135"/>
      <c r="AB82" s="135"/>
      <c r="AC82" s="135"/>
    </row>
    <row r="83" spans="1:29" ht="18" customHeight="1" thickBot="1" x14ac:dyDescent="0.3">
      <c r="A83" s="1134"/>
      <c r="B83" s="251"/>
      <c r="C83" s="41"/>
      <c r="D83" s="1101" t="s">
        <v>528</v>
      </c>
      <c r="E83" s="1169" t="s">
        <v>653</v>
      </c>
      <c r="F83" s="41"/>
      <c r="G83" s="236" t="s">
        <v>1497</v>
      </c>
      <c r="H83" s="655"/>
      <c r="I83" s="236" t="s">
        <v>1498</v>
      </c>
      <c r="J83" s="41"/>
      <c r="K83" s="236" t="s">
        <v>871</v>
      </c>
      <c r="L83" s="146"/>
      <c r="M83" s="197" t="s">
        <v>1499</v>
      </c>
      <c r="N83" s="224"/>
      <c r="O83" s="224"/>
      <c r="P83" s="228"/>
      <c r="Q83" s="139"/>
      <c r="R83" s="135"/>
      <c r="S83" s="702"/>
      <c r="T83" s="135"/>
      <c r="U83" s="135"/>
      <c r="V83" s="135"/>
      <c r="W83" s="135"/>
      <c r="X83" s="135"/>
      <c r="Y83" s="135"/>
      <c r="Z83" s="135"/>
      <c r="AA83" s="135"/>
      <c r="AB83" s="135"/>
      <c r="AC83" s="135"/>
    </row>
    <row r="84" spans="1:29" ht="18" customHeight="1" thickBot="1" x14ac:dyDescent="0.3">
      <c r="A84" s="1134"/>
      <c r="B84" s="251"/>
      <c r="C84" s="41"/>
      <c r="D84" s="1103" t="s">
        <v>1500</v>
      </c>
      <c r="E84" s="1173" t="s">
        <v>1501</v>
      </c>
      <c r="F84" s="41"/>
      <c r="G84" s="1172"/>
      <c r="H84" s="655"/>
      <c r="I84" s="1172"/>
      <c r="J84" s="146"/>
      <c r="K84" s="1172"/>
      <c r="L84" s="146"/>
      <c r="M84" s="1141"/>
      <c r="N84" s="224"/>
      <c r="O84" s="224"/>
      <c r="P84" s="228"/>
      <c r="Q84" s="139"/>
      <c r="R84" s="135"/>
      <c r="S84" s="702"/>
      <c r="T84" s="135"/>
      <c r="U84" s="135"/>
      <c r="V84" s="135"/>
      <c r="W84" s="135"/>
      <c r="X84" s="135"/>
      <c r="Y84" s="135"/>
      <c r="Z84" s="135"/>
      <c r="AA84" s="135"/>
      <c r="AB84" s="135"/>
      <c r="AC84" s="135"/>
    </row>
    <row r="85" spans="1:29" ht="18" customHeight="1" thickBot="1" x14ac:dyDescent="0.3">
      <c r="A85" s="1134"/>
      <c r="B85" s="251"/>
      <c r="C85" s="41"/>
      <c r="D85" s="705"/>
      <c r="E85" s="706"/>
      <c r="F85" s="41"/>
      <c r="G85" s="41"/>
      <c r="H85" s="41"/>
      <c r="I85" s="235"/>
      <c r="J85" s="41"/>
      <c r="K85" s="41"/>
      <c r="L85" s="41"/>
      <c r="M85" s="41"/>
      <c r="N85" s="41"/>
      <c r="O85" s="41"/>
      <c r="P85" s="228"/>
      <c r="Q85" s="139"/>
      <c r="R85" s="135"/>
      <c r="S85" s="701" t="str">
        <f>IF($E85="NO","",IF($I84="Select Payment Method","X",""))</f>
        <v/>
      </c>
      <c r="T85" s="135"/>
      <c r="U85" s="135"/>
      <c r="V85" s="135"/>
      <c r="W85" s="135"/>
      <c r="X85" s="135"/>
      <c r="Y85" s="135"/>
      <c r="Z85" s="135"/>
      <c r="AA85" s="135"/>
      <c r="AB85" s="135"/>
      <c r="AC85" s="135"/>
    </row>
    <row r="86" spans="1:29" ht="18" customHeight="1" thickBot="1" x14ac:dyDescent="0.3">
      <c r="A86" s="1134"/>
      <c r="B86" s="251"/>
      <c r="C86" s="41"/>
      <c r="D86" s="1130" t="s">
        <v>1502</v>
      </c>
      <c r="E86" s="1109" t="str">
        <f>IF(Welcome!$D$6="New",IF('Required Info to Submit'!F$14="","",'Required Info to Submit'!F$14),"")</f>
        <v/>
      </c>
      <c r="F86" s="41"/>
      <c r="G86" s="196" t="s">
        <v>1046</v>
      </c>
      <c r="H86" s="41"/>
      <c r="I86" s="41"/>
      <c r="J86" s="41"/>
      <c r="K86" s="41"/>
      <c r="L86" s="41"/>
      <c r="M86" s="41"/>
      <c r="N86" s="41"/>
      <c r="O86" s="191"/>
      <c r="P86" s="228"/>
      <c r="Q86" s="139"/>
      <c r="R86" s="135"/>
      <c r="S86" s="701"/>
      <c r="T86" s="135"/>
      <c r="U86" s="135"/>
      <c r="V86" s="135"/>
      <c r="W86" s="135"/>
      <c r="X86" s="135"/>
      <c r="Y86" s="135"/>
      <c r="Z86" s="135"/>
      <c r="AA86" s="135"/>
      <c r="AB86" s="135"/>
      <c r="AC86" s="135"/>
    </row>
    <row r="87" spans="1:29" ht="17.25" customHeight="1" thickBot="1" x14ac:dyDescent="0.3">
      <c r="A87" s="1134"/>
      <c r="B87" s="251"/>
      <c r="C87" s="41"/>
      <c r="D87" s="1130" t="s">
        <v>1503</v>
      </c>
      <c r="E87" s="1109" t="str">
        <f>IF(Welcome!$D$6="New",IF('Required Info to Submit'!F$17="","",'Required Info to Submit'!F$17),"")</f>
        <v/>
      </c>
      <c r="F87" s="199"/>
      <c r="G87" s="69">
        <f>IFERROR('EB_CM (Back)'!$B$7,"")</f>
        <v>0</v>
      </c>
      <c r="H87" s="191"/>
      <c r="I87" s="41"/>
      <c r="J87" s="198"/>
      <c r="K87" s="41"/>
      <c r="L87" s="191"/>
      <c r="M87" s="198"/>
      <c r="N87" s="198"/>
      <c r="O87" s="191"/>
      <c r="P87" s="228"/>
      <c r="Q87" s="139"/>
      <c r="R87" s="135"/>
      <c r="S87" s="702"/>
      <c r="T87" s="135"/>
      <c r="U87" s="135"/>
      <c r="V87" s="135"/>
      <c r="W87" s="135"/>
      <c r="X87" s="135"/>
      <c r="Y87" s="135"/>
      <c r="Z87" s="135"/>
      <c r="AA87" s="135"/>
      <c r="AB87" s="135"/>
      <c r="AC87" s="135"/>
    </row>
    <row r="88" spans="1:29" ht="18" customHeight="1" x14ac:dyDescent="0.25">
      <c r="A88" s="1134"/>
      <c r="B88" s="251"/>
      <c r="C88" s="41"/>
      <c r="D88" s="351"/>
      <c r="E88" s="508"/>
      <c r="F88" s="199"/>
      <c r="G88" s="197" t="s">
        <v>1504</v>
      </c>
      <c r="H88" s="655"/>
      <c r="I88" s="197" t="s">
        <v>1505</v>
      </c>
      <c r="J88" s="198"/>
      <c r="K88" s="197" t="s">
        <v>1506</v>
      </c>
      <c r="L88" s="191"/>
      <c r="M88" s="198"/>
      <c r="N88" s="198"/>
      <c r="O88" s="6" t="s">
        <v>493</v>
      </c>
      <c r="P88" s="228"/>
      <c r="Q88" s="139"/>
      <c r="R88" s="135"/>
      <c r="S88" s="702"/>
      <c r="T88" s="135"/>
      <c r="U88" s="135"/>
      <c r="V88" s="135"/>
      <c r="W88" s="135"/>
      <c r="X88" s="135"/>
      <c r="Y88" s="135"/>
      <c r="Z88" s="135"/>
      <c r="AA88" s="135"/>
      <c r="AB88" s="135"/>
      <c r="AC88" s="135"/>
    </row>
    <row r="89" spans="1:29" ht="17.25" customHeight="1" x14ac:dyDescent="0.25">
      <c r="A89" s="1134"/>
      <c r="B89" s="251"/>
      <c r="C89" s="41"/>
      <c r="D89" s="351"/>
      <c r="E89" s="508"/>
      <c r="F89" s="1114" t="s">
        <v>1048</v>
      </c>
      <c r="G89" s="1145"/>
      <c r="H89" s="191"/>
      <c r="I89" s="792"/>
      <c r="J89" s="1120" t="str">
        <f>IF($E$85="YES","**Tier 1 payout used for modeling purposes**","")</f>
        <v/>
      </c>
      <c r="K89" s="791"/>
      <c r="L89" s="191"/>
      <c r="M89" s="198"/>
      <c r="N89" s="200"/>
      <c r="O89" s="1128">
        <f>IF(E83="Yes",IF(G93="",IF(G92="",IF(G91="",IF(G90="",IF(G89="",0,K89*H$10),IF(OR(G90&lt;G87,G90=G87),K90*H$10)),IF(OR(G91&lt;G87,G91=G87),K91*H$10)),IF(OR(G92&lt;G87,G92=G87),K92*H$10)),IF(OR(G93&lt;G87,G93=G87),K93*H$10)),0)</f>
        <v>0</v>
      </c>
      <c r="P89" s="228"/>
      <c r="Q89" s="139"/>
      <c r="R89" s="135"/>
      <c r="S89" s="702"/>
      <c r="T89" s="135"/>
      <c r="U89" s="135"/>
      <c r="V89" s="135"/>
      <c r="W89" s="135"/>
      <c r="X89" s="135"/>
      <c r="Y89" s="135"/>
      <c r="Z89" s="135"/>
      <c r="AA89" s="135"/>
      <c r="AB89" s="135"/>
      <c r="AC89" s="135"/>
    </row>
    <row r="90" spans="1:29" ht="17.25" customHeight="1" x14ac:dyDescent="0.25">
      <c r="A90" s="1134"/>
      <c r="B90" s="251"/>
      <c r="C90" s="41"/>
      <c r="D90" s="351"/>
      <c r="E90" s="508"/>
      <c r="F90" s="1114" t="s">
        <v>1507</v>
      </c>
      <c r="G90" s="1145"/>
      <c r="H90" s="191"/>
      <c r="I90" s="792"/>
      <c r="J90" s="237"/>
      <c r="K90" s="791"/>
      <c r="L90" s="191"/>
      <c r="M90" s="200" t="str">
        <f>IF($E$83="Yes","**Tier 1 used for modeling purposes**","")</f>
        <v/>
      </c>
      <c r="N90" s="874"/>
      <c r="O90" s="874"/>
      <c r="P90" s="228"/>
      <c r="Q90" s="139"/>
      <c r="R90" s="135"/>
      <c r="S90" s="702"/>
      <c r="T90" s="135"/>
      <c r="U90" s="135"/>
      <c r="V90" s="135"/>
      <c r="W90" s="135"/>
      <c r="X90" s="135"/>
      <c r="Y90" s="135"/>
      <c r="Z90" s="135"/>
      <c r="AA90" s="135"/>
      <c r="AB90" s="135"/>
      <c r="AC90" s="135"/>
    </row>
    <row r="91" spans="1:29" ht="17.25" customHeight="1" x14ac:dyDescent="0.25">
      <c r="A91" s="1134"/>
      <c r="B91" s="251"/>
      <c r="C91" s="41"/>
      <c r="D91" s="351"/>
      <c r="E91" s="508"/>
      <c r="F91" s="1114" t="s">
        <v>1508</v>
      </c>
      <c r="G91" s="1145"/>
      <c r="H91" s="191"/>
      <c r="I91" s="792"/>
      <c r="J91" s="237"/>
      <c r="K91" s="791"/>
      <c r="L91" s="191"/>
      <c r="M91" s="1166" t="str">
        <f>IF($K$94&gt;0,"**Warning: You have entered an incentive payout above the recommended 5%**","")</f>
        <v/>
      </c>
      <c r="N91" s="874"/>
      <c r="O91" s="874"/>
      <c r="P91" s="228"/>
      <c r="Q91" s="139"/>
      <c r="R91" s="135"/>
      <c r="S91" s="702"/>
      <c r="T91" s="135"/>
      <c r="U91" s="135"/>
      <c r="V91" s="135"/>
      <c r="W91" s="135"/>
      <c r="X91" s="135"/>
      <c r="Y91" s="135"/>
      <c r="Z91" s="135"/>
      <c r="AA91" s="135"/>
      <c r="AB91" s="135"/>
      <c r="AC91" s="135"/>
    </row>
    <row r="92" spans="1:29" ht="17.25" hidden="1" customHeight="1" x14ac:dyDescent="0.25">
      <c r="A92" s="1134"/>
      <c r="B92" s="251"/>
      <c r="C92" s="41"/>
      <c r="D92" s="351"/>
      <c r="E92" s="508"/>
      <c r="F92" s="1114" t="s">
        <v>1510</v>
      </c>
      <c r="G92" s="1145"/>
      <c r="H92" s="191"/>
      <c r="I92" s="792"/>
      <c r="J92" s="237"/>
      <c r="K92" s="791"/>
      <c r="L92" s="191"/>
      <c r="M92" s="874"/>
      <c r="N92" s="874"/>
      <c r="O92" s="874"/>
      <c r="P92" s="228"/>
      <c r="Q92" s="139"/>
      <c r="R92" s="135"/>
      <c r="S92" s="702"/>
      <c r="T92" s="135"/>
      <c r="U92" s="135"/>
      <c r="V92" s="135"/>
      <c r="W92" s="135"/>
      <c r="X92" s="135"/>
      <c r="Y92" s="135"/>
      <c r="Z92" s="135"/>
      <c r="AA92" s="135"/>
      <c r="AB92" s="135"/>
      <c r="AC92" s="135"/>
    </row>
    <row r="93" spans="1:29" ht="17.25" hidden="1" customHeight="1" x14ac:dyDescent="0.25">
      <c r="A93" s="1134"/>
      <c r="B93" s="251"/>
      <c r="C93" s="41"/>
      <c r="D93" s="351"/>
      <c r="E93" s="508"/>
      <c r="F93" s="1114" t="s">
        <v>1512</v>
      </c>
      <c r="G93" s="1145"/>
      <c r="H93" s="191"/>
      <c r="I93" s="792"/>
      <c r="J93" s="237"/>
      <c r="K93" s="791"/>
      <c r="L93" s="191"/>
      <c r="M93" s="874"/>
      <c r="N93" s="874"/>
      <c r="O93" s="874"/>
      <c r="P93" s="228"/>
      <c r="Q93" s="139"/>
      <c r="R93" s="135"/>
      <c r="S93" s="702"/>
      <c r="T93" s="135"/>
      <c r="U93" s="135"/>
      <c r="V93" s="135"/>
      <c r="W93" s="135"/>
      <c r="X93" s="135"/>
      <c r="Y93" s="135"/>
      <c r="Z93" s="135"/>
      <c r="AA93" s="135"/>
      <c r="AB93" s="135"/>
      <c r="AC93" s="135"/>
    </row>
    <row r="94" spans="1:29" ht="21" customHeight="1" x14ac:dyDescent="0.25">
      <c r="A94" s="1134"/>
      <c r="B94" s="253"/>
      <c r="C94" s="230"/>
      <c r="D94" s="1146"/>
      <c r="E94" s="230"/>
      <c r="F94" s="207"/>
      <c r="G94" s="238"/>
      <c r="H94" s="239"/>
      <c r="I94" s="240"/>
      <c r="J94" s="208"/>
      <c r="K94" s="1165">
        <f>COUNTIF($K$89:$K$93,"&gt;.05")</f>
        <v>0</v>
      </c>
      <c r="L94" s="239"/>
      <c r="M94" s="209"/>
      <c r="N94" s="209"/>
      <c r="O94" s="209"/>
      <c r="P94" s="231"/>
      <c r="Q94" s="139"/>
      <c r="R94" s="135"/>
      <c r="S94" s="702"/>
      <c r="T94" s="135"/>
      <c r="U94" s="135"/>
      <c r="V94" s="135"/>
      <c r="W94" s="135"/>
      <c r="X94" s="135"/>
      <c r="Y94" s="135"/>
      <c r="Z94" s="135"/>
      <c r="AA94" s="135"/>
      <c r="AB94" s="135"/>
      <c r="AC94" s="135"/>
    </row>
    <row r="95" spans="1:29" ht="10.15" customHeight="1" x14ac:dyDescent="0.25">
      <c r="C95" s="135"/>
      <c r="D95" s="1085"/>
      <c r="E95" s="135"/>
      <c r="F95" s="181"/>
      <c r="G95" s="241"/>
      <c r="H95" s="178"/>
      <c r="I95" s="242"/>
      <c r="J95" s="217"/>
      <c r="K95" s="218"/>
      <c r="L95" s="178"/>
      <c r="M95" s="218"/>
      <c r="N95" s="218"/>
      <c r="O95" s="218"/>
      <c r="P95" s="142"/>
      <c r="Q95" s="139"/>
      <c r="R95" s="135"/>
      <c r="S95" s="702"/>
      <c r="T95" s="135"/>
      <c r="U95" s="135"/>
      <c r="V95" s="135"/>
      <c r="W95" s="135"/>
      <c r="X95" s="135"/>
      <c r="Y95" s="135"/>
      <c r="Z95" s="135"/>
      <c r="AA95" s="135"/>
      <c r="AB95" s="135"/>
      <c r="AC95" s="135"/>
    </row>
    <row r="96" spans="1:29" ht="21" hidden="1" customHeight="1" thickBot="1" x14ac:dyDescent="0.3">
      <c r="A96" s="1134"/>
      <c r="B96" s="256"/>
      <c r="C96" s="233"/>
      <c r="D96" s="1355" t="s">
        <v>530</v>
      </c>
      <c r="E96" s="1355"/>
      <c r="F96" s="219"/>
      <c r="G96" s="232"/>
      <c r="H96" s="1076"/>
      <c r="I96" s="221"/>
      <c r="J96" s="233"/>
      <c r="K96" s="222"/>
      <c r="L96" s="233"/>
      <c r="M96" s="223"/>
      <c r="N96" s="223"/>
      <c r="O96" s="223"/>
      <c r="P96" s="234"/>
      <c r="Q96" s="139"/>
      <c r="R96" s="135"/>
      <c r="S96" s="702"/>
      <c r="T96" s="135"/>
      <c r="U96" s="135"/>
      <c r="V96" s="135"/>
      <c r="W96" s="135"/>
      <c r="X96" s="135"/>
      <c r="Y96" s="135"/>
      <c r="Z96" s="135"/>
      <c r="AA96" s="135"/>
      <c r="AB96" s="135"/>
      <c r="AC96" s="135"/>
    </row>
    <row r="97" spans="1:29" ht="18" hidden="1" customHeight="1" thickBot="1" x14ac:dyDescent="0.3">
      <c r="A97" s="1134"/>
      <c r="B97" s="251"/>
      <c r="C97" s="41"/>
      <c r="D97" s="1101" t="s">
        <v>528</v>
      </c>
      <c r="E97" s="1102" t="s">
        <v>653</v>
      </c>
      <c r="F97" s="41"/>
      <c r="G97" s="236" t="s">
        <v>1497</v>
      </c>
      <c r="H97" s="655"/>
      <c r="I97" s="236" t="s">
        <v>1498</v>
      </c>
      <c r="J97" s="41"/>
      <c r="K97" s="236" t="s">
        <v>871</v>
      </c>
      <c r="L97" s="146"/>
      <c r="M97" s="197" t="s">
        <v>1499</v>
      </c>
      <c r="N97" s="224"/>
      <c r="O97" s="224"/>
      <c r="P97" s="228"/>
      <c r="Q97" s="139"/>
      <c r="R97" s="135"/>
      <c r="S97" s="702"/>
      <c r="T97" s="135"/>
      <c r="U97" s="135"/>
      <c r="V97" s="135"/>
      <c r="W97" s="135"/>
      <c r="X97" s="135"/>
      <c r="Y97" s="135"/>
      <c r="Z97" s="135"/>
      <c r="AA97" s="135"/>
      <c r="AB97" s="135"/>
      <c r="AC97" s="135"/>
    </row>
    <row r="98" spans="1:29" ht="18" hidden="1" customHeight="1" thickBot="1" x14ac:dyDescent="0.3">
      <c r="A98" s="1134"/>
      <c r="B98" s="251"/>
      <c r="C98" s="41"/>
      <c r="D98" s="1103" t="s">
        <v>1500</v>
      </c>
      <c r="E98" s="1104" t="s">
        <v>1501</v>
      </c>
      <c r="F98" s="41"/>
      <c r="G98" s="1105"/>
      <c r="H98" s="655"/>
      <c r="I98" s="1105"/>
      <c r="J98" s="146"/>
      <c r="K98" s="1105"/>
      <c r="L98" s="146"/>
      <c r="M98" s="1106"/>
      <c r="N98" s="224"/>
      <c r="O98" s="224"/>
      <c r="P98" s="228"/>
      <c r="Q98" s="139"/>
      <c r="R98" s="135"/>
      <c r="S98" s="702"/>
      <c r="T98" s="135"/>
      <c r="U98" s="135"/>
      <c r="V98" s="135"/>
      <c r="W98" s="135"/>
      <c r="X98" s="135"/>
      <c r="Y98" s="135"/>
      <c r="Z98" s="135"/>
      <c r="AA98" s="135"/>
      <c r="AB98" s="135"/>
      <c r="AC98" s="135"/>
    </row>
    <row r="99" spans="1:29" ht="18" hidden="1" customHeight="1" thickBot="1" x14ac:dyDescent="0.3">
      <c r="A99" s="1134"/>
      <c r="B99" s="251"/>
      <c r="C99" s="41"/>
      <c r="D99" s="705"/>
      <c r="E99" s="706"/>
      <c r="F99" s="41"/>
      <c r="G99" s="41"/>
      <c r="H99" s="41"/>
      <c r="I99" s="235"/>
      <c r="J99" s="41"/>
      <c r="K99" s="41"/>
      <c r="L99" s="41"/>
      <c r="M99" s="41"/>
      <c r="N99" s="41"/>
      <c r="O99" s="41"/>
      <c r="P99" s="228"/>
      <c r="Q99" s="139"/>
      <c r="R99" s="135"/>
      <c r="S99" s="701" t="str">
        <f>IF($E99="NO","",IF($I98="Select Payment Method","X",""))</f>
        <v/>
      </c>
      <c r="T99" s="135"/>
      <c r="U99" s="135"/>
      <c r="V99" s="135"/>
      <c r="W99" s="135"/>
      <c r="X99" s="135"/>
      <c r="Y99" s="135"/>
      <c r="Z99" s="135"/>
      <c r="AA99" s="135"/>
      <c r="AB99" s="135"/>
      <c r="AC99" s="135"/>
    </row>
    <row r="100" spans="1:29" ht="18" hidden="1" customHeight="1" thickBot="1" x14ac:dyDescent="0.3">
      <c r="A100" s="1134"/>
      <c r="B100" s="251"/>
      <c r="C100" s="41"/>
      <c r="D100" s="1130" t="s">
        <v>1502</v>
      </c>
      <c r="E100" s="1109" t="str">
        <f>IF(Welcome!$D$6="New",IF('Required Info to Submit'!F$14="","",'Required Info to Submit'!F$14),"")</f>
        <v/>
      </c>
      <c r="F100" s="41"/>
      <c r="G100" s="196" t="s">
        <v>1046</v>
      </c>
      <c r="H100" s="41"/>
      <c r="I100" s="41"/>
      <c r="J100" s="41"/>
      <c r="K100" s="41"/>
      <c r="L100" s="41"/>
      <c r="M100" s="41"/>
      <c r="N100" s="41"/>
      <c r="O100" s="191"/>
      <c r="P100" s="228"/>
      <c r="Q100" s="139"/>
      <c r="R100" s="135"/>
      <c r="S100" s="701"/>
      <c r="T100" s="135"/>
      <c r="U100" s="135"/>
      <c r="V100" s="135"/>
      <c r="W100" s="135"/>
      <c r="X100" s="135"/>
      <c r="Y100" s="135"/>
      <c r="Z100" s="135"/>
      <c r="AA100" s="135"/>
      <c r="AB100" s="135"/>
      <c r="AC100" s="135"/>
    </row>
    <row r="101" spans="1:29" ht="18" hidden="1" customHeight="1" thickBot="1" x14ac:dyDescent="0.3">
      <c r="A101" s="1134"/>
      <c r="B101" s="251"/>
      <c r="C101" s="41"/>
      <c r="D101" s="1130" t="s">
        <v>1503</v>
      </c>
      <c r="E101" s="1109" t="str">
        <f>IF(Welcome!$D$6="New",IF('Required Info to Submit'!F$17="","",'Required Info to Submit'!F$17),"")</f>
        <v/>
      </c>
      <c r="F101" s="199"/>
      <c r="G101" s="69">
        <f>IFERROR('EB_CM (Back)'!$B$7,"")</f>
        <v>0</v>
      </c>
      <c r="H101" s="191"/>
      <c r="I101" s="41"/>
      <c r="J101" s="198"/>
      <c r="K101" s="41"/>
      <c r="L101" s="191"/>
      <c r="M101" s="198"/>
      <c r="N101" s="198"/>
      <c r="O101" s="191"/>
      <c r="P101" s="228"/>
      <c r="Q101" s="139"/>
      <c r="R101" s="135"/>
      <c r="S101" s="702"/>
      <c r="T101" s="135"/>
      <c r="U101" s="135"/>
      <c r="V101" s="135"/>
      <c r="W101" s="135"/>
      <c r="X101" s="135"/>
      <c r="Y101" s="135"/>
      <c r="Z101" s="135"/>
      <c r="AA101" s="135"/>
      <c r="AB101" s="135"/>
      <c r="AC101" s="135"/>
    </row>
    <row r="102" spans="1:29" ht="18" hidden="1" customHeight="1" x14ac:dyDescent="0.25">
      <c r="A102" s="1134"/>
      <c r="B102" s="251"/>
      <c r="C102" s="41"/>
      <c r="D102" s="351"/>
      <c r="E102" s="508"/>
      <c r="F102" s="199"/>
      <c r="G102" s="197" t="s">
        <v>1504</v>
      </c>
      <c r="H102" s="655"/>
      <c r="I102" s="197" t="s">
        <v>1505</v>
      </c>
      <c r="J102" s="198"/>
      <c r="K102" s="197" t="s">
        <v>1506</v>
      </c>
      <c r="L102" s="191"/>
      <c r="M102" s="198"/>
      <c r="N102" s="198"/>
      <c r="O102" s="6" t="s">
        <v>493</v>
      </c>
      <c r="P102" s="228"/>
      <c r="Q102" s="139"/>
      <c r="R102" s="135"/>
      <c r="S102" s="702"/>
      <c r="T102" s="135"/>
      <c r="U102" s="135"/>
      <c r="V102" s="135"/>
      <c r="W102" s="135"/>
      <c r="X102" s="135"/>
      <c r="Y102" s="135"/>
      <c r="Z102" s="135"/>
      <c r="AA102" s="135"/>
      <c r="AB102" s="135"/>
      <c r="AC102" s="135"/>
    </row>
    <row r="103" spans="1:29" ht="17.25" hidden="1" customHeight="1" x14ac:dyDescent="0.25">
      <c r="A103" s="1134"/>
      <c r="B103" s="251"/>
      <c r="C103" s="41"/>
      <c r="D103" s="351"/>
      <c r="E103" s="508"/>
      <c r="F103" s="1114" t="s">
        <v>1048</v>
      </c>
      <c r="G103" s="1145"/>
      <c r="H103" s="191"/>
      <c r="I103" s="792"/>
      <c r="J103" s="1120" t="str">
        <f>IF($E$85="YES","**Tier 1 payout used for modeling purposes**","")</f>
        <v/>
      </c>
      <c r="K103" s="791"/>
      <c r="L103" s="191"/>
      <c r="M103" s="198"/>
      <c r="N103" s="200"/>
      <c r="O103" s="1128">
        <f>IF(E97="Yes",IF(G107="",IF(G106="",IF(G105="",IF(G104="",IF(G103="",0,K103*H$10),IF(OR(G104&lt;G101,G104=G101),K104*H$10)),IF(OR(G105&lt;G101,G105=G101),K105*H$10)),IF(OR(G106&lt;G101,G106=G101),K106*H$10)),IF(OR(G107&lt;G101,G107=G101),K107*H$10)),0)</f>
        <v>0</v>
      </c>
      <c r="P103" s="228"/>
      <c r="Q103" s="139"/>
      <c r="R103" s="135"/>
      <c r="S103" s="702"/>
      <c r="T103" s="135"/>
      <c r="U103" s="135"/>
      <c r="V103" s="135"/>
      <c r="W103" s="135"/>
      <c r="X103" s="135"/>
      <c r="Y103" s="135"/>
      <c r="Z103" s="135"/>
      <c r="AA103" s="135"/>
      <c r="AB103" s="135"/>
      <c r="AC103" s="135"/>
    </row>
    <row r="104" spans="1:29" ht="17.25" hidden="1" customHeight="1" x14ac:dyDescent="0.25">
      <c r="A104" s="1134"/>
      <c r="B104" s="251"/>
      <c r="C104" s="41"/>
      <c r="D104" s="351"/>
      <c r="E104" s="508"/>
      <c r="F104" s="1114" t="s">
        <v>1507</v>
      </c>
      <c r="G104" s="1145"/>
      <c r="H104" s="191"/>
      <c r="I104" s="792"/>
      <c r="J104" s="237"/>
      <c r="K104" s="791"/>
      <c r="L104" s="191"/>
      <c r="M104" s="874"/>
      <c r="N104" s="874"/>
      <c r="O104" s="874"/>
      <c r="P104" s="228"/>
      <c r="Q104" s="139"/>
      <c r="R104" s="135"/>
      <c r="S104" s="702"/>
      <c r="T104" s="135"/>
      <c r="U104" s="135"/>
      <c r="V104" s="135"/>
      <c r="W104" s="135"/>
      <c r="X104" s="135"/>
      <c r="Y104" s="135"/>
      <c r="Z104" s="135"/>
      <c r="AA104" s="135"/>
      <c r="AB104" s="135"/>
      <c r="AC104" s="135"/>
    </row>
    <row r="105" spans="1:29" ht="17.25" hidden="1" customHeight="1" x14ac:dyDescent="0.25">
      <c r="A105" s="1134"/>
      <c r="B105" s="251"/>
      <c r="C105" s="41"/>
      <c r="D105" s="351"/>
      <c r="E105" s="508"/>
      <c r="F105" s="1114" t="s">
        <v>1508</v>
      </c>
      <c r="G105" s="1145"/>
      <c r="H105" s="191"/>
      <c r="I105" s="792"/>
      <c r="J105" s="237"/>
      <c r="K105" s="791"/>
      <c r="L105" s="191"/>
      <c r="M105" s="874"/>
      <c r="N105" s="874"/>
      <c r="O105" s="874"/>
      <c r="P105" s="228"/>
      <c r="Q105" s="139"/>
      <c r="R105" s="135"/>
      <c r="S105" s="702"/>
      <c r="T105" s="135"/>
      <c r="U105" s="135"/>
      <c r="V105" s="135"/>
      <c r="W105" s="135"/>
      <c r="X105" s="135"/>
      <c r="Y105" s="135"/>
      <c r="Z105" s="135"/>
      <c r="AA105" s="135"/>
      <c r="AB105" s="135"/>
      <c r="AC105" s="135"/>
    </row>
    <row r="106" spans="1:29" ht="17.25" hidden="1" customHeight="1" x14ac:dyDescent="0.25">
      <c r="A106" s="1134"/>
      <c r="B106" s="251"/>
      <c r="C106" s="41"/>
      <c r="D106" s="351"/>
      <c r="E106" s="508"/>
      <c r="F106" s="1114" t="s">
        <v>1510</v>
      </c>
      <c r="G106" s="1145"/>
      <c r="H106" s="191"/>
      <c r="I106" s="792"/>
      <c r="J106" s="237"/>
      <c r="K106" s="791"/>
      <c r="L106" s="191"/>
      <c r="M106" s="874"/>
      <c r="N106" s="874"/>
      <c r="O106" s="874"/>
      <c r="P106" s="228"/>
      <c r="Q106" s="139"/>
      <c r="R106" s="135"/>
      <c r="S106" s="702"/>
      <c r="T106" s="135"/>
      <c r="U106" s="135"/>
      <c r="V106" s="135"/>
      <c r="W106" s="135"/>
      <c r="X106" s="135"/>
      <c r="Y106" s="135"/>
      <c r="Z106" s="135"/>
      <c r="AA106" s="135"/>
      <c r="AB106" s="135"/>
      <c r="AC106" s="135"/>
    </row>
    <row r="107" spans="1:29" ht="17.25" hidden="1" customHeight="1" x14ac:dyDescent="0.25">
      <c r="A107" s="1134"/>
      <c r="B107" s="251"/>
      <c r="C107" s="41"/>
      <c r="D107" s="351"/>
      <c r="E107" s="508"/>
      <c r="F107" s="1114" t="s">
        <v>1512</v>
      </c>
      <c r="G107" s="1145"/>
      <c r="H107" s="191"/>
      <c r="I107" s="792"/>
      <c r="J107" s="237"/>
      <c r="K107" s="791"/>
      <c r="L107" s="191"/>
      <c r="M107" s="874"/>
      <c r="N107" s="874"/>
      <c r="O107" s="874"/>
      <c r="P107" s="228"/>
      <c r="Q107" s="139"/>
      <c r="R107" s="135"/>
      <c r="S107" s="702"/>
      <c r="T107" s="135"/>
      <c r="U107" s="135"/>
      <c r="V107" s="135"/>
      <c r="W107" s="135"/>
      <c r="X107" s="135"/>
      <c r="Y107" s="135"/>
      <c r="Z107" s="135"/>
      <c r="AA107" s="135"/>
      <c r="AB107" s="135"/>
      <c r="AC107" s="135"/>
    </row>
    <row r="108" spans="1:29" ht="21" hidden="1" customHeight="1" x14ac:dyDescent="0.25">
      <c r="A108" s="1134"/>
      <c r="B108" s="253"/>
      <c r="C108" s="230"/>
      <c r="D108" s="1146"/>
      <c r="E108" s="230"/>
      <c r="F108" s="207"/>
      <c r="G108" s="238"/>
      <c r="H108" s="239"/>
      <c r="I108" s="240"/>
      <c r="J108" s="208"/>
      <c r="K108" s="209"/>
      <c r="L108" s="239"/>
      <c r="M108" s="209"/>
      <c r="N108" s="209"/>
      <c r="O108" s="209"/>
      <c r="P108" s="231"/>
      <c r="Q108" s="139"/>
      <c r="R108" s="135"/>
      <c r="S108" s="702"/>
      <c r="T108" s="135"/>
      <c r="U108" s="135"/>
      <c r="V108" s="135"/>
      <c r="W108" s="135"/>
      <c r="X108" s="135"/>
      <c r="Y108" s="135"/>
      <c r="Z108" s="135"/>
      <c r="AA108" s="135"/>
      <c r="AB108" s="135"/>
      <c r="AC108" s="135"/>
    </row>
    <row r="109" spans="1:29" ht="10.15" hidden="1" customHeight="1" x14ac:dyDescent="0.25">
      <c r="C109" s="135"/>
      <c r="D109" s="1085"/>
      <c r="E109" s="135"/>
      <c r="F109" s="181"/>
      <c r="G109" s="241"/>
      <c r="H109" s="178"/>
      <c r="I109" s="242"/>
      <c r="J109" s="217"/>
      <c r="K109" s="218"/>
      <c r="L109" s="178"/>
      <c r="M109" s="218"/>
      <c r="N109" s="218"/>
      <c r="O109" s="218"/>
      <c r="P109" s="142"/>
      <c r="Q109" s="139"/>
      <c r="R109" s="135"/>
      <c r="S109" s="702"/>
      <c r="T109" s="135"/>
      <c r="U109" s="135"/>
      <c r="V109" s="135"/>
      <c r="W109" s="135"/>
      <c r="X109" s="135"/>
      <c r="Y109" s="135"/>
      <c r="Z109" s="135"/>
      <c r="AA109" s="135"/>
      <c r="AB109" s="135"/>
      <c r="AC109" s="135"/>
    </row>
    <row r="110" spans="1:29" ht="20.25" customHeight="1" thickBot="1" x14ac:dyDescent="0.3">
      <c r="B110" s="256"/>
      <c r="C110" s="233"/>
      <c r="D110" s="1355" t="s">
        <v>1180</v>
      </c>
      <c r="E110" s="1355"/>
      <c r="F110" s="219"/>
      <c r="G110" s="243"/>
      <c r="H110" s="186"/>
      <c r="I110" s="244"/>
      <c r="J110" s="222"/>
      <c r="K110" s="223"/>
      <c r="L110" s="186"/>
      <c r="M110" s="223"/>
      <c r="N110" s="223"/>
      <c r="O110" s="223"/>
      <c r="P110" s="234"/>
      <c r="Q110" s="139"/>
      <c r="R110" s="135"/>
      <c r="S110" s="702"/>
      <c r="T110" s="135"/>
      <c r="U110" s="135"/>
      <c r="V110" s="135"/>
      <c r="W110" s="135"/>
      <c r="X110" s="135"/>
      <c r="Y110" s="135"/>
      <c r="Z110" s="135"/>
      <c r="AA110" s="135"/>
      <c r="AB110" s="135"/>
      <c r="AC110" s="135"/>
    </row>
    <row r="111" spans="1:29" ht="18" customHeight="1" thickBot="1" x14ac:dyDescent="0.3">
      <c r="B111" s="251"/>
      <c r="C111" s="41"/>
      <c r="D111" s="1124" t="s">
        <v>528</v>
      </c>
      <c r="E111" s="1169" t="s">
        <v>653</v>
      </c>
      <c r="F111" s="247"/>
      <c r="G111" s="236" t="s">
        <v>1497</v>
      </c>
      <c r="H111" s="655"/>
      <c r="I111" s="236" t="s">
        <v>1498</v>
      </c>
      <c r="J111" s="41"/>
      <c r="K111" s="236" t="s">
        <v>871</v>
      </c>
      <c r="L111" s="146"/>
      <c r="M111" s="197" t="s">
        <v>1499</v>
      </c>
      <c r="N111" s="224"/>
      <c r="O111" s="224"/>
      <c r="P111" s="228"/>
      <c r="Q111" s="139"/>
      <c r="R111" s="135"/>
      <c r="S111" s="702"/>
      <c r="T111" s="135"/>
      <c r="U111" s="135"/>
      <c r="V111" s="135"/>
      <c r="W111" s="135"/>
      <c r="X111" s="135"/>
      <c r="Y111" s="135"/>
      <c r="Z111" s="135"/>
      <c r="AA111" s="135"/>
      <c r="AB111" s="135"/>
      <c r="AC111" s="135"/>
    </row>
    <row r="112" spans="1:29" ht="18" customHeight="1" thickBot="1" x14ac:dyDescent="0.3">
      <c r="B112" s="251"/>
      <c r="C112" s="41"/>
      <c r="D112" s="1103" t="s">
        <v>1500</v>
      </c>
      <c r="E112" s="1173" t="s">
        <v>1501</v>
      </c>
      <c r="F112" s="199"/>
      <c r="G112" s="1172"/>
      <c r="H112" s="655"/>
      <c r="I112" s="1172"/>
      <c r="J112" s="146"/>
      <c r="K112" s="1172"/>
      <c r="L112" s="146"/>
      <c r="M112" s="1106"/>
      <c r="N112" s="224"/>
      <c r="O112" s="224"/>
      <c r="P112" s="228"/>
      <c r="Q112" s="139"/>
      <c r="R112" s="135"/>
      <c r="S112" s="702"/>
      <c r="T112" s="1147"/>
      <c r="U112" s="135"/>
      <c r="V112" s="135"/>
      <c r="W112" s="135"/>
      <c r="X112" s="135"/>
      <c r="Y112" s="135"/>
      <c r="Z112" s="135"/>
      <c r="AA112" s="135"/>
      <c r="AB112" s="135"/>
      <c r="AC112" s="135"/>
    </row>
    <row r="113" spans="2:29" ht="18" customHeight="1" thickBot="1" x14ac:dyDescent="0.3">
      <c r="B113" s="251"/>
      <c r="C113" s="41"/>
      <c r="D113" s="1148"/>
      <c r="E113" s="41"/>
      <c r="F113" s="146"/>
      <c r="G113" s="245"/>
      <c r="H113" s="191"/>
      <c r="I113" s="246"/>
      <c r="J113" s="200"/>
      <c r="K113" s="224"/>
      <c r="L113" s="191"/>
      <c r="M113" s="224"/>
      <c r="N113" s="224"/>
      <c r="O113" s="224"/>
      <c r="P113" s="228"/>
      <c r="Q113" s="139"/>
      <c r="R113" s="135"/>
      <c r="S113" s="701" t="str">
        <f>IF($E113="NO","",IF($I112="Select Payment Method","X",""))</f>
        <v/>
      </c>
      <c r="T113" s="135"/>
      <c r="U113" s="135"/>
      <c r="V113" s="135"/>
      <c r="W113" s="135"/>
      <c r="X113" s="135"/>
      <c r="Y113" s="135"/>
      <c r="Z113" s="135"/>
      <c r="AA113" s="135"/>
      <c r="AB113" s="135"/>
      <c r="AC113" s="135"/>
    </row>
    <row r="114" spans="2:29" ht="17.25" customHeight="1" thickBot="1" x14ac:dyDescent="0.3">
      <c r="B114" s="251"/>
      <c r="C114" s="41"/>
      <c r="D114" s="1130" t="s">
        <v>1502</v>
      </c>
      <c r="E114" s="1109" t="str">
        <f>IF(Welcome!$D$6="New",IF('Required Info to Submit'!F$14="","",'Required Info to Submit'!F$14),"")</f>
        <v/>
      </c>
      <c r="F114" s="247"/>
      <c r="G114" s="197" t="s">
        <v>1504</v>
      </c>
      <c r="H114" s="191"/>
      <c r="I114" s="197" t="s">
        <v>1505</v>
      </c>
      <c r="J114" s="198"/>
      <c r="K114" s="197" t="s">
        <v>1506</v>
      </c>
      <c r="L114" s="191"/>
      <c r="M114" s="198"/>
      <c r="N114" s="198"/>
      <c r="O114" s="6" t="s">
        <v>493</v>
      </c>
      <c r="P114" s="228"/>
      <c r="Q114" s="139"/>
      <c r="R114" s="135"/>
      <c r="S114" s="702"/>
      <c r="T114" s="135"/>
      <c r="U114" s="135"/>
      <c r="V114" s="135"/>
      <c r="W114" s="135"/>
      <c r="X114" s="135"/>
      <c r="Y114" s="135"/>
      <c r="Z114" s="135"/>
      <c r="AA114" s="135"/>
      <c r="AB114" s="135"/>
      <c r="AC114" s="135"/>
    </row>
    <row r="115" spans="2:29" ht="17.25" customHeight="1" thickBot="1" x14ac:dyDescent="0.3">
      <c r="B115" s="251"/>
      <c r="C115" s="41"/>
      <c r="D115" s="1130" t="s">
        <v>1503</v>
      </c>
      <c r="E115" s="1109" t="str">
        <f>IF(Welcome!$D$6="New",IF('Required Info to Submit'!F$17="","",'Required Info to Submit'!F$17),"")</f>
        <v/>
      </c>
      <c r="F115" s="1114" t="s">
        <v>1048</v>
      </c>
      <c r="G115" s="1233"/>
      <c r="H115" s="191"/>
      <c r="I115" s="792"/>
      <c r="J115" s="237"/>
      <c r="K115" s="791"/>
      <c r="L115" s="191"/>
      <c r="M115" s="198"/>
      <c r="N115" s="200"/>
      <c r="O115" s="1128">
        <f>IF(E111="No",0,IF(((H10-(G115*52))*I115)&lt;0,0,((H10-(G115*52))*I115)))</f>
        <v>0</v>
      </c>
      <c r="P115" s="228"/>
      <c r="Q115" s="139"/>
      <c r="R115" s="1074"/>
      <c r="S115" s="703"/>
    </row>
    <row r="116" spans="2:29" ht="21" customHeight="1" x14ac:dyDescent="0.25">
      <c r="B116" s="253"/>
      <c r="C116" s="230"/>
      <c r="D116" s="1146"/>
      <c r="E116" s="230"/>
      <c r="F116" s="230"/>
      <c r="G116" s="798"/>
      <c r="H116" s="230"/>
      <c r="I116" s="248"/>
      <c r="J116" s="230"/>
      <c r="K116" s="230"/>
      <c r="L116" s="230"/>
      <c r="M116" s="230"/>
      <c r="N116" s="230"/>
      <c r="O116" s="230"/>
      <c r="P116" s="231"/>
      <c r="Q116" s="139"/>
      <c r="R116" s="1074"/>
      <c r="S116" s="703"/>
    </row>
    <row r="117" spans="2:29" ht="10.15" customHeight="1" x14ac:dyDescent="0.25">
      <c r="C117" s="135"/>
      <c r="D117" s="1085"/>
      <c r="E117" s="135"/>
      <c r="F117" s="181"/>
      <c r="G117" s="241"/>
      <c r="H117" s="178"/>
      <c r="I117" s="242"/>
      <c r="J117" s="217"/>
      <c r="K117" s="218"/>
      <c r="L117" s="178"/>
      <c r="M117" s="218"/>
      <c r="N117" s="218"/>
      <c r="O117" s="218"/>
      <c r="P117" s="142"/>
      <c r="Q117" s="139"/>
      <c r="R117" s="135"/>
      <c r="S117" s="702"/>
      <c r="T117" s="135"/>
      <c r="U117" s="135"/>
      <c r="V117" s="135"/>
      <c r="W117" s="135"/>
      <c r="X117" s="135"/>
      <c r="Y117" s="135"/>
      <c r="Z117" s="135"/>
      <c r="AA117" s="135"/>
      <c r="AB117" s="135"/>
      <c r="AC117" s="135"/>
    </row>
    <row r="118" spans="2:29" ht="19.5" customHeight="1" thickBot="1" x14ac:dyDescent="0.3">
      <c r="B118" s="256"/>
      <c r="C118" s="233"/>
      <c r="D118" s="1355" t="s">
        <v>724</v>
      </c>
      <c r="E118" s="1355"/>
      <c r="F118" s="187"/>
      <c r="G118" s="243"/>
      <c r="H118" s="186"/>
      <c r="I118" s="244"/>
      <c r="J118" s="222"/>
      <c r="K118" s="223"/>
      <c r="L118" s="186"/>
      <c r="M118" s="223"/>
      <c r="N118" s="223"/>
      <c r="O118" s="223"/>
      <c r="P118" s="234"/>
      <c r="Q118" s="139"/>
      <c r="R118" s="135"/>
      <c r="S118" s="702"/>
      <c r="T118" s="135"/>
      <c r="U118" s="135"/>
      <c r="V118" s="135"/>
      <c r="W118" s="135"/>
      <c r="X118" s="135"/>
      <c r="Y118" s="135"/>
      <c r="Z118" s="135"/>
      <c r="AA118" s="135"/>
      <c r="AB118" s="135"/>
      <c r="AC118" s="135"/>
    </row>
    <row r="119" spans="2:29" ht="18" customHeight="1" thickBot="1" x14ac:dyDescent="0.3">
      <c r="B119" s="251"/>
      <c r="C119" s="41"/>
      <c r="D119" s="1124" t="s">
        <v>528</v>
      </c>
      <c r="E119" s="1169" t="s">
        <v>653</v>
      </c>
      <c r="F119" s="247"/>
      <c r="G119" s="236" t="s">
        <v>1497</v>
      </c>
      <c r="H119" s="655"/>
      <c r="I119" s="236" t="s">
        <v>1498</v>
      </c>
      <c r="J119" s="41"/>
      <c r="K119" s="236" t="s">
        <v>871</v>
      </c>
      <c r="L119" s="146"/>
      <c r="M119" s="197" t="s">
        <v>1499</v>
      </c>
      <c r="N119" s="224"/>
      <c r="O119" s="224"/>
      <c r="P119" s="228"/>
      <c r="Q119" s="139"/>
      <c r="R119" s="135"/>
      <c r="S119" s="702"/>
      <c r="T119" s="135"/>
      <c r="U119" s="135"/>
      <c r="V119" s="135"/>
      <c r="W119" s="135"/>
      <c r="X119" s="135"/>
      <c r="Y119" s="135"/>
      <c r="Z119" s="135"/>
      <c r="AA119" s="135"/>
      <c r="AB119" s="135"/>
      <c r="AC119" s="135"/>
    </row>
    <row r="120" spans="2:29" ht="18" customHeight="1" thickBot="1" x14ac:dyDescent="0.3">
      <c r="B120" s="251"/>
      <c r="C120" s="41"/>
      <c r="D120" s="1149" t="s">
        <v>1500</v>
      </c>
      <c r="E120" s="1173" t="s">
        <v>1501</v>
      </c>
      <c r="F120" s="247"/>
      <c r="G120" s="1172"/>
      <c r="H120" s="655"/>
      <c r="I120" s="1172"/>
      <c r="J120" s="146"/>
      <c r="K120" s="1172"/>
      <c r="L120" s="146"/>
      <c r="M120" s="1106"/>
      <c r="N120" s="224"/>
      <c r="O120" s="224"/>
      <c r="P120" s="228"/>
      <c r="Q120" s="139"/>
      <c r="R120" s="135"/>
      <c r="S120" s="702"/>
      <c r="T120" s="1147"/>
      <c r="U120" s="135"/>
      <c r="V120" s="135"/>
      <c r="W120" s="135"/>
      <c r="X120" s="135"/>
      <c r="Y120" s="135"/>
      <c r="Z120" s="135"/>
      <c r="AA120" s="135"/>
      <c r="AB120" s="135"/>
      <c r="AC120" s="135"/>
    </row>
    <row r="121" spans="2:29" ht="18" customHeight="1" thickBot="1" x14ac:dyDescent="0.3">
      <c r="B121" s="251"/>
      <c r="C121" s="41"/>
      <c r="D121" s="1148"/>
      <c r="E121" s="41"/>
      <c r="F121" s="247"/>
      <c r="G121" s="245"/>
      <c r="H121" s="191"/>
      <c r="I121" s="246"/>
      <c r="J121" s="200"/>
      <c r="K121" s="224"/>
      <c r="L121" s="191"/>
      <c r="M121" s="224"/>
      <c r="N121" s="224"/>
      <c r="O121" s="224"/>
      <c r="P121" s="228"/>
      <c r="Q121" s="139"/>
      <c r="R121" s="135"/>
      <c r="S121" s="701" t="str">
        <f>IF($E121="NO","",IF($I120="Select Payment Method","X",""))</f>
        <v/>
      </c>
      <c r="T121" s="135"/>
      <c r="U121" s="135"/>
      <c r="V121" s="135"/>
      <c r="W121" s="135"/>
      <c r="X121" s="135"/>
      <c r="Y121" s="135"/>
      <c r="Z121" s="135"/>
      <c r="AA121" s="135"/>
      <c r="AB121" s="135"/>
      <c r="AC121" s="135"/>
    </row>
    <row r="122" spans="2:29" ht="16.5" customHeight="1" thickBot="1" x14ac:dyDescent="0.3">
      <c r="B122" s="251"/>
      <c r="C122" s="41"/>
      <c r="D122" s="1130" t="s">
        <v>1502</v>
      </c>
      <c r="E122" s="1109" t="str">
        <f>IF(Welcome!$D$6="New",IF('Required Info to Submit'!F$14="","",'Required Info to Submit'!F$14),"")</f>
        <v/>
      </c>
      <c r="F122" s="247"/>
      <c r="G122" s="197" t="s">
        <v>1504</v>
      </c>
      <c r="H122" s="191"/>
      <c r="I122" s="197" t="s">
        <v>1505</v>
      </c>
      <c r="J122" s="198"/>
      <c r="K122" s="197" t="s">
        <v>1506</v>
      </c>
      <c r="L122" s="191"/>
      <c r="M122" s="224"/>
      <c r="N122" s="224"/>
      <c r="O122" s="6" t="s">
        <v>493</v>
      </c>
      <c r="P122" s="228"/>
      <c r="Q122" s="139"/>
      <c r="R122" s="135"/>
      <c r="S122" s="702"/>
      <c r="T122" s="135"/>
      <c r="U122" s="135"/>
      <c r="V122" s="135"/>
      <c r="W122" s="135"/>
      <c r="X122" s="135"/>
      <c r="Y122" s="135"/>
      <c r="Z122" s="135"/>
      <c r="AA122" s="135"/>
      <c r="AB122" s="135"/>
      <c r="AC122" s="135"/>
    </row>
    <row r="123" spans="2:29" ht="16.5" customHeight="1" thickBot="1" x14ac:dyDescent="0.3">
      <c r="B123" s="251"/>
      <c r="C123" s="41"/>
      <c r="D123" s="1130" t="s">
        <v>1503</v>
      </c>
      <c r="E123" s="1109" t="str">
        <f>IF(Welcome!$D$6="New",IF('Required Info to Submit'!F$17="","",'Required Info to Submit'!F$17),"")</f>
        <v/>
      </c>
      <c r="F123" s="1114" t="s">
        <v>1048</v>
      </c>
      <c r="G123" s="1145"/>
      <c r="H123" s="191"/>
      <c r="I123" s="792"/>
      <c r="J123" s="237"/>
      <c r="K123" s="791"/>
      <c r="L123" s="191"/>
      <c r="M123" s="224"/>
      <c r="N123" s="224"/>
      <c r="O123" s="1128">
        <f>IF($E$119="Yes",K123*$H$10,0)</f>
        <v>0</v>
      </c>
      <c r="P123" s="228"/>
      <c r="Q123" s="139"/>
      <c r="R123" s="1074"/>
      <c r="S123" s="703"/>
    </row>
    <row r="124" spans="2:29" ht="20.25" customHeight="1" x14ac:dyDescent="0.25">
      <c r="B124" s="253"/>
      <c r="C124" s="230"/>
      <c r="D124" s="1146"/>
      <c r="E124" s="230"/>
      <c r="F124" s="230"/>
      <c r="G124" s="230"/>
      <c r="H124" s="230"/>
      <c r="I124" s="248"/>
      <c r="J124" s="230"/>
      <c r="K124" s="230"/>
      <c r="L124" s="230"/>
      <c r="M124" s="230"/>
      <c r="N124" s="230"/>
      <c r="O124" s="230"/>
      <c r="P124" s="231"/>
      <c r="Q124" s="139"/>
      <c r="R124" s="1074"/>
      <c r="S124" s="703"/>
    </row>
    <row r="125" spans="2:29" ht="10.15" customHeight="1" x14ac:dyDescent="0.25">
      <c r="I125" s="249"/>
      <c r="P125" s="250"/>
      <c r="Q125" s="139"/>
      <c r="R125" s="1074"/>
      <c r="S125" s="703"/>
    </row>
    <row r="126" spans="2:29" s="1075" customFormat="1" ht="20.25" customHeight="1" thickBot="1" x14ac:dyDescent="0.3">
      <c r="B126" s="256"/>
      <c r="C126" s="186"/>
      <c r="D126" s="1355" t="s">
        <v>1159</v>
      </c>
      <c r="E126" s="1355"/>
      <c r="F126" s="219"/>
      <c r="G126" s="243"/>
      <c r="H126" s="186"/>
      <c r="I126" s="244"/>
      <c r="J126" s="222"/>
      <c r="K126" s="223"/>
      <c r="L126" s="186"/>
      <c r="M126" s="223"/>
      <c r="N126" s="223"/>
      <c r="O126" s="223"/>
      <c r="P126" s="257"/>
      <c r="Q126" s="180"/>
      <c r="S126" s="704"/>
    </row>
    <row r="127" spans="2:29" s="1075" customFormat="1" ht="18" customHeight="1" thickBot="1" x14ac:dyDescent="0.3">
      <c r="B127" s="251"/>
      <c r="C127" s="191"/>
      <c r="D127" s="1124" t="s">
        <v>528</v>
      </c>
      <c r="E127" s="1169" t="s">
        <v>653</v>
      </c>
      <c r="F127" s="818"/>
      <c r="G127" s="236" t="s">
        <v>1497</v>
      </c>
      <c r="H127" s="655"/>
      <c r="I127" s="236" t="s">
        <v>1498</v>
      </c>
      <c r="J127" s="41"/>
      <c r="K127" s="236" t="s">
        <v>871</v>
      </c>
      <c r="L127" s="146"/>
      <c r="M127" s="197" t="s">
        <v>1499</v>
      </c>
      <c r="N127" s="224"/>
      <c r="O127" s="224"/>
      <c r="P127" s="252"/>
      <c r="Q127" s="180"/>
      <c r="S127" s="704"/>
    </row>
    <row r="128" spans="2:29" s="1075" customFormat="1" ht="18" customHeight="1" thickBot="1" x14ac:dyDescent="0.3">
      <c r="B128" s="251"/>
      <c r="C128" s="191"/>
      <c r="D128" s="1103" t="s">
        <v>1500</v>
      </c>
      <c r="E128" s="1173" t="s">
        <v>1501</v>
      </c>
      <c r="F128" s="819" t="s">
        <v>1159</v>
      </c>
      <c r="G128" s="1172"/>
      <c r="H128" s="655"/>
      <c r="I128" s="1172"/>
      <c r="J128" s="146"/>
      <c r="K128" s="1172"/>
      <c r="L128" s="146"/>
      <c r="M128" s="1106"/>
      <c r="N128" s="224"/>
      <c r="O128" s="224"/>
      <c r="P128" s="252"/>
      <c r="Q128" s="180"/>
      <c r="S128" s="704"/>
    </row>
    <row r="129" spans="2:19" s="1075" customFormat="1" ht="18" customHeight="1" thickBot="1" x14ac:dyDescent="0.3">
      <c r="B129" s="251"/>
      <c r="C129" s="191"/>
      <c r="D129" s="1129"/>
      <c r="E129" s="146"/>
      <c r="F129" s="146"/>
      <c r="G129" s="191"/>
      <c r="H129" s="191"/>
      <c r="I129" s="191"/>
      <c r="J129" s="191"/>
      <c r="K129" s="191"/>
      <c r="L129" s="191"/>
      <c r="M129" s="191"/>
      <c r="N129" s="191"/>
      <c r="O129" s="191"/>
      <c r="P129" s="252"/>
      <c r="Q129" s="180"/>
      <c r="S129" s="701" t="str">
        <f>IF($E129="NO","",IF($I128="Select Payment Method","X",""))</f>
        <v/>
      </c>
    </row>
    <row r="130" spans="2:19" s="1075" customFormat="1" ht="18" customHeight="1" thickBot="1" x14ac:dyDescent="0.3">
      <c r="B130" s="251"/>
      <c r="C130" s="191"/>
      <c r="D130" s="1130" t="s">
        <v>1502</v>
      </c>
      <c r="E130" s="1109" t="str">
        <f>IF(Welcome!$D$6="New",IF('Required Info to Submit'!F$14="","",'Required Info to Submit'!F$14),"")</f>
        <v/>
      </c>
      <c r="F130" s="818"/>
      <c r="G130" s="236" t="s">
        <v>1513</v>
      </c>
      <c r="H130" s="191"/>
      <c r="I130" s="487"/>
      <c r="J130" s="198"/>
      <c r="K130" s="487"/>
      <c r="L130" s="191"/>
      <c r="M130" s="487"/>
      <c r="N130" s="224"/>
      <c r="O130" s="6" t="s">
        <v>493</v>
      </c>
      <c r="P130" s="252"/>
      <c r="Q130" s="180"/>
      <c r="S130" s="704"/>
    </row>
    <row r="131" spans="2:19" s="1075" customFormat="1" ht="18" customHeight="1" thickBot="1" x14ac:dyDescent="0.3">
      <c r="B131" s="251"/>
      <c r="C131" s="191"/>
      <c r="D131" s="1130" t="s">
        <v>1503</v>
      </c>
      <c r="E131" s="1109" t="str">
        <f>IF(Welcome!$D$6="New",IF('Required Info to Submit'!F$17="","",'Required Info to Submit'!F$17),"")</f>
        <v/>
      </c>
      <c r="F131" s="819" t="s">
        <v>1159</v>
      </c>
      <c r="G131" s="1145"/>
      <c r="H131" s="191"/>
      <c r="I131" s="246"/>
      <c r="J131" s="200"/>
      <c r="K131" s="246"/>
      <c r="L131" s="191"/>
      <c r="M131" s="246"/>
      <c r="N131" s="224"/>
      <c r="O131" s="1128">
        <f>IFERROR(IF($E127="Yes",$G131/$G$4,0),0)</f>
        <v>0</v>
      </c>
      <c r="P131" s="252"/>
      <c r="Q131" s="180"/>
    </row>
    <row r="132" spans="2:19" s="177" customFormat="1" ht="21" customHeight="1" x14ac:dyDescent="0.25">
      <c r="B132" s="253"/>
      <c r="C132" s="207"/>
      <c r="D132" s="1150"/>
      <c r="E132" s="207"/>
      <c r="F132" s="820"/>
      <c r="G132" s="820"/>
      <c r="H132" s="207"/>
      <c r="I132" s="207"/>
      <c r="J132" s="207"/>
      <c r="K132" s="207"/>
      <c r="L132" s="207"/>
      <c r="M132" s="207"/>
      <c r="N132" s="207"/>
      <c r="O132" s="207"/>
      <c r="P132" s="258"/>
      <c r="Q132" s="259"/>
    </row>
    <row r="133" spans="2:19" s="177" customFormat="1" ht="9" customHeight="1" x14ac:dyDescent="0.25">
      <c r="C133" s="181"/>
      <c r="D133" s="1095"/>
      <c r="E133" s="181"/>
      <c r="F133" s="181"/>
      <c r="G133" s="181"/>
      <c r="H133" s="181"/>
      <c r="I133" s="181"/>
      <c r="J133" s="181"/>
      <c r="K133" s="181"/>
      <c r="L133" s="181"/>
      <c r="M133" s="181"/>
      <c r="N133" s="181"/>
      <c r="O133" s="181"/>
      <c r="P133" s="729"/>
      <c r="Q133" s="259"/>
    </row>
    <row r="134" spans="2:19" s="1075" customFormat="1" ht="20.25" hidden="1" customHeight="1" thickBot="1" x14ac:dyDescent="0.3">
      <c r="B134" s="256"/>
      <c r="C134" s="186"/>
      <c r="D134" s="1355" t="s">
        <v>1159</v>
      </c>
      <c r="E134" s="1355"/>
      <c r="F134" s="219"/>
      <c r="G134" s="243"/>
      <c r="H134" s="186"/>
      <c r="I134" s="244"/>
      <c r="J134" s="222"/>
      <c r="K134" s="223"/>
      <c r="L134" s="186"/>
      <c r="M134" s="223"/>
      <c r="N134" s="223"/>
      <c r="O134" s="223"/>
      <c r="P134" s="257"/>
      <c r="Q134" s="180"/>
      <c r="S134" s="704"/>
    </row>
    <row r="135" spans="2:19" s="1075" customFormat="1" ht="18" hidden="1" customHeight="1" thickBot="1" x14ac:dyDescent="0.3">
      <c r="B135" s="251"/>
      <c r="C135" s="191"/>
      <c r="D135" s="1124" t="s">
        <v>528</v>
      </c>
      <c r="E135" s="1102" t="s">
        <v>653</v>
      </c>
      <c r="F135" s="818"/>
      <c r="G135" s="236" t="s">
        <v>1497</v>
      </c>
      <c r="H135" s="655"/>
      <c r="I135" s="236" t="s">
        <v>1498</v>
      </c>
      <c r="J135" s="41"/>
      <c r="K135" s="236" t="s">
        <v>871</v>
      </c>
      <c r="L135" s="146"/>
      <c r="M135" s="197" t="s">
        <v>1499</v>
      </c>
      <c r="N135" s="224"/>
      <c r="O135" s="224"/>
      <c r="P135" s="252"/>
      <c r="Q135" s="180"/>
      <c r="S135" s="704"/>
    </row>
    <row r="136" spans="2:19" s="1075" customFormat="1" ht="18" hidden="1" customHeight="1" thickBot="1" x14ac:dyDescent="0.3">
      <c r="B136" s="251"/>
      <c r="C136" s="191"/>
      <c r="D136" s="1103" t="s">
        <v>1500</v>
      </c>
      <c r="E136" s="1173" t="s">
        <v>1501</v>
      </c>
      <c r="F136" s="819" t="s">
        <v>1159</v>
      </c>
      <c r="G136" s="1172"/>
      <c r="H136" s="655"/>
      <c r="I136" s="1172"/>
      <c r="J136" s="146"/>
      <c r="K136" s="1172"/>
      <c r="L136" s="146"/>
      <c r="M136" s="1106"/>
      <c r="N136" s="224"/>
      <c r="O136" s="224"/>
      <c r="P136" s="252"/>
      <c r="Q136" s="180"/>
      <c r="S136" s="704"/>
    </row>
    <row r="137" spans="2:19" s="1075" customFormat="1" ht="18" hidden="1" customHeight="1" thickBot="1" x14ac:dyDescent="0.3">
      <c r="B137" s="251"/>
      <c r="C137" s="191"/>
      <c r="D137" s="1129"/>
      <c r="E137" s="146"/>
      <c r="F137" s="146"/>
      <c r="G137" s="191"/>
      <c r="H137" s="191"/>
      <c r="I137" s="191"/>
      <c r="J137" s="191"/>
      <c r="K137" s="191"/>
      <c r="L137" s="191"/>
      <c r="M137" s="191"/>
      <c r="N137" s="191"/>
      <c r="O137" s="191"/>
      <c r="P137" s="252"/>
      <c r="Q137" s="180"/>
      <c r="S137" s="701" t="str">
        <f>IF($E137="NO","",IF($I136="Select Payment Method","X",""))</f>
        <v/>
      </c>
    </row>
    <row r="138" spans="2:19" s="1075" customFormat="1" ht="18" hidden="1" customHeight="1" thickBot="1" x14ac:dyDescent="0.3">
      <c r="B138" s="251"/>
      <c r="C138" s="191"/>
      <c r="D138" s="1130" t="s">
        <v>1502</v>
      </c>
      <c r="E138" s="1109" t="str">
        <f>IF(Welcome!$D$6="New",IF('Required Info to Submit'!F$14="","",'Required Info to Submit'!F$14),"")</f>
        <v/>
      </c>
      <c r="F138" s="818"/>
      <c r="G138" s="236" t="s">
        <v>1513</v>
      </c>
      <c r="H138" s="191"/>
      <c r="I138" s="487"/>
      <c r="J138" s="198"/>
      <c r="K138" s="487"/>
      <c r="L138" s="191"/>
      <c r="M138" s="487"/>
      <c r="N138" s="224"/>
      <c r="O138" s="6" t="s">
        <v>493</v>
      </c>
      <c r="P138" s="252"/>
      <c r="Q138" s="180"/>
      <c r="S138" s="704"/>
    </row>
    <row r="139" spans="2:19" s="1075" customFormat="1" ht="18" hidden="1" customHeight="1" thickBot="1" x14ac:dyDescent="0.3">
      <c r="B139" s="251"/>
      <c r="C139" s="191"/>
      <c r="D139" s="1130" t="s">
        <v>1503</v>
      </c>
      <c r="E139" s="1109" t="str">
        <f>IF(Welcome!$D$6="New",IF('Required Info to Submit'!F$17="","",'Required Info to Submit'!F$17),"")</f>
        <v/>
      </c>
      <c r="F139" s="819" t="s">
        <v>1159</v>
      </c>
      <c r="G139" s="1145"/>
      <c r="H139" s="191"/>
      <c r="I139" s="246"/>
      <c r="J139" s="200"/>
      <c r="K139" s="246"/>
      <c r="L139" s="191"/>
      <c r="M139" s="246"/>
      <c r="N139" s="224"/>
      <c r="O139" s="1128">
        <f>IFERROR(IF($E135="Yes",$G139/$G$4,0),0)</f>
        <v>0</v>
      </c>
      <c r="P139" s="252"/>
      <c r="Q139" s="180"/>
    </row>
    <row r="140" spans="2:19" s="177" customFormat="1" ht="21" hidden="1" customHeight="1" x14ac:dyDescent="0.25">
      <c r="B140" s="253"/>
      <c r="C140" s="207"/>
      <c r="D140" s="1150"/>
      <c r="E140" s="207"/>
      <c r="F140" s="820"/>
      <c r="G140" s="820"/>
      <c r="H140" s="207"/>
      <c r="I140" s="207"/>
      <c r="J140" s="207"/>
      <c r="K140" s="207"/>
      <c r="L140" s="207"/>
      <c r="M140" s="207"/>
      <c r="N140" s="207"/>
      <c r="O140" s="207"/>
      <c r="P140" s="258"/>
      <c r="Q140" s="259"/>
    </row>
    <row r="141" spans="2:19" s="1075" customFormat="1" ht="10.15" hidden="1" customHeight="1" x14ac:dyDescent="0.25">
      <c r="C141" s="178"/>
      <c r="D141" s="1095"/>
      <c r="E141" s="178"/>
      <c r="F141" s="213"/>
      <c r="G141" s="241"/>
      <c r="H141" s="178"/>
      <c r="I141" s="242"/>
      <c r="J141" s="217"/>
      <c r="K141" s="218"/>
      <c r="L141" s="178"/>
      <c r="M141" s="218"/>
      <c r="N141" s="218"/>
      <c r="O141" s="218"/>
      <c r="P141" s="255"/>
      <c r="Q141" s="180"/>
      <c r="S141" s="704"/>
    </row>
    <row r="142" spans="2:19" s="177" customFormat="1" ht="20.25" customHeight="1" thickBot="1" x14ac:dyDescent="0.3">
      <c r="B142" s="256"/>
      <c r="C142" s="187"/>
      <c r="D142" s="1355" t="s">
        <v>1057</v>
      </c>
      <c r="E142" s="1355"/>
      <c r="F142" s="187"/>
      <c r="G142" s="187"/>
      <c r="H142" s="187"/>
      <c r="I142" s="187"/>
      <c r="J142" s="187"/>
      <c r="K142" s="187"/>
      <c r="L142" s="187"/>
      <c r="M142" s="187"/>
      <c r="N142" s="187"/>
      <c r="O142" s="187"/>
      <c r="P142" s="730"/>
      <c r="Q142" s="259"/>
    </row>
    <row r="143" spans="2:19" s="177" customFormat="1" ht="18" customHeight="1" thickBot="1" x14ac:dyDescent="0.3">
      <c r="B143" s="251"/>
      <c r="C143" s="146"/>
      <c r="D143" s="1124" t="s">
        <v>528</v>
      </c>
      <c r="E143" s="1169" t="s">
        <v>653</v>
      </c>
      <c r="F143" s="247"/>
      <c r="G143" s="236" t="s">
        <v>1497</v>
      </c>
      <c r="H143" s="655"/>
      <c r="I143" s="236" t="s">
        <v>1498</v>
      </c>
      <c r="J143" s="41"/>
      <c r="K143" s="236" t="s">
        <v>871</v>
      </c>
      <c r="L143" s="146"/>
      <c r="M143" s="197" t="s">
        <v>1499</v>
      </c>
      <c r="N143" s="146"/>
      <c r="O143" s="146"/>
      <c r="P143" s="731"/>
      <c r="Q143" s="259"/>
    </row>
    <row r="144" spans="2:19" s="177" customFormat="1" ht="18" customHeight="1" thickBot="1" x14ac:dyDescent="0.3">
      <c r="B144" s="251"/>
      <c r="C144" s="146"/>
      <c r="D144" s="1103" t="s">
        <v>1500</v>
      </c>
      <c r="E144" s="1173" t="s">
        <v>1501</v>
      </c>
      <c r="F144" s="199"/>
      <c r="G144" s="1172"/>
      <c r="H144" s="655"/>
      <c r="I144" s="1172"/>
      <c r="J144" s="146"/>
      <c r="K144" s="1172"/>
      <c r="L144" s="146"/>
      <c r="M144" s="1106"/>
      <c r="N144" s="146"/>
      <c r="O144" s="146"/>
      <c r="P144" s="731"/>
      <c r="Q144" s="259"/>
    </row>
    <row r="145" spans="2:19" s="177" customFormat="1" ht="18" customHeight="1" thickBot="1" x14ac:dyDescent="0.3">
      <c r="B145" s="251"/>
      <c r="C145" s="146"/>
      <c r="D145" s="1129"/>
      <c r="E145" s="706"/>
      <c r="F145" s="1151"/>
      <c r="G145" s="1151"/>
      <c r="H145" s="146"/>
      <c r="I145" s="146"/>
      <c r="J145" s="146"/>
      <c r="K145" s="146"/>
      <c r="L145" s="146"/>
      <c r="M145" s="146"/>
      <c r="N145" s="146"/>
      <c r="O145" s="146"/>
      <c r="P145" s="731"/>
      <c r="Q145" s="259"/>
      <c r="S145" s="701" t="str">
        <f>IF($D$204=0,"",IF($E145="NO","",IF($I144="Select Payment Method","X","")))</f>
        <v/>
      </c>
    </row>
    <row r="146" spans="2:19" s="177" customFormat="1" ht="18" customHeight="1" thickBot="1" x14ac:dyDescent="0.3">
      <c r="B146" s="251"/>
      <c r="C146" s="146"/>
      <c r="D146" s="1130" t="s">
        <v>1502</v>
      </c>
      <c r="E146" s="1109" t="str">
        <f>IF(Welcome!$D$6="New",IF('Required Info to Submit'!F$14="","",'Required Info to Submit'!F$14),"")</f>
        <v/>
      </c>
      <c r="F146" s="247"/>
      <c r="G146" s="146"/>
      <c r="H146" s="146"/>
      <c r="I146" s="146"/>
      <c r="J146" s="146"/>
      <c r="K146" s="197" t="s">
        <v>1506</v>
      </c>
      <c r="L146" s="191"/>
      <c r="M146" s="487"/>
      <c r="N146" s="146"/>
      <c r="O146" s="6" t="s">
        <v>493</v>
      </c>
      <c r="P146" s="731"/>
      <c r="Q146" s="259"/>
    </row>
    <row r="147" spans="2:19" s="177" customFormat="1" ht="18" customHeight="1" thickBot="1" x14ac:dyDescent="0.3">
      <c r="B147" s="251"/>
      <c r="C147" s="146"/>
      <c r="D147" s="1130" t="s">
        <v>1503</v>
      </c>
      <c r="E147" s="1109" t="str">
        <f>IF(Welcome!$D$6="New",IF('Required Info to Submit'!F$17="","",'Required Info to Submit'!F$17),"")</f>
        <v/>
      </c>
      <c r="F147" s="199"/>
      <c r="G147" s="1154"/>
      <c r="H147" s="146"/>
      <c r="I147" s="146"/>
      <c r="J147" s="146"/>
      <c r="K147" s="791"/>
      <c r="L147" s="191"/>
      <c r="M147" s="224"/>
      <c r="N147" s="146"/>
      <c r="O147" s="1128">
        <f>IFERROR(IF($E143="Yes",$K$147*$H$10,0),0)</f>
        <v>0</v>
      </c>
      <c r="P147" s="731"/>
      <c r="Q147" s="259"/>
    </row>
    <row r="148" spans="2:19" s="177" customFormat="1" ht="21" customHeight="1" x14ac:dyDescent="0.25">
      <c r="B148" s="253"/>
      <c r="C148" s="207"/>
      <c r="D148" s="1150"/>
      <c r="E148" s="207"/>
      <c r="F148" s="207"/>
      <c r="G148" s="854" t="str">
        <f>IFERROR(_xlfn.CONCAT("Max ",ROUNDUP((((VLOOKUP('Variable Selling'!$A$2,'CC MARKET EXPENSE'!$A:$D,4,0))*100)*((VLOOKUP(D142,'Incentive Helper'!$A:$B,2,0))/100))/0.25,0)*0.25),"")</f>
        <v/>
      </c>
      <c r="H148" s="207"/>
      <c r="I148" s="207"/>
      <c r="J148" s="207"/>
      <c r="K148" s="207"/>
      <c r="L148" s="207"/>
      <c r="M148" s="207"/>
      <c r="N148" s="207"/>
      <c r="O148" s="207"/>
      <c r="P148" s="258"/>
      <c r="Q148" s="259"/>
    </row>
    <row r="149" spans="2:19" s="1232" customFormat="1" ht="10.15" customHeight="1" x14ac:dyDescent="0.25">
      <c r="C149" s="178"/>
      <c r="D149" s="1095"/>
      <c r="E149" s="178"/>
      <c r="F149" s="213"/>
      <c r="G149" s="241"/>
      <c r="H149" s="178"/>
      <c r="I149" s="242"/>
      <c r="J149" s="217"/>
      <c r="K149" s="218"/>
      <c r="L149" s="178"/>
      <c r="M149" s="218"/>
      <c r="N149" s="218"/>
      <c r="O149" s="218"/>
      <c r="P149" s="255"/>
      <c r="Q149" s="180"/>
      <c r="S149" s="704"/>
    </row>
    <row r="150" spans="2:19" s="1232" customFormat="1" ht="20.25" customHeight="1" thickBot="1" x14ac:dyDescent="0.3">
      <c r="B150" s="256"/>
      <c r="C150" s="186"/>
      <c r="D150" s="1355" t="s">
        <v>1594</v>
      </c>
      <c r="E150" s="1355"/>
      <c r="F150" s="219"/>
      <c r="G150" s="243"/>
      <c r="H150" s="186"/>
      <c r="I150" s="244"/>
      <c r="J150" s="222"/>
      <c r="K150" s="223"/>
      <c r="L150" s="186"/>
      <c r="M150" s="223"/>
      <c r="N150" s="1351" t="str">
        <f>IF(AND(G155&gt;=10000,G155&lt;100000),"The amount entered is $10,000 or above. This model can be submitted but will require additional approved before the agreement can be generated. Business Context will need to be provided",IF(G155&gt;=100000,"The amount is greater than $1,000,000. Please use the custom modeling process in order to accomodate this request",""))</f>
        <v/>
      </c>
      <c r="O150" s="1351"/>
      <c r="P150" s="1352"/>
      <c r="Q150" s="180"/>
      <c r="S150" s="704"/>
    </row>
    <row r="151" spans="2:19" s="1232" customFormat="1" ht="17.25" customHeight="1" thickBot="1" x14ac:dyDescent="0.3">
      <c r="B151" s="251"/>
      <c r="C151" s="191"/>
      <c r="D151" s="1124" t="s">
        <v>528</v>
      </c>
      <c r="E151" s="1235" t="s">
        <v>653</v>
      </c>
      <c r="F151" s="818"/>
      <c r="G151" s="236" t="s">
        <v>1497</v>
      </c>
      <c r="H151" s="655"/>
      <c r="I151" s="236" t="s">
        <v>1498</v>
      </c>
      <c r="J151" s="41"/>
      <c r="K151" s="236" t="s">
        <v>871</v>
      </c>
      <c r="L151" s="146"/>
      <c r="M151" s="197" t="s">
        <v>1499</v>
      </c>
      <c r="N151" s="1353"/>
      <c r="O151" s="1353"/>
      <c r="P151" s="1354"/>
      <c r="Q151" s="180"/>
      <c r="S151" s="704"/>
    </row>
    <row r="152" spans="2:19" s="1232" customFormat="1" ht="18" customHeight="1" thickBot="1" x14ac:dyDescent="0.3">
      <c r="B152" s="251"/>
      <c r="C152" s="191"/>
      <c r="D152" s="1103" t="s">
        <v>1500</v>
      </c>
      <c r="E152" s="1246" t="s">
        <v>1501</v>
      </c>
      <c r="F152" s="819" t="s">
        <v>1159</v>
      </c>
      <c r="G152" s="1172"/>
      <c r="H152" s="655"/>
      <c r="I152" s="1172"/>
      <c r="J152" s="146"/>
      <c r="K152" s="1172"/>
      <c r="L152" s="146"/>
      <c r="M152" s="1106"/>
      <c r="N152" s="1353"/>
      <c r="O152" s="1353"/>
      <c r="P152" s="1354"/>
      <c r="Q152" s="180"/>
      <c r="S152" s="704"/>
    </row>
    <row r="153" spans="2:19" s="1232" customFormat="1" ht="25.5" customHeight="1" thickBot="1" x14ac:dyDescent="0.3">
      <c r="B153" s="251"/>
      <c r="C153" s="191"/>
      <c r="D153" s="1129"/>
      <c r="E153" s="146"/>
      <c r="F153" s="199"/>
      <c r="G153" s="837"/>
      <c r="H153" s="191"/>
      <c r="I153" s="244"/>
      <c r="J153" s="836"/>
      <c r="K153" s="223"/>
      <c r="L153" s="191"/>
      <c r="M153" s="1237"/>
      <c r="N153" s="1353"/>
      <c r="O153" s="1353"/>
      <c r="P153" s="1354"/>
      <c r="Q153" s="180"/>
      <c r="S153" s="704"/>
    </row>
    <row r="154" spans="2:19" s="1232" customFormat="1" ht="18" customHeight="1" thickBot="1" x14ac:dyDescent="0.3">
      <c r="B154" s="251"/>
      <c r="C154" s="191"/>
      <c r="D154" s="1130" t="s">
        <v>1502</v>
      </c>
      <c r="E154" s="1109" t="str">
        <f>IF(Welcome!$D$6="New",IF('Required Info to Submit'!F$14="","",'Required Info to Submit'!F$14),"")</f>
        <v/>
      </c>
      <c r="F154" s="1236"/>
      <c r="G154" s="236" t="s">
        <v>1513</v>
      </c>
      <c r="H154" s="1239"/>
      <c r="I154" s="236" t="s">
        <v>1595</v>
      </c>
      <c r="J154" s="146"/>
      <c r="K154" s="236" t="s">
        <v>1596</v>
      </c>
      <c r="L154" s="146"/>
      <c r="M154" s="236" t="s">
        <v>1519</v>
      </c>
      <c r="N154" s="1237"/>
      <c r="O154" s="6" t="s">
        <v>493</v>
      </c>
      <c r="P154" s="1238"/>
      <c r="Q154" s="180"/>
      <c r="S154" s="704"/>
    </row>
    <row r="155" spans="2:19" s="1232" customFormat="1" ht="17.25" customHeight="1" thickBot="1" x14ac:dyDescent="0.3">
      <c r="B155" s="251"/>
      <c r="C155" s="191"/>
      <c r="D155" s="1130" t="s">
        <v>1503</v>
      </c>
      <c r="E155" s="1109" t="str">
        <f>IF(Welcome!$D$6="New",IF('Required Info to Submit'!F$17="","",'Required Info to Submit'!F$17),"")</f>
        <v/>
      </c>
      <c r="F155" s="818"/>
      <c r="G155" s="1242">
        <f>IFERROR(I155+K155,0)</f>
        <v>0</v>
      </c>
      <c r="H155" s="191"/>
      <c r="I155" s="1241"/>
      <c r="J155" s="146"/>
      <c r="K155" s="1247"/>
      <c r="L155" s="146"/>
      <c r="M155" s="1241"/>
      <c r="N155" s="146"/>
      <c r="O155" s="1128">
        <f>IFERROR(IF($E152="Yes",G155/$H$4,0),0)</f>
        <v>0</v>
      </c>
      <c r="P155" s="252"/>
      <c r="Q155" s="180"/>
      <c r="S155" s="704"/>
    </row>
    <row r="156" spans="2:19" s="1232" customFormat="1" ht="18" customHeight="1" thickBot="1" x14ac:dyDescent="0.3">
      <c r="B156" s="251"/>
      <c r="C156" s="191"/>
      <c r="D156" s="1129"/>
      <c r="E156" s="191"/>
      <c r="F156" s="819" t="s">
        <v>1159</v>
      </c>
      <c r="G156" s="1129"/>
      <c r="H156" s="191"/>
      <c r="I156" s="1245"/>
      <c r="J156" s="191"/>
      <c r="K156" s="1129"/>
      <c r="L156" s="191"/>
      <c r="M156" s="146"/>
      <c r="N156" s="146"/>
      <c r="O156" s="146"/>
      <c r="P156" s="252"/>
      <c r="Q156" s="180"/>
    </row>
    <row r="157" spans="2:19" s="1232" customFormat="1" ht="33" customHeight="1" x14ac:dyDescent="0.25">
      <c r="B157" s="251"/>
      <c r="C157" s="191"/>
      <c r="D157" s="1347" t="s">
        <v>1597</v>
      </c>
      <c r="E157" s="1348"/>
      <c r="F157" s="819"/>
      <c r="G157" s="236" t="s">
        <v>1599</v>
      </c>
      <c r="H157" s="146"/>
      <c r="I157" s="236" t="s">
        <v>1600</v>
      </c>
      <c r="J157" s="146"/>
      <c r="K157" s="236" t="s">
        <v>1219</v>
      </c>
      <c r="L157" s="226"/>
      <c r="M157" s="236" t="s">
        <v>1601</v>
      </c>
      <c r="N157" s="146"/>
      <c r="O157" s="236" t="s">
        <v>1218</v>
      </c>
      <c r="P157" s="252"/>
      <c r="Q157" s="180"/>
    </row>
    <row r="158" spans="2:19" s="1232" customFormat="1" ht="18" customHeight="1" thickBot="1" x14ac:dyDescent="0.3">
      <c r="B158" s="251"/>
      <c r="C158" s="191"/>
      <c r="D158" s="1349" t="s">
        <v>1598</v>
      </c>
      <c r="E158" s="1350"/>
      <c r="F158" s="819"/>
      <c r="G158" s="1243"/>
      <c r="H158" s="146"/>
      <c r="I158" s="1241"/>
      <c r="J158" s="146"/>
      <c r="K158" s="1244"/>
      <c r="L158" s="226"/>
      <c r="M158" s="1244"/>
      <c r="N158" s="146"/>
      <c r="O158" s="1241"/>
      <c r="P158" s="252"/>
      <c r="Q158" s="180"/>
    </row>
    <row r="159" spans="2:19" s="177" customFormat="1" ht="21" customHeight="1" x14ac:dyDescent="0.25">
      <c r="B159" s="253"/>
      <c r="C159" s="207"/>
      <c r="D159" s="1150"/>
      <c r="E159" s="207"/>
      <c r="F159" s="820"/>
      <c r="G159" s="820"/>
      <c r="H159" s="207"/>
      <c r="I159" s="207"/>
      <c r="J159" s="207"/>
      <c r="K159" s="207"/>
      <c r="L159" s="207"/>
      <c r="M159" s="207"/>
      <c r="N159" s="207"/>
      <c r="O159" s="207"/>
      <c r="P159" s="258"/>
      <c r="Q159" s="259"/>
    </row>
    <row r="160" spans="2:19" s="177" customFormat="1" ht="9" customHeight="1" x14ac:dyDescent="0.25">
      <c r="C160" s="181"/>
      <c r="D160" s="1095"/>
      <c r="E160" s="181"/>
      <c r="F160" s="181"/>
      <c r="G160" s="181"/>
      <c r="H160" s="181"/>
      <c r="I160" s="181"/>
      <c r="J160" s="181"/>
      <c r="K160" s="181"/>
      <c r="L160" s="181"/>
      <c r="M160" s="181"/>
      <c r="N160" s="181"/>
      <c r="O160" s="181"/>
      <c r="P160" s="729"/>
      <c r="Q160" s="259"/>
    </row>
    <row r="161" spans="2:19" s="1232" customFormat="1" ht="20.25" hidden="1" customHeight="1" thickBot="1" x14ac:dyDescent="0.3">
      <c r="B161" s="256"/>
      <c r="C161" s="186"/>
      <c r="D161" s="1355" t="s">
        <v>1594</v>
      </c>
      <c r="E161" s="1355"/>
      <c r="F161" s="219"/>
      <c r="G161" s="243"/>
      <c r="H161" s="186"/>
      <c r="I161" s="244"/>
      <c r="J161" s="222"/>
      <c r="K161" s="223"/>
      <c r="L161" s="186"/>
      <c r="M161" s="223"/>
      <c r="N161" s="1351" t="str">
        <f>IF(AND(G166&gt;=10000,G166&lt;100000),"The amount entered is $10,000 or above. This model can be submitted but will require additional approved before the agreement can be generated. Business Context will need to be provided",IF(G166&gt;=100000,"The amount is greater than $1,000,000. Please use the custom modeling process in order to accomodate this request",""))</f>
        <v/>
      </c>
      <c r="O161" s="1351"/>
      <c r="P161" s="1352"/>
      <c r="Q161" s="180"/>
      <c r="S161" s="704"/>
    </row>
    <row r="162" spans="2:19" s="1232" customFormat="1" ht="17.25" hidden="1" customHeight="1" thickBot="1" x14ac:dyDescent="0.3">
      <c r="B162" s="251"/>
      <c r="C162" s="191"/>
      <c r="D162" s="1124" t="s">
        <v>528</v>
      </c>
      <c r="E162" s="1235" t="s">
        <v>653</v>
      </c>
      <c r="F162" s="818"/>
      <c r="G162" s="236" t="s">
        <v>1497</v>
      </c>
      <c r="H162" s="655"/>
      <c r="I162" s="236" t="s">
        <v>1498</v>
      </c>
      <c r="J162" s="41"/>
      <c r="K162" s="236" t="s">
        <v>871</v>
      </c>
      <c r="L162" s="146"/>
      <c r="M162" s="197" t="s">
        <v>1499</v>
      </c>
      <c r="N162" s="1353"/>
      <c r="O162" s="1353"/>
      <c r="P162" s="1354"/>
      <c r="Q162" s="180"/>
      <c r="S162" s="704"/>
    </row>
    <row r="163" spans="2:19" s="1232" customFormat="1" ht="18" hidden="1" customHeight="1" thickBot="1" x14ac:dyDescent="0.3">
      <c r="B163" s="251"/>
      <c r="C163" s="191"/>
      <c r="D163" s="1103" t="s">
        <v>1500</v>
      </c>
      <c r="E163" s="1246" t="s">
        <v>1501</v>
      </c>
      <c r="F163" s="819" t="s">
        <v>1159</v>
      </c>
      <c r="G163" s="1172"/>
      <c r="H163" s="655"/>
      <c r="I163" s="1172"/>
      <c r="J163" s="146"/>
      <c r="K163" s="1172"/>
      <c r="L163" s="146"/>
      <c r="M163" s="1106"/>
      <c r="N163" s="1353"/>
      <c r="O163" s="1353"/>
      <c r="P163" s="1354"/>
      <c r="Q163" s="180"/>
      <c r="S163" s="704"/>
    </row>
    <row r="164" spans="2:19" s="1232" customFormat="1" ht="25.5" hidden="1" customHeight="1" thickBot="1" x14ac:dyDescent="0.3">
      <c r="B164" s="251"/>
      <c r="C164" s="191"/>
      <c r="D164" s="1129"/>
      <c r="E164" s="146"/>
      <c r="F164" s="199"/>
      <c r="G164" s="837"/>
      <c r="H164" s="191"/>
      <c r="I164" s="244"/>
      <c r="J164" s="836"/>
      <c r="K164" s="223"/>
      <c r="L164" s="191"/>
      <c r="M164" s="1237"/>
      <c r="N164" s="1353"/>
      <c r="O164" s="1353"/>
      <c r="P164" s="1354"/>
      <c r="Q164" s="180"/>
      <c r="S164" s="704"/>
    </row>
    <row r="165" spans="2:19" s="1232" customFormat="1" ht="18" hidden="1" customHeight="1" thickBot="1" x14ac:dyDescent="0.3">
      <c r="B165" s="251"/>
      <c r="C165" s="191"/>
      <c r="D165" s="1130" t="s">
        <v>1502</v>
      </c>
      <c r="E165" s="1109" t="str">
        <f>IF(Welcome!$D$6="New",IF('Required Info to Submit'!F$14="","",'Required Info to Submit'!F$14),"")</f>
        <v/>
      </c>
      <c r="F165" s="1236"/>
      <c r="G165" s="236" t="s">
        <v>1513</v>
      </c>
      <c r="H165" s="1239"/>
      <c r="I165" s="236" t="s">
        <v>1595</v>
      </c>
      <c r="J165" s="146"/>
      <c r="K165" s="236" t="s">
        <v>1596</v>
      </c>
      <c r="L165" s="146"/>
      <c r="M165" s="236" t="s">
        <v>1519</v>
      </c>
      <c r="N165" s="1237"/>
      <c r="O165" s="6" t="s">
        <v>493</v>
      </c>
      <c r="P165" s="1238"/>
      <c r="Q165" s="180"/>
      <c r="S165" s="704"/>
    </row>
    <row r="166" spans="2:19" s="1232" customFormat="1" ht="17.25" hidden="1" customHeight="1" thickBot="1" x14ac:dyDescent="0.3">
      <c r="B166" s="251"/>
      <c r="C166" s="191"/>
      <c r="D166" s="1130" t="s">
        <v>1503</v>
      </c>
      <c r="E166" s="1109" t="str">
        <f>IF(Welcome!$D$6="New",IF('Required Info to Submit'!F$17="","",'Required Info to Submit'!F$17),"")</f>
        <v/>
      </c>
      <c r="F166" s="818"/>
      <c r="G166" s="1242">
        <f>IFERROR(I166+K166,0)</f>
        <v>0</v>
      </c>
      <c r="H166" s="191"/>
      <c r="I166" s="1241"/>
      <c r="J166" s="146"/>
      <c r="K166" s="1241"/>
      <c r="L166" s="146"/>
      <c r="M166" s="1241"/>
      <c r="N166" s="146"/>
      <c r="O166" s="1128">
        <f>IFERROR(IF($E163="Yes",G166/$H$4,0),0)</f>
        <v>0</v>
      </c>
      <c r="P166" s="252"/>
      <c r="Q166" s="180"/>
      <c r="S166" s="704"/>
    </row>
    <row r="167" spans="2:19" s="1232" customFormat="1" ht="18" hidden="1" customHeight="1" x14ac:dyDescent="0.25">
      <c r="B167" s="251"/>
      <c r="C167" s="191"/>
      <c r="D167" s="1129"/>
      <c r="E167" s="191"/>
      <c r="F167" s="819" t="s">
        <v>1159</v>
      </c>
      <c r="G167" s="1129"/>
      <c r="H167" s="191"/>
      <c r="I167" s="1245"/>
      <c r="J167" s="191"/>
      <c r="K167" s="1129"/>
      <c r="L167" s="191"/>
      <c r="M167" s="146"/>
      <c r="N167" s="146"/>
      <c r="O167" s="146"/>
      <c r="P167" s="252"/>
      <c r="Q167" s="180"/>
    </row>
    <row r="168" spans="2:19" s="1232" customFormat="1" ht="33" hidden="1" customHeight="1" x14ac:dyDescent="0.25">
      <c r="B168" s="251"/>
      <c r="C168" s="191"/>
      <c r="D168" s="1346" t="s">
        <v>1597</v>
      </c>
      <c r="E168" s="1346"/>
      <c r="F168" s="819"/>
      <c r="G168" s="236" t="s">
        <v>1599</v>
      </c>
      <c r="H168" s="146"/>
      <c r="I168" s="236" t="s">
        <v>1600</v>
      </c>
      <c r="J168" s="146"/>
      <c r="K168" s="236" t="s">
        <v>1219</v>
      </c>
      <c r="L168" s="226"/>
      <c r="M168" s="236" t="s">
        <v>1601</v>
      </c>
      <c r="N168" s="146"/>
      <c r="O168" s="236" t="s">
        <v>1218</v>
      </c>
      <c r="P168" s="252"/>
      <c r="Q168" s="180"/>
    </row>
    <row r="169" spans="2:19" s="1232" customFormat="1" ht="18" hidden="1" customHeight="1" x14ac:dyDescent="0.25">
      <c r="B169" s="251"/>
      <c r="C169" s="191"/>
      <c r="D169" s="1346" t="s">
        <v>1598</v>
      </c>
      <c r="E169" s="1346"/>
      <c r="F169" s="819"/>
      <c r="G169" s="1243"/>
      <c r="H169" s="146"/>
      <c r="I169" s="1241"/>
      <c r="J169" s="146"/>
      <c r="K169" s="1244"/>
      <c r="L169" s="226"/>
      <c r="M169" s="1244"/>
      <c r="N169" s="146"/>
      <c r="O169" s="1241"/>
      <c r="P169" s="252"/>
      <c r="Q169" s="180"/>
    </row>
    <row r="170" spans="2:19" s="177" customFormat="1" ht="21" hidden="1" customHeight="1" x14ac:dyDescent="0.25">
      <c r="B170" s="253"/>
      <c r="C170" s="207"/>
      <c r="D170" s="1150"/>
      <c r="E170" s="207"/>
      <c r="F170" s="820"/>
      <c r="G170" s="820"/>
      <c r="H170" s="207"/>
      <c r="I170" s="207"/>
      <c r="J170" s="207"/>
      <c r="K170" s="207"/>
      <c r="L170" s="207"/>
      <c r="M170" s="207"/>
      <c r="N170" s="207"/>
      <c r="O170" s="207"/>
      <c r="P170" s="258"/>
      <c r="Q170" s="259"/>
    </row>
    <row r="171" spans="2:19" s="177" customFormat="1" ht="9" hidden="1" customHeight="1" x14ac:dyDescent="0.25">
      <c r="C171" s="181"/>
      <c r="D171" s="1095"/>
      <c r="E171" s="181"/>
      <c r="F171" s="181"/>
      <c r="G171" s="181"/>
      <c r="H171" s="181"/>
      <c r="I171" s="181"/>
      <c r="J171" s="181"/>
      <c r="K171" s="181"/>
      <c r="L171" s="181"/>
      <c r="M171" s="181"/>
      <c r="N171" s="181"/>
      <c r="O171" s="181"/>
      <c r="P171" s="729"/>
      <c r="Q171" s="259"/>
    </row>
    <row r="172" spans="2:19" s="1075" customFormat="1" ht="20.25" customHeight="1" thickBot="1" x14ac:dyDescent="0.3">
      <c r="B172" s="256"/>
      <c r="C172" s="186"/>
      <c r="D172" s="1355" t="s">
        <v>1216</v>
      </c>
      <c r="E172" s="1355"/>
      <c r="F172" s="219"/>
      <c r="G172" s="243"/>
      <c r="H172" s="186"/>
      <c r="I172" s="244"/>
      <c r="J172" s="222"/>
      <c r="K172" s="223"/>
      <c r="L172" s="186"/>
      <c r="M172" s="223"/>
      <c r="N172" s="1351" t="str">
        <f>IF(AND(G177&gt;=10000,G177&lt;100000),"The amount entered is $10,000 or above. This model can be submitted but will require additional approved before the agreement can be generated. Business Context will need to be provided",IF(G177&gt;=100000,"The amount is greater than $1,000,000. Please use the custom modeling process in order to accomodate this request",""))</f>
        <v/>
      </c>
      <c r="O172" s="1351"/>
      <c r="P172" s="1352"/>
      <c r="Q172" s="180"/>
      <c r="S172" s="704"/>
    </row>
    <row r="173" spans="2:19" s="1075" customFormat="1" ht="18" customHeight="1" thickBot="1" x14ac:dyDescent="0.3">
      <c r="B173" s="251"/>
      <c r="C173" s="191"/>
      <c r="D173" s="1124" t="s">
        <v>528</v>
      </c>
      <c r="E173" s="1169" t="s">
        <v>653</v>
      </c>
      <c r="F173" s="818"/>
      <c r="G173" s="197" t="s">
        <v>1497</v>
      </c>
      <c r="H173" s="191"/>
      <c r="I173" s="197" t="s">
        <v>1498</v>
      </c>
      <c r="J173" s="41"/>
      <c r="K173" s="197" t="s">
        <v>1514</v>
      </c>
      <c r="L173" s="191"/>
      <c r="M173" s="197" t="s">
        <v>1499</v>
      </c>
      <c r="N173" s="1353"/>
      <c r="O173" s="1353"/>
      <c r="P173" s="1354"/>
      <c r="Q173" s="180"/>
      <c r="S173" s="704"/>
    </row>
    <row r="174" spans="2:19" s="1075" customFormat="1" ht="18" customHeight="1" thickBot="1" x14ac:dyDescent="0.3">
      <c r="B174" s="251"/>
      <c r="C174" s="191"/>
      <c r="D174" s="1103" t="s">
        <v>1500</v>
      </c>
      <c r="E174" s="1173" t="s">
        <v>1501</v>
      </c>
      <c r="F174" s="1240"/>
      <c r="G174" s="1253"/>
      <c r="H174" s="191"/>
      <c r="I174" s="1172"/>
      <c r="J174" s="1240"/>
      <c r="K174" s="1253"/>
      <c r="L174" s="191"/>
      <c r="M174" s="1106"/>
      <c r="N174" s="1353"/>
      <c r="O174" s="1353"/>
      <c r="P174" s="1354"/>
      <c r="Q174" s="180"/>
      <c r="S174" s="704"/>
    </row>
    <row r="175" spans="2:19" s="1075" customFormat="1" ht="17.25" customHeight="1" thickBot="1" x14ac:dyDescent="0.3">
      <c r="B175" s="251"/>
      <c r="C175" s="191"/>
      <c r="D175" s="1129"/>
      <c r="E175" s="191"/>
      <c r="F175" s="146"/>
      <c r="G175" s="191"/>
      <c r="H175" s="191"/>
      <c r="I175" s="191"/>
      <c r="J175" s="191"/>
      <c r="K175" s="191"/>
      <c r="L175" s="1249"/>
      <c r="M175" s="191"/>
      <c r="N175" s="1353"/>
      <c r="O175" s="1353"/>
      <c r="P175" s="1354"/>
      <c r="Q175" s="180"/>
      <c r="S175" s="701" t="str">
        <f>IF($E175="NO","",IF($I174="Select Payment Method","X",""))</f>
        <v/>
      </c>
    </row>
    <row r="176" spans="2:19" s="1075" customFormat="1" ht="18" customHeight="1" thickBot="1" x14ac:dyDescent="0.3">
      <c r="B176" s="251"/>
      <c r="C176" s="191"/>
      <c r="D176" s="1130" t="s">
        <v>1502</v>
      </c>
      <c r="E176" s="1109" t="str">
        <f>IF(Welcome!$D$6="New",IF('Required Info to Submit'!F$14="","",'Required Info to Submit'!F$14),"")</f>
        <v/>
      </c>
      <c r="F176" s="818"/>
      <c r="G176" s="236" t="s">
        <v>1513</v>
      </c>
      <c r="H176" s="191"/>
      <c r="I176" s="197" t="s">
        <v>1602</v>
      </c>
      <c r="J176" s="1383"/>
      <c r="K176" s="197" t="s">
        <v>751</v>
      </c>
      <c r="L176" s="1383"/>
      <c r="M176" s="197" t="s">
        <v>1603</v>
      </c>
      <c r="N176" s="146"/>
      <c r="O176" s="6" t="s">
        <v>493</v>
      </c>
      <c r="P176" s="252"/>
      <c r="Q176" s="180"/>
      <c r="S176" s="704"/>
    </row>
    <row r="177" spans="2:19" s="1075" customFormat="1" ht="18" customHeight="1" thickBot="1" x14ac:dyDescent="0.3">
      <c r="B177" s="251"/>
      <c r="C177" s="191"/>
      <c r="D177" s="1130" t="s">
        <v>1503</v>
      </c>
      <c r="E177" s="1109" t="str">
        <f>IF(Welcome!$D$6="New",IF('Required Info to Submit'!F$17="","",'Required Info to Submit'!F$17),"")</f>
        <v/>
      </c>
      <c r="F177" s="819" t="s">
        <v>924</v>
      </c>
      <c r="G177" s="1241"/>
      <c r="H177" s="191"/>
      <c r="I177" s="1254">
        <v>1</v>
      </c>
      <c r="J177" s="1384"/>
      <c r="K177" s="1241"/>
      <c r="L177" s="1385"/>
      <c r="M177" s="1241"/>
      <c r="N177" s="146"/>
      <c r="O177" s="1128">
        <f>IFERROR(IF($E$173="Yes",G177/$G$4,0),0)</f>
        <v>0</v>
      </c>
      <c r="P177" s="252"/>
      <c r="Q177" s="180"/>
      <c r="S177" s="812"/>
    </row>
    <row r="178" spans="2:19" s="1234" customFormat="1" ht="18" customHeight="1" x14ac:dyDescent="0.25">
      <c r="B178" s="251"/>
      <c r="C178" s="191"/>
      <c r="D178" s="821"/>
      <c r="E178" s="821"/>
      <c r="F178" s="819"/>
      <c r="G178" s="656"/>
      <c r="H178" s="655"/>
      <c r="I178" s="1254">
        <v>2</v>
      </c>
      <c r="J178" s="1250"/>
      <c r="K178" s="1241"/>
      <c r="L178" s="1251"/>
      <c r="M178" s="1241"/>
      <c r="N178" s="1240"/>
      <c r="O178" s="1237"/>
      <c r="P178" s="252"/>
      <c r="Q178" s="180"/>
      <c r="S178" s="812"/>
    </row>
    <row r="179" spans="2:19" s="1234" customFormat="1" ht="18" customHeight="1" x14ac:dyDescent="0.25">
      <c r="B179" s="251"/>
      <c r="C179" s="191"/>
      <c r="D179" s="821"/>
      <c r="E179" s="821"/>
      <c r="F179" s="819"/>
      <c r="G179" s="197" t="s">
        <v>1506</v>
      </c>
      <c r="H179" s="655"/>
      <c r="I179" s="1254">
        <v>3</v>
      </c>
      <c r="J179" s="1250"/>
      <c r="K179" s="1247"/>
      <c r="L179" s="1251"/>
      <c r="M179" s="1247"/>
      <c r="N179" s="1240"/>
      <c r="O179" s="1237"/>
      <c r="P179" s="252"/>
      <c r="Q179" s="180"/>
      <c r="S179" s="812"/>
    </row>
    <row r="180" spans="2:19" s="1234" customFormat="1" ht="18" customHeight="1" x14ac:dyDescent="0.25">
      <c r="B180" s="251"/>
      <c r="C180" s="191"/>
      <c r="D180" s="821"/>
      <c r="E180" s="821"/>
      <c r="F180" s="819"/>
      <c r="G180" s="1255">
        <f>IFERROR(G177/(H5*H9),0)</f>
        <v>0</v>
      </c>
      <c r="H180" s="655"/>
      <c r="I180" s="1254">
        <v>4</v>
      </c>
      <c r="J180" s="1250"/>
      <c r="K180" s="1247"/>
      <c r="L180" s="1251"/>
      <c r="M180" s="1247"/>
      <c r="N180" s="1240"/>
      <c r="O180" s="1237"/>
      <c r="P180" s="252"/>
      <c r="Q180" s="180"/>
      <c r="S180" s="812"/>
    </row>
    <row r="181" spans="2:19" s="1234" customFormat="1" ht="18" customHeight="1" x14ac:dyDescent="0.25">
      <c r="B181" s="251"/>
      <c r="C181" s="191"/>
      <c r="D181" s="821"/>
      <c r="E181" s="821"/>
      <c r="F181" s="819"/>
      <c r="G181" s="656"/>
      <c r="H181" s="655"/>
      <c r="I181" s="1254">
        <v>5</v>
      </c>
      <c r="J181" s="1250"/>
      <c r="K181" s="1247"/>
      <c r="L181" s="1251"/>
      <c r="M181" s="1247"/>
      <c r="N181" s="1240"/>
      <c r="O181" s="1237"/>
      <c r="P181" s="252"/>
      <c r="Q181" s="180"/>
      <c r="S181" s="812"/>
    </row>
    <row r="182" spans="2:19" s="177" customFormat="1" ht="21" customHeight="1" x14ac:dyDescent="0.25">
      <c r="B182" s="253"/>
      <c r="C182" s="207"/>
      <c r="D182" s="1150"/>
      <c r="E182" s="207"/>
      <c r="F182" s="820"/>
      <c r="G182" s="820"/>
      <c r="H182" s="207"/>
      <c r="I182" s="1248"/>
      <c r="J182" s="207"/>
      <c r="K182" s="1252">
        <f>SUM(K177:K181)</f>
        <v>0</v>
      </c>
      <c r="L182" s="207"/>
      <c r="M182" s="207"/>
      <c r="N182" s="207"/>
      <c r="O182" s="207"/>
      <c r="P182" s="258"/>
      <c r="Q182" s="259"/>
    </row>
    <row r="183" spans="2:19" s="1075" customFormat="1" ht="10.15" customHeight="1" x14ac:dyDescent="0.25">
      <c r="C183" s="178"/>
      <c r="D183" s="1095"/>
      <c r="E183" s="178"/>
      <c r="F183" s="213"/>
      <c r="G183" s="241"/>
      <c r="H183" s="178"/>
      <c r="I183" s="242"/>
      <c r="J183" s="217"/>
      <c r="K183" s="218"/>
      <c r="L183" s="178"/>
      <c r="M183" s="218"/>
      <c r="N183" s="218"/>
      <c r="O183" s="218"/>
      <c r="P183" s="255"/>
      <c r="Q183" s="180"/>
      <c r="S183" s="704"/>
    </row>
    <row r="184" spans="2:19" s="1075" customFormat="1" ht="20.25" hidden="1" customHeight="1" thickBot="1" x14ac:dyDescent="0.3">
      <c r="B184" s="256"/>
      <c r="C184" s="186"/>
      <c r="D184" s="1355" t="s">
        <v>1216</v>
      </c>
      <c r="E184" s="1355"/>
      <c r="F184" s="219"/>
      <c r="G184" s="243"/>
      <c r="H184" s="186"/>
      <c r="I184" s="244"/>
      <c r="J184" s="222"/>
      <c r="K184" s="223"/>
      <c r="L184" s="186"/>
      <c r="M184" s="223"/>
      <c r="N184" s="1351" t="str">
        <f>IF(AND(G189&gt;=10000,G189&lt;100000),"The amount entered is $10,000 or above. This model can be submitted but will require additional approved before the agreement can be generated. Business Context will need to be provided",IF(G189&gt;=100000,"The amount is greater than $1,000,000. Please use the custom modeling process in order to accomodate this request",""))</f>
        <v/>
      </c>
      <c r="O184" s="1351"/>
      <c r="P184" s="1352"/>
      <c r="Q184" s="180"/>
      <c r="S184" s="704"/>
    </row>
    <row r="185" spans="2:19" s="1075" customFormat="1" ht="18" hidden="1" customHeight="1" thickBot="1" x14ac:dyDescent="0.3">
      <c r="B185" s="251"/>
      <c r="C185" s="191"/>
      <c r="D185" s="1124" t="s">
        <v>528</v>
      </c>
      <c r="E185" s="1169" t="s">
        <v>653</v>
      </c>
      <c r="F185" s="818"/>
      <c r="G185" s="197" t="s">
        <v>1497</v>
      </c>
      <c r="H185" s="191"/>
      <c r="I185" s="197" t="s">
        <v>1498</v>
      </c>
      <c r="J185" s="41"/>
      <c r="K185" s="197" t="s">
        <v>1514</v>
      </c>
      <c r="L185" s="191"/>
      <c r="M185" s="197" t="s">
        <v>1499</v>
      </c>
      <c r="N185" s="1353"/>
      <c r="O185" s="1353"/>
      <c r="P185" s="1354"/>
      <c r="Q185" s="180"/>
      <c r="S185" s="704"/>
    </row>
    <row r="186" spans="2:19" s="1075" customFormat="1" ht="18" hidden="1" customHeight="1" thickBot="1" x14ac:dyDescent="0.3">
      <c r="B186" s="251"/>
      <c r="C186" s="191"/>
      <c r="D186" s="1103" t="s">
        <v>1500</v>
      </c>
      <c r="E186" s="1173" t="s">
        <v>1501</v>
      </c>
      <c r="F186" s="819" t="s">
        <v>924</v>
      </c>
      <c r="G186" s="1253"/>
      <c r="H186" s="191"/>
      <c r="I186" s="1172"/>
      <c r="J186" s="1240"/>
      <c r="K186" s="1253"/>
      <c r="L186" s="191"/>
      <c r="M186" s="1106"/>
      <c r="N186" s="1353"/>
      <c r="O186" s="1353"/>
      <c r="P186" s="1354"/>
      <c r="Q186" s="180"/>
      <c r="S186" s="704"/>
    </row>
    <row r="187" spans="2:19" s="1075" customFormat="1" ht="18" hidden="1" customHeight="1" thickBot="1" x14ac:dyDescent="0.3">
      <c r="B187" s="251"/>
      <c r="C187" s="191"/>
      <c r="D187" s="1129"/>
      <c r="E187" s="191"/>
      <c r="F187" s="1240"/>
      <c r="G187" s="191"/>
      <c r="H187" s="191"/>
      <c r="I187" s="191"/>
      <c r="J187" s="191"/>
      <c r="K187" s="191"/>
      <c r="L187" s="1249"/>
      <c r="M187" s="191"/>
      <c r="N187" s="1353"/>
      <c r="O187" s="1353"/>
      <c r="P187" s="1354"/>
      <c r="Q187" s="180"/>
      <c r="S187" s="704"/>
    </row>
    <row r="188" spans="2:19" s="1075" customFormat="1" ht="18" hidden="1" customHeight="1" thickBot="1" x14ac:dyDescent="0.3">
      <c r="B188" s="251"/>
      <c r="C188" s="191"/>
      <c r="D188" s="1130" t="s">
        <v>1502</v>
      </c>
      <c r="E188" s="1109" t="str">
        <f>IF(Welcome!$D$6="New",IF('Required Info to Submit'!F$14="","",'Required Info to Submit'!F$14),"")</f>
        <v/>
      </c>
      <c r="F188" s="818"/>
      <c r="G188" s="236" t="s">
        <v>1513</v>
      </c>
      <c r="H188" s="191"/>
      <c r="I188" s="197" t="s">
        <v>1602</v>
      </c>
      <c r="J188" s="1383"/>
      <c r="K188" s="197" t="s">
        <v>751</v>
      </c>
      <c r="L188" s="1383"/>
      <c r="M188" s="197" t="s">
        <v>1603</v>
      </c>
      <c r="N188" s="1240"/>
      <c r="O188" s="6" t="s">
        <v>493</v>
      </c>
      <c r="P188" s="252"/>
      <c r="Q188" s="180"/>
      <c r="S188" s="704"/>
    </row>
    <row r="189" spans="2:19" s="1075" customFormat="1" ht="18" hidden="1" customHeight="1" thickBot="1" x14ac:dyDescent="0.3">
      <c r="B189" s="251"/>
      <c r="C189" s="191"/>
      <c r="D189" s="1130" t="s">
        <v>1503</v>
      </c>
      <c r="E189" s="1109" t="str">
        <f>IF(Welcome!$D$6="New",IF('Required Info to Submit'!F$17="","",'Required Info to Submit'!F$17),"")</f>
        <v/>
      </c>
      <c r="F189" s="819" t="s">
        <v>924</v>
      </c>
      <c r="G189" s="1241"/>
      <c r="H189" s="191"/>
      <c r="I189" s="1254">
        <v>1</v>
      </c>
      <c r="J189" s="1384"/>
      <c r="K189" s="1241"/>
      <c r="L189" s="1385"/>
      <c r="M189" s="1241"/>
      <c r="N189" s="1240"/>
      <c r="O189" s="1128">
        <f>IFERROR(IF($E$173="Yes",G189/$G$4,0),0)</f>
        <v>0</v>
      </c>
      <c r="P189" s="252"/>
      <c r="Q189" s="180"/>
      <c r="S189" s="704"/>
    </row>
    <row r="190" spans="2:19" s="1075" customFormat="1" ht="18" hidden="1" customHeight="1" x14ac:dyDescent="0.25">
      <c r="B190" s="251"/>
      <c r="C190" s="191"/>
      <c r="D190" s="821"/>
      <c r="E190" s="821"/>
      <c r="F190" s="819"/>
      <c r="G190" s="656"/>
      <c r="H190" s="655"/>
      <c r="I190" s="1254">
        <v>2</v>
      </c>
      <c r="J190" s="1250"/>
      <c r="K190" s="1241"/>
      <c r="L190" s="1251"/>
      <c r="M190" s="1241"/>
      <c r="N190" s="1240"/>
      <c r="O190" s="1237"/>
      <c r="P190" s="252"/>
      <c r="Q190" s="180"/>
    </row>
    <row r="191" spans="2:19" s="1234" customFormat="1" ht="18" hidden="1" customHeight="1" x14ac:dyDescent="0.25">
      <c r="B191" s="251"/>
      <c r="C191" s="191"/>
      <c r="D191" s="821"/>
      <c r="E191" s="821"/>
      <c r="F191" s="819"/>
      <c r="G191" s="197" t="s">
        <v>1506</v>
      </c>
      <c r="H191" s="655"/>
      <c r="I191" s="1254">
        <v>3</v>
      </c>
      <c r="J191" s="1250"/>
      <c r="K191" s="1247"/>
      <c r="L191" s="1251"/>
      <c r="M191" s="1247"/>
      <c r="N191" s="1240"/>
      <c r="O191" s="1237"/>
      <c r="P191" s="252"/>
      <c r="Q191" s="180"/>
    </row>
    <row r="192" spans="2:19" s="1234" customFormat="1" ht="18" hidden="1" customHeight="1" x14ac:dyDescent="0.25">
      <c r="B192" s="251"/>
      <c r="C192" s="191"/>
      <c r="D192" s="821"/>
      <c r="E192" s="821"/>
      <c r="F192" s="819"/>
      <c r="G192" s="1255">
        <f>IFERROR(G189/(H5*H9),0)</f>
        <v>0</v>
      </c>
      <c r="H192" s="655"/>
      <c r="I192" s="1254">
        <v>4</v>
      </c>
      <c r="J192" s="1250"/>
      <c r="K192" s="1247"/>
      <c r="L192" s="1251"/>
      <c r="M192" s="1247"/>
      <c r="N192" s="1240"/>
      <c r="O192" s="1237"/>
      <c r="P192" s="252"/>
      <c r="Q192" s="180"/>
    </row>
    <row r="193" spans="1:22" s="1234" customFormat="1" ht="18" hidden="1" customHeight="1" x14ac:dyDescent="0.25">
      <c r="B193" s="251"/>
      <c r="C193" s="191"/>
      <c r="D193" s="821"/>
      <c r="E193" s="821"/>
      <c r="F193" s="819"/>
      <c r="G193" s="656"/>
      <c r="H193" s="655"/>
      <c r="I193" s="1254">
        <v>5</v>
      </c>
      <c r="J193" s="1250"/>
      <c r="K193" s="1247"/>
      <c r="L193" s="1251"/>
      <c r="M193" s="1247"/>
      <c r="N193" s="1240"/>
      <c r="O193" s="1237"/>
      <c r="P193" s="252"/>
      <c r="Q193" s="180"/>
    </row>
    <row r="194" spans="1:22" s="177" customFormat="1" ht="21" hidden="1" customHeight="1" x14ac:dyDescent="0.25">
      <c r="B194" s="253"/>
      <c r="C194" s="207"/>
      <c r="D194" s="1150"/>
      <c r="E194" s="207"/>
      <c r="F194" s="820"/>
      <c r="G194" s="820"/>
      <c r="H194" s="207"/>
      <c r="I194" s="1248"/>
      <c r="J194" s="207"/>
      <c r="K194" s="1252">
        <f>SUM(K189:K193)</f>
        <v>0</v>
      </c>
      <c r="L194" s="207"/>
      <c r="M194" s="207"/>
      <c r="N194" s="207"/>
      <c r="O194" s="207"/>
      <c r="P194" s="258"/>
      <c r="Q194" s="259"/>
    </row>
    <row r="195" spans="1:22" s="1075" customFormat="1" ht="10.15" hidden="1" customHeight="1" x14ac:dyDescent="0.25">
      <c r="C195" s="178"/>
      <c r="D195" s="1095"/>
      <c r="E195" s="178"/>
      <c r="F195" s="213"/>
      <c r="G195" s="241"/>
      <c r="H195" s="178"/>
      <c r="I195" s="242"/>
      <c r="J195" s="217"/>
      <c r="K195" s="218"/>
      <c r="L195" s="178"/>
      <c r="M195" s="218"/>
      <c r="N195" s="218"/>
      <c r="O195" s="218"/>
      <c r="P195" s="255"/>
      <c r="Q195" s="180"/>
      <c r="S195" s="704"/>
    </row>
    <row r="196" spans="1:22" s="177" customFormat="1" ht="20.25" customHeight="1" thickBot="1" x14ac:dyDescent="0.3">
      <c r="B196" s="256"/>
      <c r="C196" s="187"/>
      <c r="D196" s="1380" t="s">
        <v>1604</v>
      </c>
      <c r="E196" s="1380"/>
      <c r="F196" s="1256"/>
      <c r="G196" s="187"/>
      <c r="H196" s="187"/>
      <c r="I196" s="187"/>
      <c r="J196" s="187"/>
      <c r="K196" s="187"/>
      <c r="L196" s="187"/>
      <c r="M196" s="187"/>
      <c r="N196" s="187"/>
      <c r="O196" s="187"/>
      <c r="P196" s="730"/>
      <c r="Q196" s="259"/>
    </row>
    <row r="197" spans="1:22" s="177" customFormat="1" ht="17.25" customHeight="1" thickBot="1" x14ac:dyDescent="0.3">
      <c r="B197" s="251"/>
      <c r="C197" s="146"/>
      <c r="D197" s="1124" t="s">
        <v>528</v>
      </c>
      <c r="E197" s="1102" t="s">
        <v>653</v>
      </c>
      <c r="F197" s="247"/>
      <c r="G197" s="1151"/>
      <c r="H197" s="146"/>
      <c r="I197" s="197" t="s">
        <v>1498</v>
      </c>
      <c r="J197" s="41"/>
      <c r="K197" s="197" t="s">
        <v>1514</v>
      </c>
      <c r="L197" s="146"/>
      <c r="M197" s="146"/>
      <c r="N197" s="146"/>
      <c r="O197" s="146"/>
      <c r="P197" s="731"/>
      <c r="Q197" s="259"/>
    </row>
    <row r="198" spans="1:22" s="177" customFormat="1" ht="18" customHeight="1" thickBot="1" x14ac:dyDescent="0.3">
      <c r="B198" s="251"/>
      <c r="C198" s="146"/>
      <c r="D198" s="1103" t="s">
        <v>1500</v>
      </c>
      <c r="E198" s="1104" t="s">
        <v>1501</v>
      </c>
      <c r="F198" s="199"/>
      <c r="G198" s="1151"/>
      <c r="H198" s="146"/>
      <c r="I198" s="1172"/>
      <c r="J198" s="1240"/>
      <c r="K198" s="1253"/>
      <c r="L198" s="146"/>
      <c r="M198" s="146"/>
      <c r="N198" s="146"/>
      <c r="O198" s="146"/>
      <c r="P198" s="731"/>
      <c r="Q198" s="259"/>
    </row>
    <row r="199" spans="1:22" s="177" customFormat="1" ht="15" customHeight="1" thickBot="1" x14ac:dyDescent="0.3">
      <c r="B199" s="251"/>
      <c r="C199" s="146"/>
      <c r="D199" s="705"/>
      <c r="E199" s="706"/>
      <c r="F199" s="1151"/>
      <c r="G199" s="1151"/>
      <c r="H199" s="146"/>
      <c r="I199" s="191"/>
      <c r="J199" s="191"/>
      <c r="K199" s="191"/>
      <c r="L199" s="146"/>
      <c r="M199" s="146"/>
      <c r="N199" s="146"/>
      <c r="O199" s="146"/>
      <c r="P199" s="731"/>
      <c r="Q199" s="259"/>
      <c r="S199" s="701" t="str">
        <f>IF($D$204=0,"",IF($E199="NO","",IF($I198="Select Payment Method","X","")))</f>
        <v/>
      </c>
    </row>
    <row r="200" spans="1:22" s="177" customFormat="1" ht="16.5" thickBot="1" x14ac:dyDescent="0.3">
      <c r="B200" s="251"/>
      <c r="C200" s="146"/>
      <c r="D200" s="1130" t="s">
        <v>1502</v>
      </c>
      <c r="E200" s="1109" t="str">
        <f>IF(Welcome!$D$6="New",IF('Required Info to Submit'!F$14="","",'Required Info to Submit'!F$14),"")</f>
        <v/>
      </c>
      <c r="F200" s="247"/>
      <c r="G200" s="1240"/>
      <c r="H200" s="146"/>
      <c r="I200" s="1240"/>
      <c r="J200" s="1240"/>
      <c r="K200" s="197" t="s">
        <v>1506</v>
      </c>
      <c r="L200" s="191"/>
      <c r="M200" s="146"/>
      <c r="N200" s="146"/>
      <c r="O200" s="6" t="s">
        <v>493</v>
      </c>
      <c r="P200" s="731"/>
      <c r="Q200" s="259"/>
    </row>
    <row r="201" spans="1:22" s="177" customFormat="1" ht="18" customHeight="1" thickBot="1" x14ac:dyDescent="0.3">
      <c r="B201" s="251"/>
      <c r="C201" s="146"/>
      <c r="D201" s="1130" t="s">
        <v>1503</v>
      </c>
      <c r="E201" s="1109" t="str">
        <f>IF(Welcome!$D$6="New",IF('Required Info to Submit'!F$17="","",'Required Info to Submit'!F$17),"")</f>
        <v/>
      </c>
      <c r="F201" s="199"/>
      <c r="G201" s="1240"/>
      <c r="H201" s="146"/>
      <c r="I201" s="1240"/>
      <c r="J201" s="1240"/>
      <c r="K201" s="1259"/>
      <c r="L201" s="1258">
        <f>IF(G180&gt;1,1,G180)</f>
        <v>0</v>
      </c>
      <c r="M201" s="146"/>
      <c r="N201" s="146"/>
      <c r="O201" s="201">
        <f>IFERROR(IF($E199="YES",$G$201*$H$10,0),0)</f>
        <v>0</v>
      </c>
      <c r="P201" s="731"/>
      <c r="Q201" s="259"/>
    </row>
    <row r="202" spans="1:22" s="177" customFormat="1" ht="19.5" customHeight="1" x14ac:dyDescent="0.25">
      <c r="B202" s="253"/>
      <c r="C202" s="207"/>
      <c r="D202" s="1150"/>
      <c r="E202" s="207"/>
      <c r="F202" s="207"/>
      <c r="G202" s="854"/>
      <c r="H202" s="207"/>
      <c r="I202" s="207"/>
      <c r="J202" s="207"/>
      <c r="K202" s="1257" t="s">
        <v>1605</v>
      </c>
      <c r="L202" s="207"/>
      <c r="M202" s="207"/>
      <c r="N202" s="207"/>
      <c r="O202" s="207"/>
      <c r="P202" s="258"/>
      <c r="Q202" s="259"/>
    </row>
    <row r="203" spans="1:22" s="177" customFormat="1" ht="24" customHeight="1" x14ac:dyDescent="0.25">
      <c r="C203" s="181"/>
      <c r="D203" s="1098"/>
      <c r="E203" s="181"/>
      <c r="F203" s="181"/>
      <c r="G203" s="181"/>
      <c r="H203" s="181"/>
      <c r="I203" s="181"/>
      <c r="J203" s="181"/>
      <c r="K203" s="181"/>
      <c r="L203" s="181"/>
      <c r="M203" s="1167"/>
      <c r="N203" s="181"/>
      <c r="O203" s="181"/>
      <c r="P203" s="181"/>
      <c r="Q203" s="259"/>
      <c r="R203" s="181"/>
      <c r="S203" s="181"/>
      <c r="T203" s="181"/>
    </row>
    <row r="204" spans="1:22" s="260" customFormat="1" ht="24" customHeight="1" x14ac:dyDescent="0.3">
      <c r="D204" s="732">
        <f>'Customer Inputs'!$K$17</f>
        <v>0</v>
      </c>
      <c r="M204" s="1168"/>
      <c r="N204" s="261" t="s">
        <v>226</v>
      </c>
      <c r="O204" s="262">
        <f>IFERROR(O201+O190+O177+Q147+Q131+Q123+Q115+Q89+Q61+Q19,0)</f>
        <v>0</v>
      </c>
      <c r="Q204" s="263"/>
      <c r="T204" s="400"/>
      <c r="U204" s="400"/>
      <c r="V204" s="401"/>
    </row>
    <row r="205" spans="1:22" s="260" customFormat="1" ht="27.6" customHeight="1" x14ac:dyDescent="0.3">
      <c r="D205" s="1152"/>
      <c r="L205" s="261"/>
      <c r="M205" s="699" t="str">
        <f>IF(M207&gt;0,"**Select Payment Method Above**","")</f>
        <v/>
      </c>
      <c r="N205" s="699"/>
      <c r="O205" s="699"/>
      <c r="P205" s="485" t="s">
        <v>202</v>
      </c>
      <c r="Q205" s="263"/>
    </row>
    <row r="206" spans="1:22" ht="24" customHeight="1" x14ac:dyDescent="0.25">
      <c r="N206" s="261" t="s">
        <v>227</v>
      </c>
      <c r="O206" s="264">
        <f>IFERROR($O$204/'PIM Model'!$G$31,0)</f>
        <v>0</v>
      </c>
      <c r="P206" s="486">
        <v>0.05</v>
      </c>
      <c r="Q206" s="139"/>
      <c r="R206" s="1074"/>
    </row>
    <row r="207" spans="1:22" ht="24" customHeight="1" thickBot="1" x14ac:dyDescent="0.3">
      <c r="A207" s="266"/>
      <c r="B207" s="266"/>
      <c r="C207" s="266"/>
      <c r="D207" s="1153"/>
      <c r="E207" s="266"/>
      <c r="F207" s="266"/>
      <c r="G207" s="266"/>
      <c r="H207" s="266"/>
      <c r="I207" s="266"/>
      <c r="J207" s="266"/>
      <c r="K207" s="266"/>
      <c r="L207" s="667"/>
      <c r="M207" s="700">
        <f>COUNTIF($S$14:$S$202,"X")</f>
        <v>0</v>
      </c>
      <c r="N207" s="700"/>
      <c r="O207" s="700"/>
      <c r="P207" s="668"/>
      <c r="Q207" s="267"/>
      <c r="R207" s="1074"/>
    </row>
    <row r="208" spans="1:22" ht="48.6" customHeight="1" x14ac:dyDescent="0.25">
      <c r="C208" s="1381"/>
      <c r="D208" s="1381"/>
      <c r="I208" s="666"/>
      <c r="L208" s="1075"/>
      <c r="M208" s="1382"/>
      <c r="N208" s="1382"/>
      <c r="O208" s="1382"/>
      <c r="P208" s="1382"/>
      <c r="R208" s="1074"/>
    </row>
  </sheetData>
  <sheetProtection algorithmName="SHA-512" hashValue="0t2GB03hrJ+A3Dldj9KQGxvyWKw027NahIhjtn266eqTcosJnw0SOqsTv8k4Zx3syZijWQgQFea6VwU6pcevoA==" saltValue="EYL/CMak8LCeM7En4Xrn/w==" spinCount="100000" sheet="1" objects="1" scenarios="1"/>
  <mergeCells count="49">
    <mergeCell ref="N184:P187"/>
    <mergeCell ref="D196:E196"/>
    <mergeCell ref="C208:D208"/>
    <mergeCell ref="M208:P208"/>
    <mergeCell ref="D172:E172"/>
    <mergeCell ref="D184:E184"/>
    <mergeCell ref="J176:J177"/>
    <mergeCell ref="L176:L177"/>
    <mergeCell ref="J188:J189"/>
    <mergeCell ref="L188:L189"/>
    <mergeCell ref="N172:P175"/>
    <mergeCell ref="D142:E142"/>
    <mergeCell ref="D40:E40"/>
    <mergeCell ref="G40:H40"/>
    <mergeCell ref="J40:K40"/>
    <mergeCell ref="D54:E54"/>
    <mergeCell ref="D68:E68"/>
    <mergeCell ref="D82:E82"/>
    <mergeCell ref="D96:E96"/>
    <mergeCell ref="D110:E110"/>
    <mergeCell ref="D118:E118"/>
    <mergeCell ref="D126:E126"/>
    <mergeCell ref="D134:E134"/>
    <mergeCell ref="D12:E12"/>
    <mergeCell ref="G12:H12"/>
    <mergeCell ref="J12:K12"/>
    <mergeCell ref="D26:E26"/>
    <mergeCell ref="G26:H26"/>
    <mergeCell ref="J26:K26"/>
    <mergeCell ref="H10:I10"/>
    <mergeCell ref="H3:I3"/>
    <mergeCell ref="L3:M3"/>
    <mergeCell ref="H4:I4"/>
    <mergeCell ref="L4:M4"/>
    <mergeCell ref="H5:I5"/>
    <mergeCell ref="L5:M5"/>
    <mergeCell ref="H6:I6"/>
    <mergeCell ref="L6:M6"/>
    <mergeCell ref="H7:I7"/>
    <mergeCell ref="L7:M7"/>
    <mergeCell ref="H9:I9"/>
    <mergeCell ref="D168:E168"/>
    <mergeCell ref="D169:E169"/>
    <mergeCell ref="D157:E157"/>
    <mergeCell ref="D158:E158"/>
    <mergeCell ref="N150:P153"/>
    <mergeCell ref="D161:E161"/>
    <mergeCell ref="N161:P164"/>
    <mergeCell ref="D150:E150"/>
  </mergeCells>
  <conditionalFormatting sqref="O206">
    <cfRule type="expression" dxfId="354" priority="235">
      <formula>$M$207&gt;0</formula>
    </cfRule>
    <cfRule type="cellIs" dxfId="353" priority="238" operator="lessThan">
      <formula>$P$206</formula>
    </cfRule>
    <cfRule type="cellIs" dxfId="352" priority="239" operator="greaterThan">
      <formula>$P$206</formula>
    </cfRule>
  </conditionalFormatting>
  <conditionalFormatting sqref="I14">
    <cfRule type="expression" dxfId="351" priority="237">
      <formula>$E$14&lt;&gt;"Please Select"</formula>
    </cfRule>
  </conditionalFormatting>
  <conditionalFormatting sqref="G61">
    <cfRule type="expression" dxfId="350" priority="236">
      <formula>OR($E56="DS Tiered Average Invoice Dollar Qualifier",$E56="DS Threshold Average Invoice Dollar Qualifier")</formula>
    </cfRule>
  </conditionalFormatting>
  <conditionalFormatting sqref="G14">
    <cfRule type="expression" dxfId="349" priority="233">
      <formula>$E$14&lt;&gt;"Please Select"</formula>
    </cfRule>
  </conditionalFormatting>
  <conditionalFormatting sqref="G17">
    <cfRule type="expression" dxfId="348" priority="226">
      <formula>$E$15="YES"</formula>
    </cfRule>
  </conditionalFormatting>
  <conditionalFormatting sqref="G31">
    <cfRule type="expression" dxfId="347" priority="225">
      <formula>$E$15="YES"</formula>
    </cfRule>
  </conditionalFormatting>
  <conditionalFormatting sqref="G49:G51 I48:I51">
    <cfRule type="expression" dxfId="346" priority="224">
      <formula>$E$15="YES"</formula>
    </cfRule>
  </conditionalFormatting>
  <conditionalFormatting sqref="G45">
    <cfRule type="expression" dxfId="345" priority="223">
      <formula>$E$15="YES"</formula>
    </cfRule>
  </conditionalFormatting>
  <conditionalFormatting sqref="E14">
    <cfRule type="expression" dxfId="344" priority="221">
      <formula>$E$13="No"</formula>
    </cfRule>
    <cfRule type="expression" dxfId="343" priority="222">
      <formula>$E$13="Yes"</formula>
    </cfRule>
  </conditionalFormatting>
  <conditionalFormatting sqref="E28">
    <cfRule type="expression" dxfId="342" priority="219">
      <formula>$E$27="No"</formula>
    </cfRule>
    <cfRule type="expression" dxfId="341" priority="220">
      <formula>$E$27="Yes"</formula>
    </cfRule>
  </conditionalFormatting>
  <conditionalFormatting sqref="E42">
    <cfRule type="expression" dxfId="340" priority="217">
      <formula>$E$41="No"</formula>
    </cfRule>
    <cfRule type="expression" dxfId="339" priority="218">
      <formula>$E$41="Yes"</formula>
    </cfRule>
  </conditionalFormatting>
  <conditionalFormatting sqref="M14">
    <cfRule type="expression" dxfId="338" priority="214">
      <formula>$K$14&lt;&gt;"Corporate Office"</formula>
    </cfRule>
    <cfRule type="expression" dxfId="337" priority="215">
      <formula>AND($K$14="Corporate Office",$I$14="Check")</formula>
    </cfRule>
    <cfRule type="expression" dxfId="336" priority="216">
      <formula>AND($I$14="Credit Memo",$K$14="Corporate Office")</formula>
    </cfRule>
  </conditionalFormatting>
  <conditionalFormatting sqref="M28">
    <cfRule type="expression" dxfId="335" priority="211">
      <formula>$K$28&lt;&gt;"Corporate Office"</formula>
    </cfRule>
    <cfRule type="expression" dxfId="334" priority="212">
      <formula>AND($K$28="Corporate Office",$I$28="Check")</formula>
    </cfRule>
    <cfRule type="expression" dxfId="333" priority="213">
      <formula>AND($I$28="Credit Memo",$K$28="Corporate Office")</formula>
    </cfRule>
  </conditionalFormatting>
  <conditionalFormatting sqref="M42">
    <cfRule type="expression" dxfId="332" priority="208">
      <formula>$K$42&lt;&gt;"Corporate Office"</formula>
    </cfRule>
    <cfRule type="expression" dxfId="331" priority="209">
      <formula>AND($K$42="Corporate Office",$I$42="Check")</formula>
    </cfRule>
    <cfRule type="expression" dxfId="330" priority="210">
      <formula>AND($I$42="Credit Memo",$K$42="Corporate Office")</formula>
    </cfRule>
  </conditionalFormatting>
  <conditionalFormatting sqref="I75:I79 G77:G79">
    <cfRule type="expression" dxfId="329" priority="207">
      <formula>$E$57="YES"</formula>
    </cfRule>
  </conditionalFormatting>
  <conditionalFormatting sqref="E56">
    <cfRule type="expression" dxfId="328" priority="205">
      <formula>$E$55="Yes"</formula>
    </cfRule>
    <cfRule type="expression" dxfId="327" priority="206">
      <formula>$E$55="No"</formula>
    </cfRule>
  </conditionalFormatting>
  <conditionalFormatting sqref="E70">
    <cfRule type="expression" dxfId="326" priority="203">
      <formula>$E$69="Yes"</formula>
    </cfRule>
    <cfRule type="expression" dxfId="325" priority="204">
      <formula>$E$69="No"</formula>
    </cfRule>
  </conditionalFormatting>
  <conditionalFormatting sqref="K14">
    <cfRule type="expression" dxfId="324" priority="202">
      <formula>$E$14&lt;&gt;"Please Select"</formula>
    </cfRule>
  </conditionalFormatting>
  <conditionalFormatting sqref="I56">
    <cfRule type="expression" dxfId="323" priority="201">
      <formula>$E$56&lt;&gt;"Please Select"</formula>
    </cfRule>
  </conditionalFormatting>
  <conditionalFormatting sqref="K56">
    <cfRule type="expression" dxfId="322" priority="200">
      <formula>$E$56&lt;&gt;"Please Select"</formula>
    </cfRule>
  </conditionalFormatting>
  <conditionalFormatting sqref="G56">
    <cfRule type="expression" dxfId="321" priority="199">
      <formula>$E$56&lt;&gt;"Please Select"</formula>
    </cfRule>
  </conditionalFormatting>
  <conditionalFormatting sqref="I28">
    <cfRule type="expression" dxfId="320" priority="198">
      <formula>$E$28&lt;&gt;"Please Select"</formula>
    </cfRule>
  </conditionalFormatting>
  <conditionalFormatting sqref="G28">
    <cfRule type="expression" dxfId="319" priority="197">
      <formula>$E$28&lt;&gt;"Please Select"</formula>
    </cfRule>
  </conditionalFormatting>
  <conditionalFormatting sqref="K28">
    <cfRule type="expression" dxfId="318" priority="196">
      <formula>$E$28&lt;&gt;"Please Select"</formula>
    </cfRule>
  </conditionalFormatting>
  <conditionalFormatting sqref="I42">
    <cfRule type="expression" dxfId="317" priority="195">
      <formula>$E$42&lt;&gt;"Please Select"</formula>
    </cfRule>
  </conditionalFormatting>
  <conditionalFormatting sqref="G42">
    <cfRule type="expression" dxfId="316" priority="194">
      <formula>$E$42&lt;&gt;"Please Select"</formula>
    </cfRule>
  </conditionalFormatting>
  <conditionalFormatting sqref="K42">
    <cfRule type="expression" dxfId="315" priority="193">
      <formula>$E$42&lt;&gt;"Please Select"</formula>
    </cfRule>
  </conditionalFormatting>
  <conditionalFormatting sqref="I70">
    <cfRule type="expression" dxfId="314" priority="192">
      <formula>$E$70&lt;&gt;"Please Select"</formula>
    </cfRule>
  </conditionalFormatting>
  <conditionalFormatting sqref="K70">
    <cfRule type="expression" dxfId="313" priority="191">
      <formula>$E$70&lt;&gt;"Please Select"</formula>
    </cfRule>
  </conditionalFormatting>
  <conditionalFormatting sqref="G70">
    <cfRule type="expression" dxfId="312" priority="190">
      <formula>$E$70&lt;&gt;"Please Select"</formula>
    </cfRule>
  </conditionalFormatting>
  <conditionalFormatting sqref="K75:K79">
    <cfRule type="expression" dxfId="311" priority="189">
      <formula>$E$70&lt;&gt;"Please Select"</formula>
    </cfRule>
  </conditionalFormatting>
  <conditionalFormatting sqref="K61:K65">
    <cfRule type="expression" dxfId="310" priority="188">
      <formula>$E$56&lt;&gt;"Please Select"</formula>
    </cfRule>
  </conditionalFormatting>
  <conditionalFormatting sqref="K47:K51">
    <cfRule type="expression" dxfId="309" priority="187">
      <formula>$E$42&lt;&gt;"Please Select"</formula>
    </cfRule>
  </conditionalFormatting>
  <conditionalFormatting sqref="K33:K37">
    <cfRule type="expression" dxfId="308" priority="186">
      <formula>$E$28&lt;&gt;"Please Select"</formula>
    </cfRule>
  </conditionalFormatting>
  <conditionalFormatting sqref="K19:K23">
    <cfRule type="expression" dxfId="307" priority="185">
      <formula>$E$14&lt;&gt;"Please Select"</formula>
    </cfRule>
  </conditionalFormatting>
  <conditionalFormatting sqref="M56">
    <cfRule type="expression" dxfId="306" priority="182">
      <formula>$K$56&lt;&gt;"Corporate Office"</formula>
    </cfRule>
    <cfRule type="expression" dxfId="305" priority="183">
      <formula>AND($K$56="Corporate Office",$I$56="Check")</formula>
    </cfRule>
    <cfRule type="expression" dxfId="304" priority="184">
      <formula>AND($I$56="Credit Memo",$K$56="Corporate Office")</formula>
    </cfRule>
  </conditionalFormatting>
  <conditionalFormatting sqref="M70">
    <cfRule type="expression" dxfId="303" priority="179">
      <formula>$K$70&lt;&gt;"Corporate Office"</formula>
    </cfRule>
    <cfRule type="expression" dxfId="302" priority="180">
      <formula>AND($K$70="Corporate Office",$I$70="Check")</formula>
    </cfRule>
    <cfRule type="expression" dxfId="301" priority="181">
      <formula>AND($I$70="Credit Memo",$K$70="Corporate Office")</formula>
    </cfRule>
  </conditionalFormatting>
  <conditionalFormatting sqref="I84">
    <cfRule type="expression" dxfId="300" priority="178">
      <formula>$E$84&lt;&gt;"Please Select"</formula>
    </cfRule>
  </conditionalFormatting>
  <conditionalFormatting sqref="K84">
    <cfRule type="expression" dxfId="299" priority="177">
      <formula>$E$84&lt;&gt;"Please Select"</formula>
    </cfRule>
  </conditionalFormatting>
  <conditionalFormatting sqref="G84">
    <cfRule type="expression" dxfId="298" priority="176">
      <formula>$E$84&lt;&gt;"Please Select"</formula>
    </cfRule>
  </conditionalFormatting>
  <conditionalFormatting sqref="M84">
    <cfRule type="expression" dxfId="297" priority="173">
      <formula>$K$84&lt;&gt;"Corporate Office"</formula>
    </cfRule>
    <cfRule type="expression" dxfId="296" priority="174">
      <formula>AND($K$84="Corporate Office",$I$84="Check")</formula>
    </cfRule>
    <cfRule type="expression" dxfId="295" priority="175">
      <formula>AND($I$84="Credit Memo",$K$84="Corporate Office")</formula>
    </cfRule>
  </conditionalFormatting>
  <conditionalFormatting sqref="I98">
    <cfRule type="expression" dxfId="294" priority="172">
      <formula>$E$98&lt;&gt;"Please Select"</formula>
    </cfRule>
  </conditionalFormatting>
  <conditionalFormatting sqref="K98">
    <cfRule type="expression" dxfId="293" priority="171">
      <formula>$E$98&lt;&gt;"Please Select"</formula>
    </cfRule>
  </conditionalFormatting>
  <conditionalFormatting sqref="G98">
    <cfRule type="expression" dxfId="292" priority="170">
      <formula>$E$98&lt;&gt;"Please Select"</formula>
    </cfRule>
  </conditionalFormatting>
  <conditionalFormatting sqref="M98">
    <cfRule type="expression" dxfId="291" priority="167">
      <formula>$K$98&lt;&gt;"Corporate Office"</formula>
    </cfRule>
    <cfRule type="expression" dxfId="290" priority="168">
      <formula>AND($K$98="Corporate Office",$I$98="Check")</formula>
    </cfRule>
    <cfRule type="expression" dxfId="289" priority="169">
      <formula>AND($I$98="Credit Memo",$K$98="Corporate Office")</formula>
    </cfRule>
  </conditionalFormatting>
  <conditionalFormatting sqref="E98">
    <cfRule type="expression" dxfId="288" priority="165">
      <formula>$E$97="Yes"</formula>
    </cfRule>
    <cfRule type="expression" dxfId="287" priority="166">
      <formula>$E$97="No"</formula>
    </cfRule>
  </conditionalFormatting>
  <conditionalFormatting sqref="E84">
    <cfRule type="expression" dxfId="286" priority="163">
      <formula>$E$83="Yes"</formula>
    </cfRule>
    <cfRule type="expression" dxfId="285" priority="164">
      <formula>$E$83="No"</formula>
    </cfRule>
  </conditionalFormatting>
  <conditionalFormatting sqref="G33">
    <cfRule type="expression" dxfId="284" priority="162">
      <formula>OR($E28="Volume Incentive Threshold",$E28="Volume Incentive Tiered")</formula>
    </cfRule>
  </conditionalFormatting>
  <conditionalFormatting sqref="G34">
    <cfRule type="expression" dxfId="283" priority="161">
      <formula>$E28="Volume Incentive Tiered"</formula>
    </cfRule>
  </conditionalFormatting>
  <conditionalFormatting sqref="G47">
    <cfRule type="expression" dxfId="282" priority="160">
      <formula>OR($E42="Volume Incentive Threshold",$E42="Volume Incentive Tiered")</formula>
    </cfRule>
  </conditionalFormatting>
  <conditionalFormatting sqref="G48">
    <cfRule type="expression" dxfId="281" priority="159">
      <formula>$E42="Volume Incentive Tiered"</formula>
    </cfRule>
  </conditionalFormatting>
  <conditionalFormatting sqref="G19">
    <cfRule type="expression" dxfId="280" priority="158">
      <formula>OR($E14="Volume Incentive Threshold",$E14="Volume Incentive Tiered")</formula>
    </cfRule>
  </conditionalFormatting>
  <conditionalFormatting sqref="G20">
    <cfRule type="expression" dxfId="279" priority="157">
      <formula>$E14="Volume Incentive Tiered"</formula>
    </cfRule>
  </conditionalFormatting>
  <conditionalFormatting sqref="G62">
    <cfRule type="expression" dxfId="278" priority="156">
      <formula>$E56="DS Tiered Average Invoice Dollar Qualifier"</formula>
    </cfRule>
  </conditionalFormatting>
  <conditionalFormatting sqref="G75">
    <cfRule type="expression" dxfId="277" priority="155">
      <formula>OR($E70="DS Tiered Average Invoice Dollar Qualifier",$E70="DS Threshold Average Invoice Dollar Qualifier")</formula>
    </cfRule>
  </conditionalFormatting>
  <conditionalFormatting sqref="G76">
    <cfRule type="expression" dxfId="276" priority="154">
      <formula>$E70="DS Tiered Average Invoice Dollar Qualifier"</formula>
    </cfRule>
  </conditionalFormatting>
  <conditionalFormatting sqref="G89">
    <cfRule type="expression" dxfId="275" priority="153">
      <formula>OR($E84="EB Threshold Percent Qualifier",$E84="EB Tiered Percent Qualifier")</formula>
    </cfRule>
  </conditionalFormatting>
  <conditionalFormatting sqref="G90">
    <cfRule type="expression" dxfId="274" priority="152">
      <formula>$E84="EB Tiered Percent Qualifier"</formula>
    </cfRule>
  </conditionalFormatting>
  <conditionalFormatting sqref="G103">
    <cfRule type="expression" dxfId="273" priority="151">
      <formula>OR($E98="EB Threshold Percent Qualifier",$E98="EB Tiered Percent Qualifier")</formula>
    </cfRule>
  </conditionalFormatting>
  <conditionalFormatting sqref="G104">
    <cfRule type="expression" dxfId="272" priority="150">
      <formula>$E98="EB Tiered Percent Qualifier"</formula>
    </cfRule>
  </conditionalFormatting>
  <conditionalFormatting sqref="K89:K93">
    <cfRule type="expression" dxfId="271" priority="149">
      <formula>$E$84&lt;&gt;"Please Select"</formula>
    </cfRule>
  </conditionalFormatting>
  <conditionalFormatting sqref="K103:K107">
    <cfRule type="expression" dxfId="270" priority="148">
      <formula>$E$98&lt;&gt;"Please Select"</formula>
    </cfRule>
  </conditionalFormatting>
  <conditionalFormatting sqref="I112">
    <cfRule type="expression" dxfId="269" priority="147">
      <formula>$E$112&lt;&gt;"Please Select"</formula>
    </cfRule>
  </conditionalFormatting>
  <conditionalFormatting sqref="K112">
    <cfRule type="expression" dxfId="268" priority="146">
      <formula>$E$112&lt;&gt;"Please Select"</formula>
    </cfRule>
  </conditionalFormatting>
  <conditionalFormatting sqref="G112">
    <cfRule type="expression" dxfId="267" priority="145">
      <formula>$E$112&lt;&gt;"Please Select"</formula>
    </cfRule>
  </conditionalFormatting>
  <conditionalFormatting sqref="M112">
    <cfRule type="expression" dxfId="266" priority="142">
      <formula>$K$112&lt;&gt;"Corporate Office"</formula>
    </cfRule>
    <cfRule type="expression" dxfId="265" priority="143">
      <formula>AND($K$112="Corporate Office",$I$112="Check")</formula>
    </cfRule>
    <cfRule type="expression" dxfId="264" priority="144">
      <formula>AND($I$112="Credit Memo",$K$112="Corporate Office")</formula>
    </cfRule>
  </conditionalFormatting>
  <conditionalFormatting sqref="E112">
    <cfRule type="expression" dxfId="263" priority="141">
      <formula>$E$111="Yes"</formula>
    </cfRule>
  </conditionalFormatting>
  <conditionalFormatting sqref="G115">
    <cfRule type="expression" dxfId="262" priority="140">
      <formula>$E$112="Growth Incentive Single Rate"</formula>
    </cfRule>
  </conditionalFormatting>
  <conditionalFormatting sqref="K115">
    <cfRule type="expression" dxfId="261" priority="139">
      <formula>$E$112&lt;&gt;"Please Select"</formula>
    </cfRule>
  </conditionalFormatting>
  <conditionalFormatting sqref="I120">
    <cfRule type="expression" dxfId="260" priority="138">
      <formula>$E$120&lt;&gt;"Please Select"</formula>
    </cfRule>
  </conditionalFormatting>
  <conditionalFormatting sqref="K120">
    <cfRule type="expression" dxfId="259" priority="137">
      <formula>$E$120&lt;&gt;"Please Select"</formula>
    </cfRule>
  </conditionalFormatting>
  <conditionalFormatting sqref="G120">
    <cfRule type="expression" dxfId="258" priority="136">
      <formula>$E$120&lt;&gt;"Please Select"</formula>
    </cfRule>
  </conditionalFormatting>
  <conditionalFormatting sqref="M120">
    <cfRule type="expression" dxfId="257" priority="133">
      <formula>$K$120&lt;&gt;"Corporate Office"</formula>
    </cfRule>
    <cfRule type="expression" dxfId="256" priority="134">
      <formula>AND($K$120="Corporate Office",$I$120="Check")</formula>
    </cfRule>
    <cfRule type="expression" dxfId="255" priority="135">
      <formula>AND($I$120="Credit Memo",$K$120="Corporate Office")</formula>
    </cfRule>
  </conditionalFormatting>
  <conditionalFormatting sqref="G123">
    <cfRule type="expression" dxfId="254" priority="132">
      <formula>$E$120="E-Commerce Incentive Threshold"</formula>
    </cfRule>
  </conditionalFormatting>
  <conditionalFormatting sqref="E120">
    <cfRule type="expression" dxfId="253" priority="130">
      <formula>$E$119="Yes"</formula>
    </cfRule>
  </conditionalFormatting>
  <conditionalFormatting sqref="I128">
    <cfRule type="expression" dxfId="252" priority="129">
      <formula>$E$128&lt;&gt;"Please Select"</formula>
    </cfRule>
  </conditionalFormatting>
  <conditionalFormatting sqref="M128">
    <cfRule type="expression" dxfId="251" priority="126">
      <formula>$K$128&lt;&gt;"Corporate Office"</formula>
    </cfRule>
    <cfRule type="expression" dxfId="250" priority="127">
      <formula>AND($K$128="Corporate Office",$I$128="Check")</formula>
    </cfRule>
    <cfRule type="expression" dxfId="249" priority="128">
      <formula>AND($I$128="Credit Memo",$K$128="Corporate Office")</formula>
    </cfRule>
  </conditionalFormatting>
  <conditionalFormatting sqref="E128">
    <cfRule type="expression" dxfId="248" priority="125">
      <formula>$E$127="Yes"</formula>
    </cfRule>
  </conditionalFormatting>
  <conditionalFormatting sqref="G131">
    <cfRule type="expression" dxfId="247" priority="124">
      <formula>$E$128&lt;&gt;"Please Select"</formula>
    </cfRule>
  </conditionalFormatting>
  <conditionalFormatting sqref="E136">
    <cfRule type="expression" dxfId="246" priority="123">
      <formula>$E$127="Yes"</formula>
    </cfRule>
  </conditionalFormatting>
  <conditionalFormatting sqref="I136">
    <cfRule type="expression" dxfId="245" priority="122">
      <formula>$E$136&lt;&gt;"Please Select"</formula>
    </cfRule>
  </conditionalFormatting>
  <conditionalFormatting sqref="M136">
    <cfRule type="expression" dxfId="244" priority="119">
      <formula>$K$136&lt;&gt;"Corporate Office"</formula>
    </cfRule>
    <cfRule type="expression" dxfId="243" priority="120">
      <formula>AND($K$136="Corporate Office",$I$136="Check")</formula>
    </cfRule>
    <cfRule type="expression" dxfId="242" priority="121">
      <formula>AND($I$136="Credit Memo",$K$136="Corporate Office")</formula>
    </cfRule>
  </conditionalFormatting>
  <conditionalFormatting sqref="G139">
    <cfRule type="expression" dxfId="241" priority="118">
      <formula>$E$136&lt;&gt;"Please Select"</formula>
    </cfRule>
  </conditionalFormatting>
  <conditionalFormatting sqref="I144">
    <cfRule type="expression" dxfId="240" priority="116">
      <formula>$E$144&lt;&gt;"Please Select"</formula>
    </cfRule>
  </conditionalFormatting>
  <conditionalFormatting sqref="K144">
    <cfRule type="expression" dxfId="239" priority="115">
      <formula>$E$144&lt;&gt;"Please Select"</formula>
    </cfRule>
  </conditionalFormatting>
  <conditionalFormatting sqref="G144">
    <cfRule type="expression" dxfId="238" priority="114">
      <formula>$E$144&lt;&gt;"Please Select"</formula>
    </cfRule>
  </conditionalFormatting>
  <conditionalFormatting sqref="M144">
    <cfRule type="expression" dxfId="237" priority="111">
      <formula>$K$144&lt;&gt;"Corporate Office"</formula>
    </cfRule>
    <cfRule type="expression" dxfId="236" priority="112">
      <formula>AND($K$144="Corporate Office",$I$144="Check")</formula>
    </cfRule>
    <cfRule type="expression" dxfId="235" priority="113">
      <formula>AND($I$144="Credit Memo",$K$144="Corporate Office")</formula>
    </cfRule>
  </conditionalFormatting>
  <conditionalFormatting sqref="E144">
    <cfRule type="expression" dxfId="234" priority="110">
      <formula>$E$143="Yes"</formula>
    </cfRule>
  </conditionalFormatting>
  <conditionalFormatting sqref="K123">
    <cfRule type="expression" dxfId="233" priority="108">
      <formula>$E$112&lt;&gt;"Please Select"</formula>
    </cfRule>
  </conditionalFormatting>
  <conditionalFormatting sqref="K147">
    <cfRule type="expression" dxfId="232" priority="107">
      <formula>$E$112&lt;&gt;"Please Select"</formula>
    </cfRule>
  </conditionalFormatting>
  <conditionalFormatting sqref="M153">
    <cfRule type="expression" dxfId="231" priority="102">
      <formula>$M$186&gt;=10000</formula>
    </cfRule>
  </conditionalFormatting>
  <conditionalFormatting sqref="I152">
    <cfRule type="expression" dxfId="230" priority="101">
      <formula>$E152&lt;&gt;"Please Select"</formula>
    </cfRule>
  </conditionalFormatting>
  <conditionalFormatting sqref="M152">
    <cfRule type="expression" dxfId="229" priority="98">
      <formula>$K152&lt;&gt;"Corporate Office"</formula>
    </cfRule>
    <cfRule type="expression" dxfId="228" priority="99">
      <formula>AND($K152="Corporate Office",$I152="Check")</formula>
    </cfRule>
    <cfRule type="expression" dxfId="227" priority="100">
      <formula>AND($I152="Credit Memo",$K152="Corporate Office")</formula>
    </cfRule>
  </conditionalFormatting>
  <conditionalFormatting sqref="E152">
    <cfRule type="expression" dxfId="226" priority="97">
      <formula>$E$151="Yes"</formula>
    </cfRule>
  </conditionalFormatting>
  <conditionalFormatting sqref="G158">
    <cfRule type="expression" dxfId="225" priority="96">
      <formula>$E152&lt;&gt;"Please Select"</formula>
    </cfRule>
  </conditionalFormatting>
  <conditionalFormatting sqref="I158">
    <cfRule type="expression" dxfId="224" priority="92">
      <formula>COUNT(SEARCH("ICM", $G158))=1</formula>
    </cfRule>
    <cfRule type="expression" dxfId="223" priority="95">
      <formula>$E152&lt;&gt;"Please Select"</formula>
    </cfRule>
  </conditionalFormatting>
  <conditionalFormatting sqref="K155">
    <cfRule type="expression" dxfId="222" priority="91">
      <formula>$E152 = "Prepaid Rollover"</formula>
    </cfRule>
  </conditionalFormatting>
  <conditionalFormatting sqref="M158">
    <cfRule type="expression" dxfId="221" priority="89">
      <formula>$E152&lt;&gt;"Please Select"</formula>
    </cfRule>
  </conditionalFormatting>
  <conditionalFormatting sqref="M155">
    <cfRule type="expression" dxfId="220" priority="88">
      <formula>$E152&lt;&gt;"Please Select"</formula>
    </cfRule>
  </conditionalFormatting>
  <conditionalFormatting sqref="K158">
    <cfRule type="expression" dxfId="219" priority="87">
      <formula>$E152&lt;&gt;"Please Select"</formula>
    </cfRule>
  </conditionalFormatting>
  <conditionalFormatting sqref="N150:P153">
    <cfRule type="expression" dxfId="218" priority="85">
      <formula>$G155=10000</formula>
    </cfRule>
    <cfRule type="expression" dxfId="217" priority="86">
      <formula>$G155=100000</formula>
    </cfRule>
  </conditionalFormatting>
  <conditionalFormatting sqref="O158">
    <cfRule type="expression" dxfId="216" priority="84">
      <formula>$E152&lt;&gt;"Please Select"</formula>
    </cfRule>
  </conditionalFormatting>
  <conditionalFormatting sqref="M164">
    <cfRule type="expression" dxfId="215" priority="83">
      <formula>$M$186&gt;=10000</formula>
    </cfRule>
  </conditionalFormatting>
  <conditionalFormatting sqref="I163">
    <cfRule type="expression" dxfId="214" priority="82">
      <formula>$E163&lt;&gt;"Please Select"</formula>
    </cfRule>
  </conditionalFormatting>
  <conditionalFormatting sqref="M163">
    <cfRule type="expression" dxfId="213" priority="79">
      <formula>$K163&lt;&gt;"Corporate Office"</formula>
    </cfRule>
    <cfRule type="expression" dxfId="212" priority="80">
      <formula>AND($K163="Corporate Office",$I163="Check")</formula>
    </cfRule>
    <cfRule type="expression" dxfId="211" priority="81">
      <formula>AND($I163="Credit Memo",$K163="Corporate Office")</formula>
    </cfRule>
  </conditionalFormatting>
  <conditionalFormatting sqref="E163">
    <cfRule type="expression" dxfId="210" priority="78">
      <formula>$E162="Yes"</formula>
    </cfRule>
  </conditionalFormatting>
  <conditionalFormatting sqref="G169">
    <cfRule type="expression" dxfId="209" priority="77">
      <formula>$E163&lt;&gt;"Please Select"</formula>
    </cfRule>
  </conditionalFormatting>
  <conditionalFormatting sqref="I169">
    <cfRule type="expression" dxfId="208" priority="75">
      <formula>COUNT(SEARCH("ICM", $G169))=1</formula>
    </cfRule>
    <cfRule type="expression" dxfId="207" priority="76">
      <formula>$E163&lt;&gt;"Please Select"</formula>
    </cfRule>
  </conditionalFormatting>
  <conditionalFormatting sqref="K166">
    <cfRule type="expression" dxfId="206" priority="74">
      <formula>$E163 = "Prepaid Rollover"</formula>
    </cfRule>
  </conditionalFormatting>
  <conditionalFormatting sqref="M169">
    <cfRule type="expression" dxfId="205" priority="73">
      <formula>$E163&lt;&gt;"Please Select"</formula>
    </cfRule>
  </conditionalFormatting>
  <conditionalFormatting sqref="M166">
    <cfRule type="expression" dxfId="204" priority="72">
      <formula>$E163&lt;&gt;"Please Select"</formula>
    </cfRule>
  </conditionalFormatting>
  <conditionalFormatting sqref="K169">
    <cfRule type="expression" dxfId="203" priority="71">
      <formula>$E163&lt;&gt;"Please Select"</formula>
    </cfRule>
  </conditionalFormatting>
  <conditionalFormatting sqref="N161:P164">
    <cfRule type="expression" dxfId="202" priority="69">
      <formula>$G166=10000</formula>
    </cfRule>
    <cfRule type="expression" dxfId="201" priority="70">
      <formula>$G166=100000</formula>
    </cfRule>
  </conditionalFormatting>
  <conditionalFormatting sqref="O169">
    <cfRule type="expression" dxfId="200" priority="68">
      <formula>$E163&lt;&gt;"Please Select"</formula>
    </cfRule>
  </conditionalFormatting>
  <conditionalFormatting sqref="E186">
    <cfRule type="expression" dxfId="199" priority="66">
      <formula>$E185="Yes"</formula>
    </cfRule>
  </conditionalFormatting>
  <conditionalFormatting sqref="G174">
    <cfRule type="expression" dxfId="198" priority="65">
      <formula>$E174="Prepay Multi Yr Under"</formula>
    </cfRule>
  </conditionalFormatting>
  <conditionalFormatting sqref="G186">
    <cfRule type="expression" dxfId="197" priority="64">
      <formula>$E186="Prepay Multi Yr Under"</formula>
    </cfRule>
  </conditionalFormatting>
  <conditionalFormatting sqref="I174">
    <cfRule type="expression" dxfId="196" priority="63">
      <formula>$E174&lt;&gt;"Please Select"</formula>
    </cfRule>
  </conditionalFormatting>
  <conditionalFormatting sqref="I186">
    <cfRule type="expression" dxfId="195" priority="62">
      <formula>$E186&lt;&gt;"Please Select"</formula>
    </cfRule>
  </conditionalFormatting>
  <conditionalFormatting sqref="M174">
    <cfRule type="expression" dxfId="194" priority="59">
      <formula>$K174&lt;&gt;"Corporate Office"</formula>
    </cfRule>
    <cfRule type="expression" dxfId="193" priority="60">
      <formula>AND($K174="Corporate Office",$I174="Check")</formula>
    </cfRule>
    <cfRule type="expression" dxfId="192" priority="61">
      <formula>AND($I174="Credit Memo",$K174="Corporate Office")</formula>
    </cfRule>
  </conditionalFormatting>
  <conditionalFormatting sqref="M186">
    <cfRule type="expression" dxfId="191" priority="56">
      <formula>$K186&lt;&gt;"Corporate Office"</formula>
    </cfRule>
    <cfRule type="expression" dxfId="190" priority="57">
      <formula>AND($K186="Corporate Office",$I186="Check")</formula>
    </cfRule>
    <cfRule type="expression" dxfId="189" priority="58">
      <formula>AND($I186="Credit Memo",$K186="Corporate Office")</formula>
    </cfRule>
  </conditionalFormatting>
  <conditionalFormatting sqref="N172:P175">
    <cfRule type="expression" dxfId="188" priority="54">
      <formula>$G177=10000</formula>
    </cfRule>
    <cfRule type="expression" dxfId="187" priority="55">
      <formula>$G177=100000</formula>
    </cfRule>
  </conditionalFormatting>
  <conditionalFormatting sqref="N184:P187">
    <cfRule type="expression" dxfId="186" priority="52">
      <formula>$G189=10000</formula>
    </cfRule>
    <cfRule type="expression" dxfId="185" priority="53">
      <formula>$G189=100000</formula>
    </cfRule>
  </conditionalFormatting>
  <conditionalFormatting sqref="I198">
    <cfRule type="expression" dxfId="184" priority="24">
      <formula>$E198&lt;&gt;"Please Select"</formula>
    </cfRule>
  </conditionalFormatting>
  <conditionalFormatting sqref="E198">
    <cfRule type="expression" dxfId="183" priority="23">
      <formula>$E$197="Yes"</formula>
    </cfRule>
  </conditionalFormatting>
  <conditionalFormatting sqref="K202">
    <cfRule type="expression" dxfId="182" priority="22">
      <formula>$K$201&gt;1%</formula>
    </cfRule>
  </conditionalFormatting>
  <conditionalFormatting sqref="K201">
    <cfRule type="expression" dxfId="181" priority="21">
      <formula>$E$197="Yes"</formula>
    </cfRule>
  </conditionalFormatting>
  <conditionalFormatting sqref="E174">
    <cfRule type="expression" dxfId="180" priority="1">
      <formula>$E$173="Yes"</formula>
    </cfRule>
  </conditionalFormatting>
  <dataValidations count="35">
    <dataValidation type="list" allowBlank="1" showInputMessage="1" showErrorMessage="1" sqref="E186 E152 E163" xr:uid="{C8A73CB6-4058-46CD-8E97-36A76C8174E1}">
      <formula1>"Please Select, Prepaid Rollover, Prepaid Rollover No Payment"</formula1>
    </dataValidation>
    <dataValidation type="list" allowBlank="1" showInputMessage="1" showErrorMessage="1" sqref="E144" xr:uid="{6996FB38-1E0B-4BC0-BF6F-D578F21E1949}">
      <formula1>"Please Select, Payment Rewards Incentive"</formula1>
    </dataValidation>
    <dataValidation type="list" allowBlank="1" showInputMessage="1" showErrorMessage="1" sqref="E128 E136" xr:uid="{9272B3FF-1AFA-46ED-80CF-BC766F241F85}">
      <formula1>"Please Select, CHECK Business Tools Incentive, TOAST Incentive,"</formula1>
    </dataValidation>
    <dataValidation type="list" allowBlank="1" showInputMessage="1" showErrorMessage="1" sqref="E120" xr:uid="{380D476D-610E-43AB-B9B0-F2473723B89C}">
      <formula1>"Please Select, E-Commerce Incentive Threshold"</formula1>
    </dataValidation>
    <dataValidation type="list" allowBlank="1" showInputMessage="1" showErrorMessage="1" sqref="E112" xr:uid="{44EC1D5D-B949-4D43-B766-9868CC76EFE9}">
      <formula1>"Please Select, Growth Incentive Single Rate"</formula1>
    </dataValidation>
    <dataValidation type="list" allowBlank="1" showInputMessage="1" showErrorMessage="1" sqref="E27 E41" xr:uid="{53BF7FB3-F4EA-4689-A6D1-5AF58F69EDC4}">
      <formula1>"No,Yes"</formula1>
    </dataValidation>
    <dataValidation type="list" allowBlank="1" showInputMessage="1" showErrorMessage="1" sqref="E98 E84" xr:uid="{E0B96284-1988-4CCB-B255-455ED2726EC6}">
      <formula1>"Please Select, EB Single Rate,  EB Threshold Percent Qualifier, EB Tiered Percent Qualifier"</formula1>
    </dataValidation>
    <dataValidation type="decimal" operator="greaterThanOrEqual" allowBlank="1" showInputMessage="1" showErrorMessage="1" errorTitle="Invalid Tier Value" error="The values entered in Tier 3 must be greater than or equal to the current weekly drop-size. " sqref="G79" xr:uid="{17BA4964-AD9C-4B27-A16F-27BD70723D38}">
      <formula1>$G$73-1</formula1>
    </dataValidation>
    <dataValidation type="decimal" errorStyle="warning" operator="greaterThanOrEqual" allowBlank="1" showInputMessage="1" showErrorMessage="1" errorTitle="Invalid Tier Value" error="The value entered is less than the current weekly drop-size. " sqref="G77:G78" xr:uid="{296DFFC6-478C-4A4F-8BE2-92D38777EF56}">
      <formula1>$G$73-1</formula1>
    </dataValidation>
    <dataValidation type="list" allowBlank="1" showInputMessage="1" showErrorMessage="1" sqref="E56 E70" xr:uid="{8CE77625-1C19-4CCC-9BC4-5BFEC16852A2}">
      <formula1>"Please Select, DS Threshold Average Invoice Dollar Qualifier, DS Tiered Average Invoice Dollar Qualifier"</formula1>
    </dataValidation>
    <dataValidation type="list" allowBlank="1" showInputMessage="1" showErrorMessage="1" sqref="K14 K56 K28 K42 K70 K84 K98 K112 K120 K128 K136 K144 K152 K163" xr:uid="{5D4FD8A2-3DF4-4EF4-8B34-78D14B88A4EB}">
      <formula1>"Customer Units, Corporate Office"</formula1>
    </dataValidation>
    <dataValidation type="decimal" errorStyle="warning" operator="greaterThanOrEqual" allowBlank="1" showErrorMessage="1" errorTitle="Invalid Tier Value" error="The values entered is less than the current weekly volume. " sqref="G49:G50" xr:uid="{2447917B-F8A4-48A7-A396-963F1CA7CB3F}">
      <formula1>$G$45-1</formula1>
    </dataValidation>
    <dataValidation type="decimal" operator="greaterThanOrEqual" allowBlank="1" showErrorMessage="1" errorTitle="Invalid Tier Value" error="The values entered in Tier 3 must be greater than or equal to the current weekly volume. " sqref="G37" xr:uid="{FAA5CB86-E812-4768-8426-CD6BD6B93AAB}">
      <formula1>$G$35-1</formula1>
    </dataValidation>
    <dataValidation type="decimal" errorStyle="warning" operator="greaterThanOrEqual" allowBlank="1" showErrorMessage="1" errorTitle="Invalid Tier Value" error="The values entered is less than the current weekly volume. " sqref="G35:G36" xr:uid="{207EBE0C-58CA-46FD-BFC3-C84AE045041B}">
      <formula1>$G$35-1</formula1>
    </dataValidation>
    <dataValidation type="decimal" operator="greaterThanOrEqual" allowBlank="1" showErrorMessage="1" errorTitle="Invalid Tier Value" error="The values entered in Tier 3 must be greater than or equal to the current weekly volume. " sqref="G23" xr:uid="{7BF87D79-078A-47F4-8824-1ACF2DBFB97A}">
      <formula1>$G$17-1</formula1>
    </dataValidation>
    <dataValidation type="decimal" errorStyle="warning" operator="greaterThanOrEqual" allowBlank="1" showErrorMessage="1" errorTitle="Invalid Tier Value" error="The values entered is less than the current weekly volume. " sqref="G21:G22" xr:uid="{BBD2A4FA-FDD9-47EE-B027-6D175931260A}">
      <formula1>$G$17-1</formula1>
    </dataValidation>
    <dataValidation type="decimal" allowBlank="1" showInputMessage="1" showErrorMessage="1" sqref="O207" xr:uid="{64F97019-0CD6-4672-9084-BC10D1EDAF73}">
      <formula1>0</formula1>
      <formula2>Q207</formula2>
    </dataValidation>
    <dataValidation type="decimal" allowBlank="1" showInputMessage="1" showErrorMessage="1" sqref="O206 M207:N207" xr:uid="{F64E2941-43EE-4891-8BF6-A2A60BC00D2F}">
      <formula1>0</formula1>
      <formula2>P206</formula2>
    </dataValidation>
    <dataValidation type="list" allowBlank="1" showInputMessage="1" showErrorMessage="1" sqref="E14 E28 E42" xr:uid="{45F8C414-030B-455B-ACD2-8768973FFDF4}">
      <formula1>"Please Select, Volume Incentive Single Rate,  Volume Incentive Threshold, Volume Incentive Tiered"</formula1>
    </dataValidation>
    <dataValidation type="list" allowBlank="1" showInputMessage="1" showErrorMessage="1" sqref="E4 E6 E83 E55 E13 E69 E97 E111 E119 E127 E135 E143 E173 E151 E162 E185 E197" xr:uid="{2729E39A-8ABF-4876-A59D-FCB4AD31FD0E}">
      <formula1>"Yes, No"</formula1>
    </dataValidation>
    <dataValidation type="decimal" operator="greaterThanOrEqual" allowBlank="1" showErrorMessage="1" errorTitle="Invalid Tier Value" error="The values entered in Tier 3 must be greater than or equal to the current weekly volume. " sqref="G51" xr:uid="{F73FA3D5-E856-42BD-9FFC-7FC5C70CCF0D}">
      <formula1>$G$45-1</formula1>
    </dataValidation>
    <dataValidation type="decimal" errorStyle="warning" operator="greaterThanOrEqual" allowBlank="1" showInputMessage="1" showErrorMessage="1" errorTitle="Invalid Tier Value" error="The value entered is less than the current weekly drop-size. " sqref="G62:G64 G76" xr:uid="{7BE51368-E777-4190-AB24-ABE47F282E01}">
      <formula1>$G$59-1</formula1>
    </dataValidation>
    <dataValidation type="decimal" operator="greaterThanOrEqual" allowBlank="1" showInputMessage="1" showErrorMessage="1" errorTitle="Invalid Tier Value" error="The values entered in Tier 3 must be greater than or equal to the current weekly drop-size. " sqref="G65" xr:uid="{D5B3E94C-ABD2-43E6-B80C-25B413A29606}">
      <formula1>$G$59-1</formula1>
    </dataValidation>
    <dataValidation type="whole" operator="lessThan" allowBlank="1" showInputMessage="1" showErrorMessage="1" sqref="S177:S181" xr:uid="{ACCA5D28-89DC-4286-A8B8-E9E1B7673F79}">
      <formula1>10000</formula1>
    </dataValidation>
    <dataValidation type="list" allowBlank="1" showInputMessage="1" showErrorMessage="1" sqref="G98 G14 G28 G42 G56 G70 G84 G112 G120 G144" xr:uid="{122A09DD-5607-455B-979D-139136C33BB5}">
      <formula1>"Annual, Quarterly"</formula1>
    </dataValidation>
    <dataValidation type="decimal" errorStyle="warning" operator="greaterThanOrEqual" allowBlank="1" showErrorMessage="1" errorTitle="Invalid Tier Value" error="The values entered is less than the current weekly volume. " sqref="G45 G17 G31" xr:uid="{81E5F036-3ED1-4166-A370-E0342D72C7ED}">
      <formula1>$G$19-1</formula1>
    </dataValidation>
    <dataValidation type="decimal" operator="lessThanOrEqual" allowBlank="1" showErrorMessage="1" errorTitle="Signing Limit Exceeded" error="The signing incentive cannot exceed $100,000.  Please use the custom modeling process in order to accomodate this request. " sqref="I169 G180 G155 I155 K155 K158 M158 I158 G166 I166 K166 K169 M169 I177:I181 K177:K181 M177:M181 G177 G192 I189:I193 G189 K189:K193 M189:M193" xr:uid="{FD14BB10-54B2-4762-97AB-44470708AE8F}">
      <formula1>100000</formula1>
    </dataValidation>
    <dataValidation type="decimal" operator="lessThanOrEqual" allowBlank="1" showInputMessage="1" showErrorMessage="1" errorTitle="Maximum Incentive Reached" error="Volume-based incentive payouts cannot exceed 3%" sqref="I19 I47 I33" xr:uid="{A42C3523-63F1-44A3-BD82-09E295A29BA1}">
      <formula1>0.03</formula1>
    </dataValidation>
    <dataValidation type="list" allowBlank="1" showInputMessage="1" showErrorMessage="1" sqref="I14 I56 I163 I28 I42 I70 I112 I120 I128 I144 I84 I98 I152 I174 I186 I198" xr:uid="{D88FFDC1-159D-40E6-9640-A4C232E5DA37}">
      <formula1>"Credit Memo, Check"</formula1>
    </dataValidation>
    <dataValidation type="decimal" operator="lessThanOrEqual" allowBlank="1" showInputMessage="1" showErrorMessage="1" errorTitle="Maximum Incentive Reached" error="Volume-based incentive payouts cannot exceed 5%" sqref="K19:K23 K33:K37 K47:K51 K61:K65 K75:K79 K89:K93 K103:K107 K115 K123 K147" xr:uid="{9394F245-7A25-425E-91AF-8880997E6671}">
      <formula1>0.05</formula1>
    </dataValidation>
    <dataValidation type="list" operator="lessThanOrEqual" allowBlank="1" showErrorMessage="1" errorTitle="Signing Limit Exceeded" error="The signing incentive cannot exceed $100,000.  Please use the custom modeling process in order to accomodate this request. " sqref="M155 M166" xr:uid="{59351FF4-D44A-4F73-A937-3B6BC01EDDA1}">
      <formula1>"CIA, MDA"</formula1>
    </dataValidation>
    <dataValidation operator="lessThanOrEqual" allowBlank="1" showErrorMessage="1" errorTitle="Signing Limit Exceeded" error="The signing incentive cannot exceed $100,000.  Please use the custom modeling process in order to accomodate this request. " sqref="G158 O158 G169 O169 K201" xr:uid="{AAF88FA1-2044-48FE-914F-4962BBCC877D}"/>
    <dataValidation type="list" allowBlank="1" showInputMessage="1" showErrorMessage="1" sqref="G174 G186" xr:uid="{FDD31F69-137C-4C13-9A10-7C4D92C19D18}">
      <formula1>"Annual, Quarterly, Monthly, Weekly, Program"</formula1>
    </dataValidation>
    <dataValidation type="list" allowBlank="1" showInputMessage="1" showErrorMessage="1" sqref="E174" xr:uid="{2C21B97B-58AA-4E02-9C18-276619228F25}">
      <formula1>"Please Select, Prepaid Single Payment, Prepay Multi Yr Under, Multi Payment Prepaid Incentive"</formula1>
    </dataValidation>
    <dataValidation type="list" allowBlank="1" showInputMessage="1" showErrorMessage="1" sqref="E198" xr:uid="{4EA6D7AB-FA96-40A6-8806-6C5999366C70}">
      <formula1>"Please Select, New Customer Location Incentive Percent"</formula1>
    </dataValidation>
  </dataValidations>
  <printOptions horizontalCentered="1"/>
  <pageMargins left="0.25" right="0.25" top="0.75" bottom="0.75" header="0.3" footer="0.3"/>
  <pageSetup scale="35"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05" id="{CC77D9D5-08D0-497D-857C-05FC5404FFA2}">
            <xm:f>Welcome!$D$8&lt;&gt;"MDA"</xm:f>
            <x14:dxf>
              <fill>
                <patternFill>
                  <bgColor rgb="FFFFFF00"/>
                </patternFill>
              </fill>
            </x14:dxf>
          </x14:cfRule>
          <x14:cfRule type="expression" priority="106" id="{38E3C295-11FC-47D7-A4DD-A4DA78AA3DFA}">
            <xm:f>Welcome!$D$8="MDA"</xm:f>
            <x14:dxf>
              <fill>
                <patternFill>
                  <bgColor theme="0" tint="-0.24994659260841701"/>
                </patternFill>
              </fill>
            </x14:dxf>
          </x14:cfRule>
          <xm:sqref>E4</xm:sqref>
        </x14:conditionalFormatting>
        <x14:conditionalFormatting xmlns:xm="http://schemas.microsoft.com/office/excel/2006/main">
          <x14:cfRule type="expression" priority="51" id="{6388F6F4-BC96-4A22-B9C9-C66819C9AEA3}">
            <xm:f>AND($E$174&lt;&gt;"Please Select",Welcome!$D$12&gt;0)</xm:f>
            <x14:dxf>
              <fill>
                <patternFill>
                  <bgColor rgb="FFFFFF00"/>
                </patternFill>
              </fill>
            </x14:dxf>
          </x14:cfRule>
          <xm:sqref>K177</xm:sqref>
        </x14:conditionalFormatting>
        <x14:conditionalFormatting xmlns:xm="http://schemas.microsoft.com/office/excel/2006/main">
          <x14:cfRule type="expression" priority="48" id="{C0212BBB-8B7C-4571-A1F7-10E9FF4027C1}">
            <xm:f>AND($E$174&lt;&gt;"Please Select",Welcome!$D$12&gt;1)</xm:f>
            <x14:dxf>
              <fill>
                <patternFill>
                  <bgColor rgb="FFFFFF00"/>
                </patternFill>
              </fill>
            </x14:dxf>
          </x14:cfRule>
          <xm:sqref>K178</xm:sqref>
        </x14:conditionalFormatting>
        <x14:conditionalFormatting xmlns:xm="http://schemas.microsoft.com/office/excel/2006/main">
          <x14:cfRule type="expression" priority="45" id="{D791997E-92B7-4CA6-A598-E899348E35B6}">
            <xm:f>AND($E$174&lt;&gt;"Please Select",Welcome!$D$12&gt;2)</xm:f>
            <x14:dxf>
              <fill>
                <patternFill>
                  <bgColor rgb="FFFFFF00"/>
                </patternFill>
              </fill>
            </x14:dxf>
          </x14:cfRule>
          <xm:sqref>K179</xm:sqref>
        </x14:conditionalFormatting>
        <x14:conditionalFormatting xmlns:xm="http://schemas.microsoft.com/office/excel/2006/main">
          <x14:cfRule type="expression" priority="42" id="{3BC8ABD1-0ECC-406D-89A2-2AD1E7A7DB69}">
            <xm:f>AND($E$174&lt;&gt;"Please Select",Welcome!$D$12&gt;3)</xm:f>
            <x14:dxf>
              <fill>
                <patternFill>
                  <bgColor rgb="FFFFFF00"/>
                </patternFill>
              </fill>
            </x14:dxf>
          </x14:cfRule>
          <xm:sqref>K180</xm:sqref>
        </x14:conditionalFormatting>
        <x14:conditionalFormatting xmlns:xm="http://schemas.microsoft.com/office/excel/2006/main">
          <x14:cfRule type="expression" priority="41" id="{15852C53-F0E0-47DF-9A9A-EF8E54D13288}">
            <xm:f>AND($E$174&lt;&gt;"Please Select",Welcome!$D$12=5)</xm:f>
            <x14:dxf>
              <fill>
                <patternFill>
                  <bgColor rgb="FFFFFF00"/>
                </patternFill>
              </fill>
            </x14:dxf>
          </x14:cfRule>
          <xm:sqref>K181</xm:sqref>
        </x14:conditionalFormatting>
        <x14:conditionalFormatting xmlns:xm="http://schemas.microsoft.com/office/excel/2006/main">
          <x14:cfRule type="expression" priority="40" id="{36F64974-F0CF-47AF-BB6A-DD8751F451D0}">
            <xm:f>AND($E$174&lt;&gt;"Please Select",Welcome!$D$12=5)</xm:f>
            <x14:dxf>
              <fill>
                <patternFill>
                  <bgColor rgb="FFFFFF00"/>
                </patternFill>
              </fill>
            </x14:dxf>
          </x14:cfRule>
          <xm:sqref>M181</xm:sqref>
        </x14:conditionalFormatting>
        <x14:conditionalFormatting xmlns:xm="http://schemas.microsoft.com/office/excel/2006/main">
          <x14:cfRule type="expression" priority="20" id="{6F6E7F18-ACF2-4497-9862-F21BF9BFCD6B}">
            <xm:f>AND($E$174&lt;&gt;"Please Select",Welcome!$D$12&gt;2)</xm:f>
            <x14:dxf>
              <fill>
                <patternFill>
                  <bgColor rgb="FFFFFF00"/>
                </patternFill>
              </fill>
            </x14:dxf>
          </x14:cfRule>
          <xm:sqref>M179</xm:sqref>
        </x14:conditionalFormatting>
        <x14:conditionalFormatting xmlns:xm="http://schemas.microsoft.com/office/excel/2006/main">
          <x14:cfRule type="expression" priority="19" id="{0A3EFF84-85E5-4DF3-932B-2CC29FB93C31}">
            <xm:f>AND($E$174&lt;&gt;"Please Select",Welcome!$D$12&gt;1)</xm:f>
            <x14:dxf>
              <fill>
                <patternFill>
                  <bgColor rgb="FFFFFF00"/>
                </patternFill>
              </fill>
            </x14:dxf>
          </x14:cfRule>
          <xm:sqref>M178</xm:sqref>
        </x14:conditionalFormatting>
        <x14:conditionalFormatting xmlns:xm="http://schemas.microsoft.com/office/excel/2006/main">
          <x14:cfRule type="expression" priority="18" id="{4DFBD161-681A-4CC7-ADD3-8E0970153089}">
            <xm:f>AND($E$174&lt;&gt;"Please Select",Welcome!$D$12&gt;0)</xm:f>
            <x14:dxf>
              <fill>
                <patternFill>
                  <bgColor rgb="FFFFFF00"/>
                </patternFill>
              </fill>
            </x14:dxf>
          </x14:cfRule>
          <xm:sqref>M177</xm:sqref>
        </x14:conditionalFormatting>
        <x14:conditionalFormatting xmlns:xm="http://schemas.microsoft.com/office/excel/2006/main">
          <x14:cfRule type="expression" priority="17" id="{EF1FDEFF-1AB2-458C-9C62-D7FF3BB12276}">
            <xm:f>AND($E$174&lt;&gt;"Please Select",Welcome!$D$12&gt;3)</xm:f>
            <x14:dxf>
              <fill>
                <patternFill>
                  <bgColor rgb="FFFFFF00"/>
                </patternFill>
              </fill>
            </x14:dxf>
          </x14:cfRule>
          <xm:sqref>M180</xm:sqref>
        </x14:conditionalFormatting>
        <x14:conditionalFormatting xmlns:xm="http://schemas.microsoft.com/office/excel/2006/main">
          <x14:cfRule type="expression" priority="16" id="{DF526CA3-ECBB-4E22-8EE0-F581635198CA}">
            <xm:f>AND($E$198&lt;&gt;"Please Select",Welcome!$D$12&gt;0)</xm:f>
            <x14:dxf>
              <fill>
                <patternFill>
                  <bgColor rgb="FFFFFF00"/>
                </patternFill>
              </fill>
            </x14:dxf>
          </x14:cfRule>
          <xm:sqref>K189</xm:sqref>
        </x14:conditionalFormatting>
        <x14:conditionalFormatting xmlns:xm="http://schemas.microsoft.com/office/excel/2006/main">
          <x14:cfRule type="expression" priority="15" id="{A0434D8F-0D4D-4E24-BA43-93B92FEFA57B}">
            <xm:f>AND($E$198&lt;&gt;"Please Select",Welcome!$D$12&gt;1)</xm:f>
            <x14:dxf>
              <fill>
                <patternFill>
                  <bgColor rgb="FFFFFF00"/>
                </patternFill>
              </fill>
            </x14:dxf>
          </x14:cfRule>
          <xm:sqref>K190</xm:sqref>
        </x14:conditionalFormatting>
        <x14:conditionalFormatting xmlns:xm="http://schemas.microsoft.com/office/excel/2006/main">
          <x14:cfRule type="expression" priority="14" id="{E8A6039F-F032-47EC-8A31-7AC798A09B4B}">
            <xm:f>AND($E$198&lt;&gt;"Please Select",Welcome!$D$12&gt;2)</xm:f>
            <x14:dxf>
              <fill>
                <patternFill>
                  <bgColor rgb="FFFFFF00"/>
                </patternFill>
              </fill>
            </x14:dxf>
          </x14:cfRule>
          <xm:sqref>K191</xm:sqref>
        </x14:conditionalFormatting>
        <x14:conditionalFormatting xmlns:xm="http://schemas.microsoft.com/office/excel/2006/main">
          <x14:cfRule type="expression" priority="13" id="{488BE4B3-0BBB-4D03-92DD-4A0AAD63B208}">
            <xm:f>AND($E$198&lt;&gt;"Please Select",Welcome!$D$12&gt;3)</xm:f>
            <x14:dxf>
              <fill>
                <patternFill>
                  <bgColor rgb="FFFFFF00"/>
                </patternFill>
              </fill>
            </x14:dxf>
          </x14:cfRule>
          <xm:sqref>K192</xm:sqref>
        </x14:conditionalFormatting>
        <x14:conditionalFormatting xmlns:xm="http://schemas.microsoft.com/office/excel/2006/main">
          <x14:cfRule type="expression" priority="12" id="{9C8FE122-B3E2-4A63-8E4A-F7858B286080}">
            <xm:f>AND($E$198&lt;&gt;"Please Select",Welcome!$D$12=5)</xm:f>
            <x14:dxf>
              <fill>
                <patternFill>
                  <bgColor rgb="FFFFFF00"/>
                </patternFill>
              </fill>
            </x14:dxf>
          </x14:cfRule>
          <xm:sqref>K193</xm:sqref>
        </x14:conditionalFormatting>
        <x14:conditionalFormatting xmlns:xm="http://schemas.microsoft.com/office/excel/2006/main">
          <x14:cfRule type="expression" priority="6" id="{35CE2615-5CFF-4BCF-A27B-5A69B29BEF32}">
            <xm:f>AND($E$198&lt;&gt;"Please Select",Welcome!$D$12&gt;0)</xm:f>
            <x14:dxf>
              <fill>
                <patternFill>
                  <bgColor rgb="FFFFFF00"/>
                </patternFill>
              </fill>
            </x14:dxf>
          </x14:cfRule>
          <xm:sqref>M189</xm:sqref>
        </x14:conditionalFormatting>
        <x14:conditionalFormatting xmlns:xm="http://schemas.microsoft.com/office/excel/2006/main">
          <x14:cfRule type="expression" priority="5" id="{1540CAC4-A001-4F5A-AF9B-699DCD751B3E}">
            <xm:f>AND($E$198&lt;&gt;"Please Select",Welcome!$D$12&gt;1)</xm:f>
            <x14:dxf>
              <fill>
                <patternFill>
                  <bgColor rgb="FFFFFF00"/>
                </patternFill>
              </fill>
            </x14:dxf>
          </x14:cfRule>
          <xm:sqref>M190</xm:sqref>
        </x14:conditionalFormatting>
        <x14:conditionalFormatting xmlns:xm="http://schemas.microsoft.com/office/excel/2006/main">
          <x14:cfRule type="expression" priority="4" id="{64FC7350-C954-4467-97E5-2D7670922044}">
            <xm:f>AND($E$198&lt;&gt;"Please Select",Welcome!$D$12&gt;2)</xm:f>
            <x14:dxf>
              <fill>
                <patternFill>
                  <bgColor rgb="FFFFFF00"/>
                </patternFill>
              </fill>
            </x14:dxf>
          </x14:cfRule>
          <xm:sqref>M191</xm:sqref>
        </x14:conditionalFormatting>
        <x14:conditionalFormatting xmlns:xm="http://schemas.microsoft.com/office/excel/2006/main">
          <x14:cfRule type="expression" priority="3" id="{6DD126EB-335D-407F-9B70-0D0C25FAF0F3}">
            <xm:f>AND($E$198&lt;&gt;"Please Select",Welcome!$D$12&gt;3)</xm:f>
            <x14:dxf>
              <fill>
                <patternFill>
                  <bgColor rgb="FFFFFF00"/>
                </patternFill>
              </fill>
            </x14:dxf>
          </x14:cfRule>
          <xm:sqref>M192</xm:sqref>
        </x14:conditionalFormatting>
        <x14:conditionalFormatting xmlns:xm="http://schemas.microsoft.com/office/excel/2006/main">
          <x14:cfRule type="expression" priority="2" id="{C4B82645-9182-49B3-B234-5A5D44143EF8}">
            <xm:f>AND($E$198&lt;&gt;"Please Select",Welcome!$D$12=5)</xm:f>
            <x14:dxf>
              <fill>
                <patternFill>
                  <bgColor rgb="FFFFFF00"/>
                </patternFill>
              </fill>
            </x14:dxf>
          </x14:cfRule>
          <xm:sqref>M193</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933812-683E-40B6-901E-ADD8FFC132D7}">
  <sheetPr codeName="Sheet6">
    <tabColor rgb="FFFFC000"/>
  </sheetPr>
  <dimension ref="A1:C2"/>
  <sheetViews>
    <sheetView workbookViewId="0">
      <selection activeCell="A2" sqref="A2"/>
    </sheetView>
  </sheetViews>
  <sheetFormatPr defaultRowHeight="15" x14ac:dyDescent="0.25"/>
  <sheetData>
    <row r="1" spans="1:3" x14ac:dyDescent="0.25">
      <c r="A1" s="876" t="s">
        <v>1248</v>
      </c>
      <c r="B1" t="s">
        <v>1246</v>
      </c>
      <c r="C1" t="s">
        <v>131</v>
      </c>
    </row>
    <row r="2" spans="1:3" x14ac:dyDescent="0.25">
      <c r="A2" t="s">
        <v>1057</v>
      </c>
      <c r="B2">
        <v>50</v>
      </c>
      <c r="C2" t="s">
        <v>1247</v>
      </c>
    </row>
  </sheetData>
  <sheetProtection algorithmName="SHA-512" hashValue="QqScxDpOxw6fkWPn3DjTzQHTDMzTjppIUlPVUckg7UtA2AtBIdt9wxC2OvOKTB0dAqwyuJMPG/008c1kJ/JoGA==" saltValue="Av3xKPEFJI3gTPkmzjBxoQ==" spinCount="100000" sheet="1" objects="1" scenarios="1"/>
  <pageMargins left="0.7" right="0.7" top="0.75" bottom="0.75" header="0.3" footer="0.3"/>
  <pageSetup paperSize="9"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5">
    <tabColor rgb="FFFFC000"/>
    <pageSetUpPr fitToPage="1"/>
  </sheetPr>
  <dimension ref="B1:W39"/>
  <sheetViews>
    <sheetView showGridLines="0" zoomScale="80" zoomScaleNormal="80" workbookViewId="0">
      <selection activeCell="B2" sqref="B2"/>
    </sheetView>
  </sheetViews>
  <sheetFormatPr defaultColWidth="8.85546875" defaultRowHeight="15" x14ac:dyDescent="0.25"/>
  <cols>
    <col min="1" max="1" width="2.7109375" style="5" customWidth="1"/>
    <col min="2" max="2" width="4.85546875" style="5" customWidth="1"/>
    <col min="3" max="3" width="7.28515625" style="5" customWidth="1"/>
    <col min="4" max="4" width="29.42578125" style="5" customWidth="1"/>
    <col min="5" max="5" width="27.5703125" style="5" customWidth="1"/>
    <col min="6" max="6" width="7.28515625" style="5" customWidth="1"/>
    <col min="7" max="7" width="26.5703125" style="5" customWidth="1"/>
    <col min="8" max="8" width="7.28515625" style="5" customWidth="1"/>
    <col min="9" max="9" width="15.28515625" style="5" customWidth="1"/>
    <col min="10" max="10" width="3.7109375" style="5" customWidth="1"/>
    <col min="11" max="11" width="7.28515625" style="5" customWidth="1"/>
    <col min="12" max="12" width="4.85546875" style="5" customWidth="1"/>
    <col min="13" max="19" width="9.85546875" style="5" customWidth="1"/>
    <col min="20" max="20" width="13.140625" style="5" customWidth="1"/>
    <col min="21" max="21" width="8.85546875" style="5" customWidth="1"/>
    <col min="22" max="22" width="10.5703125" style="5" customWidth="1"/>
    <col min="23" max="16384" width="8.85546875" style="5"/>
  </cols>
  <sheetData>
    <row r="1" spans="2:23" ht="15" customHeight="1" thickBot="1" x14ac:dyDescent="0.3"/>
    <row r="2" spans="2:23" ht="32.450000000000003" customHeight="1" thickBot="1" x14ac:dyDescent="0.3">
      <c r="B2" s="696"/>
      <c r="C2" s="1386" t="s">
        <v>210</v>
      </c>
      <c r="D2" s="1386"/>
      <c r="E2" s="1386"/>
      <c r="F2" s="511"/>
      <c r="G2" s="173"/>
      <c r="H2" s="173"/>
      <c r="I2" s="173"/>
      <c r="J2" s="173"/>
      <c r="K2" s="173"/>
      <c r="L2" s="176"/>
    </row>
    <row r="3" spans="2:23" x14ac:dyDescent="0.25">
      <c r="B3" s="179"/>
      <c r="C3" s="1395" t="s">
        <v>1255</v>
      </c>
      <c r="D3" s="1396"/>
      <c r="E3" s="394">
        <f>Welcome!$D$8</f>
        <v>0</v>
      </c>
      <c r="F3" s="397"/>
      <c r="G3" s="481" t="s">
        <v>110</v>
      </c>
      <c r="H3" s="1391" t="str">
        <f>IFERROR(VLOOKUP($H$4,'Market Geography'!$D:$G,4,FALSE),"Select Market")</f>
        <v>Select Market</v>
      </c>
      <c r="I3" s="1391"/>
      <c r="J3" s="1391"/>
      <c r="K3" s="1392"/>
      <c r="L3" s="180"/>
    </row>
    <row r="4" spans="2:23" x14ac:dyDescent="0.25">
      <c r="B4" s="179"/>
      <c r="C4" s="1397" t="s">
        <v>1256</v>
      </c>
      <c r="D4" s="1398"/>
      <c r="E4" s="363" t="str">
        <f>Welcome!$D$12</f>
        <v>Select Term</v>
      </c>
      <c r="F4" s="512"/>
      <c r="G4" s="482" t="s">
        <v>881</v>
      </c>
      <c r="H4" s="1393">
        <f>Welcome!$D$4</f>
        <v>0</v>
      </c>
      <c r="I4" s="1393"/>
      <c r="J4" s="1393"/>
      <c r="K4" s="1394"/>
      <c r="L4" s="180"/>
    </row>
    <row r="5" spans="2:23" x14ac:dyDescent="0.25">
      <c r="B5" s="179"/>
      <c r="C5" s="1397" t="s">
        <v>1261</v>
      </c>
      <c r="D5" s="1398"/>
      <c r="E5" s="144">
        <f>'PIM Model'!$G$31</f>
        <v>0</v>
      </c>
      <c r="F5" s="513"/>
      <c r="G5" s="482" t="s">
        <v>107</v>
      </c>
      <c r="H5" s="1393" t="str">
        <f>'Multi-Customer'!$S$49</f>
        <v>Enter Customer(s)</v>
      </c>
      <c r="I5" s="1393"/>
      <c r="J5" s="1393"/>
      <c r="K5" s="1394"/>
      <c r="L5" s="180"/>
    </row>
    <row r="6" spans="2:23" x14ac:dyDescent="0.25">
      <c r="B6" s="179"/>
      <c r="C6" s="1397" t="s">
        <v>1262</v>
      </c>
      <c r="D6" s="1398"/>
      <c r="E6" s="145">
        <f>'PIM Model'!$E$6</f>
        <v>0</v>
      </c>
      <c r="F6" s="397"/>
      <c r="G6" s="482" t="s">
        <v>1271</v>
      </c>
      <c r="H6" s="1393" t="str">
        <f>IF('Multi-Customer'!$AH$40 = "MULTIPLE MENU TYPES","MULTIPLE TYPES",'Multi-Customer'!$AH$40)</f>
        <v>MULTIPLE TYPES</v>
      </c>
      <c r="I6" s="1393"/>
      <c r="J6" s="1393"/>
      <c r="K6" s="1394"/>
      <c r="L6" s="180"/>
      <c r="R6" s="514"/>
    </row>
    <row r="7" spans="2:23" ht="15.75" thickBot="1" x14ac:dyDescent="0.3">
      <c r="B7" s="179"/>
      <c r="C7" s="1402" t="s">
        <v>1263</v>
      </c>
      <c r="D7" s="1403"/>
      <c r="E7" s="395">
        <f>IFERROR('PIM Ranges'!$AU$3,0)</f>
        <v>0</v>
      </c>
      <c r="F7" s="178"/>
      <c r="G7" s="483" t="s">
        <v>1264</v>
      </c>
      <c r="H7" s="1400" t="s">
        <v>206</v>
      </c>
      <c r="I7" s="1400"/>
      <c r="J7" s="1400"/>
      <c r="K7" s="1401"/>
      <c r="L7" s="180"/>
      <c r="P7" s="178"/>
      <c r="Q7" s="154"/>
      <c r="R7" s="515"/>
      <c r="S7" s="135"/>
      <c r="T7" s="154"/>
      <c r="U7" s="178"/>
      <c r="V7" s="154"/>
      <c r="W7" s="178"/>
    </row>
    <row r="8" spans="2:23" ht="13.9" customHeight="1" x14ac:dyDescent="0.25">
      <c r="B8" s="179"/>
      <c r="D8" s="137"/>
      <c r="E8" s="1345"/>
      <c r="F8" s="1345"/>
      <c r="G8"/>
      <c r="H8"/>
      <c r="I8" s="404"/>
      <c r="J8" s="27"/>
      <c r="K8" s="27"/>
      <c r="L8" s="180"/>
      <c r="P8" s="178"/>
      <c r="Q8" s="137"/>
      <c r="R8" s="516"/>
      <c r="S8" s="135"/>
      <c r="T8" s="217"/>
      <c r="U8" s="178"/>
      <c r="V8" s="218"/>
      <c r="W8" s="178"/>
    </row>
    <row r="9" spans="2:23" ht="13.9" customHeight="1" x14ac:dyDescent="0.25">
      <c r="B9" s="179"/>
      <c r="C9" s="256"/>
      <c r="D9" s="517"/>
      <c r="E9" s="187"/>
      <c r="F9" s="186"/>
      <c r="G9" s="186"/>
      <c r="H9" s="186"/>
      <c r="I9" s="518"/>
      <c r="J9" s="518"/>
      <c r="K9" s="519"/>
      <c r="L9" s="180"/>
      <c r="P9" s="178"/>
      <c r="Q9" s="137"/>
      <c r="R9" s="516"/>
      <c r="S9" s="135"/>
      <c r="T9" s="217"/>
      <c r="U9" s="178"/>
      <c r="V9" s="218"/>
      <c r="W9" s="178"/>
    </row>
    <row r="10" spans="2:23" ht="26.45" customHeight="1" x14ac:dyDescent="0.25">
      <c r="B10" s="179"/>
      <c r="C10" s="251"/>
      <c r="D10" s="6" t="s">
        <v>125</v>
      </c>
      <c r="E10" s="657" t="s">
        <v>1265</v>
      </c>
      <c r="F10" s="191"/>
      <c r="G10" s="657" t="s">
        <v>1266</v>
      </c>
      <c r="H10" s="191"/>
      <c r="I10" s="1389" t="s">
        <v>886</v>
      </c>
      <c r="J10" s="1389"/>
      <c r="K10" s="252"/>
      <c r="L10" s="180"/>
      <c r="P10" s="178"/>
      <c r="Q10" s="178"/>
      <c r="R10" s="520"/>
      <c r="S10" s="178"/>
      <c r="T10" s="178"/>
      <c r="U10" s="178"/>
      <c r="V10" s="178"/>
      <c r="W10" s="178"/>
    </row>
    <row r="11" spans="2:23" ht="23.45" customHeight="1" x14ac:dyDescent="0.25">
      <c r="B11" s="179"/>
      <c r="C11" s="251"/>
      <c r="D11" s="521" t="s">
        <v>1267</v>
      </c>
      <c r="E11" s="522">
        <f>'Variable Costs (Back)'!$AE$25</f>
        <v>0</v>
      </c>
      <c r="F11" s="191"/>
      <c r="G11" s="523">
        <f>IFERROR(E11/'PIM Model'!$H$31,0)</f>
        <v>0</v>
      </c>
      <c r="H11" s="191"/>
      <c r="I11" s="1387" t="str">
        <f>IFERROR($E11/$E$5,"")</f>
        <v/>
      </c>
      <c r="J11" s="1387"/>
      <c r="K11" s="252"/>
      <c r="L11" s="180"/>
      <c r="R11" s="514"/>
    </row>
    <row r="12" spans="2:23" ht="36" customHeight="1" x14ac:dyDescent="0.25">
      <c r="B12" s="179"/>
      <c r="C12" s="251"/>
      <c r="D12" s="1404" t="s">
        <v>684</v>
      </c>
      <c r="E12" s="1404"/>
      <c r="F12" s="524"/>
      <c r="G12" s="525"/>
      <c r="H12" s="191"/>
      <c r="I12" s="526"/>
      <c r="J12" s="527"/>
      <c r="K12" s="252"/>
      <c r="L12" s="180"/>
    </row>
    <row r="13" spans="2:23" s="786" customFormat="1" ht="23.45" customHeight="1" x14ac:dyDescent="0.25">
      <c r="B13" s="179"/>
      <c r="C13" s="251"/>
      <c r="D13" s="521" t="s">
        <v>1269</v>
      </c>
      <c r="E13" s="522">
        <f>'Tracking &amp; Profitability'!E26*-1</f>
        <v>0</v>
      </c>
      <c r="F13" s="191"/>
      <c r="G13" s="523">
        <f>'Tracking &amp; Profitability'!G26*-1</f>
        <v>0</v>
      </c>
      <c r="H13" s="191"/>
      <c r="I13" s="1387" t="str">
        <f>IFERROR(E13/E5,"")</f>
        <v/>
      </c>
      <c r="J13" s="1387"/>
      <c r="K13" s="252"/>
      <c r="L13" s="180"/>
    </row>
    <row r="14" spans="2:23" s="786" customFormat="1" ht="36.6" customHeight="1" x14ac:dyDescent="0.25">
      <c r="B14" s="179"/>
      <c r="C14" s="251"/>
      <c r="D14" s="1404" t="s">
        <v>1168</v>
      </c>
      <c r="E14" s="1404"/>
      <c r="F14" s="524"/>
      <c r="G14" s="525"/>
      <c r="H14" s="191"/>
      <c r="I14" s="526"/>
      <c r="J14" s="527"/>
      <c r="K14" s="252"/>
      <c r="L14" s="180"/>
    </row>
    <row r="15" spans="2:23" ht="23.45" customHeight="1" x14ac:dyDescent="0.25">
      <c r="B15" s="179"/>
      <c r="C15" s="251"/>
      <c r="D15" s="521" t="s">
        <v>1268</v>
      </c>
      <c r="E15" s="522">
        <f>'Variable Costs (Back)'!$AF$25</f>
        <v>0</v>
      </c>
      <c r="F15" s="191"/>
      <c r="G15" s="523">
        <f>IFERROR(E15/'PIM Model'!$H$31,0)</f>
        <v>0</v>
      </c>
      <c r="H15" s="191"/>
      <c r="I15" s="1387" t="str">
        <f>IFERROR($E15/$E$5,"")</f>
        <v/>
      </c>
      <c r="J15" s="1387"/>
      <c r="K15" s="252"/>
      <c r="L15" s="180"/>
    </row>
    <row r="16" spans="2:23" ht="26.45" customHeight="1" x14ac:dyDescent="0.25">
      <c r="B16" s="179"/>
      <c r="C16" s="251"/>
      <c r="D16" s="1399" t="s">
        <v>686</v>
      </c>
      <c r="E16" s="1399"/>
      <c r="F16" s="524"/>
      <c r="G16" s="525"/>
      <c r="H16" s="191"/>
      <c r="I16" s="526"/>
      <c r="J16" s="527"/>
      <c r="K16" s="252"/>
      <c r="L16" s="180"/>
    </row>
    <row r="17" spans="2:12" ht="23.45" customHeight="1" x14ac:dyDescent="0.25">
      <c r="B17" s="179"/>
      <c r="C17" s="251"/>
      <c r="D17" s="521" t="s">
        <v>1270</v>
      </c>
      <c r="E17" s="522">
        <f>'Variable Costs (Back)'!$AD$25</f>
        <v>0</v>
      </c>
      <c r="F17" s="191"/>
      <c r="G17" s="523">
        <f>IFERROR(E17/'PIM Model'!$H$31,0)</f>
        <v>0</v>
      </c>
      <c r="H17" s="191"/>
      <c r="I17" s="1387" t="str">
        <f>IFERROR($E17/$E$5,"")</f>
        <v/>
      </c>
      <c r="J17" s="1387"/>
      <c r="K17" s="252"/>
      <c r="L17" s="180"/>
    </row>
    <row r="18" spans="2:12" ht="25.9" customHeight="1" x14ac:dyDescent="0.25">
      <c r="B18" s="179"/>
      <c r="C18" s="251"/>
      <c r="D18" s="1399" t="s">
        <v>685</v>
      </c>
      <c r="E18" s="1405"/>
      <c r="F18" s="524"/>
      <c r="G18" s="525"/>
      <c r="H18" s="191"/>
      <c r="I18" s="527"/>
      <c r="J18" s="527"/>
      <c r="K18" s="252"/>
      <c r="L18" s="180"/>
    </row>
    <row r="19" spans="2:12" ht="25.15" customHeight="1" x14ac:dyDescent="0.25">
      <c r="B19" s="179"/>
      <c r="C19" s="251"/>
      <c r="D19" s="528" t="s">
        <v>228</v>
      </c>
      <c r="E19" s="529">
        <f>E11+E15+E17+E13</f>
        <v>0</v>
      </c>
      <c r="F19" s="191"/>
      <c r="G19" s="530">
        <f>IFERROR(E19/'PIM Model'!$H$31,0)</f>
        <v>0</v>
      </c>
      <c r="H19" s="531"/>
      <c r="I19" s="1388" t="str">
        <f>IFERROR($E19/$E$5,"")</f>
        <v/>
      </c>
      <c r="J19" s="1388"/>
      <c r="K19" s="252"/>
      <c r="L19" s="180"/>
    </row>
    <row r="20" spans="2:12" ht="13.9" customHeight="1" x14ac:dyDescent="0.25">
      <c r="B20" s="179"/>
      <c r="C20" s="253"/>
      <c r="D20" s="239"/>
      <c r="E20" s="239"/>
      <c r="F20" s="239"/>
      <c r="G20" s="239"/>
      <c r="H20" s="239"/>
      <c r="I20" s="532"/>
      <c r="J20" s="532"/>
      <c r="K20" s="254"/>
      <c r="L20" s="180"/>
    </row>
    <row r="21" spans="2:12" s="178" customFormat="1" ht="13.9" customHeight="1" x14ac:dyDescent="0.25">
      <c r="B21" s="533"/>
      <c r="L21" s="183"/>
    </row>
    <row r="22" spans="2:12" ht="13.9" customHeight="1" x14ac:dyDescent="0.25">
      <c r="B22" s="179"/>
      <c r="C22" s="256"/>
      <c r="D22" s="186"/>
      <c r="E22" s="186"/>
      <c r="F22" s="186"/>
      <c r="G22" s="186"/>
      <c r="H22" s="186"/>
      <c r="I22" s="534"/>
      <c r="J22" s="534"/>
      <c r="K22" s="257"/>
      <c r="L22" s="180"/>
    </row>
    <row r="23" spans="2:12" ht="16.149999999999999" customHeight="1" x14ac:dyDescent="0.25">
      <c r="B23" s="179"/>
      <c r="C23" s="251"/>
      <c r="D23" s="535" t="s">
        <v>945</v>
      </c>
      <c r="E23" s="536">
        <f>IFERROR('EB_CM (Back)'!$G$47,0)</f>
        <v>0</v>
      </c>
      <c r="F23" s="191"/>
      <c r="G23" s="537">
        <f>IFERROR(E23/'PIM Model'!$H$31,0)</f>
        <v>0</v>
      </c>
      <c r="H23" s="191"/>
      <c r="I23" s="1387" t="str">
        <f>IFERROR($E23/$E$5,"")</f>
        <v/>
      </c>
      <c r="J23" s="1387"/>
      <c r="K23" s="252"/>
      <c r="L23" s="180"/>
    </row>
    <row r="24" spans="2:12" ht="16.149999999999999" customHeight="1" x14ac:dyDescent="0.25">
      <c r="B24" s="179"/>
      <c r="C24" s="251"/>
      <c r="D24" s="1390" t="s">
        <v>928</v>
      </c>
      <c r="E24" s="1390"/>
      <c r="F24" s="524"/>
      <c r="G24" s="525"/>
      <c r="H24" s="191"/>
      <c r="I24" s="527"/>
      <c r="J24" s="527"/>
      <c r="K24" s="252"/>
      <c r="L24" s="180"/>
    </row>
    <row r="25" spans="2:12" ht="13.9" customHeight="1" x14ac:dyDescent="0.25">
      <c r="B25" s="179"/>
      <c r="C25" s="253"/>
      <c r="D25" s="538"/>
      <c r="E25" s="539"/>
      <c r="F25" s="239"/>
      <c r="G25" s="540"/>
      <c r="H25" s="239"/>
      <c r="I25" s="532"/>
      <c r="J25" s="532"/>
      <c r="K25" s="254"/>
      <c r="L25" s="180"/>
    </row>
    <row r="26" spans="2:12" ht="13.9" customHeight="1" x14ac:dyDescent="0.25">
      <c r="B26" s="179"/>
      <c r="C26" s="178"/>
      <c r="D26" s="178"/>
      <c r="E26" s="178"/>
      <c r="H26" s="178"/>
      <c r="I26" s="178"/>
      <c r="J26" s="178"/>
      <c r="K26" s="178"/>
      <c r="L26" s="180"/>
    </row>
    <row r="27" spans="2:12" ht="13.9" customHeight="1" x14ac:dyDescent="0.25">
      <c r="B27" s="179"/>
      <c r="C27" s="256"/>
      <c r="D27" s="186"/>
      <c r="E27" s="186"/>
      <c r="F27" s="186"/>
      <c r="G27" s="186"/>
      <c r="H27" s="186"/>
      <c r="I27" s="534"/>
      <c r="J27" s="534"/>
      <c r="K27" s="257"/>
      <c r="L27" s="180"/>
    </row>
    <row r="28" spans="2:12" ht="26.45" customHeight="1" x14ac:dyDescent="0.25">
      <c r="B28" s="179"/>
      <c r="C28" s="251"/>
      <c r="D28" s="6" t="s">
        <v>218</v>
      </c>
      <c r="E28" s="657" t="s">
        <v>1265</v>
      </c>
      <c r="F28" s="191"/>
      <c r="G28" s="657" t="s">
        <v>1266</v>
      </c>
      <c r="H28" s="191"/>
      <c r="I28" s="1389" t="s">
        <v>886</v>
      </c>
      <c r="J28" s="1389"/>
      <c r="K28" s="252"/>
      <c r="L28" s="180"/>
    </row>
    <row r="29" spans="2:12" ht="25.15" customHeight="1" x14ac:dyDescent="0.25">
      <c r="B29" s="179"/>
      <c r="C29" s="251"/>
      <c r="D29" s="535" t="s">
        <v>221</v>
      </c>
      <c r="E29" s="536">
        <f>IFERROR('EB_CM (Back)'!$F$47,0)</f>
        <v>0</v>
      </c>
      <c r="F29" s="191"/>
      <c r="G29" s="523">
        <f>IFERROR(E29/'PIM Model'!$H$31,0)</f>
        <v>0</v>
      </c>
      <c r="H29" s="191"/>
      <c r="I29" s="1387" t="str">
        <f>IFERROR($E29/$E$5,"")</f>
        <v/>
      </c>
      <c r="J29" s="1387"/>
      <c r="K29" s="252"/>
      <c r="L29" s="180"/>
    </row>
    <row r="30" spans="2:12" ht="17.45" customHeight="1" x14ac:dyDescent="0.25">
      <c r="B30" s="179"/>
      <c r="C30" s="251"/>
      <c r="D30" s="535" t="s">
        <v>220</v>
      </c>
      <c r="E30" s="536">
        <f>IFERROR(VLOOKUP($H$4,'Variable Div Avgs'!$D:$L,9,FALSE)*'PIM Model'!$H$31,0)</f>
        <v>0</v>
      </c>
      <c r="F30" s="191"/>
      <c r="G30" s="523">
        <f>IFERROR(E30/'PIM Model'!$H$31,0)</f>
        <v>0</v>
      </c>
      <c r="H30" s="191"/>
      <c r="I30" s="1387" t="str">
        <f>IFERROR($E30/$E$5,"")</f>
        <v/>
      </c>
      <c r="J30" s="1387"/>
      <c r="K30" s="252"/>
      <c r="L30" s="180"/>
    </row>
    <row r="31" spans="2:12" ht="27.6" customHeight="1" x14ac:dyDescent="0.25">
      <c r="B31" s="179"/>
      <c r="C31" s="541"/>
      <c r="D31" s="1399" t="s">
        <v>230</v>
      </c>
      <c r="E31" s="1399"/>
      <c r="F31" s="542"/>
      <c r="G31" s="542"/>
      <c r="H31" s="542"/>
      <c r="I31" s="532"/>
      <c r="J31" s="532"/>
      <c r="K31" s="254"/>
      <c r="L31" s="180"/>
    </row>
    <row r="32" spans="2:12" s="950" customFormat="1" ht="27.6" customHeight="1" x14ac:dyDescent="0.25">
      <c r="B32" s="179"/>
      <c r="C32" s="178"/>
      <c r="D32" s="178"/>
      <c r="E32" s="178"/>
      <c r="H32" s="178"/>
      <c r="I32" s="178"/>
      <c r="J32" s="178"/>
      <c r="K32" s="178"/>
      <c r="L32" s="180"/>
    </row>
    <row r="33" spans="2:12" s="950" customFormat="1" ht="27.6" customHeight="1" x14ac:dyDescent="0.25">
      <c r="B33" s="179"/>
      <c r="C33" s="256"/>
      <c r="D33" s="186"/>
      <c r="E33" s="186"/>
      <c r="F33" s="186"/>
      <c r="G33" s="186"/>
      <c r="H33" s="186"/>
      <c r="I33" s="534"/>
      <c r="J33" s="534"/>
      <c r="K33" s="257"/>
      <c r="L33" s="180"/>
    </row>
    <row r="34" spans="2:12" s="950" customFormat="1" ht="23.25" customHeight="1" x14ac:dyDescent="0.25">
      <c r="B34" s="179"/>
      <c r="C34" s="251"/>
      <c r="D34" s="6" t="s">
        <v>1362</v>
      </c>
      <c r="E34" s="951" t="s">
        <v>266</v>
      </c>
      <c r="F34" s="191"/>
      <c r="G34" s="951" t="s">
        <v>1266</v>
      </c>
      <c r="H34" s="191"/>
      <c r="I34" s="952"/>
      <c r="J34" s="952"/>
      <c r="K34" s="252"/>
      <c r="L34" s="180"/>
    </row>
    <row r="35" spans="2:12" s="950" customFormat="1" ht="23.25" customHeight="1" x14ac:dyDescent="0.25">
      <c r="B35" s="179"/>
      <c r="C35" s="251"/>
      <c r="D35" s="535" t="s">
        <v>1363</v>
      </c>
      <c r="E35" s="962">
        <f>IFERROR('Customer Inputs'!BA16,0)</f>
        <v>0</v>
      </c>
      <c r="F35" s="191"/>
      <c r="G35" s="952"/>
      <c r="H35" s="191"/>
      <c r="I35" s="952"/>
      <c r="J35" s="952"/>
      <c r="K35" s="252"/>
      <c r="L35" s="180"/>
    </row>
    <row r="36" spans="2:12" s="950" customFormat="1" ht="22.5" customHeight="1" x14ac:dyDescent="0.25">
      <c r="B36" s="179"/>
      <c r="C36" s="251"/>
      <c r="D36" s="535" t="s">
        <v>1364</v>
      </c>
      <c r="E36" s="962">
        <f>IFERROR('Customer Inputs'!BD16,0)</f>
        <v>0</v>
      </c>
      <c r="F36" s="191"/>
      <c r="G36" s="523">
        <f>IFERROR(E36*'Customer Inputs'!BC16/'PIM Model'!$H$31,0)</f>
        <v>0</v>
      </c>
      <c r="H36" s="191"/>
      <c r="I36" s="952"/>
      <c r="J36" s="952"/>
      <c r="K36" s="252"/>
      <c r="L36" s="180"/>
    </row>
    <row r="37" spans="2:12" s="950" customFormat="1" ht="27.6" customHeight="1" x14ac:dyDescent="0.25">
      <c r="B37" s="179"/>
      <c r="C37" s="541"/>
      <c r="D37" s="1399"/>
      <c r="E37" s="1399"/>
      <c r="F37" s="542"/>
      <c r="G37" s="542"/>
      <c r="H37" s="542"/>
      <c r="I37" s="532"/>
      <c r="J37" s="532"/>
      <c r="K37" s="254"/>
      <c r="L37" s="180"/>
    </row>
    <row r="38" spans="2:12" ht="21.6" customHeight="1" thickBot="1" x14ac:dyDescent="0.3">
      <c r="B38" s="660"/>
      <c r="C38" s="654"/>
      <c r="D38" s="654"/>
      <c r="E38" s="654"/>
      <c r="F38" s="654"/>
      <c r="G38" s="654"/>
      <c r="H38" s="654"/>
      <c r="I38" s="654"/>
      <c r="J38" s="654"/>
      <c r="K38" s="654"/>
      <c r="L38" s="661"/>
    </row>
    <row r="39" spans="2:12" ht="39" customHeight="1" x14ac:dyDescent="0.25"/>
  </sheetData>
  <sheetProtection algorithmName="SHA-512" hashValue="8lqKvbBAhzH9NRWU0Hpxfawu03xOzIiUfqXNSuYHP4U9qvZ09ahRswpN+Y6GH/ozNFY0LqaUHceV+sfMlgU6/w==" saltValue="QNoPkc7T1O+V3Z5c+r6Ubw==" spinCount="100000" sheet="1" selectLockedCells="1"/>
  <mergeCells count="29">
    <mergeCell ref="D37:E37"/>
    <mergeCell ref="H6:K6"/>
    <mergeCell ref="H7:K7"/>
    <mergeCell ref="C6:D6"/>
    <mergeCell ref="C7:D7"/>
    <mergeCell ref="I10:J10"/>
    <mergeCell ref="I13:J13"/>
    <mergeCell ref="D31:E31"/>
    <mergeCell ref="E8:F8"/>
    <mergeCell ref="D16:E16"/>
    <mergeCell ref="D12:E12"/>
    <mergeCell ref="D18:E18"/>
    <mergeCell ref="D14:E14"/>
    <mergeCell ref="C2:E2"/>
    <mergeCell ref="I29:J29"/>
    <mergeCell ref="I30:J30"/>
    <mergeCell ref="I15:J15"/>
    <mergeCell ref="I17:J17"/>
    <mergeCell ref="I19:J19"/>
    <mergeCell ref="I23:J23"/>
    <mergeCell ref="I28:J28"/>
    <mergeCell ref="D24:E24"/>
    <mergeCell ref="I11:J11"/>
    <mergeCell ref="H3:K3"/>
    <mergeCell ref="H4:K4"/>
    <mergeCell ref="H5:K5"/>
    <mergeCell ref="C3:D3"/>
    <mergeCell ref="C4:D4"/>
    <mergeCell ref="C5:D5"/>
  </mergeCells>
  <dataValidations count="1">
    <dataValidation type="decimal" allowBlank="1" showInputMessage="1" showErrorMessage="1" sqref="E30 E36" xr:uid="{00000000-0002-0000-0500-000000000000}">
      <formula1>#REF!</formula1>
      <formula2>C30</formula2>
    </dataValidation>
  </dataValidations>
  <printOptions horizontalCentered="1"/>
  <pageMargins left="0.25" right="0.25" top="0.75" bottom="0.75" header="0.3" footer="0.3"/>
  <pageSetup scale="81"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I18:J18" evalError="1"/>
  </ignoredErrors>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_5">
    <tabColor rgb="FFFFC000"/>
    <pageSetUpPr fitToPage="1"/>
  </sheetPr>
  <dimension ref="A1:AE42"/>
  <sheetViews>
    <sheetView showGridLines="0" zoomScale="80" zoomScaleNormal="80" zoomScaleSheetLayoutView="100" workbookViewId="0">
      <selection activeCell="B2" sqref="B2"/>
    </sheetView>
  </sheetViews>
  <sheetFormatPr defaultColWidth="8.85546875" defaultRowHeight="15" x14ac:dyDescent="0.25"/>
  <cols>
    <col min="1" max="1" width="2.7109375" style="5" customWidth="1"/>
    <col min="2" max="2" width="6.42578125" style="5" customWidth="1"/>
    <col min="3" max="3" width="2.7109375" style="5" customWidth="1"/>
    <col min="4" max="4" width="33.85546875" style="543" customWidth="1"/>
    <col min="5" max="5" width="24.7109375" style="5" customWidth="1"/>
    <col min="6" max="6" width="2.140625" style="5" customWidth="1"/>
    <col min="7" max="7" width="27.140625" style="177" customWidth="1"/>
    <col min="8" max="8" width="2.85546875" style="177" customWidth="1"/>
    <col min="9" max="9" width="17.7109375" style="177" bestFit="1" customWidth="1"/>
    <col min="10" max="10" width="15.140625" style="177" customWidth="1"/>
    <col min="11" max="11" width="17.7109375" style="177" customWidth="1"/>
    <col min="12" max="12" width="2.5703125" style="177" customWidth="1"/>
    <col min="13" max="13" width="17" style="177" customWidth="1"/>
    <col min="14" max="14" width="18.28515625" style="5" customWidth="1"/>
    <col min="15" max="15" width="3.5703125" style="5" customWidth="1"/>
    <col min="16" max="16" width="2" style="809" customWidth="1"/>
    <col min="17" max="17" width="10.85546875" style="177" customWidth="1"/>
    <col min="18" max="18" width="11.5703125" style="809" bestFit="1" customWidth="1"/>
    <col min="19" max="19" width="2.42578125" style="177" customWidth="1"/>
    <col min="20" max="20" width="13.140625" style="177" customWidth="1"/>
    <col min="21" max="21" width="21.140625" style="5" customWidth="1"/>
    <col min="22" max="22" width="10.140625" style="5" customWidth="1"/>
    <col min="23" max="23" width="8.85546875" style="5" customWidth="1"/>
    <col min="24" max="24" width="13.140625" style="5" customWidth="1"/>
    <col min="25" max="25" width="8.85546875" style="5" customWidth="1"/>
    <col min="26" max="26" width="10.5703125" style="5" customWidth="1"/>
    <col min="27" max="30" width="8.85546875" style="5"/>
    <col min="31" max="31" width="63.28515625" style="5" bestFit="1" customWidth="1"/>
    <col min="32" max="16384" width="8.85546875" style="5"/>
  </cols>
  <sheetData>
    <row r="1" spans="1:31" ht="15" customHeight="1" thickBot="1" x14ac:dyDescent="0.3">
      <c r="A1" s="5" t="s">
        <v>522</v>
      </c>
      <c r="U1" s="704" t="str">
        <f>N22</f>
        <v/>
      </c>
      <c r="X1" s="704" t="str">
        <f>IF(AND(NOT(ISBLANK(Welcome!D8)),Welcome!$D$8 &lt;&gt; "CIA"),IF(COUNTBLANK('PIM Model'!K10:K30)&gt;0,"TRUE","FALSE"),"FALSE")</f>
        <v>FALSE</v>
      </c>
    </row>
    <row r="2" spans="1:31" ht="21" x14ac:dyDescent="0.25">
      <c r="B2" s="696"/>
      <c r="C2" s="544" t="s">
        <v>129</v>
      </c>
      <c r="D2" s="173"/>
      <c r="E2" s="544"/>
      <c r="F2" s="545"/>
      <c r="G2" s="175"/>
      <c r="H2" s="175"/>
      <c r="I2" s="175"/>
      <c r="J2" s="175"/>
      <c r="K2" s="175"/>
      <c r="L2" s="175"/>
      <c r="M2" s="175"/>
      <c r="N2" s="173"/>
      <c r="O2" s="173"/>
      <c r="P2" s="810"/>
      <c r="Q2" s="175"/>
      <c r="R2" s="810"/>
      <c r="S2" s="546"/>
    </row>
    <row r="3" spans="1:31" ht="8.4499999999999993" customHeight="1" thickBot="1" x14ac:dyDescent="0.3">
      <c r="B3" s="179"/>
      <c r="D3" s="5"/>
      <c r="F3" s="178"/>
      <c r="G3" s="5"/>
      <c r="H3" s="5"/>
      <c r="I3" s="5"/>
      <c r="J3" s="942"/>
      <c r="K3" s="942"/>
      <c r="L3" s="942"/>
      <c r="M3" s="942"/>
      <c r="S3" s="259"/>
    </row>
    <row r="4" spans="1:31" ht="14.45" customHeight="1" x14ac:dyDescent="0.25">
      <c r="B4" s="179"/>
      <c r="C4" s="1395" t="s">
        <v>1255</v>
      </c>
      <c r="D4" s="1396"/>
      <c r="E4" s="659">
        <f>Welcome!$D$8</f>
        <v>0</v>
      </c>
      <c r="F4" s="140"/>
      <c r="G4" s="481" t="s">
        <v>110</v>
      </c>
      <c r="H4" s="1332" t="str">
        <f>IFERROR(VLOOKUP($H$5,'Market Geography'!$D:$G,4,FALSE),"Select Market")</f>
        <v>Select Market</v>
      </c>
      <c r="I4" s="1333"/>
      <c r="J4" s="1334"/>
      <c r="K4" s="942"/>
      <c r="L4" s="942"/>
      <c r="M4" s="942"/>
      <c r="N4" s="942"/>
      <c r="O4" s="942"/>
      <c r="P4" s="813"/>
      <c r="Q4" s="815"/>
      <c r="R4" s="752"/>
      <c r="S4" s="547"/>
    </row>
    <row r="5" spans="1:31" x14ac:dyDescent="0.25">
      <c r="B5" s="179"/>
      <c r="C5" s="1397" t="s">
        <v>1256</v>
      </c>
      <c r="D5" s="1398"/>
      <c r="E5" s="363" t="str">
        <f>Welcome!$D$12</f>
        <v>Select Term</v>
      </c>
      <c r="F5" s="140"/>
      <c r="G5" s="482" t="s">
        <v>881</v>
      </c>
      <c r="H5" s="1329">
        <f>Welcome!$D$4</f>
        <v>0</v>
      </c>
      <c r="I5" s="1330"/>
      <c r="J5" s="1331"/>
      <c r="K5" s="942"/>
      <c r="L5" s="942"/>
      <c r="M5" s="942"/>
      <c r="N5" s="942"/>
      <c r="O5" s="942"/>
      <c r="P5" s="813"/>
      <c r="Q5" s="815"/>
      <c r="R5" s="752"/>
      <c r="S5" s="547"/>
    </row>
    <row r="6" spans="1:31" x14ac:dyDescent="0.25">
      <c r="B6" s="179"/>
      <c r="C6" s="1397" t="s">
        <v>1261</v>
      </c>
      <c r="D6" s="1398"/>
      <c r="E6" s="364">
        <f>IFERROR('PIM Model'!$G$31,0)</f>
        <v>0</v>
      </c>
      <c r="F6" s="396"/>
      <c r="G6" s="482" t="s">
        <v>107</v>
      </c>
      <c r="H6" s="1329" t="str">
        <f>'Multi-Customer'!$S$49</f>
        <v>Enter Customer(s)</v>
      </c>
      <c r="I6" s="1330"/>
      <c r="J6" s="1331"/>
      <c r="K6" s="942"/>
      <c r="L6" s="942"/>
      <c r="M6" s="942"/>
      <c r="N6" s="942"/>
      <c r="O6" s="942"/>
      <c r="P6" s="813"/>
      <c r="Q6" s="815"/>
      <c r="R6" s="752"/>
      <c r="S6" s="547"/>
    </row>
    <row r="7" spans="1:31" x14ac:dyDescent="0.25">
      <c r="B7" s="179"/>
      <c r="C7" s="1397" t="s">
        <v>1262</v>
      </c>
      <c r="D7" s="1398"/>
      <c r="E7" s="548">
        <f>IFERROR('Variable Costs (Back)'!$K$26,0)</f>
        <v>0</v>
      </c>
      <c r="F7" s="178"/>
      <c r="G7" s="482" t="s">
        <v>1271</v>
      </c>
      <c r="H7" s="1329" t="str">
        <f>'Multi-Customer'!$AH$40</f>
        <v>MULTIPLE TYPES</v>
      </c>
      <c r="I7" s="1330"/>
      <c r="J7" s="1331"/>
      <c r="K7" s="942"/>
      <c r="L7" s="942"/>
      <c r="M7" s="942"/>
      <c r="N7" s="942"/>
      <c r="O7" s="942"/>
      <c r="P7" s="813"/>
      <c r="Q7" s="815"/>
      <c r="R7" s="752"/>
      <c r="S7" s="547"/>
    </row>
    <row r="8" spans="1:31" ht="15.75" thickBot="1" x14ac:dyDescent="0.3">
      <c r="B8" s="179"/>
      <c r="C8" s="1402" t="s">
        <v>1263</v>
      </c>
      <c r="D8" s="1403"/>
      <c r="E8" s="395">
        <f>IFERROR('PIM Ranges'!$AU$3,0)</f>
        <v>0</v>
      </c>
      <c r="F8" s="397"/>
      <c r="G8" s="483" t="s">
        <v>1264</v>
      </c>
      <c r="H8" s="1406" t="s">
        <v>206</v>
      </c>
      <c r="I8" s="1407"/>
      <c r="J8" s="1408"/>
      <c r="K8" s="942"/>
      <c r="L8" s="942"/>
      <c r="M8" s="942"/>
      <c r="N8" s="942"/>
      <c r="O8" s="942"/>
      <c r="P8" s="814"/>
      <c r="Q8" s="815"/>
      <c r="R8" s="752"/>
      <c r="S8" s="549"/>
    </row>
    <row r="9" spans="1:31" ht="8.4499999999999993" customHeight="1" x14ac:dyDescent="0.25">
      <c r="B9" s="179"/>
      <c r="D9" s="137"/>
      <c r="E9" s="658"/>
      <c r="F9" s="658"/>
      <c r="G9" s="658"/>
      <c r="H9" s="658"/>
      <c r="I9" s="658"/>
      <c r="J9" s="940"/>
      <c r="K9" s="940"/>
      <c r="L9" s="940"/>
      <c r="M9" s="940"/>
      <c r="S9" s="259"/>
    </row>
    <row r="10" spans="1:31" ht="7.9" customHeight="1" x14ac:dyDescent="0.25">
      <c r="B10" s="179"/>
      <c r="C10" s="256"/>
      <c r="D10" s="550"/>
      <c r="E10" s="186"/>
      <c r="F10" s="186"/>
      <c r="G10" s="186"/>
      <c r="H10" s="186"/>
      <c r="I10" s="186"/>
      <c r="J10" s="186"/>
      <c r="K10" s="186"/>
      <c r="L10" s="186"/>
      <c r="M10" s="186"/>
      <c r="N10" s="186"/>
      <c r="O10" s="190"/>
      <c r="P10"/>
      <c r="Q10" s="811"/>
      <c r="R10" s="808"/>
      <c r="S10" s="180"/>
      <c r="T10" s="5"/>
    </row>
    <row r="11" spans="1:31" ht="18.600000000000001" customHeight="1" x14ac:dyDescent="0.25">
      <c r="B11" s="179"/>
      <c r="C11" s="251"/>
      <c r="D11" s="7"/>
      <c r="E11" s="6" t="s">
        <v>1265</v>
      </c>
      <c r="F11" s="35"/>
      <c r="G11" s="196" t="s">
        <v>1266</v>
      </c>
      <c r="H11" s="198"/>
      <c r="I11" s="191"/>
      <c r="J11" s="191"/>
      <c r="K11" s="191"/>
      <c r="L11" s="191"/>
      <c r="M11" s="191"/>
      <c r="N11" s="191"/>
      <c r="O11" s="193"/>
      <c r="P11"/>
      <c r="Q11" s="1414" t="s">
        <v>1214</v>
      </c>
      <c r="R11" s="1414"/>
      <c r="S11" s="180"/>
      <c r="T11" s="5"/>
    </row>
    <row r="12" spans="1:31" ht="21" customHeight="1" x14ac:dyDescent="0.25">
      <c r="B12" s="179"/>
      <c r="C12" s="251"/>
      <c r="D12" s="719" t="s">
        <v>687</v>
      </c>
      <c r="E12" s="720">
        <f>IFERROR('PIM Model'!$G$31,0)</f>
        <v>0</v>
      </c>
      <c r="F12" s="36"/>
      <c r="G12" s="721">
        <f>IFERROR(E12/'PIM Model'!$H$31,0)</f>
        <v>0</v>
      </c>
      <c r="H12" s="552"/>
      <c r="I12" s="553"/>
      <c r="J12" s="553"/>
      <c r="K12" s="553"/>
      <c r="L12" s="553"/>
      <c r="M12" s="553"/>
      <c r="N12" s="554" t="str">
        <f>IF(AND(Welcome!D8="CIA",E12&lt;150000),"Spend",IF(AND(OR(Welcome!D8="MDA",Welcome!D8="PON Only",Welcome!D8="PON with Existing CIA",Welcome!D8="PON with New CIA"),E12&lt;250000),"Spend",IF(E12&gt;2500000,"Spend Maximum Exceeded. Go to Custom","Approve")))</f>
        <v>Approve</v>
      </c>
      <c r="O12" s="555"/>
      <c r="P12"/>
      <c r="Q12" s="871"/>
      <c r="R12" s="872"/>
      <c r="S12" s="180"/>
      <c r="T12" s="5"/>
    </row>
    <row r="13" spans="1:31" ht="21" customHeight="1" x14ac:dyDescent="0.25">
      <c r="B13" s="179"/>
      <c r="C13" s="251"/>
      <c r="D13" s="8" t="s">
        <v>490</v>
      </c>
      <c r="E13" s="12">
        <f>IFERROR('PIM Model'!$I$34,0)</f>
        <v>0</v>
      </c>
      <c r="F13" s="36"/>
      <c r="G13" s="551">
        <f>IFERROR(E13/'PIM Model'!$H$31,0)</f>
        <v>0</v>
      </c>
      <c r="H13" s="552"/>
      <c r="I13" s="553"/>
      <c r="J13" s="559"/>
      <c r="K13" s="553"/>
      <c r="L13" s="553"/>
      <c r="M13" s="553"/>
      <c r="N13" s="556" t="str">
        <f>IF(E13&gt;0,IF(N17=0,IF(X1="FALSE","Approve","Reject"),"Reject"),"")</f>
        <v/>
      </c>
      <c r="O13" s="555"/>
      <c r="P13"/>
      <c r="Q13" s="871"/>
      <c r="R13" s="872"/>
      <c r="S13" s="180"/>
      <c r="T13" s="5"/>
    </row>
    <row r="14" spans="1:31" ht="7.15" customHeight="1" x14ac:dyDescent="0.25">
      <c r="B14" s="179"/>
      <c r="C14" s="251"/>
      <c r="D14" s="722"/>
      <c r="E14" s="723"/>
      <c r="F14" s="723"/>
      <c r="G14" s="716"/>
      <c r="H14" s="716"/>
      <c r="I14" s="717"/>
      <c r="J14" s="559"/>
      <c r="K14" s="553"/>
      <c r="L14" s="553"/>
      <c r="M14" s="553"/>
      <c r="N14" s="718"/>
      <c r="O14" s="555"/>
      <c r="P14"/>
      <c r="Q14" s="811"/>
      <c r="R14" s="808"/>
      <c r="S14" s="180"/>
      <c r="T14" s="5"/>
    </row>
    <row r="15" spans="1:31" ht="21" customHeight="1" x14ac:dyDescent="0.25">
      <c r="B15" s="179"/>
      <c r="C15" s="251"/>
      <c r="D15" s="722"/>
      <c r="E15" s="6" t="s">
        <v>1265</v>
      </c>
      <c r="F15" s="35"/>
      <c r="G15" s="125" t="s">
        <v>1266</v>
      </c>
      <c r="H15" s="557"/>
      <c r="I15" s="196" t="s">
        <v>886</v>
      </c>
      <c r="J15" s="559"/>
      <c r="K15" s="553"/>
      <c r="L15" s="553"/>
      <c r="M15" s="553"/>
      <c r="N15" s="718"/>
      <c r="O15" s="555"/>
      <c r="P15"/>
      <c r="Q15" s="811"/>
      <c r="R15" s="808"/>
      <c r="S15" s="180"/>
      <c r="T15" s="5"/>
      <c r="AE15" s="5" t="e">
        <f>Incentives!K147&gt;ROUNDUP((((VLOOKUP('Variable Selling'!$A$2,'CC MARKET EXPENSE'!$A:$D,4,0))*100)*50/100)/0.25,0)*0.25/100</f>
        <v>#N/A</v>
      </c>
    </row>
    <row r="16" spans="1:31" ht="24" customHeight="1" x14ac:dyDescent="0.25">
      <c r="B16" s="179"/>
      <c r="C16" s="251"/>
      <c r="D16" s="16" t="s">
        <v>1047</v>
      </c>
      <c r="E16" s="724">
        <v>0</v>
      </c>
      <c r="F16" s="124"/>
      <c r="G16" s="717"/>
      <c r="H16" s="716"/>
      <c r="I16" s="717"/>
      <c r="J16" s="559"/>
      <c r="K16" s="553"/>
      <c r="L16" s="553"/>
      <c r="M16" s="553"/>
      <c r="N16" s="718"/>
      <c r="O16" s="555"/>
      <c r="P16"/>
      <c r="Q16" s="811"/>
      <c r="R16" s="808"/>
      <c r="S16" s="180"/>
      <c r="T16" s="5"/>
    </row>
    <row r="17" spans="2:20" ht="24" customHeight="1" x14ac:dyDescent="0.25">
      <c r="B17" s="179"/>
      <c r="C17" s="251"/>
      <c r="D17" s="16" t="s">
        <v>1353</v>
      </c>
      <c r="E17" s="12">
        <f>IFERROR('EB_CM (Back)'!$G$47*-1,0)-E16</f>
        <v>0</v>
      </c>
      <c r="F17" s="36"/>
      <c r="G17" s="551">
        <f>IFERROR(E17/'PIM Model'!$H$31,0)</f>
        <v>0</v>
      </c>
      <c r="H17" s="557"/>
      <c r="I17" s="560">
        <f>IFERROR(E17/E12,0)</f>
        <v>0</v>
      </c>
      <c r="J17" s="559"/>
      <c r="K17" s="553"/>
      <c r="L17" s="553"/>
      <c r="M17" s="553"/>
      <c r="N17" s="873">
        <f>COUNTIF('PIM Model'!$AB$10:$AB$30,"ERROR")+COUNTIFS('PIM Model'!$AF$10:$AJ$30,"BELOW")</f>
        <v>0</v>
      </c>
      <c r="O17" s="558"/>
      <c r="P17"/>
      <c r="Q17" s="811"/>
      <c r="R17" s="808"/>
      <c r="S17" s="180"/>
      <c r="T17" s="5"/>
    </row>
    <row r="18" spans="2:20" ht="13.15" customHeight="1" x14ac:dyDescent="0.25">
      <c r="B18" s="179"/>
      <c r="C18" s="251"/>
      <c r="D18" s="191"/>
      <c r="E18" s="191"/>
      <c r="F18" s="191"/>
      <c r="G18" s="191"/>
      <c r="H18" s="557"/>
      <c r="I18" s="559"/>
      <c r="J18" s="559"/>
      <c r="K18" s="553"/>
      <c r="L18" s="553"/>
      <c r="M18" s="553"/>
      <c r="N18" s="559"/>
      <c r="O18" s="558"/>
      <c r="P18"/>
      <c r="Q18" s="811"/>
      <c r="R18" s="808"/>
      <c r="S18" s="180"/>
      <c r="T18" s="5"/>
    </row>
    <row r="19" spans="2:20" ht="21.6" customHeight="1" x14ac:dyDescent="0.25">
      <c r="B19" s="179"/>
      <c r="C19" s="251"/>
      <c r="D19" s="191"/>
      <c r="E19" s="6" t="s">
        <v>1265</v>
      </c>
      <c r="F19" s="35"/>
      <c r="G19" s="196" t="s">
        <v>1266</v>
      </c>
      <c r="H19" s="557"/>
      <c r="I19" s="196" t="s">
        <v>886</v>
      </c>
      <c r="J19" s="559"/>
      <c r="K19" s="553"/>
      <c r="L19" s="553"/>
      <c r="M19" s="553"/>
      <c r="N19" s="559"/>
      <c r="O19" s="558"/>
      <c r="P19"/>
      <c r="Q19" s="811"/>
      <c r="R19" s="808"/>
      <c r="S19" s="180"/>
      <c r="T19" s="5"/>
    </row>
    <row r="20" spans="2:20" ht="21.6" customHeight="1" x14ac:dyDescent="0.25">
      <c r="B20" s="179"/>
      <c r="C20" s="251"/>
      <c r="D20" s="8" t="s">
        <v>948</v>
      </c>
      <c r="E20" s="12">
        <f>E13+E17</f>
        <v>0</v>
      </c>
      <c r="F20" s="36"/>
      <c r="G20" s="551">
        <f>IFERROR(E20/'PIM Model'!$H$31,0)</f>
        <v>0</v>
      </c>
      <c r="H20" s="557"/>
      <c r="I20" s="560">
        <f>IFERROR(E20/E12,0)</f>
        <v>0</v>
      </c>
      <c r="J20" s="559"/>
      <c r="K20" s="553"/>
      <c r="L20" s="553"/>
      <c r="M20" s="553"/>
      <c r="N20" s="559"/>
      <c r="O20" s="558"/>
      <c r="P20"/>
      <c r="Q20" s="811"/>
      <c r="R20" s="808"/>
      <c r="S20" s="180"/>
      <c r="T20" s="5"/>
    </row>
    <row r="21" spans="2:20" x14ac:dyDescent="0.25">
      <c r="B21" s="179"/>
      <c r="C21" s="251"/>
      <c r="D21" s="7"/>
      <c r="E21" s="557"/>
      <c r="F21" s="557"/>
      <c r="G21" s="557"/>
      <c r="H21" s="557"/>
      <c r="I21" s="559"/>
      <c r="J21" s="559"/>
      <c r="K21" s="553"/>
      <c r="L21" s="553"/>
      <c r="M21" s="553"/>
      <c r="N21" s="559"/>
      <c r="O21" s="558"/>
      <c r="P21"/>
      <c r="Q21" s="1409" t="s">
        <v>1214</v>
      </c>
      <c r="R21" s="1410"/>
      <c r="S21" s="180"/>
      <c r="T21" s="5"/>
    </row>
    <row r="22" spans="2:20" ht="24" customHeight="1" x14ac:dyDescent="0.25">
      <c r="B22" s="179"/>
      <c r="C22" s="251"/>
      <c r="D22" s="16" t="s">
        <v>1354</v>
      </c>
      <c r="E22" s="12">
        <f>IFERROR(Incentives!O204*-1,0)</f>
        <v>0</v>
      </c>
      <c r="F22" s="561">
        <f>Incentives!O206</f>
        <v>0</v>
      </c>
      <c r="G22" s="551">
        <f>IFERROR(E22/'PIM Model'!$H$31,0)</f>
        <v>0</v>
      </c>
      <c r="H22" s="552"/>
      <c r="I22" s="707" t="str">
        <f>IF(Incentives!O206&gt;0,"**Missing Incentive Payment Method**","")</f>
        <v/>
      </c>
      <c r="J22" s="707"/>
      <c r="K22" s="707"/>
      <c r="L22" s="707"/>
      <c r="M22" s="707"/>
      <c r="N22" s="526" t="str">
        <f>IF(M22="Yes","Approve",IF(E22=0,"",IF(AND(Incentives!$E$143="Yes",Welcome!D14="NO"),"Reject",IF(F22&gt;0.05,"Reject",IF(Incentives!K147&gt;ROUNDUP((((VLOOKUP('Variable Selling'!$A$2,'CC MARKET EXPENSE'!$A:$D,4,0))*100)*50/100)/0.25,0)*0.25/100,"Reject",IF(Incentives!M186&gt;=10000,"Caution",IF(Incentives!K177+O78&gt;=10000,"Caution","Approve")))))))</f>
        <v/>
      </c>
      <c r="O22" s="562"/>
      <c r="P22"/>
      <c r="Q22" s="816"/>
      <c r="R22" s="817"/>
      <c r="S22" s="180"/>
      <c r="T22" s="5"/>
    </row>
    <row r="23" spans="2:20" ht="21.6" customHeight="1" x14ac:dyDescent="0.25">
      <c r="B23" s="179"/>
      <c r="C23" s="251"/>
      <c r="D23" s="8" t="s">
        <v>1355</v>
      </c>
      <c r="E23" s="12">
        <f>E20+E22</f>
        <v>0</v>
      </c>
      <c r="F23" s="36"/>
      <c r="G23" s="551">
        <f>IFERROR(E23/'PIM Model'!$H$31,0)</f>
        <v>0</v>
      </c>
      <c r="H23" s="552"/>
      <c r="I23" s="191"/>
      <c r="J23" s="191"/>
      <c r="K23" s="191"/>
      <c r="L23" s="191"/>
      <c r="M23" s="191"/>
      <c r="N23" s="191"/>
      <c r="O23" s="193"/>
      <c r="P23"/>
      <c r="Q23" s="811"/>
      <c r="R23" s="808"/>
      <c r="S23" s="180"/>
      <c r="T23" s="5"/>
    </row>
    <row r="24" spans="2:20" ht="11.45" customHeight="1" x14ac:dyDescent="0.25">
      <c r="B24" s="179"/>
      <c r="C24" s="251"/>
      <c r="D24" s="7"/>
      <c r="E24" s="557"/>
      <c r="F24" s="557"/>
      <c r="G24" s="563"/>
      <c r="H24" s="563"/>
      <c r="I24" s="191"/>
      <c r="J24" s="191"/>
      <c r="K24" s="191"/>
      <c r="L24" s="191"/>
      <c r="M24" s="191"/>
      <c r="N24" s="191"/>
      <c r="O24" s="193"/>
      <c r="P24"/>
      <c r="Q24" s="811"/>
      <c r="R24" s="808"/>
      <c r="S24" s="180"/>
      <c r="T24" s="5"/>
    </row>
    <row r="25" spans="2:20" ht="21.6" customHeight="1" x14ac:dyDescent="0.25">
      <c r="B25" s="179"/>
      <c r="C25" s="251"/>
      <c r="D25" s="16" t="s">
        <v>1356</v>
      </c>
      <c r="E25" s="13">
        <f>IFERROR('Variable Costs &amp; Income'!$E$11*-1,0)</f>
        <v>0</v>
      </c>
      <c r="F25" s="37"/>
      <c r="G25" s="564">
        <f>IFERROR(E25/'PIM Model'!$H$31,0)</f>
        <v>0</v>
      </c>
      <c r="H25" s="64"/>
      <c r="I25" s="565"/>
      <c r="J25" s="565"/>
      <c r="K25" s="565"/>
      <c r="L25" s="565"/>
      <c r="M25" s="565"/>
      <c r="N25" s="565"/>
      <c r="O25" s="193"/>
      <c r="P25"/>
      <c r="Q25" s="811"/>
      <c r="R25" s="808"/>
      <c r="S25" s="180"/>
      <c r="T25" s="5"/>
    </row>
    <row r="26" spans="2:20" ht="21.6" customHeight="1" x14ac:dyDescent="0.25">
      <c r="B26" s="179"/>
      <c r="C26" s="251"/>
      <c r="D26" s="16" t="s">
        <v>1167</v>
      </c>
      <c r="E26" s="13">
        <f>IF(AND(Welcome!D16="YES",Incentives!E143="Yes"),0,IF(AND(Welcome!D16="YES",Incentives!E143="No"),E12*(VLOOKUP('Variable Selling'!$A$2,'CC MARKET EXPENSE'!$A:$D,4,0)),0))*-1</f>
        <v>0</v>
      </c>
      <c r="F26" s="37"/>
      <c r="G26" s="564">
        <f>IFERROR(E26/'PIM Model'!$H$31,0)</f>
        <v>0</v>
      </c>
      <c r="H26" s="64"/>
      <c r="I26" s="565"/>
      <c r="J26" s="565"/>
      <c r="K26" s="565"/>
      <c r="L26" s="565"/>
      <c r="M26" s="565"/>
      <c r="N26" s="565"/>
      <c r="O26" s="193"/>
      <c r="P26"/>
      <c r="Q26" s="811"/>
      <c r="R26" s="808"/>
      <c r="S26" s="180"/>
      <c r="T26" s="5"/>
    </row>
    <row r="27" spans="2:20" ht="21.6" customHeight="1" x14ac:dyDescent="0.25">
      <c r="B27" s="179"/>
      <c r="C27" s="251"/>
      <c r="D27" s="16" t="s">
        <v>1268</v>
      </c>
      <c r="E27" s="13">
        <f>IFERROR('Variable Costs &amp; Income'!$E$15*-1,0)</f>
        <v>0</v>
      </c>
      <c r="F27" s="37"/>
      <c r="G27" s="564">
        <f>IFERROR(E27/'PIM Model'!$H$31,0)</f>
        <v>0</v>
      </c>
      <c r="H27" s="64"/>
      <c r="I27" s="565"/>
      <c r="J27" s="565"/>
      <c r="K27" s="565"/>
      <c r="L27" s="565"/>
      <c r="M27" s="565"/>
      <c r="N27" s="565"/>
      <c r="O27" s="193"/>
      <c r="P27"/>
      <c r="Q27" s="811"/>
      <c r="R27" s="808"/>
      <c r="S27" s="180"/>
      <c r="T27" s="5"/>
    </row>
    <row r="28" spans="2:20" ht="21" customHeight="1" x14ac:dyDescent="0.25">
      <c r="B28" s="179"/>
      <c r="C28" s="251"/>
      <c r="D28" s="16" t="s">
        <v>1270</v>
      </c>
      <c r="E28" s="13">
        <f>IFERROR('Variable Costs &amp; Income'!$E$17*-1,0)</f>
        <v>0</v>
      </c>
      <c r="F28" s="37"/>
      <c r="G28" s="564">
        <f>IFERROR(E28/'PIM Model'!$H$31,0)</f>
        <v>0</v>
      </c>
      <c r="H28" s="64"/>
      <c r="I28" s="565"/>
      <c r="J28" s="565"/>
      <c r="K28" s="565"/>
      <c r="L28" s="565"/>
      <c r="M28" s="565"/>
      <c r="N28" s="565"/>
      <c r="O28" s="193"/>
      <c r="P28"/>
      <c r="Q28" s="811"/>
      <c r="R28" s="808"/>
      <c r="S28" s="180"/>
      <c r="T28" s="5"/>
    </row>
    <row r="29" spans="2:20" ht="23.45" customHeight="1" x14ac:dyDescent="0.25">
      <c r="B29" s="179"/>
      <c r="C29" s="251"/>
      <c r="D29" s="7"/>
      <c r="E29" s="557"/>
      <c r="F29" s="557"/>
      <c r="G29" s="563"/>
      <c r="H29" s="563"/>
      <c r="I29" s="191"/>
      <c r="J29" s="191"/>
      <c r="K29" s="191"/>
      <c r="L29" s="191"/>
      <c r="M29" s="191"/>
      <c r="N29" s="191"/>
      <c r="O29" s="193"/>
      <c r="P29"/>
      <c r="Q29" s="811"/>
      <c r="R29" s="808"/>
      <c r="S29" s="180"/>
      <c r="T29" s="5"/>
    </row>
    <row r="30" spans="2:20" ht="23.45" customHeight="1" x14ac:dyDescent="0.25">
      <c r="B30" s="179"/>
      <c r="C30" s="251"/>
      <c r="D30" s="17" t="s">
        <v>221</v>
      </c>
      <c r="E30" s="12">
        <f>IFERROR('Variable Costs &amp; Income'!$E$29,0)</f>
        <v>0</v>
      </c>
      <c r="F30" s="36"/>
      <c r="G30" s="551">
        <f>IFERROR(E30/'PIM Model'!$H$31,0)</f>
        <v>0</v>
      </c>
      <c r="H30" s="552"/>
      <c r="I30" s="191"/>
      <c r="J30" s="191"/>
      <c r="K30" s="191"/>
      <c r="L30" s="191"/>
      <c r="M30" s="191"/>
      <c r="N30" s="191"/>
      <c r="O30" s="193"/>
      <c r="P30"/>
      <c r="Q30" s="811"/>
      <c r="R30" s="808"/>
      <c r="S30" s="180"/>
      <c r="T30" s="5"/>
    </row>
    <row r="31" spans="2:20" ht="21" customHeight="1" x14ac:dyDescent="0.25">
      <c r="B31" s="179"/>
      <c r="C31" s="251"/>
      <c r="D31" s="17" t="s">
        <v>220</v>
      </c>
      <c r="E31" s="12">
        <f>'Variable Costs &amp; Income'!$E$30</f>
        <v>0</v>
      </c>
      <c r="F31" s="36"/>
      <c r="G31" s="551">
        <f>IFERROR(E31/'PIM Model'!$H$31,0)</f>
        <v>0</v>
      </c>
      <c r="H31" s="552"/>
      <c r="I31" s="191"/>
      <c r="J31" s="191"/>
      <c r="K31" s="191"/>
      <c r="L31" s="191"/>
      <c r="M31" s="191"/>
      <c r="N31" s="191"/>
      <c r="O31" s="193"/>
      <c r="P31"/>
      <c r="Q31" s="811"/>
      <c r="R31" s="808"/>
      <c r="S31" s="180"/>
      <c r="T31" s="5"/>
    </row>
    <row r="32" spans="2:20" ht="30.75" customHeight="1" x14ac:dyDescent="0.25">
      <c r="B32" s="179"/>
      <c r="C32" s="251"/>
      <c r="D32" s="1413" t="s">
        <v>230</v>
      </c>
      <c r="E32" s="1413"/>
      <c r="F32" s="1413"/>
      <c r="G32" s="1413"/>
      <c r="H32" s="566"/>
      <c r="I32" s="1412" t="str">
        <f>IF($I$33=0,IF($N$33=0,"","Customer EB % Missing"),IF($N$33=0,"Customer Drops/Wk Missing","Customer EB % &amp; Drops/Wk Missing"))</f>
        <v>Customer Drops/Wk Missing</v>
      </c>
      <c r="J32" s="1412"/>
      <c r="K32" s="1412"/>
      <c r="L32" s="1412"/>
      <c r="M32" s="1412"/>
      <c r="N32" s="1412"/>
      <c r="O32" s="193"/>
      <c r="P32"/>
      <c r="Q32" s="811"/>
      <c r="R32" s="808"/>
      <c r="S32" s="180"/>
      <c r="T32" s="5"/>
    </row>
    <row r="33" spans="2:20" ht="36.75" customHeight="1" x14ac:dyDescent="0.25">
      <c r="B33" s="179"/>
      <c r="C33" s="251"/>
      <c r="D33" s="7"/>
      <c r="E33" s="943" t="s">
        <v>1265</v>
      </c>
      <c r="F33" s="557"/>
      <c r="G33" s="944" t="s">
        <v>1266</v>
      </c>
      <c r="H33" s="728" t="e">
        <f>I33+N33</f>
        <v>#VALUE!</v>
      </c>
      <c r="I33" s="944" t="s">
        <v>886</v>
      </c>
      <c r="J33" s="191"/>
      <c r="K33" s="944" t="s">
        <v>1358</v>
      </c>
      <c r="L33" s="191"/>
      <c r="M33" s="945" t="s">
        <v>1359</v>
      </c>
      <c r="N33" s="527">
        <f>'Customer Inputs'!$AA$16</f>
        <v>0</v>
      </c>
      <c r="O33" s="193"/>
      <c r="P33"/>
      <c r="Q33" s="964"/>
      <c r="R33" s="963"/>
      <c r="S33" s="180"/>
      <c r="T33" s="5"/>
    </row>
    <row r="34" spans="2:20" ht="24" customHeight="1" x14ac:dyDescent="0.25">
      <c r="B34" s="179"/>
      <c r="C34" s="251"/>
      <c r="D34" s="8" t="s">
        <v>1357</v>
      </c>
      <c r="E34" s="12">
        <f>IFERROR(E23+E25+E27+E28+E30+E31+E26,"")</f>
        <v>0</v>
      </c>
      <c r="F34" s="36"/>
      <c r="G34" s="551">
        <f>IFERROR(E34/'PIM Model'!$H$31,0)</f>
        <v>0</v>
      </c>
      <c r="H34" s="567">
        <f>'EB_CM (Back)'!$C$26-'EB_CM (Back)'!$C$27</f>
        <v>0.08</v>
      </c>
      <c r="I34" s="560">
        <f>IFERROR($E$34/'PIM Model'!$G$31,0)</f>
        <v>0</v>
      </c>
      <c r="J34" s="191"/>
      <c r="K34" s="1030">
        <f>IFERROR(E34/($E$7*Welcome!$D$14*52),0)</f>
        <v>0</v>
      </c>
      <c r="L34" s="191"/>
      <c r="M34" s="1030">
        <f>IFERROR(E34/(Welcome!$D$14*52),0)</f>
        <v>0</v>
      </c>
      <c r="N34" s="527">
        <f>'Customer Inputs'!$AA$16</f>
        <v>0</v>
      </c>
      <c r="O34" s="193"/>
      <c r="P34"/>
      <c r="Q34" s="964"/>
      <c r="R34" s="963"/>
      <c r="S34" s="180"/>
      <c r="T34" s="5"/>
    </row>
    <row r="35" spans="2:20" s="942" customFormat="1" ht="24" customHeight="1" x14ac:dyDescent="0.25">
      <c r="B35" s="179"/>
      <c r="C35" s="251"/>
      <c r="D35" s="7"/>
      <c r="E35" s="557"/>
      <c r="F35" s="557"/>
      <c r="G35" s="563"/>
      <c r="H35" s="563"/>
      <c r="I35" s="191"/>
      <c r="J35" s="191"/>
      <c r="K35" s="191"/>
      <c r="L35" s="191"/>
      <c r="M35" s="191"/>
      <c r="N35" s="191"/>
      <c r="O35" s="193"/>
      <c r="P35" s="941"/>
      <c r="Q35" s="947"/>
      <c r="R35" s="947"/>
      <c r="S35" s="180"/>
    </row>
    <row r="36" spans="2:20" s="942" customFormat="1" ht="24" customHeight="1" x14ac:dyDescent="0.25">
      <c r="B36" s="179"/>
      <c r="C36" s="251"/>
      <c r="D36" s="8" t="s">
        <v>1360</v>
      </c>
      <c r="E36" s="12">
        <f>IFERROR('Customer Inputs'!BC16,0)</f>
        <v>0</v>
      </c>
      <c r="F36" s="946"/>
      <c r="G36" s="551">
        <f>IFERROR(E36/'PIM Model'!$H$31,0)</f>
        <v>0</v>
      </c>
      <c r="H36" s="567"/>
      <c r="I36" s="191"/>
      <c r="J36" s="191"/>
      <c r="K36" s="191"/>
      <c r="L36" s="191"/>
      <c r="M36" s="191"/>
      <c r="N36" s="191"/>
      <c r="O36" s="193"/>
      <c r="P36" s="941"/>
      <c r="Q36" s="947"/>
      <c r="R36" s="947"/>
      <c r="S36" s="180"/>
    </row>
    <row r="37" spans="2:20" s="942" customFormat="1" ht="24" customHeight="1" x14ac:dyDescent="0.25">
      <c r="B37" s="179"/>
      <c r="C37" s="251"/>
      <c r="D37" s="7"/>
      <c r="E37" s="557"/>
      <c r="F37" s="557"/>
      <c r="G37" s="563"/>
      <c r="H37" s="563"/>
      <c r="I37" s="191"/>
      <c r="J37" s="191"/>
      <c r="K37" s="191"/>
      <c r="L37" s="191"/>
      <c r="M37" s="191"/>
      <c r="N37" s="191"/>
      <c r="O37" s="193"/>
      <c r="P37" s="941"/>
      <c r="Q37" s="1409" t="s">
        <v>1214</v>
      </c>
      <c r="R37" s="1410"/>
      <c r="S37" s="180"/>
    </row>
    <row r="38" spans="2:20" s="942" customFormat="1" ht="24" customHeight="1" x14ac:dyDescent="0.25">
      <c r="B38" s="179"/>
      <c r="C38" s="251"/>
      <c r="D38" s="8" t="s">
        <v>1361</v>
      </c>
      <c r="E38" s="12">
        <f>IFERROR(E34-E36,0)</f>
        <v>0</v>
      </c>
      <c r="F38" s="946"/>
      <c r="G38" s="551">
        <f>IFERROR(E38/'PIM Model'!$H$31,0)</f>
        <v>0</v>
      </c>
      <c r="H38" s="567">
        <f>'EB_CM (Back)'!$C$26-'EB_CM (Back)'!$C$27</f>
        <v>0.08</v>
      </c>
      <c r="I38" s="560">
        <f>IFERROR($E$38/'PIM Model'!$G$31,0)</f>
        <v>0</v>
      </c>
      <c r="J38" s="191"/>
      <c r="K38" s="1030">
        <f>IFERROR(E38/($E$7*Welcome!$D$14*52),0)</f>
        <v>0</v>
      </c>
      <c r="L38" s="191"/>
      <c r="M38" s="1030">
        <f>IFERROR(E38/(Welcome!$D$14*52),0)</f>
        <v>0</v>
      </c>
      <c r="N38" s="568" t="str">
        <f>IFERROR(IF($Q$38="Yes","Approve",IF(H38&gt;0,"Reject","Approve")),"Reject")</f>
        <v>Reject</v>
      </c>
      <c r="O38" s="193"/>
      <c r="P38" s="941"/>
      <c r="Q38" s="816"/>
      <c r="R38" s="817"/>
      <c r="S38" s="180"/>
    </row>
    <row r="39" spans="2:20" ht="24.6" customHeight="1" x14ac:dyDescent="0.25">
      <c r="B39" s="179"/>
      <c r="C39" s="253"/>
      <c r="D39" s="569"/>
      <c r="E39" s="570"/>
      <c r="F39" s="570"/>
      <c r="G39" s="207"/>
      <c r="H39" s="570"/>
      <c r="I39" s="239"/>
      <c r="J39" s="239"/>
      <c r="K39" s="239"/>
      <c r="L39" s="239"/>
      <c r="M39" s="239"/>
      <c r="N39" s="239"/>
      <c r="O39" s="210"/>
      <c r="P39"/>
      <c r="Q39" s="811"/>
      <c r="R39" s="808"/>
      <c r="S39" s="180"/>
      <c r="T39" s="5"/>
    </row>
    <row r="40" spans="2:20" ht="41.25" customHeight="1" thickBot="1" x14ac:dyDescent="0.3">
      <c r="B40" s="660"/>
      <c r="C40" s="669"/>
      <c r="D40" s="670"/>
      <c r="E40" s="671"/>
      <c r="F40" s="671"/>
      <c r="G40" s="672"/>
      <c r="H40" s="671"/>
      <c r="I40" s="669"/>
      <c r="J40" s="669"/>
      <c r="K40" s="669"/>
      <c r="L40" s="669"/>
      <c r="M40" s="669"/>
      <c r="N40" s="669"/>
      <c r="O40" s="669"/>
      <c r="P40" s="669"/>
      <c r="Q40" s="672"/>
      <c r="R40" s="669"/>
      <c r="S40" s="661"/>
    </row>
    <row r="41" spans="2:20" ht="40.5" customHeight="1" x14ac:dyDescent="0.25">
      <c r="B41" s="1411"/>
      <c r="C41" s="1411"/>
      <c r="D41" s="1411"/>
      <c r="N41" s="1382"/>
      <c r="O41" s="1382"/>
      <c r="P41" s="1382"/>
      <c r="Q41" s="1382"/>
      <c r="R41" s="1382"/>
      <c r="S41" s="1382"/>
    </row>
    <row r="42" spans="2:20" x14ac:dyDescent="0.25">
      <c r="S42" s="573"/>
    </row>
  </sheetData>
  <sheetProtection algorithmName="SHA-512" hashValue="Dzl1iLGhYOjB6P3igsViQ8n2l5o1/mIg0u0YiD/8Ai5DS1rKnKa9tI+4GDLu07+vYUzUT/Jqa2aLjNR4Athy3Q==" saltValue="6XLHNiUFJiSC72NGyXeZnw==" spinCount="100000" sheet="1" selectLockedCells="1"/>
  <mergeCells count="17">
    <mergeCell ref="H8:J8"/>
    <mergeCell ref="Q37:R37"/>
    <mergeCell ref="C7:D7"/>
    <mergeCell ref="C8:D8"/>
    <mergeCell ref="B41:D41"/>
    <mergeCell ref="N41:S41"/>
    <mergeCell ref="I32:N32"/>
    <mergeCell ref="D32:G32"/>
    <mergeCell ref="Q21:R21"/>
    <mergeCell ref="Q11:R11"/>
    <mergeCell ref="H4:J4"/>
    <mergeCell ref="H5:J5"/>
    <mergeCell ref="H6:J6"/>
    <mergeCell ref="H7:J7"/>
    <mergeCell ref="C4:D4"/>
    <mergeCell ref="C5:D5"/>
    <mergeCell ref="C6:D6"/>
  </mergeCells>
  <conditionalFormatting sqref="I25:M28">
    <cfRule type="containsText" dxfId="157" priority="74" operator="containsText" text="Below Average">
      <formula>NOT(ISERROR(SEARCH("Below Average",I25)))</formula>
    </cfRule>
  </conditionalFormatting>
  <conditionalFormatting sqref="N12">
    <cfRule type="expression" dxfId="156" priority="49">
      <formula>$Q$12="yes"</formula>
    </cfRule>
    <cfRule type="containsText" dxfId="155" priority="65" operator="containsText" text="Spend">
      <formula>NOT(ISERROR(SEARCH("Spend",N12)))</formula>
    </cfRule>
    <cfRule type="containsText" dxfId="154" priority="69" operator="containsText" text="Approve">
      <formula>NOT(ISERROR(SEARCH("Approve",N12)))</formula>
    </cfRule>
  </conditionalFormatting>
  <conditionalFormatting sqref="N13:N16">
    <cfRule type="containsText" dxfId="153" priority="64" operator="containsText" text="Reject">
      <formula>NOT(ISERROR(SEARCH("Reject",N13)))</formula>
    </cfRule>
    <cfRule type="containsText" dxfId="152" priority="68" operator="containsText" text="Approve">
      <formula>NOT(ISERROR(SEARCH("Approve",N13)))</formula>
    </cfRule>
  </conditionalFormatting>
  <conditionalFormatting sqref="H34 H36 H38">
    <cfRule type="expression" dxfId="151" priority="130">
      <formula>#REF!="Approve"</formula>
    </cfRule>
  </conditionalFormatting>
  <conditionalFormatting sqref="E16">
    <cfRule type="cellIs" dxfId="150" priority="61" operator="notEqual">
      <formula>0</formula>
    </cfRule>
  </conditionalFormatting>
  <conditionalFormatting sqref="Q37:R38">
    <cfRule type="expression" dxfId="149" priority="55">
      <formula>H40&lt;0</formula>
    </cfRule>
  </conditionalFormatting>
  <conditionalFormatting sqref="N13">
    <cfRule type="expression" dxfId="148" priority="46">
      <formula>$Q$13="Yes"</formula>
    </cfRule>
  </conditionalFormatting>
  <conditionalFormatting sqref="Q11:R11">
    <cfRule type="expression" dxfId="147" priority="40">
      <formula>OR($N$13="Reject",$N$13="")</formula>
    </cfRule>
    <cfRule type="expression" dxfId="146" priority="43">
      <formula>$N$12="Spend"</formula>
    </cfRule>
  </conditionalFormatting>
  <conditionalFormatting sqref="Q12:R12">
    <cfRule type="expression" dxfId="145" priority="42">
      <formula>$N$12="spend"</formula>
    </cfRule>
  </conditionalFormatting>
  <conditionalFormatting sqref="Q13:R13">
    <cfRule type="expression" dxfId="144" priority="41">
      <formula>OR($N$13="Reject",$N$13="")</formula>
    </cfRule>
  </conditionalFormatting>
  <conditionalFormatting sqref="R22">
    <cfRule type="containsText" dxfId="143" priority="35" operator="containsText" text="Caution">
      <formula>NOT(ISERROR(SEARCH("Caution",R22)))</formula>
    </cfRule>
  </conditionalFormatting>
  <conditionalFormatting sqref="N22">
    <cfRule type="expression" dxfId="142" priority="24" stopIfTrue="1">
      <formula>$Q$22="Yes"</formula>
    </cfRule>
    <cfRule type="expression" dxfId="141" priority="26">
      <formula>$I$22="**Missing Incentive Payment Method**"</formula>
    </cfRule>
    <cfRule type="containsText" dxfId="140" priority="27" operator="containsText" text="Reject">
      <formula>NOT(ISERROR(SEARCH("Reject",N22)))</formula>
    </cfRule>
    <cfRule type="containsText" dxfId="139" priority="28" operator="containsText" text="Caution">
      <formula>NOT(ISERROR(SEARCH("Caution",N22)))</formula>
    </cfRule>
    <cfRule type="expression" dxfId="138" priority="29">
      <formula>$N$22="Approve"</formula>
    </cfRule>
  </conditionalFormatting>
  <conditionalFormatting sqref="Q21:R21">
    <cfRule type="expression" dxfId="137" priority="10">
      <formula>$U$1=""</formula>
    </cfRule>
    <cfRule type="expression" dxfId="136" priority="11">
      <formula>$U$1="Caution"</formula>
    </cfRule>
    <cfRule type="expression" dxfId="135" priority="12">
      <formula>$U$1="Reject"</formula>
    </cfRule>
    <cfRule type="expression" dxfId="134" priority="13">
      <formula>AND($Q$22&lt;&gt;"Yes",$U$1="Approve")</formula>
    </cfRule>
    <cfRule type="expression" dxfId="133" priority="14">
      <formula>AND($Q$22="Yes",$U$1="Approve")</formula>
    </cfRule>
  </conditionalFormatting>
  <conditionalFormatting sqref="Q22:R22">
    <cfRule type="expression" dxfId="132" priority="5">
      <formula>$U$1=""</formula>
    </cfRule>
    <cfRule type="expression" dxfId="131" priority="6">
      <formula>$U$1="Caution"</formula>
    </cfRule>
    <cfRule type="expression" dxfId="130" priority="7">
      <formula>$U$1="Reject"</formula>
    </cfRule>
    <cfRule type="expression" dxfId="129" priority="8">
      <formula>AND($Q$22&lt;&gt;"Yes",$U$1="Approve")</formula>
    </cfRule>
    <cfRule type="expression" dxfId="128" priority="9">
      <formula>AND($Q$22="Yes",$U$1="Approve")</formula>
    </cfRule>
  </conditionalFormatting>
  <conditionalFormatting sqref="N38">
    <cfRule type="expression" dxfId="127" priority="1">
      <formula>$H$38&gt;0</formula>
    </cfRule>
    <cfRule type="containsText" dxfId="126" priority="2" operator="containsText" text="Reject">
      <formula>NOT(ISERROR(SEARCH("Reject",N38)))</formula>
    </cfRule>
    <cfRule type="expression" dxfId="125" priority="3">
      <formula>$Q$38="Yes"</formula>
    </cfRule>
    <cfRule type="expression" dxfId="124" priority="4">
      <formula>N38="Approve"</formula>
    </cfRule>
  </conditionalFormatting>
  <conditionalFormatting sqref="R22">
    <cfRule type="expression" priority="20">
      <formula>#REF!+#REF!&lt;10000</formula>
    </cfRule>
  </conditionalFormatting>
  <dataValidations count="2">
    <dataValidation type="decimal" operator="greaterThanOrEqual" allowBlank="1" showInputMessage="1" showErrorMessage="1" errorTitle="Invalid Investment Spend" error="Please enter a number greater than $0 to increase the Investment Spend.  The value entered will be converted to a negative and added to the expected Investment Spend in cell E17." sqref="E16" xr:uid="{00000000-0002-0000-0600-000000000000}">
      <formula1>0</formula1>
    </dataValidation>
    <dataValidation type="list" allowBlank="1" showInputMessage="1" showErrorMessage="1" sqref="Q22 Q12:Q13 Q38" xr:uid="{54834AA0-7D33-4341-86A2-4543BF35C233}">
      <formula1>"Yes"</formula1>
    </dataValidation>
  </dataValidations>
  <printOptions horizontalCentered="1"/>
  <pageMargins left="0.25" right="0.25" top="0.75" bottom="0.75" header="0.3" footer="0.3"/>
  <pageSetup scale="76"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legacyDrawing r:id="rId3"/>
  <extLst>
    <ext xmlns:x14="http://schemas.microsoft.com/office/spreadsheetml/2009/9/main" uri="{78C0D931-6437-407d-A8EE-F0AAD7539E65}">
      <x14:conditionalFormattings>
        <x14:conditionalFormatting xmlns:xm="http://schemas.microsoft.com/office/excel/2006/main">
          <x14:cfRule type="expression" priority="19" id="{41635243-D390-48D9-8FE0-4CCDC518C0E6}">
            <xm:f>IF(AND(NOT(ISBLANK(Welcome!H8)),Welcome!$D$8 &lt;&gt; "CIA"),IF(COUNTBLANK('PIM Model'!O10:O30)&gt;0,"TRUE","FALSE"),"FALSE")</xm:f>
            <x14:dxf>
              <fill>
                <patternFill>
                  <bgColor rgb="FFFF0000"/>
                </patternFill>
              </fill>
            </x14:dxf>
          </x14:cfRule>
          <xm:sqref>N13</xm:sqref>
        </x14:conditionalFormatting>
        <x14:conditionalFormatting xmlns:xm="http://schemas.microsoft.com/office/excel/2006/main">
          <x14:cfRule type="expression" priority="18" id="{4FFD9646-6430-44B4-989D-B43A6A28BC70}">
            <xm:f>IF(AND(NOT(ISBLANK(Welcome!H8)),Welcome!$D$8 &lt;&gt; "CIA"),IF(COUNTBLANK('PIM Model'!O10:O30)&gt;0,"TRUE","FALSE"),"FALSE")</xm:f>
            <x14:dxf>
              <font>
                <color theme="0"/>
              </font>
              <fill>
                <patternFill>
                  <bgColor theme="0"/>
                </patternFill>
              </fill>
              <border>
                <left/>
                <right/>
                <top/>
                <bottom/>
              </border>
            </x14:dxf>
          </x14:cfRule>
          <xm:sqref>Q11:R11</xm:sqref>
        </x14:conditionalFormatting>
        <x14:conditionalFormatting xmlns:xm="http://schemas.microsoft.com/office/excel/2006/main">
          <x14:cfRule type="expression" priority="21" id="{6E15A17F-5820-4C0F-879D-AC506CB802D2}">
            <xm:f>#REF!&gt;ROUNDUP((((VLOOKUP('Variable Selling'!$A$2,'CC MARKET EXPENSE'!$A:$D,4,0))*100)*50/100)/0.25,0)*0.25/100</xm:f>
            <x14:dxf>
              <border>
                <left style="thin">
                  <color auto="1"/>
                </left>
                <right style="thin">
                  <color auto="1"/>
                </right>
                <top style="thin">
                  <color auto="1"/>
                </top>
                <bottom style="thin">
                  <color auto="1"/>
                </bottom>
                <vertical/>
                <horizontal/>
              </border>
            </x14:dxf>
          </x14:cfRule>
          <xm:sqref>R22</xm:sqref>
        </x14:conditionalFormatting>
        <x14:conditionalFormatting xmlns:xm="http://schemas.microsoft.com/office/excel/2006/main">
          <x14:cfRule type="expression" priority="25" id="{35364305-5EBF-4F8A-AD4C-CE98152733EC}">
            <xm:f>AND($N$22 &lt;&gt; "Caution",#REF!&gt;ROUNDUP((((VLOOKUP('Variable Selling'!$A$2,'CC MARKET EXPENSE'!$A:$D,4,0))*100)*50/100)/0.25,0)*0.25/100)</xm:f>
            <x14:dxf>
              <font>
                <color rgb="FFFF0000"/>
              </font>
              <fill>
                <patternFill>
                  <bgColor rgb="FFFF0000"/>
                </patternFill>
              </fill>
              <border>
                <left style="thin">
                  <color auto="1"/>
                </left>
                <right style="thin">
                  <color auto="1"/>
                </right>
                <top style="thin">
                  <color auto="1"/>
                </top>
                <bottom style="thin">
                  <color auto="1"/>
                </bottom>
              </border>
            </x14:dxf>
          </x14:cfRule>
          <xm:sqref>N22</xm:sqref>
        </x14:conditionalFormatting>
        <x14:conditionalFormatting xmlns:xm="http://schemas.microsoft.com/office/excel/2006/main">
          <x14:cfRule type="expression" priority="17" id="{EB726641-F8BC-4ADF-8C45-31C300D5EA89}">
            <xm:f>IF(AND(NOT(ISBLANK(Welcome!H8)),Welcome!$D$8 &lt;&gt; "CIA"),IF(COUNTBLANK('PIM Model'!O10:O30)&gt;0,"TRUE","FALSE"),"FALSE")</xm:f>
            <x14:dxf>
              <font>
                <color theme="0"/>
              </font>
              <fill>
                <patternFill>
                  <bgColor theme="0"/>
                </patternFill>
              </fill>
              <border>
                <left/>
                <right/>
                <top/>
                <bottom/>
                <vertical/>
                <horizontal/>
              </border>
            </x14:dxf>
          </x14:cfRule>
          <xm:sqref>Q13</xm:sqref>
        </x14:conditionalFormatting>
        <x14:conditionalFormatting xmlns:xm="http://schemas.microsoft.com/office/excel/2006/main">
          <x14:cfRule type="expression" priority="16" id="{905B42C3-BE8C-40F1-AFD9-AFB4F35D9567}">
            <xm:f>IF(AND(NOT(ISBLANK(Welcome!H8)),Welcome!$D$8 &lt;&gt; "CIA"),IF(COUNTBLANK('PIM Model'!O10:O30)&gt;0,"TRUE","FALSE"),"FALSE")</xm:f>
            <x14:dxf>
              <font>
                <color theme="0"/>
              </font>
              <fill>
                <patternFill>
                  <bgColor theme="0"/>
                </patternFill>
              </fill>
              <border>
                <left/>
                <right/>
                <top/>
                <bottom/>
                <vertical/>
                <horizontal/>
              </border>
            </x14:dxf>
          </x14:cfRule>
          <xm:sqref>R13</xm:sqref>
        </x14:conditionalFormatting>
      </x14:conditionalFormatting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_6">
    <tabColor theme="9" tint="-0.499984740745262"/>
  </sheetPr>
  <dimension ref="A1:W51"/>
  <sheetViews>
    <sheetView showGridLines="0" topLeftCell="B1" zoomScale="80" zoomScaleNormal="80" zoomScaleSheetLayoutView="70" workbookViewId="0">
      <selection activeCell="I23" sqref="I23"/>
    </sheetView>
  </sheetViews>
  <sheetFormatPr defaultColWidth="8.85546875" defaultRowHeight="15" x14ac:dyDescent="0.25"/>
  <cols>
    <col min="1" max="1" width="3" hidden="1" customWidth="1"/>
    <col min="2" max="2" width="3" customWidth="1"/>
    <col min="3" max="4" width="6.140625" customWidth="1"/>
    <col min="5" max="5" width="19.28515625" customWidth="1"/>
    <col min="6" max="6" width="26.28515625" customWidth="1"/>
    <col min="7" max="7" width="27.7109375" customWidth="1"/>
    <col min="8" max="8" width="19" customWidth="1"/>
    <col min="9" max="9" width="8.7109375" bestFit="1" customWidth="1"/>
    <col min="10" max="10" width="9.28515625" customWidth="1"/>
    <col min="11" max="12" width="19.7109375" style="901" customWidth="1"/>
    <col min="13" max="13" width="26.42578125" style="901" customWidth="1"/>
    <col min="14" max="14" width="20.42578125" style="901" hidden="1" customWidth="1"/>
    <col min="15" max="15" width="20.42578125" style="963" hidden="1" customWidth="1"/>
    <col min="16" max="16" width="5" customWidth="1"/>
    <col min="18" max="18" width="15.28515625" hidden="1" customWidth="1"/>
    <col min="19" max="19" width="11.5703125" hidden="1" customWidth="1"/>
    <col min="20" max="20" width="14.7109375" hidden="1" customWidth="1"/>
    <col min="21" max="21" width="2.5703125" hidden="1" customWidth="1"/>
    <col min="22" max="22" width="13.7109375" hidden="1" customWidth="1"/>
    <col min="23" max="23" width="11.28515625" hidden="1" customWidth="1"/>
  </cols>
  <sheetData>
    <row r="1" spans="3:23" ht="15.75" thickBot="1" x14ac:dyDescent="0.3">
      <c r="R1" s="268" t="s">
        <v>646</v>
      </c>
      <c r="S1" s="268" t="s">
        <v>647</v>
      </c>
      <c r="T1" s="268" t="s">
        <v>648</v>
      </c>
      <c r="U1" s="135"/>
      <c r="W1" s="402" t="s">
        <v>930</v>
      </c>
    </row>
    <row r="2" spans="3:23" s="5" customFormat="1" ht="22.5" customHeight="1" x14ac:dyDescent="0.25">
      <c r="C2" s="1420" t="s">
        <v>649</v>
      </c>
      <c r="D2" s="1421"/>
      <c r="E2" s="1421"/>
      <c r="F2" s="1421"/>
      <c r="G2" s="1421"/>
      <c r="H2" s="1421"/>
      <c r="I2" s="1421"/>
      <c r="J2" s="1421"/>
      <c r="K2" s="1421"/>
      <c r="L2" s="1421"/>
      <c r="M2" s="1421"/>
      <c r="N2" s="1421"/>
      <c r="O2" s="1421"/>
      <c r="P2" s="1422"/>
      <c r="R2" s="269" t="s">
        <v>650</v>
      </c>
      <c r="S2" s="269" t="s">
        <v>651</v>
      </c>
      <c r="T2" s="269" t="s">
        <v>485</v>
      </c>
      <c r="V2" s="5" t="s">
        <v>931</v>
      </c>
      <c r="W2" s="5">
        <f>IF(Welcome!D14=W3,0,Welcome!D14)</f>
        <v>0</v>
      </c>
    </row>
    <row r="3" spans="3:23" x14ac:dyDescent="0.25">
      <c r="C3" s="620"/>
      <c r="D3" s="270"/>
      <c r="E3" s="270"/>
      <c r="F3" s="270"/>
      <c r="G3" s="270"/>
      <c r="H3" s="270"/>
      <c r="I3" s="270"/>
      <c r="J3" s="270"/>
      <c r="K3" s="270"/>
      <c r="L3" s="270"/>
      <c r="M3" s="270"/>
      <c r="N3" s="270"/>
      <c r="O3" s="270"/>
      <c r="P3" s="621"/>
      <c r="R3" s="1" t="s">
        <v>652</v>
      </c>
      <c r="S3" s="1" t="s">
        <v>653</v>
      </c>
      <c r="T3" s="1" t="s">
        <v>484</v>
      </c>
      <c r="W3" t="s">
        <v>457</v>
      </c>
    </row>
    <row r="4" spans="3:23" x14ac:dyDescent="0.25">
      <c r="C4" s="138"/>
      <c r="E4" s="404" t="s">
        <v>887</v>
      </c>
      <c r="F4" s="1423"/>
      <c r="G4" s="1423"/>
      <c r="P4" s="622"/>
      <c r="T4" s="1" t="s">
        <v>483</v>
      </c>
    </row>
    <row r="5" spans="3:23" x14ac:dyDescent="0.25">
      <c r="C5" s="138"/>
      <c r="E5" s="404"/>
      <c r="P5" s="139"/>
    </row>
    <row r="6" spans="3:23" x14ac:dyDescent="0.25">
      <c r="C6" s="138"/>
      <c r="E6" s="137" t="s">
        <v>1272</v>
      </c>
      <c r="F6" s="1423"/>
      <c r="G6" s="1423"/>
      <c r="P6" s="139"/>
    </row>
    <row r="7" spans="3:23" x14ac:dyDescent="0.25">
      <c r="C7" s="138"/>
      <c r="E7" s="137"/>
      <c r="P7" s="139"/>
    </row>
    <row r="8" spans="3:23" x14ac:dyDescent="0.25">
      <c r="C8" s="138"/>
      <c r="E8" s="137" t="s">
        <v>1273</v>
      </c>
      <c r="F8" s="1423"/>
      <c r="G8" s="1423"/>
      <c r="P8" s="139"/>
    </row>
    <row r="9" spans="3:23" x14ac:dyDescent="0.25">
      <c r="C9" s="138"/>
      <c r="E9" s="137" t="s">
        <v>1274</v>
      </c>
      <c r="F9" s="1423"/>
      <c r="G9" s="1423"/>
      <c r="P9" s="139"/>
    </row>
    <row r="10" spans="3:23" x14ac:dyDescent="0.25">
      <c r="C10" s="138"/>
      <c r="E10" s="137" t="s">
        <v>877</v>
      </c>
      <c r="F10" s="1423"/>
      <c r="G10" s="1423"/>
      <c r="P10" s="139"/>
    </row>
    <row r="11" spans="3:23" x14ac:dyDescent="0.25">
      <c r="C11" s="138"/>
      <c r="E11" s="137" t="s">
        <v>830</v>
      </c>
      <c r="F11" s="1423"/>
      <c r="G11" s="1423"/>
      <c r="P11" s="139"/>
    </row>
    <row r="12" spans="3:23" x14ac:dyDescent="0.25">
      <c r="C12" s="138"/>
      <c r="E12" s="137" t="s">
        <v>1275</v>
      </c>
      <c r="F12" s="1423"/>
      <c r="G12" s="1423"/>
      <c r="P12" s="139"/>
    </row>
    <row r="13" spans="3:23" x14ac:dyDescent="0.25">
      <c r="C13" s="138"/>
      <c r="E13" s="137"/>
      <c r="F13" s="1425"/>
      <c r="G13" s="1425"/>
      <c r="P13" s="139"/>
    </row>
    <row r="14" spans="3:23" x14ac:dyDescent="0.25">
      <c r="C14" s="138"/>
      <c r="E14" s="137" t="s">
        <v>1276</v>
      </c>
      <c r="F14" s="1424"/>
      <c r="G14" s="1424"/>
      <c r="H14" s="635"/>
      <c r="P14" s="139"/>
      <c r="Q14" s="794">
        <f>WEEKDAY(F14,2)</f>
        <v>6</v>
      </c>
    </row>
    <row r="15" spans="3:23" s="901" customFormat="1" ht="13.5" customHeight="1" x14ac:dyDescent="0.25">
      <c r="C15" s="138"/>
      <c r="F15" s="54" t="s">
        <v>1006</v>
      </c>
      <c r="G15" s="54" t="str">
        <f>IF(F14="","",TEXT(F14,"dddd"))</f>
        <v/>
      </c>
      <c r="O15" s="963"/>
      <c r="P15" s="139"/>
    </row>
    <row r="16" spans="3:23" s="901" customFormat="1" ht="13.5" customHeight="1" x14ac:dyDescent="0.25">
      <c r="C16" s="138"/>
      <c r="O16" s="963"/>
      <c r="P16" s="139"/>
    </row>
    <row r="17" spans="1:17" s="901" customFormat="1" ht="13.5" customHeight="1" x14ac:dyDescent="0.25">
      <c r="C17" s="138"/>
      <c r="E17" s="137" t="s">
        <v>1277</v>
      </c>
      <c r="F17" s="1426" t="str">
        <f>IF(F14="","",F14+(363*IF(OR(Welcome!D12="Select Term",Welcome!D12=""),0,Welcome!D12))+6)</f>
        <v/>
      </c>
      <c r="G17" s="1426"/>
      <c r="O17" s="963"/>
      <c r="P17" s="139"/>
    </row>
    <row r="18" spans="1:17" ht="13.5" customHeight="1" x14ac:dyDescent="0.25">
      <c r="C18" s="138"/>
      <c r="P18" s="139"/>
    </row>
    <row r="19" spans="1:17" s="790" customFormat="1" ht="14.25" customHeight="1" x14ac:dyDescent="0.25">
      <c r="C19" s="138"/>
      <c r="E19" s="137" t="s">
        <v>1278</v>
      </c>
      <c r="F19" s="1418">
        <f>Welcome!D8</f>
        <v>0</v>
      </c>
      <c r="G19" s="1419"/>
      <c r="K19" s="901"/>
      <c r="L19" s="901"/>
      <c r="M19" s="901"/>
      <c r="N19" s="901"/>
      <c r="O19" s="963"/>
      <c r="P19" s="139"/>
    </row>
    <row r="20" spans="1:17" s="790" customFormat="1" ht="26.45" customHeight="1" x14ac:dyDescent="0.25">
      <c r="C20" s="138"/>
      <c r="K20" s="901"/>
      <c r="L20" s="901"/>
      <c r="M20" s="901"/>
      <c r="N20" s="901"/>
      <c r="O20" s="963"/>
      <c r="P20" s="139"/>
    </row>
    <row r="21" spans="1:17" ht="24.6" customHeight="1" x14ac:dyDescent="0.25">
      <c r="C21" s="138"/>
      <c r="E21" s="403" t="s">
        <v>1124</v>
      </c>
      <c r="P21" s="139"/>
    </row>
    <row r="22" spans="1:17" ht="44.25" customHeight="1" thickBot="1" x14ac:dyDescent="0.3">
      <c r="C22" s="138"/>
      <c r="E22" s="902" t="s">
        <v>1279</v>
      </c>
      <c r="F22" s="405" t="s">
        <v>794</v>
      </c>
      <c r="G22" s="405" t="s">
        <v>795</v>
      </c>
      <c r="H22" s="405" t="s">
        <v>800</v>
      </c>
      <c r="I22" s="405" t="s">
        <v>801</v>
      </c>
      <c r="J22" s="405" t="s">
        <v>204</v>
      </c>
      <c r="K22" s="405" t="s">
        <v>793</v>
      </c>
      <c r="L22" s="405" t="s">
        <v>1280</v>
      </c>
      <c r="M22" s="902" t="s">
        <v>1281</v>
      </c>
      <c r="N22" s="902" t="s">
        <v>1282</v>
      </c>
      <c r="O22" s="902" t="s">
        <v>1400</v>
      </c>
      <c r="P22" s="139"/>
      <c r="Q22" s="673"/>
    </row>
    <row r="23" spans="1:17" x14ac:dyDescent="0.25">
      <c r="A23">
        <v>1</v>
      </c>
      <c r="C23" s="138"/>
      <c r="D23" s="649" t="str">
        <f t="shared" ref="D23:D32" si="0">IF($A23&lt;=$W$2,A23,"")</f>
        <v/>
      </c>
      <c r="E23" s="650">
        <f>'Customer Inputs'!G6</f>
        <v>0</v>
      </c>
      <c r="F23" s="738" t="str">
        <f>IFERROR(IFERROR(VLOOKUP(E23,'Customer Info'!A:B,2,0),VLOOKUP(""&amp;E23,'Customer Info'!A:B,2,0)),"")</f>
        <v/>
      </c>
      <c r="G23" s="739" t="str">
        <f>IFERROR(IFERROR(VLOOKUP(E23,'Customer Info'!A:C,3,0),VLOOKUP(""&amp;E23,'Customer Info'!A:C,3,0)),"")</f>
        <v/>
      </c>
      <c r="H23" s="739" t="str">
        <f>IFERROR(IFERROR(VLOOKUP(E23,'Customer Info'!A:D,4,0),VLOOKUP(""&amp;E23,'Customer Info'!A:D,4,0)),"")</f>
        <v/>
      </c>
      <c r="I23" s="740" t="str">
        <f>IFERROR(IFERROR(VLOOKUP(E23,'Customer Info'!A:E,5,0),VLOOKUP(""&amp;E23,'Customer Info'!A:E,5,0)),"")</f>
        <v/>
      </c>
      <c r="J23" s="740" t="str">
        <f>IFERROR(IFERROR(VLOOKUP(E23,'Customer Info'!A:F,6,0),VLOOKUP(""&amp;E23,'Customer Info'!A:F,6,0)),"")</f>
        <v/>
      </c>
      <c r="K23" s="903" t="str">
        <f>IF($F$14 = "","",$F$14)</f>
        <v/>
      </c>
      <c r="L23" s="903" t="str">
        <f t="shared" ref="L23:L31" si="1">IF($F$17 = "","",$F$17)</f>
        <v/>
      </c>
      <c r="M23" s="740"/>
      <c r="N23" s="740" t="s">
        <v>651</v>
      </c>
      <c r="O23" s="740" t="s">
        <v>651</v>
      </c>
      <c r="P23" s="139"/>
    </row>
    <row r="24" spans="1:17" x14ac:dyDescent="0.25">
      <c r="A24">
        <v>2</v>
      </c>
      <c r="C24" s="138"/>
      <c r="D24" s="649" t="str">
        <f t="shared" si="0"/>
        <v/>
      </c>
      <c r="E24" s="650">
        <f>'Customer Inputs'!G7</f>
        <v>0</v>
      </c>
      <c r="F24" s="738" t="str">
        <f>IFERROR(IFERROR(VLOOKUP(E24,'Customer Info'!A:B,2,0),VLOOKUP(""&amp;E24,'Customer Info'!A:B,2,0)),"")</f>
        <v/>
      </c>
      <c r="G24" s="739" t="str">
        <f>IFERROR(IFERROR(VLOOKUP(E24,'Customer Info'!A:C,3,0),VLOOKUP(""&amp;E24,'Customer Info'!A:C,3,0)),"")</f>
        <v/>
      </c>
      <c r="H24" s="739" t="str">
        <f>IFERROR(IFERROR(VLOOKUP(E24,'Customer Info'!A:D,4,0),VLOOKUP(""&amp;E24,'Customer Info'!A:D,4,0)),"")</f>
        <v/>
      </c>
      <c r="I24" s="740" t="str">
        <f>IFERROR(IFERROR(VLOOKUP(E24,'Customer Info'!A:E,5,0),VLOOKUP(""&amp;E24,'Customer Info'!A:E,5,0)),"")</f>
        <v/>
      </c>
      <c r="J24" s="740" t="str">
        <f>IFERROR(IFERROR(VLOOKUP(E24,'Customer Info'!A:F,6,0),VLOOKUP(""&amp;E24,'Customer Info'!A:F,6,0)),"")</f>
        <v/>
      </c>
      <c r="K24" s="904" t="str">
        <f t="shared" ref="K24:K32" si="2">IF($F$14 = "","",$F$14)</f>
        <v/>
      </c>
      <c r="L24" s="904" t="str">
        <f t="shared" si="1"/>
        <v/>
      </c>
      <c r="M24" s="740"/>
      <c r="N24" s="740" t="s">
        <v>651</v>
      </c>
      <c r="O24" s="1005" t="s">
        <v>651</v>
      </c>
      <c r="P24" s="139"/>
    </row>
    <row r="25" spans="1:17" x14ac:dyDescent="0.25">
      <c r="A25">
        <v>3</v>
      </c>
      <c r="C25" s="138"/>
      <c r="D25" s="649" t="str">
        <f t="shared" si="0"/>
        <v/>
      </c>
      <c r="E25" s="650">
        <f>'Customer Inputs'!G8</f>
        <v>0</v>
      </c>
      <c r="F25" s="738" t="str">
        <f>IFERROR(IFERROR(VLOOKUP(E25,'Customer Info'!A:B,2,0),VLOOKUP(""&amp;E25,'Customer Info'!A:B,2,0)),"")</f>
        <v/>
      </c>
      <c r="G25" s="739" t="str">
        <f>IFERROR(IFERROR(VLOOKUP(E25,'Customer Info'!A:C,3,0),VLOOKUP(""&amp;E25,'Customer Info'!A:C,3,0)),"")</f>
        <v/>
      </c>
      <c r="H25" s="739" t="str">
        <f>IFERROR(IFERROR(VLOOKUP(E25,'Customer Info'!A:D,4,0),VLOOKUP(""&amp;E25,'Customer Info'!A:D,4,0)),"")</f>
        <v/>
      </c>
      <c r="I25" s="740" t="str">
        <f>IFERROR(IFERROR(VLOOKUP(E25,'Customer Info'!A:E,5,0),VLOOKUP(""&amp;E25,'Customer Info'!A:E,5,0)),"")</f>
        <v/>
      </c>
      <c r="J25" s="740" t="str">
        <f>IFERROR(IFERROR(VLOOKUP(E25,'Customer Info'!A:F,6,0),VLOOKUP(""&amp;E25,'Customer Info'!A:F,6,0)),"")</f>
        <v/>
      </c>
      <c r="K25" s="904" t="str">
        <f t="shared" si="2"/>
        <v/>
      </c>
      <c r="L25" s="904" t="str">
        <f t="shared" si="1"/>
        <v/>
      </c>
      <c r="M25" s="740"/>
      <c r="N25" s="740" t="s">
        <v>651</v>
      </c>
      <c r="O25" s="1005" t="s">
        <v>651</v>
      </c>
      <c r="P25" s="139"/>
    </row>
    <row r="26" spans="1:17" x14ac:dyDescent="0.25">
      <c r="A26">
        <v>4</v>
      </c>
      <c r="C26" s="138"/>
      <c r="D26" s="649" t="str">
        <f t="shared" si="0"/>
        <v/>
      </c>
      <c r="E26" s="650">
        <f>'Customer Inputs'!G9</f>
        <v>0</v>
      </c>
      <c r="F26" s="738" t="str">
        <f>IFERROR(IFERROR(VLOOKUP(E26,'Customer Info'!A:B,2,0),VLOOKUP(""&amp;E26,'Customer Info'!A:B,2,0)),"")</f>
        <v/>
      </c>
      <c r="G26" s="739" t="str">
        <f>IFERROR(IFERROR(VLOOKUP(E26,'Customer Info'!A:C,3,0),VLOOKUP(""&amp;E26,'Customer Info'!A:C,3,0)),"")</f>
        <v/>
      </c>
      <c r="H26" s="739" t="str">
        <f>IFERROR(IFERROR(VLOOKUP(E26,'Customer Info'!A:D,4,0),VLOOKUP(""&amp;E26,'Customer Info'!A:D,4,0)),"")</f>
        <v/>
      </c>
      <c r="I26" s="740" t="str">
        <f>IFERROR(IFERROR(VLOOKUP(E26,'Customer Info'!A:E,5,0),VLOOKUP(""&amp;E26,'Customer Info'!A:E,5,0)),"")</f>
        <v/>
      </c>
      <c r="J26" s="740" t="str">
        <f>IFERROR(IFERROR(VLOOKUP(E26,'Customer Info'!A:F,6,0),VLOOKUP(""&amp;E26,'Customer Info'!A:F,6,0)),"")</f>
        <v/>
      </c>
      <c r="K26" s="904" t="str">
        <f t="shared" si="2"/>
        <v/>
      </c>
      <c r="L26" s="904" t="str">
        <f t="shared" si="1"/>
        <v/>
      </c>
      <c r="M26" s="740"/>
      <c r="N26" s="740" t="s">
        <v>651</v>
      </c>
      <c r="O26" s="1005" t="s">
        <v>651</v>
      </c>
      <c r="P26" s="139"/>
    </row>
    <row r="27" spans="1:17" x14ac:dyDescent="0.25">
      <c r="A27">
        <v>5</v>
      </c>
      <c r="C27" s="138"/>
      <c r="D27" s="649" t="str">
        <f t="shared" si="0"/>
        <v/>
      </c>
      <c r="E27" s="650">
        <f>'Customer Inputs'!G10</f>
        <v>0</v>
      </c>
      <c r="F27" s="738" t="str">
        <f>IFERROR(IFERROR(VLOOKUP(E27,'Customer Info'!A:B,2,0),VLOOKUP(""&amp;E27,'Customer Info'!A:B,2,0)),"")</f>
        <v/>
      </c>
      <c r="G27" s="739" t="str">
        <f>IFERROR(IFERROR(VLOOKUP(E27,'Customer Info'!A:C,3,0),VLOOKUP(""&amp;E27,'Customer Info'!A:C,3,0)),"")</f>
        <v/>
      </c>
      <c r="H27" s="739" t="str">
        <f>IFERROR(IFERROR(VLOOKUP(E27,'Customer Info'!A:D,4,0),VLOOKUP(""&amp;E27,'Customer Info'!A:D,4,0)),"")</f>
        <v/>
      </c>
      <c r="I27" s="740" t="str">
        <f>IFERROR(IFERROR(VLOOKUP(E27,'Customer Info'!A:E,5,0),VLOOKUP(""&amp;E27,'Customer Info'!A:E,5,0)),"")</f>
        <v/>
      </c>
      <c r="J27" s="740" t="str">
        <f>IFERROR(IFERROR(VLOOKUP(E27,'Customer Info'!A:F,6,0),VLOOKUP(""&amp;E27,'Customer Info'!A:F,6,0)),"")</f>
        <v/>
      </c>
      <c r="K27" s="904" t="str">
        <f t="shared" si="2"/>
        <v/>
      </c>
      <c r="L27" s="904" t="str">
        <f t="shared" si="1"/>
        <v/>
      </c>
      <c r="M27" s="740"/>
      <c r="N27" s="740" t="s">
        <v>651</v>
      </c>
      <c r="O27" s="1005" t="s">
        <v>651</v>
      </c>
      <c r="P27" s="139"/>
    </row>
    <row r="28" spans="1:17" x14ac:dyDescent="0.25">
      <c r="A28">
        <v>6</v>
      </c>
      <c r="C28" s="138"/>
      <c r="D28" s="649" t="str">
        <f t="shared" si="0"/>
        <v/>
      </c>
      <c r="E28" s="650">
        <f>'Customer Inputs'!G11</f>
        <v>0</v>
      </c>
      <c r="F28" s="738" t="str">
        <f>IFERROR(IFERROR(VLOOKUP(E28,'Customer Info'!A:B,2,0),VLOOKUP(""&amp;E28,'Customer Info'!A:B,2,0)),"")</f>
        <v/>
      </c>
      <c r="G28" s="739" t="str">
        <f>IFERROR(IFERROR(VLOOKUP(E28,'Customer Info'!A:C,3,0),VLOOKUP(""&amp;E28,'Customer Info'!A:C,3,0)),"")</f>
        <v/>
      </c>
      <c r="H28" s="739" t="str">
        <f>IFERROR(IFERROR(VLOOKUP(E28,'Customer Info'!A:D,4,0),VLOOKUP(""&amp;E28,'Customer Info'!A:D,4,0)),"")</f>
        <v/>
      </c>
      <c r="I28" s="740" t="str">
        <f>IFERROR(IFERROR(VLOOKUP(E28,'Customer Info'!A:E,5,0),VLOOKUP(""&amp;E28,'Customer Info'!A:E,5,0)),"")</f>
        <v/>
      </c>
      <c r="J28" s="740" t="str">
        <f>IFERROR(IFERROR(VLOOKUP(E28,'Customer Info'!A:F,6,0),VLOOKUP(""&amp;E28,'Customer Info'!A:F,6,0)),"")</f>
        <v/>
      </c>
      <c r="K28" s="904" t="str">
        <f t="shared" si="2"/>
        <v/>
      </c>
      <c r="L28" s="904" t="str">
        <f t="shared" si="1"/>
        <v/>
      </c>
      <c r="M28" s="740"/>
      <c r="N28" s="740" t="s">
        <v>651</v>
      </c>
      <c r="O28" s="1005" t="s">
        <v>651</v>
      </c>
      <c r="P28" s="139"/>
    </row>
    <row r="29" spans="1:17" x14ac:dyDescent="0.25">
      <c r="A29">
        <v>7</v>
      </c>
      <c r="C29" s="138"/>
      <c r="D29" s="649" t="str">
        <f t="shared" si="0"/>
        <v/>
      </c>
      <c r="E29" s="650">
        <f>'Customer Inputs'!G12</f>
        <v>0</v>
      </c>
      <c r="F29" s="738" t="str">
        <f>IFERROR(IFERROR(VLOOKUP(E29,'Customer Info'!A:B,2,0),VLOOKUP(""&amp;E29,'Customer Info'!A:B,2,0)),"")</f>
        <v/>
      </c>
      <c r="G29" s="739" t="str">
        <f>IFERROR(IFERROR(VLOOKUP(E29,'Customer Info'!A:C,3,0),VLOOKUP(""&amp;E29,'Customer Info'!A:C,3,0)),"")</f>
        <v/>
      </c>
      <c r="H29" s="739" t="str">
        <f>IFERROR(IFERROR(VLOOKUP(E29,'Customer Info'!A:D,4,0),VLOOKUP(""&amp;E29,'Customer Info'!A:D,4,0)),"")</f>
        <v/>
      </c>
      <c r="I29" s="740" t="str">
        <f>IFERROR(IFERROR(VLOOKUP(E29,'Customer Info'!A:E,5,0),VLOOKUP(""&amp;E29,'Customer Info'!A:E,5,0)),"")</f>
        <v/>
      </c>
      <c r="J29" s="740" t="str">
        <f>IFERROR(IFERROR(VLOOKUP(E29,'Customer Info'!A:F,6,0),VLOOKUP(""&amp;E29,'Customer Info'!A:F,6,0)),"")</f>
        <v/>
      </c>
      <c r="K29" s="904" t="str">
        <f t="shared" si="2"/>
        <v/>
      </c>
      <c r="L29" s="904" t="str">
        <f t="shared" si="1"/>
        <v/>
      </c>
      <c r="M29" s="740"/>
      <c r="N29" s="740" t="s">
        <v>651</v>
      </c>
      <c r="O29" s="1005" t="s">
        <v>651</v>
      </c>
      <c r="P29" s="139"/>
    </row>
    <row r="30" spans="1:17" x14ac:dyDescent="0.25">
      <c r="A30">
        <v>8</v>
      </c>
      <c r="C30" s="138"/>
      <c r="D30" s="649" t="str">
        <f t="shared" si="0"/>
        <v/>
      </c>
      <c r="E30" s="650">
        <f>'Customer Inputs'!G13</f>
        <v>0</v>
      </c>
      <c r="F30" s="738" t="str">
        <f>IFERROR(IFERROR(VLOOKUP(E30,'Customer Info'!A:B,2,0),VLOOKUP(""&amp;E30,'Customer Info'!A:B,2,0)),"")</f>
        <v/>
      </c>
      <c r="G30" s="739" t="str">
        <f>IFERROR(IFERROR(VLOOKUP(E30,'Customer Info'!A:C,3,0),VLOOKUP(""&amp;E30,'Customer Info'!A:C,3,0)),"")</f>
        <v/>
      </c>
      <c r="H30" s="739" t="str">
        <f>IFERROR(IFERROR(VLOOKUP(E30,'Customer Info'!A:D,4,0),VLOOKUP(""&amp;E30,'Customer Info'!A:D,4,0)),"")</f>
        <v/>
      </c>
      <c r="I30" s="740" t="str">
        <f>IFERROR(IFERROR(VLOOKUP(E30,'Customer Info'!A:E,5,0),VLOOKUP(""&amp;E30,'Customer Info'!A:E,5,0)),"")</f>
        <v/>
      </c>
      <c r="J30" s="740" t="str">
        <f>IFERROR(IFERROR(VLOOKUP(E30,'Customer Info'!A:F,6,0),VLOOKUP(""&amp;E30,'Customer Info'!A:F,6,0)),"")</f>
        <v/>
      </c>
      <c r="K30" s="904" t="str">
        <f t="shared" si="2"/>
        <v/>
      </c>
      <c r="L30" s="904" t="str">
        <f t="shared" si="1"/>
        <v/>
      </c>
      <c r="M30" s="740"/>
      <c r="N30" s="740" t="s">
        <v>651</v>
      </c>
      <c r="O30" s="1005" t="s">
        <v>651</v>
      </c>
      <c r="P30" s="139"/>
    </row>
    <row r="31" spans="1:17" x14ac:dyDescent="0.25">
      <c r="A31">
        <v>9</v>
      </c>
      <c r="C31" s="138"/>
      <c r="D31" s="649" t="str">
        <f t="shared" si="0"/>
        <v/>
      </c>
      <c r="E31" s="650">
        <f>'Customer Inputs'!G14</f>
        <v>0</v>
      </c>
      <c r="F31" s="738" t="str">
        <f>IFERROR(IFERROR(VLOOKUP(E31,'Customer Info'!A:B,2,0),VLOOKUP(""&amp;E31,'Customer Info'!A:B,2,0)),"")</f>
        <v/>
      </c>
      <c r="G31" s="739" t="str">
        <f>IFERROR(IFERROR(VLOOKUP(E31,'Customer Info'!A:C,3,0),VLOOKUP(""&amp;E31,'Customer Info'!A:C,3,0)),"")</f>
        <v/>
      </c>
      <c r="H31" s="739" t="str">
        <f>IFERROR(IFERROR(VLOOKUP(E31,'Customer Info'!A:D,4,0),VLOOKUP(""&amp;E31,'Customer Info'!A:D,4,0)),"")</f>
        <v/>
      </c>
      <c r="I31" s="740" t="str">
        <f>IFERROR(IFERROR(VLOOKUP(E31,'Customer Info'!A:E,5,0),VLOOKUP(""&amp;E31,'Customer Info'!A:E,5,0)),"")</f>
        <v/>
      </c>
      <c r="J31" s="740" t="str">
        <f>IFERROR(IFERROR(VLOOKUP(E31,'Customer Info'!A:F,6,0),VLOOKUP(""&amp;E31,'Customer Info'!A:F,6,0)),"")</f>
        <v/>
      </c>
      <c r="K31" s="904" t="str">
        <f t="shared" si="2"/>
        <v/>
      </c>
      <c r="L31" s="904" t="str">
        <f t="shared" si="1"/>
        <v/>
      </c>
      <c r="M31" s="740"/>
      <c r="N31" s="740" t="s">
        <v>651</v>
      </c>
      <c r="O31" s="1005" t="s">
        <v>651</v>
      </c>
      <c r="P31" s="139"/>
    </row>
    <row r="32" spans="1:17" x14ac:dyDescent="0.25">
      <c r="A32">
        <v>10</v>
      </c>
      <c r="C32" s="138"/>
      <c r="D32" s="649" t="str">
        <f t="shared" si="0"/>
        <v/>
      </c>
      <c r="E32" s="650">
        <f>'Customer Inputs'!G15</f>
        <v>0</v>
      </c>
      <c r="F32" s="738" t="str">
        <f>IFERROR(IFERROR(VLOOKUP(E32,'Customer Info'!A:B,2,0),VLOOKUP(""&amp;E32,'Customer Info'!A:B,2,0)),"")</f>
        <v/>
      </c>
      <c r="G32" s="739" t="str">
        <f>IFERROR(IFERROR(VLOOKUP(E32,'Customer Info'!A:C,3,0),VLOOKUP(""&amp;E32,'Customer Info'!A:C,3,0)),"")</f>
        <v/>
      </c>
      <c r="H32" s="739" t="str">
        <f>IFERROR(IFERROR(VLOOKUP(E32,'Customer Info'!A:D,4,0),VLOOKUP(""&amp;E32,'Customer Info'!A:D,4,0)),"")</f>
        <v/>
      </c>
      <c r="I32" s="740" t="str">
        <f>IFERROR(IFERROR(VLOOKUP(E32,'Customer Info'!A:E,5,0),VLOOKUP(""&amp;E32,'Customer Info'!A:E,5,0)),"")</f>
        <v/>
      </c>
      <c r="J32" s="740" t="str">
        <f>IFERROR(IFERROR(VLOOKUP(E32,'Customer Info'!A:F,6,0),VLOOKUP(""&amp;E32,'Customer Info'!A:F,6,0)),"")</f>
        <v/>
      </c>
      <c r="K32" s="904" t="str">
        <f t="shared" si="2"/>
        <v/>
      </c>
      <c r="L32" s="904" t="str">
        <f>IF($F$17 = "","",$F$17)</f>
        <v/>
      </c>
      <c r="M32" s="740"/>
      <c r="N32" s="740" t="s">
        <v>651</v>
      </c>
      <c r="O32" s="1005" t="s">
        <v>651</v>
      </c>
      <c r="P32" s="139"/>
    </row>
    <row r="33" spans="3:16" ht="15.75" thickBot="1" x14ac:dyDescent="0.3">
      <c r="C33" s="265"/>
      <c r="D33" s="674"/>
      <c r="E33" s="675"/>
      <c r="F33" s="676"/>
      <c r="G33" s="677"/>
      <c r="H33" s="677"/>
      <c r="I33" s="677"/>
      <c r="J33" s="677"/>
      <c r="K33" s="677"/>
      <c r="L33" s="677"/>
      <c r="M33" s="677"/>
      <c r="N33" s="677"/>
      <c r="O33" s="677"/>
      <c r="P33" s="631"/>
    </row>
    <row r="35" spans="3:16" ht="19.899999999999999" customHeight="1" x14ac:dyDescent="0.25"/>
    <row r="38" spans="3:16" hidden="1" x14ac:dyDescent="0.25"/>
    <row r="39" spans="3:16" hidden="1" x14ac:dyDescent="0.25"/>
    <row r="40" spans="3:16" hidden="1" x14ac:dyDescent="0.25"/>
    <row r="41" spans="3:16" hidden="1" x14ac:dyDescent="0.25"/>
    <row r="42" spans="3:16" hidden="1" x14ac:dyDescent="0.25"/>
    <row r="43" spans="3:16" ht="15.75" hidden="1" thickBot="1" x14ac:dyDescent="0.3"/>
    <row r="44" spans="3:16" ht="15.75" hidden="1" thickBot="1" x14ac:dyDescent="0.3">
      <c r="F44" s="1415" t="s">
        <v>1584</v>
      </c>
      <c r="G44" s="1416"/>
      <c r="H44" s="1417"/>
    </row>
    <row r="45" spans="3:16" hidden="1" x14ac:dyDescent="0.25">
      <c r="F45" s="1192" t="s">
        <v>1529</v>
      </c>
      <c r="G45" s="1193" t="s">
        <v>1585</v>
      </c>
      <c r="H45" s="1194" t="s">
        <v>1586</v>
      </c>
    </row>
    <row r="46" spans="3:16" ht="15.75" hidden="1" thickBot="1" x14ac:dyDescent="0.3">
      <c r="F46" s="1195"/>
      <c r="G46" s="1196"/>
      <c r="H46" s="1197"/>
    </row>
    <row r="47" spans="3:16" hidden="1" x14ac:dyDescent="0.25"/>
    <row r="48" spans="3:16" hidden="1" x14ac:dyDescent="0.25"/>
    <row r="49" hidden="1" x14ac:dyDescent="0.25"/>
    <row r="50" hidden="1" x14ac:dyDescent="0.25"/>
    <row r="51" hidden="1" x14ac:dyDescent="0.25"/>
  </sheetData>
  <sheetProtection algorithmName="SHA-512" hashValue="GT4zBxMaPybySWUDgHDZHWRTIae0cDbbh3djSRKJgS8PG7ydjukinembHelNOQNrPaYzUZ9rKG5bAuuOWh22tw==" saltValue="K62low1pdespthDPepm67Q==" spinCount="100000" sheet="1" objects="1" scenarios="1" selectLockedCells="1"/>
  <mergeCells count="13">
    <mergeCell ref="F44:H44"/>
    <mergeCell ref="F19:G19"/>
    <mergeCell ref="C2:P2"/>
    <mergeCell ref="F4:G4"/>
    <mergeCell ref="F6:G6"/>
    <mergeCell ref="F14:G14"/>
    <mergeCell ref="F13:G13"/>
    <mergeCell ref="F12:G12"/>
    <mergeCell ref="F11:G11"/>
    <mergeCell ref="F10:G10"/>
    <mergeCell ref="F9:G9"/>
    <mergeCell ref="F8:G8"/>
    <mergeCell ref="F17:G17"/>
  </mergeCells>
  <conditionalFormatting sqref="D23:O32">
    <cfRule type="expression" dxfId="117" priority="13">
      <formula>$A23&gt;$W$2</formula>
    </cfRule>
  </conditionalFormatting>
  <conditionalFormatting sqref="E23:O32">
    <cfRule type="expression" dxfId="116" priority="9">
      <formula>$D23=$W$2</formula>
    </cfRule>
  </conditionalFormatting>
  <conditionalFormatting sqref="E21:O21 F22:L22">
    <cfRule type="expression" dxfId="115" priority="10">
      <formula>$W$2=0</formula>
    </cfRule>
  </conditionalFormatting>
  <conditionalFormatting sqref="F14:G14">
    <cfRule type="expression" dxfId="114" priority="6">
      <formula>$F$14&lt;NOW()</formula>
    </cfRule>
    <cfRule type="expression" dxfId="113" priority="7">
      <formula>$Q$14&lt;&gt;7</formula>
    </cfRule>
  </conditionalFormatting>
  <conditionalFormatting sqref="E22">
    <cfRule type="expression" dxfId="112" priority="5">
      <formula>$W$2=0</formula>
    </cfRule>
  </conditionalFormatting>
  <conditionalFormatting sqref="M22">
    <cfRule type="expression" dxfId="111" priority="4">
      <formula>$W$2=0</formula>
    </cfRule>
  </conditionalFormatting>
  <conditionalFormatting sqref="N22:O22">
    <cfRule type="expression" dxfId="110" priority="3">
      <formula>$W$2=0</formula>
    </cfRule>
  </conditionalFormatting>
  <conditionalFormatting sqref="M23:M32">
    <cfRule type="expression" dxfId="109" priority="2">
      <formula>$A23&gt;$W$2</formula>
    </cfRule>
  </conditionalFormatting>
  <conditionalFormatting sqref="M23:M32">
    <cfRule type="expression" dxfId="108" priority="1">
      <formula>$D23=$W$2</formula>
    </cfRule>
  </conditionalFormatting>
  <conditionalFormatting sqref="F23:J32 M23:O32">
    <cfRule type="containsBlanks" dxfId="107" priority="14" stopIfTrue="1">
      <formula>LEN(TRIM(F23))=0</formula>
    </cfRule>
    <cfRule type="notContainsBlanks" dxfId="106" priority="15">
      <formula>LEN(TRIM(F23))&gt;0</formula>
    </cfRule>
  </conditionalFormatting>
  <dataValidations count="3">
    <dataValidation type="date" operator="greaterThan" allowBlank="1" showInputMessage="1" showErrorMessage="1" errorTitle="Date Type Error!" error="Invalid Date Data Entry!_x000a_Please format as ..._x000a_M/D/YYYY" sqref="F14:G14 F17:G17" xr:uid="{553FE2E9-44E0-4610-9903-D7AD8B443BFD}">
      <formula1>33922</formula1>
    </dataValidation>
    <dataValidation type="list" allowBlank="1" showInputMessage="1" showErrorMessage="1" sqref="M23:M32" xr:uid="{DD899AB3-A072-40E1-A258-60041A01723B}">
      <formula1>"Blank, Secondary, Internal"</formula1>
    </dataValidation>
    <dataValidation type="list" allowBlank="1" showInputMessage="1" showErrorMessage="1" sqref="N23:O32" xr:uid="{F62803CD-63CA-4C8D-A154-452552C8E724}">
      <formula1>"Yes, No"</formula1>
    </dataValidation>
  </dataValidations>
  <printOptions horizontalCentered="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F23:J32" unlockedFormula="1"/>
  </ignoredErrors>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61AA61-26DA-4EC7-8CDC-0E93794914A0}">
  <sheetPr codeName="Sheet20"/>
  <dimension ref="A1:O532"/>
  <sheetViews>
    <sheetView showGridLines="0" topLeftCell="A526" workbookViewId="0">
      <selection activeCell="D531" sqref="D531"/>
    </sheetView>
  </sheetViews>
  <sheetFormatPr defaultRowHeight="15" x14ac:dyDescent="0.25"/>
  <cols>
    <col min="1" max="1" width="37.85546875" customWidth="1"/>
    <col min="2" max="2" width="11.85546875" customWidth="1"/>
    <col min="3" max="3" width="13" customWidth="1"/>
    <col min="4" max="4" width="12.28515625" customWidth="1"/>
    <col min="5" max="5" width="28" customWidth="1"/>
    <col min="6" max="6" width="37.5703125" hidden="1" customWidth="1"/>
    <col min="7" max="7" width="12.85546875" hidden="1" customWidth="1"/>
    <col min="8" max="8" width="31.42578125" hidden="1" customWidth="1"/>
    <col min="9" max="9" width="35.28515625" hidden="1" customWidth="1"/>
    <col min="10" max="11" width="15.5703125" hidden="1" customWidth="1"/>
    <col min="12" max="12" width="37.42578125" customWidth="1"/>
    <col min="13" max="13" width="15.42578125" customWidth="1"/>
    <col min="14" max="14" width="19" customWidth="1"/>
  </cols>
  <sheetData>
    <row r="1" spans="1:15" ht="18.75" x14ac:dyDescent="0.3">
      <c r="A1" s="1427" t="s">
        <v>1457</v>
      </c>
      <c r="B1" s="1427"/>
      <c r="C1" s="1427"/>
      <c r="D1" s="1427"/>
      <c r="E1" s="1427"/>
      <c r="F1" s="1427" t="s">
        <v>1458</v>
      </c>
      <c r="G1" s="1427"/>
      <c r="H1" s="1427"/>
      <c r="I1" s="1427" t="s">
        <v>1459</v>
      </c>
      <c r="J1" s="1427"/>
      <c r="K1" s="1427"/>
      <c r="L1" s="1427" t="s">
        <v>1460</v>
      </c>
      <c r="M1" s="1427"/>
      <c r="N1" s="1427"/>
      <c r="O1" s="703">
        <v>0</v>
      </c>
    </row>
    <row r="2" spans="1:15" x14ac:dyDescent="0.25">
      <c r="A2" s="1064" t="s">
        <v>1461</v>
      </c>
      <c r="B2" s="1064" t="s">
        <v>1462</v>
      </c>
      <c r="C2" s="1064" t="s">
        <v>1463</v>
      </c>
      <c r="D2" s="1064" t="s">
        <v>131</v>
      </c>
      <c r="E2" s="1064" t="s">
        <v>1464</v>
      </c>
      <c r="F2" s="1064" t="s">
        <v>1461</v>
      </c>
      <c r="G2" s="1064" t="s">
        <v>1465</v>
      </c>
      <c r="H2" s="1064" t="s">
        <v>1464</v>
      </c>
      <c r="I2" s="1065" t="s">
        <v>1461</v>
      </c>
      <c r="J2" s="1065" t="s">
        <v>1465</v>
      </c>
      <c r="K2" s="1065" t="s">
        <v>1464</v>
      </c>
      <c r="L2" s="1065" t="s">
        <v>1461</v>
      </c>
      <c r="M2" s="1065" t="s">
        <v>1590</v>
      </c>
      <c r="N2" s="1065" t="s">
        <v>1464</v>
      </c>
    </row>
    <row r="3" spans="1:15" x14ac:dyDescent="0.25">
      <c r="A3" s="1066" t="s">
        <v>376</v>
      </c>
      <c r="B3" s="106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Sheet'!A3,INDIRECT("'"&amp;E3&amp;"'"&amp;"!A15:Z15"),0),4),1,""),IFERROR(SUBSTITUTE(ADDRESS(1,MATCH('Mapping Sheet'!A3,INDIRECT("'"&amp;E3&amp;"'"&amp;"!A17:Z17"),0),4),1,""),""))))),4)</f>
        <v>B4</v>
      </c>
      <c r="C3" s="1069" t="str">
        <f ca="1">_xlfn.CONCAT(IFERROR(SUBSTITUTE(ADDRESS(1,MATCH('Mapping Sheet'!A3,INDIRECT("'"&amp;E3&amp;"'"&amp;"!A4:Z4"),0),4),1,""),IFERROR(SUBSTITUTE(ADDRESS(1,MATCH('Mapping Sheet'!A3,INDIRECT("'"&amp;E3&amp;"'"&amp;"!A9:Z9"),0),4),1,""),IFERROR(SUBSTITUTE(ADDRESS(1,MATCH('Mapping Sheet'!A3,INDIRECT("'"&amp;E3&amp;"'"&amp;"!A12:Z12"),0),4),1,""),IFERROR(SUBSTITUTE(ADDRESS(1,MATCH('Mapping Sheet'!A3,INDIRECT("'"&amp;E3&amp;"'"&amp;"!A15:Z15"),0),4),1,""),"")))),5)</f>
        <v>B5</v>
      </c>
      <c r="D3" s="1066" t="s">
        <v>1466</v>
      </c>
      <c r="E3" s="1069" t="s">
        <v>1467</v>
      </c>
      <c r="F3" s="1066" t="s">
        <v>1468</v>
      </c>
      <c r="G3" s="1066" t="s">
        <v>1469</v>
      </c>
      <c r="H3" s="1066" t="s">
        <v>1470</v>
      </c>
      <c r="I3" s="1205"/>
      <c r="J3" s="1205"/>
      <c r="K3" s="1205"/>
      <c r="L3" s="1205"/>
      <c r="M3" s="1205"/>
      <c r="N3" s="1205"/>
    </row>
    <row r="4" spans="1:15" x14ac:dyDescent="0.25">
      <c r="A4" s="1066" t="s">
        <v>1301</v>
      </c>
      <c r="B4" s="106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Sheet'!A4,INDIRECT("'"&amp;E4&amp;"'"&amp;"!A15:Z15"),0),4),1,""),IFERROR(SUBSTITUTE(ADDRESS(1,MATCH('Mapping Sheet'!A4,INDIRECT("'"&amp;E4&amp;"'"&amp;"!A17:Z17"),0),4),1,""),""))))),4)</f>
        <v>C4</v>
      </c>
      <c r="C4" s="1069" t="str">
        <f ca="1">_xlfn.CONCAT(IFERROR(SUBSTITUTE(ADDRESS(1,MATCH('Mapping Sheet'!A4,INDIRECT("'"&amp;E4&amp;"'"&amp;"!A4:Z4"),0),4),1,""),IFERROR(SUBSTITUTE(ADDRESS(1,MATCH('Mapping Sheet'!A4,INDIRECT("'"&amp;E4&amp;"'"&amp;"!A9:Z9"),0),4),1,""),IFERROR(SUBSTITUTE(ADDRESS(1,MATCH('Mapping Sheet'!A4,INDIRECT("'"&amp;E4&amp;"'"&amp;"!A12:Z12"),0),4),1,""),IFERROR(SUBSTITUTE(ADDRESS(1,MATCH('Mapping Sheet'!A4,INDIRECT("'"&amp;E4&amp;"'"&amp;"!A15:Z15"),0),4),1,""),"")))),5)</f>
        <v>C5</v>
      </c>
      <c r="D4" s="1066" t="s">
        <v>1466</v>
      </c>
      <c r="E4" s="1066" t="s">
        <v>1467</v>
      </c>
      <c r="F4" s="1067" t="s">
        <v>1301</v>
      </c>
      <c r="G4" s="1066" t="s">
        <v>1471</v>
      </c>
      <c r="H4" s="1066" t="s">
        <v>1470</v>
      </c>
      <c r="I4" s="1205"/>
      <c r="J4" s="1205"/>
      <c r="K4" s="1205"/>
      <c r="L4" s="1205"/>
      <c r="M4" s="1205"/>
      <c r="N4" s="1205"/>
    </row>
    <row r="5" spans="1:15" x14ac:dyDescent="0.25">
      <c r="A5" s="1068" t="s">
        <v>1279</v>
      </c>
      <c r="B5" s="1069" t="str">
        <f ca="1">_xlfn.IFNA(_xlfn.CONCAT(SUBSTITUTE(ADDRESS(1,MATCH(A5,INDIRECT("'"&amp;E5&amp;"'"&amp;"!A22:Z22"),0),4),1,""),23),"")</f>
        <v>E23</v>
      </c>
      <c r="C5" s="1069" t="str">
        <f ca="1">_xlfn.IFNA(SUBSTITUTE(ADDRESS(1,MATCH(A5,INDIRECT("'"&amp;E5&amp;"'"&amp;"!A22:Z22"),0),4),1,""),"")</f>
        <v>E</v>
      </c>
      <c r="D5" s="1066" t="s">
        <v>1473</v>
      </c>
      <c r="E5" s="1066" t="s">
        <v>1474</v>
      </c>
      <c r="F5" s="1068" t="s">
        <v>1279</v>
      </c>
      <c r="G5" s="1066" t="s">
        <v>1472</v>
      </c>
      <c r="H5" s="1066" t="s">
        <v>1475</v>
      </c>
      <c r="I5" s="1205"/>
      <c r="J5" s="1205"/>
      <c r="K5" s="1205"/>
      <c r="L5" s="1205"/>
      <c r="M5" s="1205"/>
      <c r="N5" s="1205"/>
    </row>
    <row r="6" spans="1:15" x14ac:dyDescent="0.25">
      <c r="A6" s="1068" t="s">
        <v>793</v>
      </c>
      <c r="B6" s="1069" t="str">
        <f ca="1">_xlfn.IFNA(_xlfn.CONCAT(SUBSTITUTE(ADDRESS(1,MATCH(A6,INDIRECT("'"&amp;E6&amp;"'"&amp;"!A22:Z22"),0),4),1,""),23),"")</f>
        <v>K23</v>
      </c>
      <c r="C6" s="1069" t="str">
        <f ca="1">_xlfn.IFNA(SUBSTITUTE(ADDRESS(1,MATCH(A6,INDIRECT("'"&amp;E6&amp;"'"&amp;"!A22:Z22"),0),4),1,""),"")</f>
        <v>K</v>
      </c>
      <c r="D6" s="1066" t="s">
        <v>1473</v>
      </c>
      <c r="E6" s="1066" t="s">
        <v>1474</v>
      </c>
      <c r="F6" s="1068" t="s">
        <v>793</v>
      </c>
      <c r="G6" s="1066" t="s">
        <v>1477</v>
      </c>
      <c r="H6" s="1066" t="s">
        <v>1475</v>
      </c>
      <c r="I6" s="1205"/>
      <c r="J6" s="1205"/>
      <c r="K6" s="1205"/>
      <c r="L6" s="1205" t="s">
        <v>793</v>
      </c>
      <c r="M6" s="1205">
        <v>40</v>
      </c>
      <c r="N6" s="1205"/>
    </row>
    <row r="7" spans="1:15" x14ac:dyDescent="0.25">
      <c r="A7" s="1068" t="s">
        <v>1280</v>
      </c>
      <c r="B7" s="1069" t="str">
        <f ca="1">_xlfn.IFNA(_xlfn.CONCAT(SUBSTITUTE(ADDRESS(1,MATCH(A7,INDIRECT("'"&amp;E7&amp;"'"&amp;"!A22:Z22"),0),4),1,""),23),"")</f>
        <v>L23</v>
      </c>
      <c r="C7" s="1069" t="str">
        <f ca="1">_xlfn.IFNA(SUBSTITUTE(ADDRESS(1,MATCH(A7,INDIRECT("'"&amp;E7&amp;"'"&amp;"!A22:Z22"),0),4),1,""),"")</f>
        <v>L</v>
      </c>
      <c r="D7" s="1066" t="s">
        <v>1473</v>
      </c>
      <c r="E7" s="1066" t="s">
        <v>1474</v>
      </c>
      <c r="F7" s="1068" t="s">
        <v>1280</v>
      </c>
      <c r="G7" s="1066" t="s">
        <v>1478</v>
      </c>
      <c r="H7" s="1066" t="s">
        <v>1475</v>
      </c>
      <c r="I7" s="1205"/>
      <c r="J7" s="1205"/>
      <c r="K7" s="1205"/>
      <c r="L7" s="1205"/>
      <c r="M7" s="1205"/>
      <c r="N7" s="1205"/>
    </row>
    <row r="8" spans="1:15" x14ac:dyDescent="0.25">
      <c r="A8" s="1068" t="s">
        <v>1281</v>
      </c>
      <c r="B8" s="1069" t="str">
        <f ca="1">_xlfn.IFNA(_xlfn.CONCAT(SUBSTITUTE(ADDRESS(1,MATCH(A8,INDIRECT("'"&amp;E8&amp;"'"&amp;"!A22:Z22"),0),4),1,""),23),"")</f>
        <v>M23</v>
      </c>
      <c r="C8" s="1069" t="str">
        <f ca="1">_xlfn.IFNA(SUBSTITUTE(ADDRESS(1,MATCH(A8,INDIRECT("'"&amp;E8&amp;"'"&amp;"!A22:Z22"),0),4),1,""),"")</f>
        <v>M</v>
      </c>
      <c r="D8" s="1066" t="s">
        <v>1473</v>
      </c>
      <c r="E8" s="1066" t="s">
        <v>1474</v>
      </c>
      <c r="F8" s="1068" t="s">
        <v>1281</v>
      </c>
      <c r="G8" s="1066" t="s">
        <v>1479</v>
      </c>
      <c r="H8" s="1066" t="s">
        <v>1475</v>
      </c>
      <c r="I8" s="1205"/>
      <c r="J8" s="1205"/>
      <c r="K8" s="1205"/>
      <c r="L8" s="1205"/>
      <c r="M8" s="1205"/>
      <c r="N8" s="1205"/>
    </row>
    <row r="9" spans="1:15" x14ac:dyDescent="0.25">
      <c r="A9" s="1068" t="s">
        <v>1368</v>
      </c>
      <c r="B9" s="1066" t="str">
        <f ca="1">_xlfn.CONCAT(IFERROR(SUBSTITUTE(ADDRESS(1,MATCH(A9,INDIRECT("'"&amp;E9&amp;"'"&amp;"!A4:Z4"),0),4),1,""),""),4)</f>
        <v>B4</v>
      </c>
      <c r="C9" s="1066" t="str">
        <f ca="1">_xlfn.CONCAT(IFERROR(SUBSTITUTE(ADDRESS(1,MATCH(A9,INDIRECT("'"&amp;E9&amp;"'"&amp;"!A4:Z4"),0),4),1,""),""),5)</f>
        <v>B5</v>
      </c>
      <c r="D9" s="1066" t="s">
        <v>1466</v>
      </c>
      <c r="E9" s="1066" t="s">
        <v>1382</v>
      </c>
      <c r="F9" s="1068" t="s">
        <v>1368</v>
      </c>
      <c r="G9" s="1066" t="s">
        <v>1480</v>
      </c>
      <c r="H9" s="1066" t="s">
        <v>1475</v>
      </c>
      <c r="I9" s="1205"/>
      <c r="J9" s="1205"/>
      <c r="K9" s="1205"/>
      <c r="L9" s="1205"/>
      <c r="M9" s="1205"/>
      <c r="N9" s="1205"/>
    </row>
    <row r="10" spans="1:15" x14ac:dyDescent="0.25">
      <c r="A10" s="1068" t="s">
        <v>1400</v>
      </c>
      <c r="B10" s="1069" t="str">
        <f ca="1">_xlfn.IFNA(_xlfn.CONCAT(SUBSTITUTE(ADDRESS(1,MATCH(A10,INDIRECT("'"&amp;E10&amp;"'"&amp;"!A22:Z22"),0),4),1,""),23),"")</f>
        <v>O23</v>
      </c>
      <c r="C10" s="1069" t="str">
        <f ca="1">_xlfn.IFNA(SUBSTITUTE(ADDRESS(1,MATCH(A10,INDIRECT("'"&amp;E10&amp;"'"&amp;"!A22:Z22"),0),4),1,""),"")</f>
        <v>O</v>
      </c>
      <c r="D10" s="1066" t="s">
        <v>1473</v>
      </c>
      <c r="E10" s="1066" t="s">
        <v>1474</v>
      </c>
      <c r="F10" s="1068" t="s">
        <v>1400</v>
      </c>
      <c r="G10" s="1066" t="s">
        <v>1482</v>
      </c>
      <c r="H10" s="1066" t="s">
        <v>1475</v>
      </c>
      <c r="I10" s="1205"/>
      <c r="J10" s="1205"/>
      <c r="K10" s="1205"/>
      <c r="L10" s="1205"/>
      <c r="M10" s="1205"/>
      <c r="N10" s="1205"/>
    </row>
    <row r="11" spans="1:15" x14ac:dyDescent="0.25">
      <c r="A11" s="1068" t="s">
        <v>1282</v>
      </c>
      <c r="B11" s="1069" t="str">
        <f ca="1">_xlfn.IFNA(_xlfn.CONCAT(SUBSTITUTE(ADDRESS(1,MATCH(A11,INDIRECT("'"&amp;E11&amp;"'"&amp;"!A22:Z22"),0),4),1,""),23),"")</f>
        <v>N23</v>
      </c>
      <c r="C11" s="1069" t="str">
        <f ca="1">_xlfn.IFNA(SUBSTITUTE(ADDRESS(1,MATCH(A11,INDIRECT("'"&amp;E11&amp;"'"&amp;"!A22:Z22"),0),4),1,""),"")</f>
        <v>N</v>
      </c>
      <c r="D11" s="1066" t="s">
        <v>1473</v>
      </c>
      <c r="E11" s="1066" t="s">
        <v>1474</v>
      </c>
      <c r="F11" s="1068" t="s">
        <v>1483</v>
      </c>
      <c r="G11" s="1066" t="s">
        <v>1476</v>
      </c>
      <c r="H11" s="1066" t="s">
        <v>1475</v>
      </c>
      <c r="I11" s="1205"/>
      <c r="J11" s="1205"/>
      <c r="K11" s="1205"/>
      <c r="L11" s="1205"/>
      <c r="M11" s="1205"/>
      <c r="N11" s="1205"/>
    </row>
    <row r="12" spans="1:15" ht="30" x14ac:dyDescent="0.25">
      <c r="A12" s="1069" t="s">
        <v>1315</v>
      </c>
      <c r="B12" s="106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Sheet'!A12,INDIRECT("'"&amp;E12&amp;"'"&amp;"!A15:Z15"),0),4),1,""),"")))),9)</f>
        <v>B9</v>
      </c>
      <c r="C12" s="1069" t="str">
        <f ca="1">_xlfn.CONCAT(IFERROR(SUBSTITUTE(ADDRESS(1,MATCH('Mapping Sheet'!A12,INDIRECT("'"&amp;E12&amp;"'"&amp;"!A4:Z4"),0),4),1,""),IFERROR(SUBSTITUTE(ADDRESS(1,MATCH('Mapping Sheet'!A12,INDIRECT("'"&amp;E12&amp;"'"&amp;"!A9:Z9"),0),4),1,""),IFERROR(SUBSTITUTE(ADDRESS(1,MATCH('Mapping Sheet'!A12,INDIRECT("'"&amp;E12&amp;"'"&amp;"!A12:Z12"),0),4),1,""),IFERROR(SUBSTITUTE(ADDRESS(1,MATCH('Mapping Sheet'!A12,INDIRECT("'"&amp;E12&amp;"'"&amp;"!A15:Z15"),0),4),1,""),"")))),10)</f>
        <v>B10</v>
      </c>
      <c r="D12" s="1069" t="s">
        <v>1466</v>
      </c>
      <c r="E12" s="1069" t="s">
        <v>1467</v>
      </c>
      <c r="F12" s="1069" t="s">
        <v>1315</v>
      </c>
      <c r="G12" s="1069" t="s">
        <v>1469</v>
      </c>
      <c r="H12" s="1069" t="s">
        <v>1484</v>
      </c>
      <c r="I12" s="1205"/>
      <c r="J12" s="1205"/>
      <c r="K12" s="1205"/>
      <c r="L12" s="1069" t="s">
        <v>1315</v>
      </c>
      <c r="M12" s="1205">
        <v>9</v>
      </c>
      <c r="N12" s="1205"/>
    </row>
    <row r="13" spans="1:15" x14ac:dyDescent="0.25">
      <c r="A13" s="1069" t="s">
        <v>1263</v>
      </c>
      <c r="B13" s="1205" t="str">
        <f>IFERROR(_xlfn.CONCAT("D",MATCH(A13,'Tracking &amp; Profitability'!C$1:C$60,0)),"")</f>
        <v>D8</v>
      </c>
      <c r="C13" s="1205" t="str">
        <f>IFERROR(_xlfn.CONCAT("E",MATCH(A13,'Tracking &amp; Profitability'!C$1:C$60,0)),"")</f>
        <v>E8</v>
      </c>
      <c r="D13" s="1069" t="s">
        <v>1466</v>
      </c>
      <c r="E13" s="1069" t="s">
        <v>129</v>
      </c>
      <c r="F13" s="1069" t="s">
        <v>1485</v>
      </c>
      <c r="G13" s="1069" t="s">
        <v>1471</v>
      </c>
      <c r="H13" s="1069" t="s">
        <v>1484</v>
      </c>
      <c r="I13" s="1205"/>
      <c r="J13" s="1205"/>
      <c r="K13" s="1205"/>
      <c r="L13" s="1205"/>
      <c r="M13" s="1205"/>
      <c r="N13" s="1205"/>
    </row>
    <row r="14" spans="1:15" x14ac:dyDescent="0.25">
      <c r="A14" s="1069" t="s">
        <v>1305</v>
      </c>
      <c r="B14" s="106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Sheet'!A14,INDIRECT("'"&amp;E14&amp;"'"&amp;"!A15:Z15"),0),4),1,""),"")))),4)</f>
        <v>G4</v>
      </c>
      <c r="C14" s="1069" t="str">
        <f ca="1">_xlfn.CONCAT(IFERROR(SUBSTITUTE(ADDRESS(1,MATCH('Mapping Sheet'!A14,INDIRECT("'"&amp;E14&amp;"'"&amp;"!A4:Z4"),0),4),1,""),IFERROR(SUBSTITUTE(ADDRESS(1,MATCH('Mapping Sheet'!A14,INDIRECT("'"&amp;E14&amp;"'"&amp;"!A9:Z9"),0),4),1,""),IFERROR(SUBSTITUTE(ADDRESS(1,MATCH('Mapping Sheet'!A14,INDIRECT("'"&amp;E14&amp;"'"&amp;"!A12:Z12"),0),4),1,""),IFERROR(SUBSTITUTE(ADDRESS(1,MATCH('Mapping Sheet'!A14,INDIRECT("'"&amp;E14&amp;"'"&amp;"!A15:Z15"),0),4),1,""),"")))),5)</f>
        <v>G5</v>
      </c>
      <c r="D14" s="1069" t="s">
        <v>1466</v>
      </c>
      <c r="E14" s="1069" t="s">
        <v>1467</v>
      </c>
      <c r="F14" s="1069" t="s">
        <v>1305</v>
      </c>
      <c r="G14" s="1069" t="s">
        <v>1486</v>
      </c>
      <c r="H14" s="1069" t="s">
        <v>1484</v>
      </c>
      <c r="I14" s="1205"/>
      <c r="J14" s="1205"/>
      <c r="K14" s="1205"/>
      <c r="L14" s="1205"/>
      <c r="M14" s="1205"/>
      <c r="N14" s="1205"/>
    </row>
    <row r="15" spans="1:15" x14ac:dyDescent="0.25">
      <c r="A15" s="1069" t="s">
        <v>1306</v>
      </c>
      <c r="B15" s="106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Sheet'!A15,INDIRECT("'"&amp;E15&amp;"'"&amp;"!A15:Z15"),0),4),1,""),"")))),4)</f>
        <v>H4</v>
      </c>
      <c r="C15" s="1069" t="str">
        <f ca="1">_xlfn.CONCAT(IFERROR(SUBSTITUTE(ADDRESS(1,MATCH('Mapping Sheet'!A15,INDIRECT("'"&amp;E15&amp;"'"&amp;"!A4:Z4"),0),4),1,""),IFERROR(SUBSTITUTE(ADDRESS(1,MATCH('Mapping Sheet'!A15,INDIRECT("'"&amp;E15&amp;"'"&amp;"!A9:Z9"),0),4),1,""),IFERROR(SUBSTITUTE(ADDRESS(1,MATCH('Mapping Sheet'!A15,INDIRECT("'"&amp;E15&amp;"'"&amp;"!A12:Z12"),0),4),1,""),IFERROR(SUBSTITUTE(ADDRESS(1,MATCH('Mapping Sheet'!A15,INDIRECT("'"&amp;E15&amp;"'"&amp;"!A15:Z15"),0),4),1,""),"")))),5)</f>
        <v>H5</v>
      </c>
      <c r="D15" s="1069" t="s">
        <v>1466</v>
      </c>
      <c r="E15" s="1069" t="s">
        <v>1467</v>
      </c>
      <c r="F15" s="1069" t="s">
        <v>1306</v>
      </c>
      <c r="G15" s="1070" t="s">
        <v>662</v>
      </c>
      <c r="H15" s="1069" t="s">
        <v>1484</v>
      </c>
      <c r="I15" s="1205"/>
      <c r="J15" s="1205"/>
      <c r="K15" s="1205"/>
      <c r="L15" s="1205"/>
      <c r="M15" s="1205"/>
      <c r="N15" s="1205"/>
    </row>
    <row r="16" spans="1:15" x14ac:dyDescent="0.25">
      <c r="A16" s="1069" t="s">
        <v>1307</v>
      </c>
      <c r="B16" s="106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Sheet'!A16,INDIRECT("'"&amp;E16&amp;"'"&amp;"!A15:Z15"),0),4),1,""),"")))),4)</f>
        <v>I4</v>
      </c>
      <c r="C16" s="1069" t="str">
        <f ca="1">_xlfn.CONCAT(IFERROR(SUBSTITUTE(ADDRESS(1,MATCH('Mapping Sheet'!A16,INDIRECT("'"&amp;E16&amp;"'"&amp;"!A4:Z4"),0),4),1,""),IFERROR(SUBSTITUTE(ADDRESS(1,MATCH('Mapping Sheet'!A16,INDIRECT("'"&amp;E16&amp;"'"&amp;"!A9:Z9"),0),4),1,""),IFERROR(SUBSTITUTE(ADDRESS(1,MATCH('Mapping Sheet'!A16,INDIRECT("'"&amp;E16&amp;"'"&amp;"!A12:Z12"),0),4),1,""),IFERROR(SUBSTITUTE(ADDRESS(1,MATCH('Mapping Sheet'!A16,INDIRECT("'"&amp;E16&amp;"'"&amp;"!A15:Z15"),0),4),1,""),"")))),5)</f>
        <v>I5</v>
      </c>
      <c r="D16" s="1069" t="s">
        <v>1466</v>
      </c>
      <c r="E16" s="1069" t="s">
        <v>1467</v>
      </c>
      <c r="F16" s="1069" t="s">
        <v>1307</v>
      </c>
      <c r="G16" s="1069" t="s">
        <v>1472</v>
      </c>
      <c r="H16" s="1069" t="s">
        <v>1484</v>
      </c>
      <c r="I16" s="1205"/>
      <c r="J16" s="1205"/>
      <c r="K16" s="1205"/>
      <c r="L16" s="1205"/>
      <c r="M16" s="1205"/>
      <c r="N16" s="1205"/>
    </row>
    <row r="17" spans="1:14" x14ac:dyDescent="0.25">
      <c r="A17" s="1069" t="s">
        <v>1262</v>
      </c>
      <c r="B17" s="1205" t="str">
        <f>IFERROR(_xlfn.CONCAT("D",MATCH(A17,'Tracking &amp; Profitability'!C$1:C$60,0)),"")</f>
        <v>D7</v>
      </c>
      <c r="C17" s="1205" t="str">
        <f>IFERROR(_xlfn.CONCAT("E",MATCH(A17,'Tracking &amp; Profitability'!C$1:C$60,0)),"")</f>
        <v>E7</v>
      </c>
      <c r="D17" s="1069" t="s">
        <v>1466</v>
      </c>
      <c r="E17" s="1069" t="s">
        <v>129</v>
      </c>
      <c r="F17" s="1069" t="s">
        <v>1287</v>
      </c>
      <c r="G17" s="1069" t="s">
        <v>1477</v>
      </c>
      <c r="H17" s="1069" t="s">
        <v>1484</v>
      </c>
      <c r="I17" s="1205"/>
      <c r="J17" s="1205"/>
      <c r="K17" s="1205"/>
      <c r="L17" s="1205"/>
      <c r="M17" s="1205"/>
      <c r="N17" s="1205"/>
    </row>
    <row r="18" spans="1:14" ht="30" x14ac:dyDescent="0.25">
      <c r="A18" s="1069" t="s">
        <v>1316</v>
      </c>
      <c r="B18" s="106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Sheet'!A18,INDIRECT("'"&amp;E18&amp;"'"&amp;"!A17:Z17"),0),4),1,""),""))))),9)</f>
        <v>C9</v>
      </c>
      <c r="C18" s="1069" t="str">
        <f ca="1">_xlfn.CONCAT(IFERROR(SUBSTITUTE(ADDRESS(1,MATCH('Mapping Sheet'!A18,INDIRECT("'"&amp;E18&amp;"'"&amp;"!A4:Z4"),0),4),1,""),IFERROR(SUBSTITUTE(ADDRESS(1,MATCH('Mapping Sheet'!A18,INDIRECT("'"&amp;E18&amp;"'"&amp;"!A9:Z9"),0),4),1,""),IFERROR(SUBSTITUTE(ADDRESS(1,MATCH('Mapping Sheet'!A18,INDIRECT("'"&amp;E18&amp;"'"&amp;"!A12:Z12"),0),4),1,""),IFERROR(SUBSTITUTE(ADDRESS(1,MATCH('Mapping Sheet'!A18,INDIRECT("'"&amp;E18&amp;"'"&amp;"!A15:Z15"),0),4),1,""),IFERROR(SUBSTITUTE(ADDRESS(1,MATCH('Mapping Sheet'!A18,INDIRECT("'"&amp;E18&amp;"'"&amp;"!A17:Z17"),0),4),1,""),""))))),10)</f>
        <v>C10</v>
      </c>
      <c r="D18" s="1069" t="s">
        <v>1466</v>
      </c>
      <c r="E18" s="1069" t="s">
        <v>1467</v>
      </c>
      <c r="F18" s="1069" t="s">
        <v>1316</v>
      </c>
      <c r="G18" s="1069" t="s">
        <v>1478</v>
      </c>
      <c r="H18" s="1069" t="s">
        <v>1484</v>
      </c>
      <c r="I18" s="1205"/>
      <c r="J18" s="1205"/>
      <c r="K18" s="1205"/>
      <c r="L18" s="1069" t="s">
        <v>1316</v>
      </c>
      <c r="M18" s="1205">
        <v>10</v>
      </c>
      <c r="N18" s="1205"/>
    </row>
    <row r="19" spans="1:14" x14ac:dyDescent="0.25">
      <c r="A19" s="1069" t="s">
        <v>1318</v>
      </c>
      <c r="B19" s="106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Sheet'!A19,INDIRECT("'"&amp;E19&amp;"'"&amp;"!A17:Z17"),0),4),1,""),""))))),9)</f>
        <v>E9</v>
      </c>
      <c r="C19" s="1069" t="str">
        <f ca="1">_xlfn.CONCAT(IFERROR(SUBSTITUTE(ADDRESS(1,MATCH('Mapping Sheet'!A19,INDIRECT("'"&amp;E19&amp;"'"&amp;"!A4:Z4"),0),4),1,""),IFERROR(SUBSTITUTE(ADDRESS(1,MATCH('Mapping Sheet'!A19,INDIRECT("'"&amp;E19&amp;"'"&amp;"!A9:Z9"),0),4),1,""),IFERROR(SUBSTITUTE(ADDRESS(1,MATCH('Mapping Sheet'!A19,INDIRECT("'"&amp;E19&amp;"'"&amp;"!A12:Z12"),0),4),1,""),IFERROR(SUBSTITUTE(ADDRESS(1,MATCH('Mapping Sheet'!A19,INDIRECT("'"&amp;E19&amp;"'"&amp;"!A15:Z15"),0),4),1,""),IFERROR(SUBSTITUTE(ADDRESS(1,MATCH('Mapping Sheet'!A19,INDIRECT("'"&amp;E19&amp;"'"&amp;"!A17:Z17"),0),4),1,""),""))))),10)</f>
        <v>E10</v>
      </c>
      <c r="D19" s="1069" t="s">
        <v>1466</v>
      </c>
      <c r="E19" s="1069" t="s">
        <v>1467</v>
      </c>
      <c r="F19" s="1069" t="s">
        <v>1318</v>
      </c>
      <c r="G19" s="1069" t="s">
        <v>1479</v>
      </c>
      <c r="H19" s="1069" t="s">
        <v>1484</v>
      </c>
      <c r="I19" s="1205"/>
      <c r="J19" s="1205"/>
      <c r="K19" s="1205"/>
      <c r="L19" s="1205"/>
      <c r="M19" s="1205"/>
      <c r="N19" s="1205"/>
    </row>
    <row r="20" spans="1:14" x14ac:dyDescent="0.25">
      <c r="A20" s="1069" t="s">
        <v>1319</v>
      </c>
      <c r="B20" s="106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Sheet'!A20,INDIRECT("'"&amp;E20&amp;"'"&amp;"!A17:Z17"),0),4),1,""),""))))),9)</f>
        <v>F9</v>
      </c>
      <c r="C20" s="1069" t="str">
        <f ca="1">_xlfn.CONCAT(IFERROR(SUBSTITUTE(ADDRESS(1,MATCH('Mapping Sheet'!A20,INDIRECT("'"&amp;E20&amp;"'"&amp;"!A4:Z4"),0),4),1,""),IFERROR(SUBSTITUTE(ADDRESS(1,MATCH('Mapping Sheet'!A20,INDIRECT("'"&amp;E20&amp;"'"&amp;"!A9:Z9"),0),4),1,""),IFERROR(SUBSTITUTE(ADDRESS(1,MATCH('Mapping Sheet'!A20,INDIRECT("'"&amp;E20&amp;"'"&amp;"!A12:Z12"),0),4),1,""),IFERROR(SUBSTITUTE(ADDRESS(1,MATCH('Mapping Sheet'!A20,INDIRECT("'"&amp;E20&amp;"'"&amp;"!A15:Z15"),0),4),1,""),IFERROR(SUBSTITUTE(ADDRESS(1,MATCH('Mapping Sheet'!A20,INDIRECT("'"&amp;E20&amp;"'"&amp;"!A17:Z17"),0),4),1,""),""))))),10)</f>
        <v>F10</v>
      </c>
      <c r="D20" s="1069" t="s">
        <v>1466</v>
      </c>
      <c r="E20" s="1069" t="s">
        <v>1467</v>
      </c>
      <c r="F20" s="1069" t="s">
        <v>1319</v>
      </c>
      <c r="G20" s="1069" t="s">
        <v>1480</v>
      </c>
      <c r="H20" s="1069" t="s">
        <v>1484</v>
      </c>
      <c r="I20" s="1205"/>
      <c r="J20" s="1205"/>
      <c r="K20" s="1205"/>
      <c r="L20" s="1205"/>
      <c r="M20" s="1205"/>
      <c r="N20" s="1205"/>
    </row>
    <row r="21" spans="1:14" x14ac:dyDescent="0.25">
      <c r="A21" s="1069" t="s">
        <v>1328</v>
      </c>
      <c r="B21" s="106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Sheet'!A21,INDIRECT("'"&amp;E21&amp;"'"&amp;"!A17:Z17"),0),4),1,""),""))))),12)</f>
        <v>C12</v>
      </c>
      <c r="C21" s="1069" t="str">
        <f ca="1">_xlfn.CONCAT(IFERROR(SUBSTITUTE(ADDRESS(1,MATCH('Mapping Sheet'!A21,INDIRECT("'"&amp;E21&amp;"'"&amp;"!A4:Z4"),0),4),1,""),IFERROR(SUBSTITUTE(ADDRESS(1,MATCH('Mapping Sheet'!A21,INDIRECT("'"&amp;E21&amp;"'"&amp;"!A9:Z9"),0),4),1,""),IFERROR(SUBSTITUTE(ADDRESS(1,MATCH('Mapping Sheet'!A21,INDIRECT("'"&amp;E21&amp;"'"&amp;"!A12:Z12"),0),4),1,""),IFERROR(SUBSTITUTE(ADDRESS(1,MATCH('Mapping Sheet'!A21,INDIRECT("'"&amp;E21&amp;"'"&amp;"!A15:Z15"),0),4),1,""),IFERROR(SUBSTITUTE(ADDRESS(1,MATCH('Mapping Sheet'!A21,INDIRECT("'"&amp;E21&amp;"'"&amp;"!A17:Z17"),0),4),1,""),""))))),13)</f>
        <v>C13</v>
      </c>
      <c r="D21" s="1069" t="s">
        <v>1466</v>
      </c>
      <c r="E21" s="1069" t="s">
        <v>1467</v>
      </c>
      <c r="F21" s="1069" t="s">
        <v>1328</v>
      </c>
      <c r="G21" s="1069" t="s">
        <v>1482</v>
      </c>
      <c r="H21" s="1069" t="s">
        <v>1484</v>
      </c>
      <c r="I21" s="1205"/>
      <c r="J21" s="1205"/>
      <c r="K21" s="1205"/>
      <c r="L21" s="1069" t="s">
        <v>1328</v>
      </c>
      <c r="M21" s="1205">
        <v>13</v>
      </c>
      <c r="N21" s="1205"/>
    </row>
    <row r="22" spans="1:14" x14ac:dyDescent="0.25">
      <c r="A22" s="1069" t="s">
        <v>1329</v>
      </c>
      <c r="B22" s="106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Sheet'!A22,INDIRECT("'"&amp;E22&amp;"'"&amp;"!A17:Z17"),0),4),1,""),""))))),12)</f>
        <v>D12</v>
      </c>
      <c r="C22" s="1069" t="str">
        <f ca="1">_xlfn.CONCAT(IFERROR(SUBSTITUTE(ADDRESS(1,MATCH('Mapping Sheet'!A22,INDIRECT("'"&amp;E22&amp;"'"&amp;"!A4:Z4"),0),4),1,""),IFERROR(SUBSTITUTE(ADDRESS(1,MATCH('Mapping Sheet'!A22,INDIRECT("'"&amp;E22&amp;"'"&amp;"!A9:Z9"),0),4),1,""),IFERROR(SUBSTITUTE(ADDRESS(1,MATCH('Mapping Sheet'!A22,INDIRECT("'"&amp;E22&amp;"'"&amp;"!A12:Z12"),0),4),1,""),IFERROR(SUBSTITUTE(ADDRESS(1,MATCH('Mapping Sheet'!A22,INDIRECT("'"&amp;E22&amp;"'"&amp;"!A15:Z15"),0),4),1,""),IFERROR(SUBSTITUTE(ADDRESS(1,MATCH('Mapping Sheet'!A22,INDIRECT("'"&amp;E22&amp;"'"&amp;"!A17:Z17"),0),4),1,""),""))))),13)</f>
        <v>D13</v>
      </c>
      <c r="D22" s="1069" t="s">
        <v>1466</v>
      </c>
      <c r="E22" s="1069" t="s">
        <v>1467</v>
      </c>
      <c r="F22" s="1069" t="s">
        <v>1329</v>
      </c>
      <c r="G22" s="1069" t="s">
        <v>1476</v>
      </c>
      <c r="H22" s="1069" t="s">
        <v>1484</v>
      </c>
      <c r="I22" s="1205"/>
      <c r="J22" s="1205"/>
      <c r="K22" s="1205"/>
      <c r="L22" s="1069" t="s">
        <v>1329</v>
      </c>
      <c r="M22" s="1205">
        <v>14</v>
      </c>
      <c r="N22" s="1205"/>
    </row>
    <row r="23" spans="1:14" x14ac:dyDescent="0.25">
      <c r="A23" s="1069" t="s">
        <v>1487</v>
      </c>
      <c r="B23" s="106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Sheet'!A23,INDIRECT("'"&amp;E23&amp;"'"&amp;"!A17:Z17"),0),4),1,""),""))))),12)</f>
        <v>F12</v>
      </c>
      <c r="C23" s="1069" t="str">
        <f ca="1">_xlfn.CONCAT(IFERROR(SUBSTITUTE(ADDRESS(1,MATCH('Mapping Sheet'!A23,INDIRECT("'"&amp;E23&amp;"'"&amp;"!A4:Z4"),0),4),1,""),IFERROR(SUBSTITUTE(ADDRESS(1,MATCH('Mapping Sheet'!A23,INDIRECT("'"&amp;E23&amp;"'"&amp;"!A9:Z9"),0),4),1,""),IFERROR(SUBSTITUTE(ADDRESS(1,MATCH('Mapping Sheet'!A23,INDIRECT("'"&amp;E23&amp;"'"&amp;"!A12:Z12"),0),4),1,""),IFERROR(SUBSTITUTE(ADDRESS(1,MATCH('Mapping Sheet'!A23,INDIRECT("'"&amp;E23&amp;"'"&amp;"!A15:Z15"),0),4),1,""),IFERROR(SUBSTITUTE(ADDRESS(1,MATCH('Mapping Sheet'!A23,INDIRECT("'"&amp;E23&amp;"'"&amp;"!A17:Z17"),0),4),1,""),""))))),13)</f>
        <v>F13</v>
      </c>
      <c r="D23" s="1069" t="s">
        <v>1466</v>
      </c>
      <c r="E23" s="1069" t="s">
        <v>1467</v>
      </c>
      <c r="F23" s="1069" t="s">
        <v>1487</v>
      </c>
      <c r="G23" s="1069" t="s">
        <v>134</v>
      </c>
      <c r="H23" s="1069" t="s">
        <v>1484</v>
      </c>
      <c r="I23" s="1205"/>
      <c r="J23" s="1205"/>
      <c r="K23" s="1205"/>
      <c r="L23" s="1069" t="s">
        <v>1487</v>
      </c>
      <c r="M23" s="1205">
        <v>15</v>
      </c>
      <c r="N23" s="1205"/>
    </row>
    <row r="24" spans="1:14" ht="30" x14ac:dyDescent="0.25">
      <c r="A24" s="1069" t="s">
        <v>1332</v>
      </c>
      <c r="B24" s="106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Sheet'!A24,INDIRECT("'"&amp;E24&amp;"'"&amp;"!A17:Z17"),0),4),1,""),""))))),12)</f>
        <v>G12</v>
      </c>
      <c r="C24" s="1069" t="str">
        <f ca="1">_xlfn.CONCAT(IFERROR(SUBSTITUTE(ADDRESS(1,MATCH('Mapping Sheet'!A24,INDIRECT("'"&amp;E24&amp;"'"&amp;"!A4:Z4"),0),4),1,""),IFERROR(SUBSTITUTE(ADDRESS(1,MATCH('Mapping Sheet'!A24,INDIRECT("'"&amp;E24&amp;"'"&amp;"!A9:Z9"),0),4),1,""),IFERROR(SUBSTITUTE(ADDRESS(1,MATCH('Mapping Sheet'!A24,INDIRECT("'"&amp;E24&amp;"'"&amp;"!A12:Z12"),0),4),1,""),IFERROR(SUBSTITUTE(ADDRESS(1,MATCH('Mapping Sheet'!A24,INDIRECT("'"&amp;E24&amp;"'"&amp;"!A15:Z15"),0),4),1,""),IFERROR(SUBSTITUTE(ADDRESS(1,MATCH('Mapping Sheet'!A24,INDIRECT("'"&amp;E24&amp;"'"&amp;"!A17:Z17"),0),4),1,""),""))))),13)</f>
        <v>G13</v>
      </c>
      <c r="D24" s="1069" t="s">
        <v>1466</v>
      </c>
      <c r="E24" s="1069" t="s">
        <v>1467</v>
      </c>
      <c r="F24" s="1069" t="s">
        <v>1488</v>
      </c>
      <c r="G24" s="1069" t="s">
        <v>663</v>
      </c>
      <c r="H24" s="1069" t="s">
        <v>1484</v>
      </c>
      <c r="I24" s="1205"/>
      <c r="J24" s="1205"/>
      <c r="K24" s="1205"/>
      <c r="L24" s="1069" t="s">
        <v>1332</v>
      </c>
      <c r="M24" s="1205">
        <v>16</v>
      </c>
      <c r="N24" s="1205"/>
    </row>
    <row r="25" spans="1:14" ht="30" x14ac:dyDescent="0.25">
      <c r="A25" s="1069" t="s">
        <v>1333</v>
      </c>
      <c r="B25" s="106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Sheet'!A25,INDIRECT("'"&amp;E25&amp;"'"&amp;"!A17:Z17"),0),4),1,""),""))))),12)</f>
        <v>H12</v>
      </c>
      <c r="C25" s="1069" t="str">
        <f ca="1">_xlfn.CONCAT(IFERROR(SUBSTITUTE(ADDRESS(1,MATCH('Mapping Sheet'!A25,INDIRECT("'"&amp;E25&amp;"'"&amp;"!A4:Z4"),0),4),1,""),IFERROR(SUBSTITUTE(ADDRESS(1,MATCH('Mapping Sheet'!A25,INDIRECT("'"&amp;E25&amp;"'"&amp;"!A9:Z9"),0),4),1,""),IFERROR(SUBSTITUTE(ADDRESS(1,MATCH('Mapping Sheet'!A25,INDIRECT("'"&amp;E25&amp;"'"&amp;"!A12:Z12"),0),4),1,""),IFERROR(SUBSTITUTE(ADDRESS(1,MATCH('Mapping Sheet'!A25,INDIRECT("'"&amp;E25&amp;"'"&amp;"!A15:Z15"),0),4),1,""),IFERROR(SUBSTITUTE(ADDRESS(1,MATCH('Mapping Sheet'!A25,INDIRECT("'"&amp;E25&amp;"'"&amp;"!A17:Z17"),0),4),1,""),""))))),13)</f>
        <v>H13</v>
      </c>
      <c r="D25" s="1069" t="s">
        <v>1466</v>
      </c>
      <c r="E25" s="1069" t="s">
        <v>1467</v>
      </c>
      <c r="F25" s="1069" t="s">
        <v>1333</v>
      </c>
      <c r="G25" s="1069" t="s">
        <v>242</v>
      </c>
      <c r="H25" s="1069" t="s">
        <v>1484</v>
      </c>
      <c r="I25" s="1205"/>
      <c r="J25" s="1205"/>
      <c r="K25" s="1205"/>
      <c r="L25" s="1069" t="s">
        <v>1333</v>
      </c>
      <c r="M25" s="1205">
        <v>17</v>
      </c>
      <c r="N25" s="1205"/>
    </row>
    <row r="26" spans="1:14" x14ac:dyDescent="0.25">
      <c r="A26" s="1069" t="s">
        <v>1320</v>
      </c>
      <c r="B26" s="106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Sheet'!A26,INDIRECT("'"&amp;E26&amp;"'"&amp;"!A17:Z17"),0),4),1,""),""))))),9)</f>
        <v>G9</v>
      </c>
      <c r="C26" s="1069" t="str">
        <f ca="1">_xlfn.CONCAT(IFERROR(SUBSTITUTE(ADDRESS(1,MATCH('Mapping Sheet'!A26,INDIRECT("'"&amp;E26&amp;"'"&amp;"!A4:Z4"),0),4),1,""),IFERROR(SUBSTITUTE(ADDRESS(1,MATCH('Mapping Sheet'!A26,INDIRECT("'"&amp;E26&amp;"'"&amp;"!A9:Z9"),0),4),1,""),IFERROR(SUBSTITUTE(ADDRESS(1,MATCH('Mapping Sheet'!A26,INDIRECT("'"&amp;E26&amp;"'"&amp;"!A12:Z12"),0),4),1,""),IFERROR(SUBSTITUTE(ADDRESS(1,MATCH('Mapping Sheet'!A26,INDIRECT("'"&amp;E26&amp;"'"&amp;"!A15:Z15"),0),4),1,""),IFERROR(SUBSTITUTE(ADDRESS(1,MATCH('Mapping Sheet'!A26,INDIRECT("'"&amp;E26&amp;"'"&amp;"!A17:Z17"),0),4),1,""),""))))),10)</f>
        <v>G10</v>
      </c>
      <c r="D26" s="1069" t="s">
        <v>1466</v>
      </c>
      <c r="E26" s="1069" t="s">
        <v>1467</v>
      </c>
      <c r="F26" s="1069" t="s">
        <v>1320</v>
      </c>
      <c r="G26" s="1069" t="s">
        <v>1481</v>
      </c>
      <c r="H26" s="1069" t="s">
        <v>1484</v>
      </c>
      <c r="I26" s="1205"/>
      <c r="J26" s="1205"/>
      <c r="K26" s="1205"/>
      <c r="L26" s="1069" t="s">
        <v>1320</v>
      </c>
      <c r="M26" s="1205">
        <v>11</v>
      </c>
      <c r="N26" s="1205"/>
    </row>
    <row r="27" spans="1:14" x14ac:dyDescent="0.25">
      <c r="A27" s="1069" t="s">
        <v>1334</v>
      </c>
      <c r="B27" s="106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Sheet'!A27,INDIRECT("'"&amp;E27&amp;"'"&amp;"!A17:Z17"),0),4),1,""),""))))),12)</f>
        <v>I12</v>
      </c>
      <c r="C27" s="1069" t="str">
        <f ca="1">_xlfn.CONCAT(IFERROR(SUBSTITUTE(ADDRESS(1,MATCH('Mapping Sheet'!A27,INDIRECT("'"&amp;E27&amp;"'"&amp;"!A4:Z4"),0),4),1,""),IFERROR(SUBSTITUTE(ADDRESS(1,MATCH('Mapping Sheet'!A27,INDIRECT("'"&amp;E27&amp;"'"&amp;"!A9:Z9"),0),4),1,""),IFERROR(SUBSTITUTE(ADDRESS(1,MATCH('Mapping Sheet'!A27,INDIRECT("'"&amp;E27&amp;"'"&amp;"!A12:Z12"),0),4),1,""),IFERROR(SUBSTITUTE(ADDRESS(1,MATCH('Mapping Sheet'!A27,INDIRECT("'"&amp;E27&amp;"'"&amp;"!A15:Z15"),0),4),1,""),IFERROR(SUBSTITUTE(ADDRESS(1,MATCH('Mapping Sheet'!A27,INDIRECT("'"&amp;E27&amp;"'"&amp;"!A17:Z17"),0),4),1,""),""))))),13)</f>
        <v>I13</v>
      </c>
      <c r="D27" s="1069" t="s">
        <v>1466</v>
      </c>
      <c r="E27" s="1069" t="s">
        <v>1467</v>
      </c>
      <c r="F27" s="1069" t="s">
        <v>1334</v>
      </c>
      <c r="G27" s="1069" t="s">
        <v>1489</v>
      </c>
      <c r="H27" s="1069" t="s">
        <v>1484</v>
      </c>
      <c r="I27" s="1205"/>
      <c r="J27" s="1205"/>
      <c r="K27" s="1205"/>
      <c r="L27" s="1205"/>
      <c r="M27" s="1205"/>
      <c r="N27" s="1205"/>
    </row>
    <row r="28" spans="1:14" x14ac:dyDescent="0.25">
      <c r="A28" s="1069" t="s">
        <v>1369</v>
      </c>
      <c r="B28" s="1066" t="str">
        <f ca="1">_xlfn.CONCAT(IFERROR(SUBSTITUTE(ADDRESS(1,MATCH(A28,INDIRECT("'"&amp;E28&amp;"'"&amp;"!A4:Z4"),0),4),1,""),""),4)</f>
        <v>C4</v>
      </c>
      <c r="C28" s="1066" t="str">
        <f ca="1">_xlfn.CONCAT(IFERROR(SUBSTITUTE(ADDRESS(1,MATCH(A28,INDIRECT("'"&amp;E28&amp;"'"&amp;"!A4:Z4"),0),4),1,""),""),5)</f>
        <v>C5</v>
      </c>
      <c r="D28" s="1069" t="s">
        <v>1466</v>
      </c>
      <c r="E28" s="1069" t="s">
        <v>1382</v>
      </c>
      <c r="F28" s="1069" t="s">
        <v>1369</v>
      </c>
      <c r="G28" s="1069" t="s">
        <v>1469</v>
      </c>
      <c r="H28" s="1069" t="s">
        <v>1367</v>
      </c>
      <c r="I28" s="1205"/>
      <c r="J28" s="1205"/>
      <c r="K28" s="1205"/>
      <c r="L28" s="1179" t="s">
        <v>1560</v>
      </c>
      <c r="M28" s="1205">
        <v>238</v>
      </c>
      <c r="N28" s="1205"/>
    </row>
    <row r="29" spans="1:14" x14ac:dyDescent="0.25">
      <c r="A29" s="1069" t="s">
        <v>1494</v>
      </c>
      <c r="B29" s="1066" t="str">
        <f t="shared" ref="B29:B30" ca="1" si="0">_xlfn.CONCAT(IFERROR(SUBSTITUTE(ADDRESS(1,MATCH(A29,INDIRECT("'"&amp;E29&amp;"'"&amp;"!A4:Z4"),0),4),1,""),""),4)</f>
        <v>D4</v>
      </c>
      <c r="C29" s="1066" t="str">
        <f ca="1">_xlfn.CONCAT(IFERROR(SUBSTITUTE(ADDRESS(1,MATCH(A29,INDIRECT("'"&amp;E29&amp;"'"&amp;"!A4:Z4"),0),4),1,""),""),5)</f>
        <v>D5</v>
      </c>
      <c r="D29" s="1069" t="s">
        <v>1466</v>
      </c>
      <c r="E29" s="1069" t="s">
        <v>1382</v>
      </c>
      <c r="F29" s="1069" t="s">
        <v>1494</v>
      </c>
      <c r="G29" s="1069" t="s">
        <v>1471</v>
      </c>
      <c r="H29" s="1069" t="s">
        <v>1367</v>
      </c>
      <c r="I29" s="1205"/>
      <c r="J29" s="1205"/>
      <c r="K29" s="1205"/>
      <c r="L29" s="1179" t="s">
        <v>1494</v>
      </c>
      <c r="M29" s="1205">
        <v>239</v>
      </c>
      <c r="N29" s="1205"/>
    </row>
    <row r="30" spans="1:14" x14ac:dyDescent="0.25">
      <c r="A30" s="1069" t="s">
        <v>1370</v>
      </c>
      <c r="B30" s="1066" t="str">
        <f t="shared" ca="1" si="0"/>
        <v>E4</v>
      </c>
      <c r="C30" s="1066" t="str">
        <f ca="1">_xlfn.CONCAT(IFERROR(SUBSTITUTE(ADDRESS(1,MATCH(A30,INDIRECT("'"&amp;E30&amp;"'"&amp;"!A4:Z4"),0),4),1,""),""),5)</f>
        <v>E5</v>
      </c>
      <c r="D30" s="1069" t="s">
        <v>1466</v>
      </c>
      <c r="E30" s="1069" t="s">
        <v>1382</v>
      </c>
      <c r="F30" s="1069" t="s">
        <v>1370</v>
      </c>
      <c r="G30" s="1069" t="s">
        <v>1486</v>
      </c>
      <c r="H30" s="1069" t="s">
        <v>1367</v>
      </c>
      <c r="I30" s="1205"/>
      <c r="J30" s="1205"/>
      <c r="K30" s="1205"/>
      <c r="L30" s="1179" t="s">
        <v>1370</v>
      </c>
      <c r="M30" s="1205">
        <v>240</v>
      </c>
      <c r="N30" s="1205"/>
    </row>
    <row r="31" spans="1:14" x14ac:dyDescent="0.25">
      <c r="A31" s="1069" t="s">
        <v>1589</v>
      </c>
      <c r="B31" s="1066" t="str">
        <f>IFERROR(_xlfn.CONCAT("C",MATCH(A31,Welcome!C$1:C$60,0)),"")</f>
        <v>C20</v>
      </c>
      <c r="C31" s="1066" t="str">
        <f>IFERROR(_xlfn.CONCAT("D",MATCH(A31,Welcome!C$1:C$61,0)),"")</f>
        <v>D20</v>
      </c>
      <c r="D31" s="1069" t="s">
        <v>1466</v>
      </c>
      <c r="E31" s="1069" t="s">
        <v>1490</v>
      </c>
      <c r="F31" s="1069" t="s">
        <v>1491</v>
      </c>
      <c r="G31" s="1069" t="s">
        <v>1492</v>
      </c>
      <c r="H31" s="1069" t="s">
        <v>1484</v>
      </c>
      <c r="I31" s="1205"/>
      <c r="J31" s="1205"/>
      <c r="K31" s="1205"/>
      <c r="L31" s="1205" t="s">
        <v>1543</v>
      </c>
      <c r="M31" s="1205">
        <v>22</v>
      </c>
      <c r="N31" s="1205"/>
    </row>
    <row r="32" spans="1:14" x14ac:dyDescent="0.25">
      <c r="A32" s="1069" t="s">
        <v>245</v>
      </c>
      <c r="B32" s="1066" t="str">
        <f ca="1">_xlfn.CONCAT(IFERROR(SUBSTITUTE(ADDRESS(1,MATCH('Mapping Sheet'!A32,INDIRECT("'"&amp;E32&amp;"'"&amp;"!A25:Z25"),0),4),1,""),""),25)</f>
        <v>C25</v>
      </c>
      <c r="C32" s="1069" t="str">
        <f ca="1">_xlfn.CONCAT(IFERROR(SUBSTITUTE(ADDRESS(1,MATCH('Mapping Sheet'!A32,INDIRECT("'"&amp;E32&amp;"'"&amp;"!A25:Z25"),0),4),1,""),""),26)</f>
        <v>C26</v>
      </c>
      <c r="D32" s="1069" t="s">
        <v>1466</v>
      </c>
      <c r="E32" s="1069" t="s">
        <v>1490</v>
      </c>
      <c r="F32" s="1069" t="s">
        <v>84</v>
      </c>
      <c r="G32" s="1069" t="s">
        <v>1469</v>
      </c>
      <c r="H32" s="1069" t="s">
        <v>1493</v>
      </c>
      <c r="I32" s="1205"/>
      <c r="J32" s="1205"/>
      <c r="K32" s="1205"/>
      <c r="L32" s="1205"/>
      <c r="M32" s="1205"/>
      <c r="N32" s="1205"/>
    </row>
    <row r="33" spans="1:14" x14ac:dyDescent="0.25">
      <c r="A33" s="1069" t="s">
        <v>266</v>
      </c>
      <c r="B33" s="1066" t="str">
        <f ca="1">_xlfn.CONCAT(IFERROR(SUBSTITUTE(ADDRESS(1,MATCH('Mapping Sheet'!A33,INDIRECT("'"&amp;E33&amp;"'"&amp;"!A25:Z25"),0),4),1,""),""),25)</f>
        <v>G25</v>
      </c>
      <c r="C33" s="1069" t="str">
        <f ca="1">_xlfn.CONCAT(IFERROR(SUBSTITUTE(ADDRESS(1,MATCH('Mapping Sheet'!A33,INDIRECT("'"&amp;E33&amp;"'"&amp;"!A25:Z25"),0),4),1,""),""),26)</f>
        <v>G26</v>
      </c>
      <c r="D33" s="1069" t="s">
        <v>1466</v>
      </c>
      <c r="E33" s="1069" t="s">
        <v>1490</v>
      </c>
      <c r="F33" s="1069" t="s">
        <v>266</v>
      </c>
      <c r="G33" s="1069" t="s">
        <v>1471</v>
      </c>
      <c r="H33" s="1069" t="s">
        <v>1493</v>
      </c>
      <c r="I33" s="1205"/>
      <c r="J33" s="1205"/>
      <c r="K33" s="1205"/>
      <c r="L33" s="1205"/>
      <c r="M33" s="1205"/>
      <c r="N33" s="1205"/>
    </row>
    <row r="34" spans="1:14" x14ac:dyDescent="0.25">
      <c r="A34" s="1069" t="s">
        <v>657</v>
      </c>
      <c r="B34" s="1066" t="str">
        <f ca="1">_xlfn.CONCAT(IFERROR(SUBSTITUTE(ADDRESS(1,MATCH('Mapping Sheet'!A34,INDIRECT("'"&amp;E34&amp;"'"&amp;"!A25:Z25"),0),4),1,""),""),25)</f>
        <v>D25</v>
      </c>
      <c r="C34" s="1069" t="str">
        <f ca="1">_xlfn.CONCAT(IFERROR(SUBSTITUTE(ADDRESS(1,MATCH('Mapping Sheet'!A34,INDIRECT("'"&amp;E34&amp;"'"&amp;"!A25:Z25"),0),4),1,""),""),26)</f>
        <v>D26</v>
      </c>
      <c r="D34" s="1069" t="s">
        <v>1466</v>
      </c>
      <c r="E34" s="1069" t="s">
        <v>1490</v>
      </c>
      <c r="F34" s="1069" t="s">
        <v>657</v>
      </c>
      <c r="G34" s="1069" t="s">
        <v>1486</v>
      </c>
      <c r="H34" s="1069" t="s">
        <v>1493</v>
      </c>
      <c r="I34" s="1205"/>
      <c r="J34" s="1205"/>
      <c r="K34" s="1205"/>
      <c r="L34" s="1205" t="s">
        <v>657</v>
      </c>
      <c r="M34" s="1205">
        <v>23</v>
      </c>
      <c r="N34" s="1205"/>
    </row>
    <row r="35" spans="1:14" x14ac:dyDescent="0.25">
      <c r="A35" s="1069" t="s">
        <v>1257</v>
      </c>
      <c r="B35" s="1066" t="str">
        <f ca="1">_xlfn.CONCAT(IFERROR(SUBSTITUTE(ADDRESS(1,MATCH('Mapping Sheet'!A35,INDIRECT("'"&amp;E35&amp;"'"&amp;"!A25:Z25"),0),4),1,""),""),25)</f>
        <v>E25</v>
      </c>
      <c r="C35" s="1069" t="str">
        <f ca="1">_xlfn.CONCAT(IFERROR(SUBSTITUTE(ADDRESS(1,MATCH('Mapping Sheet'!A35,INDIRECT("'"&amp;E35&amp;"'"&amp;"!A25:Z25"),0),4),1,""),""),26)</f>
        <v>E26</v>
      </c>
      <c r="D35" s="1069" t="s">
        <v>1466</v>
      </c>
      <c r="E35" s="1069" t="s">
        <v>1490</v>
      </c>
      <c r="F35" s="1069" t="s">
        <v>1257</v>
      </c>
      <c r="G35" s="1069" t="s">
        <v>662</v>
      </c>
      <c r="H35" s="1069" t="s">
        <v>1493</v>
      </c>
      <c r="I35" s="1205"/>
      <c r="J35" s="1205"/>
      <c r="K35" s="1205"/>
      <c r="L35" s="1205" t="s">
        <v>1257</v>
      </c>
      <c r="M35" s="1205">
        <v>24</v>
      </c>
      <c r="N35" s="1205"/>
    </row>
    <row r="36" spans="1:14" x14ac:dyDescent="0.25">
      <c r="A36" s="1069" t="s">
        <v>1258</v>
      </c>
      <c r="B36" s="1066" t="str">
        <f ca="1">_xlfn.CONCAT(IFERROR(SUBSTITUTE(ADDRESS(1,MATCH('Mapping Sheet'!A36,INDIRECT("'"&amp;E36&amp;"'"&amp;"!A25:Z25"),0),4),1,""),""),25)</f>
        <v>F25</v>
      </c>
      <c r="C36" s="1069" t="str">
        <f ca="1">_xlfn.CONCAT(IFERROR(SUBSTITUTE(ADDRESS(1,MATCH('Mapping Sheet'!A36,INDIRECT("'"&amp;E36&amp;"'"&amp;"!A25:Z25"),0),4),1,""),""),26)</f>
        <v>F26</v>
      </c>
      <c r="D36" s="1069" t="s">
        <v>1466</v>
      </c>
      <c r="E36" s="1069" t="s">
        <v>1490</v>
      </c>
      <c r="F36" s="1069" t="s">
        <v>1258</v>
      </c>
      <c r="G36" s="1069" t="s">
        <v>1472</v>
      </c>
      <c r="H36" s="1069" t="s">
        <v>1493</v>
      </c>
      <c r="I36" s="1205"/>
      <c r="J36" s="1205"/>
      <c r="K36" s="1205"/>
      <c r="L36" s="1205" t="s">
        <v>1258</v>
      </c>
      <c r="M36" s="1205">
        <v>25</v>
      </c>
      <c r="N36" s="1205"/>
    </row>
    <row r="37" spans="1:14" x14ac:dyDescent="0.25">
      <c r="A37" s="1069" t="s">
        <v>1259</v>
      </c>
      <c r="B37" s="1066" t="str">
        <f ca="1">_xlfn.CONCAT(IFERROR(SUBSTITUTE(ADDRESS(1,MATCH('Mapping Sheet'!A37,INDIRECT("'"&amp;E37&amp;"'"&amp;"!A25:Z25"),0),4),1,""),""),25)</f>
        <v>H25</v>
      </c>
      <c r="C37" s="1069" t="str">
        <f ca="1">_xlfn.CONCAT(IFERROR(SUBSTITUTE(ADDRESS(1,MATCH('Mapping Sheet'!A37,INDIRECT("'"&amp;E37&amp;"'"&amp;"!A25:Z25"),0),4),1,""),""),26)</f>
        <v>H26</v>
      </c>
      <c r="D37" s="1069" t="s">
        <v>1466</v>
      </c>
      <c r="E37" s="1069" t="s">
        <v>1490</v>
      </c>
      <c r="F37" s="1069" t="s">
        <v>1259</v>
      </c>
      <c r="G37" s="1069" t="s">
        <v>1477</v>
      </c>
      <c r="H37" s="1069" t="s">
        <v>1493</v>
      </c>
      <c r="I37" s="1205"/>
      <c r="J37" s="1205"/>
      <c r="K37" s="1205"/>
      <c r="L37" s="1205" t="s">
        <v>1259</v>
      </c>
      <c r="M37" s="1205">
        <v>26</v>
      </c>
      <c r="N37" s="1205"/>
    </row>
    <row r="38" spans="1:14" x14ac:dyDescent="0.25">
      <c r="A38" s="1069" t="s">
        <v>1278</v>
      </c>
      <c r="B38" s="1066" t="str">
        <f>IFERROR(_xlfn.CONCAT("C",MATCH(A38,Welcome!C$1:C$60,0)),"")</f>
        <v>C8</v>
      </c>
      <c r="C38" s="1066" t="str">
        <f>IFERROR(_xlfn.CONCAT("D",MATCH(A38,Welcome!C$1:C$61,0)),"")</f>
        <v>D8</v>
      </c>
      <c r="D38" s="1069" t="s">
        <v>1466</v>
      </c>
      <c r="E38" s="1069" t="s">
        <v>1490</v>
      </c>
      <c r="F38" s="1069"/>
      <c r="G38" s="1069"/>
      <c r="H38" s="1069"/>
      <c r="I38" s="1205"/>
      <c r="J38" s="1205"/>
      <c r="K38" s="1205"/>
      <c r="L38" s="1205" t="s">
        <v>1519</v>
      </c>
      <c r="M38" s="1205">
        <v>5</v>
      </c>
      <c r="N38" s="1205"/>
    </row>
    <row r="39" spans="1:14" x14ac:dyDescent="0.25">
      <c r="A39" s="1069" t="s">
        <v>1515</v>
      </c>
      <c r="B39" s="1066" t="str">
        <f>IFERROR(_xlfn.CONCAT("C",MATCH(A39,Welcome!C$1:C$60,0)),"")</f>
        <v>C12</v>
      </c>
      <c r="C39" s="1066" t="str">
        <f>IFERROR(_xlfn.CONCAT("D",MATCH(A39,Welcome!C$1:C$61,0)),"")</f>
        <v>D12</v>
      </c>
      <c r="D39" s="1069" t="s">
        <v>1466</v>
      </c>
      <c r="E39" s="1069" t="s">
        <v>1490</v>
      </c>
      <c r="F39" s="1069"/>
      <c r="G39" s="1069"/>
      <c r="H39" s="1069"/>
      <c r="I39" s="1205"/>
      <c r="J39" s="1205"/>
      <c r="K39" s="1204"/>
      <c r="L39" s="1205" t="s">
        <v>1520</v>
      </c>
      <c r="M39" s="1205">
        <v>6</v>
      </c>
      <c r="N39" s="1205"/>
    </row>
    <row r="40" spans="1:14" x14ac:dyDescent="0.25">
      <c r="A40" s="1069" t="s">
        <v>1516</v>
      </c>
      <c r="B40" s="1066" t="str">
        <f>IFERROR(_xlfn.CONCAT("C",MATCH(A40,Welcome!C$1:C$60,0)),"")</f>
        <v>C16</v>
      </c>
      <c r="C40" s="1066" t="str">
        <f>IFERROR(_xlfn.CONCAT("D",MATCH(A40,Welcome!C$1:C$61,0)),"")</f>
        <v>D16</v>
      </c>
      <c r="D40" s="1069" t="s">
        <v>1466</v>
      </c>
      <c r="E40" s="1069" t="s">
        <v>1490</v>
      </c>
      <c r="F40" s="1069"/>
      <c r="G40" s="1069"/>
      <c r="H40" s="1069"/>
      <c r="I40" s="1205"/>
      <c r="J40" s="1205"/>
      <c r="K40" s="1204"/>
      <c r="L40" s="1205" t="s">
        <v>1521</v>
      </c>
      <c r="M40" s="1205">
        <v>20</v>
      </c>
      <c r="N40" s="1205"/>
    </row>
    <row r="41" spans="1:14" x14ac:dyDescent="0.25">
      <c r="A41" s="1069" t="s">
        <v>1517</v>
      </c>
      <c r="B41" s="1066" t="str">
        <f>IFERROR(_xlfn.CONCAT("C",MATCH(A41,Welcome!C$1:C$60,0)),"")</f>
        <v>C18</v>
      </c>
      <c r="C41" s="1066" t="str">
        <f>IFERROR(_xlfn.CONCAT("D",MATCH(A41,Welcome!C$1:C$61,0)),"")</f>
        <v>D18</v>
      </c>
      <c r="D41" s="1069" t="s">
        <v>1466</v>
      </c>
      <c r="E41" s="1069" t="s">
        <v>1490</v>
      </c>
      <c r="F41" s="1069"/>
      <c r="G41" s="1069"/>
      <c r="H41" s="1069"/>
      <c r="I41" s="1205"/>
      <c r="J41" s="1205"/>
      <c r="K41" s="1204"/>
      <c r="L41" s="1205" t="s">
        <v>1522</v>
      </c>
      <c r="M41" s="1205">
        <v>21</v>
      </c>
      <c r="N41" s="1205"/>
    </row>
    <row r="42" spans="1:14" x14ac:dyDescent="0.25">
      <c r="A42" s="1069" t="s">
        <v>1587</v>
      </c>
      <c r="B42" s="1066" t="str">
        <f>IFERROR(_xlfn.CONCAT("C",MATCH(A42,Welcome!C$1:C$60,0)),"")</f>
        <v>C14</v>
      </c>
      <c r="C42" s="1066" t="str">
        <f>IFERROR(_xlfn.CONCAT("D",MATCH(A42,Welcome!C$1:C$61,0)),"")</f>
        <v>D14</v>
      </c>
      <c r="D42" s="1069" t="s">
        <v>1466</v>
      </c>
      <c r="E42" s="1069" t="s">
        <v>1490</v>
      </c>
      <c r="F42" s="1069"/>
      <c r="G42" s="1069"/>
      <c r="H42" s="1069"/>
      <c r="I42" s="1205"/>
      <c r="J42" s="1205"/>
      <c r="K42" s="1204"/>
      <c r="L42" s="1205" t="s">
        <v>1591</v>
      </c>
      <c r="M42" s="1205">
        <v>27</v>
      </c>
      <c r="N42" s="1205"/>
    </row>
    <row r="43" spans="1:14" x14ac:dyDescent="0.25">
      <c r="A43" s="1206" t="s">
        <v>1283</v>
      </c>
      <c r="B43" s="1069" t="str">
        <f t="shared" ref="B43:B51" ca="1" si="1">_xlfn.IFNA(_xlfn.CONCAT(SUBSTITUTE(ADDRESS(1,MATCH(A43,INDIRECT("'"&amp;E43&amp;"'"&amp;"!A5:Z5"),0),4),1,""),6),"")</f>
        <v>H6</v>
      </c>
      <c r="C43" s="1069" t="str">
        <f t="shared" ref="C43:C51" ca="1" si="2">_xlfn.IFNA(SUBSTITUTE(ADDRESS(1,MATCH(A43,INDIRECT("'"&amp;E43&amp;"'"&amp;"!A5:Z5"),0),4),1,""),"")</f>
        <v>H</v>
      </c>
      <c r="D43" s="1069" t="s">
        <v>1473</v>
      </c>
      <c r="E43" s="1069" t="s">
        <v>917</v>
      </c>
      <c r="F43" s="1069"/>
      <c r="G43" s="1069"/>
      <c r="H43" s="1069"/>
      <c r="I43" s="1069"/>
      <c r="J43" s="1069"/>
      <c r="K43" s="1207"/>
      <c r="L43" s="1069" t="s">
        <v>1283</v>
      </c>
      <c r="M43" s="1229">
        <v>29</v>
      </c>
      <c r="N43" s="1069"/>
    </row>
    <row r="44" spans="1:14" x14ac:dyDescent="0.25">
      <c r="A44" s="1208" t="s">
        <v>1365</v>
      </c>
      <c r="B44" s="1069" t="str">
        <f t="shared" ca="1" si="1"/>
        <v>I6</v>
      </c>
      <c r="C44" s="1069" t="str">
        <f t="shared" ca="1" si="2"/>
        <v>I</v>
      </c>
      <c r="D44" s="1069" t="s">
        <v>1473</v>
      </c>
      <c r="E44" s="1069" t="s">
        <v>917</v>
      </c>
      <c r="F44" s="1069"/>
      <c r="G44" s="1069"/>
      <c r="H44" s="1069"/>
      <c r="I44" s="1069"/>
      <c r="J44" s="1069"/>
      <c r="K44" s="1207"/>
      <c r="L44" s="52" t="s">
        <v>1365</v>
      </c>
      <c r="M44" s="1069">
        <v>31</v>
      </c>
      <c r="N44" s="1069"/>
    </row>
    <row r="45" spans="1:14" ht="30" x14ac:dyDescent="0.25">
      <c r="A45" s="1206" t="s">
        <v>1366</v>
      </c>
      <c r="B45" s="1069" t="str">
        <f t="shared" ca="1" si="1"/>
        <v>J6</v>
      </c>
      <c r="C45" s="1069" t="str">
        <f t="shared" ca="1" si="2"/>
        <v>J</v>
      </c>
      <c r="D45" s="1069" t="s">
        <v>1473</v>
      </c>
      <c r="E45" s="1069" t="s">
        <v>917</v>
      </c>
      <c r="F45" s="1069"/>
      <c r="G45" s="1069"/>
      <c r="H45" s="1069"/>
      <c r="I45" s="1069"/>
      <c r="J45" s="1069"/>
      <c r="K45" s="1207"/>
      <c r="L45" s="1069" t="s">
        <v>1366</v>
      </c>
      <c r="M45" s="1069">
        <v>32</v>
      </c>
      <c r="N45" s="1069"/>
    </row>
    <row r="46" spans="1:14" x14ac:dyDescent="0.25">
      <c r="A46" s="1206" t="s">
        <v>1286</v>
      </c>
      <c r="B46" s="1069" t="str">
        <f t="shared" ca="1" si="1"/>
        <v>P6</v>
      </c>
      <c r="C46" s="1069" t="str">
        <f t="shared" ca="1" si="2"/>
        <v>P</v>
      </c>
      <c r="D46" s="1069" t="s">
        <v>1473</v>
      </c>
      <c r="E46" s="1069" t="s">
        <v>917</v>
      </c>
      <c r="F46" s="1069"/>
      <c r="G46" s="1069"/>
      <c r="H46" s="1069"/>
      <c r="I46" s="1069"/>
      <c r="J46" s="1069"/>
      <c r="K46" s="1207"/>
      <c r="L46" s="1069" t="s">
        <v>1286</v>
      </c>
      <c r="M46" s="1069">
        <v>33</v>
      </c>
      <c r="N46" s="1069"/>
    </row>
    <row r="47" spans="1:14" x14ac:dyDescent="0.25">
      <c r="A47" s="1209" t="s">
        <v>1287</v>
      </c>
      <c r="B47" s="1069" t="str">
        <f t="shared" ca="1" si="1"/>
        <v>Q6</v>
      </c>
      <c r="C47" s="1069" t="str">
        <f t="shared" ca="1" si="2"/>
        <v>Q</v>
      </c>
      <c r="D47" s="1069" t="s">
        <v>1473</v>
      </c>
      <c r="E47" s="1069" t="s">
        <v>917</v>
      </c>
      <c r="F47" s="1069"/>
      <c r="G47" s="1069"/>
      <c r="H47" s="1069"/>
      <c r="I47" s="1069"/>
      <c r="J47" s="1069"/>
      <c r="K47" s="1207"/>
      <c r="L47" s="1178" t="s">
        <v>1287</v>
      </c>
      <c r="M47" s="1069">
        <v>34</v>
      </c>
      <c r="N47" s="1069"/>
    </row>
    <row r="48" spans="1:14" x14ac:dyDescent="0.25">
      <c r="A48" s="1209" t="s">
        <v>1288</v>
      </c>
      <c r="B48" s="1069" t="str">
        <f t="shared" ca="1" si="1"/>
        <v>R6</v>
      </c>
      <c r="C48" s="1069" t="str">
        <f t="shared" ca="1" si="2"/>
        <v>R</v>
      </c>
      <c r="D48" s="1069" t="s">
        <v>1473</v>
      </c>
      <c r="E48" s="1069" t="s">
        <v>917</v>
      </c>
      <c r="F48" s="1069"/>
      <c r="G48" s="1069"/>
      <c r="H48" s="1069"/>
      <c r="I48" s="1069"/>
      <c r="J48" s="1069"/>
      <c r="K48" s="1207"/>
      <c r="L48" s="1178" t="s">
        <v>1288</v>
      </c>
      <c r="M48" s="1069">
        <v>35</v>
      </c>
      <c r="N48" s="1069"/>
    </row>
    <row r="49" spans="1:14" x14ac:dyDescent="0.25">
      <c r="A49" s="1209" t="s">
        <v>1289</v>
      </c>
      <c r="B49" s="1069" t="str">
        <f t="shared" ca="1" si="1"/>
        <v>T6</v>
      </c>
      <c r="C49" s="1069" t="str">
        <f t="shared" ca="1" si="2"/>
        <v>T</v>
      </c>
      <c r="D49" s="1069" t="s">
        <v>1473</v>
      </c>
      <c r="E49" s="1069" t="s">
        <v>917</v>
      </c>
      <c r="F49" s="1069"/>
      <c r="G49" s="1069"/>
      <c r="H49" s="1069"/>
      <c r="I49" s="1069"/>
      <c r="J49" s="1069"/>
      <c r="K49" s="1207"/>
      <c r="L49" s="1178" t="s">
        <v>1289</v>
      </c>
      <c r="M49" s="1069">
        <v>36</v>
      </c>
      <c r="N49" s="1069"/>
    </row>
    <row r="50" spans="1:14" x14ac:dyDescent="0.25">
      <c r="A50" s="1209" t="s">
        <v>1290</v>
      </c>
      <c r="B50" s="1069" t="str">
        <f t="shared" ca="1" si="1"/>
        <v>U6</v>
      </c>
      <c r="C50" s="1069" t="str">
        <f t="shared" ca="1" si="2"/>
        <v>U</v>
      </c>
      <c r="D50" s="1069" t="s">
        <v>1473</v>
      </c>
      <c r="E50" s="1069" t="s">
        <v>917</v>
      </c>
      <c r="F50" s="1069"/>
      <c r="G50" s="1069"/>
      <c r="H50" s="1069"/>
      <c r="I50" s="1069"/>
      <c r="J50" s="1069"/>
      <c r="K50" s="1207"/>
      <c r="L50" s="1178" t="s">
        <v>1290</v>
      </c>
      <c r="M50" s="1069">
        <v>37</v>
      </c>
      <c r="N50" s="1069"/>
    </row>
    <row r="51" spans="1:14" x14ac:dyDescent="0.25">
      <c r="A51" s="1209" t="s">
        <v>1455</v>
      </c>
      <c r="B51" s="1069" t="str">
        <f t="shared" ca="1" si="1"/>
        <v>V6</v>
      </c>
      <c r="C51" s="1069" t="str">
        <f t="shared" ca="1" si="2"/>
        <v>V</v>
      </c>
      <c r="D51" s="1069" t="s">
        <v>1473</v>
      </c>
      <c r="E51" s="1069" t="s">
        <v>917</v>
      </c>
      <c r="F51" s="1069"/>
      <c r="G51" s="1069"/>
      <c r="H51" s="1069"/>
      <c r="I51" s="1069"/>
      <c r="J51" s="1069"/>
      <c r="K51" s="1207"/>
      <c r="L51" s="1178" t="s">
        <v>1546</v>
      </c>
      <c r="M51" s="1069">
        <v>38</v>
      </c>
      <c r="N51" s="1069"/>
    </row>
    <row r="52" spans="1:14" x14ac:dyDescent="0.25">
      <c r="A52" s="1209" t="s">
        <v>1547</v>
      </c>
      <c r="B52" s="1069" t="str">
        <f ca="1">_xlfn.IFNA(_xlfn.CONCAT(SUBSTITUTE(ADDRESS(1,MATCH(A52,INDIRECT("'"&amp;E52&amp;"'"&amp;"!A5:Z5"),0),4),1,""),6),"")</f>
        <v/>
      </c>
      <c r="C52" s="1069" t="str">
        <f ca="1">_xlfn.IFNA(SUBSTITUTE(ADDRESS(1,MATCH(A52,INDIRECT("'"&amp;E52&amp;"'"&amp;"!A5:Z5"),0),4),1,""),"")</f>
        <v/>
      </c>
      <c r="D52" s="1069" t="s">
        <v>1473</v>
      </c>
      <c r="E52" s="1069" t="s">
        <v>917</v>
      </c>
      <c r="F52" s="1069"/>
      <c r="G52" s="1069"/>
      <c r="H52" s="1069"/>
      <c r="I52" s="1069"/>
      <c r="J52" s="1069"/>
      <c r="K52" s="1207"/>
      <c r="L52" s="1178" t="s">
        <v>1547</v>
      </c>
      <c r="M52" s="1069"/>
      <c r="N52" s="1069"/>
    </row>
    <row r="53" spans="1:14" x14ac:dyDescent="0.25">
      <c r="A53" s="1210" t="s">
        <v>1283</v>
      </c>
      <c r="B53" s="1069" t="str">
        <f ca="1">_xlfn.IFNA(_xlfn.CONCAT(SUBSTITUTE(ADDRESS(1,MATCH(A53,INDIRECT("'"&amp;E53&amp;"'"&amp;"!A5:Z5"),0),4),1,""),7),"")</f>
        <v>H7</v>
      </c>
      <c r="C53" s="1069" t="str">
        <f t="shared" ref="C53:C116" ca="1" si="3">_xlfn.IFNA(SUBSTITUTE(ADDRESS(1,MATCH(A53,INDIRECT("'"&amp;E53&amp;"'"&amp;"!A5:Z5"),0),4),1,""),"")</f>
        <v>H</v>
      </c>
      <c r="D53" s="1069" t="s">
        <v>1473</v>
      </c>
      <c r="E53" s="1069" t="s">
        <v>917</v>
      </c>
      <c r="F53" s="1069"/>
      <c r="G53" s="1069"/>
      <c r="H53" s="1069"/>
      <c r="I53" s="1069"/>
      <c r="J53" s="1069"/>
      <c r="K53" s="1207"/>
      <c r="L53" s="1069" t="s">
        <v>1283</v>
      </c>
      <c r="M53" s="1069">
        <v>50</v>
      </c>
      <c r="N53" s="1069"/>
    </row>
    <row r="54" spans="1:14" x14ac:dyDescent="0.25">
      <c r="A54" s="1211" t="s">
        <v>1365</v>
      </c>
      <c r="B54" s="1069" t="str">
        <f t="shared" ref="B54:B62" ca="1" si="4">_xlfn.IFNA(_xlfn.CONCAT(SUBSTITUTE(ADDRESS(1,MATCH(A54,INDIRECT("'"&amp;E54&amp;"'"&amp;"!A5:Z5"),0),4),1,""),7),"")</f>
        <v>I7</v>
      </c>
      <c r="C54" s="1069" t="str">
        <f t="shared" ca="1" si="3"/>
        <v>I</v>
      </c>
      <c r="D54" s="1069" t="s">
        <v>1473</v>
      </c>
      <c r="E54" s="1069" t="s">
        <v>917</v>
      </c>
      <c r="F54" s="1069"/>
      <c r="G54" s="1069"/>
      <c r="H54" s="1069"/>
      <c r="I54" s="1069"/>
      <c r="J54" s="1069"/>
      <c r="K54" s="1207"/>
      <c r="L54" s="52" t="s">
        <v>1365</v>
      </c>
      <c r="M54" s="1069">
        <v>52</v>
      </c>
      <c r="N54" s="1069"/>
    </row>
    <row r="55" spans="1:14" ht="30" x14ac:dyDescent="0.25">
      <c r="A55" s="1210" t="s">
        <v>1366</v>
      </c>
      <c r="B55" s="1069" t="str">
        <f t="shared" ca="1" si="4"/>
        <v>J7</v>
      </c>
      <c r="C55" s="1069" t="str">
        <f t="shared" ca="1" si="3"/>
        <v>J</v>
      </c>
      <c r="D55" s="1069" t="s">
        <v>1473</v>
      </c>
      <c r="E55" s="1069" t="s">
        <v>917</v>
      </c>
      <c r="F55" s="1069"/>
      <c r="G55" s="1069"/>
      <c r="H55" s="1069"/>
      <c r="I55" s="1069"/>
      <c r="J55" s="1069"/>
      <c r="K55" s="1069"/>
      <c r="L55" s="1069" t="s">
        <v>1366</v>
      </c>
      <c r="M55" s="1069">
        <v>53</v>
      </c>
      <c r="N55" s="1069"/>
    </row>
    <row r="56" spans="1:14" x14ac:dyDescent="0.25">
      <c r="A56" s="1210" t="s">
        <v>1286</v>
      </c>
      <c r="B56" s="1069" t="str">
        <f t="shared" ca="1" si="4"/>
        <v>P7</v>
      </c>
      <c r="C56" s="1069" t="str">
        <f t="shared" ca="1" si="3"/>
        <v>P</v>
      </c>
      <c r="D56" s="1069" t="s">
        <v>1473</v>
      </c>
      <c r="E56" s="1069" t="s">
        <v>917</v>
      </c>
      <c r="F56" s="1069"/>
      <c r="G56" s="1069"/>
      <c r="H56" s="1069"/>
      <c r="I56" s="1069"/>
      <c r="J56" s="1069"/>
      <c r="K56" s="1069"/>
      <c r="L56" s="1069" t="s">
        <v>1286</v>
      </c>
      <c r="M56" s="1069">
        <v>54</v>
      </c>
      <c r="N56" s="1069"/>
    </row>
    <row r="57" spans="1:14" x14ac:dyDescent="0.25">
      <c r="A57" s="1212" t="s">
        <v>1287</v>
      </c>
      <c r="B57" s="1069" t="str">
        <f t="shared" ca="1" si="4"/>
        <v>Q7</v>
      </c>
      <c r="C57" s="1069" t="str">
        <f t="shared" ca="1" si="3"/>
        <v>Q</v>
      </c>
      <c r="D57" s="1069" t="s">
        <v>1473</v>
      </c>
      <c r="E57" s="1069" t="s">
        <v>917</v>
      </c>
      <c r="F57" s="1069"/>
      <c r="G57" s="1069"/>
      <c r="H57" s="1069"/>
      <c r="I57" s="1069"/>
      <c r="J57" s="1069"/>
      <c r="K57" s="1069"/>
      <c r="L57" s="1178" t="s">
        <v>1287</v>
      </c>
      <c r="M57" s="1069">
        <v>55</v>
      </c>
      <c r="N57" s="1069"/>
    </row>
    <row r="58" spans="1:14" x14ac:dyDescent="0.25">
      <c r="A58" s="1212" t="s">
        <v>1288</v>
      </c>
      <c r="B58" s="1069" t="str">
        <f t="shared" ca="1" si="4"/>
        <v>R7</v>
      </c>
      <c r="C58" s="1069" t="str">
        <f t="shared" ca="1" si="3"/>
        <v>R</v>
      </c>
      <c r="D58" s="1069" t="s">
        <v>1473</v>
      </c>
      <c r="E58" s="1069" t="s">
        <v>917</v>
      </c>
      <c r="F58" s="1069"/>
      <c r="G58" s="1069"/>
      <c r="H58" s="1069"/>
      <c r="I58" s="1069"/>
      <c r="J58" s="1069"/>
      <c r="K58" s="1069"/>
      <c r="L58" s="1178" t="s">
        <v>1288</v>
      </c>
      <c r="M58" s="1069">
        <v>56</v>
      </c>
      <c r="N58" s="1069"/>
    </row>
    <row r="59" spans="1:14" x14ac:dyDescent="0.25">
      <c r="A59" s="1212" t="s">
        <v>1289</v>
      </c>
      <c r="B59" s="1069" t="str">
        <f t="shared" ca="1" si="4"/>
        <v>T7</v>
      </c>
      <c r="C59" s="1069" t="str">
        <f t="shared" ca="1" si="3"/>
        <v>T</v>
      </c>
      <c r="D59" s="1069" t="s">
        <v>1473</v>
      </c>
      <c r="E59" s="1069" t="s">
        <v>917</v>
      </c>
      <c r="F59" s="1069"/>
      <c r="G59" s="1069"/>
      <c r="H59" s="1069"/>
      <c r="I59" s="1069"/>
      <c r="J59" s="1069"/>
      <c r="K59" s="1069"/>
      <c r="L59" s="1178" t="s">
        <v>1289</v>
      </c>
      <c r="M59" s="1069">
        <v>57</v>
      </c>
      <c r="N59" s="1069"/>
    </row>
    <row r="60" spans="1:14" x14ac:dyDescent="0.25">
      <c r="A60" s="1212" t="s">
        <v>1290</v>
      </c>
      <c r="B60" s="1069" t="str">
        <f t="shared" ca="1" si="4"/>
        <v>U7</v>
      </c>
      <c r="C60" s="1069" t="str">
        <f t="shared" ca="1" si="3"/>
        <v>U</v>
      </c>
      <c r="D60" s="1069" t="s">
        <v>1473</v>
      </c>
      <c r="E60" s="1069" t="s">
        <v>917</v>
      </c>
      <c r="F60" s="1069"/>
      <c r="G60" s="1069"/>
      <c r="H60" s="1069"/>
      <c r="I60" s="1069"/>
      <c r="J60" s="1069"/>
      <c r="K60" s="1069"/>
      <c r="L60" s="1178" t="s">
        <v>1290</v>
      </c>
      <c r="M60" s="1069">
        <v>58</v>
      </c>
      <c r="N60" s="1069"/>
    </row>
    <row r="61" spans="1:14" x14ac:dyDescent="0.25">
      <c r="A61" s="1212" t="s">
        <v>1455</v>
      </c>
      <c r="B61" s="1069" t="str">
        <f t="shared" ca="1" si="4"/>
        <v>V7</v>
      </c>
      <c r="C61" s="1069" t="str">
        <f t="shared" ca="1" si="3"/>
        <v>V</v>
      </c>
      <c r="D61" s="1069" t="s">
        <v>1473</v>
      </c>
      <c r="E61" s="1069" t="s">
        <v>917</v>
      </c>
      <c r="F61" s="1069"/>
      <c r="G61" s="1069"/>
      <c r="H61" s="1069"/>
      <c r="I61" s="1069"/>
      <c r="J61" s="1069"/>
      <c r="K61" s="1069"/>
      <c r="L61" s="1178" t="s">
        <v>1546</v>
      </c>
      <c r="M61" s="1069">
        <v>59</v>
      </c>
      <c r="N61" s="1069"/>
    </row>
    <row r="62" spans="1:14" x14ac:dyDescent="0.25">
      <c r="A62" s="1212" t="s">
        <v>1547</v>
      </c>
      <c r="B62" s="1069" t="str">
        <f t="shared" ca="1" si="4"/>
        <v/>
      </c>
      <c r="C62" s="1069" t="str">
        <f t="shared" ca="1" si="3"/>
        <v/>
      </c>
      <c r="D62" s="1069" t="s">
        <v>1473</v>
      </c>
      <c r="E62" s="1069" t="s">
        <v>917</v>
      </c>
      <c r="F62" s="1069"/>
      <c r="G62" s="1069"/>
      <c r="H62" s="1069"/>
      <c r="I62" s="1069"/>
      <c r="J62" s="1069"/>
      <c r="K62" s="1069"/>
      <c r="L62" s="1178" t="s">
        <v>1547</v>
      </c>
      <c r="M62" s="1069"/>
      <c r="N62" s="1069"/>
    </row>
    <row r="63" spans="1:14" x14ac:dyDescent="0.25">
      <c r="A63" s="1206" t="s">
        <v>1283</v>
      </c>
      <c r="B63" s="1069" t="str">
        <f ca="1">_xlfn.IFNA(_xlfn.CONCAT(SUBSTITUTE(ADDRESS(1,MATCH(A63,INDIRECT("'"&amp;E63&amp;"'"&amp;"!A5:Z5"),0),4),1,""),8),"")</f>
        <v>H8</v>
      </c>
      <c r="C63" s="1069" t="str">
        <f t="shared" ca="1" si="3"/>
        <v>H</v>
      </c>
      <c r="D63" s="1069" t="s">
        <v>1473</v>
      </c>
      <c r="E63" s="1069" t="s">
        <v>917</v>
      </c>
      <c r="F63" s="1069"/>
      <c r="G63" s="1069"/>
      <c r="H63" s="1069"/>
      <c r="I63" s="1069"/>
      <c r="J63" s="1069"/>
      <c r="K63" s="1069"/>
      <c r="L63" s="1069" t="s">
        <v>1283</v>
      </c>
      <c r="M63" s="1069">
        <v>71</v>
      </c>
      <c r="N63" s="1069"/>
    </row>
    <row r="64" spans="1:14" x14ac:dyDescent="0.25">
      <c r="A64" s="1208" t="s">
        <v>1365</v>
      </c>
      <c r="B64" s="1069" t="str">
        <f t="shared" ref="B64:B72" ca="1" si="5">_xlfn.IFNA(_xlfn.CONCAT(SUBSTITUTE(ADDRESS(1,MATCH(A64,INDIRECT("'"&amp;E64&amp;"'"&amp;"!A5:Z5"),0),4),1,""),8),"")</f>
        <v>I8</v>
      </c>
      <c r="C64" s="1069" t="str">
        <f t="shared" ca="1" si="3"/>
        <v>I</v>
      </c>
      <c r="D64" s="1069" t="s">
        <v>1473</v>
      </c>
      <c r="E64" s="1069" t="s">
        <v>917</v>
      </c>
      <c r="F64" s="1069"/>
      <c r="G64" s="1069"/>
      <c r="H64" s="1069"/>
      <c r="I64" s="1069"/>
      <c r="J64" s="1069"/>
      <c r="K64" s="1069"/>
      <c r="L64" s="52" t="s">
        <v>1365</v>
      </c>
      <c r="M64" s="1069">
        <v>73</v>
      </c>
      <c r="N64" s="1069"/>
    </row>
    <row r="65" spans="1:14" ht="30" x14ac:dyDescent="0.25">
      <c r="A65" s="1206" t="s">
        <v>1366</v>
      </c>
      <c r="B65" s="1069" t="str">
        <f t="shared" ca="1" si="5"/>
        <v>J8</v>
      </c>
      <c r="C65" s="1069" t="str">
        <f t="shared" ca="1" si="3"/>
        <v>J</v>
      </c>
      <c r="D65" s="1069" t="s">
        <v>1473</v>
      </c>
      <c r="E65" s="1069" t="s">
        <v>917</v>
      </c>
      <c r="F65" s="1069"/>
      <c r="G65" s="1069"/>
      <c r="H65" s="1069"/>
      <c r="I65" s="1069"/>
      <c r="J65" s="1069"/>
      <c r="K65" s="1069"/>
      <c r="L65" s="1069" t="s">
        <v>1366</v>
      </c>
      <c r="M65" s="1069">
        <v>74</v>
      </c>
      <c r="N65" s="1069"/>
    </row>
    <row r="66" spans="1:14" x14ac:dyDescent="0.25">
      <c r="A66" s="1206" t="s">
        <v>1286</v>
      </c>
      <c r="B66" s="1069" t="str">
        <f t="shared" ca="1" si="5"/>
        <v>P8</v>
      </c>
      <c r="C66" s="1069" t="str">
        <f t="shared" ca="1" si="3"/>
        <v>P</v>
      </c>
      <c r="D66" s="1069" t="s">
        <v>1473</v>
      </c>
      <c r="E66" s="1069" t="s">
        <v>917</v>
      </c>
      <c r="F66" s="1069"/>
      <c r="G66" s="1069"/>
      <c r="H66" s="1069"/>
      <c r="I66" s="1069"/>
      <c r="J66" s="1069"/>
      <c r="K66" s="1069"/>
      <c r="L66" s="1069" t="s">
        <v>1286</v>
      </c>
      <c r="M66" s="1069">
        <v>75</v>
      </c>
      <c r="N66" s="1069"/>
    </row>
    <row r="67" spans="1:14" x14ac:dyDescent="0.25">
      <c r="A67" s="1209" t="s">
        <v>1287</v>
      </c>
      <c r="B67" s="1069" t="str">
        <f t="shared" ca="1" si="5"/>
        <v>Q8</v>
      </c>
      <c r="C67" s="1069" t="str">
        <f t="shared" ca="1" si="3"/>
        <v>Q</v>
      </c>
      <c r="D67" s="1069" t="s">
        <v>1473</v>
      </c>
      <c r="E67" s="1069" t="s">
        <v>917</v>
      </c>
      <c r="F67" s="1069"/>
      <c r="G67" s="1069"/>
      <c r="H67" s="1069"/>
      <c r="I67" s="1069"/>
      <c r="J67" s="1069"/>
      <c r="K67" s="1069"/>
      <c r="L67" s="1178" t="s">
        <v>1287</v>
      </c>
      <c r="M67" s="1069">
        <v>76</v>
      </c>
      <c r="N67" s="1069"/>
    </row>
    <row r="68" spans="1:14" x14ac:dyDescent="0.25">
      <c r="A68" s="1209" t="s">
        <v>1288</v>
      </c>
      <c r="B68" s="1069" t="str">
        <f t="shared" ca="1" si="5"/>
        <v>R8</v>
      </c>
      <c r="C68" s="1069" t="str">
        <f t="shared" ca="1" si="3"/>
        <v>R</v>
      </c>
      <c r="D68" s="1069" t="s">
        <v>1473</v>
      </c>
      <c r="E68" s="1069" t="s">
        <v>917</v>
      </c>
      <c r="F68" s="1069"/>
      <c r="G68" s="1069"/>
      <c r="H68" s="1069"/>
      <c r="I68" s="1069"/>
      <c r="J68" s="1069"/>
      <c r="K68" s="1069"/>
      <c r="L68" s="1178" t="s">
        <v>1288</v>
      </c>
      <c r="M68" s="1069">
        <v>77</v>
      </c>
      <c r="N68" s="1069"/>
    </row>
    <row r="69" spans="1:14" x14ac:dyDescent="0.25">
      <c r="A69" s="1209" t="s">
        <v>1289</v>
      </c>
      <c r="B69" s="1069" t="str">
        <f t="shared" ca="1" si="5"/>
        <v>T8</v>
      </c>
      <c r="C69" s="1069" t="str">
        <f t="shared" ca="1" si="3"/>
        <v>T</v>
      </c>
      <c r="D69" s="1069" t="s">
        <v>1473</v>
      </c>
      <c r="E69" s="1069" t="s">
        <v>917</v>
      </c>
      <c r="F69" s="1069"/>
      <c r="G69" s="1069"/>
      <c r="H69" s="1069"/>
      <c r="I69" s="1069"/>
      <c r="J69" s="1069"/>
      <c r="K69" s="1069"/>
      <c r="L69" s="1178" t="s">
        <v>1289</v>
      </c>
      <c r="M69" s="1069">
        <v>78</v>
      </c>
      <c r="N69" s="1069"/>
    </row>
    <row r="70" spans="1:14" x14ac:dyDescent="0.25">
      <c r="A70" s="1209" t="s">
        <v>1290</v>
      </c>
      <c r="B70" s="1069" t="str">
        <f t="shared" ca="1" si="5"/>
        <v>U8</v>
      </c>
      <c r="C70" s="1069" t="str">
        <f t="shared" ca="1" si="3"/>
        <v>U</v>
      </c>
      <c r="D70" s="1069" t="s">
        <v>1473</v>
      </c>
      <c r="E70" s="1069" t="s">
        <v>917</v>
      </c>
      <c r="F70" s="1069"/>
      <c r="G70" s="1069"/>
      <c r="H70" s="1069"/>
      <c r="I70" s="1069"/>
      <c r="J70" s="1069"/>
      <c r="K70" s="1069"/>
      <c r="L70" s="1178" t="s">
        <v>1290</v>
      </c>
      <c r="M70" s="1069">
        <v>79</v>
      </c>
      <c r="N70" s="1069"/>
    </row>
    <row r="71" spans="1:14" x14ac:dyDescent="0.25">
      <c r="A71" s="1209" t="s">
        <v>1455</v>
      </c>
      <c r="B71" s="1069" t="str">
        <f t="shared" ca="1" si="5"/>
        <v>V8</v>
      </c>
      <c r="C71" s="1069" t="str">
        <f t="shared" ca="1" si="3"/>
        <v>V</v>
      </c>
      <c r="D71" s="1069" t="s">
        <v>1473</v>
      </c>
      <c r="E71" s="1069" t="s">
        <v>917</v>
      </c>
      <c r="F71" s="1069"/>
      <c r="G71" s="1069"/>
      <c r="H71" s="1069"/>
      <c r="I71" s="1069"/>
      <c r="J71" s="1069"/>
      <c r="K71" s="1069"/>
      <c r="L71" s="1178" t="s">
        <v>1546</v>
      </c>
      <c r="M71" s="1069">
        <v>80</v>
      </c>
      <c r="N71" s="1069"/>
    </row>
    <row r="72" spans="1:14" x14ac:dyDescent="0.25">
      <c r="A72" s="1209" t="s">
        <v>1547</v>
      </c>
      <c r="B72" s="1069" t="str">
        <f t="shared" ca="1" si="5"/>
        <v/>
      </c>
      <c r="C72" s="1069" t="str">
        <f t="shared" ca="1" si="3"/>
        <v/>
      </c>
      <c r="D72" s="1069" t="s">
        <v>1473</v>
      </c>
      <c r="E72" s="1069" t="s">
        <v>917</v>
      </c>
      <c r="F72" s="1069"/>
      <c r="G72" s="1069"/>
      <c r="H72" s="1069"/>
      <c r="I72" s="1069"/>
      <c r="J72" s="1069"/>
      <c r="K72" s="1069"/>
      <c r="L72" s="1178" t="s">
        <v>1547</v>
      </c>
      <c r="M72" s="1069"/>
      <c r="N72" s="1069"/>
    </row>
    <row r="73" spans="1:14" x14ac:dyDescent="0.25">
      <c r="A73" s="1210" t="s">
        <v>1283</v>
      </c>
      <c r="B73" s="1069" t="str">
        <f ca="1">_xlfn.IFNA(_xlfn.CONCAT(SUBSTITUTE(ADDRESS(1,MATCH(A73,INDIRECT("'"&amp;E73&amp;"'"&amp;"!A5:Z5"),0),4),1,""),9),"")</f>
        <v>H9</v>
      </c>
      <c r="C73" s="1069" t="str">
        <f t="shared" ca="1" si="3"/>
        <v>H</v>
      </c>
      <c r="D73" s="1069" t="s">
        <v>1473</v>
      </c>
      <c r="E73" s="1069" t="s">
        <v>917</v>
      </c>
      <c r="F73" s="1069"/>
      <c r="G73" s="1069"/>
      <c r="H73" s="1069"/>
      <c r="I73" s="1069"/>
      <c r="J73" s="1069"/>
      <c r="K73" s="1069"/>
      <c r="L73" s="1069" t="s">
        <v>1283</v>
      </c>
      <c r="M73" s="1069">
        <v>92</v>
      </c>
      <c r="N73" s="1069"/>
    </row>
    <row r="74" spans="1:14" x14ac:dyDescent="0.25">
      <c r="A74" s="1211" t="s">
        <v>1365</v>
      </c>
      <c r="B74" s="1069" t="str">
        <f t="shared" ref="B74:B82" ca="1" si="6">_xlfn.IFNA(_xlfn.CONCAT(SUBSTITUTE(ADDRESS(1,MATCH(A74,INDIRECT("'"&amp;E74&amp;"'"&amp;"!A5:Z5"),0),4),1,""),9),"")</f>
        <v>I9</v>
      </c>
      <c r="C74" s="1069" t="str">
        <f t="shared" ca="1" si="3"/>
        <v>I</v>
      </c>
      <c r="D74" s="1069" t="s">
        <v>1473</v>
      </c>
      <c r="E74" s="1069" t="s">
        <v>917</v>
      </c>
      <c r="F74" s="1069"/>
      <c r="G74" s="1069"/>
      <c r="H74" s="1069"/>
      <c r="I74" s="1069"/>
      <c r="J74" s="1069"/>
      <c r="K74" s="1069"/>
      <c r="L74" s="52" t="s">
        <v>1365</v>
      </c>
      <c r="M74" s="1069">
        <v>94</v>
      </c>
      <c r="N74" s="1069"/>
    </row>
    <row r="75" spans="1:14" ht="30" x14ac:dyDescent="0.25">
      <c r="A75" s="1210" t="s">
        <v>1366</v>
      </c>
      <c r="B75" s="1069" t="str">
        <f t="shared" ca="1" si="6"/>
        <v>J9</v>
      </c>
      <c r="C75" s="1069" t="str">
        <f t="shared" ca="1" si="3"/>
        <v>J</v>
      </c>
      <c r="D75" s="1069" t="s">
        <v>1473</v>
      </c>
      <c r="E75" s="1069" t="s">
        <v>917</v>
      </c>
      <c r="F75" s="1069"/>
      <c r="G75" s="1069"/>
      <c r="H75" s="1069"/>
      <c r="I75" s="1069"/>
      <c r="J75" s="1069"/>
      <c r="K75" s="1069"/>
      <c r="L75" s="1069" t="s">
        <v>1366</v>
      </c>
      <c r="M75" s="1069">
        <v>95</v>
      </c>
      <c r="N75" s="1069"/>
    </row>
    <row r="76" spans="1:14" x14ac:dyDescent="0.25">
      <c r="A76" s="1210" t="s">
        <v>1286</v>
      </c>
      <c r="B76" s="1069" t="str">
        <f t="shared" ca="1" si="6"/>
        <v>P9</v>
      </c>
      <c r="C76" s="1069" t="str">
        <f t="shared" ca="1" si="3"/>
        <v>P</v>
      </c>
      <c r="D76" s="1069" t="s">
        <v>1473</v>
      </c>
      <c r="E76" s="1069" t="s">
        <v>917</v>
      </c>
      <c r="F76" s="1069"/>
      <c r="G76" s="1069"/>
      <c r="H76" s="1069"/>
      <c r="I76" s="1069"/>
      <c r="J76" s="1069"/>
      <c r="K76" s="1069"/>
      <c r="L76" s="1069" t="s">
        <v>1286</v>
      </c>
      <c r="M76" s="1069">
        <v>96</v>
      </c>
      <c r="N76" s="1069"/>
    </row>
    <row r="77" spans="1:14" x14ac:dyDescent="0.25">
      <c r="A77" s="1212" t="s">
        <v>1287</v>
      </c>
      <c r="B77" s="1069" t="str">
        <f t="shared" ca="1" si="6"/>
        <v>Q9</v>
      </c>
      <c r="C77" s="1069" t="str">
        <f t="shared" ca="1" si="3"/>
        <v>Q</v>
      </c>
      <c r="D77" s="1069" t="s">
        <v>1473</v>
      </c>
      <c r="E77" s="1069" t="s">
        <v>917</v>
      </c>
      <c r="F77" s="1069"/>
      <c r="G77" s="1069"/>
      <c r="H77" s="1069"/>
      <c r="I77" s="1069"/>
      <c r="J77" s="1069"/>
      <c r="K77" s="1069"/>
      <c r="L77" s="1178" t="s">
        <v>1287</v>
      </c>
      <c r="M77" s="1069">
        <v>97</v>
      </c>
      <c r="N77" s="1069"/>
    </row>
    <row r="78" spans="1:14" x14ac:dyDescent="0.25">
      <c r="A78" s="1212" t="s">
        <v>1288</v>
      </c>
      <c r="B78" s="1069" t="str">
        <f t="shared" ca="1" si="6"/>
        <v>R9</v>
      </c>
      <c r="C78" s="1069" t="str">
        <f t="shared" ca="1" si="3"/>
        <v>R</v>
      </c>
      <c r="D78" s="1069" t="s">
        <v>1473</v>
      </c>
      <c r="E78" s="1069" t="s">
        <v>917</v>
      </c>
      <c r="F78" s="1069"/>
      <c r="G78" s="1069"/>
      <c r="H78" s="1069"/>
      <c r="I78" s="1069"/>
      <c r="J78" s="1069"/>
      <c r="K78" s="1069"/>
      <c r="L78" s="1178" t="s">
        <v>1288</v>
      </c>
      <c r="M78" s="1069">
        <v>98</v>
      </c>
      <c r="N78" s="1069"/>
    </row>
    <row r="79" spans="1:14" x14ac:dyDescent="0.25">
      <c r="A79" s="1212" t="s">
        <v>1289</v>
      </c>
      <c r="B79" s="1069" t="str">
        <f t="shared" ca="1" si="6"/>
        <v>T9</v>
      </c>
      <c r="C79" s="1069" t="str">
        <f t="shared" ca="1" si="3"/>
        <v>T</v>
      </c>
      <c r="D79" s="1069" t="s">
        <v>1473</v>
      </c>
      <c r="E79" s="1069" t="s">
        <v>917</v>
      </c>
      <c r="F79" s="1069"/>
      <c r="G79" s="1069"/>
      <c r="H79" s="1069"/>
      <c r="I79" s="1069"/>
      <c r="J79" s="1069"/>
      <c r="K79" s="1069"/>
      <c r="L79" s="1178" t="s">
        <v>1289</v>
      </c>
      <c r="M79" s="1069">
        <v>99</v>
      </c>
      <c r="N79" s="1069"/>
    </row>
    <row r="80" spans="1:14" x14ac:dyDescent="0.25">
      <c r="A80" s="1212" t="s">
        <v>1290</v>
      </c>
      <c r="B80" s="1069" t="str">
        <f t="shared" ca="1" si="6"/>
        <v>U9</v>
      </c>
      <c r="C80" s="1069" t="str">
        <f t="shared" ca="1" si="3"/>
        <v>U</v>
      </c>
      <c r="D80" s="1069" t="s">
        <v>1473</v>
      </c>
      <c r="E80" s="1069" t="s">
        <v>917</v>
      </c>
      <c r="F80" s="1069"/>
      <c r="G80" s="1069"/>
      <c r="H80" s="1069"/>
      <c r="I80" s="1069"/>
      <c r="J80" s="1069"/>
      <c r="K80" s="1069"/>
      <c r="L80" s="1178" t="s">
        <v>1290</v>
      </c>
      <c r="M80" s="1069">
        <v>100</v>
      </c>
      <c r="N80" s="1069"/>
    </row>
    <row r="81" spans="1:14" x14ac:dyDescent="0.25">
      <c r="A81" s="1212" t="s">
        <v>1455</v>
      </c>
      <c r="B81" s="1069" t="str">
        <f t="shared" ca="1" si="6"/>
        <v>V9</v>
      </c>
      <c r="C81" s="1069" t="str">
        <f t="shared" ca="1" si="3"/>
        <v>V</v>
      </c>
      <c r="D81" s="1069" t="s">
        <v>1473</v>
      </c>
      <c r="E81" s="1069" t="s">
        <v>917</v>
      </c>
      <c r="F81" s="1069"/>
      <c r="G81" s="1069"/>
      <c r="H81" s="1069"/>
      <c r="I81" s="1069"/>
      <c r="J81" s="1069"/>
      <c r="K81" s="1069"/>
      <c r="L81" s="1178" t="s">
        <v>1546</v>
      </c>
      <c r="M81" s="1069">
        <v>101</v>
      </c>
      <c r="N81" s="1069"/>
    </row>
    <row r="82" spans="1:14" x14ac:dyDescent="0.25">
      <c r="A82" s="1212" t="s">
        <v>1547</v>
      </c>
      <c r="B82" s="1069" t="str">
        <f t="shared" ca="1" si="6"/>
        <v/>
      </c>
      <c r="C82" s="1069" t="str">
        <f t="shared" ca="1" si="3"/>
        <v/>
      </c>
      <c r="D82" s="1069" t="s">
        <v>1473</v>
      </c>
      <c r="E82" s="1069" t="s">
        <v>917</v>
      </c>
      <c r="F82" s="1069"/>
      <c r="G82" s="1069"/>
      <c r="H82" s="1069"/>
      <c r="I82" s="1069"/>
      <c r="J82" s="1069"/>
      <c r="K82" s="1069"/>
      <c r="L82" s="1178" t="s">
        <v>1547</v>
      </c>
      <c r="M82" s="1069"/>
      <c r="N82" s="1069"/>
    </row>
    <row r="83" spans="1:14" x14ac:dyDescent="0.25">
      <c r="A83" s="1206" t="s">
        <v>1283</v>
      </c>
      <c r="B83" s="1069" t="str">
        <f ca="1">_xlfn.IFNA(_xlfn.CONCAT(SUBSTITUTE(ADDRESS(1,MATCH(A83,INDIRECT("'"&amp;E83&amp;"'"&amp;"!A5:Z5"),0),4),1,""),10),"")</f>
        <v>H10</v>
      </c>
      <c r="C83" s="1069" t="str">
        <f t="shared" ca="1" si="3"/>
        <v>H</v>
      </c>
      <c r="D83" s="1069" t="s">
        <v>1473</v>
      </c>
      <c r="E83" s="1069" t="s">
        <v>917</v>
      </c>
      <c r="F83" s="1069"/>
      <c r="G83" s="1069"/>
      <c r="H83" s="1069"/>
      <c r="I83" s="1069"/>
      <c r="J83" s="1069"/>
      <c r="K83" s="1069"/>
      <c r="L83" s="1069" t="s">
        <v>1283</v>
      </c>
      <c r="M83" s="1069">
        <v>113</v>
      </c>
      <c r="N83" s="1069"/>
    </row>
    <row r="84" spans="1:14" x14ac:dyDescent="0.25">
      <c r="A84" s="1208" t="s">
        <v>1365</v>
      </c>
      <c r="B84" s="1069" t="str">
        <f t="shared" ref="B84:B92" ca="1" si="7">_xlfn.IFNA(_xlfn.CONCAT(SUBSTITUTE(ADDRESS(1,MATCH(A84,INDIRECT("'"&amp;E84&amp;"'"&amp;"!A5:Z5"),0),4),1,""),10),"")</f>
        <v>I10</v>
      </c>
      <c r="C84" s="1069" t="str">
        <f t="shared" ca="1" si="3"/>
        <v>I</v>
      </c>
      <c r="D84" s="1069" t="s">
        <v>1473</v>
      </c>
      <c r="E84" s="1069" t="s">
        <v>917</v>
      </c>
      <c r="F84" s="1069"/>
      <c r="G84" s="1069"/>
      <c r="H84" s="1069"/>
      <c r="I84" s="1069"/>
      <c r="J84" s="1069"/>
      <c r="K84" s="1069"/>
      <c r="L84" s="52" t="s">
        <v>1365</v>
      </c>
      <c r="M84" s="1069">
        <v>115</v>
      </c>
      <c r="N84" s="1069"/>
    </row>
    <row r="85" spans="1:14" ht="30" x14ac:dyDescent="0.25">
      <c r="A85" s="1206" t="s">
        <v>1366</v>
      </c>
      <c r="B85" s="1069" t="str">
        <f t="shared" ca="1" si="7"/>
        <v>J10</v>
      </c>
      <c r="C85" s="1069" t="str">
        <f t="shared" ca="1" si="3"/>
        <v>J</v>
      </c>
      <c r="D85" s="1069" t="s">
        <v>1473</v>
      </c>
      <c r="E85" s="1069" t="s">
        <v>917</v>
      </c>
      <c r="F85" s="1069"/>
      <c r="G85" s="1069"/>
      <c r="H85" s="1069"/>
      <c r="I85" s="1069"/>
      <c r="J85" s="1069"/>
      <c r="K85" s="1069"/>
      <c r="L85" s="1069" t="s">
        <v>1366</v>
      </c>
      <c r="M85" s="1069">
        <v>116</v>
      </c>
      <c r="N85" s="1069"/>
    </row>
    <row r="86" spans="1:14" x14ac:dyDescent="0.25">
      <c r="A86" s="1206" t="s">
        <v>1286</v>
      </c>
      <c r="B86" s="1069" t="str">
        <f t="shared" ca="1" si="7"/>
        <v>P10</v>
      </c>
      <c r="C86" s="1069" t="str">
        <f t="shared" ca="1" si="3"/>
        <v>P</v>
      </c>
      <c r="D86" s="1069" t="s">
        <v>1473</v>
      </c>
      <c r="E86" s="1069" t="s">
        <v>917</v>
      </c>
      <c r="F86" s="1069"/>
      <c r="G86" s="1069"/>
      <c r="H86" s="1069"/>
      <c r="I86" s="1069"/>
      <c r="J86" s="1069"/>
      <c r="K86" s="1069"/>
      <c r="L86" s="1069" t="s">
        <v>1286</v>
      </c>
      <c r="M86" s="1069">
        <v>117</v>
      </c>
      <c r="N86" s="1069"/>
    </row>
    <row r="87" spans="1:14" x14ac:dyDescent="0.25">
      <c r="A87" s="1209" t="s">
        <v>1287</v>
      </c>
      <c r="B87" s="1069" t="str">
        <f t="shared" ca="1" si="7"/>
        <v>Q10</v>
      </c>
      <c r="C87" s="1069" t="str">
        <f t="shared" ca="1" si="3"/>
        <v>Q</v>
      </c>
      <c r="D87" s="1069" t="s">
        <v>1473</v>
      </c>
      <c r="E87" s="1069" t="s">
        <v>917</v>
      </c>
      <c r="F87" s="1069"/>
      <c r="G87" s="1069"/>
      <c r="H87" s="1069"/>
      <c r="I87" s="1069"/>
      <c r="J87" s="1069"/>
      <c r="K87" s="1069"/>
      <c r="L87" s="1178" t="s">
        <v>1287</v>
      </c>
      <c r="M87" s="1069">
        <v>118</v>
      </c>
      <c r="N87" s="1069"/>
    </row>
    <row r="88" spans="1:14" x14ac:dyDescent="0.25">
      <c r="A88" s="1209" t="s">
        <v>1288</v>
      </c>
      <c r="B88" s="1069" t="str">
        <f t="shared" ca="1" si="7"/>
        <v>R10</v>
      </c>
      <c r="C88" s="1069" t="str">
        <f t="shared" ca="1" si="3"/>
        <v>R</v>
      </c>
      <c r="D88" s="1069" t="s">
        <v>1473</v>
      </c>
      <c r="E88" s="1069" t="s">
        <v>917</v>
      </c>
      <c r="F88" s="1069"/>
      <c r="G88" s="1069"/>
      <c r="H88" s="1069"/>
      <c r="I88" s="1069"/>
      <c r="J88" s="1069"/>
      <c r="K88" s="1069"/>
      <c r="L88" s="1178" t="s">
        <v>1288</v>
      </c>
      <c r="M88" s="1069">
        <v>119</v>
      </c>
      <c r="N88" s="1069"/>
    </row>
    <row r="89" spans="1:14" x14ac:dyDescent="0.25">
      <c r="A89" s="1209" t="s">
        <v>1289</v>
      </c>
      <c r="B89" s="1069" t="str">
        <f t="shared" ca="1" si="7"/>
        <v>T10</v>
      </c>
      <c r="C89" s="1069" t="str">
        <f t="shared" ca="1" si="3"/>
        <v>T</v>
      </c>
      <c r="D89" s="1069" t="s">
        <v>1473</v>
      </c>
      <c r="E89" s="1069" t="s">
        <v>917</v>
      </c>
      <c r="F89" s="1069"/>
      <c r="G89" s="1069"/>
      <c r="H89" s="1069"/>
      <c r="I89" s="1069"/>
      <c r="J89" s="1069"/>
      <c r="K89" s="1069"/>
      <c r="L89" s="1178" t="s">
        <v>1289</v>
      </c>
      <c r="M89" s="1069">
        <v>120</v>
      </c>
      <c r="N89" s="1069"/>
    </row>
    <row r="90" spans="1:14" x14ac:dyDescent="0.25">
      <c r="A90" s="1209" t="s">
        <v>1290</v>
      </c>
      <c r="B90" s="1069" t="str">
        <f t="shared" ca="1" si="7"/>
        <v>U10</v>
      </c>
      <c r="C90" s="1069" t="str">
        <f t="shared" ca="1" si="3"/>
        <v>U</v>
      </c>
      <c r="D90" s="1069" t="s">
        <v>1473</v>
      </c>
      <c r="E90" s="1069" t="s">
        <v>917</v>
      </c>
      <c r="F90" s="1069"/>
      <c r="G90" s="1069"/>
      <c r="H90" s="1069"/>
      <c r="I90" s="1069"/>
      <c r="J90" s="1069"/>
      <c r="K90" s="1069"/>
      <c r="L90" s="1178" t="s">
        <v>1290</v>
      </c>
      <c r="M90" s="1069">
        <v>121</v>
      </c>
      <c r="N90" s="1069"/>
    </row>
    <row r="91" spans="1:14" x14ac:dyDescent="0.25">
      <c r="A91" s="1209" t="s">
        <v>1455</v>
      </c>
      <c r="B91" s="1069" t="str">
        <f t="shared" ca="1" si="7"/>
        <v>V10</v>
      </c>
      <c r="C91" s="1069" t="str">
        <f t="shared" ca="1" si="3"/>
        <v>V</v>
      </c>
      <c r="D91" s="1069" t="s">
        <v>1473</v>
      </c>
      <c r="E91" s="1069" t="s">
        <v>917</v>
      </c>
      <c r="F91" s="1069"/>
      <c r="G91" s="1069"/>
      <c r="H91" s="1069"/>
      <c r="I91" s="1069"/>
      <c r="J91" s="1069"/>
      <c r="K91" s="1069"/>
      <c r="L91" s="1178" t="s">
        <v>1546</v>
      </c>
      <c r="M91" s="1069">
        <v>122</v>
      </c>
      <c r="N91" s="1069"/>
    </row>
    <row r="92" spans="1:14" x14ac:dyDescent="0.25">
      <c r="A92" s="1209" t="s">
        <v>1547</v>
      </c>
      <c r="B92" s="1069" t="str">
        <f t="shared" ca="1" si="7"/>
        <v/>
      </c>
      <c r="C92" s="1069" t="str">
        <f t="shared" ca="1" si="3"/>
        <v/>
      </c>
      <c r="D92" s="1069" t="s">
        <v>1473</v>
      </c>
      <c r="E92" s="1069" t="s">
        <v>917</v>
      </c>
      <c r="F92" s="1069"/>
      <c r="G92" s="1069"/>
      <c r="H92" s="1069"/>
      <c r="I92" s="1069"/>
      <c r="J92" s="1069"/>
      <c r="K92" s="1069"/>
      <c r="L92" s="1178" t="s">
        <v>1547</v>
      </c>
      <c r="M92" s="1069"/>
      <c r="N92" s="1069"/>
    </row>
    <row r="93" spans="1:14" x14ac:dyDescent="0.25">
      <c r="A93" s="1210" t="s">
        <v>1283</v>
      </c>
      <c r="B93" s="1069" t="str">
        <f ca="1">_xlfn.IFNA(_xlfn.CONCAT(SUBSTITUTE(ADDRESS(1,MATCH(A93,INDIRECT("'"&amp;E93&amp;"'"&amp;"!A5:Z5"),0),4),1,""),11),"")</f>
        <v>H11</v>
      </c>
      <c r="C93" s="1069" t="str">
        <f t="shared" ca="1" si="3"/>
        <v>H</v>
      </c>
      <c r="D93" s="1069" t="s">
        <v>1473</v>
      </c>
      <c r="E93" s="1069" t="s">
        <v>917</v>
      </c>
      <c r="F93" s="1069"/>
      <c r="G93" s="1069"/>
      <c r="H93" s="1069"/>
      <c r="I93" s="1069"/>
      <c r="J93" s="1069"/>
      <c r="K93" s="1069"/>
      <c r="L93" s="1069" t="s">
        <v>1283</v>
      </c>
      <c r="M93" s="1069">
        <v>134</v>
      </c>
      <c r="N93" s="1069"/>
    </row>
    <row r="94" spans="1:14" x14ac:dyDescent="0.25">
      <c r="A94" s="1211" t="s">
        <v>1365</v>
      </c>
      <c r="B94" s="1069" t="str">
        <f t="shared" ref="B94:B102" ca="1" si="8">_xlfn.IFNA(_xlfn.CONCAT(SUBSTITUTE(ADDRESS(1,MATCH(A94,INDIRECT("'"&amp;E94&amp;"'"&amp;"!A5:Z5"),0),4),1,""),11),"")</f>
        <v>I11</v>
      </c>
      <c r="C94" s="1069" t="str">
        <f t="shared" ca="1" si="3"/>
        <v>I</v>
      </c>
      <c r="D94" s="1069" t="s">
        <v>1473</v>
      </c>
      <c r="E94" s="1069" t="s">
        <v>917</v>
      </c>
      <c r="F94" s="1069"/>
      <c r="G94" s="1069"/>
      <c r="H94" s="1069"/>
      <c r="I94" s="1069"/>
      <c r="J94" s="1069"/>
      <c r="K94" s="1069"/>
      <c r="L94" s="52" t="s">
        <v>1365</v>
      </c>
      <c r="M94" s="1069">
        <v>136</v>
      </c>
      <c r="N94" s="1069"/>
    </row>
    <row r="95" spans="1:14" ht="30" x14ac:dyDescent="0.25">
      <c r="A95" s="1210" t="s">
        <v>1366</v>
      </c>
      <c r="B95" s="1069" t="str">
        <f t="shared" ca="1" si="8"/>
        <v>J11</v>
      </c>
      <c r="C95" s="1069" t="str">
        <f t="shared" ca="1" si="3"/>
        <v>J</v>
      </c>
      <c r="D95" s="1069" t="s">
        <v>1473</v>
      </c>
      <c r="E95" s="1069" t="s">
        <v>917</v>
      </c>
      <c r="F95" s="1069"/>
      <c r="G95" s="1069"/>
      <c r="H95" s="1069"/>
      <c r="I95" s="1069"/>
      <c r="J95" s="1069"/>
      <c r="K95" s="1069"/>
      <c r="L95" s="1069" t="s">
        <v>1366</v>
      </c>
      <c r="M95" s="1069">
        <v>137</v>
      </c>
      <c r="N95" s="1069"/>
    </row>
    <row r="96" spans="1:14" x14ac:dyDescent="0.25">
      <c r="A96" s="1210" t="s">
        <v>1286</v>
      </c>
      <c r="B96" s="1069" t="str">
        <f t="shared" ca="1" si="8"/>
        <v>P11</v>
      </c>
      <c r="C96" s="1069" t="str">
        <f t="shared" ca="1" si="3"/>
        <v>P</v>
      </c>
      <c r="D96" s="1069" t="s">
        <v>1473</v>
      </c>
      <c r="E96" s="1069" t="s">
        <v>917</v>
      </c>
      <c r="F96" s="1069"/>
      <c r="G96" s="1069"/>
      <c r="H96" s="1069"/>
      <c r="I96" s="1069"/>
      <c r="J96" s="1069"/>
      <c r="K96" s="1069"/>
      <c r="L96" s="1069" t="s">
        <v>1286</v>
      </c>
      <c r="M96" s="1069">
        <v>138</v>
      </c>
      <c r="N96" s="1069"/>
    </row>
    <row r="97" spans="1:14" x14ac:dyDescent="0.25">
      <c r="A97" s="1212" t="s">
        <v>1287</v>
      </c>
      <c r="B97" s="1069" t="str">
        <f t="shared" ca="1" si="8"/>
        <v>Q11</v>
      </c>
      <c r="C97" s="1069" t="str">
        <f t="shared" ca="1" si="3"/>
        <v>Q</v>
      </c>
      <c r="D97" s="1069" t="s">
        <v>1473</v>
      </c>
      <c r="E97" s="1069" t="s">
        <v>917</v>
      </c>
      <c r="F97" s="1069"/>
      <c r="G97" s="1069"/>
      <c r="H97" s="1069"/>
      <c r="I97" s="1069"/>
      <c r="J97" s="1069"/>
      <c r="K97" s="1069"/>
      <c r="L97" s="1178" t="s">
        <v>1287</v>
      </c>
      <c r="M97" s="1069">
        <v>139</v>
      </c>
      <c r="N97" s="1069"/>
    </row>
    <row r="98" spans="1:14" x14ac:dyDescent="0.25">
      <c r="A98" s="1212" t="s">
        <v>1288</v>
      </c>
      <c r="B98" s="1069" t="str">
        <f t="shared" ca="1" si="8"/>
        <v>R11</v>
      </c>
      <c r="C98" s="1069" t="str">
        <f t="shared" ca="1" si="3"/>
        <v>R</v>
      </c>
      <c r="D98" s="1069" t="s">
        <v>1473</v>
      </c>
      <c r="E98" s="1069" t="s">
        <v>917</v>
      </c>
      <c r="F98" s="1069"/>
      <c r="G98" s="1069"/>
      <c r="H98" s="1069"/>
      <c r="I98" s="1069"/>
      <c r="J98" s="1069"/>
      <c r="K98" s="1069"/>
      <c r="L98" s="1178" t="s">
        <v>1288</v>
      </c>
      <c r="M98" s="1069">
        <v>140</v>
      </c>
      <c r="N98" s="1069"/>
    </row>
    <row r="99" spans="1:14" x14ac:dyDescent="0.25">
      <c r="A99" s="1212" t="s">
        <v>1289</v>
      </c>
      <c r="B99" s="1069" t="str">
        <f t="shared" ca="1" si="8"/>
        <v>T11</v>
      </c>
      <c r="C99" s="1069" t="str">
        <f t="shared" ca="1" si="3"/>
        <v>T</v>
      </c>
      <c r="D99" s="1069" t="s">
        <v>1473</v>
      </c>
      <c r="E99" s="1213" t="s">
        <v>917</v>
      </c>
      <c r="F99" s="1205"/>
      <c r="G99" s="1205"/>
      <c r="H99" s="1205"/>
      <c r="I99" s="1205"/>
      <c r="J99" s="1205"/>
      <c r="K99" s="1205"/>
      <c r="L99" s="1178" t="s">
        <v>1289</v>
      </c>
      <c r="M99" s="1205">
        <v>141</v>
      </c>
      <c r="N99" s="1205"/>
    </row>
    <row r="100" spans="1:14" x14ac:dyDescent="0.25">
      <c r="A100" s="1212" t="s">
        <v>1290</v>
      </c>
      <c r="B100" s="1069" t="str">
        <f t="shared" ca="1" si="8"/>
        <v>U11</v>
      </c>
      <c r="C100" s="1069" t="str">
        <f t="shared" ca="1" si="3"/>
        <v>U</v>
      </c>
      <c r="D100" s="1069" t="s">
        <v>1473</v>
      </c>
      <c r="E100" s="1213" t="s">
        <v>917</v>
      </c>
      <c r="F100" s="1205"/>
      <c r="G100" s="1205"/>
      <c r="H100" s="1205"/>
      <c r="I100" s="1205"/>
      <c r="J100" s="1205"/>
      <c r="K100" s="1205"/>
      <c r="L100" s="1178" t="s">
        <v>1290</v>
      </c>
      <c r="M100" s="1205">
        <v>142</v>
      </c>
      <c r="N100" s="1205"/>
    </row>
    <row r="101" spans="1:14" x14ac:dyDescent="0.25">
      <c r="A101" s="1212" t="s">
        <v>1455</v>
      </c>
      <c r="B101" s="1069" t="str">
        <f t="shared" ca="1" si="8"/>
        <v>V11</v>
      </c>
      <c r="C101" s="1069" t="str">
        <f t="shared" ca="1" si="3"/>
        <v>V</v>
      </c>
      <c r="D101" s="1069" t="s">
        <v>1473</v>
      </c>
      <c r="E101" s="1213" t="s">
        <v>917</v>
      </c>
      <c r="F101" s="1205"/>
      <c r="G101" s="1205"/>
      <c r="H101" s="1205"/>
      <c r="I101" s="1205"/>
      <c r="J101" s="1205"/>
      <c r="K101" s="1205"/>
      <c r="L101" s="1178" t="s">
        <v>1546</v>
      </c>
      <c r="M101" s="1205">
        <v>143</v>
      </c>
      <c r="N101" s="1205"/>
    </row>
    <row r="102" spans="1:14" x14ac:dyDescent="0.25">
      <c r="A102" s="1212" t="s">
        <v>1547</v>
      </c>
      <c r="B102" s="1069" t="str">
        <f t="shared" ca="1" si="8"/>
        <v/>
      </c>
      <c r="C102" s="1069" t="str">
        <f t="shared" ca="1" si="3"/>
        <v/>
      </c>
      <c r="D102" s="1069" t="s">
        <v>1473</v>
      </c>
      <c r="E102" s="1213" t="s">
        <v>917</v>
      </c>
      <c r="F102" s="1205"/>
      <c r="G102" s="1205"/>
      <c r="H102" s="1205"/>
      <c r="I102" s="1205"/>
      <c r="J102" s="1205"/>
      <c r="K102" s="1205"/>
      <c r="L102" s="1178" t="s">
        <v>1547</v>
      </c>
      <c r="M102" s="1205"/>
      <c r="N102" s="1205"/>
    </row>
    <row r="103" spans="1:14" x14ac:dyDescent="0.25">
      <c r="A103" s="1206" t="s">
        <v>1283</v>
      </c>
      <c r="B103" s="1069" t="str">
        <f ca="1">_xlfn.IFNA(_xlfn.CONCAT(SUBSTITUTE(ADDRESS(1,MATCH(A103,INDIRECT("'"&amp;E103&amp;"'"&amp;"!A5:Z5"),0),4),1,""),12),"")</f>
        <v>H12</v>
      </c>
      <c r="C103" s="1069" t="str">
        <f t="shared" ca="1" si="3"/>
        <v>H</v>
      </c>
      <c r="D103" s="1069" t="s">
        <v>1473</v>
      </c>
      <c r="E103" s="1213" t="s">
        <v>917</v>
      </c>
      <c r="F103" s="1205"/>
      <c r="G103" s="1205"/>
      <c r="H103" s="1205"/>
      <c r="I103" s="1205"/>
      <c r="J103" s="1205"/>
      <c r="K103" s="1205"/>
      <c r="L103" s="1069" t="s">
        <v>1283</v>
      </c>
      <c r="M103" s="1205">
        <v>155</v>
      </c>
      <c r="N103" s="1205"/>
    </row>
    <row r="104" spans="1:14" x14ac:dyDescent="0.25">
      <c r="A104" s="1208" t="s">
        <v>1365</v>
      </c>
      <c r="B104" s="1069" t="str">
        <f t="shared" ref="B104:B112" ca="1" si="9">_xlfn.IFNA(_xlfn.CONCAT(SUBSTITUTE(ADDRESS(1,MATCH(A104,INDIRECT("'"&amp;E104&amp;"'"&amp;"!A5:Z5"),0),4),1,""),12),"")</f>
        <v>I12</v>
      </c>
      <c r="C104" s="1069" t="str">
        <f t="shared" ca="1" si="3"/>
        <v>I</v>
      </c>
      <c r="D104" s="1069" t="s">
        <v>1473</v>
      </c>
      <c r="E104" s="1213" t="s">
        <v>917</v>
      </c>
      <c r="F104" s="1205"/>
      <c r="G104" s="1205"/>
      <c r="H104" s="1205"/>
      <c r="I104" s="1205"/>
      <c r="J104" s="1205"/>
      <c r="K104" s="1205"/>
      <c r="L104" s="52" t="s">
        <v>1365</v>
      </c>
      <c r="M104" s="1205">
        <v>157</v>
      </c>
      <c r="N104" s="1205"/>
    </row>
    <row r="105" spans="1:14" ht="30" x14ac:dyDescent="0.25">
      <c r="A105" s="1206" t="s">
        <v>1366</v>
      </c>
      <c r="B105" s="1069" t="str">
        <f t="shared" ca="1" si="9"/>
        <v>J12</v>
      </c>
      <c r="C105" s="1069" t="str">
        <f t="shared" ca="1" si="3"/>
        <v>J</v>
      </c>
      <c r="D105" s="1069" t="s">
        <v>1473</v>
      </c>
      <c r="E105" s="1213" t="s">
        <v>917</v>
      </c>
      <c r="F105" s="1205"/>
      <c r="G105" s="1205"/>
      <c r="H105" s="1205"/>
      <c r="I105" s="1205"/>
      <c r="J105" s="1205"/>
      <c r="K105" s="1205"/>
      <c r="L105" s="1069" t="s">
        <v>1366</v>
      </c>
      <c r="M105" s="1205">
        <v>158</v>
      </c>
      <c r="N105" s="1205"/>
    </row>
    <row r="106" spans="1:14" x14ac:dyDescent="0.25">
      <c r="A106" s="1206" t="s">
        <v>1286</v>
      </c>
      <c r="B106" s="1069" t="str">
        <f t="shared" ca="1" si="9"/>
        <v>P12</v>
      </c>
      <c r="C106" s="1069" t="str">
        <f t="shared" ca="1" si="3"/>
        <v>P</v>
      </c>
      <c r="D106" s="1069" t="s">
        <v>1473</v>
      </c>
      <c r="E106" s="1213" t="s">
        <v>917</v>
      </c>
      <c r="F106" s="1205"/>
      <c r="G106" s="1205"/>
      <c r="H106" s="1205"/>
      <c r="I106" s="1205"/>
      <c r="J106" s="1205"/>
      <c r="K106" s="1205"/>
      <c r="L106" s="1069" t="s">
        <v>1286</v>
      </c>
      <c r="M106" s="1205">
        <v>159</v>
      </c>
      <c r="N106" s="1205"/>
    </row>
    <row r="107" spans="1:14" x14ac:dyDescent="0.25">
      <c r="A107" s="1209" t="s">
        <v>1287</v>
      </c>
      <c r="B107" s="1069" t="str">
        <f t="shared" ca="1" si="9"/>
        <v>Q12</v>
      </c>
      <c r="C107" s="1069" t="str">
        <f t="shared" ca="1" si="3"/>
        <v>Q</v>
      </c>
      <c r="D107" s="1069" t="s">
        <v>1473</v>
      </c>
      <c r="E107" s="1213" t="s">
        <v>917</v>
      </c>
      <c r="F107" s="1205"/>
      <c r="G107" s="1205"/>
      <c r="H107" s="1205"/>
      <c r="I107" s="1205"/>
      <c r="J107" s="1205"/>
      <c r="K107" s="1205"/>
      <c r="L107" s="1178" t="s">
        <v>1287</v>
      </c>
      <c r="M107" s="1205">
        <v>160</v>
      </c>
      <c r="N107" s="1205"/>
    </row>
    <row r="108" spans="1:14" x14ac:dyDescent="0.25">
      <c r="A108" s="1209" t="s">
        <v>1288</v>
      </c>
      <c r="B108" s="1069" t="str">
        <f t="shared" ca="1" si="9"/>
        <v>R12</v>
      </c>
      <c r="C108" s="1069" t="str">
        <f t="shared" ca="1" si="3"/>
        <v>R</v>
      </c>
      <c r="D108" s="1069" t="s">
        <v>1473</v>
      </c>
      <c r="E108" s="1213" t="s">
        <v>917</v>
      </c>
      <c r="F108" s="1205"/>
      <c r="G108" s="1205"/>
      <c r="H108" s="1205"/>
      <c r="I108" s="1205"/>
      <c r="J108" s="1205"/>
      <c r="K108" s="1205"/>
      <c r="L108" s="1178" t="s">
        <v>1288</v>
      </c>
      <c r="M108" s="1205">
        <v>161</v>
      </c>
      <c r="N108" s="1205"/>
    </row>
    <row r="109" spans="1:14" x14ac:dyDescent="0.25">
      <c r="A109" s="1209" t="s">
        <v>1289</v>
      </c>
      <c r="B109" s="1069" t="str">
        <f t="shared" ca="1" si="9"/>
        <v>T12</v>
      </c>
      <c r="C109" s="1069" t="str">
        <f t="shared" ca="1" si="3"/>
        <v>T</v>
      </c>
      <c r="D109" s="1069" t="s">
        <v>1473</v>
      </c>
      <c r="E109" s="1213" t="s">
        <v>917</v>
      </c>
      <c r="F109" s="1205"/>
      <c r="G109" s="1205"/>
      <c r="H109" s="1205"/>
      <c r="I109" s="1205"/>
      <c r="J109" s="1205"/>
      <c r="K109" s="1205"/>
      <c r="L109" s="1178" t="s">
        <v>1289</v>
      </c>
      <c r="M109" s="1205">
        <v>162</v>
      </c>
      <c r="N109" s="1205"/>
    </row>
    <row r="110" spans="1:14" x14ac:dyDescent="0.25">
      <c r="A110" s="1209" t="s">
        <v>1290</v>
      </c>
      <c r="B110" s="1069" t="str">
        <f t="shared" ca="1" si="9"/>
        <v>U12</v>
      </c>
      <c r="C110" s="1069" t="str">
        <f t="shared" ca="1" si="3"/>
        <v>U</v>
      </c>
      <c r="D110" s="1069" t="s">
        <v>1473</v>
      </c>
      <c r="E110" s="1213" t="s">
        <v>917</v>
      </c>
      <c r="F110" s="1205"/>
      <c r="G110" s="1205"/>
      <c r="H110" s="1205"/>
      <c r="I110" s="1205"/>
      <c r="J110" s="1205"/>
      <c r="K110" s="1205"/>
      <c r="L110" s="1178" t="s">
        <v>1290</v>
      </c>
      <c r="M110" s="1205">
        <v>163</v>
      </c>
      <c r="N110" s="1205"/>
    </row>
    <row r="111" spans="1:14" x14ac:dyDescent="0.25">
      <c r="A111" s="1209" t="s">
        <v>1455</v>
      </c>
      <c r="B111" s="1069" t="str">
        <f t="shared" ca="1" si="9"/>
        <v>V12</v>
      </c>
      <c r="C111" s="1069" t="str">
        <f t="shared" ca="1" si="3"/>
        <v>V</v>
      </c>
      <c r="D111" s="1069" t="s">
        <v>1473</v>
      </c>
      <c r="E111" s="1213" t="s">
        <v>917</v>
      </c>
      <c r="F111" s="1205"/>
      <c r="G111" s="1205"/>
      <c r="H111" s="1205"/>
      <c r="I111" s="1205"/>
      <c r="J111" s="1205"/>
      <c r="K111" s="1205"/>
      <c r="L111" s="1178" t="s">
        <v>1546</v>
      </c>
      <c r="M111" s="1205">
        <v>164</v>
      </c>
      <c r="N111" s="1205"/>
    </row>
    <row r="112" spans="1:14" x14ac:dyDescent="0.25">
      <c r="A112" s="1209" t="s">
        <v>1547</v>
      </c>
      <c r="B112" s="1069" t="str">
        <f t="shared" ca="1" si="9"/>
        <v/>
      </c>
      <c r="C112" s="1069" t="str">
        <f t="shared" ca="1" si="3"/>
        <v/>
      </c>
      <c r="D112" s="1069" t="s">
        <v>1473</v>
      </c>
      <c r="E112" s="1213" t="s">
        <v>917</v>
      </c>
      <c r="F112" s="1205"/>
      <c r="G112" s="1205"/>
      <c r="H112" s="1205"/>
      <c r="I112" s="1205"/>
      <c r="J112" s="1205"/>
      <c r="K112" s="1205"/>
      <c r="L112" s="1178" t="s">
        <v>1547</v>
      </c>
      <c r="M112" s="1205"/>
      <c r="N112" s="1205"/>
    </row>
    <row r="113" spans="1:14" x14ac:dyDescent="0.25">
      <c r="A113" s="1210" t="s">
        <v>1283</v>
      </c>
      <c r="B113" s="1069" t="str">
        <f ca="1">_xlfn.IFNA(_xlfn.CONCAT(SUBSTITUTE(ADDRESS(1,MATCH(A113,INDIRECT("'"&amp;E113&amp;"'"&amp;"!A5:Z5"),0),4),1,""),13),"")</f>
        <v>H13</v>
      </c>
      <c r="C113" s="1069" t="str">
        <f t="shared" ca="1" si="3"/>
        <v>H</v>
      </c>
      <c r="D113" s="1069" t="s">
        <v>1473</v>
      </c>
      <c r="E113" s="1213" t="s">
        <v>917</v>
      </c>
      <c r="F113" s="1205"/>
      <c r="G113" s="1205"/>
      <c r="H113" s="1205"/>
      <c r="I113" s="1205"/>
      <c r="J113" s="1205"/>
      <c r="K113" s="1205"/>
      <c r="L113" s="1069" t="s">
        <v>1283</v>
      </c>
      <c r="M113" s="1205">
        <v>176</v>
      </c>
      <c r="N113" s="1205"/>
    </row>
    <row r="114" spans="1:14" x14ac:dyDescent="0.25">
      <c r="A114" s="1211" t="s">
        <v>1365</v>
      </c>
      <c r="B114" s="1069" t="str">
        <f t="shared" ref="B114:B122" ca="1" si="10">_xlfn.IFNA(_xlfn.CONCAT(SUBSTITUTE(ADDRESS(1,MATCH(A114,INDIRECT("'"&amp;E114&amp;"'"&amp;"!A5:Z5"),0),4),1,""),13),"")</f>
        <v>I13</v>
      </c>
      <c r="C114" s="1069" t="str">
        <f t="shared" ca="1" si="3"/>
        <v>I</v>
      </c>
      <c r="D114" s="1069" t="s">
        <v>1473</v>
      </c>
      <c r="E114" s="1213" t="s">
        <v>917</v>
      </c>
      <c r="F114" s="1205"/>
      <c r="G114" s="1205"/>
      <c r="H114" s="1205"/>
      <c r="I114" s="1205"/>
      <c r="J114" s="1205"/>
      <c r="K114" s="1205"/>
      <c r="L114" s="52" t="s">
        <v>1365</v>
      </c>
      <c r="M114" s="1205">
        <v>178</v>
      </c>
      <c r="N114" s="1205"/>
    </row>
    <row r="115" spans="1:14" ht="30" x14ac:dyDescent="0.25">
      <c r="A115" s="1210" t="s">
        <v>1366</v>
      </c>
      <c r="B115" s="1069" t="str">
        <f t="shared" ca="1" si="10"/>
        <v>J13</v>
      </c>
      <c r="C115" s="1069" t="str">
        <f t="shared" ca="1" si="3"/>
        <v>J</v>
      </c>
      <c r="D115" s="1069" t="s">
        <v>1473</v>
      </c>
      <c r="E115" s="1213" t="s">
        <v>917</v>
      </c>
      <c r="F115" s="1205"/>
      <c r="G115" s="1205"/>
      <c r="H115" s="1205"/>
      <c r="I115" s="1205"/>
      <c r="J115" s="1205"/>
      <c r="K115" s="1205"/>
      <c r="L115" s="1069" t="s">
        <v>1366</v>
      </c>
      <c r="M115" s="1205">
        <v>179</v>
      </c>
      <c r="N115" s="1205"/>
    </row>
    <row r="116" spans="1:14" x14ac:dyDescent="0.25">
      <c r="A116" s="1210" t="s">
        <v>1286</v>
      </c>
      <c r="B116" s="1069" t="str">
        <f t="shared" ca="1" si="10"/>
        <v>P13</v>
      </c>
      <c r="C116" s="1069" t="str">
        <f t="shared" ca="1" si="3"/>
        <v>P</v>
      </c>
      <c r="D116" s="1069" t="s">
        <v>1473</v>
      </c>
      <c r="E116" s="1213" t="s">
        <v>917</v>
      </c>
      <c r="F116" s="1205"/>
      <c r="G116" s="1205"/>
      <c r="H116" s="1205"/>
      <c r="I116" s="1205"/>
      <c r="J116" s="1205"/>
      <c r="K116" s="1205"/>
      <c r="L116" s="1069" t="s">
        <v>1286</v>
      </c>
      <c r="M116" s="1205">
        <v>180</v>
      </c>
      <c r="N116" s="1205"/>
    </row>
    <row r="117" spans="1:14" x14ac:dyDescent="0.25">
      <c r="A117" s="1212" t="s">
        <v>1287</v>
      </c>
      <c r="B117" s="1069" t="str">
        <f t="shared" ca="1" si="10"/>
        <v>Q13</v>
      </c>
      <c r="C117" s="1069" t="str">
        <f t="shared" ref="C117:C142" ca="1" si="11">_xlfn.IFNA(SUBSTITUTE(ADDRESS(1,MATCH(A117,INDIRECT("'"&amp;E117&amp;"'"&amp;"!A5:Z5"),0),4),1,""),"")</f>
        <v>Q</v>
      </c>
      <c r="D117" s="1069" t="s">
        <v>1473</v>
      </c>
      <c r="E117" s="1213" t="s">
        <v>917</v>
      </c>
      <c r="F117" s="1205"/>
      <c r="G117" s="1205"/>
      <c r="H117" s="1205"/>
      <c r="I117" s="1205"/>
      <c r="J117" s="1205"/>
      <c r="K117" s="1205"/>
      <c r="L117" s="1178" t="s">
        <v>1287</v>
      </c>
      <c r="M117" s="1205">
        <v>181</v>
      </c>
      <c r="N117" s="1205"/>
    </row>
    <row r="118" spans="1:14" x14ac:dyDescent="0.25">
      <c r="A118" s="1212" t="s">
        <v>1288</v>
      </c>
      <c r="B118" s="1069" t="str">
        <f t="shared" ca="1" si="10"/>
        <v>R13</v>
      </c>
      <c r="C118" s="1069" t="str">
        <f t="shared" ca="1" si="11"/>
        <v>R</v>
      </c>
      <c r="D118" s="1069" t="s">
        <v>1473</v>
      </c>
      <c r="E118" s="1213" t="s">
        <v>917</v>
      </c>
      <c r="F118" s="1205"/>
      <c r="G118" s="1205"/>
      <c r="H118" s="1205"/>
      <c r="I118" s="1205"/>
      <c r="J118" s="1205"/>
      <c r="K118" s="1205"/>
      <c r="L118" s="1178" t="s">
        <v>1288</v>
      </c>
      <c r="M118" s="1205">
        <v>182</v>
      </c>
      <c r="N118" s="1205"/>
    </row>
    <row r="119" spans="1:14" x14ac:dyDescent="0.25">
      <c r="A119" s="1212" t="s">
        <v>1289</v>
      </c>
      <c r="B119" s="1069" t="str">
        <f t="shared" ca="1" si="10"/>
        <v>T13</v>
      </c>
      <c r="C119" s="1069" t="str">
        <f t="shared" ca="1" si="11"/>
        <v>T</v>
      </c>
      <c r="D119" s="1069" t="s">
        <v>1473</v>
      </c>
      <c r="E119" s="1213" t="s">
        <v>917</v>
      </c>
      <c r="F119" s="1205"/>
      <c r="G119" s="1205"/>
      <c r="H119" s="1205"/>
      <c r="I119" s="1205"/>
      <c r="J119" s="1205"/>
      <c r="K119" s="1205"/>
      <c r="L119" s="1178" t="s">
        <v>1289</v>
      </c>
      <c r="M119" s="1205">
        <v>183</v>
      </c>
      <c r="N119" s="1205"/>
    </row>
    <row r="120" spans="1:14" x14ac:dyDescent="0.25">
      <c r="A120" s="1212" t="s">
        <v>1290</v>
      </c>
      <c r="B120" s="1069" t="str">
        <f t="shared" ca="1" si="10"/>
        <v>U13</v>
      </c>
      <c r="C120" s="1069" t="str">
        <f t="shared" ca="1" si="11"/>
        <v>U</v>
      </c>
      <c r="D120" s="1069" t="s">
        <v>1473</v>
      </c>
      <c r="E120" s="1213" t="s">
        <v>917</v>
      </c>
      <c r="F120" s="1205"/>
      <c r="G120" s="1205"/>
      <c r="H120" s="1205"/>
      <c r="I120" s="1205"/>
      <c r="J120" s="1205"/>
      <c r="K120" s="1205"/>
      <c r="L120" s="1178" t="s">
        <v>1290</v>
      </c>
      <c r="M120" s="1205">
        <v>184</v>
      </c>
      <c r="N120" s="1205"/>
    </row>
    <row r="121" spans="1:14" x14ac:dyDescent="0.25">
      <c r="A121" s="1212" t="s">
        <v>1455</v>
      </c>
      <c r="B121" s="1069" t="str">
        <f t="shared" ca="1" si="10"/>
        <v>V13</v>
      </c>
      <c r="C121" s="1069" t="str">
        <f t="shared" ca="1" si="11"/>
        <v>V</v>
      </c>
      <c r="D121" s="1069" t="s">
        <v>1473</v>
      </c>
      <c r="E121" s="1213" t="s">
        <v>917</v>
      </c>
      <c r="F121" s="1205"/>
      <c r="G121" s="1205"/>
      <c r="H121" s="1205"/>
      <c r="I121" s="1205"/>
      <c r="J121" s="1205"/>
      <c r="K121" s="1205"/>
      <c r="L121" s="1178" t="s">
        <v>1546</v>
      </c>
      <c r="M121" s="1205">
        <v>185</v>
      </c>
      <c r="N121" s="1205"/>
    </row>
    <row r="122" spans="1:14" x14ac:dyDescent="0.25">
      <c r="A122" s="1212" t="s">
        <v>1547</v>
      </c>
      <c r="B122" s="1069" t="str">
        <f t="shared" ca="1" si="10"/>
        <v/>
      </c>
      <c r="C122" s="1069" t="str">
        <f t="shared" ca="1" si="11"/>
        <v/>
      </c>
      <c r="D122" s="1069" t="s">
        <v>1473</v>
      </c>
      <c r="E122" s="1213" t="s">
        <v>917</v>
      </c>
      <c r="F122" s="1205"/>
      <c r="G122" s="1205"/>
      <c r="H122" s="1205"/>
      <c r="I122" s="1205"/>
      <c r="J122" s="1205"/>
      <c r="K122" s="1205"/>
      <c r="L122" s="1178" t="s">
        <v>1547</v>
      </c>
      <c r="M122" s="1205"/>
      <c r="N122" s="1205"/>
    </row>
    <row r="123" spans="1:14" x14ac:dyDescent="0.25">
      <c r="A123" s="1206" t="s">
        <v>1283</v>
      </c>
      <c r="B123" s="1069" t="str">
        <f ca="1">_xlfn.IFNA(_xlfn.CONCAT(SUBSTITUTE(ADDRESS(1,MATCH(A123,INDIRECT("'"&amp;E123&amp;"'"&amp;"!A5:Z5"),0),4),1,""),14),"")</f>
        <v>H14</v>
      </c>
      <c r="C123" s="1069" t="str">
        <f t="shared" ca="1" si="11"/>
        <v>H</v>
      </c>
      <c r="D123" s="1069" t="s">
        <v>1473</v>
      </c>
      <c r="E123" s="1213" t="s">
        <v>917</v>
      </c>
      <c r="F123" s="1205"/>
      <c r="G123" s="1205"/>
      <c r="H123" s="1205"/>
      <c r="I123" s="1205"/>
      <c r="J123" s="1205"/>
      <c r="K123" s="1205"/>
      <c r="L123" s="1069" t="s">
        <v>1283</v>
      </c>
      <c r="M123" s="1205">
        <v>197</v>
      </c>
      <c r="N123" s="1205"/>
    </row>
    <row r="124" spans="1:14" x14ac:dyDescent="0.25">
      <c r="A124" s="1208" t="s">
        <v>1365</v>
      </c>
      <c r="B124" s="1069" t="str">
        <f t="shared" ref="B124:B132" ca="1" si="12">_xlfn.IFNA(_xlfn.CONCAT(SUBSTITUTE(ADDRESS(1,MATCH(A124,INDIRECT("'"&amp;E124&amp;"'"&amp;"!A5:Z5"),0),4),1,""),14),"")</f>
        <v>I14</v>
      </c>
      <c r="C124" s="1069" t="str">
        <f t="shared" ca="1" si="11"/>
        <v>I</v>
      </c>
      <c r="D124" s="1069" t="s">
        <v>1473</v>
      </c>
      <c r="E124" s="1213" t="s">
        <v>917</v>
      </c>
      <c r="F124" s="1205"/>
      <c r="G124" s="1205"/>
      <c r="H124" s="1205"/>
      <c r="I124" s="1205"/>
      <c r="J124" s="1205"/>
      <c r="K124" s="1205"/>
      <c r="L124" s="52" t="s">
        <v>1365</v>
      </c>
      <c r="M124" s="1205">
        <v>199</v>
      </c>
      <c r="N124" s="1205"/>
    </row>
    <row r="125" spans="1:14" ht="30" x14ac:dyDescent="0.25">
      <c r="A125" s="1206" t="s">
        <v>1366</v>
      </c>
      <c r="B125" s="1069" t="str">
        <f t="shared" ca="1" si="12"/>
        <v>J14</v>
      </c>
      <c r="C125" s="1069" t="str">
        <f t="shared" ca="1" si="11"/>
        <v>J</v>
      </c>
      <c r="D125" s="1069" t="s">
        <v>1473</v>
      </c>
      <c r="E125" s="1213" t="s">
        <v>917</v>
      </c>
      <c r="F125" s="1205"/>
      <c r="G125" s="1205"/>
      <c r="H125" s="1205"/>
      <c r="I125" s="1205"/>
      <c r="J125" s="1205"/>
      <c r="K125" s="1205"/>
      <c r="L125" s="1069" t="s">
        <v>1366</v>
      </c>
      <c r="M125" s="1205">
        <v>200</v>
      </c>
      <c r="N125" s="1205"/>
    </row>
    <row r="126" spans="1:14" x14ac:dyDescent="0.25">
      <c r="A126" s="1206" t="s">
        <v>1286</v>
      </c>
      <c r="B126" s="1069" t="str">
        <f t="shared" ca="1" si="12"/>
        <v>P14</v>
      </c>
      <c r="C126" s="1069" t="str">
        <f t="shared" ca="1" si="11"/>
        <v>P</v>
      </c>
      <c r="D126" s="1069" t="s">
        <v>1473</v>
      </c>
      <c r="E126" s="1213" t="s">
        <v>917</v>
      </c>
      <c r="F126" s="1205"/>
      <c r="G126" s="1205"/>
      <c r="H126" s="1205"/>
      <c r="I126" s="1205"/>
      <c r="J126" s="1205"/>
      <c r="K126" s="1205"/>
      <c r="L126" s="1069" t="s">
        <v>1286</v>
      </c>
      <c r="M126" s="1205">
        <v>201</v>
      </c>
      <c r="N126" s="1205"/>
    </row>
    <row r="127" spans="1:14" x14ac:dyDescent="0.25">
      <c r="A127" s="1209" t="s">
        <v>1287</v>
      </c>
      <c r="B127" s="1069" t="str">
        <f t="shared" ca="1" si="12"/>
        <v>Q14</v>
      </c>
      <c r="C127" s="1069" t="str">
        <f t="shared" ca="1" si="11"/>
        <v>Q</v>
      </c>
      <c r="D127" s="1069" t="s">
        <v>1473</v>
      </c>
      <c r="E127" s="1213" t="s">
        <v>917</v>
      </c>
      <c r="F127" s="1205"/>
      <c r="G127" s="1205"/>
      <c r="H127" s="1205"/>
      <c r="I127" s="1205"/>
      <c r="J127" s="1205"/>
      <c r="K127" s="1205"/>
      <c r="L127" s="1178" t="s">
        <v>1287</v>
      </c>
      <c r="M127" s="1205">
        <v>202</v>
      </c>
      <c r="N127" s="1205"/>
    </row>
    <row r="128" spans="1:14" x14ac:dyDescent="0.25">
      <c r="A128" s="1209" t="s">
        <v>1288</v>
      </c>
      <c r="B128" s="1069" t="str">
        <f t="shared" ca="1" si="12"/>
        <v>R14</v>
      </c>
      <c r="C128" s="1069" t="str">
        <f t="shared" ca="1" si="11"/>
        <v>R</v>
      </c>
      <c r="D128" s="1069" t="s">
        <v>1473</v>
      </c>
      <c r="E128" s="1213" t="s">
        <v>917</v>
      </c>
      <c r="F128" s="1205"/>
      <c r="G128" s="1205"/>
      <c r="H128" s="1205"/>
      <c r="I128" s="1205"/>
      <c r="J128" s="1205"/>
      <c r="K128" s="1205"/>
      <c r="L128" s="1178" t="s">
        <v>1288</v>
      </c>
      <c r="M128" s="1205">
        <v>203</v>
      </c>
      <c r="N128" s="1205"/>
    </row>
    <row r="129" spans="1:14" x14ac:dyDescent="0.25">
      <c r="A129" s="1209" t="s">
        <v>1289</v>
      </c>
      <c r="B129" s="1069" t="str">
        <f t="shared" ca="1" si="12"/>
        <v>T14</v>
      </c>
      <c r="C129" s="1069" t="str">
        <f t="shared" ca="1" si="11"/>
        <v>T</v>
      </c>
      <c r="D129" s="1069" t="s">
        <v>1473</v>
      </c>
      <c r="E129" s="1213" t="s">
        <v>917</v>
      </c>
      <c r="F129" s="1205"/>
      <c r="G129" s="1205"/>
      <c r="H129" s="1205"/>
      <c r="I129" s="1205"/>
      <c r="J129" s="1205"/>
      <c r="K129" s="1205"/>
      <c r="L129" s="1178" t="s">
        <v>1289</v>
      </c>
      <c r="M129" s="1205">
        <v>204</v>
      </c>
      <c r="N129" s="1205"/>
    </row>
    <row r="130" spans="1:14" x14ac:dyDescent="0.25">
      <c r="A130" s="1209" t="s">
        <v>1290</v>
      </c>
      <c r="B130" s="1069" t="str">
        <f t="shared" ca="1" si="12"/>
        <v>U14</v>
      </c>
      <c r="C130" s="1069" t="str">
        <f t="shared" ca="1" si="11"/>
        <v>U</v>
      </c>
      <c r="D130" s="1069" t="s">
        <v>1473</v>
      </c>
      <c r="E130" s="1213" t="s">
        <v>917</v>
      </c>
      <c r="F130" s="1205"/>
      <c r="G130" s="1205"/>
      <c r="H130" s="1205"/>
      <c r="I130" s="1205"/>
      <c r="J130" s="1205"/>
      <c r="K130" s="1205"/>
      <c r="L130" s="1178" t="s">
        <v>1290</v>
      </c>
      <c r="M130" s="1205">
        <v>205</v>
      </c>
      <c r="N130" s="1205"/>
    </row>
    <row r="131" spans="1:14" x14ac:dyDescent="0.25">
      <c r="A131" s="1209" t="s">
        <v>1455</v>
      </c>
      <c r="B131" s="1069" t="str">
        <f t="shared" ca="1" si="12"/>
        <v>V14</v>
      </c>
      <c r="C131" s="1069" t="str">
        <f t="shared" ca="1" si="11"/>
        <v>V</v>
      </c>
      <c r="D131" s="1069" t="s">
        <v>1473</v>
      </c>
      <c r="E131" s="1213" t="s">
        <v>917</v>
      </c>
      <c r="F131" s="1205"/>
      <c r="G131" s="1205"/>
      <c r="H131" s="1205"/>
      <c r="I131" s="1205"/>
      <c r="J131" s="1205"/>
      <c r="K131" s="1205"/>
      <c r="L131" s="1178" t="s">
        <v>1546</v>
      </c>
      <c r="M131" s="1205">
        <v>206</v>
      </c>
      <c r="N131" s="1205"/>
    </row>
    <row r="132" spans="1:14" x14ac:dyDescent="0.25">
      <c r="A132" s="1209" t="s">
        <v>1547</v>
      </c>
      <c r="B132" s="1069" t="str">
        <f t="shared" ca="1" si="12"/>
        <v/>
      </c>
      <c r="C132" s="1069" t="str">
        <f t="shared" ca="1" si="11"/>
        <v/>
      </c>
      <c r="D132" s="1069" t="s">
        <v>1473</v>
      </c>
      <c r="E132" s="1213" t="s">
        <v>917</v>
      </c>
      <c r="F132" s="1205"/>
      <c r="G132" s="1205"/>
      <c r="H132" s="1205"/>
      <c r="I132" s="1205"/>
      <c r="J132" s="1205"/>
      <c r="K132" s="1205"/>
      <c r="L132" s="1178" t="s">
        <v>1547</v>
      </c>
      <c r="M132" s="1205"/>
      <c r="N132" s="1205"/>
    </row>
    <row r="133" spans="1:14" x14ac:dyDescent="0.25">
      <c r="A133" s="1210" t="s">
        <v>1283</v>
      </c>
      <c r="B133" s="1069" t="str">
        <f ca="1">_xlfn.IFNA(_xlfn.CONCAT(SUBSTITUTE(ADDRESS(1,MATCH(A133,INDIRECT("'"&amp;E133&amp;"'"&amp;"!A5:Z5"),0),4),1,""),15),"")</f>
        <v>H15</v>
      </c>
      <c r="C133" s="1069" t="str">
        <f t="shared" ca="1" si="11"/>
        <v>H</v>
      </c>
      <c r="D133" s="1069" t="s">
        <v>1473</v>
      </c>
      <c r="E133" s="1213" t="s">
        <v>917</v>
      </c>
      <c r="F133" s="1205"/>
      <c r="G133" s="1205"/>
      <c r="H133" s="1205"/>
      <c r="I133" s="1205"/>
      <c r="J133" s="1205"/>
      <c r="K133" s="1205"/>
      <c r="L133" s="1069" t="s">
        <v>1283</v>
      </c>
      <c r="M133" s="1205">
        <v>218</v>
      </c>
      <c r="N133" s="1205"/>
    </row>
    <row r="134" spans="1:14" x14ac:dyDescent="0.25">
      <c r="A134" s="1211" t="s">
        <v>1365</v>
      </c>
      <c r="B134" s="1069" t="str">
        <f t="shared" ref="B134:B142" ca="1" si="13">_xlfn.IFNA(_xlfn.CONCAT(SUBSTITUTE(ADDRESS(1,MATCH(A134,INDIRECT("'"&amp;E134&amp;"'"&amp;"!A5:Z5"),0),4),1,""),15),"")</f>
        <v>I15</v>
      </c>
      <c r="C134" s="1069" t="str">
        <f t="shared" ca="1" si="11"/>
        <v>I</v>
      </c>
      <c r="D134" s="1069" t="s">
        <v>1473</v>
      </c>
      <c r="E134" s="1213" t="s">
        <v>917</v>
      </c>
      <c r="F134" s="1205"/>
      <c r="G134" s="1205"/>
      <c r="H134" s="1205"/>
      <c r="I134" s="1205"/>
      <c r="J134" s="1205"/>
      <c r="K134" s="1205"/>
      <c r="L134" s="52" t="s">
        <v>1365</v>
      </c>
      <c r="M134" s="1205">
        <v>220</v>
      </c>
      <c r="N134" s="1205"/>
    </row>
    <row r="135" spans="1:14" ht="30" x14ac:dyDescent="0.25">
      <c r="A135" s="1210" t="s">
        <v>1366</v>
      </c>
      <c r="B135" s="1069" t="str">
        <f t="shared" ca="1" si="13"/>
        <v>J15</v>
      </c>
      <c r="C135" s="1069" t="str">
        <f t="shared" ca="1" si="11"/>
        <v>J</v>
      </c>
      <c r="D135" s="1069" t="s">
        <v>1473</v>
      </c>
      <c r="E135" s="1213" t="s">
        <v>917</v>
      </c>
      <c r="F135" s="1205"/>
      <c r="G135" s="1205"/>
      <c r="H135" s="1205"/>
      <c r="I135" s="1205"/>
      <c r="J135" s="1205"/>
      <c r="K135" s="1205"/>
      <c r="L135" s="1069" t="s">
        <v>1366</v>
      </c>
      <c r="M135" s="1205">
        <v>221</v>
      </c>
      <c r="N135" s="1205"/>
    </row>
    <row r="136" spans="1:14" x14ac:dyDescent="0.25">
      <c r="A136" s="1210" t="s">
        <v>1286</v>
      </c>
      <c r="B136" s="1069" t="str">
        <f t="shared" ca="1" si="13"/>
        <v>P15</v>
      </c>
      <c r="C136" s="1069" t="str">
        <f t="shared" ca="1" si="11"/>
        <v>P</v>
      </c>
      <c r="D136" s="1069" t="s">
        <v>1473</v>
      </c>
      <c r="E136" s="1213" t="s">
        <v>917</v>
      </c>
      <c r="F136" s="1205"/>
      <c r="G136" s="1205"/>
      <c r="H136" s="1205"/>
      <c r="I136" s="1205"/>
      <c r="J136" s="1205"/>
      <c r="K136" s="1205"/>
      <c r="L136" s="1069" t="s">
        <v>1286</v>
      </c>
      <c r="M136" s="1205">
        <v>222</v>
      </c>
      <c r="N136" s="1205"/>
    </row>
    <row r="137" spans="1:14" x14ac:dyDescent="0.25">
      <c r="A137" s="1212" t="s">
        <v>1287</v>
      </c>
      <c r="B137" s="1069" t="str">
        <f t="shared" ca="1" si="13"/>
        <v>Q15</v>
      </c>
      <c r="C137" s="1069" t="str">
        <f t="shared" ca="1" si="11"/>
        <v>Q</v>
      </c>
      <c r="D137" s="1069" t="s">
        <v>1473</v>
      </c>
      <c r="E137" s="1213" t="s">
        <v>917</v>
      </c>
      <c r="F137" s="1205"/>
      <c r="G137" s="1205"/>
      <c r="H137" s="1205"/>
      <c r="I137" s="1205"/>
      <c r="J137" s="1205"/>
      <c r="K137" s="1205"/>
      <c r="L137" s="1178" t="s">
        <v>1287</v>
      </c>
      <c r="M137" s="1205">
        <v>223</v>
      </c>
      <c r="N137" s="1205"/>
    </row>
    <row r="138" spans="1:14" x14ac:dyDescent="0.25">
      <c r="A138" s="1212" t="s">
        <v>1288</v>
      </c>
      <c r="B138" s="1069" t="str">
        <f t="shared" ca="1" si="13"/>
        <v>R15</v>
      </c>
      <c r="C138" s="1069" t="str">
        <f t="shared" ca="1" si="11"/>
        <v>R</v>
      </c>
      <c r="D138" s="1069" t="s">
        <v>1473</v>
      </c>
      <c r="E138" s="1213" t="s">
        <v>917</v>
      </c>
      <c r="F138" s="1205"/>
      <c r="G138" s="1205"/>
      <c r="H138" s="1205"/>
      <c r="I138" s="1205"/>
      <c r="J138" s="1205"/>
      <c r="K138" s="1205"/>
      <c r="L138" s="1178" t="s">
        <v>1288</v>
      </c>
      <c r="M138" s="1205">
        <v>224</v>
      </c>
      <c r="N138" s="1205"/>
    </row>
    <row r="139" spans="1:14" x14ac:dyDescent="0.25">
      <c r="A139" s="1212" t="s">
        <v>1289</v>
      </c>
      <c r="B139" s="1069" t="str">
        <f t="shared" ca="1" si="13"/>
        <v>T15</v>
      </c>
      <c r="C139" s="1069" t="str">
        <f t="shared" ca="1" si="11"/>
        <v>T</v>
      </c>
      <c r="D139" s="1069" t="s">
        <v>1473</v>
      </c>
      <c r="E139" s="1213" t="s">
        <v>917</v>
      </c>
      <c r="F139" s="1205"/>
      <c r="G139" s="1205"/>
      <c r="H139" s="1205"/>
      <c r="I139" s="1205"/>
      <c r="J139" s="1205"/>
      <c r="K139" s="1205"/>
      <c r="L139" s="1178" t="s">
        <v>1289</v>
      </c>
      <c r="M139" s="1205">
        <v>225</v>
      </c>
      <c r="N139" s="1205"/>
    </row>
    <row r="140" spans="1:14" x14ac:dyDescent="0.25">
      <c r="A140" s="1212" t="s">
        <v>1290</v>
      </c>
      <c r="B140" s="1069" t="str">
        <f t="shared" ca="1" si="13"/>
        <v>U15</v>
      </c>
      <c r="C140" s="1069" t="str">
        <f t="shared" ca="1" si="11"/>
        <v>U</v>
      </c>
      <c r="D140" s="1069" t="s">
        <v>1473</v>
      </c>
      <c r="E140" s="1213" t="s">
        <v>917</v>
      </c>
      <c r="F140" s="1205"/>
      <c r="G140" s="1205"/>
      <c r="H140" s="1205"/>
      <c r="I140" s="1205"/>
      <c r="J140" s="1205"/>
      <c r="K140" s="1205"/>
      <c r="L140" s="1178" t="s">
        <v>1290</v>
      </c>
      <c r="M140" s="1205">
        <v>226</v>
      </c>
      <c r="N140" s="1205"/>
    </row>
    <row r="141" spans="1:14" x14ac:dyDescent="0.25">
      <c r="A141" s="1212" t="s">
        <v>1455</v>
      </c>
      <c r="B141" s="1069" t="str">
        <f t="shared" ca="1" si="13"/>
        <v>V15</v>
      </c>
      <c r="C141" s="1069" t="str">
        <f t="shared" ca="1" si="11"/>
        <v>V</v>
      </c>
      <c r="D141" s="1069" t="s">
        <v>1473</v>
      </c>
      <c r="E141" s="1213" t="s">
        <v>917</v>
      </c>
      <c r="F141" s="1205"/>
      <c r="G141" s="1205"/>
      <c r="H141" s="1205"/>
      <c r="I141" s="1205"/>
      <c r="J141" s="1205"/>
      <c r="K141" s="1205"/>
      <c r="L141" s="1178" t="s">
        <v>1546</v>
      </c>
      <c r="M141" s="1205">
        <v>227</v>
      </c>
      <c r="N141" s="1205"/>
    </row>
    <row r="142" spans="1:14" x14ac:dyDescent="0.25">
      <c r="A142" s="1212" t="s">
        <v>1547</v>
      </c>
      <c r="B142" s="1069" t="str">
        <f t="shared" ca="1" si="13"/>
        <v/>
      </c>
      <c r="C142" s="1069" t="str">
        <f t="shared" ca="1" si="11"/>
        <v/>
      </c>
      <c r="D142" s="1069" t="s">
        <v>1473</v>
      </c>
      <c r="E142" s="1213" t="s">
        <v>917</v>
      </c>
      <c r="F142" s="1205"/>
      <c r="G142" s="1205"/>
      <c r="H142" s="1205"/>
      <c r="I142" s="1205"/>
      <c r="J142" s="1205"/>
      <c r="K142" s="1205"/>
      <c r="L142" s="1178" t="s">
        <v>1547</v>
      </c>
      <c r="M142" s="1205"/>
      <c r="N142" s="1205"/>
    </row>
    <row r="143" spans="1:14" x14ac:dyDescent="0.25">
      <c r="A143" s="1205" t="s">
        <v>1317</v>
      </c>
      <c r="B143" s="106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Sheet'!A143,INDIRECT("'"&amp;E143&amp;"'"&amp;"!A17:Z17"),0),4),1,""),""))))),9)</f>
        <v>D9</v>
      </c>
      <c r="C143" s="1069" t="str">
        <f ca="1">_xlfn.CONCAT(IFERROR(SUBSTITUTE(ADDRESS(1,MATCH('Mapping Sheet'!A143,INDIRECT("'"&amp;E143&amp;"'"&amp;"!A4:Z4"),0),4),1,""),IFERROR(SUBSTITUTE(ADDRESS(1,MATCH('Mapping Sheet'!A143,INDIRECT("'"&amp;E143&amp;"'"&amp;"!A9:Z9"),0),4),1,""),IFERROR(SUBSTITUTE(ADDRESS(1,MATCH('Mapping Sheet'!A143,INDIRECT("'"&amp;E143&amp;"'"&amp;"!A12:Z12"),0),4),1,""),IFERROR(SUBSTITUTE(ADDRESS(1,MATCH('Mapping Sheet'!A143,INDIRECT("'"&amp;E143&amp;"'"&amp;"!A15:Z15"),0),4),1,""),IFERROR(SUBSTITUTE(ADDRESS(1,MATCH('Mapping Sheet'!A143,INDIRECT("'"&amp;E143&amp;"'"&amp;"!A17:Z17"),0),4),1,""),""))))),10)</f>
        <v>D10</v>
      </c>
      <c r="D143" s="1069" t="s">
        <v>1466</v>
      </c>
      <c r="E143" s="1069" t="s">
        <v>1467</v>
      </c>
      <c r="F143" s="1205"/>
      <c r="G143" s="1205"/>
      <c r="H143" s="1205"/>
      <c r="I143" s="1205"/>
      <c r="J143" s="1205"/>
      <c r="K143" s="1205"/>
      <c r="L143" s="1205" t="s">
        <v>1317</v>
      </c>
      <c r="M143" s="1205">
        <v>12</v>
      </c>
      <c r="N143" s="1205"/>
    </row>
    <row r="144" spans="1:14" x14ac:dyDescent="0.25">
      <c r="A144" s="1214" t="s">
        <v>1321</v>
      </c>
      <c r="B144" s="106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Sheet'!A144,INDIRECT("'"&amp;E144&amp;"'"&amp;"!A17:Z17"),0),4),1,""),""))))),9)</f>
        <v>H9</v>
      </c>
      <c r="C144" s="1069" t="str">
        <f ca="1">_xlfn.CONCAT(IFERROR(SUBSTITUTE(ADDRESS(1,MATCH('Mapping Sheet'!A144,INDIRECT("'"&amp;E144&amp;"'"&amp;"!A4:Z4"),0),4),1,""),IFERROR(SUBSTITUTE(ADDRESS(1,MATCH('Mapping Sheet'!A144,INDIRECT("'"&amp;E144&amp;"'"&amp;"!A9:Z9"),0),4),1,""),IFERROR(SUBSTITUTE(ADDRESS(1,MATCH('Mapping Sheet'!A144,INDIRECT("'"&amp;E144&amp;"'"&amp;"!A12:Z12"),0),4),1,""),IFERROR(SUBSTITUTE(ADDRESS(1,MATCH('Mapping Sheet'!A144,INDIRECT("'"&amp;E144&amp;"'"&amp;"!A15:Z15"),0),4),1,""),IFERROR(SUBSTITUTE(ADDRESS(1,MATCH('Mapping Sheet'!A144,INDIRECT("'"&amp;E144&amp;"'"&amp;"!A17:Z17"),0),4),1,""),""))))),10)</f>
        <v>H10</v>
      </c>
      <c r="D144" s="1069" t="s">
        <v>1466</v>
      </c>
      <c r="E144" s="1069" t="s">
        <v>1467</v>
      </c>
      <c r="F144" s="1205"/>
      <c r="G144" s="1205"/>
      <c r="H144" s="1205"/>
      <c r="I144" s="1205"/>
      <c r="J144" s="1205"/>
      <c r="K144" s="1205"/>
      <c r="L144" s="1214" t="s">
        <v>1321</v>
      </c>
      <c r="M144" s="1205">
        <v>18</v>
      </c>
      <c r="N144" s="1205"/>
    </row>
    <row r="145" spans="1:14" x14ac:dyDescent="0.25">
      <c r="A145" s="1214" t="s">
        <v>1322</v>
      </c>
      <c r="B145" s="106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Sheet'!A145,INDIRECT("'"&amp;E145&amp;"'"&amp;"!A17:Z17"),0),4),1,""),""))))),9)</f>
        <v>I9</v>
      </c>
      <c r="C145" s="1069" t="str">
        <f ca="1">_xlfn.CONCAT(IFERROR(SUBSTITUTE(ADDRESS(1,MATCH('Mapping Sheet'!A145,INDIRECT("'"&amp;E145&amp;"'"&amp;"!A4:Z4"),0),4),1,""),IFERROR(SUBSTITUTE(ADDRESS(1,MATCH('Mapping Sheet'!A145,INDIRECT("'"&amp;E145&amp;"'"&amp;"!A9:Z9"),0),4),1,""),IFERROR(SUBSTITUTE(ADDRESS(1,MATCH('Mapping Sheet'!A145,INDIRECT("'"&amp;E145&amp;"'"&amp;"!A12:Z12"),0),4),1,""),IFERROR(SUBSTITUTE(ADDRESS(1,MATCH('Mapping Sheet'!A145,INDIRECT("'"&amp;E145&amp;"'"&amp;"!A15:Z15"),0),4),1,""),IFERROR(SUBSTITUTE(ADDRESS(1,MATCH('Mapping Sheet'!A145,INDIRECT("'"&amp;E145&amp;"'"&amp;"!A17:Z17"),0),4),1,""),""))))),10)</f>
        <v>I10</v>
      </c>
      <c r="D145" s="1069" t="s">
        <v>1466</v>
      </c>
      <c r="E145" s="1069" t="s">
        <v>1467</v>
      </c>
      <c r="F145" s="1205"/>
      <c r="G145" s="1205"/>
      <c r="H145" s="1205"/>
      <c r="I145" s="1205"/>
      <c r="J145" s="1205"/>
      <c r="K145" s="1205"/>
      <c r="L145" s="1214" t="s">
        <v>1322</v>
      </c>
      <c r="M145" s="1205">
        <v>19</v>
      </c>
      <c r="N145" s="1205"/>
    </row>
    <row r="146" spans="1:14" x14ac:dyDescent="0.25">
      <c r="A146" s="1214" t="s">
        <v>1345</v>
      </c>
      <c r="B146" s="106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Sheet'!A146,INDIRECT("'"&amp;E146&amp;"'"&amp;"!A17:Z17"),0),4),1,""),""))))),17)</f>
        <v>B17</v>
      </c>
      <c r="C146" s="1069" t="str">
        <f ca="1">_xlfn.CONCAT(IFERROR(SUBSTITUTE(ADDRESS(1,MATCH('Mapping Sheet'!A146,INDIRECT("'"&amp;E146&amp;"'"&amp;"!A4:Z4"),0),4),1,""),IFERROR(SUBSTITUTE(ADDRESS(1,MATCH('Mapping Sheet'!A146,INDIRECT("'"&amp;E146&amp;"'"&amp;"!A9:Z9"),0),4),1,""),IFERROR(SUBSTITUTE(ADDRESS(1,MATCH('Mapping Sheet'!A146,INDIRECT("'"&amp;E146&amp;"'"&amp;"!A12:Z12"),0),4),1,""),IFERROR(SUBSTITUTE(ADDRESS(1,MATCH('Mapping Sheet'!A146,INDIRECT("'"&amp;E146&amp;"'"&amp;"!A15:Z15"),0),4),1,""),IFERROR(SUBSTITUTE(ADDRESS(1,MATCH('Mapping Sheet'!A146,INDIRECT("'"&amp;E146&amp;"'"&amp;"!A17:Z17"),0),4),1,""),""))))),18)</f>
        <v>B18</v>
      </c>
      <c r="D146" s="1069" t="s">
        <v>1466</v>
      </c>
      <c r="E146" s="1069" t="s">
        <v>1467</v>
      </c>
      <c r="F146" s="1205"/>
      <c r="G146" s="1205"/>
      <c r="H146" s="1205"/>
      <c r="I146" s="1205"/>
      <c r="J146" s="1205"/>
      <c r="K146" s="1205"/>
      <c r="L146" s="1214" t="s">
        <v>1345</v>
      </c>
      <c r="M146" s="1205">
        <v>503</v>
      </c>
      <c r="N146" s="1205"/>
    </row>
    <row r="147" spans="1:14" x14ac:dyDescent="0.25">
      <c r="A147" s="1214" t="s">
        <v>1341</v>
      </c>
      <c r="B147" s="106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Sheet'!A147,INDIRECT("'"&amp;E147&amp;"'"&amp;"!A17:Z17"),0),4),1,""),""))))),17)</f>
        <v>C17</v>
      </c>
      <c r="C147" s="1069" t="str">
        <f ca="1">_xlfn.CONCAT(IFERROR(SUBSTITUTE(ADDRESS(1,MATCH('Mapping Sheet'!A147,INDIRECT("'"&amp;E147&amp;"'"&amp;"!A4:Z4"),0),4),1,""),IFERROR(SUBSTITUTE(ADDRESS(1,MATCH('Mapping Sheet'!A147,INDIRECT("'"&amp;E147&amp;"'"&amp;"!A9:Z9"),0),4),1,""),IFERROR(SUBSTITUTE(ADDRESS(1,MATCH('Mapping Sheet'!A147,INDIRECT("'"&amp;E147&amp;"'"&amp;"!A12:Z12"),0),4),1,""),IFERROR(SUBSTITUTE(ADDRESS(1,MATCH('Mapping Sheet'!A147,INDIRECT("'"&amp;E147&amp;"'"&amp;"!A15:Z15"),0),4),1,""),IFERROR(SUBSTITUTE(ADDRESS(1,MATCH('Mapping Sheet'!A147,INDIRECT("'"&amp;E147&amp;"'"&amp;"!A17:Z17"),0),4),1,""),""))))),18)</f>
        <v>C18</v>
      </c>
      <c r="D147" s="1069" t="s">
        <v>1466</v>
      </c>
      <c r="E147" s="1069" t="s">
        <v>1467</v>
      </c>
      <c r="F147" s="1204"/>
      <c r="G147" s="1204"/>
      <c r="H147" s="1204"/>
      <c r="I147" s="1204"/>
      <c r="J147" s="1204"/>
      <c r="K147" s="1204"/>
      <c r="L147" s="1214" t="s">
        <v>1341</v>
      </c>
      <c r="M147" s="1205">
        <v>504</v>
      </c>
      <c r="N147" s="1205"/>
    </row>
    <row r="148" spans="1:14" x14ac:dyDescent="0.25">
      <c r="A148" s="1214" t="s">
        <v>1342</v>
      </c>
      <c r="B148" s="106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Sheet'!A148,INDIRECT("'"&amp;E148&amp;"'"&amp;"!A17:Z17"),0),4),1,""),""))))),17)</f>
        <v>D17</v>
      </c>
      <c r="C148" s="1069" t="str">
        <f ca="1">_xlfn.CONCAT(IFERROR(SUBSTITUTE(ADDRESS(1,MATCH('Mapping Sheet'!A148,INDIRECT("'"&amp;E148&amp;"'"&amp;"!A4:Z4"),0),4),1,""),IFERROR(SUBSTITUTE(ADDRESS(1,MATCH('Mapping Sheet'!A148,INDIRECT("'"&amp;E148&amp;"'"&amp;"!A9:Z9"),0),4),1,""),IFERROR(SUBSTITUTE(ADDRESS(1,MATCH('Mapping Sheet'!A148,INDIRECT("'"&amp;E148&amp;"'"&amp;"!A12:Z12"),0),4),1,""),IFERROR(SUBSTITUTE(ADDRESS(1,MATCH('Mapping Sheet'!A148,INDIRECT("'"&amp;E148&amp;"'"&amp;"!A15:Z15"),0),4),1,""),IFERROR(SUBSTITUTE(ADDRESS(1,MATCH('Mapping Sheet'!A148,INDIRECT("'"&amp;E148&amp;"'"&amp;"!A17:Z17"),0),4),1,""),""))))),18)</f>
        <v>D18</v>
      </c>
      <c r="D148" s="1069" t="s">
        <v>1466</v>
      </c>
      <c r="E148" s="1069" t="s">
        <v>1467</v>
      </c>
      <c r="F148" s="1204"/>
      <c r="G148" s="1204"/>
      <c r="H148" s="1204"/>
      <c r="I148" s="1204"/>
      <c r="J148" s="1204"/>
      <c r="K148" s="1204"/>
      <c r="L148" s="1214" t="s">
        <v>1342</v>
      </c>
      <c r="M148" s="1205">
        <v>505</v>
      </c>
      <c r="N148" s="1205"/>
    </row>
    <row r="149" spans="1:14" x14ac:dyDescent="0.25">
      <c r="A149" s="1214" t="s">
        <v>1346</v>
      </c>
      <c r="B149" s="106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Sheet'!A149,INDIRECT("'"&amp;E149&amp;"'"&amp;"!A17:Z17"),0),4),1,""),""))))),17)</f>
        <v>E17</v>
      </c>
      <c r="C149" s="1069" t="str">
        <f ca="1">_xlfn.CONCAT(IFERROR(SUBSTITUTE(ADDRESS(1,MATCH('Mapping Sheet'!A149,INDIRECT("'"&amp;E149&amp;"'"&amp;"!A4:Z4"),0),4),1,""),IFERROR(SUBSTITUTE(ADDRESS(1,MATCH('Mapping Sheet'!A149,INDIRECT("'"&amp;E149&amp;"'"&amp;"!A9:Z9"),0),4),1,""),IFERROR(SUBSTITUTE(ADDRESS(1,MATCH('Mapping Sheet'!A149,INDIRECT("'"&amp;E149&amp;"'"&amp;"!A12:Z12"),0),4),1,""),IFERROR(SUBSTITUTE(ADDRESS(1,MATCH('Mapping Sheet'!A149,INDIRECT("'"&amp;E149&amp;"'"&amp;"!A15:Z15"),0),4),1,""),IFERROR(SUBSTITUTE(ADDRESS(1,MATCH('Mapping Sheet'!A149,INDIRECT("'"&amp;E149&amp;"'"&amp;"!A17:Z17"),0),4),1,""),""))))),18)</f>
        <v>E18</v>
      </c>
      <c r="D149" s="1069" t="s">
        <v>1466</v>
      </c>
      <c r="E149" s="1069" t="s">
        <v>1467</v>
      </c>
      <c r="F149" s="1204"/>
      <c r="G149" s="1204"/>
      <c r="H149" s="1204"/>
      <c r="I149" s="1204"/>
      <c r="J149" s="1204"/>
      <c r="K149" s="1204"/>
      <c r="L149" s="1214" t="s">
        <v>1346</v>
      </c>
      <c r="M149" s="1205">
        <v>506</v>
      </c>
      <c r="N149" s="1205"/>
    </row>
    <row r="150" spans="1:14" x14ac:dyDescent="0.25">
      <c r="A150" s="1214" t="s">
        <v>1343</v>
      </c>
      <c r="B150" s="106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Sheet'!A150,INDIRECT("'"&amp;E150&amp;"'"&amp;"!A17:Z17"),0),4),1,""),""))))),17)</f>
        <v>F17</v>
      </c>
      <c r="C150" s="1069" t="str">
        <f ca="1">_xlfn.CONCAT(IFERROR(SUBSTITUTE(ADDRESS(1,MATCH('Mapping Sheet'!A150,INDIRECT("'"&amp;E150&amp;"'"&amp;"!A4:Z4"),0),4),1,""),IFERROR(SUBSTITUTE(ADDRESS(1,MATCH('Mapping Sheet'!A150,INDIRECT("'"&amp;E150&amp;"'"&amp;"!A9:Z9"),0),4),1,""),IFERROR(SUBSTITUTE(ADDRESS(1,MATCH('Mapping Sheet'!A150,INDIRECT("'"&amp;E150&amp;"'"&amp;"!A12:Z12"),0),4),1,""),IFERROR(SUBSTITUTE(ADDRESS(1,MATCH('Mapping Sheet'!A150,INDIRECT("'"&amp;E150&amp;"'"&amp;"!A15:Z15"),0),4),1,""),IFERROR(SUBSTITUTE(ADDRESS(1,MATCH('Mapping Sheet'!A150,INDIRECT("'"&amp;E150&amp;"'"&amp;"!A17:Z17"),0),4),1,""),""))))),18)</f>
        <v>F18</v>
      </c>
      <c r="D150" s="1069" t="s">
        <v>1466</v>
      </c>
      <c r="E150" s="1069" t="s">
        <v>1467</v>
      </c>
      <c r="F150" s="1204"/>
      <c r="G150" s="1204"/>
      <c r="H150" s="1204"/>
      <c r="I150" s="1204"/>
      <c r="J150" s="1204"/>
      <c r="K150" s="1204"/>
      <c r="L150" s="1214" t="s">
        <v>1343</v>
      </c>
      <c r="M150" s="1205">
        <v>507</v>
      </c>
      <c r="N150" s="1205"/>
    </row>
    <row r="151" spans="1:14" x14ac:dyDescent="0.25">
      <c r="A151" s="1214" t="s">
        <v>1304</v>
      </c>
      <c r="B151" s="106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Sheet'!A151,INDIRECT("'"&amp;E151&amp;"'"&amp;"!A17:Z17"),0),4),1,""),""))))),4)</f>
        <v>F4</v>
      </c>
      <c r="C151" s="1069" t="str">
        <f ca="1">_xlfn.CONCAT(IFERROR(SUBSTITUTE(ADDRESS(1,MATCH('Mapping Sheet'!A151,INDIRECT("'"&amp;E151&amp;"'"&amp;"!A4:Z4"),0),4),1,""),IFERROR(SUBSTITUTE(ADDRESS(1,MATCH('Mapping Sheet'!A151,INDIRECT("'"&amp;E151&amp;"'"&amp;"!A9:Z9"),0),4),1,""),IFERROR(SUBSTITUTE(ADDRESS(1,MATCH('Mapping Sheet'!A151,INDIRECT("'"&amp;E151&amp;"'"&amp;"!A12:Z12"),0),4),1,""),IFERROR(SUBSTITUTE(ADDRESS(1,MATCH('Mapping Sheet'!A151,INDIRECT("'"&amp;E151&amp;"'"&amp;"!A15:Z15"),0),4),1,""),IFERROR(SUBSTITUTE(ADDRESS(1,MATCH('Mapping Sheet'!A151,INDIRECT("'"&amp;E151&amp;"'"&amp;"!A17:Z17"),0),4),1,""),""))))),5)</f>
        <v>F5</v>
      </c>
      <c r="D151" s="1069" t="s">
        <v>1466</v>
      </c>
      <c r="E151" s="1069" t="s">
        <v>1467</v>
      </c>
      <c r="F151" s="1204"/>
      <c r="G151" s="1204"/>
      <c r="H151" s="1204"/>
      <c r="I151" s="1204"/>
      <c r="J151" s="1204"/>
      <c r="K151" s="1204"/>
      <c r="L151" s="1214" t="s">
        <v>1304</v>
      </c>
      <c r="M151" s="1205">
        <v>510</v>
      </c>
      <c r="N151" s="1205"/>
    </row>
    <row r="152" spans="1:14" x14ac:dyDescent="0.25">
      <c r="A152" s="1069" t="s">
        <v>1276</v>
      </c>
      <c r="B152" s="1069" t="str">
        <f>IFERROR(_xlfn.CONCAT("E",MATCH(A152,'Required Info to Submit'!E$4:E$19,0)),"")</f>
        <v>E11</v>
      </c>
      <c r="C152" s="1069" t="str">
        <f>IFERROR(_xlfn.CONCAT("F",MATCH(A152,'Required Info to Submit'!E$4:E$19,0)),"")</f>
        <v>F11</v>
      </c>
      <c r="D152" s="1069" t="s">
        <v>1466</v>
      </c>
      <c r="E152" s="1069" t="s">
        <v>1518</v>
      </c>
      <c r="F152" s="1069"/>
      <c r="G152" s="1069"/>
      <c r="H152" s="1069"/>
      <c r="I152" s="1069"/>
      <c r="J152" s="1069"/>
      <c r="K152" s="1207"/>
      <c r="L152" s="1069" t="s">
        <v>1537</v>
      </c>
      <c r="M152" s="1205">
        <v>7</v>
      </c>
      <c r="N152" s="1205"/>
    </row>
    <row r="153" spans="1:14" x14ac:dyDescent="0.25">
      <c r="A153" s="1069" t="s">
        <v>1277</v>
      </c>
      <c r="B153" s="1069" t="str">
        <f>IFERROR(_xlfn.CONCAT("E",MATCH(A153,'Required Info to Submit'!E$4:E$19,0)),"")</f>
        <v>E14</v>
      </c>
      <c r="C153" s="1069" t="str">
        <f>IFERROR(_xlfn.CONCAT("F",MATCH(A153,'Required Info to Submit'!E$4:E$19,0)),"")</f>
        <v>F14</v>
      </c>
      <c r="D153" s="1069" t="s">
        <v>1466</v>
      </c>
      <c r="E153" s="1069" t="s">
        <v>1518</v>
      </c>
      <c r="F153" s="1069"/>
      <c r="G153" s="1069"/>
      <c r="H153" s="1069"/>
      <c r="I153" s="1069"/>
      <c r="J153" s="1069"/>
      <c r="K153" s="1207"/>
      <c r="L153" s="1069" t="s">
        <v>1538</v>
      </c>
      <c r="M153" s="1205">
        <v>8</v>
      </c>
      <c r="N153" s="1205"/>
    </row>
    <row r="154" spans="1:14" x14ac:dyDescent="0.25">
      <c r="A154" s="1214" t="s">
        <v>887</v>
      </c>
      <c r="B154" s="1069" t="str">
        <f>IFERROR(_xlfn.CONCAT("E",MATCH(A154,'Required Info to Submit'!E$4:E$19,0)),"")</f>
        <v>E1</v>
      </c>
      <c r="C154" s="1069" t="str">
        <f>IFERROR(_xlfn.CONCAT("F",MATCH(A154,'Required Info to Submit'!E$4:E$19,0)),"")</f>
        <v>F1</v>
      </c>
      <c r="D154" s="1069" t="s">
        <v>1466</v>
      </c>
      <c r="E154" s="1069" t="s">
        <v>1518</v>
      </c>
      <c r="F154" s="1204"/>
      <c r="G154" s="1204"/>
      <c r="H154" s="1204"/>
      <c r="I154" s="1204"/>
      <c r="J154" s="1204"/>
      <c r="K154" s="1204"/>
      <c r="L154" s="1214" t="s">
        <v>1566</v>
      </c>
      <c r="M154" s="1205">
        <v>496</v>
      </c>
      <c r="N154" s="1205"/>
    </row>
    <row r="155" spans="1:14" x14ac:dyDescent="0.25">
      <c r="A155" s="1214" t="s">
        <v>1272</v>
      </c>
      <c r="B155" s="1069" t="str">
        <f>IFERROR(_xlfn.CONCAT("E",MATCH(A155,'Required Info to Submit'!E$4:E$19,0)),"")</f>
        <v>E3</v>
      </c>
      <c r="C155" s="1069" t="str">
        <f>IFERROR(_xlfn.CONCAT("F",MATCH(A155,'Required Info to Submit'!E$4:E$19,0)),"")</f>
        <v>F3</v>
      </c>
      <c r="D155" s="1069" t="s">
        <v>1466</v>
      </c>
      <c r="E155" s="1069" t="s">
        <v>1518</v>
      </c>
      <c r="F155" s="1204"/>
      <c r="G155" s="1204"/>
      <c r="H155" s="1204"/>
      <c r="I155" s="1204"/>
      <c r="J155" s="1204"/>
      <c r="K155" s="1204"/>
      <c r="L155" s="1214" t="s">
        <v>1567</v>
      </c>
      <c r="M155" s="1205">
        <v>497</v>
      </c>
      <c r="N155" s="1205"/>
    </row>
    <row r="156" spans="1:14" x14ac:dyDescent="0.25">
      <c r="A156" s="1214" t="s">
        <v>1273</v>
      </c>
      <c r="B156" s="1069" t="str">
        <f>IFERROR(_xlfn.CONCAT("E",MATCH(A156,'Required Info to Submit'!E$4:E$19,0)),"")</f>
        <v>E5</v>
      </c>
      <c r="C156" s="1069" t="str">
        <f>IFERROR(_xlfn.CONCAT("F",MATCH(A156,'Required Info to Submit'!E$4:E$19,0)),"")</f>
        <v>F5</v>
      </c>
      <c r="D156" s="1069" t="s">
        <v>1466</v>
      </c>
      <c r="E156" s="1069" t="s">
        <v>1518</v>
      </c>
      <c r="F156" s="1204"/>
      <c r="G156" s="1204"/>
      <c r="H156" s="1204"/>
      <c r="I156" s="1204"/>
      <c r="J156" s="1204"/>
      <c r="K156" s="1204"/>
      <c r="L156" s="1214" t="s">
        <v>1569</v>
      </c>
      <c r="M156" s="1205">
        <v>498</v>
      </c>
      <c r="N156" s="1205"/>
    </row>
    <row r="157" spans="1:14" x14ac:dyDescent="0.25">
      <c r="A157" s="1214" t="s">
        <v>1274</v>
      </c>
      <c r="B157" s="1069" t="str">
        <f>IFERROR(_xlfn.CONCAT("E",MATCH(A157,'Required Info to Submit'!E$4:E$19,0)),"")</f>
        <v>E6</v>
      </c>
      <c r="C157" s="1069" t="str">
        <f>IFERROR(_xlfn.CONCAT("F",MATCH(A157,'Required Info to Submit'!E$4:E$19,0)),"")</f>
        <v>F6</v>
      </c>
      <c r="D157" s="1069" t="s">
        <v>1466</v>
      </c>
      <c r="E157" s="1069" t="s">
        <v>1518</v>
      </c>
      <c r="F157" s="1204"/>
      <c r="G157" s="1204"/>
      <c r="H157" s="1204"/>
      <c r="I157" s="1204"/>
      <c r="J157" s="1204"/>
      <c r="K157" s="1204"/>
      <c r="L157" s="1214" t="s">
        <v>1570</v>
      </c>
      <c r="M157" s="1205">
        <v>499</v>
      </c>
      <c r="N157" s="1205"/>
    </row>
    <row r="158" spans="1:14" x14ac:dyDescent="0.25">
      <c r="A158" s="1214" t="s">
        <v>877</v>
      </c>
      <c r="B158" s="1069" t="str">
        <f>IFERROR(_xlfn.CONCAT("E",MATCH(A158,'Required Info to Submit'!E$4:E$19,0)),"")</f>
        <v>E7</v>
      </c>
      <c r="C158" s="1069" t="str">
        <f>IFERROR(_xlfn.CONCAT("F",MATCH(A158,'Required Info to Submit'!E$4:E$19,0)),"")</f>
        <v>F7</v>
      </c>
      <c r="D158" s="1069" t="s">
        <v>1466</v>
      </c>
      <c r="E158" s="1069" t="s">
        <v>1518</v>
      </c>
      <c r="F158" s="1204"/>
      <c r="G158" s="1204"/>
      <c r="H158" s="1204"/>
      <c r="I158" s="1204"/>
      <c r="J158" s="1204"/>
      <c r="K158" s="1204"/>
      <c r="L158" s="1214" t="s">
        <v>1571</v>
      </c>
      <c r="M158" s="1205">
        <v>500</v>
      </c>
      <c r="N158" s="1205"/>
    </row>
    <row r="159" spans="1:14" x14ac:dyDescent="0.25">
      <c r="A159" s="1214" t="s">
        <v>830</v>
      </c>
      <c r="B159" s="1069" t="str">
        <f>IFERROR(_xlfn.CONCAT("E",MATCH(A159,'Required Info to Submit'!E$4:E$19,0)),"")</f>
        <v>E8</v>
      </c>
      <c r="C159" s="1069" t="str">
        <f>IFERROR(_xlfn.CONCAT("F",MATCH(A159,'Required Info to Submit'!E$4:E$19,0)),"")</f>
        <v>F8</v>
      </c>
      <c r="D159" s="1069" t="s">
        <v>1466</v>
      </c>
      <c r="E159" s="1069" t="s">
        <v>1518</v>
      </c>
      <c r="F159" s="1204"/>
      <c r="G159" s="1204"/>
      <c r="H159" s="1204"/>
      <c r="I159" s="1204"/>
      <c r="J159" s="1204"/>
      <c r="K159" s="1204"/>
      <c r="L159" s="1214" t="s">
        <v>1572</v>
      </c>
      <c r="M159" s="1205">
        <v>501</v>
      </c>
      <c r="N159" s="1205"/>
    </row>
    <row r="160" spans="1:14" x14ac:dyDescent="0.25">
      <c r="A160" s="1214" t="s">
        <v>1275</v>
      </c>
      <c r="B160" s="1069" t="str">
        <f>IFERROR(_xlfn.CONCAT("E",MATCH(A160,'Required Info to Submit'!E$4:E$19,0)),"")</f>
        <v>E9</v>
      </c>
      <c r="C160" s="1069" t="str">
        <f>IFERROR(_xlfn.CONCAT("F",MATCH(A160,'Required Info to Submit'!E$4:E$19,0)),"")</f>
        <v>F9</v>
      </c>
      <c r="D160" s="1069" t="s">
        <v>1466</v>
      </c>
      <c r="E160" s="1069" t="s">
        <v>1518</v>
      </c>
      <c r="F160" s="1204"/>
      <c r="G160" s="1204"/>
      <c r="H160" s="1204"/>
      <c r="I160" s="1204"/>
      <c r="J160" s="1204"/>
      <c r="K160" s="1204"/>
      <c r="L160" s="1214" t="s">
        <v>1573</v>
      </c>
      <c r="M160" s="1205">
        <v>502</v>
      </c>
      <c r="N160" s="1205"/>
    </row>
    <row r="161" spans="1:14" x14ac:dyDescent="0.25">
      <c r="A161" s="1215" t="s">
        <v>1279</v>
      </c>
      <c r="B161" s="1069" t="str">
        <f ca="1">_xlfn.IFNA(_xlfn.CONCAT(SUBSTITUTE(ADDRESS(1,MATCH(A161,INDIRECT("'"&amp;E161&amp;"'"&amp;"!A22:Z22"),0),4),1,""),23),"")</f>
        <v>E23</v>
      </c>
      <c r="C161" s="1069" t="str">
        <f ca="1">_xlfn.IFNA(SUBSTITUTE(ADDRESS(1,MATCH(A161,INDIRECT("'"&amp;E161&amp;"'"&amp;"!A22:Z22"),0),4),1,""),"")</f>
        <v>E</v>
      </c>
      <c r="D161" s="1205" t="s">
        <v>1473</v>
      </c>
      <c r="E161" s="1069" t="s">
        <v>1518</v>
      </c>
      <c r="F161" s="1204"/>
      <c r="G161" s="1204"/>
      <c r="H161" s="1204"/>
      <c r="I161" s="1204"/>
      <c r="J161" s="1204"/>
      <c r="K161" s="1204"/>
      <c r="L161" s="1177" t="s">
        <v>734</v>
      </c>
      <c r="M161" s="1205">
        <v>28</v>
      </c>
      <c r="N161" s="1205"/>
    </row>
    <row r="162" spans="1:14" x14ac:dyDescent="0.25">
      <c r="A162" s="1216" t="s">
        <v>794</v>
      </c>
      <c r="B162" s="1069" t="str">
        <f t="shared" ref="B162:B171" ca="1" si="14">_xlfn.IFNA(_xlfn.CONCAT(SUBSTITUTE(ADDRESS(1,MATCH(A162,INDIRECT("'"&amp;E162&amp;"'"&amp;"!A22:Z22"),0),4),1,""),23),"")</f>
        <v>F23</v>
      </c>
      <c r="C162" s="1069" t="str">
        <f t="shared" ref="C162:C225" ca="1" si="15">_xlfn.IFNA(SUBSTITUTE(ADDRESS(1,MATCH(A162,INDIRECT("'"&amp;E162&amp;"'"&amp;"!A22:Z22"),0),4),1,""),"")</f>
        <v>F</v>
      </c>
      <c r="D162" s="1205" t="s">
        <v>1473</v>
      </c>
      <c r="E162" s="1069" t="s">
        <v>1518</v>
      </c>
      <c r="F162" s="1204"/>
      <c r="G162" s="1204"/>
      <c r="H162" s="1204"/>
      <c r="I162" s="1204"/>
      <c r="J162" s="1204"/>
      <c r="K162" s="1204"/>
      <c r="L162" s="1177" t="s">
        <v>794</v>
      </c>
      <c r="M162" s="1205">
        <v>30</v>
      </c>
      <c r="N162" s="1205"/>
    </row>
    <row r="163" spans="1:14" x14ac:dyDescent="0.25">
      <c r="A163" s="1216" t="s">
        <v>793</v>
      </c>
      <c r="B163" s="1069" t="str">
        <f t="shared" ca="1" si="14"/>
        <v>K23</v>
      </c>
      <c r="C163" s="1069" t="str">
        <f t="shared" ca="1" si="15"/>
        <v>K</v>
      </c>
      <c r="D163" s="1205" t="s">
        <v>1473</v>
      </c>
      <c r="E163" s="1069" t="s">
        <v>1518</v>
      </c>
      <c r="F163" s="1204"/>
      <c r="G163" s="1204"/>
      <c r="H163" s="1204"/>
      <c r="I163" s="1204"/>
      <c r="J163" s="1204"/>
      <c r="K163" s="1204"/>
      <c r="L163" s="1177" t="s">
        <v>793</v>
      </c>
      <c r="M163" s="1205">
        <v>40</v>
      </c>
      <c r="N163" s="1205"/>
    </row>
    <row r="164" spans="1:14" x14ac:dyDescent="0.25">
      <c r="A164" s="1216" t="s">
        <v>1280</v>
      </c>
      <c r="B164" s="1069" t="str">
        <f t="shared" ca="1" si="14"/>
        <v>L23</v>
      </c>
      <c r="C164" s="1069" t="str">
        <f t="shared" ca="1" si="15"/>
        <v>L</v>
      </c>
      <c r="D164" s="1205" t="s">
        <v>1473</v>
      </c>
      <c r="E164" s="1069" t="s">
        <v>1518</v>
      </c>
      <c r="F164" s="1204"/>
      <c r="G164" s="1204"/>
      <c r="H164" s="1204"/>
      <c r="I164" s="1204"/>
      <c r="J164" s="1204"/>
      <c r="K164" s="1204"/>
      <c r="L164" s="1177" t="s">
        <v>1280</v>
      </c>
      <c r="M164" s="1205">
        <v>41</v>
      </c>
      <c r="N164" s="1205"/>
    </row>
    <row r="165" spans="1:14" x14ac:dyDescent="0.25">
      <c r="A165" s="1216" t="s">
        <v>1281</v>
      </c>
      <c r="B165" s="1069" t="str">
        <f t="shared" ca="1" si="14"/>
        <v>M23</v>
      </c>
      <c r="C165" s="1069" t="str">
        <f t="shared" ca="1" si="15"/>
        <v>M</v>
      </c>
      <c r="D165" s="1205" t="s">
        <v>1473</v>
      </c>
      <c r="E165" s="1069" t="s">
        <v>1518</v>
      </c>
      <c r="F165" s="1204"/>
      <c r="G165" s="1204"/>
      <c r="H165" s="1204"/>
      <c r="I165" s="1204"/>
      <c r="J165" s="1204"/>
      <c r="K165" s="1204"/>
      <c r="L165" s="1177" t="s">
        <v>1281</v>
      </c>
      <c r="M165" s="1205">
        <v>42</v>
      </c>
      <c r="N165" s="1205"/>
    </row>
    <row r="166" spans="1:14" x14ac:dyDescent="0.25">
      <c r="A166" s="1216" t="s">
        <v>1282</v>
      </c>
      <c r="B166" s="1069" t="str">
        <f t="shared" ca="1" si="14"/>
        <v>N23</v>
      </c>
      <c r="C166" s="1069" t="str">
        <f t="shared" ca="1" si="15"/>
        <v>N</v>
      </c>
      <c r="D166" s="1205" t="s">
        <v>1473</v>
      </c>
      <c r="E166" s="1069" t="s">
        <v>1518</v>
      </c>
      <c r="F166" s="1204"/>
      <c r="G166" s="1204"/>
      <c r="H166" s="1204"/>
      <c r="I166" s="1204"/>
      <c r="J166" s="1204"/>
      <c r="K166" s="1204"/>
      <c r="L166" s="1177" t="s">
        <v>1483</v>
      </c>
      <c r="M166" s="1205">
        <v>43</v>
      </c>
      <c r="N166" s="1205"/>
    </row>
    <row r="167" spans="1:14" x14ac:dyDescent="0.25">
      <c r="A167" s="1216" t="s">
        <v>1400</v>
      </c>
      <c r="B167" s="1069" t="str">
        <f t="shared" ca="1" si="14"/>
        <v>O23</v>
      </c>
      <c r="C167" s="1069" t="str">
        <f t="shared" ca="1" si="15"/>
        <v>O</v>
      </c>
      <c r="D167" s="1205" t="s">
        <v>1473</v>
      </c>
      <c r="E167" s="1069" t="s">
        <v>1518</v>
      </c>
      <c r="F167" s="1204"/>
      <c r="G167" s="1204"/>
      <c r="H167" s="1204"/>
      <c r="I167" s="1204"/>
      <c r="J167" s="1204"/>
      <c r="K167" s="1204"/>
      <c r="L167" s="1177" t="s">
        <v>1400</v>
      </c>
      <c r="M167" s="1205">
        <v>44</v>
      </c>
      <c r="N167" s="1205"/>
    </row>
    <row r="168" spans="1:14" x14ac:dyDescent="0.25">
      <c r="A168" s="1216" t="s">
        <v>795</v>
      </c>
      <c r="B168" s="1069" t="str">
        <f t="shared" ca="1" si="14"/>
        <v>G23</v>
      </c>
      <c r="C168" s="1069" t="str">
        <f t="shared" ca="1" si="15"/>
        <v>G</v>
      </c>
      <c r="D168" s="1205" t="s">
        <v>1473</v>
      </c>
      <c r="E168" s="1069" t="s">
        <v>1518</v>
      </c>
      <c r="F168" s="1204"/>
      <c r="G168" s="1204"/>
      <c r="H168" s="1204"/>
      <c r="I168" s="1204"/>
      <c r="J168" s="1204"/>
      <c r="K168" s="1204"/>
      <c r="L168" s="1177" t="s">
        <v>795</v>
      </c>
      <c r="M168" s="1205">
        <v>45</v>
      </c>
      <c r="N168" s="1205"/>
    </row>
    <row r="169" spans="1:14" x14ac:dyDescent="0.25">
      <c r="A169" s="1216" t="s">
        <v>800</v>
      </c>
      <c r="B169" s="1069" t="str">
        <f t="shared" ca="1" si="14"/>
        <v>H23</v>
      </c>
      <c r="C169" s="1069" t="str">
        <f t="shared" ca="1" si="15"/>
        <v>H</v>
      </c>
      <c r="D169" s="1205" t="s">
        <v>1473</v>
      </c>
      <c r="E169" s="1069" t="s">
        <v>1518</v>
      </c>
      <c r="F169" s="1204"/>
      <c r="G169" s="1204"/>
      <c r="H169" s="1204"/>
      <c r="I169" s="1204"/>
      <c r="J169" s="1204"/>
      <c r="K169" s="1204"/>
      <c r="L169" s="1177" t="s">
        <v>800</v>
      </c>
      <c r="M169" s="1205">
        <v>46</v>
      </c>
      <c r="N169" s="1205"/>
    </row>
    <row r="170" spans="1:14" x14ac:dyDescent="0.25">
      <c r="A170" s="1216" t="s">
        <v>801</v>
      </c>
      <c r="B170" s="1069" t="str">
        <f t="shared" ca="1" si="14"/>
        <v>I23</v>
      </c>
      <c r="C170" s="1069" t="str">
        <f t="shared" ca="1" si="15"/>
        <v>I</v>
      </c>
      <c r="D170" s="1205" t="s">
        <v>1473</v>
      </c>
      <c r="E170" s="1069" t="s">
        <v>1518</v>
      </c>
      <c r="F170" s="1204"/>
      <c r="G170" s="1204"/>
      <c r="H170" s="1204"/>
      <c r="I170" s="1204"/>
      <c r="J170" s="1204"/>
      <c r="K170" s="1204"/>
      <c r="L170" s="1177" t="s">
        <v>801</v>
      </c>
      <c r="M170" s="1205">
        <v>47</v>
      </c>
      <c r="N170" s="1205"/>
    </row>
    <row r="171" spans="1:14" x14ac:dyDescent="0.25">
      <c r="A171" s="1216" t="s">
        <v>204</v>
      </c>
      <c r="B171" s="1069" t="str">
        <f t="shared" ca="1" si="14"/>
        <v>J23</v>
      </c>
      <c r="C171" s="1069" t="str">
        <f t="shared" ca="1" si="15"/>
        <v>J</v>
      </c>
      <c r="D171" s="1205" t="s">
        <v>1473</v>
      </c>
      <c r="E171" s="1069" t="s">
        <v>1518</v>
      </c>
      <c r="F171" s="1204"/>
      <c r="G171" s="1204"/>
      <c r="H171" s="1204"/>
      <c r="I171" s="1204"/>
      <c r="J171" s="1204"/>
      <c r="K171" s="1204"/>
      <c r="L171" s="1177" t="s">
        <v>204</v>
      </c>
      <c r="M171" s="1205">
        <v>48</v>
      </c>
      <c r="N171" s="1205"/>
    </row>
    <row r="172" spans="1:14" x14ac:dyDescent="0.25">
      <c r="A172" s="1217" t="s">
        <v>1279</v>
      </c>
      <c r="B172" s="1069" t="str">
        <f ca="1">_xlfn.IFNA(_xlfn.CONCAT(SUBSTITUTE(ADDRESS(1,MATCH(A172,INDIRECT("'"&amp;E172&amp;"'"&amp;"!A22:Z22"),0),4),1,""),24),"")</f>
        <v>E24</v>
      </c>
      <c r="C172" s="1069" t="str">
        <f t="shared" ca="1" si="15"/>
        <v>E</v>
      </c>
      <c r="D172" s="1205" t="s">
        <v>1473</v>
      </c>
      <c r="E172" s="1069" t="s">
        <v>1518</v>
      </c>
      <c r="F172" s="1204"/>
      <c r="G172" s="1204"/>
      <c r="H172" s="1204"/>
      <c r="I172" s="1204"/>
      <c r="J172" s="1204"/>
      <c r="K172" s="1204"/>
      <c r="L172" s="1177" t="s">
        <v>734</v>
      </c>
      <c r="M172" s="1205">
        <v>49</v>
      </c>
      <c r="N172" s="1205"/>
    </row>
    <row r="173" spans="1:14" x14ac:dyDescent="0.25">
      <c r="A173" s="1218" t="s">
        <v>794</v>
      </c>
      <c r="B173" s="1069" t="str">
        <f t="shared" ref="B173:B182" ca="1" si="16">_xlfn.IFNA(_xlfn.CONCAT(SUBSTITUTE(ADDRESS(1,MATCH(A173,INDIRECT("'"&amp;E173&amp;"'"&amp;"!A22:Z22"),0),4),1,""),24),"")</f>
        <v>F24</v>
      </c>
      <c r="C173" s="1069" t="str">
        <f t="shared" ca="1" si="15"/>
        <v>F</v>
      </c>
      <c r="D173" s="1205" t="s">
        <v>1473</v>
      </c>
      <c r="E173" s="1069" t="s">
        <v>1518</v>
      </c>
      <c r="F173" s="1204"/>
      <c r="G173" s="1204"/>
      <c r="H173" s="1204"/>
      <c r="I173" s="1204"/>
      <c r="J173" s="1204"/>
      <c r="K173" s="1204"/>
      <c r="L173" s="1177" t="s">
        <v>794</v>
      </c>
      <c r="M173" s="1205">
        <v>51</v>
      </c>
      <c r="N173" s="1205"/>
    </row>
    <row r="174" spans="1:14" x14ac:dyDescent="0.25">
      <c r="A174" s="1218" t="s">
        <v>793</v>
      </c>
      <c r="B174" s="1069" t="str">
        <f t="shared" ca="1" si="16"/>
        <v>K24</v>
      </c>
      <c r="C174" s="1069" t="str">
        <f t="shared" ca="1" si="15"/>
        <v>K</v>
      </c>
      <c r="D174" s="1205" t="s">
        <v>1473</v>
      </c>
      <c r="E174" s="1069" t="s">
        <v>1518</v>
      </c>
      <c r="F174" s="1204"/>
      <c r="G174" s="1204"/>
      <c r="H174" s="1204"/>
      <c r="I174" s="1204"/>
      <c r="J174" s="1204"/>
      <c r="K174" s="1204"/>
      <c r="L174" s="1177" t="s">
        <v>793</v>
      </c>
      <c r="M174" s="1205">
        <v>61</v>
      </c>
      <c r="N174" s="1205"/>
    </row>
    <row r="175" spans="1:14" x14ac:dyDescent="0.25">
      <c r="A175" s="1218" t="s">
        <v>1280</v>
      </c>
      <c r="B175" s="1069" t="str">
        <f t="shared" ca="1" si="16"/>
        <v>L24</v>
      </c>
      <c r="C175" s="1069" t="str">
        <f t="shared" ca="1" si="15"/>
        <v>L</v>
      </c>
      <c r="D175" s="1205" t="s">
        <v>1473</v>
      </c>
      <c r="E175" s="1069" t="s">
        <v>1518</v>
      </c>
      <c r="F175" s="1204"/>
      <c r="G175" s="1204"/>
      <c r="H175" s="1204"/>
      <c r="I175" s="1204"/>
      <c r="J175" s="1204"/>
      <c r="K175" s="1204"/>
      <c r="L175" s="1177" t="s">
        <v>1280</v>
      </c>
      <c r="M175" s="1205">
        <v>62</v>
      </c>
      <c r="N175" s="1205"/>
    </row>
    <row r="176" spans="1:14" x14ac:dyDescent="0.25">
      <c r="A176" s="1218" t="s">
        <v>1281</v>
      </c>
      <c r="B176" s="1069" t="str">
        <f t="shared" ca="1" si="16"/>
        <v>M24</v>
      </c>
      <c r="C176" s="1069" t="str">
        <f t="shared" ca="1" si="15"/>
        <v>M</v>
      </c>
      <c r="D176" s="1205" t="s">
        <v>1473</v>
      </c>
      <c r="E176" s="1069" t="s">
        <v>1518</v>
      </c>
      <c r="F176" s="1204"/>
      <c r="G176" s="1204"/>
      <c r="H176" s="1204"/>
      <c r="I176" s="1204"/>
      <c r="J176" s="1204"/>
      <c r="K176" s="1204"/>
      <c r="L176" s="1177" t="s">
        <v>1281</v>
      </c>
      <c r="M176" s="1205">
        <v>63</v>
      </c>
      <c r="N176" s="1205"/>
    </row>
    <row r="177" spans="1:14" x14ac:dyDescent="0.25">
      <c r="A177" s="1218" t="s">
        <v>1282</v>
      </c>
      <c r="B177" s="1069" t="str">
        <f t="shared" ca="1" si="16"/>
        <v>N24</v>
      </c>
      <c r="C177" s="1069" t="str">
        <f t="shared" ca="1" si="15"/>
        <v>N</v>
      </c>
      <c r="D177" s="1205" t="s">
        <v>1473</v>
      </c>
      <c r="E177" s="1069" t="s">
        <v>1518</v>
      </c>
      <c r="F177" s="1204"/>
      <c r="G177" s="1204"/>
      <c r="H177" s="1204"/>
      <c r="I177" s="1204"/>
      <c r="J177" s="1204"/>
      <c r="K177" s="1204"/>
      <c r="L177" s="1177" t="s">
        <v>1483</v>
      </c>
      <c r="M177" s="1205">
        <v>64</v>
      </c>
      <c r="N177" s="1205"/>
    </row>
    <row r="178" spans="1:14" x14ac:dyDescent="0.25">
      <c r="A178" s="1218" t="s">
        <v>1400</v>
      </c>
      <c r="B178" s="1069" t="str">
        <f t="shared" ca="1" si="16"/>
        <v>O24</v>
      </c>
      <c r="C178" s="1069" t="str">
        <f t="shared" ca="1" si="15"/>
        <v>O</v>
      </c>
      <c r="D178" s="1205" t="s">
        <v>1473</v>
      </c>
      <c r="E178" s="1069" t="s">
        <v>1518</v>
      </c>
      <c r="F178" s="1204"/>
      <c r="G178" s="1204"/>
      <c r="H178" s="1204"/>
      <c r="I178" s="1204"/>
      <c r="J178" s="1204"/>
      <c r="K178" s="1204"/>
      <c r="L178" s="1177" t="s">
        <v>1400</v>
      </c>
      <c r="M178" s="1205">
        <v>65</v>
      </c>
      <c r="N178" s="1205"/>
    </row>
    <row r="179" spans="1:14" x14ac:dyDescent="0.25">
      <c r="A179" s="1218" t="s">
        <v>795</v>
      </c>
      <c r="B179" s="1069" t="str">
        <f t="shared" ca="1" si="16"/>
        <v>G24</v>
      </c>
      <c r="C179" s="1069" t="str">
        <f t="shared" ca="1" si="15"/>
        <v>G</v>
      </c>
      <c r="D179" s="1205" t="s">
        <v>1473</v>
      </c>
      <c r="E179" s="1069" t="s">
        <v>1518</v>
      </c>
      <c r="F179" s="1204"/>
      <c r="G179" s="1204"/>
      <c r="H179" s="1204"/>
      <c r="I179" s="1204"/>
      <c r="J179" s="1204"/>
      <c r="K179" s="1204"/>
      <c r="L179" s="1177" t="s">
        <v>795</v>
      </c>
      <c r="M179" s="1205">
        <v>66</v>
      </c>
      <c r="N179" s="1205"/>
    </row>
    <row r="180" spans="1:14" x14ac:dyDescent="0.25">
      <c r="A180" s="1218" t="s">
        <v>800</v>
      </c>
      <c r="B180" s="1069" t="str">
        <f t="shared" ca="1" si="16"/>
        <v>H24</v>
      </c>
      <c r="C180" s="1069" t="str">
        <f t="shared" ca="1" si="15"/>
        <v>H</v>
      </c>
      <c r="D180" s="1205" t="s">
        <v>1473</v>
      </c>
      <c r="E180" s="1069" t="s">
        <v>1518</v>
      </c>
      <c r="F180" s="1204"/>
      <c r="G180" s="1204"/>
      <c r="H180" s="1204"/>
      <c r="I180" s="1204"/>
      <c r="J180" s="1204"/>
      <c r="K180" s="1204"/>
      <c r="L180" s="1177" t="s">
        <v>800</v>
      </c>
      <c r="M180" s="1205">
        <v>67</v>
      </c>
      <c r="N180" s="1205"/>
    </row>
    <row r="181" spans="1:14" x14ac:dyDescent="0.25">
      <c r="A181" s="1218" t="s">
        <v>801</v>
      </c>
      <c r="B181" s="1069" t="str">
        <f t="shared" ca="1" si="16"/>
        <v>I24</v>
      </c>
      <c r="C181" s="1069" t="str">
        <f t="shared" ca="1" si="15"/>
        <v>I</v>
      </c>
      <c r="D181" s="1205" t="s">
        <v>1473</v>
      </c>
      <c r="E181" s="1069" t="s">
        <v>1518</v>
      </c>
      <c r="F181" s="1204"/>
      <c r="G181" s="1204"/>
      <c r="H181" s="1204"/>
      <c r="I181" s="1204"/>
      <c r="J181" s="1204"/>
      <c r="K181" s="1204"/>
      <c r="L181" s="1177" t="s">
        <v>801</v>
      </c>
      <c r="M181" s="1205">
        <v>68</v>
      </c>
      <c r="N181" s="1205"/>
    </row>
    <row r="182" spans="1:14" x14ac:dyDescent="0.25">
      <c r="A182" s="1218" t="s">
        <v>204</v>
      </c>
      <c r="B182" s="1069" t="str">
        <f t="shared" ca="1" si="16"/>
        <v>J24</v>
      </c>
      <c r="C182" s="1069" t="str">
        <f t="shared" ca="1" si="15"/>
        <v>J</v>
      </c>
      <c r="D182" s="1205" t="s">
        <v>1473</v>
      </c>
      <c r="E182" s="1069" t="s">
        <v>1518</v>
      </c>
      <c r="F182" s="1204"/>
      <c r="G182" s="1204"/>
      <c r="H182" s="1204"/>
      <c r="I182" s="1204"/>
      <c r="J182" s="1204"/>
      <c r="K182" s="1204"/>
      <c r="L182" s="1177" t="s">
        <v>204</v>
      </c>
      <c r="M182" s="1205">
        <v>69</v>
      </c>
      <c r="N182" s="1205"/>
    </row>
    <row r="183" spans="1:14" x14ac:dyDescent="0.25">
      <c r="A183" s="1215" t="s">
        <v>1279</v>
      </c>
      <c r="B183" s="1069" t="str">
        <f ca="1">_xlfn.IFNA(_xlfn.CONCAT(SUBSTITUTE(ADDRESS(1,MATCH(A183,INDIRECT("'"&amp;E183&amp;"'"&amp;"!A22:Z22"),0),4),1,""),25),"")</f>
        <v>E25</v>
      </c>
      <c r="C183" s="1069" t="str">
        <f t="shared" ca="1" si="15"/>
        <v>E</v>
      </c>
      <c r="D183" s="1205" t="s">
        <v>1473</v>
      </c>
      <c r="E183" s="1069" t="s">
        <v>1518</v>
      </c>
      <c r="F183" s="1204"/>
      <c r="G183" s="1204"/>
      <c r="H183" s="1204"/>
      <c r="I183" s="1204"/>
      <c r="J183" s="1204"/>
      <c r="K183" s="1204"/>
      <c r="L183" s="1177" t="s">
        <v>734</v>
      </c>
      <c r="M183" s="1205">
        <v>70</v>
      </c>
      <c r="N183" s="1205"/>
    </row>
    <row r="184" spans="1:14" x14ac:dyDescent="0.25">
      <c r="A184" s="1216" t="s">
        <v>794</v>
      </c>
      <c r="B184" s="1069" t="str">
        <f t="shared" ref="B184:B193" ca="1" si="17">_xlfn.IFNA(_xlfn.CONCAT(SUBSTITUTE(ADDRESS(1,MATCH(A184,INDIRECT("'"&amp;E184&amp;"'"&amp;"!A22:Z22"),0),4),1,""),25),"")</f>
        <v>F25</v>
      </c>
      <c r="C184" s="1069" t="str">
        <f t="shared" ca="1" si="15"/>
        <v>F</v>
      </c>
      <c r="D184" s="1205" t="s">
        <v>1473</v>
      </c>
      <c r="E184" s="1069" t="s">
        <v>1518</v>
      </c>
      <c r="F184" s="1204"/>
      <c r="G184" s="1204"/>
      <c r="H184" s="1204"/>
      <c r="I184" s="1204"/>
      <c r="J184" s="1204"/>
      <c r="K184" s="1204"/>
      <c r="L184" s="1177" t="s">
        <v>794</v>
      </c>
      <c r="M184" s="1205">
        <v>72</v>
      </c>
      <c r="N184" s="1205"/>
    </row>
    <row r="185" spans="1:14" x14ac:dyDescent="0.25">
      <c r="A185" s="1216" t="s">
        <v>793</v>
      </c>
      <c r="B185" s="1069" t="str">
        <f t="shared" ca="1" si="17"/>
        <v>K25</v>
      </c>
      <c r="C185" s="1069" t="str">
        <f t="shared" ca="1" si="15"/>
        <v>K</v>
      </c>
      <c r="D185" s="1205" t="s">
        <v>1473</v>
      </c>
      <c r="E185" s="1069" t="s">
        <v>1518</v>
      </c>
      <c r="F185" s="1204"/>
      <c r="G185" s="1204"/>
      <c r="H185" s="1204"/>
      <c r="I185" s="1204"/>
      <c r="J185" s="1204"/>
      <c r="K185" s="1204"/>
      <c r="L185" s="1177" t="s">
        <v>793</v>
      </c>
      <c r="M185" s="1205">
        <v>82</v>
      </c>
      <c r="N185" s="1205"/>
    </row>
    <row r="186" spans="1:14" x14ac:dyDescent="0.25">
      <c r="A186" s="1216" t="s">
        <v>1280</v>
      </c>
      <c r="B186" s="1069" t="str">
        <f t="shared" ca="1" si="17"/>
        <v>L25</v>
      </c>
      <c r="C186" s="1069" t="str">
        <f t="shared" ca="1" si="15"/>
        <v>L</v>
      </c>
      <c r="D186" s="1205" t="s">
        <v>1473</v>
      </c>
      <c r="E186" s="1069" t="s">
        <v>1518</v>
      </c>
      <c r="F186" s="1204"/>
      <c r="G186" s="1204"/>
      <c r="H186" s="1204"/>
      <c r="I186" s="1204"/>
      <c r="J186" s="1204"/>
      <c r="K186" s="1204"/>
      <c r="L186" s="1177" t="s">
        <v>1280</v>
      </c>
      <c r="M186" s="1205">
        <v>83</v>
      </c>
      <c r="N186" s="1205"/>
    </row>
    <row r="187" spans="1:14" x14ac:dyDescent="0.25">
      <c r="A187" s="1216" t="s">
        <v>1281</v>
      </c>
      <c r="B187" s="1069" t="str">
        <f t="shared" ca="1" si="17"/>
        <v>M25</v>
      </c>
      <c r="C187" s="1069" t="str">
        <f t="shared" ca="1" si="15"/>
        <v>M</v>
      </c>
      <c r="D187" s="1205" t="s">
        <v>1473</v>
      </c>
      <c r="E187" s="1069" t="s">
        <v>1518</v>
      </c>
      <c r="F187" s="1204"/>
      <c r="G187" s="1204"/>
      <c r="H187" s="1204"/>
      <c r="I187" s="1204"/>
      <c r="J187" s="1204"/>
      <c r="K187" s="1204"/>
      <c r="L187" s="1177" t="s">
        <v>1281</v>
      </c>
      <c r="M187" s="1205">
        <v>84</v>
      </c>
      <c r="N187" s="1205"/>
    </row>
    <row r="188" spans="1:14" x14ac:dyDescent="0.25">
      <c r="A188" s="1216" t="s">
        <v>1282</v>
      </c>
      <c r="B188" s="1069" t="str">
        <f t="shared" ca="1" si="17"/>
        <v>N25</v>
      </c>
      <c r="C188" s="1069" t="str">
        <f t="shared" ca="1" si="15"/>
        <v>N</v>
      </c>
      <c r="D188" s="1205" t="s">
        <v>1473</v>
      </c>
      <c r="E188" s="1069" t="s">
        <v>1518</v>
      </c>
      <c r="F188" s="1204"/>
      <c r="G188" s="1204"/>
      <c r="H188" s="1204"/>
      <c r="I188" s="1204"/>
      <c r="J188" s="1204"/>
      <c r="K188" s="1204"/>
      <c r="L188" s="1177" t="s">
        <v>1483</v>
      </c>
      <c r="M188" s="1205">
        <v>85</v>
      </c>
      <c r="N188" s="1205"/>
    </row>
    <row r="189" spans="1:14" x14ac:dyDescent="0.25">
      <c r="A189" s="1216" t="s">
        <v>1400</v>
      </c>
      <c r="B189" s="1069" t="str">
        <f t="shared" ca="1" si="17"/>
        <v>O25</v>
      </c>
      <c r="C189" s="1069" t="str">
        <f t="shared" ca="1" si="15"/>
        <v>O</v>
      </c>
      <c r="D189" s="1205" t="s">
        <v>1473</v>
      </c>
      <c r="E189" s="1069" t="s">
        <v>1518</v>
      </c>
      <c r="F189" s="1204"/>
      <c r="G189" s="1204"/>
      <c r="H189" s="1204"/>
      <c r="I189" s="1204"/>
      <c r="J189" s="1204"/>
      <c r="K189" s="1204"/>
      <c r="L189" s="1177" t="s">
        <v>1400</v>
      </c>
      <c r="M189" s="1205">
        <v>86</v>
      </c>
      <c r="N189" s="1205"/>
    </row>
    <row r="190" spans="1:14" x14ac:dyDescent="0.25">
      <c r="A190" s="1216" t="s">
        <v>795</v>
      </c>
      <c r="B190" s="1069" t="str">
        <f t="shared" ca="1" si="17"/>
        <v>G25</v>
      </c>
      <c r="C190" s="1069" t="str">
        <f t="shared" ca="1" si="15"/>
        <v>G</v>
      </c>
      <c r="D190" s="1205" t="s">
        <v>1473</v>
      </c>
      <c r="E190" s="1069" t="s">
        <v>1518</v>
      </c>
      <c r="F190" s="1204"/>
      <c r="G190" s="1204"/>
      <c r="H190" s="1204"/>
      <c r="I190" s="1204"/>
      <c r="J190" s="1204"/>
      <c r="K190" s="1204"/>
      <c r="L190" s="1177" t="s">
        <v>795</v>
      </c>
      <c r="M190" s="1205">
        <v>87</v>
      </c>
      <c r="N190" s="1205"/>
    </row>
    <row r="191" spans="1:14" x14ac:dyDescent="0.25">
      <c r="A191" s="1216" t="s">
        <v>800</v>
      </c>
      <c r="B191" s="1069" t="str">
        <f t="shared" ca="1" si="17"/>
        <v>H25</v>
      </c>
      <c r="C191" s="1069" t="str">
        <f t="shared" ca="1" si="15"/>
        <v>H</v>
      </c>
      <c r="D191" s="1205" t="s">
        <v>1473</v>
      </c>
      <c r="E191" s="1069" t="s">
        <v>1518</v>
      </c>
      <c r="F191" s="1204"/>
      <c r="G191" s="1204"/>
      <c r="H191" s="1204"/>
      <c r="I191" s="1204"/>
      <c r="J191" s="1204"/>
      <c r="K191" s="1204"/>
      <c r="L191" s="1177" t="s">
        <v>800</v>
      </c>
      <c r="M191" s="1205">
        <v>88</v>
      </c>
      <c r="N191" s="1205"/>
    </row>
    <row r="192" spans="1:14" x14ac:dyDescent="0.25">
      <c r="A192" s="1216" t="s">
        <v>801</v>
      </c>
      <c r="B192" s="1069" t="str">
        <f t="shared" ca="1" si="17"/>
        <v>I25</v>
      </c>
      <c r="C192" s="1069" t="str">
        <f t="shared" ca="1" si="15"/>
        <v>I</v>
      </c>
      <c r="D192" s="1205" t="s">
        <v>1473</v>
      </c>
      <c r="E192" s="1069" t="s">
        <v>1518</v>
      </c>
      <c r="F192" s="1204"/>
      <c r="G192" s="1204"/>
      <c r="H192" s="1204"/>
      <c r="I192" s="1204"/>
      <c r="J192" s="1204"/>
      <c r="K192" s="1204"/>
      <c r="L192" s="1177" t="s">
        <v>801</v>
      </c>
      <c r="M192" s="1205">
        <v>89</v>
      </c>
      <c r="N192" s="1205"/>
    </row>
    <row r="193" spans="1:14" x14ac:dyDescent="0.25">
      <c r="A193" s="1216" t="s">
        <v>204</v>
      </c>
      <c r="B193" s="1069" t="str">
        <f t="shared" ca="1" si="17"/>
        <v>J25</v>
      </c>
      <c r="C193" s="1069" t="str">
        <f t="shared" ca="1" si="15"/>
        <v>J</v>
      </c>
      <c r="D193" s="1205" t="s">
        <v>1473</v>
      </c>
      <c r="E193" s="1069" t="s">
        <v>1518</v>
      </c>
      <c r="F193" s="1204"/>
      <c r="G193" s="1204"/>
      <c r="H193" s="1204"/>
      <c r="I193" s="1204"/>
      <c r="J193" s="1204"/>
      <c r="K193" s="1204"/>
      <c r="L193" s="1177" t="s">
        <v>204</v>
      </c>
      <c r="M193" s="1205">
        <v>90</v>
      </c>
      <c r="N193" s="1205"/>
    </row>
    <row r="194" spans="1:14" x14ac:dyDescent="0.25">
      <c r="A194" s="1217" t="s">
        <v>1279</v>
      </c>
      <c r="B194" s="1069" t="str">
        <f ca="1">_xlfn.IFNA(_xlfn.CONCAT(SUBSTITUTE(ADDRESS(1,MATCH(A194,INDIRECT("'"&amp;E194&amp;"'"&amp;"!A22:Z22"),0),4),1,""),26),"")</f>
        <v>E26</v>
      </c>
      <c r="C194" s="1069" t="str">
        <f t="shared" ca="1" si="15"/>
        <v>E</v>
      </c>
      <c r="D194" s="1205" t="s">
        <v>1473</v>
      </c>
      <c r="E194" s="1069" t="s">
        <v>1518</v>
      </c>
      <c r="F194" s="1204"/>
      <c r="G194" s="1204"/>
      <c r="H194" s="1204"/>
      <c r="I194" s="1204"/>
      <c r="J194" s="1204"/>
      <c r="K194" s="1204"/>
      <c r="L194" s="1177" t="s">
        <v>734</v>
      </c>
      <c r="M194" s="1205">
        <v>91</v>
      </c>
      <c r="N194" s="1205"/>
    </row>
    <row r="195" spans="1:14" x14ac:dyDescent="0.25">
      <c r="A195" s="1218" t="s">
        <v>794</v>
      </c>
      <c r="B195" s="1069" t="str">
        <f t="shared" ref="B195:B204" ca="1" si="18">_xlfn.IFNA(_xlfn.CONCAT(SUBSTITUTE(ADDRESS(1,MATCH(A195,INDIRECT("'"&amp;E195&amp;"'"&amp;"!A22:Z22"),0),4),1,""),26),"")</f>
        <v>F26</v>
      </c>
      <c r="C195" s="1069" t="str">
        <f t="shared" ca="1" si="15"/>
        <v>F</v>
      </c>
      <c r="D195" s="1205" t="s">
        <v>1473</v>
      </c>
      <c r="E195" s="1069" t="s">
        <v>1518</v>
      </c>
      <c r="F195" s="1204"/>
      <c r="G195" s="1204"/>
      <c r="H195" s="1204"/>
      <c r="I195" s="1204"/>
      <c r="J195" s="1204"/>
      <c r="K195" s="1204"/>
      <c r="L195" s="1177" t="s">
        <v>794</v>
      </c>
      <c r="M195" s="1205">
        <v>93</v>
      </c>
      <c r="N195" s="1205"/>
    </row>
    <row r="196" spans="1:14" x14ac:dyDescent="0.25">
      <c r="A196" s="1218" t="s">
        <v>793</v>
      </c>
      <c r="B196" s="1069" t="str">
        <f t="shared" ca="1" si="18"/>
        <v>K26</v>
      </c>
      <c r="C196" s="1069" t="str">
        <f t="shared" ca="1" si="15"/>
        <v>K</v>
      </c>
      <c r="D196" s="1205" t="s">
        <v>1473</v>
      </c>
      <c r="E196" s="1069" t="s">
        <v>1518</v>
      </c>
      <c r="F196" s="1204"/>
      <c r="G196" s="1204"/>
      <c r="H196" s="1204"/>
      <c r="I196" s="1204"/>
      <c r="J196" s="1204"/>
      <c r="K196" s="1204"/>
      <c r="L196" s="1177" t="s">
        <v>793</v>
      </c>
      <c r="M196" s="1205">
        <v>103</v>
      </c>
      <c r="N196" s="1205"/>
    </row>
    <row r="197" spans="1:14" x14ac:dyDescent="0.25">
      <c r="A197" s="1218" t="s">
        <v>1280</v>
      </c>
      <c r="B197" s="1069" t="str">
        <f t="shared" ca="1" si="18"/>
        <v>L26</v>
      </c>
      <c r="C197" s="1069" t="str">
        <f t="shared" ca="1" si="15"/>
        <v>L</v>
      </c>
      <c r="D197" s="1205" t="s">
        <v>1473</v>
      </c>
      <c r="E197" s="1069" t="s">
        <v>1518</v>
      </c>
      <c r="F197" s="1204"/>
      <c r="G197" s="1204"/>
      <c r="H197" s="1204"/>
      <c r="I197" s="1204"/>
      <c r="J197" s="1204"/>
      <c r="K197" s="1204"/>
      <c r="L197" s="1177" t="s">
        <v>1280</v>
      </c>
      <c r="M197" s="1205">
        <v>104</v>
      </c>
      <c r="N197" s="1205"/>
    </row>
    <row r="198" spans="1:14" x14ac:dyDescent="0.25">
      <c r="A198" s="1218" t="s">
        <v>1281</v>
      </c>
      <c r="B198" s="1069" t="str">
        <f t="shared" ca="1" si="18"/>
        <v>M26</v>
      </c>
      <c r="C198" s="1069" t="str">
        <f t="shared" ca="1" si="15"/>
        <v>M</v>
      </c>
      <c r="D198" s="1205" t="s">
        <v>1473</v>
      </c>
      <c r="E198" s="1069" t="s">
        <v>1518</v>
      </c>
      <c r="F198" s="1204"/>
      <c r="G198" s="1204"/>
      <c r="H198" s="1204"/>
      <c r="I198" s="1204"/>
      <c r="J198" s="1204"/>
      <c r="K198" s="1204"/>
      <c r="L198" s="1177" t="s">
        <v>1281</v>
      </c>
      <c r="M198" s="1205">
        <v>105</v>
      </c>
      <c r="N198" s="1205"/>
    </row>
    <row r="199" spans="1:14" x14ac:dyDescent="0.25">
      <c r="A199" s="1218" t="s">
        <v>1282</v>
      </c>
      <c r="B199" s="1069" t="str">
        <f t="shared" ca="1" si="18"/>
        <v>N26</v>
      </c>
      <c r="C199" s="1069" t="str">
        <f t="shared" ca="1" si="15"/>
        <v>N</v>
      </c>
      <c r="D199" s="1205" t="s">
        <v>1473</v>
      </c>
      <c r="E199" s="1069" t="s">
        <v>1518</v>
      </c>
      <c r="F199" s="1204"/>
      <c r="G199" s="1204"/>
      <c r="H199" s="1204"/>
      <c r="I199" s="1204"/>
      <c r="J199" s="1204"/>
      <c r="K199" s="1204"/>
      <c r="L199" s="1177" t="s">
        <v>1483</v>
      </c>
      <c r="M199" s="1205">
        <v>106</v>
      </c>
      <c r="N199" s="1205"/>
    </row>
    <row r="200" spans="1:14" x14ac:dyDescent="0.25">
      <c r="A200" s="1218" t="s">
        <v>1400</v>
      </c>
      <c r="B200" s="1069" t="str">
        <f t="shared" ca="1" si="18"/>
        <v>O26</v>
      </c>
      <c r="C200" s="1069" t="str">
        <f t="shared" ca="1" si="15"/>
        <v>O</v>
      </c>
      <c r="D200" s="1205" t="s">
        <v>1473</v>
      </c>
      <c r="E200" s="1069" t="s">
        <v>1518</v>
      </c>
      <c r="F200" s="1204"/>
      <c r="G200" s="1204"/>
      <c r="H200" s="1204"/>
      <c r="I200" s="1204"/>
      <c r="J200" s="1204"/>
      <c r="K200" s="1204"/>
      <c r="L200" s="1177" t="s">
        <v>1400</v>
      </c>
      <c r="M200" s="1205">
        <v>107</v>
      </c>
      <c r="N200" s="1205"/>
    </row>
    <row r="201" spans="1:14" x14ac:dyDescent="0.25">
      <c r="A201" s="1218" t="s">
        <v>795</v>
      </c>
      <c r="B201" s="1069" t="str">
        <f t="shared" ca="1" si="18"/>
        <v>G26</v>
      </c>
      <c r="C201" s="1069" t="str">
        <f t="shared" ca="1" si="15"/>
        <v>G</v>
      </c>
      <c r="D201" s="1205" t="s">
        <v>1473</v>
      </c>
      <c r="E201" s="1069" t="s">
        <v>1518</v>
      </c>
      <c r="F201" s="1204"/>
      <c r="G201" s="1204"/>
      <c r="H201" s="1204"/>
      <c r="I201" s="1204"/>
      <c r="J201" s="1204"/>
      <c r="K201" s="1204"/>
      <c r="L201" s="1177" t="s">
        <v>795</v>
      </c>
      <c r="M201" s="1205">
        <v>108</v>
      </c>
      <c r="N201" s="1205"/>
    </row>
    <row r="202" spans="1:14" x14ac:dyDescent="0.25">
      <c r="A202" s="1218" t="s">
        <v>800</v>
      </c>
      <c r="B202" s="1069" t="str">
        <f t="shared" ca="1" si="18"/>
        <v>H26</v>
      </c>
      <c r="C202" s="1069" t="str">
        <f t="shared" ca="1" si="15"/>
        <v>H</v>
      </c>
      <c r="D202" s="1205" t="s">
        <v>1473</v>
      </c>
      <c r="E202" s="1069" t="s">
        <v>1518</v>
      </c>
      <c r="F202" s="1204"/>
      <c r="G202" s="1204"/>
      <c r="H202" s="1204"/>
      <c r="I202" s="1204"/>
      <c r="J202" s="1204"/>
      <c r="K202" s="1204"/>
      <c r="L202" s="1177" t="s">
        <v>800</v>
      </c>
      <c r="M202" s="1205">
        <v>109</v>
      </c>
      <c r="N202" s="1205"/>
    </row>
    <row r="203" spans="1:14" x14ac:dyDescent="0.25">
      <c r="A203" s="1218" t="s">
        <v>801</v>
      </c>
      <c r="B203" s="1069" t="str">
        <f t="shared" ca="1" si="18"/>
        <v>I26</v>
      </c>
      <c r="C203" s="1069" t="str">
        <f t="shared" ca="1" si="15"/>
        <v>I</v>
      </c>
      <c r="D203" s="1205" t="s">
        <v>1473</v>
      </c>
      <c r="E203" s="1069" t="s">
        <v>1518</v>
      </c>
      <c r="F203" s="1204"/>
      <c r="G203" s="1204"/>
      <c r="H203" s="1204"/>
      <c r="I203" s="1204"/>
      <c r="J203" s="1204"/>
      <c r="K203" s="1204"/>
      <c r="L203" s="1177" t="s">
        <v>801</v>
      </c>
      <c r="M203" s="1205">
        <v>110</v>
      </c>
      <c r="N203" s="1205"/>
    </row>
    <row r="204" spans="1:14" x14ac:dyDescent="0.25">
      <c r="A204" s="1218" t="s">
        <v>204</v>
      </c>
      <c r="B204" s="1069" t="str">
        <f t="shared" ca="1" si="18"/>
        <v>J26</v>
      </c>
      <c r="C204" s="1069" t="str">
        <f t="shared" ca="1" si="15"/>
        <v>J</v>
      </c>
      <c r="D204" s="1205" t="s">
        <v>1473</v>
      </c>
      <c r="E204" s="1069" t="s">
        <v>1518</v>
      </c>
      <c r="F204" s="1204"/>
      <c r="G204" s="1204"/>
      <c r="H204" s="1204"/>
      <c r="I204" s="1204"/>
      <c r="J204" s="1204"/>
      <c r="K204" s="1204"/>
      <c r="L204" s="1177" t="s">
        <v>204</v>
      </c>
      <c r="M204" s="1205">
        <v>111</v>
      </c>
      <c r="N204" s="1205"/>
    </row>
    <row r="205" spans="1:14" x14ac:dyDescent="0.25">
      <c r="A205" s="1215" t="s">
        <v>1279</v>
      </c>
      <c r="B205" s="1069" t="str">
        <f ca="1">_xlfn.IFNA(_xlfn.CONCAT(SUBSTITUTE(ADDRESS(1,MATCH(A205,INDIRECT("'"&amp;E205&amp;"'"&amp;"!A22:Z22"),0),4),1,""),27),"")</f>
        <v>E27</v>
      </c>
      <c r="C205" s="1069" t="str">
        <f t="shared" ca="1" si="15"/>
        <v>E</v>
      </c>
      <c r="D205" s="1205" t="s">
        <v>1473</v>
      </c>
      <c r="E205" s="1069" t="s">
        <v>1518</v>
      </c>
      <c r="F205" s="1204"/>
      <c r="G205" s="1204"/>
      <c r="H205" s="1204"/>
      <c r="I205" s="1204"/>
      <c r="J205" s="1204"/>
      <c r="K205" s="1204"/>
      <c r="L205" s="1177" t="s">
        <v>734</v>
      </c>
      <c r="M205" s="1205">
        <v>112</v>
      </c>
      <c r="N205" s="1205"/>
    </row>
    <row r="206" spans="1:14" x14ac:dyDescent="0.25">
      <c r="A206" s="1216" t="s">
        <v>794</v>
      </c>
      <c r="B206" s="1069" t="str">
        <f t="shared" ref="B206:B215" ca="1" si="19">_xlfn.IFNA(_xlfn.CONCAT(SUBSTITUTE(ADDRESS(1,MATCH(A206,INDIRECT("'"&amp;E206&amp;"'"&amp;"!A22:Z22"),0),4),1,""),27),"")</f>
        <v>F27</v>
      </c>
      <c r="C206" s="1069" t="str">
        <f t="shared" ca="1" si="15"/>
        <v>F</v>
      </c>
      <c r="D206" s="1205" t="s">
        <v>1473</v>
      </c>
      <c r="E206" s="1069" t="s">
        <v>1518</v>
      </c>
      <c r="F206" s="1204"/>
      <c r="G206" s="1204"/>
      <c r="H206" s="1204"/>
      <c r="I206" s="1204"/>
      <c r="J206" s="1204"/>
      <c r="K206" s="1204"/>
      <c r="L206" s="1177" t="s">
        <v>794</v>
      </c>
      <c r="M206" s="1205">
        <v>114</v>
      </c>
      <c r="N206" s="1205"/>
    </row>
    <row r="207" spans="1:14" x14ac:dyDescent="0.25">
      <c r="A207" s="1216" t="s">
        <v>793</v>
      </c>
      <c r="B207" s="1069" t="str">
        <f t="shared" ca="1" si="19"/>
        <v>K27</v>
      </c>
      <c r="C207" s="1069" t="str">
        <f t="shared" ca="1" si="15"/>
        <v>K</v>
      </c>
      <c r="D207" s="1205" t="s">
        <v>1473</v>
      </c>
      <c r="E207" s="1069" t="s">
        <v>1518</v>
      </c>
      <c r="F207" s="1204"/>
      <c r="G207" s="1204"/>
      <c r="H207" s="1204"/>
      <c r="I207" s="1204"/>
      <c r="J207" s="1204"/>
      <c r="K207" s="1204"/>
      <c r="L207" s="1177" t="s">
        <v>793</v>
      </c>
      <c r="M207" s="1205">
        <v>124</v>
      </c>
      <c r="N207" s="1205"/>
    </row>
    <row r="208" spans="1:14" x14ac:dyDescent="0.25">
      <c r="A208" s="1216" t="s">
        <v>1280</v>
      </c>
      <c r="B208" s="1069" t="str">
        <f t="shared" ca="1" si="19"/>
        <v>L27</v>
      </c>
      <c r="C208" s="1069" t="str">
        <f t="shared" ca="1" si="15"/>
        <v>L</v>
      </c>
      <c r="D208" s="1205" t="s">
        <v>1473</v>
      </c>
      <c r="E208" s="1069" t="s">
        <v>1518</v>
      </c>
      <c r="F208" s="1204"/>
      <c r="G208" s="1204"/>
      <c r="H208" s="1204"/>
      <c r="I208" s="1204"/>
      <c r="J208" s="1204"/>
      <c r="K208" s="1204"/>
      <c r="L208" s="1177" t="s">
        <v>1280</v>
      </c>
      <c r="M208" s="1205">
        <v>125</v>
      </c>
      <c r="N208" s="1205"/>
    </row>
    <row r="209" spans="1:14" x14ac:dyDescent="0.25">
      <c r="A209" s="1216" t="s">
        <v>1281</v>
      </c>
      <c r="B209" s="1069" t="str">
        <f t="shared" ca="1" si="19"/>
        <v>M27</v>
      </c>
      <c r="C209" s="1069" t="str">
        <f t="shared" ca="1" si="15"/>
        <v>M</v>
      </c>
      <c r="D209" s="1205" t="s">
        <v>1473</v>
      </c>
      <c r="E209" s="1069" t="s">
        <v>1518</v>
      </c>
      <c r="F209" s="1204"/>
      <c r="G209" s="1204"/>
      <c r="H209" s="1204"/>
      <c r="I209" s="1204"/>
      <c r="J209" s="1204"/>
      <c r="K209" s="1204"/>
      <c r="L209" s="1177" t="s">
        <v>1281</v>
      </c>
      <c r="M209" s="1205">
        <v>126</v>
      </c>
      <c r="N209" s="1205"/>
    </row>
    <row r="210" spans="1:14" x14ac:dyDescent="0.25">
      <c r="A210" s="1216" t="s">
        <v>1282</v>
      </c>
      <c r="B210" s="1069" t="str">
        <f t="shared" ca="1" si="19"/>
        <v>N27</v>
      </c>
      <c r="C210" s="1069" t="str">
        <f t="shared" ca="1" si="15"/>
        <v>N</v>
      </c>
      <c r="D210" s="1205" t="s">
        <v>1473</v>
      </c>
      <c r="E210" s="1069" t="s">
        <v>1518</v>
      </c>
      <c r="F210" s="1204"/>
      <c r="G210" s="1204"/>
      <c r="H210" s="1204"/>
      <c r="I210" s="1204"/>
      <c r="J210" s="1204"/>
      <c r="K210" s="1204"/>
      <c r="L210" s="1177" t="s">
        <v>1483</v>
      </c>
      <c r="M210" s="1205">
        <v>127</v>
      </c>
      <c r="N210" s="1205"/>
    </row>
    <row r="211" spans="1:14" x14ac:dyDescent="0.25">
      <c r="A211" s="1216" t="s">
        <v>1400</v>
      </c>
      <c r="B211" s="1069" t="str">
        <f t="shared" ca="1" si="19"/>
        <v>O27</v>
      </c>
      <c r="C211" s="1069" t="str">
        <f t="shared" ca="1" si="15"/>
        <v>O</v>
      </c>
      <c r="D211" s="1205" t="s">
        <v>1473</v>
      </c>
      <c r="E211" s="1069" t="s">
        <v>1518</v>
      </c>
      <c r="F211" s="1204"/>
      <c r="G211" s="1204"/>
      <c r="H211" s="1204"/>
      <c r="I211" s="1204"/>
      <c r="J211" s="1204"/>
      <c r="K211" s="1204"/>
      <c r="L211" s="1177" t="s">
        <v>1400</v>
      </c>
      <c r="M211" s="1205">
        <v>128</v>
      </c>
      <c r="N211" s="1205"/>
    </row>
    <row r="212" spans="1:14" x14ac:dyDescent="0.25">
      <c r="A212" s="1216" t="s">
        <v>795</v>
      </c>
      <c r="B212" s="1069" t="str">
        <f t="shared" ca="1" si="19"/>
        <v>G27</v>
      </c>
      <c r="C212" s="1069" t="str">
        <f t="shared" ca="1" si="15"/>
        <v>G</v>
      </c>
      <c r="D212" s="1205" t="s">
        <v>1473</v>
      </c>
      <c r="E212" s="1069" t="s">
        <v>1518</v>
      </c>
      <c r="F212" s="1204"/>
      <c r="G212" s="1204"/>
      <c r="H212" s="1204"/>
      <c r="I212" s="1204"/>
      <c r="J212" s="1204"/>
      <c r="K212" s="1204"/>
      <c r="L212" s="1177" t="s">
        <v>795</v>
      </c>
      <c r="M212" s="1205">
        <v>129</v>
      </c>
      <c r="N212" s="1205"/>
    </row>
    <row r="213" spans="1:14" x14ac:dyDescent="0.25">
      <c r="A213" s="1216" t="s">
        <v>800</v>
      </c>
      <c r="B213" s="1069" t="str">
        <f t="shared" ca="1" si="19"/>
        <v>H27</v>
      </c>
      <c r="C213" s="1069" t="str">
        <f t="shared" ca="1" si="15"/>
        <v>H</v>
      </c>
      <c r="D213" s="1205" t="s">
        <v>1473</v>
      </c>
      <c r="E213" s="1069" t="s">
        <v>1518</v>
      </c>
      <c r="F213" s="1204"/>
      <c r="G213" s="1204"/>
      <c r="H213" s="1204"/>
      <c r="I213" s="1204"/>
      <c r="J213" s="1204"/>
      <c r="K213" s="1204"/>
      <c r="L213" s="1177" t="s">
        <v>800</v>
      </c>
      <c r="M213" s="1205">
        <v>130</v>
      </c>
      <c r="N213" s="1205"/>
    </row>
    <row r="214" spans="1:14" x14ac:dyDescent="0.25">
      <c r="A214" s="1216" t="s">
        <v>801</v>
      </c>
      <c r="B214" s="1069" t="str">
        <f t="shared" ca="1" si="19"/>
        <v>I27</v>
      </c>
      <c r="C214" s="1069" t="str">
        <f t="shared" ca="1" si="15"/>
        <v>I</v>
      </c>
      <c r="D214" s="1205" t="s">
        <v>1473</v>
      </c>
      <c r="E214" s="1069" t="s">
        <v>1518</v>
      </c>
      <c r="F214" s="1204"/>
      <c r="G214" s="1204"/>
      <c r="H214" s="1204"/>
      <c r="I214" s="1204"/>
      <c r="J214" s="1204"/>
      <c r="K214" s="1204"/>
      <c r="L214" s="1177" t="s">
        <v>801</v>
      </c>
      <c r="M214" s="1205">
        <v>131</v>
      </c>
      <c r="N214" s="1205"/>
    </row>
    <row r="215" spans="1:14" x14ac:dyDescent="0.25">
      <c r="A215" s="1216" t="s">
        <v>204</v>
      </c>
      <c r="B215" s="1069" t="str">
        <f t="shared" ca="1" si="19"/>
        <v>J27</v>
      </c>
      <c r="C215" s="1069" t="str">
        <f t="shared" ca="1" si="15"/>
        <v>J</v>
      </c>
      <c r="D215" s="1205" t="s">
        <v>1473</v>
      </c>
      <c r="E215" s="1069" t="s">
        <v>1518</v>
      </c>
      <c r="F215" s="1204"/>
      <c r="G215" s="1204"/>
      <c r="H215" s="1204"/>
      <c r="I215" s="1204"/>
      <c r="J215" s="1204"/>
      <c r="K215" s="1204"/>
      <c r="L215" s="1177" t="s">
        <v>204</v>
      </c>
      <c r="M215" s="1205">
        <v>132</v>
      </c>
      <c r="N215" s="1205"/>
    </row>
    <row r="216" spans="1:14" x14ac:dyDescent="0.25">
      <c r="A216" s="1217" t="s">
        <v>1279</v>
      </c>
      <c r="B216" s="1069" t="str">
        <f ca="1">_xlfn.IFNA(_xlfn.CONCAT(SUBSTITUTE(ADDRESS(1,MATCH(A216,INDIRECT("'"&amp;E216&amp;"'"&amp;"!A22:Z22"),0),4),1,""),28),"")</f>
        <v>E28</v>
      </c>
      <c r="C216" s="1069" t="str">
        <f t="shared" ca="1" si="15"/>
        <v>E</v>
      </c>
      <c r="D216" s="1205" t="s">
        <v>1473</v>
      </c>
      <c r="E216" s="1069" t="s">
        <v>1518</v>
      </c>
      <c r="F216" s="1204"/>
      <c r="G216" s="1204"/>
      <c r="H216" s="1204"/>
      <c r="I216" s="1204"/>
      <c r="J216" s="1204"/>
      <c r="K216" s="1204"/>
      <c r="L216" s="1177" t="s">
        <v>734</v>
      </c>
      <c r="M216" s="1205">
        <v>133</v>
      </c>
      <c r="N216" s="1205"/>
    </row>
    <row r="217" spans="1:14" x14ac:dyDescent="0.25">
      <c r="A217" s="1218" t="s">
        <v>794</v>
      </c>
      <c r="B217" s="1069" t="str">
        <f t="shared" ref="B217:B226" ca="1" si="20">_xlfn.IFNA(_xlfn.CONCAT(SUBSTITUTE(ADDRESS(1,MATCH(A217,INDIRECT("'"&amp;E217&amp;"'"&amp;"!A22:Z22"),0),4),1,""),28),"")</f>
        <v>F28</v>
      </c>
      <c r="C217" s="1069" t="str">
        <f t="shared" ca="1" si="15"/>
        <v>F</v>
      </c>
      <c r="D217" s="1205" t="s">
        <v>1473</v>
      </c>
      <c r="E217" s="1069" t="s">
        <v>1518</v>
      </c>
      <c r="F217" s="1204"/>
      <c r="G217" s="1204"/>
      <c r="H217" s="1204"/>
      <c r="I217" s="1204"/>
      <c r="J217" s="1204"/>
      <c r="K217" s="1204"/>
      <c r="L217" s="1177" t="s">
        <v>794</v>
      </c>
      <c r="M217" s="1205">
        <v>135</v>
      </c>
      <c r="N217" s="1205"/>
    </row>
    <row r="218" spans="1:14" x14ac:dyDescent="0.25">
      <c r="A218" s="1218" t="s">
        <v>793</v>
      </c>
      <c r="B218" s="1069" t="str">
        <f t="shared" ca="1" si="20"/>
        <v>K28</v>
      </c>
      <c r="C218" s="1069" t="str">
        <f t="shared" ca="1" si="15"/>
        <v>K</v>
      </c>
      <c r="D218" s="1205" t="s">
        <v>1473</v>
      </c>
      <c r="E218" s="1069" t="s">
        <v>1518</v>
      </c>
      <c r="F218" s="1204"/>
      <c r="G218" s="1204"/>
      <c r="H218" s="1204"/>
      <c r="I218" s="1204"/>
      <c r="J218" s="1204"/>
      <c r="K218" s="1204"/>
      <c r="L218" s="1177" t="s">
        <v>793</v>
      </c>
      <c r="M218" s="1205">
        <v>145</v>
      </c>
      <c r="N218" s="1205"/>
    </row>
    <row r="219" spans="1:14" x14ac:dyDescent="0.25">
      <c r="A219" s="1218" t="s">
        <v>1280</v>
      </c>
      <c r="B219" s="1069" t="str">
        <f t="shared" ca="1" si="20"/>
        <v>L28</v>
      </c>
      <c r="C219" s="1069" t="str">
        <f t="shared" ca="1" si="15"/>
        <v>L</v>
      </c>
      <c r="D219" s="1205" t="s">
        <v>1473</v>
      </c>
      <c r="E219" s="1069" t="s">
        <v>1518</v>
      </c>
      <c r="F219" s="1204"/>
      <c r="G219" s="1204"/>
      <c r="H219" s="1204"/>
      <c r="I219" s="1204"/>
      <c r="J219" s="1204"/>
      <c r="K219" s="1204"/>
      <c r="L219" s="1177" t="s">
        <v>1280</v>
      </c>
      <c r="M219" s="1205">
        <v>146</v>
      </c>
      <c r="N219" s="1205"/>
    </row>
    <row r="220" spans="1:14" x14ac:dyDescent="0.25">
      <c r="A220" s="1218" t="s">
        <v>1281</v>
      </c>
      <c r="B220" s="1069" t="str">
        <f t="shared" ca="1" si="20"/>
        <v>M28</v>
      </c>
      <c r="C220" s="1069" t="str">
        <f t="shared" ca="1" si="15"/>
        <v>M</v>
      </c>
      <c r="D220" s="1205" t="s">
        <v>1473</v>
      </c>
      <c r="E220" s="1069" t="s">
        <v>1518</v>
      </c>
      <c r="F220" s="1204"/>
      <c r="G220" s="1204"/>
      <c r="H220" s="1204"/>
      <c r="I220" s="1204"/>
      <c r="J220" s="1204"/>
      <c r="K220" s="1204"/>
      <c r="L220" s="1177" t="s">
        <v>1281</v>
      </c>
      <c r="M220" s="1205">
        <v>147</v>
      </c>
      <c r="N220" s="1205"/>
    </row>
    <row r="221" spans="1:14" x14ac:dyDescent="0.25">
      <c r="A221" s="1218" t="s">
        <v>1282</v>
      </c>
      <c r="B221" s="1069" t="str">
        <f t="shared" ca="1" si="20"/>
        <v>N28</v>
      </c>
      <c r="C221" s="1069" t="str">
        <f t="shared" ca="1" si="15"/>
        <v>N</v>
      </c>
      <c r="D221" s="1205" t="s">
        <v>1473</v>
      </c>
      <c r="E221" s="1069" t="s">
        <v>1518</v>
      </c>
      <c r="F221" s="1204"/>
      <c r="G221" s="1204"/>
      <c r="H221" s="1204"/>
      <c r="I221" s="1204"/>
      <c r="J221" s="1204"/>
      <c r="K221" s="1204"/>
      <c r="L221" s="1177" t="s">
        <v>1483</v>
      </c>
      <c r="M221" s="1205">
        <v>148</v>
      </c>
      <c r="N221" s="1205"/>
    </row>
    <row r="222" spans="1:14" x14ac:dyDescent="0.25">
      <c r="A222" s="1218" t="s">
        <v>1400</v>
      </c>
      <c r="B222" s="1069" t="str">
        <f t="shared" ca="1" si="20"/>
        <v>O28</v>
      </c>
      <c r="C222" s="1069" t="str">
        <f t="shared" ca="1" si="15"/>
        <v>O</v>
      </c>
      <c r="D222" s="1205" t="s">
        <v>1473</v>
      </c>
      <c r="E222" s="1069" t="s">
        <v>1518</v>
      </c>
      <c r="F222" s="1204"/>
      <c r="G222" s="1204"/>
      <c r="H222" s="1204"/>
      <c r="I222" s="1204"/>
      <c r="J222" s="1204"/>
      <c r="K222" s="1204"/>
      <c r="L222" s="1177" t="s">
        <v>1400</v>
      </c>
      <c r="M222" s="1205">
        <v>149</v>
      </c>
      <c r="N222" s="1205"/>
    </row>
    <row r="223" spans="1:14" x14ac:dyDescent="0.25">
      <c r="A223" s="1218" t="s">
        <v>795</v>
      </c>
      <c r="B223" s="1069" t="str">
        <f t="shared" ca="1" si="20"/>
        <v>G28</v>
      </c>
      <c r="C223" s="1069" t="str">
        <f t="shared" ca="1" si="15"/>
        <v>G</v>
      </c>
      <c r="D223" s="1205" t="s">
        <v>1473</v>
      </c>
      <c r="E223" s="1069" t="s">
        <v>1518</v>
      </c>
      <c r="F223" s="1204"/>
      <c r="G223" s="1204"/>
      <c r="H223" s="1204"/>
      <c r="I223" s="1204"/>
      <c r="J223" s="1204"/>
      <c r="K223" s="1204"/>
      <c r="L223" s="1177" t="s">
        <v>795</v>
      </c>
      <c r="M223" s="1205">
        <v>150</v>
      </c>
      <c r="N223" s="1205"/>
    </row>
    <row r="224" spans="1:14" x14ac:dyDescent="0.25">
      <c r="A224" s="1218" t="s">
        <v>800</v>
      </c>
      <c r="B224" s="1069" t="str">
        <f t="shared" ca="1" si="20"/>
        <v>H28</v>
      </c>
      <c r="C224" s="1069" t="str">
        <f t="shared" ca="1" si="15"/>
        <v>H</v>
      </c>
      <c r="D224" s="1205" t="s">
        <v>1473</v>
      </c>
      <c r="E224" s="1069" t="s">
        <v>1518</v>
      </c>
      <c r="F224" s="1204"/>
      <c r="G224" s="1204"/>
      <c r="H224" s="1204"/>
      <c r="I224" s="1204"/>
      <c r="J224" s="1204"/>
      <c r="K224" s="1204"/>
      <c r="L224" s="1177" t="s">
        <v>800</v>
      </c>
      <c r="M224" s="1205">
        <v>151</v>
      </c>
      <c r="N224" s="1205"/>
    </row>
    <row r="225" spans="1:14" x14ac:dyDescent="0.25">
      <c r="A225" s="1218" t="s">
        <v>801</v>
      </c>
      <c r="B225" s="1069" t="str">
        <f t="shared" ca="1" si="20"/>
        <v>I28</v>
      </c>
      <c r="C225" s="1069" t="str">
        <f t="shared" ca="1" si="15"/>
        <v>I</v>
      </c>
      <c r="D225" s="1205" t="s">
        <v>1473</v>
      </c>
      <c r="E225" s="1069" t="s">
        <v>1518</v>
      </c>
      <c r="F225" s="1204"/>
      <c r="G225" s="1204"/>
      <c r="H225" s="1204"/>
      <c r="I225" s="1204"/>
      <c r="J225" s="1204"/>
      <c r="K225" s="1204"/>
      <c r="L225" s="1177" t="s">
        <v>801</v>
      </c>
      <c r="M225" s="1205">
        <v>152</v>
      </c>
      <c r="N225" s="1205"/>
    </row>
    <row r="226" spans="1:14" x14ac:dyDescent="0.25">
      <c r="A226" s="1218" t="s">
        <v>204</v>
      </c>
      <c r="B226" s="1069" t="str">
        <f t="shared" ca="1" si="20"/>
        <v>J28</v>
      </c>
      <c r="C226" s="1069" t="str">
        <f t="shared" ref="C226:C270" ca="1" si="21">_xlfn.IFNA(SUBSTITUTE(ADDRESS(1,MATCH(A226,INDIRECT("'"&amp;E226&amp;"'"&amp;"!A22:Z22"),0),4),1,""),"")</f>
        <v>J</v>
      </c>
      <c r="D226" s="1205" t="s">
        <v>1473</v>
      </c>
      <c r="E226" s="1069" t="s">
        <v>1518</v>
      </c>
      <c r="F226" s="1204"/>
      <c r="G226" s="1204"/>
      <c r="H226" s="1204"/>
      <c r="I226" s="1204"/>
      <c r="J226" s="1204"/>
      <c r="K226" s="1204"/>
      <c r="L226" s="1177" t="s">
        <v>204</v>
      </c>
      <c r="M226" s="1205">
        <v>153</v>
      </c>
      <c r="N226" s="1205"/>
    </row>
    <row r="227" spans="1:14" x14ac:dyDescent="0.25">
      <c r="A227" s="1215" t="s">
        <v>1279</v>
      </c>
      <c r="B227" s="1069" t="str">
        <f ca="1">_xlfn.IFNA(_xlfn.CONCAT(SUBSTITUTE(ADDRESS(1,MATCH(A227,INDIRECT("'"&amp;E227&amp;"'"&amp;"!A22:Z22"),0),4),1,""),29),"")</f>
        <v>E29</v>
      </c>
      <c r="C227" s="1069" t="str">
        <f t="shared" ca="1" si="21"/>
        <v>E</v>
      </c>
      <c r="D227" s="1205" t="s">
        <v>1473</v>
      </c>
      <c r="E227" s="1069" t="s">
        <v>1518</v>
      </c>
      <c r="F227" s="1204"/>
      <c r="G227" s="1204"/>
      <c r="H227" s="1204"/>
      <c r="I227" s="1204"/>
      <c r="J227" s="1204"/>
      <c r="K227" s="1204"/>
      <c r="L227" s="1177" t="s">
        <v>734</v>
      </c>
      <c r="M227" s="1205">
        <v>154</v>
      </c>
      <c r="N227" s="1205"/>
    </row>
    <row r="228" spans="1:14" x14ac:dyDescent="0.25">
      <c r="A228" s="1216" t="s">
        <v>794</v>
      </c>
      <c r="B228" s="1069" t="str">
        <f t="shared" ref="B228:B237" ca="1" si="22">_xlfn.IFNA(_xlfn.CONCAT(SUBSTITUTE(ADDRESS(1,MATCH(A228,INDIRECT("'"&amp;E228&amp;"'"&amp;"!A22:Z22"),0),4),1,""),29),"")</f>
        <v>F29</v>
      </c>
      <c r="C228" s="1069" t="str">
        <f t="shared" ca="1" si="21"/>
        <v>F</v>
      </c>
      <c r="D228" s="1205" t="s">
        <v>1473</v>
      </c>
      <c r="E228" s="1069" t="s">
        <v>1518</v>
      </c>
      <c r="F228" s="1204"/>
      <c r="G228" s="1204"/>
      <c r="H228" s="1204"/>
      <c r="I228" s="1204"/>
      <c r="J228" s="1204"/>
      <c r="K228" s="1204"/>
      <c r="L228" s="1177" t="s">
        <v>794</v>
      </c>
      <c r="M228" s="1205">
        <v>156</v>
      </c>
      <c r="N228" s="1205"/>
    </row>
    <row r="229" spans="1:14" x14ac:dyDescent="0.25">
      <c r="A229" s="1216" t="s">
        <v>793</v>
      </c>
      <c r="B229" s="1069" t="str">
        <f t="shared" ca="1" si="22"/>
        <v>K29</v>
      </c>
      <c r="C229" s="1069" t="str">
        <f t="shared" ca="1" si="21"/>
        <v>K</v>
      </c>
      <c r="D229" s="1205" t="s">
        <v>1473</v>
      </c>
      <c r="E229" s="1069" t="s">
        <v>1518</v>
      </c>
      <c r="F229" s="1204"/>
      <c r="G229" s="1204"/>
      <c r="H229" s="1204"/>
      <c r="I229" s="1204"/>
      <c r="J229" s="1204"/>
      <c r="K229" s="1204"/>
      <c r="L229" s="1177" t="s">
        <v>793</v>
      </c>
      <c r="M229" s="1205">
        <v>166</v>
      </c>
      <c r="N229" s="1205"/>
    </row>
    <row r="230" spans="1:14" x14ac:dyDescent="0.25">
      <c r="A230" s="1216" t="s">
        <v>1280</v>
      </c>
      <c r="B230" s="1069" t="str">
        <f t="shared" ca="1" si="22"/>
        <v>L29</v>
      </c>
      <c r="C230" s="1069" t="str">
        <f t="shared" ca="1" si="21"/>
        <v>L</v>
      </c>
      <c r="D230" s="1205" t="s">
        <v>1473</v>
      </c>
      <c r="E230" s="1069" t="s">
        <v>1518</v>
      </c>
      <c r="F230" s="1204"/>
      <c r="G230" s="1204"/>
      <c r="H230" s="1204"/>
      <c r="I230" s="1204"/>
      <c r="J230" s="1204"/>
      <c r="K230" s="1204"/>
      <c r="L230" s="1177" t="s">
        <v>1280</v>
      </c>
      <c r="M230" s="1205">
        <v>167</v>
      </c>
      <c r="N230" s="1205"/>
    </row>
    <row r="231" spans="1:14" x14ac:dyDescent="0.25">
      <c r="A231" s="1216" t="s">
        <v>1281</v>
      </c>
      <c r="B231" s="1069" t="str">
        <f t="shared" ca="1" si="22"/>
        <v>M29</v>
      </c>
      <c r="C231" s="1069" t="str">
        <f t="shared" ca="1" si="21"/>
        <v>M</v>
      </c>
      <c r="D231" s="1205" t="s">
        <v>1473</v>
      </c>
      <c r="E231" s="1069" t="s">
        <v>1518</v>
      </c>
      <c r="F231" s="1204"/>
      <c r="G231" s="1204"/>
      <c r="H231" s="1204"/>
      <c r="I231" s="1204"/>
      <c r="J231" s="1204"/>
      <c r="K231" s="1204"/>
      <c r="L231" s="1177" t="s">
        <v>1281</v>
      </c>
      <c r="M231" s="1205">
        <v>168</v>
      </c>
      <c r="N231" s="1205"/>
    </row>
    <row r="232" spans="1:14" x14ac:dyDescent="0.25">
      <c r="A232" s="1216" t="s">
        <v>1282</v>
      </c>
      <c r="B232" s="1069" t="str">
        <f t="shared" ca="1" si="22"/>
        <v>N29</v>
      </c>
      <c r="C232" s="1069" t="str">
        <f t="shared" ca="1" si="21"/>
        <v>N</v>
      </c>
      <c r="D232" s="1205" t="s">
        <v>1473</v>
      </c>
      <c r="E232" s="1069" t="s">
        <v>1518</v>
      </c>
      <c r="F232" s="1204"/>
      <c r="G232" s="1204"/>
      <c r="H232" s="1204"/>
      <c r="I232" s="1204"/>
      <c r="J232" s="1204"/>
      <c r="K232" s="1204"/>
      <c r="L232" s="1177" t="s">
        <v>1483</v>
      </c>
      <c r="M232" s="1205">
        <v>169</v>
      </c>
      <c r="N232" s="1205"/>
    </row>
    <row r="233" spans="1:14" x14ac:dyDescent="0.25">
      <c r="A233" s="1216" t="s">
        <v>1400</v>
      </c>
      <c r="B233" s="1069" t="str">
        <f t="shared" ca="1" si="22"/>
        <v>O29</v>
      </c>
      <c r="C233" s="1069" t="str">
        <f t="shared" ca="1" si="21"/>
        <v>O</v>
      </c>
      <c r="D233" s="1205" t="s">
        <v>1473</v>
      </c>
      <c r="E233" s="1069" t="s">
        <v>1518</v>
      </c>
      <c r="F233" s="1204"/>
      <c r="G233" s="1204"/>
      <c r="H233" s="1204"/>
      <c r="I233" s="1204"/>
      <c r="J233" s="1204"/>
      <c r="K233" s="1204"/>
      <c r="L233" s="1177" t="s">
        <v>1400</v>
      </c>
      <c r="M233" s="1205">
        <v>170</v>
      </c>
      <c r="N233" s="1205"/>
    </row>
    <row r="234" spans="1:14" x14ac:dyDescent="0.25">
      <c r="A234" s="1216" t="s">
        <v>795</v>
      </c>
      <c r="B234" s="1069" t="str">
        <f t="shared" ca="1" si="22"/>
        <v>G29</v>
      </c>
      <c r="C234" s="1069" t="str">
        <f t="shared" ca="1" si="21"/>
        <v>G</v>
      </c>
      <c r="D234" s="1205" t="s">
        <v>1473</v>
      </c>
      <c r="E234" s="1069" t="s">
        <v>1518</v>
      </c>
      <c r="F234" s="1204"/>
      <c r="G234" s="1204"/>
      <c r="H234" s="1204"/>
      <c r="I234" s="1204"/>
      <c r="J234" s="1204"/>
      <c r="K234" s="1204"/>
      <c r="L234" s="1177" t="s">
        <v>795</v>
      </c>
      <c r="M234" s="1205">
        <v>171</v>
      </c>
      <c r="N234" s="1205"/>
    </row>
    <row r="235" spans="1:14" x14ac:dyDescent="0.25">
      <c r="A235" s="1216" t="s">
        <v>800</v>
      </c>
      <c r="B235" s="1069" t="str">
        <f t="shared" ca="1" si="22"/>
        <v>H29</v>
      </c>
      <c r="C235" s="1069" t="str">
        <f t="shared" ca="1" si="21"/>
        <v>H</v>
      </c>
      <c r="D235" s="1205" t="s">
        <v>1473</v>
      </c>
      <c r="E235" s="1069" t="s">
        <v>1518</v>
      </c>
      <c r="F235" s="1204"/>
      <c r="G235" s="1204"/>
      <c r="H235" s="1204"/>
      <c r="I235" s="1204"/>
      <c r="J235" s="1204"/>
      <c r="K235" s="1204"/>
      <c r="L235" s="1177" t="s">
        <v>800</v>
      </c>
      <c r="M235" s="1205">
        <v>172</v>
      </c>
      <c r="N235" s="1205"/>
    </row>
    <row r="236" spans="1:14" x14ac:dyDescent="0.25">
      <c r="A236" s="1216" t="s">
        <v>801</v>
      </c>
      <c r="B236" s="1069" t="str">
        <f t="shared" ca="1" si="22"/>
        <v>I29</v>
      </c>
      <c r="C236" s="1069" t="str">
        <f t="shared" ca="1" si="21"/>
        <v>I</v>
      </c>
      <c r="D236" s="1205" t="s">
        <v>1473</v>
      </c>
      <c r="E236" s="1069" t="s">
        <v>1518</v>
      </c>
      <c r="F236" s="1204"/>
      <c r="G236" s="1204"/>
      <c r="H236" s="1204"/>
      <c r="I236" s="1204"/>
      <c r="J236" s="1204"/>
      <c r="K236" s="1204"/>
      <c r="L236" s="1177" t="s">
        <v>801</v>
      </c>
      <c r="M236" s="1205">
        <v>173</v>
      </c>
      <c r="N236" s="1205"/>
    </row>
    <row r="237" spans="1:14" x14ac:dyDescent="0.25">
      <c r="A237" s="1216" t="s">
        <v>204</v>
      </c>
      <c r="B237" s="1069" t="str">
        <f t="shared" ca="1" si="22"/>
        <v>J29</v>
      </c>
      <c r="C237" s="1069" t="str">
        <f t="shared" ca="1" si="21"/>
        <v>J</v>
      </c>
      <c r="D237" s="1205" t="s">
        <v>1473</v>
      </c>
      <c r="E237" s="1069" t="s">
        <v>1518</v>
      </c>
      <c r="F237" s="1204"/>
      <c r="G237" s="1204"/>
      <c r="H237" s="1204"/>
      <c r="I237" s="1204"/>
      <c r="J237" s="1204"/>
      <c r="K237" s="1204"/>
      <c r="L237" s="1177" t="s">
        <v>204</v>
      </c>
      <c r="M237" s="1205">
        <v>174</v>
      </c>
      <c r="N237" s="1205"/>
    </row>
    <row r="238" spans="1:14" x14ac:dyDescent="0.25">
      <c r="A238" s="1217" t="s">
        <v>1279</v>
      </c>
      <c r="B238" s="1069" t="str">
        <f ca="1">_xlfn.IFNA(_xlfn.CONCAT(SUBSTITUTE(ADDRESS(1,MATCH(A238,INDIRECT("'"&amp;E238&amp;"'"&amp;"!A22:Z22"),0),4),1,""),30),"")</f>
        <v>E30</v>
      </c>
      <c r="C238" s="1069" t="str">
        <f t="shared" ca="1" si="21"/>
        <v>E</v>
      </c>
      <c r="D238" s="1205" t="s">
        <v>1473</v>
      </c>
      <c r="E238" s="1069" t="s">
        <v>1518</v>
      </c>
      <c r="F238" s="1204"/>
      <c r="G238" s="1204"/>
      <c r="H238" s="1204"/>
      <c r="I238" s="1204"/>
      <c r="J238" s="1204"/>
      <c r="K238" s="1204"/>
      <c r="L238" s="1177" t="s">
        <v>734</v>
      </c>
      <c r="M238" s="1205">
        <v>175</v>
      </c>
      <c r="N238" s="1205"/>
    </row>
    <row r="239" spans="1:14" x14ac:dyDescent="0.25">
      <c r="A239" s="1218" t="s">
        <v>794</v>
      </c>
      <c r="B239" s="1069" t="str">
        <f t="shared" ref="B239:B248" ca="1" si="23">_xlfn.IFNA(_xlfn.CONCAT(SUBSTITUTE(ADDRESS(1,MATCH(A239,INDIRECT("'"&amp;E239&amp;"'"&amp;"!A22:Z22"),0),4),1,""),30),"")</f>
        <v>F30</v>
      </c>
      <c r="C239" s="1069" t="str">
        <f t="shared" ca="1" si="21"/>
        <v>F</v>
      </c>
      <c r="D239" s="1205" t="s">
        <v>1473</v>
      </c>
      <c r="E239" s="1069" t="s">
        <v>1518</v>
      </c>
      <c r="F239" s="1204"/>
      <c r="G239" s="1204"/>
      <c r="H239" s="1204"/>
      <c r="I239" s="1204"/>
      <c r="J239" s="1204"/>
      <c r="K239" s="1204"/>
      <c r="L239" s="1177" t="s">
        <v>794</v>
      </c>
      <c r="M239" s="1205">
        <v>177</v>
      </c>
      <c r="N239" s="1205"/>
    </row>
    <row r="240" spans="1:14" x14ac:dyDescent="0.25">
      <c r="A240" s="1218" t="s">
        <v>793</v>
      </c>
      <c r="B240" s="1069" t="str">
        <f t="shared" ca="1" si="23"/>
        <v>K30</v>
      </c>
      <c r="C240" s="1069" t="str">
        <f t="shared" ca="1" si="21"/>
        <v>K</v>
      </c>
      <c r="D240" s="1205" t="s">
        <v>1473</v>
      </c>
      <c r="E240" s="1069" t="s">
        <v>1518</v>
      </c>
      <c r="F240" s="1204"/>
      <c r="G240" s="1204"/>
      <c r="H240" s="1204"/>
      <c r="I240" s="1204"/>
      <c r="J240" s="1204"/>
      <c r="K240" s="1204"/>
      <c r="L240" s="1177" t="s">
        <v>793</v>
      </c>
      <c r="M240" s="1205">
        <v>187</v>
      </c>
      <c r="N240" s="1205"/>
    </row>
    <row r="241" spans="1:14" x14ac:dyDescent="0.25">
      <c r="A241" s="1218" t="s">
        <v>1280</v>
      </c>
      <c r="B241" s="1069" t="str">
        <f t="shared" ca="1" si="23"/>
        <v>L30</v>
      </c>
      <c r="C241" s="1069" t="str">
        <f t="shared" ca="1" si="21"/>
        <v>L</v>
      </c>
      <c r="D241" s="1205" t="s">
        <v>1473</v>
      </c>
      <c r="E241" s="1069" t="s">
        <v>1518</v>
      </c>
      <c r="F241" s="1204"/>
      <c r="G241" s="1204"/>
      <c r="H241" s="1204"/>
      <c r="I241" s="1204"/>
      <c r="J241" s="1204"/>
      <c r="K241" s="1204"/>
      <c r="L241" s="1177" t="s">
        <v>1280</v>
      </c>
      <c r="M241" s="1205">
        <v>188</v>
      </c>
      <c r="N241" s="1205"/>
    </row>
    <row r="242" spans="1:14" x14ac:dyDescent="0.25">
      <c r="A242" s="1218" t="s">
        <v>1281</v>
      </c>
      <c r="B242" s="1069" t="str">
        <f t="shared" ca="1" si="23"/>
        <v>M30</v>
      </c>
      <c r="C242" s="1069" t="str">
        <f t="shared" ca="1" si="21"/>
        <v>M</v>
      </c>
      <c r="D242" s="1205" t="s">
        <v>1473</v>
      </c>
      <c r="E242" s="1069" t="s">
        <v>1518</v>
      </c>
      <c r="F242" s="1204"/>
      <c r="G242" s="1204"/>
      <c r="H242" s="1204"/>
      <c r="I242" s="1204"/>
      <c r="J242" s="1204"/>
      <c r="K242" s="1204"/>
      <c r="L242" s="1177" t="s">
        <v>1281</v>
      </c>
      <c r="M242" s="1205">
        <v>189</v>
      </c>
      <c r="N242" s="1205"/>
    </row>
    <row r="243" spans="1:14" x14ac:dyDescent="0.25">
      <c r="A243" s="1218" t="s">
        <v>1282</v>
      </c>
      <c r="B243" s="1069" t="str">
        <f t="shared" ca="1" si="23"/>
        <v>N30</v>
      </c>
      <c r="C243" s="1069" t="str">
        <f t="shared" ca="1" si="21"/>
        <v>N</v>
      </c>
      <c r="D243" s="1205" t="s">
        <v>1473</v>
      </c>
      <c r="E243" s="1069" t="s">
        <v>1518</v>
      </c>
      <c r="F243" s="1204"/>
      <c r="G243" s="1204"/>
      <c r="H243" s="1204"/>
      <c r="I243" s="1204"/>
      <c r="J243" s="1204"/>
      <c r="K243" s="1204"/>
      <c r="L243" s="1177" t="s">
        <v>1483</v>
      </c>
      <c r="M243" s="1205">
        <v>190</v>
      </c>
      <c r="N243" s="1205"/>
    </row>
    <row r="244" spans="1:14" x14ac:dyDescent="0.25">
      <c r="A244" s="1218" t="s">
        <v>1400</v>
      </c>
      <c r="B244" s="1069" t="str">
        <f t="shared" ca="1" si="23"/>
        <v>O30</v>
      </c>
      <c r="C244" s="1069" t="str">
        <f t="shared" ca="1" si="21"/>
        <v>O</v>
      </c>
      <c r="D244" s="1205" t="s">
        <v>1473</v>
      </c>
      <c r="E244" s="1069" t="s">
        <v>1518</v>
      </c>
      <c r="F244" s="1204"/>
      <c r="G244" s="1204"/>
      <c r="H244" s="1204"/>
      <c r="I244" s="1204"/>
      <c r="J244" s="1204"/>
      <c r="K244" s="1204"/>
      <c r="L244" s="1177" t="s">
        <v>1400</v>
      </c>
      <c r="M244" s="1205">
        <v>191</v>
      </c>
      <c r="N244" s="1205"/>
    </row>
    <row r="245" spans="1:14" x14ac:dyDescent="0.25">
      <c r="A245" s="1218" t="s">
        <v>795</v>
      </c>
      <c r="B245" s="1069" t="str">
        <f t="shared" ca="1" si="23"/>
        <v>G30</v>
      </c>
      <c r="C245" s="1069" t="str">
        <f t="shared" ca="1" si="21"/>
        <v>G</v>
      </c>
      <c r="D245" s="1205" t="s">
        <v>1473</v>
      </c>
      <c r="E245" s="1069" t="s">
        <v>1518</v>
      </c>
      <c r="F245" s="1204"/>
      <c r="G245" s="1204"/>
      <c r="H245" s="1204"/>
      <c r="I245" s="1204"/>
      <c r="J245" s="1204"/>
      <c r="K245" s="1204"/>
      <c r="L245" s="1177" t="s">
        <v>795</v>
      </c>
      <c r="M245" s="1205">
        <v>192</v>
      </c>
      <c r="N245" s="1205"/>
    </row>
    <row r="246" spans="1:14" x14ac:dyDescent="0.25">
      <c r="A246" s="1218" t="s">
        <v>800</v>
      </c>
      <c r="B246" s="1069" t="str">
        <f t="shared" ca="1" si="23"/>
        <v>H30</v>
      </c>
      <c r="C246" s="1069" t="str">
        <f t="shared" ca="1" si="21"/>
        <v>H</v>
      </c>
      <c r="D246" s="1205" t="s">
        <v>1473</v>
      </c>
      <c r="E246" s="1069" t="s">
        <v>1518</v>
      </c>
      <c r="F246" s="1204"/>
      <c r="G246" s="1204"/>
      <c r="H246" s="1204"/>
      <c r="I246" s="1204"/>
      <c r="J246" s="1204"/>
      <c r="K246" s="1204"/>
      <c r="L246" s="1177" t="s">
        <v>800</v>
      </c>
      <c r="M246" s="1205">
        <v>193</v>
      </c>
      <c r="N246" s="1205"/>
    </row>
    <row r="247" spans="1:14" x14ac:dyDescent="0.25">
      <c r="A247" s="1218" t="s">
        <v>801</v>
      </c>
      <c r="B247" s="1069" t="str">
        <f t="shared" ca="1" si="23"/>
        <v>I30</v>
      </c>
      <c r="C247" s="1069" t="str">
        <f t="shared" ca="1" si="21"/>
        <v>I</v>
      </c>
      <c r="D247" s="1205" t="s">
        <v>1473</v>
      </c>
      <c r="E247" s="1069" t="s">
        <v>1518</v>
      </c>
      <c r="F247" s="1204"/>
      <c r="G247" s="1204"/>
      <c r="H247" s="1204"/>
      <c r="I247" s="1204"/>
      <c r="J247" s="1204"/>
      <c r="K247" s="1204"/>
      <c r="L247" s="1177" t="s">
        <v>801</v>
      </c>
      <c r="M247" s="1205">
        <v>194</v>
      </c>
      <c r="N247" s="1205"/>
    </row>
    <row r="248" spans="1:14" x14ac:dyDescent="0.25">
      <c r="A248" s="1218" t="s">
        <v>204</v>
      </c>
      <c r="B248" s="1069" t="str">
        <f t="shared" ca="1" si="23"/>
        <v>J30</v>
      </c>
      <c r="C248" s="1069" t="str">
        <f t="shared" ca="1" si="21"/>
        <v>J</v>
      </c>
      <c r="D248" s="1205" t="s">
        <v>1473</v>
      </c>
      <c r="E248" s="1069" t="s">
        <v>1518</v>
      </c>
      <c r="F248" s="1204"/>
      <c r="G248" s="1204"/>
      <c r="H248" s="1204"/>
      <c r="I248" s="1204"/>
      <c r="J248" s="1204"/>
      <c r="K248" s="1204"/>
      <c r="L248" s="1177" t="s">
        <v>204</v>
      </c>
      <c r="M248" s="1205">
        <v>195</v>
      </c>
      <c r="N248" s="1205"/>
    </row>
    <row r="249" spans="1:14" x14ac:dyDescent="0.25">
      <c r="A249" s="1215" t="s">
        <v>1279</v>
      </c>
      <c r="B249" s="1069" t="str">
        <f ca="1">_xlfn.IFNA(_xlfn.CONCAT(SUBSTITUTE(ADDRESS(1,MATCH(A249,INDIRECT("'"&amp;E249&amp;"'"&amp;"!A22:Z22"),0),4),1,""),31),"")</f>
        <v>E31</v>
      </c>
      <c r="C249" s="1069" t="str">
        <f t="shared" ca="1" si="21"/>
        <v>E</v>
      </c>
      <c r="D249" s="1205" t="s">
        <v>1473</v>
      </c>
      <c r="E249" s="1069" t="s">
        <v>1518</v>
      </c>
      <c r="F249" s="1204"/>
      <c r="G249" s="1204"/>
      <c r="H249" s="1204"/>
      <c r="I249" s="1204"/>
      <c r="J249" s="1204"/>
      <c r="K249" s="1204"/>
      <c r="L249" s="1177" t="s">
        <v>734</v>
      </c>
      <c r="M249" s="1205">
        <v>196</v>
      </c>
      <c r="N249" s="1205"/>
    </row>
    <row r="250" spans="1:14" x14ac:dyDescent="0.25">
      <c r="A250" s="1216" t="s">
        <v>794</v>
      </c>
      <c r="B250" s="1069" t="str">
        <f t="shared" ref="B250:B259" ca="1" si="24">_xlfn.IFNA(_xlfn.CONCAT(SUBSTITUTE(ADDRESS(1,MATCH(A250,INDIRECT("'"&amp;E250&amp;"'"&amp;"!A22:Z22"),0),4),1,""),31),"")</f>
        <v>F31</v>
      </c>
      <c r="C250" s="1069" t="str">
        <f t="shared" ca="1" si="21"/>
        <v>F</v>
      </c>
      <c r="D250" s="1205" t="s">
        <v>1473</v>
      </c>
      <c r="E250" s="1069" t="s">
        <v>1518</v>
      </c>
      <c r="F250" s="1204"/>
      <c r="G250" s="1204"/>
      <c r="H250" s="1204"/>
      <c r="I250" s="1204"/>
      <c r="J250" s="1204"/>
      <c r="K250" s="1204"/>
      <c r="L250" s="1177" t="s">
        <v>794</v>
      </c>
      <c r="M250" s="1205">
        <v>198</v>
      </c>
      <c r="N250" s="1205"/>
    </row>
    <row r="251" spans="1:14" x14ac:dyDescent="0.25">
      <c r="A251" s="1216" t="s">
        <v>793</v>
      </c>
      <c r="B251" s="1069" t="str">
        <f t="shared" ca="1" si="24"/>
        <v>K31</v>
      </c>
      <c r="C251" s="1069" t="str">
        <f t="shared" ca="1" si="21"/>
        <v>K</v>
      </c>
      <c r="D251" s="1205" t="s">
        <v>1473</v>
      </c>
      <c r="E251" s="1069" t="s">
        <v>1518</v>
      </c>
      <c r="F251" s="1204"/>
      <c r="G251" s="1204"/>
      <c r="H251" s="1204"/>
      <c r="I251" s="1204"/>
      <c r="J251" s="1204"/>
      <c r="K251" s="1204"/>
      <c r="L251" s="1177" t="s">
        <v>793</v>
      </c>
      <c r="M251" s="1205">
        <v>208</v>
      </c>
      <c r="N251" s="1205"/>
    </row>
    <row r="252" spans="1:14" x14ac:dyDescent="0.25">
      <c r="A252" s="1216" t="s">
        <v>1280</v>
      </c>
      <c r="B252" s="1069" t="str">
        <f t="shared" ca="1" si="24"/>
        <v>L31</v>
      </c>
      <c r="C252" s="1069" t="str">
        <f t="shared" ca="1" si="21"/>
        <v>L</v>
      </c>
      <c r="D252" s="1205" t="s">
        <v>1473</v>
      </c>
      <c r="E252" s="1069" t="s">
        <v>1518</v>
      </c>
      <c r="F252" s="1204"/>
      <c r="G252" s="1204"/>
      <c r="H252" s="1204"/>
      <c r="I252" s="1204"/>
      <c r="J252" s="1204"/>
      <c r="K252" s="1204"/>
      <c r="L252" s="1177" t="s">
        <v>1280</v>
      </c>
      <c r="M252" s="1205">
        <v>209</v>
      </c>
      <c r="N252" s="1205"/>
    </row>
    <row r="253" spans="1:14" x14ac:dyDescent="0.25">
      <c r="A253" s="1216" t="s">
        <v>1281</v>
      </c>
      <c r="B253" s="1069" t="str">
        <f t="shared" ca="1" si="24"/>
        <v>M31</v>
      </c>
      <c r="C253" s="1069" t="str">
        <f t="shared" ca="1" si="21"/>
        <v>M</v>
      </c>
      <c r="D253" s="1205" t="s">
        <v>1473</v>
      </c>
      <c r="E253" s="1069" t="s">
        <v>1518</v>
      </c>
      <c r="F253" s="1204"/>
      <c r="G253" s="1204"/>
      <c r="H253" s="1204"/>
      <c r="I253" s="1204"/>
      <c r="J253" s="1204"/>
      <c r="K253" s="1204"/>
      <c r="L253" s="1177" t="s">
        <v>1281</v>
      </c>
      <c r="M253" s="1205">
        <v>210</v>
      </c>
      <c r="N253" s="1205"/>
    </row>
    <row r="254" spans="1:14" x14ac:dyDescent="0.25">
      <c r="A254" s="1216" t="s">
        <v>1282</v>
      </c>
      <c r="B254" s="1069" t="str">
        <f t="shared" ca="1" si="24"/>
        <v>N31</v>
      </c>
      <c r="C254" s="1069" t="str">
        <f t="shared" ca="1" si="21"/>
        <v>N</v>
      </c>
      <c r="D254" s="1205" t="s">
        <v>1473</v>
      </c>
      <c r="E254" s="1069" t="s">
        <v>1518</v>
      </c>
      <c r="F254" s="1204"/>
      <c r="G254" s="1204"/>
      <c r="H254" s="1204"/>
      <c r="I254" s="1204"/>
      <c r="J254" s="1204"/>
      <c r="K254" s="1204"/>
      <c r="L254" s="1177" t="s">
        <v>1483</v>
      </c>
      <c r="M254" s="1205">
        <v>211</v>
      </c>
      <c r="N254" s="1205"/>
    </row>
    <row r="255" spans="1:14" x14ac:dyDescent="0.25">
      <c r="A255" s="1216" t="s">
        <v>1400</v>
      </c>
      <c r="B255" s="1069" t="str">
        <f t="shared" ca="1" si="24"/>
        <v>O31</v>
      </c>
      <c r="C255" s="1069" t="str">
        <f t="shared" ca="1" si="21"/>
        <v>O</v>
      </c>
      <c r="D255" s="1205" t="s">
        <v>1473</v>
      </c>
      <c r="E255" s="1069" t="s">
        <v>1518</v>
      </c>
      <c r="F255" s="1204"/>
      <c r="G255" s="1204"/>
      <c r="H255" s="1204"/>
      <c r="I255" s="1204"/>
      <c r="J255" s="1204"/>
      <c r="K255" s="1204"/>
      <c r="L255" s="1177" t="s">
        <v>1400</v>
      </c>
      <c r="M255" s="1205">
        <v>212</v>
      </c>
      <c r="N255" s="1205"/>
    </row>
    <row r="256" spans="1:14" x14ac:dyDescent="0.25">
      <c r="A256" s="1216" t="s">
        <v>795</v>
      </c>
      <c r="B256" s="1069" t="str">
        <f t="shared" ca="1" si="24"/>
        <v>G31</v>
      </c>
      <c r="C256" s="1069" t="str">
        <f t="shared" ca="1" si="21"/>
        <v>G</v>
      </c>
      <c r="D256" s="1205" t="s">
        <v>1473</v>
      </c>
      <c r="E256" s="1069" t="s">
        <v>1518</v>
      </c>
      <c r="F256" s="1204"/>
      <c r="G256" s="1204"/>
      <c r="H256" s="1204"/>
      <c r="I256" s="1204"/>
      <c r="J256" s="1204"/>
      <c r="K256" s="1204"/>
      <c r="L256" s="1177" t="s">
        <v>795</v>
      </c>
      <c r="M256" s="1205">
        <v>213</v>
      </c>
      <c r="N256" s="1205"/>
    </row>
    <row r="257" spans="1:14" x14ac:dyDescent="0.25">
      <c r="A257" s="1216" t="s">
        <v>800</v>
      </c>
      <c r="B257" s="1069" t="str">
        <f t="shared" ca="1" si="24"/>
        <v>H31</v>
      </c>
      <c r="C257" s="1069" t="str">
        <f t="shared" ca="1" si="21"/>
        <v>H</v>
      </c>
      <c r="D257" s="1205" t="s">
        <v>1473</v>
      </c>
      <c r="E257" s="1069" t="s">
        <v>1518</v>
      </c>
      <c r="F257" s="1204"/>
      <c r="G257" s="1204"/>
      <c r="H257" s="1204"/>
      <c r="I257" s="1204"/>
      <c r="J257" s="1204"/>
      <c r="K257" s="1204"/>
      <c r="L257" s="1177" t="s">
        <v>800</v>
      </c>
      <c r="M257" s="1205">
        <v>214</v>
      </c>
      <c r="N257" s="1205"/>
    </row>
    <row r="258" spans="1:14" x14ac:dyDescent="0.25">
      <c r="A258" s="1216" t="s">
        <v>801</v>
      </c>
      <c r="B258" s="1069" t="str">
        <f t="shared" ca="1" si="24"/>
        <v>I31</v>
      </c>
      <c r="C258" s="1069" t="str">
        <f t="shared" ca="1" si="21"/>
        <v>I</v>
      </c>
      <c r="D258" s="1205" t="s">
        <v>1473</v>
      </c>
      <c r="E258" s="1069" t="s">
        <v>1518</v>
      </c>
      <c r="F258" s="1204"/>
      <c r="G258" s="1204"/>
      <c r="H258" s="1204"/>
      <c r="I258" s="1204"/>
      <c r="J258" s="1204"/>
      <c r="K258" s="1204"/>
      <c r="L258" s="1177" t="s">
        <v>801</v>
      </c>
      <c r="M258" s="1205">
        <v>215</v>
      </c>
      <c r="N258" s="1205"/>
    </row>
    <row r="259" spans="1:14" x14ac:dyDescent="0.25">
      <c r="A259" s="1216" t="s">
        <v>204</v>
      </c>
      <c r="B259" s="1069" t="str">
        <f t="shared" ca="1" si="24"/>
        <v>J31</v>
      </c>
      <c r="C259" s="1069" t="str">
        <f t="shared" ca="1" si="21"/>
        <v>J</v>
      </c>
      <c r="D259" s="1205" t="s">
        <v>1473</v>
      </c>
      <c r="E259" s="1069" t="s">
        <v>1518</v>
      </c>
      <c r="F259" s="1204"/>
      <c r="G259" s="1204"/>
      <c r="H259" s="1204"/>
      <c r="I259" s="1204"/>
      <c r="J259" s="1204"/>
      <c r="K259" s="1204"/>
      <c r="L259" s="1177" t="s">
        <v>204</v>
      </c>
      <c r="M259" s="1205">
        <v>216</v>
      </c>
      <c r="N259" s="1205"/>
    </row>
    <row r="260" spans="1:14" x14ac:dyDescent="0.25">
      <c r="A260" s="1217" t="s">
        <v>1279</v>
      </c>
      <c r="B260" s="1069" t="str">
        <f ca="1">_xlfn.IFNA(_xlfn.CONCAT(SUBSTITUTE(ADDRESS(1,MATCH(A260,INDIRECT("'"&amp;E260&amp;"'"&amp;"!A22:Z22"),0),4),1,""),32),"")</f>
        <v>E32</v>
      </c>
      <c r="C260" s="1069" t="str">
        <f t="shared" ca="1" si="21"/>
        <v>E</v>
      </c>
      <c r="D260" s="1205" t="s">
        <v>1473</v>
      </c>
      <c r="E260" s="1069" t="s">
        <v>1518</v>
      </c>
      <c r="F260" s="1204"/>
      <c r="G260" s="1204"/>
      <c r="H260" s="1204"/>
      <c r="I260" s="1204"/>
      <c r="J260" s="1204"/>
      <c r="K260" s="1204"/>
      <c r="L260" s="1177" t="s">
        <v>734</v>
      </c>
      <c r="M260" s="1205">
        <v>217</v>
      </c>
      <c r="N260" s="1205"/>
    </row>
    <row r="261" spans="1:14" x14ac:dyDescent="0.25">
      <c r="A261" s="1218" t="s">
        <v>794</v>
      </c>
      <c r="B261" s="1069" t="str">
        <f t="shared" ref="B261:B270" ca="1" si="25">_xlfn.IFNA(_xlfn.CONCAT(SUBSTITUTE(ADDRESS(1,MATCH(A261,INDIRECT("'"&amp;E261&amp;"'"&amp;"!A22:Z22"),0),4),1,""),32),"")</f>
        <v>F32</v>
      </c>
      <c r="C261" s="1069" t="str">
        <f t="shared" ca="1" si="21"/>
        <v>F</v>
      </c>
      <c r="D261" s="1205" t="s">
        <v>1473</v>
      </c>
      <c r="E261" s="1069" t="s">
        <v>1518</v>
      </c>
      <c r="F261" s="1204"/>
      <c r="G261" s="1204"/>
      <c r="H261" s="1204"/>
      <c r="I261" s="1204"/>
      <c r="J261" s="1204"/>
      <c r="K261" s="1204"/>
      <c r="L261" s="1177" t="s">
        <v>794</v>
      </c>
      <c r="M261" s="1205">
        <v>219</v>
      </c>
      <c r="N261" s="1205"/>
    </row>
    <row r="262" spans="1:14" x14ac:dyDescent="0.25">
      <c r="A262" s="1218" t="s">
        <v>793</v>
      </c>
      <c r="B262" s="1069" t="str">
        <f t="shared" ca="1" si="25"/>
        <v>K32</v>
      </c>
      <c r="C262" s="1069" t="str">
        <f t="shared" ca="1" si="21"/>
        <v>K</v>
      </c>
      <c r="D262" s="1205" t="s">
        <v>1473</v>
      </c>
      <c r="E262" s="1069" t="s">
        <v>1518</v>
      </c>
      <c r="F262" s="1204"/>
      <c r="G262" s="1204"/>
      <c r="H262" s="1204"/>
      <c r="I262" s="1204"/>
      <c r="J262" s="1204"/>
      <c r="K262" s="1204"/>
      <c r="L262" s="1177" t="s">
        <v>793</v>
      </c>
      <c r="M262" s="1205">
        <v>229</v>
      </c>
      <c r="N262" s="1205"/>
    </row>
    <row r="263" spans="1:14" x14ac:dyDescent="0.25">
      <c r="A263" s="1218" t="s">
        <v>1280</v>
      </c>
      <c r="B263" s="1069" t="str">
        <f t="shared" ca="1" si="25"/>
        <v>L32</v>
      </c>
      <c r="C263" s="1069" t="str">
        <f t="shared" ca="1" si="21"/>
        <v>L</v>
      </c>
      <c r="D263" s="1205" t="s">
        <v>1473</v>
      </c>
      <c r="E263" s="1069" t="s">
        <v>1518</v>
      </c>
      <c r="F263" s="1204"/>
      <c r="G263" s="1204"/>
      <c r="H263" s="1204"/>
      <c r="I263" s="1204"/>
      <c r="J263" s="1204"/>
      <c r="K263" s="1204"/>
      <c r="L263" s="1177" t="s">
        <v>1280</v>
      </c>
      <c r="M263" s="1205">
        <v>230</v>
      </c>
      <c r="N263" s="1205"/>
    </row>
    <row r="264" spans="1:14" x14ac:dyDescent="0.25">
      <c r="A264" s="1218" t="s">
        <v>1281</v>
      </c>
      <c r="B264" s="1069" t="str">
        <f t="shared" ca="1" si="25"/>
        <v>M32</v>
      </c>
      <c r="C264" s="1069" t="str">
        <f t="shared" ca="1" si="21"/>
        <v>M</v>
      </c>
      <c r="D264" s="1205" t="s">
        <v>1473</v>
      </c>
      <c r="E264" s="1069" t="s">
        <v>1518</v>
      </c>
      <c r="F264" s="1204"/>
      <c r="G264" s="1204"/>
      <c r="H264" s="1204"/>
      <c r="I264" s="1204"/>
      <c r="J264" s="1204"/>
      <c r="K264" s="1204"/>
      <c r="L264" s="1177" t="s">
        <v>1281</v>
      </c>
      <c r="M264" s="1205">
        <v>231</v>
      </c>
      <c r="N264" s="1205"/>
    </row>
    <row r="265" spans="1:14" x14ac:dyDescent="0.25">
      <c r="A265" s="1218" t="s">
        <v>1282</v>
      </c>
      <c r="B265" s="1069" t="str">
        <f t="shared" ca="1" si="25"/>
        <v>N32</v>
      </c>
      <c r="C265" s="1069" t="str">
        <f t="shared" ca="1" si="21"/>
        <v>N</v>
      </c>
      <c r="D265" s="1205" t="s">
        <v>1473</v>
      </c>
      <c r="E265" s="1069" t="s">
        <v>1518</v>
      </c>
      <c r="F265" s="1204"/>
      <c r="G265" s="1204"/>
      <c r="H265" s="1204"/>
      <c r="I265" s="1204"/>
      <c r="J265" s="1204"/>
      <c r="K265" s="1204"/>
      <c r="L265" s="1177" t="s">
        <v>1483</v>
      </c>
      <c r="M265" s="1205">
        <v>232</v>
      </c>
      <c r="N265" s="1205"/>
    </row>
    <row r="266" spans="1:14" x14ac:dyDescent="0.25">
      <c r="A266" s="1218" t="s">
        <v>1400</v>
      </c>
      <c r="B266" s="1069" t="str">
        <f t="shared" ca="1" si="25"/>
        <v>O32</v>
      </c>
      <c r="C266" s="1069" t="str">
        <f t="shared" ca="1" si="21"/>
        <v>O</v>
      </c>
      <c r="D266" s="1205" t="s">
        <v>1473</v>
      </c>
      <c r="E266" s="1069" t="s">
        <v>1518</v>
      </c>
      <c r="F266" s="1204"/>
      <c r="G266" s="1204"/>
      <c r="H266" s="1204"/>
      <c r="I266" s="1204"/>
      <c r="J266" s="1204"/>
      <c r="K266" s="1204"/>
      <c r="L266" s="1177" t="s">
        <v>1400</v>
      </c>
      <c r="M266" s="1205">
        <v>233</v>
      </c>
      <c r="N266" s="1205"/>
    </row>
    <row r="267" spans="1:14" x14ac:dyDescent="0.25">
      <c r="A267" s="1218" t="s">
        <v>795</v>
      </c>
      <c r="B267" s="1069" t="str">
        <f t="shared" ca="1" si="25"/>
        <v>G32</v>
      </c>
      <c r="C267" s="1069" t="str">
        <f t="shared" ca="1" si="21"/>
        <v>G</v>
      </c>
      <c r="D267" s="1205" t="s">
        <v>1473</v>
      </c>
      <c r="E267" s="1069" t="s">
        <v>1518</v>
      </c>
      <c r="F267" s="1204"/>
      <c r="G267" s="1204"/>
      <c r="H267" s="1204"/>
      <c r="I267" s="1204"/>
      <c r="J267" s="1204"/>
      <c r="K267" s="1204"/>
      <c r="L267" s="1177" t="s">
        <v>795</v>
      </c>
      <c r="M267" s="1205">
        <v>234</v>
      </c>
      <c r="N267" s="1205"/>
    </row>
    <row r="268" spans="1:14" x14ac:dyDescent="0.25">
      <c r="A268" s="1218" t="s">
        <v>800</v>
      </c>
      <c r="B268" s="1069" t="str">
        <f t="shared" ca="1" si="25"/>
        <v>H32</v>
      </c>
      <c r="C268" s="1069" t="str">
        <f t="shared" ca="1" si="21"/>
        <v>H</v>
      </c>
      <c r="D268" s="1205" t="s">
        <v>1473</v>
      </c>
      <c r="E268" s="1069" t="s">
        <v>1518</v>
      </c>
      <c r="F268" s="1204"/>
      <c r="G268" s="1204"/>
      <c r="H268" s="1204"/>
      <c r="I268" s="1204"/>
      <c r="J268" s="1204"/>
      <c r="K268" s="1204"/>
      <c r="L268" s="1177" t="s">
        <v>800</v>
      </c>
      <c r="M268" s="1205">
        <v>235</v>
      </c>
      <c r="N268" s="1205"/>
    </row>
    <row r="269" spans="1:14" x14ac:dyDescent="0.25">
      <c r="A269" s="1218" t="s">
        <v>801</v>
      </c>
      <c r="B269" s="1069" t="str">
        <f t="shared" ca="1" si="25"/>
        <v>I32</v>
      </c>
      <c r="C269" s="1069" t="str">
        <f t="shared" ca="1" si="21"/>
        <v>I</v>
      </c>
      <c r="D269" s="1205" t="s">
        <v>1473</v>
      </c>
      <c r="E269" s="1069" t="s">
        <v>1518</v>
      </c>
      <c r="F269" s="1204"/>
      <c r="G269" s="1204"/>
      <c r="H269" s="1204"/>
      <c r="I269" s="1204"/>
      <c r="J269" s="1204"/>
      <c r="K269" s="1204"/>
      <c r="L269" s="1177" t="s">
        <v>801</v>
      </c>
      <c r="M269" s="1205">
        <v>236</v>
      </c>
      <c r="N269" s="1205"/>
    </row>
    <row r="270" spans="1:14" x14ac:dyDescent="0.25">
      <c r="A270" s="1218" t="s">
        <v>204</v>
      </c>
      <c r="B270" s="1069" t="str">
        <f t="shared" ca="1" si="25"/>
        <v>J32</v>
      </c>
      <c r="C270" s="1069" t="str">
        <f t="shared" ca="1" si="21"/>
        <v>J</v>
      </c>
      <c r="D270" s="1205" t="s">
        <v>1473</v>
      </c>
      <c r="E270" s="1069" t="s">
        <v>1518</v>
      </c>
      <c r="F270" s="1204"/>
      <c r="G270" s="1204"/>
      <c r="H270" s="1204"/>
      <c r="I270" s="1204"/>
      <c r="J270" s="1204"/>
      <c r="K270" s="1204"/>
      <c r="L270" s="1177" t="s">
        <v>204</v>
      </c>
      <c r="M270" s="1205">
        <v>237</v>
      </c>
      <c r="N270" s="1205"/>
    </row>
    <row r="271" spans="1:14" x14ac:dyDescent="0.25">
      <c r="A271" s="1219" t="s">
        <v>1047</v>
      </c>
      <c r="B271" s="1205" t="str">
        <f>IFERROR(_xlfn.CONCAT("D",MATCH(A271,'Tracking &amp; Profitability'!D$1:D$60,0)),"")</f>
        <v>D16</v>
      </c>
      <c r="C271" s="1205" t="str">
        <f>IFERROR(_xlfn.CONCAT("E",MATCH(A271,'Tracking &amp; Profitability'!D$1:D$60,0)),"")</f>
        <v>E16</v>
      </c>
      <c r="D271" s="1069" t="s">
        <v>1466</v>
      </c>
      <c r="E271" s="1205" t="s">
        <v>129</v>
      </c>
      <c r="F271" s="1204"/>
      <c r="G271" s="1204"/>
      <c r="H271" s="1204"/>
      <c r="I271" s="1204"/>
      <c r="J271" s="1204"/>
      <c r="K271" s="1204"/>
      <c r="L271" s="1219" t="s">
        <v>1583</v>
      </c>
      <c r="M271" s="1205">
        <v>515</v>
      </c>
      <c r="N271" s="1205"/>
    </row>
    <row r="272" spans="1:14" x14ac:dyDescent="0.25">
      <c r="A272" s="1220" t="s">
        <v>1392</v>
      </c>
      <c r="B272" s="1066" t="str">
        <f ca="1">_xlfn.CONCAT(IFERROR(SUBSTITUTE(ADDRESS(1,MATCH(A272,INDIRECT("'"&amp;E272&amp;"'"&amp;"!A10:Z10"),0),4),1,""),""),16)</f>
        <v>N16</v>
      </c>
      <c r="C272" s="1066" t="str">
        <f ca="1">_xlfn.CONCAT(IFERROR(SUBSTITUTE(ADDRESS(1,MATCH(A272,INDIRECT("'"&amp;E272&amp;"'"&amp;"!A10:Z10"),0),4),1,""),""))</f>
        <v>N</v>
      </c>
      <c r="D272" s="1069" t="s">
        <v>1473</v>
      </c>
      <c r="E272" s="1069" t="s">
        <v>1382</v>
      </c>
      <c r="F272" s="1204"/>
      <c r="G272" s="1204"/>
      <c r="H272" s="1204"/>
      <c r="I272" s="1204"/>
      <c r="J272" s="1204"/>
      <c r="K272" s="1204"/>
      <c r="L272" s="1180" t="s">
        <v>1392</v>
      </c>
      <c r="M272" s="1205">
        <v>241</v>
      </c>
      <c r="N272" s="1205"/>
    </row>
    <row r="273" spans="1:14" x14ac:dyDescent="0.25">
      <c r="A273" s="1221" t="s">
        <v>1383</v>
      </c>
      <c r="B273" s="1066" t="str">
        <f t="shared" ref="B273:B275" ca="1" si="26">_xlfn.CONCAT(IFERROR(SUBSTITUTE(ADDRESS(1,MATCH(A273,INDIRECT("'"&amp;E273&amp;"'"&amp;"!A10:Z10"),0),4),1,""),""),16)</f>
        <v>C16</v>
      </c>
      <c r="C273" s="1066" t="str">
        <f t="shared" ref="C273:C275" ca="1" si="27">_xlfn.CONCAT(IFERROR(SUBSTITUTE(ADDRESS(1,MATCH(A273,INDIRECT("'"&amp;E273&amp;"'"&amp;"!A10:Z10"),0),4),1,""),""))</f>
        <v>C</v>
      </c>
      <c r="D273" s="1069" t="s">
        <v>1473</v>
      </c>
      <c r="E273" s="1069" t="s">
        <v>1382</v>
      </c>
      <c r="F273" s="1204"/>
      <c r="G273" s="1204"/>
      <c r="H273" s="1204"/>
      <c r="I273" s="1204"/>
      <c r="J273" s="1204"/>
      <c r="K273" s="1204"/>
      <c r="L273" s="1180" t="s">
        <v>254</v>
      </c>
      <c r="M273" s="1205">
        <v>242</v>
      </c>
      <c r="N273" s="1205"/>
    </row>
    <row r="274" spans="1:14" x14ac:dyDescent="0.25">
      <c r="A274" s="1221" t="s">
        <v>1348</v>
      </c>
      <c r="B274" s="1066" t="str">
        <f t="shared" ca="1" si="26"/>
        <v>H16</v>
      </c>
      <c r="C274" s="1066" t="str">
        <f t="shared" ca="1" si="27"/>
        <v>H</v>
      </c>
      <c r="D274" s="1069" t="s">
        <v>1473</v>
      </c>
      <c r="E274" s="1069" t="s">
        <v>1382</v>
      </c>
      <c r="F274" s="1204"/>
      <c r="G274" s="1204"/>
      <c r="H274" s="1204"/>
      <c r="I274" s="1204"/>
      <c r="J274" s="1204"/>
      <c r="K274" s="1204"/>
      <c r="L274" s="1180" t="s">
        <v>1348</v>
      </c>
      <c r="M274" s="1205">
        <v>243</v>
      </c>
      <c r="N274" s="1205"/>
    </row>
    <row r="275" spans="1:14" x14ac:dyDescent="0.25">
      <c r="A275" s="1221" t="s">
        <v>1386</v>
      </c>
      <c r="B275" s="1066" t="str">
        <f t="shared" ca="1" si="26"/>
        <v>F16</v>
      </c>
      <c r="C275" s="1066" t="str">
        <f t="shared" ca="1" si="27"/>
        <v>F</v>
      </c>
      <c r="D275" s="1069" t="s">
        <v>1473</v>
      </c>
      <c r="E275" s="1069" t="s">
        <v>1382</v>
      </c>
      <c r="F275" s="1204"/>
      <c r="G275" s="1204"/>
      <c r="H275" s="1204"/>
      <c r="I275" s="1204"/>
      <c r="J275" s="1204"/>
      <c r="K275" s="1204"/>
      <c r="L275" s="1180" t="s">
        <v>225</v>
      </c>
      <c r="M275" s="1205">
        <v>244</v>
      </c>
      <c r="N275" s="1205"/>
    </row>
    <row r="276" spans="1:14" x14ac:dyDescent="0.25">
      <c r="A276" s="1222" t="s">
        <v>466</v>
      </c>
      <c r="B276" s="1066" t="str">
        <f ca="1">_xlfn.CONCAT(IFERROR(SUBSTITUTE(ADDRESS(1,MATCH(A276,INDIRECT("'"&amp;E276&amp;"'"&amp;"!A9:Z9"),0),4),1,""),""),10)</f>
        <v>E10</v>
      </c>
      <c r="C276" s="1066" t="str">
        <f ca="1">_xlfn.CONCAT(IFERROR(SUBSTITUTE(ADDRESS(1,MATCH(A276,INDIRECT("'"&amp;E276&amp;"'"&amp;"!A9:Z9"),0),4),1,""),""))</f>
        <v>E</v>
      </c>
      <c r="D276" s="1205" t="s">
        <v>1473</v>
      </c>
      <c r="E276" s="1069" t="s">
        <v>208</v>
      </c>
      <c r="F276" s="1204"/>
      <c r="G276" s="1204"/>
      <c r="H276" s="1204"/>
      <c r="I276" s="1204"/>
      <c r="J276" s="1204"/>
      <c r="K276" s="1204"/>
      <c r="L276" s="1180" t="s">
        <v>466</v>
      </c>
      <c r="M276" s="1205">
        <v>245</v>
      </c>
      <c r="N276" s="1205"/>
    </row>
    <row r="277" spans="1:14" x14ac:dyDescent="0.25">
      <c r="A277" s="1222" t="s">
        <v>1385</v>
      </c>
      <c r="B277" s="1066" t="str">
        <f t="shared" ref="B277:B283" ca="1" si="28">_xlfn.CONCAT(IFERROR(SUBSTITUTE(ADDRESS(1,MATCH(A277,INDIRECT("'"&amp;E277&amp;"'"&amp;"!A10:Z10"),0),4),1,""),""),16)</f>
        <v>E16</v>
      </c>
      <c r="C277" s="1066" t="str">
        <f t="shared" ref="C277:C287" ca="1" si="29">_xlfn.CONCAT(IFERROR(SUBSTITUTE(ADDRESS(1,MATCH(A277,INDIRECT("'"&amp;E277&amp;"'"&amp;"!A10:Z10"),0),4),1,""),""))</f>
        <v>E</v>
      </c>
      <c r="D277" s="1069" t="s">
        <v>1473</v>
      </c>
      <c r="E277" s="1069" t="s">
        <v>1382</v>
      </c>
      <c r="F277" s="1204"/>
      <c r="G277" s="1204"/>
      <c r="H277" s="1204"/>
      <c r="I277" s="1204"/>
      <c r="J277" s="1204"/>
      <c r="K277" s="1204"/>
      <c r="L277" s="1180" t="s">
        <v>1385</v>
      </c>
      <c r="M277" s="1205">
        <v>246</v>
      </c>
      <c r="N277" s="1205"/>
    </row>
    <row r="278" spans="1:14" x14ac:dyDescent="0.25">
      <c r="A278" s="1222" t="s">
        <v>1387</v>
      </c>
      <c r="B278" s="1066" t="str">
        <f t="shared" ca="1" si="28"/>
        <v>G16</v>
      </c>
      <c r="C278" s="1066" t="str">
        <f t="shared" ca="1" si="29"/>
        <v>G</v>
      </c>
      <c r="D278" s="1069" t="s">
        <v>1473</v>
      </c>
      <c r="E278" s="1069" t="s">
        <v>1382</v>
      </c>
      <c r="F278" s="1204"/>
      <c r="G278" s="1204"/>
      <c r="H278" s="1204"/>
      <c r="I278" s="1204"/>
      <c r="J278" s="1204"/>
      <c r="K278" s="1204"/>
      <c r="L278" s="1180" t="s">
        <v>1387</v>
      </c>
      <c r="M278" s="1205">
        <v>247</v>
      </c>
      <c r="N278" s="1205"/>
    </row>
    <row r="279" spans="1:14" x14ac:dyDescent="0.25">
      <c r="A279" s="1222" t="s">
        <v>1388</v>
      </c>
      <c r="B279" s="1066" t="str">
        <f t="shared" ca="1" si="28"/>
        <v>I16</v>
      </c>
      <c r="C279" s="1066" t="str">
        <f t="shared" ca="1" si="29"/>
        <v>I</v>
      </c>
      <c r="D279" s="1069" t="s">
        <v>1473</v>
      </c>
      <c r="E279" s="1069" t="s">
        <v>1382</v>
      </c>
      <c r="F279" s="1204"/>
      <c r="G279" s="1204"/>
      <c r="H279" s="1204"/>
      <c r="I279" s="1204"/>
      <c r="J279" s="1204"/>
      <c r="K279" s="1204"/>
      <c r="L279" s="1180" t="s">
        <v>1388</v>
      </c>
      <c r="M279" s="1205">
        <v>248</v>
      </c>
      <c r="N279" s="1205"/>
    </row>
    <row r="280" spans="1:14" x14ac:dyDescent="0.25">
      <c r="A280" s="1222" t="s">
        <v>1389</v>
      </c>
      <c r="B280" s="1066" t="str">
        <f t="shared" ca="1" si="28"/>
        <v>J16</v>
      </c>
      <c r="C280" s="1066" t="str">
        <f t="shared" ca="1" si="29"/>
        <v>J</v>
      </c>
      <c r="D280" s="1069" t="s">
        <v>1473</v>
      </c>
      <c r="E280" s="1069" t="s">
        <v>1382</v>
      </c>
      <c r="F280" s="1204"/>
      <c r="G280" s="1204"/>
      <c r="H280" s="1204"/>
      <c r="I280" s="1204"/>
      <c r="J280" s="1204"/>
      <c r="K280" s="1204"/>
      <c r="L280" s="1180" t="s">
        <v>1389</v>
      </c>
      <c r="M280" s="1205">
        <v>249</v>
      </c>
      <c r="N280" s="1205"/>
    </row>
    <row r="281" spans="1:14" x14ac:dyDescent="0.25">
      <c r="A281" s="1222" t="s">
        <v>1390</v>
      </c>
      <c r="B281" s="1066" t="str">
        <f t="shared" ca="1" si="28"/>
        <v>K16</v>
      </c>
      <c r="C281" s="1066" t="str">
        <f t="shared" ca="1" si="29"/>
        <v>K</v>
      </c>
      <c r="D281" s="1069" t="s">
        <v>1473</v>
      </c>
      <c r="E281" s="1069" t="s">
        <v>1382</v>
      </c>
      <c r="F281" s="1204"/>
      <c r="G281" s="1204"/>
      <c r="H281" s="1204"/>
      <c r="I281" s="1204"/>
      <c r="J281" s="1204"/>
      <c r="K281" s="1204"/>
      <c r="L281" s="1180" t="s">
        <v>1390</v>
      </c>
      <c r="M281" s="1205">
        <v>250</v>
      </c>
      <c r="N281" s="1205"/>
    </row>
    <row r="282" spans="1:14" x14ac:dyDescent="0.25">
      <c r="A282" s="1222" t="s">
        <v>1391</v>
      </c>
      <c r="B282" s="1066" t="str">
        <f t="shared" ca="1" si="28"/>
        <v>L16</v>
      </c>
      <c r="C282" s="1066" t="str">
        <f t="shared" ca="1" si="29"/>
        <v>L</v>
      </c>
      <c r="D282" s="1069" t="s">
        <v>1473</v>
      </c>
      <c r="E282" s="1069" t="s">
        <v>1382</v>
      </c>
      <c r="F282" s="1204"/>
      <c r="G282" s="1204"/>
      <c r="H282" s="1204"/>
      <c r="I282" s="1204"/>
      <c r="J282" s="1204"/>
      <c r="K282" s="1204"/>
      <c r="L282" s="1180" t="s">
        <v>1391</v>
      </c>
      <c r="M282" s="1205">
        <v>251</v>
      </c>
      <c r="N282" s="1205"/>
    </row>
    <row r="283" spans="1:14" x14ac:dyDescent="0.25">
      <c r="A283" s="1222" t="s">
        <v>1329</v>
      </c>
      <c r="B283" s="1066" t="str">
        <f t="shared" ca="1" si="28"/>
        <v>M16</v>
      </c>
      <c r="C283" s="1066" t="str">
        <f t="shared" ca="1" si="29"/>
        <v>M</v>
      </c>
      <c r="D283" s="1069" t="s">
        <v>1473</v>
      </c>
      <c r="E283" s="1069" t="s">
        <v>1382</v>
      </c>
      <c r="F283" s="1204"/>
      <c r="G283" s="1204"/>
      <c r="H283" s="1204"/>
      <c r="I283" s="1204"/>
      <c r="J283" s="1204"/>
      <c r="K283" s="1204"/>
      <c r="L283" s="1180" t="s">
        <v>1329</v>
      </c>
      <c r="M283" s="1205">
        <v>252</v>
      </c>
      <c r="N283" s="1205"/>
    </row>
    <row r="284" spans="1:14" x14ac:dyDescent="0.25">
      <c r="A284" s="1223" t="s">
        <v>1392</v>
      </c>
      <c r="B284" s="1066" t="str">
        <f ca="1">_xlfn.CONCAT(IFERROR(SUBSTITUTE(ADDRESS(1,MATCH(A284,INDIRECT("'"&amp;E284&amp;"'"&amp;"!A10:Z10"),0),4),1,""),""),11)</f>
        <v>N11</v>
      </c>
      <c r="C284" s="1066" t="str">
        <f t="shared" ca="1" si="29"/>
        <v>N</v>
      </c>
      <c r="D284" s="1069" t="s">
        <v>1473</v>
      </c>
      <c r="E284" s="1069" t="s">
        <v>1382</v>
      </c>
      <c r="F284" s="1204"/>
      <c r="G284" s="1204"/>
      <c r="H284" s="1204"/>
      <c r="I284" s="1204"/>
      <c r="J284" s="1204"/>
      <c r="K284" s="1204"/>
      <c r="L284" s="1180" t="s">
        <v>1392</v>
      </c>
      <c r="M284" s="1205">
        <v>253</v>
      </c>
      <c r="N284" s="1205"/>
    </row>
    <row r="285" spans="1:14" x14ac:dyDescent="0.25">
      <c r="A285" s="1224" t="s">
        <v>1383</v>
      </c>
      <c r="B285" s="1066" t="str">
        <f t="shared" ref="B285:B287" ca="1" si="30">_xlfn.CONCAT(IFERROR(SUBSTITUTE(ADDRESS(1,MATCH(A285,INDIRECT("'"&amp;E285&amp;"'"&amp;"!A10:Z10"),0),4),1,""),""),11)</f>
        <v>C11</v>
      </c>
      <c r="C285" s="1066" t="str">
        <f t="shared" ca="1" si="29"/>
        <v>C</v>
      </c>
      <c r="D285" s="1069" t="s">
        <v>1473</v>
      </c>
      <c r="E285" s="1069" t="s">
        <v>1382</v>
      </c>
      <c r="F285" s="1204"/>
      <c r="G285" s="1204"/>
      <c r="H285" s="1204"/>
      <c r="I285" s="1204"/>
      <c r="J285" s="1204"/>
      <c r="K285" s="1204"/>
      <c r="L285" s="1180" t="s">
        <v>254</v>
      </c>
      <c r="M285" s="1205">
        <v>254</v>
      </c>
      <c r="N285" s="1205"/>
    </row>
    <row r="286" spans="1:14" x14ac:dyDescent="0.25">
      <c r="A286" s="1224" t="s">
        <v>1348</v>
      </c>
      <c r="B286" s="1066" t="str">
        <f t="shared" ca="1" si="30"/>
        <v>H11</v>
      </c>
      <c r="C286" s="1066" t="str">
        <f t="shared" ca="1" si="29"/>
        <v>H</v>
      </c>
      <c r="D286" s="1069" t="s">
        <v>1473</v>
      </c>
      <c r="E286" s="1069" t="s">
        <v>1382</v>
      </c>
      <c r="F286" s="1204"/>
      <c r="G286" s="1204"/>
      <c r="H286" s="1204"/>
      <c r="I286" s="1204"/>
      <c r="J286" s="1204"/>
      <c r="K286" s="1204"/>
      <c r="L286" s="1180" t="s">
        <v>1348</v>
      </c>
      <c r="M286" s="1205">
        <v>255</v>
      </c>
      <c r="N286" s="1205"/>
    </row>
    <row r="287" spans="1:14" x14ac:dyDescent="0.25">
      <c r="A287" s="1224" t="s">
        <v>1386</v>
      </c>
      <c r="B287" s="1066" t="str">
        <f t="shared" ca="1" si="30"/>
        <v>F11</v>
      </c>
      <c r="C287" s="1066" t="str">
        <f t="shared" ca="1" si="29"/>
        <v>F</v>
      </c>
      <c r="D287" s="1069" t="s">
        <v>1473</v>
      </c>
      <c r="E287" s="1069" t="s">
        <v>1382</v>
      </c>
      <c r="F287" s="1204"/>
      <c r="G287" s="1204"/>
      <c r="H287" s="1204"/>
      <c r="I287" s="1204"/>
      <c r="J287" s="1204"/>
      <c r="K287" s="1204"/>
      <c r="L287" s="1180" t="s">
        <v>225</v>
      </c>
      <c r="M287" s="1205">
        <v>256</v>
      </c>
      <c r="N287" s="1205"/>
    </row>
    <row r="288" spans="1:14" x14ac:dyDescent="0.25">
      <c r="A288" s="1225" t="s">
        <v>466</v>
      </c>
      <c r="B288" s="1066" t="str">
        <f ca="1">_xlfn.CONCAT(IFERROR(SUBSTITUTE(ADDRESS(1,MATCH(A288,INDIRECT("'"&amp;E288&amp;"'"&amp;"!A9:Z9"),0),4),1,""),""),11)</f>
        <v>E11</v>
      </c>
      <c r="C288" s="1066" t="str">
        <f ca="1">_xlfn.CONCAT(IFERROR(SUBSTITUTE(ADDRESS(1,MATCH(A288,INDIRECT("'"&amp;E288&amp;"'"&amp;"!A9:Z9"),0),4),1,""),""))</f>
        <v>E</v>
      </c>
      <c r="D288" s="1230" t="s">
        <v>1473</v>
      </c>
      <c r="E288" s="1069" t="s">
        <v>208</v>
      </c>
      <c r="F288" s="1204"/>
      <c r="G288" s="1204"/>
      <c r="H288" s="1204"/>
      <c r="I288" s="1204"/>
      <c r="J288" s="1204"/>
      <c r="K288" s="1204"/>
      <c r="L288" s="1180" t="s">
        <v>466</v>
      </c>
      <c r="M288" s="1205">
        <v>257</v>
      </c>
      <c r="N288" s="1205"/>
    </row>
    <row r="289" spans="1:14" x14ac:dyDescent="0.25">
      <c r="A289" s="1225" t="s">
        <v>1385</v>
      </c>
      <c r="B289" s="1066" t="str">
        <f t="shared" ref="B289:B307" ca="1" si="31">_xlfn.CONCAT(IFERROR(SUBSTITUTE(ADDRESS(1,MATCH(A289,INDIRECT("'"&amp;E289&amp;"'"&amp;"!A10:Z10"),0),4),1,""),""),11)</f>
        <v>E11</v>
      </c>
      <c r="C289" s="1066" t="str">
        <f t="shared" ref="C289:C299" ca="1" si="32">_xlfn.CONCAT(IFERROR(SUBSTITUTE(ADDRESS(1,MATCH(A289,INDIRECT("'"&amp;E289&amp;"'"&amp;"!A10:Z10"),0),4),1,""),""))</f>
        <v>E</v>
      </c>
      <c r="D289" s="1069" t="s">
        <v>1473</v>
      </c>
      <c r="E289" s="1069" t="s">
        <v>1382</v>
      </c>
      <c r="F289" s="1204"/>
      <c r="G289" s="1204"/>
      <c r="H289" s="1204"/>
      <c r="I289" s="1204"/>
      <c r="J289" s="1204"/>
      <c r="K289" s="1204"/>
      <c r="L289" s="1180" t="s">
        <v>1385</v>
      </c>
      <c r="M289" s="1205">
        <v>258</v>
      </c>
      <c r="N289" s="1205"/>
    </row>
    <row r="290" spans="1:14" x14ac:dyDescent="0.25">
      <c r="A290" s="1225" t="s">
        <v>1387</v>
      </c>
      <c r="B290" s="1066" t="str">
        <f t="shared" ca="1" si="31"/>
        <v>G11</v>
      </c>
      <c r="C290" s="1066" t="str">
        <f t="shared" ca="1" si="32"/>
        <v>G</v>
      </c>
      <c r="D290" s="1069" t="s">
        <v>1473</v>
      </c>
      <c r="E290" s="1069" t="s">
        <v>1382</v>
      </c>
      <c r="F290" s="1204"/>
      <c r="G290" s="1204"/>
      <c r="H290" s="1204"/>
      <c r="I290" s="1204"/>
      <c r="J290" s="1204"/>
      <c r="K290" s="1204"/>
      <c r="L290" s="1180" t="s">
        <v>1387</v>
      </c>
      <c r="M290" s="1205">
        <v>259</v>
      </c>
      <c r="N290" s="1205"/>
    </row>
    <row r="291" spans="1:14" x14ac:dyDescent="0.25">
      <c r="A291" s="1225" t="s">
        <v>1388</v>
      </c>
      <c r="B291" s="1066" t="str">
        <f t="shared" ca="1" si="31"/>
        <v>I11</v>
      </c>
      <c r="C291" s="1066" t="str">
        <f t="shared" ca="1" si="32"/>
        <v>I</v>
      </c>
      <c r="D291" s="1069" t="s">
        <v>1473</v>
      </c>
      <c r="E291" s="1069" t="s">
        <v>1382</v>
      </c>
      <c r="F291" s="1204"/>
      <c r="G291" s="1204"/>
      <c r="H291" s="1204"/>
      <c r="I291" s="1204"/>
      <c r="J291" s="1204"/>
      <c r="K291" s="1204"/>
      <c r="L291" s="1180" t="s">
        <v>1388</v>
      </c>
      <c r="M291" s="1205">
        <v>260</v>
      </c>
      <c r="N291" s="1205"/>
    </row>
    <row r="292" spans="1:14" x14ac:dyDescent="0.25">
      <c r="A292" s="1225" t="s">
        <v>1389</v>
      </c>
      <c r="B292" s="1066" t="str">
        <f t="shared" ca="1" si="31"/>
        <v>J11</v>
      </c>
      <c r="C292" s="1066" t="str">
        <f t="shared" ca="1" si="32"/>
        <v>J</v>
      </c>
      <c r="D292" s="1069" t="s">
        <v>1473</v>
      </c>
      <c r="E292" s="1069" t="s">
        <v>1382</v>
      </c>
      <c r="F292" s="1204"/>
      <c r="G292" s="1204"/>
      <c r="H292" s="1204"/>
      <c r="I292" s="1204"/>
      <c r="J292" s="1204"/>
      <c r="K292" s="1204"/>
      <c r="L292" s="1180" t="s">
        <v>1389</v>
      </c>
      <c r="M292" s="1205">
        <v>261</v>
      </c>
      <c r="N292" s="1205"/>
    </row>
    <row r="293" spans="1:14" x14ac:dyDescent="0.25">
      <c r="A293" s="1225" t="s">
        <v>1390</v>
      </c>
      <c r="B293" s="1066" t="str">
        <f t="shared" ca="1" si="31"/>
        <v>K11</v>
      </c>
      <c r="C293" s="1066" t="str">
        <f t="shared" ca="1" si="32"/>
        <v>K</v>
      </c>
      <c r="D293" s="1069" t="s">
        <v>1473</v>
      </c>
      <c r="E293" s="1069" t="s">
        <v>1382</v>
      </c>
      <c r="F293" s="1204"/>
      <c r="G293" s="1204"/>
      <c r="H293" s="1204"/>
      <c r="I293" s="1204"/>
      <c r="J293" s="1204"/>
      <c r="K293" s="1204"/>
      <c r="L293" s="1180" t="s">
        <v>1390</v>
      </c>
      <c r="M293" s="1205">
        <v>262</v>
      </c>
      <c r="N293" s="1205"/>
    </row>
    <row r="294" spans="1:14" x14ac:dyDescent="0.25">
      <c r="A294" s="1225" t="s">
        <v>1391</v>
      </c>
      <c r="B294" s="1066" t="str">
        <f t="shared" ca="1" si="31"/>
        <v>L11</v>
      </c>
      <c r="C294" s="1066" t="str">
        <f t="shared" ca="1" si="32"/>
        <v>L</v>
      </c>
      <c r="D294" s="1069" t="s">
        <v>1473</v>
      </c>
      <c r="E294" s="1069" t="s">
        <v>1382</v>
      </c>
      <c r="F294" s="1204"/>
      <c r="G294" s="1204"/>
      <c r="H294" s="1204"/>
      <c r="I294" s="1204"/>
      <c r="J294" s="1204"/>
      <c r="K294" s="1204"/>
      <c r="L294" s="1180" t="s">
        <v>1391</v>
      </c>
      <c r="M294" s="1205">
        <v>263</v>
      </c>
      <c r="N294" s="1205"/>
    </row>
    <row r="295" spans="1:14" x14ac:dyDescent="0.25">
      <c r="A295" s="1225" t="s">
        <v>1329</v>
      </c>
      <c r="B295" s="1066" t="str">
        <f t="shared" ca="1" si="31"/>
        <v>M11</v>
      </c>
      <c r="C295" s="1066" t="str">
        <f t="shared" ca="1" si="32"/>
        <v>M</v>
      </c>
      <c r="D295" s="1069" t="s">
        <v>1473</v>
      </c>
      <c r="E295" s="1069" t="s">
        <v>1382</v>
      </c>
      <c r="F295" s="1204"/>
      <c r="G295" s="1204"/>
      <c r="H295" s="1204"/>
      <c r="I295" s="1204"/>
      <c r="J295" s="1204"/>
      <c r="K295" s="1204"/>
      <c r="L295" s="1180" t="s">
        <v>1329</v>
      </c>
      <c r="M295" s="1205">
        <v>264</v>
      </c>
      <c r="N295" s="1205"/>
    </row>
    <row r="296" spans="1:14" x14ac:dyDescent="0.25">
      <c r="A296" s="1226" t="s">
        <v>1392</v>
      </c>
      <c r="B296" s="1066" t="str">
        <f t="shared" ca="1" si="31"/>
        <v>N11</v>
      </c>
      <c r="C296" s="1066" t="str">
        <f t="shared" ca="1" si="32"/>
        <v>N</v>
      </c>
      <c r="D296" s="1069" t="s">
        <v>1473</v>
      </c>
      <c r="E296" s="1069" t="s">
        <v>1382</v>
      </c>
      <c r="F296" s="1204"/>
      <c r="G296" s="1204"/>
      <c r="H296" s="1204"/>
      <c r="I296" s="1204"/>
      <c r="J296" s="1204"/>
      <c r="K296" s="1204"/>
      <c r="L296" s="1180" t="s">
        <v>1392</v>
      </c>
      <c r="M296" s="1205">
        <v>265</v>
      </c>
      <c r="N296" s="1205"/>
    </row>
    <row r="297" spans="1:14" x14ac:dyDescent="0.25">
      <c r="A297" s="1227" t="s">
        <v>1383</v>
      </c>
      <c r="B297" s="1066" t="str">
        <f t="shared" ca="1" si="31"/>
        <v>C11</v>
      </c>
      <c r="C297" s="1066" t="str">
        <f t="shared" ca="1" si="32"/>
        <v>C</v>
      </c>
      <c r="D297" s="1069" t="s">
        <v>1473</v>
      </c>
      <c r="E297" s="1069" t="s">
        <v>1382</v>
      </c>
      <c r="F297" s="1204"/>
      <c r="G297" s="1204"/>
      <c r="H297" s="1204"/>
      <c r="I297" s="1204"/>
      <c r="J297" s="1204"/>
      <c r="K297" s="1204"/>
      <c r="L297" s="1180" t="s">
        <v>254</v>
      </c>
      <c r="M297" s="1205">
        <v>266</v>
      </c>
      <c r="N297" s="1205"/>
    </row>
    <row r="298" spans="1:14" x14ac:dyDescent="0.25">
      <c r="A298" s="1227" t="s">
        <v>1348</v>
      </c>
      <c r="B298" s="1066" t="str">
        <f t="shared" ca="1" si="31"/>
        <v>H11</v>
      </c>
      <c r="C298" s="1066" t="str">
        <f t="shared" ca="1" si="32"/>
        <v>H</v>
      </c>
      <c r="D298" s="1069" t="s">
        <v>1473</v>
      </c>
      <c r="E298" s="1069" t="s">
        <v>1382</v>
      </c>
      <c r="F298" s="1204"/>
      <c r="G298" s="1204"/>
      <c r="H298" s="1204"/>
      <c r="I298" s="1204"/>
      <c r="J298" s="1204"/>
      <c r="K298" s="1204"/>
      <c r="L298" s="1180" t="s">
        <v>1348</v>
      </c>
      <c r="M298" s="1205">
        <v>267</v>
      </c>
      <c r="N298" s="1205"/>
    </row>
    <row r="299" spans="1:14" x14ac:dyDescent="0.25">
      <c r="A299" s="1227" t="s">
        <v>1386</v>
      </c>
      <c r="B299" s="1066" t="str">
        <f t="shared" ca="1" si="31"/>
        <v>F11</v>
      </c>
      <c r="C299" s="1066" t="str">
        <f t="shared" ca="1" si="32"/>
        <v>F</v>
      </c>
      <c r="D299" s="1069" t="s">
        <v>1473</v>
      </c>
      <c r="E299" s="1069" t="s">
        <v>1382</v>
      </c>
      <c r="F299" s="1204"/>
      <c r="G299" s="1204"/>
      <c r="H299" s="1204"/>
      <c r="I299" s="1204"/>
      <c r="J299" s="1204"/>
      <c r="K299" s="1204"/>
      <c r="L299" s="1180" t="s">
        <v>225</v>
      </c>
      <c r="M299" s="1205">
        <v>268</v>
      </c>
      <c r="N299" s="1205"/>
    </row>
    <row r="300" spans="1:14" x14ac:dyDescent="0.25">
      <c r="A300" s="1222" t="s">
        <v>466</v>
      </c>
      <c r="B300" s="1066" t="str">
        <f ca="1">_xlfn.CONCAT(IFERROR(SUBSTITUTE(ADDRESS(1,MATCH(A300,INDIRECT("'"&amp;E300&amp;"'"&amp;"!A9:Z9"),0),4),1,""),""),12)</f>
        <v>E12</v>
      </c>
      <c r="C300" s="1066" t="str">
        <f ca="1">_xlfn.CONCAT(IFERROR(SUBSTITUTE(ADDRESS(1,MATCH(A300,INDIRECT("'"&amp;E300&amp;"'"&amp;"!A9:Z9"),0),4),1,""),""))</f>
        <v>E</v>
      </c>
      <c r="D300" s="1230" t="s">
        <v>1473</v>
      </c>
      <c r="E300" s="1069" t="s">
        <v>208</v>
      </c>
      <c r="F300" s="1204"/>
      <c r="G300" s="1204"/>
      <c r="H300" s="1204"/>
      <c r="I300" s="1204"/>
      <c r="J300" s="1204"/>
      <c r="K300" s="1204"/>
      <c r="L300" s="1180" t="s">
        <v>466</v>
      </c>
      <c r="M300" s="1205">
        <v>269</v>
      </c>
      <c r="N300" s="1205"/>
    </row>
    <row r="301" spans="1:14" x14ac:dyDescent="0.25">
      <c r="A301" s="1228" t="s">
        <v>1385</v>
      </c>
      <c r="B301" s="1066" t="str">
        <f t="shared" ca="1" si="31"/>
        <v>E11</v>
      </c>
      <c r="C301" s="1066" t="str">
        <f t="shared" ref="C301:C311" ca="1" si="33">_xlfn.CONCAT(IFERROR(SUBSTITUTE(ADDRESS(1,MATCH(A301,INDIRECT("'"&amp;E301&amp;"'"&amp;"!A10:Z10"),0),4),1,""),""))</f>
        <v>E</v>
      </c>
      <c r="D301" s="1069" t="s">
        <v>1473</v>
      </c>
      <c r="E301" s="1069" t="s">
        <v>1382</v>
      </c>
      <c r="F301" s="1204"/>
      <c r="G301" s="1204"/>
      <c r="H301" s="1204"/>
      <c r="I301" s="1204"/>
      <c r="J301" s="1204"/>
      <c r="K301" s="1204"/>
      <c r="L301" s="1180" t="s">
        <v>1385</v>
      </c>
      <c r="M301" s="1205">
        <v>270</v>
      </c>
      <c r="N301" s="1205"/>
    </row>
    <row r="302" spans="1:14" x14ac:dyDescent="0.25">
      <c r="A302" s="1228" t="s">
        <v>1387</v>
      </c>
      <c r="B302" s="1066" t="str">
        <f t="shared" ca="1" si="31"/>
        <v>G11</v>
      </c>
      <c r="C302" s="1066" t="str">
        <f t="shared" ca="1" si="33"/>
        <v>G</v>
      </c>
      <c r="D302" s="1069" t="s">
        <v>1473</v>
      </c>
      <c r="E302" s="1069" t="s">
        <v>1382</v>
      </c>
      <c r="F302" s="1204"/>
      <c r="G302" s="1204"/>
      <c r="H302" s="1204"/>
      <c r="I302" s="1204"/>
      <c r="J302" s="1204"/>
      <c r="K302" s="1204"/>
      <c r="L302" s="1180" t="s">
        <v>1387</v>
      </c>
      <c r="M302" s="1205">
        <v>271</v>
      </c>
      <c r="N302" s="1205"/>
    </row>
    <row r="303" spans="1:14" x14ac:dyDescent="0.25">
      <c r="A303" s="1228" t="s">
        <v>1388</v>
      </c>
      <c r="B303" s="1066" t="str">
        <f t="shared" ca="1" si="31"/>
        <v>I11</v>
      </c>
      <c r="C303" s="1066" t="str">
        <f t="shared" ca="1" si="33"/>
        <v>I</v>
      </c>
      <c r="D303" s="1069" t="s">
        <v>1473</v>
      </c>
      <c r="E303" s="1069" t="s">
        <v>1382</v>
      </c>
      <c r="F303" s="1204"/>
      <c r="G303" s="1204"/>
      <c r="H303" s="1204"/>
      <c r="I303" s="1204"/>
      <c r="J303" s="1204"/>
      <c r="K303" s="1204"/>
      <c r="L303" s="1180" t="s">
        <v>1388</v>
      </c>
      <c r="M303" s="1205">
        <v>272</v>
      </c>
      <c r="N303" s="1205"/>
    </row>
    <row r="304" spans="1:14" x14ac:dyDescent="0.25">
      <c r="A304" s="1228" t="s">
        <v>1389</v>
      </c>
      <c r="B304" s="1066" t="str">
        <f t="shared" ca="1" si="31"/>
        <v>J11</v>
      </c>
      <c r="C304" s="1066" t="str">
        <f t="shared" ca="1" si="33"/>
        <v>J</v>
      </c>
      <c r="D304" s="1069" t="s">
        <v>1473</v>
      </c>
      <c r="E304" s="1069" t="s">
        <v>1382</v>
      </c>
      <c r="F304" s="1204"/>
      <c r="G304" s="1204"/>
      <c r="H304" s="1204"/>
      <c r="I304" s="1204"/>
      <c r="J304" s="1204"/>
      <c r="K304" s="1204"/>
      <c r="L304" s="1180" t="s">
        <v>1389</v>
      </c>
      <c r="M304" s="1205">
        <v>273</v>
      </c>
      <c r="N304" s="1205"/>
    </row>
    <row r="305" spans="1:14" x14ac:dyDescent="0.25">
      <c r="A305" s="1228" t="s">
        <v>1390</v>
      </c>
      <c r="B305" s="1066" t="str">
        <f t="shared" ca="1" si="31"/>
        <v>K11</v>
      </c>
      <c r="C305" s="1066" t="str">
        <f t="shared" ca="1" si="33"/>
        <v>K</v>
      </c>
      <c r="D305" s="1069" t="s">
        <v>1473</v>
      </c>
      <c r="E305" s="1069" t="s">
        <v>1382</v>
      </c>
      <c r="F305" s="1204"/>
      <c r="G305" s="1204"/>
      <c r="H305" s="1204"/>
      <c r="I305" s="1204"/>
      <c r="J305" s="1204"/>
      <c r="K305" s="1204"/>
      <c r="L305" s="1180" t="s">
        <v>1390</v>
      </c>
      <c r="M305" s="1205">
        <v>274</v>
      </c>
      <c r="N305" s="1205"/>
    </row>
    <row r="306" spans="1:14" x14ac:dyDescent="0.25">
      <c r="A306" s="1228" t="s">
        <v>1391</v>
      </c>
      <c r="B306" s="1066" t="str">
        <f t="shared" ca="1" si="31"/>
        <v>L11</v>
      </c>
      <c r="C306" s="1066" t="str">
        <f t="shared" ca="1" si="33"/>
        <v>L</v>
      </c>
      <c r="D306" s="1069" t="s">
        <v>1473</v>
      </c>
      <c r="E306" s="1069" t="s">
        <v>1382</v>
      </c>
      <c r="F306" s="1204"/>
      <c r="G306" s="1204"/>
      <c r="H306" s="1204"/>
      <c r="I306" s="1204"/>
      <c r="J306" s="1204"/>
      <c r="K306" s="1204"/>
      <c r="L306" s="1180" t="s">
        <v>1391</v>
      </c>
      <c r="M306" s="1205">
        <v>275</v>
      </c>
      <c r="N306" s="1205"/>
    </row>
    <row r="307" spans="1:14" x14ac:dyDescent="0.25">
      <c r="A307" s="1228" t="s">
        <v>1329</v>
      </c>
      <c r="B307" s="1066" t="str">
        <f t="shared" ca="1" si="31"/>
        <v>M11</v>
      </c>
      <c r="C307" s="1066" t="str">
        <f t="shared" ca="1" si="33"/>
        <v>M</v>
      </c>
      <c r="D307" s="1069" t="s">
        <v>1473</v>
      </c>
      <c r="E307" s="1069" t="s">
        <v>1382</v>
      </c>
      <c r="F307" s="1204"/>
      <c r="G307" s="1204"/>
      <c r="H307" s="1204"/>
      <c r="I307" s="1204"/>
      <c r="J307" s="1204"/>
      <c r="K307" s="1204"/>
      <c r="L307" s="1180" t="s">
        <v>1329</v>
      </c>
      <c r="M307" s="1205">
        <v>276</v>
      </c>
      <c r="N307" s="1205"/>
    </row>
    <row r="308" spans="1:14" x14ac:dyDescent="0.25">
      <c r="A308" s="1223" t="s">
        <v>1392</v>
      </c>
      <c r="B308" s="1066" t="str">
        <f ca="1">_xlfn.CONCAT(IFERROR(SUBSTITUTE(ADDRESS(1,MATCH(A308,INDIRECT("'"&amp;E308&amp;"'"&amp;"!A10:Z10"),0),4),1,""),""),12)</f>
        <v>N12</v>
      </c>
      <c r="C308" s="1066" t="str">
        <f t="shared" ca="1" si="33"/>
        <v>N</v>
      </c>
      <c r="D308" s="1069" t="s">
        <v>1473</v>
      </c>
      <c r="E308" s="1069" t="s">
        <v>1382</v>
      </c>
      <c r="F308" s="1204"/>
      <c r="G308" s="1204"/>
      <c r="H308" s="1204"/>
      <c r="I308" s="1204"/>
      <c r="J308" s="1204"/>
      <c r="K308" s="1204"/>
      <c r="L308" s="1180" t="s">
        <v>1392</v>
      </c>
      <c r="M308" s="1205">
        <v>277</v>
      </c>
      <c r="N308" s="1205"/>
    </row>
    <row r="309" spans="1:14" x14ac:dyDescent="0.25">
      <c r="A309" s="1224" t="s">
        <v>1383</v>
      </c>
      <c r="B309" s="1066" t="str">
        <f t="shared" ref="B309:B311" ca="1" si="34">_xlfn.CONCAT(IFERROR(SUBSTITUTE(ADDRESS(1,MATCH(A309,INDIRECT("'"&amp;E309&amp;"'"&amp;"!A10:Z10"),0),4),1,""),""),12)</f>
        <v>C12</v>
      </c>
      <c r="C309" s="1066" t="str">
        <f t="shared" ca="1" si="33"/>
        <v>C</v>
      </c>
      <c r="D309" s="1069" t="s">
        <v>1473</v>
      </c>
      <c r="E309" s="1069" t="s">
        <v>1382</v>
      </c>
      <c r="F309" s="1204"/>
      <c r="G309" s="1204"/>
      <c r="H309" s="1204"/>
      <c r="I309" s="1204"/>
      <c r="J309" s="1204"/>
      <c r="K309" s="1204"/>
      <c r="L309" s="1180" t="s">
        <v>254</v>
      </c>
      <c r="M309" s="1205">
        <v>278</v>
      </c>
      <c r="N309" s="1205"/>
    </row>
    <row r="310" spans="1:14" x14ac:dyDescent="0.25">
      <c r="A310" s="1224" t="s">
        <v>1348</v>
      </c>
      <c r="B310" s="1066" t="str">
        <f t="shared" ca="1" si="34"/>
        <v>H12</v>
      </c>
      <c r="C310" s="1066" t="str">
        <f t="shared" ca="1" si="33"/>
        <v>H</v>
      </c>
      <c r="D310" s="1069" t="s">
        <v>1473</v>
      </c>
      <c r="E310" s="1069" t="s">
        <v>1382</v>
      </c>
      <c r="F310" s="1204"/>
      <c r="G310" s="1204"/>
      <c r="H310" s="1204"/>
      <c r="I310" s="1204"/>
      <c r="J310" s="1204"/>
      <c r="K310" s="1204"/>
      <c r="L310" s="1180" t="s">
        <v>1348</v>
      </c>
      <c r="M310" s="1205">
        <v>279</v>
      </c>
      <c r="N310" s="1205"/>
    </row>
    <row r="311" spans="1:14" x14ac:dyDescent="0.25">
      <c r="A311" s="1224" t="s">
        <v>1386</v>
      </c>
      <c r="B311" s="1066" t="str">
        <f t="shared" ca="1" si="34"/>
        <v>F12</v>
      </c>
      <c r="C311" s="1066" t="str">
        <f t="shared" ca="1" si="33"/>
        <v>F</v>
      </c>
      <c r="D311" s="1069" t="s">
        <v>1473</v>
      </c>
      <c r="E311" s="1069" t="s">
        <v>1382</v>
      </c>
      <c r="F311" s="1204"/>
      <c r="G311" s="1204"/>
      <c r="H311" s="1204"/>
      <c r="I311" s="1204"/>
      <c r="J311" s="1204"/>
      <c r="K311" s="1204"/>
      <c r="L311" s="1180" t="s">
        <v>225</v>
      </c>
      <c r="M311" s="1205">
        <v>280</v>
      </c>
      <c r="N311" s="1205"/>
    </row>
    <row r="312" spans="1:14" x14ac:dyDescent="0.25">
      <c r="A312" s="1225" t="s">
        <v>466</v>
      </c>
      <c r="B312" s="1066" t="str">
        <f ca="1">_xlfn.CONCAT(IFERROR(SUBSTITUTE(ADDRESS(1,MATCH(A312,INDIRECT("'"&amp;E312&amp;"'"&amp;"!A9:Z9"),0),4),1,""),""),13)</f>
        <v>E13</v>
      </c>
      <c r="C312" s="1066" t="str">
        <f ca="1">_xlfn.CONCAT(IFERROR(SUBSTITUTE(ADDRESS(1,MATCH(A312,INDIRECT("'"&amp;E312&amp;"'"&amp;"!A9:Z9"),0),4),1,""),""))</f>
        <v>E</v>
      </c>
      <c r="D312" s="1230" t="s">
        <v>1473</v>
      </c>
      <c r="E312" s="1069" t="s">
        <v>208</v>
      </c>
      <c r="F312" s="1204"/>
      <c r="G312" s="1204"/>
      <c r="H312" s="1204"/>
      <c r="I312" s="1204"/>
      <c r="J312" s="1204"/>
      <c r="K312" s="1204"/>
      <c r="L312" s="1180" t="s">
        <v>466</v>
      </c>
      <c r="M312" s="1205">
        <v>281</v>
      </c>
      <c r="N312" s="1205"/>
    </row>
    <row r="313" spans="1:14" x14ac:dyDescent="0.25">
      <c r="A313" s="1225" t="s">
        <v>1385</v>
      </c>
      <c r="B313" s="1066" t="str">
        <f t="shared" ref="B313:B319" ca="1" si="35">_xlfn.CONCAT(IFERROR(SUBSTITUTE(ADDRESS(1,MATCH(A313,INDIRECT("'"&amp;E313&amp;"'"&amp;"!A10:Z10"),0),4),1,""),""),12)</f>
        <v>E12</v>
      </c>
      <c r="C313" s="1066" t="str">
        <f t="shared" ref="C313:C323" ca="1" si="36">_xlfn.CONCAT(IFERROR(SUBSTITUTE(ADDRESS(1,MATCH(A313,INDIRECT("'"&amp;E313&amp;"'"&amp;"!A10:Z10"),0),4),1,""),""))</f>
        <v>E</v>
      </c>
      <c r="D313" s="1069" t="s">
        <v>1473</v>
      </c>
      <c r="E313" s="1069" t="s">
        <v>1382</v>
      </c>
      <c r="F313" s="1204"/>
      <c r="G313" s="1204"/>
      <c r="H313" s="1204"/>
      <c r="I313" s="1204"/>
      <c r="J313" s="1204"/>
      <c r="K313" s="1204"/>
      <c r="L313" s="1180" t="s">
        <v>1385</v>
      </c>
      <c r="M313" s="1205">
        <v>282</v>
      </c>
      <c r="N313" s="1205"/>
    </row>
    <row r="314" spans="1:14" x14ac:dyDescent="0.25">
      <c r="A314" s="1225" t="s">
        <v>1387</v>
      </c>
      <c r="B314" s="1066" t="str">
        <f t="shared" ca="1" si="35"/>
        <v>G12</v>
      </c>
      <c r="C314" s="1066" t="str">
        <f t="shared" ca="1" si="36"/>
        <v>G</v>
      </c>
      <c r="D314" s="1069" t="s">
        <v>1473</v>
      </c>
      <c r="E314" s="1069" t="s">
        <v>1382</v>
      </c>
      <c r="F314" s="1204"/>
      <c r="G314" s="1204"/>
      <c r="H314" s="1204"/>
      <c r="I314" s="1204"/>
      <c r="J314" s="1204"/>
      <c r="K314" s="1204"/>
      <c r="L314" s="1180" t="s">
        <v>1387</v>
      </c>
      <c r="M314" s="1205">
        <v>283</v>
      </c>
      <c r="N314" s="1205"/>
    </row>
    <row r="315" spans="1:14" x14ac:dyDescent="0.25">
      <c r="A315" s="1225" t="s">
        <v>1388</v>
      </c>
      <c r="B315" s="1066" t="str">
        <f t="shared" ca="1" si="35"/>
        <v>I12</v>
      </c>
      <c r="C315" s="1066" t="str">
        <f t="shared" ca="1" si="36"/>
        <v>I</v>
      </c>
      <c r="D315" s="1069" t="s">
        <v>1473</v>
      </c>
      <c r="E315" s="1069" t="s">
        <v>1382</v>
      </c>
      <c r="F315" s="1204"/>
      <c r="G315" s="1204"/>
      <c r="H315" s="1204"/>
      <c r="I315" s="1204"/>
      <c r="J315" s="1204"/>
      <c r="K315" s="1204"/>
      <c r="L315" s="1180" t="s">
        <v>1388</v>
      </c>
      <c r="M315" s="1205">
        <v>284</v>
      </c>
      <c r="N315" s="1205"/>
    </row>
    <row r="316" spans="1:14" x14ac:dyDescent="0.25">
      <c r="A316" s="1225" t="s">
        <v>1389</v>
      </c>
      <c r="B316" s="1066" t="str">
        <f t="shared" ca="1" si="35"/>
        <v>J12</v>
      </c>
      <c r="C316" s="1066" t="str">
        <f t="shared" ca="1" si="36"/>
        <v>J</v>
      </c>
      <c r="D316" s="1069" t="s">
        <v>1473</v>
      </c>
      <c r="E316" s="1069" t="s">
        <v>1382</v>
      </c>
      <c r="F316" s="1204"/>
      <c r="G316" s="1204"/>
      <c r="H316" s="1204"/>
      <c r="I316" s="1204"/>
      <c r="J316" s="1204"/>
      <c r="K316" s="1204"/>
      <c r="L316" s="1180" t="s">
        <v>1389</v>
      </c>
      <c r="M316" s="1205">
        <v>285</v>
      </c>
      <c r="N316" s="1205"/>
    </row>
    <row r="317" spans="1:14" x14ac:dyDescent="0.25">
      <c r="A317" s="1225" t="s">
        <v>1390</v>
      </c>
      <c r="B317" s="1066" t="str">
        <f t="shared" ca="1" si="35"/>
        <v>K12</v>
      </c>
      <c r="C317" s="1066" t="str">
        <f t="shared" ca="1" si="36"/>
        <v>K</v>
      </c>
      <c r="D317" s="1069" t="s">
        <v>1473</v>
      </c>
      <c r="E317" s="1069" t="s">
        <v>1382</v>
      </c>
      <c r="F317" s="1204"/>
      <c r="G317" s="1204"/>
      <c r="H317" s="1204"/>
      <c r="I317" s="1204"/>
      <c r="J317" s="1204"/>
      <c r="K317" s="1204"/>
      <c r="L317" s="1180" t="s">
        <v>1390</v>
      </c>
      <c r="M317" s="1205">
        <v>286</v>
      </c>
      <c r="N317" s="1205"/>
    </row>
    <row r="318" spans="1:14" x14ac:dyDescent="0.25">
      <c r="A318" s="1225" t="s">
        <v>1391</v>
      </c>
      <c r="B318" s="1066" t="str">
        <f t="shared" ca="1" si="35"/>
        <v>L12</v>
      </c>
      <c r="C318" s="1066" t="str">
        <f t="shared" ca="1" si="36"/>
        <v>L</v>
      </c>
      <c r="D318" s="1069" t="s">
        <v>1473</v>
      </c>
      <c r="E318" s="1069" t="s">
        <v>1382</v>
      </c>
      <c r="F318" s="1204"/>
      <c r="G318" s="1204"/>
      <c r="H318" s="1204"/>
      <c r="I318" s="1204"/>
      <c r="J318" s="1204"/>
      <c r="K318" s="1204"/>
      <c r="L318" s="1180" t="s">
        <v>1391</v>
      </c>
      <c r="M318" s="1205">
        <v>287</v>
      </c>
      <c r="N318" s="1205"/>
    </row>
    <row r="319" spans="1:14" x14ac:dyDescent="0.25">
      <c r="A319" s="1225" t="s">
        <v>1329</v>
      </c>
      <c r="B319" s="1066" t="str">
        <f t="shared" ca="1" si="35"/>
        <v>M12</v>
      </c>
      <c r="C319" s="1066" t="str">
        <f t="shared" ca="1" si="36"/>
        <v>M</v>
      </c>
      <c r="D319" s="1069" t="s">
        <v>1473</v>
      </c>
      <c r="E319" s="1069" t="s">
        <v>1382</v>
      </c>
      <c r="F319" s="1204"/>
      <c r="G319" s="1204"/>
      <c r="H319" s="1204"/>
      <c r="I319" s="1204"/>
      <c r="J319" s="1204"/>
      <c r="K319" s="1204"/>
      <c r="L319" s="1180" t="s">
        <v>1329</v>
      </c>
      <c r="M319" s="1205">
        <v>288</v>
      </c>
      <c r="N319" s="1205"/>
    </row>
    <row r="320" spans="1:14" x14ac:dyDescent="0.25">
      <c r="A320" s="1220" t="s">
        <v>1392</v>
      </c>
      <c r="B320" s="1066" t="str">
        <f ca="1">_xlfn.CONCAT(IFERROR(SUBSTITUTE(ADDRESS(1,MATCH(A320,INDIRECT("'"&amp;E320&amp;"'"&amp;"!A10:Z10"),0),4),1,""),""),14)</f>
        <v>N14</v>
      </c>
      <c r="C320" s="1066" t="str">
        <f t="shared" ca="1" si="36"/>
        <v>N</v>
      </c>
      <c r="D320" s="1069" t="s">
        <v>1473</v>
      </c>
      <c r="E320" s="1069" t="s">
        <v>1382</v>
      </c>
      <c r="F320" s="1204"/>
      <c r="G320" s="1204"/>
      <c r="H320" s="1204"/>
      <c r="I320" s="1204"/>
      <c r="J320" s="1204"/>
      <c r="K320" s="1204"/>
      <c r="L320" s="1180" t="s">
        <v>1392</v>
      </c>
      <c r="M320" s="1205">
        <v>289</v>
      </c>
      <c r="N320" s="1205"/>
    </row>
    <row r="321" spans="1:14" x14ac:dyDescent="0.25">
      <c r="A321" s="1221" t="s">
        <v>1383</v>
      </c>
      <c r="B321" s="1066" t="str">
        <f t="shared" ref="B321:B323" ca="1" si="37">_xlfn.CONCAT(IFERROR(SUBSTITUTE(ADDRESS(1,MATCH(A321,INDIRECT("'"&amp;E321&amp;"'"&amp;"!A10:Z10"),0),4),1,""),""),14)</f>
        <v>C14</v>
      </c>
      <c r="C321" s="1066" t="str">
        <f t="shared" ca="1" si="36"/>
        <v>C</v>
      </c>
      <c r="D321" s="1069" t="s">
        <v>1473</v>
      </c>
      <c r="E321" s="1069" t="s">
        <v>1382</v>
      </c>
      <c r="F321" s="1204"/>
      <c r="G321" s="1204"/>
      <c r="H321" s="1204"/>
      <c r="I321" s="1204"/>
      <c r="J321" s="1204"/>
      <c r="K321" s="1204"/>
      <c r="L321" s="1180" t="s">
        <v>254</v>
      </c>
      <c r="M321" s="1205">
        <v>290</v>
      </c>
      <c r="N321" s="1205"/>
    </row>
    <row r="322" spans="1:14" x14ac:dyDescent="0.25">
      <c r="A322" s="1221" t="s">
        <v>1348</v>
      </c>
      <c r="B322" s="1066" t="str">
        <f t="shared" ca="1" si="37"/>
        <v>H14</v>
      </c>
      <c r="C322" s="1066" t="str">
        <f t="shared" ca="1" si="36"/>
        <v>H</v>
      </c>
      <c r="D322" s="1069" t="s">
        <v>1473</v>
      </c>
      <c r="E322" s="1069" t="s">
        <v>1382</v>
      </c>
      <c r="F322" s="1204"/>
      <c r="G322" s="1204"/>
      <c r="H322" s="1204"/>
      <c r="I322" s="1204"/>
      <c r="J322" s="1204"/>
      <c r="K322" s="1204"/>
      <c r="L322" s="1180" t="s">
        <v>1348</v>
      </c>
      <c r="M322" s="1205">
        <v>291</v>
      </c>
      <c r="N322" s="1205"/>
    </row>
    <row r="323" spans="1:14" x14ac:dyDescent="0.25">
      <c r="A323" s="1221" t="s">
        <v>1386</v>
      </c>
      <c r="B323" s="1066" t="str">
        <f t="shared" ca="1" si="37"/>
        <v>F14</v>
      </c>
      <c r="C323" s="1066" t="str">
        <f t="shared" ca="1" si="36"/>
        <v>F</v>
      </c>
      <c r="D323" s="1069" t="s">
        <v>1473</v>
      </c>
      <c r="E323" s="1069" t="s">
        <v>1382</v>
      </c>
      <c r="F323" s="1204"/>
      <c r="G323" s="1204"/>
      <c r="H323" s="1204"/>
      <c r="I323" s="1204"/>
      <c r="J323" s="1204"/>
      <c r="K323" s="1204"/>
      <c r="L323" s="1180" t="s">
        <v>225</v>
      </c>
      <c r="M323" s="1205">
        <v>292</v>
      </c>
      <c r="N323" s="1205"/>
    </row>
    <row r="324" spans="1:14" x14ac:dyDescent="0.25">
      <c r="A324" s="1222" t="s">
        <v>466</v>
      </c>
      <c r="B324" s="1066" t="str">
        <f ca="1">_xlfn.CONCAT(IFERROR(SUBSTITUTE(ADDRESS(1,MATCH(A324,INDIRECT("'"&amp;E324&amp;"'"&amp;"!A9:Z9"),0),4),1,""),""),14)</f>
        <v>E14</v>
      </c>
      <c r="C324" s="1066" t="str">
        <f ca="1">_xlfn.CONCAT(IFERROR(SUBSTITUTE(ADDRESS(1,MATCH(A324,INDIRECT("'"&amp;E324&amp;"'"&amp;"!A9:Z9"),0),4),1,""),""))</f>
        <v>E</v>
      </c>
      <c r="D324" s="1230" t="s">
        <v>1473</v>
      </c>
      <c r="E324" s="1069" t="s">
        <v>208</v>
      </c>
      <c r="F324" s="1204"/>
      <c r="G324" s="1204"/>
      <c r="H324" s="1204"/>
      <c r="I324" s="1204"/>
      <c r="J324" s="1204"/>
      <c r="K324" s="1204"/>
      <c r="L324" s="1180" t="s">
        <v>466</v>
      </c>
      <c r="M324" s="1205">
        <v>293</v>
      </c>
      <c r="N324" s="1205"/>
    </row>
    <row r="325" spans="1:14" x14ac:dyDescent="0.25">
      <c r="A325" s="1222" t="s">
        <v>1385</v>
      </c>
      <c r="B325" s="1066" t="str">
        <f t="shared" ref="B325:B331" ca="1" si="38">_xlfn.CONCAT(IFERROR(SUBSTITUTE(ADDRESS(1,MATCH(A325,INDIRECT("'"&amp;E325&amp;"'"&amp;"!A10:Z10"),0),4),1,""),""),14)</f>
        <v>E14</v>
      </c>
      <c r="C325" s="1066" t="str">
        <f t="shared" ref="C325:C335" ca="1" si="39">_xlfn.CONCAT(IFERROR(SUBSTITUTE(ADDRESS(1,MATCH(A325,INDIRECT("'"&amp;E325&amp;"'"&amp;"!A10:Z10"),0),4),1,""),""))</f>
        <v>E</v>
      </c>
      <c r="D325" s="1069" t="s">
        <v>1473</v>
      </c>
      <c r="E325" s="1069" t="s">
        <v>1382</v>
      </c>
      <c r="F325" s="1204"/>
      <c r="G325" s="1204"/>
      <c r="H325" s="1204"/>
      <c r="I325" s="1204"/>
      <c r="J325" s="1204"/>
      <c r="K325" s="1204"/>
      <c r="L325" s="1180" t="s">
        <v>1385</v>
      </c>
      <c r="M325" s="1205">
        <v>294</v>
      </c>
      <c r="N325" s="1205"/>
    </row>
    <row r="326" spans="1:14" x14ac:dyDescent="0.25">
      <c r="A326" s="1222" t="s">
        <v>1387</v>
      </c>
      <c r="B326" s="1066" t="str">
        <f t="shared" ca="1" si="38"/>
        <v>G14</v>
      </c>
      <c r="C326" s="1066" t="str">
        <f t="shared" ca="1" si="39"/>
        <v>G</v>
      </c>
      <c r="D326" s="1069" t="s">
        <v>1473</v>
      </c>
      <c r="E326" s="1069" t="s">
        <v>1382</v>
      </c>
      <c r="F326" s="1204"/>
      <c r="G326" s="1204"/>
      <c r="H326" s="1204"/>
      <c r="I326" s="1204"/>
      <c r="J326" s="1204"/>
      <c r="K326" s="1204"/>
      <c r="L326" s="1180" t="s">
        <v>1387</v>
      </c>
      <c r="M326" s="1205">
        <v>295</v>
      </c>
      <c r="N326" s="1205"/>
    </row>
    <row r="327" spans="1:14" x14ac:dyDescent="0.25">
      <c r="A327" s="1222" t="s">
        <v>1388</v>
      </c>
      <c r="B327" s="1066" t="str">
        <f t="shared" ca="1" si="38"/>
        <v>I14</v>
      </c>
      <c r="C327" s="1066" t="str">
        <f t="shared" ca="1" si="39"/>
        <v>I</v>
      </c>
      <c r="D327" s="1069" t="s">
        <v>1473</v>
      </c>
      <c r="E327" s="1069" t="s">
        <v>1382</v>
      </c>
      <c r="F327" s="1204"/>
      <c r="G327" s="1204"/>
      <c r="H327" s="1204"/>
      <c r="I327" s="1204"/>
      <c r="J327" s="1204"/>
      <c r="K327" s="1204"/>
      <c r="L327" s="1180" t="s">
        <v>1388</v>
      </c>
      <c r="M327" s="1205">
        <v>296</v>
      </c>
      <c r="N327" s="1205"/>
    </row>
    <row r="328" spans="1:14" x14ac:dyDescent="0.25">
      <c r="A328" s="1222" t="s">
        <v>1389</v>
      </c>
      <c r="B328" s="1066" t="str">
        <f t="shared" ca="1" si="38"/>
        <v>J14</v>
      </c>
      <c r="C328" s="1066" t="str">
        <f t="shared" ca="1" si="39"/>
        <v>J</v>
      </c>
      <c r="D328" s="1069" t="s">
        <v>1473</v>
      </c>
      <c r="E328" s="1069" t="s">
        <v>1382</v>
      </c>
      <c r="F328" s="1204"/>
      <c r="G328" s="1204"/>
      <c r="H328" s="1204"/>
      <c r="I328" s="1204"/>
      <c r="J328" s="1204"/>
      <c r="K328" s="1204"/>
      <c r="L328" s="1180" t="s">
        <v>1389</v>
      </c>
      <c r="M328" s="1205">
        <v>297</v>
      </c>
      <c r="N328" s="1205"/>
    </row>
    <row r="329" spans="1:14" x14ac:dyDescent="0.25">
      <c r="A329" s="1222" t="s">
        <v>1390</v>
      </c>
      <c r="B329" s="1066" t="str">
        <f t="shared" ca="1" si="38"/>
        <v>K14</v>
      </c>
      <c r="C329" s="1066" t="str">
        <f t="shared" ca="1" si="39"/>
        <v>K</v>
      </c>
      <c r="D329" s="1069" t="s">
        <v>1473</v>
      </c>
      <c r="E329" s="1069" t="s">
        <v>1382</v>
      </c>
      <c r="F329" s="1204"/>
      <c r="G329" s="1204"/>
      <c r="H329" s="1204"/>
      <c r="I329" s="1204"/>
      <c r="J329" s="1204"/>
      <c r="K329" s="1204"/>
      <c r="L329" s="1180" t="s">
        <v>1390</v>
      </c>
      <c r="M329" s="1205">
        <v>298</v>
      </c>
      <c r="N329" s="1205"/>
    </row>
    <row r="330" spans="1:14" x14ac:dyDescent="0.25">
      <c r="A330" s="1222" t="s">
        <v>1391</v>
      </c>
      <c r="B330" s="1066" t="str">
        <f t="shared" ca="1" si="38"/>
        <v>L14</v>
      </c>
      <c r="C330" s="1066" t="str">
        <f t="shared" ca="1" si="39"/>
        <v>L</v>
      </c>
      <c r="D330" s="1069" t="s">
        <v>1473</v>
      </c>
      <c r="E330" s="1069" t="s">
        <v>1382</v>
      </c>
      <c r="F330" s="1204"/>
      <c r="G330" s="1204"/>
      <c r="H330" s="1204"/>
      <c r="I330" s="1204"/>
      <c r="J330" s="1204"/>
      <c r="K330" s="1204"/>
      <c r="L330" s="1180" t="s">
        <v>1391</v>
      </c>
      <c r="M330" s="1205">
        <v>299</v>
      </c>
      <c r="N330" s="1205"/>
    </row>
    <row r="331" spans="1:14" x14ac:dyDescent="0.25">
      <c r="A331" s="1222" t="s">
        <v>1329</v>
      </c>
      <c r="B331" s="1066" t="str">
        <f t="shared" ca="1" si="38"/>
        <v>M14</v>
      </c>
      <c r="C331" s="1066" t="str">
        <f t="shared" ca="1" si="39"/>
        <v>M</v>
      </c>
      <c r="D331" s="1069" t="s">
        <v>1473</v>
      </c>
      <c r="E331" s="1069" t="s">
        <v>1382</v>
      </c>
      <c r="F331" s="1204"/>
      <c r="G331" s="1204"/>
      <c r="H331" s="1204"/>
      <c r="I331" s="1204"/>
      <c r="J331" s="1204"/>
      <c r="K331" s="1204"/>
      <c r="L331" s="1180" t="s">
        <v>1329</v>
      </c>
      <c r="M331" s="1205">
        <v>300</v>
      </c>
      <c r="N331" s="1205"/>
    </row>
    <row r="332" spans="1:14" x14ac:dyDescent="0.25">
      <c r="A332" s="1223" t="s">
        <v>1392</v>
      </c>
      <c r="B332" s="1066" t="str">
        <f ca="1">_xlfn.CONCAT(IFERROR(SUBSTITUTE(ADDRESS(1,MATCH(A332,INDIRECT("'"&amp;E332&amp;"'"&amp;"!A10:Z10"),0),4),1,""),""),15)</f>
        <v>N15</v>
      </c>
      <c r="C332" s="1066" t="str">
        <f t="shared" ca="1" si="39"/>
        <v>N</v>
      </c>
      <c r="D332" s="1069" t="s">
        <v>1473</v>
      </c>
      <c r="E332" s="1069" t="s">
        <v>1382</v>
      </c>
      <c r="F332" s="1204"/>
      <c r="G332" s="1204"/>
      <c r="H332" s="1204"/>
      <c r="I332" s="1204"/>
      <c r="J332" s="1204"/>
      <c r="K332" s="1204"/>
      <c r="L332" s="1180" t="s">
        <v>1392</v>
      </c>
      <c r="M332" s="1205">
        <v>301</v>
      </c>
      <c r="N332" s="1205"/>
    </row>
    <row r="333" spans="1:14" x14ac:dyDescent="0.25">
      <c r="A333" s="1224" t="s">
        <v>1383</v>
      </c>
      <c r="B333" s="1066" t="str">
        <f t="shared" ref="B333:B335" ca="1" si="40">_xlfn.CONCAT(IFERROR(SUBSTITUTE(ADDRESS(1,MATCH(A333,INDIRECT("'"&amp;E333&amp;"'"&amp;"!A10:Z10"),0),4),1,""),""),15)</f>
        <v>C15</v>
      </c>
      <c r="C333" s="1066" t="str">
        <f t="shared" ca="1" si="39"/>
        <v>C</v>
      </c>
      <c r="D333" s="1069" t="s">
        <v>1473</v>
      </c>
      <c r="E333" s="1069" t="s">
        <v>1382</v>
      </c>
      <c r="F333" s="1204"/>
      <c r="G333" s="1204"/>
      <c r="H333" s="1204"/>
      <c r="I333" s="1204"/>
      <c r="J333" s="1204"/>
      <c r="K333" s="1204"/>
      <c r="L333" s="1180" t="s">
        <v>254</v>
      </c>
      <c r="M333" s="1205">
        <v>302</v>
      </c>
      <c r="N333" s="1205"/>
    </row>
    <row r="334" spans="1:14" x14ac:dyDescent="0.25">
      <c r="A334" s="1224" t="s">
        <v>1348</v>
      </c>
      <c r="B334" s="1066" t="str">
        <f t="shared" ca="1" si="40"/>
        <v>H15</v>
      </c>
      <c r="C334" s="1066" t="str">
        <f t="shared" ca="1" si="39"/>
        <v>H</v>
      </c>
      <c r="D334" s="1069" t="s">
        <v>1473</v>
      </c>
      <c r="E334" s="1069" t="s">
        <v>1382</v>
      </c>
      <c r="F334" s="1204"/>
      <c r="G334" s="1204"/>
      <c r="H334" s="1204"/>
      <c r="I334" s="1204"/>
      <c r="J334" s="1204"/>
      <c r="K334" s="1204"/>
      <c r="L334" s="1180" t="s">
        <v>1348</v>
      </c>
      <c r="M334" s="1205">
        <v>303</v>
      </c>
      <c r="N334" s="1205"/>
    </row>
    <row r="335" spans="1:14" x14ac:dyDescent="0.25">
      <c r="A335" s="1224" t="s">
        <v>1386</v>
      </c>
      <c r="B335" s="1066" t="str">
        <f t="shared" ca="1" si="40"/>
        <v>F15</v>
      </c>
      <c r="C335" s="1066" t="str">
        <f t="shared" ca="1" si="39"/>
        <v>F</v>
      </c>
      <c r="D335" s="1069" t="s">
        <v>1473</v>
      </c>
      <c r="E335" s="1069" t="s">
        <v>1382</v>
      </c>
      <c r="F335" s="1204"/>
      <c r="G335" s="1204"/>
      <c r="H335" s="1204"/>
      <c r="I335" s="1204"/>
      <c r="J335" s="1204"/>
      <c r="K335" s="1204"/>
      <c r="L335" s="1180" t="s">
        <v>225</v>
      </c>
      <c r="M335" s="1205">
        <v>304</v>
      </c>
      <c r="N335" s="1205"/>
    </row>
    <row r="336" spans="1:14" x14ac:dyDescent="0.25">
      <c r="A336" s="1225" t="s">
        <v>466</v>
      </c>
      <c r="B336" s="1066" t="str">
        <f ca="1">_xlfn.CONCAT(IFERROR(SUBSTITUTE(ADDRESS(1,MATCH(A336,INDIRECT("'"&amp;E336&amp;"'"&amp;"!A9:Z9"),0),4),1,""),""),15)</f>
        <v>E15</v>
      </c>
      <c r="C336" s="1066" t="str">
        <f ca="1">_xlfn.CONCAT(IFERROR(SUBSTITUTE(ADDRESS(1,MATCH(A336,INDIRECT("'"&amp;E336&amp;"'"&amp;"!A9:Z9"),0),4),1,""),""))</f>
        <v>E</v>
      </c>
      <c r="D336" s="1230" t="s">
        <v>1473</v>
      </c>
      <c r="E336" s="1069" t="s">
        <v>208</v>
      </c>
      <c r="F336" s="1204"/>
      <c r="G336" s="1204"/>
      <c r="H336" s="1204"/>
      <c r="I336" s="1204"/>
      <c r="J336" s="1204"/>
      <c r="K336" s="1204"/>
      <c r="L336" s="1180" t="s">
        <v>466</v>
      </c>
      <c r="M336" s="1205">
        <v>305</v>
      </c>
      <c r="N336" s="1205"/>
    </row>
    <row r="337" spans="1:14" x14ac:dyDescent="0.25">
      <c r="A337" s="1225" t="s">
        <v>1385</v>
      </c>
      <c r="B337" s="1066" t="str">
        <f t="shared" ref="B337:B343" ca="1" si="41">_xlfn.CONCAT(IFERROR(SUBSTITUTE(ADDRESS(1,MATCH(A337,INDIRECT("'"&amp;E337&amp;"'"&amp;"!A10:Z10"),0),4),1,""),""),15)</f>
        <v>E15</v>
      </c>
      <c r="C337" s="1066" t="str">
        <f t="shared" ref="C337:C347" ca="1" si="42">_xlfn.CONCAT(IFERROR(SUBSTITUTE(ADDRESS(1,MATCH(A337,INDIRECT("'"&amp;E337&amp;"'"&amp;"!A10:Z10"),0),4),1,""),""))</f>
        <v>E</v>
      </c>
      <c r="D337" s="1069" t="s">
        <v>1473</v>
      </c>
      <c r="E337" s="1069" t="s">
        <v>1382</v>
      </c>
      <c r="F337" s="1204"/>
      <c r="G337" s="1204"/>
      <c r="H337" s="1204"/>
      <c r="I337" s="1204"/>
      <c r="J337" s="1204"/>
      <c r="K337" s="1204"/>
      <c r="L337" s="1180" t="s">
        <v>1385</v>
      </c>
      <c r="M337" s="1205">
        <v>306</v>
      </c>
      <c r="N337" s="1205"/>
    </row>
    <row r="338" spans="1:14" x14ac:dyDescent="0.25">
      <c r="A338" s="1225" t="s">
        <v>1387</v>
      </c>
      <c r="B338" s="1066" t="str">
        <f t="shared" ca="1" si="41"/>
        <v>G15</v>
      </c>
      <c r="C338" s="1066" t="str">
        <f t="shared" ca="1" si="42"/>
        <v>G</v>
      </c>
      <c r="D338" s="1069" t="s">
        <v>1473</v>
      </c>
      <c r="E338" s="1069" t="s">
        <v>1382</v>
      </c>
      <c r="F338" s="1204"/>
      <c r="G338" s="1204"/>
      <c r="H338" s="1204"/>
      <c r="I338" s="1204"/>
      <c r="J338" s="1204"/>
      <c r="K338" s="1204"/>
      <c r="L338" s="1180" t="s">
        <v>1387</v>
      </c>
      <c r="M338" s="1205">
        <v>307</v>
      </c>
      <c r="N338" s="1205"/>
    </row>
    <row r="339" spans="1:14" x14ac:dyDescent="0.25">
      <c r="A339" s="1225" t="s">
        <v>1388</v>
      </c>
      <c r="B339" s="1066" t="str">
        <f t="shared" ca="1" si="41"/>
        <v>I15</v>
      </c>
      <c r="C339" s="1066" t="str">
        <f t="shared" ca="1" si="42"/>
        <v>I</v>
      </c>
      <c r="D339" s="1069" t="s">
        <v>1473</v>
      </c>
      <c r="E339" s="1069" t="s">
        <v>1382</v>
      </c>
      <c r="F339" s="1204"/>
      <c r="G339" s="1204"/>
      <c r="H339" s="1204"/>
      <c r="I339" s="1204"/>
      <c r="J339" s="1204"/>
      <c r="K339" s="1204"/>
      <c r="L339" s="1180" t="s">
        <v>1388</v>
      </c>
      <c r="M339" s="1205">
        <v>308</v>
      </c>
      <c r="N339" s="1205"/>
    </row>
    <row r="340" spans="1:14" x14ac:dyDescent="0.25">
      <c r="A340" s="1225" t="s">
        <v>1389</v>
      </c>
      <c r="B340" s="1066" t="str">
        <f t="shared" ca="1" si="41"/>
        <v>J15</v>
      </c>
      <c r="C340" s="1066" t="str">
        <f t="shared" ca="1" si="42"/>
        <v>J</v>
      </c>
      <c r="D340" s="1069" t="s">
        <v>1473</v>
      </c>
      <c r="E340" s="1069" t="s">
        <v>1382</v>
      </c>
      <c r="F340" s="1204"/>
      <c r="G340" s="1204"/>
      <c r="H340" s="1204"/>
      <c r="I340" s="1204"/>
      <c r="J340" s="1204"/>
      <c r="K340" s="1204"/>
      <c r="L340" s="1180" t="s">
        <v>1389</v>
      </c>
      <c r="M340" s="1205">
        <v>309</v>
      </c>
      <c r="N340" s="1205"/>
    </row>
    <row r="341" spans="1:14" x14ac:dyDescent="0.25">
      <c r="A341" s="1225" t="s">
        <v>1390</v>
      </c>
      <c r="B341" s="1066" t="str">
        <f t="shared" ca="1" si="41"/>
        <v>K15</v>
      </c>
      <c r="C341" s="1066" t="str">
        <f t="shared" ca="1" si="42"/>
        <v>K</v>
      </c>
      <c r="D341" s="1069" t="s">
        <v>1473</v>
      </c>
      <c r="E341" s="1069" t="s">
        <v>1382</v>
      </c>
      <c r="F341" s="1204"/>
      <c r="G341" s="1204"/>
      <c r="H341" s="1204"/>
      <c r="I341" s="1204"/>
      <c r="J341" s="1204"/>
      <c r="K341" s="1204"/>
      <c r="L341" s="1180" t="s">
        <v>1390</v>
      </c>
      <c r="M341" s="1205">
        <v>310</v>
      </c>
      <c r="N341" s="1205"/>
    </row>
    <row r="342" spans="1:14" x14ac:dyDescent="0.25">
      <c r="A342" s="1225" t="s">
        <v>1391</v>
      </c>
      <c r="B342" s="1066" t="str">
        <f t="shared" ca="1" si="41"/>
        <v>L15</v>
      </c>
      <c r="C342" s="1066" t="str">
        <f t="shared" ca="1" si="42"/>
        <v>L</v>
      </c>
      <c r="D342" s="1069" t="s">
        <v>1473</v>
      </c>
      <c r="E342" s="1069" t="s">
        <v>1382</v>
      </c>
      <c r="F342" s="1204"/>
      <c r="G342" s="1204"/>
      <c r="H342" s="1204"/>
      <c r="I342" s="1204"/>
      <c r="J342" s="1204"/>
      <c r="K342" s="1204"/>
      <c r="L342" s="1180" t="s">
        <v>1391</v>
      </c>
      <c r="M342" s="1205">
        <v>311</v>
      </c>
      <c r="N342" s="1205"/>
    </row>
    <row r="343" spans="1:14" x14ac:dyDescent="0.25">
      <c r="A343" s="1225" t="s">
        <v>1329</v>
      </c>
      <c r="B343" s="1066" t="str">
        <f t="shared" ca="1" si="41"/>
        <v>M15</v>
      </c>
      <c r="C343" s="1066" t="str">
        <f t="shared" ca="1" si="42"/>
        <v>M</v>
      </c>
      <c r="D343" s="1069" t="s">
        <v>1473</v>
      </c>
      <c r="E343" s="1069" t="s">
        <v>1382</v>
      </c>
      <c r="F343" s="1204"/>
      <c r="G343" s="1204"/>
      <c r="H343" s="1204"/>
      <c r="I343" s="1204"/>
      <c r="J343" s="1204"/>
      <c r="K343" s="1204"/>
      <c r="L343" s="1180" t="s">
        <v>1329</v>
      </c>
      <c r="M343" s="1205">
        <v>312</v>
      </c>
      <c r="N343" s="1205"/>
    </row>
    <row r="344" spans="1:14" x14ac:dyDescent="0.25">
      <c r="A344" s="1220" t="s">
        <v>1392</v>
      </c>
      <c r="B344" s="1066" t="str">
        <f ca="1">_xlfn.CONCAT(IFERROR(SUBSTITUTE(ADDRESS(1,MATCH(A344,INDIRECT("'"&amp;E344&amp;"'"&amp;"!A10:Z10"),0),4),1,""),""),17)</f>
        <v>N17</v>
      </c>
      <c r="C344" s="1066" t="str">
        <f t="shared" ca="1" si="42"/>
        <v>N</v>
      </c>
      <c r="D344" s="1069" t="s">
        <v>1473</v>
      </c>
      <c r="E344" s="1069" t="s">
        <v>1382</v>
      </c>
      <c r="F344" s="1204"/>
      <c r="G344" s="1204"/>
      <c r="H344" s="1204"/>
      <c r="I344" s="1204"/>
      <c r="J344" s="1204"/>
      <c r="K344" s="1204"/>
      <c r="L344" s="1180" t="s">
        <v>1392</v>
      </c>
      <c r="M344" s="1205">
        <v>313</v>
      </c>
      <c r="N344" s="1205"/>
    </row>
    <row r="345" spans="1:14" x14ac:dyDescent="0.25">
      <c r="A345" s="1221" t="s">
        <v>1383</v>
      </c>
      <c r="B345" s="1066" t="str">
        <f t="shared" ref="B345:B347" ca="1" si="43">_xlfn.CONCAT(IFERROR(SUBSTITUTE(ADDRESS(1,MATCH(A345,INDIRECT("'"&amp;E345&amp;"'"&amp;"!A10:Z10"),0),4),1,""),""),17)</f>
        <v>C17</v>
      </c>
      <c r="C345" s="1066" t="str">
        <f t="shared" ca="1" si="42"/>
        <v>C</v>
      </c>
      <c r="D345" s="1069" t="s">
        <v>1473</v>
      </c>
      <c r="E345" s="1069" t="s">
        <v>1382</v>
      </c>
      <c r="F345" s="1204"/>
      <c r="G345" s="1204"/>
      <c r="H345" s="1204"/>
      <c r="I345" s="1204"/>
      <c r="J345" s="1204"/>
      <c r="K345" s="1204"/>
      <c r="L345" s="1180" t="s">
        <v>254</v>
      </c>
      <c r="M345" s="1205">
        <v>314</v>
      </c>
      <c r="N345" s="1205"/>
    </row>
    <row r="346" spans="1:14" x14ac:dyDescent="0.25">
      <c r="A346" s="1221" t="s">
        <v>1348</v>
      </c>
      <c r="B346" s="1066" t="str">
        <f t="shared" ca="1" si="43"/>
        <v>H17</v>
      </c>
      <c r="C346" s="1066" t="str">
        <f t="shared" ca="1" si="42"/>
        <v>H</v>
      </c>
      <c r="D346" s="1069" t="s">
        <v>1473</v>
      </c>
      <c r="E346" s="1069" t="s">
        <v>1382</v>
      </c>
      <c r="F346" s="1204"/>
      <c r="G346" s="1204"/>
      <c r="H346" s="1204"/>
      <c r="I346" s="1204"/>
      <c r="J346" s="1204"/>
      <c r="K346" s="1204"/>
      <c r="L346" s="1180" t="s">
        <v>1348</v>
      </c>
      <c r="M346" s="1205">
        <v>315</v>
      </c>
      <c r="N346" s="1205"/>
    </row>
    <row r="347" spans="1:14" x14ac:dyDescent="0.25">
      <c r="A347" s="1221" t="s">
        <v>1386</v>
      </c>
      <c r="B347" s="1066" t="str">
        <f t="shared" ca="1" si="43"/>
        <v>F17</v>
      </c>
      <c r="C347" s="1066" t="str">
        <f t="shared" ca="1" si="42"/>
        <v>F</v>
      </c>
      <c r="D347" s="1069" t="s">
        <v>1473</v>
      </c>
      <c r="E347" s="1069" t="s">
        <v>1382</v>
      </c>
      <c r="F347" s="1204"/>
      <c r="G347" s="1204"/>
      <c r="H347" s="1204"/>
      <c r="I347" s="1204"/>
      <c r="J347" s="1204"/>
      <c r="K347" s="1204"/>
      <c r="L347" s="1180" t="s">
        <v>225</v>
      </c>
      <c r="M347" s="1205">
        <v>316</v>
      </c>
      <c r="N347" s="1205"/>
    </row>
    <row r="348" spans="1:14" x14ac:dyDescent="0.25">
      <c r="A348" s="1222" t="s">
        <v>466</v>
      </c>
      <c r="B348" s="1066" t="str">
        <f ca="1">_xlfn.CONCAT(IFERROR(SUBSTITUTE(ADDRESS(1,MATCH(A348,INDIRECT("'"&amp;E348&amp;"'"&amp;"!A9:Z9"),0),4),1,""),""),16)</f>
        <v>E16</v>
      </c>
      <c r="C348" s="1066" t="str">
        <f ca="1">_xlfn.CONCAT(IFERROR(SUBSTITUTE(ADDRESS(1,MATCH(A348,INDIRECT("'"&amp;E348&amp;"'"&amp;"!A9:Z9"),0),4),1,""),""))</f>
        <v>E</v>
      </c>
      <c r="D348" s="1230" t="s">
        <v>1473</v>
      </c>
      <c r="E348" s="1069" t="s">
        <v>208</v>
      </c>
      <c r="F348" s="1204"/>
      <c r="G348" s="1204"/>
      <c r="H348" s="1204"/>
      <c r="I348" s="1204"/>
      <c r="J348" s="1204"/>
      <c r="K348" s="1204"/>
      <c r="L348" s="1180" t="s">
        <v>466</v>
      </c>
      <c r="M348" s="1205">
        <v>317</v>
      </c>
      <c r="N348" s="1205"/>
    </row>
    <row r="349" spans="1:14" x14ac:dyDescent="0.25">
      <c r="A349" s="1222" t="s">
        <v>1385</v>
      </c>
      <c r="B349" s="1066" t="str">
        <f t="shared" ref="B349:B355" ca="1" si="44">_xlfn.CONCAT(IFERROR(SUBSTITUTE(ADDRESS(1,MATCH(A349,INDIRECT("'"&amp;E349&amp;"'"&amp;"!A10:Z10"),0),4),1,""),""),17)</f>
        <v>E17</v>
      </c>
      <c r="C349" s="1066" t="str">
        <f t="shared" ref="C349:C359" ca="1" si="45">_xlfn.CONCAT(IFERROR(SUBSTITUTE(ADDRESS(1,MATCH(A349,INDIRECT("'"&amp;E349&amp;"'"&amp;"!A10:Z10"),0),4),1,""),""))</f>
        <v>E</v>
      </c>
      <c r="D349" s="1069" t="s">
        <v>1473</v>
      </c>
      <c r="E349" s="1069" t="s">
        <v>1382</v>
      </c>
      <c r="F349" s="1204"/>
      <c r="G349" s="1204"/>
      <c r="H349" s="1204"/>
      <c r="I349" s="1204"/>
      <c r="J349" s="1204"/>
      <c r="K349" s="1204"/>
      <c r="L349" s="1180" t="s">
        <v>1385</v>
      </c>
      <c r="M349" s="1205">
        <v>318</v>
      </c>
      <c r="N349" s="1205"/>
    </row>
    <row r="350" spans="1:14" x14ac:dyDescent="0.25">
      <c r="A350" s="1222" t="s">
        <v>1387</v>
      </c>
      <c r="B350" s="1066" t="str">
        <f t="shared" ca="1" si="44"/>
        <v>G17</v>
      </c>
      <c r="C350" s="1066" t="str">
        <f t="shared" ca="1" si="45"/>
        <v>G</v>
      </c>
      <c r="D350" s="1069" t="s">
        <v>1473</v>
      </c>
      <c r="E350" s="1069" t="s">
        <v>1382</v>
      </c>
      <c r="F350" s="1204"/>
      <c r="G350" s="1204"/>
      <c r="H350" s="1204"/>
      <c r="I350" s="1204"/>
      <c r="J350" s="1204"/>
      <c r="K350" s="1204"/>
      <c r="L350" s="1180" t="s">
        <v>1387</v>
      </c>
      <c r="M350" s="1205">
        <v>319</v>
      </c>
      <c r="N350" s="1205"/>
    </row>
    <row r="351" spans="1:14" x14ac:dyDescent="0.25">
      <c r="A351" s="1222" t="s">
        <v>1388</v>
      </c>
      <c r="B351" s="1066" t="str">
        <f t="shared" ca="1" si="44"/>
        <v>I17</v>
      </c>
      <c r="C351" s="1066" t="str">
        <f t="shared" ca="1" si="45"/>
        <v>I</v>
      </c>
      <c r="D351" s="1069" t="s">
        <v>1473</v>
      </c>
      <c r="E351" s="1069" t="s">
        <v>1382</v>
      </c>
      <c r="F351" s="1204"/>
      <c r="G351" s="1204"/>
      <c r="H351" s="1204"/>
      <c r="I351" s="1204"/>
      <c r="J351" s="1204"/>
      <c r="K351" s="1204"/>
      <c r="L351" s="1180" t="s">
        <v>1388</v>
      </c>
      <c r="M351" s="1205">
        <v>320</v>
      </c>
      <c r="N351" s="1205"/>
    </row>
    <row r="352" spans="1:14" x14ac:dyDescent="0.25">
      <c r="A352" s="1222" t="s">
        <v>1389</v>
      </c>
      <c r="B352" s="1066" t="str">
        <f t="shared" ca="1" si="44"/>
        <v>J17</v>
      </c>
      <c r="C352" s="1066" t="str">
        <f t="shared" ca="1" si="45"/>
        <v>J</v>
      </c>
      <c r="D352" s="1069" t="s">
        <v>1473</v>
      </c>
      <c r="E352" s="1069" t="s">
        <v>1382</v>
      </c>
      <c r="F352" s="1204"/>
      <c r="G352" s="1204"/>
      <c r="H352" s="1204"/>
      <c r="I352" s="1204"/>
      <c r="J352" s="1204"/>
      <c r="K352" s="1204"/>
      <c r="L352" s="1180" t="s">
        <v>1389</v>
      </c>
      <c r="M352" s="1205">
        <v>321</v>
      </c>
      <c r="N352" s="1205"/>
    </row>
    <row r="353" spans="1:14" x14ac:dyDescent="0.25">
      <c r="A353" s="1222" t="s">
        <v>1390</v>
      </c>
      <c r="B353" s="1066" t="str">
        <f t="shared" ca="1" si="44"/>
        <v>K17</v>
      </c>
      <c r="C353" s="1066" t="str">
        <f t="shared" ca="1" si="45"/>
        <v>K</v>
      </c>
      <c r="D353" s="1069" t="s">
        <v>1473</v>
      </c>
      <c r="E353" s="1069" t="s">
        <v>1382</v>
      </c>
      <c r="F353" s="1204"/>
      <c r="G353" s="1204"/>
      <c r="H353" s="1204"/>
      <c r="I353" s="1204"/>
      <c r="J353" s="1204"/>
      <c r="K353" s="1204"/>
      <c r="L353" s="1180" t="s">
        <v>1390</v>
      </c>
      <c r="M353" s="1205">
        <v>322</v>
      </c>
      <c r="N353" s="1205"/>
    </row>
    <row r="354" spans="1:14" x14ac:dyDescent="0.25">
      <c r="A354" s="1222" t="s">
        <v>1391</v>
      </c>
      <c r="B354" s="1066" t="str">
        <f t="shared" ca="1" si="44"/>
        <v>L17</v>
      </c>
      <c r="C354" s="1066" t="str">
        <f t="shared" ca="1" si="45"/>
        <v>L</v>
      </c>
      <c r="D354" s="1069" t="s">
        <v>1473</v>
      </c>
      <c r="E354" s="1069" t="s">
        <v>1382</v>
      </c>
      <c r="F354" s="1204"/>
      <c r="G354" s="1204"/>
      <c r="H354" s="1204"/>
      <c r="I354" s="1204"/>
      <c r="J354" s="1204"/>
      <c r="K354" s="1204"/>
      <c r="L354" s="1180" t="s">
        <v>1391</v>
      </c>
      <c r="M354" s="1205">
        <v>323</v>
      </c>
      <c r="N354" s="1205"/>
    </row>
    <row r="355" spans="1:14" x14ac:dyDescent="0.25">
      <c r="A355" s="1222" t="s">
        <v>1329</v>
      </c>
      <c r="B355" s="1066" t="str">
        <f t="shared" ca="1" si="44"/>
        <v>M17</v>
      </c>
      <c r="C355" s="1066" t="str">
        <f t="shared" ca="1" si="45"/>
        <v>M</v>
      </c>
      <c r="D355" s="1069" t="s">
        <v>1473</v>
      </c>
      <c r="E355" s="1069" t="s">
        <v>1382</v>
      </c>
      <c r="F355" s="1204"/>
      <c r="G355" s="1204"/>
      <c r="H355" s="1204"/>
      <c r="I355" s="1204"/>
      <c r="J355" s="1204"/>
      <c r="K355" s="1204"/>
      <c r="L355" s="1180" t="s">
        <v>1329</v>
      </c>
      <c r="M355" s="1205">
        <v>324</v>
      </c>
      <c r="N355" s="1205"/>
    </row>
    <row r="356" spans="1:14" x14ac:dyDescent="0.25">
      <c r="A356" s="1223" t="s">
        <v>1392</v>
      </c>
      <c r="B356" s="1066" t="str">
        <f ca="1">_xlfn.CONCAT(IFERROR(SUBSTITUTE(ADDRESS(1,MATCH(A356,INDIRECT("'"&amp;E356&amp;"'"&amp;"!A10:Z10"),0),4),1,""),""),20)</f>
        <v>N20</v>
      </c>
      <c r="C356" s="1066" t="str">
        <f t="shared" ca="1" si="45"/>
        <v>N</v>
      </c>
      <c r="D356" s="1069" t="s">
        <v>1473</v>
      </c>
      <c r="E356" s="1069" t="s">
        <v>1382</v>
      </c>
      <c r="F356" s="1204"/>
      <c r="G356" s="1204"/>
      <c r="H356" s="1204"/>
      <c r="I356" s="1204"/>
      <c r="J356" s="1204"/>
      <c r="K356" s="1204"/>
      <c r="L356" s="1180" t="s">
        <v>1392</v>
      </c>
      <c r="M356" s="1205">
        <v>325</v>
      </c>
      <c r="N356" s="1205"/>
    </row>
    <row r="357" spans="1:14" x14ac:dyDescent="0.25">
      <c r="A357" s="1224" t="s">
        <v>1383</v>
      </c>
      <c r="B357" s="1066" t="str">
        <f t="shared" ref="B357:B359" ca="1" si="46">_xlfn.CONCAT(IFERROR(SUBSTITUTE(ADDRESS(1,MATCH(A357,INDIRECT("'"&amp;E357&amp;"'"&amp;"!A10:Z10"),0),4),1,""),""),20)</f>
        <v>C20</v>
      </c>
      <c r="C357" s="1066" t="str">
        <f t="shared" ca="1" si="45"/>
        <v>C</v>
      </c>
      <c r="D357" s="1069" t="s">
        <v>1473</v>
      </c>
      <c r="E357" s="1069" t="s">
        <v>1382</v>
      </c>
      <c r="F357" s="1204"/>
      <c r="G357" s="1204"/>
      <c r="H357" s="1204"/>
      <c r="I357" s="1204"/>
      <c r="J357" s="1204"/>
      <c r="K357" s="1204"/>
      <c r="L357" s="1180" t="s">
        <v>254</v>
      </c>
      <c r="M357" s="1205">
        <v>326</v>
      </c>
      <c r="N357" s="1205"/>
    </row>
    <row r="358" spans="1:14" x14ac:dyDescent="0.25">
      <c r="A358" s="1224" t="s">
        <v>1348</v>
      </c>
      <c r="B358" s="1066" t="str">
        <f t="shared" ca="1" si="46"/>
        <v>H20</v>
      </c>
      <c r="C358" s="1066" t="str">
        <f t="shared" ca="1" si="45"/>
        <v>H</v>
      </c>
      <c r="D358" s="1069" t="s">
        <v>1473</v>
      </c>
      <c r="E358" s="1069" t="s">
        <v>1382</v>
      </c>
      <c r="F358" s="1204"/>
      <c r="G358" s="1204"/>
      <c r="H358" s="1204"/>
      <c r="I358" s="1204"/>
      <c r="J358" s="1204"/>
      <c r="K358" s="1204"/>
      <c r="L358" s="1180" t="s">
        <v>1348</v>
      </c>
      <c r="M358" s="1205">
        <v>327</v>
      </c>
      <c r="N358" s="1205"/>
    </row>
    <row r="359" spans="1:14" x14ac:dyDescent="0.25">
      <c r="A359" s="1224" t="s">
        <v>1386</v>
      </c>
      <c r="B359" s="1066" t="str">
        <f t="shared" ca="1" si="46"/>
        <v>F20</v>
      </c>
      <c r="C359" s="1066" t="str">
        <f t="shared" ca="1" si="45"/>
        <v>F</v>
      </c>
      <c r="D359" s="1069" t="s">
        <v>1473</v>
      </c>
      <c r="E359" s="1069" t="s">
        <v>1382</v>
      </c>
      <c r="F359" s="1204"/>
      <c r="G359" s="1204"/>
      <c r="H359" s="1204"/>
      <c r="I359" s="1204"/>
      <c r="J359" s="1204"/>
      <c r="K359" s="1204"/>
      <c r="L359" s="1180" t="s">
        <v>225</v>
      </c>
      <c r="M359" s="1205">
        <v>328</v>
      </c>
      <c r="N359" s="1205"/>
    </row>
    <row r="360" spans="1:14" x14ac:dyDescent="0.25">
      <c r="A360" s="1225" t="s">
        <v>466</v>
      </c>
      <c r="B360" s="1066" t="str">
        <f ca="1">_xlfn.CONCAT(IFERROR(SUBSTITUTE(ADDRESS(1,MATCH(A360,INDIRECT("'"&amp;E360&amp;"'"&amp;"!A9:Z9"),0),4),1,""),""),17)</f>
        <v>E17</v>
      </c>
      <c r="C360" s="1066" t="str">
        <f ca="1">_xlfn.CONCAT(IFERROR(SUBSTITUTE(ADDRESS(1,MATCH(A360,INDIRECT("'"&amp;E360&amp;"'"&amp;"!A9:Z9"),0),4),1,""),""))</f>
        <v>E</v>
      </c>
      <c r="D360" s="1230" t="s">
        <v>1473</v>
      </c>
      <c r="E360" s="1069" t="s">
        <v>208</v>
      </c>
      <c r="F360" s="1204"/>
      <c r="G360" s="1204"/>
      <c r="H360" s="1204"/>
      <c r="I360" s="1204"/>
      <c r="J360" s="1204"/>
      <c r="K360" s="1204"/>
      <c r="L360" s="1180" t="s">
        <v>466</v>
      </c>
      <c r="M360" s="1205">
        <v>329</v>
      </c>
      <c r="N360" s="1205"/>
    </row>
    <row r="361" spans="1:14" x14ac:dyDescent="0.25">
      <c r="A361" s="1225" t="s">
        <v>1385</v>
      </c>
      <c r="B361" s="1066" t="str">
        <f t="shared" ref="B361:B367" ca="1" si="47">_xlfn.CONCAT(IFERROR(SUBSTITUTE(ADDRESS(1,MATCH(A361,INDIRECT("'"&amp;E361&amp;"'"&amp;"!A10:Z10"),0),4),1,""),""),20)</f>
        <v>E20</v>
      </c>
      <c r="C361" s="1066" t="str">
        <f t="shared" ref="C361:C371" ca="1" si="48">_xlfn.CONCAT(IFERROR(SUBSTITUTE(ADDRESS(1,MATCH(A361,INDIRECT("'"&amp;E361&amp;"'"&amp;"!A10:Z10"),0),4),1,""),""))</f>
        <v>E</v>
      </c>
      <c r="D361" s="1069" t="s">
        <v>1473</v>
      </c>
      <c r="E361" s="1069" t="s">
        <v>1382</v>
      </c>
      <c r="F361" s="1204"/>
      <c r="G361" s="1204"/>
      <c r="H361" s="1204"/>
      <c r="I361" s="1204"/>
      <c r="J361" s="1204"/>
      <c r="K361" s="1204"/>
      <c r="L361" s="1180" t="s">
        <v>1385</v>
      </c>
      <c r="M361" s="1205">
        <v>330</v>
      </c>
      <c r="N361" s="1205"/>
    </row>
    <row r="362" spans="1:14" x14ac:dyDescent="0.25">
      <c r="A362" s="1225" t="s">
        <v>1387</v>
      </c>
      <c r="B362" s="1066" t="str">
        <f t="shared" ca="1" si="47"/>
        <v>G20</v>
      </c>
      <c r="C362" s="1066" t="str">
        <f t="shared" ca="1" si="48"/>
        <v>G</v>
      </c>
      <c r="D362" s="1069" t="s">
        <v>1473</v>
      </c>
      <c r="E362" s="1069" t="s">
        <v>1382</v>
      </c>
      <c r="F362" s="1204"/>
      <c r="G362" s="1204"/>
      <c r="H362" s="1204"/>
      <c r="I362" s="1204"/>
      <c r="J362" s="1204"/>
      <c r="K362" s="1204"/>
      <c r="L362" s="1180" t="s">
        <v>1387</v>
      </c>
      <c r="M362" s="1205">
        <v>331</v>
      </c>
      <c r="N362" s="1205"/>
    </row>
    <row r="363" spans="1:14" x14ac:dyDescent="0.25">
      <c r="A363" s="1225" t="s">
        <v>1388</v>
      </c>
      <c r="B363" s="1066" t="str">
        <f t="shared" ca="1" si="47"/>
        <v>I20</v>
      </c>
      <c r="C363" s="1066" t="str">
        <f t="shared" ca="1" si="48"/>
        <v>I</v>
      </c>
      <c r="D363" s="1069" t="s">
        <v>1473</v>
      </c>
      <c r="E363" s="1069" t="s">
        <v>1382</v>
      </c>
      <c r="F363" s="1204"/>
      <c r="G363" s="1204"/>
      <c r="H363" s="1204"/>
      <c r="I363" s="1204"/>
      <c r="J363" s="1204"/>
      <c r="K363" s="1204"/>
      <c r="L363" s="1180" t="s">
        <v>1388</v>
      </c>
      <c r="M363" s="1205">
        <v>332</v>
      </c>
      <c r="N363" s="1205"/>
    </row>
    <row r="364" spans="1:14" x14ac:dyDescent="0.25">
      <c r="A364" s="1225" t="s">
        <v>1389</v>
      </c>
      <c r="B364" s="1066" t="str">
        <f t="shared" ca="1" si="47"/>
        <v>J20</v>
      </c>
      <c r="C364" s="1066" t="str">
        <f t="shared" ca="1" si="48"/>
        <v>J</v>
      </c>
      <c r="D364" s="1069" t="s">
        <v>1473</v>
      </c>
      <c r="E364" s="1069" t="s">
        <v>1382</v>
      </c>
      <c r="F364" s="1204"/>
      <c r="G364" s="1204"/>
      <c r="H364" s="1204"/>
      <c r="I364" s="1204"/>
      <c r="J364" s="1204"/>
      <c r="K364" s="1204"/>
      <c r="L364" s="1180" t="s">
        <v>1389</v>
      </c>
      <c r="M364" s="1205">
        <v>333</v>
      </c>
      <c r="N364" s="1205"/>
    </row>
    <row r="365" spans="1:14" x14ac:dyDescent="0.25">
      <c r="A365" s="1225" t="s">
        <v>1390</v>
      </c>
      <c r="B365" s="1066" t="str">
        <f t="shared" ca="1" si="47"/>
        <v>K20</v>
      </c>
      <c r="C365" s="1066" t="str">
        <f t="shared" ca="1" si="48"/>
        <v>K</v>
      </c>
      <c r="D365" s="1069" t="s">
        <v>1473</v>
      </c>
      <c r="E365" s="1069" t="s">
        <v>1382</v>
      </c>
      <c r="F365" s="1204"/>
      <c r="G365" s="1204"/>
      <c r="H365" s="1204"/>
      <c r="I365" s="1204"/>
      <c r="J365" s="1204"/>
      <c r="K365" s="1204"/>
      <c r="L365" s="1180" t="s">
        <v>1390</v>
      </c>
      <c r="M365" s="1205">
        <v>334</v>
      </c>
      <c r="N365" s="1205"/>
    </row>
    <row r="366" spans="1:14" x14ac:dyDescent="0.25">
      <c r="A366" s="1225" t="s">
        <v>1391</v>
      </c>
      <c r="B366" s="1066" t="str">
        <f t="shared" ca="1" si="47"/>
        <v>L20</v>
      </c>
      <c r="C366" s="1066" t="str">
        <f t="shared" ca="1" si="48"/>
        <v>L</v>
      </c>
      <c r="D366" s="1069" t="s">
        <v>1473</v>
      </c>
      <c r="E366" s="1069" t="s">
        <v>1382</v>
      </c>
      <c r="F366" s="1204"/>
      <c r="G366" s="1204"/>
      <c r="H366" s="1204"/>
      <c r="I366" s="1204"/>
      <c r="J366" s="1204"/>
      <c r="K366" s="1204"/>
      <c r="L366" s="1180" t="s">
        <v>1391</v>
      </c>
      <c r="M366" s="1205">
        <v>335</v>
      </c>
      <c r="N366" s="1205"/>
    </row>
    <row r="367" spans="1:14" x14ac:dyDescent="0.25">
      <c r="A367" s="1225" t="s">
        <v>1329</v>
      </c>
      <c r="B367" s="1066" t="str">
        <f t="shared" ca="1" si="47"/>
        <v>M20</v>
      </c>
      <c r="C367" s="1066" t="str">
        <f t="shared" ca="1" si="48"/>
        <v>M</v>
      </c>
      <c r="D367" s="1069" t="s">
        <v>1473</v>
      </c>
      <c r="E367" s="1069" t="s">
        <v>1382</v>
      </c>
      <c r="F367" s="1204"/>
      <c r="G367" s="1204"/>
      <c r="H367" s="1204"/>
      <c r="I367" s="1204"/>
      <c r="J367" s="1204"/>
      <c r="K367" s="1204"/>
      <c r="L367" s="1180" t="s">
        <v>1329</v>
      </c>
      <c r="M367" s="1205">
        <v>336</v>
      </c>
      <c r="N367" s="1205"/>
    </row>
    <row r="368" spans="1:14" x14ac:dyDescent="0.25">
      <c r="A368" s="1220" t="s">
        <v>1392</v>
      </c>
      <c r="B368" s="1066" t="str">
        <f ca="1">_xlfn.CONCAT(IFERROR(SUBSTITUTE(ADDRESS(1,MATCH(A368,INDIRECT("'"&amp;E368&amp;"'"&amp;"!A10:Z10"),0),4),1,""),""),19)</f>
        <v>N19</v>
      </c>
      <c r="C368" s="1066" t="str">
        <f t="shared" ca="1" si="48"/>
        <v>N</v>
      </c>
      <c r="D368" s="1069" t="s">
        <v>1473</v>
      </c>
      <c r="E368" s="1069" t="s">
        <v>1382</v>
      </c>
      <c r="F368" s="1204"/>
      <c r="G368" s="1204"/>
      <c r="H368" s="1204"/>
      <c r="I368" s="1204"/>
      <c r="J368" s="1204"/>
      <c r="K368" s="1204"/>
      <c r="L368" s="1180" t="s">
        <v>1392</v>
      </c>
      <c r="M368" s="1205">
        <v>337</v>
      </c>
      <c r="N368" s="1205"/>
    </row>
    <row r="369" spans="1:14" x14ac:dyDescent="0.25">
      <c r="A369" s="1221" t="s">
        <v>1383</v>
      </c>
      <c r="B369" s="1066" t="str">
        <f t="shared" ref="B369:B371" ca="1" si="49">_xlfn.CONCAT(IFERROR(SUBSTITUTE(ADDRESS(1,MATCH(A369,INDIRECT("'"&amp;E369&amp;"'"&amp;"!A10:Z10"),0),4),1,""),""),19)</f>
        <v>C19</v>
      </c>
      <c r="C369" s="1066" t="str">
        <f t="shared" ca="1" si="48"/>
        <v>C</v>
      </c>
      <c r="D369" s="1069" t="s">
        <v>1473</v>
      </c>
      <c r="E369" s="1069" t="s">
        <v>1382</v>
      </c>
      <c r="F369" s="1204"/>
      <c r="G369" s="1204"/>
      <c r="H369" s="1204"/>
      <c r="I369" s="1204"/>
      <c r="J369" s="1204"/>
      <c r="K369" s="1204"/>
      <c r="L369" s="1180" t="s">
        <v>254</v>
      </c>
      <c r="M369" s="1205">
        <v>338</v>
      </c>
      <c r="N369" s="1205"/>
    </row>
    <row r="370" spans="1:14" x14ac:dyDescent="0.25">
      <c r="A370" s="1221" t="s">
        <v>1348</v>
      </c>
      <c r="B370" s="1066" t="str">
        <f t="shared" ca="1" si="49"/>
        <v>H19</v>
      </c>
      <c r="C370" s="1066" t="str">
        <f t="shared" ca="1" si="48"/>
        <v>H</v>
      </c>
      <c r="D370" s="1069" t="s">
        <v>1473</v>
      </c>
      <c r="E370" s="1069" t="s">
        <v>1382</v>
      </c>
      <c r="F370" s="1204"/>
      <c r="G370" s="1204"/>
      <c r="H370" s="1204"/>
      <c r="I370" s="1204"/>
      <c r="J370" s="1204"/>
      <c r="K370" s="1204"/>
      <c r="L370" s="1180" t="s">
        <v>1348</v>
      </c>
      <c r="M370" s="1205">
        <v>339</v>
      </c>
      <c r="N370" s="1205"/>
    </row>
    <row r="371" spans="1:14" x14ac:dyDescent="0.25">
      <c r="A371" s="1221" t="s">
        <v>1386</v>
      </c>
      <c r="B371" s="1066" t="str">
        <f t="shared" ca="1" si="49"/>
        <v>F19</v>
      </c>
      <c r="C371" s="1066" t="str">
        <f t="shared" ca="1" si="48"/>
        <v>F</v>
      </c>
      <c r="D371" s="1069" t="s">
        <v>1473</v>
      </c>
      <c r="E371" s="1069" t="s">
        <v>1382</v>
      </c>
      <c r="F371" s="1204"/>
      <c r="G371" s="1204"/>
      <c r="H371" s="1204"/>
      <c r="I371" s="1204"/>
      <c r="J371" s="1204"/>
      <c r="K371" s="1204"/>
      <c r="L371" s="1180" t="s">
        <v>225</v>
      </c>
      <c r="M371" s="1205">
        <v>340</v>
      </c>
      <c r="N371" s="1205"/>
    </row>
    <row r="372" spans="1:14" x14ac:dyDescent="0.25">
      <c r="A372" s="1222" t="s">
        <v>466</v>
      </c>
      <c r="B372" s="1066" t="str">
        <f ca="1">_xlfn.CONCAT(IFERROR(SUBSTITUTE(ADDRESS(1,MATCH(A372,INDIRECT("'"&amp;E372&amp;"'"&amp;"!A9:Z9"),0),4),1,""),""),18)</f>
        <v>E18</v>
      </c>
      <c r="C372" s="1066" t="str">
        <f ca="1">_xlfn.CONCAT(IFERROR(SUBSTITUTE(ADDRESS(1,MATCH(A372,INDIRECT("'"&amp;E372&amp;"'"&amp;"!A9:Z9"),0),4),1,""),""))</f>
        <v>E</v>
      </c>
      <c r="D372" s="1230" t="s">
        <v>1473</v>
      </c>
      <c r="E372" s="1069" t="s">
        <v>208</v>
      </c>
      <c r="F372" s="1204"/>
      <c r="G372" s="1204"/>
      <c r="H372" s="1204"/>
      <c r="I372" s="1204"/>
      <c r="J372" s="1204"/>
      <c r="K372" s="1204"/>
      <c r="L372" s="1180" t="s">
        <v>466</v>
      </c>
      <c r="M372" s="1205">
        <v>341</v>
      </c>
      <c r="N372" s="1205"/>
    </row>
    <row r="373" spans="1:14" x14ac:dyDescent="0.25">
      <c r="A373" s="1222" t="s">
        <v>1385</v>
      </c>
      <c r="B373" s="1066" t="str">
        <f t="shared" ref="B373:B379" ca="1" si="50">_xlfn.CONCAT(IFERROR(SUBSTITUTE(ADDRESS(1,MATCH(A373,INDIRECT("'"&amp;E373&amp;"'"&amp;"!A10:Z10"),0),4),1,""),""),19)</f>
        <v>E19</v>
      </c>
      <c r="C373" s="1066" t="str">
        <f t="shared" ref="C373:C383" ca="1" si="51">_xlfn.CONCAT(IFERROR(SUBSTITUTE(ADDRESS(1,MATCH(A373,INDIRECT("'"&amp;E373&amp;"'"&amp;"!A10:Z10"),0),4),1,""),""))</f>
        <v>E</v>
      </c>
      <c r="D373" s="1069" t="s">
        <v>1473</v>
      </c>
      <c r="E373" s="1069" t="s">
        <v>1382</v>
      </c>
      <c r="F373" s="1204"/>
      <c r="G373" s="1204"/>
      <c r="H373" s="1204"/>
      <c r="I373" s="1204"/>
      <c r="J373" s="1204"/>
      <c r="K373" s="1204"/>
      <c r="L373" s="1180" t="s">
        <v>1385</v>
      </c>
      <c r="M373" s="1205">
        <v>342</v>
      </c>
      <c r="N373" s="1205"/>
    </row>
    <row r="374" spans="1:14" x14ac:dyDescent="0.25">
      <c r="A374" s="1222" t="s">
        <v>1387</v>
      </c>
      <c r="B374" s="1066" t="str">
        <f t="shared" ca="1" si="50"/>
        <v>G19</v>
      </c>
      <c r="C374" s="1066" t="str">
        <f t="shared" ca="1" si="51"/>
        <v>G</v>
      </c>
      <c r="D374" s="1069" t="s">
        <v>1473</v>
      </c>
      <c r="E374" s="1069" t="s">
        <v>1382</v>
      </c>
      <c r="F374" s="1204"/>
      <c r="G374" s="1204"/>
      <c r="H374" s="1204"/>
      <c r="I374" s="1204"/>
      <c r="J374" s="1204"/>
      <c r="K374" s="1204"/>
      <c r="L374" s="1180" t="s">
        <v>1387</v>
      </c>
      <c r="M374" s="1205">
        <v>343</v>
      </c>
      <c r="N374" s="1205"/>
    </row>
    <row r="375" spans="1:14" x14ac:dyDescent="0.25">
      <c r="A375" s="1222" t="s">
        <v>1388</v>
      </c>
      <c r="B375" s="1066" t="str">
        <f t="shared" ca="1" si="50"/>
        <v>I19</v>
      </c>
      <c r="C375" s="1066" t="str">
        <f t="shared" ca="1" si="51"/>
        <v>I</v>
      </c>
      <c r="D375" s="1069" t="s">
        <v>1473</v>
      </c>
      <c r="E375" s="1069" t="s">
        <v>1382</v>
      </c>
      <c r="F375" s="1204"/>
      <c r="G375" s="1204"/>
      <c r="H375" s="1204"/>
      <c r="I375" s="1204"/>
      <c r="J375" s="1204"/>
      <c r="K375" s="1204"/>
      <c r="L375" s="1180" t="s">
        <v>1388</v>
      </c>
      <c r="M375" s="1205">
        <v>344</v>
      </c>
      <c r="N375" s="1205"/>
    </row>
    <row r="376" spans="1:14" x14ac:dyDescent="0.25">
      <c r="A376" s="1222" t="s">
        <v>1389</v>
      </c>
      <c r="B376" s="1066" t="str">
        <f t="shared" ca="1" si="50"/>
        <v>J19</v>
      </c>
      <c r="C376" s="1066" t="str">
        <f t="shared" ca="1" si="51"/>
        <v>J</v>
      </c>
      <c r="D376" s="1069" t="s">
        <v>1473</v>
      </c>
      <c r="E376" s="1069" t="s">
        <v>1382</v>
      </c>
      <c r="F376" s="1204"/>
      <c r="G376" s="1204"/>
      <c r="H376" s="1204"/>
      <c r="I376" s="1204"/>
      <c r="J376" s="1204"/>
      <c r="K376" s="1204"/>
      <c r="L376" s="1180" t="s">
        <v>1389</v>
      </c>
      <c r="M376" s="1205">
        <v>345</v>
      </c>
      <c r="N376" s="1205"/>
    </row>
    <row r="377" spans="1:14" x14ac:dyDescent="0.25">
      <c r="A377" s="1222" t="s">
        <v>1390</v>
      </c>
      <c r="B377" s="1066" t="str">
        <f t="shared" ca="1" si="50"/>
        <v>K19</v>
      </c>
      <c r="C377" s="1066" t="str">
        <f t="shared" ca="1" si="51"/>
        <v>K</v>
      </c>
      <c r="D377" s="1069" t="s">
        <v>1473</v>
      </c>
      <c r="E377" s="1069" t="s">
        <v>1382</v>
      </c>
      <c r="F377" s="1204"/>
      <c r="G377" s="1204"/>
      <c r="H377" s="1204"/>
      <c r="I377" s="1204"/>
      <c r="J377" s="1204"/>
      <c r="K377" s="1204"/>
      <c r="L377" s="1180" t="s">
        <v>1390</v>
      </c>
      <c r="M377" s="1205">
        <v>346</v>
      </c>
      <c r="N377" s="1205"/>
    </row>
    <row r="378" spans="1:14" x14ac:dyDescent="0.25">
      <c r="A378" s="1222" t="s">
        <v>1391</v>
      </c>
      <c r="B378" s="1066" t="str">
        <f t="shared" ca="1" si="50"/>
        <v>L19</v>
      </c>
      <c r="C378" s="1066" t="str">
        <f t="shared" ca="1" si="51"/>
        <v>L</v>
      </c>
      <c r="D378" s="1069" t="s">
        <v>1473</v>
      </c>
      <c r="E378" s="1069" t="s">
        <v>1382</v>
      </c>
      <c r="F378" s="1204"/>
      <c r="G378" s="1204"/>
      <c r="H378" s="1204"/>
      <c r="I378" s="1204"/>
      <c r="J378" s="1204"/>
      <c r="K378" s="1204"/>
      <c r="L378" s="1180" t="s">
        <v>1391</v>
      </c>
      <c r="M378" s="1205">
        <v>347</v>
      </c>
      <c r="N378" s="1205"/>
    </row>
    <row r="379" spans="1:14" x14ac:dyDescent="0.25">
      <c r="A379" s="1222" t="s">
        <v>1329</v>
      </c>
      <c r="B379" s="1066" t="str">
        <f t="shared" ca="1" si="50"/>
        <v>M19</v>
      </c>
      <c r="C379" s="1066" t="str">
        <f t="shared" ca="1" si="51"/>
        <v>M</v>
      </c>
      <c r="D379" s="1069" t="s">
        <v>1473</v>
      </c>
      <c r="E379" s="1069" t="s">
        <v>1382</v>
      </c>
      <c r="F379" s="1204"/>
      <c r="G379" s="1204"/>
      <c r="H379" s="1204"/>
      <c r="I379" s="1204"/>
      <c r="J379" s="1204"/>
      <c r="K379" s="1204"/>
      <c r="L379" s="1180" t="s">
        <v>1329</v>
      </c>
      <c r="M379" s="1205">
        <v>348</v>
      </c>
      <c r="N379" s="1205"/>
    </row>
    <row r="380" spans="1:14" x14ac:dyDescent="0.25">
      <c r="A380" s="1223" t="s">
        <v>1392</v>
      </c>
      <c r="B380" s="1066" t="str">
        <f ca="1">_xlfn.CONCAT(IFERROR(SUBSTITUTE(ADDRESS(1,MATCH(A380,INDIRECT("'"&amp;E380&amp;"'"&amp;"!A10:Z10"),0),4),1,""),""),13)</f>
        <v>N13</v>
      </c>
      <c r="C380" s="1066" t="str">
        <f t="shared" ca="1" si="51"/>
        <v>N</v>
      </c>
      <c r="D380" s="1069" t="s">
        <v>1473</v>
      </c>
      <c r="E380" s="1069" t="s">
        <v>1382</v>
      </c>
      <c r="F380" s="1204"/>
      <c r="G380" s="1204"/>
      <c r="H380" s="1204"/>
      <c r="I380" s="1204"/>
      <c r="J380" s="1204"/>
      <c r="K380" s="1204"/>
      <c r="L380" s="1180" t="s">
        <v>1392</v>
      </c>
      <c r="M380" s="1205">
        <v>349</v>
      </c>
      <c r="N380" s="1205"/>
    </row>
    <row r="381" spans="1:14" x14ac:dyDescent="0.25">
      <c r="A381" s="1224" t="s">
        <v>1383</v>
      </c>
      <c r="B381" s="1066" t="str">
        <f t="shared" ref="B381:B383" ca="1" si="52">_xlfn.CONCAT(IFERROR(SUBSTITUTE(ADDRESS(1,MATCH(A381,INDIRECT("'"&amp;E381&amp;"'"&amp;"!A10:Z10"),0),4),1,""),""),13)</f>
        <v>C13</v>
      </c>
      <c r="C381" s="1066" t="str">
        <f t="shared" ca="1" si="51"/>
        <v>C</v>
      </c>
      <c r="D381" s="1069" t="s">
        <v>1473</v>
      </c>
      <c r="E381" s="1069" t="s">
        <v>1382</v>
      </c>
      <c r="F381" s="1204"/>
      <c r="G381" s="1204"/>
      <c r="H381" s="1204"/>
      <c r="I381" s="1204"/>
      <c r="J381" s="1204"/>
      <c r="K381" s="1204"/>
      <c r="L381" s="1180" t="s">
        <v>254</v>
      </c>
      <c r="M381" s="1205">
        <v>350</v>
      </c>
      <c r="N381" s="1205"/>
    </row>
    <row r="382" spans="1:14" x14ac:dyDescent="0.25">
      <c r="A382" s="1224" t="s">
        <v>1348</v>
      </c>
      <c r="B382" s="1066" t="str">
        <f t="shared" ca="1" si="52"/>
        <v>H13</v>
      </c>
      <c r="C382" s="1066" t="str">
        <f t="shared" ca="1" si="51"/>
        <v>H</v>
      </c>
      <c r="D382" s="1069" t="s">
        <v>1473</v>
      </c>
      <c r="E382" s="1069" t="s">
        <v>1382</v>
      </c>
      <c r="F382" s="1204"/>
      <c r="G382" s="1204"/>
      <c r="H382" s="1204"/>
      <c r="I382" s="1204"/>
      <c r="J382" s="1204"/>
      <c r="K382" s="1204"/>
      <c r="L382" s="1180" t="s">
        <v>1348</v>
      </c>
      <c r="M382" s="1205">
        <v>351</v>
      </c>
      <c r="N382" s="1205"/>
    </row>
    <row r="383" spans="1:14" x14ac:dyDescent="0.25">
      <c r="A383" s="1224" t="s">
        <v>1386</v>
      </c>
      <c r="B383" s="1066" t="str">
        <f t="shared" ca="1" si="52"/>
        <v>F13</v>
      </c>
      <c r="C383" s="1066" t="str">
        <f t="shared" ca="1" si="51"/>
        <v>F</v>
      </c>
      <c r="D383" s="1069" t="s">
        <v>1473</v>
      </c>
      <c r="E383" s="1069" t="s">
        <v>1382</v>
      </c>
      <c r="F383" s="1204"/>
      <c r="G383" s="1204"/>
      <c r="H383" s="1204"/>
      <c r="I383" s="1204"/>
      <c r="J383" s="1204"/>
      <c r="K383" s="1204"/>
      <c r="L383" s="1180" t="s">
        <v>225</v>
      </c>
      <c r="M383" s="1205">
        <v>352</v>
      </c>
      <c r="N383" s="1205"/>
    </row>
    <row r="384" spans="1:14" x14ac:dyDescent="0.25">
      <c r="A384" s="1225" t="s">
        <v>466</v>
      </c>
      <c r="B384" s="1066" t="str">
        <f ca="1">_xlfn.CONCAT(IFERROR(SUBSTITUTE(ADDRESS(1,MATCH(A384,INDIRECT("'"&amp;E384&amp;"'"&amp;"!A9:Z9"),0),4),1,""),""),19)</f>
        <v>E19</v>
      </c>
      <c r="C384" s="1066" t="str">
        <f ca="1">_xlfn.CONCAT(IFERROR(SUBSTITUTE(ADDRESS(1,MATCH(A384,INDIRECT("'"&amp;E384&amp;"'"&amp;"!A9:Z9"),0),4),1,""),""))</f>
        <v>E</v>
      </c>
      <c r="D384" s="1230" t="s">
        <v>1473</v>
      </c>
      <c r="E384" s="1069" t="s">
        <v>208</v>
      </c>
      <c r="F384" s="1204"/>
      <c r="G384" s="1204"/>
      <c r="H384" s="1204"/>
      <c r="I384" s="1204"/>
      <c r="J384" s="1204"/>
      <c r="K384" s="1204"/>
      <c r="L384" s="1180" t="s">
        <v>466</v>
      </c>
      <c r="M384" s="1205">
        <v>353</v>
      </c>
      <c r="N384" s="1205"/>
    </row>
    <row r="385" spans="1:14" x14ac:dyDescent="0.25">
      <c r="A385" s="1225" t="s">
        <v>1385</v>
      </c>
      <c r="B385" s="1066" t="str">
        <f t="shared" ref="B385:B391" ca="1" si="53">_xlfn.CONCAT(IFERROR(SUBSTITUTE(ADDRESS(1,MATCH(A385,INDIRECT("'"&amp;E385&amp;"'"&amp;"!A10:Z10"),0),4),1,""),""),13)</f>
        <v>E13</v>
      </c>
      <c r="C385" s="1066" t="str">
        <f t="shared" ref="C385:C395" ca="1" si="54">_xlfn.CONCAT(IFERROR(SUBSTITUTE(ADDRESS(1,MATCH(A385,INDIRECT("'"&amp;E385&amp;"'"&amp;"!A10:Z10"),0),4),1,""),""))</f>
        <v>E</v>
      </c>
      <c r="D385" s="1069" t="s">
        <v>1473</v>
      </c>
      <c r="E385" s="1069" t="s">
        <v>1382</v>
      </c>
      <c r="F385" s="1204"/>
      <c r="G385" s="1204"/>
      <c r="H385" s="1204"/>
      <c r="I385" s="1204"/>
      <c r="J385" s="1204"/>
      <c r="K385" s="1204"/>
      <c r="L385" s="1180" t="s">
        <v>1385</v>
      </c>
      <c r="M385" s="1205">
        <v>354</v>
      </c>
      <c r="N385" s="1205"/>
    </row>
    <row r="386" spans="1:14" x14ac:dyDescent="0.25">
      <c r="A386" s="1225" t="s">
        <v>1387</v>
      </c>
      <c r="B386" s="1066" t="str">
        <f t="shared" ca="1" si="53"/>
        <v>G13</v>
      </c>
      <c r="C386" s="1066" t="str">
        <f t="shared" ca="1" si="54"/>
        <v>G</v>
      </c>
      <c r="D386" s="1069" t="s">
        <v>1473</v>
      </c>
      <c r="E386" s="1069" t="s">
        <v>1382</v>
      </c>
      <c r="F386" s="1204"/>
      <c r="G386" s="1204"/>
      <c r="H386" s="1204"/>
      <c r="I386" s="1204"/>
      <c r="J386" s="1204"/>
      <c r="K386" s="1204"/>
      <c r="L386" s="1180" t="s">
        <v>1387</v>
      </c>
      <c r="M386" s="1205">
        <v>355</v>
      </c>
      <c r="N386" s="1205"/>
    </row>
    <row r="387" spans="1:14" x14ac:dyDescent="0.25">
      <c r="A387" s="1225" t="s">
        <v>1388</v>
      </c>
      <c r="B387" s="1066" t="str">
        <f t="shared" ca="1" si="53"/>
        <v>I13</v>
      </c>
      <c r="C387" s="1066" t="str">
        <f t="shared" ca="1" si="54"/>
        <v>I</v>
      </c>
      <c r="D387" s="1069" t="s">
        <v>1473</v>
      </c>
      <c r="E387" s="1069" t="s">
        <v>1382</v>
      </c>
      <c r="F387" s="1204"/>
      <c r="G387" s="1204"/>
      <c r="H387" s="1204"/>
      <c r="I387" s="1204"/>
      <c r="J387" s="1204"/>
      <c r="K387" s="1204"/>
      <c r="L387" s="1180" t="s">
        <v>1388</v>
      </c>
      <c r="M387" s="1205">
        <v>356</v>
      </c>
      <c r="N387" s="1205"/>
    </row>
    <row r="388" spans="1:14" x14ac:dyDescent="0.25">
      <c r="A388" s="1225" t="s">
        <v>1389</v>
      </c>
      <c r="B388" s="1066" t="str">
        <f t="shared" ca="1" si="53"/>
        <v>J13</v>
      </c>
      <c r="C388" s="1066" t="str">
        <f t="shared" ca="1" si="54"/>
        <v>J</v>
      </c>
      <c r="D388" s="1069" t="s">
        <v>1473</v>
      </c>
      <c r="E388" s="1069" t="s">
        <v>1382</v>
      </c>
      <c r="F388" s="1204"/>
      <c r="G388" s="1204"/>
      <c r="H388" s="1204"/>
      <c r="I388" s="1204"/>
      <c r="J388" s="1204"/>
      <c r="K388" s="1204"/>
      <c r="L388" s="1180" t="s">
        <v>1389</v>
      </c>
      <c r="M388" s="1205">
        <v>357</v>
      </c>
      <c r="N388" s="1205"/>
    </row>
    <row r="389" spans="1:14" x14ac:dyDescent="0.25">
      <c r="A389" s="1225" t="s">
        <v>1390</v>
      </c>
      <c r="B389" s="1066" t="str">
        <f t="shared" ca="1" si="53"/>
        <v>K13</v>
      </c>
      <c r="C389" s="1066" t="str">
        <f t="shared" ca="1" si="54"/>
        <v>K</v>
      </c>
      <c r="D389" s="1069" t="s">
        <v>1473</v>
      </c>
      <c r="E389" s="1069" t="s">
        <v>1382</v>
      </c>
      <c r="F389" s="1204"/>
      <c r="G389" s="1204"/>
      <c r="H389" s="1204"/>
      <c r="I389" s="1204"/>
      <c r="J389" s="1204"/>
      <c r="K389" s="1204"/>
      <c r="L389" s="1180" t="s">
        <v>1390</v>
      </c>
      <c r="M389" s="1205">
        <v>358</v>
      </c>
      <c r="N389" s="1205"/>
    </row>
    <row r="390" spans="1:14" x14ac:dyDescent="0.25">
      <c r="A390" s="1225" t="s">
        <v>1391</v>
      </c>
      <c r="B390" s="1066" t="str">
        <f t="shared" ca="1" si="53"/>
        <v>L13</v>
      </c>
      <c r="C390" s="1066" t="str">
        <f t="shared" ca="1" si="54"/>
        <v>L</v>
      </c>
      <c r="D390" s="1069" t="s">
        <v>1473</v>
      </c>
      <c r="E390" s="1069" t="s">
        <v>1382</v>
      </c>
      <c r="F390" s="1204"/>
      <c r="G390" s="1204"/>
      <c r="H390" s="1204"/>
      <c r="I390" s="1204"/>
      <c r="J390" s="1204"/>
      <c r="K390" s="1204"/>
      <c r="L390" s="1180" t="s">
        <v>1391</v>
      </c>
      <c r="M390" s="1205">
        <v>359</v>
      </c>
      <c r="N390" s="1205"/>
    </row>
    <row r="391" spans="1:14" x14ac:dyDescent="0.25">
      <c r="A391" s="1225" t="s">
        <v>1329</v>
      </c>
      <c r="B391" s="1066" t="str">
        <f t="shared" ca="1" si="53"/>
        <v>M13</v>
      </c>
      <c r="C391" s="1066" t="str">
        <f t="shared" ca="1" si="54"/>
        <v>M</v>
      </c>
      <c r="D391" s="1069" t="s">
        <v>1473</v>
      </c>
      <c r="E391" s="1069" t="s">
        <v>1382</v>
      </c>
      <c r="F391" s="1204"/>
      <c r="G391" s="1204"/>
      <c r="H391" s="1204"/>
      <c r="I391" s="1204"/>
      <c r="J391" s="1204"/>
      <c r="K391" s="1204"/>
      <c r="L391" s="1180" t="s">
        <v>1329</v>
      </c>
      <c r="M391" s="1205">
        <v>360</v>
      </c>
      <c r="N391" s="1205"/>
    </row>
    <row r="392" spans="1:14" x14ac:dyDescent="0.25">
      <c r="A392" s="1220" t="s">
        <v>1392</v>
      </c>
      <c r="B392" s="1066" t="str">
        <f ca="1">_xlfn.CONCAT(IFERROR(SUBSTITUTE(ADDRESS(1,MATCH(A392,INDIRECT("'"&amp;E392&amp;"'"&amp;"!A10:Z10"),0),4),1,""),""),18)</f>
        <v>N18</v>
      </c>
      <c r="C392" s="1066" t="str">
        <f t="shared" ca="1" si="54"/>
        <v>N</v>
      </c>
      <c r="D392" s="1069" t="s">
        <v>1473</v>
      </c>
      <c r="E392" s="1069" t="s">
        <v>1382</v>
      </c>
      <c r="F392" s="1204"/>
      <c r="G392" s="1204"/>
      <c r="H392" s="1204"/>
      <c r="I392" s="1204"/>
      <c r="J392" s="1204"/>
      <c r="K392" s="1204"/>
      <c r="L392" s="1180" t="s">
        <v>1392</v>
      </c>
      <c r="M392" s="1205">
        <v>361</v>
      </c>
      <c r="N392" s="1205"/>
    </row>
    <row r="393" spans="1:14" x14ac:dyDescent="0.25">
      <c r="A393" s="1221" t="s">
        <v>1383</v>
      </c>
      <c r="B393" s="1066" t="str">
        <f t="shared" ref="B393:B395" ca="1" si="55">_xlfn.CONCAT(IFERROR(SUBSTITUTE(ADDRESS(1,MATCH(A393,INDIRECT("'"&amp;E393&amp;"'"&amp;"!A10:Z10"),0),4),1,""),""),18)</f>
        <v>C18</v>
      </c>
      <c r="C393" s="1066" t="str">
        <f t="shared" ca="1" si="54"/>
        <v>C</v>
      </c>
      <c r="D393" s="1069" t="s">
        <v>1473</v>
      </c>
      <c r="E393" s="1069" t="s">
        <v>1382</v>
      </c>
      <c r="F393" s="1204"/>
      <c r="G393" s="1204"/>
      <c r="H393" s="1204"/>
      <c r="I393" s="1204"/>
      <c r="J393" s="1204"/>
      <c r="K393" s="1204"/>
      <c r="L393" s="1180" t="s">
        <v>254</v>
      </c>
      <c r="M393" s="1205">
        <v>362</v>
      </c>
      <c r="N393" s="1205"/>
    </row>
    <row r="394" spans="1:14" x14ac:dyDescent="0.25">
      <c r="A394" s="1221" t="s">
        <v>1348</v>
      </c>
      <c r="B394" s="1066" t="str">
        <f t="shared" ca="1" si="55"/>
        <v>H18</v>
      </c>
      <c r="C394" s="1066" t="str">
        <f t="shared" ca="1" si="54"/>
        <v>H</v>
      </c>
      <c r="D394" s="1069" t="s">
        <v>1473</v>
      </c>
      <c r="E394" s="1069" t="s">
        <v>1382</v>
      </c>
      <c r="F394" s="1204"/>
      <c r="G394" s="1204"/>
      <c r="H394" s="1204"/>
      <c r="I394" s="1204"/>
      <c r="J394" s="1204"/>
      <c r="K394" s="1204"/>
      <c r="L394" s="1180" t="s">
        <v>1348</v>
      </c>
      <c r="M394" s="1205">
        <v>363</v>
      </c>
      <c r="N394" s="1205"/>
    </row>
    <row r="395" spans="1:14" x14ac:dyDescent="0.25">
      <c r="A395" s="1221" t="s">
        <v>1386</v>
      </c>
      <c r="B395" s="1066" t="str">
        <f t="shared" ca="1" si="55"/>
        <v>F18</v>
      </c>
      <c r="C395" s="1066" t="str">
        <f t="shared" ca="1" si="54"/>
        <v>F</v>
      </c>
      <c r="D395" s="1069" t="s">
        <v>1473</v>
      </c>
      <c r="E395" s="1069" t="s">
        <v>1382</v>
      </c>
      <c r="F395" s="1204"/>
      <c r="G395" s="1204"/>
      <c r="H395" s="1204"/>
      <c r="I395" s="1204"/>
      <c r="J395" s="1204"/>
      <c r="K395" s="1204"/>
      <c r="L395" s="1180" t="s">
        <v>225</v>
      </c>
      <c r="M395" s="1205">
        <v>364</v>
      </c>
      <c r="N395" s="1205"/>
    </row>
    <row r="396" spans="1:14" x14ac:dyDescent="0.25">
      <c r="A396" s="1222" t="s">
        <v>466</v>
      </c>
      <c r="B396" s="1066" t="str">
        <f ca="1">_xlfn.CONCAT(IFERROR(SUBSTITUTE(ADDRESS(1,MATCH(A396,INDIRECT("'"&amp;E396&amp;"'"&amp;"!A9:Z9"),0),4),1,""),""),20)</f>
        <v>E20</v>
      </c>
      <c r="C396" s="1066" t="str">
        <f ca="1">_xlfn.CONCAT(IFERROR(SUBSTITUTE(ADDRESS(1,MATCH(A396,INDIRECT("'"&amp;E396&amp;"'"&amp;"!A9:Z9"),0),4),1,""),""))</f>
        <v>E</v>
      </c>
      <c r="D396" s="1230" t="s">
        <v>1473</v>
      </c>
      <c r="E396" s="1069" t="s">
        <v>208</v>
      </c>
      <c r="F396" s="1204"/>
      <c r="G396" s="1204"/>
      <c r="H396" s="1204"/>
      <c r="I396" s="1204"/>
      <c r="J396" s="1204"/>
      <c r="K396" s="1204"/>
      <c r="L396" s="1180" t="s">
        <v>466</v>
      </c>
      <c r="M396" s="1205">
        <v>365</v>
      </c>
      <c r="N396" s="1205"/>
    </row>
    <row r="397" spans="1:14" x14ac:dyDescent="0.25">
      <c r="A397" s="1222" t="s">
        <v>1385</v>
      </c>
      <c r="B397" s="1066" t="str">
        <f t="shared" ref="B397:B403" ca="1" si="56">_xlfn.CONCAT(IFERROR(SUBSTITUTE(ADDRESS(1,MATCH(A397,INDIRECT("'"&amp;E397&amp;"'"&amp;"!A10:Z10"),0),4),1,""),""),18)</f>
        <v>E18</v>
      </c>
      <c r="C397" s="1066" t="str">
        <f t="shared" ref="C397:C407" ca="1" si="57">_xlfn.CONCAT(IFERROR(SUBSTITUTE(ADDRESS(1,MATCH(A397,INDIRECT("'"&amp;E397&amp;"'"&amp;"!A10:Z10"),0),4),1,""),""))</f>
        <v>E</v>
      </c>
      <c r="D397" s="1069" t="s">
        <v>1473</v>
      </c>
      <c r="E397" s="1069" t="s">
        <v>1382</v>
      </c>
      <c r="F397" s="1204"/>
      <c r="G397" s="1204"/>
      <c r="H397" s="1204"/>
      <c r="I397" s="1204"/>
      <c r="J397" s="1204"/>
      <c r="K397" s="1204"/>
      <c r="L397" s="1180" t="s">
        <v>1385</v>
      </c>
      <c r="M397" s="1205">
        <v>366</v>
      </c>
      <c r="N397" s="1205"/>
    </row>
    <row r="398" spans="1:14" x14ac:dyDescent="0.25">
      <c r="A398" s="1222" t="s">
        <v>1387</v>
      </c>
      <c r="B398" s="1066" t="str">
        <f t="shared" ca="1" si="56"/>
        <v>G18</v>
      </c>
      <c r="C398" s="1066" t="str">
        <f t="shared" ca="1" si="57"/>
        <v>G</v>
      </c>
      <c r="D398" s="1069" t="s">
        <v>1473</v>
      </c>
      <c r="E398" s="1069" t="s">
        <v>1382</v>
      </c>
      <c r="F398" s="1204"/>
      <c r="G398" s="1204"/>
      <c r="H398" s="1204"/>
      <c r="I398" s="1204"/>
      <c r="J398" s="1204"/>
      <c r="K398" s="1204"/>
      <c r="L398" s="1180" t="s">
        <v>1387</v>
      </c>
      <c r="M398" s="1205">
        <v>367</v>
      </c>
      <c r="N398" s="1205"/>
    </row>
    <row r="399" spans="1:14" x14ac:dyDescent="0.25">
      <c r="A399" s="1222" t="s">
        <v>1388</v>
      </c>
      <c r="B399" s="1066" t="str">
        <f t="shared" ca="1" si="56"/>
        <v>I18</v>
      </c>
      <c r="C399" s="1066" t="str">
        <f t="shared" ca="1" si="57"/>
        <v>I</v>
      </c>
      <c r="D399" s="1069" t="s">
        <v>1473</v>
      </c>
      <c r="E399" s="1069" t="s">
        <v>1382</v>
      </c>
      <c r="F399" s="1204"/>
      <c r="G399" s="1204"/>
      <c r="H399" s="1204"/>
      <c r="I399" s="1204"/>
      <c r="J399" s="1204"/>
      <c r="K399" s="1204"/>
      <c r="L399" s="1180" t="s">
        <v>1388</v>
      </c>
      <c r="M399" s="1205">
        <v>368</v>
      </c>
      <c r="N399" s="1205"/>
    </row>
    <row r="400" spans="1:14" x14ac:dyDescent="0.25">
      <c r="A400" s="1222" t="s">
        <v>1389</v>
      </c>
      <c r="B400" s="1066" t="str">
        <f t="shared" ca="1" si="56"/>
        <v>J18</v>
      </c>
      <c r="C400" s="1066" t="str">
        <f t="shared" ca="1" si="57"/>
        <v>J</v>
      </c>
      <c r="D400" s="1069" t="s">
        <v>1473</v>
      </c>
      <c r="E400" s="1069" t="s">
        <v>1382</v>
      </c>
      <c r="F400" s="1204"/>
      <c r="G400" s="1204"/>
      <c r="H400" s="1204"/>
      <c r="I400" s="1204"/>
      <c r="J400" s="1204"/>
      <c r="K400" s="1204"/>
      <c r="L400" s="1180" t="s">
        <v>1389</v>
      </c>
      <c r="M400" s="1205">
        <v>369</v>
      </c>
      <c r="N400" s="1205"/>
    </row>
    <row r="401" spans="1:14" x14ac:dyDescent="0.25">
      <c r="A401" s="1222" t="s">
        <v>1390</v>
      </c>
      <c r="B401" s="1066" t="str">
        <f t="shared" ca="1" si="56"/>
        <v>K18</v>
      </c>
      <c r="C401" s="1066" t="str">
        <f t="shared" ca="1" si="57"/>
        <v>K</v>
      </c>
      <c r="D401" s="1069" t="s">
        <v>1473</v>
      </c>
      <c r="E401" s="1069" t="s">
        <v>1382</v>
      </c>
      <c r="F401" s="1204"/>
      <c r="G401" s="1204"/>
      <c r="H401" s="1204"/>
      <c r="I401" s="1204"/>
      <c r="J401" s="1204"/>
      <c r="K401" s="1204"/>
      <c r="L401" s="1180" t="s">
        <v>1390</v>
      </c>
      <c r="M401" s="1205">
        <v>370</v>
      </c>
      <c r="N401" s="1205"/>
    </row>
    <row r="402" spans="1:14" x14ac:dyDescent="0.25">
      <c r="A402" s="1222" t="s">
        <v>1391</v>
      </c>
      <c r="B402" s="1066" t="str">
        <f t="shared" ca="1" si="56"/>
        <v>L18</v>
      </c>
      <c r="C402" s="1066" t="str">
        <f t="shared" ca="1" si="57"/>
        <v>L</v>
      </c>
      <c r="D402" s="1069" t="s">
        <v>1473</v>
      </c>
      <c r="E402" s="1069" t="s">
        <v>1382</v>
      </c>
      <c r="F402" s="1204"/>
      <c r="G402" s="1204"/>
      <c r="H402" s="1204"/>
      <c r="I402" s="1204"/>
      <c r="J402" s="1204"/>
      <c r="K402" s="1204"/>
      <c r="L402" s="1180" t="s">
        <v>1391</v>
      </c>
      <c r="M402" s="1205">
        <v>371</v>
      </c>
      <c r="N402" s="1205"/>
    </row>
    <row r="403" spans="1:14" x14ac:dyDescent="0.25">
      <c r="A403" s="1222" t="s">
        <v>1329</v>
      </c>
      <c r="B403" s="1066" t="str">
        <f t="shared" ca="1" si="56"/>
        <v>M18</v>
      </c>
      <c r="C403" s="1066" t="str">
        <f t="shared" ca="1" si="57"/>
        <v>M</v>
      </c>
      <c r="D403" s="1069" t="s">
        <v>1473</v>
      </c>
      <c r="E403" s="1069" t="s">
        <v>1382</v>
      </c>
      <c r="F403" s="1204"/>
      <c r="G403" s="1204"/>
      <c r="H403" s="1204"/>
      <c r="I403" s="1204"/>
      <c r="J403" s="1204"/>
      <c r="K403" s="1204"/>
      <c r="L403" s="1180" t="s">
        <v>1329</v>
      </c>
      <c r="M403" s="1205">
        <v>372</v>
      </c>
      <c r="N403" s="1205"/>
    </row>
    <row r="404" spans="1:14" x14ac:dyDescent="0.25">
      <c r="A404" s="1223" t="s">
        <v>1392</v>
      </c>
      <c r="B404" s="1066" t="str">
        <f ca="1">_xlfn.CONCAT(IFERROR(SUBSTITUTE(ADDRESS(1,MATCH(A404,INDIRECT("'"&amp;E404&amp;"'"&amp;"!A10:Z10"),0),4),1,""),""),22)</f>
        <v>N22</v>
      </c>
      <c r="C404" s="1066" t="str">
        <f t="shared" ca="1" si="57"/>
        <v>N</v>
      </c>
      <c r="D404" s="1069" t="s">
        <v>1473</v>
      </c>
      <c r="E404" s="1069" t="s">
        <v>1382</v>
      </c>
      <c r="F404" s="1204"/>
      <c r="G404" s="1204"/>
      <c r="H404" s="1204"/>
      <c r="I404" s="1204"/>
      <c r="J404" s="1204"/>
      <c r="K404" s="1204"/>
      <c r="L404" s="1180" t="s">
        <v>1392</v>
      </c>
      <c r="M404" s="1205">
        <v>373</v>
      </c>
      <c r="N404" s="1205"/>
    </row>
    <row r="405" spans="1:14" x14ac:dyDescent="0.25">
      <c r="A405" s="1224" t="s">
        <v>1383</v>
      </c>
      <c r="B405" s="1066" t="str">
        <f t="shared" ref="B405:B407" ca="1" si="58">_xlfn.CONCAT(IFERROR(SUBSTITUTE(ADDRESS(1,MATCH(A405,INDIRECT("'"&amp;E405&amp;"'"&amp;"!A10:Z10"),0),4),1,""),""),22)</f>
        <v>C22</v>
      </c>
      <c r="C405" s="1066" t="str">
        <f t="shared" ca="1" si="57"/>
        <v>C</v>
      </c>
      <c r="D405" s="1069" t="s">
        <v>1473</v>
      </c>
      <c r="E405" s="1069" t="s">
        <v>1382</v>
      </c>
      <c r="F405" s="1204"/>
      <c r="G405" s="1204"/>
      <c r="H405" s="1204"/>
      <c r="I405" s="1204"/>
      <c r="J405" s="1204"/>
      <c r="K405" s="1204"/>
      <c r="L405" s="1180" t="s">
        <v>254</v>
      </c>
      <c r="M405" s="1205">
        <v>374</v>
      </c>
      <c r="N405" s="1205"/>
    </row>
    <row r="406" spans="1:14" x14ac:dyDescent="0.25">
      <c r="A406" s="1224" t="s">
        <v>1348</v>
      </c>
      <c r="B406" s="1066" t="str">
        <f t="shared" ca="1" si="58"/>
        <v>H22</v>
      </c>
      <c r="C406" s="1066" t="str">
        <f t="shared" ca="1" si="57"/>
        <v>H</v>
      </c>
      <c r="D406" s="1069" t="s">
        <v>1473</v>
      </c>
      <c r="E406" s="1069" t="s">
        <v>1382</v>
      </c>
      <c r="F406" s="1204"/>
      <c r="G406" s="1204"/>
      <c r="H406" s="1204"/>
      <c r="I406" s="1204"/>
      <c r="J406" s="1204"/>
      <c r="K406" s="1204"/>
      <c r="L406" s="1180" t="s">
        <v>1348</v>
      </c>
      <c r="M406" s="1205">
        <v>375</v>
      </c>
      <c r="N406" s="1205"/>
    </row>
    <row r="407" spans="1:14" x14ac:dyDescent="0.25">
      <c r="A407" s="1224" t="s">
        <v>1386</v>
      </c>
      <c r="B407" s="1066" t="str">
        <f t="shared" ca="1" si="58"/>
        <v>F22</v>
      </c>
      <c r="C407" s="1066" t="str">
        <f t="shared" ca="1" si="57"/>
        <v>F</v>
      </c>
      <c r="D407" s="1069" t="s">
        <v>1473</v>
      </c>
      <c r="E407" s="1069" t="s">
        <v>1382</v>
      </c>
      <c r="F407" s="1204"/>
      <c r="G407" s="1204"/>
      <c r="H407" s="1204"/>
      <c r="I407" s="1204"/>
      <c r="J407" s="1204"/>
      <c r="K407" s="1204"/>
      <c r="L407" s="1180" t="s">
        <v>225</v>
      </c>
      <c r="M407" s="1205">
        <v>376</v>
      </c>
      <c r="N407" s="1205"/>
    </row>
    <row r="408" spans="1:14" x14ac:dyDescent="0.25">
      <c r="A408" s="1225" t="s">
        <v>466</v>
      </c>
      <c r="B408" s="1066" t="str">
        <f ca="1">_xlfn.CONCAT(IFERROR(SUBSTITUTE(ADDRESS(1,MATCH(A408,INDIRECT("'"&amp;E408&amp;"'"&amp;"!A9:Z9"),0),4),1,""),""),21)</f>
        <v>E21</v>
      </c>
      <c r="C408" s="1066" t="str">
        <f ca="1">_xlfn.CONCAT(IFERROR(SUBSTITUTE(ADDRESS(1,MATCH(A408,INDIRECT("'"&amp;E408&amp;"'"&amp;"!A9:Z9"),0),4),1,""),""))</f>
        <v>E</v>
      </c>
      <c r="D408" s="1230" t="s">
        <v>1473</v>
      </c>
      <c r="E408" s="1069" t="s">
        <v>208</v>
      </c>
      <c r="F408" s="1204"/>
      <c r="G408" s="1204"/>
      <c r="H408" s="1204"/>
      <c r="I408" s="1204"/>
      <c r="J408" s="1204"/>
      <c r="K408" s="1204"/>
      <c r="L408" s="1180" t="s">
        <v>466</v>
      </c>
      <c r="M408" s="1205">
        <v>377</v>
      </c>
      <c r="N408" s="1205"/>
    </row>
    <row r="409" spans="1:14" x14ac:dyDescent="0.25">
      <c r="A409" s="1225" t="s">
        <v>1385</v>
      </c>
      <c r="B409" s="1066" t="str">
        <f t="shared" ref="B409:B415" ca="1" si="59">_xlfn.CONCAT(IFERROR(SUBSTITUTE(ADDRESS(1,MATCH(A409,INDIRECT("'"&amp;E409&amp;"'"&amp;"!A10:Z10"),0),4),1,""),""),22)</f>
        <v>E22</v>
      </c>
      <c r="C409" s="1066" t="str">
        <f t="shared" ref="C409:C419" ca="1" si="60">_xlfn.CONCAT(IFERROR(SUBSTITUTE(ADDRESS(1,MATCH(A409,INDIRECT("'"&amp;E409&amp;"'"&amp;"!A10:Z10"),0),4),1,""),""))</f>
        <v>E</v>
      </c>
      <c r="D409" s="1069" t="s">
        <v>1473</v>
      </c>
      <c r="E409" s="1069" t="s">
        <v>1382</v>
      </c>
      <c r="F409" s="1204"/>
      <c r="G409" s="1204"/>
      <c r="H409" s="1204"/>
      <c r="I409" s="1204"/>
      <c r="J409" s="1204"/>
      <c r="K409" s="1204"/>
      <c r="L409" s="1180" t="s">
        <v>1385</v>
      </c>
      <c r="M409" s="1205">
        <v>378</v>
      </c>
      <c r="N409" s="1205"/>
    </row>
    <row r="410" spans="1:14" x14ac:dyDescent="0.25">
      <c r="A410" s="1225" t="s">
        <v>1387</v>
      </c>
      <c r="B410" s="1066" t="str">
        <f t="shared" ca="1" si="59"/>
        <v>G22</v>
      </c>
      <c r="C410" s="1066" t="str">
        <f t="shared" ca="1" si="60"/>
        <v>G</v>
      </c>
      <c r="D410" s="1069" t="s">
        <v>1473</v>
      </c>
      <c r="E410" s="1069" t="s">
        <v>1382</v>
      </c>
      <c r="F410" s="1204"/>
      <c r="G410" s="1204"/>
      <c r="H410" s="1204"/>
      <c r="I410" s="1204"/>
      <c r="J410" s="1204"/>
      <c r="K410" s="1204"/>
      <c r="L410" s="1180" t="s">
        <v>1387</v>
      </c>
      <c r="M410" s="1205">
        <v>379</v>
      </c>
      <c r="N410" s="1205"/>
    </row>
    <row r="411" spans="1:14" x14ac:dyDescent="0.25">
      <c r="A411" s="1225" t="s">
        <v>1388</v>
      </c>
      <c r="B411" s="1066" t="str">
        <f t="shared" ca="1" si="59"/>
        <v>I22</v>
      </c>
      <c r="C411" s="1066" t="str">
        <f t="shared" ca="1" si="60"/>
        <v>I</v>
      </c>
      <c r="D411" s="1069" t="s">
        <v>1473</v>
      </c>
      <c r="E411" s="1069" t="s">
        <v>1382</v>
      </c>
      <c r="F411" s="1204"/>
      <c r="G411" s="1204"/>
      <c r="H411" s="1204"/>
      <c r="I411" s="1204"/>
      <c r="J411" s="1204"/>
      <c r="K411" s="1204"/>
      <c r="L411" s="1180" t="s">
        <v>1388</v>
      </c>
      <c r="M411" s="1205">
        <v>380</v>
      </c>
      <c r="N411" s="1205"/>
    </row>
    <row r="412" spans="1:14" x14ac:dyDescent="0.25">
      <c r="A412" s="1225" t="s">
        <v>1389</v>
      </c>
      <c r="B412" s="1066" t="str">
        <f t="shared" ca="1" si="59"/>
        <v>J22</v>
      </c>
      <c r="C412" s="1066" t="str">
        <f t="shared" ca="1" si="60"/>
        <v>J</v>
      </c>
      <c r="D412" s="1069" t="s">
        <v>1473</v>
      </c>
      <c r="E412" s="1069" t="s">
        <v>1382</v>
      </c>
      <c r="F412" s="1204"/>
      <c r="G412" s="1204"/>
      <c r="H412" s="1204"/>
      <c r="I412" s="1204"/>
      <c r="J412" s="1204"/>
      <c r="K412" s="1204"/>
      <c r="L412" s="1180" t="s">
        <v>1389</v>
      </c>
      <c r="M412" s="1205">
        <v>381</v>
      </c>
      <c r="N412" s="1205"/>
    </row>
    <row r="413" spans="1:14" x14ac:dyDescent="0.25">
      <c r="A413" s="1225" t="s">
        <v>1390</v>
      </c>
      <c r="B413" s="1066" t="str">
        <f t="shared" ca="1" si="59"/>
        <v>K22</v>
      </c>
      <c r="C413" s="1066" t="str">
        <f t="shared" ca="1" si="60"/>
        <v>K</v>
      </c>
      <c r="D413" s="1069" t="s">
        <v>1473</v>
      </c>
      <c r="E413" s="1069" t="s">
        <v>1382</v>
      </c>
      <c r="F413" s="1204"/>
      <c r="G413" s="1204"/>
      <c r="H413" s="1204"/>
      <c r="I413" s="1204"/>
      <c r="J413" s="1204"/>
      <c r="K413" s="1204"/>
      <c r="L413" s="1180" t="s">
        <v>1390</v>
      </c>
      <c r="M413" s="1205">
        <v>382</v>
      </c>
      <c r="N413" s="1205"/>
    </row>
    <row r="414" spans="1:14" x14ac:dyDescent="0.25">
      <c r="A414" s="1225" t="s">
        <v>1391</v>
      </c>
      <c r="B414" s="1066" t="str">
        <f t="shared" ca="1" si="59"/>
        <v>L22</v>
      </c>
      <c r="C414" s="1066" t="str">
        <f t="shared" ca="1" si="60"/>
        <v>L</v>
      </c>
      <c r="D414" s="1069" t="s">
        <v>1473</v>
      </c>
      <c r="E414" s="1069" t="s">
        <v>1382</v>
      </c>
      <c r="F414" s="1204"/>
      <c r="G414" s="1204"/>
      <c r="H414" s="1204"/>
      <c r="I414" s="1204"/>
      <c r="J414" s="1204"/>
      <c r="K414" s="1204"/>
      <c r="L414" s="1180" t="s">
        <v>1391</v>
      </c>
      <c r="M414" s="1205">
        <v>383</v>
      </c>
      <c r="N414" s="1205"/>
    </row>
    <row r="415" spans="1:14" x14ac:dyDescent="0.25">
      <c r="A415" s="1225" t="s">
        <v>1329</v>
      </c>
      <c r="B415" s="1066" t="str">
        <f t="shared" ca="1" si="59"/>
        <v>M22</v>
      </c>
      <c r="C415" s="1066" t="str">
        <f t="shared" ca="1" si="60"/>
        <v>M</v>
      </c>
      <c r="D415" s="1069" t="s">
        <v>1473</v>
      </c>
      <c r="E415" s="1069" t="s">
        <v>1382</v>
      </c>
      <c r="F415" s="1204"/>
      <c r="G415" s="1204"/>
      <c r="H415" s="1204"/>
      <c r="I415" s="1204"/>
      <c r="J415" s="1204"/>
      <c r="K415" s="1204"/>
      <c r="L415" s="1180" t="s">
        <v>1329</v>
      </c>
      <c r="M415" s="1205">
        <v>384</v>
      </c>
      <c r="N415" s="1205"/>
    </row>
    <row r="416" spans="1:14" x14ac:dyDescent="0.25">
      <c r="A416" s="1220" t="s">
        <v>1392</v>
      </c>
      <c r="B416" s="1066" t="str">
        <f ca="1">_xlfn.CONCAT(IFERROR(SUBSTITUTE(ADDRESS(1,MATCH(A416,INDIRECT("'"&amp;E416&amp;"'"&amp;"!A10:Z10"),0),4),1,""),""),30)</f>
        <v>N30</v>
      </c>
      <c r="C416" s="1066" t="str">
        <f t="shared" ca="1" si="60"/>
        <v>N</v>
      </c>
      <c r="D416" s="1069" t="s">
        <v>1473</v>
      </c>
      <c r="E416" s="1069" t="s">
        <v>1382</v>
      </c>
      <c r="F416" s="1204"/>
      <c r="G416" s="1204"/>
      <c r="H416" s="1204"/>
      <c r="I416" s="1204"/>
      <c r="J416" s="1204"/>
      <c r="K416" s="1204"/>
      <c r="L416" s="1180" t="s">
        <v>1392</v>
      </c>
      <c r="M416" s="1205">
        <v>385</v>
      </c>
      <c r="N416" s="1205"/>
    </row>
    <row r="417" spans="1:14" x14ac:dyDescent="0.25">
      <c r="A417" s="1221" t="s">
        <v>1383</v>
      </c>
      <c r="B417" s="1066" t="str">
        <f t="shared" ref="B417:B419" ca="1" si="61">_xlfn.CONCAT(IFERROR(SUBSTITUTE(ADDRESS(1,MATCH(A417,INDIRECT("'"&amp;E417&amp;"'"&amp;"!A10:Z10"),0),4),1,""),""),30)</f>
        <v>C30</v>
      </c>
      <c r="C417" s="1066" t="str">
        <f t="shared" ca="1" si="60"/>
        <v>C</v>
      </c>
      <c r="D417" s="1069" t="s">
        <v>1473</v>
      </c>
      <c r="E417" s="1069" t="s">
        <v>1382</v>
      </c>
      <c r="F417" s="1204"/>
      <c r="G417" s="1204"/>
      <c r="H417" s="1204"/>
      <c r="I417" s="1204"/>
      <c r="J417" s="1204"/>
      <c r="K417" s="1204"/>
      <c r="L417" s="1180" t="s">
        <v>254</v>
      </c>
      <c r="M417" s="1205">
        <v>386</v>
      </c>
      <c r="N417" s="1205"/>
    </row>
    <row r="418" spans="1:14" x14ac:dyDescent="0.25">
      <c r="A418" s="1221" t="s">
        <v>1348</v>
      </c>
      <c r="B418" s="1066" t="str">
        <f t="shared" ca="1" si="61"/>
        <v>H30</v>
      </c>
      <c r="C418" s="1066" t="str">
        <f t="shared" ca="1" si="60"/>
        <v>H</v>
      </c>
      <c r="D418" s="1069" t="s">
        <v>1473</v>
      </c>
      <c r="E418" s="1069" t="s">
        <v>1382</v>
      </c>
      <c r="F418" s="1204"/>
      <c r="G418" s="1204"/>
      <c r="H418" s="1204"/>
      <c r="I418" s="1204"/>
      <c r="J418" s="1204"/>
      <c r="K418" s="1204"/>
      <c r="L418" s="1180" t="s">
        <v>1348</v>
      </c>
      <c r="M418" s="1205">
        <v>387</v>
      </c>
      <c r="N418" s="1205"/>
    </row>
    <row r="419" spans="1:14" x14ac:dyDescent="0.25">
      <c r="A419" s="1221" t="s">
        <v>1386</v>
      </c>
      <c r="B419" s="1066" t="str">
        <f t="shared" ca="1" si="61"/>
        <v>F30</v>
      </c>
      <c r="C419" s="1066" t="str">
        <f t="shared" ca="1" si="60"/>
        <v>F</v>
      </c>
      <c r="D419" s="1069" t="s">
        <v>1473</v>
      </c>
      <c r="E419" s="1069" t="s">
        <v>1382</v>
      </c>
      <c r="F419" s="1204"/>
      <c r="G419" s="1204"/>
      <c r="H419" s="1204"/>
      <c r="I419" s="1204"/>
      <c r="J419" s="1204"/>
      <c r="K419" s="1204"/>
      <c r="L419" s="1180" t="s">
        <v>225</v>
      </c>
      <c r="M419" s="1205">
        <v>388</v>
      </c>
      <c r="N419" s="1205"/>
    </row>
    <row r="420" spans="1:14" x14ac:dyDescent="0.25">
      <c r="A420" s="1222" t="s">
        <v>466</v>
      </c>
      <c r="B420" s="1066" t="str">
        <f ca="1">_xlfn.CONCAT(IFERROR(SUBSTITUTE(ADDRESS(1,MATCH(A420,INDIRECT("'"&amp;E420&amp;"'"&amp;"!A9:Z9"),0),4),1,""),""),22)</f>
        <v>E22</v>
      </c>
      <c r="C420" s="1066" t="str">
        <f ca="1">_xlfn.CONCAT(IFERROR(SUBSTITUTE(ADDRESS(1,MATCH(A420,INDIRECT("'"&amp;E420&amp;"'"&amp;"!A9:Z9"),0),4),1,""),""))</f>
        <v>E</v>
      </c>
      <c r="D420" s="1230" t="s">
        <v>1473</v>
      </c>
      <c r="E420" s="1069" t="s">
        <v>208</v>
      </c>
      <c r="F420" s="1204"/>
      <c r="G420" s="1204"/>
      <c r="H420" s="1204"/>
      <c r="I420" s="1204"/>
      <c r="J420" s="1204"/>
      <c r="K420" s="1204"/>
      <c r="L420" s="1180" t="s">
        <v>466</v>
      </c>
      <c r="M420" s="1205">
        <v>389</v>
      </c>
      <c r="N420" s="1205"/>
    </row>
    <row r="421" spans="1:14" x14ac:dyDescent="0.25">
      <c r="A421" s="1222" t="s">
        <v>1385</v>
      </c>
      <c r="B421" s="1066" t="str">
        <f t="shared" ref="B421:B427" ca="1" si="62">_xlfn.CONCAT(IFERROR(SUBSTITUTE(ADDRESS(1,MATCH(A421,INDIRECT("'"&amp;E421&amp;"'"&amp;"!A10:Z10"),0),4),1,""),""),30)</f>
        <v>E30</v>
      </c>
      <c r="C421" s="1066" t="str">
        <f t="shared" ref="C421:C431" ca="1" si="63">_xlfn.CONCAT(IFERROR(SUBSTITUTE(ADDRESS(1,MATCH(A421,INDIRECT("'"&amp;E421&amp;"'"&amp;"!A10:Z10"),0),4),1,""),""))</f>
        <v>E</v>
      </c>
      <c r="D421" s="1069" t="s">
        <v>1473</v>
      </c>
      <c r="E421" s="1069" t="s">
        <v>1382</v>
      </c>
      <c r="F421" s="1204"/>
      <c r="G421" s="1204"/>
      <c r="H421" s="1204"/>
      <c r="I421" s="1204"/>
      <c r="J421" s="1204"/>
      <c r="K421" s="1204"/>
      <c r="L421" s="1180" t="s">
        <v>1385</v>
      </c>
      <c r="M421" s="1205">
        <v>390</v>
      </c>
      <c r="N421" s="1205"/>
    </row>
    <row r="422" spans="1:14" x14ac:dyDescent="0.25">
      <c r="A422" s="1222" t="s">
        <v>1387</v>
      </c>
      <c r="B422" s="1066" t="str">
        <f t="shared" ca="1" si="62"/>
        <v>G30</v>
      </c>
      <c r="C422" s="1066" t="str">
        <f t="shared" ca="1" si="63"/>
        <v>G</v>
      </c>
      <c r="D422" s="1069" t="s">
        <v>1473</v>
      </c>
      <c r="E422" s="1069" t="s">
        <v>1382</v>
      </c>
      <c r="F422" s="1204"/>
      <c r="G422" s="1204"/>
      <c r="H422" s="1204"/>
      <c r="I422" s="1204"/>
      <c r="J422" s="1204"/>
      <c r="K422" s="1204"/>
      <c r="L422" s="1180" t="s">
        <v>1387</v>
      </c>
      <c r="M422" s="1205">
        <v>391</v>
      </c>
      <c r="N422" s="1205"/>
    </row>
    <row r="423" spans="1:14" x14ac:dyDescent="0.25">
      <c r="A423" s="1222" t="s">
        <v>1388</v>
      </c>
      <c r="B423" s="1066" t="str">
        <f t="shared" ca="1" si="62"/>
        <v>I30</v>
      </c>
      <c r="C423" s="1066" t="str">
        <f t="shared" ca="1" si="63"/>
        <v>I</v>
      </c>
      <c r="D423" s="1069" t="s">
        <v>1473</v>
      </c>
      <c r="E423" s="1069" t="s">
        <v>1382</v>
      </c>
      <c r="F423" s="1204"/>
      <c r="G423" s="1204"/>
      <c r="H423" s="1204"/>
      <c r="I423" s="1204"/>
      <c r="J423" s="1204"/>
      <c r="K423" s="1204"/>
      <c r="L423" s="1180" t="s">
        <v>1388</v>
      </c>
      <c r="M423" s="1205">
        <v>392</v>
      </c>
      <c r="N423" s="1205"/>
    </row>
    <row r="424" spans="1:14" x14ac:dyDescent="0.25">
      <c r="A424" s="1222" t="s">
        <v>1389</v>
      </c>
      <c r="B424" s="1066" t="str">
        <f t="shared" ca="1" si="62"/>
        <v>J30</v>
      </c>
      <c r="C424" s="1066" t="str">
        <f t="shared" ca="1" si="63"/>
        <v>J</v>
      </c>
      <c r="D424" s="1069" t="s">
        <v>1473</v>
      </c>
      <c r="E424" s="1069" t="s">
        <v>1382</v>
      </c>
      <c r="F424" s="1204"/>
      <c r="G424" s="1204"/>
      <c r="H424" s="1204"/>
      <c r="I424" s="1204"/>
      <c r="J424" s="1204"/>
      <c r="K424" s="1204"/>
      <c r="L424" s="1180" t="s">
        <v>1389</v>
      </c>
      <c r="M424" s="1205">
        <v>393</v>
      </c>
      <c r="N424" s="1205"/>
    </row>
    <row r="425" spans="1:14" x14ac:dyDescent="0.25">
      <c r="A425" s="1222" t="s">
        <v>1390</v>
      </c>
      <c r="B425" s="1066" t="str">
        <f t="shared" ca="1" si="62"/>
        <v>K30</v>
      </c>
      <c r="C425" s="1066" t="str">
        <f t="shared" ca="1" si="63"/>
        <v>K</v>
      </c>
      <c r="D425" s="1069" t="s">
        <v>1473</v>
      </c>
      <c r="E425" s="1069" t="s">
        <v>1382</v>
      </c>
      <c r="F425" s="1204"/>
      <c r="G425" s="1204"/>
      <c r="H425" s="1204"/>
      <c r="I425" s="1204"/>
      <c r="J425" s="1204"/>
      <c r="K425" s="1204"/>
      <c r="L425" s="1180" t="s">
        <v>1390</v>
      </c>
      <c r="M425" s="1205">
        <v>394</v>
      </c>
      <c r="N425" s="1205"/>
    </row>
    <row r="426" spans="1:14" x14ac:dyDescent="0.25">
      <c r="A426" s="1222" t="s">
        <v>1391</v>
      </c>
      <c r="B426" s="1066" t="str">
        <f t="shared" ca="1" si="62"/>
        <v>L30</v>
      </c>
      <c r="C426" s="1066" t="str">
        <f t="shared" ca="1" si="63"/>
        <v>L</v>
      </c>
      <c r="D426" s="1069" t="s">
        <v>1473</v>
      </c>
      <c r="E426" s="1069" t="s">
        <v>1382</v>
      </c>
      <c r="F426" s="1204"/>
      <c r="G426" s="1204"/>
      <c r="H426" s="1204"/>
      <c r="I426" s="1204"/>
      <c r="J426" s="1204"/>
      <c r="K426" s="1204"/>
      <c r="L426" s="1180" t="s">
        <v>1391</v>
      </c>
      <c r="M426" s="1205">
        <v>395</v>
      </c>
      <c r="N426" s="1205"/>
    </row>
    <row r="427" spans="1:14" x14ac:dyDescent="0.25">
      <c r="A427" s="1222" t="s">
        <v>1329</v>
      </c>
      <c r="B427" s="1066" t="str">
        <f t="shared" ca="1" si="62"/>
        <v>M30</v>
      </c>
      <c r="C427" s="1066" t="str">
        <f t="shared" ca="1" si="63"/>
        <v>M</v>
      </c>
      <c r="D427" s="1069" t="s">
        <v>1473</v>
      </c>
      <c r="E427" s="1069" t="s">
        <v>1382</v>
      </c>
      <c r="F427" s="1204"/>
      <c r="G427" s="1204"/>
      <c r="H427" s="1204"/>
      <c r="I427" s="1204"/>
      <c r="J427" s="1204"/>
      <c r="K427" s="1204"/>
      <c r="L427" s="1180" t="s">
        <v>1329</v>
      </c>
      <c r="M427" s="1205">
        <v>396</v>
      </c>
      <c r="N427" s="1205"/>
    </row>
    <row r="428" spans="1:14" x14ac:dyDescent="0.25">
      <c r="A428" s="1223" t="s">
        <v>1392</v>
      </c>
      <c r="B428" s="1066" t="str">
        <f ca="1">_xlfn.CONCAT(IFERROR(SUBSTITUTE(ADDRESS(1,MATCH(A428,INDIRECT("'"&amp;E428&amp;"'"&amp;"!A10:Z10"),0),4),1,""),""),23)</f>
        <v>N23</v>
      </c>
      <c r="C428" s="1066" t="str">
        <f t="shared" ca="1" si="63"/>
        <v>N</v>
      </c>
      <c r="D428" s="1069" t="s">
        <v>1473</v>
      </c>
      <c r="E428" s="1069" t="s">
        <v>1382</v>
      </c>
      <c r="F428" s="1204"/>
      <c r="G428" s="1204"/>
      <c r="H428" s="1204"/>
      <c r="I428" s="1204"/>
      <c r="J428" s="1204"/>
      <c r="K428" s="1204"/>
      <c r="L428" s="1180" t="s">
        <v>1392</v>
      </c>
      <c r="M428" s="1205">
        <v>397</v>
      </c>
      <c r="N428" s="1205"/>
    </row>
    <row r="429" spans="1:14" x14ac:dyDescent="0.25">
      <c r="A429" s="1224" t="s">
        <v>1383</v>
      </c>
      <c r="B429" s="1066" t="str">
        <f t="shared" ref="B429:B431" ca="1" si="64">_xlfn.CONCAT(IFERROR(SUBSTITUTE(ADDRESS(1,MATCH(A429,INDIRECT("'"&amp;E429&amp;"'"&amp;"!A10:Z10"),0),4),1,""),""),23)</f>
        <v>C23</v>
      </c>
      <c r="C429" s="1066" t="str">
        <f t="shared" ca="1" si="63"/>
        <v>C</v>
      </c>
      <c r="D429" s="1069" t="s">
        <v>1473</v>
      </c>
      <c r="E429" s="1069" t="s">
        <v>1382</v>
      </c>
      <c r="F429" s="1204"/>
      <c r="G429" s="1204"/>
      <c r="H429" s="1204"/>
      <c r="I429" s="1204"/>
      <c r="J429" s="1204"/>
      <c r="K429" s="1204"/>
      <c r="L429" s="1180" t="s">
        <v>254</v>
      </c>
      <c r="M429" s="1205">
        <v>398</v>
      </c>
      <c r="N429" s="1205"/>
    </row>
    <row r="430" spans="1:14" x14ac:dyDescent="0.25">
      <c r="A430" s="1224" t="s">
        <v>1348</v>
      </c>
      <c r="B430" s="1066" t="str">
        <f t="shared" ca="1" si="64"/>
        <v>H23</v>
      </c>
      <c r="C430" s="1066" t="str">
        <f t="shared" ca="1" si="63"/>
        <v>H</v>
      </c>
      <c r="D430" s="1069" t="s">
        <v>1473</v>
      </c>
      <c r="E430" s="1069" t="s">
        <v>1382</v>
      </c>
      <c r="F430" s="1204"/>
      <c r="G430" s="1204"/>
      <c r="H430" s="1204"/>
      <c r="I430" s="1204"/>
      <c r="J430" s="1204"/>
      <c r="K430" s="1204"/>
      <c r="L430" s="1180" t="s">
        <v>1348</v>
      </c>
      <c r="M430" s="1205">
        <v>399</v>
      </c>
      <c r="N430" s="1205"/>
    </row>
    <row r="431" spans="1:14" x14ac:dyDescent="0.25">
      <c r="A431" s="1224" t="s">
        <v>1386</v>
      </c>
      <c r="B431" s="1066" t="str">
        <f t="shared" ca="1" si="64"/>
        <v>F23</v>
      </c>
      <c r="C431" s="1066" t="str">
        <f t="shared" ca="1" si="63"/>
        <v>F</v>
      </c>
      <c r="D431" s="1069" t="s">
        <v>1473</v>
      </c>
      <c r="E431" s="1069" t="s">
        <v>1382</v>
      </c>
      <c r="F431" s="1204"/>
      <c r="G431" s="1204"/>
      <c r="H431" s="1204"/>
      <c r="I431" s="1204"/>
      <c r="J431" s="1204"/>
      <c r="K431" s="1204"/>
      <c r="L431" s="1180" t="s">
        <v>225</v>
      </c>
      <c r="M431" s="1205">
        <v>400</v>
      </c>
      <c r="N431" s="1205"/>
    </row>
    <row r="432" spans="1:14" x14ac:dyDescent="0.25">
      <c r="A432" s="1225" t="s">
        <v>466</v>
      </c>
      <c r="B432" s="1066" t="str">
        <f ca="1">_xlfn.CONCAT(IFERROR(SUBSTITUTE(ADDRESS(1,MATCH(A432,INDIRECT("'"&amp;E432&amp;"'"&amp;"!A9:Z9"),0),4),1,""),""),23)</f>
        <v>E23</v>
      </c>
      <c r="C432" s="1066" t="str">
        <f ca="1">_xlfn.CONCAT(IFERROR(SUBSTITUTE(ADDRESS(1,MATCH(A432,INDIRECT("'"&amp;E432&amp;"'"&amp;"!A9:Z9"),0),4),1,""),""))</f>
        <v>E</v>
      </c>
      <c r="D432" s="1230" t="s">
        <v>1473</v>
      </c>
      <c r="E432" s="1069" t="s">
        <v>208</v>
      </c>
      <c r="F432" s="1204"/>
      <c r="G432" s="1204"/>
      <c r="H432" s="1204"/>
      <c r="I432" s="1204"/>
      <c r="J432" s="1204"/>
      <c r="K432" s="1204"/>
      <c r="L432" s="1180" t="s">
        <v>466</v>
      </c>
      <c r="M432" s="1205">
        <v>401</v>
      </c>
      <c r="N432" s="1205"/>
    </row>
    <row r="433" spans="1:14" x14ac:dyDescent="0.25">
      <c r="A433" s="1225" t="s">
        <v>1385</v>
      </c>
      <c r="B433" s="1066" t="str">
        <f t="shared" ref="B433:B439" ca="1" si="65">_xlfn.CONCAT(IFERROR(SUBSTITUTE(ADDRESS(1,MATCH(A433,INDIRECT("'"&amp;E433&amp;"'"&amp;"!A10:Z10"),0),4),1,""),""),23)</f>
        <v>E23</v>
      </c>
      <c r="C433" s="1066" t="str">
        <f t="shared" ref="C433:C443" ca="1" si="66">_xlfn.CONCAT(IFERROR(SUBSTITUTE(ADDRESS(1,MATCH(A433,INDIRECT("'"&amp;E433&amp;"'"&amp;"!A10:Z10"),0),4),1,""),""))</f>
        <v>E</v>
      </c>
      <c r="D433" s="1069" t="s">
        <v>1473</v>
      </c>
      <c r="E433" s="1069" t="s">
        <v>1382</v>
      </c>
      <c r="F433" s="1204"/>
      <c r="G433" s="1204"/>
      <c r="H433" s="1204"/>
      <c r="I433" s="1204"/>
      <c r="J433" s="1204"/>
      <c r="K433" s="1204"/>
      <c r="L433" s="1180" t="s">
        <v>1385</v>
      </c>
      <c r="M433" s="1205">
        <v>402</v>
      </c>
      <c r="N433" s="1205"/>
    </row>
    <row r="434" spans="1:14" x14ac:dyDescent="0.25">
      <c r="A434" s="1225" t="s">
        <v>1387</v>
      </c>
      <c r="B434" s="1066" t="str">
        <f t="shared" ca="1" si="65"/>
        <v>G23</v>
      </c>
      <c r="C434" s="1066" t="str">
        <f t="shared" ca="1" si="66"/>
        <v>G</v>
      </c>
      <c r="D434" s="1069" t="s">
        <v>1473</v>
      </c>
      <c r="E434" s="1069" t="s">
        <v>1382</v>
      </c>
      <c r="F434" s="1204"/>
      <c r="G434" s="1204"/>
      <c r="H434" s="1204"/>
      <c r="I434" s="1204"/>
      <c r="J434" s="1204"/>
      <c r="K434" s="1204"/>
      <c r="L434" s="1180" t="s">
        <v>1387</v>
      </c>
      <c r="M434" s="1205">
        <v>403</v>
      </c>
      <c r="N434" s="1205"/>
    </row>
    <row r="435" spans="1:14" x14ac:dyDescent="0.25">
      <c r="A435" s="1225" t="s">
        <v>1388</v>
      </c>
      <c r="B435" s="1066" t="str">
        <f t="shared" ca="1" si="65"/>
        <v>I23</v>
      </c>
      <c r="C435" s="1066" t="str">
        <f t="shared" ca="1" si="66"/>
        <v>I</v>
      </c>
      <c r="D435" s="1069" t="s">
        <v>1473</v>
      </c>
      <c r="E435" s="1069" t="s">
        <v>1382</v>
      </c>
      <c r="F435" s="1204"/>
      <c r="G435" s="1204"/>
      <c r="H435" s="1204"/>
      <c r="I435" s="1204"/>
      <c r="J435" s="1204"/>
      <c r="K435" s="1204"/>
      <c r="L435" s="1180" t="s">
        <v>1388</v>
      </c>
      <c r="M435" s="1205">
        <v>404</v>
      </c>
      <c r="N435" s="1205"/>
    </row>
    <row r="436" spans="1:14" x14ac:dyDescent="0.25">
      <c r="A436" s="1225" t="s">
        <v>1389</v>
      </c>
      <c r="B436" s="1066" t="str">
        <f t="shared" ca="1" si="65"/>
        <v>J23</v>
      </c>
      <c r="C436" s="1066" t="str">
        <f t="shared" ca="1" si="66"/>
        <v>J</v>
      </c>
      <c r="D436" s="1069" t="s">
        <v>1473</v>
      </c>
      <c r="E436" s="1069" t="s">
        <v>1382</v>
      </c>
      <c r="F436" s="1204"/>
      <c r="G436" s="1204"/>
      <c r="H436" s="1204"/>
      <c r="I436" s="1204"/>
      <c r="J436" s="1204"/>
      <c r="K436" s="1204"/>
      <c r="L436" s="1180" t="s">
        <v>1389</v>
      </c>
      <c r="M436" s="1205">
        <v>405</v>
      </c>
      <c r="N436" s="1205"/>
    </row>
    <row r="437" spans="1:14" x14ac:dyDescent="0.25">
      <c r="A437" s="1225" t="s">
        <v>1390</v>
      </c>
      <c r="B437" s="1066" t="str">
        <f t="shared" ca="1" si="65"/>
        <v>K23</v>
      </c>
      <c r="C437" s="1066" t="str">
        <f t="shared" ca="1" si="66"/>
        <v>K</v>
      </c>
      <c r="D437" s="1069" t="s">
        <v>1473</v>
      </c>
      <c r="E437" s="1069" t="s">
        <v>1382</v>
      </c>
      <c r="F437" s="1204"/>
      <c r="G437" s="1204"/>
      <c r="H437" s="1204"/>
      <c r="I437" s="1204"/>
      <c r="J437" s="1204"/>
      <c r="K437" s="1204"/>
      <c r="L437" s="1180" t="s">
        <v>1390</v>
      </c>
      <c r="M437" s="1205">
        <v>406</v>
      </c>
      <c r="N437" s="1205"/>
    </row>
    <row r="438" spans="1:14" x14ac:dyDescent="0.25">
      <c r="A438" s="1225" t="s">
        <v>1391</v>
      </c>
      <c r="B438" s="1066" t="str">
        <f t="shared" ca="1" si="65"/>
        <v>L23</v>
      </c>
      <c r="C438" s="1066" t="str">
        <f t="shared" ca="1" si="66"/>
        <v>L</v>
      </c>
      <c r="D438" s="1069" t="s">
        <v>1473</v>
      </c>
      <c r="E438" s="1069" t="s">
        <v>1382</v>
      </c>
      <c r="F438" s="1204"/>
      <c r="G438" s="1204"/>
      <c r="H438" s="1204"/>
      <c r="I438" s="1204"/>
      <c r="J438" s="1204"/>
      <c r="K438" s="1204"/>
      <c r="L438" s="1180" t="s">
        <v>1391</v>
      </c>
      <c r="M438" s="1205">
        <v>407</v>
      </c>
      <c r="N438" s="1205"/>
    </row>
    <row r="439" spans="1:14" x14ac:dyDescent="0.25">
      <c r="A439" s="1225" t="s">
        <v>1329</v>
      </c>
      <c r="B439" s="1066" t="str">
        <f t="shared" ca="1" si="65"/>
        <v>M23</v>
      </c>
      <c r="C439" s="1066" t="str">
        <f t="shared" ca="1" si="66"/>
        <v>M</v>
      </c>
      <c r="D439" s="1069" t="s">
        <v>1473</v>
      </c>
      <c r="E439" s="1069" t="s">
        <v>1382</v>
      </c>
      <c r="F439" s="1204"/>
      <c r="G439" s="1204"/>
      <c r="H439" s="1204"/>
      <c r="I439" s="1204"/>
      <c r="J439" s="1204"/>
      <c r="K439" s="1204"/>
      <c r="L439" s="1180" t="s">
        <v>1329</v>
      </c>
      <c r="M439" s="1205">
        <v>408</v>
      </c>
      <c r="N439" s="1205"/>
    </row>
    <row r="440" spans="1:14" x14ac:dyDescent="0.25">
      <c r="A440" s="1220" t="s">
        <v>1392</v>
      </c>
      <c r="B440" s="1066" t="str">
        <f ca="1">_xlfn.CONCAT(IFERROR(SUBSTITUTE(ADDRESS(1,MATCH(A440,INDIRECT("'"&amp;E440&amp;"'"&amp;"!A10:Z10"),0),4),1,""),""),24)</f>
        <v>N24</v>
      </c>
      <c r="C440" s="1066" t="str">
        <f t="shared" ca="1" si="66"/>
        <v>N</v>
      </c>
      <c r="D440" s="1069" t="s">
        <v>1473</v>
      </c>
      <c r="E440" s="1069" t="s">
        <v>1382</v>
      </c>
      <c r="F440" s="1204"/>
      <c r="G440" s="1204"/>
      <c r="H440" s="1204"/>
      <c r="I440" s="1204"/>
      <c r="J440" s="1204"/>
      <c r="K440" s="1204"/>
      <c r="L440" s="1180" t="s">
        <v>1392</v>
      </c>
      <c r="M440" s="1205">
        <v>409</v>
      </c>
      <c r="N440" s="1205"/>
    </row>
    <row r="441" spans="1:14" x14ac:dyDescent="0.25">
      <c r="A441" s="1221" t="s">
        <v>1383</v>
      </c>
      <c r="B441" s="1066" t="str">
        <f t="shared" ref="B441:B443" ca="1" si="67">_xlfn.CONCAT(IFERROR(SUBSTITUTE(ADDRESS(1,MATCH(A441,INDIRECT("'"&amp;E441&amp;"'"&amp;"!A10:Z10"),0),4),1,""),""),24)</f>
        <v>C24</v>
      </c>
      <c r="C441" s="1066" t="str">
        <f t="shared" ca="1" si="66"/>
        <v>C</v>
      </c>
      <c r="D441" s="1069" t="s">
        <v>1473</v>
      </c>
      <c r="E441" s="1069" t="s">
        <v>1382</v>
      </c>
      <c r="F441" s="1204"/>
      <c r="G441" s="1204"/>
      <c r="H441" s="1204"/>
      <c r="I441" s="1204"/>
      <c r="J441" s="1204"/>
      <c r="K441" s="1204"/>
      <c r="L441" s="1180" t="s">
        <v>254</v>
      </c>
      <c r="M441" s="1205">
        <v>420</v>
      </c>
      <c r="N441" s="1205"/>
    </row>
    <row r="442" spans="1:14" x14ac:dyDescent="0.25">
      <c r="A442" s="1221" t="s">
        <v>1348</v>
      </c>
      <c r="B442" s="1066" t="str">
        <f t="shared" ca="1" si="67"/>
        <v>H24</v>
      </c>
      <c r="C442" s="1066" t="str">
        <f t="shared" ca="1" si="66"/>
        <v>H</v>
      </c>
      <c r="D442" s="1069" t="s">
        <v>1473</v>
      </c>
      <c r="E442" s="1069" t="s">
        <v>1382</v>
      </c>
      <c r="F442" s="1204"/>
      <c r="G442" s="1204"/>
      <c r="H442" s="1204"/>
      <c r="I442" s="1204"/>
      <c r="J442" s="1204"/>
      <c r="K442" s="1204"/>
      <c r="L442" s="1180" t="s">
        <v>1348</v>
      </c>
      <c r="M442" s="1205">
        <v>411</v>
      </c>
      <c r="N442" s="1205"/>
    </row>
    <row r="443" spans="1:14" x14ac:dyDescent="0.25">
      <c r="A443" s="1221" t="s">
        <v>1386</v>
      </c>
      <c r="B443" s="1066" t="str">
        <f t="shared" ca="1" si="67"/>
        <v>F24</v>
      </c>
      <c r="C443" s="1066" t="str">
        <f t="shared" ca="1" si="66"/>
        <v>F</v>
      </c>
      <c r="D443" s="1069" t="s">
        <v>1473</v>
      </c>
      <c r="E443" s="1069" t="s">
        <v>1382</v>
      </c>
      <c r="F443" s="1204"/>
      <c r="G443" s="1204"/>
      <c r="H443" s="1204"/>
      <c r="I443" s="1204"/>
      <c r="J443" s="1204"/>
      <c r="K443" s="1204"/>
      <c r="L443" s="1180" t="s">
        <v>225</v>
      </c>
      <c r="M443" s="1205">
        <v>412</v>
      </c>
      <c r="N443" s="1205"/>
    </row>
    <row r="444" spans="1:14" x14ac:dyDescent="0.25">
      <c r="A444" s="1222" t="s">
        <v>466</v>
      </c>
      <c r="B444" s="1066" t="str">
        <f ca="1">_xlfn.CONCAT(IFERROR(SUBSTITUTE(ADDRESS(1,MATCH(A444,INDIRECT("'"&amp;E444&amp;"'"&amp;"!A9:Z9"),0),4),1,""),""),24)</f>
        <v>E24</v>
      </c>
      <c r="C444" s="1066" t="str">
        <f ca="1">_xlfn.CONCAT(IFERROR(SUBSTITUTE(ADDRESS(1,MATCH(A444,INDIRECT("'"&amp;E444&amp;"'"&amp;"!A9:Z9"),0),4),1,""),""))</f>
        <v>E</v>
      </c>
      <c r="D444" s="1230" t="s">
        <v>1473</v>
      </c>
      <c r="E444" s="1069" t="s">
        <v>208</v>
      </c>
      <c r="F444" s="1204"/>
      <c r="G444" s="1204"/>
      <c r="H444" s="1204"/>
      <c r="I444" s="1204"/>
      <c r="J444" s="1204"/>
      <c r="K444" s="1204"/>
      <c r="L444" s="1180" t="s">
        <v>466</v>
      </c>
      <c r="M444" s="1205">
        <v>413</v>
      </c>
      <c r="N444" s="1205"/>
    </row>
    <row r="445" spans="1:14" x14ac:dyDescent="0.25">
      <c r="A445" s="1222" t="s">
        <v>1385</v>
      </c>
      <c r="B445" s="1066" t="str">
        <f t="shared" ref="B445:B451" ca="1" si="68">_xlfn.CONCAT(IFERROR(SUBSTITUTE(ADDRESS(1,MATCH(A445,INDIRECT("'"&amp;E445&amp;"'"&amp;"!A10:Z10"),0),4),1,""),""),24)</f>
        <v>E24</v>
      </c>
      <c r="C445" s="1066" t="str">
        <f t="shared" ref="C445:C455" ca="1" si="69">_xlfn.CONCAT(IFERROR(SUBSTITUTE(ADDRESS(1,MATCH(A445,INDIRECT("'"&amp;E445&amp;"'"&amp;"!A10:Z10"),0),4),1,""),""))</f>
        <v>E</v>
      </c>
      <c r="D445" s="1069" t="s">
        <v>1473</v>
      </c>
      <c r="E445" s="1069" t="s">
        <v>1382</v>
      </c>
      <c r="F445" s="1204"/>
      <c r="G445" s="1204"/>
      <c r="H445" s="1204"/>
      <c r="I445" s="1204"/>
      <c r="J445" s="1204"/>
      <c r="K445" s="1204"/>
      <c r="L445" s="1180" t="s">
        <v>1385</v>
      </c>
      <c r="M445" s="1205">
        <v>414</v>
      </c>
      <c r="N445" s="1205"/>
    </row>
    <row r="446" spans="1:14" x14ac:dyDescent="0.25">
      <c r="A446" s="1222" t="s">
        <v>1387</v>
      </c>
      <c r="B446" s="1066" t="str">
        <f t="shared" ca="1" si="68"/>
        <v>G24</v>
      </c>
      <c r="C446" s="1066" t="str">
        <f t="shared" ca="1" si="69"/>
        <v>G</v>
      </c>
      <c r="D446" s="1069" t="s">
        <v>1473</v>
      </c>
      <c r="E446" s="1069" t="s">
        <v>1382</v>
      </c>
      <c r="F446" s="1204"/>
      <c r="G446" s="1204"/>
      <c r="H446" s="1204"/>
      <c r="I446" s="1204"/>
      <c r="J446" s="1204"/>
      <c r="K446" s="1204"/>
      <c r="L446" s="1180" t="s">
        <v>1387</v>
      </c>
      <c r="M446" s="1205">
        <v>415</v>
      </c>
      <c r="N446" s="1205"/>
    </row>
    <row r="447" spans="1:14" x14ac:dyDescent="0.25">
      <c r="A447" s="1222" t="s">
        <v>1388</v>
      </c>
      <c r="B447" s="1066" t="str">
        <f t="shared" ca="1" si="68"/>
        <v>I24</v>
      </c>
      <c r="C447" s="1066" t="str">
        <f t="shared" ca="1" si="69"/>
        <v>I</v>
      </c>
      <c r="D447" s="1069" t="s">
        <v>1473</v>
      </c>
      <c r="E447" s="1069" t="s">
        <v>1382</v>
      </c>
      <c r="F447" s="1204"/>
      <c r="G447" s="1204"/>
      <c r="H447" s="1204"/>
      <c r="I447" s="1204"/>
      <c r="J447" s="1204"/>
      <c r="K447" s="1204"/>
      <c r="L447" s="1180" t="s">
        <v>1388</v>
      </c>
      <c r="M447" s="1205">
        <v>416</v>
      </c>
      <c r="N447" s="1205"/>
    </row>
    <row r="448" spans="1:14" x14ac:dyDescent="0.25">
      <c r="A448" s="1222" t="s">
        <v>1389</v>
      </c>
      <c r="B448" s="1066" t="str">
        <f t="shared" ca="1" si="68"/>
        <v>J24</v>
      </c>
      <c r="C448" s="1066" t="str">
        <f t="shared" ca="1" si="69"/>
        <v>J</v>
      </c>
      <c r="D448" s="1069" t="s">
        <v>1473</v>
      </c>
      <c r="E448" s="1069" t="s">
        <v>1382</v>
      </c>
      <c r="F448" s="1204"/>
      <c r="G448" s="1204"/>
      <c r="H448" s="1204"/>
      <c r="I448" s="1204"/>
      <c r="J448" s="1204"/>
      <c r="K448" s="1204"/>
      <c r="L448" s="1180" t="s">
        <v>1389</v>
      </c>
      <c r="M448" s="1205">
        <v>417</v>
      </c>
      <c r="N448" s="1205"/>
    </row>
    <row r="449" spans="1:14" x14ac:dyDescent="0.25">
      <c r="A449" s="1222" t="s">
        <v>1390</v>
      </c>
      <c r="B449" s="1066" t="str">
        <f t="shared" ca="1" si="68"/>
        <v>K24</v>
      </c>
      <c r="C449" s="1066" t="str">
        <f t="shared" ca="1" si="69"/>
        <v>K</v>
      </c>
      <c r="D449" s="1069" t="s">
        <v>1473</v>
      </c>
      <c r="E449" s="1069" t="s">
        <v>1382</v>
      </c>
      <c r="F449" s="1204"/>
      <c r="G449" s="1204"/>
      <c r="H449" s="1204"/>
      <c r="I449" s="1204"/>
      <c r="J449" s="1204"/>
      <c r="K449" s="1204"/>
      <c r="L449" s="1180" t="s">
        <v>1390</v>
      </c>
      <c r="M449" s="1205">
        <v>418</v>
      </c>
      <c r="N449" s="1205"/>
    </row>
    <row r="450" spans="1:14" x14ac:dyDescent="0.25">
      <c r="A450" s="1222" t="s">
        <v>1391</v>
      </c>
      <c r="B450" s="1066" t="str">
        <f t="shared" ca="1" si="68"/>
        <v>L24</v>
      </c>
      <c r="C450" s="1066" t="str">
        <f t="shared" ca="1" si="69"/>
        <v>L</v>
      </c>
      <c r="D450" s="1069" t="s">
        <v>1473</v>
      </c>
      <c r="E450" s="1069" t="s">
        <v>1382</v>
      </c>
      <c r="F450" s="1204"/>
      <c r="G450" s="1204"/>
      <c r="H450" s="1204"/>
      <c r="I450" s="1204"/>
      <c r="J450" s="1204"/>
      <c r="K450" s="1204"/>
      <c r="L450" s="1180" t="s">
        <v>1391</v>
      </c>
      <c r="M450" s="1205">
        <v>419</v>
      </c>
      <c r="N450" s="1205"/>
    </row>
    <row r="451" spans="1:14" x14ac:dyDescent="0.25">
      <c r="A451" s="1222" t="s">
        <v>1329</v>
      </c>
      <c r="B451" s="1066" t="str">
        <f t="shared" ca="1" si="68"/>
        <v>M24</v>
      </c>
      <c r="C451" s="1066" t="str">
        <f t="shared" ca="1" si="69"/>
        <v>M</v>
      </c>
      <c r="D451" s="1069" t="s">
        <v>1473</v>
      </c>
      <c r="E451" s="1069" t="s">
        <v>1382</v>
      </c>
      <c r="F451" s="1204"/>
      <c r="G451" s="1204"/>
      <c r="H451" s="1204"/>
      <c r="I451" s="1204"/>
      <c r="J451" s="1204"/>
      <c r="K451" s="1204"/>
      <c r="L451" s="1180" t="s">
        <v>1329</v>
      </c>
      <c r="M451" s="1205">
        <v>420</v>
      </c>
      <c r="N451" s="1205"/>
    </row>
    <row r="452" spans="1:14" x14ac:dyDescent="0.25">
      <c r="A452" s="1223" t="s">
        <v>1392</v>
      </c>
      <c r="B452" s="1066" t="str">
        <f ca="1">_xlfn.CONCAT(IFERROR(SUBSTITUTE(ADDRESS(1,MATCH(A452,INDIRECT("'"&amp;E452&amp;"'"&amp;"!A10:Z10"),0),4),1,""),""),25)</f>
        <v>N25</v>
      </c>
      <c r="C452" s="1066" t="str">
        <f t="shared" ca="1" si="69"/>
        <v>N</v>
      </c>
      <c r="D452" s="1069" t="s">
        <v>1473</v>
      </c>
      <c r="E452" s="1069" t="s">
        <v>1382</v>
      </c>
      <c r="F452" s="1204"/>
      <c r="G452" s="1204"/>
      <c r="H452" s="1204"/>
      <c r="I452" s="1204"/>
      <c r="J452" s="1204"/>
      <c r="K452" s="1204"/>
      <c r="L452" s="1180" t="s">
        <v>1392</v>
      </c>
      <c r="M452" s="1205">
        <v>421</v>
      </c>
      <c r="N452" s="1205"/>
    </row>
    <row r="453" spans="1:14" x14ac:dyDescent="0.25">
      <c r="A453" s="1224" t="s">
        <v>1383</v>
      </c>
      <c r="B453" s="1066" t="str">
        <f t="shared" ref="B453:B455" ca="1" si="70">_xlfn.CONCAT(IFERROR(SUBSTITUTE(ADDRESS(1,MATCH(A453,INDIRECT("'"&amp;E453&amp;"'"&amp;"!A10:Z10"),0),4),1,""),""),25)</f>
        <v>C25</v>
      </c>
      <c r="C453" s="1066" t="str">
        <f t="shared" ca="1" si="69"/>
        <v>C</v>
      </c>
      <c r="D453" s="1069" t="s">
        <v>1473</v>
      </c>
      <c r="E453" s="1069" t="s">
        <v>1382</v>
      </c>
      <c r="F453" s="1204"/>
      <c r="G453" s="1204"/>
      <c r="H453" s="1204"/>
      <c r="I453" s="1204"/>
      <c r="J453" s="1204"/>
      <c r="K453" s="1204"/>
      <c r="L453" s="1180" t="s">
        <v>254</v>
      </c>
      <c r="M453" s="1205">
        <v>422</v>
      </c>
      <c r="N453" s="1205"/>
    </row>
    <row r="454" spans="1:14" x14ac:dyDescent="0.25">
      <c r="A454" s="1224" t="s">
        <v>1348</v>
      </c>
      <c r="B454" s="1066" t="str">
        <f t="shared" ca="1" si="70"/>
        <v>H25</v>
      </c>
      <c r="C454" s="1066" t="str">
        <f t="shared" ca="1" si="69"/>
        <v>H</v>
      </c>
      <c r="D454" s="1069" t="s">
        <v>1473</v>
      </c>
      <c r="E454" s="1069" t="s">
        <v>1382</v>
      </c>
      <c r="F454" s="1204"/>
      <c r="G454" s="1204"/>
      <c r="H454" s="1204"/>
      <c r="I454" s="1204"/>
      <c r="J454" s="1204"/>
      <c r="K454" s="1204"/>
      <c r="L454" s="1180" t="s">
        <v>1348</v>
      </c>
      <c r="M454" s="1205">
        <v>423</v>
      </c>
      <c r="N454" s="1205"/>
    </row>
    <row r="455" spans="1:14" x14ac:dyDescent="0.25">
      <c r="A455" s="1224" t="s">
        <v>1386</v>
      </c>
      <c r="B455" s="1066" t="str">
        <f t="shared" ca="1" si="70"/>
        <v>F25</v>
      </c>
      <c r="C455" s="1066" t="str">
        <f t="shared" ca="1" si="69"/>
        <v>F</v>
      </c>
      <c r="D455" s="1069" t="s">
        <v>1473</v>
      </c>
      <c r="E455" s="1069" t="s">
        <v>1382</v>
      </c>
      <c r="F455" s="1204"/>
      <c r="G455" s="1204"/>
      <c r="H455" s="1204"/>
      <c r="I455" s="1204"/>
      <c r="J455" s="1204"/>
      <c r="K455" s="1204"/>
      <c r="L455" s="1180" t="s">
        <v>225</v>
      </c>
      <c r="M455" s="1205">
        <v>424</v>
      </c>
      <c r="N455" s="1205"/>
    </row>
    <row r="456" spans="1:14" x14ac:dyDescent="0.25">
      <c r="A456" s="1225" t="s">
        <v>466</v>
      </c>
      <c r="B456" s="1066" t="str">
        <f ca="1">_xlfn.CONCAT(IFERROR(SUBSTITUTE(ADDRESS(1,MATCH(A456,INDIRECT("'"&amp;E456&amp;"'"&amp;"!A9:Z9"),0),4),1,""),""),25)</f>
        <v>E25</v>
      </c>
      <c r="C456" s="1066" t="str">
        <f ca="1">_xlfn.CONCAT(IFERROR(SUBSTITUTE(ADDRESS(1,MATCH(A456,INDIRECT("'"&amp;E456&amp;"'"&amp;"!A9:Z9"),0),4),1,""),""))</f>
        <v>E</v>
      </c>
      <c r="D456" s="1230" t="s">
        <v>1473</v>
      </c>
      <c r="E456" s="1069" t="s">
        <v>208</v>
      </c>
      <c r="F456" s="1204"/>
      <c r="G456" s="1204"/>
      <c r="H456" s="1204"/>
      <c r="I456" s="1204"/>
      <c r="J456" s="1204"/>
      <c r="K456" s="1204"/>
      <c r="L456" s="1180" t="s">
        <v>466</v>
      </c>
      <c r="M456" s="1205">
        <v>425</v>
      </c>
      <c r="N456" s="1205"/>
    </row>
    <row r="457" spans="1:14" x14ac:dyDescent="0.25">
      <c r="A457" s="1225" t="s">
        <v>1385</v>
      </c>
      <c r="B457" s="1066" t="str">
        <f t="shared" ref="B457:B463" ca="1" si="71">_xlfn.CONCAT(IFERROR(SUBSTITUTE(ADDRESS(1,MATCH(A457,INDIRECT("'"&amp;E457&amp;"'"&amp;"!A10:Z10"),0),4),1,""),""),25)</f>
        <v>E25</v>
      </c>
      <c r="C457" s="1066" t="str">
        <f t="shared" ref="C457:C467" ca="1" si="72">_xlfn.CONCAT(IFERROR(SUBSTITUTE(ADDRESS(1,MATCH(A457,INDIRECT("'"&amp;E457&amp;"'"&amp;"!A10:Z10"),0),4),1,""),""))</f>
        <v>E</v>
      </c>
      <c r="D457" s="1069" t="s">
        <v>1473</v>
      </c>
      <c r="E457" s="1069" t="s">
        <v>1382</v>
      </c>
      <c r="F457" s="1204"/>
      <c r="G457" s="1204"/>
      <c r="H457" s="1204"/>
      <c r="I457" s="1204"/>
      <c r="J457" s="1204"/>
      <c r="K457" s="1204"/>
      <c r="L457" s="1180" t="s">
        <v>1385</v>
      </c>
      <c r="M457" s="1205">
        <v>426</v>
      </c>
      <c r="N457" s="1205"/>
    </row>
    <row r="458" spans="1:14" x14ac:dyDescent="0.25">
      <c r="A458" s="1225" t="s">
        <v>1387</v>
      </c>
      <c r="B458" s="1066" t="str">
        <f t="shared" ca="1" si="71"/>
        <v>G25</v>
      </c>
      <c r="C458" s="1066" t="str">
        <f t="shared" ca="1" si="72"/>
        <v>G</v>
      </c>
      <c r="D458" s="1069" t="s">
        <v>1473</v>
      </c>
      <c r="E458" s="1069" t="s">
        <v>1382</v>
      </c>
      <c r="F458" s="1204"/>
      <c r="G458" s="1204"/>
      <c r="H458" s="1204"/>
      <c r="I458" s="1204"/>
      <c r="J458" s="1204"/>
      <c r="K458" s="1204"/>
      <c r="L458" s="1180" t="s">
        <v>1387</v>
      </c>
      <c r="M458" s="1205">
        <v>427</v>
      </c>
      <c r="N458" s="1205"/>
    </row>
    <row r="459" spans="1:14" x14ac:dyDescent="0.25">
      <c r="A459" s="1225" t="s">
        <v>1388</v>
      </c>
      <c r="B459" s="1066" t="str">
        <f t="shared" ca="1" si="71"/>
        <v>I25</v>
      </c>
      <c r="C459" s="1066" t="str">
        <f t="shared" ca="1" si="72"/>
        <v>I</v>
      </c>
      <c r="D459" s="1069" t="s">
        <v>1473</v>
      </c>
      <c r="E459" s="1069" t="s">
        <v>1382</v>
      </c>
      <c r="F459" s="1204"/>
      <c r="G459" s="1204"/>
      <c r="H459" s="1204"/>
      <c r="I459" s="1204"/>
      <c r="J459" s="1204"/>
      <c r="K459" s="1204"/>
      <c r="L459" s="1180" t="s">
        <v>1388</v>
      </c>
      <c r="M459" s="1205">
        <v>428</v>
      </c>
      <c r="N459" s="1205"/>
    </row>
    <row r="460" spans="1:14" x14ac:dyDescent="0.25">
      <c r="A460" s="1225" t="s">
        <v>1389</v>
      </c>
      <c r="B460" s="1066" t="str">
        <f t="shared" ca="1" si="71"/>
        <v>J25</v>
      </c>
      <c r="C460" s="1066" t="str">
        <f t="shared" ca="1" si="72"/>
        <v>J</v>
      </c>
      <c r="D460" s="1069" t="s">
        <v>1473</v>
      </c>
      <c r="E460" s="1069" t="s">
        <v>1382</v>
      </c>
      <c r="F460" s="1204"/>
      <c r="G460" s="1204"/>
      <c r="H460" s="1204"/>
      <c r="I460" s="1204"/>
      <c r="J460" s="1204"/>
      <c r="K460" s="1204"/>
      <c r="L460" s="1180" t="s">
        <v>1389</v>
      </c>
      <c r="M460" s="1205">
        <v>429</v>
      </c>
      <c r="N460" s="1205"/>
    </row>
    <row r="461" spans="1:14" x14ac:dyDescent="0.25">
      <c r="A461" s="1225" t="s">
        <v>1390</v>
      </c>
      <c r="B461" s="1066" t="str">
        <f t="shared" ca="1" si="71"/>
        <v>K25</v>
      </c>
      <c r="C461" s="1066" t="str">
        <f t="shared" ca="1" si="72"/>
        <v>K</v>
      </c>
      <c r="D461" s="1069" t="s">
        <v>1473</v>
      </c>
      <c r="E461" s="1069" t="s">
        <v>1382</v>
      </c>
      <c r="F461" s="1204"/>
      <c r="G461" s="1204"/>
      <c r="H461" s="1204"/>
      <c r="I461" s="1204"/>
      <c r="J461" s="1204"/>
      <c r="K461" s="1204"/>
      <c r="L461" s="1180" t="s">
        <v>1390</v>
      </c>
      <c r="M461" s="1205">
        <v>430</v>
      </c>
      <c r="N461" s="1205"/>
    </row>
    <row r="462" spans="1:14" x14ac:dyDescent="0.25">
      <c r="A462" s="1225" t="s">
        <v>1391</v>
      </c>
      <c r="B462" s="1066" t="str">
        <f t="shared" ca="1" si="71"/>
        <v>L25</v>
      </c>
      <c r="C462" s="1066" t="str">
        <f t="shared" ca="1" si="72"/>
        <v>L</v>
      </c>
      <c r="D462" s="1069" t="s">
        <v>1473</v>
      </c>
      <c r="E462" s="1069" t="s">
        <v>1382</v>
      </c>
      <c r="F462" s="1204"/>
      <c r="G462" s="1204"/>
      <c r="H462" s="1204"/>
      <c r="I462" s="1204"/>
      <c r="J462" s="1204"/>
      <c r="K462" s="1204"/>
      <c r="L462" s="1180" t="s">
        <v>1391</v>
      </c>
      <c r="M462" s="1205">
        <v>431</v>
      </c>
      <c r="N462" s="1205"/>
    </row>
    <row r="463" spans="1:14" x14ac:dyDescent="0.25">
      <c r="A463" s="1225" t="s">
        <v>1329</v>
      </c>
      <c r="B463" s="1066" t="str">
        <f t="shared" ca="1" si="71"/>
        <v>M25</v>
      </c>
      <c r="C463" s="1066" t="str">
        <f t="shared" ca="1" si="72"/>
        <v>M</v>
      </c>
      <c r="D463" s="1069" t="s">
        <v>1473</v>
      </c>
      <c r="E463" s="1069" t="s">
        <v>1382</v>
      </c>
      <c r="F463" s="1204"/>
      <c r="G463" s="1204"/>
      <c r="H463" s="1204"/>
      <c r="I463" s="1204"/>
      <c r="J463" s="1204"/>
      <c r="K463" s="1204"/>
      <c r="L463" s="1180" t="s">
        <v>1329</v>
      </c>
      <c r="M463" s="1205">
        <v>432</v>
      </c>
      <c r="N463" s="1205"/>
    </row>
    <row r="464" spans="1:14" x14ac:dyDescent="0.25">
      <c r="A464" s="1220" t="s">
        <v>1392</v>
      </c>
      <c r="B464" s="1066" t="str">
        <f ca="1">_xlfn.CONCAT(IFERROR(SUBSTITUTE(ADDRESS(1,MATCH(A464,INDIRECT("'"&amp;E464&amp;"'"&amp;"!A10:Z10"),0),4),1,""),""),26)</f>
        <v>N26</v>
      </c>
      <c r="C464" s="1066" t="str">
        <f t="shared" ca="1" si="72"/>
        <v>N</v>
      </c>
      <c r="D464" s="1069" t="s">
        <v>1473</v>
      </c>
      <c r="E464" s="1069" t="s">
        <v>1382</v>
      </c>
      <c r="F464" s="1204"/>
      <c r="G464" s="1204"/>
      <c r="H464" s="1204"/>
      <c r="I464" s="1204"/>
      <c r="J464" s="1204"/>
      <c r="K464" s="1204"/>
      <c r="L464" s="1180" t="s">
        <v>1392</v>
      </c>
      <c r="M464" s="1205">
        <v>433</v>
      </c>
      <c r="N464" s="1205"/>
    </row>
    <row r="465" spans="1:14" x14ac:dyDescent="0.25">
      <c r="A465" s="1221" t="s">
        <v>1383</v>
      </c>
      <c r="B465" s="1066" t="str">
        <f t="shared" ref="B465:B467" ca="1" si="73">_xlfn.CONCAT(IFERROR(SUBSTITUTE(ADDRESS(1,MATCH(A465,INDIRECT("'"&amp;E465&amp;"'"&amp;"!A10:Z10"),0),4),1,""),""),26)</f>
        <v>C26</v>
      </c>
      <c r="C465" s="1066" t="str">
        <f t="shared" ca="1" si="72"/>
        <v>C</v>
      </c>
      <c r="D465" s="1069" t="s">
        <v>1473</v>
      </c>
      <c r="E465" s="1069" t="s">
        <v>1382</v>
      </c>
      <c r="F465" s="1204"/>
      <c r="G465" s="1204"/>
      <c r="H465" s="1204"/>
      <c r="I465" s="1204"/>
      <c r="J465" s="1204"/>
      <c r="K465" s="1204"/>
      <c r="L465" s="1180" t="s">
        <v>254</v>
      </c>
      <c r="M465" s="1205">
        <v>434</v>
      </c>
      <c r="N465" s="1205"/>
    </row>
    <row r="466" spans="1:14" x14ac:dyDescent="0.25">
      <c r="A466" s="1221" t="s">
        <v>1348</v>
      </c>
      <c r="B466" s="1066" t="str">
        <f t="shared" ca="1" si="73"/>
        <v>H26</v>
      </c>
      <c r="C466" s="1066" t="str">
        <f t="shared" ca="1" si="72"/>
        <v>H</v>
      </c>
      <c r="D466" s="1069" t="s">
        <v>1473</v>
      </c>
      <c r="E466" s="1069" t="s">
        <v>1382</v>
      </c>
      <c r="F466" s="1204"/>
      <c r="G466" s="1204"/>
      <c r="H466" s="1204"/>
      <c r="I466" s="1204"/>
      <c r="J466" s="1204"/>
      <c r="K466" s="1204"/>
      <c r="L466" s="1180" t="s">
        <v>1348</v>
      </c>
      <c r="M466" s="1205">
        <v>435</v>
      </c>
      <c r="N466" s="1205"/>
    </row>
    <row r="467" spans="1:14" x14ac:dyDescent="0.25">
      <c r="A467" s="1221" t="s">
        <v>1386</v>
      </c>
      <c r="B467" s="1066" t="str">
        <f t="shared" ca="1" si="73"/>
        <v>F26</v>
      </c>
      <c r="C467" s="1066" t="str">
        <f t="shared" ca="1" si="72"/>
        <v>F</v>
      </c>
      <c r="D467" s="1069" t="s">
        <v>1473</v>
      </c>
      <c r="E467" s="1069" t="s">
        <v>1382</v>
      </c>
      <c r="F467" s="1204"/>
      <c r="G467" s="1204"/>
      <c r="H467" s="1204"/>
      <c r="I467" s="1204"/>
      <c r="J467" s="1204"/>
      <c r="K467" s="1204"/>
      <c r="L467" s="1180" t="s">
        <v>225</v>
      </c>
      <c r="M467" s="1205">
        <v>436</v>
      </c>
      <c r="N467" s="1205"/>
    </row>
    <row r="468" spans="1:14" x14ac:dyDescent="0.25">
      <c r="A468" s="1222" t="s">
        <v>466</v>
      </c>
      <c r="B468" s="1066" t="str">
        <f ca="1">_xlfn.CONCAT(IFERROR(SUBSTITUTE(ADDRESS(1,MATCH(A468,INDIRECT("'"&amp;E468&amp;"'"&amp;"!A9:Z9"),0),4),1,""),""),26)</f>
        <v>E26</v>
      </c>
      <c r="C468" s="1066" t="str">
        <f ca="1">_xlfn.CONCAT(IFERROR(SUBSTITUTE(ADDRESS(1,MATCH(A468,INDIRECT("'"&amp;E468&amp;"'"&amp;"!A9:Z9"),0),4),1,""),""))</f>
        <v>E</v>
      </c>
      <c r="D468" s="1230" t="s">
        <v>1473</v>
      </c>
      <c r="E468" s="1069" t="s">
        <v>208</v>
      </c>
      <c r="F468" s="1204"/>
      <c r="G468" s="1204"/>
      <c r="H468" s="1204"/>
      <c r="I468" s="1204"/>
      <c r="J468" s="1204"/>
      <c r="K468" s="1204"/>
      <c r="L468" s="1180" t="s">
        <v>466</v>
      </c>
      <c r="M468" s="1205">
        <v>437</v>
      </c>
      <c r="N468" s="1205"/>
    </row>
    <row r="469" spans="1:14" x14ac:dyDescent="0.25">
      <c r="A469" s="1222" t="s">
        <v>1385</v>
      </c>
      <c r="B469" s="1066" t="str">
        <f t="shared" ref="B469:B475" ca="1" si="74">_xlfn.CONCAT(IFERROR(SUBSTITUTE(ADDRESS(1,MATCH(A469,INDIRECT("'"&amp;E469&amp;"'"&amp;"!A10:Z10"),0),4),1,""),""),26)</f>
        <v>E26</v>
      </c>
      <c r="C469" s="1066" t="str">
        <f t="shared" ref="C469:C479" ca="1" si="75">_xlfn.CONCAT(IFERROR(SUBSTITUTE(ADDRESS(1,MATCH(A469,INDIRECT("'"&amp;E469&amp;"'"&amp;"!A10:Z10"),0),4),1,""),""))</f>
        <v>E</v>
      </c>
      <c r="D469" s="1069" t="s">
        <v>1473</v>
      </c>
      <c r="E469" s="1069" t="s">
        <v>1382</v>
      </c>
      <c r="F469" s="1204"/>
      <c r="G469" s="1204"/>
      <c r="H469" s="1204"/>
      <c r="I469" s="1204"/>
      <c r="J469" s="1204"/>
      <c r="K469" s="1204"/>
      <c r="L469" s="1180" t="s">
        <v>1385</v>
      </c>
      <c r="M469" s="1205">
        <v>438</v>
      </c>
      <c r="N469" s="1205"/>
    </row>
    <row r="470" spans="1:14" x14ac:dyDescent="0.25">
      <c r="A470" s="1222" t="s">
        <v>1387</v>
      </c>
      <c r="B470" s="1066" t="str">
        <f t="shared" ca="1" si="74"/>
        <v>G26</v>
      </c>
      <c r="C470" s="1066" t="str">
        <f t="shared" ca="1" si="75"/>
        <v>G</v>
      </c>
      <c r="D470" s="1069" t="s">
        <v>1473</v>
      </c>
      <c r="E470" s="1069" t="s">
        <v>1382</v>
      </c>
      <c r="F470" s="1204"/>
      <c r="G470" s="1204"/>
      <c r="H470" s="1204"/>
      <c r="I470" s="1204"/>
      <c r="J470" s="1204"/>
      <c r="K470" s="1204"/>
      <c r="L470" s="1180" t="s">
        <v>1387</v>
      </c>
      <c r="M470" s="1205">
        <v>439</v>
      </c>
      <c r="N470" s="1205"/>
    </row>
    <row r="471" spans="1:14" x14ac:dyDescent="0.25">
      <c r="A471" s="1222" t="s">
        <v>1388</v>
      </c>
      <c r="B471" s="1066" t="str">
        <f t="shared" ca="1" si="74"/>
        <v>I26</v>
      </c>
      <c r="C471" s="1066" t="str">
        <f t="shared" ca="1" si="75"/>
        <v>I</v>
      </c>
      <c r="D471" s="1069" t="s">
        <v>1473</v>
      </c>
      <c r="E471" s="1069" t="s">
        <v>1382</v>
      </c>
      <c r="F471" s="1204"/>
      <c r="G471" s="1204"/>
      <c r="H471" s="1204"/>
      <c r="I471" s="1204"/>
      <c r="J471" s="1204"/>
      <c r="K471" s="1204"/>
      <c r="L471" s="1180" t="s">
        <v>1388</v>
      </c>
      <c r="M471" s="1205">
        <v>440</v>
      </c>
      <c r="N471" s="1205"/>
    </row>
    <row r="472" spans="1:14" x14ac:dyDescent="0.25">
      <c r="A472" s="1222" t="s">
        <v>1389</v>
      </c>
      <c r="B472" s="1066" t="str">
        <f t="shared" ca="1" si="74"/>
        <v>J26</v>
      </c>
      <c r="C472" s="1066" t="str">
        <f t="shared" ca="1" si="75"/>
        <v>J</v>
      </c>
      <c r="D472" s="1069" t="s">
        <v>1473</v>
      </c>
      <c r="E472" s="1069" t="s">
        <v>1382</v>
      </c>
      <c r="F472" s="1204"/>
      <c r="G472" s="1204"/>
      <c r="H472" s="1204"/>
      <c r="I472" s="1204"/>
      <c r="J472" s="1204"/>
      <c r="K472" s="1204"/>
      <c r="L472" s="1180" t="s">
        <v>1389</v>
      </c>
      <c r="M472" s="1205">
        <v>441</v>
      </c>
      <c r="N472" s="1205"/>
    </row>
    <row r="473" spans="1:14" x14ac:dyDescent="0.25">
      <c r="A473" s="1222" t="s">
        <v>1390</v>
      </c>
      <c r="B473" s="1066" t="str">
        <f t="shared" ca="1" si="74"/>
        <v>K26</v>
      </c>
      <c r="C473" s="1066" t="str">
        <f t="shared" ca="1" si="75"/>
        <v>K</v>
      </c>
      <c r="D473" s="1069" t="s">
        <v>1473</v>
      </c>
      <c r="E473" s="1069" t="s">
        <v>1382</v>
      </c>
      <c r="F473" s="1204"/>
      <c r="G473" s="1204"/>
      <c r="H473" s="1204"/>
      <c r="I473" s="1204"/>
      <c r="J473" s="1204"/>
      <c r="K473" s="1204"/>
      <c r="L473" s="1180" t="s">
        <v>1390</v>
      </c>
      <c r="M473" s="1205">
        <v>442</v>
      </c>
      <c r="N473" s="1205"/>
    </row>
    <row r="474" spans="1:14" x14ac:dyDescent="0.25">
      <c r="A474" s="1222" t="s">
        <v>1391</v>
      </c>
      <c r="B474" s="1066" t="str">
        <f t="shared" ca="1" si="74"/>
        <v>L26</v>
      </c>
      <c r="C474" s="1066" t="str">
        <f t="shared" ca="1" si="75"/>
        <v>L</v>
      </c>
      <c r="D474" s="1069" t="s">
        <v>1473</v>
      </c>
      <c r="E474" s="1069" t="s">
        <v>1382</v>
      </c>
      <c r="F474" s="1204"/>
      <c r="G474" s="1204"/>
      <c r="H474" s="1204"/>
      <c r="I474" s="1204"/>
      <c r="J474" s="1204"/>
      <c r="K474" s="1204"/>
      <c r="L474" s="1180" t="s">
        <v>1391</v>
      </c>
      <c r="M474" s="1205">
        <v>443</v>
      </c>
      <c r="N474" s="1205"/>
    </row>
    <row r="475" spans="1:14" x14ac:dyDescent="0.25">
      <c r="A475" s="1222" t="s">
        <v>1329</v>
      </c>
      <c r="B475" s="1066" t="str">
        <f t="shared" ca="1" si="74"/>
        <v>M26</v>
      </c>
      <c r="C475" s="1066" t="str">
        <f t="shared" ca="1" si="75"/>
        <v>M</v>
      </c>
      <c r="D475" s="1069" t="s">
        <v>1473</v>
      </c>
      <c r="E475" s="1069" t="s">
        <v>1382</v>
      </c>
      <c r="F475" s="1204"/>
      <c r="G475" s="1204"/>
      <c r="H475" s="1204"/>
      <c r="I475" s="1204"/>
      <c r="J475" s="1204"/>
      <c r="K475" s="1204"/>
      <c r="L475" s="1180" t="s">
        <v>1329</v>
      </c>
      <c r="M475" s="1205">
        <v>444</v>
      </c>
      <c r="N475" s="1205"/>
    </row>
    <row r="476" spans="1:14" x14ac:dyDescent="0.25">
      <c r="A476" s="1223" t="s">
        <v>1392</v>
      </c>
      <c r="B476" s="1066" t="str">
        <f ca="1">_xlfn.CONCAT(IFERROR(SUBSTITUTE(ADDRESS(1,MATCH(A476,INDIRECT("'"&amp;E476&amp;"'"&amp;"!A10:Z10"),0),4),1,""),""),21)</f>
        <v>N21</v>
      </c>
      <c r="C476" s="1066" t="str">
        <f t="shared" ca="1" si="75"/>
        <v>N</v>
      </c>
      <c r="D476" s="1069" t="s">
        <v>1473</v>
      </c>
      <c r="E476" s="1069" t="s">
        <v>1382</v>
      </c>
      <c r="F476" s="1204"/>
      <c r="G476" s="1204"/>
      <c r="H476" s="1204"/>
      <c r="I476" s="1204"/>
      <c r="J476" s="1204"/>
      <c r="K476" s="1204"/>
      <c r="L476" s="1180" t="s">
        <v>1392</v>
      </c>
      <c r="M476" s="1205">
        <v>445</v>
      </c>
      <c r="N476" s="1205"/>
    </row>
    <row r="477" spans="1:14" x14ac:dyDescent="0.25">
      <c r="A477" s="1224" t="s">
        <v>1383</v>
      </c>
      <c r="B477" s="1066" t="str">
        <f t="shared" ref="B477:B479" ca="1" si="76">_xlfn.CONCAT(IFERROR(SUBSTITUTE(ADDRESS(1,MATCH(A477,INDIRECT("'"&amp;E477&amp;"'"&amp;"!A10:Z10"),0),4),1,""),""),21)</f>
        <v>C21</v>
      </c>
      <c r="C477" s="1066" t="str">
        <f t="shared" ca="1" si="75"/>
        <v>C</v>
      </c>
      <c r="D477" s="1069" t="s">
        <v>1473</v>
      </c>
      <c r="E477" s="1069" t="s">
        <v>1382</v>
      </c>
      <c r="F477" s="1204"/>
      <c r="G477" s="1204"/>
      <c r="H477" s="1204"/>
      <c r="I477" s="1204"/>
      <c r="J477" s="1204"/>
      <c r="K477" s="1204"/>
      <c r="L477" s="1180" t="s">
        <v>254</v>
      </c>
      <c r="M477" s="1205">
        <v>446</v>
      </c>
      <c r="N477" s="1205"/>
    </row>
    <row r="478" spans="1:14" x14ac:dyDescent="0.25">
      <c r="A478" s="1224" t="s">
        <v>1348</v>
      </c>
      <c r="B478" s="1066" t="str">
        <f t="shared" ca="1" si="76"/>
        <v>H21</v>
      </c>
      <c r="C478" s="1066" t="str">
        <f t="shared" ca="1" si="75"/>
        <v>H</v>
      </c>
      <c r="D478" s="1069" t="s">
        <v>1473</v>
      </c>
      <c r="E478" s="1069" t="s">
        <v>1382</v>
      </c>
      <c r="F478" s="1204"/>
      <c r="G478" s="1204"/>
      <c r="H478" s="1204"/>
      <c r="I478" s="1204"/>
      <c r="J478" s="1204"/>
      <c r="K478" s="1204"/>
      <c r="L478" s="1180" t="s">
        <v>1348</v>
      </c>
      <c r="M478" s="1205">
        <v>447</v>
      </c>
      <c r="N478" s="1205"/>
    </row>
    <row r="479" spans="1:14" x14ac:dyDescent="0.25">
      <c r="A479" s="1224" t="s">
        <v>1386</v>
      </c>
      <c r="B479" s="1066" t="str">
        <f t="shared" ca="1" si="76"/>
        <v>F21</v>
      </c>
      <c r="C479" s="1066" t="str">
        <f t="shared" ca="1" si="75"/>
        <v>F</v>
      </c>
      <c r="D479" s="1069" t="s">
        <v>1473</v>
      </c>
      <c r="E479" s="1069" t="s">
        <v>1382</v>
      </c>
      <c r="F479" s="1204"/>
      <c r="G479" s="1204"/>
      <c r="H479" s="1204"/>
      <c r="I479" s="1204"/>
      <c r="J479" s="1204"/>
      <c r="K479" s="1204"/>
      <c r="L479" s="1180" t="s">
        <v>225</v>
      </c>
      <c r="M479" s="1205">
        <v>448</v>
      </c>
      <c r="N479" s="1205"/>
    </row>
    <row r="480" spans="1:14" x14ac:dyDescent="0.25">
      <c r="A480" s="1225" t="s">
        <v>466</v>
      </c>
      <c r="B480" s="1066" t="str">
        <f ca="1">_xlfn.CONCAT(IFERROR(SUBSTITUTE(ADDRESS(1,MATCH(A480,INDIRECT("'"&amp;E480&amp;"'"&amp;"!A9:Z9"),0),4),1,""),""),27)</f>
        <v>E27</v>
      </c>
      <c r="C480" s="1066" t="str">
        <f ca="1">_xlfn.CONCAT(IFERROR(SUBSTITUTE(ADDRESS(1,MATCH(A480,INDIRECT("'"&amp;E480&amp;"'"&amp;"!A9:Z9"),0),4),1,""),""))</f>
        <v>E</v>
      </c>
      <c r="D480" s="1230" t="s">
        <v>1473</v>
      </c>
      <c r="E480" s="1069" t="s">
        <v>208</v>
      </c>
      <c r="F480" s="1204"/>
      <c r="G480" s="1204"/>
      <c r="H480" s="1204"/>
      <c r="I480" s="1204"/>
      <c r="J480" s="1204"/>
      <c r="K480" s="1204"/>
      <c r="L480" s="1180" t="s">
        <v>466</v>
      </c>
      <c r="M480" s="1205">
        <v>449</v>
      </c>
      <c r="N480" s="1205"/>
    </row>
    <row r="481" spans="1:14" x14ac:dyDescent="0.25">
      <c r="A481" s="1225" t="s">
        <v>1385</v>
      </c>
      <c r="B481" s="1066" t="str">
        <f t="shared" ref="B481:B487" ca="1" si="77">_xlfn.CONCAT(IFERROR(SUBSTITUTE(ADDRESS(1,MATCH(A481,INDIRECT("'"&amp;E481&amp;"'"&amp;"!A10:Z10"),0),4),1,""),""),21)</f>
        <v>E21</v>
      </c>
      <c r="C481" s="1066" t="str">
        <f t="shared" ref="C481:C491" ca="1" si="78">_xlfn.CONCAT(IFERROR(SUBSTITUTE(ADDRESS(1,MATCH(A481,INDIRECT("'"&amp;E481&amp;"'"&amp;"!A10:Z10"),0),4),1,""),""))</f>
        <v>E</v>
      </c>
      <c r="D481" s="1069" t="s">
        <v>1473</v>
      </c>
      <c r="E481" s="1069" t="s">
        <v>1382</v>
      </c>
      <c r="F481" s="1204"/>
      <c r="G481" s="1204"/>
      <c r="H481" s="1204"/>
      <c r="I481" s="1204"/>
      <c r="J481" s="1204"/>
      <c r="K481" s="1204"/>
      <c r="L481" s="1180" t="s">
        <v>1385</v>
      </c>
      <c r="M481" s="1205">
        <v>450</v>
      </c>
      <c r="N481" s="1205"/>
    </row>
    <row r="482" spans="1:14" x14ac:dyDescent="0.25">
      <c r="A482" s="1225" t="s">
        <v>1387</v>
      </c>
      <c r="B482" s="1066" t="str">
        <f t="shared" ca="1" si="77"/>
        <v>G21</v>
      </c>
      <c r="C482" s="1066" t="str">
        <f t="shared" ca="1" si="78"/>
        <v>G</v>
      </c>
      <c r="D482" s="1069" t="s">
        <v>1473</v>
      </c>
      <c r="E482" s="1069" t="s">
        <v>1382</v>
      </c>
      <c r="F482" s="1204"/>
      <c r="G482" s="1204"/>
      <c r="H482" s="1204"/>
      <c r="I482" s="1204"/>
      <c r="J482" s="1204"/>
      <c r="K482" s="1204"/>
      <c r="L482" s="1180" t="s">
        <v>1387</v>
      </c>
      <c r="M482" s="1205">
        <v>451</v>
      </c>
      <c r="N482" s="1205"/>
    </row>
    <row r="483" spans="1:14" x14ac:dyDescent="0.25">
      <c r="A483" s="1225" t="s">
        <v>1388</v>
      </c>
      <c r="B483" s="1066" t="str">
        <f t="shared" ca="1" si="77"/>
        <v>I21</v>
      </c>
      <c r="C483" s="1066" t="str">
        <f t="shared" ca="1" si="78"/>
        <v>I</v>
      </c>
      <c r="D483" s="1069" t="s">
        <v>1473</v>
      </c>
      <c r="E483" s="1069" t="s">
        <v>1382</v>
      </c>
      <c r="F483" s="1204"/>
      <c r="G483" s="1204"/>
      <c r="H483" s="1204"/>
      <c r="I483" s="1204"/>
      <c r="J483" s="1204"/>
      <c r="K483" s="1204"/>
      <c r="L483" s="1180" t="s">
        <v>1388</v>
      </c>
      <c r="M483" s="1205">
        <v>452</v>
      </c>
      <c r="N483" s="1205"/>
    </row>
    <row r="484" spans="1:14" x14ac:dyDescent="0.25">
      <c r="A484" s="1225" t="s">
        <v>1389</v>
      </c>
      <c r="B484" s="1066" t="str">
        <f t="shared" ca="1" si="77"/>
        <v>J21</v>
      </c>
      <c r="C484" s="1066" t="str">
        <f t="shared" ca="1" si="78"/>
        <v>J</v>
      </c>
      <c r="D484" s="1069" t="s">
        <v>1473</v>
      </c>
      <c r="E484" s="1069" t="s">
        <v>1382</v>
      </c>
      <c r="F484" s="1204"/>
      <c r="G484" s="1204"/>
      <c r="H484" s="1204"/>
      <c r="I484" s="1204"/>
      <c r="J484" s="1204"/>
      <c r="K484" s="1204"/>
      <c r="L484" s="1180" t="s">
        <v>1389</v>
      </c>
      <c r="M484" s="1205">
        <v>453</v>
      </c>
      <c r="N484" s="1205"/>
    </row>
    <row r="485" spans="1:14" x14ac:dyDescent="0.25">
      <c r="A485" s="1225" t="s">
        <v>1390</v>
      </c>
      <c r="B485" s="1066" t="str">
        <f t="shared" ca="1" si="77"/>
        <v>K21</v>
      </c>
      <c r="C485" s="1066" t="str">
        <f t="shared" ca="1" si="78"/>
        <v>K</v>
      </c>
      <c r="D485" s="1069" t="s">
        <v>1473</v>
      </c>
      <c r="E485" s="1069" t="s">
        <v>1382</v>
      </c>
      <c r="F485" s="1204"/>
      <c r="G485" s="1204"/>
      <c r="H485" s="1204"/>
      <c r="I485" s="1204"/>
      <c r="J485" s="1204"/>
      <c r="K485" s="1204"/>
      <c r="L485" s="1180" t="s">
        <v>1390</v>
      </c>
      <c r="M485" s="1205">
        <v>454</v>
      </c>
      <c r="N485" s="1205"/>
    </row>
    <row r="486" spans="1:14" x14ac:dyDescent="0.25">
      <c r="A486" s="1225" t="s">
        <v>1391</v>
      </c>
      <c r="B486" s="1066" t="str">
        <f t="shared" ca="1" si="77"/>
        <v>L21</v>
      </c>
      <c r="C486" s="1066" t="str">
        <f t="shared" ca="1" si="78"/>
        <v>L</v>
      </c>
      <c r="D486" s="1069" t="s">
        <v>1473</v>
      </c>
      <c r="E486" s="1069" t="s">
        <v>1382</v>
      </c>
      <c r="F486" s="1204"/>
      <c r="G486" s="1204"/>
      <c r="H486" s="1204"/>
      <c r="I486" s="1204"/>
      <c r="J486" s="1204"/>
      <c r="K486" s="1204"/>
      <c r="L486" s="1180" t="s">
        <v>1391</v>
      </c>
      <c r="M486" s="1205">
        <v>455</v>
      </c>
      <c r="N486" s="1205"/>
    </row>
    <row r="487" spans="1:14" x14ac:dyDescent="0.25">
      <c r="A487" s="1225" t="s">
        <v>1329</v>
      </c>
      <c r="B487" s="1066" t="str">
        <f t="shared" ca="1" si="77"/>
        <v>M21</v>
      </c>
      <c r="C487" s="1066" t="str">
        <f t="shared" ca="1" si="78"/>
        <v>M</v>
      </c>
      <c r="D487" s="1069" t="s">
        <v>1473</v>
      </c>
      <c r="E487" s="1069" t="s">
        <v>1382</v>
      </c>
      <c r="F487" s="1204"/>
      <c r="G487" s="1204"/>
      <c r="H487" s="1204"/>
      <c r="I487" s="1204"/>
      <c r="J487" s="1204"/>
      <c r="K487" s="1204"/>
      <c r="L487" s="1180" t="s">
        <v>1329</v>
      </c>
      <c r="M487" s="1205">
        <v>456</v>
      </c>
      <c r="N487" s="1205"/>
    </row>
    <row r="488" spans="1:14" x14ac:dyDescent="0.25">
      <c r="A488" s="1220" t="s">
        <v>1392</v>
      </c>
      <c r="B488" s="1066" t="str">
        <f ca="1">_xlfn.CONCAT(IFERROR(SUBSTITUTE(ADDRESS(1,MATCH(A488,INDIRECT("'"&amp;E488&amp;"'"&amp;"!A10:Z10"),0),4),1,""),""),29)</f>
        <v>N29</v>
      </c>
      <c r="C488" s="1066" t="str">
        <f t="shared" ca="1" si="78"/>
        <v>N</v>
      </c>
      <c r="D488" s="1069" t="s">
        <v>1473</v>
      </c>
      <c r="E488" s="1069" t="s">
        <v>1382</v>
      </c>
      <c r="F488" s="1204"/>
      <c r="G488" s="1204"/>
      <c r="H488" s="1204"/>
      <c r="I488" s="1204"/>
      <c r="J488" s="1204"/>
      <c r="K488" s="1204"/>
      <c r="L488" s="1180" t="s">
        <v>1392</v>
      </c>
      <c r="M488" s="1205">
        <v>457</v>
      </c>
      <c r="N488" s="1205"/>
    </row>
    <row r="489" spans="1:14" x14ac:dyDescent="0.25">
      <c r="A489" s="1221" t="s">
        <v>1383</v>
      </c>
      <c r="B489" s="1066" t="str">
        <f t="shared" ref="B489:B491" ca="1" si="79">_xlfn.CONCAT(IFERROR(SUBSTITUTE(ADDRESS(1,MATCH(A489,INDIRECT("'"&amp;E489&amp;"'"&amp;"!A10:Z10"),0),4),1,""),""),29)</f>
        <v>C29</v>
      </c>
      <c r="C489" s="1066" t="str">
        <f t="shared" ca="1" si="78"/>
        <v>C</v>
      </c>
      <c r="D489" s="1069" t="s">
        <v>1473</v>
      </c>
      <c r="E489" s="1069" t="s">
        <v>1382</v>
      </c>
      <c r="F489" s="1204"/>
      <c r="G489" s="1204"/>
      <c r="H489" s="1204"/>
      <c r="I489" s="1204"/>
      <c r="J489" s="1204"/>
      <c r="K489" s="1204"/>
      <c r="L489" s="1180" t="s">
        <v>254</v>
      </c>
      <c r="M489" s="1205">
        <v>458</v>
      </c>
      <c r="N489" s="1205"/>
    </row>
    <row r="490" spans="1:14" x14ac:dyDescent="0.25">
      <c r="A490" s="1221" t="s">
        <v>1348</v>
      </c>
      <c r="B490" s="1066" t="str">
        <f t="shared" ca="1" si="79"/>
        <v>H29</v>
      </c>
      <c r="C490" s="1066" t="str">
        <f t="shared" ca="1" si="78"/>
        <v>H</v>
      </c>
      <c r="D490" s="1069" t="s">
        <v>1473</v>
      </c>
      <c r="E490" s="1069" t="s">
        <v>1382</v>
      </c>
      <c r="F490" s="1204"/>
      <c r="G490" s="1204"/>
      <c r="H490" s="1204"/>
      <c r="I490" s="1204"/>
      <c r="J490" s="1204"/>
      <c r="K490" s="1204"/>
      <c r="L490" s="1180" t="s">
        <v>1348</v>
      </c>
      <c r="M490" s="1205">
        <v>459</v>
      </c>
      <c r="N490" s="1205"/>
    </row>
    <row r="491" spans="1:14" x14ac:dyDescent="0.25">
      <c r="A491" s="1221" t="s">
        <v>1386</v>
      </c>
      <c r="B491" s="1066" t="str">
        <f t="shared" ca="1" si="79"/>
        <v>F29</v>
      </c>
      <c r="C491" s="1066" t="str">
        <f t="shared" ca="1" si="78"/>
        <v>F</v>
      </c>
      <c r="D491" s="1069" t="s">
        <v>1473</v>
      </c>
      <c r="E491" s="1069" t="s">
        <v>1382</v>
      </c>
      <c r="F491" s="1204"/>
      <c r="G491" s="1204"/>
      <c r="H491" s="1204"/>
      <c r="I491" s="1204"/>
      <c r="J491" s="1204"/>
      <c r="K491" s="1204"/>
      <c r="L491" s="1180" t="s">
        <v>225</v>
      </c>
      <c r="M491" s="1205">
        <v>460</v>
      </c>
      <c r="N491" s="1205"/>
    </row>
    <row r="492" spans="1:14" x14ac:dyDescent="0.25">
      <c r="A492" s="1222" t="s">
        <v>466</v>
      </c>
      <c r="B492" s="1066" t="str">
        <f ca="1">_xlfn.CONCAT(IFERROR(SUBSTITUTE(ADDRESS(1,MATCH(A492,INDIRECT("'"&amp;E492&amp;"'"&amp;"!A9:Z9"),0),4),1,""),""),28)</f>
        <v>E28</v>
      </c>
      <c r="C492" s="1066" t="str">
        <f ca="1">_xlfn.CONCAT(IFERROR(SUBSTITUTE(ADDRESS(1,MATCH(A492,INDIRECT("'"&amp;E492&amp;"'"&amp;"!A9:Z9"),0),4),1,""),""))</f>
        <v>E</v>
      </c>
      <c r="D492" s="1230" t="s">
        <v>1473</v>
      </c>
      <c r="E492" s="1069" t="s">
        <v>208</v>
      </c>
      <c r="F492" s="1204"/>
      <c r="G492" s="1204"/>
      <c r="H492" s="1204"/>
      <c r="I492" s="1204"/>
      <c r="J492" s="1204"/>
      <c r="K492" s="1204"/>
      <c r="L492" s="1180" t="s">
        <v>466</v>
      </c>
      <c r="M492" s="1205">
        <v>461</v>
      </c>
      <c r="N492" s="1205"/>
    </row>
    <row r="493" spans="1:14" x14ac:dyDescent="0.25">
      <c r="A493" s="1222" t="s">
        <v>1385</v>
      </c>
      <c r="B493" s="1066" t="str">
        <f t="shared" ref="B493:B499" ca="1" si="80">_xlfn.CONCAT(IFERROR(SUBSTITUTE(ADDRESS(1,MATCH(A493,INDIRECT("'"&amp;E493&amp;"'"&amp;"!A10:Z10"),0),4),1,""),""),29)</f>
        <v>E29</v>
      </c>
      <c r="C493" s="1066" t="str">
        <f t="shared" ref="C493:C503" ca="1" si="81">_xlfn.CONCAT(IFERROR(SUBSTITUTE(ADDRESS(1,MATCH(A493,INDIRECT("'"&amp;E493&amp;"'"&amp;"!A10:Z10"),0),4),1,""),""))</f>
        <v>E</v>
      </c>
      <c r="D493" s="1069" t="s">
        <v>1473</v>
      </c>
      <c r="E493" s="1069" t="s">
        <v>1382</v>
      </c>
      <c r="F493" s="1204"/>
      <c r="G493" s="1204"/>
      <c r="H493" s="1204"/>
      <c r="I493" s="1204"/>
      <c r="J493" s="1204"/>
      <c r="K493" s="1204"/>
      <c r="L493" s="1180" t="s">
        <v>1385</v>
      </c>
      <c r="M493" s="1205">
        <v>462</v>
      </c>
      <c r="N493" s="1205"/>
    </row>
    <row r="494" spans="1:14" x14ac:dyDescent="0.25">
      <c r="A494" s="1222" t="s">
        <v>1387</v>
      </c>
      <c r="B494" s="1066" t="str">
        <f t="shared" ca="1" si="80"/>
        <v>G29</v>
      </c>
      <c r="C494" s="1066" t="str">
        <f t="shared" ca="1" si="81"/>
        <v>G</v>
      </c>
      <c r="D494" s="1069" t="s">
        <v>1473</v>
      </c>
      <c r="E494" s="1069" t="s">
        <v>1382</v>
      </c>
      <c r="F494" s="1204"/>
      <c r="G494" s="1204"/>
      <c r="H494" s="1204"/>
      <c r="I494" s="1204"/>
      <c r="J494" s="1204"/>
      <c r="K494" s="1204"/>
      <c r="L494" s="1180" t="s">
        <v>1387</v>
      </c>
      <c r="M494" s="1205">
        <v>463</v>
      </c>
      <c r="N494" s="1205"/>
    </row>
    <row r="495" spans="1:14" x14ac:dyDescent="0.25">
      <c r="A495" s="1222" t="s">
        <v>1388</v>
      </c>
      <c r="B495" s="1066" t="str">
        <f t="shared" ca="1" si="80"/>
        <v>I29</v>
      </c>
      <c r="C495" s="1066" t="str">
        <f t="shared" ca="1" si="81"/>
        <v>I</v>
      </c>
      <c r="D495" s="1069" t="s">
        <v>1473</v>
      </c>
      <c r="E495" s="1069" t="s">
        <v>1382</v>
      </c>
      <c r="F495" s="1204"/>
      <c r="G495" s="1204"/>
      <c r="H495" s="1204"/>
      <c r="I495" s="1204"/>
      <c r="J495" s="1204"/>
      <c r="K495" s="1204"/>
      <c r="L495" s="1180" t="s">
        <v>1388</v>
      </c>
      <c r="M495" s="1205">
        <v>464</v>
      </c>
      <c r="N495" s="1205"/>
    </row>
    <row r="496" spans="1:14" x14ac:dyDescent="0.25">
      <c r="A496" s="1222" t="s">
        <v>1389</v>
      </c>
      <c r="B496" s="1066" t="str">
        <f t="shared" ca="1" si="80"/>
        <v>J29</v>
      </c>
      <c r="C496" s="1066" t="str">
        <f t="shared" ca="1" si="81"/>
        <v>J</v>
      </c>
      <c r="D496" s="1069" t="s">
        <v>1473</v>
      </c>
      <c r="E496" s="1069" t="s">
        <v>1382</v>
      </c>
      <c r="F496" s="1204"/>
      <c r="G496" s="1204"/>
      <c r="H496" s="1204"/>
      <c r="I496" s="1204"/>
      <c r="J496" s="1204"/>
      <c r="K496" s="1204"/>
      <c r="L496" s="1180" t="s">
        <v>1389</v>
      </c>
      <c r="M496" s="1205">
        <v>465</v>
      </c>
      <c r="N496" s="1205"/>
    </row>
    <row r="497" spans="1:14" x14ac:dyDescent="0.25">
      <c r="A497" s="1222" t="s">
        <v>1390</v>
      </c>
      <c r="B497" s="1066" t="str">
        <f t="shared" ca="1" si="80"/>
        <v>K29</v>
      </c>
      <c r="C497" s="1066" t="str">
        <f t="shared" ca="1" si="81"/>
        <v>K</v>
      </c>
      <c r="D497" s="1069" t="s">
        <v>1473</v>
      </c>
      <c r="E497" s="1069" t="s">
        <v>1382</v>
      </c>
      <c r="F497" s="1204"/>
      <c r="G497" s="1204"/>
      <c r="H497" s="1204"/>
      <c r="I497" s="1204"/>
      <c r="J497" s="1204"/>
      <c r="K497" s="1204"/>
      <c r="L497" s="1180" t="s">
        <v>1390</v>
      </c>
      <c r="M497" s="1205">
        <v>466</v>
      </c>
      <c r="N497" s="1205"/>
    </row>
    <row r="498" spans="1:14" x14ac:dyDescent="0.25">
      <c r="A498" s="1222" t="s">
        <v>1391</v>
      </c>
      <c r="B498" s="1066" t="str">
        <f t="shared" ca="1" si="80"/>
        <v>L29</v>
      </c>
      <c r="C498" s="1066" t="str">
        <f t="shared" ca="1" si="81"/>
        <v>L</v>
      </c>
      <c r="D498" s="1069" t="s">
        <v>1473</v>
      </c>
      <c r="E498" s="1069" t="s">
        <v>1382</v>
      </c>
      <c r="F498" s="1204"/>
      <c r="G498" s="1204"/>
      <c r="H498" s="1204"/>
      <c r="I498" s="1204"/>
      <c r="J498" s="1204"/>
      <c r="K498" s="1204"/>
      <c r="L498" s="1180" t="s">
        <v>1391</v>
      </c>
      <c r="M498" s="1205">
        <v>467</v>
      </c>
      <c r="N498" s="1205"/>
    </row>
    <row r="499" spans="1:14" x14ac:dyDescent="0.25">
      <c r="A499" s="1222" t="s">
        <v>1329</v>
      </c>
      <c r="B499" s="1066" t="str">
        <f t="shared" ca="1" si="80"/>
        <v>M29</v>
      </c>
      <c r="C499" s="1066" t="str">
        <f t="shared" ca="1" si="81"/>
        <v>M</v>
      </c>
      <c r="D499" s="1069" t="s">
        <v>1473</v>
      </c>
      <c r="E499" s="1069" t="s">
        <v>1382</v>
      </c>
      <c r="F499" s="1204"/>
      <c r="G499" s="1204"/>
      <c r="H499" s="1204"/>
      <c r="I499" s="1204"/>
      <c r="J499" s="1204"/>
      <c r="K499" s="1204"/>
      <c r="L499" s="1180" t="s">
        <v>1329</v>
      </c>
      <c r="M499" s="1205">
        <v>468</v>
      </c>
      <c r="N499" s="1205"/>
    </row>
    <row r="500" spans="1:14" x14ac:dyDescent="0.25">
      <c r="A500" s="1223" t="s">
        <v>1392</v>
      </c>
      <c r="B500" s="1066" t="str">
        <f ca="1">_xlfn.CONCAT(IFERROR(SUBSTITUTE(ADDRESS(1,MATCH(A500,INDIRECT("'"&amp;E500&amp;"'"&amp;"!A10:Z10"),0),4),1,""),""),27)</f>
        <v>N27</v>
      </c>
      <c r="C500" s="1066" t="str">
        <f t="shared" ca="1" si="81"/>
        <v>N</v>
      </c>
      <c r="D500" s="1069" t="s">
        <v>1473</v>
      </c>
      <c r="E500" s="1069" t="s">
        <v>1382</v>
      </c>
      <c r="F500" s="1204"/>
      <c r="G500" s="1204"/>
      <c r="H500" s="1204"/>
      <c r="I500" s="1204"/>
      <c r="J500" s="1204"/>
      <c r="K500" s="1204"/>
      <c r="L500" s="1180" t="s">
        <v>1392</v>
      </c>
      <c r="M500" s="1205">
        <v>469</v>
      </c>
      <c r="N500" s="1205"/>
    </row>
    <row r="501" spans="1:14" x14ac:dyDescent="0.25">
      <c r="A501" s="1224" t="s">
        <v>1383</v>
      </c>
      <c r="B501" s="1066" t="str">
        <f t="shared" ref="B501:B503" ca="1" si="82">_xlfn.CONCAT(IFERROR(SUBSTITUTE(ADDRESS(1,MATCH(A501,INDIRECT("'"&amp;E501&amp;"'"&amp;"!A10:Z10"),0),4),1,""),""),27)</f>
        <v>C27</v>
      </c>
      <c r="C501" s="1066" t="str">
        <f t="shared" ca="1" si="81"/>
        <v>C</v>
      </c>
      <c r="D501" s="1069" t="s">
        <v>1473</v>
      </c>
      <c r="E501" s="1069" t="s">
        <v>1382</v>
      </c>
      <c r="F501" s="1204"/>
      <c r="G501" s="1204"/>
      <c r="H501" s="1204"/>
      <c r="I501" s="1204"/>
      <c r="J501" s="1204"/>
      <c r="K501" s="1204"/>
      <c r="L501" s="1180" t="s">
        <v>254</v>
      </c>
      <c r="M501" s="1205">
        <v>470</v>
      </c>
      <c r="N501" s="1205"/>
    </row>
    <row r="502" spans="1:14" x14ac:dyDescent="0.25">
      <c r="A502" s="1224" t="s">
        <v>1348</v>
      </c>
      <c r="B502" s="1066" t="str">
        <f t="shared" ca="1" si="82"/>
        <v>H27</v>
      </c>
      <c r="C502" s="1066" t="str">
        <f t="shared" ca="1" si="81"/>
        <v>H</v>
      </c>
      <c r="D502" s="1069" t="s">
        <v>1473</v>
      </c>
      <c r="E502" s="1069" t="s">
        <v>1382</v>
      </c>
      <c r="F502" s="1204"/>
      <c r="G502" s="1204"/>
      <c r="H502" s="1204"/>
      <c r="I502" s="1204"/>
      <c r="J502" s="1204"/>
      <c r="K502" s="1204"/>
      <c r="L502" s="1180" t="s">
        <v>1348</v>
      </c>
      <c r="M502" s="1205">
        <v>471</v>
      </c>
      <c r="N502" s="1205"/>
    </row>
    <row r="503" spans="1:14" x14ac:dyDescent="0.25">
      <c r="A503" s="1224" t="s">
        <v>1386</v>
      </c>
      <c r="B503" s="1066" t="str">
        <f t="shared" ca="1" si="82"/>
        <v>F27</v>
      </c>
      <c r="C503" s="1066" t="str">
        <f t="shared" ca="1" si="81"/>
        <v>F</v>
      </c>
      <c r="D503" s="1069" t="s">
        <v>1473</v>
      </c>
      <c r="E503" s="1069" t="s">
        <v>1382</v>
      </c>
      <c r="F503" s="1204"/>
      <c r="G503" s="1204"/>
      <c r="H503" s="1204"/>
      <c r="I503" s="1204"/>
      <c r="J503" s="1204"/>
      <c r="K503" s="1204"/>
      <c r="L503" s="1180" t="s">
        <v>225</v>
      </c>
      <c r="M503" s="1205">
        <v>472</v>
      </c>
      <c r="N503" s="1205"/>
    </row>
    <row r="504" spans="1:14" x14ac:dyDescent="0.25">
      <c r="A504" s="1225" t="s">
        <v>466</v>
      </c>
      <c r="B504" s="1066" t="str">
        <f ca="1">_xlfn.CONCAT(IFERROR(SUBSTITUTE(ADDRESS(1,MATCH(A504,INDIRECT("'"&amp;E504&amp;"'"&amp;"!A9:Z9"),0),4),1,""),""),29)</f>
        <v>E29</v>
      </c>
      <c r="C504" s="1066" t="str">
        <f ca="1">_xlfn.CONCAT(IFERROR(SUBSTITUTE(ADDRESS(1,MATCH(A504,INDIRECT("'"&amp;E504&amp;"'"&amp;"!A9:Z9"),0),4),1,""),""))</f>
        <v>E</v>
      </c>
      <c r="D504" s="1230" t="s">
        <v>1473</v>
      </c>
      <c r="E504" s="1069" t="s">
        <v>208</v>
      </c>
      <c r="F504" s="1204"/>
      <c r="G504" s="1204"/>
      <c r="H504" s="1204"/>
      <c r="I504" s="1204"/>
      <c r="J504" s="1204"/>
      <c r="K504" s="1204"/>
      <c r="L504" s="1180" t="s">
        <v>466</v>
      </c>
      <c r="M504" s="1205">
        <v>473</v>
      </c>
      <c r="N504" s="1205"/>
    </row>
    <row r="505" spans="1:14" x14ac:dyDescent="0.25">
      <c r="A505" s="1225" t="s">
        <v>1385</v>
      </c>
      <c r="B505" s="1066" t="str">
        <f t="shared" ref="B505:B511" ca="1" si="83">_xlfn.CONCAT(IFERROR(SUBSTITUTE(ADDRESS(1,MATCH(A505,INDIRECT("'"&amp;E505&amp;"'"&amp;"!A10:Z10"),0),4),1,""),""),27)</f>
        <v>E27</v>
      </c>
      <c r="C505" s="1066" t="str">
        <f t="shared" ref="C505:C515" ca="1" si="84">_xlfn.CONCAT(IFERROR(SUBSTITUTE(ADDRESS(1,MATCH(A505,INDIRECT("'"&amp;E505&amp;"'"&amp;"!A10:Z10"),0),4),1,""),""))</f>
        <v>E</v>
      </c>
      <c r="D505" s="1069" t="s">
        <v>1473</v>
      </c>
      <c r="E505" s="1069" t="s">
        <v>1382</v>
      </c>
      <c r="F505" s="1204"/>
      <c r="G505" s="1204"/>
      <c r="H505" s="1204"/>
      <c r="I505" s="1204"/>
      <c r="J505" s="1204"/>
      <c r="K505" s="1204"/>
      <c r="L505" s="1180" t="s">
        <v>1385</v>
      </c>
      <c r="M505" s="1205">
        <v>474</v>
      </c>
      <c r="N505" s="1205"/>
    </row>
    <row r="506" spans="1:14" x14ac:dyDescent="0.25">
      <c r="A506" s="1225" t="s">
        <v>1387</v>
      </c>
      <c r="B506" s="1066" t="str">
        <f t="shared" ca="1" si="83"/>
        <v>G27</v>
      </c>
      <c r="C506" s="1066" t="str">
        <f t="shared" ca="1" si="84"/>
        <v>G</v>
      </c>
      <c r="D506" s="1069" t="s">
        <v>1473</v>
      </c>
      <c r="E506" s="1069" t="s">
        <v>1382</v>
      </c>
      <c r="F506" s="1204"/>
      <c r="G506" s="1204"/>
      <c r="H506" s="1204"/>
      <c r="I506" s="1204"/>
      <c r="J506" s="1204"/>
      <c r="K506" s="1204"/>
      <c r="L506" s="1180" t="s">
        <v>1387</v>
      </c>
      <c r="M506" s="1205">
        <v>475</v>
      </c>
      <c r="N506" s="1205"/>
    </row>
    <row r="507" spans="1:14" x14ac:dyDescent="0.25">
      <c r="A507" s="1225" t="s">
        <v>1388</v>
      </c>
      <c r="B507" s="1066" t="str">
        <f t="shared" ca="1" si="83"/>
        <v>I27</v>
      </c>
      <c r="C507" s="1066" t="str">
        <f t="shared" ca="1" si="84"/>
        <v>I</v>
      </c>
      <c r="D507" s="1069" t="s">
        <v>1473</v>
      </c>
      <c r="E507" s="1069" t="s">
        <v>1382</v>
      </c>
      <c r="F507" s="1204"/>
      <c r="G507" s="1204"/>
      <c r="H507" s="1204"/>
      <c r="I507" s="1204"/>
      <c r="J507" s="1204"/>
      <c r="K507" s="1204"/>
      <c r="L507" s="1180" t="s">
        <v>1388</v>
      </c>
      <c r="M507" s="1205">
        <v>476</v>
      </c>
      <c r="N507" s="1205"/>
    </row>
    <row r="508" spans="1:14" x14ac:dyDescent="0.25">
      <c r="A508" s="1225" t="s">
        <v>1389</v>
      </c>
      <c r="B508" s="1066" t="str">
        <f t="shared" ca="1" si="83"/>
        <v>J27</v>
      </c>
      <c r="C508" s="1066" t="str">
        <f t="shared" ca="1" si="84"/>
        <v>J</v>
      </c>
      <c r="D508" s="1069" t="s">
        <v>1473</v>
      </c>
      <c r="E508" s="1069" t="s">
        <v>1382</v>
      </c>
      <c r="F508" s="1204"/>
      <c r="G508" s="1204"/>
      <c r="H508" s="1204"/>
      <c r="I508" s="1204"/>
      <c r="J508" s="1204"/>
      <c r="K508" s="1204"/>
      <c r="L508" s="1180" t="s">
        <v>1389</v>
      </c>
      <c r="M508" s="1205">
        <v>477</v>
      </c>
      <c r="N508" s="1205"/>
    </row>
    <row r="509" spans="1:14" x14ac:dyDescent="0.25">
      <c r="A509" s="1225" t="s">
        <v>1390</v>
      </c>
      <c r="B509" s="1066" t="str">
        <f t="shared" ca="1" si="83"/>
        <v>K27</v>
      </c>
      <c r="C509" s="1066" t="str">
        <f t="shared" ca="1" si="84"/>
        <v>K</v>
      </c>
      <c r="D509" s="1069" t="s">
        <v>1473</v>
      </c>
      <c r="E509" s="1069" t="s">
        <v>1382</v>
      </c>
      <c r="F509" s="1204"/>
      <c r="G509" s="1204"/>
      <c r="H509" s="1204"/>
      <c r="I509" s="1204"/>
      <c r="J509" s="1204"/>
      <c r="K509" s="1204"/>
      <c r="L509" s="1180" t="s">
        <v>1390</v>
      </c>
      <c r="M509" s="1205">
        <v>478</v>
      </c>
      <c r="N509" s="1205"/>
    </row>
    <row r="510" spans="1:14" x14ac:dyDescent="0.25">
      <c r="A510" s="1225" t="s">
        <v>1391</v>
      </c>
      <c r="B510" s="1066" t="str">
        <f t="shared" ca="1" si="83"/>
        <v>L27</v>
      </c>
      <c r="C510" s="1066" t="str">
        <f t="shared" ca="1" si="84"/>
        <v>L</v>
      </c>
      <c r="D510" s="1069" t="s">
        <v>1473</v>
      </c>
      <c r="E510" s="1069" t="s">
        <v>1382</v>
      </c>
      <c r="F510" s="1204"/>
      <c r="G510" s="1204"/>
      <c r="H510" s="1204"/>
      <c r="I510" s="1204"/>
      <c r="J510" s="1204"/>
      <c r="K510" s="1204"/>
      <c r="L510" s="1180" t="s">
        <v>1391</v>
      </c>
      <c r="M510" s="1205">
        <v>479</v>
      </c>
      <c r="N510" s="1205"/>
    </row>
    <row r="511" spans="1:14" x14ac:dyDescent="0.25">
      <c r="A511" s="1225" t="s">
        <v>1329</v>
      </c>
      <c r="B511" s="1066" t="str">
        <f t="shared" ca="1" si="83"/>
        <v>M27</v>
      </c>
      <c r="C511" s="1066" t="str">
        <f t="shared" ca="1" si="84"/>
        <v>M</v>
      </c>
      <c r="D511" s="1069" t="s">
        <v>1473</v>
      </c>
      <c r="E511" s="1069" t="s">
        <v>1382</v>
      </c>
      <c r="F511" s="1204"/>
      <c r="G511" s="1204"/>
      <c r="H511" s="1204"/>
      <c r="I511" s="1204"/>
      <c r="J511" s="1204"/>
      <c r="K511" s="1204"/>
      <c r="L511" s="1180" t="s">
        <v>1329</v>
      </c>
      <c r="M511" s="1205">
        <v>480</v>
      </c>
      <c r="N511" s="1205"/>
    </row>
    <row r="512" spans="1:14" x14ac:dyDescent="0.25">
      <c r="A512" s="1220" t="s">
        <v>1392</v>
      </c>
      <c r="B512" s="1066" t="str">
        <f ca="1">_xlfn.CONCAT(IFERROR(SUBSTITUTE(ADDRESS(1,MATCH(A512,INDIRECT("'"&amp;E512&amp;"'"&amp;"!A10:Z10"),0),4),1,""),""),28)</f>
        <v>N28</v>
      </c>
      <c r="C512" s="1066" t="str">
        <f t="shared" ca="1" si="84"/>
        <v>N</v>
      </c>
      <c r="D512" s="1069" t="s">
        <v>1473</v>
      </c>
      <c r="E512" s="1069" t="s">
        <v>1382</v>
      </c>
      <c r="F512" s="1204"/>
      <c r="G512" s="1204"/>
      <c r="H512" s="1204"/>
      <c r="I512" s="1204"/>
      <c r="J512" s="1204"/>
      <c r="K512" s="1204"/>
      <c r="L512" s="1180" t="s">
        <v>1392</v>
      </c>
      <c r="M512" s="1205">
        <v>481</v>
      </c>
      <c r="N512" s="1205"/>
    </row>
    <row r="513" spans="1:14" x14ac:dyDescent="0.25">
      <c r="A513" s="1221" t="s">
        <v>1383</v>
      </c>
      <c r="B513" s="1066" t="str">
        <f t="shared" ref="B513:B515" ca="1" si="85">_xlfn.CONCAT(IFERROR(SUBSTITUTE(ADDRESS(1,MATCH(A513,INDIRECT("'"&amp;E513&amp;"'"&amp;"!A10:Z10"),0),4),1,""),""),28)</f>
        <v>C28</v>
      </c>
      <c r="C513" s="1066" t="str">
        <f t="shared" ca="1" si="84"/>
        <v>C</v>
      </c>
      <c r="D513" s="1069" t="s">
        <v>1473</v>
      </c>
      <c r="E513" s="1069" t="s">
        <v>1382</v>
      </c>
      <c r="F513" s="1204"/>
      <c r="G513" s="1204"/>
      <c r="H513" s="1204"/>
      <c r="I513" s="1204"/>
      <c r="J513" s="1204"/>
      <c r="K513" s="1204"/>
      <c r="L513" s="1180" t="s">
        <v>254</v>
      </c>
      <c r="M513" s="1205">
        <v>482</v>
      </c>
      <c r="N513" s="1205"/>
    </row>
    <row r="514" spans="1:14" x14ac:dyDescent="0.25">
      <c r="A514" s="1221" t="s">
        <v>1348</v>
      </c>
      <c r="B514" s="1066" t="str">
        <f t="shared" ca="1" si="85"/>
        <v>H28</v>
      </c>
      <c r="C514" s="1066" t="str">
        <f t="shared" ca="1" si="84"/>
        <v>H</v>
      </c>
      <c r="D514" s="1069" t="s">
        <v>1473</v>
      </c>
      <c r="E514" s="1069" t="s">
        <v>1382</v>
      </c>
      <c r="F514" s="1204"/>
      <c r="G514" s="1204"/>
      <c r="H514" s="1204"/>
      <c r="I514" s="1204"/>
      <c r="J514" s="1204"/>
      <c r="K514" s="1204"/>
      <c r="L514" s="1180" t="s">
        <v>1348</v>
      </c>
      <c r="M514" s="1205">
        <v>483</v>
      </c>
      <c r="N514" s="1205"/>
    </row>
    <row r="515" spans="1:14" x14ac:dyDescent="0.25">
      <c r="A515" s="1221" t="s">
        <v>1386</v>
      </c>
      <c r="B515" s="1066" t="str">
        <f t="shared" ca="1" si="85"/>
        <v>F28</v>
      </c>
      <c r="C515" s="1066" t="str">
        <f t="shared" ca="1" si="84"/>
        <v>F</v>
      </c>
      <c r="D515" s="1069" t="s">
        <v>1473</v>
      </c>
      <c r="E515" s="1069" t="s">
        <v>1382</v>
      </c>
      <c r="F515" s="1204"/>
      <c r="G515" s="1204"/>
      <c r="H515" s="1204"/>
      <c r="I515" s="1204"/>
      <c r="J515" s="1204"/>
      <c r="K515" s="1204"/>
      <c r="L515" s="1180" t="s">
        <v>225</v>
      </c>
      <c r="M515" s="1205">
        <v>484</v>
      </c>
      <c r="N515" s="1205"/>
    </row>
    <row r="516" spans="1:14" x14ac:dyDescent="0.25">
      <c r="A516" s="1222" t="s">
        <v>466</v>
      </c>
      <c r="B516" s="1066" t="str">
        <f ca="1">_xlfn.CONCAT(IFERROR(SUBSTITUTE(ADDRESS(1,MATCH(A516,INDIRECT("'"&amp;E516&amp;"'"&amp;"!A9:Z9"),0),4),1,""),""),30)</f>
        <v>E30</v>
      </c>
      <c r="C516" s="1066" t="str">
        <f ca="1">_xlfn.CONCAT(IFERROR(SUBSTITUTE(ADDRESS(1,MATCH(A516,INDIRECT("'"&amp;E516&amp;"'"&amp;"!A9:Z9"),0),4),1,""),""))</f>
        <v>E</v>
      </c>
      <c r="D516" s="1230" t="s">
        <v>1473</v>
      </c>
      <c r="E516" s="1069" t="s">
        <v>208</v>
      </c>
      <c r="F516" s="1204"/>
      <c r="G516" s="1204"/>
      <c r="H516" s="1204"/>
      <c r="I516" s="1204"/>
      <c r="J516" s="1204"/>
      <c r="K516" s="1204"/>
      <c r="L516" s="1180" t="s">
        <v>466</v>
      </c>
      <c r="M516" s="1205">
        <v>485</v>
      </c>
      <c r="N516" s="1205"/>
    </row>
    <row r="517" spans="1:14" x14ac:dyDescent="0.25">
      <c r="A517" s="1222" t="s">
        <v>1385</v>
      </c>
      <c r="B517" s="1066" t="str">
        <f t="shared" ref="B517:B523" ca="1" si="86">_xlfn.CONCAT(IFERROR(SUBSTITUTE(ADDRESS(1,MATCH(A517,INDIRECT("'"&amp;E517&amp;"'"&amp;"!A10:Z10"),0),4),1,""),""),28)</f>
        <v>E28</v>
      </c>
      <c r="C517" s="1066" t="str">
        <f t="shared" ref="C517:C523" ca="1" si="87">_xlfn.CONCAT(IFERROR(SUBSTITUTE(ADDRESS(1,MATCH(A517,INDIRECT("'"&amp;E517&amp;"'"&amp;"!A10:Z10"),0),4),1,""),""))</f>
        <v>E</v>
      </c>
      <c r="D517" s="1069" t="s">
        <v>1473</v>
      </c>
      <c r="E517" s="1069" t="s">
        <v>1382</v>
      </c>
      <c r="F517" s="1204"/>
      <c r="G517" s="1204"/>
      <c r="H517" s="1204"/>
      <c r="I517" s="1204"/>
      <c r="J517" s="1204"/>
      <c r="K517" s="1204"/>
      <c r="L517" s="1180" t="s">
        <v>1385</v>
      </c>
      <c r="M517" s="1205">
        <v>486</v>
      </c>
      <c r="N517" s="1205"/>
    </row>
    <row r="518" spans="1:14" x14ac:dyDescent="0.25">
      <c r="A518" s="1222" t="s">
        <v>1387</v>
      </c>
      <c r="B518" s="1066" t="str">
        <f t="shared" ca="1" si="86"/>
        <v>G28</v>
      </c>
      <c r="C518" s="1066" t="str">
        <f t="shared" ca="1" si="87"/>
        <v>G</v>
      </c>
      <c r="D518" s="1069" t="s">
        <v>1473</v>
      </c>
      <c r="E518" s="1069" t="s">
        <v>1382</v>
      </c>
      <c r="F518" s="1204"/>
      <c r="G518" s="1204"/>
      <c r="H518" s="1204"/>
      <c r="I518" s="1204"/>
      <c r="J518" s="1204"/>
      <c r="K518" s="1204"/>
      <c r="L518" s="1180" t="s">
        <v>1387</v>
      </c>
      <c r="M518" s="1205">
        <v>487</v>
      </c>
      <c r="N518" s="1205"/>
    </row>
    <row r="519" spans="1:14" x14ac:dyDescent="0.25">
      <c r="A519" s="1222" t="s">
        <v>1388</v>
      </c>
      <c r="B519" s="1066" t="str">
        <f t="shared" ca="1" si="86"/>
        <v>I28</v>
      </c>
      <c r="C519" s="1066" t="str">
        <f t="shared" ca="1" si="87"/>
        <v>I</v>
      </c>
      <c r="D519" s="1069" t="s">
        <v>1473</v>
      </c>
      <c r="E519" s="1069" t="s">
        <v>1382</v>
      </c>
      <c r="F519" s="1204"/>
      <c r="G519" s="1204"/>
      <c r="H519" s="1204"/>
      <c r="I519" s="1204"/>
      <c r="J519" s="1204"/>
      <c r="K519" s="1204"/>
      <c r="L519" s="1180" t="s">
        <v>1388</v>
      </c>
      <c r="M519" s="1205">
        <v>488</v>
      </c>
      <c r="N519" s="1205"/>
    </row>
    <row r="520" spans="1:14" x14ac:dyDescent="0.25">
      <c r="A520" s="1222" t="s">
        <v>1389</v>
      </c>
      <c r="B520" s="1066" t="str">
        <f t="shared" ca="1" si="86"/>
        <v>J28</v>
      </c>
      <c r="C520" s="1066" t="str">
        <f t="shared" ca="1" si="87"/>
        <v>J</v>
      </c>
      <c r="D520" s="1069" t="s">
        <v>1473</v>
      </c>
      <c r="E520" s="1069" t="s">
        <v>1382</v>
      </c>
      <c r="F520" s="1204"/>
      <c r="G520" s="1204"/>
      <c r="H520" s="1204"/>
      <c r="I520" s="1204"/>
      <c r="J520" s="1204"/>
      <c r="K520" s="1204"/>
      <c r="L520" s="1180" t="s">
        <v>1389</v>
      </c>
      <c r="M520" s="1205">
        <v>489</v>
      </c>
      <c r="N520" s="1205"/>
    </row>
    <row r="521" spans="1:14" x14ac:dyDescent="0.25">
      <c r="A521" s="1222" t="s">
        <v>1390</v>
      </c>
      <c r="B521" s="1066" t="str">
        <f t="shared" ca="1" si="86"/>
        <v>K28</v>
      </c>
      <c r="C521" s="1066" t="str">
        <f t="shared" ca="1" si="87"/>
        <v>K</v>
      </c>
      <c r="D521" s="1069" t="s">
        <v>1473</v>
      </c>
      <c r="E521" s="1069" t="s">
        <v>1382</v>
      </c>
      <c r="F521" s="1204"/>
      <c r="G521" s="1204"/>
      <c r="H521" s="1204"/>
      <c r="I521" s="1204"/>
      <c r="J521" s="1204"/>
      <c r="K521" s="1204"/>
      <c r="L521" s="1180" t="s">
        <v>1390</v>
      </c>
      <c r="M521" s="1205">
        <v>490</v>
      </c>
      <c r="N521" s="1205"/>
    </row>
    <row r="522" spans="1:14" x14ac:dyDescent="0.25">
      <c r="A522" s="1222" t="s">
        <v>1391</v>
      </c>
      <c r="B522" s="1066" t="str">
        <f t="shared" ca="1" si="86"/>
        <v>L28</v>
      </c>
      <c r="C522" s="1066" t="str">
        <f t="shared" ca="1" si="87"/>
        <v>L</v>
      </c>
      <c r="D522" s="1069" t="s">
        <v>1473</v>
      </c>
      <c r="E522" s="1069" t="s">
        <v>1382</v>
      </c>
      <c r="F522" s="1204"/>
      <c r="G522" s="1204"/>
      <c r="H522" s="1204"/>
      <c r="I522" s="1204"/>
      <c r="J522" s="1204"/>
      <c r="K522" s="1204"/>
      <c r="L522" s="1180" t="s">
        <v>1391</v>
      </c>
      <c r="M522" s="1205">
        <v>491</v>
      </c>
      <c r="N522" s="1205"/>
    </row>
    <row r="523" spans="1:14" x14ac:dyDescent="0.25">
      <c r="A523" s="1222" t="s">
        <v>1329</v>
      </c>
      <c r="B523" s="1066" t="str">
        <f t="shared" ca="1" si="86"/>
        <v>M28</v>
      </c>
      <c r="C523" s="1066" t="str">
        <f t="shared" ca="1" si="87"/>
        <v>M</v>
      </c>
      <c r="D523" s="1069" t="s">
        <v>1473</v>
      </c>
      <c r="E523" s="1069" t="s">
        <v>1382</v>
      </c>
      <c r="F523" s="1204"/>
      <c r="G523" s="1204"/>
      <c r="H523" s="1204"/>
      <c r="I523" s="1204"/>
      <c r="J523" s="1204"/>
      <c r="K523" s="1204"/>
      <c r="L523" s="1180" t="s">
        <v>1329</v>
      </c>
      <c r="M523" s="1205">
        <v>492</v>
      </c>
      <c r="N523" s="1205"/>
    </row>
    <row r="524" spans="1:14" x14ac:dyDescent="0.25">
      <c r="A524" s="1179" t="s">
        <v>1378</v>
      </c>
      <c r="B524" s="1066" t="str">
        <f ca="1">_xlfn.CONCAT(IFERROR(SUBSTITUTE(ADDRESS(1,MATCH(A524,INDIRECT("'"&amp;E524&amp;"'"&amp;"!A4:Z4"),0),4),1,""),""),4)</f>
        <v>M4</v>
      </c>
      <c r="C524" s="1205" t="str">
        <f ca="1">_xlfn.CONCAT(IFERROR(SUBSTITUTE(ADDRESS(1,MATCH(A524,INDIRECT("'"&amp;E524&amp;"'"&amp;"!A4:Z4"),0),4),1,""),""),5)</f>
        <v>M5</v>
      </c>
      <c r="D524" s="1069" t="s">
        <v>1466</v>
      </c>
      <c r="E524" s="1069" t="s">
        <v>1382</v>
      </c>
      <c r="F524" s="1204"/>
      <c r="G524" s="1204"/>
      <c r="H524" s="1204"/>
      <c r="I524" s="1204"/>
      <c r="J524" s="1204"/>
      <c r="K524" s="1204"/>
      <c r="L524" s="1180" t="s">
        <v>1378</v>
      </c>
      <c r="M524" s="1205">
        <v>493</v>
      </c>
      <c r="N524" s="1205"/>
    </row>
    <row r="525" spans="1:14" x14ac:dyDescent="0.25">
      <c r="A525" s="1179" t="s">
        <v>1379</v>
      </c>
      <c r="B525" s="1066" t="str">
        <f t="shared" ref="B525:B532" ca="1" si="88">_xlfn.CONCAT(IFERROR(SUBSTITUTE(ADDRESS(1,MATCH(A525,INDIRECT("'"&amp;E525&amp;"'"&amp;"!A4:Z4"),0),4),1,""),""),4)</f>
        <v>N4</v>
      </c>
      <c r="C525" s="1205" t="str">
        <f t="shared" ref="C525:C532" ca="1" si="89">_xlfn.CONCAT(IFERROR(SUBSTITUTE(ADDRESS(1,MATCH(A525,INDIRECT("'"&amp;E525&amp;"'"&amp;"!A4:Z4"),0),4),1,""),""),5)</f>
        <v>N5</v>
      </c>
      <c r="D525" s="1069" t="s">
        <v>1466</v>
      </c>
      <c r="E525" s="1069" t="s">
        <v>1382</v>
      </c>
      <c r="F525" s="1204"/>
      <c r="G525" s="1204"/>
      <c r="H525" s="1204"/>
      <c r="I525" s="1204"/>
      <c r="J525" s="1204"/>
      <c r="K525" s="1204"/>
      <c r="L525" s="1180" t="s">
        <v>1379</v>
      </c>
      <c r="M525" s="1205">
        <v>494</v>
      </c>
      <c r="N525" s="1205"/>
    </row>
    <row r="526" spans="1:14" x14ac:dyDescent="0.25">
      <c r="A526" s="1179" t="s">
        <v>1373</v>
      </c>
      <c r="B526" s="1066" t="str">
        <f t="shared" ca="1" si="88"/>
        <v>H4</v>
      </c>
      <c r="C526" s="1205" t="str">
        <f t="shared" ca="1" si="89"/>
        <v>H5</v>
      </c>
      <c r="D526" s="1069" t="s">
        <v>1466</v>
      </c>
      <c r="E526" s="1069" t="s">
        <v>1382</v>
      </c>
      <c r="F526" s="1204"/>
      <c r="G526" s="1204"/>
      <c r="H526" s="1204"/>
      <c r="I526" s="1204"/>
      <c r="J526" s="1204"/>
      <c r="K526" s="1204"/>
      <c r="L526" s="1180" t="s">
        <v>1373</v>
      </c>
      <c r="M526" s="1205">
        <v>495</v>
      </c>
      <c r="N526" s="1205"/>
    </row>
    <row r="527" spans="1:14" x14ac:dyDescent="0.25">
      <c r="A527" s="1179" t="s">
        <v>1371</v>
      </c>
      <c r="B527" s="1066" t="str">
        <f t="shared" ca="1" si="88"/>
        <v>F4</v>
      </c>
      <c r="C527" s="1205" t="str">
        <f t="shared" ca="1" si="89"/>
        <v>F5</v>
      </c>
      <c r="D527" s="1069" t="s">
        <v>1466</v>
      </c>
      <c r="E527" s="1069" t="s">
        <v>1382</v>
      </c>
      <c r="F527" s="1204"/>
      <c r="G527" s="1204"/>
      <c r="H527" s="1204"/>
      <c r="I527" s="1204"/>
      <c r="J527" s="1204"/>
      <c r="K527" s="1204"/>
      <c r="L527" s="1179" t="s">
        <v>1371</v>
      </c>
      <c r="M527" s="1205">
        <v>508</v>
      </c>
      <c r="N527" s="1205"/>
    </row>
    <row r="528" spans="1:14" x14ac:dyDescent="0.25">
      <c r="A528" s="1179" t="s">
        <v>1372</v>
      </c>
      <c r="B528" s="1066" t="str">
        <f t="shared" ca="1" si="88"/>
        <v>G4</v>
      </c>
      <c r="C528" s="1205" t="str">
        <f t="shared" ca="1" si="89"/>
        <v>G5</v>
      </c>
      <c r="D528" s="1069" t="s">
        <v>1466</v>
      </c>
      <c r="E528" s="1069" t="s">
        <v>1382</v>
      </c>
      <c r="F528" s="1204"/>
      <c r="G528" s="1204"/>
      <c r="H528" s="1204"/>
      <c r="I528" s="1204"/>
      <c r="J528" s="1204"/>
      <c r="K528" s="1204"/>
      <c r="L528" s="1179" t="s">
        <v>1579</v>
      </c>
      <c r="M528" s="1205">
        <v>509</v>
      </c>
      <c r="N528" s="1205"/>
    </row>
    <row r="529" spans="1:14" x14ac:dyDescent="0.25">
      <c r="A529" s="1179" t="s">
        <v>1374</v>
      </c>
      <c r="B529" s="1066" t="str">
        <f t="shared" ca="1" si="88"/>
        <v>I4</v>
      </c>
      <c r="C529" s="1205" t="str">
        <f t="shared" ca="1" si="89"/>
        <v>I5</v>
      </c>
      <c r="D529" s="1069" t="s">
        <v>1466</v>
      </c>
      <c r="E529" s="1069" t="s">
        <v>1382</v>
      </c>
      <c r="F529" s="1204"/>
      <c r="G529" s="1204"/>
      <c r="H529" s="1204"/>
      <c r="I529" s="1204"/>
      <c r="J529" s="1204"/>
      <c r="K529" s="1204"/>
      <c r="L529" s="1179" t="s">
        <v>1374</v>
      </c>
      <c r="M529" s="1205">
        <v>511</v>
      </c>
      <c r="N529" s="1205"/>
    </row>
    <row r="530" spans="1:14" x14ac:dyDescent="0.25">
      <c r="A530" s="1179" t="s">
        <v>1375</v>
      </c>
      <c r="B530" s="1066" t="str">
        <f t="shared" ca="1" si="88"/>
        <v>J4</v>
      </c>
      <c r="C530" s="1205" t="str">
        <f t="shared" ca="1" si="89"/>
        <v>J5</v>
      </c>
      <c r="D530" s="1069" t="s">
        <v>1466</v>
      </c>
      <c r="E530" s="1069" t="s">
        <v>1382</v>
      </c>
      <c r="F530" s="1204"/>
      <c r="G530" s="1204"/>
      <c r="H530" s="1204"/>
      <c r="I530" s="1204"/>
      <c r="J530" s="1204"/>
      <c r="K530" s="1204"/>
      <c r="L530" s="1179" t="s">
        <v>1375</v>
      </c>
      <c r="M530" s="1205">
        <v>512</v>
      </c>
      <c r="N530" s="1205"/>
    </row>
    <row r="531" spans="1:14" x14ac:dyDescent="0.25">
      <c r="A531" s="1179" t="s">
        <v>1376</v>
      </c>
      <c r="B531" s="1066" t="str">
        <f t="shared" ca="1" si="88"/>
        <v>K4</v>
      </c>
      <c r="C531" s="1205" t="str">
        <f t="shared" ca="1" si="89"/>
        <v>K5</v>
      </c>
      <c r="D531" s="1069" t="s">
        <v>1466</v>
      </c>
      <c r="E531" s="1069" t="s">
        <v>1382</v>
      </c>
      <c r="F531" s="1204"/>
      <c r="G531" s="1204"/>
      <c r="H531" s="1204"/>
      <c r="I531" s="1204"/>
      <c r="J531" s="1204"/>
      <c r="K531" s="1204"/>
      <c r="L531" s="1179" t="s">
        <v>1581</v>
      </c>
      <c r="M531" s="1205">
        <v>513</v>
      </c>
      <c r="N531" s="1205"/>
    </row>
    <row r="532" spans="1:14" x14ac:dyDescent="0.25">
      <c r="A532" s="1179" t="s">
        <v>1377</v>
      </c>
      <c r="B532" s="1066" t="str">
        <f t="shared" ca="1" si="88"/>
        <v>L4</v>
      </c>
      <c r="C532" s="1205" t="str">
        <f t="shared" ca="1" si="89"/>
        <v>L5</v>
      </c>
      <c r="D532" s="1069" t="s">
        <v>1466</v>
      </c>
      <c r="E532" s="1069" t="s">
        <v>1382</v>
      </c>
      <c r="F532" s="1204"/>
      <c r="G532" s="1204"/>
      <c r="H532" s="1204"/>
      <c r="I532" s="1204"/>
      <c r="J532" s="1204"/>
      <c r="K532" s="1204"/>
      <c r="L532" s="1179" t="s">
        <v>1377</v>
      </c>
      <c r="M532" s="1205">
        <v>514</v>
      </c>
      <c r="N532" s="1205"/>
    </row>
  </sheetData>
  <autoFilter ref="A2:F532" xr:uid="{B8FDFD84-BF90-4B94-AD25-C16F8B1E00C2}"/>
  <mergeCells count="4">
    <mergeCell ref="A1:E1"/>
    <mergeCell ref="F1:H1"/>
    <mergeCell ref="I1:K1"/>
    <mergeCell ref="L1:N1"/>
  </mergeCells>
  <conditionalFormatting sqref="A155:A157">
    <cfRule type="expression" dxfId="105" priority="26">
      <formula>#REF!="EXCLUDE"</formula>
    </cfRule>
  </conditionalFormatting>
  <conditionalFormatting sqref="A154">
    <cfRule type="expression" dxfId="104" priority="27">
      <formula>#REF!="EXCLUDE"</formula>
    </cfRule>
  </conditionalFormatting>
  <conditionalFormatting sqref="A158:A160">
    <cfRule type="expression" dxfId="103" priority="28">
      <formula>#REF!="EXCLUDE"</formula>
    </cfRule>
  </conditionalFormatting>
  <conditionalFormatting sqref="L155:L157">
    <cfRule type="expression" dxfId="102" priority="23">
      <formula>#REF!="EXCLUDE"</formula>
    </cfRule>
  </conditionalFormatting>
  <conditionalFormatting sqref="L154">
    <cfRule type="expression" dxfId="101" priority="24">
      <formula>#REF!="EXCLUDE"</formula>
    </cfRule>
  </conditionalFormatting>
  <conditionalFormatting sqref="L158:L160">
    <cfRule type="expression" dxfId="100" priority="25">
      <formula>#REF!="EXCLUDE"</formula>
    </cfRule>
  </conditionalFormatting>
  <conditionalFormatting sqref="A273:A275">
    <cfRule type="expression" dxfId="99" priority="22">
      <formula>$G273="EXCLUDE"</formula>
    </cfRule>
  </conditionalFormatting>
  <conditionalFormatting sqref="A285:A287">
    <cfRule type="expression" dxfId="98" priority="21">
      <formula>$G285="EXCLUDE"</formula>
    </cfRule>
  </conditionalFormatting>
  <conditionalFormatting sqref="A297:A299">
    <cfRule type="expression" dxfId="97" priority="20">
      <formula>$G297="EXCLUDE"</formula>
    </cfRule>
  </conditionalFormatting>
  <conditionalFormatting sqref="A309:A311">
    <cfRule type="expression" dxfId="96" priority="19">
      <formula>$G309="EXCLUDE"</formula>
    </cfRule>
  </conditionalFormatting>
  <conditionalFormatting sqref="A321:A323">
    <cfRule type="expression" dxfId="95" priority="18">
      <formula>$G321="EXCLUDE"</formula>
    </cfRule>
  </conditionalFormatting>
  <conditionalFormatting sqref="A333:A335">
    <cfRule type="expression" dxfId="94" priority="17">
      <formula>$G333="EXCLUDE"</formula>
    </cfRule>
  </conditionalFormatting>
  <conditionalFormatting sqref="A345:A347">
    <cfRule type="expression" dxfId="93" priority="16">
      <formula>$G345="EXCLUDE"</formula>
    </cfRule>
  </conditionalFormatting>
  <conditionalFormatting sqref="A357:A359">
    <cfRule type="expression" dxfId="92" priority="15">
      <formula>$G357="EXCLUDE"</formula>
    </cfRule>
  </conditionalFormatting>
  <conditionalFormatting sqref="A369:A371">
    <cfRule type="expression" dxfId="91" priority="14">
      <formula>$G369="EXCLUDE"</formula>
    </cfRule>
  </conditionalFormatting>
  <conditionalFormatting sqref="A381:A383">
    <cfRule type="expression" dxfId="90" priority="13">
      <formula>$G381="EXCLUDE"</formula>
    </cfRule>
  </conditionalFormatting>
  <conditionalFormatting sqref="A393:A395">
    <cfRule type="expression" dxfId="89" priority="12">
      <formula>$G393="EXCLUDE"</formula>
    </cfRule>
  </conditionalFormatting>
  <conditionalFormatting sqref="A405:A407">
    <cfRule type="expression" dxfId="88" priority="11">
      <formula>$G405="EXCLUDE"</formula>
    </cfRule>
  </conditionalFormatting>
  <conditionalFormatting sqref="A417:A419">
    <cfRule type="expression" dxfId="87" priority="10">
      <formula>$G417="EXCLUDE"</formula>
    </cfRule>
  </conditionalFormatting>
  <conditionalFormatting sqref="A429:A431">
    <cfRule type="expression" dxfId="86" priority="9">
      <formula>$G429="EXCLUDE"</formula>
    </cfRule>
  </conditionalFormatting>
  <conditionalFormatting sqref="A441:A443">
    <cfRule type="expression" dxfId="85" priority="8">
      <formula>$G441="EXCLUDE"</formula>
    </cfRule>
  </conditionalFormatting>
  <conditionalFormatting sqref="A453:A455">
    <cfRule type="expression" dxfId="84" priority="7">
      <formula>$G453="EXCLUDE"</formula>
    </cfRule>
  </conditionalFormatting>
  <conditionalFormatting sqref="A465:A467">
    <cfRule type="expression" dxfId="83" priority="6">
      <formula>$G465="EXCLUDE"</formula>
    </cfRule>
  </conditionalFormatting>
  <conditionalFormatting sqref="A477:A479">
    <cfRule type="expression" dxfId="82" priority="5">
      <formula>$G477="EXCLUDE"</formula>
    </cfRule>
  </conditionalFormatting>
  <conditionalFormatting sqref="A489:A491">
    <cfRule type="expression" dxfId="81" priority="4">
      <formula>$G489="EXCLUDE"</formula>
    </cfRule>
  </conditionalFormatting>
  <conditionalFormatting sqref="A501:A503">
    <cfRule type="expression" dxfId="80" priority="3">
      <formula>$G501="EXCLUDE"</formula>
    </cfRule>
  </conditionalFormatting>
  <conditionalFormatting sqref="A513:A515">
    <cfRule type="expression" dxfId="79" priority="2">
      <formula>$G513="EXCLUDE"</formula>
    </cfRule>
  </conditionalFormatting>
  <conditionalFormatting sqref="L273:L275 L297:L299 L309:L311 L333:L335 L345:L347 L357:L359 L369:L371 L381:L383 L393:L395 L405:L407 L417:L419 L429:L431 L441:L443 L453:L455 L465:L467 L477:L479 L489:L491 L501:L503 L513:L515 L285:L287 L321:L323">
    <cfRule type="expression" dxfId="78" priority="1">
      <formula>$G273="EXCLUDE"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B9:C9 C276:C516 B276:B516" formula="1"/>
  </ignoredError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9CF531-FA1F-4A54-8391-2481CA142EA7}">
  <sheetPr codeName="Sheet24"/>
  <dimension ref="A1"/>
  <sheetViews>
    <sheetView showGridLines="0" workbookViewId="0">
      <selection activeCell="M14" sqref="M14"/>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F255A7-5C58-49A8-805A-DD07EC3F8AC4}">
  <sheetPr codeName="Sheet13"/>
  <dimension ref="A1:S36"/>
  <sheetViews>
    <sheetView showGridLines="0" workbookViewId="0">
      <selection activeCell="C13" sqref="C13"/>
    </sheetView>
  </sheetViews>
  <sheetFormatPr defaultRowHeight="15" x14ac:dyDescent="0.25"/>
  <cols>
    <col min="2" max="2" width="15.85546875" customWidth="1"/>
    <col min="3" max="3" width="16" customWidth="1"/>
    <col min="4" max="4" width="17.85546875" customWidth="1"/>
    <col min="5" max="5" width="16.28515625" customWidth="1"/>
    <col min="6" max="6" width="17.28515625" customWidth="1"/>
    <col min="7" max="7" width="19.42578125" customWidth="1"/>
    <col min="8" max="8" width="17" customWidth="1"/>
    <col min="9" max="9" width="19.7109375" customWidth="1"/>
    <col min="12" max="12" width="9.140625" customWidth="1"/>
    <col min="13" max="17" width="9.140625" hidden="1" customWidth="1"/>
    <col min="18" max="18" width="9.140625" customWidth="1"/>
  </cols>
  <sheetData>
    <row r="1" spans="1:19" ht="15.75" thickBot="1" x14ac:dyDescent="0.3">
      <c r="A1" s="666"/>
      <c r="B1" s="666"/>
      <c r="C1" s="666"/>
      <c r="D1" s="666"/>
      <c r="E1" s="666"/>
      <c r="F1" s="666"/>
      <c r="G1" s="666"/>
      <c r="H1" s="666"/>
      <c r="I1" s="666"/>
      <c r="J1" s="925"/>
      <c r="K1" s="925"/>
      <c r="L1" s="925"/>
      <c r="M1" s="925"/>
      <c r="N1" s="925"/>
      <c r="O1" s="925"/>
      <c r="P1" s="925"/>
      <c r="Q1" s="925"/>
      <c r="R1" s="925"/>
      <c r="S1" s="917"/>
    </row>
    <row r="2" spans="1:19" ht="15.75" thickBot="1" x14ac:dyDescent="0.3">
      <c r="A2" s="925"/>
      <c r="B2" s="1428" t="s">
        <v>1298</v>
      </c>
      <c r="C2" s="1429"/>
      <c r="D2" s="1429"/>
      <c r="E2" s="1429"/>
      <c r="F2" s="1429"/>
      <c r="G2" s="1429"/>
      <c r="H2" s="1429"/>
      <c r="I2" s="1430"/>
      <c r="J2" s="925"/>
      <c r="K2" s="925"/>
      <c r="L2" s="925"/>
      <c r="M2" s="1431" t="s">
        <v>1299</v>
      </c>
      <c r="N2" s="1431"/>
      <c r="O2" s="1431"/>
      <c r="P2" s="925"/>
      <c r="Q2" s="925"/>
      <c r="R2" s="925"/>
      <c r="S2" s="917"/>
    </row>
    <row r="3" spans="1:19" x14ac:dyDescent="0.25">
      <c r="A3" s="925"/>
      <c r="B3" s="1006"/>
      <c r="C3" s="965"/>
      <c r="D3" s="965"/>
      <c r="E3" s="965"/>
      <c r="F3" s="965"/>
      <c r="G3" s="965"/>
      <c r="H3" s="965"/>
      <c r="I3" s="1007"/>
      <c r="J3" s="925"/>
      <c r="K3" s="925"/>
      <c r="L3" s="925"/>
      <c r="M3" s="926" t="s">
        <v>1300</v>
      </c>
      <c r="N3" s="926">
        <v>500</v>
      </c>
      <c r="O3" s="926">
        <v>25</v>
      </c>
      <c r="P3" s="925"/>
      <c r="Q3" s="925" t="s">
        <v>1300</v>
      </c>
      <c r="R3" s="925"/>
      <c r="S3" s="917"/>
    </row>
    <row r="4" spans="1:19" ht="25.5" x14ac:dyDescent="0.25">
      <c r="A4" s="925"/>
      <c r="B4" s="1008" t="s">
        <v>376</v>
      </c>
      <c r="C4" s="1009" t="s">
        <v>1301</v>
      </c>
      <c r="D4" s="1009" t="s">
        <v>1302</v>
      </c>
      <c r="E4" s="1009" t="s">
        <v>1303</v>
      </c>
      <c r="F4" s="1009" t="s">
        <v>1304</v>
      </c>
      <c r="G4" s="1010" t="s">
        <v>1305</v>
      </c>
      <c r="H4" s="1010" t="s">
        <v>1306</v>
      </c>
      <c r="I4" s="1011" t="s">
        <v>1307</v>
      </c>
      <c r="J4" s="925"/>
      <c r="K4" s="925"/>
      <c r="L4" s="925"/>
      <c r="M4" s="926" t="s">
        <v>1308</v>
      </c>
      <c r="N4" s="926">
        <v>500</v>
      </c>
      <c r="O4" s="926">
        <v>35</v>
      </c>
      <c r="P4" s="925"/>
      <c r="Q4" s="925" t="s">
        <v>1308</v>
      </c>
      <c r="R4" s="925"/>
      <c r="S4" s="917"/>
    </row>
    <row r="5" spans="1:19" ht="15.75" thickBot="1" x14ac:dyDescent="0.3">
      <c r="A5" s="925"/>
      <c r="B5" s="927">
        <f>'Existing Customers'!$AB$2</f>
        <v>0</v>
      </c>
      <c r="C5" s="919" t="s">
        <v>651</v>
      </c>
      <c r="D5" s="919" t="s">
        <v>1309</v>
      </c>
      <c r="E5" s="919" t="s">
        <v>653</v>
      </c>
      <c r="F5" s="919" t="s">
        <v>651</v>
      </c>
      <c r="G5" s="928" t="str">
        <f>IFERROR('PIM Model'!H31/('PIM Model'!E6*52*Welcome!D14),"")</f>
        <v/>
      </c>
      <c r="H5" s="928" t="str">
        <f>IFERROR('PIM Model'!G31/('PIM Model'!E6*52*Welcome!D14),"")</f>
        <v/>
      </c>
      <c r="I5" s="929" t="str">
        <f>IFERROR('PIM Model'!G31/'PIM Model'!H31,"")</f>
        <v/>
      </c>
      <c r="J5" s="925"/>
      <c r="K5" s="925"/>
      <c r="L5" s="925"/>
      <c r="M5" s="926" t="s">
        <v>1310</v>
      </c>
      <c r="N5" s="926">
        <v>500</v>
      </c>
      <c r="O5" s="926">
        <v>50</v>
      </c>
      <c r="P5" s="925"/>
      <c r="Q5" s="925" t="s">
        <v>1310</v>
      </c>
      <c r="R5" s="925"/>
      <c r="S5" s="917"/>
    </row>
    <row r="6" spans="1:19" ht="15.75" thickBot="1" x14ac:dyDescent="0.3">
      <c r="A6" s="925"/>
      <c r="B6" s="666"/>
      <c r="C6" s="666"/>
      <c r="D6" s="666"/>
      <c r="E6" s="666"/>
      <c r="F6" s="666"/>
      <c r="G6" s="666"/>
      <c r="H6" s="666"/>
      <c r="I6" s="666"/>
      <c r="J6" s="925"/>
      <c r="K6" s="925"/>
      <c r="L6" s="925"/>
      <c r="M6" s="926"/>
      <c r="N6" s="926"/>
      <c r="O6" s="926"/>
      <c r="P6" s="925"/>
      <c r="Q6" s="925" t="s">
        <v>1311</v>
      </c>
      <c r="R6" s="925"/>
      <c r="S6" s="917"/>
    </row>
    <row r="7" spans="1:19" ht="15.75" thickBot="1" x14ac:dyDescent="0.3">
      <c r="A7" s="925"/>
      <c r="B7" s="1428" t="s">
        <v>1312</v>
      </c>
      <c r="C7" s="1429"/>
      <c r="D7" s="1429"/>
      <c r="E7" s="1429"/>
      <c r="F7" s="1429"/>
      <c r="G7" s="1429"/>
      <c r="H7" s="1429"/>
      <c r="I7" s="1430"/>
      <c r="J7" s="925"/>
      <c r="K7" s="925"/>
      <c r="L7" s="925"/>
      <c r="M7" s="926" t="s">
        <v>1311</v>
      </c>
      <c r="N7" s="926">
        <v>600</v>
      </c>
      <c r="O7" s="926">
        <v>35</v>
      </c>
      <c r="P7" s="925"/>
      <c r="Q7" s="925" t="s">
        <v>1313</v>
      </c>
      <c r="R7" s="925"/>
      <c r="S7" s="917"/>
    </row>
    <row r="8" spans="1:19" x14ac:dyDescent="0.25">
      <c r="A8" s="925"/>
      <c r="B8" s="1012"/>
      <c r="C8" s="1013"/>
      <c r="D8" s="1013"/>
      <c r="E8" s="1013"/>
      <c r="F8" s="1013"/>
      <c r="G8" s="1013"/>
      <c r="H8" s="1013"/>
      <c r="I8" s="1014"/>
      <c r="J8" s="925"/>
      <c r="K8" s="925"/>
      <c r="L8" s="925"/>
      <c r="M8" s="926" t="s">
        <v>1313</v>
      </c>
      <c r="N8" s="926">
        <v>600</v>
      </c>
      <c r="O8" s="926">
        <v>50</v>
      </c>
      <c r="P8" s="925"/>
      <c r="Q8" s="925" t="s">
        <v>1314</v>
      </c>
      <c r="R8" s="925"/>
      <c r="S8" s="917"/>
    </row>
    <row r="9" spans="1:19" ht="65.25" customHeight="1" x14ac:dyDescent="0.25">
      <c r="A9" s="925"/>
      <c r="B9" s="1015" t="s">
        <v>1315</v>
      </c>
      <c r="C9" s="1009" t="s">
        <v>1316</v>
      </c>
      <c r="D9" s="1009" t="s">
        <v>1317</v>
      </c>
      <c r="E9" s="1009" t="s">
        <v>1318</v>
      </c>
      <c r="F9" s="1009" t="s">
        <v>1319</v>
      </c>
      <c r="G9" s="1009" t="s">
        <v>1320</v>
      </c>
      <c r="H9" s="1009" t="s">
        <v>1321</v>
      </c>
      <c r="I9" s="1016" t="s">
        <v>1322</v>
      </c>
      <c r="J9" s="925"/>
      <c r="K9" s="925"/>
      <c r="L9" s="925"/>
      <c r="M9" s="926" t="s">
        <v>1314</v>
      </c>
      <c r="N9" s="926">
        <v>750</v>
      </c>
      <c r="O9" s="926">
        <v>35</v>
      </c>
      <c r="P9" s="925"/>
      <c r="Q9" s="925" t="s">
        <v>1314</v>
      </c>
      <c r="R9" s="925"/>
      <c r="S9" s="917"/>
    </row>
    <row r="10" spans="1:19" x14ac:dyDescent="0.25">
      <c r="A10" s="925"/>
      <c r="B10" s="932">
        <v>85</v>
      </c>
      <c r="C10" s="933">
        <v>500</v>
      </c>
      <c r="D10" s="934" t="s">
        <v>1308</v>
      </c>
      <c r="E10" s="930">
        <f>VLOOKUP($D$10,$M$3:$O$17,2,FALSE)</f>
        <v>500</v>
      </c>
      <c r="F10" s="930">
        <f>VLOOKUP($D$10,$M$3:$O$17,3,FALSE)</f>
        <v>35</v>
      </c>
      <c r="G10" s="934"/>
      <c r="H10" s="934" t="s">
        <v>651</v>
      </c>
      <c r="I10" s="935" t="s">
        <v>1323</v>
      </c>
      <c r="J10" s="925"/>
      <c r="K10" s="925"/>
      <c r="L10" s="925"/>
      <c r="M10" s="926" t="s">
        <v>1324</v>
      </c>
      <c r="N10" s="926">
        <v>750</v>
      </c>
      <c r="O10" s="926">
        <v>50</v>
      </c>
      <c r="P10" s="925"/>
      <c r="Q10" s="925" t="s">
        <v>1325</v>
      </c>
      <c r="R10" s="925"/>
      <c r="S10" s="917"/>
    </row>
    <row r="11" spans="1:19" x14ac:dyDescent="0.25">
      <c r="A11" s="925"/>
      <c r="B11" s="1017"/>
      <c r="C11" s="965"/>
      <c r="D11" s="965"/>
      <c r="E11" s="1018"/>
      <c r="F11" s="1018"/>
      <c r="G11" s="965"/>
      <c r="H11" s="1018"/>
      <c r="I11" s="1007"/>
      <c r="J11" s="925"/>
      <c r="K11" s="925"/>
      <c r="L11" s="925"/>
      <c r="M11" s="926"/>
      <c r="N11" s="926"/>
      <c r="O11" s="926"/>
      <c r="P11" s="925"/>
      <c r="Q11" s="925" t="s">
        <v>1326</v>
      </c>
      <c r="R11" s="925"/>
      <c r="S11" s="917"/>
    </row>
    <row r="12" spans="1:19" ht="48.75" customHeight="1" x14ac:dyDescent="0.25">
      <c r="A12" s="925"/>
      <c r="B12" s="1015" t="s">
        <v>1327</v>
      </c>
      <c r="C12" s="1009" t="s">
        <v>1328</v>
      </c>
      <c r="D12" s="1009" t="s">
        <v>1329</v>
      </c>
      <c r="E12" s="1009" t="s">
        <v>1330</v>
      </c>
      <c r="F12" s="1009" t="s">
        <v>1331</v>
      </c>
      <c r="G12" s="1009" t="s">
        <v>1332</v>
      </c>
      <c r="H12" s="1009" t="s">
        <v>1333</v>
      </c>
      <c r="I12" s="1016" t="s">
        <v>1334</v>
      </c>
      <c r="J12" s="925"/>
      <c r="K12" s="925"/>
      <c r="L12" s="925"/>
      <c r="M12" s="926" t="s">
        <v>1325</v>
      </c>
      <c r="N12" s="926">
        <v>1000</v>
      </c>
      <c r="O12" s="926">
        <v>35</v>
      </c>
      <c r="P12" s="925"/>
      <c r="Q12" s="925" t="s">
        <v>1335</v>
      </c>
      <c r="R12" s="925"/>
      <c r="S12" s="917"/>
    </row>
    <row r="13" spans="1:19" ht="51" customHeight="1" thickBot="1" x14ac:dyDescent="0.3">
      <c r="A13" s="925"/>
      <c r="B13" s="927" t="s">
        <v>651</v>
      </c>
      <c r="C13" s="920">
        <v>30</v>
      </c>
      <c r="D13" s="919" t="s">
        <v>482</v>
      </c>
      <c r="E13" s="931" t="s">
        <v>651</v>
      </c>
      <c r="F13" s="920">
        <v>2.25</v>
      </c>
      <c r="G13" s="920">
        <v>30</v>
      </c>
      <c r="H13" s="919" t="s">
        <v>482</v>
      </c>
      <c r="I13" s="936" t="s">
        <v>1336</v>
      </c>
      <c r="J13" s="925"/>
      <c r="K13" s="925"/>
      <c r="L13" s="925"/>
      <c r="M13" s="926" t="s">
        <v>1326</v>
      </c>
      <c r="N13" s="926">
        <v>1000</v>
      </c>
      <c r="O13" s="926">
        <v>50</v>
      </c>
      <c r="P13" s="925"/>
      <c r="Q13" s="925" t="s">
        <v>1337</v>
      </c>
      <c r="R13" s="925"/>
      <c r="S13" s="917"/>
    </row>
    <row r="14" spans="1:19" ht="15.75" thickBot="1" x14ac:dyDescent="0.3">
      <c r="A14" s="925"/>
      <c r="B14" s="666"/>
      <c r="C14" s="666"/>
      <c r="D14" s="666"/>
      <c r="E14" s="666"/>
      <c r="F14" s="666"/>
      <c r="G14" s="666"/>
      <c r="H14" s="666"/>
      <c r="I14" s="666"/>
      <c r="J14" s="925"/>
      <c r="K14" s="925"/>
      <c r="L14" s="925"/>
      <c r="M14" s="926"/>
      <c r="N14" s="926"/>
      <c r="O14" s="926"/>
      <c r="P14" s="925"/>
      <c r="Q14" s="925" t="s">
        <v>1338</v>
      </c>
      <c r="R14" s="925"/>
      <c r="S14" s="917"/>
    </row>
    <row r="15" spans="1:19" ht="15.75" thickBot="1" x14ac:dyDescent="0.3">
      <c r="A15" s="925"/>
      <c r="B15" s="1432" t="s">
        <v>1339</v>
      </c>
      <c r="C15" s="1433"/>
      <c r="D15" s="1433"/>
      <c r="E15" s="1433"/>
      <c r="F15" s="1433"/>
      <c r="G15" s="1434"/>
      <c r="H15" s="666"/>
      <c r="I15" s="666"/>
      <c r="J15" s="925"/>
      <c r="K15" s="925"/>
      <c r="L15" s="925"/>
      <c r="M15" s="926" t="s">
        <v>1340</v>
      </c>
      <c r="N15" s="926">
        <v>1500</v>
      </c>
      <c r="O15" s="926">
        <v>35</v>
      </c>
      <c r="P15" s="925"/>
      <c r="Q15" s="925"/>
      <c r="R15" s="925"/>
      <c r="S15" s="917"/>
    </row>
    <row r="16" spans="1:19" x14ac:dyDescent="0.25">
      <c r="A16" s="925"/>
      <c r="B16" s="1006"/>
      <c r="C16" s="965"/>
      <c r="D16" s="965"/>
      <c r="E16" s="965"/>
      <c r="F16" s="965"/>
      <c r="G16" s="1007"/>
      <c r="H16" s="666"/>
      <c r="I16" s="666"/>
      <c r="J16" s="925"/>
      <c r="K16" s="925"/>
      <c r="L16" s="925"/>
      <c r="M16" s="926" t="s">
        <v>1337</v>
      </c>
      <c r="N16" s="926">
        <v>1500</v>
      </c>
      <c r="O16" s="926">
        <v>50</v>
      </c>
      <c r="P16" s="925"/>
      <c r="Q16" s="925"/>
      <c r="R16" s="925"/>
      <c r="S16" s="917"/>
    </row>
    <row r="17" spans="1:19" ht="51" customHeight="1" x14ac:dyDescent="0.25">
      <c r="A17" s="925"/>
      <c r="B17" s="1019" t="s">
        <v>1345</v>
      </c>
      <c r="C17" s="1020" t="s">
        <v>1341</v>
      </c>
      <c r="D17" s="1020" t="s">
        <v>1342</v>
      </c>
      <c r="E17" s="1020" t="s">
        <v>1346</v>
      </c>
      <c r="F17" s="1021" t="s">
        <v>1343</v>
      </c>
      <c r="G17" s="1011" t="s">
        <v>1347</v>
      </c>
      <c r="H17" s="666"/>
      <c r="I17" s="666"/>
      <c r="J17" s="925"/>
      <c r="K17" s="925"/>
      <c r="L17" s="925"/>
      <c r="M17" s="926" t="s">
        <v>1338</v>
      </c>
      <c r="N17" s="926">
        <v>5000</v>
      </c>
      <c r="O17" s="926">
        <v>100</v>
      </c>
      <c r="P17" s="925"/>
      <c r="Q17" s="925"/>
      <c r="R17" s="925"/>
      <c r="S17" s="917"/>
    </row>
    <row r="18" spans="1:19" ht="19.5" customHeight="1" thickBot="1" x14ac:dyDescent="0.3">
      <c r="A18" s="925"/>
      <c r="B18" s="922">
        <v>13</v>
      </c>
      <c r="C18" s="921" t="s">
        <v>667</v>
      </c>
      <c r="D18" s="923">
        <v>25</v>
      </c>
      <c r="E18" s="921" t="s">
        <v>1344</v>
      </c>
      <c r="F18" s="924">
        <v>2</v>
      </c>
      <c r="G18" s="939" t="str">
        <f>IF('Pricing Schedule'!E5="PB","before","after")</f>
        <v>before</v>
      </c>
      <c r="H18" s="666"/>
      <c r="I18" s="666"/>
      <c r="J18" s="925"/>
      <c r="K18" s="925"/>
      <c r="L18" s="925"/>
      <c r="M18" s="925"/>
      <c r="N18" s="925"/>
      <c r="O18" s="925"/>
      <c r="P18" s="925"/>
      <c r="Q18" s="925"/>
      <c r="R18" s="925"/>
      <c r="S18" s="917"/>
    </row>
    <row r="19" spans="1:19" x14ac:dyDescent="0.25">
      <c r="A19" s="925"/>
      <c r="B19" s="965"/>
      <c r="C19" s="965"/>
      <c r="D19" s="965"/>
      <c r="E19" s="965"/>
      <c r="F19" s="965"/>
      <c r="G19" s="965"/>
      <c r="H19" s="666"/>
      <c r="I19" s="666"/>
      <c r="J19" s="925"/>
      <c r="K19" s="925"/>
      <c r="L19" s="925"/>
      <c r="M19" s="925"/>
      <c r="N19" s="925"/>
      <c r="O19" s="925"/>
      <c r="P19" s="925"/>
      <c r="Q19" s="925"/>
      <c r="R19" s="925"/>
      <c r="S19" s="917"/>
    </row>
    <row r="20" spans="1:19" x14ac:dyDescent="0.25">
      <c r="A20" s="925"/>
      <c r="B20" s="666"/>
      <c r="C20" s="666"/>
      <c r="D20" s="666"/>
      <c r="E20" s="666"/>
      <c r="F20" s="666"/>
      <c r="G20" s="666"/>
      <c r="H20" s="666"/>
      <c r="I20" s="666"/>
      <c r="J20" s="925"/>
      <c r="K20" s="925"/>
      <c r="L20" s="925"/>
      <c r="M20" s="925"/>
      <c r="N20" s="925"/>
      <c r="O20" s="925"/>
      <c r="P20" s="925"/>
      <c r="Q20" s="925"/>
      <c r="R20" s="925"/>
      <c r="S20" s="917"/>
    </row>
    <row r="21" spans="1:19" x14ac:dyDescent="0.25">
      <c r="A21" s="925"/>
      <c r="B21" s="925"/>
      <c r="C21" s="925"/>
      <c r="D21" s="925"/>
      <c r="E21" s="925"/>
      <c r="F21" s="925"/>
      <c r="G21" s="925"/>
      <c r="H21" s="925"/>
      <c r="I21" s="925"/>
      <c r="J21" s="925"/>
      <c r="K21" s="925"/>
      <c r="L21" s="925"/>
      <c r="M21" s="925"/>
      <c r="N21" s="925"/>
      <c r="O21" s="925"/>
      <c r="P21" s="925"/>
      <c r="Q21" s="925"/>
      <c r="R21" s="925"/>
      <c r="S21" s="917"/>
    </row>
    <row r="22" spans="1:19" x14ac:dyDescent="0.25">
      <c r="A22" s="917"/>
      <c r="B22" s="917"/>
      <c r="C22" s="917"/>
      <c r="D22" s="917"/>
      <c r="E22" s="917"/>
      <c r="F22" s="917"/>
      <c r="G22" s="917"/>
      <c r="H22" s="917"/>
      <c r="I22" s="917"/>
      <c r="J22" s="917"/>
      <c r="K22" s="917"/>
      <c r="L22" s="917"/>
      <c r="M22" s="917"/>
      <c r="N22" s="917"/>
      <c r="O22" s="917"/>
      <c r="P22" s="917"/>
      <c r="Q22" s="917"/>
      <c r="R22" s="917"/>
      <c r="S22" s="917"/>
    </row>
    <row r="23" spans="1:19" x14ac:dyDescent="0.25">
      <c r="A23" s="917"/>
      <c r="B23" s="917"/>
      <c r="C23" s="917"/>
      <c r="D23" s="917"/>
      <c r="E23" s="917"/>
      <c r="F23" s="917"/>
      <c r="G23" s="917"/>
      <c r="H23" s="917"/>
      <c r="I23" s="917"/>
      <c r="J23" s="917"/>
      <c r="K23" s="917"/>
      <c r="L23" s="917"/>
      <c r="M23" s="917"/>
      <c r="N23" s="917"/>
      <c r="O23" s="917"/>
      <c r="P23" s="917"/>
      <c r="Q23" s="917"/>
      <c r="R23" s="917"/>
      <c r="S23" s="917"/>
    </row>
    <row r="24" spans="1:19" x14ac:dyDescent="0.25">
      <c r="A24" s="917"/>
      <c r="B24" s="917"/>
      <c r="C24" s="917"/>
      <c r="D24" s="917"/>
      <c r="E24" s="917"/>
      <c r="F24" s="917"/>
      <c r="G24" s="917"/>
      <c r="H24" s="917"/>
      <c r="I24" s="917"/>
      <c r="J24" s="917"/>
      <c r="K24" s="917"/>
      <c r="L24" s="917"/>
      <c r="M24" s="917"/>
      <c r="N24" s="917"/>
      <c r="O24" s="917"/>
      <c r="P24" s="917"/>
      <c r="Q24" s="917"/>
      <c r="R24" s="917"/>
      <c r="S24" s="917"/>
    </row>
    <row r="25" spans="1:19" x14ac:dyDescent="0.25">
      <c r="A25" s="917"/>
      <c r="B25" s="917"/>
      <c r="C25" s="917"/>
      <c r="D25" s="917"/>
      <c r="E25" s="917"/>
      <c r="F25" s="917"/>
      <c r="G25" s="917"/>
      <c r="H25" s="917"/>
      <c r="I25" s="917"/>
      <c r="J25" s="917"/>
      <c r="K25" s="917"/>
      <c r="L25" s="917"/>
      <c r="M25" s="917"/>
      <c r="N25" s="917"/>
      <c r="O25" s="917"/>
      <c r="P25" s="917"/>
      <c r="Q25" s="917"/>
      <c r="R25" s="917"/>
      <c r="S25" s="917"/>
    </row>
    <row r="26" spans="1:19" x14ac:dyDescent="0.25">
      <c r="A26" s="917"/>
      <c r="B26" s="917"/>
      <c r="C26" s="917"/>
      <c r="D26" s="917"/>
      <c r="E26" s="917"/>
      <c r="F26" s="917"/>
      <c r="G26" s="917"/>
      <c r="H26" s="917"/>
      <c r="I26" s="917"/>
      <c r="J26" s="917"/>
      <c r="K26" s="917"/>
      <c r="L26" s="917"/>
      <c r="M26" s="917"/>
      <c r="N26" s="917"/>
      <c r="O26" s="917"/>
      <c r="P26" s="917"/>
      <c r="Q26" s="917"/>
      <c r="R26" s="917"/>
      <c r="S26" s="917"/>
    </row>
    <row r="27" spans="1:19" x14ac:dyDescent="0.25">
      <c r="A27" s="917"/>
      <c r="B27" s="917"/>
      <c r="C27" s="917"/>
      <c r="D27" s="917"/>
      <c r="E27" s="917"/>
      <c r="F27" s="917"/>
      <c r="G27" s="917"/>
      <c r="H27" s="917"/>
      <c r="I27" s="917"/>
      <c r="J27" s="917"/>
      <c r="K27" s="917"/>
      <c r="L27" s="917"/>
      <c r="M27" s="917"/>
      <c r="N27" s="917"/>
      <c r="O27" s="917"/>
      <c r="P27" s="917"/>
      <c r="Q27" s="917"/>
      <c r="R27" s="917"/>
      <c r="S27" s="917"/>
    </row>
    <row r="28" spans="1:19" x14ac:dyDescent="0.25">
      <c r="A28" s="917"/>
      <c r="B28" s="917"/>
      <c r="C28" s="917"/>
      <c r="D28" s="917"/>
      <c r="E28" s="917"/>
      <c r="F28" s="917"/>
      <c r="G28" s="917"/>
      <c r="H28" s="917"/>
      <c r="I28" s="917"/>
      <c r="J28" s="917"/>
      <c r="K28" s="917"/>
      <c r="L28" s="917"/>
      <c r="M28" s="917"/>
      <c r="N28" s="917"/>
      <c r="O28" s="917"/>
      <c r="P28" s="917"/>
      <c r="Q28" s="917"/>
      <c r="R28" s="917"/>
      <c r="S28" s="917"/>
    </row>
    <row r="29" spans="1:19" x14ac:dyDescent="0.25">
      <c r="A29" s="917"/>
      <c r="B29" s="917"/>
      <c r="C29" s="917"/>
      <c r="D29" s="917"/>
      <c r="E29" s="917"/>
      <c r="F29" s="917"/>
      <c r="G29" s="917"/>
      <c r="H29" s="917"/>
      <c r="I29" s="917"/>
      <c r="J29" s="917"/>
      <c r="K29" s="917"/>
      <c r="L29" s="917"/>
      <c r="M29" s="917"/>
      <c r="N29" s="917"/>
      <c r="O29" s="917"/>
      <c r="P29" s="917"/>
      <c r="Q29" s="917"/>
      <c r="R29" s="917"/>
      <c r="S29" s="917"/>
    </row>
    <row r="30" spans="1:19" x14ac:dyDescent="0.25">
      <c r="A30" s="917"/>
      <c r="B30" s="917"/>
      <c r="C30" s="917"/>
      <c r="D30" s="917"/>
      <c r="E30" s="917"/>
      <c r="F30" s="917"/>
      <c r="G30" s="917"/>
      <c r="H30" s="917"/>
      <c r="I30" s="917"/>
      <c r="J30" s="917"/>
      <c r="K30" s="917"/>
      <c r="L30" s="917"/>
      <c r="M30" s="917"/>
      <c r="N30" s="917"/>
      <c r="O30" s="917"/>
      <c r="P30" s="917"/>
      <c r="Q30" s="917"/>
      <c r="R30" s="917"/>
      <c r="S30" s="917"/>
    </row>
    <row r="31" spans="1:19" x14ac:dyDescent="0.25">
      <c r="A31" s="917"/>
      <c r="B31" s="917"/>
      <c r="C31" s="917"/>
      <c r="D31" s="917"/>
      <c r="E31" s="917"/>
      <c r="F31" s="917"/>
      <c r="G31" s="917"/>
      <c r="H31" s="917"/>
      <c r="I31" s="917"/>
      <c r="J31" s="917"/>
      <c r="K31" s="917"/>
      <c r="L31" s="917"/>
      <c r="M31" s="917"/>
      <c r="N31" s="917"/>
      <c r="O31" s="917"/>
      <c r="P31" s="917"/>
      <c r="Q31" s="917"/>
      <c r="R31" s="917"/>
      <c r="S31" s="917"/>
    </row>
    <row r="32" spans="1:19" x14ac:dyDescent="0.25">
      <c r="A32" s="917"/>
      <c r="B32" s="917"/>
      <c r="C32" s="917"/>
      <c r="D32" s="917"/>
      <c r="E32" s="917"/>
      <c r="F32" s="917"/>
      <c r="G32" s="917"/>
      <c r="H32" s="917"/>
      <c r="I32" s="917"/>
      <c r="J32" s="917"/>
      <c r="K32" s="917"/>
      <c r="L32" s="917"/>
      <c r="M32" s="917"/>
      <c r="N32" s="917"/>
      <c r="O32" s="917"/>
      <c r="P32" s="917"/>
      <c r="Q32" s="917"/>
      <c r="R32" s="917"/>
      <c r="S32" s="917"/>
    </row>
    <row r="33" spans="1:19" x14ac:dyDescent="0.25">
      <c r="A33" s="917"/>
      <c r="B33" s="917"/>
      <c r="C33" s="917"/>
      <c r="D33" s="917"/>
      <c r="E33" s="917"/>
      <c r="F33" s="917"/>
      <c r="G33" s="917"/>
      <c r="H33" s="917"/>
      <c r="I33" s="917"/>
      <c r="J33" s="917"/>
      <c r="K33" s="917"/>
      <c r="L33" s="917"/>
      <c r="M33" s="917"/>
      <c r="N33" s="917"/>
      <c r="O33" s="917"/>
      <c r="P33" s="917"/>
      <c r="Q33" s="917"/>
      <c r="R33" s="917"/>
      <c r="S33" s="917"/>
    </row>
    <row r="34" spans="1:19" x14ac:dyDescent="0.25">
      <c r="A34" s="917"/>
      <c r="B34" s="917"/>
      <c r="C34" s="917"/>
      <c r="D34" s="917"/>
      <c r="E34" s="917"/>
      <c r="F34" s="917"/>
      <c r="G34" s="917"/>
      <c r="H34" s="917"/>
      <c r="I34" s="917"/>
      <c r="J34" s="917"/>
      <c r="K34" s="917"/>
      <c r="L34" s="917"/>
      <c r="M34" s="917"/>
      <c r="N34" s="917"/>
      <c r="O34" s="917"/>
      <c r="P34" s="917"/>
      <c r="Q34" s="917"/>
      <c r="R34" s="917"/>
      <c r="S34" s="917"/>
    </row>
    <row r="35" spans="1:19" x14ac:dyDescent="0.25">
      <c r="A35" s="917"/>
      <c r="B35" s="917"/>
      <c r="C35" s="917"/>
      <c r="D35" s="917"/>
      <c r="E35" s="917"/>
      <c r="F35" s="917"/>
      <c r="G35" s="917"/>
      <c r="H35" s="917"/>
      <c r="I35" s="917"/>
      <c r="J35" s="917"/>
      <c r="K35" s="917"/>
      <c r="L35" s="917"/>
      <c r="M35" s="917"/>
      <c r="N35" s="917"/>
      <c r="O35" s="917"/>
      <c r="P35" s="917"/>
      <c r="Q35" s="917"/>
      <c r="R35" s="917"/>
      <c r="S35" s="917"/>
    </row>
    <row r="36" spans="1:19" x14ac:dyDescent="0.25">
      <c r="A36" s="917"/>
      <c r="B36" s="917"/>
      <c r="C36" s="917"/>
      <c r="D36" s="917"/>
      <c r="E36" s="917"/>
      <c r="F36" s="917"/>
      <c r="G36" s="917"/>
      <c r="H36" s="917"/>
      <c r="I36" s="917"/>
      <c r="J36" s="917"/>
      <c r="K36" s="917"/>
      <c r="L36" s="917"/>
      <c r="M36" s="917"/>
      <c r="N36" s="917"/>
      <c r="O36" s="917"/>
      <c r="P36" s="917"/>
      <c r="Q36" s="917"/>
      <c r="R36" s="917"/>
      <c r="S36" s="917"/>
    </row>
  </sheetData>
  <sheetProtection algorithmName="SHA-512" hashValue="GOntl6T66J1JJ9lCSm5RJZtC9E1mihKem6kd1Etpjr7Ydqe7f/ghnQ7UPeyf2nss5FDgCEaEZW0D5LGEztTQEA==" saltValue="JQZ3jvqPtb7U3baEL+QfjA==" spinCount="100000" sheet="1" objects="1" scenarios="1" selectLockedCells="1"/>
  <mergeCells count="4">
    <mergeCell ref="B2:I2"/>
    <mergeCell ref="M2:O2"/>
    <mergeCell ref="B7:I7"/>
    <mergeCell ref="B15:G15"/>
  </mergeCells>
  <conditionalFormatting sqref="B13">
    <cfRule type="cellIs" dxfId="77" priority="2" operator="equal">
      <formula>"No"</formula>
    </cfRule>
  </conditionalFormatting>
  <conditionalFormatting sqref="E13">
    <cfRule type="cellIs" dxfId="76" priority="1" operator="equal">
      <formula>"No"</formula>
    </cfRule>
  </conditionalFormatting>
  <dataValidations count="10">
    <dataValidation type="list" allowBlank="1" showInputMessage="1" showErrorMessage="1" sqref="C18" xr:uid="{46D98C57-AE1C-44DC-88C7-342F4ECC1AB2}">
      <formula1>"A, S, Q, M, R"</formula1>
    </dataValidation>
    <dataValidation type="list" allowBlank="1" showInputMessage="1" showErrorMessage="1" sqref="E18" xr:uid="{7C8E0D4C-E74B-4AB4-816C-E8856FD98216}">
      <formula1>"No, CPI Standard, CPI Capped, ECI Standard, ECI Capped"</formula1>
    </dataValidation>
    <dataValidation type="list" allowBlank="1" showInputMessage="1" showErrorMessage="1" sqref="I10" xr:uid="{D6146AF6-1CE9-4CCD-ADC0-DBD05766DC52}">
      <formula1>"Invoice, Case"</formula1>
    </dataValidation>
    <dataValidation type="list" allowBlank="1" showInputMessage="1" showErrorMessage="1" sqref="D13" xr:uid="{5B728C72-BF39-4D7B-BAC2-FF63B22E2878}">
      <formula1>"%, $, N, D"</formula1>
    </dataValidation>
    <dataValidation type="list" allowBlank="1" showInputMessage="1" showErrorMessage="1" sqref="H13" xr:uid="{C9938A30-E14E-4809-AA01-3E0D398FB7B8}">
      <formula1>"%, $"</formula1>
    </dataValidation>
    <dataValidation type="list" allowBlank="1" showInputMessage="1" showErrorMessage="1" sqref="G10" xr:uid="{2448160D-83D4-4CE7-8609-A9080796072D}">
      <formula1>"ACH, Credit, Cash, Credit Card"</formula1>
    </dataValidation>
    <dataValidation type="list" allowBlank="1" showInputMessage="1" showErrorMessage="1" sqref="D10" xr:uid="{5F72896C-4436-46E9-A9FF-94523EE6CEA6}">
      <formula1>$Q$3:$Q$14</formula1>
    </dataValidation>
    <dataValidation type="list" allowBlank="1" showInputMessage="1" showErrorMessage="1" sqref="C5 B13 E13 E5:F5 H10" xr:uid="{4E4A2DFB-10EB-46FB-82F3-CD938B1A62FA}">
      <formula1>"Yes, No"</formula1>
    </dataValidation>
    <dataValidation type="list" allowBlank="1" showInputMessage="1" showErrorMessage="1" sqref="D5" xr:uid="{51A2E3D1-962A-4A9F-8CEC-BFE5E7284684}">
      <formula1>"Corporate, Franchisor, GPO"</formula1>
    </dataValidation>
    <dataValidation type="list" allowBlank="1" showInputMessage="1" showErrorMessage="1" sqref="G18" xr:uid="{778A24C6-969E-495F-83F6-9C0CA34D5770}">
      <formula1>"before, after"</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E89B32-F361-4FB2-ADEA-8EF0D1891B65}">
  <sheetPr codeName="Sheet16"/>
  <dimension ref="A1:U151"/>
  <sheetViews>
    <sheetView showGridLines="0" workbookViewId="0">
      <selection activeCell="D5" sqref="D5"/>
    </sheetView>
  </sheetViews>
  <sheetFormatPr defaultRowHeight="15" x14ac:dyDescent="0.25"/>
  <cols>
    <col min="1" max="1" width="4.7109375" customWidth="1"/>
    <col min="2" max="2" width="10" customWidth="1"/>
    <col min="3" max="3" width="11.5703125" customWidth="1"/>
    <col min="4" max="4" width="12.28515625" customWidth="1"/>
    <col min="5" max="5" width="13.7109375" customWidth="1"/>
    <col min="6" max="6" width="12.7109375" customWidth="1"/>
    <col min="7" max="7" width="13.5703125" customWidth="1"/>
    <col min="8" max="8" width="12.140625" customWidth="1"/>
    <col min="9" max="9" width="15.85546875" customWidth="1"/>
    <col min="10" max="10" width="12.85546875" customWidth="1"/>
    <col min="11" max="11" width="14.42578125" customWidth="1"/>
    <col min="12" max="12" width="12.85546875" customWidth="1"/>
    <col min="13" max="13" width="12.140625" customWidth="1"/>
    <col min="14" max="14" width="25.28515625" customWidth="1"/>
    <col min="16" max="16" width="0" hidden="1" customWidth="1"/>
  </cols>
  <sheetData>
    <row r="1" spans="1:21" ht="15.75" thickBot="1" x14ac:dyDescent="0.3">
      <c r="A1" s="666"/>
      <c r="B1" s="666"/>
      <c r="C1" s="666"/>
      <c r="D1" s="666"/>
      <c r="E1" s="666"/>
      <c r="F1" s="666"/>
      <c r="G1" s="666"/>
      <c r="H1" s="666"/>
      <c r="I1" s="666"/>
      <c r="J1" s="666"/>
      <c r="K1" s="666"/>
      <c r="L1" s="666"/>
      <c r="M1" s="666"/>
      <c r="N1" s="666"/>
      <c r="O1" s="666"/>
    </row>
    <row r="2" spans="1:21" ht="15.75" thickBot="1" x14ac:dyDescent="0.3">
      <c r="A2" s="666"/>
      <c r="B2" s="1435" t="s">
        <v>1367</v>
      </c>
      <c r="C2" s="1429"/>
      <c r="D2" s="1429"/>
      <c r="E2" s="1429"/>
      <c r="F2" s="1429"/>
      <c r="G2" s="1429"/>
      <c r="H2" s="1429"/>
      <c r="I2" s="1429"/>
      <c r="J2" s="1429"/>
      <c r="K2" s="1429"/>
      <c r="L2" s="1429"/>
      <c r="M2" s="1429"/>
      <c r="N2" s="1430"/>
      <c r="O2" s="666"/>
      <c r="U2" s="998">
        <f>IF(ISNA(U4),0,1)</f>
        <v>0</v>
      </c>
    </row>
    <row r="3" spans="1:21" ht="15.75" thickBot="1" x14ac:dyDescent="0.3">
      <c r="A3" s="666"/>
      <c r="B3" s="965"/>
      <c r="C3" s="965"/>
      <c r="D3" s="965"/>
      <c r="E3" s="965"/>
      <c r="F3" s="965"/>
      <c r="G3" s="965"/>
      <c r="H3" s="965"/>
      <c r="I3" s="965"/>
      <c r="J3" s="965"/>
      <c r="K3" s="965"/>
      <c r="L3" s="965"/>
      <c r="M3" s="965"/>
      <c r="N3" s="965"/>
      <c r="O3" s="666"/>
      <c r="U3" s="998">
        <f>IF(ISNA(U5),0,1)</f>
        <v>0</v>
      </c>
    </row>
    <row r="4" spans="1:21" ht="54" customHeight="1" x14ac:dyDescent="0.25">
      <c r="A4" s="666"/>
      <c r="B4" s="966" t="s">
        <v>1368</v>
      </c>
      <c r="C4" s="967" t="s">
        <v>1369</v>
      </c>
      <c r="D4" s="967" t="s">
        <v>1494</v>
      </c>
      <c r="E4" s="967" t="s">
        <v>1370</v>
      </c>
      <c r="F4" s="967" t="s">
        <v>1371</v>
      </c>
      <c r="G4" s="967" t="s">
        <v>1372</v>
      </c>
      <c r="H4" s="967" t="s">
        <v>1373</v>
      </c>
      <c r="I4" s="967" t="s">
        <v>1374</v>
      </c>
      <c r="J4" s="967" t="s">
        <v>1375</v>
      </c>
      <c r="K4" s="967" t="s">
        <v>1376</v>
      </c>
      <c r="L4" s="967" t="s">
        <v>1377</v>
      </c>
      <c r="M4" s="968" t="s">
        <v>1378</v>
      </c>
      <c r="N4" s="969" t="s">
        <v>1379</v>
      </c>
      <c r="O4" s="666"/>
      <c r="U4" s="998" t="e">
        <f>MATCH("Yes",K11:K30,0)</f>
        <v>#N/A</v>
      </c>
    </row>
    <row r="5" spans="1:21" ht="15.75" thickBot="1" x14ac:dyDescent="0.3">
      <c r="A5" s="666"/>
      <c r="B5" s="927">
        <v>1</v>
      </c>
      <c r="C5" s="919"/>
      <c r="D5" s="919" t="s">
        <v>667</v>
      </c>
      <c r="E5" s="919" t="s">
        <v>1380</v>
      </c>
      <c r="F5" s="919" t="s">
        <v>1381</v>
      </c>
      <c r="G5" s="919" t="s">
        <v>651</v>
      </c>
      <c r="H5" s="919" t="s">
        <v>653</v>
      </c>
      <c r="I5" s="919" t="s">
        <v>653</v>
      </c>
      <c r="J5" s="919" t="s">
        <v>651</v>
      </c>
      <c r="K5" s="919" t="s">
        <v>653</v>
      </c>
      <c r="L5" s="919" t="s">
        <v>653</v>
      </c>
      <c r="M5" s="971" t="str">
        <f>'Required Info to Submit'!F17</f>
        <v/>
      </c>
      <c r="N5" s="970" t="s">
        <v>653</v>
      </c>
      <c r="O5" s="666"/>
      <c r="U5" s="999" t="e">
        <f>MATCH("Yes",I11:I30,0)</f>
        <v>#N/A</v>
      </c>
    </row>
    <row r="6" spans="1:21" x14ac:dyDescent="0.25">
      <c r="A6" s="666"/>
      <c r="B6" s="965"/>
      <c r="C6" s="965"/>
      <c r="D6" s="965"/>
      <c r="E6" s="965"/>
      <c r="F6" s="965"/>
      <c r="G6" s="965"/>
      <c r="H6" s="965"/>
      <c r="I6" s="965"/>
      <c r="J6" s="965"/>
      <c r="K6" s="965"/>
      <c r="L6" s="965"/>
      <c r="M6" s="965"/>
      <c r="N6" s="965"/>
      <c r="O6" s="666"/>
    </row>
    <row r="7" spans="1:21" ht="15.75" thickBot="1" x14ac:dyDescent="0.3">
      <c r="A7" s="666"/>
      <c r="B7" s="666"/>
      <c r="C7" s="666"/>
      <c r="D7" s="666"/>
      <c r="E7" s="666"/>
      <c r="F7" s="666"/>
      <c r="G7" s="666"/>
      <c r="H7" s="666"/>
      <c r="I7" s="666"/>
      <c r="J7" s="666"/>
      <c r="K7" s="666"/>
      <c r="L7" s="666"/>
      <c r="M7" s="666"/>
      <c r="N7" s="666"/>
      <c r="O7" s="666"/>
    </row>
    <row r="8" spans="1:21" ht="15.75" thickBot="1" x14ac:dyDescent="0.3">
      <c r="A8" s="666"/>
      <c r="B8" s="1436" t="s">
        <v>1382</v>
      </c>
      <c r="C8" s="1429"/>
      <c r="D8" s="1429"/>
      <c r="E8" s="1429"/>
      <c r="F8" s="1429"/>
      <c r="G8" s="1429"/>
      <c r="H8" s="1429"/>
      <c r="I8" s="1429"/>
      <c r="J8" s="1429"/>
      <c r="K8" s="1429"/>
      <c r="L8" s="1429"/>
      <c r="M8" s="1429"/>
      <c r="N8" s="1430"/>
      <c r="O8" s="666"/>
    </row>
    <row r="9" spans="1:21" ht="15.75" thickBot="1" x14ac:dyDescent="0.3">
      <c r="A9" s="666"/>
      <c r="B9" s="965"/>
      <c r="C9" s="965"/>
      <c r="D9" s="965"/>
      <c r="E9" s="965"/>
      <c r="F9" s="965"/>
      <c r="G9" s="965"/>
      <c r="H9" s="965"/>
      <c r="I9" s="965"/>
      <c r="J9" s="965"/>
      <c r="K9" s="965"/>
      <c r="L9" s="965"/>
      <c r="M9" s="965"/>
      <c r="N9" s="965"/>
      <c r="O9" s="666"/>
    </row>
    <row r="10" spans="1:21" ht="33" customHeight="1" x14ac:dyDescent="0.25">
      <c r="A10" s="666"/>
      <c r="B10" s="974" t="s">
        <v>1368</v>
      </c>
      <c r="C10" s="968" t="s">
        <v>1383</v>
      </c>
      <c r="D10" s="968" t="s">
        <v>1384</v>
      </c>
      <c r="E10" s="968" t="s">
        <v>1385</v>
      </c>
      <c r="F10" s="975" t="s">
        <v>1386</v>
      </c>
      <c r="G10" s="975" t="s">
        <v>1387</v>
      </c>
      <c r="H10" s="968" t="s">
        <v>1348</v>
      </c>
      <c r="I10" s="968" t="s">
        <v>1388</v>
      </c>
      <c r="J10" s="968" t="s">
        <v>1389</v>
      </c>
      <c r="K10" s="968" t="s">
        <v>1390</v>
      </c>
      <c r="L10" s="968" t="s">
        <v>1391</v>
      </c>
      <c r="M10" s="968" t="s">
        <v>1329</v>
      </c>
      <c r="N10" s="969" t="s">
        <v>1392</v>
      </c>
      <c r="O10" s="666"/>
    </row>
    <row r="11" spans="1:21" x14ac:dyDescent="0.25">
      <c r="A11" s="666"/>
      <c r="B11" s="976">
        <v>1</v>
      </c>
      <c r="C11" s="977">
        <v>15</v>
      </c>
      <c r="D11" s="978"/>
      <c r="E11" s="934"/>
      <c r="F11" s="987"/>
      <c r="G11" s="934"/>
      <c r="H11" s="978" t="s">
        <v>482</v>
      </c>
      <c r="I11" s="1024" t="s">
        <v>653</v>
      </c>
      <c r="J11" s="988">
        <v>2.25</v>
      </c>
      <c r="K11" s="934" t="s">
        <v>653</v>
      </c>
      <c r="L11" s="988">
        <v>30</v>
      </c>
      <c r="M11" s="990" t="s">
        <v>482</v>
      </c>
      <c r="N11" s="992" t="s">
        <v>103</v>
      </c>
      <c r="O11" s="666"/>
      <c r="P11">
        <f>'Agreement Worksheet'!$F$13</f>
        <v>2.25</v>
      </c>
    </row>
    <row r="12" spans="1:21" x14ac:dyDescent="0.25">
      <c r="A12" s="666"/>
      <c r="B12" s="979">
        <v>1</v>
      </c>
      <c r="C12" s="977">
        <v>16</v>
      </c>
      <c r="D12" s="980"/>
      <c r="E12" s="934"/>
      <c r="F12" s="984"/>
      <c r="G12" s="934"/>
      <c r="H12" s="978" t="s">
        <v>482</v>
      </c>
      <c r="I12" s="1024" t="s">
        <v>653</v>
      </c>
      <c r="J12" s="988">
        <v>2.25</v>
      </c>
      <c r="K12" s="934" t="s">
        <v>653</v>
      </c>
      <c r="L12" s="988">
        <v>30</v>
      </c>
      <c r="M12" s="990" t="s">
        <v>482</v>
      </c>
      <c r="N12" s="993" t="s">
        <v>102</v>
      </c>
      <c r="O12" s="666"/>
      <c r="P12" s="963">
        <f>'Agreement Worksheet'!$C$13</f>
        <v>30</v>
      </c>
    </row>
    <row r="13" spans="1:21" ht="26.25" x14ac:dyDescent="0.25">
      <c r="A13" s="666"/>
      <c r="B13" s="976">
        <v>1</v>
      </c>
      <c r="C13" s="977">
        <v>17</v>
      </c>
      <c r="D13" s="978"/>
      <c r="E13" s="934"/>
      <c r="F13" s="984"/>
      <c r="G13" s="934"/>
      <c r="H13" s="978" t="s">
        <v>482</v>
      </c>
      <c r="I13" s="1024" t="s">
        <v>653</v>
      </c>
      <c r="J13" s="988">
        <v>2.25</v>
      </c>
      <c r="K13" s="934" t="s">
        <v>653</v>
      </c>
      <c r="L13" s="988">
        <v>30</v>
      </c>
      <c r="M13" s="990" t="s">
        <v>482</v>
      </c>
      <c r="N13" s="993" t="s">
        <v>101</v>
      </c>
      <c r="O13" s="666"/>
      <c r="P13" s="963" t="str">
        <f>'Agreement Worksheet'!$D$13</f>
        <v>%</v>
      </c>
    </row>
    <row r="14" spans="1:21" x14ac:dyDescent="0.25">
      <c r="A14" s="666"/>
      <c r="B14" s="976">
        <v>1</v>
      </c>
      <c r="C14" s="977">
        <v>18</v>
      </c>
      <c r="D14" s="981"/>
      <c r="E14" s="934"/>
      <c r="F14" s="984"/>
      <c r="G14" s="972"/>
      <c r="H14" s="978" t="s">
        <v>482</v>
      </c>
      <c r="I14" s="1024" t="s">
        <v>653</v>
      </c>
      <c r="J14" s="988">
        <v>2.25</v>
      </c>
      <c r="K14" s="934" t="s">
        <v>653</v>
      </c>
      <c r="L14" s="988">
        <v>30</v>
      </c>
      <c r="M14" s="990" t="s">
        <v>482</v>
      </c>
      <c r="N14" s="993" t="s">
        <v>100</v>
      </c>
      <c r="O14" s="666"/>
    </row>
    <row r="15" spans="1:21" ht="26.25" x14ac:dyDescent="0.25">
      <c r="A15" s="666"/>
      <c r="B15" s="976">
        <v>1</v>
      </c>
      <c r="C15" s="977">
        <v>19</v>
      </c>
      <c r="D15" s="981"/>
      <c r="E15" s="934"/>
      <c r="F15" s="984"/>
      <c r="G15" s="972"/>
      <c r="H15" s="978" t="s">
        <v>482</v>
      </c>
      <c r="I15" s="1024" t="s">
        <v>653</v>
      </c>
      <c r="J15" s="988">
        <v>2.25</v>
      </c>
      <c r="K15" s="934" t="s">
        <v>653</v>
      </c>
      <c r="L15" s="988">
        <v>30</v>
      </c>
      <c r="M15" s="990" t="s">
        <v>482</v>
      </c>
      <c r="N15" s="993" t="s">
        <v>104</v>
      </c>
      <c r="O15" s="666"/>
    </row>
    <row r="16" spans="1:21" ht="26.25" x14ac:dyDescent="0.25">
      <c r="A16" s="666"/>
      <c r="B16" s="976">
        <v>1</v>
      </c>
      <c r="C16" s="977">
        <v>20</v>
      </c>
      <c r="D16" s="981"/>
      <c r="E16" s="934"/>
      <c r="F16" s="984"/>
      <c r="G16" s="972"/>
      <c r="H16" s="978" t="s">
        <v>482</v>
      </c>
      <c r="I16" s="1024" t="s">
        <v>653</v>
      </c>
      <c r="J16" s="988">
        <v>2.25</v>
      </c>
      <c r="K16" s="934" t="s">
        <v>653</v>
      </c>
      <c r="L16" s="988">
        <v>30</v>
      </c>
      <c r="M16" s="990" t="s">
        <v>482</v>
      </c>
      <c r="N16" s="993" t="s">
        <v>99</v>
      </c>
      <c r="O16" s="666"/>
    </row>
    <row r="17" spans="1:15" x14ac:dyDescent="0.25">
      <c r="A17" s="666"/>
      <c r="B17" s="976">
        <v>1</v>
      </c>
      <c r="C17" s="977">
        <v>21</v>
      </c>
      <c r="D17" s="981"/>
      <c r="E17" s="934"/>
      <c r="F17" s="984"/>
      <c r="G17" s="972"/>
      <c r="H17" s="978" t="s">
        <v>482</v>
      </c>
      <c r="I17" s="1024" t="s">
        <v>653</v>
      </c>
      <c r="J17" s="988">
        <v>2.25</v>
      </c>
      <c r="K17" s="934" t="s">
        <v>653</v>
      </c>
      <c r="L17" s="988">
        <v>30</v>
      </c>
      <c r="M17" s="990" t="s">
        <v>482</v>
      </c>
      <c r="N17" s="993" t="s">
        <v>98</v>
      </c>
      <c r="O17" s="666"/>
    </row>
    <row r="18" spans="1:15" x14ac:dyDescent="0.25">
      <c r="A18" s="666"/>
      <c r="B18" s="976">
        <v>1</v>
      </c>
      <c r="C18" s="977">
        <v>22</v>
      </c>
      <c r="D18" s="981"/>
      <c r="E18" s="934"/>
      <c r="F18" s="984"/>
      <c r="G18" s="972"/>
      <c r="H18" s="978" t="s">
        <v>482</v>
      </c>
      <c r="I18" s="1024" t="s">
        <v>653</v>
      </c>
      <c r="J18" s="988">
        <v>2.25</v>
      </c>
      <c r="K18" s="934" t="s">
        <v>653</v>
      </c>
      <c r="L18" s="988">
        <v>30</v>
      </c>
      <c r="M18" s="990" t="s">
        <v>482</v>
      </c>
      <c r="N18" s="993" t="s">
        <v>97</v>
      </c>
      <c r="O18" s="666"/>
    </row>
    <row r="19" spans="1:15" x14ac:dyDescent="0.25">
      <c r="A19" s="666"/>
      <c r="B19" s="976">
        <v>1</v>
      </c>
      <c r="C19" s="977">
        <v>23</v>
      </c>
      <c r="D19" s="981"/>
      <c r="E19" s="934"/>
      <c r="F19" s="984"/>
      <c r="G19" s="972"/>
      <c r="H19" s="978" t="s">
        <v>482</v>
      </c>
      <c r="I19" s="1024" t="s">
        <v>653</v>
      </c>
      <c r="J19" s="988">
        <v>2.25</v>
      </c>
      <c r="K19" s="934" t="s">
        <v>653</v>
      </c>
      <c r="L19" s="988">
        <v>30</v>
      </c>
      <c r="M19" s="990" t="s">
        <v>482</v>
      </c>
      <c r="N19" s="993" t="s">
        <v>96</v>
      </c>
      <c r="O19" s="666"/>
    </row>
    <row r="20" spans="1:15" x14ac:dyDescent="0.25">
      <c r="A20" s="666"/>
      <c r="B20" s="976">
        <v>1</v>
      </c>
      <c r="C20" s="977">
        <v>24</v>
      </c>
      <c r="D20" s="981"/>
      <c r="E20" s="934"/>
      <c r="F20" s="984"/>
      <c r="G20" s="972"/>
      <c r="H20" s="978" t="s">
        <v>482</v>
      </c>
      <c r="I20" s="1024" t="s">
        <v>653</v>
      </c>
      <c r="J20" s="988">
        <v>2.25</v>
      </c>
      <c r="K20" s="934" t="s">
        <v>653</v>
      </c>
      <c r="L20" s="988">
        <v>30</v>
      </c>
      <c r="M20" s="990" t="s">
        <v>482</v>
      </c>
      <c r="N20" s="993" t="s">
        <v>95</v>
      </c>
      <c r="O20" s="666"/>
    </row>
    <row r="21" spans="1:15" x14ac:dyDescent="0.25">
      <c r="A21" s="666"/>
      <c r="B21" s="976">
        <v>1</v>
      </c>
      <c r="C21" s="977">
        <v>25</v>
      </c>
      <c r="D21" s="981"/>
      <c r="E21" s="934" t="s">
        <v>1393</v>
      </c>
      <c r="F21" s="984"/>
      <c r="G21" s="972"/>
      <c r="H21" s="978" t="s">
        <v>482</v>
      </c>
      <c r="I21" s="1024" t="s">
        <v>653</v>
      </c>
      <c r="J21" s="988">
        <v>2.25</v>
      </c>
      <c r="K21" s="934" t="s">
        <v>653</v>
      </c>
      <c r="L21" s="988">
        <v>30</v>
      </c>
      <c r="M21" s="990" t="s">
        <v>482</v>
      </c>
      <c r="N21" s="993" t="s">
        <v>94</v>
      </c>
      <c r="O21" s="666"/>
    </row>
    <row r="22" spans="1:15" x14ac:dyDescent="0.25">
      <c r="A22" s="666"/>
      <c r="B22" s="976">
        <v>1</v>
      </c>
      <c r="C22" s="977">
        <v>26</v>
      </c>
      <c r="D22" s="981"/>
      <c r="E22" s="934"/>
      <c r="F22" s="984"/>
      <c r="G22" s="972"/>
      <c r="H22" s="978" t="s">
        <v>482</v>
      </c>
      <c r="I22" s="1024" t="s">
        <v>653</v>
      </c>
      <c r="J22" s="988">
        <v>2.25</v>
      </c>
      <c r="K22" s="934" t="s">
        <v>653</v>
      </c>
      <c r="L22" s="988">
        <v>30</v>
      </c>
      <c r="M22" s="990" t="s">
        <v>482</v>
      </c>
      <c r="N22" s="993" t="s">
        <v>93</v>
      </c>
      <c r="O22" s="666"/>
    </row>
    <row r="23" spans="1:15" x14ac:dyDescent="0.25">
      <c r="A23" s="666"/>
      <c r="B23" s="976">
        <v>1</v>
      </c>
      <c r="C23" s="977">
        <v>29</v>
      </c>
      <c r="D23" s="981"/>
      <c r="E23" s="934"/>
      <c r="F23" s="984"/>
      <c r="G23" s="972"/>
      <c r="H23" s="978" t="s">
        <v>482</v>
      </c>
      <c r="I23" s="1024" t="s">
        <v>653</v>
      </c>
      <c r="J23" s="988">
        <v>2.25</v>
      </c>
      <c r="K23" s="934" t="s">
        <v>653</v>
      </c>
      <c r="L23" s="988">
        <v>30</v>
      </c>
      <c r="M23" s="990" t="s">
        <v>482</v>
      </c>
      <c r="N23" s="993" t="s">
        <v>92</v>
      </c>
      <c r="O23" s="666"/>
    </row>
    <row r="24" spans="1:15" x14ac:dyDescent="0.25">
      <c r="A24" s="666"/>
      <c r="B24" s="976">
        <v>1</v>
      </c>
      <c r="C24" s="977">
        <v>30</v>
      </c>
      <c r="D24" s="981"/>
      <c r="E24" s="934"/>
      <c r="F24" s="984"/>
      <c r="G24" s="972"/>
      <c r="H24" s="978" t="s">
        <v>482</v>
      </c>
      <c r="I24" s="1024" t="s">
        <v>653</v>
      </c>
      <c r="J24" s="988">
        <v>2.25</v>
      </c>
      <c r="K24" s="934" t="s">
        <v>653</v>
      </c>
      <c r="L24" s="988">
        <v>30</v>
      </c>
      <c r="M24" s="990" t="s">
        <v>482</v>
      </c>
      <c r="N24" s="993" t="s">
        <v>91</v>
      </c>
      <c r="O24" s="666"/>
    </row>
    <row r="25" spans="1:15" x14ac:dyDescent="0.25">
      <c r="A25" s="666"/>
      <c r="B25" s="976">
        <v>1</v>
      </c>
      <c r="C25" s="977">
        <v>31</v>
      </c>
      <c r="D25" s="981"/>
      <c r="E25" s="934"/>
      <c r="F25" s="984"/>
      <c r="G25" s="972"/>
      <c r="H25" s="978" t="s">
        <v>482</v>
      </c>
      <c r="I25" s="1024" t="s">
        <v>653</v>
      </c>
      <c r="J25" s="988">
        <v>2.25</v>
      </c>
      <c r="K25" s="934" t="s">
        <v>653</v>
      </c>
      <c r="L25" s="988">
        <v>30</v>
      </c>
      <c r="M25" s="990" t="s">
        <v>482</v>
      </c>
      <c r="N25" s="993" t="s">
        <v>90</v>
      </c>
      <c r="O25" s="666"/>
    </row>
    <row r="26" spans="1:15" x14ac:dyDescent="0.25">
      <c r="A26" s="666"/>
      <c r="B26" s="976">
        <v>1</v>
      </c>
      <c r="C26" s="977">
        <v>32</v>
      </c>
      <c r="D26" s="981"/>
      <c r="E26" s="934"/>
      <c r="F26" s="984"/>
      <c r="G26" s="972"/>
      <c r="H26" s="978" t="s">
        <v>482</v>
      </c>
      <c r="I26" s="1024" t="s">
        <v>653</v>
      </c>
      <c r="J26" s="988">
        <v>2.25</v>
      </c>
      <c r="K26" s="934" t="s">
        <v>653</v>
      </c>
      <c r="L26" s="988">
        <v>30</v>
      </c>
      <c r="M26" s="990" t="s">
        <v>482</v>
      </c>
      <c r="N26" s="993" t="s">
        <v>89</v>
      </c>
      <c r="O26" s="666"/>
    </row>
    <row r="27" spans="1:15" x14ac:dyDescent="0.25">
      <c r="A27" s="666"/>
      <c r="B27" s="976">
        <v>1</v>
      </c>
      <c r="C27" s="977">
        <v>33</v>
      </c>
      <c r="D27" s="981"/>
      <c r="E27" s="934"/>
      <c r="F27" s="984"/>
      <c r="G27" s="972"/>
      <c r="H27" s="978" t="s">
        <v>482</v>
      </c>
      <c r="I27" s="1024" t="s">
        <v>653</v>
      </c>
      <c r="J27" s="988">
        <v>2.25</v>
      </c>
      <c r="K27" s="934" t="s">
        <v>653</v>
      </c>
      <c r="L27" s="988">
        <v>30</v>
      </c>
      <c r="M27" s="990" t="s">
        <v>482</v>
      </c>
      <c r="N27" s="993" t="s">
        <v>88</v>
      </c>
      <c r="O27" s="666"/>
    </row>
    <row r="28" spans="1:15" x14ac:dyDescent="0.25">
      <c r="A28" s="666"/>
      <c r="B28" s="976">
        <v>1</v>
      </c>
      <c r="C28" s="977">
        <v>34</v>
      </c>
      <c r="D28" s="981"/>
      <c r="E28" s="934"/>
      <c r="F28" s="984"/>
      <c r="G28" s="972"/>
      <c r="H28" s="978" t="s">
        <v>482</v>
      </c>
      <c r="I28" s="1024" t="s">
        <v>653</v>
      </c>
      <c r="J28" s="988">
        <v>2.25</v>
      </c>
      <c r="K28" s="934" t="s">
        <v>653</v>
      </c>
      <c r="L28" s="988">
        <v>30</v>
      </c>
      <c r="M28" s="990" t="s">
        <v>482</v>
      </c>
      <c r="N28" s="993" t="s">
        <v>87</v>
      </c>
      <c r="O28" s="666"/>
    </row>
    <row r="29" spans="1:15" x14ac:dyDescent="0.25">
      <c r="A29" s="666"/>
      <c r="B29" s="976">
        <v>1</v>
      </c>
      <c r="C29" s="977">
        <v>35</v>
      </c>
      <c r="D29" s="981"/>
      <c r="E29" s="934"/>
      <c r="F29" s="984"/>
      <c r="G29" s="972"/>
      <c r="H29" s="978" t="s">
        <v>482</v>
      </c>
      <c r="I29" s="1024" t="s">
        <v>653</v>
      </c>
      <c r="J29" s="988">
        <v>2.25</v>
      </c>
      <c r="K29" s="934" t="s">
        <v>653</v>
      </c>
      <c r="L29" s="988">
        <v>30</v>
      </c>
      <c r="M29" s="990" t="s">
        <v>482</v>
      </c>
      <c r="N29" s="993" t="s">
        <v>86</v>
      </c>
      <c r="O29" s="666"/>
    </row>
    <row r="30" spans="1:15" ht="15.75" thickBot="1" x14ac:dyDescent="0.3">
      <c r="A30" s="666"/>
      <c r="B30" s="927">
        <v>1</v>
      </c>
      <c r="C30" s="982">
        <v>37</v>
      </c>
      <c r="D30" s="983"/>
      <c r="E30" s="919"/>
      <c r="F30" s="985"/>
      <c r="G30" s="973"/>
      <c r="H30" s="931" t="s">
        <v>482</v>
      </c>
      <c r="I30" s="1025" t="s">
        <v>653</v>
      </c>
      <c r="J30" s="989">
        <v>2.25</v>
      </c>
      <c r="K30" s="919" t="s">
        <v>653</v>
      </c>
      <c r="L30" s="989">
        <v>30</v>
      </c>
      <c r="M30" s="991" t="s">
        <v>482</v>
      </c>
      <c r="N30" s="994" t="s">
        <v>105</v>
      </c>
      <c r="O30" s="666"/>
    </row>
    <row r="31" spans="1:15" ht="15.75" hidden="1" thickBot="1" x14ac:dyDescent="0.3">
      <c r="A31" s="666"/>
      <c r="B31" s="965"/>
      <c r="C31" s="965"/>
      <c r="D31" s="965"/>
      <c r="E31" s="965"/>
      <c r="F31" s="965"/>
      <c r="G31" s="965"/>
      <c r="H31" s="965"/>
      <c r="I31" s="965"/>
      <c r="J31" s="965"/>
      <c r="K31" s="965"/>
      <c r="L31" s="965"/>
      <c r="M31" s="965"/>
      <c r="N31" s="965"/>
      <c r="O31" s="666"/>
    </row>
    <row r="32" spans="1:15" ht="15.75" hidden="1" thickBot="1" x14ac:dyDescent="0.3">
      <c r="A32" s="666"/>
      <c r="B32" s="1436" t="s">
        <v>1394</v>
      </c>
      <c r="C32" s="1437"/>
      <c r="D32" s="1437"/>
      <c r="E32" s="1437"/>
      <c r="F32" s="1437"/>
      <c r="G32" s="1437"/>
      <c r="H32" s="1437"/>
      <c r="I32" s="1437"/>
      <c r="J32" s="1437"/>
      <c r="K32" s="1437"/>
      <c r="L32" s="1437"/>
      <c r="M32" s="1437"/>
      <c r="N32" s="1438"/>
      <c r="O32" s="666"/>
    </row>
    <row r="33" spans="1:15" ht="15.75" hidden="1" thickBot="1" x14ac:dyDescent="0.3">
      <c r="A33" s="666"/>
      <c r="B33" s="965"/>
      <c r="C33" s="965"/>
      <c r="D33" s="965"/>
      <c r="E33" s="965"/>
      <c r="F33" s="965"/>
      <c r="G33" s="965"/>
      <c r="H33" s="965"/>
      <c r="I33" s="965"/>
      <c r="J33" s="965"/>
      <c r="K33" s="965"/>
      <c r="L33" s="965"/>
      <c r="M33" s="965"/>
      <c r="N33" s="965"/>
      <c r="O33" s="666"/>
    </row>
    <row r="34" spans="1:15" ht="36.75" hidden="1" customHeight="1" x14ac:dyDescent="0.25">
      <c r="A34" s="666"/>
      <c r="B34" s="974" t="s">
        <v>1368</v>
      </c>
      <c r="C34" s="968" t="s">
        <v>1383</v>
      </c>
      <c r="D34" s="968" t="s">
        <v>1384</v>
      </c>
      <c r="E34" s="968" t="s">
        <v>1385</v>
      </c>
      <c r="F34" s="975" t="s">
        <v>1386</v>
      </c>
      <c r="G34" s="975" t="s">
        <v>1387</v>
      </c>
      <c r="H34" s="968" t="s">
        <v>1348</v>
      </c>
      <c r="I34" s="968" t="s">
        <v>1388</v>
      </c>
      <c r="J34" s="968" t="s">
        <v>1389</v>
      </c>
      <c r="K34" s="968" t="s">
        <v>1390</v>
      </c>
      <c r="L34" s="968" t="s">
        <v>1391</v>
      </c>
      <c r="M34" s="968" t="s">
        <v>1329</v>
      </c>
      <c r="N34" s="969" t="s">
        <v>1392</v>
      </c>
      <c r="O34" s="666"/>
    </row>
    <row r="35" spans="1:15" hidden="1" x14ac:dyDescent="0.25">
      <c r="A35" s="666"/>
      <c r="B35" s="979">
        <v>1</v>
      </c>
      <c r="C35" s="977">
        <v>15</v>
      </c>
      <c r="D35" s="978"/>
      <c r="E35" s="934"/>
      <c r="F35" s="984"/>
      <c r="G35" s="934"/>
      <c r="H35" s="978" t="s">
        <v>482</v>
      </c>
      <c r="I35" s="934" t="s">
        <v>653</v>
      </c>
      <c r="J35" s="978">
        <v>2.25</v>
      </c>
      <c r="K35" s="934" t="s">
        <v>653</v>
      </c>
      <c r="L35" s="978">
        <v>30</v>
      </c>
      <c r="M35" s="978" t="s">
        <v>482</v>
      </c>
      <c r="N35" s="1000" t="s">
        <v>103</v>
      </c>
      <c r="O35" s="666"/>
    </row>
    <row r="36" spans="1:15" hidden="1" x14ac:dyDescent="0.25">
      <c r="A36" s="666"/>
      <c r="B36" s="979">
        <v>1</v>
      </c>
      <c r="C36" s="977">
        <v>15</v>
      </c>
      <c r="D36" s="995">
        <v>131</v>
      </c>
      <c r="E36" s="934"/>
      <c r="F36" s="984"/>
      <c r="G36" s="934"/>
      <c r="H36" s="978" t="s">
        <v>482</v>
      </c>
      <c r="I36" s="934" t="s">
        <v>653</v>
      </c>
      <c r="J36" s="978">
        <v>2.25</v>
      </c>
      <c r="K36" s="934" t="s">
        <v>653</v>
      </c>
      <c r="L36" s="978">
        <v>30</v>
      </c>
      <c r="M36" s="978" t="s">
        <v>482</v>
      </c>
      <c r="N36" s="992" t="s">
        <v>1399</v>
      </c>
      <c r="O36" s="666"/>
    </row>
    <row r="37" spans="1:15" hidden="1" x14ac:dyDescent="0.25">
      <c r="A37" s="666"/>
      <c r="B37" s="979">
        <v>1</v>
      </c>
      <c r="C37" s="977">
        <v>15</v>
      </c>
      <c r="D37" s="995">
        <v>254</v>
      </c>
      <c r="E37" s="934"/>
      <c r="F37" s="984"/>
      <c r="G37" s="934"/>
      <c r="H37" s="978" t="s">
        <v>482</v>
      </c>
      <c r="I37" s="934" t="s">
        <v>653</v>
      </c>
      <c r="J37" s="978">
        <v>2.25</v>
      </c>
      <c r="K37" s="934" t="s">
        <v>653</v>
      </c>
      <c r="L37" s="978">
        <v>30</v>
      </c>
      <c r="M37" s="978" t="s">
        <v>482</v>
      </c>
      <c r="N37" s="992" t="s">
        <v>1399</v>
      </c>
      <c r="O37" s="666"/>
    </row>
    <row r="38" spans="1:15" hidden="1" x14ac:dyDescent="0.25">
      <c r="A38" s="666"/>
      <c r="B38" s="979">
        <v>1</v>
      </c>
      <c r="C38" s="977">
        <v>15</v>
      </c>
      <c r="D38" s="995">
        <v>373</v>
      </c>
      <c r="E38" s="934"/>
      <c r="F38" s="984"/>
      <c r="G38" s="934"/>
      <c r="H38" s="978" t="s">
        <v>482</v>
      </c>
      <c r="I38" s="934" t="s">
        <v>653</v>
      </c>
      <c r="J38" s="978">
        <v>2.25</v>
      </c>
      <c r="K38" s="934" t="s">
        <v>653</v>
      </c>
      <c r="L38" s="978">
        <v>30</v>
      </c>
      <c r="M38" s="978" t="s">
        <v>482</v>
      </c>
      <c r="N38" s="992" t="s">
        <v>1399</v>
      </c>
      <c r="O38" s="666"/>
    </row>
    <row r="39" spans="1:15" hidden="1" x14ac:dyDescent="0.25">
      <c r="A39" s="666"/>
      <c r="B39" s="979">
        <v>1</v>
      </c>
      <c r="C39" s="977">
        <v>15</v>
      </c>
      <c r="D39" s="995">
        <v>132</v>
      </c>
      <c r="E39" s="934"/>
      <c r="F39" s="984"/>
      <c r="G39" s="934"/>
      <c r="H39" s="978" t="s">
        <v>482</v>
      </c>
      <c r="I39" s="934" t="s">
        <v>653</v>
      </c>
      <c r="J39" s="978">
        <v>2.25</v>
      </c>
      <c r="K39" s="934" t="s">
        <v>653</v>
      </c>
      <c r="L39" s="978">
        <v>30</v>
      </c>
      <c r="M39" s="978" t="s">
        <v>482</v>
      </c>
      <c r="N39" s="992" t="s">
        <v>1399</v>
      </c>
      <c r="O39" s="666"/>
    </row>
    <row r="40" spans="1:15" hidden="1" x14ac:dyDescent="0.25">
      <c r="A40" s="666"/>
      <c r="B40" s="979">
        <v>1</v>
      </c>
      <c r="C40" s="977">
        <v>15</v>
      </c>
      <c r="D40" s="995">
        <v>368</v>
      </c>
      <c r="E40" s="934"/>
      <c r="F40" s="984"/>
      <c r="G40" s="934"/>
      <c r="H40" s="978" t="s">
        <v>482</v>
      </c>
      <c r="I40" s="934" t="s">
        <v>653</v>
      </c>
      <c r="J40" s="978">
        <v>2.25</v>
      </c>
      <c r="K40" s="934" t="s">
        <v>653</v>
      </c>
      <c r="L40" s="978">
        <v>30</v>
      </c>
      <c r="M40" s="978" t="s">
        <v>482</v>
      </c>
      <c r="N40" s="992" t="s">
        <v>1399</v>
      </c>
      <c r="O40" s="666"/>
    </row>
    <row r="41" spans="1:15" hidden="1" x14ac:dyDescent="0.25">
      <c r="A41" s="666"/>
      <c r="B41" s="979">
        <v>1</v>
      </c>
      <c r="C41" s="977">
        <v>15</v>
      </c>
      <c r="D41" s="995">
        <v>369</v>
      </c>
      <c r="E41" s="934"/>
      <c r="F41" s="984"/>
      <c r="G41" s="934"/>
      <c r="H41" s="978" t="s">
        <v>482</v>
      </c>
      <c r="I41" s="934" t="s">
        <v>653</v>
      </c>
      <c r="J41" s="978">
        <v>2.25</v>
      </c>
      <c r="K41" s="934" t="s">
        <v>653</v>
      </c>
      <c r="L41" s="978">
        <v>30</v>
      </c>
      <c r="M41" s="978" t="s">
        <v>482</v>
      </c>
      <c r="N41" s="992" t="s">
        <v>1399</v>
      </c>
      <c r="O41" s="666"/>
    </row>
    <row r="42" spans="1:15" hidden="1" x14ac:dyDescent="0.25">
      <c r="A42" s="666"/>
      <c r="B42" s="979">
        <v>1</v>
      </c>
      <c r="C42" s="977">
        <v>15</v>
      </c>
      <c r="D42" s="995">
        <v>384</v>
      </c>
      <c r="E42" s="934"/>
      <c r="F42" s="984"/>
      <c r="G42" s="934"/>
      <c r="H42" s="978" t="s">
        <v>482</v>
      </c>
      <c r="I42" s="934" t="s">
        <v>653</v>
      </c>
      <c r="J42" s="978">
        <v>2.25</v>
      </c>
      <c r="K42" s="934" t="s">
        <v>653</v>
      </c>
      <c r="L42" s="978">
        <v>30</v>
      </c>
      <c r="M42" s="978" t="s">
        <v>482</v>
      </c>
      <c r="N42" s="992" t="s">
        <v>1399</v>
      </c>
      <c r="O42" s="666"/>
    </row>
    <row r="43" spans="1:15" hidden="1" x14ac:dyDescent="0.25">
      <c r="A43" s="666"/>
      <c r="B43" s="979">
        <v>1</v>
      </c>
      <c r="C43" s="977">
        <v>15</v>
      </c>
      <c r="D43" s="995">
        <v>381</v>
      </c>
      <c r="E43" s="934"/>
      <c r="F43" s="984"/>
      <c r="G43" s="934"/>
      <c r="H43" s="978" t="s">
        <v>482</v>
      </c>
      <c r="I43" s="934" t="s">
        <v>653</v>
      </c>
      <c r="J43" s="978">
        <v>2.25</v>
      </c>
      <c r="K43" s="934" t="s">
        <v>653</v>
      </c>
      <c r="L43" s="978">
        <v>30</v>
      </c>
      <c r="M43" s="978" t="s">
        <v>482</v>
      </c>
      <c r="N43" s="992" t="s">
        <v>1399</v>
      </c>
      <c r="O43" s="666"/>
    </row>
    <row r="44" spans="1:15" hidden="1" x14ac:dyDescent="0.25">
      <c r="A44" s="666"/>
      <c r="B44" s="979">
        <v>1</v>
      </c>
      <c r="C44" s="977">
        <v>15</v>
      </c>
      <c r="D44" s="995">
        <v>377</v>
      </c>
      <c r="E44" s="934"/>
      <c r="F44" s="984"/>
      <c r="G44" s="934"/>
      <c r="H44" s="978" t="s">
        <v>482</v>
      </c>
      <c r="I44" s="934" t="s">
        <v>653</v>
      </c>
      <c r="J44" s="978">
        <v>2.25</v>
      </c>
      <c r="K44" s="934" t="s">
        <v>653</v>
      </c>
      <c r="L44" s="978">
        <v>30</v>
      </c>
      <c r="M44" s="978" t="s">
        <v>482</v>
      </c>
      <c r="N44" s="992" t="s">
        <v>1399</v>
      </c>
      <c r="O44" s="666"/>
    </row>
    <row r="45" spans="1:15" hidden="1" x14ac:dyDescent="0.25">
      <c r="A45" s="666"/>
      <c r="B45" s="979">
        <v>1</v>
      </c>
      <c r="C45" s="977">
        <v>15</v>
      </c>
      <c r="D45" s="995">
        <v>388</v>
      </c>
      <c r="E45" s="934"/>
      <c r="F45" s="984"/>
      <c r="G45" s="934"/>
      <c r="H45" s="978" t="s">
        <v>482</v>
      </c>
      <c r="I45" s="934" t="s">
        <v>653</v>
      </c>
      <c r="J45" s="978">
        <v>2.25</v>
      </c>
      <c r="K45" s="934" t="s">
        <v>653</v>
      </c>
      <c r="L45" s="978">
        <v>30</v>
      </c>
      <c r="M45" s="978" t="s">
        <v>482</v>
      </c>
      <c r="N45" s="992" t="s">
        <v>1399</v>
      </c>
      <c r="O45" s="666"/>
    </row>
    <row r="46" spans="1:15" hidden="1" x14ac:dyDescent="0.25">
      <c r="A46" s="666"/>
      <c r="B46" s="979">
        <v>1</v>
      </c>
      <c r="C46" s="977">
        <v>16</v>
      </c>
      <c r="D46" s="980"/>
      <c r="E46" s="934"/>
      <c r="F46" s="984"/>
      <c r="G46" s="934"/>
      <c r="H46" s="978" t="s">
        <v>482</v>
      </c>
      <c r="I46" s="934" t="s">
        <v>653</v>
      </c>
      <c r="J46" s="978">
        <v>2.25</v>
      </c>
      <c r="K46" s="934" t="s">
        <v>653</v>
      </c>
      <c r="L46" s="978">
        <v>30</v>
      </c>
      <c r="M46" s="978" t="s">
        <v>482</v>
      </c>
      <c r="N46" s="993" t="s">
        <v>102</v>
      </c>
      <c r="O46" s="666"/>
    </row>
    <row r="47" spans="1:15" ht="26.25" hidden="1" x14ac:dyDescent="0.25">
      <c r="A47" s="666"/>
      <c r="B47" s="976">
        <v>1</v>
      </c>
      <c r="C47" s="977">
        <v>17</v>
      </c>
      <c r="D47" s="978"/>
      <c r="E47" s="934"/>
      <c r="F47" s="984"/>
      <c r="G47" s="934"/>
      <c r="H47" s="978" t="s">
        <v>482</v>
      </c>
      <c r="I47" s="934" t="s">
        <v>653</v>
      </c>
      <c r="J47" s="978">
        <v>2.25</v>
      </c>
      <c r="K47" s="934" t="s">
        <v>653</v>
      </c>
      <c r="L47" s="978">
        <v>30</v>
      </c>
      <c r="M47" s="978" t="s">
        <v>482</v>
      </c>
      <c r="N47" s="993" t="s">
        <v>101</v>
      </c>
      <c r="O47" s="666"/>
    </row>
    <row r="48" spans="1:15" hidden="1" x14ac:dyDescent="0.25">
      <c r="A48" s="666"/>
      <c r="B48" s="976">
        <v>1</v>
      </c>
      <c r="C48" s="977">
        <v>18</v>
      </c>
      <c r="D48" s="981"/>
      <c r="E48" s="934"/>
      <c r="F48" s="984"/>
      <c r="G48" s="972"/>
      <c r="H48" s="978" t="s">
        <v>482</v>
      </c>
      <c r="I48" s="934" t="s">
        <v>653</v>
      </c>
      <c r="J48" s="978">
        <v>2.25</v>
      </c>
      <c r="K48" s="934" t="s">
        <v>653</v>
      </c>
      <c r="L48" s="978">
        <v>30</v>
      </c>
      <c r="M48" s="978" t="s">
        <v>482</v>
      </c>
      <c r="N48" s="993" t="s">
        <v>100</v>
      </c>
      <c r="O48" s="666"/>
    </row>
    <row r="49" spans="1:15" ht="26.25" hidden="1" x14ac:dyDescent="0.25">
      <c r="A49" s="666"/>
      <c r="B49" s="976">
        <v>1</v>
      </c>
      <c r="C49" s="977">
        <v>19</v>
      </c>
      <c r="D49" s="981"/>
      <c r="E49" s="934"/>
      <c r="F49" s="984"/>
      <c r="G49" s="972"/>
      <c r="H49" s="978" t="s">
        <v>482</v>
      </c>
      <c r="I49" s="934" t="s">
        <v>653</v>
      </c>
      <c r="J49" s="978">
        <v>2.25</v>
      </c>
      <c r="K49" s="934" t="s">
        <v>653</v>
      </c>
      <c r="L49" s="978">
        <v>30</v>
      </c>
      <c r="M49" s="978" t="s">
        <v>482</v>
      </c>
      <c r="N49" s="993" t="s">
        <v>104</v>
      </c>
      <c r="O49" s="666"/>
    </row>
    <row r="50" spans="1:15" ht="26.25" hidden="1" x14ac:dyDescent="0.25">
      <c r="A50" s="666"/>
      <c r="B50" s="976">
        <v>1</v>
      </c>
      <c r="C50" s="977">
        <v>20</v>
      </c>
      <c r="D50" s="981"/>
      <c r="E50" s="934"/>
      <c r="F50" s="984"/>
      <c r="G50" s="972"/>
      <c r="H50" s="978" t="s">
        <v>482</v>
      </c>
      <c r="I50" s="934" t="s">
        <v>653</v>
      </c>
      <c r="J50" s="978">
        <v>2.25</v>
      </c>
      <c r="K50" s="934" t="s">
        <v>653</v>
      </c>
      <c r="L50" s="978">
        <v>30</v>
      </c>
      <c r="M50" s="978" t="s">
        <v>482</v>
      </c>
      <c r="N50" s="993" t="s">
        <v>99</v>
      </c>
      <c r="O50" s="666"/>
    </row>
    <row r="51" spans="1:15" hidden="1" x14ac:dyDescent="0.25">
      <c r="A51" s="666"/>
      <c r="B51" s="976">
        <v>1</v>
      </c>
      <c r="C51" s="977">
        <v>21</v>
      </c>
      <c r="D51" s="981"/>
      <c r="E51" s="934"/>
      <c r="F51" s="984"/>
      <c r="G51" s="972"/>
      <c r="H51" s="978" t="s">
        <v>482</v>
      </c>
      <c r="I51" s="934" t="s">
        <v>653</v>
      </c>
      <c r="J51" s="978">
        <v>2.25</v>
      </c>
      <c r="K51" s="934" t="s">
        <v>653</v>
      </c>
      <c r="L51" s="978">
        <v>30</v>
      </c>
      <c r="M51" s="978" t="s">
        <v>482</v>
      </c>
      <c r="N51" s="993" t="s">
        <v>98</v>
      </c>
      <c r="O51" s="666"/>
    </row>
    <row r="52" spans="1:15" hidden="1" x14ac:dyDescent="0.25">
      <c r="A52" s="666"/>
      <c r="B52" s="976">
        <v>1</v>
      </c>
      <c r="C52" s="977">
        <v>22</v>
      </c>
      <c r="D52" s="981"/>
      <c r="E52" s="934"/>
      <c r="F52" s="984"/>
      <c r="G52" s="972"/>
      <c r="H52" s="978" t="s">
        <v>482</v>
      </c>
      <c r="I52" s="934" t="s">
        <v>653</v>
      </c>
      <c r="J52" s="978">
        <v>2.25</v>
      </c>
      <c r="K52" s="934" t="s">
        <v>653</v>
      </c>
      <c r="L52" s="978">
        <v>30</v>
      </c>
      <c r="M52" s="978" t="s">
        <v>482</v>
      </c>
      <c r="N52" s="993" t="s">
        <v>97</v>
      </c>
      <c r="O52" s="666"/>
    </row>
    <row r="53" spans="1:15" hidden="1" x14ac:dyDescent="0.25">
      <c r="A53" s="666"/>
      <c r="B53" s="976">
        <v>1</v>
      </c>
      <c r="C53" s="977">
        <v>23</v>
      </c>
      <c r="D53" s="981"/>
      <c r="E53" s="934"/>
      <c r="F53" s="984"/>
      <c r="G53" s="972"/>
      <c r="H53" s="978" t="s">
        <v>482</v>
      </c>
      <c r="I53" s="934" t="s">
        <v>653</v>
      </c>
      <c r="J53" s="978">
        <v>2.25</v>
      </c>
      <c r="K53" s="934" t="s">
        <v>653</v>
      </c>
      <c r="L53" s="978">
        <v>30</v>
      </c>
      <c r="M53" s="978" t="s">
        <v>482</v>
      </c>
      <c r="N53" s="993" t="s">
        <v>96</v>
      </c>
      <c r="O53" s="666"/>
    </row>
    <row r="54" spans="1:15" hidden="1" x14ac:dyDescent="0.25">
      <c r="A54" s="666"/>
      <c r="B54" s="976">
        <v>1</v>
      </c>
      <c r="C54" s="977">
        <v>24</v>
      </c>
      <c r="D54" s="981"/>
      <c r="E54" s="934"/>
      <c r="F54" s="984"/>
      <c r="G54" s="972"/>
      <c r="H54" s="978" t="s">
        <v>482</v>
      </c>
      <c r="I54" s="934" t="s">
        <v>653</v>
      </c>
      <c r="J54" s="978">
        <v>2.25</v>
      </c>
      <c r="K54" s="934" t="s">
        <v>653</v>
      </c>
      <c r="L54" s="978">
        <v>30</v>
      </c>
      <c r="M54" s="978" t="s">
        <v>482</v>
      </c>
      <c r="N54" s="993" t="s">
        <v>95</v>
      </c>
      <c r="O54" s="666"/>
    </row>
    <row r="55" spans="1:15" hidden="1" x14ac:dyDescent="0.25">
      <c r="A55" s="666"/>
      <c r="B55" s="976">
        <v>1</v>
      </c>
      <c r="C55" s="977">
        <v>25</v>
      </c>
      <c r="D55" s="981"/>
      <c r="E55" s="934" t="s">
        <v>1393</v>
      </c>
      <c r="F55" s="984"/>
      <c r="G55" s="972"/>
      <c r="H55" s="978" t="s">
        <v>482</v>
      </c>
      <c r="I55" s="934" t="s">
        <v>651</v>
      </c>
      <c r="J55" s="1001">
        <v>2.25</v>
      </c>
      <c r="K55" s="934" t="s">
        <v>653</v>
      </c>
      <c r="L55" s="978">
        <v>30</v>
      </c>
      <c r="M55" s="978" t="s">
        <v>482</v>
      </c>
      <c r="N55" s="993" t="s">
        <v>94</v>
      </c>
      <c r="O55" s="666"/>
    </row>
    <row r="56" spans="1:15" hidden="1" x14ac:dyDescent="0.25">
      <c r="A56" s="666"/>
      <c r="B56" s="976">
        <v>1</v>
      </c>
      <c r="C56" s="977">
        <v>26</v>
      </c>
      <c r="D56" s="981"/>
      <c r="E56" s="934"/>
      <c r="F56" s="984"/>
      <c r="G56" s="972"/>
      <c r="H56" s="978" t="s">
        <v>482</v>
      </c>
      <c r="I56" s="934" t="s">
        <v>653</v>
      </c>
      <c r="J56" s="978">
        <v>2.25</v>
      </c>
      <c r="K56" s="934" t="s">
        <v>653</v>
      </c>
      <c r="L56" s="978">
        <v>30</v>
      </c>
      <c r="M56" s="978" t="s">
        <v>482</v>
      </c>
      <c r="N56" s="993" t="s">
        <v>93</v>
      </c>
      <c r="O56" s="666"/>
    </row>
    <row r="57" spans="1:15" hidden="1" x14ac:dyDescent="0.25">
      <c r="A57" s="666"/>
      <c r="B57" s="976">
        <v>1</v>
      </c>
      <c r="C57" s="977">
        <v>29</v>
      </c>
      <c r="D57" s="981"/>
      <c r="E57" s="934"/>
      <c r="F57" s="984"/>
      <c r="G57" s="972"/>
      <c r="H57" s="978" t="s">
        <v>482</v>
      </c>
      <c r="I57" s="934" t="s">
        <v>653</v>
      </c>
      <c r="J57" s="978">
        <v>2.25</v>
      </c>
      <c r="K57" s="934" t="s">
        <v>653</v>
      </c>
      <c r="L57" s="978">
        <v>30</v>
      </c>
      <c r="M57" s="978" t="s">
        <v>482</v>
      </c>
      <c r="N57" s="993" t="s">
        <v>92</v>
      </c>
      <c r="O57" s="666"/>
    </row>
    <row r="58" spans="1:15" hidden="1" x14ac:dyDescent="0.25">
      <c r="A58" s="666"/>
      <c r="B58" s="976">
        <v>1</v>
      </c>
      <c r="C58" s="977">
        <v>30</v>
      </c>
      <c r="D58" s="981"/>
      <c r="E58" s="934"/>
      <c r="F58" s="984"/>
      <c r="G58" s="972"/>
      <c r="H58" s="978" t="s">
        <v>482</v>
      </c>
      <c r="I58" s="934" t="s">
        <v>653</v>
      </c>
      <c r="J58" s="978">
        <v>2.25</v>
      </c>
      <c r="K58" s="934" t="s">
        <v>653</v>
      </c>
      <c r="L58" s="978">
        <v>30</v>
      </c>
      <c r="M58" s="978" t="s">
        <v>482</v>
      </c>
      <c r="N58" s="993" t="s">
        <v>91</v>
      </c>
      <c r="O58" s="666"/>
    </row>
    <row r="59" spans="1:15" hidden="1" x14ac:dyDescent="0.25">
      <c r="A59" s="666"/>
      <c r="B59" s="976">
        <v>1</v>
      </c>
      <c r="C59" s="977">
        <v>31</v>
      </c>
      <c r="D59" s="981"/>
      <c r="E59" s="934"/>
      <c r="F59" s="984"/>
      <c r="G59" s="972"/>
      <c r="H59" s="978" t="s">
        <v>482</v>
      </c>
      <c r="I59" s="934" t="s">
        <v>653</v>
      </c>
      <c r="J59" s="978">
        <v>2.25</v>
      </c>
      <c r="K59" s="934" t="s">
        <v>653</v>
      </c>
      <c r="L59" s="978">
        <v>30</v>
      </c>
      <c r="M59" s="978" t="s">
        <v>482</v>
      </c>
      <c r="N59" s="993" t="s">
        <v>90</v>
      </c>
      <c r="O59" s="666"/>
    </row>
    <row r="60" spans="1:15" hidden="1" x14ac:dyDescent="0.25">
      <c r="A60" s="666"/>
      <c r="B60" s="976">
        <v>1</v>
      </c>
      <c r="C60" s="977">
        <v>32</v>
      </c>
      <c r="D60" s="981"/>
      <c r="E60" s="934"/>
      <c r="F60" s="984"/>
      <c r="G60" s="972"/>
      <c r="H60" s="978" t="s">
        <v>482</v>
      </c>
      <c r="I60" s="934" t="s">
        <v>653</v>
      </c>
      <c r="J60" s="978">
        <v>2.25</v>
      </c>
      <c r="K60" s="934" t="s">
        <v>653</v>
      </c>
      <c r="L60" s="978">
        <v>30</v>
      </c>
      <c r="M60" s="978" t="s">
        <v>482</v>
      </c>
      <c r="N60" s="993" t="s">
        <v>89</v>
      </c>
      <c r="O60" s="666"/>
    </row>
    <row r="61" spans="1:15" hidden="1" x14ac:dyDescent="0.25">
      <c r="A61" s="666"/>
      <c r="B61" s="976">
        <v>1</v>
      </c>
      <c r="C61" s="977">
        <v>33</v>
      </c>
      <c r="D61" s="981"/>
      <c r="E61" s="934"/>
      <c r="F61" s="984"/>
      <c r="G61" s="972"/>
      <c r="H61" s="978" t="s">
        <v>482</v>
      </c>
      <c r="I61" s="934" t="s">
        <v>653</v>
      </c>
      <c r="J61" s="978">
        <v>2.25</v>
      </c>
      <c r="K61" s="934" t="s">
        <v>653</v>
      </c>
      <c r="L61" s="978">
        <v>30</v>
      </c>
      <c r="M61" s="978" t="s">
        <v>482</v>
      </c>
      <c r="N61" s="993" t="s">
        <v>88</v>
      </c>
      <c r="O61" s="666"/>
    </row>
    <row r="62" spans="1:15" hidden="1" x14ac:dyDescent="0.25">
      <c r="A62" s="666"/>
      <c r="B62" s="976">
        <v>1</v>
      </c>
      <c r="C62" s="977">
        <v>34</v>
      </c>
      <c r="D62" s="981"/>
      <c r="E62" s="934"/>
      <c r="F62" s="984"/>
      <c r="G62" s="972"/>
      <c r="H62" s="978" t="s">
        <v>482</v>
      </c>
      <c r="I62" s="934" t="s">
        <v>653</v>
      </c>
      <c r="J62" s="978">
        <v>2.25</v>
      </c>
      <c r="K62" s="934" t="s">
        <v>653</v>
      </c>
      <c r="L62" s="978">
        <v>30</v>
      </c>
      <c r="M62" s="978" t="s">
        <v>482</v>
      </c>
      <c r="N62" s="993" t="s">
        <v>87</v>
      </c>
      <c r="O62" s="666"/>
    </row>
    <row r="63" spans="1:15" hidden="1" x14ac:dyDescent="0.25">
      <c r="A63" s="666"/>
      <c r="B63" s="976">
        <v>1</v>
      </c>
      <c r="C63" s="977">
        <v>35</v>
      </c>
      <c r="D63" s="981"/>
      <c r="E63" s="934"/>
      <c r="F63" s="984"/>
      <c r="G63" s="972"/>
      <c r="H63" s="978" t="s">
        <v>482</v>
      </c>
      <c r="I63" s="934" t="s">
        <v>653</v>
      </c>
      <c r="J63" s="978">
        <v>2.25</v>
      </c>
      <c r="K63" s="934" t="s">
        <v>653</v>
      </c>
      <c r="L63" s="978">
        <v>30</v>
      </c>
      <c r="M63" s="978" t="s">
        <v>482</v>
      </c>
      <c r="N63" s="993" t="s">
        <v>86</v>
      </c>
      <c r="O63" s="666"/>
    </row>
    <row r="64" spans="1:15" ht="15.75" hidden="1" thickBot="1" x14ac:dyDescent="0.3">
      <c r="A64" s="666"/>
      <c r="B64" s="927">
        <v>1</v>
      </c>
      <c r="C64" s="982">
        <v>37</v>
      </c>
      <c r="D64" s="983"/>
      <c r="E64" s="919"/>
      <c r="F64" s="985"/>
      <c r="G64" s="973"/>
      <c r="H64" s="931" t="s">
        <v>482</v>
      </c>
      <c r="I64" s="919" t="s">
        <v>653</v>
      </c>
      <c r="J64" s="931">
        <v>2.25</v>
      </c>
      <c r="K64" s="919" t="s">
        <v>653</v>
      </c>
      <c r="L64" s="931">
        <v>30</v>
      </c>
      <c r="M64" s="931" t="s">
        <v>482</v>
      </c>
      <c r="N64" s="994" t="s">
        <v>105</v>
      </c>
      <c r="O64" s="666"/>
    </row>
    <row r="65" spans="1:15" hidden="1" x14ac:dyDescent="0.25">
      <c r="A65" s="666"/>
      <c r="B65" s="965"/>
      <c r="C65" s="965"/>
      <c r="D65" s="965"/>
      <c r="E65" s="965"/>
      <c r="F65" s="965"/>
      <c r="G65" s="965"/>
      <c r="H65" s="965"/>
      <c r="I65" s="965"/>
      <c r="J65" s="965"/>
      <c r="K65" s="965"/>
      <c r="L65" s="965"/>
      <c r="M65" s="965"/>
      <c r="N65" s="965"/>
      <c r="O65" s="666"/>
    </row>
    <row r="66" spans="1:15" x14ac:dyDescent="0.25">
      <c r="A66" s="666"/>
      <c r="B66" s="666"/>
      <c r="C66" s="666"/>
      <c r="D66" s="666"/>
      <c r="E66" s="666"/>
      <c r="F66" s="666"/>
      <c r="G66" s="666"/>
      <c r="H66" s="666"/>
      <c r="I66" s="666"/>
      <c r="J66" s="666"/>
      <c r="K66" s="666"/>
      <c r="L66" s="666"/>
      <c r="M66" s="666"/>
      <c r="N66" s="666"/>
      <c r="O66" s="666"/>
    </row>
    <row r="67" spans="1:15" x14ac:dyDescent="0.25">
      <c r="A67" s="666"/>
      <c r="B67" s="666"/>
      <c r="C67" s="666"/>
      <c r="D67" s="666"/>
      <c r="E67" s="666"/>
      <c r="F67" s="666"/>
      <c r="G67" s="666"/>
      <c r="H67" s="666"/>
      <c r="I67" s="666"/>
      <c r="J67" s="666"/>
      <c r="K67" s="666"/>
      <c r="L67" s="666"/>
      <c r="M67" s="666"/>
      <c r="N67" s="666"/>
      <c r="O67" s="666"/>
    </row>
    <row r="68" spans="1:15" x14ac:dyDescent="0.25">
      <c r="A68" s="666"/>
      <c r="B68" s="666"/>
      <c r="C68" s="666"/>
      <c r="D68" s="666"/>
      <c r="E68" s="666"/>
      <c r="F68" s="666"/>
      <c r="G68" s="666"/>
      <c r="H68" s="666"/>
      <c r="I68" s="666"/>
      <c r="J68" s="666"/>
      <c r="K68" s="666"/>
      <c r="L68" s="666"/>
      <c r="M68" s="666"/>
      <c r="N68" s="666"/>
      <c r="O68" s="666"/>
    </row>
    <row r="69" spans="1:15" x14ac:dyDescent="0.25">
      <c r="A69" s="666"/>
      <c r="B69" s="666"/>
      <c r="C69" s="666"/>
      <c r="D69" s="666"/>
      <c r="E69" s="666"/>
      <c r="F69" s="666"/>
      <c r="G69" s="666"/>
      <c r="H69" s="666"/>
      <c r="I69" s="666"/>
      <c r="J69" s="666"/>
      <c r="K69" s="666"/>
      <c r="L69" s="666"/>
      <c r="M69" s="666"/>
      <c r="N69" s="666"/>
      <c r="O69" s="666"/>
    </row>
    <row r="70" spans="1:15" x14ac:dyDescent="0.25">
      <c r="A70" s="666"/>
      <c r="B70" s="666"/>
      <c r="C70" s="666"/>
      <c r="D70" s="666"/>
      <c r="E70" s="666"/>
      <c r="F70" s="666"/>
      <c r="G70" s="666"/>
      <c r="H70" s="666"/>
      <c r="I70" s="666"/>
      <c r="J70" s="666"/>
      <c r="K70" s="666"/>
      <c r="L70" s="666"/>
      <c r="M70" s="666"/>
      <c r="N70" s="666"/>
      <c r="O70" s="666"/>
    </row>
    <row r="71" spans="1:15" x14ac:dyDescent="0.25">
      <c r="A71" s="666"/>
      <c r="B71" s="666"/>
      <c r="C71" s="666"/>
      <c r="D71" s="666"/>
      <c r="E71" s="666"/>
      <c r="F71" s="666"/>
      <c r="G71" s="666"/>
      <c r="H71" s="666"/>
      <c r="I71" s="666"/>
      <c r="J71" s="666"/>
      <c r="K71" s="666"/>
      <c r="L71" s="666"/>
      <c r="M71" s="666"/>
      <c r="N71" s="666"/>
      <c r="O71" s="666"/>
    </row>
    <row r="72" spans="1:15" x14ac:dyDescent="0.25">
      <c r="A72" s="666"/>
      <c r="B72" s="666"/>
      <c r="C72" s="666"/>
      <c r="D72" s="666"/>
      <c r="E72" s="666"/>
      <c r="F72" s="666"/>
      <c r="G72" s="666"/>
      <c r="H72" s="666"/>
      <c r="I72" s="666"/>
      <c r="J72" s="666"/>
      <c r="K72" s="666"/>
      <c r="L72" s="666"/>
      <c r="M72" s="666"/>
      <c r="N72" s="666"/>
      <c r="O72" s="666"/>
    </row>
    <row r="73" spans="1:15" x14ac:dyDescent="0.25">
      <c r="A73" s="666"/>
      <c r="B73" s="666"/>
      <c r="C73" s="666"/>
      <c r="D73" s="666"/>
      <c r="E73" s="666"/>
      <c r="F73" s="666"/>
      <c r="G73" s="666"/>
      <c r="H73" s="666"/>
      <c r="I73" s="666"/>
      <c r="J73" s="666"/>
      <c r="K73" s="666"/>
      <c r="L73" s="666"/>
      <c r="M73" s="666"/>
      <c r="N73" s="666"/>
      <c r="O73" s="666"/>
    </row>
    <row r="74" spans="1:15" x14ac:dyDescent="0.25">
      <c r="A74" s="666"/>
      <c r="B74" s="666"/>
      <c r="C74" s="666"/>
      <c r="D74" s="666"/>
      <c r="E74" s="666"/>
      <c r="F74" s="666"/>
      <c r="G74" s="666"/>
      <c r="H74" s="666"/>
      <c r="I74" s="666"/>
      <c r="J74" s="666"/>
      <c r="K74" s="666"/>
      <c r="L74" s="666"/>
      <c r="M74" s="666"/>
      <c r="N74" s="666"/>
      <c r="O74" s="666"/>
    </row>
    <row r="75" spans="1:15" x14ac:dyDescent="0.25">
      <c r="A75" s="666"/>
      <c r="B75" s="666"/>
      <c r="C75" s="666"/>
      <c r="D75" s="666"/>
      <c r="E75" s="666"/>
      <c r="F75" s="666"/>
      <c r="G75" s="666"/>
      <c r="H75" s="666"/>
      <c r="I75" s="666"/>
      <c r="J75" s="666"/>
      <c r="K75" s="666"/>
      <c r="L75" s="666"/>
      <c r="M75" s="666"/>
      <c r="N75" s="666"/>
      <c r="O75" s="666"/>
    </row>
    <row r="76" spans="1:15" x14ac:dyDescent="0.25">
      <c r="A76" s="666"/>
      <c r="B76" s="666"/>
      <c r="C76" s="666"/>
      <c r="D76" s="666"/>
      <c r="E76" s="666"/>
      <c r="F76" s="666"/>
      <c r="G76" s="666"/>
      <c r="H76" s="666"/>
      <c r="I76" s="666"/>
      <c r="J76" s="666"/>
      <c r="K76" s="666"/>
      <c r="L76" s="666"/>
      <c r="M76" s="666"/>
      <c r="N76" s="666"/>
      <c r="O76" s="666"/>
    </row>
    <row r="77" spans="1:15" x14ac:dyDescent="0.25">
      <c r="A77" s="666"/>
      <c r="B77" s="666"/>
      <c r="C77" s="666"/>
      <c r="D77" s="666"/>
      <c r="E77" s="666"/>
      <c r="F77" s="666"/>
      <c r="G77" s="666"/>
      <c r="H77" s="666"/>
      <c r="I77" s="666"/>
      <c r="J77" s="666"/>
      <c r="K77" s="666"/>
      <c r="L77" s="666"/>
      <c r="M77" s="666"/>
      <c r="N77" s="666"/>
      <c r="O77" s="666"/>
    </row>
    <row r="78" spans="1:15" x14ac:dyDescent="0.25">
      <c r="A78" s="666"/>
      <c r="B78" s="666"/>
      <c r="C78" s="666"/>
      <c r="D78" s="666"/>
      <c r="E78" s="666"/>
      <c r="F78" s="666"/>
      <c r="G78" s="666"/>
      <c r="H78" s="666"/>
      <c r="I78" s="666"/>
      <c r="J78" s="666"/>
      <c r="K78" s="666"/>
      <c r="L78" s="666"/>
      <c r="M78" s="666"/>
      <c r="N78" s="666"/>
      <c r="O78" s="666"/>
    </row>
    <row r="79" spans="1:15" x14ac:dyDescent="0.25">
      <c r="A79" s="666"/>
      <c r="B79" s="666"/>
      <c r="C79" s="666"/>
      <c r="D79" s="666"/>
      <c r="E79" s="666"/>
      <c r="F79" s="666"/>
      <c r="G79" s="666"/>
      <c r="H79" s="666"/>
      <c r="I79" s="666"/>
      <c r="J79" s="666"/>
      <c r="K79" s="666"/>
      <c r="L79" s="666"/>
      <c r="M79" s="666"/>
      <c r="N79" s="666"/>
      <c r="O79" s="666"/>
    </row>
    <row r="80" spans="1:15" x14ac:dyDescent="0.25">
      <c r="A80" s="666"/>
      <c r="B80" s="666"/>
      <c r="C80" s="666"/>
      <c r="D80" s="666"/>
      <c r="E80" s="666"/>
      <c r="F80" s="666"/>
      <c r="G80" s="666"/>
      <c r="H80" s="666"/>
      <c r="I80" s="666"/>
      <c r="J80" s="666"/>
      <c r="K80" s="666"/>
      <c r="L80" s="666"/>
      <c r="M80" s="666"/>
      <c r="N80" s="666"/>
      <c r="O80" s="666"/>
    </row>
    <row r="81" spans="1:15" x14ac:dyDescent="0.25">
      <c r="A81" s="666"/>
      <c r="B81" s="666"/>
      <c r="C81" s="666"/>
      <c r="D81" s="666"/>
      <c r="E81" s="666"/>
      <c r="F81" s="666"/>
      <c r="G81" s="666"/>
      <c r="H81" s="666"/>
      <c r="I81" s="666"/>
      <c r="J81" s="666"/>
      <c r="K81" s="666"/>
      <c r="L81" s="666"/>
      <c r="M81" s="666"/>
      <c r="N81" s="666"/>
      <c r="O81" s="666"/>
    </row>
    <row r="82" spans="1:15" x14ac:dyDescent="0.25">
      <c r="A82" s="666"/>
      <c r="B82" s="666"/>
      <c r="C82" s="666"/>
      <c r="D82" s="666"/>
      <c r="E82" s="666"/>
      <c r="F82" s="666"/>
      <c r="G82" s="666"/>
      <c r="H82" s="666"/>
      <c r="I82" s="666"/>
      <c r="J82" s="666"/>
      <c r="K82" s="666"/>
      <c r="L82" s="666"/>
      <c r="M82" s="666"/>
      <c r="N82" s="666"/>
      <c r="O82" s="666"/>
    </row>
    <row r="83" spans="1:15" x14ac:dyDescent="0.25">
      <c r="A83" s="666"/>
      <c r="B83" s="666"/>
      <c r="C83" s="666"/>
      <c r="D83" s="666"/>
      <c r="E83" s="666"/>
      <c r="F83" s="666"/>
      <c r="G83" s="666"/>
      <c r="H83" s="666"/>
      <c r="I83" s="666"/>
      <c r="J83" s="666"/>
      <c r="K83" s="666"/>
      <c r="L83" s="666"/>
      <c r="M83" s="666"/>
      <c r="N83" s="666"/>
      <c r="O83" s="666"/>
    </row>
    <row r="84" spans="1:15" x14ac:dyDescent="0.25">
      <c r="A84" s="666"/>
      <c r="B84" s="666"/>
      <c r="C84" s="666"/>
      <c r="D84" s="666"/>
      <c r="E84" s="666"/>
      <c r="F84" s="666"/>
      <c r="G84" s="666"/>
      <c r="H84" s="666"/>
      <c r="I84" s="666"/>
      <c r="J84" s="666"/>
      <c r="K84" s="666"/>
      <c r="L84" s="666"/>
      <c r="M84" s="666"/>
      <c r="N84" s="666"/>
      <c r="O84" s="666"/>
    </row>
    <row r="85" spans="1:15" x14ac:dyDescent="0.25">
      <c r="A85" s="666"/>
      <c r="B85" s="666"/>
      <c r="C85" s="666"/>
      <c r="D85" s="666"/>
      <c r="E85" s="666"/>
      <c r="F85" s="666"/>
      <c r="G85" s="666"/>
      <c r="H85" s="666"/>
      <c r="I85" s="666"/>
      <c r="J85" s="666"/>
      <c r="K85" s="666"/>
      <c r="L85" s="666"/>
      <c r="M85" s="666"/>
      <c r="N85" s="666"/>
      <c r="O85" s="666"/>
    </row>
    <row r="86" spans="1:15" x14ac:dyDescent="0.25">
      <c r="A86" s="666"/>
      <c r="B86" s="666"/>
      <c r="C86" s="666"/>
      <c r="D86" s="666"/>
      <c r="E86" s="666"/>
      <c r="F86" s="666"/>
      <c r="G86" s="666"/>
      <c r="H86" s="666"/>
      <c r="I86" s="666"/>
      <c r="J86" s="666"/>
      <c r="K86" s="666"/>
      <c r="L86" s="666"/>
      <c r="M86" s="666"/>
      <c r="N86" s="666"/>
      <c r="O86" s="666"/>
    </row>
    <row r="87" spans="1:15" x14ac:dyDescent="0.25">
      <c r="A87" s="666"/>
      <c r="B87" s="666"/>
      <c r="C87" s="666"/>
      <c r="D87" s="666"/>
      <c r="E87" s="666"/>
      <c r="F87" s="666"/>
      <c r="G87" s="666"/>
      <c r="H87" s="666"/>
      <c r="I87" s="666"/>
      <c r="J87" s="666"/>
      <c r="K87" s="666"/>
      <c r="L87" s="666"/>
      <c r="M87" s="666"/>
      <c r="N87" s="666"/>
      <c r="O87" s="666"/>
    </row>
    <row r="88" spans="1:15" x14ac:dyDescent="0.25">
      <c r="A88" s="666"/>
      <c r="B88" s="666"/>
      <c r="C88" s="666"/>
      <c r="D88" s="666"/>
      <c r="E88" s="666"/>
      <c r="F88" s="666"/>
      <c r="G88" s="666"/>
      <c r="H88" s="666"/>
      <c r="I88" s="666"/>
      <c r="J88" s="666"/>
      <c r="K88" s="666"/>
      <c r="L88" s="666"/>
      <c r="M88" s="666"/>
      <c r="N88" s="666"/>
      <c r="O88" s="666"/>
    </row>
    <row r="89" spans="1:15" x14ac:dyDescent="0.25">
      <c r="A89" s="666"/>
      <c r="B89" s="666"/>
      <c r="C89" s="666"/>
      <c r="D89" s="666"/>
      <c r="E89" s="666"/>
      <c r="F89" s="666"/>
      <c r="G89" s="666"/>
      <c r="H89" s="666"/>
      <c r="I89" s="666"/>
      <c r="J89" s="666"/>
      <c r="K89" s="666"/>
      <c r="L89" s="666"/>
      <c r="M89" s="666"/>
      <c r="N89" s="666"/>
      <c r="O89" s="666"/>
    </row>
    <row r="90" spans="1:15" x14ac:dyDescent="0.25">
      <c r="A90" s="666"/>
      <c r="B90" s="666"/>
      <c r="C90" s="666"/>
      <c r="D90" s="666"/>
      <c r="E90" s="666"/>
      <c r="F90" s="666"/>
      <c r="G90" s="666"/>
      <c r="H90" s="666"/>
      <c r="I90" s="666"/>
      <c r="J90" s="666"/>
      <c r="K90" s="666"/>
      <c r="L90" s="666"/>
      <c r="M90" s="666"/>
      <c r="N90" s="666"/>
    </row>
    <row r="91" spans="1:15" x14ac:dyDescent="0.25">
      <c r="A91" s="666"/>
      <c r="B91" s="666"/>
      <c r="C91" s="666"/>
      <c r="D91" s="666"/>
      <c r="E91" s="666"/>
      <c r="F91" s="666"/>
      <c r="G91" s="666"/>
      <c r="H91" s="666"/>
      <c r="I91" s="666"/>
      <c r="J91" s="666"/>
      <c r="K91" s="666"/>
      <c r="L91" s="666"/>
      <c r="M91" s="666"/>
      <c r="N91" s="666"/>
    </row>
    <row r="92" spans="1:15" x14ac:dyDescent="0.25">
      <c r="A92" s="666"/>
      <c r="B92" s="666"/>
      <c r="C92" s="666"/>
      <c r="D92" s="666"/>
      <c r="E92" s="666"/>
      <c r="F92" s="666"/>
      <c r="G92" s="666"/>
      <c r="H92" s="666"/>
      <c r="I92" s="666"/>
      <c r="J92" s="666"/>
      <c r="K92" s="666"/>
      <c r="L92" s="666"/>
      <c r="M92" s="666"/>
      <c r="N92" s="666"/>
    </row>
    <row r="93" spans="1:15" x14ac:dyDescent="0.25">
      <c r="A93" s="666"/>
      <c r="B93" s="666"/>
      <c r="C93" s="666"/>
      <c r="D93" s="666"/>
      <c r="E93" s="666"/>
      <c r="F93" s="666"/>
      <c r="G93" s="666"/>
      <c r="H93" s="666"/>
      <c r="I93" s="666"/>
      <c r="J93" s="666"/>
      <c r="K93" s="666"/>
      <c r="L93" s="666"/>
      <c r="M93" s="666"/>
      <c r="N93" s="666"/>
    </row>
    <row r="94" spans="1:15" x14ac:dyDescent="0.25">
      <c r="A94" s="666"/>
      <c r="B94" s="666"/>
      <c r="C94" s="666"/>
      <c r="D94" s="666"/>
      <c r="E94" s="666"/>
      <c r="F94" s="666"/>
      <c r="G94" s="666"/>
      <c r="H94" s="666"/>
      <c r="I94" s="666"/>
      <c r="J94" s="666"/>
      <c r="K94" s="666"/>
      <c r="L94" s="666"/>
      <c r="M94" s="666"/>
      <c r="N94" s="666"/>
    </row>
    <row r="95" spans="1:15" x14ac:dyDescent="0.25">
      <c r="A95" s="666"/>
      <c r="B95" s="666"/>
      <c r="C95" s="666"/>
      <c r="D95" s="666"/>
      <c r="E95" s="666"/>
      <c r="F95" s="666"/>
      <c r="G95" s="666"/>
      <c r="H95" s="666"/>
      <c r="I95" s="666"/>
      <c r="J95" s="666"/>
      <c r="K95" s="666"/>
      <c r="L95" s="666"/>
      <c r="M95" s="666"/>
      <c r="N95" s="666"/>
    </row>
    <row r="96" spans="1:15" x14ac:dyDescent="0.25">
      <c r="A96" s="666"/>
      <c r="B96" s="666"/>
      <c r="C96" s="666"/>
      <c r="D96" s="666"/>
      <c r="E96" s="666"/>
      <c r="F96" s="666"/>
      <c r="G96" s="666"/>
      <c r="H96" s="666"/>
      <c r="I96" s="666"/>
      <c r="J96" s="666"/>
      <c r="K96" s="666"/>
      <c r="L96" s="666"/>
      <c r="M96" s="666"/>
      <c r="N96" s="666"/>
    </row>
    <row r="97" spans="1:14" x14ac:dyDescent="0.25">
      <c r="A97" s="666"/>
      <c r="B97" s="666"/>
      <c r="C97" s="666"/>
      <c r="D97" s="666"/>
      <c r="E97" s="666"/>
      <c r="F97" s="666"/>
      <c r="G97" s="666"/>
      <c r="H97" s="666"/>
      <c r="I97" s="666"/>
      <c r="J97" s="666"/>
      <c r="K97" s="666"/>
      <c r="L97" s="666"/>
      <c r="M97" s="666"/>
      <c r="N97" s="666"/>
    </row>
    <row r="98" spans="1:14" x14ac:dyDescent="0.25">
      <c r="A98" s="666"/>
      <c r="B98" s="666"/>
      <c r="C98" s="666"/>
      <c r="D98" s="666"/>
      <c r="E98" s="666"/>
      <c r="F98" s="666"/>
      <c r="G98" s="666"/>
      <c r="H98" s="666"/>
      <c r="I98" s="666"/>
      <c r="J98" s="666"/>
      <c r="K98" s="666"/>
      <c r="L98" s="666"/>
      <c r="M98" s="666"/>
      <c r="N98" s="666"/>
    </row>
    <row r="99" spans="1:14" x14ac:dyDescent="0.25">
      <c r="A99" s="666"/>
      <c r="B99" s="666"/>
      <c r="C99" s="666"/>
      <c r="D99" s="666"/>
      <c r="E99" s="666"/>
      <c r="F99" s="666"/>
      <c r="G99" s="666"/>
      <c r="H99" s="666"/>
      <c r="I99" s="666"/>
      <c r="J99" s="666"/>
      <c r="K99" s="666"/>
      <c r="L99" s="666"/>
      <c r="M99" s="666"/>
      <c r="N99" s="666"/>
    </row>
    <row r="100" spans="1:14" x14ac:dyDescent="0.25">
      <c r="A100" s="666"/>
      <c r="B100" s="666"/>
      <c r="C100" s="666"/>
      <c r="D100" s="666"/>
      <c r="E100" s="666"/>
      <c r="F100" s="666"/>
      <c r="G100" s="666"/>
      <c r="H100" s="666"/>
      <c r="I100" s="666"/>
      <c r="J100" s="666"/>
      <c r="K100" s="666"/>
      <c r="L100" s="666"/>
      <c r="M100" s="666"/>
      <c r="N100" s="666"/>
    </row>
    <row r="101" spans="1:14" x14ac:dyDescent="0.25">
      <c r="A101" s="666"/>
      <c r="B101" s="666"/>
      <c r="C101" s="666"/>
      <c r="D101" s="666"/>
      <c r="E101" s="666"/>
      <c r="F101" s="666"/>
      <c r="G101" s="666"/>
      <c r="H101" s="666"/>
      <c r="I101" s="666"/>
      <c r="J101" s="666"/>
      <c r="K101" s="666"/>
      <c r="L101" s="666"/>
      <c r="M101" s="666"/>
      <c r="N101" s="666"/>
    </row>
    <row r="102" spans="1:14" x14ac:dyDescent="0.25">
      <c r="A102" s="666"/>
      <c r="B102" s="666"/>
      <c r="C102" s="666"/>
      <c r="D102" s="666"/>
      <c r="E102" s="666"/>
      <c r="F102" s="666"/>
      <c r="G102" s="666"/>
      <c r="H102" s="666"/>
      <c r="I102" s="666"/>
      <c r="J102" s="666"/>
      <c r="K102" s="666"/>
      <c r="L102" s="666"/>
      <c r="M102" s="666"/>
      <c r="N102" s="666"/>
    </row>
    <row r="103" spans="1:14" x14ac:dyDescent="0.25">
      <c r="A103" s="666"/>
      <c r="B103" s="666"/>
      <c r="C103" s="666"/>
      <c r="D103" s="666"/>
      <c r="E103" s="666"/>
      <c r="F103" s="666"/>
      <c r="G103" s="666"/>
      <c r="H103" s="666"/>
      <c r="I103" s="666"/>
      <c r="J103" s="666"/>
      <c r="K103" s="666"/>
      <c r="L103" s="666"/>
      <c r="M103" s="666"/>
      <c r="N103" s="666"/>
    </row>
    <row r="104" spans="1:14" x14ac:dyDescent="0.25">
      <c r="A104" s="666"/>
      <c r="B104" s="666"/>
      <c r="C104" s="666"/>
      <c r="D104" s="666"/>
      <c r="E104" s="666"/>
      <c r="F104" s="666"/>
      <c r="G104" s="666"/>
      <c r="H104" s="666"/>
      <c r="I104" s="666"/>
      <c r="J104" s="666"/>
      <c r="K104" s="666"/>
      <c r="L104" s="666"/>
      <c r="M104" s="666"/>
      <c r="N104" s="666"/>
    </row>
    <row r="105" spans="1:14" x14ac:dyDescent="0.25">
      <c r="A105" s="666"/>
      <c r="B105" s="666"/>
      <c r="C105" s="666"/>
      <c r="D105" s="666"/>
      <c r="E105" s="666"/>
      <c r="F105" s="666"/>
      <c r="G105" s="666"/>
      <c r="H105" s="666"/>
      <c r="I105" s="666"/>
      <c r="J105" s="666"/>
      <c r="K105" s="666"/>
      <c r="L105" s="666"/>
      <c r="M105" s="666"/>
      <c r="N105" s="666"/>
    </row>
    <row r="106" spans="1:14" x14ac:dyDescent="0.25">
      <c r="A106" s="666"/>
      <c r="B106" s="666"/>
      <c r="C106" s="666"/>
      <c r="D106" s="666"/>
      <c r="E106" s="666"/>
      <c r="F106" s="666"/>
      <c r="G106" s="666"/>
      <c r="H106" s="666"/>
      <c r="I106" s="666"/>
      <c r="J106" s="666"/>
      <c r="K106" s="666"/>
      <c r="L106" s="666"/>
      <c r="M106" s="666"/>
      <c r="N106" s="666"/>
    </row>
    <row r="107" spans="1:14" x14ac:dyDescent="0.25">
      <c r="A107" s="666"/>
      <c r="B107" s="666"/>
      <c r="C107" s="666"/>
      <c r="D107" s="666"/>
      <c r="E107" s="666"/>
      <c r="F107" s="666"/>
      <c r="G107" s="666"/>
      <c r="H107" s="666"/>
      <c r="I107" s="666"/>
      <c r="J107" s="666"/>
      <c r="K107" s="666"/>
      <c r="L107" s="666"/>
      <c r="M107" s="666"/>
      <c r="N107" s="666"/>
    </row>
    <row r="108" spans="1:14" x14ac:dyDescent="0.25">
      <c r="A108" s="666"/>
      <c r="B108" s="666"/>
      <c r="C108" s="666"/>
      <c r="D108" s="666"/>
      <c r="E108" s="666"/>
      <c r="F108" s="666"/>
      <c r="G108" s="666"/>
      <c r="H108" s="666"/>
      <c r="I108" s="666"/>
      <c r="J108" s="666"/>
      <c r="K108" s="666"/>
      <c r="L108" s="666"/>
      <c r="M108" s="666"/>
      <c r="N108" s="666"/>
    </row>
    <row r="109" spans="1:14" x14ac:dyDescent="0.25">
      <c r="A109" s="666"/>
      <c r="B109" s="666"/>
      <c r="C109" s="666"/>
      <c r="D109" s="666"/>
      <c r="E109" s="666"/>
      <c r="F109" s="666"/>
      <c r="G109" s="666"/>
      <c r="H109" s="666"/>
      <c r="I109" s="666"/>
      <c r="J109" s="666"/>
      <c r="K109" s="666"/>
      <c r="L109" s="666"/>
      <c r="M109" s="666"/>
      <c r="N109" s="666"/>
    </row>
    <row r="110" spans="1:14" x14ac:dyDescent="0.25">
      <c r="A110" s="666"/>
      <c r="B110" s="666"/>
      <c r="C110" s="666"/>
      <c r="D110" s="666"/>
      <c r="E110" s="666"/>
      <c r="F110" s="666"/>
      <c r="G110" s="666"/>
      <c r="H110" s="666"/>
      <c r="I110" s="666"/>
      <c r="J110" s="666"/>
      <c r="K110" s="666"/>
      <c r="L110" s="666"/>
      <c r="M110" s="666"/>
      <c r="N110" s="666"/>
    </row>
    <row r="111" spans="1:14" x14ac:dyDescent="0.25">
      <c r="A111" s="666"/>
      <c r="B111" s="666"/>
      <c r="C111" s="666"/>
      <c r="D111" s="666"/>
      <c r="E111" s="666"/>
      <c r="F111" s="666"/>
      <c r="G111" s="666"/>
      <c r="H111" s="666"/>
      <c r="I111" s="666"/>
      <c r="J111" s="666"/>
      <c r="K111" s="666"/>
      <c r="L111" s="666"/>
      <c r="M111" s="666"/>
      <c r="N111" s="666"/>
    </row>
    <row r="112" spans="1:14" x14ac:dyDescent="0.25">
      <c r="A112" s="666"/>
      <c r="B112" s="666"/>
      <c r="C112" s="666"/>
      <c r="D112" s="666"/>
      <c r="E112" s="666"/>
      <c r="F112" s="666"/>
      <c r="G112" s="666"/>
      <c r="H112" s="666"/>
      <c r="I112" s="666"/>
      <c r="J112" s="666"/>
      <c r="K112" s="666"/>
      <c r="L112" s="666"/>
      <c r="M112" s="666"/>
      <c r="N112" s="666"/>
    </row>
    <row r="113" spans="1:14" x14ac:dyDescent="0.25">
      <c r="A113" s="666"/>
      <c r="B113" s="666"/>
      <c r="C113" s="666"/>
      <c r="D113" s="666"/>
      <c r="E113" s="666"/>
      <c r="F113" s="666"/>
      <c r="G113" s="666"/>
      <c r="H113" s="666"/>
      <c r="I113" s="666"/>
      <c r="J113" s="666"/>
      <c r="K113" s="666"/>
      <c r="L113" s="666"/>
      <c r="M113" s="666"/>
      <c r="N113" s="666"/>
    </row>
    <row r="114" spans="1:14" x14ac:dyDescent="0.25">
      <c r="A114" s="666"/>
      <c r="B114" s="666"/>
      <c r="C114" s="666"/>
      <c r="D114" s="666"/>
      <c r="E114" s="666"/>
      <c r="F114" s="666"/>
      <c r="G114" s="666"/>
      <c r="H114" s="666"/>
      <c r="I114" s="666"/>
      <c r="J114" s="666"/>
      <c r="K114" s="666"/>
      <c r="L114" s="666"/>
      <c r="M114" s="666"/>
      <c r="N114" s="666"/>
    </row>
    <row r="115" spans="1:14" x14ac:dyDescent="0.25">
      <c r="A115" s="666"/>
      <c r="B115" s="666"/>
      <c r="C115" s="666"/>
      <c r="D115" s="666"/>
      <c r="E115" s="666"/>
      <c r="F115" s="666"/>
      <c r="G115" s="666"/>
      <c r="H115" s="666"/>
      <c r="I115" s="666"/>
      <c r="J115" s="666"/>
      <c r="K115" s="666"/>
      <c r="L115" s="666"/>
      <c r="M115" s="666"/>
      <c r="N115" s="666"/>
    </row>
    <row r="116" spans="1:14" x14ac:dyDescent="0.25">
      <c r="A116" s="666"/>
      <c r="B116" s="666"/>
      <c r="C116" s="666"/>
      <c r="D116" s="666"/>
      <c r="E116" s="666"/>
      <c r="F116" s="666"/>
      <c r="G116" s="666"/>
      <c r="H116" s="666"/>
      <c r="I116" s="666"/>
      <c r="J116" s="666"/>
      <c r="K116" s="666"/>
      <c r="L116" s="666"/>
      <c r="M116" s="666"/>
      <c r="N116" s="666"/>
    </row>
    <row r="117" spans="1:14" x14ac:dyDescent="0.25">
      <c r="A117" s="666"/>
      <c r="B117" s="666"/>
      <c r="C117" s="666"/>
      <c r="D117" s="666"/>
      <c r="E117" s="666"/>
      <c r="F117" s="666"/>
      <c r="G117" s="666"/>
      <c r="H117" s="666"/>
      <c r="I117" s="666"/>
      <c r="J117" s="666"/>
      <c r="K117" s="666"/>
      <c r="L117" s="666"/>
      <c r="M117" s="666"/>
      <c r="N117" s="666"/>
    </row>
    <row r="118" spans="1:14" x14ac:dyDescent="0.25">
      <c r="A118" s="666"/>
      <c r="B118" s="666"/>
      <c r="C118" s="666"/>
      <c r="D118" s="666"/>
      <c r="E118" s="666"/>
      <c r="F118" s="666"/>
      <c r="G118" s="666"/>
      <c r="H118" s="666"/>
      <c r="I118" s="666"/>
      <c r="J118" s="666"/>
      <c r="K118" s="666"/>
      <c r="L118" s="666"/>
      <c r="M118" s="666"/>
      <c r="N118" s="666"/>
    </row>
    <row r="119" spans="1:14" x14ac:dyDescent="0.25">
      <c r="A119" s="666"/>
      <c r="B119" s="666"/>
      <c r="C119" s="666"/>
      <c r="D119" s="666"/>
      <c r="E119" s="666"/>
      <c r="F119" s="666"/>
      <c r="G119" s="666"/>
      <c r="H119" s="666"/>
      <c r="I119" s="666"/>
      <c r="J119" s="666"/>
      <c r="K119" s="666"/>
      <c r="L119" s="666"/>
      <c r="M119" s="666"/>
      <c r="N119" s="666"/>
    </row>
    <row r="120" spans="1:14" x14ac:dyDescent="0.25">
      <c r="A120" s="666"/>
      <c r="B120" s="666"/>
      <c r="C120" s="666"/>
      <c r="D120" s="666"/>
      <c r="E120" s="666"/>
      <c r="F120" s="666"/>
      <c r="G120" s="666"/>
      <c r="H120" s="666"/>
      <c r="I120" s="666"/>
      <c r="J120" s="666"/>
      <c r="K120" s="666"/>
      <c r="L120" s="666"/>
      <c r="M120" s="666"/>
      <c r="N120" s="666"/>
    </row>
    <row r="121" spans="1:14" x14ac:dyDescent="0.25">
      <c r="A121" s="666"/>
      <c r="B121" s="666"/>
      <c r="C121" s="666"/>
      <c r="D121" s="666"/>
      <c r="E121" s="666"/>
      <c r="F121" s="666"/>
      <c r="G121" s="666"/>
      <c r="H121" s="666"/>
      <c r="I121" s="666"/>
      <c r="J121" s="666"/>
      <c r="K121" s="666"/>
      <c r="L121" s="666"/>
      <c r="M121" s="666"/>
      <c r="N121" s="666"/>
    </row>
    <row r="122" spans="1:14" x14ac:dyDescent="0.25">
      <c r="A122" s="666"/>
      <c r="B122" s="666"/>
      <c r="C122" s="666"/>
      <c r="D122" s="666"/>
      <c r="E122" s="666"/>
      <c r="F122" s="666"/>
      <c r="G122" s="666"/>
      <c r="H122" s="666"/>
      <c r="I122" s="666"/>
      <c r="J122" s="666"/>
      <c r="K122" s="666"/>
      <c r="L122" s="666"/>
      <c r="M122" s="666"/>
      <c r="N122" s="666"/>
    </row>
    <row r="123" spans="1:14" x14ac:dyDescent="0.25">
      <c r="A123" s="666"/>
      <c r="B123" s="666"/>
      <c r="C123" s="666"/>
      <c r="D123" s="666"/>
      <c r="E123" s="666"/>
      <c r="F123" s="666"/>
      <c r="G123" s="666"/>
      <c r="H123" s="666"/>
      <c r="I123" s="666"/>
      <c r="J123" s="666"/>
      <c r="K123" s="666"/>
      <c r="L123" s="666"/>
      <c r="M123" s="666"/>
      <c r="N123" s="666"/>
    </row>
    <row r="124" spans="1:14" x14ac:dyDescent="0.25">
      <c r="A124" s="666"/>
      <c r="B124" s="666"/>
      <c r="C124" s="666"/>
      <c r="D124" s="666"/>
      <c r="E124" s="666"/>
      <c r="F124" s="666"/>
      <c r="G124" s="666"/>
      <c r="H124" s="666"/>
      <c r="I124" s="666"/>
      <c r="J124" s="666"/>
      <c r="K124" s="666"/>
      <c r="L124" s="666"/>
      <c r="M124" s="666"/>
      <c r="N124" s="666"/>
    </row>
    <row r="125" spans="1:14" x14ac:dyDescent="0.25">
      <c r="A125" s="666"/>
      <c r="B125" s="666"/>
      <c r="C125" s="666"/>
      <c r="D125" s="666"/>
      <c r="E125" s="666"/>
      <c r="F125" s="666"/>
      <c r="G125" s="666"/>
      <c r="H125" s="666"/>
      <c r="I125" s="666"/>
      <c r="J125" s="666"/>
      <c r="K125" s="666"/>
      <c r="L125" s="666"/>
      <c r="M125" s="666"/>
      <c r="N125" s="666"/>
    </row>
    <row r="126" spans="1:14" x14ac:dyDescent="0.25">
      <c r="A126" s="666"/>
      <c r="B126" s="666"/>
      <c r="C126" s="666"/>
      <c r="D126" s="666"/>
      <c r="E126" s="666"/>
      <c r="F126" s="666"/>
      <c r="G126" s="666"/>
      <c r="H126" s="666"/>
      <c r="I126" s="666"/>
      <c r="J126" s="666"/>
      <c r="K126" s="666"/>
      <c r="L126" s="666"/>
      <c r="M126" s="666"/>
      <c r="N126" s="666"/>
    </row>
    <row r="127" spans="1:14" x14ac:dyDescent="0.25">
      <c r="A127" s="666"/>
      <c r="B127" s="666"/>
      <c r="C127" s="666"/>
      <c r="D127" s="666"/>
      <c r="E127" s="666"/>
      <c r="F127" s="666"/>
      <c r="G127" s="666"/>
      <c r="H127" s="666"/>
      <c r="I127" s="666"/>
      <c r="J127" s="666"/>
      <c r="K127" s="666"/>
      <c r="L127" s="666"/>
      <c r="M127" s="666"/>
      <c r="N127" s="666"/>
    </row>
    <row r="128" spans="1:14" x14ac:dyDescent="0.25">
      <c r="A128" s="666"/>
      <c r="B128" s="666"/>
      <c r="C128" s="666"/>
      <c r="D128" s="666"/>
      <c r="E128" s="666"/>
      <c r="F128" s="666"/>
      <c r="G128" s="666"/>
      <c r="H128" s="666"/>
      <c r="I128" s="666"/>
      <c r="J128" s="666"/>
      <c r="K128" s="666"/>
      <c r="L128" s="666"/>
      <c r="M128" s="666"/>
      <c r="N128" s="666"/>
    </row>
    <row r="129" spans="1:14" x14ac:dyDescent="0.25">
      <c r="A129" s="666"/>
      <c r="B129" s="666"/>
      <c r="C129" s="666"/>
      <c r="D129" s="666"/>
      <c r="E129" s="666"/>
      <c r="F129" s="666"/>
      <c r="G129" s="666"/>
      <c r="H129" s="666"/>
      <c r="I129" s="666"/>
      <c r="J129" s="666"/>
      <c r="K129" s="666"/>
      <c r="L129" s="666"/>
      <c r="M129" s="666"/>
      <c r="N129" s="666"/>
    </row>
    <row r="130" spans="1:14" x14ac:dyDescent="0.25">
      <c r="A130" s="666"/>
      <c r="B130" s="666"/>
      <c r="C130" s="666"/>
      <c r="D130" s="666"/>
      <c r="E130" s="666"/>
      <c r="F130" s="666"/>
      <c r="G130" s="666"/>
      <c r="H130" s="666"/>
      <c r="I130" s="666"/>
      <c r="J130" s="666"/>
      <c r="K130" s="666"/>
      <c r="L130" s="666"/>
      <c r="M130" s="666"/>
      <c r="N130" s="666"/>
    </row>
    <row r="131" spans="1:14" x14ac:dyDescent="0.25">
      <c r="A131" s="666"/>
      <c r="B131" s="666"/>
      <c r="C131" s="666"/>
      <c r="D131" s="666"/>
      <c r="E131" s="666"/>
      <c r="F131" s="666"/>
      <c r="G131" s="666"/>
      <c r="H131" s="666"/>
      <c r="I131" s="666"/>
      <c r="J131" s="666"/>
      <c r="K131" s="666"/>
      <c r="L131" s="666"/>
      <c r="M131" s="666"/>
      <c r="N131" s="666"/>
    </row>
    <row r="132" spans="1:14" x14ac:dyDescent="0.25">
      <c r="A132" s="666"/>
      <c r="B132" s="666"/>
      <c r="C132" s="666"/>
      <c r="D132" s="666"/>
      <c r="E132" s="666"/>
      <c r="F132" s="666"/>
      <c r="G132" s="666"/>
      <c r="H132" s="666"/>
      <c r="I132" s="666"/>
      <c r="J132" s="666"/>
      <c r="K132" s="666"/>
      <c r="L132" s="666"/>
      <c r="M132" s="666"/>
      <c r="N132" s="666"/>
    </row>
    <row r="133" spans="1:14" x14ac:dyDescent="0.25">
      <c r="A133" s="666"/>
      <c r="B133" s="666"/>
      <c r="C133" s="666"/>
      <c r="D133" s="666"/>
      <c r="E133" s="666"/>
      <c r="F133" s="666"/>
      <c r="G133" s="666"/>
      <c r="H133" s="666"/>
      <c r="I133" s="666"/>
      <c r="J133" s="666"/>
      <c r="K133" s="666"/>
      <c r="L133" s="666"/>
      <c r="M133" s="666"/>
      <c r="N133" s="666"/>
    </row>
    <row r="134" spans="1:14" x14ac:dyDescent="0.25">
      <c r="A134" s="666"/>
      <c r="B134" s="666"/>
      <c r="C134" s="666"/>
      <c r="D134" s="666"/>
      <c r="E134" s="666"/>
      <c r="F134" s="666"/>
      <c r="G134" s="666"/>
      <c r="H134" s="666"/>
      <c r="I134" s="666"/>
      <c r="J134" s="666"/>
      <c r="K134" s="666"/>
      <c r="L134" s="666"/>
      <c r="M134" s="666"/>
      <c r="N134" s="666"/>
    </row>
    <row r="135" spans="1:14" x14ac:dyDescent="0.25">
      <c r="A135" s="666"/>
      <c r="B135" s="666"/>
      <c r="C135" s="666"/>
      <c r="D135" s="666"/>
      <c r="E135" s="666"/>
      <c r="F135" s="666"/>
      <c r="G135" s="666"/>
      <c r="H135" s="666"/>
      <c r="I135" s="666"/>
      <c r="J135" s="666"/>
      <c r="K135" s="666"/>
      <c r="L135" s="666"/>
      <c r="M135" s="666"/>
      <c r="N135" s="666"/>
    </row>
    <row r="136" spans="1:14" x14ac:dyDescent="0.25">
      <c r="A136" s="666"/>
      <c r="B136" s="666"/>
      <c r="C136" s="666"/>
      <c r="D136" s="666"/>
      <c r="E136" s="666"/>
      <c r="F136" s="666"/>
      <c r="G136" s="666"/>
      <c r="H136" s="666"/>
      <c r="I136" s="666"/>
      <c r="J136" s="666"/>
      <c r="K136" s="666"/>
      <c r="L136" s="666"/>
      <c r="M136" s="666"/>
      <c r="N136" s="666"/>
    </row>
    <row r="137" spans="1:14" x14ac:dyDescent="0.25">
      <c r="A137" s="666"/>
      <c r="B137" s="666"/>
      <c r="C137" s="666"/>
      <c r="D137" s="666"/>
      <c r="E137" s="666"/>
      <c r="F137" s="666"/>
      <c r="G137" s="666"/>
      <c r="H137" s="666"/>
      <c r="I137" s="666"/>
      <c r="J137" s="666"/>
      <c r="K137" s="666"/>
      <c r="L137" s="666"/>
      <c r="M137" s="666"/>
      <c r="N137" s="666"/>
    </row>
    <row r="138" spans="1:14" x14ac:dyDescent="0.25">
      <c r="A138" s="666"/>
      <c r="B138" s="666"/>
      <c r="C138" s="666"/>
      <c r="D138" s="666"/>
      <c r="E138" s="666"/>
      <c r="F138" s="666"/>
      <c r="G138" s="666"/>
      <c r="H138" s="666"/>
      <c r="I138" s="666"/>
      <c r="J138" s="666"/>
      <c r="K138" s="666"/>
      <c r="L138" s="666"/>
      <c r="M138" s="666"/>
      <c r="N138" s="666"/>
    </row>
    <row r="139" spans="1:14" x14ac:dyDescent="0.25">
      <c r="A139" s="666"/>
      <c r="B139" s="666"/>
      <c r="C139" s="666"/>
      <c r="D139" s="666"/>
      <c r="E139" s="666"/>
      <c r="F139" s="666"/>
      <c r="G139" s="666"/>
      <c r="H139" s="666"/>
      <c r="I139" s="666"/>
      <c r="J139" s="666"/>
      <c r="K139" s="666"/>
      <c r="L139" s="666"/>
      <c r="M139" s="666"/>
      <c r="N139" s="666"/>
    </row>
    <row r="140" spans="1:14" x14ac:dyDescent="0.25">
      <c r="A140" s="666"/>
      <c r="B140" s="666"/>
      <c r="C140" s="666"/>
      <c r="D140" s="666"/>
      <c r="E140" s="666"/>
      <c r="F140" s="666"/>
      <c r="G140" s="666"/>
      <c r="H140" s="666"/>
      <c r="I140" s="666"/>
      <c r="J140" s="666"/>
      <c r="K140" s="666"/>
      <c r="L140" s="666"/>
      <c r="M140" s="666"/>
      <c r="N140" s="666"/>
    </row>
    <row r="141" spans="1:14" x14ac:dyDescent="0.25">
      <c r="A141" s="666"/>
      <c r="B141" s="666"/>
      <c r="C141" s="666"/>
      <c r="D141" s="666"/>
      <c r="E141" s="666"/>
      <c r="F141" s="666"/>
      <c r="G141" s="666"/>
      <c r="H141" s="666"/>
      <c r="I141" s="666"/>
      <c r="J141" s="666"/>
      <c r="K141" s="666"/>
      <c r="L141" s="666"/>
      <c r="M141" s="666"/>
      <c r="N141" s="666"/>
    </row>
    <row r="142" spans="1:14" x14ac:dyDescent="0.25">
      <c r="A142" s="666"/>
      <c r="B142" s="666"/>
      <c r="C142" s="666"/>
      <c r="D142" s="666"/>
      <c r="E142" s="666"/>
      <c r="F142" s="666"/>
      <c r="G142" s="666"/>
      <c r="H142" s="666"/>
      <c r="I142" s="666"/>
      <c r="J142" s="666"/>
      <c r="K142" s="666"/>
      <c r="L142" s="666"/>
      <c r="M142" s="666"/>
      <c r="N142" s="666"/>
    </row>
    <row r="143" spans="1:14" x14ac:dyDescent="0.25">
      <c r="A143" s="666"/>
      <c r="B143" s="666"/>
      <c r="C143" s="666"/>
      <c r="D143" s="666"/>
      <c r="E143" s="666"/>
      <c r="F143" s="666"/>
      <c r="G143" s="666"/>
      <c r="H143" s="666"/>
      <c r="I143" s="666"/>
      <c r="J143" s="666"/>
      <c r="K143" s="666"/>
      <c r="L143" s="666"/>
      <c r="M143" s="666"/>
      <c r="N143" s="666"/>
    </row>
    <row r="144" spans="1:14" x14ac:dyDescent="0.25">
      <c r="A144" s="666"/>
      <c r="B144" s="666"/>
      <c r="C144" s="666"/>
      <c r="D144" s="666"/>
      <c r="E144" s="666"/>
      <c r="F144" s="666"/>
      <c r="G144" s="666"/>
      <c r="H144" s="666"/>
      <c r="I144" s="666"/>
      <c r="J144" s="666"/>
      <c r="K144" s="666"/>
      <c r="L144" s="666"/>
      <c r="M144" s="666"/>
      <c r="N144" s="666"/>
    </row>
    <row r="145" spans="1:14" x14ac:dyDescent="0.25">
      <c r="A145" s="666"/>
      <c r="B145" s="666"/>
      <c r="C145" s="666"/>
      <c r="D145" s="666"/>
      <c r="E145" s="666"/>
      <c r="F145" s="666"/>
      <c r="G145" s="666"/>
      <c r="H145" s="666"/>
      <c r="I145" s="666"/>
      <c r="J145" s="666"/>
      <c r="K145" s="666"/>
      <c r="L145" s="666"/>
      <c r="M145" s="666"/>
      <c r="N145" s="666"/>
    </row>
    <row r="146" spans="1:14" x14ac:dyDescent="0.25">
      <c r="A146" s="666"/>
      <c r="B146" s="666"/>
      <c r="C146" s="666"/>
      <c r="D146" s="666"/>
      <c r="E146" s="666"/>
      <c r="F146" s="666"/>
      <c r="G146" s="666"/>
      <c r="H146" s="666"/>
      <c r="I146" s="666"/>
      <c r="J146" s="666"/>
      <c r="K146" s="666"/>
      <c r="L146" s="666"/>
      <c r="M146" s="666"/>
      <c r="N146" s="666"/>
    </row>
    <row r="147" spans="1:14" x14ac:dyDescent="0.25">
      <c r="A147" s="666"/>
      <c r="B147" s="666"/>
      <c r="C147" s="666"/>
      <c r="D147" s="666"/>
      <c r="E147" s="666"/>
      <c r="F147" s="666"/>
      <c r="G147" s="666"/>
      <c r="H147" s="666"/>
      <c r="I147" s="666"/>
      <c r="J147" s="666"/>
      <c r="K147" s="666"/>
      <c r="L147" s="666"/>
      <c r="M147" s="666"/>
      <c r="N147" s="666"/>
    </row>
    <row r="148" spans="1:14" x14ac:dyDescent="0.25">
      <c r="A148" s="666"/>
      <c r="B148" s="666"/>
      <c r="C148" s="666"/>
      <c r="D148" s="666"/>
      <c r="E148" s="666"/>
      <c r="F148" s="666"/>
      <c r="G148" s="666"/>
      <c r="H148" s="666"/>
      <c r="I148" s="666"/>
      <c r="J148" s="666"/>
      <c r="K148" s="666"/>
      <c r="L148" s="666"/>
      <c r="M148" s="666"/>
      <c r="N148" s="666"/>
    </row>
    <row r="149" spans="1:14" x14ac:dyDescent="0.25">
      <c r="A149" s="666"/>
      <c r="B149" s="666"/>
      <c r="C149" s="666"/>
      <c r="D149" s="666"/>
      <c r="E149" s="666"/>
      <c r="F149" s="666"/>
      <c r="G149" s="666"/>
      <c r="H149" s="666"/>
      <c r="I149" s="666"/>
      <c r="J149" s="666"/>
      <c r="K149" s="666"/>
      <c r="L149" s="666"/>
      <c r="M149" s="666"/>
      <c r="N149" s="666"/>
    </row>
    <row r="150" spans="1:14" x14ac:dyDescent="0.25">
      <c r="A150" s="666"/>
      <c r="B150" s="666"/>
      <c r="C150" s="666"/>
      <c r="D150" s="666"/>
      <c r="E150" s="666"/>
      <c r="F150" s="666"/>
      <c r="G150" s="666"/>
      <c r="H150" s="666"/>
      <c r="I150" s="666"/>
      <c r="J150" s="666"/>
      <c r="K150" s="666"/>
      <c r="L150" s="666"/>
      <c r="M150" s="666"/>
      <c r="N150" s="666"/>
    </row>
    <row r="151" spans="1:14" x14ac:dyDescent="0.25">
      <c r="A151" s="666"/>
      <c r="B151" s="666"/>
      <c r="C151" s="666"/>
      <c r="D151" s="666"/>
      <c r="E151" s="666"/>
      <c r="F151" s="666"/>
      <c r="G151" s="666"/>
      <c r="H151" s="666"/>
      <c r="I151" s="666"/>
      <c r="J151" s="666"/>
      <c r="K151" s="666"/>
      <c r="L151" s="666"/>
      <c r="M151" s="666"/>
      <c r="N151" s="666"/>
    </row>
  </sheetData>
  <mergeCells count="3">
    <mergeCell ref="B2:N2"/>
    <mergeCell ref="B8:N8"/>
    <mergeCell ref="B32:N32"/>
  </mergeCells>
  <conditionalFormatting sqref="N16">
    <cfRule type="expression" dxfId="75" priority="14">
      <formula>$E11="EXCLUDE"</formula>
    </cfRule>
  </conditionalFormatting>
  <conditionalFormatting sqref="N24:N26">
    <cfRule type="expression" dxfId="74" priority="15">
      <formula>$E25="EXCLUDE"</formula>
    </cfRule>
  </conditionalFormatting>
  <conditionalFormatting sqref="N11 N14:N15 N23">
    <cfRule type="expression" dxfId="73" priority="16">
      <formula>$E12="EXCLUDE"</formula>
    </cfRule>
  </conditionalFormatting>
  <conditionalFormatting sqref="N12">
    <cfRule type="expression" dxfId="72" priority="17">
      <formula>$E14="EXCLUDE"</formula>
    </cfRule>
  </conditionalFormatting>
  <conditionalFormatting sqref="N13 N21">
    <cfRule type="expression" dxfId="71" priority="18">
      <formula>$E20="EXCLUDE"</formula>
    </cfRule>
  </conditionalFormatting>
  <conditionalFormatting sqref="N27:N28 N18">
    <cfRule type="expression" dxfId="70" priority="19">
      <formula>$E21="EXCLUDE"</formula>
    </cfRule>
  </conditionalFormatting>
  <conditionalFormatting sqref="N30">
    <cfRule type="expression" dxfId="69" priority="20">
      <formula>$E23="EXCLUDE"</formula>
    </cfRule>
  </conditionalFormatting>
  <conditionalFormatting sqref="N17 N29 N19 N22">
    <cfRule type="expression" dxfId="68" priority="21">
      <formula>$E17="EXCLUDE"</formula>
    </cfRule>
  </conditionalFormatting>
  <conditionalFormatting sqref="N20">
    <cfRule type="expression" dxfId="67" priority="22">
      <formula>$E18="EXCLUDE"</formula>
    </cfRule>
  </conditionalFormatting>
  <conditionalFormatting sqref="N50">
    <cfRule type="expression" dxfId="66" priority="5">
      <formula>$E45="EXCLUDE"</formula>
    </cfRule>
  </conditionalFormatting>
  <conditionalFormatting sqref="N58:N60">
    <cfRule type="expression" dxfId="65" priority="6">
      <formula>$E59="EXCLUDE"</formula>
    </cfRule>
  </conditionalFormatting>
  <conditionalFormatting sqref="N48:N49 N57">
    <cfRule type="expression" dxfId="64" priority="7">
      <formula>$E49="EXCLUDE"</formula>
    </cfRule>
  </conditionalFormatting>
  <conditionalFormatting sqref="N46">
    <cfRule type="expression" dxfId="63" priority="8">
      <formula>$E48="EXCLUDE"</formula>
    </cfRule>
  </conditionalFormatting>
  <conditionalFormatting sqref="N47 N55">
    <cfRule type="expression" dxfId="62" priority="9">
      <formula>$E54="EXCLUDE"</formula>
    </cfRule>
  </conditionalFormatting>
  <conditionalFormatting sqref="N61:N62 N52">
    <cfRule type="expression" dxfId="61" priority="10">
      <formula>$E55="EXCLUDE"</formula>
    </cfRule>
  </conditionalFormatting>
  <conditionalFormatting sqref="N64">
    <cfRule type="expression" dxfId="60" priority="11">
      <formula>$E57="EXCLUDE"</formula>
    </cfRule>
  </conditionalFormatting>
  <conditionalFormatting sqref="N51 N63 N53 N56">
    <cfRule type="expression" dxfId="59" priority="12">
      <formula>$E51="EXCLUDE"</formula>
    </cfRule>
  </conditionalFormatting>
  <conditionalFormatting sqref="N54">
    <cfRule type="expression" dxfId="58" priority="13">
      <formula>$E52="EXCLUDE"</formula>
    </cfRule>
  </conditionalFormatting>
  <conditionalFormatting sqref="N36:N45">
    <cfRule type="expression" dxfId="57" priority="4">
      <formula>$E36="EXCLUDE"</formula>
    </cfRule>
  </conditionalFormatting>
  <dataValidations count="8">
    <dataValidation type="list" allowBlank="1" showInputMessage="1" showErrorMessage="1" sqref="C5" xr:uid="{97B8692D-5343-449A-A07B-60EC1293EAD7}">
      <formula1>"PWW/P07, PWW"</formula1>
    </dataValidation>
    <dataValidation type="list" allowBlank="1" showInputMessage="1" showErrorMessage="1" sqref="D5" xr:uid="{3E29D858-D9DB-43E3-9F38-424EDA268D7B}">
      <formula1>"C, S"</formula1>
    </dataValidation>
    <dataValidation type="list" allowBlank="1" showInputMessage="1" showErrorMessage="1" sqref="E5" xr:uid="{F2BB808E-F165-425A-8B2B-77B88F9114E8}">
      <formula1>"PB, DC"</formula1>
    </dataValidation>
    <dataValidation type="list" allowBlank="1" showInputMessage="1" showErrorMessage="1" sqref="N5 G5:L5 I11:I30 K11:K30 I35:I64 K35:K64" xr:uid="{ECC5EC29-A2B6-4575-9044-FE737468399E}">
      <formula1>"Yes, No"</formula1>
    </dataValidation>
    <dataValidation type="list" allowBlank="1" showInputMessage="1" showErrorMessage="1" sqref="F5" xr:uid="{3D0FF78A-CEBC-4475-BC60-A298AC814F45}">
      <formula1>"EBP"</formula1>
    </dataValidation>
    <dataValidation type="list" allowBlank="1" showInputMessage="1" showErrorMessage="1" sqref="M11:M30 M35:M64" xr:uid="{8A564DAC-451E-43D9-8E92-C7757A001C9A}">
      <formula1>"%, $, N, D"</formula1>
    </dataValidation>
    <dataValidation type="list" allowBlank="1" showInputMessage="1" showErrorMessage="1" sqref="H35:H64 H11:H30" xr:uid="{CA83192E-55EE-4B74-8C94-3C7FC6838763}">
      <formula1>"%, $, #"</formula1>
    </dataValidation>
    <dataValidation type="list" allowBlank="1" showInputMessage="1" showErrorMessage="1" sqref="E35:E64 E11:E30" xr:uid="{17E988C0-349F-4297-BE8A-F86EED574F5B}">
      <formula1>"T, C, M"</formula1>
    </dataValidation>
  </dataValidation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rgb="FF00B0F0"/>
  </sheetPr>
  <dimension ref="A1:AK33"/>
  <sheetViews>
    <sheetView topLeftCell="A14" workbookViewId="0">
      <selection activeCell="C24" sqref="C24"/>
    </sheetView>
  </sheetViews>
  <sheetFormatPr defaultColWidth="8.85546875" defaultRowHeight="12.75" x14ac:dyDescent="0.2"/>
  <cols>
    <col min="1" max="1" width="18.140625" style="141" bestFit="1" customWidth="1"/>
    <col min="2" max="2" width="35.85546875" style="141" bestFit="1" customWidth="1"/>
    <col min="3" max="3" width="25.7109375" style="141" bestFit="1" customWidth="1"/>
    <col min="4" max="4" width="9.28515625" style="141" bestFit="1" customWidth="1"/>
    <col min="5" max="5" width="9.5703125" style="141" bestFit="1" customWidth="1"/>
    <col min="6" max="6" width="15.28515625" style="141" bestFit="1" customWidth="1"/>
    <col min="7" max="8" width="8.85546875" style="141"/>
    <col min="9" max="9" width="17.28515625" style="141" bestFit="1" customWidth="1"/>
    <col min="10" max="10" width="13.7109375" style="141" bestFit="1" customWidth="1"/>
    <col min="11" max="11" width="12.5703125" style="141" bestFit="1" customWidth="1"/>
    <col min="12" max="12" width="17.7109375" style="141" bestFit="1" customWidth="1"/>
    <col min="13" max="13" width="17.7109375" style="141" customWidth="1"/>
    <col min="14" max="16" width="14.7109375" style="141" bestFit="1" customWidth="1"/>
    <col min="17" max="17" width="12.42578125" style="141" bestFit="1" customWidth="1"/>
    <col min="18" max="18" width="10" style="141" bestFit="1" customWidth="1"/>
    <col min="19" max="19" width="14" style="141" customWidth="1"/>
    <col min="20" max="22" width="10.85546875" style="141" bestFit="1" customWidth="1"/>
    <col min="23" max="23" width="13.85546875" style="141" customWidth="1"/>
    <col min="24" max="24" width="13.140625" style="141" customWidth="1"/>
    <col min="25" max="25" width="15.7109375" style="141" customWidth="1"/>
    <col min="26" max="27" width="10.85546875" style="141" customWidth="1"/>
    <col min="28" max="28" width="12" style="141" bestFit="1" customWidth="1"/>
    <col min="29" max="29" width="11.42578125" style="141" customWidth="1"/>
    <col min="30" max="32" width="10.140625" style="141" customWidth="1"/>
    <col min="33" max="33" width="9.5703125" style="141" bestFit="1" customWidth="1"/>
    <col min="34" max="34" width="49.7109375" style="141" bestFit="1" customWidth="1"/>
    <col min="35" max="35" width="27.85546875" style="141" bestFit="1" customWidth="1"/>
    <col min="36" max="36" width="46.5703125" style="141" bestFit="1" customWidth="1"/>
    <col min="37" max="37" width="25" style="141" bestFit="1" customWidth="1"/>
    <col min="38" max="16384" width="8.85546875" style="141"/>
  </cols>
  <sheetData>
    <row r="1" spans="1:37" x14ac:dyDescent="0.2">
      <c r="AH1" s="141" t="s">
        <v>14</v>
      </c>
      <c r="AI1" s="141" t="s">
        <v>1</v>
      </c>
      <c r="AJ1" s="141" t="s">
        <v>14</v>
      </c>
      <c r="AK1" s="744" t="s">
        <v>113</v>
      </c>
    </row>
    <row r="2" spans="1:37" x14ac:dyDescent="0.2">
      <c r="I2" s="586"/>
      <c r="J2" s="1442"/>
      <c r="K2" s="1442"/>
      <c r="O2" s="586"/>
      <c r="P2" s="586"/>
      <c r="Q2" s="586"/>
      <c r="R2" s="586"/>
      <c r="S2" s="586"/>
      <c r="T2" s="586"/>
      <c r="U2" s="586"/>
      <c r="V2" s="586"/>
      <c r="W2" s="586"/>
      <c r="X2" s="586"/>
      <c r="Y2" s="586"/>
      <c r="Z2" s="586"/>
      <c r="AA2" s="586"/>
      <c r="AH2" s="141" t="s">
        <v>62</v>
      </c>
      <c r="AI2" s="141" t="s">
        <v>1</v>
      </c>
      <c r="AJ2" s="141" t="s">
        <v>62</v>
      </c>
      <c r="AK2" s="744" t="s">
        <v>113</v>
      </c>
    </row>
    <row r="3" spans="1:37" x14ac:dyDescent="0.2">
      <c r="I3" s="587" t="s">
        <v>919</v>
      </c>
      <c r="J3" s="1393" t="e">
        <f>VLOOKUP($J$4,'Market Geography'!$D:$G,4,FALSE)</f>
        <v>#N/A</v>
      </c>
      <c r="K3" s="1393"/>
      <c r="O3" s="586"/>
      <c r="P3" s="586"/>
      <c r="Q3" s="586"/>
      <c r="R3" s="586"/>
      <c r="S3" s="586"/>
      <c r="T3" s="586"/>
      <c r="U3" s="586"/>
      <c r="V3" s="586"/>
      <c r="W3" s="586"/>
      <c r="X3" s="586"/>
      <c r="Y3" s="586"/>
      <c r="Z3" s="586"/>
      <c r="AA3" s="586"/>
      <c r="AH3" s="141" t="s">
        <v>74</v>
      </c>
      <c r="AI3" s="141" t="s">
        <v>1</v>
      </c>
      <c r="AJ3" s="141" t="s">
        <v>74</v>
      </c>
      <c r="AK3" s="744" t="s">
        <v>113</v>
      </c>
    </row>
    <row r="4" spans="1:37" x14ac:dyDescent="0.2">
      <c r="I4" s="587" t="s">
        <v>920</v>
      </c>
      <c r="J4" s="1393">
        <f>Welcome!$D$4</f>
        <v>0</v>
      </c>
      <c r="K4" s="1393"/>
      <c r="L4" s="588"/>
      <c r="M4" s="588"/>
      <c r="O4" s="586"/>
      <c r="P4" s="586"/>
      <c r="Q4" s="586"/>
      <c r="R4" s="586"/>
      <c r="S4" s="586"/>
      <c r="T4" s="586"/>
      <c r="U4" s="586"/>
      <c r="V4" s="586"/>
      <c r="W4" s="586"/>
      <c r="X4" s="586"/>
      <c r="Y4" s="586"/>
      <c r="Z4" s="586"/>
      <c r="AA4" s="586"/>
      <c r="AC4" s="27"/>
      <c r="AH4" s="141" t="s">
        <v>34</v>
      </c>
      <c r="AI4" s="141" t="s">
        <v>1</v>
      </c>
      <c r="AJ4" s="141" t="s">
        <v>34</v>
      </c>
      <c r="AK4" s="744" t="s">
        <v>113</v>
      </c>
    </row>
    <row r="5" spans="1:37" x14ac:dyDescent="0.2">
      <c r="I5" s="587" t="s">
        <v>921</v>
      </c>
      <c r="J5" s="1443" t="e">
        <f>VLOOKUP($J$4,'Market Geography'!$D:$F,3,FALSE)</f>
        <v>#N/A</v>
      </c>
      <c r="K5" s="1443"/>
      <c r="O5" s="586"/>
      <c r="P5" s="586"/>
      <c r="Q5" s="586"/>
      <c r="R5" s="586"/>
      <c r="S5" s="586"/>
      <c r="T5" s="586"/>
      <c r="U5" s="586"/>
      <c r="V5" s="586"/>
      <c r="W5" s="586"/>
      <c r="X5" s="586"/>
      <c r="Y5" s="586"/>
      <c r="Z5" s="586"/>
      <c r="AA5" s="586"/>
      <c r="AH5" s="141" t="s">
        <v>0</v>
      </c>
      <c r="AI5" s="141" t="s">
        <v>1</v>
      </c>
      <c r="AJ5" s="141" t="s">
        <v>0</v>
      </c>
      <c r="AK5" s="744" t="s">
        <v>113</v>
      </c>
    </row>
    <row r="6" spans="1:37" x14ac:dyDescent="0.2">
      <c r="I6" s="589" t="s">
        <v>922</v>
      </c>
      <c r="J6" s="1393" t="s">
        <v>134</v>
      </c>
      <c r="K6" s="1393" t="s">
        <v>206</v>
      </c>
      <c r="O6" s="586"/>
      <c r="P6" s="586"/>
      <c r="Q6" s="586"/>
      <c r="R6" s="586"/>
      <c r="S6" s="586"/>
      <c r="T6" s="586"/>
      <c r="U6" s="586"/>
      <c r="V6" s="586"/>
      <c r="W6" s="586"/>
      <c r="X6" s="586"/>
      <c r="Y6" s="586"/>
      <c r="Z6" s="586"/>
      <c r="AA6" s="586"/>
      <c r="AH6" s="141" t="s">
        <v>69</v>
      </c>
      <c r="AI6" s="141" t="s">
        <v>1</v>
      </c>
      <c r="AJ6" s="141" t="s">
        <v>69</v>
      </c>
      <c r="AK6" s="744" t="s">
        <v>113</v>
      </c>
    </row>
    <row r="7" spans="1:37" x14ac:dyDescent="0.2">
      <c r="I7" s="589" t="s">
        <v>923</v>
      </c>
      <c r="J7" s="1393" t="str">
        <f>IF(Welcome!$D$8="MDA","C","N")</f>
        <v>N</v>
      </c>
      <c r="K7" s="1393" t="e">
        <f>IF(#REF!="MDA","C","N")</f>
        <v>#REF!</v>
      </c>
      <c r="O7" s="586"/>
      <c r="P7" s="586"/>
      <c r="Q7" s="586"/>
      <c r="R7" s="586"/>
      <c r="S7" s="586"/>
      <c r="T7" s="586"/>
      <c r="U7" s="586"/>
      <c r="V7" s="586"/>
      <c r="W7" s="586"/>
      <c r="X7" s="586"/>
      <c r="Y7" s="586"/>
      <c r="Z7" s="586"/>
      <c r="AA7" s="586"/>
      <c r="AB7" s="27"/>
      <c r="AC7" s="27"/>
      <c r="AH7" s="141" t="s">
        <v>4</v>
      </c>
      <c r="AI7" s="141" t="s">
        <v>1</v>
      </c>
      <c r="AJ7" s="141" t="s">
        <v>4</v>
      </c>
      <c r="AK7" s="744" t="s">
        <v>113</v>
      </c>
    </row>
    <row r="8" spans="1:37" x14ac:dyDescent="0.2">
      <c r="AH8" s="141" t="s">
        <v>35</v>
      </c>
      <c r="AI8" s="141" t="s">
        <v>1</v>
      </c>
      <c r="AJ8" s="141" t="s">
        <v>35</v>
      </c>
      <c r="AK8" s="744" t="s">
        <v>113</v>
      </c>
    </row>
    <row r="9" spans="1:37" x14ac:dyDescent="0.2">
      <c r="I9" s="590"/>
      <c r="AH9" s="141" t="s">
        <v>6</v>
      </c>
      <c r="AI9" s="141" t="s">
        <v>1</v>
      </c>
      <c r="AJ9" s="141" t="s">
        <v>6</v>
      </c>
      <c r="AK9" s="744" t="s">
        <v>113</v>
      </c>
    </row>
    <row r="10" spans="1:37" x14ac:dyDescent="0.2">
      <c r="I10" s="590"/>
      <c r="J10" s="590"/>
      <c r="N10" s="576"/>
      <c r="O10" s="576"/>
      <c r="P10" s="576"/>
      <c r="Q10" s="576"/>
      <c r="R10" s="576"/>
      <c r="S10" s="576"/>
      <c r="T10" s="576"/>
      <c r="U10" s="576"/>
      <c r="V10" s="576"/>
      <c r="W10" s="576"/>
      <c r="X10" s="576"/>
      <c r="Y10" s="576"/>
      <c r="Z10" s="576"/>
      <c r="AA10" s="576"/>
      <c r="AB10" s="576"/>
      <c r="AC10" s="591"/>
      <c r="AH10" s="141" t="s">
        <v>15</v>
      </c>
      <c r="AI10" s="141" t="s">
        <v>1</v>
      </c>
      <c r="AJ10" s="141" t="s">
        <v>15</v>
      </c>
      <c r="AK10" s="744" t="s">
        <v>113</v>
      </c>
    </row>
    <row r="11" spans="1:37" x14ac:dyDescent="0.2">
      <c r="I11" s="574"/>
      <c r="N11" s="576"/>
      <c r="O11" s="576"/>
      <c r="P11" s="576"/>
      <c r="Q11" s="576"/>
      <c r="R11" s="576"/>
      <c r="S11" s="576"/>
      <c r="T11" s="576"/>
      <c r="U11" s="576"/>
      <c r="V11" s="576"/>
      <c r="W11" s="576"/>
      <c r="X11" s="576"/>
      <c r="Y11" s="576"/>
      <c r="Z11" s="576"/>
      <c r="AA11" s="576"/>
      <c r="AB11" s="576"/>
      <c r="AC11" s="591"/>
      <c r="AH11" s="141" t="s">
        <v>45</v>
      </c>
      <c r="AI11" s="141" t="s">
        <v>1</v>
      </c>
      <c r="AJ11" s="141" t="s">
        <v>45</v>
      </c>
      <c r="AK11" s="744" t="s">
        <v>113</v>
      </c>
    </row>
    <row r="12" spans="1:37" x14ac:dyDescent="0.2">
      <c r="I12" s="574"/>
      <c r="N12" s="576"/>
      <c r="O12" s="576"/>
      <c r="P12" s="576"/>
      <c r="Q12" s="576"/>
      <c r="R12" s="576"/>
      <c r="S12" s="576"/>
      <c r="T12" s="576"/>
      <c r="U12" s="576"/>
      <c r="V12" s="576"/>
      <c r="W12" s="576"/>
      <c r="X12" s="576"/>
      <c r="Y12" s="576"/>
      <c r="Z12" s="576"/>
      <c r="AA12" s="576"/>
      <c r="AB12" s="576"/>
      <c r="AH12" s="141" t="s">
        <v>48</v>
      </c>
      <c r="AI12" s="141" t="s">
        <v>1</v>
      </c>
      <c r="AJ12" s="141" t="s">
        <v>48</v>
      </c>
      <c r="AK12" s="744" t="s">
        <v>113</v>
      </c>
    </row>
    <row r="13" spans="1:37" x14ac:dyDescent="0.2">
      <c r="J13" s="575"/>
      <c r="N13" s="576"/>
      <c r="AD13" s="1439" t="s">
        <v>975</v>
      </c>
      <c r="AE13" s="1440"/>
      <c r="AF13" s="1441"/>
      <c r="AH13" s="141" t="s">
        <v>60</v>
      </c>
      <c r="AI13" s="141" t="s">
        <v>1</v>
      </c>
      <c r="AJ13" s="141" t="s">
        <v>60</v>
      </c>
      <c r="AK13" s="744" t="s">
        <v>113</v>
      </c>
    </row>
    <row r="14" spans="1:37" ht="38.25" x14ac:dyDescent="0.2">
      <c r="A14" s="141" t="s">
        <v>1040</v>
      </c>
      <c r="B14" s="581" t="s">
        <v>900</v>
      </c>
      <c r="C14" s="581" t="s">
        <v>918</v>
      </c>
      <c r="D14" s="582" t="s">
        <v>966</v>
      </c>
      <c r="E14" s="582" t="s">
        <v>974</v>
      </c>
      <c r="F14" s="584" t="s">
        <v>981</v>
      </c>
      <c r="G14" s="583" t="s">
        <v>976</v>
      </c>
      <c r="H14" s="583" t="s">
        <v>977</v>
      </c>
      <c r="I14" s="583" t="s">
        <v>204</v>
      </c>
      <c r="J14" s="583" t="s">
        <v>397</v>
      </c>
      <c r="K14" s="583" t="s">
        <v>205</v>
      </c>
      <c r="L14" s="583" t="s">
        <v>978</v>
      </c>
      <c r="M14" s="583" t="s">
        <v>1039</v>
      </c>
      <c r="N14" s="585" t="s">
        <v>984</v>
      </c>
      <c r="O14" s="584" t="s">
        <v>985</v>
      </c>
      <c r="P14" s="584" t="s">
        <v>986</v>
      </c>
      <c r="Q14" s="582" t="s">
        <v>979</v>
      </c>
      <c r="R14" s="582" t="s">
        <v>980</v>
      </c>
      <c r="S14" s="582" t="s">
        <v>989</v>
      </c>
      <c r="T14" s="582" t="s">
        <v>967</v>
      </c>
      <c r="U14" s="582" t="s">
        <v>968</v>
      </c>
      <c r="V14" s="582" t="s">
        <v>969</v>
      </c>
      <c r="W14" s="593" t="s">
        <v>987</v>
      </c>
      <c r="X14" s="593" t="s">
        <v>988</v>
      </c>
      <c r="Y14" s="593" t="s">
        <v>990</v>
      </c>
      <c r="Z14" s="583" t="s">
        <v>982</v>
      </c>
      <c r="AA14" s="583" t="s">
        <v>983</v>
      </c>
      <c r="AB14" s="583"/>
      <c r="AC14" s="595" t="s">
        <v>831</v>
      </c>
      <c r="AD14" s="596" t="s">
        <v>832</v>
      </c>
      <c r="AE14" s="596" t="s">
        <v>833</v>
      </c>
      <c r="AF14" s="596" t="s">
        <v>834</v>
      </c>
      <c r="AG14" s="596" t="s">
        <v>1014</v>
      </c>
      <c r="AH14" s="141" t="s">
        <v>20</v>
      </c>
      <c r="AI14" s="141" t="s">
        <v>1</v>
      </c>
      <c r="AJ14" s="141" t="s">
        <v>20</v>
      </c>
      <c r="AK14" s="744" t="s">
        <v>113</v>
      </c>
    </row>
    <row r="15" spans="1:37" x14ac:dyDescent="0.2">
      <c r="A15" s="141" t="str">
        <f>IF('Customer Inputs'!$S6="","",IF('Variable Costs (Back)'!$M15="Zip Code Not Serviced","Zip Code Not Serviced",""))</f>
        <v/>
      </c>
      <c r="B15" s="141" t="str">
        <f>'Customer Inputs'!Y6</f>
        <v/>
      </c>
      <c r="C15" s="141" t="str">
        <f>IF('Customer Inputs'!H6="","",'Customer Inputs'!H6)</f>
        <v/>
      </c>
      <c r="D15" s="574">
        <f>ROUND('Multi-Customer'!$BB$51,0)</f>
        <v>0</v>
      </c>
      <c r="E15" s="574">
        <f>ROUND('Multi-Customer'!$BB$52,0)</f>
        <v>0</v>
      </c>
      <c r="F15" s="574">
        <f>ROUND('Multi-Customer'!$BC$35,0)</f>
        <v>0</v>
      </c>
      <c r="G15" s="574" t="str">
        <f>LEFT($I15,3)</f>
        <v/>
      </c>
      <c r="H15" s="574" t="str">
        <f>LEFT($I15,4)</f>
        <v/>
      </c>
      <c r="I15" s="574" t="str">
        <f>IF('Customer Inputs'!Z6="","",'Customer Inputs'!Z6)</f>
        <v/>
      </c>
      <c r="J15" s="592" t="str">
        <f>IF('Customer Inputs'!$F6="","",'Customer Inputs'!$P6)</f>
        <v/>
      </c>
      <c r="K15" s="141" t="str">
        <f>'Customer Inputs'!X6</f>
        <v/>
      </c>
      <c r="L15" s="575">
        <f>IFERROR(IFERROR(IFERROR(VLOOKUP($J$5&amp;$I15,'5zip'!$A:$F,6,FALSE),VLOOKUP($J$5&amp;$H15,'4zip'!$A:$F,6,FALSE)),VLOOKUP($J$5&amp;$G15,'3zip'!$A:$F,6,FALSE)),0)</f>
        <v>0</v>
      </c>
      <c r="M15" s="575" t="str">
        <f>IFERROR(IFERROR(IFERROR(VLOOKUP($J$5&amp;$I15,'5zip'!$A:$F,6,FALSE),VLOOKUP($J$5&amp;$H15,'4zip'!$A:$F,6,FALSE)),VLOOKUP($J$5&amp;$G15,'3zip'!$A:$F,6,FALSE)),"Zip Code Not Serviced")</f>
        <v>Zip Code Not Serviced</v>
      </c>
      <c r="N15" s="576">
        <f>IFERROR(52*K15*L15,0)</f>
        <v>0</v>
      </c>
      <c r="O15" s="577">
        <f>IFERROR((VLOOKUP($J$4&amp;$C15&amp;$J$6&amp;$J$7,'Variable Selling'!$B:$O,11,FALSE))*F15,0)</f>
        <v>0</v>
      </c>
      <c r="P15" s="577">
        <f>IFERROR(VLOOKUP($J$4,'Variable Div Avgs'!$D:$I,6,FALSE)*'Variable Costs (Back)'!$F15,0)</f>
        <v>0</v>
      </c>
      <c r="Q15" s="577">
        <f t="shared" ref="Q15:Q24" si="0">IFERROR(T15/E15,0)</f>
        <v>0</v>
      </c>
      <c r="R15" s="577">
        <f t="shared" ref="R15:R24" si="1">IFERROR(U15/D15,0)</f>
        <v>0</v>
      </c>
      <c r="S15" s="577">
        <f>IFERROR(V15/D15,0)</f>
        <v>0</v>
      </c>
      <c r="T15" s="577">
        <f>IFERROR(VLOOKUP($AC15,'Existing Customer Variable Exp'!$B:$E,2,FALSE),0)</f>
        <v>0</v>
      </c>
      <c r="U15" s="577">
        <f>IFERROR(VLOOKUP($AC15,'Existing Customer Variable Exp'!$B:$E,3,FALSE),0)</f>
        <v>0</v>
      </c>
      <c r="V15" s="577">
        <f>IFERROR(VLOOKUP($AC15,'Existing Customer Variable Exp'!$B:$E,4,FALSE),0)</f>
        <v>0</v>
      </c>
      <c r="W15" s="576">
        <f>IFERROR(Q15*K15*52,0)</f>
        <v>0</v>
      </c>
      <c r="X15" s="577">
        <f>R15*F15</f>
        <v>0</v>
      </c>
      <c r="Y15" s="577">
        <f>S15*F15</f>
        <v>0</v>
      </c>
      <c r="Z15" s="577" t="str">
        <f>IF('Customer Inputs'!L6&lt;&gt;'Customer Inputs'!X6,"Modelled",IF(D15=F15,"BASE","Modelled"))</f>
        <v>BASE</v>
      </c>
      <c r="AA15" s="577" t="str">
        <f>IF(AND(SUMIF('Existing Customers'!$A:$A,'Variable Costs (Back)'!$AC15,'Existing Customers'!$Q:$Q)&gt;0,'Customer Inputs'!$U6&lt;&gt;"Prospect"),IF('Customer Inputs'!$V6&lt;&gt;"Yes","Existing","New"),"New")</f>
        <v>New</v>
      </c>
      <c r="AB15" s="594" t="s">
        <v>812</v>
      </c>
      <c r="AC15" s="578" t="str">
        <f>IF('Customer Inputs'!$F6="","",'Customer Inputs'!$G6)</f>
        <v/>
      </c>
      <c r="AD15" s="597">
        <f>IF($AA15="Existing",IF($Z15="BASE",$T15,$W15),$N15)</f>
        <v>0</v>
      </c>
      <c r="AE15" s="597">
        <f>IF($AA15="Existing",IF($Z15="BASE",$U15,$X15),$O15)</f>
        <v>0</v>
      </c>
      <c r="AF15" s="597">
        <f>IF($AA15="Existing",IF($Z15="BASE",$V15,$Y15),$P15)</f>
        <v>0</v>
      </c>
      <c r="AG15" s="691">
        <f>SUM(AD15:AF15)</f>
        <v>0</v>
      </c>
      <c r="AH15" s="141" t="s">
        <v>36</v>
      </c>
      <c r="AI15" s="141" t="s">
        <v>1</v>
      </c>
      <c r="AJ15" s="141" t="s">
        <v>36</v>
      </c>
      <c r="AK15" s="744" t="s">
        <v>113</v>
      </c>
    </row>
    <row r="16" spans="1:37" x14ac:dyDescent="0.2">
      <c r="A16" s="141" t="str">
        <f>IF('Customer Inputs'!$S7="","",IF('Variable Costs (Back)'!$M16="Zip Code Not Serviced","Zip Code Not Serviced",""))</f>
        <v/>
      </c>
      <c r="B16" s="141" t="str">
        <f>'Customer Inputs'!Y7</f>
        <v/>
      </c>
      <c r="C16" s="141" t="str">
        <f>IF('Customer Inputs'!H7="","",'Customer Inputs'!H7)</f>
        <v/>
      </c>
      <c r="D16" s="574">
        <f>ROUND('Multi-Customer'!$BY$51,0)</f>
        <v>0</v>
      </c>
      <c r="E16" s="574">
        <f>ROUND('Multi-Customer'!$BY$52,0)</f>
        <v>0</v>
      </c>
      <c r="F16" s="574">
        <f>ROUND('Multi-Customer'!$BZ$35,0)</f>
        <v>0</v>
      </c>
      <c r="G16" s="574" t="str">
        <f t="shared" ref="G16:G24" si="2">LEFT($I16,3)</f>
        <v/>
      </c>
      <c r="H16" s="574" t="str">
        <f t="shared" ref="H16:H24" si="3">LEFT($I16,4)</f>
        <v/>
      </c>
      <c r="I16" s="574" t="str">
        <f>IF('Customer Inputs'!Z7="","",'Customer Inputs'!Z7)</f>
        <v/>
      </c>
      <c r="J16" s="592" t="str">
        <f>IF('Customer Inputs'!$F7="","",'Customer Inputs'!$P7)</f>
        <v/>
      </c>
      <c r="K16" s="141" t="str">
        <f>'Customer Inputs'!X7</f>
        <v/>
      </c>
      <c r="L16" s="575">
        <f>IFERROR(IFERROR(IFERROR(VLOOKUP($J$5&amp;$I16,'5zip'!$A:$F,6,FALSE),VLOOKUP($J$5&amp;$H16,'4zip'!$A:$F,6,FALSE)),VLOOKUP($J$5&amp;$G16,'3zip'!$A:$F,6,FALSE)),0)</f>
        <v>0</v>
      </c>
      <c r="M16" s="575" t="str">
        <f>IFERROR(IFERROR(IFERROR(VLOOKUP($J$5&amp;$I16,'5zip'!$A:$F,6,FALSE),VLOOKUP($J$5&amp;$H16,'4zip'!$A:$F,6,FALSE)),VLOOKUP($J$5&amp;$G16,'3zip'!$A:$F,6,FALSE)),"Zip Code Not Serviced")</f>
        <v>Zip Code Not Serviced</v>
      </c>
      <c r="N16" s="576">
        <f t="shared" ref="N16:N24" si="4">IFERROR(52*K16*L16,0)</f>
        <v>0</v>
      </c>
      <c r="O16" s="577">
        <f>IFERROR((VLOOKUP($J$4&amp;$C16&amp;$J$6&amp;$J$7,'Variable Selling'!$B:$O,11,FALSE))*F16,0)</f>
        <v>0</v>
      </c>
      <c r="P16" s="577">
        <f>IFERROR(VLOOKUP($J$4,'Variable Div Avgs'!$D:$I,6,FALSE)*'Variable Costs (Back)'!$F16,0)</f>
        <v>0</v>
      </c>
      <c r="Q16" s="577">
        <f t="shared" si="0"/>
        <v>0</v>
      </c>
      <c r="R16" s="577">
        <f t="shared" si="1"/>
        <v>0</v>
      </c>
      <c r="S16" s="577">
        <f t="shared" ref="S16:S24" si="5">IFERROR(V16/D16,0)</f>
        <v>0</v>
      </c>
      <c r="T16" s="577">
        <f>IFERROR(VLOOKUP($AC16,'Existing Customer Variable Exp'!$B:$E,2,FALSE),0)</f>
        <v>0</v>
      </c>
      <c r="U16" s="577">
        <f>IFERROR(VLOOKUP($AC16,'Existing Customer Variable Exp'!$B:$E,3,FALSE),0)</f>
        <v>0</v>
      </c>
      <c r="V16" s="577">
        <f>IFERROR(VLOOKUP($AC16,'Existing Customer Variable Exp'!$B:$E,4,FALSE),0)</f>
        <v>0</v>
      </c>
      <c r="W16" s="576">
        <f t="shared" ref="W16:W24" si="6">IFERROR(Q16*K16*52,0)</f>
        <v>0</v>
      </c>
      <c r="X16" s="577">
        <f t="shared" ref="X16:X24" si="7">R16*F16</f>
        <v>0</v>
      </c>
      <c r="Y16" s="577">
        <f t="shared" ref="Y16:Y24" si="8">S16*F16</f>
        <v>0</v>
      </c>
      <c r="Z16" s="577" t="str">
        <f>IF('Customer Inputs'!L7&lt;&gt;'Customer Inputs'!X7,"Modelled",IF(D16=F16,"BASE","Modelled"))</f>
        <v>BASE</v>
      </c>
      <c r="AA16" s="577" t="str">
        <f>IF(AND(SUMIF('Existing Customers'!$A:$A,'Variable Costs (Back)'!$AC16,'Existing Customers'!$Q:$Q)&gt;0,'Customer Inputs'!$U7&lt;&gt;"Prospect"),IF('Customer Inputs'!$V7&lt;&gt;"Yes","Existing","New"),"New")</f>
        <v>New</v>
      </c>
      <c r="AB16" s="594" t="s">
        <v>813</v>
      </c>
      <c r="AC16" s="578" t="str">
        <f>IF('Customer Inputs'!$F7="","",'Customer Inputs'!$G7)</f>
        <v/>
      </c>
      <c r="AD16" s="597">
        <f t="shared" ref="AD16:AD22" si="9">IF($AA16="Existing",IF($Z16="BASE",$T16,$W16),$N16)</f>
        <v>0</v>
      </c>
      <c r="AE16" s="597">
        <f t="shared" ref="AE16:AE22" si="10">IF($AA16="Existing",IF($Z16="BASE",$U16,$X16),$O16)</f>
        <v>0</v>
      </c>
      <c r="AF16" s="597">
        <f t="shared" ref="AF16:AF24" si="11">IF($AA16="Existing",IF($Z16="BASE",$V16,$Y16),$P16)</f>
        <v>0</v>
      </c>
      <c r="AG16" s="691">
        <f t="shared" ref="AG16:AG24" si="12">SUM(AD16:AF16)</f>
        <v>0</v>
      </c>
      <c r="AH16" s="141" t="s">
        <v>71</v>
      </c>
      <c r="AI16" s="141" t="s">
        <v>1</v>
      </c>
      <c r="AJ16" s="141" t="s">
        <v>71</v>
      </c>
      <c r="AK16" s="744" t="s">
        <v>113</v>
      </c>
    </row>
    <row r="17" spans="1:37" x14ac:dyDescent="0.2">
      <c r="A17" s="141" t="str">
        <f>IF('Customer Inputs'!$S8="","",IF('Variable Costs (Back)'!$M17="Zip Code Not Serviced","Zip Code Not Serviced",""))</f>
        <v/>
      </c>
      <c r="B17" s="141" t="str">
        <f>'Customer Inputs'!Y8</f>
        <v/>
      </c>
      <c r="C17" s="141" t="str">
        <f>IF('Customer Inputs'!H8="","",'Customer Inputs'!H8)</f>
        <v/>
      </c>
      <c r="D17" s="574">
        <f>ROUND('Multi-Customer'!$CV$51,0)</f>
        <v>0</v>
      </c>
      <c r="E17" s="574">
        <f>ROUND('Multi-Customer'!$CV$52,0)</f>
        <v>0</v>
      </c>
      <c r="F17" s="574">
        <f>ROUND('Multi-Customer'!$CW$35,0)</f>
        <v>0</v>
      </c>
      <c r="G17" s="574" t="str">
        <f t="shared" si="2"/>
        <v/>
      </c>
      <c r="H17" s="574" t="str">
        <f t="shared" si="3"/>
        <v/>
      </c>
      <c r="I17" s="574" t="str">
        <f>IF('Customer Inputs'!Z8="","",'Customer Inputs'!Z8)</f>
        <v/>
      </c>
      <c r="J17" s="592" t="str">
        <f>IF('Customer Inputs'!$F8="","",'Customer Inputs'!$P8)</f>
        <v/>
      </c>
      <c r="K17" s="141" t="str">
        <f>'Customer Inputs'!X8</f>
        <v/>
      </c>
      <c r="L17" s="575">
        <f>IFERROR(IFERROR(IFERROR(VLOOKUP($J$5&amp;$I17,'5zip'!$A:$F,6,FALSE),VLOOKUP($J$5&amp;$H17,'4zip'!$A:$F,6,FALSE)),VLOOKUP($J$5&amp;$G17,'3zip'!$A:$F,6,FALSE)),0)</f>
        <v>0</v>
      </c>
      <c r="M17" s="575" t="str">
        <f>IFERROR(IFERROR(IFERROR(VLOOKUP($J$5&amp;$I17,'5zip'!$A:$F,6,FALSE),VLOOKUP($J$5&amp;$H17,'4zip'!$A:$F,6,FALSE)),VLOOKUP($J$5&amp;$G17,'3zip'!$A:$F,6,FALSE)),"Zip Code Not Serviced")</f>
        <v>Zip Code Not Serviced</v>
      </c>
      <c r="N17" s="576">
        <f t="shared" si="4"/>
        <v>0</v>
      </c>
      <c r="O17" s="577">
        <f>IFERROR((VLOOKUP($J$4&amp;$C17&amp;$J$6&amp;$J$7,'Variable Selling'!$B:$O,11,FALSE))*F17,0)</f>
        <v>0</v>
      </c>
      <c r="P17" s="577">
        <f>IFERROR(VLOOKUP($J$4,'Variable Div Avgs'!$D:$I,6,FALSE)*'Variable Costs (Back)'!$F17,0)</f>
        <v>0</v>
      </c>
      <c r="Q17" s="577">
        <f t="shared" si="0"/>
        <v>0</v>
      </c>
      <c r="R17" s="577">
        <f t="shared" si="1"/>
        <v>0</v>
      </c>
      <c r="S17" s="577">
        <f t="shared" si="5"/>
        <v>0</v>
      </c>
      <c r="T17" s="577">
        <f>IFERROR(VLOOKUP($AC17,'Existing Customer Variable Exp'!$B:$E,2,FALSE),0)</f>
        <v>0</v>
      </c>
      <c r="U17" s="577">
        <f>IFERROR(VLOOKUP($AC17,'Existing Customer Variable Exp'!$B:$E,3,FALSE),0)</f>
        <v>0</v>
      </c>
      <c r="V17" s="577">
        <f>IFERROR(VLOOKUP($AC17,'Existing Customer Variable Exp'!$B:$E,4,FALSE),0)</f>
        <v>0</v>
      </c>
      <c r="W17" s="576">
        <f t="shared" si="6"/>
        <v>0</v>
      </c>
      <c r="X17" s="577">
        <f t="shared" si="7"/>
        <v>0</v>
      </c>
      <c r="Y17" s="577">
        <f t="shared" si="8"/>
        <v>0</v>
      </c>
      <c r="Z17" s="577" t="str">
        <f>IF('Customer Inputs'!L8&lt;&gt;'Customer Inputs'!X8,"Modelled",IF(D17=F17,"BASE","Modelled"))</f>
        <v>BASE</v>
      </c>
      <c r="AA17" s="577" t="str">
        <f>IF(AND(SUMIF('Existing Customers'!$A:$A,'Variable Costs (Back)'!$AC17,'Existing Customers'!$Q:$Q)&gt;0,'Customer Inputs'!$U8&lt;&gt;"Prospect"),IF('Customer Inputs'!$V8&lt;&gt;"Yes","Existing","New"),"New")</f>
        <v>New</v>
      </c>
      <c r="AB17" s="594" t="s">
        <v>814</v>
      </c>
      <c r="AC17" s="578" t="str">
        <f>IF('Customer Inputs'!$F8="","",'Customer Inputs'!$G8)</f>
        <v/>
      </c>
      <c r="AD17" s="597">
        <f t="shared" si="9"/>
        <v>0</v>
      </c>
      <c r="AE17" s="597">
        <f t="shared" si="10"/>
        <v>0</v>
      </c>
      <c r="AF17" s="597">
        <f t="shared" si="11"/>
        <v>0</v>
      </c>
      <c r="AG17" s="691">
        <f t="shared" si="12"/>
        <v>0</v>
      </c>
      <c r="AH17" s="141" t="s">
        <v>11</v>
      </c>
      <c r="AI17" s="141" t="s">
        <v>1</v>
      </c>
      <c r="AJ17" s="141" t="s">
        <v>11</v>
      </c>
      <c r="AK17" s="744" t="s">
        <v>113</v>
      </c>
    </row>
    <row r="18" spans="1:37" x14ac:dyDescent="0.2">
      <c r="A18" s="141" t="str">
        <f>IF('Customer Inputs'!$S9="","",IF('Variable Costs (Back)'!$M18="Zip Code Not Serviced","Zip Code Not Serviced",""))</f>
        <v/>
      </c>
      <c r="B18" s="141" t="str">
        <f>'Customer Inputs'!Y9</f>
        <v/>
      </c>
      <c r="C18" s="141" t="str">
        <f>IF('Customer Inputs'!H9="","",'Customer Inputs'!H9)</f>
        <v/>
      </c>
      <c r="D18" s="574">
        <f>ROUND('Multi-Customer'!$DS$51,0)</f>
        <v>0</v>
      </c>
      <c r="E18" s="574">
        <f>ROUND('Multi-Customer'!$DS$52,0)</f>
        <v>0</v>
      </c>
      <c r="F18" s="574">
        <f>ROUND('Multi-Customer'!$DT$35,0)</f>
        <v>0</v>
      </c>
      <c r="G18" s="574" t="str">
        <f t="shared" si="2"/>
        <v/>
      </c>
      <c r="H18" s="574" t="str">
        <f t="shared" si="3"/>
        <v/>
      </c>
      <c r="I18" s="574" t="str">
        <f>IF('Customer Inputs'!Z9="","",'Customer Inputs'!Z9)</f>
        <v/>
      </c>
      <c r="J18" s="592" t="str">
        <f>IF('Customer Inputs'!$F9="","",'Customer Inputs'!$P9)</f>
        <v/>
      </c>
      <c r="K18" s="141" t="str">
        <f>'Customer Inputs'!X9</f>
        <v/>
      </c>
      <c r="L18" s="575">
        <f>IFERROR(IFERROR(IFERROR(VLOOKUP($J$5&amp;$I18,'5zip'!$A:$F,6,FALSE),VLOOKUP($J$5&amp;$H18,'4zip'!$A:$F,6,FALSE)),VLOOKUP($J$5&amp;$G18,'3zip'!$A:$F,6,FALSE)),0)</f>
        <v>0</v>
      </c>
      <c r="M18" s="575" t="str">
        <f>IFERROR(IFERROR(IFERROR(VLOOKUP($J$5&amp;$I18,'5zip'!$A:$F,6,FALSE),VLOOKUP($J$5&amp;$H18,'4zip'!$A:$F,6,FALSE)),VLOOKUP($J$5&amp;$G18,'3zip'!$A:$F,6,FALSE)),"Zip Code Not Serviced")</f>
        <v>Zip Code Not Serviced</v>
      </c>
      <c r="N18" s="576">
        <f t="shared" si="4"/>
        <v>0</v>
      </c>
      <c r="O18" s="577">
        <f>IFERROR((VLOOKUP($J$4&amp;$C18&amp;$J$6&amp;$J$7,'Variable Selling'!$B:$O,11,FALSE))*F18,0)</f>
        <v>0</v>
      </c>
      <c r="P18" s="577">
        <f>IFERROR(VLOOKUP($J$4,'Variable Div Avgs'!$D:$I,6,FALSE)*'Variable Costs (Back)'!$F18,0)</f>
        <v>0</v>
      </c>
      <c r="Q18" s="577">
        <f t="shared" si="0"/>
        <v>0</v>
      </c>
      <c r="R18" s="577">
        <f t="shared" si="1"/>
        <v>0</v>
      </c>
      <c r="S18" s="577">
        <f t="shared" si="5"/>
        <v>0</v>
      </c>
      <c r="T18" s="577">
        <f>IFERROR(VLOOKUP($AC18,'Existing Customer Variable Exp'!$B:$E,2,FALSE),0)</f>
        <v>0</v>
      </c>
      <c r="U18" s="577">
        <f>IFERROR(VLOOKUP($AC18,'Existing Customer Variable Exp'!$B:$E,3,FALSE),0)</f>
        <v>0</v>
      </c>
      <c r="V18" s="577">
        <f>IFERROR(VLOOKUP($AC18,'Existing Customer Variable Exp'!$B:$E,4,FALSE),0)</f>
        <v>0</v>
      </c>
      <c r="W18" s="576">
        <f t="shared" si="6"/>
        <v>0</v>
      </c>
      <c r="X18" s="577">
        <f t="shared" si="7"/>
        <v>0</v>
      </c>
      <c r="Y18" s="577">
        <f t="shared" si="8"/>
        <v>0</v>
      </c>
      <c r="Z18" s="577" t="str">
        <f>IF('Customer Inputs'!L9&lt;&gt;'Customer Inputs'!X9,"Modelled",IF(D18=F18,"BASE","Modelled"))</f>
        <v>BASE</v>
      </c>
      <c r="AA18" s="577" t="str">
        <f>IF(AND(SUMIF('Existing Customers'!$A:$A,'Variable Costs (Back)'!$AC18,'Existing Customers'!$Q:$Q)&gt;0,'Customer Inputs'!$U9&lt;&gt;"Prospect"),IF('Customer Inputs'!$V9&lt;&gt;"Yes","Existing","New"),"New")</f>
        <v>New</v>
      </c>
      <c r="AB18" s="594" t="s">
        <v>815</v>
      </c>
      <c r="AC18" s="578" t="str">
        <f>IF('Customer Inputs'!$F9="","",'Customer Inputs'!$G9)</f>
        <v/>
      </c>
      <c r="AD18" s="597">
        <f t="shared" si="9"/>
        <v>0</v>
      </c>
      <c r="AE18" s="597">
        <f t="shared" si="10"/>
        <v>0</v>
      </c>
      <c r="AF18" s="597">
        <f t="shared" si="11"/>
        <v>0</v>
      </c>
      <c r="AG18" s="691">
        <f t="shared" si="12"/>
        <v>0</v>
      </c>
      <c r="AH18" s="141" t="s">
        <v>9</v>
      </c>
      <c r="AI18" s="141" t="s">
        <v>1</v>
      </c>
      <c r="AJ18" s="141" t="s">
        <v>9</v>
      </c>
      <c r="AK18" s="744" t="s">
        <v>113</v>
      </c>
    </row>
    <row r="19" spans="1:37" x14ac:dyDescent="0.2">
      <c r="A19" s="141" t="str">
        <f>IF('Customer Inputs'!$S10="","",IF('Variable Costs (Back)'!$M19="Zip Code Not Serviced","Zip Code Not Serviced",""))</f>
        <v/>
      </c>
      <c r="B19" s="141" t="str">
        <f>'Customer Inputs'!Y10</f>
        <v/>
      </c>
      <c r="C19" s="141" t="str">
        <f>IF('Customer Inputs'!H10="","",'Customer Inputs'!H10)</f>
        <v/>
      </c>
      <c r="D19" s="574">
        <f>ROUND('Multi-Customer'!$EP$51,0)</f>
        <v>0</v>
      </c>
      <c r="E19" s="574">
        <f>ROUND('Multi-Customer'!$EP$52,0)</f>
        <v>0</v>
      </c>
      <c r="F19" s="574">
        <f>ROUND('Multi-Customer'!$EQ$35,0)</f>
        <v>0</v>
      </c>
      <c r="G19" s="574" t="str">
        <f t="shared" si="2"/>
        <v/>
      </c>
      <c r="H19" s="574" t="str">
        <f t="shared" si="3"/>
        <v/>
      </c>
      <c r="I19" s="574" t="str">
        <f>IF('Customer Inputs'!Z10="","",'Customer Inputs'!Z10)</f>
        <v/>
      </c>
      <c r="J19" s="592" t="str">
        <f>IF('Customer Inputs'!$F10="","",'Customer Inputs'!$P10)</f>
        <v/>
      </c>
      <c r="K19" s="141" t="str">
        <f>'Customer Inputs'!X10</f>
        <v/>
      </c>
      <c r="L19" s="575">
        <f>IFERROR(IFERROR(IFERROR(VLOOKUP($J$5&amp;$I19,'5zip'!$A:$F,6,FALSE),VLOOKUP($J$5&amp;$H19,'4zip'!$A:$F,6,FALSE)),VLOOKUP($J$5&amp;$G19,'3zip'!$A:$F,6,FALSE)),0)</f>
        <v>0</v>
      </c>
      <c r="M19" s="575" t="str">
        <f>IFERROR(IFERROR(IFERROR(VLOOKUP($J$5&amp;$I19,'5zip'!$A:$F,6,FALSE),VLOOKUP($J$5&amp;$H19,'4zip'!$A:$F,6,FALSE)),VLOOKUP($J$5&amp;$G19,'3zip'!$A:$F,6,FALSE)),"Zip Code Not Serviced")</f>
        <v>Zip Code Not Serviced</v>
      </c>
      <c r="N19" s="576">
        <f t="shared" si="4"/>
        <v>0</v>
      </c>
      <c r="O19" s="577">
        <f>IFERROR((VLOOKUP($J$4&amp;$C19&amp;$J$6&amp;$J$7,'Variable Selling'!$B:$O,11,FALSE))*F19,0)</f>
        <v>0</v>
      </c>
      <c r="P19" s="577">
        <f>IFERROR(VLOOKUP($J$4,'Variable Div Avgs'!$D:$I,6,FALSE)*'Variable Costs (Back)'!$F19,0)</f>
        <v>0</v>
      </c>
      <c r="Q19" s="577">
        <f t="shared" si="0"/>
        <v>0</v>
      </c>
      <c r="R19" s="577">
        <f t="shared" si="1"/>
        <v>0</v>
      </c>
      <c r="S19" s="577">
        <f t="shared" si="5"/>
        <v>0</v>
      </c>
      <c r="T19" s="577">
        <f>IFERROR(VLOOKUP($AC19,'Existing Customer Variable Exp'!$B:$E,2,FALSE),0)</f>
        <v>0</v>
      </c>
      <c r="U19" s="577">
        <f>IFERROR(VLOOKUP($AC19,'Existing Customer Variable Exp'!$B:$E,3,FALSE),0)</f>
        <v>0</v>
      </c>
      <c r="V19" s="577">
        <f>IFERROR(VLOOKUP($AC19,'Existing Customer Variable Exp'!$B:$E,4,FALSE),0)</f>
        <v>0</v>
      </c>
      <c r="W19" s="576">
        <f t="shared" si="6"/>
        <v>0</v>
      </c>
      <c r="X19" s="577">
        <f t="shared" si="7"/>
        <v>0</v>
      </c>
      <c r="Y19" s="577">
        <f t="shared" si="8"/>
        <v>0</v>
      </c>
      <c r="Z19" s="577" t="str">
        <f>IF('Customer Inputs'!L10&lt;&gt;'Customer Inputs'!X10,"Modelled",IF(D19=F19,"BASE","Modelled"))</f>
        <v>BASE</v>
      </c>
      <c r="AA19" s="577" t="str">
        <f>IF(AND(SUMIF('Existing Customers'!$A:$A,'Variable Costs (Back)'!$AC19,'Existing Customers'!$Q:$Q)&gt;0,'Customer Inputs'!$U10&lt;&gt;"Prospect"),IF('Customer Inputs'!$V10&lt;&gt;"Yes","Existing","New"),"New")</f>
        <v>New</v>
      </c>
      <c r="AB19" s="594" t="s">
        <v>816</v>
      </c>
      <c r="AC19" s="578" t="str">
        <f>IF('Customer Inputs'!$F10="","",'Customer Inputs'!$G10)</f>
        <v/>
      </c>
      <c r="AD19" s="597">
        <f t="shared" si="9"/>
        <v>0</v>
      </c>
      <c r="AE19" s="597">
        <f t="shared" si="10"/>
        <v>0</v>
      </c>
      <c r="AF19" s="597">
        <f t="shared" si="11"/>
        <v>0</v>
      </c>
      <c r="AG19" s="691">
        <f t="shared" si="12"/>
        <v>0</v>
      </c>
      <c r="AH19" s="141" t="s">
        <v>38</v>
      </c>
      <c r="AI19" s="141" t="s">
        <v>1</v>
      </c>
      <c r="AJ19" s="141" t="s">
        <v>38</v>
      </c>
      <c r="AK19" s="744" t="s">
        <v>113</v>
      </c>
    </row>
    <row r="20" spans="1:37" x14ac:dyDescent="0.2">
      <c r="A20" s="141" t="str">
        <f>IF('Customer Inputs'!$S11="","",IF('Variable Costs (Back)'!$M20="Zip Code Not Serviced","Zip Code Not Serviced",""))</f>
        <v/>
      </c>
      <c r="B20" s="141" t="str">
        <f>'Customer Inputs'!Y11</f>
        <v/>
      </c>
      <c r="C20" s="141" t="str">
        <f>IF('Customer Inputs'!H11="","",'Customer Inputs'!H11)</f>
        <v/>
      </c>
      <c r="D20" s="574">
        <f>ROUND('Multi-Customer'!$FM$51,0)</f>
        <v>0</v>
      </c>
      <c r="E20" s="574">
        <f>ROUND('Multi-Customer'!$FM$52,0)</f>
        <v>0</v>
      </c>
      <c r="F20" s="574">
        <f>ROUND('Multi-Customer'!$FN$35,0)</f>
        <v>0</v>
      </c>
      <c r="G20" s="574" t="str">
        <f t="shared" si="2"/>
        <v/>
      </c>
      <c r="H20" s="574" t="str">
        <f t="shared" si="3"/>
        <v/>
      </c>
      <c r="I20" s="574" t="str">
        <f>IF('Customer Inputs'!Z11="","",'Customer Inputs'!Z11)</f>
        <v/>
      </c>
      <c r="J20" s="592" t="str">
        <f>IF('Customer Inputs'!$F11="","",'Customer Inputs'!$P11)</f>
        <v/>
      </c>
      <c r="K20" s="141" t="str">
        <f>'Customer Inputs'!X11</f>
        <v/>
      </c>
      <c r="L20" s="575">
        <f>IFERROR(IFERROR(IFERROR(VLOOKUP($J$5&amp;$I20,'5zip'!$A:$F,6,FALSE),VLOOKUP($J$5&amp;$H20,'4zip'!$A:$F,6,FALSE)),VLOOKUP($J$5&amp;$G20,'3zip'!$A:$F,6,FALSE)),0)</f>
        <v>0</v>
      </c>
      <c r="M20" s="575" t="str">
        <f>IFERROR(IFERROR(IFERROR(VLOOKUP($J$5&amp;$I20,'5zip'!$A:$F,6,FALSE),VLOOKUP($J$5&amp;$H20,'4zip'!$A:$F,6,FALSE)),VLOOKUP($J$5&amp;$G20,'3zip'!$A:$F,6,FALSE)),"Zip Code Not Serviced")</f>
        <v>Zip Code Not Serviced</v>
      </c>
      <c r="N20" s="576">
        <f t="shared" si="4"/>
        <v>0</v>
      </c>
      <c r="O20" s="577">
        <f>IFERROR((VLOOKUP($J$4&amp;$C20&amp;$J$6&amp;$J$7,'Variable Selling'!$B:$O,11,FALSE))*F20,0)</f>
        <v>0</v>
      </c>
      <c r="P20" s="577">
        <f>IFERROR(VLOOKUP($J$4,'Variable Div Avgs'!$D:$I,6,FALSE)*'Variable Costs (Back)'!$F20,0)</f>
        <v>0</v>
      </c>
      <c r="Q20" s="577">
        <f t="shared" si="0"/>
        <v>0</v>
      </c>
      <c r="R20" s="577">
        <f t="shared" si="1"/>
        <v>0</v>
      </c>
      <c r="S20" s="577">
        <f t="shared" si="5"/>
        <v>0</v>
      </c>
      <c r="T20" s="577">
        <f>IFERROR(VLOOKUP($AC20,'Existing Customer Variable Exp'!$B:$E,2,FALSE),0)</f>
        <v>0</v>
      </c>
      <c r="U20" s="577">
        <f>IFERROR(VLOOKUP($AC20,'Existing Customer Variable Exp'!$B:$E,3,FALSE),0)</f>
        <v>0</v>
      </c>
      <c r="V20" s="577">
        <f>IFERROR(VLOOKUP($AC20,'Existing Customer Variable Exp'!$B:$E,4,FALSE),0)</f>
        <v>0</v>
      </c>
      <c r="W20" s="576">
        <f t="shared" si="6"/>
        <v>0</v>
      </c>
      <c r="X20" s="577">
        <f t="shared" si="7"/>
        <v>0</v>
      </c>
      <c r="Y20" s="577">
        <f t="shared" si="8"/>
        <v>0</v>
      </c>
      <c r="Z20" s="577" t="str">
        <f>IF('Customer Inputs'!L11&lt;&gt;'Customer Inputs'!X11,"Modelled",IF(D20=F20,"BASE","Modelled"))</f>
        <v>BASE</v>
      </c>
      <c r="AA20" s="577" t="str">
        <f>IF(AND(SUMIF('Existing Customers'!$A:$A,'Variable Costs (Back)'!$AC20,'Existing Customers'!$Q:$Q)&gt;0,'Customer Inputs'!$U11&lt;&gt;"Prospect"),IF('Customer Inputs'!$V11&lt;&gt;"Yes","Existing","New"),"New")</f>
        <v>New</v>
      </c>
      <c r="AB20" s="594" t="s">
        <v>817</v>
      </c>
      <c r="AC20" s="578" t="str">
        <f>IF('Customer Inputs'!$F11="","",'Customer Inputs'!$G11)</f>
        <v/>
      </c>
      <c r="AD20" s="597">
        <f t="shared" si="9"/>
        <v>0</v>
      </c>
      <c r="AE20" s="597">
        <f t="shared" si="10"/>
        <v>0</v>
      </c>
      <c r="AF20" s="597">
        <f t="shared" si="11"/>
        <v>0</v>
      </c>
      <c r="AG20" s="691">
        <f t="shared" si="12"/>
        <v>0</v>
      </c>
      <c r="AH20" s="141" t="s">
        <v>261</v>
      </c>
      <c r="AI20" s="141" t="s">
        <v>1</v>
      </c>
      <c r="AJ20" s="141" t="s">
        <v>261</v>
      </c>
      <c r="AK20" s="744" t="s">
        <v>113</v>
      </c>
    </row>
    <row r="21" spans="1:37" x14ac:dyDescent="0.2">
      <c r="A21" s="141" t="str">
        <f>IF('Customer Inputs'!$S12="","",IF('Variable Costs (Back)'!$M21="Zip Code Not Serviced","Zip Code Not Serviced",""))</f>
        <v/>
      </c>
      <c r="B21" s="141" t="str">
        <f>'Customer Inputs'!Y12</f>
        <v/>
      </c>
      <c r="C21" s="141" t="str">
        <f>IF('Customer Inputs'!H12="","",'Customer Inputs'!H12)</f>
        <v/>
      </c>
      <c r="D21" s="574">
        <f>ROUND('Multi-Customer'!$GJ$51,0)</f>
        <v>0</v>
      </c>
      <c r="E21" s="574">
        <f>ROUND('Multi-Customer'!$GJ$52,0)</f>
        <v>0</v>
      </c>
      <c r="F21" s="574">
        <f>ROUND('Multi-Customer'!$GK$35,0)</f>
        <v>0</v>
      </c>
      <c r="G21" s="574" t="str">
        <f t="shared" si="2"/>
        <v/>
      </c>
      <c r="H21" s="574" t="str">
        <f t="shared" si="3"/>
        <v/>
      </c>
      <c r="I21" s="574" t="str">
        <f>IF('Customer Inputs'!Z12="","",'Customer Inputs'!Z12)</f>
        <v/>
      </c>
      <c r="J21" s="592" t="str">
        <f>IF('Customer Inputs'!$F12="","",'Customer Inputs'!$P12)</f>
        <v/>
      </c>
      <c r="K21" s="141" t="str">
        <f>'Customer Inputs'!X12</f>
        <v/>
      </c>
      <c r="L21" s="575">
        <f>IFERROR(IFERROR(IFERROR(VLOOKUP($J$5&amp;$I21,'5zip'!$A:$F,6,FALSE),VLOOKUP($J$5&amp;$H21,'4zip'!$A:$F,6,FALSE)),VLOOKUP($J$5&amp;$G21,'3zip'!$A:$F,6,FALSE)),0)</f>
        <v>0</v>
      </c>
      <c r="M21" s="575" t="str">
        <f>IFERROR(IFERROR(IFERROR(VLOOKUP($J$5&amp;$I21,'5zip'!$A:$F,6,FALSE),VLOOKUP($J$5&amp;$H21,'4zip'!$A:$F,6,FALSE)),VLOOKUP($J$5&amp;$G21,'3zip'!$A:$F,6,FALSE)),"Zip Code Not Serviced")</f>
        <v>Zip Code Not Serviced</v>
      </c>
      <c r="N21" s="576">
        <f t="shared" si="4"/>
        <v>0</v>
      </c>
      <c r="O21" s="577">
        <f>IFERROR((VLOOKUP($J$4&amp;$C21&amp;$J$6&amp;$J$7,'Variable Selling'!$B:$O,11,FALSE))*F21,0)</f>
        <v>0</v>
      </c>
      <c r="P21" s="577">
        <f>IFERROR(VLOOKUP($J$4,'Variable Div Avgs'!$D:$I,6,FALSE)*'Variable Costs (Back)'!$F21,0)</f>
        <v>0</v>
      </c>
      <c r="Q21" s="577">
        <f t="shared" si="0"/>
        <v>0</v>
      </c>
      <c r="R21" s="577">
        <f t="shared" si="1"/>
        <v>0</v>
      </c>
      <c r="S21" s="577">
        <f t="shared" si="5"/>
        <v>0</v>
      </c>
      <c r="T21" s="577">
        <f>IFERROR(VLOOKUP($AC21,'Existing Customer Variable Exp'!$B:$E,2,FALSE),0)</f>
        <v>0</v>
      </c>
      <c r="U21" s="577">
        <f>IFERROR(VLOOKUP($AC21,'Existing Customer Variable Exp'!$B:$E,3,FALSE),0)</f>
        <v>0</v>
      </c>
      <c r="V21" s="577">
        <f>IFERROR(VLOOKUP($AC21,'Existing Customer Variable Exp'!$B:$E,4,FALSE),0)</f>
        <v>0</v>
      </c>
      <c r="W21" s="576">
        <f t="shared" si="6"/>
        <v>0</v>
      </c>
      <c r="X21" s="577">
        <f t="shared" si="7"/>
        <v>0</v>
      </c>
      <c r="Y21" s="577">
        <f t="shared" si="8"/>
        <v>0</v>
      </c>
      <c r="Z21" s="577" t="str">
        <f>IF('Customer Inputs'!L12&lt;&gt;'Customer Inputs'!X12,"Modelled",IF(D21=F21,"BASE","Modelled"))</f>
        <v>BASE</v>
      </c>
      <c r="AA21" s="577" t="str">
        <f>IF(AND(SUMIF('Existing Customers'!$A:$A,'Variable Costs (Back)'!$AC21,'Existing Customers'!$Q:$Q)&gt;0,'Customer Inputs'!$U12&lt;&gt;"Prospect"),IF('Customer Inputs'!$V12&lt;&gt;"Yes","Existing","New"),"New")</f>
        <v>New</v>
      </c>
      <c r="AB21" s="594" t="s">
        <v>818</v>
      </c>
      <c r="AC21" s="578" t="str">
        <f>IF('Customer Inputs'!$F12="","",'Customer Inputs'!$G12)</f>
        <v/>
      </c>
      <c r="AD21" s="597">
        <f t="shared" si="9"/>
        <v>0</v>
      </c>
      <c r="AE21" s="597">
        <f t="shared" si="10"/>
        <v>0</v>
      </c>
      <c r="AF21" s="597">
        <f t="shared" si="11"/>
        <v>0</v>
      </c>
      <c r="AG21" s="691">
        <f t="shared" si="12"/>
        <v>0</v>
      </c>
      <c r="AH21" s="141" t="s">
        <v>257</v>
      </c>
      <c r="AI21" s="141" t="s">
        <v>114</v>
      </c>
      <c r="AJ21" s="141" t="s">
        <v>257</v>
      </c>
      <c r="AK21" s="141" t="s">
        <v>114</v>
      </c>
    </row>
    <row r="22" spans="1:37" x14ac:dyDescent="0.2">
      <c r="A22" s="141" t="str">
        <f>IF('Customer Inputs'!$S13="","",IF('Variable Costs (Back)'!$M22="Zip Code Not Serviced","Zip Code Not Serviced",""))</f>
        <v/>
      </c>
      <c r="B22" s="141" t="str">
        <f>'Customer Inputs'!Y13</f>
        <v/>
      </c>
      <c r="C22" s="141" t="str">
        <f>IF('Customer Inputs'!H13="","",'Customer Inputs'!H13)</f>
        <v/>
      </c>
      <c r="D22" s="574">
        <f>ROUND('Multi-Customer'!$HG$51,0)</f>
        <v>0</v>
      </c>
      <c r="E22" s="574">
        <f>ROUND('Multi-Customer'!$HG$52,0)</f>
        <v>0</v>
      </c>
      <c r="F22" s="574">
        <f>ROUND('Multi-Customer'!$HH$35,0)</f>
        <v>0</v>
      </c>
      <c r="G22" s="574" t="str">
        <f t="shared" si="2"/>
        <v/>
      </c>
      <c r="H22" s="574" t="str">
        <f t="shared" si="3"/>
        <v/>
      </c>
      <c r="I22" s="574" t="str">
        <f>IF('Customer Inputs'!Z13="","",'Customer Inputs'!Z13)</f>
        <v/>
      </c>
      <c r="J22" s="592" t="str">
        <f>IF('Customer Inputs'!$F13="","",'Customer Inputs'!$P13)</f>
        <v/>
      </c>
      <c r="K22" s="141" t="str">
        <f>'Customer Inputs'!X13</f>
        <v/>
      </c>
      <c r="L22" s="575">
        <f>IFERROR(IFERROR(IFERROR(VLOOKUP($J$5&amp;$I22,'5zip'!$A:$F,6,FALSE),VLOOKUP($J$5&amp;$H22,'4zip'!$A:$F,6,FALSE)),VLOOKUP($J$5&amp;$G22,'3zip'!$A:$F,6,FALSE)),0)</f>
        <v>0</v>
      </c>
      <c r="M22" s="575" t="str">
        <f>IFERROR(IFERROR(IFERROR(VLOOKUP($J$5&amp;$I22,'5zip'!$A:$F,6,FALSE),VLOOKUP($J$5&amp;$H22,'4zip'!$A:$F,6,FALSE)),VLOOKUP($J$5&amp;$G22,'3zip'!$A:$F,6,FALSE)),"Zip Code Not Serviced")</f>
        <v>Zip Code Not Serviced</v>
      </c>
      <c r="N22" s="576">
        <f t="shared" si="4"/>
        <v>0</v>
      </c>
      <c r="O22" s="577">
        <f>IFERROR((VLOOKUP($J$4&amp;$C22&amp;$J$6&amp;$J$7,'Variable Selling'!$B:$O,11,FALSE))*F22,0)</f>
        <v>0</v>
      </c>
      <c r="P22" s="577">
        <f>IFERROR(VLOOKUP($J$4,'Variable Div Avgs'!$D:$I,6,FALSE)*'Variable Costs (Back)'!$F22,0)</f>
        <v>0</v>
      </c>
      <c r="Q22" s="577">
        <f t="shared" si="0"/>
        <v>0</v>
      </c>
      <c r="R22" s="577">
        <f t="shared" si="1"/>
        <v>0</v>
      </c>
      <c r="S22" s="577">
        <f t="shared" si="5"/>
        <v>0</v>
      </c>
      <c r="T22" s="577">
        <f>IFERROR(VLOOKUP($AC22,'Existing Customer Variable Exp'!$B:$E,2,FALSE),0)</f>
        <v>0</v>
      </c>
      <c r="U22" s="577">
        <f>IFERROR(VLOOKUP($AC22,'Existing Customer Variable Exp'!$B:$E,3,FALSE),0)</f>
        <v>0</v>
      </c>
      <c r="V22" s="577">
        <f>IFERROR(VLOOKUP($AC22,'Existing Customer Variable Exp'!$B:$E,4,FALSE),0)</f>
        <v>0</v>
      </c>
      <c r="W22" s="576">
        <f t="shared" si="6"/>
        <v>0</v>
      </c>
      <c r="X22" s="577">
        <f t="shared" si="7"/>
        <v>0</v>
      </c>
      <c r="Y22" s="577">
        <f t="shared" si="8"/>
        <v>0</v>
      </c>
      <c r="Z22" s="577" t="str">
        <f>IF('Customer Inputs'!L13&lt;&gt;'Customer Inputs'!X13,"Modelled",IF(D22=F22,"BASE","Modelled"))</f>
        <v>BASE</v>
      </c>
      <c r="AA22" s="577" t="str">
        <f>IF(AND(SUMIF('Existing Customers'!$A:$A,'Variable Costs (Back)'!$AC22,'Existing Customers'!$Q:$Q)&gt;0,'Customer Inputs'!$U13&lt;&gt;"Prospect"),IF('Customer Inputs'!$V13&lt;&gt;"Yes","Existing","New"),"New")</f>
        <v>New</v>
      </c>
      <c r="AB22" s="594" t="s">
        <v>819</v>
      </c>
      <c r="AC22" s="578" t="str">
        <f>IF('Customer Inputs'!$F13="","",'Customer Inputs'!$G13)</f>
        <v/>
      </c>
      <c r="AD22" s="597">
        <f t="shared" si="9"/>
        <v>0</v>
      </c>
      <c r="AE22" s="597">
        <f t="shared" si="10"/>
        <v>0</v>
      </c>
      <c r="AF22" s="597">
        <f t="shared" si="11"/>
        <v>0</v>
      </c>
      <c r="AG22" s="691">
        <f t="shared" si="12"/>
        <v>0</v>
      </c>
      <c r="AH22" s="141" t="s">
        <v>258</v>
      </c>
      <c r="AI22" s="141" t="s">
        <v>116</v>
      </c>
      <c r="AJ22" s="141" t="s">
        <v>258</v>
      </c>
      <c r="AK22" s="141" t="s">
        <v>116</v>
      </c>
    </row>
    <row r="23" spans="1:37" x14ac:dyDescent="0.2">
      <c r="A23" s="141" t="str">
        <f>IF('Customer Inputs'!$S14="","",IF('Variable Costs (Back)'!$M23="Zip Code Not Serviced","Zip Code Not Serviced",""))</f>
        <v/>
      </c>
      <c r="B23" s="141" t="str">
        <f>'Customer Inputs'!Y14</f>
        <v/>
      </c>
      <c r="C23" s="141" t="str">
        <f>IF('Customer Inputs'!H14="","",'Customer Inputs'!H14)</f>
        <v/>
      </c>
      <c r="D23" s="574">
        <f>ROUND('Multi-Customer'!$ID$51,0)</f>
        <v>0</v>
      </c>
      <c r="E23" s="574">
        <f>ROUND('Multi-Customer'!$ID$52,0)</f>
        <v>0</v>
      </c>
      <c r="F23" s="574">
        <f>ROUND('Multi-Customer'!$IE$35,0)</f>
        <v>0</v>
      </c>
      <c r="G23" s="574" t="str">
        <f t="shared" si="2"/>
        <v/>
      </c>
      <c r="H23" s="574" t="str">
        <f t="shared" si="3"/>
        <v/>
      </c>
      <c r="I23" s="574" t="str">
        <f>IF('Customer Inputs'!Z14="","",'Customer Inputs'!Z14)</f>
        <v/>
      </c>
      <c r="J23" s="592" t="str">
        <f>IF('Customer Inputs'!$F14="","",'Customer Inputs'!$P14)</f>
        <v/>
      </c>
      <c r="K23" s="141" t="str">
        <f>'Customer Inputs'!X14</f>
        <v/>
      </c>
      <c r="L23" s="575">
        <f>IFERROR(IFERROR(IFERROR(VLOOKUP($J$5&amp;$I23,'5zip'!$A:$F,6,FALSE),VLOOKUP($J$5&amp;$H23,'4zip'!$A:$F,6,FALSE)),VLOOKUP($J$5&amp;$G23,'3zip'!$A:$F,6,FALSE)),0)</f>
        <v>0</v>
      </c>
      <c r="M23" s="575" t="str">
        <f>IFERROR(IFERROR(IFERROR(VLOOKUP($J$5&amp;$I23,'5zip'!$A:$F,6,FALSE),VLOOKUP($J$5&amp;$H23,'4zip'!$A:$F,6,FALSE)),VLOOKUP($J$5&amp;$G23,'3zip'!$A:$F,6,FALSE)),"Zip Code Not Serviced")</f>
        <v>Zip Code Not Serviced</v>
      </c>
      <c r="N23" s="576">
        <f t="shared" si="4"/>
        <v>0</v>
      </c>
      <c r="O23" s="577">
        <f>IFERROR((VLOOKUP($J$4&amp;$C23&amp;$J$6&amp;$J$7,'Variable Selling'!$B:$O,11,FALSE))*F23,0)</f>
        <v>0</v>
      </c>
      <c r="P23" s="577">
        <f>IFERROR(VLOOKUP($J$4,'Variable Div Avgs'!$D:$I,6,FALSE)*'Variable Costs (Back)'!$F23,0)</f>
        <v>0</v>
      </c>
      <c r="Q23" s="577">
        <f t="shared" si="0"/>
        <v>0</v>
      </c>
      <c r="R23" s="577">
        <f t="shared" si="1"/>
        <v>0</v>
      </c>
      <c r="S23" s="577">
        <f t="shared" si="5"/>
        <v>0</v>
      </c>
      <c r="T23" s="577">
        <f>IFERROR(VLOOKUP($AC23,'Existing Customer Variable Exp'!$B:$E,2,FALSE),0)</f>
        <v>0</v>
      </c>
      <c r="U23" s="577">
        <f>IFERROR(VLOOKUP($AC23,'Existing Customer Variable Exp'!$B:$E,3,FALSE),0)</f>
        <v>0</v>
      </c>
      <c r="V23" s="577">
        <f>IFERROR(VLOOKUP($AC23,'Existing Customer Variable Exp'!$B:$E,4,FALSE),0)</f>
        <v>0</v>
      </c>
      <c r="W23" s="576">
        <f t="shared" si="6"/>
        <v>0</v>
      </c>
      <c r="X23" s="577">
        <f t="shared" si="7"/>
        <v>0</v>
      </c>
      <c r="Y23" s="577">
        <f t="shared" si="8"/>
        <v>0</v>
      </c>
      <c r="Z23" s="577" t="str">
        <f>IF('Customer Inputs'!L14&lt;&gt;'Customer Inputs'!X14,"Modelled",IF(D23=F23,"BASE","Modelled"))</f>
        <v>BASE</v>
      </c>
      <c r="AA23" s="577" t="str">
        <f>IF(AND(SUMIF('Existing Customers'!$A:$A,'Variable Costs (Back)'!$AC23,'Existing Customers'!$Q:$Q)&gt;0,'Customer Inputs'!$U14&lt;&gt;"Prospect"),IF('Customer Inputs'!$V14&lt;&gt;"Yes","Existing","New"),"New")</f>
        <v>New</v>
      </c>
      <c r="AB23" s="594" t="s">
        <v>820</v>
      </c>
      <c r="AC23" s="578" t="str">
        <f>IF('Customer Inputs'!$F14="","",'Customer Inputs'!$G14)</f>
        <v/>
      </c>
      <c r="AD23" s="597">
        <f>IF($AA23="Existing",IF($Z23="BASE",$T23,$W23),$N23)</f>
        <v>0</v>
      </c>
      <c r="AE23" s="597">
        <f>IF($AA23="Existing",IF($Z23="BASE",$U23,$X23),$O23)</f>
        <v>0</v>
      </c>
      <c r="AF23" s="597">
        <f t="shared" si="11"/>
        <v>0</v>
      </c>
      <c r="AG23" s="691">
        <f t="shared" si="12"/>
        <v>0</v>
      </c>
      <c r="AH23" s="141" t="s">
        <v>259</v>
      </c>
      <c r="AI23" s="141" t="s">
        <v>112</v>
      </c>
      <c r="AJ23" s="141" t="s">
        <v>259</v>
      </c>
      <c r="AK23" s="141" t="s">
        <v>112</v>
      </c>
    </row>
    <row r="24" spans="1:37" ht="13.5" thickBot="1" x14ac:dyDescent="0.25">
      <c r="A24" s="141" t="str">
        <f>IF('Customer Inputs'!$S15="","",IF('Variable Costs (Back)'!$M24="Zip Code Not Serviced","Zip Code Not Serviced",""))</f>
        <v/>
      </c>
      <c r="B24" s="141" t="str">
        <f>'Customer Inputs'!Y15</f>
        <v/>
      </c>
      <c r="C24" s="141" t="str">
        <f>IF('Customer Inputs'!H15="","",'Customer Inputs'!H15)</f>
        <v/>
      </c>
      <c r="D24" s="574">
        <f>ROUND('Multi-Customer'!$JA$51,0)</f>
        <v>0</v>
      </c>
      <c r="E24" s="574">
        <f>ROUND('Multi-Customer'!$JA$52,0)</f>
        <v>0</v>
      </c>
      <c r="F24" s="574">
        <f>ROUND('Multi-Customer'!$JB$35,0)</f>
        <v>0</v>
      </c>
      <c r="G24" s="574" t="str">
        <f t="shared" si="2"/>
        <v/>
      </c>
      <c r="H24" s="574" t="str">
        <f t="shared" si="3"/>
        <v/>
      </c>
      <c r="I24" s="574" t="str">
        <f>IF('Customer Inputs'!Z15="","",'Customer Inputs'!Z15)</f>
        <v/>
      </c>
      <c r="J24" s="592" t="str">
        <f>IF('Customer Inputs'!$F15="","",'Customer Inputs'!$P15)</f>
        <v/>
      </c>
      <c r="K24" s="141" t="str">
        <f>'Customer Inputs'!X15</f>
        <v/>
      </c>
      <c r="L24" s="575">
        <f>IFERROR(IFERROR(IFERROR(VLOOKUP($J$5&amp;$I24,'5zip'!$A:$F,6,FALSE),VLOOKUP($J$5&amp;$H24,'4zip'!$A:$F,6,FALSE)),VLOOKUP($J$5&amp;$G24,'3zip'!$A:$F,6,FALSE)),0)</f>
        <v>0</v>
      </c>
      <c r="M24" s="575" t="str">
        <f>IFERROR(IFERROR(IFERROR(VLOOKUP($J$5&amp;$I24,'5zip'!$A:$F,6,FALSE),VLOOKUP($J$5&amp;$H24,'4zip'!$A:$F,6,FALSE)),VLOOKUP($J$5&amp;$G24,'3zip'!$A:$F,6,FALSE)),"Zip Code Not Serviced")</f>
        <v>Zip Code Not Serviced</v>
      </c>
      <c r="N24" s="576">
        <f t="shared" si="4"/>
        <v>0</v>
      </c>
      <c r="O24" s="577">
        <f>IFERROR((VLOOKUP($J$4&amp;$C24&amp;$J$6&amp;$J$7,'Variable Selling'!$B:$O,11,FALSE))*F24,0)</f>
        <v>0</v>
      </c>
      <c r="P24" s="577">
        <f>IFERROR(VLOOKUP($J$4,'Variable Div Avgs'!$D:$I,6,FALSE)*'Variable Costs (Back)'!$F24,0)</f>
        <v>0</v>
      </c>
      <c r="Q24" s="577">
        <f t="shared" si="0"/>
        <v>0</v>
      </c>
      <c r="R24" s="577">
        <f t="shared" si="1"/>
        <v>0</v>
      </c>
      <c r="S24" s="577">
        <f t="shared" si="5"/>
        <v>0</v>
      </c>
      <c r="T24" s="577">
        <f>IFERROR(VLOOKUP($AC24,'Existing Customer Variable Exp'!$B:$E,2,FALSE),0)</f>
        <v>0</v>
      </c>
      <c r="U24" s="577">
        <f>IFERROR(VLOOKUP($AC24,'Existing Customer Variable Exp'!$B:$E,3,FALSE),0)</f>
        <v>0</v>
      </c>
      <c r="V24" s="577">
        <f>IFERROR(VLOOKUP($AC24,'Existing Customer Variable Exp'!$B:$E,4,FALSE),0)</f>
        <v>0</v>
      </c>
      <c r="W24" s="576">
        <f t="shared" si="6"/>
        <v>0</v>
      </c>
      <c r="X24" s="577">
        <f t="shared" si="7"/>
        <v>0</v>
      </c>
      <c r="Y24" s="577">
        <f t="shared" si="8"/>
        <v>0</v>
      </c>
      <c r="Z24" s="577" t="str">
        <f>IF('Customer Inputs'!L15&lt;&gt;'Customer Inputs'!X15,"Modelled",IF(D24=F24,"BASE","Modelled"))</f>
        <v>BASE</v>
      </c>
      <c r="AA24" s="577" t="str">
        <f>IF(AND(SUMIF('Existing Customers'!$A:$A,'Variable Costs (Back)'!$AC24,'Existing Customers'!$Q:$Q)&gt;0,'Customer Inputs'!$U15&lt;&gt;"Prospect"),IF('Customer Inputs'!$V15&lt;&gt;"Yes","Existing","New"),"New")</f>
        <v>New</v>
      </c>
      <c r="AB24" s="594" t="s">
        <v>821</v>
      </c>
      <c r="AC24" s="601" t="str">
        <f>IF('Customer Inputs'!$F15="","",'Customer Inputs'!$G15)</f>
        <v/>
      </c>
      <c r="AD24" s="599">
        <f>IF($AA24="Existing",IF($Z24="BASE",$T24,$W24),$N24)</f>
        <v>0</v>
      </c>
      <c r="AE24" s="599">
        <f>IF($AA24="Existing",IF($Z24="BASE",$U24,$X24),$O24)</f>
        <v>0</v>
      </c>
      <c r="AF24" s="599">
        <f t="shared" si="11"/>
        <v>0</v>
      </c>
      <c r="AG24" s="692">
        <f t="shared" si="12"/>
        <v>0</v>
      </c>
      <c r="AH24" s="141" t="s">
        <v>260</v>
      </c>
      <c r="AI24" s="141" t="s">
        <v>113</v>
      </c>
      <c r="AJ24" s="141" t="s">
        <v>260</v>
      </c>
      <c r="AK24" s="141" t="s">
        <v>113</v>
      </c>
    </row>
    <row r="25" spans="1:37" ht="13.5" thickTop="1" x14ac:dyDescent="0.2">
      <c r="K25" s="579">
        <f>SUM(K15:K24)</f>
        <v>0</v>
      </c>
      <c r="W25" s="577"/>
      <c r="Y25" s="577"/>
      <c r="Z25" s="577"/>
      <c r="AA25" s="577"/>
      <c r="AC25" s="600" t="s">
        <v>949</v>
      </c>
      <c r="AD25" s="598">
        <f>SUM(AD15:AD24)</f>
        <v>0</v>
      </c>
      <c r="AE25" s="598">
        <f>SUM(AE15:AE24)</f>
        <v>0</v>
      </c>
      <c r="AF25" s="598">
        <f>SUM(AF15:AF24)</f>
        <v>0</v>
      </c>
      <c r="AG25" s="598">
        <f>SUM(AD25:AF25)</f>
        <v>0</v>
      </c>
      <c r="AH25" s="141" t="s">
        <v>262</v>
      </c>
      <c r="AI25" s="141" t="s">
        <v>111</v>
      </c>
      <c r="AJ25" s="141" t="s">
        <v>262</v>
      </c>
      <c r="AK25" s="141" t="s">
        <v>111</v>
      </c>
    </row>
    <row r="26" spans="1:37" x14ac:dyDescent="0.2">
      <c r="J26" s="580" t="s">
        <v>912</v>
      </c>
      <c r="K26" s="579">
        <f>IFERROR(SUM($K$15:$K$24)/COUNTIF($K$15:$K$24,"&gt;0"),0)</f>
        <v>0</v>
      </c>
      <c r="AB26" s="580"/>
      <c r="AH26" s="141" t="s">
        <v>263</v>
      </c>
      <c r="AI26" s="141" t="s">
        <v>118</v>
      </c>
      <c r="AJ26" s="141" t="s">
        <v>263</v>
      </c>
      <c r="AK26" s="141" t="s">
        <v>118</v>
      </c>
    </row>
    <row r="27" spans="1:37" x14ac:dyDescent="0.2">
      <c r="AB27" s="580"/>
      <c r="AH27" s="141" t="s">
        <v>264</v>
      </c>
      <c r="AI27" s="141" t="s">
        <v>115</v>
      </c>
      <c r="AJ27" s="141" t="s">
        <v>264</v>
      </c>
      <c r="AK27" s="141" t="s">
        <v>115</v>
      </c>
    </row>
    <row r="28" spans="1:37" x14ac:dyDescent="0.2">
      <c r="AH28" s="141" t="s">
        <v>265</v>
      </c>
      <c r="AI28" s="141" t="s">
        <v>117</v>
      </c>
      <c r="AJ28" s="141" t="s">
        <v>265</v>
      </c>
      <c r="AK28" s="141" t="s">
        <v>117</v>
      </c>
    </row>
    <row r="33" ht="14.45" customHeight="1" x14ac:dyDescent="0.2"/>
  </sheetData>
  <mergeCells count="7">
    <mergeCell ref="AD13:AF13"/>
    <mergeCell ref="J7:K7"/>
    <mergeCell ref="J2:K2"/>
    <mergeCell ref="J3:K3"/>
    <mergeCell ref="J4:K4"/>
    <mergeCell ref="J5:K5"/>
    <mergeCell ref="J6:K6"/>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7">
    <tabColor theme="0" tint="-0.499984740745262"/>
  </sheetPr>
  <dimension ref="A1:R118"/>
  <sheetViews>
    <sheetView topLeftCell="A32" workbookViewId="0">
      <selection activeCell="G38" sqref="G38"/>
    </sheetView>
  </sheetViews>
  <sheetFormatPr defaultRowHeight="15" x14ac:dyDescent="0.25"/>
  <cols>
    <col min="1" max="1" width="27.28515625" bestFit="1" customWidth="1"/>
    <col min="2" max="2" width="41" bestFit="1" customWidth="1"/>
    <col min="3" max="3" width="12.140625" bestFit="1" customWidth="1"/>
    <col min="4" max="4" width="11.7109375" bestFit="1" customWidth="1"/>
    <col min="5" max="5" width="11.140625" bestFit="1" customWidth="1"/>
    <col min="8" max="8" width="12.7109375" bestFit="1" customWidth="1"/>
    <col min="9" max="9" width="11.140625" bestFit="1" customWidth="1"/>
    <col min="10" max="10" width="11" bestFit="1" customWidth="1"/>
    <col min="15" max="15" width="52.28515625" bestFit="1" customWidth="1"/>
    <col min="16" max="16" width="3.28515625" bestFit="1" customWidth="1"/>
    <col min="17" max="17" width="49.7109375" bestFit="1" customWidth="1"/>
    <col min="18" max="18" width="6" bestFit="1" customWidth="1"/>
  </cols>
  <sheetData>
    <row r="1" spans="1:18" x14ac:dyDescent="0.25">
      <c r="E1" s="1445" t="s">
        <v>1020</v>
      </c>
      <c r="F1" s="1446"/>
      <c r="G1" s="1446"/>
      <c r="H1" s="1446"/>
      <c r="I1" s="1446"/>
      <c r="J1" s="1447"/>
      <c r="L1" s="1445" t="s">
        <v>1019</v>
      </c>
      <c r="M1" s="1447"/>
      <c r="Q1" s="1" t="s">
        <v>533</v>
      </c>
      <c r="R1" s="1" t="s">
        <v>532</v>
      </c>
    </row>
    <row r="2" spans="1:18" x14ac:dyDescent="0.25">
      <c r="E2" s="1">
        <v>0.1</v>
      </c>
      <c r="F2" s="50">
        <v>1.0999999999999999E-2</v>
      </c>
      <c r="G2" s="50">
        <v>2.7E-2</v>
      </c>
      <c r="H2" s="50">
        <v>3.2000000000000001E-2</v>
      </c>
      <c r="I2" s="50">
        <v>4.9000000000000002E-2</v>
      </c>
      <c r="J2" s="50">
        <v>6.4000000000000001E-2</v>
      </c>
      <c r="L2" s="788" t="s">
        <v>1138</v>
      </c>
      <c r="M2" s="45">
        <v>5.0000000000000001E-4</v>
      </c>
      <c r="O2" s="1" t="s">
        <v>534</v>
      </c>
      <c r="P2" s="1" t="s">
        <v>212</v>
      </c>
      <c r="Q2" s="1" t="s">
        <v>14</v>
      </c>
      <c r="R2" s="50">
        <v>6.0999999999999999E-2</v>
      </c>
    </row>
    <row r="3" spans="1:18" x14ac:dyDescent="0.25">
      <c r="E3" s="1">
        <v>0.15</v>
      </c>
      <c r="F3" s="50">
        <v>5.0000000000000001E-3</v>
      </c>
      <c r="G3" s="50">
        <v>3.9E-2</v>
      </c>
      <c r="H3" s="50">
        <v>0.05</v>
      </c>
      <c r="I3" s="50">
        <v>6.5000000000000002E-2</v>
      </c>
      <c r="J3" s="50">
        <v>8.5999999999999993E-2</v>
      </c>
      <c r="L3" s="788" t="s">
        <v>1139</v>
      </c>
      <c r="M3" s="45">
        <v>1E-3</v>
      </c>
      <c r="O3" s="1" t="s">
        <v>535</v>
      </c>
      <c r="P3" s="1" t="s">
        <v>213</v>
      </c>
      <c r="Q3" s="1" t="s">
        <v>14</v>
      </c>
      <c r="R3" s="50">
        <v>9.8000000000000004E-2</v>
      </c>
    </row>
    <row r="4" spans="1:18" x14ac:dyDescent="0.25">
      <c r="B4" t="str">
        <f>'Multi-Customer'!$AH$39</f>
        <v>Enter Customer(s)</v>
      </c>
      <c r="E4" s="1">
        <v>0.2</v>
      </c>
      <c r="F4" s="50">
        <v>3.2000000000000001E-2</v>
      </c>
      <c r="G4" s="50">
        <v>5.2999999999999999E-2</v>
      </c>
      <c r="H4" s="50">
        <v>6.5000000000000002E-2</v>
      </c>
      <c r="I4" s="50">
        <v>7.6999999999999999E-2</v>
      </c>
      <c r="J4" s="50">
        <v>0.11</v>
      </c>
      <c r="L4" s="788" t="s">
        <v>1140</v>
      </c>
      <c r="M4" s="45">
        <v>1.5E-3</v>
      </c>
      <c r="O4" s="1" t="s">
        <v>536</v>
      </c>
      <c r="P4" s="1" t="s">
        <v>214</v>
      </c>
      <c r="Q4" s="1" t="s">
        <v>14</v>
      </c>
      <c r="R4" s="50">
        <v>0.122</v>
      </c>
    </row>
    <row r="5" spans="1:18" x14ac:dyDescent="0.25">
      <c r="B5" t="str">
        <f>'Multi-Customer'!$AH$39</f>
        <v>Enter Customer(s)</v>
      </c>
      <c r="E5" s="1">
        <v>0.25</v>
      </c>
      <c r="F5" s="50">
        <v>4.2000000000000003E-2</v>
      </c>
      <c r="G5" s="50">
        <v>5.8999999999999997E-2</v>
      </c>
      <c r="H5" s="50">
        <v>7.0999999999999994E-2</v>
      </c>
      <c r="I5" s="50">
        <v>9.2999999999999999E-2</v>
      </c>
      <c r="J5" s="50">
        <v>0.122</v>
      </c>
      <c r="L5" s="788" t="s">
        <v>1141</v>
      </c>
      <c r="M5" s="45">
        <v>2E-3</v>
      </c>
      <c r="O5" s="1" t="s">
        <v>537</v>
      </c>
      <c r="P5" s="1" t="s">
        <v>267</v>
      </c>
      <c r="Q5" s="1" t="s">
        <v>14</v>
      </c>
      <c r="R5" s="50">
        <v>0.14499999999999999</v>
      </c>
    </row>
    <row r="6" spans="1:18" x14ac:dyDescent="0.25">
      <c r="A6" s="83" t="s">
        <v>937</v>
      </c>
      <c r="B6" t="str">
        <f>IF(B7&lt;0.25,"Q1",IF(B7&lt;0.5,"Q2",IF(B7&lt;0.75,"Q3","Q4")))</f>
        <v>Q1</v>
      </c>
      <c r="E6" s="1">
        <v>0.3</v>
      </c>
      <c r="F6" s="50">
        <v>3.2000000000000001E-2</v>
      </c>
      <c r="G6" s="50">
        <v>6.5000000000000002E-2</v>
      </c>
      <c r="H6" s="50">
        <v>7.6999999999999999E-2</v>
      </c>
      <c r="I6" s="50">
        <v>9.5000000000000001E-2</v>
      </c>
      <c r="J6" s="50">
        <v>0.12</v>
      </c>
      <c r="L6" s="788" t="s">
        <v>1142</v>
      </c>
      <c r="M6" s="45">
        <v>2.5000000000000001E-3</v>
      </c>
      <c r="O6" s="1" t="s">
        <v>538</v>
      </c>
      <c r="P6" s="1" t="s">
        <v>212</v>
      </c>
      <c r="Q6" s="1" t="s">
        <v>62</v>
      </c>
      <c r="R6" s="50">
        <v>4.5999999999999999E-2</v>
      </c>
    </row>
    <row r="7" spans="1:18" x14ac:dyDescent="0.25">
      <c r="A7" s="83" t="s">
        <v>467</v>
      </c>
      <c r="B7">
        <f>'PIM Ranges'!$AU$3</f>
        <v>0</v>
      </c>
      <c r="E7" s="1">
        <v>0.35</v>
      </c>
      <c r="F7" s="50">
        <v>4.8000000000000001E-2</v>
      </c>
      <c r="G7" s="50">
        <v>7.9000000000000001E-2</v>
      </c>
      <c r="H7" s="50">
        <v>9.4E-2</v>
      </c>
      <c r="I7" s="50">
        <v>0.11</v>
      </c>
      <c r="J7" s="50">
        <v>0.14499999999999999</v>
      </c>
      <c r="L7" s="788" t="s">
        <v>1143</v>
      </c>
      <c r="M7" s="45">
        <v>3.0000000000000001E-3</v>
      </c>
      <c r="O7" s="1" t="s">
        <v>539</v>
      </c>
      <c r="P7" s="1" t="s">
        <v>213</v>
      </c>
      <c r="Q7" s="1" t="s">
        <v>62</v>
      </c>
      <c r="R7" s="50">
        <v>8.5000000000000006E-2</v>
      </c>
    </row>
    <row r="8" spans="1:18" x14ac:dyDescent="0.25">
      <c r="A8" s="83" t="s">
        <v>469</v>
      </c>
      <c r="B8">
        <f>IF($B$7&lt;$E$2,$G$2,IF($B$7&lt;$E$3,$G$3,IF($B$7&lt;$E$4,$G$4,IF($B$7&lt;$E$5,$G$5,IF($B$7&lt;$E$6,$G$6,IF($B$7&lt;$E$7,$G$7,IF($B$7&lt;$E$8,$G$8,IF($B$7&lt;$E$9,$G$9,IF($B$7&lt;$E$10,$G$10,IF($B$7&lt;$E$11,$G$11,IF($B$7&lt;$E$12,$G$12,IF($B$7&lt;$E$13,$G$13,IF($B$7&lt;$E$14,$G$14,IF($B$7&lt;$E$15,$G$15,IF($B$7&lt;$E$16,$G$16,$G$17)))))))))))))))</f>
        <v>2.7E-2</v>
      </c>
      <c r="E8" s="1">
        <v>0.4</v>
      </c>
      <c r="F8" s="50">
        <v>5.7000000000000002E-2</v>
      </c>
      <c r="G8" s="50">
        <v>8.5000000000000006E-2</v>
      </c>
      <c r="H8" s="50">
        <v>9.7000000000000003E-2</v>
      </c>
      <c r="I8" s="50">
        <v>0.109</v>
      </c>
      <c r="J8" s="50">
        <v>0.128</v>
      </c>
      <c r="L8" s="788" t="s">
        <v>1144</v>
      </c>
      <c r="M8" s="45">
        <v>3.5000000000000001E-3</v>
      </c>
      <c r="O8" s="1" t="s">
        <v>540</v>
      </c>
      <c r="P8" s="1" t="s">
        <v>214</v>
      </c>
      <c r="Q8" s="1" t="s">
        <v>62</v>
      </c>
      <c r="R8" s="50">
        <v>0.106</v>
      </c>
    </row>
    <row r="9" spans="1:18" x14ac:dyDescent="0.25">
      <c r="A9" s="83" t="s">
        <v>938</v>
      </c>
      <c r="B9" t="str">
        <f>IF($B$4="Multiple Menu Types",B6&amp;B5,B6&amp;B4)</f>
        <v>Q1Enter Customer(s)</v>
      </c>
      <c r="E9" s="1">
        <v>0.45</v>
      </c>
      <c r="F9" s="50">
        <v>5.6000000000000001E-2</v>
      </c>
      <c r="G9" s="50">
        <v>8.6999999999999994E-2</v>
      </c>
      <c r="H9" s="50">
        <v>0.10100000000000001</v>
      </c>
      <c r="I9" s="50">
        <v>0.12</v>
      </c>
      <c r="J9" s="50">
        <v>0.16700000000000001</v>
      </c>
      <c r="L9" s="788" t="s">
        <v>1145</v>
      </c>
      <c r="M9" s="45">
        <v>4.0000000000000001E-3</v>
      </c>
      <c r="O9" s="1" t="s">
        <v>541</v>
      </c>
      <c r="P9" s="1" t="s">
        <v>267</v>
      </c>
      <c r="Q9" s="1" t="s">
        <v>62</v>
      </c>
      <c r="R9" s="50">
        <v>0.106</v>
      </c>
    </row>
    <row r="10" spans="1:18" x14ac:dyDescent="0.25">
      <c r="A10" s="83"/>
      <c r="E10" s="1">
        <v>0.5</v>
      </c>
      <c r="F10" s="50">
        <v>0.05</v>
      </c>
      <c r="G10" s="50">
        <v>9.1999999999999998E-2</v>
      </c>
      <c r="H10" s="50">
        <v>0.108</v>
      </c>
      <c r="I10" s="50">
        <v>0.124</v>
      </c>
      <c r="J10" s="50">
        <v>0.16600000000000001</v>
      </c>
      <c r="L10" s="788" t="s">
        <v>1146</v>
      </c>
      <c r="M10" s="45">
        <v>4.4999999999999997E-3</v>
      </c>
      <c r="O10" s="1" t="s">
        <v>542</v>
      </c>
      <c r="P10" s="1" t="s">
        <v>212</v>
      </c>
      <c r="Q10" s="1" t="s">
        <v>74</v>
      </c>
      <c r="R10" s="50">
        <v>7.1999999999999995E-2</v>
      </c>
    </row>
    <row r="11" spans="1:18" x14ac:dyDescent="0.25">
      <c r="A11" s="83" t="s">
        <v>939</v>
      </c>
      <c r="B11">
        <f>IF($B$7&lt;$L$2,$M$2,IF($B$7&lt;$L$3,$M$3,IF($B$7&lt;$L$4,$M$4,IF($B$7&lt;$L$5,$M$5,IF($B$7&lt;$L$6,$M$6,IF($B$7&lt;$L$7,$M$7,IF($B$7&lt;$L$8,$M$8,IF($B$7&lt;$L$9,$M$9,IF($B$7&lt;$L$10,$M$10,IF($B$7&lt;$L$11,$M$11,IF($B$7&lt;$L$12,$M$12,IF($B$7&lt;$L$13,$M$13,IF($B$7&lt;$L$14,$M$14,IF($B$7&lt;$L$15,$M$15,IF($B$7&lt;$L$16,$M$16,IF($B$7&lt;$L$17,$M$17,IF($B$7&lt;$L$18,$M$18,IF($B$7&lt;$L$19,$M$19,$M$20))))))))))))))))))</f>
        <v>5.0000000000000001E-4</v>
      </c>
      <c r="E11" s="1">
        <v>0.55000000000000004</v>
      </c>
      <c r="F11" s="50">
        <v>5.8000000000000003E-2</v>
      </c>
      <c r="G11" s="50">
        <v>9.7000000000000003E-2</v>
      </c>
      <c r="H11" s="50">
        <v>0.111</v>
      </c>
      <c r="I11" s="50">
        <v>0.124</v>
      </c>
      <c r="J11" s="50">
        <v>0.158</v>
      </c>
      <c r="L11" s="788" t="s">
        <v>1147</v>
      </c>
      <c r="M11" s="45">
        <v>5.0000000000000001E-3</v>
      </c>
      <c r="O11" s="1" t="s">
        <v>543</v>
      </c>
      <c r="P11" s="1" t="s">
        <v>213</v>
      </c>
      <c r="Q11" s="1" t="s">
        <v>74</v>
      </c>
      <c r="R11" s="50">
        <v>0.109</v>
      </c>
    </row>
    <row r="12" spans="1:18" x14ac:dyDescent="0.25">
      <c r="A12" s="83" t="s">
        <v>940</v>
      </c>
      <c r="B12">
        <f>IFERROR(VLOOKUP($B$9,$O:$R,4,FALSE),0)</f>
        <v>0</v>
      </c>
      <c r="E12" s="1">
        <v>0.6</v>
      </c>
      <c r="F12" s="50">
        <v>6.6000000000000003E-2</v>
      </c>
      <c r="G12" s="50">
        <v>0.10299999999999999</v>
      </c>
      <c r="H12" s="50">
        <v>0.11899999999999999</v>
      </c>
      <c r="I12" s="50">
        <v>0.13700000000000001</v>
      </c>
      <c r="J12" s="50">
        <v>0.184</v>
      </c>
      <c r="L12" s="788" t="s">
        <v>1148</v>
      </c>
      <c r="M12" s="45">
        <v>5.4999999999999997E-3</v>
      </c>
      <c r="O12" s="1" t="s">
        <v>544</v>
      </c>
      <c r="P12" s="1" t="s">
        <v>214</v>
      </c>
      <c r="Q12" s="1" t="s">
        <v>74</v>
      </c>
      <c r="R12" s="50">
        <v>0.14299999999999999</v>
      </c>
    </row>
    <row r="13" spans="1:18" x14ac:dyDescent="0.25">
      <c r="A13" s="83"/>
      <c r="E13" s="1">
        <v>0.65</v>
      </c>
      <c r="F13" s="50">
        <v>7.4999999999999997E-2</v>
      </c>
      <c r="G13" s="50">
        <v>0.111</v>
      </c>
      <c r="H13" s="50">
        <v>0.123</v>
      </c>
      <c r="I13" s="50">
        <v>0.13600000000000001</v>
      </c>
      <c r="J13" s="50">
        <v>0.17299999999999999</v>
      </c>
      <c r="L13" s="788" t="s">
        <v>1149</v>
      </c>
      <c r="M13" s="45">
        <v>6.0000000000000001E-3</v>
      </c>
      <c r="O13" s="1" t="s">
        <v>545</v>
      </c>
      <c r="P13" s="1" t="s">
        <v>267</v>
      </c>
      <c r="Q13" s="1" t="s">
        <v>74</v>
      </c>
      <c r="R13" s="50">
        <v>0.14299999999999999</v>
      </c>
    </row>
    <row r="14" spans="1:18" x14ac:dyDescent="0.25">
      <c r="A14" s="83" t="s">
        <v>901</v>
      </c>
      <c r="B14" s="38">
        <f>'PIM Model'!$G$31</f>
        <v>0</v>
      </c>
      <c r="E14" s="1">
        <v>0.7</v>
      </c>
      <c r="F14" s="50">
        <v>0.08</v>
      </c>
      <c r="G14" s="50">
        <v>0.113</v>
      </c>
      <c r="H14" s="50">
        <v>0.126</v>
      </c>
      <c r="I14" s="50">
        <v>0.15</v>
      </c>
      <c r="J14" s="50">
        <v>0.20200000000000001</v>
      </c>
      <c r="L14" s="788" t="s">
        <v>1150</v>
      </c>
      <c r="M14" s="45">
        <v>6.4999999999999997E-3</v>
      </c>
      <c r="O14" s="1" t="s">
        <v>546</v>
      </c>
      <c r="P14" s="1" t="s">
        <v>212</v>
      </c>
      <c r="Q14" s="1" t="s">
        <v>34</v>
      </c>
      <c r="R14" s="50">
        <v>6.2E-2</v>
      </c>
    </row>
    <row r="15" spans="1:18" x14ac:dyDescent="0.25">
      <c r="A15" s="83" t="s">
        <v>941</v>
      </c>
      <c r="B15" s="38">
        <f>B12*B14</f>
        <v>0</v>
      </c>
      <c r="E15" s="1">
        <v>0.75</v>
      </c>
      <c r="F15" s="50">
        <v>7.8E-2</v>
      </c>
      <c r="G15" s="50">
        <v>0.108</v>
      </c>
      <c r="H15" s="50">
        <v>0.128</v>
      </c>
      <c r="I15" s="50">
        <v>0.154</v>
      </c>
      <c r="J15" s="50">
        <v>0.21</v>
      </c>
      <c r="L15" s="788" t="s">
        <v>1151</v>
      </c>
      <c r="M15" s="45">
        <v>7.0000000000000001E-3</v>
      </c>
      <c r="O15" s="1" t="s">
        <v>547</v>
      </c>
      <c r="P15" s="1" t="s">
        <v>213</v>
      </c>
      <c r="Q15" s="1" t="s">
        <v>34</v>
      </c>
      <c r="R15" s="50">
        <v>0.10199999999999999</v>
      </c>
    </row>
    <row r="16" spans="1:18" x14ac:dyDescent="0.25">
      <c r="A16" s="83" t="s">
        <v>939</v>
      </c>
      <c r="B16">
        <f>B14*B11</f>
        <v>0</v>
      </c>
      <c r="E16" s="1">
        <v>0.8</v>
      </c>
      <c r="F16" s="50">
        <v>9.7000000000000003E-2</v>
      </c>
      <c r="G16" s="50">
        <v>0.13200000000000001</v>
      </c>
      <c r="H16" s="50">
        <v>0.129</v>
      </c>
      <c r="I16" s="50">
        <v>0.156</v>
      </c>
      <c r="J16" s="50">
        <v>0.17</v>
      </c>
      <c r="L16" s="788" t="s">
        <v>1152</v>
      </c>
      <c r="M16" s="45">
        <v>7.4999999999999997E-3</v>
      </c>
      <c r="O16" s="1" t="s">
        <v>548</v>
      </c>
      <c r="P16" s="1" t="s">
        <v>214</v>
      </c>
      <c r="Q16" s="1" t="s">
        <v>34</v>
      </c>
      <c r="R16" s="50">
        <v>0.11700000000000001</v>
      </c>
    </row>
    <row r="17" spans="2:18" x14ac:dyDescent="0.25">
      <c r="E17" s="1" t="s">
        <v>468</v>
      </c>
      <c r="F17" s="50">
        <v>9.9000000000000005E-2</v>
      </c>
      <c r="G17" s="50">
        <v>0.10800000000000001</v>
      </c>
      <c r="H17" s="50">
        <v>0.129</v>
      </c>
      <c r="I17" s="50">
        <v>0.151</v>
      </c>
      <c r="J17" s="50">
        <v>0.155</v>
      </c>
      <c r="L17" s="789" t="s">
        <v>1153</v>
      </c>
      <c r="M17" s="45">
        <v>8.0000000000000002E-3</v>
      </c>
      <c r="O17" s="1" t="s">
        <v>549</v>
      </c>
      <c r="P17" s="1" t="s">
        <v>267</v>
      </c>
      <c r="Q17" s="1" t="s">
        <v>34</v>
      </c>
      <c r="R17" s="50">
        <v>0.11700000000000001</v>
      </c>
    </row>
    <row r="18" spans="2:18" x14ac:dyDescent="0.25">
      <c r="L18" s="788" t="s">
        <v>1154</v>
      </c>
      <c r="M18" s="45">
        <v>8.5000000000000006E-3</v>
      </c>
      <c r="O18" s="1" t="s">
        <v>550</v>
      </c>
      <c r="P18" s="1" t="s">
        <v>212</v>
      </c>
      <c r="Q18" s="1" t="s">
        <v>0</v>
      </c>
      <c r="R18" s="50">
        <v>5.3999999999999999E-2</v>
      </c>
    </row>
    <row r="19" spans="2:18" x14ac:dyDescent="0.25">
      <c r="B19" t="s">
        <v>1026</v>
      </c>
      <c r="C19">
        <f>IF(Welcome!$D$14="Select # of Locations",0,Welcome!$D$14)</f>
        <v>0</v>
      </c>
      <c r="L19" s="788" t="s">
        <v>1155</v>
      </c>
      <c r="M19" s="45">
        <v>8.9999999999999993E-3</v>
      </c>
      <c r="O19" s="1" t="s">
        <v>551</v>
      </c>
      <c r="P19" s="1" t="s">
        <v>213</v>
      </c>
      <c r="Q19" s="1" t="s">
        <v>0</v>
      </c>
      <c r="R19" s="50">
        <v>8.7999999999999995E-2</v>
      </c>
    </row>
    <row r="20" spans="2:18" x14ac:dyDescent="0.25">
      <c r="B20">
        <f>'PIM Model'!$E$3</f>
        <v>0</v>
      </c>
      <c r="E20" s="1445" t="s">
        <v>1021</v>
      </c>
      <c r="F20" s="1446"/>
      <c r="G20" s="1447"/>
      <c r="L20" s="1"/>
      <c r="M20" s="45">
        <v>9.4999999999999998E-3</v>
      </c>
      <c r="O20" s="1" t="s">
        <v>552</v>
      </c>
      <c r="P20" s="1" t="s">
        <v>214</v>
      </c>
      <c r="Q20" s="1" t="s">
        <v>0</v>
      </c>
      <c r="R20" s="50">
        <v>0.112</v>
      </c>
    </row>
    <row r="21" spans="2:18" x14ac:dyDescent="0.25">
      <c r="B21" t="s">
        <v>488</v>
      </c>
      <c r="C21" s="38">
        <f>'PIM Model'!$G$31</f>
        <v>0</v>
      </c>
      <c r="E21" s="85" t="s">
        <v>1028</v>
      </c>
      <c r="F21" s="664">
        <v>2600</v>
      </c>
      <c r="G21" s="50">
        <v>5.6000000000000001E-2</v>
      </c>
      <c r="H21" s="24"/>
      <c r="O21" s="1" t="s">
        <v>553</v>
      </c>
      <c r="P21" s="1" t="s">
        <v>267</v>
      </c>
      <c r="Q21" s="1" t="s">
        <v>0</v>
      </c>
      <c r="R21" s="50">
        <v>0.112</v>
      </c>
    </row>
    <row r="22" spans="2:18" x14ac:dyDescent="0.25">
      <c r="B22" t="s">
        <v>489</v>
      </c>
      <c r="C22" s="38">
        <f>$C$21/52</f>
        <v>0</v>
      </c>
      <c r="D22" t="s">
        <v>1043</v>
      </c>
      <c r="E22" s="85" t="s">
        <v>1029</v>
      </c>
      <c r="F22" s="664">
        <v>4600</v>
      </c>
      <c r="G22" s="50">
        <v>6.3E-2</v>
      </c>
      <c r="H22" s="24"/>
      <c r="L22" s="1444" t="s">
        <v>113</v>
      </c>
      <c r="M22" s="1444"/>
      <c r="O22" s="1" t="s">
        <v>554</v>
      </c>
      <c r="P22" s="1" t="s">
        <v>212</v>
      </c>
      <c r="Q22" s="1" t="s">
        <v>69</v>
      </c>
      <c r="R22" s="50">
        <v>7.6999999999999999E-2</v>
      </c>
    </row>
    <row r="23" spans="2:18" x14ac:dyDescent="0.25">
      <c r="B23" t="s">
        <v>1027</v>
      </c>
      <c r="C23" s="38" t="e">
        <f>$C$22/C19</f>
        <v>#DIV/0!</v>
      </c>
      <c r="E23" s="85" t="s">
        <v>1030</v>
      </c>
      <c r="F23" s="664">
        <v>8300</v>
      </c>
      <c r="G23" s="50">
        <v>5.2999999999999999E-2</v>
      </c>
      <c r="H23" s="24"/>
      <c r="L23" s="1445" t="s">
        <v>1019</v>
      </c>
      <c r="M23" s="1447"/>
      <c r="O23" s="1" t="s">
        <v>555</v>
      </c>
      <c r="P23" s="1" t="s">
        <v>213</v>
      </c>
      <c r="Q23" s="1" t="s">
        <v>69</v>
      </c>
      <c r="R23" s="50">
        <v>0.122</v>
      </c>
    </row>
    <row r="24" spans="2:18" x14ac:dyDescent="0.25">
      <c r="B24" t="s">
        <v>1023</v>
      </c>
      <c r="C24" s="24">
        <v>0.08</v>
      </c>
      <c r="D24" s="24" t="e">
        <f>IF($C$23&lt;$F$21,$G$21,IF($C$23&lt;$F$22,$G$22,IF($C$23&lt;$F$23,$G$23,IF($C$23&lt;$F$24,$G$24,$G$25))))</f>
        <v>#DIV/0!</v>
      </c>
      <c r="E24" s="85" t="s">
        <v>1031</v>
      </c>
      <c r="F24" s="664">
        <v>17000</v>
      </c>
      <c r="G24" s="50">
        <v>7.2999999999999995E-2</v>
      </c>
      <c r="H24" s="24"/>
      <c r="L24" s="398" t="s">
        <v>1138</v>
      </c>
      <c r="M24" s="45">
        <f t="shared" ref="M24:M29" si="0">M25-0.0005</f>
        <v>4.9999999999999975E-3</v>
      </c>
      <c r="O24" s="1" t="s">
        <v>556</v>
      </c>
      <c r="P24" s="1" t="s">
        <v>214</v>
      </c>
      <c r="Q24" s="1" t="s">
        <v>69</v>
      </c>
      <c r="R24" s="50">
        <v>0.151</v>
      </c>
    </row>
    <row r="25" spans="2:18" x14ac:dyDescent="0.25">
      <c r="B25" t="s">
        <v>1024</v>
      </c>
      <c r="C25" s="24">
        <v>0.08</v>
      </c>
      <c r="D25" s="24" t="e">
        <f>IF($C$23&lt;$F$29,$G$29,IF($C$23&lt;$F$30,$G$30,IF($C$23&lt;$F$31,$G$31,IF($C$23&lt;$F$32,$G$32,$G$33))))</f>
        <v>#DIV/0!</v>
      </c>
      <c r="E25" s="85" t="s">
        <v>1032</v>
      </c>
      <c r="F25" s="664"/>
      <c r="G25" s="50">
        <v>6.0999999999999999E-2</v>
      </c>
      <c r="H25" s="24"/>
      <c r="K25" s="756"/>
      <c r="L25" s="398" t="s">
        <v>1139</v>
      </c>
      <c r="M25" s="45">
        <f t="shared" si="0"/>
        <v>5.4999999999999979E-3</v>
      </c>
      <c r="O25" s="1" t="s">
        <v>557</v>
      </c>
      <c r="P25" s="1" t="s">
        <v>267</v>
      </c>
      <c r="Q25" s="1" t="s">
        <v>69</v>
      </c>
      <c r="R25" s="50">
        <v>0.151</v>
      </c>
    </row>
    <row r="26" spans="2:18" x14ac:dyDescent="0.25">
      <c r="B26" t="s">
        <v>1025</v>
      </c>
      <c r="C26" s="24">
        <f>IF($B$20="MDA",$C$24,$C$25)</f>
        <v>0.08</v>
      </c>
      <c r="E26" s="83"/>
      <c r="G26" s="24"/>
      <c r="H26" s="24"/>
      <c r="K26" s="756"/>
      <c r="L26" s="398" t="s">
        <v>1140</v>
      </c>
      <c r="M26" s="45">
        <f t="shared" si="0"/>
        <v>5.9999999999999984E-3</v>
      </c>
      <c r="O26" s="1" t="s">
        <v>558</v>
      </c>
      <c r="P26" s="1" t="s">
        <v>212</v>
      </c>
      <c r="Q26" s="1" t="s">
        <v>4</v>
      </c>
      <c r="R26" s="50">
        <v>6.5000000000000002E-2</v>
      </c>
    </row>
    <row r="27" spans="2:18" x14ac:dyDescent="0.25">
      <c r="B27" t="s">
        <v>487</v>
      </c>
      <c r="C27" s="24">
        <f>'Tracking &amp; Profitability'!$I$34</f>
        <v>0</v>
      </c>
      <c r="E27" s="83"/>
      <c r="K27" s="756"/>
      <c r="L27" s="398" t="s">
        <v>1141</v>
      </c>
      <c r="M27" s="45">
        <f t="shared" si="0"/>
        <v>6.4999999999999988E-3</v>
      </c>
      <c r="O27" s="1" t="s">
        <v>559</v>
      </c>
      <c r="P27" s="1" t="s">
        <v>213</v>
      </c>
      <c r="Q27" s="1" t="s">
        <v>4</v>
      </c>
      <c r="R27" s="50">
        <v>9.2999999999999999E-2</v>
      </c>
    </row>
    <row r="28" spans="2:18" x14ac:dyDescent="0.25">
      <c r="C28" s="24">
        <f>IFERROR(IF($C$27&gt;$C$26,"Approved",C26-C27),0)</f>
        <v>0.08</v>
      </c>
      <c r="E28" s="1444" t="s">
        <v>1022</v>
      </c>
      <c r="F28" s="1444"/>
      <c r="G28" s="1444"/>
      <c r="K28" s="756"/>
      <c r="L28" s="398" t="s">
        <v>1142</v>
      </c>
      <c r="M28" s="45">
        <f t="shared" si="0"/>
        <v>6.9999999999999993E-3</v>
      </c>
      <c r="O28" s="1" t="s">
        <v>560</v>
      </c>
      <c r="P28" s="1" t="s">
        <v>214</v>
      </c>
      <c r="Q28" s="1" t="s">
        <v>4</v>
      </c>
      <c r="R28" s="50">
        <v>0.11600000000000001</v>
      </c>
    </row>
    <row r="29" spans="2:18" x14ac:dyDescent="0.25">
      <c r="E29" s="85" t="s">
        <v>1033</v>
      </c>
      <c r="F29" s="664">
        <v>1500</v>
      </c>
      <c r="G29" s="50">
        <v>8.3000000000000004E-2</v>
      </c>
      <c r="H29" s="24"/>
      <c r="K29" s="756"/>
      <c r="L29" s="398" t="s">
        <v>1143</v>
      </c>
      <c r="M29" s="45">
        <f t="shared" si="0"/>
        <v>7.4999999999999997E-3</v>
      </c>
      <c r="O29" s="1" t="s">
        <v>561</v>
      </c>
      <c r="P29" s="1" t="s">
        <v>267</v>
      </c>
      <c r="Q29" s="1" t="s">
        <v>4</v>
      </c>
      <c r="R29" s="50">
        <v>0.11600000000000001</v>
      </c>
    </row>
    <row r="30" spans="2:18" x14ac:dyDescent="0.25">
      <c r="E30" s="85" t="s">
        <v>1034</v>
      </c>
      <c r="F30" s="664">
        <v>2400</v>
      </c>
      <c r="G30" s="50">
        <v>8.3000000000000004E-2</v>
      </c>
      <c r="H30" s="24"/>
      <c r="K30" s="756"/>
      <c r="L30" s="770" t="s">
        <v>1144</v>
      </c>
      <c r="M30" s="771">
        <v>8.0000000000000002E-3</v>
      </c>
      <c r="O30" s="1" t="s">
        <v>562</v>
      </c>
      <c r="P30" s="1" t="s">
        <v>212</v>
      </c>
      <c r="Q30" s="1" t="s">
        <v>35</v>
      </c>
      <c r="R30" s="50">
        <v>8.6999999999999994E-2</v>
      </c>
    </row>
    <row r="31" spans="2:18" x14ac:dyDescent="0.25">
      <c r="E31" s="85" t="s">
        <v>1035</v>
      </c>
      <c r="F31" s="664">
        <v>4100</v>
      </c>
      <c r="G31" s="50">
        <v>8.3000000000000004E-2</v>
      </c>
      <c r="H31" s="24"/>
      <c r="K31" s="756"/>
      <c r="L31" s="398" t="s">
        <v>1145</v>
      </c>
      <c r="M31" s="45">
        <f>M30+0.0005</f>
        <v>8.5000000000000006E-3</v>
      </c>
      <c r="O31" s="1" t="s">
        <v>563</v>
      </c>
      <c r="P31" s="1" t="s">
        <v>213</v>
      </c>
      <c r="Q31" s="1" t="s">
        <v>35</v>
      </c>
      <c r="R31" s="50">
        <v>8.6999999999999994E-2</v>
      </c>
    </row>
    <row r="32" spans="2:18" x14ac:dyDescent="0.25">
      <c r="E32" s="85" t="s">
        <v>1036</v>
      </c>
      <c r="F32" s="664">
        <v>8000</v>
      </c>
      <c r="G32" s="50">
        <v>8.2000000000000003E-2</v>
      </c>
      <c r="H32" s="24"/>
      <c r="K32" s="756"/>
      <c r="L32" s="398" t="s">
        <v>1146</v>
      </c>
      <c r="M32" s="45">
        <f>M31+0.0005</f>
        <v>9.0000000000000011E-3</v>
      </c>
      <c r="O32" s="1" t="s">
        <v>564</v>
      </c>
      <c r="P32" s="1" t="s">
        <v>214</v>
      </c>
      <c r="Q32" s="1" t="s">
        <v>35</v>
      </c>
      <c r="R32" s="50">
        <v>0.11700000000000001</v>
      </c>
    </row>
    <row r="33" spans="1:18" x14ac:dyDescent="0.25">
      <c r="E33" s="85" t="s">
        <v>1037</v>
      </c>
      <c r="F33" s="664"/>
      <c r="G33" s="50">
        <v>7.9000000000000001E-2</v>
      </c>
      <c r="H33" s="24"/>
      <c r="K33" s="756"/>
      <c r="L33" s="398" t="s">
        <v>1147</v>
      </c>
      <c r="M33" s="45">
        <f t="shared" ref="J33:M42" si="1">M32+0.0005</f>
        <v>9.5000000000000015E-3</v>
      </c>
      <c r="O33" s="1" t="s">
        <v>565</v>
      </c>
      <c r="P33" s="1" t="s">
        <v>267</v>
      </c>
      <c r="Q33" s="1" t="s">
        <v>35</v>
      </c>
      <c r="R33" s="50">
        <v>0.11700000000000001</v>
      </c>
    </row>
    <row r="34" spans="1:18" ht="15.75" thickBot="1" x14ac:dyDescent="0.3">
      <c r="G34" s="24"/>
      <c r="H34" s="24"/>
      <c r="K34" s="756"/>
      <c r="L34" s="398" t="s">
        <v>1148</v>
      </c>
      <c r="M34" s="45">
        <f t="shared" si="1"/>
        <v>1.0000000000000002E-2</v>
      </c>
      <c r="O34" s="1" t="s">
        <v>566</v>
      </c>
      <c r="P34" s="1" t="s">
        <v>212</v>
      </c>
      <c r="Q34" s="1" t="s">
        <v>6</v>
      </c>
      <c r="R34" s="50">
        <v>0.06</v>
      </c>
    </row>
    <row r="35" spans="1:18" ht="15.75" thickBot="1" x14ac:dyDescent="0.3">
      <c r="A35" s="425" t="s">
        <v>944</v>
      </c>
      <c r="K35" s="756"/>
      <c r="L35" s="398" t="s">
        <v>1149</v>
      </c>
      <c r="M35" s="45">
        <f t="shared" si="1"/>
        <v>1.0500000000000002E-2</v>
      </c>
      <c r="O35" s="1" t="s">
        <v>567</v>
      </c>
      <c r="P35" s="1" t="s">
        <v>213</v>
      </c>
      <c r="Q35" s="1" t="s">
        <v>6</v>
      </c>
      <c r="R35" s="50">
        <v>0.106</v>
      </c>
    </row>
    <row r="36" spans="1:18" ht="15.75" thickBot="1" x14ac:dyDescent="0.3">
      <c r="A36" s="421" t="s">
        <v>934</v>
      </c>
      <c r="B36" s="418" t="s">
        <v>900</v>
      </c>
      <c r="C36" s="415" t="s">
        <v>460</v>
      </c>
      <c r="D36" s="415" t="s">
        <v>936</v>
      </c>
      <c r="E36" s="416" t="s">
        <v>942</v>
      </c>
      <c r="F36" s="417" t="s">
        <v>935</v>
      </c>
      <c r="G36" s="416" t="s">
        <v>943</v>
      </c>
      <c r="H36" s="756"/>
      <c r="I36" s="398" t="s">
        <v>1150</v>
      </c>
      <c r="J36" s="45">
        <f>M35+0.0005</f>
        <v>1.1000000000000003E-2</v>
      </c>
      <c r="L36" s="1" t="s">
        <v>568</v>
      </c>
      <c r="M36" s="1" t="s">
        <v>214</v>
      </c>
      <c r="N36" s="1" t="s">
        <v>6</v>
      </c>
      <c r="O36" s="50">
        <v>0.12</v>
      </c>
    </row>
    <row r="37" spans="1:18" x14ac:dyDescent="0.25">
      <c r="A37" s="422">
        <v>1</v>
      </c>
      <c r="B37" s="419" t="str">
        <f>'Customer Inputs'!Y6</f>
        <v/>
      </c>
      <c r="C37" s="30">
        <f>'Customer Inputs'!P6</f>
        <v>0</v>
      </c>
      <c r="D37" s="412">
        <f>'Multi-Customer'!$BB$9</f>
        <v>0</v>
      </c>
      <c r="E37" s="1059">
        <f>'Multi-Customer'!$BB$10</f>
        <v>0</v>
      </c>
      <c r="F37" s="413">
        <f t="shared" ref="F37:F46" si="2">D37*C37</f>
        <v>0</v>
      </c>
      <c r="G37" s="414">
        <f t="shared" ref="G37:G46" si="3">E37*C37</f>
        <v>0</v>
      </c>
      <c r="H37" s="756"/>
      <c r="I37" s="398" t="s">
        <v>1151</v>
      </c>
      <c r="J37" s="45">
        <f t="shared" si="1"/>
        <v>1.1500000000000003E-2</v>
      </c>
      <c r="L37" s="1" t="s">
        <v>569</v>
      </c>
      <c r="M37" s="1" t="s">
        <v>267</v>
      </c>
      <c r="N37" s="1" t="s">
        <v>6</v>
      </c>
      <c r="O37" s="50">
        <v>0.17</v>
      </c>
    </row>
    <row r="38" spans="1:18" x14ac:dyDescent="0.25">
      <c r="A38" s="423">
        <v>2</v>
      </c>
      <c r="B38" s="291" t="str">
        <f>'Customer Inputs'!Y7</f>
        <v/>
      </c>
      <c r="C38" s="1">
        <f>'Customer Inputs'!P7</f>
        <v>0</v>
      </c>
      <c r="D38" s="407">
        <f>'Multi-Customer'!$BY$9</f>
        <v>0</v>
      </c>
      <c r="E38" s="407">
        <f>'Multi-Customer'!$BY$10</f>
        <v>0</v>
      </c>
      <c r="F38" s="408">
        <f t="shared" si="2"/>
        <v>0</v>
      </c>
      <c r="G38" s="409">
        <f t="shared" si="3"/>
        <v>0</v>
      </c>
      <c r="H38" s="756"/>
      <c r="I38" s="398" t="s">
        <v>1152</v>
      </c>
      <c r="J38" s="45">
        <f t="shared" si="1"/>
        <v>1.2000000000000004E-2</v>
      </c>
      <c r="L38" s="1" t="s">
        <v>570</v>
      </c>
      <c r="M38" s="1" t="s">
        <v>212</v>
      </c>
      <c r="N38" s="1" t="s">
        <v>257</v>
      </c>
      <c r="O38" s="50">
        <v>5.9000000000000004E-2</v>
      </c>
    </row>
    <row r="39" spans="1:18" x14ac:dyDescent="0.25">
      <c r="A39" s="423">
        <v>3</v>
      </c>
      <c r="B39" s="291" t="str">
        <f>'Customer Inputs'!Y8</f>
        <v/>
      </c>
      <c r="C39" s="1">
        <f>'Customer Inputs'!P8</f>
        <v>0</v>
      </c>
      <c r="D39" s="407">
        <f>'Multi-Customer'!$CV$9</f>
        <v>0</v>
      </c>
      <c r="E39" s="1059">
        <f>'Multi-Customer'!$CV$10</f>
        <v>0</v>
      </c>
      <c r="F39" s="408">
        <f t="shared" si="2"/>
        <v>0</v>
      </c>
      <c r="G39" s="409">
        <f t="shared" si="3"/>
        <v>0</v>
      </c>
      <c r="H39" s="756"/>
      <c r="I39" s="399" t="s">
        <v>1153</v>
      </c>
      <c r="J39" s="45">
        <f t="shared" si="1"/>
        <v>1.2500000000000004E-2</v>
      </c>
      <c r="L39" s="1" t="s">
        <v>571</v>
      </c>
      <c r="M39" s="1" t="s">
        <v>213</v>
      </c>
      <c r="N39" s="1" t="s">
        <v>257</v>
      </c>
      <c r="O39" s="50">
        <v>9.9000000000000005E-2</v>
      </c>
    </row>
    <row r="40" spans="1:18" x14ac:dyDescent="0.25">
      <c r="A40" s="423">
        <v>4</v>
      </c>
      <c r="B40" s="291" t="str">
        <f>'Customer Inputs'!Y9</f>
        <v/>
      </c>
      <c r="C40" s="1">
        <f>'Customer Inputs'!P9</f>
        <v>0</v>
      </c>
      <c r="D40" s="407">
        <f>'Multi-Customer'!$DS$9</f>
        <v>0</v>
      </c>
      <c r="E40" s="1059">
        <f>'Multi-Customer'!$DS$10</f>
        <v>0</v>
      </c>
      <c r="F40" s="408">
        <f t="shared" si="2"/>
        <v>0</v>
      </c>
      <c r="G40" s="409">
        <f t="shared" si="3"/>
        <v>0</v>
      </c>
      <c r="H40" s="756"/>
      <c r="I40" s="398" t="s">
        <v>1154</v>
      </c>
      <c r="J40" s="45">
        <f t="shared" si="1"/>
        <v>1.3000000000000005E-2</v>
      </c>
      <c r="L40" s="1" t="s">
        <v>572</v>
      </c>
      <c r="M40" s="1" t="s">
        <v>214</v>
      </c>
      <c r="N40" s="1" t="s">
        <v>257</v>
      </c>
      <c r="O40" s="50">
        <v>0.11900000000000001</v>
      </c>
    </row>
    <row r="41" spans="1:18" x14ac:dyDescent="0.25">
      <c r="A41" s="423">
        <v>5</v>
      </c>
      <c r="B41" s="291" t="str">
        <f>'Customer Inputs'!Y10</f>
        <v/>
      </c>
      <c r="C41" s="1">
        <f>'Customer Inputs'!P10</f>
        <v>0</v>
      </c>
      <c r="D41" s="407">
        <f>'Multi-Customer'!$EP$9</f>
        <v>0</v>
      </c>
      <c r="E41" s="1059">
        <f>'Multi-Customer'!$EP$10</f>
        <v>0</v>
      </c>
      <c r="F41" s="408">
        <f t="shared" si="2"/>
        <v>0</v>
      </c>
      <c r="G41" s="409">
        <f t="shared" si="3"/>
        <v>0</v>
      </c>
      <c r="H41" s="756"/>
      <c r="I41" s="398" t="s">
        <v>1155</v>
      </c>
      <c r="J41" s="45">
        <f t="shared" si="1"/>
        <v>1.3500000000000005E-2</v>
      </c>
      <c r="L41" s="1" t="s">
        <v>573</v>
      </c>
      <c r="M41" s="1" t="s">
        <v>267</v>
      </c>
      <c r="N41" s="1" t="s">
        <v>257</v>
      </c>
      <c r="O41" s="50">
        <v>0.15</v>
      </c>
    </row>
    <row r="42" spans="1:18" x14ac:dyDescent="0.25">
      <c r="A42" s="423">
        <v>6</v>
      </c>
      <c r="B42" s="291" t="str">
        <f>'Customer Inputs'!Y11</f>
        <v/>
      </c>
      <c r="C42" s="1">
        <f>'Customer Inputs'!P11</f>
        <v>0</v>
      </c>
      <c r="D42" s="407">
        <f>'Multi-Customer'!$FM$9</f>
        <v>0</v>
      </c>
      <c r="E42" s="1059">
        <f>'Multi-Customer'!$FM$10</f>
        <v>0</v>
      </c>
      <c r="F42" s="408">
        <f t="shared" si="2"/>
        <v>0</v>
      </c>
      <c r="G42" s="409">
        <f t="shared" si="3"/>
        <v>0</v>
      </c>
      <c r="H42" s="756"/>
      <c r="I42" s="757" t="s">
        <v>1156</v>
      </c>
      <c r="J42" s="45">
        <f t="shared" si="1"/>
        <v>1.4000000000000005E-2</v>
      </c>
      <c r="L42" s="1" t="s">
        <v>574</v>
      </c>
      <c r="M42" s="1" t="s">
        <v>212</v>
      </c>
      <c r="N42" s="1" t="s">
        <v>15</v>
      </c>
      <c r="O42" s="50">
        <v>4.5999999999999999E-2</v>
      </c>
    </row>
    <row r="43" spans="1:18" x14ac:dyDescent="0.25">
      <c r="A43" s="423">
        <v>7</v>
      </c>
      <c r="B43" s="291" t="str">
        <f>'Customer Inputs'!Y12</f>
        <v/>
      </c>
      <c r="C43" s="1">
        <f>'Customer Inputs'!P12</f>
        <v>0</v>
      </c>
      <c r="D43" s="407">
        <f>'Multi-Customer'!$GJ$9</f>
        <v>0</v>
      </c>
      <c r="E43" s="1059">
        <f>'Multi-Customer'!$GJ$10</f>
        <v>0</v>
      </c>
      <c r="F43" s="408">
        <f t="shared" si="2"/>
        <v>0</v>
      </c>
      <c r="G43" s="409">
        <f t="shared" si="3"/>
        <v>0</v>
      </c>
      <c r="L43" s="1" t="s">
        <v>575</v>
      </c>
      <c r="M43" s="1" t="s">
        <v>213</v>
      </c>
      <c r="N43" s="1" t="s">
        <v>15</v>
      </c>
      <c r="O43" s="50">
        <v>0.109</v>
      </c>
    </row>
    <row r="44" spans="1:18" x14ac:dyDescent="0.25">
      <c r="A44" s="423">
        <v>8</v>
      </c>
      <c r="B44" s="291" t="str">
        <f>'Customer Inputs'!Y13</f>
        <v/>
      </c>
      <c r="C44" s="1">
        <f>'Customer Inputs'!P13</f>
        <v>0</v>
      </c>
      <c r="D44" s="407">
        <f>'Multi-Customer'!$HG$9</f>
        <v>0</v>
      </c>
      <c r="E44" s="1059">
        <f>'Multi-Customer'!$HG$10</f>
        <v>0</v>
      </c>
      <c r="F44" s="408">
        <f t="shared" si="2"/>
        <v>0</v>
      </c>
      <c r="G44" s="409">
        <f t="shared" si="3"/>
        <v>0</v>
      </c>
      <c r="L44" s="1" t="s">
        <v>576</v>
      </c>
      <c r="M44" s="1" t="s">
        <v>214</v>
      </c>
      <c r="N44" s="1" t="s">
        <v>15</v>
      </c>
      <c r="O44" s="50">
        <v>0.11600000000000001</v>
      </c>
    </row>
    <row r="45" spans="1:18" x14ac:dyDescent="0.25">
      <c r="A45" s="423">
        <v>9</v>
      </c>
      <c r="B45" s="291" t="str">
        <f>'Customer Inputs'!Y14</f>
        <v/>
      </c>
      <c r="C45" s="1">
        <f>'Customer Inputs'!P14</f>
        <v>0</v>
      </c>
      <c r="D45" s="407">
        <f>'Multi-Customer'!$ID$9</f>
        <v>0</v>
      </c>
      <c r="E45" s="1059">
        <f>'Multi-Customer'!$ID$10</f>
        <v>0</v>
      </c>
      <c r="F45" s="408">
        <f t="shared" si="2"/>
        <v>0</v>
      </c>
      <c r="G45" s="409">
        <f t="shared" si="3"/>
        <v>0</v>
      </c>
      <c r="L45" s="1" t="s">
        <v>577</v>
      </c>
      <c r="M45" s="1" t="s">
        <v>267</v>
      </c>
      <c r="N45" s="1" t="s">
        <v>15</v>
      </c>
      <c r="O45" s="50">
        <v>0.11600000000000001</v>
      </c>
    </row>
    <row r="46" spans="1:18" ht="15.75" thickBot="1" x14ac:dyDescent="0.3">
      <c r="A46" s="424">
        <v>10</v>
      </c>
      <c r="B46" s="420" t="str">
        <f>'Customer Inputs'!Y15</f>
        <v/>
      </c>
      <c r="C46" s="33">
        <f>'Customer Inputs'!P15</f>
        <v>0</v>
      </c>
      <c r="D46" s="329">
        <f>'Multi-Customer'!$JA$9</f>
        <v>0</v>
      </c>
      <c r="E46" s="1059">
        <f>'Multi-Customer'!$JA$10</f>
        <v>0</v>
      </c>
      <c r="F46" s="410">
        <f t="shared" si="2"/>
        <v>0</v>
      </c>
      <c r="G46" s="411">
        <f t="shared" si="3"/>
        <v>0</v>
      </c>
      <c r="L46" s="1" t="s">
        <v>578</v>
      </c>
      <c r="M46" s="1" t="s">
        <v>212</v>
      </c>
      <c r="N46" s="1" t="s">
        <v>45</v>
      </c>
      <c r="O46" s="50">
        <v>5.1999999999999998E-2</v>
      </c>
    </row>
    <row r="47" spans="1:18" ht="15.75" thickBot="1" x14ac:dyDescent="0.3">
      <c r="F47" s="426">
        <f>SUM(F37:F46)</f>
        <v>0</v>
      </c>
      <c r="G47" s="427">
        <f>SUM(G37:G46)</f>
        <v>0</v>
      </c>
      <c r="O47" s="1" t="s">
        <v>579</v>
      </c>
      <c r="P47" s="1" t="s">
        <v>213</v>
      </c>
      <c r="Q47" s="1" t="s">
        <v>45</v>
      </c>
      <c r="R47" s="50">
        <v>6.3E-2</v>
      </c>
    </row>
    <row r="48" spans="1:18" x14ac:dyDescent="0.25">
      <c r="O48" s="1" t="s">
        <v>580</v>
      </c>
      <c r="P48" s="1" t="s">
        <v>214</v>
      </c>
      <c r="Q48" s="1" t="s">
        <v>45</v>
      </c>
      <c r="R48" s="50">
        <v>0.115</v>
      </c>
    </row>
    <row r="49" spans="4:18" x14ac:dyDescent="0.25">
      <c r="O49" s="1" t="s">
        <v>581</v>
      </c>
      <c r="P49" s="1" t="s">
        <v>267</v>
      </c>
      <c r="Q49" s="1" t="s">
        <v>45</v>
      </c>
      <c r="R49" s="50">
        <v>0.115</v>
      </c>
    </row>
    <row r="50" spans="4:18" x14ac:dyDescent="0.25">
      <c r="O50" s="1" t="s">
        <v>582</v>
      </c>
      <c r="P50" s="1" t="s">
        <v>212</v>
      </c>
      <c r="Q50" s="1" t="s">
        <v>258</v>
      </c>
      <c r="R50" s="50">
        <v>5.9000000000000004E-2</v>
      </c>
    </row>
    <row r="51" spans="4:18" x14ac:dyDescent="0.25">
      <c r="O51" s="1" t="s">
        <v>583</v>
      </c>
      <c r="P51" s="1" t="s">
        <v>213</v>
      </c>
      <c r="Q51" s="1" t="s">
        <v>258</v>
      </c>
      <c r="R51" s="50">
        <v>9.9000000000000005E-2</v>
      </c>
    </row>
    <row r="52" spans="4:18" x14ac:dyDescent="0.25">
      <c r="O52" s="1" t="s">
        <v>584</v>
      </c>
      <c r="P52" s="1" t="s">
        <v>214</v>
      </c>
      <c r="Q52" s="1" t="s">
        <v>258</v>
      </c>
      <c r="R52" s="50">
        <v>0.11900000000000001</v>
      </c>
    </row>
    <row r="53" spans="4:18" x14ac:dyDescent="0.25">
      <c r="O53" s="1" t="s">
        <v>585</v>
      </c>
      <c r="P53" s="1" t="s">
        <v>267</v>
      </c>
      <c r="Q53" s="1" t="s">
        <v>258</v>
      </c>
      <c r="R53" s="50">
        <v>0.15</v>
      </c>
    </row>
    <row r="54" spans="4:18" x14ac:dyDescent="0.25">
      <c r="D54" s="58"/>
      <c r="H54" s="769"/>
      <c r="O54" s="1" t="s">
        <v>586</v>
      </c>
      <c r="P54" s="1" t="s">
        <v>212</v>
      </c>
      <c r="Q54" s="1" t="s">
        <v>48</v>
      </c>
      <c r="R54" s="50">
        <v>5.8999999999999997E-2</v>
      </c>
    </row>
    <row r="55" spans="4:18" x14ac:dyDescent="0.25">
      <c r="E55" s="39"/>
      <c r="G55" s="58"/>
      <c r="O55" s="1" t="s">
        <v>587</v>
      </c>
      <c r="P55" s="1" t="s">
        <v>213</v>
      </c>
      <c r="Q55" s="1" t="s">
        <v>48</v>
      </c>
      <c r="R55" s="50">
        <v>9.9000000000000005E-2</v>
      </c>
    </row>
    <row r="56" spans="4:18" x14ac:dyDescent="0.25">
      <c r="D56" s="39"/>
      <c r="O56" s="1" t="s">
        <v>588</v>
      </c>
      <c r="P56" s="1" t="s">
        <v>214</v>
      </c>
      <c r="Q56" s="1" t="s">
        <v>48</v>
      </c>
      <c r="R56" s="50">
        <v>0.13900000000000001</v>
      </c>
    </row>
    <row r="57" spans="4:18" x14ac:dyDescent="0.25">
      <c r="O57" s="1" t="s">
        <v>589</v>
      </c>
      <c r="P57" s="1" t="s">
        <v>267</v>
      </c>
      <c r="Q57" s="1" t="s">
        <v>48</v>
      </c>
      <c r="R57" s="50">
        <v>0.13900000000000001</v>
      </c>
    </row>
    <row r="58" spans="4:18" x14ac:dyDescent="0.25">
      <c r="O58" s="1" t="s">
        <v>590</v>
      </c>
      <c r="P58" s="1" t="s">
        <v>212</v>
      </c>
      <c r="Q58" s="1" t="s">
        <v>259</v>
      </c>
      <c r="R58" s="50">
        <v>5.9000000000000004E-2</v>
      </c>
    </row>
    <row r="59" spans="4:18" x14ac:dyDescent="0.25">
      <c r="O59" s="1" t="s">
        <v>591</v>
      </c>
      <c r="P59" s="1" t="s">
        <v>213</v>
      </c>
      <c r="Q59" s="1" t="s">
        <v>259</v>
      </c>
      <c r="R59" s="50">
        <v>9.9000000000000005E-2</v>
      </c>
    </row>
    <row r="60" spans="4:18" x14ac:dyDescent="0.25">
      <c r="O60" s="1" t="s">
        <v>592</v>
      </c>
      <c r="P60" s="1" t="s">
        <v>214</v>
      </c>
      <c r="Q60" s="1" t="s">
        <v>259</v>
      </c>
      <c r="R60" s="50">
        <v>0.11900000000000001</v>
      </c>
    </row>
    <row r="61" spans="4:18" x14ac:dyDescent="0.25">
      <c r="O61" s="1" t="s">
        <v>593</v>
      </c>
      <c r="P61" s="1" t="s">
        <v>267</v>
      </c>
      <c r="Q61" s="1" t="s">
        <v>259</v>
      </c>
      <c r="R61" s="50">
        <v>0.15</v>
      </c>
    </row>
    <row r="62" spans="4:18" x14ac:dyDescent="0.25">
      <c r="O62" s="1" t="s">
        <v>594</v>
      </c>
      <c r="P62" s="1" t="s">
        <v>212</v>
      </c>
      <c r="Q62" s="1" t="s">
        <v>260</v>
      </c>
      <c r="R62" s="50">
        <v>5.9000000000000004E-2</v>
      </c>
    </row>
    <row r="63" spans="4:18" x14ac:dyDescent="0.25">
      <c r="O63" s="1" t="s">
        <v>595</v>
      </c>
      <c r="P63" s="1" t="s">
        <v>213</v>
      </c>
      <c r="Q63" s="1" t="s">
        <v>260</v>
      </c>
      <c r="R63" s="50">
        <v>9.9000000000000005E-2</v>
      </c>
    </row>
    <row r="64" spans="4:18" x14ac:dyDescent="0.25">
      <c r="O64" s="1" t="s">
        <v>596</v>
      </c>
      <c r="P64" s="1" t="s">
        <v>214</v>
      </c>
      <c r="Q64" s="1" t="s">
        <v>260</v>
      </c>
      <c r="R64" s="50">
        <v>0.11900000000000001</v>
      </c>
    </row>
    <row r="65" spans="15:18" x14ac:dyDescent="0.25">
      <c r="O65" s="1" t="s">
        <v>597</v>
      </c>
      <c r="P65" s="1" t="s">
        <v>267</v>
      </c>
      <c r="Q65" s="1" t="s">
        <v>260</v>
      </c>
      <c r="R65" s="50">
        <v>0.15</v>
      </c>
    </row>
    <row r="66" spans="15:18" x14ac:dyDescent="0.25">
      <c r="O66" s="1" t="s">
        <v>598</v>
      </c>
      <c r="P66" s="1" t="s">
        <v>212</v>
      </c>
      <c r="Q66" s="1" t="s">
        <v>261</v>
      </c>
      <c r="R66" s="50">
        <v>5.0999999999999997E-2</v>
      </c>
    </row>
    <row r="67" spans="15:18" x14ac:dyDescent="0.25">
      <c r="O67" s="1" t="s">
        <v>599</v>
      </c>
      <c r="P67" s="1" t="s">
        <v>213</v>
      </c>
      <c r="Q67" s="1" t="s">
        <v>261</v>
      </c>
      <c r="R67" s="50">
        <v>0.108</v>
      </c>
    </row>
    <row r="68" spans="15:18" x14ac:dyDescent="0.25">
      <c r="O68" s="1" t="s">
        <v>600</v>
      </c>
      <c r="P68" s="1" t="s">
        <v>214</v>
      </c>
      <c r="Q68" s="1" t="s">
        <v>261</v>
      </c>
      <c r="R68" s="50">
        <v>0.121</v>
      </c>
    </row>
    <row r="69" spans="15:18" x14ac:dyDescent="0.25">
      <c r="O69" s="1" t="s">
        <v>601</v>
      </c>
      <c r="P69" s="1" t="s">
        <v>267</v>
      </c>
      <c r="Q69" s="1" t="s">
        <v>261</v>
      </c>
      <c r="R69" s="50">
        <v>0.155</v>
      </c>
    </row>
    <row r="70" spans="15:18" x14ac:dyDescent="0.25">
      <c r="O70" s="1" t="s">
        <v>602</v>
      </c>
      <c r="P70" s="1" t="s">
        <v>212</v>
      </c>
      <c r="Q70" s="1" t="s">
        <v>60</v>
      </c>
      <c r="R70" s="50">
        <v>5.0999999999999997E-2</v>
      </c>
    </row>
    <row r="71" spans="15:18" x14ac:dyDescent="0.25">
      <c r="O71" s="1" t="s">
        <v>603</v>
      </c>
      <c r="P71" s="1" t="s">
        <v>213</v>
      </c>
      <c r="Q71" s="1" t="s">
        <v>60</v>
      </c>
      <c r="R71" s="50">
        <v>0.108</v>
      </c>
    </row>
    <row r="72" spans="15:18" x14ac:dyDescent="0.25">
      <c r="O72" s="1" t="s">
        <v>604</v>
      </c>
      <c r="P72" s="1" t="s">
        <v>214</v>
      </c>
      <c r="Q72" s="1" t="s">
        <v>60</v>
      </c>
      <c r="R72" s="50">
        <v>0.121</v>
      </c>
    </row>
    <row r="73" spans="15:18" x14ac:dyDescent="0.25">
      <c r="O73" s="1" t="s">
        <v>605</v>
      </c>
      <c r="P73" s="1" t="s">
        <v>267</v>
      </c>
      <c r="Q73" s="1" t="s">
        <v>60</v>
      </c>
      <c r="R73" s="50">
        <v>0.155</v>
      </c>
    </row>
    <row r="74" spans="15:18" x14ac:dyDescent="0.25">
      <c r="O74" s="1" t="s">
        <v>606</v>
      </c>
      <c r="P74" s="1" t="s">
        <v>212</v>
      </c>
      <c r="Q74" s="1" t="s">
        <v>20</v>
      </c>
      <c r="R74" s="50">
        <v>7.0999999999999994E-2</v>
      </c>
    </row>
    <row r="75" spans="15:18" x14ac:dyDescent="0.25">
      <c r="O75" s="1" t="s">
        <v>607</v>
      </c>
      <c r="P75" s="1" t="s">
        <v>213</v>
      </c>
      <c r="Q75" s="1" t="s">
        <v>20</v>
      </c>
      <c r="R75" s="50">
        <v>8.7999999999999995E-2</v>
      </c>
    </row>
    <row r="76" spans="15:18" x14ac:dyDescent="0.25">
      <c r="O76" s="1" t="s">
        <v>608</v>
      </c>
      <c r="P76" s="1" t="s">
        <v>214</v>
      </c>
      <c r="Q76" s="1" t="s">
        <v>20</v>
      </c>
      <c r="R76" s="50">
        <v>0.107</v>
      </c>
    </row>
    <row r="77" spans="15:18" x14ac:dyDescent="0.25">
      <c r="O77" s="1" t="s">
        <v>609</v>
      </c>
      <c r="P77" s="1" t="s">
        <v>267</v>
      </c>
      <c r="Q77" s="1" t="s">
        <v>20</v>
      </c>
      <c r="R77" s="50">
        <v>0.107</v>
      </c>
    </row>
    <row r="78" spans="15:18" x14ac:dyDescent="0.25">
      <c r="O78" s="1" t="s">
        <v>610</v>
      </c>
      <c r="P78" s="1" t="s">
        <v>212</v>
      </c>
      <c r="Q78" s="1" t="s">
        <v>262</v>
      </c>
      <c r="R78" s="50">
        <v>5.9000000000000004E-2</v>
      </c>
    </row>
    <row r="79" spans="15:18" x14ac:dyDescent="0.25">
      <c r="O79" s="1" t="s">
        <v>611</v>
      </c>
      <c r="P79" s="1" t="s">
        <v>213</v>
      </c>
      <c r="Q79" s="1" t="s">
        <v>262</v>
      </c>
      <c r="R79" s="50">
        <v>9.9000000000000005E-2</v>
      </c>
    </row>
    <row r="80" spans="15:18" x14ac:dyDescent="0.25">
      <c r="O80" s="1" t="s">
        <v>612</v>
      </c>
      <c r="P80" s="1" t="s">
        <v>214</v>
      </c>
      <c r="Q80" s="1" t="s">
        <v>262</v>
      </c>
      <c r="R80" s="50">
        <v>0.11900000000000001</v>
      </c>
    </row>
    <row r="81" spans="15:18" x14ac:dyDescent="0.25">
      <c r="O81" s="1" t="s">
        <v>613</v>
      </c>
      <c r="P81" s="1" t="s">
        <v>267</v>
      </c>
      <c r="Q81" s="1" t="s">
        <v>262</v>
      </c>
      <c r="R81" s="50">
        <v>0.15</v>
      </c>
    </row>
    <row r="82" spans="15:18" x14ac:dyDescent="0.25">
      <c r="O82" s="1" t="s">
        <v>614</v>
      </c>
      <c r="P82" s="1" t="s">
        <v>212</v>
      </c>
      <c r="Q82" s="1" t="s">
        <v>263</v>
      </c>
      <c r="R82" s="50">
        <v>5.9000000000000004E-2</v>
      </c>
    </row>
    <row r="83" spans="15:18" x14ac:dyDescent="0.25">
      <c r="O83" s="1" t="s">
        <v>615</v>
      </c>
      <c r="P83" s="1" t="s">
        <v>213</v>
      </c>
      <c r="Q83" s="1" t="s">
        <v>263</v>
      </c>
      <c r="R83" s="50">
        <v>9.9000000000000005E-2</v>
      </c>
    </row>
    <row r="84" spans="15:18" x14ac:dyDescent="0.25">
      <c r="O84" s="1" t="s">
        <v>616</v>
      </c>
      <c r="P84" s="1" t="s">
        <v>214</v>
      </c>
      <c r="Q84" s="1" t="s">
        <v>263</v>
      </c>
      <c r="R84" s="50">
        <v>0.11900000000000001</v>
      </c>
    </row>
    <row r="85" spans="15:18" x14ac:dyDescent="0.25">
      <c r="O85" s="1" t="s">
        <v>617</v>
      </c>
      <c r="P85" s="1" t="s">
        <v>267</v>
      </c>
      <c r="Q85" s="1" t="s">
        <v>263</v>
      </c>
      <c r="R85" s="50">
        <v>0.15</v>
      </c>
    </row>
    <row r="86" spans="15:18" x14ac:dyDescent="0.25">
      <c r="O86" s="1" t="s">
        <v>618</v>
      </c>
      <c r="P86" s="1" t="s">
        <v>212</v>
      </c>
      <c r="Q86" s="1" t="s">
        <v>36</v>
      </c>
      <c r="R86" s="50">
        <v>4.3999999999999997E-2</v>
      </c>
    </row>
    <row r="87" spans="15:18" x14ac:dyDescent="0.25">
      <c r="O87" s="1" t="s">
        <v>619</v>
      </c>
      <c r="P87" s="1" t="s">
        <v>213</v>
      </c>
      <c r="Q87" s="1" t="s">
        <v>36</v>
      </c>
      <c r="R87" s="50">
        <v>8.6999999999999994E-2</v>
      </c>
    </row>
    <row r="88" spans="15:18" x14ac:dyDescent="0.25">
      <c r="O88" s="1" t="s">
        <v>620</v>
      </c>
      <c r="P88" s="1" t="s">
        <v>214</v>
      </c>
      <c r="Q88" s="1" t="s">
        <v>36</v>
      </c>
      <c r="R88" s="50">
        <v>9.2999999999999999E-2</v>
      </c>
    </row>
    <row r="89" spans="15:18" x14ac:dyDescent="0.25">
      <c r="O89" s="1" t="s">
        <v>621</v>
      </c>
      <c r="P89" s="1" t="s">
        <v>267</v>
      </c>
      <c r="Q89" s="1" t="s">
        <v>36</v>
      </c>
      <c r="R89" s="50">
        <v>0.14899999999999999</v>
      </c>
    </row>
    <row r="90" spans="15:18" x14ac:dyDescent="0.25">
      <c r="O90" s="1" t="s">
        <v>622</v>
      </c>
      <c r="P90" s="1" t="s">
        <v>212</v>
      </c>
      <c r="Q90" s="1" t="s">
        <v>71</v>
      </c>
      <c r="R90" s="50">
        <v>5.9000000000000004E-2</v>
      </c>
    </row>
    <row r="91" spans="15:18" x14ac:dyDescent="0.25">
      <c r="O91" s="1" t="s">
        <v>623</v>
      </c>
      <c r="P91" s="1" t="s">
        <v>213</v>
      </c>
      <c r="Q91" s="1" t="s">
        <v>71</v>
      </c>
      <c r="R91" s="50">
        <v>9.9000000000000005E-2</v>
      </c>
    </row>
    <row r="92" spans="15:18" x14ac:dyDescent="0.25">
      <c r="O92" s="1" t="s">
        <v>624</v>
      </c>
      <c r="P92" s="1" t="s">
        <v>214</v>
      </c>
      <c r="Q92" s="1" t="s">
        <v>71</v>
      </c>
      <c r="R92" s="50">
        <v>0.11900000000000001</v>
      </c>
    </row>
    <row r="93" spans="15:18" x14ac:dyDescent="0.25">
      <c r="O93" s="1" t="s">
        <v>625</v>
      </c>
      <c r="P93" s="1" t="s">
        <v>267</v>
      </c>
      <c r="Q93" s="1" t="s">
        <v>71</v>
      </c>
      <c r="R93" s="50">
        <v>0.15</v>
      </c>
    </row>
    <row r="94" spans="15:18" x14ac:dyDescent="0.25">
      <c r="O94" s="1" t="s">
        <v>626</v>
      </c>
      <c r="P94" s="1" t="s">
        <v>212</v>
      </c>
      <c r="Q94" s="1" t="s">
        <v>11</v>
      </c>
      <c r="R94" s="50">
        <v>6.2E-2</v>
      </c>
    </row>
    <row r="95" spans="15:18" x14ac:dyDescent="0.25">
      <c r="O95" s="1" t="s">
        <v>627</v>
      </c>
      <c r="P95" s="1" t="s">
        <v>213</v>
      </c>
      <c r="Q95" s="1" t="s">
        <v>11</v>
      </c>
      <c r="R95" s="50">
        <v>9.4E-2</v>
      </c>
    </row>
    <row r="96" spans="15:18" x14ac:dyDescent="0.25">
      <c r="O96" s="1" t="s">
        <v>628</v>
      </c>
      <c r="P96" s="1" t="s">
        <v>214</v>
      </c>
      <c r="Q96" s="1" t="s">
        <v>11</v>
      </c>
      <c r="R96" s="50">
        <v>0.112</v>
      </c>
    </row>
    <row r="97" spans="15:18" x14ac:dyDescent="0.25">
      <c r="O97" s="1" t="s">
        <v>629</v>
      </c>
      <c r="P97" s="1" t="s">
        <v>267</v>
      </c>
      <c r="Q97" s="1" t="s">
        <v>11</v>
      </c>
      <c r="R97" s="50">
        <v>0.112</v>
      </c>
    </row>
    <row r="98" spans="15:18" x14ac:dyDescent="0.25">
      <c r="O98" s="1" t="s">
        <v>630</v>
      </c>
      <c r="P98" s="1" t="s">
        <v>212</v>
      </c>
      <c r="Q98" s="1" t="s">
        <v>264</v>
      </c>
      <c r="R98" s="50">
        <v>5.9000000000000004E-2</v>
      </c>
    </row>
    <row r="99" spans="15:18" x14ac:dyDescent="0.25">
      <c r="O99" s="1" t="s">
        <v>631</v>
      </c>
      <c r="P99" s="1" t="s">
        <v>213</v>
      </c>
      <c r="Q99" s="1" t="s">
        <v>264</v>
      </c>
      <c r="R99" s="50">
        <v>9.9000000000000005E-2</v>
      </c>
    </row>
    <row r="100" spans="15:18" x14ac:dyDescent="0.25">
      <c r="O100" s="1" t="s">
        <v>632</v>
      </c>
      <c r="P100" s="1" t="s">
        <v>214</v>
      </c>
      <c r="Q100" s="1" t="s">
        <v>264</v>
      </c>
      <c r="R100" s="50">
        <v>0.11900000000000001</v>
      </c>
    </row>
    <row r="101" spans="15:18" x14ac:dyDescent="0.25">
      <c r="O101" s="1" t="s">
        <v>633</v>
      </c>
      <c r="P101" s="1" t="s">
        <v>267</v>
      </c>
      <c r="Q101" s="1" t="s">
        <v>264</v>
      </c>
      <c r="R101" s="50">
        <v>0.15</v>
      </c>
    </row>
    <row r="102" spans="15:18" x14ac:dyDescent="0.25">
      <c r="O102" s="1" t="s">
        <v>634</v>
      </c>
      <c r="P102" s="1" t="s">
        <v>212</v>
      </c>
      <c r="Q102" s="1" t="s">
        <v>265</v>
      </c>
      <c r="R102" s="50">
        <v>5.9000000000000004E-2</v>
      </c>
    </row>
    <row r="103" spans="15:18" x14ac:dyDescent="0.25">
      <c r="O103" s="1" t="s">
        <v>635</v>
      </c>
      <c r="P103" s="1" t="s">
        <v>213</v>
      </c>
      <c r="Q103" s="1" t="s">
        <v>265</v>
      </c>
      <c r="R103" s="50">
        <v>9.9000000000000005E-2</v>
      </c>
    </row>
    <row r="104" spans="15:18" x14ac:dyDescent="0.25">
      <c r="O104" s="1" t="s">
        <v>636</v>
      </c>
      <c r="P104" s="1" t="s">
        <v>214</v>
      </c>
      <c r="Q104" s="1" t="s">
        <v>265</v>
      </c>
      <c r="R104" s="50">
        <v>0.11900000000000001</v>
      </c>
    </row>
    <row r="105" spans="15:18" x14ac:dyDescent="0.25">
      <c r="O105" s="1" t="s">
        <v>637</v>
      </c>
      <c r="P105" s="1" t="s">
        <v>267</v>
      </c>
      <c r="Q105" s="1" t="s">
        <v>265</v>
      </c>
      <c r="R105" s="50">
        <v>0.15</v>
      </c>
    </row>
    <row r="106" spans="15:18" x14ac:dyDescent="0.25">
      <c r="O106" s="1" t="s">
        <v>638</v>
      </c>
      <c r="P106" s="1" t="s">
        <v>212</v>
      </c>
      <c r="Q106" s="1" t="s">
        <v>9</v>
      </c>
      <c r="R106" s="50">
        <v>5.0999999999999997E-2</v>
      </c>
    </row>
    <row r="107" spans="15:18" x14ac:dyDescent="0.25">
      <c r="O107" s="1" t="s">
        <v>639</v>
      </c>
      <c r="P107" s="1" t="s">
        <v>213</v>
      </c>
      <c r="Q107" s="1" t="s">
        <v>9</v>
      </c>
      <c r="R107" s="50">
        <v>0.10100000000000001</v>
      </c>
    </row>
    <row r="108" spans="15:18" x14ac:dyDescent="0.25">
      <c r="O108" s="1" t="s">
        <v>640</v>
      </c>
      <c r="P108" s="1" t="s">
        <v>214</v>
      </c>
      <c r="Q108" s="1" t="s">
        <v>9</v>
      </c>
      <c r="R108" s="50">
        <v>0.14199999999999999</v>
      </c>
    </row>
    <row r="109" spans="15:18" x14ac:dyDescent="0.25">
      <c r="O109" s="1" t="s">
        <v>641</v>
      </c>
      <c r="P109" s="1" t="s">
        <v>267</v>
      </c>
      <c r="Q109" s="1" t="s">
        <v>9</v>
      </c>
      <c r="R109" s="50">
        <v>0.14199999999999999</v>
      </c>
    </row>
    <row r="110" spans="15:18" x14ac:dyDescent="0.25">
      <c r="O110" s="1" t="s">
        <v>642</v>
      </c>
      <c r="P110" s="1" t="s">
        <v>212</v>
      </c>
      <c r="Q110" s="1" t="s">
        <v>38</v>
      </c>
      <c r="R110" s="50">
        <v>6.5000000000000002E-2</v>
      </c>
    </row>
    <row r="111" spans="15:18" x14ac:dyDescent="0.25">
      <c r="O111" s="1" t="s">
        <v>643</v>
      </c>
      <c r="P111" s="1" t="s">
        <v>213</v>
      </c>
      <c r="Q111" s="1" t="s">
        <v>38</v>
      </c>
      <c r="R111" s="50">
        <v>0.09</v>
      </c>
    </row>
    <row r="112" spans="15:18" x14ac:dyDescent="0.25">
      <c r="O112" s="1" t="s">
        <v>644</v>
      </c>
      <c r="P112" s="1" t="s">
        <v>214</v>
      </c>
      <c r="Q112" s="1" t="s">
        <v>38</v>
      </c>
      <c r="R112" s="50">
        <v>0.09</v>
      </c>
    </row>
    <row r="113" spans="15:18" x14ac:dyDescent="0.25">
      <c r="O113" s="1" t="s">
        <v>645</v>
      </c>
      <c r="P113" s="1" t="s">
        <v>267</v>
      </c>
      <c r="Q113" s="1" t="s">
        <v>38</v>
      </c>
      <c r="R113" s="50">
        <v>0.10299999999999999</v>
      </c>
    </row>
    <row r="115" spans="15:18" x14ac:dyDescent="0.25">
      <c r="R115" s="24">
        <v>5.9000000000000004E-2</v>
      </c>
    </row>
    <row r="116" spans="15:18" x14ac:dyDescent="0.25">
      <c r="R116" s="24">
        <v>9.9000000000000005E-2</v>
      </c>
    </row>
    <row r="117" spans="15:18" x14ac:dyDescent="0.25">
      <c r="R117" s="24">
        <v>0.11900000000000001</v>
      </c>
    </row>
    <row r="118" spans="15:18" x14ac:dyDescent="0.25">
      <c r="R118" s="24">
        <v>0.15</v>
      </c>
    </row>
  </sheetData>
  <mergeCells count="6">
    <mergeCell ref="E28:G28"/>
    <mergeCell ref="E20:G20"/>
    <mergeCell ref="E1:J1"/>
    <mergeCell ref="L1:M1"/>
    <mergeCell ref="L23:M23"/>
    <mergeCell ref="L22:M22"/>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tabColor rgb="FF00B0F0"/>
  </sheetPr>
  <dimension ref="B1:KJ87"/>
  <sheetViews>
    <sheetView topLeftCell="AX1" zoomScale="90" zoomScaleNormal="90" workbookViewId="0">
      <selection activeCell="BK14" sqref="BK14"/>
    </sheetView>
  </sheetViews>
  <sheetFormatPr defaultRowHeight="15" x14ac:dyDescent="0.25"/>
  <cols>
    <col min="1" max="1" width="5.7109375" customWidth="1"/>
    <col min="2" max="2" width="28.28515625" bestFit="1" customWidth="1"/>
    <col min="3" max="3" width="9.5703125" bestFit="1" customWidth="1"/>
    <col min="4" max="5" width="7" bestFit="1" customWidth="1"/>
    <col min="6" max="6" width="8.5703125" bestFit="1" customWidth="1"/>
    <col min="8" max="8" width="12.42578125" style="1038" customWidth="1"/>
    <col min="9" max="11" width="9.140625" style="1038"/>
    <col min="12" max="12" width="12.85546875" style="1038" customWidth="1"/>
    <col min="13" max="13" width="17.42578125" style="1038" customWidth="1"/>
    <col min="14" max="14" width="11.7109375" style="1038" customWidth="1"/>
    <col min="18" max="18" width="16.28515625" bestFit="1" customWidth="1"/>
    <col min="19" max="19" width="35.85546875" bestFit="1" customWidth="1"/>
    <col min="20" max="20" width="9.28515625" bestFit="1" customWidth="1"/>
    <col min="21" max="21" width="14.7109375" bestFit="1" customWidth="1"/>
    <col min="22" max="22" width="10" bestFit="1" customWidth="1"/>
    <col min="23" max="23" width="9" bestFit="1" customWidth="1"/>
    <col min="24" max="24" width="9.28515625" bestFit="1" customWidth="1"/>
    <col min="25" max="26" width="8.5703125" customWidth="1"/>
    <col min="27" max="27" width="34.28515625" customWidth="1"/>
    <col min="28" max="28" width="9.28515625" bestFit="1" customWidth="1"/>
    <col min="29" max="29" width="9.140625" bestFit="1" customWidth="1"/>
    <col min="30" max="30" width="8.5703125" bestFit="1" customWidth="1"/>
    <col min="31" max="32" width="5.28515625" bestFit="1" customWidth="1"/>
    <col min="33" max="33" width="17.28515625" customWidth="1"/>
    <col min="34" max="34" width="28.28515625" bestFit="1" customWidth="1"/>
    <col min="35" max="39" width="8.5703125" customWidth="1"/>
    <col min="40" max="40" width="4.42578125" bestFit="1" customWidth="1"/>
    <col min="41" max="46" width="9.7109375" customWidth="1"/>
    <col min="47" max="49" width="8.5703125" customWidth="1"/>
    <col min="50" max="50" width="5.42578125" customWidth="1"/>
    <col min="51" max="51" width="14.7109375" customWidth="1"/>
    <col min="52" max="52" width="14.7109375" style="1073" customWidth="1"/>
    <col min="53" max="53" width="28.28515625" bestFit="1" customWidth="1"/>
    <col min="54" max="54" width="19.28515625" bestFit="1" customWidth="1"/>
    <col min="55" max="55" width="9.7109375" bestFit="1" customWidth="1"/>
    <col min="56" max="56" width="13.28515625" customWidth="1"/>
    <col min="57" max="57" width="11.85546875" customWidth="1"/>
    <col min="58" max="58" width="10.5703125" customWidth="1"/>
    <col min="59" max="59" width="10.85546875" customWidth="1"/>
    <col min="60" max="60" width="10.42578125" style="1038" customWidth="1"/>
    <col min="61" max="61" width="11.85546875" style="1038" customWidth="1"/>
    <col min="62" max="62" width="21" style="1038" customWidth="1"/>
    <col min="63" max="63" width="11.140625" style="1038" customWidth="1"/>
    <col min="64" max="64" width="11.28515625" style="1038" customWidth="1"/>
    <col min="65" max="65" width="12.140625" style="1038" customWidth="1"/>
    <col min="66" max="66" width="10.28515625" style="1038" customWidth="1"/>
    <col min="67" max="69" width="8.5703125" style="1038" customWidth="1"/>
    <col min="70" max="70" width="10.28515625" style="1038" customWidth="1"/>
    <col min="71" max="71" width="10.85546875" style="1038" customWidth="1"/>
    <col min="72" max="72" width="10.7109375" style="1038" customWidth="1"/>
    <col min="75" max="75" width="10.5703125" style="1073" customWidth="1"/>
    <col min="76" max="76" width="28.28515625" bestFit="1" customWidth="1"/>
    <col min="77" max="77" width="17.5703125" bestFit="1" customWidth="1"/>
    <col min="79" max="79" width="12.140625" customWidth="1"/>
    <col min="80" max="80" width="11.7109375" customWidth="1"/>
    <col min="83" max="85" width="9.140625" style="1038"/>
    <col min="86" max="86" width="11.85546875" style="1038" customWidth="1"/>
    <col min="87" max="87" width="11.7109375" style="1038" customWidth="1"/>
    <col min="88" max="88" width="10.140625" style="1038" customWidth="1"/>
    <col min="89" max="89" width="9.85546875" style="1038" customWidth="1"/>
    <col min="90" max="92" width="9.140625" style="1038"/>
    <col min="93" max="93" width="10.28515625" style="1038" customWidth="1"/>
    <col min="94" max="94" width="10.140625" style="1038" customWidth="1"/>
    <col min="95" max="95" width="10" style="1038" customWidth="1"/>
    <col min="98" max="98" width="10.42578125" style="1073" customWidth="1"/>
    <col min="99" max="99" width="28.28515625" bestFit="1" customWidth="1"/>
    <col min="100" max="100" width="17.5703125" bestFit="1" customWidth="1"/>
    <col min="102" max="102" width="11.140625" customWidth="1"/>
    <col min="103" max="103" width="10.42578125" customWidth="1"/>
    <col min="106" max="109" width="9.140625" style="1038"/>
    <col min="110" max="110" width="11" style="1038" customWidth="1"/>
    <col min="111" max="111" width="9" style="1038" customWidth="1"/>
    <col min="112" max="112" width="9.42578125" style="1038" customWidth="1"/>
    <col min="113" max="115" width="9.140625" style="1038"/>
    <col min="116" max="116" width="9.28515625" style="1038" customWidth="1"/>
    <col min="117" max="117" width="10.5703125" style="1038" customWidth="1"/>
    <col min="118" max="118" width="9.42578125" style="1038" customWidth="1"/>
    <col min="121" max="121" width="10.85546875" style="1073" customWidth="1"/>
    <col min="122" max="122" width="28.28515625" bestFit="1" customWidth="1"/>
    <col min="123" max="123" width="17.5703125" bestFit="1" customWidth="1"/>
    <col min="125" max="125" width="11.7109375" customWidth="1"/>
    <col min="126" max="126" width="10.28515625" customWidth="1"/>
    <col min="129" max="131" width="9.140625" style="1038"/>
    <col min="132" max="132" width="10.140625" style="1038" customWidth="1"/>
    <col min="133" max="133" width="10.7109375" style="1038" customWidth="1"/>
    <col min="134" max="134" width="10" style="1038" customWidth="1"/>
    <col min="135" max="135" width="10.140625" style="1038" customWidth="1"/>
    <col min="136" max="138" width="9.140625" style="1038"/>
    <col min="139" max="139" width="10" style="1038" customWidth="1"/>
    <col min="140" max="141" width="9.140625" style="1038"/>
    <col min="144" max="144" width="10.5703125" style="1073" customWidth="1"/>
    <col min="145" max="145" width="28.28515625" bestFit="1" customWidth="1"/>
    <col min="146" max="146" width="17.5703125" bestFit="1" customWidth="1"/>
    <col min="148" max="148" width="10.140625" customWidth="1"/>
    <col min="149" max="149" width="10.28515625" customWidth="1"/>
    <col min="152" max="155" width="9.140625" style="1038"/>
    <col min="156" max="156" width="11.7109375" style="1038" customWidth="1"/>
    <col min="157" max="164" width="9.140625" style="1038"/>
    <col min="167" max="167" width="10.140625" style="1073" customWidth="1"/>
    <col min="168" max="168" width="28.28515625" bestFit="1" customWidth="1"/>
    <col min="169" max="169" width="17.5703125" bestFit="1" customWidth="1"/>
    <col min="171" max="171" width="10.140625" customWidth="1"/>
    <col min="175" max="177" width="9.140625" style="1038"/>
    <col min="178" max="178" width="10.7109375" style="1038" customWidth="1"/>
    <col min="179" max="179" width="11.5703125" style="1038" customWidth="1"/>
    <col min="180" max="187" width="9.140625" style="1038"/>
    <col min="190" max="190" width="11.7109375" style="1073" customWidth="1"/>
    <col min="191" max="191" width="28.28515625" bestFit="1" customWidth="1"/>
    <col min="192" max="192" width="17.5703125" bestFit="1" customWidth="1"/>
    <col min="194" max="194" width="10.140625" customWidth="1"/>
    <col min="195" max="195" width="10.85546875" customWidth="1"/>
    <col min="198" max="201" width="9.140625" style="1038"/>
    <col min="202" max="202" width="11.5703125" style="1038" customWidth="1"/>
    <col min="203" max="210" width="9.140625" style="1038"/>
    <col min="213" max="213" width="11.5703125" style="1073" customWidth="1"/>
    <col min="214" max="214" width="28.28515625" bestFit="1" customWidth="1"/>
    <col min="215" max="215" width="17.5703125" bestFit="1" customWidth="1"/>
    <col min="217" max="217" width="11.5703125" customWidth="1"/>
    <col min="218" max="218" width="10.42578125" customWidth="1"/>
    <col min="221" max="224" width="9.140625" style="1038"/>
    <col min="225" max="225" width="11.42578125" style="1038" customWidth="1"/>
    <col min="226" max="233" width="9.140625" style="1038"/>
    <col min="236" max="236" width="10.85546875" style="1073" customWidth="1"/>
    <col min="237" max="237" width="28.28515625" bestFit="1" customWidth="1"/>
    <col min="238" max="238" width="17.5703125" bestFit="1" customWidth="1"/>
    <col min="240" max="241" width="10.42578125" customWidth="1"/>
    <col min="244" max="247" width="9.140625" style="1038"/>
    <col min="248" max="248" width="11.42578125" style="1038" customWidth="1"/>
    <col min="249" max="256" width="9.140625" style="1038"/>
    <col min="258" max="258" width="15" customWidth="1"/>
    <col min="259" max="259" width="10.5703125" style="1073" customWidth="1"/>
    <col min="260" max="260" width="28.28515625" bestFit="1" customWidth="1"/>
    <col min="261" max="261" width="17.5703125" bestFit="1" customWidth="1"/>
    <col min="262" max="262" width="7.85546875" bestFit="1" customWidth="1"/>
    <col min="263" max="263" width="11.85546875" customWidth="1"/>
    <col min="264" max="264" width="10.42578125" customWidth="1"/>
    <col min="265" max="265" width="10.85546875" customWidth="1"/>
    <col min="266" max="266" width="9.5703125" customWidth="1"/>
    <col min="267" max="267" width="7.7109375" style="1038" customWidth="1"/>
    <col min="268" max="268" width="9.42578125" style="1038" customWidth="1"/>
    <col min="269" max="270" width="7.7109375" style="1038" customWidth="1"/>
    <col min="271" max="271" width="12.5703125" style="1038" customWidth="1"/>
    <col min="272" max="272" width="10.85546875" style="1038" customWidth="1"/>
    <col min="273" max="273" width="10.42578125" style="1038" customWidth="1"/>
    <col min="274" max="276" width="7.7109375" style="1038" customWidth="1"/>
    <col min="277" max="277" width="8.5703125" style="1038" customWidth="1"/>
    <col min="278" max="278" width="9.28515625" style="1038" customWidth="1"/>
    <col min="279" max="279" width="11" style="1038" customWidth="1"/>
    <col min="281" max="281" width="28.28515625" bestFit="1" customWidth="1"/>
    <col min="282" max="282" width="7.5703125" bestFit="1" customWidth="1"/>
    <col min="283" max="283" width="7.85546875" bestFit="1" customWidth="1"/>
    <col min="284" max="284" width="9.28515625" bestFit="1" customWidth="1"/>
    <col min="285" max="285" width="9" bestFit="1" customWidth="1"/>
    <col min="286" max="286" width="7.7109375" bestFit="1" customWidth="1"/>
    <col min="287" max="287" width="6.7109375" bestFit="1" customWidth="1"/>
    <col min="289" max="289" width="13" bestFit="1" customWidth="1"/>
    <col min="290" max="290" width="28.28515625" bestFit="1" customWidth="1"/>
    <col min="291" max="291" width="7.5703125" bestFit="1" customWidth="1"/>
    <col min="292" max="292" width="7.85546875" bestFit="1" customWidth="1"/>
    <col min="293" max="293" width="9.28515625" bestFit="1" customWidth="1"/>
    <col min="294" max="294" width="9" bestFit="1" customWidth="1"/>
    <col min="295" max="295" width="7.7109375" bestFit="1" customWidth="1"/>
    <col min="296" max="296" width="6.7109375" bestFit="1" customWidth="1"/>
  </cols>
  <sheetData>
    <row r="1" spans="2:296" x14ac:dyDescent="0.25">
      <c r="T1" s="1448" t="s">
        <v>837</v>
      </c>
      <c r="U1" s="1448"/>
      <c r="V1">
        <f>COUNTIF($BA$1:$JA$1,"New Location")</f>
        <v>0</v>
      </c>
      <c r="AW1" s="703" t="e">
        <f>VLOOKUP('Existing Customers'!AB2,'Market Geography'!A:B,2,0)</f>
        <v>#N/A</v>
      </c>
      <c r="BA1" s="85" t="s">
        <v>802</v>
      </c>
      <c r="BB1" s="86">
        <f>'Customer Inputs'!$G$6</f>
        <v>0</v>
      </c>
      <c r="BC1" s="703"/>
      <c r="BX1" s="85" t="s">
        <v>803</v>
      </c>
      <c r="BY1" s="86">
        <f>'Customer Inputs'!$G$7</f>
        <v>0</v>
      </c>
      <c r="BZ1" s="703"/>
      <c r="CU1" s="85" t="s">
        <v>804</v>
      </c>
      <c r="CV1" s="86">
        <f>'Customer Inputs'!$G$8</f>
        <v>0</v>
      </c>
      <c r="CW1" s="703"/>
      <c r="DR1" s="85" t="s">
        <v>805</v>
      </c>
      <c r="DS1" s="366">
        <f>'Customer Inputs'!$G$9</f>
        <v>0</v>
      </c>
      <c r="DT1" s="703"/>
      <c r="EO1" s="85" t="s">
        <v>806</v>
      </c>
      <c r="EP1" s="86">
        <f>'Customer Inputs'!$G$10</f>
        <v>0</v>
      </c>
      <c r="EQ1" s="703"/>
      <c r="FL1" s="85" t="s">
        <v>807</v>
      </c>
      <c r="FM1" s="86">
        <f>'Customer Inputs'!$G$11</f>
        <v>0</v>
      </c>
      <c r="FN1" s="703"/>
      <c r="GI1" s="85" t="s">
        <v>808</v>
      </c>
      <c r="GJ1" s="86">
        <f>'Customer Inputs'!$G$12</f>
        <v>0</v>
      </c>
      <c r="GK1" s="703"/>
      <c r="HF1" s="85" t="s">
        <v>809</v>
      </c>
      <c r="HG1" s="86">
        <f>'Customer Inputs'!$G$13</f>
        <v>0</v>
      </c>
      <c r="HH1" s="703"/>
      <c r="IC1" s="85" t="s">
        <v>810</v>
      </c>
      <c r="ID1" s="86">
        <f>'Customer Inputs'!$G$14</f>
        <v>0</v>
      </c>
      <c r="IE1" s="703"/>
      <c r="IZ1" s="85" t="s">
        <v>811</v>
      </c>
      <c r="JA1" s="86">
        <f>'Customer Inputs'!$G$15</f>
        <v>0</v>
      </c>
      <c r="JB1" s="703"/>
    </row>
    <row r="2" spans="2:296" x14ac:dyDescent="0.25">
      <c r="T2" s="83"/>
      <c r="U2" s="83"/>
      <c r="BA2" s="83" t="s">
        <v>902</v>
      </c>
      <c r="BB2" s="86" t="str">
        <f>'Customer Inputs'!$K$6</f>
        <v/>
      </c>
      <c r="BC2" s="1071">
        <f>'Customer Inputs'!$U$6</f>
        <v>0</v>
      </c>
      <c r="BX2" s="83" t="s">
        <v>902</v>
      </c>
      <c r="BY2" s="86" t="str">
        <f>'Customer Inputs'!$K$7</f>
        <v/>
      </c>
      <c r="BZ2" s="1072">
        <f>'Customer Inputs'!$U$7</f>
        <v>0</v>
      </c>
      <c r="CU2" s="83" t="s">
        <v>902</v>
      </c>
      <c r="CV2" s="86" t="str">
        <f>'Customer Inputs'!$K$8</f>
        <v/>
      </c>
      <c r="CW2" s="1072">
        <f>'Customer Inputs'!$U$8</f>
        <v>0</v>
      </c>
      <c r="DR2" s="83" t="s">
        <v>902</v>
      </c>
      <c r="DS2" s="86" t="str">
        <f>'Customer Inputs'!$K$9</f>
        <v/>
      </c>
      <c r="DT2" s="1072">
        <f>'Customer Inputs'!$U$9</f>
        <v>0</v>
      </c>
      <c r="EO2" s="83" t="s">
        <v>902</v>
      </c>
      <c r="EP2" s="86" t="str">
        <f>'Customer Inputs'!$K$10</f>
        <v/>
      </c>
      <c r="EQ2" s="1072">
        <f>'Customer Inputs'!$U$10</f>
        <v>0</v>
      </c>
      <c r="FL2" s="83" t="s">
        <v>902</v>
      </c>
      <c r="FM2" s="86" t="str">
        <f>'Customer Inputs'!$K$11</f>
        <v/>
      </c>
      <c r="FN2" s="1072">
        <f>'Customer Inputs'!$U$11</f>
        <v>0</v>
      </c>
      <c r="GI2" s="83" t="s">
        <v>902</v>
      </c>
      <c r="GJ2" s="86" t="str">
        <f>'Customer Inputs'!$K$12</f>
        <v/>
      </c>
      <c r="GK2" s="1072">
        <f>'Customer Inputs'!$U$12</f>
        <v>0</v>
      </c>
      <c r="HF2" s="83" t="s">
        <v>902</v>
      </c>
      <c r="HG2" s="86" t="str">
        <f>'Customer Inputs'!$K$13</f>
        <v/>
      </c>
      <c r="HH2" s="1072">
        <f>'Customer Inputs'!$U$13</f>
        <v>0</v>
      </c>
      <c r="IC2" s="83" t="s">
        <v>902</v>
      </c>
      <c r="ID2" s="86" t="str">
        <f>'Customer Inputs'!$K$14</f>
        <v/>
      </c>
      <c r="IE2" s="1072">
        <f>'Customer Inputs'!$U$14</f>
        <v>0</v>
      </c>
      <c r="IZ2" s="83" t="s">
        <v>902</v>
      </c>
      <c r="JA2" s="86" t="str">
        <f>'Customer Inputs'!$K$15</f>
        <v/>
      </c>
      <c r="JB2" s="1071">
        <f>'Customer Inputs'!$U$15</f>
        <v>0</v>
      </c>
    </row>
    <row r="3" spans="2:296" x14ac:dyDescent="0.25">
      <c r="T3" s="83"/>
      <c r="U3" s="83"/>
      <c r="BA3" s="83" t="s">
        <v>903</v>
      </c>
      <c r="BB3" s="86">
        <f>'Customer Inputs'!$P$6</f>
        <v>0</v>
      </c>
      <c r="BX3" s="83" t="s">
        <v>903</v>
      </c>
      <c r="BY3" s="86">
        <f>'Customer Inputs'!$P$7</f>
        <v>0</v>
      </c>
      <c r="CU3" s="83" t="s">
        <v>903</v>
      </c>
      <c r="CV3" s="86">
        <f>'Customer Inputs'!$P$8</f>
        <v>0</v>
      </c>
      <c r="DR3" s="83" t="s">
        <v>903</v>
      </c>
      <c r="DS3" s="86">
        <f>'Customer Inputs'!$P$9</f>
        <v>0</v>
      </c>
      <c r="EO3" s="83" t="s">
        <v>903</v>
      </c>
      <c r="EP3" s="86">
        <f>'Customer Inputs'!$P$10</f>
        <v>0</v>
      </c>
      <c r="FL3" s="83" t="s">
        <v>903</v>
      </c>
      <c r="FM3" s="86">
        <f>'Customer Inputs'!$P$11</f>
        <v>0</v>
      </c>
      <c r="GI3" s="83" t="s">
        <v>903</v>
      </c>
      <c r="GJ3" s="86">
        <f>'Customer Inputs'!$P$12</f>
        <v>0</v>
      </c>
      <c r="HF3" s="83" t="s">
        <v>903</v>
      </c>
      <c r="HG3" s="86">
        <f>'Customer Inputs'!$P$13</f>
        <v>0</v>
      </c>
      <c r="IC3" s="83" t="s">
        <v>903</v>
      </c>
      <c r="ID3" s="86">
        <f>'Customer Inputs'!$P$14</f>
        <v>0</v>
      </c>
      <c r="IZ3" s="83" t="s">
        <v>903</v>
      </c>
      <c r="JA3" s="86">
        <f>'Customer Inputs'!$P$15</f>
        <v>0</v>
      </c>
    </row>
    <row r="4" spans="2:296" x14ac:dyDescent="0.25">
      <c r="T4" s="83"/>
      <c r="U4" s="83"/>
      <c r="BA4" s="83" t="s">
        <v>906</v>
      </c>
      <c r="BB4" s="367" t="e">
        <f>BB3/BB2</f>
        <v>#VALUE!</v>
      </c>
      <c r="BX4" s="83" t="s">
        <v>906</v>
      </c>
      <c r="BY4" s="367" t="e">
        <f>BY3/BY2</f>
        <v>#VALUE!</v>
      </c>
      <c r="CU4" s="83" t="s">
        <v>906</v>
      </c>
      <c r="CV4" s="367" t="e">
        <f>CV3/CV2</f>
        <v>#VALUE!</v>
      </c>
      <c r="DR4" s="83" t="s">
        <v>906</v>
      </c>
      <c r="DS4" s="367" t="e">
        <f>DS3/DS2</f>
        <v>#VALUE!</v>
      </c>
      <c r="EO4" s="83" t="s">
        <v>906</v>
      </c>
      <c r="EP4" s="367" t="e">
        <f>EP3/EP2</f>
        <v>#VALUE!</v>
      </c>
      <c r="FL4" s="83" t="s">
        <v>906</v>
      </c>
      <c r="FM4" s="367" t="e">
        <f>FM3/FM2</f>
        <v>#VALUE!</v>
      </c>
      <c r="GI4" s="83" t="s">
        <v>906</v>
      </c>
      <c r="GJ4" s="367" t="e">
        <f>GJ3/GJ2</f>
        <v>#VALUE!</v>
      </c>
      <c r="HF4" s="83" t="s">
        <v>906</v>
      </c>
      <c r="HG4" s="367" t="e">
        <f>HG3/HG2</f>
        <v>#VALUE!</v>
      </c>
      <c r="IC4" s="83" t="s">
        <v>906</v>
      </c>
      <c r="ID4" s="367" t="e">
        <f>ID3/ID2</f>
        <v>#VALUE!</v>
      </c>
      <c r="IZ4" s="83" t="s">
        <v>906</v>
      </c>
      <c r="JA4" s="367" t="e">
        <f>JA3/JA2</f>
        <v>#VALUE!</v>
      </c>
    </row>
    <row r="5" spans="2:296" x14ac:dyDescent="0.25">
      <c r="T5" s="1448" t="s">
        <v>838</v>
      </c>
      <c r="U5" s="1448"/>
      <c r="V5">
        <f>COUNT(BB1,BY1,CV1,DS1,EP1,FM1,GJ1,HG1,ID1,JA1)</f>
        <v>10</v>
      </c>
      <c r="BA5" s="83" t="s">
        <v>933</v>
      </c>
      <c r="BB5">
        <f>IFERROR(VLOOKUP(BB$1,'Existing Customers'!$A:$AD,30,FALSE),BB6)</f>
        <v>0</v>
      </c>
      <c r="BX5" s="83" t="s">
        <v>933</v>
      </c>
      <c r="BY5">
        <f>IFERROR(VLOOKUP(BY$1,'Existing Customers'!$A:$AD,30,FALSE),BY6)</f>
        <v>0</v>
      </c>
      <c r="CU5" s="83" t="s">
        <v>933</v>
      </c>
      <c r="CV5">
        <f>IFERROR(VLOOKUP(CV$1,'Existing Customers'!$A:$AD,30,FALSE),CV6)</f>
        <v>0</v>
      </c>
      <c r="DR5" s="83" t="s">
        <v>933</v>
      </c>
      <c r="DS5">
        <f>IFERROR(VLOOKUP(DS$1,'Existing Customers'!$A:$AD,30,FALSE),DS6)</f>
        <v>0</v>
      </c>
      <c r="EO5" s="83" t="s">
        <v>933</v>
      </c>
      <c r="EP5">
        <f>IFERROR(VLOOKUP(EP$1,'Existing Customers'!$A:$AD,30,FALSE),EP6)</f>
        <v>0</v>
      </c>
      <c r="FL5" s="83" t="s">
        <v>933</v>
      </c>
      <c r="FM5">
        <f>IFERROR(VLOOKUP(FM$1,'Existing Customers'!$A:$AD,30,FALSE),FM6)</f>
        <v>0</v>
      </c>
      <c r="GI5" s="83" t="s">
        <v>933</v>
      </c>
      <c r="GJ5">
        <f>IFERROR(VLOOKUP(GJ$1,'Existing Customers'!$A:$AD,30,FALSE),GJ6)</f>
        <v>0</v>
      </c>
      <c r="HF5" s="83" t="s">
        <v>933</v>
      </c>
      <c r="HG5">
        <f>IFERROR(VLOOKUP(HG$1,'Existing Customers'!$A:$AD,30,FALSE),HG6)</f>
        <v>0</v>
      </c>
      <c r="IC5" s="83" t="s">
        <v>933</v>
      </c>
      <c r="ID5">
        <f>IFERROR(VLOOKUP(ID$1,'Existing Customers'!$A:$AD,30,FALSE),ID6)</f>
        <v>0</v>
      </c>
      <c r="IZ5" s="83" t="s">
        <v>933</v>
      </c>
      <c r="JA5">
        <f>IFERROR(VLOOKUP(JA$1,'Existing Customers'!$A:$AD,30,FALSE),JA6)</f>
        <v>0</v>
      </c>
    </row>
    <row r="6" spans="2:296" x14ac:dyDescent="0.25">
      <c r="T6" s="1448"/>
      <c r="U6" s="1448"/>
      <c r="BA6" s="83" t="s">
        <v>904</v>
      </c>
      <c r="BB6" s="406">
        <f>'Customer Inputs'!$R$6</f>
        <v>0</v>
      </c>
      <c r="BX6" s="83" t="s">
        <v>904</v>
      </c>
      <c r="BY6" s="86">
        <f>'Customer Inputs'!$R$7</f>
        <v>0</v>
      </c>
      <c r="CU6" s="83" t="s">
        <v>904</v>
      </c>
      <c r="CV6" s="86">
        <f>'Customer Inputs'!$R$8</f>
        <v>0</v>
      </c>
      <c r="DR6" s="83" t="s">
        <v>904</v>
      </c>
      <c r="DS6" s="86">
        <f>'Customer Inputs'!$R$9</f>
        <v>0</v>
      </c>
      <c r="EO6" s="83" t="s">
        <v>904</v>
      </c>
      <c r="EP6" s="86">
        <f>'Customer Inputs'!$R$10</f>
        <v>0</v>
      </c>
      <c r="FL6" s="83" t="s">
        <v>904</v>
      </c>
      <c r="FM6" s="86">
        <f>'Customer Inputs'!$R$11</f>
        <v>0</v>
      </c>
      <c r="GI6" s="83" t="s">
        <v>904</v>
      </c>
      <c r="GJ6" s="86">
        <f>'Customer Inputs'!$R$12</f>
        <v>0</v>
      </c>
      <c r="HF6" s="83" t="s">
        <v>904</v>
      </c>
      <c r="HG6" s="86">
        <f>'Customer Inputs'!$R$13</f>
        <v>0</v>
      </c>
      <c r="IC6" s="83" t="s">
        <v>904</v>
      </c>
      <c r="ID6" s="86">
        <f>'Customer Inputs'!$R$14</f>
        <v>0</v>
      </c>
      <c r="IZ6" s="83" t="s">
        <v>904</v>
      </c>
      <c r="JA6" s="86">
        <f>'Customer Inputs'!$R$15</f>
        <v>0</v>
      </c>
    </row>
    <row r="7" spans="2:296" x14ac:dyDescent="0.25">
      <c r="T7" s="83"/>
      <c r="U7" s="83"/>
      <c r="BA7" s="83" t="s">
        <v>914</v>
      </c>
      <c r="BB7" s="389">
        <f>IFERROR(SUMIFS('Existing Customers'!$AC:$AC,'Existing Customers'!$A:$A,'Multi-Customer'!BB$1)/SUMIFS('Existing Customers'!$Q:$Q,'Existing Customers'!$A:$A,'Multi-Customer'!BB$1),0)</f>
        <v>0</v>
      </c>
      <c r="BX7" s="83" t="s">
        <v>914</v>
      </c>
      <c r="BY7" s="389">
        <f>IFERROR(SUMIFS('Existing Customers'!$AC:$AC,'Existing Customers'!$A:$A,'Multi-Customer'!BY$1)/SUMIFS('Existing Customers'!$Q:$Q,'Existing Customers'!$A:$A,'Multi-Customer'!BY$1),0)</f>
        <v>0</v>
      </c>
      <c r="CU7" s="83" t="s">
        <v>914</v>
      </c>
      <c r="CV7" s="389">
        <f>IFERROR(SUMIFS('Existing Customers'!$AC:$AC,'Existing Customers'!$A:$A,'Multi-Customer'!CV$1)/SUMIFS('Existing Customers'!$Q:$Q,'Existing Customers'!$A:$A,'Multi-Customer'!CV$1),0)</f>
        <v>0</v>
      </c>
      <c r="DR7" s="83" t="s">
        <v>914</v>
      </c>
      <c r="DS7" s="389">
        <f>IFERROR(SUMIFS('Existing Customers'!$AC:$AC,'Existing Customers'!$A:$A,'Multi-Customer'!DS$1)/SUMIFS('Existing Customers'!$Q:$Q,'Existing Customers'!$A:$A,'Multi-Customer'!DS$1),0)</f>
        <v>0</v>
      </c>
      <c r="EO7" s="83" t="s">
        <v>914</v>
      </c>
      <c r="EP7" s="389">
        <f>IFERROR(SUMIFS('Existing Customers'!$AC:$AC,'Existing Customers'!$A:$A,'Multi-Customer'!EP$1)/SUMIFS('Existing Customers'!$Q:$Q,'Existing Customers'!$A:$A,'Multi-Customer'!EP$1),0)</f>
        <v>0</v>
      </c>
      <c r="FL7" s="83" t="s">
        <v>914</v>
      </c>
      <c r="FM7" s="389">
        <f>IFERROR(SUMIFS('Existing Customers'!$AC:$AC,'Existing Customers'!$A:$A,'Multi-Customer'!FM$1)/SUMIFS('Existing Customers'!$Q:$Q,'Existing Customers'!$A:$A,'Multi-Customer'!FM$1),0)</f>
        <v>0</v>
      </c>
      <c r="GI7" s="83" t="s">
        <v>914</v>
      </c>
      <c r="GJ7" s="389">
        <f>IFERROR(SUMIFS('Existing Customers'!$AC:$AC,'Existing Customers'!$A:$A,'Multi-Customer'!GJ$1)/SUMIFS('Existing Customers'!$Q:$Q,'Existing Customers'!$A:$A,'Multi-Customer'!GJ$1),0)</f>
        <v>0</v>
      </c>
      <c r="HF7" s="83" t="s">
        <v>914</v>
      </c>
      <c r="HG7" s="389">
        <f>IFERROR(SUMIFS('Existing Customers'!$AC:$AC,'Existing Customers'!$A:$A,'Multi-Customer'!HG$1)/SUMIFS('Existing Customers'!$Q:$Q,'Existing Customers'!$A:$A,'Multi-Customer'!HG$1),0)</f>
        <v>0</v>
      </c>
      <c r="IC7" s="83" t="s">
        <v>914</v>
      </c>
      <c r="ID7" s="389">
        <f>IFERROR(SUMIFS('Existing Customers'!$AC:$AC,'Existing Customers'!$A:$A,'Multi-Customer'!ID$1)/SUMIFS('Existing Customers'!$Q:$Q,'Existing Customers'!$A:$A,'Multi-Customer'!ID$1),0)</f>
        <v>0</v>
      </c>
      <c r="IZ7" s="83" t="s">
        <v>914</v>
      </c>
      <c r="JA7" s="389">
        <f>IFERROR(SUMIFS('Existing Customers'!$AC:$AC,'Existing Customers'!$A:$A,'Multi-Customer'!JA$1)/SUMIFS('Existing Customers'!$Q:$Q,'Existing Customers'!$A:$A,'Multi-Customer'!JA$1),0)</f>
        <v>0</v>
      </c>
    </row>
    <row r="8" spans="2:296" x14ac:dyDescent="0.25">
      <c r="BA8" s="83" t="s">
        <v>907</v>
      </c>
      <c r="BB8" s="369">
        <f>'Customer Inputs'!$T$6</f>
        <v>0</v>
      </c>
      <c r="BX8" s="83" t="s">
        <v>907</v>
      </c>
      <c r="BY8" s="369">
        <f>'Customer Inputs'!$T$7</f>
        <v>0</v>
      </c>
      <c r="CU8" s="83" t="s">
        <v>907</v>
      </c>
      <c r="CV8" s="369">
        <f>'Customer Inputs'!$T$8</f>
        <v>0</v>
      </c>
      <c r="DR8" s="83" t="s">
        <v>907</v>
      </c>
      <c r="DS8" s="369">
        <f>'Customer Inputs'!$T$9</f>
        <v>0</v>
      </c>
      <c r="EO8" s="83" t="s">
        <v>907</v>
      </c>
      <c r="EP8" s="369">
        <f>'Customer Inputs'!$T$10</f>
        <v>0</v>
      </c>
      <c r="FL8" s="83" t="s">
        <v>907</v>
      </c>
      <c r="FM8" s="369">
        <f>'Customer Inputs'!$T$11</f>
        <v>0</v>
      </c>
      <c r="GI8" s="83" t="s">
        <v>907</v>
      </c>
      <c r="GJ8" s="369">
        <f>'Customer Inputs'!$T$12</f>
        <v>0</v>
      </c>
      <c r="HF8" s="83" t="s">
        <v>907</v>
      </c>
      <c r="HG8" s="369">
        <f>'Customer Inputs'!$T$13</f>
        <v>0</v>
      </c>
      <c r="IC8" s="83" t="s">
        <v>907</v>
      </c>
      <c r="ID8" s="369">
        <f>'Customer Inputs'!$T$14</f>
        <v>0</v>
      </c>
      <c r="IZ8" s="83" t="s">
        <v>907</v>
      </c>
      <c r="JA8" s="369">
        <f>'Customer Inputs'!$T$15</f>
        <v>0</v>
      </c>
    </row>
    <row r="9" spans="2:296" s="1038" customFormat="1" x14ac:dyDescent="0.25">
      <c r="AZ9" s="1073"/>
      <c r="BA9" s="1040" t="s">
        <v>532</v>
      </c>
      <c r="BB9" s="369">
        <f>IFERROR($BH$35/$BB$35,0)</f>
        <v>0</v>
      </c>
      <c r="BW9" s="1073"/>
      <c r="BX9" s="1040" t="s">
        <v>532</v>
      </c>
      <c r="BY9" s="369">
        <f>IFERROR($CE$35/$BY$35,0)</f>
        <v>0</v>
      </c>
      <c r="CT9" s="1073"/>
      <c r="CU9" s="1040" t="s">
        <v>532</v>
      </c>
      <c r="CV9" s="369">
        <f>IFERROR($DB$35/$CV$35,0)</f>
        <v>0</v>
      </c>
      <c r="DQ9" s="1073"/>
      <c r="DR9" s="1040" t="s">
        <v>532</v>
      </c>
      <c r="DS9" s="369">
        <f>IFERROR($DY$35/$DS$35,0)</f>
        <v>0</v>
      </c>
      <c r="EN9" s="1073"/>
      <c r="EO9" s="1040" t="s">
        <v>532</v>
      </c>
      <c r="EP9" s="369">
        <f>IFERROR($EV$35/$EP$35,0)</f>
        <v>0</v>
      </c>
      <c r="FK9" s="1073"/>
      <c r="FL9" s="1040" t="s">
        <v>532</v>
      </c>
      <c r="FM9" s="369">
        <f>IFERROR($FS$35/$FM$35,0)</f>
        <v>0</v>
      </c>
      <c r="GH9" s="1073"/>
      <c r="GI9" s="1040" t="s">
        <v>532</v>
      </c>
      <c r="GJ9" s="369">
        <f>IFERROR($GP$35/$GJ$35,0)</f>
        <v>0</v>
      </c>
      <c r="HE9" s="1073"/>
      <c r="HF9" s="1040" t="s">
        <v>532</v>
      </c>
      <c r="HG9" s="369">
        <f>IFERROR($HM$35/$HG$35,0)</f>
        <v>0</v>
      </c>
      <c r="IB9" s="1073"/>
      <c r="IC9" s="1040" t="s">
        <v>532</v>
      </c>
      <c r="ID9" s="369">
        <f>IFERROR($IJ$35/$ID$35,0)</f>
        <v>0</v>
      </c>
      <c r="IY9" s="1073"/>
      <c r="IZ9" s="1040" t="s">
        <v>532</v>
      </c>
      <c r="JA9" s="369">
        <f>IFERROR($JG$35/$JA$35,0)</f>
        <v>0</v>
      </c>
    </row>
    <row r="10" spans="2:296" s="1038" customFormat="1" x14ac:dyDescent="0.25">
      <c r="AZ10" s="1073"/>
      <c r="BA10" s="1040" t="s">
        <v>1435</v>
      </c>
      <c r="BB10" s="369">
        <f>IFERROR($BI$35/$BB$35,0)</f>
        <v>0</v>
      </c>
      <c r="BW10" s="1073"/>
      <c r="BX10" s="1040" t="s">
        <v>1435</v>
      </c>
      <c r="BY10" s="369">
        <f>IFERROR($CF$35/$BY$35,0)</f>
        <v>0</v>
      </c>
      <c r="CT10" s="1073"/>
      <c r="CU10" s="1040" t="s">
        <v>1435</v>
      </c>
      <c r="CV10" s="369">
        <f>IFERROR($DC$35/$CV$35,0)</f>
        <v>0</v>
      </c>
      <c r="DQ10" s="1073"/>
      <c r="DR10" s="1040" t="s">
        <v>1435</v>
      </c>
      <c r="DS10" s="369">
        <f>IFERROR($DZ$35/$DS$35,0)</f>
        <v>0</v>
      </c>
      <c r="EN10" s="1073"/>
      <c r="EO10" s="1040" t="s">
        <v>1435</v>
      </c>
      <c r="EP10" s="369">
        <f>IFERROR($EW$35/$EP$35,0)</f>
        <v>0</v>
      </c>
      <c r="FK10" s="1073"/>
      <c r="FL10" s="1040" t="s">
        <v>1435</v>
      </c>
      <c r="FM10" s="369">
        <f>IFERROR($FT$35/$FM$35,0)</f>
        <v>0</v>
      </c>
      <c r="GH10" s="1073"/>
      <c r="GI10" s="1040" t="s">
        <v>1435</v>
      </c>
      <c r="GJ10" s="369">
        <f>IFERROR($GQ$35/$GJ$35,0)</f>
        <v>0</v>
      </c>
      <c r="HE10" s="1073"/>
      <c r="HF10" s="1040" t="s">
        <v>1435</v>
      </c>
      <c r="HG10" s="369">
        <f>IFERROR($HN$35/$HG$35,0)</f>
        <v>0</v>
      </c>
      <c r="IB10" s="1073"/>
      <c r="IC10" s="1040" t="s">
        <v>1435</v>
      </c>
      <c r="ID10" s="369">
        <f>IFERROR($IK$35/$ID$35,0)</f>
        <v>0</v>
      </c>
      <c r="IY10" s="1073"/>
      <c r="IZ10" s="1040" t="s">
        <v>1435</v>
      </c>
      <c r="JA10" s="369">
        <f>IFERROR($JH$35/$JA$35,0)</f>
        <v>0</v>
      </c>
    </row>
    <row r="11" spans="2:296" ht="15.75" thickBot="1" x14ac:dyDescent="0.3">
      <c r="S11" s="83" t="s">
        <v>822</v>
      </c>
      <c r="U11" t="s">
        <v>947</v>
      </c>
      <c r="V11" s="24">
        <f>IFERROR(V35/U35,0)</f>
        <v>0</v>
      </c>
      <c r="AC11" t="s">
        <v>950</v>
      </c>
      <c r="AH11" t="s">
        <v>1003</v>
      </c>
      <c r="AU11" s="1449" t="s">
        <v>1004</v>
      </c>
      <c r="JU11" t="s">
        <v>1000</v>
      </c>
      <c r="KD11" t="s">
        <v>1001</v>
      </c>
    </row>
    <row r="12" spans="2:296" ht="13.9" customHeight="1" thickBot="1" x14ac:dyDescent="0.3">
      <c r="C12" t="s">
        <v>951</v>
      </c>
      <c r="S12" s="83"/>
      <c r="AB12" s="442" t="s">
        <v>909</v>
      </c>
      <c r="AC12" s="443" t="s">
        <v>910</v>
      </c>
      <c r="AD12" s="444" t="s">
        <v>911</v>
      </c>
      <c r="AE12" s="445"/>
      <c r="AF12" s="445"/>
      <c r="AI12" s="442" t="s">
        <v>1002</v>
      </c>
      <c r="AJ12" s="445"/>
      <c r="AK12" s="445"/>
      <c r="AU12" s="1449"/>
      <c r="BA12" s="83"/>
      <c r="BB12" s="1055" t="str">
        <f>IF(AND($BB$2="Enter Spend&gt;&gt;&gt;",BC2="PROSPECT"),"Spec"&amp;"Sales","Exist"&amp;"Sales")</f>
        <v>ExistSales</v>
      </c>
      <c r="BC12" s="384" t="str">
        <f>IF(AND($BB$2="Enter Spend&gt;&gt;&gt;",BC2="PROSPECT"),"Spec"&amp;"Cases","Exist"&amp;"Cases")</f>
        <v>ExistCases</v>
      </c>
      <c r="BD12" s="384" t="str">
        <f>IF(AND($BB$2="Enter Spend&gt;&gt;&gt;",BC2="PROSPECT"),"Spec"&amp;"Ebcases","Exist"&amp;"Ebcases")</f>
        <v>ExistEbcases</v>
      </c>
      <c r="BE12" s="384" t="str">
        <f>IF(AND($BB$2="Enter Spend&gt;&gt;&gt;",BC2="PROSPECT"),"Spec"&amp;"Weight","Exist"&amp;"Weight")</f>
        <v>ExistWeight</v>
      </c>
      <c r="BF12" s="384" t="str">
        <f>IF(AND($BB$2="Enter Spend&gt;&gt;&gt;",BC2="PROSPECT"),"Spec"&amp;"TAGP","Exist"&amp;"TAGP")</f>
        <v>ExistTAGP</v>
      </c>
      <c r="BG12" s="385" t="str">
        <f>IF(AND($BB$2="Enter Spend&gt;&gt;&gt;",BC2="PROSPECT"),"Spec"&amp;"TGP","Exist"&amp;"TGP")</f>
        <v>ExistTGP</v>
      </c>
      <c r="BH12" s="385" t="str">
        <f>IF(AND($BB$2="Enter Spend&gt;&gt;&gt;",BC2="PROSPECT"),"Spec"&amp;"PA $","Exist"&amp;"PA $")</f>
        <v>ExistPA $</v>
      </c>
      <c r="BI12" s="385" t="str">
        <f>IF(AND($BB$2="Enter Spend&gt;&gt;&gt;",BC2="PROSPECT"),"Spec"&amp;"SFD $","Exist"&amp;"SFD $")</f>
        <v>ExistSFD $</v>
      </c>
      <c r="BJ12" s="378"/>
      <c r="BK12" s="378"/>
      <c r="BL12" s="378"/>
      <c r="BM12" s="378"/>
      <c r="BN12" s="378"/>
      <c r="BO12" s="378"/>
      <c r="BP12" s="378"/>
      <c r="BQ12" s="378"/>
      <c r="BR12" s="378"/>
      <c r="BS12" s="378"/>
      <c r="BT12" s="378"/>
      <c r="BU12" s="378"/>
      <c r="BV12" s="378"/>
      <c r="BW12" s="378"/>
      <c r="BX12" s="378"/>
      <c r="BY12" s="384" t="str">
        <f>IF(AND($BY$2="Enter Spend&gt;&gt;&gt;",BZ2="PROSPECT"),"Spec"&amp;"Sales","Exist"&amp;"Sales")</f>
        <v>ExistSales</v>
      </c>
      <c r="BZ12" s="384" t="str">
        <f>IF(AND($BY$2="Enter Spend&gt;&gt;&gt;",BZ2="PROSPECT"),"Spec"&amp;"Cases","Exist"&amp;"Cases")</f>
        <v>ExistCases</v>
      </c>
      <c r="CA12" s="384" t="str">
        <f>IF(AND($BY$2="Enter Spend&gt;&gt;&gt;",BZ2="PROSPECT"),"Spec"&amp;"Ebcases","Exist"&amp;"Ebcases")</f>
        <v>ExistEbcases</v>
      </c>
      <c r="CB12" s="384" t="str">
        <f>IF(AND($BY$2="Enter Spend&gt;&gt;&gt;",BZ2="PROSPECT"),"Spec"&amp;"Weight","Exist"&amp;"Weight")</f>
        <v>ExistWeight</v>
      </c>
      <c r="CC12" s="384" t="str">
        <f>IF(AND($BY$2="Enter Spend&gt;&gt;&gt;",BZ2="PROSPECT"),"Spec"&amp;"TAGP","Exist"&amp;"TAGP")</f>
        <v>ExistTAGP</v>
      </c>
      <c r="CD12" s="384" t="str">
        <f>IF(AND($BY$2="Enter Spend&gt;&gt;&gt;",BZ2="PROSPECT"),"Spec"&amp;"TGP","Exist"&amp;"TGP")</f>
        <v>ExistTGP</v>
      </c>
      <c r="CE12" s="384" t="str">
        <f>IF(AND($BY$2="Enter Spend&gt;&gt;&gt;",BZ2="PROSPECT"),"Spec"&amp;"PA $","Exist"&amp;"PA $")</f>
        <v>ExistPA $</v>
      </c>
      <c r="CF12" s="384" t="str">
        <f>IF(AND($BY$2="Enter Spend&gt;&gt;&gt;",BZ2="PROSPECT"),"Spec"&amp;"SFD $","Exist"&amp;"SFD $")</f>
        <v>ExistSFD $</v>
      </c>
      <c r="CG12" s="378"/>
      <c r="CH12" s="378"/>
      <c r="CI12" s="378"/>
      <c r="CJ12" s="378"/>
      <c r="CK12" s="378"/>
      <c r="CL12" s="378"/>
      <c r="CM12" s="378"/>
      <c r="CN12" s="378"/>
      <c r="CO12" s="378"/>
      <c r="CP12" s="378"/>
      <c r="CQ12" s="378"/>
      <c r="CR12" s="378"/>
      <c r="CS12" s="378"/>
      <c r="CT12" s="378"/>
      <c r="CU12" s="378"/>
      <c r="CV12" s="383" t="str">
        <f>IF(AND($CV$2="Enter Spend&gt;&gt;&gt;",CW2="PROSPECT"),"Spec"&amp;"Sales","Exist"&amp;"Sales")</f>
        <v>ExistSales</v>
      </c>
      <c r="CW12" s="384" t="str">
        <f>IF(AND($CV$2="Enter Spend&gt;&gt;&gt;",CW2="PROSPECT"),"Spec"&amp;"Cases","Exist"&amp;"Cases")</f>
        <v>ExistCases</v>
      </c>
      <c r="CX12" s="384" t="str">
        <f>IF(AND($CV$2="Enter Spend&gt;&gt;&gt;",CW2="PROSPECT"),"Spec"&amp;"Ebcases","Exist"&amp;"Ebcases")</f>
        <v>ExistEbcases</v>
      </c>
      <c r="CY12" s="384" t="str">
        <f>IF(AND($CV$2="Enter Spend&gt;&gt;&gt;",CW2="PROSPECT"),"Spec"&amp;"Weight","Exist"&amp;"Weight")</f>
        <v>ExistWeight</v>
      </c>
      <c r="CZ12" s="384" t="str">
        <f>IF(AND($CV$2="Enter Spend&gt;&gt;&gt;",CW2="PROSPECT"),"Spec"&amp;"TAGP","Exist"&amp;"TAGP")</f>
        <v>ExistTAGP</v>
      </c>
      <c r="DA12" s="385" t="str">
        <f>IF(AND($CV$2="Enter Spend&gt;&gt;&gt;",CW2="PROSPECT"),"Spec"&amp;"TGP","Exist"&amp;"TGP")</f>
        <v>ExistTGP</v>
      </c>
      <c r="DB12" s="385" t="str">
        <f>IF(AND($CV$2="Enter Spend&gt;&gt;&gt;",CW2="PROSPECT"),"Spec"&amp;"PA $","Exist"&amp;"PA $")</f>
        <v>ExistPA $</v>
      </c>
      <c r="DC12" s="385" t="str">
        <f>IF(AND($CV$2="Enter Spend&gt;&gt;&gt;",CW2="PROSPECT"),"Spec"&amp;"SFD $","Exist"&amp;"SFD $")</f>
        <v>ExistSFD $</v>
      </c>
      <c r="DD12" s="378"/>
      <c r="DE12" s="378"/>
      <c r="DF12" s="378"/>
      <c r="DG12" s="378"/>
      <c r="DH12" s="378"/>
      <c r="DI12" s="378"/>
      <c r="DJ12" s="378"/>
      <c r="DK12" s="378"/>
      <c r="DL12" s="378"/>
      <c r="DM12" s="378"/>
      <c r="DN12" s="378"/>
      <c r="DO12" s="378"/>
      <c r="DP12" s="378"/>
      <c r="DQ12" s="378"/>
      <c r="DR12" s="378"/>
      <c r="DS12" s="383" t="str">
        <f>IF(AND($DS$2="Enter Spend&gt;&gt;&gt;",DT2="PROSPECT"),"Spec"&amp;"Sales","Exist"&amp;"Sales")</f>
        <v>ExistSales</v>
      </c>
      <c r="DT12" s="384" t="str">
        <f>IF(AND($DS$2="Enter Spend&gt;&gt;&gt;",DT2="PROSPECT"),"Spec"&amp;"Cases","Exist"&amp;"Cases")</f>
        <v>ExistCases</v>
      </c>
      <c r="DU12" s="384" t="str">
        <f>IF(AND($DS$2="Enter Spend&gt;&gt;&gt;",DT2="PROSPECT"),"Spec"&amp;"Ebcases","Exist"&amp;"Ebcases")</f>
        <v>ExistEbcases</v>
      </c>
      <c r="DV12" s="384" t="str">
        <f>IF(AND($DS$2="Enter Spend&gt;&gt;&gt;",DT2="PROSPECT"),"Spec"&amp;"Weight","Exist"&amp;"Weight")</f>
        <v>ExistWeight</v>
      </c>
      <c r="DW12" s="384" t="str">
        <f>IF(AND($DS$2="Enter Spend&gt;&gt;&gt;",DT2="PROSPECT"),"Spec"&amp;"TAGP","Exist"&amp;"TAGP")</f>
        <v>ExistTAGP</v>
      </c>
      <c r="DX12" s="385" t="str">
        <f>IF(AND($DS$2="Enter Spend&gt;&gt;&gt;",DT2="PROSPECT"),"Spec"&amp;"TGP","Exist"&amp;"TGP")</f>
        <v>ExistTGP</v>
      </c>
      <c r="DY12" s="385" t="str">
        <f>IF(AND($DS$2="Enter Spend&gt;&gt;&gt;",DT2="PROSPECT"),"Spec"&amp;"PA $","Exist"&amp;"PA $")</f>
        <v>ExistPA $</v>
      </c>
      <c r="DZ12" s="385" t="str">
        <f>IF(AND($DS$2="Enter Spend&gt;&gt;&gt;",DT2="PROSPECT"),"Spec"&amp;"SFD $","Exist"&amp;"SFD $")</f>
        <v>ExistSFD $</v>
      </c>
      <c r="EA12" s="378"/>
      <c r="EB12" s="378"/>
      <c r="EC12" s="378"/>
      <c r="ED12" s="378"/>
      <c r="EE12" s="378"/>
      <c r="EF12" s="378"/>
      <c r="EG12" s="378"/>
      <c r="EH12" s="378"/>
      <c r="EI12" s="378"/>
      <c r="EJ12" s="378"/>
      <c r="EK12" s="378"/>
      <c r="EL12" s="378"/>
      <c r="EM12" s="378"/>
      <c r="EN12" s="378"/>
      <c r="EO12" s="378"/>
      <c r="EP12" s="383" t="str">
        <f>IF(AND($EP$2="Enter Spend&gt;&gt;&gt;",EQ2="PROSPECT"),"Spec"&amp;"Sales","Exist"&amp;"Sales")</f>
        <v>ExistSales</v>
      </c>
      <c r="EQ12" s="384" t="str">
        <f>IF(AND($EP$2="Enter Spend&gt;&gt;&gt;",EQ2="PROSPECT"),"Spec"&amp;"Cases","Exist"&amp;"Cases")</f>
        <v>ExistCases</v>
      </c>
      <c r="ER12" s="384" t="str">
        <f>IF(AND($EP$2="Enter Spend&gt;&gt;&gt;",EQ2="PROSPECT"),"Spec"&amp;"Ebcases","Exist"&amp;"Ebcases")</f>
        <v>ExistEbcases</v>
      </c>
      <c r="ES12" s="384" t="str">
        <f>IF(AND($EP$2="Enter Spend&gt;&gt;&gt;",EQ2="PROSPECT"),"Spec"&amp;"Weight","Exist"&amp;"Weight")</f>
        <v>ExistWeight</v>
      </c>
      <c r="ET12" s="384" t="str">
        <f>IF(AND($EP$2="Enter Spend&gt;&gt;&gt;",EQ2="PROSPECT"),"Spec"&amp;"TAGP","Exist"&amp;"TAGP")</f>
        <v>ExistTAGP</v>
      </c>
      <c r="EU12" s="385" t="str">
        <f>IF(AND($EP$2="Enter Spend&gt;&gt;&gt;",EQ2="PROSPECT"),"Spec"&amp;"TGP","Exist"&amp;"TGP")</f>
        <v>ExistTGP</v>
      </c>
      <c r="EV12" s="385" t="str">
        <f>IF(AND($EP$2="Enter Spend&gt;&gt;&gt;",EQ2="PROSPECT"),"Spec"&amp;"PA $","Exist"&amp;"PA $")</f>
        <v>ExistPA $</v>
      </c>
      <c r="EW12" s="385" t="str">
        <f>IF(AND($EP$2="Enter Spend&gt;&gt;&gt;",EQ2="PROSPECT"),"Spec"&amp;"SFD $","Exist"&amp;"SFD $")</f>
        <v>ExistSFD $</v>
      </c>
      <c r="EX12" s="378"/>
      <c r="EY12" s="378"/>
      <c r="EZ12" s="378"/>
      <c r="FA12" s="378"/>
      <c r="FB12" s="378"/>
      <c r="FC12" s="378"/>
      <c r="FD12" s="378"/>
      <c r="FE12" s="378"/>
      <c r="FF12" s="378"/>
      <c r="FG12" s="378"/>
      <c r="FH12" s="378"/>
      <c r="FI12" s="378"/>
      <c r="FJ12" s="378"/>
      <c r="FK12" s="378"/>
      <c r="FL12" s="378"/>
      <c r="FM12" s="383" t="str">
        <f>IF(AND($FM$2="Enter Spend&gt;&gt;&gt;",FN2="PROSPECT"),"Spec"&amp;"Sales","Exist"&amp;"Sales")</f>
        <v>ExistSales</v>
      </c>
      <c r="FN12" s="384" t="str">
        <f>IF(AND($FM$2="Enter Spend&gt;&gt;&gt;",FN2="PROSPECT"),"Spec"&amp;"Cases","Exist"&amp;"Cases")</f>
        <v>ExistCases</v>
      </c>
      <c r="FO12" s="384" t="str">
        <f>IF(AND($FM$2="Enter Spend&gt;&gt;&gt;",FN2="PROSPECT"),"Spec"&amp;"Ebcases","Exist"&amp;"Ebcases")</f>
        <v>ExistEbcases</v>
      </c>
      <c r="FP12" s="384" t="str">
        <f>IF(AND($FM$2="Enter Spend&gt;&gt;&gt;",FN2="PROSPECT"),"Spec"&amp;"Weight","Exist"&amp;"Weight")</f>
        <v>ExistWeight</v>
      </c>
      <c r="FQ12" s="384" t="str">
        <f>IF(AND($FM$2="Enter Spend&gt;&gt;&gt;",FN2="PROSPECT"),"Spec"&amp;"TAGP","Exist"&amp;"TAGP")</f>
        <v>ExistTAGP</v>
      </c>
      <c r="FR12" s="385" t="str">
        <f>IF(AND($FM$2="Enter Spend&gt;&gt;&gt;",FN2="PROSPECT"),"Spec"&amp;"TGP","Exist"&amp;"TGP")</f>
        <v>ExistTGP</v>
      </c>
      <c r="FS12" s="385" t="str">
        <f>IF(AND($FM$2="Enter Spend&gt;&gt;&gt;",FN2="PROSPECT"),"Spec"&amp;"PA $","Exist"&amp;"PA $")</f>
        <v>ExistPA $</v>
      </c>
      <c r="FT12" s="385" t="str">
        <f>IF(AND($FM$2="Enter Spend&gt;&gt;&gt;",FN2="PROSPECT"),"Spec"&amp;"SFD $","Exist"&amp;"SFD $")</f>
        <v>ExistSFD $</v>
      </c>
      <c r="FU12" s="378"/>
      <c r="FV12" s="378"/>
      <c r="FW12" s="378"/>
      <c r="FX12" s="378"/>
      <c r="FY12" s="378"/>
      <c r="FZ12" s="378"/>
      <c r="GA12" s="378"/>
      <c r="GB12" s="378"/>
      <c r="GC12" s="378"/>
      <c r="GD12" s="378"/>
      <c r="GE12" s="378"/>
      <c r="GF12" s="378"/>
      <c r="GG12" s="378"/>
      <c r="GH12" s="378"/>
      <c r="GI12" s="378"/>
      <c r="GJ12" s="383" t="str">
        <f>IF(AND($GJ$2="Enter Spend&gt;&gt;&gt;",GK2="PROSPECT"),"Spec"&amp;"Sales","Exist"&amp;"Sales")</f>
        <v>ExistSales</v>
      </c>
      <c r="GK12" s="384" t="str">
        <f>IF(AND($GJ$2="Enter Spend&gt;&gt;&gt;",GK2="PROSPECT"),"Spec"&amp;"Cases","Exist"&amp;"Cases")</f>
        <v>ExistCases</v>
      </c>
      <c r="GL12" s="384" t="str">
        <f>IF(AND($GJ$2="Enter Spend&gt;&gt;&gt;",GK2="PROSPECT"),"Spec"&amp;"Ebcases","Exist"&amp;"Ebcases")</f>
        <v>ExistEbcases</v>
      </c>
      <c r="GM12" s="384" t="str">
        <f>IF(AND($GJ$2="Enter Spend&gt;&gt;&gt;",GK2="PROSPECT"),"Spec"&amp;"Weight","Exist"&amp;"Weight")</f>
        <v>ExistWeight</v>
      </c>
      <c r="GN12" s="384" t="str">
        <f>IF(AND($GJ$2="Enter Spend&gt;&gt;&gt;",GK2="PROSPECT"),"Spec"&amp;"TAGP","Exist"&amp;"TAGP")</f>
        <v>ExistTAGP</v>
      </c>
      <c r="GO12" s="385" t="str">
        <f>IF(AND($GJ$2="Enter Spend&gt;&gt;&gt;",GK2="PROSPECT"),"Spec"&amp;"TGP","Exist"&amp;"TGP")</f>
        <v>ExistTGP</v>
      </c>
      <c r="GP12" s="385" t="str">
        <f>IF(AND($GJ$2="Enter Spend&gt;&gt;&gt;",GK2="PROSPECT"),"Spec"&amp;"PA $","Exist"&amp;"PA $")</f>
        <v>ExistPA $</v>
      </c>
      <c r="GQ12" s="385" t="str">
        <f>IF(AND($GJ$2="Enter Spend&gt;&gt;&gt;",GK2="PROSPECT"),"Spec"&amp;"SFD $","Exist"&amp;"SFD $")</f>
        <v>ExistSFD $</v>
      </c>
      <c r="GR12" s="378"/>
      <c r="GS12" s="378"/>
      <c r="GT12" s="378"/>
      <c r="GU12" s="378"/>
      <c r="GV12" s="378"/>
      <c r="GW12" s="378"/>
      <c r="GX12" s="378"/>
      <c r="GY12" s="378"/>
      <c r="GZ12" s="378"/>
      <c r="HA12" s="378"/>
      <c r="HB12" s="378"/>
      <c r="HC12" s="378"/>
      <c r="HD12" s="378"/>
      <c r="HE12" s="378"/>
      <c r="HF12" s="378"/>
      <c r="HG12" s="383" t="str">
        <f>IF(AND($HG$2="Enter Spend&gt;&gt;&gt;",HH2="PROSPECT"),"Spec"&amp;"Sales","Exist"&amp;"Sales")</f>
        <v>ExistSales</v>
      </c>
      <c r="HH12" s="384" t="str">
        <f>IF(AND($HG$2="Enter Spend&gt;&gt;&gt;",HH2="PROSPECT"),"Spec"&amp;"Cases","Exist"&amp;"Cases")</f>
        <v>ExistCases</v>
      </c>
      <c r="HI12" s="384" t="str">
        <f>IF(AND($HG$2="Enter Spend&gt;&gt;&gt;",HH2="PROSPECT"),"Spec"&amp;"Ebcases","Exist"&amp;"Ebcases")</f>
        <v>ExistEbcases</v>
      </c>
      <c r="HJ12" s="384" t="str">
        <f>IF(AND($HG$2="Enter Spend&gt;&gt;&gt;",HH2="PROSPECT"),"Spec"&amp;"Weight","Exist"&amp;"Weight")</f>
        <v>ExistWeight</v>
      </c>
      <c r="HK12" s="384" t="str">
        <f>IF(AND($HG$2="Enter Spend&gt;&gt;&gt;",HH2="PROSPECT"),"Spec"&amp;"TAGP","Exist"&amp;"TAGP")</f>
        <v>ExistTAGP</v>
      </c>
      <c r="HL12" s="385" t="str">
        <f>IF(AND($HG$2="Enter Spend&gt;&gt;&gt;",HH2="PROSPECT"),"Spec"&amp;"TGP","Exist"&amp;"TGP")</f>
        <v>ExistTGP</v>
      </c>
      <c r="HM12" s="385" t="str">
        <f>IF(AND($HG$2="Enter Spend&gt;&gt;&gt;",HH2="PROSPECT"),"Spec"&amp;"PA $","Exist"&amp;"PA $")</f>
        <v>ExistPA $</v>
      </c>
      <c r="HN12" s="385" t="str">
        <f>IF(AND($HG$2="Enter Spend&gt;&gt;&gt;",HH2="PROSPECT"),"Spec"&amp;"SFD $","Exist"&amp;"SFD $")</f>
        <v>ExistSFD $</v>
      </c>
      <c r="HO12" s="378"/>
      <c r="HP12" s="378"/>
      <c r="HQ12" s="378"/>
      <c r="HR12" s="378"/>
      <c r="HS12" s="378"/>
      <c r="HT12" s="378"/>
      <c r="HU12" s="378"/>
      <c r="HV12" s="378"/>
      <c r="HW12" s="378"/>
      <c r="HX12" s="378"/>
      <c r="HY12" s="378"/>
      <c r="HZ12" s="378"/>
      <c r="IA12" s="378"/>
      <c r="IB12" s="378"/>
      <c r="IC12" s="378"/>
      <c r="ID12" s="383" t="str">
        <f>IF(AND($ID$2="Enter Spend&gt;&gt;&gt;",IE2="PROSPECT"),"Spec"&amp;"Sales","Exist"&amp;"Sales")</f>
        <v>ExistSales</v>
      </c>
      <c r="IE12" s="384" t="str">
        <f>IF(AND($ID$2="Enter Spend&gt;&gt;&gt;",IE2="PROSPECT"),"Spec"&amp;"Cases","Exist"&amp;"Cases")</f>
        <v>ExistCases</v>
      </c>
      <c r="IF12" s="384" t="str">
        <f>IF(AND($ID$2="Enter Spend&gt;&gt;&gt;",IE2="PROSPECT"),"Spec"&amp;"Ebcases","Exist"&amp;"Ebcases")</f>
        <v>ExistEbcases</v>
      </c>
      <c r="IG12" s="384" t="str">
        <f>IF(AND($ID$2="Enter Spend&gt;&gt;&gt;",IE2="PROSPECT"),"Spec"&amp;"Weight","Exist"&amp;"Weight")</f>
        <v>ExistWeight</v>
      </c>
      <c r="IH12" s="384" t="str">
        <f>IF(AND($ID$2="Enter Spend&gt;&gt;&gt;",IE2="PROSPECT"),"Spec"&amp;"TAGP","Exist"&amp;"TAGP")</f>
        <v>ExistTAGP</v>
      </c>
      <c r="II12" s="385" t="str">
        <f>IF(AND($ID$2="Enter Spend&gt;&gt;&gt;",IE2="PROSPECT"),"Spec"&amp;"TGP","Exist"&amp;"TGP")</f>
        <v>ExistTGP</v>
      </c>
      <c r="IJ12" s="385" t="str">
        <f>IF(AND($ID$2="Enter Spend&gt;&gt;&gt;",IE2="PROSPECT"),"Spec"&amp;"PA $","Exist"&amp;"PA $")</f>
        <v>ExistPA $</v>
      </c>
      <c r="IK12" s="385" t="str">
        <f>IF(AND($ID$2="Enter Spend&gt;&gt;&gt;",IE2="PROSPECT"),"Spec"&amp;"SFD $","Exist"&amp;"SFD $")</f>
        <v>ExistSFD $</v>
      </c>
      <c r="IL12" s="378"/>
      <c r="IM12" s="378"/>
      <c r="IN12" s="378"/>
      <c r="IO12" s="378"/>
      <c r="IP12" s="378"/>
      <c r="IQ12" s="378"/>
      <c r="IR12" s="378"/>
      <c r="IS12" s="378"/>
      <c r="IT12" s="378"/>
      <c r="IU12" s="378"/>
      <c r="IV12" s="378"/>
      <c r="IW12" s="378"/>
      <c r="IX12" s="378"/>
      <c r="IY12" s="378"/>
      <c r="IZ12" s="378"/>
      <c r="JA12" s="383" t="str">
        <f>IF(AND($JA$2="Enter Spend&gt;&gt;&gt;",JB2="PROSPECT"),"Spec"&amp;"Sales","Exist"&amp;"Sales")</f>
        <v>ExistSales</v>
      </c>
      <c r="JB12" s="384" t="str">
        <f>IF(AND($JA$2="Enter Spend&gt;&gt;&gt;",JB2="PROSPECT"),"Spec"&amp;"Cases","Exist"&amp;"Cases")</f>
        <v>ExistCases</v>
      </c>
      <c r="JC12" s="384" t="str">
        <f>IF(AND($JA$2="Enter Spend&gt;&gt;&gt;",JB2="PROSPECT"),"Spec"&amp;"Ebcases","Exist"&amp;"Ebcases")</f>
        <v>ExistEbcases</v>
      </c>
      <c r="JD12" s="384" t="str">
        <f>IF(AND($JA$2="Enter Spend&gt;&gt;&gt;",JB2="PROSPECT"),"Spec"&amp;"Weight","Exist"&amp;"Weight")</f>
        <v>ExistWeight</v>
      </c>
      <c r="JE12" s="384" t="str">
        <f>IF(AND($JA$2="Enter Spend&gt;&gt;&gt;",JB2="PROSPECT"),"Spec"&amp;"TAGP","Exist"&amp;"TAGP")</f>
        <v>ExistTAGP</v>
      </c>
      <c r="JF12" s="385" t="str">
        <f>IF(AND($JA$2="Enter Spend&gt;&gt;&gt;",JB2="PROSPECT"),"Spec"&amp;"TGP","Exist"&amp;"TGP")</f>
        <v>ExistTGP</v>
      </c>
      <c r="JG12" s="385" t="str">
        <f>IF(AND($JA$2="Enter Spend&gt;&gt;&gt;",JB2="PROSPECT"),"Spec"&amp;"PA $","Exist"&amp;"PA $")</f>
        <v>ExistPA $</v>
      </c>
      <c r="JH12" s="385" t="str">
        <f>IF(AND($JA$2="Enter Spend&gt;&gt;&gt;",JB2="PROSPECT"),"Spec"&amp;"SFD $","Exist"&amp;"SFD $")</f>
        <v>ExistSFD $</v>
      </c>
      <c r="JI12" s="378"/>
      <c r="JJ12" s="378"/>
      <c r="JK12" s="378"/>
      <c r="JL12" s="378"/>
      <c r="JM12" s="378"/>
      <c r="JN12" s="378"/>
      <c r="JO12" s="378"/>
      <c r="JP12" s="378"/>
      <c r="JQ12" s="378"/>
      <c r="JR12" s="378"/>
      <c r="JS12" s="378"/>
      <c r="JU12" s="378"/>
      <c r="JV12" s="383" t="str">
        <f>IF(JV2="Enter Spend&gt;&gt;&gt;","Spec"&amp;"Sales","Exist"&amp;"Sales")</f>
        <v>ExistSales</v>
      </c>
      <c r="JW12" s="384" t="str">
        <f>IF(JV2="Enter Spend&gt;&gt;&gt;","Spec"&amp;"Cases","Exist"&amp;"Cases")</f>
        <v>ExistCases</v>
      </c>
      <c r="JX12" s="384" t="str">
        <f>IF(JV2="Enter Spend&gt;&gt;&gt;","Spec"&amp;"Ebcases","Exist"&amp;"Ebcases")</f>
        <v>ExistEbcases</v>
      </c>
      <c r="JY12" s="384" t="str">
        <f>IF(JV2="Enter Spend&gt;&gt;&gt;","Spec"&amp;"Weight","Exist"&amp;"Weight")</f>
        <v>ExistWeight</v>
      </c>
      <c r="JZ12" s="384" t="str">
        <f>IF(JV2="Enter Spend&gt;&gt;&gt;","Spec"&amp;"TAGP","Exist"&amp;"TAGP")</f>
        <v>ExistTAGP</v>
      </c>
      <c r="KA12" s="385" t="str">
        <f>IF(JV2="Enter Spend&gt;&gt;&gt;","Spec"&amp;"TGP","Exist"&amp;"TGP")</f>
        <v>ExistTGP</v>
      </c>
      <c r="KB12" s="378"/>
      <c r="KC12" s="378"/>
      <c r="KD12" s="378"/>
      <c r="KE12" s="383" t="str">
        <f>IF(KE2="Enter Spend&gt;&gt;&gt;","Spec"&amp;"Sales","Exist"&amp;"Sales")</f>
        <v>ExistSales</v>
      </c>
      <c r="KF12" s="384" t="str">
        <f>IF(KE2="Enter Spend&gt;&gt;&gt;","Spec"&amp;"Cases","Exist"&amp;"Cases")</f>
        <v>ExistCases</v>
      </c>
      <c r="KG12" s="384" t="str">
        <f>IF(KE2="Enter Spend&gt;&gt;&gt;","Spec"&amp;"Ebcases","Exist"&amp;"Ebcases")</f>
        <v>ExistEbcases</v>
      </c>
      <c r="KH12" s="384" t="str">
        <f>IF(KE2="Enter Spend&gt;&gt;&gt;","Spec"&amp;"Weight","Exist"&amp;"Weight")</f>
        <v>ExistWeight</v>
      </c>
      <c r="KI12" s="384" t="str">
        <f>IF(KE2="Enter Spend&gt;&gt;&gt;","Spec"&amp;"TAGP","Exist"&amp;"TAGP")</f>
        <v>ExistTAGP</v>
      </c>
      <c r="KJ12" s="385" t="str">
        <f>IF(KE2="Enter Spend&gt;&gt;&gt;","Spec"&amp;"TGP","Exist"&amp;"TGP")</f>
        <v>ExistTGP</v>
      </c>
    </row>
    <row r="13" spans="2:296" ht="34.5" thickBot="1" x14ac:dyDescent="0.3">
      <c r="B13" s="88" t="s">
        <v>108</v>
      </c>
      <c r="C13" s="446" t="s">
        <v>82</v>
      </c>
      <c r="D13" s="447" t="s">
        <v>83</v>
      </c>
      <c r="E13" s="447" t="s">
        <v>398</v>
      </c>
      <c r="F13" s="447" t="s">
        <v>501</v>
      </c>
      <c r="G13" s="448" t="s">
        <v>399</v>
      </c>
      <c r="H13" s="448" t="s">
        <v>200</v>
      </c>
      <c r="I13" s="446" t="s">
        <v>216</v>
      </c>
      <c r="J13" s="446" t="s">
        <v>1423</v>
      </c>
      <c r="K13" s="446" t="s">
        <v>202</v>
      </c>
      <c r="L13" s="446" t="s">
        <v>1424</v>
      </c>
      <c r="M13" s="446" t="s">
        <v>1425</v>
      </c>
      <c r="N13" s="1045" t="s">
        <v>1426</v>
      </c>
      <c r="S13" s="88" t="s">
        <v>108</v>
      </c>
      <c r="T13" s="110" t="s">
        <v>82</v>
      </c>
      <c r="U13" s="90" t="s">
        <v>83</v>
      </c>
      <c r="V13" s="90" t="s">
        <v>398</v>
      </c>
      <c r="W13" s="90" t="s">
        <v>501</v>
      </c>
      <c r="X13" s="91" t="s">
        <v>399</v>
      </c>
      <c r="Y13" s="107" t="s">
        <v>523</v>
      </c>
      <c r="Z13" s="368"/>
      <c r="AA13" s="368"/>
      <c r="AB13" s="446" t="s">
        <v>397</v>
      </c>
      <c r="AC13" s="447" t="s">
        <v>399</v>
      </c>
      <c r="AD13" s="447" t="s">
        <v>200</v>
      </c>
      <c r="AE13" s="447" t="s">
        <v>523</v>
      </c>
      <c r="AF13" s="448" t="s">
        <v>908</v>
      </c>
      <c r="AG13" s="368"/>
      <c r="AH13" s="368"/>
      <c r="AI13" s="446" t="s">
        <v>397</v>
      </c>
      <c r="AJ13" s="447" t="s">
        <v>399</v>
      </c>
      <c r="AK13" s="448" t="s">
        <v>908</v>
      </c>
      <c r="AL13" s="368"/>
      <c r="AM13" s="368"/>
      <c r="AN13" s="368"/>
      <c r="AO13" s="368"/>
      <c r="AP13" s="480" t="s">
        <v>991</v>
      </c>
      <c r="AQ13" s="480"/>
      <c r="AR13" s="480" t="s">
        <v>1042</v>
      </c>
      <c r="AS13" s="368"/>
      <c r="AT13" s="368"/>
      <c r="AU13" s="1449"/>
      <c r="AV13" s="368"/>
      <c r="AW13" s="368"/>
      <c r="AX13" s="368"/>
      <c r="AY13" s="63" t="s">
        <v>905</v>
      </c>
      <c r="AZ13" s="1089" t="s">
        <v>1495</v>
      </c>
      <c r="BA13" s="88" t="s">
        <v>108</v>
      </c>
      <c r="BB13" s="89" t="s">
        <v>82</v>
      </c>
      <c r="BC13" s="90" t="s">
        <v>83</v>
      </c>
      <c r="BD13" s="90" t="s">
        <v>398</v>
      </c>
      <c r="BE13" s="90" t="s">
        <v>501</v>
      </c>
      <c r="BF13" s="375" t="s">
        <v>399</v>
      </c>
      <c r="BG13" s="91" t="s">
        <v>200</v>
      </c>
      <c r="BH13" s="91" t="s">
        <v>935</v>
      </c>
      <c r="BI13" s="1051" t="s">
        <v>1427</v>
      </c>
      <c r="BJ13" s="91" t="s">
        <v>1428</v>
      </c>
      <c r="BK13" s="91" t="s">
        <v>1429</v>
      </c>
      <c r="BL13" s="91" t="s">
        <v>1430</v>
      </c>
      <c r="BM13" s="91" t="s">
        <v>1431</v>
      </c>
      <c r="BN13" s="1056" t="s">
        <v>1432</v>
      </c>
      <c r="BO13" s="1056" t="s">
        <v>216</v>
      </c>
      <c r="BP13" s="91" t="s">
        <v>1423</v>
      </c>
      <c r="BQ13" s="91" t="s">
        <v>202</v>
      </c>
      <c r="BR13" s="1056" t="s">
        <v>1433</v>
      </c>
      <c r="BS13" s="1056" t="s">
        <v>1434</v>
      </c>
      <c r="BT13" s="1056" t="s">
        <v>1426</v>
      </c>
      <c r="BU13" s="368"/>
      <c r="BV13" s="63" t="s">
        <v>905</v>
      </c>
      <c r="BW13" s="1089" t="s">
        <v>1495</v>
      </c>
      <c r="BX13" s="88" t="s">
        <v>108</v>
      </c>
      <c r="BY13" s="89" t="s">
        <v>82</v>
      </c>
      <c r="BZ13" s="90" t="s">
        <v>83</v>
      </c>
      <c r="CA13" s="90" t="s">
        <v>398</v>
      </c>
      <c r="CB13" s="90" t="s">
        <v>501</v>
      </c>
      <c r="CC13" s="91" t="s">
        <v>399</v>
      </c>
      <c r="CD13" s="91" t="s">
        <v>200</v>
      </c>
      <c r="CE13" s="91" t="s">
        <v>935</v>
      </c>
      <c r="CF13" s="1051" t="s">
        <v>1427</v>
      </c>
      <c r="CG13" s="91" t="s">
        <v>1428</v>
      </c>
      <c r="CH13" s="91" t="s">
        <v>1429</v>
      </c>
      <c r="CI13" s="91" t="s">
        <v>1430</v>
      </c>
      <c r="CJ13" s="1056" t="s">
        <v>1431</v>
      </c>
      <c r="CK13" s="1056" t="s">
        <v>1432</v>
      </c>
      <c r="CL13" s="91" t="s">
        <v>216</v>
      </c>
      <c r="CM13" s="91" t="s">
        <v>1423</v>
      </c>
      <c r="CN13" s="91" t="s">
        <v>202</v>
      </c>
      <c r="CO13" s="1056" t="s">
        <v>1433</v>
      </c>
      <c r="CP13" s="1056" t="s">
        <v>1434</v>
      </c>
      <c r="CQ13" s="1056" t="s">
        <v>1426</v>
      </c>
      <c r="CR13" s="368"/>
      <c r="CS13" s="63" t="s">
        <v>905</v>
      </c>
      <c r="CT13" s="1089" t="s">
        <v>1495</v>
      </c>
      <c r="CU13" s="88" t="s">
        <v>108</v>
      </c>
      <c r="CV13" s="89" t="s">
        <v>82</v>
      </c>
      <c r="CW13" s="90" t="s">
        <v>83</v>
      </c>
      <c r="CX13" s="90" t="s">
        <v>398</v>
      </c>
      <c r="CY13" s="90" t="s">
        <v>501</v>
      </c>
      <c r="CZ13" s="91" t="s">
        <v>399</v>
      </c>
      <c r="DA13" s="91" t="s">
        <v>200</v>
      </c>
      <c r="DB13" s="91" t="s">
        <v>935</v>
      </c>
      <c r="DC13" s="91" t="s">
        <v>1427</v>
      </c>
      <c r="DD13" s="91" t="s">
        <v>1428</v>
      </c>
      <c r="DE13" s="91" t="s">
        <v>1429</v>
      </c>
      <c r="DF13" s="91" t="s">
        <v>1430</v>
      </c>
      <c r="DG13" s="1056" t="s">
        <v>1431</v>
      </c>
      <c r="DH13" s="1056" t="s">
        <v>1432</v>
      </c>
      <c r="DI13" s="91" t="s">
        <v>216</v>
      </c>
      <c r="DJ13" s="91" t="s">
        <v>1423</v>
      </c>
      <c r="DK13" s="91" t="s">
        <v>202</v>
      </c>
      <c r="DL13" s="1056" t="s">
        <v>1433</v>
      </c>
      <c r="DM13" s="1056" t="s">
        <v>1434</v>
      </c>
      <c r="DN13" s="1056" t="s">
        <v>1426</v>
      </c>
      <c r="DO13" s="368"/>
      <c r="DP13" s="63" t="s">
        <v>905</v>
      </c>
      <c r="DQ13" s="1089" t="s">
        <v>1495</v>
      </c>
      <c r="DR13" s="88" t="s">
        <v>108</v>
      </c>
      <c r="DS13" s="89" t="s">
        <v>82</v>
      </c>
      <c r="DT13" s="90" t="s">
        <v>83</v>
      </c>
      <c r="DU13" s="90" t="s">
        <v>398</v>
      </c>
      <c r="DV13" s="90" t="s">
        <v>501</v>
      </c>
      <c r="DW13" s="91" t="s">
        <v>399</v>
      </c>
      <c r="DX13" s="91" t="s">
        <v>200</v>
      </c>
      <c r="DY13" s="91" t="s">
        <v>935</v>
      </c>
      <c r="DZ13" s="91" t="s">
        <v>1427</v>
      </c>
      <c r="EA13" s="91" t="s">
        <v>1428</v>
      </c>
      <c r="EB13" s="91" t="s">
        <v>1429</v>
      </c>
      <c r="EC13" s="91" t="s">
        <v>1430</v>
      </c>
      <c r="ED13" s="1056" t="s">
        <v>1431</v>
      </c>
      <c r="EE13" s="1056" t="s">
        <v>1432</v>
      </c>
      <c r="EF13" s="91" t="s">
        <v>216</v>
      </c>
      <c r="EG13" s="91" t="s">
        <v>1423</v>
      </c>
      <c r="EH13" s="91" t="s">
        <v>202</v>
      </c>
      <c r="EI13" s="1056" t="s">
        <v>1433</v>
      </c>
      <c r="EJ13" s="1056" t="s">
        <v>1434</v>
      </c>
      <c r="EK13" s="1056" t="s">
        <v>1426</v>
      </c>
      <c r="EL13" s="368"/>
      <c r="EM13" s="63" t="s">
        <v>905</v>
      </c>
      <c r="EN13" s="1089" t="s">
        <v>1495</v>
      </c>
      <c r="EO13" s="88" t="s">
        <v>108</v>
      </c>
      <c r="EP13" s="89" t="s">
        <v>82</v>
      </c>
      <c r="EQ13" s="90" t="s">
        <v>83</v>
      </c>
      <c r="ER13" s="90" t="s">
        <v>398</v>
      </c>
      <c r="ES13" s="90" t="s">
        <v>501</v>
      </c>
      <c r="ET13" s="91" t="s">
        <v>399</v>
      </c>
      <c r="EU13" s="91" t="s">
        <v>200</v>
      </c>
      <c r="EV13" s="91" t="s">
        <v>935</v>
      </c>
      <c r="EW13" s="91" t="s">
        <v>1427</v>
      </c>
      <c r="EX13" s="91" t="s">
        <v>1428</v>
      </c>
      <c r="EY13" s="91" t="s">
        <v>1429</v>
      </c>
      <c r="EZ13" s="91" t="s">
        <v>1430</v>
      </c>
      <c r="FA13" s="1056" t="s">
        <v>1431</v>
      </c>
      <c r="FB13" s="1056" t="s">
        <v>1432</v>
      </c>
      <c r="FC13" s="91" t="s">
        <v>216</v>
      </c>
      <c r="FD13" s="91" t="s">
        <v>1423</v>
      </c>
      <c r="FE13" s="91" t="s">
        <v>202</v>
      </c>
      <c r="FF13" s="1056" t="s">
        <v>1433</v>
      </c>
      <c r="FG13" s="1056" t="s">
        <v>1434</v>
      </c>
      <c r="FH13" s="1056" t="s">
        <v>1426</v>
      </c>
      <c r="FI13" s="368"/>
      <c r="FJ13" s="63" t="s">
        <v>905</v>
      </c>
      <c r="FK13" s="1089" t="s">
        <v>1495</v>
      </c>
      <c r="FL13" s="88" t="s">
        <v>108</v>
      </c>
      <c r="FM13" s="89" t="s">
        <v>82</v>
      </c>
      <c r="FN13" s="90" t="s">
        <v>83</v>
      </c>
      <c r="FO13" s="90" t="s">
        <v>398</v>
      </c>
      <c r="FP13" s="90" t="s">
        <v>501</v>
      </c>
      <c r="FQ13" s="91" t="s">
        <v>399</v>
      </c>
      <c r="FR13" s="91" t="s">
        <v>200</v>
      </c>
      <c r="FS13" s="91" t="s">
        <v>935</v>
      </c>
      <c r="FT13" s="91" t="s">
        <v>1427</v>
      </c>
      <c r="FU13" s="91" t="s">
        <v>1428</v>
      </c>
      <c r="FV13" s="91" t="s">
        <v>1429</v>
      </c>
      <c r="FW13" s="91" t="s">
        <v>1430</v>
      </c>
      <c r="FX13" s="1056" t="s">
        <v>1431</v>
      </c>
      <c r="FY13" s="1056" t="s">
        <v>1432</v>
      </c>
      <c r="FZ13" s="91" t="s">
        <v>216</v>
      </c>
      <c r="GA13" s="91" t="s">
        <v>1423</v>
      </c>
      <c r="GB13" s="91" t="s">
        <v>202</v>
      </c>
      <c r="GC13" s="1056" t="s">
        <v>1433</v>
      </c>
      <c r="GD13" s="1056" t="s">
        <v>1434</v>
      </c>
      <c r="GE13" s="1056" t="s">
        <v>1426</v>
      </c>
      <c r="GF13" s="368"/>
      <c r="GG13" s="63" t="s">
        <v>905</v>
      </c>
      <c r="GH13" s="1089" t="s">
        <v>1495</v>
      </c>
      <c r="GI13" s="88" t="s">
        <v>108</v>
      </c>
      <c r="GJ13" s="89" t="s">
        <v>82</v>
      </c>
      <c r="GK13" s="90" t="s">
        <v>83</v>
      </c>
      <c r="GL13" s="90" t="s">
        <v>398</v>
      </c>
      <c r="GM13" s="90" t="s">
        <v>501</v>
      </c>
      <c r="GN13" s="91" t="s">
        <v>399</v>
      </c>
      <c r="GO13" s="91" t="s">
        <v>200</v>
      </c>
      <c r="GP13" s="91" t="s">
        <v>935</v>
      </c>
      <c r="GQ13" s="91" t="s">
        <v>1427</v>
      </c>
      <c r="GR13" s="91" t="s">
        <v>1428</v>
      </c>
      <c r="GS13" s="91" t="s">
        <v>1429</v>
      </c>
      <c r="GT13" s="91" t="s">
        <v>1430</v>
      </c>
      <c r="GU13" s="1056" t="s">
        <v>1431</v>
      </c>
      <c r="GV13" s="1056" t="s">
        <v>1432</v>
      </c>
      <c r="GW13" s="91" t="s">
        <v>216</v>
      </c>
      <c r="GX13" s="91" t="s">
        <v>1423</v>
      </c>
      <c r="GY13" s="91" t="s">
        <v>202</v>
      </c>
      <c r="GZ13" s="1056" t="s">
        <v>1433</v>
      </c>
      <c r="HA13" s="1056" t="s">
        <v>1434</v>
      </c>
      <c r="HB13" s="1056" t="s">
        <v>1426</v>
      </c>
      <c r="HC13" s="368"/>
      <c r="HD13" s="63" t="s">
        <v>905</v>
      </c>
      <c r="HE13" s="1089" t="s">
        <v>1495</v>
      </c>
      <c r="HF13" s="88" t="s">
        <v>108</v>
      </c>
      <c r="HG13" s="89" t="s">
        <v>82</v>
      </c>
      <c r="HH13" s="90" t="s">
        <v>83</v>
      </c>
      <c r="HI13" s="90" t="s">
        <v>398</v>
      </c>
      <c r="HJ13" s="90" t="s">
        <v>501</v>
      </c>
      <c r="HK13" s="91" t="s">
        <v>399</v>
      </c>
      <c r="HL13" s="91" t="s">
        <v>200</v>
      </c>
      <c r="HM13" s="91" t="s">
        <v>935</v>
      </c>
      <c r="HN13" s="91" t="s">
        <v>1427</v>
      </c>
      <c r="HO13" s="91" t="s">
        <v>1428</v>
      </c>
      <c r="HP13" s="91" t="s">
        <v>1429</v>
      </c>
      <c r="HQ13" s="91" t="s">
        <v>1430</v>
      </c>
      <c r="HR13" s="1056" t="s">
        <v>1431</v>
      </c>
      <c r="HS13" s="1056" t="s">
        <v>1432</v>
      </c>
      <c r="HT13" s="91" t="s">
        <v>216</v>
      </c>
      <c r="HU13" s="91" t="s">
        <v>1423</v>
      </c>
      <c r="HV13" s="91" t="s">
        <v>202</v>
      </c>
      <c r="HW13" s="1056" t="s">
        <v>1433</v>
      </c>
      <c r="HX13" s="1056" t="s">
        <v>1434</v>
      </c>
      <c r="HY13" s="1056" t="s">
        <v>1426</v>
      </c>
      <c r="HZ13" s="368"/>
      <c r="IA13" s="63" t="s">
        <v>905</v>
      </c>
      <c r="IB13" s="1089" t="s">
        <v>1495</v>
      </c>
      <c r="IC13" s="88" t="s">
        <v>108</v>
      </c>
      <c r="ID13" s="89" t="s">
        <v>82</v>
      </c>
      <c r="IE13" s="90" t="s">
        <v>83</v>
      </c>
      <c r="IF13" s="90" t="s">
        <v>398</v>
      </c>
      <c r="IG13" s="90" t="s">
        <v>501</v>
      </c>
      <c r="IH13" s="375" t="s">
        <v>399</v>
      </c>
      <c r="II13" s="91" t="s">
        <v>200</v>
      </c>
      <c r="IJ13" s="91" t="s">
        <v>935</v>
      </c>
      <c r="IK13" s="91" t="s">
        <v>1427</v>
      </c>
      <c r="IL13" s="91" t="s">
        <v>1428</v>
      </c>
      <c r="IM13" s="91" t="s">
        <v>1429</v>
      </c>
      <c r="IN13" s="91" t="s">
        <v>1430</v>
      </c>
      <c r="IO13" s="1056" t="s">
        <v>1431</v>
      </c>
      <c r="IP13" s="1056" t="s">
        <v>1432</v>
      </c>
      <c r="IQ13" s="91" t="s">
        <v>216</v>
      </c>
      <c r="IR13" s="91" t="s">
        <v>1423</v>
      </c>
      <c r="IS13" s="91" t="s">
        <v>202</v>
      </c>
      <c r="IT13" s="1056" t="s">
        <v>1433</v>
      </c>
      <c r="IU13" s="1056" t="s">
        <v>1434</v>
      </c>
      <c r="IV13" s="1056" t="s">
        <v>1426</v>
      </c>
      <c r="IW13" s="368"/>
      <c r="IX13" s="63" t="s">
        <v>905</v>
      </c>
      <c r="IY13" s="1089" t="s">
        <v>1495</v>
      </c>
      <c r="IZ13" s="88" t="s">
        <v>108</v>
      </c>
      <c r="JA13" s="379" t="s">
        <v>82</v>
      </c>
      <c r="JB13" s="380" t="s">
        <v>83</v>
      </c>
      <c r="JC13" s="380" t="s">
        <v>398</v>
      </c>
      <c r="JD13" s="380" t="s">
        <v>501</v>
      </c>
      <c r="JE13" s="381" t="s">
        <v>399</v>
      </c>
      <c r="JF13" s="382" t="s">
        <v>200</v>
      </c>
      <c r="JG13" s="91" t="s">
        <v>935</v>
      </c>
      <c r="JH13" s="91" t="s">
        <v>1427</v>
      </c>
      <c r="JI13" s="91" t="s">
        <v>1428</v>
      </c>
      <c r="JJ13" s="91" t="s">
        <v>1429</v>
      </c>
      <c r="JK13" s="91" t="s">
        <v>1430</v>
      </c>
      <c r="JL13" s="1056" t="s">
        <v>1431</v>
      </c>
      <c r="JM13" s="1056" t="s">
        <v>1432</v>
      </c>
      <c r="JN13" s="91" t="s">
        <v>216</v>
      </c>
      <c r="JO13" s="91" t="s">
        <v>1423</v>
      </c>
      <c r="JP13" s="91" t="s">
        <v>202</v>
      </c>
      <c r="JQ13" s="1056" t="s">
        <v>1433</v>
      </c>
      <c r="JR13" s="1056" t="s">
        <v>1434</v>
      </c>
      <c r="JS13" s="1056" t="s">
        <v>1426</v>
      </c>
      <c r="JU13" s="88" t="s">
        <v>108</v>
      </c>
      <c r="JV13" s="89" t="s">
        <v>82</v>
      </c>
      <c r="JW13" s="90" t="s">
        <v>83</v>
      </c>
      <c r="JX13" s="90" t="s">
        <v>398</v>
      </c>
      <c r="JY13" s="90" t="s">
        <v>501</v>
      </c>
      <c r="JZ13" s="375" t="s">
        <v>399</v>
      </c>
      <c r="KA13" s="91" t="s">
        <v>200</v>
      </c>
      <c r="KB13" s="368"/>
      <c r="KC13" s="63" t="s">
        <v>905</v>
      </c>
      <c r="KD13" s="88" t="s">
        <v>108</v>
      </c>
      <c r="KE13" s="379" t="s">
        <v>82</v>
      </c>
      <c r="KF13" s="380" t="s">
        <v>83</v>
      </c>
      <c r="KG13" s="380" t="s">
        <v>398</v>
      </c>
      <c r="KH13" s="380" t="s">
        <v>501</v>
      </c>
      <c r="KI13" s="381" t="s">
        <v>399</v>
      </c>
      <c r="KJ13" s="382" t="s">
        <v>200</v>
      </c>
    </row>
    <row r="14" spans="2:296" ht="15.75" thickBot="1" x14ac:dyDescent="0.3">
      <c r="B14" s="100" t="s">
        <v>99</v>
      </c>
      <c r="C14" s="449">
        <f>(BB14+BY14+CV14+DS14+EP14+FM14+GJ14+HG14+ID14+JA14)</f>
        <v>0</v>
      </c>
      <c r="D14" s="465">
        <f>($BC14+$BZ14+$CW14+$DT14+$EQ14+$FN14+$GK14+$HH14+$IE14+$JB14)</f>
        <v>0</v>
      </c>
      <c r="E14" s="465">
        <f>($BD14+$CA14+$CX14+$DU14+$ER14+$FO14+$GL14+$HI14+$IF14+$JC14)</f>
        <v>0</v>
      </c>
      <c r="F14" s="465">
        <f>($BE14+$CB14+$CY14+$DV14+$ES14+$FP14+$GM14+$HJ14+$IG14+$JD14)</f>
        <v>0</v>
      </c>
      <c r="G14" s="466">
        <f>($BF14+$CC14+$CZ14+$DW14+$ET14+$FQ14+$GN14+$HK14+$IH14+$JE14)</f>
        <v>0</v>
      </c>
      <c r="H14" s="465">
        <f>($BG14+$CD14+$DA14+$DX14+$EU14+$FR14+$GO14+$HL14+$II14+$JF14)</f>
        <v>0</v>
      </c>
      <c r="I14" s="1046" t="e">
        <f t="shared" ref="I14:I35" si="0">ROUND(SUM($BB14*BO14+$BY14*CL14+$CV14*DI14+$DS14*EF14+$EP14*FC14+$FM14*FZ14+$GJ14*GW14+$HG14*HT14+$ID14*IQ14+$JA14*JN14)/$C14,2)</f>
        <v>#DIV/0!</v>
      </c>
      <c r="J14" s="1046" t="e">
        <f t="shared" ref="J14:J35" si="1">ROUND(SUM($BB14*BP14+$BY14*CM14+$CV14*DJ14+$DS14*EG14+$EP14*FD14+$FM14*GA14+$GJ14*GX14+$HG14*HU14+$ID14*IR14+$JA14*JO14)/$C14,2)</f>
        <v>#DIV/0!</v>
      </c>
      <c r="K14" s="1046" t="e">
        <f t="shared" ref="K14:K35" si="2">ROUND(SUM($BB14*BQ14+$BY14*CN14+$CV14*DK14+$DS14*EH14+$EP14*FE14+$FM14*GB14+$GJ14*GY14+$HG14*HV14+$ID14*IS14+$JA14*JP14)/$C14,2)</f>
        <v>#DIV/0!</v>
      </c>
      <c r="L14" s="465" t="e">
        <f t="shared" ref="L14:L34" si="3">SUM(AY14*BB14,BV14*BY14,CS14*CV14,DP14*DS14,EM14*EP14,FJ14*FM14,GG14*GJ14,HD14*HG14,IA14*ID14,IX14*JA14)/C14</f>
        <v>#DIV/0!</v>
      </c>
      <c r="M14" s="465" t="e">
        <f>L14/$L$35</f>
        <v>#DIV/0!</v>
      </c>
      <c r="N14" s="1047" t="e">
        <f t="shared" ref="N14:N35" si="4">ROUND(SUM($BB14*BT14+$BY14*CQ14+$CV14*DN14+$DS14*EK14+$EP14*FH14+$FM14*GE14+$GJ14*HB14+$HG14*HY14+$ID14*IV14+$JA14*JS14)/$C14,2)</f>
        <v>#DIV/0!</v>
      </c>
      <c r="P14" t="str">
        <f>'PIM Model'!E10</f>
        <v>INCLUDE</v>
      </c>
      <c r="Q14">
        <f>IFERROR(T14/$T$35,0)</f>
        <v>0</v>
      </c>
      <c r="R14">
        <f>IF(P14="Include",Q14,0)</f>
        <v>0</v>
      </c>
      <c r="S14" s="100" t="s">
        <v>99</v>
      </c>
      <c r="T14" s="108">
        <f>($BB14+$BY14+$CV14+$DS14+$EP14+$FM14+$GJ14+$HG14+$ID14+$JA14)*(1+($V$1/$V$5))</f>
        <v>0</v>
      </c>
      <c r="U14" s="109">
        <f t="shared" ref="U14:U34" si="5">(BC14+BZ14+CW14+DT14+EQ14+FN14+GK14+HH14+IE14+JB14)*(1+($V$1/$V$5))</f>
        <v>0</v>
      </c>
      <c r="V14" s="109">
        <f t="shared" ref="V14:V34" si="6">(BD14+CA14+CX14+DU14+ER14+FO14+GL14+HI14+IF14+JC14)*(1+($V$1/$V$5))</f>
        <v>0</v>
      </c>
      <c r="W14" s="109">
        <f t="shared" ref="W14:W34" si="7">(BE14+CB14+CY14+DV14+ES14+FP14+GM14+HJ14+IG14+JD14)*(1+($V$1/$V$5))</f>
        <v>0</v>
      </c>
      <c r="X14" s="111">
        <f t="shared" ref="X14:X34" si="8">(BF14+CC14+CZ14+DW14+ET14+FQ14+GN14+HK14+IH14+JE14)*(1+($V$1/$V$5))</f>
        <v>0</v>
      </c>
      <c r="Y14" s="114">
        <f>IFERROR(X14/T14,0)</f>
        <v>0</v>
      </c>
      <c r="Z14" s="374"/>
      <c r="AA14" s="100" t="s">
        <v>99</v>
      </c>
      <c r="AB14" s="449">
        <f t="shared" ref="AB14:AD34" si="9">SUMIFS($BB14:$JF14,$BB$12:$JF$12,AB$12)</f>
        <v>0</v>
      </c>
      <c r="AC14" s="450">
        <f t="shared" si="9"/>
        <v>0</v>
      </c>
      <c r="AD14" s="450">
        <f t="shared" si="9"/>
        <v>0</v>
      </c>
      <c r="AE14" s="451">
        <f>IFERROR(AC14/AB14,0)</f>
        <v>0</v>
      </c>
      <c r="AF14" s="452">
        <f>IFERROR(AD14/AB14,0)</f>
        <v>0</v>
      </c>
      <c r="AG14" s="374"/>
      <c r="AH14" s="100" t="s">
        <v>99</v>
      </c>
      <c r="AI14" s="449">
        <f t="shared" ref="AI14:AI34" si="10">SUMIFS($BB14:$JF14,$BB$12:$JF$12,AI$12)</f>
        <v>0</v>
      </c>
      <c r="AJ14" s="450">
        <f>AN14*AI14</f>
        <v>0</v>
      </c>
      <c r="AK14" s="452"/>
      <c r="AL14" s="374"/>
      <c r="AM14" s="1" t="str">
        <f>IF('PIM Ranges'!$AK12='PIM Ranges'!$AW$11,IF($AI14&lt;'PIM Ranges'!$AX$11,"Q1",IF($AI14&lt;'PIM Ranges'!$AY$11,"Q2",IF($AI14&lt;'PIM Ranges'!$AZ$11,"Q3",IF($AI14&lt;'PIM Ranges'!$BA$11,"Q4","Q5")))),IF('PIM Ranges'!$AK12='PIM Ranges'!$AW$12,IF($AI14&lt;'PIM Ranges'!$AX$12,"Q1",IF($AI14&lt;'PIM Ranges'!$AY$12,"Q2",IF($AI14&lt;'PIM Ranges'!$AZ$12,"Q3",IF($AI14&lt;'PIM Ranges'!$BA$12,"Q4","Q5")))),IF('PIM Ranges'!$AK12='PIM Ranges'!$AW$13,IF($AI14&lt;'PIM Ranges'!$AX$13,"Q1",IF($AI14&lt;'PIM Ranges'!$AY$13,"Q2",IF($AI14&lt;'PIM Ranges'!$AZ$13,"Q3",IF($AI14&lt;'PIM Ranges'!$BA$13,"Q4","Q5")))),IF('PIM Ranges'!$AK12='PIM Ranges'!$AW$14,IF($AI14&lt;'PIM Ranges'!$AX$14,"Q1",IF($AI14&lt;'PIM Ranges'!$AY$14,"Q2",IF($AI14&lt;'PIM Ranges'!$AZ$14,"Q3",IF($AI14&lt;'PIM Ranges'!$BA$14,"Q4","Q5")))),IF('PIM Ranges'!$AK12='PIM Ranges'!$AW$15,IF($AI14&lt;'PIM Ranges'!$AX$15,"Q1",IF($AI14&lt;'PIM Ranges'!$AY$15,"Q2",IF($AI14&lt;'PIM Ranges'!$AZ$15,"Q3",IF($AI14&lt;'PIM Ranges'!$BA$15,"Q4","Q5")))),IF('PIM Ranges'!$AK12='PIM Ranges'!$AW$16,IF($AI14&lt;'PIM Ranges'!$AX$16,"Q1",IF($AI14&lt;'PIM Ranges'!$AY$16,"Q2",IF($AI14&lt;'PIM Ranges'!$AZ$16,"Q3",IF($AI14&lt;'PIM Ranges'!$BA$16,"Q4","Q5")))),IF('PIM Ranges'!$AK12='PIM Ranges'!$AW$17,IF($AI14&lt;'PIM Ranges'!$AX$17,"Q1",IF($AI14&lt;'PIM Ranges'!$AY$17,"Q2",IF($AI14&lt;'PIM Ranges'!$AZ$17,"Q3",IF($AI14&lt;'PIM Ranges'!$BA$17,"Q4","Q5")))),IF('PIM Ranges'!$AK12='PIM Ranges'!$AW$18,IF($AI14&lt;'PIM Ranges'!$AX$18,"Q1",IF($AI14&lt;'PIM Ranges'!$AY$18,"Q2",IF($AI14&lt;'PIM Ranges'!$AZ$18,"Q3",IF($AI14&lt;'PIM Ranges'!$BA$18,"Q4","Q5")))),IF('PIM Ranges'!$AK12='PIM Ranges'!$AW$19,IF($AI14&lt;'PIM Ranges'!$AX$19,"Q1",IF($AI14&lt;'PIM Ranges'!$AY$19,"Q2",IF($AI14&lt;'PIM Ranges'!$AZ$19,"Q3",IF($AI14&lt;'PIM Ranges'!$BA$19,"Q4","Q5")))),IF('PIM Ranges'!$AK12='PIM Ranges'!$AW$20,IF($AI14&lt;'PIM Ranges'!$AX$20,"Q1",IF($AI14&lt;'PIM Ranges'!$AY$20,"Q2",IF($AI14&lt;'PIM Ranges'!$AZ$20,"Q3",IF($AI14&lt;'PIM Ranges'!$BA$20,"Q4","Q5")))),IF('PIM Ranges'!$AK12='PIM Ranges'!$AW$21,IF($AI14&lt;'PIM Ranges'!$AX$21,"Q1",IF($AI14&lt;'PIM Ranges'!$AY$21,"Q2",IF($AI14&lt;'PIM Ranges'!$AZ$21,"Q3",IF($AI14&lt;'PIM Ranges'!$BA$21,"Q4","Q5")))),IF('PIM Ranges'!$AK12='PIM Ranges'!$AW$22,IF($AI14&lt;'PIM Ranges'!$AX$22,"Q1",IF($AI14&lt;'PIM Ranges'!$AY$22,"Q2",IF($AI14&lt;'PIM Ranges'!$AZ$22,"Q3",IF($AI14&lt;'PIM Ranges'!$BA$22,"Q4","Q5")))),IF('PIM Ranges'!$AK12='PIM Ranges'!$AW$23,IF($AI14&lt;'PIM Ranges'!$AX$23,"Q1",IF($AI14&lt;'PIM Ranges'!$AY$23,"Q2",IF($AI14&lt;'PIM Ranges'!$AZ$23,"Q3",IF($AI14&lt;'PIM Ranges'!$BA$23,"Q4","Q5")))),IF('PIM Ranges'!$AK12='PIM Ranges'!$AW$24,IF($AI14&lt;'PIM Ranges'!$AX$24,"Q1",IF($AI14&lt;'PIM Ranges'!$AY$24,"Q2",IF($AI14&lt;'PIM Ranges'!$AZ$24,"Q3",IF($AI14&lt;'PIM Ranges'!$BA$24,"Q4","Q5")))),IF('PIM Ranges'!$AK12='PIM Ranges'!$AW$25,IF($AI14&lt;'PIM Ranges'!$AX$25,"Q1",IF($AI14&lt;'PIM Ranges'!$AY$25,"Q2",IF($AI14&lt;'PIM Ranges'!$AZ$25,"Q3",IF($AI14&lt;'PIM Ranges'!$BA$25,"Q4","Q5")))),IF('PIM Ranges'!$AK12='PIM Ranges'!$AW$26,IF($AI14&lt;'PIM Ranges'!$AX$26,"Q1",IF($AI14&lt;'PIM Ranges'!$AY$26,"Q2",IF($AI14&lt;'PIM Ranges'!$AZ$26,"Q3",IF($AI14&lt;'PIM Ranges'!$BA$26,"Q4","Q5")))),IF('PIM Ranges'!$AK12='PIM Ranges'!$AW$27,IF($AI14&lt;'PIM Ranges'!$AX$27,"Q1",IF($AI14&lt;'PIM Ranges'!$AY$27,"Q2",IF($AI14&lt;'PIM Ranges'!$AZ$27,"Q3",IF($AI14&lt;'PIM Ranges'!$BA$27,"Q4","Q5")))),IF('PIM Ranges'!$AK12='PIM Ranges'!$AW$28,IF($AI14&lt;'PIM Ranges'!$AX$28,"Q1",IF($AI14&lt;'PIM Ranges'!$AY$28,"Q2",IF($AI14&lt;'PIM Ranges'!$AZ$28,"Q3",IF($AI14&lt;'PIM Ranges'!$BA$28,"Q4","Q5")))),IF('PIM Ranges'!$AK12='PIM Ranges'!$AW$29,IF($AI14&lt;'PIM Ranges'!$AX$29,"Q1",IF($AI14&lt;'PIM Ranges'!$AY$29,"Q2",IF($AI14&lt;'PIM Ranges'!$AZ$29,"Q3",IF($AI14&lt;'PIM Ranges'!$BA$29,"Q4","Q5")))),IF('PIM Ranges'!$AK12='PIM Ranges'!$AW$30,IF($AI14&lt;'PIM Ranges'!$AX$30,"Q1",IF($AI14&lt;'PIM Ranges'!$AY$30,"Q2",IF($AI14&lt;'PIM Ranges'!$AZ$30,"Q3",IF($AI14&lt;'PIM Ranges'!$BA$30,"Q4","Q5")))),IF('PIM Ranges'!$AK12='PIM Ranges'!$AW$31,IF($AI14&lt;'PIM Ranges'!$AX$31,"Q1",IF($AI14&lt;'PIM Ranges'!$AY$31,"Q2",IF($AI14&lt;'PIM Ranges'!$AZ$31,"Q3",IF($AI14&lt;'PIM Ranges'!$BA$31,"Q4","Q5")))),IF('PIM Ranges'!$AK12='PIM Ranges'!$AW$32,IF($AI14&lt;'PIM Ranges'!$AX$32,"Q1",IF($AI14&lt;'PIM Ranges'!$AY$32,"Q2",IF($AI14&lt;'PIM Ranges'!$AZ$32,"Q3",IF($AI14&lt;'PIM Ranges'!$BA$32,"Q4","Q5"))))))))))))))))))))))))))</f>
        <v>Q1</v>
      </c>
      <c r="AN14" s="374">
        <f>VLOOKUP($AH14&amp;$AM14,'IMargin Quartiles'!$A:$F,6,FALSE)</f>
        <v>0.14000000000000001</v>
      </c>
      <c r="AO14" s="374"/>
      <c r="AP14"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Q14" s="374" t="e">
        <f>$N14</f>
        <v>#DIV/0!</v>
      </c>
      <c r="AR14">
        <f>'PIM Model'!C10</f>
        <v>0</v>
      </c>
      <c r="AS14" s="374"/>
      <c r="AT14" s="374"/>
      <c r="AU14" s="374" t="e">
        <f>IF($AR14="AVG",IFERROR((AC14+AJ14)/(AB14+AI14),AQ14),(AC14+AJ14)/(AB14+AI14))</f>
        <v>#DIV/0!</v>
      </c>
      <c r="AV14" s="374"/>
      <c r="AW14" s="374"/>
      <c r="AX14" s="106">
        <v>3</v>
      </c>
      <c r="AY14" s="18">
        <f t="array" ref="AY14">IFERROR(IF($BL14="SEGMENT",INDEX('Margin Guidence Table'!$A$1:$AG$10000,MATCH(1,('Margin Guidence Table'!$A$1:$A$10000=$BJ14)*('Margin Guidence Table'!$I$1:$I$10000&lt;=ROUND($BB$3,0))*('Margin Guidence Table'!$J$1:$J$10000&gt;=ROUND($BB$3,0)),0),MATCH("PCT_SALES",'Margin Guidence Table'!$A$1:$AG$1,0)),INDEX('Margin Guidence Table'!$A$1:$AG$10000,MATCH(1,('Margin Guidence Table'!$A$1:$A$10000=$BJ14)*('Margin Guidence Table'!$I$1:$I$10000&lt;=ROUND($BB$3,0))*('Margin Guidence Table'!$J$1:$J$10000&gt;=ROUND($BB$3,0)),0),MATCH("DEFAULT_PCT_SALES",'Margin Guidence Table'!$A$1:$AG$1,0))),0)</f>
        <v>0</v>
      </c>
      <c r="AZ14" s="370" t="e">
        <f>AY14/$AY$35</f>
        <v>#DIV/0!</v>
      </c>
      <c r="BA14" s="100" t="s">
        <v>99</v>
      </c>
      <c r="BB14" s="92">
        <f>IFERROR(IF(AND($BB$2&lt;&gt;"Enter Spend&gt;&gt;&gt;",BC2="EXISTING"),SUMIFS('Existing Customers'!$Q:$Q,'Existing Customers'!$A:$A,$BB$1,'Existing Customers'!$H:$H,$BA14)*$BB$4,$BB$3*$AZ14),0)</f>
        <v>0</v>
      </c>
      <c r="BC14" s="93">
        <f>IFERROR(IF(AND($BB$2&lt;&gt;"Enter Spend&gt;&gt;&gt;",BC2="EXISTING"),SUMIFS('Existing Customers'!$N:$N,'Existing Customers'!$A:$A,$BB$1,'Existing Customers'!$H:$H,$BA14)*$BB$4,$BB14/$BM14),0)</f>
        <v>0</v>
      </c>
      <c r="BD14" s="93">
        <f>IFERROR(IF(AND($BB$2&lt;&gt;"Enter Spend&gt;&gt;&gt;",BC2="EXISTING"),SUMIFS('Existing Customers'!$O:$O,'Existing Customers'!$H:$H,$BA14,'Existing Customers'!$A:$A,$BB$1)*$BB$4,$BC14*$BB$8),0)</f>
        <v>0</v>
      </c>
      <c r="BE14" s="93">
        <f>IFERROR(IF(AND($BB$2&lt;&gt;"Enter Spend&gt;&gt;&gt;",BC2="EXISTING"),SUMIFS('Existing Customers'!$P:$P,'Existing Customers'!$A:$A,$BB$1,'Existing Customers'!$H:$H,$BA14)*$BB$4,$BB14/$BN14),0)</f>
        <v>0</v>
      </c>
      <c r="BF14" s="376">
        <f>IFERROR(IF(AND($BB$2&lt;&gt;"Enter Spend&gt;&gt;&gt;",BC2="EXISTING"),SUMIFS('Existing Customers'!$V:$V,'Existing Customers'!$H:$H,$BA14,'Existing Customers'!$A:$A,$BB$1)*$BB$4,0),0)</f>
        <v>0</v>
      </c>
      <c r="BG14" s="94">
        <f>IFERROR(IF(AND($BB$2&lt;&gt;"Enter Spend&gt;&gt;&gt;",BC2="EXISTING"),SUMIFS('Existing Customers'!$R:$R,'Existing Customers'!$H:$H,$BA14,'Existing Customers'!$A:$A,$BB$1)*$BB$4,0),0)</f>
        <v>0</v>
      </c>
      <c r="BH14" s="94">
        <f>IFERROR(IF(AND($BB$2&lt;&gt;"Enter Spend&gt;&gt;&gt;",BC2="EXISTING"),SUMIFS('Existing Customers'!$S:$S,'Existing Customers'!$H:$H,$BA14,'Existing Customers'!$A:$A,$BB$1),BR14*BB14),0)</f>
        <v>0</v>
      </c>
      <c r="BI14" s="94">
        <f>IFERROR(IF(AND($BB$2&lt;&gt;"Enter Spend&gt;&gt;&gt;",BC2="EXISTING"),SUMIFS('Existing Customers'!$U:$U,'Existing Customers'!$H:$H,$BA14,'Existing Customers'!$A:$A,$BB$1),BS14*BB14),0)</f>
        <v>0</v>
      </c>
      <c r="BJ14" s="1052" t="e">
        <f>_xlfn.CONCAT('Customer Inputs'!$AG$6,"_",BA14)</f>
        <v>#N/A</v>
      </c>
      <c r="BK14" s="1053">
        <f t="array" ref="BK14">IFERROR(INDEX('Margin Guidence Table'!$A$1:$AG$10000,MATCH(1,('Margin Guidence Table'!$A$1:$A$10000=$BJ14)*('Margin Guidence Table'!$I$1:$I$10000&lt;=ROUND($BB$3,0))*('Margin Guidence Table'!$J$1:$J$10000&gt;=ROUND($BB$3,0)),0),MATCH("DATA_POINTS",'Margin Guidence Table'!$A$1:$AG$1,0)),0)</f>
        <v>0</v>
      </c>
      <c r="BL14" s="1050" t="str">
        <f>IF(BK14&gt;15,"SEGMENT","DEFAULT")</f>
        <v>DEFAULT</v>
      </c>
      <c r="BM14" s="1050">
        <f t="array" ref="BM14">IFERROR(IF($BL14="SEGMENT",INDEX('Margin Guidence Table'!$A$1:$AG$10000,MATCH(1,('Margin Guidence Table'!$A$1:$A$10000=$BJ14)*('Margin Guidence Table'!$I$1:$I$10000&lt;=ROUND($BB$3,0))*('Margin Guidence Table'!$J$1:$J$10000&gt;=ROUND($BB$3,0)),0),MATCH("SALES_CASE",'Margin Guidence Table'!$A$1:$AG$1,0)),INDEX('Margin Guidence Table'!$A$1:$AG$10000,MATCH(1,('Margin Guidence Table'!$A$1:$A$10000=$BJ14)*('Margin Guidence Table'!$I$1:$I$10000&lt;=ROUND($BB$3,0))*('Margin Guidence Table'!$J$1:$J$10000&gt;=ROUND($BB$3,0)),0),MATCH("DEFAULT_SALES_CASE",'Margin Guidence Table'!$A$1:$AG$1,0))),0)</f>
        <v>0</v>
      </c>
      <c r="BN14" s="1050">
        <f t="array" ref="BN14">IFERROR(IF($BL14="SEGMENT",INDEX('Margin Guidence Table'!$A$1:$AG$10000,MATCH(1,('Margin Guidence Table'!$A$1:$A$10000=$BJ14)*('Margin Guidence Table'!$I$1:$I$10000&lt;=ROUND($BB$3,0))*('Margin Guidence Table'!$J$1:$J$10000&gt;=ROUND($BB$3,0)),0),MATCH("SALES_LBS",'Margin Guidence Table'!$A$1:$AG$1,0)),INDEX('Margin Guidence Table'!$A$1:$AG$10000,MATCH(1,('Margin Guidence Table'!$A$1:$A$10000=$BJ14)*('Margin Guidence Table'!$I$1:$I$10000&lt;=ROUND($BB$3,0))*('Margin Guidence Table'!$J$1:$J$10000&gt;=ROUND($BB$3,0)),0),MATCH("DEFAULT_SALES_LBS",'Margin Guidence Table'!$A$1:$AG$1,0))),0)</f>
        <v>0</v>
      </c>
      <c r="BO14" s="1054">
        <f t="array" ref="BO14">IFERROR(IF($BL14="SEGMENT",INDEX('Margin Guidence Table'!$A$1:$AG$10000,MATCH(1,('Margin Guidence Table'!$A$1:$A$10000=$BJ14)*('Margin Guidence Table'!$I$1:$I$10000&lt;=ROUND($BB$3,0))*('Margin Guidence Table'!$J$1:$J$10000&gt;=ROUND($BB$3,0)),0),MATCH("MDA_MIN_MARGIN_GUIDENCE",'Margin Guidence Table'!$A$1:$AG$1,0)),INDEX('Margin Guidence Table'!$A$1:$AG$10000,MATCH(1,('Margin Guidence Table'!$A$1:$A$10000=$BJ14)*('Margin Guidence Table'!$I$1:$I$10000&lt;=ROUND($BB$3,0))*('Margin Guidence Table'!$J$1:$J$10000&gt;=ROUND($BB$3,0)),0),MATCH("DEFAULT_MDA_MIN_MARGIN_GUIDENCE",'Margin Guidence Table'!$A$1:$AG$1,0))),0)</f>
        <v>0</v>
      </c>
      <c r="BP14" s="1054">
        <f t="array" ref="BP14">IFERROR(IF($BL14="SEGMENT",INDEX('Margin Guidence Table'!$A$1:$AG$10000,MATCH(1,('Margin Guidence Table'!$A$1:$A$10000=$BJ14)*('Margin Guidence Table'!$I$1:$I$10000&lt;=ROUND($BB$3,0))*('Margin Guidence Table'!$J$1:$J$10000&gt;=ROUND($BB$3,0)),0),MATCH("MDA_MEDIAN_MARGIN_GUIDENCE",'Margin Guidence Table'!$A$1:$AG$1,0)),INDEX('Margin Guidence Table'!$A$1:$AG$10000,MATCH(1,('Margin Guidence Table'!$A$1:$A$10000=$BJ14)*('Margin Guidence Table'!$I$1:$I$10000&lt;=ROUND($BB$3,0))*('Margin Guidence Table'!$J$1:$J$10000&gt;=ROUND($BB$3,0)),0),MATCH("DEFAULT_MDA_MEDIAN_MARGIN_GUIDENCE",'Margin Guidence Table'!$A$1:$AG$1,0))),0)</f>
        <v>0</v>
      </c>
      <c r="BQ14" s="1054">
        <f t="array" ref="BQ14">IFERROR(IF($BL14="SEGMENT",INDEX('Margin Guidence Table'!$A$1:$AG$10000,MATCH(1,('Margin Guidence Table'!$A$1:$A$10000=$BJ14)*('Margin Guidence Table'!$I$1:$I$10000&lt;=ROUND($BB$3,0))*('Margin Guidence Table'!$J$1:$J$10000&gt;=ROUND($BB$3,0)),0),MATCH("MDA_MAX_MARGIN_GUIDENCE",'Margin Guidence Table'!$A$1:$AG$1,0)),INDEX('Margin Guidence Table'!$A$1:$AG$10000,MATCH(1,('Margin Guidence Table'!$A$1:$A$10000=$BJ14)*('Margin Guidence Table'!$I$1:$I$10000&lt;=ROUND($BB$3,0))*('Margin Guidence Table'!$J$1:$J$10000&gt;=ROUND($BB$3,0)),0),MATCH("DEFAULT_MDA_MAX_MARGIN_GUIDENCE",'Margin Guidence Table'!$A$1:$AG$1,0))),0)</f>
        <v>0</v>
      </c>
      <c r="BR14" s="1054">
        <f t="array" ref="BR14">IFERROR(IF($BL14="SEGMENT",INDEX('Margin Guidence Table'!$A$1:$AG$10000,MATCH(1,('Margin Guidence Table'!$A$1:$A$10000=$BJ14)*('Margin Guidence Table'!$I$1:$I$10000&lt;=ROUND($BB$3,0))*('Margin Guidence Table'!$J$1:$J$10000&gt;=ROUND($BB$3,0)),0),MATCH("PA_PCT_SALES",'Margin Guidence Table'!$A$1:$AG$1,0)),INDEX('Margin Guidence Table'!$A$1:$AG$10000,MATCH(1,('Margin Guidence Table'!$A$1:$A$10000=$BJ14)*('Margin Guidence Table'!$I$1:$I$10000&lt;=ROUND($BB$3,0))*('Margin Guidence Table'!$J$1:$J$10000&gt;=ROUND($BB$3,0)),0),MATCH("DEFAULT_PA_PCT_SALES",'Margin Guidence Table'!$A$1:$AG$1,0))),0)</f>
        <v>0</v>
      </c>
      <c r="BS14" s="1054">
        <f t="array" ref="BS14">IFERROR(IF($BL14="SEGMENT",INDEX('Margin Guidence Table'!$A$1:$AG$10000,MATCH(1,('Margin Guidence Table'!$A$1:$A$10000=$BJ14)*('Margin Guidence Table'!$I$1:$I$10000&lt;=ROUND($BB$3,0))*('Margin Guidence Table'!$J$1:$J$10000&gt;=ROUND($BB$3,0)),0),MATCH("SELF_FUND_PCT_SALES",'Margin Guidence Table'!$A$1:$AG$1,0)),INDEX('Margin Guidence Table'!$A$1:$AG$10000,MATCH(1,('Margin Guidence Table'!$A$1:$A$10000=$BJ14)*('Margin Guidence Table'!$I$1:$I$10000&lt;=ROUND($BB$3,0))*('Margin Guidence Table'!$J$1:$J$10000&gt;=ROUND($BB$3,0)),0),MATCH("DEFAULT_SELF_FUND_PCT_SALES",'Margin Guidence Table'!$A$1:$AG$1,0))),0)</f>
        <v>0</v>
      </c>
      <c r="BT14" s="1054">
        <f t="array" ref="BT14">IFERROR(IF($BL14="SEGMENT",INDEX('Margin Guidence Table'!$A$1:$AG$10000,MATCH(1,('Margin Guidence Table'!$A$1:$A$10000=$BJ14)*('Margin Guidence Table'!$I$1:$I$10000&lt;=ROUND($BB$3,0))*('Margin Guidence Table'!$J$1:$J$10000&gt;=ROUND($BB$3,0)),0),MATCH("CIA_MEDIAN_MARGIN_GUIDENCE",'Margin Guidence Table'!$A$1:$AG$1,0)),INDEX('Margin Guidence Table'!$A$1:$AG$10000,MATCH(1,('Margin Guidence Table'!$A$1:$A$10000=$BJ14)*('Margin Guidence Table'!$I$1:$I$10000&lt;=ROUND($BB$3,0))*('Margin Guidence Table'!$J$1:$J$10000&gt;=ROUND($BB$3,0)),0),MATCH("DEFAULT_CIA_MEDIAN_MARGIN_GUIDENCE",'Margin Guidence Table'!$A$1:$AG$1,0))),0)</f>
        <v>0</v>
      </c>
      <c r="BU14" s="127"/>
      <c r="BV14" s="18">
        <f t="array" ref="BV14">IFERROR(IF($CI14="SEGMENT",INDEX('Margin Guidence Table'!$A$1:$AG$10000,MATCH(1,('Margin Guidence Table'!$A$1:$A$10000=$CG14)*('Margin Guidence Table'!$I$1:$I$10000&lt;=ROUND($BY$3,0))*('Margin Guidence Table'!$J$1:$J$10000&gt;=ROUND($BY$3,0)),0),MATCH("PCT_SALES",'Margin Guidence Table'!$A$1:$AG$1,0)),INDEX('Margin Guidence Table'!$A$1:$AG$10000,MATCH(1,('Margin Guidence Table'!$A$1:$A$10000=$CG14)*('Margin Guidence Table'!$I$1:$I$10000&lt;=ROUND($BY$3,0))*('Margin Guidence Table'!$J$1:$J$10000&gt;=ROUND($BY$3,0)),0),MATCH("DEFAULT_PCT_SALES",'Margin Guidence Table'!$A$1:$AG$1,0))),0)</f>
        <v>0</v>
      </c>
      <c r="BW14" s="370" t="e">
        <f>BV14/$BV$35</f>
        <v>#DIV/0!</v>
      </c>
      <c r="BX14" s="100" t="s">
        <v>99</v>
      </c>
      <c r="BY14" s="92">
        <f>IFERROR(IF(AND($BY$2&lt;&gt;"Enter Spend&gt;&gt;&gt;",BZ2="EXISTING"),SUMIFS('Existing Customers'!$Q:$Q,'Existing Customers'!$A:$A,$BY$1,'Existing Customers'!$H:$H,$BX14)*$BY$4,$BY$3*$BW14),0)</f>
        <v>0</v>
      </c>
      <c r="BZ14" s="87">
        <f>IFERROR(IF(AND($BY$2&lt;&gt;"Enter Spend&gt;&gt;&gt;",BZ2="EXISTING"),SUMIFS('Existing Customers'!$N:$N,'Existing Customers'!$A:$A,$BY$1,'Existing Customers'!$H:$H,$BX14)*$BY$4,$BY14/$CJ14),0)</f>
        <v>0</v>
      </c>
      <c r="CA14" s="93">
        <f>IFERROR(IF(AND($BY$2&lt;&gt;"Enter Spend&gt;&gt;&gt;",BZ2="EXISTING"),SUMIFS('Existing Customers'!$O:$O,'Existing Customers'!$H:$H,$BX14,'Existing Customers'!$A:$A,$BY$1)*$BY$4,$BZ14*$BY$8),0)</f>
        <v>0</v>
      </c>
      <c r="CB14" s="93">
        <f>IFERROR(IF(AND($BY$2&lt;&gt;"Enter Spend&gt;&gt;&gt;",BZ2="EXISTING"),SUMIFS('Existing Customers'!$P:$P,'Existing Customers'!$A:$A,$BY$1,'Existing Customers'!$H:$H,$BX14)*$BY$4,$BY14/$CK14),0)</f>
        <v>0</v>
      </c>
      <c r="CC14" s="94">
        <f>IFERROR(IF(AND($BY$2&lt;&gt;"Enter Spend&gt;&gt;&gt;",BZ2="EXISTING"),SUMIFS('Existing Customers'!$V:$V,'Existing Customers'!$H:$H,$BX14,'Existing Customers'!$A:$A,$BY$1)*$BY$4,0),0)</f>
        <v>0</v>
      </c>
      <c r="CD14" s="94">
        <f>IFERROR(IF(AND($BY$2&lt;&gt;"Enter Spend&gt;&gt;&gt;",BZ2="EXISTING"),SUMIFS('Existing Customers'!$R:$R,'Existing Customers'!$H:$H,$BX14,'Existing Customers'!$A:$A,$BY$1)*$BY$4,0),0)</f>
        <v>0</v>
      </c>
      <c r="CE14" s="1050">
        <f>IFERROR(IF(AND($BY$2&lt;&gt;"Enter Spend&gt;&gt;&gt;",BZ2="EXISTING"),SUMIFS('Existing Customers'!$S:$S,'Existing Customers'!$H:$H,$BX14,'Existing Customers'!$A:$A,$BY$1),CO14*BY14),0)</f>
        <v>0</v>
      </c>
      <c r="CF14" s="1050">
        <f>IFERROR(IF(AND($BY$2&lt;&gt;"Enter Spend&gt;&gt;&gt;",BZ2="EXISTING"),SUMIFS('Existing Customers'!$U:$U,'Existing Customers'!$H:$H,$BX14,'Existing Customers'!$A:$A,$BY$1),CP14*BY14),0)</f>
        <v>0</v>
      </c>
      <c r="CG14" s="1053" t="e">
        <f>_xlfn.CONCAT('Customer Inputs'!$AG$7,"_",BX14)</f>
        <v>#N/A</v>
      </c>
      <c r="CH14" s="1053">
        <f t="array" ref="CH14">IFERROR(INDEX('Margin Guidence Table'!$A$1:$AG$10000,MATCH(1,('Margin Guidence Table'!$A$1:$A$10000=$CG14)*('Margin Guidence Table'!$I$1:$I$10000&lt;=ROUND($BY$3,0))*('Margin Guidence Table'!$J$1:$J$10000&gt;=ROUND($BY$3,0)),0),MATCH("DATA_POINTS",'Margin Guidence Table'!$A$1:$AG$1,0)),0)</f>
        <v>0</v>
      </c>
      <c r="CI14" s="1050" t="str">
        <f>IF(CH14&gt;15,"SEGMENT","DEFAULT")</f>
        <v>DEFAULT</v>
      </c>
      <c r="CJ14" s="1050">
        <f t="array" ref="CJ14">IFERROR(IF($CI14="SEGMENT",INDEX('Margin Guidence Table'!$A$1:$AG$10000,MATCH(1,('Margin Guidence Table'!$A$1:$A$10000=$CG14)*('Margin Guidence Table'!$I$1:$I$10000&lt;=ROUND($BY$3,0))*('Margin Guidence Table'!$J$1:$J$10000&gt;=ROUND($BY$3,0)),0),MATCH("SALES_CASE",'Margin Guidence Table'!$A$1:$AG$1,0)),INDEX('Margin Guidence Table'!$A$1:$AG$10000,MATCH(1,('Margin Guidence Table'!$A$1:$A$10000=$CG14)*('Margin Guidence Table'!$I$1:$I$10000&lt;=ROUND($BY$3,0))*('Margin Guidence Table'!$J$1:$J$10000&gt;=ROUND($BY$3,0)),0),MATCH("DEFAULT_SALES_CASE",'Margin Guidence Table'!$A$1:$AG$1,0))),0)</f>
        <v>0</v>
      </c>
      <c r="CK14" s="1050">
        <f t="array" ref="CK14">IFERROR(IF($CI14="SEGMENT",INDEX('Margin Guidence Table'!$A$1:$AG$10000,MATCH(1,('Margin Guidence Table'!$A$1:$A$10000=$CG14)*('Margin Guidence Table'!$I$1:$I$10000&lt;=ROUND($BY$3,0))*('Margin Guidence Table'!$J$1:$J$10000&gt;=ROUND($BY$3,0)),0),MATCH("SALES_LBS",'Margin Guidence Table'!$A$1:$AG$1,0)),INDEX('Margin Guidence Table'!$A$1:$AG$10000,MATCH(1,('Margin Guidence Table'!$A$1:$A$10000=$CG14)*('Margin Guidence Table'!$I$1:$I$10000&lt;=ROUND($BY$3,0))*('Margin Guidence Table'!$J$1:$J$10000&gt;=ROUND($BY$3,0)),0),MATCH("DEFAULT_SALES_LBS",'Margin Guidence Table'!$A$1:$AG$1,0))),0)</f>
        <v>0</v>
      </c>
      <c r="CL14" s="1054">
        <f t="array" ref="CL14">IFERROR(IF($CI14="SEGMENT",INDEX('Margin Guidence Table'!$A$1:$AG$10000,MATCH(1,('Margin Guidence Table'!$A$1:$A$10000=$CG14)*('Margin Guidence Table'!$I$1:$I$10000&lt;=ROUND($BY$3,0))*('Margin Guidence Table'!$J$1:$J$10000&gt;=ROUND($BY$3,0)),0),MATCH("MDA_MIN_MARGIN_GUIDENCE",'Margin Guidence Table'!$A$1:$AG$1,0)),INDEX('Margin Guidence Table'!$A$1:$AG$10000,MATCH(1,('Margin Guidence Table'!$A$1:$A$10000=$CG14)*('Margin Guidence Table'!$I$1:$I$10000&lt;=ROUND($BY$3,0))*('Margin Guidence Table'!$J$1:$J$10000&gt;=ROUND($BY$3,0)),0),MATCH("DEFAULT_MDA_MIN_MARGIN_GUIDENCE",'Margin Guidence Table'!$A$1:$AG$1,0))),0)</f>
        <v>0</v>
      </c>
      <c r="CM14" s="1054">
        <f t="array" ref="CM14">IFERROR(IF($CI14="SEGMENT",INDEX('Margin Guidence Table'!$A$1:$AG$10000,MATCH(1,('Margin Guidence Table'!$A$1:$A$10000=$CG14)*('Margin Guidence Table'!$I$1:$I$10000&lt;=ROUND($BY$3,0))*('Margin Guidence Table'!$J$1:$J$10000&gt;=ROUND($BY$3,0)),0),MATCH("MDA_MEDIAN_MARGIN_GUIDENCE",'Margin Guidence Table'!$A$1:$AG$1,0)),INDEX('Margin Guidence Table'!$A$1:$AG$10000,MATCH(1,('Margin Guidence Table'!$A$1:$A$10000=$CG14)*('Margin Guidence Table'!$I$1:$I$10000&lt;=ROUND($BY$3,0))*('Margin Guidence Table'!$J$1:$J$10000&gt;=ROUND($BY$3,0)),0),MATCH("DEFAULT_MDA_MEDIAN_MARGIN_GUIDENCE",'Margin Guidence Table'!$A$1:$AG$1,0))),0)</f>
        <v>0</v>
      </c>
      <c r="CN14" s="1054">
        <f t="array" ref="CN14">IFERROR(IF($CI14="SEGMENT",INDEX('Margin Guidence Table'!$A$1:$AG$10000,MATCH(1,('Margin Guidence Table'!$A$1:$A$10000=$CG14)*('Margin Guidence Table'!$I$1:$I$10000&lt;=ROUND($BY$3,0))*('Margin Guidence Table'!$J$1:$J$10000&gt;=ROUND($BY$3,0)),0),MATCH("MDA_MAX_MARGIN_GUIDENCE",'Margin Guidence Table'!$A$1:$AG$1,0)),INDEX('Margin Guidence Table'!$A$1:$AG$10000,MATCH(1,('Margin Guidence Table'!$A$1:$A$10000=$CG14)*('Margin Guidence Table'!$I$1:$I$10000&lt;=ROUND($BY$3,0))*('Margin Guidence Table'!$J$1:$J$10000&gt;=ROUND($BY$3,0)),0),MATCH("DEFAULT_MDA_MAX_MARGIN_GUIDENCE",'Margin Guidence Table'!$A$1:$AG$1,0))),0)</f>
        <v>0</v>
      </c>
      <c r="CO14" s="1054">
        <f t="array" ref="CO14">IFERROR(IF($CI14="SEGMENT",INDEX('Margin Guidence Table'!$A$1:$AG$10000,MATCH(1,('Margin Guidence Table'!$A$1:$A$10000=$CG14)*('Margin Guidence Table'!$I$1:$I$10000&lt;=ROUND($BY$3,0))*('Margin Guidence Table'!$J$1:$J$10000&gt;=ROUND($BY$3,0)),0),MATCH("PA_PCT_SALES",'Margin Guidence Table'!$A$1:$AG$1,0)),INDEX('Margin Guidence Table'!$A$1:$AG$10000,MATCH(1,('Margin Guidence Table'!$A$1:$A$10000=$CG14)*('Margin Guidence Table'!$I$1:$I$10000&lt;=ROUND($BY$3,0))*('Margin Guidence Table'!$J$1:$J$10000&gt;=ROUND($BY$3,0)),0),MATCH("DEFAULT_PA_PCT_SALES",'Margin Guidence Table'!$A$1:$AG$1,0))),0)</f>
        <v>0</v>
      </c>
      <c r="CP14" s="1054">
        <f t="array" ref="CP14">IFERROR(IF($CI14="SEGMENT",INDEX('Margin Guidence Table'!$A$1:$AG$10000,MATCH(1,('Margin Guidence Table'!$A$1:$A$10000=$CG14)*('Margin Guidence Table'!$I$1:$I$10000&lt;=ROUND($BY$3,0))*('Margin Guidence Table'!$J$1:$J$10000&gt;=ROUND($BY$3,0)),0),MATCH("SELF_FUND_PCT_SALES",'Margin Guidence Table'!$A$1:$AG$1,0)),INDEX('Margin Guidence Table'!$A$1:$AG$10000,MATCH(1,('Margin Guidence Table'!$A$1:$A$10000=$CG14)*('Margin Guidence Table'!$I$1:$I$10000&lt;=ROUND($BY$3,0))*('Margin Guidence Table'!$J$1:$J$10000&gt;=ROUND($BY$3,0)),0),MATCH("DEFAULT_SELF_FUND_PCT_SALES",'Margin Guidence Table'!$A$1:$AG$1,0))),0)</f>
        <v>0</v>
      </c>
      <c r="CQ14" s="1054">
        <f t="array" ref="CQ14">IFERROR(IF($CI14="SEGMENT",INDEX('Margin Guidence Table'!$A$1:$AG$10000,MATCH(1,('Margin Guidence Table'!$A$1:$A$10000=$CG14)*('Margin Guidence Table'!$I$1:$I$10000&lt;=ROUND($BY$3,0))*('Margin Guidence Table'!$J$1:$J$10000&gt;=ROUND($BY$3,0)),0),MATCH("CIA_MEDIAN_MARGIN_GUIDENCE",'Margin Guidence Table'!$A$1:$AG$1,0)),INDEX('Margin Guidence Table'!$A$1:$AG$10000,MATCH(1,('Margin Guidence Table'!$A$1:$A$10000=$CG14)*('Margin Guidence Table'!$I$1:$I$10000&lt;=ROUND($BY$3,0))*('Margin Guidence Table'!$J$1:$J$10000&gt;=ROUND($BY$3,0)),0),MATCH("DEFAULT_CIA_MEDIAN_MARGIN_GUIDENCE",'Margin Guidence Table'!$A$1:$AG$1,0))),0)</f>
        <v>0</v>
      </c>
      <c r="CR14" s="127"/>
      <c r="CS14" s="18">
        <f t="array" ref="CS14">IFERROR(IF($DF14="SEGMENT",INDEX('Margin Guidence Table'!$A$1:$AG$10000,MATCH(1,('Margin Guidence Table'!$A$1:$A$10000=$DD14)*('Margin Guidence Table'!$I$1:$I$10000&lt;=ROUND($CV$3,0))*('Margin Guidence Table'!$J$1:$J$10000&gt;=ROUND($CV$3,0)),0),MATCH("PCT_SALES",'Margin Guidence Table'!$A$1:$AG$1,0)),INDEX('Margin Guidence Table'!$A$1:$AG$10000,MATCH(1,('Margin Guidence Table'!$A$1:$A$10000=$DD14)*('Margin Guidence Table'!$I$1:$I$10000&lt;=ROUND($CV$3,0))*('Margin Guidence Table'!$J$1:$J$10000&gt;=ROUND($CV$3,0)),0),MATCH("DEFAULT_PCT_SALES",'Margin Guidence Table'!$A$1:$AG$1,0))),0)</f>
        <v>0</v>
      </c>
      <c r="CT14" s="370" t="e">
        <f>CS14/$CS$35</f>
        <v>#DIV/0!</v>
      </c>
      <c r="CU14" s="100" t="s">
        <v>99</v>
      </c>
      <c r="CV14" s="92">
        <f>IFERROR(IF(AND($CV$2&lt;&gt;"Enter Spend&gt;&gt;&gt;",CW2="EXISTING"),SUMIFS('Existing Customers'!$Q:$Q,'Existing Customers'!$A:$A,$CV$1,'Existing Customers'!$H:$H,$CU14)*$CV$4,$CV$3*$CT14),0)</f>
        <v>0</v>
      </c>
      <c r="CW14" s="87">
        <f>IFERROR(IF(AND($CV$2&lt;&gt;"Enter Spend&gt;&gt;&gt;",CW2="EXISTING"),SUMIFS('Existing Customers'!$N:$N,'Existing Customers'!$A:$A,$CV$1,'Existing Customers'!$H:$H,$CU14)*$CV$4,$CV14/$DG14),0)</f>
        <v>0</v>
      </c>
      <c r="CX14" s="93">
        <f>IFERROR(IF(AND($CV$2&lt;&gt;"Enter Spend&gt;&gt;&gt;",BC28="EXISTING"),SUMIFS('Existing Customers'!$O:$O,'Existing Customers'!$H:$H,$CU14,'Existing Customers'!$A:$A,$CV$1)*$CV$4,$CW14*$CV$8),0)</f>
        <v>0</v>
      </c>
      <c r="CY14" s="93">
        <f>IFERROR(IF(AND($CV$2&lt;&gt;"Enter Spend&gt;&gt;&gt;",CW2="EXISTING"),SUMIFS('Existing Customers'!$P:$P,'Existing Customers'!$A:$A,$CV$1,'Existing Customers'!$H:$H,$CU14)*$CV$4,$CV14/$DH14),0)</f>
        <v>0</v>
      </c>
      <c r="CZ14" s="94">
        <f>IFERROR(IF(AND($CV$2&lt;&gt;"Enter Spend&gt;&gt;&gt;",CW2="EXISTING"),SUMIFS('Existing Customers'!$V:$V,'Existing Customers'!$H:$H,$CU14,'Existing Customers'!$A:$A,$CV$1)*$CV$4,0),0)</f>
        <v>0</v>
      </c>
      <c r="DA14" s="94">
        <f>IFERROR(IF(AND($CV$2&lt;&gt;"Enter Spend&gt;&gt;&gt;",CW2="EXISTING"),SUMIFS('Existing Customers'!$R:$R,'Existing Customers'!$H:$H,$CU14,'Existing Customers'!$A:$A,$CV$1)*$CV$4,0),0)</f>
        <v>0</v>
      </c>
      <c r="DB14" s="1050">
        <f>IFERROR(IF(AND($CV$2&lt;&gt;"Enter Spend&gt;&gt;&gt;",CW2="EXISTING"),SUMIFS('Existing Customers'!$S:$S,'Existing Customers'!$H:$H,$CU14,'Existing Customers'!$A:$A,$CV$1),DL14*CV14),0)</f>
        <v>0</v>
      </c>
      <c r="DC14" s="1050">
        <f>IFERROR(IF(AND($CV$2&lt;&gt;"Enter Spend&gt;&gt;&gt;",CW2="EXISTING"),SUMIFS('Existing Customers'!$U:$U,'Existing Customers'!$H:$H,$CU14,'Existing Customers'!$A:$A,$CV$1),DM14*CV14),0)</f>
        <v>0</v>
      </c>
      <c r="DD14" s="1053" t="e">
        <f>_xlfn.CONCAT('Customer Inputs'!$AG$8,"_",CU14)</f>
        <v>#N/A</v>
      </c>
      <c r="DE14" s="1053">
        <f t="array" ref="DE14">IFERROR(INDEX('Margin Guidence Table'!$A$1:$AG$10000,MATCH(1,('Margin Guidence Table'!$A$1:$A$10000=DD14)*('Margin Guidence Table'!$I$1:$I$10000&lt;=ROUND($CV$3,0))*('Margin Guidence Table'!$J$1:$J$10000&gt;=ROUND($CV$3,0)),0),MATCH("DATA_POINTS",'Margin Guidence Table'!$A$1:$AG$1,0)),0)</f>
        <v>0</v>
      </c>
      <c r="DF14" s="1050" t="str">
        <f>IF(DE14&gt;15,"SEGMENT","DEFAULT")</f>
        <v>DEFAULT</v>
      </c>
      <c r="DG14" s="1050">
        <f t="array" ref="DG14">IFERROR(IF($DF14="SEGMENT",INDEX('Margin Guidence Table'!$A$1:$AG$10000,MATCH(1,('Margin Guidence Table'!$A$1:$A$10000=DD14)*('Margin Guidence Table'!$I$1:$I$10000&lt;=ROUND($CV$3,0))*('Margin Guidence Table'!$J$1:$J$10000&gt;=ROUND($CV$3,0)),0),MATCH("SALES_CASE",'Margin Guidence Table'!$A$1:$AG$1,0)),INDEX('Margin Guidence Table'!$A$1:$AG$10000,MATCH(1,('Margin Guidence Table'!$A$1:$A$10000=DD14)*('Margin Guidence Table'!$I$1:$I$10000&lt;=ROUND($CV$3,0))*('Margin Guidence Table'!$J$1:$J$10000&gt;=ROUND($CV$3,0)),0),MATCH("DEFAULT_SALES_CASE",'Margin Guidence Table'!$A$1:$AG$1,0))),0)</f>
        <v>0</v>
      </c>
      <c r="DH14" s="1050">
        <f t="array" ref="DH14">IFERROR(IF($DF14="SEGMENT",INDEX('Margin Guidence Table'!$A$1:$AG$10000,MATCH(1,('Margin Guidence Table'!$A$1:$A$10000=DD14)*('Margin Guidence Table'!$I$1:$I$10000&lt;=ROUND($CV$3,0))*('Margin Guidence Table'!$J$1:$J$10000&gt;=ROUND($CV$3,0)),0),MATCH("SALES_LBS",'Margin Guidence Table'!$A$1:$AG$1,0)),INDEX('Margin Guidence Table'!$A$1:$AG$10000,MATCH(1,('Margin Guidence Table'!$A$1:$A$10000=DD14)*('Margin Guidence Table'!$I$1:$I$10000&lt;=ROUND($CV$3,0))*('Margin Guidence Table'!$J$1:$J$10000&gt;=ROUND($CV$3,0)),0),MATCH("DEFAULT_SALES_LBS",'Margin Guidence Table'!$A$1:$AG$1,0))),0)</f>
        <v>0</v>
      </c>
      <c r="DI14" s="1054">
        <f t="array" ref="DI14">IFERROR(IF($DF14="SEGMENT",INDEX('Margin Guidence Table'!$A$1:$AG$10000,MATCH(1,('Margin Guidence Table'!$A$1:$A$10000=DD14)*('Margin Guidence Table'!$I$1:$I$10000&lt;=ROUND($CV$3,0))*('Margin Guidence Table'!$J$1:$J$10000&gt;=ROUND($CV$3,0)),0),MATCH("MDA_MIN_MARGIN_GUIDENCE",'Margin Guidence Table'!$A$1:$AG$1,0)),INDEX('Margin Guidence Table'!$A$1:$AG$10000,MATCH(1,('Margin Guidence Table'!$A$1:$A$10000=DD14)*('Margin Guidence Table'!$I$1:$I$10000&lt;=ROUND($CV$3,0))*('Margin Guidence Table'!$J$1:$J$10000&gt;=ROUND($CV$3,0)),0),MATCH("DEFAULT_MDA_MIN_MARGIN_GUIDENCE",'Margin Guidence Table'!$A$1:$AG$1,0))),0)</f>
        <v>0</v>
      </c>
      <c r="DJ14" s="1054">
        <f t="array" ref="DJ14">IFERROR(IF($DF14="SEGMENT",INDEX('Margin Guidence Table'!$A$1:$AG$10000,MATCH(1,('Margin Guidence Table'!$A$1:$A$10000=DD14)*('Margin Guidence Table'!$I$1:$I$10000&lt;=ROUND($CV$3,0))*('Margin Guidence Table'!$J$1:$J$10000&gt;=ROUND($CV$3,0)),0),MATCH("MDA_MEDIAN_MARGIN_GUIDENCE",'Margin Guidence Table'!$A$1:$AG$1,0)),INDEX('Margin Guidence Table'!$A$1:$AG$10000,MATCH(1,('Margin Guidence Table'!$A$1:$A$10000=DD14)*('Margin Guidence Table'!$I$1:$I$10000&lt;=ROUND($CV$3,0))*('Margin Guidence Table'!$J$1:$J$10000&gt;=ROUND($CV$3,0)),0),MATCH("DEFAULT_MDA_MEDIAN_MARGIN_GUIDENCE",'Margin Guidence Table'!$A$1:$AG$1,0))),0)</f>
        <v>0</v>
      </c>
      <c r="DK14" s="1054">
        <f t="array" ref="DK14">IFERROR(IF($DF14="SEGMENT",INDEX('Margin Guidence Table'!$A$1:$AG$10000,MATCH(1,('Margin Guidence Table'!$A$1:$A$10000=DD14)*('Margin Guidence Table'!$I$1:$I$10000&lt;=ROUND($CV$3,0))*('Margin Guidence Table'!$J$1:$J$10000&gt;=ROUND($CV$3,0)),0),MATCH("MDA_MAX_MARGIN_GUIDENCE",'Margin Guidence Table'!$A$1:$AG$1,0)),INDEX('Margin Guidence Table'!$A$1:$AG$10000,MATCH(1,('Margin Guidence Table'!$A$1:$A$10000=DD14)*('Margin Guidence Table'!$I$1:$I$10000&lt;=ROUND($CV$3,0))*('Margin Guidence Table'!$J$1:$J$10000&gt;=ROUND($CV$3,0)),0),MATCH("DEFAULT_MDA_MAX_MARGIN_GUIDENCE",'Margin Guidence Table'!$A$1:$AG$1,0))),0)</f>
        <v>0</v>
      </c>
      <c r="DL14" s="1054">
        <f t="array" ref="DL14">IFERROR(IF($DF14="SEGMENT",INDEX('Margin Guidence Table'!$A$1:$AG$10000,MATCH(1,('Margin Guidence Table'!$A$1:$A$10000=DD14)*('Margin Guidence Table'!$I$1:$I$10000&lt;=ROUND($CV$3,0))*('Margin Guidence Table'!$J$1:$J$10000&gt;=ROUND($CV$3,0)),0),MATCH("PA_PCT_SALES",'Margin Guidence Table'!$A$1:$AG$1,0)),INDEX('Margin Guidence Table'!$A$1:$AG$10000,MATCH(1,('Margin Guidence Table'!$A$1:$A$10000=DD14)*('Margin Guidence Table'!$I$1:$I$10000&lt;=ROUND($CV$3,0))*('Margin Guidence Table'!$J$1:$J$10000&gt;=ROUND($CV$3,0)),0),MATCH("DEFAULT_PA_PCT_SALES",'Margin Guidence Table'!$A$1:$AG$1,0))),0)</f>
        <v>0</v>
      </c>
      <c r="DM14" s="1054">
        <f t="array" ref="DM14">IFERROR(IF($DF14="SEGMENT",INDEX('Margin Guidence Table'!$A$1:$AG$10000,MATCH(1,('Margin Guidence Table'!$A$1:$A$10000=DD14)*('Margin Guidence Table'!$I$1:$I$10000&lt;=ROUND($CV$3,0))*('Margin Guidence Table'!$J$1:$J$10000&gt;=ROUND($CV$3,0)),0),MATCH("SELF_FUND_PCT_SALES",'Margin Guidence Table'!$A$1:$AG$1,0)),INDEX('Margin Guidence Table'!$A$1:$AG$10000,MATCH(1,('Margin Guidence Table'!$A$1:$A$10000=DD14)*('Margin Guidence Table'!$I$1:$I$10000&lt;=ROUND($CV$3,0))*('Margin Guidence Table'!$J$1:$J$10000&gt;=ROUND($CV$3,0)),0),MATCH("DEFAULT_SELF_FUND_PCT_SALES",'Margin Guidence Table'!$A$1:$AG$1,0))),0)</f>
        <v>0</v>
      </c>
      <c r="DN14" s="1054">
        <f t="array" ref="DN14">IFERROR(IF($DF14="SEGMENT",INDEX('Margin Guidence Table'!$A$1:$AG$10000,MATCH(1,('Margin Guidence Table'!$A$1:$A$10000=DD14)*('Margin Guidence Table'!$I$1:$I$10000&lt;=ROUND($CV$3,0))*('Margin Guidence Table'!$J$1:$J$10000&gt;=ROUND($CV$3,0)),0),MATCH("CIA_MEDIAN_MARGIN_GUIDENCE",'Margin Guidence Table'!$A$1:$AG$1,0)),INDEX('Margin Guidence Table'!$A$1:$AG$10000,MATCH(1,('Margin Guidence Table'!$A$1:$A$10000=DD14)*('Margin Guidence Table'!$I$1:$I$10000&lt;=ROUND($CV$3,0))*('Margin Guidence Table'!$J$1:$J$10000&gt;=ROUND($CV$3,0)),0),MATCH("DEFAULT_CIA_MEDIAN_MARGIN_GUIDENCE",'Margin Guidence Table'!$A$1:$AG$1,0))),0)</f>
        <v>0</v>
      </c>
      <c r="DO14" s="127"/>
      <c r="DP14" s="18">
        <f t="array" ref="DP14">IFERROR(IF($EC14="SEGMENT",INDEX('Margin Guidence Table'!$A$1:$AG$10000,MATCH(1,('Margin Guidence Table'!$A$1:$A$10000=$EA14)*('Margin Guidence Table'!$I$1:$I$10000&lt;=ROUND($DS$3,0))*('Margin Guidence Table'!$J$1:$J$10000&gt;=ROUND($DS$3,0)),0),MATCH("PCT_SALES",'Margin Guidence Table'!$A$1:$AG$1,0)),INDEX('Margin Guidence Table'!$A$1:$AG$10000,MATCH(1,('Margin Guidence Table'!$A$1:$A$10000=$EA14)*('Margin Guidence Table'!$I$1:$I$10000&lt;=ROUND($DS$3,0))*('Margin Guidence Table'!$J$1:$J$10000&gt;=ROUND($DS$3,0)),0),MATCH("DEFAULT_PCT_SALES",'Margin Guidence Table'!$A$1:$AG$1,0))),0)</f>
        <v>0</v>
      </c>
      <c r="DQ14" s="370" t="e">
        <f>DP14/$DP$35</f>
        <v>#DIV/0!</v>
      </c>
      <c r="DR14" s="100" t="s">
        <v>99</v>
      </c>
      <c r="DS14" s="92">
        <f>IFERROR(IF(AND($DS$2&lt;&gt;"Enter Spend&gt;&gt;&gt;",DT2="EXISTING"),SUMIFS('Existing Customers'!$Q:$Q,'Existing Customers'!$A:$A,$DS$1,'Existing Customers'!$H:$H,$DR14)*$DS$4,$DS$3*$DQ14),0)</f>
        <v>0</v>
      </c>
      <c r="DT14" s="87">
        <f>IFERROR(IF(AND($DS$2&lt;&gt;"Enter Spend&gt;&gt;&gt;",DT2="EXISTING"),SUMIFS('Existing Customers'!$N:$N,'Existing Customers'!$A:$A,$DS$1,'Existing Customers'!$H:$H,$DR14)*$DS$4,$DS14/$ED14),0)</f>
        <v>0</v>
      </c>
      <c r="DU14" s="93">
        <f>IFERROR(IF(AND($DS$2&lt;&gt;"Enter Spend&gt;&gt;&gt;",DT2="EXISTING"),SUMIFS('Existing Customers'!$O:$O,'Existing Customers'!$H:$H,$DR14,'Existing Customers'!$A:$A,$DS$1)*$DS$4,$DT14*$DS$8),0)</f>
        <v>0</v>
      </c>
      <c r="DV14" s="93">
        <f>IFERROR(IF(AND($DS$2&lt;&gt;"Enter Spend&gt;&gt;&gt;",DT2="EXISTING"),SUMIFS('Existing Customers'!$P:$P,'Existing Customers'!$A:$A,$DS$1,'Existing Customers'!$H:$H,$DR14)*$DS$4,$DS14/$EE14),0)</f>
        <v>0</v>
      </c>
      <c r="DW14" s="94">
        <f>IFERROR(IF(AND($DS$2&lt;&gt;"Enter Spend&gt;&gt;&gt;",EQ2="EXISTING"),SUMIFS('Existing Customers'!$V:$V,'Existing Customers'!$H:$H,$DR14,'Existing Customers'!$A:$A,$DS$1)*$DS$4,0),0)</f>
        <v>0</v>
      </c>
      <c r="DX14" s="94">
        <f>IFERROR(IF(AND($DS$2&lt;&gt;"Enter Spend&gt;&gt;&gt;",DT2="EXISTING"),SUMIFS('Existing Customers'!$R:$R,'Existing Customers'!$H:$H,$DR14,'Existing Customers'!$A:$A,$DS$1)*$DS$4,0),0)</f>
        <v>0</v>
      </c>
      <c r="DY14" s="1050">
        <f>IFERROR(IF(AND($DS$2&lt;&gt;"Enter Spend&gt;&gt;&gt;",DT2="EXISTING"),SUMIFS('Existing Customers'!$S:$S,'Existing Customers'!$H:$H,$DT14,'Existing Customers'!$A:$A,$DS$1),EI14*DS14),0)</f>
        <v>0</v>
      </c>
      <c r="DZ14" s="1050">
        <f>IFERROR(IF(AND($DS$2&lt;&gt;"Enter Spend&gt;&gt;&gt;",DT2="EXISTING"),SUMIFS('Existing Customers'!$U:$U,'Existing Customers'!$H:$H,$DR14,'Existing Customers'!$A:$A,$DS$1),EJ14*DS14),0)</f>
        <v>0</v>
      </c>
      <c r="EA14" s="1053" t="e">
        <f>_xlfn.CONCAT('Customer Inputs'!$AG$9,"_",DR14)</f>
        <v>#N/A</v>
      </c>
      <c r="EB14" s="1053">
        <f t="array" ref="EB14">IFERROR(INDEX('Margin Guidence Table'!$A$1:$AG$10000,MATCH(1,('Margin Guidence Table'!$A$1:$A$10000=EA14)*('Margin Guidence Table'!$I$1:$I$10000&lt;=ROUND($DS$3,0))*('Margin Guidence Table'!$J$1:$J$10000&gt;=ROUND($DS$3,0)),0),MATCH("DATA_POINTS",'Margin Guidence Table'!$A$1:$AG$1,0)),0)</f>
        <v>0</v>
      </c>
      <c r="EC14" s="1050" t="str">
        <f>IF(EB14&gt;15,"SEGMENT","DEFAULT")</f>
        <v>DEFAULT</v>
      </c>
      <c r="ED14" s="1050">
        <f t="array" ref="ED14">IFERROR(IF($EC14="SEGMENT",INDEX('Margin Guidence Table'!$A$1:$AG$10000,MATCH(1,('Margin Guidence Table'!$A$1:$A$10000=EA14)*('Margin Guidence Table'!$I$1:$I$10000&lt;=ROUND($DS$3,0))*('Margin Guidence Table'!$J$1:$J$10000&gt;=ROUND($DS$3,0)),0),MATCH("SALES_CASE",'Margin Guidence Table'!$A$1:$AG$1,0)),INDEX('Margin Guidence Table'!$A$1:$AG$10000,MATCH(1,('Margin Guidence Table'!$A$1:$A$10000=EA14)*('Margin Guidence Table'!$I$1:$I$10000&lt;=ROUND($DS$3,0))*('Margin Guidence Table'!$J$1:$J$10000&gt;=ROUND($DS$3,0)),0),MATCH("DEFAULT_SALES_CASE",'Margin Guidence Table'!$A$1:$AG$1,0))),0)</f>
        <v>0</v>
      </c>
      <c r="EE14" s="1050">
        <f t="array" ref="EE14">IFERROR(IF($EC14="SEGMENT",INDEX('Margin Guidence Table'!$A$1:$AG$10000,MATCH(1,('Margin Guidence Table'!$A$1:$A$10000=EA14)*('Margin Guidence Table'!$I$1:$I$10000&lt;=ROUND($DS$3,0))*('Margin Guidence Table'!$J$1:$J$10000&gt;=ROUND($DS$3,0)),0),MATCH("SALES_LBS",'Margin Guidence Table'!$A$1:$AG$1,0)),INDEX('Margin Guidence Table'!$A$1:$AG$10000,MATCH(1,('Margin Guidence Table'!$A$1:$A$10000=EA14)*('Margin Guidence Table'!$I$1:$I$10000&lt;=ROUND($DS$3,0))*('Margin Guidence Table'!$J$1:$J$10000&gt;=ROUND($DS$3,0)),0),MATCH("DEFAULT_SALES_LBS",'Margin Guidence Table'!$A$1:$AG$1,0))),0)</f>
        <v>0</v>
      </c>
      <c r="EF14" s="1054">
        <f t="array" ref="EF14">IFERROR(IF($EC14="SEGMENT",INDEX('Margin Guidence Table'!$A$1:$AG$10000,MATCH(1,('Margin Guidence Table'!$A$1:$A$10000=EA14)*('Margin Guidence Table'!$I$1:$I$10000&lt;=ROUND($DS$3,0))*('Margin Guidence Table'!$J$1:$J$10000&gt;=ROUND($DS$3,0)),0),MATCH("MDA_MIN_MARGIN_GUIDENCE",'Margin Guidence Table'!$A$1:$AG$1,0)),INDEX('Margin Guidence Table'!$A$1:$AG$10000,MATCH(1,('Margin Guidence Table'!$A$1:$A$10000=EA14)*('Margin Guidence Table'!$I$1:$I$10000&lt;=ROUND($DS$3,0))*('Margin Guidence Table'!$J$1:$J$10000&gt;=ROUND($DS$3,0)),0),MATCH("DEFAULT_MDA_MIN_MARGIN_GUIDENCE",'Margin Guidence Table'!$A$1:$AG$1,0))),0)</f>
        <v>0</v>
      </c>
      <c r="EG14" s="1054">
        <f t="array" ref="EG14">IFERROR(IF($EC14="SEGMENT",INDEX('Margin Guidence Table'!$A$1:$AG$10000,MATCH(1,('Margin Guidence Table'!$A$1:$A$10000=EA14)*('Margin Guidence Table'!$I$1:$I$10000&lt;=ROUND($DS$3,0))*('Margin Guidence Table'!$J$1:$J$10000&gt;=ROUND($DS$3,0)),0),MATCH("MDA_MEDIAN_MARGIN_GUIDENCE",'Margin Guidence Table'!$A$1:$AG$1,0)),INDEX('Margin Guidence Table'!$A$1:$AG$10000,MATCH(1,('Margin Guidence Table'!$A$1:$A$10000=EA14)*('Margin Guidence Table'!$I$1:$I$10000&lt;=ROUND($DS$3,0))*('Margin Guidence Table'!$J$1:$J$10000&gt;=ROUND($DS$3,0)),0),MATCH("DEFAULT_MDA_MEDIAN_MARGIN_GUIDENCE",'Margin Guidence Table'!$A$1:$AG$1,0))),0)</f>
        <v>0</v>
      </c>
      <c r="EH14" s="1054">
        <f t="array" ref="EH14">IFERROR(IF($EC14="SEGMENT",INDEX('Margin Guidence Table'!$A$1:$AG$10000,MATCH(1,('Margin Guidence Table'!$A$1:$A$10000=EA14)*('Margin Guidence Table'!$I$1:$I$10000&lt;=ROUND($DS$3,0))*('Margin Guidence Table'!$J$1:$J$10000&gt;=ROUND($DS$3,0)),0),MATCH("MDA_MAX_MARGIN_GUIDENCE",'Margin Guidence Table'!$A$1:$AG$1,0)),INDEX('Margin Guidence Table'!$A$1:$AG$10000,MATCH(1,('Margin Guidence Table'!$A$1:$A$10000=EA14)*('Margin Guidence Table'!$I$1:$I$10000&lt;=ROUND($DS$3,0))*('Margin Guidence Table'!$J$1:$J$10000&gt;=ROUND($DS$3,0)),0),MATCH("DEFAULT_MDA_MAX_MARGIN_GUIDENCE",'Margin Guidence Table'!$A$1:$AG$1,0))),0)</f>
        <v>0</v>
      </c>
      <c r="EI14" s="1054">
        <f t="array" ref="EI14">IFERROR(IF($EC14="SEGMENT",INDEX('Margin Guidence Table'!$A$1:$AG$10000,MATCH(1,('Margin Guidence Table'!$A$1:$A$10000=EA14)*('Margin Guidence Table'!$I$1:$I$10000&lt;=ROUND($DS$3,0))*('Margin Guidence Table'!$J$1:$J$10000&gt;=ROUND($DS$3,0)),0),MATCH("PA_PCT_SALES",'Margin Guidence Table'!$A$1:$AG$1,0)),INDEX('Margin Guidence Table'!$A$1:$AG$10000,MATCH(1,('Margin Guidence Table'!$A$1:$A$10000=EA14)*('Margin Guidence Table'!$I$1:$I$10000&lt;=ROUND($DS$3,0))*('Margin Guidence Table'!$J$1:$J$10000&gt;=ROUND($DS$3,0)),0),MATCH("DEFAULT_PA_PCT_SALES",'Margin Guidence Table'!$A$1:$AG$1,0))),0)</f>
        <v>0</v>
      </c>
      <c r="EJ14" s="1054">
        <f t="array" ref="EJ14">IFERROR(IF($EC14="SEGMENT",INDEX('Margin Guidence Table'!$A$1:$AG$10000,MATCH(1,('Margin Guidence Table'!$A$1:$A$10000=EA14)*('Margin Guidence Table'!$I$1:$I$10000&lt;=ROUND($DS$3,0))*('Margin Guidence Table'!$J$1:$J$10000&gt;=ROUND($DS$3,0)),0),MATCH("SELF_FUND_PCT_SALES",'Margin Guidence Table'!$A$1:$AG$1,0)),INDEX('Margin Guidence Table'!$A$1:$AG$10000,MATCH(1,('Margin Guidence Table'!$A$1:$A$10000=EA14)*('Margin Guidence Table'!$I$1:$I$10000&lt;=ROUND($DS$3,0))*('Margin Guidence Table'!$J$1:$J$10000&gt;=ROUND($DS$3,0)),0),MATCH("DEFAULT_SELF_FUND_PCT_SALES",'Margin Guidence Table'!$A$1:$AG$1,0))),0)</f>
        <v>0</v>
      </c>
      <c r="EK14" s="1054">
        <f t="array" ref="EK14">IFERROR(IF($EC14="SEGMENT",INDEX('Margin Guidence Table'!$A$1:$AG$10000,MATCH(1,('Margin Guidence Table'!$A$1:$A$10000=EA14)*('Margin Guidence Table'!$I$1:$I$10000&lt;=ROUND($DS$3,0))*('Margin Guidence Table'!$J$1:$J$10000&gt;=ROUND($DS$3,0)),0),MATCH("CIA_MEDIAN_MARGIN_GUIDENCE",'Margin Guidence Table'!$A$1:$AG$1,0)),INDEX('Margin Guidence Table'!$A$1:$AG$10000,MATCH(1,('Margin Guidence Table'!$A$1:$A$10000=EA14)*('Margin Guidence Table'!$I$1:$I$10000&lt;=ROUND($DS$3,0))*('Margin Guidence Table'!$J$1:$J$10000&gt;=ROUND($DS$3,0)),0),MATCH("DEFAULT_CIA_MEDIAN_MARGIN_GUIDENCE",'Margin Guidence Table'!$A$1:$AG$1,0))),0)</f>
        <v>0</v>
      </c>
      <c r="EL14" s="127"/>
      <c r="EM14" s="18">
        <f t="array" ref="EM14">IFERROR(IF($EZ14="SEGMENT",INDEX('Margin Guidence Table'!$A$1:$AG$10000,MATCH(1,('Margin Guidence Table'!$A$1:$A$10000=$EX14)*('Margin Guidence Table'!$I$1:$I$10000&lt;=ROUND($EP$3,0))*('Margin Guidence Table'!$J$1:$J$10000&gt;=ROUND($EP$3,0)),0),MATCH("PCT_SALES",'Margin Guidence Table'!$A$1:$AG$1,0)),INDEX('Margin Guidence Table'!$A$1:$AG$10000,MATCH(1,('Margin Guidence Table'!$A$1:$A$10000=$EX14)*('Margin Guidence Table'!$I$1:$I$10000&lt;=ROUND($EP$3,0))*('Margin Guidence Table'!$J$1:$J$10000&gt;=ROUND($EP$3,0)),0),MATCH("DEFAULT_PCT_SALES",'Margin Guidence Table'!$A$1:$AG$1,0))),0)</f>
        <v>0</v>
      </c>
      <c r="EN14" s="370" t="e">
        <f>EM14/$EM$35</f>
        <v>#DIV/0!</v>
      </c>
      <c r="EO14" s="100" t="s">
        <v>99</v>
      </c>
      <c r="EP14" s="92">
        <f>IFERROR(IF(AND($EP$2&lt;&gt;"Enter Spend&gt;&gt;&gt;",EQ2="EXISTING"),SUMIFS('Existing Customers'!$Q:$Q,'Existing Customers'!$A:$A,$EP$1,'Existing Customers'!$H:$H,$EO14)*$EP$4,$EP$3*$EN14),0)</f>
        <v>0</v>
      </c>
      <c r="EQ14" s="87">
        <f>IFERROR(IF(AND($EP$2&lt;&gt;"Enter Spend&gt;&gt;&gt;",EQ2="EXISTING"),SUMIFS('Existing Customers'!$N:$N,'Existing Customers'!$A:$A,$EP$1,'Existing Customers'!$H:$H,$EO14)*$EP$4,$EP14/$FA14),0)</f>
        <v>0</v>
      </c>
      <c r="ER14" s="93">
        <f>IFERROR(IF(AND($EP$2&lt;&gt;"Enter Spend&gt;&gt;&gt;",EQ2="EXISTING"),SUMIFS('Existing Customers'!$O:$O,'Existing Customers'!$H:$H,$EO14,'Existing Customers'!$A:$A,$EP$1)*$EP$4,$EQ14*$EP$8),0)</f>
        <v>0</v>
      </c>
      <c r="ES14" s="93">
        <f>IFERROR(IF(AND($EP$2&lt;&gt;"Enter Spend&gt;&gt;&gt;",EQ2="EXISTING"),SUMIFS('Existing Customers'!$P:$P,'Existing Customers'!$A:$A,$EP$1,'Existing Customers'!$H:$H,$EO14)*$EP$4,$EP14/$FB14),0)</f>
        <v>0</v>
      </c>
      <c r="ET14" s="94">
        <f>IFERROR(IF(AND($EP$2&lt;&gt;"Enter Spend&gt;&gt;&gt;",EQ2="EXISTING"),SUMIFS('Existing Customers'!$V:$V,'Existing Customers'!$H:$H,$EO14,'Existing Customers'!$A:$A,$EP$1)*$EP$4,0),0)</f>
        <v>0</v>
      </c>
      <c r="EU14" s="94">
        <f>IFERROR(IF(AND($EP$2&lt;&gt;"Enter Spend&gt;&gt;&gt;",EQ2="EXISTING"),SUMIFS('Existing Customers'!$R:$R,'Existing Customers'!$H:$H,$EO14,'Existing Customers'!$A:$A,$EP$1)*$EP$4,0),0)</f>
        <v>0</v>
      </c>
      <c r="EV14" s="1050">
        <f>IFERROR(IF(AND($EP$2&lt;&gt;"Enter Spend&gt;&gt;&gt;",EQ2="EXISTING"),SUMIFS('Existing Customers'!$S:$S,'Existing Customers'!$H:$H,$EO14,'Existing Customers'!$A:$A,$EP$1),FF14*EP14),0)</f>
        <v>0</v>
      </c>
      <c r="EW14" s="1050">
        <f>IFERROR(IF(AND($EP$2&lt;&gt;"Enter Spend&gt;&gt;&gt;",EQ2="EXISTING"),SUMIFS('Existing Customers'!$U:$U,'Existing Customers'!$H:$H,$EO14,'Existing Customers'!$A:$A,$EP$1),FG14*EP14),0)</f>
        <v>0</v>
      </c>
      <c r="EX14" s="1053" t="e">
        <f>_xlfn.CONCAT('Customer Inputs'!$AG$10,"_",EO14)</f>
        <v>#N/A</v>
      </c>
      <c r="EY14" s="1053">
        <f t="array" ref="EY14">IFERROR(INDEX('Margin Guidence Table'!$A$1:$AG$10000,MATCH(1,('Margin Guidence Table'!$A$1:$A$10000=EX14)*('Margin Guidence Table'!$I$1:$I$10000&lt;=ROUND($EP$3,0))*('Margin Guidence Table'!$J$1:$J$10000&gt;=ROUND($EP$3,0)),0),MATCH("DATA_POINTS",'Margin Guidence Table'!$A$1:$AG$1,0)),0)</f>
        <v>0</v>
      </c>
      <c r="EZ14" s="1050" t="str">
        <f>IF(EY14&gt;15,"SEGMENT","DEFAULT")</f>
        <v>DEFAULT</v>
      </c>
      <c r="FA14" s="1050">
        <f t="array" ref="FA14">IFERROR(IF($EZ14="SEGMENT",INDEX('Margin Guidence Table'!$A$1:$AG$10000,MATCH(1,('Margin Guidence Table'!$A$1:$A$10000=EX14)*('Margin Guidence Table'!$I$1:$I$10000&lt;=ROUND($EP$3,0))*('Margin Guidence Table'!$J$1:$J$10000&gt;=ROUND($EP$3,0)),0),MATCH("SALES_CASE",'Margin Guidence Table'!$A$1:$AG$1,0)),INDEX('Margin Guidence Table'!$A$1:$AG$10000,MATCH(1,('Margin Guidence Table'!$A$1:$A$10000=EX14)*('Margin Guidence Table'!$I$1:$I$10000&lt;=ROUND($EP$3,0))*('Margin Guidence Table'!$J$1:$J$10000&gt;=ROUND($EP$3,0)),0),MATCH("DEFAULT_SALES_CASE",'Margin Guidence Table'!$A$1:$AG$1,0))),0)</f>
        <v>0</v>
      </c>
      <c r="FB14" s="1050" cm="1">
        <f t="array" ref="FB14">IFERROR(IF($EZ14="SEGMENT",INDEX('Margin Guidence Table'!$A$1:$AG$10000,MATCH(1,('Margin Guidence Table'!$A$1:$A$10000=EX14)*('Margin Guidence Table'!$I$1:$I$10000&lt;=ROUND($EP$3,0))*('Margin Guidence Table'!$J$1:$J$10000&gt;=ROUND($EP$3,0)),0),MATCH("SALES_LBS",'Margin Guidence Table'!$A$1:$AG$1,0)),INDEX('Margin Guidence Table'!$A$1:$AG$10000,MATCH(1,('Margin Guidence Table'!$A$1:$A$10000=EX14)*('Margin Guidence Table'!$I$1:$I$10000&lt;=ROUND($EP$3,0))*('Margin Guidence Table'!$J$1:$J$10000&gt;=ROUND($EP$3,0)),0),MATCH("DEFAULT_SALES_LBS",'Margin Guidence Table'!$A$1:$AG$1,0))),0)</f>
        <v>0</v>
      </c>
      <c r="FC14" s="1054">
        <f t="array" ref="FC14">IFERROR(IF($EZ14="SEGMENT",INDEX('Margin Guidence Table'!$A$1:$AG$10000,MATCH(1,('Margin Guidence Table'!$A$1:$A$10000=EX14)*('Margin Guidence Table'!$I$1:$I$10000&lt;=ROUND($EP$3,0))*('Margin Guidence Table'!$J$1:$J$10000&gt;=ROUND($EP$3,0)),0),MATCH("MDA_MIN_MARGIN_GUIDENCE",'Margin Guidence Table'!$A$1:$AG$1,0)),INDEX('Margin Guidence Table'!$A$1:$AG$10000,MATCH(1,('Margin Guidence Table'!$A$1:$A$10000=EX14)*('Margin Guidence Table'!$I$1:$I$10000&lt;=ROUND($EP$3,0))*('Margin Guidence Table'!$J$1:$J$10000&gt;=ROUND($EP$3,0)),0),MATCH("DEFAULT_MDA_MIN_MARGIN_GUIDENCE",'Margin Guidence Table'!$A$1:$AG$1,0))),0)</f>
        <v>0</v>
      </c>
      <c r="FD14" s="1054">
        <f t="array" ref="FD14">IFERROR(IF($EZ14="SEGMENT",INDEX('Margin Guidence Table'!$A$1:$AG$10000,MATCH(1,('Margin Guidence Table'!$A$1:$A$10000=EX14)*('Margin Guidence Table'!$I$1:$I$10000&lt;=ROUND($EP$3,0))*('Margin Guidence Table'!$J$1:$J$10000&gt;=ROUND($EP$3,0)),0),MATCH("MDA_MEDIAN_MARGIN_GUIDENCE",'Margin Guidence Table'!$A$1:$AG$1,0)),INDEX('Margin Guidence Table'!$A$1:$AG$10000,MATCH(1,('Margin Guidence Table'!$A$1:$A$10000=EX14)*('Margin Guidence Table'!$I$1:$I$10000&lt;=ROUND($EP$3,0))*('Margin Guidence Table'!$J$1:$J$10000&gt;=ROUND($EP$3,0)),0),MATCH("DEFAULT_MDA_MEDIAN_MARGIN_GUIDENCE",'Margin Guidence Table'!$A$1:$AG$1,0))),0)</f>
        <v>0</v>
      </c>
      <c r="FE14" s="1054">
        <f t="array" ref="FE14">IFERROR(IF($EZ14="SEGMENT",INDEX('Margin Guidence Table'!$A$1:$AG$10000,MATCH(1,('Margin Guidence Table'!$A$1:$A$10000=EX14)*('Margin Guidence Table'!$I$1:$I$10000&lt;=ROUND($EP$3,0))*('Margin Guidence Table'!$J$1:$J$10000&gt;=ROUND($EP$3,0)),0),MATCH("MDA_MAX_MARGIN_GUIDENCE",'Margin Guidence Table'!$A$1:$AG$1,0)),INDEX('Margin Guidence Table'!$A$1:$AG$10000,MATCH(1,('Margin Guidence Table'!$A$1:$A$10000=EX14)*('Margin Guidence Table'!$I$1:$I$10000&lt;=ROUND($EP$3,0))*('Margin Guidence Table'!$J$1:$J$10000&gt;=ROUND($EP$3,0)),0),MATCH("DEFAULT_MDA_MAX_MARGIN_GUIDENCE",'Margin Guidence Table'!$A$1:$AG$1,0))),0)</f>
        <v>0</v>
      </c>
      <c r="FF14" s="1054">
        <f t="array" ref="FF14">IFERROR(IF($EZ14="SEGMENT",INDEX('Margin Guidence Table'!$A$1:$AG$10000,MATCH(1,('Margin Guidence Table'!$A$1:$A$10000=EX14)*('Margin Guidence Table'!$I$1:$I$10000&lt;=ROUND($EP$3,0))*('Margin Guidence Table'!$J$1:$J$10000&gt;=ROUND($EP$3,0)),0),MATCH("PA_PCT_SALES",'Margin Guidence Table'!$A$1:$AG$1,0)),INDEX('Margin Guidence Table'!$A$1:$AG$10000,MATCH(1,('Margin Guidence Table'!$A$1:$A$10000=EX14)*('Margin Guidence Table'!$I$1:$I$10000&lt;=ROUND($EP$3,0))*('Margin Guidence Table'!$J$1:$J$10000&gt;=ROUND($EP$3,0)),0),MATCH("DEFAULT_PA_PCT_SALES",'Margin Guidence Table'!$A$1:$AG$1,0))),0)</f>
        <v>0</v>
      </c>
      <c r="FG14" s="1054">
        <f t="array" ref="FG14">IFERROR(IF($EZ14="SEGMENT",INDEX('Margin Guidence Table'!$A$1:$AG$10000,MATCH(1,('Margin Guidence Table'!$A$1:$A$10000=EX14)*('Margin Guidence Table'!$I$1:$I$10000&lt;=ROUND($EP$3,0))*('Margin Guidence Table'!$J$1:$J$10000&gt;=ROUND($EP$3,0)),0),MATCH("SELF_FUND_PCT_SALES",'Margin Guidence Table'!$A$1:$AG$1,0)),INDEX('Margin Guidence Table'!$A$1:$AG$10000,MATCH(1,('Margin Guidence Table'!$A$1:$A$10000=EX14)*('Margin Guidence Table'!$I$1:$I$10000&lt;=ROUND($EP$3,0))*('Margin Guidence Table'!$J$1:$J$10000&gt;=ROUND($EP$3,0)),0),MATCH("DEFAULT_SELF_FUND_PCT_SALES",'Margin Guidence Table'!$A$1:$AG$1,0))),0)</f>
        <v>0</v>
      </c>
      <c r="FH14" s="1054">
        <f t="array" ref="FH14">IFERROR(IF($EZ14="SEGMENT",INDEX('Margin Guidence Table'!$A$1:$AG$10000,MATCH(1,('Margin Guidence Table'!$A$1:$A$10000=EX14)*('Margin Guidence Table'!$I$1:$I$10000&lt;=ROUND($EP$3,0))*('Margin Guidence Table'!$J$1:$J$10000&gt;=ROUND($EP$3,0)),0),MATCH("CIA_MEDIAN_MARGIN_GUIDENCE",'Margin Guidence Table'!$A$1:$AG$1,0)),INDEX('Margin Guidence Table'!$A$1:$AG$10000,MATCH(1,('Margin Guidence Table'!$A$1:$A$10000=EX14)*('Margin Guidence Table'!$I$1:$I$10000&lt;=ROUND($EP$3,0))*('Margin Guidence Table'!$J$1:$J$10000&gt;=ROUND($EP$3,0)),0),MATCH("DEFAULT_CIA_MEDIAN_MARGIN_GUIDENCE",'Margin Guidence Table'!$A$1:$AG$1,0))),0)</f>
        <v>0</v>
      </c>
      <c r="FI14" s="127"/>
      <c r="FJ14" s="18">
        <f t="array" ref="FJ14">IFERROR(IF($FW14="SEGMENT",INDEX('Margin Guidence Table'!$A$1:$AG$10000,MATCH(1,('Margin Guidence Table'!$A$1:$A$10000=$FU14)*('Margin Guidence Table'!$I$1:$I$10000&lt;=ROUND($FM$3,0))*('Margin Guidence Table'!$J$1:$J$10000&gt;=ROUND($FM$3,0)),0),MATCH("PCT_SALES",'Margin Guidence Table'!$A$1:$AG$1,0)),INDEX('Margin Guidence Table'!$A$1:$AG$10000,MATCH(1,('Margin Guidence Table'!$A$1:$A$10000=$FU14)*('Margin Guidence Table'!$I$1:$I$10000&lt;=ROUND($FM$3,0))*('Margin Guidence Table'!$J$1:$J$10000&gt;=ROUND($FM$3,0)),0),MATCH("DEFAULT_PCT_SALES",'Margin Guidence Table'!$A$1:$AG$1,0))),0)</f>
        <v>0</v>
      </c>
      <c r="FK14" s="370" t="e">
        <f>FJ14/$FJ$35</f>
        <v>#DIV/0!</v>
      </c>
      <c r="FL14" s="100" t="s">
        <v>99</v>
      </c>
      <c r="FM14" s="92">
        <f>IFERROR(IF(AND($FM$2&lt;&gt;"Enter Spend&gt;&gt;&gt;",FN2="EXISTING"),SUMIFS('Existing Customers'!$Q:$Q,'Existing Customers'!$A:$A,$FM$1,'Existing Customers'!$H:$H,$FL14)*$FM$4,$FM$3*$FK14),0)</f>
        <v>0</v>
      </c>
      <c r="FN14" s="87">
        <f>IFERROR(IF(AND($FM$2&lt;&gt;"Enter Spend&gt;&gt;&gt;",FN2="EXISTING"),SUMIFS('Existing Customers'!$N:$N,'Existing Customers'!$A:$A,$FM$1,'Existing Customers'!$H:$H,$FL14)*$FM$4,$FM14/$FX14),0)</f>
        <v>0</v>
      </c>
      <c r="FO14" s="93">
        <f>IFERROR(IF(AND($FM$2&lt;&gt;"Enter Spend&gt;&gt;&gt;",FN2="EXISTING"),SUMIFS('Existing Customers'!$O:$O,'Existing Customers'!$H:$H,$FL14,'Existing Customers'!$A:$A,$FM$1)*$FM$4,$FN14*$FM$8),0)</f>
        <v>0</v>
      </c>
      <c r="FP14" s="93">
        <f>IFERROR(IF(AND($FM$2&lt;&gt;"Enter Spend&gt;&gt;&gt;",FN2="EXISTING"),SUMIFS('Existing Customers'!$P:$P,'Existing Customers'!$A:$A,$FM$1,'Existing Customers'!$H:$H,$FL14)*$FM$4,$FM14/$FY14),0)</f>
        <v>0</v>
      </c>
      <c r="FQ14" s="94">
        <f>IFERROR(IF(AND($FM$2&lt;&gt;"Enter Spend&gt;&gt;&gt;",FN2="EXISTING"),SUMIFS('Existing Customers'!$V:$V,'Existing Customers'!$H:$H,$FL14,'Existing Customers'!$A:$A,$FM$1)*$FM$4,0),0)</f>
        <v>0</v>
      </c>
      <c r="FR14" s="94">
        <f>IFERROR(IF(AND($FM$2&lt;&gt;"Enter Spend&gt;&gt;&gt;",FN2="EXISTING"),SUMIFS('Existing Customers'!$R:$R,'Existing Customers'!$H:$H,$FL14,'Existing Customers'!$A:$A,$FM$1)*$FM$4,0),0)</f>
        <v>0</v>
      </c>
      <c r="FS14" s="1050">
        <f>IFERROR(IF(AND($FM$2&lt;&gt;"Enter Spend&gt;&gt;&gt;",FN2="EXISTING"),SUMIFS('Existing Customers'!$S:$S,'Existing Customers'!$H:$H,$FL14,'Existing Customers'!$A:$A,$FM$1),GC14*FM14),0)</f>
        <v>0</v>
      </c>
      <c r="FT14" s="1050">
        <f>IFERROR(IF(AND($FM$2&lt;&gt;"Enter Spend&gt;&gt;&gt;",FN2="EXISTING"),SUMIFS('Existing Customers'!$U:$U,'Existing Customers'!$H:$H,$FL14,'Existing Customers'!$A:$A,$FM$1),GD14*FM14),0)</f>
        <v>0</v>
      </c>
      <c r="FU14" s="1053" t="e">
        <f>_xlfn.CONCAT('Customer Inputs'!$AG$11,"_",FL14)</f>
        <v>#N/A</v>
      </c>
      <c r="FV14" s="1053">
        <f t="array" ref="FV14">IFERROR(INDEX('Margin Guidence Table'!$A$1:$AG$10000,MATCH(1,('Margin Guidence Table'!$A$1:$A$10000=FU14)*('Margin Guidence Table'!$I$1:$I$10000&lt;=ROUND($FM$3,0))*('Margin Guidence Table'!$J$1:$J$10000&gt;=ROUND($FM$3,0)),0),MATCH("DATA_POINTS",'Margin Guidence Table'!$A$1:$AG$1,0)),0)</f>
        <v>0</v>
      </c>
      <c r="FW14" s="1050" t="str">
        <f>IF(FV14&gt;15,"SEGMENT","DEFAULT")</f>
        <v>DEFAULT</v>
      </c>
      <c r="FX14" s="1050">
        <f t="array" ref="FX14">IFERROR(IF($FW14="SEGMENT",INDEX('Margin Guidence Table'!$A$1:$AG$10000,MATCH(1,('Margin Guidence Table'!$A$1:$A$10000=FU14)*('Margin Guidence Table'!$I$1:$I$10000&lt;=ROUND($FM$3,0))*('Margin Guidence Table'!$J$1:$J$10000&gt;=ROUND($FM$3,0)),0),MATCH("SALES_CASE",'Margin Guidence Table'!$A$1:$AG$1,0)),INDEX('Margin Guidence Table'!$A$1:$AG$10000,MATCH(1,('Margin Guidence Table'!$A$1:$A$10000=FU14)*('Margin Guidence Table'!$I$1:$I$10000&lt;=ROUND($FM$3,0))*('Margin Guidence Table'!$J$1:$J$10000&gt;=ROUND($FM$3,0)),0),MATCH("DEFAULT_SALES_CASE",'Margin Guidence Table'!$A$1:$AG$1,0))),0)</f>
        <v>0</v>
      </c>
      <c r="FY14" s="1050">
        <f t="array" ref="FY14">IFERROR(IF($FW14="SEGMENT",INDEX('Margin Guidence Table'!$A$1:$AG$10000,MATCH(1,('Margin Guidence Table'!$A$1:$A$10000=FU14)*('Margin Guidence Table'!$I$1:$I$10000&lt;=ROUND($FM$3,0))*('Margin Guidence Table'!$J$1:$J$10000&gt;=ROUND($FM$3,0)),0),MATCH("SALES_LBS",'Margin Guidence Table'!$A$1:$AG$1,0)),INDEX('Margin Guidence Table'!$A$1:$AG$10000,MATCH(1,('Margin Guidence Table'!$A$1:$A$10000=FU14)*('Margin Guidence Table'!$I$1:$I$10000&lt;=ROUND($FM$3,0))*('Margin Guidence Table'!$J$1:$J$10000&gt;=ROUND($FM$3,0)),0),MATCH("DEFAULT_SALES_LBS",'Margin Guidence Table'!$A$1:$AG$1,0))),0)</f>
        <v>0</v>
      </c>
      <c r="FZ14" s="1054">
        <f t="array" ref="FZ14">IFERROR(IF($FW14="SEGMENT",INDEX('Margin Guidence Table'!$A$1:$AG$10000,MATCH(1,('Margin Guidence Table'!$A$1:$A$10000=FU14)*('Margin Guidence Table'!$I$1:$I$10000&lt;=ROUND($FM$3,0))*('Margin Guidence Table'!$J$1:$J$10000&gt;=ROUND($FM$3,0)),0),MATCH("MDA_MIN_MARGIN_GUIDENCE",'Margin Guidence Table'!$A$1:$AG$1,0)),INDEX('Margin Guidence Table'!$A$1:$AG$10000,MATCH(1,('Margin Guidence Table'!$A$1:$A$10000=FU14)*('Margin Guidence Table'!$I$1:$I$10000&lt;=ROUND($FM$3,0))*('Margin Guidence Table'!$J$1:$J$10000&gt;=ROUND($FM$3,0)),0),MATCH("DEFAULT_MDA_MIN_MARGIN_GUIDENCE",'Margin Guidence Table'!$A$1:$AG$1,0))),0)</f>
        <v>0</v>
      </c>
      <c r="GA14" s="1054">
        <f t="array" ref="GA14">IFERROR(IF($FW14="SEGMENT",INDEX('Margin Guidence Table'!$A$1:$AG$10000,MATCH(1,('Margin Guidence Table'!$A$1:$A$10000=FU14)*('Margin Guidence Table'!$I$1:$I$10000&lt;=ROUND($FM$3,0))*('Margin Guidence Table'!$J$1:$J$10000&gt;=ROUND($FM$3,0)),0),MATCH("MDA_MEDIAN_MARGIN_GUIDENCE",'Margin Guidence Table'!$A$1:$AG$1,0)),INDEX('Margin Guidence Table'!$A$1:$AG$10000,MATCH(1,('Margin Guidence Table'!$A$1:$A$10000=FU14)*('Margin Guidence Table'!$I$1:$I$10000&lt;=ROUND($FM$3,0))*('Margin Guidence Table'!$J$1:$J$10000&gt;=ROUND($FM$3,0)),0),MATCH("DEFAULT_MDA_MEDIAN_MARGIN_GUIDENCE",'Margin Guidence Table'!$A$1:$AG$1,0))),0)</f>
        <v>0</v>
      </c>
      <c r="GB14" s="1054">
        <f t="array" ref="GB14">IFERROR(IF($FW14="SEGMENT",INDEX('Margin Guidence Table'!$A$1:$AG$10000,MATCH(1,('Margin Guidence Table'!$A$1:$A$10000=FU14)*('Margin Guidence Table'!$I$1:$I$10000&lt;=ROUND($FM$3,0))*('Margin Guidence Table'!$J$1:$J$10000&gt;=ROUND($FM$3,0)),0),MATCH("MDA_MAX_MARGIN_GUIDENCE",'Margin Guidence Table'!$A$1:$AG$1,0)),INDEX('Margin Guidence Table'!$A$1:$AG$10000,MATCH(1,('Margin Guidence Table'!$A$1:$A$10000=FU14)*('Margin Guidence Table'!$I$1:$I$10000&lt;=ROUND($FM$3,0))*('Margin Guidence Table'!$J$1:$J$10000&gt;=ROUND($FM$3,0)),0),MATCH("DEFAULT_MDA_MAX_MARGIN_GUIDENCE",'Margin Guidence Table'!$A$1:$AG$1,0))),0)</f>
        <v>0</v>
      </c>
      <c r="GC14" s="1054">
        <f t="array" ref="GC14">IFERROR(IF($FW14="SEGMENT",INDEX('Margin Guidence Table'!$A$1:$AG$10000,MATCH(1,('Margin Guidence Table'!$A$1:$A$10000=FU14)*('Margin Guidence Table'!$I$1:$I$10000&lt;=ROUND($FM$3,0))*('Margin Guidence Table'!$J$1:$J$10000&gt;=ROUND($FM$3,0)),0),MATCH("PA_PCT_SALES",'Margin Guidence Table'!$A$1:$AG$1,0)),INDEX('Margin Guidence Table'!$A$1:$AG$10000,MATCH(1,('Margin Guidence Table'!$A$1:$A$10000=FU14)*('Margin Guidence Table'!$I$1:$I$10000&lt;=ROUND($FM$3,0))*('Margin Guidence Table'!$J$1:$J$10000&gt;=ROUND($FM$3,0)),0),MATCH("DEFAULT_PA_PCT_SALES",'Margin Guidence Table'!$A$1:$AG$1,0))),0)</f>
        <v>0</v>
      </c>
      <c r="GD14" s="1054">
        <f t="array" ref="GD14">IFERROR(IF($FW14="SEGMENT",INDEX('Margin Guidence Table'!$A$1:$AG$10000,MATCH(1,('Margin Guidence Table'!$A$1:$A$10000=FU14)*('Margin Guidence Table'!$I$1:$I$10000&lt;=ROUND($FM$3,0))*('Margin Guidence Table'!$J$1:$J$10000&gt;=ROUND($FM$3,0)),0),MATCH("SELF_FUND_PCT_SALES",'Margin Guidence Table'!$A$1:$AG$1,0)),INDEX('Margin Guidence Table'!$A$1:$AG$10000,MATCH(1,('Margin Guidence Table'!$A$1:$A$10000=FU14)*('Margin Guidence Table'!$I$1:$I$10000&lt;=ROUND($FM$3,0))*('Margin Guidence Table'!$J$1:$J$10000&gt;=ROUND($FM$3,0)),0),MATCH("DEFAULT_SELF_FUND_PCT_SALES",'Margin Guidence Table'!$A$1:$AG$1,0))),0)</f>
        <v>0</v>
      </c>
      <c r="GE14" s="1054">
        <f t="array" ref="GE14">IFERROR(IF($FW14="SEGMENT",INDEX('Margin Guidence Table'!$A$1:$AG$10000,MATCH(1,('Margin Guidence Table'!$A$1:$A$10000=FU14)*('Margin Guidence Table'!$I$1:$I$10000&lt;=ROUND($FM$3,0))*('Margin Guidence Table'!$J$1:$J$10000&gt;=ROUND($FM$3,0)),0),MATCH("CIA_MEDIAN_MARGIN_GUIDENCE",'Margin Guidence Table'!$A$1:$AG$1,0)),INDEX('Margin Guidence Table'!$A$1:$AG$10000,MATCH(1,('Margin Guidence Table'!$A$1:$A$10000=FU14)*('Margin Guidence Table'!$I$1:$I$10000&lt;=ROUND($FM$3,0))*('Margin Guidence Table'!$J$1:$J$10000&gt;=ROUND($FM$3,0)),0),MATCH("DEFAULT_CIA_MEDIAN_MARGIN_GUIDENCE",'Margin Guidence Table'!$A$1:$AG$1,0))),0)</f>
        <v>0</v>
      </c>
      <c r="GF14" s="127"/>
      <c r="GG14" s="18">
        <f t="array" ref="GG14">IFERROR(IF($GT14="SEGMENT",INDEX('Margin Guidence Table'!$A$1:$AG$10000,MATCH(1,('Margin Guidence Table'!$A$1:$A$10000=$GR14)*('Margin Guidence Table'!$I$1:$I$10000&lt;=ROUND($GJ$3,0))*('Margin Guidence Table'!$J$1:$J$10000&gt;=ROUND($GJ$3,0)),0),MATCH("PCT_SALES",'Margin Guidence Table'!$A$1:$AG$1,0)),INDEX('Margin Guidence Table'!$A$1:$AG$10000,MATCH(1,('Margin Guidence Table'!$A$1:$A$10000=$GR14)*('Margin Guidence Table'!$I$1:$I$10000&lt;=ROUND($GJ$3,0))*('Margin Guidence Table'!$J$1:$J$10000&gt;=ROUND($GJ$3,0)),0),MATCH("DEFAULT_PCT_SALES",'Margin Guidence Table'!$A$1:$AG$1,0))),0)</f>
        <v>0</v>
      </c>
      <c r="GH14" s="370" t="e">
        <f>GG14/$GG$35</f>
        <v>#DIV/0!</v>
      </c>
      <c r="GI14" s="100" t="s">
        <v>99</v>
      </c>
      <c r="GJ14" s="92">
        <f>IFERROR(IF(AND($GJ$2&lt;&gt;"Enter Spend&gt;&gt;&gt;",GK2="EXISTING"),SUMIFS('Existing Customers'!$Q:$Q,'Existing Customers'!$A:$A,$GJ$1,'Existing Customers'!$H:$H,$GI14)*$GJ$4,$GJ$3*$GH14),0)</f>
        <v>0</v>
      </c>
      <c r="GK14" s="87">
        <f>IFERROR(IF(AND($GJ$2&lt;&gt;"Enter Spend&gt;&gt;&gt;",GK2="EXISTING"),SUMIFS('Existing Customers'!$N:$N,'Existing Customers'!$A:$A,$GJ$1,'Existing Customers'!$H:$H,$GI14)*$GJ$4,$GJ14/$GU14),0)</f>
        <v>0</v>
      </c>
      <c r="GL14" s="93">
        <f>IFERROR(IF(AND($GJ$2&lt;&gt;"Enter Spend&gt;&gt;&gt;",GK2="EXISTING"),SUMIFS('Existing Customers'!$O:$O,'Existing Customers'!$H:$H,$GI14,'Existing Customers'!$A:$A,$GJ$1)*$GJ$4,$GK14*$GJ$8),0)</f>
        <v>0</v>
      </c>
      <c r="GM14" s="93">
        <f>IFERROR(IF(AND($GJ$2&lt;&gt;"Enter Spend&gt;&gt;&gt;",GK2="EXISTING"),SUMIFS('Existing Customers'!$P:$P,'Existing Customers'!$A:$A,$GJ$1,'Existing Customers'!$H:$H,$GI14)*$GJ$4,$GJ14/$GV14),0)</f>
        <v>0</v>
      </c>
      <c r="GN14" s="94">
        <f>IFERROR(IF(AND($GJ$2&lt;&gt;"Enter Spend&gt;&gt;&gt;",GK2="EXISTING"),SUMIFS('Existing Customers'!$V:$V,'Existing Customers'!$H:$H,$GI14,'Existing Customers'!$A:$A,$GJ$1)*$GJ$4,0),0)</f>
        <v>0</v>
      </c>
      <c r="GO14" s="94">
        <f>IFERROR(IF(AND($GJ$2&lt;&gt;"Enter Spend&gt;&gt;&gt;",GK2="EXISTING"),SUMIFS('Existing Customers'!$R:$R,'Existing Customers'!$H:$H,$GI14,'Existing Customers'!$A:$A,$GJ$1)*$GJ$4,0),0)</f>
        <v>0</v>
      </c>
      <c r="GP14" s="1050">
        <f>IFERROR(IF(AND($GJ$2&lt;&gt;"Enter Spend&gt;&gt;&gt;",GK2="EXISTING"),SUMIFS('Existing Customers'!$S:$S,'Existing Customers'!$H:$H,$GI14,'Existing Customers'!$A:$A,$GJ$1),GZ14*GJ14),0)</f>
        <v>0</v>
      </c>
      <c r="GQ14" s="1050">
        <f>IFERROR(IF(AND($GJ$2&lt;&gt;"Enter Spend&gt;&gt;&gt;",GK2="EXISTING"),SUMIFS('Existing Customers'!$U:$U,'Existing Customers'!$H:$H,$GI14,'Existing Customers'!$A:$A,$GJ$1),HA14*GJ14),0)</f>
        <v>0</v>
      </c>
      <c r="GR14" s="1053" t="e">
        <f>_xlfn.CONCAT('Customer Inputs'!$AG$12,"_",GI14)</f>
        <v>#N/A</v>
      </c>
      <c r="GS14" s="1053">
        <f t="array" ref="GS14">IFERROR(INDEX('Margin Guidence Table'!$A$1:$AG$10000,MATCH(1,('Margin Guidence Table'!$A$1:$A$10000=GR14)*('Margin Guidence Table'!$I$1:$I$10000&lt;=ROUND($GJ$3,0))*('Margin Guidence Table'!$J$1:$J$10000&gt;=ROUND($GJ$3,0)),0),MATCH("DATA_POINTS",'Margin Guidence Table'!$A$1:$AG$1,0)),0)</f>
        <v>0</v>
      </c>
      <c r="GT14" s="1050" t="str">
        <f>IF(GS14&gt;15,"SEGMENT","DEFAULT")</f>
        <v>DEFAULT</v>
      </c>
      <c r="GU14" s="1050">
        <f t="array" ref="GU14">IFERROR(IF($GT14="SEGMENT",INDEX('Margin Guidence Table'!$A$1:$AG$10000,MATCH(1,('Margin Guidence Table'!$A$1:$A$10000=GR14)*('Margin Guidence Table'!$I$1:$I$10000&lt;=ROUND($GJ$3,0))*('Margin Guidence Table'!$J$1:$J$10000&gt;=ROUND($GJ$3,0)),0),MATCH("SALES_CASE",'Margin Guidence Table'!$A$1:$AG$1,0)),INDEX('Margin Guidence Table'!$A$1:$AG$10000,MATCH(1,('Margin Guidence Table'!$A$1:$A$10000=GR14)*('Margin Guidence Table'!$I$1:$I$10000&lt;=ROUND($GJ$3,0))*('Margin Guidence Table'!$J$1:$J$10000&gt;=ROUND($GJ$3,0)),0),MATCH("DEFAULT_SALES_CASE",'Margin Guidence Table'!$A$1:$AG$1,0))),0)</f>
        <v>0</v>
      </c>
      <c r="GV14" s="1050">
        <f t="array" ref="GV14">IFERROR(IF($GT14="SEGMENT",INDEX('Margin Guidence Table'!$A$1:$AG$10000,MATCH(1,('Margin Guidence Table'!$A$1:$A$10000=GR14)*('Margin Guidence Table'!$I$1:$I$10000&lt;=ROUND($GJ$3,0))*('Margin Guidence Table'!$J$1:$J$10000&gt;=ROUND($GJ$3,0)),0),MATCH("SALES_LBS",'Margin Guidence Table'!$A$1:$AG$1,0)),INDEX('Margin Guidence Table'!$A$1:$AG$10000,MATCH(1,('Margin Guidence Table'!$A$1:$A$10000=GR14)*('Margin Guidence Table'!$I$1:$I$10000&lt;=ROUND($GJ$3,0))*('Margin Guidence Table'!$J$1:$J$10000&gt;=ROUND($GJ$3,0)),0),MATCH("DEFAULT_SALES_LBS",'Margin Guidence Table'!$A$1:$AG$1,0))),0)</f>
        <v>0</v>
      </c>
      <c r="GW14" s="1054">
        <f t="array" ref="GW14">IFERROR(IF($GT14="SEGMENT",INDEX('Margin Guidence Table'!$A$1:$AG$10000,MATCH(1,('Margin Guidence Table'!$A$1:$A$10000=GR14)*('Margin Guidence Table'!$I$1:$I$10000&lt;=ROUND($GJ$3,0))*('Margin Guidence Table'!$J$1:$J$10000&gt;=ROUND($GJ$3,0)),0),MATCH("MDA_MIN_MARGIN_GUIDENCE",'Margin Guidence Table'!$A$1:$AG$1,0)),INDEX('Margin Guidence Table'!$A$1:$AG$10000,MATCH(1,('Margin Guidence Table'!$A$1:$A$10000=GR14)*('Margin Guidence Table'!$I$1:$I$10000&lt;=ROUND($GJ$3,0))*('Margin Guidence Table'!$J$1:$J$10000&gt;=ROUND($GJ$3,0)),0),MATCH("DEFAULT_MDA_MIN_MARGIN_GUIDENCE",'Margin Guidence Table'!$A$1:$AG$1,0))),0)</f>
        <v>0</v>
      </c>
      <c r="GX14" s="1054">
        <f t="array" ref="GX14">IFERROR(IF($GT14="SEGMENT",INDEX('Margin Guidence Table'!$A$1:$AG$10000,MATCH(1,('Margin Guidence Table'!$A$1:$A$10000=GR14)*('Margin Guidence Table'!$I$1:$I$10000&lt;=ROUND($GJ$3,0))*('Margin Guidence Table'!$J$1:$J$10000&gt;=ROUND($GJ$3,0)),0),MATCH("MDA_MEDIAN_MARGIN_GUIDENCE",'Margin Guidence Table'!$A$1:$AG$1,0)),INDEX('Margin Guidence Table'!$A$1:$AG$10000,MATCH(1,('Margin Guidence Table'!$A$1:$A$10000=GR14)*('Margin Guidence Table'!$I$1:$I$10000&lt;=ROUND($GJ$3,0))*('Margin Guidence Table'!$J$1:$J$10000&gt;=ROUND($GJ$3,0)),0),MATCH("DEFAULT_MDA_MEDIAN_MARGIN_GUIDENCE",'Margin Guidence Table'!$A$1:$AG$1,0))),0)</f>
        <v>0</v>
      </c>
      <c r="GY14" s="1054">
        <f t="array" ref="GY14">IFERROR(IF($GT14="SEGMENT",INDEX('Margin Guidence Table'!$A$1:$AG$10000,MATCH(1,('Margin Guidence Table'!$A$1:$A$10000=GR14)*('Margin Guidence Table'!$I$1:$I$10000&lt;=ROUND($GJ$3,0))*('Margin Guidence Table'!$J$1:$J$10000&gt;=ROUND($GJ$3,0)),0),MATCH("MDA_MAX_MARGIN_GUIDENCE",'Margin Guidence Table'!$A$1:$AG$1,0)),INDEX('Margin Guidence Table'!$A$1:$AG$10000,MATCH(1,('Margin Guidence Table'!$A$1:$A$10000=GR14)*('Margin Guidence Table'!$I$1:$I$10000&lt;=ROUND($GJ$3,0))*('Margin Guidence Table'!$J$1:$J$10000&gt;=ROUND($GJ$3,0)),0),MATCH("DEFAULT_MDA_MAX_MARGIN_GUIDENCE",'Margin Guidence Table'!$A$1:$AG$1,0))),0)</f>
        <v>0</v>
      </c>
      <c r="GZ14" s="1054">
        <f t="array" ref="GZ14">IFERROR(IF($GT14="SEGMENT",INDEX('Margin Guidence Table'!$A$1:$AG$10000,MATCH(1,('Margin Guidence Table'!$A$1:$A$10000=GR14)*('Margin Guidence Table'!$I$1:$I$10000&lt;=ROUND($GJ$3,0))*('Margin Guidence Table'!$J$1:$J$10000&gt;=ROUND($GJ$3,0)),0),MATCH("PA_PCT_SALES",'Margin Guidence Table'!$A$1:$AG$1,0)),INDEX('Margin Guidence Table'!$A$1:$AG$10000,MATCH(1,('Margin Guidence Table'!$A$1:$A$10000=GR14)*('Margin Guidence Table'!$I$1:$I$10000&lt;=ROUND($GJ$3,0))*('Margin Guidence Table'!$J$1:$J$10000&gt;=ROUND($GJ$3,0)),0),MATCH("DEFAULT_PA_PCT_SALES",'Margin Guidence Table'!$A$1:$AG$1,0))),0)</f>
        <v>0</v>
      </c>
      <c r="HA14" s="1054">
        <f t="array" ref="HA14">IFERROR(IF($GT14="SEGMENT",INDEX('Margin Guidence Table'!$A$1:$AG$10000,MATCH(1,('Margin Guidence Table'!$A$1:$A$10000=GR14)*('Margin Guidence Table'!$I$1:$I$10000&lt;=ROUND($GJ$3,0))*('Margin Guidence Table'!$J$1:$J$10000&gt;=ROUND($GJ$3,0)),0),MATCH("SELF_FUND_PCT_SALES",'Margin Guidence Table'!$A$1:$AG$1,0)),INDEX('Margin Guidence Table'!$A$1:$AG$10000,MATCH(1,('Margin Guidence Table'!$A$1:$A$10000=GR14)*('Margin Guidence Table'!$I$1:$I$10000&lt;=ROUND($GJ$3,0))*('Margin Guidence Table'!$J$1:$J$10000&gt;=ROUND($GJ$3,0)),0),MATCH("DEFAULT_SELF_FUND_PCT_SALES",'Margin Guidence Table'!$A$1:$AG$1,0))),0)</f>
        <v>0</v>
      </c>
      <c r="HB14" s="1054">
        <f t="array" ref="HB14">IFERROR(IF($GT14="SEGMENT",INDEX('Margin Guidence Table'!$A$1:$AG$10000,MATCH(1,('Margin Guidence Table'!$A$1:$A$10000=GR14)*('Margin Guidence Table'!$I$1:$I$10000&lt;=ROUND($GJ$3,0))*('Margin Guidence Table'!$J$1:$J$10000&gt;=ROUND($GJ$3,0)),0),MATCH("CIA_MEDIAN_MARGIN_GUIDENCE",'Margin Guidence Table'!$A$1:$AG$1,0)),INDEX('Margin Guidence Table'!$A$1:$AG$10000,MATCH(1,('Margin Guidence Table'!$A$1:$A$10000=GR14)*('Margin Guidence Table'!$I$1:$I$10000&lt;=ROUND($GJ$3,0))*('Margin Guidence Table'!$J$1:$J$10000&gt;=ROUND($GJ$3,0)),0),MATCH("DEFAULT_CIA_MEDIAN_MARGIN_GUIDENCE",'Margin Guidence Table'!$A$1:$AG$1,0))),0)</f>
        <v>0</v>
      </c>
      <c r="HC14" s="127"/>
      <c r="HD14" s="18">
        <f t="array" ref="HD14">IFERROR(IF($HQ14="SEGMENT",INDEX('Margin Guidence Table'!$A$1:$AG$10000,MATCH(1,('Margin Guidence Table'!$A$1:$A$10000=$HO14)*('Margin Guidence Table'!$I$1:$I$10000&lt;=ROUND($HG$3,0))*('Margin Guidence Table'!$J$1:$J$10000&gt;=ROUND($HG$3,0)),0),MATCH("PCT_SALES",'Margin Guidence Table'!$A$1:$AG$1,0)),INDEX('Margin Guidence Table'!$A$1:$AG$10000,MATCH(1,('Margin Guidence Table'!$A$1:$A$10000=$HO14)*('Margin Guidence Table'!$I$1:$I$10000&lt;=ROUND($HG$3,0))*('Margin Guidence Table'!$J$1:$J$10000&gt;=ROUND($HG$3,0)),0),MATCH("DEFAULT_PCT_SALES",'Margin Guidence Table'!$A$1:$AG$1,0))),0)</f>
        <v>0</v>
      </c>
      <c r="HE14" s="370" t="e">
        <f>HD14/$HD$35</f>
        <v>#DIV/0!</v>
      </c>
      <c r="HF14" s="100" t="s">
        <v>99</v>
      </c>
      <c r="HG14" s="92">
        <f>IFERROR(IF(AND($HG$2&lt;&gt;"Enter Spend&gt;&gt;&gt;",HH2="EXISTING"),SUMIFS('Existing Customers'!$Q:$Q,'Existing Customers'!$A:$A,$HG$1,'Existing Customers'!$H:$H,$HF14)*$HG$4,$HG$3*$HE14),0)</f>
        <v>0</v>
      </c>
      <c r="HH14" s="87">
        <f>IFERROR(IF(AND($HG$2&lt;&gt;"Enter Spend&gt;&gt;&gt;",HH2="EXISTING"),SUMIFS('Existing Customers'!$N:$N,'Existing Customers'!$A:$A,$HG$1,'Existing Customers'!$H:$H,$HF14)*$HG$4,$HG14/$HR14),0)</f>
        <v>0</v>
      </c>
      <c r="HI14" s="93">
        <f>IFERROR(IF(AND($HG$2&lt;&gt;"Enter Spend&gt;&gt;&gt;",HH2="EXISTING"),SUMIFS('Existing Customers'!$O:$O,'Existing Customers'!$H:$H,$HF14,'Existing Customers'!$A:$A,$HG$1)*$HG$4,$HH14*$HG$8),0)</f>
        <v>0</v>
      </c>
      <c r="HJ14" s="93">
        <f>IFERROR(IF(AND($HG$2&lt;&gt;"Enter Spend&gt;&gt;&gt;",HH2="EXISTING"),SUMIFS('Existing Customers'!$P:$P,'Existing Customers'!$A:$A,$HG$1,'Existing Customers'!$H:$H,$HF14)*$HG$4,$HG14/$HS14),0)</f>
        <v>0</v>
      </c>
      <c r="HK14" s="94">
        <f>IFERROR(IF(AND($HG$2&lt;&gt;"Enter Spend&gt;&gt;&gt;",HH2="EXISTING"),SUMIFS('Existing Customers'!$V:$V,'Existing Customers'!$H:$H,$HF14,'Existing Customers'!$A:$A,$HG$1)*$HG$4,0),0)</f>
        <v>0</v>
      </c>
      <c r="HL14" s="94">
        <f>IFERROR(IF(AND($HG$2&lt;&gt;"Enter Spend&gt;&gt;&gt;",HH2="EXISTING"),SUMIFS('Existing Customers'!$R:$R,'Existing Customers'!$H:$H,$HF14,'Existing Customers'!$A:$A,$HG$1)*$HG$4,0),0)</f>
        <v>0</v>
      </c>
      <c r="HM14" s="1050">
        <f>IFERROR(IF(AND($HG$2&lt;&gt;"Enter Spend&gt;&gt;&gt;",HH2="EXISTING"),SUMIFS('Existing Customers'!$S:$S,'Existing Customers'!$H:$H,$HF14,'Existing Customers'!$A:$A,$HG$1),HW14*HG14),0)</f>
        <v>0</v>
      </c>
      <c r="HN14" s="1050">
        <f>IFERROR(IF(AND($HG$2&lt;&gt;"Enter Spend&gt;&gt;&gt;",HH2="EXISTING"),SUMIFS('Existing Customers'!$U:$U,'Existing Customers'!$H:$H,$HF14,'Existing Customers'!$A:$A,$HG$1),HX14*HG14),0)</f>
        <v>0</v>
      </c>
      <c r="HO14" s="1053" t="e">
        <f>_xlfn.CONCAT('Customer Inputs'!$AG$13,"_",HF14)</f>
        <v>#N/A</v>
      </c>
      <c r="HP14" s="1053">
        <f t="array" ref="HP14">IFERROR(INDEX('Margin Guidence Table'!$A$1:$AG$10000,MATCH(1,('Margin Guidence Table'!$A$1:$A$10000=HO14)*('Margin Guidence Table'!$I$1:$I$10000&lt;=ROUND($HG$3,0))*('Margin Guidence Table'!$J$1:$J$10000&gt;=ROUND($HG$3,0)),0),MATCH("DATA_POINTS",'Margin Guidence Table'!$A$1:$AG$1,0)),0)</f>
        <v>0</v>
      </c>
      <c r="HQ14" s="1050" t="str">
        <f>IF(HP14&gt;15,"SEGMENT","DEFAULT")</f>
        <v>DEFAULT</v>
      </c>
      <c r="HR14" s="1050">
        <f t="array" ref="HR14">IFERROR(IF($HQ14="SEGMENT",INDEX('Margin Guidence Table'!$A$1:$AG$10000,MATCH(1,('Margin Guidence Table'!$A$1:$A$10000=HO14)*('Margin Guidence Table'!$I$1:$I$10000&lt;=ROUND($HG$3,0))*('Margin Guidence Table'!$J$1:$J$10000&gt;=ROUND($HG$3,0)),0),MATCH("SALES_CASE",'Margin Guidence Table'!$A$1:$AG$1,0)),INDEX('Margin Guidence Table'!$A$1:$AG$10000,MATCH(1,('Margin Guidence Table'!$A$1:$A$10000=HO14)*('Margin Guidence Table'!$I$1:$I$10000&lt;=ROUND($HG$3,0))*('Margin Guidence Table'!$J$1:$J$10000&gt;=ROUND($HG$3,0)),0),MATCH("DEFAULT_SALES_CASE",'Margin Guidence Table'!$A$1:$AG$1,0))),0)</f>
        <v>0</v>
      </c>
      <c r="HS14" s="1050">
        <f t="array" ref="HS14">IFERROR(IF($HQ14="SEGMENT",INDEX('Margin Guidence Table'!$A$1:$AG$10000,MATCH(1,('Margin Guidence Table'!$A$1:$A$10000=HO14)*('Margin Guidence Table'!$I$1:$I$10000&lt;=ROUND($HG$3,0))*('Margin Guidence Table'!$J$1:$J$10000&gt;=ROUND($HG$3,0)),0),MATCH("SALES_LBS",'Margin Guidence Table'!$A$1:$AG$1,0)),INDEX('Margin Guidence Table'!$A$1:$AG$10000,MATCH(1,('Margin Guidence Table'!$A$1:$A$10000=HO14)*('Margin Guidence Table'!$I$1:$I$10000&lt;=ROUND($HG$3,0))*('Margin Guidence Table'!$J$1:$J$10000&gt;=ROUND($HG$3,0)),0),MATCH("DEFAULT_SALES_LBS",'Margin Guidence Table'!$A$1:$AG$1,0))),0)</f>
        <v>0</v>
      </c>
      <c r="HT14" s="1054">
        <f t="array" ref="HT14">IFERROR(IF($HQ14="SEGMENT",INDEX('Margin Guidence Table'!$A$1:$AG$10000,MATCH(1,('Margin Guidence Table'!$A$1:$A$10000=HO14)*('Margin Guidence Table'!$I$1:$I$10000&lt;=ROUND($HG$3,0))*('Margin Guidence Table'!$J$1:$J$10000&gt;=ROUND($HG$3,0)),0),MATCH("MDA_MIN_MARGIN_GUIDENCE",'Margin Guidence Table'!$A$1:$AG$1,0)),INDEX('Margin Guidence Table'!$A$1:$AG$10000,MATCH(1,('Margin Guidence Table'!$A$1:$A$10000=HO14)*('Margin Guidence Table'!$I$1:$I$10000&lt;=ROUND($HG$3,0))*('Margin Guidence Table'!$J$1:$J$10000&gt;=ROUND($HG$3,0)),0),MATCH("DEFAULT_MDA_MIN_MARGIN_GUIDENCE",'Margin Guidence Table'!$A$1:$AG$1,0))),0)</f>
        <v>0</v>
      </c>
      <c r="HU14" s="1054">
        <f t="array" ref="HU14">IFERROR(IF($HQ14="SEGMENT",INDEX('Margin Guidence Table'!$A$1:$AG$10000,MATCH(1,('Margin Guidence Table'!$A$1:$A$10000=HO14)*('Margin Guidence Table'!$I$1:$I$10000&lt;=ROUND($HG$3,0))*('Margin Guidence Table'!$J$1:$J$10000&gt;=ROUND($HG$3,0)),0),MATCH("MDA_MEDIAN_MARGIN_GUIDENCE",'Margin Guidence Table'!$A$1:$AG$1,0)),INDEX('Margin Guidence Table'!$A$1:$AG$10000,MATCH(1,('Margin Guidence Table'!$A$1:$A$10000=HO14)*('Margin Guidence Table'!$I$1:$I$10000&lt;=ROUND($HG$3,0))*('Margin Guidence Table'!$J$1:$J$10000&gt;=ROUND($HG$3,0)),0),MATCH("DEFAULT_MDA_MEDIAN_MARGIN_GUIDENCE",'Margin Guidence Table'!$A$1:$AG$1,0))),0)</f>
        <v>0</v>
      </c>
      <c r="HV14" s="1054">
        <f t="array" ref="HV14">IFERROR(IF($HQ14="SEGMENT",INDEX('Margin Guidence Table'!$A$1:$AG$10000,MATCH(1,('Margin Guidence Table'!$A$1:$A$10000=HO14)*('Margin Guidence Table'!$I$1:$I$10000&lt;=ROUND($HG$3,0))*('Margin Guidence Table'!$J$1:$J$10000&gt;=ROUND($HG$3,0)),0),MATCH("MDA_MAX_MARGIN_GUIDENCE",'Margin Guidence Table'!$A$1:$AG$1,0)),INDEX('Margin Guidence Table'!$A$1:$AG$10000,MATCH(1,('Margin Guidence Table'!$A$1:$A$10000=HO14)*('Margin Guidence Table'!$I$1:$I$10000&lt;=ROUND($HG$3,0))*('Margin Guidence Table'!$J$1:$J$10000&gt;=ROUND($HG$3,0)),0),MATCH("DEFAULT_MDA_MAX_MARGIN_GUIDENCE",'Margin Guidence Table'!$A$1:$AG$1,0))),0)</f>
        <v>0</v>
      </c>
      <c r="HW14" s="1054">
        <f t="array" ref="HW14">IFERROR(IF($HQ14="SEGMENT",INDEX('Margin Guidence Table'!$A$1:$AG$10000,MATCH(1,('Margin Guidence Table'!$A$1:$A$10000=HO14)*('Margin Guidence Table'!$I$1:$I$10000&lt;=ROUND($HG$3,0))*('Margin Guidence Table'!$J$1:$J$10000&gt;=ROUND($HG$3,0)),0),MATCH("PA_PCT_SALES",'Margin Guidence Table'!$A$1:$AG$1,0)),INDEX('Margin Guidence Table'!$A$1:$AG$10000,MATCH(1,('Margin Guidence Table'!$A$1:$A$10000=HO14)*('Margin Guidence Table'!$I$1:$I$10000&lt;=ROUND($HG$3,0))*('Margin Guidence Table'!$J$1:$J$10000&gt;=ROUND($HG$3,0)),0),MATCH("DEFAULT_PA_PCT_SALES",'Margin Guidence Table'!$A$1:$AG$1,0))),0)</f>
        <v>0</v>
      </c>
      <c r="HX14" s="1054">
        <f t="array" ref="HX14">IFERROR(IF($HQ14="SEGMENT",INDEX('Margin Guidence Table'!$A$1:$AG$10000,MATCH(1,('Margin Guidence Table'!$A$1:$A$10000=HO14)*('Margin Guidence Table'!$I$1:$I$10000&lt;=ROUND($HG$3,0))*('Margin Guidence Table'!$J$1:$J$10000&gt;=ROUND($HG$3,0)),0),MATCH("SELF_FUND_PCT_SALES",'Margin Guidence Table'!$A$1:$AG$1,0)),INDEX('Margin Guidence Table'!$A$1:$AG$10000,MATCH(1,('Margin Guidence Table'!$A$1:$A$10000=HO14)*('Margin Guidence Table'!$I$1:$I$10000&lt;=ROUND($HG$3,0))*('Margin Guidence Table'!$J$1:$J$10000&gt;=ROUND($HG$3,0)),0),MATCH("DEFAULT_SELF_FUND_PCT_SALES",'Margin Guidence Table'!$A$1:$AG$1,0))),0)</f>
        <v>0</v>
      </c>
      <c r="HY14" s="1054">
        <f t="array" ref="HY14">IFERROR(IF($HQ14="SEGMENT",INDEX('Margin Guidence Table'!$A$1:$AG$10000,MATCH(1,('Margin Guidence Table'!$A$1:$A$10000=HO14)*('Margin Guidence Table'!$I$1:$I$10000&lt;=ROUND($HG$3,0))*('Margin Guidence Table'!$J$1:$J$10000&gt;=ROUND($HG$3,0)),0),MATCH("CIA_MEDIAN_MARGIN_GUIDENCE",'Margin Guidence Table'!$A$1:$AG$1,0)),INDEX('Margin Guidence Table'!$A$1:$AG$10000,MATCH(1,('Margin Guidence Table'!$A$1:$A$10000=HO14)*('Margin Guidence Table'!$I$1:$I$10000&lt;=ROUND($HG$3,0))*('Margin Guidence Table'!$J$1:$J$10000&gt;=ROUND($HG$3,0)),0),MATCH("DEFAULT_CIA_MEDIAN_MARGIN_GUIDENCE",'Margin Guidence Table'!$A$1:$AG$1,0))),0)</f>
        <v>0</v>
      </c>
      <c r="HZ14" s="127"/>
      <c r="IA14" s="18">
        <f t="array" ref="IA14">IFERROR(IF($IN14="SEGMENT",INDEX('Margin Guidence Table'!$A:$AC,MATCH(1,('Margin Guidence Table'!$A:$A=$IL14)*('Margin Guidence Table'!$H:$H&lt;=ROUND($ID$3,0))*('Margin Guidence Table'!$G:$G&gt;=ROUND($ID$3,0)),0),MATCH("PCT_SALES",'Margin Guidence Table'!$A$1:$AG$1,0)),INDEX('Margin Guidence Table'!$A:$AC,MATCH(1,('Margin Guidence Table'!$A:$A=$IL14)*('Margin Guidence Table'!$H:$H&lt;=ROUND($ID$3,0))*('Margin Guidence Table'!$G:$G&gt;=ROUND($ID$3,0)),0),MATCH("DEFAULT_PCT_SALES",'Margin Guidence Table'!$A$1:$AG$1,0))),0)</f>
        <v>0</v>
      </c>
      <c r="IB14" s="370" t="e">
        <f>IA14/$IA$35</f>
        <v>#DIV/0!</v>
      </c>
      <c r="IC14" s="100" t="s">
        <v>99</v>
      </c>
      <c r="ID14" s="92">
        <f>IFERROR(IF(AND($ID$2&lt;&gt;"Enter Spend&gt;&gt;&gt;",IE2="EXISTING"),SUMIFS('Existing Customers'!$Q:$Q,'Existing Customers'!$A:$A,$ID$1,'Existing Customers'!$H:$H,$IC14)*$ID$4,$ID$3*$IB14),0)</f>
        <v>0</v>
      </c>
      <c r="IE14" s="87">
        <f>IFERROR(IF(AND($ID$2&lt;&gt;"Enter Spend&gt;&gt;&gt;",IE2="EXISTING"),SUMIFS('Existing Customers'!$N:$N,'Existing Customers'!$A:$A,$ID$1,'Existing Customers'!$H:$H,$IC14)*$ID$4,$ID14/$IO14),0)</f>
        <v>0</v>
      </c>
      <c r="IF14" s="93">
        <f>IFERROR(IF(AND($ID$2&lt;&gt;"Enter Spend&gt;&gt;&gt;",IE2="EXISTING"),SUMIFS('Existing Customers'!$O:$O,'Existing Customers'!$H:$H,$IC14,'Existing Customers'!$A:$A,$ID$1)*$ID$4,$IE14*$ID$8),0)</f>
        <v>0</v>
      </c>
      <c r="IG14" s="93">
        <f>IFERROR(IF(AND($ID$2&lt;&gt;"Enter Spend&gt;&gt;&gt;",IE2="EXISTING"),SUMIFS('Existing Customers'!$P:$P,'Existing Customers'!$A:$A,$ID$1,'Existing Customers'!$H:$H,$IC14)*$ID$4,$ID14/$IP14),0)</f>
        <v>0</v>
      </c>
      <c r="IH14" s="376">
        <f>IFERROR(IF(AND($ID$2&lt;&gt;"Enter Spend&gt;&gt;&gt;",IE2="EXISTING"),SUMIFS('Existing Customers'!$V:$V,'Existing Customers'!$H:$H,$IC14,'Existing Customers'!$A:$A,$ID$1)*$ID$4,0),0)</f>
        <v>0</v>
      </c>
      <c r="II14" s="94">
        <f>IFERROR(IF(AND($ID$2&lt;&gt;"Enter Spend&gt;&gt;&gt;",IE2="EXISTING"),SUMIFS('Existing Customers'!$R:$R,'Existing Customers'!$H:$H,$IC14,'Existing Customers'!$A:$A,$ID$1)*$ID$4,0),0)</f>
        <v>0</v>
      </c>
      <c r="IJ14" s="1050">
        <f>IFERROR(IF(AND($ID$2&lt;&gt;"Enter Spend&gt;&gt;&gt;",IE2="EXISTING"),SUMIFS('Existing Customers'!$S:$S,'Existing Customers'!$H:$H,$IC14,'Existing Customers'!$A:$A,$ID$1),IT14*ID14),0)</f>
        <v>0</v>
      </c>
      <c r="IK14" s="1050">
        <f>IFERROR(IF(AND($ID$2&lt;&gt;"Enter Spend&gt;&gt;&gt;",IE2="EXISTING"),SUMIFS('Existing Customers'!$U:$U,'Existing Customers'!$H:$H,$IC14,'Existing Customers'!$A:$A,$ID$1),IU14*ID14),0)</f>
        <v>0</v>
      </c>
      <c r="IL14" s="1053" t="e">
        <f>_xlfn.CONCAT('Customer Inputs'!$AG$14,"_",IC14)</f>
        <v>#N/A</v>
      </c>
      <c r="IM14" s="1053">
        <f t="array" ref="IM14">IFERROR(INDEX('Margin Guidence Table'!$A$1:$AG$10000,MATCH(1,('Margin Guidence Table'!$A$1:$A$10000=IL14)*('Margin Guidence Table'!$I$1:$I$10000&lt;=ROUND($ID$3,0))*('Margin Guidence Table'!$J$1:$J$10000&gt;=ROUND($ID$3,0)),0),MATCH("DATA_POINTS",'Margin Guidence Table'!$A$1:$AG$1,0)),0)</f>
        <v>0</v>
      </c>
      <c r="IN14" s="1050" t="str">
        <f>IF(IM14&gt;15,"SEGMENT","DEFAULT")</f>
        <v>DEFAULT</v>
      </c>
      <c r="IO14" s="1050">
        <f t="array" ref="IO14">IFERROR(IF($IN14="SEGMENT",INDEX('Margin Guidence Table'!$A$1:$AG$10000,MATCH(1,('Margin Guidence Table'!$A$1:$A$10000=IL14)*('Margin Guidence Table'!$I$1:$I$10000&lt;=ROUND($ID$3,0))*('Margin Guidence Table'!$J$1:$J$10000&gt;=ROUND($ID$3,0)),0),MATCH("SALES_CASE",'Margin Guidence Table'!$A$1:$AG$1,0)),INDEX('Margin Guidence Table'!$A$1:$AG$10000,MATCH(1,('Margin Guidence Table'!$A$1:$A$10000=IL14)*('Margin Guidence Table'!$I$1:$I$10000&lt;=ROUND($ID$3,0))*('Margin Guidence Table'!$J$1:$J$10000&gt;=ROUND($ID$3,0)),0),MATCH("DEFAULT_SALES_CASE",'Margin Guidence Table'!$A$1:$AG$1,0))),0)</f>
        <v>0</v>
      </c>
      <c r="IP14" s="1050">
        <f t="array" ref="IP14">IFERROR(IF($IN14="SEGMENT",INDEX('Margin Guidence Table'!$A$1:$AG$10000,MATCH(1,('Margin Guidence Table'!$A$1:$A$10000=IL14)*('Margin Guidence Table'!$I$1:$I$10000&lt;=ROUND($ID$3,0))*('Margin Guidence Table'!$J$1:$J$10000&gt;=ROUND($ID$3,0)),0),MATCH("SALES_LBS",'Margin Guidence Table'!$A$1:$AG$1,0)),INDEX('Margin Guidence Table'!$A$1:$AG$10000,MATCH(1,('Margin Guidence Table'!$A$1:$A$10000=IL14)*('Margin Guidence Table'!$I$1:$I$10000&lt;=ROUND($ID$3,0))*('Margin Guidence Table'!$J$1:$J$10000&gt;=ROUND($ID$3,0)),0),MATCH("DEFAULT_SALES_LBS",'Margin Guidence Table'!$A$1:$AG$1,0))),0)</f>
        <v>0</v>
      </c>
      <c r="IQ14" s="1054">
        <f t="array" ref="IQ14">IFERROR(IF($IN14="SEGMENT",INDEX('Margin Guidence Table'!$A$1:$AG$10000,MATCH(1,('Margin Guidence Table'!$A$1:$A$10000=IL14)*('Margin Guidence Table'!$I$1:$I$10000&lt;=ROUND($ID$3,0))*('Margin Guidence Table'!$J$1:$J$10000&gt;=ROUND($ID$3,0)),0),MATCH("MDA_MIN_MARGIN_GUIDENCE",'Margin Guidence Table'!$A$1:$AG$1,0)),INDEX('Margin Guidence Table'!$A$1:$AG$10000,MATCH(1,('Margin Guidence Table'!$A$1:$A$10000=IL14)*('Margin Guidence Table'!$I$1:$I$10000&lt;=ROUND($ID$3,0))*('Margin Guidence Table'!$J$1:$J$10000&gt;=ROUND($ID$3,0)),0),MATCH("DEFAULT_MDA_MIN_MARGIN_GUIDENCE",'Margin Guidence Table'!$A$1:$AG$1,0))),0)</f>
        <v>0</v>
      </c>
      <c r="IR14" s="1054">
        <f t="array" ref="IR14">IFERROR(IF($IN14="SEGMENT",INDEX('Margin Guidence Table'!$A$1:$AG$10000,MATCH(1,('Margin Guidence Table'!$A$1:$A$10000=IL14)*('Margin Guidence Table'!$I$1:$I$10000&lt;=ROUND($ID$3,0))*('Margin Guidence Table'!$J$1:$J$10000&gt;=ROUND($ID$3,0)),0),MATCH("MDA_MEDIAN_MARGIN_GUIDENCE",'Margin Guidence Table'!$A$1:$AG$1,0)),INDEX('Margin Guidence Table'!$A$1:$AG$10000,MATCH(1,('Margin Guidence Table'!$A$1:$A$10000=IL14)*('Margin Guidence Table'!$I$1:$I$10000&lt;=ROUND($ID$3,0))*('Margin Guidence Table'!$J$1:$J$10000&gt;=ROUND($ID$3,0)),0),MATCH("DEFAULT_MDA_MEDIAN_MARGIN_GUIDENCE",'Margin Guidence Table'!$A$1:$AG$1,0))),0)</f>
        <v>0</v>
      </c>
      <c r="IS14" s="1054">
        <f t="array" ref="IS14">IFERROR(IF($IN14="SEGMENT",INDEX('Margin Guidence Table'!$A$1:$AG$10000,MATCH(1,('Margin Guidence Table'!$A$1:$A$10000=IL14)*('Margin Guidence Table'!$I$1:$I$10000&lt;=ROUND($ID$3,0))*('Margin Guidence Table'!$J$1:$J$10000&gt;=ROUND($ID$3,0)),0),MATCH("MDA_MAX_MARGIN_GUIDENCE",'Margin Guidence Table'!$A$1:$AG$1,0)),INDEX('Margin Guidence Table'!$A$1:$AG$10000,MATCH(1,('Margin Guidence Table'!$A$1:$A$10000=IL14)*('Margin Guidence Table'!$I$1:$I$10000&lt;=ROUND($ID$3,0))*('Margin Guidence Table'!$J$1:$J$10000&gt;=ROUND($ID$3,0)),0),MATCH("DEFAULT_MDA_MAX_MARGIN_GUIDENCE",'Margin Guidence Table'!$A$1:$AG$1,0))),0)</f>
        <v>0</v>
      </c>
      <c r="IT14" s="1054">
        <f t="array" ref="IT14">IFERROR(IF($IN14="SEGMENT",INDEX('Margin Guidence Table'!$A$1:$AG$10000,MATCH(1,('Margin Guidence Table'!$A$1:$A$10000=IL14)*('Margin Guidence Table'!$I$1:$I$10000&lt;=ROUND($ID$3,0))*('Margin Guidence Table'!$J$1:$J$10000&gt;=ROUND($ID$3,0)),0),MATCH("PA_PCT_SALES",'Margin Guidence Table'!$A$1:$AG$1,0)),INDEX('Margin Guidence Table'!$A$1:$AG$10000,MATCH(1,('Margin Guidence Table'!$A$1:$A$10000=IL14)*('Margin Guidence Table'!$I$1:$I$10000&lt;=ROUND($ID$3,0))*('Margin Guidence Table'!$J$1:$J$10000&gt;=ROUND($ID$3,0)),0),MATCH("DEFAULT_PA_PCT_SALES",'Margin Guidence Table'!$A$1:$AG$1,0))),0)</f>
        <v>0</v>
      </c>
      <c r="IU14" s="1054">
        <f t="array" ref="IU14">IFERROR(IF($IN14="SEGMENT",INDEX('Margin Guidence Table'!$A$1:$AG$10000,MATCH(1,('Margin Guidence Table'!$A$1:$A$10000=IL14)*('Margin Guidence Table'!$I$1:$I$10000&lt;=ROUND($ID$3,0))*('Margin Guidence Table'!$J$1:$J$10000&gt;=ROUND($ID$3,0)),0),MATCH("SELF_FUND_PCT_SALES",'Margin Guidence Table'!$A$1:$AG$1,0)),INDEX('Margin Guidence Table'!$A$1:$AG$10000,MATCH(1,('Margin Guidence Table'!$A$1:$A$10000=IL14)*('Margin Guidence Table'!$I$1:$I$10000&lt;=ROUND($ID$3,0))*('Margin Guidence Table'!$J$1:$J$10000&gt;=ROUND($ID$3,0)),0),MATCH("DEFAULT_SELF_FUND_PCT_SALES",'Margin Guidence Table'!$A$1:$AG$1,0))),0)</f>
        <v>0</v>
      </c>
      <c r="IV14" s="1054">
        <f t="array" ref="IV14">IFERROR(IF($IN14="SEGMENT",INDEX('Margin Guidence Table'!$A$1:$AG$10000,MATCH(1,('Margin Guidence Table'!$A$1:$A$10000=IL14)*('Margin Guidence Table'!$I$1:$I$10000&lt;=ROUND($ID$3,0))*('Margin Guidence Table'!$J$1:$J$10000&gt;=ROUND($ID$3,0)),0),MATCH("CIA_MEDIAN_MARGIN_GUIDENCE",'Margin Guidence Table'!$A$1:$AG$1,0)),INDEX('Margin Guidence Table'!$A$1:$AG$10000,MATCH(1,('Margin Guidence Table'!$A$1:$A$10000=IL14)*('Margin Guidence Table'!$I$1:$I$10000&lt;=ROUND($ID$3,0))*('Margin Guidence Table'!$J$1:$J$10000&gt;=ROUND($ID$3,0)),0),MATCH("DEFAULT_CIA_MEDIAN_MARGIN_GUIDENCE",'Margin Guidence Table'!$A$1:$AG$1,0))),0)</f>
        <v>0</v>
      </c>
      <c r="IW14" s="127"/>
      <c r="IX14" s="18">
        <f t="array" ref="IX14">IFERROR(IF($JK14="SEGMENT",INDEX('Margin Guidence Table'!$A$1:$AG$10000,MATCH(1,('Margin Guidence Table'!$A$1:$A$10000=$JI14)*('Margin Guidence Table'!$I$1:$I$10000&lt;=ROUND($JA$3,0))*('Margin Guidence Table'!$J$1:$J$10000&gt;=ROUND($JA$3,0)),0),MATCH("PCT_SALES",'Margin Guidence Table'!$A$1:$AG$1,0)),INDEX('Margin Guidence Table'!$A$1:$AG$10000,MATCH(1,('Margin Guidence Table'!$A$1:$A$10000=$JI14)*('Margin Guidence Table'!$I$1:$I$10000&lt;=ROUND($JA$3,0))*('Margin Guidence Table'!$J$1:$J$10000&gt;=ROUND($JA$3,0)),0),MATCH("DEFAULT_PCT_SALES",'Margin Guidence Table'!$A$1:$AG$1,0))),0)</f>
        <v>0</v>
      </c>
      <c r="IY14" s="370" t="e">
        <f>IX14/$IX$35</f>
        <v>#DIV/0!</v>
      </c>
      <c r="IZ14" s="100" t="s">
        <v>99</v>
      </c>
      <c r="JA14" s="92">
        <f>IFERROR(IF(AND($JA$2&lt;&gt;"Enter Spend&gt;&gt;&gt;",JB2="EXISTING"),SUMIFS('Existing Customers'!$Q:$Q,'Existing Customers'!$A:$A,$JA$1,'Existing Customers'!$H:$H,$IZ14)*$JA$4,$JA$3*$IY14),0)</f>
        <v>0</v>
      </c>
      <c r="JB14" s="87">
        <f>IFERROR(IF(AND($JA$2&lt;&gt;"Enter Spend&gt;&gt;&gt;",JB2="EXISTING"),SUMIFS('Existing Customers'!$N:$N,'Existing Customers'!$A:$A,$JA$1,'Existing Customers'!$H:$H,$IZ14)*$JA$4,$JA14/$JL14),0)</f>
        <v>0</v>
      </c>
      <c r="JC14" s="93">
        <f>IFERROR(IF(AND($JA$2&lt;&gt;"Enter Spend&gt;&gt;&gt;",JB2="EXISTING"),SUMIFS('Existing Customers'!$O:$O,'Existing Customers'!$H:$H,$IZ14,'Existing Customers'!$A:$A,$JA$1)*$JA$4,$JB14*$JA$8),0)</f>
        <v>0</v>
      </c>
      <c r="JD14" s="93">
        <f>IFERROR(IF(AND($JA$2&lt;&gt;"Enter Spend&gt;&gt;&gt;",JB2="EXISTING"),SUMIFS('Existing Customers'!$P:$P,'Existing Customers'!$A:$A,$JA$1,'Existing Customers'!$H:$H,$IZ14)*$JA$4,$JA14/$JM14),0)</f>
        <v>0</v>
      </c>
      <c r="JE14" s="376">
        <f>IFERROR(IF(AND($JA$2&lt;&gt;"Enter Spend&gt;&gt;&gt;",JB2="EXISTING"),SUMIFS('Existing Customers'!$V:$V,'Existing Customers'!$H:$H,$IZ14,'Existing Customers'!$A:$A,$JA$1)*$JA$4,0),0)</f>
        <v>0</v>
      </c>
      <c r="JF14" s="94">
        <f>IFERROR(IF(AND($JA$2&lt;&gt;"Enter Spend&gt;&gt;&gt;",JB2="EXISTING"),SUMIFS('Existing Customers'!$R:$R,'Existing Customers'!$H:$H,$IZ14,'Existing Customers'!$A:$A,$JA$1)*$JA$4,0),0)</f>
        <v>0</v>
      </c>
      <c r="JG14" s="1050">
        <f>IFERROR(IF(AND($JA$2&lt;&gt;"Enter Spend&gt;&gt;&gt;",JB2="EXISTING"),SUMIFS('Existing Customers'!$S:$S,'Existing Customers'!$H:$H,$IZ14,'Existing Customers'!$A:$A,$JA$1),JQ14*JA14),0)</f>
        <v>0</v>
      </c>
      <c r="JH14" s="1050">
        <f>IFERROR(IF(AND($JA$2&lt;&gt;"Enter Spend&gt;&gt;&gt;",JB2="EXISTING"),SUMIFS('Existing Customers'!$U:$U,'Existing Customers'!$H:$H,$IZ14,'Existing Customers'!$A:$A,$JA$1),JR14*JA14),0)</f>
        <v>0</v>
      </c>
      <c r="JI14" s="1053" t="e">
        <f>_xlfn.CONCAT('Customer Inputs'!$AG$15,"_",IZ14)</f>
        <v>#N/A</v>
      </c>
      <c r="JJ14" s="1053">
        <f t="array" ref="JJ14">IFERROR(INDEX('Margin Guidence Table'!$A$1:$AG$10000,MATCH(1,('Margin Guidence Table'!$A$1:$A$10000=JI14)*('Margin Guidence Table'!$I$1:$I$10000&lt;=ROUND($JA$3,0))*('Margin Guidence Table'!$J$1:$J$10000&gt;=ROUND($JA$3,0)),0),MATCH("DATA_POINTS",'Margin Guidence Table'!$A$1:$AG$1,0)),0)</f>
        <v>0</v>
      </c>
      <c r="JK14" s="1050" t="str">
        <f>IF(JJ14&gt;15,"SEGMENT","DEFAULT")</f>
        <v>DEFAULT</v>
      </c>
      <c r="JL14" s="1050">
        <f t="array" ref="JL14">IFERROR(IF($JK14="SEGMENT",INDEX('Margin Guidence Table'!$A$1:$AG$10000,MATCH(1,('Margin Guidence Table'!$A$1:$A$10000=JI14)*('Margin Guidence Table'!$I$1:$I$10000&lt;=ROUND($JA$3,0))*('Margin Guidence Table'!$J$1:$J$10000&gt;=ROUND($JA$3,0)),0),MATCH("SALES_CASE",'Margin Guidence Table'!$A$1:$AG$1,0)),INDEX('Margin Guidence Table'!$A$1:$AG$10000,MATCH(1,('Margin Guidence Table'!$A$1:$A$10000=JI14)*('Margin Guidence Table'!$I$1:$I$10000&lt;=ROUND($JA$3,0))*('Margin Guidence Table'!$J$1:$J$10000&gt;=ROUND($JA$3,0)),0),MATCH("DEFAULT_SALES_CASE",'Margin Guidence Table'!$A$1:$AG$1,0))),0)</f>
        <v>0</v>
      </c>
      <c r="JM14" s="1050">
        <f t="array" ref="JM14">IFERROR(IF($JK14="SEGMENT",INDEX('Margin Guidence Table'!$A$1:$AG$10000,MATCH(1,('Margin Guidence Table'!$A$1:$A$10000=JI14)*('Margin Guidence Table'!$I$1:$I$10000&lt;=ROUND($JA$3,0))*('Margin Guidence Table'!$J$1:$J$10000&gt;=ROUND($JA$3,0)),0),MATCH("SALES_LBS",'Margin Guidence Table'!$A$1:$AG$1,0)),INDEX('Margin Guidence Table'!$A$1:$AG$10000,MATCH(1,('Margin Guidence Table'!$A$1:$A$10000=JI14)*('Margin Guidence Table'!$I$1:$I$10000&lt;=ROUND($JA$3,0))*('Margin Guidence Table'!$J$1:$J$10000&gt;=ROUND($JA$3,0)),0),MATCH("DEFAULT_SALES_LBS",'Margin Guidence Table'!$A$1:$AG$1,0))),0)</f>
        <v>0</v>
      </c>
      <c r="JN14" s="1054">
        <f t="array" ref="JN14">IFERROR(IF($JK14="SEGMENT",INDEX('Margin Guidence Table'!$A$1:$AG$10000,MATCH(1,('Margin Guidence Table'!$A$1:$A$10000=JI14)*('Margin Guidence Table'!$I$1:$I$10000&lt;=ROUND($JA$3,0))*('Margin Guidence Table'!$J$1:$J$10000&gt;=ROUND($JA$3,0)),0),MATCH("MDA_MIN_MARGIN_GUIDENCE",'Margin Guidence Table'!$A$1:$AG$1,0)),INDEX('Margin Guidence Table'!$A$1:$AG$10000,MATCH(1,('Margin Guidence Table'!$A$1:$A$10000=JI14)*('Margin Guidence Table'!$I$1:$I$10000&lt;=ROUND($JA$3,0))*('Margin Guidence Table'!$J$1:$J$10000&gt;=ROUND($JA$3,0)),0),MATCH("DEFAULT_MDA_MIN_MARGIN_GUIDENCE",'Margin Guidence Table'!$A$1:$AG$1,0))),0)</f>
        <v>0</v>
      </c>
      <c r="JO14" s="1054">
        <f t="array" ref="JO14">IFERROR(IF($JK14="SEGMENT",INDEX('Margin Guidence Table'!$A$1:$AG$10000,MATCH(1,('Margin Guidence Table'!$A$1:$A$10000=JI14)*('Margin Guidence Table'!$I$1:$I$10000&lt;=ROUND($JA$3,0))*('Margin Guidence Table'!$J$1:$J$10000&gt;=ROUND($JA$3,0)),0),MATCH("MDA_MEDIAN_MARGIN_GUIDENCE",'Margin Guidence Table'!$A$1:$AG$1,0)),INDEX('Margin Guidence Table'!$A$1:$AG$10000,MATCH(1,('Margin Guidence Table'!$A$1:$A$10000=JI14)*('Margin Guidence Table'!$I$1:$I$10000&lt;=ROUND($JA$3,0))*('Margin Guidence Table'!$J$1:$J$10000&gt;=ROUND($JA$3,0)),0),MATCH("DEFAULT_MDA_MEDIAN_MARGIN_GUIDENCE",'Margin Guidence Table'!$A$1:$AG$1,0))),0)</f>
        <v>0</v>
      </c>
      <c r="JP14" s="1054">
        <f t="array" ref="JP14">IFERROR(IF($JK14="SEGMENT",INDEX('Margin Guidence Table'!$A$1:$AG$10000,MATCH(1,('Margin Guidence Table'!$A$1:$A$10000=JI14)*('Margin Guidence Table'!$I$1:$I$10000&lt;=ROUND($JA$3,0))*('Margin Guidence Table'!$J$1:$J$10000&gt;=ROUND($JA$3,0)),0),MATCH("MDA_MAX_MARGIN_GUIDENCE",'Margin Guidence Table'!$A$1:$AG$1,0)),INDEX('Margin Guidence Table'!$A$1:$AG$10000,MATCH(1,('Margin Guidence Table'!$A$1:$A$10000=JI14)*('Margin Guidence Table'!$I$1:$I$10000&lt;=ROUND($JA$3,0))*('Margin Guidence Table'!$J$1:$J$10000&gt;=ROUND($JA$3,0)),0),MATCH("DEFAULT_MDA_MAX_MARGIN_GUIDENCE",'Margin Guidence Table'!$A$1:$AG$1,0))),0)</f>
        <v>0</v>
      </c>
      <c r="JQ14" s="1054">
        <f t="array" ref="JQ14">IFERROR(IF($JK14="SEGMENT",INDEX('Margin Guidence Table'!$A$1:$AG$10000,MATCH(1,('Margin Guidence Table'!$A$1:$A$10000=JI14)*('Margin Guidence Table'!$I$1:$I$10000&lt;=ROUND($JA$3,0))*('Margin Guidence Table'!$J$1:$J$10000&gt;=ROUND($JA$3,0)),0),MATCH("PA_PCT_SALES",'Margin Guidence Table'!$A$1:$AG$1,0)),INDEX('Margin Guidence Table'!$A$1:$AG$10000,MATCH(1,('Margin Guidence Table'!$A$1:$A$10000=JI14)*('Margin Guidence Table'!$I$1:$I$10000&lt;=ROUND($JA$3,0))*('Margin Guidence Table'!$J$1:$J$10000&gt;=ROUND($JA$3,0)),0),MATCH("DEFAULT_PA_PCT_SALES",'Margin Guidence Table'!$A$1:$AG$1,0))),0)</f>
        <v>0</v>
      </c>
      <c r="JR14" s="1054">
        <f t="array" ref="JR14">IFERROR(IF($JK14="SEGMENT",INDEX('Margin Guidence Table'!$A$1:$AG$10000,MATCH(1,('Margin Guidence Table'!$A$1:$A$10000=JI14)*('Margin Guidence Table'!$I$1:$I$10000&lt;=ROUND($JA$3,0))*('Margin Guidence Table'!$J$1:$J$10000&gt;=ROUND($JA$3,0)),0),MATCH("SELF_FUND_PCT_SALES",'Margin Guidence Table'!$A$1:$AG$1,0)),INDEX('Margin Guidence Table'!$A$1:$AG$10000,MATCH(1,('Margin Guidence Table'!$A$1:$A$10000=JI14)*('Margin Guidence Table'!$I$1:$I$10000&lt;=ROUND($JA$3,0))*('Margin Guidence Table'!$J$1:$J$10000&gt;=ROUND($JA$3,0)),0),MATCH("DEFAULT_SELF_FUND_PCT_SALES",'Margin Guidence Table'!$A$1:$AG$1,0))),0)</f>
        <v>0</v>
      </c>
      <c r="JS14" s="1054">
        <f t="array" ref="JS14">IFERROR(IF($JK14="SEGMENT",INDEX('Margin Guidence Table'!$A$1:$AG$10000,MATCH(1,('Margin Guidence Table'!$A$1:$A$10000=JI14)*('Margin Guidence Table'!$I$1:$I$10000&lt;=ROUND($JA$3,0))*('Margin Guidence Table'!$J$1:$J$10000&gt;=ROUND($JA$3,0)),0),MATCH("CIA_MEDIAN_MARGIN_GUIDENCE",'Margin Guidence Table'!$A$1:$AG$1,0)),INDEX('Margin Guidence Table'!$A$1:$AG$10000,MATCH(1,('Margin Guidence Table'!$A$1:$A$10000=JI14)*('Margin Guidence Table'!$I$1:$I$10000&lt;=ROUND($JA$3,0))*('Margin Guidence Table'!$J$1:$J$10000&gt;=ROUND($JA$3,0)),0),MATCH("DEFAULT_CIA_MEDIAN_MARGIN_GUIDENCE",'Margin Guidence Table'!$A$1:$AG$1,0))),0)</f>
        <v>0</v>
      </c>
      <c r="JU14" s="100" t="s">
        <v>99</v>
      </c>
      <c r="JV14" s="92"/>
      <c r="JW14" s="87"/>
      <c r="JX14" s="93"/>
      <c r="JY14" s="93"/>
      <c r="JZ14" s="376"/>
      <c r="KA14" s="94"/>
      <c r="KB14" s="127"/>
      <c r="KD14" s="100" t="s">
        <v>99</v>
      </c>
      <c r="KE14" s="92"/>
      <c r="KF14" s="87"/>
      <c r="KG14" s="93"/>
      <c r="KH14" s="93"/>
      <c r="KI14" s="376"/>
      <c r="KJ14" s="94"/>
    </row>
    <row r="15" spans="2:296" ht="15.75" thickBot="1" x14ac:dyDescent="0.3">
      <c r="B15" s="100" t="s">
        <v>103</v>
      </c>
      <c r="C15" s="449">
        <f t="shared" ref="C15:C34" si="11">($BB15+$BY15+$CV15+$DS15+$EP15+$FM15+$GJ15+$HG15+$ID15+$JA15)</f>
        <v>0</v>
      </c>
      <c r="D15" s="465">
        <f t="shared" ref="D15:D34" si="12">($BC15+$BZ15+$CW15+$DT15+$EQ15+$FN15+$GK15+$HH15+$IE15+$JB15)</f>
        <v>0</v>
      </c>
      <c r="E15" s="465">
        <f t="shared" ref="E15:E34" si="13">($BD15+$CA15+$CX15+$DU15+$ER15+$FO15+$GL15+$HI15+$IF15+$JC15)</f>
        <v>0</v>
      </c>
      <c r="F15" s="465">
        <f t="shared" ref="F15:F34" si="14">($BE15+$CB15+$CY15+$DV15+$ES15+$FP15+$GM15+$HJ15+$IG15+$JD15)</f>
        <v>0</v>
      </c>
      <c r="G15" s="466">
        <f t="shared" ref="G15:G34" si="15">($BF15+$CC15+$CZ15+$DW15+$ET15+$FQ15+$GN15+$HK15+$IH15+$JE15)</f>
        <v>0</v>
      </c>
      <c r="H15" s="465">
        <f t="shared" ref="H15:H34" si="16">($BG15+$CD15+$DA15+$DX15+$EU15+$FR15+$GO15+$HL15+$II15+$JF15)</f>
        <v>0</v>
      </c>
      <c r="I15" s="1046" t="e">
        <f t="shared" si="0"/>
        <v>#DIV/0!</v>
      </c>
      <c r="J15" s="1046" t="e">
        <f t="shared" si="1"/>
        <v>#DIV/0!</v>
      </c>
      <c r="K15" s="1046" t="e">
        <f t="shared" si="2"/>
        <v>#DIV/0!</v>
      </c>
      <c r="L15" s="465" t="e">
        <f t="shared" si="3"/>
        <v>#DIV/0!</v>
      </c>
      <c r="M15" s="465" t="e">
        <f t="shared" ref="M15:M35" si="17">L15/$L$35</f>
        <v>#DIV/0!</v>
      </c>
      <c r="N15" s="1047" t="e">
        <f t="shared" si="4"/>
        <v>#DIV/0!</v>
      </c>
      <c r="P15" t="str">
        <f>'PIM Model'!E11</f>
        <v>INCLUDE</v>
      </c>
      <c r="Q15">
        <f t="shared" ref="Q15:Q34" si="18">IFERROR(T15/$T$35,0)</f>
        <v>0</v>
      </c>
      <c r="R15">
        <f t="shared" ref="R15:R34" si="19">IF(P15="Include",Q15,0)</f>
        <v>0</v>
      </c>
      <c r="S15" s="100" t="s">
        <v>103</v>
      </c>
      <c r="T15" s="95">
        <f t="shared" ref="T15:T34" si="20">(BB15+BY15+CV15+DS15+EP15+FM15+GJ15+HG15+ID15+JA15)*(1+($V$1/$V$5))</f>
        <v>0</v>
      </c>
      <c r="U15" s="87">
        <f t="shared" si="5"/>
        <v>0</v>
      </c>
      <c r="V15" s="87">
        <f t="shared" si="6"/>
        <v>0</v>
      </c>
      <c r="W15" s="87">
        <f t="shared" si="7"/>
        <v>0</v>
      </c>
      <c r="X15" s="112">
        <f t="shared" si="8"/>
        <v>0</v>
      </c>
      <c r="Y15" s="115">
        <f t="shared" ref="Y15:Y34" si="21">IFERROR(X15/T15,0)</f>
        <v>0</v>
      </c>
      <c r="Z15" s="374"/>
      <c r="AA15" s="100" t="s">
        <v>103</v>
      </c>
      <c r="AB15" s="453">
        <f t="shared" si="9"/>
        <v>0</v>
      </c>
      <c r="AC15" s="454">
        <f t="shared" si="9"/>
        <v>0</v>
      </c>
      <c r="AD15" s="454">
        <f t="shared" si="9"/>
        <v>0</v>
      </c>
      <c r="AE15" s="455">
        <f t="shared" ref="AE15:AE34" si="22">IFERROR(AC15/AB15,0)</f>
        <v>0</v>
      </c>
      <c r="AF15" s="456">
        <f t="shared" ref="AF15:AF34" si="23">IFERROR(AD15/AB15,0)</f>
        <v>0</v>
      </c>
      <c r="AG15" s="374"/>
      <c r="AH15" s="100" t="s">
        <v>103</v>
      </c>
      <c r="AI15" s="453">
        <f t="shared" si="10"/>
        <v>0</v>
      </c>
      <c r="AJ15" s="450">
        <f t="shared" ref="AJ15:AJ34" si="24">AN15*AI15</f>
        <v>0</v>
      </c>
      <c r="AK15" s="456"/>
      <c r="AL15" s="374"/>
      <c r="AM15" s="1" t="str">
        <f>IF('PIM Ranges'!$AK13='PIM Ranges'!$AW$11,IF($AI15&lt;'PIM Ranges'!$AX$11,"Q1",IF($AI15&lt;'PIM Ranges'!$AY$11,"Q2",IF($AI15&lt;'PIM Ranges'!$AZ$11,"Q3",IF($AI15&lt;'PIM Ranges'!$BA$11,"Q4","Q5")))),IF('PIM Ranges'!$AK13='PIM Ranges'!$AW$12,IF($AI15&lt;'PIM Ranges'!$AX$12,"Q1",IF($AI15&lt;'PIM Ranges'!$AY$12,"Q2",IF($AI15&lt;'PIM Ranges'!$AZ$12,"Q3",IF($AI15&lt;'PIM Ranges'!$BA$12,"Q4","Q5")))),IF('PIM Ranges'!$AK13='PIM Ranges'!$AW$13,IF($AI15&lt;'PIM Ranges'!$AX$13,"Q1",IF($AI15&lt;'PIM Ranges'!$AY$13,"Q2",IF($AI15&lt;'PIM Ranges'!$AZ$13,"Q3",IF($AI15&lt;'PIM Ranges'!$BA$13,"Q4","Q5")))),IF('PIM Ranges'!$AK13='PIM Ranges'!$AW$14,IF($AI15&lt;'PIM Ranges'!$AX$14,"Q1",IF($AI15&lt;'PIM Ranges'!$AY$14,"Q2",IF($AI15&lt;'PIM Ranges'!$AZ$14,"Q3",IF($AI15&lt;'PIM Ranges'!$BA$14,"Q4","Q5")))),IF('PIM Ranges'!$AK13='PIM Ranges'!$AW$15,IF($AI15&lt;'PIM Ranges'!$AX$15,"Q1",IF($AI15&lt;'PIM Ranges'!$AY$15,"Q2",IF($AI15&lt;'PIM Ranges'!$AZ$15,"Q3",IF($AI15&lt;'PIM Ranges'!$BA$15,"Q4","Q5")))),IF('PIM Ranges'!$AK13='PIM Ranges'!$AW$16,IF($AI15&lt;'PIM Ranges'!$AX$16,"Q1",IF($AI15&lt;'PIM Ranges'!$AY$16,"Q2",IF($AI15&lt;'PIM Ranges'!$AZ$16,"Q3",IF($AI15&lt;'PIM Ranges'!$BA$16,"Q4","Q5")))),IF('PIM Ranges'!$AK13='PIM Ranges'!$AW$17,IF($AI15&lt;'PIM Ranges'!$AX$17,"Q1",IF($AI15&lt;'PIM Ranges'!$AY$17,"Q2",IF($AI15&lt;'PIM Ranges'!$AZ$17,"Q3",IF($AI15&lt;'PIM Ranges'!$BA$17,"Q4","Q5")))),IF('PIM Ranges'!$AK13='PIM Ranges'!$AW$18,IF($AI15&lt;'PIM Ranges'!$AX$18,"Q1",IF($AI15&lt;'PIM Ranges'!$AY$18,"Q2",IF($AI15&lt;'PIM Ranges'!$AZ$18,"Q3",IF($AI15&lt;'PIM Ranges'!$BA$18,"Q4","Q5")))),IF('PIM Ranges'!$AK13='PIM Ranges'!$AW$19,IF($AI15&lt;'PIM Ranges'!$AX$19,"Q1",IF($AI15&lt;'PIM Ranges'!$AY$19,"Q2",IF($AI15&lt;'PIM Ranges'!$AZ$19,"Q3",IF($AI15&lt;'PIM Ranges'!$BA$19,"Q4","Q5")))),IF('PIM Ranges'!$AK13='PIM Ranges'!$AW$20,IF($AI15&lt;'PIM Ranges'!$AX$20,"Q1",IF($AI15&lt;'PIM Ranges'!$AY$20,"Q2",IF($AI15&lt;'PIM Ranges'!$AZ$20,"Q3",IF($AI15&lt;'PIM Ranges'!$BA$20,"Q4","Q5")))),IF('PIM Ranges'!$AK13='PIM Ranges'!$AW$21,IF($AI15&lt;'PIM Ranges'!$AX$21,"Q1",IF($AI15&lt;'PIM Ranges'!$AY$21,"Q2",IF($AI15&lt;'PIM Ranges'!$AZ$21,"Q3",IF($AI15&lt;'PIM Ranges'!$BA$21,"Q4","Q5")))),IF('PIM Ranges'!$AK13='PIM Ranges'!$AW$22,IF($AI15&lt;'PIM Ranges'!$AX$22,"Q1",IF($AI15&lt;'PIM Ranges'!$AY$22,"Q2",IF($AI15&lt;'PIM Ranges'!$AZ$22,"Q3",IF($AI15&lt;'PIM Ranges'!$BA$22,"Q4","Q5")))),IF('PIM Ranges'!$AK13='PIM Ranges'!$AW$23,IF($AI15&lt;'PIM Ranges'!$AX$23,"Q1",IF($AI15&lt;'PIM Ranges'!$AY$23,"Q2",IF($AI15&lt;'PIM Ranges'!$AZ$23,"Q3",IF($AI15&lt;'PIM Ranges'!$BA$23,"Q4","Q5")))),IF('PIM Ranges'!$AK13='PIM Ranges'!$AW$24,IF($AI15&lt;'PIM Ranges'!$AX$24,"Q1",IF($AI15&lt;'PIM Ranges'!$AY$24,"Q2",IF($AI15&lt;'PIM Ranges'!$AZ$24,"Q3",IF($AI15&lt;'PIM Ranges'!$BA$24,"Q4","Q5")))),IF('PIM Ranges'!$AK13='PIM Ranges'!$AW$25,IF($AI15&lt;'PIM Ranges'!$AX$25,"Q1",IF($AI15&lt;'PIM Ranges'!$AY$25,"Q2",IF($AI15&lt;'PIM Ranges'!$AZ$25,"Q3",IF($AI15&lt;'PIM Ranges'!$BA$25,"Q4","Q5")))),IF('PIM Ranges'!$AK13='PIM Ranges'!$AW$26,IF($AI15&lt;'PIM Ranges'!$AX$26,"Q1",IF($AI15&lt;'PIM Ranges'!$AY$26,"Q2",IF($AI15&lt;'PIM Ranges'!$AZ$26,"Q3",IF($AI15&lt;'PIM Ranges'!$BA$26,"Q4","Q5")))),IF('PIM Ranges'!$AK13='PIM Ranges'!$AW$27,IF($AI15&lt;'PIM Ranges'!$AX$27,"Q1",IF($AI15&lt;'PIM Ranges'!$AY$27,"Q2",IF($AI15&lt;'PIM Ranges'!$AZ$27,"Q3",IF($AI15&lt;'PIM Ranges'!$BA$27,"Q4","Q5")))),IF('PIM Ranges'!$AK13='PIM Ranges'!$AW$28,IF($AI15&lt;'PIM Ranges'!$AX$28,"Q1",IF($AI15&lt;'PIM Ranges'!$AY$28,"Q2",IF($AI15&lt;'PIM Ranges'!$AZ$28,"Q3",IF($AI15&lt;'PIM Ranges'!$BA$28,"Q4","Q5")))),IF('PIM Ranges'!$AK13='PIM Ranges'!$AW$29,IF($AI15&lt;'PIM Ranges'!$AX$29,"Q1",IF($AI15&lt;'PIM Ranges'!$AY$29,"Q2",IF($AI15&lt;'PIM Ranges'!$AZ$29,"Q3",IF($AI15&lt;'PIM Ranges'!$BA$29,"Q4","Q5")))),IF('PIM Ranges'!$AK13='PIM Ranges'!$AW$30,IF($AI15&lt;'PIM Ranges'!$AX$30,"Q1",IF($AI15&lt;'PIM Ranges'!$AY$30,"Q2",IF($AI15&lt;'PIM Ranges'!$AZ$30,"Q3",IF($AI15&lt;'PIM Ranges'!$BA$30,"Q4","Q5")))),IF('PIM Ranges'!$AK13='PIM Ranges'!$AW$31,IF($AI15&lt;'PIM Ranges'!$AX$31,"Q1",IF($AI15&lt;'PIM Ranges'!$AY$31,"Q2",IF($AI15&lt;'PIM Ranges'!$AZ$31,"Q3",IF($AI15&lt;'PIM Ranges'!$BA$31,"Q4","Q5")))),IF('PIM Ranges'!$AK13='PIM Ranges'!$AW$32,IF($AI15&lt;'PIM Ranges'!$AX$32,"Q1",IF($AI15&lt;'PIM Ranges'!$AY$32,"Q2",IF($AI15&lt;'PIM Ranges'!$AZ$32,"Q3",IF($AI15&lt;'PIM Ranges'!$BA$32,"Q4","Q5"))))))))))))))))))))))))))</f>
        <v>Q1</v>
      </c>
      <c r="AN15" s="374">
        <f>VLOOKUP($AH15&amp;$AM15,'IMargin Quartiles'!$A:$F,6,FALSE)</f>
        <v>0.1</v>
      </c>
      <c r="AO15" s="374"/>
      <c r="AP15"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Q15" s="374" t="e">
        <f t="shared" ref="AQ15:AQ34" si="25">$N15</f>
        <v>#DIV/0!</v>
      </c>
      <c r="AR15">
        <f>'PIM Model'!C11</f>
        <v>0</v>
      </c>
      <c r="AS15" s="374"/>
      <c r="AT15" s="374"/>
      <c r="AU15" s="374" t="e">
        <f>IF($AR15="AVG",IFERROR((AC15+AJ15)/(AB15+AI15),AQ15),(AC15+AJ15)/(AB15+AI15))</f>
        <v>#DIV/0!</v>
      </c>
      <c r="AV15" s="374"/>
      <c r="AW15" s="374"/>
      <c r="AX15" s="106">
        <v>4</v>
      </c>
      <c r="AY15" s="18">
        <f t="array" ref="AY15">IFERROR(IF($BL15="SEGMENT",INDEX('Margin Guidence Table'!$A$1:$AG$10000,MATCH(1,('Margin Guidence Table'!$A$1:$A$10000=$BJ15)*('Margin Guidence Table'!$I$1:$I$10000&lt;=ROUND($BB$3,0))*('Margin Guidence Table'!$J$1:$J$10000&gt;=ROUND($BB$3,0)),0),MATCH("PCT_SALES",'Margin Guidence Table'!$A$1:$AG$1,0)),INDEX('Margin Guidence Table'!$A$1:$AG$10000,MATCH(1,('Margin Guidence Table'!$A$1:$A$10000=$BJ15)*('Margin Guidence Table'!$I$1:$I$10000&lt;=ROUND($BB$3,0))*('Margin Guidence Table'!$J$1:$J$10000&gt;=ROUND($BB$3,0)),0),MATCH("DEFAULT_PCT_SALES",'Margin Guidence Table'!$A$1:$AG$1,0))),0)</f>
        <v>0</v>
      </c>
      <c r="AZ15" s="370" t="e">
        <f t="shared" ref="AZ15:AZ34" si="26">AY15/$AY$35</f>
        <v>#DIV/0!</v>
      </c>
      <c r="BA15" s="100" t="s">
        <v>103</v>
      </c>
      <c r="BB15" s="92">
        <f>IFERROR(IF(AND($BB$2&lt;&gt;"Enter Spend&gt;&gt;&gt;",BC3="EXISTING"),SUMIFS('Existing Customers'!$Q:$Q,'Existing Customers'!$A:$A,$BB$1,'Existing Customers'!$H:$H,$BA15)*$BB$4,$BB$3*$AZ15),0)</f>
        <v>0</v>
      </c>
      <c r="BC15" s="93">
        <f>IFERROR(IF(AND($BB$2&lt;&gt;"Enter Spend&gt;&gt;&gt;",BC2="EXISTING"),SUMIFS('Existing Customers'!$N:$N,'Existing Customers'!$A:$A,$BB$1,'Existing Customers'!$H:$H,$BA15)*$BB$4,$BB15/$BM15),0)</f>
        <v>0</v>
      </c>
      <c r="BD15" s="93">
        <f>IFERROR(IF(AND($BB$2&lt;&gt;"Enter Spend&gt;&gt;&gt;",BC2="EXISTING"),SUMIFS('Existing Customers'!$O:$O,'Existing Customers'!$H:$H,$BA15,'Existing Customers'!$A:$A,$BB$1)*$BB$4,$BC15*$BB$8),0)</f>
        <v>0</v>
      </c>
      <c r="BE15" s="93">
        <f>IFERROR(IF(AND($BB$2&lt;&gt;"Enter Spend&gt;&gt;&gt;",BC2="EXISTING"),SUMIFS('Existing Customers'!$P:$P,'Existing Customers'!$A:$A,$BB$1,'Existing Customers'!$H:$H,$BA15)*$BB$4,$BB15/$BN15),0)</f>
        <v>0</v>
      </c>
      <c r="BF15" s="376">
        <f>IFERROR(IF(AND($BB$2&lt;&gt;"Enter Spend&gt;&gt;&gt;",BC2="EXISTING"),SUMIFS('Existing Customers'!$V:$V,'Existing Customers'!$H:$H,$BA15,'Existing Customers'!$A:$A,$BB$1)*$BB$4,0),0)</f>
        <v>0</v>
      </c>
      <c r="BG15" s="94">
        <f>IFERROR(IF(AND($BB$2&lt;&gt;"Enter Spend&gt;&gt;&gt;",BC2="EXISTING"),SUMIFS('Existing Customers'!$R:$R,'Existing Customers'!$H:$H,$BA15,'Existing Customers'!$A:$A,$BB$1)*$BB$4,0),0)</f>
        <v>0</v>
      </c>
      <c r="BH15" s="94">
        <f>IFERROR(IF(AND($BB$2&lt;&gt;"Enter Spend&gt;&gt;&gt;",BC2="EXISTING"),SUMIFS('Existing Customers'!$S:$S,'Existing Customers'!$H:$H,$BA15,'Existing Customers'!$A:$A,$BB$1),BR15*BB15),0)</f>
        <v>0</v>
      </c>
      <c r="BI15" s="94">
        <f>IFERROR(IF(AND($BB$2&lt;&gt;"Enter Spend&gt;&gt;&gt;",BC2="EXISTING"),SUMIFS('Existing Customers'!$U:$U,'Existing Customers'!$H:$H,$BA15,'Existing Customers'!$A:$A,$BB$1),BS15*BB15),0)</f>
        <v>0</v>
      </c>
      <c r="BJ15" s="1052" t="e">
        <f>_xlfn.CONCAT('Customer Inputs'!$AG$6,"_",BA15)</f>
        <v>#N/A</v>
      </c>
      <c r="BK15" s="1053">
        <f t="array" ref="BK15">IFERROR(INDEX('Margin Guidence Table'!$A$1:$AG$10000,MATCH(1,('Margin Guidence Table'!$A$1:$A$10000=$BJ15)*('Margin Guidence Table'!$I$1:$I$10000&lt;=ROUND($BB$3,0))*('Margin Guidence Table'!$J$1:$J$10000&gt;=ROUND($BB$3,0)),0),MATCH("DATA_POINTS",'Margin Guidence Table'!$A$1:$AG$1,0)),0)</f>
        <v>0</v>
      </c>
      <c r="BL15" s="1050" t="str">
        <f t="shared" ref="BL15:BL34" si="27">IF(BK15&gt;15,"SEGMENT","DEFAULT")</f>
        <v>DEFAULT</v>
      </c>
      <c r="BM15" s="1050">
        <f t="array" ref="BM15">IFERROR(IF($BL15="SEGMENT",INDEX('Margin Guidence Table'!$A$1:$AG$10000,MATCH(1,('Margin Guidence Table'!$A$1:$A$10000=$BJ15)*('Margin Guidence Table'!$I$1:$I$10000&lt;=ROUND($BB$3,0))*('Margin Guidence Table'!$J$1:$J$10000&gt;=ROUND($BB$3,0)),0),MATCH("SALES_CASE",'Margin Guidence Table'!$A$1:$AG$1,0)),INDEX('Margin Guidence Table'!$A$1:$AG$10000,MATCH(1,('Margin Guidence Table'!$A$1:$A$10000=$BJ15)*('Margin Guidence Table'!$I$1:$I$10000&lt;=ROUND($BB$3,0))*('Margin Guidence Table'!$J$1:$J$10000&gt;=ROUND($BB$3,0)),0),MATCH("DEFAULT_SALES_CASE",'Margin Guidence Table'!$A$1:$AG$1,0))),0)</f>
        <v>0</v>
      </c>
      <c r="BN15" s="1050">
        <f t="array" ref="BN15">IFERROR(IF($BL15="SEGMENT",INDEX('Margin Guidence Table'!$A$1:$AG$10000,MATCH(1,('Margin Guidence Table'!$A$1:$A$10000=$BJ15)*('Margin Guidence Table'!$I$1:$I$10000&lt;=ROUND($BB$3,0))*('Margin Guidence Table'!$J$1:$J$10000&gt;=ROUND($BB$3,0)),0),MATCH("SALES_LBS",'Margin Guidence Table'!$A$1:$AG$1,0)),INDEX('Margin Guidence Table'!$A$1:$AG$10000,MATCH(1,('Margin Guidence Table'!$A$1:$A$10000=$BJ15)*('Margin Guidence Table'!$I$1:$I$10000&lt;=ROUND($BB$3,0))*('Margin Guidence Table'!$J$1:$J$10000&gt;=ROUND($BB$3,0)),0),MATCH("DEFAULT_SALES_LBS",'Margin Guidence Table'!$A$1:$AG$1,0))),0)</f>
        <v>0</v>
      </c>
      <c r="BO15" s="1054">
        <f t="array" ref="BO15">IFERROR(IF($BL15="SEGMENT",INDEX('Margin Guidence Table'!$A$1:$AG$10000,MATCH(1,('Margin Guidence Table'!$A$1:$A$10000=$BJ15)*('Margin Guidence Table'!$I$1:$I$10000&lt;=ROUND($BB$3,0))*('Margin Guidence Table'!$J$1:$J$10000&gt;=ROUND($BB$3,0)),0),MATCH("MDA_MIN_MARGIN_GUIDENCE",'Margin Guidence Table'!$A$1:$AG$1,0)),INDEX('Margin Guidence Table'!$A$1:$AG$10000,MATCH(1,('Margin Guidence Table'!$A$1:$A$10000=$BJ15)*('Margin Guidence Table'!$I$1:$I$10000&lt;=ROUND($BB$3,0))*('Margin Guidence Table'!$J$1:$J$10000&gt;=ROUND($BB$3,0)),0),MATCH("DEFAULT_MDA_MIN_MARGIN_GUIDENCE",'Margin Guidence Table'!$A$1:$AG$1,0))),0)</f>
        <v>0</v>
      </c>
      <c r="BP15" s="1054">
        <f t="array" ref="BP15">IFERROR(IF($BL15="SEGMENT",INDEX('Margin Guidence Table'!$A$1:$AG$10000,MATCH(1,('Margin Guidence Table'!$A$1:$A$10000=$BJ15)*('Margin Guidence Table'!$I$1:$I$10000&lt;=ROUND($BB$3,0))*('Margin Guidence Table'!$J$1:$J$10000&gt;=ROUND($BB$3,0)),0),MATCH("MDA_MEDIAN_MARGIN_GUIDENCE",'Margin Guidence Table'!$A$1:$AG$1,0)),INDEX('Margin Guidence Table'!$A$1:$AG$10000,MATCH(1,('Margin Guidence Table'!$A$1:$A$10000=$BJ15)*('Margin Guidence Table'!$I$1:$I$10000&lt;=ROUND($BB$3,0))*('Margin Guidence Table'!$J$1:$J$10000&gt;=ROUND($BB$3,0)),0),MATCH("DEFAULT_MDA_MEDIAN_MARGIN_GUIDENCE",'Margin Guidence Table'!$A$1:$AG$1,0))),0)</f>
        <v>0</v>
      </c>
      <c r="BQ15" s="1054">
        <f t="array" ref="BQ15">IFERROR(IF($BL15="SEGMENT",INDEX('Margin Guidence Table'!$A$1:$AG$10000,MATCH(1,('Margin Guidence Table'!$A$1:$A$10000=$BJ15)*('Margin Guidence Table'!$I$1:$I$10000&lt;=ROUND($BB$3,0))*('Margin Guidence Table'!$J$1:$J$10000&gt;=ROUND($BB$3,0)),0),MATCH("MDA_MAX_MARGIN_GUIDENCE",'Margin Guidence Table'!$A$1:$AG$1,0)),INDEX('Margin Guidence Table'!$A$1:$AG$10000,MATCH(1,('Margin Guidence Table'!$A$1:$A$10000=$BJ15)*('Margin Guidence Table'!$I$1:$I$10000&lt;=ROUND($BB$3,0))*('Margin Guidence Table'!$J$1:$J$10000&gt;=ROUND($BB$3,0)),0),MATCH("DEFAULT_MDA_MAX_MARGIN_GUIDENCE",'Margin Guidence Table'!$A$1:$AG$1,0))),0)</f>
        <v>0</v>
      </c>
      <c r="BR15" s="1054">
        <f t="array" ref="BR15">IFERROR(IF($BL15="SEGMENT",INDEX('Margin Guidence Table'!$A$1:$AG$10000,MATCH(1,('Margin Guidence Table'!$A$1:$A$10000=$BJ15)*('Margin Guidence Table'!$I$1:$I$10000&lt;=ROUND($BB$3,0))*('Margin Guidence Table'!$J$1:$J$10000&gt;=ROUND($BB$3,0)),0),MATCH("PA_PCT_SALES",'Margin Guidence Table'!$A$1:$AG$1,0)),INDEX('Margin Guidence Table'!$A$1:$AG$10000,MATCH(1,('Margin Guidence Table'!$A$1:$A$10000=$BJ15)*('Margin Guidence Table'!$I$1:$I$10000&lt;=ROUND($BB$3,0))*('Margin Guidence Table'!$J$1:$J$10000&gt;=ROUND($BB$3,0)),0),MATCH("DEFAULT_PA_PCT_SALES",'Margin Guidence Table'!$A$1:$AG$1,0))),0)</f>
        <v>0</v>
      </c>
      <c r="BS15" s="1054">
        <f t="array" ref="BS15">IFERROR(IF($BL15="SEGMENT",INDEX('Margin Guidence Table'!$A$1:$AG$10000,MATCH(1,('Margin Guidence Table'!$A$1:$A$10000=$BJ15)*('Margin Guidence Table'!$I$1:$I$10000&lt;=ROUND($BB$3,0))*('Margin Guidence Table'!$J$1:$J$10000&gt;=ROUND($BB$3,0)),0),MATCH("SELF_FUND_PCT_SALES",'Margin Guidence Table'!$A$1:$AG$1,0)),INDEX('Margin Guidence Table'!$A$1:$AG$10000,MATCH(1,('Margin Guidence Table'!$A$1:$A$10000=$BJ15)*('Margin Guidence Table'!$I$1:$I$10000&lt;=ROUND($BB$3,0))*('Margin Guidence Table'!$J$1:$J$10000&gt;=ROUND($BB$3,0)),0),MATCH("DEFAULT_SELF_FUND_PCT_SALES",'Margin Guidence Table'!$A$1:$AG$1,0))),0)</f>
        <v>0</v>
      </c>
      <c r="BT15" s="1054">
        <f t="array" ref="BT15">IFERROR(IF($BL15="SEGMENT",INDEX('Margin Guidence Table'!$A$1:$AG$10000,MATCH(1,('Margin Guidence Table'!$A$1:$A$10000=$BJ15)*('Margin Guidence Table'!$I$1:$I$10000&lt;=ROUND($BB$3,0))*('Margin Guidence Table'!$J$1:$J$10000&gt;=ROUND($BB$3,0)),0),MATCH("CIA_MEDIAN_MARGIN_GUIDENCE",'Margin Guidence Table'!$A$1:$AG$1,0)),INDEX('Margin Guidence Table'!$A$1:$AG$10000,MATCH(1,('Margin Guidence Table'!$A$1:$A$10000=$BJ15)*('Margin Guidence Table'!$I$1:$I$10000&lt;=ROUND($BB$3,0))*('Margin Guidence Table'!$J$1:$J$10000&gt;=ROUND($BB$3,0)),0),MATCH("DEFAULT_CIA_MEDIAN_MARGIN_GUIDENCE",'Margin Guidence Table'!$A$1:$AG$1,0))),0)</f>
        <v>0</v>
      </c>
      <c r="BU15" s="127"/>
      <c r="BV15" s="18">
        <f t="array" ref="BV15">IFERROR(IF($CI15="SEGMENT",INDEX('Margin Guidence Table'!$A$1:$AG$10000,MATCH(1,('Margin Guidence Table'!$A$1:$A$10000=$CG15)*('Margin Guidence Table'!$I$1:$I$10000&lt;=ROUND($BY$3,0))*('Margin Guidence Table'!$J$1:$J$10000&gt;=ROUND($BY$3,0)),0),MATCH("PCT_SALES",'Margin Guidence Table'!$A$1:$AG$1,0)),INDEX('Margin Guidence Table'!$A$1:$AG$10000,MATCH(1,('Margin Guidence Table'!$A$1:$A$10000=$CG15)*('Margin Guidence Table'!$I$1:$I$10000&lt;=ROUND($BY$3,0))*('Margin Guidence Table'!$J$1:$J$10000&gt;=ROUND($BY$3,0)),0),MATCH("DEFAULT_PCT_SALES",'Margin Guidence Table'!$A$1:$AG$1,0))),0)</f>
        <v>0</v>
      </c>
      <c r="BW15" s="370" t="e">
        <f t="shared" ref="BW15:BW34" si="28">BV15/$BV$35</f>
        <v>#DIV/0!</v>
      </c>
      <c r="BX15" s="100" t="s">
        <v>103</v>
      </c>
      <c r="BY15" s="92">
        <f>IFERROR(IF(AND($BY$2&lt;&gt;"Enter Spend&gt;&gt;&gt;",BZ3="EXISTING"),SUMIFS('Existing Customers'!$Q:$Q,'Existing Customers'!$A:$A,$BY$1,'Existing Customers'!$H:$H,$BX15)*$BY$4,$BY$3*$BW15),0)</f>
        <v>0</v>
      </c>
      <c r="BZ15" s="87">
        <f>IFERROR(IF(AND($BY$2&lt;&gt;"Enter Spend&gt;&gt;&gt;",BZ2="EXISTING"),SUMIFS('Existing Customers'!$N:$N,'Existing Customers'!$A:$A,$BY$1,'Existing Customers'!$H:$H,$BX15)*$BY$4,$BY15/$CJ15),0)</f>
        <v>0</v>
      </c>
      <c r="CA15" s="93">
        <f>IFERROR(IF(AND($BY$2&lt;&gt;"Enter Spend&gt;&gt;&gt;",BZ2="EXISTING"),SUMIFS('Existing Customers'!$O:$O,'Existing Customers'!$H:$H,$BX15,'Existing Customers'!$A:$A,$BY$1)*$BY$4,$BZ15*$BY$8),0)</f>
        <v>0</v>
      </c>
      <c r="CB15" s="93">
        <f>IFERROR(IF(AND($BY$2&lt;&gt;"Enter Spend&gt;&gt;&gt;",BZ2="EXISTING"),SUMIFS('Existing Customers'!$P:$P,'Existing Customers'!$A:$A,$BY$1,'Existing Customers'!$H:$H,$BX15)*$BY$4,$BY15/$CK15),0)</f>
        <v>0</v>
      </c>
      <c r="CC15" s="94">
        <f>IFERROR(IF(AND($BY$2&lt;&gt;"Enter Spend&gt;&gt;&gt;",BZ2="EXISTING"),SUMIFS('Existing Customers'!$V:$V,'Existing Customers'!$H:$H,$BX15,'Existing Customers'!$A:$A,$BY$1)*$BY$4,0),0)</f>
        <v>0</v>
      </c>
      <c r="CD15" s="94">
        <f>IFERROR(IF(AND($BY$2&lt;&gt;"Enter Spend&gt;&gt;&gt;",BZ2="EXISTING"),SUMIFS('Existing Customers'!$R:$R,'Existing Customers'!$H:$H,$BX15,'Existing Customers'!$A:$A,$BY$1)*$BY$4,0),0)</f>
        <v>0</v>
      </c>
      <c r="CE15" s="1050">
        <f>IFERROR(IF(AND($BY$2&lt;&gt;"Enter Spend&gt;&gt;&gt;",BZ2="EXISTING"),SUMIFS('Existing Customers'!$S:$S,'Existing Customers'!$H:$H,$BX15,'Existing Customers'!$A:$A,$BY$1),CO15*BY15),0)</f>
        <v>0</v>
      </c>
      <c r="CF15" s="1050">
        <f>IFERROR(IF(AND($BY$2&lt;&gt;"Enter Spend&gt;&gt;&gt;",BZ2="EXISTING"),SUMIFS('Existing Customers'!$U:$U,'Existing Customers'!$H:$H,$BX15,'Existing Customers'!$A:$A,$BY$1),CP15*BY15),0)</f>
        <v>0</v>
      </c>
      <c r="CG15" s="1053" t="e">
        <f>_xlfn.CONCAT('Customer Inputs'!$AG$7,"_",BX15)</f>
        <v>#N/A</v>
      </c>
      <c r="CH15" s="1053">
        <f t="array" ref="CH15">IFERROR(INDEX('Margin Guidence Table'!$A$1:$AG$10000,MATCH(1,('Margin Guidence Table'!$A$1:$A$10000=$CG15)*('Margin Guidence Table'!$I$1:$I$10000&lt;=ROUND($BY$3,0))*('Margin Guidence Table'!$J$1:$J$10000&gt;=ROUND($BY$3,0)),0),MATCH("DATA_POINTS",'Margin Guidence Table'!$A$1:$AG$1,0)),0)</f>
        <v>0</v>
      </c>
      <c r="CI15" s="1050" t="str">
        <f t="shared" ref="CI15:CI34" si="29">IF(CH15&gt;15,"SEGMENT","DEFAULT")</f>
        <v>DEFAULT</v>
      </c>
      <c r="CJ15" s="1050">
        <f t="array" ref="CJ15">IFERROR(IF($CI15="SEGMENT",INDEX('Margin Guidence Table'!$A$1:$AG$10000,MATCH(1,('Margin Guidence Table'!$A$1:$A$10000=$CG15)*('Margin Guidence Table'!$I$1:$I$10000&lt;=ROUND($BY$3,0))*('Margin Guidence Table'!$J$1:$J$10000&gt;=ROUND($BY$3,0)),0),MATCH("SALES_CASE",'Margin Guidence Table'!$A$1:$AG$1,0)),INDEX('Margin Guidence Table'!$A$1:$AG$10000,MATCH(1,('Margin Guidence Table'!$A$1:$A$10000=$CG15)*('Margin Guidence Table'!$I$1:$I$10000&lt;=ROUND($BY$3,0))*('Margin Guidence Table'!$J$1:$J$10000&gt;=ROUND($BY$3,0)),0),MATCH("DEFAULT_SALES_CASE",'Margin Guidence Table'!$A$1:$AG$1,0))),0)</f>
        <v>0</v>
      </c>
      <c r="CK15" s="1050">
        <f t="array" ref="CK15">IFERROR(IF($CI15="SEGMENT",INDEX('Margin Guidence Table'!$A$1:$AG$10000,MATCH(1,('Margin Guidence Table'!$A$1:$A$10000=$CG15)*('Margin Guidence Table'!$I$1:$I$10000&lt;=ROUND($BY$3,0))*('Margin Guidence Table'!$J$1:$J$10000&gt;=ROUND($BY$3,0)),0),MATCH("SALES_LBS",'Margin Guidence Table'!$A$1:$AG$1,0)),INDEX('Margin Guidence Table'!$A$1:$AG$10000,MATCH(1,('Margin Guidence Table'!$A$1:$A$10000=$CG15)*('Margin Guidence Table'!$I$1:$I$10000&lt;=ROUND($BY$3,0))*('Margin Guidence Table'!$J$1:$J$10000&gt;=ROUND($BY$3,0)),0),MATCH("DEFAULT_SALES_LBS",'Margin Guidence Table'!$A$1:$AG$1,0))),0)</f>
        <v>0</v>
      </c>
      <c r="CL15" s="1054">
        <f t="array" ref="CL15">IFERROR(IF($CI15="SEGMENT",INDEX('Margin Guidence Table'!$A$1:$AG$10000,MATCH(1,('Margin Guidence Table'!$A$1:$A$10000=$CG15)*('Margin Guidence Table'!$I$1:$I$10000&lt;=ROUND($BY$3,0))*('Margin Guidence Table'!$J$1:$J$10000&gt;=ROUND($BY$3,0)),0),MATCH("MDA_MIN_MARGIN_GUIDENCE",'Margin Guidence Table'!$A$1:$AG$1,0)),INDEX('Margin Guidence Table'!$A$1:$AG$10000,MATCH(1,('Margin Guidence Table'!$A$1:$A$10000=$CG15)*('Margin Guidence Table'!$I$1:$I$10000&lt;=ROUND($BY$3,0))*('Margin Guidence Table'!$J$1:$J$10000&gt;=ROUND($BY$3,0)),0),MATCH("DEFAULT_MDA_MIN_MARGIN_GUIDENCE",'Margin Guidence Table'!$A$1:$AG$1,0))),0)</f>
        <v>0</v>
      </c>
      <c r="CM15" s="1054">
        <f t="array" ref="CM15">IFERROR(IF($CI15="SEGMENT",INDEX('Margin Guidence Table'!$A$1:$AG$10000,MATCH(1,('Margin Guidence Table'!$A$1:$A$10000=$CG15)*('Margin Guidence Table'!$I$1:$I$10000&lt;=ROUND($BY$3,0))*('Margin Guidence Table'!$J$1:$J$10000&gt;=ROUND($BY$3,0)),0),MATCH("MDA_MEDIAN_MARGIN_GUIDENCE",'Margin Guidence Table'!$A$1:$AG$1,0)),INDEX('Margin Guidence Table'!$A$1:$AG$10000,MATCH(1,('Margin Guidence Table'!$A$1:$A$10000=$CG15)*('Margin Guidence Table'!$I$1:$I$10000&lt;=ROUND($BY$3,0))*('Margin Guidence Table'!$J$1:$J$10000&gt;=ROUND($BY$3,0)),0),MATCH("DEFAULT_MDA_MEDIAN_MARGIN_GUIDENCE",'Margin Guidence Table'!$A$1:$AG$1,0))),0)</f>
        <v>0</v>
      </c>
      <c r="CN15" s="1054">
        <f t="array" ref="CN15">IFERROR(IF($CI15="SEGMENT",INDEX('Margin Guidence Table'!$A$1:$AG$10000,MATCH(1,('Margin Guidence Table'!$A$1:$A$10000=$CG15)*('Margin Guidence Table'!$I$1:$I$10000&lt;=ROUND($BY$3,0))*('Margin Guidence Table'!$J$1:$J$10000&gt;=ROUND($BY$3,0)),0),MATCH("MDA_MAX_MARGIN_GUIDENCE",'Margin Guidence Table'!$A$1:$AG$1,0)),INDEX('Margin Guidence Table'!$A$1:$AG$10000,MATCH(1,('Margin Guidence Table'!$A$1:$A$10000=$CG15)*('Margin Guidence Table'!$I$1:$I$10000&lt;=ROUND($BY$3,0))*('Margin Guidence Table'!$J$1:$J$10000&gt;=ROUND($BY$3,0)),0),MATCH("DEFAULT_MDA_MAX_MARGIN_GUIDENCE",'Margin Guidence Table'!$A$1:$AG$1,0))),0)</f>
        <v>0</v>
      </c>
      <c r="CO15" s="1054">
        <f t="array" ref="CO15">IFERROR(IF($CI15="SEGMENT",INDEX('Margin Guidence Table'!$A$1:$AG$10000,MATCH(1,('Margin Guidence Table'!$A$1:$A$10000=$CG15)*('Margin Guidence Table'!$I$1:$I$10000&lt;=ROUND($BY$3,0))*('Margin Guidence Table'!$J$1:$J$10000&gt;=ROUND($BY$3,0)),0),MATCH("PA_PCT_SALES",'Margin Guidence Table'!$A$1:$AG$1,0)),INDEX('Margin Guidence Table'!$A$1:$AG$10000,MATCH(1,('Margin Guidence Table'!$A$1:$A$10000=$CG15)*('Margin Guidence Table'!$I$1:$I$10000&lt;=ROUND($BY$3,0))*('Margin Guidence Table'!$J$1:$J$10000&gt;=ROUND($BY$3,0)),0),MATCH("DEFAULT_PA_PCT_SALES",'Margin Guidence Table'!$A$1:$AG$1,0))),0)</f>
        <v>0</v>
      </c>
      <c r="CP15" s="1054">
        <f t="array" ref="CP15">IFERROR(IF($CI15="SEGMENT",INDEX('Margin Guidence Table'!$A$1:$AG$10000,MATCH(1,('Margin Guidence Table'!$A$1:$A$10000=$CG15)*('Margin Guidence Table'!$I$1:$I$10000&lt;=ROUND($BY$3,0))*('Margin Guidence Table'!$J$1:$J$10000&gt;=ROUND($BY$3,0)),0),MATCH("SELF_FUND_PCT_SALES",'Margin Guidence Table'!$A$1:$AG$1,0)),INDEX('Margin Guidence Table'!$A$1:$AG$10000,MATCH(1,('Margin Guidence Table'!$A$1:$A$10000=$CG15)*('Margin Guidence Table'!$I$1:$I$10000&lt;=ROUND($BY$3,0))*('Margin Guidence Table'!$J$1:$J$10000&gt;=ROUND($BY$3,0)),0),MATCH("DEFAULT_SELF_FUND_PCT_SALES",'Margin Guidence Table'!$A$1:$AG$1,0))),0)</f>
        <v>0</v>
      </c>
      <c r="CQ15" s="1054">
        <f t="array" ref="CQ15">IFERROR(IF($CI15="SEGMENT",INDEX('Margin Guidence Table'!$A$1:$AG$10000,MATCH(1,('Margin Guidence Table'!$A$1:$A$10000=$CG15)*('Margin Guidence Table'!$I$1:$I$10000&lt;=ROUND($BY$3,0))*('Margin Guidence Table'!$J$1:$J$10000&gt;=ROUND($BY$3,0)),0),MATCH("CIA_MEDIAN_MARGIN_GUIDENCE",'Margin Guidence Table'!$A$1:$AG$1,0)),INDEX('Margin Guidence Table'!$A$1:$AG$10000,MATCH(1,('Margin Guidence Table'!$A$1:$A$10000=$CG15)*('Margin Guidence Table'!$I$1:$I$10000&lt;=ROUND($BY$3,0))*('Margin Guidence Table'!$J$1:$J$10000&gt;=ROUND($BY$3,0)),0),MATCH("DEFAULT_CIA_MEDIAN_MARGIN_GUIDENCE",'Margin Guidence Table'!$A$1:$AG$1,0))),0)</f>
        <v>0</v>
      </c>
      <c r="CR15" s="127"/>
      <c r="CS15" s="18">
        <f t="array" ref="CS15">IFERROR(IF($DF15="SEGMENT",INDEX('Margin Guidence Table'!$A$1:$AG$10000,MATCH(1,('Margin Guidence Table'!$A$1:$A$10000=$DD15)*('Margin Guidence Table'!$I$1:$I$10000&lt;=ROUND($CV$3,0))*('Margin Guidence Table'!$J$1:$J$10000&gt;=ROUND($CV$3,0)),0),MATCH("PCT_SALES",'Margin Guidence Table'!$A$1:$AG$1,0)),INDEX('Margin Guidence Table'!$A$1:$AG$10000,MATCH(1,('Margin Guidence Table'!$A$1:$A$10000=$DD15)*('Margin Guidence Table'!$I$1:$I$10000&lt;=ROUND($CV$3,0))*('Margin Guidence Table'!$J$1:$J$10000&gt;=ROUND($CV$3,0)),0),MATCH("DEFAULT_PCT_SALES",'Margin Guidence Table'!$A$1:$AG$1,0))),0)</f>
        <v>0</v>
      </c>
      <c r="CT15" s="370" t="e">
        <f t="shared" ref="CT15:CT34" si="30">CS15/$CS$35</f>
        <v>#DIV/0!</v>
      </c>
      <c r="CU15" s="100" t="s">
        <v>103</v>
      </c>
      <c r="CV15" s="92">
        <f>IFERROR(IF(AND($CV$2&lt;&gt;"Enter Spend&gt;&gt;&gt;",CW3="EXISTING"),SUMIFS('Existing Customers'!$Q:$Q,'Existing Customers'!$A:$A,$CV$1,'Existing Customers'!$H:$H,$CU15)*$CV$4,$CV$3*$CT15),0)</f>
        <v>0</v>
      </c>
      <c r="CW15" s="87">
        <f>IFERROR(IF(AND($CV$2&lt;&gt;"Enter Spend&gt;&gt;&gt;",CW2="EXISTING"),SUMIFS('Existing Customers'!$N:$N,'Existing Customers'!$A:$A,$CV$1,'Existing Customers'!$H:$H,$CU15)*$CV$4,$CV15/$DG15),0)</f>
        <v>0</v>
      </c>
      <c r="CX15" s="93">
        <f>IFERROR(IF(AND($CV$2&lt;&gt;"Enter Spend&gt;&gt;&gt;",BC28="EXISTING"),SUMIFS('Existing Customers'!$O:$O,'Existing Customers'!$H:$H,$CU15,'Existing Customers'!$A:$A,$CV$1)*$CV$4,$CW15*$CV$8),0)</f>
        <v>0</v>
      </c>
      <c r="CY15" s="93">
        <f>IFERROR(IF(AND($CV$2&lt;&gt;"Enter Spend&gt;&gt;&gt;",CW2="EXISTING"),SUMIFS('Existing Customers'!$P:$P,'Existing Customers'!$A:$A,$CV$1,'Existing Customers'!$H:$H,$CU15)*$CV$4,$CV15/$DH15),0)</f>
        <v>0</v>
      </c>
      <c r="CZ15" s="94">
        <f>IFERROR(IF(AND($CV$2&lt;&gt;"Enter Spend&gt;&gt;&gt;",CW2="EXISTING"),SUMIFS('Existing Customers'!$V:$V,'Existing Customers'!$H:$H,$CU15,'Existing Customers'!$A:$A,$CV$1)*$CV$4,0),0)</f>
        <v>0</v>
      </c>
      <c r="DA15" s="94">
        <f>IFERROR(IF(AND($CV$2&lt;&gt;"Enter Spend&gt;&gt;&gt;",CW2="EXISTING"),SUMIFS('Existing Customers'!$R:$R,'Existing Customers'!$H:$H,$BA15,'Existing Customers'!$A:$A,$CV$1)*$CV$4,0),0)</f>
        <v>0</v>
      </c>
      <c r="DB15" s="1050">
        <f>IFERROR(IF(AND($CV$2&lt;&gt;"Enter Spend&gt;&gt;&gt;",CW2="EXISTING"),SUMIFS('Existing Customers'!$S:$S,'Existing Customers'!$H:$H,$CU15,'Existing Customers'!$A:$A,$CV$1),DL15*CV15),0)</f>
        <v>0</v>
      </c>
      <c r="DC15" s="1050">
        <f>IFERROR(IF(AND($CV$2&lt;&gt;"Enter Spend&gt;&gt;&gt;",CW2="EXISTING"),SUMIFS('Existing Customers'!$U:$U,'Existing Customers'!$H:$H,$CU15,'Existing Customers'!$A:$A,$CV$1),DM15*CV15),0)</f>
        <v>0</v>
      </c>
      <c r="DD15" s="1053" t="e">
        <f>_xlfn.CONCAT('Customer Inputs'!$AG$8,"_",CU15)</f>
        <v>#N/A</v>
      </c>
      <c r="DE15" s="1053">
        <f t="array" ref="DE15">IFERROR(INDEX('Margin Guidence Table'!$A$1:$AG$10000,MATCH(1,('Margin Guidence Table'!$A$1:$A$10000=DD15)*('Margin Guidence Table'!$I$1:$I$10000&lt;=ROUND($CV$3,0))*('Margin Guidence Table'!$J$1:$J$10000&gt;=ROUND($CV$3,0)),0),MATCH("DATA_POINTS",'Margin Guidence Table'!$A$1:$AG$1,0)),0)</f>
        <v>0</v>
      </c>
      <c r="DF15" s="1050" t="str">
        <f t="shared" ref="DF15:DF34" si="31">IF(DE15&gt;15,"SEGMENT","DEFAULT")</f>
        <v>DEFAULT</v>
      </c>
      <c r="DG15" s="1050">
        <f t="array" ref="DG15">IFERROR(IF($DF15="SEGMENT",INDEX('Margin Guidence Table'!$A$1:$AG$10000,MATCH(1,('Margin Guidence Table'!$A$1:$A$10000=DD15)*('Margin Guidence Table'!$I$1:$I$10000&lt;=ROUND($CV$3,0))*('Margin Guidence Table'!$J$1:$J$10000&gt;=ROUND($CV$3,0)),0),MATCH("SALES_CASE",'Margin Guidence Table'!$A$1:$AG$1,0)),INDEX('Margin Guidence Table'!$A$1:$AG$10000,MATCH(1,('Margin Guidence Table'!$A$1:$A$10000=DD15)*('Margin Guidence Table'!$I$1:$I$10000&lt;=ROUND($CV$3,0))*('Margin Guidence Table'!$J$1:$J$10000&gt;=ROUND($CV$3,0)),0),MATCH("DEFAULT_SALES_CASE",'Margin Guidence Table'!$A$1:$AG$1,0))),0)</f>
        <v>0</v>
      </c>
      <c r="DH15" s="1050">
        <f t="array" ref="DH15">IFERROR(IF($DF15="SEGMENT",INDEX('Margin Guidence Table'!$A$1:$AG$10000,MATCH(1,('Margin Guidence Table'!$A$1:$A$10000=DD15)*('Margin Guidence Table'!$I$1:$I$10000&lt;=ROUND($CV$3,0))*('Margin Guidence Table'!$J$1:$J$10000&gt;=ROUND($CV$3,0)),0),MATCH("SALES_LBS",'Margin Guidence Table'!$A$1:$AG$1,0)),INDEX('Margin Guidence Table'!$A$1:$AG$10000,MATCH(1,('Margin Guidence Table'!$A$1:$A$10000=DD15)*('Margin Guidence Table'!$I$1:$I$10000&lt;=ROUND($CV$3,0))*('Margin Guidence Table'!$J$1:$J$10000&gt;=ROUND($CV$3,0)),0),MATCH("DEFAULT_SALES_LBS",'Margin Guidence Table'!$A$1:$AG$1,0))),0)</f>
        <v>0</v>
      </c>
      <c r="DI15" s="1054">
        <f t="array" ref="DI15">IFERROR(IF($DF15="SEGMENT",INDEX('Margin Guidence Table'!$A$1:$AG$10000,MATCH(1,('Margin Guidence Table'!$A$1:$A$10000=DD15)*('Margin Guidence Table'!$I$1:$I$10000&lt;=ROUND($CV$3,0))*('Margin Guidence Table'!$J$1:$J$10000&gt;=ROUND($CV$3,0)),0),MATCH("MDA_MIN_MARGIN_GUIDENCE",'Margin Guidence Table'!$A$1:$AG$1,0)),INDEX('Margin Guidence Table'!$A$1:$AG$10000,MATCH(1,('Margin Guidence Table'!$A$1:$A$10000=DD15)*('Margin Guidence Table'!$I$1:$I$10000&lt;=ROUND($CV$3,0))*('Margin Guidence Table'!$J$1:$J$10000&gt;=ROUND($CV$3,0)),0),MATCH("DEFAULT_MDA_MIN_MARGIN_GUIDENCE",'Margin Guidence Table'!$A$1:$AG$1,0))),0)</f>
        <v>0</v>
      </c>
      <c r="DJ15" s="1054">
        <f t="array" ref="DJ15">IFERROR(IF($DF15="SEGMENT",INDEX('Margin Guidence Table'!$A$1:$AG$10000,MATCH(1,('Margin Guidence Table'!$A$1:$A$10000=DD15)*('Margin Guidence Table'!$I$1:$I$10000&lt;=ROUND($CV$3,0))*('Margin Guidence Table'!$J$1:$J$10000&gt;=ROUND($CV$3,0)),0),MATCH("MDA_MEDIAN_MARGIN_GUIDENCE",'Margin Guidence Table'!$A$1:$AG$1,0)),INDEX('Margin Guidence Table'!$A$1:$AG$10000,MATCH(1,('Margin Guidence Table'!$A$1:$A$10000=DD15)*('Margin Guidence Table'!$I$1:$I$10000&lt;=ROUND($CV$3,0))*('Margin Guidence Table'!$J$1:$J$10000&gt;=ROUND($CV$3,0)),0),MATCH("DEFAULT_MDA_MEDIAN_MARGIN_GUIDENCE",'Margin Guidence Table'!$A$1:$AG$1,0))),0)</f>
        <v>0</v>
      </c>
      <c r="DK15" s="1054">
        <f t="array" ref="DK15">IFERROR(IF($DF15="SEGMENT",INDEX('Margin Guidence Table'!$A$1:$AG$10000,MATCH(1,('Margin Guidence Table'!$A$1:$A$10000=DD15)*('Margin Guidence Table'!$I$1:$I$10000&lt;=ROUND($CV$3,0))*('Margin Guidence Table'!$J$1:$J$10000&gt;=ROUND($CV$3,0)),0),MATCH("MDA_MAX_MARGIN_GUIDENCE",'Margin Guidence Table'!$A$1:$AG$1,0)),INDEX('Margin Guidence Table'!$A$1:$AG$10000,MATCH(1,('Margin Guidence Table'!$A$1:$A$10000=DD15)*('Margin Guidence Table'!$I$1:$I$10000&lt;=ROUND($CV$3,0))*('Margin Guidence Table'!$J$1:$J$10000&gt;=ROUND($CV$3,0)),0),MATCH("DEFAULT_MDA_MAX_MARGIN_GUIDENCE",'Margin Guidence Table'!$A$1:$AG$1,0))),0)</f>
        <v>0</v>
      </c>
      <c r="DL15" s="1054">
        <f t="array" ref="DL15">IFERROR(IF($DF15="SEGMENT",INDEX('Margin Guidence Table'!$A$1:$AG$10000,MATCH(1,('Margin Guidence Table'!$A$1:$A$10000=DD15)*('Margin Guidence Table'!$I$1:$I$10000&lt;=ROUND($CV$3,0))*('Margin Guidence Table'!$J$1:$J$10000&gt;=ROUND($CV$3,0)),0),MATCH("PA_PCT_SALES",'Margin Guidence Table'!$A$1:$AG$1,0)),INDEX('Margin Guidence Table'!$A$1:$AG$10000,MATCH(1,('Margin Guidence Table'!$A$1:$A$10000=DD15)*('Margin Guidence Table'!$I$1:$I$10000&lt;=ROUND($CV$3,0))*('Margin Guidence Table'!$J$1:$J$10000&gt;=ROUND($CV$3,0)),0),MATCH("DEFAULT_PA_PCT_SALES",'Margin Guidence Table'!$A$1:$AG$1,0))),0)</f>
        <v>0</v>
      </c>
      <c r="DM15" s="1054">
        <f t="array" ref="DM15">IFERROR(IF($DF15="SEGMENT",INDEX('Margin Guidence Table'!$A$1:$AG$10000,MATCH(1,('Margin Guidence Table'!$A$1:$A$10000=DD15)*('Margin Guidence Table'!$I$1:$I$10000&lt;=ROUND($CV$3,0))*('Margin Guidence Table'!$J$1:$J$10000&gt;=ROUND($CV$3,0)),0),MATCH("SELF_FUND_PCT_SALES",'Margin Guidence Table'!$A$1:$AG$1,0)),INDEX('Margin Guidence Table'!$A$1:$AG$10000,MATCH(1,('Margin Guidence Table'!$A$1:$A$10000=DD15)*('Margin Guidence Table'!$I$1:$I$10000&lt;=ROUND($CV$3,0))*('Margin Guidence Table'!$J$1:$J$10000&gt;=ROUND($CV$3,0)),0),MATCH("DEFAULT_SELF_FUND_PCT_SALES",'Margin Guidence Table'!$A$1:$AG$1,0))),0)</f>
        <v>0</v>
      </c>
      <c r="DN15" s="1054">
        <f t="array" ref="DN15">IFERROR(IF($DF15="SEGMENT",INDEX('Margin Guidence Table'!$A$1:$AG$10000,MATCH(1,('Margin Guidence Table'!$A$1:$A$10000=DD15)*('Margin Guidence Table'!$I$1:$I$10000&lt;=ROUND($CV$3,0))*('Margin Guidence Table'!$J$1:$J$10000&gt;=ROUND($CV$3,0)),0),MATCH("CIA_MEDIAN_MARGIN_GUIDENCE",'Margin Guidence Table'!$A$1:$AG$1,0)),INDEX('Margin Guidence Table'!$A$1:$AG$10000,MATCH(1,('Margin Guidence Table'!$A$1:$A$10000=DD15)*('Margin Guidence Table'!$I$1:$I$10000&lt;=ROUND($CV$3,0))*('Margin Guidence Table'!$J$1:$J$10000&gt;=ROUND($CV$3,0)),0),MATCH("DEFAULT_CIA_MEDIAN_MARGIN_GUIDENCE",'Margin Guidence Table'!$A$1:$AG$1,0))),0)</f>
        <v>0</v>
      </c>
      <c r="DO15" s="127"/>
      <c r="DP15" s="18">
        <f t="array" ref="DP15">IFERROR(IF($EC15="SEGMENT",INDEX('Margin Guidence Table'!$A$1:$AG$10000,MATCH(1,('Margin Guidence Table'!$A$1:$A$10000=$EA15)*('Margin Guidence Table'!$I$1:$I$10000&lt;=ROUND($DS$3,0))*('Margin Guidence Table'!$J$1:$J$10000&gt;=ROUND($DS$3,0)),0),MATCH("PCT_SALES",'Margin Guidence Table'!$A$1:$AG$1,0)),INDEX('Margin Guidence Table'!$A$1:$AG$10000,MATCH(1,('Margin Guidence Table'!$A$1:$A$10000=$EA15)*('Margin Guidence Table'!$I$1:$I$10000&lt;=ROUND($DS$3,0))*('Margin Guidence Table'!$J$1:$J$10000&gt;=ROUND($DS$3,0)),0),MATCH("DEFAULT_PCT_SALES",'Margin Guidence Table'!$A$1:$AG$1,0))),0)</f>
        <v>0</v>
      </c>
      <c r="DQ15" s="370" t="e">
        <f t="shared" ref="DQ15:DQ34" si="32">DP15/$DP$35</f>
        <v>#DIV/0!</v>
      </c>
      <c r="DR15" s="100" t="s">
        <v>103</v>
      </c>
      <c r="DS15" s="92">
        <f>IFERROR(IF(AND($DS$2&lt;&gt;"Enter Spend&gt;&gt;&gt;",DT3="EXISTING"),SUMIFS('Existing Customers'!$Q:$Q,'Existing Customers'!$A:$A,$DS$1,'Existing Customers'!$H:$H,$DR15)*$DS$4,$DS$3*$DQ15),0)</f>
        <v>0</v>
      </c>
      <c r="DT15" s="87">
        <f>IFERROR(IF(AND($DS$2&lt;&gt;"Enter Spend&gt;&gt;&gt;",DT2="EXISTING"),SUMIFS('Existing Customers'!$N:$N,'Existing Customers'!$A:$A,$DS$1,'Existing Customers'!$H:$H,$DR15)*$DS$4,$DS15/$ED15),0)</f>
        <v>0</v>
      </c>
      <c r="DU15" s="93">
        <f>IFERROR(IF(AND($DS$2&lt;&gt;"Enter Spend&gt;&gt;&gt;",DT2="EXISTING"),SUMIFS('Existing Customers'!$O:$O,'Existing Customers'!$H:$H,$DR15,'Existing Customers'!$A:$A,$DS$1)*$DS$4,$DT15*$DS$8),0)</f>
        <v>0</v>
      </c>
      <c r="DV15" s="93">
        <f>IFERROR(IF(AND($DS$2&lt;&gt;"Enter Spend&gt;&gt;&gt;",DT2="EXISTING"),SUMIFS('Existing Customers'!$P:$P,'Existing Customers'!$A:$A,$DS$1,'Existing Customers'!$H:$H,$DR15)*$DS$4,$DS15/$EE15),0)</f>
        <v>0</v>
      </c>
      <c r="DW15" s="94">
        <f>IFERROR(IF(AND($DS$2&lt;&gt;"Enter Spend&gt;&gt;&gt;",EQ2="EXISTING"),SUMIFS('Existing Customers'!$V:$V,'Existing Customers'!$H:$H,$DR15,'Existing Customers'!$A:$A,$DS$1)*$DS$4,0),0)</f>
        <v>0</v>
      </c>
      <c r="DX15" s="94">
        <f>IFERROR(IF(AND($DS$2&lt;&gt;"Enter Spend&gt;&gt;&gt;",DT2="EXISTING"),SUMIFS('Existing Customers'!$R:$R,'Existing Customers'!$H:$H,$DR15,'Existing Customers'!$A:$A,$DS$1)*$DS$4,0),0)</f>
        <v>0</v>
      </c>
      <c r="DY15" s="1050">
        <f>IFERROR(IF(AND($DS$2&lt;&gt;"Enter Spend&gt;&gt;&gt;",DT2="EXISTING"),SUMIFS('Existing Customers'!$S:$S,'Existing Customers'!$H:$H,$DT15,'Existing Customers'!$A:$A,$DS$1),EI15*DS15),0)</f>
        <v>0</v>
      </c>
      <c r="DZ15" s="1050">
        <f>IFERROR(IF(AND($DS$2&lt;&gt;"Enter Spend&gt;&gt;&gt;",DT2="EXISTING"),SUMIFS('Existing Customers'!$U:$U,'Existing Customers'!$H:$H,$DR15,'Existing Customers'!$A:$A,$DS$1),EJ15*DS15),0)</f>
        <v>0</v>
      </c>
      <c r="EA15" s="1053" t="e">
        <f>_xlfn.CONCAT('Customer Inputs'!$AG$9,"_",DR15)</f>
        <v>#N/A</v>
      </c>
      <c r="EB15" s="1053">
        <f t="array" ref="EB15">IFERROR(INDEX('Margin Guidence Table'!$A$1:$AG$10000,MATCH(1,('Margin Guidence Table'!$A$1:$A$10000=EA15)*('Margin Guidence Table'!$I$1:$I$10000&lt;=ROUND($DS$3,0))*('Margin Guidence Table'!$J$1:$J$10000&gt;=ROUND($DS$3,0)),0),MATCH("DATA_POINTS",'Margin Guidence Table'!$A$1:$AG$1,0)),0)</f>
        <v>0</v>
      </c>
      <c r="EC15" s="1050" t="str">
        <f t="shared" ref="EC15:EC34" si="33">IF(EB15&gt;15,"SEGMENT","DEFAULT")</f>
        <v>DEFAULT</v>
      </c>
      <c r="ED15" s="1050">
        <f t="array" ref="ED15">IFERROR(IF($EC15="SEGMENT",INDEX('Margin Guidence Table'!$A$1:$AG$10000,MATCH(1,('Margin Guidence Table'!$A$1:$A$10000=EA15)*('Margin Guidence Table'!$I$1:$I$10000&lt;=ROUND($DS$3,0))*('Margin Guidence Table'!$J$1:$J$10000&gt;=ROUND($DS$3,0)),0),MATCH("SALES_CASE",'Margin Guidence Table'!$A$1:$AG$1,0)),INDEX('Margin Guidence Table'!$A$1:$AG$10000,MATCH(1,('Margin Guidence Table'!$A$1:$A$10000=EA15)*('Margin Guidence Table'!$I$1:$I$10000&lt;=ROUND($DS$3,0))*('Margin Guidence Table'!$J$1:$J$10000&gt;=ROUND($DS$3,0)),0),MATCH("DEFAULT_SALES_CASE",'Margin Guidence Table'!$A$1:$AG$1,0))),0)</f>
        <v>0</v>
      </c>
      <c r="EE15" s="1050">
        <f t="array" ref="EE15">IFERROR(IF($EC15="SEGMENT",INDEX('Margin Guidence Table'!$A$1:$AG$10000,MATCH(1,('Margin Guidence Table'!$A$1:$A$10000=EA15)*('Margin Guidence Table'!$I$1:$I$10000&lt;=ROUND($DS$3,0))*('Margin Guidence Table'!$J$1:$J$10000&gt;=ROUND($DS$3,0)),0),MATCH("SALES_LBS",'Margin Guidence Table'!$A$1:$AG$1,0)),INDEX('Margin Guidence Table'!$A$1:$AG$10000,MATCH(1,('Margin Guidence Table'!$A$1:$A$10000=EA15)*('Margin Guidence Table'!$I$1:$I$10000&lt;=ROUND($DS$3,0))*('Margin Guidence Table'!$J$1:$J$10000&gt;=ROUND($DS$3,0)),0),MATCH("DEFAULT_SALES_LBS",'Margin Guidence Table'!$A$1:$AG$1,0))),0)</f>
        <v>0</v>
      </c>
      <c r="EF15" s="1054">
        <f t="array" ref="EF15">IFERROR(IF($EC15="SEGMENT",INDEX('Margin Guidence Table'!$A$1:$AG$10000,MATCH(1,('Margin Guidence Table'!$A$1:$A$10000=EA15)*('Margin Guidence Table'!$I$1:$I$10000&lt;=ROUND($DS$3,0))*('Margin Guidence Table'!$J$1:$J$10000&gt;=ROUND($DS$3,0)),0),MATCH("MDA_MIN_MARGIN_GUIDENCE",'Margin Guidence Table'!$A$1:$AG$1,0)),INDEX('Margin Guidence Table'!$A$1:$AG$10000,MATCH(1,('Margin Guidence Table'!$A$1:$A$10000=EA15)*('Margin Guidence Table'!$I$1:$I$10000&lt;=ROUND($DS$3,0))*('Margin Guidence Table'!$J$1:$J$10000&gt;=ROUND($DS$3,0)),0),MATCH("DEFAULT_MDA_MIN_MARGIN_GUIDENCE",'Margin Guidence Table'!$A$1:$AG$1,0))),0)</f>
        <v>0</v>
      </c>
      <c r="EG15" s="1054">
        <f t="array" ref="EG15">IFERROR(IF($EC15="SEGMENT",INDEX('Margin Guidence Table'!$A$1:$AG$10000,MATCH(1,('Margin Guidence Table'!$A$1:$A$10000=EA15)*('Margin Guidence Table'!$I$1:$I$10000&lt;=ROUND($DS$3,0))*('Margin Guidence Table'!$J$1:$J$10000&gt;=ROUND($DS$3,0)),0),MATCH("MDA_MEDIAN_MARGIN_GUIDENCE",'Margin Guidence Table'!$A$1:$AG$1,0)),INDEX('Margin Guidence Table'!$A$1:$AG$10000,MATCH(1,('Margin Guidence Table'!$A$1:$A$10000=EA15)*('Margin Guidence Table'!$I$1:$I$10000&lt;=ROUND($DS$3,0))*('Margin Guidence Table'!$J$1:$J$10000&gt;=ROUND($DS$3,0)),0),MATCH("DEFAULT_MDA_MEDIAN_MARGIN_GUIDENCE",'Margin Guidence Table'!$A$1:$AG$1,0))),0)</f>
        <v>0</v>
      </c>
      <c r="EH15" s="1054">
        <f t="array" ref="EH15">IFERROR(IF($EC15="SEGMENT",INDEX('Margin Guidence Table'!$A$1:$AG$10000,MATCH(1,('Margin Guidence Table'!$A$1:$A$10000=EA15)*('Margin Guidence Table'!$I$1:$I$10000&lt;=ROUND($DS$3,0))*('Margin Guidence Table'!$J$1:$J$10000&gt;=ROUND($DS$3,0)),0),MATCH("MDA_MAX_MARGIN_GUIDENCE",'Margin Guidence Table'!$A$1:$AG$1,0)),INDEX('Margin Guidence Table'!$A$1:$AG$10000,MATCH(1,('Margin Guidence Table'!$A$1:$A$10000=EA15)*('Margin Guidence Table'!$I$1:$I$10000&lt;=ROUND($DS$3,0))*('Margin Guidence Table'!$J$1:$J$10000&gt;=ROUND($DS$3,0)),0),MATCH("DEFAULT_MDA_MAX_MARGIN_GUIDENCE",'Margin Guidence Table'!$A$1:$AG$1,0))),0)</f>
        <v>0</v>
      </c>
      <c r="EI15" s="1054">
        <f t="array" ref="EI15">IFERROR(IF($EC15="SEGMENT",INDEX('Margin Guidence Table'!$A$1:$AG$10000,MATCH(1,('Margin Guidence Table'!$A$1:$A$10000=EA15)*('Margin Guidence Table'!$I$1:$I$10000&lt;=ROUND($DS$3,0))*('Margin Guidence Table'!$J$1:$J$10000&gt;=ROUND($DS$3,0)),0),MATCH("PA_PCT_SALES",'Margin Guidence Table'!$A$1:$AG$1,0)),INDEX('Margin Guidence Table'!$A$1:$AG$10000,MATCH(1,('Margin Guidence Table'!$A$1:$A$10000=EA15)*('Margin Guidence Table'!$I$1:$I$10000&lt;=ROUND($DS$3,0))*('Margin Guidence Table'!$J$1:$J$10000&gt;=ROUND($DS$3,0)),0),MATCH("DEFAULT_PA_PCT_SALES",'Margin Guidence Table'!$A$1:$AG$1,0))),0)</f>
        <v>0</v>
      </c>
      <c r="EJ15" s="1054">
        <f t="array" ref="EJ15">IFERROR(IF($EC15="SEGMENT",INDEX('Margin Guidence Table'!$A$1:$AG$10000,MATCH(1,('Margin Guidence Table'!$A$1:$A$10000=EA15)*('Margin Guidence Table'!$I$1:$I$10000&lt;=ROUND($DS$3,0))*('Margin Guidence Table'!$J$1:$J$10000&gt;=ROUND($DS$3,0)),0),MATCH("SELF_FUND_PCT_SALES",'Margin Guidence Table'!$A$1:$AG$1,0)),INDEX('Margin Guidence Table'!$A$1:$AG$10000,MATCH(1,('Margin Guidence Table'!$A$1:$A$10000=EA15)*('Margin Guidence Table'!$I$1:$I$10000&lt;=ROUND($DS$3,0))*('Margin Guidence Table'!$J$1:$J$10000&gt;=ROUND($DS$3,0)),0),MATCH("DEFAULT_SELF_FUND_PCT_SALES",'Margin Guidence Table'!$A$1:$AG$1,0))),0)</f>
        <v>0</v>
      </c>
      <c r="EK15" s="1054">
        <f t="array" ref="EK15">IFERROR(IF($EC15="SEGMENT",INDEX('Margin Guidence Table'!$A$1:$AG$10000,MATCH(1,('Margin Guidence Table'!$A$1:$A$10000=EA15)*('Margin Guidence Table'!$I$1:$I$10000&lt;=ROUND($DS$3,0))*('Margin Guidence Table'!$J$1:$J$10000&gt;=ROUND($DS$3,0)),0),MATCH("CIA_MEDIAN_MARGIN_GUIDENCE",'Margin Guidence Table'!$A$1:$AG$1,0)),INDEX('Margin Guidence Table'!$A$1:$AG$10000,MATCH(1,('Margin Guidence Table'!$A$1:$A$10000=EA15)*('Margin Guidence Table'!$I$1:$I$10000&lt;=ROUND($DS$3,0))*('Margin Guidence Table'!$J$1:$J$10000&gt;=ROUND($DS$3,0)),0),MATCH("DEFAULT_CIA_MEDIAN_MARGIN_GUIDENCE",'Margin Guidence Table'!$A$1:$AG$1,0))),0)</f>
        <v>0</v>
      </c>
      <c r="EL15" s="127"/>
      <c r="EM15" s="18">
        <f t="array" ref="EM15">IFERROR(IF($EZ15="SEGMENT",INDEX('Margin Guidence Table'!$A$1:$AG$10000,MATCH(1,('Margin Guidence Table'!$A$1:$A$10000=$EX15)*('Margin Guidence Table'!$I$1:$I$10000&lt;=ROUND($EP$3,0))*('Margin Guidence Table'!$J$1:$J$10000&gt;=ROUND($EP$3,0)),0),MATCH("PCT_SALES",'Margin Guidence Table'!$A$1:$AG$1,0)),INDEX('Margin Guidence Table'!$A$1:$AG$10000,MATCH(1,('Margin Guidence Table'!$A$1:$A$10000=$EX15)*('Margin Guidence Table'!$I$1:$I$10000&lt;=ROUND($EP$3,0))*('Margin Guidence Table'!$J$1:$J$10000&gt;=ROUND($EP$3,0)),0),MATCH("DEFAULT_PCT_SALES",'Margin Guidence Table'!$A$1:$AG$1,0))),0)</f>
        <v>0</v>
      </c>
      <c r="EN15" s="370" t="e">
        <f t="shared" ref="EN15:EN34" si="34">EM15/$EM$35</f>
        <v>#DIV/0!</v>
      </c>
      <c r="EO15" s="100" t="s">
        <v>103</v>
      </c>
      <c r="EP15" s="92">
        <f>IFERROR(IF(AND($EP$2&lt;&gt;"Enter Spend&gt;&gt;&gt;",EQ3="EXISTING"),SUMIFS('Existing Customers'!$Q:$Q,'Existing Customers'!$A:$A,$EP$1,'Existing Customers'!$H:$H,$EO15)*$EP$4,$EP$3*$EN15),0)</f>
        <v>0</v>
      </c>
      <c r="EQ15" s="87">
        <f>IFERROR(IF(AND($EP$2&lt;&gt;"Enter Spend&gt;&gt;&gt;",EQ2="EXISTING"),SUMIFS('Existing Customers'!$N:$N,'Existing Customers'!$A:$A,$EP$1,'Existing Customers'!$H:$H,$EO15)*$EP$4,$EP15/$FA15),0)</f>
        <v>0</v>
      </c>
      <c r="ER15" s="93">
        <f>IFERROR(IF(AND($EP$2&lt;&gt;"Enter Spend&gt;&gt;&gt;",EQ2="EXISTING"),SUMIFS('Existing Customers'!$O:$O,'Existing Customers'!$H:$H,$EO15,'Existing Customers'!$A:$A,$EP$1)*$EP$4,$EQ15*$EP$8),0)</f>
        <v>0</v>
      </c>
      <c r="ES15" s="93">
        <f>IFERROR(IF(AND($EP$2&lt;&gt;"Enter Spend&gt;&gt;&gt;",EQ2="EXISTING"),SUMIFS('Existing Customers'!$P:$P,'Existing Customers'!$A:$A,$EP$1,'Existing Customers'!$H:$H,$EO15)*$EP$4,$EP15/$FB15),0)</f>
        <v>0</v>
      </c>
      <c r="ET15" s="94">
        <f>IFERROR(IF(AND($EP$2&lt;&gt;"Enter Spend&gt;&gt;&gt;",EQ2="EXISTING"),SUMIFS('Existing Customers'!$V:$V,'Existing Customers'!$H:$H,$EO15,'Existing Customers'!$A:$A,$EP$1)*$EP$4,0),0)</f>
        <v>0</v>
      </c>
      <c r="EU15" s="94">
        <f>IFERROR(IF(AND($EP$2&lt;&gt;"Enter Spend&gt;&gt;&gt;",EQ2="EXISTING"),SUMIFS('Existing Customers'!$R:$R,'Existing Customers'!$H:$H,$EO15,'Existing Customers'!$A:$A,$EP$1)*$EP$4,0),0)</f>
        <v>0</v>
      </c>
      <c r="EV15" s="1050">
        <f>IFERROR(IF(AND($EP$2&lt;&gt;"Enter Spend&gt;&gt;&gt;",EQ2="EXISTING"),SUMIFS('Existing Customers'!$S:$S,'Existing Customers'!$H:$H,$EO15,'Existing Customers'!$A:$A,$EP$1),FF15*EP15),0)</f>
        <v>0</v>
      </c>
      <c r="EW15" s="1050">
        <f>IFERROR(IF(AND($EP$2&lt;&gt;"Enter Spend&gt;&gt;&gt;",EQ2="EXISTING"),SUMIFS('Existing Customers'!$U:$U,'Existing Customers'!$H:$H,$EO15,'Existing Customers'!$A:$A,$EP$1),FG15*EP15),0)</f>
        <v>0</v>
      </c>
      <c r="EX15" s="1053" t="e">
        <f>_xlfn.CONCAT('Customer Inputs'!$AG$10,"_",EO15)</f>
        <v>#N/A</v>
      </c>
      <c r="EY15" s="1053">
        <f t="array" ref="EY15">IFERROR(INDEX('Margin Guidence Table'!$A$1:$AG$10000,MATCH(1,('Margin Guidence Table'!$A$1:$A$10000=EX15)*('Margin Guidence Table'!$I$1:$I$10000&lt;=ROUND($EP$3,0))*('Margin Guidence Table'!$J$1:$J$10000&gt;=ROUND($EP$3,0)),0),MATCH("DATA_POINTS",'Margin Guidence Table'!$A$1:$AG$1,0)),0)</f>
        <v>0</v>
      </c>
      <c r="EZ15" s="1050" t="str">
        <f t="shared" ref="EZ15:EZ34" si="35">IF(EY15&gt;15,"SEGMENT","DEFAULT")</f>
        <v>DEFAULT</v>
      </c>
      <c r="FA15" s="1050">
        <f t="array" ref="FA15">IFERROR(IF($EZ15="SEGMENT",INDEX('Margin Guidence Table'!$A$1:$AG$10000,MATCH(1,('Margin Guidence Table'!$A$1:$A$10000=EX15)*('Margin Guidence Table'!$I$1:$I$10000&lt;=ROUND($EP$3,0))*('Margin Guidence Table'!$J$1:$J$10000&gt;=ROUND($EP$3,0)),0),MATCH("SALES_CASE",'Margin Guidence Table'!$A$1:$AG$1,0)),INDEX('Margin Guidence Table'!$A$1:$AG$10000,MATCH(1,('Margin Guidence Table'!$A$1:$A$10000=EX15)*('Margin Guidence Table'!$I$1:$I$10000&lt;=ROUND($EP$3,0))*('Margin Guidence Table'!$J$1:$J$10000&gt;=ROUND($EP$3,0)),0),MATCH("DEFAULT_SALES_CASE",'Margin Guidence Table'!$A$1:$AG$1,0))),0)</f>
        <v>0</v>
      </c>
      <c r="FB15" s="1050" cm="1">
        <f t="array" ref="FB15">IFERROR(IF($EZ15="SEGMENT",INDEX('Margin Guidence Table'!$A$1:$AG$10000,MATCH(1,('Margin Guidence Table'!$A$1:$A$10000=EX15)*('Margin Guidence Table'!$I$1:$I$10000&lt;=ROUND($EP$3,0))*('Margin Guidence Table'!$J$1:$J$10000&gt;=ROUND($EP$3,0)),0),MATCH("SALES_LBS",'Margin Guidence Table'!$A$1:$AG$1,0)),INDEX('Margin Guidence Table'!$A$1:$AG$10000,MATCH(1,('Margin Guidence Table'!$A$1:$A$10000=EX15)*('Margin Guidence Table'!$I$1:$I$10000&lt;=ROUND($EP$3,0))*('Margin Guidence Table'!$J$1:$J$10000&gt;=ROUND($EP$3,0)),0),MATCH("DEFAULT_SALES_LBS",'Margin Guidence Table'!$A$1:$AG$1,0))),0)</f>
        <v>0</v>
      </c>
      <c r="FC15" s="1054">
        <f t="array" ref="FC15">IFERROR(IF($EZ15="SEGMENT",INDEX('Margin Guidence Table'!$A$1:$AG$10000,MATCH(1,('Margin Guidence Table'!$A$1:$A$10000=EX15)*('Margin Guidence Table'!$I$1:$I$10000&lt;=ROUND($EP$3,0))*('Margin Guidence Table'!$J$1:$J$10000&gt;=ROUND($EP$3,0)),0),MATCH("MDA_MIN_MARGIN_GUIDENCE",'Margin Guidence Table'!$A$1:$AG$1,0)),INDEX('Margin Guidence Table'!$A$1:$AG$10000,MATCH(1,('Margin Guidence Table'!$A$1:$A$10000=EX15)*('Margin Guidence Table'!$I$1:$I$10000&lt;=ROUND($EP$3,0))*('Margin Guidence Table'!$J$1:$J$10000&gt;=ROUND($EP$3,0)),0),MATCH("DEFAULT_MDA_MIN_MARGIN_GUIDENCE",'Margin Guidence Table'!$A$1:$AG$1,0))),0)</f>
        <v>0</v>
      </c>
      <c r="FD15" s="1054">
        <f t="array" ref="FD15">IFERROR(IF($EZ15="SEGMENT",INDEX('Margin Guidence Table'!$A$1:$AG$10000,MATCH(1,('Margin Guidence Table'!$A$1:$A$10000=EX15)*('Margin Guidence Table'!$I$1:$I$10000&lt;=ROUND($EP$3,0))*('Margin Guidence Table'!$J$1:$J$10000&gt;=ROUND($EP$3,0)),0),MATCH("MDA_MEDIAN_MARGIN_GUIDENCE",'Margin Guidence Table'!$A$1:$AG$1,0)),INDEX('Margin Guidence Table'!$A$1:$AG$10000,MATCH(1,('Margin Guidence Table'!$A$1:$A$10000=EX15)*('Margin Guidence Table'!$I$1:$I$10000&lt;=ROUND($EP$3,0))*('Margin Guidence Table'!$J$1:$J$10000&gt;=ROUND($EP$3,0)),0),MATCH("DEFAULT_MDA_MEDIAN_MARGIN_GUIDENCE",'Margin Guidence Table'!$A$1:$AG$1,0))),0)</f>
        <v>0</v>
      </c>
      <c r="FE15" s="1054">
        <f t="array" ref="FE15">IFERROR(IF($EZ15="SEGMENT",INDEX('Margin Guidence Table'!$A$1:$AG$10000,MATCH(1,('Margin Guidence Table'!$A$1:$A$10000=EX15)*('Margin Guidence Table'!$I$1:$I$10000&lt;=ROUND($EP$3,0))*('Margin Guidence Table'!$J$1:$J$10000&gt;=ROUND($EP$3,0)),0),MATCH("MDA_MAX_MARGIN_GUIDENCE",'Margin Guidence Table'!$A$1:$AG$1,0)),INDEX('Margin Guidence Table'!$A$1:$AG$10000,MATCH(1,('Margin Guidence Table'!$A$1:$A$10000=EX15)*('Margin Guidence Table'!$I$1:$I$10000&lt;=ROUND($EP$3,0))*('Margin Guidence Table'!$J$1:$J$10000&gt;=ROUND($EP$3,0)),0),MATCH("DEFAULT_MDA_MAX_MARGIN_GUIDENCE",'Margin Guidence Table'!$A$1:$AG$1,0))),0)</f>
        <v>0</v>
      </c>
      <c r="FF15" s="1054">
        <f t="array" ref="FF15">IFERROR(IF($EZ15="SEGMENT",INDEX('Margin Guidence Table'!$A$1:$AG$10000,MATCH(1,('Margin Guidence Table'!$A$1:$A$10000=EX15)*('Margin Guidence Table'!$I$1:$I$10000&lt;=ROUND($EP$3,0))*('Margin Guidence Table'!$J$1:$J$10000&gt;=ROUND($EP$3,0)),0),MATCH("PA_PCT_SALES",'Margin Guidence Table'!$A$1:$AG$1,0)),INDEX('Margin Guidence Table'!$A$1:$AG$10000,MATCH(1,('Margin Guidence Table'!$A$1:$A$10000=EX15)*('Margin Guidence Table'!$I$1:$I$10000&lt;=ROUND($EP$3,0))*('Margin Guidence Table'!$J$1:$J$10000&gt;=ROUND($EP$3,0)),0),MATCH("DEFAULT_PA_PCT_SALES",'Margin Guidence Table'!$A$1:$AG$1,0))),0)</f>
        <v>0</v>
      </c>
      <c r="FG15" s="1054">
        <f t="array" ref="FG15">IFERROR(IF($EZ15="SEGMENT",INDEX('Margin Guidence Table'!$A$1:$AG$10000,MATCH(1,('Margin Guidence Table'!$A$1:$A$10000=EX15)*('Margin Guidence Table'!$I$1:$I$10000&lt;=ROUND($EP$3,0))*('Margin Guidence Table'!$J$1:$J$10000&gt;=ROUND($EP$3,0)),0),MATCH("SELF_FUND_PCT_SALES",'Margin Guidence Table'!$A$1:$AG$1,0)),INDEX('Margin Guidence Table'!$A$1:$AG$10000,MATCH(1,('Margin Guidence Table'!$A$1:$A$10000=EX15)*('Margin Guidence Table'!$I$1:$I$10000&lt;=ROUND($EP$3,0))*('Margin Guidence Table'!$J$1:$J$10000&gt;=ROUND($EP$3,0)),0),MATCH("DEFAULT_SELF_FUND_PCT_SALES",'Margin Guidence Table'!$A$1:$AG$1,0))),0)</f>
        <v>0</v>
      </c>
      <c r="FH15" s="1054">
        <f t="array" ref="FH15">IFERROR(IF($EZ15="SEGMENT",INDEX('Margin Guidence Table'!$A$1:$AG$10000,MATCH(1,('Margin Guidence Table'!$A$1:$A$10000=EX15)*('Margin Guidence Table'!$I$1:$I$10000&lt;=ROUND($EP$3,0))*('Margin Guidence Table'!$J$1:$J$10000&gt;=ROUND($EP$3,0)),0),MATCH("CIA_MEDIAN_MARGIN_GUIDENCE",'Margin Guidence Table'!$A$1:$AG$1,0)),INDEX('Margin Guidence Table'!$A$1:$AG$10000,MATCH(1,('Margin Guidence Table'!$A$1:$A$10000=EX15)*('Margin Guidence Table'!$I$1:$I$10000&lt;=ROUND($EP$3,0))*('Margin Guidence Table'!$J$1:$J$10000&gt;=ROUND($EP$3,0)),0),MATCH("DEFAULT_CIA_MEDIAN_MARGIN_GUIDENCE",'Margin Guidence Table'!$A$1:$AG$1,0))),0)</f>
        <v>0</v>
      </c>
      <c r="FI15" s="127"/>
      <c r="FJ15" s="18">
        <f t="array" ref="FJ15">IFERROR(IF($FW15="SEGMENT",INDEX('Margin Guidence Table'!$A$1:$AG$10000,MATCH(1,('Margin Guidence Table'!$A$1:$A$10000=$FU15)*('Margin Guidence Table'!$I$1:$I$10000&lt;=ROUND($FM$3,0))*('Margin Guidence Table'!$J$1:$J$10000&gt;=ROUND($FM$3,0)),0),MATCH("PCT_SALES",'Margin Guidence Table'!$A$1:$AG$1,0)),INDEX('Margin Guidence Table'!$A$1:$AG$10000,MATCH(1,('Margin Guidence Table'!$A$1:$A$10000=$FU15)*('Margin Guidence Table'!$I$1:$I$10000&lt;=ROUND($FM$3,0))*('Margin Guidence Table'!$J$1:$J$10000&gt;=ROUND($FM$3,0)),0),MATCH("DEFAULT_PCT_SALES",'Margin Guidence Table'!$A$1:$AG$1,0))),0)</f>
        <v>0</v>
      </c>
      <c r="FK15" s="370" t="e">
        <f t="shared" ref="FK15:FK34" si="36">FJ15/$FJ$35</f>
        <v>#DIV/0!</v>
      </c>
      <c r="FL15" s="100" t="s">
        <v>103</v>
      </c>
      <c r="FM15" s="92">
        <f>IFERROR(IF(AND($FM$2&lt;&gt;"Enter Spend&gt;&gt;&gt;",FN3="EXISTING"),SUMIFS('Existing Customers'!$Q:$Q,'Existing Customers'!$A:$A,$FM$1,'Existing Customers'!$H:$H,$FL15)*$FM$4,$FM$3*$FK15),0)</f>
        <v>0</v>
      </c>
      <c r="FN15" s="87">
        <f>IFERROR(IF(AND($FM$2&lt;&gt;"Enter Spend&gt;&gt;&gt;",FN2="EXISTING"),SUMIFS('Existing Customers'!$N:$N,'Existing Customers'!$A:$A,$FM$1,'Existing Customers'!$H:$H,$FL15)*$FM$4,$FM15/$FX15),0)</f>
        <v>0</v>
      </c>
      <c r="FO15" s="93">
        <f>IFERROR(IF(AND($FM$2&lt;&gt;"Enter Spend&gt;&gt;&gt;",FN2="EXISTING"),SUMIFS('Existing Customers'!$O:$O,'Existing Customers'!$H:$H,$FL15,'Existing Customers'!$A:$A,$FM$1)*$FM$4,$FN15*$FM$8),0)</f>
        <v>0</v>
      </c>
      <c r="FP15" s="93">
        <f>IFERROR(IF(AND($FM$2&lt;&gt;"Enter Spend&gt;&gt;&gt;",FN2="EXISTING"),SUMIFS('Existing Customers'!$P:$P,'Existing Customers'!$A:$A,$FM$1,'Existing Customers'!$H:$H,$FL15)*$FM$4,$FM15/$FY15),0)</f>
        <v>0</v>
      </c>
      <c r="FQ15" s="94">
        <f>IFERROR(IF(AND($FM$2&lt;&gt;"Enter Spend&gt;&gt;&gt;",FN2="EXISTING"),SUMIFS('Existing Customers'!$V:$V,'Existing Customers'!$H:$H,$FL15,'Existing Customers'!$A:$A,$FM$1)*$FM$4,0),0)</f>
        <v>0</v>
      </c>
      <c r="FR15" s="94">
        <f>IFERROR(IF(AND($FM$2&lt;&gt;"Enter Spend&gt;&gt;&gt;",FN2="EXISTING"),SUMIFS('Existing Customers'!$R:$R,'Existing Customers'!$H:$H,$FL15,'Existing Customers'!$A:$A,$FM$1)*$FM$4,0),0)</f>
        <v>0</v>
      </c>
      <c r="FS15" s="1050">
        <f>IFERROR(IF(AND($FM$2&lt;&gt;"Enter Spend&gt;&gt;&gt;",FN2="EXISTING"),SUMIFS('Existing Customers'!$S:$S,'Existing Customers'!$H:$H,$FL15,'Existing Customers'!$A:$A,$FM$1),GC15*FM15),0)</f>
        <v>0</v>
      </c>
      <c r="FT15" s="1050">
        <f>IFERROR(IF(AND($FM$2&lt;&gt;"Enter Spend&gt;&gt;&gt;",FN2="EXISTING"),SUMIFS('Existing Customers'!$U:$U,'Existing Customers'!$H:$H,$FL15,'Existing Customers'!$A:$A,$FM$1),GD15*FM15),0)</f>
        <v>0</v>
      </c>
      <c r="FU15" s="1053" t="e">
        <f>_xlfn.CONCAT('Customer Inputs'!$AG$11,"_",FL15)</f>
        <v>#N/A</v>
      </c>
      <c r="FV15" s="1053">
        <f t="array" ref="FV15">IFERROR(INDEX('Margin Guidence Table'!$A$1:$AG$10000,MATCH(1,('Margin Guidence Table'!$A$1:$A$10000=FU15)*('Margin Guidence Table'!$I$1:$I$10000&lt;=ROUND($FM$3,0))*('Margin Guidence Table'!$J$1:$J$10000&gt;=ROUND($FM$3,0)),0),MATCH("DATA_POINTS",'Margin Guidence Table'!$A$1:$AG$1,0)),0)</f>
        <v>0</v>
      </c>
      <c r="FW15" s="1050" t="str">
        <f t="shared" ref="FW15:FW34" si="37">IF(FV15&gt;15,"SEGMENT","DEFAULT")</f>
        <v>DEFAULT</v>
      </c>
      <c r="FX15" s="1050">
        <f t="array" ref="FX15">IFERROR(IF($FW15="SEGMENT",INDEX('Margin Guidence Table'!$A$1:$AG$10000,MATCH(1,('Margin Guidence Table'!$A$1:$A$10000=FU15)*('Margin Guidence Table'!$I$1:$I$10000&lt;=ROUND($FM$3,0))*('Margin Guidence Table'!$J$1:$J$10000&gt;=ROUND($FM$3,0)),0),MATCH("SALES_CASE",'Margin Guidence Table'!$A$1:$AG$1,0)),INDEX('Margin Guidence Table'!$A$1:$AG$10000,MATCH(1,('Margin Guidence Table'!$A$1:$A$10000=FU15)*('Margin Guidence Table'!$I$1:$I$10000&lt;=ROUND($FM$3,0))*('Margin Guidence Table'!$J$1:$J$10000&gt;=ROUND($FM$3,0)),0),MATCH("DEFAULT_SALES_CASE",'Margin Guidence Table'!$A$1:$AG$1,0))),0)</f>
        <v>0</v>
      </c>
      <c r="FY15" s="1050">
        <f t="array" ref="FY15">IFERROR(IF($FW15="SEGMENT",INDEX('Margin Guidence Table'!$A$1:$AG$10000,MATCH(1,('Margin Guidence Table'!$A$1:$A$10000=FU15)*('Margin Guidence Table'!$I$1:$I$10000&lt;=ROUND($FM$3,0))*('Margin Guidence Table'!$J$1:$J$10000&gt;=ROUND($FM$3,0)),0),MATCH("SALES_LBS",'Margin Guidence Table'!$A$1:$AG$1,0)),INDEX('Margin Guidence Table'!$A$1:$AG$10000,MATCH(1,('Margin Guidence Table'!$A$1:$A$10000=FU15)*('Margin Guidence Table'!$I$1:$I$10000&lt;=ROUND($FM$3,0))*('Margin Guidence Table'!$J$1:$J$10000&gt;=ROUND($FM$3,0)),0),MATCH("DEFAULT_SALES_LBS",'Margin Guidence Table'!$A$1:$AG$1,0))),0)</f>
        <v>0</v>
      </c>
      <c r="FZ15" s="1054">
        <f t="array" ref="FZ15">IFERROR(IF($FW15="SEGMENT",INDEX('Margin Guidence Table'!$A$1:$AG$10000,MATCH(1,('Margin Guidence Table'!$A$1:$A$10000=FU15)*('Margin Guidence Table'!$I$1:$I$10000&lt;=ROUND($FM$3,0))*('Margin Guidence Table'!$J$1:$J$10000&gt;=ROUND($FM$3,0)),0),MATCH("MDA_MIN_MARGIN_GUIDENCE",'Margin Guidence Table'!$A$1:$AG$1,0)),INDEX('Margin Guidence Table'!$A$1:$AG$10000,MATCH(1,('Margin Guidence Table'!$A$1:$A$10000=FU15)*('Margin Guidence Table'!$I$1:$I$10000&lt;=ROUND($FM$3,0))*('Margin Guidence Table'!$J$1:$J$10000&gt;=ROUND($FM$3,0)),0),MATCH("DEFAULT_MDA_MIN_MARGIN_GUIDENCE",'Margin Guidence Table'!$A$1:$AG$1,0))),0)</f>
        <v>0</v>
      </c>
      <c r="GA15" s="1054">
        <f t="array" ref="GA15">IFERROR(IF($FW15="SEGMENT",INDEX('Margin Guidence Table'!$A$1:$AG$10000,MATCH(1,('Margin Guidence Table'!$A$1:$A$10000=FU15)*('Margin Guidence Table'!$I$1:$I$10000&lt;=ROUND($FM$3,0))*('Margin Guidence Table'!$J$1:$J$10000&gt;=ROUND($FM$3,0)),0),MATCH("MDA_MEDIAN_MARGIN_GUIDENCE",'Margin Guidence Table'!$A$1:$AG$1,0)),INDEX('Margin Guidence Table'!$A$1:$AG$10000,MATCH(1,('Margin Guidence Table'!$A$1:$A$10000=FU15)*('Margin Guidence Table'!$I$1:$I$10000&lt;=ROUND($FM$3,0))*('Margin Guidence Table'!$J$1:$J$10000&gt;=ROUND($FM$3,0)),0),MATCH("DEFAULT_MDA_MEDIAN_MARGIN_GUIDENCE",'Margin Guidence Table'!$A$1:$AG$1,0))),0)</f>
        <v>0</v>
      </c>
      <c r="GB15" s="1054">
        <f t="array" ref="GB15">IFERROR(IF($FW15="SEGMENT",INDEX('Margin Guidence Table'!$A$1:$AG$10000,MATCH(1,('Margin Guidence Table'!$A$1:$A$10000=FU15)*('Margin Guidence Table'!$I$1:$I$10000&lt;=ROUND($FM$3,0))*('Margin Guidence Table'!$J$1:$J$10000&gt;=ROUND($FM$3,0)),0),MATCH("MDA_MAX_MARGIN_GUIDENCE",'Margin Guidence Table'!$A$1:$AG$1,0)),INDEX('Margin Guidence Table'!$A$1:$AG$10000,MATCH(1,('Margin Guidence Table'!$A$1:$A$10000=FU15)*('Margin Guidence Table'!$I$1:$I$10000&lt;=ROUND($FM$3,0))*('Margin Guidence Table'!$J$1:$J$10000&gt;=ROUND($FM$3,0)),0),MATCH("DEFAULT_MDA_MAX_MARGIN_GUIDENCE",'Margin Guidence Table'!$A$1:$AG$1,0))),0)</f>
        <v>0</v>
      </c>
      <c r="GC15" s="1054">
        <f t="array" ref="GC15">IFERROR(IF($FW15="SEGMENT",INDEX('Margin Guidence Table'!$A$1:$AG$10000,MATCH(1,('Margin Guidence Table'!$A$1:$A$10000=FU15)*('Margin Guidence Table'!$I$1:$I$10000&lt;=ROUND($FM$3,0))*('Margin Guidence Table'!$J$1:$J$10000&gt;=ROUND($FM$3,0)),0),MATCH("PA_PCT_SALES",'Margin Guidence Table'!$A$1:$AG$1,0)),INDEX('Margin Guidence Table'!$A$1:$AG$10000,MATCH(1,('Margin Guidence Table'!$A$1:$A$10000=FU15)*('Margin Guidence Table'!$I$1:$I$10000&lt;=ROUND($FM$3,0))*('Margin Guidence Table'!$J$1:$J$10000&gt;=ROUND($FM$3,0)),0),MATCH("DEFAULT_PA_PCT_SALES",'Margin Guidence Table'!$A$1:$AG$1,0))),0)</f>
        <v>0</v>
      </c>
      <c r="GD15" s="1054">
        <f t="array" ref="GD15">IFERROR(IF($FW15="SEGMENT",INDEX('Margin Guidence Table'!$A$1:$AG$10000,MATCH(1,('Margin Guidence Table'!$A$1:$A$10000=FU15)*('Margin Guidence Table'!$I$1:$I$10000&lt;=ROUND($FM$3,0))*('Margin Guidence Table'!$J$1:$J$10000&gt;=ROUND($FM$3,0)),0),MATCH("SELF_FUND_PCT_SALES",'Margin Guidence Table'!$A$1:$AG$1,0)),INDEX('Margin Guidence Table'!$A$1:$AG$10000,MATCH(1,('Margin Guidence Table'!$A$1:$A$10000=FU15)*('Margin Guidence Table'!$I$1:$I$10000&lt;=ROUND($FM$3,0))*('Margin Guidence Table'!$J$1:$J$10000&gt;=ROUND($FM$3,0)),0),MATCH("DEFAULT_SELF_FUND_PCT_SALES",'Margin Guidence Table'!$A$1:$AG$1,0))),0)</f>
        <v>0</v>
      </c>
      <c r="GE15" s="1054">
        <f t="array" ref="GE15">IFERROR(IF($FW15="SEGMENT",INDEX('Margin Guidence Table'!$A$1:$AG$10000,MATCH(1,('Margin Guidence Table'!$A$1:$A$10000=FU15)*('Margin Guidence Table'!$I$1:$I$10000&lt;=ROUND($FM$3,0))*('Margin Guidence Table'!$J$1:$J$10000&gt;=ROUND($FM$3,0)),0),MATCH("CIA_MEDIAN_MARGIN_GUIDENCE",'Margin Guidence Table'!$A$1:$AG$1,0)),INDEX('Margin Guidence Table'!$A$1:$AG$10000,MATCH(1,('Margin Guidence Table'!$A$1:$A$10000=FU15)*('Margin Guidence Table'!$I$1:$I$10000&lt;=ROUND($FM$3,0))*('Margin Guidence Table'!$J$1:$J$10000&gt;=ROUND($FM$3,0)),0),MATCH("DEFAULT_CIA_MEDIAN_MARGIN_GUIDENCE",'Margin Guidence Table'!$A$1:$AG$1,0))),0)</f>
        <v>0</v>
      </c>
      <c r="GF15" s="127"/>
      <c r="GG15" s="18">
        <f t="array" ref="GG15">IFERROR(IF($GT15="SEGMENT",INDEX('Margin Guidence Table'!$A$1:$AG$10000,MATCH(1,('Margin Guidence Table'!$A$1:$A$10000=$GR15)*('Margin Guidence Table'!$I$1:$I$10000&lt;=ROUND($GJ$3,0))*('Margin Guidence Table'!$J$1:$J$10000&gt;=ROUND($GJ$3,0)),0),MATCH("PCT_SALES",'Margin Guidence Table'!$A$1:$AG$1,0)),INDEX('Margin Guidence Table'!$A$1:$AG$10000,MATCH(1,('Margin Guidence Table'!$A$1:$A$10000=$GR15)*('Margin Guidence Table'!$I$1:$I$10000&lt;=ROUND($GJ$3,0))*('Margin Guidence Table'!$J$1:$J$10000&gt;=ROUND($GJ$3,0)),0),MATCH("DEFAULT_PCT_SALES",'Margin Guidence Table'!$A$1:$AG$1,0))),0)</f>
        <v>0</v>
      </c>
      <c r="GH15" s="370" t="e">
        <f t="shared" ref="GH15:GH34" si="38">GG15/$GG$35</f>
        <v>#DIV/0!</v>
      </c>
      <c r="GI15" s="100" t="s">
        <v>103</v>
      </c>
      <c r="GJ15" s="92">
        <f>IFERROR(IF(AND($GJ$2&lt;&gt;"Enter Spend&gt;&gt;&gt;",GK3="EXISTING"),SUMIFS('Existing Customers'!$Q:$Q,'Existing Customers'!$A:$A,$GJ$1,'Existing Customers'!$H:$H,$GI15)*$GJ$4,$GJ$3*$GH15),0)</f>
        <v>0</v>
      </c>
      <c r="GK15" s="87">
        <f>IFERROR(IF(AND($GJ$2&lt;&gt;"Enter Spend&gt;&gt;&gt;",GK2="EXISTING"),SUMIFS('Existing Customers'!$N:$N,'Existing Customers'!$A:$A,$GJ$1,'Existing Customers'!$H:$H,$GI15)*$GJ$4,$GJ15/$GU15),0)</f>
        <v>0</v>
      </c>
      <c r="GL15" s="93">
        <f>IFERROR(IF(AND($GJ$2&lt;&gt;"Enter Spend&gt;&gt;&gt;",GK2="EXISTING"),SUMIFS('Existing Customers'!$O:$O,'Existing Customers'!$H:$H,$GI15,'Existing Customers'!$A:$A,$GJ$1)*$GJ$4,$GK15*$GJ$8),0)</f>
        <v>0</v>
      </c>
      <c r="GM15" s="93">
        <f>IFERROR(IF(AND($GJ$2&lt;&gt;"Enter Spend&gt;&gt;&gt;",GK2="EXISTING"),SUMIFS('Existing Customers'!$P:$P,'Existing Customers'!$A:$A,$GJ$1,'Existing Customers'!$H:$H,$GI15)*$GJ$4,$GJ15/$GV15),0)</f>
        <v>0</v>
      </c>
      <c r="GN15" s="94">
        <f>IFERROR(IF(AND($GJ$2&lt;&gt;"Enter Spend&gt;&gt;&gt;",GK2="EXISTING"),SUMIFS('Existing Customers'!$V:$V,'Existing Customers'!$H:$H,$GI15,'Existing Customers'!$A:$A,$GJ$1)*$GJ$4,0),0)</f>
        <v>0</v>
      </c>
      <c r="GO15" s="94">
        <f>IFERROR(IF(AND($GJ$2&lt;&gt;"Enter Spend&gt;&gt;&gt;",GK2="EXISTING"),SUMIFS('Existing Customers'!$R:$R,'Existing Customers'!$H:$H,$GI15,'Existing Customers'!$A:$A,$GJ$1)*$GJ$4,0),0)</f>
        <v>0</v>
      </c>
      <c r="GP15" s="1050">
        <f>IFERROR(IF(AND($GJ$2&lt;&gt;"Enter Spend&gt;&gt;&gt;",GK2="EXISTING"),SUMIFS('Existing Customers'!$S:$S,'Existing Customers'!$H:$H,$GI15,'Existing Customers'!$A:$A,$GJ$1),GZ15*GJ15),0)</f>
        <v>0</v>
      </c>
      <c r="GQ15" s="1050">
        <f>IFERROR(IF(AND($GJ$2&lt;&gt;"Enter Spend&gt;&gt;&gt;",GK2="EXISTING"),SUMIFS('Existing Customers'!$U:$U,'Existing Customers'!$H:$H,$GI15,'Existing Customers'!$A:$A,$GJ$1),HA15*GJ15),0)</f>
        <v>0</v>
      </c>
      <c r="GR15" s="1053" t="e">
        <f>_xlfn.CONCAT('Customer Inputs'!$AG$12,"_",GI15)</f>
        <v>#N/A</v>
      </c>
      <c r="GS15" s="1053">
        <f t="array" ref="GS15">IFERROR(INDEX('Margin Guidence Table'!$A$1:$AG$10000,MATCH(1,('Margin Guidence Table'!$A$1:$A$10000=GR15)*('Margin Guidence Table'!$I$1:$I$10000&lt;=ROUND($GJ$3,0))*('Margin Guidence Table'!$J$1:$J$10000&gt;=ROUND($GJ$3,0)),0),MATCH("DATA_POINTS",'Margin Guidence Table'!$A$1:$AG$1,0)),0)</f>
        <v>0</v>
      </c>
      <c r="GT15" s="1050" t="str">
        <f t="shared" ref="GT15:GT34" si="39">IF(GS15&gt;15,"SEGMENT","DEFAULT")</f>
        <v>DEFAULT</v>
      </c>
      <c r="GU15" s="1050">
        <f t="array" ref="GU15">IFERROR(IF($GT15="SEGMENT",INDEX('Margin Guidence Table'!$A$1:$AG$10000,MATCH(1,('Margin Guidence Table'!$A$1:$A$10000=GR15)*('Margin Guidence Table'!$I$1:$I$10000&lt;=ROUND($GJ$3,0))*('Margin Guidence Table'!$J$1:$J$10000&gt;=ROUND($GJ$3,0)),0),MATCH("SALES_CASE",'Margin Guidence Table'!$A$1:$AG$1,0)),INDEX('Margin Guidence Table'!$A$1:$AG$10000,MATCH(1,('Margin Guidence Table'!$A$1:$A$10000=GR15)*('Margin Guidence Table'!$I$1:$I$10000&lt;=ROUND($GJ$3,0))*('Margin Guidence Table'!$J$1:$J$10000&gt;=ROUND($GJ$3,0)),0),MATCH("DEFAULT_SALES_CASE",'Margin Guidence Table'!$A$1:$AG$1,0))),0)</f>
        <v>0</v>
      </c>
      <c r="GV15" s="1050">
        <f t="array" ref="GV15">IFERROR(IF($GT15="SEGMENT",INDEX('Margin Guidence Table'!$A$1:$AG$10000,MATCH(1,('Margin Guidence Table'!$A$1:$A$10000=GR15)*('Margin Guidence Table'!$I$1:$I$10000&lt;=ROUND($GJ$3,0))*('Margin Guidence Table'!$J$1:$J$10000&gt;=ROUND($GJ$3,0)),0),MATCH("SALES_LBS",'Margin Guidence Table'!$A$1:$AG$1,0)),INDEX('Margin Guidence Table'!$A$1:$AG$10000,MATCH(1,('Margin Guidence Table'!$A$1:$A$10000=GR15)*('Margin Guidence Table'!$I$1:$I$10000&lt;=ROUND($GJ$3,0))*('Margin Guidence Table'!$J$1:$J$10000&gt;=ROUND($GJ$3,0)),0),MATCH("DEFAULT_SALES_LBS",'Margin Guidence Table'!$A$1:$AG$1,0))),0)</f>
        <v>0</v>
      </c>
      <c r="GW15" s="1054">
        <f t="array" ref="GW15">IFERROR(IF($GT15="SEGMENT",INDEX('Margin Guidence Table'!$A$1:$AG$10000,MATCH(1,('Margin Guidence Table'!$A$1:$A$10000=GR15)*('Margin Guidence Table'!$I$1:$I$10000&lt;=ROUND($GJ$3,0))*('Margin Guidence Table'!$J$1:$J$10000&gt;=ROUND($GJ$3,0)),0),MATCH("MDA_MIN_MARGIN_GUIDENCE",'Margin Guidence Table'!$A$1:$AG$1,0)),INDEX('Margin Guidence Table'!$A$1:$AG$10000,MATCH(1,('Margin Guidence Table'!$A$1:$A$10000=GR15)*('Margin Guidence Table'!$I$1:$I$10000&lt;=ROUND($GJ$3,0))*('Margin Guidence Table'!$J$1:$J$10000&gt;=ROUND($GJ$3,0)),0),MATCH("DEFAULT_MDA_MIN_MARGIN_GUIDENCE",'Margin Guidence Table'!$A$1:$AG$1,0))),0)</f>
        <v>0</v>
      </c>
      <c r="GX15" s="1054">
        <f t="array" ref="GX15">IFERROR(IF($GT15="SEGMENT",INDEX('Margin Guidence Table'!$A$1:$AG$10000,MATCH(1,('Margin Guidence Table'!$A$1:$A$10000=GR15)*('Margin Guidence Table'!$I$1:$I$10000&lt;=ROUND($GJ$3,0))*('Margin Guidence Table'!$J$1:$J$10000&gt;=ROUND($GJ$3,0)),0),MATCH("MDA_MEDIAN_MARGIN_GUIDENCE",'Margin Guidence Table'!$A$1:$AG$1,0)),INDEX('Margin Guidence Table'!$A$1:$AG$10000,MATCH(1,('Margin Guidence Table'!$A$1:$A$10000=GR15)*('Margin Guidence Table'!$I$1:$I$10000&lt;=ROUND($GJ$3,0))*('Margin Guidence Table'!$J$1:$J$10000&gt;=ROUND($GJ$3,0)),0),MATCH("DEFAULT_MDA_MEDIAN_MARGIN_GUIDENCE",'Margin Guidence Table'!$A$1:$AG$1,0))),0)</f>
        <v>0</v>
      </c>
      <c r="GY15" s="1054">
        <f t="array" ref="GY15">IFERROR(IF($GT15="SEGMENT",INDEX('Margin Guidence Table'!$A$1:$AG$10000,MATCH(1,('Margin Guidence Table'!$A$1:$A$10000=GR15)*('Margin Guidence Table'!$I$1:$I$10000&lt;=ROUND($GJ$3,0))*('Margin Guidence Table'!$J$1:$J$10000&gt;=ROUND($GJ$3,0)),0),MATCH("MDA_MAX_MARGIN_GUIDENCE",'Margin Guidence Table'!$A$1:$AG$1,0)),INDEX('Margin Guidence Table'!$A$1:$AG$10000,MATCH(1,('Margin Guidence Table'!$A$1:$A$10000=GR15)*('Margin Guidence Table'!$I$1:$I$10000&lt;=ROUND($GJ$3,0))*('Margin Guidence Table'!$J$1:$J$10000&gt;=ROUND($GJ$3,0)),0),MATCH("DEFAULT_MDA_MAX_MARGIN_GUIDENCE",'Margin Guidence Table'!$A$1:$AG$1,0))),0)</f>
        <v>0</v>
      </c>
      <c r="GZ15" s="1054">
        <f t="array" ref="GZ15">IFERROR(IF($GT15="SEGMENT",INDEX('Margin Guidence Table'!$A$1:$AG$10000,MATCH(1,('Margin Guidence Table'!$A$1:$A$10000=GR15)*('Margin Guidence Table'!$I$1:$I$10000&lt;=ROUND($GJ$3,0))*('Margin Guidence Table'!$J$1:$J$10000&gt;=ROUND($GJ$3,0)),0),MATCH("PA_PCT_SALES",'Margin Guidence Table'!$A$1:$AG$1,0)),INDEX('Margin Guidence Table'!$A$1:$AG$10000,MATCH(1,('Margin Guidence Table'!$A$1:$A$10000=GR15)*('Margin Guidence Table'!$I$1:$I$10000&lt;=ROUND($GJ$3,0))*('Margin Guidence Table'!$J$1:$J$10000&gt;=ROUND($GJ$3,0)),0),MATCH("DEFAULT_PA_PCT_SALES",'Margin Guidence Table'!$A$1:$AG$1,0))),0)</f>
        <v>0</v>
      </c>
      <c r="HA15" s="1054">
        <f t="array" ref="HA15">IFERROR(IF($GT15="SEGMENT",INDEX('Margin Guidence Table'!$A$1:$AG$10000,MATCH(1,('Margin Guidence Table'!$A$1:$A$10000=GR15)*('Margin Guidence Table'!$I$1:$I$10000&lt;=ROUND($GJ$3,0))*('Margin Guidence Table'!$J$1:$J$10000&gt;=ROUND($GJ$3,0)),0),MATCH("SELF_FUND_PCT_SALES",'Margin Guidence Table'!$A$1:$AG$1,0)),INDEX('Margin Guidence Table'!$A$1:$AG$10000,MATCH(1,('Margin Guidence Table'!$A$1:$A$10000=GR15)*('Margin Guidence Table'!$I$1:$I$10000&lt;=ROUND($GJ$3,0))*('Margin Guidence Table'!$J$1:$J$10000&gt;=ROUND($GJ$3,0)),0),MATCH("DEFAULT_SELF_FUND_PCT_SALES",'Margin Guidence Table'!$A$1:$AG$1,0))),0)</f>
        <v>0</v>
      </c>
      <c r="HB15" s="1054">
        <f t="array" ref="HB15">IFERROR(IF($GT15="SEGMENT",INDEX('Margin Guidence Table'!$A$1:$AG$10000,MATCH(1,('Margin Guidence Table'!$A$1:$A$10000=GR15)*('Margin Guidence Table'!$I$1:$I$10000&lt;=ROUND($GJ$3,0))*('Margin Guidence Table'!$J$1:$J$10000&gt;=ROUND($GJ$3,0)),0),MATCH("CIA_MEDIAN_MARGIN_GUIDENCE",'Margin Guidence Table'!$A$1:$AG$1,0)),INDEX('Margin Guidence Table'!$A$1:$AG$10000,MATCH(1,('Margin Guidence Table'!$A$1:$A$10000=GR15)*('Margin Guidence Table'!$I$1:$I$10000&lt;=ROUND($GJ$3,0))*('Margin Guidence Table'!$J$1:$J$10000&gt;=ROUND($GJ$3,0)),0),MATCH("DEFAULT_CIA_MEDIAN_MARGIN_GUIDENCE",'Margin Guidence Table'!$A$1:$AG$1,0))),0)</f>
        <v>0</v>
      </c>
      <c r="HC15" s="127"/>
      <c r="HD15" s="18">
        <f t="array" ref="HD15">IFERROR(IF($HQ15="SEGMENT",INDEX('Margin Guidence Table'!$A$1:$AG$10000,MATCH(1,('Margin Guidence Table'!$A$1:$A$10000=$HO15)*('Margin Guidence Table'!$I$1:$I$10000&lt;=ROUND($HG$3,0))*('Margin Guidence Table'!$J$1:$J$10000&gt;=ROUND($HG$3,0)),0),MATCH("PCT_SALES",'Margin Guidence Table'!$A$1:$AG$1,0)),INDEX('Margin Guidence Table'!$A$1:$AG$10000,MATCH(1,('Margin Guidence Table'!$A$1:$A$10000=$HO15)*('Margin Guidence Table'!$I$1:$I$10000&lt;=ROUND($HG$3,0))*('Margin Guidence Table'!$J$1:$J$10000&gt;=ROUND($HG$3,0)),0),MATCH("DEFAULT_PCT_SALES",'Margin Guidence Table'!$A$1:$AG$1,0))),0)</f>
        <v>0</v>
      </c>
      <c r="HE15" s="370" t="e">
        <f t="shared" ref="HE15:HE34" si="40">HD15/$HD$35</f>
        <v>#DIV/0!</v>
      </c>
      <c r="HF15" s="100" t="s">
        <v>103</v>
      </c>
      <c r="HG15" s="92">
        <f>IFERROR(IF(AND($HG$2&lt;&gt;"Enter Spend&gt;&gt;&gt;",HH3="EXISTING"),SUMIFS('Existing Customers'!$Q:$Q,'Existing Customers'!$A:$A,$HG$1,'Existing Customers'!$H:$H,$HF15)*$HG$4,$HG$3*$HE15),0)</f>
        <v>0</v>
      </c>
      <c r="HH15" s="87">
        <f>IFERROR(IF(AND($HG$2&lt;&gt;"Enter Spend&gt;&gt;&gt;",HH2="EXISTING"),SUMIFS('Existing Customers'!$N:$N,'Existing Customers'!$A:$A,$HG$1,'Existing Customers'!$H:$H,$HF15)*$HG$4,$HG15/$HR15),0)</f>
        <v>0</v>
      </c>
      <c r="HI15" s="93">
        <f>IFERROR(IF(AND($HG$2&lt;&gt;"Enter Spend&gt;&gt;&gt;",HH2="EXISTING"),SUMIFS('Existing Customers'!$O:$O,'Existing Customers'!$H:$H,$HF15,'Existing Customers'!$A:$A,$HG$1)*$HG$4,$HH15*$HG$8),0)</f>
        <v>0</v>
      </c>
      <c r="HJ15" s="93">
        <f>IFERROR(IF(AND($HG$2&lt;&gt;"Enter Spend&gt;&gt;&gt;",HH2="EXISTING"),SUMIFS('Existing Customers'!$P:$P,'Existing Customers'!$A:$A,$HG$1,'Existing Customers'!$H:$H,$HF15)*$HG$4,$HG15/$HS15),0)</f>
        <v>0</v>
      </c>
      <c r="HK15" s="94">
        <f>IFERROR(IF(AND($HG$2&lt;&gt;"Enter Spend&gt;&gt;&gt;",HH2="EXISTING"),SUMIFS('Existing Customers'!$V:$V,'Existing Customers'!$H:$H,$HF15,'Existing Customers'!$A:$A,$HG$1)*$HG$4,0),0)</f>
        <v>0</v>
      </c>
      <c r="HL15" s="94">
        <f>IFERROR(IF(AND($HG$2&lt;&gt;"Enter Spend&gt;&gt;&gt;",HH2="EXISTING"),SUMIFS('Existing Customers'!$R:$R,'Existing Customers'!$H:$H,$HF15,'Existing Customers'!$A:$A,$HG$1)*$HG$4,0),0)</f>
        <v>0</v>
      </c>
      <c r="HM15" s="1050">
        <f>IFERROR(IF(AND($HG$2&lt;&gt;"Enter Spend&gt;&gt;&gt;",HH2="EXISTING"),SUMIFS('Existing Customers'!$S:$S,'Existing Customers'!$H:$H,$HF15,'Existing Customers'!$A:$A,$HG$1),HW15*HG15),0)</f>
        <v>0</v>
      </c>
      <c r="HN15" s="1050">
        <f>IFERROR(IF(AND($HG$2&lt;&gt;"Enter Spend&gt;&gt;&gt;",HH2="EXISTING"),SUMIFS('Existing Customers'!$U:$U,'Existing Customers'!$H:$H,$HF15,'Existing Customers'!$A:$A,$HG$1),HX15*HG15),0)</f>
        <v>0</v>
      </c>
      <c r="HO15" s="1053" t="e">
        <f>_xlfn.CONCAT('Customer Inputs'!$AG$13,"_",HF15)</f>
        <v>#N/A</v>
      </c>
      <c r="HP15" s="1053">
        <f t="array" ref="HP15">IFERROR(INDEX('Margin Guidence Table'!$A$1:$AG$10000,MATCH(1,('Margin Guidence Table'!$A$1:$A$10000=HO15)*('Margin Guidence Table'!$I$1:$I$10000&lt;=ROUND($HG$3,0))*('Margin Guidence Table'!$J$1:$J$10000&gt;=ROUND($HG$3,0)),0),MATCH("DATA_POINTS",'Margin Guidence Table'!$A$1:$AG$1,0)),0)</f>
        <v>0</v>
      </c>
      <c r="HQ15" s="1050" t="str">
        <f t="shared" ref="HQ15:HQ34" si="41">IF(HP15&gt;15,"SEGMENT","DEFAULT")</f>
        <v>DEFAULT</v>
      </c>
      <c r="HR15" s="1050">
        <f t="array" ref="HR15">IFERROR(IF($HQ15="SEGMENT",INDEX('Margin Guidence Table'!$A$1:$AG$10000,MATCH(1,('Margin Guidence Table'!$A$1:$A$10000=HO15)*('Margin Guidence Table'!$I$1:$I$10000&lt;=ROUND($HG$3,0))*('Margin Guidence Table'!$J$1:$J$10000&gt;=ROUND($HG$3,0)),0),MATCH("SALES_CASE",'Margin Guidence Table'!$A$1:$AG$1,0)),INDEX('Margin Guidence Table'!$A$1:$AG$10000,MATCH(1,('Margin Guidence Table'!$A$1:$A$10000=HO15)*('Margin Guidence Table'!$I$1:$I$10000&lt;=ROUND($HG$3,0))*('Margin Guidence Table'!$J$1:$J$10000&gt;=ROUND($HG$3,0)),0),MATCH("DEFAULT_SALES_CASE",'Margin Guidence Table'!$A$1:$AG$1,0))),0)</f>
        <v>0</v>
      </c>
      <c r="HS15" s="1050">
        <f t="array" ref="HS15">IFERROR(IF($HQ15="SEGMENT",INDEX('Margin Guidence Table'!$A$1:$AG$10000,MATCH(1,('Margin Guidence Table'!$A$1:$A$10000=HO15)*('Margin Guidence Table'!$I$1:$I$10000&lt;=ROUND($HG$3,0))*('Margin Guidence Table'!$J$1:$J$10000&gt;=ROUND($HG$3,0)),0),MATCH("SALES_LBS",'Margin Guidence Table'!$A$1:$AG$1,0)),INDEX('Margin Guidence Table'!$A$1:$AG$10000,MATCH(1,('Margin Guidence Table'!$A$1:$A$10000=HO15)*('Margin Guidence Table'!$I$1:$I$10000&lt;=ROUND($HG$3,0))*('Margin Guidence Table'!$J$1:$J$10000&gt;=ROUND($HG$3,0)),0),MATCH("DEFAULT_SALES_LBS",'Margin Guidence Table'!$A$1:$AG$1,0))),0)</f>
        <v>0</v>
      </c>
      <c r="HT15" s="1054">
        <f t="array" ref="HT15">IFERROR(IF($HQ15="SEGMENT",INDEX('Margin Guidence Table'!$A$1:$AG$10000,MATCH(1,('Margin Guidence Table'!$A$1:$A$10000=HO15)*('Margin Guidence Table'!$I$1:$I$10000&lt;=ROUND($HG$3,0))*('Margin Guidence Table'!$J$1:$J$10000&gt;=ROUND($HG$3,0)),0),MATCH("MDA_MIN_MARGIN_GUIDENCE",'Margin Guidence Table'!$A$1:$AG$1,0)),INDEX('Margin Guidence Table'!$A$1:$AG$10000,MATCH(1,('Margin Guidence Table'!$A$1:$A$10000=HO15)*('Margin Guidence Table'!$I$1:$I$10000&lt;=ROUND($HG$3,0))*('Margin Guidence Table'!$J$1:$J$10000&gt;=ROUND($HG$3,0)),0),MATCH("DEFAULT_MDA_MIN_MARGIN_GUIDENCE",'Margin Guidence Table'!$A$1:$AG$1,0))),0)</f>
        <v>0</v>
      </c>
      <c r="HU15" s="1054">
        <f t="array" ref="HU15">IFERROR(IF($HQ15="SEGMENT",INDEX('Margin Guidence Table'!$A$1:$AG$10000,MATCH(1,('Margin Guidence Table'!$A$1:$A$10000=HO15)*('Margin Guidence Table'!$I$1:$I$10000&lt;=ROUND($HG$3,0))*('Margin Guidence Table'!$J$1:$J$10000&gt;=ROUND($HG$3,0)),0),MATCH("MDA_MEDIAN_MARGIN_GUIDENCE",'Margin Guidence Table'!$A$1:$AG$1,0)),INDEX('Margin Guidence Table'!$A$1:$AG$10000,MATCH(1,('Margin Guidence Table'!$A$1:$A$10000=HO15)*('Margin Guidence Table'!$I$1:$I$10000&lt;=ROUND($HG$3,0))*('Margin Guidence Table'!$J$1:$J$10000&gt;=ROUND($HG$3,0)),0),MATCH("DEFAULT_MDA_MEDIAN_MARGIN_GUIDENCE",'Margin Guidence Table'!$A$1:$AG$1,0))),0)</f>
        <v>0</v>
      </c>
      <c r="HV15" s="1054">
        <f t="array" ref="HV15">IFERROR(IF($HQ15="SEGMENT",INDEX('Margin Guidence Table'!$A$1:$AG$10000,MATCH(1,('Margin Guidence Table'!$A$1:$A$10000=HO15)*('Margin Guidence Table'!$I$1:$I$10000&lt;=ROUND($HG$3,0))*('Margin Guidence Table'!$J$1:$J$10000&gt;=ROUND($HG$3,0)),0),MATCH("MDA_MAX_MARGIN_GUIDENCE",'Margin Guidence Table'!$A$1:$AG$1,0)),INDEX('Margin Guidence Table'!$A$1:$AG$10000,MATCH(1,('Margin Guidence Table'!$A$1:$A$10000=HO15)*('Margin Guidence Table'!$I$1:$I$10000&lt;=ROUND($HG$3,0))*('Margin Guidence Table'!$J$1:$J$10000&gt;=ROUND($HG$3,0)),0),MATCH("DEFAULT_MDA_MAX_MARGIN_GUIDENCE",'Margin Guidence Table'!$A$1:$AG$1,0))),0)</f>
        <v>0</v>
      </c>
      <c r="HW15" s="1054">
        <f t="array" ref="HW15">IFERROR(IF($HQ15="SEGMENT",INDEX('Margin Guidence Table'!$A$1:$AG$10000,MATCH(1,('Margin Guidence Table'!$A$1:$A$10000=HO15)*('Margin Guidence Table'!$I$1:$I$10000&lt;=ROUND($HG$3,0))*('Margin Guidence Table'!$J$1:$J$10000&gt;=ROUND($HG$3,0)),0),MATCH("PA_PCT_SALES",'Margin Guidence Table'!$A$1:$AG$1,0)),INDEX('Margin Guidence Table'!$A$1:$AG$10000,MATCH(1,('Margin Guidence Table'!$A$1:$A$10000=HO15)*('Margin Guidence Table'!$I$1:$I$10000&lt;=ROUND($HG$3,0))*('Margin Guidence Table'!$J$1:$J$10000&gt;=ROUND($HG$3,0)),0),MATCH("DEFAULT_PA_PCT_SALES",'Margin Guidence Table'!$A$1:$AG$1,0))),0)</f>
        <v>0</v>
      </c>
      <c r="HX15" s="1054">
        <f t="array" ref="HX15">IFERROR(IF($HQ15="SEGMENT",INDEX('Margin Guidence Table'!$A$1:$AG$10000,MATCH(1,('Margin Guidence Table'!$A$1:$A$10000=HO15)*('Margin Guidence Table'!$I$1:$I$10000&lt;=ROUND($HG$3,0))*('Margin Guidence Table'!$J$1:$J$10000&gt;=ROUND($HG$3,0)),0),MATCH("SELF_FUND_PCT_SALES",'Margin Guidence Table'!$A$1:$AG$1,0)),INDEX('Margin Guidence Table'!$A$1:$AG$10000,MATCH(1,('Margin Guidence Table'!$A$1:$A$10000=HO15)*('Margin Guidence Table'!$I$1:$I$10000&lt;=ROUND($HG$3,0))*('Margin Guidence Table'!$J$1:$J$10000&gt;=ROUND($HG$3,0)),0),MATCH("DEFAULT_SELF_FUND_PCT_SALES",'Margin Guidence Table'!$A$1:$AG$1,0))),0)</f>
        <v>0</v>
      </c>
      <c r="HY15" s="1054">
        <f t="array" ref="HY15">IFERROR(IF($HQ15="SEGMENT",INDEX('Margin Guidence Table'!$A$1:$AG$10000,MATCH(1,('Margin Guidence Table'!$A$1:$A$10000=HO15)*('Margin Guidence Table'!$I$1:$I$10000&lt;=ROUND($HG$3,0))*('Margin Guidence Table'!$J$1:$J$10000&gt;=ROUND($HG$3,0)),0),MATCH("CIA_MEDIAN_MARGIN_GUIDENCE",'Margin Guidence Table'!$A$1:$AG$1,0)),INDEX('Margin Guidence Table'!$A$1:$AG$10000,MATCH(1,('Margin Guidence Table'!$A$1:$A$10000=HO15)*('Margin Guidence Table'!$I$1:$I$10000&lt;=ROUND($HG$3,0))*('Margin Guidence Table'!$J$1:$J$10000&gt;=ROUND($HG$3,0)),0),MATCH("DEFAULT_CIA_MEDIAN_MARGIN_GUIDENCE",'Margin Guidence Table'!$A$1:$AG$1,0))),0)</f>
        <v>0</v>
      </c>
      <c r="HZ15" s="127"/>
      <c r="IA15" s="18">
        <f t="array" ref="IA15">IFERROR(IF($IN15="SEGMENT",INDEX('Margin Guidence Table'!$A:$AC,MATCH(1,('Margin Guidence Table'!$A:$A=$IL15)*('Margin Guidence Table'!$H:$H&lt;=ROUND($ID$3,0))*('Margin Guidence Table'!$G:$G&gt;=ROUND($ID$3,0)),0),MATCH("PCT_SALES",'Margin Guidence Table'!$A$1:$AG$1,0)),INDEX('Margin Guidence Table'!$A:$AC,MATCH(1,('Margin Guidence Table'!$A:$A=$IL15)*('Margin Guidence Table'!$H:$H&lt;=ROUND($ID$3,0))*('Margin Guidence Table'!$G:$G&gt;=ROUND($ID$3,0)),0),MATCH("DEFAULT_PCT_SALES",'Margin Guidence Table'!$A$1:$AG$1,0))),0)</f>
        <v>0</v>
      </c>
      <c r="IB15" s="370" t="e">
        <f t="shared" ref="IB15:IB34" si="42">IA15/$IA$35</f>
        <v>#DIV/0!</v>
      </c>
      <c r="IC15" s="100" t="s">
        <v>103</v>
      </c>
      <c r="ID15" s="92">
        <f>IFERROR(IF(AND($ID$2&lt;&gt;"Enter Spend&gt;&gt;&gt;",IE3="EXISTING"),SUMIFS('Existing Customers'!$Q:$Q,'Existing Customers'!$A:$A,$ID$1,'Existing Customers'!$H:$H,$IC15)*$ID$4,$ID$3*$IB15),0)</f>
        <v>0</v>
      </c>
      <c r="IE15" s="87">
        <f>IFERROR(IF(AND($ID$2&lt;&gt;"Enter Spend&gt;&gt;&gt;",IE2="EXISTING"),SUMIFS('Existing Customers'!$N:$N,'Existing Customers'!$A:$A,$ID$1,'Existing Customers'!$H:$H,$IC15)*$ID$4,$ID15/$IO15),0)</f>
        <v>0</v>
      </c>
      <c r="IF15" s="93">
        <f>IFERROR(IF(AND($ID$2&lt;&gt;"Enter Spend&gt;&gt;&gt;",IE2="EXISTING"),SUMIFS('Existing Customers'!$O:$O,'Existing Customers'!$H:$H,$IC15,'Existing Customers'!$A:$A,$ID$1)*$ID$4,$IE15*$ID$8),0)</f>
        <v>0</v>
      </c>
      <c r="IG15" s="93">
        <f>IFERROR(IF(AND($ID$2&lt;&gt;"Enter Spend&gt;&gt;&gt;",IE2="EXISTING"),SUMIFS('Existing Customers'!$P:$P,'Existing Customers'!$A:$A,$ID$1,'Existing Customers'!$H:$H,$IC15)*$ID$4,$ID15/$IP15),0)</f>
        <v>0</v>
      </c>
      <c r="IH15" s="376">
        <f>IFERROR(IF(AND($ID$2&lt;&gt;"Enter Spend&gt;&gt;&gt;",IE2="EXISTING"),SUMIFS('Existing Customers'!$V:$V,'Existing Customers'!$H:$H,$IC15,'Existing Customers'!$A:$A,$ID$1)*$ID$4,0),0)</f>
        <v>0</v>
      </c>
      <c r="II15" s="94">
        <f>IFERROR(IF(AND($ID$2&lt;&gt;"Enter Spend&gt;&gt;&gt;",IE2="EXISTING"),SUMIFS('Existing Customers'!$R:$R,'Existing Customers'!$H:$H,$IC15,'Existing Customers'!$A:$A,$ID$1)*$ID$4,0),0)</f>
        <v>0</v>
      </c>
      <c r="IJ15" s="1050">
        <f>IFERROR(IF(AND($ID$2&lt;&gt;"Enter Spend&gt;&gt;&gt;",IE2="EXISTING"),SUMIFS('Existing Customers'!$S:$S,'Existing Customers'!$H:$H,$IC15,'Existing Customers'!$A:$A,$ID$1),IT15*ID15),0)</f>
        <v>0</v>
      </c>
      <c r="IK15" s="1050">
        <f>IFERROR(IF(AND($ID$2&lt;&gt;"Enter Spend&gt;&gt;&gt;",IE2="EXISTING"),SUMIFS('Existing Customers'!$U:$U,'Existing Customers'!$H:$H,$IC15,'Existing Customers'!$A:$A,$ID$1),IU15*ID15),0)</f>
        <v>0</v>
      </c>
      <c r="IL15" s="1053" t="e">
        <f>_xlfn.CONCAT('Customer Inputs'!$AG$14,"_",IC15)</f>
        <v>#N/A</v>
      </c>
      <c r="IM15" s="1053">
        <f t="array" ref="IM15">IFERROR(INDEX('Margin Guidence Table'!$A$1:$AG$10000,MATCH(1,('Margin Guidence Table'!$A$1:$A$10000=IL15)*('Margin Guidence Table'!$I$1:$I$10000&lt;=ROUND($ID$3,0))*('Margin Guidence Table'!$J$1:$J$10000&gt;=ROUND($ID$3,0)),0),MATCH("DATA_POINTS",'Margin Guidence Table'!$A$1:$AG$1,0)),0)</f>
        <v>0</v>
      </c>
      <c r="IN15" s="1050" t="str">
        <f t="shared" ref="IN15:IN34" si="43">IF(IM15&gt;15,"SEGMENT","DEFAULT")</f>
        <v>DEFAULT</v>
      </c>
      <c r="IO15" s="1050">
        <f t="array" ref="IO15">IFERROR(IF($IN15="SEGMENT",INDEX('Margin Guidence Table'!$A$1:$AG$10000,MATCH(1,('Margin Guidence Table'!$A$1:$A$10000=IL15)*('Margin Guidence Table'!$I$1:$I$10000&lt;=ROUND($ID$3,0))*('Margin Guidence Table'!$J$1:$J$10000&gt;=ROUND($ID$3,0)),0),MATCH("SALES_CASE",'Margin Guidence Table'!$A$1:$AG$1,0)),INDEX('Margin Guidence Table'!$A$1:$AG$10000,MATCH(1,('Margin Guidence Table'!$A$1:$A$10000=IL15)*('Margin Guidence Table'!$I$1:$I$10000&lt;=ROUND($ID$3,0))*('Margin Guidence Table'!$J$1:$J$10000&gt;=ROUND($ID$3,0)),0),MATCH("DEFAULT_SALES_CASE",'Margin Guidence Table'!$A$1:$AG$1,0))),0)</f>
        <v>0</v>
      </c>
      <c r="IP15" s="1050">
        <f t="array" ref="IP15">IFERROR(IF($IN15="SEGMENT",INDEX('Margin Guidence Table'!$A$1:$AG$10000,MATCH(1,('Margin Guidence Table'!$A$1:$A$10000=IL15)*('Margin Guidence Table'!$I$1:$I$10000&lt;=ROUND($ID$3,0))*('Margin Guidence Table'!$J$1:$J$10000&gt;=ROUND($ID$3,0)),0),MATCH("SALES_LBS",'Margin Guidence Table'!$A$1:$AG$1,0)),INDEX('Margin Guidence Table'!$A$1:$AG$10000,MATCH(1,('Margin Guidence Table'!$A$1:$A$10000=IL15)*('Margin Guidence Table'!$I$1:$I$10000&lt;=ROUND($ID$3,0))*('Margin Guidence Table'!$J$1:$J$10000&gt;=ROUND($ID$3,0)),0),MATCH("DEFAULT_SALES_LBS",'Margin Guidence Table'!$A$1:$AG$1,0))),0)</f>
        <v>0</v>
      </c>
      <c r="IQ15" s="1054">
        <f t="array" ref="IQ15">IFERROR(IF($IN15="SEGMENT",INDEX('Margin Guidence Table'!$A$1:$AG$10000,MATCH(1,('Margin Guidence Table'!$A$1:$A$10000=IL15)*('Margin Guidence Table'!$I$1:$I$10000&lt;=ROUND($ID$3,0))*('Margin Guidence Table'!$J$1:$J$10000&gt;=ROUND($ID$3,0)),0),MATCH("MDA_MIN_MARGIN_GUIDENCE",'Margin Guidence Table'!$A$1:$AG$1,0)),INDEX('Margin Guidence Table'!$A$1:$AG$10000,MATCH(1,('Margin Guidence Table'!$A$1:$A$10000=IL15)*('Margin Guidence Table'!$I$1:$I$10000&lt;=ROUND($ID$3,0))*('Margin Guidence Table'!$J$1:$J$10000&gt;=ROUND($ID$3,0)),0),MATCH("DEFAULT_MDA_MIN_MARGIN_GUIDENCE",'Margin Guidence Table'!$A$1:$AG$1,0))),0)</f>
        <v>0</v>
      </c>
      <c r="IR15" s="1054">
        <f t="array" ref="IR15">IFERROR(IF($IN15="SEGMENT",INDEX('Margin Guidence Table'!$A$1:$AG$10000,MATCH(1,('Margin Guidence Table'!$A$1:$A$10000=IL15)*('Margin Guidence Table'!$I$1:$I$10000&lt;=ROUND($ID$3,0))*('Margin Guidence Table'!$J$1:$J$10000&gt;=ROUND($ID$3,0)),0),MATCH("MDA_MEDIAN_MARGIN_GUIDENCE",'Margin Guidence Table'!$A$1:$AG$1,0)),INDEX('Margin Guidence Table'!$A$1:$AG$10000,MATCH(1,('Margin Guidence Table'!$A$1:$A$10000=IL15)*('Margin Guidence Table'!$I$1:$I$10000&lt;=ROUND($ID$3,0))*('Margin Guidence Table'!$J$1:$J$10000&gt;=ROUND($ID$3,0)),0),MATCH("DEFAULT_MDA_MEDIAN_MARGIN_GUIDENCE",'Margin Guidence Table'!$A$1:$AG$1,0))),0)</f>
        <v>0</v>
      </c>
      <c r="IS15" s="1054">
        <f t="array" ref="IS15">IFERROR(IF($IN15="SEGMENT",INDEX('Margin Guidence Table'!$A$1:$AG$10000,MATCH(1,('Margin Guidence Table'!$A$1:$A$10000=IL15)*('Margin Guidence Table'!$I$1:$I$10000&lt;=ROUND($ID$3,0))*('Margin Guidence Table'!$J$1:$J$10000&gt;=ROUND($ID$3,0)),0),MATCH("MDA_MAX_MARGIN_GUIDENCE",'Margin Guidence Table'!$A$1:$AG$1,0)),INDEX('Margin Guidence Table'!$A$1:$AG$10000,MATCH(1,('Margin Guidence Table'!$A$1:$A$10000=IL15)*('Margin Guidence Table'!$I$1:$I$10000&lt;=ROUND($ID$3,0))*('Margin Guidence Table'!$J$1:$J$10000&gt;=ROUND($ID$3,0)),0),MATCH("DEFAULT_MDA_MAX_MARGIN_GUIDENCE",'Margin Guidence Table'!$A$1:$AG$1,0))),0)</f>
        <v>0</v>
      </c>
      <c r="IT15" s="1054">
        <f t="array" ref="IT15">IFERROR(IF($IN15="SEGMENT",INDEX('Margin Guidence Table'!$A$1:$AG$10000,MATCH(1,('Margin Guidence Table'!$A$1:$A$10000=IL15)*('Margin Guidence Table'!$I$1:$I$10000&lt;=ROUND($ID$3,0))*('Margin Guidence Table'!$J$1:$J$10000&gt;=ROUND($ID$3,0)),0),MATCH("PA_PCT_SALES",'Margin Guidence Table'!$A$1:$AG$1,0)),INDEX('Margin Guidence Table'!$A$1:$AG$10000,MATCH(1,('Margin Guidence Table'!$A$1:$A$10000=IL15)*('Margin Guidence Table'!$I$1:$I$10000&lt;=ROUND($ID$3,0))*('Margin Guidence Table'!$J$1:$J$10000&gt;=ROUND($ID$3,0)),0),MATCH("DEFAULT_PA_PCT_SALES",'Margin Guidence Table'!$A$1:$AG$1,0))),0)</f>
        <v>0</v>
      </c>
      <c r="IU15" s="1054">
        <f t="array" ref="IU15">IFERROR(IF($IN15="SEGMENT",INDEX('Margin Guidence Table'!$A$1:$AG$10000,MATCH(1,('Margin Guidence Table'!$A$1:$A$10000=IL15)*('Margin Guidence Table'!$I$1:$I$10000&lt;=ROUND($ID$3,0))*('Margin Guidence Table'!$J$1:$J$10000&gt;=ROUND($ID$3,0)),0),MATCH("SELF_FUND_PCT_SALES",'Margin Guidence Table'!$A$1:$AG$1,0)),INDEX('Margin Guidence Table'!$A$1:$AG$10000,MATCH(1,('Margin Guidence Table'!$A$1:$A$10000=IL15)*('Margin Guidence Table'!$I$1:$I$10000&lt;=ROUND($ID$3,0))*('Margin Guidence Table'!$J$1:$J$10000&gt;=ROUND($ID$3,0)),0),MATCH("DEFAULT_SELF_FUND_PCT_SALES",'Margin Guidence Table'!$A$1:$AG$1,0))),0)</f>
        <v>0</v>
      </c>
      <c r="IV15" s="1054">
        <f t="array" ref="IV15">IFERROR(IF($IN15="SEGMENT",INDEX('Margin Guidence Table'!$A$1:$AG$10000,MATCH(1,('Margin Guidence Table'!$A$1:$A$10000=IL15)*('Margin Guidence Table'!$I$1:$I$10000&lt;=ROUND($ID$3,0))*('Margin Guidence Table'!$J$1:$J$10000&gt;=ROUND($ID$3,0)),0),MATCH("CIA_MEDIAN_MARGIN_GUIDENCE",'Margin Guidence Table'!$A$1:$AG$1,0)),INDEX('Margin Guidence Table'!$A$1:$AG$10000,MATCH(1,('Margin Guidence Table'!$A$1:$A$10000=IL15)*('Margin Guidence Table'!$I$1:$I$10000&lt;=ROUND($ID$3,0))*('Margin Guidence Table'!$J$1:$J$10000&gt;=ROUND($ID$3,0)),0),MATCH("DEFAULT_CIA_MEDIAN_MARGIN_GUIDENCE",'Margin Guidence Table'!$A$1:$AG$1,0))),0)</f>
        <v>0</v>
      </c>
      <c r="IW15" s="127"/>
      <c r="IX15" s="18">
        <f t="array" ref="IX15">IFERROR(IF($JK15="SEGMENT",INDEX('Margin Guidence Table'!$A$1:$AG$10000,MATCH(1,('Margin Guidence Table'!$A$1:$A$10000=$JI15)*('Margin Guidence Table'!$I$1:$I$10000&lt;=ROUND($JA$3,0))*('Margin Guidence Table'!$J$1:$J$10000&gt;=ROUND($JA$3,0)),0),MATCH("PCT_SALES",'Margin Guidence Table'!$A$1:$AG$1,0)),INDEX('Margin Guidence Table'!$A$1:$AG$10000,MATCH(1,('Margin Guidence Table'!$A$1:$A$10000=$JI15)*('Margin Guidence Table'!$I$1:$I$10000&lt;=ROUND($JA$3,0))*('Margin Guidence Table'!$J$1:$J$10000&gt;=ROUND($JA$3,0)),0),MATCH("DEFAULT_PCT_SALES",'Margin Guidence Table'!$A$1:$AG$1,0))),0)</f>
        <v>0</v>
      </c>
      <c r="IY15" s="370" t="e">
        <f t="shared" ref="IY15:IY34" si="44">IX15/$IX$35</f>
        <v>#DIV/0!</v>
      </c>
      <c r="IZ15" s="100" t="s">
        <v>103</v>
      </c>
      <c r="JA15" s="92">
        <f>IFERROR(IF(AND($JA$2&lt;&gt;"Enter Spend&gt;&gt;&gt;",JB3="EXISTING"),SUMIFS('Existing Customers'!$Q:$Q,'Existing Customers'!$A:$A,$JA$1,'Existing Customers'!$H:$H,$IZ15)*$JA$4,$JA$3*$IY15),0)</f>
        <v>0</v>
      </c>
      <c r="JB15" s="87">
        <f>IFERROR(IF(AND($JA$2&lt;&gt;"Enter Spend&gt;&gt;&gt;",JB2="EXISTING"),SUMIFS('Existing Customers'!$N:$N,'Existing Customers'!$A:$A,$JA$1,'Existing Customers'!$H:$H,$IZ15)*$JA$4,$JA15/$JL15),0)</f>
        <v>0</v>
      </c>
      <c r="JC15" s="93">
        <f>IFERROR(IF(AND($JA$2&lt;&gt;"Enter Spend&gt;&gt;&gt;",JB2="EXISTING"),SUMIFS('Existing Customers'!$O:$O,'Existing Customers'!$H:$H,$IZ15,'Existing Customers'!$A:$A,$JA$1)*$JA$4,$JB15*$JA$8),0)</f>
        <v>0</v>
      </c>
      <c r="JD15" s="93">
        <f>IFERROR(IF(AND($JA$2&lt;&gt;"Enter Spend&gt;&gt;&gt;",JB2="EXISTING"),SUMIFS('Existing Customers'!$P:$P,'Existing Customers'!$A:$A,$JA$1,'Existing Customers'!$H:$H,$IZ15)*$JA$4,$JA15/$JM15),0)</f>
        <v>0</v>
      </c>
      <c r="JE15" s="376">
        <f>IFERROR(IF(AND($JA$2&lt;&gt;"Enter Spend&gt;&gt;&gt;",JB2="EXISTING"),SUMIFS('Existing Customers'!$V:$V,'Existing Customers'!$H:$H,$IZ15,'Existing Customers'!$A:$A,$JA$1)*$JA$4,0),0)</f>
        <v>0</v>
      </c>
      <c r="JF15" s="94">
        <f>IFERROR(IF(AND($JA$2&lt;&gt;"Enter Spend&gt;&gt;&gt;",JB2="EXISTING"),SUMIFS('Existing Customers'!$R:$R,'Existing Customers'!$H:$H,$IZ15,'Existing Customers'!$A:$A,$JA$1)*$JA$4,0),0)</f>
        <v>0</v>
      </c>
      <c r="JG15" s="1050">
        <f>IFERROR(IF(AND($JA$2&lt;&gt;"Enter Spend&gt;&gt;&gt;",JB2="EXISTING"),SUMIFS('Existing Customers'!$S:$S,'Existing Customers'!$H:$H,$IZ15,'Existing Customers'!$A:$A,$JA$1),JQ15*JA15),0)</f>
        <v>0</v>
      </c>
      <c r="JH15" s="1050">
        <f>IFERROR(IF(AND($JA$2&lt;&gt;"Enter Spend&gt;&gt;&gt;",JB2="EXISTING"),SUMIFS('Existing Customers'!$U:$U,'Existing Customers'!$H:$H,$IZ15,'Existing Customers'!$A:$A,$JA$1),JR15*JA15),0)</f>
        <v>0</v>
      </c>
      <c r="JI15" s="1053" t="e">
        <f>_xlfn.CONCAT('Customer Inputs'!$AG$15,"_",IZ15)</f>
        <v>#N/A</v>
      </c>
      <c r="JJ15" s="1053">
        <f t="array" ref="JJ15">IFERROR(INDEX('Margin Guidence Table'!$A$1:$AG$10000,MATCH(1,('Margin Guidence Table'!$A$1:$A$10000=JI15)*('Margin Guidence Table'!$I$1:$I$10000&lt;=ROUND($JA$3,0))*('Margin Guidence Table'!$J$1:$J$10000&gt;=ROUND($JA$3,0)),0),MATCH("DATA_POINTS",'Margin Guidence Table'!$A$1:$AG$1,0)),0)</f>
        <v>0</v>
      </c>
      <c r="JK15" s="1050" t="str">
        <f t="shared" ref="JK15:JK34" si="45">IF(JJ15&gt;15,"SEGMENT","DEFAULT")</f>
        <v>DEFAULT</v>
      </c>
      <c r="JL15" s="1050">
        <f t="array" ref="JL15">IFERROR(IF($JK15="SEGMENT",INDEX('Margin Guidence Table'!$A$1:$AG$10000,MATCH(1,('Margin Guidence Table'!$A$1:$A$10000=JI15)*('Margin Guidence Table'!$I$1:$I$10000&lt;=ROUND($JA$3,0))*('Margin Guidence Table'!$J$1:$J$10000&gt;=ROUND($JA$3,0)),0),MATCH("SALES_CASE",'Margin Guidence Table'!$A$1:$AG$1,0)),INDEX('Margin Guidence Table'!$A$1:$AG$10000,MATCH(1,('Margin Guidence Table'!$A$1:$A$10000=JI15)*('Margin Guidence Table'!$I$1:$I$10000&lt;=ROUND($JA$3,0))*('Margin Guidence Table'!$J$1:$J$10000&gt;=ROUND($JA$3,0)),0),MATCH("DEFAULT_SALES_CASE",'Margin Guidence Table'!$A$1:$AG$1,0))),0)</f>
        <v>0</v>
      </c>
      <c r="JM15" s="1050">
        <f t="array" ref="JM15">IFERROR(IF($JK15="SEGMENT",INDEX('Margin Guidence Table'!$A$1:$AG$10000,MATCH(1,('Margin Guidence Table'!$A$1:$A$10000=JI15)*('Margin Guidence Table'!$I$1:$I$10000&lt;=ROUND($JA$3,0))*('Margin Guidence Table'!$J$1:$J$10000&gt;=ROUND($JA$3,0)),0),MATCH("SALES_LBS",'Margin Guidence Table'!$A$1:$AG$1,0)),INDEX('Margin Guidence Table'!$A$1:$AG$10000,MATCH(1,('Margin Guidence Table'!$A$1:$A$10000=JI15)*('Margin Guidence Table'!$I$1:$I$10000&lt;=ROUND($JA$3,0))*('Margin Guidence Table'!$J$1:$J$10000&gt;=ROUND($JA$3,0)),0),MATCH("DEFAULT_SALES_LBS",'Margin Guidence Table'!$A$1:$AG$1,0))),0)</f>
        <v>0</v>
      </c>
      <c r="JN15" s="1054">
        <f t="array" ref="JN15">IFERROR(IF($JK15="SEGMENT",INDEX('Margin Guidence Table'!$A$1:$AG$10000,MATCH(1,('Margin Guidence Table'!$A$1:$A$10000=JI15)*('Margin Guidence Table'!$I$1:$I$10000&lt;=ROUND($JA$3,0))*('Margin Guidence Table'!$J$1:$J$10000&gt;=ROUND($JA$3,0)),0),MATCH("MDA_MIN_MARGIN_GUIDENCE",'Margin Guidence Table'!$A$1:$AG$1,0)),INDEX('Margin Guidence Table'!$A$1:$AG$10000,MATCH(1,('Margin Guidence Table'!$A$1:$A$10000=JI15)*('Margin Guidence Table'!$I$1:$I$10000&lt;=ROUND($JA$3,0))*('Margin Guidence Table'!$J$1:$J$10000&gt;=ROUND($JA$3,0)),0),MATCH("DEFAULT_MDA_MIN_MARGIN_GUIDENCE",'Margin Guidence Table'!$A$1:$AG$1,0))),0)</f>
        <v>0</v>
      </c>
      <c r="JO15" s="1054">
        <f t="array" ref="JO15">IFERROR(IF($JK15="SEGMENT",INDEX('Margin Guidence Table'!$A$1:$AG$10000,MATCH(1,('Margin Guidence Table'!$A$1:$A$10000=JI15)*('Margin Guidence Table'!$I$1:$I$10000&lt;=ROUND($JA$3,0))*('Margin Guidence Table'!$J$1:$J$10000&gt;=ROUND($JA$3,0)),0),MATCH("MDA_MEDIAN_MARGIN_GUIDENCE",'Margin Guidence Table'!$A$1:$AG$1,0)),INDEX('Margin Guidence Table'!$A$1:$AG$10000,MATCH(1,('Margin Guidence Table'!$A$1:$A$10000=JI15)*('Margin Guidence Table'!$I$1:$I$10000&lt;=ROUND($JA$3,0))*('Margin Guidence Table'!$J$1:$J$10000&gt;=ROUND($JA$3,0)),0),MATCH("DEFAULT_MDA_MEDIAN_MARGIN_GUIDENCE",'Margin Guidence Table'!$A$1:$AG$1,0))),0)</f>
        <v>0</v>
      </c>
      <c r="JP15" s="1054">
        <f t="array" ref="JP15">IFERROR(IF($JK15="SEGMENT",INDEX('Margin Guidence Table'!$A$1:$AG$10000,MATCH(1,('Margin Guidence Table'!$A$1:$A$10000=JI15)*('Margin Guidence Table'!$I$1:$I$10000&lt;=ROUND($JA$3,0))*('Margin Guidence Table'!$J$1:$J$10000&gt;=ROUND($JA$3,0)),0),MATCH("MDA_MAX_MARGIN_GUIDENCE",'Margin Guidence Table'!$A$1:$AG$1,0)),INDEX('Margin Guidence Table'!$A$1:$AG$10000,MATCH(1,('Margin Guidence Table'!$A$1:$A$10000=JI15)*('Margin Guidence Table'!$I$1:$I$10000&lt;=ROUND($JA$3,0))*('Margin Guidence Table'!$J$1:$J$10000&gt;=ROUND($JA$3,0)),0),MATCH("DEFAULT_MDA_MAX_MARGIN_GUIDENCE",'Margin Guidence Table'!$A$1:$AG$1,0))),0)</f>
        <v>0</v>
      </c>
      <c r="JQ15" s="1054">
        <f t="array" ref="JQ15">IFERROR(IF($JK15="SEGMENT",INDEX('Margin Guidence Table'!$A$1:$AG$10000,MATCH(1,('Margin Guidence Table'!$A$1:$A$10000=JI15)*('Margin Guidence Table'!$I$1:$I$10000&lt;=ROUND($JA$3,0))*('Margin Guidence Table'!$J$1:$J$10000&gt;=ROUND($JA$3,0)),0),MATCH("PA_PCT_SALES",'Margin Guidence Table'!$A$1:$AG$1,0)),INDEX('Margin Guidence Table'!$A$1:$AG$10000,MATCH(1,('Margin Guidence Table'!$A$1:$A$10000=JI15)*('Margin Guidence Table'!$I$1:$I$10000&lt;=ROUND($JA$3,0))*('Margin Guidence Table'!$J$1:$J$10000&gt;=ROUND($JA$3,0)),0),MATCH("DEFAULT_PA_PCT_SALES",'Margin Guidence Table'!$A$1:$AG$1,0))),0)</f>
        <v>0</v>
      </c>
      <c r="JR15" s="1054">
        <f t="array" ref="JR15">IFERROR(IF($JK15="SEGMENT",INDEX('Margin Guidence Table'!$A$1:$AG$10000,MATCH(1,('Margin Guidence Table'!$A$1:$A$10000=JI15)*('Margin Guidence Table'!$I$1:$I$10000&lt;=ROUND($JA$3,0))*('Margin Guidence Table'!$J$1:$J$10000&gt;=ROUND($JA$3,0)),0),MATCH("SELF_FUND_PCT_SALES",'Margin Guidence Table'!$A$1:$AG$1,0)),INDEX('Margin Guidence Table'!$A$1:$AG$10000,MATCH(1,('Margin Guidence Table'!$A$1:$A$10000=JI15)*('Margin Guidence Table'!$I$1:$I$10000&lt;=ROUND($JA$3,0))*('Margin Guidence Table'!$J$1:$J$10000&gt;=ROUND($JA$3,0)),0),MATCH("DEFAULT_SELF_FUND_PCT_SALES",'Margin Guidence Table'!$A$1:$AG$1,0))),0)</f>
        <v>0</v>
      </c>
      <c r="JS15" s="1054">
        <f t="array" ref="JS15">IFERROR(IF($JK15="SEGMENT",INDEX('Margin Guidence Table'!$A$1:$AG$10000,MATCH(1,('Margin Guidence Table'!$A$1:$A$10000=JI15)*('Margin Guidence Table'!$I$1:$I$10000&lt;=ROUND($JA$3,0))*('Margin Guidence Table'!$J$1:$J$10000&gt;=ROUND($JA$3,0)),0),MATCH("CIA_MEDIAN_MARGIN_GUIDENCE",'Margin Guidence Table'!$A$1:$AG$1,0)),INDEX('Margin Guidence Table'!$A$1:$AG$10000,MATCH(1,('Margin Guidence Table'!$A$1:$A$10000=JI15)*('Margin Guidence Table'!$I$1:$I$10000&lt;=ROUND($JA$3,0))*('Margin Guidence Table'!$J$1:$J$10000&gt;=ROUND($JA$3,0)),0),MATCH("DEFAULT_CIA_MEDIAN_MARGIN_GUIDENCE",'Margin Guidence Table'!$A$1:$AG$1,0))),0)</f>
        <v>0</v>
      </c>
      <c r="JU15" s="100" t="s">
        <v>103</v>
      </c>
      <c r="JV15" s="95"/>
      <c r="JW15" s="87"/>
      <c r="JX15" s="87"/>
      <c r="JY15" s="87"/>
      <c r="JZ15" s="112"/>
      <c r="KA15" s="96"/>
      <c r="KB15" s="127"/>
      <c r="KD15" s="100" t="s">
        <v>103</v>
      </c>
      <c r="KE15" s="95"/>
      <c r="KF15" s="87"/>
      <c r="KG15" s="87"/>
      <c r="KH15" s="87"/>
      <c r="KI15" s="112"/>
      <c r="KJ15" s="96"/>
    </row>
    <row r="16" spans="2:296" ht="15.75" thickBot="1" x14ac:dyDescent="0.3">
      <c r="B16" s="100" t="s">
        <v>1399</v>
      </c>
      <c r="C16" s="449">
        <f t="shared" si="11"/>
        <v>0</v>
      </c>
      <c r="D16" s="465">
        <f t="shared" si="12"/>
        <v>0</v>
      </c>
      <c r="E16" s="465">
        <f t="shared" si="13"/>
        <v>0</v>
      </c>
      <c r="F16" s="465">
        <f t="shared" si="14"/>
        <v>0</v>
      </c>
      <c r="G16" s="466">
        <f t="shared" si="15"/>
        <v>0</v>
      </c>
      <c r="H16" s="465">
        <f t="shared" si="16"/>
        <v>0</v>
      </c>
      <c r="I16" s="1046" t="e">
        <f t="shared" si="0"/>
        <v>#DIV/0!</v>
      </c>
      <c r="J16" s="1046" t="e">
        <f t="shared" si="1"/>
        <v>#DIV/0!</v>
      </c>
      <c r="K16" s="1046" t="e">
        <f t="shared" si="2"/>
        <v>#DIV/0!</v>
      </c>
      <c r="L16" s="465" t="e">
        <f t="shared" si="3"/>
        <v>#DIV/0!</v>
      </c>
      <c r="M16" s="465" t="e">
        <f t="shared" si="17"/>
        <v>#DIV/0!</v>
      </c>
      <c r="N16" s="1047" t="e">
        <f t="shared" si="4"/>
        <v>#DIV/0!</v>
      </c>
      <c r="P16" t="str">
        <f>'PIM Model'!E12</f>
        <v>INCLUDE</v>
      </c>
      <c r="Q16">
        <f t="shared" si="18"/>
        <v>0</v>
      </c>
      <c r="R16">
        <f t="shared" si="19"/>
        <v>0</v>
      </c>
      <c r="S16" s="100" t="s">
        <v>1399</v>
      </c>
      <c r="T16" s="95">
        <f t="shared" si="20"/>
        <v>0</v>
      </c>
      <c r="U16" s="87">
        <f t="shared" si="5"/>
        <v>0</v>
      </c>
      <c r="V16" s="87">
        <f t="shared" si="6"/>
        <v>0</v>
      </c>
      <c r="W16" s="87">
        <f t="shared" si="7"/>
        <v>0</v>
      </c>
      <c r="X16" s="112">
        <f t="shared" si="8"/>
        <v>0</v>
      </c>
      <c r="Y16" s="115">
        <f t="shared" si="21"/>
        <v>0</v>
      </c>
      <c r="Z16" s="374"/>
      <c r="AA16" s="100" t="s">
        <v>1399</v>
      </c>
      <c r="AB16" s="453">
        <f t="shared" si="9"/>
        <v>0</v>
      </c>
      <c r="AC16" s="454">
        <f t="shared" si="9"/>
        <v>0</v>
      </c>
      <c r="AD16" s="454">
        <f t="shared" si="9"/>
        <v>0</v>
      </c>
      <c r="AE16" s="455">
        <f t="shared" si="22"/>
        <v>0</v>
      </c>
      <c r="AF16" s="456">
        <f t="shared" si="23"/>
        <v>0</v>
      </c>
      <c r="AG16" s="374"/>
      <c r="AH16" s="100" t="s">
        <v>1399</v>
      </c>
      <c r="AI16" s="453">
        <f t="shared" si="10"/>
        <v>0</v>
      </c>
      <c r="AJ16" s="450">
        <f t="shared" si="24"/>
        <v>0</v>
      </c>
      <c r="AK16" s="456"/>
      <c r="AL16" s="374"/>
      <c r="AM16" s="1" t="str">
        <f>IF('PIM Ranges'!$AK14='PIM Ranges'!$AW$11,IF($AI16&lt;'PIM Ranges'!$AX$11,"Q1",IF($AI16&lt;'PIM Ranges'!$AY$11,"Q2",IF($AI16&lt;'PIM Ranges'!$AZ$11,"Q3",IF($AI16&lt;'PIM Ranges'!$BA$11,"Q4","Q5")))),IF('PIM Ranges'!$AK14='PIM Ranges'!$AW$12,IF($AI16&lt;'PIM Ranges'!$AX$12,"Q1",IF($AI16&lt;'PIM Ranges'!$AY$12,"Q2",IF($AI16&lt;'PIM Ranges'!$AZ$12,"Q3",IF($AI16&lt;'PIM Ranges'!$BA$12,"Q4","Q5")))),IF('PIM Ranges'!$AK14='PIM Ranges'!$AW$13,IF($AI16&lt;'PIM Ranges'!$AX$13,"Q1",IF($AI16&lt;'PIM Ranges'!$AY$13,"Q2",IF($AI16&lt;'PIM Ranges'!$AZ$13,"Q3",IF($AI16&lt;'PIM Ranges'!$BA$13,"Q4","Q5")))),IF('PIM Ranges'!$AK14='PIM Ranges'!$AW$14,IF($AI16&lt;'PIM Ranges'!$AX$14,"Q1",IF($AI16&lt;'PIM Ranges'!$AY$14,"Q2",IF($AI16&lt;'PIM Ranges'!$AZ$14,"Q3",IF($AI16&lt;'PIM Ranges'!$BA$14,"Q4","Q5")))),IF('PIM Ranges'!$AK14='PIM Ranges'!$AW$15,IF($AI16&lt;'PIM Ranges'!$AX$15,"Q1",IF($AI16&lt;'PIM Ranges'!$AY$15,"Q2",IF($AI16&lt;'PIM Ranges'!$AZ$15,"Q3",IF($AI16&lt;'PIM Ranges'!$BA$15,"Q4","Q5")))),IF('PIM Ranges'!$AK14='PIM Ranges'!$AW$16,IF($AI16&lt;'PIM Ranges'!$AX$16,"Q1",IF($AI16&lt;'PIM Ranges'!$AY$16,"Q2",IF($AI16&lt;'PIM Ranges'!$AZ$16,"Q3",IF($AI16&lt;'PIM Ranges'!$BA$16,"Q4","Q5")))),IF('PIM Ranges'!$AK14='PIM Ranges'!$AW$17,IF($AI16&lt;'PIM Ranges'!$AX$17,"Q1",IF($AI16&lt;'PIM Ranges'!$AY$17,"Q2",IF($AI16&lt;'PIM Ranges'!$AZ$17,"Q3",IF($AI16&lt;'PIM Ranges'!$BA$17,"Q4","Q5")))),IF('PIM Ranges'!$AK14='PIM Ranges'!$AW$18,IF($AI16&lt;'PIM Ranges'!$AX$18,"Q1",IF($AI16&lt;'PIM Ranges'!$AY$18,"Q2",IF($AI16&lt;'PIM Ranges'!$AZ$18,"Q3",IF($AI16&lt;'PIM Ranges'!$BA$18,"Q4","Q5")))),IF('PIM Ranges'!$AK14='PIM Ranges'!$AW$19,IF($AI16&lt;'PIM Ranges'!$AX$19,"Q1",IF($AI16&lt;'PIM Ranges'!$AY$19,"Q2",IF($AI16&lt;'PIM Ranges'!$AZ$19,"Q3",IF($AI16&lt;'PIM Ranges'!$BA$19,"Q4","Q5")))),IF('PIM Ranges'!$AK14='PIM Ranges'!$AW$20,IF($AI16&lt;'PIM Ranges'!$AX$20,"Q1",IF($AI16&lt;'PIM Ranges'!$AY$20,"Q2",IF($AI16&lt;'PIM Ranges'!$AZ$20,"Q3",IF($AI16&lt;'PIM Ranges'!$BA$20,"Q4","Q5")))),IF('PIM Ranges'!$AK14='PIM Ranges'!$AW$21,IF($AI16&lt;'PIM Ranges'!$AX$21,"Q1",IF($AI16&lt;'PIM Ranges'!$AY$21,"Q2",IF($AI16&lt;'PIM Ranges'!$AZ$21,"Q3",IF($AI16&lt;'PIM Ranges'!$BA$21,"Q4","Q5")))),IF('PIM Ranges'!$AK14='PIM Ranges'!$AW$22,IF($AI16&lt;'PIM Ranges'!$AX$22,"Q1",IF($AI16&lt;'PIM Ranges'!$AY$22,"Q2",IF($AI16&lt;'PIM Ranges'!$AZ$22,"Q3",IF($AI16&lt;'PIM Ranges'!$BA$22,"Q4","Q5")))),IF('PIM Ranges'!$AK14='PIM Ranges'!$AW$23,IF($AI16&lt;'PIM Ranges'!$AX$23,"Q1",IF($AI16&lt;'PIM Ranges'!$AY$23,"Q2",IF($AI16&lt;'PIM Ranges'!$AZ$23,"Q3",IF($AI16&lt;'PIM Ranges'!$BA$23,"Q4","Q5")))),IF('PIM Ranges'!$AK14='PIM Ranges'!$AW$24,IF($AI16&lt;'PIM Ranges'!$AX$24,"Q1",IF($AI16&lt;'PIM Ranges'!$AY$24,"Q2",IF($AI16&lt;'PIM Ranges'!$AZ$24,"Q3",IF($AI16&lt;'PIM Ranges'!$BA$24,"Q4","Q5")))),IF('PIM Ranges'!$AK14='PIM Ranges'!$AW$25,IF($AI16&lt;'PIM Ranges'!$AX$25,"Q1",IF($AI16&lt;'PIM Ranges'!$AY$25,"Q2",IF($AI16&lt;'PIM Ranges'!$AZ$25,"Q3",IF($AI16&lt;'PIM Ranges'!$BA$25,"Q4","Q5")))),IF('PIM Ranges'!$AK14='PIM Ranges'!$AW$26,IF($AI16&lt;'PIM Ranges'!$AX$26,"Q1",IF($AI16&lt;'PIM Ranges'!$AY$26,"Q2",IF($AI16&lt;'PIM Ranges'!$AZ$26,"Q3",IF($AI16&lt;'PIM Ranges'!$BA$26,"Q4","Q5")))),IF('PIM Ranges'!$AK14='PIM Ranges'!$AW$27,IF($AI16&lt;'PIM Ranges'!$AX$27,"Q1",IF($AI16&lt;'PIM Ranges'!$AY$27,"Q2",IF($AI16&lt;'PIM Ranges'!$AZ$27,"Q3",IF($AI16&lt;'PIM Ranges'!$BA$27,"Q4","Q5")))),IF('PIM Ranges'!$AK14='PIM Ranges'!$AW$28,IF($AI16&lt;'PIM Ranges'!$AX$28,"Q1",IF($AI16&lt;'PIM Ranges'!$AY$28,"Q2",IF($AI16&lt;'PIM Ranges'!$AZ$28,"Q3",IF($AI16&lt;'PIM Ranges'!$BA$28,"Q4","Q5")))),IF('PIM Ranges'!$AK14='PIM Ranges'!$AW$29,IF($AI16&lt;'PIM Ranges'!$AX$29,"Q1",IF($AI16&lt;'PIM Ranges'!$AY$29,"Q2",IF($AI16&lt;'PIM Ranges'!$AZ$29,"Q3",IF($AI16&lt;'PIM Ranges'!$BA$29,"Q4","Q5")))),IF('PIM Ranges'!$AK14='PIM Ranges'!$AW$30,IF($AI16&lt;'PIM Ranges'!$AX$30,"Q1",IF($AI16&lt;'PIM Ranges'!$AY$30,"Q2",IF($AI16&lt;'PIM Ranges'!$AZ$30,"Q3",IF($AI16&lt;'PIM Ranges'!$BA$30,"Q4","Q5")))),IF('PIM Ranges'!$AK14='PIM Ranges'!$AW$31,IF($AI16&lt;'PIM Ranges'!$AX$31,"Q1",IF($AI16&lt;'PIM Ranges'!$AY$31,"Q2",IF($AI16&lt;'PIM Ranges'!$AZ$31,"Q3",IF($AI16&lt;'PIM Ranges'!$BA$31,"Q4","Q5")))),IF('PIM Ranges'!$AK14='PIM Ranges'!$AW$32,IF($AI16&lt;'PIM Ranges'!$AX$32,"Q1",IF($AI16&lt;'PIM Ranges'!$AY$32,"Q2",IF($AI16&lt;'PIM Ranges'!$AZ$32,"Q3",IF($AI16&lt;'PIM Ranges'!$BA$32,"Q4","Q5"))))))))))))))))))))))))))</f>
        <v>Q1</v>
      </c>
      <c r="AN16" s="374">
        <f>VLOOKUP($AH16&amp;$AM16,'IMargin Quartiles'!$A:$F,6,FALSE)</f>
        <v>0.09</v>
      </c>
      <c r="AO16" s="374"/>
      <c r="AP16"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Q16" s="374" t="e">
        <f t="shared" si="25"/>
        <v>#DIV/0!</v>
      </c>
      <c r="AR16">
        <f>'PIM Model'!C12</f>
        <v>0</v>
      </c>
      <c r="AS16" s="374"/>
      <c r="AT16" s="374"/>
      <c r="AU16" s="374" t="e">
        <f t="shared" ref="AU16:AU34" si="46">IF($AR16="AVG",IFERROR((AC16+AJ16)/(AB16+AI16),AQ16),(AC16+AJ16)/(AB16+AI16))</f>
        <v>#DIV/0!</v>
      </c>
      <c r="AV16" s="374"/>
      <c r="AW16" s="374"/>
      <c r="AX16" s="106">
        <v>5</v>
      </c>
      <c r="AY16" s="18">
        <f t="array" ref="AY16">IFERROR(IF($BL16="SEGMENT",INDEX('Margin Guidence Table'!$A$1:$AG$10000,MATCH(1,('Margin Guidence Table'!$A$1:$A$10000=$BJ16)*('Margin Guidence Table'!$I$1:$I$10000&lt;=ROUND($BB$3,0))*('Margin Guidence Table'!$J$1:$J$10000&gt;=ROUND($BB$3,0)),0),MATCH("PCT_SALES",'Margin Guidence Table'!$A$1:$AG$1,0)),INDEX('Margin Guidence Table'!$A$1:$AG$10000,MATCH(1,('Margin Guidence Table'!$A$1:$A$10000=$BJ16)*('Margin Guidence Table'!$I$1:$I$10000&lt;=ROUND($BB$3,0))*('Margin Guidence Table'!$J$1:$J$10000&gt;=ROUND($BB$3,0)),0),MATCH("DEFAULT_PCT_SALES",'Margin Guidence Table'!$A$1:$AG$1,0))),0)</f>
        <v>0</v>
      </c>
      <c r="AZ16" s="370" t="e">
        <f t="shared" si="26"/>
        <v>#DIV/0!</v>
      </c>
      <c r="BA16" s="100" t="s">
        <v>1399</v>
      </c>
      <c r="BB16" s="92">
        <f>IFERROR(IF(AND($BB$2&lt;&gt;"Enter Spend&gt;&gt;&gt;",BC4="EXISTING"),SUMIFS('Existing Customers'!$Q:$Q,'Existing Customers'!$A:$A,$BB$1,'Existing Customers'!$H:$H,$BA16)*$BB$4,$BB$3*$AZ16),0)</f>
        <v>0</v>
      </c>
      <c r="BC16" s="93">
        <f>IFERROR(IF(AND($BB$2&lt;&gt;"Enter Spend&gt;&gt;&gt;",BC2="EXISTING"),SUMIFS('Existing Customers'!$N:$N,'Existing Customers'!$A:$A,$BB$1,'Existing Customers'!$H:$H,$BA16)*$BB$4,$BB16/$BM16),0)</f>
        <v>0</v>
      </c>
      <c r="BD16" s="93">
        <f>IFERROR(IF(AND($BB$2&lt;&gt;"Enter Spend&gt;&gt;&gt;",BC2="EXISTING"),SUMIFS('Existing Customers'!$O:$O,'Existing Customers'!$H:$H,$BA16,'Existing Customers'!$A:$A,$BB$1)*$BB$4,$BC16*$BB$8),0)</f>
        <v>0</v>
      </c>
      <c r="BE16" s="93">
        <f>IFERROR(IF(AND($BB$2&lt;&gt;"Enter Spend&gt;&gt;&gt;",BC2="EXISTING"),SUMIFS('Existing Customers'!$P:$P,'Existing Customers'!$A:$A,$BB$1,'Existing Customers'!$H:$H,$BA16)*$BB$4,$BB16/$BN16),0)</f>
        <v>0</v>
      </c>
      <c r="BF16" s="376">
        <f>IFERROR(IF(AND($BB$2&lt;&gt;"Enter Spend&gt;&gt;&gt;",BC2="EXISTING"),SUMIFS('Existing Customers'!$V:$V,'Existing Customers'!$H:$H,$BA16,'Existing Customers'!$A:$A,$BB$1)*$BB$4,0),0)</f>
        <v>0</v>
      </c>
      <c r="BG16" s="94">
        <f>IFERROR(IF(AND($BB$2&lt;&gt;"Enter Spend&gt;&gt;&gt;",BC2="EXISTING"),SUMIFS('Existing Customers'!$R:$R,'Existing Customers'!$H:$H,$BA16,'Existing Customers'!$A:$A,$BB$1)*$BB$4,0),0)</f>
        <v>0</v>
      </c>
      <c r="BH16" s="94">
        <f>IFERROR(IF(AND($BB$2&lt;&gt;"Enter Spend&gt;&gt;&gt;",BC2="EXISTING"),SUMIFS('Existing Customers'!$S:$S,'Existing Customers'!$H:$H,$BA16,'Existing Customers'!$A:$A,$BB$1),BR16*BB16),0)</f>
        <v>0</v>
      </c>
      <c r="BI16" s="94">
        <f>IFERROR(IF(AND($BB$2&lt;&gt;"Enter Spend&gt;&gt;&gt;",BC2="EXISTING"),SUMIFS('Existing Customers'!$U:$U,'Existing Customers'!$H:$H,$BA16,'Existing Customers'!$A:$A,$BB$1),BS16*BB16),0)</f>
        <v>0</v>
      </c>
      <c r="BJ16" s="1052" t="e">
        <f>_xlfn.CONCAT('Customer Inputs'!$AG$6,"_",BA16)</f>
        <v>#N/A</v>
      </c>
      <c r="BK16" s="1053">
        <f t="array" ref="BK16">IFERROR(INDEX('Margin Guidence Table'!$A$1:$AG$10000,MATCH(1,('Margin Guidence Table'!$A$1:$A$10000=$BJ16)*('Margin Guidence Table'!$I$1:$I$10000&lt;=ROUND($BB$3,0))*('Margin Guidence Table'!$J$1:$J$10000&gt;=ROUND($BB$3,0)),0),MATCH("DATA_POINTS",'Margin Guidence Table'!$A$1:$AG$1,0)),0)</f>
        <v>0</v>
      </c>
      <c r="BL16" s="1050" t="str">
        <f t="shared" si="27"/>
        <v>DEFAULT</v>
      </c>
      <c r="BM16" s="1050">
        <f t="array" ref="BM16">IFERROR(IF($BL16="SEGMENT",INDEX('Margin Guidence Table'!$A$1:$AG$10000,MATCH(1,('Margin Guidence Table'!$A$1:$A$10000=$BJ16)*('Margin Guidence Table'!$I$1:$I$10000&lt;=ROUND($BB$3,0))*('Margin Guidence Table'!$J$1:$J$10000&gt;=ROUND($BB$3,0)),0),MATCH("SALES_CASE",'Margin Guidence Table'!$A$1:$AG$1,0)),INDEX('Margin Guidence Table'!$A$1:$AG$10000,MATCH(1,('Margin Guidence Table'!$A$1:$A$10000=$BJ16)*('Margin Guidence Table'!$I$1:$I$10000&lt;=ROUND($BB$3,0))*('Margin Guidence Table'!$J$1:$J$10000&gt;=ROUND($BB$3,0)),0),MATCH("DEFAULT_SALES_CASE",'Margin Guidence Table'!$A$1:$AG$1,0))),0)</f>
        <v>0</v>
      </c>
      <c r="BN16" s="1050">
        <f t="array" ref="BN16">IFERROR(IF($BL16="SEGMENT",INDEX('Margin Guidence Table'!$A$1:$AG$10000,MATCH(1,('Margin Guidence Table'!$A$1:$A$10000=$BJ16)*('Margin Guidence Table'!$I$1:$I$10000&lt;=ROUND($BB$3,0))*('Margin Guidence Table'!$J$1:$J$10000&gt;=ROUND($BB$3,0)),0),MATCH("SALES_LBS",'Margin Guidence Table'!$A$1:$AG$1,0)),INDEX('Margin Guidence Table'!$A$1:$AG$10000,MATCH(1,('Margin Guidence Table'!$A$1:$A$10000=$BJ16)*('Margin Guidence Table'!$I$1:$I$10000&lt;=ROUND($BB$3,0))*('Margin Guidence Table'!$J$1:$J$10000&gt;=ROUND($BB$3,0)),0),MATCH("DEFAULT_SALES_LBS",'Margin Guidence Table'!$A$1:$AG$1,0))),0)</f>
        <v>0</v>
      </c>
      <c r="BO16" s="1054">
        <f t="array" ref="BO16">IFERROR(IF($BL16="SEGMENT",INDEX('Margin Guidence Table'!$A$1:$AG$10000,MATCH(1,('Margin Guidence Table'!$A$1:$A$10000=$BJ16)*('Margin Guidence Table'!$I$1:$I$10000&lt;=ROUND($BB$3,0))*('Margin Guidence Table'!$J$1:$J$10000&gt;=ROUND($BB$3,0)),0),MATCH("MDA_MIN_MARGIN_GUIDENCE",'Margin Guidence Table'!$A$1:$AG$1,0)),INDEX('Margin Guidence Table'!$A$1:$AG$10000,MATCH(1,('Margin Guidence Table'!$A$1:$A$10000=$BJ16)*('Margin Guidence Table'!$I$1:$I$10000&lt;=ROUND($BB$3,0))*('Margin Guidence Table'!$J$1:$J$10000&gt;=ROUND($BB$3,0)),0),MATCH("DEFAULT_MDA_MIN_MARGIN_GUIDENCE",'Margin Guidence Table'!$A$1:$AG$1,0))),0)</f>
        <v>0</v>
      </c>
      <c r="BP16" s="1054">
        <f t="array" ref="BP16">IFERROR(IF($BL16="SEGMENT",INDEX('Margin Guidence Table'!$A$1:$AG$10000,MATCH(1,('Margin Guidence Table'!$A$1:$A$10000=$BJ16)*('Margin Guidence Table'!$I$1:$I$10000&lt;=ROUND($BB$3,0))*('Margin Guidence Table'!$J$1:$J$10000&gt;=ROUND($BB$3,0)),0),MATCH("MDA_MEDIAN_MARGIN_GUIDENCE",'Margin Guidence Table'!$A$1:$AG$1,0)),INDEX('Margin Guidence Table'!$A$1:$AG$10000,MATCH(1,('Margin Guidence Table'!$A$1:$A$10000=$BJ16)*('Margin Guidence Table'!$I$1:$I$10000&lt;=ROUND($BB$3,0))*('Margin Guidence Table'!$J$1:$J$10000&gt;=ROUND($BB$3,0)),0),MATCH("DEFAULT_MDA_MEDIAN_MARGIN_GUIDENCE",'Margin Guidence Table'!$A$1:$AG$1,0))),0)</f>
        <v>0</v>
      </c>
      <c r="BQ16" s="1054">
        <f t="array" ref="BQ16">IFERROR(IF($BL16="SEGMENT",INDEX('Margin Guidence Table'!$A$1:$AG$10000,MATCH(1,('Margin Guidence Table'!$A$1:$A$10000=$BJ16)*('Margin Guidence Table'!$I$1:$I$10000&lt;=ROUND($BB$3,0))*('Margin Guidence Table'!$J$1:$J$10000&gt;=ROUND($BB$3,0)),0),MATCH("MDA_MAX_MARGIN_GUIDENCE",'Margin Guidence Table'!$A$1:$AG$1,0)),INDEX('Margin Guidence Table'!$A$1:$AG$10000,MATCH(1,('Margin Guidence Table'!$A$1:$A$10000=$BJ16)*('Margin Guidence Table'!$I$1:$I$10000&lt;=ROUND($BB$3,0))*('Margin Guidence Table'!$J$1:$J$10000&gt;=ROUND($BB$3,0)),0),MATCH("DEFAULT_MDA_MAX_MARGIN_GUIDENCE",'Margin Guidence Table'!$A$1:$AG$1,0))),0)</f>
        <v>0</v>
      </c>
      <c r="BR16" s="1054">
        <f t="array" ref="BR16">IFERROR(IF($BL16="SEGMENT",INDEX('Margin Guidence Table'!$A$1:$AG$10000,MATCH(1,('Margin Guidence Table'!$A$1:$A$10000=$BJ16)*('Margin Guidence Table'!$I$1:$I$10000&lt;=ROUND($BB$3,0))*('Margin Guidence Table'!$J$1:$J$10000&gt;=ROUND($BB$3,0)),0),MATCH("PA_PCT_SALES",'Margin Guidence Table'!$A$1:$AG$1,0)),INDEX('Margin Guidence Table'!$A$1:$AG$10000,MATCH(1,('Margin Guidence Table'!$A$1:$A$10000=$BJ16)*('Margin Guidence Table'!$I$1:$I$10000&lt;=ROUND($BB$3,0))*('Margin Guidence Table'!$J$1:$J$10000&gt;=ROUND($BB$3,0)),0),MATCH("DEFAULT_PA_PCT_SALES",'Margin Guidence Table'!$A$1:$AG$1,0))),0)</f>
        <v>0</v>
      </c>
      <c r="BS16" s="1054">
        <f t="array" ref="BS16">IFERROR(IF($BL16="SEGMENT",INDEX('Margin Guidence Table'!$A$1:$AG$10000,MATCH(1,('Margin Guidence Table'!$A$1:$A$10000=$BJ16)*('Margin Guidence Table'!$I$1:$I$10000&lt;=ROUND($BB$3,0))*('Margin Guidence Table'!$J$1:$J$10000&gt;=ROUND($BB$3,0)),0),MATCH("SELF_FUND_PCT_SALES",'Margin Guidence Table'!$A$1:$AG$1,0)),INDEX('Margin Guidence Table'!$A$1:$AG$10000,MATCH(1,('Margin Guidence Table'!$A$1:$A$10000=$BJ16)*('Margin Guidence Table'!$I$1:$I$10000&lt;=ROUND($BB$3,0))*('Margin Guidence Table'!$J$1:$J$10000&gt;=ROUND($BB$3,0)),0),MATCH("DEFAULT_SELF_FUND_PCT_SALES",'Margin Guidence Table'!$A$1:$AG$1,0))),0)</f>
        <v>0</v>
      </c>
      <c r="BT16" s="1054">
        <f t="array" ref="BT16">IFERROR(IF($BL16="SEGMENT",INDEX('Margin Guidence Table'!$A$1:$AG$10000,MATCH(1,('Margin Guidence Table'!$A$1:$A$10000=$BJ16)*('Margin Guidence Table'!$I$1:$I$10000&lt;=ROUND($BB$3,0))*('Margin Guidence Table'!$J$1:$J$10000&gt;=ROUND($BB$3,0)),0),MATCH("CIA_MEDIAN_MARGIN_GUIDENCE",'Margin Guidence Table'!$A$1:$AG$1,0)),INDEX('Margin Guidence Table'!$A$1:$AG$10000,MATCH(1,('Margin Guidence Table'!$A$1:$A$10000=$BJ16)*('Margin Guidence Table'!$I$1:$I$10000&lt;=ROUND($BB$3,0))*('Margin Guidence Table'!$J$1:$J$10000&gt;=ROUND($BB$3,0)),0),MATCH("DEFAULT_CIA_MEDIAN_MARGIN_GUIDENCE",'Margin Guidence Table'!$A$1:$AG$1,0))),0)</f>
        <v>0</v>
      </c>
      <c r="BU16" s="127"/>
      <c r="BV16" s="18">
        <f t="array" ref="BV16">IFERROR(IF($CI16="SEGMENT",INDEX('Margin Guidence Table'!$A$1:$AG$10000,MATCH(1,('Margin Guidence Table'!$A$1:$A$10000=$CG16)*('Margin Guidence Table'!$I$1:$I$10000&lt;=ROUND($BY$3,0))*('Margin Guidence Table'!$J$1:$J$10000&gt;=ROUND($BY$3,0)),0),MATCH("PCT_SALES",'Margin Guidence Table'!$A$1:$AG$1,0)),INDEX('Margin Guidence Table'!$A$1:$AG$10000,MATCH(1,('Margin Guidence Table'!$A$1:$A$10000=$CG16)*('Margin Guidence Table'!$I$1:$I$10000&lt;=ROUND($BY$3,0))*('Margin Guidence Table'!$J$1:$J$10000&gt;=ROUND($BY$3,0)),0),MATCH("DEFAULT_PCT_SALES",'Margin Guidence Table'!$A$1:$AG$1,0))),0)</f>
        <v>0</v>
      </c>
      <c r="BW16" s="370" t="e">
        <f t="shared" si="28"/>
        <v>#DIV/0!</v>
      </c>
      <c r="BX16" s="100" t="s">
        <v>1399</v>
      </c>
      <c r="BY16" s="92">
        <f>IFERROR(IF(AND($BY$2&lt;&gt;"Enter Spend&gt;&gt;&gt;",BZ4="EXISTING"),SUMIFS('Existing Customers'!$Q:$Q,'Existing Customers'!$A:$A,$BY$1,'Existing Customers'!$H:$H,$BX16)*$BY$4,$BY$3*$BW16),0)</f>
        <v>0</v>
      </c>
      <c r="BZ16" s="87">
        <f>IFERROR(IF(AND($BY$2&lt;&gt;"Enter Spend&gt;&gt;&gt;",BZ2="EXISTING"),SUMIFS('Existing Customers'!$N:$N,'Existing Customers'!$A:$A,$BY$1,'Existing Customers'!$H:$H,$BX16)*$BY$4,$BY16/$CJ16),0)</f>
        <v>0</v>
      </c>
      <c r="CA16" s="93">
        <f>IFERROR(IF(AND($BY$2&lt;&gt;"Enter Spend&gt;&gt;&gt;",BZ2="EXISTING"),SUMIFS('Existing Customers'!$O:$O,'Existing Customers'!$H:$H,$BX16,'Existing Customers'!$A:$A,$BY$1)*$BY$4,$BZ16*$BY$8),0)</f>
        <v>0</v>
      </c>
      <c r="CB16" s="93">
        <f>IFERROR(IF(AND($BY$2&lt;&gt;"Enter Spend&gt;&gt;&gt;",BZ2="EXISTING"),SUMIFS('Existing Customers'!$P:$P,'Existing Customers'!$A:$A,$BY$1,'Existing Customers'!$H:$H,$BX16)*$BY$4,$BY16/$CK16),0)</f>
        <v>0</v>
      </c>
      <c r="CC16" s="94">
        <f>IFERROR(IF(AND($BY$2&lt;&gt;"Enter Spend&gt;&gt;&gt;",BZ2="EXISTING"),SUMIFS('Existing Customers'!$V:$V,'Existing Customers'!$H:$H,$BX16,'Existing Customers'!$A:$A,$BY$1)*$BY$4,0),0)</f>
        <v>0</v>
      </c>
      <c r="CD16" s="94">
        <f>IFERROR(IF(AND($BY$2&lt;&gt;"Enter Spend&gt;&gt;&gt;",BZ2="EXISTING"),SUMIFS('Existing Customers'!$R:$R,'Existing Customers'!$H:$H,$BX16,'Existing Customers'!$A:$A,$BY$1)*$BY$4,0),0)</f>
        <v>0</v>
      </c>
      <c r="CE16" s="1050">
        <f>IFERROR(IF(AND($BY$2&lt;&gt;"Enter Spend&gt;&gt;&gt;",BZ2="EXISTING"),SUMIFS('Existing Customers'!$S:$S,'Existing Customers'!$H:$H,$BX16,'Existing Customers'!$A:$A,$BY$1),CO16*BY16),0)</f>
        <v>0</v>
      </c>
      <c r="CF16" s="1050">
        <f>IFERROR(IF(AND($BY$2&lt;&gt;"Enter Spend&gt;&gt;&gt;",BZ2="EXISTING"),SUMIFS('Existing Customers'!$U:$U,'Existing Customers'!$H:$H,$BX16,'Existing Customers'!$A:$A,$BY$1),CP16*BY16),0)</f>
        <v>0</v>
      </c>
      <c r="CG16" s="1053" t="e">
        <f>_xlfn.CONCAT('Customer Inputs'!$AG$7,"_",BX16)</f>
        <v>#N/A</v>
      </c>
      <c r="CH16" s="1053">
        <f t="array" ref="CH16">IFERROR(INDEX('Margin Guidence Table'!$A$1:$AG$10000,MATCH(1,('Margin Guidence Table'!$A$1:$A$10000=$CG16)*('Margin Guidence Table'!$I$1:$I$10000&lt;=ROUND($BY$3,0))*('Margin Guidence Table'!$J$1:$J$10000&gt;=ROUND($BY$3,0)),0),MATCH("DATA_POINTS",'Margin Guidence Table'!$A$1:$AG$1,0)),0)</f>
        <v>0</v>
      </c>
      <c r="CI16" s="1050" t="str">
        <f t="shared" si="29"/>
        <v>DEFAULT</v>
      </c>
      <c r="CJ16" s="1050">
        <f t="array" ref="CJ16">IFERROR(IF($CI16="SEGMENT",INDEX('Margin Guidence Table'!$A$1:$AG$10000,MATCH(1,('Margin Guidence Table'!$A$1:$A$10000=$CG16)*('Margin Guidence Table'!$I$1:$I$10000&lt;=ROUND($BY$3,0))*('Margin Guidence Table'!$J$1:$J$10000&gt;=ROUND($BY$3,0)),0),MATCH("SALES_CASE",'Margin Guidence Table'!$A$1:$AG$1,0)),INDEX('Margin Guidence Table'!$A$1:$AG$10000,MATCH(1,('Margin Guidence Table'!$A$1:$A$10000=$CG16)*('Margin Guidence Table'!$I$1:$I$10000&lt;=ROUND($BY$3,0))*('Margin Guidence Table'!$J$1:$J$10000&gt;=ROUND($BY$3,0)),0),MATCH("DEFAULT_SALES_CASE",'Margin Guidence Table'!$A$1:$AG$1,0))),0)</f>
        <v>0</v>
      </c>
      <c r="CK16" s="1050">
        <f t="array" ref="CK16">IFERROR(IF($CI16="SEGMENT",INDEX('Margin Guidence Table'!$A$1:$AG$10000,MATCH(1,('Margin Guidence Table'!$A$1:$A$10000=$CG16)*('Margin Guidence Table'!$I$1:$I$10000&lt;=ROUND($BY$3,0))*('Margin Guidence Table'!$J$1:$J$10000&gt;=ROUND($BY$3,0)),0),MATCH("SALES_LBS",'Margin Guidence Table'!$A$1:$AG$1,0)),INDEX('Margin Guidence Table'!$A$1:$AG$10000,MATCH(1,('Margin Guidence Table'!$A$1:$A$10000=$CG16)*('Margin Guidence Table'!$I$1:$I$10000&lt;=ROUND($BY$3,0))*('Margin Guidence Table'!$J$1:$J$10000&gt;=ROUND($BY$3,0)),0),MATCH("DEFAULT_SALES_LBS",'Margin Guidence Table'!$A$1:$AG$1,0))),0)</f>
        <v>0</v>
      </c>
      <c r="CL16" s="1054">
        <f t="array" ref="CL16">IFERROR(IF($CI16="SEGMENT",INDEX('Margin Guidence Table'!$A$1:$AG$10000,MATCH(1,('Margin Guidence Table'!$A$1:$A$10000=$CG16)*('Margin Guidence Table'!$I$1:$I$10000&lt;=ROUND($BY$3,0))*('Margin Guidence Table'!$J$1:$J$10000&gt;=ROUND($BY$3,0)),0),MATCH("MDA_MIN_MARGIN_GUIDENCE",'Margin Guidence Table'!$A$1:$AG$1,0)),INDEX('Margin Guidence Table'!$A$1:$AG$10000,MATCH(1,('Margin Guidence Table'!$A$1:$A$10000=$CG16)*('Margin Guidence Table'!$I$1:$I$10000&lt;=ROUND($BY$3,0))*('Margin Guidence Table'!$J$1:$J$10000&gt;=ROUND($BY$3,0)),0),MATCH("DEFAULT_MDA_MIN_MARGIN_GUIDENCE",'Margin Guidence Table'!$A$1:$AG$1,0))),0)</f>
        <v>0</v>
      </c>
      <c r="CM16" s="1054">
        <f t="array" ref="CM16">IFERROR(IF($CI16="SEGMENT",INDEX('Margin Guidence Table'!$A$1:$AG$10000,MATCH(1,('Margin Guidence Table'!$A$1:$A$10000=$CG16)*('Margin Guidence Table'!$I$1:$I$10000&lt;=ROUND($BY$3,0))*('Margin Guidence Table'!$J$1:$J$10000&gt;=ROUND($BY$3,0)),0),MATCH("MDA_MEDIAN_MARGIN_GUIDENCE",'Margin Guidence Table'!$A$1:$AG$1,0)),INDEX('Margin Guidence Table'!$A$1:$AG$10000,MATCH(1,('Margin Guidence Table'!$A$1:$A$10000=$CG16)*('Margin Guidence Table'!$I$1:$I$10000&lt;=ROUND($BY$3,0))*('Margin Guidence Table'!$J$1:$J$10000&gt;=ROUND($BY$3,0)),0),MATCH("DEFAULT_MDA_MEDIAN_MARGIN_GUIDENCE",'Margin Guidence Table'!$A$1:$AG$1,0))),0)</f>
        <v>0</v>
      </c>
      <c r="CN16" s="1054">
        <f t="array" ref="CN16">IFERROR(IF($CI16="SEGMENT",INDEX('Margin Guidence Table'!$A$1:$AG$10000,MATCH(1,('Margin Guidence Table'!$A$1:$A$10000=$CG16)*('Margin Guidence Table'!$I$1:$I$10000&lt;=ROUND($BY$3,0))*('Margin Guidence Table'!$J$1:$J$10000&gt;=ROUND($BY$3,0)),0),MATCH("MDA_MAX_MARGIN_GUIDENCE",'Margin Guidence Table'!$A$1:$AG$1,0)),INDEX('Margin Guidence Table'!$A$1:$AG$10000,MATCH(1,('Margin Guidence Table'!$A$1:$A$10000=$CG16)*('Margin Guidence Table'!$I$1:$I$10000&lt;=ROUND($BY$3,0))*('Margin Guidence Table'!$J$1:$J$10000&gt;=ROUND($BY$3,0)),0),MATCH("DEFAULT_MDA_MAX_MARGIN_GUIDENCE",'Margin Guidence Table'!$A$1:$AG$1,0))),0)</f>
        <v>0</v>
      </c>
      <c r="CO16" s="1054">
        <f t="array" ref="CO16">IFERROR(IF($CI16="SEGMENT",INDEX('Margin Guidence Table'!$A$1:$AG$10000,MATCH(1,('Margin Guidence Table'!$A$1:$A$10000=$CG16)*('Margin Guidence Table'!$I$1:$I$10000&lt;=ROUND($BY$3,0))*('Margin Guidence Table'!$J$1:$J$10000&gt;=ROUND($BY$3,0)),0),MATCH("PA_PCT_SALES",'Margin Guidence Table'!$A$1:$AG$1,0)),INDEX('Margin Guidence Table'!$A$1:$AG$10000,MATCH(1,('Margin Guidence Table'!$A$1:$A$10000=$CG16)*('Margin Guidence Table'!$I$1:$I$10000&lt;=ROUND($BY$3,0))*('Margin Guidence Table'!$J$1:$J$10000&gt;=ROUND($BY$3,0)),0),MATCH("DEFAULT_PA_PCT_SALES",'Margin Guidence Table'!$A$1:$AG$1,0))),0)</f>
        <v>0</v>
      </c>
      <c r="CP16" s="1054">
        <f t="array" ref="CP16">IFERROR(IF($CI16="SEGMENT",INDEX('Margin Guidence Table'!$A$1:$AG$10000,MATCH(1,('Margin Guidence Table'!$A$1:$A$10000=$CG16)*('Margin Guidence Table'!$I$1:$I$10000&lt;=ROUND($BY$3,0))*('Margin Guidence Table'!$J$1:$J$10000&gt;=ROUND($BY$3,0)),0),MATCH("SELF_FUND_PCT_SALES",'Margin Guidence Table'!$A$1:$AG$1,0)),INDEX('Margin Guidence Table'!$A$1:$AG$10000,MATCH(1,('Margin Guidence Table'!$A$1:$A$10000=$CG16)*('Margin Guidence Table'!$I$1:$I$10000&lt;=ROUND($BY$3,0))*('Margin Guidence Table'!$J$1:$J$10000&gt;=ROUND($BY$3,0)),0),MATCH("DEFAULT_SELF_FUND_PCT_SALES",'Margin Guidence Table'!$A$1:$AG$1,0))),0)</f>
        <v>0</v>
      </c>
      <c r="CQ16" s="1054">
        <f t="array" ref="CQ16">IFERROR(IF($CI16="SEGMENT",INDEX('Margin Guidence Table'!$A$1:$AG$10000,MATCH(1,('Margin Guidence Table'!$A$1:$A$10000=$CG16)*('Margin Guidence Table'!$I$1:$I$10000&lt;=ROUND($BY$3,0))*('Margin Guidence Table'!$J$1:$J$10000&gt;=ROUND($BY$3,0)),0),MATCH("CIA_MEDIAN_MARGIN_GUIDENCE",'Margin Guidence Table'!$A$1:$AG$1,0)),INDEX('Margin Guidence Table'!$A$1:$AG$10000,MATCH(1,('Margin Guidence Table'!$A$1:$A$10000=$CG16)*('Margin Guidence Table'!$I$1:$I$10000&lt;=ROUND($BY$3,0))*('Margin Guidence Table'!$J$1:$J$10000&gt;=ROUND($BY$3,0)),0),MATCH("DEFAULT_CIA_MEDIAN_MARGIN_GUIDENCE",'Margin Guidence Table'!$A$1:$AG$1,0))),0)</f>
        <v>0</v>
      </c>
      <c r="CR16" s="127"/>
      <c r="CS16" s="18">
        <f t="array" ref="CS16">IFERROR(IF($DF16="SEGMENT",INDEX('Margin Guidence Table'!$A$1:$AG$10000,MATCH(1,('Margin Guidence Table'!$A$1:$A$10000=$DD16)*('Margin Guidence Table'!$I$1:$I$10000&lt;=ROUND($CV$3,0))*('Margin Guidence Table'!$J$1:$J$10000&gt;=ROUND($CV$3,0)),0),MATCH("PCT_SALES",'Margin Guidence Table'!$A$1:$AG$1,0)),INDEX('Margin Guidence Table'!$A$1:$AG$10000,MATCH(1,('Margin Guidence Table'!$A$1:$A$10000=$DD16)*('Margin Guidence Table'!$I$1:$I$10000&lt;=ROUND($CV$3,0))*('Margin Guidence Table'!$J$1:$J$10000&gt;=ROUND($CV$3,0)),0),MATCH("DEFAULT_PCT_SALES",'Margin Guidence Table'!$A$1:$AG$1,0))),0)</f>
        <v>0</v>
      </c>
      <c r="CT16" s="370" t="e">
        <f t="shared" si="30"/>
        <v>#DIV/0!</v>
      </c>
      <c r="CU16" s="100" t="s">
        <v>1399</v>
      </c>
      <c r="CV16" s="92">
        <f>IFERROR(IF(AND($CV$2&lt;&gt;"Enter Spend&gt;&gt;&gt;",CW4="EXISTING"),SUMIFS('Existing Customers'!$Q:$Q,'Existing Customers'!$A:$A,$CV$1,'Existing Customers'!$H:$H,$CU16)*$CV$4,$CV$3*$CT16),0)</f>
        <v>0</v>
      </c>
      <c r="CW16" s="87">
        <f>IFERROR(IF(AND($CV$2&lt;&gt;"Enter Spend&gt;&gt;&gt;",CW2="EXISTING"),SUMIFS('Existing Customers'!$N:$N,'Existing Customers'!$A:$A,$CV$1,'Existing Customers'!$H:$H,$CU16)*$CV$4,$CV16/$DG16),0)</f>
        <v>0</v>
      </c>
      <c r="CX16" s="93">
        <f>IFERROR(IF(AND($CV$2&lt;&gt;"Enter Spend&gt;&gt;&gt;",BC28="EXISTING"),SUMIFS('Existing Customers'!$O:$O,'Existing Customers'!$H:$H,$CU16,'Existing Customers'!$A:$A,$CV$1)*$CV$4,$CW16*$CV$8),0)</f>
        <v>0</v>
      </c>
      <c r="CY16" s="93">
        <f>IFERROR(IF(AND($CV$2&lt;&gt;"Enter Spend&gt;&gt;&gt;",CW2="EXISTING"),SUMIFS('Existing Customers'!$P:$P,'Existing Customers'!$A:$A,$CV$1,'Existing Customers'!$H:$H,$CU16)*$CV$4,$CV16/$DH16),0)</f>
        <v>0</v>
      </c>
      <c r="CZ16" s="94">
        <f>IFERROR(IF(AND($CV$2&lt;&gt;"Enter Spend&gt;&gt;&gt;",CW2="EXISTING"),SUMIFS('Existing Customers'!$V:$V,'Existing Customers'!$H:$H,$CU16,'Existing Customers'!$A:$A,$CV$1)*$CV$4,0),0)</f>
        <v>0</v>
      </c>
      <c r="DA16" s="94">
        <f>IFERROR(IF(AND($CV$2&lt;&gt;"Enter Spend&gt;&gt;&gt;",CW2="EXISTING"),SUMIFS('Existing Customers'!$R:$R,'Existing Customers'!$H:$H,$BA16,'Existing Customers'!$A:$A,$CV$1)*$CV$4,0),0)</f>
        <v>0</v>
      </c>
      <c r="DB16" s="1050">
        <f>IFERROR(IF(AND($CV$2&lt;&gt;"Enter Spend&gt;&gt;&gt;",CW2="EXISTING"),SUMIFS('Existing Customers'!$S:$S,'Existing Customers'!$H:$H,$CU16,'Existing Customers'!$A:$A,$CV$1),DL16*CV16),0)</f>
        <v>0</v>
      </c>
      <c r="DC16" s="1050">
        <f>IFERROR(IF(AND($CV$2&lt;&gt;"Enter Spend&gt;&gt;&gt;",CW2="EXISTING"),SUMIFS('Existing Customers'!$U:$U,'Existing Customers'!$H:$H,$CU16,'Existing Customers'!$A:$A,$CV$1),DM16*CV16),0)</f>
        <v>0</v>
      </c>
      <c r="DD16" s="1053" t="e">
        <f>_xlfn.CONCAT('Customer Inputs'!$AG$8,"_",CU16)</f>
        <v>#N/A</v>
      </c>
      <c r="DE16" s="1053">
        <f t="array" ref="DE16">IFERROR(INDEX('Margin Guidence Table'!$A$1:$AG$10000,MATCH(1,('Margin Guidence Table'!$A$1:$A$10000=DD16)*('Margin Guidence Table'!$I$1:$I$10000&lt;=ROUND($CV$3,0))*('Margin Guidence Table'!$J$1:$J$10000&gt;=ROUND($CV$3,0)),0),MATCH("DATA_POINTS",'Margin Guidence Table'!$A$1:$AG$1,0)),0)</f>
        <v>0</v>
      </c>
      <c r="DF16" s="1050" t="str">
        <f t="shared" si="31"/>
        <v>DEFAULT</v>
      </c>
      <c r="DG16" s="1050">
        <f t="array" ref="DG16">IFERROR(IF($DF16="SEGMENT",INDEX('Margin Guidence Table'!$A$1:$AG$10000,MATCH(1,('Margin Guidence Table'!$A$1:$A$10000=DD16)*('Margin Guidence Table'!$I$1:$I$10000&lt;=ROUND($CV$3,0))*('Margin Guidence Table'!$J$1:$J$10000&gt;=ROUND($CV$3,0)),0),MATCH("SALES_CASE",'Margin Guidence Table'!$A$1:$AG$1,0)),INDEX('Margin Guidence Table'!$A$1:$AG$10000,MATCH(1,('Margin Guidence Table'!$A$1:$A$10000=DD16)*('Margin Guidence Table'!$I$1:$I$10000&lt;=ROUND($CV$3,0))*('Margin Guidence Table'!$J$1:$J$10000&gt;=ROUND($CV$3,0)),0),MATCH("DEFAULT_SALES_CASE",'Margin Guidence Table'!$A$1:$AG$1,0))),0)</f>
        <v>0</v>
      </c>
      <c r="DH16" s="1050">
        <f t="array" ref="DH16">IFERROR(IF($DF16="SEGMENT",INDEX('Margin Guidence Table'!$A$1:$AG$10000,MATCH(1,('Margin Guidence Table'!$A$1:$A$10000=DD16)*('Margin Guidence Table'!$I$1:$I$10000&lt;=ROUND($CV$3,0))*('Margin Guidence Table'!$J$1:$J$10000&gt;=ROUND($CV$3,0)),0),MATCH("SALES_LBS",'Margin Guidence Table'!$A$1:$AG$1,0)),INDEX('Margin Guidence Table'!$A$1:$AG$10000,MATCH(1,('Margin Guidence Table'!$A$1:$A$10000=DD16)*('Margin Guidence Table'!$I$1:$I$10000&lt;=ROUND($CV$3,0))*('Margin Guidence Table'!$J$1:$J$10000&gt;=ROUND($CV$3,0)),0),MATCH("DEFAULT_SALES_LBS",'Margin Guidence Table'!$A$1:$AG$1,0))),0)</f>
        <v>0</v>
      </c>
      <c r="DI16" s="1054">
        <f t="array" ref="DI16">IFERROR(IF($DF16="SEGMENT",INDEX('Margin Guidence Table'!$A$1:$AG$10000,MATCH(1,('Margin Guidence Table'!$A$1:$A$10000=DD16)*('Margin Guidence Table'!$I$1:$I$10000&lt;=ROUND($CV$3,0))*('Margin Guidence Table'!$J$1:$J$10000&gt;=ROUND($CV$3,0)),0),MATCH("MDA_MIN_MARGIN_GUIDENCE",'Margin Guidence Table'!$A$1:$AG$1,0)),INDEX('Margin Guidence Table'!$A$1:$AG$10000,MATCH(1,('Margin Guidence Table'!$A$1:$A$10000=DD16)*('Margin Guidence Table'!$I$1:$I$10000&lt;=ROUND($CV$3,0))*('Margin Guidence Table'!$J$1:$J$10000&gt;=ROUND($CV$3,0)),0),MATCH("DEFAULT_MDA_MIN_MARGIN_GUIDENCE",'Margin Guidence Table'!$A$1:$AG$1,0))),0)</f>
        <v>0</v>
      </c>
      <c r="DJ16" s="1054">
        <f t="array" ref="DJ16">IFERROR(IF($DF16="SEGMENT",INDEX('Margin Guidence Table'!$A$1:$AG$10000,MATCH(1,('Margin Guidence Table'!$A$1:$A$10000=DD16)*('Margin Guidence Table'!$I$1:$I$10000&lt;=ROUND($CV$3,0))*('Margin Guidence Table'!$J$1:$J$10000&gt;=ROUND($CV$3,0)),0),MATCH("MDA_MEDIAN_MARGIN_GUIDENCE",'Margin Guidence Table'!$A$1:$AG$1,0)),INDEX('Margin Guidence Table'!$A$1:$AG$10000,MATCH(1,('Margin Guidence Table'!$A$1:$A$10000=DD16)*('Margin Guidence Table'!$I$1:$I$10000&lt;=ROUND($CV$3,0))*('Margin Guidence Table'!$J$1:$J$10000&gt;=ROUND($CV$3,0)),0),MATCH("DEFAULT_MDA_MEDIAN_MARGIN_GUIDENCE",'Margin Guidence Table'!$A$1:$AG$1,0))),0)</f>
        <v>0</v>
      </c>
      <c r="DK16" s="1054">
        <f t="array" ref="DK16">IFERROR(IF($DF16="SEGMENT",INDEX('Margin Guidence Table'!$A$1:$AG$10000,MATCH(1,('Margin Guidence Table'!$A$1:$A$10000=DD16)*('Margin Guidence Table'!$I$1:$I$10000&lt;=ROUND($CV$3,0))*('Margin Guidence Table'!$J$1:$J$10000&gt;=ROUND($CV$3,0)),0),MATCH("MDA_MAX_MARGIN_GUIDENCE",'Margin Guidence Table'!$A$1:$AG$1,0)),INDEX('Margin Guidence Table'!$A$1:$AG$10000,MATCH(1,('Margin Guidence Table'!$A$1:$A$10000=DD16)*('Margin Guidence Table'!$I$1:$I$10000&lt;=ROUND($CV$3,0))*('Margin Guidence Table'!$J$1:$J$10000&gt;=ROUND($CV$3,0)),0),MATCH("DEFAULT_MDA_MAX_MARGIN_GUIDENCE",'Margin Guidence Table'!$A$1:$AG$1,0))),0)</f>
        <v>0</v>
      </c>
      <c r="DL16" s="1054">
        <f t="array" ref="DL16">IFERROR(IF($DF16="SEGMENT",INDEX('Margin Guidence Table'!$A$1:$AG$10000,MATCH(1,('Margin Guidence Table'!$A$1:$A$10000=DD16)*('Margin Guidence Table'!$I$1:$I$10000&lt;=ROUND($CV$3,0))*('Margin Guidence Table'!$J$1:$J$10000&gt;=ROUND($CV$3,0)),0),MATCH("PA_PCT_SALES",'Margin Guidence Table'!$A$1:$AG$1,0)),INDEX('Margin Guidence Table'!$A$1:$AG$10000,MATCH(1,('Margin Guidence Table'!$A$1:$A$10000=DD16)*('Margin Guidence Table'!$I$1:$I$10000&lt;=ROUND($CV$3,0))*('Margin Guidence Table'!$J$1:$J$10000&gt;=ROUND($CV$3,0)),0),MATCH("DEFAULT_PA_PCT_SALES",'Margin Guidence Table'!$A$1:$AG$1,0))),0)</f>
        <v>0</v>
      </c>
      <c r="DM16" s="1054">
        <f t="array" ref="DM16">IFERROR(IF($DF16="SEGMENT",INDEX('Margin Guidence Table'!$A$1:$AG$10000,MATCH(1,('Margin Guidence Table'!$A$1:$A$10000=DD16)*('Margin Guidence Table'!$I$1:$I$10000&lt;=ROUND($CV$3,0))*('Margin Guidence Table'!$J$1:$J$10000&gt;=ROUND($CV$3,0)),0),MATCH("SELF_FUND_PCT_SALES",'Margin Guidence Table'!$A$1:$AG$1,0)),INDEX('Margin Guidence Table'!$A$1:$AG$10000,MATCH(1,('Margin Guidence Table'!$A$1:$A$10000=DD16)*('Margin Guidence Table'!$I$1:$I$10000&lt;=ROUND($CV$3,0))*('Margin Guidence Table'!$J$1:$J$10000&gt;=ROUND($CV$3,0)),0),MATCH("DEFAULT_SELF_FUND_PCT_SALES",'Margin Guidence Table'!$A$1:$AG$1,0))),0)</f>
        <v>0</v>
      </c>
      <c r="DN16" s="1054">
        <f t="array" ref="DN16">IFERROR(IF($DF16="SEGMENT",INDEX('Margin Guidence Table'!$A$1:$AG$10000,MATCH(1,('Margin Guidence Table'!$A$1:$A$10000=DD16)*('Margin Guidence Table'!$I$1:$I$10000&lt;=ROUND($CV$3,0))*('Margin Guidence Table'!$J$1:$J$10000&gt;=ROUND($CV$3,0)),0),MATCH("CIA_MEDIAN_MARGIN_GUIDENCE",'Margin Guidence Table'!$A$1:$AG$1,0)),INDEX('Margin Guidence Table'!$A$1:$AG$10000,MATCH(1,('Margin Guidence Table'!$A$1:$A$10000=DD16)*('Margin Guidence Table'!$I$1:$I$10000&lt;=ROUND($CV$3,0))*('Margin Guidence Table'!$J$1:$J$10000&gt;=ROUND($CV$3,0)),0),MATCH("DEFAULT_CIA_MEDIAN_MARGIN_GUIDENCE",'Margin Guidence Table'!$A$1:$AG$1,0))),0)</f>
        <v>0</v>
      </c>
      <c r="DO16" s="127"/>
      <c r="DP16" s="18">
        <f t="array" ref="DP16">IFERROR(IF($EC16="SEGMENT",INDEX('Margin Guidence Table'!$A$1:$AG$10000,MATCH(1,('Margin Guidence Table'!$A$1:$A$10000=$EA16)*('Margin Guidence Table'!$I$1:$I$10000&lt;=ROUND($DS$3,0))*('Margin Guidence Table'!$J$1:$J$10000&gt;=ROUND($DS$3,0)),0),MATCH("PCT_SALES",'Margin Guidence Table'!$A$1:$AG$1,0)),INDEX('Margin Guidence Table'!$A$1:$AG$10000,MATCH(1,('Margin Guidence Table'!$A$1:$A$10000=$EA16)*('Margin Guidence Table'!$I$1:$I$10000&lt;=ROUND($DS$3,0))*('Margin Guidence Table'!$J$1:$J$10000&gt;=ROUND($DS$3,0)),0),MATCH("DEFAULT_PCT_SALES",'Margin Guidence Table'!$A$1:$AG$1,0))),0)</f>
        <v>0</v>
      </c>
      <c r="DQ16" s="370" t="e">
        <f t="shared" si="32"/>
        <v>#DIV/0!</v>
      </c>
      <c r="DR16" s="100" t="s">
        <v>1399</v>
      </c>
      <c r="DS16" s="92">
        <f>IFERROR(IF(AND($DS$2&lt;&gt;"Enter Spend&gt;&gt;&gt;",DT4="EXISTING"),SUMIFS('Existing Customers'!$Q:$Q,'Existing Customers'!$A:$A,$DS$1,'Existing Customers'!$H:$H,$DR16)*$DS$4,$DS$3*$DQ16),0)</f>
        <v>0</v>
      </c>
      <c r="DT16" s="87">
        <f>IFERROR(IF(AND($DS$2&lt;&gt;"Enter Spend&gt;&gt;&gt;",DT2="EXISTING"),SUMIFS('Existing Customers'!$N:$N,'Existing Customers'!$A:$A,$DS$1,'Existing Customers'!$H:$H,$DR16)*$DS$4,$DS16/$ED16),0)</f>
        <v>0</v>
      </c>
      <c r="DU16" s="93">
        <f>IFERROR(IF(AND($DS$2&lt;&gt;"Enter Spend&gt;&gt;&gt;",DT2="EXISTING"),SUMIFS('Existing Customers'!$O:$O,'Existing Customers'!$H:$H,$DR16,'Existing Customers'!$A:$A,$DS$1)*$DS$4,$DT16*$DS$8),0)</f>
        <v>0</v>
      </c>
      <c r="DV16" s="93">
        <f>IFERROR(IF(AND($DS$2&lt;&gt;"Enter Spend&gt;&gt;&gt;",DT2="EXISTING"),SUMIFS('Existing Customers'!$P:$P,'Existing Customers'!$A:$A,$DS$1,'Existing Customers'!$H:$H,$DR16)*$DS$4,$DS16/$EE16),0)</f>
        <v>0</v>
      </c>
      <c r="DW16" s="94">
        <f>IFERROR(IF(AND($DS$2&lt;&gt;"Enter Spend&gt;&gt;&gt;",EQ2="EXISTING"),SUMIFS('Existing Customers'!$V:$V,'Existing Customers'!$H:$H,$DR16,'Existing Customers'!$A:$A,$DS$1)*$DS$4,0),0)</f>
        <v>0</v>
      </c>
      <c r="DX16" s="94">
        <f>IFERROR(IF(AND($DS$2&lt;&gt;"Enter Spend&gt;&gt;&gt;",DT2="EXISTING"),SUMIFS('Existing Customers'!$R:$R,'Existing Customers'!$H:$H,$DR16,'Existing Customers'!$A:$A,$DS$1)*$DS$4,0),0)</f>
        <v>0</v>
      </c>
      <c r="DY16" s="1050">
        <f>IFERROR(IF(AND($DS$2&lt;&gt;"Enter Spend&gt;&gt;&gt;",DT2="EXISTING"),SUMIFS('Existing Customers'!$S:$S,'Existing Customers'!$H:$H,$DT16,'Existing Customers'!$A:$A,$DS$1),EI16*DS16),0)</f>
        <v>0</v>
      </c>
      <c r="DZ16" s="1050">
        <f>IFERROR(IF(AND($DS$2&lt;&gt;"Enter Spend&gt;&gt;&gt;",DT2="EXISTING"),SUMIFS('Existing Customers'!$U:$U,'Existing Customers'!$H:$H,$DR16,'Existing Customers'!$A:$A,$DS$1),EJ16*DS16),0)</f>
        <v>0</v>
      </c>
      <c r="EA16" s="1053" t="e">
        <f>_xlfn.CONCAT('Customer Inputs'!$AG$9,"_",DR16)</f>
        <v>#N/A</v>
      </c>
      <c r="EB16" s="1053">
        <f t="array" ref="EB16">IFERROR(INDEX('Margin Guidence Table'!$A$1:$AG$10000,MATCH(1,('Margin Guidence Table'!$A$1:$A$10000=EA16)*('Margin Guidence Table'!$I$1:$I$10000&lt;=ROUND($DS$3,0))*('Margin Guidence Table'!$J$1:$J$10000&gt;=ROUND($DS$3,0)),0),MATCH("DATA_POINTS",'Margin Guidence Table'!$A$1:$AG$1,0)),0)</f>
        <v>0</v>
      </c>
      <c r="EC16" s="1050" t="str">
        <f t="shared" si="33"/>
        <v>DEFAULT</v>
      </c>
      <c r="ED16" s="1050">
        <f t="array" ref="ED16">IFERROR(IF($EC16="SEGMENT",INDEX('Margin Guidence Table'!$A$1:$AG$10000,MATCH(1,('Margin Guidence Table'!$A$1:$A$10000=EA16)*('Margin Guidence Table'!$I$1:$I$10000&lt;=ROUND($DS$3,0))*('Margin Guidence Table'!$J$1:$J$10000&gt;=ROUND($DS$3,0)),0),MATCH("SALES_CASE",'Margin Guidence Table'!$A$1:$AG$1,0)),INDEX('Margin Guidence Table'!$A$1:$AG$10000,MATCH(1,('Margin Guidence Table'!$A$1:$A$10000=EA16)*('Margin Guidence Table'!$I$1:$I$10000&lt;=ROUND($DS$3,0))*('Margin Guidence Table'!$J$1:$J$10000&gt;=ROUND($DS$3,0)),0),MATCH("DEFAULT_SALES_CASE",'Margin Guidence Table'!$A$1:$AG$1,0))),0)</f>
        <v>0</v>
      </c>
      <c r="EE16" s="1050">
        <f t="array" ref="EE16">IFERROR(IF($EC16="SEGMENT",INDEX('Margin Guidence Table'!$A$1:$AG$10000,MATCH(1,('Margin Guidence Table'!$A$1:$A$10000=EA16)*('Margin Guidence Table'!$I$1:$I$10000&lt;=ROUND($DS$3,0))*('Margin Guidence Table'!$J$1:$J$10000&gt;=ROUND($DS$3,0)),0),MATCH("SALES_LBS",'Margin Guidence Table'!$A$1:$AG$1,0)),INDEX('Margin Guidence Table'!$A$1:$AG$10000,MATCH(1,('Margin Guidence Table'!$A$1:$A$10000=EA16)*('Margin Guidence Table'!$I$1:$I$10000&lt;=ROUND($DS$3,0))*('Margin Guidence Table'!$J$1:$J$10000&gt;=ROUND($DS$3,0)),0),MATCH("DEFAULT_SALES_LBS",'Margin Guidence Table'!$A$1:$AG$1,0))),0)</f>
        <v>0</v>
      </c>
      <c r="EF16" s="1054">
        <f t="array" ref="EF16">IFERROR(IF($EC16="SEGMENT",INDEX('Margin Guidence Table'!$A$1:$AG$10000,MATCH(1,('Margin Guidence Table'!$A$1:$A$10000=EA16)*('Margin Guidence Table'!$I$1:$I$10000&lt;=ROUND($DS$3,0))*('Margin Guidence Table'!$J$1:$J$10000&gt;=ROUND($DS$3,0)),0),MATCH("MDA_MIN_MARGIN_GUIDENCE",'Margin Guidence Table'!$A$1:$AG$1,0)),INDEX('Margin Guidence Table'!$A$1:$AG$10000,MATCH(1,('Margin Guidence Table'!$A$1:$A$10000=EA16)*('Margin Guidence Table'!$I$1:$I$10000&lt;=ROUND($DS$3,0))*('Margin Guidence Table'!$J$1:$J$10000&gt;=ROUND($DS$3,0)),0),MATCH("DEFAULT_MDA_MIN_MARGIN_GUIDENCE",'Margin Guidence Table'!$A$1:$AG$1,0))),0)</f>
        <v>0</v>
      </c>
      <c r="EG16" s="1054">
        <f t="array" ref="EG16">IFERROR(IF($EC16="SEGMENT",INDEX('Margin Guidence Table'!$A$1:$AG$10000,MATCH(1,('Margin Guidence Table'!$A$1:$A$10000=EA16)*('Margin Guidence Table'!$I$1:$I$10000&lt;=ROUND($DS$3,0))*('Margin Guidence Table'!$J$1:$J$10000&gt;=ROUND($DS$3,0)),0),MATCH("MDA_MEDIAN_MARGIN_GUIDENCE",'Margin Guidence Table'!$A$1:$AG$1,0)),INDEX('Margin Guidence Table'!$A$1:$AG$10000,MATCH(1,('Margin Guidence Table'!$A$1:$A$10000=EA16)*('Margin Guidence Table'!$I$1:$I$10000&lt;=ROUND($DS$3,0))*('Margin Guidence Table'!$J$1:$J$10000&gt;=ROUND($DS$3,0)),0),MATCH("DEFAULT_MDA_MEDIAN_MARGIN_GUIDENCE",'Margin Guidence Table'!$A$1:$AG$1,0))),0)</f>
        <v>0</v>
      </c>
      <c r="EH16" s="1054">
        <f t="array" ref="EH16">IFERROR(IF($EC16="SEGMENT",INDEX('Margin Guidence Table'!$A$1:$AG$10000,MATCH(1,('Margin Guidence Table'!$A$1:$A$10000=EA16)*('Margin Guidence Table'!$I$1:$I$10000&lt;=ROUND($DS$3,0))*('Margin Guidence Table'!$J$1:$J$10000&gt;=ROUND($DS$3,0)),0),MATCH("MDA_MAX_MARGIN_GUIDENCE",'Margin Guidence Table'!$A$1:$AG$1,0)),INDEX('Margin Guidence Table'!$A$1:$AG$10000,MATCH(1,('Margin Guidence Table'!$A$1:$A$10000=EA16)*('Margin Guidence Table'!$I$1:$I$10000&lt;=ROUND($DS$3,0))*('Margin Guidence Table'!$J$1:$J$10000&gt;=ROUND($DS$3,0)),0),MATCH("DEFAULT_MDA_MAX_MARGIN_GUIDENCE",'Margin Guidence Table'!$A$1:$AG$1,0))),0)</f>
        <v>0</v>
      </c>
      <c r="EI16" s="1054">
        <f t="array" ref="EI16">IFERROR(IF($EC16="SEGMENT",INDEX('Margin Guidence Table'!$A$1:$AG$10000,MATCH(1,('Margin Guidence Table'!$A$1:$A$10000=EA16)*('Margin Guidence Table'!$I$1:$I$10000&lt;=ROUND($DS$3,0))*('Margin Guidence Table'!$J$1:$J$10000&gt;=ROUND($DS$3,0)),0),MATCH("PA_PCT_SALES",'Margin Guidence Table'!$A$1:$AG$1,0)),INDEX('Margin Guidence Table'!$A$1:$AG$10000,MATCH(1,('Margin Guidence Table'!$A$1:$A$10000=EA16)*('Margin Guidence Table'!$I$1:$I$10000&lt;=ROUND($DS$3,0))*('Margin Guidence Table'!$J$1:$J$10000&gt;=ROUND($DS$3,0)),0),MATCH("DEFAULT_PA_PCT_SALES",'Margin Guidence Table'!$A$1:$AG$1,0))),0)</f>
        <v>0</v>
      </c>
      <c r="EJ16" s="1054">
        <f t="array" ref="EJ16">IFERROR(IF($EC16="SEGMENT",INDEX('Margin Guidence Table'!$A$1:$AG$10000,MATCH(1,('Margin Guidence Table'!$A$1:$A$10000=EA16)*('Margin Guidence Table'!$I$1:$I$10000&lt;=ROUND($DS$3,0))*('Margin Guidence Table'!$J$1:$J$10000&gt;=ROUND($DS$3,0)),0),MATCH("SELF_FUND_PCT_SALES",'Margin Guidence Table'!$A$1:$AG$1,0)),INDEX('Margin Guidence Table'!$A$1:$AG$10000,MATCH(1,('Margin Guidence Table'!$A$1:$A$10000=EA16)*('Margin Guidence Table'!$I$1:$I$10000&lt;=ROUND($DS$3,0))*('Margin Guidence Table'!$J$1:$J$10000&gt;=ROUND($DS$3,0)),0),MATCH("DEFAULT_SELF_FUND_PCT_SALES",'Margin Guidence Table'!$A$1:$AG$1,0))),0)</f>
        <v>0</v>
      </c>
      <c r="EK16" s="1054">
        <f t="array" ref="EK16">IFERROR(IF($EC16="SEGMENT",INDEX('Margin Guidence Table'!$A$1:$AG$10000,MATCH(1,('Margin Guidence Table'!$A$1:$A$10000=EA16)*('Margin Guidence Table'!$I$1:$I$10000&lt;=ROUND($DS$3,0))*('Margin Guidence Table'!$J$1:$J$10000&gt;=ROUND($DS$3,0)),0),MATCH("CIA_MEDIAN_MARGIN_GUIDENCE",'Margin Guidence Table'!$A$1:$AG$1,0)),INDEX('Margin Guidence Table'!$A$1:$AG$10000,MATCH(1,('Margin Guidence Table'!$A$1:$A$10000=EA16)*('Margin Guidence Table'!$I$1:$I$10000&lt;=ROUND($DS$3,0))*('Margin Guidence Table'!$J$1:$J$10000&gt;=ROUND($DS$3,0)),0),MATCH("DEFAULT_CIA_MEDIAN_MARGIN_GUIDENCE",'Margin Guidence Table'!$A$1:$AG$1,0))),0)</f>
        <v>0</v>
      </c>
      <c r="EL16" s="127"/>
      <c r="EM16" s="18">
        <f t="array" ref="EM16">IFERROR(IF($EZ16="SEGMENT",INDEX('Margin Guidence Table'!$A$1:$AG$10000,MATCH(1,('Margin Guidence Table'!$A$1:$A$10000=$EX16)*('Margin Guidence Table'!$I$1:$I$10000&lt;=ROUND($EP$3,0))*('Margin Guidence Table'!$J$1:$J$10000&gt;=ROUND($EP$3,0)),0),MATCH("PCT_SALES",'Margin Guidence Table'!$A$1:$AG$1,0)),INDEX('Margin Guidence Table'!$A$1:$AG$10000,MATCH(1,('Margin Guidence Table'!$A$1:$A$10000=$EX16)*('Margin Guidence Table'!$I$1:$I$10000&lt;=ROUND($EP$3,0))*('Margin Guidence Table'!$J$1:$J$10000&gt;=ROUND($EP$3,0)),0),MATCH("DEFAULT_PCT_SALES",'Margin Guidence Table'!$A$1:$AG$1,0))),0)</f>
        <v>0</v>
      </c>
      <c r="EN16" s="370" t="e">
        <f t="shared" si="34"/>
        <v>#DIV/0!</v>
      </c>
      <c r="EO16" s="100" t="s">
        <v>1399</v>
      </c>
      <c r="EP16" s="92">
        <f>IFERROR(IF(AND($EP$2&lt;&gt;"Enter Spend&gt;&gt;&gt;",EQ4="EXISTING"),SUMIFS('Existing Customers'!$Q:$Q,'Existing Customers'!$A:$A,$EP$1,'Existing Customers'!$H:$H,$EO16)*$EP$4,$EP$3*$EN16),0)</f>
        <v>0</v>
      </c>
      <c r="EQ16" s="87">
        <f>IFERROR(IF(AND($EP$2&lt;&gt;"Enter Spend&gt;&gt;&gt;",EQ2="EXISTING"),SUMIFS('Existing Customers'!$N:$N,'Existing Customers'!$A:$A,$EP$1,'Existing Customers'!$H:$H,$EO16)*$EP$4,$EP16/$FA16),0)</f>
        <v>0</v>
      </c>
      <c r="ER16" s="93">
        <f>IFERROR(IF(AND($EP$2&lt;&gt;"Enter Spend&gt;&gt;&gt;",EQ2="EXISTING"),SUMIFS('Existing Customers'!$O:$O,'Existing Customers'!$H:$H,$EO16,'Existing Customers'!$A:$A,$EP$1)*$EP$4,$EQ16*$EP$8),0)</f>
        <v>0</v>
      </c>
      <c r="ES16" s="93">
        <f>IFERROR(IF(AND($EP$2&lt;&gt;"Enter Spend&gt;&gt;&gt;",EQ2="EXISTING"),SUMIFS('Existing Customers'!$P:$P,'Existing Customers'!$A:$A,$EP$1,'Existing Customers'!$H:$H,$EO16)*$EP$4,$EP16/$FB16),0)</f>
        <v>0</v>
      </c>
      <c r="ET16" s="94">
        <f>IFERROR(IF(AND($EP$2&lt;&gt;"Enter Spend&gt;&gt;&gt;",EQ2="EXISTING"),SUMIFS('Existing Customers'!$V:$V,'Existing Customers'!$H:$H,$EO16,'Existing Customers'!$A:$A,$EP$1)*$EP$4,0),0)</f>
        <v>0</v>
      </c>
      <c r="EU16" s="94">
        <f>IFERROR(IF(AND($EP$2&lt;&gt;"Enter Spend&gt;&gt;&gt;",EQ2="EXISTING"),SUMIFS('Existing Customers'!$R:$R,'Existing Customers'!$H:$H,$EO16,'Existing Customers'!$A:$A,$EP$1)*$EP$4,0),0)</f>
        <v>0</v>
      </c>
      <c r="EV16" s="1050">
        <f>IFERROR(IF(AND($EP$2&lt;&gt;"Enter Spend&gt;&gt;&gt;",EQ2="EXISTING"),SUMIFS('Existing Customers'!$S:$S,'Existing Customers'!$H:$H,$EO16,'Existing Customers'!$A:$A,$EP$1),FF16*EP16),0)</f>
        <v>0</v>
      </c>
      <c r="EW16" s="1050">
        <f>IFERROR(IF(AND($EP$2&lt;&gt;"Enter Spend&gt;&gt;&gt;",EQ2="EXISTING"),SUMIFS('Existing Customers'!$U:$U,'Existing Customers'!$H:$H,$EO16,'Existing Customers'!$A:$A,$EP$1),FG16*EP16),0)</f>
        <v>0</v>
      </c>
      <c r="EX16" s="1053" t="e">
        <f>_xlfn.CONCAT('Customer Inputs'!$AG$10,"_",EO16)</f>
        <v>#N/A</v>
      </c>
      <c r="EY16" s="1053">
        <f t="array" ref="EY16">IFERROR(INDEX('Margin Guidence Table'!$A$1:$AG$10000,MATCH(1,('Margin Guidence Table'!$A$1:$A$10000=EX16)*('Margin Guidence Table'!$I$1:$I$10000&lt;=ROUND($EP$3,0))*('Margin Guidence Table'!$J$1:$J$10000&gt;=ROUND($EP$3,0)),0),MATCH("DATA_POINTS",'Margin Guidence Table'!$A$1:$AG$1,0)),0)</f>
        <v>0</v>
      </c>
      <c r="EZ16" s="1050" t="str">
        <f t="shared" si="35"/>
        <v>DEFAULT</v>
      </c>
      <c r="FA16" s="1050">
        <f t="array" ref="FA16">IFERROR(IF($EZ16="SEGMENT",INDEX('Margin Guidence Table'!$A$1:$AG$10000,MATCH(1,('Margin Guidence Table'!$A$1:$A$10000=EX16)*('Margin Guidence Table'!$I$1:$I$10000&lt;=ROUND($EP$3,0))*('Margin Guidence Table'!$J$1:$J$10000&gt;=ROUND($EP$3,0)),0),MATCH("SALES_CASE",'Margin Guidence Table'!$A$1:$AG$1,0)),INDEX('Margin Guidence Table'!$A$1:$AG$10000,MATCH(1,('Margin Guidence Table'!$A$1:$A$10000=EX16)*('Margin Guidence Table'!$I$1:$I$10000&lt;=ROUND($EP$3,0))*('Margin Guidence Table'!$J$1:$J$10000&gt;=ROUND($EP$3,0)),0),MATCH("DEFAULT_SALES_CASE",'Margin Guidence Table'!$A$1:$AG$1,0))),0)</f>
        <v>0</v>
      </c>
      <c r="FB16" s="1050" cm="1">
        <f t="array" ref="FB16">IFERROR(IF($EZ16="SEGMENT",INDEX('Margin Guidence Table'!$A$1:$AG$10000,MATCH(1,('Margin Guidence Table'!$A$1:$A$10000=EX16)*('Margin Guidence Table'!$I$1:$I$10000&lt;=ROUND($EP$3,0))*('Margin Guidence Table'!$J$1:$J$10000&gt;=ROUND($EP$3,0)),0),MATCH("SALES_LBS",'Margin Guidence Table'!$A$1:$AG$1,0)),INDEX('Margin Guidence Table'!$A$1:$AG$10000,MATCH(1,('Margin Guidence Table'!$A$1:$A$10000=EX16)*('Margin Guidence Table'!$I$1:$I$10000&lt;=ROUND($EP$3,0))*('Margin Guidence Table'!$J$1:$J$10000&gt;=ROUND($EP$3,0)),0),MATCH("DEFAULT_SALES_LBS",'Margin Guidence Table'!$A$1:$AG$1,0))),0)</f>
        <v>0</v>
      </c>
      <c r="FC16" s="1054">
        <f t="array" ref="FC16">IFERROR(IF($EZ16="SEGMENT",INDEX('Margin Guidence Table'!$A$1:$AG$10000,MATCH(1,('Margin Guidence Table'!$A$1:$A$10000=EX16)*('Margin Guidence Table'!$I$1:$I$10000&lt;=ROUND($EP$3,0))*('Margin Guidence Table'!$J$1:$J$10000&gt;=ROUND($EP$3,0)),0),MATCH("MDA_MIN_MARGIN_GUIDENCE",'Margin Guidence Table'!$A$1:$AG$1,0)),INDEX('Margin Guidence Table'!$A$1:$AG$10000,MATCH(1,('Margin Guidence Table'!$A$1:$A$10000=EX16)*('Margin Guidence Table'!$I$1:$I$10000&lt;=ROUND($EP$3,0))*('Margin Guidence Table'!$J$1:$J$10000&gt;=ROUND($EP$3,0)),0),MATCH("DEFAULT_MDA_MIN_MARGIN_GUIDENCE",'Margin Guidence Table'!$A$1:$AG$1,0))),0)</f>
        <v>0</v>
      </c>
      <c r="FD16" s="1054">
        <f t="array" ref="FD16">IFERROR(IF($EZ16="SEGMENT",INDEX('Margin Guidence Table'!$A$1:$AG$10000,MATCH(1,('Margin Guidence Table'!$A$1:$A$10000=EX16)*('Margin Guidence Table'!$I$1:$I$10000&lt;=ROUND($EP$3,0))*('Margin Guidence Table'!$J$1:$J$10000&gt;=ROUND($EP$3,0)),0),MATCH("MDA_MEDIAN_MARGIN_GUIDENCE",'Margin Guidence Table'!$A$1:$AG$1,0)),INDEX('Margin Guidence Table'!$A$1:$AG$10000,MATCH(1,('Margin Guidence Table'!$A$1:$A$10000=EX16)*('Margin Guidence Table'!$I$1:$I$10000&lt;=ROUND($EP$3,0))*('Margin Guidence Table'!$J$1:$J$10000&gt;=ROUND($EP$3,0)),0),MATCH("DEFAULT_MDA_MEDIAN_MARGIN_GUIDENCE",'Margin Guidence Table'!$A$1:$AG$1,0))),0)</f>
        <v>0</v>
      </c>
      <c r="FE16" s="1054">
        <f t="array" ref="FE16">IFERROR(IF($EZ16="SEGMENT",INDEX('Margin Guidence Table'!$A$1:$AG$10000,MATCH(1,('Margin Guidence Table'!$A$1:$A$10000=EX16)*('Margin Guidence Table'!$I$1:$I$10000&lt;=ROUND($EP$3,0))*('Margin Guidence Table'!$J$1:$J$10000&gt;=ROUND($EP$3,0)),0),MATCH("MDA_MAX_MARGIN_GUIDENCE",'Margin Guidence Table'!$A$1:$AG$1,0)),INDEX('Margin Guidence Table'!$A$1:$AG$10000,MATCH(1,('Margin Guidence Table'!$A$1:$A$10000=EX16)*('Margin Guidence Table'!$I$1:$I$10000&lt;=ROUND($EP$3,0))*('Margin Guidence Table'!$J$1:$J$10000&gt;=ROUND($EP$3,0)),0),MATCH("DEFAULT_MDA_MAX_MARGIN_GUIDENCE",'Margin Guidence Table'!$A$1:$AG$1,0))),0)</f>
        <v>0</v>
      </c>
      <c r="FF16" s="1054">
        <f t="array" ref="FF16">IFERROR(IF($EZ16="SEGMENT",INDEX('Margin Guidence Table'!$A$1:$AG$10000,MATCH(1,('Margin Guidence Table'!$A$1:$A$10000=EX16)*('Margin Guidence Table'!$I$1:$I$10000&lt;=ROUND($EP$3,0))*('Margin Guidence Table'!$J$1:$J$10000&gt;=ROUND($EP$3,0)),0),MATCH("PA_PCT_SALES",'Margin Guidence Table'!$A$1:$AG$1,0)),INDEX('Margin Guidence Table'!$A$1:$AG$10000,MATCH(1,('Margin Guidence Table'!$A$1:$A$10000=EX16)*('Margin Guidence Table'!$I$1:$I$10000&lt;=ROUND($EP$3,0))*('Margin Guidence Table'!$J$1:$J$10000&gt;=ROUND($EP$3,0)),0),MATCH("DEFAULT_PA_PCT_SALES",'Margin Guidence Table'!$A$1:$AG$1,0))),0)</f>
        <v>0</v>
      </c>
      <c r="FG16" s="1054">
        <f t="array" ref="FG16">IFERROR(IF($EZ16="SEGMENT",INDEX('Margin Guidence Table'!$A$1:$AG$10000,MATCH(1,('Margin Guidence Table'!$A$1:$A$10000=EX16)*('Margin Guidence Table'!$I$1:$I$10000&lt;=ROUND($EP$3,0))*('Margin Guidence Table'!$J$1:$J$10000&gt;=ROUND($EP$3,0)),0),MATCH("SELF_FUND_PCT_SALES",'Margin Guidence Table'!$A$1:$AG$1,0)),INDEX('Margin Guidence Table'!$A$1:$AG$10000,MATCH(1,('Margin Guidence Table'!$A$1:$A$10000=EX16)*('Margin Guidence Table'!$I$1:$I$10000&lt;=ROUND($EP$3,0))*('Margin Guidence Table'!$J$1:$J$10000&gt;=ROUND($EP$3,0)),0),MATCH("DEFAULT_SELF_FUND_PCT_SALES",'Margin Guidence Table'!$A$1:$AG$1,0))),0)</f>
        <v>0</v>
      </c>
      <c r="FH16" s="1054">
        <f t="array" ref="FH16">IFERROR(IF($EZ16="SEGMENT",INDEX('Margin Guidence Table'!$A$1:$AG$10000,MATCH(1,('Margin Guidence Table'!$A$1:$A$10000=EX16)*('Margin Guidence Table'!$I$1:$I$10000&lt;=ROUND($EP$3,0))*('Margin Guidence Table'!$J$1:$J$10000&gt;=ROUND($EP$3,0)),0),MATCH("CIA_MEDIAN_MARGIN_GUIDENCE",'Margin Guidence Table'!$A$1:$AG$1,0)),INDEX('Margin Guidence Table'!$A$1:$AG$10000,MATCH(1,('Margin Guidence Table'!$A$1:$A$10000=EX16)*('Margin Guidence Table'!$I$1:$I$10000&lt;=ROUND($EP$3,0))*('Margin Guidence Table'!$J$1:$J$10000&gt;=ROUND($EP$3,0)),0),MATCH("DEFAULT_CIA_MEDIAN_MARGIN_GUIDENCE",'Margin Guidence Table'!$A$1:$AG$1,0))),0)</f>
        <v>0</v>
      </c>
      <c r="FI16" s="127"/>
      <c r="FJ16" s="18">
        <f t="array" ref="FJ16">IFERROR(IF($FW16="SEGMENT",INDEX('Margin Guidence Table'!$A$1:$AG$10000,MATCH(1,('Margin Guidence Table'!$A$1:$A$10000=$FU16)*('Margin Guidence Table'!$I$1:$I$10000&lt;=ROUND($FM$3,0))*('Margin Guidence Table'!$J$1:$J$10000&gt;=ROUND($FM$3,0)),0),MATCH("PCT_SALES",'Margin Guidence Table'!$A$1:$AG$1,0)),INDEX('Margin Guidence Table'!$A$1:$AG$10000,MATCH(1,('Margin Guidence Table'!$A$1:$A$10000=$FU16)*('Margin Guidence Table'!$I$1:$I$10000&lt;=ROUND($FM$3,0))*('Margin Guidence Table'!$J$1:$J$10000&gt;=ROUND($FM$3,0)),0),MATCH("DEFAULT_PCT_SALES",'Margin Guidence Table'!$A$1:$AG$1,0))),0)</f>
        <v>0</v>
      </c>
      <c r="FK16" s="370" t="e">
        <f t="shared" si="36"/>
        <v>#DIV/0!</v>
      </c>
      <c r="FL16" s="100" t="s">
        <v>1399</v>
      </c>
      <c r="FM16" s="92">
        <f>IFERROR(IF(AND($FM$2&lt;&gt;"Enter Spend&gt;&gt;&gt;",FN4="EXISTING"),SUMIFS('Existing Customers'!$Q:$Q,'Existing Customers'!$A:$A,$FM$1,'Existing Customers'!$H:$H,$FL16)*$FM$4,$FM$3*$FK16),0)</f>
        <v>0</v>
      </c>
      <c r="FN16" s="87">
        <f>IFERROR(IF(AND($FM$2&lt;&gt;"Enter Spend&gt;&gt;&gt;",FN2="EXISTING"),SUMIFS('Existing Customers'!$N:$N,'Existing Customers'!$A:$A,$FM$1,'Existing Customers'!$H:$H,$FL16)*$FM$4,$FM16/$FX16),0)</f>
        <v>0</v>
      </c>
      <c r="FO16" s="93">
        <f>IFERROR(IF(AND($FM$2&lt;&gt;"Enter Spend&gt;&gt;&gt;",FN2="EXISTING"),SUMIFS('Existing Customers'!$O:$O,'Existing Customers'!$H:$H,$FL16,'Existing Customers'!$A:$A,$FM$1)*$FM$4,$FN16*$FM$8),0)</f>
        <v>0</v>
      </c>
      <c r="FP16" s="93">
        <f>IFERROR(IF(AND($FM$2&lt;&gt;"Enter Spend&gt;&gt;&gt;",FN2="EXISTING"),SUMIFS('Existing Customers'!$P:$P,'Existing Customers'!$A:$A,$FM$1,'Existing Customers'!$H:$H,$FL16)*$FM$4,$FM16/$FY16),0)</f>
        <v>0</v>
      </c>
      <c r="FQ16" s="94">
        <f>IFERROR(IF(AND($FM$2&lt;&gt;"Enter Spend&gt;&gt;&gt;",FN2="EXISTING"),SUMIFS('Existing Customers'!$V:$V,'Existing Customers'!$H:$H,$FL16,'Existing Customers'!$A:$A,$FM$1)*$FM$4,0),0)</f>
        <v>0</v>
      </c>
      <c r="FR16" s="94">
        <f>IFERROR(IF(AND($FM$2&lt;&gt;"Enter Spend&gt;&gt;&gt;",FN2="EXISTING"),SUMIFS('Existing Customers'!$R:$R,'Existing Customers'!$H:$H,$FL16,'Existing Customers'!$A:$A,$FM$1)*$FM$4,0),0)</f>
        <v>0</v>
      </c>
      <c r="FS16" s="1050">
        <f>IFERROR(IF(AND($FM$2&lt;&gt;"Enter Spend&gt;&gt;&gt;",FN2="EXISTING"),SUMIFS('Existing Customers'!$S:$S,'Existing Customers'!$H:$H,$FL16,'Existing Customers'!$A:$A,$FM$1),GC16*FM16),0)</f>
        <v>0</v>
      </c>
      <c r="FT16" s="1050">
        <f>IFERROR(IF(AND($FM$2&lt;&gt;"Enter Spend&gt;&gt;&gt;",FN2="EXISTING"),SUMIFS('Existing Customers'!$U:$U,'Existing Customers'!$H:$H,$FL16,'Existing Customers'!$A:$A,$FM$1),GD16*FM16),0)</f>
        <v>0</v>
      </c>
      <c r="FU16" s="1053" t="e">
        <f>_xlfn.CONCAT('Customer Inputs'!$AG$11,"_",FL16)</f>
        <v>#N/A</v>
      </c>
      <c r="FV16" s="1053">
        <f t="array" ref="FV16">IFERROR(INDEX('Margin Guidence Table'!$A$1:$AG$10000,MATCH(1,('Margin Guidence Table'!$A$1:$A$10000=FU16)*('Margin Guidence Table'!$I$1:$I$10000&lt;=ROUND($FM$3,0))*('Margin Guidence Table'!$J$1:$J$10000&gt;=ROUND($FM$3,0)),0),MATCH("DATA_POINTS",'Margin Guidence Table'!$A$1:$AG$1,0)),0)</f>
        <v>0</v>
      </c>
      <c r="FW16" s="1050" t="str">
        <f t="shared" si="37"/>
        <v>DEFAULT</v>
      </c>
      <c r="FX16" s="1050">
        <f t="array" ref="FX16">IFERROR(IF($FW16="SEGMENT",INDEX('Margin Guidence Table'!$A$1:$AG$10000,MATCH(1,('Margin Guidence Table'!$A$1:$A$10000=FU16)*('Margin Guidence Table'!$I$1:$I$10000&lt;=ROUND($FM$3,0))*('Margin Guidence Table'!$J$1:$J$10000&gt;=ROUND($FM$3,0)),0),MATCH("SALES_CASE",'Margin Guidence Table'!$A$1:$AG$1,0)),INDEX('Margin Guidence Table'!$A$1:$AG$10000,MATCH(1,('Margin Guidence Table'!$A$1:$A$10000=FU16)*('Margin Guidence Table'!$I$1:$I$10000&lt;=ROUND($FM$3,0))*('Margin Guidence Table'!$J$1:$J$10000&gt;=ROUND($FM$3,0)),0),MATCH("DEFAULT_SALES_CASE",'Margin Guidence Table'!$A$1:$AG$1,0))),0)</f>
        <v>0</v>
      </c>
      <c r="FY16" s="1050">
        <f t="array" ref="FY16">IFERROR(IF($FW16="SEGMENT",INDEX('Margin Guidence Table'!$A$1:$AG$10000,MATCH(1,('Margin Guidence Table'!$A$1:$A$10000=FU16)*('Margin Guidence Table'!$I$1:$I$10000&lt;=ROUND($FM$3,0))*('Margin Guidence Table'!$J$1:$J$10000&gt;=ROUND($FM$3,0)),0),MATCH("SALES_LBS",'Margin Guidence Table'!$A$1:$AG$1,0)),INDEX('Margin Guidence Table'!$A$1:$AG$10000,MATCH(1,('Margin Guidence Table'!$A$1:$A$10000=FU16)*('Margin Guidence Table'!$I$1:$I$10000&lt;=ROUND($FM$3,0))*('Margin Guidence Table'!$J$1:$J$10000&gt;=ROUND($FM$3,0)),0),MATCH("DEFAULT_SALES_LBS",'Margin Guidence Table'!$A$1:$AG$1,0))),0)</f>
        <v>0</v>
      </c>
      <c r="FZ16" s="1054">
        <f t="array" ref="FZ16">IFERROR(IF($FW16="SEGMENT",INDEX('Margin Guidence Table'!$A$1:$AG$10000,MATCH(1,('Margin Guidence Table'!$A$1:$A$10000=FU16)*('Margin Guidence Table'!$I$1:$I$10000&lt;=ROUND($FM$3,0))*('Margin Guidence Table'!$J$1:$J$10000&gt;=ROUND($FM$3,0)),0),MATCH("MDA_MIN_MARGIN_GUIDENCE",'Margin Guidence Table'!$A$1:$AG$1,0)),INDEX('Margin Guidence Table'!$A$1:$AG$10000,MATCH(1,('Margin Guidence Table'!$A$1:$A$10000=FU16)*('Margin Guidence Table'!$I$1:$I$10000&lt;=ROUND($FM$3,0))*('Margin Guidence Table'!$J$1:$J$10000&gt;=ROUND($FM$3,0)),0),MATCH("DEFAULT_MDA_MIN_MARGIN_GUIDENCE",'Margin Guidence Table'!$A$1:$AG$1,0))),0)</f>
        <v>0</v>
      </c>
      <c r="GA16" s="1054">
        <f t="array" ref="GA16">IFERROR(IF($FW16="SEGMENT",INDEX('Margin Guidence Table'!$A$1:$AG$10000,MATCH(1,('Margin Guidence Table'!$A$1:$A$10000=FU16)*('Margin Guidence Table'!$I$1:$I$10000&lt;=ROUND($FM$3,0))*('Margin Guidence Table'!$J$1:$J$10000&gt;=ROUND($FM$3,0)),0),MATCH("MDA_MEDIAN_MARGIN_GUIDENCE",'Margin Guidence Table'!$A$1:$AG$1,0)),INDEX('Margin Guidence Table'!$A$1:$AG$10000,MATCH(1,('Margin Guidence Table'!$A$1:$A$10000=FU16)*('Margin Guidence Table'!$I$1:$I$10000&lt;=ROUND($FM$3,0))*('Margin Guidence Table'!$J$1:$J$10000&gt;=ROUND($FM$3,0)),0),MATCH("DEFAULT_MDA_MEDIAN_MARGIN_GUIDENCE",'Margin Guidence Table'!$A$1:$AG$1,0))),0)</f>
        <v>0</v>
      </c>
      <c r="GB16" s="1054">
        <f t="array" ref="GB16">IFERROR(IF($FW16="SEGMENT",INDEX('Margin Guidence Table'!$A$1:$AG$10000,MATCH(1,('Margin Guidence Table'!$A$1:$A$10000=FU16)*('Margin Guidence Table'!$I$1:$I$10000&lt;=ROUND($FM$3,0))*('Margin Guidence Table'!$J$1:$J$10000&gt;=ROUND($FM$3,0)),0),MATCH("MDA_MAX_MARGIN_GUIDENCE",'Margin Guidence Table'!$A$1:$AG$1,0)),INDEX('Margin Guidence Table'!$A$1:$AG$10000,MATCH(1,('Margin Guidence Table'!$A$1:$A$10000=FU16)*('Margin Guidence Table'!$I$1:$I$10000&lt;=ROUND($FM$3,0))*('Margin Guidence Table'!$J$1:$J$10000&gt;=ROUND($FM$3,0)),0),MATCH("DEFAULT_MDA_MAX_MARGIN_GUIDENCE",'Margin Guidence Table'!$A$1:$AG$1,0))),0)</f>
        <v>0</v>
      </c>
      <c r="GC16" s="1054">
        <f t="array" ref="GC16">IFERROR(IF($FW16="SEGMENT",INDEX('Margin Guidence Table'!$A$1:$AG$10000,MATCH(1,('Margin Guidence Table'!$A$1:$A$10000=FU16)*('Margin Guidence Table'!$I$1:$I$10000&lt;=ROUND($FM$3,0))*('Margin Guidence Table'!$J$1:$J$10000&gt;=ROUND($FM$3,0)),0),MATCH("PA_PCT_SALES",'Margin Guidence Table'!$A$1:$AG$1,0)),INDEX('Margin Guidence Table'!$A$1:$AG$10000,MATCH(1,('Margin Guidence Table'!$A$1:$A$10000=FU16)*('Margin Guidence Table'!$I$1:$I$10000&lt;=ROUND($FM$3,0))*('Margin Guidence Table'!$J$1:$J$10000&gt;=ROUND($FM$3,0)),0),MATCH("DEFAULT_PA_PCT_SALES",'Margin Guidence Table'!$A$1:$AG$1,0))),0)</f>
        <v>0</v>
      </c>
      <c r="GD16" s="1054">
        <f t="array" ref="GD16">IFERROR(IF($FW16="SEGMENT",INDEX('Margin Guidence Table'!$A$1:$AG$10000,MATCH(1,('Margin Guidence Table'!$A$1:$A$10000=FU16)*('Margin Guidence Table'!$I$1:$I$10000&lt;=ROUND($FM$3,0))*('Margin Guidence Table'!$J$1:$J$10000&gt;=ROUND($FM$3,0)),0),MATCH("SELF_FUND_PCT_SALES",'Margin Guidence Table'!$A$1:$AG$1,0)),INDEX('Margin Guidence Table'!$A$1:$AG$10000,MATCH(1,('Margin Guidence Table'!$A$1:$A$10000=FU16)*('Margin Guidence Table'!$I$1:$I$10000&lt;=ROUND($FM$3,0))*('Margin Guidence Table'!$J$1:$J$10000&gt;=ROUND($FM$3,0)),0),MATCH("DEFAULT_SELF_FUND_PCT_SALES",'Margin Guidence Table'!$A$1:$AG$1,0))),0)</f>
        <v>0</v>
      </c>
      <c r="GE16" s="1054">
        <f t="array" ref="GE16">IFERROR(IF($FW16="SEGMENT",INDEX('Margin Guidence Table'!$A$1:$AG$10000,MATCH(1,('Margin Guidence Table'!$A$1:$A$10000=FU16)*('Margin Guidence Table'!$I$1:$I$10000&lt;=ROUND($FM$3,0))*('Margin Guidence Table'!$J$1:$J$10000&gt;=ROUND($FM$3,0)),0),MATCH("CIA_MEDIAN_MARGIN_GUIDENCE",'Margin Guidence Table'!$A$1:$AG$1,0)),INDEX('Margin Guidence Table'!$A$1:$AG$10000,MATCH(1,('Margin Guidence Table'!$A$1:$A$10000=FU16)*('Margin Guidence Table'!$I$1:$I$10000&lt;=ROUND($FM$3,0))*('Margin Guidence Table'!$J$1:$J$10000&gt;=ROUND($FM$3,0)),0),MATCH("DEFAULT_CIA_MEDIAN_MARGIN_GUIDENCE",'Margin Guidence Table'!$A$1:$AG$1,0))),0)</f>
        <v>0</v>
      </c>
      <c r="GF16" s="127"/>
      <c r="GG16" s="18">
        <f t="array" ref="GG16">IFERROR(IF($GT16="SEGMENT",INDEX('Margin Guidence Table'!$A$1:$AG$10000,MATCH(1,('Margin Guidence Table'!$A$1:$A$10000=$GR16)*('Margin Guidence Table'!$I$1:$I$10000&lt;=ROUND($GJ$3,0))*('Margin Guidence Table'!$J$1:$J$10000&gt;=ROUND($GJ$3,0)),0),MATCH("PCT_SALES",'Margin Guidence Table'!$A$1:$AG$1,0)),INDEX('Margin Guidence Table'!$A$1:$AG$10000,MATCH(1,('Margin Guidence Table'!$A$1:$A$10000=$GR16)*('Margin Guidence Table'!$I$1:$I$10000&lt;=ROUND($GJ$3,0))*('Margin Guidence Table'!$J$1:$J$10000&gt;=ROUND($GJ$3,0)),0),MATCH("DEFAULT_PCT_SALES",'Margin Guidence Table'!$A$1:$AG$1,0))),0)</f>
        <v>0</v>
      </c>
      <c r="GH16" s="370" t="e">
        <f t="shared" si="38"/>
        <v>#DIV/0!</v>
      </c>
      <c r="GI16" s="100" t="s">
        <v>1399</v>
      </c>
      <c r="GJ16" s="92">
        <f>IFERROR(IF(AND($GJ$2&lt;&gt;"Enter Spend&gt;&gt;&gt;",GK4="EXISTING"),SUMIFS('Existing Customers'!$Q:$Q,'Existing Customers'!$A:$A,$GJ$1,'Existing Customers'!$H:$H,$GI16)*$GJ$4,$GJ$3*$GH16),0)</f>
        <v>0</v>
      </c>
      <c r="GK16" s="87">
        <f>IFERROR(IF(AND($GJ$2&lt;&gt;"Enter Spend&gt;&gt;&gt;",GK2="EXISTING"),SUMIFS('Existing Customers'!$N:$N,'Existing Customers'!$A:$A,$GJ$1,'Existing Customers'!$H:$H,$GI16)*$GJ$4,$GJ16/$GU16),0)</f>
        <v>0</v>
      </c>
      <c r="GL16" s="93">
        <f>IFERROR(IF(AND($GJ$2&lt;&gt;"Enter Spend&gt;&gt;&gt;",GK2="EXISTING"),SUMIFS('Existing Customers'!$O:$O,'Existing Customers'!$H:$H,$GI16,'Existing Customers'!$A:$A,$GJ$1)*$GJ$4,$GK16*$GJ$8),0)</f>
        <v>0</v>
      </c>
      <c r="GM16" s="93">
        <f>IFERROR(IF(AND($GJ$2&lt;&gt;"Enter Spend&gt;&gt;&gt;",GK2="EXISTING"),SUMIFS('Existing Customers'!$P:$P,'Existing Customers'!$A:$A,$GJ$1,'Existing Customers'!$H:$H,$GI16)*$GJ$4,$GJ16/$GV16),0)</f>
        <v>0</v>
      </c>
      <c r="GN16" s="94">
        <f>IFERROR(IF(AND($GJ$2&lt;&gt;"Enter Spend&gt;&gt;&gt;",GK2="EXISTING"),SUMIFS('Existing Customers'!$V:$V,'Existing Customers'!$H:$H,$GI16,'Existing Customers'!$A:$A,$GJ$1)*$GJ$4,0),0)</f>
        <v>0</v>
      </c>
      <c r="GO16" s="94">
        <f>IFERROR(IF(AND($GJ$2&lt;&gt;"Enter Spend&gt;&gt;&gt;",GK2="EXISTING"),SUMIFS('Existing Customers'!$R:$R,'Existing Customers'!$H:$H,$GI16,'Existing Customers'!$A:$A,$GJ$1)*$GJ$4,0),0)</f>
        <v>0</v>
      </c>
      <c r="GP16" s="1050">
        <f>IFERROR(IF(AND($GJ$2&lt;&gt;"Enter Spend&gt;&gt;&gt;",GK2="EXISTING"),SUMIFS('Existing Customers'!$S:$S,'Existing Customers'!$H:$H,$GI16,'Existing Customers'!$A:$A,$GJ$1),GZ16*GJ16),0)</f>
        <v>0</v>
      </c>
      <c r="GQ16" s="1050">
        <f>IFERROR(IF(AND($GJ$2&lt;&gt;"Enter Spend&gt;&gt;&gt;",GK2="EXISTING"),SUMIFS('Existing Customers'!$U:$U,'Existing Customers'!$H:$H,$GI16,'Existing Customers'!$A:$A,$GJ$1),HA16*GJ16),0)</f>
        <v>0</v>
      </c>
      <c r="GR16" s="1053" t="e">
        <f>_xlfn.CONCAT('Customer Inputs'!$AG$12,"_",GI16)</f>
        <v>#N/A</v>
      </c>
      <c r="GS16" s="1053">
        <f t="array" ref="GS16">IFERROR(INDEX('Margin Guidence Table'!$A$1:$AG$10000,MATCH(1,('Margin Guidence Table'!$A$1:$A$10000=GR16)*('Margin Guidence Table'!$I$1:$I$10000&lt;=ROUND($GJ$3,0))*('Margin Guidence Table'!$J$1:$J$10000&gt;=ROUND($GJ$3,0)),0),MATCH("DATA_POINTS",'Margin Guidence Table'!$A$1:$AG$1,0)),0)</f>
        <v>0</v>
      </c>
      <c r="GT16" s="1050" t="str">
        <f t="shared" si="39"/>
        <v>DEFAULT</v>
      </c>
      <c r="GU16" s="1050">
        <f t="array" ref="GU16">IFERROR(IF($GT16="SEGMENT",INDEX('Margin Guidence Table'!$A$1:$AG$10000,MATCH(1,('Margin Guidence Table'!$A$1:$A$10000=GR16)*('Margin Guidence Table'!$I$1:$I$10000&lt;=ROUND($GJ$3,0))*('Margin Guidence Table'!$J$1:$J$10000&gt;=ROUND($GJ$3,0)),0),MATCH("SALES_CASE",'Margin Guidence Table'!$A$1:$AG$1,0)),INDEX('Margin Guidence Table'!$A$1:$AG$10000,MATCH(1,('Margin Guidence Table'!$A$1:$A$10000=GR16)*('Margin Guidence Table'!$I$1:$I$10000&lt;=ROUND($GJ$3,0))*('Margin Guidence Table'!$J$1:$J$10000&gt;=ROUND($GJ$3,0)),0),MATCH("DEFAULT_SALES_CASE",'Margin Guidence Table'!$A$1:$AG$1,0))),0)</f>
        <v>0</v>
      </c>
      <c r="GV16" s="1050">
        <f t="array" ref="GV16">IFERROR(IF($GT16="SEGMENT",INDEX('Margin Guidence Table'!$A$1:$AG$10000,MATCH(1,('Margin Guidence Table'!$A$1:$A$10000=GR16)*('Margin Guidence Table'!$I$1:$I$10000&lt;=ROUND($GJ$3,0))*('Margin Guidence Table'!$J$1:$J$10000&gt;=ROUND($GJ$3,0)),0),MATCH("SALES_LBS",'Margin Guidence Table'!$A$1:$AG$1,0)),INDEX('Margin Guidence Table'!$A$1:$AG$10000,MATCH(1,('Margin Guidence Table'!$A$1:$A$10000=GR16)*('Margin Guidence Table'!$I$1:$I$10000&lt;=ROUND($GJ$3,0))*('Margin Guidence Table'!$J$1:$J$10000&gt;=ROUND($GJ$3,0)),0),MATCH("DEFAULT_SALES_LBS",'Margin Guidence Table'!$A$1:$AG$1,0))),0)</f>
        <v>0</v>
      </c>
      <c r="GW16" s="1054">
        <f t="array" ref="GW16">IFERROR(IF($GT16="SEGMENT",INDEX('Margin Guidence Table'!$A$1:$AG$10000,MATCH(1,('Margin Guidence Table'!$A$1:$A$10000=GR16)*('Margin Guidence Table'!$I$1:$I$10000&lt;=ROUND($GJ$3,0))*('Margin Guidence Table'!$J$1:$J$10000&gt;=ROUND($GJ$3,0)),0),MATCH("MDA_MIN_MARGIN_GUIDENCE",'Margin Guidence Table'!$A$1:$AG$1,0)),INDEX('Margin Guidence Table'!$A$1:$AG$10000,MATCH(1,('Margin Guidence Table'!$A$1:$A$10000=GR16)*('Margin Guidence Table'!$I$1:$I$10000&lt;=ROUND($GJ$3,0))*('Margin Guidence Table'!$J$1:$J$10000&gt;=ROUND($GJ$3,0)),0),MATCH("DEFAULT_MDA_MIN_MARGIN_GUIDENCE",'Margin Guidence Table'!$A$1:$AG$1,0))),0)</f>
        <v>0</v>
      </c>
      <c r="GX16" s="1054">
        <f t="array" ref="GX16">IFERROR(IF($GT16="SEGMENT",INDEX('Margin Guidence Table'!$A$1:$AG$10000,MATCH(1,('Margin Guidence Table'!$A$1:$A$10000=GR16)*('Margin Guidence Table'!$I$1:$I$10000&lt;=ROUND($GJ$3,0))*('Margin Guidence Table'!$J$1:$J$10000&gt;=ROUND($GJ$3,0)),0),MATCH("MDA_MEDIAN_MARGIN_GUIDENCE",'Margin Guidence Table'!$A$1:$AG$1,0)),INDEX('Margin Guidence Table'!$A$1:$AG$10000,MATCH(1,('Margin Guidence Table'!$A$1:$A$10000=GR16)*('Margin Guidence Table'!$I$1:$I$10000&lt;=ROUND($GJ$3,0))*('Margin Guidence Table'!$J$1:$J$10000&gt;=ROUND($GJ$3,0)),0),MATCH("DEFAULT_MDA_MEDIAN_MARGIN_GUIDENCE",'Margin Guidence Table'!$A$1:$AG$1,0))),0)</f>
        <v>0</v>
      </c>
      <c r="GY16" s="1054">
        <f t="array" ref="GY16">IFERROR(IF($GT16="SEGMENT",INDEX('Margin Guidence Table'!$A$1:$AG$10000,MATCH(1,('Margin Guidence Table'!$A$1:$A$10000=GR16)*('Margin Guidence Table'!$I$1:$I$10000&lt;=ROUND($GJ$3,0))*('Margin Guidence Table'!$J$1:$J$10000&gt;=ROUND($GJ$3,0)),0),MATCH("MDA_MAX_MARGIN_GUIDENCE",'Margin Guidence Table'!$A$1:$AG$1,0)),INDEX('Margin Guidence Table'!$A$1:$AG$10000,MATCH(1,('Margin Guidence Table'!$A$1:$A$10000=GR16)*('Margin Guidence Table'!$I$1:$I$10000&lt;=ROUND($GJ$3,0))*('Margin Guidence Table'!$J$1:$J$10000&gt;=ROUND($GJ$3,0)),0),MATCH("DEFAULT_MDA_MAX_MARGIN_GUIDENCE",'Margin Guidence Table'!$A$1:$AG$1,0))),0)</f>
        <v>0</v>
      </c>
      <c r="GZ16" s="1054">
        <f t="array" ref="GZ16">IFERROR(IF($GT16="SEGMENT",INDEX('Margin Guidence Table'!$A$1:$AG$10000,MATCH(1,('Margin Guidence Table'!$A$1:$A$10000=GR16)*('Margin Guidence Table'!$I$1:$I$10000&lt;=ROUND($GJ$3,0))*('Margin Guidence Table'!$J$1:$J$10000&gt;=ROUND($GJ$3,0)),0),MATCH("PA_PCT_SALES",'Margin Guidence Table'!$A$1:$AG$1,0)),INDEX('Margin Guidence Table'!$A$1:$AG$10000,MATCH(1,('Margin Guidence Table'!$A$1:$A$10000=GR16)*('Margin Guidence Table'!$I$1:$I$10000&lt;=ROUND($GJ$3,0))*('Margin Guidence Table'!$J$1:$J$10000&gt;=ROUND($GJ$3,0)),0),MATCH("DEFAULT_PA_PCT_SALES",'Margin Guidence Table'!$A$1:$AG$1,0))),0)</f>
        <v>0</v>
      </c>
      <c r="HA16" s="1054">
        <f t="array" ref="HA16">IFERROR(IF($GT16="SEGMENT",INDEX('Margin Guidence Table'!$A$1:$AG$10000,MATCH(1,('Margin Guidence Table'!$A$1:$A$10000=GR16)*('Margin Guidence Table'!$I$1:$I$10000&lt;=ROUND($GJ$3,0))*('Margin Guidence Table'!$J$1:$J$10000&gt;=ROUND($GJ$3,0)),0),MATCH("SELF_FUND_PCT_SALES",'Margin Guidence Table'!$A$1:$AG$1,0)),INDEX('Margin Guidence Table'!$A$1:$AG$10000,MATCH(1,('Margin Guidence Table'!$A$1:$A$10000=GR16)*('Margin Guidence Table'!$I$1:$I$10000&lt;=ROUND($GJ$3,0))*('Margin Guidence Table'!$J$1:$J$10000&gt;=ROUND($GJ$3,0)),0),MATCH("DEFAULT_SELF_FUND_PCT_SALES",'Margin Guidence Table'!$A$1:$AG$1,0))),0)</f>
        <v>0</v>
      </c>
      <c r="HB16" s="1054">
        <f t="array" ref="HB16">IFERROR(IF($GT16="SEGMENT",INDEX('Margin Guidence Table'!$A$1:$AG$10000,MATCH(1,('Margin Guidence Table'!$A$1:$A$10000=GR16)*('Margin Guidence Table'!$I$1:$I$10000&lt;=ROUND($GJ$3,0))*('Margin Guidence Table'!$J$1:$J$10000&gt;=ROUND($GJ$3,0)),0),MATCH("CIA_MEDIAN_MARGIN_GUIDENCE",'Margin Guidence Table'!$A$1:$AG$1,0)),INDEX('Margin Guidence Table'!$A$1:$AG$10000,MATCH(1,('Margin Guidence Table'!$A$1:$A$10000=GR16)*('Margin Guidence Table'!$I$1:$I$10000&lt;=ROUND($GJ$3,0))*('Margin Guidence Table'!$J$1:$J$10000&gt;=ROUND($GJ$3,0)),0),MATCH("DEFAULT_CIA_MEDIAN_MARGIN_GUIDENCE",'Margin Guidence Table'!$A$1:$AG$1,0))),0)</f>
        <v>0</v>
      </c>
      <c r="HC16" s="127"/>
      <c r="HD16" s="18">
        <f t="array" ref="HD16">IFERROR(IF($HQ16="SEGMENT",INDEX('Margin Guidence Table'!$A$1:$AG$10000,MATCH(1,('Margin Guidence Table'!$A$1:$A$10000=$HO16)*('Margin Guidence Table'!$I$1:$I$10000&lt;=ROUND($HG$3,0))*('Margin Guidence Table'!$J$1:$J$10000&gt;=ROUND($HG$3,0)),0),MATCH("PCT_SALES",'Margin Guidence Table'!$A$1:$AG$1,0)),INDEX('Margin Guidence Table'!$A$1:$AG$10000,MATCH(1,('Margin Guidence Table'!$A$1:$A$10000=$HO16)*('Margin Guidence Table'!$I$1:$I$10000&lt;=ROUND($HG$3,0))*('Margin Guidence Table'!$J$1:$J$10000&gt;=ROUND($HG$3,0)),0),MATCH("DEFAULT_PCT_SALES",'Margin Guidence Table'!$A$1:$AG$1,0))),0)</f>
        <v>0</v>
      </c>
      <c r="HE16" s="370" t="e">
        <f t="shared" si="40"/>
        <v>#DIV/0!</v>
      </c>
      <c r="HF16" s="100" t="s">
        <v>1399</v>
      </c>
      <c r="HG16" s="92">
        <f>IFERROR(IF(AND($HG$2&lt;&gt;"Enter Spend&gt;&gt;&gt;",HH4="EXISTING"),SUMIFS('Existing Customers'!$Q:$Q,'Existing Customers'!$A:$A,$HG$1,'Existing Customers'!$H:$H,$HF16)*$HG$4,$HG$3*$HE16),0)</f>
        <v>0</v>
      </c>
      <c r="HH16" s="87">
        <f>IFERROR(IF(AND($HG$2&lt;&gt;"Enter Spend&gt;&gt;&gt;",HH2="EXISTING"),SUMIFS('Existing Customers'!$N:$N,'Existing Customers'!$A:$A,$HG$1,'Existing Customers'!$H:$H,$HF16)*$HG$4,$HG16/$HR16),0)</f>
        <v>0</v>
      </c>
      <c r="HI16" s="93">
        <f>IFERROR(IF(AND($HG$2&lt;&gt;"Enter Spend&gt;&gt;&gt;",HH2="EXISTING"),SUMIFS('Existing Customers'!$O:$O,'Existing Customers'!$H:$H,$HF16,'Existing Customers'!$A:$A,$HG$1)*$HG$4,$HH16*$HG$8),0)</f>
        <v>0</v>
      </c>
      <c r="HJ16" s="93">
        <f>IFERROR(IF(AND($HG$2&lt;&gt;"Enter Spend&gt;&gt;&gt;",HH2="EXISTING"),SUMIFS('Existing Customers'!$P:$P,'Existing Customers'!$A:$A,$HG$1,'Existing Customers'!$H:$H,$HF16)*$HG$4,$HG16/$HS16),0)</f>
        <v>0</v>
      </c>
      <c r="HK16" s="94">
        <f>IFERROR(IF(AND($HG$2&lt;&gt;"Enter Spend&gt;&gt;&gt;",HH2="EXISTING"),SUMIFS('Existing Customers'!$V:$V,'Existing Customers'!$H:$H,$HF16,'Existing Customers'!$A:$A,$HG$1)*$HG$4,0),0)</f>
        <v>0</v>
      </c>
      <c r="HL16" s="94">
        <f>IFERROR(IF(AND($HG$2&lt;&gt;"Enter Spend&gt;&gt;&gt;",HH2="EXISTING"),SUMIFS('Existing Customers'!$R:$R,'Existing Customers'!$H:$H,$HF16,'Existing Customers'!$A:$A,$HG$1)*$HG$4,0),0)</f>
        <v>0</v>
      </c>
      <c r="HM16" s="1050">
        <f>IFERROR(IF(AND($HG$2&lt;&gt;"Enter Spend&gt;&gt;&gt;",HH2="EXISTING"),SUMIFS('Existing Customers'!$S:$S,'Existing Customers'!$H:$H,$HF16,'Existing Customers'!$A:$A,$HG$1),HW16*HG16),0)</f>
        <v>0</v>
      </c>
      <c r="HN16" s="1050">
        <f>IFERROR(IF(AND($HG$2&lt;&gt;"Enter Spend&gt;&gt;&gt;",HH2="EXISTING"),SUMIFS('Existing Customers'!$U:$U,'Existing Customers'!$H:$H,$HF16,'Existing Customers'!$A:$A,$HG$1),HX16*HG16),0)</f>
        <v>0</v>
      </c>
      <c r="HO16" s="1053" t="e">
        <f>_xlfn.CONCAT('Customer Inputs'!$AG$13,"_",HF16)</f>
        <v>#N/A</v>
      </c>
      <c r="HP16" s="1053">
        <f t="array" ref="HP16">IFERROR(INDEX('Margin Guidence Table'!$A$1:$AG$10000,MATCH(1,('Margin Guidence Table'!$A$1:$A$10000=HO16)*('Margin Guidence Table'!$I$1:$I$10000&lt;=ROUND($HG$3,0))*('Margin Guidence Table'!$J$1:$J$10000&gt;=ROUND($HG$3,0)),0),MATCH("DATA_POINTS",'Margin Guidence Table'!$A$1:$AG$1,0)),0)</f>
        <v>0</v>
      </c>
      <c r="HQ16" s="1050" t="str">
        <f t="shared" si="41"/>
        <v>DEFAULT</v>
      </c>
      <c r="HR16" s="1050">
        <f t="array" ref="HR16">IFERROR(IF($HQ16="SEGMENT",INDEX('Margin Guidence Table'!$A$1:$AG$10000,MATCH(1,('Margin Guidence Table'!$A$1:$A$10000=HO16)*('Margin Guidence Table'!$I$1:$I$10000&lt;=ROUND($HG$3,0))*('Margin Guidence Table'!$J$1:$J$10000&gt;=ROUND($HG$3,0)),0),MATCH("SALES_CASE",'Margin Guidence Table'!$A$1:$AG$1,0)),INDEX('Margin Guidence Table'!$A$1:$AG$10000,MATCH(1,('Margin Guidence Table'!$A$1:$A$10000=HO16)*('Margin Guidence Table'!$I$1:$I$10000&lt;=ROUND($HG$3,0))*('Margin Guidence Table'!$J$1:$J$10000&gt;=ROUND($HG$3,0)),0),MATCH("DEFAULT_SALES_CASE",'Margin Guidence Table'!$A$1:$AG$1,0))),0)</f>
        <v>0</v>
      </c>
      <c r="HS16" s="1050">
        <f t="array" ref="HS16">IFERROR(IF($HQ16="SEGMENT",INDEX('Margin Guidence Table'!$A$1:$AG$10000,MATCH(1,('Margin Guidence Table'!$A$1:$A$10000=HO16)*('Margin Guidence Table'!$I$1:$I$10000&lt;=ROUND($HG$3,0))*('Margin Guidence Table'!$J$1:$J$10000&gt;=ROUND($HG$3,0)),0),MATCH("SALES_LBS",'Margin Guidence Table'!$A$1:$AG$1,0)),INDEX('Margin Guidence Table'!$A$1:$AG$10000,MATCH(1,('Margin Guidence Table'!$A$1:$A$10000=HO16)*('Margin Guidence Table'!$I$1:$I$10000&lt;=ROUND($HG$3,0))*('Margin Guidence Table'!$J$1:$J$10000&gt;=ROUND($HG$3,0)),0),MATCH("DEFAULT_SALES_LBS",'Margin Guidence Table'!$A$1:$AG$1,0))),0)</f>
        <v>0</v>
      </c>
      <c r="HT16" s="1054">
        <f t="array" ref="HT16">IFERROR(IF($HQ16="SEGMENT",INDEX('Margin Guidence Table'!$A$1:$AG$10000,MATCH(1,('Margin Guidence Table'!$A$1:$A$10000=HO16)*('Margin Guidence Table'!$I$1:$I$10000&lt;=ROUND($HG$3,0))*('Margin Guidence Table'!$J$1:$J$10000&gt;=ROUND($HG$3,0)),0),MATCH("MDA_MIN_MARGIN_GUIDENCE",'Margin Guidence Table'!$A$1:$AG$1,0)),INDEX('Margin Guidence Table'!$A$1:$AG$10000,MATCH(1,('Margin Guidence Table'!$A$1:$A$10000=HO16)*('Margin Guidence Table'!$I$1:$I$10000&lt;=ROUND($HG$3,0))*('Margin Guidence Table'!$J$1:$J$10000&gt;=ROUND($HG$3,0)),0),MATCH("DEFAULT_MDA_MIN_MARGIN_GUIDENCE",'Margin Guidence Table'!$A$1:$AG$1,0))),0)</f>
        <v>0</v>
      </c>
      <c r="HU16" s="1054">
        <f t="array" ref="HU16">IFERROR(IF($HQ16="SEGMENT",INDEX('Margin Guidence Table'!$A$1:$AG$10000,MATCH(1,('Margin Guidence Table'!$A$1:$A$10000=HO16)*('Margin Guidence Table'!$I$1:$I$10000&lt;=ROUND($HG$3,0))*('Margin Guidence Table'!$J$1:$J$10000&gt;=ROUND($HG$3,0)),0),MATCH("MDA_MEDIAN_MARGIN_GUIDENCE",'Margin Guidence Table'!$A$1:$AG$1,0)),INDEX('Margin Guidence Table'!$A$1:$AG$10000,MATCH(1,('Margin Guidence Table'!$A$1:$A$10000=HO16)*('Margin Guidence Table'!$I$1:$I$10000&lt;=ROUND($HG$3,0))*('Margin Guidence Table'!$J$1:$J$10000&gt;=ROUND($HG$3,0)),0),MATCH("DEFAULT_MDA_MEDIAN_MARGIN_GUIDENCE",'Margin Guidence Table'!$A$1:$AG$1,0))),0)</f>
        <v>0</v>
      </c>
      <c r="HV16" s="1054">
        <f t="array" ref="HV16">IFERROR(IF($HQ16="SEGMENT",INDEX('Margin Guidence Table'!$A$1:$AG$10000,MATCH(1,('Margin Guidence Table'!$A$1:$A$10000=HO16)*('Margin Guidence Table'!$I$1:$I$10000&lt;=ROUND($HG$3,0))*('Margin Guidence Table'!$J$1:$J$10000&gt;=ROUND($HG$3,0)),0),MATCH("MDA_MAX_MARGIN_GUIDENCE",'Margin Guidence Table'!$A$1:$AG$1,0)),INDEX('Margin Guidence Table'!$A$1:$AG$10000,MATCH(1,('Margin Guidence Table'!$A$1:$A$10000=HO16)*('Margin Guidence Table'!$I$1:$I$10000&lt;=ROUND($HG$3,0))*('Margin Guidence Table'!$J$1:$J$10000&gt;=ROUND($HG$3,0)),0),MATCH("DEFAULT_MDA_MAX_MARGIN_GUIDENCE",'Margin Guidence Table'!$A$1:$AG$1,0))),0)</f>
        <v>0</v>
      </c>
      <c r="HW16" s="1054">
        <f t="array" ref="HW16">IFERROR(IF($HQ16="SEGMENT",INDEX('Margin Guidence Table'!$A$1:$AG$10000,MATCH(1,('Margin Guidence Table'!$A$1:$A$10000=HO16)*('Margin Guidence Table'!$I$1:$I$10000&lt;=ROUND($HG$3,0))*('Margin Guidence Table'!$J$1:$J$10000&gt;=ROUND($HG$3,0)),0),MATCH("PA_PCT_SALES",'Margin Guidence Table'!$A$1:$AG$1,0)),INDEX('Margin Guidence Table'!$A$1:$AG$10000,MATCH(1,('Margin Guidence Table'!$A$1:$A$10000=HO16)*('Margin Guidence Table'!$I$1:$I$10000&lt;=ROUND($HG$3,0))*('Margin Guidence Table'!$J$1:$J$10000&gt;=ROUND($HG$3,0)),0),MATCH("DEFAULT_PA_PCT_SALES",'Margin Guidence Table'!$A$1:$AG$1,0))),0)</f>
        <v>0</v>
      </c>
      <c r="HX16" s="1054">
        <f t="array" ref="HX16">IFERROR(IF($HQ16="SEGMENT",INDEX('Margin Guidence Table'!$A$1:$AG$10000,MATCH(1,('Margin Guidence Table'!$A$1:$A$10000=HO16)*('Margin Guidence Table'!$I$1:$I$10000&lt;=ROUND($HG$3,0))*('Margin Guidence Table'!$J$1:$J$10000&gt;=ROUND($HG$3,0)),0),MATCH("SELF_FUND_PCT_SALES",'Margin Guidence Table'!$A$1:$AG$1,0)),INDEX('Margin Guidence Table'!$A$1:$AG$10000,MATCH(1,('Margin Guidence Table'!$A$1:$A$10000=HO16)*('Margin Guidence Table'!$I$1:$I$10000&lt;=ROUND($HG$3,0))*('Margin Guidence Table'!$J$1:$J$10000&gt;=ROUND($HG$3,0)),0),MATCH("DEFAULT_SELF_FUND_PCT_SALES",'Margin Guidence Table'!$A$1:$AG$1,0))),0)</f>
        <v>0</v>
      </c>
      <c r="HY16" s="1054">
        <f t="array" ref="HY16">IFERROR(IF($HQ16="SEGMENT",INDEX('Margin Guidence Table'!$A$1:$AG$10000,MATCH(1,('Margin Guidence Table'!$A$1:$A$10000=HO16)*('Margin Guidence Table'!$I$1:$I$10000&lt;=ROUND($HG$3,0))*('Margin Guidence Table'!$J$1:$J$10000&gt;=ROUND($HG$3,0)),0),MATCH("CIA_MEDIAN_MARGIN_GUIDENCE",'Margin Guidence Table'!$A$1:$AG$1,0)),INDEX('Margin Guidence Table'!$A$1:$AG$10000,MATCH(1,('Margin Guidence Table'!$A$1:$A$10000=HO16)*('Margin Guidence Table'!$I$1:$I$10000&lt;=ROUND($HG$3,0))*('Margin Guidence Table'!$J$1:$J$10000&gt;=ROUND($HG$3,0)),0),MATCH("DEFAULT_CIA_MEDIAN_MARGIN_GUIDENCE",'Margin Guidence Table'!$A$1:$AG$1,0))),0)</f>
        <v>0</v>
      </c>
      <c r="HZ16" s="127"/>
      <c r="IA16" s="18">
        <f t="array" ref="IA16">IFERROR(IF($IN16="SEGMENT",INDEX('Margin Guidence Table'!$A:$AC,MATCH(1,('Margin Guidence Table'!$A:$A=$IL16)*('Margin Guidence Table'!$H:$H&lt;=ROUND($ID$3,0))*('Margin Guidence Table'!$G:$G&gt;=ROUND($ID$3,0)),0),MATCH("PCT_SALES",'Margin Guidence Table'!$A$1:$AG$1,0)),INDEX('Margin Guidence Table'!$A:$AC,MATCH(1,('Margin Guidence Table'!$A:$A=$IL16)*('Margin Guidence Table'!$H:$H&lt;=ROUND($ID$3,0))*('Margin Guidence Table'!$G:$G&gt;=ROUND($ID$3,0)),0),MATCH("DEFAULT_PCT_SALES",'Margin Guidence Table'!$A$1:$AG$1,0))),0)</f>
        <v>0</v>
      </c>
      <c r="IB16" s="370" t="e">
        <f t="shared" si="42"/>
        <v>#DIV/0!</v>
      </c>
      <c r="IC16" s="100" t="s">
        <v>1399</v>
      </c>
      <c r="ID16" s="92">
        <f>IFERROR(IF(AND($ID$2&lt;&gt;"Enter Spend&gt;&gt;&gt;",IE4="EXISTING"),SUMIFS('Existing Customers'!$Q:$Q,'Existing Customers'!$A:$A,$ID$1,'Existing Customers'!$H:$H,$IC16)*$ID$4,$ID$3*$IB16),0)</f>
        <v>0</v>
      </c>
      <c r="IE16" s="87">
        <f>IFERROR(IF(AND($ID$2&lt;&gt;"Enter Spend&gt;&gt;&gt;",IE2="EXISTING"),SUMIFS('Existing Customers'!$N:$N,'Existing Customers'!$A:$A,$ID$1,'Existing Customers'!$H:$H,$IC16)*$ID$4,$ID16/$IO16),0)</f>
        <v>0</v>
      </c>
      <c r="IF16" s="93">
        <f>IFERROR(IF(AND($ID$2&lt;&gt;"Enter Spend&gt;&gt;&gt;",IE2="EXISTING"),SUMIFS('Existing Customers'!$O:$O,'Existing Customers'!$H:$H,$IC16,'Existing Customers'!$A:$A,$ID$1)*$ID$4,$IE16*$ID$8),0)</f>
        <v>0</v>
      </c>
      <c r="IG16" s="93">
        <f>IFERROR(IF(AND($ID$2&lt;&gt;"Enter Spend&gt;&gt;&gt;",IE2="EXISTING"),SUMIFS('Existing Customers'!$P:$P,'Existing Customers'!$A:$A,$ID$1,'Existing Customers'!$H:$H,$IC16)*$ID$4,$ID16/$IP16),0)</f>
        <v>0</v>
      </c>
      <c r="IH16" s="376">
        <f>IFERROR(IF(AND($ID$2&lt;&gt;"Enter Spend&gt;&gt;&gt;",IE2="EXISTING"),SUMIFS('Existing Customers'!$V:$V,'Existing Customers'!$H:$H,$IC16,'Existing Customers'!$A:$A,$ID$1)*$ID$4,0),0)</f>
        <v>0</v>
      </c>
      <c r="II16" s="94">
        <f>IFERROR(IF(AND($ID$2&lt;&gt;"Enter Spend&gt;&gt;&gt;",IE2="EXISTING"),SUMIFS('Existing Customers'!$R:$R,'Existing Customers'!$H:$H,$IC16,'Existing Customers'!$A:$A,$ID$1)*$ID$4,0),0)</f>
        <v>0</v>
      </c>
      <c r="IJ16" s="1050">
        <f>IFERROR(IF(AND($ID$2&lt;&gt;"Enter Spend&gt;&gt;&gt;",IE2="EXISTING"),SUMIFS('Existing Customers'!$S:$S,'Existing Customers'!$H:$H,$IC16,'Existing Customers'!$A:$A,$ID$1),IT16*ID16),0)</f>
        <v>0</v>
      </c>
      <c r="IK16" s="1050">
        <f>IFERROR(IF(AND($ID$2&lt;&gt;"Enter Spend&gt;&gt;&gt;",IE2="EXISTING"),SUMIFS('Existing Customers'!$U:$U,'Existing Customers'!$H:$H,$IC16,'Existing Customers'!$A:$A,$ID$1),IU16*ID16),0)</f>
        <v>0</v>
      </c>
      <c r="IL16" s="1053" t="e">
        <f>_xlfn.CONCAT('Customer Inputs'!$AG$14,"_",IC16)</f>
        <v>#N/A</v>
      </c>
      <c r="IM16" s="1053">
        <f t="array" ref="IM16">IFERROR(INDEX('Margin Guidence Table'!$A$1:$AG$10000,MATCH(1,('Margin Guidence Table'!$A$1:$A$10000=IL16)*('Margin Guidence Table'!$I$1:$I$10000&lt;=ROUND($ID$3,0))*('Margin Guidence Table'!$J$1:$J$10000&gt;=ROUND($ID$3,0)),0),MATCH("DATA_POINTS",'Margin Guidence Table'!$A$1:$AG$1,0)),0)</f>
        <v>0</v>
      </c>
      <c r="IN16" s="1050" t="str">
        <f t="shared" si="43"/>
        <v>DEFAULT</v>
      </c>
      <c r="IO16" s="1050">
        <f t="array" ref="IO16">IFERROR(IF($IN16="SEGMENT",INDEX('Margin Guidence Table'!$A$1:$AG$10000,MATCH(1,('Margin Guidence Table'!$A$1:$A$10000=IL16)*('Margin Guidence Table'!$I$1:$I$10000&lt;=ROUND($ID$3,0))*('Margin Guidence Table'!$J$1:$J$10000&gt;=ROUND($ID$3,0)),0),MATCH("SALES_CASE",'Margin Guidence Table'!$A$1:$AG$1,0)),INDEX('Margin Guidence Table'!$A$1:$AG$10000,MATCH(1,('Margin Guidence Table'!$A$1:$A$10000=IL16)*('Margin Guidence Table'!$I$1:$I$10000&lt;=ROUND($ID$3,0))*('Margin Guidence Table'!$J$1:$J$10000&gt;=ROUND($ID$3,0)),0),MATCH("DEFAULT_SALES_CASE",'Margin Guidence Table'!$A$1:$AG$1,0))),0)</f>
        <v>0</v>
      </c>
      <c r="IP16" s="1050">
        <f t="array" ref="IP16">IFERROR(IF($IN16="SEGMENT",INDEX('Margin Guidence Table'!$A$1:$AG$10000,MATCH(1,('Margin Guidence Table'!$A$1:$A$10000=IL16)*('Margin Guidence Table'!$I$1:$I$10000&lt;=ROUND($ID$3,0))*('Margin Guidence Table'!$J$1:$J$10000&gt;=ROUND($ID$3,0)),0),MATCH("SALES_LBS",'Margin Guidence Table'!$A$1:$AG$1,0)),INDEX('Margin Guidence Table'!$A$1:$AG$10000,MATCH(1,('Margin Guidence Table'!$A$1:$A$10000=IL16)*('Margin Guidence Table'!$I$1:$I$10000&lt;=ROUND($ID$3,0))*('Margin Guidence Table'!$J$1:$J$10000&gt;=ROUND($ID$3,0)),0),MATCH("DEFAULT_SALES_LBS",'Margin Guidence Table'!$A$1:$AG$1,0))),0)</f>
        <v>0</v>
      </c>
      <c r="IQ16" s="1054">
        <f t="array" ref="IQ16">IFERROR(IF($IN16="SEGMENT",INDEX('Margin Guidence Table'!$A$1:$AG$10000,MATCH(1,('Margin Guidence Table'!$A$1:$A$10000=IL16)*('Margin Guidence Table'!$I$1:$I$10000&lt;=ROUND($ID$3,0))*('Margin Guidence Table'!$J$1:$J$10000&gt;=ROUND($ID$3,0)),0),MATCH("MDA_MIN_MARGIN_GUIDENCE",'Margin Guidence Table'!$A$1:$AG$1,0)),INDEX('Margin Guidence Table'!$A$1:$AG$10000,MATCH(1,('Margin Guidence Table'!$A$1:$A$10000=IL16)*('Margin Guidence Table'!$I$1:$I$10000&lt;=ROUND($ID$3,0))*('Margin Guidence Table'!$J$1:$J$10000&gt;=ROUND($ID$3,0)),0),MATCH("DEFAULT_MDA_MIN_MARGIN_GUIDENCE",'Margin Guidence Table'!$A$1:$AG$1,0))),0)</f>
        <v>0</v>
      </c>
      <c r="IR16" s="1054">
        <f t="array" ref="IR16">IFERROR(IF($IN16="SEGMENT",INDEX('Margin Guidence Table'!$A$1:$AG$10000,MATCH(1,('Margin Guidence Table'!$A$1:$A$10000=IL16)*('Margin Guidence Table'!$I$1:$I$10000&lt;=ROUND($ID$3,0))*('Margin Guidence Table'!$J$1:$J$10000&gt;=ROUND($ID$3,0)),0),MATCH("MDA_MEDIAN_MARGIN_GUIDENCE",'Margin Guidence Table'!$A$1:$AG$1,0)),INDEX('Margin Guidence Table'!$A$1:$AG$10000,MATCH(1,('Margin Guidence Table'!$A$1:$A$10000=IL16)*('Margin Guidence Table'!$I$1:$I$10000&lt;=ROUND($ID$3,0))*('Margin Guidence Table'!$J$1:$J$10000&gt;=ROUND($ID$3,0)),0),MATCH("DEFAULT_MDA_MEDIAN_MARGIN_GUIDENCE",'Margin Guidence Table'!$A$1:$AG$1,0))),0)</f>
        <v>0</v>
      </c>
      <c r="IS16" s="1054">
        <f t="array" ref="IS16">IFERROR(IF($IN16="SEGMENT",INDEX('Margin Guidence Table'!$A$1:$AG$10000,MATCH(1,('Margin Guidence Table'!$A$1:$A$10000=IL16)*('Margin Guidence Table'!$I$1:$I$10000&lt;=ROUND($ID$3,0))*('Margin Guidence Table'!$J$1:$J$10000&gt;=ROUND($ID$3,0)),0),MATCH("MDA_MAX_MARGIN_GUIDENCE",'Margin Guidence Table'!$A$1:$AG$1,0)),INDEX('Margin Guidence Table'!$A$1:$AG$10000,MATCH(1,('Margin Guidence Table'!$A$1:$A$10000=IL16)*('Margin Guidence Table'!$I$1:$I$10000&lt;=ROUND($ID$3,0))*('Margin Guidence Table'!$J$1:$J$10000&gt;=ROUND($ID$3,0)),0),MATCH("DEFAULT_MDA_MAX_MARGIN_GUIDENCE",'Margin Guidence Table'!$A$1:$AG$1,0))),0)</f>
        <v>0</v>
      </c>
      <c r="IT16" s="1054">
        <f t="array" ref="IT16">IFERROR(IF($IN16="SEGMENT",INDEX('Margin Guidence Table'!$A$1:$AG$10000,MATCH(1,('Margin Guidence Table'!$A$1:$A$10000=IL16)*('Margin Guidence Table'!$I$1:$I$10000&lt;=ROUND($ID$3,0))*('Margin Guidence Table'!$J$1:$J$10000&gt;=ROUND($ID$3,0)),0),MATCH("PA_PCT_SALES",'Margin Guidence Table'!$A$1:$AG$1,0)),INDEX('Margin Guidence Table'!$A$1:$AG$10000,MATCH(1,('Margin Guidence Table'!$A$1:$A$10000=IL16)*('Margin Guidence Table'!$I$1:$I$10000&lt;=ROUND($ID$3,0))*('Margin Guidence Table'!$J$1:$J$10000&gt;=ROUND($ID$3,0)),0),MATCH("DEFAULT_PA_PCT_SALES",'Margin Guidence Table'!$A$1:$AG$1,0))),0)</f>
        <v>0</v>
      </c>
      <c r="IU16" s="1054">
        <f t="array" ref="IU16">IFERROR(IF($IN16="SEGMENT",INDEX('Margin Guidence Table'!$A$1:$AG$10000,MATCH(1,('Margin Guidence Table'!$A$1:$A$10000=IL16)*('Margin Guidence Table'!$I$1:$I$10000&lt;=ROUND($ID$3,0))*('Margin Guidence Table'!$J$1:$J$10000&gt;=ROUND($ID$3,0)),0),MATCH("SELF_FUND_PCT_SALES",'Margin Guidence Table'!$A$1:$AG$1,0)),INDEX('Margin Guidence Table'!$A$1:$AG$10000,MATCH(1,('Margin Guidence Table'!$A$1:$A$10000=IL16)*('Margin Guidence Table'!$I$1:$I$10000&lt;=ROUND($ID$3,0))*('Margin Guidence Table'!$J$1:$J$10000&gt;=ROUND($ID$3,0)),0),MATCH("DEFAULT_SELF_FUND_PCT_SALES",'Margin Guidence Table'!$A$1:$AG$1,0))),0)</f>
        <v>0</v>
      </c>
      <c r="IV16" s="1054">
        <f t="array" ref="IV16">IFERROR(IF($IN16="SEGMENT",INDEX('Margin Guidence Table'!$A$1:$AG$10000,MATCH(1,('Margin Guidence Table'!$A$1:$A$10000=IL16)*('Margin Guidence Table'!$I$1:$I$10000&lt;=ROUND($ID$3,0))*('Margin Guidence Table'!$J$1:$J$10000&gt;=ROUND($ID$3,0)),0),MATCH("CIA_MEDIAN_MARGIN_GUIDENCE",'Margin Guidence Table'!$A$1:$AG$1,0)),INDEX('Margin Guidence Table'!$A$1:$AG$10000,MATCH(1,('Margin Guidence Table'!$A$1:$A$10000=IL16)*('Margin Guidence Table'!$I$1:$I$10000&lt;=ROUND($ID$3,0))*('Margin Guidence Table'!$J$1:$J$10000&gt;=ROUND($ID$3,0)),0),MATCH("DEFAULT_CIA_MEDIAN_MARGIN_GUIDENCE",'Margin Guidence Table'!$A$1:$AG$1,0))),0)</f>
        <v>0</v>
      </c>
      <c r="IW16" s="127"/>
      <c r="IX16" s="18">
        <f t="array" ref="IX16">IFERROR(IF($JK16="SEGMENT",INDEX('Margin Guidence Table'!$A$1:$AG$10000,MATCH(1,('Margin Guidence Table'!$A$1:$A$10000=$JI16)*('Margin Guidence Table'!$I$1:$I$10000&lt;=ROUND($JA$3,0))*('Margin Guidence Table'!$J$1:$J$10000&gt;=ROUND($JA$3,0)),0),MATCH("PCT_SALES",'Margin Guidence Table'!$A$1:$AG$1,0)),INDEX('Margin Guidence Table'!$A$1:$AG$10000,MATCH(1,('Margin Guidence Table'!$A$1:$A$10000=$JI16)*('Margin Guidence Table'!$I$1:$I$10000&lt;=ROUND($JA$3,0))*('Margin Guidence Table'!$J$1:$J$10000&gt;=ROUND($JA$3,0)),0),MATCH("DEFAULT_PCT_SALES",'Margin Guidence Table'!$A$1:$AG$1,0))),0)</f>
        <v>0</v>
      </c>
      <c r="IY16" s="370" t="e">
        <f t="shared" si="44"/>
        <v>#DIV/0!</v>
      </c>
      <c r="IZ16" s="100" t="s">
        <v>1399</v>
      </c>
      <c r="JA16" s="92">
        <f>IFERROR(IF(AND($JA$2&lt;&gt;"Enter Spend&gt;&gt;&gt;",JB4="EXISTING"),SUMIFS('Existing Customers'!$Q:$Q,'Existing Customers'!$A:$A,$JA$1,'Existing Customers'!$H:$H,$IZ16)*$JA$4,$JA$3*$IY16),0)</f>
        <v>0</v>
      </c>
      <c r="JB16" s="87">
        <f>IFERROR(IF(AND($JA$2&lt;&gt;"Enter Spend&gt;&gt;&gt;",JB2="EXISTING"),SUMIFS('Existing Customers'!$N:$N,'Existing Customers'!$A:$A,$JA$1,'Existing Customers'!$H:$H,$IZ16)*$JA$4,$JA16/$JL16),0)</f>
        <v>0</v>
      </c>
      <c r="JC16" s="93">
        <f>IFERROR(IF(AND($JA$2&lt;&gt;"Enter Spend&gt;&gt;&gt;",JB2="EXISTING"),SUMIFS('Existing Customers'!$O:$O,'Existing Customers'!$H:$H,$IZ16,'Existing Customers'!$A:$A,$JA$1)*$JA$4,$JB16*$JA$8),0)</f>
        <v>0</v>
      </c>
      <c r="JD16" s="93">
        <f>IFERROR(IF(AND($JA$2&lt;&gt;"Enter Spend&gt;&gt;&gt;",JB2="EXISTING"),SUMIFS('Existing Customers'!$P:$P,'Existing Customers'!$A:$A,$JA$1,'Existing Customers'!$H:$H,$IZ16)*$JA$4,$JA16/$JM16),0)</f>
        <v>0</v>
      </c>
      <c r="JE16" s="376">
        <f>IFERROR(IF(AND($JA$2&lt;&gt;"Enter Spend&gt;&gt;&gt;",JB2="EXISTING"),SUMIFS('Existing Customers'!$V:$V,'Existing Customers'!$H:$H,$IZ16,'Existing Customers'!$A:$A,$JA$1)*$JA$4,0),0)</f>
        <v>0</v>
      </c>
      <c r="JF16" s="94">
        <f>IFERROR(IF(AND($JA$2&lt;&gt;"Enter Spend&gt;&gt;&gt;",JB2="EXISTING"),SUMIFS('Existing Customers'!$R:$R,'Existing Customers'!$H:$H,$IZ16,'Existing Customers'!$A:$A,$JA$1)*$JA$4,0),0)</f>
        <v>0</v>
      </c>
      <c r="JG16" s="1050">
        <f>IFERROR(IF(AND($JA$2&lt;&gt;"Enter Spend&gt;&gt;&gt;",JB2="EXISTING"),SUMIFS('Existing Customers'!$S:$S,'Existing Customers'!$H:$H,$IZ16,'Existing Customers'!$A:$A,$JA$1),JQ16*JA16),0)</f>
        <v>0</v>
      </c>
      <c r="JH16" s="1050">
        <f>IFERROR(IF(AND($JA$2&lt;&gt;"Enter Spend&gt;&gt;&gt;",JB2="EXISTING"),SUMIFS('Existing Customers'!$U:$U,'Existing Customers'!$H:$H,$IZ16,'Existing Customers'!$A:$A,$JA$1),JR16*JA16),0)</f>
        <v>0</v>
      </c>
      <c r="JI16" s="1053" t="e">
        <f>_xlfn.CONCAT('Customer Inputs'!$AG$15,"_",IZ16)</f>
        <v>#N/A</v>
      </c>
      <c r="JJ16" s="1053">
        <f t="array" ref="JJ16">IFERROR(INDEX('Margin Guidence Table'!$A$1:$AG$10000,MATCH(1,('Margin Guidence Table'!$A$1:$A$10000=JI16)*('Margin Guidence Table'!$I$1:$I$10000&lt;=ROUND($JA$3,0))*('Margin Guidence Table'!$J$1:$J$10000&gt;=ROUND($JA$3,0)),0),MATCH("DATA_POINTS",'Margin Guidence Table'!$A$1:$AG$1,0)),0)</f>
        <v>0</v>
      </c>
      <c r="JK16" s="1050" t="str">
        <f t="shared" si="45"/>
        <v>DEFAULT</v>
      </c>
      <c r="JL16" s="1050">
        <f t="array" ref="JL16">IFERROR(IF($JK16="SEGMENT",INDEX('Margin Guidence Table'!$A$1:$AG$10000,MATCH(1,('Margin Guidence Table'!$A$1:$A$10000=JI16)*('Margin Guidence Table'!$I$1:$I$10000&lt;=ROUND($JA$3,0))*('Margin Guidence Table'!$J$1:$J$10000&gt;=ROUND($JA$3,0)),0),MATCH("SALES_CASE",'Margin Guidence Table'!$A$1:$AG$1,0)),INDEX('Margin Guidence Table'!$A$1:$AG$10000,MATCH(1,('Margin Guidence Table'!$A$1:$A$10000=JI16)*('Margin Guidence Table'!$I$1:$I$10000&lt;=ROUND($JA$3,0))*('Margin Guidence Table'!$J$1:$J$10000&gt;=ROUND($JA$3,0)),0),MATCH("DEFAULT_SALES_CASE",'Margin Guidence Table'!$A$1:$AG$1,0))),0)</f>
        <v>0</v>
      </c>
      <c r="JM16" s="1050">
        <f t="array" ref="JM16">IFERROR(IF($JK16="SEGMENT",INDEX('Margin Guidence Table'!$A$1:$AG$10000,MATCH(1,('Margin Guidence Table'!$A$1:$A$10000=JI16)*('Margin Guidence Table'!$I$1:$I$10000&lt;=ROUND($JA$3,0))*('Margin Guidence Table'!$J$1:$J$10000&gt;=ROUND($JA$3,0)),0),MATCH("SALES_LBS",'Margin Guidence Table'!$A$1:$AG$1,0)),INDEX('Margin Guidence Table'!$A$1:$AG$10000,MATCH(1,('Margin Guidence Table'!$A$1:$A$10000=JI16)*('Margin Guidence Table'!$I$1:$I$10000&lt;=ROUND($JA$3,0))*('Margin Guidence Table'!$J$1:$J$10000&gt;=ROUND($JA$3,0)),0),MATCH("DEFAULT_SALES_LBS",'Margin Guidence Table'!$A$1:$AG$1,0))),0)</f>
        <v>0</v>
      </c>
      <c r="JN16" s="1054">
        <f t="array" ref="JN16">IFERROR(IF($JK16="SEGMENT",INDEX('Margin Guidence Table'!$A$1:$AG$10000,MATCH(1,('Margin Guidence Table'!$A$1:$A$10000=JI16)*('Margin Guidence Table'!$I$1:$I$10000&lt;=ROUND($JA$3,0))*('Margin Guidence Table'!$J$1:$J$10000&gt;=ROUND($JA$3,0)),0),MATCH("MDA_MIN_MARGIN_GUIDENCE",'Margin Guidence Table'!$A$1:$AG$1,0)),INDEX('Margin Guidence Table'!$A$1:$AG$10000,MATCH(1,('Margin Guidence Table'!$A$1:$A$10000=JI16)*('Margin Guidence Table'!$I$1:$I$10000&lt;=ROUND($JA$3,0))*('Margin Guidence Table'!$J$1:$J$10000&gt;=ROUND($JA$3,0)),0),MATCH("DEFAULT_MDA_MIN_MARGIN_GUIDENCE",'Margin Guidence Table'!$A$1:$AG$1,0))),0)</f>
        <v>0</v>
      </c>
      <c r="JO16" s="1054">
        <f t="array" ref="JO16">IFERROR(IF($JK16="SEGMENT",INDEX('Margin Guidence Table'!$A$1:$AG$10000,MATCH(1,('Margin Guidence Table'!$A$1:$A$10000=JI16)*('Margin Guidence Table'!$I$1:$I$10000&lt;=ROUND($JA$3,0))*('Margin Guidence Table'!$J$1:$J$10000&gt;=ROUND($JA$3,0)),0),MATCH("MDA_MEDIAN_MARGIN_GUIDENCE",'Margin Guidence Table'!$A$1:$AG$1,0)),INDEX('Margin Guidence Table'!$A$1:$AG$10000,MATCH(1,('Margin Guidence Table'!$A$1:$A$10000=JI16)*('Margin Guidence Table'!$I$1:$I$10000&lt;=ROUND($JA$3,0))*('Margin Guidence Table'!$J$1:$J$10000&gt;=ROUND($JA$3,0)),0),MATCH("DEFAULT_MDA_MEDIAN_MARGIN_GUIDENCE",'Margin Guidence Table'!$A$1:$AG$1,0))),0)</f>
        <v>0</v>
      </c>
      <c r="JP16" s="1054">
        <f t="array" ref="JP16">IFERROR(IF($JK16="SEGMENT",INDEX('Margin Guidence Table'!$A$1:$AG$10000,MATCH(1,('Margin Guidence Table'!$A$1:$A$10000=JI16)*('Margin Guidence Table'!$I$1:$I$10000&lt;=ROUND($JA$3,0))*('Margin Guidence Table'!$J$1:$J$10000&gt;=ROUND($JA$3,0)),0),MATCH("MDA_MAX_MARGIN_GUIDENCE",'Margin Guidence Table'!$A$1:$AG$1,0)),INDEX('Margin Guidence Table'!$A$1:$AG$10000,MATCH(1,('Margin Guidence Table'!$A$1:$A$10000=JI16)*('Margin Guidence Table'!$I$1:$I$10000&lt;=ROUND($JA$3,0))*('Margin Guidence Table'!$J$1:$J$10000&gt;=ROUND($JA$3,0)),0),MATCH("DEFAULT_MDA_MAX_MARGIN_GUIDENCE",'Margin Guidence Table'!$A$1:$AG$1,0))),0)</f>
        <v>0</v>
      </c>
      <c r="JQ16" s="1054">
        <f t="array" ref="JQ16">IFERROR(IF($JK16="SEGMENT",INDEX('Margin Guidence Table'!$A$1:$AG$10000,MATCH(1,('Margin Guidence Table'!$A$1:$A$10000=JI16)*('Margin Guidence Table'!$I$1:$I$10000&lt;=ROUND($JA$3,0))*('Margin Guidence Table'!$J$1:$J$10000&gt;=ROUND($JA$3,0)),0),MATCH("PA_PCT_SALES",'Margin Guidence Table'!$A$1:$AG$1,0)),INDEX('Margin Guidence Table'!$A$1:$AG$10000,MATCH(1,('Margin Guidence Table'!$A$1:$A$10000=JI16)*('Margin Guidence Table'!$I$1:$I$10000&lt;=ROUND($JA$3,0))*('Margin Guidence Table'!$J$1:$J$10000&gt;=ROUND($JA$3,0)),0),MATCH("DEFAULT_PA_PCT_SALES",'Margin Guidence Table'!$A$1:$AG$1,0))),0)</f>
        <v>0</v>
      </c>
      <c r="JR16" s="1054">
        <f t="array" ref="JR16">IFERROR(IF($JK16="SEGMENT",INDEX('Margin Guidence Table'!$A$1:$AG$10000,MATCH(1,('Margin Guidence Table'!$A$1:$A$10000=JI16)*('Margin Guidence Table'!$I$1:$I$10000&lt;=ROUND($JA$3,0))*('Margin Guidence Table'!$J$1:$J$10000&gt;=ROUND($JA$3,0)),0),MATCH("SELF_FUND_PCT_SALES",'Margin Guidence Table'!$A$1:$AG$1,0)),INDEX('Margin Guidence Table'!$A$1:$AG$10000,MATCH(1,('Margin Guidence Table'!$A$1:$A$10000=JI16)*('Margin Guidence Table'!$I$1:$I$10000&lt;=ROUND($JA$3,0))*('Margin Guidence Table'!$J$1:$J$10000&gt;=ROUND($JA$3,0)),0),MATCH("DEFAULT_SELF_FUND_PCT_SALES",'Margin Guidence Table'!$A$1:$AG$1,0))),0)</f>
        <v>0</v>
      </c>
      <c r="JS16" s="1054">
        <f t="array" ref="JS16">IFERROR(IF($JK16="SEGMENT",INDEX('Margin Guidence Table'!$A$1:$AG$10000,MATCH(1,('Margin Guidence Table'!$A$1:$A$10000=JI16)*('Margin Guidence Table'!$I$1:$I$10000&lt;=ROUND($JA$3,0))*('Margin Guidence Table'!$J$1:$J$10000&gt;=ROUND($JA$3,0)),0),MATCH("CIA_MEDIAN_MARGIN_GUIDENCE",'Margin Guidence Table'!$A$1:$AG$1,0)),INDEX('Margin Guidence Table'!$A$1:$AG$10000,MATCH(1,('Margin Guidence Table'!$A$1:$A$10000=JI16)*('Margin Guidence Table'!$I$1:$I$10000&lt;=ROUND($JA$3,0))*('Margin Guidence Table'!$J$1:$J$10000&gt;=ROUND($JA$3,0)),0),MATCH("DEFAULT_CIA_MEDIAN_MARGIN_GUIDENCE",'Margin Guidence Table'!$A$1:$AG$1,0))),0)</f>
        <v>0</v>
      </c>
      <c r="JU16" s="100" t="s">
        <v>1399</v>
      </c>
      <c r="JV16" s="95"/>
      <c r="JW16" s="87"/>
      <c r="JX16" s="87"/>
      <c r="JY16" s="87"/>
      <c r="JZ16" s="112"/>
      <c r="KA16" s="96"/>
      <c r="KB16" s="127"/>
      <c r="KD16" s="100" t="s">
        <v>1399</v>
      </c>
      <c r="KE16" s="95"/>
      <c r="KF16" s="87"/>
      <c r="KG16" s="87"/>
      <c r="KH16" s="87"/>
      <c r="KI16" s="112"/>
      <c r="KJ16" s="96"/>
    </row>
    <row r="17" spans="2:296" ht="15.75" thickBot="1" x14ac:dyDescent="0.3">
      <c r="B17" s="100" t="s">
        <v>102</v>
      </c>
      <c r="C17" s="449">
        <f t="shared" si="11"/>
        <v>0</v>
      </c>
      <c r="D17" s="465">
        <f t="shared" si="12"/>
        <v>0</v>
      </c>
      <c r="E17" s="465">
        <f t="shared" si="13"/>
        <v>0</v>
      </c>
      <c r="F17" s="465">
        <f t="shared" si="14"/>
        <v>0</v>
      </c>
      <c r="G17" s="466">
        <f t="shared" si="15"/>
        <v>0</v>
      </c>
      <c r="H17" s="465">
        <f t="shared" si="16"/>
        <v>0</v>
      </c>
      <c r="I17" s="1046" t="e">
        <f t="shared" si="0"/>
        <v>#DIV/0!</v>
      </c>
      <c r="J17" s="1046" t="e">
        <f t="shared" si="1"/>
        <v>#DIV/0!</v>
      </c>
      <c r="K17" s="1046" t="e">
        <f t="shared" si="2"/>
        <v>#DIV/0!</v>
      </c>
      <c r="L17" s="465" t="e">
        <f t="shared" si="3"/>
        <v>#DIV/0!</v>
      </c>
      <c r="M17" s="465" t="e">
        <f t="shared" si="17"/>
        <v>#DIV/0!</v>
      </c>
      <c r="N17" s="1047" t="e">
        <f t="shared" si="4"/>
        <v>#DIV/0!</v>
      </c>
      <c r="P17" t="str">
        <f>'PIM Model'!E13</f>
        <v>INCLUDE</v>
      </c>
      <c r="Q17">
        <f t="shared" si="18"/>
        <v>0</v>
      </c>
      <c r="R17">
        <f t="shared" si="19"/>
        <v>0</v>
      </c>
      <c r="S17" s="100" t="s">
        <v>102</v>
      </c>
      <c r="T17" s="95">
        <f t="shared" si="20"/>
        <v>0</v>
      </c>
      <c r="U17" s="87">
        <f t="shared" si="5"/>
        <v>0</v>
      </c>
      <c r="V17" s="87">
        <f t="shared" si="6"/>
        <v>0</v>
      </c>
      <c r="W17" s="87">
        <f t="shared" si="7"/>
        <v>0</v>
      </c>
      <c r="X17" s="112">
        <f t="shared" si="8"/>
        <v>0</v>
      </c>
      <c r="Y17" s="115">
        <f t="shared" si="21"/>
        <v>0</v>
      </c>
      <c r="Z17" s="374"/>
      <c r="AA17" s="100" t="s">
        <v>102</v>
      </c>
      <c r="AB17" s="453">
        <f t="shared" si="9"/>
        <v>0</v>
      </c>
      <c r="AC17" s="454">
        <f t="shared" si="9"/>
        <v>0</v>
      </c>
      <c r="AD17" s="454">
        <f t="shared" si="9"/>
        <v>0</v>
      </c>
      <c r="AE17" s="455">
        <f t="shared" si="22"/>
        <v>0</v>
      </c>
      <c r="AF17" s="456">
        <f t="shared" si="23"/>
        <v>0</v>
      </c>
      <c r="AG17" s="374"/>
      <c r="AH17" s="100" t="s">
        <v>102</v>
      </c>
      <c r="AI17" s="453">
        <f t="shared" si="10"/>
        <v>0</v>
      </c>
      <c r="AJ17" s="450">
        <f t="shared" si="24"/>
        <v>0</v>
      </c>
      <c r="AK17" s="456"/>
      <c r="AL17" s="374"/>
      <c r="AM17" s="1" t="str">
        <f>IF('PIM Ranges'!$AK15='PIM Ranges'!$AW$11,IF($AI17&lt;'PIM Ranges'!$AX$11,"Q1",IF($AI17&lt;'PIM Ranges'!$AY$11,"Q2",IF($AI17&lt;'PIM Ranges'!$AZ$11,"Q3",IF($AI17&lt;'PIM Ranges'!$BA$11,"Q4","Q5")))),IF('PIM Ranges'!$AK15='PIM Ranges'!$AW$12,IF($AI17&lt;'PIM Ranges'!$AX$12,"Q1",IF($AI17&lt;'PIM Ranges'!$AY$12,"Q2",IF($AI17&lt;'PIM Ranges'!$AZ$12,"Q3",IF($AI17&lt;'PIM Ranges'!$BA$12,"Q4","Q5")))),IF('PIM Ranges'!$AK15='PIM Ranges'!$AW$13,IF($AI17&lt;'PIM Ranges'!$AX$13,"Q1",IF($AI17&lt;'PIM Ranges'!$AY$13,"Q2",IF($AI17&lt;'PIM Ranges'!$AZ$13,"Q3",IF($AI17&lt;'PIM Ranges'!$BA$13,"Q4","Q5")))),IF('PIM Ranges'!$AK15='PIM Ranges'!$AW$14,IF($AI17&lt;'PIM Ranges'!$AX$14,"Q1",IF($AI17&lt;'PIM Ranges'!$AY$14,"Q2",IF($AI17&lt;'PIM Ranges'!$AZ$14,"Q3",IF($AI17&lt;'PIM Ranges'!$BA$14,"Q4","Q5")))),IF('PIM Ranges'!$AK15='PIM Ranges'!$AW$15,IF($AI17&lt;'PIM Ranges'!$AX$15,"Q1",IF($AI17&lt;'PIM Ranges'!$AY$15,"Q2",IF($AI17&lt;'PIM Ranges'!$AZ$15,"Q3",IF($AI17&lt;'PIM Ranges'!$BA$15,"Q4","Q5")))),IF('PIM Ranges'!$AK15='PIM Ranges'!$AW$16,IF($AI17&lt;'PIM Ranges'!$AX$16,"Q1",IF($AI17&lt;'PIM Ranges'!$AY$16,"Q2",IF($AI17&lt;'PIM Ranges'!$AZ$16,"Q3",IF($AI17&lt;'PIM Ranges'!$BA$16,"Q4","Q5")))),IF('PIM Ranges'!$AK15='PIM Ranges'!$AW$17,IF($AI17&lt;'PIM Ranges'!$AX$17,"Q1",IF($AI17&lt;'PIM Ranges'!$AY$17,"Q2",IF($AI17&lt;'PIM Ranges'!$AZ$17,"Q3",IF($AI17&lt;'PIM Ranges'!$BA$17,"Q4","Q5")))),IF('PIM Ranges'!$AK15='PIM Ranges'!$AW$18,IF($AI17&lt;'PIM Ranges'!$AX$18,"Q1",IF($AI17&lt;'PIM Ranges'!$AY$18,"Q2",IF($AI17&lt;'PIM Ranges'!$AZ$18,"Q3",IF($AI17&lt;'PIM Ranges'!$BA$18,"Q4","Q5")))),IF('PIM Ranges'!$AK15='PIM Ranges'!$AW$19,IF($AI17&lt;'PIM Ranges'!$AX$19,"Q1",IF($AI17&lt;'PIM Ranges'!$AY$19,"Q2",IF($AI17&lt;'PIM Ranges'!$AZ$19,"Q3",IF($AI17&lt;'PIM Ranges'!$BA$19,"Q4","Q5")))),IF('PIM Ranges'!$AK15='PIM Ranges'!$AW$20,IF($AI17&lt;'PIM Ranges'!$AX$20,"Q1",IF($AI17&lt;'PIM Ranges'!$AY$20,"Q2",IF($AI17&lt;'PIM Ranges'!$AZ$20,"Q3",IF($AI17&lt;'PIM Ranges'!$BA$20,"Q4","Q5")))),IF('PIM Ranges'!$AK15='PIM Ranges'!$AW$21,IF($AI17&lt;'PIM Ranges'!$AX$21,"Q1",IF($AI17&lt;'PIM Ranges'!$AY$21,"Q2",IF($AI17&lt;'PIM Ranges'!$AZ$21,"Q3",IF($AI17&lt;'PIM Ranges'!$BA$21,"Q4","Q5")))),IF('PIM Ranges'!$AK15='PIM Ranges'!$AW$22,IF($AI17&lt;'PIM Ranges'!$AX$22,"Q1",IF($AI17&lt;'PIM Ranges'!$AY$22,"Q2",IF($AI17&lt;'PIM Ranges'!$AZ$22,"Q3",IF($AI17&lt;'PIM Ranges'!$BA$22,"Q4","Q5")))),IF('PIM Ranges'!$AK15='PIM Ranges'!$AW$23,IF($AI17&lt;'PIM Ranges'!$AX$23,"Q1",IF($AI17&lt;'PIM Ranges'!$AY$23,"Q2",IF($AI17&lt;'PIM Ranges'!$AZ$23,"Q3",IF($AI17&lt;'PIM Ranges'!$BA$23,"Q4","Q5")))),IF('PIM Ranges'!$AK15='PIM Ranges'!$AW$24,IF($AI17&lt;'PIM Ranges'!$AX$24,"Q1",IF($AI17&lt;'PIM Ranges'!$AY$24,"Q2",IF($AI17&lt;'PIM Ranges'!$AZ$24,"Q3",IF($AI17&lt;'PIM Ranges'!$BA$24,"Q4","Q5")))),IF('PIM Ranges'!$AK15='PIM Ranges'!$AW$25,IF($AI17&lt;'PIM Ranges'!$AX$25,"Q1",IF($AI17&lt;'PIM Ranges'!$AY$25,"Q2",IF($AI17&lt;'PIM Ranges'!$AZ$25,"Q3",IF($AI17&lt;'PIM Ranges'!$BA$25,"Q4","Q5")))),IF('PIM Ranges'!$AK15='PIM Ranges'!$AW$26,IF($AI17&lt;'PIM Ranges'!$AX$26,"Q1",IF($AI17&lt;'PIM Ranges'!$AY$26,"Q2",IF($AI17&lt;'PIM Ranges'!$AZ$26,"Q3",IF($AI17&lt;'PIM Ranges'!$BA$26,"Q4","Q5")))),IF('PIM Ranges'!$AK15='PIM Ranges'!$AW$27,IF($AI17&lt;'PIM Ranges'!$AX$27,"Q1",IF($AI17&lt;'PIM Ranges'!$AY$27,"Q2",IF($AI17&lt;'PIM Ranges'!$AZ$27,"Q3",IF($AI17&lt;'PIM Ranges'!$BA$27,"Q4","Q5")))),IF('PIM Ranges'!$AK15='PIM Ranges'!$AW$28,IF($AI17&lt;'PIM Ranges'!$AX$28,"Q1",IF($AI17&lt;'PIM Ranges'!$AY$28,"Q2",IF($AI17&lt;'PIM Ranges'!$AZ$28,"Q3",IF($AI17&lt;'PIM Ranges'!$BA$28,"Q4","Q5")))),IF('PIM Ranges'!$AK15='PIM Ranges'!$AW$29,IF($AI17&lt;'PIM Ranges'!$AX$29,"Q1",IF($AI17&lt;'PIM Ranges'!$AY$29,"Q2",IF($AI17&lt;'PIM Ranges'!$AZ$29,"Q3",IF($AI17&lt;'PIM Ranges'!$BA$29,"Q4","Q5")))),IF('PIM Ranges'!$AK15='PIM Ranges'!$AW$30,IF($AI17&lt;'PIM Ranges'!$AX$30,"Q1",IF($AI17&lt;'PIM Ranges'!$AY$30,"Q2",IF($AI17&lt;'PIM Ranges'!$AZ$30,"Q3",IF($AI17&lt;'PIM Ranges'!$BA$30,"Q4","Q5")))),IF('PIM Ranges'!$AK15='PIM Ranges'!$AW$31,IF($AI17&lt;'PIM Ranges'!$AX$31,"Q1",IF($AI17&lt;'PIM Ranges'!$AY$31,"Q2",IF($AI17&lt;'PIM Ranges'!$AZ$31,"Q3",IF($AI17&lt;'PIM Ranges'!$BA$31,"Q4","Q5")))),IF('PIM Ranges'!$AK15='PIM Ranges'!$AW$32,IF($AI17&lt;'PIM Ranges'!$AX$32,"Q1",IF($AI17&lt;'PIM Ranges'!$AY$32,"Q2",IF($AI17&lt;'PIM Ranges'!$AZ$32,"Q3",IF($AI17&lt;'PIM Ranges'!$BA$32,"Q4","Q5"))))))))))))))))))))))))))</f>
        <v>Q1</v>
      </c>
      <c r="AN17" s="374">
        <f>VLOOKUP($AH17&amp;$AM17,'IMargin Quartiles'!$A:$F,6,FALSE)</f>
        <v>0.18</v>
      </c>
      <c r="AO17" s="374"/>
      <c r="AP17"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Q17" s="374" t="e">
        <f t="shared" si="25"/>
        <v>#DIV/0!</v>
      </c>
      <c r="AR17">
        <f>'PIM Model'!C13</f>
        <v>0</v>
      </c>
      <c r="AS17" s="374"/>
      <c r="AT17" s="374"/>
      <c r="AU17" s="374" t="e">
        <f t="shared" si="46"/>
        <v>#DIV/0!</v>
      </c>
      <c r="AV17" s="374"/>
      <c r="AW17" s="374"/>
      <c r="AX17" s="106">
        <v>6</v>
      </c>
      <c r="AY17" s="18">
        <f t="array" ref="AY17">IFERROR(IF($BL17="SEGMENT",INDEX('Margin Guidence Table'!$A$1:$AG$10000,MATCH(1,('Margin Guidence Table'!$A$1:$A$10000=$BJ17)*('Margin Guidence Table'!$I$1:$I$10000&lt;=ROUND($BB$3,0))*('Margin Guidence Table'!$J$1:$J$10000&gt;=ROUND($BB$3,0)),0),MATCH("PCT_SALES",'Margin Guidence Table'!$A$1:$AG$1,0)),INDEX('Margin Guidence Table'!$A$1:$AG$10000,MATCH(1,('Margin Guidence Table'!$A$1:$A$10000=$BJ17)*('Margin Guidence Table'!$I$1:$I$10000&lt;=ROUND($BB$3,0))*('Margin Guidence Table'!$J$1:$J$10000&gt;=ROUND($BB$3,0)),0),MATCH("DEFAULT_PCT_SALES",'Margin Guidence Table'!$A$1:$AG$1,0))),0)</f>
        <v>0</v>
      </c>
      <c r="AZ17" s="370" t="e">
        <f t="shared" si="26"/>
        <v>#DIV/0!</v>
      </c>
      <c r="BA17" s="100" t="s">
        <v>102</v>
      </c>
      <c r="BB17" s="92">
        <f>IFERROR(IF(AND($BB$2&lt;&gt;"Enter Spend&gt;&gt;&gt;",BC5="EXISTING"),SUMIFS('Existing Customers'!$Q:$Q,'Existing Customers'!$A:$A,$BB$1,'Existing Customers'!$H:$H,$BA17)*$BB$4,$BB$3*$AZ17),0)</f>
        <v>0</v>
      </c>
      <c r="BC17" s="93">
        <f>IFERROR(IF(AND($BB$2&lt;&gt;"Enter Spend&gt;&gt;&gt;",BC2="EXISTING"),SUMIFS('Existing Customers'!$N:$N,'Existing Customers'!$A:$A,$BB$1,'Existing Customers'!$H:$H,$BA17)*$BB$4,$BB17/$BM17),0)</f>
        <v>0</v>
      </c>
      <c r="BD17" s="93">
        <f>IFERROR(IF(AND($BB$2&lt;&gt;"Enter Spend&gt;&gt;&gt;",BC2="EXISTING"),SUMIFS('Existing Customers'!$O:$O,'Existing Customers'!$H:$H,$BA17,'Existing Customers'!$A:$A,$BB$1)*$BB$4,$BC17*$BB$8),0)</f>
        <v>0</v>
      </c>
      <c r="BE17" s="93">
        <f>IFERROR(IF(AND($BB$2&lt;&gt;"Enter Spend&gt;&gt;&gt;",BC2="EXISTING"),SUMIFS('Existing Customers'!$P:$P,'Existing Customers'!$A:$A,$BB$1,'Existing Customers'!$H:$H,$BA17)*$BB$4,$BB17/$BN17),0)</f>
        <v>0</v>
      </c>
      <c r="BF17" s="376">
        <f>IFERROR(IF(AND($BB$2&lt;&gt;"Enter Spend&gt;&gt;&gt;",BC2="EXISTING"),SUMIFS('Existing Customers'!$V:$V,'Existing Customers'!$H:$H,$BA17,'Existing Customers'!$A:$A,$BB$1)*$BB$4,0),0)</f>
        <v>0</v>
      </c>
      <c r="BG17" s="94">
        <f>IFERROR(IF(AND($BB$2&lt;&gt;"Enter Spend&gt;&gt;&gt;",BC2="EXISTING"),SUMIFS('Existing Customers'!$R:$R,'Existing Customers'!$H:$H,$BA17,'Existing Customers'!$A:$A,$BB$1)*$BB$4,0),0)</f>
        <v>0</v>
      </c>
      <c r="BH17" s="94">
        <f>IFERROR(IF(AND($BB$2&lt;&gt;"Enter Spend&gt;&gt;&gt;",BC2="EXISTING"),SUMIFS('Existing Customers'!$S:$S,'Existing Customers'!$H:$H,$BA17,'Existing Customers'!$A:$A,$BB$1),BR17*BB17),0)</f>
        <v>0</v>
      </c>
      <c r="BI17" s="94">
        <f>IFERROR(IF(AND($BB$2&lt;&gt;"Enter Spend&gt;&gt;&gt;",BC2="EXISTING"),SUMIFS('Existing Customers'!$U:$U,'Existing Customers'!$H:$H,$BA17,'Existing Customers'!$A:$A,$BB$1),BS17*BB17),0)</f>
        <v>0</v>
      </c>
      <c r="BJ17" s="1052" t="e">
        <f>_xlfn.CONCAT('Customer Inputs'!$AG$6,"_",BA17)</f>
        <v>#N/A</v>
      </c>
      <c r="BK17" s="1053">
        <f t="array" ref="BK17">IFERROR(INDEX('Margin Guidence Table'!$A$1:$AG$10000,MATCH(1,('Margin Guidence Table'!$A$1:$A$10000=$BJ17)*('Margin Guidence Table'!$I$1:$I$10000&lt;=ROUND($BB$3,0))*('Margin Guidence Table'!$J$1:$J$10000&gt;=ROUND($BB$3,0)),0),MATCH("DATA_POINTS",'Margin Guidence Table'!$A$1:$AG$1,0)),0)</f>
        <v>0</v>
      </c>
      <c r="BL17" s="1050" t="str">
        <f t="shared" si="27"/>
        <v>DEFAULT</v>
      </c>
      <c r="BM17" s="1050">
        <f t="array" ref="BM17">IFERROR(IF($BL17="SEGMENT",INDEX('Margin Guidence Table'!$A$1:$AG$10000,MATCH(1,('Margin Guidence Table'!$A$1:$A$10000=$BJ17)*('Margin Guidence Table'!$I$1:$I$10000&lt;=ROUND($BB$3,0))*('Margin Guidence Table'!$J$1:$J$10000&gt;=ROUND($BB$3,0)),0),MATCH("SALES_CASE",'Margin Guidence Table'!$A$1:$AG$1,0)),INDEX('Margin Guidence Table'!$A$1:$AG$10000,MATCH(1,('Margin Guidence Table'!$A$1:$A$10000=$BJ17)*('Margin Guidence Table'!$I$1:$I$10000&lt;=ROUND($BB$3,0))*('Margin Guidence Table'!$J$1:$J$10000&gt;=ROUND($BB$3,0)),0),MATCH("DEFAULT_SALES_CASE",'Margin Guidence Table'!$A$1:$AG$1,0))),0)</f>
        <v>0</v>
      </c>
      <c r="BN17" s="1050">
        <f t="array" ref="BN17">IFERROR(IF($BL17="SEGMENT",INDEX('Margin Guidence Table'!$A$1:$AG$10000,MATCH(1,('Margin Guidence Table'!$A$1:$A$10000=$BJ17)*('Margin Guidence Table'!$I$1:$I$10000&lt;=ROUND($BB$3,0))*('Margin Guidence Table'!$J$1:$J$10000&gt;=ROUND($BB$3,0)),0),MATCH("SALES_LBS",'Margin Guidence Table'!$A$1:$AG$1,0)),INDEX('Margin Guidence Table'!$A$1:$AG$10000,MATCH(1,('Margin Guidence Table'!$A$1:$A$10000=$BJ17)*('Margin Guidence Table'!$I$1:$I$10000&lt;=ROUND($BB$3,0))*('Margin Guidence Table'!$J$1:$J$10000&gt;=ROUND($BB$3,0)),0),MATCH("DEFAULT_SALES_LBS",'Margin Guidence Table'!$A$1:$AG$1,0))),0)</f>
        <v>0</v>
      </c>
      <c r="BO17" s="1054">
        <f t="array" ref="BO17">IFERROR(IF($BL17="SEGMENT",INDEX('Margin Guidence Table'!$A$1:$AG$10000,MATCH(1,('Margin Guidence Table'!$A$1:$A$10000=$BJ17)*('Margin Guidence Table'!$I$1:$I$10000&lt;=ROUND($BB$3,0))*('Margin Guidence Table'!$J$1:$J$10000&gt;=ROUND($BB$3,0)),0),MATCH("MDA_MIN_MARGIN_GUIDENCE",'Margin Guidence Table'!$A$1:$AG$1,0)),INDEX('Margin Guidence Table'!$A$1:$AG$10000,MATCH(1,('Margin Guidence Table'!$A$1:$A$10000=$BJ17)*('Margin Guidence Table'!$I$1:$I$10000&lt;=ROUND($BB$3,0))*('Margin Guidence Table'!$J$1:$J$10000&gt;=ROUND($BB$3,0)),0),MATCH("DEFAULT_MDA_MIN_MARGIN_GUIDENCE",'Margin Guidence Table'!$A$1:$AG$1,0))),0)</f>
        <v>0</v>
      </c>
      <c r="BP17" s="1054">
        <f t="array" ref="BP17">IFERROR(IF($BL17="SEGMENT",INDEX('Margin Guidence Table'!$A$1:$AG$10000,MATCH(1,('Margin Guidence Table'!$A$1:$A$10000=$BJ17)*('Margin Guidence Table'!$I$1:$I$10000&lt;=ROUND($BB$3,0))*('Margin Guidence Table'!$J$1:$J$10000&gt;=ROUND($BB$3,0)),0),MATCH("MDA_MEDIAN_MARGIN_GUIDENCE",'Margin Guidence Table'!$A$1:$AG$1,0)),INDEX('Margin Guidence Table'!$A$1:$AG$10000,MATCH(1,('Margin Guidence Table'!$A$1:$A$10000=$BJ17)*('Margin Guidence Table'!$I$1:$I$10000&lt;=ROUND($BB$3,0))*('Margin Guidence Table'!$J$1:$J$10000&gt;=ROUND($BB$3,0)),0),MATCH("DEFAULT_MDA_MEDIAN_MARGIN_GUIDENCE",'Margin Guidence Table'!$A$1:$AG$1,0))),0)</f>
        <v>0</v>
      </c>
      <c r="BQ17" s="1054">
        <f t="array" ref="BQ17">IFERROR(IF($BL17="SEGMENT",INDEX('Margin Guidence Table'!$A$1:$AG$10000,MATCH(1,('Margin Guidence Table'!$A$1:$A$10000=$BJ17)*('Margin Guidence Table'!$I$1:$I$10000&lt;=ROUND($BB$3,0))*('Margin Guidence Table'!$J$1:$J$10000&gt;=ROUND($BB$3,0)),0),MATCH("MDA_MAX_MARGIN_GUIDENCE",'Margin Guidence Table'!$A$1:$AG$1,0)),INDEX('Margin Guidence Table'!$A$1:$AG$10000,MATCH(1,('Margin Guidence Table'!$A$1:$A$10000=$BJ17)*('Margin Guidence Table'!$I$1:$I$10000&lt;=ROUND($BB$3,0))*('Margin Guidence Table'!$J$1:$J$10000&gt;=ROUND($BB$3,0)),0),MATCH("DEFAULT_MDA_MAX_MARGIN_GUIDENCE",'Margin Guidence Table'!$A$1:$AG$1,0))),0)</f>
        <v>0</v>
      </c>
      <c r="BR17" s="1054">
        <f t="array" ref="BR17">IFERROR(IF($BL17="SEGMENT",INDEX('Margin Guidence Table'!$A$1:$AG$10000,MATCH(1,('Margin Guidence Table'!$A$1:$A$10000=$BJ17)*('Margin Guidence Table'!$I$1:$I$10000&lt;=ROUND($BB$3,0))*('Margin Guidence Table'!$J$1:$J$10000&gt;=ROUND($BB$3,0)),0),MATCH("PA_PCT_SALES",'Margin Guidence Table'!$A$1:$AG$1,0)),INDEX('Margin Guidence Table'!$A$1:$AG$10000,MATCH(1,('Margin Guidence Table'!$A$1:$A$10000=$BJ17)*('Margin Guidence Table'!$I$1:$I$10000&lt;=ROUND($BB$3,0))*('Margin Guidence Table'!$J$1:$J$10000&gt;=ROUND($BB$3,0)),0),MATCH("DEFAULT_PA_PCT_SALES",'Margin Guidence Table'!$A$1:$AG$1,0))),0)</f>
        <v>0</v>
      </c>
      <c r="BS17" s="1054">
        <f t="array" ref="BS17">IFERROR(IF($BL17="SEGMENT",INDEX('Margin Guidence Table'!$A$1:$AG$10000,MATCH(1,('Margin Guidence Table'!$A$1:$A$10000=$BJ17)*('Margin Guidence Table'!$I$1:$I$10000&lt;=ROUND($BB$3,0))*('Margin Guidence Table'!$J$1:$J$10000&gt;=ROUND($BB$3,0)),0),MATCH("SELF_FUND_PCT_SALES",'Margin Guidence Table'!$A$1:$AG$1,0)),INDEX('Margin Guidence Table'!$A$1:$AG$10000,MATCH(1,('Margin Guidence Table'!$A$1:$A$10000=$BJ17)*('Margin Guidence Table'!$I$1:$I$10000&lt;=ROUND($BB$3,0))*('Margin Guidence Table'!$J$1:$J$10000&gt;=ROUND($BB$3,0)),0),MATCH("DEFAULT_SELF_FUND_PCT_SALES",'Margin Guidence Table'!$A$1:$AG$1,0))),0)</f>
        <v>0</v>
      </c>
      <c r="BT17" s="1054">
        <f t="array" ref="BT17">IFERROR(IF($BL17="SEGMENT",INDEX('Margin Guidence Table'!$A$1:$AG$10000,MATCH(1,('Margin Guidence Table'!$A$1:$A$10000=$BJ17)*('Margin Guidence Table'!$I$1:$I$10000&lt;=ROUND($BB$3,0))*('Margin Guidence Table'!$J$1:$J$10000&gt;=ROUND($BB$3,0)),0),MATCH("CIA_MEDIAN_MARGIN_GUIDENCE",'Margin Guidence Table'!$A$1:$AG$1,0)),INDEX('Margin Guidence Table'!$A$1:$AG$10000,MATCH(1,('Margin Guidence Table'!$A$1:$A$10000=$BJ17)*('Margin Guidence Table'!$I$1:$I$10000&lt;=ROUND($BB$3,0))*('Margin Guidence Table'!$J$1:$J$10000&gt;=ROUND($BB$3,0)),0),MATCH("DEFAULT_CIA_MEDIAN_MARGIN_GUIDENCE",'Margin Guidence Table'!$A$1:$AG$1,0))),0)</f>
        <v>0</v>
      </c>
      <c r="BU17" s="127"/>
      <c r="BV17" s="18">
        <f t="array" ref="BV17">IFERROR(IF($CI17="SEGMENT",INDEX('Margin Guidence Table'!$A$1:$AG$10000,MATCH(1,('Margin Guidence Table'!$A$1:$A$10000=$CG17)*('Margin Guidence Table'!$I$1:$I$10000&lt;=ROUND($BY$3,0))*('Margin Guidence Table'!$J$1:$J$10000&gt;=ROUND($BY$3,0)),0),MATCH("PCT_SALES",'Margin Guidence Table'!$A$1:$AG$1,0)),INDEX('Margin Guidence Table'!$A$1:$AG$10000,MATCH(1,('Margin Guidence Table'!$A$1:$A$10000=$CG17)*('Margin Guidence Table'!$I$1:$I$10000&lt;=ROUND($BY$3,0))*('Margin Guidence Table'!$J$1:$J$10000&gt;=ROUND($BY$3,0)),0),MATCH("DEFAULT_PCT_SALES",'Margin Guidence Table'!$A$1:$AG$1,0))),0)</f>
        <v>0</v>
      </c>
      <c r="BW17" s="370" t="e">
        <f t="shared" si="28"/>
        <v>#DIV/0!</v>
      </c>
      <c r="BX17" s="100" t="s">
        <v>102</v>
      </c>
      <c r="BY17" s="92">
        <f>IFERROR(IF(AND($BY$2&lt;&gt;"Enter Spend&gt;&gt;&gt;",BZ5="EXISTING"),SUMIFS('Existing Customers'!$Q:$Q,'Existing Customers'!$A:$A,$BY$1,'Existing Customers'!$H:$H,$BX17)*$BY$4,$BY$3*$BW17),0)</f>
        <v>0</v>
      </c>
      <c r="BZ17" s="87">
        <f>IFERROR(IF(AND($BY$2&lt;&gt;"Enter Spend&gt;&gt;&gt;",BZ2="EXISTING"),SUMIFS('Existing Customers'!$N:$N,'Existing Customers'!$A:$A,$BY$1,'Existing Customers'!$H:$H,$BX17)*$BY$4,$BY17/$CJ17),0)</f>
        <v>0</v>
      </c>
      <c r="CA17" s="93">
        <f>IFERROR(IF(AND($BY$2&lt;&gt;"Enter Spend&gt;&gt;&gt;",BZ2="EXISTING"),SUMIFS('Existing Customers'!$O:$O,'Existing Customers'!$H:$H,$BX17,'Existing Customers'!$A:$A,$BY$1)*$BY$4,$BZ17*$BY$8),0)</f>
        <v>0</v>
      </c>
      <c r="CB17" s="93">
        <f>IFERROR(IF(AND($BY$2&lt;&gt;"Enter Spend&gt;&gt;&gt;",BZ2="EXISTING"),SUMIFS('Existing Customers'!$P:$P,'Existing Customers'!$A:$A,$BY$1,'Existing Customers'!$H:$H,$BX17)*$BY$4,$BY17/$CK17),0)</f>
        <v>0</v>
      </c>
      <c r="CC17" s="94">
        <f>IFERROR(IF(AND($BY$2&lt;&gt;"Enter Spend&gt;&gt;&gt;",BZ2="EXISTING"),SUMIFS('Existing Customers'!$V:$V,'Existing Customers'!$H:$H,$BX17,'Existing Customers'!$A:$A,$BY$1)*$BY$4,0),0)</f>
        <v>0</v>
      </c>
      <c r="CD17" s="94">
        <f>IFERROR(IF(AND($BY$2&lt;&gt;"Enter Spend&gt;&gt;&gt;",BZ2="EXISTING"),SUMIFS('Existing Customers'!$R:$R,'Existing Customers'!$H:$H,$BX17,'Existing Customers'!$A:$A,$BY$1)*$BY$4,0),0)</f>
        <v>0</v>
      </c>
      <c r="CE17" s="1050">
        <f>IFERROR(IF(AND($BY$2&lt;&gt;"Enter Spend&gt;&gt;&gt;",BZ2="EXISTING"),SUMIFS('Existing Customers'!$S:$S,'Existing Customers'!$H:$H,$BX17,'Existing Customers'!$A:$A,$BY$1),CO17*BY17),0)</f>
        <v>0</v>
      </c>
      <c r="CF17" s="1050">
        <f>IFERROR(IF(AND($BY$2&lt;&gt;"Enter Spend&gt;&gt;&gt;",BZ2="EXISTING"),SUMIFS('Existing Customers'!$U:$U,'Existing Customers'!$H:$H,$BX17,'Existing Customers'!$A:$A,$BY$1),CP17*BY17),0)</f>
        <v>0</v>
      </c>
      <c r="CG17" s="1053" t="e">
        <f>_xlfn.CONCAT('Customer Inputs'!$AG$7,"_",BX17)</f>
        <v>#N/A</v>
      </c>
      <c r="CH17" s="1053">
        <f t="array" ref="CH17">IFERROR(INDEX('Margin Guidence Table'!$A$1:$AG$10000,MATCH(1,('Margin Guidence Table'!$A$1:$A$10000=$CG17)*('Margin Guidence Table'!$I$1:$I$10000&lt;=ROUND($BY$3,0))*('Margin Guidence Table'!$J$1:$J$10000&gt;=ROUND($BY$3,0)),0),MATCH("DATA_POINTS",'Margin Guidence Table'!$A$1:$AG$1,0)),0)</f>
        <v>0</v>
      </c>
      <c r="CI17" s="1050" t="str">
        <f t="shared" si="29"/>
        <v>DEFAULT</v>
      </c>
      <c r="CJ17" s="1050">
        <f t="array" ref="CJ17">IFERROR(IF($CI17="SEGMENT",INDEX('Margin Guidence Table'!$A$1:$AG$10000,MATCH(1,('Margin Guidence Table'!$A$1:$A$10000=$CG17)*('Margin Guidence Table'!$I$1:$I$10000&lt;=ROUND($BY$3,0))*('Margin Guidence Table'!$J$1:$J$10000&gt;=ROUND($BY$3,0)),0),MATCH("SALES_CASE",'Margin Guidence Table'!$A$1:$AG$1,0)),INDEX('Margin Guidence Table'!$A$1:$AG$10000,MATCH(1,('Margin Guidence Table'!$A$1:$A$10000=$CG17)*('Margin Guidence Table'!$I$1:$I$10000&lt;=ROUND($BY$3,0))*('Margin Guidence Table'!$J$1:$J$10000&gt;=ROUND($BY$3,0)),0),MATCH("DEFAULT_SALES_CASE",'Margin Guidence Table'!$A$1:$AG$1,0))),0)</f>
        <v>0</v>
      </c>
      <c r="CK17" s="1050">
        <f t="array" ref="CK17">IFERROR(IF($CI17="SEGMENT",INDEX('Margin Guidence Table'!$A$1:$AG$10000,MATCH(1,('Margin Guidence Table'!$A$1:$A$10000=$CG17)*('Margin Guidence Table'!$I$1:$I$10000&lt;=ROUND($BY$3,0))*('Margin Guidence Table'!$J$1:$J$10000&gt;=ROUND($BY$3,0)),0),MATCH("SALES_LBS",'Margin Guidence Table'!$A$1:$AG$1,0)),INDEX('Margin Guidence Table'!$A$1:$AG$10000,MATCH(1,('Margin Guidence Table'!$A$1:$A$10000=$CG17)*('Margin Guidence Table'!$I$1:$I$10000&lt;=ROUND($BY$3,0))*('Margin Guidence Table'!$J$1:$J$10000&gt;=ROUND($BY$3,0)),0),MATCH("DEFAULT_SALES_LBS",'Margin Guidence Table'!$A$1:$AG$1,0))),0)</f>
        <v>0</v>
      </c>
      <c r="CL17" s="1054">
        <f t="array" ref="CL17">IFERROR(IF($CI17="SEGMENT",INDEX('Margin Guidence Table'!$A$1:$AG$10000,MATCH(1,('Margin Guidence Table'!$A$1:$A$10000=$CG17)*('Margin Guidence Table'!$I$1:$I$10000&lt;=ROUND($BY$3,0))*('Margin Guidence Table'!$J$1:$J$10000&gt;=ROUND($BY$3,0)),0),MATCH("MDA_MIN_MARGIN_GUIDENCE",'Margin Guidence Table'!$A$1:$AG$1,0)),INDEX('Margin Guidence Table'!$A$1:$AG$10000,MATCH(1,('Margin Guidence Table'!$A$1:$A$10000=$CG17)*('Margin Guidence Table'!$I$1:$I$10000&lt;=ROUND($BY$3,0))*('Margin Guidence Table'!$J$1:$J$10000&gt;=ROUND($BY$3,0)),0),MATCH("DEFAULT_MDA_MIN_MARGIN_GUIDENCE",'Margin Guidence Table'!$A$1:$AG$1,0))),0)</f>
        <v>0</v>
      </c>
      <c r="CM17" s="1054">
        <f t="array" ref="CM17">IFERROR(IF($CI17="SEGMENT",INDEX('Margin Guidence Table'!$A$1:$AG$10000,MATCH(1,('Margin Guidence Table'!$A$1:$A$10000=$CG17)*('Margin Guidence Table'!$I$1:$I$10000&lt;=ROUND($BY$3,0))*('Margin Guidence Table'!$J$1:$J$10000&gt;=ROUND($BY$3,0)),0),MATCH("MDA_MEDIAN_MARGIN_GUIDENCE",'Margin Guidence Table'!$A$1:$AG$1,0)),INDEX('Margin Guidence Table'!$A$1:$AG$10000,MATCH(1,('Margin Guidence Table'!$A$1:$A$10000=$CG17)*('Margin Guidence Table'!$I$1:$I$10000&lt;=ROUND($BY$3,0))*('Margin Guidence Table'!$J$1:$J$10000&gt;=ROUND($BY$3,0)),0),MATCH("DEFAULT_MDA_MEDIAN_MARGIN_GUIDENCE",'Margin Guidence Table'!$A$1:$AG$1,0))),0)</f>
        <v>0</v>
      </c>
      <c r="CN17" s="1054">
        <f t="array" ref="CN17">IFERROR(IF($CI17="SEGMENT",INDEX('Margin Guidence Table'!$A$1:$AG$10000,MATCH(1,('Margin Guidence Table'!$A$1:$A$10000=$CG17)*('Margin Guidence Table'!$I$1:$I$10000&lt;=ROUND($BY$3,0))*('Margin Guidence Table'!$J$1:$J$10000&gt;=ROUND($BY$3,0)),0),MATCH("MDA_MAX_MARGIN_GUIDENCE",'Margin Guidence Table'!$A$1:$AG$1,0)),INDEX('Margin Guidence Table'!$A$1:$AG$10000,MATCH(1,('Margin Guidence Table'!$A$1:$A$10000=$CG17)*('Margin Guidence Table'!$I$1:$I$10000&lt;=ROUND($BY$3,0))*('Margin Guidence Table'!$J$1:$J$10000&gt;=ROUND($BY$3,0)),0),MATCH("DEFAULT_MDA_MAX_MARGIN_GUIDENCE",'Margin Guidence Table'!$A$1:$AG$1,0))),0)</f>
        <v>0</v>
      </c>
      <c r="CO17" s="1054">
        <f t="array" ref="CO17">IFERROR(IF($CI17="SEGMENT",INDEX('Margin Guidence Table'!$A$1:$AG$10000,MATCH(1,('Margin Guidence Table'!$A$1:$A$10000=$CG17)*('Margin Guidence Table'!$I$1:$I$10000&lt;=ROUND($BY$3,0))*('Margin Guidence Table'!$J$1:$J$10000&gt;=ROUND($BY$3,0)),0),MATCH("PA_PCT_SALES",'Margin Guidence Table'!$A$1:$AG$1,0)),INDEX('Margin Guidence Table'!$A$1:$AG$10000,MATCH(1,('Margin Guidence Table'!$A$1:$A$10000=$CG17)*('Margin Guidence Table'!$I$1:$I$10000&lt;=ROUND($BY$3,0))*('Margin Guidence Table'!$J$1:$J$10000&gt;=ROUND($BY$3,0)),0),MATCH("DEFAULT_PA_PCT_SALES",'Margin Guidence Table'!$A$1:$AG$1,0))),0)</f>
        <v>0</v>
      </c>
      <c r="CP17" s="1054">
        <f t="array" ref="CP17">IFERROR(IF($CI17="SEGMENT",INDEX('Margin Guidence Table'!$A$1:$AG$10000,MATCH(1,('Margin Guidence Table'!$A$1:$A$10000=$CG17)*('Margin Guidence Table'!$I$1:$I$10000&lt;=ROUND($BY$3,0))*('Margin Guidence Table'!$J$1:$J$10000&gt;=ROUND($BY$3,0)),0),MATCH("SELF_FUND_PCT_SALES",'Margin Guidence Table'!$A$1:$AG$1,0)),INDEX('Margin Guidence Table'!$A$1:$AG$10000,MATCH(1,('Margin Guidence Table'!$A$1:$A$10000=$CG17)*('Margin Guidence Table'!$I$1:$I$10000&lt;=ROUND($BY$3,0))*('Margin Guidence Table'!$J$1:$J$10000&gt;=ROUND($BY$3,0)),0),MATCH("DEFAULT_SELF_FUND_PCT_SALES",'Margin Guidence Table'!$A$1:$AG$1,0))),0)</f>
        <v>0</v>
      </c>
      <c r="CQ17" s="1054">
        <f t="array" ref="CQ17">IFERROR(IF($CI17="SEGMENT",INDEX('Margin Guidence Table'!$A$1:$AG$10000,MATCH(1,('Margin Guidence Table'!$A$1:$A$10000=$CG17)*('Margin Guidence Table'!$I$1:$I$10000&lt;=ROUND($BY$3,0))*('Margin Guidence Table'!$J$1:$J$10000&gt;=ROUND($BY$3,0)),0),MATCH("CIA_MEDIAN_MARGIN_GUIDENCE",'Margin Guidence Table'!$A$1:$AG$1,0)),INDEX('Margin Guidence Table'!$A$1:$AG$10000,MATCH(1,('Margin Guidence Table'!$A$1:$A$10000=$CG17)*('Margin Guidence Table'!$I$1:$I$10000&lt;=ROUND($BY$3,0))*('Margin Guidence Table'!$J$1:$J$10000&gt;=ROUND($BY$3,0)),0),MATCH("DEFAULT_CIA_MEDIAN_MARGIN_GUIDENCE",'Margin Guidence Table'!$A$1:$AG$1,0))),0)</f>
        <v>0</v>
      </c>
      <c r="CR17" s="127"/>
      <c r="CS17" s="18">
        <f t="array" ref="CS17">IFERROR(IF($DF17="SEGMENT",INDEX('Margin Guidence Table'!$A$1:$AG$10000,MATCH(1,('Margin Guidence Table'!$A$1:$A$10000=$DD17)*('Margin Guidence Table'!$I$1:$I$10000&lt;=ROUND($CV$3,0))*('Margin Guidence Table'!$J$1:$J$10000&gt;=ROUND($CV$3,0)),0),MATCH("PCT_SALES",'Margin Guidence Table'!$A$1:$AG$1,0)),INDEX('Margin Guidence Table'!$A$1:$AG$10000,MATCH(1,('Margin Guidence Table'!$A$1:$A$10000=$DD17)*('Margin Guidence Table'!$I$1:$I$10000&lt;=ROUND($CV$3,0))*('Margin Guidence Table'!$J$1:$J$10000&gt;=ROUND($CV$3,0)),0),MATCH("DEFAULT_PCT_SALES",'Margin Guidence Table'!$A$1:$AG$1,0))),0)</f>
        <v>0</v>
      </c>
      <c r="CT17" s="370" t="e">
        <f t="shared" si="30"/>
        <v>#DIV/0!</v>
      </c>
      <c r="CU17" s="100" t="s">
        <v>102</v>
      </c>
      <c r="CV17" s="92">
        <f>IFERROR(IF(AND($CV$2&lt;&gt;"Enter Spend&gt;&gt;&gt;",CW5="EXISTING"),SUMIFS('Existing Customers'!$Q:$Q,'Existing Customers'!$A:$A,$CV$1,'Existing Customers'!$H:$H,$CU17)*$CV$4,$CV$3*$CT17),0)</f>
        <v>0</v>
      </c>
      <c r="CW17" s="87">
        <f>IFERROR(IF(AND($CV$2&lt;&gt;"Enter Spend&gt;&gt;&gt;",CW2="EXISTING"),SUMIFS('Existing Customers'!$N:$N,'Existing Customers'!$A:$A,$CV$1,'Existing Customers'!$H:$H,$CU17)*$CV$4,$CV17/$DG17),0)</f>
        <v>0</v>
      </c>
      <c r="CX17" s="93">
        <f>IFERROR(IF(AND($CV$2&lt;&gt;"Enter Spend&gt;&gt;&gt;",BC28="EXISTING"),SUMIFS('Existing Customers'!$O:$O,'Existing Customers'!$H:$H,$CU17,'Existing Customers'!$A:$A,$CV$1)*$CV$4,$CW17*$CV$8),0)</f>
        <v>0</v>
      </c>
      <c r="CY17" s="93">
        <f>IFERROR(IF(AND($CV$2&lt;&gt;"Enter Spend&gt;&gt;&gt;",CW2="EXISTING"),SUMIFS('Existing Customers'!$P:$P,'Existing Customers'!$A:$A,$CV$1,'Existing Customers'!$H:$H,$CU17)*$CV$4,$CV17/$DH17),0)</f>
        <v>0</v>
      </c>
      <c r="CZ17" s="94">
        <f>IFERROR(IF(AND($CV$2&lt;&gt;"Enter Spend&gt;&gt;&gt;",CW2="EXISTING"),SUMIFS('Existing Customers'!$V:$V,'Existing Customers'!$H:$H,$CU17,'Existing Customers'!$A:$A,$CV$1)*$CV$4,0),0)</f>
        <v>0</v>
      </c>
      <c r="DA17" s="94">
        <f>IFERROR(IF(AND($CV$2&lt;&gt;"Enter Spend&gt;&gt;&gt;",CW2="EXISTING"),SUMIFS('Existing Customers'!$R:$R,'Existing Customers'!$H:$H,$BA17,'Existing Customers'!$A:$A,$CV$1)*$CV$4,0),0)</f>
        <v>0</v>
      </c>
      <c r="DB17" s="1050">
        <f>IFERROR(IF(AND($CV$2&lt;&gt;"Enter Spend&gt;&gt;&gt;",CW2="EXISTING"),SUMIFS('Existing Customers'!$S:$S,'Existing Customers'!$H:$H,$CU17,'Existing Customers'!$A:$A,$CV$1),DL17*CV17),0)</f>
        <v>0</v>
      </c>
      <c r="DC17" s="1050">
        <f>IFERROR(IF(AND($CV$2&lt;&gt;"Enter Spend&gt;&gt;&gt;",CW2="EXISTING"),SUMIFS('Existing Customers'!$U:$U,'Existing Customers'!$H:$H,$CU17,'Existing Customers'!$A:$A,$CV$1),DM17*CV17),0)</f>
        <v>0</v>
      </c>
      <c r="DD17" s="1053" t="e">
        <f>_xlfn.CONCAT('Customer Inputs'!$AG$8,"_",CU17)</f>
        <v>#N/A</v>
      </c>
      <c r="DE17" s="1053">
        <f t="array" ref="DE17">IFERROR(INDEX('Margin Guidence Table'!$A$1:$AG$10000,MATCH(1,('Margin Guidence Table'!$A$1:$A$10000=DD17)*('Margin Guidence Table'!$I$1:$I$10000&lt;=ROUND($CV$3,0))*('Margin Guidence Table'!$J$1:$J$10000&gt;=ROUND($CV$3,0)),0),MATCH("DATA_POINTS",'Margin Guidence Table'!$A$1:$AG$1,0)),0)</f>
        <v>0</v>
      </c>
      <c r="DF17" s="1050" t="str">
        <f t="shared" si="31"/>
        <v>DEFAULT</v>
      </c>
      <c r="DG17" s="1050">
        <f t="array" ref="DG17">IFERROR(IF($DF17="SEGMENT",INDEX('Margin Guidence Table'!$A$1:$AG$10000,MATCH(1,('Margin Guidence Table'!$A$1:$A$10000=DD17)*('Margin Guidence Table'!$I$1:$I$10000&lt;=ROUND($CV$3,0))*('Margin Guidence Table'!$J$1:$J$10000&gt;=ROUND($CV$3,0)),0),MATCH("SALES_CASE",'Margin Guidence Table'!$A$1:$AG$1,0)),INDEX('Margin Guidence Table'!$A$1:$AG$10000,MATCH(1,('Margin Guidence Table'!$A$1:$A$10000=DD17)*('Margin Guidence Table'!$I$1:$I$10000&lt;=ROUND($CV$3,0))*('Margin Guidence Table'!$J$1:$J$10000&gt;=ROUND($CV$3,0)),0),MATCH("DEFAULT_SALES_CASE",'Margin Guidence Table'!$A$1:$AG$1,0))),0)</f>
        <v>0</v>
      </c>
      <c r="DH17" s="1050">
        <f t="array" ref="DH17">IFERROR(IF($DF17="SEGMENT",INDEX('Margin Guidence Table'!$A$1:$AG$10000,MATCH(1,('Margin Guidence Table'!$A$1:$A$10000=DD17)*('Margin Guidence Table'!$I$1:$I$10000&lt;=ROUND($CV$3,0))*('Margin Guidence Table'!$J$1:$J$10000&gt;=ROUND($CV$3,0)),0),MATCH("SALES_LBS",'Margin Guidence Table'!$A$1:$AG$1,0)),INDEX('Margin Guidence Table'!$A$1:$AG$10000,MATCH(1,('Margin Guidence Table'!$A$1:$A$10000=DD17)*('Margin Guidence Table'!$I$1:$I$10000&lt;=ROUND($CV$3,0))*('Margin Guidence Table'!$J$1:$J$10000&gt;=ROUND($CV$3,0)),0),MATCH("DEFAULT_SALES_LBS",'Margin Guidence Table'!$A$1:$AG$1,0))),0)</f>
        <v>0</v>
      </c>
      <c r="DI17" s="1054">
        <f t="array" ref="DI17">IFERROR(IF($DF17="SEGMENT",INDEX('Margin Guidence Table'!$A$1:$AG$10000,MATCH(1,('Margin Guidence Table'!$A$1:$A$10000=DD17)*('Margin Guidence Table'!$I$1:$I$10000&lt;=ROUND($CV$3,0))*('Margin Guidence Table'!$J$1:$J$10000&gt;=ROUND($CV$3,0)),0),MATCH("MDA_MIN_MARGIN_GUIDENCE",'Margin Guidence Table'!$A$1:$AG$1,0)),INDEX('Margin Guidence Table'!$A$1:$AG$10000,MATCH(1,('Margin Guidence Table'!$A$1:$A$10000=DD17)*('Margin Guidence Table'!$I$1:$I$10000&lt;=ROUND($CV$3,0))*('Margin Guidence Table'!$J$1:$J$10000&gt;=ROUND($CV$3,0)),0),MATCH("DEFAULT_MDA_MIN_MARGIN_GUIDENCE",'Margin Guidence Table'!$A$1:$AG$1,0))),0)</f>
        <v>0</v>
      </c>
      <c r="DJ17" s="1054">
        <f t="array" ref="DJ17">IFERROR(IF($DF17="SEGMENT",INDEX('Margin Guidence Table'!$A$1:$AG$10000,MATCH(1,('Margin Guidence Table'!$A$1:$A$10000=DD17)*('Margin Guidence Table'!$I$1:$I$10000&lt;=ROUND($CV$3,0))*('Margin Guidence Table'!$J$1:$J$10000&gt;=ROUND($CV$3,0)),0),MATCH("MDA_MEDIAN_MARGIN_GUIDENCE",'Margin Guidence Table'!$A$1:$AG$1,0)),INDEX('Margin Guidence Table'!$A$1:$AG$10000,MATCH(1,('Margin Guidence Table'!$A$1:$A$10000=DD17)*('Margin Guidence Table'!$I$1:$I$10000&lt;=ROUND($CV$3,0))*('Margin Guidence Table'!$J$1:$J$10000&gt;=ROUND($CV$3,0)),0),MATCH("DEFAULT_MDA_MEDIAN_MARGIN_GUIDENCE",'Margin Guidence Table'!$A$1:$AG$1,0))),0)</f>
        <v>0</v>
      </c>
      <c r="DK17" s="1054">
        <f t="array" ref="DK17">IFERROR(IF($DF17="SEGMENT",INDEX('Margin Guidence Table'!$A$1:$AG$10000,MATCH(1,('Margin Guidence Table'!$A$1:$A$10000=DD17)*('Margin Guidence Table'!$I$1:$I$10000&lt;=ROUND($CV$3,0))*('Margin Guidence Table'!$J$1:$J$10000&gt;=ROUND($CV$3,0)),0),MATCH("MDA_MAX_MARGIN_GUIDENCE",'Margin Guidence Table'!$A$1:$AG$1,0)),INDEX('Margin Guidence Table'!$A$1:$AG$10000,MATCH(1,('Margin Guidence Table'!$A$1:$A$10000=DD17)*('Margin Guidence Table'!$I$1:$I$10000&lt;=ROUND($CV$3,0))*('Margin Guidence Table'!$J$1:$J$10000&gt;=ROUND($CV$3,0)),0),MATCH("DEFAULT_MDA_MAX_MARGIN_GUIDENCE",'Margin Guidence Table'!$A$1:$AG$1,0))),0)</f>
        <v>0</v>
      </c>
      <c r="DL17" s="1054">
        <f t="array" ref="DL17">IFERROR(IF($DF17="SEGMENT",INDEX('Margin Guidence Table'!$A$1:$AG$10000,MATCH(1,('Margin Guidence Table'!$A$1:$A$10000=DD17)*('Margin Guidence Table'!$I$1:$I$10000&lt;=ROUND($CV$3,0))*('Margin Guidence Table'!$J$1:$J$10000&gt;=ROUND($CV$3,0)),0),MATCH("PA_PCT_SALES",'Margin Guidence Table'!$A$1:$AG$1,0)),INDEX('Margin Guidence Table'!$A$1:$AG$10000,MATCH(1,('Margin Guidence Table'!$A$1:$A$10000=DD17)*('Margin Guidence Table'!$I$1:$I$10000&lt;=ROUND($CV$3,0))*('Margin Guidence Table'!$J$1:$J$10000&gt;=ROUND($CV$3,0)),0),MATCH("DEFAULT_PA_PCT_SALES",'Margin Guidence Table'!$A$1:$AG$1,0))),0)</f>
        <v>0</v>
      </c>
      <c r="DM17" s="1054">
        <f t="array" ref="DM17">IFERROR(IF($DF17="SEGMENT",INDEX('Margin Guidence Table'!$A$1:$AG$10000,MATCH(1,('Margin Guidence Table'!$A$1:$A$10000=DD17)*('Margin Guidence Table'!$I$1:$I$10000&lt;=ROUND($CV$3,0))*('Margin Guidence Table'!$J$1:$J$10000&gt;=ROUND($CV$3,0)),0),MATCH("SELF_FUND_PCT_SALES",'Margin Guidence Table'!$A$1:$AG$1,0)),INDEX('Margin Guidence Table'!$A$1:$AG$10000,MATCH(1,('Margin Guidence Table'!$A$1:$A$10000=DD17)*('Margin Guidence Table'!$I$1:$I$10000&lt;=ROUND($CV$3,0))*('Margin Guidence Table'!$J$1:$J$10000&gt;=ROUND($CV$3,0)),0),MATCH("DEFAULT_SELF_FUND_PCT_SALES",'Margin Guidence Table'!$A$1:$AG$1,0))),0)</f>
        <v>0</v>
      </c>
      <c r="DN17" s="1054">
        <f t="array" ref="DN17">IFERROR(IF($DF17="SEGMENT",INDEX('Margin Guidence Table'!$A$1:$AG$10000,MATCH(1,('Margin Guidence Table'!$A$1:$A$10000=DD17)*('Margin Guidence Table'!$I$1:$I$10000&lt;=ROUND($CV$3,0))*('Margin Guidence Table'!$J$1:$J$10000&gt;=ROUND($CV$3,0)),0),MATCH("CIA_MEDIAN_MARGIN_GUIDENCE",'Margin Guidence Table'!$A$1:$AG$1,0)),INDEX('Margin Guidence Table'!$A$1:$AG$10000,MATCH(1,('Margin Guidence Table'!$A$1:$A$10000=DD17)*('Margin Guidence Table'!$I$1:$I$10000&lt;=ROUND($CV$3,0))*('Margin Guidence Table'!$J$1:$J$10000&gt;=ROUND($CV$3,0)),0),MATCH("DEFAULT_CIA_MEDIAN_MARGIN_GUIDENCE",'Margin Guidence Table'!$A$1:$AG$1,0))),0)</f>
        <v>0</v>
      </c>
      <c r="DO17" s="127"/>
      <c r="DP17" s="18">
        <f t="array" ref="DP17">IFERROR(IF($EC17="SEGMENT",INDEX('Margin Guidence Table'!$A$1:$AG$10000,MATCH(1,('Margin Guidence Table'!$A$1:$A$10000=$EA17)*('Margin Guidence Table'!$I$1:$I$10000&lt;=ROUND($DS$3,0))*('Margin Guidence Table'!$J$1:$J$10000&gt;=ROUND($DS$3,0)),0),MATCH("PCT_SALES",'Margin Guidence Table'!$A$1:$AG$1,0)),INDEX('Margin Guidence Table'!$A$1:$AG$10000,MATCH(1,('Margin Guidence Table'!$A$1:$A$10000=$EA17)*('Margin Guidence Table'!$I$1:$I$10000&lt;=ROUND($DS$3,0))*('Margin Guidence Table'!$J$1:$J$10000&gt;=ROUND($DS$3,0)),0),MATCH("DEFAULT_PCT_SALES",'Margin Guidence Table'!$A$1:$AG$1,0))),0)</f>
        <v>0</v>
      </c>
      <c r="DQ17" s="370" t="e">
        <f t="shared" si="32"/>
        <v>#DIV/0!</v>
      </c>
      <c r="DR17" s="100" t="s">
        <v>102</v>
      </c>
      <c r="DS17" s="92">
        <f>IFERROR(IF(AND($DS$2&lt;&gt;"Enter Spend&gt;&gt;&gt;",DT5="EXISTING"),SUMIFS('Existing Customers'!$Q:$Q,'Existing Customers'!$A:$A,$DS$1,'Existing Customers'!$H:$H,$DR17)*$DS$4,$DS$3*$DQ17),0)</f>
        <v>0</v>
      </c>
      <c r="DT17" s="87">
        <f>IFERROR(IF(AND($DS$2&lt;&gt;"Enter Spend&gt;&gt;&gt;",DT2="EXISTING"),SUMIFS('Existing Customers'!$N:$N,'Existing Customers'!$A:$A,$DS$1,'Existing Customers'!$H:$H,$DR17)*$DS$4,$DS17/$ED17),0)</f>
        <v>0</v>
      </c>
      <c r="DU17" s="93">
        <f>IFERROR(IF(AND($DS$2&lt;&gt;"Enter Spend&gt;&gt;&gt;",DT2="EXISTING"),SUMIFS('Existing Customers'!$O:$O,'Existing Customers'!$H:$H,$DR17,'Existing Customers'!$A:$A,$DS$1)*$DS$4,$DT17*$DS$8),0)</f>
        <v>0</v>
      </c>
      <c r="DV17" s="93">
        <f>IFERROR(IF(AND($DS$2&lt;&gt;"Enter Spend&gt;&gt;&gt;",DT2="EXISTING"),SUMIFS('Existing Customers'!$P:$P,'Existing Customers'!$A:$A,$DS$1,'Existing Customers'!$H:$H,$DR17)*$DS$4,$DS17/$EE17),0)</f>
        <v>0</v>
      </c>
      <c r="DW17" s="94">
        <f>IFERROR(IF(AND($DS$2&lt;&gt;"Enter Spend&gt;&gt;&gt;",EQ2="EXISTING"),SUMIFS('Existing Customers'!$V:$V,'Existing Customers'!$H:$H,$DR17,'Existing Customers'!$A:$A,$DS$1)*$DS$4,0),0)</f>
        <v>0</v>
      </c>
      <c r="DX17" s="94">
        <f>IFERROR(IF(AND($DS$2&lt;&gt;"Enter Spend&gt;&gt;&gt;",DT2="EXISTING"),SUMIFS('Existing Customers'!$R:$R,'Existing Customers'!$H:$H,$DR17,'Existing Customers'!$A:$A,$DS$1)*$DS$4,0),0)</f>
        <v>0</v>
      </c>
      <c r="DY17" s="1050">
        <f>IFERROR(IF(AND($DS$2&lt;&gt;"Enter Spend&gt;&gt;&gt;",DT2="EXISTING"),SUMIFS('Existing Customers'!$S:$S,'Existing Customers'!$H:$H,$DT17,'Existing Customers'!$A:$A,$DS$1),EI17*DS17),0)</f>
        <v>0</v>
      </c>
      <c r="DZ17" s="1050">
        <f>IFERROR(IF(AND($DS$2&lt;&gt;"Enter Spend&gt;&gt;&gt;",DT2="EXISTING"),SUMIFS('Existing Customers'!$U:$U,'Existing Customers'!$H:$H,$DR17,'Existing Customers'!$A:$A,$DS$1),EJ17*DS17),0)</f>
        <v>0</v>
      </c>
      <c r="EA17" s="1053" t="e">
        <f>_xlfn.CONCAT('Customer Inputs'!$AG$9,"_",DR17)</f>
        <v>#N/A</v>
      </c>
      <c r="EB17" s="1053">
        <f t="array" ref="EB17">IFERROR(INDEX('Margin Guidence Table'!$A$1:$AG$10000,MATCH(1,('Margin Guidence Table'!$A$1:$A$10000=EA17)*('Margin Guidence Table'!$I$1:$I$10000&lt;=ROUND($DS$3,0))*('Margin Guidence Table'!$J$1:$J$10000&gt;=ROUND($DS$3,0)),0),MATCH("DATA_POINTS",'Margin Guidence Table'!$A$1:$AG$1,0)),0)</f>
        <v>0</v>
      </c>
      <c r="EC17" s="1050" t="str">
        <f t="shared" si="33"/>
        <v>DEFAULT</v>
      </c>
      <c r="ED17" s="1050">
        <f t="array" ref="ED17">IFERROR(IF($EC17="SEGMENT",INDEX('Margin Guidence Table'!$A$1:$AG$10000,MATCH(1,('Margin Guidence Table'!$A$1:$A$10000=EA17)*('Margin Guidence Table'!$I$1:$I$10000&lt;=ROUND($DS$3,0))*('Margin Guidence Table'!$J$1:$J$10000&gt;=ROUND($DS$3,0)),0),MATCH("SALES_CASE",'Margin Guidence Table'!$A$1:$AG$1,0)),INDEX('Margin Guidence Table'!$A$1:$AG$10000,MATCH(1,('Margin Guidence Table'!$A$1:$A$10000=EA17)*('Margin Guidence Table'!$I$1:$I$10000&lt;=ROUND($DS$3,0))*('Margin Guidence Table'!$J$1:$J$10000&gt;=ROUND($DS$3,0)),0),MATCH("DEFAULT_SALES_CASE",'Margin Guidence Table'!$A$1:$AG$1,0))),0)</f>
        <v>0</v>
      </c>
      <c r="EE17" s="1050">
        <f t="array" ref="EE17">IFERROR(IF($EC17="SEGMENT",INDEX('Margin Guidence Table'!$A$1:$AG$10000,MATCH(1,('Margin Guidence Table'!$A$1:$A$10000=EA17)*('Margin Guidence Table'!$I$1:$I$10000&lt;=ROUND($DS$3,0))*('Margin Guidence Table'!$J$1:$J$10000&gt;=ROUND($DS$3,0)),0),MATCH("SALES_LBS",'Margin Guidence Table'!$A$1:$AG$1,0)),INDEX('Margin Guidence Table'!$A$1:$AG$10000,MATCH(1,('Margin Guidence Table'!$A$1:$A$10000=EA17)*('Margin Guidence Table'!$I$1:$I$10000&lt;=ROUND($DS$3,0))*('Margin Guidence Table'!$J$1:$J$10000&gt;=ROUND($DS$3,0)),0),MATCH("DEFAULT_SALES_LBS",'Margin Guidence Table'!$A$1:$AG$1,0))),0)</f>
        <v>0</v>
      </c>
      <c r="EF17" s="1054">
        <f t="array" ref="EF17">IFERROR(IF($EC17="SEGMENT",INDEX('Margin Guidence Table'!$A$1:$AG$10000,MATCH(1,('Margin Guidence Table'!$A$1:$A$10000=EA17)*('Margin Guidence Table'!$I$1:$I$10000&lt;=ROUND($DS$3,0))*('Margin Guidence Table'!$J$1:$J$10000&gt;=ROUND($DS$3,0)),0),MATCH("MDA_MIN_MARGIN_GUIDENCE",'Margin Guidence Table'!$A$1:$AG$1,0)),INDEX('Margin Guidence Table'!$A$1:$AG$10000,MATCH(1,('Margin Guidence Table'!$A$1:$A$10000=EA17)*('Margin Guidence Table'!$I$1:$I$10000&lt;=ROUND($DS$3,0))*('Margin Guidence Table'!$J$1:$J$10000&gt;=ROUND($DS$3,0)),0),MATCH("DEFAULT_MDA_MIN_MARGIN_GUIDENCE",'Margin Guidence Table'!$A$1:$AG$1,0))),0)</f>
        <v>0</v>
      </c>
      <c r="EG17" s="1054">
        <f t="array" ref="EG17">IFERROR(IF($EC17="SEGMENT",INDEX('Margin Guidence Table'!$A$1:$AG$10000,MATCH(1,('Margin Guidence Table'!$A$1:$A$10000=EA17)*('Margin Guidence Table'!$I$1:$I$10000&lt;=ROUND($DS$3,0))*('Margin Guidence Table'!$J$1:$J$10000&gt;=ROUND($DS$3,0)),0),MATCH("MDA_MEDIAN_MARGIN_GUIDENCE",'Margin Guidence Table'!$A$1:$AG$1,0)),INDEX('Margin Guidence Table'!$A$1:$AG$10000,MATCH(1,('Margin Guidence Table'!$A$1:$A$10000=EA17)*('Margin Guidence Table'!$I$1:$I$10000&lt;=ROUND($DS$3,0))*('Margin Guidence Table'!$J$1:$J$10000&gt;=ROUND($DS$3,0)),0),MATCH("DEFAULT_MDA_MEDIAN_MARGIN_GUIDENCE",'Margin Guidence Table'!$A$1:$AG$1,0))),0)</f>
        <v>0</v>
      </c>
      <c r="EH17" s="1054">
        <f t="array" ref="EH17">IFERROR(IF($EC17="SEGMENT",INDEX('Margin Guidence Table'!$A$1:$AG$10000,MATCH(1,('Margin Guidence Table'!$A$1:$A$10000=EA17)*('Margin Guidence Table'!$I$1:$I$10000&lt;=ROUND($DS$3,0))*('Margin Guidence Table'!$J$1:$J$10000&gt;=ROUND($DS$3,0)),0),MATCH("MDA_MAX_MARGIN_GUIDENCE",'Margin Guidence Table'!$A$1:$AG$1,0)),INDEX('Margin Guidence Table'!$A$1:$AG$10000,MATCH(1,('Margin Guidence Table'!$A$1:$A$10000=EA17)*('Margin Guidence Table'!$I$1:$I$10000&lt;=ROUND($DS$3,0))*('Margin Guidence Table'!$J$1:$J$10000&gt;=ROUND($DS$3,0)),0),MATCH("DEFAULT_MDA_MAX_MARGIN_GUIDENCE",'Margin Guidence Table'!$A$1:$AG$1,0))),0)</f>
        <v>0</v>
      </c>
      <c r="EI17" s="1054">
        <f t="array" ref="EI17">IFERROR(IF($EC17="SEGMENT",INDEX('Margin Guidence Table'!$A$1:$AG$10000,MATCH(1,('Margin Guidence Table'!$A$1:$A$10000=EA17)*('Margin Guidence Table'!$I$1:$I$10000&lt;=ROUND($DS$3,0))*('Margin Guidence Table'!$J$1:$J$10000&gt;=ROUND($DS$3,0)),0),MATCH("PA_PCT_SALES",'Margin Guidence Table'!$A$1:$AG$1,0)),INDEX('Margin Guidence Table'!$A$1:$AG$10000,MATCH(1,('Margin Guidence Table'!$A$1:$A$10000=EA17)*('Margin Guidence Table'!$I$1:$I$10000&lt;=ROUND($DS$3,0))*('Margin Guidence Table'!$J$1:$J$10000&gt;=ROUND($DS$3,0)),0),MATCH("DEFAULT_PA_PCT_SALES",'Margin Guidence Table'!$A$1:$AG$1,0))),0)</f>
        <v>0</v>
      </c>
      <c r="EJ17" s="1054">
        <f t="array" ref="EJ17">IFERROR(IF($EC17="SEGMENT",INDEX('Margin Guidence Table'!$A$1:$AG$10000,MATCH(1,('Margin Guidence Table'!$A$1:$A$10000=EA17)*('Margin Guidence Table'!$I$1:$I$10000&lt;=ROUND($DS$3,0))*('Margin Guidence Table'!$J$1:$J$10000&gt;=ROUND($DS$3,0)),0),MATCH("SELF_FUND_PCT_SALES",'Margin Guidence Table'!$A$1:$AG$1,0)),INDEX('Margin Guidence Table'!$A$1:$AG$10000,MATCH(1,('Margin Guidence Table'!$A$1:$A$10000=EA17)*('Margin Guidence Table'!$I$1:$I$10000&lt;=ROUND($DS$3,0))*('Margin Guidence Table'!$J$1:$J$10000&gt;=ROUND($DS$3,0)),0),MATCH("DEFAULT_SELF_FUND_PCT_SALES",'Margin Guidence Table'!$A$1:$AG$1,0))),0)</f>
        <v>0</v>
      </c>
      <c r="EK17" s="1054">
        <f t="array" ref="EK17">IFERROR(IF($EC17="SEGMENT",INDEX('Margin Guidence Table'!$A$1:$AG$10000,MATCH(1,('Margin Guidence Table'!$A$1:$A$10000=EA17)*('Margin Guidence Table'!$I$1:$I$10000&lt;=ROUND($DS$3,0))*('Margin Guidence Table'!$J$1:$J$10000&gt;=ROUND($DS$3,0)),0),MATCH("CIA_MEDIAN_MARGIN_GUIDENCE",'Margin Guidence Table'!$A$1:$AG$1,0)),INDEX('Margin Guidence Table'!$A$1:$AG$10000,MATCH(1,('Margin Guidence Table'!$A$1:$A$10000=EA17)*('Margin Guidence Table'!$I$1:$I$10000&lt;=ROUND($DS$3,0))*('Margin Guidence Table'!$J$1:$J$10000&gt;=ROUND($DS$3,0)),0),MATCH("DEFAULT_CIA_MEDIAN_MARGIN_GUIDENCE",'Margin Guidence Table'!$A$1:$AG$1,0))),0)</f>
        <v>0</v>
      </c>
      <c r="EL17" s="127"/>
      <c r="EM17" s="18">
        <f t="array" ref="EM17">IFERROR(IF($EZ17="SEGMENT",INDEX('Margin Guidence Table'!$A$1:$AG$10000,MATCH(1,('Margin Guidence Table'!$A$1:$A$10000=$EX17)*('Margin Guidence Table'!$I$1:$I$10000&lt;=ROUND($EP$3,0))*('Margin Guidence Table'!$J$1:$J$10000&gt;=ROUND($EP$3,0)),0),MATCH("PCT_SALES",'Margin Guidence Table'!$A$1:$AG$1,0)),INDEX('Margin Guidence Table'!$A$1:$AG$10000,MATCH(1,('Margin Guidence Table'!$A$1:$A$10000=$EX17)*('Margin Guidence Table'!$I$1:$I$10000&lt;=ROUND($EP$3,0))*('Margin Guidence Table'!$J$1:$J$10000&gt;=ROUND($EP$3,0)),0),MATCH("DEFAULT_PCT_SALES",'Margin Guidence Table'!$A$1:$AG$1,0))),0)</f>
        <v>0</v>
      </c>
      <c r="EN17" s="370" t="e">
        <f t="shared" si="34"/>
        <v>#DIV/0!</v>
      </c>
      <c r="EO17" s="100" t="s">
        <v>102</v>
      </c>
      <c r="EP17" s="92">
        <f>IFERROR(IF(AND($EP$2&lt;&gt;"Enter Spend&gt;&gt;&gt;",EQ5="EXISTING"),SUMIFS('Existing Customers'!$Q:$Q,'Existing Customers'!$A:$A,$EP$1,'Existing Customers'!$H:$H,$EO17)*$EP$4,$EP$3*$EN17),0)</f>
        <v>0</v>
      </c>
      <c r="EQ17" s="87">
        <f>IFERROR(IF(AND($EP$2&lt;&gt;"Enter Spend&gt;&gt;&gt;",EQ2="EXISTING"),SUMIFS('Existing Customers'!$N:$N,'Existing Customers'!$A:$A,$EP$1,'Existing Customers'!$H:$H,$EO17)*$EP$4,$EP17/$FA17),0)</f>
        <v>0</v>
      </c>
      <c r="ER17" s="93">
        <f>IFERROR(IF(AND($EP$2&lt;&gt;"Enter Spend&gt;&gt;&gt;",EQ2="EXISTING"),SUMIFS('Existing Customers'!$O:$O,'Existing Customers'!$H:$H,$EO17,'Existing Customers'!$A:$A,$EP$1)*$EP$4,$EQ17*$EP$8),0)</f>
        <v>0</v>
      </c>
      <c r="ES17" s="93">
        <f>IFERROR(IF(AND($EP$2&lt;&gt;"Enter Spend&gt;&gt;&gt;",EQ2="EXISTING"),SUMIFS('Existing Customers'!$P:$P,'Existing Customers'!$A:$A,$EP$1,'Existing Customers'!$H:$H,$EO17)*$EP$4,$EP17/$FB17),0)</f>
        <v>0</v>
      </c>
      <c r="ET17" s="94">
        <f>IFERROR(IF(AND($EP$2&lt;&gt;"Enter Spend&gt;&gt;&gt;",EQ2="EXISTING"),SUMIFS('Existing Customers'!$V:$V,'Existing Customers'!$H:$H,$EO17,'Existing Customers'!$A:$A,$EP$1)*$EP$4,0),0)</f>
        <v>0</v>
      </c>
      <c r="EU17" s="94">
        <f>IFERROR(IF(AND($EP$2&lt;&gt;"Enter Spend&gt;&gt;&gt;",EQ2="EXISTING"),SUMIFS('Existing Customers'!$R:$R,'Existing Customers'!$H:$H,$EO17,'Existing Customers'!$A:$A,$EP$1)*$EP$4,0),0)</f>
        <v>0</v>
      </c>
      <c r="EV17" s="1050">
        <f>IFERROR(IF(AND($EP$2&lt;&gt;"Enter Spend&gt;&gt;&gt;",EQ2="EXISTING"),SUMIFS('Existing Customers'!$S:$S,'Existing Customers'!$H:$H,$EO17,'Existing Customers'!$A:$A,$EP$1),FF17*EP17),0)</f>
        <v>0</v>
      </c>
      <c r="EW17" s="1050">
        <f>IFERROR(IF(AND($EP$2&lt;&gt;"Enter Spend&gt;&gt;&gt;",EQ2="EXISTING"),SUMIFS('Existing Customers'!$U:$U,'Existing Customers'!$H:$H,$EO17,'Existing Customers'!$A:$A,$EP$1),FG17*EP17),0)</f>
        <v>0</v>
      </c>
      <c r="EX17" s="1053" t="e">
        <f>_xlfn.CONCAT('Customer Inputs'!$AG$10,"_",EO17)</f>
        <v>#N/A</v>
      </c>
      <c r="EY17" s="1053">
        <f t="array" ref="EY17">IFERROR(INDEX('Margin Guidence Table'!$A$1:$AG$10000,MATCH(1,('Margin Guidence Table'!$A$1:$A$10000=EX17)*('Margin Guidence Table'!$I$1:$I$10000&lt;=ROUND($EP$3,0))*('Margin Guidence Table'!$J$1:$J$10000&gt;=ROUND($EP$3,0)),0),MATCH("DATA_POINTS",'Margin Guidence Table'!$A$1:$AG$1,0)),0)</f>
        <v>0</v>
      </c>
      <c r="EZ17" s="1050" t="str">
        <f t="shared" si="35"/>
        <v>DEFAULT</v>
      </c>
      <c r="FA17" s="1050">
        <f t="array" ref="FA17">IFERROR(IF($EZ17="SEGMENT",INDEX('Margin Guidence Table'!$A$1:$AG$10000,MATCH(1,('Margin Guidence Table'!$A$1:$A$10000=EX17)*('Margin Guidence Table'!$I$1:$I$10000&lt;=ROUND($EP$3,0))*('Margin Guidence Table'!$J$1:$J$10000&gt;=ROUND($EP$3,0)),0),MATCH("SALES_CASE",'Margin Guidence Table'!$A$1:$AG$1,0)),INDEX('Margin Guidence Table'!$A$1:$AG$10000,MATCH(1,('Margin Guidence Table'!$A$1:$A$10000=EX17)*('Margin Guidence Table'!$I$1:$I$10000&lt;=ROUND($EP$3,0))*('Margin Guidence Table'!$J$1:$J$10000&gt;=ROUND($EP$3,0)),0),MATCH("DEFAULT_SALES_CASE",'Margin Guidence Table'!$A$1:$AG$1,0))),0)</f>
        <v>0</v>
      </c>
      <c r="FB17" s="1050" cm="1">
        <f t="array" ref="FB17">IFERROR(IF($EZ17="SEGMENT",INDEX('Margin Guidence Table'!$A$1:$AG$10000,MATCH(1,('Margin Guidence Table'!$A$1:$A$10000=EX17)*('Margin Guidence Table'!$I$1:$I$10000&lt;=ROUND($EP$3,0))*('Margin Guidence Table'!$J$1:$J$10000&gt;=ROUND($EP$3,0)),0),MATCH("SALES_LBS",'Margin Guidence Table'!$A$1:$AG$1,0)),INDEX('Margin Guidence Table'!$A$1:$AG$10000,MATCH(1,('Margin Guidence Table'!$A$1:$A$10000=EX17)*('Margin Guidence Table'!$I$1:$I$10000&lt;=ROUND($EP$3,0))*('Margin Guidence Table'!$J$1:$J$10000&gt;=ROUND($EP$3,0)),0),MATCH("DEFAULT_SALES_LBS",'Margin Guidence Table'!$A$1:$AG$1,0))),0)</f>
        <v>0</v>
      </c>
      <c r="FC17" s="1054">
        <f t="array" ref="FC17">IFERROR(IF($EZ17="SEGMENT",INDEX('Margin Guidence Table'!$A$1:$AG$10000,MATCH(1,('Margin Guidence Table'!$A$1:$A$10000=EX17)*('Margin Guidence Table'!$I$1:$I$10000&lt;=ROUND($EP$3,0))*('Margin Guidence Table'!$J$1:$J$10000&gt;=ROUND($EP$3,0)),0),MATCH("MDA_MIN_MARGIN_GUIDENCE",'Margin Guidence Table'!$A$1:$AG$1,0)),INDEX('Margin Guidence Table'!$A$1:$AG$10000,MATCH(1,('Margin Guidence Table'!$A$1:$A$10000=EX17)*('Margin Guidence Table'!$I$1:$I$10000&lt;=ROUND($EP$3,0))*('Margin Guidence Table'!$J$1:$J$10000&gt;=ROUND($EP$3,0)),0),MATCH("DEFAULT_MDA_MIN_MARGIN_GUIDENCE",'Margin Guidence Table'!$A$1:$AG$1,0))),0)</f>
        <v>0</v>
      </c>
      <c r="FD17" s="1054">
        <f t="array" ref="FD17">IFERROR(IF($EZ17="SEGMENT",INDEX('Margin Guidence Table'!$A$1:$AG$10000,MATCH(1,('Margin Guidence Table'!$A$1:$A$10000=EX17)*('Margin Guidence Table'!$I$1:$I$10000&lt;=ROUND($EP$3,0))*('Margin Guidence Table'!$J$1:$J$10000&gt;=ROUND($EP$3,0)),0),MATCH("MDA_MEDIAN_MARGIN_GUIDENCE",'Margin Guidence Table'!$A$1:$AG$1,0)),INDEX('Margin Guidence Table'!$A$1:$AG$10000,MATCH(1,('Margin Guidence Table'!$A$1:$A$10000=EX17)*('Margin Guidence Table'!$I$1:$I$10000&lt;=ROUND($EP$3,0))*('Margin Guidence Table'!$J$1:$J$10000&gt;=ROUND($EP$3,0)),0),MATCH("DEFAULT_MDA_MEDIAN_MARGIN_GUIDENCE",'Margin Guidence Table'!$A$1:$AG$1,0))),0)</f>
        <v>0</v>
      </c>
      <c r="FE17" s="1054">
        <f t="array" ref="FE17">IFERROR(IF($EZ17="SEGMENT",INDEX('Margin Guidence Table'!$A$1:$AG$10000,MATCH(1,('Margin Guidence Table'!$A$1:$A$10000=EX17)*('Margin Guidence Table'!$I$1:$I$10000&lt;=ROUND($EP$3,0))*('Margin Guidence Table'!$J$1:$J$10000&gt;=ROUND($EP$3,0)),0),MATCH("MDA_MAX_MARGIN_GUIDENCE",'Margin Guidence Table'!$A$1:$AG$1,0)),INDEX('Margin Guidence Table'!$A$1:$AG$10000,MATCH(1,('Margin Guidence Table'!$A$1:$A$10000=EX17)*('Margin Guidence Table'!$I$1:$I$10000&lt;=ROUND($EP$3,0))*('Margin Guidence Table'!$J$1:$J$10000&gt;=ROUND($EP$3,0)),0),MATCH("DEFAULT_MDA_MAX_MARGIN_GUIDENCE",'Margin Guidence Table'!$A$1:$AG$1,0))),0)</f>
        <v>0</v>
      </c>
      <c r="FF17" s="1054">
        <f t="array" ref="FF17">IFERROR(IF($EZ17="SEGMENT",INDEX('Margin Guidence Table'!$A$1:$AG$10000,MATCH(1,('Margin Guidence Table'!$A$1:$A$10000=EX17)*('Margin Guidence Table'!$I$1:$I$10000&lt;=ROUND($EP$3,0))*('Margin Guidence Table'!$J$1:$J$10000&gt;=ROUND($EP$3,0)),0),MATCH("PA_PCT_SALES",'Margin Guidence Table'!$A$1:$AG$1,0)),INDEX('Margin Guidence Table'!$A$1:$AG$10000,MATCH(1,('Margin Guidence Table'!$A$1:$A$10000=EX17)*('Margin Guidence Table'!$I$1:$I$10000&lt;=ROUND($EP$3,0))*('Margin Guidence Table'!$J$1:$J$10000&gt;=ROUND($EP$3,0)),0),MATCH("DEFAULT_PA_PCT_SALES",'Margin Guidence Table'!$A$1:$AG$1,0))),0)</f>
        <v>0</v>
      </c>
      <c r="FG17" s="1054">
        <f t="array" ref="FG17">IFERROR(IF($EZ17="SEGMENT",INDEX('Margin Guidence Table'!$A$1:$AG$10000,MATCH(1,('Margin Guidence Table'!$A$1:$A$10000=EX17)*('Margin Guidence Table'!$I$1:$I$10000&lt;=ROUND($EP$3,0))*('Margin Guidence Table'!$J$1:$J$10000&gt;=ROUND($EP$3,0)),0),MATCH("SELF_FUND_PCT_SALES",'Margin Guidence Table'!$A$1:$AG$1,0)),INDEX('Margin Guidence Table'!$A$1:$AG$10000,MATCH(1,('Margin Guidence Table'!$A$1:$A$10000=EX17)*('Margin Guidence Table'!$I$1:$I$10000&lt;=ROUND($EP$3,0))*('Margin Guidence Table'!$J$1:$J$10000&gt;=ROUND($EP$3,0)),0),MATCH("DEFAULT_SELF_FUND_PCT_SALES",'Margin Guidence Table'!$A$1:$AG$1,0))),0)</f>
        <v>0</v>
      </c>
      <c r="FH17" s="1054">
        <f t="array" ref="FH17">IFERROR(IF($EZ17="SEGMENT",INDEX('Margin Guidence Table'!$A$1:$AG$10000,MATCH(1,('Margin Guidence Table'!$A$1:$A$10000=EX17)*('Margin Guidence Table'!$I$1:$I$10000&lt;=ROUND($EP$3,0))*('Margin Guidence Table'!$J$1:$J$10000&gt;=ROUND($EP$3,0)),0),MATCH("CIA_MEDIAN_MARGIN_GUIDENCE",'Margin Guidence Table'!$A$1:$AG$1,0)),INDEX('Margin Guidence Table'!$A$1:$AG$10000,MATCH(1,('Margin Guidence Table'!$A$1:$A$10000=EX17)*('Margin Guidence Table'!$I$1:$I$10000&lt;=ROUND($EP$3,0))*('Margin Guidence Table'!$J$1:$J$10000&gt;=ROUND($EP$3,0)),0),MATCH("DEFAULT_CIA_MEDIAN_MARGIN_GUIDENCE",'Margin Guidence Table'!$A$1:$AG$1,0))),0)</f>
        <v>0</v>
      </c>
      <c r="FI17" s="127"/>
      <c r="FJ17" s="18">
        <f t="array" ref="FJ17">IFERROR(IF($FW17="SEGMENT",INDEX('Margin Guidence Table'!$A$1:$AG$10000,MATCH(1,('Margin Guidence Table'!$A$1:$A$10000=$FU17)*('Margin Guidence Table'!$I$1:$I$10000&lt;=ROUND($FM$3,0))*('Margin Guidence Table'!$J$1:$J$10000&gt;=ROUND($FM$3,0)),0),MATCH("PCT_SALES",'Margin Guidence Table'!$A$1:$AG$1,0)),INDEX('Margin Guidence Table'!$A$1:$AG$10000,MATCH(1,('Margin Guidence Table'!$A$1:$A$10000=$FU17)*('Margin Guidence Table'!$I$1:$I$10000&lt;=ROUND($FM$3,0))*('Margin Guidence Table'!$J$1:$J$10000&gt;=ROUND($FM$3,0)),0),MATCH("DEFAULT_PCT_SALES",'Margin Guidence Table'!$A$1:$AG$1,0))),0)</f>
        <v>0</v>
      </c>
      <c r="FK17" s="370" t="e">
        <f t="shared" si="36"/>
        <v>#DIV/0!</v>
      </c>
      <c r="FL17" s="100" t="s">
        <v>102</v>
      </c>
      <c r="FM17" s="92">
        <f>IFERROR(IF(AND($FM$2&lt;&gt;"Enter Spend&gt;&gt;&gt;",FN5="EXISTING"),SUMIFS('Existing Customers'!$Q:$Q,'Existing Customers'!$A:$A,$FM$1,'Existing Customers'!$H:$H,$FL17)*$FM$4,$FM$3*$FK17),0)</f>
        <v>0</v>
      </c>
      <c r="FN17" s="87">
        <f>IFERROR(IF(AND($FM$2&lt;&gt;"Enter Spend&gt;&gt;&gt;",FN2="EXISTING"),SUMIFS('Existing Customers'!$N:$N,'Existing Customers'!$A:$A,$FM$1,'Existing Customers'!$H:$H,$FL17)*$FM$4,$FM17/$FX17),0)</f>
        <v>0</v>
      </c>
      <c r="FO17" s="93">
        <f>IFERROR(IF(AND($FM$2&lt;&gt;"Enter Spend&gt;&gt;&gt;",FN2="EXISTING"),SUMIFS('Existing Customers'!$O:$O,'Existing Customers'!$H:$H,$FL17,'Existing Customers'!$A:$A,$FM$1)*$FM$4,$FN17*$FM$8),0)</f>
        <v>0</v>
      </c>
      <c r="FP17" s="93">
        <f>IFERROR(IF(AND($FM$2&lt;&gt;"Enter Spend&gt;&gt;&gt;",FN2="EXISTING"),SUMIFS('Existing Customers'!$P:$P,'Existing Customers'!$A:$A,$FM$1,'Existing Customers'!$H:$H,$FL17)*$FM$4,$FM17/$FY17),0)</f>
        <v>0</v>
      </c>
      <c r="FQ17" s="94">
        <f>IFERROR(IF(AND($FM$2&lt;&gt;"Enter Spend&gt;&gt;&gt;",FN2="EXISTING"),SUMIFS('Existing Customers'!$V:$V,'Existing Customers'!$H:$H,$FL17,'Existing Customers'!$A:$A,$FM$1)*$FM$4,0),0)</f>
        <v>0</v>
      </c>
      <c r="FR17" s="94">
        <f>IFERROR(IF(AND($FM$2&lt;&gt;"Enter Spend&gt;&gt;&gt;",FN2="EXISTING"),SUMIFS('Existing Customers'!$R:$R,'Existing Customers'!$H:$H,$FL17,'Existing Customers'!$A:$A,$FM$1)*$FM$4,0),0)</f>
        <v>0</v>
      </c>
      <c r="FS17" s="1050">
        <f>IFERROR(IF(AND($FM$2&lt;&gt;"Enter Spend&gt;&gt;&gt;",FN2="EXISTING"),SUMIFS('Existing Customers'!$S:$S,'Existing Customers'!$H:$H,$FL17,'Existing Customers'!$A:$A,$FM$1),GC17*FM17),0)</f>
        <v>0</v>
      </c>
      <c r="FT17" s="1050">
        <f>IFERROR(IF(AND($FM$2&lt;&gt;"Enter Spend&gt;&gt;&gt;",FN2="EXISTING"),SUMIFS('Existing Customers'!$U:$U,'Existing Customers'!$H:$H,$FL17,'Existing Customers'!$A:$A,$FM$1),GD17*FM17),0)</f>
        <v>0</v>
      </c>
      <c r="FU17" s="1053" t="e">
        <f>_xlfn.CONCAT('Customer Inputs'!$AG$11,"_",FL17)</f>
        <v>#N/A</v>
      </c>
      <c r="FV17" s="1053">
        <f t="array" ref="FV17">IFERROR(INDEX('Margin Guidence Table'!$A$1:$AG$10000,MATCH(1,('Margin Guidence Table'!$A$1:$A$10000=FU17)*('Margin Guidence Table'!$I$1:$I$10000&lt;=ROUND($FM$3,0))*('Margin Guidence Table'!$J$1:$J$10000&gt;=ROUND($FM$3,0)),0),MATCH("DATA_POINTS",'Margin Guidence Table'!$A$1:$AG$1,0)),0)</f>
        <v>0</v>
      </c>
      <c r="FW17" s="1050" t="str">
        <f t="shared" si="37"/>
        <v>DEFAULT</v>
      </c>
      <c r="FX17" s="1050">
        <f t="array" ref="FX17">IFERROR(IF($FW17="SEGMENT",INDEX('Margin Guidence Table'!$A$1:$AG$10000,MATCH(1,('Margin Guidence Table'!$A$1:$A$10000=FU17)*('Margin Guidence Table'!$I$1:$I$10000&lt;=ROUND($FM$3,0))*('Margin Guidence Table'!$J$1:$J$10000&gt;=ROUND($FM$3,0)),0),MATCH("SALES_CASE",'Margin Guidence Table'!$A$1:$AG$1,0)),INDEX('Margin Guidence Table'!$A$1:$AG$10000,MATCH(1,('Margin Guidence Table'!$A$1:$A$10000=FU17)*('Margin Guidence Table'!$I$1:$I$10000&lt;=ROUND($FM$3,0))*('Margin Guidence Table'!$J$1:$J$10000&gt;=ROUND($FM$3,0)),0),MATCH("DEFAULT_SALES_CASE",'Margin Guidence Table'!$A$1:$AG$1,0))),0)</f>
        <v>0</v>
      </c>
      <c r="FY17" s="1050">
        <f t="array" ref="FY17">IFERROR(IF($FW17="SEGMENT",INDEX('Margin Guidence Table'!$A$1:$AG$10000,MATCH(1,('Margin Guidence Table'!$A$1:$A$10000=FU17)*('Margin Guidence Table'!$I$1:$I$10000&lt;=ROUND($FM$3,0))*('Margin Guidence Table'!$J$1:$J$10000&gt;=ROUND($FM$3,0)),0),MATCH("SALES_LBS",'Margin Guidence Table'!$A$1:$AG$1,0)),INDEX('Margin Guidence Table'!$A$1:$AG$10000,MATCH(1,('Margin Guidence Table'!$A$1:$A$10000=FU17)*('Margin Guidence Table'!$I$1:$I$10000&lt;=ROUND($FM$3,0))*('Margin Guidence Table'!$J$1:$J$10000&gt;=ROUND($FM$3,0)),0),MATCH("DEFAULT_SALES_LBS",'Margin Guidence Table'!$A$1:$AG$1,0))),0)</f>
        <v>0</v>
      </c>
      <c r="FZ17" s="1054">
        <f t="array" ref="FZ17">IFERROR(IF($FW17="SEGMENT",INDEX('Margin Guidence Table'!$A$1:$AG$10000,MATCH(1,('Margin Guidence Table'!$A$1:$A$10000=FU17)*('Margin Guidence Table'!$I$1:$I$10000&lt;=ROUND($FM$3,0))*('Margin Guidence Table'!$J$1:$J$10000&gt;=ROUND($FM$3,0)),0),MATCH("MDA_MIN_MARGIN_GUIDENCE",'Margin Guidence Table'!$A$1:$AG$1,0)),INDEX('Margin Guidence Table'!$A$1:$AG$10000,MATCH(1,('Margin Guidence Table'!$A$1:$A$10000=FU17)*('Margin Guidence Table'!$I$1:$I$10000&lt;=ROUND($FM$3,0))*('Margin Guidence Table'!$J$1:$J$10000&gt;=ROUND($FM$3,0)),0),MATCH("DEFAULT_MDA_MIN_MARGIN_GUIDENCE",'Margin Guidence Table'!$A$1:$AG$1,0))),0)</f>
        <v>0</v>
      </c>
      <c r="GA17" s="1054">
        <f t="array" ref="GA17">IFERROR(IF($FW17="SEGMENT",INDEX('Margin Guidence Table'!$A$1:$AG$10000,MATCH(1,('Margin Guidence Table'!$A$1:$A$10000=FU17)*('Margin Guidence Table'!$I$1:$I$10000&lt;=ROUND($FM$3,0))*('Margin Guidence Table'!$J$1:$J$10000&gt;=ROUND($FM$3,0)),0),MATCH("MDA_MEDIAN_MARGIN_GUIDENCE",'Margin Guidence Table'!$A$1:$AG$1,0)),INDEX('Margin Guidence Table'!$A$1:$AG$10000,MATCH(1,('Margin Guidence Table'!$A$1:$A$10000=FU17)*('Margin Guidence Table'!$I$1:$I$10000&lt;=ROUND($FM$3,0))*('Margin Guidence Table'!$J$1:$J$10000&gt;=ROUND($FM$3,0)),0),MATCH("DEFAULT_MDA_MEDIAN_MARGIN_GUIDENCE",'Margin Guidence Table'!$A$1:$AG$1,0))),0)</f>
        <v>0</v>
      </c>
      <c r="GB17" s="1054">
        <f t="array" ref="GB17">IFERROR(IF($FW17="SEGMENT",INDEX('Margin Guidence Table'!$A$1:$AG$10000,MATCH(1,('Margin Guidence Table'!$A$1:$A$10000=FU17)*('Margin Guidence Table'!$I$1:$I$10000&lt;=ROUND($FM$3,0))*('Margin Guidence Table'!$J$1:$J$10000&gt;=ROUND($FM$3,0)),0),MATCH("MDA_MAX_MARGIN_GUIDENCE",'Margin Guidence Table'!$A$1:$AG$1,0)),INDEX('Margin Guidence Table'!$A$1:$AG$10000,MATCH(1,('Margin Guidence Table'!$A$1:$A$10000=FU17)*('Margin Guidence Table'!$I$1:$I$10000&lt;=ROUND($FM$3,0))*('Margin Guidence Table'!$J$1:$J$10000&gt;=ROUND($FM$3,0)),0),MATCH("DEFAULT_MDA_MAX_MARGIN_GUIDENCE",'Margin Guidence Table'!$A$1:$AG$1,0))),0)</f>
        <v>0</v>
      </c>
      <c r="GC17" s="1054">
        <f t="array" ref="GC17">IFERROR(IF($FW17="SEGMENT",INDEX('Margin Guidence Table'!$A$1:$AG$10000,MATCH(1,('Margin Guidence Table'!$A$1:$A$10000=FU17)*('Margin Guidence Table'!$I$1:$I$10000&lt;=ROUND($FM$3,0))*('Margin Guidence Table'!$J$1:$J$10000&gt;=ROUND($FM$3,0)),0),MATCH("PA_PCT_SALES",'Margin Guidence Table'!$A$1:$AG$1,0)),INDEX('Margin Guidence Table'!$A$1:$AG$10000,MATCH(1,('Margin Guidence Table'!$A$1:$A$10000=FU17)*('Margin Guidence Table'!$I$1:$I$10000&lt;=ROUND($FM$3,0))*('Margin Guidence Table'!$J$1:$J$10000&gt;=ROUND($FM$3,0)),0),MATCH("DEFAULT_PA_PCT_SALES",'Margin Guidence Table'!$A$1:$AG$1,0))),0)</f>
        <v>0</v>
      </c>
      <c r="GD17" s="1054">
        <f t="array" ref="GD17">IFERROR(IF($FW17="SEGMENT",INDEX('Margin Guidence Table'!$A$1:$AG$10000,MATCH(1,('Margin Guidence Table'!$A$1:$A$10000=FU17)*('Margin Guidence Table'!$I$1:$I$10000&lt;=ROUND($FM$3,0))*('Margin Guidence Table'!$J$1:$J$10000&gt;=ROUND($FM$3,0)),0),MATCH("SELF_FUND_PCT_SALES",'Margin Guidence Table'!$A$1:$AG$1,0)),INDEX('Margin Guidence Table'!$A$1:$AG$10000,MATCH(1,('Margin Guidence Table'!$A$1:$A$10000=FU17)*('Margin Guidence Table'!$I$1:$I$10000&lt;=ROUND($FM$3,0))*('Margin Guidence Table'!$J$1:$J$10000&gt;=ROUND($FM$3,0)),0),MATCH("DEFAULT_SELF_FUND_PCT_SALES",'Margin Guidence Table'!$A$1:$AG$1,0))),0)</f>
        <v>0</v>
      </c>
      <c r="GE17" s="1054">
        <f t="array" ref="GE17">IFERROR(IF($FW17="SEGMENT",INDEX('Margin Guidence Table'!$A$1:$AG$10000,MATCH(1,('Margin Guidence Table'!$A$1:$A$10000=FU17)*('Margin Guidence Table'!$I$1:$I$10000&lt;=ROUND($FM$3,0))*('Margin Guidence Table'!$J$1:$J$10000&gt;=ROUND($FM$3,0)),0),MATCH("CIA_MEDIAN_MARGIN_GUIDENCE",'Margin Guidence Table'!$A$1:$AG$1,0)),INDEX('Margin Guidence Table'!$A$1:$AG$10000,MATCH(1,('Margin Guidence Table'!$A$1:$A$10000=FU17)*('Margin Guidence Table'!$I$1:$I$10000&lt;=ROUND($FM$3,0))*('Margin Guidence Table'!$J$1:$J$10000&gt;=ROUND($FM$3,0)),0),MATCH("DEFAULT_CIA_MEDIAN_MARGIN_GUIDENCE",'Margin Guidence Table'!$A$1:$AG$1,0))),0)</f>
        <v>0</v>
      </c>
      <c r="GF17" s="127"/>
      <c r="GG17" s="18">
        <f t="array" ref="GG17">IFERROR(IF($GT17="SEGMENT",INDEX('Margin Guidence Table'!$A$1:$AG$10000,MATCH(1,('Margin Guidence Table'!$A$1:$A$10000=$GR17)*('Margin Guidence Table'!$I$1:$I$10000&lt;=ROUND($GJ$3,0))*('Margin Guidence Table'!$J$1:$J$10000&gt;=ROUND($GJ$3,0)),0),MATCH("PCT_SALES",'Margin Guidence Table'!$A$1:$AG$1,0)),INDEX('Margin Guidence Table'!$A$1:$AG$10000,MATCH(1,('Margin Guidence Table'!$A$1:$A$10000=$GR17)*('Margin Guidence Table'!$I$1:$I$10000&lt;=ROUND($GJ$3,0))*('Margin Guidence Table'!$J$1:$J$10000&gt;=ROUND($GJ$3,0)),0),MATCH("DEFAULT_PCT_SALES",'Margin Guidence Table'!$A$1:$AG$1,0))),0)</f>
        <v>0</v>
      </c>
      <c r="GH17" s="370" t="e">
        <f t="shared" si="38"/>
        <v>#DIV/0!</v>
      </c>
      <c r="GI17" s="100" t="s">
        <v>102</v>
      </c>
      <c r="GJ17" s="92">
        <f>IFERROR(IF(AND($GJ$2&lt;&gt;"Enter Spend&gt;&gt;&gt;",GK5="EXISTING"),SUMIFS('Existing Customers'!$Q:$Q,'Existing Customers'!$A:$A,$GJ$1,'Existing Customers'!$H:$H,$GI17)*$GJ$4,$GJ$3*$GH17),0)</f>
        <v>0</v>
      </c>
      <c r="GK17" s="87">
        <f>IFERROR(IF(AND($GJ$2&lt;&gt;"Enter Spend&gt;&gt;&gt;",GK2="EXISTING"),SUMIFS('Existing Customers'!$N:$N,'Existing Customers'!$A:$A,$GJ$1,'Existing Customers'!$H:$H,$GI17)*$GJ$4,$GJ17/$GU17),0)</f>
        <v>0</v>
      </c>
      <c r="GL17" s="93">
        <f>IFERROR(IF(AND($GJ$2&lt;&gt;"Enter Spend&gt;&gt;&gt;",GK2="EXISTING"),SUMIFS('Existing Customers'!$O:$O,'Existing Customers'!$H:$H,$GI17,'Existing Customers'!$A:$A,$GJ$1)*$GJ$4,$GK17*$GJ$8),0)</f>
        <v>0</v>
      </c>
      <c r="GM17" s="93">
        <f>IFERROR(IF(AND($GJ$2&lt;&gt;"Enter Spend&gt;&gt;&gt;",GK2="EXISTING"),SUMIFS('Existing Customers'!$P:$P,'Existing Customers'!$A:$A,$GJ$1,'Existing Customers'!$H:$H,$GI17)*$GJ$4,$GJ17/$GV17),0)</f>
        <v>0</v>
      </c>
      <c r="GN17" s="94">
        <f>IFERROR(IF(AND($GJ$2&lt;&gt;"Enter Spend&gt;&gt;&gt;",GK2="EXISTING"),SUMIFS('Existing Customers'!$V:$V,'Existing Customers'!$H:$H,$GI17,'Existing Customers'!$A:$A,$GJ$1)*$GJ$4,0),0)</f>
        <v>0</v>
      </c>
      <c r="GO17" s="94">
        <f>IFERROR(IF(AND($GJ$2&lt;&gt;"Enter Spend&gt;&gt;&gt;",GK2="EXISTING"),SUMIFS('Existing Customers'!$R:$R,'Existing Customers'!$H:$H,$GI17,'Existing Customers'!$A:$A,$GJ$1)*$GJ$4,0),0)</f>
        <v>0</v>
      </c>
      <c r="GP17" s="1050">
        <f>IFERROR(IF(AND($GJ$2&lt;&gt;"Enter Spend&gt;&gt;&gt;",GK2="EXISTING"),SUMIFS('Existing Customers'!$S:$S,'Existing Customers'!$H:$H,$GI17,'Existing Customers'!$A:$A,$GJ$1),GZ17*GJ17),0)</f>
        <v>0</v>
      </c>
      <c r="GQ17" s="1050">
        <f>IFERROR(IF(AND($GJ$2&lt;&gt;"Enter Spend&gt;&gt;&gt;",GK2="EXISTING"),SUMIFS('Existing Customers'!$U:$U,'Existing Customers'!$H:$H,$GI17,'Existing Customers'!$A:$A,$GJ$1),HA17*GJ17),0)</f>
        <v>0</v>
      </c>
      <c r="GR17" s="1053" t="e">
        <f>_xlfn.CONCAT('Customer Inputs'!$AG$12,"_",GI17)</f>
        <v>#N/A</v>
      </c>
      <c r="GS17" s="1053">
        <f t="array" ref="GS17">IFERROR(INDEX('Margin Guidence Table'!$A$1:$AG$10000,MATCH(1,('Margin Guidence Table'!$A$1:$A$10000=GR17)*('Margin Guidence Table'!$I$1:$I$10000&lt;=ROUND($GJ$3,0))*('Margin Guidence Table'!$J$1:$J$10000&gt;=ROUND($GJ$3,0)),0),MATCH("DATA_POINTS",'Margin Guidence Table'!$A$1:$AG$1,0)),0)</f>
        <v>0</v>
      </c>
      <c r="GT17" s="1050" t="str">
        <f t="shared" si="39"/>
        <v>DEFAULT</v>
      </c>
      <c r="GU17" s="1050">
        <f t="array" ref="GU17">IFERROR(IF($GT17="SEGMENT",INDEX('Margin Guidence Table'!$A$1:$AG$10000,MATCH(1,('Margin Guidence Table'!$A$1:$A$10000=GR17)*('Margin Guidence Table'!$I$1:$I$10000&lt;=ROUND($GJ$3,0))*('Margin Guidence Table'!$J$1:$J$10000&gt;=ROUND($GJ$3,0)),0),MATCH("SALES_CASE",'Margin Guidence Table'!$A$1:$AG$1,0)),INDEX('Margin Guidence Table'!$A$1:$AG$10000,MATCH(1,('Margin Guidence Table'!$A$1:$A$10000=GR17)*('Margin Guidence Table'!$I$1:$I$10000&lt;=ROUND($GJ$3,0))*('Margin Guidence Table'!$J$1:$J$10000&gt;=ROUND($GJ$3,0)),0),MATCH("DEFAULT_SALES_CASE",'Margin Guidence Table'!$A$1:$AG$1,0))),0)</f>
        <v>0</v>
      </c>
      <c r="GV17" s="1050">
        <f t="array" ref="GV17">IFERROR(IF($GT17="SEGMENT",INDEX('Margin Guidence Table'!$A$1:$AG$10000,MATCH(1,('Margin Guidence Table'!$A$1:$A$10000=GR17)*('Margin Guidence Table'!$I$1:$I$10000&lt;=ROUND($GJ$3,0))*('Margin Guidence Table'!$J$1:$J$10000&gt;=ROUND($GJ$3,0)),0),MATCH("SALES_LBS",'Margin Guidence Table'!$A$1:$AG$1,0)),INDEX('Margin Guidence Table'!$A$1:$AG$10000,MATCH(1,('Margin Guidence Table'!$A$1:$A$10000=GR17)*('Margin Guidence Table'!$I$1:$I$10000&lt;=ROUND($GJ$3,0))*('Margin Guidence Table'!$J$1:$J$10000&gt;=ROUND($GJ$3,0)),0),MATCH("DEFAULT_SALES_LBS",'Margin Guidence Table'!$A$1:$AG$1,0))),0)</f>
        <v>0</v>
      </c>
      <c r="GW17" s="1054">
        <f t="array" ref="GW17">IFERROR(IF($GT17="SEGMENT",INDEX('Margin Guidence Table'!$A$1:$AG$10000,MATCH(1,('Margin Guidence Table'!$A$1:$A$10000=GR17)*('Margin Guidence Table'!$I$1:$I$10000&lt;=ROUND($GJ$3,0))*('Margin Guidence Table'!$J$1:$J$10000&gt;=ROUND($GJ$3,0)),0),MATCH("MDA_MIN_MARGIN_GUIDENCE",'Margin Guidence Table'!$A$1:$AG$1,0)),INDEX('Margin Guidence Table'!$A$1:$AG$10000,MATCH(1,('Margin Guidence Table'!$A$1:$A$10000=GR17)*('Margin Guidence Table'!$I$1:$I$10000&lt;=ROUND($GJ$3,0))*('Margin Guidence Table'!$J$1:$J$10000&gt;=ROUND($GJ$3,0)),0),MATCH("DEFAULT_MDA_MIN_MARGIN_GUIDENCE",'Margin Guidence Table'!$A$1:$AG$1,0))),0)</f>
        <v>0</v>
      </c>
      <c r="GX17" s="1054">
        <f t="array" ref="GX17">IFERROR(IF($GT17="SEGMENT",INDEX('Margin Guidence Table'!$A$1:$AG$10000,MATCH(1,('Margin Guidence Table'!$A$1:$A$10000=GR17)*('Margin Guidence Table'!$I$1:$I$10000&lt;=ROUND($GJ$3,0))*('Margin Guidence Table'!$J$1:$J$10000&gt;=ROUND($GJ$3,0)),0),MATCH("MDA_MEDIAN_MARGIN_GUIDENCE",'Margin Guidence Table'!$A$1:$AG$1,0)),INDEX('Margin Guidence Table'!$A$1:$AG$10000,MATCH(1,('Margin Guidence Table'!$A$1:$A$10000=GR17)*('Margin Guidence Table'!$I$1:$I$10000&lt;=ROUND($GJ$3,0))*('Margin Guidence Table'!$J$1:$J$10000&gt;=ROUND($GJ$3,0)),0),MATCH("DEFAULT_MDA_MEDIAN_MARGIN_GUIDENCE",'Margin Guidence Table'!$A$1:$AG$1,0))),0)</f>
        <v>0</v>
      </c>
      <c r="GY17" s="1054">
        <f t="array" ref="GY17">IFERROR(IF($GT17="SEGMENT",INDEX('Margin Guidence Table'!$A$1:$AG$10000,MATCH(1,('Margin Guidence Table'!$A$1:$A$10000=GR17)*('Margin Guidence Table'!$I$1:$I$10000&lt;=ROUND($GJ$3,0))*('Margin Guidence Table'!$J$1:$J$10000&gt;=ROUND($GJ$3,0)),0),MATCH("MDA_MAX_MARGIN_GUIDENCE",'Margin Guidence Table'!$A$1:$AG$1,0)),INDEX('Margin Guidence Table'!$A$1:$AG$10000,MATCH(1,('Margin Guidence Table'!$A$1:$A$10000=GR17)*('Margin Guidence Table'!$I$1:$I$10000&lt;=ROUND($GJ$3,0))*('Margin Guidence Table'!$J$1:$J$10000&gt;=ROUND($GJ$3,0)),0),MATCH("DEFAULT_MDA_MAX_MARGIN_GUIDENCE",'Margin Guidence Table'!$A$1:$AG$1,0))),0)</f>
        <v>0</v>
      </c>
      <c r="GZ17" s="1054">
        <f t="array" ref="GZ17">IFERROR(IF($GT17="SEGMENT",INDEX('Margin Guidence Table'!$A$1:$AG$10000,MATCH(1,('Margin Guidence Table'!$A$1:$A$10000=GR17)*('Margin Guidence Table'!$I$1:$I$10000&lt;=ROUND($GJ$3,0))*('Margin Guidence Table'!$J$1:$J$10000&gt;=ROUND($GJ$3,0)),0),MATCH("PA_PCT_SALES",'Margin Guidence Table'!$A$1:$AG$1,0)),INDEX('Margin Guidence Table'!$A$1:$AG$10000,MATCH(1,('Margin Guidence Table'!$A$1:$A$10000=GR17)*('Margin Guidence Table'!$I$1:$I$10000&lt;=ROUND($GJ$3,0))*('Margin Guidence Table'!$J$1:$J$10000&gt;=ROUND($GJ$3,0)),0),MATCH("DEFAULT_PA_PCT_SALES",'Margin Guidence Table'!$A$1:$AG$1,0))),0)</f>
        <v>0</v>
      </c>
      <c r="HA17" s="1054">
        <f t="array" ref="HA17">IFERROR(IF($GT17="SEGMENT",INDEX('Margin Guidence Table'!$A$1:$AG$10000,MATCH(1,('Margin Guidence Table'!$A$1:$A$10000=GR17)*('Margin Guidence Table'!$I$1:$I$10000&lt;=ROUND($GJ$3,0))*('Margin Guidence Table'!$J$1:$J$10000&gt;=ROUND($GJ$3,0)),0),MATCH("SELF_FUND_PCT_SALES",'Margin Guidence Table'!$A$1:$AG$1,0)),INDEX('Margin Guidence Table'!$A$1:$AG$10000,MATCH(1,('Margin Guidence Table'!$A$1:$A$10000=GR17)*('Margin Guidence Table'!$I$1:$I$10000&lt;=ROUND($GJ$3,0))*('Margin Guidence Table'!$J$1:$J$10000&gt;=ROUND($GJ$3,0)),0),MATCH("DEFAULT_SELF_FUND_PCT_SALES",'Margin Guidence Table'!$A$1:$AG$1,0))),0)</f>
        <v>0</v>
      </c>
      <c r="HB17" s="1054">
        <f t="array" ref="HB17">IFERROR(IF($GT17="SEGMENT",INDEX('Margin Guidence Table'!$A$1:$AG$10000,MATCH(1,('Margin Guidence Table'!$A$1:$A$10000=GR17)*('Margin Guidence Table'!$I$1:$I$10000&lt;=ROUND($GJ$3,0))*('Margin Guidence Table'!$J$1:$J$10000&gt;=ROUND($GJ$3,0)),0),MATCH("CIA_MEDIAN_MARGIN_GUIDENCE",'Margin Guidence Table'!$A$1:$AG$1,0)),INDEX('Margin Guidence Table'!$A$1:$AG$10000,MATCH(1,('Margin Guidence Table'!$A$1:$A$10000=GR17)*('Margin Guidence Table'!$I$1:$I$10000&lt;=ROUND($GJ$3,0))*('Margin Guidence Table'!$J$1:$J$10000&gt;=ROUND($GJ$3,0)),0),MATCH("DEFAULT_CIA_MEDIAN_MARGIN_GUIDENCE",'Margin Guidence Table'!$A$1:$AG$1,0))),0)</f>
        <v>0</v>
      </c>
      <c r="HC17" s="127"/>
      <c r="HD17" s="18">
        <f t="array" ref="HD17">IFERROR(IF($HQ17="SEGMENT",INDEX('Margin Guidence Table'!$A$1:$AG$10000,MATCH(1,('Margin Guidence Table'!$A$1:$A$10000=$HO17)*('Margin Guidence Table'!$I$1:$I$10000&lt;=ROUND($HG$3,0))*('Margin Guidence Table'!$J$1:$J$10000&gt;=ROUND($HG$3,0)),0),MATCH("PCT_SALES",'Margin Guidence Table'!$A$1:$AG$1,0)),INDEX('Margin Guidence Table'!$A$1:$AG$10000,MATCH(1,('Margin Guidence Table'!$A$1:$A$10000=$HO17)*('Margin Guidence Table'!$I$1:$I$10000&lt;=ROUND($HG$3,0))*('Margin Guidence Table'!$J$1:$J$10000&gt;=ROUND($HG$3,0)),0),MATCH("DEFAULT_PCT_SALES",'Margin Guidence Table'!$A$1:$AG$1,0))),0)</f>
        <v>0</v>
      </c>
      <c r="HE17" s="370" t="e">
        <f t="shared" si="40"/>
        <v>#DIV/0!</v>
      </c>
      <c r="HF17" s="100" t="s">
        <v>102</v>
      </c>
      <c r="HG17" s="92">
        <f>IFERROR(IF(AND($HG$2&lt;&gt;"Enter Spend&gt;&gt;&gt;",HH5="EXISTING"),SUMIFS('Existing Customers'!$Q:$Q,'Existing Customers'!$A:$A,$HG$1,'Existing Customers'!$H:$H,$HF17)*$HG$4,$HG$3*$HE17),0)</f>
        <v>0</v>
      </c>
      <c r="HH17" s="87">
        <f>IFERROR(IF(AND($HG$2&lt;&gt;"Enter Spend&gt;&gt;&gt;",HH2="EXISTING"),SUMIFS('Existing Customers'!$N:$N,'Existing Customers'!$A:$A,$HG$1,'Existing Customers'!$H:$H,$HF17)*$HG$4,$HG17/$HR17),0)</f>
        <v>0</v>
      </c>
      <c r="HI17" s="93">
        <f>IFERROR(IF(AND($HG$2&lt;&gt;"Enter Spend&gt;&gt;&gt;",HH2="EXISTING"),SUMIFS('Existing Customers'!$O:$O,'Existing Customers'!$H:$H,$HF17,'Existing Customers'!$A:$A,$HG$1)*$HG$4,$HH17*$HG$8),0)</f>
        <v>0</v>
      </c>
      <c r="HJ17" s="93">
        <f>IFERROR(IF(AND($HG$2&lt;&gt;"Enter Spend&gt;&gt;&gt;",HH2="EXISTING"),SUMIFS('Existing Customers'!$P:$P,'Existing Customers'!$A:$A,$HG$1,'Existing Customers'!$H:$H,$HF17)*$HG$4,$HG17/$HS17),0)</f>
        <v>0</v>
      </c>
      <c r="HK17" s="94">
        <f>IFERROR(IF(AND($HG$2&lt;&gt;"Enter Spend&gt;&gt;&gt;",HH2="EXISTING"),SUMIFS('Existing Customers'!$V:$V,'Existing Customers'!$H:$H,$HF17,'Existing Customers'!$A:$A,$HG$1)*$HG$4,0),0)</f>
        <v>0</v>
      </c>
      <c r="HL17" s="94">
        <f>IFERROR(IF(AND($HG$2&lt;&gt;"Enter Spend&gt;&gt;&gt;",HH2="EXISTING"),SUMIFS('Existing Customers'!$R:$R,'Existing Customers'!$H:$H,$HF17,'Existing Customers'!$A:$A,$HG$1)*$HG$4,0),0)</f>
        <v>0</v>
      </c>
      <c r="HM17" s="1050">
        <f>IFERROR(IF(AND($HG$2&lt;&gt;"Enter Spend&gt;&gt;&gt;",HH2="EXISTING"),SUMIFS('Existing Customers'!$S:$S,'Existing Customers'!$H:$H,$HF17,'Existing Customers'!$A:$A,$HG$1),HW17*HG17),0)</f>
        <v>0</v>
      </c>
      <c r="HN17" s="1050">
        <f>IFERROR(IF(AND($HG$2&lt;&gt;"Enter Spend&gt;&gt;&gt;",HH2="EXISTING"),SUMIFS('Existing Customers'!$U:$U,'Existing Customers'!$H:$H,$HF17,'Existing Customers'!$A:$A,$HG$1),HX17*HG17),0)</f>
        <v>0</v>
      </c>
      <c r="HO17" s="1053" t="e">
        <f>_xlfn.CONCAT('Customer Inputs'!$AG$13,"_",HF17)</f>
        <v>#N/A</v>
      </c>
      <c r="HP17" s="1053">
        <f t="array" ref="HP17">IFERROR(INDEX('Margin Guidence Table'!$A$1:$AG$10000,MATCH(1,('Margin Guidence Table'!$A$1:$A$10000=HO17)*('Margin Guidence Table'!$I$1:$I$10000&lt;=ROUND($HG$3,0))*('Margin Guidence Table'!$J$1:$J$10000&gt;=ROUND($HG$3,0)),0),MATCH("DATA_POINTS",'Margin Guidence Table'!$A$1:$AG$1,0)),0)</f>
        <v>0</v>
      </c>
      <c r="HQ17" s="1050" t="str">
        <f t="shared" si="41"/>
        <v>DEFAULT</v>
      </c>
      <c r="HR17" s="1050">
        <f t="array" ref="HR17">IFERROR(IF($HQ17="SEGMENT",INDEX('Margin Guidence Table'!$A$1:$AG$10000,MATCH(1,('Margin Guidence Table'!$A$1:$A$10000=HO17)*('Margin Guidence Table'!$I$1:$I$10000&lt;=ROUND($HG$3,0))*('Margin Guidence Table'!$J$1:$J$10000&gt;=ROUND($HG$3,0)),0),MATCH("SALES_CASE",'Margin Guidence Table'!$A$1:$AG$1,0)),INDEX('Margin Guidence Table'!$A$1:$AG$10000,MATCH(1,('Margin Guidence Table'!$A$1:$A$10000=HO17)*('Margin Guidence Table'!$I$1:$I$10000&lt;=ROUND($HG$3,0))*('Margin Guidence Table'!$J$1:$J$10000&gt;=ROUND($HG$3,0)),0),MATCH("DEFAULT_SALES_CASE",'Margin Guidence Table'!$A$1:$AG$1,0))),0)</f>
        <v>0</v>
      </c>
      <c r="HS17" s="1050">
        <f t="array" ref="HS17">IFERROR(IF($HQ17="SEGMENT",INDEX('Margin Guidence Table'!$A$1:$AG$10000,MATCH(1,('Margin Guidence Table'!$A$1:$A$10000=HO17)*('Margin Guidence Table'!$I$1:$I$10000&lt;=ROUND($HG$3,0))*('Margin Guidence Table'!$J$1:$J$10000&gt;=ROUND($HG$3,0)),0),MATCH("SALES_LBS",'Margin Guidence Table'!$A$1:$AG$1,0)),INDEX('Margin Guidence Table'!$A$1:$AG$10000,MATCH(1,('Margin Guidence Table'!$A$1:$A$10000=HO17)*('Margin Guidence Table'!$I$1:$I$10000&lt;=ROUND($HG$3,0))*('Margin Guidence Table'!$J$1:$J$10000&gt;=ROUND($HG$3,0)),0),MATCH("DEFAULT_SALES_LBS",'Margin Guidence Table'!$A$1:$AG$1,0))),0)</f>
        <v>0</v>
      </c>
      <c r="HT17" s="1054">
        <f t="array" ref="HT17">IFERROR(IF($HQ17="SEGMENT",INDEX('Margin Guidence Table'!$A$1:$AG$10000,MATCH(1,('Margin Guidence Table'!$A$1:$A$10000=HO17)*('Margin Guidence Table'!$I$1:$I$10000&lt;=ROUND($HG$3,0))*('Margin Guidence Table'!$J$1:$J$10000&gt;=ROUND($HG$3,0)),0),MATCH("MDA_MIN_MARGIN_GUIDENCE",'Margin Guidence Table'!$A$1:$AG$1,0)),INDEX('Margin Guidence Table'!$A$1:$AG$10000,MATCH(1,('Margin Guidence Table'!$A$1:$A$10000=HO17)*('Margin Guidence Table'!$I$1:$I$10000&lt;=ROUND($HG$3,0))*('Margin Guidence Table'!$J$1:$J$10000&gt;=ROUND($HG$3,0)),0),MATCH("DEFAULT_MDA_MIN_MARGIN_GUIDENCE",'Margin Guidence Table'!$A$1:$AG$1,0))),0)</f>
        <v>0</v>
      </c>
      <c r="HU17" s="1054">
        <f t="array" ref="HU17">IFERROR(IF($HQ17="SEGMENT",INDEX('Margin Guidence Table'!$A$1:$AG$10000,MATCH(1,('Margin Guidence Table'!$A$1:$A$10000=HO17)*('Margin Guidence Table'!$I$1:$I$10000&lt;=ROUND($HG$3,0))*('Margin Guidence Table'!$J$1:$J$10000&gt;=ROUND($HG$3,0)),0),MATCH("MDA_MEDIAN_MARGIN_GUIDENCE",'Margin Guidence Table'!$A$1:$AG$1,0)),INDEX('Margin Guidence Table'!$A$1:$AG$10000,MATCH(1,('Margin Guidence Table'!$A$1:$A$10000=HO17)*('Margin Guidence Table'!$I$1:$I$10000&lt;=ROUND($HG$3,0))*('Margin Guidence Table'!$J$1:$J$10000&gt;=ROUND($HG$3,0)),0),MATCH("DEFAULT_MDA_MEDIAN_MARGIN_GUIDENCE",'Margin Guidence Table'!$A$1:$AG$1,0))),0)</f>
        <v>0</v>
      </c>
      <c r="HV17" s="1054">
        <f t="array" ref="HV17">IFERROR(IF($HQ17="SEGMENT",INDEX('Margin Guidence Table'!$A$1:$AG$10000,MATCH(1,('Margin Guidence Table'!$A$1:$A$10000=HO17)*('Margin Guidence Table'!$I$1:$I$10000&lt;=ROUND($HG$3,0))*('Margin Guidence Table'!$J$1:$J$10000&gt;=ROUND($HG$3,0)),0),MATCH("MDA_MAX_MARGIN_GUIDENCE",'Margin Guidence Table'!$A$1:$AG$1,0)),INDEX('Margin Guidence Table'!$A$1:$AG$10000,MATCH(1,('Margin Guidence Table'!$A$1:$A$10000=HO17)*('Margin Guidence Table'!$I$1:$I$10000&lt;=ROUND($HG$3,0))*('Margin Guidence Table'!$J$1:$J$10000&gt;=ROUND($HG$3,0)),0),MATCH("DEFAULT_MDA_MAX_MARGIN_GUIDENCE",'Margin Guidence Table'!$A$1:$AG$1,0))),0)</f>
        <v>0</v>
      </c>
      <c r="HW17" s="1054">
        <f t="array" ref="HW17">IFERROR(IF($HQ17="SEGMENT",INDEX('Margin Guidence Table'!$A$1:$AG$10000,MATCH(1,('Margin Guidence Table'!$A$1:$A$10000=HO17)*('Margin Guidence Table'!$I$1:$I$10000&lt;=ROUND($HG$3,0))*('Margin Guidence Table'!$J$1:$J$10000&gt;=ROUND($HG$3,0)),0),MATCH("PA_PCT_SALES",'Margin Guidence Table'!$A$1:$AG$1,0)),INDEX('Margin Guidence Table'!$A$1:$AG$10000,MATCH(1,('Margin Guidence Table'!$A$1:$A$10000=HO17)*('Margin Guidence Table'!$I$1:$I$10000&lt;=ROUND($HG$3,0))*('Margin Guidence Table'!$J$1:$J$10000&gt;=ROUND($HG$3,0)),0),MATCH("DEFAULT_PA_PCT_SALES",'Margin Guidence Table'!$A$1:$AG$1,0))),0)</f>
        <v>0</v>
      </c>
      <c r="HX17" s="1054">
        <f t="array" ref="HX17">IFERROR(IF($HQ17="SEGMENT",INDEX('Margin Guidence Table'!$A$1:$AG$10000,MATCH(1,('Margin Guidence Table'!$A$1:$A$10000=HO17)*('Margin Guidence Table'!$I$1:$I$10000&lt;=ROUND($HG$3,0))*('Margin Guidence Table'!$J$1:$J$10000&gt;=ROUND($HG$3,0)),0),MATCH("SELF_FUND_PCT_SALES",'Margin Guidence Table'!$A$1:$AG$1,0)),INDEX('Margin Guidence Table'!$A$1:$AG$10000,MATCH(1,('Margin Guidence Table'!$A$1:$A$10000=HO17)*('Margin Guidence Table'!$I$1:$I$10000&lt;=ROUND($HG$3,0))*('Margin Guidence Table'!$J$1:$J$10000&gt;=ROUND($HG$3,0)),0),MATCH("DEFAULT_SELF_FUND_PCT_SALES",'Margin Guidence Table'!$A$1:$AG$1,0))),0)</f>
        <v>0</v>
      </c>
      <c r="HY17" s="1054">
        <f t="array" ref="HY17">IFERROR(IF($HQ17="SEGMENT",INDEX('Margin Guidence Table'!$A$1:$AG$10000,MATCH(1,('Margin Guidence Table'!$A$1:$A$10000=HO17)*('Margin Guidence Table'!$I$1:$I$10000&lt;=ROUND($HG$3,0))*('Margin Guidence Table'!$J$1:$J$10000&gt;=ROUND($HG$3,0)),0),MATCH("CIA_MEDIAN_MARGIN_GUIDENCE",'Margin Guidence Table'!$A$1:$AG$1,0)),INDEX('Margin Guidence Table'!$A$1:$AG$10000,MATCH(1,('Margin Guidence Table'!$A$1:$A$10000=HO17)*('Margin Guidence Table'!$I$1:$I$10000&lt;=ROUND($HG$3,0))*('Margin Guidence Table'!$J$1:$J$10000&gt;=ROUND($HG$3,0)),0),MATCH("DEFAULT_CIA_MEDIAN_MARGIN_GUIDENCE",'Margin Guidence Table'!$A$1:$AG$1,0))),0)</f>
        <v>0</v>
      </c>
      <c r="HZ17" s="127"/>
      <c r="IA17" s="18">
        <f t="array" ref="IA17">IFERROR(IF($IN17="SEGMENT",INDEX('Margin Guidence Table'!$A:$AC,MATCH(1,('Margin Guidence Table'!$A:$A=$IL17)*('Margin Guidence Table'!$H:$H&lt;=ROUND($ID$3,0))*('Margin Guidence Table'!$G:$G&gt;=ROUND($ID$3,0)),0),MATCH("PCT_SALES",'Margin Guidence Table'!$A$1:$AG$1,0)),INDEX('Margin Guidence Table'!$A:$AC,MATCH(1,('Margin Guidence Table'!$A:$A=$IL17)*('Margin Guidence Table'!$H:$H&lt;=ROUND($ID$3,0))*('Margin Guidence Table'!$G:$G&gt;=ROUND($ID$3,0)),0),MATCH("DEFAULT_PCT_SALES",'Margin Guidence Table'!$A$1:$AG$1,0))),0)</f>
        <v>0</v>
      </c>
      <c r="IB17" s="370" t="e">
        <f t="shared" si="42"/>
        <v>#DIV/0!</v>
      </c>
      <c r="IC17" s="100" t="s">
        <v>102</v>
      </c>
      <c r="ID17" s="92">
        <f>IFERROR(IF(AND($ID$2&lt;&gt;"Enter Spend&gt;&gt;&gt;",IE5="EXISTING"),SUMIFS('Existing Customers'!$Q:$Q,'Existing Customers'!$A:$A,$ID$1,'Existing Customers'!$H:$H,$IC17)*$ID$4,$ID$3*$IB17),0)</f>
        <v>0</v>
      </c>
      <c r="IE17" s="87">
        <f>IFERROR(IF(AND($ID$2&lt;&gt;"Enter Spend&gt;&gt;&gt;",IE2="EXISTING"),SUMIFS('Existing Customers'!$N:$N,'Existing Customers'!$A:$A,$ID$1,'Existing Customers'!$H:$H,$IC17)*$ID$4,$ID17/$IO17),0)</f>
        <v>0</v>
      </c>
      <c r="IF17" s="93">
        <f>IFERROR(IF(AND($ID$2&lt;&gt;"Enter Spend&gt;&gt;&gt;",IE2="EXISTING"),SUMIFS('Existing Customers'!$O:$O,'Existing Customers'!$H:$H,$IC17,'Existing Customers'!$A:$A,$ID$1)*$ID$4,$IE17*$ID$8),0)</f>
        <v>0</v>
      </c>
      <c r="IG17" s="93">
        <f>IFERROR(IF(AND($ID$2&lt;&gt;"Enter Spend&gt;&gt;&gt;",IE2="EXISTING"),SUMIFS('Existing Customers'!$P:$P,'Existing Customers'!$A:$A,$ID$1,'Existing Customers'!$H:$H,$IC17)*$ID$4,$ID17/$IP17),0)</f>
        <v>0</v>
      </c>
      <c r="IH17" s="376">
        <f>IFERROR(IF(AND($ID$2&lt;&gt;"Enter Spend&gt;&gt;&gt;",IE2="EXISTING"),SUMIFS('Existing Customers'!$V:$V,'Existing Customers'!$H:$H,$IC17,'Existing Customers'!$A:$A,$ID$1)*$ID$4,0),0)</f>
        <v>0</v>
      </c>
      <c r="II17" s="94">
        <f>IFERROR(IF(AND($ID$2&lt;&gt;"Enter Spend&gt;&gt;&gt;",IE2="EXISTING"),SUMIFS('Existing Customers'!$R:$R,'Existing Customers'!$H:$H,$IC17,'Existing Customers'!$A:$A,$ID$1)*$ID$4,0),0)</f>
        <v>0</v>
      </c>
      <c r="IJ17" s="1050">
        <f>IFERROR(IF(AND($ID$2&lt;&gt;"Enter Spend&gt;&gt;&gt;",IE2="EXISTING"),SUMIFS('Existing Customers'!$S:$S,'Existing Customers'!$H:$H,$IC17,'Existing Customers'!$A:$A,$ID$1),IT17*ID17),0)</f>
        <v>0</v>
      </c>
      <c r="IK17" s="1050">
        <f>IFERROR(IF(AND($ID$2&lt;&gt;"Enter Spend&gt;&gt;&gt;",IE2="EXISTING"),SUMIFS('Existing Customers'!$U:$U,'Existing Customers'!$H:$H,$IC17,'Existing Customers'!$A:$A,$ID$1),IU17*ID17),0)</f>
        <v>0</v>
      </c>
      <c r="IL17" s="1053" t="e">
        <f>_xlfn.CONCAT('Customer Inputs'!$AG$14,"_",IC17)</f>
        <v>#N/A</v>
      </c>
      <c r="IM17" s="1053">
        <f t="array" ref="IM17">IFERROR(INDEX('Margin Guidence Table'!$A$1:$AG$10000,MATCH(1,('Margin Guidence Table'!$A$1:$A$10000=IL17)*('Margin Guidence Table'!$I$1:$I$10000&lt;=ROUND($ID$3,0))*('Margin Guidence Table'!$J$1:$J$10000&gt;=ROUND($ID$3,0)),0),MATCH("DATA_POINTS",'Margin Guidence Table'!$A$1:$AG$1,0)),0)</f>
        <v>0</v>
      </c>
      <c r="IN17" s="1050" t="str">
        <f t="shared" si="43"/>
        <v>DEFAULT</v>
      </c>
      <c r="IO17" s="1050">
        <f t="array" ref="IO17">IFERROR(IF($IN17="SEGMENT",INDEX('Margin Guidence Table'!$A$1:$AG$10000,MATCH(1,('Margin Guidence Table'!$A$1:$A$10000=IL17)*('Margin Guidence Table'!$I$1:$I$10000&lt;=ROUND($ID$3,0))*('Margin Guidence Table'!$J$1:$J$10000&gt;=ROUND($ID$3,0)),0),MATCH("SALES_CASE",'Margin Guidence Table'!$A$1:$AG$1,0)),INDEX('Margin Guidence Table'!$A$1:$AG$10000,MATCH(1,('Margin Guidence Table'!$A$1:$A$10000=IL17)*('Margin Guidence Table'!$I$1:$I$10000&lt;=ROUND($ID$3,0))*('Margin Guidence Table'!$J$1:$J$10000&gt;=ROUND($ID$3,0)),0),MATCH("DEFAULT_SALES_CASE",'Margin Guidence Table'!$A$1:$AG$1,0))),0)</f>
        <v>0</v>
      </c>
      <c r="IP17" s="1050">
        <f t="array" ref="IP17">IFERROR(IF($IN17="SEGMENT",INDEX('Margin Guidence Table'!$A$1:$AG$10000,MATCH(1,('Margin Guidence Table'!$A$1:$A$10000=IL17)*('Margin Guidence Table'!$I$1:$I$10000&lt;=ROUND($ID$3,0))*('Margin Guidence Table'!$J$1:$J$10000&gt;=ROUND($ID$3,0)),0),MATCH("SALES_LBS",'Margin Guidence Table'!$A$1:$AG$1,0)),INDEX('Margin Guidence Table'!$A$1:$AG$10000,MATCH(1,('Margin Guidence Table'!$A$1:$A$10000=IL17)*('Margin Guidence Table'!$I$1:$I$10000&lt;=ROUND($ID$3,0))*('Margin Guidence Table'!$J$1:$J$10000&gt;=ROUND($ID$3,0)),0),MATCH("DEFAULT_SALES_LBS",'Margin Guidence Table'!$A$1:$AG$1,0))),0)</f>
        <v>0</v>
      </c>
      <c r="IQ17" s="1054">
        <f t="array" ref="IQ17">IFERROR(IF($IN17="SEGMENT",INDEX('Margin Guidence Table'!$A$1:$AG$10000,MATCH(1,('Margin Guidence Table'!$A$1:$A$10000=IL17)*('Margin Guidence Table'!$I$1:$I$10000&lt;=ROUND($ID$3,0))*('Margin Guidence Table'!$J$1:$J$10000&gt;=ROUND($ID$3,0)),0),MATCH("MDA_MIN_MARGIN_GUIDENCE",'Margin Guidence Table'!$A$1:$AG$1,0)),INDEX('Margin Guidence Table'!$A$1:$AG$10000,MATCH(1,('Margin Guidence Table'!$A$1:$A$10000=IL17)*('Margin Guidence Table'!$I$1:$I$10000&lt;=ROUND($ID$3,0))*('Margin Guidence Table'!$J$1:$J$10000&gt;=ROUND($ID$3,0)),0),MATCH("DEFAULT_MDA_MIN_MARGIN_GUIDENCE",'Margin Guidence Table'!$A$1:$AG$1,0))),0)</f>
        <v>0</v>
      </c>
      <c r="IR17" s="1054">
        <f t="array" ref="IR17">IFERROR(IF($IN17="SEGMENT",INDEX('Margin Guidence Table'!$A$1:$AG$10000,MATCH(1,('Margin Guidence Table'!$A$1:$A$10000=IL17)*('Margin Guidence Table'!$I$1:$I$10000&lt;=ROUND($ID$3,0))*('Margin Guidence Table'!$J$1:$J$10000&gt;=ROUND($ID$3,0)),0),MATCH("MDA_MEDIAN_MARGIN_GUIDENCE",'Margin Guidence Table'!$A$1:$AG$1,0)),INDEX('Margin Guidence Table'!$A$1:$AG$10000,MATCH(1,('Margin Guidence Table'!$A$1:$A$10000=IL17)*('Margin Guidence Table'!$I$1:$I$10000&lt;=ROUND($ID$3,0))*('Margin Guidence Table'!$J$1:$J$10000&gt;=ROUND($ID$3,0)),0),MATCH("DEFAULT_MDA_MEDIAN_MARGIN_GUIDENCE",'Margin Guidence Table'!$A$1:$AG$1,0))),0)</f>
        <v>0</v>
      </c>
      <c r="IS17" s="1054">
        <f t="array" ref="IS17">IFERROR(IF($IN17="SEGMENT",INDEX('Margin Guidence Table'!$A$1:$AG$10000,MATCH(1,('Margin Guidence Table'!$A$1:$A$10000=IL17)*('Margin Guidence Table'!$I$1:$I$10000&lt;=ROUND($ID$3,0))*('Margin Guidence Table'!$J$1:$J$10000&gt;=ROUND($ID$3,0)),0),MATCH("MDA_MAX_MARGIN_GUIDENCE",'Margin Guidence Table'!$A$1:$AG$1,0)),INDEX('Margin Guidence Table'!$A$1:$AG$10000,MATCH(1,('Margin Guidence Table'!$A$1:$A$10000=IL17)*('Margin Guidence Table'!$I$1:$I$10000&lt;=ROUND($ID$3,0))*('Margin Guidence Table'!$J$1:$J$10000&gt;=ROUND($ID$3,0)),0),MATCH("DEFAULT_MDA_MAX_MARGIN_GUIDENCE",'Margin Guidence Table'!$A$1:$AG$1,0))),0)</f>
        <v>0</v>
      </c>
      <c r="IT17" s="1054">
        <f t="array" ref="IT17">IFERROR(IF($IN17="SEGMENT",INDEX('Margin Guidence Table'!$A$1:$AG$10000,MATCH(1,('Margin Guidence Table'!$A$1:$A$10000=IL17)*('Margin Guidence Table'!$I$1:$I$10000&lt;=ROUND($ID$3,0))*('Margin Guidence Table'!$J$1:$J$10000&gt;=ROUND($ID$3,0)),0),MATCH("PA_PCT_SALES",'Margin Guidence Table'!$A$1:$AG$1,0)),INDEX('Margin Guidence Table'!$A$1:$AG$10000,MATCH(1,('Margin Guidence Table'!$A$1:$A$10000=IL17)*('Margin Guidence Table'!$I$1:$I$10000&lt;=ROUND($ID$3,0))*('Margin Guidence Table'!$J$1:$J$10000&gt;=ROUND($ID$3,0)),0),MATCH("DEFAULT_PA_PCT_SALES",'Margin Guidence Table'!$A$1:$AG$1,0))),0)</f>
        <v>0</v>
      </c>
      <c r="IU17" s="1054">
        <f t="array" ref="IU17">IFERROR(IF($IN17="SEGMENT",INDEX('Margin Guidence Table'!$A$1:$AG$10000,MATCH(1,('Margin Guidence Table'!$A$1:$A$10000=IL17)*('Margin Guidence Table'!$I$1:$I$10000&lt;=ROUND($ID$3,0))*('Margin Guidence Table'!$J$1:$J$10000&gt;=ROUND($ID$3,0)),0),MATCH("SELF_FUND_PCT_SALES",'Margin Guidence Table'!$A$1:$AG$1,0)),INDEX('Margin Guidence Table'!$A$1:$AG$10000,MATCH(1,('Margin Guidence Table'!$A$1:$A$10000=IL17)*('Margin Guidence Table'!$I$1:$I$10000&lt;=ROUND($ID$3,0))*('Margin Guidence Table'!$J$1:$J$10000&gt;=ROUND($ID$3,0)),0),MATCH("DEFAULT_SELF_FUND_PCT_SALES",'Margin Guidence Table'!$A$1:$AG$1,0))),0)</f>
        <v>0</v>
      </c>
      <c r="IV17" s="1054">
        <f t="array" ref="IV17">IFERROR(IF($IN17="SEGMENT",INDEX('Margin Guidence Table'!$A$1:$AG$10000,MATCH(1,('Margin Guidence Table'!$A$1:$A$10000=IL17)*('Margin Guidence Table'!$I$1:$I$10000&lt;=ROUND($ID$3,0))*('Margin Guidence Table'!$J$1:$J$10000&gt;=ROUND($ID$3,0)),0),MATCH("CIA_MEDIAN_MARGIN_GUIDENCE",'Margin Guidence Table'!$A$1:$AG$1,0)),INDEX('Margin Guidence Table'!$A$1:$AG$10000,MATCH(1,('Margin Guidence Table'!$A$1:$A$10000=IL17)*('Margin Guidence Table'!$I$1:$I$10000&lt;=ROUND($ID$3,0))*('Margin Guidence Table'!$J$1:$J$10000&gt;=ROUND($ID$3,0)),0),MATCH("DEFAULT_CIA_MEDIAN_MARGIN_GUIDENCE",'Margin Guidence Table'!$A$1:$AG$1,0))),0)</f>
        <v>0</v>
      </c>
      <c r="IW17" s="127"/>
      <c r="IX17" s="18">
        <f t="array" ref="IX17">IFERROR(IF($JK17="SEGMENT",INDEX('Margin Guidence Table'!$A$1:$AG$10000,MATCH(1,('Margin Guidence Table'!$A$1:$A$10000=$JI17)*('Margin Guidence Table'!$I$1:$I$10000&lt;=ROUND($JA$3,0))*('Margin Guidence Table'!$J$1:$J$10000&gt;=ROUND($JA$3,0)),0),MATCH("PCT_SALES",'Margin Guidence Table'!$A$1:$AG$1,0)),INDEX('Margin Guidence Table'!$A$1:$AG$10000,MATCH(1,('Margin Guidence Table'!$A$1:$A$10000=$JI17)*('Margin Guidence Table'!$I$1:$I$10000&lt;=ROUND($JA$3,0))*('Margin Guidence Table'!$J$1:$J$10000&gt;=ROUND($JA$3,0)),0),MATCH("DEFAULT_PCT_SALES",'Margin Guidence Table'!$A$1:$AG$1,0))),0)</f>
        <v>0</v>
      </c>
      <c r="IY17" s="370" t="e">
        <f t="shared" si="44"/>
        <v>#DIV/0!</v>
      </c>
      <c r="IZ17" s="100" t="s">
        <v>102</v>
      </c>
      <c r="JA17" s="92">
        <f>IFERROR(IF(AND($JA$2&lt;&gt;"Enter Spend&gt;&gt;&gt;",JB5="EXISTING"),SUMIFS('Existing Customers'!$Q:$Q,'Existing Customers'!$A:$A,$JA$1,'Existing Customers'!$H:$H,$IZ17)*$JA$4,$JA$3*$IY17),0)</f>
        <v>0</v>
      </c>
      <c r="JB17" s="87">
        <f>IFERROR(IF(AND($JA$2&lt;&gt;"Enter Spend&gt;&gt;&gt;",JB2="EXISTING"),SUMIFS('Existing Customers'!$N:$N,'Existing Customers'!$A:$A,$JA$1,'Existing Customers'!$H:$H,$IZ17)*$JA$4,$JA17/$JL17),0)</f>
        <v>0</v>
      </c>
      <c r="JC17" s="93">
        <f>IFERROR(IF(AND($JA$2&lt;&gt;"Enter Spend&gt;&gt;&gt;",JB2="EXISTING"),SUMIFS('Existing Customers'!$O:$O,'Existing Customers'!$H:$H,$IZ17,'Existing Customers'!$A:$A,$JA$1)*$JA$4,$JB17*$JA$8),0)</f>
        <v>0</v>
      </c>
      <c r="JD17" s="93">
        <f>IFERROR(IF(AND($JA$2&lt;&gt;"Enter Spend&gt;&gt;&gt;",JB2="EXISTING"),SUMIFS('Existing Customers'!$P:$P,'Existing Customers'!$A:$A,$JA$1,'Existing Customers'!$H:$H,$IZ17)*$JA$4,$JA17/$JM17),0)</f>
        <v>0</v>
      </c>
      <c r="JE17" s="376">
        <f>IFERROR(IF(AND($JA$2&lt;&gt;"Enter Spend&gt;&gt;&gt;",JB2="EXISTING"),SUMIFS('Existing Customers'!$V:$V,'Existing Customers'!$H:$H,$IZ17,'Existing Customers'!$A:$A,$JA$1)*$JA$4,0),0)</f>
        <v>0</v>
      </c>
      <c r="JF17" s="94">
        <f>IFERROR(IF(AND($JA$2&lt;&gt;"Enter Spend&gt;&gt;&gt;",JB2="EXISTING"),SUMIFS('Existing Customers'!$R:$R,'Existing Customers'!$H:$H,$IZ17,'Existing Customers'!$A:$A,$JA$1)*$JA$4,0),0)</f>
        <v>0</v>
      </c>
      <c r="JG17" s="1050">
        <f>IFERROR(IF(AND($JA$2&lt;&gt;"Enter Spend&gt;&gt;&gt;",JB2="EXISTING"),SUMIFS('Existing Customers'!$S:$S,'Existing Customers'!$H:$H,$IZ17,'Existing Customers'!$A:$A,$JA$1),JQ17*JA17),0)</f>
        <v>0</v>
      </c>
      <c r="JH17" s="1050">
        <f>IFERROR(IF(AND($JA$2&lt;&gt;"Enter Spend&gt;&gt;&gt;",JB2="EXISTING"),SUMIFS('Existing Customers'!$U:$U,'Existing Customers'!$H:$H,$IZ17,'Existing Customers'!$A:$A,$JA$1),JR17*JA17),0)</f>
        <v>0</v>
      </c>
      <c r="JI17" s="1053" t="e">
        <f>_xlfn.CONCAT('Customer Inputs'!$AG$15,"_",IZ17)</f>
        <v>#N/A</v>
      </c>
      <c r="JJ17" s="1053">
        <f t="array" ref="JJ17">IFERROR(INDEX('Margin Guidence Table'!$A$1:$AG$10000,MATCH(1,('Margin Guidence Table'!$A$1:$A$10000=JI17)*('Margin Guidence Table'!$I$1:$I$10000&lt;=ROUND($JA$3,0))*('Margin Guidence Table'!$J$1:$J$10000&gt;=ROUND($JA$3,0)),0),MATCH("DATA_POINTS",'Margin Guidence Table'!$A$1:$AG$1,0)),0)</f>
        <v>0</v>
      </c>
      <c r="JK17" s="1050" t="str">
        <f t="shared" si="45"/>
        <v>DEFAULT</v>
      </c>
      <c r="JL17" s="1050">
        <f t="array" ref="JL17">IFERROR(IF($JK17="SEGMENT",INDEX('Margin Guidence Table'!$A$1:$AG$10000,MATCH(1,('Margin Guidence Table'!$A$1:$A$10000=JI17)*('Margin Guidence Table'!$I$1:$I$10000&lt;=ROUND($JA$3,0))*('Margin Guidence Table'!$J$1:$J$10000&gt;=ROUND($JA$3,0)),0),MATCH("SALES_CASE",'Margin Guidence Table'!$A$1:$AG$1,0)),INDEX('Margin Guidence Table'!$A$1:$AG$10000,MATCH(1,('Margin Guidence Table'!$A$1:$A$10000=JI17)*('Margin Guidence Table'!$I$1:$I$10000&lt;=ROUND($JA$3,0))*('Margin Guidence Table'!$J$1:$J$10000&gt;=ROUND($JA$3,0)),0),MATCH("DEFAULT_SALES_CASE",'Margin Guidence Table'!$A$1:$AG$1,0))),0)</f>
        <v>0</v>
      </c>
      <c r="JM17" s="1050">
        <f t="array" ref="JM17">IFERROR(IF($JK17="SEGMENT",INDEX('Margin Guidence Table'!$A$1:$AG$10000,MATCH(1,('Margin Guidence Table'!$A$1:$A$10000=JI17)*('Margin Guidence Table'!$I$1:$I$10000&lt;=ROUND($JA$3,0))*('Margin Guidence Table'!$J$1:$J$10000&gt;=ROUND($JA$3,0)),0),MATCH("SALES_LBS",'Margin Guidence Table'!$A$1:$AG$1,0)),INDEX('Margin Guidence Table'!$A$1:$AG$10000,MATCH(1,('Margin Guidence Table'!$A$1:$A$10000=JI17)*('Margin Guidence Table'!$I$1:$I$10000&lt;=ROUND($JA$3,0))*('Margin Guidence Table'!$J$1:$J$10000&gt;=ROUND($JA$3,0)),0),MATCH("DEFAULT_SALES_LBS",'Margin Guidence Table'!$A$1:$AG$1,0))),0)</f>
        <v>0</v>
      </c>
      <c r="JN17" s="1054">
        <f t="array" ref="JN17">IFERROR(IF($JK17="SEGMENT",INDEX('Margin Guidence Table'!$A$1:$AG$10000,MATCH(1,('Margin Guidence Table'!$A$1:$A$10000=JI17)*('Margin Guidence Table'!$I$1:$I$10000&lt;=ROUND($JA$3,0))*('Margin Guidence Table'!$J$1:$J$10000&gt;=ROUND($JA$3,0)),0),MATCH("MDA_MIN_MARGIN_GUIDENCE",'Margin Guidence Table'!$A$1:$AG$1,0)),INDEX('Margin Guidence Table'!$A$1:$AG$10000,MATCH(1,('Margin Guidence Table'!$A$1:$A$10000=JI17)*('Margin Guidence Table'!$I$1:$I$10000&lt;=ROUND($JA$3,0))*('Margin Guidence Table'!$J$1:$J$10000&gt;=ROUND($JA$3,0)),0),MATCH("DEFAULT_MDA_MIN_MARGIN_GUIDENCE",'Margin Guidence Table'!$A$1:$AG$1,0))),0)</f>
        <v>0</v>
      </c>
      <c r="JO17" s="1054">
        <f t="array" ref="JO17">IFERROR(IF($JK17="SEGMENT",INDEX('Margin Guidence Table'!$A$1:$AG$10000,MATCH(1,('Margin Guidence Table'!$A$1:$A$10000=JI17)*('Margin Guidence Table'!$I$1:$I$10000&lt;=ROUND($JA$3,0))*('Margin Guidence Table'!$J$1:$J$10000&gt;=ROUND($JA$3,0)),0),MATCH("MDA_MEDIAN_MARGIN_GUIDENCE",'Margin Guidence Table'!$A$1:$AG$1,0)),INDEX('Margin Guidence Table'!$A$1:$AG$10000,MATCH(1,('Margin Guidence Table'!$A$1:$A$10000=JI17)*('Margin Guidence Table'!$I$1:$I$10000&lt;=ROUND($JA$3,0))*('Margin Guidence Table'!$J$1:$J$10000&gt;=ROUND($JA$3,0)),0),MATCH("DEFAULT_MDA_MEDIAN_MARGIN_GUIDENCE",'Margin Guidence Table'!$A$1:$AG$1,0))),0)</f>
        <v>0</v>
      </c>
      <c r="JP17" s="1054">
        <f t="array" ref="JP17">IFERROR(IF($JK17="SEGMENT",INDEX('Margin Guidence Table'!$A$1:$AG$10000,MATCH(1,('Margin Guidence Table'!$A$1:$A$10000=JI17)*('Margin Guidence Table'!$I$1:$I$10000&lt;=ROUND($JA$3,0))*('Margin Guidence Table'!$J$1:$J$10000&gt;=ROUND($JA$3,0)),0),MATCH("MDA_MAX_MARGIN_GUIDENCE",'Margin Guidence Table'!$A$1:$AG$1,0)),INDEX('Margin Guidence Table'!$A$1:$AG$10000,MATCH(1,('Margin Guidence Table'!$A$1:$A$10000=JI17)*('Margin Guidence Table'!$I$1:$I$10000&lt;=ROUND($JA$3,0))*('Margin Guidence Table'!$J$1:$J$10000&gt;=ROUND($JA$3,0)),0),MATCH("DEFAULT_MDA_MAX_MARGIN_GUIDENCE",'Margin Guidence Table'!$A$1:$AG$1,0))),0)</f>
        <v>0</v>
      </c>
      <c r="JQ17" s="1054">
        <f t="array" ref="JQ17">IFERROR(IF($JK17="SEGMENT",INDEX('Margin Guidence Table'!$A$1:$AG$10000,MATCH(1,('Margin Guidence Table'!$A$1:$A$10000=JI17)*('Margin Guidence Table'!$I$1:$I$10000&lt;=ROUND($JA$3,0))*('Margin Guidence Table'!$J$1:$J$10000&gt;=ROUND($JA$3,0)),0),MATCH("PA_PCT_SALES",'Margin Guidence Table'!$A$1:$AG$1,0)),INDEX('Margin Guidence Table'!$A$1:$AG$10000,MATCH(1,('Margin Guidence Table'!$A$1:$A$10000=JI17)*('Margin Guidence Table'!$I$1:$I$10000&lt;=ROUND($JA$3,0))*('Margin Guidence Table'!$J$1:$J$10000&gt;=ROUND($JA$3,0)),0),MATCH("DEFAULT_PA_PCT_SALES",'Margin Guidence Table'!$A$1:$AG$1,0))),0)</f>
        <v>0</v>
      </c>
      <c r="JR17" s="1054">
        <f t="array" ref="JR17">IFERROR(IF($JK17="SEGMENT",INDEX('Margin Guidence Table'!$A$1:$AG$10000,MATCH(1,('Margin Guidence Table'!$A$1:$A$10000=JI17)*('Margin Guidence Table'!$I$1:$I$10000&lt;=ROUND($JA$3,0))*('Margin Guidence Table'!$J$1:$J$10000&gt;=ROUND($JA$3,0)),0),MATCH("SELF_FUND_PCT_SALES",'Margin Guidence Table'!$A$1:$AG$1,0)),INDEX('Margin Guidence Table'!$A$1:$AG$10000,MATCH(1,('Margin Guidence Table'!$A$1:$A$10000=JI17)*('Margin Guidence Table'!$I$1:$I$10000&lt;=ROUND($JA$3,0))*('Margin Guidence Table'!$J$1:$J$10000&gt;=ROUND($JA$3,0)),0),MATCH("DEFAULT_SELF_FUND_PCT_SALES",'Margin Guidence Table'!$A$1:$AG$1,0))),0)</f>
        <v>0</v>
      </c>
      <c r="JS17" s="1054">
        <f t="array" ref="JS17">IFERROR(IF($JK17="SEGMENT",INDEX('Margin Guidence Table'!$A$1:$AG$10000,MATCH(1,('Margin Guidence Table'!$A$1:$A$10000=JI17)*('Margin Guidence Table'!$I$1:$I$10000&lt;=ROUND($JA$3,0))*('Margin Guidence Table'!$J$1:$J$10000&gt;=ROUND($JA$3,0)),0),MATCH("CIA_MEDIAN_MARGIN_GUIDENCE",'Margin Guidence Table'!$A$1:$AG$1,0)),INDEX('Margin Guidence Table'!$A$1:$AG$10000,MATCH(1,('Margin Guidence Table'!$A$1:$A$10000=JI17)*('Margin Guidence Table'!$I$1:$I$10000&lt;=ROUND($JA$3,0))*('Margin Guidence Table'!$J$1:$J$10000&gt;=ROUND($JA$3,0)),0),MATCH("DEFAULT_CIA_MEDIAN_MARGIN_GUIDENCE",'Margin Guidence Table'!$A$1:$AG$1,0))),0)</f>
        <v>0</v>
      </c>
      <c r="JU17" s="100" t="s">
        <v>102</v>
      </c>
      <c r="JV17" s="95"/>
      <c r="JW17" s="87"/>
      <c r="JX17" s="87"/>
      <c r="JY17" s="87"/>
      <c r="JZ17" s="112"/>
      <c r="KA17" s="96"/>
      <c r="KB17" s="127"/>
      <c r="KD17" s="100" t="s">
        <v>102</v>
      </c>
      <c r="KE17" s="95"/>
      <c r="KF17" s="87"/>
      <c r="KG17" s="87"/>
      <c r="KH17" s="87"/>
      <c r="KI17" s="112"/>
      <c r="KJ17" s="96"/>
    </row>
    <row r="18" spans="2:296" ht="15.75" thickBot="1" x14ac:dyDescent="0.3">
      <c r="B18" s="100" t="s">
        <v>100</v>
      </c>
      <c r="C18" s="449">
        <f t="shared" si="11"/>
        <v>0</v>
      </c>
      <c r="D18" s="465">
        <f t="shared" si="12"/>
        <v>0</v>
      </c>
      <c r="E18" s="465">
        <f t="shared" si="13"/>
        <v>0</v>
      </c>
      <c r="F18" s="465">
        <f t="shared" si="14"/>
        <v>0</v>
      </c>
      <c r="G18" s="466">
        <f t="shared" si="15"/>
        <v>0</v>
      </c>
      <c r="H18" s="465">
        <f t="shared" si="16"/>
        <v>0</v>
      </c>
      <c r="I18" s="1046" t="e">
        <f t="shared" si="0"/>
        <v>#DIV/0!</v>
      </c>
      <c r="J18" s="1046" t="e">
        <f t="shared" si="1"/>
        <v>#DIV/0!</v>
      </c>
      <c r="K18" s="1046" t="e">
        <f t="shared" si="2"/>
        <v>#DIV/0!</v>
      </c>
      <c r="L18" s="465" t="e">
        <f t="shared" si="3"/>
        <v>#DIV/0!</v>
      </c>
      <c r="M18" s="465" t="e">
        <f t="shared" si="17"/>
        <v>#DIV/0!</v>
      </c>
      <c r="N18" s="1047" t="e">
        <f t="shared" si="4"/>
        <v>#DIV/0!</v>
      </c>
      <c r="P18" t="str">
        <f>'PIM Model'!E14</f>
        <v>INCLUDE</v>
      </c>
      <c r="Q18">
        <f t="shared" si="18"/>
        <v>0</v>
      </c>
      <c r="R18">
        <f t="shared" si="19"/>
        <v>0</v>
      </c>
      <c r="S18" s="100" t="s">
        <v>100</v>
      </c>
      <c r="T18" s="95">
        <f t="shared" si="20"/>
        <v>0</v>
      </c>
      <c r="U18" s="87">
        <f t="shared" si="5"/>
        <v>0</v>
      </c>
      <c r="V18" s="87">
        <f t="shared" si="6"/>
        <v>0</v>
      </c>
      <c r="W18" s="87">
        <f t="shared" si="7"/>
        <v>0</v>
      </c>
      <c r="X18" s="112">
        <f t="shared" si="8"/>
        <v>0</v>
      </c>
      <c r="Y18" s="115">
        <f t="shared" si="21"/>
        <v>0</v>
      </c>
      <c r="Z18" s="374"/>
      <c r="AA18" s="100" t="s">
        <v>100</v>
      </c>
      <c r="AB18" s="453">
        <f t="shared" si="9"/>
        <v>0</v>
      </c>
      <c r="AC18" s="454">
        <f t="shared" si="9"/>
        <v>0</v>
      </c>
      <c r="AD18" s="454">
        <f t="shared" si="9"/>
        <v>0</v>
      </c>
      <c r="AE18" s="455">
        <f t="shared" si="22"/>
        <v>0</v>
      </c>
      <c r="AF18" s="456">
        <f t="shared" si="23"/>
        <v>0</v>
      </c>
      <c r="AG18" s="374"/>
      <c r="AH18" s="100" t="s">
        <v>100</v>
      </c>
      <c r="AI18" s="453">
        <f t="shared" si="10"/>
        <v>0</v>
      </c>
      <c r="AJ18" s="450">
        <f t="shared" si="24"/>
        <v>0</v>
      </c>
      <c r="AK18" s="456"/>
      <c r="AL18" s="374"/>
      <c r="AM18" s="1" t="str">
        <f>IF('PIM Ranges'!$AK16='PIM Ranges'!$AW$11,IF($AI18&lt;'PIM Ranges'!$AX$11,"Q1",IF($AI18&lt;'PIM Ranges'!$AY$11,"Q2",IF($AI18&lt;'PIM Ranges'!$AZ$11,"Q3",IF($AI18&lt;'PIM Ranges'!$BA$11,"Q4","Q5")))),IF('PIM Ranges'!$AK16='PIM Ranges'!$AW$12,IF($AI18&lt;'PIM Ranges'!$AX$12,"Q1",IF($AI18&lt;'PIM Ranges'!$AY$12,"Q2",IF($AI18&lt;'PIM Ranges'!$AZ$12,"Q3",IF($AI18&lt;'PIM Ranges'!$BA$12,"Q4","Q5")))),IF('PIM Ranges'!$AK16='PIM Ranges'!$AW$13,IF($AI18&lt;'PIM Ranges'!$AX$13,"Q1",IF($AI18&lt;'PIM Ranges'!$AY$13,"Q2",IF($AI18&lt;'PIM Ranges'!$AZ$13,"Q3",IF($AI18&lt;'PIM Ranges'!$BA$13,"Q4","Q5")))),IF('PIM Ranges'!$AK16='PIM Ranges'!$AW$14,IF($AI18&lt;'PIM Ranges'!$AX$14,"Q1",IF($AI18&lt;'PIM Ranges'!$AY$14,"Q2",IF($AI18&lt;'PIM Ranges'!$AZ$14,"Q3",IF($AI18&lt;'PIM Ranges'!$BA$14,"Q4","Q5")))),IF('PIM Ranges'!$AK16='PIM Ranges'!$AW$15,IF($AI18&lt;'PIM Ranges'!$AX$15,"Q1",IF($AI18&lt;'PIM Ranges'!$AY$15,"Q2",IF($AI18&lt;'PIM Ranges'!$AZ$15,"Q3",IF($AI18&lt;'PIM Ranges'!$BA$15,"Q4","Q5")))),IF('PIM Ranges'!$AK16='PIM Ranges'!$AW$16,IF($AI18&lt;'PIM Ranges'!$AX$16,"Q1",IF($AI18&lt;'PIM Ranges'!$AY$16,"Q2",IF($AI18&lt;'PIM Ranges'!$AZ$16,"Q3",IF($AI18&lt;'PIM Ranges'!$BA$16,"Q4","Q5")))),IF('PIM Ranges'!$AK16='PIM Ranges'!$AW$17,IF($AI18&lt;'PIM Ranges'!$AX$17,"Q1",IF($AI18&lt;'PIM Ranges'!$AY$17,"Q2",IF($AI18&lt;'PIM Ranges'!$AZ$17,"Q3",IF($AI18&lt;'PIM Ranges'!$BA$17,"Q4","Q5")))),IF('PIM Ranges'!$AK16='PIM Ranges'!$AW$18,IF($AI18&lt;'PIM Ranges'!$AX$18,"Q1",IF($AI18&lt;'PIM Ranges'!$AY$18,"Q2",IF($AI18&lt;'PIM Ranges'!$AZ$18,"Q3",IF($AI18&lt;'PIM Ranges'!$BA$18,"Q4","Q5")))),IF('PIM Ranges'!$AK16='PIM Ranges'!$AW$19,IF($AI18&lt;'PIM Ranges'!$AX$19,"Q1",IF($AI18&lt;'PIM Ranges'!$AY$19,"Q2",IF($AI18&lt;'PIM Ranges'!$AZ$19,"Q3",IF($AI18&lt;'PIM Ranges'!$BA$19,"Q4","Q5")))),IF('PIM Ranges'!$AK16='PIM Ranges'!$AW$20,IF($AI18&lt;'PIM Ranges'!$AX$20,"Q1",IF($AI18&lt;'PIM Ranges'!$AY$20,"Q2",IF($AI18&lt;'PIM Ranges'!$AZ$20,"Q3",IF($AI18&lt;'PIM Ranges'!$BA$20,"Q4","Q5")))),IF('PIM Ranges'!$AK16='PIM Ranges'!$AW$21,IF($AI18&lt;'PIM Ranges'!$AX$21,"Q1",IF($AI18&lt;'PIM Ranges'!$AY$21,"Q2",IF($AI18&lt;'PIM Ranges'!$AZ$21,"Q3",IF($AI18&lt;'PIM Ranges'!$BA$21,"Q4","Q5")))),IF('PIM Ranges'!$AK16='PIM Ranges'!$AW$22,IF($AI18&lt;'PIM Ranges'!$AX$22,"Q1",IF($AI18&lt;'PIM Ranges'!$AY$22,"Q2",IF($AI18&lt;'PIM Ranges'!$AZ$22,"Q3",IF($AI18&lt;'PIM Ranges'!$BA$22,"Q4","Q5")))),IF('PIM Ranges'!$AK16='PIM Ranges'!$AW$23,IF($AI18&lt;'PIM Ranges'!$AX$23,"Q1",IF($AI18&lt;'PIM Ranges'!$AY$23,"Q2",IF($AI18&lt;'PIM Ranges'!$AZ$23,"Q3",IF($AI18&lt;'PIM Ranges'!$BA$23,"Q4","Q5")))),IF('PIM Ranges'!$AK16='PIM Ranges'!$AW$24,IF($AI18&lt;'PIM Ranges'!$AX$24,"Q1",IF($AI18&lt;'PIM Ranges'!$AY$24,"Q2",IF($AI18&lt;'PIM Ranges'!$AZ$24,"Q3",IF($AI18&lt;'PIM Ranges'!$BA$24,"Q4","Q5")))),IF('PIM Ranges'!$AK16='PIM Ranges'!$AW$25,IF($AI18&lt;'PIM Ranges'!$AX$25,"Q1",IF($AI18&lt;'PIM Ranges'!$AY$25,"Q2",IF($AI18&lt;'PIM Ranges'!$AZ$25,"Q3",IF($AI18&lt;'PIM Ranges'!$BA$25,"Q4","Q5")))),IF('PIM Ranges'!$AK16='PIM Ranges'!$AW$26,IF($AI18&lt;'PIM Ranges'!$AX$26,"Q1",IF($AI18&lt;'PIM Ranges'!$AY$26,"Q2",IF($AI18&lt;'PIM Ranges'!$AZ$26,"Q3",IF($AI18&lt;'PIM Ranges'!$BA$26,"Q4","Q5")))),IF('PIM Ranges'!$AK16='PIM Ranges'!$AW$27,IF($AI18&lt;'PIM Ranges'!$AX$27,"Q1",IF($AI18&lt;'PIM Ranges'!$AY$27,"Q2",IF($AI18&lt;'PIM Ranges'!$AZ$27,"Q3",IF($AI18&lt;'PIM Ranges'!$BA$27,"Q4","Q5")))),IF('PIM Ranges'!$AK16='PIM Ranges'!$AW$28,IF($AI18&lt;'PIM Ranges'!$AX$28,"Q1",IF($AI18&lt;'PIM Ranges'!$AY$28,"Q2",IF($AI18&lt;'PIM Ranges'!$AZ$28,"Q3",IF($AI18&lt;'PIM Ranges'!$BA$28,"Q4","Q5")))),IF('PIM Ranges'!$AK16='PIM Ranges'!$AW$29,IF($AI18&lt;'PIM Ranges'!$AX$29,"Q1",IF($AI18&lt;'PIM Ranges'!$AY$29,"Q2",IF($AI18&lt;'PIM Ranges'!$AZ$29,"Q3",IF($AI18&lt;'PIM Ranges'!$BA$29,"Q4","Q5")))),IF('PIM Ranges'!$AK16='PIM Ranges'!$AW$30,IF($AI18&lt;'PIM Ranges'!$AX$30,"Q1",IF($AI18&lt;'PIM Ranges'!$AY$30,"Q2",IF($AI18&lt;'PIM Ranges'!$AZ$30,"Q3",IF($AI18&lt;'PIM Ranges'!$BA$30,"Q4","Q5")))),IF('PIM Ranges'!$AK16='PIM Ranges'!$AW$31,IF($AI18&lt;'PIM Ranges'!$AX$31,"Q1",IF($AI18&lt;'PIM Ranges'!$AY$31,"Q2",IF($AI18&lt;'PIM Ranges'!$AZ$31,"Q3",IF($AI18&lt;'PIM Ranges'!$BA$31,"Q4","Q5")))),IF('PIM Ranges'!$AK16='PIM Ranges'!$AW$32,IF($AI18&lt;'PIM Ranges'!$AX$32,"Q1",IF($AI18&lt;'PIM Ranges'!$AY$32,"Q2",IF($AI18&lt;'PIM Ranges'!$AZ$32,"Q3",IF($AI18&lt;'PIM Ranges'!$BA$32,"Q4","Q5"))))))))))))))))))))))))))</f>
        <v>Q1</v>
      </c>
      <c r="AN18" s="374">
        <f>VLOOKUP($AH18&amp;$AM18,'IMargin Quartiles'!$A:$F,6,FALSE)</f>
        <v>0.18</v>
      </c>
      <c r="AO18" s="374"/>
      <c r="AP18"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Q18" s="374" t="e">
        <f t="shared" si="25"/>
        <v>#DIV/0!</v>
      </c>
      <c r="AR18">
        <f>'PIM Model'!C14</f>
        <v>0</v>
      </c>
      <c r="AS18" s="374"/>
      <c r="AT18" s="374"/>
      <c r="AU18" s="374" t="e">
        <f t="shared" si="46"/>
        <v>#DIV/0!</v>
      </c>
      <c r="AV18" s="374"/>
      <c r="AW18" s="374"/>
      <c r="AX18" s="106">
        <v>7</v>
      </c>
      <c r="AY18" s="18">
        <f t="array" ref="AY18">IFERROR(IF($BL18="SEGMENT",INDEX('Margin Guidence Table'!$A$1:$AG$10000,MATCH(1,('Margin Guidence Table'!$A$1:$A$10000=$BJ18)*('Margin Guidence Table'!$I$1:$I$10000&lt;=ROUND($BB$3,0))*('Margin Guidence Table'!$J$1:$J$10000&gt;=ROUND($BB$3,0)),0),MATCH("PCT_SALES",'Margin Guidence Table'!$A$1:$AG$1,0)),INDEX('Margin Guidence Table'!$A$1:$AG$10000,MATCH(1,('Margin Guidence Table'!$A$1:$A$10000=$BJ18)*('Margin Guidence Table'!$I$1:$I$10000&lt;=ROUND($BB$3,0))*('Margin Guidence Table'!$J$1:$J$10000&gt;=ROUND($BB$3,0)),0),MATCH("DEFAULT_PCT_SALES",'Margin Guidence Table'!$A$1:$AG$1,0))),0)</f>
        <v>0</v>
      </c>
      <c r="AZ18" s="370" t="e">
        <f t="shared" si="26"/>
        <v>#DIV/0!</v>
      </c>
      <c r="BA18" s="100" t="s">
        <v>100</v>
      </c>
      <c r="BB18" s="92">
        <f>IFERROR(IF(AND($BB$2&lt;&gt;"Enter Spend&gt;&gt;&gt;",BC6="EXISTING"),SUMIFS('Existing Customers'!$Q:$Q,'Existing Customers'!$A:$A,$BB$1,'Existing Customers'!$H:$H,$BA18)*$BB$4,$BB$3*$AZ18),0)</f>
        <v>0</v>
      </c>
      <c r="BC18" s="93">
        <f>IFERROR(IF(AND($BB$2&lt;&gt;"Enter Spend&gt;&gt;&gt;",BC2="EXISTING"),SUMIFS('Existing Customers'!$N:$N,'Existing Customers'!$A:$A,$BB$1,'Existing Customers'!$H:$H,$BA18)*$BB$4,$BB18/$BM18),0)</f>
        <v>0</v>
      </c>
      <c r="BD18" s="93">
        <f>IFERROR(IF(AND($BB$2&lt;&gt;"Enter Spend&gt;&gt;&gt;",BC2="EXISTING"),SUMIFS('Existing Customers'!$O:$O,'Existing Customers'!$H:$H,$BA18,'Existing Customers'!$A:$A,$BB$1)*$BB$4,$BC18*$BB$8),0)</f>
        <v>0</v>
      </c>
      <c r="BE18" s="93">
        <f>IFERROR(IF(AND($BB$2&lt;&gt;"Enter Spend&gt;&gt;&gt;",BC2="EXISTING"),SUMIFS('Existing Customers'!$P:$P,'Existing Customers'!$A:$A,$BB$1,'Existing Customers'!$H:$H,$BA18)*$BB$4,$BB18/$BN18),0)</f>
        <v>0</v>
      </c>
      <c r="BF18" s="376">
        <f>IFERROR(IF(AND($BB$2&lt;&gt;"Enter Spend&gt;&gt;&gt;",BC2="EXISTING"),SUMIFS('Existing Customers'!$V:$V,'Existing Customers'!$H:$H,$BA18,'Existing Customers'!$A:$A,$BB$1)*$BB$4,0),0)</f>
        <v>0</v>
      </c>
      <c r="BG18" s="94">
        <f>IFERROR(IF(AND($BB$2&lt;&gt;"Enter Spend&gt;&gt;&gt;",BC2="EXISTING"),SUMIFS('Existing Customers'!$R:$R,'Existing Customers'!$H:$H,$BA18,'Existing Customers'!$A:$A,$BB$1)*$BB$4,0),0)</f>
        <v>0</v>
      </c>
      <c r="BH18" s="94">
        <f>IFERROR(IF(AND($BB$2&lt;&gt;"Enter Spend&gt;&gt;&gt;",BC2="EXISTING"),SUMIFS('Existing Customers'!$S:$S,'Existing Customers'!$H:$H,$BA18,'Existing Customers'!$A:$A,$BB$1),BR18*BB18),0)</f>
        <v>0</v>
      </c>
      <c r="BI18" s="94">
        <f>IFERROR(IF(AND($BB$2&lt;&gt;"Enter Spend&gt;&gt;&gt;",BC2="EXISTING"),SUMIFS('Existing Customers'!$U:$U,'Existing Customers'!$H:$H,$BA18,'Existing Customers'!$A:$A,$BB$1),BS18*BB18),0)</f>
        <v>0</v>
      </c>
      <c r="BJ18" s="1052" t="e">
        <f>_xlfn.CONCAT('Customer Inputs'!$AG$6,"_",BA18)</f>
        <v>#N/A</v>
      </c>
      <c r="BK18" s="1053">
        <f t="array" ref="BK18">IFERROR(INDEX('Margin Guidence Table'!$A$1:$AG$10000,MATCH(1,('Margin Guidence Table'!$A$1:$A$10000=$BJ18)*('Margin Guidence Table'!$I$1:$I$10000&lt;=ROUND($BB$3,0))*('Margin Guidence Table'!$J$1:$J$10000&gt;=ROUND($BB$3,0)),0),MATCH("DATA_POINTS",'Margin Guidence Table'!$A$1:$AG$1,0)),0)</f>
        <v>0</v>
      </c>
      <c r="BL18" s="1050" t="str">
        <f t="shared" si="27"/>
        <v>DEFAULT</v>
      </c>
      <c r="BM18" s="1050">
        <f t="array" ref="BM18">IFERROR(IF($BL18="SEGMENT",INDEX('Margin Guidence Table'!$A$1:$AG$10000,MATCH(1,('Margin Guidence Table'!$A$1:$A$10000=$BJ18)*('Margin Guidence Table'!$I$1:$I$10000&lt;=ROUND($BB$3,0))*('Margin Guidence Table'!$J$1:$J$10000&gt;=ROUND($BB$3,0)),0),MATCH("SALES_CASE",'Margin Guidence Table'!$A$1:$AG$1,0)),INDEX('Margin Guidence Table'!$A$1:$AG$10000,MATCH(1,('Margin Guidence Table'!$A$1:$A$10000=$BJ18)*('Margin Guidence Table'!$I$1:$I$10000&lt;=ROUND($BB$3,0))*('Margin Guidence Table'!$J$1:$J$10000&gt;=ROUND($BB$3,0)),0),MATCH("DEFAULT_SALES_CASE",'Margin Guidence Table'!$A$1:$AG$1,0))),0)</f>
        <v>0</v>
      </c>
      <c r="BN18" s="1050">
        <f t="array" ref="BN18">IFERROR(IF($BL18="SEGMENT",INDEX('Margin Guidence Table'!$A$1:$AG$10000,MATCH(1,('Margin Guidence Table'!$A$1:$A$10000=$BJ18)*('Margin Guidence Table'!$I$1:$I$10000&lt;=ROUND($BB$3,0))*('Margin Guidence Table'!$J$1:$J$10000&gt;=ROUND($BB$3,0)),0),MATCH("SALES_LBS",'Margin Guidence Table'!$A$1:$AG$1,0)),INDEX('Margin Guidence Table'!$A$1:$AG$10000,MATCH(1,('Margin Guidence Table'!$A$1:$A$10000=$BJ18)*('Margin Guidence Table'!$I$1:$I$10000&lt;=ROUND($BB$3,0))*('Margin Guidence Table'!$J$1:$J$10000&gt;=ROUND($BB$3,0)),0),MATCH("DEFAULT_SALES_LBS",'Margin Guidence Table'!$A$1:$AG$1,0))),0)</f>
        <v>0</v>
      </c>
      <c r="BO18" s="1054">
        <f t="array" ref="BO18">IFERROR(IF($BL18="SEGMENT",INDEX('Margin Guidence Table'!$A$1:$AG$10000,MATCH(1,('Margin Guidence Table'!$A$1:$A$10000=$BJ18)*('Margin Guidence Table'!$I$1:$I$10000&lt;=ROUND($BB$3,0))*('Margin Guidence Table'!$J$1:$J$10000&gt;=ROUND($BB$3,0)),0),MATCH("MDA_MIN_MARGIN_GUIDENCE",'Margin Guidence Table'!$A$1:$AG$1,0)),INDEX('Margin Guidence Table'!$A$1:$AG$10000,MATCH(1,('Margin Guidence Table'!$A$1:$A$10000=$BJ18)*('Margin Guidence Table'!$I$1:$I$10000&lt;=ROUND($BB$3,0))*('Margin Guidence Table'!$J$1:$J$10000&gt;=ROUND($BB$3,0)),0),MATCH("DEFAULT_MDA_MIN_MARGIN_GUIDENCE",'Margin Guidence Table'!$A$1:$AG$1,0))),0)</f>
        <v>0</v>
      </c>
      <c r="BP18" s="1054">
        <f t="array" ref="BP18">IFERROR(IF($BL18="SEGMENT",INDEX('Margin Guidence Table'!$A$1:$AG$10000,MATCH(1,('Margin Guidence Table'!$A$1:$A$10000=$BJ18)*('Margin Guidence Table'!$I$1:$I$10000&lt;=ROUND($BB$3,0))*('Margin Guidence Table'!$J$1:$J$10000&gt;=ROUND($BB$3,0)),0),MATCH("MDA_MEDIAN_MARGIN_GUIDENCE",'Margin Guidence Table'!$A$1:$AG$1,0)),INDEX('Margin Guidence Table'!$A$1:$AG$10000,MATCH(1,('Margin Guidence Table'!$A$1:$A$10000=$BJ18)*('Margin Guidence Table'!$I$1:$I$10000&lt;=ROUND($BB$3,0))*('Margin Guidence Table'!$J$1:$J$10000&gt;=ROUND($BB$3,0)),0),MATCH("DEFAULT_MDA_MEDIAN_MARGIN_GUIDENCE",'Margin Guidence Table'!$A$1:$AG$1,0))),0)</f>
        <v>0</v>
      </c>
      <c r="BQ18" s="1054">
        <f t="array" ref="BQ18">IFERROR(IF($BL18="SEGMENT",INDEX('Margin Guidence Table'!$A$1:$AG$10000,MATCH(1,('Margin Guidence Table'!$A$1:$A$10000=$BJ18)*('Margin Guidence Table'!$I$1:$I$10000&lt;=ROUND($BB$3,0))*('Margin Guidence Table'!$J$1:$J$10000&gt;=ROUND($BB$3,0)),0),MATCH("MDA_MAX_MARGIN_GUIDENCE",'Margin Guidence Table'!$A$1:$AG$1,0)),INDEX('Margin Guidence Table'!$A$1:$AG$10000,MATCH(1,('Margin Guidence Table'!$A$1:$A$10000=$BJ18)*('Margin Guidence Table'!$I$1:$I$10000&lt;=ROUND($BB$3,0))*('Margin Guidence Table'!$J$1:$J$10000&gt;=ROUND($BB$3,0)),0),MATCH("DEFAULT_MDA_MAX_MARGIN_GUIDENCE",'Margin Guidence Table'!$A$1:$AG$1,0))),0)</f>
        <v>0</v>
      </c>
      <c r="BR18" s="1054">
        <f t="array" ref="BR18">IFERROR(IF($BL18="SEGMENT",INDEX('Margin Guidence Table'!$A$1:$AG$10000,MATCH(1,('Margin Guidence Table'!$A$1:$A$10000=$BJ18)*('Margin Guidence Table'!$I$1:$I$10000&lt;=ROUND($BB$3,0))*('Margin Guidence Table'!$J$1:$J$10000&gt;=ROUND($BB$3,0)),0),MATCH("PA_PCT_SALES",'Margin Guidence Table'!$A$1:$AG$1,0)),INDEX('Margin Guidence Table'!$A$1:$AG$10000,MATCH(1,('Margin Guidence Table'!$A$1:$A$10000=$BJ18)*('Margin Guidence Table'!$I$1:$I$10000&lt;=ROUND($BB$3,0))*('Margin Guidence Table'!$J$1:$J$10000&gt;=ROUND($BB$3,0)),0),MATCH("DEFAULT_PA_PCT_SALES",'Margin Guidence Table'!$A$1:$AG$1,0))),0)</f>
        <v>0</v>
      </c>
      <c r="BS18" s="1054">
        <f t="array" ref="BS18">IFERROR(IF($BL18="SEGMENT",INDEX('Margin Guidence Table'!$A$1:$AG$10000,MATCH(1,('Margin Guidence Table'!$A$1:$A$10000=$BJ18)*('Margin Guidence Table'!$I$1:$I$10000&lt;=ROUND($BB$3,0))*('Margin Guidence Table'!$J$1:$J$10000&gt;=ROUND($BB$3,0)),0),MATCH("SELF_FUND_PCT_SALES",'Margin Guidence Table'!$A$1:$AG$1,0)),INDEX('Margin Guidence Table'!$A$1:$AG$10000,MATCH(1,('Margin Guidence Table'!$A$1:$A$10000=$BJ18)*('Margin Guidence Table'!$I$1:$I$10000&lt;=ROUND($BB$3,0))*('Margin Guidence Table'!$J$1:$J$10000&gt;=ROUND($BB$3,0)),0),MATCH("DEFAULT_SELF_FUND_PCT_SALES",'Margin Guidence Table'!$A$1:$AG$1,0))),0)</f>
        <v>0</v>
      </c>
      <c r="BT18" s="1054">
        <f t="array" ref="BT18">IFERROR(IF($BL18="SEGMENT",INDEX('Margin Guidence Table'!$A$1:$AG$10000,MATCH(1,('Margin Guidence Table'!$A$1:$A$10000=$BJ18)*('Margin Guidence Table'!$I$1:$I$10000&lt;=ROUND($BB$3,0))*('Margin Guidence Table'!$J$1:$J$10000&gt;=ROUND($BB$3,0)),0),MATCH("CIA_MEDIAN_MARGIN_GUIDENCE",'Margin Guidence Table'!$A$1:$AG$1,0)),INDEX('Margin Guidence Table'!$A$1:$AG$10000,MATCH(1,('Margin Guidence Table'!$A$1:$A$10000=$BJ18)*('Margin Guidence Table'!$I$1:$I$10000&lt;=ROUND($BB$3,0))*('Margin Guidence Table'!$J$1:$J$10000&gt;=ROUND($BB$3,0)),0),MATCH("DEFAULT_CIA_MEDIAN_MARGIN_GUIDENCE",'Margin Guidence Table'!$A$1:$AG$1,0))),0)</f>
        <v>0</v>
      </c>
      <c r="BU18" s="127"/>
      <c r="BV18" s="18">
        <f t="array" ref="BV18">IFERROR(IF($CI18="SEGMENT",INDEX('Margin Guidence Table'!$A$1:$AG$10000,MATCH(1,('Margin Guidence Table'!$A$1:$A$10000=$CG18)*('Margin Guidence Table'!$I$1:$I$10000&lt;=ROUND($BY$3,0))*('Margin Guidence Table'!$J$1:$J$10000&gt;=ROUND($BY$3,0)),0),MATCH("PCT_SALES",'Margin Guidence Table'!$A$1:$AG$1,0)),INDEX('Margin Guidence Table'!$A$1:$AG$10000,MATCH(1,('Margin Guidence Table'!$A$1:$A$10000=$CG18)*('Margin Guidence Table'!$I$1:$I$10000&lt;=ROUND($BY$3,0))*('Margin Guidence Table'!$J$1:$J$10000&gt;=ROUND($BY$3,0)),0),MATCH("DEFAULT_PCT_SALES",'Margin Guidence Table'!$A$1:$AG$1,0))),0)</f>
        <v>0</v>
      </c>
      <c r="BW18" s="370" t="e">
        <f t="shared" si="28"/>
        <v>#DIV/0!</v>
      </c>
      <c r="BX18" s="100" t="s">
        <v>100</v>
      </c>
      <c r="BY18" s="92">
        <f>IFERROR(IF(AND($BY$2&lt;&gt;"Enter Spend&gt;&gt;&gt;",BZ6="EXISTING"),SUMIFS('Existing Customers'!$Q:$Q,'Existing Customers'!$A:$A,$BY$1,'Existing Customers'!$H:$H,$BX18)*$BY$4,$BY$3*$BW18),0)</f>
        <v>0</v>
      </c>
      <c r="BZ18" s="87">
        <f>IFERROR(IF(AND($BY$2&lt;&gt;"Enter Spend&gt;&gt;&gt;",BZ2="EXISTING"),SUMIFS('Existing Customers'!$N:$N,'Existing Customers'!$A:$A,$BY$1,'Existing Customers'!$H:$H,$BX18)*$BY$4,$BY18/$CJ18),0)</f>
        <v>0</v>
      </c>
      <c r="CA18" s="93">
        <f>IFERROR(IF(AND($BY$2&lt;&gt;"Enter Spend&gt;&gt;&gt;",BZ2="EXISTING"),SUMIFS('Existing Customers'!$O:$O,'Existing Customers'!$H:$H,$BX18,'Existing Customers'!$A:$A,$BY$1)*$BY$4,$BZ18*$BY$8),0)</f>
        <v>0</v>
      </c>
      <c r="CB18" s="93">
        <f>IFERROR(IF(AND($BY$2&lt;&gt;"Enter Spend&gt;&gt;&gt;",BZ2="EXISTING"),SUMIFS('Existing Customers'!$P:$P,'Existing Customers'!$A:$A,$BY$1,'Existing Customers'!$H:$H,$BX18)*$BY$4,$BY18/$CK18),0)</f>
        <v>0</v>
      </c>
      <c r="CC18" s="94">
        <f>IFERROR(IF(AND($BY$2&lt;&gt;"Enter Spend&gt;&gt;&gt;",BZ2="EXISTING"),SUMIFS('Existing Customers'!$V:$V,'Existing Customers'!$H:$H,$BX18,'Existing Customers'!$A:$A,$BY$1)*$BY$4,0),0)</f>
        <v>0</v>
      </c>
      <c r="CD18" s="94">
        <f>IFERROR(IF(AND($BY$2&lt;&gt;"Enter Spend&gt;&gt;&gt;",BZ2="EXISTING"),SUMIFS('Existing Customers'!$R:$R,'Existing Customers'!$H:$H,$BX18,'Existing Customers'!$A:$A,$BY$1)*$BY$4,0),0)</f>
        <v>0</v>
      </c>
      <c r="CE18" s="1050">
        <f>IFERROR(IF(AND($BY$2&lt;&gt;"Enter Spend&gt;&gt;&gt;",BZ2="EXISTING"),SUMIFS('Existing Customers'!$S:$S,'Existing Customers'!$H:$H,$BX18,'Existing Customers'!$A:$A,$BY$1),CO18*BY18),0)</f>
        <v>0</v>
      </c>
      <c r="CF18" s="1050">
        <f>IFERROR(IF(AND($BY$2&lt;&gt;"Enter Spend&gt;&gt;&gt;",BZ2="EXISTING"),SUMIFS('Existing Customers'!$U:$U,'Existing Customers'!$H:$H,$BX18,'Existing Customers'!$A:$A,$BY$1),CP18*BY18),0)</f>
        <v>0</v>
      </c>
      <c r="CG18" s="1053" t="e">
        <f>_xlfn.CONCAT('Customer Inputs'!$AG$7,"_",BX18)</f>
        <v>#N/A</v>
      </c>
      <c r="CH18" s="1053">
        <f t="array" ref="CH18">IFERROR(INDEX('Margin Guidence Table'!$A$1:$AG$10000,MATCH(1,('Margin Guidence Table'!$A$1:$A$10000=$CG18)*('Margin Guidence Table'!$I$1:$I$10000&lt;=ROUND($BY$3,0))*('Margin Guidence Table'!$J$1:$J$10000&gt;=ROUND($BY$3,0)),0),MATCH("DATA_POINTS",'Margin Guidence Table'!$A$1:$AG$1,0)),0)</f>
        <v>0</v>
      </c>
      <c r="CI18" s="1050" t="str">
        <f t="shared" si="29"/>
        <v>DEFAULT</v>
      </c>
      <c r="CJ18" s="1050">
        <f t="array" ref="CJ18">IFERROR(IF($CI18="SEGMENT",INDEX('Margin Guidence Table'!$A$1:$AG$10000,MATCH(1,('Margin Guidence Table'!$A$1:$A$10000=$CG18)*('Margin Guidence Table'!$I$1:$I$10000&lt;=ROUND($BY$3,0))*('Margin Guidence Table'!$J$1:$J$10000&gt;=ROUND($BY$3,0)),0),MATCH("SALES_CASE",'Margin Guidence Table'!$A$1:$AG$1,0)),INDEX('Margin Guidence Table'!$A$1:$AG$10000,MATCH(1,('Margin Guidence Table'!$A$1:$A$10000=$CG18)*('Margin Guidence Table'!$I$1:$I$10000&lt;=ROUND($BY$3,0))*('Margin Guidence Table'!$J$1:$J$10000&gt;=ROUND($BY$3,0)),0),MATCH("DEFAULT_SALES_CASE",'Margin Guidence Table'!$A$1:$AG$1,0))),0)</f>
        <v>0</v>
      </c>
      <c r="CK18" s="1050">
        <f t="array" ref="CK18">IFERROR(IF($CI18="SEGMENT",INDEX('Margin Guidence Table'!$A$1:$AG$10000,MATCH(1,('Margin Guidence Table'!$A$1:$A$10000=$CG18)*('Margin Guidence Table'!$I$1:$I$10000&lt;=ROUND($BY$3,0))*('Margin Guidence Table'!$J$1:$J$10000&gt;=ROUND($BY$3,0)),0),MATCH("SALES_LBS",'Margin Guidence Table'!$A$1:$AG$1,0)),INDEX('Margin Guidence Table'!$A$1:$AG$10000,MATCH(1,('Margin Guidence Table'!$A$1:$A$10000=$CG18)*('Margin Guidence Table'!$I$1:$I$10000&lt;=ROUND($BY$3,0))*('Margin Guidence Table'!$J$1:$J$10000&gt;=ROUND($BY$3,0)),0),MATCH("DEFAULT_SALES_LBS",'Margin Guidence Table'!$A$1:$AG$1,0))),0)</f>
        <v>0</v>
      </c>
      <c r="CL18" s="1054">
        <f t="array" ref="CL18">IFERROR(IF($CI18="SEGMENT",INDEX('Margin Guidence Table'!$A$1:$AG$10000,MATCH(1,('Margin Guidence Table'!$A$1:$A$10000=$CG18)*('Margin Guidence Table'!$I$1:$I$10000&lt;=ROUND($BY$3,0))*('Margin Guidence Table'!$J$1:$J$10000&gt;=ROUND($BY$3,0)),0),MATCH("MDA_MIN_MARGIN_GUIDENCE",'Margin Guidence Table'!$A$1:$AG$1,0)),INDEX('Margin Guidence Table'!$A$1:$AG$10000,MATCH(1,('Margin Guidence Table'!$A$1:$A$10000=$CG18)*('Margin Guidence Table'!$I$1:$I$10000&lt;=ROUND($BY$3,0))*('Margin Guidence Table'!$J$1:$J$10000&gt;=ROUND($BY$3,0)),0),MATCH("DEFAULT_MDA_MIN_MARGIN_GUIDENCE",'Margin Guidence Table'!$A$1:$AG$1,0))),0)</f>
        <v>0</v>
      </c>
      <c r="CM18" s="1054">
        <f t="array" ref="CM18">IFERROR(IF($CI18="SEGMENT",INDEX('Margin Guidence Table'!$A$1:$AG$10000,MATCH(1,('Margin Guidence Table'!$A$1:$A$10000=$CG18)*('Margin Guidence Table'!$I$1:$I$10000&lt;=ROUND($BY$3,0))*('Margin Guidence Table'!$J$1:$J$10000&gt;=ROUND($BY$3,0)),0),MATCH("MDA_MEDIAN_MARGIN_GUIDENCE",'Margin Guidence Table'!$A$1:$AG$1,0)),INDEX('Margin Guidence Table'!$A$1:$AG$10000,MATCH(1,('Margin Guidence Table'!$A$1:$A$10000=$CG18)*('Margin Guidence Table'!$I$1:$I$10000&lt;=ROUND($BY$3,0))*('Margin Guidence Table'!$J$1:$J$10000&gt;=ROUND($BY$3,0)),0),MATCH("DEFAULT_MDA_MEDIAN_MARGIN_GUIDENCE",'Margin Guidence Table'!$A$1:$AG$1,0))),0)</f>
        <v>0</v>
      </c>
      <c r="CN18" s="1054">
        <f t="array" ref="CN18">IFERROR(IF($CI18="SEGMENT",INDEX('Margin Guidence Table'!$A$1:$AG$10000,MATCH(1,('Margin Guidence Table'!$A$1:$A$10000=$CG18)*('Margin Guidence Table'!$I$1:$I$10000&lt;=ROUND($BY$3,0))*('Margin Guidence Table'!$J$1:$J$10000&gt;=ROUND($BY$3,0)),0),MATCH("MDA_MAX_MARGIN_GUIDENCE",'Margin Guidence Table'!$A$1:$AG$1,0)),INDEX('Margin Guidence Table'!$A$1:$AG$10000,MATCH(1,('Margin Guidence Table'!$A$1:$A$10000=$CG18)*('Margin Guidence Table'!$I$1:$I$10000&lt;=ROUND($BY$3,0))*('Margin Guidence Table'!$J$1:$J$10000&gt;=ROUND($BY$3,0)),0),MATCH("DEFAULT_MDA_MAX_MARGIN_GUIDENCE",'Margin Guidence Table'!$A$1:$AG$1,0))),0)</f>
        <v>0</v>
      </c>
      <c r="CO18" s="1054">
        <f t="array" ref="CO18">IFERROR(IF($CI18="SEGMENT",INDEX('Margin Guidence Table'!$A$1:$AG$10000,MATCH(1,('Margin Guidence Table'!$A$1:$A$10000=$CG18)*('Margin Guidence Table'!$I$1:$I$10000&lt;=ROUND($BY$3,0))*('Margin Guidence Table'!$J$1:$J$10000&gt;=ROUND($BY$3,0)),0),MATCH("PA_PCT_SALES",'Margin Guidence Table'!$A$1:$AG$1,0)),INDEX('Margin Guidence Table'!$A$1:$AG$10000,MATCH(1,('Margin Guidence Table'!$A$1:$A$10000=$CG18)*('Margin Guidence Table'!$I$1:$I$10000&lt;=ROUND($BY$3,0))*('Margin Guidence Table'!$J$1:$J$10000&gt;=ROUND($BY$3,0)),0),MATCH("DEFAULT_PA_PCT_SALES",'Margin Guidence Table'!$A$1:$AG$1,0))),0)</f>
        <v>0</v>
      </c>
      <c r="CP18" s="1054">
        <f t="array" ref="CP18">IFERROR(IF($CI18="SEGMENT",INDEX('Margin Guidence Table'!$A$1:$AG$10000,MATCH(1,('Margin Guidence Table'!$A$1:$A$10000=$CG18)*('Margin Guidence Table'!$I$1:$I$10000&lt;=ROUND($BY$3,0))*('Margin Guidence Table'!$J$1:$J$10000&gt;=ROUND($BY$3,0)),0),MATCH("SELF_FUND_PCT_SALES",'Margin Guidence Table'!$A$1:$AG$1,0)),INDEX('Margin Guidence Table'!$A$1:$AG$10000,MATCH(1,('Margin Guidence Table'!$A$1:$A$10000=$CG18)*('Margin Guidence Table'!$I$1:$I$10000&lt;=ROUND($BY$3,0))*('Margin Guidence Table'!$J$1:$J$10000&gt;=ROUND($BY$3,0)),0),MATCH("DEFAULT_SELF_FUND_PCT_SALES",'Margin Guidence Table'!$A$1:$AG$1,0))),0)</f>
        <v>0</v>
      </c>
      <c r="CQ18" s="1054">
        <f t="array" ref="CQ18">IFERROR(IF($CI18="SEGMENT",INDEX('Margin Guidence Table'!$A$1:$AG$10000,MATCH(1,('Margin Guidence Table'!$A$1:$A$10000=$CG18)*('Margin Guidence Table'!$I$1:$I$10000&lt;=ROUND($BY$3,0))*('Margin Guidence Table'!$J$1:$J$10000&gt;=ROUND($BY$3,0)),0),MATCH("CIA_MEDIAN_MARGIN_GUIDENCE",'Margin Guidence Table'!$A$1:$AG$1,0)),INDEX('Margin Guidence Table'!$A$1:$AG$10000,MATCH(1,('Margin Guidence Table'!$A$1:$A$10000=$CG18)*('Margin Guidence Table'!$I$1:$I$10000&lt;=ROUND($BY$3,0))*('Margin Guidence Table'!$J$1:$J$10000&gt;=ROUND($BY$3,0)),0),MATCH("DEFAULT_CIA_MEDIAN_MARGIN_GUIDENCE",'Margin Guidence Table'!$A$1:$AG$1,0))),0)</f>
        <v>0</v>
      </c>
      <c r="CR18" s="127"/>
      <c r="CS18" s="18">
        <f t="array" ref="CS18">IFERROR(IF($DF18="SEGMENT",INDEX('Margin Guidence Table'!$A$1:$AG$10000,MATCH(1,('Margin Guidence Table'!$A$1:$A$10000=$DD18)*('Margin Guidence Table'!$I$1:$I$10000&lt;=ROUND($CV$3,0))*('Margin Guidence Table'!$J$1:$J$10000&gt;=ROUND($CV$3,0)),0),MATCH("PCT_SALES",'Margin Guidence Table'!$A$1:$AG$1,0)),INDEX('Margin Guidence Table'!$A$1:$AG$10000,MATCH(1,('Margin Guidence Table'!$A$1:$A$10000=$DD18)*('Margin Guidence Table'!$I$1:$I$10000&lt;=ROUND($CV$3,0))*('Margin Guidence Table'!$J$1:$J$10000&gt;=ROUND($CV$3,0)),0),MATCH("DEFAULT_PCT_SALES",'Margin Guidence Table'!$A$1:$AG$1,0))),0)</f>
        <v>0</v>
      </c>
      <c r="CT18" s="370" t="e">
        <f t="shared" si="30"/>
        <v>#DIV/0!</v>
      </c>
      <c r="CU18" s="100" t="s">
        <v>100</v>
      </c>
      <c r="CV18" s="92">
        <f>IFERROR(IF(AND($CV$2&lt;&gt;"Enter Spend&gt;&gt;&gt;",CW6="EXISTING"),SUMIFS('Existing Customers'!$Q:$Q,'Existing Customers'!$A:$A,$CV$1,'Existing Customers'!$H:$H,$CU18)*$CV$4,$CV$3*$CT18),0)</f>
        <v>0</v>
      </c>
      <c r="CW18" s="87">
        <f>IFERROR(IF(AND($CV$2&lt;&gt;"Enter Spend&gt;&gt;&gt;",CW2="EXISTING"),SUMIFS('Existing Customers'!$N:$N,'Existing Customers'!$A:$A,$CV$1,'Existing Customers'!$H:$H,$CU18)*$CV$4,$CV18/$DG18),0)</f>
        <v>0</v>
      </c>
      <c r="CX18" s="93">
        <f>IFERROR(IF(AND($CV$2&lt;&gt;"Enter Spend&gt;&gt;&gt;",BC28="EXISTING"),SUMIFS('Existing Customers'!$O:$O,'Existing Customers'!$H:$H,$CU18,'Existing Customers'!$A:$A,$CV$1)*$CV$4,$CW18*$CV$8),0)</f>
        <v>0</v>
      </c>
      <c r="CY18" s="93">
        <f>IFERROR(IF(AND($CV$2&lt;&gt;"Enter Spend&gt;&gt;&gt;",CW2="EXISTING"),SUMIFS('Existing Customers'!$P:$P,'Existing Customers'!$A:$A,$CV$1,'Existing Customers'!$H:$H,$CU18)*$CV$4,$CV18/$DH18),0)</f>
        <v>0</v>
      </c>
      <c r="CZ18" s="94">
        <f>IFERROR(IF(AND($CV$2&lt;&gt;"Enter Spend&gt;&gt;&gt;",CW2="EXISTING"),SUMIFS('Existing Customers'!$V:$V,'Existing Customers'!$H:$H,$CU18,'Existing Customers'!$A:$A,$CV$1)*$CV$4,0),0)</f>
        <v>0</v>
      </c>
      <c r="DA18" s="94">
        <f>IFERROR(IF(AND($CV$2&lt;&gt;"Enter Spend&gt;&gt;&gt;",CW2="EXISTING"),SUMIFS('Existing Customers'!$R:$R,'Existing Customers'!$H:$H,$BA18,'Existing Customers'!$A:$A,$CV$1)*$CV$4,0),0)</f>
        <v>0</v>
      </c>
      <c r="DB18" s="1050">
        <f>IFERROR(IF(AND($CV$2&lt;&gt;"Enter Spend&gt;&gt;&gt;",CW2="EXISTING"),SUMIFS('Existing Customers'!$S:$S,'Existing Customers'!$H:$H,$CU18,'Existing Customers'!$A:$A,$CV$1),DL18*CV18),0)</f>
        <v>0</v>
      </c>
      <c r="DC18" s="1050">
        <f>IFERROR(IF(AND($CV$2&lt;&gt;"Enter Spend&gt;&gt;&gt;",CW2="EXISTING"),SUMIFS('Existing Customers'!$U:$U,'Existing Customers'!$H:$H,$CU18,'Existing Customers'!$A:$A,$CV$1),DM18*CV18),0)</f>
        <v>0</v>
      </c>
      <c r="DD18" s="1053" t="e">
        <f>_xlfn.CONCAT('Customer Inputs'!$AG$8,"_",CU18)</f>
        <v>#N/A</v>
      </c>
      <c r="DE18" s="1053">
        <f t="array" ref="DE18">IFERROR(INDEX('Margin Guidence Table'!$A$1:$AG$10000,MATCH(1,('Margin Guidence Table'!$A$1:$A$10000=DD18)*('Margin Guidence Table'!$I$1:$I$10000&lt;=ROUND($CV$3,0))*('Margin Guidence Table'!$J$1:$J$10000&gt;=ROUND($CV$3,0)),0),MATCH("DATA_POINTS",'Margin Guidence Table'!$A$1:$AG$1,0)),0)</f>
        <v>0</v>
      </c>
      <c r="DF18" s="1050" t="str">
        <f t="shared" si="31"/>
        <v>DEFAULT</v>
      </c>
      <c r="DG18" s="1050">
        <f t="array" ref="DG18">IFERROR(IF($DF18="SEGMENT",INDEX('Margin Guidence Table'!$A$1:$AG$10000,MATCH(1,('Margin Guidence Table'!$A$1:$A$10000=DD18)*('Margin Guidence Table'!$I$1:$I$10000&lt;=ROUND($CV$3,0))*('Margin Guidence Table'!$J$1:$J$10000&gt;=ROUND($CV$3,0)),0),MATCH("SALES_CASE",'Margin Guidence Table'!$A$1:$AG$1,0)),INDEX('Margin Guidence Table'!$A$1:$AG$10000,MATCH(1,('Margin Guidence Table'!$A$1:$A$10000=DD18)*('Margin Guidence Table'!$I$1:$I$10000&lt;=ROUND($CV$3,0))*('Margin Guidence Table'!$J$1:$J$10000&gt;=ROUND($CV$3,0)),0),MATCH("DEFAULT_SALES_CASE",'Margin Guidence Table'!$A$1:$AG$1,0))),0)</f>
        <v>0</v>
      </c>
      <c r="DH18" s="1050">
        <f t="array" ref="DH18">IFERROR(IF($DF18="SEGMENT",INDEX('Margin Guidence Table'!$A$1:$AG$10000,MATCH(1,('Margin Guidence Table'!$A$1:$A$10000=DD18)*('Margin Guidence Table'!$I$1:$I$10000&lt;=ROUND($CV$3,0))*('Margin Guidence Table'!$J$1:$J$10000&gt;=ROUND($CV$3,0)),0),MATCH("SALES_LBS",'Margin Guidence Table'!$A$1:$AG$1,0)),INDEX('Margin Guidence Table'!$A$1:$AG$10000,MATCH(1,('Margin Guidence Table'!$A$1:$A$10000=DD18)*('Margin Guidence Table'!$I$1:$I$10000&lt;=ROUND($CV$3,0))*('Margin Guidence Table'!$J$1:$J$10000&gt;=ROUND($CV$3,0)),0),MATCH("DEFAULT_SALES_LBS",'Margin Guidence Table'!$A$1:$AG$1,0))),0)</f>
        <v>0</v>
      </c>
      <c r="DI18" s="1054">
        <f t="array" ref="DI18">IFERROR(IF($DF18="SEGMENT",INDEX('Margin Guidence Table'!$A$1:$AG$10000,MATCH(1,('Margin Guidence Table'!$A$1:$A$10000=DD18)*('Margin Guidence Table'!$I$1:$I$10000&lt;=ROUND($CV$3,0))*('Margin Guidence Table'!$J$1:$J$10000&gt;=ROUND($CV$3,0)),0),MATCH("MDA_MIN_MARGIN_GUIDENCE",'Margin Guidence Table'!$A$1:$AG$1,0)),INDEX('Margin Guidence Table'!$A$1:$AG$10000,MATCH(1,('Margin Guidence Table'!$A$1:$A$10000=DD18)*('Margin Guidence Table'!$I$1:$I$10000&lt;=ROUND($CV$3,0))*('Margin Guidence Table'!$J$1:$J$10000&gt;=ROUND($CV$3,0)),0),MATCH("DEFAULT_MDA_MIN_MARGIN_GUIDENCE",'Margin Guidence Table'!$A$1:$AG$1,0))),0)</f>
        <v>0</v>
      </c>
      <c r="DJ18" s="1054">
        <f t="array" ref="DJ18">IFERROR(IF($DF18="SEGMENT",INDEX('Margin Guidence Table'!$A$1:$AG$10000,MATCH(1,('Margin Guidence Table'!$A$1:$A$10000=DD18)*('Margin Guidence Table'!$I$1:$I$10000&lt;=ROUND($CV$3,0))*('Margin Guidence Table'!$J$1:$J$10000&gt;=ROUND($CV$3,0)),0),MATCH("MDA_MEDIAN_MARGIN_GUIDENCE",'Margin Guidence Table'!$A$1:$AG$1,0)),INDEX('Margin Guidence Table'!$A$1:$AG$10000,MATCH(1,('Margin Guidence Table'!$A$1:$A$10000=DD18)*('Margin Guidence Table'!$I$1:$I$10000&lt;=ROUND($CV$3,0))*('Margin Guidence Table'!$J$1:$J$10000&gt;=ROUND($CV$3,0)),0),MATCH("DEFAULT_MDA_MEDIAN_MARGIN_GUIDENCE",'Margin Guidence Table'!$A$1:$AG$1,0))),0)</f>
        <v>0</v>
      </c>
      <c r="DK18" s="1054">
        <f t="array" ref="DK18">IFERROR(IF($DF18="SEGMENT",INDEX('Margin Guidence Table'!$A$1:$AG$10000,MATCH(1,('Margin Guidence Table'!$A$1:$A$10000=DD18)*('Margin Guidence Table'!$I$1:$I$10000&lt;=ROUND($CV$3,0))*('Margin Guidence Table'!$J$1:$J$10000&gt;=ROUND($CV$3,0)),0),MATCH("MDA_MAX_MARGIN_GUIDENCE",'Margin Guidence Table'!$A$1:$AG$1,0)),INDEX('Margin Guidence Table'!$A$1:$AG$10000,MATCH(1,('Margin Guidence Table'!$A$1:$A$10000=DD18)*('Margin Guidence Table'!$I$1:$I$10000&lt;=ROUND($CV$3,0))*('Margin Guidence Table'!$J$1:$J$10000&gt;=ROUND($CV$3,0)),0),MATCH("DEFAULT_MDA_MAX_MARGIN_GUIDENCE",'Margin Guidence Table'!$A$1:$AG$1,0))),0)</f>
        <v>0</v>
      </c>
      <c r="DL18" s="1054">
        <f t="array" ref="DL18">IFERROR(IF($DF18="SEGMENT",INDEX('Margin Guidence Table'!$A$1:$AG$10000,MATCH(1,('Margin Guidence Table'!$A$1:$A$10000=DD18)*('Margin Guidence Table'!$I$1:$I$10000&lt;=ROUND($CV$3,0))*('Margin Guidence Table'!$J$1:$J$10000&gt;=ROUND($CV$3,0)),0),MATCH("PA_PCT_SALES",'Margin Guidence Table'!$A$1:$AG$1,0)),INDEX('Margin Guidence Table'!$A$1:$AG$10000,MATCH(1,('Margin Guidence Table'!$A$1:$A$10000=DD18)*('Margin Guidence Table'!$I$1:$I$10000&lt;=ROUND($CV$3,0))*('Margin Guidence Table'!$J$1:$J$10000&gt;=ROUND($CV$3,0)),0),MATCH("DEFAULT_PA_PCT_SALES",'Margin Guidence Table'!$A$1:$AG$1,0))),0)</f>
        <v>0</v>
      </c>
      <c r="DM18" s="1054">
        <f t="array" ref="DM18">IFERROR(IF($DF18="SEGMENT",INDEX('Margin Guidence Table'!$A$1:$AG$10000,MATCH(1,('Margin Guidence Table'!$A$1:$A$10000=DD18)*('Margin Guidence Table'!$I$1:$I$10000&lt;=ROUND($CV$3,0))*('Margin Guidence Table'!$J$1:$J$10000&gt;=ROUND($CV$3,0)),0),MATCH("SELF_FUND_PCT_SALES",'Margin Guidence Table'!$A$1:$AG$1,0)),INDEX('Margin Guidence Table'!$A$1:$AG$10000,MATCH(1,('Margin Guidence Table'!$A$1:$A$10000=DD18)*('Margin Guidence Table'!$I$1:$I$10000&lt;=ROUND($CV$3,0))*('Margin Guidence Table'!$J$1:$J$10000&gt;=ROUND($CV$3,0)),0),MATCH("DEFAULT_SELF_FUND_PCT_SALES",'Margin Guidence Table'!$A$1:$AG$1,0))),0)</f>
        <v>0</v>
      </c>
      <c r="DN18" s="1054">
        <f t="array" ref="DN18">IFERROR(IF($DF18="SEGMENT",INDEX('Margin Guidence Table'!$A$1:$AG$10000,MATCH(1,('Margin Guidence Table'!$A$1:$A$10000=DD18)*('Margin Guidence Table'!$I$1:$I$10000&lt;=ROUND($CV$3,0))*('Margin Guidence Table'!$J$1:$J$10000&gt;=ROUND($CV$3,0)),0),MATCH("CIA_MEDIAN_MARGIN_GUIDENCE",'Margin Guidence Table'!$A$1:$AG$1,0)),INDEX('Margin Guidence Table'!$A$1:$AG$10000,MATCH(1,('Margin Guidence Table'!$A$1:$A$10000=DD18)*('Margin Guidence Table'!$I$1:$I$10000&lt;=ROUND($CV$3,0))*('Margin Guidence Table'!$J$1:$J$10000&gt;=ROUND($CV$3,0)),0),MATCH("DEFAULT_CIA_MEDIAN_MARGIN_GUIDENCE",'Margin Guidence Table'!$A$1:$AG$1,0))),0)</f>
        <v>0</v>
      </c>
      <c r="DO18" s="127"/>
      <c r="DP18" s="18">
        <f t="array" ref="DP18">IFERROR(IF($EC18="SEGMENT",INDEX('Margin Guidence Table'!$A$1:$AG$10000,MATCH(1,('Margin Guidence Table'!$A$1:$A$10000=$EA18)*('Margin Guidence Table'!$I$1:$I$10000&lt;=ROUND($DS$3,0))*('Margin Guidence Table'!$J$1:$J$10000&gt;=ROUND($DS$3,0)),0),MATCH("PCT_SALES",'Margin Guidence Table'!$A$1:$AG$1,0)),INDEX('Margin Guidence Table'!$A$1:$AG$10000,MATCH(1,('Margin Guidence Table'!$A$1:$A$10000=$EA18)*('Margin Guidence Table'!$I$1:$I$10000&lt;=ROUND($DS$3,0))*('Margin Guidence Table'!$J$1:$J$10000&gt;=ROUND($DS$3,0)),0),MATCH("DEFAULT_PCT_SALES",'Margin Guidence Table'!$A$1:$AG$1,0))),0)</f>
        <v>0</v>
      </c>
      <c r="DQ18" s="370" t="e">
        <f t="shared" si="32"/>
        <v>#DIV/0!</v>
      </c>
      <c r="DR18" s="100" t="s">
        <v>100</v>
      </c>
      <c r="DS18" s="92">
        <f>IFERROR(IF(AND($DS$2&lt;&gt;"Enter Spend&gt;&gt;&gt;",DT6="EXISTING"),SUMIFS('Existing Customers'!$Q:$Q,'Existing Customers'!$A:$A,$DS$1,'Existing Customers'!$H:$H,$DR18)*$DS$4,$DS$3*$DQ18),0)</f>
        <v>0</v>
      </c>
      <c r="DT18" s="87">
        <f>IFERROR(IF(AND($DS$2&lt;&gt;"Enter Spend&gt;&gt;&gt;",DT2="EXISTING"),SUMIFS('Existing Customers'!$N:$N,'Existing Customers'!$A:$A,$DS$1,'Existing Customers'!$H:$H,$DR18)*$DS$4,$DS18/$ED18),0)</f>
        <v>0</v>
      </c>
      <c r="DU18" s="93">
        <f>IFERROR(IF(AND($DS$2&lt;&gt;"Enter Spend&gt;&gt;&gt;",DT2="EXISTING"),SUMIFS('Existing Customers'!$O:$O,'Existing Customers'!$H:$H,$DR18,'Existing Customers'!$A:$A,$DS$1)*$DS$4,$DT18*$DS$8),0)</f>
        <v>0</v>
      </c>
      <c r="DV18" s="93">
        <f>IFERROR(IF(AND($DS$2&lt;&gt;"Enter Spend&gt;&gt;&gt;",DT2="EXISTING"),SUMIFS('Existing Customers'!$P:$P,'Existing Customers'!$A:$A,$DS$1,'Existing Customers'!$H:$H,$DR18)*$DS$4,$DS18/$EE18),0)</f>
        <v>0</v>
      </c>
      <c r="DW18" s="94">
        <f>IFERROR(IF(AND($DS$2&lt;&gt;"Enter Spend&gt;&gt;&gt;",EQ2="EXISTING"),SUMIFS('Existing Customers'!$V:$V,'Existing Customers'!$H:$H,$DR18,'Existing Customers'!$A:$A,$DS$1)*$DS$4,0),0)</f>
        <v>0</v>
      </c>
      <c r="DX18" s="94">
        <f>IFERROR(IF(AND($DS$2&lt;&gt;"Enter Spend&gt;&gt;&gt;",DT2="EXISTING"),SUMIFS('Existing Customers'!$R:$R,'Existing Customers'!$H:$H,$DR18,'Existing Customers'!$A:$A,$DS$1)*$DS$4,0),0)</f>
        <v>0</v>
      </c>
      <c r="DY18" s="1050">
        <f>IFERROR(IF(AND($DS$2&lt;&gt;"Enter Spend&gt;&gt;&gt;",DT2="EXISTING"),SUMIFS('Existing Customers'!$S:$S,'Existing Customers'!$H:$H,$DT18,'Existing Customers'!$A:$A,$DS$1),EI18*DS18),0)</f>
        <v>0</v>
      </c>
      <c r="DZ18" s="1050">
        <f>IFERROR(IF(AND($DS$2&lt;&gt;"Enter Spend&gt;&gt;&gt;",DT2="EXISTING"),SUMIFS('Existing Customers'!$U:$U,'Existing Customers'!$H:$H,$DR18,'Existing Customers'!$A:$A,$DS$1),EJ18*DS18),0)</f>
        <v>0</v>
      </c>
      <c r="EA18" s="1053" t="e">
        <f>_xlfn.CONCAT('Customer Inputs'!$AG$9,"_",DR18)</f>
        <v>#N/A</v>
      </c>
      <c r="EB18" s="1053">
        <f t="array" ref="EB18">IFERROR(INDEX('Margin Guidence Table'!$A$1:$AG$10000,MATCH(1,('Margin Guidence Table'!$A$1:$A$10000=EA18)*('Margin Guidence Table'!$I$1:$I$10000&lt;=ROUND($DS$3,0))*('Margin Guidence Table'!$J$1:$J$10000&gt;=ROUND($DS$3,0)),0),MATCH("DATA_POINTS",'Margin Guidence Table'!$A$1:$AG$1,0)),0)</f>
        <v>0</v>
      </c>
      <c r="EC18" s="1050" t="str">
        <f t="shared" si="33"/>
        <v>DEFAULT</v>
      </c>
      <c r="ED18" s="1050">
        <f t="array" ref="ED18">IFERROR(IF($EC18="SEGMENT",INDEX('Margin Guidence Table'!$A$1:$AG$10000,MATCH(1,('Margin Guidence Table'!$A$1:$A$10000=EA18)*('Margin Guidence Table'!$I$1:$I$10000&lt;=ROUND($DS$3,0))*('Margin Guidence Table'!$J$1:$J$10000&gt;=ROUND($DS$3,0)),0),MATCH("SALES_CASE",'Margin Guidence Table'!$A$1:$AG$1,0)),INDEX('Margin Guidence Table'!$A$1:$AG$10000,MATCH(1,('Margin Guidence Table'!$A$1:$A$10000=EA18)*('Margin Guidence Table'!$I$1:$I$10000&lt;=ROUND($DS$3,0))*('Margin Guidence Table'!$J$1:$J$10000&gt;=ROUND($DS$3,0)),0),MATCH("DEFAULT_SALES_CASE",'Margin Guidence Table'!$A$1:$AG$1,0))),0)</f>
        <v>0</v>
      </c>
      <c r="EE18" s="1050">
        <f t="array" ref="EE18">IFERROR(IF($EC18="SEGMENT",INDEX('Margin Guidence Table'!$A$1:$AG$10000,MATCH(1,('Margin Guidence Table'!$A$1:$A$10000=EA18)*('Margin Guidence Table'!$I$1:$I$10000&lt;=ROUND($DS$3,0))*('Margin Guidence Table'!$J$1:$J$10000&gt;=ROUND($DS$3,0)),0),MATCH("SALES_LBS",'Margin Guidence Table'!$A$1:$AG$1,0)),INDEX('Margin Guidence Table'!$A$1:$AG$10000,MATCH(1,('Margin Guidence Table'!$A$1:$A$10000=EA18)*('Margin Guidence Table'!$I$1:$I$10000&lt;=ROUND($DS$3,0))*('Margin Guidence Table'!$J$1:$J$10000&gt;=ROUND($DS$3,0)),0),MATCH("DEFAULT_SALES_LBS",'Margin Guidence Table'!$A$1:$AG$1,0))),0)</f>
        <v>0</v>
      </c>
      <c r="EF18" s="1054">
        <f t="array" ref="EF18">IFERROR(IF($EC18="SEGMENT",INDEX('Margin Guidence Table'!$A$1:$AG$10000,MATCH(1,('Margin Guidence Table'!$A$1:$A$10000=EA18)*('Margin Guidence Table'!$I$1:$I$10000&lt;=ROUND($DS$3,0))*('Margin Guidence Table'!$J$1:$J$10000&gt;=ROUND($DS$3,0)),0),MATCH("MDA_MIN_MARGIN_GUIDENCE",'Margin Guidence Table'!$A$1:$AG$1,0)),INDEX('Margin Guidence Table'!$A$1:$AG$10000,MATCH(1,('Margin Guidence Table'!$A$1:$A$10000=EA18)*('Margin Guidence Table'!$I$1:$I$10000&lt;=ROUND($DS$3,0))*('Margin Guidence Table'!$J$1:$J$10000&gt;=ROUND($DS$3,0)),0),MATCH("DEFAULT_MDA_MIN_MARGIN_GUIDENCE",'Margin Guidence Table'!$A$1:$AG$1,0))),0)</f>
        <v>0</v>
      </c>
      <c r="EG18" s="1054">
        <f t="array" ref="EG18">IFERROR(IF($EC18="SEGMENT",INDEX('Margin Guidence Table'!$A$1:$AG$10000,MATCH(1,('Margin Guidence Table'!$A$1:$A$10000=EA18)*('Margin Guidence Table'!$I$1:$I$10000&lt;=ROUND($DS$3,0))*('Margin Guidence Table'!$J$1:$J$10000&gt;=ROUND($DS$3,0)),0),MATCH("MDA_MEDIAN_MARGIN_GUIDENCE",'Margin Guidence Table'!$A$1:$AG$1,0)),INDEX('Margin Guidence Table'!$A$1:$AG$10000,MATCH(1,('Margin Guidence Table'!$A$1:$A$10000=EA18)*('Margin Guidence Table'!$I$1:$I$10000&lt;=ROUND($DS$3,0))*('Margin Guidence Table'!$J$1:$J$10000&gt;=ROUND($DS$3,0)),0),MATCH("DEFAULT_MDA_MEDIAN_MARGIN_GUIDENCE",'Margin Guidence Table'!$A$1:$AG$1,0))),0)</f>
        <v>0</v>
      </c>
      <c r="EH18" s="1054">
        <f t="array" ref="EH18">IFERROR(IF($EC18="SEGMENT",INDEX('Margin Guidence Table'!$A$1:$AG$10000,MATCH(1,('Margin Guidence Table'!$A$1:$A$10000=EA18)*('Margin Guidence Table'!$I$1:$I$10000&lt;=ROUND($DS$3,0))*('Margin Guidence Table'!$J$1:$J$10000&gt;=ROUND($DS$3,0)),0),MATCH("MDA_MAX_MARGIN_GUIDENCE",'Margin Guidence Table'!$A$1:$AG$1,0)),INDEX('Margin Guidence Table'!$A$1:$AG$10000,MATCH(1,('Margin Guidence Table'!$A$1:$A$10000=EA18)*('Margin Guidence Table'!$I$1:$I$10000&lt;=ROUND($DS$3,0))*('Margin Guidence Table'!$J$1:$J$10000&gt;=ROUND($DS$3,0)),0),MATCH("DEFAULT_MDA_MAX_MARGIN_GUIDENCE",'Margin Guidence Table'!$A$1:$AG$1,0))),0)</f>
        <v>0</v>
      </c>
      <c r="EI18" s="1054">
        <f t="array" ref="EI18">IFERROR(IF($EC18="SEGMENT",INDEX('Margin Guidence Table'!$A$1:$AG$10000,MATCH(1,('Margin Guidence Table'!$A$1:$A$10000=EA18)*('Margin Guidence Table'!$I$1:$I$10000&lt;=ROUND($DS$3,0))*('Margin Guidence Table'!$J$1:$J$10000&gt;=ROUND($DS$3,0)),0),MATCH("PA_PCT_SALES",'Margin Guidence Table'!$A$1:$AG$1,0)),INDEX('Margin Guidence Table'!$A$1:$AG$10000,MATCH(1,('Margin Guidence Table'!$A$1:$A$10000=EA18)*('Margin Guidence Table'!$I$1:$I$10000&lt;=ROUND($DS$3,0))*('Margin Guidence Table'!$J$1:$J$10000&gt;=ROUND($DS$3,0)),0),MATCH("DEFAULT_PA_PCT_SALES",'Margin Guidence Table'!$A$1:$AG$1,0))),0)</f>
        <v>0</v>
      </c>
      <c r="EJ18" s="1054">
        <f t="array" ref="EJ18">IFERROR(IF($EC18="SEGMENT",INDEX('Margin Guidence Table'!$A$1:$AG$10000,MATCH(1,('Margin Guidence Table'!$A$1:$A$10000=EA18)*('Margin Guidence Table'!$I$1:$I$10000&lt;=ROUND($DS$3,0))*('Margin Guidence Table'!$J$1:$J$10000&gt;=ROUND($DS$3,0)),0),MATCH("SELF_FUND_PCT_SALES",'Margin Guidence Table'!$A$1:$AG$1,0)),INDEX('Margin Guidence Table'!$A$1:$AG$10000,MATCH(1,('Margin Guidence Table'!$A$1:$A$10000=EA18)*('Margin Guidence Table'!$I$1:$I$10000&lt;=ROUND($DS$3,0))*('Margin Guidence Table'!$J$1:$J$10000&gt;=ROUND($DS$3,0)),0),MATCH("DEFAULT_SELF_FUND_PCT_SALES",'Margin Guidence Table'!$A$1:$AG$1,0))),0)</f>
        <v>0</v>
      </c>
      <c r="EK18" s="1054">
        <f t="array" ref="EK18">IFERROR(IF($EC18="SEGMENT",INDEX('Margin Guidence Table'!$A$1:$AG$10000,MATCH(1,('Margin Guidence Table'!$A$1:$A$10000=EA18)*('Margin Guidence Table'!$I$1:$I$10000&lt;=ROUND($DS$3,0))*('Margin Guidence Table'!$J$1:$J$10000&gt;=ROUND($DS$3,0)),0),MATCH("CIA_MEDIAN_MARGIN_GUIDENCE",'Margin Guidence Table'!$A$1:$AG$1,0)),INDEX('Margin Guidence Table'!$A$1:$AG$10000,MATCH(1,('Margin Guidence Table'!$A$1:$A$10000=EA18)*('Margin Guidence Table'!$I$1:$I$10000&lt;=ROUND($DS$3,0))*('Margin Guidence Table'!$J$1:$J$10000&gt;=ROUND($DS$3,0)),0),MATCH("DEFAULT_CIA_MEDIAN_MARGIN_GUIDENCE",'Margin Guidence Table'!$A$1:$AG$1,0))),0)</f>
        <v>0</v>
      </c>
      <c r="EL18" s="127"/>
      <c r="EM18" s="18">
        <f t="array" ref="EM18">IFERROR(IF($EZ18="SEGMENT",INDEX('Margin Guidence Table'!$A$1:$AG$10000,MATCH(1,('Margin Guidence Table'!$A$1:$A$10000=$EX18)*('Margin Guidence Table'!$I$1:$I$10000&lt;=ROUND($EP$3,0))*('Margin Guidence Table'!$J$1:$J$10000&gt;=ROUND($EP$3,0)),0),MATCH("PCT_SALES",'Margin Guidence Table'!$A$1:$AG$1,0)),INDEX('Margin Guidence Table'!$A$1:$AG$10000,MATCH(1,('Margin Guidence Table'!$A$1:$A$10000=$EX18)*('Margin Guidence Table'!$I$1:$I$10000&lt;=ROUND($EP$3,0))*('Margin Guidence Table'!$J$1:$J$10000&gt;=ROUND($EP$3,0)),0),MATCH("DEFAULT_PCT_SALES",'Margin Guidence Table'!$A$1:$AG$1,0))),0)</f>
        <v>0</v>
      </c>
      <c r="EN18" s="370" t="e">
        <f t="shared" si="34"/>
        <v>#DIV/0!</v>
      </c>
      <c r="EO18" s="100" t="s">
        <v>100</v>
      </c>
      <c r="EP18" s="92">
        <f>IFERROR(IF(AND($EP$2&lt;&gt;"Enter Spend&gt;&gt;&gt;",EQ6="EXISTING"),SUMIFS('Existing Customers'!$Q:$Q,'Existing Customers'!$A:$A,$EP$1,'Existing Customers'!$H:$H,$EO18)*$EP$4,$EP$3*$EN18),0)</f>
        <v>0</v>
      </c>
      <c r="EQ18" s="87">
        <f>IFERROR(IF(AND($EP$2&lt;&gt;"Enter Spend&gt;&gt;&gt;",EQ2="EXISTING"),SUMIFS('Existing Customers'!$N:$N,'Existing Customers'!$A:$A,$EP$1,'Existing Customers'!$H:$H,$EO18)*$EP$4,$EP18/$FA18),0)</f>
        <v>0</v>
      </c>
      <c r="ER18" s="93">
        <f>IFERROR(IF(AND($EP$2&lt;&gt;"Enter Spend&gt;&gt;&gt;",EQ2="EXISTING"),SUMIFS('Existing Customers'!$O:$O,'Existing Customers'!$H:$H,$EO18,'Existing Customers'!$A:$A,$EP$1)*$EP$4,$EQ18*$EP$8),0)</f>
        <v>0</v>
      </c>
      <c r="ES18" s="93">
        <f>IFERROR(IF(AND($EP$2&lt;&gt;"Enter Spend&gt;&gt;&gt;",EQ2="EXISTING"),SUMIFS('Existing Customers'!$P:$P,'Existing Customers'!$A:$A,$EP$1,'Existing Customers'!$H:$H,$EO18)*$EP$4,$EP18/$FB18),0)</f>
        <v>0</v>
      </c>
      <c r="ET18" s="94">
        <f>IFERROR(IF(AND($EP$2&lt;&gt;"Enter Spend&gt;&gt;&gt;",EQ2="EXISTING"),SUMIFS('Existing Customers'!$V:$V,'Existing Customers'!$H:$H,$EO18,'Existing Customers'!$A:$A,$EP$1)*$EP$4,0),0)</f>
        <v>0</v>
      </c>
      <c r="EU18" s="94">
        <f>IFERROR(IF(AND($EP$2&lt;&gt;"Enter Spend&gt;&gt;&gt;",EQ2="EXISTING"),SUMIFS('Existing Customers'!$R:$R,'Existing Customers'!$H:$H,$EO18,'Existing Customers'!$A:$A,$EP$1)*$EP$4,0),0)</f>
        <v>0</v>
      </c>
      <c r="EV18" s="1050">
        <f>IFERROR(IF(AND($EP$2&lt;&gt;"Enter Spend&gt;&gt;&gt;",EQ2="EXISTING"),SUMIFS('Existing Customers'!$S:$S,'Existing Customers'!$H:$H,$EO18,'Existing Customers'!$A:$A,$EP$1),FF18*EP18),0)</f>
        <v>0</v>
      </c>
      <c r="EW18" s="1050">
        <f>IFERROR(IF(AND($EP$2&lt;&gt;"Enter Spend&gt;&gt;&gt;",EQ2="EXISTING"),SUMIFS('Existing Customers'!$U:$U,'Existing Customers'!$H:$H,$EO18,'Existing Customers'!$A:$A,$EP$1),FG18*EP18),0)</f>
        <v>0</v>
      </c>
      <c r="EX18" s="1053" t="e">
        <f>_xlfn.CONCAT('Customer Inputs'!$AG$10,"_",EO18)</f>
        <v>#N/A</v>
      </c>
      <c r="EY18" s="1053">
        <f t="array" ref="EY18">IFERROR(INDEX('Margin Guidence Table'!$A$1:$AG$10000,MATCH(1,('Margin Guidence Table'!$A$1:$A$10000=EX18)*('Margin Guidence Table'!$I$1:$I$10000&lt;=ROUND($EP$3,0))*('Margin Guidence Table'!$J$1:$J$10000&gt;=ROUND($EP$3,0)),0),MATCH("DATA_POINTS",'Margin Guidence Table'!$A$1:$AG$1,0)),0)</f>
        <v>0</v>
      </c>
      <c r="EZ18" s="1050" t="str">
        <f t="shared" si="35"/>
        <v>DEFAULT</v>
      </c>
      <c r="FA18" s="1050">
        <f t="array" ref="FA18">IFERROR(IF($EZ18="SEGMENT",INDEX('Margin Guidence Table'!$A$1:$AG$10000,MATCH(1,('Margin Guidence Table'!$A$1:$A$10000=EX18)*('Margin Guidence Table'!$I$1:$I$10000&lt;=ROUND($EP$3,0))*('Margin Guidence Table'!$J$1:$J$10000&gt;=ROUND($EP$3,0)),0),MATCH("SALES_CASE",'Margin Guidence Table'!$A$1:$AG$1,0)),INDEX('Margin Guidence Table'!$A$1:$AG$10000,MATCH(1,('Margin Guidence Table'!$A$1:$A$10000=EX18)*('Margin Guidence Table'!$I$1:$I$10000&lt;=ROUND($EP$3,0))*('Margin Guidence Table'!$J$1:$J$10000&gt;=ROUND($EP$3,0)),0),MATCH("DEFAULT_SALES_CASE",'Margin Guidence Table'!$A$1:$AG$1,0))),0)</f>
        <v>0</v>
      </c>
      <c r="FB18" s="1050" cm="1">
        <f t="array" ref="FB18">IFERROR(IF($EZ18="SEGMENT",INDEX('Margin Guidence Table'!$A$1:$AG$10000,MATCH(1,('Margin Guidence Table'!$A$1:$A$10000=EX18)*('Margin Guidence Table'!$I$1:$I$10000&lt;=ROUND($EP$3,0))*('Margin Guidence Table'!$J$1:$J$10000&gt;=ROUND($EP$3,0)),0),MATCH("SALES_LBS",'Margin Guidence Table'!$A$1:$AG$1,0)),INDEX('Margin Guidence Table'!$A$1:$AG$10000,MATCH(1,('Margin Guidence Table'!$A$1:$A$10000=EX18)*('Margin Guidence Table'!$I$1:$I$10000&lt;=ROUND($EP$3,0))*('Margin Guidence Table'!$J$1:$J$10000&gt;=ROUND($EP$3,0)),0),MATCH("DEFAULT_SALES_LBS",'Margin Guidence Table'!$A$1:$AG$1,0))),0)</f>
        <v>0</v>
      </c>
      <c r="FC18" s="1054">
        <f t="array" ref="FC18">IFERROR(IF($EZ18="SEGMENT",INDEX('Margin Guidence Table'!$A$1:$AG$10000,MATCH(1,('Margin Guidence Table'!$A$1:$A$10000=EX18)*('Margin Guidence Table'!$I$1:$I$10000&lt;=ROUND($EP$3,0))*('Margin Guidence Table'!$J$1:$J$10000&gt;=ROUND($EP$3,0)),0),MATCH("MDA_MIN_MARGIN_GUIDENCE",'Margin Guidence Table'!$A$1:$AG$1,0)),INDEX('Margin Guidence Table'!$A$1:$AG$10000,MATCH(1,('Margin Guidence Table'!$A$1:$A$10000=EX18)*('Margin Guidence Table'!$I$1:$I$10000&lt;=ROUND($EP$3,0))*('Margin Guidence Table'!$J$1:$J$10000&gt;=ROUND($EP$3,0)),0),MATCH("DEFAULT_MDA_MIN_MARGIN_GUIDENCE",'Margin Guidence Table'!$A$1:$AG$1,0))),0)</f>
        <v>0</v>
      </c>
      <c r="FD18" s="1054">
        <f t="array" ref="FD18">IFERROR(IF($EZ18="SEGMENT",INDEX('Margin Guidence Table'!$A$1:$AG$10000,MATCH(1,('Margin Guidence Table'!$A$1:$A$10000=EX18)*('Margin Guidence Table'!$I$1:$I$10000&lt;=ROUND($EP$3,0))*('Margin Guidence Table'!$J$1:$J$10000&gt;=ROUND($EP$3,0)),0),MATCH("MDA_MEDIAN_MARGIN_GUIDENCE",'Margin Guidence Table'!$A$1:$AG$1,0)),INDEX('Margin Guidence Table'!$A$1:$AG$10000,MATCH(1,('Margin Guidence Table'!$A$1:$A$10000=EX18)*('Margin Guidence Table'!$I$1:$I$10000&lt;=ROUND($EP$3,0))*('Margin Guidence Table'!$J$1:$J$10000&gt;=ROUND($EP$3,0)),0),MATCH("DEFAULT_MDA_MEDIAN_MARGIN_GUIDENCE",'Margin Guidence Table'!$A$1:$AG$1,0))),0)</f>
        <v>0</v>
      </c>
      <c r="FE18" s="1054">
        <f t="array" ref="FE18">IFERROR(IF($EZ18="SEGMENT",INDEX('Margin Guidence Table'!$A$1:$AG$10000,MATCH(1,('Margin Guidence Table'!$A$1:$A$10000=EX18)*('Margin Guidence Table'!$I$1:$I$10000&lt;=ROUND($EP$3,0))*('Margin Guidence Table'!$J$1:$J$10000&gt;=ROUND($EP$3,0)),0),MATCH("MDA_MAX_MARGIN_GUIDENCE",'Margin Guidence Table'!$A$1:$AG$1,0)),INDEX('Margin Guidence Table'!$A$1:$AG$10000,MATCH(1,('Margin Guidence Table'!$A$1:$A$10000=EX18)*('Margin Guidence Table'!$I$1:$I$10000&lt;=ROUND($EP$3,0))*('Margin Guidence Table'!$J$1:$J$10000&gt;=ROUND($EP$3,0)),0),MATCH("DEFAULT_MDA_MAX_MARGIN_GUIDENCE",'Margin Guidence Table'!$A$1:$AG$1,0))),0)</f>
        <v>0</v>
      </c>
      <c r="FF18" s="1054">
        <f t="array" ref="FF18">IFERROR(IF($EZ18="SEGMENT",INDEX('Margin Guidence Table'!$A$1:$AG$10000,MATCH(1,('Margin Guidence Table'!$A$1:$A$10000=EX18)*('Margin Guidence Table'!$I$1:$I$10000&lt;=ROUND($EP$3,0))*('Margin Guidence Table'!$J$1:$J$10000&gt;=ROUND($EP$3,0)),0),MATCH("PA_PCT_SALES",'Margin Guidence Table'!$A$1:$AG$1,0)),INDEX('Margin Guidence Table'!$A$1:$AG$10000,MATCH(1,('Margin Guidence Table'!$A$1:$A$10000=EX18)*('Margin Guidence Table'!$I$1:$I$10000&lt;=ROUND($EP$3,0))*('Margin Guidence Table'!$J$1:$J$10000&gt;=ROUND($EP$3,0)),0),MATCH("DEFAULT_PA_PCT_SALES",'Margin Guidence Table'!$A$1:$AG$1,0))),0)</f>
        <v>0</v>
      </c>
      <c r="FG18" s="1054">
        <f t="array" ref="FG18">IFERROR(IF($EZ18="SEGMENT",INDEX('Margin Guidence Table'!$A$1:$AG$10000,MATCH(1,('Margin Guidence Table'!$A$1:$A$10000=EX18)*('Margin Guidence Table'!$I$1:$I$10000&lt;=ROUND($EP$3,0))*('Margin Guidence Table'!$J$1:$J$10000&gt;=ROUND($EP$3,0)),0),MATCH("SELF_FUND_PCT_SALES",'Margin Guidence Table'!$A$1:$AG$1,0)),INDEX('Margin Guidence Table'!$A$1:$AG$10000,MATCH(1,('Margin Guidence Table'!$A$1:$A$10000=EX18)*('Margin Guidence Table'!$I$1:$I$10000&lt;=ROUND($EP$3,0))*('Margin Guidence Table'!$J$1:$J$10000&gt;=ROUND($EP$3,0)),0),MATCH("DEFAULT_SELF_FUND_PCT_SALES",'Margin Guidence Table'!$A$1:$AG$1,0))),0)</f>
        <v>0</v>
      </c>
      <c r="FH18" s="1054">
        <f t="array" ref="FH18">IFERROR(IF($EZ18="SEGMENT",INDEX('Margin Guidence Table'!$A$1:$AG$10000,MATCH(1,('Margin Guidence Table'!$A$1:$A$10000=EX18)*('Margin Guidence Table'!$I$1:$I$10000&lt;=ROUND($EP$3,0))*('Margin Guidence Table'!$J$1:$J$10000&gt;=ROUND($EP$3,0)),0),MATCH("CIA_MEDIAN_MARGIN_GUIDENCE",'Margin Guidence Table'!$A$1:$AG$1,0)),INDEX('Margin Guidence Table'!$A$1:$AG$10000,MATCH(1,('Margin Guidence Table'!$A$1:$A$10000=EX18)*('Margin Guidence Table'!$I$1:$I$10000&lt;=ROUND($EP$3,0))*('Margin Guidence Table'!$J$1:$J$10000&gt;=ROUND($EP$3,0)),0),MATCH("DEFAULT_CIA_MEDIAN_MARGIN_GUIDENCE",'Margin Guidence Table'!$A$1:$AG$1,0))),0)</f>
        <v>0</v>
      </c>
      <c r="FI18" s="127"/>
      <c r="FJ18" s="18">
        <f t="array" ref="FJ18">IFERROR(IF($FW18="SEGMENT",INDEX('Margin Guidence Table'!$A$1:$AG$10000,MATCH(1,('Margin Guidence Table'!$A$1:$A$10000=$FU18)*('Margin Guidence Table'!$I$1:$I$10000&lt;=ROUND($FM$3,0))*('Margin Guidence Table'!$J$1:$J$10000&gt;=ROUND($FM$3,0)),0),MATCH("PCT_SALES",'Margin Guidence Table'!$A$1:$AG$1,0)),INDEX('Margin Guidence Table'!$A$1:$AG$10000,MATCH(1,('Margin Guidence Table'!$A$1:$A$10000=$FU18)*('Margin Guidence Table'!$I$1:$I$10000&lt;=ROUND($FM$3,0))*('Margin Guidence Table'!$J$1:$J$10000&gt;=ROUND($FM$3,0)),0),MATCH("DEFAULT_PCT_SALES",'Margin Guidence Table'!$A$1:$AG$1,0))),0)</f>
        <v>0</v>
      </c>
      <c r="FK18" s="370" t="e">
        <f t="shared" si="36"/>
        <v>#DIV/0!</v>
      </c>
      <c r="FL18" s="100" t="s">
        <v>100</v>
      </c>
      <c r="FM18" s="92">
        <f>IFERROR(IF(AND($FM$2&lt;&gt;"Enter Spend&gt;&gt;&gt;",FN6="EXISTING"),SUMIFS('Existing Customers'!$Q:$Q,'Existing Customers'!$A:$A,$FM$1,'Existing Customers'!$H:$H,$FL18)*$FM$4,$FM$3*$FK18),0)</f>
        <v>0</v>
      </c>
      <c r="FN18" s="87">
        <f>IFERROR(IF(AND($FM$2&lt;&gt;"Enter Spend&gt;&gt;&gt;",FN2="EXISTING"),SUMIFS('Existing Customers'!$N:$N,'Existing Customers'!$A:$A,$FM$1,'Existing Customers'!$H:$H,$FL18)*$FM$4,$FM18/$FX18),0)</f>
        <v>0</v>
      </c>
      <c r="FO18" s="93">
        <f>IFERROR(IF(AND($FM$2&lt;&gt;"Enter Spend&gt;&gt;&gt;",FN2="EXISTING"),SUMIFS('Existing Customers'!$O:$O,'Existing Customers'!$H:$H,$FL18,'Existing Customers'!$A:$A,$FM$1)*$FM$4,$FN18*$FM$8),0)</f>
        <v>0</v>
      </c>
      <c r="FP18" s="93">
        <f>IFERROR(IF(AND($FM$2&lt;&gt;"Enter Spend&gt;&gt;&gt;",FN2="EXISTING"),SUMIFS('Existing Customers'!$P:$P,'Existing Customers'!$A:$A,$FM$1,'Existing Customers'!$H:$H,$FL18)*$FM$4,$FM18/$FY18),0)</f>
        <v>0</v>
      </c>
      <c r="FQ18" s="94">
        <f>IFERROR(IF(AND($FM$2&lt;&gt;"Enter Spend&gt;&gt;&gt;",FN2="EXISTING"),SUMIFS('Existing Customers'!$V:$V,'Existing Customers'!$H:$H,$FL18,'Existing Customers'!$A:$A,$FM$1)*$FM$4,0),0)</f>
        <v>0</v>
      </c>
      <c r="FR18" s="94">
        <f>IFERROR(IF(AND($FM$2&lt;&gt;"Enter Spend&gt;&gt;&gt;",FN2="EXISTING"),SUMIFS('Existing Customers'!$R:$R,'Existing Customers'!$H:$H,$FL18,'Existing Customers'!$A:$A,$FM$1)*$FM$4,0),0)</f>
        <v>0</v>
      </c>
      <c r="FS18" s="1050">
        <f>IFERROR(IF(AND($FM$2&lt;&gt;"Enter Spend&gt;&gt;&gt;",FN2="EXISTING"),SUMIFS('Existing Customers'!$S:$S,'Existing Customers'!$H:$H,$FL18,'Existing Customers'!$A:$A,$FM$1),GC18*FM18),0)</f>
        <v>0</v>
      </c>
      <c r="FT18" s="1050">
        <f>IFERROR(IF(AND($FM$2&lt;&gt;"Enter Spend&gt;&gt;&gt;",FN2="EXISTING"),SUMIFS('Existing Customers'!$U:$U,'Existing Customers'!$H:$H,$FL18,'Existing Customers'!$A:$A,$FM$1),GD18*FM18),0)</f>
        <v>0</v>
      </c>
      <c r="FU18" s="1053" t="e">
        <f>_xlfn.CONCAT('Customer Inputs'!$AG$11,"_",FL18)</f>
        <v>#N/A</v>
      </c>
      <c r="FV18" s="1053">
        <f t="array" ref="FV18">IFERROR(INDEX('Margin Guidence Table'!$A$1:$AG$10000,MATCH(1,('Margin Guidence Table'!$A$1:$A$10000=FU18)*('Margin Guidence Table'!$I$1:$I$10000&lt;=ROUND($FM$3,0))*('Margin Guidence Table'!$J$1:$J$10000&gt;=ROUND($FM$3,0)),0),MATCH("DATA_POINTS",'Margin Guidence Table'!$A$1:$AG$1,0)),0)</f>
        <v>0</v>
      </c>
      <c r="FW18" s="1050" t="str">
        <f t="shared" si="37"/>
        <v>DEFAULT</v>
      </c>
      <c r="FX18" s="1050">
        <f t="array" ref="FX18">IFERROR(IF($FW18="SEGMENT",INDEX('Margin Guidence Table'!$A$1:$AG$10000,MATCH(1,('Margin Guidence Table'!$A$1:$A$10000=FU18)*('Margin Guidence Table'!$I$1:$I$10000&lt;=ROUND($FM$3,0))*('Margin Guidence Table'!$J$1:$J$10000&gt;=ROUND($FM$3,0)),0),MATCH("SALES_CASE",'Margin Guidence Table'!$A$1:$AG$1,0)),INDEX('Margin Guidence Table'!$A$1:$AG$10000,MATCH(1,('Margin Guidence Table'!$A$1:$A$10000=FU18)*('Margin Guidence Table'!$I$1:$I$10000&lt;=ROUND($FM$3,0))*('Margin Guidence Table'!$J$1:$J$10000&gt;=ROUND($FM$3,0)),0),MATCH("DEFAULT_SALES_CASE",'Margin Guidence Table'!$A$1:$AG$1,0))),0)</f>
        <v>0</v>
      </c>
      <c r="FY18" s="1050">
        <f t="array" ref="FY18">IFERROR(IF($FW18="SEGMENT",INDEX('Margin Guidence Table'!$A$1:$AG$10000,MATCH(1,('Margin Guidence Table'!$A$1:$A$10000=FU18)*('Margin Guidence Table'!$I$1:$I$10000&lt;=ROUND($FM$3,0))*('Margin Guidence Table'!$J$1:$J$10000&gt;=ROUND($FM$3,0)),0),MATCH("SALES_LBS",'Margin Guidence Table'!$A$1:$AG$1,0)),INDEX('Margin Guidence Table'!$A$1:$AG$10000,MATCH(1,('Margin Guidence Table'!$A$1:$A$10000=FU18)*('Margin Guidence Table'!$I$1:$I$10000&lt;=ROUND($FM$3,0))*('Margin Guidence Table'!$J$1:$J$10000&gt;=ROUND($FM$3,0)),0),MATCH("DEFAULT_SALES_LBS",'Margin Guidence Table'!$A$1:$AG$1,0))),0)</f>
        <v>0</v>
      </c>
      <c r="FZ18" s="1054">
        <f t="array" ref="FZ18">IFERROR(IF($FW18="SEGMENT",INDEX('Margin Guidence Table'!$A$1:$AG$10000,MATCH(1,('Margin Guidence Table'!$A$1:$A$10000=FU18)*('Margin Guidence Table'!$I$1:$I$10000&lt;=ROUND($FM$3,0))*('Margin Guidence Table'!$J$1:$J$10000&gt;=ROUND($FM$3,0)),0),MATCH("MDA_MIN_MARGIN_GUIDENCE",'Margin Guidence Table'!$A$1:$AG$1,0)),INDEX('Margin Guidence Table'!$A$1:$AG$10000,MATCH(1,('Margin Guidence Table'!$A$1:$A$10000=FU18)*('Margin Guidence Table'!$I$1:$I$10000&lt;=ROUND($FM$3,0))*('Margin Guidence Table'!$J$1:$J$10000&gt;=ROUND($FM$3,0)),0),MATCH("DEFAULT_MDA_MIN_MARGIN_GUIDENCE",'Margin Guidence Table'!$A$1:$AG$1,0))),0)</f>
        <v>0</v>
      </c>
      <c r="GA18" s="1054">
        <f t="array" ref="GA18">IFERROR(IF($FW18="SEGMENT",INDEX('Margin Guidence Table'!$A$1:$AG$10000,MATCH(1,('Margin Guidence Table'!$A$1:$A$10000=FU18)*('Margin Guidence Table'!$I$1:$I$10000&lt;=ROUND($FM$3,0))*('Margin Guidence Table'!$J$1:$J$10000&gt;=ROUND($FM$3,0)),0),MATCH("MDA_MEDIAN_MARGIN_GUIDENCE",'Margin Guidence Table'!$A$1:$AG$1,0)),INDEX('Margin Guidence Table'!$A$1:$AG$10000,MATCH(1,('Margin Guidence Table'!$A$1:$A$10000=FU18)*('Margin Guidence Table'!$I$1:$I$10000&lt;=ROUND($FM$3,0))*('Margin Guidence Table'!$J$1:$J$10000&gt;=ROUND($FM$3,0)),0),MATCH("DEFAULT_MDA_MEDIAN_MARGIN_GUIDENCE",'Margin Guidence Table'!$A$1:$AG$1,0))),0)</f>
        <v>0</v>
      </c>
      <c r="GB18" s="1054">
        <f t="array" ref="GB18">IFERROR(IF($FW18="SEGMENT",INDEX('Margin Guidence Table'!$A$1:$AG$10000,MATCH(1,('Margin Guidence Table'!$A$1:$A$10000=FU18)*('Margin Guidence Table'!$I$1:$I$10000&lt;=ROUND($FM$3,0))*('Margin Guidence Table'!$J$1:$J$10000&gt;=ROUND($FM$3,0)),0),MATCH("MDA_MAX_MARGIN_GUIDENCE",'Margin Guidence Table'!$A$1:$AG$1,0)),INDEX('Margin Guidence Table'!$A$1:$AG$10000,MATCH(1,('Margin Guidence Table'!$A$1:$A$10000=FU18)*('Margin Guidence Table'!$I$1:$I$10000&lt;=ROUND($FM$3,0))*('Margin Guidence Table'!$J$1:$J$10000&gt;=ROUND($FM$3,0)),0),MATCH("DEFAULT_MDA_MAX_MARGIN_GUIDENCE",'Margin Guidence Table'!$A$1:$AG$1,0))),0)</f>
        <v>0</v>
      </c>
      <c r="GC18" s="1054">
        <f t="array" ref="GC18">IFERROR(IF($FW18="SEGMENT",INDEX('Margin Guidence Table'!$A$1:$AG$10000,MATCH(1,('Margin Guidence Table'!$A$1:$A$10000=FU18)*('Margin Guidence Table'!$I$1:$I$10000&lt;=ROUND($FM$3,0))*('Margin Guidence Table'!$J$1:$J$10000&gt;=ROUND($FM$3,0)),0),MATCH("PA_PCT_SALES",'Margin Guidence Table'!$A$1:$AG$1,0)),INDEX('Margin Guidence Table'!$A$1:$AG$10000,MATCH(1,('Margin Guidence Table'!$A$1:$A$10000=FU18)*('Margin Guidence Table'!$I$1:$I$10000&lt;=ROUND($FM$3,0))*('Margin Guidence Table'!$J$1:$J$10000&gt;=ROUND($FM$3,0)),0),MATCH("DEFAULT_PA_PCT_SALES",'Margin Guidence Table'!$A$1:$AG$1,0))),0)</f>
        <v>0</v>
      </c>
      <c r="GD18" s="1054">
        <f t="array" ref="GD18">IFERROR(IF($FW18="SEGMENT",INDEX('Margin Guidence Table'!$A$1:$AG$10000,MATCH(1,('Margin Guidence Table'!$A$1:$A$10000=FU18)*('Margin Guidence Table'!$I$1:$I$10000&lt;=ROUND($FM$3,0))*('Margin Guidence Table'!$J$1:$J$10000&gt;=ROUND($FM$3,0)),0),MATCH("SELF_FUND_PCT_SALES",'Margin Guidence Table'!$A$1:$AG$1,0)),INDEX('Margin Guidence Table'!$A$1:$AG$10000,MATCH(1,('Margin Guidence Table'!$A$1:$A$10000=FU18)*('Margin Guidence Table'!$I$1:$I$10000&lt;=ROUND($FM$3,0))*('Margin Guidence Table'!$J$1:$J$10000&gt;=ROUND($FM$3,0)),0),MATCH("DEFAULT_SELF_FUND_PCT_SALES",'Margin Guidence Table'!$A$1:$AG$1,0))),0)</f>
        <v>0</v>
      </c>
      <c r="GE18" s="1054">
        <f t="array" ref="GE18">IFERROR(IF($FW18="SEGMENT",INDEX('Margin Guidence Table'!$A$1:$AG$10000,MATCH(1,('Margin Guidence Table'!$A$1:$A$10000=FU18)*('Margin Guidence Table'!$I$1:$I$10000&lt;=ROUND($FM$3,0))*('Margin Guidence Table'!$J$1:$J$10000&gt;=ROUND($FM$3,0)),0),MATCH("CIA_MEDIAN_MARGIN_GUIDENCE",'Margin Guidence Table'!$A$1:$AG$1,0)),INDEX('Margin Guidence Table'!$A$1:$AG$10000,MATCH(1,('Margin Guidence Table'!$A$1:$A$10000=FU18)*('Margin Guidence Table'!$I$1:$I$10000&lt;=ROUND($FM$3,0))*('Margin Guidence Table'!$J$1:$J$10000&gt;=ROUND($FM$3,0)),0),MATCH("DEFAULT_CIA_MEDIAN_MARGIN_GUIDENCE",'Margin Guidence Table'!$A$1:$AG$1,0))),0)</f>
        <v>0</v>
      </c>
      <c r="GF18" s="127"/>
      <c r="GG18" s="18">
        <f t="array" ref="GG18">IFERROR(IF($GT18="SEGMENT",INDEX('Margin Guidence Table'!$A$1:$AG$10000,MATCH(1,('Margin Guidence Table'!$A$1:$A$10000=$GR18)*('Margin Guidence Table'!$I$1:$I$10000&lt;=ROUND($GJ$3,0))*('Margin Guidence Table'!$J$1:$J$10000&gt;=ROUND($GJ$3,0)),0),MATCH("PCT_SALES",'Margin Guidence Table'!$A$1:$AG$1,0)),INDEX('Margin Guidence Table'!$A$1:$AG$10000,MATCH(1,('Margin Guidence Table'!$A$1:$A$10000=$GR18)*('Margin Guidence Table'!$I$1:$I$10000&lt;=ROUND($GJ$3,0))*('Margin Guidence Table'!$J$1:$J$10000&gt;=ROUND($GJ$3,0)),0),MATCH("DEFAULT_PCT_SALES",'Margin Guidence Table'!$A$1:$AG$1,0))),0)</f>
        <v>0</v>
      </c>
      <c r="GH18" s="370" t="e">
        <f t="shared" si="38"/>
        <v>#DIV/0!</v>
      </c>
      <c r="GI18" s="100" t="s">
        <v>100</v>
      </c>
      <c r="GJ18" s="92">
        <f>IFERROR(IF(AND($GJ$2&lt;&gt;"Enter Spend&gt;&gt;&gt;",GK6="EXISTING"),SUMIFS('Existing Customers'!$Q:$Q,'Existing Customers'!$A:$A,$GJ$1,'Existing Customers'!$H:$H,$GI18)*$GJ$4,$GJ$3*$GH18),0)</f>
        <v>0</v>
      </c>
      <c r="GK18" s="87">
        <f>IFERROR(IF(AND($GJ$2&lt;&gt;"Enter Spend&gt;&gt;&gt;",GK2="EXISTING"),SUMIFS('Existing Customers'!$N:$N,'Existing Customers'!$A:$A,$GJ$1,'Existing Customers'!$H:$H,$GI18)*$GJ$4,$GJ18/$GU18),0)</f>
        <v>0</v>
      </c>
      <c r="GL18" s="93">
        <f>IFERROR(IF(AND($GJ$2&lt;&gt;"Enter Spend&gt;&gt;&gt;",GK2="EXISTING"),SUMIFS('Existing Customers'!$O:$O,'Existing Customers'!$H:$H,$GI18,'Existing Customers'!$A:$A,$GJ$1)*$GJ$4,$GK18*$GJ$8),0)</f>
        <v>0</v>
      </c>
      <c r="GM18" s="93">
        <f>IFERROR(IF(AND($GJ$2&lt;&gt;"Enter Spend&gt;&gt;&gt;",GK2="EXISTING"),SUMIFS('Existing Customers'!$P:$P,'Existing Customers'!$A:$A,$GJ$1,'Existing Customers'!$H:$H,$GI18)*$GJ$4,$GJ18/$GV18),0)</f>
        <v>0</v>
      </c>
      <c r="GN18" s="94">
        <f>IFERROR(IF(AND($GJ$2&lt;&gt;"Enter Spend&gt;&gt;&gt;",GK2="EXISTING"),SUMIFS('Existing Customers'!$V:$V,'Existing Customers'!$H:$H,$GI18,'Existing Customers'!$A:$A,$GJ$1)*$GJ$4,0),0)</f>
        <v>0</v>
      </c>
      <c r="GO18" s="94">
        <f>IFERROR(IF(AND($GJ$2&lt;&gt;"Enter Spend&gt;&gt;&gt;",GK2="EXISTING"),SUMIFS('Existing Customers'!$R:$R,'Existing Customers'!$H:$H,$GI18,'Existing Customers'!$A:$A,$GJ$1)*$GJ$4,0),0)</f>
        <v>0</v>
      </c>
      <c r="GP18" s="1050">
        <f>IFERROR(IF(AND($GJ$2&lt;&gt;"Enter Spend&gt;&gt;&gt;",GK2="EXISTING"),SUMIFS('Existing Customers'!$S:$S,'Existing Customers'!$H:$H,$GI18,'Existing Customers'!$A:$A,$GJ$1),GZ18*GJ18),0)</f>
        <v>0</v>
      </c>
      <c r="GQ18" s="1050">
        <f>IFERROR(IF(AND($GJ$2&lt;&gt;"Enter Spend&gt;&gt;&gt;",GK2="EXISTING"),SUMIFS('Existing Customers'!$U:$U,'Existing Customers'!$H:$H,$GI18,'Existing Customers'!$A:$A,$GJ$1),HA18*GJ18),0)</f>
        <v>0</v>
      </c>
      <c r="GR18" s="1053" t="e">
        <f>_xlfn.CONCAT('Customer Inputs'!$AG$12,"_",GI18)</f>
        <v>#N/A</v>
      </c>
      <c r="GS18" s="1053">
        <f t="array" ref="GS18">IFERROR(INDEX('Margin Guidence Table'!$A$1:$AG$10000,MATCH(1,('Margin Guidence Table'!$A$1:$A$10000=GR18)*('Margin Guidence Table'!$I$1:$I$10000&lt;=ROUND($GJ$3,0))*('Margin Guidence Table'!$J$1:$J$10000&gt;=ROUND($GJ$3,0)),0),MATCH("DATA_POINTS",'Margin Guidence Table'!$A$1:$AG$1,0)),0)</f>
        <v>0</v>
      </c>
      <c r="GT18" s="1050" t="str">
        <f t="shared" si="39"/>
        <v>DEFAULT</v>
      </c>
      <c r="GU18" s="1050">
        <f t="array" ref="GU18">IFERROR(IF($GT18="SEGMENT",INDEX('Margin Guidence Table'!$A$1:$AG$10000,MATCH(1,('Margin Guidence Table'!$A$1:$A$10000=GR18)*('Margin Guidence Table'!$I$1:$I$10000&lt;=ROUND($GJ$3,0))*('Margin Guidence Table'!$J$1:$J$10000&gt;=ROUND($GJ$3,0)),0),MATCH("SALES_CASE",'Margin Guidence Table'!$A$1:$AG$1,0)),INDEX('Margin Guidence Table'!$A$1:$AG$10000,MATCH(1,('Margin Guidence Table'!$A$1:$A$10000=GR18)*('Margin Guidence Table'!$I$1:$I$10000&lt;=ROUND($GJ$3,0))*('Margin Guidence Table'!$J$1:$J$10000&gt;=ROUND($GJ$3,0)),0),MATCH("DEFAULT_SALES_CASE",'Margin Guidence Table'!$A$1:$AG$1,0))),0)</f>
        <v>0</v>
      </c>
      <c r="GV18" s="1050">
        <f t="array" ref="GV18">IFERROR(IF($GT18="SEGMENT",INDEX('Margin Guidence Table'!$A$1:$AG$10000,MATCH(1,('Margin Guidence Table'!$A$1:$A$10000=GR18)*('Margin Guidence Table'!$I$1:$I$10000&lt;=ROUND($GJ$3,0))*('Margin Guidence Table'!$J$1:$J$10000&gt;=ROUND($GJ$3,0)),0),MATCH("SALES_LBS",'Margin Guidence Table'!$A$1:$AG$1,0)),INDEX('Margin Guidence Table'!$A$1:$AG$10000,MATCH(1,('Margin Guidence Table'!$A$1:$A$10000=GR18)*('Margin Guidence Table'!$I$1:$I$10000&lt;=ROUND($GJ$3,0))*('Margin Guidence Table'!$J$1:$J$10000&gt;=ROUND($GJ$3,0)),0),MATCH("DEFAULT_SALES_LBS",'Margin Guidence Table'!$A$1:$AG$1,0))),0)</f>
        <v>0</v>
      </c>
      <c r="GW18" s="1054">
        <f t="array" ref="GW18">IFERROR(IF($GT18="SEGMENT",INDEX('Margin Guidence Table'!$A$1:$AG$10000,MATCH(1,('Margin Guidence Table'!$A$1:$A$10000=GR18)*('Margin Guidence Table'!$I$1:$I$10000&lt;=ROUND($GJ$3,0))*('Margin Guidence Table'!$J$1:$J$10000&gt;=ROUND($GJ$3,0)),0),MATCH("MDA_MIN_MARGIN_GUIDENCE",'Margin Guidence Table'!$A$1:$AG$1,0)),INDEX('Margin Guidence Table'!$A$1:$AG$10000,MATCH(1,('Margin Guidence Table'!$A$1:$A$10000=GR18)*('Margin Guidence Table'!$I$1:$I$10000&lt;=ROUND($GJ$3,0))*('Margin Guidence Table'!$J$1:$J$10000&gt;=ROUND($GJ$3,0)),0),MATCH("DEFAULT_MDA_MIN_MARGIN_GUIDENCE",'Margin Guidence Table'!$A$1:$AG$1,0))),0)</f>
        <v>0</v>
      </c>
      <c r="GX18" s="1054">
        <f t="array" ref="GX18">IFERROR(IF($GT18="SEGMENT",INDEX('Margin Guidence Table'!$A$1:$AG$10000,MATCH(1,('Margin Guidence Table'!$A$1:$A$10000=GR18)*('Margin Guidence Table'!$I$1:$I$10000&lt;=ROUND($GJ$3,0))*('Margin Guidence Table'!$J$1:$J$10000&gt;=ROUND($GJ$3,0)),0),MATCH("MDA_MEDIAN_MARGIN_GUIDENCE",'Margin Guidence Table'!$A$1:$AG$1,0)),INDEX('Margin Guidence Table'!$A$1:$AG$10000,MATCH(1,('Margin Guidence Table'!$A$1:$A$10000=GR18)*('Margin Guidence Table'!$I$1:$I$10000&lt;=ROUND($GJ$3,0))*('Margin Guidence Table'!$J$1:$J$10000&gt;=ROUND($GJ$3,0)),0),MATCH("DEFAULT_MDA_MEDIAN_MARGIN_GUIDENCE",'Margin Guidence Table'!$A$1:$AG$1,0))),0)</f>
        <v>0</v>
      </c>
      <c r="GY18" s="1054">
        <f t="array" ref="GY18">IFERROR(IF($GT18="SEGMENT",INDEX('Margin Guidence Table'!$A$1:$AG$10000,MATCH(1,('Margin Guidence Table'!$A$1:$A$10000=GR18)*('Margin Guidence Table'!$I$1:$I$10000&lt;=ROUND($GJ$3,0))*('Margin Guidence Table'!$J$1:$J$10000&gt;=ROUND($GJ$3,0)),0),MATCH("MDA_MAX_MARGIN_GUIDENCE",'Margin Guidence Table'!$A$1:$AG$1,0)),INDEX('Margin Guidence Table'!$A$1:$AG$10000,MATCH(1,('Margin Guidence Table'!$A$1:$A$10000=GR18)*('Margin Guidence Table'!$I$1:$I$10000&lt;=ROUND($GJ$3,0))*('Margin Guidence Table'!$J$1:$J$10000&gt;=ROUND($GJ$3,0)),0),MATCH("DEFAULT_MDA_MAX_MARGIN_GUIDENCE",'Margin Guidence Table'!$A$1:$AG$1,0))),0)</f>
        <v>0</v>
      </c>
      <c r="GZ18" s="1054">
        <f t="array" ref="GZ18">IFERROR(IF($GT18="SEGMENT",INDEX('Margin Guidence Table'!$A$1:$AG$10000,MATCH(1,('Margin Guidence Table'!$A$1:$A$10000=GR18)*('Margin Guidence Table'!$I$1:$I$10000&lt;=ROUND($GJ$3,0))*('Margin Guidence Table'!$J$1:$J$10000&gt;=ROUND($GJ$3,0)),0),MATCH("PA_PCT_SALES",'Margin Guidence Table'!$A$1:$AG$1,0)),INDEX('Margin Guidence Table'!$A$1:$AG$10000,MATCH(1,('Margin Guidence Table'!$A$1:$A$10000=GR18)*('Margin Guidence Table'!$I$1:$I$10000&lt;=ROUND($GJ$3,0))*('Margin Guidence Table'!$J$1:$J$10000&gt;=ROUND($GJ$3,0)),0),MATCH("DEFAULT_PA_PCT_SALES",'Margin Guidence Table'!$A$1:$AG$1,0))),0)</f>
        <v>0</v>
      </c>
      <c r="HA18" s="1054">
        <f t="array" ref="HA18">IFERROR(IF($GT18="SEGMENT",INDEX('Margin Guidence Table'!$A$1:$AG$10000,MATCH(1,('Margin Guidence Table'!$A$1:$A$10000=GR18)*('Margin Guidence Table'!$I$1:$I$10000&lt;=ROUND($GJ$3,0))*('Margin Guidence Table'!$J$1:$J$10000&gt;=ROUND($GJ$3,0)),0),MATCH("SELF_FUND_PCT_SALES",'Margin Guidence Table'!$A$1:$AG$1,0)),INDEX('Margin Guidence Table'!$A$1:$AG$10000,MATCH(1,('Margin Guidence Table'!$A$1:$A$10000=GR18)*('Margin Guidence Table'!$I$1:$I$10000&lt;=ROUND($GJ$3,0))*('Margin Guidence Table'!$J$1:$J$10000&gt;=ROUND($GJ$3,0)),0),MATCH("DEFAULT_SELF_FUND_PCT_SALES",'Margin Guidence Table'!$A$1:$AG$1,0))),0)</f>
        <v>0</v>
      </c>
      <c r="HB18" s="1054">
        <f t="array" ref="HB18">IFERROR(IF($GT18="SEGMENT",INDEX('Margin Guidence Table'!$A$1:$AG$10000,MATCH(1,('Margin Guidence Table'!$A$1:$A$10000=GR18)*('Margin Guidence Table'!$I$1:$I$10000&lt;=ROUND($GJ$3,0))*('Margin Guidence Table'!$J$1:$J$10000&gt;=ROUND($GJ$3,0)),0),MATCH("CIA_MEDIAN_MARGIN_GUIDENCE",'Margin Guidence Table'!$A$1:$AG$1,0)),INDEX('Margin Guidence Table'!$A$1:$AG$10000,MATCH(1,('Margin Guidence Table'!$A$1:$A$10000=GR18)*('Margin Guidence Table'!$I$1:$I$10000&lt;=ROUND($GJ$3,0))*('Margin Guidence Table'!$J$1:$J$10000&gt;=ROUND($GJ$3,0)),0),MATCH("DEFAULT_CIA_MEDIAN_MARGIN_GUIDENCE",'Margin Guidence Table'!$A$1:$AG$1,0))),0)</f>
        <v>0</v>
      </c>
      <c r="HC18" s="127"/>
      <c r="HD18" s="18">
        <f t="array" ref="HD18">IFERROR(IF($HQ18="SEGMENT",INDEX('Margin Guidence Table'!$A$1:$AG$10000,MATCH(1,('Margin Guidence Table'!$A$1:$A$10000=$HO18)*('Margin Guidence Table'!$I$1:$I$10000&lt;=ROUND($HG$3,0))*('Margin Guidence Table'!$J$1:$J$10000&gt;=ROUND($HG$3,0)),0),MATCH("PCT_SALES",'Margin Guidence Table'!$A$1:$AG$1,0)),INDEX('Margin Guidence Table'!$A$1:$AG$10000,MATCH(1,('Margin Guidence Table'!$A$1:$A$10000=$HO18)*('Margin Guidence Table'!$I$1:$I$10000&lt;=ROUND($HG$3,0))*('Margin Guidence Table'!$J$1:$J$10000&gt;=ROUND($HG$3,0)),0),MATCH("DEFAULT_PCT_SALES",'Margin Guidence Table'!$A$1:$AG$1,0))),0)</f>
        <v>0</v>
      </c>
      <c r="HE18" s="370" t="e">
        <f t="shared" si="40"/>
        <v>#DIV/0!</v>
      </c>
      <c r="HF18" s="100" t="s">
        <v>100</v>
      </c>
      <c r="HG18" s="92">
        <f>IFERROR(IF(AND($HG$2&lt;&gt;"Enter Spend&gt;&gt;&gt;",HH6="EXISTING"),SUMIFS('Existing Customers'!$Q:$Q,'Existing Customers'!$A:$A,$HG$1,'Existing Customers'!$H:$H,$HF18)*$HG$4,$HG$3*$HE18),0)</f>
        <v>0</v>
      </c>
      <c r="HH18" s="87">
        <f>IFERROR(IF(AND($HG$2&lt;&gt;"Enter Spend&gt;&gt;&gt;",HH2="EXISTING"),SUMIFS('Existing Customers'!$N:$N,'Existing Customers'!$A:$A,$HG$1,'Existing Customers'!$H:$H,$HF18)*$HG$4,$HG18/$HR18),0)</f>
        <v>0</v>
      </c>
      <c r="HI18" s="93">
        <f>IFERROR(IF(AND($HG$2&lt;&gt;"Enter Spend&gt;&gt;&gt;",HH2="EXISTING"),SUMIFS('Existing Customers'!$O:$O,'Existing Customers'!$H:$H,$HF18,'Existing Customers'!$A:$A,$HG$1)*$HG$4,$HH18*$HG$8),0)</f>
        <v>0</v>
      </c>
      <c r="HJ18" s="93">
        <f>IFERROR(IF(AND($HG$2&lt;&gt;"Enter Spend&gt;&gt;&gt;",HH2="EXISTING"),SUMIFS('Existing Customers'!$P:$P,'Existing Customers'!$A:$A,$HG$1,'Existing Customers'!$H:$H,$HF18)*$HG$4,$HG18/$HS18),0)</f>
        <v>0</v>
      </c>
      <c r="HK18" s="94">
        <f>IFERROR(IF(AND($HG$2&lt;&gt;"Enter Spend&gt;&gt;&gt;",HH2="EXISTING"),SUMIFS('Existing Customers'!$V:$V,'Existing Customers'!$H:$H,$HF18,'Existing Customers'!$A:$A,$HG$1)*$HG$4,0),0)</f>
        <v>0</v>
      </c>
      <c r="HL18" s="94">
        <f>IFERROR(IF(AND($HG$2&lt;&gt;"Enter Spend&gt;&gt;&gt;",HH2="EXISTING"),SUMIFS('Existing Customers'!$R:$R,'Existing Customers'!$H:$H,$HF18,'Existing Customers'!$A:$A,$HG$1)*$HG$4,0),0)</f>
        <v>0</v>
      </c>
      <c r="HM18" s="1050">
        <f>IFERROR(IF(AND($HG$2&lt;&gt;"Enter Spend&gt;&gt;&gt;",HH2="EXISTING"),SUMIFS('Existing Customers'!$S:$S,'Existing Customers'!$H:$H,$HF18,'Existing Customers'!$A:$A,$HG$1),HW18*HG18),0)</f>
        <v>0</v>
      </c>
      <c r="HN18" s="1050">
        <f>IFERROR(IF(AND($HG$2&lt;&gt;"Enter Spend&gt;&gt;&gt;",HH2="EXISTING"),SUMIFS('Existing Customers'!$U:$U,'Existing Customers'!$H:$H,$HF18,'Existing Customers'!$A:$A,$HG$1),HX18*HG18),0)</f>
        <v>0</v>
      </c>
      <c r="HO18" s="1053" t="e">
        <f>_xlfn.CONCAT('Customer Inputs'!$AG$13,"_",HF18)</f>
        <v>#N/A</v>
      </c>
      <c r="HP18" s="1053">
        <f t="array" ref="HP18">IFERROR(INDEX('Margin Guidence Table'!$A$1:$AG$10000,MATCH(1,('Margin Guidence Table'!$A$1:$A$10000=HO18)*('Margin Guidence Table'!$I$1:$I$10000&lt;=ROUND($HG$3,0))*('Margin Guidence Table'!$J$1:$J$10000&gt;=ROUND($HG$3,0)),0),MATCH("DATA_POINTS",'Margin Guidence Table'!$A$1:$AG$1,0)),0)</f>
        <v>0</v>
      </c>
      <c r="HQ18" s="1050" t="str">
        <f t="shared" si="41"/>
        <v>DEFAULT</v>
      </c>
      <c r="HR18" s="1050">
        <f t="array" ref="HR18">IFERROR(IF($HQ18="SEGMENT",INDEX('Margin Guidence Table'!$A$1:$AG$10000,MATCH(1,('Margin Guidence Table'!$A$1:$A$10000=HO18)*('Margin Guidence Table'!$I$1:$I$10000&lt;=ROUND($HG$3,0))*('Margin Guidence Table'!$J$1:$J$10000&gt;=ROUND($HG$3,0)),0),MATCH("SALES_CASE",'Margin Guidence Table'!$A$1:$AG$1,0)),INDEX('Margin Guidence Table'!$A$1:$AG$10000,MATCH(1,('Margin Guidence Table'!$A$1:$A$10000=HO18)*('Margin Guidence Table'!$I$1:$I$10000&lt;=ROUND($HG$3,0))*('Margin Guidence Table'!$J$1:$J$10000&gt;=ROUND($HG$3,0)),0),MATCH("DEFAULT_SALES_CASE",'Margin Guidence Table'!$A$1:$AG$1,0))),0)</f>
        <v>0</v>
      </c>
      <c r="HS18" s="1050">
        <f t="array" ref="HS18">IFERROR(IF($HQ18="SEGMENT",INDEX('Margin Guidence Table'!$A$1:$AG$10000,MATCH(1,('Margin Guidence Table'!$A$1:$A$10000=HO18)*('Margin Guidence Table'!$I$1:$I$10000&lt;=ROUND($HG$3,0))*('Margin Guidence Table'!$J$1:$J$10000&gt;=ROUND($HG$3,0)),0),MATCH("SALES_LBS",'Margin Guidence Table'!$A$1:$AG$1,0)),INDEX('Margin Guidence Table'!$A$1:$AG$10000,MATCH(1,('Margin Guidence Table'!$A$1:$A$10000=HO18)*('Margin Guidence Table'!$I$1:$I$10000&lt;=ROUND($HG$3,0))*('Margin Guidence Table'!$J$1:$J$10000&gt;=ROUND($HG$3,0)),0),MATCH("DEFAULT_SALES_LBS",'Margin Guidence Table'!$A$1:$AG$1,0))),0)</f>
        <v>0</v>
      </c>
      <c r="HT18" s="1054">
        <f t="array" ref="HT18">IFERROR(IF($HQ18="SEGMENT",INDEX('Margin Guidence Table'!$A$1:$AG$10000,MATCH(1,('Margin Guidence Table'!$A$1:$A$10000=HO18)*('Margin Guidence Table'!$I$1:$I$10000&lt;=ROUND($HG$3,0))*('Margin Guidence Table'!$J$1:$J$10000&gt;=ROUND($HG$3,0)),0),MATCH("MDA_MIN_MARGIN_GUIDENCE",'Margin Guidence Table'!$A$1:$AG$1,0)),INDEX('Margin Guidence Table'!$A$1:$AG$10000,MATCH(1,('Margin Guidence Table'!$A$1:$A$10000=HO18)*('Margin Guidence Table'!$I$1:$I$10000&lt;=ROUND($HG$3,0))*('Margin Guidence Table'!$J$1:$J$10000&gt;=ROUND($HG$3,0)),0),MATCH("DEFAULT_MDA_MIN_MARGIN_GUIDENCE",'Margin Guidence Table'!$A$1:$AG$1,0))),0)</f>
        <v>0</v>
      </c>
      <c r="HU18" s="1054">
        <f t="array" ref="HU18">IFERROR(IF($HQ18="SEGMENT",INDEX('Margin Guidence Table'!$A$1:$AG$10000,MATCH(1,('Margin Guidence Table'!$A$1:$A$10000=HO18)*('Margin Guidence Table'!$I$1:$I$10000&lt;=ROUND($HG$3,0))*('Margin Guidence Table'!$J$1:$J$10000&gt;=ROUND($HG$3,0)),0),MATCH("MDA_MEDIAN_MARGIN_GUIDENCE",'Margin Guidence Table'!$A$1:$AG$1,0)),INDEX('Margin Guidence Table'!$A$1:$AG$10000,MATCH(1,('Margin Guidence Table'!$A$1:$A$10000=HO18)*('Margin Guidence Table'!$I$1:$I$10000&lt;=ROUND($HG$3,0))*('Margin Guidence Table'!$J$1:$J$10000&gt;=ROUND($HG$3,0)),0),MATCH("DEFAULT_MDA_MEDIAN_MARGIN_GUIDENCE",'Margin Guidence Table'!$A$1:$AG$1,0))),0)</f>
        <v>0</v>
      </c>
      <c r="HV18" s="1054">
        <f t="array" ref="HV18">IFERROR(IF($HQ18="SEGMENT",INDEX('Margin Guidence Table'!$A$1:$AG$10000,MATCH(1,('Margin Guidence Table'!$A$1:$A$10000=HO18)*('Margin Guidence Table'!$I$1:$I$10000&lt;=ROUND($HG$3,0))*('Margin Guidence Table'!$J$1:$J$10000&gt;=ROUND($HG$3,0)),0),MATCH("MDA_MAX_MARGIN_GUIDENCE",'Margin Guidence Table'!$A$1:$AG$1,0)),INDEX('Margin Guidence Table'!$A$1:$AG$10000,MATCH(1,('Margin Guidence Table'!$A$1:$A$10000=HO18)*('Margin Guidence Table'!$I$1:$I$10000&lt;=ROUND($HG$3,0))*('Margin Guidence Table'!$J$1:$J$10000&gt;=ROUND($HG$3,0)),0),MATCH("DEFAULT_MDA_MAX_MARGIN_GUIDENCE",'Margin Guidence Table'!$A$1:$AG$1,0))),0)</f>
        <v>0</v>
      </c>
      <c r="HW18" s="1054">
        <f t="array" ref="HW18">IFERROR(IF($HQ18="SEGMENT",INDEX('Margin Guidence Table'!$A$1:$AG$10000,MATCH(1,('Margin Guidence Table'!$A$1:$A$10000=HO18)*('Margin Guidence Table'!$I$1:$I$10000&lt;=ROUND($HG$3,0))*('Margin Guidence Table'!$J$1:$J$10000&gt;=ROUND($HG$3,0)),0),MATCH("PA_PCT_SALES",'Margin Guidence Table'!$A$1:$AG$1,0)),INDEX('Margin Guidence Table'!$A$1:$AG$10000,MATCH(1,('Margin Guidence Table'!$A$1:$A$10000=HO18)*('Margin Guidence Table'!$I$1:$I$10000&lt;=ROUND($HG$3,0))*('Margin Guidence Table'!$J$1:$J$10000&gt;=ROUND($HG$3,0)),0),MATCH("DEFAULT_PA_PCT_SALES",'Margin Guidence Table'!$A$1:$AG$1,0))),0)</f>
        <v>0</v>
      </c>
      <c r="HX18" s="1054">
        <f t="array" ref="HX18">IFERROR(IF($HQ18="SEGMENT",INDEX('Margin Guidence Table'!$A$1:$AG$10000,MATCH(1,('Margin Guidence Table'!$A$1:$A$10000=HO18)*('Margin Guidence Table'!$I$1:$I$10000&lt;=ROUND($HG$3,0))*('Margin Guidence Table'!$J$1:$J$10000&gt;=ROUND($HG$3,0)),0),MATCH("SELF_FUND_PCT_SALES",'Margin Guidence Table'!$A$1:$AG$1,0)),INDEX('Margin Guidence Table'!$A$1:$AG$10000,MATCH(1,('Margin Guidence Table'!$A$1:$A$10000=HO18)*('Margin Guidence Table'!$I$1:$I$10000&lt;=ROUND($HG$3,0))*('Margin Guidence Table'!$J$1:$J$10000&gt;=ROUND($HG$3,0)),0),MATCH("DEFAULT_SELF_FUND_PCT_SALES",'Margin Guidence Table'!$A$1:$AG$1,0))),0)</f>
        <v>0</v>
      </c>
      <c r="HY18" s="1054">
        <f t="array" ref="HY18">IFERROR(IF($HQ18="SEGMENT",INDEX('Margin Guidence Table'!$A$1:$AG$10000,MATCH(1,('Margin Guidence Table'!$A$1:$A$10000=HO18)*('Margin Guidence Table'!$I$1:$I$10000&lt;=ROUND($HG$3,0))*('Margin Guidence Table'!$J$1:$J$10000&gt;=ROUND($HG$3,0)),0),MATCH("CIA_MEDIAN_MARGIN_GUIDENCE",'Margin Guidence Table'!$A$1:$AG$1,0)),INDEX('Margin Guidence Table'!$A$1:$AG$10000,MATCH(1,('Margin Guidence Table'!$A$1:$A$10000=HO18)*('Margin Guidence Table'!$I$1:$I$10000&lt;=ROUND($HG$3,0))*('Margin Guidence Table'!$J$1:$J$10000&gt;=ROUND($HG$3,0)),0),MATCH("DEFAULT_CIA_MEDIAN_MARGIN_GUIDENCE",'Margin Guidence Table'!$A$1:$AG$1,0))),0)</f>
        <v>0</v>
      </c>
      <c r="HZ18" s="127"/>
      <c r="IA18" s="18">
        <f t="array" ref="IA18">IFERROR(IF($IN18="SEGMENT",INDEX('Margin Guidence Table'!$A:$AC,MATCH(1,('Margin Guidence Table'!$A:$A=$IL18)*('Margin Guidence Table'!$H:$H&lt;=ROUND($ID$3,0))*('Margin Guidence Table'!$G:$G&gt;=ROUND($ID$3,0)),0),MATCH("PCT_SALES",'Margin Guidence Table'!$A$1:$AG$1,0)),INDEX('Margin Guidence Table'!$A:$AC,MATCH(1,('Margin Guidence Table'!$A:$A=$IL18)*('Margin Guidence Table'!$H:$H&lt;=ROUND($ID$3,0))*('Margin Guidence Table'!$G:$G&gt;=ROUND($ID$3,0)),0),MATCH("DEFAULT_PCT_SALES",'Margin Guidence Table'!$A$1:$AG$1,0))),0)</f>
        <v>0</v>
      </c>
      <c r="IB18" s="370" t="e">
        <f t="shared" si="42"/>
        <v>#DIV/0!</v>
      </c>
      <c r="IC18" s="100" t="s">
        <v>100</v>
      </c>
      <c r="ID18" s="92">
        <f>IFERROR(IF(AND($ID$2&lt;&gt;"Enter Spend&gt;&gt;&gt;",IE6="EXISTING"),SUMIFS('Existing Customers'!$Q:$Q,'Existing Customers'!$A:$A,$ID$1,'Existing Customers'!$H:$H,$IC18)*$ID$4,$ID$3*$IB18),0)</f>
        <v>0</v>
      </c>
      <c r="IE18" s="87">
        <f>IFERROR(IF(AND($ID$2&lt;&gt;"Enter Spend&gt;&gt;&gt;",IE2="EXISTING"),SUMIFS('Existing Customers'!$N:$N,'Existing Customers'!$A:$A,$ID$1,'Existing Customers'!$H:$H,$IC18)*$ID$4,$ID18/$IO18),0)</f>
        <v>0</v>
      </c>
      <c r="IF18" s="93">
        <f>IFERROR(IF(AND($ID$2&lt;&gt;"Enter Spend&gt;&gt;&gt;",IE2="EXISTING"),SUMIFS('Existing Customers'!$O:$O,'Existing Customers'!$H:$H,$IC18,'Existing Customers'!$A:$A,$ID$1)*$ID$4,$IE18*$ID$8),0)</f>
        <v>0</v>
      </c>
      <c r="IG18" s="93">
        <f>IFERROR(IF(AND($ID$2&lt;&gt;"Enter Spend&gt;&gt;&gt;",IE2="EXISTING"),SUMIFS('Existing Customers'!$P:$P,'Existing Customers'!$A:$A,$ID$1,'Existing Customers'!$H:$H,$IC18)*$ID$4,$ID18/$IP18),0)</f>
        <v>0</v>
      </c>
      <c r="IH18" s="376">
        <f>IFERROR(IF(AND($ID$2&lt;&gt;"Enter Spend&gt;&gt;&gt;",IE2="EXISTING"),SUMIFS('Existing Customers'!$V:$V,'Existing Customers'!$H:$H,$IC18,'Existing Customers'!$A:$A,$ID$1)*$ID$4,0),0)</f>
        <v>0</v>
      </c>
      <c r="II18" s="94">
        <f>IFERROR(IF(AND($ID$2&lt;&gt;"Enter Spend&gt;&gt;&gt;",IE2="EXISTING"),SUMIFS('Existing Customers'!$R:$R,'Existing Customers'!$H:$H,$IC18,'Existing Customers'!$A:$A,$ID$1)*$ID$4,0),0)</f>
        <v>0</v>
      </c>
      <c r="IJ18" s="1050">
        <f>IFERROR(IF(AND($ID$2&lt;&gt;"Enter Spend&gt;&gt;&gt;",IE2="EXISTING"),SUMIFS('Existing Customers'!$S:$S,'Existing Customers'!$H:$H,$IC18,'Existing Customers'!$A:$A,$ID$1),IT18*ID18),0)</f>
        <v>0</v>
      </c>
      <c r="IK18" s="1050">
        <f>IFERROR(IF(AND($ID$2&lt;&gt;"Enter Spend&gt;&gt;&gt;",IE2="EXISTING"),SUMIFS('Existing Customers'!$U:$U,'Existing Customers'!$H:$H,$IC18,'Existing Customers'!$A:$A,$ID$1),IU18*ID18),0)</f>
        <v>0</v>
      </c>
      <c r="IL18" s="1053" t="e">
        <f>_xlfn.CONCAT('Customer Inputs'!$AG$14,"_",IC18)</f>
        <v>#N/A</v>
      </c>
      <c r="IM18" s="1053">
        <f t="array" ref="IM18">IFERROR(INDEX('Margin Guidence Table'!$A$1:$AG$10000,MATCH(1,('Margin Guidence Table'!$A$1:$A$10000=IL18)*('Margin Guidence Table'!$I$1:$I$10000&lt;=ROUND($ID$3,0))*('Margin Guidence Table'!$J$1:$J$10000&gt;=ROUND($ID$3,0)),0),MATCH("DATA_POINTS",'Margin Guidence Table'!$A$1:$AG$1,0)),0)</f>
        <v>0</v>
      </c>
      <c r="IN18" s="1050" t="str">
        <f t="shared" si="43"/>
        <v>DEFAULT</v>
      </c>
      <c r="IO18" s="1050">
        <f t="array" ref="IO18">IFERROR(IF($IN18="SEGMENT",INDEX('Margin Guidence Table'!$A$1:$AG$10000,MATCH(1,('Margin Guidence Table'!$A$1:$A$10000=IL18)*('Margin Guidence Table'!$I$1:$I$10000&lt;=ROUND($ID$3,0))*('Margin Guidence Table'!$J$1:$J$10000&gt;=ROUND($ID$3,0)),0),MATCH("SALES_CASE",'Margin Guidence Table'!$A$1:$AG$1,0)),INDEX('Margin Guidence Table'!$A$1:$AG$10000,MATCH(1,('Margin Guidence Table'!$A$1:$A$10000=IL18)*('Margin Guidence Table'!$I$1:$I$10000&lt;=ROUND($ID$3,0))*('Margin Guidence Table'!$J$1:$J$10000&gt;=ROUND($ID$3,0)),0),MATCH("DEFAULT_SALES_CASE",'Margin Guidence Table'!$A$1:$AG$1,0))),0)</f>
        <v>0</v>
      </c>
      <c r="IP18" s="1050">
        <f t="array" ref="IP18">IFERROR(IF($IN18="SEGMENT",INDEX('Margin Guidence Table'!$A$1:$AG$10000,MATCH(1,('Margin Guidence Table'!$A$1:$A$10000=IL18)*('Margin Guidence Table'!$I$1:$I$10000&lt;=ROUND($ID$3,0))*('Margin Guidence Table'!$J$1:$J$10000&gt;=ROUND($ID$3,0)),0),MATCH("SALES_LBS",'Margin Guidence Table'!$A$1:$AG$1,0)),INDEX('Margin Guidence Table'!$A$1:$AG$10000,MATCH(1,('Margin Guidence Table'!$A$1:$A$10000=IL18)*('Margin Guidence Table'!$I$1:$I$10000&lt;=ROUND($ID$3,0))*('Margin Guidence Table'!$J$1:$J$10000&gt;=ROUND($ID$3,0)),0),MATCH("DEFAULT_SALES_LBS",'Margin Guidence Table'!$A$1:$AG$1,0))),0)</f>
        <v>0</v>
      </c>
      <c r="IQ18" s="1054">
        <f t="array" ref="IQ18">IFERROR(IF($IN18="SEGMENT",INDEX('Margin Guidence Table'!$A$1:$AG$10000,MATCH(1,('Margin Guidence Table'!$A$1:$A$10000=IL18)*('Margin Guidence Table'!$I$1:$I$10000&lt;=ROUND($ID$3,0))*('Margin Guidence Table'!$J$1:$J$10000&gt;=ROUND($ID$3,0)),0),MATCH("MDA_MIN_MARGIN_GUIDENCE",'Margin Guidence Table'!$A$1:$AG$1,0)),INDEX('Margin Guidence Table'!$A$1:$AG$10000,MATCH(1,('Margin Guidence Table'!$A$1:$A$10000=IL18)*('Margin Guidence Table'!$I$1:$I$10000&lt;=ROUND($ID$3,0))*('Margin Guidence Table'!$J$1:$J$10000&gt;=ROUND($ID$3,0)),0),MATCH("DEFAULT_MDA_MIN_MARGIN_GUIDENCE",'Margin Guidence Table'!$A$1:$AG$1,0))),0)</f>
        <v>0</v>
      </c>
      <c r="IR18" s="1054">
        <f t="array" ref="IR18">IFERROR(IF($IN18="SEGMENT",INDEX('Margin Guidence Table'!$A$1:$AG$10000,MATCH(1,('Margin Guidence Table'!$A$1:$A$10000=IL18)*('Margin Guidence Table'!$I$1:$I$10000&lt;=ROUND($ID$3,0))*('Margin Guidence Table'!$J$1:$J$10000&gt;=ROUND($ID$3,0)),0),MATCH("MDA_MEDIAN_MARGIN_GUIDENCE",'Margin Guidence Table'!$A$1:$AG$1,0)),INDEX('Margin Guidence Table'!$A$1:$AG$10000,MATCH(1,('Margin Guidence Table'!$A$1:$A$10000=IL18)*('Margin Guidence Table'!$I$1:$I$10000&lt;=ROUND($ID$3,0))*('Margin Guidence Table'!$J$1:$J$10000&gt;=ROUND($ID$3,0)),0),MATCH("DEFAULT_MDA_MEDIAN_MARGIN_GUIDENCE",'Margin Guidence Table'!$A$1:$AG$1,0))),0)</f>
        <v>0</v>
      </c>
      <c r="IS18" s="1054">
        <f t="array" ref="IS18">IFERROR(IF($IN18="SEGMENT",INDEX('Margin Guidence Table'!$A$1:$AG$10000,MATCH(1,('Margin Guidence Table'!$A$1:$A$10000=IL18)*('Margin Guidence Table'!$I$1:$I$10000&lt;=ROUND($ID$3,0))*('Margin Guidence Table'!$J$1:$J$10000&gt;=ROUND($ID$3,0)),0),MATCH("MDA_MAX_MARGIN_GUIDENCE",'Margin Guidence Table'!$A$1:$AG$1,0)),INDEX('Margin Guidence Table'!$A$1:$AG$10000,MATCH(1,('Margin Guidence Table'!$A$1:$A$10000=IL18)*('Margin Guidence Table'!$I$1:$I$10000&lt;=ROUND($ID$3,0))*('Margin Guidence Table'!$J$1:$J$10000&gt;=ROUND($ID$3,0)),0),MATCH("DEFAULT_MDA_MAX_MARGIN_GUIDENCE",'Margin Guidence Table'!$A$1:$AG$1,0))),0)</f>
        <v>0</v>
      </c>
      <c r="IT18" s="1054">
        <f t="array" ref="IT18">IFERROR(IF($IN18="SEGMENT",INDEX('Margin Guidence Table'!$A$1:$AG$10000,MATCH(1,('Margin Guidence Table'!$A$1:$A$10000=IL18)*('Margin Guidence Table'!$I$1:$I$10000&lt;=ROUND($ID$3,0))*('Margin Guidence Table'!$J$1:$J$10000&gt;=ROUND($ID$3,0)),0),MATCH("PA_PCT_SALES",'Margin Guidence Table'!$A$1:$AG$1,0)),INDEX('Margin Guidence Table'!$A$1:$AG$10000,MATCH(1,('Margin Guidence Table'!$A$1:$A$10000=IL18)*('Margin Guidence Table'!$I$1:$I$10000&lt;=ROUND($ID$3,0))*('Margin Guidence Table'!$J$1:$J$10000&gt;=ROUND($ID$3,0)),0),MATCH("DEFAULT_PA_PCT_SALES",'Margin Guidence Table'!$A$1:$AG$1,0))),0)</f>
        <v>0</v>
      </c>
      <c r="IU18" s="1054">
        <f t="array" ref="IU18">IFERROR(IF($IN18="SEGMENT",INDEX('Margin Guidence Table'!$A$1:$AG$10000,MATCH(1,('Margin Guidence Table'!$A$1:$A$10000=IL18)*('Margin Guidence Table'!$I$1:$I$10000&lt;=ROUND($ID$3,0))*('Margin Guidence Table'!$J$1:$J$10000&gt;=ROUND($ID$3,0)),0),MATCH("SELF_FUND_PCT_SALES",'Margin Guidence Table'!$A$1:$AG$1,0)),INDEX('Margin Guidence Table'!$A$1:$AG$10000,MATCH(1,('Margin Guidence Table'!$A$1:$A$10000=IL18)*('Margin Guidence Table'!$I$1:$I$10000&lt;=ROUND($ID$3,0))*('Margin Guidence Table'!$J$1:$J$10000&gt;=ROUND($ID$3,0)),0),MATCH("DEFAULT_SELF_FUND_PCT_SALES",'Margin Guidence Table'!$A$1:$AG$1,0))),0)</f>
        <v>0</v>
      </c>
      <c r="IV18" s="1054">
        <f t="array" ref="IV18">IFERROR(IF($IN18="SEGMENT",INDEX('Margin Guidence Table'!$A$1:$AG$10000,MATCH(1,('Margin Guidence Table'!$A$1:$A$10000=IL18)*('Margin Guidence Table'!$I$1:$I$10000&lt;=ROUND($ID$3,0))*('Margin Guidence Table'!$J$1:$J$10000&gt;=ROUND($ID$3,0)),0),MATCH("CIA_MEDIAN_MARGIN_GUIDENCE",'Margin Guidence Table'!$A$1:$AG$1,0)),INDEX('Margin Guidence Table'!$A$1:$AG$10000,MATCH(1,('Margin Guidence Table'!$A$1:$A$10000=IL18)*('Margin Guidence Table'!$I$1:$I$10000&lt;=ROUND($ID$3,0))*('Margin Guidence Table'!$J$1:$J$10000&gt;=ROUND($ID$3,0)),0),MATCH("DEFAULT_CIA_MEDIAN_MARGIN_GUIDENCE",'Margin Guidence Table'!$A$1:$AG$1,0))),0)</f>
        <v>0</v>
      </c>
      <c r="IW18" s="127"/>
      <c r="IX18" s="18">
        <f t="array" ref="IX18">IFERROR(IF($JK18="SEGMENT",INDEX('Margin Guidence Table'!$A$1:$AG$10000,MATCH(1,('Margin Guidence Table'!$A$1:$A$10000=$JI18)*('Margin Guidence Table'!$I$1:$I$10000&lt;=ROUND($JA$3,0))*('Margin Guidence Table'!$J$1:$J$10000&gt;=ROUND($JA$3,0)),0),MATCH("PCT_SALES",'Margin Guidence Table'!$A$1:$AG$1,0)),INDEX('Margin Guidence Table'!$A$1:$AG$10000,MATCH(1,('Margin Guidence Table'!$A$1:$A$10000=$JI18)*('Margin Guidence Table'!$I$1:$I$10000&lt;=ROUND($JA$3,0))*('Margin Guidence Table'!$J$1:$J$10000&gt;=ROUND($JA$3,0)),0),MATCH("DEFAULT_PCT_SALES",'Margin Guidence Table'!$A$1:$AG$1,0))),0)</f>
        <v>0</v>
      </c>
      <c r="IY18" s="370" t="e">
        <f t="shared" si="44"/>
        <v>#DIV/0!</v>
      </c>
      <c r="IZ18" s="100" t="s">
        <v>100</v>
      </c>
      <c r="JA18" s="92">
        <f>IFERROR(IF(AND($JA$2&lt;&gt;"Enter Spend&gt;&gt;&gt;",JB6="EXISTING"),SUMIFS('Existing Customers'!$Q:$Q,'Existing Customers'!$A:$A,$JA$1,'Existing Customers'!$H:$H,$IZ18)*$JA$4,$JA$3*$IY18),0)</f>
        <v>0</v>
      </c>
      <c r="JB18" s="87">
        <f>IFERROR(IF(AND($JA$2&lt;&gt;"Enter Spend&gt;&gt;&gt;",JB2="EXISTING"),SUMIFS('Existing Customers'!$N:$N,'Existing Customers'!$A:$A,$JA$1,'Existing Customers'!$H:$H,$IZ18)*$JA$4,$JA18/$JL18),0)</f>
        <v>0</v>
      </c>
      <c r="JC18" s="93">
        <f>IFERROR(IF(AND($JA$2&lt;&gt;"Enter Spend&gt;&gt;&gt;",JB2="EXISTING"),SUMIFS('Existing Customers'!$O:$O,'Existing Customers'!$H:$H,$IZ18,'Existing Customers'!$A:$A,$JA$1)*$JA$4,$JB18*$JA$8),0)</f>
        <v>0</v>
      </c>
      <c r="JD18" s="93">
        <f>IFERROR(IF(AND($JA$2&lt;&gt;"Enter Spend&gt;&gt;&gt;",JB2="EXISTING"),SUMIFS('Existing Customers'!$P:$P,'Existing Customers'!$A:$A,$JA$1,'Existing Customers'!$H:$H,$IZ18)*$JA$4,$JA18/$JM18),0)</f>
        <v>0</v>
      </c>
      <c r="JE18" s="376">
        <f>IFERROR(IF(AND($JA$2&lt;&gt;"Enter Spend&gt;&gt;&gt;",JB2="EXISTING"),SUMIFS('Existing Customers'!$V:$V,'Existing Customers'!$H:$H,$IZ18,'Existing Customers'!$A:$A,$JA$1)*$JA$4,0),0)</f>
        <v>0</v>
      </c>
      <c r="JF18" s="94">
        <f>IFERROR(IF(AND($JA$2&lt;&gt;"Enter Spend&gt;&gt;&gt;",JB2="EXISTING"),SUMIFS('Existing Customers'!$R:$R,'Existing Customers'!$H:$H,$IZ18,'Existing Customers'!$A:$A,$JA$1)*$JA$4,0),0)</f>
        <v>0</v>
      </c>
      <c r="JG18" s="1050">
        <f>IFERROR(IF(AND($JA$2&lt;&gt;"Enter Spend&gt;&gt;&gt;",JB2="EXISTING"),SUMIFS('Existing Customers'!$S:$S,'Existing Customers'!$H:$H,$IZ18,'Existing Customers'!$A:$A,$JA$1),JQ18*JA18),0)</f>
        <v>0</v>
      </c>
      <c r="JH18" s="1050">
        <f>IFERROR(IF(AND($JA$2&lt;&gt;"Enter Spend&gt;&gt;&gt;",JB2="EXISTING"),SUMIFS('Existing Customers'!$U:$U,'Existing Customers'!$H:$H,$IZ18,'Existing Customers'!$A:$A,$JA$1),JR18*JA18),0)</f>
        <v>0</v>
      </c>
      <c r="JI18" s="1053" t="e">
        <f>_xlfn.CONCAT('Customer Inputs'!$AG$15,"_",IZ18)</f>
        <v>#N/A</v>
      </c>
      <c r="JJ18" s="1053">
        <f t="array" ref="JJ18">IFERROR(INDEX('Margin Guidence Table'!$A$1:$AG$10000,MATCH(1,('Margin Guidence Table'!$A$1:$A$10000=JI18)*('Margin Guidence Table'!$I$1:$I$10000&lt;=ROUND($JA$3,0))*('Margin Guidence Table'!$J$1:$J$10000&gt;=ROUND($JA$3,0)),0),MATCH("DATA_POINTS",'Margin Guidence Table'!$A$1:$AG$1,0)),0)</f>
        <v>0</v>
      </c>
      <c r="JK18" s="1050" t="str">
        <f t="shared" si="45"/>
        <v>DEFAULT</v>
      </c>
      <c r="JL18" s="1050">
        <f t="array" ref="JL18">IFERROR(IF($JK18="SEGMENT",INDEX('Margin Guidence Table'!$A$1:$AG$10000,MATCH(1,('Margin Guidence Table'!$A$1:$A$10000=JI18)*('Margin Guidence Table'!$I$1:$I$10000&lt;=ROUND($JA$3,0))*('Margin Guidence Table'!$J$1:$J$10000&gt;=ROUND($JA$3,0)),0),MATCH("SALES_CASE",'Margin Guidence Table'!$A$1:$AG$1,0)),INDEX('Margin Guidence Table'!$A$1:$AG$10000,MATCH(1,('Margin Guidence Table'!$A$1:$A$10000=JI18)*('Margin Guidence Table'!$I$1:$I$10000&lt;=ROUND($JA$3,0))*('Margin Guidence Table'!$J$1:$J$10000&gt;=ROUND($JA$3,0)),0),MATCH("DEFAULT_SALES_CASE",'Margin Guidence Table'!$A$1:$AG$1,0))),0)</f>
        <v>0</v>
      </c>
      <c r="JM18" s="1050">
        <f t="array" ref="JM18">IFERROR(IF($JK18="SEGMENT",INDEX('Margin Guidence Table'!$A$1:$AG$10000,MATCH(1,('Margin Guidence Table'!$A$1:$A$10000=JI18)*('Margin Guidence Table'!$I$1:$I$10000&lt;=ROUND($JA$3,0))*('Margin Guidence Table'!$J$1:$J$10000&gt;=ROUND($JA$3,0)),0),MATCH("SALES_LBS",'Margin Guidence Table'!$A$1:$AG$1,0)),INDEX('Margin Guidence Table'!$A$1:$AG$10000,MATCH(1,('Margin Guidence Table'!$A$1:$A$10000=JI18)*('Margin Guidence Table'!$I$1:$I$10000&lt;=ROUND($JA$3,0))*('Margin Guidence Table'!$J$1:$J$10000&gt;=ROUND($JA$3,0)),0),MATCH("DEFAULT_SALES_LBS",'Margin Guidence Table'!$A$1:$AG$1,0))),0)</f>
        <v>0</v>
      </c>
      <c r="JN18" s="1054">
        <f t="array" ref="JN18">IFERROR(IF($JK18="SEGMENT",INDEX('Margin Guidence Table'!$A$1:$AG$10000,MATCH(1,('Margin Guidence Table'!$A$1:$A$10000=JI18)*('Margin Guidence Table'!$I$1:$I$10000&lt;=ROUND($JA$3,0))*('Margin Guidence Table'!$J$1:$J$10000&gt;=ROUND($JA$3,0)),0),MATCH("MDA_MIN_MARGIN_GUIDENCE",'Margin Guidence Table'!$A$1:$AG$1,0)),INDEX('Margin Guidence Table'!$A$1:$AG$10000,MATCH(1,('Margin Guidence Table'!$A$1:$A$10000=JI18)*('Margin Guidence Table'!$I$1:$I$10000&lt;=ROUND($JA$3,0))*('Margin Guidence Table'!$J$1:$J$10000&gt;=ROUND($JA$3,0)),0),MATCH("DEFAULT_MDA_MIN_MARGIN_GUIDENCE",'Margin Guidence Table'!$A$1:$AG$1,0))),0)</f>
        <v>0</v>
      </c>
      <c r="JO18" s="1054">
        <f t="array" ref="JO18">IFERROR(IF($JK18="SEGMENT",INDEX('Margin Guidence Table'!$A$1:$AG$10000,MATCH(1,('Margin Guidence Table'!$A$1:$A$10000=JI18)*('Margin Guidence Table'!$I$1:$I$10000&lt;=ROUND($JA$3,0))*('Margin Guidence Table'!$J$1:$J$10000&gt;=ROUND($JA$3,0)),0),MATCH("MDA_MEDIAN_MARGIN_GUIDENCE",'Margin Guidence Table'!$A$1:$AG$1,0)),INDEX('Margin Guidence Table'!$A$1:$AG$10000,MATCH(1,('Margin Guidence Table'!$A$1:$A$10000=JI18)*('Margin Guidence Table'!$I$1:$I$10000&lt;=ROUND($JA$3,0))*('Margin Guidence Table'!$J$1:$J$10000&gt;=ROUND($JA$3,0)),0),MATCH("DEFAULT_MDA_MEDIAN_MARGIN_GUIDENCE",'Margin Guidence Table'!$A$1:$AG$1,0))),0)</f>
        <v>0</v>
      </c>
      <c r="JP18" s="1054">
        <f t="array" ref="JP18">IFERROR(IF($JK18="SEGMENT",INDEX('Margin Guidence Table'!$A$1:$AG$10000,MATCH(1,('Margin Guidence Table'!$A$1:$A$10000=JI18)*('Margin Guidence Table'!$I$1:$I$10000&lt;=ROUND($JA$3,0))*('Margin Guidence Table'!$J$1:$J$10000&gt;=ROUND($JA$3,0)),0),MATCH("MDA_MAX_MARGIN_GUIDENCE",'Margin Guidence Table'!$A$1:$AG$1,0)),INDEX('Margin Guidence Table'!$A$1:$AG$10000,MATCH(1,('Margin Guidence Table'!$A$1:$A$10000=JI18)*('Margin Guidence Table'!$I$1:$I$10000&lt;=ROUND($JA$3,0))*('Margin Guidence Table'!$J$1:$J$10000&gt;=ROUND($JA$3,0)),0),MATCH("DEFAULT_MDA_MAX_MARGIN_GUIDENCE",'Margin Guidence Table'!$A$1:$AG$1,0))),0)</f>
        <v>0</v>
      </c>
      <c r="JQ18" s="1054">
        <f t="array" ref="JQ18">IFERROR(IF($JK18="SEGMENT",INDEX('Margin Guidence Table'!$A$1:$AG$10000,MATCH(1,('Margin Guidence Table'!$A$1:$A$10000=JI18)*('Margin Guidence Table'!$I$1:$I$10000&lt;=ROUND($JA$3,0))*('Margin Guidence Table'!$J$1:$J$10000&gt;=ROUND($JA$3,0)),0),MATCH("PA_PCT_SALES",'Margin Guidence Table'!$A$1:$AG$1,0)),INDEX('Margin Guidence Table'!$A$1:$AG$10000,MATCH(1,('Margin Guidence Table'!$A$1:$A$10000=JI18)*('Margin Guidence Table'!$I$1:$I$10000&lt;=ROUND($JA$3,0))*('Margin Guidence Table'!$J$1:$J$10000&gt;=ROUND($JA$3,0)),0),MATCH("DEFAULT_PA_PCT_SALES",'Margin Guidence Table'!$A$1:$AG$1,0))),0)</f>
        <v>0</v>
      </c>
      <c r="JR18" s="1054">
        <f t="array" ref="JR18">IFERROR(IF($JK18="SEGMENT",INDEX('Margin Guidence Table'!$A$1:$AG$10000,MATCH(1,('Margin Guidence Table'!$A$1:$A$10000=JI18)*('Margin Guidence Table'!$I$1:$I$10000&lt;=ROUND($JA$3,0))*('Margin Guidence Table'!$J$1:$J$10000&gt;=ROUND($JA$3,0)),0),MATCH("SELF_FUND_PCT_SALES",'Margin Guidence Table'!$A$1:$AG$1,0)),INDEX('Margin Guidence Table'!$A$1:$AG$10000,MATCH(1,('Margin Guidence Table'!$A$1:$A$10000=JI18)*('Margin Guidence Table'!$I$1:$I$10000&lt;=ROUND($JA$3,0))*('Margin Guidence Table'!$J$1:$J$10000&gt;=ROUND($JA$3,0)),0),MATCH("DEFAULT_SELF_FUND_PCT_SALES",'Margin Guidence Table'!$A$1:$AG$1,0))),0)</f>
        <v>0</v>
      </c>
      <c r="JS18" s="1054">
        <f t="array" ref="JS18">IFERROR(IF($JK18="SEGMENT",INDEX('Margin Guidence Table'!$A$1:$AG$10000,MATCH(1,('Margin Guidence Table'!$A$1:$A$10000=JI18)*('Margin Guidence Table'!$I$1:$I$10000&lt;=ROUND($JA$3,0))*('Margin Guidence Table'!$J$1:$J$10000&gt;=ROUND($JA$3,0)),0),MATCH("CIA_MEDIAN_MARGIN_GUIDENCE",'Margin Guidence Table'!$A$1:$AG$1,0)),INDEX('Margin Guidence Table'!$A$1:$AG$10000,MATCH(1,('Margin Guidence Table'!$A$1:$A$10000=JI18)*('Margin Guidence Table'!$I$1:$I$10000&lt;=ROUND($JA$3,0))*('Margin Guidence Table'!$J$1:$J$10000&gt;=ROUND($JA$3,0)),0),MATCH("DEFAULT_CIA_MEDIAN_MARGIN_GUIDENCE",'Margin Guidence Table'!$A$1:$AG$1,0))),0)</f>
        <v>0</v>
      </c>
      <c r="JU18" s="100" t="s">
        <v>100</v>
      </c>
      <c r="JV18" s="95"/>
      <c r="JW18" s="87"/>
      <c r="JX18" s="87"/>
      <c r="JY18" s="87"/>
      <c r="JZ18" s="112"/>
      <c r="KA18" s="96"/>
      <c r="KB18" s="127"/>
      <c r="KD18" s="100" t="s">
        <v>100</v>
      </c>
      <c r="KE18" s="95"/>
      <c r="KF18" s="87"/>
      <c r="KG18" s="87"/>
      <c r="KH18" s="87"/>
      <c r="KI18" s="112"/>
      <c r="KJ18" s="96"/>
    </row>
    <row r="19" spans="2:296" ht="15.75" thickBot="1" x14ac:dyDescent="0.3">
      <c r="B19" s="100" t="s">
        <v>104</v>
      </c>
      <c r="C19" s="449">
        <f t="shared" si="11"/>
        <v>0</v>
      </c>
      <c r="D19" s="465">
        <f t="shared" si="12"/>
        <v>0</v>
      </c>
      <c r="E19" s="465">
        <f t="shared" si="13"/>
        <v>0</v>
      </c>
      <c r="F19" s="465">
        <f t="shared" si="14"/>
        <v>0</v>
      </c>
      <c r="G19" s="466">
        <f t="shared" si="15"/>
        <v>0</v>
      </c>
      <c r="H19" s="465">
        <f t="shared" si="16"/>
        <v>0</v>
      </c>
      <c r="I19" s="1046" t="e">
        <f t="shared" si="0"/>
        <v>#DIV/0!</v>
      </c>
      <c r="J19" s="1046" t="e">
        <f t="shared" si="1"/>
        <v>#DIV/0!</v>
      </c>
      <c r="K19" s="1046" t="e">
        <f t="shared" si="2"/>
        <v>#DIV/0!</v>
      </c>
      <c r="L19" s="465" t="e">
        <f t="shared" si="3"/>
        <v>#DIV/0!</v>
      </c>
      <c r="M19" s="465" t="e">
        <f t="shared" si="17"/>
        <v>#DIV/0!</v>
      </c>
      <c r="N19" s="1047" t="e">
        <f t="shared" si="4"/>
        <v>#DIV/0!</v>
      </c>
      <c r="P19" t="str">
        <f>'PIM Model'!E15</f>
        <v>INCLUDE</v>
      </c>
      <c r="Q19">
        <f t="shared" si="18"/>
        <v>0</v>
      </c>
      <c r="R19">
        <f t="shared" si="19"/>
        <v>0</v>
      </c>
      <c r="S19" s="100" t="s">
        <v>104</v>
      </c>
      <c r="T19" s="95">
        <f t="shared" si="20"/>
        <v>0</v>
      </c>
      <c r="U19" s="87">
        <f t="shared" si="5"/>
        <v>0</v>
      </c>
      <c r="V19" s="87">
        <f t="shared" si="6"/>
        <v>0</v>
      </c>
      <c r="W19" s="87">
        <f t="shared" si="7"/>
        <v>0</v>
      </c>
      <c r="X19" s="112">
        <f t="shared" si="8"/>
        <v>0</v>
      </c>
      <c r="Y19" s="115">
        <f t="shared" si="21"/>
        <v>0</v>
      </c>
      <c r="Z19" s="374"/>
      <c r="AA19" s="100" t="s">
        <v>104</v>
      </c>
      <c r="AB19" s="453">
        <f t="shared" si="9"/>
        <v>0</v>
      </c>
      <c r="AC19" s="454">
        <f t="shared" si="9"/>
        <v>0</v>
      </c>
      <c r="AD19" s="454">
        <f t="shared" si="9"/>
        <v>0</v>
      </c>
      <c r="AE19" s="455">
        <f t="shared" si="22"/>
        <v>0</v>
      </c>
      <c r="AF19" s="456">
        <f t="shared" si="23"/>
        <v>0</v>
      </c>
      <c r="AG19" s="374"/>
      <c r="AH19" s="100" t="s">
        <v>104</v>
      </c>
      <c r="AI19" s="453">
        <f t="shared" si="10"/>
        <v>0</v>
      </c>
      <c r="AJ19" s="450">
        <f t="shared" si="24"/>
        <v>0</v>
      </c>
      <c r="AK19" s="456"/>
      <c r="AL19" s="374"/>
      <c r="AM19" s="1" t="str">
        <f>IF('PIM Ranges'!$AK17='PIM Ranges'!$AW$11,IF($AI19&lt;'PIM Ranges'!$AX$11,"Q1",IF($AI19&lt;'PIM Ranges'!$AY$11,"Q2",IF($AI19&lt;'PIM Ranges'!$AZ$11,"Q3",IF($AI19&lt;'PIM Ranges'!$BA$11,"Q4","Q5")))),IF('PIM Ranges'!$AK17='PIM Ranges'!$AW$12,IF($AI19&lt;'PIM Ranges'!$AX$12,"Q1",IF($AI19&lt;'PIM Ranges'!$AY$12,"Q2",IF($AI19&lt;'PIM Ranges'!$AZ$12,"Q3",IF($AI19&lt;'PIM Ranges'!$BA$12,"Q4","Q5")))),IF('PIM Ranges'!$AK17='PIM Ranges'!$AW$13,IF($AI19&lt;'PIM Ranges'!$AX$13,"Q1",IF($AI19&lt;'PIM Ranges'!$AY$13,"Q2",IF($AI19&lt;'PIM Ranges'!$AZ$13,"Q3",IF($AI19&lt;'PIM Ranges'!$BA$13,"Q4","Q5")))),IF('PIM Ranges'!$AK17='PIM Ranges'!$AW$14,IF($AI19&lt;'PIM Ranges'!$AX$14,"Q1",IF($AI19&lt;'PIM Ranges'!$AY$14,"Q2",IF($AI19&lt;'PIM Ranges'!$AZ$14,"Q3",IF($AI19&lt;'PIM Ranges'!$BA$14,"Q4","Q5")))),IF('PIM Ranges'!$AK17='PIM Ranges'!$AW$15,IF($AI19&lt;'PIM Ranges'!$AX$15,"Q1",IF($AI19&lt;'PIM Ranges'!$AY$15,"Q2",IF($AI19&lt;'PIM Ranges'!$AZ$15,"Q3",IF($AI19&lt;'PIM Ranges'!$BA$15,"Q4","Q5")))),IF('PIM Ranges'!$AK17='PIM Ranges'!$AW$16,IF($AI19&lt;'PIM Ranges'!$AX$16,"Q1",IF($AI19&lt;'PIM Ranges'!$AY$16,"Q2",IF($AI19&lt;'PIM Ranges'!$AZ$16,"Q3",IF($AI19&lt;'PIM Ranges'!$BA$16,"Q4","Q5")))),IF('PIM Ranges'!$AK17='PIM Ranges'!$AW$17,IF($AI19&lt;'PIM Ranges'!$AX$17,"Q1",IF($AI19&lt;'PIM Ranges'!$AY$17,"Q2",IF($AI19&lt;'PIM Ranges'!$AZ$17,"Q3",IF($AI19&lt;'PIM Ranges'!$BA$17,"Q4","Q5")))),IF('PIM Ranges'!$AK17='PIM Ranges'!$AW$18,IF($AI19&lt;'PIM Ranges'!$AX$18,"Q1",IF($AI19&lt;'PIM Ranges'!$AY$18,"Q2",IF($AI19&lt;'PIM Ranges'!$AZ$18,"Q3",IF($AI19&lt;'PIM Ranges'!$BA$18,"Q4","Q5")))),IF('PIM Ranges'!$AK17='PIM Ranges'!$AW$19,IF($AI19&lt;'PIM Ranges'!$AX$19,"Q1",IF($AI19&lt;'PIM Ranges'!$AY$19,"Q2",IF($AI19&lt;'PIM Ranges'!$AZ$19,"Q3",IF($AI19&lt;'PIM Ranges'!$BA$19,"Q4","Q5")))),IF('PIM Ranges'!$AK17='PIM Ranges'!$AW$20,IF($AI19&lt;'PIM Ranges'!$AX$20,"Q1",IF($AI19&lt;'PIM Ranges'!$AY$20,"Q2",IF($AI19&lt;'PIM Ranges'!$AZ$20,"Q3",IF($AI19&lt;'PIM Ranges'!$BA$20,"Q4","Q5")))),IF('PIM Ranges'!$AK17='PIM Ranges'!$AW$21,IF($AI19&lt;'PIM Ranges'!$AX$21,"Q1",IF($AI19&lt;'PIM Ranges'!$AY$21,"Q2",IF($AI19&lt;'PIM Ranges'!$AZ$21,"Q3",IF($AI19&lt;'PIM Ranges'!$BA$21,"Q4","Q5")))),IF('PIM Ranges'!$AK17='PIM Ranges'!$AW$22,IF($AI19&lt;'PIM Ranges'!$AX$22,"Q1",IF($AI19&lt;'PIM Ranges'!$AY$22,"Q2",IF($AI19&lt;'PIM Ranges'!$AZ$22,"Q3",IF($AI19&lt;'PIM Ranges'!$BA$22,"Q4","Q5")))),IF('PIM Ranges'!$AK17='PIM Ranges'!$AW$23,IF($AI19&lt;'PIM Ranges'!$AX$23,"Q1",IF($AI19&lt;'PIM Ranges'!$AY$23,"Q2",IF($AI19&lt;'PIM Ranges'!$AZ$23,"Q3",IF($AI19&lt;'PIM Ranges'!$BA$23,"Q4","Q5")))),IF('PIM Ranges'!$AK17='PIM Ranges'!$AW$24,IF($AI19&lt;'PIM Ranges'!$AX$24,"Q1",IF($AI19&lt;'PIM Ranges'!$AY$24,"Q2",IF($AI19&lt;'PIM Ranges'!$AZ$24,"Q3",IF($AI19&lt;'PIM Ranges'!$BA$24,"Q4","Q5")))),IF('PIM Ranges'!$AK17='PIM Ranges'!$AW$25,IF($AI19&lt;'PIM Ranges'!$AX$25,"Q1",IF($AI19&lt;'PIM Ranges'!$AY$25,"Q2",IF($AI19&lt;'PIM Ranges'!$AZ$25,"Q3",IF($AI19&lt;'PIM Ranges'!$BA$25,"Q4","Q5")))),IF('PIM Ranges'!$AK17='PIM Ranges'!$AW$26,IF($AI19&lt;'PIM Ranges'!$AX$26,"Q1",IF($AI19&lt;'PIM Ranges'!$AY$26,"Q2",IF($AI19&lt;'PIM Ranges'!$AZ$26,"Q3",IF($AI19&lt;'PIM Ranges'!$BA$26,"Q4","Q5")))),IF('PIM Ranges'!$AK17='PIM Ranges'!$AW$27,IF($AI19&lt;'PIM Ranges'!$AX$27,"Q1",IF($AI19&lt;'PIM Ranges'!$AY$27,"Q2",IF($AI19&lt;'PIM Ranges'!$AZ$27,"Q3",IF($AI19&lt;'PIM Ranges'!$BA$27,"Q4","Q5")))),IF('PIM Ranges'!$AK17='PIM Ranges'!$AW$28,IF($AI19&lt;'PIM Ranges'!$AX$28,"Q1",IF($AI19&lt;'PIM Ranges'!$AY$28,"Q2",IF($AI19&lt;'PIM Ranges'!$AZ$28,"Q3",IF($AI19&lt;'PIM Ranges'!$BA$28,"Q4","Q5")))),IF('PIM Ranges'!$AK17='PIM Ranges'!$AW$29,IF($AI19&lt;'PIM Ranges'!$AX$29,"Q1",IF($AI19&lt;'PIM Ranges'!$AY$29,"Q2",IF($AI19&lt;'PIM Ranges'!$AZ$29,"Q3",IF($AI19&lt;'PIM Ranges'!$BA$29,"Q4","Q5")))),IF('PIM Ranges'!$AK17='PIM Ranges'!$AW$30,IF($AI19&lt;'PIM Ranges'!$AX$30,"Q1",IF($AI19&lt;'PIM Ranges'!$AY$30,"Q2",IF($AI19&lt;'PIM Ranges'!$AZ$30,"Q3",IF($AI19&lt;'PIM Ranges'!$BA$30,"Q4","Q5")))),IF('PIM Ranges'!$AK17='PIM Ranges'!$AW$31,IF($AI19&lt;'PIM Ranges'!$AX$31,"Q1",IF($AI19&lt;'PIM Ranges'!$AY$31,"Q2",IF($AI19&lt;'PIM Ranges'!$AZ$31,"Q3",IF($AI19&lt;'PIM Ranges'!$BA$31,"Q4","Q5")))),IF('PIM Ranges'!$AK17='PIM Ranges'!$AW$32,IF($AI19&lt;'PIM Ranges'!$AX$32,"Q1",IF($AI19&lt;'PIM Ranges'!$AY$32,"Q2",IF($AI19&lt;'PIM Ranges'!$AZ$32,"Q3",IF($AI19&lt;'PIM Ranges'!$BA$32,"Q4","Q5"))))))))))))))))))))))))))</f>
        <v>Q1</v>
      </c>
      <c r="AN19" s="374">
        <f>VLOOKUP($AH19&amp;$AM19,'IMargin Quartiles'!$A:$F,6,FALSE)</f>
        <v>0.18</v>
      </c>
      <c r="AO19" s="374"/>
      <c r="AP19"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Q19" s="374" t="e">
        <f t="shared" si="25"/>
        <v>#DIV/0!</v>
      </c>
      <c r="AR19">
        <f>'PIM Model'!C15</f>
        <v>0</v>
      </c>
      <c r="AS19" s="374"/>
      <c r="AT19" s="374"/>
      <c r="AU19" s="374" t="e">
        <f t="shared" si="46"/>
        <v>#DIV/0!</v>
      </c>
      <c r="AV19" s="374"/>
      <c r="AW19" s="374"/>
      <c r="AX19" s="106">
        <v>8</v>
      </c>
      <c r="AY19" s="18">
        <f t="array" ref="AY19">IFERROR(IF($BL19="SEGMENT",INDEX('Margin Guidence Table'!$A$1:$AG$10000,MATCH(1,('Margin Guidence Table'!$A$1:$A$10000=$BJ19)*('Margin Guidence Table'!$I$1:$I$10000&lt;=ROUND($BB$3,0))*('Margin Guidence Table'!$J$1:$J$10000&gt;=ROUND($BB$3,0)),0),MATCH("PCT_SALES",'Margin Guidence Table'!$A$1:$AG$1,0)),INDEX('Margin Guidence Table'!$A$1:$AG$10000,MATCH(1,('Margin Guidence Table'!$A$1:$A$10000=$BJ19)*('Margin Guidence Table'!$I$1:$I$10000&lt;=ROUND($BB$3,0))*('Margin Guidence Table'!$J$1:$J$10000&gt;=ROUND($BB$3,0)),0),MATCH("DEFAULT_PCT_SALES",'Margin Guidence Table'!$A$1:$AG$1,0))),0)</f>
        <v>0</v>
      </c>
      <c r="AZ19" s="370" t="e">
        <f t="shared" si="26"/>
        <v>#DIV/0!</v>
      </c>
      <c r="BA19" s="100" t="s">
        <v>104</v>
      </c>
      <c r="BB19" s="92">
        <f>IFERROR(IF(AND($BB$2&lt;&gt;"Enter Spend&gt;&gt;&gt;",BC7="EXISTING"),SUMIFS('Existing Customers'!$Q:$Q,'Existing Customers'!$A:$A,$BB$1,'Existing Customers'!$H:$H,$BA19)*$BB$4,$BB$3*$AZ19),0)</f>
        <v>0</v>
      </c>
      <c r="BC19" s="93">
        <f>IFERROR(IF(AND($BB$2&lt;&gt;"Enter Spend&gt;&gt;&gt;",BC2="EXISTING"),SUMIFS('Existing Customers'!$N:$N,'Existing Customers'!$A:$A,$BB$1,'Existing Customers'!$H:$H,$BA19)*$BB$4,$BB19/$BM19),0)</f>
        <v>0</v>
      </c>
      <c r="BD19" s="93">
        <f>IFERROR(IF(AND($BB$2&lt;&gt;"Enter Spend&gt;&gt;&gt;",BC2="EXISTING"),SUMIFS('Existing Customers'!$O:$O,'Existing Customers'!$H:$H,$BA19,'Existing Customers'!$A:$A,$BB$1)*$BB$4,$BC19*$BB$8),0)</f>
        <v>0</v>
      </c>
      <c r="BE19" s="93">
        <f>IFERROR(IF(AND($BB$2&lt;&gt;"Enter Spend&gt;&gt;&gt;",BC2="EXISTING"),SUMIFS('Existing Customers'!$P:$P,'Existing Customers'!$A:$A,$BB$1,'Existing Customers'!$H:$H,$BA19)*$BB$4,$BB19/$BN19),0)</f>
        <v>0</v>
      </c>
      <c r="BF19" s="376">
        <f>IFERROR(IF(AND($BB$2&lt;&gt;"Enter Spend&gt;&gt;&gt;",BC2="EXISTING"),SUMIFS('Existing Customers'!$V:$V,'Existing Customers'!$H:$H,$BA19,'Existing Customers'!$A:$A,$BB$1)*$BB$4,0),0)</f>
        <v>0</v>
      </c>
      <c r="BG19" s="94">
        <f>IFERROR(IF(AND($BB$2&lt;&gt;"Enter Spend&gt;&gt;&gt;",BC2="EXISTING"),SUMIFS('Existing Customers'!$R:$R,'Existing Customers'!$H:$H,$BA19,'Existing Customers'!$A:$A,$BB$1)*$BB$4,0),0)</f>
        <v>0</v>
      </c>
      <c r="BH19" s="94">
        <f>IFERROR(IF(AND($BB$2&lt;&gt;"Enter Spend&gt;&gt;&gt;",BC2="EXISTING"),SUMIFS('Existing Customers'!$S:$S,'Existing Customers'!$H:$H,$BA19,'Existing Customers'!$A:$A,$BB$1),BR19*BB19),0)</f>
        <v>0</v>
      </c>
      <c r="BI19" s="94">
        <f>IFERROR(IF(AND($BB$2&lt;&gt;"Enter Spend&gt;&gt;&gt;",BC2="EXISTING"),SUMIFS('Existing Customers'!$U:$U,'Existing Customers'!$H:$H,$BA19,'Existing Customers'!$A:$A,$BB$1),BS19*BB19),0)</f>
        <v>0</v>
      </c>
      <c r="BJ19" s="1052" t="e">
        <f>_xlfn.CONCAT('Customer Inputs'!$AG$6,"_",BA19)</f>
        <v>#N/A</v>
      </c>
      <c r="BK19" s="1053">
        <f t="array" ref="BK19">IFERROR(INDEX('Margin Guidence Table'!$A$1:$AG$10000,MATCH(1,('Margin Guidence Table'!$A$1:$A$10000=$BJ19)*('Margin Guidence Table'!$I$1:$I$10000&lt;=ROUND($BB$3,0))*('Margin Guidence Table'!$J$1:$J$10000&gt;=ROUND($BB$3,0)),0),MATCH("DATA_POINTS",'Margin Guidence Table'!$A$1:$AG$1,0)),0)</f>
        <v>0</v>
      </c>
      <c r="BL19" s="1050" t="str">
        <f t="shared" si="27"/>
        <v>DEFAULT</v>
      </c>
      <c r="BM19" s="1050">
        <f t="array" ref="BM19">IFERROR(IF($BL19="SEGMENT",INDEX('Margin Guidence Table'!$A$1:$AG$10000,MATCH(1,('Margin Guidence Table'!$A$1:$A$10000=$BJ19)*('Margin Guidence Table'!$I$1:$I$10000&lt;=ROUND($BB$3,0))*('Margin Guidence Table'!$J$1:$J$10000&gt;=ROUND($BB$3,0)),0),MATCH("SALES_CASE",'Margin Guidence Table'!$A$1:$AG$1,0)),INDEX('Margin Guidence Table'!$A$1:$AG$10000,MATCH(1,('Margin Guidence Table'!$A$1:$A$10000=$BJ19)*('Margin Guidence Table'!$I$1:$I$10000&lt;=ROUND($BB$3,0))*('Margin Guidence Table'!$J$1:$J$10000&gt;=ROUND($BB$3,0)),0),MATCH("DEFAULT_SALES_CASE",'Margin Guidence Table'!$A$1:$AG$1,0))),0)</f>
        <v>0</v>
      </c>
      <c r="BN19" s="1050">
        <f t="array" ref="BN19">IFERROR(IF($BL19="SEGMENT",INDEX('Margin Guidence Table'!$A$1:$AG$10000,MATCH(1,('Margin Guidence Table'!$A$1:$A$10000=$BJ19)*('Margin Guidence Table'!$I$1:$I$10000&lt;=ROUND($BB$3,0))*('Margin Guidence Table'!$J$1:$J$10000&gt;=ROUND($BB$3,0)),0),MATCH("SALES_LBS",'Margin Guidence Table'!$A$1:$AG$1,0)),INDEX('Margin Guidence Table'!$A$1:$AG$10000,MATCH(1,('Margin Guidence Table'!$A$1:$A$10000=$BJ19)*('Margin Guidence Table'!$I$1:$I$10000&lt;=ROUND($BB$3,0))*('Margin Guidence Table'!$J$1:$J$10000&gt;=ROUND($BB$3,0)),0),MATCH("DEFAULT_SALES_LBS",'Margin Guidence Table'!$A$1:$AG$1,0))),0)</f>
        <v>0</v>
      </c>
      <c r="BO19" s="1054">
        <f t="array" ref="BO19">IFERROR(IF($BL19="SEGMENT",INDEX('Margin Guidence Table'!$A$1:$AG$10000,MATCH(1,('Margin Guidence Table'!$A$1:$A$10000=$BJ19)*('Margin Guidence Table'!$I$1:$I$10000&lt;=ROUND($BB$3,0))*('Margin Guidence Table'!$J$1:$J$10000&gt;=ROUND($BB$3,0)),0),MATCH("MDA_MIN_MARGIN_GUIDENCE",'Margin Guidence Table'!$A$1:$AG$1,0)),INDEX('Margin Guidence Table'!$A$1:$AG$10000,MATCH(1,('Margin Guidence Table'!$A$1:$A$10000=$BJ19)*('Margin Guidence Table'!$I$1:$I$10000&lt;=ROUND($BB$3,0))*('Margin Guidence Table'!$J$1:$J$10000&gt;=ROUND($BB$3,0)),0),MATCH("DEFAULT_MDA_MIN_MARGIN_GUIDENCE",'Margin Guidence Table'!$A$1:$AG$1,0))),0)</f>
        <v>0</v>
      </c>
      <c r="BP19" s="1054">
        <f t="array" ref="BP19">IFERROR(IF($BL19="SEGMENT",INDEX('Margin Guidence Table'!$A$1:$AG$10000,MATCH(1,('Margin Guidence Table'!$A$1:$A$10000=$BJ19)*('Margin Guidence Table'!$I$1:$I$10000&lt;=ROUND($BB$3,0))*('Margin Guidence Table'!$J$1:$J$10000&gt;=ROUND($BB$3,0)),0),MATCH("MDA_MEDIAN_MARGIN_GUIDENCE",'Margin Guidence Table'!$A$1:$AG$1,0)),INDEX('Margin Guidence Table'!$A$1:$AG$10000,MATCH(1,('Margin Guidence Table'!$A$1:$A$10000=$BJ19)*('Margin Guidence Table'!$I$1:$I$10000&lt;=ROUND($BB$3,0))*('Margin Guidence Table'!$J$1:$J$10000&gt;=ROUND($BB$3,0)),0),MATCH("DEFAULT_MDA_MEDIAN_MARGIN_GUIDENCE",'Margin Guidence Table'!$A$1:$AG$1,0))),0)</f>
        <v>0</v>
      </c>
      <c r="BQ19" s="1054">
        <f t="array" ref="BQ19">IFERROR(IF($BL19="SEGMENT",INDEX('Margin Guidence Table'!$A$1:$AG$10000,MATCH(1,('Margin Guidence Table'!$A$1:$A$10000=$BJ19)*('Margin Guidence Table'!$I$1:$I$10000&lt;=ROUND($BB$3,0))*('Margin Guidence Table'!$J$1:$J$10000&gt;=ROUND($BB$3,0)),0),MATCH("MDA_MAX_MARGIN_GUIDENCE",'Margin Guidence Table'!$A$1:$AG$1,0)),INDEX('Margin Guidence Table'!$A$1:$AG$10000,MATCH(1,('Margin Guidence Table'!$A$1:$A$10000=$BJ19)*('Margin Guidence Table'!$I$1:$I$10000&lt;=ROUND($BB$3,0))*('Margin Guidence Table'!$J$1:$J$10000&gt;=ROUND($BB$3,0)),0),MATCH("DEFAULT_MDA_MAX_MARGIN_GUIDENCE",'Margin Guidence Table'!$A$1:$AG$1,0))),0)</f>
        <v>0</v>
      </c>
      <c r="BR19" s="1054">
        <f t="array" ref="BR19">IFERROR(IF($BL19="SEGMENT",INDEX('Margin Guidence Table'!$A$1:$AG$10000,MATCH(1,('Margin Guidence Table'!$A$1:$A$10000=$BJ19)*('Margin Guidence Table'!$I$1:$I$10000&lt;=ROUND($BB$3,0))*('Margin Guidence Table'!$J$1:$J$10000&gt;=ROUND($BB$3,0)),0),MATCH("PA_PCT_SALES",'Margin Guidence Table'!$A$1:$AG$1,0)),INDEX('Margin Guidence Table'!$A$1:$AG$10000,MATCH(1,('Margin Guidence Table'!$A$1:$A$10000=$BJ19)*('Margin Guidence Table'!$I$1:$I$10000&lt;=ROUND($BB$3,0))*('Margin Guidence Table'!$J$1:$J$10000&gt;=ROUND($BB$3,0)),0),MATCH("DEFAULT_PA_PCT_SALES",'Margin Guidence Table'!$A$1:$AG$1,0))),0)</f>
        <v>0</v>
      </c>
      <c r="BS19" s="1054">
        <f t="array" ref="BS19">IFERROR(IF($BL19="SEGMENT",INDEX('Margin Guidence Table'!$A$1:$AG$10000,MATCH(1,('Margin Guidence Table'!$A$1:$A$10000=$BJ19)*('Margin Guidence Table'!$I$1:$I$10000&lt;=ROUND($BB$3,0))*('Margin Guidence Table'!$J$1:$J$10000&gt;=ROUND($BB$3,0)),0),MATCH("SELF_FUND_PCT_SALES",'Margin Guidence Table'!$A$1:$AG$1,0)),INDEX('Margin Guidence Table'!$A$1:$AG$10000,MATCH(1,('Margin Guidence Table'!$A$1:$A$10000=$BJ19)*('Margin Guidence Table'!$I$1:$I$10000&lt;=ROUND($BB$3,0))*('Margin Guidence Table'!$J$1:$J$10000&gt;=ROUND($BB$3,0)),0),MATCH("DEFAULT_SELF_FUND_PCT_SALES",'Margin Guidence Table'!$A$1:$AG$1,0))),0)</f>
        <v>0</v>
      </c>
      <c r="BT19" s="1054">
        <f t="array" ref="BT19">IFERROR(IF($BL19="SEGMENT",INDEX('Margin Guidence Table'!$A$1:$AG$10000,MATCH(1,('Margin Guidence Table'!$A$1:$A$10000=$BJ19)*('Margin Guidence Table'!$I$1:$I$10000&lt;=ROUND($BB$3,0))*('Margin Guidence Table'!$J$1:$J$10000&gt;=ROUND($BB$3,0)),0),MATCH("CIA_MEDIAN_MARGIN_GUIDENCE",'Margin Guidence Table'!$A$1:$AG$1,0)),INDEX('Margin Guidence Table'!$A$1:$AG$10000,MATCH(1,('Margin Guidence Table'!$A$1:$A$10000=$BJ19)*('Margin Guidence Table'!$I$1:$I$10000&lt;=ROUND($BB$3,0))*('Margin Guidence Table'!$J$1:$J$10000&gt;=ROUND($BB$3,0)),0),MATCH("DEFAULT_CIA_MEDIAN_MARGIN_GUIDENCE",'Margin Guidence Table'!$A$1:$AG$1,0))),0)</f>
        <v>0</v>
      </c>
      <c r="BU19" s="127"/>
      <c r="BV19" s="18">
        <f t="array" ref="BV19">IFERROR(IF($CI19="SEGMENT",INDEX('Margin Guidence Table'!$A$1:$AG$10000,MATCH(1,('Margin Guidence Table'!$A$1:$A$10000=$CG19)*('Margin Guidence Table'!$I$1:$I$10000&lt;=ROUND($BY$3,0))*('Margin Guidence Table'!$J$1:$J$10000&gt;=ROUND($BY$3,0)),0),MATCH("PCT_SALES",'Margin Guidence Table'!$A$1:$AG$1,0)),INDEX('Margin Guidence Table'!$A$1:$AG$10000,MATCH(1,('Margin Guidence Table'!$A$1:$A$10000=$CG19)*('Margin Guidence Table'!$I$1:$I$10000&lt;=ROUND($BY$3,0))*('Margin Guidence Table'!$J$1:$J$10000&gt;=ROUND($BY$3,0)),0),MATCH("DEFAULT_PCT_SALES",'Margin Guidence Table'!$A$1:$AG$1,0))),0)</f>
        <v>0</v>
      </c>
      <c r="BW19" s="370" t="e">
        <f t="shared" si="28"/>
        <v>#DIV/0!</v>
      </c>
      <c r="BX19" s="100" t="s">
        <v>104</v>
      </c>
      <c r="BY19" s="92">
        <f>IFERROR(IF(AND($BY$2&lt;&gt;"Enter Spend&gt;&gt;&gt;",BZ7="EXISTING"),SUMIFS('Existing Customers'!$Q:$Q,'Existing Customers'!$A:$A,$BY$1,'Existing Customers'!$H:$H,$BX19)*$BY$4,$BY$3*$BW19),0)</f>
        <v>0</v>
      </c>
      <c r="BZ19" s="87">
        <f>IFERROR(IF(AND($BY$2&lt;&gt;"Enter Spend&gt;&gt;&gt;",BZ2="EXISTING"),SUMIFS('Existing Customers'!$N:$N,'Existing Customers'!$A:$A,$BY$1,'Existing Customers'!$H:$H,$BX19)*$BY$4,$BY19/$CJ19),0)</f>
        <v>0</v>
      </c>
      <c r="CA19" s="93">
        <f>IFERROR(IF(AND($BY$2&lt;&gt;"Enter Spend&gt;&gt;&gt;",BZ2="EXISTING"),SUMIFS('Existing Customers'!$O:$O,'Existing Customers'!$H:$H,$BX19,'Existing Customers'!$A:$A,$BY$1)*$BY$4,$BZ19*$BY$8),0)</f>
        <v>0</v>
      </c>
      <c r="CB19" s="93">
        <f>IFERROR(IF(AND($BY$2&lt;&gt;"Enter Spend&gt;&gt;&gt;",BZ2="EXISTING"),SUMIFS('Existing Customers'!$P:$P,'Existing Customers'!$A:$A,$BY$1,'Existing Customers'!$H:$H,$BX19)*$BY$4,$BY19/$CK19),0)</f>
        <v>0</v>
      </c>
      <c r="CC19" s="94">
        <f>IFERROR(IF(AND($BY$2&lt;&gt;"Enter Spend&gt;&gt;&gt;",BZ2="EXISTING"),SUMIFS('Existing Customers'!$V:$V,'Existing Customers'!$H:$H,$BX19,'Existing Customers'!$A:$A,$BY$1)*$BY$4,0),0)</f>
        <v>0</v>
      </c>
      <c r="CD19" s="94">
        <f>IFERROR(IF(AND($BY$2&lt;&gt;"Enter Spend&gt;&gt;&gt;",BZ2="EXISTING"),SUMIFS('Existing Customers'!$R:$R,'Existing Customers'!$H:$H,$BX19,'Existing Customers'!$A:$A,$BY$1)*$BY$4,0),0)</f>
        <v>0</v>
      </c>
      <c r="CE19" s="1050">
        <f>IFERROR(IF(AND($BY$2&lt;&gt;"Enter Spend&gt;&gt;&gt;",BZ2="EXISTING"),SUMIFS('Existing Customers'!$S:$S,'Existing Customers'!$H:$H,$BX19,'Existing Customers'!$A:$A,$BY$1),CO19*BY19),0)</f>
        <v>0</v>
      </c>
      <c r="CF19" s="1050">
        <f>IFERROR(IF(AND($BY$2&lt;&gt;"Enter Spend&gt;&gt;&gt;",BZ2="EXISTING"),SUMIFS('Existing Customers'!$U:$U,'Existing Customers'!$H:$H,$BX19,'Existing Customers'!$A:$A,$BY$1),CP19*BY19),0)</f>
        <v>0</v>
      </c>
      <c r="CG19" s="1053" t="e">
        <f>_xlfn.CONCAT('Customer Inputs'!$AG$7,"_",BX19)</f>
        <v>#N/A</v>
      </c>
      <c r="CH19" s="1053">
        <f t="array" ref="CH19">IFERROR(INDEX('Margin Guidence Table'!$A$1:$AG$10000,MATCH(1,('Margin Guidence Table'!$A$1:$A$10000=$CG19)*('Margin Guidence Table'!$I$1:$I$10000&lt;=ROUND($BY$3,0))*('Margin Guidence Table'!$J$1:$J$10000&gt;=ROUND($BY$3,0)),0),MATCH("DATA_POINTS",'Margin Guidence Table'!$A$1:$AG$1,0)),0)</f>
        <v>0</v>
      </c>
      <c r="CI19" s="1050" t="str">
        <f t="shared" si="29"/>
        <v>DEFAULT</v>
      </c>
      <c r="CJ19" s="1050">
        <f t="array" ref="CJ19">IFERROR(IF($CI19="SEGMENT",INDEX('Margin Guidence Table'!$A$1:$AG$10000,MATCH(1,('Margin Guidence Table'!$A$1:$A$10000=$CG19)*('Margin Guidence Table'!$I$1:$I$10000&lt;=ROUND($BY$3,0))*('Margin Guidence Table'!$J$1:$J$10000&gt;=ROUND($BY$3,0)),0),MATCH("SALES_CASE",'Margin Guidence Table'!$A$1:$AG$1,0)),INDEX('Margin Guidence Table'!$A$1:$AG$10000,MATCH(1,('Margin Guidence Table'!$A$1:$A$10000=$CG19)*('Margin Guidence Table'!$I$1:$I$10000&lt;=ROUND($BY$3,0))*('Margin Guidence Table'!$J$1:$J$10000&gt;=ROUND($BY$3,0)),0),MATCH("DEFAULT_SALES_CASE",'Margin Guidence Table'!$A$1:$AG$1,0))),0)</f>
        <v>0</v>
      </c>
      <c r="CK19" s="1050">
        <f t="array" ref="CK19">IFERROR(IF($CI19="SEGMENT",INDEX('Margin Guidence Table'!$A$1:$AG$10000,MATCH(1,('Margin Guidence Table'!$A$1:$A$10000=$CG19)*('Margin Guidence Table'!$I$1:$I$10000&lt;=ROUND($BY$3,0))*('Margin Guidence Table'!$J$1:$J$10000&gt;=ROUND($BY$3,0)),0),MATCH("SALES_LBS",'Margin Guidence Table'!$A$1:$AG$1,0)),INDEX('Margin Guidence Table'!$A$1:$AG$10000,MATCH(1,('Margin Guidence Table'!$A$1:$A$10000=$CG19)*('Margin Guidence Table'!$I$1:$I$10000&lt;=ROUND($BY$3,0))*('Margin Guidence Table'!$J$1:$J$10000&gt;=ROUND($BY$3,0)),0),MATCH("DEFAULT_SALES_LBS",'Margin Guidence Table'!$A$1:$AG$1,0))),0)</f>
        <v>0</v>
      </c>
      <c r="CL19" s="1054">
        <f t="array" ref="CL19">IFERROR(IF($CI19="SEGMENT",INDEX('Margin Guidence Table'!$A$1:$AG$10000,MATCH(1,('Margin Guidence Table'!$A$1:$A$10000=$CG19)*('Margin Guidence Table'!$I$1:$I$10000&lt;=ROUND($BY$3,0))*('Margin Guidence Table'!$J$1:$J$10000&gt;=ROUND($BY$3,0)),0),MATCH("MDA_MIN_MARGIN_GUIDENCE",'Margin Guidence Table'!$A$1:$AG$1,0)),INDEX('Margin Guidence Table'!$A$1:$AG$10000,MATCH(1,('Margin Guidence Table'!$A$1:$A$10000=$CG19)*('Margin Guidence Table'!$I$1:$I$10000&lt;=ROUND($BY$3,0))*('Margin Guidence Table'!$J$1:$J$10000&gt;=ROUND($BY$3,0)),0),MATCH("DEFAULT_MDA_MIN_MARGIN_GUIDENCE",'Margin Guidence Table'!$A$1:$AG$1,0))),0)</f>
        <v>0</v>
      </c>
      <c r="CM19" s="1054">
        <f t="array" ref="CM19">IFERROR(IF($CI19="SEGMENT",INDEX('Margin Guidence Table'!$A$1:$AG$10000,MATCH(1,('Margin Guidence Table'!$A$1:$A$10000=$CG19)*('Margin Guidence Table'!$I$1:$I$10000&lt;=ROUND($BY$3,0))*('Margin Guidence Table'!$J$1:$J$10000&gt;=ROUND($BY$3,0)),0),MATCH("MDA_MEDIAN_MARGIN_GUIDENCE",'Margin Guidence Table'!$A$1:$AG$1,0)),INDEX('Margin Guidence Table'!$A$1:$AG$10000,MATCH(1,('Margin Guidence Table'!$A$1:$A$10000=$CG19)*('Margin Guidence Table'!$I$1:$I$10000&lt;=ROUND($BY$3,0))*('Margin Guidence Table'!$J$1:$J$10000&gt;=ROUND($BY$3,0)),0),MATCH("DEFAULT_MDA_MEDIAN_MARGIN_GUIDENCE",'Margin Guidence Table'!$A$1:$AG$1,0))),0)</f>
        <v>0</v>
      </c>
      <c r="CN19" s="1054">
        <f t="array" ref="CN19">IFERROR(IF($CI19="SEGMENT",INDEX('Margin Guidence Table'!$A$1:$AG$10000,MATCH(1,('Margin Guidence Table'!$A$1:$A$10000=$CG19)*('Margin Guidence Table'!$I$1:$I$10000&lt;=ROUND($BY$3,0))*('Margin Guidence Table'!$J$1:$J$10000&gt;=ROUND($BY$3,0)),0),MATCH("MDA_MAX_MARGIN_GUIDENCE",'Margin Guidence Table'!$A$1:$AG$1,0)),INDEX('Margin Guidence Table'!$A$1:$AG$10000,MATCH(1,('Margin Guidence Table'!$A$1:$A$10000=$CG19)*('Margin Guidence Table'!$I$1:$I$10000&lt;=ROUND($BY$3,0))*('Margin Guidence Table'!$J$1:$J$10000&gt;=ROUND($BY$3,0)),0),MATCH("DEFAULT_MDA_MAX_MARGIN_GUIDENCE",'Margin Guidence Table'!$A$1:$AG$1,0))),0)</f>
        <v>0</v>
      </c>
      <c r="CO19" s="1054">
        <f t="array" ref="CO19">IFERROR(IF($CI19="SEGMENT",INDEX('Margin Guidence Table'!$A$1:$AG$10000,MATCH(1,('Margin Guidence Table'!$A$1:$A$10000=$CG19)*('Margin Guidence Table'!$I$1:$I$10000&lt;=ROUND($BY$3,0))*('Margin Guidence Table'!$J$1:$J$10000&gt;=ROUND($BY$3,0)),0),MATCH("PA_PCT_SALES",'Margin Guidence Table'!$A$1:$AG$1,0)),INDEX('Margin Guidence Table'!$A$1:$AG$10000,MATCH(1,('Margin Guidence Table'!$A$1:$A$10000=$CG19)*('Margin Guidence Table'!$I$1:$I$10000&lt;=ROUND($BY$3,0))*('Margin Guidence Table'!$J$1:$J$10000&gt;=ROUND($BY$3,0)),0),MATCH("DEFAULT_PA_PCT_SALES",'Margin Guidence Table'!$A$1:$AG$1,0))),0)</f>
        <v>0</v>
      </c>
      <c r="CP19" s="1054">
        <f t="array" ref="CP19">IFERROR(IF($CI19="SEGMENT",INDEX('Margin Guidence Table'!$A$1:$AG$10000,MATCH(1,('Margin Guidence Table'!$A$1:$A$10000=$CG19)*('Margin Guidence Table'!$I$1:$I$10000&lt;=ROUND($BY$3,0))*('Margin Guidence Table'!$J$1:$J$10000&gt;=ROUND($BY$3,0)),0),MATCH("SELF_FUND_PCT_SALES",'Margin Guidence Table'!$A$1:$AG$1,0)),INDEX('Margin Guidence Table'!$A$1:$AG$10000,MATCH(1,('Margin Guidence Table'!$A$1:$A$10000=$CG19)*('Margin Guidence Table'!$I$1:$I$10000&lt;=ROUND($BY$3,0))*('Margin Guidence Table'!$J$1:$J$10000&gt;=ROUND($BY$3,0)),0),MATCH("DEFAULT_SELF_FUND_PCT_SALES",'Margin Guidence Table'!$A$1:$AG$1,0))),0)</f>
        <v>0</v>
      </c>
      <c r="CQ19" s="1054">
        <f t="array" ref="CQ19">IFERROR(IF($CI19="SEGMENT",INDEX('Margin Guidence Table'!$A$1:$AG$10000,MATCH(1,('Margin Guidence Table'!$A$1:$A$10000=$CG19)*('Margin Guidence Table'!$I$1:$I$10000&lt;=ROUND($BY$3,0))*('Margin Guidence Table'!$J$1:$J$10000&gt;=ROUND($BY$3,0)),0),MATCH("CIA_MEDIAN_MARGIN_GUIDENCE",'Margin Guidence Table'!$A$1:$AG$1,0)),INDEX('Margin Guidence Table'!$A$1:$AG$10000,MATCH(1,('Margin Guidence Table'!$A$1:$A$10000=$CG19)*('Margin Guidence Table'!$I$1:$I$10000&lt;=ROUND($BY$3,0))*('Margin Guidence Table'!$J$1:$J$10000&gt;=ROUND($BY$3,0)),0),MATCH("DEFAULT_CIA_MEDIAN_MARGIN_GUIDENCE",'Margin Guidence Table'!$A$1:$AG$1,0))),0)</f>
        <v>0</v>
      </c>
      <c r="CR19" s="127"/>
      <c r="CS19" s="18">
        <f t="array" ref="CS19">IFERROR(IF($DF19="SEGMENT",INDEX('Margin Guidence Table'!$A$1:$AG$10000,MATCH(1,('Margin Guidence Table'!$A$1:$A$10000=$DD19)*('Margin Guidence Table'!$I$1:$I$10000&lt;=ROUND($CV$3,0))*('Margin Guidence Table'!$J$1:$J$10000&gt;=ROUND($CV$3,0)),0),MATCH("PCT_SALES",'Margin Guidence Table'!$A$1:$AG$1,0)),INDEX('Margin Guidence Table'!$A$1:$AG$10000,MATCH(1,('Margin Guidence Table'!$A$1:$A$10000=$DD19)*('Margin Guidence Table'!$I$1:$I$10000&lt;=ROUND($CV$3,0))*('Margin Guidence Table'!$J$1:$J$10000&gt;=ROUND($CV$3,0)),0),MATCH("DEFAULT_PCT_SALES",'Margin Guidence Table'!$A$1:$AG$1,0))),0)</f>
        <v>0</v>
      </c>
      <c r="CT19" s="370" t="e">
        <f t="shared" si="30"/>
        <v>#DIV/0!</v>
      </c>
      <c r="CU19" s="100" t="s">
        <v>104</v>
      </c>
      <c r="CV19" s="92">
        <f>IFERROR(IF(AND($CV$2&lt;&gt;"Enter Spend&gt;&gt;&gt;",CW7="EXISTING"),SUMIFS('Existing Customers'!$Q:$Q,'Existing Customers'!$A:$A,$CV$1,'Existing Customers'!$H:$H,$CU19)*$CV$4,$CV$3*$CT19),0)</f>
        <v>0</v>
      </c>
      <c r="CW19" s="87">
        <f>IFERROR(IF(AND($CV$2&lt;&gt;"Enter Spend&gt;&gt;&gt;",CW2="EXISTING"),SUMIFS('Existing Customers'!$N:$N,'Existing Customers'!$A:$A,$CV$1,'Existing Customers'!$H:$H,$CU19)*$CV$4,$CV19/$DG19),0)</f>
        <v>0</v>
      </c>
      <c r="CX19" s="93">
        <f>IFERROR(IF(AND($CV$2&lt;&gt;"Enter Spend&gt;&gt;&gt;",BC28="EXISTING"),SUMIFS('Existing Customers'!$O:$O,'Existing Customers'!$H:$H,$CU19,'Existing Customers'!$A:$A,$CV$1)*$CV$4,$CW19*$CV$8),0)</f>
        <v>0</v>
      </c>
      <c r="CY19" s="93">
        <f>IFERROR(IF(AND($CV$2&lt;&gt;"Enter Spend&gt;&gt;&gt;",CW2="EXISTING"),SUMIFS('Existing Customers'!$P:$P,'Existing Customers'!$A:$A,$CV$1,'Existing Customers'!$H:$H,$CU19)*$CV$4,$CV19/$DH19),0)</f>
        <v>0</v>
      </c>
      <c r="CZ19" s="94">
        <f>IFERROR(IF(AND($CV$2&lt;&gt;"Enter Spend&gt;&gt;&gt;",CW2="EXISTING"),SUMIFS('Existing Customers'!$V:$V,'Existing Customers'!$H:$H,$CU19,'Existing Customers'!$A:$A,$CV$1)*$CV$4,0),0)</f>
        <v>0</v>
      </c>
      <c r="DA19" s="94">
        <f>IFERROR(IF(AND($CV$2&lt;&gt;"Enter Spend&gt;&gt;&gt;",CW2="EXISTING"),SUMIFS('Existing Customers'!$R:$R,'Existing Customers'!$H:$H,$BA19,'Existing Customers'!$A:$A,$CV$1)*$CV$4,0),0)</f>
        <v>0</v>
      </c>
      <c r="DB19" s="1050">
        <f>IFERROR(IF(AND($CV$2&lt;&gt;"Enter Spend&gt;&gt;&gt;",CW2="EXISTING"),SUMIFS('Existing Customers'!$S:$S,'Existing Customers'!$H:$H,$CU19,'Existing Customers'!$A:$A,$CV$1),DL19*CV19),0)</f>
        <v>0</v>
      </c>
      <c r="DC19" s="1050">
        <f>IFERROR(IF(AND($CV$2&lt;&gt;"Enter Spend&gt;&gt;&gt;",CW2="EXISTING"),SUMIFS('Existing Customers'!$U:$U,'Existing Customers'!$H:$H,$CU19,'Existing Customers'!$A:$A,$CV$1),DM19*CV19),0)</f>
        <v>0</v>
      </c>
      <c r="DD19" s="1053" t="e">
        <f>_xlfn.CONCAT('Customer Inputs'!$AG$8,"_",CU19)</f>
        <v>#N/A</v>
      </c>
      <c r="DE19" s="1053">
        <f t="array" ref="DE19">IFERROR(INDEX('Margin Guidence Table'!$A$1:$AG$10000,MATCH(1,('Margin Guidence Table'!$A$1:$A$10000=DD19)*('Margin Guidence Table'!$I$1:$I$10000&lt;=ROUND($CV$3,0))*('Margin Guidence Table'!$J$1:$J$10000&gt;=ROUND($CV$3,0)),0),MATCH("DATA_POINTS",'Margin Guidence Table'!$A$1:$AG$1,0)),0)</f>
        <v>0</v>
      </c>
      <c r="DF19" s="1050" t="str">
        <f t="shared" si="31"/>
        <v>DEFAULT</v>
      </c>
      <c r="DG19" s="1050">
        <f t="array" ref="DG19">IFERROR(IF($DF19="SEGMENT",INDEX('Margin Guidence Table'!$A$1:$AG$10000,MATCH(1,('Margin Guidence Table'!$A$1:$A$10000=DD19)*('Margin Guidence Table'!$I$1:$I$10000&lt;=ROUND($CV$3,0))*('Margin Guidence Table'!$J$1:$J$10000&gt;=ROUND($CV$3,0)),0),MATCH("SALES_CASE",'Margin Guidence Table'!$A$1:$AG$1,0)),INDEX('Margin Guidence Table'!$A$1:$AG$10000,MATCH(1,('Margin Guidence Table'!$A$1:$A$10000=DD19)*('Margin Guidence Table'!$I$1:$I$10000&lt;=ROUND($CV$3,0))*('Margin Guidence Table'!$J$1:$J$10000&gt;=ROUND($CV$3,0)),0),MATCH("DEFAULT_SALES_CASE",'Margin Guidence Table'!$A$1:$AG$1,0))),0)</f>
        <v>0</v>
      </c>
      <c r="DH19" s="1050">
        <f t="array" ref="DH19">IFERROR(IF($DF19="SEGMENT",INDEX('Margin Guidence Table'!$A$1:$AG$10000,MATCH(1,('Margin Guidence Table'!$A$1:$A$10000=DD19)*('Margin Guidence Table'!$I$1:$I$10000&lt;=ROUND($CV$3,0))*('Margin Guidence Table'!$J$1:$J$10000&gt;=ROUND($CV$3,0)),0),MATCH("SALES_LBS",'Margin Guidence Table'!$A$1:$AG$1,0)),INDEX('Margin Guidence Table'!$A$1:$AG$10000,MATCH(1,('Margin Guidence Table'!$A$1:$A$10000=DD19)*('Margin Guidence Table'!$I$1:$I$10000&lt;=ROUND($CV$3,0))*('Margin Guidence Table'!$J$1:$J$10000&gt;=ROUND($CV$3,0)),0),MATCH("DEFAULT_SALES_LBS",'Margin Guidence Table'!$A$1:$AG$1,0))),0)</f>
        <v>0</v>
      </c>
      <c r="DI19" s="1054">
        <f t="array" ref="DI19">IFERROR(IF($DF19="SEGMENT",INDEX('Margin Guidence Table'!$A$1:$AG$10000,MATCH(1,('Margin Guidence Table'!$A$1:$A$10000=DD19)*('Margin Guidence Table'!$I$1:$I$10000&lt;=ROUND($CV$3,0))*('Margin Guidence Table'!$J$1:$J$10000&gt;=ROUND($CV$3,0)),0),MATCH("MDA_MIN_MARGIN_GUIDENCE",'Margin Guidence Table'!$A$1:$AG$1,0)),INDEX('Margin Guidence Table'!$A$1:$AG$10000,MATCH(1,('Margin Guidence Table'!$A$1:$A$10000=DD19)*('Margin Guidence Table'!$I$1:$I$10000&lt;=ROUND($CV$3,0))*('Margin Guidence Table'!$J$1:$J$10000&gt;=ROUND($CV$3,0)),0),MATCH("DEFAULT_MDA_MIN_MARGIN_GUIDENCE",'Margin Guidence Table'!$A$1:$AG$1,0))),0)</f>
        <v>0</v>
      </c>
      <c r="DJ19" s="1054">
        <f t="array" ref="DJ19">IFERROR(IF($DF19="SEGMENT",INDEX('Margin Guidence Table'!$A$1:$AG$10000,MATCH(1,('Margin Guidence Table'!$A$1:$A$10000=DD19)*('Margin Guidence Table'!$I$1:$I$10000&lt;=ROUND($CV$3,0))*('Margin Guidence Table'!$J$1:$J$10000&gt;=ROUND($CV$3,0)),0),MATCH("MDA_MEDIAN_MARGIN_GUIDENCE",'Margin Guidence Table'!$A$1:$AG$1,0)),INDEX('Margin Guidence Table'!$A$1:$AG$10000,MATCH(1,('Margin Guidence Table'!$A$1:$A$10000=DD19)*('Margin Guidence Table'!$I$1:$I$10000&lt;=ROUND($CV$3,0))*('Margin Guidence Table'!$J$1:$J$10000&gt;=ROUND($CV$3,0)),0),MATCH("DEFAULT_MDA_MEDIAN_MARGIN_GUIDENCE",'Margin Guidence Table'!$A$1:$AG$1,0))),0)</f>
        <v>0</v>
      </c>
      <c r="DK19" s="1054">
        <f t="array" ref="DK19">IFERROR(IF($DF19="SEGMENT",INDEX('Margin Guidence Table'!$A$1:$AG$10000,MATCH(1,('Margin Guidence Table'!$A$1:$A$10000=DD19)*('Margin Guidence Table'!$I$1:$I$10000&lt;=ROUND($CV$3,0))*('Margin Guidence Table'!$J$1:$J$10000&gt;=ROUND($CV$3,0)),0),MATCH("MDA_MAX_MARGIN_GUIDENCE",'Margin Guidence Table'!$A$1:$AG$1,0)),INDEX('Margin Guidence Table'!$A$1:$AG$10000,MATCH(1,('Margin Guidence Table'!$A$1:$A$10000=DD19)*('Margin Guidence Table'!$I$1:$I$10000&lt;=ROUND($CV$3,0))*('Margin Guidence Table'!$J$1:$J$10000&gt;=ROUND($CV$3,0)),0),MATCH("DEFAULT_MDA_MAX_MARGIN_GUIDENCE",'Margin Guidence Table'!$A$1:$AG$1,0))),0)</f>
        <v>0</v>
      </c>
      <c r="DL19" s="1054">
        <f t="array" ref="DL19">IFERROR(IF($DF19="SEGMENT",INDEX('Margin Guidence Table'!$A$1:$AG$10000,MATCH(1,('Margin Guidence Table'!$A$1:$A$10000=DD19)*('Margin Guidence Table'!$I$1:$I$10000&lt;=ROUND($CV$3,0))*('Margin Guidence Table'!$J$1:$J$10000&gt;=ROUND($CV$3,0)),0),MATCH("PA_PCT_SALES",'Margin Guidence Table'!$A$1:$AG$1,0)),INDEX('Margin Guidence Table'!$A$1:$AG$10000,MATCH(1,('Margin Guidence Table'!$A$1:$A$10000=DD19)*('Margin Guidence Table'!$I$1:$I$10000&lt;=ROUND($CV$3,0))*('Margin Guidence Table'!$J$1:$J$10000&gt;=ROUND($CV$3,0)),0),MATCH("DEFAULT_PA_PCT_SALES",'Margin Guidence Table'!$A$1:$AG$1,0))),0)</f>
        <v>0</v>
      </c>
      <c r="DM19" s="1054">
        <f t="array" ref="DM19">IFERROR(IF($DF19="SEGMENT",INDEX('Margin Guidence Table'!$A$1:$AG$10000,MATCH(1,('Margin Guidence Table'!$A$1:$A$10000=DD19)*('Margin Guidence Table'!$I$1:$I$10000&lt;=ROUND($CV$3,0))*('Margin Guidence Table'!$J$1:$J$10000&gt;=ROUND($CV$3,0)),0),MATCH("SELF_FUND_PCT_SALES",'Margin Guidence Table'!$A$1:$AG$1,0)),INDEX('Margin Guidence Table'!$A$1:$AG$10000,MATCH(1,('Margin Guidence Table'!$A$1:$A$10000=DD19)*('Margin Guidence Table'!$I$1:$I$10000&lt;=ROUND($CV$3,0))*('Margin Guidence Table'!$J$1:$J$10000&gt;=ROUND($CV$3,0)),0),MATCH("DEFAULT_SELF_FUND_PCT_SALES",'Margin Guidence Table'!$A$1:$AG$1,0))),0)</f>
        <v>0</v>
      </c>
      <c r="DN19" s="1054">
        <f t="array" ref="DN19">IFERROR(IF($DF19="SEGMENT",INDEX('Margin Guidence Table'!$A$1:$AG$10000,MATCH(1,('Margin Guidence Table'!$A$1:$A$10000=DD19)*('Margin Guidence Table'!$I$1:$I$10000&lt;=ROUND($CV$3,0))*('Margin Guidence Table'!$J$1:$J$10000&gt;=ROUND($CV$3,0)),0),MATCH("CIA_MEDIAN_MARGIN_GUIDENCE",'Margin Guidence Table'!$A$1:$AG$1,0)),INDEX('Margin Guidence Table'!$A$1:$AG$10000,MATCH(1,('Margin Guidence Table'!$A$1:$A$10000=DD19)*('Margin Guidence Table'!$I$1:$I$10000&lt;=ROUND($CV$3,0))*('Margin Guidence Table'!$J$1:$J$10000&gt;=ROUND($CV$3,0)),0),MATCH("DEFAULT_CIA_MEDIAN_MARGIN_GUIDENCE",'Margin Guidence Table'!$A$1:$AG$1,0))),0)</f>
        <v>0</v>
      </c>
      <c r="DO19" s="127"/>
      <c r="DP19" s="18">
        <f t="array" ref="DP19">IFERROR(IF($EC19="SEGMENT",INDEX('Margin Guidence Table'!$A$1:$AG$10000,MATCH(1,('Margin Guidence Table'!$A$1:$A$10000=$EA19)*('Margin Guidence Table'!$I$1:$I$10000&lt;=ROUND($DS$3,0))*('Margin Guidence Table'!$J$1:$J$10000&gt;=ROUND($DS$3,0)),0),MATCH("PCT_SALES",'Margin Guidence Table'!$A$1:$AG$1,0)),INDEX('Margin Guidence Table'!$A$1:$AG$10000,MATCH(1,('Margin Guidence Table'!$A$1:$A$10000=$EA19)*('Margin Guidence Table'!$I$1:$I$10000&lt;=ROUND($DS$3,0))*('Margin Guidence Table'!$J$1:$J$10000&gt;=ROUND($DS$3,0)),0),MATCH("DEFAULT_PCT_SALES",'Margin Guidence Table'!$A$1:$AG$1,0))),0)</f>
        <v>0</v>
      </c>
      <c r="DQ19" s="370" t="e">
        <f t="shared" si="32"/>
        <v>#DIV/0!</v>
      </c>
      <c r="DR19" s="100" t="s">
        <v>104</v>
      </c>
      <c r="DS19" s="92">
        <f>IFERROR(IF(AND($DS$2&lt;&gt;"Enter Spend&gt;&gt;&gt;",DT7="EXISTING"),SUMIFS('Existing Customers'!$Q:$Q,'Existing Customers'!$A:$A,$DS$1,'Existing Customers'!$H:$H,$DR19)*$DS$4,$DS$3*$DQ19),0)</f>
        <v>0</v>
      </c>
      <c r="DT19" s="87">
        <f>IFERROR(IF(AND($DS$2&lt;&gt;"Enter Spend&gt;&gt;&gt;",DT2="EXISTING"),SUMIFS('Existing Customers'!$N:$N,'Existing Customers'!$A:$A,$DS$1,'Existing Customers'!$H:$H,$DR19)*$DS$4,$DS19/$ED19),0)</f>
        <v>0</v>
      </c>
      <c r="DU19" s="93">
        <f>IFERROR(IF(AND($DS$2&lt;&gt;"Enter Spend&gt;&gt;&gt;",DT2="EXISTING"),SUMIFS('Existing Customers'!$O:$O,'Existing Customers'!$H:$H,$DR19,'Existing Customers'!$A:$A,$DS$1)*$DS$4,$DT19*$DS$8),0)</f>
        <v>0</v>
      </c>
      <c r="DV19" s="93">
        <f>IFERROR(IF(AND($DS$2&lt;&gt;"Enter Spend&gt;&gt;&gt;",DT2="EXISTING"),SUMIFS('Existing Customers'!$P:$P,'Existing Customers'!$A:$A,$DS$1,'Existing Customers'!$H:$H,$DR19)*$DS$4,$DS19/$EE19),0)</f>
        <v>0</v>
      </c>
      <c r="DW19" s="94">
        <f>IFERROR(IF(AND($DS$2&lt;&gt;"Enter Spend&gt;&gt;&gt;",EQ2="EXISTING"),SUMIFS('Existing Customers'!$V:$V,'Existing Customers'!$H:$H,$DR19,'Existing Customers'!$A:$A,$DS$1)*$DS$4,0),0)</f>
        <v>0</v>
      </c>
      <c r="DX19" s="94">
        <f>IFERROR(IF(AND($DS$2&lt;&gt;"Enter Spend&gt;&gt;&gt;",DT2="EXISTING"),SUMIFS('Existing Customers'!$R:$R,'Existing Customers'!$H:$H,$DR19,'Existing Customers'!$A:$A,$DS$1)*$DS$4,0),0)</f>
        <v>0</v>
      </c>
      <c r="DY19" s="1050">
        <f>IFERROR(IF(AND($DS$2&lt;&gt;"Enter Spend&gt;&gt;&gt;",DT2="EXISTING"),SUMIFS('Existing Customers'!$S:$S,'Existing Customers'!$H:$H,$DT19,'Existing Customers'!$A:$A,$DS$1),EI19*DS19),0)</f>
        <v>0</v>
      </c>
      <c r="DZ19" s="1050">
        <f>IFERROR(IF(AND($DS$2&lt;&gt;"Enter Spend&gt;&gt;&gt;",DT2="EXISTING"),SUMIFS('Existing Customers'!$U:$U,'Existing Customers'!$H:$H,$DR19,'Existing Customers'!$A:$A,$DS$1),EJ19*DS19),0)</f>
        <v>0</v>
      </c>
      <c r="EA19" s="1053" t="e">
        <f>_xlfn.CONCAT('Customer Inputs'!$AG$9,"_",DR19)</f>
        <v>#N/A</v>
      </c>
      <c r="EB19" s="1053">
        <f t="array" ref="EB19">IFERROR(INDEX('Margin Guidence Table'!$A$1:$AG$10000,MATCH(1,('Margin Guidence Table'!$A$1:$A$10000=EA19)*('Margin Guidence Table'!$I$1:$I$10000&lt;=ROUND($DS$3,0))*('Margin Guidence Table'!$J$1:$J$10000&gt;=ROUND($DS$3,0)),0),MATCH("DATA_POINTS",'Margin Guidence Table'!$A$1:$AG$1,0)),0)</f>
        <v>0</v>
      </c>
      <c r="EC19" s="1050" t="str">
        <f t="shared" si="33"/>
        <v>DEFAULT</v>
      </c>
      <c r="ED19" s="1050">
        <f t="array" ref="ED19">IFERROR(IF($EC19="SEGMENT",INDEX('Margin Guidence Table'!$A$1:$AG$10000,MATCH(1,('Margin Guidence Table'!$A$1:$A$10000=EA19)*('Margin Guidence Table'!$I$1:$I$10000&lt;=ROUND($DS$3,0))*('Margin Guidence Table'!$J$1:$J$10000&gt;=ROUND($DS$3,0)),0),MATCH("SALES_CASE",'Margin Guidence Table'!$A$1:$AG$1,0)),INDEX('Margin Guidence Table'!$A$1:$AG$10000,MATCH(1,('Margin Guidence Table'!$A$1:$A$10000=EA19)*('Margin Guidence Table'!$I$1:$I$10000&lt;=ROUND($DS$3,0))*('Margin Guidence Table'!$J$1:$J$10000&gt;=ROUND($DS$3,0)),0),MATCH("DEFAULT_SALES_CASE",'Margin Guidence Table'!$A$1:$AG$1,0))),0)</f>
        <v>0</v>
      </c>
      <c r="EE19" s="1050">
        <f t="array" ref="EE19">IFERROR(IF($EC19="SEGMENT",INDEX('Margin Guidence Table'!$A$1:$AG$10000,MATCH(1,('Margin Guidence Table'!$A$1:$A$10000=EA19)*('Margin Guidence Table'!$I$1:$I$10000&lt;=ROUND($DS$3,0))*('Margin Guidence Table'!$J$1:$J$10000&gt;=ROUND($DS$3,0)),0),MATCH("SALES_LBS",'Margin Guidence Table'!$A$1:$AG$1,0)),INDEX('Margin Guidence Table'!$A$1:$AG$10000,MATCH(1,('Margin Guidence Table'!$A$1:$A$10000=EA19)*('Margin Guidence Table'!$I$1:$I$10000&lt;=ROUND($DS$3,0))*('Margin Guidence Table'!$J$1:$J$10000&gt;=ROUND($DS$3,0)),0),MATCH("DEFAULT_SALES_LBS",'Margin Guidence Table'!$A$1:$AG$1,0))),0)</f>
        <v>0</v>
      </c>
      <c r="EF19" s="1054">
        <f t="array" ref="EF19">IFERROR(IF($EC19="SEGMENT",INDEX('Margin Guidence Table'!$A$1:$AG$10000,MATCH(1,('Margin Guidence Table'!$A$1:$A$10000=EA19)*('Margin Guidence Table'!$I$1:$I$10000&lt;=ROUND($DS$3,0))*('Margin Guidence Table'!$J$1:$J$10000&gt;=ROUND($DS$3,0)),0),MATCH("MDA_MIN_MARGIN_GUIDENCE",'Margin Guidence Table'!$A$1:$AG$1,0)),INDEX('Margin Guidence Table'!$A$1:$AG$10000,MATCH(1,('Margin Guidence Table'!$A$1:$A$10000=EA19)*('Margin Guidence Table'!$I$1:$I$10000&lt;=ROUND($DS$3,0))*('Margin Guidence Table'!$J$1:$J$10000&gt;=ROUND($DS$3,0)),0),MATCH("DEFAULT_MDA_MIN_MARGIN_GUIDENCE",'Margin Guidence Table'!$A$1:$AG$1,0))),0)</f>
        <v>0</v>
      </c>
      <c r="EG19" s="1054">
        <f t="array" ref="EG19">IFERROR(IF($EC19="SEGMENT",INDEX('Margin Guidence Table'!$A$1:$AG$10000,MATCH(1,('Margin Guidence Table'!$A$1:$A$10000=EA19)*('Margin Guidence Table'!$I$1:$I$10000&lt;=ROUND($DS$3,0))*('Margin Guidence Table'!$J$1:$J$10000&gt;=ROUND($DS$3,0)),0),MATCH("MDA_MEDIAN_MARGIN_GUIDENCE",'Margin Guidence Table'!$A$1:$AG$1,0)),INDEX('Margin Guidence Table'!$A$1:$AG$10000,MATCH(1,('Margin Guidence Table'!$A$1:$A$10000=EA19)*('Margin Guidence Table'!$I$1:$I$10000&lt;=ROUND($DS$3,0))*('Margin Guidence Table'!$J$1:$J$10000&gt;=ROUND($DS$3,0)),0),MATCH("DEFAULT_MDA_MEDIAN_MARGIN_GUIDENCE",'Margin Guidence Table'!$A$1:$AG$1,0))),0)</f>
        <v>0</v>
      </c>
      <c r="EH19" s="1054">
        <f t="array" ref="EH19">IFERROR(IF($EC19="SEGMENT",INDEX('Margin Guidence Table'!$A$1:$AG$10000,MATCH(1,('Margin Guidence Table'!$A$1:$A$10000=EA19)*('Margin Guidence Table'!$I$1:$I$10000&lt;=ROUND($DS$3,0))*('Margin Guidence Table'!$J$1:$J$10000&gt;=ROUND($DS$3,0)),0),MATCH("MDA_MAX_MARGIN_GUIDENCE",'Margin Guidence Table'!$A$1:$AG$1,0)),INDEX('Margin Guidence Table'!$A$1:$AG$10000,MATCH(1,('Margin Guidence Table'!$A$1:$A$10000=EA19)*('Margin Guidence Table'!$I$1:$I$10000&lt;=ROUND($DS$3,0))*('Margin Guidence Table'!$J$1:$J$10000&gt;=ROUND($DS$3,0)),0),MATCH("DEFAULT_MDA_MAX_MARGIN_GUIDENCE",'Margin Guidence Table'!$A$1:$AG$1,0))),0)</f>
        <v>0</v>
      </c>
      <c r="EI19" s="1054">
        <f t="array" ref="EI19">IFERROR(IF($EC19="SEGMENT",INDEX('Margin Guidence Table'!$A$1:$AG$10000,MATCH(1,('Margin Guidence Table'!$A$1:$A$10000=EA19)*('Margin Guidence Table'!$I$1:$I$10000&lt;=ROUND($DS$3,0))*('Margin Guidence Table'!$J$1:$J$10000&gt;=ROUND($DS$3,0)),0),MATCH("PA_PCT_SALES",'Margin Guidence Table'!$A$1:$AG$1,0)),INDEX('Margin Guidence Table'!$A$1:$AG$10000,MATCH(1,('Margin Guidence Table'!$A$1:$A$10000=EA19)*('Margin Guidence Table'!$I$1:$I$10000&lt;=ROUND($DS$3,0))*('Margin Guidence Table'!$J$1:$J$10000&gt;=ROUND($DS$3,0)),0),MATCH("DEFAULT_PA_PCT_SALES",'Margin Guidence Table'!$A$1:$AG$1,0))),0)</f>
        <v>0</v>
      </c>
      <c r="EJ19" s="1054">
        <f t="array" ref="EJ19">IFERROR(IF($EC19="SEGMENT",INDEX('Margin Guidence Table'!$A$1:$AG$10000,MATCH(1,('Margin Guidence Table'!$A$1:$A$10000=EA19)*('Margin Guidence Table'!$I$1:$I$10000&lt;=ROUND($DS$3,0))*('Margin Guidence Table'!$J$1:$J$10000&gt;=ROUND($DS$3,0)),0),MATCH("SELF_FUND_PCT_SALES",'Margin Guidence Table'!$A$1:$AG$1,0)),INDEX('Margin Guidence Table'!$A$1:$AG$10000,MATCH(1,('Margin Guidence Table'!$A$1:$A$10000=EA19)*('Margin Guidence Table'!$I$1:$I$10000&lt;=ROUND($DS$3,0))*('Margin Guidence Table'!$J$1:$J$10000&gt;=ROUND($DS$3,0)),0),MATCH("DEFAULT_SELF_FUND_PCT_SALES",'Margin Guidence Table'!$A$1:$AG$1,0))),0)</f>
        <v>0</v>
      </c>
      <c r="EK19" s="1054">
        <f t="array" ref="EK19">IFERROR(IF($EC19="SEGMENT",INDEX('Margin Guidence Table'!$A$1:$AG$10000,MATCH(1,('Margin Guidence Table'!$A$1:$A$10000=EA19)*('Margin Guidence Table'!$I$1:$I$10000&lt;=ROUND($DS$3,0))*('Margin Guidence Table'!$J$1:$J$10000&gt;=ROUND($DS$3,0)),0),MATCH("CIA_MEDIAN_MARGIN_GUIDENCE",'Margin Guidence Table'!$A$1:$AG$1,0)),INDEX('Margin Guidence Table'!$A$1:$AG$10000,MATCH(1,('Margin Guidence Table'!$A$1:$A$10000=EA19)*('Margin Guidence Table'!$I$1:$I$10000&lt;=ROUND($DS$3,0))*('Margin Guidence Table'!$J$1:$J$10000&gt;=ROUND($DS$3,0)),0),MATCH("DEFAULT_CIA_MEDIAN_MARGIN_GUIDENCE",'Margin Guidence Table'!$A$1:$AG$1,0))),0)</f>
        <v>0</v>
      </c>
      <c r="EL19" s="127"/>
      <c r="EM19" s="18">
        <f t="array" ref="EM19">IFERROR(IF($EZ19="SEGMENT",INDEX('Margin Guidence Table'!$A$1:$AG$10000,MATCH(1,('Margin Guidence Table'!$A$1:$A$10000=$EX19)*('Margin Guidence Table'!$I$1:$I$10000&lt;=ROUND($EP$3,0))*('Margin Guidence Table'!$J$1:$J$10000&gt;=ROUND($EP$3,0)),0),MATCH("PCT_SALES",'Margin Guidence Table'!$A$1:$AG$1,0)),INDEX('Margin Guidence Table'!$A$1:$AG$10000,MATCH(1,('Margin Guidence Table'!$A$1:$A$10000=$EX19)*('Margin Guidence Table'!$I$1:$I$10000&lt;=ROUND($EP$3,0))*('Margin Guidence Table'!$J$1:$J$10000&gt;=ROUND($EP$3,0)),0),MATCH("DEFAULT_PCT_SALES",'Margin Guidence Table'!$A$1:$AG$1,0))),0)</f>
        <v>0</v>
      </c>
      <c r="EN19" s="370" t="e">
        <f t="shared" si="34"/>
        <v>#DIV/0!</v>
      </c>
      <c r="EO19" s="100" t="s">
        <v>104</v>
      </c>
      <c r="EP19" s="92">
        <f>IFERROR(IF(AND($EP$2&lt;&gt;"Enter Spend&gt;&gt;&gt;",EQ7="EXISTING"),SUMIFS('Existing Customers'!$Q:$Q,'Existing Customers'!$A:$A,$EP$1,'Existing Customers'!$H:$H,$EO19)*$EP$4,$EP$3*$EN19),0)</f>
        <v>0</v>
      </c>
      <c r="EQ19" s="87">
        <f>IFERROR(IF(AND($EP$2&lt;&gt;"Enter Spend&gt;&gt;&gt;",EQ2="EXISTING"),SUMIFS('Existing Customers'!$N:$N,'Existing Customers'!$A:$A,$EP$1,'Existing Customers'!$H:$H,$EO19)*$EP$4,$EP19/$FA19),0)</f>
        <v>0</v>
      </c>
      <c r="ER19" s="93">
        <f>IFERROR(IF(AND($EP$2&lt;&gt;"Enter Spend&gt;&gt;&gt;",EQ2="EXISTING"),SUMIFS('Existing Customers'!$O:$O,'Existing Customers'!$H:$H,$EO19,'Existing Customers'!$A:$A,$EP$1)*$EP$4,$EQ19*$EP$8),0)</f>
        <v>0</v>
      </c>
      <c r="ES19" s="93">
        <f>IFERROR(IF(AND($EP$2&lt;&gt;"Enter Spend&gt;&gt;&gt;",EQ2="EXISTING"),SUMIFS('Existing Customers'!$P:$P,'Existing Customers'!$A:$A,$EP$1,'Existing Customers'!$H:$H,$EO19)*$EP$4,$EP19/$FB19),0)</f>
        <v>0</v>
      </c>
      <c r="ET19" s="94">
        <f>IFERROR(IF(AND($EP$2&lt;&gt;"Enter Spend&gt;&gt;&gt;",EQ2="EXISTING"),SUMIFS('Existing Customers'!$V:$V,'Existing Customers'!$H:$H,$EO19,'Existing Customers'!$A:$A,$EP$1)*$EP$4,0),0)</f>
        <v>0</v>
      </c>
      <c r="EU19" s="94">
        <f>IFERROR(IF(AND($EP$2&lt;&gt;"Enter Spend&gt;&gt;&gt;",EQ2="EXISTING"),SUMIFS('Existing Customers'!$R:$R,'Existing Customers'!$H:$H,$EO19,'Existing Customers'!$A:$A,$EP$1)*$EP$4,0),0)</f>
        <v>0</v>
      </c>
      <c r="EV19" s="1050">
        <f>IFERROR(IF(AND($EP$2&lt;&gt;"Enter Spend&gt;&gt;&gt;",EQ2="EXISTING"),SUMIFS('Existing Customers'!$S:$S,'Existing Customers'!$H:$H,$EO19,'Existing Customers'!$A:$A,$EP$1),FF19*EP19),0)</f>
        <v>0</v>
      </c>
      <c r="EW19" s="1050">
        <f>IFERROR(IF(AND($EP$2&lt;&gt;"Enter Spend&gt;&gt;&gt;",EQ2="EXISTING"),SUMIFS('Existing Customers'!$U:$U,'Existing Customers'!$H:$H,$EO19,'Existing Customers'!$A:$A,$EP$1),FG19*EP19),0)</f>
        <v>0</v>
      </c>
      <c r="EX19" s="1053" t="e">
        <f>_xlfn.CONCAT('Customer Inputs'!$AG$10,"_",EO19)</f>
        <v>#N/A</v>
      </c>
      <c r="EY19" s="1053">
        <f t="array" ref="EY19">IFERROR(INDEX('Margin Guidence Table'!$A$1:$AG$10000,MATCH(1,('Margin Guidence Table'!$A$1:$A$10000=EX19)*('Margin Guidence Table'!$I$1:$I$10000&lt;=ROUND($EP$3,0))*('Margin Guidence Table'!$J$1:$J$10000&gt;=ROUND($EP$3,0)),0),MATCH("DATA_POINTS",'Margin Guidence Table'!$A$1:$AG$1,0)),0)</f>
        <v>0</v>
      </c>
      <c r="EZ19" s="1050" t="str">
        <f t="shared" si="35"/>
        <v>DEFAULT</v>
      </c>
      <c r="FA19" s="1050">
        <f t="array" ref="FA19">IFERROR(IF($EZ19="SEGMENT",INDEX('Margin Guidence Table'!$A$1:$AG$10000,MATCH(1,('Margin Guidence Table'!$A$1:$A$10000=EX19)*('Margin Guidence Table'!$I$1:$I$10000&lt;=ROUND($EP$3,0))*('Margin Guidence Table'!$J$1:$J$10000&gt;=ROUND($EP$3,0)),0),MATCH("SALES_CASE",'Margin Guidence Table'!$A$1:$AG$1,0)),INDEX('Margin Guidence Table'!$A$1:$AG$10000,MATCH(1,('Margin Guidence Table'!$A$1:$A$10000=EX19)*('Margin Guidence Table'!$I$1:$I$10000&lt;=ROUND($EP$3,0))*('Margin Guidence Table'!$J$1:$J$10000&gt;=ROUND($EP$3,0)),0),MATCH("DEFAULT_SALES_CASE",'Margin Guidence Table'!$A$1:$AG$1,0))),0)</f>
        <v>0</v>
      </c>
      <c r="FB19" s="1050" cm="1">
        <f t="array" ref="FB19">IFERROR(IF($EZ19="SEGMENT",INDEX('Margin Guidence Table'!$A$1:$AG$10000,MATCH(1,('Margin Guidence Table'!$A$1:$A$10000=EX19)*('Margin Guidence Table'!$I$1:$I$10000&lt;=ROUND($EP$3,0))*('Margin Guidence Table'!$J$1:$J$10000&gt;=ROUND($EP$3,0)),0),MATCH("SALES_LBS",'Margin Guidence Table'!$A$1:$AG$1,0)),INDEX('Margin Guidence Table'!$A$1:$AG$10000,MATCH(1,('Margin Guidence Table'!$A$1:$A$10000=EX19)*('Margin Guidence Table'!$I$1:$I$10000&lt;=ROUND($EP$3,0))*('Margin Guidence Table'!$J$1:$J$10000&gt;=ROUND($EP$3,0)),0),MATCH("DEFAULT_SALES_LBS",'Margin Guidence Table'!$A$1:$AG$1,0))),0)</f>
        <v>0</v>
      </c>
      <c r="FC19" s="1054">
        <f t="array" ref="FC19">IFERROR(IF($EZ19="SEGMENT",INDEX('Margin Guidence Table'!$A$1:$AG$10000,MATCH(1,('Margin Guidence Table'!$A$1:$A$10000=EX19)*('Margin Guidence Table'!$I$1:$I$10000&lt;=ROUND($EP$3,0))*('Margin Guidence Table'!$J$1:$J$10000&gt;=ROUND($EP$3,0)),0),MATCH("MDA_MIN_MARGIN_GUIDENCE",'Margin Guidence Table'!$A$1:$AG$1,0)),INDEX('Margin Guidence Table'!$A$1:$AG$10000,MATCH(1,('Margin Guidence Table'!$A$1:$A$10000=EX19)*('Margin Guidence Table'!$I$1:$I$10000&lt;=ROUND($EP$3,0))*('Margin Guidence Table'!$J$1:$J$10000&gt;=ROUND($EP$3,0)),0),MATCH("DEFAULT_MDA_MIN_MARGIN_GUIDENCE",'Margin Guidence Table'!$A$1:$AG$1,0))),0)</f>
        <v>0</v>
      </c>
      <c r="FD19" s="1054">
        <f t="array" ref="FD19">IFERROR(IF($EZ19="SEGMENT",INDEX('Margin Guidence Table'!$A$1:$AG$10000,MATCH(1,('Margin Guidence Table'!$A$1:$A$10000=EX19)*('Margin Guidence Table'!$I$1:$I$10000&lt;=ROUND($EP$3,0))*('Margin Guidence Table'!$J$1:$J$10000&gt;=ROUND($EP$3,0)),0),MATCH("MDA_MEDIAN_MARGIN_GUIDENCE",'Margin Guidence Table'!$A$1:$AG$1,0)),INDEX('Margin Guidence Table'!$A$1:$AG$10000,MATCH(1,('Margin Guidence Table'!$A$1:$A$10000=EX19)*('Margin Guidence Table'!$I$1:$I$10000&lt;=ROUND($EP$3,0))*('Margin Guidence Table'!$J$1:$J$10000&gt;=ROUND($EP$3,0)),0),MATCH("DEFAULT_MDA_MEDIAN_MARGIN_GUIDENCE",'Margin Guidence Table'!$A$1:$AG$1,0))),0)</f>
        <v>0</v>
      </c>
      <c r="FE19" s="1054">
        <f t="array" ref="FE19">IFERROR(IF($EZ19="SEGMENT",INDEX('Margin Guidence Table'!$A$1:$AG$10000,MATCH(1,('Margin Guidence Table'!$A$1:$A$10000=EX19)*('Margin Guidence Table'!$I$1:$I$10000&lt;=ROUND($EP$3,0))*('Margin Guidence Table'!$J$1:$J$10000&gt;=ROUND($EP$3,0)),0),MATCH("MDA_MAX_MARGIN_GUIDENCE",'Margin Guidence Table'!$A$1:$AG$1,0)),INDEX('Margin Guidence Table'!$A$1:$AG$10000,MATCH(1,('Margin Guidence Table'!$A$1:$A$10000=EX19)*('Margin Guidence Table'!$I$1:$I$10000&lt;=ROUND($EP$3,0))*('Margin Guidence Table'!$J$1:$J$10000&gt;=ROUND($EP$3,0)),0),MATCH("DEFAULT_MDA_MAX_MARGIN_GUIDENCE",'Margin Guidence Table'!$A$1:$AG$1,0))),0)</f>
        <v>0</v>
      </c>
      <c r="FF19" s="1054">
        <f t="array" ref="FF19">IFERROR(IF($EZ19="SEGMENT",INDEX('Margin Guidence Table'!$A$1:$AG$10000,MATCH(1,('Margin Guidence Table'!$A$1:$A$10000=EX19)*('Margin Guidence Table'!$I$1:$I$10000&lt;=ROUND($EP$3,0))*('Margin Guidence Table'!$J$1:$J$10000&gt;=ROUND($EP$3,0)),0),MATCH("PA_PCT_SALES",'Margin Guidence Table'!$A$1:$AG$1,0)),INDEX('Margin Guidence Table'!$A$1:$AG$10000,MATCH(1,('Margin Guidence Table'!$A$1:$A$10000=EX19)*('Margin Guidence Table'!$I$1:$I$10000&lt;=ROUND($EP$3,0))*('Margin Guidence Table'!$J$1:$J$10000&gt;=ROUND($EP$3,0)),0),MATCH("DEFAULT_PA_PCT_SALES",'Margin Guidence Table'!$A$1:$AG$1,0))),0)</f>
        <v>0</v>
      </c>
      <c r="FG19" s="1054">
        <f t="array" ref="FG19">IFERROR(IF($EZ19="SEGMENT",INDEX('Margin Guidence Table'!$A$1:$AG$10000,MATCH(1,('Margin Guidence Table'!$A$1:$A$10000=EX19)*('Margin Guidence Table'!$I$1:$I$10000&lt;=ROUND($EP$3,0))*('Margin Guidence Table'!$J$1:$J$10000&gt;=ROUND($EP$3,0)),0),MATCH("SELF_FUND_PCT_SALES",'Margin Guidence Table'!$A$1:$AG$1,0)),INDEX('Margin Guidence Table'!$A$1:$AG$10000,MATCH(1,('Margin Guidence Table'!$A$1:$A$10000=EX19)*('Margin Guidence Table'!$I$1:$I$10000&lt;=ROUND($EP$3,0))*('Margin Guidence Table'!$J$1:$J$10000&gt;=ROUND($EP$3,0)),0),MATCH("DEFAULT_SELF_FUND_PCT_SALES",'Margin Guidence Table'!$A$1:$AG$1,0))),0)</f>
        <v>0</v>
      </c>
      <c r="FH19" s="1054">
        <f t="array" ref="FH19">IFERROR(IF($EZ19="SEGMENT",INDEX('Margin Guidence Table'!$A$1:$AG$10000,MATCH(1,('Margin Guidence Table'!$A$1:$A$10000=EX19)*('Margin Guidence Table'!$I$1:$I$10000&lt;=ROUND($EP$3,0))*('Margin Guidence Table'!$J$1:$J$10000&gt;=ROUND($EP$3,0)),0),MATCH("CIA_MEDIAN_MARGIN_GUIDENCE",'Margin Guidence Table'!$A$1:$AG$1,0)),INDEX('Margin Guidence Table'!$A$1:$AG$10000,MATCH(1,('Margin Guidence Table'!$A$1:$A$10000=EX19)*('Margin Guidence Table'!$I$1:$I$10000&lt;=ROUND($EP$3,0))*('Margin Guidence Table'!$J$1:$J$10000&gt;=ROUND($EP$3,0)),0),MATCH("DEFAULT_CIA_MEDIAN_MARGIN_GUIDENCE",'Margin Guidence Table'!$A$1:$AG$1,0))),0)</f>
        <v>0</v>
      </c>
      <c r="FI19" s="127"/>
      <c r="FJ19" s="18">
        <f t="array" ref="FJ19">IFERROR(IF($FW19="SEGMENT",INDEX('Margin Guidence Table'!$A$1:$AG$10000,MATCH(1,('Margin Guidence Table'!$A$1:$A$10000=$FU19)*('Margin Guidence Table'!$I$1:$I$10000&lt;=ROUND($FM$3,0))*('Margin Guidence Table'!$J$1:$J$10000&gt;=ROUND($FM$3,0)),0),MATCH("PCT_SALES",'Margin Guidence Table'!$A$1:$AG$1,0)),INDEX('Margin Guidence Table'!$A$1:$AG$10000,MATCH(1,('Margin Guidence Table'!$A$1:$A$10000=$FU19)*('Margin Guidence Table'!$I$1:$I$10000&lt;=ROUND($FM$3,0))*('Margin Guidence Table'!$J$1:$J$10000&gt;=ROUND($FM$3,0)),0),MATCH("DEFAULT_PCT_SALES",'Margin Guidence Table'!$A$1:$AG$1,0))),0)</f>
        <v>0</v>
      </c>
      <c r="FK19" s="370" t="e">
        <f t="shared" si="36"/>
        <v>#DIV/0!</v>
      </c>
      <c r="FL19" s="100" t="s">
        <v>104</v>
      </c>
      <c r="FM19" s="92">
        <f>IFERROR(IF(AND($FM$2&lt;&gt;"Enter Spend&gt;&gt;&gt;",FN7="EXISTING"),SUMIFS('Existing Customers'!$Q:$Q,'Existing Customers'!$A:$A,$FM$1,'Existing Customers'!$H:$H,$FL19)*$FM$4,$FM$3*$FK19),0)</f>
        <v>0</v>
      </c>
      <c r="FN19" s="87">
        <f>IFERROR(IF(AND($FM$2&lt;&gt;"Enter Spend&gt;&gt;&gt;",FN2="EXISTING"),SUMIFS('Existing Customers'!$N:$N,'Existing Customers'!$A:$A,$FM$1,'Existing Customers'!$H:$H,$FL19)*$FM$4,$FM19/$FX19),0)</f>
        <v>0</v>
      </c>
      <c r="FO19" s="93">
        <f>IFERROR(IF(AND($FM$2&lt;&gt;"Enter Spend&gt;&gt;&gt;",FN2="EXISTING"),SUMIFS('Existing Customers'!$O:$O,'Existing Customers'!$H:$H,$FL19,'Existing Customers'!$A:$A,$FM$1)*$FM$4,$FN19*$FM$8),0)</f>
        <v>0</v>
      </c>
      <c r="FP19" s="93">
        <f>IFERROR(IF(AND($FM$2&lt;&gt;"Enter Spend&gt;&gt;&gt;",FN2="EXISTING"),SUMIFS('Existing Customers'!$P:$P,'Existing Customers'!$A:$A,$FM$1,'Existing Customers'!$H:$H,$FL19)*$FM$4,$FM19/$FY19),0)</f>
        <v>0</v>
      </c>
      <c r="FQ19" s="94">
        <f>IFERROR(IF(AND($FM$2&lt;&gt;"Enter Spend&gt;&gt;&gt;",FN2="EXISTING"),SUMIFS('Existing Customers'!$V:$V,'Existing Customers'!$H:$H,$FL19,'Existing Customers'!$A:$A,$FM$1)*$FM$4,0),0)</f>
        <v>0</v>
      </c>
      <c r="FR19" s="94">
        <f>IFERROR(IF(AND($FM$2&lt;&gt;"Enter Spend&gt;&gt;&gt;",FN2="EXISTING"),SUMIFS('Existing Customers'!$R:$R,'Existing Customers'!$H:$H,$FL19,'Existing Customers'!$A:$A,$FM$1)*$FM$4,0),0)</f>
        <v>0</v>
      </c>
      <c r="FS19" s="1050">
        <f>IFERROR(IF(AND($FM$2&lt;&gt;"Enter Spend&gt;&gt;&gt;",FN2="EXISTING"),SUMIFS('Existing Customers'!$S:$S,'Existing Customers'!$H:$H,$FL19,'Existing Customers'!$A:$A,$FM$1),GC19*FM19),0)</f>
        <v>0</v>
      </c>
      <c r="FT19" s="1050">
        <f>IFERROR(IF(AND($FM$2&lt;&gt;"Enter Spend&gt;&gt;&gt;",FN2="EXISTING"),SUMIFS('Existing Customers'!$U:$U,'Existing Customers'!$H:$H,$FL19,'Existing Customers'!$A:$A,$FM$1),GD19*FM19),0)</f>
        <v>0</v>
      </c>
      <c r="FU19" s="1053" t="e">
        <f>_xlfn.CONCAT('Customer Inputs'!$AG$11,"_",FL19)</f>
        <v>#N/A</v>
      </c>
      <c r="FV19" s="1053">
        <f t="array" ref="FV19">IFERROR(INDEX('Margin Guidence Table'!$A$1:$AG$10000,MATCH(1,('Margin Guidence Table'!$A$1:$A$10000=FU19)*('Margin Guidence Table'!$I$1:$I$10000&lt;=ROUND($FM$3,0))*('Margin Guidence Table'!$J$1:$J$10000&gt;=ROUND($FM$3,0)),0),MATCH("DATA_POINTS",'Margin Guidence Table'!$A$1:$AG$1,0)),0)</f>
        <v>0</v>
      </c>
      <c r="FW19" s="1050" t="str">
        <f t="shared" si="37"/>
        <v>DEFAULT</v>
      </c>
      <c r="FX19" s="1050">
        <f t="array" ref="FX19">IFERROR(IF($FW19="SEGMENT",INDEX('Margin Guidence Table'!$A$1:$AG$10000,MATCH(1,('Margin Guidence Table'!$A$1:$A$10000=FU19)*('Margin Guidence Table'!$I$1:$I$10000&lt;=ROUND($FM$3,0))*('Margin Guidence Table'!$J$1:$J$10000&gt;=ROUND($FM$3,0)),0),MATCH("SALES_CASE",'Margin Guidence Table'!$A$1:$AG$1,0)),INDEX('Margin Guidence Table'!$A$1:$AG$10000,MATCH(1,('Margin Guidence Table'!$A$1:$A$10000=FU19)*('Margin Guidence Table'!$I$1:$I$10000&lt;=ROUND($FM$3,0))*('Margin Guidence Table'!$J$1:$J$10000&gt;=ROUND($FM$3,0)),0),MATCH("DEFAULT_SALES_CASE",'Margin Guidence Table'!$A$1:$AG$1,0))),0)</f>
        <v>0</v>
      </c>
      <c r="FY19" s="1050">
        <f t="array" ref="FY19">IFERROR(IF($FW19="SEGMENT",INDEX('Margin Guidence Table'!$A$1:$AG$10000,MATCH(1,('Margin Guidence Table'!$A$1:$A$10000=FU19)*('Margin Guidence Table'!$I$1:$I$10000&lt;=ROUND($FM$3,0))*('Margin Guidence Table'!$J$1:$J$10000&gt;=ROUND($FM$3,0)),0),MATCH("SALES_LBS",'Margin Guidence Table'!$A$1:$AG$1,0)),INDEX('Margin Guidence Table'!$A$1:$AG$10000,MATCH(1,('Margin Guidence Table'!$A$1:$A$10000=FU19)*('Margin Guidence Table'!$I$1:$I$10000&lt;=ROUND($FM$3,0))*('Margin Guidence Table'!$J$1:$J$10000&gt;=ROUND($FM$3,0)),0),MATCH("DEFAULT_SALES_LBS",'Margin Guidence Table'!$A$1:$AG$1,0))),0)</f>
        <v>0</v>
      </c>
      <c r="FZ19" s="1054">
        <f t="array" ref="FZ19">IFERROR(IF($FW19="SEGMENT",INDEX('Margin Guidence Table'!$A$1:$AG$10000,MATCH(1,('Margin Guidence Table'!$A$1:$A$10000=FU19)*('Margin Guidence Table'!$I$1:$I$10000&lt;=ROUND($FM$3,0))*('Margin Guidence Table'!$J$1:$J$10000&gt;=ROUND($FM$3,0)),0),MATCH("MDA_MIN_MARGIN_GUIDENCE",'Margin Guidence Table'!$A$1:$AG$1,0)),INDEX('Margin Guidence Table'!$A$1:$AG$10000,MATCH(1,('Margin Guidence Table'!$A$1:$A$10000=FU19)*('Margin Guidence Table'!$I$1:$I$10000&lt;=ROUND($FM$3,0))*('Margin Guidence Table'!$J$1:$J$10000&gt;=ROUND($FM$3,0)),0),MATCH("DEFAULT_MDA_MIN_MARGIN_GUIDENCE",'Margin Guidence Table'!$A$1:$AG$1,0))),0)</f>
        <v>0</v>
      </c>
      <c r="GA19" s="1054">
        <f t="array" ref="GA19">IFERROR(IF($FW19="SEGMENT",INDEX('Margin Guidence Table'!$A$1:$AG$10000,MATCH(1,('Margin Guidence Table'!$A$1:$A$10000=FU19)*('Margin Guidence Table'!$I$1:$I$10000&lt;=ROUND($FM$3,0))*('Margin Guidence Table'!$J$1:$J$10000&gt;=ROUND($FM$3,0)),0),MATCH("MDA_MEDIAN_MARGIN_GUIDENCE",'Margin Guidence Table'!$A$1:$AG$1,0)),INDEX('Margin Guidence Table'!$A$1:$AG$10000,MATCH(1,('Margin Guidence Table'!$A$1:$A$10000=FU19)*('Margin Guidence Table'!$I$1:$I$10000&lt;=ROUND($FM$3,0))*('Margin Guidence Table'!$J$1:$J$10000&gt;=ROUND($FM$3,0)),0),MATCH("DEFAULT_MDA_MEDIAN_MARGIN_GUIDENCE",'Margin Guidence Table'!$A$1:$AG$1,0))),0)</f>
        <v>0</v>
      </c>
      <c r="GB19" s="1054">
        <f t="array" ref="GB19">IFERROR(IF($FW19="SEGMENT",INDEX('Margin Guidence Table'!$A$1:$AG$10000,MATCH(1,('Margin Guidence Table'!$A$1:$A$10000=FU19)*('Margin Guidence Table'!$I$1:$I$10000&lt;=ROUND($FM$3,0))*('Margin Guidence Table'!$J$1:$J$10000&gt;=ROUND($FM$3,0)),0),MATCH("MDA_MAX_MARGIN_GUIDENCE",'Margin Guidence Table'!$A$1:$AG$1,0)),INDEX('Margin Guidence Table'!$A$1:$AG$10000,MATCH(1,('Margin Guidence Table'!$A$1:$A$10000=FU19)*('Margin Guidence Table'!$I$1:$I$10000&lt;=ROUND($FM$3,0))*('Margin Guidence Table'!$J$1:$J$10000&gt;=ROUND($FM$3,0)),0),MATCH("DEFAULT_MDA_MAX_MARGIN_GUIDENCE",'Margin Guidence Table'!$A$1:$AG$1,0))),0)</f>
        <v>0</v>
      </c>
      <c r="GC19" s="1054">
        <f t="array" ref="GC19">IFERROR(IF($FW19="SEGMENT",INDEX('Margin Guidence Table'!$A$1:$AG$10000,MATCH(1,('Margin Guidence Table'!$A$1:$A$10000=FU19)*('Margin Guidence Table'!$I$1:$I$10000&lt;=ROUND($FM$3,0))*('Margin Guidence Table'!$J$1:$J$10000&gt;=ROUND($FM$3,0)),0),MATCH("PA_PCT_SALES",'Margin Guidence Table'!$A$1:$AG$1,0)),INDEX('Margin Guidence Table'!$A$1:$AG$10000,MATCH(1,('Margin Guidence Table'!$A$1:$A$10000=FU19)*('Margin Guidence Table'!$I$1:$I$10000&lt;=ROUND($FM$3,0))*('Margin Guidence Table'!$J$1:$J$10000&gt;=ROUND($FM$3,0)),0),MATCH("DEFAULT_PA_PCT_SALES",'Margin Guidence Table'!$A$1:$AG$1,0))),0)</f>
        <v>0</v>
      </c>
      <c r="GD19" s="1054">
        <f t="array" ref="GD19">IFERROR(IF($FW19="SEGMENT",INDEX('Margin Guidence Table'!$A$1:$AG$10000,MATCH(1,('Margin Guidence Table'!$A$1:$A$10000=FU19)*('Margin Guidence Table'!$I$1:$I$10000&lt;=ROUND($FM$3,0))*('Margin Guidence Table'!$J$1:$J$10000&gt;=ROUND($FM$3,0)),0),MATCH("SELF_FUND_PCT_SALES",'Margin Guidence Table'!$A$1:$AG$1,0)),INDEX('Margin Guidence Table'!$A$1:$AG$10000,MATCH(1,('Margin Guidence Table'!$A$1:$A$10000=FU19)*('Margin Guidence Table'!$I$1:$I$10000&lt;=ROUND($FM$3,0))*('Margin Guidence Table'!$J$1:$J$10000&gt;=ROUND($FM$3,0)),0),MATCH("DEFAULT_SELF_FUND_PCT_SALES",'Margin Guidence Table'!$A$1:$AG$1,0))),0)</f>
        <v>0</v>
      </c>
      <c r="GE19" s="1054">
        <f t="array" ref="GE19">IFERROR(IF($FW19="SEGMENT",INDEX('Margin Guidence Table'!$A$1:$AG$10000,MATCH(1,('Margin Guidence Table'!$A$1:$A$10000=FU19)*('Margin Guidence Table'!$I$1:$I$10000&lt;=ROUND($FM$3,0))*('Margin Guidence Table'!$J$1:$J$10000&gt;=ROUND($FM$3,0)),0),MATCH("CIA_MEDIAN_MARGIN_GUIDENCE",'Margin Guidence Table'!$A$1:$AG$1,0)),INDEX('Margin Guidence Table'!$A$1:$AG$10000,MATCH(1,('Margin Guidence Table'!$A$1:$A$10000=FU19)*('Margin Guidence Table'!$I$1:$I$10000&lt;=ROUND($FM$3,0))*('Margin Guidence Table'!$J$1:$J$10000&gt;=ROUND($FM$3,0)),0),MATCH("DEFAULT_CIA_MEDIAN_MARGIN_GUIDENCE",'Margin Guidence Table'!$A$1:$AG$1,0))),0)</f>
        <v>0</v>
      </c>
      <c r="GF19" s="127"/>
      <c r="GG19" s="18">
        <f t="array" ref="GG19">IFERROR(IF($GT19="SEGMENT",INDEX('Margin Guidence Table'!$A$1:$AG$10000,MATCH(1,('Margin Guidence Table'!$A$1:$A$10000=$GR19)*('Margin Guidence Table'!$I$1:$I$10000&lt;=ROUND($GJ$3,0))*('Margin Guidence Table'!$J$1:$J$10000&gt;=ROUND($GJ$3,0)),0),MATCH("PCT_SALES",'Margin Guidence Table'!$A$1:$AG$1,0)),INDEX('Margin Guidence Table'!$A$1:$AG$10000,MATCH(1,('Margin Guidence Table'!$A$1:$A$10000=$GR19)*('Margin Guidence Table'!$I$1:$I$10000&lt;=ROUND($GJ$3,0))*('Margin Guidence Table'!$J$1:$J$10000&gt;=ROUND($GJ$3,0)),0),MATCH("DEFAULT_PCT_SALES",'Margin Guidence Table'!$A$1:$AG$1,0))),0)</f>
        <v>0</v>
      </c>
      <c r="GH19" s="370" t="e">
        <f t="shared" si="38"/>
        <v>#DIV/0!</v>
      </c>
      <c r="GI19" s="100" t="s">
        <v>104</v>
      </c>
      <c r="GJ19" s="92">
        <f>IFERROR(IF(AND($GJ$2&lt;&gt;"Enter Spend&gt;&gt;&gt;",GK7="EXISTING"),SUMIFS('Existing Customers'!$Q:$Q,'Existing Customers'!$A:$A,$GJ$1,'Existing Customers'!$H:$H,$GI19)*$GJ$4,$GJ$3*$GH19),0)</f>
        <v>0</v>
      </c>
      <c r="GK19" s="87">
        <f>IFERROR(IF(AND($GJ$2&lt;&gt;"Enter Spend&gt;&gt;&gt;",GK2="EXISTING"),SUMIFS('Existing Customers'!$N:$N,'Existing Customers'!$A:$A,$GJ$1,'Existing Customers'!$H:$H,$GI19)*$GJ$4,$GJ19/$GU19),0)</f>
        <v>0</v>
      </c>
      <c r="GL19" s="93">
        <f>IFERROR(IF(AND($GJ$2&lt;&gt;"Enter Spend&gt;&gt;&gt;",GK2="EXISTING"),SUMIFS('Existing Customers'!$O:$O,'Existing Customers'!$H:$H,$GI19,'Existing Customers'!$A:$A,$GJ$1)*$GJ$4,$GK19*$GJ$8),0)</f>
        <v>0</v>
      </c>
      <c r="GM19" s="93">
        <f>IFERROR(IF(AND($GJ$2&lt;&gt;"Enter Spend&gt;&gt;&gt;",GK2="EXISTING"),SUMIFS('Existing Customers'!$P:$P,'Existing Customers'!$A:$A,$GJ$1,'Existing Customers'!$H:$H,$GI19)*$GJ$4,$GJ19/$GV19),0)</f>
        <v>0</v>
      </c>
      <c r="GN19" s="94">
        <f>IFERROR(IF(AND($GJ$2&lt;&gt;"Enter Spend&gt;&gt;&gt;",GK2="EXISTING"),SUMIFS('Existing Customers'!$V:$V,'Existing Customers'!$H:$H,$GI19,'Existing Customers'!$A:$A,$GJ$1)*$GJ$4,0),0)</f>
        <v>0</v>
      </c>
      <c r="GO19" s="94">
        <f>IFERROR(IF(AND($GJ$2&lt;&gt;"Enter Spend&gt;&gt;&gt;",GK2="EXISTING"),SUMIFS('Existing Customers'!$R:$R,'Existing Customers'!$H:$H,$GI19,'Existing Customers'!$A:$A,$GJ$1)*$GJ$4,0),0)</f>
        <v>0</v>
      </c>
      <c r="GP19" s="1050">
        <f>IFERROR(IF(AND($GJ$2&lt;&gt;"Enter Spend&gt;&gt;&gt;",GK2="EXISTING"),SUMIFS('Existing Customers'!$S:$S,'Existing Customers'!$H:$H,$GI19,'Existing Customers'!$A:$A,$GJ$1),GZ19*GJ19),0)</f>
        <v>0</v>
      </c>
      <c r="GQ19" s="1050">
        <f>IFERROR(IF(AND($GJ$2&lt;&gt;"Enter Spend&gt;&gt;&gt;",GK2="EXISTING"),SUMIFS('Existing Customers'!$U:$U,'Existing Customers'!$H:$H,$GI19,'Existing Customers'!$A:$A,$GJ$1),HA19*GJ19),0)</f>
        <v>0</v>
      </c>
      <c r="GR19" s="1053" t="e">
        <f>_xlfn.CONCAT('Customer Inputs'!$AG$12,"_",GI19)</f>
        <v>#N/A</v>
      </c>
      <c r="GS19" s="1053">
        <f t="array" ref="GS19">IFERROR(INDEX('Margin Guidence Table'!$A$1:$AG$10000,MATCH(1,('Margin Guidence Table'!$A$1:$A$10000=GR19)*('Margin Guidence Table'!$I$1:$I$10000&lt;=ROUND($GJ$3,0))*('Margin Guidence Table'!$J$1:$J$10000&gt;=ROUND($GJ$3,0)),0),MATCH("DATA_POINTS",'Margin Guidence Table'!$A$1:$AG$1,0)),0)</f>
        <v>0</v>
      </c>
      <c r="GT19" s="1050" t="str">
        <f t="shared" si="39"/>
        <v>DEFAULT</v>
      </c>
      <c r="GU19" s="1050">
        <f t="array" ref="GU19">IFERROR(IF($GT19="SEGMENT",INDEX('Margin Guidence Table'!$A$1:$AG$10000,MATCH(1,('Margin Guidence Table'!$A$1:$A$10000=GR19)*('Margin Guidence Table'!$I$1:$I$10000&lt;=ROUND($GJ$3,0))*('Margin Guidence Table'!$J$1:$J$10000&gt;=ROUND($GJ$3,0)),0),MATCH("SALES_CASE",'Margin Guidence Table'!$A$1:$AG$1,0)),INDEX('Margin Guidence Table'!$A$1:$AG$10000,MATCH(1,('Margin Guidence Table'!$A$1:$A$10000=GR19)*('Margin Guidence Table'!$I$1:$I$10000&lt;=ROUND($GJ$3,0))*('Margin Guidence Table'!$J$1:$J$10000&gt;=ROUND($GJ$3,0)),0),MATCH("DEFAULT_SALES_CASE",'Margin Guidence Table'!$A$1:$AG$1,0))),0)</f>
        <v>0</v>
      </c>
      <c r="GV19" s="1050">
        <f t="array" ref="GV19">IFERROR(IF($GT19="SEGMENT",INDEX('Margin Guidence Table'!$A$1:$AG$10000,MATCH(1,('Margin Guidence Table'!$A$1:$A$10000=GR19)*('Margin Guidence Table'!$I$1:$I$10000&lt;=ROUND($GJ$3,0))*('Margin Guidence Table'!$J$1:$J$10000&gt;=ROUND($GJ$3,0)),0),MATCH("SALES_LBS",'Margin Guidence Table'!$A$1:$AG$1,0)),INDEX('Margin Guidence Table'!$A$1:$AG$10000,MATCH(1,('Margin Guidence Table'!$A$1:$A$10000=GR19)*('Margin Guidence Table'!$I$1:$I$10000&lt;=ROUND($GJ$3,0))*('Margin Guidence Table'!$J$1:$J$10000&gt;=ROUND($GJ$3,0)),0),MATCH("DEFAULT_SALES_LBS",'Margin Guidence Table'!$A$1:$AG$1,0))),0)</f>
        <v>0</v>
      </c>
      <c r="GW19" s="1054">
        <f t="array" ref="GW19">IFERROR(IF($GT19="SEGMENT",INDEX('Margin Guidence Table'!$A$1:$AG$10000,MATCH(1,('Margin Guidence Table'!$A$1:$A$10000=GR19)*('Margin Guidence Table'!$I$1:$I$10000&lt;=ROUND($GJ$3,0))*('Margin Guidence Table'!$J$1:$J$10000&gt;=ROUND($GJ$3,0)),0),MATCH("MDA_MIN_MARGIN_GUIDENCE",'Margin Guidence Table'!$A$1:$AG$1,0)),INDEX('Margin Guidence Table'!$A$1:$AG$10000,MATCH(1,('Margin Guidence Table'!$A$1:$A$10000=GR19)*('Margin Guidence Table'!$I$1:$I$10000&lt;=ROUND($GJ$3,0))*('Margin Guidence Table'!$J$1:$J$10000&gt;=ROUND($GJ$3,0)),0),MATCH("DEFAULT_MDA_MIN_MARGIN_GUIDENCE",'Margin Guidence Table'!$A$1:$AG$1,0))),0)</f>
        <v>0</v>
      </c>
      <c r="GX19" s="1054">
        <f t="array" ref="GX19">IFERROR(IF($GT19="SEGMENT",INDEX('Margin Guidence Table'!$A$1:$AG$10000,MATCH(1,('Margin Guidence Table'!$A$1:$A$10000=GR19)*('Margin Guidence Table'!$I$1:$I$10000&lt;=ROUND($GJ$3,0))*('Margin Guidence Table'!$J$1:$J$10000&gt;=ROUND($GJ$3,0)),0),MATCH("MDA_MEDIAN_MARGIN_GUIDENCE",'Margin Guidence Table'!$A$1:$AG$1,0)),INDEX('Margin Guidence Table'!$A$1:$AG$10000,MATCH(1,('Margin Guidence Table'!$A$1:$A$10000=GR19)*('Margin Guidence Table'!$I$1:$I$10000&lt;=ROUND($GJ$3,0))*('Margin Guidence Table'!$J$1:$J$10000&gt;=ROUND($GJ$3,0)),0),MATCH("DEFAULT_MDA_MEDIAN_MARGIN_GUIDENCE",'Margin Guidence Table'!$A$1:$AG$1,0))),0)</f>
        <v>0</v>
      </c>
      <c r="GY19" s="1054">
        <f t="array" ref="GY19">IFERROR(IF($GT19="SEGMENT",INDEX('Margin Guidence Table'!$A$1:$AG$10000,MATCH(1,('Margin Guidence Table'!$A$1:$A$10000=GR19)*('Margin Guidence Table'!$I$1:$I$10000&lt;=ROUND($GJ$3,0))*('Margin Guidence Table'!$J$1:$J$10000&gt;=ROUND($GJ$3,0)),0),MATCH("MDA_MAX_MARGIN_GUIDENCE",'Margin Guidence Table'!$A$1:$AG$1,0)),INDEX('Margin Guidence Table'!$A$1:$AG$10000,MATCH(1,('Margin Guidence Table'!$A$1:$A$10000=GR19)*('Margin Guidence Table'!$I$1:$I$10000&lt;=ROUND($GJ$3,0))*('Margin Guidence Table'!$J$1:$J$10000&gt;=ROUND($GJ$3,0)),0),MATCH("DEFAULT_MDA_MAX_MARGIN_GUIDENCE",'Margin Guidence Table'!$A$1:$AG$1,0))),0)</f>
        <v>0</v>
      </c>
      <c r="GZ19" s="1054">
        <f t="array" ref="GZ19">IFERROR(IF($GT19="SEGMENT",INDEX('Margin Guidence Table'!$A$1:$AG$10000,MATCH(1,('Margin Guidence Table'!$A$1:$A$10000=GR19)*('Margin Guidence Table'!$I$1:$I$10000&lt;=ROUND($GJ$3,0))*('Margin Guidence Table'!$J$1:$J$10000&gt;=ROUND($GJ$3,0)),0),MATCH("PA_PCT_SALES",'Margin Guidence Table'!$A$1:$AG$1,0)),INDEX('Margin Guidence Table'!$A$1:$AG$10000,MATCH(1,('Margin Guidence Table'!$A$1:$A$10000=GR19)*('Margin Guidence Table'!$I$1:$I$10000&lt;=ROUND($GJ$3,0))*('Margin Guidence Table'!$J$1:$J$10000&gt;=ROUND($GJ$3,0)),0),MATCH("DEFAULT_PA_PCT_SALES",'Margin Guidence Table'!$A$1:$AG$1,0))),0)</f>
        <v>0</v>
      </c>
      <c r="HA19" s="1054">
        <f t="array" ref="HA19">IFERROR(IF($GT19="SEGMENT",INDEX('Margin Guidence Table'!$A$1:$AG$10000,MATCH(1,('Margin Guidence Table'!$A$1:$A$10000=GR19)*('Margin Guidence Table'!$I$1:$I$10000&lt;=ROUND($GJ$3,0))*('Margin Guidence Table'!$J$1:$J$10000&gt;=ROUND($GJ$3,0)),0),MATCH("SELF_FUND_PCT_SALES",'Margin Guidence Table'!$A$1:$AG$1,0)),INDEX('Margin Guidence Table'!$A$1:$AG$10000,MATCH(1,('Margin Guidence Table'!$A$1:$A$10000=GR19)*('Margin Guidence Table'!$I$1:$I$10000&lt;=ROUND($GJ$3,0))*('Margin Guidence Table'!$J$1:$J$10000&gt;=ROUND($GJ$3,0)),0),MATCH("DEFAULT_SELF_FUND_PCT_SALES",'Margin Guidence Table'!$A$1:$AG$1,0))),0)</f>
        <v>0</v>
      </c>
      <c r="HB19" s="1054">
        <f t="array" ref="HB19">IFERROR(IF($GT19="SEGMENT",INDEX('Margin Guidence Table'!$A$1:$AG$10000,MATCH(1,('Margin Guidence Table'!$A$1:$A$10000=GR19)*('Margin Guidence Table'!$I$1:$I$10000&lt;=ROUND($GJ$3,0))*('Margin Guidence Table'!$J$1:$J$10000&gt;=ROUND($GJ$3,0)),0),MATCH("CIA_MEDIAN_MARGIN_GUIDENCE",'Margin Guidence Table'!$A$1:$AG$1,0)),INDEX('Margin Guidence Table'!$A$1:$AG$10000,MATCH(1,('Margin Guidence Table'!$A$1:$A$10000=GR19)*('Margin Guidence Table'!$I$1:$I$10000&lt;=ROUND($GJ$3,0))*('Margin Guidence Table'!$J$1:$J$10000&gt;=ROUND($GJ$3,0)),0),MATCH("DEFAULT_CIA_MEDIAN_MARGIN_GUIDENCE",'Margin Guidence Table'!$A$1:$AG$1,0))),0)</f>
        <v>0</v>
      </c>
      <c r="HC19" s="127"/>
      <c r="HD19" s="18">
        <f t="array" ref="HD19">IFERROR(IF($HQ19="SEGMENT",INDEX('Margin Guidence Table'!$A$1:$AG$10000,MATCH(1,('Margin Guidence Table'!$A$1:$A$10000=$HO19)*('Margin Guidence Table'!$I$1:$I$10000&lt;=ROUND($HG$3,0))*('Margin Guidence Table'!$J$1:$J$10000&gt;=ROUND($HG$3,0)),0),MATCH("PCT_SALES",'Margin Guidence Table'!$A$1:$AG$1,0)),INDEX('Margin Guidence Table'!$A$1:$AG$10000,MATCH(1,('Margin Guidence Table'!$A$1:$A$10000=$HO19)*('Margin Guidence Table'!$I$1:$I$10000&lt;=ROUND($HG$3,0))*('Margin Guidence Table'!$J$1:$J$10000&gt;=ROUND($HG$3,0)),0),MATCH("DEFAULT_PCT_SALES",'Margin Guidence Table'!$A$1:$AG$1,0))),0)</f>
        <v>0</v>
      </c>
      <c r="HE19" s="370" t="e">
        <f t="shared" si="40"/>
        <v>#DIV/0!</v>
      </c>
      <c r="HF19" s="100" t="s">
        <v>104</v>
      </c>
      <c r="HG19" s="92">
        <f>IFERROR(IF(AND($HG$2&lt;&gt;"Enter Spend&gt;&gt;&gt;",HH7="EXISTING"),SUMIFS('Existing Customers'!$Q:$Q,'Existing Customers'!$A:$A,$HG$1,'Existing Customers'!$H:$H,$HF19)*$HG$4,$HG$3*$HE19),0)</f>
        <v>0</v>
      </c>
      <c r="HH19" s="87">
        <f>IFERROR(IF(AND($HG$2&lt;&gt;"Enter Spend&gt;&gt;&gt;",HH2="EXISTING"),SUMIFS('Existing Customers'!$N:$N,'Existing Customers'!$A:$A,$HG$1,'Existing Customers'!$H:$H,$HF19)*$HG$4,$HG19/$HR19),0)</f>
        <v>0</v>
      </c>
      <c r="HI19" s="93">
        <f>IFERROR(IF(AND($HG$2&lt;&gt;"Enter Spend&gt;&gt;&gt;",HH2="EXISTING"),SUMIFS('Existing Customers'!$O:$O,'Existing Customers'!$H:$H,$HF19,'Existing Customers'!$A:$A,$HG$1)*$HG$4,$HH19*$HG$8),0)</f>
        <v>0</v>
      </c>
      <c r="HJ19" s="93">
        <f>IFERROR(IF(AND($HG$2&lt;&gt;"Enter Spend&gt;&gt;&gt;",HH2="EXISTING"),SUMIFS('Existing Customers'!$P:$P,'Existing Customers'!$A:$A,$HG$1,'Existing Customers'!$H:$H,$HF19)*$HG$4,$HG19/$HS19),0)</f>
        <v>0</v>
      </c>
      <c r="HK19" s="94">
        <f>IFERROR(IF(AND($HG$2&lt;&gt;"Enter Spend&gt;&gt;&gt;",HH2="EXISTING"),SUMIFS('Existing Customers'!$V:$V,'Existing Customers'!$H:$H,$HF19,'Existing Customers'!$A:$A,$HG$1)*$HG$4,0),0)</f>
        <v>0</v>
      </c>
      <c r="HL19" s="94">
        <f>IFERROR(IF(AND($HG$2&lt;&gt;"Enter Spend&gt;&gt;&gt;",HH2="EXISTING"),SUMIFS('Existing Customers'!$R:$R,'Existing Customers'!$H:$H,$HF19,'Existing Customers'!$A:$A,$HG$1)*$HG$4,0),0)</f>
        <v>0</v>
      </c>
      <c r="HM19" s="1050">
        <f>IFERROR(IF(AND($HG$2&lt;&gt;"Enter Spend&gt;&gt;&gt;",HH2="EXISTING"),SUMIFS('Existing Customers'!$S:$S,'Existing Customers'!$H:$H,$HF19,'Existing Customers'!$A:$A,$HG$1),HW19*HG19),0)</f>
        <v>0</v>
      </c>
      <c r="HN19" s="1050">
        <f>IFERROR(IF(AND($HG$2&lt;&gt;"Enter Spend&gt;&gt;&gt;",HH2="EXISTING"),SUMIFS('Existing Customers'!$U:$U,'Existing Customers'!$H:$H,$HF19,'Existing Customers'!$A:$A,$HG$1),HX19*HG19),0)</f>
        <v>0</v>
      </c>
      <c r="HO19" s="1053" t="e">
        <f>_xlfn.CONCAT('Customer Inputs'!$AG$13,"_",HF19)</f>
        <v>#N/A</v>
      </c>
      <c r="HP19" s="1053">
        <f t="array" ref="HP19">IFERROR(INDEX('Margin Guidence Table'!$A$1:$AG$10000,MATCH(1,('Margin Guidence Table'!$A$1:$A$10000=HO19)*('Margin Guidence Table'!$I$1:$I$10000&lt;=ROUND($HG$3,0))*('Margin Guidence Table'!$J$1:$J$10000&gt;=ROUND($HG$3,0)),0),MATCH("DATA_POINTS",'Margin Guidence Table'!$A$1:$AG$1,0)),0)</f>
        <v>0</v>
      </c>
      <c r="HQ19" s="1050" t="str">
        <f t="shared" si="41"/>
        <v>DEFAULT</v>
      </c>
      <c r="HR19" s="1050">
        <f t="array" ref="HR19">IFERROR(IF($HQ19="SEGMENT",INDEX('Margin Guidence Table'!$A$1:$AG$10000,MATCH(1,('Margin Guidence Table'!$A$1:$A$10000=HO19)*('Margin Guidence Table'!$I$1:$I$10000&lt;=ROUND($HG$3,0))*('Margin Guidence Table'!$J$1:$J$10000&gt;=ROUND($HG$3,0)),0),MATCH("SALES_CASE",'Margin Guidence Table'!$A$1:$AG$1,0)),INDEX('Margin Guidence Table'!$A$1:$AG$10000,MATCH(1,('Margin Guidence Table'!$A$1:$A$10000=HO19)*('Margin Guidence Table'!$I$1:$I$10000&lt;=ROUND($HG$3,0))*('Margin Guidence Table'!$J$1:$J$10000&gt;=ROUND($HG$3,0)),0),MATCH("DEFAULT_SALES_CASE",'Margin Guidence Table'!$A$1:$AG$1,0))),0)</f>
        <v>0</v>
      </c>
      <c r="HS19" s="1050">
        <f t="array" ref="HS19">IFERROR(IF($HQ19="SEGMENT",INDEX('Margin Guidence Table'!$A$1:$AG$10000,MATCH(1,('Margin Guidence Table'!$A$1:$A$10000=HO19)*('Margin Guidence Table'!$I$1:$I$10000&lt;=ROUND($HG$3,0))*('Margin Guidence Table'!$J$1:$J$10000&gt;=ROUND($HG$3,0)),0),MATCH("SALES_LBS",'Margin Guidence Table'!$A$1:$AG$1,0)),INDEX('Margin Guidence Table'!$A$1:$AG$10000,MATCH(1,('Margin Guidence Table'!$A$1:$A$10000=HO19)*('Margin Guidence Table'!$I$1:$I$10000&lt;=ROUND($HG$3,0))*('Margin Guidence Table'!$J$1:$J$10000&gt;=ROUND($HG$3,0)),0),MATCH("DEFAULT_SALES_LBS",'Margin Guidence Table'!$A$1:$AG$1,0))),0)</f>
        <v>0</v>
      </c>
      <c r="HT19" s="1054">
        <f t="array" ref="HT19">IFERROR(IF($HQ19="SEGMENT",INDEX('Margin Guidence Table'!$A$1:$AG$10000,MATCH(1,('Margin Guidence Table'!$A$1:$A$10000=HO19)*('Margin Guidence Table'!$I$1:$I$10000&lt;=ROUND($HG$3,0))*('Margin Guidence Table'!$J$1:$J$10000&gt;=ROUND($HG$3,0)),0),MATCH("MDA_MIN_MARGIN_GUIDENCE",'Margin Guidence Table'!$A$1:$AG$1,0)),INDEX('Margin Guidence Table'!$A$1:$AG$10000,MATCH(1,('Margin Guidence Table'!$A$1:$A$10000=HO19)*('Margin Guidence Table'!$I$1:$I$10000&lt;=ROUND($HG$3,0))*('Margin Guidence Table'!$J$1:$J$10000&gt;=ROUND($HG$3,0)),0),MATCH("DEFAULT_MDA_MIN_MARGIN_GUIDENCE",'Margin Guidence Table'!$A$1:$AG$1,0))),0)</f>
        <v>0</v>
      </c>
      <c r="HU19" s="1054">
        <f t="array" ref="HU19">IFERROR(IF($HQ19="SEGMENT",INDEX('Margin Guidence Table'!$A$1:$AG$10000,MATCH(1,('Margin Guidence Table'!$A$1:$A$10000=HO19)*('Margin Guidence Table'!$I$1:$I$10000&lt;=ROUND($HG$3,0))*('Margin Guidence Table'!$J$1:$J$10000&gt;=ROUND($HG$3,0)),0),MATCH("MDA_MEDIAN_MARGIN_GUIDENCE",'Margin Guidence Table'!$A$1:$AG$1,0)),INDEX('Margin Guidence Table'!$A$1:$AG$10000,MATCH(1,('Margin Guidence Table'!$A$1:$A$10000=HO19)*('Margin Guidence Table'!$I$1:$I$10000&lt;=ROUND($HG$3,0))*('Margin Guidence Table'!$J$1:$J$10000&gt;=ROUND($HG$3,0)),0),MATCH("DEFAULT_MDA_MEDIAN_MARGIN_GUIDENCE",'Margin Guidence Table'!$A$1:$AG$1,0))),0)</f>
        <v>0</v>
      </c>
      <c r="HV19" s="1054">
        <f t="array" ref="HV19">IFERROR(IF($HQ19="SEGMENT",INDEX('Margin Guidence Table'!$A$1:$AG$10000,MATCH(1,('Margin Guidence Table'!$A$1:$A$10000=HO19)*('Margin Guidence Table'!$I$1:$I$10000&lt;=ROUND($HG$3,0))*('Margin Guidence Table'!$J$1:$J$10000&gt;=ROUND($HG$3,0)),0),MATCH("MDA_MAX_MARGIN_GUIDENCE",'Margin Guidence Table'!$A$1:$AG$1,0)),INDEX('Margin Guidence Table'!$A$1:$AG$10000,MATCH(1,('Margin Guidence Table'!$A$1:$A$10000=HO19)*('Margin Guidence Table'!$I$1:$I$10000&lt;=ROUND($HG$3,0))*('Margin Guidence Table'!$J$1:$J$10000&gt;=ROUND($HG$3,0)),0),MATCH("DEFAULT_MDA_MAX_MARGIN_GUIDENCE",'Margin Guidence Table'!$A$1:$AG$1,0))),0)</f>
        <v>0</v>
      </c>
      <c r="HW19" s="1054">
        <f t="array" ref="HW19">IFERROR(IF($HQ19="SEGMENT",INDEX('Margin Guidence Table'!$A$1:$AG$10000,MATCH(1,('Margin Guidence Table'!$A$1:$A$10000=HO19)*('Margin Guidence Table'!$I$1:$I$10000&lt;=ROUND($HG$3,0))*('Margin Guidence Table'!$J$1:$J$10000&gt;=ROUND($HG$3,0)),0),MATCH("PA_PCT_SALES",'Margin Guidence Table'!$A$1:$AG$1,0)),INDEX('Margin Guidence Table'!$A$1:$AG$10000,MATCH(1,('Margin Guidence Table'!$A$1:$A$10000=HO19)*('Margin Guidence Table'!$I$1:$I$10000&lt;=ROUND($HG$3,0))*('Margin Guidence Table'!$J$1:$J$10000&gt;=ROUND($HG$3,0)),0),MATCH("DEFAULT_PA_PCT_SALES",'Margin Guidence Table'!$A$1:$AG$1,0))),0)</f>
        <v>0</v>
      </c>
      <c r="HX19" s="1054">
        <f t="array" ref="HX19">IFERROR(IF($HQ19="SEGMENT",INDEX('Margin Guidence Table'!$A$1:$AG$10000,MATCH(1,('Margin Guidence Table'!$A$1:$A$10000=HO19)*('Margin Guidence Table'!$I$1:$I$10000&lt;=ROUND($HG$3,0))*('Margin Guidence Table'!$J$1:$J$10000&gt;=ROUND($HG$3,0)),0),MATCH("SELF_FUND_PCT_SALES",'Margin Guidence Table'!$A$1:$AG$1,0)),INDEX('Margin Guidence Table'!$A$1:$AG$10000,MATCH(1,('Margin Guidence Table'!$A$1:$A$10000=HO19)*('Margin Guidence Table'!$I$1:$I$10000&lt;=ROUND($HG$3,0))*('Margin Guidence Table'!$J$1:$J$10000&gt;=ROUND($HG$3,0)),0),MATCH("DEFAULT_SELF_FUND_PCT_SALES",'Margin Guidence Table'!$A$1:$AG$1,0))),0)</f>
        <v>0</v>
      </c>
      <c r="HY19" s="1054">
        <f t="array" ref="HY19">IFERROR(IF($HQ19="SEGMENT",INDEX('Margin Guidence Table'!$A$1:$AG$10000,MATCH(1,('Margin Guidence Table'!$A$1:$A$10000=HO19)*('Margin Guidence Table'!$I$1:$I$10000&lt;=ROUND($HG$3,0))*('Margin Guidence Table'!$J$1:$J$10000&gt;=ROUND($HG$3,0)),0),MATCH("CIA_MEDIAN_MARGIN_GUIDENCE",'Margin Guidence Table'!$A$1:$AG$1,0)),INDEX('Margin Guidence Table'!$A$1:$AG$10000,MATCH(1,('Margin Guidence Table'!$A$1:$A$10000=HO19)*('Margin Guidence Table'!$I$1:$I$10000&lt;=ROUND($HG$3,0))*('Margin Guidence Table'!$J$1:$J$10000&gt;=ROUND($HG$3,0)),0),MATCH("DEFAULT_CIA_MEDIAN_MARGIN_GUIDENCE",'Margin Guidence Table'!$A$1:$AG$1,0))),0)</f>
        <v>0</v>
      </c>
      <c r="HZ19" s="127"/>
      <c r="IA19" s="18">
        <f t="array" ref="IA19">IFERROR(IF($IN19="SEGMENT",INDEX('Margin Guidence Table'!$A:$AC,MATCH(1,('Margin Guidence Table'!$A:$A=$IL19)*('Margin Guidence Table'!$H:$H&lt;=ROUND($ID$3,0))*('Margin Guidence Table'!$G:$G&gt;=ROUND($ID$3,0)),0),MATCH("PCT_SALES",'Margin Guidence Table'!$A$1:$AG$1,0)),INDEX('Margin Guidence Table'!$A:$AC,MATCH(1,('Margin Guidence Table'!$A:$A=$IL19)*('Margin Guidence Table'!$H:$H&lt;=ROUND($ID$3,0))*('Margin Guidence Table'!$G:$G&gt;=ROUND($ID$3,0)),0),MATCH("DEFAULT_PCT_SALES",'Margin Guidence Table'!$A$1:$AG$1,0))),0)</f>
        <v>0</v>
      </c>
      <c r="IB19" s="370" t="e">
        <f t="shared" si="42"/>
        <v>#DIV/0!</v>
      </c>
      <c r="IC19" s="100" t="s">
        <v>104</v>
      </c>
      <c r="ID19" s="92">
        <f>IFERROR(IF(AND($ID$2&lt;&gt;"Enter Spend&gt;&gt;&gt;",IE7="EXISTING"),SUMIFS('Existing Customers'!$Q:$Q,'Existing Customers'!$A:$A,$ID$1,'Existing Customers'!$H:$H,$IC19)*$ID$4,$ID$3*$IB19),0)</f>
        <v>0</v>
      </c>
      <c r="IE19" s="87">
        <f>IFERROR(IF(AND($ID$2&lt;&gt;"Enter Spend&gt;&gt;&gt;",IE2="EXISTING"),SUMIFS('Existing Customers'!$N:$N,'Existing Customers'!$A:$A,$ID$1,'Existing Customers'!$H:$H,$IC19)*$ID$4,$ID19/$IO19),0)</f>
        <v>0</v>
      </c>
      <c r="IF19" s="93">
        <f>IFERROR(IF(AND($ID$2&lt;&gt;"Enter Spend&gt;&gt;&gt;",IE2="EXISTING"),SUMIFS('Existing Customers'!$O:$O,'Existing Customers'!$H:$H,$IC19,'Existing Customers'!$A:$A,$ID$1)*$ID$4,$IE19*$ID$8),0)</f>
        <v>0</v>
      </c>
      <c r="IG19" s="93">
        <f>IFERROR(IF(AND($ID$2&lt;&gt;"Enter Spend&gt;&gt;&gt;",IE2="EXISTING"),SUMIFS('Existing Customers'!$P:$P,'Existing Customers'!$A:$A,$ID$1,'Existing Customers'!$H:$H,$IC19)*$ID$4,$ID19/$IP19),0)</f>
        <v>0</v>
      </c>
      <c r="IH19" s="376">
        <f>IFERROR(IF(AND($ID$2&lt;&gt;"Enter Spend&gt;&gt;&gt;",IE2="EXISTING"),SUMIFS('Existing Customers'!$V:$V,'Existing Customers'!$H:$H,$IC19,'Existing Customers'!$A:$A,$ID$1)*$ID$4,0),0)</f>
        <v>0</v>
      </c>
      <c r="II19" s="94">
        <f>IFERROR(IF(AND($ID$2&lt;&gt;"Enter Spend&gt;&gt;&gt;",IE2="EXISTING"),SUMIFS('Existing Customers'!$R:$R,'Existing Customers'!$H:$H,$IC19,'Existing Customers'!$A:$A,$ID$1)*$ID$4,0),0)</f>
        <v>0</v>
      </c>
      <c r="IJ19" s="1050">
        <f>IFERROR(IF(AND($ID$2&lt;&gt;"Enter Spend&gt;&gt;&gt;",IE2="EXISTING"),SUMIFS('Existing Customers'!$S:$S,'Existing Customers'!$H:$H,$IC19,'Existing Customers'!$A:$A,$ID$1),IT19*ID19),0)</f>
        <v>0</v>
      </c>
      <c r="IK19" s="1050">
        <f>IFERROR(IF(AND($ID$2&lt;&gt;"Enter Spend&gt;&gt;&gt;",IE2="EXISTING"),SUMIFS('Existing Customers'!$U:$U,'Existing Customers'!$H:$H,$IC19,'Existing Customers'!$A:$A,$ID$1),IU19*ID19),0)</f>
        <v>0</v>
      </c>
      <c r="IL19" s="1053" t="e">
        <f>_xlfn.CONCAT('Customer Inputs'!$AG$14,"_",IC19)</f>
        <v>#N/A</v>
      </c>
      <c r="IM19" s="1053">
        <f t="array" ref="IM19">IFERROR(INDEX('Margin Guidence Table'!$A$1:$AG$10000,MATCH(1,('Margin Guidence Table'!$A$1:$A$10000=IL19)*('Margin Guidence Table'!$I$1:$I$10000&lt;=ROUND($ID$3,0))*('Margin Guidence Table'!$J$1:$J$10000&gt;=ROUND($ID$3,0)),0),MATCH("DATA_POINTS",'Margin Guidence Table'!$A$1:$AG$1,0)),0)</f>
        <v>0</v>
      </c>
      <c r="IN19" s="1050" t="str">
        <f t="shared" si="43"/>
        <v>DEFAULT</v>
      </c>
      <c r="IO19" s="1050">
        <f t="array" ref="IO19">IFERROR(IF($IN19="SEGMENT",INDEX('Margin Guidence Table'!$A$1:$AG$10000,MATCH(1,('Margin Guidence Table'!$A$1:$A$10000=IL19)*('Margin Guidence Table'!$I$1:$I$10000&lt;=ROUND($ID$3,0))*('Margin Guidence Table'!$J$1:$J$10000&gt;=ROUND($ID$3,0)),0),MATCH("SALES_CASE",'Margin Guidence Table'!$A$1:$AG$1,0)),INDEX('Margin Guidence Table'!$A$1:$AG$10000,MATCH(1,('Margin Guidence Table'!$A$1:$A$10000=IL19)*('Margin Guidence Table'!$I$1:$I$10000&lt;=ROUND($ID$3,0))*('Margin Guidence Table'!$J$1:$J$10000&gt;=ROUND($ID$3,0)),0),MATCH("DEFAULT_SALES_CASE",'Margin Guidence Table'!$A$1:$AG$1,0))),0)</f>
        <v>0</v>
      </c>
      <c r="IP19" s="1050">
        <f t="array" ref="IP19">IFERROR(IF($IN19="SEGMENT",INDEX('Margin Guidence Table'!$A$1:$AG$10000,MATCH(1,('Margin Guidence Table'!$A$1:$A$10000=IL19)*('Margin Guidence Table'!$I$1:$I$10000&lt;=ROUND($ID$3,0))*('Margin Guidence Table'!$J$1:$J$10000&gt;=ROUND($ID$3,0)),0),MATCH("SALES_LBS",'Margin Guidence Table'!$A$1:$AG$1,0)),INDEX('Margin Guidence Table'!$A$1:$AG$10000,MATCH(1,('Margin Guidence Table'!$A$1:$A$10000=IL19)*('Margin Guidence Table'!$I$1:$I$10000&lt;=ROUND($ID$3,0))*('Margin Guidence Table'!$J$1:$J$10000&gt;=ROUND($ID$3,0)),0),MATCH("DEFAULT_SALES_LBS",'Margin Guidence Table'!$A$1:$AG$1,0))),0)</f>
        <v>0</v>
      </c>
      <c r="IQ19" s="1054">
        <f t="array" ref="IQ19">IFERROR(IF($IN19="SEGMENT",INDEX('Margin Guidence Table'!$A$1:$AG$10000,MATCH(1,('Margin Guidence Table'!$A$1:$A$10000=IL19)*('Margin Guidence Table'!$I$1:$I$10000&lt;=ROUND($ID$3,0))*('Margin Guidence Table'!$J$1:$J$10000&gt;=ROUND($ID$3,0)),0),MATCH("MDA_MIN_MARGIN_GUIDENCE",'Margin Guidence Table'!$A$1:$AG$1,0)),INDEX('Margin Guidence Table'!$A$1:$AG$10000,MATCH(1,('Margin Guidence Table'!$A$1:$A$10000=IL19)*('Margin Guidence Table'!$I$1:$I$10000&lt;=ROUND($ID$3,0))*('Margin Guidence Table'!$J$1:$J$10000&gt;=ROUND($ID$3,0)),0),MATCH("DEFAULT_MDA_MIN_MARGIN_GUIDENCE",'Margin Guidence Table'!$A$1:$AG$1,0))),0)</f>
        <v>0</v>
      </c>
      <c r="IR19" s="1054">
        <f t="array" ref="IR19">IFERROR(IF($IN19="SEGMENT",INDEX('Margin Guidence Table'!$A$1:$AG$10000,MATCH(1,('Margin Guidence Table'!$A$1:$A$10000=IL19)*('Margin Guidence Table'!$I$1:$I$10000&lt;=ROUND($ID$3,0))*('Margin Guidence Table'!$J$1:$J$10000&gt;=ROUND($ID$3,0)),0),MATCH("MDA_MEDIAN_MARGIN_GUIDENCE",'Margin Guidence Table'!$A$1:$AG$1,0)),INDEX('Margin Guidence Table'!$A$1:$AG$10000,MATCH(1,('Margin Guidence Table'!$A$1:$A$10000=IL19)*('Margin Guidence Table'!$I$1:$I$10000&lt;=ROUND($ID$3,0))*('Margin Guidence Table'!$J$1:$J$10000&gt;=ROUND($ID$3,0)),0),MATCH("DEFAULT_MDA_MEDIAN_MARGIN_GUIDENCE",'Margin Guidence Table'!$A$1:$AG$1,0))),0)</f>
        <v>0</v>
      </c>
      <c r="IS19" s="1054">
        <f t="array" ref="IS19">IFERROR(IF($IN19="SEGMENT",INDEX('Margin Guidence Table'!$A$1:$AG$10000,MATCH(1,('Margin Guidence Table'!$A$1:$A$10000=IL19)*('Margin Guidence Table'!$I$1:$I$10000&lt;=ROUND($ID$3,0))*('Margin Guidence Table'!$J$1:$J$10000&gt;=ROUND($ID$3,0)),0),MATCH("MDA_MAX_MARGIN_GUIDENCE",'Margin Guidence Table'!$A$1:$AG$1,0)),INDEX('Margin Guidence Table'!$A$1:$AG$10000,MATCH(1,('Margin Guidence Table'!$A$1:$A$10000=IL19)*('Margin Guidence Table'!$I$1:$I$10000&lt;=ROUND($ID$3,0))*('Margin Guidence Table'!$J$1:$J$10000&gt;=ROUND($ID$3,0)),0),MATCH("DEFAULT_MDA_MAX_MARGIN_GUIDENCE",'Margin Guidence Table'!$A$1:$AG$1,0))),0)</f>
        <v>0</v>
      </c>
      <c r="IT19" s="1054">
        <f t="array" ref="IT19">IFERROR(IF($IN19="SEGMENT",INDEX('Margin Guidence Table'!$A$1:$AG$10000,MATCH(1,('Margin Guidence Table'!$A$1:$A$10000=IL19)*('Margin Guidence Table'!$I$1:$I$10000&lt;=ROUND($ID$3,0))*('Margin Guidence Table'!$J$1:$J$10000&gt;=ROUND($ID$3,0)),0),MATCH("PA_PCT_SALES",'Margin Guidence Table'!$A$1:$AG$1,0)),INDEX('Margin Guidence Table'!$A$1:$AG$10000,MATCH(1,('Margin Guidence Table'!$A$1:$A$10000=IL19)*('Margin Guidence Table'!$I$1:$I$10000&lt;=ROUND($ID$3,0))*('Margin Guidence Table'!$J$1:$J$10000&gt;=ROUND($ID$3,0)),0),MATCH("DEFAULT_PA_PCT_SALES",'Margin Guidence Table'!$A$1:$AG$1,0))),0)</f>
        <v>0</v>
      </c>
      <c r="IU19" s="1054">
        <f t="array" ref="IU19">IFERROR(IF($IN19="SEGMENT",INDEX('Margin Guidence Table'!$A$1:$AG$10000,MATCH(1,('Margin Guidence Table'!$A$1:$A$10000=IL19)*('Margin Guidence Table'!$I$1:$I$10000&lt;=ROUND($ID$3,0))*('Margin Guidence Table'!$J$1:$J$10000&gt;=ROUND($ID$3,0)),0),MATCH("SELF_FUND_PCT_SALES",'Margin Guidence Table'!$A$1:$AG$1,0)),INDEX('Margin Guidence Table'!$A$1:$AG$10000,MATCH(1,('Margin Guidence Table'!$A$1:$A$10000=IL19)*('Margin Guidence Table'!$I$1:$I$10000&lt;=ROUND($ID$3,0))*('Margin Guidence Table'!$J$1:$J$10000&gt;=ROUND($ID$3,0)),0),MATCH("DEFAULT_SELF_FUND_PCT_SALES",'Margin Guidence Table'!$A$1:$AG$1,0))),0)</f>
        <v>0</v>
      </c>
      <c r="IV19" s="1054">
        <f t="array" ref="IV19">IFERROR(IF($IN19="SEGMENT",INDEX('Margin Guidence Table'!$A$1:$AG$10000,MATCH(1,('Margin Guidence Table'!$A$1:$A$10000=IL19)*('Margin Guidence Table'!$I$1:$I$10000&lt;=ROUND($ID$3,0))*('Margin Guidence Table'!$J$1:$J$10000&gt;=ROUND($ID$3,0)),0),MATCH("CIA_MEDIAN_MARGIN_GUIDENCE",'Margin Guidence Table'!$A$1:$AG$1,0)),INDEX('Margin Guidence Table'!$A$1:$AG$10000,MATCH(1,('Margin Guidence Table'!$A$1:$A$10000=IL19)*('Margin Guidence Table'!$I$1:$I$10000&lt;=ROUND($ID$3,0))*('Margin Guidence Table'!$J$1:$J$10000&gt;=ROUND($ID$3,0)),0),MATCH("DEFAULT_CIA_MEDIAN_MARGIN_GUIDENCE",'Margin Guidence Table'!$A$1:$AG$1,0))),0)</f>
        <v>0</v>
      </c>
      <c r="IW19" s="127"/>
      <c r="IX19" s="18">
        <f t="array" ref="IX19">IFERROR(IF($JK19="SEGMENT",INDEX('Margin Guidence Table'!$A$1:$AG$10000,MATCH(1,('Margin Guidence Table'!$A$1:$A$10000=$JI19)*('Margin Guidence Table'!$I$1:$I$10000&lt;=ROUND($JA$3,0))*('Margin Guidence Table'!$J$1:$J$10000&gt;=ROUND($JA$3,0)),0),MATCH("PCT_SALES",'Margin Guidence Table'!$A$1:$AG$1,0)),INDEX('Margin Guidence Table'!$A$1:$AG$10000,MATCH(1,('Margin Guidence Table'!$A$1:$A$10000=$JI19)*('Margin Guidence Table'!$I$1:$I$10000&lt;=ROUND($JA$3,0))*('Margin Guidence Table'!$J$1:$J$10000&gt;=ROUND($JA$3,0)),0),MATCH("DEFAULT_PCT_SALES",'Margin Guidence Table'!$A$1:$AG$1,0))),0)</f>
        <v>0</v>
      </c>
      <c r="IY19" s="370" t="e">
        <f t="shared" si="44"/>
        <v>#DIV/0!</v>
      </c>
      <c r="IZ19" s="100" t="s">
        <v>104</v>
      </c>
      <c r="JA19" s="92">
        <f>IFERROR(IF(AND($JA$2&lt;&gt;"Enter Spend&gt;&gt;&gt;",JB7="EXISTING"),SUMIFS('Existing Customers'!$Q:$Q,'Existing Customers'!$A:$A,$JA$1,'Existing Customers'!$H:$H,$IZ19)*$JA$4,$JA$3*$IY19),0)</f>
        <v>0</v>
      </c>
      <c r="JB19" s="87">
        <f>IFERROR(IF(AND($JA$2&lt;&gt;"Enter Spend&gt;&gt;&gt;",JB2="EXISTING"),SUMIFS('Existing Customers'!$N:$N,'Existing Customers'!$A:$A,$JA$1,'Existing Customers'!$H:$H,$IZ19)*$JA$4,$JA19/$JL19),0)</f>
        <v>0</v>
      </c>
      <c r="JC19" s="93">
        <f>IFERROR(IF(AND($JA$2&lt;&gt;"Enter Spend&gt;&gt;&gt;",JB2="EXISTING"),SUMIFS('Existing Customers'!$O:$O,'Existing Customers'!$H:$H,$IZ19,'Existing Customers'!$A:$A,$JA$1)*$JA$4,$JB19*$JA$8),0)</f>
        <v>0</v>
      </c>
      <c r="JD19" s="93">
        <f>IFERROR(IF(AND($JA$2&lt;&gt;"Enter Spend&gt;&gt;&gt;",JB2="EXISTING"),SUMIFS('Existing Customers'!$P:$P,'Existing Customers'!$A:$A,$JA$1,'Existing Customers'!$H:$H,$IZ19)*$JA$4,$JA19/$JM19),0)</f>
        <v>0</v>
      </c>
      <c r="JE19" s="376">
        <f>IFERROR(IF(AND($JA$2&lt;&gt;"Enter Spend&gt;&gt;&gt;",JB2="EXISTING"),SUMIFS('Existing Customers'!$V:$V,'Existing Customers'!$H:$H,$IZ19,'Existing Customers'!$A:$A,$JA$1)*$JA$4,0),0)</f>
        <v>0</v>
      </c>
      <c r="JF19" s="94">
        <f>IFERROR(IF(AND($JA$2&lt;&gt;"Enter Spend&gt;&gt;&gt;",JB2="EXISTING"),SUMIFS('Existing Customers'!$R:$R,'Existing Customers'!$H:$H,$IZ19,'Existing Customers'!$A:$A,$JA$1)*$JA$4,0),0)</f>
        <v>0</v>
      </c>
      <c r="JG19" s="1050">
        <f>IFERROR(IF(AND($JA$2&lt;&gt;"Enter Spend&gt;&gt;&gt;",JB2="EXISTING"),SUMIFS('Existing Customers'!$S:$S,'Existing Customers'!$H:$H,$IZ19,'Existing Customers'!$A:$A,$JA$1),JQ19*JA19),0)</f>
        <v>0</v>
      </c>
      <c r="JH19" s="1050">
        <f>IFERROR(IF(AND($JA$2&lt;&gt;"Enter Spend&gt;&gt;&gt;",JB2="EXISTING"),SUMIFS('Existing Customers'!$U:$U,'Existing Customers'!$H:$H,$IZ19,'Existing Customers'!$A:$A,$JA$1),JR19*JA19),0)</f>
        <v>0</v>
      </c>
      <c r="JI19" s="1053" t="e">
        <f>_xlfn.CONCAT('Customer Inputs'!$AG$15,"_",IZ19)</f>
        <v>#N/A</v>
      </c>
      <c r="JJ19" s="1053">
        <f t="array" ref="JJ19">IFERROR(INDEX('Margin Guidence Table'!$A$1:$AG$10000,MATCH(1,('Margin Guidence Table'!$A$1:$A$10000=JI19)*('Margin Guidence Table'!$I$1:$I$10000&lt;=ROUND($JA$3,0))*('Margin Guidence Table'!$J$1:$J$10000&gt;=ROUND($JA$3,0)),0),MATCH("DATA_POINTS",'Margin Guidence Table'!$A$1:$AG$1,0)),0)</f>
        <v>0</v>
      </c>
      <c r="JK19" s="1050" t="str">
        <f t="shared" si="45"/>
        <v>DEFAULT</v>
      </c>
      <c r="JL19" s="1050">
        <f t="array" ref="JL19">IFERROR(IF($JK19="SEGMENT",INDEX('Margin Guidence Table'!$A$1:$AG$10000,MATCH(1,('Margin Guidence Table'!$A$1:$A$10000=JI19)*('Margin Guidence Table'!$I$1:$I$10000&lt;=ROUND($JA$3,0))*('Margin Guidence Table'!$J$1:$J$10000&gt;=ROUND($JA$3,0)),0),MATCH("SALES_CASE",'Margin Guidence Table'!$A$1:$AG$1,0)),INDEX('Margin Guidence Table'!$A$1:$AG$10000,MATCH(1,('Margin Guidence Table'!$A$1:$A$10000=JI19)*('Margin Guidence Table'!$I$1:$I$10000&lt;=ROUND($JA$3,0))*('Margin Guidence Table'!$J$1:$J$10000&gt;=ROUND($JA$3,0)),0),MATCH("DEFAULT_SALES_CASE",'Margin Guidence Table'!$A$1:$AG$1,0))),0)</f>
        <v>0</v>
      </c>
      <c r="JM19" s="1050">
        <f t="array" ref="JM19">IFERROR(IF($JK19="SEGMENT",INDEX('Margin Guidence Table'!$A$1:$AG$10000,MATCH(1,('Margin Guidence Table'!$A$1:$A$10000=JI19)*('Margin Guidence Table'!$I$1:$I$10000&lt;=ROUND($JA$3,0))*('Margin Guidence Table'!$J$1:$J$10000&gt;=ROUND($JA$3,0)),0),MATCH("SALES_LBS",'Margin Guidence Table'!$A$1:$AG$1,0)),INDEX('Margin Guidence Table'!$A$1:$AG$10000,MATCH(1,('Margin Guidence Table'!$A$1:$A$10000=JI19)*('Margin Guidence Table'!$I$1:$I$10000&lt;=ROUND($JA$3,0))*('Margin Guidence Table'!$J$1:$J$10000&gt;=ROUND($JA$3,0)),0),MATCH("DEFAULT_SALES_LBS",'Margin Guidence Table'!$A$1:$AG$1,0))),0)</f>
        <v>0</v>
      </c>
      <c r="JN19" s="1054">
        <f t="array" ref="JN19">IFERROR(IF($JK19="SEGMENT",INDEX('Margin Guidence Table'!$A$1:$AG$10000,MATCH(1,('Margin Guidence Table'!$A$1:$A$10000=JI19)*('Margin Guidence Table'!$I$1:$I$10000&lt;=ROUND($JA$3,0))*('Margin Guidence Table'!$J$1:$J$10000&gt;=ROUND($JA$3,0)),0),MATCH("MDA_MIN_MARGIN_GUIDENCE",'Margin Guidence Table'!$A$1:$AG$1,0)),INDEX('Margin Guidence Table'!$A$1:$AG$10000,MATCH(1,('Margin Guidence Table'!$A$1:$A$10000=JI19)*('Margin Guidence Table'!$I$1:$I$10000&lt;=ROUND($JA$3,0))*('Margin Guidence Table'!$J$1:$J$10000&gt;=ROUND($JA$3,0)),0),MATCH("DEFAULT_MDA_MIN_MARGIN_GUIDENCE",'Margin Guidence Table'!$A$1:$AG$1,0))),0)</f>
        <v>0</v>
      </c>
      <c r="JO19" s="1054">
        <f t="array" ref="JO19">IFERROR(IF($JK19="SEGMENT",INDEX('Margin Guidence Table'!$A$1:$AG$10000,MATCH(1,('Margin Guidence Table'!$A$1:$A$10000=JI19)*('Margin Guidence Table'!$I$1:$I$10000&lt;=ROUND($JA$3,0))*('Margin Guidence Table'!$J$1:$J$10000&gt;=ROUND($JA$3,0)),0),MATCH("MDA_MEDIAN_MARGIN_GUIDENCE",'Margin Guidence Table'!$A$1:$AG$1,0)),INDEX('Margin Guidence Table'!$A$1:$AG$10000,MATCH(1,('Margin Guidence Table'!$A$1:$A$10000=JI19)*('Margin Guidence Table'!$I$1:$I$10000&lt;=ROUND($JA$3,0))*('Margin Guidence Table'!$J$1:$J$10000&gt;=ROUND($JA$3,0)),0),MATCH("DEFAULT_MDA_MEDIAN_MARGIN_GUIDENCE",'Margin Guidence Table'!$A$1:$AG$1,0))),0)</f>
        <v>0</v>
      </c>
      <c r="JP19" s="1054">
        <f t="array" ref="JP19">IFERROR(IF($JK19="SEGMENT",INDEX('Margin Guidence Table'!$A$1:$AG$10000,MATCH(1,('Margin Guidence Table'!$A$1:$A$10000=JI19)*('Margin Guidence Table'!$I$1:$I$10000&lt;=ROUND($JA$3,0))*('Margin Guidence Table'!$J$1:$J$10000&gt;=ROUND($JA$3,0)),0),MATCH("MDA_MAX_MARGIN_GUIDENCE",'Margin Guidence Table'!$A$1:$AG$1,0)),INDEX('Margin Guidence Table'!$A$1:$AG$10000,MATCH(1,('Margin Guidence Table'!$A$1:$A$10000=JI19)*('Margin Guidence Table'!$I$1:$I$10000&lt;=ROUND($JA$3,0))*('Margin Guidence Table'!$J$1:$J$10000&gt;=ROUND($JA$3,0)),0),MATCH("DEFAULT_MDA_MAX_MARGIN_GUIDENCE",'Margin Guidence Table'!$A$1:$AG$1,0))),0)</f>
        <v>0</v>
      </c>
      <c r="JQ19" s="1054">
        <f t="array" ref="JQ19">IFERROR(IF($JK19="SEGMENT",INDEX('Margin Guidence Table'!$A$1:$AG$10000,MATCH(1,('Margin Guidence Table'!$A$1:$A$10000=JI19)*('Margin Guidence Table'!$I$1:$I$10000&lt;=ROUND($JA$3,0))*('Margin Guidence Table'!$J$1:$J$10000&gt;=ROUND($JA$3,0)),0),MATCH("PA_PCT_SALES",'Margin Guidence Table'!$A$1:$AG$1,0)),INDEX('Margin Guidence Table'!$A$1:$AG$10000,MATCH(1,('Margin Guidence Table'!$A$1:$A$10000=JI19)*('Margin Guidence Table'!$I$1:$I$10000&lt;=ROUND($JA$3,0))*('Margin Guidence Table'!$J$1:$J$10000&gt;=ROUND($JA$3,0)),0),MATCH("DEFAULT_PA_PCT_SALES",'Margin Guidence Table'!$A$1:$AG$1,0))),0)</f>
        <v>0</v>
      </c>
      <c r="JR19" s="1054">
        <f t="array" ref="JR19">IFERROR(IF($JK19="SEGMENT",INDEX('Margin Guidence Table'!$A$1:$AG$10000,MATCH(1,('Margin Guidence Table'!$A$1:$A$10000=JI19)*('Margin Guidence Table'!$I$1:$I$10000&lt;=ROUND($JA$3,0))*('Margin Guidence Table'!$J$1:$J$10000&gt;=ROUND($JA$3,0)),0),MATCH("SELF_FUND_PCT_SALES",'Margin Guidence Table'!$A$1:$AG$1,0)),INDEX('Margin Guidence Table'!$A$1:$AG$10000,MATCH(1,('Margin Guidence Table'!$A$1:$A$10000=JI19)*('Margin Guidence Table'!$I$1:$I$10000&lt;=ROUND($JA$3,0))*('Margin Guidence Table'!$J$1:$J$10000&gt;=ROUND($JA$3,0)),0),MATCH("DEFAULT_SELF_FUND_PCT_SALES",'Margin Guidence Table'!$A$1:$AG$1,0))),0)</f>
        <v>0</v>
      </c>
      <c r="JS19" s="1054">
        <f t="array" ref="JS19">IFERROR(IF($JK19="SEGMENT",INDEX('Margin Guidence Table'!$A$1:$AG$10000,MATCH(1,('Margin Guidence Table'!$A$1:$A$10000=JI19)*('Margin Guidence Table'!$I$1:$I$10000&lt;=ROUND($JA$3,0))*('Margin Guidence Table'!$J$1:$J$10000&gt;=ROUND($JA$3,0)),0),MATCH("CIA_MEDIAN_MARGIN_GUIDENCE",'Margin Guidence Table'!$A$1:$AG$1,0)),INDEX('Margin Guidence Table'!$A$1:$AG$10000,MATCH(1,('Margin Guidence Table'!$A$1:$A$10000=JI19)*('Margin Guidence Table'!$I$1:$I$10000&lt;=ROUND($JA$3,0))*('Margin Guidence Table'!$J$1:$J$10000&gt;=ROUND($JA$3,0)),0),MATCH("DEFAULT_CIA_MEDIAN_MARGIN_GUIDENCE",'Margin Guidence Table'!$A$1:$AG$1,0))),0)</f>
        <v>0</v>
      </c>
      <c r="JU19" s="100" t="s">
        <v>104</v>
      </c>
      <c r="JV19" s="95"/>
      <c r="JW19" s="87"/>
      <c r="JX19" s="87"/>
      <c r="JY19" s="87"/>
      <c r="JZ19" s="112"/>
      <c r="KA19" s="96"/>
      <c r="KB19" s="127"/>
      <c r="KD19" s="100" t="s">
        <v>104</v>
      </c>
      <c r="KE19" s="95"/>
      <c r="KF19" s="87"/>
      <c r="KG19" s="87"/>
      <c r="KH19" s="87"/>
      <c r="KI19" s="112"/>
      <c r="KJ19" s="96"/>
    </row>
    <row r="20" spans="2:296" ht="15.75" thickBot="1" x14ac:dyDescent="0.3">
      <c r="B20" s="100" t="s">
        <v>98</v>
      </c>
      <c r="C20" s="449">
        <f t="shared" si="11"/>
        <v>0</v>
      </c>
      <c r="D20" s="465">
        <f t="shared" si="12"/>
        <v>0</v>
      </c>
      <c r="E20" s="465">
        <f t="shared" si="13"/>
        <v>0</v>
      </c>
      <c r="F20" s="465">
        <f t="shared" si="14"/>
        <v>0</v>
      </c>
      <c r="G20" s="466">
        <f t="shared" si="15"/>
        <v>0</v>
      </c>
      <c r="H20" s="465">
        <f t="shared" si="16"/>
        <v>0</v>
      </c>
      <c r="I20" s="1046" t="e">
        <f t="shared" si="0"/>
        <v>#DIV/0!</v>
      </c>
      <c r="J20" s="1046" t="e">
        <f t="shared" si="1"/>
        <v>#DIV/0!</v>
      </c>
      <c r="K20" s="1046" t="e">
        <f t="shared" si="2"/>
        <v>#DIV/0!</v>
      </c>
      <c r="L20" s="465" t="e">
        <f t="shared" si="3"/>
        <v>#DIV/0!</v>
      </c>
      <c r="M20" s="465" t="e">
        <f t="shared" si="17"/>
        <v>#DIV/0!</v>
      </c>
      <c r="N20" s="1047" t="e">
        <f t="shared" si="4"/>
        <v>#DIV/0!</v>
      </c>
      <c r="P20" t="str">
        <f>'PIM Model'!E16</f>
        <v>INCLUDE</v>
      </c>
      <c r="Q20">
        <f t="shared" si="18"/>
        <v>0</v>
      </c>
      <c r="R20">
        <f t="shared" si="19"/>
        <v>0</v>
      </c>
      <c r="S20" s="100" t="s">
        <v>98</v>
      </c>
      <c r="T20" s="95">
        <f t="shared" si="20"/>
        <v>0</v>
      </c>
      <c r="U20" s="87">
        <f t="shared" si="5"/>
        <v>0</v>
      </c>
      <c r="V20" s="87">
        <f t="shared" si="6"/>
        <v>0</v>
      </c>
      <c r="W20" s="87">
        <f t="shared" si="7"/>
        <v>0</v>
      </c>
      <c r="X20" s="112">
        <f t="shared" si="8"/>
        <v>0</v>
      </c>
      <c r="Y20" s="115">
        <f t="shared" si="21"/>
        <v>0</v>
      </c>
      <c r="Z20" s="374"/>
      <c r="AA20" s="100" t="s">
        <v>98</v>
      </c>
      <c r="AB20" s="453">
        <f t="shared" si="9"/>
        <v>0</v>
      </c>
      <c r="AC20" s="454">
        <f t="shared" si="9"/>
        <v>0</v>
      </c>
      <c r="AD20" s="454">
        <f t="shared" si="9"/>
        <v>0</v>
      </c>
      <c r="AE20" s="455">
        <f t="shared" si="22"/>
        <v>0</v>
      </c>
      <c r="AF20" s="456">
        <f t="shared" si="23"/>
        <v>0</v>
      </c>
      <c r="AG20" s="374"/>
      <c r="AH20" s="100" t="s">
        <v>98</v>
      </c>
      <c r="AI20" s="453">
        <f t="shared" si="10"/>
        <v>0</v>
      </c>
      <c r="AJ20" s="450">
        <f t="shared" si="24"/>
        <v>0</v>
      </c>
      <c r="AK20" s="456"/>
      <c r="AL20" s="374"/>
      <c r="AM20" s="1" t="str">
        <f>IF('PIM Ranges'!$AK18='PIM Ranges'!$AW$11,IF($AI20&lt;'PIM Ranges'!$AX$11,"Q1",IF($AI20&lt;'PIM Ranges'!$AY$11,"Q2",IF($AI20&lt;'PIM Ranges'!$AZ$11,"Q3",IF($AI20&lt;'PIM Ranges'!$BA$11,"Q4","Q5")))),IF('PIM Ranges'!$AK18='PIM Ranges'!$AW$12,IF($AI20&lt;'PIM Ranges'!$AX$12,"Q1",IF($AI20&lt;'PIM Ranges'!$AY$12,"Q2",IF($AI20&lt;'PIM Ranges'!$AZ$12,"Q3",IF($AI20&lt;'PIM Ranges'!$BA$12,"Q4","Q5")))),IF('PIM Ranges'!$AK18='PIM Ranges'!$AW$13,IF($AI20&lt;'PIM Ranges'!$AX$13,"Q1",IF($AI20&lt;'PIM Ranges'!$AY$13,"Q2",IF($AI20&lt;'PIM Ranges'!$AZ$13,"Q3",IF($AI20&lt;'PIM Ranges'!$BA$13,"Q4","Q5")))),IF('PIM Ranges'!$AK18='PIM Ranges'!$AW$14,IF($AI20&lt;'PIM Ranges'!$AX$14,"Q1",IF($AI20&lt;'PIM Ranges'!$AY$14,"Q2",IF($AI20&lt;'PIM Ranges'!$AZ$14,"Q3",IF($AI20&lt;'PIM Ranges'!$BA$14,"Q4","Q5")))),IF('PIM Ranges'!$AK18='PIM Ranges'!$AW$15,IF($AI20&lt;'PIM Ranges'!$AX$15,"Q1",IF($AI20&lt;'PIM Ranges'!$AY$15,"Q2",IF($AI20&lt;'PIM Ranges'!$AZ$15,"Q3",IF($AI20&lt;'PIM Ranges'!$BA$15,"Q4","Q5")))),IF('PIM Ranges'!$AK18='PIM Ranges'!$AW$16,IF($AI20&lt;'PIM Ranges'!$AX$16,"Q1",IF($AI20&lt;'PIM Ranges'!$AY$16,"Q2",IF($AI20&lt;'PIM Ranges'!$AZ$16,"Q3",IF($AI20&lt;'PIM Ranges'!$BA$16,"Q4","Q5")))),IF('PIM Ranges'!$AK18='PIM Ranges'!$AW$17,IF($AI20&lt;'PIM Ranges'!$AX$17,"Q1",IF($AI20&lt;'PIM Ranges'!$AY$17,"Q2",IF($AI20&lt;'PIM Ranges'!$AZ$17,"Q3",IF($AI20&lt;'PIM Ranges'!$BA$17,"Q4","Q5")))),IF('PIM Ranges'!$AK18='PIM Ranges'!$AW$18,IF($AI20&lt;'PIM Ranges'!$AX$18,"Q1",IF($AI20&lt;'PIM Ranges'!$AY$18,"Q2",IF($AI20&lt;'PIM Ranges'!$AZ$18,"Q3",IF($AI20&lt;'PIM Ranges'!$BA$18,"Q4","Q5")))),IF('PIM Ranges'!$AK18='PIM Ranges'!$AW$19,IF($AI20&lt;'PIM Ranges'!$AX$19,"Q1",IF($AI20&lt;'PIM Ranges'!$AY$19,"Q2",IF($AI20&lt;'PIM Ranges'!$AZ$19,"Q3",IF($AI20&lt;'PIM Ranges'!$BA$19,"Q4","Q5")))),IF('PIM Ranges'!$AK18='PIM Ranges'!$AW$20,IF($AI20&lt;'PIM Ranges'!$AX$20,"Q1",IF($AI20&lt;'PIM Ranges'!$AY$20,"Q2",IF($AI20&lt;'PIM Ranges'!$AZ$20,"Q3",IF($AI20&lt;'PIM Ranges'!$BA$20,"Q4","Q5")))),IF('PIM Ranges'!$AK18='PIM Ranges'!$AW$21,IF($AI20&lt;'PIM Ranges'!$AX$21,"Q1",IF($AI20&lt;'PIM Ranges'!$AY$21,"Q2",IF($AI20&lt;'PIM Ranges'!$AZ$21,"Q3",IF($AI20&lt;'PIM Ranges'!$BA$21,"Q4","Q5")))),IF('PIM Ranges'!$AK18='PIM Ranges'!$AW$22,IF($AI20&lt;'PIM Ranges'!$AX$22,"Q1",IF($AI20&lt;'PIM Ranges'!$AY$22,"Q2",IF($AI20&lt;'PIM Ranges'!$AZ$22,"Q3",IF($AI20&lt;'PIM Ranges'!$BA$22,"Q4","Q5")))),IF('PIM Ranges'!$AK18='PIM Ranges'!$AW$23,IF($AI20&lt;'PIM Ranges'!$AX$23,"Q1",IF($AI20&lt;'PIM Ranges'!$AY$23,"Q2",IF($AI20&lt;'PIM Ranges'!$AZ$23,"Q3",IF($AI20&lt;'PIM Ranges'!$BA$23,"Q4","Q5")))),IF('PIM Ranges'!$AK18='PIM Ranges'!$AW$24,IF($AI20&lt;'PIM Ranges'!$AX$24,"Q1",IF($AI20&lt;'PIM Ranges'!$AY$24,"Q2",IF($AI20&lt;'PIM Ranges'!$AZ$24,"Q3",IF($AI20&lt;'PIM Ranges'!$BA$24,"Q4","Q5")))),IF('PIM Ranges'!$AK18='PIM Ranges'!$AW$25,IF($AI20&lt;'PIM Ranges'!$AX$25,"Q1",IF($AI20&lt;'PIM Ranges'!$AY$25,"Q2",IF($AI20&lt;'PIM Ranges'!$AZ$25,"Q3",IF($AI20&lt;'PIM Ranges'!$BA$25,"Q4","Q5")))),IF('PIM Ranges'!$AK18='PIM Ranges'!$AW$26,IF($AI20&lt;'PIM Ranges'!$AX$26,"Q1",IF($AI20&lt;'PIM Ranges'!$AY$26,"Q2",IF($AI20&lt;'PIM Ranges'!$AZ$26,"Q3",IF($AI20&lt;'PIM Ranges'!$BA$26,"Q4","Q5")))),IF('PIM Ranges'!$AK18='PIM Ranges'!$AW$27,IF($AI20&lt;'PIM Ranges'!$AX$27,"Q1",IF($AI20&lt;'PIM Ranges'!$AY$27,"Q2",IF($AI20&lt;'PIM Ranges'!$AZ$27,"Q3",IF($AI20&lt;'PIM Ranges'!$BA$27,"Q4","Q5")))),IF('PIM Ranges'!$AK18='PIM Ranges'!$AW$28,IF($AI20&lt;'PIM Ranges'!$AX$28,"Q1",IF($AI20&lt;'PIM Ranges'!$AY$28,"Q2",IF($AI20&lt;'PIM Ranges'!$AZ$28,"Q3",IF($AI20&lt;'PIM Ranges'!$BA$28,"Q4","Q5")))),IF('PIM Ranges'!$AK18='PIM Ranges'!$AW$29,IF($AI20&lt;'PIM Ranges'!$AX$29,"Q1",IF($AI20&lt;'PIM Ranges'!$AY$29,"Q2",IF($AI20&lt;'PIM Ranges'!$AZ$29,"Q3",IF($AI20&lt;'PIM Ranges'!$BA$29,"Q4","Q5")))),IF('PIM Ranges'!$AK18='PIM Ranges'!$AW$30,IF($AI20&lt;'PIM Ranges'!$AX$30,"Q1",IF($AI20&lt;'PIM Ranges'!$AY$30,"Q2",IF($AI20&lt;'PIM Ranges'!$AZ$30,"Q3",IF($AI20&lt;'PIM Ranges'!$BA$30,"Q4","Q5")))),IF('PIM Ranges'!$AK18='PIM Ranges'!$AW$31,IF($AI20&lt;'PIM Ranges'!$AX$31,"Q1",IF($AI20&lt;'PIM Ranges'!$AY$31,"Q2",IF($AI20&lt;'PIM Ranges'!$AZ$31,"Q3",IF($AI20&lt;'PIM Ranges'!$BA$31,"Q4","Q5")))),IF('PIM Ranges'!$AK18='PIM Ranges'!$AW$32,IF($AI20&lt;'PIM Ranges'!$AX$32,"Q1",IF($AI20&lt;'PIM Ranges'!$AY$32,"Q2",IF($AI20&lt;'PIM Ranges'!$AZ$32,"Q3",IF($AI20&lt;'PIM Ranges'!$BA$32,"Q4","Q5"))))))))))))))))))))))))))</f>
        <v>Q1</v>
      </c>
      <c r="AN20" s="374">
        <f>VLOOKUP($AH20&amp;$AM20,'IMargin Quartiles'!$A:$F,6,FALSE)</f>
        <v>0.17</v>
      </c>
      <c r="AO20" s="374"/>
      <c r="AP20"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Q20" s="374" t="e">
        <f t="shared" si="25"/>
        <v>#DIV/0!</v>
      </c>
      <c r="AR20">
        <f>'PIM Model'!C16</f>
        <v>0</v>
      </c>
      <c r="AS20" s="374"/>
      <c r="AT20" s="374"/>
      <c r="AU20" s="374" t="e">
        <f t="shared" si="46"/>
        <v>#DIV/0!</v>
      </c>
      <c r="AV20" s="374"/>
      <c r="AW20" s="374"/>
      <c r="AX20" s="106">
        <v>9</v>
      </c>
      <c r="AY20" s="18">
        <f t="array" ref="AY20">IFERROR(IF($BL20="SEGMENT",INDEX('Margin Guidence Table'!$A$1:$AG$10000,MATCH(1,('Margin Guidence Table'!$A$1:$A$10000=$BJ20)*('Margin Guidence Table'!$I$1:$I$10000&lt;=ROUND($BB$3,0))*('Margin Guidence Table'!$J$1:$J$10000&gt;=ROUND($BB$3,0)),0),MATCH("PCT_SALES",'Margin Guidence Table'!$A$1:$AG$1,0)),INDEX('Margin Guidence Table'!$A$1:$AG$10000,MATCH(1,('Margin Guidence Table'!$A$1:$A$10000=$BJ20)*('Margin Guidence Table'!$I$1:$I$10000&lt;=ROUND($BB$3,0))*('Margin Guidence Table'!$J$1:$J$10000&gt;=ROUND($BB$3,0)),0),MATCH("DEFAULT_PCT_SALES",'Margin Guidence Table'!$A$1:$AG$1,0))),0)</f>
        <v>0</v>
      </c>
      <c r="AZ20" s="370" t="e">
        <f t="shared" si="26"/>
        <v>#DIV/0!</v>
      </c>
      <c r="BA20" s="100" t="s">
        <v>98</v>
      </c>
      <c r="BB20" s="92">
        <f>IFERROR(IF(AND($BB$2&lt;&gt;"Enter Spend&gt;&gt;&gt;",BC8="EXISTING"),SUMIFS('Existing Customers'!$Q:$Q,'Existing Customers'!$A:$A,$BB$1,'Existing Customers'!$H:$H,$BA20)*$BB$4,$BB$3*$AZ20),0)</f>
        <v>0</v>
      </c>
      <c r="BC20" s="93">
        <f>IFERROR(IF(AND($BB$2&lt;&gt;"Enter Spend&gt;&gt;&gt;",BC2="EXISTING"),SUMIFS('Existing Customers'!$N:$N,'Existing Customers'!$A:$A,$BB$1,'Existing Customers'!$H:$H,$BA20)*$BB$4,$BB20/$BM20),0)</f>
        <v>0</v>
      </c>
      <c r="BD20" s="93">
        <f>IFERROR(IF(AND($BB$2&lt;&gt;"Enter Spend&gt;&gt;&gt;",BC2="EXISTING"),SUMIFS('Existing Customers'!$O:$O,'Existing Customers'!$H:$H,$BA20,'Existing Customers'!$A:$A,$BB$1)*$BB$4,$BC20*$BB$8),0)</f>
        <v>0</v>
      </c>
      <c r="BE20" s="93">
        <f>IFERROR(IF(AND($BB$2&lt;&gt;"Enter Spend&gt;&gt;&gt;",BC2="EXISTING"),SUMIFS('Existing Customers'!$P:$P,'Existing Customers'!$A:$A,$BB$1,'Existing Customers'!$H:$H,$BA20)*$BB$4,$BB20/$BN20),0)</f>
        <v>0</v>
      </c>
      <c r="BF20" s="376">
        <f>IFERROR(IF(AND($BB$2&lt;&gt;"Enter Spend&gt;&gt;&gt;",BC2="EXISTING"),SUMIFS('Existing Customers'!$V:$V,'Existing Customers'!$H:$H,$BA20,'Existing Customers'!$A:$A,$BB$1)*$BB$4,0),0)</f>
        <v>0</v>
      </c>
      <c r="BG20" s="94">
        <f>IFERROR(IF(AND($BB$2&lt;&gt;"Enter Spend&gt;&gt;&gt;",BC2="EXISTING"),SUMIFS('Existing Customers'!$R:$R,'Existing Customers'!$H:$H,$BA20,'Existing Customers'!$A:$A,$BB$1)*$BB$4,0),0)</f>
        <v>0</v>
      </c>
      <c r="BH20" s="94">
        <f>IFERROR(IF(AND($BB$2&lt;&gt;"Enter Spend&gt;&gt;&gt;",BC2="EXISTING"),SUMIFS('Existing Customers'!$S:$S,'Existing Customers'!$H:$H,$BA20,'Existing Customers'!$A:$A,$BB$1),BR20*BB20),0)</f>
        <v>0</v>
      </c>
      <c r="BI20" s="94">
        <f>IFERROR(IF(AND($BB$2&lt;&gt;"Enter Spend&gt;&gt;&gt;",BC2="EXISTING"),SUMIFS('Existing Customers'!$U:$U,'Existing Customers'!$H:$H,$BA20,'Existing Customers'!$A:$A,$BB$1),BS20*BB20),0)</f>
        <v>0</v>
      </c>
      <c r="BJ20" s="1052" t="e">
        <f>_xlfn.CONCAT('Customer Inputs'!$AG$6,"_",BA20)</f>
        <v>#N/A</v>
      </c>
      <c r="BK20" s="1053">
        <f t="array" ref="BK20">IFERROR(INDEX('Margin Guidence Table'!$A$1:$AG$10000,MATCH(1,('Margin Guidence Table'!$A$1:$A$10000=$BJ20)*('Margin Guidence Table'!$I$1:$I$10000&lt;=ROUND($BB$3,0))*('Margin Guidence Table'!$J$1:$J$10000&gt;=ROUND($BB$3,0)),0),MATCH("DATA_POINTS",'Margin Guidence Table'!$A$1:$AG$1,0)),0)</f>
        <v>0</v>
      </c>
      <c r="BL20" s="1050" t="str">
        <f t="shared" si="27"/>
        <v>DEFAULT</v>
      </c>
      <c r="BM20" s="1050">
        <f t="array" ref="BM20">IFERROR(IF($BL20="SEGMENT",INDEX('Margin Guidence Table'!$A$1:$AG$10000,MATCH(1,('Margin Guidence Table'!$A$1:$A$10000=$BJ20)*('Margin Guidence Table'!$I$1:$I$10000&lt;=ROUND($BB$3,0))*('Margin Guidence Table'!$J$1:$J$10000&gt;=ROUND($BB$3,0)),0),MATCH("SALES_CASE",'Margin Guidence Table'!$A$1:$AG$1,0)),INDEX('Margin Guidence Table'!$A$1:$AG$10000,MATCH(1,('Margin Guidence Table'!$A$1:$A$10000=$BJ20)*('Margin Guidence Table'!$I$1:$I$10000&lt;=ROUND($BB$3,0))*('Margin Guidence Table'!$J$1:$J$10000&gt;=ROUND($BB$3,0)),0),MATCH("DEFAULT_SALES_CASE",'Margin Guidence Table'!$A$1:$AG$1,0))),0)</f>
        <v>0</v>
      </c>
      <c r="BN20" s="1050">
        <f t="array" ref="BN20">IFERROR(IF($BL20="SEGMENT",INDEX('Margin Guidence Table'!$A$1:$AG$10000,MATCH(1,('Margin Guidence Table'!$A$1:$A$10000=$BJ20)*('Margin Guidence Table'!$I$1:$I$10000&lt;=ROUND($BB$3,0))*('Margin Guidence Table'!$J$1:$J$10000&gt;=ROUND($BB$3,0)),0),MATCH("SALES_LBS",'Margin Guidence Table'!$A$1:$AG$1,0)),INDEX('Margin Guidence Table'!$A$1:$AG$10000,MATCH(1,('Margin Guidence Table'!$A$1:$A$10000=$BJ20)*('Margin Guidence Table'!$I$1:$I$10000&lt;=ROUND($BB$3,0))*('Margin Guidence Table'!$J$1:$J$10000&gt;=ROUND($BB$3,0)),0),MATCH("DEFAULT_SALES_LBS",'Margin Guidence Table'!$A$1:$AG$1,0))),0)</f>
        <v>0</v>
      </c>
      <c r="BO20" s="1054">
        <f t="array" ref="BO20">IFERROR(IF($BL20="SEGMENT",INDEX('Margin Guidence Table'!$A$1:$AG$10000,MATCH(1,('Margin Guidence Table'!$A$1:$A$10000=$BJ20)*('Margin Guidence Table'!$I$1:$I$10000&lt;=ROUND($BB$3,0))*('Margin Guidence Table'!$J$1:$J$10000&gt;=ROUND($BB$3,0)),0),MATCH("MDA_MIN_MARGIN_GUIDENCE",'Margin Guidence Table'!$A$1:$AG$1,0)),INDEX('Margin Guidence Table'!$A$1:$AG$10000,MATCH(1,('Margin Guidence Table'!$A$1:$A$10000=$BJ20)*('Margin Guidence Table'!$I$1:$I$10000&lt;=ROUND($BB$3,0))*('Margin Guidence Table'!$J$1:$J$10000&gt;=ROUND($BB$3,0)),0),MATCH("DEFAULT_MDA_MIN_MARGIN_GUIDENCE",'Margin Guidence Table'!$A$1:$AG$1,0))),0)</f>
        <v>0</v>
      </c>
      <c r="BP20" s="1054">
        <f t="array" ref="BP20">IFERROR(IF($BL20="SEGMENT",INDEX('Margin Guidence Table'!$A$1:$AG$10000,MATCH(1,('Margin Guidence Table'!$A$1:$A$10000=$BJ20)*('Margin Guidence Table'!$I$1:$I$10000&lt;=ROUND($BB$3,0))*('Margin Guidence Table'!$J$1:$J$10000&gt;=ROUND($BB$3,0)),0),MATCH("MDA_MEDIAN_MARGIN_GUIDENCE",'Margin Guidence Table'!$A$1:$AG$1,0)),INDEX('Margin Guidence Table'!$A$1:$AG$10000,MATCH(1,('Margin Guidence Table'!$A$1:$A$10000=$BJ20)*('Margin Guidence Table'!$I$1:$I$10000&lt;=ROUND($BB$3,0))*('Margin Guidence Table'!$J$1:$J$10000&gt;=ROUND($BB$3,0)),0),MATCH("DEFAULT_MDA_MEDIAN_MARGIN_GUIDENCE",'Margin Guidence Table'!$A$1:$AG$1,0))),0)</f>
        <v>0</v>
      </c>
      <c r="BQ20" s="1054">
        <f t="array" ref="BQ20">IFERROR(IF($BL20="SEGMENT",INDEX('Margin Guidence Table'!$A$1:$AG$10000,MATCH(1,('Margin Guidence Table'!$A$1:$A$10000=$BJ20)*('Margin Guidence Table'!$I$1:$I$10000&lt;=ROUND($BB$3,0))*('Margin Guidence Table'!$J$1:$J$10000&gt;=ROUND($BB$3,0)),0),MATCH("MDA_MAX_MARGIN_GUIDENCE",'Margin Guidence Table'!$A$1:$AG$1,0)),INDEX('Margin Guidence Table'!$A$1:$AG$10000,MATCH(1,('Margin Guidence Table'!$A$1:$A$10000=$BJ20)*('Margin Guidence Table'!$I$1:$I$10000&lt;=ROUND($BB$3,0))*('Margin Guidence Table'!$J$1:$J$10000&gt;=ROUND($BB$3,0)),0),MATCH("DEFAULT_MDA_MAX_MARGIN_GUIDENCE",'Margin Guidence Table'!$A$1:$AG$1,0))),0)</f>
        <v>0</v>
      </c>
      <c r="BR20" s="1054">
        <f t="array" ref="BR20">IFERROR(IF($BL20="SEGMENT",INDEX('Margin Guidence Table'!$A$1:$AG$10000,MATCH(1,('Margin Guidence Table'!$A$1:$A$10000=$BJ20)*('Margin Guidence Table'!$I$1:$I$10000&lt;=ROUND($BB$3,0))*('Margin Guidence Table'!$J$1:$J$10000&gt;=ROUND($BB$3,0)),0),MATCH("PA_PCT_SALES",'Margin Guidence Table'!$A$1:$AG$1,0)),INDEX('Margin Guidence Table'!$A$1:$AG$10000,MATCH(1,('Margin Guidence Table'!$A$1:$A$10000=$BJ20)*('Margin Guidence Table'!$I$1:$I$10000&lt;=ROUND($BB$3,0))*('Margin Guidence Table'!$J$1:$J$10000&gt;=ROUND($BB$3,0)),0),MATCH("DEFAULT_PA_PCT_SALES",'Margin Guidence Table'!$A$1:$AG$1,0))),0)</f>
        <v>0</v>
      </c>
      <c r="BS20" s="1054">
        <f t="array" ref="BS20">IFERROR(IF($BL20="SEGMENT",INDEX('Margin Guidence Table'!$A$1:$AG$10000,MATCH(1,('Margin Guidence Table'!$A$1:$A$10000=$BJ20)*('Margin Guidence Table'!$I$1:$I$10000&lt;=ROUND($BB$3,0))*('Margin Guidence Table'!$J$1:$J$10000&gt;=ROUND($BB$3,0)),0),MATCH("SELF_FUND_PCT_SALES",'Margin Guidence Table'!$A$1:$AG$1,0)),INDEX('Margin Guidence Table'!$A$1:$AG$10000,MATCH(1,('Margin Guidence Table'!$A$1:$A$10000=$BJ20)*('Margin Guidence Table'!$I$1:$I$10000&lt;=ROUND($BB$3,0))*('Margin Guidence Table'!$J$1:$J$10000&gt;=ROUND($BB$3,0)),0),MATCH("DEFAULT_SELF_FUND_PCT_SALES",'Margin Guidence Table'!$A$1:$AG$1,0))),0)</f>
        <v>0</v>
      </c>
      <c r="BT20" s="1054">
        <f t="array" ref="BT20">IFERROR(IF($BL20="SEGMENT",INDEX('Margin Guidence Table'!$A$1:$AG$10000,MATCH(1,('Margin Guidence Table'!$A$1:$A$10000=$BJ20)*('Margin Guidence Table'!$I$1:$I$10000&lt;=ROUND($BB$3,0))*('Margin Guidence Table'!$J$1:$J$10000&gt;=ROUND($BB$3,0)),0),MATCH("CIA_MEDIAN_MARGIN_GUIDENCE",'Margin Guidence Table'!$A$1:$AG$1,0)),INDEX('Margin Guidence Table'!$A$1:$AG$10000,MATCH(1,('Margin Guidence Table'!$A$1:$A$10000=$BJ20)*('Margin Guidence Table'!$I$1:$I$10000&lt;=ROUND($BB$3,0))*('Margin Guidence Table'!$J$1:$J$10000&gt;=ROUND($BB$3,0)),0),MATCH("DEFAULT_CIA_MEDIAN_MARGIN_GUIDENCE",'Margin Guidence Table'!$A$1:$AG$1,0))),0)</f>
        <v>0</v>
      </c>
      <c r="BU20" s="127"/>
      <c r="BV20" s="18">
        <f t="array" ref="BV20">IFERROR(IF($CI20="SEGMENT",INDEX('Margin Guidence Table'!$A$1:$AG$10000,MATCH(1,('Margin Guidence Table'!$A$1:$A$10000=$CG20)*('Margin Guidence Table'!$I$1:$I$10000&lt;=ROUND($BY$3,0))*('Margin Guidence Table'!$J$1:$J$10000&gt;=ROUND($BY$3,0)),0),MATCH("PCT_SALES",'Margin Guidence Table'!$A$1:$AG$1,0)),INDEX('Margin Guidence Table'!$A$1:$AG$10000,MATCH(1,('Margin Guidence Table'!$A$1:$A$10000=$CG20)*('Margin Guidence Table'!$I$1:$I$10000&lt;=ROUND($BY$3,0))*('Margin Guidence Table'!$J$1:$J$10000&gt;=ROUND($BY$3,0)),0),MATCH("DEFAULT_PCT_SALES",'Margin Guidence Table'!$A$1:$AG$1,0))),0)</f>
        <v>0</v>
      </c>
      <c r="BW20" s="370" t="e">
        <f t="shared" si="28"/>
        <v>#DIV/0!</v>
      </c>
      <c r="BX20" s="100" t="s">
        <v>98</v>
      </c>
      <c r="BY20" s="92">
        <f>IFERROR(IF(AND($BY$2&lt;&gt;"Enter Spend&gt;&gt;&gt;",BZ8="EXISTING"),SUMIFS('Existing Customers'!$Q:$Q,'Existing Customers'!$A:$A,$BY$1,'Existing Customers'!$H:$H,$BX20)*$BY$4,$BY$3*$BW20),0)</f>
        <v>0</v>
      </c>
      <c r="BZ20" s="87">
        <f>IFERROR(IF(AND($BY$2&lt;&gt;"Enter Spend&gt;&gt;&gt;",BZ2="EXISTING"),SUMIFS('Existing Customers'!$N:$N,'Existing Customers'!$A:$A,$BY$1,'Existing Customers'!$H:$H,$BX20)*$BY$4,$BY20/$CJ20),0)</f>
        <v>0</v>
      </c>
      <c r="CA20" s="93">
        <f>IFERROR(IF(AND($BY$2&lt;&gt;"Enter Spend&gt;&gt;&gt;",BZ2="EXISTING"),SUMIFS('Existing Customers'!$O:$O,'Existing Customers'!$H:$H,$BX20,'Existing Customers'!$A:$A,$BY$1)*$BY$4,$BZ20*$BY$8),0)</f>
        <v>0</v>
      </c>
      <c r="CB20" s="93">
        <f>IFERROR(IF(AND($BY$2&lt;&gt;"Enter Spend&gt;&gt;&gt;",BZ2="EXISTING"),SUMIFS('Existing Customers'!$P:$P,'Existing Customers'!$A:$A,$BY$1,'Existing Customers'!$H:$H,$BX20)*$BY$4,$BY20/$CK20),0)</f>
        <v>0</v>
      </c>
      <c r="CC20" s="94">
        <f>IFERROR(IF(AND($BY$2&lt;&gt;"Enter Spend&gt;&gt;&gt;",BZ2="EXISTING"),SUMIFS('Existing Customers'!$V:$V,'Existing Customers'!$H:$H,$BX20,'Existing Customers'!$A:$A,$BY$1)*$BY$4,0),0)</f>
        <v>0</v>
      </c>
      <c r="CD20" s="94">
        <f>IFERROR(IF(AND($BY$2&lt;&gt;"Enter Spend&gt;&gt;&gt;",BZ2="EXISTING"),SUMIFS('Existing Customers'!$R:$R,'Existing Customers'!$H:$H,$BX20,'Existing Customers'!$A:$A,$BY$1)*$BY$4,0),0)</f>
        <v>0</v>
      </c>
      <c r="CE20" s="1050">
        <f>IFERROR(IF(AND($BY$2&lt;&gt;"Enter Spend&gt;&gt;&gt;",BZ2="EXISTING"),SUMIFS('Existing Customers'!$S:$S,'Existing Customers'!$H:$H,$BX20,'Existing Customers'!$A:$A,$BY$1),CO20*BY20),0)</f>
        <v>0</v>
      </c>
      <c r="CF20" s="1050">
        <f>IFERROR(IF(AND($BY$2&lt;&gt;"Enter Spend&gt;&gt;&gt;",BZ2="EXISTING"),SUMIFS('Existing Customers'!$U:$U,'Existing Customers'!$H:$H,$BX20,'Existing Customers'!$A:$A,$BY$1),CP20*BY20),0)</f>
        <v>0</v>
      </c>
      <c r="CG20" s="1053" t="e">
        <f>_xlfn.CONCAT('Customer Inputs'!$AG$7,"_",BX20)</f>
        <v>#N/A</v>
      </c>
      <c r="CH20" s="1053">
        <f t="array" ref="CH20">IFERROR(INDEX('Margin Guidence Table'!$A$1:$AG$10000,MATCH(1,('Margin Guidence Table'!$A$1:$A$10000=$CG20)*('Margin Guidence Table'!$I$1:$I$10000&lt;=ROUND($BY$3,0))*('Margin Guidence Table'!$J$1:$J$10000&gt;=ROUND($BY$3,0)),0),MATCH("DATA_POINTS",'Margin Guidence Table'!$A$1:$AG$1,0)),0)</f>
        <v>0</v>
      </c>
      <c r="CI20" s="1050" t="str">
        <f t="shared" si="29"/>
        <v>DEFAULT</v>
      </c>
      <c r="CJ20" s="1050">
        <f t="array" ref="CJ20">IFERROR(IF($CI20="SEGMENT",INDEX('Margin Guidence Table'!$A$1:$AG$10000,MATCH(1,('Margin Guidence Table'!$A$1:$A$10000=$CG20)*('Margin Guidence Table'!$I$1:$I$10000&lt;=ROUND($BY$3,0))*('Margin Guidence Table'!$J$1:$J$10000&gt;=ROUND($BY$3,0)),0),MATCH("SALES_CASE",'Margin Guidence Table'!$A$1:$AG$1,0)),INDEX('Margin Guidence Table'!$A$1:$AG$10000,MATCH(1,('Margin Guidence Table'!$A$1:$A$10000=$CG20)*('Margin Guidence Table'!$I$1:$I$10000&lt;=ROUND($BY$3,0))*('Margin Guidence Table'!$J$1:$J$10000&gt;=ROUND($BY$3,0)),0),MATCH("DEFAULT_SALES_CASE",'Margin Guidence Table'!$A$1:$AG$1,0))),0)</f>
        <v>0</v>
      </c>
      <c r="CK20" s="1050">
        <f t="array" ref="CK20">IFERROR(IF($CI20="SEGMENT",INDEX('Margin Guidence Table'!$A$1:$AG$10000,MATCH(1,('Margin Guidence Table'!$A$1:$A$10000=$CG20)*('Margin Guidence Table'!$I$1:$I$10000&lt;=ROUND($BY$3,0))*('Margin Guidence Table'!$J$1:$J$10000&gt;=ROUND($BY$3,0)),0),MATCH("SALES_LBS",'Margin Guidence Table'!$A$1:$AG$1,0)),INDEX('Margin Guidence Table'!$A$1:$AG$10000,MATCH(1,('Margin Guidence Table'!$A$1:$A$10000=$CG20)*('Margin Guidence Table'!$I$1:$I$10000&lt;=ROUND($BY$3,0))*('Margin Guidence Table'!$J$1:$J$10000&gt;=ROUND($BY$3,0)),0),MATCH("DEFAULT_SALES_LBS",'Margin Guidence Table'!$A$1:$AG$1,0))),0)</f>
        <v>0</v>
      </c>
      <c r="CL20" s="1054">
        <f t="array" ref="CL20">IFERROR(IF($CI20="SEGMENT",INDEX('Margin Guidence Table'!$A$1:$AG$10000,MATCH(1,('Margin Guidence Table'!$A$1:$A$10000=$CG20)*('Margin Guidence Table'!$I$1:$I$10000&lt;=ROUND($BY$3,0))*('Margin Guidence Table'!$J$1:$J$10000&gt;=ROUND($BY$3,0)),0),MATCH("MDA_MIN_MARGIN_GUIDENCE",'Margin Guidence Table'!$A$1:$AG$1,0)),INDEX('Margin Guidence Table'!$A$1:$AG$10000,MATCH(1,('Margin Guidence Table'!$A$1:$A$10000=$CG20)*('Margin Guidence Table'!$I$1:$I$10000&lt;=ROUND($BY$3,0))*('Margin Guidence Table'!$J$1:$J$10000&gt;=ROUND($BY$3,0)),0),MATCH("DEFAULT_MDA_MIN_MARGIN_GUIDENCE",'Margin Guidence Table'!$A$1:$AG$1,0))),0)</f>
        <v>0</v>
      </c>
      <c r="CM20" s="1054">
        <f t="array" ref="CM20">IFERROR(IF($CI20="SEGMENT",INDEX('Margin Guidence Table'!$A$1:$AG$10000,MATCH(1,('Margin Guidence Table'!$A$1:$A$10000=$CG20)*('Margin Guidence Table'!$I$1:$I$10000&lt;=ROUND($BY$3,0))*('Margin Guidence Table'!$J$1:$J$10000&gt;=ROUND($BY$3,0)),0),MATCH("MDA_MEDIAN_MARGIN_GUIDENCE",'Margin Guidence Table'!$A$1:$AG$1,0)),INDEX('Margin Guidence Table'!$A$1:$AG$10000,MATCH(1,('Margin Guidence Table'!$A$1:$A$10000=$CG20)*('Margin Guidence Table'!$I$1:$I$10000&lt;=ROUND($BY$3,0))*('Margin Guidence Table'!$J$1:$J$10000&gt;=ROUND($BY$3,0)),0),MATCH("DEFAULT_MDA_MEDIAN_MARGIN_GUIDENCE",'Margin Guidence Table'!$A$1:$AG$1,0))),0)</f>
        <v>0</v>
      </c>
      <c r="CN20" s="1054">
        <f t="array" ref="CN20">IFERROR(IF($CI20="SEGMENT",INDEX('Margin Guidence Table'!$A$1:$AG$10000,MATCH(1,('Margin Guidence Table'!$A$1:$A$10000=$CG20)*('Margin Guidence Table'!$I$1:$I$10000&lt;=ROUND($BY$3,0))*('Margin Guidence Table'!$J$1:$J$10000&gt;=ROUND($BY$3,0)),0),MATCH("MDA_MAX_MARGIN_GUIDENCE",'Margin Guidence Table'!$A$1:$AG$1,0)),INDEX('Margin Guidence Table'!$A$1:$AG$10000,MATCH(1,('Margin Guidence Table'!$A$1:$A$10000=$CG20)*('Margin Guidence Table'!$I$1:$I$10000&lt;=ROUND($BY$3,0))*('Margin Guidence Table'!$J$1:$J$10000&gt;=ROUND($BY$3,0)),0),MATCH("DEFAULT_MDA_MAX_MARGIN_GUIDENCE",'Margin Guidence Table'!$A$1:$AG$1,0))),0)</f>
        <v>0</v>
      </c>
      <c r="CO20" s="1054">
        <f t="array" ref="CO20">IFERROR(IF($CI20="SEGMENT",INDEX('Margin Guidence Table'!$A$1:$AG$10000,MATCH(1,('Margin Guidence Table'!$A$1:$A$10000=$CG20)*('Margin Guidence Table'!$I$1:$I$10000&lt;=ROUND($BY$3,0))*('Margin Guidence Table'!$J$1:$J$10000&gt;=ROUND($BY$3,0)),0),MATCH("PA_PCT_SALES",'Margin Guidence Table'!$A$1:$AG$1,0)),INDEX('Margin Guidence Table'!$A$1:$AG$10000,MATCH(1,('Margin Guidence Table'!$A$1:$A$10000=$CG20)*('Margin Guidence Table'!$I$1:$I$10000&lt;=ROUND($BY$3,0))*('Margin Guidence Table'!$J$1:$J$10000&gt;=ROUND($BY$3,0)),0),MATCH("DEFAULT_PA_PCT_SALES",'Margin Guidence Table'!$A$1:$AG$1,0))),0)</f>
        <v>0</v>
      </c>
      <c r="CP20" s="1054">
        <f t="array" ref="CP20">IFERROR(IF($CI20="SEGMENT",INDEX('Margin Guidence Table'!$A$1:$AG$10000,MATCH(1,('Margin Guidence Table'!$A$1:$A$10000=$CG20)*('Margin Guidence Table'!$I$1:$I$10000&lt;=ROUND($BY$3,0))*('Margin Guidence Table'!$J$1:$J$10000&gt;=ROUND($BY$3,0)),0),MATCH("SELF_FUND_PCT_SALES",'Margin Guidence Table'!$A$1:$AG$1,0)),INDEX('Margin Guidence Table'!$A$1:$AG$10000,MATCH(1,('Margin Guidence Table'!$A$1:$A$10000=$CG20)*('Margin Guidence Table'!$I$1:$I$10000&lt;=ROUND($BY$3,0))*('Margin Guidence Table'!$J$1:$J$10000&gt;=ROUND($BY$3,0)),0),MATCH("DEFAULT_SELF_FUND_PCT_SALES",'Margin Guidence Table'!$A$1:$AG$1,0))),0)</f>
        <v>0</v>
      </c>
      <c r="CQ20" s="1054">
        <f t="array" ref="CQ20">IFERROR(IF($CI20="SEGMENT",INDEX('Margin Guidence Table'!$A$1:$AG$10000,MATCH(1,('Margin Guidence Table'!$A$1:$A$10000=$CG20)*('Margin Guidence Table'!$I$1:$I$10000&lt;=ROUND($BY$3,0))*('Margin Guidence Table'!$J$1:$J$10000&gt;=ROUND($BY$3,0)),0),MATCH("CIA_MEDIAN_MARGIN_GUIDENCE",'Margin Guidence Table'!$A$1:$AG$1,0)),INDEX('Margin Guidence Table'!$A$1:$AG$10000,MATCH(1,('Margin Guidence Table'!$A$1:$A$10000=$CG20)*('Margin Guidence Table'!$I$1:$I$10000&lt;=ROUND($BY$3,0))*('Margin Guidence Table'!$J$1:$J$10000&gt;=ROUND($BY$3,0)),0),MATCH("DEFAULT_CIA_MEDIAN_MARGIN_GUIDENCE",'Margin Guidence Table'!$A$1:$AG$1,0))),0)</f>
        <v>0</v>
      </c>
      <c r="CR20" s="127"/>
      <c r="CS20" s="18">
        <f t="array" ref="CS20">IFERROR(IF($DF20="SEGMENT",INDEX('Margin Guidence Table'!$A$1:$AG$10000,MATCH(1,('Margin Guidence Table'!$A$1:$A$10000=$DD20)*('Margin Guidence Table'!$I$1:$I$10000&lt;=ROUND($CV$3,0))*('Margin Guidence Table'!$J$1:$J$10000&gt;=ROUND($CV$3,0)),0),MATCH("PCT_SALES",'Margin Guidence Table'!$A$1:$AG$1,0)),INDEX('Margin Guidence Table'!$A$1:$AG$10000,MATCH(1,('Margin Guidence Table'!$A$1:$A$10000=$DD20)*('Margin Guidence Table'!$I$1:$I$10000&lt;=ROUND($CV$3,0))*('Margin Guidence Table'!$J$1:$J$10000&gt;=ROUND($CV$3,0)),0),MATCH("DEFAULT_PCT_SALES",'Margin Guidence Table'!$A$1:$AG$1,0))),0)</f>
        <v>0</v>
      </c>
      <c r="CT20" s="370" t="e">
        <f t="shared" si="30"/>
        <v>#DIV/0!</v>
      </c>
      <c r="CU20" s="100" t="s">
        <v>98</v>
      </c>
      <c r="CV20" s="92">
        <f>IFERROR(IF(AND($CV$2&lt;&gt;"Enter Spend&gt;&gt;&gt;",CW8="EXISTING"),SUMIFS('Existing Customers'!$Q:$Q,'Existing Customers'!$A:$A,$CV$1,'Existing Customers'!$H:$H,$CU20)*$CV$4,$CV$3*$CT20),0)</f>
        <v>0</v>
      </c>
      <c r="CW20" s="87">
        <f>IFERROR(IF(AND($CV$2&lt;&gt;"Enter Spend&gt;&gt;&gt;",CW2="EXISTING"),SUMIFS('Existing Customers'!$N:$N,'Existing Customers'!$A:$A,$CV$1,'Existing Customers'!$H:$H,$CU20)*$CV$4,$CV20/$DG20),0)</f>
        <v>0</v>
      </c>
      <c r="CX20" s="93">
        <f>IFERROR(IF(AND($CV$2&lt;&gt;"Enter Spend&gt;&gt;&gt;",BC28="EXISTING"),SUMIFS('Existing Customers'!$O:$O,'Existing Customers'!$H:$H,$CU20,'Existing Customers'!$A:$A,$CV$1)*$CV$4,$CW20*$CV$8),0)</f>
        <v>0</v>
      </c>
      <c r="CY20" s="93">
        <f>IFERROR(IF(AND($CV$2&lt;&gt;"Enter Spend&gt;&gt;&gt;",CW2="EXISTING"),SUMIFS('Existing Customers'!$P:$P,'Existing Customers'!$A:$A,$CV$1,'Existing Customers'!$H:$H,$CU20)*$CV$4,$CV20/$DH20),0)</f>
        <v>0</v>
      </c>
      <c r="CZ20" s="94">
        <f>IFERROR(IF(AND($CV$2&lt;&gt;"Enter Spend&gt;&gt;&gt;",CW2="EXISTING"),SUMIFS('Existing Customers'!$V:$V,'Existing Customers'!$H:$H,$CU20,'Existing Customers'!$A:$A,$CV$1)*$CV$4,0),0)</f>
        <v>0</v>
      </c>
      <c r="DA20" s="94">
        <f>IFERROR(IF(AND($CV$2&lt;&gt;"Enter Spend&gt;&gt;&gt;",CW2="EXISTING"),SUMIFS('Existing Customers'!$R:$R,'Existing Customers'!$H:$H,$BA20,'Existing Customers'!$A:$A,$CV$1)*$CV$4,0),0)</f>
        <v>0</v>
      </c>
      <c r="DB20" s="1050">
        <f>IFERROR(IF(AND($CV$2&lt;&gt;"Enter Spend&gt;&gt;&gt;",CW2="EXISTING"),SUMIFS('Existing Customers'!$S:$S,'Existing Customers'!$H:$H,$CU20,'Existing Customers'!$A:$A,$CV$1),DL20*CV20),0)</f>
        <v>0</v>
      </c>
      <c r="DC20" s="1050">
        <f>IFERROR(IF(AND($CV$2&lt;&gt;"Enter Spend&gt;&gt;&gt;",CW2="EXISTING"),SUMIFS('Existing Customers'!$U:$U,'Existing Customers'!$H:$H,$CU20,'Existing Customers'!$A:$A,$CV$1),DM20*CV20),0)</f>
        <v>0</v>
      </c>
      <c r="DD20" s="1053" t="e">
        <f>_xlfn.CONCAT('Customer Inputs'!$AG$8,"_",CU20)</f>
        <v>#N/A</v>
      </c>
      <c r="DE20" s="1053">
        <f t="array" ref="DE20">IFERROR(INDEX('Margin Guidence Table'!$A$1:$AG$10000,MATCH(1,('Margin Guidence Table'!$A$1:$A$10000=DD20)*('Margin Guidence Table'!$I$1:$I$10000&lt;=ROUND($CV$3,0))*('Margin Guidence Table'!$J$1:$J$10000&gt;=ROUND($CV$3,0)),0),MATCH("DATA_POINTS",'Margin Guidence Table'!$A$1:$AG$1,0)),0)</f>
        <v>0</v>
      </c>
      <c r="DF20" s="1050" t="str">
        <f t="shared" si="31"/>
        <v>DEFAULT</v>
      </c>
      <c r="DG20" s="1050">
        <f t="array" ref="DG20">IFERROR(IF($DF20="SEGMENT",INDEX('Margin Guidence Table'!$A$1:$AG$10000,MATCH(1,('Margin Guidence Table'!$A$1:$A$10000=DD20)*('Margin Guidence Table'!$I$1:$I$10000&lt;=ROUND($CV$3,0))*('Margin Guidence Table'!$J$1:$J$10000&gt;=ROUND($CV$3,0)),0),MATCH("SALES_CASE",'Margin Guidence Table'!$A$1:$AG$1,0)),INDEX('Margin Guidence Table'!$A$1:$AG$10000,MATCH(1,('Margin Guidence Table'!$A$1:$A$10000=DD20)*('Margin Guidence Table'!$I$1:$I$10000&lt;=ROUND($CV$3,0))*('Margin Guidence Table'!$J$1:$J$10000&gt;=ROUND($CV$3,0)),0),MATCH("DEFAULT_SALES_CASE",'Margin Guidence Table'!$A$1:$AG$1,0))),0)</f>
        <v>0</v>
      </c>
      <c r="DH20" s="1050">
        <f t="array" ref="DH20">IFERROR(IF($DF20="SEGMENT",INDEX('Margin Guidence Table'!$A$1:$AG$10000,MATCH(1,('Margin Guidence Table'!$A$1:$A$10000=DD20)*('Margin Guidence Table'!$I$1:$I$10000&lt;=ROUND($CV$3,0))*('Margin Guidence Table'!$J$1:$J$10000&gt;=ROUND($CV$3,0)),0),MATCH("SALES_LBS",'Margin Guidence Table'!$A$1:$AG$1,0)),INDEX('Margin Guidence Table'!$A$1:$AG$10000,MATCH(1,('Margin Guidence Table'!$A$1:$A$10000=DD20)*('Margin Guidence Table'!$I$1:$I$10000&lt;=ROUND($CV$3,0))*('Margin Guidence Table'!$J$1:$J$10000&gt;=ROUND($CV$3,0)),0),MATCH("DEFAULT_SALES_LBS",'Margin Guidence Table'!$A$1:$AG$1,0))),0)</f>
        <v>0</v>
      </c>
      <c r="DI20" s="1054">
        <f t="array" ref="DI20">IFERROR(IF($DF20="SEGMENT",INDEX('Margin Guidence Table'!$A$1:$AG$10000,MATCH(1,('Margin Guidence Table'!$A$1:$A$10000=DD20)*('Margin Guidence Table'!$I$1:$I$10000&lt;=ROUND($CV$3,0))*('Margin Guidence Table'!$J$1:$J$10000&gt;=ROUND($CV$3,0)),0),MATCH("MDA_MIN_MARGIN_GUIDENCE",'Margin Guidence Table'!$A$1:$AG$1,0)),INDEX('Margin Guidence Table'!$A$1:$AG$10000,MATCH(1,('Margin Guidence Table'!$A$1:$A$10000=DD20)*('Margin Guidence Table'!$I$1:$I$10000&lt;=ROUND($CV$3,0))*('Margin Guidence Table'!$J$1:$J$10000&gt;=ROUND($CV$3,0)),0),MATCH("DEFAULT_MDA_MIN_MARGIN_GUIDENCE",'Margin Guidence Table'!$A$1:$AG$1,0))),0)</f>
        <v>0</v>
      </c>
      <c r="DJ20" s="1054">
        <f t="array" ref="DJ20">IFERROR(IF($DF20="SEGMENT",INDEX('Margin Guidence Table'!$A$1:$AG$10000,MATCH(1,('Margin Guidence Table'!$A$1:$A$10000=DD20)*('Margin Guidence Table'!$I$1:$I$10000&lt;=ROUND($CV$3,0))*('Margin Guidence Table'!$J$1:$J$10000&gt;=ROUND($CV$3,0)),0),MATCH("MDA_MEDIAN_MARGIN_GUIDENCE",'Margin Guidence Table'!$A$1:$AG$1,0)),INDEX('Margin Guidence Table'!$A$1:$AG$10000,MATCH(1,('Margin Guidence Table'!$A$1:$A$10000=DD20)*('Margin Guidence Table'!$I$1:$I$10000&lt;=ROUND($CV$3,0))*('Margin Guidence Table'!$J$1:$J$10000&gt;=ROUND($CV$3,0)),0),MATCH("DEFAULT_MDA_MEDIAN_MARGIN_GUIDENCE",'Margin Guidence Table'!$A$1:$AG$1,0))),0)</f>
        <v>0</v>
      </c>
      <c r="DK20" s="1054">
        <f t="array" ref="DK20">IFERROR(IF($DF20="SEGMENT",INDEX('Margin Guidence Table'!$A$1:$AG$10000,MATCH(1,('Margin Guidence Table'!$A$1:$A$10000=DD20)*('Margin Guidence Table'!$I$1:$I$10000&lt;=ROUND($CV$3,0))*('Margin Guidence Table'!$J$1:$J$10000&gt;=ROUND($CV$3,0)),0),MATCH("MDA_MAX_MARGIN_GUIDENCE",'Margin Guidence Table'!$A$1:$AG$1,0)),INDEX('Margin Guidence Table'!$A$1:$AG$10000,MATCH(1,('Margin Guidence Table'!$A$1:$A$10000=DD20)*('Margin Guidence Table'!$I$1:$I$10000&lt;=ROUND($CV$3,0))*('Margin Guidence Table'!$J$1:$J$10000&gt;=ROUND($CV$3,0)),0),MATCH("DEFAULT_MDA_MAX_MARGIN_GUIDENCE",'Margin Guidence Table'!$A$1:$AG$1,0))),0)</f>
        <v>0</v>
      </c>
      <c r="DL20" s="1054">
        <f t="array" ref="DL20">IFERROR(IF($DF20="SEGMENT",INDEX('Margin Guidence Table'!$A$1:$AG$10000,MATCH(1,('Margin Guidence Table'!$A$1:$A$10000=DD20)*('Margin Guidence Table'!$I$1:$I$10000&lt;=ROUND($CV$3,0))*('Margin Guidence Table'!$J$1:$J$10000&gt;=ROUND($CV$3,0)),0),MATCH("PA_PCT_SALES",'Margin Guidence Table'!$A$1:$AG$1,0)),INDEX('Margin Guidence Table'!$A$1:$AG$10000,MATCH(1,('Margin Guidence Table'!$A$1:$A$10000=DD20)*('Margin Guidence Table'!$I$1:$I$10000&lt;=ROUND($CV$3,0))*('Margin Guidence Table'!$J$1:$J$10000&gt;=ROUND($CV$3,0)),0),MATCH("DEFAULT_PA_PCT_SALES",'Margin Guidence Table'!$A$1:$AG$1,0))),0)</f>
        <v>0</v>
      </c>
      <c r="DM20" s="1054">
        <f t="array" ref="DM20">IFERROR(IF($DF20="SEGMENT",INDEX('Margin Guidence Table'!$A$1:$AG$10000,MATCH(1,('Margin Guidence Table'!$A$1:$A$10000=DD20)*('Margin Guidence Table'!$I$1:$I$10000&lt;=ROUND($CV$3,0))*('Margin Guidence Table'!$J$1:$J$10000&gt;=ROUND($CV$3,0)),0),MATCH("SELF_FUND_PCT_SALES",'Margin Guidence Table'!$A$1:$AG$1,0)),INDEX('Margin Guidence Table'!$A$1:$AG$10000,MATCH(1,('Margin Guidence Table'!$A$1:$A$10000=DD20)*('Margin Guidence Table'!$I$1:$I$10000&lt;=ROUND($CV$3,0))*('Margin Guidence Table'!$J$1:$J$10000&gt;=ROUND($CV$3,0)),0),MATCH("DEFAULT_SELF_FUND_PCT_SALES",'Margin Guidence Table'!$A$1:$AG$1,0))),0)</f>
        <v>0</v>
      </c>
      <c r="DN20" s="1054">
        <f t="array" ref="DN20">IFERROR(IF($DF20="SEGMENT",INDEX('Margin Guidence Table'!$A$1:$AG$10000,MATCH(1,('Margin Guidence Table'!$A$1:$A$10000=DD20)*('Margin Guidence Table'!$I$1:$I$10000&lt;=ROUND($CV$3,0))*('Margin Guidence Table'!$J$1:$J$10000&gt;=ROUND($CV$3,0)),0),MATCH("CIA_MEDIAN_MARGIN_GUIDENCE",'Margin Guidence Table'!$A$1:$AG$1,0)),INDEX('Margin Guidence Table'!$A$1:$AG$10000,MATCH(1,('Margin Guidence Table'!$A$1:$A$10000=DD20)*('Margin Guidence Table'!$I$1:$I$10000&lt;=ROUND($CV$3,0))*('Margin Guidence Table'!$J$1:$J$10000&gt;=ROUND($CV$3,0)),0),MATCH("DEFAULT_CIA_MEDIAN_MARGIN_GUIDENCE",'Margin Guidence Table'!$A$1:$AG$1,0))),0)</f>
        <v>0</v>
      </c>
      <c r="DO20" s="127"/>
      <c r="DP20" s="18">
        <f t="array" ref="DP20">IFERROR(IF($EC20="SEGMENT",INDEX('Margin Guidence Table'!$A$1:$AG$10000,MATCH(1,('Margin Guidence Table'!$A$1:$A$10000=$EA20)*('Margin Guidence Table'!$I$1:$I$10000&lt;=ROUND($DS$3,0))*('Margin Guidence Table'!$J$1:$J$10000&gt;=ROUND($DS$3,0)),0),MATCH("PCT_SALES",'Margin Guidence Table'!$A$1:$AG$1,0)),INDEX('Margin Guidence Table'!$A$1:$AG$10000,MATCH(1,('Margin Guidence Table'!$A$1:$A$10000=$EA20)*('Margin Guidence Table'!$I$1:$I$10000&lt;=ROUND($DS$3,0))*('Margin Guidence Table'!$J$1:$J$10000&gt;=ROUND($DS$3,0)),0),MATCH("DEFAULT_PCT_SALES",'Margin Guidence Table'!$A$1:$AG$1,0))),0)</f>
        <v>0</v>
      </c>
      <c r="DQ20" s="370" t="e">
        <f t="shared" si="32"/>
        <v>#DIV/0!</v>
      </c>
      <c r="DR20" s="100" t="s">
        <v>98</v>
      </c>
      <c r="DS20" s="92">
        <f>IFERROR(IF(AND($DS$2&lt;&gt;"Enter Spend&gt;&gt;&gt;",DT8="EXISTING"),SUMIFS('Existing Customers'!$Q:$Q,'Existing Customers'!$A:$A,$DS$1,'Existing Customers'!$H:$H,$DR20)*$DS$4,$DS$3*$DQ20),0)</f>
        <v>0</v>
      </c>
      <c r="DT20" s="87">
        <f>IFERROR(IF(AND($DS$2&lt;&gt;"Enter Spend&gt;&gt;&gt;",DT2="EXISTING"),SUMIFS('Existing Customers'!$N:$N,'Existing Customers'!$A:$A,$DS$1,'Existing Customers'!$H:$H,$DR20)*$DS$4,$DS20/$ED20),0)</f>
        <v>0</v>
      </c>
      <c r="DU20" s="93">
        <f>IFERROR(IF(AND($DS$2&lt;&gt;"Enter Spend&gt;&gt;&gt;",DT2="EXISTING"),SUMIFS('Existing Customers'!$O:$O,'Existing Customers'!$H:$H,$DR20,'Existing Customers'!$A:$A,$DS$1)*$DS$4,$DT20*$DS$8),0)</f>
        <v>0</v>
      </c>
      <c r="DV20" s="93">
        <f>IFERROR(IF(AND($DS$2&lt;&gt;"Enter Spend&gt;&gt;&gt;",DT2="EXISTING"),SUMIFS('Existing Customers'!$P:$P,'Existing Customers'!$A:$A,$DS$1,'Existing Customers'!$H:$H,$DR20)*$DS$4,$DS20/$EE20),0)</f>
        <v>0</v>
      </c>
      <c r="DW20" s="94">
        <f>IFERROR(IF(AND($DS$2&lt;&gt;"Enter Spend&gt;&gt;&gt;",EQ2="EXISTING"),SUMIFS('Existing Customers'!$V:$V,'Existing Customers'!$H:$H,$DR20,'Existing Customers'!$A:$A,$DS$1)*$DS$4,0),0)</f>
        <v>0</v>
      </c>
      <c r="DX20" s="94">
        <f>IFERROR(IF(AND($DS$2&lt;&gt;"Enter Spend&gt;&gt;&gt;",DT2="EXISTING"),SUMIFS('Existing Customers'!$R:$R,'Existing Customers'!$H:$H,$DR20,'Existing Customers'!$A:$A,$DS$1)*$DS$4,0),0)</f>
        <v>0</v>
      </c>
      <c r="DY20" s="1050">
        <f>IFERROR(IF(AND($DS$2&lt;&gt;"Enter Spend&gt;&gt;&gt;",DT2="EXISTING"),SUMIFS('Existing Customers'!$S:$S,'Existing Customers'!$H:$H,$DT20,'Existing Customers'!$A:$A,$DS$1),EI20*DS20),0)</f>
        <v>0</v>
      </c>
      <c r="DZ20" s="1050">
        <f>IFERROR(IF(AND($DS$2&lt;&gt;"Enter Spend&gt;&gt;&gt;",DT2="EXISTING"),SUMIFS('Existing Customers'!$U:$U,'Existing Customers'!$H:$H,$DR20,'Existing Customers'!$A:$A,$DS$1),EJ20*DS20),0)</f>
        <v>0</v>
      </c>
      <c r="EA20" s="1053" t="e">
        <f>_xlfn.CONCAT('Customer Inputs'!$AG$9,"_",DR20)</f>
        <v>#N/A</v>
      </c>
      <c r="EB20" s="1053">
        <f t="array" ref="EB20">IFERROR(INDEX('Margin Guidence Table'!$A$1:$AG$10000,MATCH(1,('Margin Guidence Table'!$A$1:$A$10000=EA20)*('Margin Guidence Table'!$I$1:$I$10000&lt;=ROUND($DS$3,0))*('Margin Guidence Table'!$J$1:$J$10000&gt;=ROUND($DS$3,0)),0),MATCH("DATA_POINTS",'Margin Guidence Table'!$A$1:$AG$1,0)),0)</f>
        <v>0</v>
      </c>
      <c r="EC20" s="1050" t="str">
        <f t="shared" si="33"/>
        <v>DEFAULT</v>
      </c>
      <c r="ED20" s="1050">
        <f t="array" ref="ED20">IFERROR(IF($EC20="SEGMENT",INDEX('Margin Guidence Table'!$A$1:$AG$10000,MATCH(1,('Margin Guidence Table'!$A$1:$A$10000=EA20)*('Margin Guidence Table'!$I$1:$I$10000&lt;=ROUND($DS$3,0))*('Margin Guidence Table'!$J$1:$J$10000&gt;=ROUND($DS$3,0)),0),MATCH("SALES_CASE",'Margin Guidence Table'!$A$1:$AG$1,0)),INDEX('Margin Guidence Table'!$A$1:$AG$10000,MATCH(1,('Margin Guidence Table'!$A$1:$A$10000=EA20)*('Margin Guidence Table'!$I$1:$I$10000&lt;=ROUND($DS$3,0))*('Margin Guidence Table'!$J$1:$J$10000&gt;=ROUND($DS$3,0)),0),MATCH("DEFAULT_SALES_CASE",'Margin Guidence Table'!$A$1:$AG$1,0))),0)</f>
        <v>0</v>
      </c>
      <c r="EE20" s="1050">
        <f t="array" ref="EE20">IFERROR(IF($EC20="SEGMENT",INDEX('Margin Guidence Table'!$A$1:$AG$10000,MATCH(1,('Margin Guidence Table'!$A$1:$A$10000=EA20)*('Margin Guidence Table'!$I$1:$I$10000&lt;=ROUND($DS$3,0))*('Margin Guidence Table'!$J$1:$J$10000&gt;=ROUND($DS$3,0)),0),MATCH("SALES_LBS",'Margin Guidence Table'!$A$1:$AG$1,0)),INDEX('Margin Guidence Table'!$A$1:$AG$10000,MATCH(1,('Margin Guidence Table'!$A$1:$A$10000=EA20)*('Margin Guidence Table'!$I$1:$I$10000&lt;=ROUND($DS$3,0))*('Margin Guidence Table'!$J$1:$J$10000&gt;=ROUND($DS$3,0)),0),MATCH("DEFAULT_SALES_LBS",'Margin Guidence Table'!$A$1:$AG$1,0))),0)</f>
        <v>0</v>
      </c>
      <c r="EF20" s="1054">
        <f t="array" ref="EF20">IFERROR(IF($EC20="SEGMENT",INDEX('Margin Guidence Table'!$A$1:$AG$10000,MATCH(1,('Margin Guidence Table'!$A$1:$A$10000=EA20)*('Margin Guidence Table'!$I$1:$I$10000&lt;=ROUND($DS$3,0))*('Margin Guidence Table'!$J$1:$J$10000&gt;=ROUND($DS$3,0)),0),MATCH("MDA_MIN_MARGIN_GUIDENCE",'Margin Guidence Table'!$A$1:$AG$1,0)),INDEX('Margin Guidence Table'!$A$1:$AG$10000,MATCH(1,('Margin Guidence Table'!$A$1:$A$10000=EA20)*('Margin Guidence Table'!$I$1:$I$10000&lt;=ROUND($DS$3,0))*('Margin Guidence Table'!$J$1:$J$10000&gt;=ROUND($DS$3,0)),0),MATCH("DEFAULT_MDA_MIN_MARGIN_GUIDENCE",'Margin Guidence Table'!$A$1:$AG$1,0))),0)</f>
        <v>0</v>
      </c>
      <c r="EG20" s="1054">
        <f t="array" ref="EG20">IFERROR(IF($EC20="SEGMENT",INDEX('Margin Guidence Table'!$A$1:$AG$10000,MATCH(1,('Margin Guidence Table'!$A$1:$A$10000=EA20)*('Margin Guidence Table'!$I$1:$I$10000&lt;=ROUND($DS$3,0))*('Margin Guidence Table'!$J$1:$J$10000&gt;=ROUND($DS$3,0)),0),MATCH("MDA_MEDIAN_MARGIN_GUIDENCE",'Margin Guidence Table'!$A$1:$AG$1,0)),INDEX('Margin Guidence Table'!$A$1:$AG$10000,MATCH(1,('Margin Guidence Table'!$A$1:$A$10000=EA20)*('Margin Guidence Table'!$I$1:$I$10000&lt;=ROUND($DS$3,0))*('Margin Guidence Table'!$J$1:$J$10000&gt;=ROUND($DS$3,0)),0),MATCH("DEFAULT_MDA_MEDIAN_MARGIN_GUIDENCE",'Margin Guidence Table'!$A$1:$AG$1,0))),0)</f>
        <v>0</v>
      </c>
      <c r="EH20" s="1054">
        <f t="array" ref="EH20">IFERROR(IF($EC20="SEGMENT",INDEX('Margin Guidence Table'!$A$1:$AG$10000,MATCH(1,('Margin Guidence Table'!$A$1:$A$10000=EA20)*('Margin Guidence Table'!$I$1:$I$10000&lt;=ROUND($DS$3,0))*('Margin Guidence Table'!$J$1:$J$10000&gt;=ROUND($DS$3,0)),0),MATCH("MDA_MAX_MARGIN_GUIDENCE",'Margin Guidence Table'!$A$1:$AG$1,0)),INDEX('Margin Guidence Table'!$A$1:$AG$10000,MATCH(1,('Margin Guidence Table'!$A$1:$A$10000=EA20)*('Margin Guidence Table'!$I$1:$I$10000&lt;=ROUND($DS$3,0))*('Margin Guidence Table'!$J$1:$J$10000&gt;=ROUND($DS$3,0)),0),MATCH("DEFAULT_MDA_MAX_MARGIN_GUIDENCE",'Margin Guidence Table'!$A$1:$AG$1,0))),0)</f>
        <v>0</v>
      </c>
      <c r="EI20" s="1054">
        <f t="array" ref="EI20">IFERROR(IF($EC20="SEGMENT",INDEX('Margin Guidence Table'!$A$1:$AG$10000,MATCH(1,('Margin Guidence Table'!$A$1:$A$10000=EA20)*('Margin Guidence Table'!$I$1:$I$10000&lt;=ROUND($DS$3,0))*('Margin Guidence Table'!$J$1:$J$10000&gt;=ROUND($DS$3,0)),0),MATCH("PA_PCT_SALES",'Margin Guidence Table'!$A$1:$AG$1,0)),INDEX('Margin Guidence Table'!$A$1:$AG$10000,MATCH(1,('Margin Guidence Table'!$A$1:$A$10000=EA20)*('Margin Guidence Table'!$I$1:$I$10000&lt;=ROUND($DS$3,0))*('Margin Guidence Table'!$J$1:$J$10000&gt;=ROUND($DS$3,0)),0),MATCH("DEFAULT_PA_PCT_SALES",'Margin Guidence Table'!$A$1:$AG$1,0))),0)</f>
        <v>0</v>
      </c>
      <c r="EJ20" s="1054">
        <f t="array" ref="EJ20">IFERROR(IF($EC20="SEGMENT",INDEX('Margin Guidence Table'!$A$1:$AG$10000,MATCH(1,('Margin Guidence Table'!$A$1:$A$10000=EA20)*('Margin Guidence Table'!$I$1:$I$10000&lt;=ROUND($DS$3,0))*('Margin Guidence Table'!$J$1:$J$10000&gt;=ROUND($DS$3,0)),0),MATCH("SELF_FUND_PCT_SALES",'Margin Guidence Table'!$A$1:$AG$1,0)),INDEX('Margin Guidence Table'!$A$1:$AG$10000,MATCH(1,('Margin Guidence Table'!$A$1:$A$10000=EA20)*('Margin Guidence Table'!$I$1:$I$10000&lt;=ROUND($DS$3,0))*('Margin Guidence Table'!$J$1:$J$10000&gt;=ROUND($DS$3,0)),0),MATCH("DEFAULT_SELF_FUND_PCT_SALES",'Margin Guidence Table'!$A$1:$AG$1,0))),0)</f>
        <v>0</v>
      </c>
      <c r="EK20" s="1054">
        <f t="array" ref="EK20">IFERROR(IF($EC20="SEGMENT",INDEX('Margin Guidence Table'!$A$1:$AG$10000,MATCH(1,('Margin Guidence Table'!$A$1:$A$10000=EA20)*('Margin Guidence Table'!$I$1:$I$10000&lt;=ROUND($DS$3,0))*('Margin Guidence Table'!$J$1:$J$10000&gt;=ROUND($DS$3,0)),0),MATCH("CIA_MEDIAN_MARGIN_GUIDENCE",'Margin Guidence Table'!$A$1:$AG$1,0)),INDEX('Margin Guidence Table'!$A$1:$AG$10000,MATCH(1,('Margin Guidence Table'!$A$1:$A$10000=EA20)*('Margin Guidence Table'!$I$1:$I$10000&lt;=ROUND($DS$3,0))*('Margin Guidence Table'!$J$1:$J$10000&gt;=ROUND($DS$3,0)),0),MATCH("DEFAULT_CIA_MEDIAN_MARGIN_GUIDENCE",'Margin Guidence Table'!$A$1:$AG$1,0))),0)</f>
        <v>0</v>
      </c>
      <c r="EL20" s="127"/>
      <c r="EM20" s="18">
        <f t="array" ref="EM20">IFERROR(IF($EZ20="SEGMENT",INDEX('Margin Guidence Table'!$A$1:$AG$10000,MATCH(1,('Margin Guidence Table'!$A$1:$A$10000=$EX20)*('Margin Guidence Table'!$I$1:$I$10000&lt;=ROUND($EP$3,0))*('Margin Guidence Table'!$J$1:$J$10000&gt;=ROUND($EP$3,0)),0),MATCH("PCT_SALES",'Margin Guidence Table'!$A$1:$AG$1,0)),INDEX('Margin Guidence Table'!$A$1:$AG$10000,MATCH(1,('Margin Guidence Table'!$A$1:$A$10000=$EX20)*('Margin Guidence Table'!$I$1:$I$10000&lt;=ROUND($EP$3,0))*('Margin Guidence Table'!$J$1:$J$10000&gt;=ROUND($EP$3,0)),0),MATCH("DEFAULT_PCT_SALES",'Margin Guidence Table'!$A$1:$AG$1,0))),0)</f>
        <v>0</v>
      </c>
      <c r="EN20" s="370" t="e">
        <f t="shared" si="34"/>
        <v>#DIV/0!</v>
      </c>
      <c r="EO20" s="100" t="s">
        <v>98</v>
      </c>
      <c r="EP20" s="92">
        <f>IFERROR(IF(AND($EP$2&lt;&gt;"Enter Spend&gt;&gt;&gt;",EQ8="EXISTING"),SUMIFS('Existing Customers'!$Q:$Q,'Existing Customers'!$A:$A,$EP$1,'Existing Customers'!$H:$H,$EO20)*$EP$4,$EP$3*$EN20),0)</f>
        <v>0</v>
      </c>
      <c r="EQ20" s="87">
        <f>IFERROR(IF(AND($EP$2&lt;&gt;"Enter Spend&gt;&gt;&gt;",EQ2="EXISTING"),SUMIFS('Existing Customers'!$N:$N,'Existing Customers'!$A:$A,$EP$1,'Existing Customers'!$H:$H,$EO20)*$EP$4,$EP20/$FA20),0)</f>
        <v>0</v>
      </c>
      <c r="ER20" s="93">
        <f>IFERROR(IF(AND($EP$2&lt;&gt;"Enter Spend&gt;&gt;&gt;",EQ2="EXISTING"),SUMIFS('Existing Customers'!$O:$O,'Existing Customers'!$H:$H,$EO20,'Existing Customers'!$A:$A,$EP$1)*$EP$4,$EQ20*$EP$8),0)</f>
        <v>0</v>
      </c>
      <c r="ES20" s="93">
        <f>IFERROR(IF(AND($EP$2&lt;&gt;"Enter Spend&gt;&gt;&gt;",EQ2="EXISTING"),SUMIFS('Existing Customers'!$P:$P,'Existing Customers'!$A:$A,$EP$1,'Existing Customers'!$H:$H,$EO20)*$EP$4,$EP20/$FB20),0)</f>
        <v>0</v>
      </c>
      <c r="ET20" s="94">
        <f>IFERROR(IF(AND($EP$2&lt;&gt;"Enter Spend&gt;&gt;&gt;",EQ2="EXISTING"),SUMIFS('Existing Customers'!$V:$V,'Existing Customers'!$H:$H,$EO20,'Existing Customers'!$A:$A,$EP$1)*$EP$4,0),0)</f>
        <v>0</v>
      </c>
      <c r="EU20" s="94">
        <f>IFERROR(IF(AND($EP$2&lt;&gt;"Enter Spend&gt;&gt;&gt;",EQ2="EXISTING"),SUMIFS('Existing Customers'!$R:$R,'Existing Customers'!$H:$H,$EO20,'Existing Customers'!$A:$A,$EP$1)*$EP$4,0),0)</f>
        <v>0</v>
      </c>
      <c r="EV20" s="1050">
        <f>IFERROR(IF(AND($EP$2&lt;&gt;"Enter Spend&gt;&gt;&gt;",EQ2="EXISTING"),SUMIFS('Existing Customers'!$S:$S,'Existing Customers'!$H:$H,$EO20,'Existing Customers'!$A:$A,$EP$1),FF20*EP20),0)</f>
        <v>0</v>
      </c>
      <c r="EW20" s="1050">
        <f>IFERROR(IF(AND($EP$2&lt;&gt;"Enter Spend&gt;&gt;&gt;",EQ2="EXISTING"),SUMIFS('Existing Customers'!$U:$U,'Existing Customers'!$H:$H,$EO20,'Existing Customers'!$A:$A,$EP$1),FG20*EP20),0)</f>
        <v>0</v>
      </c>
      <c r="EX20" s="1053" t="e">
        <f>_xlfn.CONCAT('Customer Inputs'!$AG$10,"_",EO20)</f>
        <v>#N/A</v>
      </c>
      <c r="EY20" s="1053">
        <f t="array" ref="EY20">IFERROR(INDEX('Margin Guidence Table'!$A$1:$AG$10000,MATCH(1,('Margin Guidence Table'!$A$1:$A$10000=EX20)*('Margin Guidence Table'!$I$1:$I$10000&lt;=ROUND($EP$3,0))*('Margin Guidence Table'!$J$1:$J$10000&gt;=ROUND($EP$3,0)),0),MATCH("DATA_POINTS",'Margin Guidence Table'!$A$1:$AG$1,0)),0)</f>
        <v>0</v>
      </c>
      <c r="EZ20" s="1050" t="str">
        <f t="shared" si="35"/>
        <v>DEFAULT</v>
      </c>
      <c r="FA20" s="1050">
        <f t="array" ref="FA20">IFERROR(IF($EZ20="SEGMENT",INDEX('Margin Guidence Table'!$A$1:$AG$10000,MATCH(1,('Margin Guidence Table'!$A$1:$A$10000=EX20)*('Margin Guidence Table'!$I$1:$I$10000&lt;=ROUND($EP$3,0))*('Margin Guidence Table'!$J$1:$J$10000&gt;=ROUND($EP$3,0)),0),MATCH("SALES_CASE",'Margin Guidence Table'!$A$1:$AG$1,0)),INDEX('Margin Guidence Table'!$A$1:$AG$10000,MATCH(1,('Margin Guidence Table'!$A$1:$A$10000=EX20)*('Margin Guidence Table'!$I$1:$I$10000&lt;=ROUND($EP$3,0))*('Margin Guidence Table'!$J$1:$J$10000&gt;=ROUND($EP$3,0)),0),MATCH("DEFAULT_SALES_CASE",'Margin Guidence Table'!$A$1:$AG$1,0))),0)</f>
        <v>0</v>
      </c>
      <c r="FB20" s="1050" cm="1">
        <f t="array" ref="FB20">IFERROR(IF($EZ20="SEGMENT",INDEX('Margin Guidence Table'!$A$1:$AG$10000,MATCH(1,('Margin Guidence Table'!$A$1:$A$10000=EX20)*('Margin Guidence Table'!$I$1:$I$10000&lt;=ROUND($EP$3,0))*('Margin Guidence Table'!$J$1:$J$10000&gt;=ROUND($EP$3,0)),0),MATCH("SALES_LBS",'Margin Guidence Table'!$A$1:$AG$1,0)),INDEX('Margin Guidence Table'!$A$1:$AG$10000,MATCH(1,('Margin Guidence Table'!$A$1:$A$10000=EX20)*('Margin Guidence Table'!$I$1:$I$10000&lt;=ROUND($EP$3,0))*('Margin Guidence Table'!$J$1:$J$10000&gt;=ROUND($EP$3,0)),0),MATCH("DEFAULT_SALES_LBS",'Margin Guidence Table'!$A$1:$AG$1,0))),0)</f>
        <v>0</v>
      </c>
      <c r="FC20" s="1054">
        <f t="array" ref="FC20">IFERROR(IF($EZ20="SEGMENT",INDEX('Margin Guidence Table'!$A$1:$AG$10000,MATCH(1,('Margin Guidence Table'!$A$1:$A$10000=EX20)*('Margin Guidence Table'!$I$1:$I$10000&lt;=ROUND($EP$3,0))*('Margin Guidence Table'!$J$1:$J$10000&gt;=ROUND($EP$3,0)),0),MATCH("MDA_MIN_MARGIN_GUIDENCE",'Margin Guidence Table'!$A$1:$AG$1,0)),INDEX('Margin Guidence Table'!$A$1:$AG$10000,MATCH(1,('Margin Guidence Table'!$A$1:$A$10000=EX20)*('Margin Guidence Table'!$I$1:$I$10000&lt;=ROUND($EP$3,0))*('Margin Guidence Table'!$J$1:$J$10000&gt;=ROUND($EP$3,0)),0),MATCH("DEFAULT_MDA_MIN_MARGIN_GUIDENCE",'Margin Guidence Table'!$A$1:$AG$1,0))),0)</f>
        <v>0</v>
      </c>
      <c r="FD20" s="1054">
        <f t="array" ref="FD20">IFERROR(IF($EZ20="SEGMENT",INDEX('Margin Guidence Table'!$A$1:$AG$10000,MATCH(1,('Margin Guidence Table'!$A$1:$A$10000=EX20)*('Margin Guidence Table'!$I$1:$I$10000&lt;=ROUND($EP$3,0))*('Margin Guidence Table'!$J$1:$J$10000&gt;=ROUND($EP$3,0)),0),MATCH("MDA_MEDIAN_MARGIN_GUIDENCE",'Margin Guidence Table'!$A$1:$AG$1,0)),INDEX('Margin Guidence Table'!$A$1:$AG$10000,MATCH(1,('Margin Guidence Table'!$A$1:$A$10000=EX20)*('Margin Guidence Table'!$I$1:$I$10000&lt;=ROUND($EP$3,0))*('Margin Guidence Table'!$J$1:$J$10000&gt;=ROUND($EP$3,0)),0),MATCH("DEFAULT_MDA_MEDIAN_MARGIN_GUIDENCE",'Margin Guidence Table'!$A$1:$AG$1,0))),0)</f>
        <v>0</v>
      </c>
      <c r="FE20" s="1054">
        <f t="array" ref="FE20">IFERROR(IF($EZ20="SEGMENT",INDEX('Margin Guidence Table'!$A$1:$AG$10000,MATCH(1,('Margin Guidence Table'!$A$1:$A$10000=EX20)*('Margin Guidence Table'!$I$1:$I$10000&lt;=ROUND($EP$3,0))*('Margin Guidence Table'!$J$1:$J$10000&gt;=ROUND($EP$3,0)),0),MATCH("MDA_MAX_MARGIN_GUIDENCE",'Margin Guidence Table'!$A$1:$AG$1,0)),INDEX('Margin Guidence Table'!$A$1:$AG$10000,MATCH(1,('Margin Guidence Table'!$A$1:$A$10000=EX20)*('Margin Guidence Table'!$I$1:$I$10000&lt;=ROUND($EP$3,0))*('Margin Guidence Table'!$J$1:$J$10000&gt;=ROUND($EP$3,0)),0),MATCH("DEFAULT_MDA_MAX_MARGIN_GUIDENCE",'Margin Guidence Table'!$A$1:$AG$1,0))),0)</f>
        <v>0</v>
      </c>
      <c r="FF20" s="1054">
        <f t="array" ref="FF20">IFERROR(IF($EZ20="SEGMENT",INDEX('Margin Guidence Table'!$A$1:$AG$10000,MATCH(1,('Margin Guidence Table'!$A$1:$A$10000=EX20)*('Margin Guidence Table'!$I$1:$I$10000&lt;=ROUND($EP$3,0))*('Margin Guidence Table'!$J$1:$J$10000&gt;=ROUND($EP$3,0)),0),MATCH("PA_PCT_SALES",'Margin Guidence Table'!$A$1:$AG$1,0)),INDEX('Margin Guidence Table'!$A$1:$AG$10000,MATCH(1,('Margin Guidence Table'!$A$1:$A$10000=EX20)*('Margin Guidence Table'!$I$1:$I$10000&lt;=ROUND($EP$3,0))*('Margin Guidence Table'!$J$1:$J$10000&gt;=ROUND($EP$3,0)),0),MATCH("DEFAULT_PA_PCT_SALES",'Margin Guidence Table'!$A$1:$AG$1,0))),0)</f>
        <v>0</v>
      </c>
      <c r="FG20" s="1054">
        <f t="array" ref="FG20">IFERROR(IF($EZ20="SEGMENT",INDEX('Margin Guidence Table'!$A$1:$AG$10000,MATCH(1,('Margin Guidence Table'!$A$1:$A$10000=EX20)*('Margin Guidence Table'!$I$1:$I$10000&lt;=ROUND($EP$3,0))*('Margin Guidence Table'!$J$1:$J$10000&gt;=ROUND($EP$3,0)),0),MATCH("SELF_FUND_PCT_SALES",'Margin Guidence Table'!$A$1:$AG$1,0)),INDEX('Margin Guidence Table'!$A$1:$AG$10000,MATCH(1,('Margin Guidence Table'!$A$1:$A$10000=EX20)*('Margin Guidence Table'!$I$1:$I$10000&lt;=ROUND($EP$3,0))*('Margin Guidence Table'!$J$1:$J$10000&gt;=ROUND($EP$3,0)),0),MATCH("DEFAULT_SELF_FUND_PCT_SALES",'Margin Guidence Table'!$A$1:$AG$1,0))),0)</f>
        <v>0</v>
      </c>
      <c r="FH20" s="1054">
        <f t="array" ref="FH20">IFERROR(IF($EZ20="SEGMENT",INDEX('Margin Guidence Table'!$A$1:$AG$10000,MATCH(1,('Margin Guidence Table'!$A$1:$A$10000=EX20)*('Margin Guidence Table'!$I$1:$I$10000&lt;=ROUND($EP$3,0))*('Margin Guidence Table'!$J$1:$J$10000&gt;=ROUND($EP$3,0)),0),MATCH("CIA_MEDIAN_MARGIN_GUIDENCE",'Margin Guidence Table'!$A$1:$AG$1,0)),INDEX('Margin Guidence Table'!$A$1:$AG$10000,MATCH(1,('Margin Guidence Table'!$A$1:$A$10000=EX20)*('Margin Guidence Table'!$I$1:$I$10000&lt;=ROUND($EP$3,0))*('Margin Guidence Table'!$J$1:$J$10000&gt;=ROUND($EP$3,0)),0),MATCH("DEFAULT_CIA_MEDIAN_MARGIN_GUIDENCE",'Margin Guidence Table'!$A$1:$AG$1,0))),0)</f>
        <v>0</v>
      </c>
      <c r="FI20" s="127"/>
      <c r="FJ20" s="18">
        <f t="array" ref="FJ20">IFERROR(IF($FW20="SEGMENT",INDEX('Margin Guidence Table'!$A$1:$AG$10000,MATCH(1,('Margin Guidence Table'!$A$1:$A$10000=$FU20)*('Margin Guidence Table'!$I$1:$I$10000&lt;=ROUND($FM$3,0))*('Margin Guidence Table'!$J$1:$J$10000&gt;=ROUND($FM$3,0)),0),MATCH("PCT_SALES",'Margin Guidence Table'!$A$1:$AG$1,0)),INDEX('Margin Guidence Table'!$A$1:$AG$10000,MATCH(1,('Margin Guidence Table'!$A$1:$A$10000=$FU20)*('Margin Guidence Table'!$I$1:$I$10000&lt;=ROUND($FM$3,0))*('Margin Guidence Table'!$J$1:$J$10000&gt;=ROUND($FM$3,0)),0),MATCH("DEFAULT_PCT_SALES",'Margin Guidence Table'!$A$1:$AG$1,0))),0)</f>
        <v>0</v>
      </c>
      <c r="FK20" s="370" t="e">
        <f t="shared" si="36"/>
        <v>#DIV/0!</v>
      </c>
      <c r="FL20" s="100" t="s">
        <v>98</v>
      </c>
      <c r="FM20" s="92">
        <f>IFERROR(IF(AND($FM$2&lt;&gt;"Enter Spend&gt;&gt;&gt;",FN8="EXISTING"),SUMIFS('Existing Customers'!$Q:$Q,'Existing Customers'!$A:$A,$FM$1,'Existing Customers'!$H:$H,$FL20)*$FM$4,$FM$3*$FK20),0)</f>
        <v>0</v>
      </c>
      <c r="FN20" s="87">
        <f>IFERROR(IF(AND($FM$2&lt;&gt;"Enter Spend&gt;&gt;&gt;",FN2="EXISTING"),SUMIFS('Existing Customers'!$N:$N,'Existing Customers'!$A:$A,$FM$1,'Existing Customers'!$H:$H,$FL20)*$FM$4,$FM20/$FX20),0)</f>
        <v>0</v>
      </c>
      <c r="FO20" s="93">
        <f>IFERROR(IF(AND($FM$2&lt;&gt;"Enter Spend&gt;&gt;&gt;",FN2="EXISTING"),SUMIFS('Existing Customers'!$O:$O,'Existing Customers'!$H:$H,$FL20,'Existing Customers'!$A:$A,$FM$1)*$FM$4,$FN20*$FM$8),0)</f>
        <v>0</v>
      </c>
      <c r="FP20" s="93">
        <f>IFERROR(IF(AND($FM$2&lt;&gt;"Enter Spend&gt;&gt;&gt;",FN2="EXISTING"),SUMIFS('Existing Customers'!$P:$P,'Existing Customers'!$A:$A,$FM$1,'Existing Customers'!$H:$H,$FL20)*$FM$4,$FM20/$FY20),0)</f>
        <v>0</v>
      </c>
      <c r="FQ20" s="94">
        <f>IFERROR(IF(AND($FM$2&lt;&gt;"Enter Spend&gt;&gt;&gt;",FN2="EXISTING"),SUMIFS('Existing Customers'!$V:$V,'Existing Customers'!$H:$H,$FL20,'Existing Customers'!$A:$A,$FM$1)*$FM$4,0),0)</f>
        <v>0</v>
      </c>
      <c r="FR20" s="94">
        <f>IFERROR(IF(AND($FM$2&lt;&gt;"Enter Spend&gt;&gt;&gt;",FN2="EXISTING"),SUMIFS('Existing Customers'!$R:$R,'Existing Customers'!$H:$H,$FL20,'Existing Customers'!$A:$A,$FM$1)*$FM$4,0),0)</f>
        <v>0</v>
      </c>
      <c r="FS20" s="1050">
        <f>IFERROR(IF(AND($FM$2&lt;&gt;"Enter Spend&gt;&gt;&gt;",FN2="EXISTING"),SUMIFS('Existing Customers'!$S:$S,'Existing Customers'!$H:$H,$FL20,'Existing Customers'!$A:$A,$FM$1),GC20*FM20),0)</f>
        <v>0</v>
      </c>
      <c r="FT20" s="1050">
        <f>IFERROR(IF(AND($FM$2&lt;&gt;"Enter Spend&gt;&gt;&gt;",FN2="EXISTING"),SUMIFS('Existing Customers'!$U:$U,'Existing Customers'!$H:$H,$FL20,'Existing Customers'!$A:$A,$FM$1),GD20*FM20),0)</f>
        <v>0</v>
      </c>
      <c r="FU20" s="1053" t="e">
        <f>_xlfn.CONCAT('Customer Inputs'!$AG$11,"_",FL20)</f>
        <v>#N/A</v>
      </c>
      <c r="FV20" s="1053">
        <f t="array" ref="FV20">IFERROR(INDEX('Margin Guidence Table'!$A$1:$AG$10000,MATCH(1,('Margin Guidence Table'!$A$1:$A$10000=FU20)*('Margin Guidence Table'!$I$1:$I$10000&lt;=ROUND($FM$3,0))*('Margin Guidence Table'!$J$1:$J$10000&gt;=ROUND($FM$3,0)),0),MATCH("DATA_POINTS",'Margin Guidence Table'!$A$1:$AG$1,0)),0)</f>
        <v>0</v>
      </c>
      <c r="FW20" s="1050" t="str">
        <f t="shared" si="37"/>
        <v>DEFAULT</v>
      </c>
      <c r="FX20" s="1050">
        <f t="array" ref="FX20">IFERROR(IF($FW20="SEGMENT",INDEX('Margin Guidence Table'!$A$1:$AG$10000,MATCH(1,('Margin Guidence Table'!$A$1:$A$10000=FU20)*('Margin Guidence Table'!$I$1:$I$10000&lt;=ROUND($FM$3,0))*('Margin Guidence Table'!$J$1:$J$10000&gt;=ROUND($FM$3,0)),0),MATCH("SALES_CASE",'Margin Guidence Table'!$A$1:$AG$1,0)),INDEX('Margin Guidence Table'!$A$1:$AG$10000,MATCH(1,('Margin Guidence Table'!$A$1:$A$10000=FU20)*('Margin Guidence Table'!$I$1:$I$10000&lt;=ROUND($FM$3,0))*('Margin Guidence Table'!$J$1:$J$10000&gt;=ROUND($FM$3,0)),0),MATCH("DEFAULT_SALES_CASE",'Margin Guidence Table'!$A$1:$AG$1,0))),0)</f>
        <v>0</v>
      </c>
      <c r="FY20" s="1050">
        <f t="array" ref="FY20">IFERROR(IF($FW20="SEGMENT",INDEX('Margin Guidence Table'!$A$1:$AG$10000,MATCH(1,('Margin Guidence Table'!$A$1:$A$10000=FU20)*('Margin Guidence Table'!$I$1:$I$10000&lt;=ROUND($FM$3,0))*('Margin Guidence Table'!$J$1:$J$10000&gt;=ROUND($FM$3,0)),0),MATCH("SALES_LBS",'Margin Guidence Table'!$A$1:$AG$1,0)),INDEX('Margin Guidence Table'!$A$1:$AG$10000,MATCH(1,('Margin Guidence Table'!$A$1:$A$10000=FU20)*('Margin Guidence Table'!$I$1:$I$10000&lt;=ROUND($FM$3,0))*('Margin Guidence Table'!$J$1:$J$10000&gt;=ROUND($FM$3,0)),0),MATCH("DEFAULT_SALES_LBS",'Margin Guidence Table'!$A$1:$AG$1,0))),0)</f>
        <v>0</v>
      </c>
      <c r="FZ20" s="1054">
        <f t="array" ref="FZ20">IFERROR(IF($FW20="SEGMENT",INDEX('Margin Guidence Table'!$A$1:$AG$10000,MATCH(1,('Margin Guidence Table'!$A$1:$A$10000=FU20)*('Margin Guidence Table'!$I$1:$I$10000&lt;=ROUND($FM$3,0))*('Margin Guidence Table'!$J$1:$J$10000&gt;=ROUND($FM$3,0)),0),MATCH("MDA_MIN_MARGIN_GUIDENCE",'Margin Guidence Table'!$A$1:$AG$1,0)),INDEX('Margin Guidence Table'!$A$1:$AG$10000,MATCH(1,('Margin Guidence Table'!$A$1:$A$10000=FU20)*('Margin Guidence Table'!$I$1:$I$10000&lt;=ROUND($FM$3,0))*('Margin Guidence Table'!$J$1:$J$10000&gt;=ROUND($FM$3,0)),0),MATCH("DEFAULT_MDA_MIN_MARGIN_GUIDENCE",'Margin Guidence Table'!$A$1:$AG$1,0))),0)</f>
        <v>0</v>
      </c>
      <c r="GA20" s="1054">
        <f t="array" ref="GA20">IFERROR(IF($FW20="SEGMENT",INDEX('Margin Guidence Table'!$A$1:$AG$10000,MATCH(1,('Margin Guidence Table'!$A$1:$A$10000=FU20)*('Margin Guidence Table'!$I$1:$I$10000&lt;=ROUND($FM$3,0))*('Margin Guidence Table'!$J$1:$J$10000&gt;=ROUND($FM$3,0)),0),MATCH("MDA_MEDIAN_MARGIN_GUIDENCE",'Margin Guidence Table'!$A$1:$AG$1,0)),INDEX('Margin Guidence Table'!$A$1:$AG$10000,MATCH(1,('Margin Guidence Table'!$A$1:$A$10000=FU20)*('Margin Guidence Table'!$I$1:$I$10000&lt;=ROUND($FM$3,0))*('Margin Guidence Table'!$J$1:$J$10000&gt;=ROUND($FM$3,0)),0),MATCH("DEFAULT_MDA_MEDIAN_MARGIN_GUIDENCE",'Margin Guidence Table'!$A$1:$AG$1,0))),0)</f>
        <v>0</v>
      </c>
      <c r="GB20" s="1054">
        <f t="array" ref="GB20">IFERROR(IF($FW20="SEGMENT",INDEX('Margin Guidence Table'!$A$1:$AG$10000,MATCH(1,('Margin Guidence Table'!$A$1:$A$10000=FU20)*('Margin Guidence Table'!$I$1:$I$10000&lt;=ROUND($FM$3,0))*('Margin Guidence Table'!$J$1:$J$10000&gt;=ROUND($FM$3,0)),0),MATCH("MDA_MAX_MARGIN_GUIDENCE",'Margin Guidence Table'!$A$1:$AG$1,0)),INDEX('Margin Guidence Table'!$A$1:$AG$10000,MATCH(1,('Margin Guidence Table'!$A$1:$A$10000=FU20)*('Margin Guidence Table'!$I$1:$I$10000&lt;=ROUND($FM$3,0))*('Margin Guidence Table'!$J$1:$J$10000&gt;=ROUND($FM$3,0)),0),MATCH("DEFAULT_MDA_MAX_MARGIN_GUIDENCE",'Margin Guidence Table'!$A$1:$AG$1,0))),0)</f>
        <v>0</v>
      </c>
      <c r="GC20" s="1054">
        <f t="array" ref="GC20">IFERROR(IF($FW20="SEGMENT",INDEX('Margin Guidence Table'!$A$1:$AG$10000,MATCH(1,('Margin Guidence Table'!$A$1:$A$10000=FU20)*('Margin Guidence Table'!$I$1:$I$10000&lt;=ROUND($FM$3,0))*('Margin Guidence Table'!$J$1:$J$10000&gt;=ROUND($FM$3,0)),0),MATCH("PA_PCT_SALES",'Margin Guidence Table'!$A$1:$AG$1,0)),INDEX('Margin Guidence Table'!$A$1:$AG$10000,MATCH(1,('Margin Guidence Table'!$A$1:$A$10000=FU20)*('Margin Guidence Table'!$I$1:$I$10000&lt;=ROUND($FM$3,0))*('Margin Guidence Table'!$J$1:$J$10000&gt;=ROUND($FM$3,0)),0),MATCH("DEFAULT_PA_PCT_SALES",'Margin Guidence Table'!$A$1:$AG$1,0))),0)</f>
        <v>0</v>
      </c>
      <c r="GD20" s="1054">
        <f t="array" ref="GD20">IFERROR(IF($FW20="SEGMENT",INDEX('Margin Guidence Table'!$A$1:$AG$10000,MATCH(1,('Margin Guidence Table'!$A$1:$A$10000=FU20)*('Margin Guidence Table'!$I$1:$I$10000&lt;=ROUND($FM$3,0))*('Margin Guidence Table'!$J$1:$J$10000&gt;=ROUND($FM$3,0)),0),MATCH("SELF_FUND_PCT_SALES",'Margin Guidence Table'!$A$1:$AG$1,0)),INDEX('Margin Guidence Table'!$A$1:$AG$10000,MATCH(1,('Margin Guidence Table'!$A$1:$A$10000=FU20)*('Margin Guidence Table'!$I$1:$I$10000&lt;=ROUND($FM$3,0))*('Margin Guidence Table'!$J$1:$J$10000&gt;=ROUND($FM$3,0)),0),MATCH("DEFAULT_SELF_FUND_PCT_SALES",'Margin Guidence Table'!$A$1:$AG$1,0))),0)</f>
        <v>0</v>
      </c>
      <c r="GE20" s="1054">
        <f t="array" ref="GE20">IFERROR(IF($FW20="SEGMENT",INDEX('Margin Guidence Table'!$A$1:$AG$10000,MATCH(1,('Margin Guidence Table'!$A$1:$A$10000=FU20)*('Margin Guidence Table'!$I$1:$I$10000&lt;=ROUND($FM$3,0))*('Margin Guidence Table'!$J$1:$J$10000&gt;=ROUND($FM$3,0)),0),MATCH("CIA_MEDIAN_MARGIN_GUIDENCE",'Margin Guidence Table'!$A$1:$AG$1,0)),INDEX('Margin Guidence Table'!$A$1:$AG$10000,MATCH(1,('Margin Guidence Table'!$A$1:$A$10000=FU20)*('Margin Guidence Table'!$I$1:$I$10000&lt;=ROUND($FM$3,0))*('Margin Guidence Table'!$J$1:$J$10000&gt;=ROUND($FM$3,0)),0),MATCH("DEFAULT_CIA_MEDIAN_MARGIN_GUIDENCE",'Margin Guidence Table'!$A$1:$AG$1,0))),0)</f>
        <v>0</v>
      </c>
      <c r="GF20" s="127"/>
      <c r="GG20" s="18">
        <f t="array" ref="GG20">IFERROR(IF($GT20="SEGMENT",INDEX('Margin Guidence Table'!$A$1:$AG$10000,MATCH(1,('Margin Guidence Table'!$A$1:$A$10000=$GR20)*('Margin Guidence Table'!$I$1:$I$10000&lt;=ROUND($GJ$3,0))*('Margin Guidence Table'!$J$1:$J$10000&gt;=ROUND($GJ$3,0)),0),MATCH("PCT_SALES",'Margin Guidence Table'!$A$1:$AG$1,0)),INDEX('Margin Guidence Table'!$A$1:$AG$10000,MATCH(1,('Margin Guidence Table'!$A$1:$A$10000=$GR20)*('Margin Guidence Table'!$I$1:$I$10000&lt;=ROUND($GJ$3,0))*('Margin Guidence Table'!$J$1:$J$10000&gt;=ROUND($GJ$3,0)),0),MATCH("DEFAULT_PCT_SALES",'Margin Guidence Table'!$A$1:$AG$1,0))),0)</f>
        <v>0</v>
      </c>
      <c r="GH20" s="370" t="e">
        <f t="shared" si="38"/>
        <v>#DIV/0!</v>
      </c>
      <c r="GI20" s="100" t="s">
        <v>98</v>
      </c>
      <c r="GJ20" s="92">
        <f>IFERROR(IF(AND($GJ$2&lt;&gt;"Enter Spend&gt;&gt;&gt;",GK8="EXISTING"),SUMIFS('Existing Customers'!$Q:$Q,'Existing Customers'!$A:$A,$GJ$1,'Existing Customers'!$H:$H,$GI20)*$GJ$4,$GJ$3*$GH20),0)</f>
        <v>0</v>
      </c>
      <c r="GK20" s="87">
        <f>IFERROR(IF(AND($GJ$2&lt;&gt;"Enter Spend&gt;&gt;&gt;",GK2="EXISTING"),SUMIFS('Existing Customers'!$N:$N,'Existing Customers'!$A:$A,$GJ$1,'Existing Customers'!$H:$H,$GI20)*$GJ$4,$GJ20/$GU20),0)</f>
        <v>0</v>
      </c>
      <c r="GL20" s="93">
        <f>IFERROR(IF(AND($GJ$2&lt;&gt;"Enter Spend&gt;&gt;&gt;",GK2="EXISTING"),SUMIFS('Existing Customers'!$O:$O,'Existing Customers'!$H:$H,$GI20,'Existing Customers'!$A:$A,$GJ$1)*$GJ$4,$GK20*$GJ$8),0)</f>
        <v>0</v>
      </c>
      <c r="GM20" s="93">
        <f>IFERROR(IF(AND($GJ$2&lt;&gt;"Enter Spend&gt;&gt;&gt;",GK2="EXISTING"),SUMIFS('Existing Customers'!$P:$P,'Existing Customers'!$A:$A,$GJ$1,'Existing Customers'!$H:$H,$GI20)*$GJ$4,$GJ20/$GV20),0)</f>
        <v>0</v>
      </c>
      <c r="GN20" s="94">
        <f>IFERROR(IF(AND($GJ$2&lt;&gt;"Enter Spend&gt;&gt;&gt;",GK2="EXISTING"),SUMIFS('Existing Customers'!$V:$V,'Existing Customers'!$H:$H,$GI20,'Existing Customers'!$A:$A,$GJ$1)*$GJ$4,0),0)</f>
        <v>0</v>
      </c>
      <c r="GO20" s="94">
        <f>IFERROR(IF(AND($GJ$2&lt;&gt;"Enter Spend&gt;&gt;&gt;",GK2="EXISTING"),SUMIFS('Existing Customers'!$R:$R,'Existing Customers'!$H:$H,$GI20,'Existing Customers'!$A:$A,$GJ$1)*$GJ$4,0),0)</f>
        <v>0</v>
      </c>
      <c r="GP20" s="1050">
        <f>IFERROR(IF(AND($GJ$2&lt;&gt;"Enter Spend&gt;&gt;&gt;",GK2="EXISTING"),SUMIFS('Existing Customers'!$S:$S,'Existing Customers'!$H:$H,$GI20,'Existing Customers'!$A:$A,$GJ$1),GZ20*GJ20),0)</f>
        <v>0</v>
      </c>
      <c r="GQ20" s="1050">
        <f>IFERROR(IF(AND($GJ$2&lt;&gt;"Enter Spend&gt;&gt;&gt;",GK2="EXISTING"),SUMIFS('Existing Customers'!$U:$U,'Existing Customers'!$H:$H,$GI20,'Existing Customers'!$A:$A,$GJ$1),HA20*GJ20),0)</f>
        <v>0</v>
      </c>
      <c r="GR20" s="1053" t="e">
        <f>_xlfn.CONCAT('Customer Inputs'!$AG$12,"_",GI20)</f>
        <v>#N/A</v>
      </c>
      <c r="GS20" s="1053">
        <f t="array" ref="GS20">IFERROR(INDEX('Margin Guidence Table'!$A$1:$AG$10000,MATCH(1,('Margin Guidence Table'!$A$1:$A$10000=GR20)*('Margin Guidence Table'!$I$1:$I$10000&lt;=ROUND($GJ$3,0))*('Margin Guidence Table'!$J$1:$J$10000&gt;=ROUND($GJ$3,0)),0),MATCH("DATA_POINTS",'Margin Guidence Table'!$A$1:$AG$1,0)),0)</f>
        <v>0</v>
      </c>
      <c r="GT20" s="1050" t="str">
        <f t="shared" si="39"/>
        <v>DEFAULT</v>
      </c>
      <c r="GU20" s="1050">
        <f t="array" ref="GU20">IFERROR(IF($GT20="SEGMENT",INDEX('Margin Guidence Table'!$A$1:$AG$10000,MATCH(1,('Margin Guidence Table'!$A$1:$A$10000=GR20)*('Margin Guidence Table'!$I$1:$I$10000&lt;=ROUND($GJ$3,0))*('Margin Guidence Table'!$J$1:$J$10000&gt;=ROUND($GJ$3,0)),0),MATCH("SALES_CASE",'Margin Guidence Table'!$A$1:$AG$1,0)),INDEX('Margin Guidence Table'!$A$1:$AG$10000,MATCH(1,('Margin Guidence Table'!$A$1:$A$10000=GR20)*('Margin Guidence Table'!$I$1:$I$10000&lt;=ROUND($GJ$3,0))*('Margin Guidence Table'!$J$1:$J$10000&gt;=ROUND($GJ$3,0)),0),MATCH("DEFAULT_SALES_CASE",'Margin Guidence Table'!$A$1:$AG$1,0))),0)</f>
        <v>0</v>
      </c>
      <c r="GV20" s="1050">
        <f t="array" ref="GV20">IFERROR(IF($GT20="SEGMENT",INDEX('Margin Guidence Table'!$A$1:$AG$10000,MATCH(1,('Margin Guidence Table'!$A$1:$A$10000=GR20)*('Margin Guidence Table'!$I$1:$I$10000&lt;=ROUND($GJ$3,0))*('Margin Guidence Table'!$J$1:$J$10000&gt;=ROUND($GJ$3,0)),0),MATCH("SALES_LBS",'Margin Guidence Table'!$A$1:$AG$1,0)),INDEX('Margin Guidence Table'!$A$1:$AG$10000,MATCH(1,('Margin Guidence Table'!$A$1:$A$10000=GR20)*('Margin Guidence Table'!$I$1:$I$10000&lt;=ROUND($GJ$3,0))*('Margin Guidence Table'!$J$1:$J$10000&gt;=ROUND($GJ$3,0)),0),MATCH("DEFAULT_SALES_LBS",'Margin Guidence Table'!$A$1:$AG$1,0))),0)</f>
        <v>0</v>
      </c>
      <c r="GW20" s="1054">
        <f t="array" ref="GW20">IFERROR(IF($GT20="SEGMENT",INDEX('Margin Guidence Table'!$A$1:$AG$10000,MATCH(1,('Margin Guidence Table'!$A$1:$A$10000=GR20)*('Margin Guidence Table'!$I$1:$I$10000&lt;=ROUND($GJ$3,0))*('Margin Guidence Table'!$J$1:$J$10000&gt;=ROUND($GJ$3,0)),0),MATCH("MDA_MIN_MARGIN_GUIDENCE",'Margin Guidence Table'!$A$1:$AG$1,0)),INDEX('Margin Guidence Table'!$A$1:$AG$10000,MATCH(1,('Margin Guidence Table'!$A$1:$A$10000=GR20)*('Margin Guidence Table'!$I$1:$I$10000&lt;=ROUND($GJ$3,0))*('Margin Guidence Table'!$J$1:$J$10000&gt;=ROUND($GJ$3,0)),0),MATCH("DEFAULT_MDA_MIN_MARGIN_GUIDENCE",'Margin Guidence Table'!$A$1:$AG$1,0))),0)</f>
        <v>0</v>
      </c>
      <c r="GX20" s="1054">
        <f t="array" ref="GX20">IFERROR(IF($GT20="SEGMENT",INDEX('Margin Guidence Table'!$A$1:$AG$10000,MATCH(1,('Margin Guidence Table'!$A$1:$A$10000=GR20)*('Margin Guidence Table'!$I$1:$I$10000&lt;=ROUND($GJ$3,0))*('Margin Guidence Table'!$J$1:$J$10000&gt;=ROUND($GJ$3,0)),0),MATCH("MDA_MEDIAN_MARGIN_GUIDENCE",'Margin Guidence Table'!$A$1:$AG$1,0)),INDEX('Margin Guidence Table'!$A$1:$AG$10000,MATCH(1,('Margin Guidence Table'!$A$1:$A$10000=GR20)*('Margin Guidence Table'!$I$1:$I$10000&lt;=ROUND($GJ$3,0))*('Margin Guidence Table'!$J$1:$J$10000&gt;=ROUND($GJ$3,0)),0),MATCH("DEFAULT_MDA_MEDIAN_MARGIN_GUIDENCE",'Margin Guidence Table'!$A$1:$AG$1,0))),0)</f>
        <v>0</v>
      </c>
      <c r="GY20" s="1054">
        <f t="array" ref="GY20">IFERROR(IF($GT20="SEGMENT",INDEX('Margin Guidence Table'!$A$1:$AG$10000,MATCH(1,('Margin Guidence Table'!$A$1:$A$10000=GR20)*('Margin Guidence Table'!$I$1:$I$10000&lt;=ROUND($GJ$3,0))*('Margin Guidence Table'!$J$1:$J$10000&gt;=ROUND($GJ$3,0)),0),MATCH("MDA_MAX_MARGIN_GUIDENCE",'Margin Guidence Table'!$A$1:$AG$1,0)),INDEX('Margin Guidence Table'!$A$1:$AG$10000,MATCH(1,('Margin Guidence Table'!$A$1:$A$10000=GR20)*('Margin Guidence Table'!$I$1:$I$10000&lt;=ROUND($GJ$3,0))*('Margin Guidence Table'!$J$1:$J$10000&gt;=ROUND($GJ$3,0)),0),MATCH("DEFAULT_MDA_MAX_MARGIN_GUIDENCE",'Margin Guidence Table'!$A$1:$AG$1,0))),0)</f>
        <v>0</v>
      </c>
      <c r="GZ20" s="1054">
        <f t="array" ref="GZ20">IFERROR(IF($GT20="SEGMENT",INDEX('Margin Guidence Table'!$A$1:$AG$10000,MATCH(1,('Margin Guidence Table'!$A$1:$A$10000=GR20)*('Margin Guidence Table'!$I$1:$I$10000&lt;=ROUND($GJ$3,0))*('Margin Guidence Table'!$J$1:$J$10000&gt;=ROUND($GJ$3,0)),0),MATCH("PA_PCT_SALES",'Margin Guidence Table'!$A$1:$AG$1,0)),INDEX('Margin Guidence Table'!$A$1:$AG$10000,MATCH(1,('Margin Guidence Table'!$A$1:$A$10000=GR20)*('Margin Guidence Table'!$I$1:$I$10000&lt;=ROUND($GJ$3,0))*('Margin Guidence Table'!$J$1:$J$10000&gt;=ROUND($GJ$3,0)),0),MATCH("DEFAULT_PA_PCT_SALES",'Margin Guidence Table'!$A$1:$AG$1,0))),0)</f>
        <v>0</v>
      </c>
      <c r="HA20" s="1054">
        <f t="array" ref="HA20">IFERROR(IF($GT20="SEGMENT",INDEX('Margin Guidence Table'!$A$1:$AG$10000,MATCH(1,('Margin Guidence Table'!$A$1:$A$10000=GR20)*('Margin Guidence Table'!$I$1:$I$10000&lt;=ROUND($GJ$3,0))*('Margin Guidence Table'!$J$1:$J$10000&gt;=ROUND($GJ$3,0)),0),MATCH("SELF_FUND_PCT_SALES",'Margin Guidence Table'!$A$1:$AG$1,0)),INDEX('Margin Guidence Table'!$A$1:$AG$10000,MATCH(1,('Margin Guidence Table'!$A$1:$A$10000=GR20)*('Margin Guidence Table'!$I$1:$I$10000&lt;=ROUND($GJ$3,0))*('Margin Guidence Table'!$J$1:$J$10000&gt;=ROUND($GJ$3,0)),0),MATCH("DEFAULT_SELF_FUND_PCT_SALES",'Margin Guidence Table'!$A$1:$AG$1,0))),0)</f>
        <v>0</v>
      </c>
      <c r="HB20" s="1054">
        <f t="array" ref="HB20">IFERROR(IF($GT20="SEGMENT",INDEX('Margin Guidence Table'!$A$1:$AG$10000,MATCH(1,('Margin Guidence Table'!$A$1:$A$10000=GR20)*('Margin Guidence Table'!$I$1:$I$10000&lt;=ROUND($GJ$3,0))*('Margin Guidence Table'!$J$1:$J$10000&gt;=ROUND($GJ$3,0)),0),MATCH("CIA_MEDIAN_MARGIN_GUIDENCE",'Margin Guidence Table'!$A$1:$AG$1,0)),INDEX('Margin Guidence Table'!$A$1:$AG$10000,MATCH(1,('Margin Guidence Table'!$A$1:$A$10000=GR20)*('Margin Guidence Table'!$I$1:$I$10000&lt;=ROUND($GJ$3,0))*('Margin Guidence Table'!$J$1:$J$10000&gt;=ROUND($GJ$3,0)),0),MATCH("DEFAULT_CIA_MEDIAN_MARGIN_GUIDENCE",'Margin Guidence Table'!$A$1:$AG$1,0))),0)</f>
        <v>0</v>
      </c>
      <c r="HC20" s="127"/>
      <c r="HD20" s="18">
        <f t="array" ref="HD20">IFERROR(IF($HQ20="SEGMENT",INDEX('Margin Guidence Table'!$A$1:$AG$10000,MATCH(1,('Margin Guidence Table'!$A$1:$A$10000=$HO20)*('Margin Guidence Table'!$I$1:$I$10000&lt;=ROUND($HG$3,0))*('Margin Guidence Table'!$J$1:$J$10000&gt;=ROUND($HG$3,0)),0),MATCH("PCT_SALES",'Margin Guidence Table'!$A$1:$AG$1,0)),INDEX('Margin Guidence Table'!$A$1:$AG$10000,MATCH(1,('Margin Guidence Table'!$A$1:$A$10000=$HO20)*('Margin Guidence Table'!$I$1:$I$10000&lt;=ROUND($HG$3,0))*('Margin Guidence Table'!$J$1:$J$10000&gt;=ROUND($HG$3,0)),0),MATCH("DEFAULT_PCT_SALES",'Margin Guidence Table'!$A$1:$AG$1,0))),0)</f>
        <v>0</v>
      </c>
      <c r="HE20" s="370" t="e">
        <f t="shared" si="40"/>
        <v>#DIV/0!</v>
      </c>
      <c r="HF20" s="100" t="s">
        <v>98</v>
      </c>
      <c r="HG20" s="92">
        <f>IFERROR(IF(AND($HG$2&lt;&gt;"Enter Spend&gt;&gt;&gt;",HH8="EXISTING"),SUMIFS('Existing Customers'!$Q:$Q,'Existing Customers'!$A:$A,$HG$1,'Existing Customers'!$H:$H,$HF20)*$HG$4,$HG$3*$HE20),0)</f>
        <v>0</v>
      </c>
      <c r="HH20" s="87">
        <f>IFERROR(IF(AND($HG$2&lt;&gt;"Enter Spend&gt;&gt;&gt;",HH2="EXISTING"),SUMIFS('Existing Customers'!$N:$N,'Existing Customers'!$A:$A,$HG$1,'Existing Customers'!$H:$H,$HF20)*$HG$4,$HG20/$HR20),0)</f>
        <v>0</v>
      </c>
      <c r="HI20" s="93">
        <f>IFERROR(IF(AND($HG$2&lt;&gt;"Enter Spend&gt;&gt;&gt;",HH2="EXISTING"),SUMIFS('Existing Customers'!$O:$O,'Existing Customers'!$H:$H,$HF20,'Existing Customers'!$A:$A,$HG$1)*$HG$4,$HH20*$HG$8),0)</f>
        <v>0</v>
      </c>
      <c r="HJ20" s="93">
        <f>IFERROR(IF(AND($HG$2&lt;&gt;"Enter Spend&gt;&gt;&gt;",HH2="EXISTING"),SUMIFS('Existing Customers'!$P:$P,'Existing Customers'!$A:$A,$HG$1,'Existing Customers'!$H:$H,$HF20)*$HG$4,$HG20/$HS20),0)</f>
        <v>0</v>
      </c>
      <c r="HK20" s="94">
        <f>IFERROR(IF(AND($HG$2&lt;&gt;"Enter Spend&gt;&gt;&gt;",HH2="EXISTING"),SUMIFS('Existing Customers'!$V:$V,'Existing Customers'!$H:$H,$HF20,'Existing Customers'!$A:$A,$HG$1)*$HG$4,0),0)</f>
        <v>0</v>
      </c>
      <c r="HL20" s="94">
        <f>IFERROR(IF(AND($HG$2&lt;&gt;"Enter Spend&gt;&gt;&gt;",HH2="EXISTING"),SUMIFS('Existing Customers'!$R:$R,'Existing Customers'!$H:$H,$HF20,'Existing Customers'!$A:$A,$HG$1)*$HG$4,0),0)</f>
        <v>0</v>
      </c>
      <c r="HM20" s="1050">
        <f>IFERROR(IF(AND($HG$2&lt;&gt;"Enter Spend&gt;&gt;&gt;",HH2="EXISTING"),SUMIFS('Existing Customers'!$S:$S,'Existing Customers'!$H:$H,$HF20,'Existing Customers'!$A:$A,$HG$1),HW20*HG20),0)</f>
        <v>0</v>
      </c>
      <c r="HN20" s="1050">
        <f>IFERROR(IF(AND($HG$2&lt;&gt;"Enter Spend&gt;&gt;&gt;",HH2="EXISTING"),SUMIFS('Existing Customers'!$U:$U,'Existing Customers'!$H:$H,$HF20,'Existing Customers'!$A:$A,$HG$1),HX20*HG20),0)</f>
        <v>0</v>
      </c>
      <c r="HO20" s="1053" t="e">
        <f>_xlfn.CONCAT('Customer Inputs'!$AG$13,"_",HF20)</f>
        <v>#N/A</v>
      </c>
      <c r="HP20" s="1053">
        <f t="array" ref="HP20">IFERROR(INDEX('Margin Guidence Table'!$A$1:$AG$10000,MATCH(1,('Margin Guidence Table'!$A$1:$A$10000=HO20)*('Margin Guidence Table'!$I$1:$I$10000&lt;=ROUND($HG$3,0))*('Margin Guidence Table'!$J$1:$J$10000&gt;=ROUND($HG$3,0)),0),MATCH("DATA_POINTS",'Margin Guidence Table'!$A$1:$AG$1,0)),0)</f>
        <v>0</v>
      </c>
      <c r="HQ20" s="1050" t="str">
        <f t="shared" si="41"/>
        <v>DEFAULT</v>
      </c>
      <c r="HR20" s="1050">
        <f t="array" ref="HR20">IFERROR(IF($HQ20="SEGMENT",INDEX('Margin Guidence Table'!$A$1:$AG$10000,MATCH(1,('Margin Guidence Table'!$A$1:$A$10000=HO20)*('Margin Guidence Table'!$I$1:$I$10000&lt;=ROUND($HG$3,0))*('Margin Guidence Table'!$J$1:$J$10000&gt;=ROUND($HG$3,0)),0),MATCH("SALES_CASE",'Margin Guidence Table'!$A$1:$AG$1,0)),INDEX('Margin Guidence Table'!$A$1:$AG$10000,MATCH(1,('Margin Guidence Table'!$A$1:$A$10000=HO20)*('Margin Guidence Table'!$I$1:$I$10000&lt;=ROUND($HG$3,0))*('Margin Guidence Table'!$J$1:$J$10000&gt;=ROUND($HG$3,0)),0),MATCH("DEFAULT_SALES_CASE",'Margin Guidence Table'!$A$1:$AG$1,0))),0)</f>
        <v>0</v>
      </c>
      <c r="HS20" s="1050">
        <f t="array" ref="HS20">IFERROR(IF($HQ20="SEGMENT",INDEX('Margin Guidence Table'!$A$1:$AG$10000,MATCH(1,('Margin Guidence Table'!$A$1:$A$10000=HO20)*('Margin Guidence Table'!$I$1:$I$10000&lt;=ROUND($HG$3,0))*('Margin Guidence Table'!$J$1:$J$10000&gt;=ROUND($HG$3,0)),0),MATCH("SALES_LBS",'Margin Guidence Table'!$A$1:$AG$1,0)),INDEX('Margin Guidence Table'!$A$1:$AG$10000,MATCH(1,('Margin Guidence Table'!$A$1:$A$10000=HO20)*('Margin Guidence Table'!$I$1:$I$10000&lt;=ROUND($HG$3,0))*('Margin Guidence Table'!$J$1:$J$10000&gt;=ROUND($HG$3,0)),0),MATCH("DEFAULT_SALES_LBS",'Margin Guidence Table'!$A$1:$AG$1,0))),0)</f>
        <v>0</v>
      </c>
      <c r="HT20" s="1054">
        <f t="array" ref="HT20">IFERROR(IF($HQ20="SEGMENT",INDEX('Margin Guidence Table'!$A$1:$AG$10000,MATCH(1,('Margin Guidence Table'!$A$1:$A$10000=HO20)*('Margin Guidence Table'!$I$1:$I$10000&lt;=ROUND($HG$3,0))*('Margin Guidence Table'!$J$1:$J$10000&gt;=ROUND($HG$3,0)),0),MATCH("MDA_MIN_MARGIN_GUIDENCE",'Margin Guidence Table'!$A$1:$AG$1,0)),INDEX('Margin Guidence Table'!$A$1:$AG$10000,MATCH(1,('Margin Guidence Table'!$A$1:$A$10000=HO20)*('Margin Guidence Table'!$I$1:$I$10000&lt;=ROUND($HG$3,0))*('Margin Guidence Table'!$J$1:$J$10000&gt;=ROUND($HG$3,0)),0),MATCH("DEFAULT_MDA_MIN_MARGIN_GUIDENCE",'Margin Guidence Table'!$A$1:$AG$1,0))),0)</f>
        <v>0</v>
      </c>
      <c r="HU20" s="1054">
        <f t="array" ref="HU20">IFERROR(IF($HQ20="SEGMENT",INDEX('Margin Guidence Table'!$A$1:$AG$10000,MATCH(1,('Margin Guidence Table'!$A$1:$A$10000=HO20)*('Margin Guidence Table'!$I$1:$I$10000&lt;=ROUND($HG$3,0))*('Margin Guidence Table'!$J$1:$J$10000&gt;=ROUND($HG$3,0)),0),MATCH("MDA_MEDIAN_MARGIN_GUIDENCE",'Margin Guidence Table'!$A$1:$AG$1,0)),INDEX('Margin Guidence Table'!$A$1:$AG$10000,MATCH(1,('Margin Guidence Table'!$A$1:$A$10000=HO20)*('Margin Guidence Table'!$I$1:$I$10000&lt;=ROUND($HG$3,0))*('Margin Guidence Table'!$J$1:$J$10000&gt;=ROUND($HG$3,0)),0),MATCH("DEFAULT_MDA_MEDIAN_MARGIN_GUIDENCE",'Margin Guidence Table'!$A$1:$AG$1,0))),0)</f>
        <v>0</v>
      </c>
      <c r="HV20" s="1054">
        <f t="array" ref="HV20">IFERROR(IF($HQ20="SEGMENT",INDEX('Margin Guidence Table'!$A$1:$AG$10000,MATCH(1,('Margin Guidence Table'!$A$1:$A$10000=HO20)*('Margin Guidence Table'!$I$1:$I$10000&lt;=ROUND($HG$3,0))*('Margin Guidence Table'!$J$1:$J$10000&gt;=ROUND($HG$3,0)),0),MATCH("MDA_MAX_MARGIN_GUIDENCE",'Margin Guidence Table'!$A$1:$AG$1,0)),INDEX('Margin Guidence Table'!$A$1:$AG$10000,MATCH(1,('Margin Guidence Table'!$A$1:$A$10000=HO20)*('Margin Guidence Table'!$I$1:$I$10000&lt;=ROUND($HG$3,0))*('Margin Guidence Table'!$J$1:$J$10000&gt;=ROUND($HG$3,0)),0),MATCH("DEFAULT_MDA_MAX_MARGIN_GUIDENCE",'Margin Guidence Table'!$A$1:$AG$1,0))),0)</f>
        <v>0</v>
      </c>
      <c r="HW20" s="1054">
        <f t="array" ref="HW20">IFERROR(IF($HQ20="SEGMENT",INDEX('Margin Guidence Table'!$A$1:$AG$10000,MATCH(1,('Margin Guidence Table'!$A$1:$A$10000=HO20)*('Margin Guidence Table'!$I$1:$I$10000&lt;=ROUND($HG$3,0))*('Margin Guidence Table'!$J$1:$J$10000&gt;=ROUND($HG$3,0)),0),MATCH("PA_PCT_SALES",'Margin Guidence Table'!$A$1:$AG$1,0)),INDEX('Margin Guidence Table'!$A$1:$AG$10000,MATCH(1,('Margin Guidence Table'!$A$1:$A$10000=HO20)*('Margin Guidence Table'!$I$1:$I$10000&lt;=ROUND($HG$3,0))*('Margin Guidence Table'!$J$1:$J$10000&gt;=ROUND($HG$3,0)),0),MATCH("DEFAULT_PA_PCT_SALES",'Margin Guidence Table'!$A$1:$AG$1,0))),0)</f>
        <v>0</v>
      </c>
      <c r="HX20" s="1054">
        <f t="array" ref="HX20">IFERROR(IF($HQ20="SEGMENT",INDEX('Margin Guidence Table'!$A$1:$AG$10000,MATCH(1,('Margin Guidence Table'!$A$1:$A$10000=HO20)*('Margin Guidence Table'!$I$1:$I$10000&lt;=ROUND($HG$3,0))*('Margin Guidence Table'!$J$1:$J$10000&gt;=ROUND($HG$3,0)),0),MATCH("SELF_FUND_PCT_SALES",'Margin Guidence Table'!$A$1:$AG$1,0)),INDEX('Margin Guidence Table'!$A$1:$AG$10000,MATCH(1,('Margin Guidence Table'!$A$1:$A$10000=HO20)*('Margin Guidence Table'!$I$1:$I$10000&lt;=ROUND($HG$3,0))*('Margin Guidence Table'!$J$1:$J$10000&gt;=ROUND($HG$3,0)),0),MATCH("DEFAULT_SELF_FUND_PCT_SALES",'Margin Guidence Table'!$A$1:$AG$1,0))),0)</f>
        <v>0</v>
      </c>
      <c r="HY20" s="1054">
        <f t="array" ref="HY20">IFERROR(IF($HQ20="SEGMENT",INDEX('Margin Guidence Table'!$A$1:$AG$10000,MATCH(1,('Margin Guidence Table'!$A$1:$A$10000=HO20)*('Margin Guidence Table'!$I$1:$I$10000&lt;=ROUND($HG$3,0))*('Margin Guidence Table'!$J$1:$J$10000&gt;=ROUND($HG$3,0)),0),MATCH("CIA_MEDIAN_MARGIN_GUIDENCE",'Margin Guidence Table'!$A$1:$AG$1,0)),INDEX('Margin Guidence Table'!$A$1:$AG$10000,MATCH(1,('Margin Guidence Table'!$A$1:$A$10000=HO20)*('Margin Guidence Table'!$I$1:$I$10000&lt;=ROUND($HG$3,0))*('Margin Guidence Table'!$J$1:$J$10000&gt;=ROUND($HG$3,0)),0),MATCH("DEFAULT_CIA_MEDIAN_MARGIN_GUIDENCE",'Margin Guidence Table'!$A$1:$AG$1,0))),0)</f>
        <v>0</v>
      </c>
      <c r="HZ20" s="127"/>
      <c r="IA20" s="18">
        <f t="array" ref="IA20">IFERROR(IF($IN20="SEGMENT",INDEX('Margin Guidence Table'!$A:$AC,MATCH(1,('Margin Guidence Table'!$A:$A=$IL20)*('Margin Guidence Table'!$H:$H&lt;=ROUND($ID$3,0))*('Margin Guidence Table'!$G:$G&gt;=ROUND($ID$3,0)),0),MATCH("PCT_SALES",'Margin Guidence Table'!$A$1:$AG$1,0)),INDEX('Margin Guidence Table'!$A:$AC,MATCH(1,('Margin Guidence Table'!$A:$A=$IL20)*('Margin Guidence Table'!$H:$H&lt;=ROUND($ID$3,0))*('Margin Guidence Table'!$G:$G&gt;=ROUND($ID$3,0)),0),MATCH("DEFAULT_PCT_SALES",'Margin Guidence Table'!$A$1:$AG$1,0))),0)</f>
        <v>0</v>
      </c>
      <c r="IB20" s="370" t="e">
        <f t="shared" si="42"/>
        <v>#DIV/0!</v>
      </c>
      <c r="IC20" s="100" t="s">
        <v>98</v>
      </c>
      <c r="ID20" s="92">
        <f>IFERROR(IF(AND($ID$2&lt;&gt;"Enter Spend&gt;&gt;&gt;",IE8="EXISTING"),SUMIFS('Existing Customers'!$Q:$Q,'Existing Customers'!$A:$A,$ID$1,'Existing Customers'!$H:$H,$IC20)*$ID$4,$ID$3*$IB20),0)</f>
        <v>0</v>
      </c>
      <c r="IE20" s="87">
        <f>IFERROR(IF(AND($ID$2&lt;&gt;"Enter Spend&gt;&gt;&gt;",IE2="EXISTING"),SUMIFS('Existing Customers'!$N:$N,'Existing Customers'!$A:$A,$ID$1,'Existing Customers'!$H:$H,$IC20)*$ID$4,$ID20/$IO20),0)</f>
        <v>0</v>
      </c>
      <c r="IF20" s="93">
        <f>IFERROR(IF(AND($ID$2&lt;&gt;"Enter Spend&gt;&gt;&gt;",IE2="EXISTING"),SUMIFS('Existing Customers'!$O:$O,'Existing Customers'!$H:$H,$IC20,'Existing Customers'!$A:$A,$ID$1)*$ID$4,$IE20*$ID$8),0)</f>
        <v>0</v>
      </c>
      <c r="IG20" s="93">
        <f>IFERROR(IF(AND($ID$2&lt;&gt;"Enter Spend&gt;&gt;&gt;",IE2="EXISTING"),SUMIFS('Existing Customers'!$P:$P,'Existing Customers'!$A:$A,$ID$1,'Existing Customers'!$H:$H,$IC20)*$ID$4,$ID20/$IP20),0)</f>
        <v>0</v>
      </c>
      <c r="IH20" s="376">
        <f>IFERROR(IF(AND($ID$2&lt;&gt;"Enter Spend&gt;&gt;&gt;",IE2="EXISTING"),SUMIFS('Existing Customers'!$V:$V,'Existing Customers'!$H:$H,$IC20,'Existing Customers'!$A:$A,$ID$1)*$ID$4,0),0)</f>
        <v>0</v>
      </c>
      <c r="II20" s="94">
        <f>IFERROR(IF(AND($ID$2&lt;&gt;"Enter Spend&gt;&gt;&gt;",IE2="EXISTING"),SUMIFS('Existing Customers'!$R:$R,'Existing Customers'!$H:$H,$IC20,'Existing Customers'!$A:$A,$ID$1)*$ID$4,0),0)</f>
        <v>0</v>
      </c>
      <c r="IJ20" s="1050">
        <f>IFERROR(IF(AND($ID$2&lt;&gt;"Enter Spend&gt;&gt;&gt;",IE2="EXISTING"),SUMIFS('Existing Customers'!$S:$S,'Existing Customers'!$H:$H,$IC20,'Existing Customers'!$A:$A,$ID$1),IT20*ID20),0)</f>
        <v>0</v>
      </c>
      <c r="IK20" s="1050">
        <f>IFERROR(IF(AND($ID$2&lt;&gt;"Enter Spend&gt;&gt;&gt;",IE2="EXISTING"),SUMIFS('Existing Customers'!$U:$U,'Existing Customers'!$H:$H,$IC20,'Existing Customers'!$A:$A,$ID$1),IU20*ID20),0)</f>
        <v>0</v>
      </c>
      <c r="IL20" s="1053" t="e">
        <f>_xlfn.CONCAT('Customer Inputs'!$AG$14,"_",IC20)</f>
        <v>#N/A</v>
      </c>
      <c r="IM20" s="1053">
        <f t="array" ref="IM20">IFERROR(INDEX('Margin Guidence Table'!$A$1:$AG$10000,MATCH(1,('Margin Guidence Table'!$A$1:$A$10000=IL20)*('Margin Guidence Table'!$I$1:$I$10000&lt;=ROUND($ID$3,0))*('Margin Guidence Table'!$J$1:$J$10000&gt;=ROUND($ID$3,0)),0),MATCH("DATA_POINTS",'Margin Guidence Table'!$A$1:$AG$1,0)),0)</f>
        <v>0</v>
      </c>
      <c r="IN20" s="1050" t="str">
        <f t="shared" si="43"/>
        <v>DEFAULT</v>
      </c>
      <c r="IO20" s="1050">
        <f t="array" ref="IO20">IFERROR(IF($IN20="SEGMENT",INDEX('Margin Guidence Table'!$A$1:$AG$10000,MATCH(1,('Margin Guidence Table'!$A$1:$A$10000=IL20)*('Margin Guidence Table'!$I$1:$I$10000&lt;=ROUND($ID$3,0))*('Margin Guidence Table'!$J$1:$J$10000&gt;=ROUND($ID$3,0)),0),MATCH("SALES_CASE",'Margin Guidence Table'!$A$1:$AG$1,0)),INDEX('Margin Guidence Table'!$A$1:$AG$10000,MATCH(1,('Margin Guidence Table'!$A$1:$A$10000=IL20)*('Margin Guidence Table'!$I$1:$I$10000&lt;=ROUND($ID$3,0))*('Margin Guidence Table'!$J$1:$J$10000&gt;=ROUND($ID$3,0)),0),MATCH("DEFAULT_SALES_CASE",'Margin Guidence Table'!$A$1:$AG$1,0))),0)</f>
        <v>0</v>
      </c>
      <c r="IP20" s="1050">
        <f t="array" ref="IP20">IFERROR(IF($IN20="SEGMENT",INDEX('Margin Guidence Table'!$A$1:$AG$10000,MATCH(1,('Margin Guidence Table'!$A$1:$A$10000=IL20)*('Margin Guidence Table'!$I$1:$I$10000&lt;=ROUND($ID$3,0))*('Margin Guidence Table'!$J$1:$J$10000&gt;=ROUND($ID$3,0)),0),MATCH("SALES_LBS",'Margin Guidence Table'!$A$1:$AG$1,0)),INDEX('Margin Guidence Table'!$A$1:$AG$10000,MATCH(1,('Margin Guidence Table'!$A$1:$A$10000=IL20)*('Margin Guidence Table'!$I$1:$I$10000&lt;=ROUND($ID$3,0))*('Margin Guidence Table'!$J$1:$J$10000&gt;=ROUND($ID$3,0)),0),MATCH("DEFAULT_SALES_LBS",'Margin Guidence Table'!$A$1:$AG$1,0))),0)</f>
        <v>0</v>
      </c>
      <c r="IQ20" s="1054">
        <f t="array" ref="IQ20">IFERROR(IF($IN20="SEGMENT",INDEX('Margin Guidence Table'!$A$1:$AG$10000,MATCH(1,('Margin Guidence Table'!$A$1:$A$10000=IL20)*('Margin Guidence Table'!$I$1:$I$10000&lt;=ROUND($ID$3,0))*('Margin Guidence Table'!$J$1:$J$10000&gt;=ROUND($ID$3,0)),0),MATCH("MDA_MIN_MARGIN_GUIDENCE",'Margin Guidence Table'!$A$1:$AG$1,0)),INDEX('Margin Guidence Table'!$A$1:$AG$10000,MATCH(1,('Margin Guidence Table'!$A$1:$A$10000=IL20)*('Margin Guidence Table'!$I$1:$I$10000&lt;=ROUND($ID$3,0))*('Margin Guidence Table'!$J$1:$J$10000&gt;=ROUND($ID$3,0)),0),MATCH("DEFAULT_MDA_MIN_MARGIN_GUIDENCE",'Margin Guidence Table'!$A$1:$AG$1,0))),0)</f>
        <v>0</v>
      </c>
      <c r="IR20" s="1054">
        <f t="array" ref="IR20">IFERROR(IF($IN20="SEGMENT",INDEX('Margin Guidence Table'!$A$1:$AG$10000,MATCH(1,('Margin Guidence Table'!$A$1:$A$10000=IL20)*('Margin Guidence Table'!$I$1:$I$10000&lt;=ROUND($ID$3,0))*('Margin Guidence Table'!$J$1:$J$10000&gt;=ROUND($ID$3,0)),0),MATCH("MDA_MEDIAN_MARGIN_GUIDENCE",'Margin Guidence Table'!$A$1:$AG$1,0)),INDEX('Margin Guidence Table'!$A$1:$AG$10000,MATCH(1,('Margin Guidence Table'!$A$1:$A$10000=IL20)*('Margin Guidence Table'!$I$1:$I$10000&lt;=ROUND($ID$3,0))*('Margin Guidence Table'!$J$1:$J$10000&gt;=ROUND($ID$3,0)),0),MATCH("DEFAULT_MDA_MEDIAN_MARGIN_GUIDENCE",'Margin Guidence Table'!$A$1:$AG$1,0))),0)</f>
        <v>0</v>
      </c>
      <c r="IS20" s="1054">
        <f t="array" ref="IS20">IFERROR(IF($IN20="SEGMENT",INDEX('Margin Guidence Table'!$A$1:$AG$10000,MATCH(1,('Margin Guidence Table'!$A$1:$A$10000=IL20)*('Margin Guidence Table'!$I$1:$I$10000&lt;=ROUND($ID$3,0))*('Margin Guidence Table'!$J$1:$J$10000&gt;=ROUND($ID$3,0)),0),MATCH("MDA_MAX_MARGIN_GUIDENCE",'Margin Guidence Table'!$A$1:$AG$1,0)),INDEX('Margin Guidence Table'!$A$1:$AG$10000,MATCH(1,('Margin Guidence Table'!$A$1:$A$10000=IL20)*('Margin Guidence Table'!$I$1:$I$10000&lt;=ROUND($ID$3,0))*('Margin Guidence Table'!$J$1:$J$10000&gt;=ROUND($ID$3,0)),0),MATCH("DEFAULT_MDA_MAX_MARGIN_GUIDENCE",'Margin Guidence Table'!$A$1:$AG$1,0))),0)</f>
        <v>0</v>
      </c>
      <c r="IT20" s="1054">
        <f t="array" ref="IT20">IFERROR(IF($IN20="SEGMENT",INDEX('Margin Guidence Table'!$A$1:$AG$10000,MATCH(1,('Margin Guidence Table'!$A$1:$A$10000=IL20)*('Margin Guidence Table'!$I$1:$I$10000&lt;=ROUND($ID$3,0))*('Margin Guidence Table'!$J$1:$J$10000&gt;=ROUND($ID$3,0)),0),MATCH("PA_PCT_SALES",'Margin Guidence Table'!$A$1:$AG$1,0)),INDEX('Margin Guidence Table'!$A$1:$AG$10000,MATCH(1,('Margin Guidence Table'!$A$1:$A$10000=IL20)*('Margin Guidence Table'!$I$1:$I$10000&lt;=ROUND($ID$3,0))*('Margin Guidence Table'!$J$1:$J$10000&gt;=ROUND($ID$3,0)),0),MATCH("DEFAULT_PA_PCT_SALES",'Margin Guidence Table'!$A$1:$AG$1,0))),0)</f>
        <v>0</v>
      </c>
      <c r="IU20" s="1054">
        <f t="array" ref="IU20">IFERROR(IF($IN20="SEGMENT",INDEX('Margin Guidence Table'!$A$1:$AG$10000,MATCH(1,('Margin Guidence Table'!$A$1:$A$10000=IL20)*('Margin Guidence Table'!$I$1:$I$10000&lt;=ROUND($ID$3,0))*('Margin Guidence Table'!$J$1:$J$10000&gt;=ROUND($ID$3,0)),0),MATCH("SELF_FUND_PCT_SALES",'Margin Guidence Table'!$A$1:$AG$1,0)),INDEX('Margin Guidence Table'!$A$1:$AG$10000,MATCH(1,('Margin Guidence Table'!$A$1:$A$10000=IL20)*('Margin Guidence Table'!$I$1:$I$10000&lt;=ROUND($ID$3,0))*('Margin Guidence Table'!$J$1:$J$10000&gt;=ROUND($ID$3,0)),0),MATCH("DEFAULT_SELF_FUND_PCT_SALES",'Margin Guidence Table'!$A$1:$AG$1,0))),0)</f>
        <v>0</v>
      </c>
      <c r="IV20" s="1054">
        <f t="array" ref="IV20">IFERROR(IF($IN20="SEGMENT",INDEX('Margin Guidence Table'!$A$1:$AG$10000,MATCH(1,('Margin Guidence Table'!$A$1:$A$10000=IL20)*('Margin Guidence Table'!$I$1:$I$10000&lt;=ROUND($ID$3,0))*('Margin Guidence Table'!$J$1:$J$10000&gt;=ROUND($ID$3,0)),0),MATCH("CIA_MEDIAN_MARGIN_GUIDENCE",'Margin Guidence Table'!$A$1:$AG$1,0)),INDEX('Margin Guidence Table'!$A$1:$AG$10000,MATCH(1,('Margin Guidence Table'!$A$1:$A$10000=IL20)*('Margin Guidence Table'!$I$1:$I$10000&lt;=ROUND($ID$3,0))*('Margin Guidence Table'!$J$1:$J$10000&gt;=ROUND($ID$3,0)),0),MATCH("DEFAULT_CIA_MEDIAN_MARGIN_GUIDENCE",'Margin Guidence Table'!$A$1:$AG$1,0))),0)</f>
        <v>0</v>
      </c>
      <c r="IW20" s="127"/>
      <c r="IX20" s="18">
        <f t="array" ref="IX20">IFERROR(IF($JK20="SEGMENT",INDEX('Margin Guidence Table'!$A$1:$AG$10000,MATCH(1,('Margin Guidence Table'!$A$1:$A$10000=$JI20)*('Margin Guidence Table'!$I$1:$I$10000&lt;=ROUND($JA$3,0))*('Margin Guidence Table'!$J$1:$J$10000&gt;=ROUND($JA$3,0)),0),MATCH("PCT_SALES",'Margin Guidence Table'!$A$1:$AG$1,0)),INDEX('Margin Guidence Table'!$A$1:$AG$10000,MATCH(1,('Margin Guidence Table'!$A$1:$A$10000=$JI20)*('Margin Guidence Table'!$I$1:$I$10000&lt;=ROUND($JA$3,0))*('Margin Guidence Table'!$J$1:$J$10000&gt;=ROUND($JA$3,0)),0),MATCH("DEFAULT_PCT_SALES",'Margin Guidence Table'!$A$1:$AG$1,0))),0)</f>
        <v>0</v>
      </c>
      <c r="IY20" s="370" t="e">
        <f t="shared" si="44"/>
        <v>#DIV/0!</v>
      </c>
      <c r="IZ20" s="100" t="s">
        <v>98</v>
      </c>
      <c r="JA20" s="92">
        <f>IFERROR(IF(AND($JA$2&lt;&gt;"Enter Spend&gt;&gt;&gt;",JB8="EXISTING"),SUMIFS('Existing Customers'!$Q:$Q,'Existing Customers'!$A:$A,$JA$1,'Existing Customers'!$H:$H,$IZ20)*$JA$4,$JA$3*$IY20),0)</f>
        <v>0</v>
      </c>
      <c r="JB20" s="87">
        <f>IFERROR(IF(AND($JA$2&lt;&gt;"Enter Spend&gt;&gt;&gt;",JB2="EXISTING"),SUMIFS('Existing Customers'!$N:$N,'Existing Customers'!$A:$A,$JA$1,'Existing Customers'!$H:$H,$IZ20)*$JA$4,$JA20/$JL20),0)</f>
        <v>0</v>
      </c>
      <c r="JC20" s="93">
        <f>IFERROR(IF(AND($JA$2&lt;&gt;"Enter Spend&gt;&gt;&gt;",JB2="EXISTING"),SUMIFS('Existing Customers'!$O:$O,'Existing Customers'!$H:$H,$IZ20,'Existing Customers'!$A:$A,$JA$1)*$JA$4,$JB20*$JA$8),0)</f>
        <v>0</v>
      </c>
      <c r="JD20" s="93">
        <f>IFERROR(IF(AND($JA$2&lt;&gt;"Enter Spend&gt;&gt;&gt;",JB2="EXISTING"),SUMIFS('Existing Customers'!$P:$P,'Existing Customers'!$A:$A,$JA$1,'Existing Customers'!$H:$H,$IZ20)*$JA$4,$JA20/$JM20),0)</f>
        <v>0</v>
      </c>
      <c r="JE20" s="376">
        <f>IFERROR(IF(AND($JA$2&lt;&gt;"Enter Spend&gt;&gt;&gt;",JB2="EXISTING"),SUMIFS('Existing Customers'!$V:$V,'Existing Customers'!$H:$H,$IZ20,'Existing Customers'!$A:$A,$JA$1)*$JA$4,0),0)</f>
        <v>0</v>
      </c>
      <c r="JF20" s="94">
        <f>IFERROR(IF(AND($JA$2&lt;&gt;"Enter Spend&gt;&gt;&gt;",JB2="EXISTING"),SUMIFS('Existing Customers'!$R:$R,'Existing Customers'!$H:$H,$IZ20,'Existing Customers'!$A:$A,$JA$1)*$JA$4,0),0)</f>
        <v>0</v>
      </c>
      <c r="JG20" s="1050">
        <f>IFERROR(IF(AND($JA$2&lt;&gt;"Enter Spend&gt;&gt;&gt;",JB2="EXISTING"),SUMIFS('Existing Customers'!$S:$S,'Existing Customers'!$H:$H,$IZ20,'Existing Customers'!$A:$A,$JA$1),JQ20*JA20),0)</f>
        <v>0</v>
      </c>
      <c r="JH20" s="1050">
        <f>IFERROR(IF(AND($JA$2&lt;&gt;"Enter Spend&gt;&gt;&gt;",JB2="EXISTING"),SUMIFS('Existing Customers'!$U:$U,'Existing Customers'!$H:$H,$IZ20,'Existing Customers'!$A:$A,$JA$1),JR20*JA20),0)</f>
        <v>0</v>
      </c>
      <c r="JI20" s="1053" t="e">
        <f>_xlfn.CONCAT('Customer Inputs'!$AG$15,"_",IZ20)</f>
        <v>#N/A</v>
      </c>
      <c r="JJ20" s="1053">
        <f t="array" ref="JJ20">IFERROR(INDEX('Margin Guidence Table'!$A$1:$AG$10000,MATCH(1,('Margin Guidence Table'!$A$1:$A$10000=JI20)*('Margin Guidence Table'!$I$1:$I$10000&lt;=ROUND($JA$3,0))*('Margin Guidence Table'!$J$1:$J$10000&gt;=ROUND($JA$3,0)),0),MATCH("DATA_POINTS",'Margin Guidence Table'!$A$1:$AG$1,0)),0)</f>
        <v>0</v>
      </c>
      <c r="JK20" s="1050" t="str">
        <f t="shared" si="45"/>
        <v>DEFAULT</v>
      </c>
      <c r="JL20" s="1050">
        <f t="array" ref="JL20">IFERROR(IF($JK20="SEGMENT",INDEX('Margin Guidence Table'!$A$1:$AG$10000,MATCH(1,('Margin Guidence Table'!$A$1:$A$10000=JI20)*('Margin Guidence Table'!$I$1:$I$10000&lt;=ROUND($JA$3,0))*('Margin Guidence Table'!$J$1:$J$10000&gt;=ROUND($JA$3,0)),0),MATCH("SALES_CASE",'Margin Guidence Table'!$A$1:$AG$1,0)),INDEX('Margin Guidence Table'!$A$1:$AG$10000,MATCH(1,('Margin Guidence Table'!$A$1:$A$10000=JI20)*('Margin Guidence Table'!$I$1:$I$10000&lt;=ROUND($JA$3,0))*('Margin Guidence Table'!$J$1:$J$10000&gt;=ROUND($JA$3,0)),0),MATCH("DEFAULT_SALES_CASE",'Margin Guidence Table'!$A$1:$AG$1,0))),0)</f>
        <v>0</v>
      </c>
      <c r="JM20" s="1050">
        <f t="array" ref="JM20">IFERROR(IF($JK20="SEGMENT",INDEX('Margin Guidence Table'!$A$1:$AG$10000,MATCH(1,('Margin Guidence Table'!$A$1:$A$10000=JI20)*('Margin Guidence Table'!$I$1:$I$10000&lt;=ROUND($JA$3,0))*('Margin Guidence Table'!$J$1:$J$10000&gt;=ROUND($JA$3,0)),0),MATCH("SALES_LBS",'Margin Guidence Table'!$A$1:$AG$1,0)),INDEX('Margin Guidence Table'!$A$1:$AG$10000,MATCH(1,('Margin Guidence Table'!$A$1:$A$10000=JI20)*('Margin Guidence Table'!$I$1:$I$10000&lt;=ROUND($JA$3,0))*('Margin Guidence Table'!$J$1:$J$10000&gt;=ROUND($JA$3,0)),0),MATCH("DEFAULT_SALES_LBS",'Margin Guidence Table'!$A$1:$AG$1,0))),0)</f>
        <v>0</v>
      </c>
      <c r="JN20" s="1054">
        <f t="array" ref="JN20">IFERROR(IF($JK20="SEGMENT",INDEX('Margin Guidence Table'!$A$1:$AG$10000,MATCH(1,('Margin Guidence Table'!$A$1:$A$10000=JI20)*('Margin Guidence Table'!$I$1:$I$10000&lt;=ROUND($JA$3,0))*('Margin Guidence Table'!$J$1:$J$10000&gt;=ROUND($JA$3,0)),0),MATCH("MDA_MIN_MARGIN_GUIDENCE",'Margin Guidence Table'!$A$1:$AG$1,0)),INDEX('Margin Guidence Table'!$A$1:$AG$10000,MATCH(1,('Margin Guidence Table'!$A$1:$A$10000=JI20)*('Margin Guidence Table'!$I$1:$I$10000&lt;=ROUND($JA$3,0))*('Margin Guidence Table'!$J$1:$J$10000&gt;=ROUND($JA$3,0)),0),MATCH("DEFAULT_MDA_MIN_MARGIN_GUIDENCE",'Margin Guidence Table'!$A$1:$AG$1,0))),0)</f>
        <v>0</v>
      </c>
      <c r="JO20" s="1054">
        <f t="array" ref="JO20">IFERROR(IF($JK20="SEGMENT",INDEX('Margin Guidence Table'!$A$1:$AG$10000,MATCH(1,('Margin Guidence Table'!$A$1:$A$10000=JI20)*('Margin Guidence Table'!$I$1:$I$10000&lt;=ROUND($JA$3,0))*('Margin Guidence Table'!$J$1:$J$10000&gt;=ROUND($JA$3,0)),0),MATCH("MDA_MEDIAN_MARGIN_GUIDENCE",'Margin Guidence Table'!$A$1:$AG$1,0)),INDEX('Margin Guidence Table'!$A$1:$AG$10000,MATCH(1,('Margin Guidence Table'!$A$1:$A$10000=JI20)*('Margin Guidence Table'!$I$1:$I$10000&lt;=ROUND($JA$3,0))*('Margin Guidence Table'!$J$1:$J$10000&gt;=ROUND($JA$3,0)),0),MATCH("DEFAULT_MDA_MEDIAN_MARGIN_GUIDENCE",'Margin Guidence Table'!$A$1:$AG$1,0))),0)</f>
        <v>0</v>
      </c>
      <c r="JP20" s="1054">
        <f t="array" ref="JP20">IFERROR(IF($JK20="SEGMENT",INDEX('Margin Guidence Table'!$A$1:$AG$10000,MATCH(1,('Margin Guidence Table'!$A$1:$A$10000=JI20)*('Margin Guidence Table'!$I$1:$I$10000&lt;=ROUND($JA$3,0))*('Margin Guidence Table'!$J$1:$J$10000&gt;=ROUND($JA$3,0)),0),MATCH("MDA_MAX_MARGIN_GUIDENCE",'Margin Guidence Table'!$A$1:$AG$1,0)),INDEX('Margin Guidence Table'!$A$1:$AG$10000,MATCH(1,('Margin Guidence Table'!$A$1:$A$10000=JI20)*('Margin Guidence Table'!$I$1:$I$10000&lt;=ROUND($JA$3,0))*('Margin Guidence Table'!$J$1:$J$10000&gt;=ROUND($JA$3,0)),0),MATCH("DEFAULT_MDA_MAX_MARGIN_GUIDENCE",'Margin Guidence Table'!$A$1:$AG$1,0))),0)</f>
        <v>0</v>
      </c>
      <c r="JQ20" s="1054">
        <f t="array" ref="JQ20">IFERROR(IF($JK20="SEGMENT",INDEX('Margin Guidence Table'!$A$1:$AG$10000,MATCH(1,('Margin Guidence Table'!$A$1:$A$10000=JI20)*('Margin Guidence Table'!$I$1:$I$10000&lt;=ROUND($JA$3,0))*('Margin Guidence Table'!$J$1:$J$10000&gt;=ROUND($JA$3,0)),0),MATCH("PA_PCT_SALES",'Margin Guidence Table'!$A$1:$AG$1,0)),INDEX('Margin Guidence Table'!$A$1:$AG$10000,MATCH(1,('Margin Guidence Table'!$A$1:$A$10000=JI20)*('Margin Guidence Table'!$I$1:$I$10000&lt;=ROUND($JA$3,0))*('Margin Guidence Table'!$J$1:$J$10000&gt;=ROUND($JA$3,0)),0),MATCH("DEFAULT_PA_PCT_SALES",'Margin Guidence Table'!$A$1:$AG$1,0))),0)</f>
        <v>0</v>
      </c>
      <c r="JR20" s="1054">
        <f t="array" ref="JR20">IFERROR(IF($JK20="SEGMENT",INDEX('Margin Guidence Table'!$A$1:$AG$10000,MATCH(1,('Margin Guidence Table'!$A$1:$A$10000=JI20)*('Margin Guidence Table'!$I$1:$I$10000&lt;=ROUND($JA$3,0))*('Margin Guidence Table'!$J$1:$J$10000&gt;=ROUND($JA$3,0)),0),MATCH("SELF_FUND_PCT_SALES",'Margin Guidence Table'!$A$1:$AG$1,0)),INDEX('Margin Guidence Table'!$A$1:$AG$10000,MATCH(1,('Margin Guidence Table'!$A$1:$A$10000=JI20)*('Margin Guidence Table'!$I$1:$I$10000&lt;=ROUND($JA$3,0))*('Margin Guidence Table'!$J$1:$J$10000&gt;=ROUND($JA$3,0)),0),MATCH("DEFAULT_SELF_FUND_PCT_SALES",'Margin Guidence Table'!$A$1:$AG$1,0))),0)</f>
        <v>0</v>
      </c>
      <c r="JS20" s="1054">
        <f t="array" ref="JS20">IFERROR(IF($JK20="SEGMENT",INDEX('Margin Guidence Table'!$A$1:$AG$10000,MATCH(1,('Margin Guidence Table'!$A$1:$A$10000=JI20)*('Margin Guidence Table'!$I$1:$I$10000&lt;=ROUND($JA$3,0))*('Margin Guidence Table'!$J$1:$J$10000&gt;=ROUND($JA$3,0)),0),MATCH("CIA_MEDIAN_MARGIN_GUIDENCE",'Margin Guidence Table'!$A$1:$AG$1,0)),INDEX('Margin Guidence Table'!$A$1:$AG$10000,MATCH(1,('Margin Guidence Table'!$A$1:$A$10000=JI20)*('Margin Guidence Table'!$I$1:$I$10000&lt;=ROUND($JA$3,0))*('Margin Guidence Table'!$J$1:$J$10000&gt;=ROUND($JA$3,0)),0),MATCH("DEFAULT_CIA_MEDIAN_MARGIN_GUIDENCE",'Margin Guidence Table'!$A$1:$AG$1,0))),0)</f>
        <v>0</v>
      </c>
      <c r="JU20" s="100" t="s">
        <v>98</v>
      </c>
      <c r="JV20" s="95"/>
      <c r="JW20" s="87"/>
      <c r="JX20" s="87"/>
      <c r="JY20" s="87"/>
      <c r="JZ20" s="112"/>
      <c r="KA20" s="96"/>
      <c r="KB20" s="127"/>
      <c r="KD20" s="100" t="s">
        <v>98</v>
      </c>
      <c r="KE20" s="95"/>
      <c r="KF20" s="87"/>
      <c r="KG20" s="87"/>
      <c r="KH20" s="87"/>
      <c r="KI20" s="112"/>
      <c r="KJ20" s="96"/>
    </row>
    <row r="21" spans="2:296" ht="15.75" thickBot="1" x14ac:dyDescent="0.3">
      <c r="B21" s="100" t="s">
        <v>95</v>
      </c>
      <c r="C21" s="449">
        <f t="shared" si="11"/>
        <v>0</v>
      </c>
      <c r="D21" s="465">
        <f t="shared" si="12"/>
        <v>0</v>
      </c>
      <c r="E21" s="465">
        <f t="shared" si="13"/>
        <v>0</v>
      </c>
      <c r="F21" s="465">
        <f t="shared" si="14"/>
        <v>0</v>
      </c>
      <c r="G21" s="466">
        <f t="shared" si="15"/>
        <v>0</v>
      </c>
      <c r="H21" s="465">
        <f t="shared" si="16"/>
        <v>0</v>
      </c>
      <c r="I21" s="1046" t="e">
        <f t="shared" si="0"/>
        <v>#DIV/0!</v>
      </c>
      <c r="J21" s="1046" t="e">
        <f t="shared" si="1"/>
        <v>#DIV/0!</v>
      </c>
      <c r="K21" s="1046" t="e">
        <f t="shared" si="2"/>
        <v>#DIV/0!</v>
      </c>
      <c r="L21" s="465" t="e">
        <f t="shared" si="3"/>
        <v>#DIV/0!</v>
      </c>
      <c r="M21" s="465" t="e">
        <f t="shared" si="17"/>
        <v>#DIV/0!</v>
      </c>
      <c r="N21" s="1047" t="e">
        <f t="shared" si="4"/>
        <v>#DIV/0!</v>
      </c>
      <c r="P21" t="str">
        <f>'PIM Model'!E17</f>
        <v>INCLUDE</v>
      </c>
      <c r="Q21">
        <f t="shared" si="18"/>
        <v>0</v>
      </c>
      <c r="R21">
        <f t="shared" si="19"/>
        <v>0</v>
      </c>
      <c r="S21" s="100" t="s">
        <v>95</v>
      </c>
      <c r="T21" s="95">
        <f t="shared" si="20"/>
        <v>0</v>
      </c>
      <c r="U21" s="87">
        <f t="shared" si="5"/>
        <v>0</v>
      </c>
      <c r="V21" s="87">
        <f t="shared" si="6"/>
        <v>0</v>
      </c>
      <c r="W21" s="87">
        <f t="shared" si="7"/>
        <v>0</v>
      </c>
      <c r="X21" s="112">
        <f t="shared" si="8"/>
        <v>0</v>
      </c>
      <c r="Y21" s="115">
        <f t="shared" si="21"/>
        <v>0</v>
      </c>
      <c r="Z21" s="374"/>
      <c r="AA21" s="100" t="s">
        <v>95</v>
      </c>
      <c r="AB21" s="453">
        <f t="shared" si="9"/>
        <v>0</v>
      </c>
      <c r="AC21" s="454">
        <f t="shared" si="9"/>
        <v>0</v>
      </c>
      <c r="AD21" s="454">
        <f t="shared" si="9"/>
        <v>0</v>
      </c>
      <c r="AE21" s="455">
        <f t="shared" si="22"/>
        <v>0</v>
      </c>
      <c r="AF21" s="456">
        <f t="shared" si="23"/>
        <v>0</v>
      </c>
      <c r="AG21" s="374"/>
      <c r="AH21" s="100" t="s">
        <v>95</v>
      </c>
      <c r="AI21" s="453">
        <f t="shared" si="10"/>
        <v>0</v>
      </c>
      <c r="AJ21" s="450">
        <f t="shared" si="24"/>
        <v>0</v>
      </c>
      <c r="AK21" s="456"/>
      <c r="AL21" s="374"/>
      <c r="AM21" s="1" t="str">
        <f>IF('PIM Ranges'!$AK19='PIM Ranges'!$AW$11,IF($AI21&lt;'PIM Ranges'!$AX$11,"Q1",IF($AI21&lt;'PIM Ranges'!$AY$11,"Q2",IF($AI21&lt;'PIM Ranges'!$AZ$11,"Q3",IF($AI21&lt;'PIM Ranges'!$BA$11,"Q4","Q5")))),IF('PIM Ranges'!$AK19='PIM Ranges'!$AW$12,IF($AI21&lt;'PIM Ranges'!$AX$12,"Q1",IF($AI21&lt;'PIM Ranges'!$AY$12,"Q2",IF($AI21&lt;'PIM Ranges'!$AZ$12,"Q3",IF($AI21&lt;'PIM Ranges'!$BA$12,"Q4","Q5")))),IF('PIM Ranges'!$AK19='PIM Ranges'!$AW$13,IF($AI21&lt;'PIM Ranges'!$AX$13,"Q1",IF($AI21&lt;'PIM Ranges'!$AY$13,"Q2",IF($AI21&lt;'PIM Ranges'!$AZ$13,"Q3",IF($AI21&lt;'PIM Ranges'!$BA$13,"Q4","Q5")))),IF('PIM Ranges'!$AK19='PIM Ranges'!$AW$14,IF($AI21&lt;'PIM Ranges'!$AX$14,"Q1",IF($AI21&lt;'PIM Ranges'!$AY$14,"Q2",IF($AI21&lt;'PIM Ranges'!$AZ$14,"Q3",IF($AI21&lt;'PIM Ranges'!$BA$14,"Q4","Q5")))),IF('PIM Ranges'!$AK19='PIM Ranges'!$AW$15,IF($AI21&lt;'PIM Ranges'!$AX$15,"Q1",IF($AI21&lt;'PIM Ranges'!$AY$15,"Q2",IF($AI21&lt;'PIM Ranges'!$AZ$15,"Q3",IF($AI21&lt;'PIM Ranges'!$BA$15,"Q4","Q5")))),IF('PIM Ranges'!$AK19='PIM Ranges'!$AW$16,IF($AI21&lt;'PIM Ranges'!$AX$16,"Q1",IF($AI21&lt;'PIM Ranges'!$AY$16,"Q2",IF($AI21&lt;'PIM Ranges'!$AZ$16,"Q3",IF($AI21&lt;'PIM Ranges'!$BA$16,"Q4","Q5")))),IF('PIM Ranges'!$AK19='PIM Ranges'!$AW$17,IF($AI21&lt;'PIM Ranges'!$AX$17,"Q1",IF($AI21&lt;'PIM Ranges'!$AY$17,"Q2",IF($AI21&lt;'PIM Ranges'!$AZ$17,"Q3",IF($AI21&lt;'PIM Ranges'!$BA$17,"Q4","Q5")))),IF('PIM Ranges'!$AK19='PIM Ranges'!$AW$18,IF($AI21&lt;'PIM Ranges'!$AX$18,"Q1",IF($AI21&lt;'PIM Ranges'!$AY$18,"Q2",IF($AI21&lt;'PIM Ranges'!$AZ$18,"Q3",IF($AI21&lt;'PIM Ranges'!$BA$18,"Q4","Q5")))),IF('PIM Ranges'!$AK19='PIM Ranges'!$AW$19,IF($AI21&lt;'PIM Ranges'!$AX$19,"Q1",IF($AI21&lt;'PIM Ranges'!$AY$19,"Q2",IF($AI21&lt;'PIM Ranges'!$AZ$19,"Q3",IF($AI21&lt;'PIM Ranges'!$BA$19,"Q4","Q5")))),IF('PIM Ranges'!$AK19='PIM Ranges'!$AW$20,IF($AI21&lt;'PIM Ranges'!$AX$20,"Q1",IF($AI21&lt;'PIM Ranges'!$AY$20,"Q2",IF($AI21&lt;'PIM Ranges'!$AZ$20,"Q3",IF($AI21&lt;'PIM Ranges'!$BA$20,"Q4","Q5")))),IF('PIM Ranges'!$AK19='PIM Ranges'!$AW$21,IF($AI21&lt;'PIM Ranges'!$AX$21,"Q1",IF($AI21&lt;'PIM Ranges'!$AY$21,"Q2",IF($AI21&lt;'PIM Ranges'!$AZ$21,"Q3",IF($AI21&lt;'PIM Ranges'!$BA$21,"Q4","Q5")))),IF('PIM Ranges'!$AK19='PIM Ranges'!$AW$22,IF($AI21&lt;'PIM Ranges'!$AX$22,"Q1",IF($AI21&lt;'PIM Ranges'!$AY$22,"Q2",IF($AI21&lt;'PIM Ranges'!$AZ$22,"Q3",IF($AI21&lt;'PIM Ranges'!$BA$22,"Q4","Q5")))),IF('PIM Ranges'!$AK19='PIM Ranges'!$AW$23,IF($AI21&lt;'PIM Ranges'!$AX$23,"Q1",IF($AI21&lt;'PIM Ranges'!$AY$23,"Q2",IF($AI21&lt;'PIM Ranges'!$AZ$23,"Q3",IF($AI21&lt;'PIM Ranges'!$BA$23,"Q4","Q5")))),IF('PIM Ranges'!$AK19='PIM Ranges'!$AW$24,IF($AI21&lt;'PIM Ranges'!$AX$24,"Q1",IF($AI21&lt;'PIM Ranges'!$AY$24,"Q2",IF($AI21&lt;'PIM Ranges'!$AZ$24,"Q3",IF($AI21&lt;'PIM Ranges'!$BA$24,"Q4","Q5")))),IF('PIM Ranges'!$AK19='PIM Ranges'!$AW$25,IF($AI21&lt;'PIM Ranges'!$AX$25,"Q1",IF($AI21&lt;'PIM Ranges'!$AY$25,"Q2",IF($AI21&lt;'PIM Ranges'!$AZ$25,"Q3",IF($AI21&lt;'PIM Ranges'!$BA$25,"Q4","Q5")))),IF('PIM Ranges'!$AK19='PIM Ranges'!$AW$26,IF($AI21&lt;'PIM Ranges'!$AX$26,"Q1",IF($AI21&lt;'PIM Ranges'!$AY$26,"Q2",IF($AI21&lt;'PIM Ranges'!$AZ$26,"Q3",IF($AI21&lt;'PIM Ranges'!$BA$26,"Q4","Q5")))),IF('PIM Ranges'!$AK19='PIM Ranges'!$AW$27,IF($AI21&lt;'PIM Ranges'!$AX$27,"Q1",IF($AI21&lt;'PIM Ranges'!$AY$27,"Q2",IF($AI21&lt;'PIM Ranges'!$AZ$27,"Q3",IF($AI21&lt;'PIM Ranges'!$BA$27,"Q4","Q5")))),IF('PIM Ranges'!$AK19='PIM Ranges'!$AW$28,IF($AI21&lt;'PIM Ranges'!$AX$28,"Q1",IF($AI21&lt;'PIM Ranges'!$AY$28,"Q2",IF($AI21&lt;'PIM Ranges'!$AZ$28,"Q3",IF($AI21&lt;'PIM Ranges'!$BA$28,"Q4","Q5")))),IF('PIM Ranges'!$AK19='PIM Ranges'!$AW$29,IF($AI21&lt;'PIM Ranges'!$AX$29,"Q1",IF($AI21&lt;'PIM Ranges'!$AY$29,"Q2",IF($AI21&lt;'PIM Ranges'!$AZ$29,"Q3",IF($AI21&lt;'PIM Ranges'!$BA$29,"Q4","Q5")))),IF('PIM Ranges'!$AK19='PIM Ranges'!$AW$30,IF($AI21&lt;'PIM Ranges'!$AX$30,"Q1",IF($AI21&lt;'PIM Ranges'!$AY$30,"Q2",IF($AI21&lt;'PIM Ranges'!$AZ$30,"Q3",IF($AI21&lt;'PIM Ranges'!$BA$30,"Q4","Q5")))),IF('PIM Ranges'!$AK19='PIM Ranges'!$AW$31,IF($AI21&lt;'PIM Ranges'!$AX$31,"Q1",IF($AI21&lt;'PIM Ranges'!$AY$31,"Q2",IF($AI21&lt;'PIM Ranges'!$AZ$31,"Q3",IF($AI21&lt;'PIM Ranges'!$BA$31,"Q4","Q5")))),IF('PIM Ranges'!$AK19='PIM Ranges'!$AW$32,IF($AI21&lt;'PIM Ranges'!$AX$32,"Q1",IF($AI21&lt;'PIM Ranges'!$AY$32,"Q2",IF($AI21&lt;'PIM Ranges'!$AZ$32,"Q3",IF($AI21&lt;'PIM Ranges'!$BA$32,"Q4","Q5"))))))))))))))))))))))))))</f>
        <v>Q1</v>
      </c>
      <c r="AN21" s="374">
        <f>VLOOKUP($AH21&amp;$AM21,'IMargin Quartiles'!$A:$F,6,FALSE)</f>
        <v>0.12</v>
      </c>
      <c r="AO21" s="374"/>
      <c r="AP21"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Q21" s="374" t="e">
        <f t="shared" si="25"/>
        <v>#DIV/0!</v>
      </c>
      <c r="AR21">
        <f>'PIM Model'!C17</f>
        <v>0</v>
      </c>
      <c r="AS21" s="374"/>
      <c r="AT21" s="374"/>
      <c r="AU21" s="374" t="e">
        <f t="shared" si="46"/>
        <v>#DIV/0!</v>
      </c>
      <c r="AV21" s="374"/>
      <c r="AW21" s="374"/>
      <c r="AX21" s="106">
        <v>10</v>
      </c>
      <c r="AY21" s="18">
        <f t="array" ref="AY21">IFERROR(IF($BL21="SEGMENT",INDEX('Margin Guidence Table'!$A$1:$AG$10000,MATCH(1,('Margin Guidence Table'!$A$1:$A$10000=$BJ21)*('Margin Guidence Table'!$I$1:$I$10000&lt;=ROUND($BB$3,0))*('Margin Guidence Table'!$J$1:$J$10000&gt;=ROUND($BB$3,0)),0),MATCH("PCT_SALES",'Margin Guidence Table'!$A$1:$AG$1,0)),INDEX('Margin Guidence Table'!$A$1:$AG$10000,MATCH(1,('Margin Guidence Table'!$A$1:$A$10000=$BJ21)*('Margin Guidence Table'!$I$1:$I$10000&lt;=ROUND($BB$3,0))*('Margin Guidence Table'!$J$1:$J$10000&gt;=ROUND($BB$3,0)),0),MATCH("DEFAULT_PCT_SALES",'Margin Guidence Table'!$A$1:$AG$1,0))),0)</f>
        <v>0</v>
      </c>
      <c r="AZ21" s="370" t="e">
        <f t="shared" si="26"/>
        <v>#DIV/0!</v>
      </c>
      <c r="BA21" s="100" t="s">
        <v>95</v>
      </c>
      <c r="BB21" s="92">
        <f>IFERROR(IF(AND($BB$2&lt;&gt;"Enter Spend&gt;&gt;&gt;",BC9="EXISTING"),SUMIFS('Existing Customers'!$Q:$Q,'Existing Customers'!$A:$A,$BB$1,'Existing Customers'!$H:$H,$BA21)*$BB$4,$BB$3*$AZ21),0)</f>
        <v>0</v>
      </c>
      <c r="BC21" s="93">
        <f>IFERROR(IF(AND($BB$2&lt;&gt;"Enter Spend&gt;&gt;&gt;",BC2="EXISTING"),SUMIFS('Existing Customers'!$N:$N,'Existing Customers'!$A:$A,$BB$1,'Existing Customers'!$H:$H,$BA21)*$BB$4,$BB21/$BM21),0)</f>
        <v>0</v>
      </c>
      <c r="BD21" s="93">
        <f>IFERROR(IF(AND($BB$2&lt;&gt;"Enter Spend&gt;&gt;&gt;",BC2="EXISTING"),SUMIFS('Existing Customers'!$O:$O,'Existing Customers'!$H:$H,$BA21,'Existing Customers'!$A:$A,$BB$1)*$BB$4,$BC21*$BB$8),0)</f>
        <v>0</v>
      </c>
      <c r="BE21" s="93">
        <f>IFERROR(IF(AND($BB$2&lt;&gt;"Enter Spend&gt;&gt;&gt;",BC2="EXISTING"),SUMIFS('Existing Customers'!$P:$P,'Existing Customers'!$A:$A,$BB$1,'Existing Customers'!$H:$H,$BA21)*$BB$4,$BB21/$BN21),0)</f>
        <v>0</v>
      </c>
      <c r="BF21" s="376">
        <f>IFERROR(IF(AND($BB$2&lt;&gt;"Enter Spend&gt;&gt;&gt;",BC2="EXISTING"),SUMIFS('Existing Customers'!$V:$V,'Existing Customers'!$H:$H,$BA21,'Existing Customers'!$A:$A,$BB$1)*$BB$4,0),0)</f>
        <v>0</v>
      </c>
      <c r="BG21" s="94">
        <f>IFERROR(IF(AND($BB$2&lt;&gt;"Enter Spend&gt;&gt;&gt;",BC2="EXISTING"),SUMIFS('Existing Customers'!$R:$R,'Existing Customers'!$H:$H,$BA21,'Existing Customers'!$A:$A,$BB$1)*$BB$4,0),0)</f>
        <v>0</v>
      </c>
      <c r="BH21" s="94">
        <f>IFERROR(IF(AND($BB$2&lt;&gt;"Enter Spend&gt;&gt;&gt;",BC2="EXISTING"),SUMIFS('Existing Customers'!$S:$S,'Existing Customers'!$H:$H,$BA21,'Existing Customers'!$A:$A,$BB$1),BR21*BB21),0)</f>
        <v>0</v>
      </c>
      <c r="BI21" s="94">
        <f>IFERROR(IF(AND($BB$2&lt;&gt;"Enter Spend&gt;&gt;&gt;",BC2="EXISTING"),SUMIFS('Existing Customers'!$U:$U,'Existing Customers'!$H:$H,$BA21,'Existing Customers'!$A:$A,$BB$1),BS21*BB21),0)</f>
        <v>0</v>
      </c>
      <c r="BJ21" s="1052" t="e">
        <f>_xlfn.CONCAT('Customer Inputs'!$AG$6,"_",BA21)</f>
        <v>#N/A</v>
      </c>
      <c r="BK21" s="1053">
        <f t="array" ref="BK21">IFERROR(INDEX('Margin Guidence Table'!$A$1:$AG$10000,MATCH(1,('Margin Guidence Table'!$A$1:$A$10000=$BJ21)*('Margin Guidence Table'!$I$1:$I$10000&lt;=ROUND($BB$3,0))*('Margin Guidence Table'!$J$1:$J$10000&gt;=ROUND($BB$3,0)),0),MATCH("DATA_POINTS",'Margin Guidence Table'!$A$1:$AG$1,0)),0)</f>
        <v>0</v>
      </c>
      <c r="BL21" s="1050" t="str">
        <f t="shared" si="27"/>
        <v>DEFAULT</v>
      </c>
      <c r="BM21" s="1050">
        <f t="array" ref="BM21">IFERROR(IF($BL21="SEGMENT",INDEX('Margin Guidence Table'!$A$1:$AG$10000,MATCH(1,('Margin Guidence Table'!$A$1:$A$10000=$BJ21)*('Margin Guidence Table'!$I$1:$I$10000&lt;=ROUND($BB$3,0))*('Margin Guidence Table'!$J$1:$J$10000&gt;=ROUND($BB$3,0)),0),MATCH("SALES_CASE",'Margin Guidence Table'!$A$1:$AG$1,0)),INDEX('Margin Guidence Table'!$A$1:$AG$10000,MATCH(1,('Margin Guidence Table'!$A$1:$A$10000=$BJ21)*('Margin Guidence Table'!$I$1:$I$10000&lt;=ROUND($BB$3,0))*('Margin Guidence Table'!$J$1:$J$10000&gt;=ROUND($BB$3,0)),0),MATCH("DEFAULT_SALES_CASE",'Margin Guidence Table'!$A$1:$AG$1,0))),0)</f>
        <v>0</v>
      </c>
      <c r="BN21" s="1050">
        <f t="array" ref="BN21">IFERROR(IF($BL21="SEGMENT",INDEX('Margin Guidence Table'!$A$1:$AG$10000,MATCH(1,('Margin Guidence Table'!$A$1:$A$10000=$BJ21)*('Margin Guidence Table'!$I$1:$I$10000&lt;=ROUND($BB$3,0))*('Margin Guidence Table'!$J$1:$J$10000&gt;=ROUND($BB$3,0)),0),MATCH("SALES_LBS",'Margin Guidence Table'!$A$1:$AG$1,0)),INDEX('Margin Guidence Table'!$A$1:$AG$10000,MATCH(1,('Margin Guidence Table'!$A$1:$A$10000=$BJ21)*('Margin Guidence Table'!$I$1:$I$10000&lt;=ROUND($BB$3,0))*('Margin Guidence Table'!$J$1:$J$10000&gt;=ROUND($BB$3,0)),0),MATCH("DEFAULT_SALES_LBS",'Margin Guidence Table'!$A$1:$AG$1,0))),0)</f>
        <v>0</v>
      </c>
      <c r="BO21" s="1054">
        <f t="array" ref="BO21">IFERROR(IF($BL21="SEGMENT",INDEX('Margin Guidence Table'!$A$1:$AG$10000,MATCH(1,('Margin Guidence Table'!$A$1:$A$10000=$BJ21)*('Margin Guidence Table'!$I$1:$I$10000&lt;=ROUND($BB$3,0))*('Margin Guidence Table'!$J$1:$J$10000&gt;=ROUND($BB$3,0)),0),MATCH("MDA_MIN_MARGIN_GUIDENCE",'Margin Guidence Table'!$A$1:$AG$1,0)),INDEX('Margin Guidence Table'!$A$1:$AG$10000,MATCH(1,('Margin Guidence Table'!$A$1:$A$10000=$BJ21)*('Margin Guidence Table'!$I$1:$I$10000&lt;=ROUND($BB$3,0))*('Margin Guidence Table'!$J$1:$J$10000&gt;=ROUND($BB$3,0)),0),MATCH("DEFAULT_MDA_MIN_MARGIN_GUIDENCE",'Margin Guidence Table'!$A$1:$AG$1,0))),0)</f>
        <v>0</v>
      </c>
      <c r="BP21" s="1054">
        <f t="array" ref="BP21">IFERROR(IF($BL21="SEGMENT",INDEX('Margin Guidence Table'!$A$1:$AG$10000,MATCH(1,('Margin Guidence Table'!$A$1:$A$10000=$BJ21)*('Margin Guidence Table'!$I$1:$I$10000&lt;=ROUND($BB$3,0))*('Margin Guidence Table'!$J$1:$J$10000&gt;=ROUND($BB$3,0)),0),MATCH("MDA_MEDIAN_MARGIN_GUIDENCE",'Margin Guidence Table'!$A$1:$AG$1,0)),INDEX('Margin Guidence Table'!$A$1:$AG$10000,MATCH(1,('Margin Guidence Table'!$A$1:$A$10000=$BJ21)*('Margin Guidence Table'!$I$1:$I$10000&lt;=ROUND($BB$3,0))*('Margin Guidence Table'!$J$1:$J$10000&gt;=ROUND($BB$3,0)),0),MATCH("DEFAULT_MDA_MEDIAN_MARGIN_GUIDENCE",'Margin Guidence Table'!$A$1:$AG$1,0))),0)</f>
        <v>0</v>
      </c>
      <c r="BQ21" s="1054">
        <f t="array" ref="BQ21">IFERROR(IF($BL21="SEGMENT",INDEX('Margin Guidence Table'!$A$1:$AG$10000,MATCH(1,('Margin Guidence Table'!$A$1:$A$10000=$BJ21)*('Margin Guidence Table'!$I$1:$I$10000&lt;=ROUND($BB$3,0))*('Margin Guidence Table'!$J$1:$J$10000&gt;=ROUND($BB$3,0)),0),MATCH("MDA_MAX_MARGIN_GUIDENCE",'Margin Guidence Table'!$A$1:$AG$1,0)),INDEX('Margin Guidence Table'!$A$1:$AG$10000,MATCH(1,('Margin Guidence Table'!$A$1:$A$10000=$BJ21)*('Margin Guidence Table'!$I$1:$I$10000&lt;=ROUND($BB$3,0))*('Margin Guidence Table'!$J$1:$J$10000&gt;=ROUND($BB$3,0)),0),MATCH("DEFAULT_MDA_MAX_MARGIN_GUIDENCE",'Margin Guidence Table'!$A$1:$AG$1,0))),0)</f>
        <v>0</v>
      </c>
      <c r="BR21" s="1054">
        <f t="array" ref="BR21">IFERROR(IF($BL21="SEGMENT",INDEX('Margin Guidence Table'!$A$1:$AG$10000,MATCH(1,('Margin Guidence Table'!$A$1:$A$10000=$BJ21)*('Margin Guidence Table'!$I$1:$I$10000&lt;=ROUND($BB$3,0))*('Margin Guidence Table'!$J$1:$J$10000&gt;=ROUND($BB$3,0)),0),MATCH("PA_PCT_SALES",'Margin Guidence Table'!$A$1:$AG$1,0)),INDEX('Margin Guidence Table'!$A$1:$AG$10000,MATCH(1,('Margin Guidence Table'!$A$1:$A$10000=$BJ21)*('Margin Guidence Table'!$I$1:$I$10000&lt;=ROUND($BB$3,0))*('Margin Guidence Table'!$J$1:$J$10000&gt;=ROUND($BB$3,0)),0),MATCH("DEFAULT_PA_PCT_SALES",'Margin Guidence Table'!$A$1:$AG$1,0))),0)</f>
        <v>0</v>
      </c>
      <c r="BS21" s="1054">
        <f t="array" ref="BS21">IFERROR(IF($BL21="SEGMENT",INDEX('Margin Guidence Table'!$A$1:$AG$10000,MATCH(1,('Margin Guidence Table'!$A$1:$A$10000=$BJ21)*('Margin Guidence Table'!$I$1:$I$10000&lt;=ROUND($BB$3,0))*('Margin Guidence Table'!$J$1:$J$10000&gt;=ROUND($BB$3,0)),0),MATCH("SELF_FUND_PCT_SALES",'Margin Guidence Table'!$A$1:$AG$1,0)),INDEX('Margin Guidence Table'!$A$1:$AG$10000,MATCH(1,('Margin Guidence Table'!$A$1:$A$10000=$BJ21)*('Margin Guidence Table'!$I$1:$I$10000&lt;=ROUND($BB$3,0))*('Margin Guidence Table'!$J$1:$J$10000&gt;=ROUND($BB$3,0)),0),MATCH("DEFAULT_SELF_FUND_PCT_SALES",'Margin Guidence Table'!$A$1:$AG$1,0))),0)</f>
        <v>0</v>
      </c>
      <c r="BT21" s="1054">
        <f t="array" ref="BT21">IFERROR(IF($BL21="SEGMENT",INDEX('Margin Guidence Table'!$A$1:$AG$10000,MATCH(1,('Margin Guidence Table'!$A$1:$A$10000=$BJ21)*('Margin Guidence Table'!$I$1:$I$10000&lt;=ROUND($BB$3,0))*('Margin Guidence Table'!$J$1:$J$10000&gt;=ROUND($BB$3,0)),0),MATCH("CIA_MEDIAN_MARGIN_GUIDENCE",'Margin Guidence Table'!$A$1:$AG$1,0)),INDEX('Margin Guidence Table'!$A$1:$AG$10000,MATCH(1,('Margin Guidence Table'!$A$1:$A$10000=$BJ21)*('Margin Guidence Table'!$I$1:$I$10000&lt;=ROUND($BB$3,0))*('Margin Guidence Table'!$J$1:$J$10000&gt;=ROUND($BB$3,0)),0),MATCH("DEFAULT_CIA_MEDIAN_MARGIN_GUIDENCE",'Margin Guidence Table'!$A$1:$AG$1,0))),0)</f>
        <v>0</v>
      </c>
      <c r="BU21" s="127"/>
      <c r="BV21" s="18">
        <f t="array" ref="BV21">IFERROR(IF($CI21="SEGMENT",INDEX('Margin Guidence Table'!$A$1:$AG$10000,MATCH(1,('Margin Guidence Table'!$A$1:$A$10000=$CG21)*('Margin Guidence Table'!$I$1:$I$10000&lt;=ROUND($BY$3,0))*('Margin Guidence Table'!$J$1:$J$10000&gt;=ROUND($BY$3,0)),0),MATCH("PCT_SALES",'Margin Guidence Table'!$A$1:$AG$1,0)),INDEX('Margin Guidence Table'!$A$1:$AG$10000,MATCH(1,('Margin Guidence Table'!$A$1:$A$10000=$CG21)*('Margin Guidence Table'!$I$1:$I$10000&lt;=ROUND($BY$3,0))*('Margin Guidence Table'!$J$1:$J$10000&gt;=ROUND($BY$3,0)),0),MATCH("DEFAULT_PCT_SALES",'Margin Guidence Table'!$A$1:$AG$1,0))),0)</f>
        <v>0</v>
      </c>
      <c r="BW21" s="370" t="e">
        <f t="shared" si="28"/>
        <v>#DIV/0!</v>
      </c>
      <c r="BX21" s="100" t="s">
        <v>95</v>
      </c>
      <c r="BY21" s="92">
        <f>IFERROR(IF(AND($BY$2&lt;&gt;"Enter Spend&gt;&gt;&gt;",BZ9="EXISTING"),SUMIFS('Existing Customers'!$Q:$Q,'Existing Customers'!$A:$A,$BY$1,'Existing Customers'!$H:$H,$BX21)*$BY$4,$BY$3*$BW21),0)</f>
        <v>0</v>
      </c>
      <c r="BZ21" s="87">
        <f>IFERROR(IF(AND($BY$2&lt;&gt;"Enter Spend&gt;&gt;&gt;",BZ2="EXISTING"),SUMIFS('Existing Customers'!$N:$N,'Existing Customers'!$A:$A,$BY$1,'Existing Customers'!$H:$H,$BX21)*$BY$4,$BY21/$CJ21),0)</f>
        <v>0</v>
      </c>
      <c r="CA21" s="93">
        <f>IFERROR(IF(AND($BY$2&lt;&gt;"Enter Spend&gt;&gt;&gt;",BZ2="EXISTING"),SUMIFS('Existing Customers'!$O:$O,'Existing Customers'!$H:$H,$BX21,'Existing Customers'!$A:$A,$BY$1)*$BY$4,$BZ21*$BY$8),0)</f>
        <v>0</v>
      </c>
      <c r="CB21" s="93">
        <f>IFERROR(IF(AND($BY$2&lt;&gt;"Enter Spend&gt;&gt;&gt;",BZ2="EXISTING"),SUMIFS('Existing Customers'!$P:$P,'Existing Customers'!$A:$A,$BY$1,'Existing Customers'!$H:$H,$BX21)*$BY$4,$BY21/$CK21),0)</f>
        <v>0</v>
      </c>
      <c r="CC21" s="94">
        <f>IFERROR(IF(AND($BY$2&lt;&gt;"Enter Spend&gt;&gt;&gt;",BZ2="EXISTING"),SUMIFS('Existing Customers'!$V:$V,'Existing Customers'!$H:$H,$BX21,'Existing Customers'!$A:$A,$BY$1)*$BY$4,0),0)</f>
        <v>0</v>
      </c>
      <c r="CD21" s="94">
        <f>IFERROR(IF(AND($BY$2&lt;&gt;"Enter Spend&gt;&gt;&gt;",BZ2="EXISTING"),SUMIFS('Existing Customers'!$R:$R,'Existing Customers'!$H:$H,$BX21,'Existing Customers'!$A:$A,$BY$1)*$BY$4,0),0)</f>
        <v>0</v>
      </c>
      <c r="CE21" s="1050">
        <f>IFERROR(IF(AND($BY$2&lt;&gt;"Enter Spend&gt;&gt;&gt;",BZ2="EXISTING"),SUMIFS('Existing Customers'!$S:$S,'Existing Customers'!$H:$H,$BX21,'Existing Customers'!$A:$A,$BY$1),CO21*BY21),0)</f>
        <v>0</v>
      </c>
      <c r="CF21" s="1050">
        <f>IFERROR(IF(AND($BY$2&lt;&gt;"Enter Spend&gt;&gt;&gt;",BZ2="EXISTING"),SUMIFS('Existing Customers'!$U:$U,'Existing Customers'!$H:$H,$BX21,'Existing Customers'!$A:$A,$BY$1),CP21*BY21),0)</f>
        <v>0</v>
      </c>
      <c r="CG21" s="1053" t="e">
        <f>_xlfn.CONCAT('Customer Inputs'!$AG$7,"_",BX21)</f>
        <v>#N/A</v>
      </c>
      <c r="CH21" s="1053">
        <f t="array" ref="CH21">IFERROR(INDEX('Margin Guidence Table'!$A$1:$AG$10000,MATCH(1,('Margin Guidence Table'!$A$1:$A$10000=$CG21)*('Margin Guidence Table'!$I$1:$I$10000&lt;=ROUND($BY$3,0))*('Margin Guidence Table'!$J$1:$J$10000&gt;=ROUND($BY$3,0)),0),MATCH("DATA_POINTS",'Margin Guidence Table'!$A$1:$AG$1,0)),0)</f>
        <v>0</v>
      </c>
      <c r="CI21" s="1050" t="str">
        <f t="shared" si="29"/>
        <v>DEFAULT</v>
      </c>
      <c r="CJ21" s="1050">
        <f t="array" ref="CJ21">IFERROR(IF($CI21="SEGMENT",INDEX('Margin Guidence Table'!$A$1:$AG$10000,MATCH(1,('Margin Guidence Table'!$A$1:$A$10000=$CG21)*('Margin Guidence Table'!$I$1:$I$10000&lt;=ROUND($BY$3,0))*('Margin Guidence Table'!$J$1:$J$10000&gt;=ROUND($BY$3,0)),0),MATCH("SALES_CASE",'Margin Guidence Table'!$A$1:$AG$1,0)),INDEX('Margin Guidence Table'!$A$1:$AG$10000,MATCH(1,('Margin Guidence Table'!$A$1:$A$10000=$CG21)*('Margin Guidence Table'!$I$1:$I$10000&lt;=ROUND($BY$3,0))*('Margin Guidence Table'!$J$1:$J$10000&gt;=ROUND($BY$3,0)),0),MATCH("DEFAULT_SALES_CASE",'Margin Guidence Table'!$A$1:$AG$1,0))),0)</f>
        <v>0</v>
      </c>
      <c r="CK21" s="1050">
        <f t="array" ref="CK21">IFERROR(IF($CI21="SEGMENT",INDEX('Margin Guidence Table'!$A$1:$AG$10000,MATCH(1,('Margin Guidence Table'!$A$1:$A$10000=$CG21)*('Margin Guidence Table'!$I$1:$I$10000&lt;=ROUND($BY$3,0))*('Margin Guidence Table'!$J$1:$J$10000&gt;=ROUND($BY$3,0)),0),MATCH("SALES_LBS",'Margin Guidence Table'!$A$1:$AG$1,0)),INDEX('Margin Guidence Table'!$A$1:$AG$10000,MATCH(1,('Margin Guidence Table'!$A$1:$A$10000=$CG21)*('Margin Guidence Table'!$I$1:$I$10000&lt;=ROUND($BY$3,0))*('Margin Guidence Table'!$J$1:$J$10000&gt;=ROUND($BY$3,0)),0),MATCH("DEFAULT_SALES_LBS",'Margin Guidence Table'!$A$1:$AG$1,0))),0)</f>
        <v>0</v>
      </c>
      <c r="CL21" s="1054">
        <f t="array" ref="CL21">IFERROR(IF($CI21="SEGMENT",INDEX('Margin Guidence Table'!$A$1:$AG$10000,MATCH(1,('Margin Guidence Table'!$A$1:$A$10000=$CG21)*('Margin Guidence Table'!$I$1:$I$10000&lt;=ROUND($BY$3,0))*('Margin Guidence Table'!$J$1:$J$10000&gt;=ROUND($BY$3,0)),0),MATCH("MDA_MIN_MARGIN_GUIDENCE",'Margin Guidence Table'!$A$1:$AG$1,0)),INDEX('Margin Guidence Table'!$A$1:$AG$10000,MATCH(1,('Margin Guidence Table'!$A$1:$A$10000=$CG21)*('Margin Guidence Table'!$I$1:$I$10000&lt;=ROUND($BY$3,0))*('Margin Guidence Table'!$J$1:$J$10000&gt;=ROUND($BY$3,0)),0),MATCH("DEFAULT_MDA_MIN_MARGIN_GUIDENCE",'Margin Guidence Table'!$A$1:$AG$1,0))),0)</f>
        <v>0</v>
      </c>
      <c r="CM21" s="1054">
        <f t="array" ref="CM21">IFERROR(IF($CI21="SEGMENT",INDEX('Margin Guidence Table'!$A$1:$AG$10000,MATCH(1,('Margin Guidence Table'!$A$1:$A$10000=$CG21)*('Margin Guidence Table'!$I$1:$I$10000&lt;=ROUND($BY$3,0))*('Margin Guidence Table'!$J$1:$J$10000&gt;=ROUND($BY$3,0)),0),MATCH("MDA_MEDIAN_MARGIN_GUIDENCE",'Margin Guidence Table'!$A$1:$AG$1,0)),INDEX('Margin Guidence Table'!$A$1:$AG$10000,MATCH(1,('Margin Guidence Table'!$A$1:$A$10000=$CG21)*('Margin Guidence Table'!$I$1:$I$10000&lt;=ROUND($BY$3,0))*('Margin Guidence Table'!$J$1:$J$10000&gt;=ROUND($BY$3,0)),0),MATCH("DEFAULT_MDA_MEDIAN_MARGIN_GUIDENCE",'Margin Guidence Table'!$A$1:$AG$1,0))),0)</f>
        <v>0</v>
      </c>
      <c r="CN21" s="1054">
        <f t="array" ref="CN21">IFERROR(IF($CI21="SEGMENT",INDEX('Margin Guidence Table'!$A$1:$AG$10000,MATCH(1,('Margin Guidence Table'!$A$1:$A$10000=$CG21)*('Margin Guidence Table'!$I$1:$I$10000&lt;=ROUND($BY$3,0))*('Margin Guidence Table'!$J$1:$J$10000&gt;=ROUND($BY$3,0)),0),MATCH("MDA_MAX_MARGIN_GUIDENCE",'Margin Guidence Table'!$A$1:$AG$1,0)),INDEX('Margin Guidence Table'!$A$1:$AG$10000,MATCH(1,('Margin Guidence Table'!$A$1:$A$10000=$CG21)*('Margin Guidence Table'!$I$1:$I$10000&lt;=ROUND($BY$3,0))*('Margin Guidence Table'!$J$1:$J$10000&gt;=ROUND($BY$3,0)),0),MATCH("DEFAULT_MDA_MAX_MARGIN_GUIDENCE",'Margin Guidence Table'!$A$1:$AG$1,0))),0)</f>
        <v>0</v>
      </c>
      <c r="CO21" s="1054">
        <f t="array" ref="CO21">IFERROR(IF($CI21="SEGMENT",INDEX('Margin Guidence Table'!$A$1:$AG$10000,MATCH(1,('Margin Guidence Table'!$A$1:$A$10000=$CG21)*('Margin Guidence Table'!$I$1:$I$10000&lt;=ROUND($BY$3,0))*('Margin Guidence Table'!$J$1:$J$10000&gt;=ROUND($BY$3,0)),0),MATCH("PA_PCT_SALES",'Margin Guidence Table'!$A$1:$AG$1,0)),INDEX('Margin Guidence Table'!$A$1:$AG$10000,MATCH(1,('Margin Guidence Table'!$A$1:$A$10000=$CG21)*('Margin Guidence Table'!$I$1:$I$10000&lt;=ROUND($BY$3,0))*('Margin Guidence Table'!$J$1:$J$10000&gt;=ROUND($BY$3,0)),0),MATCH("DEFAULT_PA_PCT_SALES",'Margin Guidence Table'!$A$1:$AG$1,0))),0)</f>
        <v>0</v>
      </c>
      <c r="CP21" s="1054">
        <f t="array" ref="CP21">IFERROR(IF($CI21="SEGMENT",INDEX('Margin Guidence Table'!$A$1:$AG$10000,MATCH(1,('Margin Guidence Table'!$A$1:$A$10000=$CG21)*('Margin Guidence Table'!$I$1:$I$10000&lt;=ROUND($BY$3,0))*('Margin Guidence Table'!$J$1:$J$10000&gt;=ROUND($BY$3,0)),0),MATCH("SELF_FUND_PCT_SALES",'Margin Guidence Table'!$A$1:$AG$1,0)),INDEX('Margin Guidence Table'!$A$1:$AG$10000,MATCH(1,('Margin Guidence Table'!$A$1:$A$10000=$CG21)*('Margin Guidence Table'!$I$1:$I$10000&lt;=ROUND($BY$3,0))*('Margin Guidence Table'!$J$1:$J$10000&gt;=ROUND($BY$3,0)),0),MATCH("DEFAULT_SELF_FUND_PCT_SALES",'Margin Guidence Table'!$A$1:$AG$1,0))),0)</f>
        <v>0</v>
      </c>
      <c r="CQ21" s="1054">
        <f t="array" ref="CQ21">IFERROR(IF($CI21="SEGMENT",INDEX('Margin Guidence Table'!$A$1:$AG$10000,MATCH(1,('Margin Guidence Table'!$A$1:$A$10000=$CG21)*('Margin Guidence Table'!$I$1:$I$10000&lt;=ROUND($BY$3,0))*('Margin Guidence Table'!$J$1:$J$10000&gt;=ROUND($BY$3,0)),0),MATCH("CIA_MEDIAN_MARGIN_GUIDENCE",'Margin Guidence Table'!$A$1:$AG$1,0)),INDEX('Margin Guidence Table'!$A$1:$AG$10000,MATCH(1,('Margin Guidence Table'!$A$1:$A$10000=$CG21)*('Margin Guidence Table'!$I$1:$I$10000&lt;=ROUND($BY$3,0))*('Margin Guidence Table'!$J$1:$J$10000&gt;=ROUND($BY$3,0)),0),MATCH("DEFAULT_CIA_MEDIAN_MARGIN_GUIDENCE",'Margin Guidence Table'!$A$1:$AG$1,0))),0)</f>
        <v>0</v>
      </c>
      <c r="CR21" s="127"/>
      <c r="CS21" s="18">
        <f t="array" ref="CS21">IFERROR(IF($DF21="SEGMENT",INDEX('Margin Guidence Table'!$A$1:$AG$10000,MATCH(1,('Margin Guidence Table'!$A$1:$A$10000=$DD21)*('Margin Guidence Table'!$I$1:$I$10000&lt;=ROUND($CV$3,0))*('Margin Guidence Table'!$J$1:$J$10000&gt;=ROUND($CV$3,0)),0),MATCH("PCT_SALES",'Margin Guidence Table'!$A$1:$AG$1,0)),INDEX('Margin Guidence Table'!$A$1:$AG$10000,MATCH(1,('Margin Guidence Table'!$A$1:$A$10000=$DD21)*('Margin Guidence Table'!$I$1:$I$10000&lt;=ROUND($CV$3,0))*('Margin Guidence Table'!$J$1:$J$10000&gt;=ROUND($CV$3,0)),0),MATCH("DEFAULT_PCT_SALES",'Margin Guidence Table'!$A$1:$AG$1,0))),0)</f>
        <v>0</v>
      </c>
      <c r="CT21" s="370" t="e">
        <f t="shared" si="30"/>
        <v>#DIV/0!</v>
      </c>
      <c r="CU21" s="100" t="s">
        <v>95</v>
      </c>
      <c r="CV21" s="92">
        <f>IFERROR(IF(AND($CV$2&lt;&gt;"Enter Spend&gt;&gt;&gt;",CW9="EXISTING"),SUMIFS('Existing Customers'!$Q:$Q,'Existing Customers'!$A:$A,$CV$1,'Existing Customers'!$H:$H,$CU21)*$CV$4,$CV$3*$CT21),0)</f>
        <v>0</v>
      </c>
      <c r="CW21" s="87">
        <f>IFERROR(IF(AND($CV$2&lt;&gt;"Enter Spend&gt;&gt;&gt;",CW2="EXISTING"),SUMIFS('Existing Customers'!$N:$N,'Existing Customers'!$A:$A,$CV$1,'Existing Customers'!$H:$H,$CU21)*$CV$4,$CV21/$DG21),0)</f>
        <v>0</v>
      </c>
      <c r="CX21" s="93">
        <f>IFERROR(IF(AND($CV$2&lt;&gt;"Enter Spend&gt;&gt;&gt;",BC28="EXISTING"),SUMIFS('Existing Customers'!$O:$O,'Existing Customers'!$H:$H,$CU21,'Existing Customers'!$A:$A,$CV$1)*$CV$4,$CW21*$CV$8),0)</f>
        <v>0</v>
      </c>
      <c r="CY21" s="93">
        <f>IFERROR(IF(AND($CV$2&lt;&gt;"Enter Spend&gt;&gt;&gt;",CW2="EXISTING"),SUMIFS('Existing Customers'!$P:$P,'Existing Customers'!$A:$A,$CV$1,'Existing Customers'!$H:$H,$CU21)*$CV$4,$CV21/$DH21),0)</f>
        <v>0</v>
      </c>
      <c r="CZ21" s="94">
        <f>IFERROR(IF(AND($CV$2&lt;&gt;"Enter Spend&gt;&gt;&gt;",CW2="EXISTING"),SUMIFS('Existing Customers'!$V:$V,'Existing Customers'!$H:$H,$CU21,'Existing Customers'!$A:$A,$CV$1)*$CV$4,0),0)</f>
        <v>0</v>
      </c>
      <c r="DA21" s="94">
        <f>IFERROR(IF(AND($CV$2&lt;&gt;"Enter Spend&gt;&gt;&gt;",CW2="EXISTING"),SUMIFS('Existing Customers'!$R:$R,'Existing Customers'!$H:$H,$BA21,'Existing Customers'!$A:$A,$CV$1)*$CV$4,0),0)</f>
        <v>0</v>
      </c>
      <c r="DB21" s="1050">
        <f>IFERROR(IF(AND($CV$2&lt;&gt;"Enter Spend&gt;&gt;&gt;",CW2="EXISTING"),SUMIFS('Existing Customers'!$S:$S,'Existing Customers'!$H:$H,$CU21,'Existing Customers'!$A:$A,$CV$1),DL21*CV21),0)</f>
        <v>0</v>
      </c>
      <c r="DC21" s="1050">
        <f>IFERROR(IF(AND($CV$2&lt;&gt;"Enter Spend&gt;&gt;&gt;",CW2="EXISTING"),SUMIFS('Existing Customers'!$U:$U,'Existing Customers'!$H:$H,$CU21,'Existing Customers'!$A:$A,$CV$1),DM21*CV21),0)</f>
        <v>0</v>
      </c>
      <c r="DD21" s="1053" t="e">
        <f>_xlfn.CONCAT('Customer Inputs'!$AG$8,"_",CU21)</f>
        <v>#N/A</v>
      </c>
      <c r="DE21" s="1053">
        <f t="array" ref="DE21">IFERROR(INDEX('Margin Guidence Table'!$A$1:$AG$10000,MATCH(1,('Margin Guidence Table'!$A$1:$A$10000=DD21)*('Margin Guidence Table'!$I$1:$I$10000&lt;=ROUND($CV$3,0))*('Margin Guidence Table'!$J$1:$J$10000&gt;=ROUND($CV$3,0)),0),MATCH("DATA_POINTS",'Margin Guidence Table'!$A$1:$AG$1,0)),0)</f>
        <v>0</v>
      </c>
      <c r="DF21" s="1050" t="str">
        <f t="shared" si="31"/>
        <v>DEFAULT</v>
      </c>
      <c r="DG21" s="1050">
        <f t="array" ref="DG21">IFERROR(IF($DF21="SEGMENT",INDEX('Margin Guidence Table'!$A$1:$AG$10000,MATCH(1,('Margin Guidence Table'!$A$1:$A$10000=DD21)*('Margin Guidence Table'!$I$1:$I$10000&lt;=ROUND($CV$3,0))*('Margin Guidence Table'!$J$1:$J$10000&gt;=ROUND($CV$3,0)),0),MATCH("SALES_CASE",'Margin Guidence Table'!$A$1:$AG$1,0)),INDEX('Margin Guidence Table'!$A$1:$AG$10000,MATCH(1,('Margin Guidence Table'!$A$1:$A$10000=DD21)*('Margin Guidence Table'!$I$1:$I$10000&lt;=ROUND($CV$3,0))*('Margin Guidence Table'!$J$1:$J$10000&gt;=ROUND($CV$3,0)),0),MATCH("DEFAULT_SALES_CASE",'Margin Guidence Table'!$A$1:$AG$1,0))),0)</f>
        <v>0</v>
      </c>
      <c r="DH21" s="1050">
        <f t="array" ref="DH21">IFERROR(IF($DF21="SEGMENT",INDEX('Margin Guidence Table'!$A$1:$AG$10000,MATCH(1,('Margin Guidence Table'!$A$1:$A$10000=DD21)*('Margin Guidence Table'!$I$1:$I$10000&lt;=ROUND($CV$3,0))*('Margin Guidence Table'!$J$1:$J$10000&gt;=ROUND($CV$3,0)),0),MATCH("SALES_LBS",'Margin Guidence Table'!$A$1:$AG$1,0)),INDEX('Margin Guidence Table'!$A$1:$AG$10000,MATCH(1,('Margin Guidence Table'!$A$1:$A$10000=DD21)*('Margin Guidence Table'!$I$1:$I$10000&lt;=ROUND($CV$3,0))*('Margin Guidence Table'!$J$1:$J$10000&gt;=ROUND($CV$3,0)),0),MATCH("DEFAULT_SALES_LBS",'Margin Guidence Table'!$A$1:$AG$1,0))),0)</f>
        <v>0</v>
      </c>
      <c r="DI21" s="1054">
        <f t="array" ref="DI21">IFERROR(IF($DF21="SEGMENT",INDEX('Margin Guidence Table'!$A$1:$AG$10000,MATCH(1,('Margin Guidence Table'!$A$1:$A$10000=DD21)*('Margin Guidence Table'!$I$1:$I$10000&lt;=ROUND($CV$3,0))*('Margin Guidence Table'!$J$1:$J$10000&gt;=ROUND($CV$3,0)),0),MATCH("MDA_MIN_MARGIN_GUIDENCE",'Margin Guidence Table'!$A$1:$AG$1,0)),INDEX('Margin Guidence Table'!$A$1:$AG$10000,MATCH(1,('Margin Guidence Table'!$A$1:$A$10000=DD21)*('Margin Guidence Table'!$I$1:$I$10000&lt;=ROUND($CV$3,0))*('Margin Guidence Table'!$J$1:$J$10000&gt;=ROUND($CV$3,0)),0),MATCH("DEFAULT_MDA_MIN_MARGIN_GUIDENCE",'Margin Guidence Table'!$A$1:$AG$1,0))),0)</f>
        <v>0</v>
      </c>
      <c r="DJ21" s="1054">
        <f t="array" ref="DJ21">IFERROR(IF($DF21="SEGMENT",INDEX('Margin Guidence Table'!$A$1:$AG$10000,MATCH(1,('Margin Guidence Table'!$A$1:$A$10000=DD21)*('Margin Guidence Table'!$I$1:$I$10000&lt;=ROUND($CV$3,0))*('Margin Guidence Table'!$J$1:$J$10000&gt;=ROUND($CV$3,0)),0),MATCH("MDA_MEDIAN_MARGIN_GUIDENCE",'Margin Guidence Table'!$A$1:$AG$1,0)),INDEX('Margin Guidence Table'!$A$1:$AG$10000,MATCH(1,('Margin Guidence Table'!$A$1:$A$10000=DD21)*('Margin Guidence Table'!$I$1:$I$10000&lt;=ROUND($CV$3,0))*('Margin Guidence Table'!$J$1:$J$10000&gt;=ROUND($CV$3,0)),0),MATCH("DEFAULT_MDA_MEDIAN_MARGIN_GUIDENCE",'Margin Guidence Table'!$A$1:$AG$1,0))),0)</f>
        <v>0</v>
      </c>
      <c r="DK21" s="1054">
        <f t="array" ref="DK21">IFERROR(IF($DF21="SEGMENT",INDEX('Margin Guidence Table'!$A$1:$AG$10000,MATCH(1,('Margin Guidence Table'!$A$1:$A$10000=DD21)*('Margin Guidence Table'!$I$1:$I$10000&lt;=ROUND($CV$3,0))*('Margin Guidence Table'!$J$1:$J$10000&gt;=ROUND($CV$3,0)),0),MATCH("MDA_MAX_MARGIN_GUIDENCE",'Margin Guidence Table'!$A$1:$AG$1,0)),INDEX('Margin Guidence Table'!$A$1:$AG$10000,MATCH(1,('Margin Guidence Table'!$A$1:$A$10000=DD21)*('Margin Guidence Table'!$I$1:$I$10000&lt;=ROUND($CV$3,0))*('Margin Guidence Table'!$J$1:$J$10000&gt;=ROUND($CV$3,0)),0),MATCH("DEFAULT_MDA_MAX_MARGIN_GUIDENCE",'Margin Guidence Table'!$A$1:$AG$1,0))),0)</f>
        <v>0</v>
      </c>
      <c r="DL21" s="1054">
        <f t="array" ref="DL21">IFERROR(IF($DF21="SEGMENT",INDEX('Margin Guidence Table'!$A$1:$AG$10000,MATCH(1,('Margin Guidence Table'!$A$1:$A$10000=DD21)*('Margin Guidence Table'!$I$1:$I$10000&lt;=ROUND($CV$3,0))*('Margin Guidence Table'!$J$1:$J$10000&gt;=ROUND($CV$3,0)),0),MATCH("PA_PCT_SALES",'Margin Guidence Table'!$A$1:$AG$1,0)),INDEX('Margin Guidence Table'!$A$1:$AG$10000,MATCH(1,('Margin Guidence Table'!$A$1:$A$10000=DD21)*('Margin Guidence Table'!$I$1:$I$10000&lt;=ROUND($CV$3,0))*('Margin Guidence Table'!$J$1:$J$10000&gt;=ROUND($CV$3,0)),0),MATCH("DEFAULT_PA_PCT_SALES",'Margin Guidence Table'!$A$1:$AG$1,0))),0)</f>
        <v>0</v>
      </c>
      <c r="DM21" s="1054">
        <f t="array" ref="DM21">IFERROR(IF($DF21="SEGMENT",INDEX('Margin Guidence Table'!$A$1:$AG$10000,MATCH(1,('Margin Guidence Table'!$A$1:$A$10000=DD21)*('Margin Guidence Table'!$I$1:$I$10000&lt;=ROUND($CV$3,0))*('Margin Guidence Table'!$J$1:$J$10000&gt;=ROUND($CV$3,0)),0),MATCH("SELF_FUND_PCT_SALES",'Margin Guidence Table'!$A$1:$AG$1,0)),INDEX('Margin Guidence Table'!$A$1:$AG$10000,MATCH(1,('Margin Guidence Table'!$A$1:$A$10000=DD21)*('Margin Guidence Table'!$I$1:$I$10000&lt;=ROUND($CV$3,0))*('Margin Guidence Table'!$J$1:$J$10000&gt;=ROUND($CV$3,0)),0),MATCH("DEFAULT_SELF_FUND_PCT_SALES",'Margin Guidence Table'!$A$1:$AG$1,0))),0)</f>
        <v>0</v>
      </c>
      <c r="DN21" s="1054">
        <f t="array" ref="DN21">IFERROR(IF($DF21="SEGMENT",INDEX('Margin Guidence Table'!$A$1:$AG$10000,MATCH(1,('Margin Guidence Table'!$A$1:$A$10000=DD21)*('Margin Guidence Table'!$I$1:$I$10000&lt;=ROUND($CV$3,0))*('Margin Guidence Table'!$J$1:$J$10000&gt;=ROUND($CV$3,0)),0),MATCH("CIA_MEDIAN_MARGIN_GUIDENCE",'Margin Guidence Table'!$A$1:$AG$1,0)),INDEX('Margin Guidence Table'!$A$1:$AG$10000,MATCH(1,('Margin Guidence Table'!$A$1:$A$10000=DD21)*('Margin Guidence Table'!$I$1:$I$10000&lt;=ROUND($CV$3,0))*('Margin Guidence Table'!$J$1:$J$10000&gt;=ROUND($CV$3,0)),0),MATCH("DEFAULT_CIA_MEDIAN_MARGIN_GUIDENCE",'Margin Guidence Table'!$A$1:$AG$1,0))),0)</f>
        <v>0</v>
      </c>
      <c r="DO21" s="127"/>
      <c r="DP21" s="18">
        <f t="array" ref="DP21">IFERROR(IF($EC21="SEGMENT",INDEX('Margin Guidence Table'!$A$1:$AG$10000,MATCH(1,('Margin Guidence Table'!$A$1:$A$10000=$EA21)*('Margin Guidence Table'!$I$1:$I$10000&lt;=ROUND($DS$3,0))*('Margin Guidence Table'!$J$1:$J$10000&gt;=ROUND($DS$3,0)),0),MATCH("PCT_SALES",'Margin Guidence Table'!$A$1:$AG$1,0)),INDEX('Margin Guidence Table'!$A$1:$AG$10000,MATCH(1,('Margin Guidence Table'!$A$1:$A$10000=$EA21)*('Margin Guidence Table'!$I$1:$I$10000&lt;=ROUND($DS$3,0))*('Margin Guidence Table'!$J$1:$J$10000&gt;=ROUND($DS$3,0)),0),MATCH("DEFAULT_PCT_SALES",'Margin Guidence Table'!$A$1:$AG$1,0))),0)</f>
        <v>0</v>
      </c>
      <c r="DQ21" s="370" t="e">
        <f t="shared" si="32"/>
        <v>#DIV/0!</v>
      </c>
      <c r="DR21" s="100" t="s">
        <v>95</v>
      </c>
      <c r="DS21" s="92">
        <f>IFERROR(IF(AND($DS$2&lt;&gt;"Enter Spend&gt;&gt;&gt;",DT9="EXISTING"),SUMIFS('Existing Customers'!$Q:$Q,'Existing Customers'!$A:$A,$DS$1,'Existing Customers'!$H:$H,$DR21)*$DS$4,$DS$3*$DQ21),0)</f>
        <v>0</v>
      </c>
      <c r="DT21" s="87">
        <f>IFERROR(IF(AND($DS$2&lt;&gt;"Enter Spend&gt;&gt;&gt;",DT2="EXISTING"),SUMIFS('Existing Customers'!$N:$N,'Existing Customers'!$A:$A,$DS$1,'Existing Customers'!$H:$H,$DR21)*$DS$4,$DS21/$ED21),0)</f>
        <v>0</v>
      </c>
      <c r="DU21" s="93">
        <f>IFERROR(IF(AND($DS$2&lt;&gt;"Enter Spend&gt;&gt;&gt;",DT2="EXISTING"),SUMIFS('Existing Customers'!$O:$O,'Existing Customers'!$H:$H,$DR21,'Existing Customers'!$A:$A,$DS$1)*$DS$4,$DT21*$DS$8),0)</f>
        <v>0</v>
      </c>
      <c r="DV21" s="93">
        <f>IFERROR(IF(AND($DS$2&lt;&gt;"Enter Spend&gt;&gt;&gt;",DT2="EXISTING"),SUMIFS('Existing Customers'!$P:$P,'Existing Customers'!$A:$A,$DS$1,'Existing Customers'!$H:$H,$DR21)*$DS$4,$DS21/$EE21),0)</f>
        <v>0</v>
      </c>
      <c r="DW21" s="94">
        <f>IFERROR(IF(AND($DS$2&lt;&gt;"Enter Spend&gt;&gt;&gt;",EQ2="EXISTING"),SUMIFS('Existing Customers'!$V:$V,'Existing Customers'!$H:$H,$DR21,'Existing Customers'!$A:$A,$DS$1)*$DS$4,0),0)</f>
        <v>0</v>
      </c>
      <c r="DX21" s="94">
        <f>IFERROR(IF(AND($DS$2&lt;&gt;"Enter Spend&gt;&gt;&gt;",DT2="EXISTING"),SUMIFS('Existing Customers'!$R:$R,'Existing Customers'!$H:$H,$DR21,'Existing Customers'!$A:$A,$DS$1)*$DS$4,0),0)</f>
        <v>0</v>
      </c>
      <c r="DY21" s="1050">
        <f>IFERROR(IF(AND($DS$2&lt;&gt;"Enter Spend&gt;&gt;&gt;",DT2="EXISTING"),SUMIFS('Existing Customers'!$S:$S,'Existing Customers'!$H:$H,$DT21,'Existing Customers'!$A:$A,$DS$1),EI21*DS21),0)</f>
        <v>0</v>
      </c>
      <c r="DZ21" s="1050">
        <f>IFERROR(IF(AND($DS$2&lt;&gt;"Enter Spend&gt;&gt;&gt;",DT2="EXISTING"),SUMIFS('Existing Customers'!$U:$U,'Existing Customers'!$H:$H,$DR21,'Existing Customers'!$A:$A,$DS$1),EJ21*DS21),0)</f>
        <v>0</v>
      </c>
      <c r="EA21" s="1053" t="e">
        <f>_xlfn.CONCAT('Customer Inputs'!$AG$9,"_",DR21)</f>
        <v>#N/A</v>
      </c>
      <c r="EB21" s="1053">
        <f t="array" ref="EB21">IFERROR(INDEX('Margin Guidence Table'!$A$1:$AG$10000,MATCH(1,('Margin Guidence Table'!$A$1:$A$10000=EA21)*('Margin Guidence Table'!$I$1:$I$10000&lt;=ROUND($DS$3,0))*('Margin Guidence Table'!$J$1:$J$10000&gt;=ROUND($DS$3,0)),0),MATCH("DATA_POINTS",'Margin Guidence Table'!$A$1:$AG$1,0)),0)</f>
        <v>0</v>
      </c>
      <c r="EC21" s="1050" t="str">
        <f t="shared" si="33"/>
        <v>DEFAULT</v>
      </c>
      <c r="ED21" s="1050">
        <f t="array" ref="ED21">IFERROR(IF($EC21="SEGMENT",INDEX('Margin Guidence Table'!$A$1:$AG$10000,MATCH(1,('Margin Guidence Table'!$A$1:$A$10000=EA21)*('Margin Guidence Table'!$I$1:$I$10000&lt;=ROUND($DS$3,0))*('Margin Guidence Table'!$J$1:$J$10000&gt;=ROUND($DS$3,0)),0),MATCH("SALES_CASE",'Margin Guidence Table'!$A$1:$AG$1,0)),INDEX('Margin Guidence Table'!$A$1:$AG$10000,MATCH(1,('Margin Guidence Table'!$A$1:$A$10000=EA21)*('Margin Guidence Table'!$I$1:$I$10000&lt;=ROUND($DS$3,0))*('Margin Guidence Table'!$J$1:$J$10000&gt;=ROUND($DS$3,0)),0),MATCH("DEFAULT_SALES_CASE",'Margin Guidence Table'!$A$1:$AG$1,0))),0)</f>
        <v>0</v>
      </c>
      <c r="EE21" s="1050">
        <f t="array" ref="EE21">IFERROR(IF($EC21="SEGMENT",INDEX('Margin Guidence Table'!$A$1:$AG$10000,MATCH(1,('Margin Guidence Table'!$A$1:$A$10000=EA21)*('Margin Guidence Table'!$I$1:$I$10000&lt;=ROUND($DS$3,0))*('Margin Guidence Table'!$J$1:$J$10000&gt;=ROUND($DS$3,0)),0),MATCH("SALES_LBS",'Margin Guidence Table'!$A$1:$AG$1,0)),INDEX('Margin Guidence Table'!$A$1:$AG$10000,MATCH(1,('Margin Guidence Table'!$A$1:$A$10000=EA21)*('Margin Guidence Table'!$I$1:$I$10000&lt;=ROUND($DS$3,0))*('Margin Guidence Table'!$J$1:$J$10000&gt;=ROUND($DS$3,0)),0),MATCH("DEFAULT_SALES_LBS",'Margin Guidence Table'!$A$1:$AG$1,0))),0)</f>
        <v>0</v>
      </c>
      <c r="EF21" s="1054">
        <f t="array" ref="EF21">IFERROR(IF($EC21="SEGMENT",INDEX('Margin Guidence Table'!$A$1:$AG$10000,MATCH(1,('Margin Guidence Table'!$A$1:$A$10000=EA21)*('Margin Guidence Table'!$I$1:$I$10000&lt;=ROUND($DS$3,0))*('Margin Guidence Table'!$J$1:$J$10000&gt;=ROUND($DS$3,0)),0),MATCH("MDA_MIN_MARGIN_GUIDENCE",'Margin Guidence Table'!$A$1:$AG$1,0)),INDEX('Margin Guidence Table'!$A$1:$AG$10000,MATCH(1,('Margin Guidence Table'!$A$1:$A$10000=EA21)*('Margin Guidence Table'!$I$1:$I$10000&lt;=ROUND($DS$3,0))*('Margin Guidence Table'!$J$1:$J$10000&gt;=ROUND($DS$3,0)),0),MATCH("DEFAULT_MDA_MIN_MARGIN_GUIDENCE",'Margin Guidence Table'!$A$1:$AG$1,0))),0)</f>
        <v>0</v>
      </c>
      <c r="EG21" s="1054">
        <f t="array" ref="EG21">IFERROR(IF($EC21="SEGMENT",INDEX('Margin Guidence Table'!$A$1:$AG$10000,MATCH(1,('Margin Guidence Table'!$A$1:$A$10000=EA21)*('Margin Guidence Table'!$I$1:$I$10000&lt;=ROUND($DS$3,0))*('Margin Guidence Table'!$J$1:$J$10000&gt;=ROUND($DS$3,0)),0),MATCH("MDA_MEDIAN_MARGIN_GUIDENCE",'Margin Guidence Table'!$A$1:$AG$1,0)),INDEX('Margin Guidence Table'!$A$1:$AG$10000,MATCH(1,('Margin Guidence Table'!$A$1:$A$10000=EA21)*('Margin Guidence Table'!$I$1:$I$10000&lt;=ROUND($DS$3,0))*('Margin Guidence Table'!$J$1:$J$10000&gt;=ROUND($DS$3,0)),0),MATCH("DEFAULT_MDA_MEDIAN_MARGIN_GUIDENCE",'Margin Guidence Table'!$A$1:$AG$1,0))),0)</f>
        <v>0</v>
      </c>
      <c r="EH21" s="1054">
        <f t="array" ref="EH21">IFERROR(IF($EC21="SEGMENT",INDEX('Margin Guidence Table'!$A$1:$AG$10000,MATCH(1,('Margin Guidence Table'!$A$1:$A$10000=EA21)*('Margin Guidence Table'!$I$1:$I$10000&lt;=ROUND($DS$3,0))*('Margin Guidence Table'!$J$1:$J$10000&gt;=ROUND($DS$3,0)),0),MATCH("MDA_MAX_MARGIN_GUIDENCE",'Margin Guidence Table'!$A$1:$AG$1,0)),INDEX('Margin Guidence Table'!$A$1:$AG$10000,MATCH(1,('Margin Guidence Table'!$A$1:$A$10000=EA21)*('Margin Guidence Table'!$I$1:$I$10000&lt;=ROUND($DS$3,0))*('Margin Guidence Table'!$J$1:$J$10000&gt;=ROUND($DS$3,0)),0),MATCH("DEFAULT_MDA_MAX_MARGIN_GUIDENCE",'Margin Guidence Table'!$A$1:$AG$1,0))),0)</f>
        <v>0</v>
      </c>
      <c r="EI21" s="1054">
        <f t="array" ref="EI21">IFERROR(IF($EC21="SEGMENT",INDEX('Margin Guidence Table'!$A$1:$AG$10000,MATCH(1,('Margin Guidence Table'!$A$1:$A$10000=EA21)*('Margin Guidence Table'!$I$1:$I$10000&lt;=ROUND($DS$3,0))*('Margin Guidence Table'!$J$1:$J$10000&gt;=ROUND($DS$3,0)),0),MATCH("PA_PCT_SALES",'Margin Guidence Table'!$A$1:$AG$1,0)),INDEX('Margin Guidence Table'!$A$1:$AG$10000,MATCH(1,('Margin Guidence Table'!$A$1:$A$10000=EA21)*('Margin Guidence Table'!$I$1:$I$10000&lt;=ROUND($DS$3,0))*('Margin Guidence Table'!$J$1:$J$10000&gt;=ROUND($DS$3,0)),0),MATCH("DEFAULT_PA_PCT_SALES",'Margin Guidence Table'!$A$1:$AG$1,0))),0)</f>
        <v>0</v>
      </c>
      <c r="EJ21" s="1054">
        <f t="array" ref="EJ21">IFERROR(IF($EC21="SEGMENT",INDEX('Margin Guidence Table'!$A$1:$AG$10000,MATCH(1,('Margin Guidence Table'!$A$1:$A$10000=EA21)*('Margin Guidence Table'!$I$1:$I$10000&lt;=ROUND($DS$3,0))*('Margin Guidence Table'!$J$1:$J$10000&gt;=ROUND($DS$3,0)),0),MATCH("SELF_FUND_PCT_SALES",'Margin Guidence Table'!$A$1:$AG$1,0)),INDEX('Margin Guidence Table'!$A$1:$AG$10000,MATCH(1,('Margin Guidence Table'!$A$1:$A$10000=EA21)*('Margin Guidence Table'!$I$1:$I$10000&lt;=ROUND($DS$3,0))*('Margin Guidence Table'!$J$1:$J$10000&gt;=ROUND($DS$3,0)),0),MATCH("DEFAULT_SELF_FUND_PCT_SALES",'Margin Guidence Table'!$A$1:$AG$1,0))),0)</f>
        <v>0</v>
      </c>
      <c r="EK21" s="1054">
        <f t="array" ref="EK21">IFERROR(IF($EC21="SEGMENT",INDEX('Margin Guidence Table'!$A$1:$AG$10000,MATCH(1,('Margin Guidence Table'!$A$1:$A$10000=EA21)*('Margin Guidence Table'!$I$1:$I$10000&lt;=ROUND($DS$3,0))*('Margin Guidence Table'!$J$1:$J$10000&gt;=ROUND($DS$3,0)),0),MATCH("CIA_MEDIAN_MARGIN_GUIDENCE",'Margin Guidence Table'!$A$1:$AG$1,0)),INDEX('Margin Guidence Table'!$A$1:$AG$10000,MATCH(1,('Margin Guidence Table'!$A$1:$A$10000=EA21)*('Margin Guidence Table'!$I$1:$I$10000&lt;=ROUND($DS$3,0))*('Margin Guidence Table'!$J$1:$J$10000&gt;=ROUND($DS$3,0)),0),MATCH("DEFAULT_CIA_MEDIAN_MARGIN_GUIDENCE",'Margin Guidence Table'!$A$1:$AG$1,0))),0)</f>
        <v>0</v>
      </c>
      <c r="EL21" s="127"/>
      <c r="EM21" s="18">
        <f t="array" ref="EM21">IFERROR(IF($EZ21="SEGMENT",INDEX('Margin Guidence Table'!$A$1:$AG$10000,MATCH(1,('Margin Guidence Table'!$A$1:$A$10000=$EX21)*('Margin Guidence Table'!$I$1:$I$10000&lt;=ROUND($EP$3,0))*('Margin Guidence Table'!$J$1:$J$10000&gt;=ROUND($EP$3,0)),0),MATCH("PCT_SALES",'Margin Guidence Table'!$A$1:$AG$1,0)),INDEX('Margin Guidence Table'!$A$1:$AG$10000,MATCH(1,('Margin Guidence Table'!$A$1:$A$10000=$EX21)*('Margin Guidence Table'!$I$1:$I$10000&lt;=ROUND($EP$3,0))*('Margin Guidence Table'!$J$1:$J$10000&gt;=ROUND($EP$3,0)),0),MATCH("DEFAULT_PCT_SALES",'Margin Guidence Table'!$A$1:$AG$1,0))),0)</f>
        <v>0</v>
      </c>
      <c r="EN21" s="370" t="e">
        <f t="shared" si="34"/>
        <v>#DIV/0!</v>
      </c>
      <c r="EO21" s="100" t="s">
        <v>95</v>
      </c>
      <c r="EP21" s="92">
        <f>IFERROR(IF(AND($EP$2&lt;&gt;"Enter Spend&gt;&gt;&gt;",EQ9="EXISTING"),SUMIFS('Existing Customers'!$Q:$Q,'Existing Customers'!$A:$A,$EP$1,'Existing Customers'!$H:$H,$EO21)*$EP$4,$EP$3*$EN21),0)</f>
        <v>0</v>
      </c>
      <c r="EQ21" s="87">
        <f>IFERROR(IF(AND($EP$2&lt;&gt;"Enter Spend&gt;&gt;&gt;",EQ2="EXISTING"),SUMIFS('Existing Customers'!$N:$N,'Existing Customers'!$A:$A,$EP$1,'Existing Customers'!$H:$H,$EO21)*$EP$4,$EP21/$FA21),0)</f>
        <v>0</v>
      </c>
      <c r="ER21" s="93">
        <f>IFERROR(IF(AND($EP$2&lt;&gt;"Enter Spend&gt;&gt;&gt;",EQ2="EXISTING"),SUMIFS('Existing Customers'!$O:$O,'Existing Customers'!$H:$H,$EO21,'Existing Customers'!$A:$A,$EP$1)*$EP$4,$EQ21*$EP$8),0)</f>
        <v>0</v>
      </c>
      <c r="ES21" s="93">
        <f>IFERROR(IF(AND($EP$2&lt;&gt;"Enter Spend&gt;&gt;&gt;",EQ2="EXISTING"),SUMIFS('Existing Customers'!$P:$P,'Existing Customers'!$A:$A,$EP$1,'Existing Customers'!$H:$H,$EO21)*$EP$4,$EP21/$FB21),0)</f>
        <v>0</v>
      </c>
      <c r="ET21" s="94">
        <f>IFERROR(IF(AND($EP$2&lt;&gt;"Enter Spend&gt;&gt;&gt;",EQ2="EXISTING"),SUMIFS('Existing Customers'!$V:$V,'Existing Customers'!$H:$H,$EO21,'Existing Customers'!$A:$A,$EP$1)*$EP$4,0),0)</f>
        <v>0</v>
      </c>
      <c r="EU21" s="94">
        <f>IFERROR(IF(AND($EP$2&lt;&gt;"Enter Spend&gt;&gt;&gt;",EQ2="EXISTING"),SUMIFS('Existing Customers'!$R:$R,'Existing Customers'!$H:$H,$EO21,'Existing Customers'!$A:$A,$EP$1)*$EP$4,0),0)</f>
        <v>0</v>
      </c>
      <c r="EV21" s="1050">
        <f>IFERROR(IF(AND($EP$2&lt;&gt;"Enter Spend&gt;&gt;&gt;",EQ2="EXISTING"),SUMIFS('Existing Customers'!$S:$S,'Existing Customers'!$H:$H,$EO21,'Existing Customers'!$A:$A,$EP$1),FF21*EP21),0)</f>
        <v>0</v>
      </c>
      <c r="EW21" s="1050">
        <f>IFERROR(IF(AND($EP$2&lt;&gt;"Enter Spend&gt;&gt;&gt;",EQ2="EXISTING"),SUMIFS('Existing Customers'!$U:$U,'Existing Customers'!$H:$H,$EO21,'Existing Customers'!$A:$A,$EP$1),FG21*EP21),0)</f>
        <v>0</v>
      </c>
      <c r="EX21" s="1053" t="e">
        <f>_xlfn.CONCAT('Customer Inputs'!$AG$10,"_",EO21)</f>
        <v>#N/A</v>
      </c>
      <c r="EY21" s="1053">
        <f t="array" ref="EY21">IFERROR(INDEX('Margin Guidence Table'!$A$1:$AG$10000,MATCH(1,('Margin Guidence Table'!$A$1:$A$10000=EX21)*('Margin Guidence Table'!$I$1:$I$10000&lt;=ROUND($EP$3,0))*('Margin Guidence Table'!$J$1:$J$10000&gt;=ROUND($EP$3,0)),0),MATCH("DATA_POINTS",'Margin Guidence Table'!$A$1:$AG$1,0)),0)</f>
        <v>0</v>
      </c>
      <c r="EZ21" s="1050" t="str">
        <f t="shared" si="35"/>
        <v>DEFAULT</v>
      </c>
      <c r="FA21" s="1050">
        <f t="array" ref="FA21">IFERROR(IF($EZ21="SEGMENT",INDEX('Margin Guidence Table'!$A$1:$AG$10000,MATCH(1,('Margin Guidence Table'!$A$1:$A$10000=EX21)*('Margin Guidence Table'!$I$1:$I$10000&lt;=ROUND($EP$3,0))*('Margin Guidence Table'!$J$1:$J$10000&gt;=ROUND($EP$3,0)),0),MATCH("SALES_CASE",'Margin Guidence Table'!$A$1:$AG$1,0)),INDEX('Margin Guidence Table'!$A$1:$AG$10000,MATCH(1,('Margin Guidence Table'!$A$1:$A$10000=EX21)*('Margin Guidence Table'!$I$1:$I$10000&lt;=ROUND($EP$3,0))*('Margin Guidence Table'!$J$1:$J$10000&gt;=ROUND($EP$3,0)),0),MATCH("DEFAULT_SALES_CASE",'Margin Guidence Table'!$A$1:$AG$1,0))),0)</f>
        <v>0</v>
      </c>
      <c r="FB21" s="1050" cm="1">
        <f t="array" ref="FB21">IFERROR(IF($EZ21="SEGMENT",INDEX('Margin Guidence Table'!$A$1:$AG$10000,MATCH(1,('Margin Guidence Table'!$A$1:$A$10000=EX21)*('Margin Guidence Table'!$I$1:$I$10000&lt;=ROUND($EP$3,0))*('Margin Guidence Table'!$J$1:$J$10000&gt;=ROUND($EP$3,0)),0),MATCH("SALES_LBS",'Margin Guidence Table'!$A$1:$AG$1,0)),INDEX('Margin Guidence Table'!$A$1:$AG$10000,MATCH(1,('Margin Guidence Table'!$A$1:$A$10000=EX21)*('Margin Guidence Table'!$I$1:$I$10000&lt;=ROUND($EP$3,0))*('Margin Guidence Table'!$J$1:$J$10000&gt;=ROUND($EP$3,0)),0),MATCH("DEFAULT_SALES_LBS",'Margin Guidence Table'!$A$1:$AG$1,0))),0)</f>
        <v>0</v>
      </c>
      <c r="FC21" s="1054">
        <f t="array" ref="FC21">IFERROR(IF($EZ21="SEGMENT",INDEX('Margin Guidence Table'!$A$1:$AG$10000,MATCH(1,('Margin Guidence Table'!$A$1:$A$10000=EX21)*('Margin Guidence Table'!$I$1:$I$10000&lt;=ROUND($EP$3,0))*('Margin Guidence Table'!$J$1:$J$10000&gt;=ROUND($EP$3,0)),0),MATCH("MDA_MIN_MARGIN_GUIDENCE",'Margin Guidence Table'!$A$1:$AG$1,0)),INDEX('Margin Guidence Table'!$A$1:$AG$10000,MATCH(1,('Margin Guidence Table'!$A$1:$A$10000=EX21)*('Margin Guidence Table'!$I$1:$I$10000&lt;=ROUND($EP$3,0))*('Margin Guidence Table'!$J$1:$J$10000&gt;=ROUND($EP$3,0)),0),MATCH("DEFAULT_MDA_MIN_MARGIN_GUIDENCE",'Margin Guidence Table'!$A$1:$AG$1,0))),0)</f>
        <v>0</v>
      </c>
      <c r="FD21" s="1054">
        <f t="array" ref="FD21">IFERROR(IF($EZ21="SEGMENT",INDEX('Margin Guidence Table'!$A$1:$AG$10000,MATCH(1,('Margin Guidence Table'!$A$1:$A$10000=EX21)*('Margin Guidence Table'!$I$1:$I$10000&lt;=ROUND($EP$3,0))*('Margin Guidence Table'!$J$1:$J$10000&gt;=ROUND($EP$3,0)),0),MATCH("MDA_MEDIAN_MARGIN_GUIDENCE",'Margin Guidence Table'!$A$1:$AG$1,0)),INDEX('Margin Guidence Table'!$A$1:$AG$10000,MATCH(1,('Margin Guidence Table'!$A$1:$A$10000=EX21)*('Margin Guidence Table'!$I$1:$I$10000&lt;=ROUND($EP$3,0))*('Margin Guidence Table'!$J$1:$J$10000&gt;=ROUND($EP$3,0)),0),MATCH("DEFAULT_MDA_MEDIAN_MARGIN_GUIDENCE",'Margin Guidence Table'!$A$1:$AG$1,0))),0)</f>
        <v>0</v>
      </c>
      <c r="FE21" s="1054">
        <f t="array" ref="FE21">IFERROR(IF($EZ21="SEGMENT",INDEX('Margin Guidence Table'!$A$1:$AG$10000,MATCH(1,('Margin Guidence Table'!$A$1:$A$10000=EX21)*('Margin Guidence Table'!$I$1:$I$10000&lt;=ROUND($EP$3,0))*('Margin Guidence Table'!$J$1:$J$10000&gt;=ROUND($EP$3,0)),0),MATCH("MDA_MAX_MARGIN_GUIDENCE",'Margin Guidence Table'!$A$1:$AG$1,0)),INDEX('Margin Guidence Table'!$A$1:$AG$10000,MATCH(1,('Margin Guidence Table'!$A$1:$A$10000=EX21)*('Margin Guidence Table'!$I$1:$I$10000&lt;=ROUND($EP$3,0))*('Margin Guidence Table'!$J$1:$J$10000&gt;=ROUND($EP$3,0)),0),MATCH("DEFAULT_MDA_MAX_MARGIN_GUIDENCE",'Margin Guidence Table'!$A$1:$AG$1,0))),0)</f>
        <v>0</v>
      </c>
      <c r="FF21" s="1054">
        <f t="array" ref="FF21">IFERROR(IF($EZ21="SEGMENT",INDEX('Margin Guidence Table'!$A$1:$AG$10000,MATCH(1,('Margin Guidence Table'!$A$1:$A$10000=EX21)*('Margin Guidence Table'!$I$1:$I$10000&lt;=ROUND($EP$3,0))*('Margin Guidence Table'!$J$1:$J$10000&gt;=ROUND($EP$3,0)),0),MATCH("PA_PCT_SALES",'Margin Guidence Table'!$A$1:$AG$1,0)),INDEX('Margin Guidence Table'!$A$1:$AG$10000,MATCH(1,('Margin Guidence Table'!$A$1:$A$10000=EX21)*('Margin Guidence Table'!$I$1:$I$10000&lt;=ROUND($EP$3,0))*('Margin Guidence Table'!$J$1:$J$10000&gt;=ROUND($EP$3,0)),0),MATCH("DEFAULT_PA_PCT_SALES",'Margin Guidence Table'!$A$1:$AG$1,0))),0)</f>
        <v>0</v>
      </c>
      <c r="FG21" s="1054">
        <f t="array" ref="FG21">IFERROR(IF($EZ21="SEGMENT",INDEX('Margin Guidence Table'!$A$1:$AG$10000,MATCH(1,('Margin Guidence Table'!$A$1:$A$10000=EX21)*('Margin Guidence Table'!$I$1:$I$10000&lt;=ROUND($EP$3,0))*('Margin Guidence Table'!$J$1:$J$10000&gt;=ROUND($EP$3,0)),0),MATCH("SELF_FUND_PCT_SALES",'Margin Guidence Table'!$A$1:$AG$1,0)),INDEX('Margin Guidence Table'!$A$1:$AG$10000,MATCH(1,('Margin Guidence Table'!$A$1:$A$10000=EX21)*('Margin Guidence Table'!$I$1:$I$10000&lt;=ROUND($EP$3,0))*('Margin Guidence Table'!$J$1:$J$10000&gt;=ROUND($EP$3,0)),0),MATCH("DEFAULT_SELF_FUND_PCT_SALES",'Margin Guidence Table'!$A$1:$AG$1,0))),0)</f>
        <v>0</v>
      </c>
      <c r="FH21" s="1054">
        <f t="array" ref="FH21">IFERROR(IF($EZ21="SEGMENT",INDEX('Margin Guidence Table'!$A$1:$AG$10000,MATCH(1,('Margin Guidence Table'!$A$1:$A$10000=EX21)*('Margin Guidence Table'!$I$1:$I$10000&lt;=ROUND($EP$3,0))*('Margin Guidence Table'!$J$1:$J$10000&gt;=ROUND($EP$3,0)),0),MATCH("CIA_MEDIAN_MARGIN_GUIDENCE",'Margin Guidence Table'!$A$1:$AG$1,0)),INDEX('Margin Guidence Table'!$A$1:$AG$10000,MATCH(1,('Margin Guidence Table'!$A$1:$A$10000=EX21)*('Margin Guidence Table'!$I$1:$I$10000&lt;=ROUND($EP$3,0))*('Margin Guidence Table'!$J$1:$J$10000&gt;=ROUND($EP$3,0)),0),MATCH("DEFAULT_CIA_MEDIAN_MARGIN_GUIDENCE",'Margin Guidence Table'!$A$1:$AG$1,0))),0)</f>
        <v>0</v>
      </c>
      <c r="FI21" s="127"/>
      <c r="FJ21" s="18">
        <f t="array" ref="FJ21">IFERROR(IF($FW21="SEGMENT",INDEX('Margin Guidence Table'!$A$1:$AG$10000,MATCH(1,('Margin Guidence Table'!$A$1:$A$10000=$FU21)*('Margin Guidence Table'!$I$1:$I$10000&lt;=ROUND($FM$3,0))*('Margin Guidence Table'!$J$1:$J$10000&gt;=ROUND($FM$3,0)),0),MATCH("PCT_SALES",'Margin Guidence Table'!$A$1:$AG$1,0)),INDEX('Margin Guidence Table'!$A$1:$AG$10000,MATCH(1,('Margin Guidence Table'!$A$1:$A$10000=$FU21)*('Margin Guidence Table'!$I$1:$I$10000&lt;=ROUND($FM$3,0))*('Margin Guidence Table'!$J$1:$J$10000&gt;=ROUND($FM$3,0)),0),MATCH("DEFAULT_PCT_SALES",'Margin Guidence Table'!$A$1:$AG$1,0))),0)</f>
        <v>0</v>
      </c>
      <c r="FK21" s="370" t="e">
        <f t="shared" si="36"/>
        <v>#DIV/0!</v>
      </c>
      <c r="FL21" s="100" t="s">
        <v>95</v>
      </c>
      <c r="FM21" s="92">
        <f>IFERROR(IF(AND($FM$2&lt;&gt;"Enter Spend&gt;&gt;&gt;",FN9="EXISTING"),SUMIFS('Existing Customers'!$Q:$Q,'Existing Customers'!$A:$A,$FM$1,'Existing Customers'!$H:$H,$FL21)*$FM$4,$FM$3*$FK21),0)</f>
        <v>0</v>
      </c>
      <c r="FN21" s="87">
        <f>IFERROR(IF(AND($FM$2&lt;&gt;"Enter Spend&gt;&gt;&gt;",FN2="EXISTING"),SUMIFS('Existing Customers'!$N:$N,'Existing Customers'!$A:$A,$FM$1,'Existing Customers'!$H:$H,$FL21)*$FM$4,$FM21/$FX21),0)</f>
        <v>0</v>
      </c>
      <c r="FO21" s="93">
        <f>IFERROR(IF(AND($FM$2&lt;&gt;"Enter Spend&gt;&gt;&gt;",FN2="EXISTING"),SUMIFS('Existing Customers'!$O:$O,'Existing Customers'!$H:$H,$FL21,'Existing Customers'!$A:$A,$FM$1)*$FM$4,$FN21*$FM$8),0)</f>
        <v>0</v>
      </c>
      <c r="FP21" s="93">
        <f>IFERROR(IF(AND($FM$2&lt;&gt;"Enter Spend&gt;&gt;&gt;",FN2="EXISTING"),SUMIFS('Existing Customers'!$P:$P,'Existing Customers'!$A:$A,$FM$1,'Existing Customers'!$H:$H,$FL21)*$FM$4,$FM21/$FY21),0)</f>
        <v>0</v>
      </c>
      <c r="FQ21" s="94">
        <f>IFERROR(IF(AND($FM$2&lt;&gt;"Enter Spend&gt;&gt;&gt;",FN2="EXISTING"),SUMIFS('Existing Customers'!$V:$V,'Existing Customers'!$H:$H,$FL21,'Existing Customers'!$A:$A,$FM$1)*$FM$4,0),0)</f>
        <v>0</v>
      </c>
      <c r="FR21" s="94">
        <f>IFERROR(IF(AND($FM$2&lt;&gt;"Enter Spend&gt;&gt;&gt;",FN2="EXISTING"),SUMIFS('Existing Customers'!$R:$R,'Existing Customers'!$H:$H,$FL21,'Existing Customers'!$A:$A,$FM$1)*$FM$4,0),0)</f>
        <v>0</v>
      </c>
      <c r="FS21" s="1050">
        <f>IFERROR(IF(AND($FM$2&lt;&gt;"Enter Spend&gt;&gt;&gt;",FN2="EXISTING"),SUMIFS('Existing Customers'!$S:$S,'Existing Customers'!$H:$H,$FL21,'Existing Customers'!$A:$A,$FM$1),GC21*FM21),0)</f>
        <v>0</v>
      </c>
      <c r="FT21" s="1050">
        <f>IFERROR(IF(AND($FM$2&lt;&gt;"Enter Spend&gt;&gt;&gt;",FN2="EXISTING"),SUMIFS('Existing Customers'!$U:$U,'Existing Customers'!$H:$H,$FL21,'Existing Customers'!$A:$A,$FM$1),GD21*FM21),0)</f>
        <v>0</v>
      </c>
      <c r="FU21" s="1053" t="e">
        <f>_xlfn.CONCAT('Customer Inputs'!$AG$11,"_",FL21)</f>
        <v>#N/A</v>
      </c>
      <c r="FV21" s="1053">
        <f t="array" ref="FV21">IFERROR(INDEX('Margin Guidence Table'!$A$1:$AG$10000,MATCH(1,('Margin Guidence Table'!$A$1:$A$10000=FU21)*('Margin Guidence Table'!$I$1:$I$10000&lt;=ROUND($FM$3,0))*('Margin Guidence Table'!$J$1:$J$10000&gt;=ROUND($FM$3,0)),0),MATCH("DATA_POINTS",'Margin Guidence Table'!$A$1:$AG$1,0)),0)</f>
        <v>0</v>
      </c>
      <c r="FW21" s="1050" t="str">
        <f t="shared" si="37"/>
        <v>DEFAULT</v>
      </c>
      <c r="FX21" s="1050">
        <f t="array" ref="FX21">IFERROR(IF($FW21="SEGMENT",INDEX('Margin Guidence Table'!$A$1:$AG$10000,MATCH(1,('Margin Guidence Table'!$A$1:$A$10000=FU21)*('Margin Guidence Table'!$I$1:$I$10000&lt;=ROUND($FM$3,0))*('Margin Guidence Table'!$J$1:$J$10000&gt;=ROUND($FM$3,0)),0),MATCH("SALES_CASE",'Margin Guidence Table'!$A$1:$AG$1,0)),INDEX('Margin Guidence Table'!$A$1:$AG$10000,MATCH(1,('Margin Guidence Table'!$A$1:$A$10000=FU21)*('Margin Guidence Table'!$I$1:$I$10000&lt;=ROUND($FM$3,0))*('Margin Guidence Table'!$J$1:$J$10000&gt;=ROUND($FM$3,0)),0),MATCH("DEFAULT_SALES_CASE",'Margin Guidence Table'!$A$1:$AG$1,0))),0)</f>
        <v>0</v>
      </c>
      <c r="FY21" s="1050">
        <f t="array" ref="FY21">IFERROR(IF($FW21="SEGMENT",INDEX('Margin Guidence Table'!$A$1:$AG$10000,MATCH(1,('Margin Guidence Table'!$A$1:$A$10000=FU21)*('Margin Guidence Table'!$I$1:$I$10000&lt;=ROUND($FM$3,0))*('Margin Guidence Table'!$J$1:$J$10000&gt;=ROUND($FM$3,0)),0),MATCH("SALES_LBS",'Margin Guidence Table'!$A$1:$AG$1,0)),INDEX('Margin Guidence Table'!$A$1:$AG$10000,MATCH(1,('Margin Guidence Table'!$A$1:$A$10000=FU21)*('Margin Guidence Table'!$I$1:$I$10000&lt;=ROUND($FM$3,0))*('Margin Guidence Table'!$J$1:$J$10000&gt;=ROUND($FM$3,0)),0),MATCH("DEFAULT_SALES_LBS",'Margin Guidence Table'!$A$1:$AG$1,0))),0)</f>
        <v>0</v>
      </c>
      <c r="FZ21" s="1054">
        <f t="array" ref="FZ21">IFERROR(IF($FW21="SEGMENT",INDEX('Margin Guidence Table'!$A$1:$AG$10000,MATCH(1,('Margin Guidence Table'!$A$1:$A$10000=FU21)*('Margin Guidence Table'!$I$1:$I$10000&lt;=ROUND($FM$3,0))*('Margin Guidence Table'!$J$1:$J$10000&gt;=ROUND($FM$3,0)),0),MATCH("MDA_MIN_MARGIN_GUIDENCE",'Margin Guidence Table'!$A$1:$AG$1,0)),INDEX('Margin Guidence Table'!$A$1:$AG$10000,MATCH(1,('Margin Guidence Table'!$A$1:$A$10000=FU21)*('Margin Guidence Table'!$I$1:$I$10000&lt;=ROUND($FM$3,0))*('Margin Guidence Table'!$J$1:$J$10000&gt;=ROUND($FM$3,0)),0),MATCH("DEFAULT_MDA_MIN_MARGIN_GUIDENCE",'Margin Guidence Table'!$A$1:$AG$1,0))),0)</f>
        <v>0</v>
      </c>
      <c r="GA21" s="1054">
        <f t="array" ref="GA21">IFERROR(IF($FW21="SEGMENT",INDEX('Margin Guidence Table'!$A$1:$AG$10000,MATCH(1,('Margin Guidence Table'!$A$1:$A$10000=FU21)*('Margin Guidence Table'!$I$1:$I$10000&lt;=ROUND($FM$3,0))*('Margin Guidence Table'!$J$1:$J$10000&gt;=ROUND($FM$3,0)),0),MATCH("MDA_MEDIAN_MARGIN_GUIDENCE",'Margin Guidence Table'!$A$1:$AG$1,0)),INDEX('Margin Guidence Table'!$A$1:$AG$10000,MATCH(1,('Margin Guidence Table'!$A$1:$A$10000=FU21)*('Margin Guidence Table'!$I$1:$I$10000&lt;=ROUND($FM$3,0))*('Margin Guidence Table'!$J$1:$J$10000&gt;=ROUND($FM$3,0)),0),MATCH("DEFAULT_MDA_MEDIAN_MARGIN_GUIDENCE",'Margin Guidence Table'!$A$1:$AG$1,0))),0)</f>
        <v>0</v>
      </c>
      <c r="GB21" s="1054">
        <f t="array" ref="GB21">IFERROR(IF($FW21="SEGMENT",INDEX('Margin Guidence Table'!$A$1:$AG$10000,MATCH(1,('Margin Guidence Table'!$A$1:$A$10000=FU21)*('Margin Guidence Table'!$I$1:$I$10000&lt;=ROUND($FM$3,0))*('Margin Guidence Table'!$J$1:$J$10000&gt;=ROUND($FM$3,0)),0),MATCH("MDA_MAX_MARGIN_GUIDENCE",'Margin Guidence Table'!$A$1:$AG$1,0)),INDEX('Margin Guidence Table'!$A$1:$AG$10000,MATCH(1,('Margin Guidence Table'!$A$1:$A$10000=FU21)*('Margin Guidence Table'!$I$1:$I$10000&lt;=ROUND($FM$3,0))*('Margin Guidence Table'!$J$1:$J$10000&gt;=ROUND($FM$3,0)),0),MATCH("DEFAULT_MDA_MAX_MARGIN_GUIDENCE",'Margin Guidence Table'!$A$1:$AG$1,0))),0)</f>
        <v>0</v>
      </c>
      <c r="GC21" s="1054">
        <f t="array" ref="GC21">IFERROR(IF($FW21="SEGMENT",INDEX('Margin Guidence Table'!$A$1:$AG$10000,MATCH(1,('Margin Guidence Table'!$A$1:$A$10000=FU21)*('Margin Guidence Table'!$I$1:$I$10000&lt;=ROUND($FM$3,0))*('Margin Guidence Table'!$J$1:$J$10000&gt;=ROUND($FM$3,0)),0),MATCH("PA_PCT_SALES",'Margin Guidence Table'!$A$1:$AG$1,0)),INDEX('Margin Guidence Table'!$A$1:$AG$10000,MATCH(1,('Margin Guidence Table'!$A$1:$A$10000=FU21)*('Margin Guidence Table'!$I$1:$I$10000&lt;=ROUND($FM$3,0))*('Margin Guidence Table'!$J$1:$J$10000&gt;=ROUND($FM$3,0)),0),MATCH("DEFAULT_PA_PCT_SALES",'Margin Guidence Table'!$A$1:$AG$1,0))),0)</f>
        <v>0</v>
      </c>
      <c r="GD21" s="1054">
        <f t="array" ref="GD21">IFERROR(IF($FW21="SEGMENT",INDEX('Margin Guidence Table'!$A$1:$AG$10000,MATCH(1,('Margin Guidence Table'!$A$1:$A$10000=FU21)*('Margin Guidence Table'!$I$1:$I$10000&lt;=ROUND($FM$3,0))*('Margin Guidence Table'!$J$1:$J$10000&gt;=ROUND($FM$3,0)),0),MATCH("SELF_FUND_PCT_SALES",'Margin Guidence Table'!$A$1:$AG$1,0)),INDEX('Margin Guidence Table'!$A$1:$AG$10000,MATCH(1,('Margin Guidence Table'!$A$1:$A$10000=FU21)*('Margin Guidence Table'!$I$1:$I$10000&lt;=ROUND($FM$3,0))*('Margin Guidence Table'!$J$1:$J$10000&gt;=ROUND($FM$3,0)),0),MATCH("DEFAULT_SELF_FUND_PCT_SALES",'Margin Guidence Table'!$A$1:$AG$1,0))),0)</f>
        <v>0</v>
      </c>
      <c r="GE21" s="1054">
        <f t="array" ref="GE21">IFERROR(IF($FW21="SEGMENT",INDEX('Margin Guidence Table'!$A$1:$AG$10000,MATCH(1,('Margin Guidence Table'!$A$1:$A$10000=FU21)*('Margin Guidence Table'!$I$1:$I$10000&lt;=ROUND($FM$3,0))*('Margin Guidence Table'!$J$1:$J$10000&gt;=ROUND($FM$3,0)),0),MATCH("CIA_MEDIAN_MARGIN_GUIDENCE",'Margin Guidence Table'!$A$1:$AG$1,0)),INDEX('Margin Guidence Table'!$A$1:$AG$10000,MATCH(1,('Margin Guidence Table'!$A$1:$A$10000=FU21)*('Margin Guidence Table'!$I$1:$I$10000&lt;=ROUND($FM$3,0))*('Margin Guidence Table'!$J$1:$J$10000&gt;=ROUND($FM$3,0)),0),MATCH("DEFAULT_CIA_MEDIAN_MARGIN_GUIDENCE",'Margin Guidence Table'!$A$1:$AG$1,0))),0)</f>
        <v>0</v>
      </c>
      <c r="GF21" s="127"/>
      <c r="GG21" s="18">
        <f t="array" ref="GG21">IFERROR(IF($GT21="SEGMENT",INDEX('Margin Guidence Table'!$A$1:$AG$10000,MATCH(1,('Margin Guidence Table'!$A$1:$A$10000=$GR21)*('Margin Guidence Table'!$I$1:$I$10000&lt;=ROUND($GJ$3,0))*('Margin Guidence Table'!$J$1:$J$10000&gt;=ROUND($GJ$3,0)),0),MATCH("PCT_SALES",'Margin Guidence Table'!$A$1:$AG$1,0)),INDEX('Margin Guidence Table'!$A$1:$AG$10000,MATCH(1,('Margin Guidence Table'!$A$1:$A$10000=$GR21)*('Margin Guidence Table'!$I$1:$I$10000&lt;=ROUND($GJ$3,0))*('Margin Guidence Table'!$J$1:$J$10000&gt;=ROUND($GJ$3,0)),0),MATCH("DEFAULT_PCT_SALES",'Margin Guidence Table'!$A$1:$AG$1,0))),0)</f>
        <v>0</v>
      </c>
      <c r="GH21" s="370" t="e">
        <f t="shared" si="38"/>
        <v>#DIV/0!</v>
      </c>
      <c r="GI21" s="100" t="s">
        <v>95</v>
      </c>
      <c r="GJ21" s="92">
        <f>IFERROR(IF(AND($GJ$2&lt;&gt;"Enter Spend&gt;&gt;&gt;",GK9="EXISTING"),SUMIFS('Existing Customers'!$Q:$Q,'Existing Customers'!$A:$A,$GJ$1,'Existing Customers'!$H:$H,$GI21)*$GJ$4,$GJ$3*$GH21),0)</f>
        <v>0</v>
      </c>
      <c r="GK21" s="87">
        <f>IFERROR(IF(AND($GJ$2&lt;&gt;"Enter Spend&gt;&gt;&gt;",GK2="EXISTING"),SUMIFS('Existing Customers'!$N:$N,'Existing Customers'!$A:$A,$GJ$1,'Existing Customers'!$H:$H,$GI21)*$GJ$4,$GJ21/$GU21),0)</f>
        <v>0</v>
      </c>
      <c r="GL21" s="93">
        <f>IFERROR(IF(AND($GJ$2&lt;&gt;"Enter Spend&gt;&gt;&gt;",GK2="EXISTING"),SUMIFS('Existing Customers'!$O:$O,'Existing Customers'!$H:$H,$GI21,'Existing Customers'!$A:$A,$GJ$1)*$GJ$4,$GK21*$GJ$8),0)</f>
        <v>0</v>
      </c>
      <c r="GM21" s="93">
        <f>IFERROR(IF(AND($GJ$2&lt;&gt;"Enter Spend&gt;&gt;&gt;",GK2="EXISTING"),SUMIFS('Existing Customers'!$P:$P,'Existing Customers'!$A:$A,$GJ$1,'Existing Customers'!$H:$H,$GI21)*$GJ$4,$GJ21/$GV21),0)</f>
        <v>0</v>
      </c>
      <c r="GN21" s="94">
        <f>IFERROR(IF(AND($GJ$2&lt;&gt;"Enter Spend&gt;&gt;&gt;",GK2="EXISTING"),SUMIFS('Existing Customers'!$V:$V,'Existing Customers'!$H:$H,$GI21,'Existing Customers'!$A:$A,$GJ$1)*$GJ$4,0),0)</f>
        <v>0</v>
      </c>
      <c r="GO21" s="94">
        <f>IFERROR(IF(AND($GJ$2&lt;&gt;"Enter Spend&gt;&gt;&gt;",GK2="EXISTING"),SUMIFS('Existing Customers'!$R:$R,'Existing Customers'!$H:$H,$GI21,'Existing Customers'!$A:$A,$GJ$1)*$GJ$4,0),0)</f>
        <v>0</v>
      </c>
      <c r="GP21" s="1050">
        <f>IFERROR(IF(AND($GJ$2&lt;&gt;"Enter Spend&gt;&gt;&gt;",GK2="EXISTING"),SUMIFS('Existing Customers'!$S:$S,'Existing Customers'!$H:$H,$GI21,'Existing Customers'!$A:$A,$GJ$1),GZ21*GJ21),0)</f>
        <v>0</v>
      </c>
      <c r="GQ21" s="1050">
        <f>IFERROR(IF(AND($GJ$2&lt;&gt;"Enter Spend&gt;&gt;&gt;",GK2="EXISTING"),SUMIFS('Existing Customers'!$U:$U,'Existing Customers'!$H:$H,$GI21,'Existing Customers'!$A:$A,$GJ$1),HA21*GJ21),0)</f>
        <v>0</v>
      </c>
      <c r="GR21" s="1053" t="e">
        <f>_xlfn.CONCAT('Customer Inputs'!$AG$12,"_",GI21)</f>
        <v>#N/A</v>
      </c>
      <c r="GS21" s="1053">
        <f t="array" ref="GS21">IFERROR(INDEX('Margin Guidence Table'!$A$1:$AG$10000,MATCH(1,('Margin Guidence Table'!$A$1:$A$10000=GR21)*('Margin Guidence Table'!$I$1:$I$10000&lt;=ROUND($GJ$3,0))*('Margin Guidence Table'!$J$1:$J$10000&gt;=ROUND($GJ$3,0)),0),MATCH("DATA_POINTS",'Margin Guidence Table'!$A$1:$AG$1,0)),0)</f>
        <v>0</v>
      </c>
      <c r="GT21" s="1050" t="str">
        <f t="shared" si="39"/>
        <v>DEFAULT</v>
      </c>
      <c r="GU21" s="1050">
        <f t="array" ref="GU21">IFERROR(IF($GT21="SEGMENT",INDEX('Margin Guidence Table'!$A$1:$AG$10000,MATCH(1,('Margin Guidence Table'!$A$1:$A$10000=GR21)*('Margin Guidence Table'!$I$1:$I$10000&lt;=ROUND($GJ$3,0))*('Margin Guidence Table'!$J$1:$J$10000&gt;=ROUND($GJ$3,0)),0),MATCH("SALES_CASE",'Margin Guidence Table'!$A$1:$AG$1,0)),INDEX('Margin Guidence Table'!$A$1:$AG$10000,MATCH(1,('Margin Guidence Table'!$A$1:$A$10000=GR21)*('Margin Guidence Table'!$I$1:$I$10000&lt;=ROUND($GJ$3,0))*('Margin Guidence Table'!$J$1:$J$10000&gt;=ROUND($GJ$3,0)),0),MATCH("DEFAULT_SALES_CASE",'Margin Guidence Table'!$A$1:$AG$1,0))),0)</f>
        <v>0</v>
      </c>
      <c r="GV21" s="1050">
        <f t="array" ref="GV21">IFERROR(IF($GT21="SEGMENT",INDEX('Margin Guidence Table'!$A$1:$AG$10000,MATCH(1,('Margin Guidence Table'!$A$1:$A$10000=GR21)*('Margin Guidence Table'!$I$1:$I$10000&lt;=ROUND($GJ$3,0))*('Margin Guidence Table'!$J$1:$J$10000&gt;=ROUND($GJ$3,0)),0),MATCH("SALES_LBS",'Margin Guidence Table'!$A$1:$AG$1,0)),INDEX('Margin Guidence Table'!$A$1:$AG$10000,MATCH(1,('Margin Guidence Table'!$A$1:$A$10000=GR21)*('Margin Guidence Table'!$I$1:$I$10000&lt;=ROUND($GJ$3,0))*('Margin Guidence Table'!$J$1:$J$10000&gt;=ROUND($GJ$3,0)),0),MATCH("DEFAULT_SALES_LBS",'Margin Guidence Table'!$A$1:$AG$1,0))),0)</f>
        <v>0</v>
      </c>
      <c r="GW21" s="1054">
        <f t="array" ref="GW21">IFERROR(IF($GT21="SEGMENT",INDEX('Margin Guidence Table'!$A$1:$AG$10000,MATCH(1,('Margin Guidence Table'!$A$1:$A$10000=GR21)*('Margin Guidence Table'!$I$1:$I$10000&lt;=ROUND($GJ$3,0))*('Margin Guidence Table'!$J$1:$J$10000&gt;=ROUND($GJ$3,0)),0),MATCH("MDA_MIN_MARGIN_GUIDENCE",'Margin Guidence Table'!$A$1:$AG$1,0)),INDEX('Margin Guidence Table'!$A$1:$AG$10000,MATCH(1,('Margin Guidence Table'!$A$1:$A$10000=GR21)*('Margin Guidence Table'!$I$1:$I$10000&lt;=ROUND($GJ$3,0))*('Margin Guidence Table'!$J$1:$J$10000&gt;=ROUND($GJ$3,0)),0),MATCH("DEFAULT_MDA_MIN_MARGIN_GUIDENCE",'Margin Guidence Table'!$A$1:$AG$1,0))),0)</f>
        <v>0</v>
      </c>
      <c r="GX21" s="1054">
        <f t="array" ref="GX21">IFERROR(IF($GT21="SEGMENT",INDEX('Margin Guidence Table'!$A$1:$AG$10000,MATCH(1,('Margin Guidence Table'!$A$1:$A$10000=GR21)*('Margin Guidence Table'!$I$1:$I$10000&lt;=ROUND($GJ$3,0))*('Margin Guidence Table'!$J$1:$J$10000&gt;=ROUND($GJ$3,0)),0),MATCH("MDA_MEDIAN_MARGIN_GUIDENCE",'Margin Guidence Table'!$A$1:$AG$1,0)),INDEX('Margin Guidence Table'!$A$1:$AG$10000,MATCH(1,('Margin Guidence Table'!$A$1:$A$10000=GR21)*('Margin Guidence Table'!$I$1:$I$10000&lt;=ROUND($GJ$3,0))*('Margin Guidence Table'!$J$1:$J$10000&gt;=ROUND($GJ$3,0)),0),MATCH("DEFAULT_MDA_MEDIAN_MARGIN_GUIDENCE",'Margin Guidence Table'!$A$1:$AG$1,0))),0)</f>
        <v>0</v>
      </c>
      <c r="GY21" s="1054">
        <f t="array" ref="GY21">IFERROR(IF($GT21="SEGMENT",INDEX('Margin Guidence Table'!$A$1:$AG$10000,MATCH(1,('Margin Guidence Table'!$A$1:$A$10000=GR21)*('Margin Guidence Table'!$I$1:$I$10000&lt;=ROUND($GJ$3,0))*('Margin Guidence Table'!$J$1:$J$10000&gt;=ROUND($GJ$3,0)),0),MATCH("MDA_MAX_MARGIN_GUIDENCE",'Margin Guidence Table'!$A$1:$AG$1,0)),INDEX('Margin Guidence Table'!$A$1:$AG$10000,MATCH(1,('Margin Guidence Table'!$A$1:$A$10000=GR21)*('Margin Guidence Table'!$I$1:$I$10000&lt;=ROUND($GJ$3,0))*('Margin Guidence Table'!$J$1:$J$10000&gt;=ROUND($GJ$3,0)),0),MATCH("DEFAULT_MDA_MAX_MARGIN_GUIDENCE",'Margin Guidence Table'!$A$1:$AG$1,0))),0)</f>
        <v>0</v>
      </c>
      <c r="GZ21" s="1054">
        <f t="array" ref="GZ21">IFERROR(IF($GT21="SEGMENT",INDEX('Margin Guidence Table'!$A$1:$AG$10000,MATCH(1,('Margin Guidence Table'!$A$1:$A$10000=GR21)*('Margin Guidence Table'!$I$1:$I$10000&lt;=ROUND($GJ$3,0))*('Margin Guidence Table'!$J$1:$J$10000&gt;=ROUND($GJ$3,0)),0),MATCH("PA_PCT_SALES",'Margin Guidence Table'!$A$1:$AG$1,0)),INDEX('Margin Guidence Table'!$A$1:$AG$10000,MATCH(1,('Margin Guidence Table'!$A$1:$A$10000=GR21)*('Margin Guidence Table'!$I$1:$I$10000&lt;=ROUND($GJ$3,0))*('Margin Guidence Table'!$J$1:$J$10000&gt;=ROUND($GJ$3,0)),0),MATCH("DEFAULT_PA_PCT_SALES",'Margin Guidence Table'!$A$1:$AG$1,0))),0)</f>
        <v>0</v>
      </c>
      <c r="HA21" s="1054">
        <f t="array" ref="HA21">IFERROR(IF($GT21="SEGMENT",INDEX('Margin Guidence Table'!$A$1:$AG$10000,MATCH(1,('Margin Guidence Table'!$A$1:$A$10000=GR21)*('Margin Guidence Table'!$I$1:$I$10000&lt;=ROUND($GJ$3,0))*('Margin Guidence Table'!$J$1:$J$10000&gt;=ROUND($GJ$3,0)),0),MATCH("SELF_FUND_PCT_SALES",'Margin Guidence Table'!$A$1:$AG$1,0)),INDEX('Margin Guidence Table'!$A$1:$AG$10000,MATCH(1,('Margin Guidence Table'!$A$1:$A$10000=GR21)*('Margin Guidence Table'!$I$1:$I$10000&lt;=ROUND($GJ$3,0))*('Margin Guidence Table'!$J$1:$J$10000&gt;=ROUND($GJ$3,0)),0),MATCH("DEFAULT_SELF_FUND_PCT_SALES",'Margin Guidence Table'!$A$1:$AG$1,0))),0)</f>
        <v>0</v>
      </c>
      <c r="HB21" s="1054">
        <f t="array" ref="HB21">IFERROR(IF($GT21="SEGMENT",INDEX('Margin Guidence Table'!$A$1:$AG$10000,MATCH(1,('Margin Guidence Table'!$A$1:$A$10000=GR21)*('Margin Guidence Table'!$I$1:$I$10000&lt;=ROUND($GJ$3,0))*('Margin Guidence Table'!$J$1:$J$10000&gt;=ROUND($GJ$3,0)),0),MATCH("CIA_MEDIAN_MARGIN_GUIDENCE",'Margin Guidence Table'!$A$1:$AG$1,0)),INDEX('Margin Guidence Table'!$A$1:$AG$10000,MATCH(1,('Margin Guidence Table'!$A$1:$A$10000=GR21)*('Margin Guidence Table'!$I$1:$I$10000&lt;=ROUND($GJ$3,0))*('Margin Guidence Table'!$J$1:$J$10000&gt;=ROUND($GJ$3,0)),0),MATCH("DEFAULT_CIA_MEDIAN_MARGIN_GUIDENCE",'Margin Guidence Table'!$A$1:$AG$1,0))),0)</f>
        <v>0</v>
      </c>
      <c r="HC21" s="127"/>
      <c r="HD21" s="18">
        <f t="array" ref="HD21">IFERROR(IF($HQ21="SEGMENT",INDEX('Margin Guidence Table'!$A$1:$AG$10000,MATCH(1,('Margin Guidence Table'!$A$1:$A$10000=$HO21)*('Margin Guidence Table'!$I$1:$I$10000&lt;=ROUND($HG$3,0))*('Margin Guidence Table'!$J$1:$J$10000&gt;=ROUND($HG$3,0)),0),MATCH("PCT_SALES",'Margin Guidence Table'!$A$1:$AG$1,0)),INDEX('Margin Guidence Table'!$A$1:$AG$10000,MATCH(1,('Margin Guidence Table'!$A$1:$A$10000=$HO21)*('Margin Guidence Table'!$I$1:$I$10000&lt;=ROUND($HG$3,0))*('Margin Guidence Table'!$J$1:$J$10000&gt;=ROUND($HG$3,0)),0),MATCH("DEFAULT_PCT_SALES",'Margin Guidence Table'!$A$1:$AG$1,0))),0)</f>
        <v>0</v>
      </c>
      <c r="HE21" s="370" t="e">
        <f t="shared" si="40"/>
        <v>#DIV/0!</v>
      </c>
      <c r="HF21" s="100" t="s">
        <v>95</v>
      </c>
      <c r="HG21" s="92">
        <f>IFERROR(IF(AND($HG$2&lt;&gt;"Enter Spend&gt;&gt;&gt;",HH9="EXISTING"),SUMIFS('Existing Customers'!$Q:$Q,'Existing Customers'!$A:$A,$HG$1,'Existing Customers'!$H:$H,$HF21)*$HG$4,$HG$3*$HE21),0)</f>
        <v>0</v>
      </c>
      <c r="HH21" s="87">
        <f>IFERROR(IF(AND($HG$2&lt;&gt;"Enter Spend&gt;&gt;&gt;",HH2="EXISTING"),SUMIFS('Existing Customers'!$N:$N,'Existing Customers'!$A:$A,$HG$1,'Existing Customers'!$H:$H,$HF21)*$HG$4,$HG21/$HR21),0)</f>
        <v>0</v>
      </c>
      <c r="HI21" s="93">
        <f>IFERROR(IF(AND($HG$2&lt;&gt;"Enter Spend&gt;&gt;&gt;",HH2="EXISTING"),SUMIFS('Existing Customers'!$O:$O,'Existing Customers'!$H:$H,$HF21,'Existing Customers'!$A:$A,$HG$1)*$HG$4,$HH21*$HG$8),0)</f>
        <v>0</v>
      </c>
      <c r="HJ21" s="93">
        <f>IFERROR(IF(AND($HG$2&lt;&gt;"Enter Spend&gt;&gt;&gt;",HH2="EXISTING"),SUMIFS('Existing Customers'!$P:$P,'Existing Customers'!$A:$A,$HG$1,'Existing Customers'!$H:$H,$HF21)*$HG$4,$HG21/$HS21),0)</f>
        <v>0</v>
      </c>
      <c r="HK21" s="94">
        <f>IFERROR(IF(AND($HG$2&lt;&gt;"Enter Spend&gt;&gt;&gt;",HH2="EXISTING"),SUMIFS('Existing Customers'!$V:$V,'Existing Customers'!$H:$H,$HF21,'Existing Customers'!$A:$A,$HG$1)*$HG$4,0),0)</f>
        <v>0</v>
      </c>
      <c r="HL21" s="94">
        <f>IFERROR(IF(AND($HG$2&lt;&gt;"Enter Spend&gt;&gt;&gt;",HH2="EXISTING"),SUMIFS('Existing Customers'!$R:$R,'Existing Customers'!$H:$H,$HF21,'Existing Customers'!$A:$A,$HG$1)*$HG$4,0),0)</f>
        <v>0</v>
      </c>
      <c r="HM21" s="1050">
        <f>IFERROR(IF(AND($HG$2&lt;&gt;"Enter Spend&gt;&gt;&gt;",HH2="EXISTING"),SUMIFS('Existing Customers'!$S:$S,'Existing Customers'!$H:$H,$HF21,'Existing Customers'!$A:$A,$HG$1),HW21*HG21),0)</f>
        <v>0</v>
      </c>
      <c r="HN21" s="1050">
        <f>IFERROR(IF(AND($HG$2&lt;&gt;"Enter Spend&gt;&gt;&gt;",HH2="EXISTING"),SUMIFS('Existing Customers'!$U:$U,'Existing Customers'!$H:$H,$HF21,'Existing Customers'!$A:$A,$HG$1),HX21*HG21),0)</f>
        <v>0</v>
      </c>
      <c r="HO21" s="1053" t="e">
        <f>_xlfn.CONCAT('Customer Inputs'!$AG$13,"_",HF21)</f>
        <v>#N/A</v>
      </c>
      <c r="HP21" s="1053">
        <f t="array" ref="HP21">IFERROR(INDEX('Margin Guidence Table'!$A$1:$AG$10000,MATCH(1,('Margin Guidence Table'!$A$1:$A$10000=HO21)*('Margin Guidence Table'!$I$1:$I$10000&lt;=ROUND($HG$3,0))*('Margin Guidence Table'!$J$1:$J$10000&gt;=ROUND($HG$3,0)),0),MATCH("DATA_POINTS",'Margin Guidence Table'!$A$1:$AG$1,0)),0)</f>
        <v>0</v>
      </c>
      <c r="HQ21" s="1050" t="str">
        <f t="shared" si="41"/>
        <v>DEFAULT</v>
      </c>
      <c r="HR21" s="1050">
        <f t="array" ref="HR21">IFERROR(IF($HQ21="SEGMENT",INDEX('Margin Guidence Table'!$A$1:$AG$10000,MATCH(1,('Margin Guidence Table'!$A$1:$A$10000=HO21)*('Margin Guidence Table'!$I$1:$I$10000&lt;=ROUND($HG$3,0))*('Margin Guidence Table'!$J$1:$J$10000&gt;=ROUND($HG$3,0)),0),MATCH("SALES_CASE",'Margin Guidence Table'!$A$1:$AG$1,0)),INDEX('Margin Guidence Table'!$A$1:$AG$10000,MATCH(1,('Margin Guidence Table'!$A$1:$A$10000=HO21)*('Margin Guidence Table'!$I$1:$I$10000&lt;=ROUND($HG$3,0))*('Margin Guidence Table'!$J$1:$J$10000&gt;=ROUND($HG$3,0)),0),MATCH("DEFAULT_SALES_CASE",'Margin Guidence Table'!$A$1:$AG$1,0))),0)</f>
        <v>0</v>
      </c>
      <c r="HS21" s="1050">
        <f t="array" ref="HS21">IFERROR(IF($HQ21="SEGMENT",INDEX('Margin Guidence Table'!$A$1:$AG$10000,MATCH(1,('Margin Guidence Table'!$A$1:$A$10000=HO21)*('Margin Guidence Table'!$I$1:$I$10000&lt;=ROUND($HG$3,0))*('Margin Guidence Table'!$J$1:$J$10000&gt;=ROUND($HG$3,0)),0),MATCH("SALES_LBS",'Margin Guidence Table'!$A$1:$AG$1,0)),INDEX('Margin Guidence Table'!$A$1:$AG$10000,MATCH(1,('Margin Guidence Table'!$A$1:$A$10000=HO21)*('Margin Guidence Table'!$I$1:$I$10000&lt;=ROUND($HG$3,0))*('Margin Guidence Table'!$J$1:$J$10000&gt;=ROUND($HG$3,0)),0),MATCH("DEFAULT_SALES_LBS",'Margin Guidence Table'!$A$1:$AG$1,0))),0)</f>
        <v>0</v>
      </c>
      <c r="HT21" s="1054">
        <f t="array" ref="HT21">IFERROR(IF($HQ21="SEGMENT",INDEX('Margin Guidence Table'!$A$1:$AG$10000,MATCH(1,('Margin Guidence Table'!$A$1:$A$10000=HO21)*('Margin Guidence Table'!$I$1:$I$10000&lt;=ROUND($HG$3,0))*('Margin Guidence Table'!$J$1:$J$10000&gt;=ROUND($HG$3,0)),0),MATCH("MDA_MIN_MARGIN_GUIDENCE",'Margin Guidence Table'!$A$1:$AG$1,0)),INDEX('Margin Guidence Table'!$A$1:$AG$10000,MATCH(1,('Margin Guidence Table'!$A$1:$A$10000=HO21)*('Margin Guidence Table'!$I$1:$I$10000&lt;=ROUND($HG$3,0))*('Margin Guidence Table'!$J$1:$J$10000&gt;=ROUND($HG$3,0)),0),MATCH("DEFAULT_MDA_MIN_MARGIN_GUIDENCE",'Margin Guidence Table'!$A$1:$AG$1,0))),0)</f>
        <v>0</v>
      </c>
      <c r="HU21" s="1054">
        <f t="array" ref="HU21">IFERROR(IF($HQ21="SEGMENT",INDEX('Margin Guidence Table'!$A$1:$AG$10000,MATCH(1,('Margin Guidence Table'!$A$1:$A$10000=HO21)*('Margin Guidence Table'!$I$1:$I$10000&lt;=ROUND($HG$3,0))*('Margin Guidence Table'!$J$1:$J$10000&gt;=ROUND($HG$3,0)),0),MATCH("MDA_MEDIAN_MARGIN_GUIDENCE",'Margin Guidence Table'!$A$1:$AG$1,0)),INDEX('Margin Guidence Table'!$A$1:$AG$10000,MATCH(1,('Margin Guidence Table'!$A$1:$A$10000=HO21)*('Margin Guidence Table'!$I$1:$I$10000&lt;=ROUND($HG$3,0))*('Margin Guidence Table'!$J$1:$J$10000&gt;=ROUND($HG$3,0)),0),MATCH("DEFAULT_MDA_MEDIAN_MARGIN_GUIDENCE",'Margin Guidence Table'!$A$1:$AG$1,0))),0)</f>
        <v>0</v>
      </c>
      <c r="HV21" s="1054">
        <f t="array" ref="HV21">IFERROR(IF($HQ21="SEGMENT",INDEX('Margin Guidence Table'!$A$1:$AG$10000,MATCH(1,('Margin Guidence Table'!$A$1:$A$10000=HO21)*('Margin Guidence Table'!$I$1:$I$10000&lt;=ROUND($HG$3,0))*('Margin Guidence Table'!$J$1:$J$10000&gt;=ROUND($HG$3,0)),0),MATCH("MDA_MAX_MARGIN_GUIDENCE",'Margin Guidence Table'!$A$1:$AG$1,0)),INDEX('Margin Guidence Table'!$A$1:$AG$10000,MATCH(1,('Margin Guidence Table'!$A$1:$A$10000=HO21)*('Margin Guidence Table'!$I$1:$I$10000&lt;=ROUND($HG$3,0))*('Margin Guidence Table'!$J$1:$J$10000&gt;=ROUND($HG$3,0)),0),MATCH("DEFAULT_MDA_MAX_MARGIN_GUIDENCE",'Margin Guidence Table'!$A$1:$AG$1,0))),0)</f>
        <v>0</v>
      </c>
      <c r="HW21" s="1054">
        <f t="array" ref="HW21">IFERROR(IF($HQ21="SEGMENT",INDEX('Margin Guidence Table'!$A$1:$AG$10000,MATCH(1,('Margin Guidence Table'!$A$1:$A$10000=HO21)*('Margin Guidence Table'!$I$1:$I$10000&lt;=ROUND($HG$3,0))*('Margin Guidence Table'!$J$1:$J$10000&gt;=ROUND($HG$3,0)),0),MATCH("PA_PCT_SALES",'Margin Guidence Table'!$A$1:$AG$1,0)),INDEX('Margin Guidence Table'!$A$1:$AG$10000,MATCH(1,('Margin Guidence Table'!$A$1:$A$10000=HO21)*('Margin Guidence Table'!$I$1:$I$10000&lt;=ROUND($HG$3,0))*('Margin Guidence Table'!$J$1:$J$10000&gt;=ROUND($HG$3,0)),0),MATCH("DEFAULT_PA_PCT_SALES",'Margin Guidence Table'!$A$1:$AG$1,0))),0)</f>
        <v>0</v>
      </c>
      <c r="HX21" s="1054">
        <f t="array" ref="HX21">IFERROR(IF($HQ21="SEGMENT",INDEX('Margin Guidence Table'!$A$1:$AG$10000,MATCH(1,('Margin Guidence Table'!$A$1:$A$10000=HO21)*('Margin Guidence Table'!$I$1:$I$10000&lt;=ROUND($HG$3,0))*('Margin Guidence Table'!$J$1:$J$10000&gt;=ROUND($HG$3,0)),0),MATCH("SELF_FUND_PCT_SALES",'Margin Guidence Table'!$A$1:$AG$1,0)),INDEX('Margin Guidence Table'!$A$1:$AG$10000,MATCH(1,('Margin Guidence Table'!$A$1:$A$10000=HO21)*('Margin Guidence Table'!$I$1:$I$10000&lt;=ROUND($HG$3,0))*('Margin Guidence Table'!$J$1:$J$10000&gt;=ROUND($HG$3,0)),0),MATCH("DEFAULT_SELF_FUND_PCT_SALES",'Margin Guidence Table'!$A$1:$AG$1,0))),0)</f>
        <v>0</v>
      </c>
      <c r="HY21" s="1054">
        <f t="array" ref="HY21">IFERROR(IF($HQ21="SEGMENT",INDEX('Margin Guidence Table'!$A$1:$AG$10000,MATCH(1,('Margin Guidence Table'!$A$1:$A$10000=HO21)*('Margin Guidence Table'!$I$1:$I$10000&lt;=ROUND($HG$3,0))*('Margin Guidence Table'!$J$1:$J$10000&gt;=ROUND($HG$3,0)),0),MATCH("CIA_MEDIAN_MARGIN_GUIDENCE",'Margin Guidence Table'!$A$1:$AG$1,0)),INDEX('Margin Guidence Table'!$A$1:$AG$10000,MATCH(1,('Margin Guidence Table'!$A$1:$A$10000=HO21)*('Margin Guidence Table'!$I$1:$I$10000&lt;=ROUND($HG$3,0))*('Margin Guidence Table'!$J$1:$J$10000&gt;=ROUND($HG$3,0)),0),MATCH("DEFAULT_CIA_MEDIAN_MARGIN_GUIDENCE",'Margin Guidence Table'!$A$1:$AG$1,0))),0)</f>
        <v>0</v>
      </c>
      <c r="HZ21" s="127"/>
      <c r="IA21" s="18">
        <f t="array" ref="IA21">IFERROR(IF($IN21="SEGMENT",INDEX('Margin Guidence Table'!$A:$AC,MATCH(1,('Margin Guidence Table'!$A:$A=$IL21)*('Margin Guidence Table'!$H:$H&lt;=ROUND($ID$3,0))*('Margin Guidence Table'!$G:$G&gt;=ROUND($ID$3,0)),0),MATCH("PCT_SALES",'Margin Guidence Table'!$A$1:$AG$1,0)),INDEX('Margin Guidence Table'!$A:$AC,MATCH(1,('Margin Guidence Table'!$A:$A=$IL21)*('Margin Guidence Table'!$H:$H&lt;=ROUND($ID$3,0))*('Margin Guidence Table'!$G:$G&gt;=ROUND($ID$3,0)),0),MATCH("DEFAULT_PCT_SALES",'Margin Guidence Table'!$A$1:$AG$1,0))),0)</f>
        <v>0</v>
      </c>
      <c r="IB21" s="370" t="e">
        <f t="shared" si="42"/>
        <v>#DIV/0!</v>
      </c>
      <c r="IC21" s="100" t="s">
        <v>95</v>
      </c>
      <c r="ID21" s="92">
        <f>IFERROR(IF(AND($ID$2&lt;&gt;"Enter Spend&gt;&gt;&gt;",IE9="EXISTING"),SUMIFS('Existing Customers'!$Q:$Q,'Existing Customers'!$A:$A,$ID$1,'Existing Customers'!$H:$H,$IC21)*$ID$4,$ID$3*$IB21),0)</f>
        <v>0</v>
      </c>
      <c r="IE21" s="87">
        <f>IFERROR(IF(AND($ID$2&lt;&gt;"Enter Spend&gt;&gt;&gt;",IE2="EXISTING"),SUMIFS('Existing Customers'!$N:$N,'Existing Customers'!$A:$A,$ID$1,'Existing Customers'!$H:$H,$IC21)*$ID$4,$ID21/$IO21),0)</f>
        <v>0</v>
      </c>
      <c r="IF21" s="93">
        <f>IFERROR(IF(AND($ID$2&lt;&gt;"Enter Spend&gt;&gt;&gt;",IE2="EXISTING"),SUMIFS('Existing Customers'!$O:$O,'Existing Customers'!$H:$H,$IC21,'Existing Customers'!$A:$A,$ID$1)*$ID$4,$IE21*$ID$8),0)</f>
        <v>0</v>
      </c>
      <c r="IG21" s="93">
        <f>IFERROR(IF(AND($ID$2&lt;&gt;"Enter Spend&gt;&gt;&gt;",IE2="EXISTING"),SUMIFS('Existing Customers'!$P:$P,'Existing Customers'!$A:$A,$ID$1,'Existing Customers'!$H:$H,$IC21)*$ID$4,$ID21/$IP21),0)</f>
        <v>0</v>
      </c>
      <c r="IH21" s="376">
        <f>IFERROR(IF(AND($ID$2&lt;&gt;"Enter Spend&gt;&gt;&gt;",IE2="EXISTING"),SUMIFS('Existing Customers'!$V:$V,'Existing Customers'!$H:$H,$IC21,'Existing Customers'!$A:$A,$ID$1)*$ID$4,0),0)</f>
        <v>0</v>
      </c>
      <c r="II21" s="94">
        <f>IFERROR(IF(AND($ID$2&lt;&gt;"Enter Spend&gt;&gt;&gt;",IE2="EXISTING"),SUMIFS('Existing Customers'!$R:$R,'Existing Customers'!$H:$H,$IC21,'Existing Customers'!$A:$A,$ID$1)*$ID$4,0),0)</f>
        <v>0</v>
      </c>
      <c r="IJ21" s="1050">
        <f>IFERROR(IF(AND($ID$2&lt;&gt;"Enter Spend&gt;&gt;&gt;",IE2="EXISTING"),SUMIFS('Existing Customers'!$S:$S,'Existing Customers'!$H:$H,$IC21,'Existing Customers'!$A:$A,$ID$1),IT21*ID21),0)</f>
        <v>0</v>
      </c>
      <c r="IK21" s="1050">
        <f>IFERROR(IF(AND($ID$2&lt;&gt;"Enter Spend&gt;&gt;&gt;",IE2="EXISTING"),SUMIFS('Existing Customers'!$U:$U,'Existing Customers'!$H:$H,$IC21,'Existing Customers'!$A:$A,$ID$1),IU21*ID21),0)</f>
        <v>0</v>
      </c>
      <c r="IL21" s="1053" t="e">
        <f>_xlfn.CONCAT('Customer Inputs'!$AG$14,"_",IC21)</f>
        <v>#N/A</v>
      </c>
      <c r="IM21" s="1053">
        <f t="array" ref="IM21">IFERROR(INDEX('Margin Guidence Table'!$A$1:$AG$10000,MATCH(1,('Margin Guidence Table'!$A$1:$A$10000=IL21)*('Margin Guidence Table'!$I$1:$I$10000&lt;=ROUND($ID$3,0))*('Margin Guidence Table'!$J$1:$J$10000&gt;=ROUND($ID$3,0)),0),MATCH("DATA_POINTS",'Margin Guidence Table'!$A$1:$AG$1,0)),0)</f>
        <v>0</v>
      </c>
      <c r="IN21" s="1050" t="str">
        <f t="shared" si="43"/>
        <v>DEFAULT</v>
      </c>
      <c r="IO21" s="1050">
        <f t="array" ref="IO21">IFERROR(IF($IN21="SEGMENT",INDEX('Margin Guidence Table'!$A$1:$AG$10000,MATCH(1,('Margin Guidence Table'!$A$1:$A$10000=IL21)*('Margin Guidence Table'!$I$1:$I$10000&lt;=ROUND($ID$3,0))*('Margin Guidence Table'!$J$1:$J$10000&gt;=ROUND($ID$3,0)),0),MATCH("SALES_CASE",'Margin Guidence Table'!$A$1:$AG$1,0)),INDEX('Margin Guidence Table'!$A$1:$AG$10000,MATCH(1,('Margin Guidence Table'!$A$1:$A$10000=IL21)*('Margin Guidence Table'!$I$1:$I$10000&lt;=ROUND($ID$3,0))*('Margin Guidence Table'!$J$1:$J$10000&gt;=ROUND($ID$3,0)),0),MATCH("DEFAULT_SALES_CASE",'Margin Guidence Table'!$A$1:$AG$1,0))),0)</f>
        <v>0</v>
      </c>
      <c r="IP21" s="1050">
        <f t="array" ref="IP21">IFERROR(IF($IN21="SEGMENT",INDEX('Margin Guidence Table'!$A$1:$AG$10000,MATCH(1,('Margin Guidence Table'!$A$1:$A$10000=IL21)*('Margin Guidence Table'!$I$1:$I$10000&lt;=ROUND($ID$3,0))*('Margin Guidence Table'!$J$1:$J$10000&gt;=ROUND($ID$3,0)),0),MATCH("SALES_LBS",'Margin Guidence Table'!$A$1:$AG$1,0)),INDEX('Margin Guidence Table'!$A$1:$AG$10000,MATCH(1,('Margin Guidence Table'!$A$1:$A$10000=IL21)*('Margin Guidence Table'!$I$1:$I$10000&lt;=ROUND($ID$3,0))*('Margin Guidence Table'!$J$1:$J$10000&gt;=ROUND($ID$3,0)),0),MATCH("DEFAULT_SALES_LBS",'Margin Guidence Table'!$A$1:$AG$1,0))),0)</f>
        <v>0</v>
      </c>
      <c r="IQ21" s="1054">
        <f t="array" ref="IQ21">IFERROR(IF($IN21="SEGMENT",INDEX('Margin Guidence Table'!$A$1:$AG$10000,MATCH(1,('Margin Guidence Table'!$A$1:$A$10000=IL21)*('Margin Guidence Table'!$I$1:$I$10000&lt;=ROUND($ID$3,0))*('Margin Guidence Table'!$J$1:$J$10000&gt;=ROUND($ID$3,0)),0),MATCH("MDA_MIN_MARGIN_GUIDENCE",'Margin Guidence Table'!$A$1:$AG$1,0)),INDEX('Margin Guidence Table'!$A$1:$AG$10000,MATCH(1,('Margin Guidence Table'!$A$1:$A$10000=IL21)*('Margin Guidence Table'!$I$1:$I$10000&lt;=ROUND($ID$3,0))*('Margin Guidence Table'!$J$1:$J$10000&gt;=ROUND($ID$3,0)),0),MATCH("DEFAULT_MDA_MIN_MARGIN_GUIDENCE",'Margin Guidence Table'!$A$1:$AG$1,0))),0)</f>
        <v>0</v>
      </c>
      <c r="IR21" s="1054">
        <f t="array" ref="IR21">IFERROR(IF($IN21="SEGMENT",INDEX('Margin Guidence Table'!$A$1:$AG$10000,MATCH(1,('Margin Guidence Table'!$A$1:$A$10000=IL21)*('Margin Guidence Table'!$I$1:$I$10000&lt;=ROUND($ID$3,0))*('Margin Guidence Table'!$J$1:$J$10000&gt;=ROUND($ID$3,0)),0),MATCH("MDA_MEDIAN_MARGIN_GUIDENCE",'Margin Guidence Table'!$A$1:$AG$1,0)),INDEX('Margin Guidence Table'!$A$1:$AG$10000,MATCH(1,('Margin Guidence Table'!$A$1:$A$10000=IL21)*('Margin Guidence Table'!$I$1:$I$10000&lt;=ROUND($ID$3,0))*('Margin Guidence Table'!$J$1:$J$10000&gt;=ROUND($ID$3,0)),0),MATCH("DEFAULT_MDA_MEDIAN_MARGIN_GUIDENCE",'Margin Guidence Table'!$A$1:$AG$1,0))),0)</f>
        <v>0</v>
      </c>
      <c r="IS21" s="1054">
        <f t="array" ref="IS21">IFERROR(IF($IN21="SEGMENT",INDEX('Margin Guidence Table'!$A$1:$AG$10000,MATCH(1,('Margin Guidence Table'!$A$1:$A$10000=IL21)*('Margin Guidence Table'!$I$1:$I$10000&lt;=ROUND($ID$3,0))*('Margin Guidence Table'!$J$1:$J$10000&gt;=ROUND($ID$3,0)),0),MATCH("MDA_MAX_MARGIN_GUIDENCE",'Margin Guidence Table'!$A$1:$AG$1,0)),INDEX('Margin Guidence Table'!$A$1:$AG$10000,MATCH(1,('Margin Guidence Table'!$A$1:$A$10000=IL21)*('Margin Guidence Table'!$I$1:$I$10000&lt;=ROUND($ID$3,0))*('Margin Guidence Table'!$J$1:$J$10000&gt;=ROUND($ID$3,0)),0),MATCH("DEFAULT_MDA_MAX_MARGIN_GUIDENCE",'Margin Guidence Table'!$A$1:$AG$1,0))),0)</f>
        <v>0</v>
      </c>
      <c r="IT21" s="1054">
        <f t="array" ref="IT21">IFERROR(IF($IN21="SEGMENT",INDEX('Margin Guidence Table'!$A$1:$AG$10000,MATCH(1,('Margin Guidence Table'!$A$1:$A$10000=IL21)*('Margin Guidence Table'!$I$1:$I$10000&lt;=ROUND($ID$3,0))*('Margin Guidence Table'!$J$1:$J$10000&gt;=ROUND($ID$3,0)),0),MATCH("PA_PCT_SALES",'Margin Guidence Table'!$A$1:$AG$1,0)),INDEX('Margin Guidence Table'!$A$1:$AG$10000,MATCH(1,('Margin Guidence Table'!$A$1:$A$10000=IL21)*('Margin Guidence Table'!$I$1:$I$10000&lt;=ROUND($ID$3,0))*('Margin Guidence Table'!$J$1:$J$10000&gt;=ROUND($ID$3,0)),0),MATCH("DEFAULT_PA_PCT_SALES",'Margin Guidence Table'!$A$1:$AG$1,0))),0)</f>
        <v>0</v>
      </c>
      <c r="IU21" s="1054">
        <f t="array" ref="IU21">IFERROR(IF($IN21="SEGMENT",INDEX('Margin Guidence Table'!$A$1:$AG$10000,MATCH(1,('Margin Guidence Table'!$A$1:$A$10000=IL21)*('Margin Guidence Table'!$I$1:$I$10000&lt;=ROUND($ID$3,0))*('Margin Guidence Table'!$J$1:$J$10000&gt;=ROUND($ID$3,0)),0),MATCH("SELF_FUND_PCT_SALES",'Margin Guidence Table'!$A$1:$AG$1,0)),INDEX('Margin Guidence Table'!$A$1:$AG$10000,MATCH(1,('Margin Guidence Table'!$A$1:$A$10000=IL21)*('Margin Guidence Table'!$I$1:$I$10000&lt;=ROUND($ID$3,0))*('Margin Guidence Table'!$J$1:$J$10000&gt;=ROUND($ID$3,0)),0),MATCH("DEFAULT_SELF_FUND_PCT_SALES",'Margin Guidence Table'!$A$1:$AG$1,0))),0)</f>
        <v>0</v>
      </c>
      <c r="IV21" s="1054">
        <f t="array" ref="IV21">IFERROR(IF($IN21="SEGMENT",INDEX('Margin Guidence Table'!$A$1:$AG$10000,MATCH(1,('Margin Guidence Table'!$A$1:$A$10000=IL21)*('Margin Guidence Table'!$I$1:$I$10000&lt;=ROUND($ID$3,0))*('Margin Guidence Table'!$J$1:$J$10000&gt;=ROUND($ID$3,0)),0),MATCH("CIA_MEDIAN_MARGIN_GUIDENCE",'Margin Guidence Table'!$A$1:$AG$1,0)),INDEX('Margin Guidence Table'!$A$1:$AG$10000,MATCH(1,('Margin Guidence Table'!$A$1:$A$10000=IL21)*('Margin Guidence Table'!$I$1:$I$10000&lt;=ROUND($ID$3,0))*('Margin Guidence Table'!$J$1:$J$10000&gt;=ROUND($ID$3,0)),0),MATCH("DEFAULT_CIA_MEDIAN_MARGIN_GUIDENCE",'Margin Guidence Table'!$A$1:$AG$1,0))),0)</f>
        <v>0</v>
      </c>
      <c r="IW21" s="127"/>
      <c r="IX21" s="18">
        <f t="array" ref="IX21">IFERROR(IF($JK21="SEGMENT",INDEX('Margin Guidence Table'!$A$1:$AG$10000,MATCH(1,('Margin Guidence Table'!$A$1:$A$10000=$JI21)*('Margin Guidence Table'!$I$1:$I$10000&lt;=ROUND($JA$3,0))*('Margin Guidence Table'!$J$1:$J$10000&gt;=ROUND($JA$3,0)),0),MATCH("PCT_SALES",'Margin Guidence Table'!$A$1:$AG$1,0)),INDEX('Margin Guidence Table'!$A$1:$AG$10000,MATCH(1,('Margin Guidence Table'!$A$1:$A$10000=$JI21)*('Margin Guidence Table'!$I$1:$I$10000&lt;=ROUND($JA$3,0))*('Margin Guidence Table'!$J$1:$J$10000&gt;=ROUND($JA$3,0)),0),MATCH("DEFAULT_PCT_SALES",'Margin Guidence Table'!$A$1:$AG$1,0))),0)</f>
        <v>0</v>
      </c>
      <c r="IY21" s="370" t="e">
        <f t="shared" si="44"/>
        <v>#DIV/0!</v>
      </c>
      <c r="IZ21" s="100" t="s">
        <v>95</v>
      </c>
      <c r="JA21" s="92">
        <f>IFERROR(IF(AND($JA$2&lt;&gt;"Enter Spend&gt;&gt;&gt;",JB9="EXISTING"),SUMIFS('Existing Customers'!$Q:$Q,'Existing Customers'!$A:$A,$JA$1,'Existing Customers'!$H:$H,$IZ21)*$JA$4,$JA$3*$IY21),0)</f>
        <v>0</v>
      </c>
      <c r="JB21" s="87">
        <f>IFERROR(IF(AND($JA$2&lt;&gt;"Enter Spend&gt;&gt;&gt;",JB2="EXISTING"),SUMIFS('Existing Customers'!$N:$N,'Existing Customers'!$A:$A,$JA$1,'Existing Customers'!$H:$H,$IZ21)*$JA$4,$JA21/$JL21),0)</f>
        <v>0</v>
      </c>
      <c r="JC21" s="93">
        <f>IFERROR(IF(AND($JA$2&lt;&gt;"Enter Spend&gt;&gt;&gt;",JB2="EXISTING"),SUMIFS('Existing Customers'!$O:$O,'Existing Customers'!$H:$H,$IZ21,'Existing Customers'!$A:$A,$JA$1)*$JA$4,$JB21*$JA$8),0)</f>
        <v>0</v>
      </c>
      <c r="JD21" s="93">
        <f>IFERROR(IF(AND($JA$2&lt;&gt;"Enter Spend&gt;&gt;&gt;",JB2="EXISTING"),SUMIFS('Existing Customers'!$P:$P,'Existing Customers'!$A:$A,$JA$1,'Existing Customers'!$H:$H,$IZ21)*$JA$4,$JA21/$JM21),0)</f>
        <v>0</v>
      </c>
      <c r="JE21" s="376">
        <f>IFERROR(IF(AND($JA$2&lt;&gt;"Enter Spend&gt;&gt;&gt;",JB2="EXISTING"),SUMIFS('Existing Customers'!$V:$V,'Existing Customers'!$H:$H,$IZ21,'Existing Customers'!$A:$A,$JA$1)*$JA$4,0),0)</f>
        <v>0</v>
      </c>
      <c r="JF21" s="94">
        <f>IFERROR(IF(AND($JA$2&lt;&gt;"Enter Spend&gt;&gt;&gt;",JB2="EXISTING"),SUMIFS('Existing Customers'!$R:$R,'Existing Customers'!$H:$H,$IZ21,'Existing Customers'!$A:$A,$JA$1)*$JA$4,0),0)</f>
        <v>0</v>
      </c>
      <c r="JG21" s="1050">
        <f>IFERROR(IF(AND($JA$2&lt;&gt;"Enter Spend&gt;&gt;&gt;",JB2="EXISTING"),SUMIFS('Existing Customers'!$S:$S,'Existing Customers'!$H:$H,$IZ21,'Existing Customers'!$A:$A,$JA$1),JQ21*JA21),0)</f>
        <v>0</v>
      </c>
      <c r="JH21" s="1050">
        <f>IFERROR(IF(AND($JA$2&lt;&gt;"Enter Spend&gt;&gt;&gt;",JB2="EXISTING"),SUMIFS('Existing Customers'!$U:$U,'Existing Customers'!$H:$H,$IZ21,'Existing Customers'!$A:$A,$JA$1),JR21*JA21),0)</f>
        <v>0</v>
      </c>
      <c r="JI21" s="1053" t="e">
        <f>_xlfn.CONCAT('Customer Inputs'!$AG$15,"_",IZ21)</f>
        <v>#N/A</v>
      </c>
      <c r="JJ21" s="1053">
        <f t="array" ref="JJ21">IFERROR(INDEX('Margin Guidence Table'!$A$1:$AG$10000,MATCH(1,('Margin Guidence Table'!$A$1:$A$10000=JI21)*('Margin Guidence Table'!$I$1:$I$10000&lt;=ROUND($JA$3,0))*('Margin Guidence Table'!$J$1:$J$10000&gt;=ROUND($JA$3,0)),0),MATCH("DATA_POINTS",'Margin Guidence Table'!$A$1:$AG$1,0)),0)</f>
        <v>0</v>
      </c>
      <c r="JK21" s="1050" t="str">
        <f t="shared" si="45"/>
        <v>DEFAULT</v>
      </c>
      <c r="JL21" s="1050">
        <f t="array" ref="JL21">IFERROR(IF($JK21="SEGMENT",INDEX('Margin Guidence Table'!$A$1:$AG$10000,MATCH(1,('Margin Guidence Table'!$A$1:$A$10000=JI21)*('Margin Guidence Table'!$I$1:$I$10000&lt;=ROUND($JA$3,0))*('Margin Guidence Table'!$J$1:$J$10000&gt;=ROUND($JA$3,0)),0),MATCH("SALES_CASE",'Margin Guidence Table'!$A$1:$AG$1,0)),INDEX('Margin Guidence Table'!$A$1:$AG$10000,MATCH(1,('Margin Guidence Table'!$A$1:$A$10000=JI21)*('Margin Guidence Table'!$I$1:$I$10000&lt;=ROUND($JA$3,0))*('Margin Guidence Table'!$J$1:$J$10000&gt;=ROUND($JA$3,0)),0),MATCH("DEFAULT_SALES_CASE",'Margin Guidence Table'!$A$1:$AG$1,0))),0)</f>
        <v>0</v>
      </c>
      <c r="JM21" s="1050">
        <f t="array" ref="JM21">IFERROR(IF($JK21="SEGMENT",INDEX('Margin Guidence Table'!$A$1:$AG$10000,MATCH(1,('Margin Guidence Table'!$A$1:$A$10000=JI21)*('Margin Guidence Table'!$I$1:$I$10000&lt;=ROUND($JA$3,0))*('Margin Guidence Table'!$J$1:$J$10000&gt;=ROUND($JA$3,0)),0),MATCH("SALES_LBS",'Margin Guidence Table'!$A$1:$AG$1,0)),INDEX('Margin Guidence Table'!$A$1:$AG$10000,MATCH(1,('Margin Guidence Table'!$A$1:$A$10000=JI21)*('Margin Guidence Table'!$I$1:$I$10000&lt;=ROUND($JA$3,0))*('Margin Guidence Table'!$J$1:$J$10000&gt;=ROUND($JA$3,0)),0),MATCH("DEFAULT_SALES_LBS",'Margin Guidence Table'!$A$1:$AG$1,0))),0)</f>
        <v>0</v>
      </c>
      <c r="JN21" s="1054">
        <f t="array" ref="JN21">IFERROR(IF($JK21="SEGMENT",INDEX('Margin Guidence Table'!$A$1:$AG$10000,MATCH(1,('Margin Guidence Table'!$A$1:$A$10000=JI21)*('Margin Guidence Table'!$I$1:$I$10000&lt;=ROUND($JA$3,0))*('Margin Guidence Table'!$J$1:$J$10000&gt;=ROUND($JA$3,0)),0),MATCH("MDA_MIN_MARGIN_GUIDENCE",'Margin Guidence Table'!$A$1:$AG$1,0)),INDEX('Margin Guidence Table'!$A$1:$AG$10000,MATCH(1,('Margin Guidence Table'!$A$1:$A$10000=JI21)*('Margin Guidence Table'!$I$1:$I$10000&lt;=ROUND($JA$3,0))*('Margin Guidence Table'!$J$1:$J$10000&gt;=ROUND($JA$3,0)),0),MATCH("DEFAULT_MDA_MIN_MARGIN_GUIDENCE",'Margin Guidence Table'!$A$1:$AG$1,0))),0)</f>
        <v>0</v>
      </c>
      <c r="JO21" s="1054">
        <f t="array" ref="JO21">IFERROR(IF($JK21="SEGMENT",INDEX('Margin Guidence Table'!$A$1:$AG$10000,MATCH(1,('Margin Guidence Table'!$A$1:$A$10000=JI21)*('Margin Guidence Table'!$I$1:$I$10000&lt;=ROUND($JA$3,0))*('Margin Guidence Table'!$J$1:$J$10000&gt;=ROUND($JA$3,0)),0),MATCH("MDA_MEDIAN_MARGIN_GUIDENCE",'Margin Guidence Table'!$A$1:$AG$1,0)),INDEX('Margin Guidence Table'!$A$1:$AG$10000,MATCH(1,('Margin Guidence Table'!$A$1:$A$10000=JI21)*('Margin Guidence Table'!$I$1:$I$10000&lt;=ROUND($JA$3,0))*('Margin Guidence Table'!$J$1:$J$10000&gt;=ROUND($JA$3,0)),0),MATCH("DEFAULT_MDA_MEDIAN_MARGIN_GUIDENCE",'Margin Guidence Table'!$A$1:$AG$1,0))),0)</f>
        <v>0</v>
      </c>
      <c r="JP21" s="1054">
        <f t="array" ref="JP21">IFERROR(IF($JK21="SEGMENT",INDEX('Margin Guidence Table'!$A$1:$AG$10000,MATCH(1,('Margin Guidence Table'!$A$1:$A$10000=JI21)*('Margin Guidence Table'!$I$1:$I$10000&lt;=ROUND($JA$3,0))*('Margin Guidence Table'!$J$1:$J$10000&gt;=ROUND($JA$3,0)),0),MATCH("MDA_MAX_MARGIN_GUIDENCE",'Margin Guidence Table'!$A$1:$AG$1,0)),INDEX('Margin Guidence Table'!$A$1:$AG$10000,MATCH(1,('Margin Guidence Table'!$A$1:$A$10000=JI21)*('Margin Guidence Table'!$I$1:$I$10000&lt;=ROUND($JA$3,0))*('Margin Guidence Table'!$J$1:$J$10000&gt;=ROUND($JA$3,0)),0),MATCH("DEFAULT_MDA_MAX_MARGIN_GUIDENCE",'Margin Guidence Table'!$A$1:$AG$1,0))),0)</f>
        <v>0</v>
      </c>
      <c r="JQ21" s="1054">
        <f t="array" ref="JQ21">IFERROR(IF($JK21="SEGMENT",INDEX('Margin Guidence Table'!$A$1:$AG$10000,MATCH(1,('Margin Guidence Table'!$A$1:$A$10000=JI21)*('Margin Guidence Table'!$I$1:$I$10000&lt;=ROUND($JA$3,0))*('Margin Guidence Table'!$J$1:$J$10000&gt;=ROUND($JA$3,0)),0),MATCH("PA_PCT_SALES",'Margin Guidence Table'!$A$1:$AG$1,0)),INDEX('Margin Guidence Table'!$A$1:$AG$10000,MATCH(1,('Margin Guidence Table'!$A$1:$A$10000=JI21)*('Margin Guidence Table'!$I$1:$I$10000&lt;=ROUND($JA$3,0))*('Margin Guidence Table'!$J$1:$J$10000&gt;=ROUND($JA$3,0)),0),MATCH("DEFAULT_PA_PCT_SALES",'Margin Guidence Table'!$A$1:$AG$1,0))),0)</f>
        <v>0</v>
      </c>
      <c r="JR21" s="1054">
        <f t="array" ref="JR21">IFERROR(IF($JK21="SEGMENT",INDEX('Margin Guidence Table'!$A$1:$AG$10000,MATCH(1,('Margin Guidence Table'!$A$1:$A$10000=JI21)*('Margin Guidence Table'!$I$1:$I$10000&lt;=ROUND($JA$3,0))*('Margin Guidence Table'!$J$1:$J$10000&gt;=ROUND($JA$3,0)),0),MATCH("SELF_FUND_PCT_SALES",'Margin Guidence Table'!$A$1:$AG$1,0)),INDEX('Margin Guidence Table'!$A$1:$AG$10000,MATCH(1,('Margin Guidence Table'!$A$1:$A$10000=JI21)*('Margin Guidence Table'!$I$1:$I$10000&lt;=ROUND($JA$3,0))*('Margin Guidence Table'!$J$1:$J$10000&gt;=ROUND($JA$3,0)),0),MATCH("DEFAULT_SELF_FUND_PCT_SALES",'Margin Guidence Table'!$A$1:$AG$1,0))),0)</f>
        <v>0</v>
      </c>
      <c r="JS21" s="1054">
        <f t="array" ref="JS21">IFERROR(IF($JK21="SEGMENT",INDEX('Margin Guidence Table'!$A$1:$AG$10000,MATCH(1,('Margin Guidence Table'!$A$1:$A$10000=JI21)*('Margin Guidence Table'!$I$1:$I$10000&lt;=ROUND($JA$3,0))*('Margin Guidence Table'!$J$1:$J$10000&gt;=ROUND($JA$3,0)),0),MATCH("CIA_MEDIAN_MARGIN_GUIDENCE",'Margin Guidence Table'!$A$1:$AG$1,0)),INDEX('Margin Guidence Table'!$A$1:$AG$10000,MATCH(1,('Margin Guidence Table'!$A$1:$A$10000=JI21)*('Margin Guidence Table'!$I$1:$I$10000&lt;=ROUND($JA$3,0))*('Margin Guidence Table'!$J$1:$J$10000&gt;=ROUND($JA$3,0)),0),MATCH("DEFAULT_CIA_MEDIAN_MARGIN_GUIDENCE",'Margin Guidence Table'!$A$1:$AG$1,0))),0)</f>
        <v>0</v>
      </c>
      <c r="JU21" s="100" t="s">
        <v>95</v>
      </c>
      <c r="JV21" s="95"/>
      <c r="JW21" s="87"/>
      <c r="JX21" s="87"/>
      <c r="JY21" s="87"/>
      <c r="JZ21" s="112"/>
      <c r="KA21" s="96"/>
      <c r="KB21" s="127"/>
      <c r="KD21" s="100" t="s">
        <v>95</v>
      </c>
      <c r="KE21" s="95"/>
      <c r="KF21" s="87"/>
      <c r="KG21" s="87"/>
      <c r="KH21" s="87"/>
      <c r="KI21" s="112"/>
      <c r="KJ21" s="96"/>
    </row>
    <row r="22" spans="2:296" ht="15.75" thickBot="1" x14ac:dyDescent="0.3">
      <c r="B22" s="100" t="s">
        <v>96</v>
      </c>
      <c r="C22" s="449">
        <f t="shared" si="11"/>
        <v>0</v>
      </c>
      <c r="D22" s="465">
        <f t="shared" si="12"/>
        <v>0</v>
      </c>
      <c r="E22" s="465">
        <f t="shared" si="13"/>
        <v>0</v>
      </c>
      <c r="F22" s="465">
        <f t="shared" si="14"/>
        <v>0</v>
      </c>
      <c r="G22" s="466">
        <f t="shared" si="15"/>
        <v>0</v>
      </c>
      <c r="H22" s="465">
        <f t="shared" si="16"/>
        <v>0</v>
      </c>
      <c r="I22" s="1046" t="e">
        <f t="shared" si="0"/>
        <v>#DIV/0!</v>
      </c>
      <c r="J22" s="1046" t="e">
        <f t="shared" si="1"/>
        <v>#DIV/0!</v>
      </c>
      <c r="K22" s="1046" t="e">
        <f t="shared" si="2"/>
        <v>#DIV/0!</v>
      </c>
      <c r="L22" s="465" t="e">
        <f t="shared" si="3"/>
        <v>#DIV/0!</v>
      </c>
      <c r="M22" s="465" t="e">
        <f t="shared" si="17"/>
        <v>#DIV/0!</v>
      </c>
      <c r="N22" s="1047" t="e">
        <f t="shared" si="4"/>
        <v>#DIV/0!</v>
      </c>
      <c r="P22" t="str">
        <f>'PIM Model'!E18</f>
        <v>INCLUDE</v>
      </c>
      <c r="Q22">
        <f t="shared" si="18"/>
        <v>0</v>
      </c>
      <c r="R22">
        <f t="shared" si="19"/>
        <v>0</v>
      </c>
      <c r="S22" s="100" t="s">
        <v>96</v>
      </c>
      <c r="T22" s="95">
        <f t="shared" si="20"/>
        <v>0</v>
      </c>
      <c r="U22" s="87">
        <f t="shared" si="5"/>
        <v>0</v>
      </c>
      <c r="V22" s="87">
        <f t="shared" si="6"/>
        <v>0</v>
      </c>
      <c r="W22" s="87">
        <f t="shared" si="7"/>
        <v>0</v>
      </c>
      <c r="X22" s="112">
        <f t="shared" si="8"/>
        <v>0</v>
      </c>
      <c r="Y22" s="115">
        <f t="shared" si="21"/>
        <v>0</v>
      </c>
      <c r="Z22" s="374"/>
      <c r="AA22" s="100" t="s">
        <v>96</v>
      </c>
      <c r="AB22" s="453">
        <f t="shared" si="9"/>
        <v>0</v>
      </c>
      <c r="AC22" s="454">
        <f t="shared" si="9"/>
        <v>0</v>
      </c>
      <c r="AD22" s="454">
        <f t="shared" si="9"/>
        <v>0</v>
      </c>
      <c r="AE22" s="455">
        <f t="shared" si="22"/>
        <v>0</v>
      </c>
      <c r="AF22" s="456">
        <f t="shared" si="23"/>
        <v>0</v>
      </c>
      <c r="AG22" s="374"/>
      <c r="AH22" s="100" t="s">
        <v>96</v>
      </c>
      <c r="AI22" s="453">
        <f t="shared" si="10"/>
        <v>0</v>
      </c>
      <c r="AJ22" s="450">
        <f t="shared" si="24"/>
        <v>0</v>
      </c>
      <c r="AK22" s="456"/>
      <c r="AL22" s="374"/>
      <c r="AM22" s="1" t="str">
        <f>IF('PIM Ranges'!$AK20='PIM Ranges'!$AW$11,IF($AI22&lt;'PIM Ranges'!$AX$11,"Q1",IF($AI22&lt;'PIM Ranges'!$AY$11,"Q2",IF($AI22&lt;'PIM Ranges'!$AZ$11,"Q3",IF($AI22&lt;'PIM Ranges'!$BA$11,"Q4","Q5")))),IF('PIM Ranges'!$AK20='PIM Ranges'!$AW$12,IF($AI22&lt;'PIM Ranges'!$AX$12,"Q1",IF($AI22&lt;'PIM Ranges'!$AY$12,"Q2",IF($AI22&lt;'PIM Ranges'!$AZ$12,"Q3",IF($AI22&lt;'PIM Ranges'!$BA$12,"Q4","Q5")))),IF('PIM Ranges'!$AK20='PIM Ranges'!$AW$13,IF($AI22&lt;'PIM Ranges'!$AX$13,"Q1",IF($AI22&lt;'PIM Ranges'!$AY$13,"Q2",IF($AI22&lt;'PIM Ranges'!$AZ$13,"Q3",IF($AI22&lt;'PIM Ranges'!$BA$13,"Q4","Q5")))),IF('PIM Ranges'!$AK20='PIM Ranges'!$AW$14,IF($AI22&lt;'PIM Ranges'!$AX$14,"Q1",IF($AI22&lt;'PIM Ranges'!$AY$14,"Q2",IF($AI22&lt;'PIM Ranges'!$AZ$14,"Q3",IF($AI22&lt;'PIM Ranges'!$BA$14,"Q4","Q5")))),IF('PIM Ranges'!$AK20='PIM Ranges'!$AW$15,IF($AI22&lt;'PIM Ranges'!$AX$15,"Q1",IF($AI22&lt;'PIM Ranges'!$AY$15,"Q2",IF($AI22&lt;'PIM Ranges'!$AZ$15,"Q3",IF($AI22&lt;'PIM Ranges'!$BA$15,"Q4","Q5")))),IF('PIM Ranges'!$AK20='PIM Ranges'!$AW$16,IF($AI22&lt;'PIM Ranges'!$AX$16,"Q1",IF($AI22&lt;'PIM Ranges'!$AY$16,"Q2",IF($AI22&lt;'PIM Ranges'!$AZ$16,"Q3",IF($AI22&lt;'PIM Ranges'!$BA$16,"Q4","Q5")))),IF('PIM Ranges'!$AK20='PIM Ranges'!$AW$17,IF($AI22&lt;'PIM Ranges'!$AX$17,"Q1",IF($AI22&lt;'PIM Ranges'!$AY$17,"Q2",IF($AI22&lt;'PIM Ranges'!$AZ$17,"Q3",IF($AI22&lt;'PIM Ranges'!$BA$17,"Q4","Q5")))),IF('PIM Ranges'!$AK20='PIM Ranges'!$AW$18,IF($AI22&lt;'PIM Ranges'!$AX$18,"Q1",IF($AI22&lt;'PIM Ranges'!$AY$18,"Q2",IF($AI22&lt;'PIM Ranges'!$AZ$18,"Q3",IF($AI22&lt;'PIM Ranges'!$BA$18,"Q4","Q5")))),IF('PIM Ranges'!$AK20='PIM Ranges'!$AW$19,IF($AI22&lt;'PIM Ranges'!$AX$19,"Q1",IF($AI22&lt;'PIM Ranges'!$AY$19,"Q2",IF($AI22&lt;'PIM Ranges'!$AZ$19,"Q3",IF($AI22&lt;'PIM Ranges'!$BA$19,"Q4","Q5")))),IF('PIM Ranges'!$AK20='PIM Ranges'!$AW$20,IF($AI22&lt;'PIM Ranges'!$AX$20,"Q1",IF($AI22&lt;'PIM Ranges'!$AY$20,"Q2",IF($AI22&lt;'PIM Ranges'!$AZ$20,"Q3",IF($AI22&lt;'PIM Ranges'!$BA$20,"Q4","Q5")))),IF('PIM Ranges'!$AK20='PIM Ranges'!$AW$21,IF($AI22&lt;'PIM Ranges'!$AX$21,"Q1",IF($AI22&lt;'PIM Ranges'!$AY$21,"Q2",IF($AI22&lt;'PIM Ranges'!$AZ$21,"Q3",IF($AI22&lt;'PIM Ranges'!$BA$21,"Q4","Q5")))),IF('PIM Ranges'!$AK20='PIM Ranges'!$AW$22,IF($AI22&lt;'PIM Ranges'!$AX$22,"Q1",IF($AI22&lt;'PIM Ranges'!$AY$22,"Q2",IF($AI22&lt;'PIM Ranges'!$AZ$22,"Q3",IF($AI22&lt;'PIM Ranges'!$BA$22,"Q4","Q5")))),IF('PIM Ranges'!$AK20='PIM Ranges'!$AW$23,IF($AI22&lt;'PIM Ranges'!$AX$23,"Q1",IF($AI22&lt;'PIM Ranges'!$AY$23,"Q2",IF($AI22&lt;'PIM Ranges'!$AZ$23,"Q3",IF($AI22&lt;'PIM Ranges'!$BA$23,"Q4","Q5")))),IF('PIM Ranges'!$AK20='PIM Ranges'!$AW$24,IF($AI22&lt;'PIM Ranges'!$AX$24,"Q1",IF($AI22&lt;'PIM Ranges'!$AY$24,"Q2",IF($AI22&lt;'PIM Ranges'!$AZ$24,"Q3",IF($AI22&lt;'PIM Ranges'!$BA$24,"Q4","Q5")))),IF('PIM Ranges'!$AK20='PIM Ranges'!$AW$25,IF($AI22&lt;'PIM Ranges'!$AX$25,"Q1",IF($AI22&lt;'PIM Ranges'!$AY$25,"Q2",IF($AI22&lt;'PIM Ranges'!$AZ$25,"Q3",IF($AI22&lt;'PIM Ranges'!$BA$25,"Q4","Q5")))),IF('PIM Ranges'!$AK20='PIM Ranges'!$AW$26,IF($AI22&lt;'PIM Ranges'!$AX$26,"Q1",IF($AI22&lt;'PIM Ranges'!$AY$26,"Q2",IF($AI22&lt;'PIM Ranges'!$AZ$26,"Q3",IF($AI22&lt;'PIM Ranges'!$BA$26,"Q4","Q5")))),IF('PIM Ranges'!$AK20='PIM Ranges'!$AW$27,IF($AI22&lt;'PIM Ranges'!$AX$27,"Q1",IF($AI22&lt;'PIM Ranges'!$AY$27,"Q2",IF($AI22&lt;'PIM Ranges'!$AZ$27,"Q3",IF($AI22&lt;'PIM Ranges'!$BA$27,"Q4","Q5")))),IF('PIM Ranges'!$AK20='PIM Ranges'!$AW$28,IF($AI22&lt;'PIM Ranges'!$AX$28,"Q1",IF($AI22&lt;'PIM Ranges'!$AY$28,"Q2",IF($AI22&lt;'PIM Ranges'!$AZ$28,"Q3",IF($AI22&lt;'PIM Ranges'!$BA$28,"Q4","Q5")))),IF('PIM Ranges'!$AK20='PIM Ranges'!$AW$29,IF($AI22&lt;'PIM Ranges'!$AX$29,"Q1",IF($AI22&lt;'PIM Ranges'!$AY$29,"Q2",IF($AI22&lt;'PIM Ranges'!$AZ$29,"Q3",IF($AI22&lt;'PIM Ranges'!$BA$29,"Q4","Q5")))),IF('PIM Ranges'!$AK20='PIM Ranges'!$AW$30,IF($AI22&lt;'PIM Ranges'!$AX$30,"Q1",IF($AI22&lt;'PIM Ranges'!$AY$30,"Q2",IF($AI22&lt;'PIM Ranges'!$AZ$30,"Q3",IF($AI22&lt;'PIM Ranges'!$BA$30,"Q4","Q5")))),IF('PIM Ranges'!$AK20='PIM Ranges'!$AW$31,IF($AI22&lt;'PIM Ranges'!$AX$31,"Q1",IF($AI22&lt;'PIM Ranges'!$AY$31,"Q2",IF($AI22&lt;'PIM Ranges'!$AZ$31,"Q3",IF($AI22&lt;'PIM Ranges'!$BA$31,"Q4","Q5")))),IF('PIM Ranges'!$AK20='PIM Ranges'!$AW$32,IF($AI22&lt;'PIM Ranges'!$AX$32,"Q1",IF($AI22&lt;'PIM Ranges'!$AY$32,"Q2",IF($AI22&lt;'PIM Ranges'!$AZ$32,"Q3",IF($AI22&lt;'PIM Ranges'!$BA$32,"Q4","Q5"))))))))))))))))))))))))))</f>
        <v>Q1</v>
      </c>
      <c r="AN22" s="374">
        <f>VLOOKUP($AH22&amp;$AM22,'IMargin Quartiles'!$A:$F,6,FALSE)</f>
        <v>0.18</v>
      </c>
      <c r="AO22" s="374"/>
      <c r="AP22"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Q22" s="374" t="e">
        <f t="shared" si="25"/>
        <v>#DIV/0!</v>
      </c>
      <c r="AR22">
        <f>'PIM Model'!C18</f>
        <v>0</v>
      </c>
      <c r="AS22" s="374"/>
      <c r="AT22" s="374"/>
      <c r="AU22" s="374" t="e">
        <f t="shared" si="46"/>
        <v>#DIV/0!</v>
      </c>
      <c r="AV22" s="374"/>
      <c r="AW22" s="374"/>
      <c r="AX22" s="106">
        <v>11</v>
      </c>
      <c r="AY22" s="18">
        <f t="array" ref="AY22">IFERROR(IF($BL22="SEGMENT",INDEX('Margin Guidence Table'!$A$1:$AG$10000,MATCH(1,('Margin Guidence Table'!$A$1:$A$10000=$BJ22)*('Margin Guidence Table'!$I$1:$I$10000&lt;=ROUND($BB$3,0))*('Margin Guidence Table'!$J$1:$J$10000&gt;=ROUND($BB$3,0)),0),MATCH("PCT_SALES",'Margin Guidence Table'!$A$1:$AG$1,0)),INDEX('Margin Guidence Table'!$A$1:$AG$10000,MATCH(1,('Margin Guidence Table'!$A$1:$A$10000=$BJ22)*('Margin Guidence Table'!$I$1:$I$10000&lt;=ROUND($BB$3,0))*('Margin Guidence Table'!$J$1:$J$10000&gt;=ROUND($BB$3,0)),0),MATCH("DEFAULT_PCT_SALES",'Margin Guidence Table'!$A$1:$AG$1,0))),0)</f>
        <v>0</v>
      </c>
      <c r="AZ22" s="370" t="e">
        <f t="shared" si="26"/>
        <v>#DIV/0!</v>
      </c>
      <c r="BA22" s="100" t="s">
        <v>96</v>
      </c>
      <c r="BB22" s="92">
        <f>IFERROR(IF(AND($BB$2&lt;&gt;"Enter Spend&gt;&gt;&gt;",BC10="EXISTING"),SUMIFS('Existing Customers'!$Q:$Q,'Existing Customers'!$A:$A,$BB$1,'Existing Customers'!$H:$H,$BA22)*$BB$4,$BB$3*$AZ22),0)</f>
        <v>0</v>
      </c>
      <c r="BC22" s="93">
        <f>IFERROR(IF(AND($BB$2&lt;&gt;"Enter Spend&gt;&gt;&gt;",BC2="EXISTING"),SUMIFS('Existing Customers'!$N:$N,'Existing Customers'!$A:$A,$BB$1,'Existing Customers'!$H:$H,$BA22)*$BB$4,$BB22/$BM22),0)</f>
        <v>0</v>
      </c>
      <c r="BD22" s="93">
        <f>IFERROR(IF(AND($BB$2&lt;&gt;"Enter Spend&gt;&gt;&gt;",BC2="EXISTING"),SUMIFS('Existing Customers'!$O:$O,'Existing Customers'!$H:$H,$BA22,'Existing Customers'!$A:$A,$BB$1)*$BB$4,$BC22*$BB$8),0)</f>
        <v>0</v>
      </c>
      <c r="BE22" s="93">
        <f>IFERROR(IF(AND($BB$2&lt;&gt;"Enter Spend&gt;&gt;&gt;",BC2="EXISTING"),SUMIFS('Existing Customers'!$P:$P,'Existing Customers'!$A:$A,$BB$1,'Existing Customers'!$H:$H,$BA22)*$BB$4,$BB22/$BN22),0)</f>
        <v>0</v>
      </c>
      <c r="BF22" s="376">
        <f>IFERROR(IF(AND($BB$2&lt;&gt;"Enter Spend&gt;&gt;&gt;",BC2="EXISTING"),SUMIFS('Existing Customers'!$V:$V,'Existing Customers'!$H:$H,$BA22,'Existing Customers'!$A:$A,$BB$1)*$BB$4,0),0)</f>
        <v>0</v>
      </c>
      <c r="BG22" s="94">
        <f>IFERROR(IF(AND($BB$2&lt;&gt;"Enter Spend&gt;&gt;&gt;",BC2="EXISTING"),SUMIFS('Existing Customers'!$R:$R,'Existing Customers'!$H:$H,$BA22,'Existing Customers'!$A:$A,$BB$1)*$BB$4,0),0)</f>
        <v>0</v>
      </c>
      <c r="BH22" s="94">
        <f>IFERROR(IF(AND($BB$2&lt;&gt;"Enter Spend&gt;&gt;&gt;",BC2="EXISTING"),SUMIFS('Existing Customers'!$S:$S,'Existing Customers'!$H:$H,$BA22,'Existing Customers'!$A:$A,$BB$1),BR22*BB22),0)</f>
        <v>0</v>
      </c>
      <c r="BI22" s="94">
        <f>IFERROR(IF(AND($BB$2&lt;&gt;"Enter Spend&gt;&gt;&gt;",BC2="EXISTING"),SUMIFS('Existing Customers'!$U:$U,'Existing Customers'!$H:$H,$BA22,'Existing Customers'!$A:$A,$BB$1),BS22*BB22),0)</f>
        <v>0</v>
      </c>
      <c r="BJ22" s="1052" t="e">
        <f>_xlfn.CONCAT('Customer Inputs'!$AG$6,"_",BA22)</f>
        <v>#N/A</v>
      </c>
      <c r="BK22" s="1053">
        <f t="array" ref="BK22">IFERROR(INDEX('Margin Guidence Table'!$A$1:$AG$10000,MATCH(1,('Margin Guidence Table'!$A$1:$A$10000=$BJ22)*('Margin Guidence Table'!$I$1:$I$10000&lt;=ROUND($BB$3,0))*('Margin Guidence Table'!$J$1:$J$10000&gt;=ROUND($BB$3,0)),0),MATCH("DATA_POINTS",'Margin Guidence Table'!$A$1:$AG$1,0)),0)</f>
        <v>0</v>
      </c>
      <c r="BL22" s="1050" t="str">
        <f t="shared" si="27"/>
        <v>DEFAULT</v>
      </c>
      <c r="BM22" s="1050">
        <f t="array" ref="BM22">IFERROR(IF($BL22="SEGMENT",INDEX('Margin Guidence Table'!$A$1:$AG$10000,MATCH(1,('Margin Guidence Table'!$A$1:$A$10000=$BJ22)*('Margin Guidence Table'!$I$1:$I$10000&lt;=ROUND($BB$3,0))*('Margin Guidence Table'!$J$1:$J$10000&gt;=ROUND($BB$3,0)),0),MATCH("SALES_CASE",'Margin Guidence Table'!$A$1:$AG$1,0)),INDEX('Margin Guidence Table'!$A$1:$AG$10000,MATCH(1,('Margin Guidence Table'!$A$1:$A$10000=$BJ22)*('Margin Guidence Table'!$I$1:$I$10000&lt;=ROUND($BB$3,0))*('Margin Guidence Table'!$J$1:$J$10000&gt;=ROUND($BB$3,0)),0),MATCH("DEFAULT_SALES_CASE",'Margin Guidence Table'!$A$1:$AG$1,0))),0)</f>
        <v>0</v>
      </c>
      <c r="BN22" s="1050">
        <f t="array" ref="BN22">IFERROR(IF($BL22="SEGMENT",INDEX('Margin Guidence Table'!$A$1:$AG$10000,MATCH(1,('Margin Guidence Table'!$A$1:$A$10000=$BJ22)*('Margin Guidence Table'!$I$1:$I$10000&lt;=ROUND($BB$3,0))*('Margin Guidence Table'!$J$1:$J$10000&gt;=ROUND($BB$3,0)),0),MATCH("SALES_LBS",'Margin Guidence Table'!$A$1:$AG$1,0)),INDEX('Margin Guidence Table'!$A$1:$AG$10000,MATCH(1,('Margin Guidence Table'!$A$1:$A$10000=$BJ22)*('Margin Guidence Table'!$I$1:$I$10000&lt;=ROUND($BB$3,0))*('Margin Guidence Table'!$J$1:$J$10000&gt;=ROUND($BB$3,0)),0),MATCH("DEFAULT_SALES_LBS",'Margin Guidence Table'!$A$1:$AG$1,0))),0)</f>
        <v>0</v>
      </c>
      <c r="BO22" s="1054">
        <f t="array" ref="BO22">IFERROR(IF($BL22="SEGMENT",INDEX('Margin Guidence Table'!$A$1:$AG$10000,MATCH(1,('Margin Guidence Table'!$A$1:$A$10000=$BJ22)*('Margin Guidence Table'!$I$1:$I$10000&lt;=ROUND($BB$3,0))*('Margin Guidence Table'!$J$1:$J$10000&gt;=ROUND($BB$3,0)),0),MATCH("MDA_MIN_MARGIN_GUIDENCE",'Margin Guidence Table'!$A$1:$AG$1,0)),INDEX('Margin Guidence Table'!$A$1:$AG$10000,MATCH(1,('Margin Guidence Table'!$A$1:$A$10000=$BJ22)*('Margin Guidence Table'!$I$1:$I$10000&lt;=ROUND($BB$3,0))*('Margin Guidence Table'!$J$1:$J$10000&gt;=ROUND($BB$3,0)),0),MATCH("DEFAULT_MDA_MIN_MARGIN_GUIDENCE",'Margin Guidence Table'!$A$1:$AG$1,0))),0)</f>
        <v>0</v>
      </c>
      <c r="BP22" s="1054">
        <f t="array" ref="BP22">IFERROR(IF($BL22="SEGMENT",INDEX('Margin Guidence Table'!$A$1:$AG$10000,MATCH(1,('Margin Guidence Table'!$A$1:$A$10000=$BJ22)*('Margin Guidence Table'!$I$1:$I$10000&lt;=ROUND($BB$3,0))*('Margin Guidence Table'!$J$1:$J$10000&gt;=ROUND($BB$3,0)),0),MATCH("MDA_MEDIAN_MARGIN_GUIDENCE",'Margin Guidence Table'!$A$1:$AG$1,0)),INDEX('Margin Guidence Table'!$A$1:$AG$10000,MATCH(1,('Margin Guidence Table'!$A$1:$A$10000=$BJ22)*('Margin Guidence Table'!$I$1:$I$10000&lt;=ROUND($BB$3,0))*('Margin Guidence Table'!$J$1:$J$10000&gt;=ROUND($BB$3,0)),0),MATCH("DEFAULT_MDA_MEDIAN_MARGIN_GUIDENCE",'Margin Guidence Table'!$A$1:$AG$1,0))),0)</f>
        <v>0</v>
      </c>
      <c r="BQ22" s="1054">
        <f t="array" ref="BQ22">IFERROR(IF($BL22="SEGMENT",INDEX('Margin Guidence Table'!$A$1:$AG$10000,MATCH(1,('Margin Guidence Table'!$A$1:$A$10000=$BJ22)*('Margin Guidence Table'!$I$1:$I$10000&lt;=ROUND($BB$3,0))*('Margin Guidence Table'!$J$1:$J$10000&gt;=ROUND($BB$3,0)),0),MATCH("MDA_MAX_MARGIN_GUIDENCE",'Margin Guidence Table'!$A$1:$AG$1,0)),INDEX('Margin Guidence Table'!$A$1:$AG$10000,MATCH(1,('Margin Guidence Table'!$A$1:$A$10000=$BJ22)*('Margin Guidence Table'!$I$1:$I$10000&lt;=ROUND($BB$3,0))*('Margin Guidence Table'!$J$1:$J$10000&gt;=ROUND($BB$3,0)),0),MATCH("DEFAULT_MDA_MAX_MARGIN_GUIDENCE",'Margin Guidence Table'!$A$1:$AG$1,0))),0)</f>
        <v>0</v>
      </c>
      <c r="BR22" s="1054">
        <f t="array" ref="BR22">IFERROR(IF($BL22="SEGMENT",INDEX('Margin Guidence Table'!$A$1:$AG$10000,MATCH(1,('Margin Guidence Table'!$A$1:$A$10000=$BJ22)*('Margin Guidence Table'!$I$1:$I$10000&lt;=ROUND($BB$3,0))*('Margin Guidence Table'!$J$1:$J$10000&gt;=ROUND($BB$3,0)),0),MATCH("PA_PCT_SALES",'Margin Guidence Table'!$A$1:$AG$1,0)),INDEX('Margin Guidence Table'!$A$1:$AG$10000,MATCH(1,('Margin Guidence Table'!$A$1:$A$10000=$BJ22)*('Margin Guidence Table'!$I$1:$I$10000&lt;=ROUND($BB$3,0))*('Margin Guidence Table'!$J$1:$J$10000&gt;=ROUND($BB$3,0)),0),MATCH("DEFAULT_PA_PCT_SALES",'Margin Guidence Table'!$A$1:$AG$1,0))),0)</f>
        <v>0</v>
      </c>
      <c r="BS22" s="1054">
        <f t="array" ref="BS22">IFERROR(IF($BL22="SEGMENT",INDEX('Margin Guidence Table'!$A$1:$AG$10000,MATCH(1,('Margin Guidence Table'!$A$1:$A$10000=$BJ22)*('Margin Guidence Table'!$I$1:$I$10000&lt;=ROUND($BB$3,0))*('Margin Guidence Table'!$J$1:$J$10000&gt;=ROUND($BB$3,0)),0),MATCH("SELF_FUND_PCT_SALES",'Margin Guidence Table'!$A$1:$AG$1,0)),INDEX('Margin Guidence Table'!$A$1:$AG$10000,MATCH(1,('Margin Guidence Table'!$A$1:$A$10000=$BJ22)*('Margin Guidence Table'!$I$1:$I$10000&lt;=ROUND($BB$3,0))*('Margin Guidence Table'!$J$1:$J$10000&gt;=ROUND($BB$3,0)),0),MATCH("DEFAULT_SELF_FUND_PCT_SALES",'Margin Guidence Table'!$A$1:$AG$1,0))),0)</f>
        <v>0</v>
      </c>
      <c r="BT22" s="1054">
        <f t="array" ref="BT22">IFERROR(IF($BL22="SEGMENT",INDEX('Margin Guidence Table'!$A$1:$AG$10000,MATCH(1,('Margin Guidence Table'!$A$1:$A$10000=$BJ22)*('Margin Guidence Table'!$I$1:$I$10000&lt;=ROUND($BB$3,0))*('Margin Guidence Table'!$J$1:$J$10000&gt;=ROUND($BB$3,0)),0),MATCH("CIA_MEDIAN_MARGIN_GUIDENCE",'Margin Guidence Table'!$A$1:$AG$1,0)),INDEX('Margin Guidence Table'!$A$1:$AG$10000,MATCH(1,('Margin Guidence Table'!$A$1:$A$10000=$BJ22)*('Margin Guidence Table'!$I$1:$I$10000&lt;=ROUND($BB$3,0))*('Margin Guidence Table'!$J$1:$J$10000&gt;=ROUND($BB$3,0)),0),MATCH("DEFAULT_CIA_MEDIAN_MARGIN_GUIDENCE",'Margin Guidence Table'!$A$1:$AG$1,0))),0)</f>
        <v>0</v>
      </c>
      <c r="BU22" s="127"/>
      <c r="BV22" s="18">
        <f t="array" ref="BV22">IFERROR(IF($CI22="SEGMENT",INDEX('Margin Guidence Table'!$A$1:$AG$10000,MATCH(1,('Margin Guidence Table'!$A$1:$A$10000=$CG22)*('Margin Guidence Table'!$I$1:$I$10000&lt;=ROUND($BY$3,0))*('Margin Guidence Table'!$J$1:$J$10000&gt;=ROUND($BY$3,0)),0),MATCH("PCT_SALES",'Margin Guidence Table'!$A$1:$AG$1,0)),INDEX('Margin Guidence Table'!$A$1:$AG$10000,MATCH(1,('Margin Guidence Table'!$A$1:$A$10000=$CG22)*('Margin Guidence Table'!$I$1:$I$10000&lt;=ROUND($BY$3,0))*('Margin Guidence Table'!$J$1:$J$10000&gt;=ROUND($BY$3,0)),0),MATCH("DEFAULT_PCT_SALES",'Margin Guidence Table'!$A$1:$AG$1,0))),0)</f>
        <v>0</v>
      </c>
      <c r="BW22" s="370" t="e">
        <f t="shared" si="28"/>
        <v>#DIV/0!</v>
      </c>
      <c r="BX22" s="100" t="s">
        <v>96</v>
      </c>
      <c r="BY22" s="92">
        <f>IFERROR(IF(AND($BY$2&lt;&gt;"Enter Spend&gt;&gt;&gt;",BZ10="EXISTING"),SUMIFS('Existing Customers'!$Q:$Q,'Existing Customers'!$A:$A,$BY$1,'Existing Customers'!$H:$H,$BX22)*$BY$4,$BY$3*$BW22),0)</f>
        <v>0</v>
      </c>
      <c r="BZ22" s="87">
        <f>IFERROR(IF(AND($BY$2&lt;&gt;"Enter Spend&gt;&gt;&gt;",BZ2="EXISTING"),SUMIFS('Existing Customers'!$N:$N,'Existing Customers'!$A:$A,$BY$1,'Existing Customers'!$H:$H,$BX22)*$BY$4,$BY22/$CJ22),0)</f>
        <v>0</v>
      </c>
      <c r="CA22" s="93">
        <f>IFERROR(IF(AND($BY$2&lt;&gt;"Enter Spend&gt;&gt;&gt;",BZ2="EXISTING"),SUMIFS('Existing Customers'!$O:$O,'Existing Customers'!$H:$H,$BX22,'Existing Customers'!$A:$A,$BY$1)*$BY$4,$BZ22*$BY$8),0)</f>
        <v>0</v>
      </c>
      <c r="CB22" s="93">
        <f>IFERROR(IF(AND($BY$2&lt;&gt;"Enter Spend&gt;&gt;&gt;",BZ2="EXISTING"),SUMIFS('Existing Customers'!$P:$P,'Existing Customers'!$A:$A,$BY$1,'Existing Customers'!$H:$H,$BX22)*$BY$4,$BY22/$CK22),0)</f>
        <v>0</v>
      </c>
      <c r="CC22" s="94">
        <f>IFERROR(IF(AND($BY$2&lt;&gt;"Enter Spend&gt;&gt;&gt;",BZ2="EXISTING"),SUMIFS('Existing Customers'!$V:$V,'Existing Customers'!$H:$H,$BX22,'Existing Customers'!$A:$A,$BY$1)*$BY$4,0),0)</f>
        <v>0</v>
      </c>
      <c r="CD22" s="94">
        <f>IFERROR(IF(AND($BY$2&lt;&gt;"Enter Spend&gt;&gt;&gt;",BZ2="EXISTING"),SUMIFS('Existing Customers'!$R:$R,'Existing Customers'!$H:$H,$BX22,'Existing Customers'!$A:$A,$BY$1)*$BY$4,0),0)</f>
        <v>0</v>
      </c>
      <c r="CE22" s="1050">
        <f>IFERROR(IF(AND($BY$2&lt;&gt;"Enter Spend&gt;&gt;&gt;",BZ2="EXISTING"),SUMIFS('Existing Customers'!$S:$S,'Existing Customers'!$H:$H,$BX22,'Existing Customers'!$A:$A,$BY$1),CO22*BY22),0)</f>
        <v>0</v>
      </c>
      <c r="CF22" s="1050">
        <f>IFERROR(IF(AND($BY$2&lt;&gt;"Enter Spend&gt;&gt;&gt;",BZ2="EXISTING"),SUMIFS('Existing Customers'!$U:$U,'Existing Customers'!$H:$H,$BX22,'Existing Customers'!$A:$A,$BY$1),CP22*BY22),0)</f>
        <v>0</v>
      </c>
      <c r="CG22" s="1053" t="e">
        <f>_xlfn.CONCAT('Customer Inputs'!$AG$7,"_",BX22)</f>
        <v>#N/A</v>
      </c>
      <c r="CH22" s="1053">
        <f t="array" ref="CH22">IFERROR(INDEX('Margin Guidence Table'!$A$1:$AG$10000,MATCH(1,('Margin Guidence Table'!$A$1:$A$10000=$CG22)*('Margin Guidence Table'!$I$1:$I$10000&lt;=ROUND($BY$3,0))*('Margin Guidence Table'!$J$1:$J$10000&gt;=ROUND($BY$3,0)),0),MATCH("DATA_POINTS",'Margin Guidence Table'!$A$1:$AG$1,0)),0)</f>
        <v>0</v>
      </c>
      <c r="CI22" s="1050" t="str">
        <f t="shared" si="29"/>
        <v>DEFAULT</v>
      </c>
      <c r="CJ22" s="1050">
        <f t="array" ref="CJ22">IFERROR(IF($CI22="SEGMENT",INDEX('Margin Guidence Table'!$A$1:$AG$10000,MATCH(1,('Margin Guidence Table'!$A$1:$A$10000=$CG22)*('Margin Guidence Table'!$I$1:$I$10000&lt;=ROUND($BY$3,0))*('Margin Guidence Table'!$J$1:$J$10000&gt;=ROUND($BY$3,0)),0),MATCH("SALES_CASE",'Margin Guidence Table'!$A$1:$AG$1,0)),INDEX('Margin Guidence Table'!$A$1:$AG$10000,MATCH(1,('Margin Guidence Table'!$A$1:$A$10000=$CG22)*('Margin Guidence Table'!$I$1:$I$10000&lt;=ROUND($BY$3,0))*('Margin Guidence Table'!$J$1:$J$10000&gt;=ROUND($BY$3,0)),0),MATCH("DEFAULT_SALES_CASE",'Margin Guidence Table'!$A$1:$AG$1,0))),0)</f>
        <v>0</v>
      </c>
      <c r="CK22" s="1050">
        <f t="array" ref="CK22">IFERROR(IF($CI22="SEGMENT",INDEX('Margin Guidence Table'!$A$1:$AG$10000,MATCH(1,('Margin Guidence Table'!$A$1:$A$10000=$CG22)*('Margin Guidence Table'!$I$1:$I$10000&lt;=ROUND($BY$3,0))*('Margin Guidence Table'!$J$1:$J$10000&gt;=ROUND($BY$3,0)),0),MATCH("SALES_LBS",'Margin Guidence Table'!$A$1:$AG$1,0)),INDEX('Margin Guidence Table'!$A$1:$AG$10000,MATCH(1,('Margin Guidence Table'!$A$1:$A$10000=$CG22)*('Margin Guidence Table'!$I$1:$I$10000&lt;=ROUND($BY$3,0))*('Margin Guidence Table'!$J$1:$J$10000&gt;=ROUND($BY$3,0)),0),MATCH("DEFAULT_SALES_LBS",'Margin Guidence Table'!$A$1:$AG$1,0))),0)</f>
        <v>0</v>
      </c>
      <c r="CL22" s="1054">
        <f t="array" ref="CL22">IFERROR(IF($CI22="SEGMENT",INDEX('Margin Guidence Table'!$A$1:$AG$10000,MATCH(1,('Margin Guidence Table'!$A$1:$A$10000=$CG22)*('Margin Guidence Table'!$I$1:$I$10000&lt;=ROUND($BY$3,0))*('Margin Guidence Table'!$J$1:$J$10000&gt;=ROUND($BY$3,0)),0),MATCH("MDA_MIN_MARGIN_GUIDENCE",'Margin Guidence Table'!$A$1:$AG$1,0)),INDEX('Margin Guidence Table'!$A$1:$AG$10000,MATCH(1,('Margin Guidence Table'!$A$1:$A$10000=$CG22)*('Margin Guidence Table'!$I$1:$I$10000&lt;=ROUND($BY$3,0))*('Margin Guidence Table'!$J$1:$J$10000&gt;=ROUND($BY$3,0)),0),MATCH("DEFAULT_MDA_MIN_MARGIN_GUIDENCE",'Margin Guidence Table'!$A$1:$AG$1,0))),0)</f>
        <v>0</v>
      </c>
      <c r="CM22" s="1054">
        <f t="array" ref="CM22">IFERROR(IF($CI22="SEGMENT",INDEX('Margin Guidence Table'!$A$1:$AG$10000,MATCH(1,('Margin Guidence Table'!$A$1:$A$10000=$CG22)*('Margin Guidence Table'!$I$1:$I$10000&lt;=ROUND($BY$3,0))*('Margin Guidence Table'!$J$1:$J$10000&gt;=ROUND($BY$3,0)),0),MATCH("MDA_MEDIAN_MARGIN_GUIDENCE",'Margin Guidence Table'!$A$1:$AG$1,0)),INDEX('Margin Guidence Table'!$A$1:$AG$10000,MATCH(1,('Margin Guidence Table'!$A$1:$A$10000=$CG22)*('Margin Guidence Table'!$I$1:$I$10000&lt;=ROUND($BY$3,0))*('Margin Guidence Table'!$J$1:$J$10000&gt;=ROUND($BY$3,0)),0),MATCH("DEFAULT_MDA_MEDIAN_MARGIN_GUIDENCE",'Margin Guidence Table'!$A$1:$AG$1,0))),0)</f>
        <v>0</v>
      </c>
      <c r="CN22" s="1054">
        <f t="array" ref="CN22">IFERROR(IF($CI22="SEGMENT",INDEX('Margin Guidence Table'!$A$1:$AG$10000,MATCH(1,('Margin Guidence Table'!$A$1:$A$10000=$CG22)*('Margin Guidence Table'!$I$1:$I$10000&lt;=ROUND($BY$3,0))*('Margin Guidence Table'!$J$1:$J$10000&gt;=ROUND($BY$3,0)),0),MATCH("MDA_MAX_MARGIN_GUIDENCE",'Margin Guidence Table'!$A$1:$AG$1,0)),INDEX('Margin Guidence Table'!$A$1:$AG$10000,MATCH(1,('Margin Guidence Table'!$A$1:$A$10000=$CG22)*('Margin Guidence Table'!$I$1:$I$10000&lt;=ROUND($BY$3,0))*('Margin Guidence Table'!$J$1:$J$10000&gt;=ROUND($BY$3,0)),0),MATCH("DEFAULT_MDA_MAX_MARGIN_GUIDENCE",'Margin Guidence Table'!$A$1:$AG$1,0))),0)</f>
        <v>0</v>
      </c>
      <c r="CO22" s="1054">
        <f t="array" ref="CO22">IFERROR(IF($CI22="SEGMENT",INDEX('Margin Guidence Table'!$A$1:$AG$10000,MATCH(1,('Margin Guidence Table'!$A$1:$A$10000=$CG22)*('Margin Guidence Table'!$I$1:$I$10000&lt;=ROUND($BY$3,0))*('Margin Guidence Table'!$J$1:$J$10000&gt;=ROUND($BY$3,0)),0),MATCH("PA_PCT_SALES",'Margin Guidence Table'!$A$1:$AG$1,0)),INDEX('Margin Guidence Table'!$A$1:$AG$10000,MATCH(1,('Margin Guidence Table'!$A$1:$A$10000=$CG22)*('Margin Guidence Table'!$I$1:$I$10000&lt;=ROUND($BY$3,0))*('Margin Guidence Table'!$J$1:$J$10000&gt;=ROUND($BY$3,0)),0),MATCH("DEFAULT_PA_PCT_SALES",'Margin Guidence Table'!$A$1:$AG$1,0))),0)</f>
        <v>0</v>
      </c>
      <c r="CP22" s="1054">
        <f t="array" ref="CP22">IFERROR(IF($CI22="SEGMENT",INDEX('Margin Guidence Table'!$A$1:$AG$10000,MATCH(1,('Margin Guidence Table'!$A$1:$A$10000=$CG22)*('Margin Guidence Table'!$I$1:$I$10000&lt;=ROUND($BY$3,0))*('Margin Guidence Table'!$J$1:$J$10000&gt;=ROUND($BY$3,0)),0),MATCH("SELF_FUND_PCT_SALES",'Margin Guidence Table'!$A$1:$AG$1,0)),INDEX('Margin Guidence Table'!$A$1:$AG$10000,MATCH(1,('Margin Guidence Table'!$A$1:$A$10000=$CG22)*('Margin Guidence Table'!$I$1:$I$10000&lt;=ROUND($BY$3,0))*('Margin Guidence Table'!$J$1:$J$10000&gt;=ROUND($BY$3,0)),0),MATCH("DEFAULT_SELF_FUND_PCT_SALES",'Margin Guidence Table'!$A$1:$AG$1,0))),0)</f>
        <v>0</v>
      </c>
      <c r="CQ22" s="1054">
        <f t="array" ref="CQ22">IFERROR(IF($CI22="SEGMENT",INDEX('Margin Guidence Table'!$A$1:$AG$10000,MATCH(1,('Margin Guidence Table'!$A$1:$A$10000=$CG22)*('Margin Guidence Table'!$I$1:$I$10000&lt;=ROUND($BY$3,0))*('Margin Guidence Table'!$J$1:$J$10000&gt;=ROUND($BY$3,0)),0),MATCH("CIA_MEDIAN_MARGIN_GUIDENCE",'Margin Guidence Table'!$A$1:$AG$1,0)),INDEX('Margin Guidence Table'!$A$1:$AG$10000,MATCH(1,('Margin Guidence Table'!$A$1:$A$10000=$CG22)*('Margin Guidence Table'!$I$1:$I$10000&lt;=ROUND($BY$3,0))*('Margin Guidence Table'!$J$1:$J$10000&gt;=ROUND($BY$3,0)),0),MATCH("DEFAULT_CIA_MEDIAN_MARGIN_GUIDENCE",'Margin Guidence Table'!$A$1:$AG$1,0))),0)</f>
        <v>0</v>
      </c>
      <c r="CR22" s="127"/>
      <c r="CS22" s="18">
        <f t="array" ref="CS22">IFERROR(IF($DF22="SEGMENT",INDEX('Margin Guidence Table'!$A$1:$AG$10000,MATCH(1,('Margin Guidence Table'!$A$1:$A$10000=$DD22)*('Margin Guidence Table'!$I$1:$I$10000&lt;=ROUND($CV$3,0))*('Margin Guidence Table'!$J$1:$J$10000&gt;=ROUND($CV$3,0)),0),MATCH("PCT_SALES",'Margin Guidence Table'!$A$1:$AG$1,0)),INDEX('Margin Guidence Table'!$A$1:$AG$10000,MATCH(1,('Margin Guidence Table'!$A$1:$A$10000=$DD22)*('Margin Guidence Table'!$I$1:$I$10000&lt;=ROUND($CV$3,0))*('Margin Guidence Table'!$J$1:$J$10000&gt;=ROUND($CV$3,0)),0),MATCH("DEFAULT_PCT_SALES",'Margin Guidence Table'!$A$1:$AG$1,0))),0)</f>
        <v>0</v>
      </c>
      <c r="CT22" s="370" t="e">
        <f t="shared" si="30"/>
        <v>#DIV/0!</v>
      </c>
      <c r="CU22" s="100" t="s">
        <v>96</v>
      </c>
      <c r="CV22" s="92">
        <f>IFERROR(IF(AND($CV$2&lt;&gt;"Enter Spend&gt;&gt;&gt;",CW10="EXISTING"),SUMIFS('Existing Customers'!$Q:$Q,'Existing Customers'!$A:$A,$CV$1,'Existing Customers'!$H:$H,$CU22)*$CV$4,$CV$3*$CT22),0)</f>
        <v>0</v>
      </c>
      <c r="CW22" s="87">
        <f>IFERROR(IF(AND($CV$2&lt;&gt;"Enter Spend&gt;&gt;&gt;",CW2="EXISTING"),SUMIFS('Existing Customers'!$N:$N,'Existing Customers'!$A:$A,$CV$1,'Existing Customers'!$H:$H,$CU22)*$CV$4,$CV22/$DG22),0)</f>
        <v>0</v>
      </c>
      <c r="CX22" s="93">
        <f>IFERROR(IF(AND($CV$2&lt;&gt;"Enter Spend&gt;&gt;&gt;",BC28="EXISTING"),SUMIFS('Existing Customers'!$O:$O,'Existing Customers'!$H:$H,$CU22,'Existing Customers'!$A:$A,$CV$1)*$CV$4,$CW22*$CV$8),0)</f>
        <v>0</v>
      </c>
      <c r="CY22" s="93">
        <f>IFERROR(IF(AND($CV$2&lt;&gt;"Enter Spend&gt;&gt;&gt;",CW2="EXISTING"),SUMIFS('Existing Customers'!$P:$P,'Existing Customers'!$A:$A,$CV$1,'Existing Customers'!$H:$H,$CU22)*$CV$4,$CV22/$DH22),0)</f>
        <v>0</v>
      </c>
      <c r="CZ22" s="94">
        <f>IFERROR(IF(AND($CV$2&lt;&gt;"Enter Spend&gt;&gt;&gt;",CW2="EXISTING"),SUMIFS('Existing Customers'!$V:$V,'Existing Customers'!$H:$H,$CU22,'Existing Customers'!$A:$A,$CV$1)*$CV$4,0),0)</f>
        <v>0</v>
      </c>
      <c r="DA22" s="94">
        <f>IFERROR(IF(AND($CV$2&lt;&gt;"Enter Spend&gt;&gt;&gt;",CW2="EXISTING"),SUMIFS('Existing Customers'!$R:$R,'Existing Customers'!$H:$H,$BA22,'Existing Customers'!$A:$A,$CV$1)*$CV$4,0),0)</f>
        <v>0</v>
      </c>
      <c r="DB22" s="1050">
        <f>IFERROR(IF(AND($CV$2&lt;&gt;"Enter Spend&gt;&gt;&gt;",CW2="EXISTING"),SUMIFS('Existing Customers'!$S:$S,'Existing Customers'!$H:$H,$CU22,'Existing Customers'!$A:$A,$CV$1),DL22*CV22),0)</f>
        <v>0</v>
      </c>
      <c r="DC22" s="1050">
        <f>IFERROR(IF(AND($CV$2&lt;&gt;"Enter Spend&gt;&gt;&gt;",CW2="EXISTING"),SUMIFS('Existing Customers'!$U:$U,'Existing Customers'!$H:$H,$CU22,'Existing Customers'!$A:$A,$CV$1),DM22*CV22),0)</f>
        <v>0</v>
      </c>
      <c r="DD22" s="1053" t="e">
        <f>_xlfn.CONCAT('Customer Inputs'!$AG$8,"_",CU22)</f>
        <v>#N/A</v>
      </c>
      <c r="DE22" s="1053">
        <f t="array" ref="DE22">IFERROR(INDEX('Margin Guidence Table'!$A$1:$AG$10000,MATCH(1,('Margin Guidence Table'!$A$1:$A$10000=DD22)*('Margin Guidence Table'!$I$1:$I$10000&lt;=ROUND($CV$3,0))*('Margin Guidence Table'!$J$1:$J$10000&gt;=ROUND($CV$3,0)),0),MATCH("DATA_POINTS",'Margin Guidence Table'!$A$1:$AG$1,0)),0)</f>
        <v>0</v>
      </c>
      <c r="DF22" s="1050" t="str">
        <f t="shared" si="31"/>
        <v>DEFAULT</v>
      </c>
      <c r="DG22" s="1050">
        <f t="array" ref="DG22">IFERROR(IF($DF22="SEGMENT",INDEX('Margin Guidence Table'!$A$1:$AG$10000,MATCH(1,('Margin Guidence Table'!$A$1:$A$10000=DD22)*('Margin Guidence Table'!$I$1:$I$10000&lt;=ROUND($CV$3,0))*('Margin Guidence Table'!$J$1:$J$10000&gt;=ROUND($CV$3,0)),0),MATCH("SALES_CASE",'Margin Guidence Table'!$A$1:$AG$1,0)),INDEX('Margin Guidence Table'!$A$1:$AG$10000,MATCH(1,('Margin Guidence Table'!$A$1:$A$10000=DD22)*('Margin Guidence Table'!$I$1:$I$10000&lt;=ROUND($CV$3,0))*('Margin Guidence Table'!$J$1:$J$10000&gt;=ROUND($CV$3,0)),0),MATCH("DEFAULT_SALES_CASE",'Margin Guidence Table'!$A$1:$AG$1,0))),0)</f>
        <v>0</v>
      </c>
      <c r="DH22" s="1050">
        <f t="array" ref="DH22">IFERROR(IF($DF22="SEGMENT",INDEX('Margin Guidence Table'!$A$1:$AG$10000,MATCH(1,('Margin Guidence Table'!$A$1:$A$10000=DD22)*('Margin Guidence Table'!$I$1:$I$10000&lt;=ROUND($CV$3,0))*('Margin Guidence Table'!$J$1:$J$10000&gt;=ROUND($CV$3,0)),0),MATCH("SALES_LBS",'Margin Guidence Table'!$A$1:$AG$1,0)),INDEX('Margin Guidence Table'!$A$1:$AG$10000,MATCH(1,('Margin Guidence Table'!$A$1:$A$10000=DD22)*('Margin Guidence Table'!$I$1:$I$10000&lt;=ROUND($CV$3,0))*('Margin Guidence Table'!$J$1:$J$10000&gt;=ROUND($CV$3,0)),0),MATCH("DEFAULT_SALES_LBS",'Margin Guidence Table'!$A$1:$AG$1,0))),0)</f>
        <v>0</v>
      </c>
      <c r="DI22" s="1054">
        <f t="array" ref="DI22">IFERROR(IF($DF22="SEGMENT",INDEX('Margin Guidence Table'!$A$1:$AG$10000,MATCH(1,('Margin Guidence Table'!$A$1:$A$10000=DD22)*('Margin Guidence Table'!$I$1:$I$10000&lt;=ROUND($CV$3,0))*('Margin Guidence Table'!$J$1:$J$10000&gt;=ROUND($CV$3,0)),0),MATCH("MDA_MIN_MARGIN_GUIDENCE",'Margin Guidence Table'!$A$1:$AG$1,0)),INDEX('Margin Guidence Table'!$A$1:$AG$10000,MATCH(1,('Margin Guidence Table'!$A$1:$A$10000=DD22)*('Margin Guidence Table'!$I$1:$I$10000&lt;=ROUND($CV$3,0))*('Margin Guidence Table'!$J$1:$J$10000&gt;=ROUND($CV$3,0)),0),MATCH("DEFAULT_MDA_MIN_MARGIN_GUIDENCE",'Margin Guidence Table'!$A$1:$AG$1,0))),0)</f>
        <v>0</v>
      </c>
      <c r="DJ22" s="1054">
        <f t="array" ref="DJ22">IFERROR(IF($DF22="SEGMENT",INDEX('Margin Guidence Table'!$A$1:$AG$10000,MATCH(1,('Margin Guidence Table'!$A$1:$A$10000=DD22)*('Margin Guidence Table'!$I$1:$I$10000&lt;=ROUND($CV$3,0))*('Margin Guidence Table'!$J$1:$J$10000&gt;=ROUND($CV$3,0)),0),MATCH("MDA_MEDIAN_MARGIN_GUIDENCE",'Margin Guidence Table'!$A$1:$AG$1,0)),INDEX('Margin Guidence Table'!$A$1:$AG$10000,MATCH(1,('Margin Guidence Table'!$A$1:$A$10000=DD22)*('Margin Guidence Table'!$I$1:$I$10000&lt;=ROUND($CV$3,0))*('Margin Guidence Table'!$J$1:$J$10000&gt;=ROUND($CV$3,0)),0),MATCH("DEFAULT_MDA_MEDIAN_MARGIN_GUIDENCE",'Margin Guidence Table'!$A$1:$AG$1,0))),0)</f>
        <v>0</v>
      </c>
      <c r="DK22" s="1054">
        <f t="array" ref="DK22">IFERROR(IF($DF22="SEGMENT",INDEX('Margin Guidence Table'!$A$1:$AG$10000,MATCH(1,('Margin Guidence Table'!$A$1:$A$10000=DD22)*('Margin Guidence Table'!$I$1:$I$10000&lt;=ROUND($CV$3,0))*('Margin Guidence Table'!$J$1:$J$10000&gt;=ROUND($CV$3,0)),0),MATCH("MDA_MAX_MARGIN_GUIDENCE",'Margin Guidence Table'!$A$1:$AG$1,0)),INDEX('Margin Guidence Table'!$A$1:$AG$10000,MATCH(1,('Margin Guidence Table'!$A$1:$A$10000=DD22)*('Margin Guidence Table'!$I$1:$I$10000&lt;=ROUND($CV$3,0))*('Margin Guidence Table'!$J$1:$J$10000&gt;=ROUND($CV$3,0)),0),MATCH("DEFAULT_MDA_MAX_MARGIN_GUIDENCE",'Margin Guidence Table'!$A$1:$AG$1,0))),0)</f>
        <v>0</v>
      </c>
      <c r="DL22" s="1054">
        <f t="array" ref="DL22">IFERROR(IF($DF22="SEGMENT",INDEX('Margin Guidence Table'!$A$1:$AG$10000,MATCH(1,('Margin Guidence Table'!$A$1:$A$10000=DD22)*('Margin Guidence Table'!$I$1:$I$10000&lt;=ROUND($CV$3,0))*('Margin Guidence Table'!$J$1:$J$10000&gt;=ROUND($CV$3,0)),0),MATCH("PA_PCT_SALES",'Margin Guidence Table'!$A$1:$AG$1,0)),INDEX('Margin Guidence Table'!$A$1:$AG$10000,MATCH(1,('Margin Guidence Table'!$A$1:$A$10000=DD22)*('Margin Guidence Table'!$I$1:$I$10000&lt;=ROUND($CV$3,0))*('Margin Guidence Table'!$J$1:$J$10000&gt;=ROUND($CV$3,0)),0),MATCH("DEFAULT_PA_PCT_SALES",'Margin Guidence Table'!$A$1:$AG$1,0))),0)</f>
        <v>0</v>
      </c>
      <c r="DM22" s="1054">
        <f t="array" ref="DM22">IFERROR(IF($DF22="SEGMENT",INDEX('Margin Guidence Table'!$A$1:$AG$10000,MATCH(1,('Margin Guidence Table'!$A$1:$A$10000=DD22)*('Margin Guidence Table'!$I$1:$I$10000&lt;=ROUND($CV$3,0))*('Margin Guidence Table'!$J$1:$J$10000&gt;=ROUND($CV$3,0)),0),MATCH("SELF_FUND_PCT_SALES",'Margin Guidence Table'!$A$1:$AG$1,0)),INDEX('Margin Guidence Table'!$A$1:$AG$10000,MATCH(1,('Margin Guidence Table'!$A$1:$A$10000=DD22)*('Margin Guidence Table'!$I$1:$I$10000&lt;=ROUND($CV$3,0))*('Margin Guidence Table'!$J$1:$J$10000&gt;=ROUND($CV$3,0)),0),MATCH("DEFAULT_SELF_FUND_PCT_SALES",'Margin Guidence Table'!$A$1:$AG$1,0))),0)</f>
        <v>0</v>
      </c>
      <c r="DN22" s="1054">
        <f t="array" ref="DN22">IFERROR(IF($DF22="SEGMENT",INDEX('Margin Guidence Table'!$A$1:$AG$10000,MATCH(1,('Margin Guidence Table'!$A$1:$A$10000=DD22)*('Margin Guidence Table'!$I$1:$I$10000&lt;=ROUND($CV$3,0))*('Margin Guidence Table'!$J$1:$J$10000&gt;=ROUND($CV$3,0)),0),MATCH("CIA_MEDIAN_MARGIN_GUIDENCE",'Margin Guidence Table'!$A$1:$AG$1,0)),INDEX('Margin Guidence Table'!$A$1:$AG$10000,MATCH(1,('Margin Guidence Table'!$A$1:$A$10000=DD22)*('Margin Guidence Table'!$I$1:$I$10000&lt;=ROUND($CV$3,0))*('Margin Guidence Table'!$J$1:$J$10000&gt;=ROUND($CV$3,0)),0),MATCH("DEFAULT_CIA_MEDIAN_MARGIN_GUIDENCE",'Margin Guidence Table'!$A$1:$AG$1,0))),0)</f>
        <v>0</v>
      </c>
      <c r="DO22" s="127"/>
      <c r="DP22" s="18">
        <f t="array" ref="DP22">IFERROR(IF($EC22="SEGMENT",INDEX('Margin Guidence Table'!$A$1:$AG$10000,MATCH(1,('Margin Guidence Table'!$A$1:$A$10000=$EA22)*('Margin Guidence Table'!$I$1:$I$10000&lt;=ROUND($DS$3,0))*('Margin Guidence Table'!$J$1:$J$10000&gt;=ROUND($DS$3,0)),0),MATCH("PCT_SALES",'Margin Guidence Table'!$A$1:$AG$1,0)),INDEX('Margin Guidence Table'!$A$1:$AG$10000,MATCH(1,('Margin Guidence Table'!$A$1:$A$10000=$EA22)*('Margin Guidence Table'!$I$1:$I$10000&lt;=ROUND($DS$3,0))*('Margin Guidence Table'!$J$1:$J$10000&gt;=ROUND($DS$3,0)),0),MATCH("DEFAULT_PCT_SALES",'Margin Guidence Table'!$A$1:$AG$1,0))),0)</f>
        <v>0</v>
      </c>
      <c r="DQ22" s="370" t="e">
        <f t="shared" si="32"/>
        <v>#DIV/0!</v>
      </c>
      <c r="DR22" s="100" t="s">
        <v>96</v>
      </c>
      <c r="DS22" s="92">
        <f>IFERROR(IF(AND($DS$2&lt;&gt;"Enter Spend&gt;&gt;&gt;",DT10="EXISTING"),SUMIFS('Existing Customers'!$Q:$Q,'Existing Customers'!$A:$A,$DS$1,'Existing Customers'!$H:$H,$DR22)*$DS$4,$DS$3*$DQ22),0)</f>
        <v>0</v>
      </c>
      <c r="DT22" s="87">
        <f>IFERROR(IF(AND($DS$2&lt;&gt;"Enter Spend&gt;&gt;&gt;",DT2="EXISTING"),SUMIFS('Existing Customers'!$N:$N,'Existing Customers'!$A:$A,$DS$1,'Existing Customers'!$H:$H,$DR22)*$DS$4,$DS22/$ED22),0)</f>
        <v>0</v>
      </c>
      <c r="DU22" s="93">
        <f>IFERROR(IF(AND($DS$2&lt;&gt;"Enter Spend&gt;&gt;&gt;",DT2="EXISTING"),SUMIFS('Existing Customers'!$O:$O,'Existing Customers'!$H:$H,$DR22,'Existing Customers'!$A:$A,$DS$1)*$DS$4,$DT22*$DS$8),0)</f>
        <v>0</v>
      </c>
      <c r="DV22" s="93">
        <f>IFERROR(IF(AND($DS$2&lt;&gt;"Enter Spend&gt;&gt;&gt;",DT2="EXISTING"),SUMIFS('Existing Customers'!$P:$P,'Existing Customers'!$A:$A,$DS$1,'Existing Customers'!$H:$H,$DR22)*$DS$4,$DS22/$EE22),0)</f>
        <v>0</v>
      </c>
      <c r="DW22" s="94">
        <f>IFERROR(IF(AND($DS$2&lt;&gt;"Enter Spend&gt;&gt;&gt;",EQ2="EXISTING"),SUMIFS('Existing Customers'!$V:$V,'Existing Customers'!$H:$H,$DR22,'Existing Customers'!$A:$A,$DS$1)*$DS$4,0),0)</f>
        <v>0</v>
      </c>
      <c r="DX22" s="94">
        <f>IFERROR(IF(AND($DS$2&lt;&gt;"Enter Spend&gt;&gt;&gt;",DT2="EXISTING"),SUMIFS('Existing Customers'!$R:$R,'Existing Customers'!$H:$H,$DR22,'Existing Customers'!$A:$A,$DS$1)*$DS$4,0),0)</f>
        <v>0</v>
      </c>
      <c r="DY22" s="1050">
        <f>IFERROR(IF(AND($DS$2&lt;&gt;"Enter Spend&gt;&gt;&gt;",DT2="EXISTING"),SUMIFS('Existing Customers'!$S:$S,'Existing Customers'!$H:$H,$DT22,'Existing Customers'!$A:$A,$DS$1),EI22*DS22),0)</f>
        <v>0</v>
      </c>
      <c r="DZ22" s="1050">
        <f>IFERROR(IF(AND($DS$2&lt;&gt;"Enter Spend&gt;&gt;&gt;",DT2="EXISTING"),SUMIFS('Existing Customers'!$U:$U,'Existing Customers'!$H:$H,$DR22,'Existing Customers'!$A:$A,$DS$1),EJ22*DS22),0)</f>
        <v>0</v>
      </c>
      <c r="EA22" s="1053" t="e">
        <f>_xlfn.CONCAT('Customer Inputs'!$AG$9,"_",DR22)</f>
        <v>#N/A</v>
      </c>
      <c r="EB22" s="1053">
        <f t="array" ref="EB22">IFERROR(INDEX('Margin Guidence Table'!$A$1:$AG$10000,MATCH(1,('Margin Guidence Table'!$A$1:$A$10000=EA22)*('Margin Guidence Table'!$I$1:$I$10000&lt;=ROUND($DS$3,0))*('Margin Guidence Table'!$J$1:$J$10000&gt;=ROUND($DS$3,0)),0),MATCH("DATA_POINTS",'Margin Guidence Table'!$A$1:$AG$1,0)),0)</f>
        <v>0</v>
      </c>
      <c r="EC22" s="1050" t="str">
        <f t="shared" si="33"/>
        <v>DEFAULT</v>
      </c>
      <c r="ED22" s="1050">
        <f t="array" ref="ED22">IFERROR(IF($EC22="SEGMENT",INDEX('Margin Guidence Table'!$A$1:$AG$10000,MATCH(1,('Margin Guidence Table'!$A$1:$A$10000=EA22)*('Margin Guidence Table'!$I$1:$I$10000&lt;=ROUND($DS$3,0))*('Margin Guidence Table'!$J$1:$J$10000&gt;=ROUND($DS$3,0)),0),MATCH("SALES_CASE",'Margin Guidence Table'!$A$1:$AG$1,0)),INDEX('Margin Guidence Table'!$A$1:$AG$10000,MATCH(1,('Margin Guidence Table'!$A$1:$A$10000=EA22)*('Margin Guidence Table'!$I$1:$I$10000&lt;=ROUND($DS$3,0))*('Margin Guidence Table'!$J$1:$J$10000&gt;=ROUND($DS$3,0)),0),MATCH("DEFAULT_SALES_CASE",'Margin Guidence Table'!$A$1:$AG$1,0))),0)</f>
        <v>0</v>
      </c>
      <c r="EE22" s="1050">
        <f t="array" ref="EE22">IFERROR(IF($EC22="SEGMENT",INDEX('Margin Guidence Table'!$A$1:$AG$10000,MATCH(1,('Margin Guidence Table'!$A$1:$A$10000=EA22)*('Margin Guidence Table'!$I$1:$I$10000&lt;=ROUND($DS$3,0))*('Margin Guidence Table'!$J$1:$J$10000&gt;=ROUND($DS$3,0)),0),MATCH("SALES_LBS",'Margin Guidence Table'!$A$1:$AG$1,0)),INDEX('Margin Guidence Table'!$A$1:$AG$10000,MATCH(1,('Margin Guidence Table'!$A$1:$A$10000=EA22)*('Margin Guidence Table'!$I$1:$I$10000&lt;=ROUND($DS$3,0))*('Margin Guidence Table'!$J$1:$J$10000&gt;=ROUND($DS$3,0)),0),MATCH("DEFAULT_SALES_LBS",'Margin Guidence Table'!$A$1:$AG$1,0))),0)</f>
        <v>0</v>
      </c>
      <c r="EF22" s="1054">
        <f t="array" ref="EF22">IFERROR(IF($EC22="SEGMENT",INDEX('Margin Guidence Table'!$A$1:$AG$10000,MATCH(1,('Margin Guidence Table'!$A$1:$A$10000=EA22)*('Margin Guidence Table'!$I$1:$I$10000&lt;=ROUND($DS$3,0))*('Margin Guidence Table'!$J$1:$J$10000&gt;=ROUND($DS$3,0)),0),MATCH("MDA_MIN_MARGIN_GUIDENCE",'Margin Guidence Table'!$A$1:$AG$1,0)),INDEX('Margin Guidence Table'!$A$1:$AG$10000,MATCH(1,('Margin Guidence Table'!$A$1:$A$10000=EA22)*('Margin Guidence Table'!$I$1:$I$10000&lt;=ROUND($DS$3,0))*('Margin Guidence Table'!$J$1:$J$10000&gt;=ROUND($DS$3,0)),0),MATCH("DEFAULT_MDA_MIN_MARGIN_GUIDENCE",'Margin Guidence Table'!$A$1:$AG$1,0))),0)</f>
        <v>0</v>
      </c>
      <c r="EG22" s="1054">
        <f t="array" ref="EG22">IFERROR(IF($EC22="SEGMENT",INDEX('Margin Guidence Table'!$A$1:$AG$10000,MATCH(1,('Margin Guidence Table'!$A$1:$A$10000=EA22)*('Margin Guidence Table'!$I$1:$I$10000&lt;=ROUND($DS$3,0))*('Margin Guidence Table'!$J$1:$J$10000&gt;=ROUND($DS$3,0)),0),MATCH("MDA_MEDIAN_MARGIN_GUIDENCE",'Margin Guidence Table'!$A$1:$AG$1,0)),INDEX('Margin Guidence Table'!$A$1:$AG$10000,MATCH(1,('Margin Guidence Table'!$A$1:$A$10000=EA22)*('Margin Guidence Table'!$I$1:$I$10000&lt;=ROUND($DS$3,0))*('Margin Guidence Table'!$J$1:$J$10000&gt;=ROUND($DS$3,0)),0),MATCH("DEFAULT_MDA_MEDIAN_MARGIN_GUIDENCE",'Margin Guidence Table'!$A$1:$AG$1,0))),0)</f>
        <v>0</v>
      </c>
      <c r="EH22" s="1054">
        <f t="array" ref="EH22">IFERROR(IF($EC22="SEGMENT",INDEX('Margin Guidence Table'!$A$1:$AG$10000,MATCH(1,('Margin Guidence Table'!$A$1:$A$10000=EA22)*('Margin Guidence Table'!$I$1:$I$10000&lt;=ROUND($DS$3,0))*('Margin Guidence Table'!$J$1:$J$10000&gt;=ROUND($DS$3,0)),0),MATCH("MDA_MAX_MARGIN_GUIDENCE",'Margin Guidence Table'!$A$1:$AG$1,0)),INDEX('Margin Guidence Table'!$A$1:$AG$10000,MATCH(1,('Margin Guidence Table'!$A$1:$A$10000=EA22)*('Margin Guidence Table'!$I$1:$I$10000&lt;=ROUND($DS$3,0))*('Margin Guidence Table'!$J$1:$J$10000&gt;=ROUND($DS$3,0)),0),MATCH("DEFAULT_MDA_MAX_MARGIN_GUIDENCE",'Margin Guidence Table'!$A$1:$AG$1,0))),0)</f>
        <v>0</v>
      </c>
      <c r="EI22" s="1054">
        <f t="array" ref="EI22">IFERROR(IF($EC22="SEGMENT",INDEX('Margin Guidence Table'!$A$1:$AG$10000,MATCH(1,('Margin Guidence Table'!$A$1:$A$10000=EA22)*('Margin Guidence Table'!$I$1:$I$10000&lt;=ROUND($DS$3,0))*('Margin Guidence Table'!$J$1:$J$10000&gt;=ROUND($DS$3,0)),0),MATCH("PA_PCT_SALES",'Margin Guidence Table'!$A$1:$AG$1,0)),INDEX('Margin Guidence Table'!$A$1:$AG$10000,MATCH(1,('Margin Guidence Table'!$A$1:$A$10000=EA22)*('Margin Guidence Table'!$I$1:$I$10000&lt;=ROUND($DS$3,0))*('Margin Guidence Table'!$J$1:$J$10000&gt;=ROUND($DS$3,0)),0),MATCH("DEFAULT_PA_PCT_SALES",'Margin Guidence Table'!$A$1:$AG$1,0))),0)</f>
        <v>0</v>
      </c>
      <c r="EJ22" s="1054">
        <f t="array" ref="EJ22">IFERROR(IF($EC22="SEGMENT",INDEX('Margin Guidence Table'!$A$1:$AG$10000,MATCH(1,('Margin Guidence Table'!$A$1:$A$10000=EA22)*('Margin Guidence Table'!$I$1:$I$10000&lt;=ROUND($DS$3,0))*('Margin Guidence Table'!$J$1:$J$10000&gt;=ROUND($DS$3,0)),0),MATCH("SELF_FUND_PCT_SALES",'Margin Guidence Table'!$A$1:$AG$1,0)),INDEX('Margin Guidence Table'!$A$1:$AG$10000,MATCH(1,('Margin Guidence Table'!$A$1:$A$10000=EA22)*('Margin Guidence Table'!$I$1:$I$10000&lt;=ROUND($DS$3,0))*('Margin Guidence Table'!$J$1:$J$10000&gt;=ROUND($DS$3,0)),0),MATCH("DEFAULT_SELF_FUND_PCT_SALES",'Margin Guidence Table'!$A$1:$AG$1,0))),0)</f>
        <v>0</v>
      </c>
      <c r="EK22" s="1054">
        <f t="array" ref="EK22">IFERROR(IF($EC22="SEGMENT",INDEX('Margin Guidence Table'!$A$1:$AG$10000,MATCH(1,('Margin Guidence Table'!$A$1:$A$10000=EA22)*('Margin Guidence Table'!$I$1:$I$10000&lt;=ROUND($DS$3,0))*('Margin Guidence Table'!$J$1:$J$10000&gt;=ROUND($DS$3,0)),0),MATCH("CIA_MEDIAN_MARGIN_GUIDENCE",'Margin Guidence Table'!$A$1:$AG$1,0)),INDEX('Margin Guidence Table'!$A$1:$AG$10000,MATCH(1,('Margin Guidence Table'!$A$1:$A$10000=EA22)*('Margin Guidence Table'!$I$1:$I$10000&lt;=ROUND($DS$3,0))*('Margin Guidence Table'!$J$1:$J$10000&gt;=ROUND($DS$3,0)),0),MATCH("DEFAULT_CIA_MEDIAN_MARGIN_GUIDENCE",'Margin Guidence Table'!$A$1:$AG$1,0))),0)</f>
        <v>0</v>
      </c>
      <c r="EL22" s="127"/>
      <c r="EM22" s="18">
        <f t="array" ref="EM22">IFERROR(IF($EZ22="SEGMENT",INDEX('Margin Guidence Table'!$A$1:$AG$10000,MATCH(1,('Margin Guidence Table'!$A$1:$A$10000=$EX22)*('Margin Guidence Table'!$I$1:$I$10000&lt;=ROUND($EP$3,0))*('Margin Guidence Table'!$J$1:$J$10000&gt;=ROUND($EP$3,0)),0),MATCH("PCT_SALES",'Margin Guidence Table'!$A$1:$AG$1,0)),INDEX('Margin Guidence Table'!$A$1:$AG$10000,MATCH(1,('Margin Guidence Table'!$A$1:$A$10000=$EX22)*('Margin Guidence Table'!$I$1:$I$10000&lt;=ROUND($EP$3,0))*('Margin Guidence Table'!$J$1:$J$10000&gt;=ROUND($EP$3,0)),0),MATCH("DEFAULT_PCT_SALES",'Margin Guidence Table'!$A$1:$AG$1,0))),0)</f>
        <v>0</v>
      </c>
      <c r="EN22" s="370" t="e">
        <f t="shared" si="34"/>
        <v>#DIV/0!</v>
      </c>
      <c r="EO22" s="100" t="s">
        <v>96</v>
      </c>
      <c r="EP22" s="92">
        <f>IFERROR(IF(AND($EP$2&lt;&gt;"Enter Spend&gt;&gt;&gt;",EQ10="EXISTING"),SUMIFS('Existing Customers'!$Q:$Q,'Existing Customers'!$A:$A,$EP$1,'Existing Customers'!$H:$H,$EO22)*$EP$4,$EP$3*$EN22),0)</f>
        <v>0</v>
      </c>
      <c r="EQ22" s="87">
        <f>IFERROR(IF(AND($EP$2&lt;&gt;"Enter Spend&gt;&gt;&gt;",EQ2="EXISTING"),SUMIFS('Existing Customers'!$N:$N,'Existing Customers'!$A:$A,$EP$1,'Existing Customers'!$H:$H,$EO22)*$EP$4,$EP22/$FA22),0)</f>
        <v>0</v>
      </c>
      <c r="ER22" s="93">
        <f>IFERROR(IF(AND($EP$2&lt;&gt;"Enter Spend&gt;&gt;&gt;",EQ2="EXISTING"),SUMIFS('Existing Customers'!$O:$O,'Existing Customers'!$H:$H,$EO22,'Existing Customers'!$A:$A,$EP$1)*$EP$4,$EQ22*$EP$8),0)</f>
        <v>0</v>
      </c>
      <c r="ES22" s="93">
        <f>IFERROR(IF(AND($EP$2&lt;&gt;"Enter Spend&gt;&gt;&gt;",EQ2="EXISTING"),SUMIFS('Existing Customers'!$P:$P,'Existing Customers'!$A:$A,$EP$1,'Existing Customers'!$H:$H,$EO22)*$EP$4,$EP22/$FB22),0)</f>
        <v>0</v>
      </c>
      <c r="ET22" s="94">
        <f>IFERROR(IF(AND($EP$2&lt;&gt;"Enter Spend&gt;&gt;&gt;",EQ2="EXISTING"),SUMIFS('Existing Customers'!$V:$V,'Existing Customers'!$H:$H,$EO22,'Existing Customers'!$A:$A,$EP$1)*$EP$4,0),0)</f>
        <v>0</v>
      </c>
      <c r="EU22" s="94">
        <f>IFERROR(IF(AND($EP$2&lt;&gt;"Enter Spend&gt;&gt;&gt;",EQ2="EXISTING"),SUMIFS('Existing Customers'!$R:$R,'Existing Customers'!$H:$H,$EO22,'Existing Customers'!$A:$A,$EP$1)*$EP$4,0),0)</f>
        <v>0</v>
      </c>
      <c r="EV22" s="1050">
        <f>IFERROR(IF(AND($EP$2&lt;&gt;"Enter Spend&gt;&gt;&gt;",EQ2="EXISTING"),SUMIFS('Existing Customers'!$S:$S,'Existing Customers'!$H:$H,$EO22,'Existing Customers'!$A:$A,$EP$1),FF22*EP22),0)</f>
        <v>0</v>
      </c>
      <c r="EW22" s="1050">
        <f>IFERROR(IF(AND($EP$2&lt;&gt;"Enter Spend&gt;&gt;&gt;",EQ2="EXISTING"),SUMIFS('Existing Customers'!$U:$U,'Existing Customers'!$H:$H,$EO22,'Existing Customers'!$A:$A,$EP$1),FG22*EP22),0)</f>
        <v>0</v>
      </c>
      <c r="EX22" s="1053" t="e">
        <f>_xlfn.CONCAT('Customer Inputs'!$AG$10,"_",EO22)</f>
        <v>#N/A</v>
      </c>
      <c r="EY22" s="1053">
        <f t="array" ref="EY22">IFERROR(INDEX('Margin Guidence Table'!$A$1:$AG$10000,MATCH(1,('Margin Guidence Table'!$A$1:$A$10000=EX22)*('Margin Guidence Table'!$I$1:$I$10000&lt;=ROUND($EP$3,0))*('Margin Guidence Table'!$J$1:$J$10000&gt;=ROUND($EP$3,0)),0),MATCH("DATA_POINTS",'Margin Guidence Table'!$A$1:$AG$1,0)),0)</f>
        <v>0</v>
      </c>
      <c r="EZ22" s="1050" t="str">
        <f t="shared" si="35"/>
        <v>DEFAULT</v>
      </c>
      <c r="FA22" s="1050">
        <f t="array" ref="FA22">IFERROR(IF($EZ22="SEGMENT",INDEX('Margin Guidence Table'!$A$1:$AG$10000,MATCH(1,('Margin Guidence Table'!$A$1:$A$10000=EX22)*('Margin Guidence Table'!$I$1:$I$10000&lt;=ROUND($EP$3,0))*('Margin Guidence Table'!$J$1:$J$10000&gt;=ROUND($EP$3,0)),0),MATCH("SALES_CASE",'Margin Guidence Table'!$A$1:$AG$1,0)),INDEX('Margin Guidence Table'!$A$1:$AG$10000,MATCH(1,('Margin Guidence Table'!$A$1:$A$10000=EX22)*('Margin Guidence Table'!$I$1:$I$10000&lt;=ROUND($EP$3,0))*('Margin Guidence Table'!$J$1:$J$10000&gt;=ROUND($EP$3,0)),0),MATCH("DEFAULT_SALES_CASE",'Margin Guidence Table'!$A$1:$AG$1,0))),0)</f>
        <v>0</v>
      </c>
      <c r="FB22" s="1050" cm="1">
        <f t="array" ref="FB22">IFERROR(IF($EZ22="SEGMENT",INDEX('Margin Guidence Table'!$A$1:$AG$10000,MATCH(1,('Margin Guidence Table'!$A$1:$A$10000=EX22)*('Margin Guidence Table'!$I$1:$I$10000&lt;=ROUND($EP$3,0))*('Margin Guidence Table'!$J$1:$J$10000&gt;=ROUND($EP$3,0)),0),MATCH("SALES_LBS",'Margin Guidence Table'!$A$1:$AG$1,0)),INDEX('Margin Guidence Table'!$A$1:$AG$10000,MATCH(1,('Margin Guidence Table'!$A$1:$A$10000=EX22)*('Margin Guidence Table'!$I$1:$I$10000&lt;=ROUND($EP$3,0))*('Margin Guidence Table'!$J$1:$J$10000&gt;=ROUND($EP$3,0)),0),MATCH("DEFAULT_SALES_LBS",'Margin Guidence Table'!$A$1:$AG$1,0))),0)</f>
        <v>0</v>
      </c>
      <c r="FC22" s="1054">
        <f t="array" ref="FC22">IFERROR(IF($EZ22="SEGMENT",INDEX('Margin Guidence Table'!$A$1:$AG$10000,MATCH(1,('Margin Guidence Table'!$A$1:$A$10000=EX22)*('Margin Guidence Table'!$I$1:$I$10000&lt;=ROUND($EP$3,0))*('Margin Guidence Table'!$J$1:$J$10000&gt;=ROUND($EP$3,0)),0),MATCH("MDA_MIN_MARGIN_GUIDENCE",'Margin Guidence Table'!$A$1:$AG$1,0)),INDEX('Margin Guidence Table'!$A$1:$AG$10000,MATCH(1,('Margin Guidence Table'!$A$1:$A$10000=EX22)*('Margin Guidence Table'!$I$1:$I$10000&lt;=ROUND($EP$3,0))*('Margin Guidence Table'!$J$1:$J$10000&gt;=ROUND($EP$3,0)),0),MATCH("DEFAULT_MDA_MIN_MARGIN_GUIDENCE",'Margin Guidence Table'!$A$1:$AG$1,0))),0)</f>
        <v>0</v>
      </c>
      <c r="FD22" s="1054">
        <f t="array" ref="FD22">IFERROR(IF($EZ22="SEGMENT",INDEX('Margin Guidence Table'!$A$1:$AG$10000,MATCH(1,('Margin Guidence Table'!$A$1:$A$10000=EX22)*('Margin Guidence Table'!$I$1:$I$10000&lt;=ROUND($EP$3,0))*('Margin Guidence Table'!$J$1:$J$10000&gt;=ROUND($EP$3,0)),0),MATCH("MDA_MEDIAN_MARGIN_GUIDENCE",'Margin Guidence Table'!$A$1:$AG$1,0)),INDEX('Margin Guidence Table'!$A$1:$AG$10000,MATCH(1,('Margin Guidence Table'!$A$1:$A$10000=EX22)*('Margin Guidence Table'!$I$1:$I$10000&lt;=ROUND($EP$3,0))*('Margin Guidence Table'!$J$1:$J$10000&gt;=ROUND($EP$3,0)),0),MATCH("DEFAULT_MDA_MEDIAN_MARGIN_GUIDENCE",'Margin Guidence Table'!$A$1:$AG$1,0))),0)</f>
        <v>0</v>
      </c>
      <c r="FE22" s="1054">
        <f t="array" ref="FE22">IFERROR(IF($EZ22="SEGMENT",INDEX('Margin Guidence Table'!$A$1:$AG$10000,MATCH(1,('Margin Guidence Table'!$A$1:$A$10000=EX22)*('Margin Guidence Table'!$I$1:$I$10000&lt;=ROUND($EP$3,0))*('Margin Guidence Table'!$J$1:$J$10000&gt;=ROUND($EP$3,0)),0),MATCH("MDA_MAX_MARGIN_GUIDENCE",'Margin Guidence Table'!$A$1:$AG$1,0)),INDEX('Margin Guidence Table'!$A$1:$AG$10000,MATCH(1,('Margin Guidence Table'!$A$1:$A$10000=EX22)*('Margin Guidence Table'!$I$1:$I$10000&lt;=ROUND($EP$3,0))*('Margin Guidence Table'!$J$1:$J$10000&gt;=ROUND($EP$3,0)),0),MATCH("DEFAULT_MDA_MAX_MARGIN_GUIDENCE",'Margin Guidence Table'!$A$1:$AG$1,0))),0)</f>
        <v>0</v>
      </c>
      <c r="FF22" s="1054">
        <f t="array" ref="FF22">IFERROR(IF($EZ22="SEGMENT",INDEX('Margin Guidence Table'!$A$1:$AG$10000,MATCH(1,('Margin Guidence Table'!$A$1:$A$10000=EX22)*('Margin Guidence Table'!$I$1:$I$10000&lt;=ROUND($EP$3,0))*('Margin Guidence Table'!$J$1:$J$10000&gt;=ROUND($EP$3,0)),0),MATCH("PA_PCT_SALES",'Margin Guidence Table'!$A$1:$AG$1,0)),INDEX('Margin Guidence Table'!$A$1:$AG$10000,MATCH(1,('Margin Guidence Table'!$A$1:$A$10000=EX22)*('Margin Guidence Table'!$I$1:$I$10000&lt;=ROUND($EP$3,0))*('Margin Guidence Table'!$J$1:$J$10000&gt;=ROUND($EP$3,0)),0),MATCH("DEFAULT_PA_PCT_SALES",'Margin Guidence Table'!$A$1:$AG$1,0))),0)</f>
        <v>0</v>
      </c>
      <c r="FG22" s="1054">
        <f t="array" ref="FG22">IFERROR(IF($EZ22="SEGMENT",INDEX('Margin Guidence Table'!$A$1:$AG$10000,MATCH(1,('Margin Guidence Table'!$A$1:$A$10000=EX22)*('Margin Guidence Table'!$I$1:$I$10000&lt;=ROUND($EP$3,0))*('Margin Guidence Table'!$J$1:$J$10000&gt;=ROUND($EP$3,0)),0),MATCH("SELF_FUND_PCT_SALES",'Margin Guidence Table'!$A$1:$AG$1,0)),INDEX('Margin Guidence Table'!$A$1:$AG$10000,MATCH(1,('Margin Guidence Table'!$A$1:$A$10000=EX22)*('Margin Guidence Table'!$I$1:$I$10000&lt;=ROUND($EP$3,0))*('Margin Guidence Table'!$J$1:$J$10000&gt;=ROUND($EP$3,0)),0),MATCH("DEFAULT_SELF_FUND_PCT_SALES",'Margin Guidence Table'!$A$1:$AG$1,0))),0)</f>
        <v>0</v>
      </c>
      <c r="FH22" s="1054">
        <f t="array" ref="FH22">IFERROR(IF($EZ22="SEGMENT",INDEX('Margin Guidence Table'!$A$1:$AG$10000,MATCH(1,('Margin Guidence Table'!$A$1:$A$10000=EX22)*('Margin Guidence Table'!$I$1:$I$10000&lt;=ROUND($EP$3,0))*('Margin Guidence Table'!$J$1:$J$10000&gt;=ROUND($EP$3,0)),0),MATCH("CIA_MEDIAN_MARGIN_GUIDENCE",'Margin Guidence Table'!$A$1:$AG$1,0)),INDEX('Margin Guidence Table'!$A$1:$AG$10000,MATCH(1,('Margin Guidence Table'!$A$1:$A$10000=EX22)*('Margin Guidence Table'!$I$1:$I$10000&lt;=ROUND($EP$3,0))*('Margin Guidence Table'!$J$1:$J$10000&gt;=ROUND($EP$3,0)),0),MATCH("DEFAULT_CIA_MEDIAN_MARGIN_GUIDENCE",'Margin Guidence Table'!$A$1:$AG$1,0))),0)</f>
        <v>0</v>
      </c>
      <c r="FI22" s="127"/>
      <c r="FJ22" s="18">
        <f t="array" ref="FJ22">IFERROR(IF($FW22="SEGMENT",INDEX('Margin Guidence Table'!$A$1:$AG$10000,MATCH(1,('Margin Guidence Table'!$A$1:$A$10000=$FU22)*('Margin Guidence Table'!$I$1:$I$10000&lt;=ROUND($FM$3,0))*('Margin Guidence Table'!$J$1:$J$10000&gt;=ROUND($FM$3,0)),0),MATCH("PCT_SALES",'Margin Guidence Table'!$A$1:$AG$1,0)),INDEX('Margin Guidence Table'!$A$1:$AG$10000,MATCH(1,('Margin Guidence Table'!$A$1:$A$10000=$FU22)*('Margin Guidence Table'!$I$1:$I$10000&lt;=ROUND($FM$3,0))*('Margin Guidence Table'!$J$1:$J$10000&gt;=ROUND($FM$3,0)),0),MATCH("DEFAULT_PCT_SALES",'Margin Guidence Table'!$A$1:$AG$1,0))),0)</f>
        <v>0</v>
      </c>
      <c r="FK22" s="370" t="e">
        <f t="shared" si="36"/>
        <v>#DIV/0!</v>
      </c>
      <c r="FL22" s="100" t="s">
        <v>96</v>
      </c>
      <c r="FM22" s="92">
        <f>IFERROR(IF(AND($FM$2&lt;&gt;"Enter Spend&gt;&gt;&gt;",FN10="EXISTING"),SUMIFS('Existing Customers'!$Q:$Q,'Existing Customers'!$A:$A,$FM$1,'Existing Customers'!$H:$H,$FL22)*$FM$4,$FM$3*$FK22),0)</f>
        <v>0</v>
      </c>
      <c r="FN22" s="87">
        <f>IFERROR(IF(AND($FM$2&lt;&gt;"Enter Spend&gt;&gt;&gt;",FN2="EXISTING"),SUMIFS('Existing Customers'!$N:$N,'Existing Customers'!$A:$A,$FM$1,'Existing Customers'!$H:$H,$FL22)*$FM$4,$FM22/$FX22),0)</f>
        <v>0</v>
      </c>
      <c r="FO22" s="93">
        <f>IFERROR(IF(AND($FM$2&lt;&gt;"Enter Spend&gt;&gt;&gt;",FN2="EXISTING"),SUMIFS('Existing Customers'!$O:$O,'Existing Customers'!$H:$H,$FL22,'Existing Customers'!$A:$A,$FM$1)*$FM$4,$FN22*$FM$8),0)</f>
        <v>0</v>
      </c>
      <c r="FP22" s="93">
        <f>IFERROR(IF(AND($FM$2&lt;&gt;"Enter Spend&gt;&gt;&gt;",FN2="EXISTING"),SUMIFS('Existing Customers'!$P:$P,'Existing Customers'!$A:$A,$FM$1,'Existing Customers'!$H:$H,$FL22)*$FM$4,$FM22/$FY22),0)</f>
        <v>0</v>
      </c>
      <c r="FQ22" s="94">
        <f>IFERROR(IF(AND($FM$2&lt;&gt;"Enter Spend&gt;&gt;&gt;",FN2="EXISTING"),SUMIFS('Existing Customers'!$V:$V,'Existing Customers'!$H:$H,$FL22,'Existing Customers'!$A:$A,$FM$1)*$FM$4,0),0)</f>
        <v>0</v>
      </c>
      <c r="FR22" s="94">
        <f>IFERROR(IF(AND($FM$2&lt;&gt;"Enter Spend&gt;&gt;&gt;",FN2="EXISTING"),SUMIFS('Existing Customers'!$R:$R,'Existing Customers'!$H:$H,$FL22,'Existing Customers'!$A:$A,$FM$1)*$FM$4,0),0)</f>
        <v>0</v>
      </c>
      <c r="FS22" s="1050">
        <f>IFERROR(IF(AND($FM$2&lt;&gt;"Enter Spend&gt;&gt;&gt;",FN2="EXISTING"),SUMIFS('Existing Customers'!$S:$S,'Existing Customers'!$H:$H,$FL22,'Existing Customers'!$A:$A,$FM$1),GC22*FM22),0)</f>
        <v>0</v>
      </c>
      <c r="FT22" s="1050">
        <f>IFERROR(IF(AND($FM$2&lt;&gt;"Enter Spend&gt;&gt;&gt;",FN2="EXISTING"),SUMIFS('Existing Customers'!$U:$U,'Existing Customers'!$H:$H,$FL22,'Existing Customers'!$A:$A,$FM$1),GD22*FM22),0)</f>
        <v>0</v>
      </c>
      <c r="FU22" s="1053" t="e">
        <f>_xlfn.CONCAT('Customer Inputs'!$AG$11,"_",FL22)</f>
        <v>#N/A</v>
      </c>
      <c r="FV22" s="1053">
        <f t="array" ref="FV22">IFERROR(INDEX('Margin Guidence Table'!$A$1:$AG$10000,MATCH(1,('Margin Guidence Table'!$A$1:$A$10000=FU22)*('Margin Guidence Table'!$I$1:$I$10000&lt;=ROUND($FM$3,0))*('Margin Guidence Table'!$J$1:$J$10000&gt;=ROUND($FM$3,0)),0),MATCH("DATA_POINTS",'Margin Guidence Table'!$A$1:$AG$1,0)),0)</f>
        <v>0</v>
      </c>
      <c r="FW22" s="1050" t="str">
        <f t="shared" si="37"/>
        <v>DEFAULT</v>
      </c>
      <c r="FX22" s="1050">
        <f t="array" ref="FX22">IFERROR(IF($FW22="SEGMENT",INDEX('Margin Guidence Table'!$A$1:$AG$10000,MATCH(1,('Margin Guidence Table'!$A$1:$A$10000=FU22)*('Margin Guidence Table'!$I$1:$I$10000&lt;=ROUND($FM$3,0))*('Margin Guidence Table'!$J$1:$J$10000&gt;=ROUND($FM$3,0)),0),MATCH("SALES_CASE",'Margin Guidence Table'!$A$1:$AG$1,0)),INDEX('Margin Guidence Table'!$A$1:$AG$10000,MATCH(1,('Margin Guidence Table'!$A$1:$A$10000=FU22)*('Margin Guidence Table'!$I$1:$I$10000&lt;=ROUND($FM$3,0))*('Margin Guidence Table'!$J$1:$J$10000&gt;=ROUND($FM$3,0)),0),MATCH("DEFAULT_SALES_CASE",'Margin Guidence Table'!$A$1:$AG$1,0))),0)</f>
        <v>0</v>
      </c>
      <c r="FY22" s="1050">
        <f t="array" ref="FY22">IFERROR(IF($FW22="SEGMENT",INDEX('Margin Guidence Table'!$A$1:$AG$10000,MATCH(1,('Margin Guidence Table'!$A$1:$A$10000=FU22)*('Margin Guidence Table'!$I$1:$I$10000&lt;=ROUND($FM$3,0))*('Margin Guidence Table'!$J$1:$J$10000&gt;=ROUND($FM$3,0)),0),MATCH("SALES_LBS",'Margin Guidence Table'!$A$1:$AG$1,0)),INDEX('Margin Guidence Table'!$A$1:$AG$10000,MATCH(1,('Margin Guidence Table'!$A$1:$A$10000=FU22)*('Margin Guidence Table'!$I$1:$I$10000&lt;=ROUND($FM$3,0))*('Margin Guidence Table'!$J$1:$J$10000&gt;=ROUND($FM$3,0)),0),MATCH("DEFAULT_SALES_LBS",'Margin Guidence Table'!$A$1:$AG$1,0))),0)</f>
        <v>0</v>
      </c>
      <c r="FZ22" s="1054">
        <f t="array" ref="FZ22">IFERROR(IF($FW22="SEGMENT",INDEX('Margin Guidence Table'!$A$1:$AG$10000,MATCH(1,('Margin Guidence Table'!$A$1:$A$10000=FU22)*('Margin Guidence Table'!$I$1:$I$10000&lt;=ROUND($FM$3,0))*('Margin Guidence Table'!$J$1:$J$10000&gt;=ROUND($FM$3,0)),0),MATCH("MDA_MIN_MARGIN_GUIDENCE",'Margin Guidence Table'!$A$1:$AG$1,0)),INDEX('Margin Guidence Table'!$A$1:$AG$10000,MATCH(1,('Margin Guidence Table'!$A$1:$A$10000=FU22)*('Margin Guidence Table'!$I$1:$I$10000&lt;=ROUND($FM$3,0))*('Margin Guidence Table'!$J$1:$J$10000&gt;=ROUND($FM$3,0)),0),MATCH("DEFAULT_MDA_MIN_MARGIN_GUIDENCE",'Margin Guidence Table'!$A$1:$AG$1,0))),0)</f>
        <v>0</v>
      </c>
      <c r="GA22" s="1054">
        <f t="array" ref="GA22">IFERROR(IF($FW22="SEGMENT",INDEX('Margin Guidence Table'!$A$1:$AG$10000,MATCH(1,('Margin Guidence Table'!$A$1:$A$10000=FU22)*('Margin Guidence Table'!$I$1:$I$10000&lt;=ROUND($FM$3,0))*('Margin Guidence Table'!$J$1:$J$10000&gt;=ROUND($FM$3,0)),0),MATCH("MDA_MEDIAN_MARGIN_GUIDENCE",'Margin Guidence Table'!$A$1:$AG$1,0)),INDEX('Margin Guidence Table'!$A$1:$AG$10000,MATCH(1,('Margin Guidence Table'!$A$1:$A$10000=FU22)*('Margin Guidence Table'!$I$1:$I$10000&lt;=ROUND($FM$3,0))*('Margin Guidence Table'!$J$1:$J$10000&gt;=ROUND($FM$3,0)),0),MATCH("DEFAULT_MDA_MEDIAN_MARGIN_GUIDENCE",'Margin Guidence Table'!$A$1:$AG$1,0))),0)</f>
        <v>0</v>
      </c>
      <c r="GB22" s="1054">
        <f t="array" ref="GB22">IFERROR(IF($FW22="SEGMENT",INDEX('Margin Guidence Table'!$A$1:$AG$10000,MATCH(1,('Margin Guidence Table'!$A$1:$A$10000=FU22)*('Margin Guidence Table'!$I$1:$I$10000&lt;=ROUND($FM$3,0))*('Margin Guidence Table'!$J$1:$J$10000&gt;=ROUND($FM$3,0)),0),MATCH("MDA_MAX_MARGIN_GUIDENCE",'Margin Guidence Table'!$A$1:$AG$1,0)),INDEX('Margin Guidence Table'!$A$1:$AG$10000,MATCH(1,('Margin Guidence Table'!$A$1:$A$10000=FU22)*('Margin Guidence Table'!$I$1:$I$10000&lt;=ROUND($FM$3,0))*('Margin Guidence Table'!$J$1:$J$10000&gt;=ROUND($FM$3,0)),0),MATCH("DEFAULT_MDA_MAX_MARGIN_GUIDENCE",'Margin Guidence Table'!$A$1:$AG$1,0))),0)</f>
        <v>0</v>
      </c>
      <c r="GC22" s="1054">
        <f t="array" ref="GC22">IFERROR(IF($FW22="SEGMENT",INDEX('Margin Guidence Table'!$A$1:$AG$10000,MATCH(1,('Margin Guidence Table'!$A$1:$A$10000=FU22)*('Margin Guidence Table'!$I$1:$I$10000&lt;=ROUND($FM$3,0))*('Margin Guidence Table'!$J$1:$J$10000&gt;=ROUND($FM$3,0)),0),MATCH("PA_PCT_SALES",'Margin Guidence Table'!$A$1:$AG$1,0)),INDEX('Margin Guidence Table'!$A$1:$AG$10000,MATCH(1,('Margin Guidence Table'!$A$1:$A$10000=FU22)*('Margin Guidence Table'!$I$1:$I$10000&lt;=ROUND($FM$3,0))*('Margin Guidence Table'!$J$1:$J$10000&gt;=ROUND($FM$3,0)),0),MATCH("DEFAULT_PA_PCT_SALES",'Margin Guidence Table'!$A$1:$AG$1,0))),0)</f>
        <v>0</v>
      </c>
      <c r="GD22" s="1054">
        <f t="array" ref="GD22">IFERROR(IF($FW22="SEGMENT",INDEX('Margin Guidence Table'!$A$1:$AG$10000,MATCH(1,('Margin Guidence Table'!$A$1:$A$10000=FU22)*('Margin Guidence Table'!$I$1:$I$10000&lt;=ROUND($FM$3,0))*('Margin Guidence Table'!$J$1:$J$10000&gt;=ROUND($FM$3,0)),0),MATCH("SELF_FUND_PCT_SALES",'Margin Guidence Table'!$A$1:$AG$1,0)),INDEX('Margin Guidence Table'!$A$1:$AG$10000,MATCH(1,('Margin Guidence Table'!$A$1:$A$10000=FU22)*('Margin Guidence Table'!$I$1:$I$10000&lt;=ROUND($FM$3,0))*('Margin Guidence Table'!$J$1:$J$10000&gt;=ROUND($FM$3,0)),0),MATCH("DEFAULT_SELF_FUND_PCT_SALES",'Margin Guidence Table'!$A$1:$AG$1,0))),0)</f>
        <v>0</v>
      </c>
      <c r="GE22" s="1054">
        <f t="array" ref="GE22">IFERROR(IF($FW22="SEGMENT",INDEX('Margin Guidence Table'!$A$1:$AG$10000,MATCH(1,('Margin Guidence Table'!$A$1:$A$10000=FU22)*('Margin Guidence Table'!$I$1:$I$10000&lt;=ROUND($FM$3,0))*('Margin Guidence Table'!$J$1:$J$10000&gt;=ROUND($FM$3,0)),0),MATCH("CIA_MEDIAN_MARGIN_GUIDENCE",'Margin Guidence Table'!$A$1:$AG$1,0)),INDEX('Margin Guidence Table'!$A$1:$AG$10000,MATCH(1,('Margin Guidence Table'!$A$1:$A$10000=FU22)*('Margin Guidence Table'!$I$1:$I$10000&lt;=ROUND($FM$3,0))*('Margin Guidence Table'!$J$1:$J$10000&gt;=ROUND($FM$3,0)),0),MATCH("DEFAULT_CIA_MEDIAN_MARGIN_GUIDENCE",'Margin Guidence Table'!$A$1:$AG$1,0))),0)</f>
        <v>0</v>
      </c>
      <c r="GF22" s="127"/>
      <c r="GG22" s="18">
        <f t="array" ref="GG22">IFERROR(IF($GT22="SEGMENT",INDEX('Margin Guidence Table'!$A$1:$AG$10000,MATCH(1,('Margin Guidence Table'!$A$1:$A$10000=$GR22)*('Margin Guidence Table'!$I$1:$I$10000&lt;=ROUND($GJ$3,0))*('Margin Guidence Table'!$J$1:$J$10000&gt;=ROUND($GJ$3,0)),0),MATCH("PCT_SALES",'Margin Guidence Table'!$A$1:$AG$1,0)),INDEX('Margin Guidence Table'!$A$1:$AG$10000,MATCH(1,('Margin Guidence Table'!$A$1:$A$10000=$GR22)*('Margin Guidence Table'!$I$1:$I$10000&lt;=ROUND($GJ$3,0))*('Margin Guidence Table'!$J$1:$J$10000&gt;=ROUND($GJ$3,0)),0),MATCH("DEFAULT_PCT_SALES",'Margin Guidence Table'!$A$1:$AG$1,0))),0)</f>
        <v>0</v>
      </c>
      <c r="GH22" s="370" t="e">
        <f t="shared" si="38"/>
        <v>#DIV/0!</v>
      </c>
      <c r="GI22" s="100" t="s">
        <v>96</v>
      </c>
      <c r="GJ22" s="92">
        <f>IFERROR(IF(AND($GJ$2&lt;&gt;"Enter Spend&gt;&gt;&gt;",GK10="EXISTING"),SUMIFS('Existing Customers'!$Q:$Q,'Existing Customers'!$A:$A,$GJ$1,'Existing Customers'!$H:$H,$GI22)*$GJ$4,$GJ$3*$GH22),0)</f>
        <v>0</v>
      </c>
      <c r="GK22" s="87">
        <f>IFERROR(IF(AND($GJ$2&lt;&gt;"Enter Spend&gt;&gt;&gt;",GK2="EXISTING"),SUMIFS('Existing Customers'!$N:$N,'Existing Customers'!$A:$A,$GJ$1,'Existing Customers'!$H:$H,$GI22)*$GJ$4,$GJ22/$GU22),0)</f>
        <v>0</v>
      </c>
      <c r="GL22" s="93">
        <f>IFERROR(IF(AND($GJ$2&lt;&gt;"Enter Spend&gt;&gt;&gt;",GK2="EXISTING"),SUMIFS('Existing Customers'!$O:$O,'Existing Customers'!$H:$H,$GI22,'Existing Customers'!$A:$A,$GJ$1)*$GJ$4,$GK22*$GJ$8),0)</f>
        <v>0</v>
      </c>
      <c r="GM22" s="93">
        <f>IFERROR(IF(AND($GJ$2&lt;&gt;"Enter Spend&gt;&gt;&gt;",GK2="EXISTING"),SUMIFS('Existing Customers'!$P:$P,'Existing Customers'!$A:$A,$GJ$1,'Existing Customers'!$H:$H,$GI22)*$GJ$4,$GJ22/$GV22),0)</f>
        <v>0</v>
      </c>
      <c r="GN22" s="94">
        <f>IFERROR(IF(AND($GJ$2&lt;&gt;"Enter Spend&gt;&gt;&gt;",GK2="EXISTING"),SUMIFS('Existing Customers'!$V:$V,'Existing Customers'!$H:$H,$GI22,'Existing Customers'!$A:$A,$GJ$1)*$GJ$4,0),0)</f>
        <v>0</v>
      </c>
      <c r="GO22" s="94">
        <f>IFERROR(IF(AND($GJ$2&lt;&gt;"Enter Spend&gt;&gt;&gt;",GK2="EXISTING"),SUMIFS('Existing Customers'!$R:$R,'Existing Customers'!$H:$H,$GI22,'Existing Customers'!$A:$A,$GJ$1)*$GJ$4,0),0)</f>
        <v>0</v>
      </c>
      <c r="GP22" s="1050">
        <f>IFERROR(IF(AND($GJ$2&lt;&gt;"Enter Spend&gt;&gt;&gt;",GK2="EXISTING"),SUMIFS('Existing Customers'!$S:$S,'Existing Customers'!$H:$H,$GI22,'Existing Customers'!$A:$A,$GJ$1),GZ22*GJ22),0)</f>
        <v>0</v>
      </c>
      <c r="GQ22" s="1050">
        <f>IFERROR(IF(AND($GJ$2&lt;&gt;"Enter Spend&gt;&gt;&gt;",GK2="EXISTING"),SUMIFS('Existing Customers'!$U:$U,'Existing Customers'!$H:$H,$GI22,'Existing Customers'!$A:$A,$GJ$1),HA22*GJ22),0)</f>
        <v>0</v>
      </c>
      <c r="GR22" s="1053" t="e">
        <f>_xlfn.CONCAT('Customer Inputs'!$AG$12,"_",GI22)</f>
        <v>#N/A</v>
      </c>
      <c r="GS22" s="1053">
        <f t="array" ref="GS22">IFERROR(INDEX('Margin Guidence Table'!$A$1:$AG$10000,MATCH(1,('Margin Guidence Table'!$A$1:$A$10000=GR22)*('Margin Guidence Table'!$I$1:$I$10000&lt;=ROUND($GJ$3,0))*('Margin Guidence Table'!$J$1:$J$10000&gt;=ROUND($GJ$3,0)),0),MATCH("DATA_POINTS",'Margin Guidence Table'!$A$1:$AG$1,0)),0)</f>
        <v>0</v>
      </c>
      <c r="GT22" s="1050" t="str">
        <f t="shared" si="39"/>
        <v>DEFAULT</v>
      </c>
      <c r="GU22" s="1050">
        <f t="array" ref="GU22">IFERROR(IF($GT22="SEGMENT",INDEX('Margin Guidence Table'!$A$1:$AG$10000,MATCH(1,('Margin Guidence Table'!$A$1:$A$10000=GR22)*('Margin Guidence Table'!$I$1:$I$10000&lt;=ROUND($GJ$3,0))*('Margin Guidence Table'!$J$1:$J$10000&gt;=ROUND($GJ$3,0)),0),MATCH("SALES_CASE",'Margin Guidence Table'!$A$1:$AG$1,0)),INDEX('Margin Guidence Table'!$A$1:$AG$10000,MATCH(1,('Margin Guidence Table'!$A$1:$A$10000=GR22)*('Margin Guidence Table'!$I$1:$I$10000&lt;=ROUND($GJ$3,0))*('Margin Guidence Table'!$J$1:$J$10000&gt;=ROUND($GJ$3,0)),0),MATCH("DEFAULT_SALES_CASE",'Margin Guidence Table'!$A$1:$AG$1,0))),0)</f>
        <v>0</v>
      </c>
      <c r="GV22" s="1050">
        <f t="array" ref="GV22">IFERROR(IF($GT22="SEGMENT",INDEX('Margin Guidence Table'!$A$1:$AG$10000,MATCH(1,('Margin Guidence Table'!$A$1:$A$10000=GR22)*('Margin Guidence Table'!$I$1:$I$10000&lt;=ROUND($GJ$3,0))*('Margin Guidence Table'!$J$1:$J$10000&gt;=ROUND($GJ$3,0)),0),MATCH("SALES_LBS",'Margin Guidence Table'!$A$1:$AG$1,0)),INDEX('Margin Guidence Table'!$A$1:$AG$10000,MATCH(1,('Margin Guidence Table'!$A$1:$A$10000=GR22)*('Margin Guidence Table'!$I$1:$I$10000&lt;=ROUND($GJ$3,0))*('Margin Guidence Table'!$J$1:$J$10000&gt;=ROUND($GJ$3,0)),0),MATCH("DEFAULT_SALES_LBS",'Margin Guidence Table'!$A$1:$AG$1,0))),0)</f>
        <v>0</v>
      </c>
      <c r="GW22" s="1054">
        <f t="array" ref="GW22">IFERROR(IF($GT22="SEGMENT",INDEX('Margin Guidence Table'!$A$1:$AG$10000,MATCH(1,('Margin Guidence Table'!$A$1:$A$10000=GR22)*('Margin Guidence Table'!$I$1:$I$10000&lt;=ROUND($GJ$3,0))*('Margin Guidence Table'!$J$1:$J$10000&gt;=ROUND($GJ$3,0)),0),MATCH("MDA_MIN_MARGIN_GUIDENCE",'Margin Guidence Table'!$A$1:$AG$1,0)),INDEX('Margin Guidence Table'!$A$1:$AG$10000,MATCH(1,('Margin Guidence Table'!$A$1:$A$10000=GR22)*('Margin Guidence Table'!$I$1:$I$10000&lt;=ROUND($GJ$3,0))*('Margin Guidence Table'!$J$1:$J$10000&gt;=ROUND($GJ$3,0)),0),MATCH("DEFAULT_MDA_MIN_MARGIN_GUIDENCE",'Margin Guidence Table'!$A$1:$AG$1,0))),0)</f>
        <v>0</v>
      </c>
      <c r="GX22" s="1054">
        <f t="array" ref="GX22">IFERROR(IF($GT22="SEGMENT",INDEX('Margin Guidence Table'!$A$1:$AG$10000,MATCH(1,('Margin Guidence Table'!$A$1:$A$10000=GR22)*('Margin Guidence Table'!$I$1:$I$10000&lt;=ROUND($GJ$3,0))*('Margin Guidence Table'!$J$1:$J$10000&gt;=ROUND($GJ$3,0)),0),MATCH("MDA_MEDIAN_MARGIN_GUIDENCE",'Margin Guidence Table'!$A$1:$AG$1,0)),INDEX('Margin Guidence Table'!$A$1:$AG$10000,MATCH(1,('Margin Guidence Table'!$A$1:$A$10000=GR22)*('Margin Guidence Table'!$I$1:$I$10000&lt;=ROUND($GJ$3,0))*('Margin Guidence Table'!$J$1:$J$10000&gt;=ROUND($GJ$3,0)),0),MATCH("DEFAULT_MDA_MEDIAN_MARGIN_GUIDENCE",'Margin Guidence Table'!$A$1:$AG$1,0))),0)</f>
        <v>0</v>
      </c>
      <c r="GY22" s="1054">
        <f t="array" ref="GY22">IFERROR(IF($GT22="SEGMENT",INDEX('Margin Guidence Table'!$A$1:$AG$10000,MATCH(1,('Margin Guidence Table'!$A$1:$A$10000=GR22)*('Margin Guidence Table'!$I$1:$I$10000&lt;=ROUND($GJ$3,0))*('Margin Guidence Table'!$J$1:$J$10000&gt;=ROUND($GJ$3,0)),0),MATCH("MDA_MAX_MARGIN_GUIDENCE",'Margin Guidence Table'!$A$1:$AG$1,0)),INDEX('Margin Guidence Table'!$A$1:$AG$10000,MATCH(1,('Margin Guidence Table'!$A$1:$A$10000=GR22)*('Margin Guidence Table'!$I$1:$I$10000&lt;=ROUND($GJ$3,0))*('Margin Guidence Table'!$J$1:$J$10000&gt;=ROUND($GJ$3,0)),0),MATCH("DEFAULT_MDA_MAX_MARGIN_GUIDENCE",'Margin Guidence Table'!$A$1:$AG$1,0))),0)</f>
        <v>0</v>
      </c>
      <c r="GZ22" s="1054">
        <f t="array" ref="GZ22">IFERROR(IF($GT22="SEGMENT",INDEX('Margin Guidence Table'!$A$1:$AG$10000,MATCH(1,('Margin Guidence Table'!$A$1:$A$10000=GR22)*('Margin Guidence Table'!$I$1:$I$10000&lt;=ROUND($GJ$3,0))*('Margin Guidence Table'!$J$1:$J$10000&gt;=ROUND($GJ$3,0)),0),MATCH("PA_PCT_SALES",'Margin Guidence Table'!$A$1:$AG$1,0)),INDEX('Margin Guidence Table'!$A$1:$AG$10000,MATCH(1,('Margin Guidence Table'!$A$1:$A$10000=GR22)*('Margin Guidence Table'!$I$1:$I$10000&lt;=ROUND($GJ$3,0))*('Margin Guidence Table'!$J$1:$J$10000&gt;=ROUND($GJ$3,0)),0),MATCH("DEFAULT_PA_PCT_SALES",'Margin Guidence Table'!$A$1:$AG$1,0))),0)</f>
        <v>0</v>
      </c>
      <c r="HA22" s="1054">
        <f t="array" ref="HA22">IFERROR(IF($GT22="SEGMENT",INDEX('Margin Guidence Table'!$A$1:$AG$10000,MATCH(1,('Margin Guidence Table'!$A$1:$A$10000=GR22)*('Margin Guidence Table'!$I$1:$I$10000&lt;=ROUND($GJ$3,0))*('Margin Guidence Table'!$J$1:$J$10000&gt;=ROUND($GJ$3,0)),0),MATCH("SELF_FUND_PCT_SALES",'Margin Guidence Table'!$A$1:$AG$1,0)),INDEX('Margin Guidence Table'!$A$1:$AG$10000,MATCH(1,('Margin Guidence Table'!$A$1:$A$10000=GR22)*('Margin Guidence Table'!$I$1:$I$10000&lt;=ROUND($GJ$3,0))*('Margin Guidence Table'!$J$1:$J$10000&gt;=ROUND($GJ$3,0)),0),MATCH("DEFAULT_SELF_FUND_PCT_SALES",'Margin Guidence Table'!$A$1:$AG$1,0))),0)</f>
        <v>0</v>
      </c>
      <c r="HB22" s="1054">
        <f t="array" ref="HB22">IFERROR(IF($GT22="SEGMENT",INDEX('Margin Guidence Table'!$A$1:$AG$10000,MATCH(1,('Margin Guidence Table'!$A$1:$A$10000=GR22)*('Margin Guidence Table'!$I$1:$I$10000&lt;=ROUND($GJ$3,0))*('Margin Guidence Table'!$J$1:$J$10000&gt;=ROUND($GJ$3,0)),0),MATCH("CIA_MEDIAN_MARGIN_GUIDENCE",'Margin Guidence Table'!$A$1:$AG$1,0)),INDEX('Margin Guidence Table'!$A$1:$AG$10000,MATCH(1,('Margin Guidence Table'!$A$1:$A$10000=GR22)*('Margin Guidence Table'!$I$1:$I$10000&lt;=ROUND($GJ$3,0))*('Margin Guidence Table'!$J$1:$J$10000&gt;=ROUND($GJ$3,0)),0),MATCH("DEFAULT_CIA_MEDIAN_MARGIN_GUIDENCE",'Margin Guidence Table'!$A$1:$AG$1,0))),0)</f>
        <v>0</v>
      </c>
      <c r="HC22" s="127"/>
      <c r="HD22" s="18">
        <f t="array" ref="HD22">IFERROR(IF($HQ22="SEGMENT",INDEX('Margin Guidence Table'!$A$1:$AG$10000,MATCH(1,('Margin Guidence Table'!$A$1:$A$10000=$HO22)*('Margin Guidence Table'!$I$1:$I$10000&lt;=ROUND($HG$3,0))*('Margin Guidence Table'!$J$1:$J$10000&gt;=ROUND($HG$3,0)),0),MATCH("PCT_SALES",'Margin Guidence Table'!$A$1:$AG$1,0)),INDEX('Margin Guidence Table'!$A$1:$AG$10000,MATCH(1,('Margin Guidence Table'!$A$1:$A$10000=$HO22)*('Margin Guidence Table'!$I$1:$I$10000&lt;=ROUND($HG$3,0))*('Margin Guidence Table'!$J$1:$J$10000&gt;=ROUND($HG$3,0)),0),MATCH("DEFAULT_PCT_SALES",'Margin Guidence Table'!$A$1:$AG$1,0))),0)</f>
        <v>0</v>
      </c>
      <c r="HE22" s="370" t="e">
        <f t="shared" si="40"/>
        <v>#DIV/0!</v>
      </c>
      <c r="HF22" s="100" t="s">
        <v>96</v>
      </c>
      <c r="HG22" s="92">
        <f>IFERROR(IF(AND($HG$2&lt;&gt;"Enter Spend&gt;&gt;&gt;",HH10="EXISTING"),SUMIFS('Existing Customers'!$Q:$Q,'Existing Customers'!$A:$A,$HG$1,'Existing Customers'!$H:$H,$HF22)*$HG$4,$HG$3*$HE22),0)</f>
        <v>0</v>
      </c>
      <c r="HH22" s="87">
        <f>IFERROR(IF(AND($HG$2&lt;&gt;"Enter Spend&gt;&gt;&gt;",HH2="EXISTING"),SUMIFS('Existing Customers'!$N:$N,'Existing Customers'!$A:$A,$HG$1,'Existing Customers'!$H:$H,$HF22)*$HG$4,$HG22/$HR22),0)</f>
        <v>0</v>
      </c>
      <c r="HI22" s="93">
        <f>IFERROR(IF(AND($HG$2&lt;&gt;"Enter Spend&gt;&gt;&gt;",HH2="EXISTING"),SUMIFS('Existing Customers'!$O:$O,'Existing Customers'!$H:$H,$HF22,'Existing Customers'!$A:$A,$HG$1)*$HG$4,$HH22*$HG$8),0)</f>
        <v>0</v>
      </c>
      <c r="HJ22" s="93">
        <f>IFERROR(IF(AND($HG$2&lt;&gt;"Enter Spend&gt;&gt;&gt;",HH2="EXISTING"),SUMIFS('Existing Customers'!$P:$P,'Existing Customers'!$A:$A,$HG$1,'Existing Customers'!$H:$H,$HF22)*$HG$4,$HG22/$HS22),0)</f>
        <v>0</v>
      </c>
      <c r="HK22" s="94">
        <f>IFERROR(IF(AND($HG$2&lt;&gt;"Enter Spend&gt;&gt;&gt;",HH2="EXISTING"),SUMIFS('Existing Customers'!$V:$V,'Existing Customers'!$H:$H,$HF22,'Existing Customers'!$A:$A,$HG$1)*$HG$4,0),0)</f>
        <v>0</v>
      </c>
      <c r="HL22" s="94">
        <f>IFERROR(IF(AND($HG$2&lt;&gt;"Enter Spend&gt;&gt;&gt;",HH2="EXISTING"),SUMIFS('Existing Customers'!$R:$R,'Existing Customers'!$H:$H,$HF22,'Existing Customers'!$A:$A,$HG$1)*$HG$4,0),0)</f>
        <v>0</v>
      </c>
      <c r="HM22" s="1050">
        <f>IFERROR(IF(AND($HG$2&lt;&gt;"Enter Spend&gt;&gt;&gt;",HH2="EXISTING"),SUMIFS('Existing Customers'!$S:$S,'Existing Customers'!$H:$H,$HF22,'Existing Customers'!$A:$A,$HG$1),HW22*HG22),0)</f>
        <v>0</v>
      </c>
      <c r="HN22" s="1050">
        <f>IFERROR(IF(AND($HG$2&lt;&gt;"Enter Spend&gt;&gt;&gt;",HH2="EXISTING"),SUMIFS('Existing Customers'!$U:$U,'Existing Customers'!$H:$H,$HF22,'Existing Customers'!$A:$A,$HG$1),HX22*HG22),0)</f>
        <v>0</v>
      </c>
      <c r="HO22" s="1053" t="e">
        <f>_xlfn.CONCAT('Customer Inputs'!$AG$13,"_",HF22)</f>
        <v>#N/A</v>
      </c>
      <c r="HP22" s="1053">
        <f t="array" ref="HP22">IFERROR(INDEX('Margin Guidence Table'!$A$1:$AG$10000,MATCH(1,('Margin Guidence Table'!$A$1:$A$10000=HO22)*('Margin Guidence Table'!$I$1:$I$10000&lt;=ROUND($HG$3,0))*('Margin Guidence Table'!$J$1:$J$10000&gt;=ROUND($HG$3,0)),0),MATCH("DATA_POINTS",'Margin Guidence Table'!$A$1:$AG$1,0)),0)</f>
        <v>0</v>
      </c>
      <c r="HQ22" s="1050" t="str">
        <f t="shared" si="41"/>
        <v>DEFAULT</v>
      </c>
      <c r="HR22" s="1050">
        <f t="array" ref="HR22">IFERROR(IF($HQ22="SEGMENT",INDEX('Margin Guidence Table'!$A$1:$AG$10000,MATCH(1,('Margin Guidence Table'!$A$1:$A$10000=HO22)*('Margin Guidence Table'!$I$1:$I$10000&lt;=ROUND($HG$3,0))*('Margin Guidence Table'!$J$1:$J$10000&gt;=ROUND($HG$3,0)),0),MATCH("SALES_CASE",'Margin Guidence Table'!$A$1:$AG$1,0)),INDEX('Margin Guidence Table'!$A$1:$AG$10000,MATCH(1,('Margin Guidence Table'!$A$1:$A$10000=HO22)*('Margin Guidence Table'!$I$1:$I$10000&lt;=ROUND($HG$3,0))*('Margin Guidence Table'!$J$1:$J$10000&gt;=ROUND($HG$3,0)),0),MATCH("DEFAULT_SALES_CASE",'Margin Guidence Table'!$A$1:$AG$1,0))),0)</f>
        <v>0</v>
      </c>
      <c r="HS22" s="1050">
        <f t="array" ref="HS22">IFERROR(IF($HQ22="SEGMENT",INDEX('Margin Guidence Table'!$A$1:$AG$10000,MATCH(1,('Margin Guidence Table'!$A$1:$A$10000=HO22)*('Margin Guidence Table'!$I$1:$I$10000&lt;=ROUND($HG$3,0))*('Margin Guidence Table'!$J$1:$J$10000&gt;=ROUND($HG$3,0)),0),MATCH("SALES_LBS",'Margin Guidence Table'!$A$1:$AG$1,0)),INDEX('Margin Guidence Table'!$A$1:$AG$10000,MATCH(1,('Margin Guidence Table'!$A$1:$A$10000=HO22)*('Margin Guidence Table'!$I$1:$I$10000&lt;=ROUND($HG$3,0))*('Margin Guidence Table'!$J$1:$J$10000&gt;=ROUND($HG$3,0)),0),MATCH("DEFAULT_SALES_LBS",'Margin Guidence Table'!$A$1:$AG$1,0))),0)</f>
        <v>0</v>
      </c>
      <c r="HT22" s="1054">
        <f t="array" ref="HT22">IFERROR(IF($HQ22="SEGMENT",INDEX('Margin Guidence Table'!$A$1:$AG$10000,MATCH(1,('Margin Guidence Table'!$A$1:$A$10000=HO22)*('Margin Guidence Table'!$I$1:$I$10000&lt;=ROUND($HG$3,0))*('Margin Guidence Table'!$J$1:$J$10000&gt;=ROUND($HG$3,0)),0),MATCH("MDA_MIN_MARGIN_GUIDENCE",'Margin Guidence Table'!$A$1:$AG$1,0)),INDEX('Margin Guidence Table'!$A$1:$AG$10000,MATCH(1,('Margin Guidence Table'!$A$1:$A$10000=HO22)*('Margin Guidence Table'!$I$1:$I$10000&lt;=ROUND($HG$3,0))*('Margin Guidence Table'!$J$1:$J$10000&gt;=ROUND($HG$3,0)),0),MATCH("DEFAULT_MDA_MIN_MARGIN_GUIDENCE",'Margin Guidence Table'!$A$1:$AG$1,0))),0)</f>
        <v>0</v>
      </c>
      <c r="HU22" s="1054">
        <f t="array" ref="HU22">IFERROR(IF($HQ22="SEGMENT",INDEX('Margin Guidence Table'!$A$1:$AG$10000,MATCH(1,('Margin Guidence Table'!$A$1:$A$10000=HO22)*('Margin Guidence Table'!$I$1:$I$10000&lt;=ROUND($HG$3,0))*('Margin Guidence Table'!$J$1:$J$10000&gt;=ROUND($HG$3,0)),0),MATCH("MDA_MEDIAN_MARGIN_GUIDENCE",'Margin Guidence Table'!$A$1:$AG$1,0)),INDEX('Margin Guidence Table'!$A$1:$AG$10000,MATCH(1,('Margin Guidence Table'!$A$1:$A$10000=HO22)*('Margin Guidence Table'!$I$1:$I$10000&lt;=ROUND($HG$3,0))*('Margin Guidence Table'!$J$1:$J$10000&gt;=ROUND($HG$3,0)),0),MATCH("DEFAULT_MDA_MEDIAN_MARGIN_GUIDENCE",'Margin Guidence Table'!$A$1:$AG$1,0))),0)</f>
        <v>0</v>
      </c>
      <c r="HV22" s="1054">
        <f t="array" ref="HV22">IFERROR(IF($HQ22="SEGMENT",INDEX('Margin Guidence Table'!$A$1:$AG$10000,MATCH(1,('Margin Guidence Table'!$A$1:$A$10000=HO22)*('Margin Guidence Table'!$I$1:$I$10000&lt;=ROUND($HG$3,0))*('Margin Guidence Table'!$J$1:$J$10000&gt;=ROUND($HG$3,0)),0),MATCH("MDA_MAX_MARGIN_GUIDENCE",'Margin Guidence Table'!$A$1:$AG$1,0)),INDEX('Margin Guidence Table'!$A$1:$AG$10000,MATCH(1,('Margin Guidence Table'!$A$1:$A$10000=HO22)*('Margin Guidence Table'!$I$1:$I$10000&lt;=ROUND($HG$3,0))*('Margin Guidence Table'!$J$1:$J$10000&gt;=ROUND($HG$3,0)),0),MATCH("DEFAULT_MDA_MAX_MARGIN_GUIDENCE",'Margin Guidence Table'!$A$1:$AG$1,0))),0)</f>
        <v>0</v>
      </c>
      <c r="HW22" s="1054">
        <f t="array" ref="HW22">IFERROR(IF($HQ22="SEGMENT",INDEX('Margin Guidence Table'!$A$1:$AG$10000,MATCH(1,('Margin Guidence Table'!$A$1:$A$10000=HO22)*('Margin Guidence Table'!$I$1:$I$10000&lt;=ROUND($HG$3,0))*('Margin Guidence Table'!$J$1:$J$10000&gt;=ROUND($HG$3,0)),0),MATCH("PA_PCT_SALES",'Margin Guidence Table'!$A$1:$AG$1,0)),INDEX('Margin Guidence Table'!$A$1:$AG$10000,MATCH(1,('Margin Guidence Table'!$A$1:$A$10000=HO22)*('Margin Guidence Table'!$I$1:$I$10000&lt;=ROUND($HG$3,0))*('Margin Guidence Table'!$J$1:$J$10000&gt;=ROUND($HG$3,0)),0),MATCH("DEFAULT_PA_PCT_SALES",'Margin Guidence Table'!$A$1:$AG$1,0))),0)</f>
        <v>0</v>
      </c>
      <c r="HX22" s="1054">
        <f t="array" ref="HX22">IFERROR(IF($HQ22="SEGMENT",INDEX('Margin Guidence Table'!$A$1:$AG$10000,MATCH(1,('Margin Guidence Table'!$A$1:$A$10000=HO22)*('Margin Guidence Table'!$I$1:$I$10000&lt;=ROUND($HG$3,0))*('Margin Guidence Table'!$J$1:$J$10000&gt;=ROUND($HG$3,0)),0),MATCH("SELF_FUND_PCT_SALES",'Margin Guidence Table'!$A$1:$AG$1,0)),INDEX('Margin Guidence Table'!$A$1:$AG$10000,MATCH(1,('Margin Guidence Table'!$A$1:$A$10000=HO22)*('Margin Guidence Table'!$I$1:$I$10000&lt;=ROUND($HG$3,0))*('Margin Guidence Table'!$J$1:$J$10000&gt;=ROUND($HG$3,0)),0),MATCH("DEFAULT_SELF_FUND_PCT_SALES",'Margin Guidence Table'!$A$1:$AG$1,0))),0)</f>
        <v>0</v>
      </c>
      <c r="HY22" s="1054">
        <f t="array" ref="HY22">IFERROR(IF($HQ22="SEGMENT",INDEX('Margin Guidence Table'!$A$1:$AG$10000,MATCH(1,('Margin Guidence Table'!$A$1:$A$10000=HO22)*('Margin Guidence Table'!$I$1:$I$10000&lt;=ROUND($HG$3,0))*('Margin Guidence Table'!$J$1:$J$10000&gt;=ROUND($HG$3,0)),0),MATCH("CIA_MEDIAN_MARGIN_GUIDENCE",'Margin Guidence Table'!$A$1:$AG$1,0)),INDEX('Margin Guidence Table'!$A$1:$AG$10000,MATCH(1,('Margin Guidence Table'!$A$1:$A$10000=HO22)*('Margin Guidence Table'!$I$1:$I$10000&lt;=ROUND($HG$3,0))*('Margin Guidence Table'!$J$1:$J$10000&gt;=ROUND($HG$3,0)),0),MATCH("DEFAULT_CIA_MEDIAN_MARGIN_GUIDENCE",'Margin Guidence Table'!$A$1:$AG$1,0))),0)</f>
        <v>0</v>
      </c>
      <c r="HZ22" s="127"/>
      <c r="IA22" s="18">
        <f t="array" ref="IA22">IFERROR(IF($IN22="SEGMENT",INDEX('Margin Guidence Table'!$A:$AC,MATCH(1,('Margin Guidence Table'!$A:$A=$IL22)*('Margin Guidence Table'!$H:$H&lt;=ROUND($ID$3,0))*('Margin Guidence Table'!$G:$G&gt;=ROUND($ID$3,0)),0),MATCH("PCT_SALES",'Margin Guidence Table'!$A$1:$AG$1,0)),INDEX('Margin Guidence Table'!$A:$AC,MATCH(1,('Margin Guidence Table'!$A:$A=$IL22)*('Margin Guidence Table'!$H:$H&lt;=ROUND($ID$3,0))*('Margin Guidence Table'!$G:$G&gt;=ROUND($ID$3,0)),0),MATCH("DEFAULT_PCT_SALES",'Margin Guidence Table'!$A$1:$AG$1,0))),0)</f>
        <v>0</v>
      </c>
      <c r="IB22" s="370" t="e">
        <f t="shared" si="42"/>
        <v>#DIV/0!</v>
      </c>
      <c r="IC22" s="100" t="s">
        <v>96</v>
      </c>
      <c r="ID22" s="92">
        <f>IFERROR(IF(AND($ID$2&lt;&gt;"Enter Spend&gt;&gt;&gt;",IE10="EXISTING"),SUMIFS('Existing Customers'!$Q:$Q,'Existing Customers'!$A:$A,$ID$1,'Existing Customers'!$H:$H,$IC22)*$ID$4,$ID$3*$IB22),0)</f>
        <v>0</v>
      </c>
      <c r="IE22" s="87">
        <f>IFERROR(IF(AND($ID$2&lt;&gt;"Enter Spend&gt;&gt;&gt;",IE2="EXISTING"),SUMIFS('Existing Customers'!$N:$N,'Existing Customers'!$A:$A,$ID$1,'Existing Customers'!$H:$H,$IC22)*$ID$4,$ID22/$IO22),0)</f>
        <v>0</v>
      </c>
      <c r="IF22" s="93">
        <f>IFERROR(IF(AND($ID$2&lt;&gt;"Enter Spend&gt;&gt;&gt;",IE2="EXISTING"),SUMIFS('Existing Customers'!$O:$O,'Existing Customers'!$H:$H,$IC22,'Existing Customers'!$A:$A,$ID$1)*$ID$4,$IE22*$ID$8),0)</f>
        <v>0</v>
      </c>
      <c r="IG22" s="93">
        <f>IFERROR(IF(AND($ID$2&lt;&gt;"Enter Spend&gt;&gt;&gt;",IE2="EXISTING"),SUMIFS('Existing Customers'!$P:$P,'Existing Customers'!$A:$A,$ID$1,'Existing Customers'!$H:$H,$IC22)*$ID$4,$ID22/$IP22),0)</f>
        <v>0</v>
      </c>
      <c r="IH22" s="376">
        <f>IFERROR(IF(AND($ID$2&lt;&gt;"Enter Spend&gt;&gt;&gt;",IE2="EXISTING"),SUMIFS('Existing Customers'!$V:$V,'Existing Customers'!$H:$H,$IC22,'Existing Customers'!$A:$A,$ID$1)*$ID$4,0),0)</f>
        <v>0</v>
      </c>
      <c r="II22" s="94">
        <f>IFERROR(IF(AND($ID$2&lt;&gt;"Enter Spend&gt;&gt;&gt;",IE2="EXISTING"),SUMIFS('Existing Customers'!$R:$R,'Existing Customers'!$H:$H,$IC22,'Existing Customers'!$A:$A,$ID$1)*$ID$4,0),0)</f>
        <v>0</v>
      </c>
      <c r="IJ22" s="1050">
        <f>IFERROR(IF(AND($ID$2&lt;&gt;"Enter Spend&gt;&gt;&gt;",IE2="EXISTING"),SUMIFS('Existing Customers'!$S:$S,'Existing Customers'!$H:$H,$IC22,'Existing Customers'!$A:$A,$ID$1),IT22*ID22),0)</f>
        <v>0</v>
      </c>
      <c r="IK22" s="1050">
        <f>IFERROR(IF(AND($ID$2&lt;&gt;"Enter Spend&gt;&gt;&gt;",IE2="EXISTING"),SUMIFS('Existing Customers'!$U:$U,'Existing Customers'!$H:$H,$IC22,'Existing Customers'!$A:$A,$ID$1),IU22*ID22),0)</f>
        <v>0</v>
      </c>
      <c r="IL22" s="1053" t="e">
        <f>_xlfn.CONCAT('Customer Inputs'!$AG$14,"_",IC22)</f>
        <v>#N/A</v>
      </c>
      <c r="IM22" s="1053">
        <f t="array" ref="IM22">IFERROR(INDEX('Margin Guidence Table'!$A$1:$AG$10000,MATCH(1,('Margin Guidence Table'!$A$1:$A$10000=IL22)*('Margin Guidence Table'!$I$1:$I$10000&lt;=ROUND($ID$3,0))*('Margin Guidence Table'!$J$1:$J$10000&gt;=ROUND($ID$3,0)),0),MATCH("DATA_POINTS",'Margin Guidence Table'!$A$1:$AG$1,0)),0)</f>
        <v>0</v>
      </c>
      <c r="IN22" s="1050" t="str">
        <f t="shared" si="43"/>
        <v>DEFAULT</v>
      </c>
      <c r="IO22" s="1050">
        <f t="array" ref="IO22">IFERROR(IF($IN22="SEGMENT",INDEX('Margin Guidence Table'!$A$1:$AG$10000,MATCH(1,('Margin Guidence Table'!$A$1:$A$10000=IL22)*('Margin Guidence Table'!$I$1:$I$10000&lt;=ROUND($ID$3,0))*('Margin Guidence Table'!$J$1:$J$10000&gt;=ROUND($ID$3,0)),0),MATCH("SALES_CASE",'Margin Guidence Table'!$A$1:$AG$1,0)),INDEX('Margin Guidence Table'!$A$1:$AG$10000,MATCH(1,('Margin Guidence Table'!$A$1:$A$10000=IL22)*('Margin Guidence Table'!$I$1:$I$10000&lt;=ROUND($ID$3,0))*('Margin Guidence Table'!$J$1:$J$10000&gt;=ROUND($ID$3,0)),0),MATCH("DEFAULT_SALES_CASE",'Margin Guidence Table'!$A$1:$AG$1,0))),0)</f>
        <v>0</v>
      </c>
      <c r="IP22" s="1050">
        <f t="array" ref="IP22">IFERROR(IF($IN22="SEGMENT",INDEX('Margin Guidence Table'!$A$1:$AG$10000,MATCH(1,('Margin Guidence Table'!$A$1:$A$10000=IL22)*('Margin Guidence Table'!$I$1:$I$10000&lt;=ROUND($ID$3,0))*('Margin Guidence Table'!$J$1:$J$10000&gt;=ROUND($ID$3,0)),0),MATCH("SALES_LBS",'Margin Guidence Table'!$A$1:$AG$1,0)),INDEX('Margin Guidence Table'!$A$1:$AG$10000,MATCH(1,('Margin Guidence Table'!$A$1:$A$10000=IL22)*('Margin Guidence Table'!$I$1:$I$10000&lt;=ROUND($ID$3,0))*('Margin Guidence Table'!$J$1:$J$10000&gt;=ROUND($ID$3,0)),0),MATCH("DEFAULT_SALES_LBS",'Margin Guidence Table'!$A$1:$AG$1,0))),0)</f>
        <v>0</v>
      </c>
      <c r="IQ22" s="1054">
        <f t="array" ref="IQ22">IFERROR(IF($IN22="SEGMENT",INDEX('Margin Guidence Table'!$A$1:$AG$10000,MATCH(1,('Margin Guidence Table'!$A$1:$A$10000=IL22)*('Margin Guidence Table'!$I$1:$I$10000&lt;=ROUND($ID$3,0))*('Margin Guidence Table'!$J$1:$J$10000&gt;=ROUND($ID$3,0)),0),MATCH("MDA_MIN_MARGIN_GUIDENCE",'Margin Guidence Table'!$A$1:$AG$1,0)),INDEX('Margin Guidence Table'!$A$1:$AG$10000,MATCH(1,('Margin Guidence Table'!$A$1:$A$10000=IL22)*('Margin Guidence Table'!$I$1:$I$10000&lt;=ROUND($ID$3,0))*('Margin Guidence Table'!$J$1:$J$10000&gt;=ROUND($ID$3,0)),0),MATCH("DEFAULT_MDA_MIN_MARGIN_GUIDENCE",'Margin Guidence Table'!$A$1:$AG$1,0))),0)</f>
        <v>0</v>
      </c>
      <c r="IR22" s="1054">
        <f t="array" ref="IR22">IFERROR(IF($IN22="SEGMENT",INDEX('Margin Guidence Table'!$A$1:$AG$10000,MATCH(1,('Margin Guidence Table'!$A$1:$A$10000=IL22)*('Margin Guidence Table'!$I$1:$I$10000&lt;=ROUND($ID$3,0))*('Margin Guidence Table'!$J$1:$J$10000&gt;=ROUND($ID$3,0)),0),MATCH("MDA_MEDIAN_MARGIN_GUIDENCE",'Margin Guidence Table'!$A$1:$AG$1,0)),INDEX('Margin Guidence Table'!$A$1:$AG$10000,MATCH(1,('Margin Guidence Table'!$A$1:$A$10000=IL22)*('Margin Guidence Table'!$I$1:$I$10000&lt;=ROUND($ID$3,0))*('Margin Guidence Table'!$J$1:$J$10000&gt;=ROUND($ID$3,0)),0),MATCH("DEFAULT_MDA_MEDIAN_MARGIN_GUIDENCE",'Margin Guidence Table'!$A$1:$AG$1,0))),0)</f>
        <v>0</v>
      </c>
      <c r="IS22" s="1054">
        <f t="array" ref="IS22">IFERROR(IF($IN22="SEGMENT",INDEX('Margin Guidence Table'!$A$1:$AG$10000,MATCH(1,('Margin Guidence Table'!$A$1:$A$10000=IL22)*('Margin Guidence Table'!$I$1:$I$10000&lt;=ROUND($ID$3,0))*('Margin Guidence Table'!$J$1:$J$10000&gt;=ROUND($ID$3,0)),0),MATCH("MDA_MAX_MARGIN_GUIDENCE",'Margin Guidence Table'!$A$1:$AG$1,0)),INDEX('Margin Guidence Table'!$A$1:$AG$10000,MATCH(1,('Margin Guidence Table'!$A$1:$A$10000=IL22)*('Margin Guidence Table'!$I$1:$I$10000&lt;=ROUND($ID$3,0))*('Margin Guidence Table'!$J$1:$J$10000&gt;=ROUND($ID$3,0)),0),MATCH("DEFAULT_MDA_MAX_MARGIN_GUIDENCE",'Margin Guidence Table'!$A$1:$AG$1,0))),0)</f>
        <v>0</v>
      </c>
      <c r="IT22" s="1054">
        <f t="array" ref="IT22">IFERROR(IF($IN22="SEGMENT",INDEX('Margin Guidence Table'!$A$1:$AG$10000,MATCH(1,('Margin Guidence Table'!$A$1:$A$10000=IL22)*('Margin Guidence Table'!$I$1:$I$10000&lt;=ROUND($ID$3,0))*('Margin Guidence Table'!$J$1:$J$10000&gt;=ROUND($ID$3,0)),0),MATCH("PA_PCT_SALES",'Margin Guidence Table'!$A$1:$AG$1,0)),INDEX('Margin Guidence Table'!$A$1:$AG$10000,MATCH(1,('Margin Guidence Table'!$A$1:$A$10000=IL22)*('Margin Guidence Table'!$I$1:$I$10000&lt;=ROUND($ID$3,0))*('Margin Guidence Table'!$J$1:$J$10000&gt;=ROUND($ID$3,0)),0),MATCH("DEFAULT_PA_PCT_SALES",'Margin Guidence Table'!$A$1:$AG$1,0))),0)</f>
        <v>0</v>
      </c>
      <c r="IU22" s="1054">
        <f t="array" ref="IU22">IFERROR(IF($IN22="SEGMENT",INDEX('Margin Guidence Table'!$A$1:$AG$10000,MATCH(1,('Margin Guidence Table'!$A$1:$A$10000=IL22)*('Margin Guidence Table'!$I$1:$I$10000&lt;=ROUND($ID$3,0))*('Margin Guidence Table'!$J$1:$J$10000&gt;=ROUND($ID$3,0)),0),MATCH("SELF_FUND_PCT_SALES",'Margin Guidence Table'!$A$1:$AG$1,0)),INDEX('Margin Guidence Table'!$A$1:$AG$10000,MATCH(1,('Margin Guidence Table'!$A$1:$A$10000=IL22)*('Margin Guidence Table'!$I$1:$I$10000&lt;=ROUND($ID$3,0))*('Margin Guidence Table'!$J$1:$J$10000&gt;=ROUND($ID$3,0)),0),MATCH("DEFAULT_SELF_FUND_PCT_SALES",'Margin Guidence Table'!$A$1:$AG$1,0))),0)</f>
        <v>0</v>
      </c>
      <c r="IV22" s="1054">
        <f t="array" ref="IV22">IFERROR(IF($IN22="SEGMENT",INDEX('Margin Guidence Table'!$A$1:$AG$10000,MATCH(1,('Margin Guidence Table'!$A$1:$A$10000=IL22)*('Margin Guidence Table'!$I$1:$I$10000&lt;=ROUND($ID$3,0))*('Margin Guidence Table'!$J$1:$J$10000&gt;=ROUND($ID$3,0)),0),MATCH("CIA_MEDIAN_MARGIN_GUIDENCE",'Margin Guidence Table'!$A$1:$AG$1,0)),INDEX('Margin Guidence Table'!$A$1:$AG$10000,MATCH(1,('Margin Guidence Table'!$A$1:$A$10000=IL22)*('Margin Guidence Table'!$I$1:$I$10000&lt;=ROUND($ID$3,0))*('Margin Guidence Table'!$J$1:$J$10000&gt;=ROUND($ID$3,0)),0),MATCH("DEFAULT_CIA_MEDIAN_MARGIN_GUIDENCE",'Margin Guidence Table'!$A$1:$AG$1,0))),0)</f>
        <v>0</v>
      </c>
      <c r="IW22" s="127"/>
      <c r="IX22" s="18">
        <f t="array" ref="IX22">IFERROR(IF($JK22="SEGMENT",INDEX('Margin Guidence Table'!$A$1:$AG$10000,MATCH(1,('Margin Guidence Table'!$A$1:$A$10000=$JI22)*('Margin Guidence Table'!$I$1:$I$10000&lt;=ROUND($JA$3,0))*('Margin Guidence Table'!$J$1:$J$10000&gt;=ROUND($JA$3,0)),0),MATCH("PCT_SALES",'Margin Guidence Table'!$A$1:$AG$1,0)),INDEX('Margin Guidence Table'!$A$1:$AG$10000,MATCH(1,('Margin Guidence Table'!$A$1:$A$10000=$JI22)*('Margin Guidence Table'!$I$1:$I$10000&lt;=ROUND($JA$3,0))*('Margin Guidence Table'!$J$1:$J$10000&gt;=ROUND($JA$3,0)),0),MATCH("DEFAULT_PCT_SALES",'Margin Guidence Table'!$A$1:$AG$1,0))),0)</f>
        <v>0</v>
      </c>
      <c r="IY22" s="370" t="e">
        <f t="shared" si="44"/>
        <v>#DIV/0!</v>
      </c>
      <c r="IZ22" s="100" t="s">
        <v>96</v>
      </c>
      <c r="JA22" s="92">
        <f>IFERROR(IF(AND($JA$2&lt;&gt;"Enter Spend&gt;&gt;&gt;",JB10="EXISTING"),SUMIFS('Existing Customers'!$Q:$Q,'Existing Customers'!$A:$A,$JA$1,'Existing Customers'!$H:$H,$IZ22)*$JA$4,$JA$3*$IY22),0)</f>
        <v>0</v>
      </c>
      <c r="JB22" s="87">
        <f>IFERROR(IF(AND($JA$2&lt;&gt;"Enter Spend&gt;&gt;&gt;",JB2="EXISTING"),SUMIFS('Existing Customers'!$N:$N,'Existing Customers'!$A:$A,$JA$1,'Existing Customers'!$H:$H,$IZ22)*$JA$4,$JA22/$JL22),0)</f>
        <v>0</v>
      </c>
      <c r="JC22" s="93">
        <f>IFERROR(IF(AND($JA$2&lt;&gt;"Enter Spend&gt;&gt;&gt;",JB2="EXISTING"),SUMIFS('Existing Customers'!$O:$O,'Existing Customers'!$H:$H,$IZ22,'Existing Customers'!$A:$A,$JA$1)*$JA$4,$JB22*$JA$8),0)</f>
        <v>0</v>
      </c>
      <c r="JD22" s="93">
        <f>IFERROR(IF(AND($JA$2&lt;&gt;"Enter Spend&gt;&gt;&gt;",JB2="EXISTING"),SUMIFS('Existing Customers'!$P:$P,'Existing Customers'!$A:$A,$JA$1,'Existing Customers'!$H:$H,$IZ22)*$JA$4,$JA22/$JM22),0)</f>
        <v>0</v>
      </c>
      <c r="JE22" s="376">
        <f>IFERROR(IF(AND($JA$2&lt;&gt;"Enter Spend&gt;&gt;&gt;",JB2="EXISTING"),SUMIFS('Existing Customers'!$V:$V,'Existing Customers'!$H:$H,$IZ22,'Existing Customers'!$A:$A,$JA$1)*$JA$4,0),0)</f>
        <v>0</v>
      </c>
      <c r="JF22" s="94">
        <f>IFERROR(IF(AND($JA$2&lt;&gt;"Enter Spend&gt;&gt;&gt;",JB2="EXISTING"),SUMIFS('Existing Customers'!$R:$R,'Existing Customers'!$H:$H,$IZ22,'Existing Customers'!$A:$A,$JA$1)*$JA$4,0),0)</f>
        <v>0</v>
      </c>
      <c r="JG22" s="1050">
        <f>IFERROR(IF(AND($JA$2&lt;&gt;"Enter Spend&gt;&gt;&gt;",JB2="EXISTING"),SUMIFS('Existing Customers'!$S:$S,'Existing Customers'!$H:$H,$IZ22,'Existing Customers'!$A:$A,$JA$1),JQ22*JA22),0)</f>
        <v>0</v>
      </c>
      <c r="JH22" s="1050">
        <f>IFERROR(IF(AND($JA$2&lt;&gt;"Enter Spend&gt;&gt;&gt;",JB2="EXISTING"),SUMIFS('Existing Customers'!$U:$U,'Existing Customers'!$H:$H,$IZ22,'Existing Customers'!$A:$A,$JA$1),JR22*JA22),0)</f>
        <v>0</v>
      </c>
      <c r="JI22" s="1053" t="e">
        <f>_xlfn.CONCAT('Customer Inputs'!$AG$15,"_",IZ22)</f>
        <v>#N/A</v>
      </c>
      <c r="JJ22" s="1053">
        <f t="array" ref="JJ22">IFERROR(INDEX('Margin Guidence Table'!$A$1:$AG$10000,MATCH(1,('Margin Guidence Table'!$A$1:$A$10000=JI22)*('Margin Guidence Table'!$I$1:$I$10000&lt;=ROUND($JA$3,0))*('Margin Guidence Table'!$J$1:$J$10000&gt;=ROUND($JA$3,0)),0),MATCH("DATA_POINTS",'Margin Guidence Table'!$A$1:$AG$1,0)),0)</f>
        <v>0</v>
      </c>
      <c r="JK22" s="1050" t="str">
        <f t="shared" si="45"/>
        <v>DEFAULT</v>
      </c>
      <c r="JL22" s="1050">
        <f t="array" ref="JL22">IFERROR(IF($JK22="SEGMENT",INDEX('Margin Guidence Table'!$A$1:$AG$10000,MATCH(1,('Margin Guidence Table'!$A$1:$A$10000=JI22)*('Margin Guidence Table'!$I$1:$I$10000&lt;=ROUND($JA$3,0))*('Margin Guidence Table'!$J$1:$J$10000&gt;=ROUND($JA$3,0)),0),MATCH("SALES_CASE",'Margin Guidence Table'!$A$1:$AG$1,0)),INDEX('Margin Guidence Table'!$A$1:$AG$10000,MATCH(1,('Margin Guidence Table'!$A$1:$A$10000=JI22)*('Margin Guidence Table'!$I$1:$I$10000&lt;=ROUND($JA$3,0))*('Margin Guidence Table'!$J$1:$J$10000&gt;=ROUND($JA$3,0)),0),MATCH("DEFAULT_SALES_CASE",'Margin Guidence Table'!$A$1:$AG$1,0))),0)</f>
        <v>0</v>
      </c>
      <c r="JM22" s="1050">
        <f t="array" ref="JM22">IFERROR(IF($JK22="SEGMENT",INDEX('Margin Guidence Table'!$A$1:$AG$10000,MATCH(1,('Margin Guidence Table'!$A$1:$A$10000=JI22)*('Margin Guidence Table'!$I$1:$I$10000&lt;=ROUND($JA$3,0))*('Margin Guidence Table'!$J$1:$J$10000&gt;=ROUND($JA$3,0)),0),MATCH("SALES_LBS",'Margin Guidence Table'!$A$1:$AG$1,0)),INDEX('Margin Guidence Table'!$A$1:$AG$10000,MATCH(1,('Margin Guidence Table'!$A$1:$A$10000=JI22)*('Margin Guidence Table'!$I$1:$I$10000&lt;=ROUND($JA$3,0))*('Margin Guidence Table'!$J$1:$J$10000&gt;=ROUND($JA$3,0)),0),MATCH("DEFAULT_SALES_LBS",'Margin Guidence Table'!$A$1:$AG$1,0))),0)</f>
        <v>0</v>
      </c>
      <c r="JN22" s="1054">
        <f t="array" ref="JN22">IFERROR(IF($JK22="SEGMENT",INDEX('Margin Guidence Table'!$A$1:$AG$10000,MATCH(1,('Margin Guidence Table'!$A$1:$A$10000=JI22)*('Margin Guidence Table'!$I$1:$I$10000&lt;=ROUND($JA$3,0))*('Margin Guidence Table'!$J$1:$J$10000&gt;=ROUND($JA$3,0)),0),MATCH("MDA_MIN_MARGIN_GUIDENCE",'Margin Guidence Table'!$A$1:$AG$1,0)),INDEX('Margin Guidence Table'!$A$1:$AG$10000,MATCH(1,('Margin Guidence Table'!$A$1:$A$10000=JI22)*('Margin Guidence Table'!$I$1:$I$10000&lt;=ROUND($JA$3,0))*('Margin Guidence Table'!$J$1:$J$10000&gt;=ROUND($JA$3,0)),0),MATCH("DEFAULT_MDA_MIN_MARGIN_GUIDENCE",'Margin Guidence Table'!$A$1:$AG$1,0))),0)</f>
        <v>0</v>
      </c>
      <c r="JO22" s="1054">
        <f t="array" ref="JO22">IFERROR(IF($JK22="SEGMENT",INDEX('Margin Guidence Table'!$A$1:$AG$10000,MATCH(1,('Margin Guidence Table'!$A$1:$A$10000=JI22)*('Margin Guidence Table'!$I$1:$I$10000&lt;=ROUND($JA$3,0))*('Margin Guidence Table'!$J$1:$J$10000&gt;=ROUND($JA$3,0)),0),MATCH("MDA_MEDIAN_MARGIN_GUIDENCE",'Margin Guidence Table'!$A$1:$AG$1,0)),INDEX('Margin Guidence Table'!$A$1:$AG$10000,MATCH(1,('Margin Guidence Table'!$A$1:$A$10000=JI22)*('Margin Guidence Table'!$I$1:$I$10000&lt;=ROUND($JA$3,0))*('Margin Guidence Table'!$J$1:$J$10000&gt;=ROUND($JA$3,0)),0),MATCH("DEFAULT_MDA_MEDIAN_MARGIN_GUIDENCE",'Margin Guidence Table'!$A$1:$AG$1,0))),0)</f>
        <v>0</v>
      </c>
      <c r="JP22" s="1054">
        <f t="array" ref="JP22">IFERROR(IF($JK22="SEGMENT",INDEX('Margin Guidence Table'!$A$1:$AG$10000,MATCH(1,('Margin Guidence Table'!$A$1:$A$10000=JI22)*('Margin Guidence Table'!$I$1:$I$10000&lt;=ROUND($JA$3,0))*('Margin Guidence Table'!$J$1:$J$10000&gt;=ROUND($JA$3,0)),0),MATCH("MDA_MAX_MARGIN_GUIDENCE",'Margin Guidence Table'!$A$1:$AG$1,0)),INDEX('Margin Guidence Table'!$A$1:$AG$10000,MATCH(1,('Margin Guidence Table'!$A$1:$A$10000=JI22)*('Margin Guidence Table'!$I$1:$I$10000&lt;=ROUND($JA$3,0))*('Margin Guidence Table'!$J$1:$J$10000&gt;=ROUND($JA$3,0)),0),MATCH("DEFAULT_MDA_MAX_MARGIN_GUIDENCE",'Margin Guidence Table'!$A$1:$AG$1,0))),0)</f>
        <v>0</v>
      </c>
      <c r="JQ22" s="1054">
        <f t="array" ref="JQ22">IFERROR(IF($JK22="SEGMENT",INDEX('Margin Guidence Table'!$A$1:$AG$10000,MATCH(1,('Margin Guidence Table'!$A$1:$A$10000=JI22)*('Margin Guidence Table'!$I$1:$I$10000&lt;=ROUND($JA$3,0))*('Margin Guidence Table'!$J$1:$J$10000&gt;=ROUND($JA$3,0)),0),MATCH("PA_PCT_SALES",'Margin Guidence Table'!$A$1:$AG$1,0)),INDEX('Margin Guidence Table'!$A$1:$AG$10000,MATCH(1,('Margin Guidence Table'!$A$1:$A$10000=JI22)*('Margin Guidence Table'!$I$1:$I$10000&lt;=ROUND($JA$3,0))*('Margin Guidence Table'!$J$1:$J$10000&gt;=ROUND($JA$3,0)),0),MATCH("DEFAULT_PA_PCT_SALES",'Margin Guidence Table'!$A$1:$AG$1,0))),0)</f>
        <v>0</v>
      </c>
      <c r="JR22" s="1054">
        <f t="array" ref="JR22">IFERROR(IF($JK22="SEGMENT",INDEX('Margin Guidence Table'!$A$1:$AG$10000,MATCH(1,('Margin Guidence Table'!$A$1:$A$10000=JI22)*('Margin Guidence Table'!$I$1:$I$10000&lt;=ROUND($JA$3,0))*('Margin Guidence Table'!$J$1:$J$10000&gt;=ROUND($JA$3,0)),0),MATCH("SELF_FUND_PCT_SALES",'Margin Guidence Table'!$A$1:$AG$1,0)),INDEX('Margin Guidence Table'!$A$1:$AG$10000,MATCH(1,('Margin Guidence Table'!$A$1:$A$10000=JI22)*('Margin Guidence Table'!$I$1:$I$10000&lt;=ROUND($JA$3,0))*('Margin Guidence Table'!$J$1:$J$10000&gt;=ROUND($JA$3,0)),0),MATCH("DEFAULT_SELF_FUND_PCT_SALES",'Margin Guidence Table'!$A$1:$AG$1,0))),0)</f>
        <v>0</v>
      </c>
      <c r="JS22" s="1054">
        <f t="array" ref="JS22">IFERROR(IF($JK22="SEGMENT",INDEX('Margin Guidence Table'!$A$1:$AG$10000,MATCH(1,('Margin Guidence Table'!$A$1:$A$10000=JI22)*('Margin Guidence Table'!$I$1:$I$10000&lt;=ROUND($JA$3,0))*('Margin Guidence Table'!$J$1:$J$10000&gt;=ROUND($JA$3,0)),0),MATCH("CIA_MEDIAN_MARGIN_GUIDENCE",'Margin Guidence Table'!$A$1:$AG$1,0)),INDEX('Margin Guidence Table'!$A$1:$AG$10000,MATCH(1,('Margin Guidence Table'!$A$1:$A$10000=JI22)*('Margin Guidence Table'!$I$1:$I$10000&lt;=ROUND($JA$3,0))*('Margin Guidence Table'!$J$1:$J$10000&gt;=ROUND($JA$3,0)),0),MATCH("DEFAULT_CIA_MEDIAN_MARGIN_GUIDENCE",'Margin Guidence Table'!$A$1:$AG$1,0))),0)</f>
        <v>0</v>
      </c>
      <c r="JU22" s="100" t="s">
        <v>96</v>
      </c>
      <c r="JV22" s="95"/>
      <c r="JW22" s="87"/>
      <c r="JX22" s="87"/>
      <c r="JY22" s="87"/>
      <c r="JZ22" s="112"/>
      <c r="KA22" s="96"/>
      <c r="KB22" s="127"/>
      <c r="KD22" s="100" t="s">
        <v>96</v>
      </c>
      <c r="KE22" s="95"/>
      <c r="KF22" s="87"/>
      <c r="KG22" s="87"/>
      <c r="KH22" s="87"/>
      <c r="KI22" s="112"/>
      <c r="KJ22" s="96"/>
    </row>
    <row r="23" spans="2:296" ht="15.75" thickBot="1" x14ac:dyDescent="0.3">
      <c r="B23" s="100" t="s">
        <v>101</v>
      </c>
      <c r="C23" s="449">
        <f t="shared" si="11"/>
        <v>0</v>
      </c>
      <c r="D23" s="465">
        <f t="shared" si="12"/>
        <v>0</v>
      </c>
      <c r="E23" s="465">
        <f t="shared" si="13"/>
        <v>0</v>
      </c>
      <c r="F23" s="465">
        <f t="shared" si="14"/>
        <v>0</v>
      </c>
      <c r="G23" s="466">
        <f t="shared" si="15"/>
        <v>0</v>
      </c>
      <c r="H23" s="465">
        <f t="shared" si="16"/>
        <v>0</v>
      </c>
      <c r="I23" s="1046" t="e">
        <f t="shared" si="0"/>
        <v>#DIV/0!</v>
      </c>
      <c r="J23" s="1046" t="e">
        <f t="shared" si="1"/>
        <v>#DIV/0!</v>
      </c>
      <c r="K23" s="1046" t="e">
        <f t="shared" si="2"/>
        <v>#DIV/0!</v>
      </c>
      <c r="L23" s="465" t="e">
        <f t="shared" si="3"/>
        <v>#DIV/0!</v>
      </c>
      <c r="M23" s="465" t="e">
        <f t="shared" si="17"/>
        <v>#DIV/0!</v>
      </c>
      <c r="N23" s="1047" t="e">
        <f t="shared" si="4"/>
        <v>#DIV/0!</v>
      </c>
      <c r="P23" t="str">
        <f>'PIM Model'!E19</f>
        <v>INCLUDE</v>
      </c>
      <c r="Q23">
        <f t="shared" si="18"/>
        <v>0</v>
      </c>
      <c r="R23">
        <f t="shared" si="19"/>
        <v>0</v>
      </c>
      <c r="S23" s="100" t="s">
        <v>101</v>
      </c>
      <c r="T23" s="95">
        <f t="shared" si="20"/>
        <v>0</v>
      </c>
      <c r="U23" s="87">
        <f t="shared" si="5"/>
        <v>0</v>
      </c>
      <c r="V23" s="87">
        <f t="shared" si="6"/>
        <v>0</v>
      </c>
      <c r="W23" s="87">
        <f t="shared" si="7"/>
        <v>0</v>
      </c>
      <c r="X23" s="112">
        <f t="shared" si="8"/>
        <v>0</v>
      </c>
      <c r="Y23" s="115">
        <f t="shared" si="21"/>
        <v>0</v>
      </c>
      <c r="Z23" s="374"/>
      <c r="AA23" s="100" t="s">
        <v>101</v>
      </c>
      <c r="AB23" s="453">
        <f t="shared" si="9"/>
        <v>0</v>
      </c>
      <c r="AC23" s="454">
        <f t="shared" si="9"/>
        <v>0</v>
      </c>
      <c r="AD23" s="454">
        <f t="shared" si="9"/>
        <v>0</v>
      </c>
      <c r="AE23" s="455">
        <f t="shared" si="22"/>
        <v>0</v>
      </c>
      <c r="AF23" s="456">
        <f t="shared" si="23"/>
        <v>0</v>
      </c>
      <c r="AG23" s="374"/>
      <c r="AH23" s="100" t="s">
        <v>101</v>
      </c>
      <c r="AI23" s="453">
        <f t="shared" si="10"/>
        <v>0</v>
      </c>
      <c r="AJ23" s="450">
        <f t="shared" si="24"/>
        <v>0</v>
      </c>
      <c r="AK23" s="456"/>
      <c r="AL23" s="374"/>
      <c r="AM23" s="1" t="str">
        <f>IF('PIM Ranges'!$AK21='PIM Ranges'!$AW$11,IF($AI23&lt;'PIM Ranges'!$AX$11,"Q1",IF($AI23&lt;'PIM Ranges'!$AY$11,"Q2",IF($AI23&lt;'PIM Ranges'!$AZ$11,"Q3",IF($AI23&lt;'PIM Ranges'!$BA$11,"Q4","Q5")))),IF('PIM Ranges'!$AK21='PIM Ranges'!$AW$12,IF($AI23&lt;'PIM Ranges'!$AX$12,"Q1",IF($AI23&lt;'PIM Ranges'!$AY$12,"Q2",IF($AI23&lt;'PIM Ranges'!$AZ$12,"Q3",IF($AI23&lt;'PIM Ranges'!$BA$12,"Q4","Q5")))),IF('PIM Ranges'!$AK21='PIM Ranges'!$AW$13,IF($AI23&lt;'PIM Ranges'!$AX$13,"Q1",IF($AI23&lt;'PIM Ranges'!$AY$13,"Q2",IF($AI23&lt;'PIM Ranges'!$AZ$13,"Q3",IF($AI23&lt;'PIM Ranges'!$BA$13,"Q4","Q5")))),IF('PIM Ranges'!$AK21='PIM Ranges'!$AW$14,IF($AI23&lt;'PIM Ranges'!$AX$14,"Q1",IF($AI23&lt;'PIM Ranges'!$AY$14,"Q2",IF($AI23&lt;'PIM Ranges'!$AZ$14,"Q3",IF($AI23&lt;'PIM Ranges'!$BA$14,"Q4","Q5")))),IF('PIM Ranges'!$AK21='PIM Ranges'!$AW$15,IF($AI23&lt;'PIM Ranges'!$AX$15,"Q1",IF($AI23&lt;'PIM Ranges'!$AY$15,"Q2",IF($AI23&lt;'PIM Ranges'!$AZ$15,"Q3",IF($AI23&lt;'PIM Ranges'!$BA$15,"Q4","Q5")))),IF('PIM Ranges'!$AK21='PIM Ranges'!$AW$16,IF($AI23&lt;'PIM Ranges'!$AX$16,"Q1",IF($AI23&lt;'PIM Ranges'!$AY$16,"Q2",IF($AI23&lt;'PIM Ranges'!$AZ$16,"Q3",IF($AI23&lt;'PIM Ranges'!$BA$16,"Q4","Q5")))),IF('PIM Ranges'!$AK21='PIM Ranges'!$AW$17,IF($AI23&lt;'PIM Ranges'!$AX$17,"Q1",IF($AI23&lt;'PIM Ranges'!$AY$17,"Q2",IF($AI23&lt;'PIM Ranges'!$AZ$17,"Q3",IF($AI23&lt;'PIM Ranges'!$BA$17,"Q4","Q5")))),IF('PIM Ranges'!$AK21='PIM Ranges'!$AW$18,IF($AI23&lt;'PIM Ranges'!$AX$18,"Q1",IF($AI23&lt;'PIM Ranges'!$AY$18,"Q2",IF($AI23&lt;'PIM Ranges'!$AZ$18,"Q3",IF($AI23&lt;'PIM Ranges'!$BA$18,"Q4","Q5")))),IF('PIM Ranges'!$AK21='PIM Ranges'!$AW$19,IF($AI23&lt;'PIM Ranges'!$AX$19,"Q1",IF($AI23&lt;'PIM Ranges'!$AY$19,"Q2",IF($AI23&lt;'PIM Ranges'!$AZ$19,"Q3",IF($AI23&lt;'PIM Ranges'!$BA$19,"Q4","Q5")))),IF('PIM Ranges'!$AK21='PIM Ranges'!$AW$20,IF($AI23&lt;'PIM Ranges'!$AX$20,"Q1",IF($AI23&lt;'PIM Ranges'!$AY$20,"Q2",IF($AI23&lt;'PIM Ranges'!$AZ$20,"Q3",IF($AI23&lt;'PIM Ranges'!$BA$20,"Q4","Q5")))),IF('PIM Ranges'!$AK21='PIM Ranges'!$AW$21,IF($AI23&lt;'PIM Ranges'!$AX$21,"Q1",IF($AI23&lt;'PIM Ranges'!$AY$21,"Q2",IF($AI23&lt;'PIM Ranges'!$AZ$21,"Q3",IF($AI23&lt;'PIM Ranges'!$BA$21,"Q4","Q5")))),IF('PIM Ranges'!$AK21='PIM Ranges'!$AW$22,IF($AI23&lt;'PIM Ranges'!$AX$22,"Q1",IF($AI23&lt;'PIM Ranges'!$AY$22,"Q2",IF($AI23&lt;'PIM Ranges'!$AZ$22,"Q3",IF($AI23&lt;'PIM Ranges'!$BA$22,"Q4","Q5")))),IF('PIM Ranges'!$AK21='PIM Ranges'!$AW$23,IF($AI23&lt;'PIM Ranges'!$AX$23,"Q1",IF($AI23&lt;'PIM Ranges'!$AY$23,"Q2",IF($AI23&lt;'PIM Ranges'!$AZ$23,"Q3",IF($AI23&lt;'PIM Ranges'!$BA$23,"Q4","Q5")))),IF('PIM Ranges'!$AK21='PIM Ranges'!$AW$24,IF($AI23&lt;'PIM Ranges'!$AX$24,"Q1",IF($AI23&lt;'PIM Ranges'!$AY$24,"Q2",IF($AI23&lt;'PIM Ranges'!$AZ$24,"Q3",IF($AI23&lt;'PIM Ranges'!$BA$24,"Q4","Q5")))),IF('PIM Ranges'!$AK21='PIM Ranges'!$AW$25,IF($AI23&lt;'PIM Ranges'!$AX$25,"Q1",IF($AI23&lt;'PIM Ranges'!$AY$25,"Q2",IF($AI23&lt;'PIM Ranges'!$AZ$25,"Q3",IF($AI23&lt;'PIM Ranges'!$BA$25,"Q4","Q5")))),IF('PIM Ranges'!$AK21='PIM Ranges'!$AW$26,IF($AI23&lt;'PIM Ranges'!$AX$26,"Q1",IF($AI23&lt;'PIM Ranges'!$AY$26,"Q2",IF($AI23&lt;'PIM Ranges'!$AZ$26,"Q3",IF($AI23&lt;'PIM Ranges'!$BA$26,"Q4","Q5")))),IF('PIM Ranges'!$AK21='PIM Ranges'!$AW$27,IF($AI23&lt;'PIM Ranges'!$AX$27,"Q1",IF($AI23&lt;'PIM Ranges'!$AY$27,"Q2",IF($AI23&lt;'PIM Ranges'!$AZ$27,"Q3",IF($AI23&lt;'PIM Ranges'!$BA$27,"Q4","Q5")))),IF('PIM Ranges'!$AK21='PIM Ranges'!$AW$28,IF($AI23&lt;'PIM Ranges'!$AX$28,"Q1",IF($AI23&lt;'PIM Ranges'!$AY$28,"Q2",IF($AI23&lt;'PIM Ranges'!$AZ$28,"Q3",IF($AI23&lt;'PIM Ranges'!$BA$28,"Q4","Q5")))),IF('PIM Ranges'!$AK21='PIM Ranges'!$AW$29,IF($AI23&lt;'PIM Ranges'!$AX$29,"Q1",IF($AI23&lt;'PIM Ranges'!$AY$29,"Q2",IF($AI23&lt;'PIM Ranges'!$AZ$29,"Q3",IF($AI23&lt;'PIM Ranges'!$BA$29,"Q4","Q5")))),IF('PIM Ranges'!$AK21='PIM Ranges'!$AW$30,IF($AI23&lt;'PIM Ranges'!$AX$30,"Q1",IF($AI23&lt;'PIM Ranges'!$AY$30,"Q2",IF($AI23&lt;'PIM Ranges'!$AZ$30,"Q3",IF($AI23&lt;'PIM Ranges'!$BA$30,"Q4","Q5")))),IF('PIM Ranges'!$AK21='PIM Ranges'!$AW$31,IF($AI23&lt;'PIM Ranges'!$AX$31,"Q1",IF($AI23&lt;'PIM Ranges'!$AY$31,"Q2",IF($AI23&lt;'PIM Ranges'!$AZ$31,"Q3",IF($AI23&lt;'PIM Ranges'!$BA$31,"Q4","Q5")))),IF('PIM Ranges'!$AK21='PIM Ranges'!$AW$32,IF($AI23&lt;'PIM Ranges'!$AX$32,"Q1",IF($AI23&lt;'PIM Ranges'!$AY$32,"Q2",IF($AI23&lt;'PIM Ranges'!$AZ$32,"Q3",IF($AI23&lt;'PIM Ranges'!$BA$32,"Q4","Q5"))))))))))))))))))))))))))</f>
        <v>Q1</v>
      </c>
      <c r="AN23" s="374">
        <f>VLOOKUP($AH23&amp;$AM23,'IMargin Quartiles'!$A:$F,6,FALSE)</f>
        <v>0.18</v>
      </c>
      <c r="AO23" s="374"/>
      <c r="AP23"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Q23" s="374" t="e">
        <f t="shared" si="25"/>
        <v>#DIV/0!</v>
      </c>
      <c r="AR23">
        <f>'PIM Model'!C19</f>
        <v>0</v>
      </c>
      <c r="AS23" s="374"/>
      <c r="AT23" s="374"/>
      <c r="AU23" s="374" t="e">
        <f t="shared" si="46"/>
        <v>#DIV/0!</v>
      </c>
      <c r="AV23" s="374"/>
      <c r="AW23" s="374"/>
      <c r="AX23" s="106">
        <v>12</v>
      </c>
      <c r="AY23" s="18">
        <f t="array" ref="AY23">IFERROR(IF($BL23="SEGMENT",INDEX('Margin Guidence Table'!$A$1:$AG$10000,MATCH(1,('Margin Guidence Table'!$A$1:$A$10000=$BJ23)*('Margin Guidence Table'!$I$1:$I$10000&lt;=ROUND($BB$3,0))*('Margin Guidence Table'!$J$1:$J$10000&gt;=ROUND($BB$3,0)),0),MATCH("PCT_SALES",'Margin Guidence Table'!$A$1:$AG$1,0)),INDEX('Margin Guidence Table'!$A$1:$AG$10000,MATCH(1,('Margin Guidence Table'!$A$1:$A$10000=$BJ23)*('Margin Guidence Table'!$I$1:$I$10000&lt;=ROUND($BB$3,0))*('Margin Guidence Table'!$J$1:$J$10000&gt;=ROUND($BB$3,0)),0),MATCH("DEFAULT_PCT_SALES",'Margin Guidence Table'!$A$1:$AG$1,0))),0)</f>
        <v>0</v>
      </c>
      <c r="AZ23" s="370" t="e">
        <f t="shared" si="26"/>
        <v>#DIV/0!</v>
      </c>
      <c r="BA23" s="100" t="s">
        <v>101</v>
      </c>
      <c r="BB23" s="92">
        <f>IFERROR(IF(AND($BB$2&lt;&gt;"Enter Spend&gt;&gt;&gt;",BC11="EXISTING"),SUMIFS('Existing Customers'!$Q:$Q,'Existing Customers'!$A:$A,$BB$1,'Existing Customers'!$H:$H,$BA23)*$BB$4,$BB$3*$AZ23),0)</f>
        <v>0</v>
      </c>
      <c r="BC23" s="93">
        <f>IFERROR(IF(AND($BB$2&lt;&gt;"Enter Spend&gt;&gt;&gt;",BC2="EXISTING"),SUMIFS('Existing Customers'!$N:$N,'Existing Customers'!$A:$A,$BB$1,'Existing Customers'!$H:$H,$BA23)*$BB$4,$BB23/$BM23),0)</f>
        <v>0</v>
      </c>
      <c r="BD23" s="93">
        <f>IFERROR(IF(AND($BB$2&lt;&gt;"Enter Spend&gt;&gt;&gt;",BC2="EXISTING"),SUMIFS('Existing Customers'!$O:$O,'Existing Customers'!$H:$H,$BA23,'Existing Customers'!$A:$A,$BB$1)*$BB$4,$BC23*$BB$8),0)</f>
        <v>0</v>
      </c>
      <c r="BE23" s="93">
        <f>IFERROR(IF(AND($BB$2&lt;&gt;"Enter Spend&gt;&gt;&gt;",BC2="EXISTING"),SUMIFS('Existing Customers'!$P:$P,'Existing Customers'!$A:$A,$BB$1,'Existing Customers'!$H:$H,$BA23)*$BB$4,$BB23/$BN23),0)</f>
        <v>0</v>
      </c>
      <c r="BF23" s="376">
        <f>IFERROR(IF(AND($BB$2&lt;&gt;"Enter Spend&gt;&gt;&gt;",BC2="EXISTING"),SUMIFS('Existing Customers'!$V:$V,'Existing Customers'!$H:$H,$BA23,'Existing Customers'!$A:$A,$BB$1)*$BB$4,0),0)</f>
        <v>0</v>
      </c>
      <c r="BG23" s="94">
        <f>IFERROR(IF(AND($BB$2&lt;&gt;"Enter Spend&gt;&gt;&gt;",BC2="EXISTING"),SUMIFS('Existing Customers'!$R:$R,'Existing Customers'!$H:$H,$BA23,'Existing Customers'!$A:$A,$BB$1)*$BB$4,0),0)</f>
        <v>0</v>
      </c>
      <c r="BH23" s="94">
        <f>IFERROR(IF(AND($BB$2&lt;&gt;"Enter Spend&gt;&gt;&gt;",BC2="EXISTING"),SUMIFS('Existing Customers'!$S:$S,'Existing Customers'!$H:$H,$BA23,'Existing Customers'!$A:$A,$BB$1),BR23*BB23),0)</f>
        <v>0</v>
      </c>
      <c r="BI23" s="94">
        <f>IFERROR(IF(AND($BB$2&lt;&gt;"Enter Spend&gt;&gt;&gt;",BC2="EXISTING"),SUMIFS('Existing Customers'!$U:$U,'Existing Customers'!$H:$H,$BA23,'Existing Customers'!$A:$A,$BB$1),BS23*BB23),0)</f>
        <v>0</v>
      </c>
      <c r="BJ23" s="1052" t="e">
        <f>_xlfn.CONCAT('Customer Inputs'!$AG$6,"_",BA23)</f>
        <v>#N/A</v>
      </c>
      <c r="BK23" s="1053">
        <f t="array" ref="BK23">IFERROR(INDEX('Margin Guidence Table'!$A$1:$AG$10000,MATCH(1,('Margin Guidence Table'!$A$1:$A$10000=$BJ23)*('Margin Guidence Table'!$I$1:$I$10000&lt;=ROUND($BB$3,0))*('Margin Guidence Table'!$J$1:$J$10000&gt;=ROUND($BB$3,0)),0),MATCH("DATA_POINTS",'Margin Guidence Table'!$A$1:$AG$1,0)),0)</f>
        <v>0</v>
      </c>
      <c r="BL23" s="1050" t="str">
        <f t="shared" si="27"/>
        <v>DEFAULT</v>
      </c>
      <c r="BM23" s="1050">
        <f t="array" ref="BM23">IFERROR(IF($BL23="SEGMENT",INDEX('Margin Guidence Table'!$A$1:$AG$10000,MATCH(1,('Margin Guidence Table'!$A$1:$A$10000=$BJ23)*('Margin Guidence Table'!$I$1:$I$10000&lt;=ROUND($BB$3,0))*('Margin Guidence Table'!$J$1:$J$10000&gt;=ROUND($BB$3,0)),0),MATCH("SALES_CASE",'Margin Guidence Table'!$A$1:$AG$1,0)),INDEX('Margin Guidence Table'!$A$1:$AG$10000,MATCH(1,('Margin Guidence Table'!$A$1:$A$10000=$BJ23)*('Margin Guidence Table'!$I$1:$I$10000&lt;=ROUND($BB$3,0))*('Margin Guidence Table'!$J$1:$J$10000&gt;=ROUND($BB$3,0)),0),MATCH("DEFAULT_SALES_CASE",'Margin Guidence Table'!$A$1:$AG$1,0))),0)</f>
        <v>0</v>
      </c>
      <c r="BN23" s="1050">
        <f t="array" ref="BN23">IFERROR(IF($BL23="SEGMENT",INDEX('Margin Guidence Table'!$A$1:$AG$10000,MATCH(1,('Margin Guidence Table'!$A$1:$A$10000=$BJ23)*('Margin Guidence Table'!$I$1:$I$10000&lt;=ROUND($BB$3,0))*('Margin Guidence Table'!$J$1:$J$10000&gt;=ROUND($BB$3,0)),0),MATCH("SALES_LBS",'Margin Guidence Table'!$A$1:$AG$1,0)),INDEX('Margin Guidence Table'!$A$1:$AG$10000,MATCH(1,('Margin Guidence Table'!$A$1:$A$10000=$BJ23)*('Margin Guidence Table'!$I$1:$I$10000&lt;=ROUND($BB$3,0))*('Margin Guidence Table'!$J$1:$J$10000&gt;=ROUND($BB$3,0)),0),MATCH("DEFAULT_SALES_LBS",'Margin Guidence Table'!$A$1:$AG$1,0))),0)</f>
        <v>0</v>
      </c>
      <c r="BO23" s="1054">
        <f t="array" ref="BO23">IFERROR(IF($BL23="SEGMENT",INDEX('Margin Guidence Table'!$A$1:$AG$10000,MATCH(1,('Margin Guidence Table'!$A$1:$A$10000=$BJ23)*('Margin Guidence Table'!$I$1:$I$10000&lt;=ROUND($BB$3,0))*('Margin Guidence Table'!$J$1:$J$10000&gt;=ROUND($BB$3,0)),0),MATCH("MDA_MIN_MARGIN_GUIDENCE",'Margin Guidence Table'!$A$1:$AG$1,0)),INDEX('Margin Guidence Table'!$A$1:$AG$10000,MATCH(1,('Margin Guidence Table'!$A$1:$A$10000=$BJ23)*('Margin Guidence Table'!$I$1:$I$10000&lt;=ROUND($BB$3,0))*('Margin Guidence Table'!$J$1:$J$10000&gt;=ROUND($BB$3,0)),0),MATCH("DEFAULT_MDA_MIN_MARGIN_GUIDENCE",'Margin Guidence Table'!$A$1:$AG$1,0))),0)</f>
        <v>0</v>
      </c>
      <c r="BP23" s="1054">
        <f t="array" ref="BP23">IFERROR(IF($BL23="SEGMENT",INDEX('Margin Guidence Table'!$A$1:$AG$10000,MATCH(1,('Margin Guidence Table'!$A$1:$A$10000=$BJ23)*('Margin Guidence Table'!$I$1:$I$10000&lt;=ROUND($BB$3,0))*('Margin Guidence Table'!$J$1:$J$10000&gt;=ROUND($BB$3,0)),0),MATCH("MDA_MEDIAN_MARGIN_GUIDENCE",'Margin Guidence Table'!$A$1:$AG$1,0)),INDEX('Margin Guidence Table'!$A$1:$AG$10000,MATCH(1,('Margin Guidence Table'!$A$1:$A$10000=$BJ23)*('Margin Guidence Table'!$I$1:$I$10000&lt;=ROUND($BB$3,0))*('Margin Guidence Table'!$J$1:$J$10000&gt;=ROUND($BB$3,0)),0),MATCH("DEFAULT_MDA_MEDIAN_MARGIN_GUIDENCE",'Margin Guidence Table'!$A$1:$AG$1,0))),0)</f>
        <v>0</v>
      </c>
      <c r="BQ23" s="1054">
        <f t="array" ref="BQ23">IFERROR(IF($BL23="SEGMENT",INDEX('Margin Guidence Table'!$A$1:$AG$10000,MATCH(1,('Margin Guidence Table'!$A$1:$A$10000=$BJ23)*('Margin Guidence Table'!$I$1:$I$10000&lt;=ROUND($BB$3,0))*('Margin Guidence Table'!$J$1:$J$10000&gt;=ROUND($BB$3,0)),0),MATCH("MDA_MAX_MARGIN_GUIDENCE",'Margin Guidence Table'!$A$1:$AG$1,0)),INDEX('Margin Guidence Table'!$A$1:$AG$10000,MATCH(1,('Margin Guidence Table'!$A$1:$A$10000=$BJ23)*('Margin Guidence Table'!$I$1:$I$10000&lt;=ROUND($BB$3,0))*('Margin Guidence Table'!$J$1:$J$10000&gt;=ROUND($BB$3,0)),0),MATCH("DEFAULT_MDA_MAX_MARGIN_GUIDENCE",'Margin Guidence Table'!$A$1:$AG$1,0))),0)</f>
        <v>0</v>
      </c>
      <c r="BR23" s="1054">
        <f t="array" ref="BR23">IFERROR(IF($BL23="SEGMENT",INDEX('Margin Guidence Table'!$A$1:$AG$10000,MATCH(1,('Margin Guidence Table'!$A$1:$A$10000=$BJ23)*('Margin Guidence Table'!$I$1:$I$10000&lt;=ROUND($BB$3,0))*('Margin Guidence Table'!$J$1:$J$10000&gt;=ROUND($BB$3,0)),0),MATCH("PA_PCT_SALES",'Margin Guidence Table'!$A$1:$AG$1,0)),INDEX('Margin Guidence Table'!$A$1:$AG$10000,MATCH(1,('Margin Guidence Table'!$A$1:$A$10000=$BJ23)*('Margin Guidence Table'!$I$1:$I$10000&lt;=ROUND($BB$3,0))*('Margin Guidence Table'!$J$1:$J$10000&gt;=ROUND($BB$3,0)),0),MATCH("DEFAULT_PA_PCT_SALES",'Margin Guidence Table'!$A$1:$AG$1,0))),0)</f>
        <v>0</v>
      </c>
      <c r="BS23" s="1054">
        <f t="array" ref="BS23">IFERROR(IF($BL23="SEGMENT",INDEX('Margin Guidence Table'!$A$1:$AG$10000,MATCH(1,('Margin Guidence Table'!$A$1:$A$10000=$BJ23)*('Margin Guidence Table'!$I$1:$I$10000&lt;=ROUND($BB$3,0))*('Margin Guidence Table'!$J$1:$J$10000&gt;=ROUND($BB$3,0)),0),MATCH("SELF_FUND_PCT_SALES",'Margin Guidence Table'!$A$1:$AG$1,0)),INDEX('Margin Guidence Table'!$A$1:$AG$10000,MATCH(1,('Margin Guidence Table'!$A$1:$A$10000=$BJ23)*('Margin Guidence Table'!$I$1:$I$10000&lt;=ROUND($BB$3,0))*('Margin Guidence Table'!$J$1:$J$10000&gt;=ROUND($BB$3,0)),0),MATCH("DEFAULT_SELF_FUND_PCT_SALES",'Margin Guidence Table'!$A$1:$AG$1,0))),0)</f>
        <v>0</v>
      </c>
      <c r="BT23" s="1054">
        <f t="array" ref="BT23">IFERROR(IF($BL23="SEGMENT",INDEX('Margin Guidence Table'!$A$1:$AG$10000,MATCH(1,('Margin Guidence Table'!$A$1:$A$10000=$BJ23)*('Margin Guidence Table'!$I$1:$I$10000&lt;=ROUND($BB$3,0))*('Margin Guidence Table'!$J$1:$J$10000&gt;=ROUND($BB$3,0)),0),MATCH("CIA_MEDIAN_MARGIN_GUIDENCE",'Margin Guidence Table'!$A$1:$AG$1,0)),INDEX('Margin Guidence Table'!$A$1:$AG$10000,MATCH(1,('Margin Guidence Table'!$A$1:$A$10000=$BJ23)*('Margin Guidence Table'!$I$1:$I$10000&lt;=ROUND($BB$3,0))*('Margin Guidence Table'!$J$1:$J$10000&gt;=ROUND($BB$3,0)),0),MATCH("DEFAULT_CIA_MEDIAN_MARGIN_GUIDENCE",'Margin Guidence Table'!$A$1:$AG$1,0))),0)</f>
        <v>0</v>
      </c>
      <c r="BU23" s="127"/>
      <c r="BV23" s="18">
        <f t="array" ref="BV23">IFERROR(IF($CI23="SEGMENT",INDEX('Margin Guidence Table'!$A$1:$AG$10000,MATCH(1,('Margin Guidence Table'!$A$1:$A$10000=$CG23)*('Margin Guidence Table'!$I$1:$I$10000&lt;=ROUND($BY$3,0))*('Margin Guidence Table'!$J$1:$J$10000&gt;=ROUND($BY$3,0)),0),MATCH("PCT_SALES",'Margin Guidence Table'!$A$1:$AG$1,0)),INDEX('Margin Guidence Table'!$A$1:$AG$10000,MATCH(1,('Margin Guidence Table'!$A$1:$A$10000=$CG23)*('Margin Guidence Table'!$I$1:$I$10000&lt;=ROUND($BY$3,0))*('Margin Guidence Table'!$J$1:$J$10000&gt;=ROUND($BY$3,0)),0),MATCH("DEFAULT_PCT_SALES",'Margin Guidence Table'!$A$1:$AG$1,0))),0)</f>
        <v>0</v>
      </c>
      <c r="BW23" s="370" t="e">
        <f t="shared" si="28"/>
        <v>#DIV/0!</v>
      </c>
      <c r="BX23" s="100" t="s">
        <v>101</v>
      </c>
      <c r="BY23" s="92">
        <f>IFERROR(IF(AND($BY$2&lt;&gt;"Enter Spend&gt;&gt;&gt;",BZ11="EXISTING"),SUMIFS('Existing Customers'!$Q:$Q,'Existing Customers'!$A:$A,$BY$1,'Existing Customers'!$H:$H,$BX23)*$BY$4,$BY$3*$BW23),0)</f>
        <v>0</v>
      </c>
      <c r="BZ23" s="87">
        <f>IFERROR(IF(AND($BY$2&lt;&gt;"Enter Spend&gt;&gt;&gt;",BZ2="EXISTING"),SUMIFS('Existing Customers'!$N:$N,'Existing Customers'!$A:$A,$BY$1,'Existing Customers'!$H:$H,$BX23)*$BY$4,$BY23/$CJ23),0)</f>
        <v>0</v>
      </c>
      <c r="CA23" s="93">
        <f>IFERROR(IF(AND($BY$2&lt;&gt;"Enter Spend&gt;&gt;&gt;",BZ2="EXISTING"),SUMIFS('Existing Customers'!$O:$O,'Existing Customers'!$H:$H,$BX23,'Existing Customers'!$A:$A,$BY$1)*$BY$4,$BZ23*$BY$8),0)</f>
        <v>0</v>
      </c>
      <c r="CB23" s="93">
        <f>IFERROR(IF(AND($BY$2&lt;&gt;"Enter Spend&gt;&gt;&gt;",BZ2="EXISTING"),SUMIFS('Existing Customers'!$P:$P,'Existing Customers'!$A:$A,$BY$1,'Existing Customers'!$H:$H,$BX23)*$BY$4,$BY23/$CK23),0)</f>
        <v>0</v>
      </c>
      <c r="CC23" s="94">
        <f>IFERROR(IF(AND($BY$2&lt;&gt;"Enter Spend&gt;&gt;&gt;",BZ2="EXISTING"),SUMIFS('Existing Customers'!$V:$V,'Existing Customers'!$H:$H,$BX23,'Existing Customers'!$A:$A,$BY$1)*$BY$4,0),0)</f>
        <v>0</v>
      </c>
      <c r="CD23" s="94">
        <f>IFERROR(IF(AND($BY$2&lt;&gt;"Enter Spend&gt;&gt;&gt;",BZ2="EXISTING"),SUMIFS('Existing Customers'!$R:$R,'Existing Customers'!$H:$H,$BX23,'Existing Customers'!$A:$A,$BY$1)*$BY$4,0),0)</f>
        <v>0</v>
      </c>
      <c r="CE23" s="1050">
        <f>IFERROR(IF(AND($BY$2&lt;&gt;"Enter Spend&gt;&gt;&gt;",BZ2="EXISTING"),SUMIFS('Existing Customers'!$S:$S,'Existing Customers'!$H:$H,$BX23,'Existing Customers'!$A:$A,$BY$1),CO23*BY23),0)</f>
        <v>0</v>
      </c>
      <c r="CF23" s="1050">
        <f>IFERROR(IF(AND($BY$2&lt;&gt;"Enter Spend&gt;&gt;&gt;",BZ2="EXISTING"),SUMIFS('Existing Customers'!$U:$U,'Existing Customers'!$H:$H,$BX23,'Existing Customers'!$A:$A,$BY$1),CP23*BY23),0)</f>
        <v>0</v>
      </c>
      <c r="CG23" s="1053" t="e">
        <f>_xlfn.CONCAT('Customer Inputs'!$AG$7,"_",BX23)</f>
        <v>#N/A</v>
      </c>
      <c r="CH23" s="1053">
        <f t="array" ref="CH23">IFERROR(INDEX('Margin Guidence Table'!$A$1:$AG$10000,MATCH(1,('Margin Guidence Table'!$A$1:$A$10000=$CG23)*('Margin Guidence Table'!$I$1:$I$10000&lt;=ROUND($BY$3,0))*('Margin Guidence Table'!$J$1:$J$10000&gt;=ROUND($BY$3,0)),0),MATCH("DATA_POINTS",'Margin Guidence Table'!$A$1:$AG$1,0)),0)</f>
        <v>0</v>
      </c>
      <c r="CI23" s="1050" t="str">
        <f t="shared" si="29"/>
        <v>DEFAULT</v>
      </c>
      <c r="CJ23" s="1050">
        <f t="array" ref="CJ23">IFERROR(IF($CI23="SEGMENT",INDEX('Margin Guidence Table'!$A$1:$AG$10000,MATCH(1,('Margin Guidence Table'!$A$1:$A$10000=$CG23)*('Margin Guidence Table'!$I$1:$I$10000&lt;=ROUND($BY$3,0))*('Margin Guidence Table'!$J$1:$J$10000&gt;=ROUND($BY$3,0)),0),MATCH("SALES_CASE",'Margin Guidence Table'!$A$1:$AG$1,0)),INDEX('Margin Guidence Table'!$A$1:$AG$10000,MATCH(1,('Margin Guidence Table'!$A$1:$A$10000=$CG23)*('Margin Guidence Table'!$I$1:$I$10000&lt;=ROUND($BY$3,0))*('Margin Guidence Table'!$J$1:$J$10000&gt;=ROUND($BY$3,0)),0),MATCH("DEFAULT_SALES_CASE",'Margin Guidence Table'!$A$1:$AG$1,0))),0)</f>
        <v>0</v>
      </c>
      <c r="CK23" s="1050">
        <f t="array" ref="CK23">IFERROR(IF($CI23="SEGMENT",INDEX('Margin Guidence Table'!$A$1:$AG$10000,MATCH(1,('Margin Guidence Table'!$A$1:$A$10000=$CG23)*('Margin Guidence Table'!$I$1:$I$10000&lt;=ROUND($BY$3,0))*('Margin Guidence Table'!$J$1:$J$10000&gt;=ROUND($BY$3,0)),0),MATCH("SALES_LBS",'Margin Guidence Table'!$A$1:$AG$1,0)),INDEX('Margin Guidence Table'!$A$1:$AG$10000,MATCH(1,('Margin Guidence Table'!$A$1:$A$10000=$CG23)*('Margin Guidence Table'!$I$1:$I$10000&lt;=ROUND($BY$3,0))*('Margin Guidence Table'!$J$1:$J$10000&gt;=ROUND($BY$3,0)),0),MATCH("DEFAULT_SALES_LBS",'Margin Guidence Table'!$A$1:$AG$1,0))),0)</f>
        <v>0</v>
      </c>
      <c r="CL23" s="1054">
        <f t="array" ref="CL23">IFERROR(IF($CI23="SEGMENT",INDEX('Margin Guidence Table'!$A$1:$AG$10000,MATCH(1,('Margin Guidence Table'!$A$1:$A$10000=$CG23)*('Margin Guidence Table'!$I$1:$I$10000&lt;=ROUND($BY$3,0))*('Margin Guidence Table'!$J$1:$J$10000&gt;=ROUND($BY$3,0)),0),MATCH("MDA_MIN_MARGIN_GUIDENCE",'Margin Guidence Table'!$A$1:$AG$1,0)),INDEX('Margin Guidence Table'!$A$1:$AG$10000,MATCH(1,('Margin Guidence Table'!$A$1:$A$10000=$CG23)*('Margin Guidence Table'!$I$1:$I$10000&lt;=ROUND($BY$3,0))*('Margin Guidence Table'!$J$1:$J$10000&gt;=ROUND($BY$3,0)),0),MATCH("DEFAULT_MDA_MIN_MARGIN_GUIDENCE",'Margin Guidence Table'!$A$1:$AG$1,0))),0)</f>
        <v>0</v>
      </c>
      <c r="CM23" s="1054">
        <f t="array" ref="CM23">IFERROR(IF($CI23="SEGMENT",INDEX('Margin Guidence Table'!$A$1:$AG$10000,MATCH(1,('Margin Guidence Table'!$A$1:$A$10000=$CG23)*('Margin Guidence Table'!$I$1:$I$10000&lt;=ROUND($BY$3,0))*('Margin Guidence Table'!$J$1:$J$10000&gt;=ROUND($BY$3,0)),0),MATCH("MDA_MEDIAN_MARGIN_GUIDENCE",'Margin Guidence Table'!$A$1:$AG$1,0)),INDEX('Margin Guidence Table'!$A$1:$AG$10000,MATCH(1,('Margin Guidence Table'!$A$1:$A$10000=$CG23)*('Margin Guidence Table'!$I$1:$I$10000&lt;=ROUND($BY$3,0))*('Margin Guidence Table'!$J$1:$J$10000&gt;=ROUND($BY$3,0)),0),MATCH("DEFAULT_MDA_MEDIAN_MARGIN_GUIDENCE",'Margin Guidence Table'!$A$1:$AG$1,0))),0)</f>
        <v>0</v>
      </c>
      <c r="CN23" s="1054">
        <f t="array" ref="CN23">IFERROR(IF($CI23="SEGMENT",INDEX('Margin Guidence Table'!$A$1:$AG$10000,MATCH(1,('Margin Guidence Table'!$A$1:$A$10000=$CG23)*('Margin Guidence Table'!$I$1:$I$10000&lt;=ROUND($BY$3,0))*('Margin Guidence Table'!$J$1:$J$10000&gt;=ROUND($BY$3,0)),0),MATCH("MDA_MAX_MARGIN_GUIDENCE",'Margin Guidence Table'!$A$1:$AG$1,0)),INDEX('Margin Guidence Table'!$A$1:$AG$10000,MATCH(1,('Margin Guidence Table'!$A$1:$A$10000=$CG23)*('Margin Guidence Table'!$I$1:$I$10000&lt;=ROUND($BY$3,0))*('Margin Guidence Table'!$J$1:$J$10000&gt;=ROUND($BY$3,0)),0),MATCH("DEFAULT_MDA_MAX_MARGIN_GUIDENCE",'Margin Guidence Table'!$A$1:$AG$1,0))),0)</f>
        <v>0</v>
      </c>
      <c r="CO23" s="1054">
        <f t="array" ref="CO23">IFERROR(IF($CI23="SEGMENT",INDEX('Margin Guidence Table'!$A$1:$AG$10000,MATCH(1,('Margin Guidence Table'!$A$1:$A$10000=$CG23)*('Margin Guidence Table'!$I$1:$I$10000&lt;=ROUND($BY$3,0))*('Margin Guidence Table'!$J$1:$J$10000&gt;=ROUND($BY$3,0)),0),MATCH("PA_PCT_SALES",'Margin Guidence Table'!$A$1:$AG$1,0)),INDEX('Margin Guidence Table'!$A$1:$AG$10000,MATCH(1,('Margin Guidence Table'!$A$1:$A$10000=$CG23)*('Margin Guidence Table'!$I$1:$I$10000&lt;=ROUND($BY$3,0))*('Margin Guidence Table'!$J$1:$J$10000&gt;=ROUND($BY$3,0)),0),MATCH("DEFAULT_PA_PCT_SALES",'Margin Guidence Table'!$A$1:$AG$1,0))),0)</f>
        <v>0</v>
      </c>
      <c r="CP23" s="1054">
        <f t="array" ref="CP23">IFERROR(IF($CI23="SEGMENT",INDEX('Margin Guidence Table'!$A$1:$AG$10000,MATCH(1,('Margin Guidence Table'!$A$1:$A$10000=$CG23)*('Margin Guidence Table'!$I$1:$I$10000&lt;=ROUND($BY$3,0))*('Margin Guidence Table'!$J$1:$J$10000&gt;=ROUND($BY$3,0)),0),MATCH("SELF_FUND_PCT_SALES",'Margin Guidence Table'!$A$1:$AG$1,0)),INDEX('Margin Guidence Table'!$A$1:$AG$10000,MATCH(1,('Margin Guidence Table'!$A$1:$A$10000=$CG23)*('Margin Guidence Table'!$I$1:$I$10000&lt;=ROUND($BY$3,0))*('Margin Guidence Table'!$J$1:$J$10000&gt;=ROUND($BY$3,0)),0),MATCH("DEFAULT_SELF_FUND_PCT_SALES",'Margin Guidence Table'!$A$1:$AG$1,0))),0)</f>
        <v>0</v>
      </c>
      <c r="CQ23" s="1054">
        <f t="array" ref="CQ23">IFERROR(IF($CI23="SEGMENT",INDEX('Margin Guidence Table'!$A$1:$AG$10000,MATCH(1,('Margin Guidence Table'!$A$1:$A$10000=$CG23)*('Margin Guidence Table'!$I$1:$I$10000&lt;=ROUND($BY$3,0))*('Margin Guidence Table'!$J$1:$J$10000&gt;=ROUND($BY$3,0)),0),MATCH("CIA_MEDIAN_MARGIN_GUIDENCE",'Margin Guidence Table'!$A$1:$AG$1,0)),INDEX('Margin Guidence Table'!$A$1:$AG$10000,MATCH(1,('Margin Guidence Table'!$A$1:$A$10000=$CG23)*('Margin Guidence Table'!$I$1:$I$10000&lt;=ROUND($BY$3,0))*('Margin Guidence Table'!$J$1:$J$10000&gt;=ROUND($BY$3,0)),0),MATCH("DEFAULT_CIA_MEDIAN_MARGIN_GUIDENCE",'Margin Guidence Table'!$A$1:$AG$1,0))),0)</f>
        <v>0</v>
      </c>
      <c r="CR23" s="127"/>
      <c r="CS23" s="18">
        <f t="array" ref="CS23">IFERROR(IF($DF23="SEGMENT",INDEX('Margin Guidence Table'!$A$1:$AG$10000,MATCH(1,('Margin Guidence Table'!$A$1:$A$10000=$DD23)*('Margin Guidence Table'!$I$1:$I$10000&lt;=ROUND($CV$3,0))*('Margin Guidence Table'!$J$1:$J$10000&gt;=ROUND($CV$3,0)),0),MATCH("PCT_SALES",'Margin Guidence Table'!$A$1:$AG$1,0)),INDEX('Margin Guidence Table'!$A$1:$AG$10000,MATCH(1,('Margin Guidence Table'!$A$1:$A$10000=$DD23)*('Margin Guidence Table'!$I$1:$I$10000&lt;=ROUND($CV$3,0))*('Margin Guidence Table'!$J$1:$J$10000&gt;=ROUND($CV$3,0)),0),MATCH("DEFAULT_PCT_SALES",'Margin Guidence Table'!$A$1:$AG$1,0))),0)</f>
        <v>0</v>
      </c>
      <c r="CT23" s="370" t="e">
        <f t="shared" si="30"/>
        <v>#DIV/0!</v>
      </c>
      <c r="CU23" s="100" t="s">
        <v>101</v>
      </c>
      <c r="CV23" s="92">
        <f>IFERROR(IF(AND($CV$2&lt;&gt;"Enter Spend&gt;&gt;&gt;",CW11="EXISTING"),SUMIFS('Existing Customers'!$Q:$Q,'Existing Customers'!$A:$A,$CV$1,'Existing Customers'!$H:$H,$CU23)*$CV$4,$CV$3*$CT23),0)</f>
        <v>0</v>
      </c>
      <c r="CW23" s="87">
        <f>IFERROR(IF(AND($CV$2&lt;&gt;"Enter Spend&gt;&gt;&gt;",CW2="EXISTING"),SUMIFS('Existing Customers'!$N:$N,'Existing Customers'!$A:$A,$CV$1,'Existing Customers'!$H:$H,$CU23)*$CV$4,$CV23/$DG23),0)</f>
        <v>0</v>
      </c>
      <c r="CX23" s="93">
        <f>IFERROR(IF(AND($CV$2&lt;&gt;"Enter Spend&gt;&gt;&gt;",BC28="EXISTING"),SUMIFS('Existing Customers'!$O:$O,'Existing Customers'!$H:$H,$CU23,'Existing Customers'!$A:$A,$CV$1)*$CV$4,$CW23*$CV$8),0)</f>
        <v>0</v>
      </c>
      <c r="CY23" s="93">
        <f>IFERROR(IF(AND($CV$2&lt;&gt;"Enter Spend&gt;&gt;&gt;",CW2="EXISTING"),SUMIFS('Existing Customers'!$P:$P,'Existing Customers'!$A:$A,$CV$1,'Existing Customers'!$H:$H,$CU23)*$CV$4,$CV23/$DH23),0)</f>
        <v>0</v>
      </c>
      <c r="CZ23" s="94">
        <f>IFERROR(IF(AND($CV$2&lt;&gt;"Enter Spend&gt;&gt;&gt;",CW2="EXISTING"),SUMIFS('Existing Customers'!$V:$V,'Existing Customers'!$H:$H,$CU23,'Existing Customers'!$A:$A,$CV$1)*$CV$4,0),0)</f>
        <v>0</v>
      </c>
      <c r="DA23" s="94">
        <f>IFERROR(IF(AND($CV$2&lt;&gt;"Enter Spend&gt;&gt;&gt;",CW2="EXISTING"),SUMIFS('Existing Customers'!$R:$R,'Existing Customers'!$H:$H,$BA23,'Existing Customers'!$A:$A,$CV$1)*$CV$4,0),0)</f>
        <v>0</v>
      </c>
      <c r="DB23" s="1050">
        <f>IFERROR(IF(AND($CV$2&lt;&gt;"Enter Spend&gt;&gt;&gt;",CW2="EXISTING"),SUMIFS('Existing Customers'!$S:$S,'Existing Customers'!$H:$H,$CU23,'Existing Customers'!$A:$A,$CV$1),DL23*CV23),0)</f>
        <v>0</v>
      </c>
      <c r="DC23" s="1050">
        <f>IFERROR(IF(AND($CV$2&lt;&gt;"Enter Spend&gt;&gt;&gt;",CW2="EXISTING"),SUMIFS('Existing Customers'!$U:$U,'Existing Customers'!$H:$H,$CU23,'Existing Customers'!$A:$A,$CV$1),DM23*CV23),0)</f>
        <v>0</v>
      </c>
      <c r="DD23" s="1053" t="e">
        <f>_xlfn.CONCAT('Customer Inputs'!$AG$8,"_",CU23)</f>
        <v>#N/A</v>
      </c>
      <c r="DE23" s="1053">
        <f t="array" ref="DE23">IFERROR(INDEX('Margin Guidence Table'!$A$1:$AG$10000,MATCH(1,('Margin Guidence Table'!$A$1:$A$10000=DD23)*('Margin Guidence Table'!$I$1:$I$10000&lt;=ROUND($CV$3,0))*('Margin Guidence Table'!$J$1:$J$10000&gt;=ROUND($CV$3,0)),0),MATCH("DATA_POINTS",'Margin Guidence Table'!$A$1:$AG$1,0)),0)</f>
        <v>0</v>
      </c>
      <c r="DF23" s="1050" t="str">
        <f t="shared" si="31"/>
        <v>DEFAULT</v>
      </c>
      <c r="DG23" s="1050">
        <f t="array" ref="DG23">IFERROR(IF($DF23="SEGMENT",INDEX('Margin Guidence Table'!$A$1:$AG$10000,MATCH(1,('Margin Guidence Table'!$A$1:$A$10000=DD23)*('Margin Guidence Table'!$I$1:$I$10000&lt;=ROUND($CV$3,0))*('Margin Guidence Table'!$J$1:$J$10000&gt;=ROUND($CV$3,0)),0),MATCH("SALES_CASE",'Margin Guidence Table'!$A$1:$AG$1,0)),INDEX('Margin Guidence Table'!$A$1:$AG$10000,MATCH(1,('Margin Guidence Table'!$A$1:$A$10000=DD23)*('Margin Guidence Table'!$I$1:$I$10000&lt;=ROUND($CV$3,0))*('Margin Guidence Table'!$J$1:$J$10000&gt;=ROUND($CV$3,0)),0),MATCH("DEFAULT_SALES_CASE",'Margin Guidence Table'!$A$1:$AG$1,0))),0)</f>
        <v>0</v>
      </c>
      <c r="DH23" s="1050">
        <f t="array" ref="DH23">IFERROR(IF($DF23="SEGMENT",INDEX('Margin Guidence Table'!$A$1:$AG$10000,MATCH(1,('Margin Guidence Table'!$A$1:$A$10000=DD23)*('Margin Guidence Table'!$I$1:$I$10000&lt;=ROUND($CV$3,0))*('Margin Guidence Table'!$J$1:$J$10000&gt;=ROUND($CV$3,0)),0),MATCH("SALES_LBS",'Margin Guidence Table'!$A$1:$AG$1,0)),INDEX('Margin Guidence Table'!$A$1:$AG$10000,MATCH(1,('Margin Guidence Table'!$A$1:$A$10000=DD23)*('Margin Guidence Table'!$I$1:$I$10000&lt;=ROUND($CV$3,0))*('Margin Guidence Table'!$J$1:$J$10000&gt;=ROUND($CV$3,0)),0),MATCH("DEFAULT_SALES_LBS",'Margin Guidence Table'!$A$1:$AG$1,0))),0)</f>
        <v>0</v>
      </c>
      <c r="DI23" s="1054">
        <f t="array" ref="DI23">IFERROR(IF($DF23="SEGMENT",INDEX('Margin Guidence Table'!$A$1:$AG$10000,MATCH(1,('Margin Guidence Table'!$A$1:$A$10000=DD23)*('Margin Guidence Table'!$I$1:$I$10000&lt;=ROUND($CV$3,0))*('Margin Guidence Table'!$J$1:$J$10000&gt;=ROUND($CV$3,0)),0),MATCH("MDA_MIN_MARGIN_GUIDENCE",'Margin Guidence Table'!$A$1:$AG$1,0)),INDEX('Margin Guidence Table'!$A$1:$AG$10000,MATCH(1,('Margin Guidence Table'!$A$1:$A$10000=DD23)*('Margin Guidence Table'!$I$1:$I$10000&lt;=ROUND($CV$3,0))*('Margin Guidence Table'!$J$1:$J$10000&gt;=ROUND($CV$3,0)),0),MATCH("DEFAULT_MDA_MIN_MARGIN_GUIDENCE",'Margin Guidence Table'!$A$1:$AG$1,0))),0)</f>
        <v>0</v>
      </c>
      <c r="DJ23" s="1054">
        <f t="array" ref="DJ23">IFERROR(IF($DF23="SEGMENT",INDEX('Margin Guidence Table'!$A$1:$AG$10000,MATCH(1,('Margin Guidence Table'!$A$1:$A$10000=DD23)*('Margin Guidence Table'!$I$1:$I$10000&lt;=ROUND($CV$3,0))*('Margin Guidence Table'!$J$1:$J$10000&gt;=ROUND($CV$3,0)),0),MATCH("MDA_MEDIAN_MARGIN_GUIDENCE",'Margin Guidence Table'!$A$1:$AG$1,0)),INDEX('Margin Guidence Table'!$A$1:$AG$10000,MATCH(1,('Margin Guidence Table'!$A$1:$A$10000=DD23)*('Margin Guidence Table'!$I$1:$I$10000&lt;=ROUND($CV$3,0))*('Margin Guidence Table'!$J$1:$J$10000&gt;=ROUND($CV$3,0)),0),MATCH("DEFAULT_MDA_MEDIAN_MARGIN_GUIDENCE",'Margin Guidence Table'!$A$1:$AG$1,0))),0)</f>
        <v>0</v>
      </c>
      <c r="DK23" s="1054">
        <f t="array" ref="DK23">IFERROR(IF($DF23="SEGMENT",INDEX('Margin Guidence Table'!$A$1:$AG$10000,MATCH(1,('Margin Guidence Table'!$A$1:$A$10000=DD23)*('Margin Guidence Table'!$I$1:$I$10000&lt;=ROUND($CV$3,0))*('Margin Guidence Table'!$J$1:$J$10000&gt;=ROUND($CV$3,0)),0),MATCH("MDA_MAX_MARGIN_GUIDENCE",'Margin Guidence Table'!$A$1:$AG$1,0)),INDEX('Margin Guidence Table'!$A$1:$AG$10000,MATCH(1,('Margin Guidence Table'!$A$1:$A$10000=DD23)*('Margin Guidence Table'!$I$1:$I$10000&lt;=ROUND($CV$3,0))*('Margin Guidence Table'!$J$1:$J$10000&gt;=ROUND($CV$3,0)),0),MATCH("DEFAULT_MDA_MAX_MARGIN_GUIDENCE",'Margin Guidence Table'!$A$1:$AG$1,0))),0)</f>
        <v>0</v>
      </c>
      <c r="DL23" s="1054">
        <f t="array" ref="DL23">IFERROR(IF($DF23="SEGMENT",INDEX('Margin Guidence Table'!$A$1:$AG$10000,MATCH(1,('Margin Guidence Table'!$A$1:$A$10000=DD23)*('Margin Guidence Table'!$I$1:$I$10000&lt;=ROUND($CV$3,0))*('Margin Guidence Table'!$J$1:$J$10000&gt;=ROUND($CV$3,0)),0),MATCH("PA_PCT_SALES",'Margin Guidence Table'!$A$1:$AG$1,0)),INDEX('Margin Guidence Table'!$A$1:$AG$10000,MATCH(1,('Margin Guidence Table'!$A$1:$A$10000=DD23)*('Margin Guidence Table'!$I$1:$I$10000&lt;=ROUND($CV$3,0))*('Margin Guidence Table'!$J$1:$J$10000&gt;=ROUND($CV$3,0)),0),MATCH("DEFAULT_PA_PCT_SALES",'Margin Guidence Table'!$A$1:$AG$1,0))),0)</f>
        <v>0</v>
      </c>
      <c r="DM23" s="1054">
        <f t="array" ref="DM23">IFERROR(IF($DF23="SEGMENT",INDEX('Margin Guidence Table'!$A$1:$AG$10000,MATCH(1,('Margin Guidence Table'!$A$1:$A$10000=DD23)*('Margin Guidence Table'!$I$1:$I$10000&lt;=ROUND($CV$3,0))*('Margin Guidence Table'!$J$1:$J$10000&gt;=ROUND($CV$3,0)),0),MATCH("SELF_FUND_PCT_SALES",'Margin Guidence Table'!$A$1:$AG$1,0)),INDEX('Margin Guidence Table'!$A$1:$AG$10000,MATCH(1,('Margin Guidence Table'!$A$1:$A$10000=DD23)*('Margin Guidence Table'!$I$1:$I$10000&lt;=ROUND($CV$3,0))*('Margin Guidence Table'!$J$1:$J$10000&gt;=ROUND($CV$3,0)),0),MATCH("DEFAULT_SELF_FUND_PCT_SALES",'Margin Guidence Table'!$A$1:$AG$1,0))),0)</f>
        <v>0</v>
      </c>
      <c r="DN23" s="1054">
        <f t="array" ref="DN23">IFERROR(IF($DF23="SEGMENT",INDEX('Margin Guidence Table'!$A$1:$AG$10000,MATCH(1,('Margin Guidence Table'!$A$1:$A$10000=DD23)*('Margin Guidence Table'!$I$1:$I$10000&lt;=ROUND($CV$3,0))*('Margin Guidence Table'!$J$1:$J$10000&gt;=ROUND($CV$3,0)),0),MATCH("CIA_MEDIAN_MARGIN_GUIDENCE",'Margin Guidence Table'!$A$1:$AG$1,0)),INDEX('Margin Guidence Table'!$A$1:$AG$10000,MATCH(1,('Margin Guidence Table'!$A$1:$A$10000=DD23)*('Margin Guidence Table'!$I$1:$I$10000&lt;=ROUND($CV$3,0))*('Margin Guidence Table'!$J$1:$J$10000&gt;=ROUND($CV$3,0)),0),MATCH("DEFAULT_CIA_MEDIAN_MARGIN_GUIDENCE",'Margin Guidence Table'!$A$1:$AG$1,0))),0)</f>
        <v>0</v>
      </c>
      <c r="DO23" s="127"/>
      <c r="DP23" s="18">
        <f t="array" ref="DP23">IFERROR(IF($EC23="SEGMENT",INDEX('Margin Guidence Table'!$A$1:$AG$10000,MATCH(1,('Margin Guidence Table'!$A$1:$A$10000=$EA23)*('Margin Guidence Table'!$I$1:$I$10000&lt;=ROUND($DS$3,0))*('Margin Guidence Table'!$J$1:$J$10000&gt;=ROUND($DS$3,0)),0),MATCH("PCT_SALES",'Margin Guidence Table'!$A$1:$AG$1,0)),INDEX('Margin Guidence Table'!$A$1:$AG$10000,MATCH(1,('Margin Guidence Table'!$A$1:$A$10000=$EA23)*('Margin Guidence Table'!$I$1:$I$10000&lt;=ROUND($DS$3,0))*('Margin Guidence Table'!$J$1:$J$10000&gt;=ROUND($DS$3,0)),0),MATCH("DEFAULT_PCT_SALES",'Margin Guidence Table'!$A$1:$AG$1,0))),0)</f>
        <v>0</v>
      </c>
      <c r="DQ23" s="370" t="e">
        <f t="shared" si="32"/>
        <v>#DIV/0!</v>
      </c>
      <c r="DR23" s="100" t="s">
        <v>101</v>
      </c>
      <c r="DS23" s="92">
        <f>IFERROR(IF(AND($DS$2&lt;&gt;"Enter Spend&gt;&gt;&gt;",DT11="EXISTING"),SUMIFS('Existing Customers'!$Q:$Q,'Existing Customers'!$A:$A,$DS$1,'Existing Customers'!$H:$H,$DR23)*$DS$4,$DS$3*$DQ23),0)</f>
        <v>0</v>
      </c>
      <c r="DT23" s="87">
        <f>IFERROR(IF(AND($DS$2&lt;&gt;"Enter Spend&gt;&gt;&gt;",DT2="EXISTING"),SUMIFS('Existing Customers'!$N:$N,'Existing Customers'!$A:$A,$DS$1,'Existing Customers'!$H:$H,$DR23)*$DS$4,$DS23/$ED23),0)</f>
        <v>0</v>
      </c>
      <c r="DU23" s="93">
        <f>IFERROR(IF(AND($DS$2&lt;&gt;"Enter Spend&gt;&gt;&gt;",DT2="EXISTING"),SUMIFS('Existing Customers'!$O:$O,'Existing Customers'!$H:$H,$DR23,'Existing Customers'!$A:$A,$DS$1)*$DS$4,$DT23*$DS$8),0)</f>
        <v>0</v>
      </c>
      <c r="DV23" s="93">
        <f>IFERROR(IF(AND($DS$2&lt;&gt;"Enter Spend&gt;&gt;&gt;",DT2="EXISTING"),SUMIFS('Existing Customers'!$P:$P,'Existing Customers'!$A:$A,$DS$1,'Existing Customers'!$H:$H,$DR23)*$DS$4,$DS23/$EE23),0)</f>
        <v>0</v>
      </c>
      <c r="DW23" s="94">
        <f>IFERROR(IF(AND($DS$2&lt;&gt;"Enter Spend&gt;&gt;&gt;",EQ2="EXISTING"),SUMIFS('Existing Customers'!$V:$V,'Existing Customers'!$H:$H,$DR23,'Existing Customers'!$A:$A,$DS$1)*$DS$4,0),0)</f>
        <v>0</v>
      </c>
      <c r="DX23" s="94">
        <f>IFERROR(IF(AND($DS$2&lt;&gt;"Enter Spend&gt;&gt;&gt;",DT2="EXISTING"),SUMIFS('Existing Customers'!$R:$R,'Existing Customers'!$H:$H,$DR23,'Existing Customers'!$A:$A,$DS$1)*$DS$4,0),0)</f>
        <v>0</v>
      </c>
      <c r="DY23" s="1050">
        <f>IFERROR(IF(AND($DS$2&lt;&gt;"Enter Spend&gt;&gt;&gt;",DT2="EXISTING"),SUMIFS('Existing Customers'!$S:$S,'Existing Customers'!$H:$H,$DT23,'Existing Customers'!$A:$A,$DS$1),EI23*DS23),0)</f>
        <v>0</v>
      </c>
      <c r="DZ23" s="1050">
        <f>IFERROR(IF(AND($DS$2&lt;&gt;"Enter Spend&gt;&gt;&gt;",DT2="EXISTING"),SUMIFS('Existing Customers'!$U:$U,'Existing Customers'!$H:$H,$DR23,'Existing Customers'!$A:$A,$DS$1),EJ23*DS23),0)</f>
        <v>0</v>
      </c>
      <c r="EA23" s="1053" t="e">
        <f>_xlfn.CONCAT('Customer Inputs'!$AG$9,"_",DR23)</f>
        <v>#N/A</v>
      </c>
      <c r="EB23" s="1053">
        <f t="array" ref="EB23">IFERROR(INDEX('Margin Guidence Table'!$A$1:$AG$10000,MATCH(1,('Margin Guidence Table'!$A$1:$A$10000=EA23)*('Margin Guidence Table'!$I$1:$I$10000&lt;=ROUND($DS$3,0))*('Margin Guidence Table'!$J$1:$J$10000&gt;=ROUND($DS$3,0)),0),MATCH("DATA_POINTS",'Margin Guidence Table'!$A$1:$AG$1,0)),0)</f>
        <v>0</v>
      </c>
      <c r="EC23" s="1050" t="str">
        <f t="shared" si="33"/>
        <v>DEFAULT</v>
      </c>
      <c r="ED23" s="1050">
        <f t="array" ref="ED23">IFERROR(IF($EC23="SEGMENT",INDEX('Margin Guidence Table'!$A$1:$AG$10000,MATCH(1,('Margin Guidence Table'!$A$1:$A$10000=EA23)*('Margin Guidence Table'!$I$1:$I$10000&lt;=ROUND($DS$3,0))*('Margin Guidence Table'!$J$1:$J$10000&gt;=ROUND($DS$3,0)),0),MATCH("SALES_CASE",'Margin Guidence Table'!$A$1:$AG$1,0)),INDEX('Margin Guidence Table'!$A$1:$AG$10000,MATCH(1,('Margin Guidence Table'!$A$1:$A$10000=EA23)*('Margin Guidence Table'!$I$1:$I$10000&lt;=ROUND($DS$3,0))*('Margin Guidence Table'!$J$1:$J$10000&gt;=ROUND($DS$3,0)),0),MATCH("DEFAULT_SALES_CASE",'Margin Guidence Table'!$A$1:$AG$1,0))),0)</f>
        <v>0</v>
      </c>
      <c r="EE23" s="1050">
        <f t="array" ref="EE23">IFERROR(IF($EC23="SEGMENT",INDEX('Margin Guidence Table'!$A$1:$AG$10000,MATCH(1,('Margin Guidence Table'!$A$1:$A$10000=EA23)*('Margin Guidence Table'!$I$1:$I$10000&lt;=ROUND($DS$3,0))*('Margin Guidence Table'!$J$1:$J$10000&gt;=ROUND($DS$3,0)),0),MATCH("SALES_LBS",'Margin Guidence Table'!$A$1:$AG$1,0)),INDEX('Margin Guidence Table'!$A$1:$AG$10000,MATCH(1,('Margin Guidence Table'!$A$1:$A$10000=EA23)*('Margin Guidence Table'!$I$1:$I$10000&lt;=ROUND($DS$3,0))*('Margin Guidence Table'!$J$1:$J$10000&gt;=ROUND($DS$3,0)),0),MATCH("DEFAULT_SALES_LBS",'Margin Guidence Table'!$A$1:$AG$1,0))),0)</f>
        <v>0</v>
      </c>
      <c r="EF23" s="1054">
        <f t="array" ref="EF23">IFERROR(IF($EC23="SEGMENT",INDEX('Margin Guidence Table'!$A$1:$AG$10000,MATCH(1,('Margin Guidence Table'!$A$1:$A$10000=EA23)*('Margin Guidence Table'!$I$1:$I$10000&lt;=ROUND($DS$3,0))*('Margin Guidence Table'!$J$1:$J$10000&gt;=ROUND($DS$3,0)),0),MATCH("MDA_MIN_MARGIN_GUIDENCE",'Margin Guidence Table'!$A$1:$AG$1,0)),INDEX('Margin Guidence Table'!$A$1:$AG$10000,MATCH(1,('Margin Guidence Table'!$A$1:$A$10000=EA23)*('Margin Guidence Table'!$I$1:$I$10000&lt;=ROUND($DS$3,0))*('Margin Guidence Table'!$J$1:$J$10000&gt;=ROUND($DS$3,0)),0),MATCH("DEFAULT_MDA_MIN_MARGIN_GUIDENCE",'Margin Guidence Table'!$A$1:$AG$1,0))),0)</f>
        <v>0</v>
      </c>
      <c r="EG23" s="1054">
        <f t="array" ref="EG23">IFERROR(IF($EC23="SEGMENT",INDEX('Margin Guidence Table'!$A$1:$AG$10000,MATCH(1,('Margin Guidence Table'!$A$1:$A$10000=EA23)*('Margin Guidence Table'!$I$1:$I$10000&lt;=ROUND($DS$3,0))*('Margin Guidence Table'!$J$1:$J$10000&gt;=ROUND($DS$3,0)),0),MATCH("MDA_MEDIAN_MARGIN_GUIDENCE",'Margin Guidence Table'!$A$1:$AG$1,0)),INDEX('Margin Guidence Table'!$A$1:$AG$10000,MATCH(1,('Margin Guidence Table'!$A$1:$A$10000=EA23)*('Margin Guidence Table'!$I$1:$I$10000&lt;=ROUND($DS$3,0))*('Margin Guidence Table'!$J$1:$J$10000&gt;=ROUND($DS$3,0)),0),MATCH("DEFAULT_MDA_MEDIAN_MARGIN_GUIDENCE",'Margin Guidence Table'!$A$1:$AG$1,0))),0)</f>
        <v>0</v>
      </c>
      <c r="EH23" s="1054">
        <f t="array" ref="EH23">IFERROR(IF($EC23="SEGMENT",INDEX('Margin Guidence Table'!$A$1:$AG$10000,MATCH(1,('Margin Guidence Table'!$A$1:$A$10000=EA23)*('Margin Guidence Table'!$I$1:$I$10000&lt;=ROUND($DS$3,0))*('Margin Guidence Table'!$J$1:$J$10000&gt;=ROUND($DS$3,0)),0),MATCH("MDA_MAX_MARGIN_GUIDENCE",'Margin Guidence Table'!$A$1:$AG$1,0)),INDEX('Margin Guidence Table'!$A$1:$AG$10000,MATCH(1,('Margin Guidence Table'!$A$1:$A$10000=EA23)*('Margin Guidence Table'!$I$1:$I$10000&lt;=ROUND($DS$3,0))*('Margin Guidence Table'!$J$1:$J$10000&gt;=ROUND($DS$3,0)),0),MATCH("DEFAULT_MDA_MAX_MARGIN_GUIDENCE",'Margin Guidence Table'!$A$1:$AG$1,0))),0)</f>
        <v>0</v>
      </c>
      <c r="EI23" s="1054">
        <f t="array" ref="EI23">IFERROR(IF($EC23="SEGMENT",INDEX('Margin Guidence Table'!$A$1:$AG$10000,MATCH(1,('Margin Guidence Table'!$A$1:$A$10000=EA23)*('Margin Guidence Table'!$I$1:$I$10000&lt;=ROUND($DS$3,0))*('Margin Guidence Table'!$J$1:$J$10000&gt;=ROUND($DS$3,0)),0),MATCH("PA_PCT_SALES",'Margin Guidence Table'!$A$1:$AG$1,0)),INDEX('Margin Guidence Table'!$A$1:$AG$10000,MATCH(1,('Margin Guidence Table'!$A$1:$A$10000=EA23)*('Margin Guidence Table'!$I$1:$I$10000&lt;=ROUND($DS$3,0))*('Margin Guidence Table'!$J$1:$J$10000&gt;=ROUND($DS$3,0)),0),MATCH("DEFAULT_PA_PCT_SALES",'Margin Guidence Table'!$A$1:$AG$1,0))),0)</f>
        <v>0</v>
      </c>
      <c r="EJ23" s="1054">
        <f t="array" ref="EJ23">IFERROR(IF($EC23="SEGMENT",INDEX('Margin Guidence Table'!$A$1:$AG$10000,MATCH(1,('Margin Guidence Table'!$A$1:$A$10000=EA23)*('Margin Guidence Table'!$I$1:$I$10000&lt;=ROUND($DS$3,0))*('Margin Guidence Table'!$J$1:$J$10000&gt;=ROUND($DS$3,0)),0),MATCH("SELF_FUND_PCT_SALES",'Margin Guidence Table'!$A$1:$AG$1,0)),INDEX('Margin Guidence Table'!$A$1:$AG$10000,MATCH(1,('Margin Guidence Table'!$A$1:$A$10000=EA23)*('Margin Guidence Table'!$I$1:$I$10000&lt;=ROUND($DS$3,0))*('Margin Guidence Table'!$J$1:$J$10000&gt;=ROUND($DS$3,0)),0),MATCH("DEFAULT_SELF_FUND_PCT_SALES",'Margin Guidence Table'!$A$1:$AG$1,0))),0)</f>
        <v>0</v>
      </c>
      <c r="EK23" s="1054">
        <f t="array" ref="EK23">IFERROR(IF($EC23="SEGMENT",INDEX('Margin Guidence Table'!$A$1:$AG$10000,MATCH(1,('Margin Guidence Table'!$A$1:$A$10000=EA23)*('Margin Guidence Table'!$I$1:$I$10000&lt;=ROUND($DS$3,0))*('Margin Guidence Table'!$J$1:$J$10000&gt;=ROUND($DS$3,0)),0),MATCH("CIA_MEDIAN_MARGIN_GUIDENCE",'Margin Guidence Table'!$A$1:$AG$1,0)),INDEX('Margin Guidence Table'!$A$1:$AG$10000,MATCH(1,('Margin Guidence Table'!$A$1:$A$10000=EA23)*('Margin Guidence Table'!$I$1:$I$10000&lt;=ROUND($DS$3,0))*('Margin Guidence Table'!$J$1:$J$10000&gt;=ROUND($DS$3,0)),0),MATCH("DEFAULT_CIA_MEDIAN_MARGIN_GUIDENCE",'Margin Guidence Table'!$A$1:$AG$1,0))),0)</f>
        <v>0</v>
      </c>
      <c r="EL23" s="127"/>
      <c r="EM23" s="18">
        <f t="array" ref="EM23">IFERROR(IF($EZ23="SEGMENT",INDEX('Margin Guidence Table'!$A$1:$AG$10000,MATCH(1,('Margin Guidence Table'!$A$1:$A$10000=$EX23)*('Margin Guidence Table'!$I$1:$I$10000&lt;=ROUND($EP$3,0))*('Margin Guidence Table'!$J$1:$J$10000&gt;=ROUND($EP$3,0)),0),MATCH("PCT_SALES",'Margin Guidence Table'!$A$1:$AG$1,0)),INDEX('Margin Guidence Table'!$A$1:$AG$10000,MATCH(1,('Margin Guidence Table'!$A$1:$A$10000=$EX23)*('Margin Guidence Table'!$I$1:$I$10000&lt;=ROUND($EP$3,0))*('Margin Guidence Table'!$J$1:$J$10000&gt;=ROUND($EP$3,0)),0),MATCH("DEFAULT_PCT_SALES",'Margin Guidence Table'!$A$1:$AG$1,0))),0)</f>
        <v>0</v>
      </c>
      <c r="EN23" s="370" t="e">
        <f t="shared" si="34"/>
        <v>#DIV/0!</v>
      </c>
      <c r="EO23" s="100" t="s">
        <v>101</v>
      </c>
      <c r="EP23" s="92">
        <f>IFERROR(IF(AND($EP$2&lt;&gt;"Enter Spend&gt;&gt;&gt;",EQ11="EXISTING"),SUMIFS('Existing Customers'!$Q:$Q,'Existing Customers'!$A:$A,$EP$1,'Existing Customers'!$H:$H,$EO23)*$EP$4,$EP$3*$EN23),0)</f>
        <v>0</v>
      </c>
      <c r="EQ23" s="87">
        <f>IFERROR(IF(AND($EP$2&lt;&gt;"Enter Spend&gt;&gt;&gt;",EQ2="EXISTING"),SUMIFS('Existing Customers'!$N:$N,'Existing Customers'!$A:$A,$EP$1,'Existing Customers'!$H:$H,$EO23)*$EP$4,$EP23/$FA23),0)</f>
        <v>0</v>
      </c>
      <c r="ER23" s="93">
        <f>IFERROR(IF(AND($EP$2&lt;&gt;"Enter Spend&gt;&gt;&gt;",EQ2="EXISTING"),SUMIFS('Existing Customers'!$O:$O,'Existing Customers'!$H:$H,$EO23,'Existing Customers'!$A:$A,$EP$1)*$EP$4,$EQ23*$EP$8),0)</f>
        <v>0</v>
      </c>
      <c r="ES23" s="93">
        <f>IFERROR(IF(AND($EP$2&lt;&gt;"Enter Spend&gt;&gt;&gt;",EQ2="EXISTING"),SUMIFS('Existing Customers'!$P:$P,'Existing Customers'!$A:$A,$EP$1,'Existing Customers'!$H:$H,$EO23)*$EP$4,$EP23/$FB23),0)</f>
        <v>0</v>
      </c>
      <c r="ET23" s="94">
        <f>IFERROR(IF(AND($EP$2&lt;&gt;"Enter Spend&gt;&gt;&gt;",EQ2="EXISTING"),SUMIFS('Existing Customers'!$V:$V,'Existing Customers'!$H:$H,$EO23,'Existing Customers'!$A:$A,$EP$1)*$EP$4,0),0)</f>
        <v>0</v>
      </c>
      <c r="EU23" s="94">
        <f>IFERROR(IF(AND($EP$2&lt;&gt;"Enter Spend&gt;&gt;&gt;",EQ2="EXISTING"),SUMIFS('Existing Customers'!$R:$R,'Existing Customers'!$H:$H,$EO23,'Existing Customers'!$A:$A,$EP$1)*$EP$4,0),0)</f>
        <v>0</v>
      </c>
      <c r="EV23" s="1050">
        <f>IFERROR(IF(AND($EP$2&lt;&gt;"Enter Spend&gt;&gt;&gt;",EQ2="EXISTING"),SUMIFS('Existing Customers'!$S:$S,'Existing Customers'!$H:$H,$EO23,'Existing Customers'!$A:$A,$EP$1),FF23*EP23),0)</f>
        <v>0</v>
      </c>
      <c r="EW23" s="1050">
        <f>IFERROR(IF(AND($EP$2&lt;&gt;"Enter Spend&gt;&gt;&gt;",EQ2="EXISTING"),SUMIFS('Existing Customers'!$U:$U,'Existing Customers'!$H:$H,$EO23,'Existing Customers'!$A:$A,$EP$1),FG23*EP23),0)</f>
        <v>0</v>
      </c>
      <c r="EX23" s="1053" t="e">
        <f>_xlfn.CONCAT('Customer Inputs'!$AG$10,"_",EO23)</f>
        <v>#N/A</v>
      </c>
      <c r="EY23" s="1053">
        <f t="array" ref="EY23">IFERROR(INDEX('Margin Guidence Table'!$A$1:$AG$10000,MATCH(1,('Margin Guidence Table'!$A$1:$A$10000=EX23)*('Margin Guidence Table'!$I$1:$I$10000&lt;=ROUND($EP$3,0))*('Margin Guidence Table'!$J$1:$J$10000&gt;=ROUND($EP$3,0)),0),MATCH("DATA_POINTS",'Margin Guidence Table'!$A$1:$AG$1,0)),0)</f>
        <v>0</v>
      </c>
      <c r="EZ23" s="1050" t="str">
        <f t="shared" si="35"/>
        <v>DEFAULT</v>
      </c>
      <c r="FA23" s="1050">
        <f t="array" ref="FA23">IFERROR(IF($EZ23="SEGMENT",INDEX('Margin Guidence Table'!$A$1:$AG$10000,MATCH(1,('Margin Guidence Table'!$A$1:$A$10000=EX23)*('Margin Guidence Table'!$I$1:$I$10000&lt;=ROUND($EP$3,0))*('Margin Guidence Table'!$J$1:$J$10000&gt;=ROUND($EP$3,0)),0),MATCH("SALES_CASE",'Margin Guidence Table'!$A$1:$AG$1,0)),INDEX('Margin Guidence Table'!$A$1:$AG$10000,MATCH(1,('Margin Guidence Table'!$A$1:$A$10000=EX23)*('Margin Guidence Table'!$I$1:$I$10000&lt;=ROUND($EP$3,0))*('Margin Guidence Table'!$J$1:$J$10000&gt;=ROUND($EP$3,0)),0),MATCH("DEFAULT_SALES_CASE",'Margin Guidence Table'!$A$1:$AG$1,0))),0)</f>
        <v>0</v>
      </c>
      <c r="FB23" s="1050" cm="1">
        <f t="array" ref="FB23">IFERROR(IF($EZ23="SEGMENT",INDEX('Margin Guidence Table'!$A$1:$AG$10000,MATCH(1,('Margin Guidence Table'!$A$1:$A$10000=EX23)*('Margin Guidence Table'!$I$1:$I$10000&lt;=ROUND($EP$3,0))*('Margin Guidence Table'!$J$1:$J$10000&gt;=ROUND($EP$3,0)),0),MATCH("SALES_LBS",'Margin Guidence Table'!$A$1:$AG$1,0)),INDEX('Margin Guidence Table'!$A$1:$AG$10000,MATCH(1,('Margin Guidence Table'!$A$1:$A$10000=EX23)*('Margin Guidence Table'!$I$1:$I$10000&lt;=ROUND($EP$3,0))*('Margin Guidence Table'!$J$1:$J$10000&gt;=ROUND($EP$3,0)),0),MATCH("DEFAULT_SALES_LBS",'Margin Guidence Table'!$A$1:$AG$1,0))),0)</f>
        <v>0</v>
      </c>
      <c r="FC23" s="1054">
        <f t="array" ref="FC23">IFERROR(IF($EZ23="SEGMENT",INDEX('Margin Guidence Table'!$A$1:$AG$10000,MATCH(1,('Margin Guidence Table'!$A$1:$A$10000=EX23)*('Margin Guidence Table'!$I$1:$I$10000&lt;=ROUND($EP$3,0))*('Margin Guidence Table'!$J$1:$J$10000&gt;=ROUND($EP$3,0)),0),MATCH("MDA_MIN_MARGIN_GUIDENCE",'Margin Guidence Table'!$A$1:$AG$1,0)),INDEX('Margin Guidence Table'!$A$1:$AG$10000,MATCH(1,('Margin Guidence Table'!$A$1:$A$10000=EX23)*('Margin Guidence Table'!$I$1:$I$10000&lt;=ROUND($EP$3,0))*('Margin Guidence Table'!$J$1:$J$10000&gt;=ROUND($EP$3,0)),0),MATCH("DEFAULT_MDA_MIN_MARGIN_GUIDENCE",'Margin Guidence Table'!$A$1:$AG$1,0))),0)</f>
        <v>0</v>
      </c>
      <c r="FD23" s="1054">
        <f t="array" ref="FD23">IFERROR(IF($EZ23="SEGMENT",INDEX('Margin Guidence Table'!$A$1:$AG$10000,MATCH(1,('Margin Guidence Table'!$A$1:$A$10000=EX23)*('Margin Guidence Table'!$I$1:$I$10000&lt;=ROUND($EP$3,0))*('Margin Guidence Table'!$J$1:$J$10000&gt;=ROUND($EP$3,0)),0),MATCH("MDA_MEDIAN_MARGIN_GUIDENCE",'Margin Guidence Table'!$A$1:$AG$1,0)),INDEX('Margin Guidence Table'!$A$1:$AG$10000,MATCH(1,('Margin Guidence Table'!$A$1:$A$10000=EX23)*('Margin Guidence Table'!$I$1:$I$10000&lt;=ROUND($EP$3,0))*('Margin Guidence Table'!$J$1:$J$10000&gt;=ROUND($EP$3,0)),0),MATCH("DEFAULT_MDA_MEDIAN_MARGIN_GUIDENCE",'Margin Guidence Table'!$A$1:$AG$1,0))),0)</f>
        <v>0</v>
      </c>
      <c r="FE23" s="1054">
        <f t="array" ref="FE23">IFERROR(IF($EZ23="SEGMENT",INDEX('Margin Guidence Table'!$A$1:$AG$10000,MATCH(1,('Margin Guidence Table'!$A$1:$A$10000=EX23)*('Margin Guidence Table'!$I$1:$I$10000&lt;=ROUND($EP$3,0))*('Margin Guidence Table'!$J$1:$J$10000&gt;=ROUND($EP$3,0)),0),MATCH("MDA_MAX_MARGIN_GUIDENCE",'Margin Guidence Table'!$A$1:$AG$1,0)),INDEX('Margin Guidence Table'!$A$1:$AG$10000,MATCH(1,('Margin Guidence Table'!$A$1:$A$10000=EX23)*('Margin Guidence Table'!$I$1:$I$10000&lt;=ROUND($EP$3,0))*('Margin Guidence Table'!$J$1:$J$10000&gt;=ROUND($EP$3,0)),0),MATCH("DEFAULT_MDA_MAX_MARGIN_GUIDENCE",'Margin Guidence Table'!$A$1:$AG$1,0))),0)</f>
        <v>0</v>
      </c>
      <c r="FF23" s="1054">
        <f t="array" ref="FF23">IFERROR(IF($EZ23="SEGMENT",INDEX('Margin Guidence Table'!$A$1:$AG$10000,MATCH(1,('Margin Guidence Table'!$A$1:$A$10000=EX23)*('Margin Guidence Table'!$I$1:$I$10000&lt;=ROUND($EP$3,0))*('Margin Guidence Table'!$J$1:$J$10000&gt;=ROUND($EP$3,0)),0),MATCH("PA_PCT_SALES",'Margin Guidence Table'!$A$1:$AG$1,0)),INDEX('Margin Guidence Table'!$A$1:$AG$10000,MATCH(1,('Margin Guidence Table'!$A$1:$A$10000=EX23)*('Margin Guidence Table'!$I$1:$I$10000&lt;=ROUND($EP$3,0))*('Margin Guidence Table'!$J$1:$J$10000&gt;=ROUND($EP$3,0)),0),MATCH("DEFAULT_PA_PCT_SALES",'Margin Guidence Table'!$A$1:$AG$1,0))),0)</f>
        <v>0</v>
      </c>
      <c r="FG23" s="1054">
        <f t="array" ref="FG23">IFERROR(IF($EZ23="SEGMENT",INDEX('Margin Guidence Table'!$A$1:$AG$10000,MATCH(1,('Margin Guidence Table'!$A$1:$A$10000=EX23)*('Margin Guidence Table'!$I$1:$I$10000&lt;=ROUND($EP$3,0))*('Margin Guidence Table'!$J$1:$J$10000&gt;=ROUND($EP$3,0)),0),MATCH("SELF_FUND_PCT_SALES",'Margin Guidence Table'!$A$1:$AG$1,0)),INDEX('Margin Guidence Table'!$A$1:$AG$10000,MATCH(1,('Margin Guidence Table'!$A$1:$A$10000=EX23)*('Margin Guidence Table'!$I$1:$I$10000&lt;=ROUND($EP$3,0))*('Margin Guidence Table'!$J$1:$J$10000&gt;=ROUND($EP$3,0)),0),MATCH("DEFAULT_SELF_FUND_PCT_SALES",'Margin Guidence Table'!$A$1:$AG$1,0))),0)</f>
        <v>0</v>
      </c>
      <c r="FH23" s="1054">
        <f t="array" ref="FH23">IFERROR(IF($EZ23="SEGMENT",INDEX('Margin Guidence Table'!$A$1:$AG$10000,MATCH(1,('Margin Guidence Table'!$A$1:$A$10000=EX23)*('Margin Guidence Table'!$I$1:$I$10000&lt;=ROUND($EP$3,0))*('Margin Guidence Table'!$J$1:$J$10000&gt;=ROUND($EP$3,0)),0),MATCH("CIA_MEDIAN_MARGIN_GUIDENCE",'Margin Guidence Table'!$A$1:$AG$1,0)),INDEX('Margin Guidence Table'!$A$1:$AG$10000,MATCH(1,('Margin Guidence Table'!$A$1:$A$10000=EX23)*('Margin Guidence Table'!$I$1:$I$10000&lt;=ROUND($EP$3,0))*('Margin Guidence Table'!$J$1:$J$10000&gt;=ROUND($EP$3,0)),0),MATCH("DEFAULT_CIA_MEDIAN_MARGIN_GUIDENCE",'Margin Guidence Table'!$A$1:$AG$1,0))),0)</f>
        <v>0</v>
      </c>
      <c r="FI23" s="127"/>
      <c r="FJ23" s="18">
        <f t="array" ref="FJ23">IFERROR(IF($FW23="SEGMENT",INDEX('Margin Guidence Table'!$A$1:$AG$10000,MATCH(1,('Margin Guidence Table'!$A$1:$A$10000=$FU23)*('Margin Guidence Table'!$I$1:$I$10000&lt;=ROUND($FM$3,0))*('Margin Guidence Table'!$J$1:$J$10000&gt;=ROUND($FM$3,0)),0),MATCH("PCT_SALES",'Margin Guidence Table'!$A$1:$AG$1,0)),INDEX('Margin Guidence Table'!$A$1:$AG$10000,MATCH(1,('Margin Guidence Table'!$A$1:$A$10000=$FU23)*('Margin Guidence Table'!$I$1:$I$10000&lt;=ROUND($FM$3,0))*('Margin Guidence Table'!$J$1:$J$10000&gt;=ROUND($FM$3,0)),0),MATCH("DEFAULT_PCT_SALES",'Margin Guidence Table'!$A$1:$AG$1,0))),0)</f>
        <v>0</v>
      </c>
      <c r="FK23" s="370" t="e">
        <f t="shared" si="36"/>
        <v>#DIV/0!</v>
      </c>
      <c r="FL23" s="100" t="s">
        <v>101</v>
      </c>
      <c r="FM23" s="92">
        <f>IFERROR(IF(AND($FM$2&lt;&gt;"Enter Spend&gt;&gt;&gt;",FN11="EXISTING"),SUMIFS('Existing Customers'!$Q:$Q,'Existing Customers'!$A:$A,$FM$1,'Existing Customers'!$H:$H,$FL23)*$FM$4,$FM$3*$FK23),0)</f>
        <v>0</v>
      </c>
      <c r="FN23" s="87">
        <f>IFERROR(IF(AND($FM$2&lt;&gt;"Enter Spend&gt;&gt;&gt;",FN2="EXISTING"),SUMIFS('Existing Customers'!$N:$N,'Existing Customers'!$A:$A,$FM$1,'Existing Customers'!$H:$H,$FL23)*$FM$4,$FM23/$FX23),0)</f>
        <v>0</v>
      </c>
      <c r="FO23" s="93">
        <f>IFERROR(IF(AND($FM$2&lt;&gt;"Enter Spend&gt;&gt;&gt;",FN2="EXISTING"),SUMIFS('Existing Customers'!$O:$O,'Existing Customers'!$H:$H,$FL23,'Existing Customers'!$A:$A,$FM$1)*$FM$4,$FN23*$FM$8),0)</f>
        <v>0</v>
      </c>
      <c r="FP23" s="93">
        <f>IFERROR(IF(AND($FM$2&lt;&gt;"Enter Spend&gt;&gt;&gt;",FN2="EXISTING"),SUMIFS('Existing Customers'!$P:$P,'Existing Customers'!$A:$A,$FM$1,'Existing Customers'!$H:$H,$FL23)*$FM$4,$FM23/$FY23),0)</f>
        <v>0</v>
      </c>
      <c r="FQ23" s="94">
        <f>IFERROR(IF(AND($FM$2&lt;&gt;"Enter Spend&gt;&gt;&gt;",FN2="EXISTING"),SUMIFS('Existing Customers'!$V:$V,'Existing Customers'!$H:$H,$FL23,'Existing Customers'!$A:$A,$FM$1)*$FM$4,0),0)</f>
        <v>0</v>
      </c>
      <c r="FR23" s="94">
        <f>IFERROR(IF(AND($FM$2&lt;&gt;"Enter Spend&gt;&gt;&gt;",FN2="EXISTING"),SUMIFS('Existing Customers'!$R:$R,'Existing Customers'!$H:$H,$FL23,'Existing Customers'!$A:$A,$FM$1)*$FM$4,0),0)</f>
        <v>0</v>
      </c>
      <c r="FS23" s="1050">
        <f>IFERROR(IF(AND($FM$2&lt;&gt;"Enter Spend&gt;&gt;&gt;",FN2="EXISTING"),SUMIFS('Existing Customers'!$S:$S,'Existing Customers'!$H:$H,$FL23,'Existing Customers'!$A:$A,$FM$1),GC23*FM23),0)</f>
        <v>0</v>
      </c>
      <c r="FT23" s="1050">
        <f>IFERROR(IF(AND($FM$2&lt;&gt;"Enter Spend&gt;&gt;&gt;",FN2="EXISTING"),SUMIFS('Existing Customers'!$U:$U,'Existing Customers'!$H:$H,$FL23,'Existing Customers'!$A:$A,$FM$1),GD23*FM23),0)</f>
        <v>0</v>
      </c>
      <c r="FU23" s="1053" t="e">
        <f>_xlfn.CONCAT('Customer Inputs'!$AG$11,"_",FL23)</f>
        <v>#N/A</v>
      </c>
      <c r="FV23" s="1053">
        <f t="array" ref="FV23">IFERROR(INDEX('Margin Guidence Table'!$A$1:$AG$10000,MATCH(1,('Margin Guidence Table'!$A$1:$A$10000=FU23)*('Margin Guidence Table'!$I$1:$I$10000&lt;=ROUND($FM$3,0))*('Margin Guidence Table'!$J$1:$J$10000&gt;=ROUND($FM$3,0)),0),MATCH("DATA_POINTS",'Margin Guidence Table'!$A$1:$AG$1,0)),0)</f>
        <v>0</v>
      </c>
      <c r="FW23" s="1050" t="str">
        <f t="shared" si="37"/>
        <v>DEFAULT</v>
      </c>
      <c r="FX23" s="1050">
        <f t="array" ref="FX23">IFERROR(IF($FW23="SEGMENT",INDEX('Margin Guidence Table'!$A$1:$AG$10000,MATCH(1,('Margin Guidence Table'!$A$1:$A$10000=FU23)*('Margin Guidence Table'!$I$1:$I$10000&lt;=ROUND($FM$3,0))*('Margin Guidence Table'!$J$1:$J$10000&gt;=ROUND($FM$3,0)),0),MATCH("SALES_CASE",'Margin Guidence Table'!$A$1:$AG$1,0)),INDEX('Margin Guidence Table'!$A$1:$AG$10000,MATCH(1,('Margin Guidence Table'!$A$1:$A$10000=FU23)*('Margin Guidence Table'!$I$1:$I$10000&lt;=ROUND($FM$3,0))*('Margin Guidence Table'!$J$1:$J$10000&gt;=ROUND($FM$3,0)),0),MATCH("DEFAULT_SALES_CASE",'Margin Guidence Table'!$A$1:$AG$1,0))),0)</f>
        <v>0</v>
      </c>
      <c r="FY23" s="1050">
        <f t="array" ref="FY23">IFERROR(IF($FW23="SEGMENT",INDEX('Margin Guidence Table'!$A$1:$AG$10000,MATCH(1,('Margin Guidence Table'!$A$1:$A$10000=FU23)*('Margin Guidence Table'!$I$1:$I$10000&lt;=ROUND($FM$3,0))*('Margin Guidence Table'!$J$1:$J$10000&gt;=ROUND($FM$3,0)),0),MATCH("SALES_LBS",'Margin Guidence Table'!$A$1:$AG$1,0)),INDEX('Margin Guidence Table'!$A$1:$AG$10000,MATCH(1,('Margin Guidence Table'!$A$1:$A$10000=FU23)*('Margin Guidence Table'!$I$1:$I$10000&lt;=ROUND($FM$3,0))*('Margin Guidence Table'!$J$1:$J$10000&gt;=ROUND($FM$3,0)),0),MATCH("DEFAULT_SALES_LBS",'Margin Guidence Table'!$A$1:$AG$1,0))),0)</f>
        <v>0</v>
      </c>
      <c r="FZ23" s="1054">
        <f t="array" ref="FZ23">IFERROR(IF($FW23="SEGMENT",INDEX('Margin Guidence Table'!$A$1:$AG$10000,MATCH(1,('Margin Guidence Table'!$A$1:$A$10000=FU23)*('Margin Guidence Table'!$I$1:$I$10000&lt;=ROUND($FM$3,0))*('Margin Guidence Table'!$J$1:$J$10000&gt;=ROUND($FM$3,0)),0),MATCH("MDA_MIN_MARGIN_GUIDENCE",'Margin Guidence Table'!$A$1:$AG$1,0)),INDEX('Margin Guidence Table'!$A$1:$AG$10000,MATCH(1,('Margin Guidence Table'!$A$1:$A$10000=FU23)*('Margin Guidence Table'!$I$1:$I$10000&lt;=ROUND($FM$3,0))*('Margin Guidence Table'!$J$1:$J$10000&gt;=ROUND($FM$3,0)),0),MATCH("DEFAULT_MDA_MIN_MARGIN_GUIDENCE",'Margin Guidence Table'!$A$1:$AG$1,0))),0)</f>
        <v>0</v>
      </c>
      <c r="GA23" s="1054">
        <f t="array" ref="GA23">IFERROR(IF($FW23="SEGMENT",INDEX('Margin Guidence Table'!$A$1:$AG$10000,MATCH(1,('Margin Guidence Table'!$A$1:$A$10000=FU23)*('Margin Guidence Table'!$I$1:$I$10000&lt;=ROUND($FM$3,0))*('Margin Guidence Table'!$J$1:$J$10000&gt;=ROUND($FM$3,0)),0),MATCH("MDA_MEDIAN_MARGIN_GUIDENCE",'Margin Guidence Table'!$A$1:$AG$1,0)),INDEX('Margin Guidence Table'!$A$1:$AG$10000,MATCH(1,('Margin Guidence Table'!$A$1:$A$10000=FU23)*('Margin Guidence Table'!$I$1:$I$10000&lt;=ROUND($FM$3,0))*('Margin Guidence Table'!$J$1:$J$10000&gt;=ROUND($FM$3,0)),0),MATCH("DEFAULT_MDA_MEDIAN_MARGIN_GUIDENCE",'Margin Guidence Table'!$A$1:$AG$1,0))),0)</f>
        <v>0</v>
      </c>
      <c r="GB23" s="1054">
        <f t="array" ref="GB23">IFERROR(IF($FW23="SEGMENT",INDEX('Margin Guidence Table'!$A$1:$AG$10000,MATCH(1,('Margin Guidence Table'!$A$1:$A$10000=FU23)*('Margin Guidence Table'!$I$1:$I$10000&lt;=ROUND($FM$3,0))*('Margin Guidence Table'!$J$1:$J$10000&gt;=ROUND($FM$3,0)),0),MATCH("MDA_MAX_MARGIN_GUIDENCE",'Margin Guidence Table'!$A$1:$AG$1,0)),INDEX('Margin Guidence Table'!$A$1:$AG$10000,MATCH(1,('Margin Guidence Table'!$A$1:$A$10000=FU23)*('Margin Guidence Table'!$I$1:$I$10000&lt;=ROUND($FM$3,0))*('Margin Guidence Table'!$J$1:$J$10000&gt;=ROUND($FM$3,0)),0),MATCH("DEFAULT_MDA_MAX_MARGIN_GUIDENCE",'Margin Guidence Table'!$A$1:$AG$1,0))),0)</f>
        <v>0</v>
      </c>
      <c r="GC23" s="1054">
        <f t="array" ref="GC23">IFERROR(IF($FW23="SEGMENT",INDEX('Margin Guidence Table'!$A$1:$AG$10000,MATCH(1,('Margin Guidence Table'!$A$1:$A$10000=FU23)*('Margin Guidence Table'!$I$1:$I$10000&lt;=ROUND($FM$3,0))*('Margin Guidence Table'!$J$1:$J$10000&gt;=ROUND($FM$3,0)),0),MATCH("PA_PCT_SALES",'Margin Guidence Table'!$A$1:$AG$1,0)),INDEX('Margin Guidence Table'!$A$1:$AG$10000,MATCH(1,('Margin Guidence Table'!$A$1:$A$10000=FU23)*('Margin Guidence Table'!$I$1:$I$10000&lt;=ROUND($FM$3,0))*('Margin Guidence Table'!$J$1:$J$10000&gt;=ROUND($FM$3,0)),0),MATCH("DEFAULT_PA_PCT_SALES",'Margin Guidence Table'!$A$1:$AG$1,0))),0)</f>
        <v>0</v>
      </c>
      <c r="GD23" s="1054">
        <f t="array" ref="GD23">IFERROR(IF($FW23="SEGMENT",INDEX('Margin Guidence Table'!$A$1:$AG$10000,MATCH(1,('Margin Guidence Table'!$A$1:$A$10000=FU23)*('Margin Guidence Table'!$I$1:$I$10000&lt;=ROUND($FM$3,0))*('Margin Guidence Table'!$J$1:$J$10000&gt;=ROUND($FM$3,0)),0),MATCH("SELF_FUND_PCT_SALES",'Margin Guidence Table'!$A$1:$AG$1,0)),INDEX('Margin Guidence Table'!$A$1:$AG$10000,MATCH(1,('Margin Guidence Table'!$A$1:$A$10000=FU23)*('Margin Guidence Table'!$I$1:$I$10000&lt;=ROUND($FM$3,0))*('Margin Guidence Table'!$J$1:$J$10000&gt;=ROUND($FM$3,0)),0),MATCH("DEFAULT_SELF_FUND_PCT_SALES",'Margin Guidence Table'!$A$1:$AG$1,0))),0)</f>
        <v>0</v>
      </c>
      <c r="GE23" s="1054">
        <f t="array" ref="GE23">IFERROR(IF($FW23="SEGMENT",INDEX('Margin Guidence Table'!$A$1:$AG$10000,MATCH(1,('Margin Guidence Table'!$A$1:$A$10000=FU23)*('Margin Guidence Table'!$I$1:$I$10000&lt;=ROUND($FM$3,0))*('Margin Guidence Table'!$J$1:$J$10000&gt;=ROUND($FM$3,0)),0),MATCH("CIA_MEDIAN_MARGIN_GUIDENCE",'Margin Guidence Table'!$A$1:$AG$1,0)),INDEX('Margin Guidence Table'!$A$1:$AG$10000,MATCH(1,('Margin Guidence Table'!$A$1:$A$10000=FU23)*('Margin Guidence Table'!$I$1:$I$10000&lt;=ROUND($FM$3,0))*('Margin Guidence Table'!$J$1:$J$10000&gt;=ROUND($FM$3,0)),0),MATCH("DEFAULT_CIA_MEDIAN_MARGIN_GUIDENCE",'Margin Guidence Table'!$A$1:$AG$1,0))),0)</f>
        <v>0</v>
      </c>
      <c r="GF23" s="127"/>
      <c r="GG23" s="18">
        <f t="array" ref="GG23">IFERROR(IF($GT23="SEGMENT",INDEX('Margin Guidence Table'!$A$1:$AG$10000,MATCH(1,('Margin Guidence Table'!$A$1:$A$10000=$GR23)*('Margin Guidence Table'!$I$1:$I$10000&lt;=ROUND($GJ$3,0))*('Margin Guidence Table'!$J$1:$J$10000&gt;=ROUND($GJ$3,0)),0),MATCH("PCT_SALES",'Margin Guidence Table'!$A$1:$AG$1,0)),INDEX('Margin Guidence Table'!$A$1:$AG$10000,MATCH(1,('Margin Guidence Table'!$A$1:$A$10000=$GR23)*('Margin Guidence Table'!$I$1:$I$10000&lt;=ROUND($GJ$3,0))*('Margin Guidence Table'!$J$1:$J$10000&gt;=ROUND($GJ$3,0)),0),MATCH("DEFAULT_PCT_SALES",'Margin Guidence Table'!$A$1:$AG$1,0))),0)</f>
        <v>0</v>
      </c>
      <c r="GH23" s="370" t="e">
        <f t="shared" si="38"/>
        <v>#DIV/0!</v>
      </c>
      <c r="GI23" s="100" t="s">
        <v>101</v>
      </c>
      <c r="GJ23" s="92">
        <f>IFERROR(IF(AND($GJ$2&lt;&gt;"Enter Spend&gt;&gt;&gt;",GK11="EXISTING"),SUMIFS('Existing Customers'!$Q:$Q,'Existing Customers'!$A:$A,$GJ$1,'Existing Customers'!$H:$H,$GI23)*$GJ$4,$GJ$3*$GH23),0)</f>
        <v>0</v>
      </c>
      <c r="GK23" s="87">
        <f>IFERROR(IF(AND($GJ$2&lt;&gt;"Enter Spend&gt;&gt;&gt;",GK2="EXISTING"),SUMIFS('Existing Customers'!$N:$N,'Existing Customers'!$A:$A,$GJ$1,'Existing Customers'!$H:$H,$GI23)*$GJ$4,$GJ23/$GU23),0)</f>
        <v>0</v>
      </c>
      <c r="GL23" s="93">
        <f>IFERROR(IF(AND($GJ$2&lt;&gt;"Enter Spend&gt;&gt;&gt;",GK2="EXISTING"),SUMIFS('Existing Customers'!$O:$O,'Existing Customers'!$H:$H,$GI23,'Existing Customers'!$A:$A,$GJ$1)*$GJ$4,$GK23*$GJ$8),0)</f>
        <v>0</v>
      </c>
      <c r="GM23" s="93">
        <f>IFERROR(IF(AND($GJ$2&lt;&gt;"Enter Spend&gt;&gt;&gt;",GK2="EXISTING"),SUMIFS('Existing Customers'!$P:$P,'Existing Customers'!$A:$A,$GJ$1,'Existing Customers'!$H:$H,$GI23)*$GJ$4,$GJ23/$GV23),0)</f>
        <v>0</v>
      </c>
      <c r="GN23" s="94">
        <f>IFERROR(IF(AND($GJ$2&lt;&gt;"Enter Spend&gt;&gt;&gt;",GK2="EXISTING"),SUMIFS('Existing Customers'!$V:$V,'Existing Customers'!$H:$H,$GI23,'Existing Customers'!$A:$A,$GJ$1)*$GJ$4,0),0)</f>
        <v>0</v>
      </c>
      <c r="GO23" s="94">
        <f>IFERROR(IF(AND($GJ$2&lt;&gt;"Enter Spend&gt;&gt;&gt;",GK2="EXISTING"),SUMIFS('Existing Customers'!$R:$R,'Existing Customers'!$H:$H,$GI23,'Existing Customers'!$A:$A,$GJ$1)*$GJ$4,0),0)</f>
        <v>0</v>
      </c>
      <c r="GP23" s="1050">
        <f>IFERROR(IF(AND($GJ$2&lt;&gt;"Enter Spend&gt;&gt;&gt;",GK2="EXISTING"),SUMIFS('Existing Customers'!$S:$S,'Existing Customers'!$H:$H,$GI23,'Existing Customers'!$A:$A,$GJ$1),GZ23*GJ23),0)</f>
        <v>0</v>
      </c>
      <c r="GQ23" s="1050">
        <f>IFERROR(IF(AND($GJ$2&lt;&gt;"Enter Spend&gt;&gt;&gt;",GK2="EXISTING"),SUMIFS('Existing Customers'!$U:$U,'Existing Customers'!$H:$H,$GI23,'Existing Customers'!$A:$A,$GJ$1),HA23*GJ23),0)</f>
        <v>0</v>
      </c>
      <c r="GR23" s="1053" t="e">
        <f>_xlfn.CONCAT('Customer Inputs'!$AG$12,"_",GI23)</f>
        <v>#N/A</v>
      </c>
      <c r="GS23" s="1053">
        <f t="array" ref="GS23">IFERROR(INDEX('Margin Guidence Table'!$A$1:$AG$10000,MATCH(1,('Margin Guidence Table'!$A$1:$A$10000=GR23)*('Margin Guidence Table'!$I$1:$I$10000&lt;=ROUND($GJ$3,0))*('Margin Guidence Table'!$J$1:$J$10000&gt;=ROUND($GJ$3,0)),0),MATCH("DATA_POINTS",'Margin Guidence Table'!$A$1:$AG$1,0)),0)</f>
        <v>0</v>
      </c>
      <c r="GT23" s="1050" t="str">
        <f t="shared" si="39"/>
        <v>DEFAULT</v>
      </c>
      <c r="GU23" s="1050">
        <f t="array" ref="GU23">IFERROR(IF($GT23="SEGMENT",INDEX('Margin Guidence Table'!$A$1:$AG$10000,MATCH(1,('Margin Guidence Table'!$A$1:$A$10000=GR23)*('Margin Guidence Table'!$I$1:$I$10000&lt;=ROUND($GJ$3,0))*('Margin Guidence Table'!$J$1:$J$10000&gt;=ROUND($GJ$3,0)),0),MATCH("SALES_CASE",'Margin Guidence Table'!$A$1:$AG$1,0)),INDEX('Margin Guidence Table'!$A$1:$AG$10000,MATCH(1,('Margin Guidence Table'!$A$1:$A$10000=GR23)*('Margin Guidence Table'!$I$1:$I$10000&lt;=ROUND($GJ$3,0))*('Margin Guidence Table'!$J$1:$J$10000&gt;=ROUND($GJ$3,0)),0),MATCH("DEFAULT_SALES_CASE",'Margin Guidence Table'!$A$1:$AG$1,0))),0)</f>
        <v>0</v>
      </c>
      <c r="GV23" s="1050">
        <f t="array" ref="GV23">IFERROR(IF($GT23="SEGMENT",INDEX('Margin Guidence Table'!$A$1:$AG$10000,MATCH(1,('Margin Guidence Table'!$A$1:$A$10000=GR23)*('Margin Guidence Table'!$I$1:$I$10000&lt;=ROUND($GJ$3,0))*('Margin Guidence Table'!$J$1:$J$10000&gt;=ROUND($GJ$3,0)),0),MATCH("SALES_LBS",'Margin Guidence Table'!$A$1:$AG$1,0)),INDEX('Margin Guidence Table'!$A$1:$AG$10000,MATCH(1,('Margin Guidence Table'!$A$1:$A$10000=GR23)*('Margin Guidence Table'!$I$1:$I$10000&lt;=ROUND($GJ$3,0))*('Margin Guidence Table'!$J$1:$J$10000&gt;=ROUND($GJ$3,0)),0),MATCH("DEFAULT_SALES_LBS",'Margin Guidence Table'!$A$1:$AG$1,0))),0)</f>
        <v>0</v>
      </c>
      <c r="GW23" s="1054">
        <f t="array" ref="GW23">IFERROR(IF($GT23="SEGMENT",INDEX('Margin Guidence Table'!$A$1:$AG$10000,MATCH(1,('Margin Guidence Table'!$A$1:$A$10000=GR23)*('Margin Guidence Table'!$I$1:$I$10000&lt;=ROUND($GJ$3,0))*('Margin Guidence Table'!$J$1:$J$10000&gt;=ROUND($GJ$3,0)),0),MATCH("MDA_MIN_MARGIN_GUIDENCE",'Margin Guidence Table'!$A$1:$AG$1,0)),INDEX('Margin Guidence Table'!$A$1:$AG$10000,MATCH(1,('Margin Guidence Table'!$A$1:$A$10000=GR23)*('Margin Guidence Table'!$I$1:$I$10000&lt;=ROUND($GJ$3,0))*('Margin Guidence Table'!$J$1:$J$10000&gt;=ROUND($GJ$3,0)),0),MATCH("DEFAULT_MDA_MIN_MARGIN_GUIDENCE",'Margin Guidence Table'!$A$1:$AG$1,0))),0)</f>
        <v>0</v>
      </c>
      <c r="GX23" s="1054">
        <f t="array" ref="GX23">IFERROR(IF($GT23="SEGMENT",INDEX('Margin Guidence Table'!$A$1:$AG$10000,MATCH(1,('Margin Guidence Table'!$A$1:$A$10000=GR23)*('Margin Guidence Table'!$I$1:$I$10000&lt;=ROUND($GJ$3,0))*('Margin Guidence Table'!$J$1:$J$10000&gt;=ROUND($GJ$3,0)),0),MATCH("MDA_MEDIAN_MARGIN_GUIDENCE",'Margin Guidence Table'!$A$1:$AG$1,0)),INDEX('Margin Guidence Table'!$A$1:$AG$10000,MATCH(1,('Margin Guidence Table'!$A$1:$A$10000=GR23)*('Margin Guidence Table'!$I$1:$I$10000&lt;=ROUND($GJ$3,0))*('Margin Guidence Table'!$J$1:$J$10000&gt;=ROUND($GJ$3,0)),0),MATCH("DEFAULT_MDA_MEDIAN_MARGIN_GUIDENCE",'Margin Guidence Table'!$A$1:$AG$1,0))),0)</f>
        <v>0</v>
      </c>
      <c r="GY23" s="1054">
        <f t="array" ref="GY23">IFERROR(IF($GT23="SEGMENT",INDEX('Margin Guidence Table'!$A$1:$AG$10000,MATCH(1,('Margin Guidence Table'!$A$1:$A$10000=GR23)*('Margin Guidence Table'!$I$1:$I$10000&lt;=ROUND($GJ$3,0))*('Margin Guidence Table'!$J$1:$J$10000&gt;=ROUND($GJ$3,0)),0),MATCH("MDA_MAX_MARGIN_GUIDENCE",'Margin Guidence Table'!$A$1:$AG$1,0)),INDEX('Margin Guidence Table'!$A$1:$AG$10000,MATCH(1,('Margin Guidence Table'!$A$1:$A$10000=GR23)*('Margin Guidence Table'!$I$1:$I$10000&lt;=ROUND($GJ$3,0))*('Margin Guidence Table'!$J$1:$J$10000&gt;=ROUND($GJ$3,0)),0),MATCH("DEFAULT_MDA_MAX_MARGIN_GUIDENCE",'Margin Guidence Table'!$A$1:$AG$1,0))),0)</f>
        <v>0</v>
      </c>
      <c r="GZ23" s="1054">
        <f t="array" ref="GZ23">IFERROR(IF($GT23="SEGMENT",INDEX('Margin Guidence Table'!$A$1:$AG$10000,MATCH(1,('Margin Guidence Table'!$A$1:$A$10000=GR23)*('Margin Guidence Table'!$I$1:$I$10000&lt;=ROUND($GJ$3,0))*('Margin Guidence Table'!$J$1:$J$10000&gt;=ROUND($GJ$3,0)),0),MATCH("PA_PCT_SALES",'Margin Guidence Table'!$A$1:$AG$1,0)),INDEX('Margin Guidence Table'!$A$1:$AG$10000,MATCH(1,('Margin Guidence Table'!$A$1:$A$10000=GR23)*('Margin Guidence Table'!$I$1:$I$10000&lt;=ROUND($GJ$3,0))*('Margin Guidence Table'!$J$1:$J$10000&gt;=ROUND($GJ$3,0)),0),MATCH("DEFAULT_PA_PCT_SALES",'Margin Guidence Table'!$A$1:$AG$1,0))),0)</f>
        <v>0</v>
      </c>
      <c r="HA23" s="1054">
        <f t="array" ref="HA23">IFERROR(IF($GT23="SEGMENT",INDEX('Margin Guidence Table'!$A$1:$AG$10000,MATCH(1,('Margin Guidence Table'!$A$1:$A$10000=GR23)*('Margin Guidence Table'!$I$1:$I$10000&lt;=ROUND($GJ$3,0))*('Margin Guidence Table'!$J$1:$J$10000&gt;=ROUND($GJ$3,0)),0),MATCH("SELF_FUND_PCT_SALES",'Margin Guidence Table'!$A$1:$AG$1,0)),INDEX('Margin Guidence Table'!$A$1:$AG$10000,MATCH(1,('Margin Guidence Table'!$A$1:$A$10000=GR23)*('Margin Guidence Table'!$I$1:$I$10000&lt;=ROUND($GJ$3,0))*('Margin Guidence Table'!$J$1:$J$10000&gt;=ROUND($GJ$3,0)),0),MATCH("DEFAULT_SELF_FUND_PCT_SALES",'Margin Guidence Table'!$A$1:$AG$1,0))),0)</f>
        <v>0</v>
      </c>
      <c r="HB23" s="1054">
        <f t="array" ref="HB23">IFERROR(IF($GT23="SEGMENT",INDEX('Margin Guidence Table'!$A$1:$AG$10000,MATCH(1,('Margin Guidence Table'!$A$1:$A$10000=GR23)*('Margin Guidence Table'!$I$1:$I$10000&lt;=ROUND($GJ$3,0))*('Margin Guidence Table'!$J$1:$J$10000&gt;=ROUND($GJ$3,0)),0),MATCH("CIA_MEDIAN_MARGIN_GUIDENCE",'Margin Guidence Table'!$A$1:$AG$1,0)),INDEX('Margin Guidence Table'!$A$1:$AG$10000,MATCH(1,('Margin Guidence Table'!$A$1:$A$10000=GR23)*('Margin Guidence Table'!$I$1:$I$10000&lt;=ROUND($GJ$3,0))*('Margin Guidence Table'!$J$1:$J$10000&gt;=ROUND($GJ$3,0)),0),MATCH("DEFAULT_CIA_MEDIAN_MARGIN_GUIDENCE",'Margin Guidence Table'!$A$1:$AG$1,0))),0)</f>
        <v>0</v>
      </c>
      <c r="HC23" s="127"/>
      <c r="HD23" s="18">
        <f t="array" ref="HD23">IFERROR(IF($HQ23="SEGMENT",INDEX('Margin Guidence Table'!$A$1:$AG$10000,MATCH(1,('Margin Guidence Table'!$A$1:$A$10000=$HO23)*('Margin Guidence Table'!$I$1:$I$10000&lt;=ROUND($HG$3,0))*('Margin Guidence Table'!$J$1:$J$10000&gt;=ROUND($HG$3,0)),0),MATCH("PCT_SALES",'Margin Guidence Table'!$A$1:$AG$1,0)),INDEX('Margin Guidence Table'!$A$1:$AG$10000,MATCH(1,('Margin Guidence Table'!$A$1:$A$10000=$HO23)*('Margin Guidence Table'!$I$1:$I$10000&lt;=ROUND($HG$3,0))*('Margin Guidence Table'!$J$1:$J$10000&gt;=ROUND($HG$3,0)),0),MATCH("DEFAULT_PCT_SALES",'Margin Guidence Table'!$A$1:$AG$1,0))),0)</f>
        <v>0</v>
      </c>
      <c r="HE23" s="370" t="e">
        <f t="shared" si="40"/>
        <v>#DIV/0!</v>
      </c>
      <c r="HF23" s="100" t="s">
        <v>101</v>
      </c>
      <c r="HG23" s="92">
        <f>IFERROR(IF(AND($HG$2&lt;&gt;"Enter Spend&gt;&gt;&gt;",HH11="EXISTING"),SUMIFS('Existing Customers'!$Q:$Q,'Existing Customers'!$A:$A,$HG$1,'Existing Customers'!$H:$H,$HF23)*$HG$4,$HG$3*$HE23),0)</f>
        <v>0</v>
      </c>
      <c r="HH23" s="87">
        <f>IFERROR(IF(AND($HG$2&lt;&gt;"Enter Spend&gt;&gt;&gt;",HH2="EXISTING"),SUMIFS('Existing Customers'!$N:$N,'Existing Customers'!$A:$A,$HG$1,'Existing Customers'!$H:$H,$HF23)*$HG$4,$HG23/$HR23),0)</f>
        <v>0</v>
      </c>
      <c r="HI23" s="93">
        <f>IFERROR(IF(AND($HG$2&lt;&gt;"Enter Spend&gt;&gt;&gt;",HH2="EXISTING"),SUMIFS('Existing Customers'!$O:$O,'Existing Customers'!$H:$H,$HF23,'Existing Customers'!$A:$A,$HG$1)*$HG$4,$HH23*$HG$8),0)</f>
        <v>0</v>
      </c>
      <c r="HJ23" s="93">
        <f>IFERROR(IF(AND($HG$2&lt;&gt;"Enter Spend&gt;&gt;&gt;",HH2="EXISTING"),SUMIFS('Existing Customers'!$P:$P,'Existing Customers'!$A:$A,$HG$1,'Existing Customers'!$H:$H,$HF23)*$HG$4,$HG23/$HS23),0)</f>
        <v>0</v>
      </c>
      <c r="HK23" s="94">
        <f>IFERROR(IF(AND($HG$2&lt;&gt;"Enter Spend&gt;&gt;&gt;",HH2="EXISTING"),SUMIFS('Existing Customers'!$V:$V,'Existing Customers'!$H:$H,$HF23,'Existing Customers'!$A:$A,$HG$1)*$HG$4,0),0)</f>
        <v>0</v>
      </c>
      <c r="HL23" s="94">
        <f>IFERROR(IF(AND($HG$2&lt;&gt;"Enter Spend&gt;&gt;&gt;",HH2="EXISTING"),SUMIFS('Existing Customers'!$R:$R,'Existing Customers'!$H:$H,$HF23,'Existing Customers'!$A:$A,$HG$1)*$HG$4,0),0)</f>
        <v>0</v>
      </c>
      <c r="HM23" s="1050">
        <f>IFERROR(IF(AND($HG$2&lt;&gt;"Enter Spend&gt;&gt;&gt;",HH2="EXISTING"),SUMIFS('Existing Customers'!$S:$S,'Existing Customers'!$H:$H,$HF23,'Existing Customers'!$A:$A,$HG$1),HW23*HG23),0)</f>
        <v>0</v>
      </c>
      <c r="HN23" s="1050">
        <f>IFERROR(IF(AND($HG$2&lt;&gt;"Enter Spend&gt;&gt;&gt;",HH2="EXISTING"),SUMIFS('Existing Customers'!$U:$U,'Existing Customers'!$H:$H,$HF23,'Existing Customers'!$A:$A,$HG$1),HX23*HG23),0)</f>
        <v>0</v>
      </c>
      <c r="HO23" s="1053" t="e">
        <f>_xlfn.CONCAT('Customer Inputs'!$AG$13,"_",HF23)</f>
        <v>#N/A</v>
      </c>
      <c r="HP23" s="1053">
        <f t="array" ref="HP23">IFERROR(INDEX('Margin Guidence Table'!$A$1:$AG$10000,MATCH(1,('Margin Guidence Table'!$A$1:$A$10000=HO23)*('Margin Guidence Table'!$I$1:$I$10000&lt;=ROUND($HG$3,0))*('Margin Guidence Table'!$J$1:$J$10000&gt;=ROUND($HG$3,0)),0),MATCH("DATA_POINTS",'Margin Guidence Table'!$A$1:$AG$1,0)),0)</f>
        <v>0</v>
      </c>
      <c r="HQ23" s="1050" t="str">
        <f t="shared" si="41"/>
        <v>DEFAULT</v>
      </c>
      <c r="HR23" s="1050">
        <f t="array" ref="HR23">IFERROR(IF($HQ23="SEGMENT",INDEX('Margin Guidence Table'!$A$1:$AG$10000,MATCH(1,('Margin Guidence Table'!$A$1:$A$10000=HO23)*('Margin Guidence Table'!$I$1:$I$10000&lt;=ROUND($HG$3,0))*('Margin Guidence Table'!$J$1:$J$10000&gt;=ROUND($HG$3,0)),0),MATCH("SALES_CASE",'Margin Guidence Table'!$A$1:$AG$1,0)),INDEX('Margin Guidence Table'!$A$1:$AG$10000,MATCH(1,('Margin Guidence Table'!$A$1:$A$10000=HO23)*('Margin Guidence Table'!$I$1:$I$10000&lt;=ROUND($HG$3,0))*('Margin Guidence Table'!$J$1:$J$10000&gt;=ROUND($HG$3,0)),0),MATCH("DEFAULT_SALES_CASE",'Margin Guidence Table'!$A$1:$AG$1,0))),0)</f>
        <v>0</v>
      </c>
      <c r="HS23" s="1050">
        <f t="array" ref="HS23">IFERROR(IF($HQ23="SEGMENT",INDEX('Margin Guidence Table'!$A$1:$AG$10000,MATCH(1,('Margin Guidence Table'!$A$1:$A$10000=HO23)*('Margin Guidence Table'!$I$1:$I$10000&lt;=ROUND($HG$3,0))*('Margin Guidence Table'!$J$1:$J$10000&gt;=ROUND($HG$3,0)),0),MATCH("SALES_LBS",'Margin Guidence Table'!$A$1:$AG$1,0)),INDEX('Margin Guidence Table'!$A$1:$AG$10000,MATCH(1,('Margin Guidence Table'!$A$1:$A$10000=HO23)*('Margin Guidence Table'!$I$1:$I$10000&lt;=ROUND($HG$3,0))*('Margin Guidence Table'!$J$1:$J$10000&gt;=ROUND($HG$3,0)),0),MATCH("DEFAULT_SALES_LBS",'Margin Guidence Table'!$A$1:$AG$1,0))),0)</f>
        <v>0</v>
      </c>
      <c r="HT23" s="1054">
        <f t="array" ref="HT23">IFERROR(IF($HQ23="SEGMENT",INDEX('Margin Guidence Table'!$A$1:$AG$10000,MATCH(1,('Margin Guidence Table'!$A$1:$A$10000=HO23)*('Margin Guidence Table'!$I$1:$I$10000&lt;=ROUND($HG$3,0))*('Margin Guidence Table'!$J$1:$J$10000&gt;=ROUND($HG$3,0)),0),MATCH("MDA_MIN_MARGIN_GUIDENCE",'Margin Guidence Table'!$A$1:$AG$1,0)),INDEX('Margin Guidence Table'!$A$1:$AG$10000,MATCH(1,('Margin Guidence Table'!$A$1:$A$10000=HO23)*('Margin Guidence Table'!$I$1:$I$10000&lt;=ROUND($HG$3,0))*('Margin Guidence Table'!$J$1:$J$10000&gt;=ROUND($HG$3,0)),0),MATCH("DEFAULT_MDA_MIN_MARGIN_GUIDENCE",'Margin Guidence Table'!$A$1:$AG$1,0))),0)</f>
        <v>0</v>
      </c>
      <c r="HU23" s="1054">
        <f t="array" ref="HU23">IFERROR(IF($HQ23="SEGMENT",INDEX('Margin Guidence Table'!$A$1:$AG$10000,MATCH(1,('Margin Guidence Table'!$A$1:$A$10000=HO23)*('Margin Guidence Table'!$I$1:$I$10000&lt;=ROUND($HG$3,0))*('Margin Guidence Table'!$J$1:$J$10000&gt;=ROUND($HG$3,0)),0),MATCH("MDA_MEDIAN_MARGIN_GUIDENCE",'Margin Guidence Table'!$A$1:$AG$1,0)),INDEX('Margin Guidence Table'!$A$1:$AG$10000,MATCH(1,('Margin Guidence Table'!$A$1:$A$10000=HO23)*('Margin Guidence Table'!$I$1:$I$10000&lt;=ROUND($HG$3,0))*('Margin Guidence Table'!$J$1:$J$10000&gt;=ROUND($HG$3,0)),0),MATCH("DEFAULT_MDA_MEDIAN_MARGIN_GUIDENCE",'Margin Guidence Table'!$A$1:$AG$1,0))),0)</f>
        <v>0</v>
      </c>
      <c r="HV23" s="1054">
        <f t="array" ref="HV23">IFERROR(IF($HQ23="SEGMENT",INDEX('Margin Guidence Table'!$A$1:$AG$10000,MATCH(1,('Margin Guidence Table'!$A$1:$A$10000=HO23)*('Margin Guidence Table'!$I$1:$I$10000&lt;=ROUND($HG$3,0))*('Margin Guidence Table'!$J$1:$J$10000&gt;=ROUND($HG$3,0)),0),MATCH("MDA_MAX_MARGIN_GUIDENCE",'Margin Guidence Table'!$A$1:$AG$1,0)),INDEX('Margin Guidence Table'!$A$1:$AG$10000,MATCH(1,('Margin Guidence Table'!$A$1:$A$10000=HO23)*('Margin Guidence Table'!$I$1:$I$10000&lt;=ROUND($HG$3,0))*('Margin Guidence Table'!$J$1:$J$10000&gt;=ROUND($HG$3,0)),0),MATCH("DEFAULT_MDA_MAX_MARGIN_GUIDENCE",'Margin Guidence Table'!$A$1:$AG$1,0))),0)</f>
        <v>0</v>
      </c>
      <c r="HW23" s="1054">
        <f t="array" ref="HW23">IFERROR(IF($HQ23="SEGMENT",INDEX('Margin Guidence Table'!$A$1:$AG$10000,MATCH(1,('Margin Guidence Table'!$A$1:$A$10000=HO23)*('Margin Guidence Table'!$I$1:$I$10000&lt;=ROUND($HG$3,0))*('Margin Guidence Table'!$J$1:$J$10000&gt;=ROUND($HG$3,0)),0),MATCH("PA_PCT_SALES",'Margin Guidence Table'!$A$1:$AG$1,0)),INDEX('Margin Guidence Table'!$A$1:$AG$10000,MATCH(1,('Margin Guidence Table'!$A$1:$A$10000=HO23)*('Margin Guidence Table'!$I$1:$I$10000&lt;=ROUND($HG$3,0))*('Margin Guidence Table'!$J$1:$J$10000&gt;=ROUND($HG$3,0)),0),MATCH("DEFAULT_PA_PCT_SALES",'Margin Guidence Table'!$A$1:$AG$1,0))),0)</f>
        <v>0</v>
      </c>
      <c r="HX23" s="1054">
        <f t="array" ref="HX23">IFERROR(IF($HQ23="SEGMENT",INDEX('Margin Guidence Table'!$A$1:$AG$10000,MATCH(1,('Margin Guidence Table'!$A$1:$A$10000=HO23)*('Margin Guidence Table'!$I$1:$I$10000&lt;=ROUND($HG$3,0))*('Margin Guidence Table'!$J$1:$J$10000&gt;=ROUND($HG$3,0)),0),MATCH("SELF_FUND_PCT_SALES",'Margin Guidence Table'!$A$1:$AG$1,0)),INDEX('Margin Guidence Table'!$A$1:$AG$10000,MATCH(1,('Margin Guidence Table'!$A$1:$A$10000=HO23)*('Margin Guidence Table'!$I$1:$I$10000&lt;=ROUND($HG$3,0))*('Margin Guidence Table'!$J$1:$J$10000&gt;=ROUND($HG$3,0)),0),MATCH("DEFAULT_SELF_FUND_PCT_SALES",'Margin Guidence Table'!$A$1:$AG$1,0))),0)</f>
        <v>0</v>
      </c>
      <c r="HY23" s="1054">
        <f t="array" ref="HY23">IFERROR(IF($HQ23="SEGMENT",INDEX('Margin Guidence Table'!$A$1:$AG$10000,MATCH(1,('Margin Guidence Table'!$A$1:$A$10000=HO23)*('Margin Guidence Table'!$I$1:$I$10000&lt;=ROUND($HG$3,0))*('Margin Guidence Table'!$J$1:$J$10000&gt;=ROUND($HG$3,0)),0),MATCH("CIA_MEDIAN_MARGIN_GUIDENCE",'Margin Guidence Table'!$A$1:$AG$1,0)),INDEX('Margin Guidence Table'!$A$1:$AG$10000,MATCH(1,('Margin Guidence Table'!$A$1:$A$10000=HO23)*('Margin Guidence Table'!$I$1:$I$10000&lt;=ROUND($HG$3,0))*('Margin Guidence Table'!$J$1:$J$10000&gt;=ROUND($HG$3,0)),0),MATCH("DEFAULT_CIA_MEDIAN_MARGIN_GUIDENCE",'Margin Guidence Table'!$A$1:$AG$1,0))),0)</f>
        <v>0</v>
      </c>
      <c r="HZ23" s="127"/>
      <c r="IA23" s="18">
        <f t="array" ref="IA23">IFERROR(IF($IN23="SEGMENT",INDEX('Margin Guidence Table'!$A:$AC,MATCH(1,('Margin Guidence Table'!$A:$A=$IL23)*('Margin Guidence Table'!$H:$H&lt;=ROUND($ID$3,0))*('Margin Guidence Table'!$G:$G&gt;=ROUND($ID$3,0)),0),MATCH("PCT_SALES",'Margin Guidence Table'!$A$1:$AG$1,0)),INDEX('Margin Guidence Table'!$A:$AC,MATCH(1,('Margin Guidence Table'!$A:$A=$IL23)*('Margin Guidence Table'!$H:$H&lt;=ROUND($ID$3,0))*('Margin Guidence Table'!$G:$G&gt;=ROUND($ID$3,0)),0),MATCH("DEFAULT_PCT_SALES",'Margin Guidence Table'!$A$1:$AG$1,0))),0)</f>
        <v>0</v>
      </c>
      <c r="IB23" s="370" t="e">
        <f t="shared" si="42"/>
        <v>#DIV/0!</v>
      </c>
      <c r="IC23" s="100" t="s">
        <v>101</v>
      </c>
      <c r="ID23" s="92">
        <f>IFERROR(IF(AND($ID$2&lt;&gt;"Enter Spend&gt;&gt;&gt;",IE11="EXISTING"),SUMIFS('Existing Customers'!$Q:$Q,'Existing Customers'!$A:$A,$ID$1,'Existing Customers'!$H:$H,$IC23)*$ID$4,$ID$3*$IB23),0)</f>
        <v>0</v>
      </c>
      <c r="IE23" s="87">
        <f>IFERROR(IF(AND($ID$2&lt;&gt;"Enter Spend&gt;&gt;&gt;",IE2="EXISTING"),SUMIFS('Existing Customers'!$N:$N,'Existing Customers'!$A:$A,$ID$1,'Existing Customers'!$H:$H,$IC23)*$ID$4,$ID23/$IO23),0)</f>
        <v>0</v>
      </c>
      <c r="IF23" s="93">
        <f>IFERROR(IF(AND($ID$2&lt;&gt;"Enter Spend&gt;&gt;&gt;",IE2="EXISTING"),SUMIFS('Existing Customers'!$O:$O,'Existing Customers'!$H:$H,$IC23,'Existing Customers'!$A:$A,$ID$1)*$ID$4,$IE23*$ID$8),0)</f>
        <v>0</v>
      </c>
      <c r="IG23" s="93">
        <f>IFERROR(IF(AND($ID$2&lt;&gt;"Enter Spend&gt;&gt;&gt;",IE2="EXISTING"),SUMIFS('Existing Customers'!$P:$P,'Existing Customers'!$A:$A,$ID$1,'Existing Customers'!$H:$H,$IC23)*$ID$4,$ID23/$IP23),0)</f>
        <v>0</v>
      </c>
      <c r="IH23" s="376">
        <f>IFERROR(IF(AND($ID$2&lt;&gt;"Enter Spend&gt;&gt;&gt;",IE2="EXISTING"),SUMIFS('Existing Customers'!$V:$V,'Existing Customers'!$H:$H,$IC23,'Existing Customers'!$A:$A,$ID$1)*$ID$4,0),0)</f>
        <v>0</v>
      </c>
      <c r="II23" s="94">
        <f>IFERROR(IF(AND($ID$2&lt;&gt;"Enter Spend&gt;&gt;&gt;",IE2="EXISTING"),SUMIFS('Existing Customers'!$R:$R,'Existing Customers'!$H:$H,$IC23,'Existing Customers'!$A:$A,$ID$1)*$ID$4,0),0)</f>
        <v>0</v>
      </c>
      <c r="IJ23" s="1050">
        <f>IFERROR(IF(AND($ID$2&lt;&gt;"Enter Spend&gt;&gt;&gt;",IE2="EXISTING"),SUMIFS('Existing Customers'!$S:$S,'Existing Customers'!$H:$H,$IC23,'Existing Customers'!$A:$A,$ID$1),IT23*ID23),0)</f>
        <v>0</v>
      </c>
      <c r="IK23" s="1050">
        <f>IFERROR(IF(AND($ID$2&lt;&gt;"Enter Spend&gt;&gt;&gt;",IE2="EXISTING"),SUMIFS('Existing Customers'!$U:$U,'Existing Customers'!$H:$H,$IC23,'Existing Customers'!$A:$A,$ID$1),IU23*ID23),0)</f>
        <v>0</v>
      </c>
      <c r="IL23" s="1053" t="e">
        <f>_xlfn.CONCAT('Customer Inputs'!$AG$14,"_",IC23)</f>
        <v>#N/A</v>
      </c>
      <c r="IM23" s="1053">
        <f t="array" ref="IM23">IFERROR(INDEX('Margin Guidence Table'!$A$1:$AG$10000,MATCH(1,('Margin Guidence Table'!$A$1:$A$10000=IL23)*('Margin Guidence Table'!$I$1:$I$10000&lt;=ROUND($ID$3,0))*('Margin Guidence Table'!$J$1:$J$10000&gt;=ROUND($ID$3,0)),0),MATCH("DATA_POINTS",'Margin Guidence Table'!$A$1:$AG$1,0)),0)</f>
        <v>0</v>
      </c>
      <c r="IN23" s="1050" t="str">
        <f t="shared" si="43"/>
        <v>DEFAULT</v>
      </c>
      <c r="IO23" s="1050">
        <f t="array" ref="IO23">IFERROR(IF($IN23="SEGMENT",INDEX('Margin Guidence Table'!$A$1:$AG$10000,MATCH(1,('Margin Guidence Table'!$A$1:$A$10000=IL23)*('Margin Guidence Table'!$I$1:$I$10000&lt;=ROUND($ID$3,0))*('Margin Guidence Table'!$J$1:$J$10000&gt;=ROUND($ID$3,0)),0),MATCH("SALES_CASE",'Margin Guidence Table'!$A$1:$AG$1,0)),INDEX('Margin Guidence Table'!$A$1:$AG$10000,MATCH(1,('Margin Guidence Table'!$A$1:$A$10000=IL23)*('Margin Guidence Table'!$I$1:$I$10000&lt;=ROUND($ID$3,0))*('Margin Guidence Table'!$J$1:$J$10000&gt;=ROUND($ID$3,0)),0),MATCH("DEFAULT_SALES_CASE",'Margin Guidence Table'!$A$1:$AG$1,0))),0)</f>
        <v>0</v>
      </c>
      <c r="IP23" s="1050">
        <f t="array" ref="IP23">IFERROR(IF($IN23="SEGMENT",INDEX('Margin Guidence Table'!$A$1:$AG$10000,MATCH(1,('Margin Guidence Table'!$A$1:$A$10000=IL23)*('Margin Guidence Table'!$I$1:$I$10000&lt;=ROUND($ID$3,0))*('Margin Guidence Table'!$J$1:$J$10000&gt;=ROUND($ID$3,0)),0),MATCH("SALES_LBS",'Margin Guidence Table'!$A$1:$AG$1,0)),INDEX('Margin Guidence Table'!$A$1:$AG$10000,MATCH(1,('Margin Guidence Table'!$A$1:$A$10000=IL23)*('Margin Guidence Table'!$I$1:$I$10000&lt;=ROUND($ID$3,0))*('Margin Guidence Table'!$J$1:$J$10000&gt;=ROUND($ID$3,0)),0),MATCH("DEFAULT_SALES_LBS",'Margin Guidence Table'!$A$1:$AG$1,0))),0)</f>
        <v>0</v>
      </c>
      <c r="IQ23" s="1054">
        <f t="array" ref="IQ23">IFERROR(IF($IN23="SEGMENT",INDEX('Margin Guidence Table'!$A$1:$AG$10000,MATCH(1,('Margin Guidence Table'!$A$1:$A$10000=IL23)*('Margin Guidence Table'!$I$1:$I$10000&lt;=ROUND($ID$3,0))*('Margin Guidence Table'!$J$1:$J$10000&gt;=ROUND($ID$3,0)),0),MATCH("MDA_MIN_MARGIN_GUIDENCE",'Margin Guidence Table'!$A$1:$AG$1,0)),INDEX('Margin Guidence Table'!$A$1:$AG$10000,MATCH(1,('Margin Guidence Table'!$A$1:$A$10000=IL23)*('Margin Guidence Table'!$I$1:$I$10000&lt;=ROUND($ID$3,0))*('Margin Guidence Table'!$J$1:$J$10000&gt;=ROUND($ID$3,0)),0),MATCH("DEFAULT_MDA_MIN_MARGIN_GUIDENCE",'Margin Guidence Table'!$A$1:$AG$1,0))),0)</f>
        <v>0</v>
      </c>
      <c r="IR23" s="1054">
        <f t="array" ref="IR23">IFERROR(IF($IN23="SEGMENT",INDEX('Margin Guidence Table'!$A$1:$AG$10000,MATCH(1,('Margin Guidence Table'!$A$1:$A$10000=IL23)*('Margin Guidence Table'!$I$1:$I$10000&lt;=ROUND($ID$3,0))*('Margin Guidence Table'!$J$1:$J$10000&gt;=ROUND($ID$3,0)),0),MATCH("MDA_MEDIAN_MARGIN_GUIDENCE",'Margin Guidence Table'!$A$1:$AG$1,0)),INDEX('Margin Guidence Table'!$A$1:$AG$10000,MATCH(1,('Margin Guidence Table'!$A$1:$A$10000=IL23)*('Margin Guidence Table'!$I$1:$I$10000&lt;=ROUND($ID$3,0))*('Margin Guidence Table'!$J$1:$J$10000&gt;=ROUND($ID$3,0)),0),MATCH("DEFAULT_MDA_MEDIAN_MARGIN_GUIDENCE",'Margin Guidence Table'!$A$1:$AG$1,0))),0)</f>
        <v>0</v>
      </c>
      <c r="IS23" s="1054">
        <f t="array" ref="IS23">IFERROR(IF($IN23="SEGMENT",INDEX('Margin Guidence Table'!$A$1:$AG$10000,MATCH(1,('Margin Guidence Table'!$A$1:$A$10000=IL23)*('Margin Guidence Table'!$I$1:$I$10000&lt;=ROUND($ID$3,0))*('Margin Guidence Table'!$J$1:$J$10000&gt;=ROUND($ID$3,0)),0),MATCH("MDA_MAX_MARGIN_GUIDENCE",'Margin Guidence Table'!$A$1:$AG$1,0)),INDEX('Margin Guidence Table'!$A$1:$AG$10000,MATCH(1,('Margin Guidence Table'!$A$1:$A$10000=IL23)*('Margin Guidence Table'!$I$1:$I$10000&lt;=ROUND($ID$3,0))*('Margin Guidence Table'!$J$1:$J$10000&gt;=ROUND($ID$3,0)),0),MATCH("DEFAULT_MDA_MAX_MARGIN_GUIDENCE",'Margin Guidence Table'!$A$1:$AG$1,0))),0)</f>
        <v>0</v>
      </c>
      <c r="IT23" s="1054">
        <f t="array" ref="IT23">IFERROR(IF($IN23="SEGMENT",INDEX('Margin Guidence Table'!$A$1:$AG$10000,MATCH(1,('Margin Guidence Table'!$A$1:$A$10000=IL23)*('Margin Guidence Table'!$I$1:$I$10000&lt;=ROUND($ID$3,0))*('Margin Guidence Table'!$J$1:$J$10000&gt;=ROUND($ID$3,0)),0),MATCH("PA_PCT_SALES",'Margin Guidence Table'!$A$1:$AG$1,0)),INDEX('Margin Guidence Table'!$A$1:$AG$10000,MATCH(1,('Margin Guidence Table'!$A$1:$A$10000=IL23)*('Margin Guidence Table'!$I$1:$I$10000&lt;=ROUND($ID$3,0))*('Margin Guidence Table'!$J$1:$J$10000&gt;=ROUND($ID$3,0)),0),MATCH("DEFAULT_PA_PCT_SALES",'Margin Guidence Table'!$A$1:$AG$1,0))),0)</f>
        <v>0</v>
      </c>
      <c r="IU23" s="1054">
        <f t="array" ref="IU23">IFERROR(IF($IN23="SEGMENT",INDEX('Margin Guidence Table'!$A$1:$AG$10000,MATCH(1,('Margin Guidence Table'!$A$1:$A$10000=IL23)*('Margin Guidence Table'!$I$1:$I$10000&lt;=ROUND($ID$3,0))*('Margin Guidence Table'!$J$1:$J$10000&gt;=ROUND($ID$3,0)),0),MATCH("SELF_FUND_PCT_SALES",'Margin Guidence Table'!$A$1:$AG$1,0)),INDEX('Margin Guidence Table'!$A$1:$AG$10000,MATCH(1,('Margin Guidence Table'!$A$1:$A$10000=IL23)*('Margin Guidence Table'!$I$1:$I$10000&lt;=ROUND($ID$3,0))*('Margin Guidence Table'!$J$1:$J$10000&gt;=ROUND($ID$3,0)),0),MATCH("DEFAULT_SELF_FUND_PCT_SALES",'Margin Guidence Table'!$A$1:$AG$1,0))),0)</f>
        <v>0</v>
      </c>
      <c r="IV23" s="1054">
        <f t="array" ref="IV23">IFERROR(IF($IN23="SEGMENT",INDEX('Margin Guidence Table'!$A$1:$AG$10000,MATCH(1,('Margin Guidence Table'!$A$1:$A$10000=IL23)*('Margin Guidence Table'!$I$1:$I$10000&lt;=ROUND($ID$3,0))*('Margin Guidence Table'!$J$1:$J$10000&gt;=ROUND($ID$3,0)),0),MATCH("CIA_MEDIAN_MARGIN_GUIDENCE",'Margin Guidence Table'!$A$1:$AG$1,0)),INDEX('Margin Guidence Table'!$A$1:$AG$10000,MATCH(1,('Margin Guidence Table'!$A$1:$A$10000=IL23)*('Margin Guidence Table'!$I$1:$I$10000&lt;=ROUND($ID$3,0))*('Margin Guidence Table'!$J$1:$J$10000&gt;=ROUND($ID$3,0)),0),MATCH("DEFAULT_CIA_MEDIAN_MARGIN_GUIDENCE",'Margin Guidence Table'!$A$1:$AG$1,0))),0)</f>
        <v>0</v>
      </c>
      <c r="IW23" s="127"/>
      <c r="IX23" s="18">
        <f t="array" ref="IX23">IFERROR(IF($JK23="SEGMENT",INDEX('Margin Guidence Table'!$A$1:$AG$10000,MATCH(1,('Margin Guidence Table'!$A$1:$A$10000=$JI23)*('Margin Guidence Table'!$I$1:$I$10000&lt;=ROUND($JA$3,0))*('Margin Guidence Table'!$J$1:$J$10000&gt;=ROUND($JA$3,0)),0),MATCH("PCT_SALES",'Margin Guidence Table'!$A$1:$AG$1,0)),INDEX('Margin Guidence Table'!$A$1:$AG$10000,MATCH(1,('Margin Guidence Table'!$A$1:$A$10000=$JI23)*('Margin Guidence Table'!$I$1:$I$10000&lt;=ROUND($JA$3,0))*('Margin Guidence Table'!$J$1:$J$10000&gt;=ROUND($JA$3,0)),0),MATCH("DEFAULT_PCT_SALES",'Margin Guidence Table'!$A$1:$AG$1,0))),0)</f>
        <v>0</v>
      </c>
      <c r="IY23" s="370" t="e">
        <f t="shared" si="44"/>
        <v>#DIV/0!</v>
      </c>
      <c r="IZ23" s="100" t="s">
        <v>101</v>
      </c>
      <c r="JA23" s="92">
        <f>IFERROR(IF(AND($JA$2&lt;&gt;"Enter Spend&gt;&gt;&gt;",JB11="EXISTING"),SUMIFS('Existing Customers'!$Q:$Q,'Existing Customers'!$A:$A,$JA$1,'Existing Customers'!$H:$H,$IZ23)*$JA$4,$JA$3*$IY23),0)</f>
        <v>0</v>
      </c>
      <c r="JB23" s="87">
        <f>IFERROR(IF(AND($JA$2&lt;&gt;"Enter Spend&gt;&gt;&gt;",JB2="EXISTING"),SUMIFS('Existing Customers'!$N:$N,'Existing Customers'!$A:$A,$JA$1,'Existing Customers'!$H:$H,$IZ23)*$JA$4,$JA23/$JL23),0)</f>
        <v>0</v>
      </c>
      <c r="JC23" s="93">
        <f>IFERROR(IF(AND($JA$2&lt;&gt;"Enter Spend&gt;&gt;&gt;",JB2="EXISTING"),SUMIFS('Existing Customers'!$O:$O,'Existing Customers'!$H:$H,$IZ23,'Existing Customers'!$A:$A,$JA$1)*$JA$4,$JB23*$JA$8),0)</f>
        <v>0</v>
      </c>
      <c r="JD23" s="93">
        <f>IFERROR(IF(AND($JA$2&lt;&gt;"Enter Spend&gt;&gt;&gt;",JB2="EXISTING"),SUMIFS('Existing Customers'!$P:$P,'Existing Customers'!$A:$A,$JA$1,'Existing Customers'!$H:$H,$IZ23)*$JA$4,$JA23/$JM23),0)</f>
        <v>0</v>
      </c>
      <c r="JE23" s="376">
        <f>IFERROR(IF(AND($JA$2&lt;&gt;"Enter Spend&gt;&gt;&gt;",JB2="EXISTING"),SUMIFS('Existing Customers'!$V:$V,'Existing Customers'!$H:$H,$IZ23,'Existing Customers'!$A:$A,$JA$1)*$JA$4,0),0)</f>
        <v>0</v>
      </c>
      <c r="JF23" s="94">
        <f>IFERROR(IF(AND($JA$2&lt;&gt;"Enter Spend&gt;&gt;&gt;",JB2="EXISTING"),SUMIFS('Existing Customers'!$R:$R,'Existing Customers'!$H:$H,$IZ23,'Existing Customers'!$A:$A,$JA$1)*$JA$4,0),0)</f>
        <v>0</v>
      </c>
      <c r="JG23" s="1050">
        <f>IFERROR(IF(AND($JA$2&lt;&gt;"Enter Spend&gt;&gt;&gt;",JB2="EXISTING"),SUMIFS('Existing Customers'!$S:$S,'Existing Customers'!$H:$H,$IZ23,'Existing Customers'!$A:$A,$JA$1),JQ23*JA23),0)</f>
        <v>0</v>
      </c>
      <c r="JH23" s="1050">
        <f>IFERROR(IF(AND($JA$2&lt;&gt;"Enter Spend&gt;&gt;&gt;",JB2="EXISTING"),SUMIFS('Existing Customers'!$U:$U,'Existing Customers'!$H:$H,$IZ23,'Existing Customers'!$A:$A,$JA$1),JR23*JA23),0)</f>
        <v>0</v>
      </c>
      <c r="JI23" s="1053" t="e">
        <f>_xlfn.CONCAT('Customer Inputs'!$AG$15,"_",IZ23)</f>
        <v>#N/A</v>
      </c>
      <c r="JJ23" s="1053">
        <f t="array" ref="JJ23">IFERROR(INDEX('Margin Guidence Table'!$A$1:$AG$10000,MATCH(1,('Margin Guidence Table'!$A$1:$A$10000=JI23)*('Margin Guidence Table'!$I$1:$I$10000&lt;=ROUND($JA$3,0))*('Margin Guidence Table'!$J$1:$J$10000&gt;=ROUND($JA$3,0)),0),MATCH("DATA_POINTS",'Margin Guidence Table'!$A$1:$AG$1,0)),0)</f>
        <v>0</v>
      </c>
      <c r="JK23" s="1050" t="str">
        <f t="shared" si="45"/>
        <v>DEFAULT</v>
      </c>
      <c r="JL23" s="1050">
        <f t="array" ref="JL23">IFERROR(IF($JK23="SEGMENT",INDEX('Margin Guidence Table'!$A$1:$AG$10000,MATCH(1,('Margin Guidence Table'!$A$1:$A$10000=JI23)*('Margin Guidence Table'!$I$1:$I$10000&lt;=ROUND($JA$3,0))*('Margin Guidence Table'!$J$1:$J$10000&gt;=ROUND($JA$3,0)),0),MATCH("SALES_CASE",'Margin Guidence Table'!$A$1:$AG$1,0)),INDEX('Margin Guidence Table'!$A$1:$AG$10000,MATCH(1,('Margin Guidence Table'!$A$1:$A$10000=JI23)*('Margin Guidence Table'!$I$1:$I$10000&lt;=ROUND($JA$3,0))*('Margin Guidence Table'!$J$1:$J$10000&gt;=ROUND($JA$3,0)),0),MATCH("DEFAULT_SALES_CASE",'Margin Guidence Table'!$A$1:$AG$1,0))),0)</f>
        <v>0</v>
      </c>
      <c r="JM23" s="1050">
        <f t="array" ref="JM23">IFERROR(IF($JK23="SEGMENT",INDEX('Margin Guidence Table'!$A$1:$AG$10000,MATCH(1,('Margin Guidence Table'!$A$1:$A$10000=JI23)*('Margin Guidence Table'!$I$1:$I$10000&lt;=ROUND($JA$3,0))*('Margin Guidence Table'!$J$1:$J$10000&gt;=ROUND($JA$3,0)),0),MATCH("SALES_LBS",'Margin Guidence Table'!$A$1:$AG$1,0)),INDEX('Margin Guidence Table'!$A$1:$AG$10000,MATCH(1,('Margin Guidence Table'!$A$1:$A$10000=JI23)*('Margin Guidence Table'!$I$1:$I$10000&lt;=ROUND($JA$3,0))*('Margin Guidence Table'!$J$1:$J$10000&gt;=ROUND($JA$3,0)),0),MATCH("DEFAULT_SALES_LBS",'Margin Guidence Table'!$A$1:$AG$1,0))),0)</f>
        <v>0</v>
      </c>
      <c r="JN23" s="1054">
        <f t="array" ref="JN23">IFERROR(IF($JK23="SEGMENT",INDEX('Margin Guidence Table'!$A$1:$AG$10000,MATCH(1,('Margin Guidence Table'!$A$1:$A$10000=JI23)*('Margin Guidence Table'!$I$1:$I$10000&lt;=ROUND($JA$3,0))*('Margin Guidence Table'!$J$1:$J$10000&gt;=ROUND($JA$3,0)),0),MATCH("MDA_MIN_MARGIN_GUIDENCE",'Margin Guidence Table'!$A$1:$AG$1,0)),INDEX('Margin Guidence Table'!$A$1:$AG$10000,MATCH(1,('Margin Guidence Table'!$A$1:$A$10000=JI23)*('Margin Guidence Table'!$I$1:$I$10000&lt;=ROUND($JA$3,0))*('Margin Guidence Table'!$J$1:$J$10000&gt;=ROUND($JA$3,0)),0),MATCH("DEFAULT_MDA_MIN_MARGIN_GUIDENCE",'Margin Guidence Table'!$A$1:$AG$1,0))),0)</f>
        <v>0</v>
      </c>
      <c r="JO23" s="1054">
        <f t="array" ref="JO23">IFERROR(IF($JK23="SEGMENT",INDEX('Margin Guidence Table'!$A$1:$AG$10000,MATCH(1,('Margin Guidence Table'!$A$1:$A$10000=JI23)*('Margin Guidence Table'!$I$1:$I$10000&lt;=ROUND($JA$3,0))*('Margin Guidence Table'!$J$1:$J$10000&gt;=ROUND($JA$3,0)),0),MATCH("MDA_MEDIAN_MARGIN_GUIDENCE",'Margin Guidence Table'!$A$1:$AG$1,0)),INDEX('Margin Guidence Table'!$A$1:$AG$10000,MATCH(1,('Margin Guidence Table'!$A$1:$A$10000=JI23)*('Margin Guidence Table'!$I$1:$I$10000&lt;=ROUND($JA$3,0))*('Margin Guidence Table'!$J$1:$J$10000&gt;=ROUND($JA$3,0)),0),MATCH("DEFAULT_MDA_MEDIAN_MARGIN_GUIDENCE",'Margin Guidence Table'!$A$1:$AG$1,0))),0)</f>
        <v>0</v>
      </c>
      <c r="JP23" s="1054">
        <f t="array" ref="JP23">IFERROR(IF($JK23="SEGMENT",INDEX('Margin Guidence Table'!$A$1:$AG$10000,MATCH(1,('Margin Guidence Table'!$A$1:$A$10000=JI23)*('Margin Guidence Table'!$I$1:$I$10000&lt;=ROUND($JA$3,0))*('Margin Guidence Table'!$J$1:$J$10000&gt;=ROUND($JA$3,0)),0),MATCH("MDA_MAX_MARGIN_GUIDENCE",'Margin Guidence Table'!$A$1:$AG$1,0)),INDEX('Margin Guidence Table'!$A$1:$AG$10000,MATCH(1,('Margin Guidence Table'!$A$1:$A$10000=JI23)*('Margin Guidence Table'!$I$1:$I$10000&lt;=ROUND($JA$3,0))*('Margin Guidence Table'!$J$1:$J$10000&gt;=ROUND($JA$3,0)),0),MATCH("DEFAULT_MDA_MAX_MARGIN_GUIDENCE",'Margin Guidence Table'!$A$1:$AG$1,0))),0)</f>
        <v>0</v>
      </c>
      <c r="JQ23" s="1054">
        <f t="array" ref="JQ23">IFERROR(IF($JK23="SEGMENT",INDEX('Margin Guidence Table'!$A$1:$AG$10000,MATCH(1,('Margin Guidence Table'!$A$1:$A$10000=JI23)*('Margin Guidence Table'!$I$1:$I$10000&lt;=ROUND($JA$3,0))*('Margin Guidence Table'!$J$1:$J$10000&gt;=ROUND($JA$3,0)),0),MATCH("PA_PCT_SALES",'Margin Guidence Table'!$A$1:$AG$1,0)),INDEX('Margin Guidence Table'!$A$1:$AG$10000,MATCH(1,('Margin Guidence Table'!$A$1:$A$10000=JI23)*('Margin Guidence Table'!$I$1:$I$10000&lt;=ROUND($JA$3,0))*('Margin Guidence Table'!$J$1:$J$10000&gt;=ROUND($JA$3,0)),0),MATCH("DEFAULT_PA_PCT_SALES",'Margin Guidence Table'!$A$1:$AG$1,0))),0)</f>
        <v>0</v>
      </c>
      <c r="JR23" s="1054">
        <f t="array" ref="JR23">IFERROR(IF($JK23="SEGMENT",INDEX('Margin Guidence Table'!$A$1:$AG$10000,MATCH(1,('Margin Guidence Table'!$A$1:$A$10000=JI23)*('Margin Guidence Table'!$I$1:$I$10000&lt;=ROUND($JA$3,0))*('Margin Guidence Table'!$J$1:$J$10000&gt;=ROUND($JA$3,0)),0),MATCH("SELF_FUND_PCT_SALES",'Margin Guidence Table'!$A$1:$AG$1,0)),INDEX('Margin Guidence Table'!$A$1:$AG$10000,MATCH(1,('Margin Guidence Table'!$A$1:$A$10000=JI23)*('Margin Guidence Table'!$I$1:$I$10000&lt;=ROUND($JA$3,0))*('Margin Guidence Table'!$J$1:$J$10000&gt;=ROUND($JA$3,0)),0),MATCH("DEFAULT_SELF_FUND_PCT_SALES",'Margin Guidence Table'!$A$1:$AG$1,0))),0)</f>
        <v>0</v>
      </c>
      <c r="JS23" s="1054">
        <f t="array" ref="JS23">IFERROR(IF($JK23="SEGMENT",INDEX('Margin Guidence Table'!$A$1:$AG$10000,MATCH(1,('Margin Guidence Table'!$A$1:$A$10000=JI23)*('Margin Guidence Table'!$I$1:$I$10000&lt;=ROUND($JA$3,0))*('Margin Guidence Table'!$J$1:$J$10000&gt;=ROUND($JA$3,0)),0),MATCH("CIA_MEDIAN_MARGIN_GUIDENCE",'Margin Guidence Table'!$A$1:$AG$1,0)),INDEX('Margin Guidence Table'!$A$1:$AG$10000,MATCH(1,('Margin Guidence Table'!$A$1:$A$10000=JI23)*('Margin Guidence Table'!$I$1:$I$10000&lt;=ROUND($JA$3,0))*('Margin Guidence Table'!$J$1:$J$10000&gt;=ROUND($JA$3,0)),0),MATCH("DEFAULT_CIA_MEDIAN_MARGIN_GUIDENCE",'Margin Guidence Table'!$A$1:$AG$1,0))),0)</f>
        <v>0</v>
      </c>
      <c r="JU23" s="100" t="s">
        <v>101</v>
      </c>
      <c r="JV23" s="95"/>
      <c r="JW23" s="87"/>
      <c r="JX23" s="87"/>
      <c r="JY23" s="87"/>
      <c r="JZ23" s="112"/>
      <c r="KA23" s="96"/>
      <c r="KB23" s="127"/>
      <c r="KD23" s="100" t="s">
        <v>101</v>
      </c>
      <c r="KE23" s="95"/>
      <c r="KF23" s="87"/>
      <c r="KG23" s="87"/>
      <c r="KH23" s="87"/>
      <c r="KI23" s="112"/>
      <c r="KJ23" s="96"/>
    </row>
    <row r="24" spans="2:296" ht="15.75" thickBot="1" x14ac:dyDescent="0.3">
      <c r="B24" s="100" t="s">
        <v>97</v>
      </c>
      <c r="C24" s="449">
        <f t="shared" si="11"/>
        <v>0</v>
      </c>
      <c r="D24" s="465">
        <f t="shared" si="12"/>
        <v>0</v>
      </c>
      <c r="E24" s="465">
        <f t="shared" si="13"/>
        <v>0</v>
      </c>
      <c r="F24" s="465">
        <f t="shared" si="14"/>
        <v>0</v>
      </c>
      <c r="G24" s="466">
        <f t="shared" si="15"/>
        <v>0</v>
      </c>
      <c r="H24" s="465">
        <f t="shared" si="16"/>
        <v>0</v>
      </c>
      <c r="I24" s="1046" t="e">
        <f t="shared" si="0"/>
        <v>#DIV/0!</v>
      </c>
      <c r="J24" s="1046" t="e">
        <f t="shared" si="1"/>
        <v>#DIV/0!</v>
      </c>
      <c r="K24" s="1046" t="e">
        <f t="shared" si="2"/>
        <v>#DIV/0!</v>
      </c>
      <c r="L24" s="465" t="e">
        <f t="shared" si="3"/>
        <v>#DIV/0!</v>
      </c>
      <c r="M24" s="465" t="e">
        <f t="shared" si="17"/>
        <v>#DIV/0!</v>
      </c>
      <c r="N24" s="1047" t="e">
        <f t="shared" si="4"/>
        <v>#DIV/0!</v>
      </c>
      <c r="P24" t="str">
        <f>'PIM Model'!E20</f>
        <v>INCLUDE</v>
      </c>
      <c r="Q24">
        <f t="shared" si="18"/>
        <v>0</v>
      </c>
      <c r="R24">
        <f t="shared" si="19"/>
        <v>0</v>
      </c>
      <c r="S24" s="100" t="s">
        <v>97</v>
      </c>
      <c r="T24" s="95">
        <f t="shared" si="20"/>
        <v>0</v>
      </c>
      <c r="U24" s="87">
        <f t="shared" si="5"/>
        <v>0</v>
      </c>
      <c r="V24" s="87">
        <f t="shared" si="6"/>
        <v>0</v>
      </c>
      <c r="W24" s="87">
        <f t="shared" si="7"/>
        <v>0</v>
      </c>
      <c r="X24" s="112">
        <f t="shared" si="8"/>
        <v>0</v>
      </c>
      <c r="Y24" s="115">
        <f t="shared" si="21"/>
        <v>0</v>
      </c>
      <c r="Z24" s="374"/>
      <c r="AA24" s="100" t="s">
        <v>97</v>
      </c>
      <c r="AB24" s="453">
        <f t="shared" si="9"/>
        <v>0</v>
      </c>
      <c r="AC24" s="454">
        <f t="shared" si="9"/>
        <v>0</v>
      </c>
      <c r="AD24" s="454">
        <f t="shared" si="9"/>
        <v>0</v>
      </c>
      <c r="AE24" s="455">
        <f t="shared" si="22"/>
        <v>0</v>
      </c>
      <c r="AF24" s="456">
        <f t="shared" si="23"/>
        <v>0</v>
      </c>
      <c r="AG24" s="374"/>
      <c r="AH24" s="100" t="s">
        <v>97</v>
      </c>
      <c r="AI24" s="453">
        <f t="shared" si="10"/>
        <v>0</v>
      </c>
      <c r="AJ24" s="450">
        <f t="shared" si="24"/>
        <v>0</v>
      </c>
      <c r="AK24" s="456"/>
      <c r="AL24" s="374"/>
      <c r="AM24" s="1" t="str">
        <f>IF('PIM Ranges'!$AK22='PIM Ranges'!$AW$11,IF($AI24&lt;'PIM Ranges'!$AX$11,"Q1",IF($AI24&lt;'PIM Ranges'!$AY$11,"Q2",IF($AI24&lt;'PIM Ranges'!$AZ$11,"Q3",IF($AI24&lt;'PIM Ranges'!$BA$11,"Q4","Q5")))),IF('PIM Ranges'!$AK22='PIM Ranges'!$AW$12,IF($AI24&lt;'PIM Ranges'!$AX$12,"Q1",IF($AI24&lt;'PIM Ranges'!$AY$12,"Q2",IF($AI24&lt;'PIM Ranges'!$AZ$12,"Q3",IF($AI24&lt;'PIM Ranges'!$BA$12,"Q4","Q5")))),IF('PIM Ranges'!$AK22='PIM Ranges'!$AW$13,IF($AI24&lt;'PIM Ranges'!$AX$13,"Q1",IF($AI24&lt;'PIM Ranges'!$AY$13,"Q2",IF($AI24&lt;'PIM Ranges'!$AZ$13,"Q3",IF($AI24&lt;'PIM Ranges'!$BA$13,"Q4","Q5")))),IF('PIM Ranges'!$AK22='PIM Ranges'!$AW$14,IF($AI24&lt;'PIM Ranges'!$AX$14,"Q1",IF($AI24&lt;'PIM Ranges'!$AY$14,"Q2",IF($AI24&lt;'PIM Ranges'!$AZ$14,"Q3",IF($AI24&lt;'PIM Ranges'!$BA$14,"Q4","Q5")))),IF('PIM Ranges'!$AK22='PIM Ranges'!$AW$15,IF($AI24&lt;'PIM Ranges'!$AX$15,"Q1",IF($AI24&lt;'PIM Ranges'!$AY$15,"Q2",IF($AI24&lt;'PIM Ranges'!$AZ$15,"Q3",IF($AI24&lt;'PIM Ranges'!$BA$15,"Q4","Q5")))),IF('PIM Ranges'!$AK22='PIM Ranges'!$AW$16,IF($AI24&lt;'PIM Ranges'!$AX$16,"Q1",IF($AI24&lt;'PIM Ranges'!$AY$16,"Q2",IF($AI24&lt;'PIM Ranges'!$AZ$16,"Q3",IF($AI24&lt;'PIM Ranges'!$BA$16,"Q4","Q5")))),IF('PIM Ranges'!$AK22='PIM Ranges'!$AW$17,IF($AI24&lt;'PIM Ranges'!$AX$17,"Q1",IF($AI24&lt;'PIM Ranges'!$AY$17,"Q2",IF($AI24&lt;'PIM Ranges'!$AZ$17,"Q3",IF($AI24&lt;'PIM Ranges'!$BA$17,"Q4","Q5")))),IF('PIM Ranges'!$AK22='PIM Ranges'!$AW$18,IF($AI24&lt;'PIM Ranges'!$AX$18,"Q1",IF($AI24&lt;'PIM Ranges'!$AY$18,"Q2",IF($AI24&lt;'PIM Ranges'!$AZ$18,"Q3",IF($AI24&lt;'PIM Ranges'!$BA$18,"Q4","Q5")))),IF('PIM Ranges'!$AK22='PIM Ranges'!$AW$19,IF($AI24&lt;'PIM Ranges'!$AX$19,"Q1",IF($AI24&lt;'PIM Ranges'!$AY$19,"Q2",IF($AI24&lt;'PIM Ranges'!$AZ$19,"Q3",IF($AI24&lt;'PIM Ranges'!$BA$19,"Q4","Q5")))),IF('PIM Ranges'!$AK22='PIM Ranges'!$AW$20,IF($AI24&lt;'PIM Ranges'!$AX$20,"Q1",IF($AI24&lt;'PIM Ranges'!$AY$20,"Q2",IF($AI24&lt;'PIM Ranges'!$AZ$20,"Q3",IF($AI24&lt;'PIM Ranges'!$BA$20,"Q4","Q5")))),IF('PIM Ranges'!$AK22='PIM Ranges'!$AW$21,IF($AI24&lt;'PIM Ranges'!$AX$21,"Q1",IF($AI24&lt;'PIM Ranges'!$AY$21,"Q2",IF($AI24&lt;'PIM Ranges'!$AZ$21,"Q3",IF($AI24&lt;'PIM Ranges'!$BA$21,"Q4","Q5")))),IF('PIM Ranges'!$AK22='PIM Ranges'!$AW$22,IF($AI24&lt;'PIM Ranges'!$AX$22,"Q1",IF($AI24&lt;'PIM Ranges'!$AY$22,"Q2",IF($AI24&lt;'PIM Ranges'!$AZ$22,"Q3",IF($AI24&lt;'PIM Ranges'!$BA$22,"Q4","Q5")))),IF('PIM Ranges'!$AK22='PIM Ranges'!$AW$23,IF($AI24&lt;'PIM Ranges'!$AX$23,"Q1",IF($AI24&lt;'PIM Ranges'!$AY$23,"Q2",IF($AI24&lt;'PIM Ranges'!$AZ$23,"Q3",IF($AI24&lt;'PIM Ranges'!$BA$23,"Q4","Q5")))),IF('PIM Ranges'!$AK22='PIM Ranges'!$AW$24,IF($AI24&lt;'PIM Ranges'!$AX$24,"Q1",IF($AI24&lt;'PIM Ranges'!$AY$24,"Q2",IF($AI24&lt;'PIM Ranges'!$AZ$24,"Q3",IF($AI24&lt;'PIM Ranges'!$BA$24,"Q4","Q5")))),IF('PIM Ranges'!$AK22='PIM Ranges'!$AW$25,IF($AI24&lt;'PIM Ranges'!$AX$25,"Q1",IF($AI24&lt;'PIM Ranges'!$AY$25,"Q2",IF($AI24&lt;'PIM Ranges'!$AZ$25,"Q3",IF($AI24&lt;'PIM Ranges'!$BA$25,"Q4","Q5")))),IF('PIM Ranges'!$AK22='PIM Ranges'!$AW$26,IF($AI24&lt;'PIM Ranges'!$AX$26,"Q1",IF($AI24&lt;'PIM Ranges'!$AY$26,"Q2",IF($AI24&lt;'PIM Ranges'!$AZ$26,"Q3",IF($AI24&lt;'PIM Ranges'!$BA$26,"Q4","Q5")))),IF('PIM Ranges'!$AK22='PIM Ranges'!$AW$27,IF($AI24&lt;'PIM Ranges'!$AX$27,"Q1",IF($AI24&lt;'PIM Ranges'!$AY$27,"Q2",IF($AI24&lt;'PIM Ranges'!$AZ$27,"Q3",IF($AI24&lt;'PIM Ranges'!$BA$27,"Q4","Q5")))),IF('PIM Ranges'!$AK22='PIM Ranges'!$AW$28,IF($AI24&lt;'PIM Ranges'!$AX$28,"Q1",IF($AI24&lt;'PIM Ranges'!$AY$28,"Q2",IF($AI24&lt;'PIM Ranges'!$AZ$28,"Q3",IF($AI24&lt;'PIM Ranges'!$BA$28,"Q4","Q5")))),IF('PIM Ranges'!$AK22='PIM Ranges'!$AW$29,IF($AI24&lt;'PIM Ranges'!$AX$29,"Q1",IF($AI24&lt;'PIM Ranges'!$AY$29,"Q2",IF($AI24&lt;'PIM Ranges'!$AZ$29,"Q3",IF($AI24&lt;'PIM Ranges'!$BA$29,"Q4","Q5")))),IF('PIM Ranges'!$AK22='PIM Ranges'!$AW$30,IF($AI24&lt;'PIM Ranges'!$AX$30,"Q1",IF($AI24&lt;'PIM Ranges'!$AY$30,"Q2",IF($AI24&lt;'PIM Ranges'!$AZ$30,"Q3",IF($AI24&lt;'PIM Ranges'!$BA$30,"Q4","Q5")))),IF('PIM Ranges'!$AK22='PIM Ranges'!$AW$31,IF($AI24&lt;'PIM Ranges'!$AX$31,"Q1",IF($AI24&lt;'PIM Ranges'!$AY$31,"Q2",IF($AI24&lt;'PIM Ranges'!$AZ$31,"Q3",IF($AI24&lt;'PIM Ranges'!$BA$31,"Q4","Q5")))),IF('PIM Ranges'!$AK22='PIM Ranges'!$AW$32,IF($AI24&lt;'PIM Ranges'!$AX$32,"Q1",IF($AI24&lt;'PIM Ranges'!$AY$32,"Q2",IF($AI24&lt;'PIM Ranges'!$AZ$32,"Q3",IF($AI24&lt;'PIM Ranges'!$BA$32,"Q4","Q5"))))))))))))))))))))))))))</f>
        <v>Q1</v>
      </c>
      <c r="AN24" s="374">
        <f>VLOOKUP($AH24&amp;$AM24,'IMargin Quartiles'!$A:$F,6,FALSE)</f>
        <v>0.17</v>
      </c>
      <c r="AO24" s="374"/>
      <c r="AP24"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Q24" s="374" t="e">
        <f t="shared" si="25"/>
        <v>#DIV/0!</v>
      </c>
      <c r="AR24">
        <f>'PIM Model'!C20</f>
        <v>0</v>
      </c>
      <c r="AS24" s="374"/>
      <c r="AT24" s="374"/>
      <c r="AU24" s="374" t="e">
        <f t="shared" si="46"/>
        <v>#DIV/0!</v>
      </c>
      <c r="AV24" s="374"/>
      <c r="AW24" s="374"/>
      <c r="AX24" s="106">
        <v>13</v>
      </c>
      <c r="AY24" s="18">
        <f t="array" ref="AY24">IFERROR(IF($BL24="SEGMENT",INDEX('Margin Guidence Table'!$A$1:$AG$10000,MATCH(1,('Margin Guidence Table'!$A$1:$A$10000=$BJ24)*('Margin Guidence Table'!$I$1:$I$10000&lt;=ROUND($BB$3,0))*('Margin Guidence Table'!$J$1:$J$10000&gt;=ROUND($BB$3,0)),0),MATCH("PCT_SALES",'Margin Guidence Table'!$A$1:$AG$1,0)),INDEX('Margin Guidence Table'!$A$1:$AG$10000,MATCH(1,('Margin Guidence Table'!$A$1:$A$10000=$BJ24)*('Margin Guidence Table'!$I$1:$I$10000&lt;=ROUND($BB$3,0))*('Margin Guidence Table'!$J$1:$J$10000&gt;=ROUND($BB$3,0)),0),MATCH("DEFAULT_PCT_SALES",'Margin Guidence Table'!$A$1:$AG$1,0))),0)</f>
        <v>0</v>
      </c>
      <c r="AZ24" s="370" t="e">
        <f t="shared" si="26"/>
        <v>#DIV/0!</v>
      </c>
      <c r="BA24" s="100" t="s">
        <v>97</v>
      </c>
      <c r="BB24" s="92">
        <f>IFERROR(IF(AND($BB$2&lt;&gt;"Enter Spend&gt;&gt;&gt;",BC12="EXISTING"),SUMIFS('Existing Customers'!$Q:$Q,'Existing Customers'!$A:$A,$BB$1,'Existing Customers'!$H:$H,$BA24)*$BB$4,$BB$3*$AZ24),0)</f>
        <v>0</v>
      </c>
      <c r="BC24" s="93">
        <f>IFERROR(IF(AND($BB$2&lt;&gt;"Enter Spend&gt;&gt;&gt;",BC2="EXISTING"),SUMIFS('Existing Customers'!$N:$N,'Existing Customers'!$A:$A,$BB$1,'Existing Customers'!$H:$H,$BA24)*$BB$4,$BB24/$BM24),0)</f>
        <v>0</v>
      </c>
      <c r="BD24" s="93">
        <f>IFERROR(IF(AND($BB$2&lt;&gt;"Enter Spend&gt;&gt;&gt;",BC2="EXISTING"),SUMIFS('Existing Customers'!$O:$O,'Existing Customers'!$H:$H,$BA24,'Existing Customers'!$A:$A,$BB$1)*$BB$4,$BC24*$BB$8),0)</f>
        <v>0</v>
      </c>
      <c r="BE24" s="93">
        <f>IFERROR(IF(AND($BB$2&lt;&gt;"Enter Spend&gt;&gt;&gt;",BC2="EXISTING"),SUMIFS('Existing Customers'!$P:$P,'Existing Customers'!$A:$A,$BB$1,'Existing Customers'!$H:$H,$BA24)*$BB$4,$BB24/$BN24),0)</f>
        <v>0</v>
      </c>
      <c r="BF24" s="376">
        <f>IFERROR(IF(AND($BB$2&lt;&gt;"Enter Spend&gt;&gt;&gt;",BC2="EXISTING"),SUMIFS('Existing Customers'!$V:$V,'Existing Customers'!$H:$H,$BA24,'Existing Customers'!$A:$A,$BB$1)*$BB$4,0),0)</f>
        <v>0</v>
      </c>
      <c r="BG24" s="94">
        <f>IFERROR(IF(AND($BB$2&lt;&gt;"Enter Spend&gt;&gt;&gt;",BC2="EXISTING"),SUMIFS('Existing Customers'!$R:$R,'Existing Customers'!$H:$H,$BA24,'Existing Customers'!$A:$A,$BB$1)*$BB$4,0),0)</f>
        <v>0</v>
      </c>
      <c r="BH24" s="94">
        <f>IFERROR(IF(AND($BB$2&lt;&gt;"Enter Spend&gt;&gt;&gt;",BC2="EXISTING"),SUMIFS('Existing Customers'!$S:$S,'Existing Customers'!$H:$H,$BA24,'Existing Customers'!$A:$A,$BB$1),BR24*BB24),0)</f>
        <v>0</v>
      </c>
      <c r="BI24" s="94">
        <f>IFERROR(IF(AND($BB$2&lt;&gt;"Enter Spend&gt;&gt;&gt;",BC2="EXISTING"),SUMIFS('Existing Customers'!$U:$U,'Existing Customers'!$H:$H,$BA24,'Existing Customers'!$A:$A,$BB$1),BS24*BB24),0)</f>
        <v>0</v>
      </c>
      <c r="BJ24" s="1052" t="e">
        <f>_xlfn.CONCAT('Customer Inputs'!$AG$6,"_",BA24)</f>
        <v>#N/A</v>
      </c>
      <c r="BK24" s="1053">
        <f t="array" ref="BK24">IFERROR(INDEX('Margin Guidence Table'!$A$1:$AG$10000,MATCH(1,('Margin Guidence Table'!$A$1:$A$10000=$BJ24)*('Margin Guidence Table'!$I$1:$I$10000&lt;=ROUND($BB$3,0))*('Margin Guidence Table'!$J$1:$J$10000&gt;=ROUND($BB$3,0)),0),MATCH("DATA_POINTS",'Margin Guidence Table'!$A$1:$AG$1,0)),0)</f>
        <v>0</v>
      </c>
      <c r="BL24" s="1050" t="str">
        <f t="shared" si="27"/>
        <v>DEFAULT</v>
      </c>
      <c r="BM24" s="1050">
        <f t="array" ref="BM24">IFERROR(IF($BL24="SEGMENT",INDEX('Margin Guidence Table'!$A$1:$AG$10000,MATCH(1,('Margin Guidence Table'!$A$1:$A$10000=$BJ24)*('Margin Guidence Table'!$I$1:$I$10000&lt;=ROUND($BB$3,0))*('Margin Guidence Table'!$J$1:$J$10000&gt;=ROUND($BB$3,0)),0),MATCH("SALES_CASE",'Margin Guidence Table'!$A$1:$AG$1,0)),INDEX('Margin Guidence Table'!$A$1:$AG$10000,MATCH(1,('Margin Guidence Table'!$A$1:$A$10000=$BJ24)*('Margin Guidence Table'!$I$1:$I$10000&lt;=ROUND($BB$3,0))*('Margin Guidence Table'!$J$1:$J$10000&gt;=ROUND($BB$3,0)),0),MATCH("DEFAULT_SALES_CASE",'Margin Guidence Table'!$A$1:$AG$1,0))),0)</f>
        <v>0</v>
      </c>
      <c r="BN24" s="1050">
        <f t="array" ref="BN24">IFERROR(IF($BL24="SEGMENT",INDEX('Margin Guidence Table'!$A$1:$AG$10000,MATCH(1,('Margin Guidence Table'!$A$1:$A$10000=$BJ24)*('Margin Guidence Table'!$I$1:$I$10000&lt;=ROUND($BB$3,0))*('Margin Guidence Table'!$J$1:$J$10000&gt;=ROUND($BB$3,0)),0),MATCH("SALES_LBS",'Margin Guidence Table'!$A$1:$AG$1,0)),INDEX('Margin Guidence Table'!$A$1:$AG$10000,MATCH(1,('Margin Guidence Table'!$A$1:$A$10000=$BJ24)*('Margin Guidence Table'!$I$1:$I$10000&lt;=ROUND($BB$3,0))*('Margin Guidence Table'!$J$1:$J$10000&gt;=ROUND($BB$3,0)),0),MATCH("DEFAULT_SALES_LBS",'Margin Guidence Table'!$A$1:$AG$1,0))),0)</f>
        <v>0</v>
      </c>
      <c r="BO24" s="1054">
        <f t="array" ref="BO24">IFERROR(IF($BL24="SEGMENT",INDEX('Margin Guidence Table'!$A$1:$AG$10000,MATCH(1,('Margin Guidence Table'!$A$1:$A$10000=$BJ24)*('Margin Guidence Table'!$I$1:$I$10000&lt;=ROUND($BB$3,0))*('Margin Guidence Table'!$J$1:$J$10000&gt;=ROUND($BB$3,0)),0),MATCH("MDA_MIN_MARGIN_GUIDENCE",'Margin Guidence Table'!$A$1:$AG$1,0)),INDEX('Margin Guidence Table'!$A$1:$AG$10000,MATCH(1,('Margin Guidence Table'!$A$1:$A$10000=$BJ24)*('Margin Guidence Table'!$I$1:$I$10000&lt;=ROUND($BB$3,0))*('Margin Guidence Table'!$J$1:$J$10000&gt;=ROUND($BB$3,0)),0),MATCH("DEFAULT_MDA_MIN_MARGIN_GUIDENCE",'Margin Guidence Table'!$A$1:$AG$1,0))),0)</f>
        <v>0</v>
      </c>
      <c r="BP24" s="1054">
        <f t="array" ref="BP24">IFERROR(IF($BL24="SEGMENT",INDEX('Margin Guidence Table'!$A$1:$AG$10000,MATCH(1,('Margin Guidence Table'!$A$1:$A$10000=$BJ24)*('Margin Guidence Table'!$I$1:$I$10000&lt;=ROUND($BB$3,0))*('Margin Guidence Table'!$J$1:$J$10000&gt;=ROUND($BB$3,0)),0),MATCH("MDA_MEDIAN_MARGIN_GUIDENCE",'Margin Guidence Table'!$A$1:$AG$1,0)),INDEX('Margin Guidence Table'!$A$1:$AG$10000,MATCH(1,('Margin Guidence Table'!$A$1:$A$10000=$BJ24)*('Margin Guidence Table'!$I$1:$I$10000&lt;=ROUND($BB$3,0))*('Margin Guidence Table'!$J$1:$J$10000&gt;=ROUND($BB$3,0)),0),MATCH("DEFAULT_MDA_MEDIAN_MARGIN_GUIDENCE",'Margin Guidence Table'!$A$1:$AG$1,0))),0)</f>
        <v>0</v>
      </c>
      <c r="BQ24" s="1054">
        <f t="array" ref="BQ24">IFERROR(IF($BL24="SEGMENT",INDEX('Margin Guidence Table'!$A$1:$AG$10000,MATCH(1,('Margin Guidence Table'!$A$1:$A$10000=$BJ24)*('Margin Guidence Table'!$I$1:$I$10000&lt;=ROUND($BB$3,0))*('Margin Guidence Table'!$J$1:$J$10000&gt;=ROUND($BB$3,0)),0),MATCH("MDA_MAX_MARGIN_GUIDENCE",'Margin Guidence Table'!$A$1:$AG$1,0)),INDEX('Margin Guidence Table'!$A$1:$AG$10000,MATCH(1,('Margin Guidence Table'!$A$1:$A$10000=$BJ24)*('Margin Guidence Table'!$I$1:$I$10000&lt;=ROUND($BB$3,0))*('Margin Guidence Table'!$J$1:$J$10000&gt;=ROUND($BB$3,0)),0),MATCH("DEFAULT_MDA_MAX_MARGIN_GUIDENCE",'Margin Guidence Table'!$A$1:$AG$1,0))),0)</f>
        <v>0</v>
      </c>
      <c r="BR24" s="1054">
        <f t="array" ref="BR24">IFERROR(IF($BL24="SEGMENT",INDEX('Margin Guidence Table'!$A$1:$AG$10000,MATCH(1,('Margin Guidence Table'!$A$1:$A$10000=$BJ24)*('Margin Guidence Table'!$I$1:$I$10000&lt;=ROUND($BB$3,0))*('Margin Guidence Table'!$J$1:$J$10000&gt;=ROUND($BB$3,0)),0),MATCH("PA_PCT_SALES",'Margin Guidence Table'!$A$1:$AG$1,0)),INDEX('Margin Guidence Table'!$A$1:$AG$10000,MATCH(1,('Margin Guidence Table'!$A$1:$A$10000=$BJ24)*('Margin Guidence Table'!$I$1:$I$10000&lt;=ROUND($BB$3,0))*('Margin Guidence Table'!$J$1:$J$10000&gt;=ROUND($BB$3,0)),0),MATCH("DEFAULT_PA_PCT_SALES",'Margin Guidence Table'!$A$1:$AG$1,0))),0)</f>
        <v>0</v>
      </c>
      <c r="BS24" s="1054">
        <f t="array" ref="BS24">IFERROR(IF($BL24="SEGMENT",INDEX('Margin Guidence Table'!$A$1:$AG$10000,MATCH(1,('Margin Guidence Table'!$A$1:$A$10000=$BJ24)*('Margin Guidence Table'!$I$1:$I$10000&lt;=ROUND($BB$3,0))*('Margin Guidence Table'!$J$1:$J$10000&gt;=ROUND($BB$3,0)),0),MATCH("SELF_FUND_PCT_SALES",'Margin Guidence Table'!$A$1:$AG$1,0)),INDEX('Margin Guidence Table'!$A$1:$AG$10000,MATCH(1,('Margin Guidence Table'!$A$1:$A$10000=$BJ24)*('Margin Guidence Table'!$I$1:$I$10000&lt;=ROUND($BB$3,0))*('Margin Guidence Table'!$J$1:$J$10000&gt;=ROUND($BB$3,0)),0),MATCH("DEFAULT_SELF_FUND_PCT_SALES",'Margin Guidence Table'!$A$1:$AG$1,0))),0)</f>
        <v>0</v>
      </c>
      <c r="BT24" s="1054">
        <f t="array" ref="BT24">IFERROR(IF($BL24="SEGMENT",INDEX('Margin Guidence Table'!$A$1:$AG$10000,MATCH(1,('Margin Guidence Table'!$A$1:$A$10000=$BJ24)*('Margin Guidence Table'!$I$1:$I$10000&lt;=ROUND($BB$3,0))*('Margin Guidence Table'!$J$1:$J$10000&gt;=ROUND($BB$3,0)),0),MATCH("CIA_MEDIAN_MARGIN_GUIDENCE",'Margin Guidence Table'!$A$1:$AG$1,0)),INDEX('Margin Guidence Table'!$A$1:$AG$10000,MATCH(1,('Margin Guidence Table'!$A$1:$A$10000=$BJ24)*('Margin Guidence Table'!$I$1:$I$10000&lt;=ROUND($BB$3,0))*('Margin Guidence Table'!$J$1:$J$10000&gt;=ROUND($BB$3,0)),0),MATCH("DEFAULT_CIA_MEDIAN_MARGIN_GUIDENCE",'Margin Guidence Table'!$A$1:$AG$1,0))),0)</f>
        <v>0</v>
      </c>
      <c r="BU24" s="127"/>
      <c r="BV24" s="18">
        <f t="array" ref="BV24">IFERROR(IF($CI24="SEGMENT",INDEX('Margin Guidence Table'!$A$1:$AG$10000,MATCH(1,('Margin Guidence Table'!$A$1:$A$10000=$CG24)*('Margin Guidence Table'!$I$1:$I$10000&lt;=ROUND($BY$3,0))*('Margin Guidence Table'!$J$1:$J$10000&gt;=ROUND($BY$3,0)),0),MATCH("PCT_SALES",'Margin Guidence Table'!$A$1:$AG$1,0)),INDEX('Margin Guidence Table'!$A$1:$AG$10000,MATCH(1,('Margin Guidence Table'!$A$1:$A$10000=$CG24)*('Margin Guidence Table'!$I$1:$I$10000&lt;=ROUND($BY$3,0))*('Margin Guidence Table'!$J$1:$J$10000&gt;=ROUND($BY$3,0)),0),MATCH("DEFAULT_PCT_SALES",'Margin Guidence Table'!$A$1:$AG$1,0))),0)</f>
        <v>0</v>
      </c>
      <c r="BW24" s="370" t="e">
        <f t="shared" si="28"/>
        <v>#DIV/0!</v>
      </c>
      <c r="BX24" s="100" t="s">
        <v>97</v>
      </c>
      <c r="BY24" s="92">
        <f>IFERROR(IF(AND($BY$2&lt;&gt;"Enter Spend&gt;&gt;&gt;",BZ12="EXISTING"),SUMIFS('Existing Customers'!$Q:$Q,'Existing Customers'!$A:$A,$BY$1,'Existing Customers'!$H:$H,$BX24)*$BY$4,$BY$3*$BW24),0)</f>
        <v>0</v>
      </c>
      <c r="BZ24" s="87">
        <f>IFERROR(IF(AND($BY$2&lt;&gt;"Enter Spend&gt;&gt;&gt;",BZ2="EXISTING"),SUMIFS('Existing Customers'!$N:$N,'Existing Customers'!$A:$A,$BY$1,'Existing Customers'!$H:$H,$BX24)*$BY$4,$BY24/$CJ24),0)</f>
        <v>0</v>
      </c>
      <c r="CA24" s="93">
        <f>IFERROR(IF(AND($BY$2&lt;&gt;"Enter Spend&gt;&gt;&gt;",BZ2="EXISTING"),SUMIFS('Existing Customers'!$O:$O,'Existing Customers'!$H:$H,$BX24,'Existing Customers'!$A:$A,$BY$1)*$BY$4,$BZ24*$BY$8),0)</f>
        <v>0</v>
      </c>
      <c r="CB24" s="93">
        <f>IFERROR(IF(AND($BY$2&lt;&gt;"Enter Spend&gt;&gt;&gt;",BZ2="EXISTING"),SUMIFS('Existing Customers'!$P:$P,'Existing Customers'!$A:$A,$BY$1,'Existing Customers'!$H:$H,$BX24)*$BY$4,$BY24/$CK24),0)</f>
        <v>0</v>
      </c>
      <c r="CC24" s="94">
        <f>IFERROR(IF(AND($BY$2&lt;&gt;"Enter Spend&gt;&gt;&gt;",BZ2="EXISTING"),SUMIFS('Existing Customers'!$V:$V,'Existing Customers'!$H:$H,$BX24,'Existing Customers'!$A:$A,$BY$1)*$BY$4,0),0)</f>
        <v>0</v>
      </c>
      <c r="CD24" s="94">
        <f>IFERROR(IF(AND($BY$2&lt;&gt;"Enter Spend&gt;&gt;&gt;",BZ2="EXISTING"),SUMIFS('Existing Customers'!$R:$R,'Existing Customers'!$H:$H,$BX24,'Existing Customers'!$A:$A,$BY$1)*$BY$4,0),0)</f>
        <v>0</v>
      </c>
      <c r="CE24" s="1050">
        <f>IFERROR(IF(AND($BY$2&lt;&gt;"Enter Spend&gt;&gt;&gt;",BZ2="EXISTING"),SUMIFS('Existing Customers'!$S:$S,'Existing Customers'!$H:$H,$BX24,'Existing Customers'!$A:$A,$BY$1),CO24*BY24),0)</f>
        <v>0</v>
      </c>
      <c r="CF24" s="1050">
        <f>IFERROR(IF(AND($BY$2&lt;&gt;"Enter Spend&gt;&gt;&gt;",BZ2="EXISTING"),SUMIFS('Existing Customers'!$U:$U,'Existing Customers'!$H:$H,$BX24,'Existing Customers'!$A:$A,$BY$1),CP24*BY24),0)</f>
        <v>0</v>
      </c>
      <c r="CG24" s="1053" t="e">
        <f>_xlfn.CONCAT('Customer Inputs'!$AG$7,"_",BX24)</f>
        <v>#N/A</v>
      </c>
      <c r="CH24" s="1053">
        <f t="array" ref="CH24">IFERROR(INDEX('Margin Guidence Table'!$A$1:$AG$10000,MATCH(1,('Margin Guidence Table'!$A$1:$A$10000=$CG24)*('Margin Guidence Table'!$I$1:$I$10000&lt;=ROUND($BY$3,0))*('Margin Guidence Table'!$J$1:$J$10000&gt;=ROUND($BY$3,0)),0),MATCH("DATA_POINTS",'Margin Guidence Table'!$A$1:$AG$1,0)),0)</f>
        <v>0</v>
      </c>
      <c r="CI24" s="1050" t="str">
        <f t="shared" si="29"/>
        <v>DEFAULT</v>
      </c>
      <c r="CJ24" s="1050">
        <f t="array" ref="CJ24">IFERROR(IF($CI24="SEGMENT",INDEX('Margin Guidence Table'!$A$1:$AG$10000,MATCH(1,('Margin Guidence Table'!$A$1:$A$10000=$CG24)*('Margin Guidence Table'!$I$1:$I$10000&lt;=ROUND($BY$3,0))*('Margin Guidence Table'!$J$1:$J$10000&gt;=ROUND($BY$3,0)),0),MATCH("SALES_CASE",'Margin Guidence Table'!$A$1:$AG$1,0)),INDEX('Margin Guidence Table'!$A$1:$AG$10000,MATCH(1,('Margin Guidence Table'!$A$1:$A$10000=$CG24)*('Margin Guidence Table'!$I$1:$I$10000&lt;=ROUND($BY$3,0))*('Margin Guidence Table'!$J$1:$J$10000&gt;=ROUND($BY$3,0)),0),MATCH("DEFAULT_SALES_CASE",'Margin Guidence Table'!$A$1:$AG$1,0))),0)</f>
        <v>0</v>
      </c>
      <c r="CK24" s="1050">
        <f t="array" ref="CK24">IFERROR(IF($CI24="SEGMENT",INDEX('Margin Guidence Table'!$A$1:$AG$10000,MATCH(1,('Margin Guidence Table'!$A$1:$A$10000=$CG24)*('Margin Guidence Table'!$I$1:$I$10000&lt;=ROUND($BY$3,0))*('Margin Guidence Table'!$J$1:$J$10000&gt;=ROUND($BY$3,0)),0),MATCH("SALES_LBS",'Margin Guidence Table'!$A$1:$AG$1,0)),INDEX('Margin Guidence Table'!$A$1:$AG$10000,MATCH(1,('Margin Guidence Table'!$A$1:$A$10000=$CG24)*('Margin Guidence Table'!$I$1:$I$10000&lt;=ROUND($BY$3,0))*('Margin Guidence Table'!$J$1:$J$10000&gt;=ROUND($BY$3,0)),0),MATCH("DEFAULT_SALES_LBS",'Margin Guidence Table'!$A$1:$AG$1,0))),0)</f>
        <v>0</v>
      </c>
      <c r="CL24" s="1054">
        <f t="array" ref="CL24">IFERROR(IF($CI24="SEGMENT",INDEX('Margin Guidence Table'!$A$1:$AG$10000,MATCH(1,('Margin Guidence Table'!$A$1:$A$10000=$CG24)*('Margin Guidence Table'!$I$1:$I$10000&lt;=ROUND($BY$3,0))*('Margin Guidence Table'!$J$1:$J$10000&gt;=ROUND($BY$3,0)),0),MATCH("MDA_MIN_MARGIN_GUIDENCE",'Margin Guidence Table'!$A$1:$AG$1,0)),INDEX('Margin Guidence Table'!$A$1:$AG$10000,MATCH(1,('Margin Guidence Table'!$A$1:$A$10000=$CG24)*('Margin Guidence Table'!$I$1:$I$10000&lt;=ROUND($BY$3,0))*('Margin Guidence Table'!$J$1:$J$10000&gt;=ROUND($BY$3,0)),0),MATCH("DEFAULT_MDA_MIN_MARGIN_GUIDENCE",'Margin Guidence Table'!$A$1:$AG$1,0))),0)</f>
        <v>0</v>
      </c>
      <c r="CM24" s="1054">
        <f t="array" ref="CM24">IFERROR(IF($CI24="SEGMENT",INDEX('Margin Guidence Table'!$A$1:$AG$10000,MATCH(1,('Margin Guidence Table'!$A$1:$A$10000=$CG24)*('Margin Guidence Table'!$I$1:$I$10000&lt;=ROUND($BY$3,0))*('Margin Guidence Table'!$J$1:$J$10000&gt;=ROUND($BY$3,0)),0),MATCH("MDA_MEDIAN_MARGIN_GUIDENCE",'Margin Guidence Table'!$A$1:$AG$1,0)),INDEX('Margin Guidence Table'!$A$1:$AG$10000,MATCH(1,('Margin Guidence Table'!$A$1:$A$10000=$CG24)*('Margin Guidence Table'!$I$1:$I$10000&lt;=ROUND($BY$3,0))*('Margin Guidence Table'!$J$1:$J$10000&gt;=ROUND($BY$3,0)),0),MATCH("DEFAULT_MDA_MEDIAN_MARGIN_GUIDENCE",'Margin Guidence Table'!$A$1:$AG$1,0))),0)</f>
        <v>0</v>
      </c>
      <c r="CN24" s="1054">
        <f t="array" ref="CN24">IFERROR(IF($CI24="SEGMENT",INDEX('Margin Guidence Table'!$A$1:$AG$10000,MATCH(1,('Margin Guidence Table'!$A$1:$A$10000=$CG24)*('Margin Guidence Table'!$I$1:$I$10000&lt;=ROUND($BY$3,0))*('Margin Guidence Table'!$J$1:$J$10000&gt;=ROUND($BY$3,0)),0),MATCH("MDA_MAX_MARGIN_GUIDENCE",'Margin Guidence Table'!$A$1:$AG$1,0)),INDEX('Margin Guidence Table'!$A$1:$AG$10000,MATCH(1,('Margin Guidence Table'!$A$1:$A$10000=$CG24)*('Margin Guidence Table'!$I$1:$I$10000&lt;=ROUND($BY$3,0))*('Margin Guidence Table'!$J$1:$J$10000&gt;=ROUND($BY$3,0)),0),MATCH("DEFAULT_MDA_MAX_MARGIN_GUIDENCE",'Margin Guidence Table'!$A$1:$AG$1,0))),0)</f>
        <v>0</v>
      </c>
      <c r="CO24" s="1054">
        <f t="array" ref="CO24">IFERROR(IF($CI24="SEGMENT",INDEX('Margin Guidence Table'!$A$1:$AG$10000,MATCH(1,('Margin Guidence Table'!$A$1:$A$10000=$CG24)*('Margin Guidence Table'!$I$1:$I$10000&lt;=ROUND($BY$3,0))*('Margin Guidence Table'!$J$1:$J$10000&gt;=ROUND($BY$3,0)),0),MATCH("PA_PCT_SALES",'Margin Guidence Table'!$A$1:$AG$1,0)),INDEX('Margin Guidence Table'!$A$1:$AG$10000,MATCH(1,('Margin Guidence Table'!$A$1:$A$10000=$CG24)*('Margin Guidence Table'!$I$1:$I$10000&lt;=ROUND($BY$3,0))*('Margin Guidence Table'!$J$1:$J$10000&gt;=ROUND($BY$3,0)),0),MATCH("DEFAULT_PA_PCT_SALES",'Margin Guidence Table'!$A$1:$AG$1,0))),0)</f>
        <v>0</v>
      </c>
      <c r="CP24" s="1054">
        <f t="array" ref="CP24">IFERROR(IF($CI24="SEGMENT",INDEX('Margin Guidence Table'!$A$1:$AG$10000,MATCH(1,('Margin Guidence Table'!$A$1:$A$10000=$CG24)*('Margin Guidence Table'!$I$1:$I$10000&lt;=ROUND($BY$3,0))*('Margin Guidence Table'!$J$1:$J$10000&gt;=ROUND($BY$3,0)),0),MATCH("SELF_FUND_PCT_SALES",'Margin Guidence Table'!$A$1:$AG$1,0)),INDEX('Margin Guidence Table'!$A$1:$AG$10000,MATCH(1,('Margin Guidence Table'!$A$1:$A$10000=$CG24)*('Margin Guidence Table'!$I$1:$I$10000&lt;=ROUND($BY$3,0))*('Margin Guidence Table'!$J$1:$J$10000&gt;=ROUND($BY$3,0)),0),MATCH("DEFAULT_SELF_FUND_PCT_SALES",'Margin Guidence Table'!$A$1:$AG$1,0))),0)</f>
        <v>0</v>
      </c>
      <c r="CQ24" s="1054">
        <f t="array" ref="CQ24">IFERROR(IF($CI24="SEGMENT",INDEX('Margin Guidence Table'!$A$1:$AG$10000,MATCH(1,('Margin Guidence Table'!$A$1:$A$10000=$CG24)*('Margin Guidence Table'!$I$1:$I$10000&lt;=ROUND($BY$3,0))*('Margin Guidence Table'!$J$1:$J$10000&gt;=ROUND($BY$3,0)),0),MATCH("CIA_MEDIAN_MARGIN_GUIDENCE",'Margin Guidence Table'!$A$1:$AG$1,0)),INDEX('Margin Guidence Table'!$A$1:$AG$10000,MATCH(1,('Margin Guidence Table'!$A$1:$A$10000=$CG24)*('Margin Guidence Table'!$I$1:$I$10000&lt;=ROUND($BY$3,0))*('Margin Guidence Table'!$J$1:$J$10000&gt;=ROUND($BY$3,0)),0),MATCH("DEFAULT_CIA_MEDIAN_MARGIN_GUIDENCE",'Margin Guidence Table'!$A$1:$AG$1,0))),0)</f>
        <v>0</v>
      </c>
      <c r="CR24" s="127"/>
      <c r="CS24" s="18">
        <f t="array" ref="CS24">IFERROR(IF($DF24="SEGMENT",INDEX('Margin Guidence Table'!$A$1:$AG$10000,MATCH(1,('Margin Guidence Table'!$A$1:$A$10000=$DD24)*('Margin Guidence Table'!$I$1:$I$10000&lt;=ROUND($CV$3,0))*('Margin Guidence Table'!$J$1:$J$10000&gt;=ROUND($CV$3,0)),0),MATCH("PCT_SALES",'Margin Guidence Table'!$A$1:$AG$1,0)),INDEX('Margin Guidence Table'!$A$1:$AG$10000,MATCH(1,('Margin Guidence Table'!$A$1:$A$10000=$DD24)*('Margin Guidence Table'!$I$1:$I$10000&lt;=ROUND($CV$3,0))*('Margin Guidence Table'!$J$1:$J$10000&gt;=ROUND($CV$3,0)),0),MATCH("DEFAULT_PCT_SALES",'Margin Guidence Table'!$A$1:$AG$1,0))),0)</f>
        <v>0</v>
      </c>
      <c r="CT24" s="370" t="e">
        <f t="shared" si="30"/>
        <v>#DIV/0!</v>
      </c>
      <c r="CU24" s="100" t="s">
        <v>97</v>
      </c>
      <c r="CV24" s="92">
        <f>IFERROR(IF(AND($CV$2&lt;&gt;"Enter Spend&gt;&gt;&gt;",CW12="EXISTING"),SUMIFS('Existing Customers'!$Q:$Q,'Existing Customers'!$A:$A,$CV$1,'Existing Customers'!$H:$H,$CU24)*$CV$4,$CV$3*$CT24),0)</f>
        <v>0</v>
      </c>
      <c r="CW24" s="87">
        <f>IFERROR(IF(AND($CV$2&lt;&gt;"Enter Spend&gt;&gt;&gt;",CW2="EXISTING"),SUMIFS('Existing Customers'!$N:$N,'Existing Customers'!$A:$A,$CV$1,'Existing Customers'!$H:$H,$CU24)*$CV$4,$CV24/$DG24),0)</f>
        <v>0</v>
      </c>
      <c r="CX24" s="93">
        <f>IFERROR(IF(AND($CV$2&lt;&gt;"Enter Spend&gt;&gt;&gt;",BC28="EXISTING"),SUMIFS('Existing Customers'!$O:$O,'Existing Customers'!$H:$H,$CU24,'Existing Customers'!$A:$A,$CV$1)*$CV$4,$CW24*$CV$8),0)</f>
        <v>0</v>
      </c>
      <c r="CY24" s="93">
        <f>IFERROR(IF(AND($CV$2&lt;&gt;"Enter Spend&gt;&gt;&gt;",CW2="EXISTING"),SUMIFS('Existing Customers'!$P:$P,'Existing Customers'!$A:$A,$CV$1,'Existing Customers'!$H:$H,$CU24)*$CV$4,$CV24/$DH24),0)</f>
        <v>0</v>
      </c>
      <c r="CZ24" s="94">
        <f>IFERROR(IF(AND($CV$2&lt;&gt;"Enter Spend&gt;&gt;&gt;",CW2="EXISTING"),SUMIFS('Existing Customers'!$V:$V,'Existing Customers'!$H:$H,$CU24,'Existing Customers'!$A:$A,$CV$1)*$CV$4,0),0)</f>
        <v>0</v>
      </c>
      <c r="DA24" s="94">
        <f>IFERROR(IF(AND($CV$2&lt;&gt;"Enter Spend&gt;&gt;&gt;",CW2="EXISTING"),SUMIFS('Existing Customers'!$R:$R,'Existing Customers'!$H:$H,$BA24,'Existing Customers'!$A:$A,$CV$1)*$CV$4,0),0)</f>
        <v>0</v>
      </c>
      <c r="DB24" s="1050">
        <f>IFERROR(IF(AND($CV$2&lt;&gt;"Enter Spend&gt;&gt;&gt;",CW2="EXISTING"),SUMIFS('Existing Customers'!$S:$S,'Existing Customers'!$H:$H,$CU24,'Existing Customers'!$A:$A,$CV$1),DL24*CV24),0)</f>
        <v>0</v>
      </c>
      <c r="DC24" s="1050">
        <f>IFERROR(IF(AND($CV$2&lt;&gt;"Enter Spend&gt;&gt;&gt;",CW2="EXISTING"),SUMIFS('Existing Customers'!$U:$U,'Existing Customers'!$H:$H,$CU24,'Existing Customers'!$A:$A,$CV$1),DM24*CV24),0)</f>
        <v>0</v>
      </c>
      <c r="DD24" s="1053" t="e">
        <f>_xlfn.CONCAT('Customer Inputs'!$AG$8,"_",CU24)</f>
        <v>#N/A</v>
      </c>
      <c r="DE24" s="1053">
        <f t="array" ref="DE24">IFERROR(INDEX('Margin Guidence Table'!$A$1:$AG$10000,MATCH(1,('Margin Guidence Table'!$A$1:$A$10000=DD24)*('Margin Guidence Table'!$I$1:$I$10000&lt;=ROUND($CV$3,0))*('Margin Guidence Table'!$J$1:$J$10000&gt;=ROUND($CV$3,0)),0),MATCH("DATA_POINTS",'Margin Guidence Table'!$A$1:$AG$1,0)),0)</f>
        <v>0</v>
      </c>
      <c r="DF24" s="1050" t="str">
        <f t="shared" si="31"/>
        <v>DEFAULT</v>
      </c>
      <c r="DG24" s="1050">
        <f t="array" ref="DG24">IFERROR(IF($DF24="SEGMENT",INDEX('Margin Guidence Table'!$A$1:$AG$10000,MATCH(1,('Margin Guidence Table'!$A$1:$A$10000=DD24)*('Margin Guidence Table'!$I$1:$I$10000&lt;=ROUND($CV$3,0))*('Margin Guidence Table'!$J$1:$J$10000&gt;=ROUND($CV$3,0)),0),MATCH("SALES_CASE",'Margin Guidence Table'!$A$1:$AG$1,0)),INDEX('Margin Guidence Table'!$A$1:$AG$10000,MATCH(1,('Margin Guidence Table'!$A$1:$A$10000=DD24)*('Margin Guidence Table'!$I$1:$I$10000&lt;=ROUND($CV$3,0))*('Margin Guidence Table'!$J$1:$J$10000&gt;=ROUND($CV$3,0)),0),MATCH("DEFAULT_SALES_CASE",'Margin Guidence Table'!$A$1:$AG$1,0))),0)</f>
        <v>0</v>
      </c>
      <c r="DH24" s="1050">
        <f t="array" ref="DH24">IFERROR(IF($DF24="SEGMENT",INDEX('Margin Guidence Table'!$A$1:$AG$10000,MATCH(1,('Margin Guidence Table'!$A$1:$A$10000=DD24)*('Margin Guidence Table'!$I$1:$I$10000&lt;=ROUND($CV$3,0))*('Margin Guidence Table'!$J$1:$J$10000&gt;=ROUND($CV$3,0)),0),MATCH("SALES_LBS",'Margin Guidence Table'!$A$1:$AG$1,0)),INDEX('Margin Guidence Table'!$A$1:$AG$10000,MATCH(1,('Margin Guidence Table'!$A$1:$A$10000=DD24)*('Margin Guidence Table'!$I$1:$I$10000&lt;=ROUND($CV$3,0))*('Margin Guidence Table'!$J$1:$J$10000&gt;=ROUND($CV$3,0)),0),MATCH("DEFAULT_SALES_LBS",'Margin Guidence Table'!$A$1:$AG$1,0))),0)</f>
        <v>0</v>
      </c>
      <c r="DI24" s="1054">
        <f t="array" ref="DI24">IFERROR(IF($DF24="SEGMENT",INDEX('Margin Guidence Table'!$A$1:$AG$10000,MATCH(1,('Margin Guidence Table'!$A$1:$A$10000=DD24)*('Margin Guidence Table'!$I$1:$I$10000&lt;=ROUND($CV$3,0))*('Margin Guidence Table'!$J$1:$J$10000&gt;=ROUND($CV$3,0)),0),MATCH("MDA_MIN_MARGIN_GUIDENCE",'Margin Guidence Table'!$A$1:$AG$1,0)),INDEX('Margin Guidence Table'!$A$1:$AG$10000,MATCH(1,('Margin Guidence Table'!$A$1:$A$10000=DD24)*('Margin Guidence Table'!$I$1:$I$10000&lt;=ROUND($CV$3,0))*('Margin Guidence Table'!$J$1:$J$10000&gt;=ROUND($CV$3,0)),0),MATCH("DEFAULT_MDA_MIN_MARGIN_GUIDENCE",'Margin Guidence Table'!$A$1:$AG$1,0))),0)</f>
        <v>0</v>
      </c>
      <c r="DJ24" s="1054">
        <f t="array" ref="DJ24">IFERROR(IF($DF24="SEGMENT",INDEX('Margin Guidence Table'!$A$1:$AG$10000,MATCH(1,('Margin Guidence Table'!$A$1:$A$10000=DD24)*('Margin Guidence Table'!$I$1:$I$10000&lt;=ROUND($CV$3,0))*('Margin Guidence Table'!$J$1:$J$10000&gt;=ROUND($CV$3,0)),0),MATCH("MDA_MEDIAN_MARGIN_GUIDENCE",'Margin Guidence Table'!$A$1:$AG$1,0)),INDEX('Margin Guidence Table'!$A$1:$AG$10000,MATCH(1,('Margin Guidence Table'!$A$1:$A$10000=DD24)*('Margin Guidence Table'!$I$1:$I$10000&lt;=ROUND($CV$3,0))*('Margin Guidence Table'!$J$1:$J$10000&gt;=ROUND($CV$3,0)),0),MATCH("DEFAULT_MDA_MEDIAN_MARGIN_GUIDENCE",'Margin Guidence Table'!$A$1:$AG$1,0))),0)</f>
        <v>0</v>
      </c>
      <c r="DK24" s="1054">
        <f t="array" ref="DK24">IFERROR(IF($DF24="SEGMENT",INDEX('Margin Guidence Table'!$A$1:$AG$10000,MATCH(1,('Margin Guidence Table'!$A$1:$A$10000=DD24)*('Margin Guidence Table'!$I$1:$I$10000&lt;=ROUND($CV$3,0))*('Margin Guidence Table'!$J$1:$J$10000&gt;=ROUND($CV$3,0)),0),MATCH("MDA_MAX_MARGIN_GUIDENCE",'Margin Guidence Table'!$A$1:$AG$1,0)),INDEX('Margin Guidence Table'!$A$1:$AG$10000,MATCH(1,('Margin Guidence Table'!$A$1:$A$10000=DD24)*('Margin Guidence Table'!$I$1:$I$10000&lt;=ROUND($CV$3,0))*('Margin Guidence Table'!$J$1:$J$10000&gt;=ROUND($CV$3,0)),0),MATCH("DEFAULT_MDA_MAX_MARGIN_GUIDENCE",'Margin Guidence Table'!$A$1:$AG$1,0))),0)</f>
        <v>0</v>
      </c>
      <c r="DL24" s="1054">
        <f t="array" ref="DL24">IFERROR(IF($DF24="SEGMENT",INDEX('Margin Guidence Table'!$A$1:$AG$10000,MATCH(1,('Margin Guidence Table'!$A$1:$A$10000=DD24)*('Margin Guidence Table'!$I$1:$I$10000&lt;=ROUND($CV$3,0))*('Margin Guidence Table'!$J$1:$J$10000&gt;=ROUND($CV$3,0)),0),MATCH("PA_PCT_SALES",'Margin Guidence Table'!$A$1:$AG$1,0)),INDEX('Margin Guidence Table'!$A$1:$AG$10000,MATCH(1,('Margin Guidence Table'!$A$1:$A$10000=DD24)*('Margin Guidence Table'!$I$1:$I$10000&lt;=ROUND($CV$3,0))*('Margin Guidence Table'!$J$1:$J$10000&gt;=ROUND($CV$3,0)),0),MATCH("DEFAULT_PA_PCT_SALES",'Margin Guidence Table'!$A$1:$AG$1,0))),0)</f>
        <v>0</v>
      </c>
      <c r="DM24" s="1054">
        <f t="array" ref="DM24">IFERROR(IF($DF24="SEGMENT",INDEX('Margin Guidence Table'!$A$1:$AG$10000,MATCH(1,('Margin Guidence Table'!$A$1:$A$10000=DD24)*('Margin Guidence Table'!$I$1:$I$10000&lt;=ROUND($CV$3,0))*('Margin Guidence Table'!$J$1:$J$10000&gt;=ROUND($CV$3,0)),0),MATCH("SELF_FUND_PCT_SALES",'Margin Guidence Table'!$A$1:$AG$1,0)),INDEX('Margin Guidence Table'!$A$1:$AG$10000,MATCH(1,('Margin Guidence Table'!$A$1:$A$10000=DD24)*('Margin Guidence Table'!$I$1:$I$10000&lt;=ROUND($CV$3,0))*('Margin Guidence Table'!$J$1:$J$10000&gt;=ROUND($CV$3,0)),0),MATCH("DEFAULT_SELF_FUND_PCT_SALES",'Margin Guidence Table'!$A$1:$AG$1,0))),0)</f>
        <v>0</v>
      </c>
      <c r="DN24" s="1054">
        <f t="array" ref="DN24">IFERROR(IF($DF24="SEGMENT",INDEX('Margin Guidence Table'!$A$1:$AG$10000,MATCH(1,('Margin Guidence Table'!$A$1:$A$10000=DD24)*('Margin Guidence Table'!$I$1:$I$10000&lt;=ROUND($CV$3,0))*('Margin Guidence Table'!$J$1:$J$10000&gt;=ROUND($CV$3,0)),0),MATCH("CIA_MEDIAN_MARGIN_GUIDENCE",'Margin Guidence Table'!$A$1:$AG$1,0)),INDEX('Margin Guidence Table'!$A$1:$AG$10000,MATCH(1,('Margin Guidence Table'!$A$1:$A$10000=DD24)*('Margin Guidence Table'!$I$1:$I$10000&lt;=ROUND($CV$3,0))*('Margin Guidence Table'!$J$1:$J$10000&gt;=ROUND($CV$3,0)),0),MATCH("DEFAULT_CIA_MEDIAN_MARGIN_GUIDENCE",'Margin Guidence Table'!$A$1:$AG$1,0))),0)</f>
        <v>0</v>
      </c>
      <c r="DO24" s="127"/>
      <c r="DP24" s="18">
        <f t="array" ref="DP24">IFERROR(IF($EC24="SEGMENT",INDEX('Margin Guidence Table'!$A$1:$AG$10000,MATCH(1,('Margin Guidence Table'!$A$1:$A$10000=$EA24)*('Margin Guidence Table'!$I$1:$I$10000&lt;=ROUND($DS$3,0))*('Margin Guidence Table'!$J$1:$J$10000&gt;=ROUND($DS$3,0)),0),MATCH("PCT_SALES",'Margin Guidence Table'!$A$1:$AG$1,0)),INDEX('Margin Guidence Table'!$A$1:$AG$10000,MATCH(1,('Margin Guidence Table'!$A$1:$A$10000=$EA24)*('Margin Guidence Table'!$I$1:$I$10000&lt;=ROUND($DS$3,0))*('Margin Guidence Table'!$J$1:$J$10000&gt;=ROUND($DS$3,0)),0),MATCH("DEFAULT_PCT_SALES",'Margin Guidence Table'!$A$1:$AG$1,0))),0)</f>
        <v>0</v>
      </c>
      <c r="DQ24" s="370" t="e">
        <f t="shared" si="32"/>
        <v>#DIV/0!</v>
      </c>
      <c r="DR24" s="100" t="s">
        <v>97</v>
      </c>
      <c r="DS24" s="92">
        <f>IFERROR(IF(AND($DS$2&lt;&gt;"Enter Spend&gt;&gt;&gt;",DT12="EXISTING"),SUMIFS('Existing Customers'!$Q:$Q,'Existing Customers'!$A:$A,$DS$1,'Existing Customers'!$H:$H,$DR24)*$DS$4,$DS$3*$DQ24),0)</f>
        <v>0</v>
      </c>
      <c r="DT24" s="87">
        <f>IFERROR(IF(AND($DS$2&lt;&gt;"Enter Spend&gt;&gt;&gt;",DT2="EXISTING"),SUMIFS('Existing Customers'!$N:$N,'Existing Customers'!$A:$A,$DS$1,'Existing Customers'!$H:$H,$DR24)*$DS$4,$DS24/$ED24),0)</f>
        <v>0</v>
      </c>
      <c r="DU24" s="93">
        <f>IFERROR(IF(AND($DS$2&lt;&gt;"Enter Spend&gt;&gt;&gt;",DT2="EXISTING"),SUMIFS('Existing Customers'!$O:$O,'Existing Customers'!$H:$H,$DR24,'Existing Customers'!$A:$A,$DS$1)*$DS$4,$DT24*$DS$8),0)</f>
        <v>0</v>
      </c>
      <c r="DV24" s="93">
        <f>IFERROR(IF(AND($DS$2&lt;&gt;"Enter Spend&gt;&gt;&gt;",DT2="EXISTING"),SUMIFS('Existing Customers'!$P:$P,'Existing Customers'!$A:$A,$DS$1,'Existing Customers'!$H:$H,$DR24)*$DS$4,$DS24/$EE24),0)</f>
        <v>0</v>
      </c>
      <c r="DW24" s="94">
        <f>IFERROR(IF(AND($DS$2&lt;&gt;"Enter Spend&gt;&gt;&gt;",EQ2="EXISTING"),SUMIFS('Existing Customers'!$V:$V,'Existing Customers'!$H:$H,$DR24,'Existing Customers'!$A:$A,$DS$1)*$DS$4,0),0)</f>
        <v>0</v>
      </c>
      <c r="DX24" s="94">
        <f>IFERROR(IF(AND($DS$2&lt;&gt;"Enter Spend&gt;&gt;&gt;",DT2="EXISTING"),SUMIFS('Existing Customers'!$R:$R,'Existing Customers'!$H:$H,$DR24,'Existing Customers'!$A:$A,$DS$1)*$DS$4,0),0)</f>
        <v>0</v>
      </c>
      <c r="DY24" s="1050">
        <f>IFERROR(IF(AND($DS$2&lt;&gt;"Enter Spend&gt;&gt;&gt;",DT2="EXISTING"),SUMIFS('Existing Customers'!$S:$S,'Existing Customers'!$H:$H,$DT24,'Existing Customers'!$A:$A,$DS$1),EI24*DS24),0)</f>
        <v>0</v>
      </c>
      <c r="DZ24" s="1050">
        <f>IFERROR(IF(AND($DS$2&lt;&gt;"Enter Spend&gt;&gt;&gt;",DT2="EXISTING"),SUMIFS('Existing Customers'!$U:$U,'Existing Customers'!$H:$H,$DR24,'Existing Customers'!$A:$A,$DS$1),EJ24*DS24),0)</f>
        <v>0</v>
      </c>
      <c r="EA24" s="1053" t="e">
        <f>_xlfn.CONCAT('Customer Inputs'!$AG$9,"_",DR24)</f>
        <v>#N/A</v>
      </c>
      <c r="EB24" s="1053">
        <f t="array" ref="EB24">IFERROR(INDEX('Margin Guidence Table'!$A$1:$AG$10000,MATCH(1,('Margin Guidence Table'!$A$1:$A$10000=EA24)*('Margin Guidence Table'!$I$1:$I$10000&lt;=ROUND($DS$3,0))*('Margin Guidence Table'!$J$1:$J$10000&gt;=ROUND($DS$3,0)),0),MATCH("DATA_POINTS",'Margin Guidence Table'!$A$1:$AG$1,0)),0)</f>
        <v>0</v>
      </c>
      <c r="EC24" s="1050" t="str">
        <f t="shared" si="33"/>
        <v>DEFAULT</v>
      </c>
      <c r="ED24" s="1050">
        <f t="array" ref="ED24">IFERROR(IF($EC24="SEGMENT",INDEX('Margin Guidence Table'!$A$1:$AG$10000,MATCH(1,('Margin Guidence Table'!$A$1:$A$10000=EA24)*('Margin Guidence Table'!$I$1:$I$10000&lt;=ROUND($DS$3,0))*('Margin Guidence Table'!$J$1:$J$10000&gt;=ROUND($DS$3,0)),0),MATCH("SALES_CASE",'Margin Guidence Table'!$A$1:$AG$1,0)),INDEX('Margin Guidence Table'!$A$1:$AG$10000,MATCH(1,('Margin Guidence Table'!$A$1:$A$10000=EA24)*('Margin Guidence Table'!$I$1:$I$10000&lt;=ROUND($DS$3,0))*('Margin Guidence Table'!$J$1:$J$10000&gt;=ROUND($DS$3,0)),0),MATCH("DEFAULT_SALES_CASE",'Margin Guidence Table'!$A$1:$AG$1,0))),0)</f>
        <v>0</v>
      </c>
      <c r="EE24" s="1050">
        <f t="array" ref="EE24">IFERROR(IF($EC24="SEGMENT",INDEX('Margin Guidence Table'!$A$1:$AG$10000,MATCH(1,('Margin Guidence Table'!$A$1:$A$10000=EA24)*('Margin Guidence Table'!$I$1:$I$10000&lt;=ROUND($DS$3,0))*('Margin Guidence Table'!$J$1:$J$10000&gt;=ROUND($DS$3,0)),0),MATCH("SALES_LBS",'Margin Guidence Table'!$A$1:$AG$1,0)),INDEX('Margin Guidence Table'!$A$1:$AG$10000,MATCH(1,('Margin Guidence Table'!$A$1:$A$10000=EA24)*('Margin Guidence Table'!$I$1:$I$10000&lt;=ROUND($DS$3,0))*('Margin Guidence Table'!$J$1:$J$10000&gt;=ROUND($DS$3,0)),0),MATCH("DEFAULT_SALES_LBS",'Margin Guidence Table'!$A$1:$AG$1,0))),0)</f>
        <v>0</v>
      </c>
      <c r="EF24" s="1054">
        <f t="array" ref="EF24">IFERROR(IF($EC24="SEGMENT",INDEX('Margin Guidence Table'!$A$1:$AG$10000,MATCH(1,('Margin Guidence Table'!$A$1:$A$10000=EA24)*('Margin Guidence Table'!$I$1:$I$10000&lt;=ROUND($DS$3,0))*('Margin Guidence Table'!$J$1:$J$10000&gt;=ROUND($DS$3,0)),0),MATCH("MDA_MIN_MARGIN_GUIDENCE",'Margin Guidence Table'!$A$1:$AG$1,0)),INDEX('Margin Guidence Table'!$A$1:$AG$10000,MATCH(1,('Margin Guidence Table'!$A$1:$A$10000=EA24)*('Margin Guidence Table'!$I$1:$I$10000&lt;=ROUND($DS$3,0))*('Margin Guidence Table'!$J$1:$J$10000&gt;=ROUND($DS$3,0)),0),MATCH("DEFAULT_MDA_MIN_MARGIN_GUIDENCE",'Margin Guidence Table'!$A$1:$AG$1,0))),0)</f>
        <v>0</v>
      </c>
      <c r="EG24" s="1054">
        <f t="array" ref="EG24">IFERROR(IF($EC24="SEGMENT",INDEX('Margin Guidence Table'!$A$1:$AG$10000,MATCH(1,('Margin Guidence Table'!$A$1:$A$10000=EA24)*('Margin Guidence Table'!$I$1:$I$10000&lt;=ROUND($DS$3,0))*('Margin Guidence Table'!$J$1:$J$10000&gt;=ROUND($DS$3,0)),0),MATCH("MDA_MEDIAN_MARGIN_GUIDENCE",'Margin Guidence Table'!$A$1:$AG$1,0)),INDEX('Margin Guidence Table'!$A$1:$AG$10000,MATCH(1,('Margin Guidence Table'!$A$1:$A$10000=EA24)*('Margin Guidence Table'!$I$1:$I$10000&lt;=ROUND($DS$3,0))*('Margin Guidence Table'!$J$1:$J$10000&gt;=ROUND($DS$3,0)),0),MATCH("DEFAULT_MDA_MEDIAN_MARGIN_GUIDENCE",'Margin Guidence Table'!$A$1:$AG$1,0))),0)</f>
        <v>0</v>
      </c>
      <c r="EH24" s="1054">
        <f t="array" ref="EH24">IFERROR(IF($EC24="SEGMENT",INDEX('Margin Guidence Table'!$A$1:$AG$10000,MATCH(1,('Margin Guidence Table'!$A$1:$A$10000=EA24)*('Margin Guidence Table'!$I$1:$I$10000&lt;=ROUND($DS$3,0))*('Margin Guidence Table'!$J$1:$J$10000&gt;=ROUND($DS$3,0)),0),MATCH("MDA_MAX_MARGIN_GUIDENCE",'Margin Guidence Table'!$A$1:$AG$1,0)),INDEX('Margin Guidence Table'!$A$1:$AG$10000,MATCH(1,('Margin Guidence Table'!$A$1:$A$10000=EA24)*('Margin Guidence Table'!$I$1:$I$10000&lt;=ROUND($DS$3,0))*('Margin Guidence Table'!$J$1:$J$10000&gt;=ROUND($DS$3,0)),0),MATCH("DEFAULT_MDA_MAX_MARGIN_GUIDENCE",'Margin Guidence Table'!$A$1:$AG$1,0))),0)</f>
        <v>0</v>
      </c>
      <c r="EI24" s="1054">
        <f t="array" ref="EI24">IFERROR(IF($EC24="SEGMENT",INDEX('Margin Guidence Table'!$A$1:$AG$10000,MATCH(1,('Margin Guidence Table'!$A$1:$A$10000=EA24)*('Margin Guidence Table'!$I$1:$I$10000&lt;=ROUND($DS$3,0))*('Margin Guidence Table'!$J$1:$J$10000&gt;=ROUND($DS$3,0)),0),MATCH("PA_PCT_SALES",'Margin Guidence Table'!$A$1:$AG$1,0)),INDEX('Margin Guidence Table'!$A$1:$AG$10000,MATCH(1,('Margin Guidence Table'!$A$1:$A$10000=EA24)*('Margin Guidence Table'!$I$1:$I$10000&lt;=ROUND($DS$3,0))*('Margin Guidence Table'!$J$1:$J$10000&gt;=ROUND($DS$3,0)),0),MATCH("DEFAULT_PA_PCT_SALES",'Margin Guidence Table'!$A$1:$AG$1,0))),0)</f>
        <v>0</v>
      </c>
      <c r="EJ24" s="1054">
        <f t="array" ref="EJ24">IFERROR(IF($EC24="SEGMENT",INDEX('Margin Guidence Table'!$A$1:$AG$10000,MATCH(1,('Margin Guidence Table'!$A$1:$A$10000=EA24)*('Margin Guidence Table'!$I$1:$I$10000&lt;=ROUND($DS$3,0))*('Margin Guidence Table'!$J$1:$J$10000&gt;=ROUND($DS$3,0)),0),MATCH("SELF_FUND_PCT_SALES",'Margin Guidence Table'!$A$1:$AG$1,0)),INDEX('Margin Guidence Table'!$A$1:$AG$10000,MATCH(1,('Margin Guidence Table'!$A$1:$A$10000=EA24)*('Margin Guidence Table'!$I$1:$I$10000&lt;=ROUND($DS$3,0))*('Margin Guidence Table'!$J$1:$J$10000&gt;=ROUND($DS$3,0)),0),MATCH("DEFAULT_SELF_FUND_PCT_SALES",'Margin Guidence Table'!$A$1:$AG$1,0))),0)</f>
        <v>0</v>
      </c>
      <c r="EK24" s="1054">
        <f t="array" ref="EK24">IFERROR(IF($EC24="SEGMENT",INDEX('Margin Guidence Table'!$A$1:$AG$10000,MATCH(1,('Margin Guidence Table'!$A$1:$A$10000=EA24)*('Margin Guidence Table'!$I$1:$I$10000&lt;=ROUND($DS$3,0))*('Margin Guidence Table'!$J$1:$J$10000&gt;=ROUND($DS$3,0)),0),MATCH("CIA_MEDIAN_MARGIN_GUIDENCE",'Margin Guidence Table'!$A$1:$AG$1,0)),INDEX('Margin Guidence Table'!$A$1:$AG$10000,MATCH(1,('Margin Guidence Table'!$A$1:$A$10000=EA24)*('Margin Guidence Table'!$I$1:$I$10000&lt;=ROUND($DS$3,0))*('Margin Guidence Table'!$J$1:$J$10000&gt;=ROUND($DS$3,0)),0),MATCH("DEFAULT_CIA_MEDIAN_MARGIN_GUIDENCE",'Margin Guidence Table'!$A$1:$AG$1,0))),0)</f>
        <v>0</v>
      </c>
      <c r="EL24" s="127"/>
      <c r="EM24" s="18">
        <f t="array" ref="EM24">IFERROR(IF($EZ24="SEGMENT",INDEX('Margin Guidence Table'!$A$1:$AG$10000,MATCH(1,('Margin Guidence Table'!$A$1:$A$10000=$EX24)*('Margin Guidence Table'!$I$1:$I$10000&lt;=ROUND($EP$3,0))*('Margin Guidence Table'!$J$1:$J$10000&gt;=ROUND($EP$3,0)),0),MATCH("PCT_SALES",'Margin Guidence Table'!$A$1:$AG$1,0)),INDEX('Margin Guidence Table'!$A$1:$AG$10000,MATCH(1,('Margin Guidence Table'!$A$1:$A$10000=$EX24)*('Margin Guidence Table'!$I$1:$I$10000&lt;=ROUND($EP$3,0))*('Margin Guidence Table'!$J$1:$J$10000&gt;=ROUND($EP$3,0)),0),MATCH("DEFAULT_PCT_SALES",'Margin Guidence Table'!$A$1:$AG$1,0))),0)</f>
        <v>0</v>
      </c>
      <c r="EN24" s="370" t="e">
        <f t="shared" si="34"/>
        <v>#DIV/0!</v>
      </c>
      <c r="EO24" s="100" t="s">
        <v>97</v>
      </c>
      <c r="EP24" s="92">
        <f>IFERROR(IF(AND($EP$2&lt;&gt;"Enter Spend&gt;&gt;&gt;",EQ12="EXISTING"),SUMIFS('Existing Customers'!$Q:$Q,'Existing Customers'!$A:$A,$EP$1,'Existing Customers'!$H:$H,$EO24)*$EP$4,$EP$3*$EN24),0)</f>
        <v>0</v>
      </c>
      <c r="EQ24" s="87">
        <f>IFERROR(IF(AND($EP$2&lt;&gt;"Enter Spend&gt;&gt;&gt;",EQ2="EXISTING"),SUMIFS('Existing Customers'!$N:$N,'Existing Customers'!$A:$A,$EP$1,'Existing Customers'!$H:$H,$EO24)*$EP$4,$EP24/$FA24),0)</f>
        <v>0</v>
      </c>
      <c r="ER24" s="93">
        <f>IFERROR(IF(AND($EP$2&lt;&gt;"Enter Spend&gt;&gt;&gt;",EQ2="EXISTING"),SUMIFS('Existing Customers'!$O:$O,'Existing Customers'!$H:$H,$EO24,'Existing Customers'!$A:$A,$EP$1)*$EP$4,$EQ24*$EP$8),0)</f>
        <v>0</v>
      </c>
      <c r="ES24" s="93">
        <f>IFERROR(IF(AND($EP$2&lt;&gt;"Enter Spend&gt;&gt;&gt;",EQ2="EXISTING"),SUMIFS('Existing Customers'!$P:$P,'Existing Customers'!$A:$A,$EP$1,'Existing Customers'!$H:$H,$EO24)*$EP$4,$EP24/$FB24),0)</f>
        <v>0</v>
      </c>
      <c r="ET24" s="94">
        <f>IFERROR(IF(AND($EP$2&lt;&gt;"Enter Spend&gt;&gt;&gt;",EQ2="EXISTING"),SUMIFS('Existing Customers'!$V:$V,'Existing Customers'!$H:$H,$EO24,'Existing Customers'!$A:$A,$EP$1)*$EP$4,0),0)</f>
        <v>0</v>
      </c>
      <c r="EU24" s="94">
        <f>IFERROR(IF(AND($EP$2&lt;&gt;"Enter Spend&gt;&gt;&gt;",EQ2="EXISTING"),SUMIFS('Existing Customers'!$R:$R,'Existing Customers'!$H:$H,$EO24,'Existing Customers'!$A:$A,$EP$1)*$EP$4,0),0)</f>
        <v>0</v>
      </c>
      <c r="EV24" s="1050">
        <f>IFERROR(IF(AND($EP$2&lt;&gt;"Enter Spend&gt;&gt;&gt;",EQ2="EXISTING"),SUMIFS('Existing Customers'!$S:$S,'Existing Customers'!$H:$H,$EO24,'Existing Customers'!$A:$A,$EP$1),FF24*EP24),0)</f>
        <v>0</v>
      </c>
      <c r="EW24" s="1050">
        <f>IFERROR(IF(AND($EP$2&lt;&gt;"Enter Spend&gt;&gt;&gt;",EQ2="EXISTING"),SUMIFS('Existing Customers'!$U:$U,'Existing Customers'!$H:$H,$EO24,'Existing Customers'!$A:$A,$EP$1),FG24*EP24),0)</f>
        <v>0</v>
      </c>
      <c r="EX24" s="1053" t="e">
        <f>_xlfn.CONCAT('Customer Inputs'!$AG$10,"_",EO24)</f>
        <v>#N/A</v>
      </c>
      <c r="EY24" s="1053">
        <f t="array" ref="EY24">IFERROR(INDEX('Margin Guidence Table'!$A$1:$AG$10000,MATCH(1,('Margin Guidence Table'!$A$1:$A$10000=EX24)*('Margin Guidence Table'!$I$1:$I$10000&lt;=ROUND($EP$3,0))*('Margin Guidence Table'!$J$1:$J$10000&gt;=ROUND($EP$3,0)),0),MATCH("DATA_POINTS",'Margin Guidence Table'!$A$1:$AG$1,0)),0)</f>
        <v>0</v>
      </c>
      <c r="EZ24" s="1050" t="str">
        <f t="shared" si="35"/>
        <v>DEFAULT</v>
      </c>
      <c r="FA24" s="1050">
        <f t="array" ref="FA24">IFERROR(IF($EZ24="SEGMENT",INDEX('Margin Guidence Table'!$A$1:$AG$10000,MATCH(1,('Margin Guidence Table'!$A$1:$A$10000=EX24)*('Margin Guidence Table'!$I$1:$I$10000&lt;=ROUND($EP$3,0))*('Margin Guidence Table'!$J$1:$J$10000&gt;=ROUND($EP$3,0)),0),MATCH("SALES_CASE",'Margin Guidence Table'!$A$1:$AG$1,0)),INDEX('Margin Guidence Table'!$A$1:$AG$10000,MATCH(1,('Margin Guidence Table'!$A$1:$A$10000=EX24)*('Margin Guidence Table'!$I$1:$I$10000&lt;=ROUND($EP$3,0))*('Margin Guidence Table'!$J$1:$J$10000&gt;=ROUND($EP$3,0)),0),MATCH("DEFAULT_SALES_CASE",'Margin Guidence Table'!$A$1:$AG$1,0))),0)</f>
        <v>0</v>
      </c>
      <c r="FB24" s="1050" cm="1">
        <f t="array" ref="FB24">IFERROR(IF($EZ24="SEGMENT",INDEX('Margin Guidence Table'!$A$1:$AG$10000,MATCH(1,('Margin Guidence Table'!$A$1:$A$10000=EX24)*('Margin Guidence Table'!$I$1:$I$10000&lt;=ROUND($EP$3,0))*('Margin Guidence Table'!$J$1:$J$10000&gt;=ROUND($EP$3,0)),0),MATCH("SALES_LBS",'Margin Guidence Table'!$A$1:$AG$1,0)),INDEX('Margin Guidence Table'!$A$1:$AG$10000,MATCH(1,('Margin Guidence Table'!$A$1:$A$10000=EX24)*('Margin Guidence Table'!$I$1:$I$10000&lt;=ROUND($EP$3,0))*('Margin Guidence Table'!$J$1:$J$10000&gt;=ROUND($EP$3,0)),0),MATCH("DEFAULT_SALES_LBS",'Margin Guidence Table'!$A$1:$AG$1,0))),0)</f>
        <v>0</v>
      </c>
      <c r="FC24" s="1054">
        <f t="array" ref="FC24">IFERROR(IF($EZ24="SEGMENT",INDEX('Margin Guidence Table'!$A$1:$AG$10000,MATCH(1,('Margin Guidence Table'!$A$1:$A$10000=EX24)*('Margin Guidence Table'!$I$1:$I$10000&lt;=ROUND($EP$3,0))*('Margin Guidence Table'!$J$1:$J$10000&gt;=ROUND($EP$3,0)),0),MATCH("MDA_MIN_MARGIN_GUIDENCE",'Margin Guidence Table'!$A$1:$AG$1,0)),INDEX('Margin Guidence Table'!$A$1:$AG$10000,MATCH(1,('Margin Guidence Table'!$A$1:$A$10000=EX24)*('Margin Guidence Table'!$I$1:$I$10000&lt;=ROUND($EP$3,0))*('Margin Guidence Table'!$J$1:$J$10000&gt;=ROUND($EP$3,0)),0),MATCH("DEFAULT_MDA_MIN_MARGIN_GUIDENCE",'Margin Guidence Table'!$A$1:$AG$1,0))),0)</f>
        <v>0</v>
      </c>
      <c r="FD24" s="1054">
        <f t="array" ref="FD24">IFERROR(IF($EZ24="SEGMENT",INDEX('Margin Guidence Table'!$A$1:$AG$10000,MATCH(1,('Margin Guidence Table'!$A$1:$A$10000=EX24)*('Margin Guidence Table'!$I$1:$I$10000&lt;=ROUND($EP$3,0))*('Margin Guidence Table'!$J$1:$J$10000&gt;=ROUND($EP$3,0)),0),MATCH("MDA_MEDIAN_MARGIN_GUIDENCE",'Margin Guidence Table'!$A$1:$AG$1,0)),INDEX('Margin Guidence Table'!$A$1:$AG$10000,MATCH(1,('Margin Guidence Table'!$A$1:$A$10000=EX24)*('Margin Guidence Table'!$I$1:$I$10000&lt;=ROUND($EP$3,0))*('Margin Guidence Table'!$J$1:$J$10000&gt;=ROUND($EP$3,0)),0),MATCH("DEFAULT_MDA_MEDIAN_MARGIN_GUIDENCE",'Margin Guidence Table'!$A$1:$AG$1,0))),0)</f>
        <v>0</v>
      </c>
      <c r="FE24" s="1054">
        <f t="array" ref="FE24">IFERROR(IF($EZ24="SEGMENT",INDEX('Margin Guidence Table'!$A$1:$AG$10000,MATCH(1,('Margin Guidence Table'!$A$1:$A$10000=EX24)*('Margin Guidence Table'!$I$1:$I$10000&lt;=ROUND($EP$3,0))*('Margin Guidence Table'!$J$1:$J$10000&gt;=ROUND($EP$3,0)),0),MATCH("MDA_MAX_MARGIN_GUIDENCE",'Margin Guidence Table'!$A$1:$AG$1,0)),INDEX('Margin Guidence Table'!$A$1:$AG$10000,MATCH(1,('Margin Guidence Table'!$A$1:$A$10000=EX24)*('Margin Guidence Table'!$I$1:$I$10000&lt;=ROUND($EP$3,0))*('Margin Guidence Table'!$J$1:$J$10000&gt;=ROUND($EP$3,0)),0),MATCH("DEFAULT_MDA_MAX_MARGIN_GUIDENCE",'Margin Guidence Table'!$A$1:$AG$1,0))),0)</f>
        <v>0</v>
      </c>
      <c r="FF24" s="1054">
        <f t="array" ref="FF24">IFERROR(IF($EZ24="SEGMENT",INDEX('Margin Guidence Table'!$A$1:$AG$10000,MATCH(1,('Margin Guidence Table'!$A$1:$A$10000=EX24)*('Margin Guidence Table'!$I$1:$I$10000&lt;=ROUND($EP$3,0))*('Margin Guidence Table'!$J$1:$J$10000&gt;=ROUND($EP$3,0)),0),MATCH("PA_PCT_SALES",'Margin Guidence Table'!$A$1:$AG$1,0)),INDEX('Margin Guidence Table'!$A$1:$AG$10000,MATCH(1,('Margin Guidence Table'!$A$1:$A$10000=EX24)*('Margin Guidence Table'!$I$1:$I$10000&lt;=ROUND($EP$3,0))*('Margin Guidence Table'!$J$1:$J$10000&gt;=ROUND($EP$3,0)),0),MATCH("DEFAULT_PA_PCT_SALES",'Margin Guidence Table'!$A$1:$AG$1,0))),0)</f>
        <v>0</v>
      </c>
      <c r="FG24" s="1054">
        <f t="array" ref="FG24">IFERROR(IF($EZ24="SEGMENT",INDEX('Margin Guidence Table'!$A$1:$AG$10000,MATCH(1,('Margin Guidence Table'!$A$1:$A$10000=EX24)*('Margin Guidence Table'!$I$1:$I$10000&lt;=ROUND($EP$3,0))*('Margin Guidence Table'!$J$1:$J$10000&gt;=ROUND($EP$3,0)),0),MATCH("SELF_FUND_PCT_SALES",'Margin Guidence Table'!$A$1:$AG$1,0)),INDEX('Margin Guidence Table'!$A$1:$AG$10000,MATCH(1,('Margin Guidence Table'!$A$1:$A$10000=EX24)*('Margin Guidence Table'!$I$1:$I$10000&lt;=ROUND($EP$3,0))*('Margin Guidence Table'!$J$1:$J$10000&gt;=ROUND($EP$3,0)),0),MATCH("DEFAULT_SELF_FUND_PCT_SALES",'Margin Guidence Table'!$A$1:$AG$1,0))),0)</f>
        <v>0</v>
      </c>
      <c r="FH24" s="1054">
        <f t="array" ref="FH24">IFERROR(IF($EZ24="SEGMENT",INDEX('Margin Guidence Table'!$A$1:$AG$10000,MATCH(1,('Margin Guidence Table'!$A$1:$A$10000=EX24)*('Margin Guidence Table'!$I$1:$I$10000&lt;=ROUND($EP$3,0))*('Margin Guidence Table'!$J$1:$J$10000&gt;=ROUND($EP$3,0)),0),MATCH("CIA_MEDIAN_MARGIN_GUIDENCE",'Margin Guidence Table'!$A$1:$AG$1,0)),INDEX('Margin Guidence Table'!$A$1:$AG$10000,MATCH(1,('Margin Guidence Table'!$A$1:$A$10000=EX24)*('Margin Guidence Table'!$I$1:$I$10000&lt;=ROUND($EP$3,0))*('Margin Guidence Table'!$J$1:$J$10000&gt;=ROUND($EP$3,0)),0),MATCH("DEFAULT_CIA_MEDIAN_MARGIN_GUIDENCE",'Margin Guidence Table'!$A$1:$AG$1,0))),0)</f>
        <v>0</v>
      </c>
      <c r="FI24" s="127"/>
      <c r="FJ24" s="18">
        <f t="array" ref="FJ24">IFERROR(IF($FW24="SEGMENT",INDEX('Margin Guidence Table'!$A$1:$AG$10000,MATCH(1,('Margin Guidence Table'!$A$1:$A$10000=$FU24)*('Margin Guidence Table'!$I$1:$I$10000&lt;=ROUND($FM$3,0))*('Margin Guidence Table'!$J$1:$J$10000&gt;=ROUND($FM$3,0)),0),MATCH("PCT_SALES",'Margin Guidence Table'!$A$1:$AG$1,0)),INDEX('Margin Guidence Table'!$A$1:$AG$10000,MATCH(1,('Margin Guidence Table'!$A$1:$A$10000=$FU24)*('Margin Guidence Table'!$I$1:$I$10000&lt;=ROUND($FM$3,0))*('Margin Guidence Table'!$J$1:$J$10000&gt;=ROUND($FM$3,0)),0),MATCH("DEFAULT_PCT_SALES",'Margin Guidence Table'!$A$1:$AG$1,0))),0)</f>
        <v>0</v>
      </c>
      <c r="FK24" s="370" t="e">
        <f t="shared" si="36"/>
        <v>#DIV/0!</v>
      </c>
      <c r="FL24" s="100" t="s">
        <v>97</v>
      </c>
      <c r="FM24" s="92">
        <f>IFERROR(IF(AND($FM$2&lt;&gt;"Enter Spend&gt;&gt;&gt;",FN12="EXISTING"),SUMIFS('Existing Customers'!$Q:$Q,'Existing Customers'!$A:$A,$FM$1,'Existing Customers'!$H:$H,$FL24)*$FM$4,$FM$3*$FK24),0)</f>
        <v>0</v>
      </c>
      <c r="FN24" s="87">
        <f>IFERROR(IF(AND($FM$2&lt;&gt;"Enter Spend&gt;&gt;&gt;",FN2="EXISTING"),SUMIFS('Existing Customers'!$N:$N,'Existing Customers'!$A:$A,$FM$1,'Existing Customers'!$H:$H,$FL24)*$FM$4,$FM24/$FX24),0)</f>
        <v>0</v>
      </c>
      <c r="FO24" s="93">
        <f>IFERROR(IF(AND($FM$2&lt;&gt;"Enter Spend&gt;&gt;&gt;",FN2="EXISTING"),SUMIFS('Existing Customers'!$O:$O,'Existing Customers'!$H:$H,$FL24,'Existing Customers'!$A:$A,$FM$1)*$FM$4,$FN24*$FM$8),0)</f>
        <v>0</v>
      </c>
      <c r="FP24" s="93">
        <f>IFERROR(IF(AND($FM$2&lt;&gt;"Enter Spend&gt;&gt;&gt;",FN2="EXISTING"),SUMIFS('Existing Customers'!$P:$P,'Existing Customers'!$A:$A,$FM$1,'Existing Customers'!$H:$H,$FL24)*$FM$4,$FM24/$FY24),0)</f>
        <v>0</v>
      </c>
      <c r="FQ24" s="94">
        <f>IFERROR(IF(AND($FM$2&lt;&gt;"Enter Spend&gt;&gt;&gt;",FN2="EXISTING"),SUMIFS('Existing Customers'!$V:$V,'Existing Customers'!$H:$H,$FL24,'Existing Customers'!$A:$A,$FM$1)*$FM$4,0),0)</f>
        <v>0</v>
      </c>
      <c r="FR24" s="94">
        <f>IFERROR(IF(AND($FM$2&lt;&gt;"Enter Spend&gt;&gt;&gt;",FN2="EXISTING"),SUMIFS('Existing Customers'!$R:$R,'Existing Customers'!$H:$H,$FL24,'Existing Customers'!$A:$A,$FM$1)*$FM$4,0),0)</f>
        <v>0</v>
      </c>
      <c r="FS24" s="1050">
        <f>IFERROR(IF(AND($FM$2&lt;&gt;"Enter Spend&gt;&gt;&gt;",FN2="EXISTING"),SUMIFS('Existing Customers'!$S:$S,'Existing Customers'!$H:$H,$FL24,'Existing Customers'!$A:$A,$FM$1),GC24*FM24),0)</f>
        <v>0</v>
      </c>
      <c r="FT24" s="1050">
        <f>IFERROR(IF(AND($FM$2&lt;&gt;"Enter Spend&gt;&gt;&gt;",FN2="EXISTING"),SUMIFS('Existing Customers'!$U:$U,'Existing Customers'!$H:$H,$FL24,'Existing Customers'!$A:$A,$FM$1),GD24*FM24),0)</f>
        <v>0</v>
      </c>
      <c r="FU24" s="1053" t="e">
        <f>_xlfn.CONCAT('Customer Inputs'!$AG$11,"_",FL24)</f>
        <v>#N/A</v>
      </c>
      <c r="FV24" s="1053">
        <f t="array" ref="FV24">IFERROR(INDEX('Margin Guidence Table'!$A$1:$AG$10000,MATCH(1,('Margin Guidence Table'!$A$1:$A$10000=FU24)*('Margin Guidence Table'!$I$1:$I$10000&lt;=ROUND($FM$3,0))*('Margin Guidence Table'!$J$1:$J$10000&gt;=ROUND($FM$3,0)),0),MATCH("DATA_POINTS",'Margin Guidence Table'!$A$1:$AG$1,0)),0)</f>
        <v>0</v>
      </c>
      <c r="FW24" s="1050" t="str">
        <f t="shared" si="37"/>
        <v>DEFAULT</v>
      </c>
      <c r="FX24" s="1050">
        <f t="array" ref="FX24">IFERROR(IF($FW24="SEGMENT",INDEX('Margin Guidence Table'!$A$1:$AG$10000,MATCH(1,('Margin Guidence Table'!$A$1:$A$10000=FU24)*('Margin Guidence Table'!$I$1:$I$10000&lt;=ROUND($FM$3,0))*('Margin Guidence Table'!$J$1:$J$10000&gt;=ROUND($FM$3,0)),0),MATCH("SALES_CASE",'Margin Guidence Table'!$A$1:$AG$1,0)),INDEX('Margin Guidence Table'!$A$1:$AG$10000,MATCH(1,('Margin Guidence Table'!$A$1:$A$10000=FU24)*('Margin Guidence Table'!$I$1:$I$10000&lt;=ROUND($FM$3,0))*('Margin Guidence Table'!$J$1:$J$10000&gt;=ROUND($FM$3,0)),0),MATCH("DEFAULT_SALES_CASE",'Margin Guidence Table'!$A$1:$AG$1,0))),0)</f>
        <v>0</v>
      </c>
      <c r="FY24" s="1050">
        <f t="array" ref="FY24">IFERROR(IF($FW24="SEGMENT",INDEX('Margin Guidence Table'!$A$1:$AG$10000,MATCH(1,('Margin Guidence Table'!$A$1:$A$10000=FU24)*('Margin Guidence Table'!$I$1:$I$10000&lt;=ROUND($FM$3,0))*('Margin Guidence Table'!$J$1:$J$10000&gt;=ROUND($FM$3,0)),0),MATCH("SALES_LBS",'Margin Guidence Table'!$A$1:$AG$1,0)),INDEX('Margin Guidence Table'!$A$1:$AG$10000,MATCH(1,('Margin Guidence Table'!$A$1:$A$10000=FU24)*('Margin Guidence Table'!$I$1:$I$10000&lt;=ROUND($FM$3,0))*('Margin Guidence Table'!$J$1:$J$10000&gt;=ROUND($FM$3,0)),0),MATCH("DEFAULT_SALES_LBS",'Margin Guidence Table'!$A$1:$AG$1,0))),0)</f>
        <v>0</v>
      </c>
      <c r="FZ24" s="1054">
        <f t="array" ref="FZ24">IFERROR(IF($FW24="SEGMENT",INDEX('Margin Guidence Table'!$A$1:$AG$10000,MATCH(1,('Margin Guidence Table'!$A$1:$A$10000=FU24)*('Margin Guidence Table'!$I$1:$I$10000&lt;=ROUND($FM$3,0))*('Margin Guidence Table'!$J$1:$J$10000&gt;=ROUND($FM$3,0)),0),MATCH("MDA_MIN_MARGIN_GUIDENCE",'Margin Guidence Table'!$A$1:$AG$1,0)),INDEX('Margin Guidence Table'!$A$1:$AG$10000,MATCH(1,('Margin Guidence Table'!$A$1:$A$10000=FU24)*('Margin Guidence Table'!$I$1:$I$10000&lt;=ROUND($FM$3,0))*('Margin Guidence Table'!$J$1:$J$10000&gt;=ROUND($FM$3,0)),0),MATCH("DEFAULT_MDA_MIN_MARGIN_GUIDENCE",'Margin Guidence Table'!$A$1:$AG$1,0))),0)</f>
        <v>0</v>
      </c>
      <c r="GA24" s="1054">
        <f t="array" ref="GA24">IFERROR(IF($FW24="SEGMENT",INDEX('Margin Guidence Table'!$A$1:$AG$10000,MATCH(1,('Margin Guidence Table'!$A$1:$A$10000=FU24)*('Margin Guidence Table'!$I$1:$I$10000&lt;=ROUND($FM$3,0))*('Margin Guidence Table'!$J$1:$J$10000&gt;=ROUND($FM$3,0)),0),MATCH("MDA_MEDIAN_MARGIN_GUIDENCE",'Margin Guidence Table'!$A$1:$AG$1,0)),INDEX('Margin Guidence Table'!$A$1:$AG$10000,MATCH(1,('Margin Guidence Table'!$A$1:$A$10000=FU24)*('Margin Guidence Table'!$I$1:$I$10000&lt;=ROUND($FM$3,0))*('Margin Guidence Table'!$J$1:$J$10000&gt;=ROUND($FM$3,0)),0),MATCH("DEFAULT_MDA_MEDIAN_MARGIN_GUIDENCE",'Margin Guidence Table'!$A$1:$AG$1,0))),0)</f>
        <v>0</v>
      </c>
      <c r="GB24" s="1054">
        <f t="array" ref="GB24">IFERROR(IF($FW24="SEGMENT",INDEX('Margin Guidence Table'!$A$1:$AG$10000,MATCH(1,('Margin Guidence Table'!$A$1:$A$10000=FU24)*('Margin Guidence Table'!$I$1:$I$10000&lt;=ROUND($FM$3,0))*('Margin Guidence Table'!$J$1:$J$10000&gt;=ROUND($FM$3,0)),0),MATCH("MDA_MAX_MARGIN_GUIDENCE",'Margin Guidence Table'!$A$1:$AG$1,0)),INDEX('Margin Guidence Table'!$A$1:$AG$10000,MATCH(1,('Margin Guidence Table'!$A$1:$A$10000=FU24)*('Margin Guidence Table'!$I$1:$I$10000&lt;=ROUND($FM$3,0))*('Margin Guidence Table'!$J$1:$J$10000&gt;=ROUND($FM$3,0)),0),MATCH("DEFAULT_MDA_MAX_MARGIN_GUIDENCE",'Margin Guidence Table'!$A$1:$AG$1,0))),0)</f>
        <v>0</v>
      </c>
      <c r="GC24" s="1054">
        <f t="array" ref="GC24">IFERROR(IF($FW24="SEGMENT",INDEX('Margin Guidence Table'!$A$1:$AG$10000,MATCH(1,('Margin Guidence Table'!$A$1:$A$10000=FU24)*('Margin Guidence Table'!$I$1:$I$10000&lt;=ROUND($FM$3,0))*('Margin Guidence Table'!$J$1:$J$10000&gt;=ROUND($FM$3,0)),0),MATCH("PA_PCT_SALES",'Margin Guidence Table'!$A$1:$AG$1,0)),INDEX('Margin Guidence Table'!$A$1:$AG$10000,MATCH(1,('Margin Guidence Table'!$A$1:$A$10000=FU24)*('Margin Guidence Table'!$I$1:$I$10000&lt;=ROUND($FM$3,0))*('Margin Guidence Table'!$J$1:$J$10000&gt;=ROUND($FM$3,0)),0),MATCH("DEFAULT_PA_PCT_SALES",'Margin Guidence Table'!$A$1:$AG$1,0))),0)</f>
        <v>0</v>
      </c>
      <c r="GD24" s="1054">
        <f t="array" ref="GD24">IFERROR(IF($FW24="SEGMENT",INDEX('Margin Guidence Table'!$A$1:$AG$10000,MATCH(1,('Margin Guidence Table'!$A$1:$A$10000=FU24)*('Margin Guidence Table'!$I$1:$I$10000&lt;=ROUND($FM$3,0))*('Margin Guidence Table'!$J$1:$J$10000&gt;=ROUND($FM$3,0)),0),MATCH("SELF_FUND_PCT_SALES",'Margin Guidence Table'!$A$1:$AG$1,0)),INDEX('Margin Guidence Table'!$A$1:$AG$10000,MATCH(1,('Margin Guidence Table'!$A$1:$A$10000=FU24)*('Margin Guidence Table'!$I$1:$I$10000&lt;=ROUND($FM$3,0))*('Margin Guidence Table'!$J$1:$J$10000&gt;=ROUND($FM$3,0)),0),MATCH("DEFAULT_SELF_FUND_PCT_SALES",'Margin Guidence Table'!$A$1:$AG$1,0))),0)</f>
        <v>0</v>
      </c>
      <c r="GE24" s="1054">
        <f t="array" ref="GE24">IFERROR(IF($FW24="SEGMENT",INDEX('Margin Guidence Table'!$A$1:$AG$10000,MATCH(1,('Margin Guidence Table'!$A$1:$A$10000=FU24)*('Margin Guidence Table'!$I$1:$I$10000&lt;=ROUND($FM$3,0))*('Margin Guidence Table'!$J$1:$J$10000&gt;=ROUND($FM$3,0)),0),MATCH("CIA_MEDIAN_MARGIN_GUIDENCE",'Margin Guidence Table'!$A$1:$AG$1,0)),INDEX('Margin Guidence Table'!$A$1:$AG$10000,MATCH(1,('Margin Guidence Table'!$A$1:$A$10000=FU24)*('Margin Guidence Table'!$I$1:$I$10000&lt;=ROUND($FM$3,0))*('Margin Guidence Table'!$J$1:$J$10000&gt;=ROUND($FM$3,0)),0),MATCH("DEFAULT_CIA_MEDIAN_MARGIN_GUIDENCE",'Margin Guidence Table'!$A$1:$AG$1,0))),0)</f>
        <v>0</v>
      </c>
      <c r="GF24" s="127"/>
      <c r="GG24" s="18">
        <f t="array" ref="GG24">IFERROR(IF($GT24="SEGMENT",INDEX('Margin Guidence Table'!$A$1:$AG$10000,MATCH(1,('Margin Guidence Table'!$A$1:$A$10000=$GR24)*('Margin Guidence Table'!$I$1:$I$10000&lt;=ROUND($GJ$3,0))*('Margin Guidence Table'!$J$1:$J$10000&gt;=ROUND($GJ$3,0)),0),MATCH("PCT_SALES",'Margin Guidence Table'!$A$1:$AG$1,0)),INDEX('Margin Guidence Table'!$A$1:$AG$10000,MATCH(1,('Margin Guidence Table'!$A$1:$A$10000=$GR24)*('Margin Guidence Table'!$I$1:$I$10000&lt;=ROUND($GJ$3,0))*('Margin Guidence Table'!$J$1:$J$10000&gt;=ROUND($GJ$3,0)),0),MATCH("DEFAULT_PCT_SALES",'Margin Guidence Table'!$A$1:$AG$1,0))),0)</f>
        <v>0</v>
      </c>
      <c r="GH24" s="370" t="e">
        <f t="shared" si="38"/>
        <v>#DIV/0!</v>
      </c>
      <c r="GI24" s="100" t="s">
        <v>97</v>
      </c>
      <c r="GJ24" s="92">
        <f>IFERROR(IF(AND($GJ$2&lt;&gt;"Enter Spend&gt;&gt;&gt;",GK12="EXISTING"),SUMIFS('Existing Customers'!$Q:$Q,'Existing Customers'!$A:$A,$GJ$1,'Existing Customers'!$H:$H,$GI24)*$GJ$4,$GJ$3*$GH24),0)</f>
        <v>0</v>
      </c>
      <c r="GK24" s="87">
        <f>IFERROR(IF(AND($GJ$2&lt;&gt;"Enter Spend&gt;&gt;&gt;",GK2="EXISTING"),SUMIFS('Existing Customers'!$N:$N,'Existing Customers'!$A:$A,$GJ$1,'Existing Customers'!$H:$H,$GI24)*$GJ$4,$GJ24/$GU24),0)</f>
        <v>0</v>
      </c>
      <c r="GL24" s="93">
        <f>IFERROR(IF(AND($GJ$2&lt;&gt;"Enter Spend&gt;&gt;&gt;",GK2="EXISTING"),SUMIFS('Existing Customers'!$O:$O,'Existing Customers'!$H:$H,$GI24,'Existing Customers'!$A:$A,$GJ$1)*$GJ$4,$GK24*$GJ$8),0)</f>
        <v>0</v>
      </c>
      <c r="GM24" s="93">
        <f>IFERROR(IF(AND($GJ$2&lt;&gt;"Enter Spend&gt;&gt;&gt;",GK2="EXISTING"),SUMIFS('Existing Customers'!$P:$P,'Existing Customers'!$A:$A,$GJ$1,'Existing Customers'!$H:$H,$GI24)*$GJ$4,$GJ24/$GV24),0)</f>
        <v>0</v>
      </c>
      <c r="GN24" s="94">
        <f>IFERROR(IF(AND($GJ$2&lt;&gt;"Enter Spend&gt;&gt;&gt;",GK2="EXISTING"),SUMIFS('Existing Customers'!$V:$V,'Existing Customers'!$H:$H,$GI24,'Existing Customers'!$A:$A,$GJ$1)*$GJ$4,0),0)</f>
        <v>0</v>
      </c>
      <c r="GO24" s="94">
        <f>IFERROR(IF(AND($GJ$2&lt;&gt;"Enter Spend&gt;&gt;&gt;",GK2="EXISTING"),SUMIFS('Existing Customers'!$R:$R,'Existing Customers'!$H:$H,$GI24,'Existing Customers'!$A:$A,$GJ$1)*$GJ$4,0),0)</f>
        <v>0</v>
      </c>
      <c r="GP24" s="1050">
        <f>IFERROR(IF(AND($GJ$2&lt;&gt;"Enter Spend&gt;&gt;&gt;",GK2="EXISTING"),SUMIFS('Existing Customers'!$S:$S,'Existing Customers'!$H:$H,$GI24,'Existing Customers'!$A:$A,$GJ$1),GZ24*GJ24),0)</f>
        <v>0</v>
      </c>
      <c r="GQ24" s="1050">
        <f>IFERROR(IF(AND($GJ$2&lt;&gt;"Enter Spend&gt;&gt;&gt;",GK2="EXISTING"),SUMIFS('Existing Customers'!$U:$U,'Existing Customers'!$H:$H,$GI24,'Existing Customers'!$A:$A,$GJ$1),HA24*GJ24),0)</f>
        <v>0</v>
      </c>
      <c r="GR24" s="1053" t="e">
        <f>_xlfn.CONCAT('Customer Inputs'!$AG$12,"_",GI24)</f>
        <v>#N/A</v>
      </c>
      <c r="GS24" s="1053">
        <f t="array" ref="GS24">IFERROR(INDEX('Margin Guidence Table'!$A$1:$AG$10000,MATCH(1,('Margin Guidence Table'!$A$1:$A$10000=GR24)*('Margin Guidence Table'!$I$1:$I$10000&lt;=ROUND($GJ$3,0))*('Margin Guidence Table'!$J$1:$J$10000&gt;=ROUND($GJ$3,0)),0),MATCH("DATA_POINTS",'Margin Guidence Table'!$A$1:$AG$1,0)),0)</f>
        <v>0</v>
      </c>
      <c r="GT24" s="1050" t="str">
        <f t="shared" si="39"/>
        <v>DEFAULT</v>
      </c>
      <c r="GU24" s="1050">
        <f t="array" ref="GU24">IFERROR(IF($GT24="SEGMENT",INDEX('Margin Guidence Table'!$A$1:$AG$10000,MATCH(1,('Margin Guidence Table'!$A$1:$A$10000=GR24)*('Margin Guidence Table'!$I$1:$I$10000&lt;=ROUND($GJ$3,0))*('Margin Guidence Table'!$J$1:$J$10000&gt;=ROUND($GJ$3,0)),0),MATCH("SALES_CASE",'Margin Guidence Table'!$A$1:$AG$1,0)),INDEX('Margin Guidence Table'!$A$1:$AG$10000,MATCH(1,('Margin Guidence Table'!$A$1:$A$10000=GR24)*('Margin Guidence Table'!$I$1:$I$10000&lt;=ROUND($GJ$3,0))*('Margin Guidence Table'!$J$1:$J$10000&gt;=ROUND($GJ$3,0)),0),MATCH("DEFAULT_SALES_CASE",'Margin Guidence Table'!$A$1:$AG$1,0))),0)</f>
        <v>0</v>
      </c>
      <c r="GV24" s="1050">
        <f t="array" ref="GV24">IFERROR(IF($GT24="SEGMENT",INDEX('Margin Guidence Table'!$A$1:$AG$10000,MATCH(1,('Margin Guidence Table'!$A$1:$A$10000=GR24)*('Margin Guidence Table'!$I$1:$I$10000&lt;=ROUND($GJ$3,0))*('Margin Guidence Table'!$J$1:$J$10000&gt;=ROUND($GJ$3,0)),0),MATCH("SALES_LBS",'Margin Guidence Table'!$A$1:$AG$1,0)),INDEX('Margin Guidence Table'!$A$1:$AG$10000,MATCH(1,('Margin Guidence Table'!$A$1:$A$10000=GR24)*('Margin Guidence Table'!$I$1:$I$10000&lt;=ROUND($GJ$3,0))*('Margin Guidence Table'!$J$1:$J$10000&gt;=ROUND($GJ$3,0)),0),MATCH("DEFAULT_SALES_LBS",'Margin Guidence Table'!$A$1:$AG$1,0))),0)</f>
        <v>0</v>
      </c>
      <c r="GW24" s="1054">
        <f t="array" ref="GW24">IFERROR(IF($GT24="SEGMENT",INDEX('Margin Guidence Table'!$A$1:$AG$10000,MATCH(1,('Margin Guidence Table'!$A$1:$A$10000=GR24)*('Margin Guidence Table'!$I$1:$I$10000&lt;=ROUND($GJ$3,0))*('Margin Guidence Table'!$J$1:$J$10000&gt;=ROUND($GJ$3,0)),0),MATCH("MDA_MIN_MARGIN_GUIDENCE",'Margin Guidence Table'!$A$1:$AG$1,0)),INDEX('Margin Guidence Table'!$A$1:$AG$10000,MATCH(1,('Margin Guidence Table'!$A$1:$A$10000=GR24)*('Margin Guidence Table'!$I$1:$I$10000&lt;=ROUND($GJ$3,0))*('Margin Guidence Table'!$J$1:$J$10000&gt;=ROUND($GJ$3,0)),0),MATCH("DEFAULT_MDA_MIN_MARGIN_GUIDENCE",'Margin Guidence Table'!$A$1:$AG$1,0))),0)</f>
        <v>0</v>
      </c>
      <c r="GX24" s="1054">
        <f t="array" ref="GX24">IFERROR(IF($GT24="SEGMENT",INDEX('Margin Guidence Table'!$A$1:$AG$10000,MATCH(1,('Margin Guidence Table'!$A$1:$A$10000=GR24)*('Margin Guidence Table'!$I$1:$I$10000&lt;=ROUND($GJ$3,0))*('Margin Guidence Table'!$J$1:$J$10000&gt;=ROUND($GJ$3,0)),0),MATCH("MDA_MEDIAN_MARGIN_GUIDENCE",'Margin Guidence Table'!$A$1:$AG$1,0)),INDEX('Margin Guidence Table'!$A$1:$AG$10000,MATCH(1,('Margin Guidence Table'!$A$1:$A$10000=GR24)*('Margin Guidence Table'!$I$1:$I$10000&lt;=ROUND($GJ$3,0))*('Margin Guidence Table'!$J$1:$J$10000&gt;=ROUND($GJ$3,0)),0),MATCH("DEFAULT_MDA_MEDIAN_MARGIN_GUIDENCE",'Margin Guidence Table'!$A$1:$AG$1,0))),0)</f>
        <v>0</v>
      </c>
      <c r="GY24" s="1054">
        <f t="array" ref="GY24">IFERROR(IF($GT24="SEGMENT",INDEX('Margin Guidence Table'!$A$1:$AG$10000,MATCH(1,('Margin Guidence Table'!$A$1:$A$10000=GR24)*('Margin Guidence Table'!$I$1:$I$10000&lt;=ROUND($GJ$3,0))*('Margin Guidence Table'!$J$1:$J$10000&gt;=ROUND($GJ$3,0)),0),MATCH("MDA_MAX_MARGIN_GUIDENCE",'Margin Guidence Table'!$A$1:$AG$1,0)),INDEX('Margin Guidence Table'!$A$1:$AG$10000,MATCH(1,('Margin Guidence Table'!$A$1:$A$10000=GR24)*('Margin Guidence Table'!$I$1:$I$10000&lt;=ROUND($GJ$3,0))*('Margin Guidence Table'!$J$1:$J$10000&gt;=ROUND($GJ$3,0)),0),MATCH("DEFAULT_MDA_MAX_MARGIN_GUIDENCE",'Margin Guidence Table'!$A$1:$AG$1,0))),0)</f>
        <v>0</v>
      </c>
      <c r="GZ24" s="1054">
        <f t="array" ref="GZ24">IFERROR(IF($GT24="SEGMENT",INDEX('Margin Guidence Table'!$A$1:$AG$10000,MATCH(1,('Margin Guidence Table'!$A$1:$A$10000=GR24)*('Margin Guidence Table'!$I$1:$I$10000&lt;=ROUND($GJ$3,0))*('Margin Guidence Table'!$J$1:$J$10000&gt;=ROUND($GJ$3,0)),0),MATCH("PA_PCT_SALES",'Margin Guidence Table'!$A$1:$AG$1,0)),INDEX('Margin Guidence Table'!$A$1:$AG$10000,MATCH(1,('Margin Guidence Table'!$A$1:$A$10000=GR24)*('Margin Guidence Table'!$I$1:$I$10000&lt;=ROUND($GJ$3,0))*('Margin Guidence Table'!$J$1:$J$10000&gt;=ROUND($GJ$3,0)),0),MATCH("DEFAULT_PA_PCT_SALES",'Margin Guidence Table'!$A$1:$AG$1,0))),0)</f>
        <v>0</v>
      </c>
      <c r="HA24" s="1054">
        <f t="array" ref="HA24">IFERROR(IF($GT24="SEGMENT",INDEX('Margin Guidence Table'!$A$1:$AG$10000,MATCH(1,('Margin Guidence Table'!$A$1:$A$10000=GR24)*('Margin Guidence Table'!$I$1:$I$10000&lt;=ROUND($GJ$3,0))*('Margin Guidence Table'!$J$1:$J$10000&gt;=ROUND($GJ$3,0)),0),MATCH("SELF_FUND_PCT_SALES",'Margin Guidence Table'!$A$1:$AG$1,0)),INDEX('Margin Guidence Table'!$A$1:$AG$10000,MATCH(1,('Margin Guidence Table'!$A$1:$A$10000=GR24)*('Margin Guidence Table'!$I$1:$I$10000&lt;=ROUND($GJ$3,0))*('Margin Guidence Table'!$J$1:$J$10000&gt;=ROUND($GJ$3,0)),0),MATCH("DEFAULT_SELF_FUND_PCT_SALES",'Margin Guidence Table'!$A$1:$AG$1,0))),0)</f>
        <v>0</v>
      </c>
      <c r="HB24" s="1054">
        <f t="array" ref="HB24">IFERROR(IF($GT24="SEGMENT",INDEX('Margin Guidence Table'!$A$1:$AG$10000,MATCH(1,('Margin Guidence Table'!$A$1:$A$10000=GR24)*('Margin Guidence Table'!$I$1:$I$10000&lt;=ROUND($GJ$3,0))*('Margin Guidence Table'!$J$1:$J$10000&gt;=ROUND($GJ$3,0)),0),MATCH("CIA_MEDIAN_MARGIN_GUIDENCE",'Margin Guidence Table'!$A$1:$AG$1,0)),INDEX('Margin Guidence Table'!$A$1:$AG$10000,MATCH(1,('Margin Guidence Table'!$A$1:$A$10000=GR24)*('Margin Guidence Table'!$I$1:$I$10000&lt;=ROUND($GJ$3,0))*('Margin Guidence Table'!$J$1:$J$10000&gt;=ROUND($GJ$3,0)),0),MATCH("DEFAULT_CIA_MEDIAN_MARGIN_GUIDENCE",'Margin Guidence Table'!$A$1:$AG$1,0))),0)</f>
        <v>0</v>
      </c>
      <c r="HC24" s="127"/>
      <c r="HD24" s="18">
        <f t="array" ref="HD24">IFERROR(IF($HQ24="SEGMENT",INDEX('Margin Guidence Table'!$A$1:$AG$10000,MATCH(1,('Margin Guidence Table'!$A$1:$A$10000=$HO24)*('Margin Guidence Table'!$I$1:$I$10000&lt;=ROUND($HG$3,0))*('Margin Guidence Table'!$J$1:$J$10000&gt;=ROUND($HG$3,0)),0),MATCH("PCT_SALES",'Margin Guidence Table'!$A$1:$AG$1,0)),INDEX('Margin Guidence Table'!$A$1:$AG$10000,MATCH(1,('Margin Guidence Table'!$A$1:$A$10000=$HO24)*('Margin Guidence Table'!$I$1:$I$10000&lt;=ROUND($HG$3,0))*('Margin Guidence Table'!$J$1:$J$10000&gt;=ROUND($HG$3,0)),0),MATCH("DEFAULT_PCT_SALES",'Margin Guidence Table'!$A$1:$AG$1,0))),0)</f>
        <v>0</v>
      </c>
      <c r="HE24" s="370" t="e">
        <f t="shared" si="40"/>
        <v>#DIV/0!</v>
      </c>
      <c r="HF24" s="100" t="s">
        <v>97</v>
      </c>
      <c r="HG24" s="92">
        <f>IFERROR(IF(AND($HG$2&lt;&gt;"Enter Spend&gt;&gt;&gt;",HH12="EXISTING"),SUMIFS('Existing Customers'!$Q:$Q,'Existing Customers'!$A:$A,$HG$1,'Existing Customers'!$H:$H,$HF24)*$HG$4,$HG$3*$HE24),0)</f>
        <v>0</v>
      </c>
      <c r="HH24" s="87">
        <f>IFERROR(IF(AND($HG$2&lt;&gt;"Enter Spend&gt;&gt;&gt;",HH2="EXISTING"),SUMIFS('Existing Customers'!$N:$N,'Existing Customers'!$A:$A,$HG$1,'Existing Customers'!$H:$H,$HF24)*$HG$4,$HG24/$HR24),0)</f>
        <v>0</v>
      </c>
      <c r="HI24" s="93">
        <f>IFERROR(IF(AND($HG$2&lt;&gt;"Enter Spend&gt;&gt;&gt;",HH2="EXISTING"),SUMIFS('Existing Customers'!$O:$O,'Existing Customers'!$H:$H,$HF24,'Existing Customers'!$A:$A,$HG$1)*$HG$4,$HH24*$HG$8),0)</f>
        <v>0</v>
      </c>
      <c r="HJ24" s="93">
        <f>IFERROR(IF(AND($HG$2&lt;&gt;"Enter Spend&gt;&gt;&gt;",HH2="EXISTING"),SUMIFS('Existing Customers'!$P:$P,'Existing Customers'!$A:$A,$HG$1,'Existing Customers'!$H:$H,$HF24)*$HG$4,$HG24/$HS24),0)</f>
        <v>0</v>
      </c>
      <c r="HK24" s="94">
        <f>IFERROR(IF(AND($HG$2&lt;&gt;"Enter Spend&gt;&gt;&gt;",HH2="EXISTING"),SUMIFS('Existing Customers'!$V:$V,'Existing Customers'!$H:$H,$HF24,'Existing Customers'!$A:$A,$HG$1)*$HG$4,0),0)</f>
        <v>0</v>
      </c>
      <c r="HL24" s="94">
        <f>IFERROR(IF(AND($HG$2&lt;&gt;"Enter Spend&gt;&gt;&gt;",HH2="EXISTING"),SUMIFS('Existing Customers'!$R:$R,'Existing Customers'!$H:$H,$HF24,'Existing Customers'!$A:$A,$HG$1)*$HG$4,0),0)</f>
        <v>0</v>
      </c>
      <c r="HM24" s="1050">
        <f>IFERROR(IF(AND($HG$2&lt;&gt;"Enter Spend&gt;&gt;&gt;",HH2="EXISTING"),SUMIFS('Existing Customers'!$S:$S,'Existing Customers'!$H:$H,$HF24,'Existing Customers'!$A:$A,$HG$1),HW24*HG24),0)</f>
        <v>0</v>
      </c>
      <c r="HN24" s="1050">
        <f>IFERROR(IF(AND($HG$2&lt;&gt;"Enter Spend&gt;&gt;&gt;",HH2="EXISTING"),SUMIFS('Existing Customers'!$U:$U,'Existing Customers'!$H:$H,$HF24,'Existing Customers'!$A:$A,$HG$1),HX24*HG24),0)</f>
        <v>0</v>
      </c>
      <c r="HO24" s="1053" t="e">
        <f>_xlfn.CONCAT('Customer Inputs'!$AG$13,"_",HF24)</f>
        <v>#N/A</v>
      </c>
      <c r="HP24" s="1053">
        <f t="array" ref="HP24">IFERROR(INDEX('Margin Guidence Table'!$A$1:$AG$10000,MATCH(1,('Margin Guidence Table'!$A$1:$A$10000=HO24)*('Margin Guidence Table'!$I$1:$I$10000&lt;=ROUND($HG$3,0))*('Margin Guidence Table'!$J$1:$J$10000&gt;=ROUND($HG$3,0)),0),MATCH("DATA_POINTS",'Margin Guidence Table'!$A$1:$AG$1,0)),0)</f>
        <v>0</v>
      </c>
      <c r="HQ24" s="1050" t="str">
        <f t="shared" si="41"/>
        <v>DEFAULT</v>
      </c>
      <c r="HR24" s="1050">
        <f t="array" ref="HR24">IFERROR(IF($HQ24="SEGMENT",INDEX('Margin Guidence Table'!$A$1:$AG$10000,MATCH(1,('Margin Guidence Table'!$A$1:$A$10000=HO24)*('Margin Guidence Table'!$I$1:$I$10000&lt;=ROUND($HG$3,0))*('Margin Guidence Table'!$J$1:$J$10000&gt;=ROUND($HG$3,0)),0),MATCH("SALES_CASE",'Margin Guidence Table'!$A$1:$AG$1,0)),INDEX('Margin Guidence Table'!$A$1:$AG$10000,MATCH(1,('Margin Guidence Table'!$A$1:$A$10000=HO24)*('Margin Guidence Table'!$I$1:$I$10000&lt;=ROUND($HG$3,0))*('Margin Guidence Table'!$J$1:$J$10000&gt;=ROUND($HG$3,0)),0),MATCH("DEFAULT_SALES_CASE",'Margin Guidence Table'!$A$1:$AG$1,0))),0)</f>
        <v>0</v>
      </c>
      <c r="HS24" s="1050">
        <f t="array" ref="HS24">IFERROR(IF($HQ24="SEGMENT",INDEX('Margin Guidence Table'!$A$1:$AG$10000,MATCH(1,('Margin Guidence Table'!$A$1:$A$10000=HO24)*('Margin Guidence Table'!$I$1:$I$10000&lt;=ROUND($HG$3,0))*('Margin Guidence Table'!$J$1:$J$10000&gt;=ROUND($HG$3,0)),0),MATCH("SALES_LBS",'Margin Guidence Table'!$A$1:$AG$1,0)),INDEX('Margin Guidence Table'!$A$1:$AG$10000,MATCH(1,('Margin Guidence Table'!$A$1:$A$10000=HO24)*('Margin Guidence Table'!$I$1:$I$10000&lt;=ROUND($HG$3,0))*('Margin Guidence Table'!$J$1:$J$10000&gt;=ROUND($HG$3,0)),0),MATCH("DEFAULT_SALES_LBS",'Margin Guidence Table'!$A$1:$AG$1,0))),0)</f>
        <v>0</v>
      </c>
      <c r="HT24" s="1054">
        <f t="array" ref="HT24">IFERROR(IF($HQ24="SEGMENT",INDEX('Margin Guidence Table'!$A$1:$AG$10000,MATCH(1,('Margin Guidence Table'!$A$1:$A$10000=HO24)*('Margin Guidence Table'!$I$1:$I$10000&lt;=ROUND($HG$3,0))*('Margin Guidence Table'!$J$1:$J$10000&gt;=ROUND($HG$3,0)),0),MATCH("MDA_MIN_MARGIN_GUIDENCE",'Margin Guidence Table'!$A$1:$AG$1,0)),INDEX('Margin Guidence Table'!$A$1:$AG$10000,MATCH(1,('Margin Guidence Table'!$A$1:$A$10000=HO24)*('Margin Guidence Table'!$I$1:$I$10000&lt;=ROUND($HG$3,0))*('Margin Guidence Table'!$J$1:$J$10000&gt;=ROUND($HG$3,0)),0),MATCH("DEFAULT_MDA_MIN_MARGIN_GUIDENCE",'Margin Guidence Table'!$A$1:$AG$1,0))),0)</f>
        <v>0</v>
      </c>
      <c r="HU24" s="1054">
        <f t="array" ref="HU24">IFERROR(IF($HQ24="SEGMENT",INDEX('Margin Guidence Table'!$A$1:$AG$10000,MATCH(1,('Margin Guidence Table'!$A$1:$A$10000=HO24)*('Margin Guidence Table'!$I$1:$I$10000&lt;=ROUND($HG$3,0))*('Margin Guidence Table'!$J$1:$J$10000&gt;=ROUND($HG$3,0)),0),MATCH("MDA_MEDIAN_MARGIN_GUIDENCE",'Margin Guidence Table'!$A$1:$AG$1,0)),INDEX('Margin Guidence Table'!$A$1:$AG$10000,MATCH(1,('Margin Guidence Table'!$A$1:$A$10000=HO24)*('Margin Guidence Table'!$I$1:$I$10000&lt;=ROUND($HG$3,0))*('Margin Guidence Table'!$J$1:$J$10000&gt;=ROUND($HG$3,0)),0),MATCH("DEFAULT_MDA_MEDIAN_MARGIN_GUIDENCE",'Margin Guidence Table'!$A$1:$AG$1,0))),0)</f>
        <v>0</v>
      </c>
      <c r="HV24" s="1054">
        <f t="array" ref="HV24">IFERROR(IF($HQ24="SEGMENT",INDEX('Margin Guidence Table'!$A$1:$AG$10000,MATCH(1,('Margin Guidence Table'!$A$1:$A$10000=HO24)*('Margin Guidence Table'!$I$1:$I$10000&lt;=ROUND($HG$3,0))*('Margin Guidence Table'!$J$1:$J$10000&gt;=ROUND($HG$3,0)),0),MATCH("MDA_MAX_MARGIN_GUIDENCE",'Margin Guidence Table'!$A$1:$AG$1,0)),INDEX('Margin Guidence Table'!$A$1:$AG$10000,MATCH(1,('Margin Guidence Table'!$A$1:$A$10000=HO24)*('Margin Guidence Table'!$I$1:$I$10000&lt;=ROUND($HG$3,0))*('Margin Guidence Table'!$J$1:$J$10000&gt;=ROUND($HG$3,0)),0),MATCH("DEFAULT_MDA_MAX_MARGIN_GUIDENCE",'Margin Guidence Table'!$A$1:$AG$1,0))),0)</f>
        <v>0</v>
      </c>
      <c r="HW24" s="1054">
        <f t="array" ref="HW24">IFERROR(IF($HQ24="SEGMENT",INDEX('Margin Guidence Table'!$A$1:$AG$10000,MATCH(1,('Margin Guidence Table'!$A$1:$A$10000=HO24)*('Margin Guidence Table'!$I$1:$I$10000&lt;=ROUND($HG$3,0))*('Margin Guidence Table'!$J$1:$J$10000&gt;=ROUND($HG$3,0)),0),MATCH("PA_PCT_SALES",'Margin Guidence Table'!$A$1:$AG$1,0)),INDEX('Margin Guidence Table'!$A$1:$AG$10000,MATCH(1,('Margin Guidence Table'!$A$1:$A$10000=HO24)*('Margin Guidence Table'!$I$1:$I$10000&lt;=ROUND($HG$3,0))*('Margin Guidence Table'!$J$1:$J$10000&gt;=ROUND($HG$3,0)),0),MATCH("DEFAULT_PA_PCT_SALES",'Margin Guidence Table'!$A$1:$AG$1,0))),0)</f>
        <v>0</v>
      </c>
      <c r="HX24" s="1054">
        <f t="array" ref="HX24">IFERROR(IF($HQ24="SEGMENT",INDEX('Margin Guidence Table'!$A$1:$AG$10000,MATCH(1,('Margin Guidence Table'!$A$1:$A$10000=HO24)*('Margin Guidence Table'!$I$1:$I$10000&lt;=ROUND($HG$3,0))*('Margin Guidence Table'!$J$1:$J$10000&gt;=ROUND($HG$3,0)),0),MATCH("SELF_FUND_PCT_SALES",'Margin Guidence Table'!$A$1:$AG$1,0)),INDEX('Margin Guidence Table'!$A$1:$AG$10000,MATCH(1,('Margin Guidence Table'!$A$1:$A$10000=HO24)*('Margin Guidence Table'!$I$1:$I$10000&lt;=ROUND($HG$3,0))*('Margin Guidence Table'!$J$1:$J$10000&gt;=ROUND($HG$3,0)),0),MATCH("DEFAULT_SELF_FUND_PCT_SALES",'Margin Guidence Table'!$A$1:$AG$1,0))),0)</f>
        <v>0</v>
      </c>
      <c r="HY24" s="1054">
        <f t="array" ref="HY24">IFERROR(IF($HQ24="SEGMENT",INDEX('Margin Guidence Table'!$A$1:$AG$10000,MATCH(1,('Margin Guidence Table'!$A$1:$A$10000=HO24)*('Margin Guidence Table'!$I$1:$I$10000&lt;=ROUND($HG$3,0))*('Margin Guidence Table'!$J$1:$J$10000&gt;=ROUND($HG$3,0)),0),MATCH("CIA_MEDIAN_MARGIN_GUIDENCE",'Margin Guidence Table'!$A$1:$AG$1,0)),INDEX('Margin Guidence Table'!$A$1:$AG$10000,MATCH(1,('Margin Guidence Table'!$A$1:$A$10000=HO24)*('Margin Guidence Table'!$I$1:$I$10000&lt;=ROUND($HG$3,0))*('Margin Guidence Table'!$J$1:$J$10000&gt;=ROUND($HG$3,0)),0),MATCH("DEFAULT_CIA_MEDIAN_MARGIN_GUIDENCE",'Margin Guidence Table'!$A$1:$AG$1,0))),0)</f>
        <v>0</v>
      </c>
      <c r="HZ24" s="127"/>
      <c r="IA24" s="18">
        <f t="array" ref="IA24">IFERROR(IF($IN24="SEGMENT",INDEX('Margin Guidence Table'!$A:$AC,MATCH(1,('Margin Guidence Table'!$A:$A=$IL24)*('Margin Guidence Table'!$H:$H&lt;=ROUND($ID$3,0))*('Margin Guidence Table'!$G:$G&gt;=ROUND($ID$3,0)),0),MATCH("PCT_SALES",'Margin Guidence Table'!$A$1:$AG$1,0)),INDEX('Margin Guidence Table'!$A:$AC,MATCH(1,('Margin Guidence Table'!$A:$A=$IL24)*('Margin Guidence Table'!$H:$H&lt;=ROUND($ID$3,0))*('Margin Guidence Table'!$G:$G&gt;=ROUND($ID$3,0)),0),MATCH("DEFAULT_PCT_SALES",'Margin Guidence Table'!$A$1:$AG$1,0))),0)</f>
        <v>0</v>
      </c>
      <c r="IB24" s="370" t="e">
        <f t="shared" si="42"/>
        <v>#DIV/0!</v>
      </c>
      <c r="IC24" s="100" t="s">
        <v>97</v>
      </c>
      <c r="ID24" s="92">
        <f>IFERROR(IF(AND($ID$2&lt;&gt;"Enter Spend&gt;&gt;&gt;",IE12="EXISTING"),SUMIFS('Existing Customers'!$Q:$Q,'Existing Customers'!$A:$A,$ID$1,'Existing Customers'!$H:$H,$IC24)*$ID$4,$ID$3*$IB24),0)</f>
        <v>0</v>
      </c>
      <c r="IE24" s="87">
        <f>IFERROR(IF(AND($ID$2&lt;&gt;"Enter Spend&gt;&gt;&gt;",IE2="EXISTING"),SUMIFS('Existing Customers'!$N:$N,'Existing Customers'!$A:$A,$ID$1,'Existing Customers'!$H:$H,$IC24)*$ID$4,$ID24/$IO24),0)</f>
        <v>0</v>
      </c>
      <c r="IF24" s="93">
        <f>IFERROR(IF(AND($ID$2&lt;&gt;"Enter Spend&gt;&gt;&gt;",IE2="EXISTING"),SUMIFS('Existing Customers'!$O:$O,'Existing Customers'!$H:$H,$IC24,'Existing Customers'!$A:$A,$ID$1)*$ID$4,$IE24*$ID$8),0)</f>
        <v>0</v>
      </c>
      <c r="IG24" s="93">
        <f>IFERROR(IF(AND($ID$2&lt;&gt;"Enter Spend&gt;&gt;&gt;",IE2="EXISTING"),SUMIFS('Existing Customers'!$P:$P,'Existing Customers'!$A:$A,$ID$1,'Existing Customers'!$H:$H,$IC24)*$ID$4,$ID24/$IP24),0)</f>
        <v>0</v>
      </c>
      <c r="IH24" s="376">
        <f>IFERROR(IF(AND($ID$2&lt;&gt;"Enter Spend&gt;&gt;&gt;",IE2="EXISTING"),SUMIFS('Existing Customers'!$V:$V,'Existing Customers'!$H:$H,$IC24,'Existing Customers'!$A:$A,$ID$1)*$ID$4,0),0)</f>
        <v>0</v>
      </c>
      <c r="II24" s="94">
        <f>IFERROR(IF(AND($ID$2&lt;&gt;"Enter Spend&gt;&gt;&gt;",IE2="EXISTING"),SUMIFS('Existing Customers'!$R:$R,'Existing Customers'!$H:$H,$IC24,'Existing Customers'!$A:$A,$ID$1)*$ID$4,0),0)</f>
        <v>0</v>
      </c>
      <c r="IJ24" s="1050">
        <f>IFERROR(IF(AND($ID$2&lt;&gt;"Enter Spend&gt;&gt;&gt;",IE2="EXISTING"),SUMIFS('Existing Customers'!$S:$S,'Existing Customers'!$H:$H,$IC24,'Existing Customers'!$A:$A,$ID$1),IT24*ID24),0)</f>
        <v>0</v>
      </c>
      <c r="IK24" s="1050">
        <f>IFERROR(IF(AND($ID$2&lt;&gt;"Enter Spend&gt;&gt;&gt;",IE2="EXISTING"),SUMIFS('Existing Customers'!$U:$U,'Existing Customers'!$H:$H,$IC24,'Existing Customers'!$A:$A,$ID$1),IU24*ID24),0)</f>
        <v>0</v>
      </c>
      <c r="IL24" s="1053" t="e">
        <f>_xlfn.CONCAT('Customer Inputs'!$AG$14,"_",IC24)</f>
        <v>#N/A</v>
      </c>
      <c r="IM24" s="1053">
        <f t="array" ref="IM24">IFERROR(INDEX('Margin Guidence Table'!$A$1:$AG$10000,MATCH(1,('Margin Guidence Table'!$A$1:$A$10000=IL24)*('Margin Guidence Table'!$I$1:$I$10000&lt;=ROUND($ID$3,0))*('Margin Guidence Table'!$J$1:$J$10000&gt;=ROUND($ID$3,0)),0),MATCH("DATA_POINTS",'Margin Guidence Table'!$A$1:$AG$1,0)),0)</f>
        <v>0</v>
      </c>
      <c r="IN24" s="1050" t="str">
        <f t="shared" si="43"/>
        <v>DEFAULT</v>
      </c>
      <c r="IO24" s="1050">
        <f t="array" ref="IO24">IFERROR(IF($IN24="SEGMENT",INDEX('Margin Guidence Table'!$A$1:$AG$10000,MATCH(1,('Margin Guidence Table'!$A$1:$A$10000=IL24)*('Margin Guidence Table'!$I$1:$I$10000&lt;=ROUND($ID$3,0))*('Margin Guidence Table'!$J$1:$J$10000&gt;=ROUND($ID$3,0)),0),MATCH("SALES_CASE",'Margin Guidence Table'!$A$1:$AG$1,0)),INDEX('Margin Guidence Table'!$A$1:$AG$10000,MATCH(1,('Margin Guidence Table'!$A$1:$A$10000=IL24)*('Margin Guidence Table'!$I$1:$I$10000&lt;=ROUND($ID$3,0))*('Margin Guidence Table'!$J$1:$J$10000&gt;=ROUND($ID$3,0)),0),MATCH("DEFAULT_SALES_CASE",'Margin Guidence Table'!$A$1:$AG$1,0))),0)</f>
        <v>0</v>
      </c>
      <c r="IP24" s="1050">
        <f t="array" ref="IP24">IFERROR(IF($IN24="SEGMENT",INDEX('Margin Guidence Table'!$A$1:$AG$10000,MATCH(1,('Margin Guidence Table'!$A$1:$A$10000=IL24)*('Margin Guidence Table'!$I$1:$I$10000&lt;=ROUND($ID$3,0))*('Margin Guidence Table'!$J$1:$J$10000&gt;=ROUND($ID$3,0)),0),MATCH("SALES_LBS",'Margin Guidence Table'!$A$1:$AG$1,0)),INDEX('Margin Guidence Table'!$A$1:$AG$10000,MATCH(1,('Margin Guidence Table'!$A$1:$A$10000=IL24)*('Margin Guidence Table'!$I$1:$I$10000&lt;=ROUND($ID$3,0))*('Margin Guidence Table'!$J$1:$J$10000&gt;=ROUND($ID$3,0)),0),MATCH("DEFAULT_SALES_LBS",'Margin Guidence Table'!$A$1:$AG$1,0))),0)</f>
        <v>0</v>
      </c>
      <c r="IQ24" s="1054">
        <f t="array" ref="IQ24">IFERROR(IF($IN24="SEGMENT",INDEX('Margin Guidence Table'!$A$1:$AG$10000,MATCH(1,('Margin Guidence Table'!$A$1:$A$10000=IL24)*('Margin Guidence Table'!$I$1:$I$10000&lt;=ROUND($ID$3,0))*('Margin Guidence Table'!$J$1:$J$10000&gt;=ROUND($ID$3,0)),0),MATCH("MDA_MIN_MARGIN_GUIDENCE",'Margin Guidence Table'!$A$1:$AG$1,0)),INDEX('Margin Guidence Table'!$A$1:$AG$10000,MATCH(1,('Margin Guidence Table'!$A$1:$A$10000=IL24)*('Margin Guidence Table'!$I$1:$I$10000&lt;=ROUND($ID$3,0))*('Margin Guidence Table'!$J$1:$J$10000&gt;=ROUND($ID$3,0)),0),MATCH("DEFAULT_MDA_MIN_MARGIN_GUIDENCE",'Margin Guidence Table'!$A$1:$AG$1,0))),0)</f>
        <v>0</v>
      </c>
      <c r="IR24" s="1054">
        <f t="array" ref="IR24">IFERROR(IF($IN24="SEGMENT",INDEX('Margin Guidence Table'!$A$1:$AG$10000,MATCH(1,('Margin Guidence Table'!$A$1:$A$10000=IL24)*('Margin Guidence Table'!$I$1:$I$10000&lt;=ROUND($ID$3,0))*('Margin Guidence Table'!$J$1:$J$10000&gt;=ROUND($ID$3,0)),0),MATCH("MDA_MEDIAN_MARGIN_GUIDENCE",'Margin Guidence Table'!$A$1:$AG$1,0)),INDEX('Margin Guidence Table'!$A$1:$AG$10000,MATCH(1,('Margin Guidence Table'!$A$1:$A$10000=IL24)*('Margin Guidence Table'!$I$1:$I$10000&lt;=ROUND($ID$3,0))*('Margin Guidence Table'!$J$1:$J$10000&gt;=ROUND($ID$3,0)),0),MATCH("DEFAULT_MDA_MEDIAN_MARGIN_GUIDENCE",'Margin Guidence Table'!$A$1:$AG$1,0))),0)</f>
        <v>0</v>
      </c>
      <c r="IS24" s="1054">
        <f t="array" ref="IS24">IFERROR(IF($IN24="SEGMENT",INDEX('Margin Guidence Table'!$A$1:$AG$10000,MATCH(1,('Margin Guidence Table'!$A$1:$A$10000=IL24)*('Margin Guidence Table'!$I$1:$I$10000&lt;=ROUND($ID$3,0))*('Margin Guidence Table'!$J$1:$J$10000&gt;=ROUND($ID$3,0)),0),MATCH("MDA_MAX_MARGIN_GUIDENCE",'Margin Guidence Table'!$A$1:$AG$1,0)),INDEX('Margin Guidence Table'!$A$1:$AG$10000,MATCH(1,('Margin Guidence Table'!$A$1:$A$10000=IL24)*('Margin Guidence Table'!$I$1:$I$10000&lt;=ROUND($ID$3,0))*('Margin Guidence Table'!$J$1:$J$10000&gt;=ROUND($ID$3,0)),0),MATCH("DEFAULT_MDA_MAX_MARGIN_GUIDENCE",'Margin Guidence Table'!$A$1:$AG$1,0))),0)</f>
        <v>0</v>
      </c>
      <c r="IT24" s="1054">
        <f t="array" ref="IT24">IFERROR(IF($IN24="SEGMENT",INDEX('Margin Guidence Table'!$A$1:$AG$10000,MATCH(1,('Margin Guidence Table'!$A$1:$A$10000=IL24)*('Margin Guidence Table'!$I$1:$I$10000&lt;=ROUND($ID$3,0))*('Margin Guidence Table'!$J$1:$J$10000&gt;=ROUND($ID$3,0)),0),MATCH("PA_PCT_SALES",'Margin Guidence Table'!$A$1:$AG$1,0)),INDEX('Margin Guidence Table'!$A$1:$AG$10000,MATCH(1,('Margin Guidence Table'!$A$1:$A$10000=IL24)*('Margin Guidence Table'!$I$1:$I$10000&lt;=ROUND($ID$3,0))*('Margin Guidence Table'!$J$1:$J$10000&gt;=ROUND($ID$3,0)),0),MATCH("DEFAULT_PA_PCT_SALES",'Margin Guidence Table'!$A$1:$AG$1,0))),0)</f>
        <v>0</v>
      </c>
      <c r="IU24" s="1054">
        <f t="array" ref="IU24">IFERROR(IF($IN24="SEGMENT",INDEX('Margin Guidence Table'!$A$1:$AG$10000,MATCH(1,('Margin Guidence Table'!$A$1:$A$10000=IL24)*('Margin Guidence Table'!$I$1:$I$10000&lt;=ROUND($ID$3,0))*('Margin Guidence Table'!$J$1:$J$10000&gt;=ROUND($ID$3,0)),0),MATCH("SELF_FUND_PCT_SALES",'Margin Guidence Table'!$A$1:$AG$1,0)),INDEX('Margin Guidence Table'!$A$1:$AG$10000,MATCH(1,('Margin Guidence Table'!$A$1:$A$10000=IL24)*('Margin Guidence Table'!$I$1:$I$10000&lt;=ROUND($ID$3,0))*('Margin Guidence Table'!$J$1:$J$10000&gt;=ROUND($ID$3,0)),0),MATCH("DEFAULT_SELF_FUND_PCT_SALES",'Margin Guidence Table'!$A$1:$AG$1,0))),0)</f>
        <v>0</v>
      </c>
      <c r="IV24" s="1054">
        <f t="array" ref="IV24">IFERROR(IF($IN24="SEGMENT",INDEX('Margin Guidence Table'!$A$1:$AG$10000,MATCH(1,('Margin Guidence Table'!$A$1:$A$10000=IL24)*('Margin Guidence Table'!$I$1:$I$10000&lt;=ROUND($ID$3,0))*('Margin Guidence Table'!$J$1:$J$10000&gt;=ROUND($ID$3,0)),0),MATCH("CIA_MEDIAN_MARGIN_GUIDENCE",'Margin Guidence Table'!$A$1:$AG$1,0)),INDEX('Margin Guidence Table'!$A$1:$AG$10000,MATCH(1,('Margin Guidence Table'!$A$1:$A$10000=IL24)*('Margin Guidence Table'!$I$1:$I$10000&lt;=ROUND($ID$3,0))*('Margin Guidence Table'!$J$1:$J$10000&gt;=ROUND($ID$3,0)),0),MATCH("DEFAULT_CIA_MEDIAN_MARGIN_GUIDENCE",'Margin Guidence Table'!$A$1:$AG$1,0))),0)</f>
        <v>0</v>
      </c>
      <c r="IW24" s="127"/>
      <c r="IX24" s="18">
        <f t="array" ref="IX24">IFERROR(IF($JK24="SEGMENT",INDEX('Margin Guidence Table'!$A$1:$AG$10000,MATCH(1,('Margin Guidence Table'!$A$1:$A$10000=$JI24)*('Margin Guidence Table'!$I$1:$I$10000&lt;=ROUND($JA$3,0))*('Margin Guidence Table'!$J$1:$J$10000&gt;=ROUND($JA$3,0)),0),MATCH("PCT_SALES",'Margin Guidence Table'!$A$1:$AG$1,0)),INDEX('Margin Guidence Table'!$A$1:$AG$10000,MATCH(1,('Margin Guidence Table'!$A$1:$A$10000=$JI24)*('Margin Guidence Table'!$I$1:$I$10000&lt;=ROUND($JA$3,0))*('Margin Guidence Table'!$J$1:$J$10000&gt;=ROUND($JA$3,0)),0),MATCH("DEFAULT_PCT_SALES",'Margin Guidence Table'!$A$1:$AG$1,0))),0)</f>
        <v>0</v>
      </c>
      <c r="IY24" s="370" t="e">
        <f t="shared" si="44"/>
        <v>#DIV/0!</v>
      </c>
      <c r="IZ24" s="100" t="s">
        <v>97</v>
      </c>
      <c r="JA24" s="92">
        <f>IFERROR(IF(AND($JA$2&lt;&gt;"Enter Spend&gt;&gt;&gt;",JB12="EXISTING"),SUMIFS('Existing Customers'!$Q:$Q,'Existing Customers'!$A:$A,$JA$1,'Existing Customers'!$H:$H,$IZ24)*$JA$4,$JA$3*$IY24),0)</f>
        <v>0</v>
      </c>
      <c r="JB24" s="87">
        <f>IFERROR(IF(AND($JA$2&lt;&gt;"Enter Spend&gt;&gt;&gt;",JB2="EXISTING"),SUMIFS('Existing Customers'!$N:$N,'Existing Customers'!$A:$A,$JA$1,'Existing Customers'!$H:$H,$IZ24)*$JA$4,$JA24/$JL24),0)</f>
        <v>0</v>
      </c>
      <c r="JC24" s="93">
        <f>IFERROR(IF(AND($JA$2&lt;&gt;"Enter Spend&gt;&gt;&gt;",JB2="EXISTING"),SUMIFS('Existing Customers'!$O:$O,'Existing Customers'!$H:$H,$IZ24,'Existing Customers'!$A:$A,$JA$1)*$JA$4,$JB24*$JA$8),0)</f>
        <v>0</v>
      </c>
      <c r="JD24" s="93">
        <f>IFERROR(IF(AND($JA$2&lt;&gt;"Enter Spend&gt;&gt;&gt;",JB2="EXISTING"),SUMIFS('Existing Customers'!$P:$P,'Existing Customers'!$A:$A,$JA$1,'Existing Customers'!$H:$H,$IZ24)*$JA$4,$JA24/$JM24),0)</f>
        <v>0</v>
      </c>
      <c r="JE24" s="376">
        <f>IFERROR(IF(AND($JA$2&lt;&gt;"Enter Spend&gt;&gt;&gt;",JB2="EXISTING"),SUMIFS('Existing Customers'!$V:$V,'Existing Customers'!$H:$H,$IZ24,'Existing Customers'!$A:$A,$JA$1)*$JA$4,0),0)</f>
        <v>0</v>
      </c>
      <c r="JF24" s="94">
        <f>IFERROR(IF(AND($JA$2&lt;&gt;"Enter Spend&gt;&gt;&gt;",JB2="EXISTING"),SUMIFS('Existing Customers'!$R:$R,'Existing Customers'!$H:$H,$IZ24,'Existing Customers'!$A:$A,$JA$1)*$JA$4,0),0)</f>
        <v>0</v>
      </c>
      <c r="JG24" s="1050">
        <f>IFERROR(IF(AND($JA$2&lt;&gt;"Enter Spend&gt;&gt;&gt;",JB2="EXISTING"),SUMIFS('Existing Customers'!$S:$S,'Existing Customers'!$H:$H,$IZ24,'Existing Customers'!$A:$A,$JA$1),JQ24*JA24),0)</f>
        <v>0</v>
      </c>
      <c r="JH24" s="1050">
        <f>IFERROR(IF(AND($JA$2&lt;&gt;"Enter Spend&gt;&gt;&gt;",JB2="EXISTING"),SUMIFS('Existing Customers'!$U:$U,'Existing Customers'!$H:$H,$IZ24,'Existing Customers'!$A:$A,$JA$1),JR24*JA24),0)</f>
        <v>0</v>
      </c>
      <c r="JI24" s="1053" t="e">
        <f>_xlfn.CONCAT('Customer Inputs'!$AG$15,"_",IZ24)</f>
        <v>#N/A</v>
      </c>
      <c r="JJ24" s="1053">
        <f t="array" ref="JJ24">IFERROR(INDEX('Margin Guidence Table'!$A$1:$AG$10000,MATCH(1,('Margin Guidence Table'!$A$1:$A$10000=JI24)*('Margin Guidence Table'!$I$1:$I$10000&lt;=ROUND($JA$3,0))*('Margin Guidence Table'!$J$1:$J$10000&gt;=ROUND($JA$3,0)),0),MATCH("DATA_POINTS",'Margin Guidence Table'!$A$1:$AG$1,0)),0)</f>
        <v>0</v>
      </c>
      <c r="JK24" s="1050" t="str">
        <f t="shared" si="45"/>
        <v>DEFAULT</v>
      </c>
      <c r="JL24" s="1050">
        <f t="array" ref="JL24">IFERROR(IF($JK24="SEGMENT",INDEX('Margin Guidence Table'!$A$1:$AG$10000,MATCH(1,('Margin Guidence Table'!$A$1:$A$10000=JI24)*('Margin Guidence Table'!$I$1:$I$10000&lt;=ROUND($JA$3,0))*('Margin Guidence Table'!$J$1:$J$10000&gt;=ROUND($JA$3,0)),0),MATCH("SALES_CASE",'Margin Guidence Table'!$A$1:$AG$1,0)),INDEX('Margin Guidence Table'!$A$1:$AG$10000,MATCH(1,('Margin Guidence Table'!$A$1:$A$10000=JI24)*('Margin Guidence Table'!$I$1:$I$10000&lt;=ROUND($JA$3,0))*('Margin Guidence Table'!$J$1:$J$10000&gt;=ROUND($JA$3,0)),0),MATCH("DEFAULT_SALES_CASE",'Margin Guidence Table'!$A$1:$AG$1,0))),0)</f>
        <v>0</v>
      </c>
      <c r="JM24" s="1050">
        <f t="array" ref="JM24">IFERROR(IF($JK24="SEGMENT",INDEX('Margin Guidence Table'!$A$1:$AG$10000,MATCH(1,('Margin Guidence Table'!$A$1:$A$10000=JI24)*('Margin Guidence Table'!$I$1:$I$10000&lt;=ROUND($JA$3,0))*('Margin Guidence Table'!$J$1:$J$10000&gt;=ROUND($JA$3,0)),0),MATCH("SALES_LBS",'Margin Guidence Table'!$A$1:$AG$1,0)),INDEX('Margin Guidence Table'!$A$1:$AG$10000,MATCH(1,('Margin Guidence Table'!$A$1:$A$10000=JI24)*('Margin Guidence Table'!$I$1:$I$10000&lt;=ROUND($JA$3,0))*('Margin Guidence Table'!$J$1:$J$10000&gt;=ROUND($JA$3,0)),0),MATCH("DEFAULT_SALES_LBS",'Margin Guidence Table'!$A$1:$AG$1,0))),0)</f>
        <v>0</v>
      </c>
      <c r="JN24" s="1054">
        <f t="array" ref="JN24">IFERROR(IF($JK24="SEGMENT",INDEX('Margin Guidence Table'!$A$1:$AG$10000,MATCH(1,('Margin Guidence Table'!$A$1:$A$10000=JI24)*('Margin Guidence Table'!$I$1:$I$10000&lt;=ROUND($JA$3,0))*('Margin Guidence Table'!$J$1:$J$10000&gt;=ROUND($JA$3,0)),0),MATCH("MDA_MIN_MARGIN_GUIDENCE",'Margin Guidence Table'!$A$1:$AG$1,0)),INDEX('Margin Guidence Table'!$A$1:$AG$10000,MATCH(1,('Margin Guidence Table'!$A$1:$A$10000=JI24)*('Margin Guidence Table'!$I$1:$I$10000&lt;=ROUND($JA$3,0))*('Margin Guidence Table'!$J$1:$J$10000&gt;=ROUND($JA$3,0)),0),MATCH("DEFAULT_MDA_MIN_MARGIN_GUIDENCE",'Margin Guidence Table'!$A$1:$AG$1,0))),0)</f>
        <v>0</v>
      </c>
      <c r="JO24" s="1054">
        <f t="array" ref="JO24">IFERROR(IF($JK24="SEGMENT",INDEX('Margin Guidence Table'!$A$1:$AG$10000,MATCH(1,('Margin Guidence Table'!$A$1:$A$10000=JI24)*('Margin Guidence Table'!$I$1:$I$10000&lt;=ROUND($JA$3,0))*('Margin Guidence Table'!$J$1:$J$10000&gt;=ROUND($JA$3,0)),0),MATCH("MDA_MEDIAN_MARGIN_GUIDENCE",'Margin Guidence Table'!$A$1:$AG$1,0)),INDEX('Margin Guidence Table'!$A$1:$AG$10000,MATCH(1,('Margin Guidence Table'!$A$1:$A$10000=JI24)*('Margin Guidence Table'!$I$1:$I$10000&lt;=ROUND($JA$3,0))*('Margin Guidence Table'!$J$1:$J$10000&gt;=ROUND($JA$3,0)),0),MATCH("DEFAULT_MDA_MEDIAN_MARGIN_GUIDENCE",'Margin Guidence Table'!$A$1:$AG$1,0))),0)</f>
        <v>0</v>
      </c>
      <c r="JP24" s="1054">
        <f t="array" ref="JP24">IFERROR(IF($JK24="SEGMENT",INDEX('Margin Guidence Table'!$A$1:$AG$10000,MATCH(1,('Margin Guidence Table'!$A$1:$A$10000=JI24)*('Margin Guidence Table'!$I$1:$I$10000&lt;=ROUND($JA$3,0))*('Margin Guidence Table'!$J$1:$J$10000&gt;=ROUND($JA$3,0)),0),MATCH("MDA_MAX_MARGIN_GUIDENCE",'Margin Guidence Table'!$A$1:$AG$1,0)),INDEX('Margin Guidence Table'!$A$1:$AG$10000,MATCH(1,('Margin Guidence Table'!$A$1:$A$10000=JI24)*('Margin Guidence Table'!$I$1:$I$10000&lt;=ROUND($JA$3,0))*('Margin Guidence Table'!$J$1:$J$10000&gt;=ROUND($JA$3,0)),0),MATCH("DEFAULT_MDA_MAX_MARGIN_GUIDENCE",'Margin Guidence Table'!$A$1:$AG$1,0))),0)</f>
        <v>0</v>
      </c>
      <c r="JQ24" s="1054">
        <f t="array" ref="JQ24">IFERROR(IF($JK24="SEGMENT",INDEX('Margin Guidence Table'!$A$1:$AG$10000,MATCH(1,('Margin Guidence Table'!$A$1:$A$10000=JI24)*('Margin Guidence Table'!$I$1:$I$10000&lt;=ROUND($JA$3,0))*('Margin Guidence Table'!$J$1:$J$10000&gt;=ROUND($JA$3,0)),0),MATCH("PA_PCT_SALES",'Margin Guidence Table'!$A$1:$AG$1,0)),INDEX('Margin Guidence Table'!$A$1:$AG$10000,MATCH(1,('Margin Guidence Table'!$A$1:$A$10000=JI24)*('Margin Guidence Table'!$I$1:$I$10000&lt;=ROUND($JA$3,0))*('Margin Guidence Table'!$J$1:$J$10000&gt;=ROUND($JA$3,0)),0),MATCH("DEFAULT_PA_PCT_SALES",'Margin Guidence Table'!$A$1:$AG$1,0))),0)</f>
        <v>0</v>
      </c>
      <c r="JR24" s="1054">
        <f t="array" ref="JR24">IFERROR(IF($JK24="SEGMENT",INDEX('Margin Guidence Table'!$A$1:$AG$10000,MATCH(1,('Margin Guidence Table'!$A$1:$A$10000=JI24)*('Margin Guidence Table'!$I$1:$I$10000&lt;=ROUND($JA$3,0))*('Margin Guidence Table'!$J$1:$J$10000&gt;=ROUND($JA$3,0)),0),MATCH("SELF_FUND_PCT_SALES",'Margin Guidence Table'!$A$1:$AG$1,0)),INDEX('Margin Guidence Table'!$A$1:$AG$10000,MATCH(1,('Margin Guidence Table'!$A$1:$A$10000=JI24)*('Margin Guidence Table'!$I$1:$I$10000&lt;=ROUND($JA$3,0))*('Margin Guidence Table'!$J$1:$J$10000&gt;=ROUND($JA$3,0)),0),MATCH("DEFAULT_SELF_FUND_PCT_SALES",'Margin Guidence Table'!$A$1:$AG$1,0))),0)</f>
        <v>0</v>
      </c>
      <c r="JS24" s="1054">
        <f t="array" ref="JS24">IFERROR(IF($JK24="SEGMENT",INDEX('Margin Guidence Table'!$A$1:$AG$10000,MATCH(1,('Margin Guidence Table'!$A$1:$A$10000=JI24)*('Margin Guidence Table'!$I$1:$I$10000&lt;=ROUND($JA$3,0))*('Margin Guidence Table'!$J$1:$J$10000&gt;=ROUND($JA$3,0)),0),MATCH("CIA_MEDIAN_MARGIN_GUIDENCE",'Margin Guidence Table'!$A$1:$AG$1,0)),INDEX('Margin Guidence Table'!$A$1:$AG$10000,MATCH(1,('Margin Guidence Table'!$A$1:$A$10000=JI24)*('Margin Guidence Table'!$I$1:$I$10000&lt;=ROUND($JA$3,0))*('Margin Guidence Table'!$J$1:$J$10000&gt;=ROUND($JA$3,0)),0),MATCH("DEFAULT_CIA_MEDIAN_MARGIN_GUIDENCE",'Margin Guidence Table'!$A$1:$AG$1,0))),0)</f>
        <v>0</v>
      </c>
      <c r="JU24" s="100" t="s">
        <v>97</v>
      </c>
      <c r="JV24" s="95"/>
      <c r="JW24" s="87"/>
      <c r="JX24" s="87"/>
      <c r="JY24" s="87"/>
      <c r="JZ24" s="112"/>
      <c r="KA24" s="96"/>
      <c r="KB24" s="127"/>
      <c r="KD24" s="100" t="s">
        <v>97</v>
      </c>
      <c r="KE24" s="95"/>
      <c r="KF24" s="87"/>
      <c r="KG24" s="87"/>
      <c r="KH24" s="87"/>
      <c r="KI24" s="112"/>
      <c r="KJ24" s="96"/>
    </row>
    <row r="25" spans="2:296" ht="15.75" thickBot="1" x14ac:dyDescent="0.3">
      <c r="B25" s="100" t="s">
        <v>93</v>
      </c>
      <c r="C25" s="449">
        <f t="shared" si="11"/>
        <v>0</v>
      </c>
      <c r="D25" s="465">
        <f t="shared" si="12"/>
        <v>0</v>
      </c>
      <c r="E25" s="465">
        <f t="shared" si="13"/>
        <v>0</v>
      </c>
      <c r="F25" s="465">
        <f t="shared" si="14"/>
        <v>0</v>
      </c>
      <c r="G25" s="466">
        <f t="shared" si="15"/>
        <v>0</v>
      </c>
      <c r="H25" s="465">
        <f t="shared" si="16"/>
        <v>0</v>
      </c>
      <c r="I25" s="1046" t="e">
        <f t="shared" si="0"/>
        <v>#DIV/0!</v>
      </c>
      <c r="J25" s="1046" t="e">
        <f t="shared" si="1"/>
        <v>#DIV/0!</v>
      </c>
      <c r="K25" s="1046" t="e">
        <f t="shared" si="2"/>
        <v>#DIV/0!</v>
      </c>
      <c r="L25" s="465" t="e">
        <f t="shared" si="3"/>
        <v>#DIV/0!</v>
      </c>
      <c r="M25" s="465" t="e">
        <f t="shared" si="17"/>
        <v>#DIV/0!</v>
      </c>
      <c r="N25" s="1047" t="e">
        <f t="shared" si="4"/>
        <v>#DIV/0!</v>
      </c>
      <c r="P25" t="str">
        <f>'PIM Model'!E21</f>
        <v>INCLUDE</v>
      </c>
      <c r="Q25">
        <f>IFERROR(T25/$T$35,0)</f>
        <v>0</v>
      </c>
      <c r="R25">
        <f t="shared" si="19"/>
        <v>0</v>
      </c>
      <c r="S25" s="100" t="s">
        <v>93</v>
      </c>
      <c r="T25" s="95">
        <f t="shared" si="20"/>
        <v>0</v>
      </c>
      <c r="U25" s="87">
        <f t="shared" si="5"/>
        <v>0</v>
      </c>
      <c r="V25" s="87">
        <f t="shared" si="6"/>
        <v>0</v>
      </c>
      <c r="W25" s="87">
        <f t="shared" si="7"/>
        <v>0</v>
      </c>
      <c r="X25" s="112">
        <f t="shared" si="8"/>
        <v>0</v>
      </c>
      <c r="Y25" s="115">
        <f t="shared" si="21"/>
        <v>0</v>
      </c>
      <c r="Z25" s="374"/>
      <c r="AA25" s="100" t="s">
        <v>93</v>
      </c>
      <c r="AB25" s="453">
        <f t="shared" si="9"/>
        <v>0</v>
      </c>
      <c r="AC25" s="454">
        <f t="shared" si="9"/>
        <v>0</v>
      </c>
      <c r="AD25" s="454">
        <f t="shared" si="9"/>
        <v>0</v>
      </c>
      <c r="AE25" s="455">
        <f t="shared" si="22"/>
        <v>0</v>
      </c>
      <c r="AF25" s="456">
        <f t="shared" si="23"/>
        <v>0</v>
      </c>
      <c r="AG25" s="374"/>
      <c r="AH25" s="100" t="s">
        <v>93</v>
      </c>
      <c r="AI25" s="453">
        <f t="shared" si="10"/>
        <v>0</v>
      </c>
      <c r="AJ25" s="450">
        <f t="shared" si="24"/>
        <v>0</v>
      </c>
      <c r="AK25" s="456"/>
      <c r="AL25" s="374"/>
      <c r="AM25" s="1" t="str">
        <f>IF('PIM Ranges'!$AK23='PIM Ranges'!$AW$11,IF($AI25&lt;'PIM Ranges'!$AX$11,"Q1",IF($AI25&lt;'PIM Ranges'!$AY$11,"Q2",IF($AI25&lt;'PIM Ranges'!$AZ$11,"Q3",IF($AI25&lt;'PIM Ranges'!$BA$11,"Q4","Q5")))),IF('PIM Ranges'!$AK23='PIM Ranges'!$AW$12,IF($AI25&lt;'PIM Ranges'!$AX$12,"Q1",IF($AI25&lt;'PIM Ranges'!$AY$12,"Q2",IF($AI25&lt;'PIM Ranges'!$AZ$12,"Q3",IF($AI25&lt;'PIM Ranges'!$BA$12,"Q4","Q5")))),IF('PIM Ranges'!$AK23='PIM Ranges'!$AW$13,IF($AI25&lt;'PIM Ranges'!$AX$13,"Q1",IF($AI25&lt;'PIM Ranges'!$AY$13,"Q2",IF($AI25&lt;'PIM Ranges'!$AZ$13,"Q3",IF($AI25&lt;'PIM Ranges'!$BA$13,"Q4","Q5")))),IF('PIM Ranges'!$AK23='PIM Ranges'!$AW$14,IF($AI25&lt;'PIM Ranges'!$AX$14,"Q1",IF($AI25&lt;'PIM Ranges'!$AY$14,"Q2",IF($AI25&lt;'PIM Ranges'!$AZ$14,"Q3",IF($AI25&lt;'PIM Ranges'!$BA$14,"Q4","Q5")))),IF('PIM Ranges'!$AK23='PIM Ranges'!$AW$15,IF($AI25&lt;'PIM Ranges'!$AX$15,"Q1",IF($AI25&lt;'PIM Ranges'!$AY$15,"Q2",IF($AI25&lt;'PIM Ranges'!$AZ$15,"Q3",IF($AI25&lt;'PIM Ranges'!$BA$15,"Q4","Q5")))),IF('PIM Ranges'!$AK23='PIM Ranges'!$AW$16,IF($AI25&lt;'PIM Ranges'!$AX$16,"Q1",IF($AI25&lt;'PIM Ranges'!$AY$16,"Q2",IF($AI25&lt;'PIM Ranges'!$AZ$16,"Q3",IF($AI25&lt;'PIM Ranges'!$BA$16,"Q4","Q5")))),IF('PIM Ranges'!$AK23='PIM Ranges'!$AW$17,IF($AI25&lt;'PIM Ranges'!$AX$17,"Q1",IF($AI25&lt;'PIM Ranges'!$AY$17,"Q2",IF($AI25&lt;'PIM Ranges'!$AZ$17,"Q3",IF($AI25&lt;'PIM Ranges'!$BA$17,"Q4","Q5")))),IF('PIM Ranges'!$AK23='PIM Ranges'!$AW$18,IF($AI25&lt;'PIM Ranges'!$AX$18,"Q1",IF($AI25&lt;'PIM Ranges'!$AY$18,"Q2",IF($AI25&lt;'PIM Ranges'!$AZ$18,"Q3",IF($AI25&lt;'PIM Ranges'!$BA$18,"Q4","Q5")))),IF('PIM Ranges'!$AK23='PIM Ranges'!$AW$19,IF($AI25&lt;'PIM Ranges'!$AX$19,"Q1",IF($AI25&lt;'PIM Ranges'!$AY$19,"Q2",IF($AI25&lt;'PIM Ranges'!$AZ$19,"Q3",IF($AI25&lt;'PIM Ranges'!$BA$19,"Q4","Q5")))),IF('PIM Ranges'!$AK23='PIM Ranges'!$AW$20,IF($AI25&lt;'PIM Ranges'!$AX$20,"Q1",IF($AI25&lt;'PIM Ranges'!$AY$20,"Q2",IF($AI25&lt;'PIM Ranges'!$AZ$20,"Q3",IF($AI25&lt;'PIM Ranges'!$BA$20,"Q4","Q5")))),IF('PIM Ranges'!$AK23='PIM Ranges'!$AW$21,IF($AI25&lt;'PIM Ranges'!$AX$21,"Q1",IF($AI25&lt;'PIM Ranges'!$AY$21,"Q2",IF($AI25&lt;'PIM Ranges'!$AZ$21,"Q3",IF($AI25&lt;'PIM Ranges'!$BA$21,"Q4","Q5")))),IF('PIM Ranges'!$AK23='PIM Ranges'!$AW$22,IF($AI25&lt;'PIM Ranges'!$AX$22,"Q1",IF($AI25&lt;'PIM Ranges'!$AY$22,"Q2",IF($AI25&lt;'PIM Ranges'!$AZ$22,"Q3",IF($AI25&lt;'PIM Ranges'!$BA$22,"Q4","Q5")))),IF('PIM Ranges'!$AK23='PIM Ranges'!$AW$23,IF($AI25&lt;'PIM Ranges'!$AX$23,"Q1",IF($AI25&lt;'PIM Ranges'!$AY$23,"Q2",IF($AI25&lt;'PIM Ranges'!$AZ$23,"Q3",IF($AI25&lt;'PIM Ranges'!$BA$23,"Q4","Q5")))),IF('PIM Ranges'!$AK23='PIM Ranges'!$AW$24,IF($AI25&lt;'PIM Ranges'!$AX$24,"Q1",IF($AI25&lt;'PIM Ranges'!$AY$24,"Q2",IF($AI25&lt;'PIM Ranges'!$AZ$24,"Q3",IF($AI25&lt;'PIM Ranges'!$BA$24,"Q4","Q5")))),IF('PIM Ranges'!$AK23='PIM Ranges'!$AW$25,IF($AI25&lt;'PIM Ranges'!$AX$25,"Q1",IF($AI25&lt;'PIM Ranges'!$AY$25,"Q2",IF($AI25&lt;'PIM Ranges'!$AZ$25,"Q3",IF($AI25&lt;'PIM Ranges'!$BA$25,"Q4","Q5")))),IF('PIM Ranges'!$AK23='PIM Ranges'!$AW$26,IF($AI25&lt;'PIM Ranges'!$AX$26,"Q1",IF($AI25&lt;'PIM Ranges'!$AY$26,"Q2",IF($AI25&lt;'PIM Ranges'!$AZ$26,"Q3",IF($AI25&lt;'PIM Ranges'!$BA$26,"Q4","Q5")))),IF('PIM Ranges'!$AK23='PIM Ranges'!$AW$27,IF($AI25&lt;'PIM Ranges'!$AX$27,"Q1",IF($AI25&lt;'PIM Ranges'!$AY$27,"Q2",IF($AI25&lt;'PIM Ranges'!$AZ$27,"Q3",IF($AI25&lt;'PIM Ranges'!$BA$27,"Q4","Q5")))),IF('PIM Ranges'!$AK23='PIM Ranges'!$AW$28,IF($AI25&lt;'PIM Ranges'!$AX$28,"Q1",IF($AI25&lt;'PIM Ranges'!$AY$28,"Q2",IF($AI25&lt;'PIM Ranges'!$AZ$28,"Q3",IF($AI25&lt;'PIM Ranges'!$BA$28,"Q4","Q5")))),IF('PIM Ranges'!$AK23='PIM Ranges'!$AW$29,IF($AI25&lt;'PIM Ranges'!$AX$29,"Q1",IF($AI25&lt;'PIM Ranges'!$AY$29,"Q2",IF($AI25&lt;'PIM Ranges'!$AZ$29,"Q3",IF($AI25&lt;'PIM Ranges'!$BA$29,"Q4","Q5")))),IF('PIM Ranges'!$AK23='PIM Ranges'!$AW$30,IF($AI25&lt;'PIM Ranges'!$AX$30,"Q1",IF($AI25&lt;'PIM Ranges'!$AY$30,"Q2",IF($AI25&lt;'PIM Ranges'!$AZ$30,"Q3",IF($AI25&lt;'PIM Ranges'!$BA$30,"Q4","Q5")))),IF('PIM Ranges'!$AK23='PIM Ranges'!$AW$31,IF($AI25&lt;'PIM Ranges'!$AX$31,"Q1",IF($AI25&lt;'PIM Ranges'!$AY$31,"Q2",IF($AI25&lt;'PIM Ranges'!$AZ$31,"Q3",IF($AI25&lt;'PIM Ranges'!$BA$31,"Q4","Q5")))),IF('PIM Ranges'!$AK23='PIM Ranges'!$AW$32,IF($AI25&lt;'PIM Ranges'!$AX$32,"Q1",IF($AI25&lt;'PIM Ranges'!$AY$32,"Q2",IF($AI25&lt;'PIM Ranges'!$AZ$32,"Q3",IF($AI25&lt;'PIM Ranges'!$BA$32,"Q4","Q5"))))))))))))))))))))))))))</f>
        <v>Q1</v>
      </c>
      <c r="AN25" s="374">
        <f>VLOOKUP($AH25&amp;$AM25,'IMargin Quartiles'!$A:$F,6,FALSE)</f>
        <v>0.18</v>
      </c>
      <c r="AO25" s="374"/>
      <c r="AP25"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Q25" s="374" t="e">
        <f t="shared" si="25"/>
        <v>#DIV/0!</v>
      </c>
      <c r="AR25">
        <f>'PIM Model'!C21</f>
        <v>0</v>
      </c>
      <c r="AS25" s="374"/>
      <c r="AT25" s="374"/>
      <c r="AU25" s="374" t="e">
        <f t="shared" si="46"/>
        <v>#DIV/0!</v>
      </c>
      <c r="AV25" s="374"/>
      <c r="AW25" s="374"/>
      <c r="AX25" s="106">
        <v>14</v>
      </c>
      <c r="AY25" s="18">
        <f t="array" ref="AY25">IFERROR(IF($BL25="SEGMENT",INDEX('Margin Guidence Table'!$A$1:$AG$10000,MATCH(1,('Margin Guidence Table'!$A$1:$A$10000=$BJ25)*('Margin Guidence Table'!$I$1:$I$10000&lt;=ROUND($BB$3,0))*('Margin Guidence Table'!$J$1:$J$10000&gt;=ROUND($BB$3,0)),0),MATCH("PCT_SALES",'Margin Guidence Table'!$A$1:$AG$1,0)),INDEX('Margin Guidence Table'!$A$1:$AG$10000,MATCH(1,('Margin Guidence Table'!$A$1:$A$10000=$BJ25)*('Margin Guidence Table'!$I$1:$I$10000&lt;=ROUND($BB$3,0))*('Margin Guidence Table'!$J$1:$J$10000&gt;=ROUND($BB$3,0)),0),MATCH("DEFAULT_PCT_SALES",'Margin Guidence Table'!$A$1:$AG$1,0))),0)</f>
        <v>0</v>
      </c>
      <c r="AZ25" s="370" t="e">
        <f t="shared" si="26"/>
        <v>#DIV/0!</v>
      </c>
      <c r="BA25" s="100" t="s">
        <v>93</v>
      </c>
      <c r="BB25" s="92">
        <f>IFERROR(IF(AND($BB$2&lt;&gt;"Enter Spend&gt;&gt;&gt;",BC13="EXISTING"),SUMIFS('Existing Customers'!$Q:$Q,'Existing Customers'!$A:$A,$BB$1,'Existing Customers'!$H:$H,$BA25)*$BB$4,$BB$3*$AZ25),0)</f>
        <v>0</v>
      </c>
      <c r="BC25" s="93">
        <f>IFERROR(IF(AND($BB$2&lt;&gt;"Enter Spend&gt;&gt;&gt;",BC2="EXISTING"),SUMIFS('Existing Customers'!$N:$N,'Existing Customers'!$A:$A,$BB$1,'Existing Customers'!$H:$H,$BA25)*$BB$4,$BB25/$BM25),0)</f>
        <v>0</v>
      </c>
      <c r="BD25" s="93">
        <f>IFERROR(IF(AND($BB$2&lt;&gt;"Enter Spend&gt;&gt;&gt;",BC2="EXISTING"),SUMIFS('Existing Customers'!$O:$O,'Existing Customers'!$H:$H,$BA25,'Existing Customers'!$A:$A,$BB$1)*$BB$4,$BC25*$BB$8),0)</f>
        <v>0</v>
      </c>
      <c r="BE25" s="93">
        <f>IFERROR(IF(AND($BB$2&lt;&gt;"Enter Spend&gt;&gt;&gt;",BC2="EXISTING"),SUMIFS('Existing Customers'!$P:$P,'Existing Customers'!$A:$A,$BB$1,'Existing Customers'!$H:$H,$BA25)*$BB$4,$BB25/$BN25),0)</f>
        <v>0</v>
      </c>
      <c r="BF25" s="376">
        <f>IFERROR(IF(AND($BB$2&lt;&gt;"Enter Spend&gt;&gt;&gt;",BC2="EXISTING"),SUMIFS('Existing Customers'!$V:$V,'Existing Customers'!$H:$H,$BA25,'Existing Customers'!$A:$A,$BB$1)*$BB$4,0),0)</f>
        <v>0</v>
      </c>
      <c r="BG25" s="94">
        <f>IFERROR(IF(AND($BB$2&lt;&gt;"Enter Spend&gt;&gt;&gt;",BC2="EXISTING"),SUMIFS('Existing Customers'!$R:$R,'Existing Customers'!$H:$H,$BA25,'Existing Customers'!$A:$A,$BB$1)*$BB$4,0),0)</f>
        <v>0</v>
      </c>
      <c r="BH25" s="94">
        <f>IFERROR(IF(AND($BB$2&lt;&gt;"Enter Spend&gt;&gt;&gt;",BC2="EXISTING"),SUMIFS('Existing Customers'!$S:$S,'Existing Customers'!$H:$H,$BA25,'Existing Customers'!$A:$A,$BB$1),BR25*BB25),0)</f>
        <v>0</v>
      </c>
      <c r="BI25" s="94">
        <f>IFERROR(IF(AND($BB$2&lt;&gt;"Enter Spend&gt;&gt;&gt;",BC2="EXISTING"),SUMIFS('Existing Customers'!$U:$U,'Existing Customers'!$H:$H,$BA25,'Existing Customers'!$A:$A,$BB$1),BS25*BB25),0)</f>
        <v>0</v>
      </c>
      <c r="BJ25" s="1052" t="e">
        <f>_xlfn.CONCAT('Customer Inputs'!$AG$6,"_",BA25)</f>
        <v>#N/A</v>
      </c>
      <c r="BK25" s="1053">
        <f t="array" ref="BK25">IFERROR(INDEX('Margin Guidence Table'!$A$1:$AG$10000,MATCH(1,('Margin Guidence Table'!$A$1:$A$10000=$BJ25)*('Margin Guidence Table'!$I$1:$I$10000&lt;=ROUND($BB$3,0))*('Margin Guidence Table'!$J$1:$J$10000&gt;=ROUND($BB$3,0)),0),MATCH("DATA_POINTS",'Margin Guidence Table'!$A$1:$AG$1,0)),0)</f>
        <v>0</v>
      </c>
      <c r="BL25" s="1050" t="str">
        <f t="shared" si="27"/>
        <v>DEFAULT</v>
      </c>
      <c r="BM25" s="1050">
        <f t="array" ref="BM25">IFERROR(IF($BL25="SEGMENT",INDEX('Margin Guidence Table'!$A$1:$AG$10000,MATCH(1,('Margin Guidence Table'!$A$1:$A$10000=$BJ25)*('Margin Guidence Table'!$I$1:$I$10000&lt;=ROUND($BB$3,0))*('Margin Guidence Table'!$J$1:$J$10000&gt;=ROUND($BB$3,0)),0),MATCH("SALES_CASE",'Margin Guidence Table'!$A$1:$AG$1,0)),INDEX('Margin Guidence Table'!$A$1:$AG$10000,MATCH(1,('Margin Guidence Table'!$A$1:$A$10000=$BJ25)*('Margin Guidence Table'!$I$1:$I$10000&lt;=ROUND($BB$3,0))*('Margin Guidence Table'!$J$1:$J$10000&gt;=ROUND($BB$3,0)),0),MATCH("DEFAULT_SALES_CASE",'Margin Guidence Table'!$A$1:$AG$1,0))),0)</f>
        <v>0</v>
      </c>
      <c r="BN25" s="1050">
        <f t="array" ref="BN25">IFERROR(IF($BL25="SEGMENT",INDEX('Margin Guidence Table'!$A$1:$AG$10000,MATCH(1,('Margin Guidence Table'!$A$1:$A$10000=$BJ25)*('Margin Guidence Table'!$I$1:$I$10000&lt;=ROUND($BB$3,0))*('Margin Guidence Table'!$J$1:$J$10000&gt;=ROUND($BB$3,0)),0),MATCH("SALES_LBS",'Margin Guidence Table'!$A$1:$AG$1,0)),INDEX('Margin Guidence Table'!$A$1:$AG$10000,MATCH(1,('Margin Guidence Table'!$A$1:$A$10000=$BJ25)*('Margin Guidence Table'!$I$1:$I$10000&lt;=ROUND($BB$3,0))*('Margin Guidence Table'!$J$1:$J$10000&gt;=ROUND($BB$3,0)),0),MATCH("DEFAULT_SALES_LBS",'Margin Guidence Table'!$A$1:$AG$1,0))),0)</f>
        <v>0</v>
      </c>
      <c r="BO25" s="1054">
        <f t="array" ref="BO25">IFERROR(IF($BL25="SEGMENT",INDEX('Margin Guidence Table'!$A$1:$AG$10000,MATCH(1,('Margin Guidence Table'!$A$1:$A$10000=$BJ25)*('Margin Guidence Table'!$I$1:$I$10000&lt;=ROUND($BB$3,0))*('Margin Guidence Table'!$J$1:$J$10000&gt;=ROUND($BB$3,0)),0),MATCH("MDA_MIN_MARGIN_GUIDENCE",'Margin Guidence Table'!$A$1:$AG$1,0)),INDEX('Margin Guidence Table'!$A$1:$AG$10000,MATCH(1,('Margin Guidence Table'!$A$1:$A$10000=$BJ25)*('Margin Guidence Table'!$I$1:$I$10000&lt;=ROUND($BB$3,0))*('Margin Guidence Table'!$J$1:$J$10000&gt;=ROUND($BB$3,0)),0),MATCH("DEFAULT_MDA_MIN_MARGIN_GUIDENCE",'Margin Guidence Table'!$A$1:$AG$1,0))),0)</f>
        <v>0</v>
      </c>
      <c r="BP25" s="1054">
        <f t="array" ref="BP25">IFERROR(IF($BL25="SEGMENT",INDEX('Margin Guidence Table'!$A$1:$AG$10000,MATCH(1,('Margin Guidence Table'!$A$1:$A$10000=$BJ25)*('Margin Guidence Table'!$I$1:$I$10000&lt;=ROUND($BB$3,0))*('Margin Guidence Table'!$J$1:$J$10000&gt;=ROUND($BB$3,0)),0),MATCH("MDA_MEDIAN_MARGIN_GUIDENCE",'Margin Guidence Table'!$A$1:$AG$1,0)),INDEX('Margin Guidence Table'!$A$1:$AG$10000,MATCH(1,('Margin Guidence Table'!$A$1:$A$10000=$BJ25)*('Margin Guidence Table'!$I$1:$I$10000&lt;=ROUND($BB$3,0))*('Margin Guidence Table'!$J$1:$J$10000&gt;=ROUND($BB$3,0)),0),MATCH("DEFAULT_MDA_MEDIAN_MARGIN_GUIDENCE",'Margin Guidence Table'!$A$1:$AG$1,0))),0)</f>
        <v>0</v>
      </c>
      <c r="BQ25" s="1054">
        <f t="array" ref="BQ25">IFERROR(IF($BL25="SEGMENT",INDEX('Margin Guidence Table'!$A$1:$AG$10000,MATCH(1,('Margin Guidence Table'!$A$1:$A$10000=$BJ25)*('Margin Guidence Table'!$I$1:$I$10000&lt;=ROUND($BB$3,0))*('Margin Guidence Table'!$J$1:$J$10000&gt;=ROUND($BB$3,0)),0),MATCH("MDA_MAX_MARGIN_GUIDENCE",'Margin Guidence Table'!$A$1:$AG$1,0)),INDEX('Margin Guidence Table'!$A$1:$AG$10000,MATCH(1,('Margin Guidence Table'!$A$1:$A$10000=$BJ25)*('Margin Guidence Table'!$I$1:$I$10000&lt;=ROUND($BB$3,0))*('Margin Guidence Table'!$J$1:$J$10000&gt;=ROUND($BB$3,0)),0),MATCH("DEFAULT_MDA_MAX_MARGIN_GUIDENCE",'Margin Guidence Table'!$A$1:$AG$1,0))),0)</f>
        <v>0</v>
      </c>
      <c r="BR25" s="1054">
        <f t="array" ref="BR25">IFERROR(IF($BL25="SEGMENT",INDEX('Margin Guidence Table'!$A$1:$AG$10000,MATCH(1,('Margin Guidence Table'!$A$1:$A$10000=$BJ25)*('Margin Guidence Table'!$I$1:$I$10000&lt;=ROUND($BB$3,0))*('Margin Guidence Table'!$J$1:$J$10000&gt;=ROUND($BB$3,0)),0),MATCH("PA_PCT_SALES",'Margin Guidence Table'!$A$1:$AG$1,0)),INDEX('Margin Guidence Table'!$A$1:$AG$10000,MATCH(1,('Margin Guidence Table'!$A$1:$A$10000=$BJ25)*('Margin Guidence Table'!$I$1:$I$10000&lt;=ROUND($BB$3,0))*('Margin Guidence Table'!$J$1:$J$10000&gt;=ROUND($BB$3,0)),0),MATCH("DEFAULT_PA_PCT_SALES",'Margin Guidence Table'!$A$1:$AG$1,0))),0)</f>
        <v>0</v>
      </c>
      <c r="BS25" s="1054">
        <f t="array" ref="BS25">IFERROR(IF($BL25="SEGMENT",INDEX('Margin Guidence Table'!$A$1:$AG$10000,MATCH(1,('Margin Guidence Table'!$A$1:$A$10000=$BJ25)*('Margin Guidence Table'!$I$1:$I$10000&lt;=ROUND($BB$3,0))*('Margin Guidence Table'!$J$1:$J$10000&gt;=ROUND($BB$3,0)),0),MATCH("SELF_FUND_PCT_SALES",'Margin Guidence Table'!$A$1:$AG$1,0)),INDEX('Margin Guidence Table'!$A$1:$AG$10000,MATCH(1,('Margin Guidence Table'!$A$1:$A$10000=$BJ25)*('Margin Guidence Table'!$I$1:$I$10000&lt;=ROUND($BB$3,0))*('Margin Guidence Table'!$J$1:$J$10000&gt;=ROUND($BB$3,0)),0),MATCH("DEFAULT_SELF_FUND_PCT_SALES",'Margin Guidence Table'!$A$1:$AG$1,0))),0)</f>
        <v>0</v>
      </c>
      <c r="BT25" s="1054">
        <f t="array" ref="BT25">IFERROR(IF($BL25="SEGMENT",INDEX('Margin Guidence Table'!$A$1:$AG$10000,MATCH(1,('Margin Guidence Table'!$A$1:$A$10000=$BJ25)*('Margin Guidence Table'!$I$1:$I$10000&lt;=ROUND($BB$3,0))*('Margin Guidence Table'!$J$1:$J$10000&gt;=ROUND($BB$3,0)),0),MATCH("CIA_MEDIAN_MARGIN_GUIDENCE",'Margin Guidence Table'!$A$1:$AG$1,0)),INDEX('Margin Guidence Table'!$A$1:$AG$10000,MATCH(1,('Margin Guidence Table'!$A$1:$A$10000=$BJ25)*('Margin Guidence Table'!$I$1:$I$10000&lt;=ROUND($BB$3,0))*('Margin Guidence Table'!$J$1:$J$10000&gt;=ROUND($BB$3,0)),0),MATCH("DEFAULT_CIA_MEDIAN_MARGIN_GUIDENCE",'Margin Guidence Table'!$A$1:$AG$1,0))),0)</f>
        <v>0</v>
      </c>
      <c r="BU25" s="127"/>
      <c r="BV25" s="18">
        <f t="array" ref="BV25">IFERROR(IF($CI25="SEGMENT",INDEX('Margin Guidence Table'!$A$1:$AG$10000,MATCH(1,('Margin Guidence Table'!$A$1:$A$10000=$CG25)*('Margin Guidence Table'!$I$1:$I$10000&lt;=ROUND($BY$3,0))*('Margin Guidence Table'!$J$1:$J$10000&gt;=ROUND($BY$3,0)),0),MATCH("PCT_SALES",'Margin Guidence Table'!$A$1:$AG$1,0)),INDEX('Margin Guidence Table'!$A$1:$AG$10000,MATCH(1,('Margin Guidence Table'!$A$1:$A$10000=$CG25)*('Margin Guidence Table'!$I$1:$I$10000&lt;=ROUND($BY$3,0))*('Margin Guidence Table'!$J$1:$J$10000&gt;=ROUND($BY$3,0)),0),MATCH("DEFAULT_PCT_SALES",'Margin Guidence Table'!$A$1:$AG$1,0))),0)</f>
        <v>0</v>
      </c>
      <c r="BW25" s="370" t="e">
        <f t="shared" si="28"/>
        <v>#DIV/0!</v>
      </c>
      <c r="BX25" s="100" t="s">
        <v>93</v>
      </c>
      <c r="BY25" s="92">
        <f>IFERROR(IF(AND($BY$2&lt;&gt;"Enter Spend&gt;&gt;&gt;",BZ13="EXISTING"),SUMIFS('Existing Customers'!$Q:$Q,'Existing Customers'!$A:$A,$BY$1,'Existing Customers'!$H:$H,$BX25)*$BY$4,$BY$3*$BW25),0)</f>
        <v>0</v>
      </c>
      <c r="BZ25" s="87">
        <f>IFERROR(IF(AND($BY$2&lt;&gt;"Enter Spend&gt;&gt;&gt;",BZ2="EXISTING"),SUMIFS('Existing Customers'!$N:$N,'Existing Customers'!$A:$A,$BY$1,'Existing Customers'!$H:$H,$BX25)*$BY$4,$BY25/$CJ25),0)</f>
        <v>0</v>
      </c>
      <c r="CA25" s="93">
        <f>IFERROR(IF(AND($BY$2&lt;&gt;"Enter Spend&gt;&gt;&gt;",BZ2="EXISTING"),SUMIFS('Existing Customers'!$O:$O,'Existing Customers'!$H:$H,$BX25,'Existing Customers'!$A:$A,$BY$1)*$BY$4,$BZ25*$BY$8),0)</f>
        <v>0</v>
      </c>
      <c r="CB25" s="93">
        <f>IFERROR(IF(AND($BY$2&lt;&gt;"Enter Spend&gt;&gt;&gt;",BZ2="EXISTING"),SUMIFS('Existing Customers'!$P:$P,'Existing Customers'!$A:$A,$BY$1,'Existing Customers'!$H:$H,$BX25)*$BY$4,$BY25/$CK25),0)</f>
        <v>0</v>
      </c>
      <c r="CC25" s="94">
        <f>IFERROR(IF(AND($BY$2&lt;&gt;"Enter Spend&gt;&gt;&gt;",BZ2="EXISTING"),SUMIFS('Existing Customers'!$V:$V,'Existing Customers'!$H:$H,$BX25,'Existing Customers'!$A:$A,$BY$1)*$BY$4,0),0)</f>
        <v>0</v>
      </c>
      <c r="CD25" s="94">
        <f>IFERROR(IF(AND($BY$2&lt;&gt;"Enter Spend&gt;&gt;&gt;",BZ2="EXISTING"),SUMIFS('Existing Customers'!$R:$R,'Existing Customers'!$H:$H,$BX25,'Existing Customers'!$A:$A,$BY$1)*$BY$4,0),0)</f>
        <v>0</v>
      </c>
      <c r="CE25" s="1050">
        <f>IFERROR(IF(AND($BY$2&lt;&gt;"Enter Spend&gt;&gt;&gt;",BZ2="EXISTING"),SUMIFS('Existing Customers'!$S:$S,'Existing Customers'!$H:$H,$BX25,'Existing Customers'!$A:$A,$BY$1),CO25*BY25),0)</f>
        <v>0</v>
      </c>
      <c r="CF25" s="1050">
        <f>IFERROR(IF(AND($BY$2&lt;&gt;"Enter Spend&gt;&gt;&gt;",BZ2="EXISTING"),SUMIFS('Existing Customers'!$U:$U,'Existing Customers'!$H:$H,$BX25,'Existing Customers'!$A:$A,$BY$1),CP25*BY25),0)</f>
        <v>0</v>
      </c>
      <c r="CG25" s="1053" t="e">
        <f>_xlfn.CONCAT('Customer Inputs'!$AG$7,"_",BX25)</f>
        <v>#N/A</v>
      </c>
      <c r="CH25" s="1053">
        <f t="array" ref="CH25">IFERROR(INDEX('Margin Guidence Table'!$A$1:$AG$10000,MATCH(1,('Margin Guidence Table'!$A$1:$A$10000=$CG25)*('Margin Guidence Table'!$I$1:$I$10000&lt;=ROUND($BY$3,0))*('Margin Guidence Table'!$J$1:$J$10000&gt;=ROUND($BY$3,0)),0),MATCH("DATA_POINTS",'Margin Guidence Table'!$A$1:$AG$1,0)),0)</f>
        <v>0</v>
      </c>
      <c r="CI25" s="1050" t="str">
        <f t="shared" si="29"/>
        <v>DEFAULT</v>
      </c>
      <c r="CJ25" s="1050">
        <f t="array" ref="CJ25">IFERROR(IF($CI25="SEGMENT",INDEX('Margin Guidence Table'!$A$1:$AG$10000,MATCH(1,('Margin Guidence Table'!$A$1:$A$10000=$CG25)*('Margin Guidence Table'!$I$1:$I$10000&lt;=ROUND($BY$3,0))*('Margin Guidence Table'!$J$1:$J$10000&gt;=ROUND($BY$3,0)),0),MATCH("SALES_CASE",'Margin Guidence Table'!$A$1:$AG$1,0)),INDEX('Margin Guidence Table'!$A$1:$AG$10000,MATCH(1,('Margin Guidence Table'!$A$1:$A$10000=$CG25)*('Margin Guidence Table'!$I$1:$I$10000&lt;=ROUND($BY$3,0))*('Margin Guidence Table'!$J$1:$J$10000&gt;=ROUND($BY$3,0)),0),MATCH("DEFAULT_SALES_CASE",'Margin Guidence Table'!$A$1:$AG$1,0))),0)</f>
        <v>0</v>
      </c>
      <c r="CK25" s="1050">
        <f t="array" ref="CK25">IFERROR(IF($CI25="SEGMENT",INDEX('Margin Guidence Table'!$A$1:$AG$10000,MATCH(1,('Margin Guidence Table'!$A$1:$A$10000=$CG25)*('Margin Guidence Table'!$I$1:$I$10000&lt;=ROUND($BY$3,0))*('Margin Guidence Table'!$J$1:$J$10000&gt;=ROUND($BY$3,0)),0),MATCH("SALES_LBS",'Margin Guidence Table'!$A$1:$AG$1,0)),INDEX('Margin Guidence Table'!$A$1:$AG$10000,MATCH(1,('Margin Guidence Table'!$A$1:$A$10000=$CG25)*('Margin Guidence Table'!$I$1:$I$10000&lt;=ROUND($BY$3,0))*('Margin Guidence Table'!$J$1:$J$10000&gt;=ROUND($BY$3,0)),0),MATCH("DEFAULT_SALES_LBS",'Margin Guidence Table'!$A$1:$AG$1,0))),0)</f>
        <v>0</v>
      </c>
      <c r="CL25" s="1054">
        <f t="array" ref="CL25">IFERROR(IF($CI25="SEGMENT",INDEX('Margin Guidence Table'!$A$1:$AG$10000,MATCH(1,('Margin Guidence Table'!$A$1:$A$10000=$CG25)*('Margin Guidence Table'!$I$1:$I$10000&lt;=ROUND($BY$3,0))*('Margin Guidence Table'!$J$1:$J$10000&gt;=ROUND($BY$3,0)),0),MATCH("MDA_MIN_MARGIN_GUIDENCE",'Margin Guidence Table'!$A$1:$AG$1,0)),INDEX('Margin Guidence Table'!$A$1:$AG$10000,MATCH(1,('Margin Guidence Table'!$A$1:$A$10000=$CG25)*('Margin Guidence Table'!$I$1:$I$10000&lt;=ROUND($BY$3,0))*('Margin Guidence Table'!$J$1:$J$10000&gt;=ROUND($BY$3,0)),0),MATCH("DEFAULT_MDA_MIN_MARGIN_GUIDENCE",'Margin Guidence Table'!$A$1:$AG$1,0))),0)</f>
        <v>0</v>
      </c>
      <c r="CM25" s="1054">
        <f t="array" ref="CM25">IFERROR(IF($CI25="SEGMENT",INDEX('Margin Guidence Table'!$A$1:$AG$10000,MATCH(1,('Margin Guidence Table'!$A$1:$A$10000=$CG25)*('Margin Guidence Table'!$I$1:$I$10000&lt;=ROUND($BY$3,0))*('Margin Guidence Table'!$J$1:$J$10000&gt;=ROUND($BY$3,0)),0),MATCH("MDA_MEDIAN_MARGIN_GUIDENCE",'Margin Guidence Table'!$A$1:$AG$1,0)),INDEX('Margin Guidence Table'!$A$1:$AG$10000,MATCH(1,('Margin Guidence Table'!$A$1:$A$10000=$CG25)*('Margin Guidence Table'!$I$1:$I$10000&lt;=ROUND($BY$3,0))*('Margin Guidence Table'!$J$1:$J$10000&gt;=ROUND($BY$3,0)),0),MATCH("DEFAULT_MDA_MEDIAN_MARGIN_GUIDENCE",'Margin Guidence Table'!$A$1:$AG$1,0))),0)</f>
        <v>0</v>
      </c>
      <c r="CN25" s="1054">
        <f t="array" ref="CN25">IFERROR(IF($CI25="SEGMENT",INDEX('Margin Guidence Table'!$A$1:$AG$10000,MATCH(1,('Margin Guidence Table'!$A$1:$A$10000=$CG25)*('Margin Guidence Table'!$I$1:$I$10000&lt;=ROUND($BY$3,0))*('Margin Guidence Table'!$J$1:$J$10000&gt;=ROUND($BY$3,0)),0),MATCH("MDA_MAX_MARGIN_GUIDENCE",'Margin Guidence Table'!$A$1:$AG$1,0)),INDEX('Margin Guidence Table'!$A$1:$AG$10000,MATCH(1,('Margin Guidence Table'!$A$1:$A$10000=$CG25)*('Margin Guidence Table'!$I$1:$I$10000&lt;=ROUND($BY$3,0))*('Margin Guidence Table'!$J$1:$J$10000&gt;=ROUND($BY$3,0)),0),MATCH("DEFAULT_MDA_MAX_MARGIN_GUIDENCE",'Margin Guidence Table'!$A$1:$AG$1,0))),0)</f>
        <v>0</v>
      </c>
      <c r="CO25" s="1054">
        <f t="array" ref="CO25">IFERROR(IF($CI25="SEGMENT",INDEX('Margin Guidence Table'!$A$1:$AG$10000,MATCH(1,('Margin Guidence Table'!$A$1:$A$10000=$CG25)*('Margin Guidence Table'!$I$1:$I$10000&lt;=ROUND($BY$3,0))*('Margin Guidence Table'!$J$1:$J$10000&gt;=ROUND($BY$3,0)),0),MATCH("PA_PCT_SALES",'Margin Guidence Table'!$A$1:$AG$1,0)),INDEX('Margin Guidence Table'!$A$1:$AG$10000,MATCH(1,('Margin Guidence Table'!$A$1:$A$10000=$CG25)*('Margin Guidence Table'!$I$1:$I$10000&lt;=ROUND($BY$3,0))*('Margin Guidence Table'!$J$1:$J$10000&gt;=ROUND($BY$3,0)),0),MATCH("DEFAULT_PA_PCT_SALES",'Margin Guidence Table'!$A$1:$AG$1,0))),0)</f>
        <v>0</v>
      </c>
      <c r="CP25" s="1054">
        <f t="array" ref="CP25">IFERROR(IF($CI25="SEGMENT",INDEX('Margin Guidence Table'!$A$1:$AG$10000,MATCH(1,('Margin Guidence Table'!$A$1:$A$10000=$CG25)*('Margin Guidence Table'!$I$1:$I$10000&lt;=ROUND($BY$3,0))*('Margin Guidence Table'!$J$1:$J$10000&gt;=ROUND($BY$3,0)),0),MATCH("SELF_FUND_PCT_SALES",'Margin Guidence Table'!$A$1:$AG$1,0)),INDEX('Margin Guidence Table'!$A$1:$AG$10000,MATCH(1,('Margin Guidence Table'!$A$1:$A$10000=$CG25)*('Margin Guidence Table'!$I$1:$I$10000&lt;=ROUND($BY$3,0))*('Margin Guidence Table'!$J$1:$J$10000&gt;=ROUND($BY$3,0)),0),MATCH("DEFAULT_SELF_FUND_PCT_SALES",'Margin Guidence Table'!$A$1:$AG$1,0))),0)</f>
        <v>0</v>
      </c>
      <c r="CQ25" s="1054">
        <f t="array" ref="CQ25">IFERROR(IF($CI25="SEGMENT",INDEX('Margin Guidence Table'!$A$1:$AG$10000,MATCH(1,('Margin Guidence Table'!$A$1:$A$10000=$CG25)*('Margin Guidence Table'!$I$1:$I$10000&lt;=ROUND($BY$3,0))*('Margin Guidence Table'!$J$1:$J$10000&gt;=ROUND($BY$3,0)),0),MATCH("CIA_MEDIAN_MARGIN_GUIDENCE",'Margin Guidence Table'!$A$1:$AG$1,0)),INDEX('Margin Guidence Table'!$A$1:$AG$10000,MATCH(1,('Margin Guidence Table'!$A$1:$A$10000=$CG25)*('Margin Guidence Table'!$I$1:$I$10000&lt;=ROUND($BY$3,0))*('Margin Guidence Table'!$J$1:$J$10000&gt;=ROUND($BY$3,0)),0),MATCH("DEFAULT_CIA_MEDIAN_MARGIN_GUIDENCE",'Margin Guidence Table'!$A$1:$AG$1,0))),0)</f>
        <v>0</v>
      </c>
      <c r="CR25" s="127"/>
      <c r="CS25" s="18">
        <f t="array" ref="CS25">IFERROR(IF($DF25="SEGMENT",INDEX('Margin Guidence Table'!$A$1:$AG$10000,MATCH(1,('Margin Guidence Table'!$A$1:$A$10000=$DD25)*('Margin Guidence Table'!$I$1:$I$10000&lt;=ROUND($CV$3,0))*('Margin Guidence Table'!$J$1:$J$10000&gt;=ROUND($CV$3,0)),0),MATCH("PCT_SALES",'Margin Guidence Table'!$A$1:$AG$1,0)),INDEX('Margin Guidence Table'!$A$1:$AG$10000,MATCH(1,('Margin Guidence Table'!$A$1:$A$10000=$DD25)*('Margin Guidence Table'!$I$1:$I$10000&lt;=ROUND($CV$3,0))*('Margin Guidence Table'!$J$1:$J$10000&gt;=ROUND($CV$3,0)),0),MATCH("DEFAULT_PCT_SALES",'Margin Guidence Table'!$A$1:$AG$1,0))),0)</f>
        <v>0</v>
      </c>
      <c r="CT25" s="370" t="e">
        <f t="shared" si="30"/>
        <v>#DIV/0!</v>
      </c>
      <c r="CU25" s="100" t="s">
        <v>93</v>
      </c>
      <c r="CV25" s="92">
        <f>IFERROR(IF(AND($CV$2&lt;&gt;"Enter Spend&gt;&gt;&gt;",CW13="EXISTING"),SUMIFS('Existing Customers'!$Q:$Q,'Existing Customers'!$A:$A,$CV$1,'Existing Customers'!$H:$H,$CU25)*$CV$4,$CV$3*$CT25),0)</f>
        <v>0</v>
      </c>
      <c r="CW25" s="87">
        <f>IFERROR(IF(AND($CV$2&lt;&gt;"Enter Spend&gt;&gt;&gt;",CW2="EXISTING"),SUMIFS('Existing Customers'!$N:$N,'Existing Customers'!$A:$A,$CV$1,'Existing Customers'!$H:$H,$CU25)*$CV$4,$CV25/$DG25),0)</f>
        <v>0</v>
      </c>
      <c r="CX25" s="93">
        <f>IFERROR(IF(AND($CV$2&lt;&gt;"Enter Spend&gt;&gt;&gt;",BC28="EXISTING"),SUMIFS('Existing Customers'!$O:$O,'Existing Customers'!$H:$H,$CU25,'Existing Customers'!$A:$A,$CV$1)*$CV$4,$CW25*$CV$8),0)</f>
        <v>0</v>
      </c>
      <c r="CY25" s="93">
        <f>IFERROR(IF(AND($CV$2&lt;&gt;"Enter Spend&gt;&gt;&gt;",CW2="EXISTING"),SUMIFS('Existing Customers'!$P:$P,'Existing Customers'!$A:$A,$CV$1,'Existing Customers'!$H:$H,$CU25)*$CV$4,$CV25/$DH25),0)</f>
        <v>0</v>
      </c>
      <c r="CZ25" s="94">
        <f>IFERROR(IF(AND($CV$2&lt;&gt;"Enter Spend&gt;&gt;&gt;",CW2="EXISTING"),SUMIFS('Existing Customers'!$V:$V,'Existing Customers'!$H:$H,$CU25,'Existing Customers'!$A:$A,$CV$1)*$CV$4,0),0)</f>
        <v>0</v>
      </c>
      <c r="DA25" s="94">
        <f>IFERROR(IF(AND($CV$2&lt;&gt;"Enter Spend&gt;&gt;&gt;",CW2="EXISTING"),SUMIFS('Existing Customers'!$R:$R,'Existing Customers'!$H:$H,$BA25,'Existing Customers'!$A:$A,$CV$1)*$CV$4,0),0)</f>
        <v>0</v>
      </c>
      <c r="DB25" s="1050">
        <f>IFERROR(IF(AND($CV$2&lt;&gt;"Enter Spend&gt;&gt;&gt;",CW2="EXISTING"),SUMIFS('Existing Customers'!$S:$S,'Existing Customers'!$H:$H,$CU25,'Existing Customers'!$A:$A,$CV$1),DL25*CV25),0)</f>
        <v>0</v>
      </c>
      <c r="DC25" s="1050">
        <f>IFERROR(IF(AND($CV$2&lt;&gt;"Enter Spend&gt;&gt;&gt;",CW2="EXISTING"),SUMIFS('Existing Customers'!$U:$U,'Existing Customers'!$H:$H,$CU25,'Existing Customers'!$A:$A,$CV$1),DM25*CV25),0)</f>
        <v>0</v>
      </c>
      <c r="DD25" s="1053" t="e">
        <f>_xlfn.CONCAT('Customer Inputs'!$AG$8,"_",CU25)</f>
        <v>#N/A</v>
      </c>
      <c r="DE25" s="1053">
        <f t="array" ref="DE25">IFERROR(INDEX('Margin Guidence Table'!$A$1:$AG$10000,MATCH(1,('Margin Guidence Table'!$A$1:$A$10000=DD25)*('Margin Guidence Table'!$I$1:$I$10000&lt;=ROUND($CV$3,0))*('Margin Guidence Table'!$J$1:$J$10000&gt;=ROUND($CV$3,0)),0),MATCH("DATA_POINTS",'Margin Guidence Table'!$A$1:$AG$1,0)),0)</f>
        <v>0</v>
      </c>
      <c r="DF25" s="1050" t="str">
        <f t="shared" si="31"/>
        <v>DEFAULT</v>
      </c>
      <c r="DG25" s="1050">
        <f t="array" ref="DG25">IFERROR(IF($DF25="SEGMENT",INDEX('Margin Guidence Table'!$A$1:$AG$10000,MATCH(1,('Margin Guidence Table'!$A$1:$A$10000=DD25)*('Margin Guidence Table'!$I$1:$I$10000&lt;=ROUND($CV$3,0))*('Margin Guidence Table'!$J$1:$J$10000&gt;=ROUND($CV$3,0)),0),MATCH("SALES_CASE",'Margin Guidence Table'!$A$1:$AG$1,0)),INDEX('Margin Guidence Table'!$A$1:$AG$10000,MATCH(1,('Margin Guidence Table'!$A$1:$A$10000=DD25)*('Margin Guidence Table'!$I$1:$I$10000&lt;=ROUND($CV$3,0))*('Margin Guidence Table'!$J$1:$J$10000&gt;=ROUND($CV$3,0)),0),MATCH("DEFAULT_SALES_CASE",'Margin Guidence Table'!$A$1:$AG$1,0))),0)</f>
        <v>0</v>
      </c>
      <c r="DH25" s="1050">
        <f t="array" ref="DH25">IFERROR(IF($DF25="SEGMENT",INDEX('Margin Guidence Table'!$A$1:$AG$10000,MATCH(1,('Margin Guidence Table'!$A$1:$A$10000=DD25)*('Margin Guidence Table'!$I$1:$I$10000&lt;=ROUND($CV$3,0))*('Margin Guidence Table'!$J$1:$J$10000&gt;=ROUND($CV$3,0)),0),MATCH("SALES_LBS",'Margin Guidence Table'!$A$1:$AG$1,0)),INDEX('Margin Guidence Table'!$A$1:$AG$10000,MATCH(1,('Margin Guidence Table'!$A$1:$A$10000=DD25)*('Margin Guidence Table'!$I$1:$I$10000&lt;=ROUND($CV$3,0))*('Margin Guidence Table'!$J$1:$J$10000&gt;=ROUND($CV$3,0)),0),MATCH("DEFAULT_SALES_LBS",'Margin Guidence Table'!$A$1:$AG$1,0))),0)</f>
        <v>0</v>
      </c>
      <c r="DI25" s="1054">
        <f t="array" ref="DI25">IFERROR(IF($DF25="SEGMENT",INDEX('Margin Guidence Table'!$A$1:$AG$10000,MATCH(1,('Margin Guidence Table'!$A$1:$A$10000=DD25)*('Margin Guidence Table'!$I$1:$I$10000&lt;=ROUND($CV$3,0))*('Margin Guidence Table'!$J$1:$J$10000&gt;=ROUND($CV$3,0)),0),MATCH("MDA_MIN_MARGIN_GUIDENCE",'Margin Guidence Table'!$A$1:$AG$1,0)),INDEX('Margin Guidence Table'!$A$1:$AG$10000,MATCH(1,('Margin Guidence Table'!$A$1:$A$10000=DD25)*('Margin Guidence Table'!$I$1:$I$10000&lt;=ROUND($CV$3,0))*('Margin Guidence Table'!$J$1:$J$10000&gt;=ROUND($CV$3,0)),0),MATCH("DEFAULT_MDA_MIN_MARGIN_GUIDENCE",'Margin Guidence Table'!$A$1:$AG$1,0))),0)</f>
        <v>0</v>
      </c>
      <c r="DJ25" s="1054">
        <f t="array" ref="DJ25">IFERROR(IF($DF25="SEGMENT",INDEX('Margin Guidence Table'!$A$1:$AG$10000,MATCH(1,('Margin Guidence Table'!$A$1:$A$10000=DD25)*('Margin Guidence Table'!$I$1:$I$10000&lt;=ROUND($CV$3,0))*('Margin Guidence Table'!$J$1:$J$10000&gt;=ROUND($CV$3,0)),0),MATCH("MDA_MEDIAN_MARGIN_GUIDENCE",'Margin Guidence Table'!$A$1:$AG$1,0)),INDEX('Margin Guidence Table'!$A$1:$AG$10000,MATCH(1,('Margin Guidence Table'!$A$1:$A$10000=DD25)*('Margin Guidence Table'!$I$1:$I$10000&lt;=ROUND($CV$3,0))*('Margin Guidence Table'!$J$1:$J$10000&gt;=ROUND($CV$3,0)),0),MATCH("DEFAULT_MDA_MEDIAN_MARGIN_GUIDENCE",'Margin Guidence Table'!$A$1:$AG$1,0))),0)</f>
        <v>0</v>
      </c>
      <c r="DK25" s="1054">
        <f t="array" ref="DK25">IFERROR(IF($DF25="SEGMENT",INDEX('Margin Guidence Table'!$A$1:$AG$10000,MATCH(1,('Margin Guidence Table'!$A$1:$A$10000=DD25)*('Margin Guidence Table'!$I$1:$I$10000&lt;=ROUND($CV$3,0))*('Margin Guidence Table'!$J$1:$J$10000&gt;=ROUND($CV$3,0)),0),MATCH("MDA_MAX_MARGIN_GUIDENCE",'Margin Guidence Table'!$A$1:$AG$1,0)),INDEX('Margin Guidence Table'!$A$1:$AG$10000,MATCH(1,('Margin Guidence Table'!$A$1:$A$10000=DD25)*('Margin Guidence Table'!$I$1:$I$10000&lt;=ROUND($CV$3,0))*('Margin Guidence Table'!$J$1:$J$10000&gt;=ROUND($CV$3,0)),0),MATCH("DEFAULT_MDA_MAX_MARGIN_GUIDENCE",'Margin Guidence Table'!$A$1:$AG$1,0))),0)</f>
        <v>0</v>
      </c>
      <c r="DL25" s="1054">
        <f t="array" ref="DL25">IFERROR(IF($DF25="SEGMENT",INDEX('Margin Guidence Table'!$A$1:$AG$10000,MATCH(1,('Margin Guidence Table'!$A$1:$A$10000=DD25)*('Margin Guidence Table'!$I$1:$I$10000&lt;=ROUND($CV$3,0))*('Margin Guidence Table'!$J$1:$J$10000&gt;=ROUND($CV$3,0)),0),MATCH("PA_PCT_SALES",'Margin Guidence Table'!$A$1:$AG$1,0)),INDEX('Margin Guidence Table'!$A$1:$AG$10000,MATCH(1,('Margin Guidence Table'!$A$1:$A$10000=DD25)*('Margin Guidence Table'!$I$1:$I$10000&lt;=ROUND($CV$3,0))*('Margin Guidence Table'!$J$1:$J$10000&gt;=ROUND($CV$3,0)),0),MATCH("DEFAULT_PA_PCT_SALES",'Margin Guidence Table'!$A$1:$AG$1,0))),0)</f>
        <v>0</v>
      </c>
      <c r="DM25" s="1054">
        <f t="array" ref="DM25">IFERROR(IF($DF25="SEGMENT",INDEX('Margin Guidence Table'!$A$1:$AG$10000,MATCH(1,('Margin Guidence Table'!$A$1:$A$10000=DD25)*('Margin Guidence Table'!$I$1:$I$10000&lt;=ROUND($CV$3,0))*('Margin Guidence Table'!$J$1:$J$10000&gt;=ROUND($CV$3,0)),0),MATCH("SELF_FUND_PCT_SALES",'Margin Guidence Table'!$A$1:$AG$1,0)),INDEX('Margin Guidence Table'!$A$1:$AG$10000,MATCH(1,('Margin Guidence Table'!$A$1:$A$10000=DD25)*('Margin Guidence Table'!$I$1:$I$10000&lt;=ROUND($CV$3,0))*('Margin Guidence Table'!$J$1:$J$10000&gt;=ROUND($CV$3,0)),0),MATCH("DEFAULT_SELF_FUND_PCT_SALES",'Margin Guidence Table'!$A$1:$AG$1,0))),0)</f>
        <v>0</v>
      </c>
      <c r="DN25" s="1054">
        <f t="array" ref="DN25">IFERROR(IF($DF25="SEGMENT",INDEX('Margin Guidence Table'!$A$1:$AG$10000,MATCH(1,('Margin Guidence Table'!$A$1:$A$10000=DD25)*('Margin Guidence Table'!$I$1:$I$10000&lt;=ROUND($CV$3,0))*('Margin Guidence Table'!$J$1:$J$10000&gt;=ROUND($CV$3,0)),0),MATCH("CIA_MEDIAN_MARGIN_GUIDENCE",'Margin Guidence Table'!$A$1:$AG$1,0)),INDEX('Margin Guidence Table'!$A$1:$AG$10000,MATCH(1,('Margin Guidence Table'!$A$1:$A$10000=DD25)*('Margin Guidence Table'!$I$1:$I$10000&lt;=ROUND($CV$3,0))*('Margin Guidence Table'!$J$1:$J$10000&gt;=ROUND($CV$3,0)),0),MATCH("DEFAULT_CIA_MEDIAN_MARGIN_GUIDENCE",'Margin Guidence Table'!$A$1:$AG$1,0))),0)</f>
        <v>0</v>
      </c>
      <c r="DO25" s="127"/>
      <c r="DP25" s="18">
        <f t="array" ref="DP25">IFERROR(IF($EC25="SEGMENT",INDEX('Margin Guidence Table'!$A$1:$AG$10000,MATCH(1,('Margin Guidence Table'!$A$1:$A$10000=$EA25)*('Margin Guidence Table'!$I$1:$I$10000&lt;=ROUND($DS$3,0))*('Margin Guidence Table'!$J$1:$J$10000&gt;=ROUND($DS$3,0)),0),MATCH("PCT_SALES",'Margin Guidence Table'!$A$1:$AG$1,0)),INDEX('Margin Guidence Table'!$A$1:$AG$10000,MATCH(1,('Margin Guidence Table'!$A$1:$A$10000=$EA25)*('Margin Guidence Table'!$I$1:$I$10000&lt;=ROUND($DS$3,0))*('Margin Guidence Table'!$J$1:$J$10000&gt;=ROUND($DS$3,0)),0),MATCH("DEFAULT_PCT_SALES",'Margin Guidence Table'!$A$1:$AG$1,0))),0)</f>
        <v>0</v>
      </c>
      <c r="DQ25" s="370" t="e">
        <f t="shared" si="32"/>
        <v>#DIV/0!</v>
      </c>
      <c r="DR25" s="100" t="s">
        <v>93</v>
      </c>
      <c r="DS25" s="92">
        <f>IFERROR(IF(AND($DS$2&lt;&gt;"Enter Spend&gt;&gt;&gt;",DT13="EXISTING"),SUMIFS('Existing Customers'!$Q:$Q,'Existing Customers'!$A:$A,$DS$1,'Existing Customers'!$H:$H,$DR25)*$DS$4,$DS$3*$DQ25),0)</f>
        <v>0</v>
      </c>
      <c r="DT25" s="87">
        <f>IFERROR(IF(AND($DS$2&lt;&gt;"Enter Spend&gt;&gt;&gt;",DT2="EXISTING"),SUMIFS('Existing Customers'!$N:$N,'Existing Customers'!$A:$A,$DS$1,'Existing Customers'!$H:$H,$DR25)*$DS$4,$DS25/$ED25),0)</f>
        <v>0</v>
      </c>
      <c r="DU25" s="93">
        <f>IFERROR(IF(AND($DS$2&lt;&gt;"Enter Spend&gt;&gt;&gt;",DT2="EXISTING"),SUMIFS('Existing Customers'!$O:$O,'Existing Customers'!$H:$H,$DR25,'Existing Customers'!$A:$A,$DS$1)*$DS$4,$DT25*$DS$8),0)</f>
        <v>0</v>
      </c>
      <c r="DV25" s="93">
        <f>IFERROR(IF(AND($DS$2&lt;&gt;"Enter Spend&gt;&gt;&gt;",DT2="EXISTING"),SUMIFS('Existing Customers'!$P:$P,'Existing Customers'!$A:$A,$DS$1,'Existing Customers'!$H:$H,$DR25)*$DS$4,$DS25/$EE25),0)</f>
        <v>0</v>
      </c>
      <c r="DW25" s="94">
        <f>IFERROR(IF(AND($DS$2&lt;&gt;"Enter Spend&gt;&gt;&gt;",EQ2="EXISTING"),SUMIFS('Existing Customers'!$V:$V,'Existing Customers'!$H:$H,$DR25,'Existing Customers'!$A:$A,$DS$1)*$DS$4,0),0)</f>
        <v>0</v>
      </c>
      <c r="DX25" s="94">
        <f>IFERROR(IF(AND($DS$2&lt;&gt;"Enter Spend&gt;&gt;&gt;",DT2="EXISTING"),SUMIFS('Existing Customers'!$R:$R,'Existing Customers'!$H:$H,$DR25,'Existing Customers'!$A:$A,$DS$1)*$DS$4,0),0)</f>
        <v>0</v>
      </c>
      <c r="DY25" s="1050">
        <f>IFERROR(IF(AND($DS$2&lt;&gt;"Enter Spend&gt;&gt;&gt;",DT2="EXISTING"),SUMIFS('Existing Customers'!$S:$S,'Existing Customers'!$H:$H,$DT25,'Existing Customers'!$A:$A,$DS$1),EI25*DS25),0)</f>
        <v>0</v>
      </c>
      <c r="DZ25" s="1050">
        <f>IFERROR(IF(AND($DS$2&lt;&gt;"Enter Spend&gt;&gt;&gt;",DT2="EXISTING"),SUMIFS('Existing Customers'!$U:$U,'Existing Customers'!$H:$H,$DR25,'Existing Customers'!$A:$A,$DS$1),EJ25*DS25),0)</f>
        <v>0</v>
      </c>
      <c r="EA25" s="1053" t="e">
        <f>_xlfn.CONCAT('Customer Inputs'!$AG$9,"_",DR25)</f>
        <v>#N/A</v>
      </c>
      <c r="EB25" s="1053">
        <f t="array" ref="EB25">IFERROR(INDEX('Margin Guidence Table'!$A$1:$AG$10000,MATCH(1,('Margin Guidence Table'!$A$1:$A$10000=EA25)*('Margin Guidence Table'!$I$1:$I$10000&lt;=ROUND($DS$3,0))*('Margin Guidence Table'!$J$1:$J$10000&gt;=ROUND($DS$3,0)),0),MATCH("DATA_POINTS",'Margin Guidence Table'!$A$1:$AG$1,0)),0)</f>
        <v>0</v>
      </c>
      <c r="EC25" s="1050" t="str">
        <f t="shared" si="33"/>
        <v>DEFAULT</v>
      </c>
      <c r="ED25" s="1050">
        <f t="array" ref="ED25">IFERROR(IF($EC25="SEGMENT",INDEX('Margin Guidence Table'!$A$1:$AG$10000,MATCH(1,('Margin Guidence Table'!$A$1:$A$10000=EA25)*('Margin Guidence Table'!$I$1:$I$10000&lt;=ROUND($DS$3,0))*('Margin Guidence Table'!$J$1:$J$10000&gt;=ROUND($DS$3,0)),0),MATCH("SALES_CASE",'Margin Guidence Table'!$A$1:$AG$1,0)),INDEX('Margin Guidence Table'!$A$1:$AG$10000,MATCH(1,('Margin Guidence Table'!$A$1:$A$10000=EA25)*('Margin Guidence Table'!$I$1:$I$10000&lt;=ROUND($DS$3,0))*('Margin Guidence Table'!$J$1:$J$10000&gt;=ROUND($DS$3,0)),0),MATCH("DEFAULT_SALES_CASE",'Margin Guidence Table'!$A$1:$AG$1,0))),0)</f>
        <v>0</v>
      </c>
      <c r="EE25" s="1050">
        <f t="array" ref="EE25">IFERROR(IF($EC25="SEGMENT",INDEX('Margin Guidence Table'!$A$1:$AG$10000,MATCH(1,('Margin Guidence Table'!$A$1:$A$10000=EA25)*('Margin Guidence Table'!$I$1:$I$10000&lt;=ROUND($DS$3,0))*('Margin Guidence Table'!$J$1:$J$10000&gt;=ROUND($DS$3,0)),0),MATCH("SALES_LBS",'Margin Guidence Table'!$A$1:$AG$1,0)),INDEX('Margin Guidence Table'!$A$1:$AG$10000,MATCH(1,('Margin Guidence Table'!$A$1:$A$10000=EA25)*('Margin Guidence Table'!$I$1:$I$10000&lt;=ROUND($DS$3,0))*('Margin Guidence Table'!$J$1:$J$10000&gt;=ROUND($DS$3,0)),0),MATCH("DEFAULT_SALES_LBS",'Margin Guidence Table'!$A$1:$AG$1,0))),0)</f>
        <v>0</v>
      </c>
      <c r="EF25" s="1054">
        <f t="array" ref="EF25">IFERROR(IF($EC25="SEGMENT",INDEX('Margin Guidence Table'!$A$1:$AG$10000,MATCH(1,('Margin Guidence Table'!$A$1:$A$10000=EA25)*('Margin Guidence Table'!$I$1:$I$10000&lt;=ROUND($DS$3,0))*('Margin Guidence Table'!$J$1:$J$10000&gt;=ROUND($DS$3,0)),0),MATCH("MDA_MIN_MARGIN_GUIDENCE",'Margin Guidence Table'!$A$1:$AG$1,0)),INDEX('Margin Guidence Table'!$A$1:$AG$10000,MATCH(1,('Margin Guidence Table'!$A$1:$A$10000=EA25)*('Margin Guidence Table'!$I$1:$I$10000&lt;=ROUND($DS$3,0))*('Margin Guidence Table'!$J$1:$J$10000&gt;=ROUND($DS$3,0)),0),MATCH("DEFAULT_MDA_MIN_MARGIN_GUIDENCE",'Margin Guidence Table'!$A$1:$AG$1,0))),0)</f>
        <v>0</v>
      </c>
      <c r="EG25" s="1054">
        <f t="array" ref="EG25">IFERROR(IF($EC25="SEGMENT",INDEX('Margin Guidence Table'!$A$1:$AG$10000,MATCH(1,('Margin Guidence Table'!$A$1:$A$10000=EA25)*('Margin Guidence Table'!$I$1:$I$10000&lt;=ROUND($DS$3,0))*('Margin Guidence Table'!$J$1:$J$10000&gt;=ROUND($DS$3,0)),0),MATCH("MDA_MEDIAN_MARGIN_GUIDENCE",'Margin Guidence Table'!$A$1:$AG$1,0)),INDEX('Margin Guidence Table'!$A$1:$AG$10000,MATCH(1,('Margin Guidence Table'!$A$1:$A$10000=EA25)*('Margin Guidence Table'!$I$1:$I$10000&lt;=ROUND($DS$3,0))*('Margin Guidence Table'!$J$1:$J$10000&gt;=ROUND($DS$3,0)),0),MATCH("DEFAULT_MDA_MEDIAN_MARGIN_GUIDENCE",'Margin Guidence Table'!$A$1:$AG$1,0))),0)</f>
        <v>0</v>
      </c>
      <c r="EH25" s="1054">
        <f t="array" ref="EH25">IFERROR(IF($EC25="SEGMENT",INDEX('Margin Guidence Table'!$A$1:$AG$10000,MATCH(1,('Margin Guidence Table'!$A$1:$A$10000=EA25)*('Margin Guidence Table'!$I$1:$I$10000&lt;=ROUND($DS$3,0))*('Margin Guidence Table'!$J$1:$J$10000&gt;=ROUND($DS$3,0)),0),MATCH("MDA_MAX_MARGIN_GUIDENCE",'Margin Guidence Table'!$A$1:$AG$1,0)),INDEX('Margin Guidence Table'!$A$1:$AG$10000,MATCH(1,('Margin Guidence Table'!$A$1:$A$10000=EA25)*('Margin Guidence Table'!$I$1:$I$10000&lt;=ROUND($DS$3,0))*('Margin Guidence Table'!$J$1:$J$10000&gt;=ROUND($DS$3,0)),0),MATCH("DEFAULT_MDA_MAX_MARGIN_GUIDENCE",'Margin Guidence Table'!$A$1:$AG$1,0))),0)</f>
        <v>0</v>
      </c>
      <c r="EI25" s="1054">
        <f t="array" ref="EI25">IFERROR(IF($EC25="SEGMENT",INDEX('Margin Guidence Table'!$A$1:$AG$10000,MATCH(1,('Margin Guidence Table'!$A$1:$A$10000=EA25)*('Margin Guidence Table'!$I$1:$I$10000&lt;=ROUND($DS$3,0))*('Margin Guidence Table'!$J$1:$J$10000&gt;=ROUND($DS$3,0)),0),MATCH("PA_PCT_SALES",'Margin Guidence Table'!$A$1:$AG$1,0)),INDEX('Margin Guidence Table'!$A$1:$AG$10000,MATCH(1,('Margin Guidence Table'!$A$1:$A$10000=EA25)*('Margin Guidence Table'!$I$1:$I$10000&lt;=ROUND($DS$3,0))*('Margin Guidence Table'!$J$1:$J$10000&gt;=ROUND($DS$3,0)),0),MATCH("DEFAULT_PA_PCT_SALES",'Margin Guidence Table'!$A$1:$AG$1,0))),0)</f>
        <v>0</v>
      </c>
      <c r="EJ25" s="1054">
        <f t="array" ref="EJ25">IFERROR(IF($EC25="SEGMENT",INDEX('Margin Guidence Table'!$A$1:$AG$10000,MATCH(1,('Margin Guidence Table'!$A$1:$A$10000=EA25)*('Margin Guidence Table'!$I$1:$I$10000&lt;=ROUND($DS$3,0))*('Margin Guidence Table'!$J$1:$J$10000&gt;=ROUND($DS$3,0)),0),MATCH("SELF_FUND_PCT_SALES",'Margin Guidence Table'!$A$1:$AG$1,0)),INDEX('Margin Guidence Table'!$A$1:$AG$10000,MATCH(1,('Margin Guidence Table'!$A$1:$A$10000=EA25)*('Margin Guidence Table'!$I$1:$I$10000&lt;=ROUND($DS$3,0))*('Margin Guidence Table'!$J$1:$J$10000&gt;=ROUND($DS$3,0)),0),MATCH("DEFAULT_SELF_FUND_PCT_SALES",'Margin Guidence Table'!$A$1:$AG$1,0))),0)</f>
        <v>0</v>
      </c>
      <c r="EK25" s="1054">
        <f t="array" ref="EK25">IFERROR(IF($EC25="SEGMENT",INDEX('Margin Guidence Table'!$A$1:$AG$10000,MATCH(1,('Margin Guidence Table'!$A$1:$A$10000=EA25)*('Margin Guidence Table'!$I$1:$I$10000&lt;=ROUND($DS$3,0))*('Margin Guidence Table'!$J$1:$J$10000&gt;=ROUND($DS$3,0)),0),MATCH("CIA_MEDIAN_MARGIN_GUIDENCE",'Margin Guidence Table'!$A$1:$AG$1,0)),INDEX('Margin Guidence Table'!$A$1:$AG$10000,MATCH(1,('Margin Guidence Table'!$A$1:$A$10000=EA25)*('Margin Guidence Table'!$I$1:$I$10000&lt;=ROUND($DS$3,0))*('Margin Guidence Table'!$J$1:$J$10000&gt;=ROUND($DS$3,0)),0),MATCH("DEFAULT_CIA_MEDIAN_MARGIN_GUIDENCE",'Margin Guidence Table'!$A$1:$AG$1,0))),0)</f>
        <v>0</v>
      </c>
      <c r="EL25" s="127"/>
      <c r="EM25" s="18">
        <f t="array" ref="EM25">IFERROR(IF($EZ25="SEGMENT",INDEX('Margin Guidence Table'!$A$1:$AG$10000,MATCH(1,('Margin Guidence Table'!$A$1:$A$10000=$EX25)*('Margin Guidence Table'!$I$1:$I$10000&lt;=ROUND($EP$3,0))*('Margin Guidence Table'!$J$1:$J$10000&gt;=ROUND($EP$3,0)),0),MATCH("PCT_SALES",'Margin Guidence Table'!$A$1:$AG$1,0)),INDEX('Margin Guidence Table'!$A$1:$AG$10000,MATCH(1,('Margin Guidence Table'!$A$1:$A$10000=$EX25)*('Margin Guidence Table'!$I$1:$I$10000&lt;=ROUND($EP$3,0))*('Margin Guidence Table'!$J$1:$J$10000&gt;=ROUND($EP$3,0)),0),MATCH("DEFAULT_PCT_SALES",'Margin Guidence Table'!$A$1:$AG$1,0))),0)</f>
        <v>0</v>
      </c>
      <c r="EN25" s="370" t="e">
        <f t="shared" si="34"/>
        <v>#DIV/0!</v>
      </c>
      <c r="EO25" s="100" t="s">
        <v>93</v>
      </c>
      <c r="EP25" s="92">
        <f>IFERROR(IF(AND($EP$2&lt;&gt;"Enter Spend&gt;&gt;&gt;",EQ13="EXISTING"),SUMIFS('Existing Customers'!$Q:$Q,'Existing Customers'!$A:$A,$EP$1,'Existing Customers'!$H:$H,$EO25)*$EP$4,$EP$3*$EN25),0)</f>
        <v>0</v>
      </c>
      <c r="EQ25" s="87">
        <f>IFERROR(IF(AND($EP$2&lt;&gt;"Enter Spend&gt;&gt;&gt;",EQ2="EXISTING"),SUMIFS('Existing Customers'!$N:$N,'Existing Customers'!$A:$A,$EP$1,'Existing Customers'!$H:$H,$EO25)*$EP$4,$EP25/$FA25),0)</f>
        <v>0</v>
      </c>
      <c r="ER25" s="93">
        <f>IFERROR(IF(AND($EP$2&lt;&gt;"Enter Spend&gt;&gt;&gt;",EQ2="EXISTING"),SUMIFS('Existing Customers'!$O:$O,'Existing Customers'!$H:$H,$EO25,'Existing Customers'!$A:$A,$EP$1)*$EP$4,$EQ25*$EP$8),0)</f>
        <v>0</v>
      </c>
      <c r="ES25" s="93">
        <f>IFERROR(IF(AND($EP$2&lt;&gt;"Enter Spend&gt;&gt;&gt;",EQ2="EXISTING"),SUMIFS('Existing Customers'!$P:$P,'Existing Customers'!$A:$A,$EP$1,'Existing Customers'!$H:$H,$EO25)*$EP$4,$EP25/$FB25),0)</f>
        <v>0</v>
      </c>
      <c r="ET25" s="94">
        <f>IFERROR(IF(AND($EP$2&lt;&gt;"Enter Spend&gt;&gt;&gt;",EQ2="EXISTING"),SUMIFS('Existing Customers'!$V:$V,'Existing Customers'!$H:$H,$EO25,'Existing Customers'!$A:$A,$EP$1)*$EP$4,0),0)</f>
        <v>0</v>
      </c>
      <c r="EU25" s="94">
        <f>IFERROR(IF(AND($EP$2&lt;&gt;"Enter Spend&gt;&gt;&gt;",EQ2="EXISTING"),SUMIFS('Existing Customers'!$R:$R,'Existing Customers'!$H:$H,$EO25,'Existing Customers'!$A:$A,$EP$1)*$EP$4,0),0)</f>
        <v>0</v>
      </c>
      <c r="EV25" s="1050">
        <f>IFERROR(IF(AND($EP$2&lt;&gt;"Enter Spend&gt;&gt;&gt;",EQ2="EXISTING"),SUMIFS('Existing Customers'!$S:$S,'Existing Customers'!$H:$H,$EO25,'Existing Customers'!$A:$A,$EP$1),FF25*EP25),0)</f>
        <v>0</v>
      </c>
      <c r="EW25" s="1050">
        <f>IFERROR(IF(AND($EP$2&lt;&gt;"Enter Spend&gt;&gt;&gt;",EQ2="EXISTING"),SUMIFS('Existing Customers'!$U:$U,'Existing Customers'!$H:$H,$EO25,'Existing Customers'!$A:$A,$EP$1),FG25*EP25),0)</f>
        <v>0</v>
      </c>
      <c r="EX25" s="1053" t="e">
        <f>_xlfn.CONCAT('Customer Inputs'!$AG$10,"_",EO25)</f>
        <v>#N/A</v>
      </c>
      <c r="EY25" s="1053">
        <f t="array" ref="EY25">IFERROR(INDEX('Margin Guidence Table'!$A$1:$AG$10000,MATCH(1,('Margin Guidence Table'!$A$1:$A$10000=EX25)*('Margin Guidence Table'!$I$1:$I$10000&lt;=ROUND($EP$3,0))*('Margin Guidence Table'!$J$1:$J$10000&gt;=ROUND($EP$3,0)),0),MATCH("DATA_POINTS",'Margin Guidence Table'!$A$1:$AG$1,0)),0)</f>
        <v>0</v>
      </c>
      <c r="EZ25" s="1050" t="str">
        <f t="shared" si="35"/>
        <v>DEFAULT</v>
      </c>
      <c r="FA25" s="1050">
        <f t="array" ref="FA25">IFERROR(IF($EZ25="SEGMENT",INDEX('Margin Guidence Table'!$A$1:$AG$10000,MATCH(1,('Margin Guidence Table'!$A$1:$A$10000=EX25)*('Margin Guidence Table'!$I$1:$I$10000&lt;=ROUND($EP$3,0))*('Margin Guidence Table'!$J$1:$J$10000&gt;=ROUND($EP$3,0)),0),MATCH("SALES_CASE",'Margin Guidence Table'!$A$1:$AG$1,0)),INDEX('Margin Guidence Table'!$A$1:$AG$10000,MATCH(1,('Margin Guidence Table'!$A$1:$A$10000=EX25)*('Margin Guidence Table'!$I$1:$I$10000&lt;=ROUND($EP$3,0))*('Margin Guidence Table'!$J$1:$J$10000&gt;=ROUND($EP$3,0)),0),MATCH("DEFAULT_SALES_CASE",'Margin Guidence Table'!$A$1:$AG$1,0))),0)</f>
        <v>0</v>
      </c>
      <c r="FB25" s="1050" cm="1">
        <f t="array" ref="FB25">IFERROR(IF($EZ25="SEGMENT",INDEX('Margin Guidence Table'!$A$1:$AG$10000,MATCH(1,('Margin Guidence Table'!$A$1:$A$10000=EX25)*('Margin Guidence Table'!$I$1:$I$10000&lt;=ROUND($EP$3,0))*('Margin Guidence Table'!$J$1:$J$10000&gt;=ROUND($EP$3,0)),0),MATCH("SALES_LBS",'Margin Guidence Table'!$A$1:$AG$1,0)),INDEX('Margin Guidence Table'!$A$1:$AG$10000,MATCH(1,('Margin Guidence Table'!$A$1:$A$10000=EX25)*('Margin Guidence Table'!$I$1:$I$10000&lt;=ROUND($EP$3,0))*('Margin Guidence Table'!$J$1:$J$10000&gt;=ROUND($EP$3,0)),0),MATCH("DEFAULT_SALES_LBS",'Margin Guidence Table'!$A$1:$AG$1,0))),0)</f>
        <v>0</v>
      </c>
      <c r="FC25" s="1054">
        <f t="array" ref="FC25">IFERROR(IF($EZ25="SEGMENT",INDEX('Margin Guidence Table'!$A$1:$AG$10000,MATCH(1,('Margin Guidence Table'!$A$1:$A$10000=EX25)*('Margin Guidence Table'!$I$1:$I$10000&lt;=ROUND($EP$3,0))*('Margin Guidence Table'!$J$1:$J$10000&gt;=ROUND($EP$3,0)),0),MATCH("MDA_MIN_MARGIN_GUIDENCE",'Margin Guidence Table'!$A$1:$AG$1,0)),INDEX('Margin Guidence Table'!$A$1:$AG$10000,MATCH(1,('Margin Guidence Table'!$A$1:$A$10000=EX25)*('Margin Guidence Table'!$I$1:$I$10000&lt;=ROUND($EP$3,0))*('Margin Guidence Table'!$J$1:$J$10000&gt;=ROUND($EP$3,0)),0),MATCH("DEFAULT_MDA_MIN_MARGIN_GUIDENCE",'Margin Guidence Table'!$A$1:$AG$1,0))),0)</f>
        <v>0</v>
      </c>
      <c r="FD25" s="1054">
        <f t="array" ref="FD25">IFERROR(IF($EZ25="SEGMENT",INDEX('Margin Guidence Table'!$A$1:$AG$10000,MATCH(1,('Margin Guidence Table'!$A$1:$A$10000=EX25)*('Margin Guidence Table'!$I$1:$I$10000&lt;=ROUND($EP$3,0))*('Margin Guidence Table'!$J$1:$J$10000&gt;=ROUND($EP$3,0)),0),MATCH("MDA_MEDIAN_MARGIN_GUIDENCE",'Margin Guidence Table'!$A$1:$AG$1,0)),INDEX('Margin Guidence Table'!$A$1:$AG$10000,MATCH(1,('Margin Guidence Table'!$A$1:$A$10000=EX25)*('Margin Guidence Table'!$I$1:$I$10000&lt;=ROUND($EP$3,0))*('Margin Guidence Table'!$J$1:$J$10000&gt;=ROUND($EP$3,0)),0),MATCH("DEFAULT_MDA_MEDIAN_MARGIN_GUIDENCE",'Margin Guidence Table'!$A$1:$AG$1,0))),0)</f>
        <v>0</v>
      </c>
      <c r="FE25" s="1054">
        <f t="array" ref="FE25">IFERROR(IF($EZ25="SEGMENT",INDEX('Margin Guidence Table'!$A$1:$AG$10000,MATCH(1,('Margin Guidence Table'!$A$1:$A$10000=EX25)*('Margin Guidence Table'!$I$1:$I$10000&lt;=ROUND($EP$3,0))*('Margin Guidence Table'!$J$1:$J$10000&gt;=ROUND($EP$3,0)),0),MATCH("MDA_MAX_MARGIN_GUIDENCE",'Margin Guidence Table'!$A$1:$AG$1,0)),INDEX('Margin Guidence Table'!$A$1:$AG$10000,MATCH(1,('Margin Guidence Table'!$A$1:$A$10000=EX25)*('Margin Guidence Table'!$I$1:$I$10000&lt;=ROUND($EP$3,0))*('Margin Guidence Table'!$J$1:$J$10000&gt;=ROUND($EP$3,0)),0),MATCH("DEFAULT_MDA_MAX_MARGIN_GUIDENCE",'Margin Guidence Table'!$A$1:$AG$1,0))),0)</f>
        <v>0</v>
      </c>
      <c r="FF25" s="1054">
        <f t="array" ref="FF25">IFERROR(IF($EZ25="SEGMENT",INDEX('Margin Guidence Table'!$A$1:$AG$10000,MATCH(1,('Margin Guidence Table'!$A$1:$A$10000=EX25)*('Margin Guidence Table'!$I$1:$I$10000&lt;=ROUND($EP$3,0))*('Margin Guidence Table'!$J$1:$J$10000&gt;=ROUND($EP$3,0)),0),MATCH("PA_PCT_SALES",'Margin Guidence Table'!$A$1:$AG$1,0)),INDEX('Margin Guidence Table'!$A$1:$AG$10000,MATCH(1,('Margin Guidence Table'!$A$1:$A$10000=EX25)*('Margin Guidence Table'!$I$1:$I$10000&lt;=ROUND($EP$3,0))*('Margin Guidence Table'!$J$1:$J$10000&gt;=ROUND($EP$3,0)),0),MATCH("DEFAULT_PA_PCT_SALES",'Margin Guidence Table'!$A$1:$AG$1,0))),0)</f>
        <v>0</v>
      </c>
      <c r="FG25" s="1054">
        <f t="array" ref="FG25">IFERROR(IF($EZ25="SEGMENT",INDEX('Margin Guidence Table'!$A$1:$AG$10000,MATCH(1,('Margin Guidence Table'!$A$1:$A$10000=EX25)*('Margin Guidence Table'!$I$1:$I$10000&lt;=ROUND($EP$3,0))*('Margin Guidence Table'!$J$1:$J$10000&gt;=ROUND($EP$3,0)),0),MATCH("SELF_FUND_PCT_SALES",'Margin Guidence Table'!$A$1:$AG$1,0)),INDEX('Margin Guidence Table'!$A$1:$AG$10000,MATCH(1,('Margin Guidence Table'!$A$1:$A$10000=EX25)*('Margin Guidence Table'!$I$1:$I$10000&lt;=ROUND($EP$3,0))*('Margin Guidence Table'!$J$1:$J$10000&gt;=ROUND($EP$3,0)),0),MATCH("DEFAULT_SELF_FUND_PCT_SALES",'Margin Guidence Table'!$A$1:$AG$1,0))),0)</f>
        <v>0</v>
      </c>
      <c r="FH25" s="1054">
        <f t="array" ref="FH25">IFERROR(IF($EZ25="SEGMENT",INDEX('Margin Guidence Table'!$A$1:$AG$10000,MATCH(1,('Margin Guidence Table'!$A$1:$A$10000=EX25)*('Margin Guidence Table'!$I$1:$I$10000&lt;=ROUND($EP$3,0))*('Margin Guidence Table'!$J$1:$J$10000&gt;=ROUND($EP$3,0)),0),MATCH("CIA_MEDIAN_MARGIN_GUIDENCE",'Margin Guidence Table'!$A$1:$AG$1,0)),INDEX('Margin Guidence Table'!$A$1:$AG$10000,MATCH(1,('Margin Guidence Table'!$A$1:$A$10000=EX25)*('Margin Guidence Table'!$I$1:$I$10000&lt;=ROUND($EP$3,0))*('Margin Guidence Table'!$J$1:$J$10000&gt;=ROUND($EP$3,0)),0),MATCH("DEFAULT_CIA_MEDIAN_MARGIN_GUIDENCE",'Margin Guidence Table'!$A$1:$AG$1,0))),0)</f>
        <v>0</v>
      </c>
      <c r="FI25" s="127"/>
      <c r="FJ25" s="18">
        <f t="array" ref="FJ25">IFERROR(IF($FW25="SEGMENT",INDEX('Margin Guidence Table'!$A$1:$AG$10000,MATCH(1,('Margin Guidence Table'!$A$1:$A$10000=$FU25)*('Margin Guidence Table'!$I$1:$I$10000&lt;=ROUND($FM$3,0))*('Margin Guidence Table'!$J$1:$J$10000&gt;=ROUND($FM$3,0)),0),MATCH("PCT_SALES",'Margin Guidence Table'!$A$1:$AG$1,0)),INDEX('Margin Guidence Table'!$A$1:$AG$10000,MATCH(1,('Margin Guidence Table'!$A$1:$A$10000=$FU25)*('Margin Guidence Table'!$I$1:$I$10000&lt;=ROUND($FM$3,0))*('Margin Guidence Table'!$J$1:$J$10000&gt;=ROUND($FM$3,0)),0),MATCH("DEFAULT_PCT_SALES",'Margin Guidence Table'!$A$1:$AG$1,0))),0)</f>
        <v>0</v>
      </c>
      <c r="FK25" s="370" t="e">
        <f t="shared" si="36"/>
        <v>#DIV/0!</v>
      </c>
      <c r="FL25" s="100" t="s">
        <v>93</v>
      </c>
      <c r="FM25" s="92">
        <f>IFERROR(IF(AND($FM$2&lt;&gt;"Enter Spend&gt;&gt;&gt;",FN13="EXISTING"),SUMIFS('Existing Customers'!$Q:$Q,'Existing Customers'!$A:$A,$FM$1,'Existing Customers'!$H:$H,$FL25)*$FM$4,$FM$3*$FK25),0)</f>
        <v>0</v>
      </c>
      <c r="FN25" s="87">
        <f>IFERROR(IF(AND($FM$2&lt;&gt;"Enter Spend&gt;&gt;&gt;",FN2="EXISTING"),SUMIFS('Existing Customers'!$N:$N,'Existing Customers'!$A:$A,$FM$1,'Existing Customers'!$H:$H,$FL25)*$FM$4,$FM25/$FX25),0)</f>
        <v>0</v>
      </c>
      <c r="FO25" s="93">
        <f>IFERROR(IF(AND($FM$2&lt;&gt;"Enter Spend&gt;&gt;&gt;",FN2="EXISTING"),SUMIFS('Existing Customers'!$O:$O,'Existing Customers'!$H:$H,$FL25,'Existing Customers'!$A:$A,$FM$1)*$FM$4,$FN25*$FM$8),0)</f>
        <v>0</v>
      </c>
      <c r="FP25" s="93">
        <f>IFERROR(IF(AND($FM$2&lt;&gt;"Enter Spend&gt;&gt;&gt;",FN2="EXISTING"),SUMIFS('Existing Customers'!$P:$P,'Existing Customers'!$A:$A,$FM$1,'Existing Customers'!$H:$H,$FL25)*$FM$4,$FM25/$FY25),0)</f>
        <v>0</v>
      </c>
      <c r="FQ25" s="94">
        <f>IFERROR(IF(AND($FM$2&lt;&gt;"Enter Spend&gt;&gt;&gt;",FN2="EXISTING"),SUMIFS('Existing Customers'!$V:$V,'Existing Customers'!$H:$H,$FL25,'Existing Customers'!$A:$A,$FM$1)*$FM$4,0),0)</f>
        <v>0</v>
      </c>
      <c r="FR25" s="94">
        <f>IFERROR(IF(AND($FM$2&lt;&gt;"Enter Spend&gt;&gt;&gt;",FN2="EXISTING"),SUMIFS('Existing Customers'!$R:$R,'Existing Customers'!$H:$H,$FL25,'Existing Customers'!$A:$A,$FM$1)*$FM$4,0),0)</f>
        <v>0</v>
      </c>
      <c r="FS25" s="1050">
        <f>IFERROR(IF(AND($FM$2&lt;&gt;"Enter Spend&gt;&gt;&gt;",FN2="EXISTING"),SUMIFS('Existing Customers'!$S:$S,'Existing Customers'!$H:$H,$FL25,'Existing Customers'!$A:$A,$FM$1),GC25*FM25),0)</f>
        <v>0</v>
      </c>
      <c r="FT25" s="1050">
        <f>IFERROR(IF(AND($FM$2&lt;&gt;"Enter Spend&gt;&gt;&gt;",FN2="EXISTING"),SUMIFS('Existing Customers'!$U:$U,'Existing Customers'!$H:$H,$FL25,'Existing Customers'!$A:$A,$FM$1),GD25*FM25),0)</f>
        <v>0</v>
      </c>
      <c r="FU25" s="1053" t="e">
        <f>_xlfn.CONCAT('Customer Inputs'!$AG$11,"_",FL25)</f>
        <v>#N/A</v>
      </c>
      <c r="FV25" s="1053">
        <f t="array" ref="FV25">IFERROR(INDEX('Margin Guidence Table'!$A$1:$AG$10000,MATCH(1,('Margin Guidence Table'!$A$1:$A$10000=FU25)*('Margin Guidence Table'!$I$1:$I$10000&lt;=ROUND($FM$3,0))*('Margin Guidence Table'!$J$1:$J$10000&gt;=ROUND($FM$3,0)),0),MATCH("DATA_POINTS",'Margin Guidence Table'!$A$1:$AG$1,0)),0)</f>
        <v>0</v>
      </c>
      <c r="FW25" s="1050" t="str">
        <f t="shared" si="37"/>
        <v>DEFAULT</v>
      </c>
      <c r="FX25" s="1050">
        <f t="array" ref="FX25">IFERROR(IF($FW25="SEGMENT",INDEX('Margin Guidence Table'!$A$1:$AG$10000,MATCH(1,('Margin Guidence Table'!$A$1:$A$10000=FU25)*('Margin Guidence Table'!$I$1:$I$10000&lt;=ROUND($FM$3,0))*('Margin Guidence Table'!$J$1:$J$10000&gt;=ROUND($FM$3,0)),0),MATCH("SALES_CASE",'Margin Guidence Table'!$A$1:$AG$1,0)),INDEX('Margin Guidence Table'!$A$1:$AG$10000,MATCH(1,('Margin Guidence Table'!$A$1:$A$10000=FU25)*('Margin Guidence Table'!$I$1:$I$10000&lt;=ROUND($FM$3,0))*('Margin Guidence Table'!$J$1:$J$10000&gt;=ROUND($FM$3,0)),0),MATCH("DEFAULT_SALES_CASE",'Margin Guidence Table'!$A$1:$AG$1,0))),0)</f>
        <v>0</v>
      </c>
      <c r="FY25" s="1050">
        <f t="array" ref="FY25">IFERROR(IF($FW25="SEGMENT",INDEX('Margin Guidence Table'!$A$1:$AG$10000,MATCH(1,('Margin Guidence Table'!$A$1:$A$10000=FU25)*('Margin Guidence Table'!$I$1:$I$10000&lt;=ROUND($FM$3,0))*('Margin Guidence Table'!$J$1:$J$10000&gt;=ROUND($FM$3,0)),0),MATCH("SALES_LBS",'Margin Guidence Table'!$A$1:$AG$1,0)),INDEX('Margin Guidence Table'!$A$1:$AG$10000,MATCH(1,('Margin Guidence Table'!$A$1:$A$10000=FU25)*('Margin Guidence Table'!$I$1:$I$10000&lt;=ROUND($FM$3,0))*('Margin Guidence Table'!$J$1:$J$10000&gt;=ROUND($FM$3,0)),0),MATCH("DEFAULT_SALES_LBS",'Margin Guidence Table'!$A$1:$AG$1,0))),0)</f>
        <v>0</v>
      </c>
      <c r="FZ25" s="1054">
        <f t="array" ref="FZ25">IFERROR(IF($FW25="SEGMENT",INDEX('Margin Guidence Table'!$A$1:$AG$10000,MATCH(1,('Margin Guidence Table'!$A$1:$A$10000=FU25)*('Margin Guidence Table'!$I$1:$I$10000&lt;=ROUND($FM$3,0))*('Margin Guidence Table'!$J$1:$J$10000&gt;=ROUND($FM$3,0)),0),MATCH("MDA_MIN_MARGIN_GUIDENCE",'Margin Guidence Table'!$A$1:$AG$1,0)),INDEX('Margin Guidence Table'!$A$1:$AG$10000,MATCH(1,('Margin Guidence Table'!$A$1:$A$10000=FU25)*('Margin Guidence Table'!$I$1:$I$10000&lt;=ROUND($FM$3,0))*('Margin Guidence Table'!$J$1:$J$10000&gt;=ROUND($FM$3,0)),0),MATCH("DEFAULT_MDA_MIN_MARGIN_GUIDENCE",'Margin Guidence Table'!$A$1:$AG$1,0))),0)</f>
        <v>0</v>
      </c>
      <c r="GA25" s="1054">
        <f t="array" ref="GA25">IFERROR(IF($FW25="SEGMENT",INDEX('Margin Guidence Table'!$A$1:$AG$10000,MATCH(1,('Margin Guidence Table'!$A$1:$A$10000=FU25)*('Margin Guidence Table'!$I$1:$I$10000&lt;=ROUND($FM$3,0))*('Margin Guidence Table'!$J$1:$J$10000&gt;=ROUND($FM$3,0)),0),MATCH("MDA_MEDIAN_MARGIN_GUIDENCE",'Margin Guidence Table'!$A$1:$AG$1,0)),INDEX('Margin Guidence Table'!$A$1:$AG$10000,MATCH(1,('Margin Guidence Table'!$A$1:$A$10000=FU25)*('Margin Guidence Table'!$I$1:$I$10000&lt;=ROUND($FM$3,0))*('Margin Guidence Table'!$J$1:$J$10000&gt;=ROUND($FM$3,0)),0),MATCH("DEFAULT_MDA_MEDIAN_MARGIN_GUIDENCE",'Margin Guidence Table'!$A$1:$AG$1,0))),0)</f>
        <v>0</v>
      </c>
      <c r="GB25" s="1054">
        <f t="array" ref="GB25">IFERROR(IF($FW25="SEGMENT",INDEX('Margin Guidence Table'!$A$1:$AG$10000,MATCH(1,('Margin Guidence Table'!$A$1:$A$10000=FU25)*('Margin Guidence Table'!$I$1:$I$10000&lt;=ROUND($FM$3,0))*('Margin Guidence Table'!$J$1:$J$10000&gt;=ROUND($FM$3,0)),0),MATCH("MDA_MAX_MARGIN_GUIDENCE",'Margin Guidence Table'!$A$1:$AG$1,0)),INDEX('Margin Guidence Table'!$A$1:$AG$10000,MATCH(1,('Margin Guidence Table'!$A$1:$A$10000=FU25)*('Margin Guidence Table'!$I$1:$I$10000&lt;=ROUND($FM$3,0))*('Margin Guidence Table'!$J$1:$J$10000&gt;=ROUND($FM$3,0)),0),MATCH("DEFAULT_MDA_MAX_MARGIN_GUIDENCE",'Margin Guidence Table'!$A$1:$AG$1,0))),0)</f>
        <v>0</v>
      </c>
      <c r="GC25" s="1054">
        <f t="array" ref="GC25">IFERROR(IF($FW25="SEGMENT",INDEX('Margin Guidence Table'!$A$1:$AG$10000,MATCH(1,('Margin Guidence Table'!$A$1:$A$10000=FU25)*('Margin Guidence Table'!$I$1:$I$10000&lt;=ROUND($FM$3,0))*('Margin Guidence Table'!$J$1:$J$10000&gt;=ROUND($FM$3,0)),0),MATCH("PA_PCT_SALES",'Margin Guidence Table'!$A$1:$AG$1,0)),INDEX('Margin Guidence Table'!$A$1:$AG$10000,MATCH(1,('Margin Guidence Table'!$A$1:$A$10000=FU25)*('Margin Guidence Table'!$I$1:$I$10000&lt;=ROUND($FM$3,0))*('Margin Guidence Table'!$J$1:$J$10000&gt;=ROUND($FM$3,0)),0),MATCH("DEFAULT_PA_PCT_SALES",'Margin Guidence Table'!$A$1:$AG$1,0))),0)</f>
        <v>0</v>
      </c>
      <c r="GD25" s="1054">
        <f t="array" ref="GD25">IFERROR(IF($FW25="SEGMENT",INDEX('Margin Guidence Table'!$A$1:$AG$10000,MATCH(1,('Margin Guidence Table'!$A$1:$A$10000=FU25)*('Margin Guidence Table'!$I$1:$I$10000&lt;=ROUND($FM$3,0))*('Margin Guidence Table'!$J$1:$J$10000&gt;=ROUND($FM$3,0)),0),MATCH("SELF_FUND_PCT_SALES",'Margin Guidence Table'!$A$1:$AG$1,0)),INDEX('Margin Guidence Table'!$A$1:$AG$10000,MATCH(1,('Margin Guidence Table'!$A$1:$A$10000=FU25)*('Margin Guidence Table'!$I$1:$I$10000&lt;=ROUND($FM$3,0))*('Margin Guidence Table'!$J$1:$J$10000&gt;=ROUND($FM$3,0)),0),MATCH("DEFAULT_SELF_FUND_PCT_SALES",'Margin Guidence Table'!$A$1:$AG$1,0))),0)</f>
        <v>0</v>
      </c>
      <c r="GE25" s="1054">
        <f t="array" ref="GE25">IFERROR(IF($FW25="SEGMENT",INDEX('Margin Guidence Table'!$A$1:$AG$10000,MATCH(1,('Margin Guidence Table'!$A$1:$A$10000=FU25)*('Margin Guidence Table'!$I$1:$I$10000&lt;=ROUND($FM$3,0))*('Margin Guidence Table'!$J$1:$J$10000&gt;=ROUND($FM$3,0)),0),MATCH("CIA_MEDIAN_MARGIN_GUIDENCE",'Margin Guidence Table'!$A$1:$AG$1,0)),INDEX('Margin Guidence Table'!$A$1:$AG$10000,MATCH(1,('Margin Guidence Table'!$A$1:$A$10000=FU25)*('Margin Guidence Table'!$I$1:$I$10000&lt;=ROUND($FM$3,0))*('Margin Guidence Table'!$J$1:$J$10000&gt;=ROUND($FM$3,0)),0),MATCH("DEFAULT_CIA_MEDIAN_MARGIN_GUIDENCE",'Margin Guidence Table'!$A$1:$AG$1,0))),0)</f>
        <v>0</v>
      </c>
      <c r="GF25" s="127"/>
      <c r="GG25" s="18">
        <f t="array" ref="GG25">IFERROR(IF($GT25="SEGMENT",INDEX('Margin Guidence Table'!$A$1:$AG$10000,MATCH(1,('Margin Guidence Table'!$A$1:$A$10000=$GR25)*('Margin Guidence Table'!$I$1:$I$10000&lt;=ROUND($GJ$3,0))*('Margin Guidence Table'!$J$1:$J$10000&gt;=ROUND($GJ$3,0)),0),MATCH("PCT_SALES",'Margin Guidence Table'!$A$1:$AG$1,0)),INDEX('Margin Guidence Table'!$A$1:$AG$10000,MATCH(1,('Margin Guidence Table'!$A$1:$A$10000=$GR25)*('Margin Guidence Table'!$I$1:$I$10000&lt;=ROUND($GJ$3,0))*('Margin Guidence Table'!$J$1:$J$10000&gt;=ROUND($GJ$3,0)),0),MATCH("DEFAULT_PCT_SALES",'Margin Guidence Table'!$A$1:$AG$1,0))),0)</f>
        <v>0</v>
      </c>
      <c r="GH25" s="370" t="e">
        <f t="shared" si="38"/>
        <v>#DIV/0!</v>
      </c>
      <c r="GI25" s="100" t="s">
        <v>93</v>
      </c>
      <c r="GJ25" s="92">
        <f>IFERROR(IF(AND($GJ$2&lt;&gt;"Enter Spend&gt;&gt;&gt;",GK13="EXISTING"),SUMIFS('Existing Customers'!$Q:$Q,'Existing Customers'!$A:$A,$GJ$1,'Existing Customers'!$H:$H,$GI25)*$GJ$4,$GJ$3*$GH25),0)</f>
        <v>0</v>
      </c>
      <c r="GK25" s="87">
        <f>IFERROR(IF(AND($GJ$2&lt;&gt;"Enter Spend&gt;&gt;&gt;",GK2="EXISTING"),SUMIFS('Existing Customers'!$N:$N,'Existing Customers'!$A:$A,$GJ$1,'Existing Customers'!$H:$H,$GI25)*$GJ$4,$GJ25/$GU25),0)</f>
        <v>0</v>
      </c>
      <c r="GL25" s="93">
        <f>IFERROR(IF(AND($GJ$2&lt;&gt;"Enter Spend&gt;&gt;&gt;",GK2="EXISTING"),SUMIFS('Existing Customers'!$O:$O,'Existing Customers'!$H:$H,$GI25,'Existing Customers'!$A:$A,$GJ$1)*$GJ$4,$GK25*$GJ$8),0)</f>
        <v>0</v>
      </c>
      <c r="GM25" s="93">
        <f>IFERROR(IF(AND($GJ$2&lt;&gt;"Enter Spend&gt;&gt;&gt;",GK2="EXISTING"),SUMIFS('Existing Customers'!$P:$P,'Existing Customers'!$A:$A,$GJ$1,'Existing Customers'!$H:$H,$GI25)*$GJ$4,$GJ25/$GV25),0)</f>
        <v>0</v>
      </c>
      <c r="GN25" s="94">
        <f>IFERROR(IF(AND($GJ$2&lt;&gt;"Enter Spend&gt;&gt;&gt;",GK2="EXISTING"),SUMIFS('Existing Customers'!$V:$V,'Existing Customers'!$H:$H,$GI25,'Existing Customers'!$A:$A,$GJ$1)*$GJ$4,0),0)</f>
        <v>0</v>
      </c>
      <c r="GO25" s="94">
        <f>IFERROR(IF(AND($GJ$2&lt;&gt;"Enter Spend&gt;&gt;&gt;",GK2="EXISTING"),SUMIFS('Existing Customers'!$R:$R,'Existing Customers'!$H:$H,$GI25,'Existing Customers'!$A:$A,$GJ$1)*$GJ$4,0),0)</f>
        <v>0</v>
      </c>
      <c r="GP25" s="1050">
        <f>IFERROR(IF(AND($GJ$2&lt;&gt;"Enter Spend&gt;&gt;&gt;",GK2="EXISTING"),SUMIFS('Existing Customers'!$S:$S,'Existing Customers'!$H:$H,$GI25,'Existing Customers'!$A:$A,$GJ$1),GZ25*GJ25),0)</f>
        <v>0</v>
      </c>
      <c r="GQ25" s="1050">
        <f>IFERROR(IF(AND($GJ$2&lt;&gt;"Enter Spend&gt;&gt;&gt;",GK2="EXISTING"),SUMIFS('Existing Customers'!$U:$U,'Existing Customers'!$H:$H,$GI25,'Existing Customers'!$A:$A,$GJ$1),HA25*GJ25),0)</f>
        <v>0</v>
      </c>
      <c r="GR25" s="1053" t="e">
        <f>_xlfn.CONCAT('Customer Inputs'!$AG$12,"_",GI25)</f>
        <v>#N/A</v>
      </c>
      <c r="GS25" s="1053">
        <f t="array" ref="GS25">IFERROR(INDEX('Margin Guidence Table'!$A$1:$AG$10000,MATCH(1,('Margin Guidence Table'!$A$1:$A$10000=GR25)*('Margin Guidence Table'!$I$1:$I$10000&lt;=ROUND($GJ$3,0))*('Margin Guidence Table'!$J$1:$J$10000&gt;=ROUND($GJ$3,0)),0),MATCH("DATA_POINTS",'Margin Guidence Table'!$A$1:$AG$1,0)),0)</f>
        <v>0</v>
      </c>
      <c r="GT25" s="1050" t="str">
        <f t="shared" si="39"/>
        <v>DEFAULT</v>
      </c>
      <c r="GU25" s="1050">
        <f t="array" ref="GU25">IFERROR(IF($GT25="SEGMENT",INDEX('Margin Guidence Table'!$A$1:$AG$10000,MATCH(1,('Margin Guidence Table'!$A$1:$A$10000=GR25)*('Margin Guidence Table'!$I$1:$I$10000&lt;=ROUND($GJ$3,0))*('Margin Guidence Table'!$J$1:$J$10000&gt;=ROUND($GJ$3,0)),0),MATCH("SALES_CASE",'Margin Guidence Table'!$A$1:$AG$1,0)),INDEX('Margin Guidence Table'!$A$1:$AG$10000,MATCH(1,('Margin Guidence Table'!$A$1:$A$10000=GR25)*('Margin Guidence Table'!$I$1:$I$10000&lt;=ROUND($GJ$3,0))*('Margin Guidence Table'!$J$1:$J$10000&gt;=ROUND($GJ$3,0)),0),MATCH("DEFAULT_SALES_CASE",'Margin Guidence Table'!$A$1:$AG$1,0))),0)</f>
        <v>0</v>
      </c>
      <c r="GV25" s="1050">
        <f t="array" ref="GV25">IFERROR(IF($GT25="SEGMENT",INDEX('Margin Guidence Table'!$A$1:$AG$10000,MATCH(1,('Margin Guidence Table'!$A$1:$A$10000=GR25)*('Margin Guidence Table'!$I$1:$I$10000&lt;=ROUND($GJ$3,0))*('Margin Guidence Table'!$J$1:$J$10000&gt;=ROUND($GJ$3,0)),0),MATCH("SALES_LBS",'Margin Guidence Table'!$A$1:$AG$1,0)),INDEX('Margin Guidence Table'!$A$1:$AG$10000,MATCH(1,('Margin Guidence Table'!$A$1:$A$10000=GR25)*('Margin Guidence Table'!$I$1:$I$10000&lt;=ROUND($GJ$3,0))*('Margin Guidence Table'!$J$1:$J$10000&gt;=ROUND($GJ$3,0)),0),MATCH("DEFAULT_SALES_LBS",'Margin Guidence Table'!$A$1:$AG$1,0))),0)</f>
        <v>0</v>
      </c>
      <c r="GW25" s="1054">
        <f t="array" ref="GW25">IFERROR(IF($GT25="SEGMENT",INDEX('Margin Guidence Table'!$A$1:$AG$10000,MATCH(1,('Margin Guidence Table'!$A$1:$A$10000=GR25)*('Margin Guidence Table'!$I$1:$I$10000&lt;=ROUND($GJ$3,0))*('Margin Guidence Table'!$J$1:$J$10000&gt;=ROUND($GJ$3,0)),0),MATCH("MDA_MIN_MARGIN_GUIDENCE",'Margin Guidence Table'!$A$1:$AG$1,0)),INDEX('Margin Guidence Table'!$A$1:$AG$10000,MATCH(1,('Margin Guidence Table'!$A$1:$A$10000=GR25)*('Margin Guidence Table'!$I$1:$I$10000&lt;=ROUND($GJ$3,0))*('Margin Guidence Table'!$J$1:$J$10000&gt;=ROUND($GJ$3,0)),0),MATCH("DEFAULT_MDA_MIN_MARGIN_GUIDENCE",'Margin Guidence Table'!$A$1:$AG$1,0))),0)</f>
        <v>0</v>
      </c>
      <c r="GX25" s="1054">
        <f t="array" ref="GX25">IFERROR(IF($GT25="SEGMENT",INDEX('Margin Guidence Table'!$A$1:$AG$10000,MATCH(1,('Margin Guidence Table'!$A$1:$A$10000=GR25)*('Margin Guidence Table'!$I$1:$I$10000&lt;=ROUND($GJ$3,0))*('Margin Guidence Table'!$J$1:$J$10000&gt;=ROUND($GJ$3,0)),0),MATCH("MDA_MEDIAN_MARGIN_GUIDENCE",'Margin Guidence Table'!$A$1:$AG$1,0)),INDEX('Margin Guidence Table'!$A$1:$AG$10000,MATCH(1,('Margin Guidence Table'!$A$1:$A$10000=GR25)*('Margin Guidence Table'!$I$1:$I$10000&lt;=ROUND($GJ$3,0))*('Margin Guidence Table'!$J$1:$J$10000&gt;=ROUND($GJ$3,0)),0),MATCH("DEFAULT_MDA_MEDIAN_MARGIN_GUIDENCE",'Margin Guidence Table'!$A$1:$AG$1,0))),0)</f>
        <v>0</v>
      </c>
      <c r="GY25" s="1054">
        <f t="array" ref="GY25">IFERROR(IF($GT25="SEGMENT",INDEX('Margin Guidence Table'!$A$1:$AG$10000,MATCH(1,('Margin Guidence Table'!$A$1:$A$10000=GR25)*('Margin Guidence Table'!$I$1:$I$10000&lt;=ROUND($GJ$3,0))*('Margin Guidence Table'!$J$1:$J$10000&gt;=ROUND($GJ$3,0)),0),MATCH("MDA_MAX_MARGIN_GUIDENCE",'Margin Guidence Table'!$A$1:$AG$1,0)),INDEX('Margin Guidence Table'!$A$1:$AG$10000,MATCH(1,('Margin Guidence Table'!$A$1:$A$10000=GR25)*('Margin Guidence Table'!$I$1:$I$10000&lt;=ROUND($GJ$3,0))*('Margin Guidence Table'!$J$1:$J$10000&gt;=ROUND($GJ$3,0)),0),MATCH("DEFAULT_MDA_MAX_MARGIN_GUIDENCE",'Margin Guidence Table'!$A$1:$AG$1,0))),0)</f>
        <v>0</v>
      </c>
      <c r="GZ25" s="1054">
        <f t="array" ref="GZ25">IFERROR(IF($GT25="SEGMENT",INDEX('Margin Guidence Table'!$A$1:$AG$10000,MATCH(1,('Margin Guidence Table'!$A$1:$A$10000=GR25)*('Margin Guidence Table'!$I$1:$I$10000&lt;=ROUND($GJ$3,0))*('Margin Guidence Table'!$J$1:$J$10000&gt;=ROUND($GJ$3,0)),0),MATCH("PA_PCT_SALES",'Margin Guidence Table'!$A$1:$AG$1,0)),INDEX('Margin Guidence Table'!$A$1:$AG$10000,MATCH(1,('Margin Guidence Table'!$A$1:$A$10000=GR25)*('Margin Guidence Table'!$I$1:$I$10000&lt;=ROUND($GJ$3,0))*('Margin Guidence Table'!$J$1:$J$10000&gt;=ROUND($GJ$3,0)),0),MATCH("DEFAULT_PA_PCT_SALES",'Margin Guidence Table'!$A$1:$AG$1,0))),0)</f>
        <v>0</v>
      </c>
      <c r="HA25" s="1054">
        <f t="array" ref="HA25">IFERROR(IF($GT25="SEGMENT",INDEX('Margin Guidence Table'!$A$1:$AG$10000,MATCH(1,('Margin Guidence Table'!$A$1:$A$10000=GR25)*('Margin Guidence Table'!$I$1:$I$10000&lt;=ROUND($GJ$3,0))*('Margin Guidence Table'!$J$1:$J$10000&gt;=ROUND($GJ$3,0)),0),MATCH("SELF_FUND_PCT_SALES",'Margin Guidence Table'!$A$1:$AG$1,0)),INDEX('Margin Guidence Table'!$A$1:$AG$10000,MATCH(1,('Margin Guidence Table'!$A$1:$A$10000=GR25)*('Margin Guidence Table'!$I$1:$I$10000&lt;=ROUND($GJ$3,0))*('Margin Guidence Table'!$J$1:$J$10000&gt;=ROUND($GJ$3,0)),0),MATCH("DEFAULT_SELF_FUND_PCT_SALES",'Margin Guidence Table'!$A$1:$AG$1,0))),0)</f>
        <v>0</v>
      </c>
      <c r="HB25" s="1054">
        <f t="array" ref="HB25">IFERROR(IF($GT25="SEGMENT",INDEX('Margin Guidence Table'!$A$1:$AG$10000,MATCH(1,('Margin Guidence Table'!$A$1:$A$10000=GR25)*('Margin Guidence Table'!$I$1:$I$10000&lt;=ROUND($GJ$3,0))*('Margin Guidence Table'!$J$1:$J$10000&gt;=ROUND($GJ$3,0)),0),MATCH("CIA_MEDIAN_MARGIN_GUIDENCE",'Margin Guidence Table'!$A$1:$AG$1,0)),INDEX('Margin Guidence Table'!$A$1:$AG$10000,MATCH(1,('Margin Guidence Table'!$A$1:$A$10000=GR25)*('Margin Guidence Table'!$I$1:$I$10000&lt;=ROUND($GJ$3,0))*('Margin Guidence Table'!$J$1:$J$10000&gt;=ROUND($GJ$3,0)),0),MATCH("DEFAULT_CIA_MEDIAN_MARGIN_GUIDENCE",'Margin Guidence Table'!$A$1:$AG$1,0))),0)</f>
        <v>0</v>
      </c>
      <c r="HC25" s="127"/>
      <c r="HD25" s="18">
        <f t="array" ref="HD25">IFERROR(IF($HQ25="SEGMENT",INDEX('Margin Guidence Table'!$A$1:$AG$10000,MATCH(1,('Margin Guidence Table'!$A$1:$A$10000=$HO25)*('Margin Guidence Table'!$I$1:$I$10000&lt;=ROUND($HG$3,0))*('Margin Guidence Table'!$J$1:$J$10000&gt;=ROUND($HG$3,0)),0),MATCH("PCT_SALES",'Margin Guidence Table'!$A$1:$AG$1,0)),INDEX('Margin Guidence Table'!$A$1:$AG$10000,MATCH(1,('Margin Guidence Table'!$A$1:$A$10000=$HO25)*('Margin Guidence Table'!$I$1:$I$10000&lt;=ROUND($HG$3,0))*('Margin Guidence Table'!$J$1:$J$10000&gt;=ROUND($HG$3,0)),0),MATCH("DEFAULT_PCT_SALES",'Margin Guidence Table'!$A$1:$AG$1,0))),0)</f>
        <v>0</v>
      </c>
      <c r="HE25" s="370" t="e">
        <f t="shared" si="40"/>
        <v>#DIV/0!</v>
      </c>
      <c r="HF25" s="100" t="s">
        <v>93</v>
      </c>
      <c r="HG25" s="92">
        <f>IFERROR(IF(AND($HG$2&lt;&gt;"Enter Spend&gt;&gt;&gt;",HH13="EXISTING"),SUMIFS('Existing Customers'!$Q:$Q,'Existing Customers'!$A:$A,$HG$1,'Existing Customers'!$H:$H,$HF25)*$HG$4,$HG$3*$HE25),0)</f>
        <v>0</v>
      </c>
      <c r="HH25" s="87">
        <f>IFERROR(IF(AND($HG$2&lt;&gt;"Enter Spend&gt;&gt;&gt;",HH2="EXISTING"),SUMIFS('Existing Customers'!$N:$N,'Existing Customers'!$A:$A,$HG$1,'Existing Customers'!$H:$H,$HF25)*$HG$4,$HG25/$HR25),0)</f>
        <v>0</v>
      </c>
      <c r="HI25" s="93">
        <f>IFERROR(IF(AND($HG$2&lt;&gt;"Enter Spend&gt;&gt;&gt;",HH2="EXISTING"),SUMIFS('Existing Customers'!$O:$O,'Existing Customers'!$H:$H,$HF25,'Existing Customers'!$A:$A,$HG$1)*$HG$4,$HH25*$HG$8),0)</f>
        <v>0</v>
      </c>
      <c r="HJ25" s="93">
        <f>IFERROR(IF(AND($HG$2&lt;&gt;"Enter Spend&gt;&gt;&gt;",HH2="EXISTING"),SUMIFS('Existing Customers'!$P:$P,'Existing Customers'!$A:$A,$HG$1,'Existing Customers'!$H:$H,$HF25)*$HG$4,$HG25/$HS25),0)</f>
        <v>0</v>
      </c>
      <c r="HK25" s="94">
        <f>IFERROR(IF(AND($HG$2&lt;&gt;"Enter Spend&gt;&gt;&gt;",HH2="EXISTING"),SUMIFS('Existing Customers'!$V:$V,'Existing Customers'!$H:$H,$HF25,'Existing Customers'!$A:$A,$HG$1)*$HG$4,0),0)</f>
        <v>0</v>
      </c>
      <c r="HL25" s="94">
        <f>IFERROR(IF(AND($HG$2&lt;&gt;"Enter Spend&gt;&gt;&gt;",HH2="EXISTING"),SUMIFS('Existing Customers'!$R:$R,'Existing Customers'!$H:$H,$HF25,'Existing Customers'!$A:$A,$HG$1)*$HG$4,0),0)</f>
        <v>0</v>
      </c>
      <c r="HM25" s="1050">
        <f>IFERROR(IF(AND($HG$2&lt;&gt;"Enter Spend&gt;&gt;&gt;",HH2="EXISTING"),SUMIFS('Existing Customers'!$S:$S,'Existing Customers'!$H:$H,$HF25,'Existing Customers'!$A:$A,$HG$1),HW25*HG25),0)</f>
        <v>0</v>
      </c>
      <c r="HN25" s="1050">
        <f>IFERROR(IF(AND($HG$2&lt;&gt;"Enter Spend&gt;&gt;&gt;",HH2="EXISTING"),SUMIFS('Existing Customers'!$U:$U,'Existing Customers'!$H:$H,$HF25,'Existing Customers'!$A:$A,$HG$1),HX25*HG25),0)</f>
        <v>0</v>
      </c>
      <c r="HO25" s="1053" t="e">
        <f>_xlfn.CONCAT('Customer Inputs'!$AG$13,"_",HF25)</f>
        <v>#N/A</v>
      </c>
      <c r="HP25" s="1053">
        <f t="array" ref="HP25">IFERROR(INDEX('Margin Guidence Table'!$A$1:$AG$10000,MATCH(1,('Margin Guidence Table'!$A$1:$A$10000=HO25)*('Margin Guidence Table'!$I$1:$I$10000&lt;=ROUND($HG$3,0))*('Margin Guidence Table'!$J$1:$J$10000&gt;=ROUND($HG$3,0)),0),MATCH("DATA_POINTS",'Margin Guidence Table'!$A$1:$AG$1,0)),0)</f>
        <v>0</v>
      </c>
      <c r="HQ25" s="1050" t="str">
        <f t="shared" si="41"/>
        <v>DEFAULT</v>
      </c>
      <c r="HR25" s="1050">
        <f t="array" ref="HR25">IFERROR(IF($HQ25="SEGMENT",INDEX('Margin Guidence Table'!$A$1:$AG$10000,MATCH(1,('Margin Guidence Table'!$A$1:$A$10000=HO25)*('Margin Guidence Table'!$I$1:$I$10000&lt;=ROUND($HG$3,0))*('Margin Guidence Table'!$J$1:$J$10000&gt;=ROUND($HG$3,0)),0),MATCH("SALES_CASE",'Margin Guidence Table'!$A$1:$AG$1,0)),INDEX('Margin Guidence Table'!$A$1:$AG$10000,MATCH(1,('Margin Guidence Table'!$A$1:$A$10000=HO25)*('Margin Guidence Table'!$I$1:$I$10000&lt;=ROUND($HG$3,0))*('Margin Guidence Table'!$J$1:$J$10000&gt;=ROUND($HG$3,0)),0),MATCH("DEFAULT_SALES_CASE",'Margin Guidence Table'!$A$1:$AG$1,0))),0)</f>
        <v>0</v>
      </c>
      <c r="HS25" s="1050">
        <f t="array" ref="HS25">IFERROR(IF($HQ25="SEGMENT",INDEX('Margin Guidence Table'!$A$1:$AG$10000,MATCH(1,('Margin Guidence Table'!$A$1:$A$10000=HO25)*('Margin Guidence Table'!$I$1:$I$10000&lt;=ROUND($HG$3,0))*('Margin Guidence Table'!$J$1:$J$10000&gt;=ROUND($HG$3,0)),0),MATCH("SALES_LBS",'Margin Guidence Table'!$A$1:$AG$1,0)),INDEX('Margin Guidence Table'!$A$1:$AG$10000,MATCH(1,('Margin Guidence Table'!$A$1:$A$10000=HO25)*('Margin Guidence Table'!$I$1:$I$10000&lt;=ROUND($HG$3,0))*('Margin Guidence Table'!$J$1:$J$10000&gt;=ROUND($HG$3,0)),0),MATCH("DEFAULT_SALES_LBS",'Margin Guidence Table'!$A$1:$AG$1,0))),0)</f>
        <v>0</v>
      </c>
      <c r="HT25" s="1054">
        <f t="array" ref="HT25">IFERROR(IF($HQ25="SEGMENT",INDEX('Margin Guidence Table'!$A$1:$AG$10000,MATCH(1,('Margin Guidence Table'!$A$1:$A$10000=HO25)*('Margin Guidence Table'!$I$1:$I$10000&lt;=ROUND($HG$3,0))*('Margin Guidence Table'!$J$1:$J$10000&gt;=ROUND($HG$3,0)),0),MATCH("MDA_MIN_MARGIN_GUIDENCE",'Margin Guidence Table'!$A$1:$AG$1,0)),INDEX('Margin Guidence Table'!$A$1:$AG$10000,MATCH(1,('Margin Guidence Table'!$A$1:$A$10000=HO25)*('Margin Guidence Table'!$I$1:$I$10000&lt;=ROUND($HG$3,0))*('Margin Guidence Table'!$J$1:$J$10000&gt;=ROUND($HG$3,0)),0),MATCH("DEFAULT_MDA_MIN_MARGIN_GUIDENCE",'Margin Guidence Table'!$A$1:$AG$1,0))),0)</f>
        <v>0</v>
      </c>
      <c r="HU25" s="1054">
        <f t="array" ref="HU25">IFERROR(IF($HQ25="SEGMENT",INDEX('Margin Guidence Table'!$A$1:$AG$10000,MATCH(1,('Margin Guidence Table'!$A$1:$A$10000=HO25)*('Margin Guidence Table'!$I$1:$I$10000&lt;=ROUND($HG$3,0))*('Margin Guidence Table'!$J$1:$J$10000&gt;=ROUND($HG$3,0)),0),MATCH("MDA_MEDIAN_MARGIN_GUIDENCE",'Margin Guidence Table'!$A$1:$AG$1,0)),INDEX('Margin Guidence Table'!$A$1:$AG$10000,MATCH(1,('Margin Guidence Table'!$A$1:$A$10000=HO25)*('Margin Guidence Table'!$I$1:$I$10000&lt;=ROUND($HG$3,0))*('Margin Guidence Table'!$J$1:$J$10000&gt;=ROUND($HG$3,0)),0),MATCH("DEFAULT_MDA_MEDIAN_MARGIN_GUIDENCE",'Margin Guidence Table'!$A$1:$AG$1,0))),0)</f>
        <v>0</v>
      </c>
      <c r="HV25" s="1054">
        <f t="array" ref="HV25">IFERROR(IF($HQ25="SEGMENT",INDEX('Margin Guidence Table'!$A$1:$AG$10000,MATCH(1,('Margin Guidence Table'!$A$1:$A$10000=HO25)*('Margin Guidence Table'!$I$1:$I$10000&lt;=ROUND($HG$3,0))*('Margin Guidence Table'!$J$1:$J$10000&gt;=ROUND($HG$3,0)),0),MATCH("MDA_MAX_MARGIN_GUIDENCE",'Margin Guidence Table'!$A$1:$AG$1,0)),INDEX('Margin Guidence Table'!$A$1:$AG$10000,MATCH(1,('Margin Guidence Table'!$A$1:$A$10000=HO25)*('Margin Guidence Table'!$I$1:$I$10000&lt;=ROUND($HG$3,0))*('Margin Guidence Table'!$J$1:$J$10000&gt;=ROUND($HG$3,0)),0),MATCH("DEFAULT_MDA_MAX_MARGIN_GUIDENCE",'Margin Guidence Table'!$A$1:$AG$1,0))),0)</f>
        <v>0</v>
      </c>
      <c r="HW25" s="1054">
        <f t="array" ref="HW25">IFERROR(IF($HQ25="SEGMENT",INDEX('Margin Guidence Table'!$A$1:$AG$10000,MATCH(1,('Margin Guidence Table'!$A$1:$A$10000=HO25)*('Margin Guidence Table'!$I$1:$I$10000&lt;=ROUND($HG$3,0))*('Margin Guidence Table'!$J$1:$J$10000&gt;=ROUND($HG$3,0)),0),MATCH("PA_PCT_SALES",'Margin Guidence Table'!$A$1:$AG$1,0)),INDEX('Margin Guidence Table'!$A$1:$AG$10000,MATCH(1,('Margin Guidence Table'!$A$1:$A$10000=HO25)*('Margin Guidence Table'!$I$1:$I$10000&lt;=ROUND($HG$3,0))*('Margin Guidence Table'!$J$1:$J$10000&gt;=ROUND($HG$3,0)),0),MATCH("DEFAULT_PA_PCT_SALES",'Margin Guidence Table'!$A$1:$AG$1,0))),0)</f>
        <v>0</v>
      </c>
      <c r="HX25" s="1054">
        <f t="array" ref="HX25">IFERROR(IF($HQ25="SEGMENT",INDEX('Margin Guidence Table'!$A$1:$AG$10000,MATCH(1,('Margin Guidence Table'!$A$1:$A$10000=HO25)*('Margin Guidence Table'!$I$1:$I$10000&lt;=ROUND($HG$3,0))*('Margin Guidence Table'!$J$1:$J$10000&gt;=ROUND($HG$3,0)),0),MATCH("SELF_FUND_PCT_SALES",'Margin Guidence Table'!$A$1:$AG$1,0)),INDEX('Margin Guidence Table'!$A$1:$AG$10000,MATCH(1,('Margin Guidence Table'!$A$1:$A$10000=HO25)*('Margin Guidence Table'!$I$1:$I$10000&lt;=ROUND($HG$3,0))*('Margin Guidence Table'!$J$1:$J$10000&gt;=ROUND($HG$3,0)),0),MATCH("DEFAULT_SELF_FUND_PCT_SALES",'Margin Guidence Table'!$A$1:$AG$1,0))),0)</f>
        <v>0</v>
      </c>
      <c r="HY25" s="1054">
        <f t="array" ref="HY25">IFERROR(IF($HQ25="SEGMENT",INDEX('Margin Guidence Table'!$A$1:$AG$10000,MATCH(1,('Margin Guidence Table'!$A$1:$A$10000=HO25)*('Margin Guidence Table'!$I$1:$I$10000&lt;=ROUND($HG$3,0))*('Margin Guidence Table'!$J$1:$J$10000&gt;=ROUND($HG$3,0)),0),MATCH("CIA_MEDIAN_MARGIN_GUIDENCE",'Margin Guidence Table'!$A$1:$AG$1,0)),INDEX('Margin Guidence Table'!$A$1:$AG$10000,MATCH(1,('Margin Guidence Table'!$A$1:$A$10000=HO25)*('Margin Guidence Table'!$I$1:$I$10000&lt;=ROUND($HG$3,0))*('Margin Guidence Table'!$J$1:$J$10000&gt;=ROUND($HG$3,0)),0),MATCH("DEFAULT_CIA_MEDIAN_MARGIN_GUIDENCE",'Margin Guidence Table'!$A$1:$AG$1,0))),0)</f>
        <v>0</v>
      </c>
      <c r="HZ25" s="127"/>
      <c r="IA25" s="18">
        <f t="array" ref="IA25">IFERROR(IF($IN25="SEGMENT",INDEX('Margin Guidence Table'!$A:$AC,MATCH(1,('Margin Guidence Table'!$A:$A=$IL25)*('Margin Guidence Table'!$H:$H&lt;=ROUND($ID$3,0))*('Margin Guidence Table'!$G:$G&gt;=ROUND($ID$3,0)),0),MATCH("PCT_SALES",'Margin Guidence Table'!$A$1:$AG$1,0)),INDEX('Margin Guidence Table'!$A:$AC,MATCH(1,('Margin Guidence Table'!$A:$A=$IL25)*('Margin Guidence Table'!$H:$H&lt;=ROUND($ID$3,0))*('Margin Guidence Table'!$G:$G&gt;=ROUND($ID$3,0)),0),MATCH("DEFAULT_PCT_SALES",'Margin Guidence Table'!$A$1:$AG$1,0))),0)</f>
        <v>0</v>
      </c>
      <c r="IB25" s="370" t="e">
        <f t="shared" si="42"/>
        <v>#DIV/0!</v>
      </c>
      <c r="IC25" s="100" t="s">
        <v>93</v>
      </c>
      <c r="ID25" s="92">
        <f>IFERROR(IF(AND($ID$2&lt;&gt;"Enter Spend&gt;&gt;&gt;",IE13="EXISTING"),SUMIFS('Existing Customers'!$Q:$Q,'Existing Customers'!$A:$A,$ID$1,'Existing Customers'!$H:$H,$IC25)*$ID$4,$ID$3*$IB25),0)</f>
        <v>0</v>
      </c>
      <c r="IE25" s="87">
        <f>IFERROR(IF(AND($ID$2&lt;&gt;"Enter Spend&gt;&gt;&gt;",IE2="EXISTING"),SUMIFS('Existing Customers'!$N:$N,'Existing Customers'!$A:$A,$ID$1,'Existing Customers'!$H:$H,$IC25)*$ID$4,$ID25/$IO25),0)</f>
        <v>0</v>
      </c>
      <c r="IF25" s="93">
        <f>IFERROR(IF(AND($ID$2&lt;&gt;"Enter Spend&gt;&gt;&gt;",IE2="EXISTING"),SUMIFS('Existing Customers'!$O:$O,'Existing Customers'!$H:$H,$IC25,'Existing Customers'!$A:$A,$ID$1)*$ID$4,$IE25*$ID$8),0)</f>
        <v>0</v>
      </c>
      <c r="IG25" s="93">
        <f>IFERROR(IF(AND($ID$2&lt;&gt;"Enter Spend&gt;&gt;&gt;",IE2="EXISTING"),SUMIFS('Existing Customers'!$P:$P,'Existing Customers'!$A:$A,$ID$1,'Existing Customers'!$H:$H,$IC25)*$ID$4,$ID25/$IP25),0)</f>
        <v>0</v>
      </c>
      <c r="IH25" s="376">
        <f>IFERROR(IF(AND($ID$2&lt;&gt;"Enter Spend&gt;&gt;&gt;",IE2="EXISTING"),SUMIFS('Existing Customers'!$V:$V,'Existing Customers'!$H:$H,$IC25,'Existing Customers'!$A:$A,$ID$1)*$ID$4,0),0)</f>
        <v>0</v>
      </c>
      <c r="II25" s="94">
        <f>IFERROR(IF(AND($ID$2&lt;&gt;"Enter Spend&gt;&gt;&gt;",IE2="EXISTING"),SUMIFS('Existing Customers'!$R:$R,'Existing Customers'!$H:$H,$IC25,'Existing Customers'!$A:$A,$ID$1)*$ID$4,0),0)</f>
        <v>0</v>
      </c>
      <c r="IJ25" s="1050">
        <f>IFERROR(IF(AND($ID$2&lt;&gt;"Enter Spend&gt;&gt;&gt;",IE2="EXISTING"),SUMIFS('Existing Customers'!$S:$S,'Existing Customers'!$H:$H,$IC25,'Existing Customers'!$A:$A,$ID$1),IT25*ID25),0)</f>
        <v>0</v>
      </c>
      <c r="IK25" s="1050">
        <f>IFERROR(IF(AND($ID$2&lt;&gt;"Enter Spend&gt;&gt;&gt;",IE2="EXISTING"),SUMIFS('Existing Customers'!$U:$U,'Existing Customers'!$H:$H,$IC25,'Existing Customers'!$A:$A,$ID$1),IU25*ID25),0)</f>
        <v>0</v>
      </c>
      <c r="IL25" s="1053" t="e">
        <f>_xlfn.CONCAT('Customer Inputs'!$AG$14,"_",IC25)</f>
        <v>#N/A</v>
      </c>
      <c r="IM25" s="1053">
        <f t="array" ref="IM25">IFERROR(INDEX('Margin Guidence Table'!$A$1:$AG$10000,MATCH(1,('Margin Guidence Table'!$A$1:$A$10000=IL25)*('Margin Guidence Table'!$I$1:$I$10000&lt;=ROUND($ID$3,0))*('Margin Guidence Table'!$J$1:$J$10000&gt;=ROUND($ID$3,0)),0),MATCH("DATA_POINTS",'Margin Guidence Table'!$A$1:$AG$1,0)),0)</f>
        <v>0</v>
      </c>
      <c r="IN25" s="1050" t="str">
        <f t="shared" si="43"/>
        <v>DEFAULT</v>
      </c>
      <c r="IO25" s="1050">
        <f t="array" ref="IO25">IFERROR(IF($IN25="SEGMENT",INDEX('Margin Guidence Table'!$A$1:$AG$10000,MATCH(1,('Margin Guidence Table'!$A$1:$A$10000=IL25)*('Margin Guidence Table'!$I$1:$I$10000&lt;=ROUND($ID$3,0))*('Margin Guidence Table'!$J$1:$J$10000&gt;=ROUND($ID$3,0)),0),MATCH("SALES_CASE",'Margin Guidence Table'!$A$1:$AG$1,0)),INDEX('Margin Guidence Table'!$A$1:$AG$10000,MATCH(1,('Margin Guidence Table'!$A$1:$A$10000=IL25)*('Margin Guidence Table'!$I$1:$I$10000&lt;=ROUND($ID$3,0))*('Margin Guidence Table'!$J$1:$J$10000&gt;=ROUND($ID$3,0)),0),MATCH("DEFAULT_SALES_CASE",'Margin Guidence Table'!$A$1:$AG$1,0))),0)</f>
        <v>0</v>
      </c>
      <c r="IP25" s="1050">
        <f t="array" ref="IP25">IFERROR(IF($IN25="SEGMENT",INDEX('Margin Guidence Table'!$A$1:$AG$10000,MATCH(1,('Margin Guidence Table'!$A$1:$A$10000=IL25)*('Margin Guidence Table'!$I$1:$I$10000&lt;=ROUND($ID$3,0))*('Margin Guidence Table'!$J$1:$J$10000&gt;=ROUND($ID$3,0)),0),MATCH("SALES_LBS",'Margin Guidence Table'!$A$1:$AG$1,0)),INDEX('Margin Guidence Table'!$A$1:$AG$10000,MATCH(1,('Margin Guidence Table'!$A$1:$A$10000=IL25)*('Margin Guidence Table'!$I$1:$I$10000&lt;=ROUND($ID$3,0))*('Margin Guidence Table'!$J$1:$J$10000&gt;=ROUND($ID$3,0)),0),MATCH("DEFAULT_SALES_LBS",'Margin Guidence Table'!$A$1:$AG$1,0))),0)</f>
        <v>0</v>
      </c>
      <c r="IQ25" s="1054">
        <f t="array" ref="IQ25">IFERROR(IF($IN25="SEGMENT",INDEX('Margin Guidence Table'!$A$1:$AG$10000,MATCH(1,('Margin Guidence Table'!$A$1:$A$10000=IL25)*('Margin Guidence Table'!$I$1:$I$10000&lt;=ROUND($ID$3,0))*('Margin Guidence Table'!$J$1:$J$10000&gt;=ROUND($ID$3,0)),0),MATCH("MDA_MIN_MARGIN_GUIDENCE",'Margin Guidence Table'!$A$1:$AG$1,0)),INDEX('Margin Guidence Table'!$A$1:$AG$10000,MATCH(1,('Margin Guidence Table'!$A$1:$A$10000=IL25)*('Margin Guidence Table'!$I$1:$I$10000&lt;=ROUND($ID$3,0))*('Margin Guidence Table'!$J$1:$J$10000&gt;=ROUND($ID$3,0)),0),MATCH("DEFAULT_MDA_MIN_MARGIN_GUIDENCE",'Margin Guidence Table'!$A$1:$AG$1,0))),0)</f>
        <v>0</v>
      </c>
      <c r="IR25" s="1054">
        <f t="array" ref="IR25">IFERROR(IF($IN25="SEGMENT",INDEX('Margin Guidence Table'!$A$1:$AG$10000,MATCH(1,('Margin Guidence Table'!$A$1:$A$10000=IL25)*('Margin Guidence Table'!$I$1:$I$10000&lt;=ROUND($ID$3,0))*('Margin Guidence Table'!$J$1:$J$10000&gt;=ROUND($ID$3,0)),0),MATCH("MDA_MEDIAN_MARGIN_GUIDENCE",'Margin Guidence Table'!$A$1:$AG$1,0)),INDEX('Margin Guidence Table'!$A$1:$AG$10000,MATCH(1,('Margin Guidence Table'!$A$1:$A$10000=IL25)*('Margin Guidence Table'!$I$1:$I$10000&lt;=ROUND($ID$3,0))*('Margin Guidence Table'!$J$1:$J$10000&gt;=ROUND($ID$3,0)),0),MATCH("DEFAULT_MDA_MEDIAN_MARGIN_GUIDENCE",'Margin Guidence Table'!$A$1:$AG$1,0))),0)</f>
        <v>0</v>
      </c>
      <c r="IS25" s="1054">
        <f t="array" ref="IS25">IFERROR(IF($IN25="SEGMENT",INDEX('Margin Guidence Table'!$A$1:$AG$10000,MATCH(1,('Margin Guidence Table'!$A$1:$A$10000=IL25)*('Margin Guidence Table'!$I$1:$I$10000&lt;=ROUND($ID$3,0))*('Margin Guidence Table'!$J$1:$J$10000&gt;=ROUND($ID$3,0)),0),MATCH("MDA_MAX_MARGIN_GUIDENCE",'Margin Guidence Table'!$A$1:$AG$1,0)),INDEX('Margin Guidence Table'!$A$1:$AG$10000,MATCH(1,('Margin Guidence Table'!$A$1:$A$10000=IL25)*('Margin Guidence Table'!$I$1:$I$10000&lt;=ROUND($ID$3,0))*('Margin Guidence Table'!$J$1:$J$10000&gt;=ROUND($ID$3,0)),0),MATCH("DEFAULT_MDA_MAX_MARGIN_GUIDENCE",'Margin Guidence Table'!$A$1:$AG$1,0))),0)</f>
        <v>0</v>
      </c>
      <c r="IT25" s="1054">
        <f t="array" ref="IT25">IFERROR(IF($IN25="SEGMENT",INDEX('Margin Guidence Table'!$A$1:$AG$10000,MATCH(1,('Margin Guidence Table'!$A$1:$A$10000=IL25)*('Margin Guidence Table'!$I$1:$I$10000&lt;=ROUND($ID$3,0))*('Margin Guidence Table'!$J$1:$J$10000&gt;=ROUND($ID$3,0)),0),MATCH("PA_PCT_SALES",'Margin Guidence Table'!$A$1:$AG$1,0)),INDEX('Margin Guidence Table'!$A$1:$AG$10000,MATCH(1,('Margin Guidence Table'!$A$1:$A$10000=IL25)*('Margin Guidence Table'!$I$1:$I$10000&lt;=ROUND($ID$3,0))*('Margin Guidence Table'!$J$1:$J$10000&gt;=ROUND($ID$3,0)),0),MATCH("DEFAULT_PA_PCT_SALES",'Margin Guidence Table'!$A$1:$AG$1,0))),0)</f>
        <v>0</v>
      </c>
      <c r="IU25" s="1054">
        <f t="array" ref="IU25">IFERROR(IF($IN25="SEGMENT",INDEX('Margin Guidence Table'!$A$1:$AG$10000,MATCH(1,('Margin Guidence Table'!$A$1:$A$10000=IL25)*('Margin Guidence Table'!$I$1:$I$10000&lt;=ROUND($ID$3,0))*('Margin Guidence Table'!$J$1:$J$10000&gt;=ROUND($ID$3,0)),0),MATCH("SELF_FUND_PCT_SALES",'Margin Guidence Table'!$A$1:$AG$1,0)),INDEX('Margin Guidence Table'!$A$1:$AG$10000,MATCH(1,('Margin Guidence Table'!$A$1:$A$10000=IL25)*('Margin Guidence Table'!$I$1:$I$10000&lt;=ROUND($ID$3,0))*('Margin Guidence Table'!$J$1:$J$10000&gt;=ROUND($ID$3,0)),0),MATCH("DEFAULT_SELF_FUND_PCT_SALES",'Margin Guidence Table'!$A$1:$AG$1,0))),0)</f>
        <v>0</v>
      </c>
      <c r="IV25" s="1054">
        <f t="array" ref="IV25">IFERROR(IF($IN25="SEGMENT",INDEX('Margin Guidence Table'!$A$1:$AG$10000,MATCH(1,('Margin Guidence Table'!$A$1:$A$10000=IL25)*('Margin Guidence Table'!$I$1:$I$10000&lt;=ROUND($ID$3,0))*('Margin Guidence Table'!$J$1:$J$10000&gt;=ROUND($ID$3,0)),0),MATCH("CIA_MEDIAN_MARGIN_GUIDENCE",'Margin Guidence Table'!$A$1:$AG$1,0)),INDEX('Margin Guidence Table'!$A$1:$AG$10000,MATCH(1,('Margin Guidence Table'!$A$1:$A$10000=IL25)*('Margin Guidence Table'!$I$1:$I$10000&lt;=ROUND($ID$3,0))*('Margin Guidence Table'!$J$1:$J$10000&gt;=ROUND($ID$3,0)),0),MATCH("DEFAULT_CIA_MEDIAN_MARGIN_GUIDENCE",'Margin Guidence Table'!$A$1:$AG$1,0))),0)</f>
        <v>0</v>
      </c>
      <c r="IW25" s="127"/>
      <c r="IX25" s="18">
        <f t="array" ref="IX25">IFERROR(IF($JK25="SEGMENT",INDEX('Margin Guidence Table'!$A$1:$AG$10000,MATCH(1,('Margin Guidence Table'!$A$1:$A$10000=$JI25)*('Margin Guidence Table'!$I$1:$I$10000&lt;=ROUND($JA$3,0))*('Margin Guidence Table'!$J$1:$J$10000&gt;=ROUND($JA$3,0)),0),MATCH("PCT_SALES",'Margin Guidence Table'!$A$1:$AG$1,0)),INDEX('Margin Guidence Table'!$A$1:$AG$10000,MATCH(1,('Margin Guidence Table'!$A$1:$A$10000=$JI25)*('Margin Guidence Table'!$I$1:$I$10000&lt;=ROUND($JA$3,0))*('Margin Guidence Table'!$J$1:$J$10000&gt;=ROUND($JA$3,0)),0),MATCH("DEFAULT_PCT_SALES",'Margin Guidence Table'!$A$1:$AG$1,0))),0)</f>
        <v>0</v>
      </c>
      <c r="IY25" s="370" t="e">
        <f t="shared" si="44"/>
        <v>#DIV/0!</v>
      </c>
      <c r="IZ25" s="100" t="s">
        <v>93</v>
      </c>
      <c r="JA25" s="92">
        <f>IFERROR(IF(AND($JA$2&lt;&gt;"Enter Spend&gt;&gt;&gt;",JB13="EXISTING"),SUMIFS('Existing Customers'!$Q:$Q,'Existing Customers'!$A:$A,$JA$1,'Existing Customers'!$H:$H,$IZ25)*$JA$4,$JA$3*$IY25),0)</f>
        <v>0</v>
      </c>
      <c r="JB25" s="87">
        <f>IFERROR(IF(AND($JA$2&lt;&gt;"Enter Spend&gt;&gt;&gt;",JB2="EXISTING"),SUMIFS('Existing Customers'!$N:$N,'Existing Customers'!$A:$A,$JA$1,'Existing Customers'!$H:$H,$IZ25)*$JA$4,$JA25/$JL25),0)</f>
        <v>0</v>
      </c>
      <c r="JC25" s="93">
        <f>IFERROR(IF(AND($JA$2&lt;&gt;"Enter Spend&gt;&gt;&gt;",JB2="EXISTING"),SUMIFS('Existing Customers'!$O:$O,'Existing Customers'!$H:$H,$IZ25,'Existing Customers'!$A:$A,$JA$1)*$JA$4,$JB25*$JA$8),0)</f>
        <v>0</v>
      </c>
      <c r="JD25" s="93">
        <f>IFERROR(IF(AND($JA$2&lt;&gt;"Enter Spend&gt;&gt;&gt;",JB2="EXISTING"),SUMIFS('Existing Customers'!$P:$P,'Existing Customers'!$A:$A,$JA$1,'Existing Customers'!$H:$H,$IZ25)*$JA$4,$JA25/$JM25),0)</f>
        <v>0</v>
      </c>
      <c r="JE25" s="376">
        <f>IFERROR(IF(AND($JA$2&lt;&gt;"Enter Spend&gt;&gt;&gt;",JB2="EXISTING"),SUMIFS('Existing Customers'!$V:$V,'Existing Customers'!$H:$H,$IZ25,'Existing Customers'!$A:$A,$JA$1)*$JA$4,0),0)</f>
        <v>0</v>
      </c>
      <c r="JF25" s="94">
        <f>IFERROR(IF(AND($JA$2&lt;&gt;"Enter Spend&gt;&gt;&gt;",JB2="EXISTING"),SUMIFS('Existing Customers'!$R:$R,'Existing Customers'!$H:$H,$IZ25,'Existing Customers'!$A:$A,$JA$1)*$JA$4,0),0)</f>
        <v>0</v>
      </c>
      <c r="JG25" s="1050">
        <f>IFERROR(IF(AND($JA$2&lt;&gt;"Enter Spend&gt;&gt;&gt;",JB2="EXISTING"),SUMIFS('Existing Customers'!$S:$S,'Existing Customers'!$H:$H,$IZ25,'Existing Customers'!$A:$A,$JA$1),JQ25*JA25),0)</f>
        <v>0</v>
      </c>
      <c r="JH25" s="1050">
        <f>IFERROR(IF(AND($JA$2&lt;&gt;"Enter Spend&gt;&gt;&gt;",JB2="EXISTING"),SUMIFS('Existing Customers'!$U:$U,'Existing Customers'!$H:$H,$IZ25,'Existing Customers'!$A:$A,$JA$1),JR25*JA25),0)</f>
        <v>0</v>
      </c>
      <c r="JI25" s="1053" t="e">
        <f>_xlfn.CONCAT('Customer Inputs'!$AG$15,"_",IZ25)</f>
        <v>#N/A</v>
      </c>
      <c r="JJ25" s="1053">
        <f t="array" ref="JJ25">IFERROR(INDEX('Margin Guidence Table'!$A$1:$AG$10000,MATCH(1,('Margin Guidence Table'!$A$1:$A$10000=JI25)*('Margin Guidence Table'!$I$1:$I$10000&lt;=ROUND($JA$3,0))*('Margin Guidence Table'!$J$1:$J$10000&gt;=ROUND($JA$3,0)),0),MATCH("DATA_POINTS",'Margin Guidence Table'!$A$1:$AG$1,0)),0)</f>
        <v>0</v>
      </c>
      <c r="JK25" s="1050" t="str">
        <f t="shared" si="45"/>
        <v>DEFAULT</v>
      </c>
      <c r="JL25" s="1050">
        <f t="array" ref="JL25">IFERROR(IF($JK25="SEGMENT",INDEX('Margin Guidence Table'!$A$1:$AG$10000,MATCH(1,('Margin Guidence Table'!$A$1:$A$10000=JI25)*('Margin Guidence Table'!$I$1:$I$10000&lt;=ROUND($JA$3,0))*('Margin Guidence Table'!$J$1:$J$10000&gt;=ROUND($JA$3,0)),0),MATCH("SALES_CASE",'Margin Guidence Table'!$A$1:$AG$1,0)),INDEX('Margin Guidence Table'!$A$1:$AG$10000,MATCH(1,('Margin Guidence Table'!$A$1:$A$10000=JI25)*('Margin Guidence Table'!$I$1:$I$10000&lt;=ROUND($JA$3,0))*('Margin Guidence Table'!$J$1:$J$10000&gt;=ROUND($JA$3,0)),0),MATCH("DEFAULT_SALES_CASE",'Margin Guidence Table'!$A$1:$AG$1,0))),0)</f>
        <v>0</v>
      </c>
      <c r="JM25" s="1050">
        <f t="array" ref="JM25">IFERROR(IF($JK25="SEGMENT",INDEX('Margin Guidence Table'!$A$1:$AG$10000,MATCH(1,('Margin Guidence Table'!$A$1:$A$10000=JI25)*('Margin Guidence Table'!$I$1:$I$10000&lt;=ROUND($JA$3,0))*('Margin Guidence Table'!$J$1:$J$10000&gt;=ROUND($JA$3,0)),0),MATCH("SALES_LBS",'Margin Guidence Table'!$A$1:$AG$1,0)),INDEX('Margin Guidence Table'!$A$1:$AG$10000,MATCH(1,('Margin Guidence Table'!$A$1:$A$10000=JI25)*('Margin Guidence Table'!$I$1:$I$10000&lt;=ROUND($JA$3,0))*('Margin Guidence Table'!$J$1:$J$10000&gt;=ROUND($JA$3,0)),0),MATCH("DEFAULT_SALES_LBS",'Margin Guidence Table'!$A$1:$AG$1,0))),0)</f>
        <v>0</v>
      </c>
      <c r="JN25" s="1054">
        <f t="array" ref="JN25">IFERROR(IF($JK25="SEGMENT",INDEX('Margin Guidence Table'!$A$1:$AG$10000,MATCH(1,('Margin Guidence Table'!$A$1:$A$10000=JI25)*('Margin Guidence Table'!$I$1:$I$10000&lt;=ROUND($JA$3,0))*('Margin Guidence Table'!$J$1:$J$10000&gt;=ROUND($JA$3,0)),0),MATCH("MDA_MIN_MARGIN_GUIDENCE",'Margin Guidence Table'!$A$1:$AG$1,0)),INDEX('Margin Guidence Table'!$A$1:$AG$10000,MATCH(1,('Margin Guidence Table'!$A$1:$A$10000=JI25)*('Margin Guidence Table'!$I$1:$I$10000&lt;=ROUND($JA$3,0))*('Margin Guidence Table'!$J$1:$J$10000&gt;=ROUND($JA$3,0)),0),MATCH("DEFAULT_MDA_MIN_MARGIN_GUIDENCE",'Margin Guidence Table'!$A$1:$AG$1,0))),0)</f>
        <v>0</v>
      </c>
      <c r="JO25" s="1054">
        <f t="array" ref="JO25">IFERROR(IF($JK25="SEGMENT",INDEX('Margin Guidence Table'!$A$1:$AG$10000,MATCH(1,('Margin Guidence Table'!$A$1:$A$10000=JI25)*('Margin Guidence Table'!$I$1:$I$10000&lt;=ROUND($JA$3,0))*('Margin Guidence Table'!$J$1:$J$10000&gt;=ROUND($JA$3,0)),0),MATCH("MDA_MEDIAN_MARGIN_GUIDENCE",'Margin Guidence Table'!$A$1:$AG$1,0)),INDEX('Margin Guidence Table'!$A$1:$AG$10000,MATCH(1,('Margin Guidence Table'!$A$1:$A$10000=JI25)*('Margin Guidence Table'!$I$1:$I$10000&lt;=ROUND($JA$3,0))*('Margin Guidence Table'!$J$1:$J$10000&gt;=ROUND($JA$3,0)),0),MATCH("DEFAULT_MDA_MEDIAN_MARGIN_GUIDENCE",'Margin Guidence Table'!$A$1:$AG$1,0))),0)</f>
        <v>0</v>
      </c>
      <c r="JP25" s="1054">
        <f t="array" ref="JP25">IFERROR(IF($JK25="SEGMENT",INDEX('Margin Guidence Table'!$A$1:$AG$10000,MATCH(1,('Margin Guidence Table'!$A$1:$A$10000=JI25)*('Margin Guidence Table'!$I$1:$I$10000&lt;=ROUND($JA$3,0))*('Margin Guidence Table'!$J$1:$J$10000&gt;=ROUND($JA$3,0)),0),MATCH("MDA_MAX_MARGIN_GUIDENCE",'Margin Guidence Table'!$A$1:$AG$1,0)),INDEX('Margin Guidence Table'!$A$1:$AG$10000,MATCH(1,('Margin Guidence Table'!$A$1:$A$10000=JI25)*('Margin Guidence Table'!$I$1:$I$10000&lt;=ROUND($JA$3,0))*('Margin Guidence Table'!$J$1:$J$10000&gt;=ROUND($JA$3,0)),0),MATCH("DEFAULT_MDA_MAX_MARGIN_GUIDENCE",'Margin Guidence Table'!$A$1:$AG$1,0))),0)</f>
        <v>0</v>
      </c>
      <c r="JQ25" s="1054">
        <f t="array" ref="JQ25">IFERROR(IF($JK25="SEGMENT",INDEX('Margin Guidence Table'!$A$1:$AG$10000,MATCH(1,('Margin Guidence Table'!$A$1:$A$10000=JI25)*('Margin Guidence Table'!$I$1:$I$10000&lt;=ROUND($JA$3,0))*('Margin Guidence Table'!$J$1:$J$10000&gt;=ROUND($JA$3,0)),0),MATCH("PA_PCT_SALES",'Margin Guidence Table'!$A$1:$AG$1,0)),INDEX('Margin Guidence Table'!$A$1:$AG$10000,MATCH(1,('Margin Guidence Table'!$A$1:$A$10000=JI25)*('Margin Guidence Table'!$I$1:$I$10000&lt;=ROUND($JA$3,0))*('Margin Guidence Table'!$J$1:$J$10000&gt;=ROUND($JA$3,0)),0),MATCH("DEFAULT_PA_PCT_SALES",'Margin Guidence Table'!$A$1:$AG$1,0))),0)</f>
        <v>0</v>
      </c>
      <c r="JR25" s="1054">
        <f t="array" ref="JR25">IFERROR(IF($JK25="SEGMENT",INDEX('Margin Guidence Table'!$A$1:$AG$10000,MATCH(1,('Margin Guidence Table'!$A$1:$A$10000=JI25)*('Margin Guidence Table'!$I$1:$I$10000&lt;=ROUND($JA$3,0))*('Margin Guidence Table'!$J$1:$J$10000&gt;=ROUND($JA$3,0)),0),MATCH("SELF_FUND_PCT_SALES",'Margin Guidence Table'!$A$1:$AG$1,0)),INDEX('Margin Guidence Table'!$A$1:$AG$10000,MATCH(1,('Margin Guidence Table'!$A$1:$A$10000=JI25)*('Margin Guidence Table'!$I$1:$I$10000&lt;=ROUND($JA$3,0))*('Margin Guidence Table'!$J$1:$J$10000&gt;=ROUND($JA$3,0)),0),MATCH("DEFAULT_SELF_FUND_PCT_SALES",'Margin Guidence Table'!$A$1:$AG$1,0))),0)</f>
        <v>0</v>
      </c>
      <c r="JS25" s="1054">
        <f t="array" ref="JS25">IFERROR(IF($JK25="SEGMENT",INDEX('Margin Guidence Table'!$A$1:$AG$10000,MATCH(1,('Margin Guidence Table'!$A$1:$A$10000=JI25)*('Margin Guidence Table'!$I$1:$I$10000&lt;=ROUND($JA$3,0))*('Margin Guidence Table'!$J$1:$J$10000&gt;=ROUND($JA$3,0)),0),MATCH("CIA_MEDIAN_MARGIN_GUIDENCE",'Margin Guidence Table'!$A$1:$AG$1,0)),INDEX('Margin Guidence Table'!$A$1:$AG$10000,MATCH(1,('Margin Guidence Table'!$A$1:$A$10000=JI25)*('Margin Guidence Table'!$I$1:$I$10000&lt;=ROUND($JA$3,0))*('Margin Guidence Table'!$J$1:$J$10000&gt;=ROUND($JA$3,0)),0),MATCH("DEFAULT_CIA_MEDIAN_MARGIN_GUIDENCE",'Margin Guidence Table'!$A$1:$AG$1,0))),0)</f>
        <v>0</v>
      </c>
      <c r="JU25" s="100" t="s">
        <v>93</v>
      </c>
      <c r="JV25" s="95"/>
      <c r="JW25" s="87"/>
      <c r="JX25" s="87"/>
      <c r="JY25" s="87"/>
      <c r="JZ25" s="112"/>
      <c r="KA25" s="96"/>
      <c r="KB25" s="127"/>
      <c r="KD25" s="100" t="s">
        <v>93</v>
      </c>
      <c r="KE25" s="95"/>
      <c r="KF25" s="87"/>
      <c r="KG25" s="87"/>
      <c r="KH25" s="87"/>
      <c r="KI25" s="112"/>
      <c r="KJ25" s="96"/>
    </row>
    <row r="26" spans="2:296" ht="15.75" thickBot="1" x14ac:dyDescent="0.3">
      <c r="B26" s="100" t="s">
        <v>105</v>
      </c>
      <c r="C26" s="449">
        <f t="shared" si="11"/>
        <v>0</v>
      </c>
      <c r="D26" s="465">
        <f t="shared" si="12"/>
        <v>0</v>
      </c>
      <c r="E26" s="465">
        <f t="shared" si="13"/>
        <v>0</v>
      </c>
      <c r="F26" s="465">
        <f t="shared" si="14"/>
        <v>0</v>
      </c>
      <c r="G26" s="466">
        <f t="shared" si="15"/>
        <v>0</v>
      </c>
      <c r="H26" s="465">
        <f t="shared" si="16"/>
        <v>0</v>
      </c>
      <c r="I26" s="1046" t="e">
        <f t="shared" si="0"/>
        <v>#DIV/0!</v>
      </c>
      <c r="J26" s="1046" t="e">
        <f t="shared" si="1"/>
        <v>#DIV/0!</v>
      </c>
      <c r="K26" s="1046" t="e">
        <f t="shared" si="2"/>
        <v>#DIV/0!</v>
      </c>
      <c r="L26" s="465" t="e">
        <f t="shared" si="3"/>
        <v>#DIV/0!</v>
      </c>
      <c r="M26" s="465" t="e">
        <f t="shared" si="17"/>
        <v>#DIV/0!</v>
      </c>
      <c r="N26" s="1047" t="e">
        <f t="shared" si="4"/>
        <v>#DIV/0!</v>
      </c>
      <c r="P26" t="str">
        <f>'PIM Model'!E22</f>
        <v>INCLUDE</v>
      </c>
      <c r="Q26">
        <f t="shared" si="18"/>
        <v>0</v>
      </c>
      <c r="R26">
        <f t="shared" si="19"/>
        <v>0</v>
      </c>
      <c r="S26" s="100" t="s">
        <v>105</v>
      </c>
      <c r="T26" s="95">
        <f t="shared" si="20"/>
        <v>0</v>
      </c>
      <c r="U26" s="87">
        <f t="shared" si="5"/>
        <v>0</v>
      </c>
      <c r="V26" s="87">
        <f t="shared" si="6"/>
        <v>0</v>
      </c>
      <c r="W26" s="87">
        <f t="shared" si="7"/>
        <v>0</v>
      </c>
      <c r="X26" s="112">
        <f t="shared" si="8"/>
        <v>0</v>
      </c>
      <c r="Y26" s="115">
        <f t="shared" si="21"/>
        <v>0</v>
      </c>
      <c r="Z26" s="374"/>
      <c r="AA26" s="100" t="s">
        <v>105</v>
      </c>
      <c r="AB26" s="453">
        <f t="shared" si="9"/>
        <v>0</v>
      </c>
      <c r="AC26" s="454">
        <f t="shared" si="9"/>
        <v>0</v>
      </c>
      <c r="AD26" s="454">
        <f t="shared" si="9"/>
        <v>0</v>
      </c>
      <c r="AE26" s="455">
        <f t="shared" si="22"/>
        <v>0</v>
      </c>
      <c r="AF26" s="456">
        <f t="shared" si="23"/>
        <v>0</v>
      </c>
      <c r="AG26" s="374"/>
      <c r="AH26" s="100" t="s">
        <v>105</v>
      </c>
      <c r="AI26" s="453">
        <f t="shared" si="10"/>
        <v>0</v>
      </c>
      <c r="AJ26" s="450">
        <f t="shared" si="24"/>
        <v>0</v>
      </c>
      <c r="AK26" s="456"/>
      <c r="AL26" s="374"/>
      <c r="AM26" s="1" t="str">
        <f>IF('PIM Ranges'!$AK24='PIM Ranges'!$AW$11,IF($AI26&lt;'PIM Ranges'!$AX$11,"Q1",IF($AI26&lt;'PIM Ranges'!$AY$11,"Q2",IF($AI26&lt;'PIM Ranges'!$AZ$11,"Q3",IF($AI26&lt;'PIM Ranges'!$BA$11,"Q4","Q5")))),IF('PIM Ranges'!$AK24='PIM Ranges'!$AW$12,IF($AI26&lt;'PIM Ranges'!$AX$12,"Q1",IF($AI26&lt;'PIM Ranges'!$AY$12,"Q2",IF($AI26&lt;'PIM Ranges'!$AZ$12,"Q3",IF($AI26&lt;'PIM Ranges'!$BA$12,"Q4","Q5")))),IF('PIM Ranges'!$AK24='PIM Ranges'!$AW$13,IF($AI26&lt;'PIM Ranges'!$AX$13,"Q1",IF($AI26&lt;'PIM Ranges'!$AY$13,"Q2",IF($AI26&lt;'PIM Ranges'!$AZ$13,"Q3",IF($AI26&lt;'PIM Ranges'!$BA$13,"Q4","Q5")))),IF('PIM Ranges'!$AK24='PIM Ranges'!$AW$14,IF($AI26&lt;'PIM Ranges'!$AX$14,"Q1",IF($AI26&lt;'PIM Ranges'!$AY$14,"Q2",IF($AI26&lt;'PIM Ranges'!$AZ$14,"Q3",IF($AI26&lt;'PIM Ranges'!$BA$14,"Q4","Q5")))),IF('PIM Ranges'!$AK24='PIM Ranges'!$AW$15,IF($AI26&lt;'PIM Ranges'!$AX$15,"Q1",IF($AI26&lt;'PIM Ranges'!$AY$15,"Q2",IF($AI26&lt;'PIM Ranges'!$AZ$15,"Q3",IF($AI26&lt;'PIM Ranges'!$BA$15,"Q4","Q5")))),IF('PIM Ranges'!$AK24='PIM Ranges'!$AW$16,IF($AI26&lt;'PIM Ranges'!$AX$16,"Q1",IF($AI26&lt;'PIM Ranges'!$AY$16,"Q2",IF($AI26&lt;'PIM Ranges'!$AZ$16,"Q3",IF($AI26&lt;'PIM Ranges'!$BA$16,"Q4","Q5")))),IF('PIM Ranges'!$AK24='PIM Ranges'!$AW$17,IF($AI26&lt;'PIM Ranges'!$AX$17,"Q1",IF($AI26&lt;'PIM Ranges'!$AY$17,"Q2",IF($AI26&lt;'PIM Ranges'!$AZ$17,"Q3",IF($AI26&lt;'PIM Ranges'!$BA$17,"Q4","Q5")))),IF('PIM Ranges'!$AK24='PIM Ranges'!$AW$18,IF($AI26&lt;'PIM Ranges'!$AX$18,"Q1",IF($AI26&lt;'PIM Ranges'!$AY$18,"Q2",IF($AI26&lt;'PIM Ranges'!$AZ$18,"Q3",IF($AI26&lt;'PIM Ranges'!$BA$18,"Q4","Q5")))),IF('PIM Ranges'!$AK24='PIM Ranges'!$AW$19,IF($AI26&lt;'PIM Ranges'!$AX$19,"Q1",IF($AI26&lt;'PIM Ranges'!$AY$19,"Q2",IF($AI26&lt;'PIM Ranges'!$AZ$19,"Q3",IF($AI26&lt;'PIM Ranges'!$BA$19,"Q4","Q5")))),IF('PIM Ranges'!$AK24='PIM Ranges'!$AW$20,IF($AI26&lt;'PIM Ranges'!$AX$20,"Q1",IF($AI26&lt;'PIM Ranges'!$AY$20,"Q2",IF($AI26&lt;'PIM Ranges'!$AZ$20,"Q3",IF($AI26&lt;'PIM Ranges'!$BA$20,"Q4","Q5")))),IF('PIM Ranges'!$AK24='PIM Ranges'!$AW$21,IF($AI26&lt;'PIM Ranges'!$AX$21,"Q1",IF($AI26&lt;'PIM Ranges'!$AY$21,"Q2",IF($AI26&lt;'PIM Ranges'!$AZ$21,"Q3",IF($AI26&lt;'PIM Ranges'!$BA$21,"Q4","Q5")))),IF('PIM Ranges'!$AK24='PIM Ranges'!$AW$22,IF($AI26&lt;'PIM Ranges'!$AX$22,"Q1",IF($AI26&lt;'PIM Ranges'!$AY$22,"Q2",IF($AI26&lt;'PIM Ranges'!$AZ$22,"Q3",IF($AI26&lt;'PIM Ranges'!$BA$22,"Q4","Q5")))),IF('PIM Ranges'!$AK24='PIM Ranges'!$AW$23,IF($AI26&lt;'PIM Ranges'!$AX$23,"Q1",IF($AI26&lt;'PIM Ranges'!$AY$23,"Q2",IF($AI26&lt;'PIM Ranges'!$AZ$23,"Q3",IF($AI26&lt;'PIM Ranges'!$BA$23,"Q4","Q5")))),IF('PIM Ranges'!$AK24='PIM Ranges'!$AW$24,IF($AI26&lt;'PIM Ranges'!$AX$24,"Q1",IF($AI26&lt;'PIM Ranges'!$AY$24,"Q2",IF($AI26&lt;'PIM Ranges'!$AZ$24,"Q3",IF($AI26&lt;'PIM Ranges'!$BA$24,"Q4","Q5")))),IF('PIM Ranges'!$AK24='PIM Ranges'!$AW$25,IF($AI26&lt;'PIM Ranges'!$AX$25,"Q1",IF($AI26&lt;'PIM Ranges'!$AY$25,"Q2",IF($AI26&lt;'PIM Ranges'!$AZ$25,"Q3",IF($AI26&lt;'PIM Ranges'!$BA$25,"Q4","Q5")))),IF('PIM Ranges'!$AK24='PIM Ranges'!$AW$26,IF($AI26&lt;'PIM Ranges'!$AX$26,"Q1",IF($AI26&lt;'PIM Ranges'!$AY$26,"Q2",IF($AI26&lt;'PIM Ranges'!$AZ$26,"Q3",IF($AI26&lt;'PIM Ranges'!$BA$26,"Q4","Q5")))),IF('PIM Ranges'!$AK24='PIM Ranges'!$AW$27,IF($AI26&lt;'PIM Ranges'!$AX$27,"Q1",IF($AI26&lt;'PIM Ranges'!$AY$27,"Q2",IF($AI26&lt;'PIM Ranges'!$AZ$27,"Q3",IF($AI26&lt;'PIM Ranges'!$BA$27,"Q4","Q5")))),IF('PIM Ranges'!$AK24='PIM Ranges'!$AW$28,IF($AI26&lt;'PIM Ranges'!$AX$28,"Q1",IF($AI26&lt;'PIM Ranges'!$AY$28,"Q2",IF($AI26&lt;'PIM Ranges'!$AZ$28,"Q3",IF($AI26&lt;'PIM Ranges'!$BA$28,"Q4","Q5")))),IF('PIM Ranges'!$AK24='PIM Ranges'!$AW$29,IF($AI26&lt;'PIM Ranges'!$AX$29,"Q1",IF($AI26&lt;'PIM Ranges'!$AY$29,"Q2",IF($AI26&lt;'PIM Ranges'!$AZ$29,"Q3",IF($AI26&lt;'PIM Ranges'!$BA$29,"Q4","Q5")))),IF('PIM Ranges'!$AK24='PIM Ranges'!$AW$30,IF($AI26&lt;'PIM Ranges'!$AX$30,"Q1",IF($AI26&lt;'PIM Ranges'!$AY$30,"Q2",IF($AI26&lt;'PIM Ranges'!$AZ$30,"Q3",IF($AI26&lt;'PIM Ranges'!$BA$30,"Q4","Q5")))),IF('PIM Ranges'!$AK24='PIM Ranges'!$AW$31,IF($AI26&lt;'PIM Ranges'!$AX$31,"Q1",IF($AI26&lt;'PIM Ranges'!$AY$31,"Q2",IF($AI26&lt;'PIM Ranges'!$AZ$31,"Q3",IF($AI26&lt;'PIM Ranges'!$BA$31,"Q4","Q5")))),IF('PIM Ranges'!$AK24='PIM Ranges'!$AW$32,IF($AI26&lt;'PIM Ranges'!$AX$32,"Q1",IF($AI26&lt;'PIM Ranges'!$AY$32,"Q2",IF($AI26&lt;'PIM Ranges'!$AZ$32,"Q3",IF($AI26&lt;'PIM Ranges'!$BA$32,"Q4","Q5"))))))))))))))))))))))))))</f>
        <v>Q1</v>
      </c>
      <c r="AN26" s="374">
        <f>VLOOKUP($AH26&amp;$AM26,'IMargin Quartiles'!$A:$F,6,FALSE)</f>
        <v>0.18</v>
      </c>
      <c r="AO26" s="374"/>
      <c r="AP26"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Q26" s="374" t="e">
        <f t="shared" si="25"/>
        <v>#DIV/0!</v>
      </c>
      <c r="AR26">
        <f>'PIM Model'!C22</f>
        <v>0</v>
      </c>
      <c r="AS26" s="374"/>
      <c r="AT26" s="374"/>
      <c r="AU26" s="374" t="e">
        <f t="shared" si="46"/>
        <v>#DIV/0!</v>
      </c>
      <c r="AV26" s="374"/>
      <c r="AW26" s="374"/>
      <c r="AX26" s="106">
        <v>15</v>
      </c>
      <c r="AY26" s="18">
        <f t="array" ref="AY26">IFERROR(IF($BL26="SEGMENT",INDEX('Margin Guidence Table'!$A$1:$AG$10000,MATCH(1,('Margin Guidence Table'!$A$1:$A$10000=$BJ26)*('Margin Guidence Table'!$I$1:$I$10000&lt;=ROUND($BB$3,0))*('Margin Guidence Table'!$J$1:$J$10000&gt;=ROUND($BB$3,0)),0),MATCH("PCT_SALES",'Margin Guidence Table'!$A$1:$AG$1,0)),INDEX('Margin Guidence Table'!$A$1:$AG$10000,MATCH(1,('Margin Guidence Table'!$A$1:$A$10000=$BJ26)*('Margin Guidence Table'!$I$1:$I$10000&lt;=ROUND($BB$3,0))*('Margin Guidence Table'!$J$1:$J$10000&gt;=ROUND($BB$3,0)),0),MATCH("DEFAULT_PCT_SALES",'Margin Guidence Table'!$A$1:$AG$1,0))),0)</f>
        <v>0</v>
      </c>
      <c r="AZ26" s="370" t="e">
        <f t="shared" si="26"/>
        <v>#DIV/0!</v>
      </c>
      <c r="BA26" s="100" t="s">
        <v>105</v>
      </c>
      <c r="BB26" s="92">
        <f>IFERROR(IF(AND($BB$2&lt;&gt;"Enter Spend&gt;&gt;&gt;",BC14="EXISTING"),SUMIFS('Existing Customers'!$Q:$Q,'Existing Customers'!$A:$A,$BB$1,'Existing Customers'!$H:$H,$BA26)*$BB$4,$BB$3*$AZ26),0)</f>
        <v>0</v>
      </c>
      <c r="BC26" s="93">
        <f>IFERROR(IF(AND($BB$2&lt;&gt;"Enter Spend&gt;&gt;&gt;",BC2="EXISTING"),SUMIFS('Existing Customers'!$N:$N,'Existing Customers'!$A:$A,$BB$1,'Existing Customers'!$H:$H,$BA26)*$BB$4,$BB26/$BM26),0)</f>
        <v>0</v>
      </c>
      <c r="BD26" s="93">
        <f>IFERROR(IF(AND($BB$2&lt;&gt;"Enter Spend&gt;&gt;&gt;",BC2="EXISTING"),SUMIFS('Existing Customers'!$O:$O,'Existing Customers'!$H:$H,$BA26,'Existing Customers'!$A:$A,$BB$1)*$BB$4,$BC26*$BB$8),0)</f>
        <v>0</v>
      </c>
      <c r="BE26" s="93">
        <f>IFERROR(IF(AND($BB$2&lt;&gt;"Enter Spend&gt;&gt;&gt;",BC2="EXISTING"),SUMIFS('Existing Customers'!$P:$P,'Existing Customers'!$A:$A,$BB$1,'Existing Customers'!$H:$H,$BA26)*$BB$4,$BB26/$BN26),0)</f>
        <v>0</v>
      </c>
      <c r="BF26" s="376">
        <f>IFERROR(IF(AND($BB$2&lt;&gt;"Enter Spend&gt;&gt;&gt;",BC2="EXISTING"),SUMIFS('Existing Customers'!$V:$V,'Existing Customers'!$H:$H,$BA26,'Existing Customers'!$A:$A,$BB$1)*$BB$4,0),0)</f>
        <v>0</v>
      </c>
      <c r="BG26" s="94">
        <f>IFERROR(IF(AND($BB$2&lt;&gt;"Enter Spend&gt;&gt;&gt;",BC2="EXISTING"),SUMIFS('Existing Customers'!$R:$R,'Existing Customers'!$H:$H,$BA26,'Existing Customers'!$A:$A,$BB$1)*$BB$4,0),0)</f>
        <v>0</v>
      </c>
      <c r="BH26" s="94">
        <f>IFERROR(IF(AND($BB$2&lt;&gt;"Enter Spend&gt;&gt;&gt;",BC2="EXISTING"),SUMIFS('Existing Customers'!$S:$S,'Existing Customers'!$H:$H,$BA26,'Existing Customers'!$A:$A,$BB$1),BR26*BB26),0)</f>
        <v>0</v>
      </c>
      <c r="BI26" s="94">
        <f>IFERROR(IF(AND($BB$2&lt;&gt;"Enter Spend&gt;&gt;&gt;",BC2="EXISTING"),SUMIFS('Existing Customers'!$U:$U,'Existing Customers'!$H:$H,$BA26,'Existing Customers'!$A:$A,$BB$1),BS26*BB26),0)</f>
        <v>0</v>
      </c>
      <c r="BJ26" s="1052" t="e">
        <f>_xlfn.CONCAT('Customer Inputs'!$AG$6,"_",BA26)</f>
        <v>#N/A</v>
      </c>
      <c r="BK26" s="1053">
        <f t="array" ref="BK26">IFERROR(INDEX('Margin Guidence Table'!$A$1:$AG$10000,MATCH(1,('Margin Guidence Table'!$A$1:$A$10000=$BJ26)*('Margin Guidence Table'!$I$1:$I$10000&lt;=ROUND($BB$3,0))*('Margin Guidence Table'!$J$1:$J$10000&gt;=ROUND($BB$3,0)),0),MATCH("DATA_POINTS",'Margin Guidence Table'!$A$1:$AG$1,0)),0)</f>
        <v>0</v>
      </c>
      <c r="BL26" s="1050" t="str">
        <f t="shared" si="27"/>
        <v>DEFAULT</v>
      </c>
      <c r="BM26" s="1050">
        <f t="array" ref="BM26">IFERROR(IF($BL26="SEGMENT",INDEX('Margin Guidence Table'!$A$1:$AG$10000,MATCH(1,('Margin Guidence Table'!$A$1:$A$10000=$BJ26)*('Margin Guidence Table'!$I$1:$I$10000&lt;=ROUND($BB$3,0))*('Margin Guidence Table'!$J$1:$J$10000&gt;=ROUND($BB$3,0)),0),MATCH("SALES_CASE",'Margin Guidence Table'!$A$1:$AG$1,0)),INDEX('Margin Guidence Table'!$A$1:$AG$10000,MATCH(1,('Margin Guidence Table'!$A$1:$A$10000=$BJ26)*('Margin Guidence Table'!$I$1:$I$10000&lt;=ROUND($BB$3,0))*('Margin Guidence Table'!$J$1:$J$10000&gt;=ROUND($BB$3,0)),0),MATCH("DEFAULT_SALES_CASE",'Margin Guidence Table'!$A$1:$AG$1,0))),0)</f>
        <v>0</v>
      </c>
      <c r="BN26" s="1050">
        <f t="array" ref="BN26">IFERROR(IF($BL26="SEGMENT",INDEX('Margin Guidence Table'!$A$1:$AG$10000,MATCH(1,('Margin Guidence Table'!$A$1:$A$10000=$BJ26)*('Margin Guidence Table'!$I$1:$I$10000&lt;=ROUND($BB$3,0))*('Margin Guidence Table'!$J$1:$J$10000&gt;=ROUND($BB$3,0)),0),MATCH("SALES_LBS",'Margin Guidence Table'!$A$1:$AG$1,0)),INDEX('Margin Guidence Table'!$A$1:$AG$10000,MATCH(1,('Margin Guidence Table'!$A$1:$A$10000=$BJ26)*('Margin Guidence Table'!$I$1:$I$10000&lt;=ROUND($BB$3,0))*('Margin Guidence Table'!$J$1:$J$10000&gt;=ROUND($BB$3,0)),0),MATCH("DEFAULT_SALES_LBS",'Margin Guidence Table'!$A$1:$AG$1,0))),0)</f>
        <v>0</v>
      </c>
      <c r="BO26" s="1054">
        <f t="array" ref="BO26">IFERROR(IF($BL26="SEGMENT",INDEX('Margin Guidence Table'!$A$1:$AG$10000,MATCH(1,('Margin Guidence Table'!$A$1:$A$10000=$BJ26)*('Margin Guidence Table'!$I$1:$I$10000&lt;=ROUND($BB$3,0))*('Margin Guidence Table'!$J$1:$J$10000&gt;=ROUND($BB$3,0)),0),MATCH("MDA_MIN_MARGIN_GUIDENCE",'Margin Guidence Table'!$A$1:$AG$1,0)),INDEX('Margin Guidence Table'!$A$1:$AG$10000,MATCH(1,('Margin Guidence Table'!$A$1:$A$10000=$BJ26)*('Margin Guidence Table'!$I$1:$I$10000&lt;=ROUND($BB$3,0))*('Margin Guidence Table'!$J$1:$J$10000&gt;=ROUND($BB$3,0)),0),MATCH("DEFAULT_MDA_MIN_MARGIN_GUIDENCE",'Margin Guidence Table'!$A$1:$AG$1,0))),0)</f>
        <v>0</v>
      </c>
      <c r="BP26" s="1054">
        <f t="array" ref="BP26">IFERROR(IF($BL26="SEGMENT",INDEX('Margin Guidence Table'!$A$1:$AG$10000,MATCH(1,('Margin Guidence Table'!$A$1:$A$10000=$BJ26)*('Margin Guidence Table'!$I$1:$I$10000&lt;=ROUND($BB$3,0))*('Margin Guidence Table'!$J$1:$J$10000&gt;=ROUND($BB$3,0)),0),MATCH("MDA_MEDIAN_MARGIN_GUIDENCE",'Margin Guidence Table'!$A$1:$AG$1,0)),INDEX('Margin Guidence Table'!$A$1:$AG$10000,MATCH(1,('Margin Guidence Table'!$A$1:$A$10000=$BJ26)*('Margin Guidence Table'!$I$1:$I$10000&lt;=ROUND($BB$3,0))*('Margin Guidence Table'!$J$1:$J$10000&gt;=ROUND($BB$3,0)),0),MATCH("DEFAULT_MDA_MEDIAN_MARGIN_GUIDENCE",'Margin Guidence Table'!$A$1:$AG$1,0))),0)</f>
        <v>0</v>
      </c>
      <c r="BQ26" s="1054">
        <f t="array" ref="BQ26">IFERROR(IF($BL26="SEGMENT",INDEX('Margin Guidence Table'!$A$1:$AG$10000,MATCH(1,('Margin Guidence Table'!$A$1:$A$10000=$BJ26)*('Margin Guidence Table'!$I$1:$I$10000&lt;=ROUND($BB$3,0))*('Margin Guidence Table'!$J$1:$J$10000&gt;=ROUND($BB$3,0)),0),MATCH("MDA_MAX_MARGIN_GUIDENCE",'Margin Guidence Table'!$A$1:$AG$1,0)),INDEX('Margin Guidence Table'!$A$1:$AG$10000,MATCH(1,('Margin Guidence Table'!$A$1:$A$10000=$BJ26)*('Margin Guidence Table'!$I$1:$I$10000&lt;=ROUND($BB$3,0))*('Margin Guidence Table'!$J$1:$J$10000&gt;=ROUND($BB$3,0)),0),MATCH("DEFAULT_MDA_MAX_MARGIN_GUIDENCE",'Margin Guidence Table'!$A$1:$AG$1,0))),0)</f>
        <v>0</v>
      </c>
      <c r="BR26" s="1054">
        <f t="array" ref="BR26">IFERROR(IF($BL26="SEGMENT",INDEX('Margin Guidence Table'!$A$1:$AG$10000,MATCH(1,('Margin Guidence Table'!$A$1:$A$10000=$BJ26)*('Margin Guidence Table'!$I$1:$I$10000&lt;=ROUND($BB$3,0))*('Margin Guidence Table'!$J$1:$J$10000&gt;=ROUND($BB$3,0)),0),MATCH("PA_PCT_SALES",'Margin Guidence Table'!$A$1:$AG$1,0)),INDEX('Margin Guidence Table'!$A$1:$AG$10000,MATCH(1,('Margin Guidence Table'!$A$1:$A$10000=$BJ26)*('Margin Guidence Table'!$I$1:$I$10000&lt;=ROUND($BB$3,0))*('Margin Guidence Table'!$J$1:$J$10000&gt;=ROUND($BB$3,0)),0),MATCH("DEFAULT_PA_PCT_SALES",'Margin Guidence Table'!$A$1:$AG$1,0))),0)</f>
        <v>0</v>
      </c>
      <c r="BS26" s="1054">
        <f t="array" ref="BS26">IFERROR(IF($BL26="SEGMENT",INDEX('Margin Guidence Table'!$A$1:$AG$10000,MATCH(1,('Margin Guidence Table'!$A$1:$A$10000=$BJ26)*('Margin Guidence Table'!$I$1:$I$10000&lt;=ROUND($BB$3,0))*('Margin Guidence Table'!$J$1:$J$10000&gt;=ROUND($BB$3,0)),0),MATCH("SELF_FUND_PCT_SALES",'Margin Guidence Table'!$A$1:$AG$1,0)),INDEX('Margin Guidence Table'!$A$1:$AG$10000,MATCH(1,('Margin Guidence Table'!$A$1:$A$10000=$BJ26)*('Margin Guidence Table'!$I$1:$I$10000&lt;=ROUND($BB$3,0))*('Margin Guidence Table'!$J$1:$J$10000&gt;=ROUND($BB$3,0)),0),MATCH("DEFAULT_SELF_FUND_PCT_SALES",'Margin Guidence Table'!$A$1:$AG$1,0))),0)</f>
        <v>0</v>
      </c>
      <c r="BT26" s="1054">
        <f t="array" ref="BT26">IFERROR(IF($BL26="SEGMENT",INDEX('Margin Guidence Table'!$A$1:$AG$10000,MATCH(1,('Margin Guidence Table'!$A$1:$A$10000=$BJ26)*('Margin Guidence Table'!$I$1:$I$10000&lt;=ROUND($BB$3,0))*('Margin Guidence Table'!$J$1:$J$10000&gt;=ROUND($BB$3,0)),0),MATCH("CIA_MEDIAN_MARGIN_GUIDENCE",'Margin Guidence Table'!$A$1:$AG$1,0)),INDEX('Margin Guidence Table'!$A$1:$AG$10000,MATCH(1,('Margin Guidence Table'!$A$1:$A$10000=$BJ26)*('Margin Guidence Table'!$I$1:$I$10000&lt;=ROUND($BB$3,0))*('Margin Guidence Table'!$J$1:$J$10000&gt;=ROUND($BB$3,0)),0),MATCH("DEFAULT_CIA_MEDIAN_MARGIN_GUIDENCE",'Margin Guidence Table'!$A$1:$AG$1,0))),0)</f>
        <v>0</v>
      </c>
      <c r="BU26" s="127"/>
      <c r="BV26" s="18">
        <f t="array" ref="BV26">IFERROR(IF($CI26="SEGMENT",INDEX('Margin Guidence Table'!$A$1:$AG$10000,MATCH(1,('Margin Guidence Table'!$A$1:$A$10000=$CG26)*('Margin Guidence Table'!$I$1:$I$10000&lt;=ROUND($BY$3,0))*('Margin Guidence Table'!$J$1:$J$10000&gt;=ROUND($BY$3,0)),0),MATCH("PCT_SALES",'Margin Guidence Table'!$A$1:$AG$1,0)),INDEX('Margin Guidence Table'!$A$1:$AG$10000,MATCH(1,('Margin Guidence Table'!$A$1:$A$10000=$CG26)*('Margin Guidence Table'!$I$1:$I$10000&lt;=ROUND($BY$3,0))*('Margin Guidence Table'!$J$1:$J$10000&gt;=ROUND($BY$3,0)),0),MATCH("DEFAULT_PCT_SALES",'Margin Guidence Table'!$A$1:$AG$1,0))),0)</f>
        <v>0</v>
      </c>
      <c r="BW26" s="370" t="e">
        <f t="shared" si="28"/>
        <v>#DIV/0!</v>
      </c>
      <c r="BX26" s="100" t="s">
        <v>105</v>
      </c>
      <c r="BY26" s="92">
        <f>IFERROR(IF(AND($BY$2&lt;&gt;"Enter Spend&gt;&gt;&gt;",BZ14="EXISTING"),SUMIFS('Existing Customers'!$Q:$Q,'Existing Customers'!$A:$A,$BY$1,'Existing Customers'!$H:$H,$BX26)*$BY$4,$BY$3*$BW26),0)</f>
        <v>0</v>
      </c>
      <c r="BZ26" s="87">
        <f>IFERROR(IF(AND($BY$2&lt;&gt;"Enter Spend&gt;&gt;&gt;",BZ2="EXISTING"),SUMIFS('Existing Customers'!$N:$N,'Existing Customers'!$A:$A,$BY$1,'Existing Customers'!$H:$H,$BX26)*$BY$4,$BY26/$CJ26),0)</f>
        <v>0</v>
      </c>
      <c r="CA26" s="93">
        <f>IFERROR(IF(AND($BY$2&lt;&gt;"Enter Spend&gt;&gt;&gt;",BZ2="EXISTING"),SUMIFS('Existing Customers'!$O:$O,'Existing Customers'!$H:$H,$BX26,'Existing Customers'!$A:$A,$BY$1)*$BY$4,$BZ26*$BY$8),0)</f>
        <v>0</v>
      </c>
      <c r="CB26" s="93">
        <f>IFERROR(IF(AND($BY$2&lt;&gt;"Enter Spend&gt;&gt;&gt;",BZ2="EXISTING"),SUMIFS('Existing Customers'!$P:$P,'Existing Customers'!$A:$A,$BY$1,'Existing Customers'!$H:$H,$BX26)*$BY$4,$BY26/$CK26),0)</f>
        <v>0</v>
      </c>
      <c r="CC26" s="94">
        <f>IFERROR(IF(AND($BY$2&lt;&gt;"Enter Spend&gt;&gt;&gt;",BZ2="EXISTING"),SUMIFS('Existing Customers'!$V:$V,'Existing Customers'!$H:$H,$BX26,'Existing Customers'!$A:$A,$BY$1)*$BY$4,0),0)</f>
        <v>0</v>
      </c>
      <c r="CD26" s="94">
        <f>IFERROR(IF(AND($BY$2&lt;&gt;"Enter Spend&gt;&gt;&gt;",BZ2="EXISTING"),SUMIFS('Existing Customers'!$R:$R,'Existing Customers'!$H:$H,$BX26,'Existing Customers'!$A:$A,$BY$1)*$BY$4,0),0)</f>
        <v>0</v>
      </c>
      <c r="CE26" s="1050">
        <f>IFERROR(IF(AND($BY$2&lt;&gt;"Enter Spend&gt;&gt;&gt;",BZ2="EXISTING"),SUMIFS('Existing Customers'!$S:$S,'Existing Customers'!$H:$H,$BX26,'Existing Customers'!$A:$A,$BY$1),CO26*BY26),0)</f>
        <v>0</v>
      </c>
      <c r="CF26" s="1050">
        <f>IFERROR(IF(AND($BY$2&lt;&gt;"Enter Spend&gt;&gt;&gt;",BZ2="EXISTING"),SUMIFS('Existing Customers'!$U:$U,'Existing Customers'!$H:$H,$BX26,'Existing Customers'!$A:$A,$BY$1),CP26*BY26),0)</f>
        <v>0</v>
      </c>
      <c r="CG26" s="1053" t="e">
        <f>_xlfn.CONCAT('Customer Inputs'!$AG$7,"_",BX26)</f>
        <v>#N/A</v>
      </c>
      <c r="CH26" s="1053">
        <f t="array" ref="CH26">IFERROR(INDEX('Margin Guidence Table'!$A$1:$AG$10000,MATCH(1,('Margin Guidence Table'!$A$1:$A$10000=$CG26)*('Margin Guidence Table'!$I$1:$I$10000&lt;=ROUND($BY$3,0))*('Margin Guidence Table'!$J$1:$J$10000&gt;=ROUND($BY$3,0)),0),MATCH("DATA_POINTS",'Margin Guidence Table'!$A$1:$AG$1,0)),0)</f>
        <v>0</v>
      </c>
      <c r="CI26" s="1050" t="str">
        <f t="shared" si="29"/>
        <v>DEFAULT</v>
      </c>
      <c r="CJ26" s="1050">
        <f t="array" ref="CJ26">IFERROR(IF($CI26="SEGMENT",INDEX('Margin Guidence Table'!$A$1:$AG$10000,MATCH(1,('Margin Guidence Table'!$A$1:$A$10000=$CG26)*('Margin Guidence Table'!$I$1:$I$10000&lt;=ROUND($BY$3,0))*('Margin Guidence Table'!$J$1:$J$10000&gt;=ROUND($BY$3,0)),0),MATCH("SALES_CASE",'Margin Guidence Table'!$A$1:$AG$1,0)),INDEX('Margin Guidence Table'!$A$1:$AG$10000,MATCH(1,('Margin Guidence Table'!$A$1:$A$10000=$CG26)*('Margin Guidence Table'!$I$1:$I$10000&lt;=ROUND($BY$3,0))*('Margin Guidence Table'!$J$1:$J$10000&gt;=ROUND($BY$3,0)),0),MATCH("DEFAULT_SALES_CASE",'Margin Guidence Table'!$A$1:$AG$1,0))),0)</f>
        <v>0</v>
      </c>
      <c r="CK26" s="1050">
        <f t="array" ref="CK26">IFERROR(IF($CI26="SEGMENT",INDEX('Margin Guidence Table'!$A$1:$AG$10000,MATCH(1,('Margin Guidence Table'!$A$1:$A$10000=$CG26)*('Margin Guidence Table'!$I$1:$I$10000&lt;=ROUND($BY$3,0))*('Margin Guidence Table'!$J$1:$J$10000&gt;=ROUND($BY$3,0)),0),MATCH("SALES_LBS",'Margin Guidence Table'!$A$1:$AG$1,0)),INDEX('Margin Guidence Table'!$A$1:$AG$10000,MATCH(1,('Margin Guidence Table'!$A$1:$A$10000=$CG26)*('Margin Guidence Table'!$I$1:$I$10000&lt;=ROUND($BY$3,0))*('Margin Guidence Table'!$J$1:$J$10000&gt;=ROUND($BY$3,0)),0),MATCH("DEFAULT_SALES_LBS",'Margin Guidence Table'!$A$1:$AG$1,0))),0)</f>
        <v>0</v>
      </c>
      <c r="CL26" s="1054">
        <f t="array" ref="CL26">IFERROR(IF($CI26="SEGMENT",INDEX('Margin Guidence Table'!$A$1:$AG$10000,MATCH(1,('Margin Guidence Table'!$A$1:$A$10000=$CG26)*('Margin Guidence Table'!$I$1:$I$10000&lt;=ROUND($BY$3,0))*('Margin Guidence Table'!$J$1:$J$10000&gt;=ROUND($BY$3,0)),0),MATCH("MDA_MIN_MARGIN_GUIDENCE",'Margin Guidence Table'!$A$1:$AG$1,0)),INDEX('Margin Guidence Table'!$A$1:$AG$10000,MATCH(1,('Margin Guidence Table'!$A$1:$A$10000=$CG26)*('Margin Guidence Table'!$I$1:$I$10000&lt;=ROUND($BY$3,0))*('Margin Guidence Table'!$J$1:$J$10000&gt;=ROUND($BY$3,0)),0),MATCH("DEFAULT_MDA_MIN_MARGIN_GUIDENCE",'Margin Guidence Table'!$A$1:$AG$1,0))),0)</f>
        <v>0</v>
      </c>
      <c r="CM26" s="1054">
        <f t="array" ref="CM26">IFERROR(IF($CI26="SEGMENT",INDEX('Margin Guidence Table'!$A$1:$AG$10000,MATCH(1,('Margin Guidence Table'!$A$1:$A$10000=$CG26)*('Margin Guidence Table'!$I$1:$I$10000&lt;=ROUND($BY$3,0))*('Margin Guidence Table'!$J$1:$J$10000&gt;=ROUND($BY$3,0)),0),MATCH("MDA_MEDIAN_MARGIN_GUIDENCE",'Margin Guidence Table'!$A$1:$AG$1,0)),INDEX('Margin Guidence Table'!$A$1:$AG$10000,MATCH(1,('Margin Guidence Table'!$A$1:$A$10000=$CG26)*('Margin Guidence Table'!$I$1:$I$10000&lt;=ROUND($BY$3,0))*('Margin Guidence Table'!$J$1:$J$10000&gt;=ROUND($BY$3,0)),0),MATCH("DEFAULT_MDA_MEDIAN_MARGIN_GUIDENCE",'Margin Guidence Table'!$A$1:$AG$1,0))),0)</f>
        <v>0</v>
      </c>
      <c r="CN26" s="1054">
        <f t="array" ref="CN26">IFERROR(IF($CI26="SEGMENT",INDEX('Margin Guidence Table'!$A$1:$AG$10000,MATCH(1,('Margin Guidence Table'!$A$1:$A$10000=$CG26)*('Margin Guidence Table'!$I$1:$I$10000&lt;=ROUND($BY$3,0))*('Margin Guidence Table'!$J$1:$J$10000&gt;=ROUND($BY$3,0)),0),MATCH("MDA_MAX_MARGIN_GUIDENCE",'Margin Guidence Table'!$A$1:$AG$1,0)),INDEX('Margin Guidence Table'!$A$1:$AG$10000,MATCH(1,('Margin Guidence Table'!$A$1:$A$10000=$CG26)*('Margin Guidence Table'!$I$1:$I$10000&lt;=ROUND($BY$3,0))*('Margin Guidence Table'!$J$1:$J$10000&gt;=ROUND($BY$3,0)),0),MATCH("DEFAULT_MDA_MAX_MARGIN_GUIDENCE",'Margin Guidence Table'!$A$1:$AG$1,0))),0)</f>
        <v>0</v>
      </c>
      <c r="CO26" s="1054">
        <f t="array" ref="CO26">IFERROR(IF($CI26="SEGMENT",INDEX('Margin Guidence Table'!$A$1:$AG$10000,MATCH(1,('Margin Guidence Table'!$A$1:$A$10000=$CG26)*('Margin Guidence Table'!$I$1:$I$10000&lt;=ROUND($BY$3,0))*('Margin Guidence Table'!$J$1:$J$10000&gt;=ROUND($BY$3,0)),0),MATCH("PA_PCT_SALES",'Margin Guidence Table'!$A$1:$AG$1,0)),INDEX('Margin Guidence Table'!$A$1:$AG$10000,MATCH(1,('Margin Guidence Table'!$A$1:$A$10000=$CG26)*('Margin Guidence Table'!$I$1:$I$10000&lt;=ROUND($BY$3,0))*('Margin Guidence Table'!$J$1:$J$10000&gt;=ROUND($BY$3,0)),0),MATCH("DEFAULT_PA_PCT_SALES",'Margin Guidence Table'!$A$1:$AG$1,0))),0)</f>
        <v>0</v>
      </c>
      <c r="CP26" s="1054">
        <f t="array" ref="CP26">IFERROR(IF($CI26="SEGMENT",INDEX('Margin Guidence Table'!$A$1:$AG$10000,MATCH(1,('Margin Guidence Table'!$A$1:$A$10000=$CG26)*('Margin Guidence Table'!$I$1:$I$10000&lt;=ROUND($BY$3,0))*('Margin Guidence Table'!$J$1:$J$10000&gt;=ROUND($BY$3,0)),0),MATCH("SELF_FUND_PCT_SALES",'Margin Guidence Table'!$A$1:$AG$1,0)),INDEX('Margin Guidence Table'!$A$1:$AG$10000,MATCH(1,('Margin Guidence Table'!$A$1:$A$10000=$CG26)*('Margin Guidence Table'!$I$1:$I$10000&lt;=ROUND($BY$3,0))*('Margin Guidence Table'!$J$1:$J$10000&gt;=ROUND($BY$3,0)),0),MATCH("DEFAULT_SELF_FUND_PCT_SALES",'Margin Guidence Table'!$A$1:$AG$1,0))),0)</f>
        <v>0</v>
      </c>
      <c r="CQ26" s="1054">
        <f t="array" ref="CQ26">IFERROR(IF($CI26="SEGMENT",INDEX('Margin Guidence Table'!$A$1:$AG$10000,MATCH(1,('Margin Guidence Table'!$A$1:$A$10000=$CG26)*('Margin Guidence Table'!$I$1:$I$10000&lt;=ROUND($BY$3,0))*('Margin Guidence Table'!$J$1:$J$10000&gt;=ROUND($BY$3,0)),0),MATCH("CIA_MEDIAN_MARGIN_GUIDENCE",'Margin Guidence Table'!$A$1:$AG$1,0)),INDEX('Margin Guidence Table'!$A$1:$AG$10000,MATCH(1,('Margin Guidence Table'!$A$1:$A$10000=$CG26)*('Margin Guidence Table'!$I$1:$I$10000&lt;=ROUND($BY$3,0))*('Margin Guidence Table'!$J$1:$J$10000&gt;=ROUND($BY$3,0)),0),MATCH("DEFAULT_CIA_MEDIAN_MARGIN_GUIDENCE",'Margin Guidence Table'!$A$1:$AG$1,0))),0)</f>
        <v>0</v>
      </c>
      <c r="CR26" s="127"/>
      <c r="CS26" s="18">
        <f t="array" ref="CS26">IFERROR(IF($DF26="SEGMENT",INDEX('Margin Guidence Table'!$A$1:$AG$10000,MATCH(1,('Margin Guidence Table'!$A$1:$A$10000=$DD26)*('Margin Guidence Table'!$I$1:$I$10000&lt;=ROUND($CV$3,0))*('Margin Guidence Table'!$J$1:$J$10000&gt;=ROUND($CV$3,0)),0),MATCH("PCT_SALES",'Margin Guidence Table'!$A$1:$AG$1,0)),INDEX('Margin Guidence Table'!$A$1:$AG$10000,MATCH(1,('Margin Guidence Table'!$A$1:$A$10000=$DD26)*('Margin Guidence Table'!$I$1:$I$10000&lt;=ROUND($CV$3,0))*('Margin Guidence Table'!$J$1:$J$10000&gt;=ROUND($CV$3,0)),0),MATCH("DEFAULT_PCT_SALES",'Margin Guidence Table'!$A$1:$AG$1,0))),0)</f>
        <v>0</v>
      </c>
      <c r="CT26" s="370" t="e">
        <f t="shared" si="30"/>
        <v>#DIV/0!</v>
      </c>
      <c r="CU26" s="100" t="s">
        <v>105</v>
      </c>
      <c r="CV26" s="92">
        <f>IFERROR(IF(AND($CV$2&lt;&gt;"Enter Spend&gt;&gt;&gt;",CW14="EXISTING"),SUMIFS('Existing Customers'!$Q:$Q,'Existing Customers'!$A:$A,$CV$1,'Existing Customers'!$H:$H,$CU26)*$CV$4,$CV$3*$CT26),0)</f>
        <v>0</v>
      </c>
      <c r="CW26" s="87">
        <f>IFERROR(IF(AND($CV$2&lt;&gt;"Enter Spend&gt;&gt;&gt;",CW2="EXISTING"),SUMIFS('Existing Customers'!$N:$N,'Existing Customers'!$A:$A,$CV$1,'Existing Customers'!$H:$H,$CU26)*$CV$4,$CV26/$DG26),0)</f>
        <v>0</v>
      </c>
      <c r="CX26" s="93">
        <f>IFERROR(IF(AND($CV$2&lt;&gt;"Enter Spend&gt;&gt;&gt;",BC28="EXISTING"),SUMIFS('Existing Customers'!$O:$O,'Existing Customers'!$H:$H,$CU26,'Existing Customers'!$A:$A,$CV$1)*$CV$4,$CW26*$CV$8),0)</f>
        <v>0</v>
      </c>
      <c r="CY26" s="93">
        <f>IFERROR(IF(AND($CV$2&lt;&gt;"Enter Spend&gt;&gt;&gt;",CW2="EXISTING"),SUMIFS('Existing Customers'!$P:$P,'Existing Customers'!$A:$A,$CV$1,'Existing Customers'!$H:$H,$CU26)*$CV$4,$CV26/$DH26),0)</f>
        <v>0</v>
      </c>
      <c r="CZ26" s="94">
        <f>IFERROR(IF(AND($CV$2&lt;&gt;"Enter Spend&gt;&gt;&gt;",CW2="EXISTING"),SUMIFS('Existing Customers'!$V:$V,'Existing Customers'!$H:$H,$CU26,'Existing Customers'!$A:$A,$CV$1)*$CV$4,0),0)</f>
        <v>0</v>
      </c>
      <c r="DA26" s="94">
        <f>IFERROR(IF(AND($CV$2&lt;&gt;"Enter Spend&gt;&gt;&gt;",CW2="EXISTING"),SUMIFS('Existing Customers'!$R:$R,'Existing Customers'!$H:$H,$BA26,'Existing Customers'!$A:$A,$CV$1)*$CV$4,0),0)</f>
        <v>0</v>
      </c>
      <c r="DB26" s="1050">
        <f>IFERROR(IF(AND($CV$2&lt;&gt;"Enter Spend&gt;&gt;&gt;",CW2="EXISTING"),SUMIFS('Existing Customers'!$S:$S,'Existing Customers'!$H:$H,$CU26,'Existing Customers'!$A:$A,$CV$1),DL26*CV26),0)</f>
        <v>0</v>
      </c>
      <c r="DC26" s="1050">
        <f>IFERROR(IF(AND($CV$2&lt;&gt;"Enter Spend&gt;&gt;&gt;",CW2="EXISTING"),SUMIFS('Existing Customers'!$U:$U,'Existing Customers'!$H:$H,$CU26,'Existing Customers'!$A:$A,$CV$1),DM26*CV26),0)</f>
        <v>0</v>
      </c>
      <c r="DD26" s="1053" t="e">
        <f>_xlfn.CONCAT('Customer Inputs'!$AG$8,"_",CU26)</f>
        <v>#N/A</v>
      </c>
      <c r="DE26" s="1053">
        <f t="array" ref="DE26">IFERROR(INDEX('Margin Guidence Table'!$A$1:$AG$10000,MATCH(1,('Margin Guidence Table'!$A$1:$A$10000=DD26)*('Margin Guidence Table'!$I$1:$I$10000&lt;=ROUND($CV$3,0))*('Margin Guidence Table'!$J$1:$J$10000&gt;=ROUND($CV$3,0)),0),MATCH("DATA_POINTS",'Margin Guidence Table'!$A$1:$AG$1,0)),0)</f>
        <v>0</v>
      </c>
      <c r="DF26" s="1050" t="str">
        <f t="shared" si="31"/>
        <v>DEFAULT</v>
      </c>
      <c r="DG26" s="1050">
        <f t="array" ref="DG26">IFERROR(IF($DF26="SEGMENT",INDEX('Margin Guidence Table'!$A$1:$AG$10000,MATCH(1,('Margin Guidence Table'!$A$1:$A$10000=DD26)*('Margin Guidence Table'!$I$1:$I$10000&lt;=ROUND($CV$3,0))*('Margin Guidence Table'!$J$1:$J$10000&gt;=ROUND($CV$3,0)),0),MATCH("SALES_CASE",'Margin Guidence Table'!$A$1:$AG$1,0)),INDEX('Margin Guidence Table'!$A$1:$AG$10000,MATCH(1,('Margin Guidence Table'!$A$1:$A$10000=DD26)*('Margin Guidence Table'!$I$1:$I$10000&lt;=ROUND($CV$3,0))*('Margin Guidence Table'!$J$1:$J$10000&gt;=ROUND($CV$3,0)),0),MATCH("DEFAULT_SALES_CASE",'Margin Guidence Table'!$A$1:$AG$1,0))),0)</f>
        <v>0</v>
      </c>
      <c r="DH26" s="1050">
        <f t="array" ref="DH26">IFERROR(IF($DF26="SEGMENT",INDEX('Margin Guidence Table'!$A$1:$AG$10000,MATCH(1,('Margin Guidence Table'!$A$1:$A$10000=DD26)*('Margin Guidence Table'!$I$1:$I$10000&lt;=ROUND($CV$3,0))*('Margin Guidence Table'!$J$1:$J$10000&gt;=ROUND($CV$3,0)),0),MATCH("SALES_LBS",'Margin Guidence Table'!$A$1:$AG$1,0)),INDEX('Margin Guidence Table'!$A$1:$AG$10000,MATCH(1,('Margin Guidence Table'!$A$1:$A$10000=DD26)*('Margin Guidence Table'!$I$1:$I$10000&lt;=ROUND($CV$3,0))*('Margin Guidence Table'!$J$1:$J$10000&gt;=ROUND($CV$3,0)),0),MATCH("DEFAULT_SALES_LBS",'Margin Guidence Table'!$A$1:$AG$1,0))),0)</f>
        <v>0</v>
      </c>
      <c r="DI26" s="1054">
        <f t="array" ref="DI26">IFERROR(IF($DF26="SEGMENT",INDEX('Margin Guidence Table'!$A$1:$AG$10000,MATCH(1,('Margin Guidence Table'!$A$1:$A$10000=DD26)*('Margin Guidence Table'!$I$1:$I$10000&lt;=ROUND($CV$3,0))*('Margin Guidence Table'!$J$1:$J$10000&gt;=ROUND($CV$3,0)),0),MATCH("MDA_MIN_MARGIN_GUIDENCE",'Margin Guidence Table'!$A$1:$AG$1,0)),INDEX('Margin Guidence Table'!$A$1:$AG$10000,MATCH(1,('Margin Guidence Table'!$A$1:$A$10000=DD26)*('Margin Guidence Table'!$I$1:$I$10000&lt;=ROUND($CV$3,0))*('Margin Guidence Table'!$J$1:$J$10000&gt;=ROUND($CV$3,0)),0),MATCH("DEFAULT_MDA_MIN_MARGIN_GUIDENCE",'Margin Guidence Table'!$A$1:$AG$1,0))),0)</f>
        <v>0</v>
      </c>
      <c r="DJ26" s="1054">
        <f t="array" ref="DJ26">IFERROR(IF($DF26="SEGMENT",INDEX('Margin Guidence Table'!$A$1:$AG$10000,MATCH(1,('Margin Guidence Table'!$A$1:$A$10000=DD26)*('Margin Guidence Table'!$I$1:$I$10000&lt;=ROUND($CV$3,0))*('Margin Guidence Table'!$J$1:$J$10000&gt;=ROUND($CV$3,0)),0),MATCH("MDA_MEDIAN_MARGIN_GUIDENCE",'Margin Guidence Table'!$A$1:$AG$1,0)),INDEX('Margin Guidence Table'!$A$1:$AG$10000,MATCH(1,('Margin Guidence Table'!$A$1:$A$10000=DD26)*('Margin Guidence Table'!$I$1:$I$10000&lt;=ROUND($CV$3,0))*('Margin Guidence Table'!$J$1:$J$10000&gt;=ROUND($CV$3,0)),0),MATCH("DEFAULT_MDA_MEDIAN_MARGIN_GUIDENCE",'Margin Guidence Table'!$A$1:$AG$1,0))),0)</f>
        <v>0</v>
      </c>
      <c r="DK26" s="1054">
        <f t="array" ref="DK26">IFERROR(IF($DF26="SEGMENT",INDEX('Margin Guidence Table'!$A$1:$AG$10000,MATCH(1,('Margin Guidence Table'!$A$1:$A$10000=DD26)*('Margin Guidence Table'!$I$1:$I$10000&lt;=ROUND($CV$3,0))*('Margin Guidence Table'!$J$1:$J$10000&gt;=ROUND($CV$3,0)),0),MATCH("MDA_MAX_MARGIN_GUIDENCE",'Margin Guidence Table'!$A$1:$AG$1,0)),INDEX('Margin Guidence Table'!$A$1:$AG$10000,MATCH(1,('Margin Guidence Table'!$A$1:$A$10000=DD26)*('Margin Guidence Table'!$I$1:$I$10000&lt;=ROUND($CV$3,0))*('Margin Guidence Table'!$J$1:$J$10000&gt;=ROUND($CV$3,0)),0),MATCH("DEFAULT_MDA_MAX_MARGIN_GUIDENCE",'Margin Guidence Table'!$A$1:$AG$1,0))),0)</f>
        <v>0</v>
      </c>
      <c r="DL26" s="1054">
        <f t="array" ref="DL26">IFERROR(IF($DF26="SEGMENT",INDEX('Margin Guidence Table'!$A$1:$AG$10000,MATCH(1,('Margin Guidence Table'!$A$1:$A$10000=DD26)*('Margin Guidence Table'!$I$1:$I$10000&lt;=ROUND($CV$3,0))*('Margin Guidence Table'!$J$1:$J$10000&gt;=ROUND($CV$3,0)),0),MATCH("PA_PCT_SALES",'Margin Guidence Table'!$A$1:$AG$1,0)),INDEX('Margin Guidence Table'!$A$1:$AG$10000,MATCH(1,('Margin Guidence Table'!$A$1:$A$10000=DD26)*('Margin Guidence Table'!$I$1:$I$10000&lt;=ROUND($CV$3,0))*('Margin Guidence Table'!$J$1:$J$10000&gt;=ROUND($CV$3,0)),0),MATCH("DEFAULT_PA_PCT_SALES",'Margin Guidence Table'!$A$1:$AG$1,0))),0)</f>
        <v>0</v>
      </c>
      <c r="DM26" s="1054">
        <f t="array" ref="DM26">IFERROR(IF($DF26="SEGMENT",INDEX('Margin Guidence Table'!$A$1:$AG$10000,MATCH(1,('Margin Guidence Table'!$A$1:$A$10000=DD26)*('Margin Guidence Table'!$I$1:$I$10000&lt;=ROUND($CV$3,0))*('Margin Guidence Table'!$J$1:$J$10000&gt;=ROUND($CV$3,0)),0),MATCH("SELF_FUND_PCT_SALES",'Margin Guidence Table'!$A$1:$AG$1,0)),INDEX('Margin Guidence Table'!$A$1:$AG$10000,MATCH(1,('Margin Guidence Table'!$A$1:$A$10000=DD26)*('Margin Guidence Table'!$I$1:$I$10000&lt;=ROUND($CV$3,0))*('Margin Guidence Table'!$J$1:$J$10000&gt;=ROUND($CV$3,0)),0),MATCH("DEFAULT_SELF_FUND_PCT_SALES",'Margin Guidence Table'!$A$1:$AG$1,0))),0)</f>
        <v>0</v>
      </c>
      <c r="DN26" s="1054">
        <f t="array" ref="DN26">IFERROR(IF($DF26="SEGMENT",INDEX('Margin Guidence Table'!$A$1:$AG$10000,MATCH(1,('Margin Guidence Table'!$A$1:$A$10000=DD26)*('Margin Guidence Table'!$I$1:$I$10000&lt;=ROUND($CV$3,0))*('Margin Guidence Table'!$J$1:$J$10000&gt;=ROUND($CV$3,0)),0),MATCH("CIA_MEDIAN_MARGIN_GUIDENCE",'Margin Guidence Table'!$A$1:$AG$1,0)),INDEX('Margin Guidence Table'!$A$1:$AG$10000,MATCH(1,('Margin Guidence Table'!$A$1:$A$10000=DD26)*('Margin Guidence Table'!$I$1:$I$10000&lt;=ROUND($CV$3,0))*('Margin Guidence Table'!$J$1:$J$10000&gt;=ROUND($CV$3,0)),0),MATCH("DEFAULT_CIA_MEDIAN_MARGIN_GUIDENCE",'Margin Guidence Table'!$A$1:$AG$1,0))),0)</f>
        <v>0</v>
      </c>
      <c r="DO26" s="127"/>
      <c r="DP26" s="18">
        <f t="array" ref="DP26">IFERROR(IF($EC26="SEGMENT",INDEX('Margin Guidence Table'!$A$1:$AG$10000,MATCH(1,('Margin Guidence Table'!$A$1:$A$10000=$EA26)*('Margin Guidence Table'!$I$1:$I$10000&lt;=ROUND($DS$3,0))*('Margin Guidence Table'!$J$1:$J$10000&gt;=ROUND($DS$3,0)),0),MATCH("PCT_SALES",'Margin Guidence Table'!$A$1:$AG$1,0)),INDEX('Margin Guidence Table'!$A$1:$AG$10000,MATCH(1,('Margin Guidence Table'!$A$1:$A$10000=$EA26)*('Margin Guidence Table'!$I$1:$I$10000&lt;=ROUND($DS$3,0))*('Margin Guidence Table'!$J$1:$J$10000&gt;=ROUND($DS$3,0)),0),MATCH("DEFAULT_PCT_SALES",'Margin Guidence Table'!$A$1:$AG$1,0))),0)</f>
        <v>0</v>
      </c>
      <c r="DQ26" s="370" t="e">
        <f t="shared" si="32"/>
        <v>#DIV/0!</v>
      </c>
      <c r="DR26" s="100" t="s">
        <v>105</v>
      </c>
      <c r="DS26" s="92">
        <f>IFERROR(IF(AND($DS$2&lt;&gt;"Enter Spend&gt;&gt;&gt;",DT14="EXISTING"),SUMIFS('Existing Customers'!$Q:$Q,'Existing Customers'!$A:$A,$DS$1,'Existing Customers'!$H:$H,$DR26)*$DS$4,$DS$3*$DQ26),0)</f>
        <v>0</v>
      </c>
      <c r="DT26" s="87">
        <f>IFERROR(IF(AND($DS$2&lt;&gt;"Enter Spend&gt;&gt;&gt;",DT2="EXISTING"),SUMIFS('Existing Customers'!$N:$N,'Existing Customers'!$A:$A,$DS$1,'Existing Customers'!$H:$H,$DR26)*$DS$4,$DS26/$ED26),0)</f>
        <v>0</v>
      </c>
      <c r="DU26" s="93">
        <f>IFERROR(IF(AND($DS$2&lt;&gt;"Enter Spend&gt;&gt;&gt;",DT2="EXISTING"),SUMIFS('Existing Customers'!$O:$O,'Existing Customers'!$H:$H,$DR26,'Existing Customers'!$A:$A,$DS$1)*$DS$4,$DT26*$DS$8),0)</f>
        <v>0</v>
      </c>
      <c r="DV26" s="93">
        <f>IFERROR(IF(AND($DS$2&lt;&gt;"Enter Spend&gt;&gt;&gt;",DT2="EXISTING"),SUMIFS('Existing Customers'!$P:$P,'Existing Customers'!$A:$A,$DS$1,'Existing Customers'!$H:$H,$DR26)*$DS$4,$DS26/$EE26),0)</f>
        <v>0</v>
      </c>
      <c r="DW26" s="94">
        <f>IFERROR(IF(AND($DS$2&lt;&gt;"Enter Spend&gt;&gt;&gt;",EQ2="EXISTING"),SUMIFS('Existing Customers'!$V:$V,'Existing Customers'!$H:$H,$DR26,'Existing Customers'!$A:$A,$DS$1)*$DS$4,0),0)</f>
        <v>0</v>
      </c>
      <c r="DX26" s="94">
        <f>IFERROR(IF(AND($DS$2&lt;&gt;"Enter Spend&gt;&gt;&gt;",DT2="EXISTING"),SUMIFS('Existing Customers'!$R:$R,'Existing Customers'!$H:$H,$DR26,'Existing Customers'!$A:$A,$DS$1)*$DS$4,0),0)</f>
        <v>0</v>
      </c>
      <c r="DY26" s="1050">
        <f>IFERROR(IF(AND($DS$2&lt;&gt;"Enter Spend&gt;&gt;&gt;",DT2="EXISTING"),SUMIFS('Existing Customers'!$S:$S,'Existing Customers'!$H:$H,$DT26,'Existing Customers'!$A:$A,$DS$1),EI26*DS26),0)</f>
        <v>0</v>
      </c>
      <c r="DZ26" s="1050">
        <f>IFERROR(IF(AND($DS$2&lt;&gt;"Enter Spend&gt;&gt;&gt;",DT2="EXISTING"),SUMIFS('Existing Customers'!$U:$U,'Existing Customers'!$H:$H,$DR26,'Existing Customers'!$A:$A,$DS$1),EJ26*DS26),0)</f>
        <v>0</v>
      </c>
      <c r="EA26" s="1053" t="e">
        <f>_xlfn.CONCAT('Customer Inputs'!$AG$9,"_",DR26)</f>
        <v>#N/A</v>
      </c>
      <c r="EB26" s="1053">
        <f t="array" ref="EB26">IFERROR(INDEX('Margin Guidence Table'!$A$1:$AG$10000,MATCH(1,('Margin Guidence Table'!$A$1:$A$10000=EA26)*('Margin Guidence Table'!$I$1:$I$10000&lt;=ROUND($DS$3,0))*('Margin Guidence Table'!$J$1:$J$10000&gt;=ROUND($DS$3,0)),0),MATCH("DATA_POINTS",'Margin Guidence Table'!$A$1:$AG$1,0)),0)</f>
        <v>0</v>
      </c>
      <c r="EC26" s="1050" t="str">
        <f t="shared" si="33"/>
        <v>DEFAULT</v>
      </c>
      <c r="ED26" s="1050">
        <f t="array" ref="ED26">IFERROR(IF($EC26="SEGMENT",INDEX('Margin Guidence Table'!$A$1:$AG$10000,MATCH(1,('Margin Guidence Table'!$A$1:$A$10000=EA26)*('Margin Guidence Table'!$I$1:$I$10000&lt;=ROUND($DS$3,0))*('Margin Guidence Table'!$J$1:$J$10000&gt;=ROUND($DS$3,0)),0),MATCH("SALES_CASE",'Margin Guidence Table'!$A$1:$AG$1,0)),INDEX('Margin Guidence Table'!$A$1:$AG$10000,MATCH(1,('Margin Guidence Table'!$A$1:$A$10000=EA26)*('Margin Guidence Table'!$I$1:$I$10000&lt;=ROUND($DS$3,0))*('Margin Guidence Table'!$J$1:$J$10000&gt;=ROUND($DS$3,0)),0),MATCH("DEFAULT_SALES_CASE",'Margin Guidence Table'!$A$1:$AG$1,0))),0)</f>
        <v>0</v>
      </c>
      <c r="EE26" s="1050">
        <f t="array" ref="EE26">IFERROR(IF($EC26="SEGMENT",INDEX('Margin Guidence Table'!$A$1:$AG$10000,MATCH(1,('Margin Guidence Table'!$A$1:$A$10000=EA26)*('Margin Guidence Table'!$I$1:$I$10000&lt;=ROUND($DS$3,0))*('Margin Guidence Table'!$J$1:$J$10000&gt;=ROUND($DS$3,0)),0),MATCH("SALES_LBS",'Margin Guidence Table'!$A$1:$AG$1,0)),INDEX('Margin Guidence Table'!$A$1:$AG$10000,MATCH(1,('Margin Guidence Table'!$A$1:$A$10000=EA26)*('Margin Guidence Table'!$I$1:$I$10000&lt;=ROUND($DS$3,0))*('Margin Guidence Table'!$J$1:$J$10000&gt;=ROUND($DS$3,0)),0),MATCH("DEFAULT_SALES_LBS",'Margin Guidence Table'!$A$1:$AG$1,0))),0)</f>
        <v>0</v>
      </c>
      <c r="EF26" s="1054">
        <f t="array" ref="EF26">IFERROR(IF($EC26="SEGMENT",INDEX('Margin Guidence Table'!$A$1:$AG$10000,MATCH(1,('Margin Guidence Table'!$A$1:$A$10000=EA26)*('Margin Guidence Table'!$I$1:$I$10000&lt;=ROUND($DS$3,0))*('Margin Guidence Table'!$J$1:$J$10000&gt;=ROUND($DS$3,0)),0),MATCH("MDA_MIN_MARGIN_GUIDENCE",'Margin Guidence Table'!$A$1:$AG$1,0)),INDEX('Margin Guidence Table'!$A$1:$AG$10000,MATCH(1,('Margin Guidence Table'!$A$1:$A$10000=EA26)*('Margin Guidence Table'!$I$1:$I$10000&lt;=ROUND($DS$3,0))*('Margin Guidence Table'!$J$1:$J$10000&gt;=ROUND($DS$3,0)),0),MATCH("DEFAULT_MDA_MIN_MARGIN_GUIDENCE",'Margin Guidence Table'!$A$1:$AG$1,0))),0)</f>
        <v>0</v>
      </c>
      <c r="EG26" s="1054">
        <f t="array" ref="EG26">IFERROR(IF($EC26="SEGMENT",INDEX('Margin Guidence Table'!$A$1:$AG$10000,MATCH(1,('Margin Guidence Table'!$A$1:$A$10000=EA26)*('Margin Guidence Table'!$I$1:$I$10000&lt;=ROUND($DS$3,0))*('Margin Guidence Table'!$J$1:$J$10000&gt;=ROUND($DS$3,0)),0),MATCH("MDA_MEDIAN_MARGIN_GUIDENCE",'Margin Guidence Table'!$A$1:$AG$1,0)),INDEX('Margin Guidence Table'!$A$1:$AG$10000,MATCH(1,('Margin Guidence Table'!$A$1:$A$10000=EA26)*('Margin Guidence Table'!$I$1:$I$10000&lt;=ROUND($DS$3,0))*('Margin Guidence Table'!$J$1:$J$10000&gt;=ROUND($DS$3,0)),0),MATCH("DEFAULT_MDA_MEDIAN_MARGIN_GUIDENCE",'Margin Guidence Table'!$A$1:$AG$1,0))),0)</f>
        <v>0</v>
      </c>
      <c r="EH26" s="1054">
        <f t="array" ref="EH26">IFERROR(IF($EC26="SEGMENT",INDEX('Margin Guidence Table'!$A$1:$AG$10000,MATCH(1,('Margin Guidence Table'!$A$1:$A$10000=EA26)*('Margin Guidence Table'!$I$1:$I$10000&lt;=ROUND($DS$3,0))*('Margin Guidence Table'!$J$1:$J$10000&gt;=ROUND($DS$3,0)),0),MATCH("MDA_MAX_MARGIN_GUIDENCE",'Margin Guidence Table'!$A$1:$AG$1,0)),INDEX('Margin Guidence Table'!$A$1:$AG$10000,MATCH(1,('Margin Guidence Table'!$A$1:$A$10000=EA26)*('Margin Guidence Table'!$I$1:$I$10000&lt;=ROUND($DS$3,0))*('Margin Guidence Table'!$J$1:$J$10000&gt;=ROUND($DS$3,0)),0),MATCH("DEFAULT_MDA_MAX_MARGIN_GUIDENCE",'Margin Guidence Table'!$A$1:$AG$1,0))),0)</f>
        <v>0</v>
      </c>
      <c r="EI26" s="1054">
        <f t="array" ref="EI26">IFERROR(IF($EC26="SEGMENT",INDEX('Margin Guidence Table'!$A$1:$AG$10000,MATCH(1,('Margin Guidence Table'!$A$1:$A$10000=EA26)*('Margin Guidence Table'!$I$1:$I$10000&lt;=ROUND($DS$3,0))*('Margin Guidence Table'!$J$1:$J$10000&gt;=ROUND($DS$3,0)),0),MATCH("PA_PCT_SALES",'Margin Guidence Table'!$A$1:$AG$1,0)),INDEX('Margin Guidence Table'!$A$1:$AG$10000,MATCH(1,('Margin Guidence Table'!$A$1:$A$10000=EA26)*('Margin Guidence Table'!$I$1:$I$10000&lt;=ROUND($DS$3,0))*('Margin Guidence Table'!$J$1:$J$10000&gt;=ROUND($DS$3,0)),0),MATCH("DEFAULT_PA_PCT_SALES",'Margin Guidence Table'!$A$1:$AG$1,0))),0)</f>
        <v>0</v>
      </c>
      <c r="EJ26" s="1054">
        <f t="array" ref="EJ26">IFERROR(IF($EC26="SEGMENT",INDEX('Margin Guidence Table'!$A$1:$AG$10000,MATCH(1,('Margin Guidence Table'!$A$1:$A$10000=EA26)*('Margin Guidence Table'!$I$1:$I$10000&lt;=ROUND($DS$3,0))*('Margin Guidence Table'!$J$1:$J$10000&gt;=ROUND($DS$3,0)),0),MATCH("SELF_FUND_PCT_SALES",'Margin Guidence Table'!$A$1:$AG$1,0)),INDEX('Margin Guidence Table'!$A$1:$AG$10000,MATCH(1,('Margin Guidence Table'!$A$1:$A$10000=EA26)*('Margin Guidence Table'!$I$1:$I$10000&lt;=ROUND($DS$3,0))*('Margin Guidence Table'!$J$1:$J$10000&gt;=ROUND($DS$3,0)),0),MATCH("DEFAULT_SELF_FUND_PCT_SALES",'Margin Guidence Table'!$A$1:$AG$1,0))),0)</f>
        <v>0</v>
      </c>
      <c r="EK26" s="1054">
        <f t="array" ref="EK26">IFERROR(IF($EC26="SEGMENT",INDEX('Margin Guidence Table'!$A$1:$AG$10000,MATCH(1,('Margin Guidence Table'!$A$1:$A$10000=EA26)*('Margin Guidence Table'!$I$1:$I$10000&lt;=ROUND($DS$3,0))*('Margin Guidence Table'!$J$1:$J$10000&gt;=ROUND($DS$3,0)),0),MATCH("CIA_MEDIAN_MARGIN_GUIDENCE",'Margin Guidence Table'!$A$1:$AG$1,0)),INDEX('Margin Guidence Table'!$A$1:$AG$10000,MATCH(1,('Margin Guidence Table'!$A$1:$A$10000=EA26)*('Margin Guidence Table'!$I$1:$I$10000&lt;=ROUND($DS$3,0))*('Margin Guidence Table'!$J$1:$J$10000&gt;=ROUND($DS$3,0)),0),MATCH("DEFAULT_CIA_MEDIAN_MARGIN_GUIDENCE",'Margin Guidence Table'!$A$1:$AG$1,0))),0)</f>
        <v>0</v>
      </c>
      <c r="EL26" s="127"/>
      <c r="EM26" s="18">
        <f t="array" ref="EM26">IFERROR(IF($EZ26="SEGMENT",INDEX('Margin Guidence Table'!$A$1:$AG$10000,MATCH(1,('Margin Guidence Table'!$A$1:$A$10000=$EX26)*('Margin Guidence Table'!$I$1:$I$10000&lt;=ROUND($EP$3,0))*('Margin Guidence Table'!$J$1:$J$10000&gt;=ROUND($EP$3,0)),0),MATCH("PCT_SALES",'Margin Guidence Table'!$A$1:$AG$1,0)),INDEX('Margin Guidence Table'!$A$1:$AG$10000,MATCH(1,('Margin Guidence Table'!$A$1:$A$10000=$EX26)*('Margin Guidence Table'!$I$1:$I$10000&lt;=ROUND($EP$3,0))*('Margin Guidence Table'!$J$1:$J$10000&gt;=ROUND($EP$3,0)),0),MATCH("DEFAULT_PCT_SALES",'Margin Guidence Table'!$A$1:$AG$1,0))),0)</f>
        <v>0</v>
      </c>
      <c r="EN26" s="370" t="e">
        <f t="shared" si="34"/>
        <v>#DIV/0!</v>
      </c>
      <c r="EO26" s="100" t="s">
        <v>105</v>
      </c>
      <c r="EP26" s="92">
        <f>IFERROR(IF(AND($EP$2&lt;&gt;"Enter Spend&gt;&gt;&gt;",EQ14="EXISTING"),SUMIFS('Existing Customers'!$Q:$Q,'Existing Customers'!$A:$A,$EP$1,'Existing Customers'!$H:$H,$EO26)*$EP$4,$EP$3*$EN26),0)</f>
        <v>0</v>
      </c>
      <c r="EQ26" s="87">
        <f>IFERROR(IF(AND($EP$2&lt;&gt;"Enter Spend&gt;&gt;&gt;",EQ2="EXISTING"),SUMIFS('Existing Customers'!$N:$N,'Existing Customers'!$A:$A,$EP$1,'Existing Customers'!$H:$H,$EO26)*$EP$4,$EP26/$FA26),0)</f>
        <v>0</v>
      </c>
      <c r="ER26" s="93">
        <f>IFERROR(IF(AND($EP$2&lt;&gt;"Enter Spend&gt;&gt;&gt;",EQ2="EXISTING"),SUMIFS('Existing Customers'!$O:$O,'Existing Customers'!$H:$H,$EO26,'Existing Customers'!$A:$A,$EP$1)*$EP$4,$EQ26*$EP$8),0)</f>
        <v>0</v>
      </c>
      <c r="ES26" s="93">
        <f>IFERROR(IF(AND($EP$2&lt;&gt;"Enter Spend&gt;&gt;&gt;",EQ2="EXISTING"),SUMIFS('Existing Customers'!$P:$P,'Existing Customers'!$A:$A,$EP$1,'Existing Customers'!$H:$H,$EO26)*$EP$4,$EP26/$FB26),0)</f>
        <v>0</v>
      </c>
      <c r="ET26" s="94">
        <f>IFERROR(IF(AND($EP$2&lt;&gt;"Enter Spend&gt;&gt;&gt;",EQ2="EXISTING"),SUMIFS('Existing Customers'!$V:$V,'Existing Customers'!$H:$H,$EO26,'Existing Customers'!$A:$A,$EP$1)*$EP$4,0),0)</f>
        <v>0</v>
      </c>
      <c r="EU26" s="94">
        <f>IFERROR(IF(AND($EP$2&lt;&gt;"Enter Spend&gt;&gt;&gt;",EQ2="EXISTING"),SUMIFS('Existing Customers'!$R:$R,'Existing Customers'!$H:$H,$EO26,'Existing Customers'!$A:$A,$EP$1)*$EP$4,0),0)</f>
        <v>0</v>
      </c>
      <c r="EV26" s="1050">
        <f>IFERROR(IF(AND($EP$2&lt;&gt;"Enter Spend&gt;&gt;&gt;",EQ2="EXISTING"),SUMIFS('Existing Customers'!$S:$S,'Existing Customers'!$H:$H,$EO26,'Existing Customers'!$A:$A,$EP$1),FF26*EP26),0)</f>
        <v>0</v>
      </c>
      <c r="EW26" s="1050">
        <f>IFERROR(IF(AND($EP$2&lt;&gt;"Enter Spend&gt;&gt;&gt;",EQ2="EXISTING"),SUMIFS('Existing Customers'!$U:$U,'Existing Customers'!$H:$H,$EO26,'Existing Customers'!$A:$A,$EP$1),FG26*EP26),0)</f>
        <v>0</v>
      </c>
      <c r="EX26" s="1053" t="e">
        <f>_xlfn.CONCAT('Customer Inputs'!$AG$10,"_",EO26)</f>
        <v>#N/A</v>
      </c>
      <c r="EY26" s="1053">
        <f t="array" ref="EY26">IFERROR(INDEX('Margin Guidence Table'!$A$1:$AG$10000,MATCH(1,('Margin Guidence Table'!$A$1:$A$10000=EX26)*('Margin Guidence Table'!$I$1:$I$10000&lt;=ROUND($EP$3,0))*('Margin Guidence Table'!$J$1:$J$10000&gt;=ROUND($EP$3,0)),0),MATCH("DATA_POINTS",'Margin Guidence Table'!$A$1:$AG$1,0)),0)</f>
        <v>0</v>
      </c>
      <c r="EZ26" s="1050" t="str">
        <f t="shared" si="35"/>
        <v>DEFAULT</v>
      </c>
      <c r="FA26" s="1050">
        <f t="array" ref="FA26">IFERROR(IF($EZ26="SEGMENT",INDEX('Margin Guidence Table'!$A$1:$AG$10000,MATCH(1,('Margin Guidence Table'!$A$1:$A$10000=EX26)*('Margin Guidence Table'!$I$1:$I$10000&lt;=ROUND($EP$3,0))*('Margin Guidence Table'!$J$1:$J$10000&gt;=ROUND($EP$3,0)),0),MATCH("SALES_CASE",'Margin Guidence Table'!$A$1:$AG$1,0)),INDEX('Margin Guidence Table'!$A$1:$AG$10000,MATCH(1,('Margin Guidence Table'!$A$1:$A$10000=EX26)*('Margin Guidence Table'!$I$1:$I$10000&lt;=ROUND($EP$3,0))*('Margin Guidence Table'!$J$1:$J$10000&gt;=ROUND($EP$3,0)),0),MATCH("DEFAULT_SALES_CASE",'Margin Guidence Table'!$A$1:$AG$1,0))),0)</f>
        <v>0</v>
      </c>
      <c r="FB26" s="1050" cm="1">
        <f t="array" ref="FB26">IFERROR(IF($EZ26="SEGMENT",INDEX('Margin Guidence Table'!$A$1:$AG$10000,MATCH(1,('Margin Guidence Table'!$A$1:$A$10000=EX26)*('Margin Guidence Table'!$I$1:$I$10000&lt;=ROUND($EP$3,0))*('Margin Guidence Table'!$J$1:$J$10000&gt;=ROUND($EP$3,0)),0),MATCH("SALES_LBS",'Margin Guidence Table'!$A$1:$AG$1,0)),INDEX('Margin Guidence Table'!$A$1:$AG$10000,MATCH(1,('Margin Guidence Table'!$A$1:$A$10000=EX26)*('Margin Guidence Table'!$I$1:$I$10000&lt;=ROUND($EP$3,0))*('Margin Guidence Table'!$J$1:$J$10000&gt;=ROUND($EP$3,0)),0),MATCH("DEFAULT_SALES_LBS",'Margin Guidence Table'!$A$1:$AG$1,0))),0)</f>
        <v>0</v>
      </c>
      <c r="FC26" s="1054">
        <f t="array" ref="FC26">IFERROR(IF($EZ26="SEGMENT",INDEX('Margin Guidence Table'!$A$1:$AG$10000,MATCH(1,('Margin Guidence Table'!$A$1:$A$10000=EX26)*('Margin Guidence Table'!$I$1:$I$10000&lt;=ROUND($EP$3,0))*('Margin Guidence Table'!$J$1:$J$10000&gt;=ROUND($EP$3,0)),0),MATCH("MDA_MIN_MARGIN_GUIDENCE",'Margin Guidence Table'!$A$1:$AG$1,0)),INDEX('Margin Guidence Table'!$A$1:$AG$10000,MATCH(1,('Margin Guidence Table'!$A$1:$A$10000=EX26)*('Margin Guidence Table'!$I$1:$I$10000&lt;=ROUND($EP$3,0))*('Margin Guidence Table'!$J$1:$J$10000&gt;=ROUND($EP$3,0)),0),MATCH("DEFAULT_MDA_MIN_MARGIN_GUIDENCE",'Margin Guidence Table'!$A$1:$AG$1,0))),0)</f>
        <v>0</v>
      </c>
      <c r="FD26" s="1054">
        <f t="array" ref="FD26">IFERROR(IF($EZ26="SEGMENT",INDEX('Margin Guidence Table'!$A$1:$AG$10000,MATCH(1,('Margin Guidence Table'!$A$1:$A$10000=EX26)*('Margin Guidence Table'!$I$1:$I$10000&lt;=ROUND($EP$3,0))*('Margin Guidence Table'!$J$1:$J$10000&gt;=ROUND($EP$3,0)),0),MATCH("MDA_MEDIAN_MARGIN_GUIDENCE",'Margin Guidence Table'!$A$1:$AG$1,0)),INDEX('Margin Guidence Table'!$A$1:$AG$10000,MATCH(1,('Margin Guidence Table'!$A$1:$A$10000=EX26)*('Margin Guidence Table'!$I$1:$I$10000&lt;=ROUND($EP$3,0))*('Margin Guidence Table'!$J$1:$J$10000&gt;=ROUND($EP$3,0)),0),MATCH("DEFAULT_MDA_MEDIAN_MARGIN_GUIDENCE",'Margin Guidence Table'!$A$1:$AG$1,0))),0)</f>
        <v>0</v>
      </c>
      <c r="FE26" s="1054">
        <f t="array" ref="FE26">IFERROR(IF($EZ26="SEGMENT",INDEX('Margin Guidence Table'!$A$1:$AG$10000,MATCH(1,('Margin Guidence Table'!$A$1:$A$10000=EX26)*('Margin Guidence Table'!$I$1:$I$10000&lt;=ROUND($EP$3,0))*('Margin Guidence Table'!$J$1:$J$10000&gt;=ROUND($EP$3,0)),0),MATCH("MDA_MAX_MARGIN_GUIDENCE",'Margin Guidence Table'!$A$1:$AG$1,0)),INDEX('Margin Guidence Table'!$A$1:$AG$10000,MATCH(1,('Margin Guidence Table'!$A$1:$A$10000=EX26)*('Margin Guidence Table'!$I$1:$I$10000&lt;=ROUND($EP$3,0))*('Margin Guidence Table'!$J$1:$J$10000&gt;=ROUND($EP$3,0)),0),MATCH("DEFAULT_MDA_MAX_MARGIN_GUIDENCE",'Margin Guidence Table'!$A$1:$AG$1,0))),0)</f>
        <v>0</v>
      </c>
      <c r="FF26" s="1054">
        <f t="array" ref="FF26">IFERROR(IF($EZ26="SEGMENT",INDEX('Margin Guidence Table'!$A$1:$AG$10000,MATCH(1,('Margin Guidence Table'!$A$1:$A$10000=EX26)*('Margin Guidence Table'!$I$1:$I$10000&lt;=ROUND($EP$3,0))*('Margin Guidence Table'!$J$1:$J$10000&gt;=ROUND($EP$3,0)),0),MATCH("PA_PCT_SALES",'Margin Guidence Table'!$A$1:$AG$1,0)),INDEX('Margin Guidence Table'!$A$1:$AG$10000,MATCH(1,('Margin Guidence Table'!$A$1:$A$10000=EX26)*('Margin Guidence Table'!$I$1:$I$10000&lt;=ROUND($EP$3,0))*('Margin Guidence Table'!$J$1:$J$10000&gt;=ROUND($EP$3,0)),0),MATCH("DEFAULT_PA_PCT_SALES",'Margin Guidence Table'!$A$1:$AG$1,0))),0)</f>
        <v>0</v>
      </c>
      <c r="FG26" s="1054">
        <f t="array" ref="FG26">IFERROR(IF($EZ26="SEGMENT",INDEX('Margin Guidence Table'!$A$1:$AG$10000,MATCH(1,('Margin Guidence Table'!$A$1:$A$10000=EX26)*('Margin Guidence Table'!$I$1:$I$10000&lt;=ROUND($EP$3,0))*('Margin Guidence Table'!$J$1:$J$10000&gt;=ROUND($EP$3,0)),0),MATCH("SELF_FUND_PCT_SALES",'Margin Guidence Table'!$A$1:$AG$1,0)),INDEX('Margin Guidence Table'!$A$1:$AG$10000,MATCH(1,('Margin Guidence Table'!$A$1:$A$10000=EX26)*('Margin Guidence Table'!$I$1:$I$10000&lt;=ROUND($EP$3,0))*('Margin Guidence Table'!$J$1:$J$10000&gt;=ROUND($EP$3,0)),0),MATCH("DEFAULT_SELF_FUND_PCT_SALES",'Margin Guidence Table'!$A$1:$AG$1,0))),0)</f>
        <v>0</v>
      </c>
      <c r="FH26" s="1054">
        <f t="array" ref="FH26">IFERROR(IF($EZ26="SEGMENT",INDEX('Margin Guidence Table'!$A$1:$AG$10000,MATCH(1,('Margin Guidence Table'!$A$1:$A$10000=EX26)*('Margin Guidence Table'!$I$1:$I$10000&lt;=ROUND($EP$3,0))*('Margin Guidence Table'!$J$1:$J$10000&gt;=ROUND($EP$3,0)),0),MATCH("CIA_MEDIAN_MARGIN_GUIDENCE",'Margin Guidence Table'!$A$1:$AG$1,0)),INDEX('Margin Guidence Table'!$A$1:$AG$10000,MATCH(1,('Margin Guidence Table'!$A$1:$A$10000=EX26)*('Margin Guidence Table'!$I$1:$I$10000&lt;=ROUND($EP$3,0))*('Margin Guidence Table'!$J$1:$J$10000&gt;=ROUND($EP$3,0)),0),MATCH("DEFAULT_CIA_MEDIAN_MARGIN_GUIDENCE",'Margin Guidence Table'!$A$1:$AG$1,0))),0)</f>
        <v>0</v>
      </c>
      <c r="FI26" s="127"/>
      <c r="FJ26" s="18">
        <f t="array" ref="FJ26">IFERROR(IF($FW26="SEGMENT",INDEX('Margin Guidence Table'!$A$1:$AG$10000,MATCH(1,('Margin Guidence Table'!$A$1:$A$10000=$FU26)*('Margin Guidence Table'!$I$1:$I$10000&lt;=ROUND($FM$3,0))*('Margin Guidence Table'!$J$1:$J$10000&gt;=ROUND($FM$3,0)),0),MATCH("PCT_SALES",'Margin Guidence Table'!$A$1:$AG$1,0)),INDEX('Margin Guidence Table'!$A$1:$AG$10000,MATCH(1,('Margin Guidence Table'!$A$1:$A$10000=$FU26)*('Margin Guidence Table'!$I$1:$I$10000&lt;=ROUND($FM$3,0))*('Margin Guidence Table'!$J$1:$J$10000&gt;=ROUND($FM$3,0)),0),MATCH("DEFAULT_PCT_SALES",'Margin Guidence Table'!$A$1:$AG$1,0))),0)</f>
        <v>0</v>
      </c>
      <c r="FK26" s="370" t="e">
        <f t="shared" si="36"/>
        <v>#DIV/0!</v>
      </c>
      <c r="FL26" s="100" t="s">
        <v>105</v>
      </c>
      <c r="FM26" s="92">
        <f>IFERROR(IF(AND($FM$2&lt;&gt;"Enter Spend&gt;&gt;&gt;",FN14="EXISTING"),SUMIFS('Existing Customers'!$Q:$Q,'Existing Customers'!$A:$A,$FM$1,'Existing Customers'!$H:$H,$FL26)*$FM$4,$FM$3*$FK26),0)</f>
        <v>0</v>
      </c>
      <c r="FN26" s="87">
        <f>IFERROR(IF(AND($FM$2&lt;&gt;"Enter Spend&gt;&gt;&gt;",FN2="EXISTING"),SUMIFS('Existing Customers'!$N:$N,'Existing Customers'!$A:$A,$FM$1,'Existing Customers'!$H:$H,$FL26)*$FM$4,$FM26/$FX26),0)</f>
        <v>0</v>
      </c>
      <c r="FO26" s="93">
        <f>IFERROR(IF(AND($FM$2&lt;&gt;"Enter Spend&gt;&gt;&gt;",FN2="EXISTING"),SUMIFS('Existing Customers'!$O:$O,'Existing Customers'!$H:$H,$FL26,'Existing Customers'!$A:$A,$FM$1)*$FM$4,$FN26*$FM$8),0)</f>
        <v>0</v>
      </c>
      <c r="FP26" s="93">
        <f>IFERROR(IF(AND($FM$2&lt;&gt;"Enter Spend&gt;&gt;&gt;",FN2="EXISTING"),SUMIFS('Existing Customers'!$P:$P,'Existing Customers'!$A:$A,$FM$1,'Existing Customers'!$H:$H,$FL26)*$FM$4,$FM26/$FY26),0)</f>
        <v>0</v>
      </c>
      <c r="FQ26" s="94">
        <f>IFERROR(IF(AND($FM$2&lt;&gt;"Enter Spend&gt;&gt;&gt;",FN2="EXISTING"),SUMIFS('Existing Customers'!$V:$V,'Existing Customers'!$H:$H,$FL26,'Existing Customers'!$A:$A,$FM$1)*$FM$4,0),0)</f>
        <v>0</v>
      </c>
      <c r="FR26" s="94">
        <f>IFERROR(IF(AND($FM$2&lt;&gt;"Enter Spend&gt;&gt;&gt;",FN2="EXISTING"),SUMIFS('Existing Customers'!$R:$R,'Existing Customers'!$H:$H,$FL26,'Existing Customers'!$A:$A,$FM$1)*$FM$4,0),0)</f>
        <v>0</v>
      </c>
      <c r="FS26" s="1050">
        <f>IFERROR(IF(AND($FM$2&lt;&gt;"Enter Spend&gt;&gt;&gt;",FN2="EXISTING"),SUMIFS('Existing Customers'!$S:$S,'Existing Customers'!$H:$H,$FL26,'Existing Customers'!$A:$A,$FM$1),GC26*FM26),0)</f>
        <v>0</v>
      </c>
      <c r="FT26" s="1050">
        <f>IFERROR(IF(AND($FM$2&lt;&gt;"Enter Spend&gt;&gt;&gt;",FN2="EXISTING"),SUMIFS('Existing Customers'!$U:$U,'Existing Customers'!$H:$H,$FL26,'Existing Customers'!$A:$A,$FM$1),GD26*FM26),0)</f>
        <v>0</v>
      </c>
      <c r="FU26" s="1053" t="e">
        <f>_xlfn.CONCAT('Customer Inputs'!$AG$11,"_",FL26)</f>
        <v>#N/A</v>
      </c>
      <c r="FV26" s="1053">
        <f t="array" ref="FV26">IFERROR(INDEX('Margin Guidence Table'!$A$1:$AG$10000,MATCH(1,('Margin Guidence Table'!$A$1:$A$10000=FU26)*('Margin Guidence Table'!$I$1:$I$10000&lt;=ROUND($FM$3,0))*('Margin Guidence Table'!$J$1:$J$10000&gt;=ROUND($FM$3,0)),0),MATCH("DATA_POINTS",'Margin Guidence Table'!$A$1:$AG$1,0)),0)</f>
        <v>0</v>
      </c>
      <c r="FW26" s="1050" t="str">
        <f t="shared" si="37"/>
        <v>DEFAULT</v>
      </c>
      <c r="FX26" s="1050">
        <f t="array" ref="FX26">IFERROR(IF($FW26="SEGMENT",INDEX('Margin Guidence Table'!$A$1:$AG$10000,MATCH(1,('Margin Guidence Table'!$A$1:$A$10000=FU26)*('Margin Guidence Table'!$I$1:$I$10000&lt;=ROUND($FM$3,0))*('Margin Guidence Table'!$J$1:$J$10000&gt;=ROUND($FM$3,0)),0),MATCH("SALES_CASE",'Margin Guidence Table'!$A$1:$AG$1,0)),INDEX('Margin Guidence Table'!$A$1:$AG$10000,MATCH(1,('Margin Guidence Table'!$A$1:$A$10000=FU26)*('Margin Guidence Table'!$I$1:$I$10000&lt;=ROUND($FM$3,0))*('Margin Guidence Table'!$J$1:$J$10000&gt;=ROUND($FM$3,0)),0),MATCH("DEFAULT_SALES_CASE",'Margin Guidence Table'!$A$1:$AG$1,0))),0)</f>
        <v>0</v>
      </c>
      <c r="FY26" s="1050">
        <f t="array" ref="FY26">IFERROR(IF($FW26="SEGMENT",INDEX('Margin Guidence Table'!$A$1:$AG$10000,MATCH(1,('Margin Guidence Table'!$A$1:$A$10000=FU26)*('Margin Guidence Table'!$I$1:$I$10000&lt;=ROUND($FM$3,0))*('Margin Guidence Table'!$J$1:$J$10000&gt;=ROUND($FM$3,0)),0),MATCH("SALES_LBS",'Margin Guidence Table'!$A$1:$AG$1,0)),INDEX('Margin Guidence Table'!$A$1:$AG$10000,MATCH(1,('Margin Guidence Table'!$A$1:$A$10000=FU26)*('Margin Guidence Table'!$I$1:$I$10000&lt;=ROUND($FM$3,0))*('Margin Guidence Table'!$J$1:$J$10000&gt;=ROUND($FM$3,0)),0),MATCH("DEFAULT_SALES_LBS",'Margin Guidence Table'!$A$1:$AG$1,0))),0)</f>
        <v>0</v>
      </c>
      <c r="FZ26" s="1054">
        <f t="array" ref="FZ26">IFERROR(IF($FW26="SEGMENT",INDEX('Margin Guidence Table'!$A$1:$AG$10000,MATCH(1,('Margin Guidence Table'!$A$1:$A$10000=FU26)*('Margin Guidence Table'!$I$1:$I$10000&lt;=ROUND($FM$3,0))*('Margin Guidence Table'!$J$1:$J$10000&gt;=ROUND($FM$3,0)),0),MATCH("MDA_MIN_MARGIN_GUIDENCE",'Margin Guidence Table'!$A$1:$AG$1,0)),INDEX('Margin Guidence Table'!$A$1:$AG$10000,MATCH(1,('Margin Guidence Table'!$A$1:$A$10000=FU26)*('Margin Guidence Table'!$I$1:$I$10000&lt;=ROUND($FM$3,0))*('Margin Guidence Table'!$J$1:$J$10000&gt;=ROUND($FM$3,0)),0),MATCH("DEFAULT_MDA_MIN_MARGIN_GUIDENCE",'Margin Guidence Table'!$A$1:$AG$1,0))),0)</f>
        <v>0</v>
      </c>
      <c r="GA26" s="1054">
        <f t="array" ref="GA26">IFERROR(IF($FW26="SEGMENT",INDEX('Margin Guidence Table'!$A$1:$AG$10000,MATCH(1,('Margin Guidence Table'!$A$1:$A$10000=FU26)*('Margin Guidence Table'!$I$1:$I$10000&lt;=ROUND($FM$3,0))*('Margin Guidence Table'!$J$1:$J$10000&gt;=ROUND($FM$3,0)),0),MATCH("MDA_MEDIAN_MARGIN_GUIDENCE",'Margin Guidence Table'!$A$1:$AG$1,0)),INDEX('Margin Guidence Table'!$A$1:$AG$10000,MATCH(1,('Margin Guidence Table'!$A$1:$A$10000=FU26)*('Margin Guidence Table'!$I$1:$I$10000&lt;=ROUND($FM$3,0))*('Margin Guidence Table'!$J$1:$J$10000&gt;=ROUND($FM$3,0)),0),MATCH("DEFAULT_MDA_MEDIAN_MARGIN_GUIDENCE",'Margin Guidence Table'!$A$1:$AG$1,0))),0)</f>
        <v>0</v>
      </c>
      <c r="GB26" s="1054">
        <f t="array" ref="GB26">IFERROR(IF($FW26="SEGMENT",INDEX('Margin Guidence Table'!$A$1:$AG$10000,MATCH(1,('Margin Guidence Table'!$A$1:$A$10000=FU26)*('Margin Guidence Table'!$I$1:$I$10000&lt;=ROUND($FM$3,0))*('Margin Guidence Table'!$J$1:$J$10000&gt;=ROUND($FM$3,0)),0),MATCH("MDA_MAX_MARGIN_GUIDENCE",'Margin Guidence Table'!$A$1:$AG$1,0)),INDEX('Margin Guidence Table'!$A$1:$AG$10000,MATCH(1,('Margin Guidence Table'!$A$1:$A$10000=FU26)*('Margin Guidence Table'!$I$1:$I$10000&lt;=ROUND($FM$3,0))*('Margin Guidence Table'!$J$1:$J$10000&gt;=ROUND($FM$3,0)),0),MATCH("DEFAULT_MDA_MAX_MARGIN_GUIDENCE",'Margin Guidence Table'!$A$1:$AG$1,0))),0)</f>
        <v>0</v>
      </c>
      <c r="GC26" s="1054">
        <f t="array" ref="GC26">IFERROR(IF($FW26="SEGMENT",INDEX('Margin Guidence Table'!$A$1:$AG$10000,MATCH(1,('Margin Guidence Table'!$A$1:$A$10000=FU26)*('Margin Guidence Table'!$I$1:$I$10000&lt;=ROUND($FM$3,0))*('Margin Guidence Table'!$J$1:$J$10000&gt;=ROUND($FM$3,0)),0),MATCH("PA_PCT_SALES",'Margin Guidence Table'!$A$1:$AG$1,0)),INDEX('Margin Guidence Table'!$A$1:$AG$10000,MATCH(1,('Margin Guidence Table'!$A$1:$A$10000=FU26)*('Margin Guidence Table'!$I$1:$I$10000&lt;=ROUND($FM$3,0))*('Margin Guidence Table'!$J$1:$J$10000&gt;=ROUND($FM$3,0)),0),MATCH("DEFAULT_PA_PCT_SALES",'Margin Guidence Table'!$A$1:$AG$1,0))),0)</f>
        <v>0</v>
      </c>
      <c r="GD26" s="1054">
        <f t="array" ref="GD26">IFERROR(IF($FW26="SEGMENT",INDEX('Margin Guidence Table'!$A$1:$AG$10000,MATCH(1,('Margin Guidence Table'!$A$1:$A$10000=FU26)*('Margin Guidence Table'!$I$1:$I$10000&lt;=ROUND($FM$3,0))*('Margin Guidence Table'!$J$1:$J$10000&gt;=ROUND($FM$3,0)),0),MATCH("SELF_FUND_PCT_SALES",'Margin Guidence Table'!$A$1:$AG$1,0)),INDEX('Margin Guidence Table'!$A$1:$AG$10000,MATCH(1,('Margin Guidence Table'!$A$1:$A$10000=FU26)*('Margin Guidence Table'!$I$1:$I$10000&lt;=ROUND($FM$3,0))*('Margin Guidence Table'!$J$1:$J$10000&gt;=ROUND($FM$3,0)),0),MATCH("DEFAULT_SELF_FUND_PCT_SALES",'Margin Guidence Table'!$A$1:$AG$1,0))),0)</f>
        <v>0</v>
      </c>
      <c r="GE26" s="1054">
        <f t="array" ref="GE26">IFERROR(IF($FW26="SEGMENT",INDEX('Margin Guidence Table'!$A$1:$AG$10000,MATCH(1,('Margin Guidence Table'!$A$1:$A$10000=FU26)*('Margin Guidence Table'!$I$1:$I$10000&lt;=ROUND($FM$3,0))*('Margin Guidence Table'!$J$1:$J$10000&gt;=ROUND($FM$3,0)),0),MATCH("CIA_MEDIAN_MARGIN_GUIDENCE",'Margin Guidence Table'!$A$1:$AG$1,0)),INDEX('Margin Guidence Table'!$A$1:$AG$10000,MATCH(1,('Margin Guidence Table'!$A$1:$A$10000=FU26)*('Margin Guidence Table'!$I$1:$I$10000&lt;=ROUND($FM$3,0))*('Margin Guidence Table'!$J$1:$J$10000&gt;=ROUND($FM$3,0)),0),MATCH("DEFAULT_CIA_MEDIAN_MARGIN_GUIDENCE",'Margin Guidence Table'!$A$1:$AG$1,0))),0)</f>
        <v>0</v>
      </c>
      <c r="GF26" s="127"/>
      <c r="GG26" s="18">
        <f t="array" ref="GG26">IFERROR(IF($GT26="SEGMENT",INDEX('Margin Guidence Table'!$A$1:$AG$10000,MATCH(1,('Margin Guidence Table'!$A$1:$A$10000=$GR26)*('Margin Guidence Table'!$I$1:$I$10000&lt;=ROUND($GJ$3,0))*('Margin Guidence Table'!$J$1:$J$10000&gt;=ROUND($GJ$3,0)),0),MATCH("PCT_SALES",'Margin Guidence Table'!$A$1:$AG$1,0)),INDEX('Margin Guidence Table'!$A$1:$AG$10000,MATCH(1,('Margin Guidence Table'!$A$1:$A$10000=$GR26)*('Margin Guidence Table'!$I$1:$I$10000&lt;=ROUND($GJ$3,0))*('Margin Guidence Table'!$J$1:$J$10000&gt;=ROUND($GJ$3,0)),0),MATCH("DEFAULT_PCT_SALES",'Margin Guidence Table'!$A$1:$AG$1,0))),0)</f>
        <v>0</v>
      </c>
      <c r="GH26" s="370" t="e">
        <f t="shared" si="38"/>
        <v>#DIV/0!</v>
      </c>
      <c r="GI26" s="100" t="s">
        <v>105</v>
      </c>
      <c r="GJ26" s="92">
        <f>IFERROR(IF(AND($GJ$2&lt;&gt;"Enter Spend&gt;&gt;&gt;",GK14="EXISTING"),SUMIFS('Existing Customers'!$Q:$Q,'Existing Customers'!$A:$A,$GJ$1,'Existing Customers'!$H:$H,$GI26)*$GJ$4,$GJ$3*$GH26),0)</f>
        <v>0</v>
      </c>
      <c r="GK26" s="87">
        <f>IFERROR(IF(AND($GJ$2&lt;&gt;"Enter Spend&gt;&gt;&gt;",GK2="EXISTING"),SUMIFS('Existing Customers'!$N:$N,'Existing Customers'!$A:$A,$GJ$1,'Existing Customers'!$H:$H,$GI26)*$GJ$4,$GJ26/$GU26),0)</f>
        <v>0</v>
      </c>
      <c r="GL26" s="93">
        <f>IFERROR(IF(AND($GJ$2&lt;&gt;"Enter Spend&gt;&gt;&gt;",GK2="EXISTING"),SUMIFS('Existing Customers'!$O:$O,'Existing Customers'!$H:$H,$GI26,'Existing Customers'!$A:$A,$GJ$1)*$GJ$4,$GK26*$GJ$8),0)</f>
        <v>0</v>
      </c>
      <c r="GM26" s="93">
        <f>IFERROR(IF(AND($GJ$2&lt;&gt;"Enter Spend&gt;&gt;&gt;",GK2="EXISTING"),SUMIFS('Existing Customers'!$P:$P,'Existing Customers'!$A:$A,$GJ$1,'Existing Customers'!$H:$H,$GI26)*$GJ$4,$GJ26/$GV26),0)</f>
        <v>0</v>
      </c>
      <c r="GN26" s="94">
        <f>IFERROR(IF(AND($GJ$2&lt;&gt;"Enter Spend&gt;&gt;&gt;",GK2="EXISTING"),SUMIFS('Existing Customers'!$V:$V,'Existing Customers'!$H:$H,$GI26,'Existing Customers'!$A:$A,$GJ$1)*$GJ$4,0),0)</f>
        <v>0</v>
      </c>
      <c r="GO26" s="94">
        <f>IFERROR(IF(AND($GJ$2&lt;&gt;"Enter Spend&gt;&gt;&gt;",GK2="EXISTING"),SUMIFS('Existing Customers'!$R:$R,'Existing Customers'!$H:$H,$GI26,'Existing Customers'!$A:$A,$GJ$1)*$GJ$4,0),0)</f>
        <v>0</v>
      </c>
      <c r="GP26" s="1050">
        <f>IFERROR(IF(AND($GJ$2&lt;&gt;"Enter Spend&gt;&gt;&gt;",GK2="EXISTING"),SUMIFS('Existing Customers'!$S:$S,'Existing Customers'!$H:$H,$GI26,'Existing Customers'!$A:$A,$GJ$1),GZ26*GJ26),0)</f>
        <v>0</v>
      </c>
      <c r="GQ26" s="1050">
        <f>IFERROR(IF(AND($GJ$2&lt;&gt;"Enter Spend&gt;&gt;&gt;",GK2="EXISTING"),SUMIFS('Existing Customers'!$U:$U,'Existing Customers'!$H:$H,$GI26,'Existing Customers'!$A:$A,$GJ$1),HA26*GJ26),0)</f>
        <v>0</v>
      </c>
      <c r="GR26" s="1053" t="e">
        <f>_xlfn.CONCAT('Customer Inputs'!$AG$12,"_",GI26)</f>
        <v>#N/A</v>
      </c>
      <c r="GS26" s="1053">
        <f t="array" ref="GS26">IFERROR(INDEX('Margin Guidence Table'!$A$1:$AG$10000,MATCH(1,('Margin Guidence Table'!$A$1:$A$10000=GR26)*('Margin Guidence Table'!$I$1:$I$10000&lt;=ROUND($GJ$3,0))*('Margin Guidence Table'!$J$1:$J$10000&gt;=ROUND($GJ$3,0)),0),MATCH("DATA_POINTS",'Margin Guidence Table'!$A$1:$AG$1,0)),0)</f>
        <v>0</v>
      </c>
      <c r="GT26" s="1050" t="str">
        <f t="shared" si="39"/>
        <v>DEFAULT</v>
      </c>
      <c r="GU26" s="1050">
        <f t="array" ref="GU26">IFERROR(IF($GT26="SEGMENT",INDEX('Margin Guidence Table'!$A$1:$AG$10000,MATCH(1,('Margin Guidence Table'!$A$1:$A$10000=GR26)*('Margin Guidence Table'!$I$1:$I$10000&lt;=ROUND($GJ$3,0))*('Margin Guidence Table'!$J$1:$J$10000&gt;=ROUND($GJ$3,0)),0),MATCH("SALES_CASE",'Margin Guidence Table'!$A$1:$AG$1,0)),INDEX('Margin Guidence Table'!$A$1:$AG$10000,MATCH(1,('Margin Guidence Table'!$A$1:$A$10000=GR26)*('Margin Guidence Table'!$I$1:$I$10000&lt;=ROUND($GJ$3,0))*('Margin Guidence Table'!$J$1:$J$10000&gt;=ROUND($GJ$3,0)),0),MATCH("DEFAULT_SALES_CASE",'Margin Guidence Table'!$A$1:$AG$1,0))),0)</f>
        <v>0</v>
      </c>
      <c r="GV26" s="1050">
        <f t="array" ref="GV26">IFERROR(IF($GT26="SEGMENT",INDEX('Margin Guidence Table'!$A$1:$AG$10000,MATCH(1,('Margin Guidence Table'!$A$1:$A$10000=GR26)*('Margin Guidence Table'!$I$1:$I$10000&lt;=ROUND($GJ$3,0))*('Margin Guidence Table'!$J$1:$J$10000&gt;=ROUND($GJ$3,0)),0),MATCH("SALES_LBS",'Margin Guidence Table'!$A$1:$AG$1,0)),INDEX('Margin Guidence Table'!$A$1:$AG$10000,MATCH(1,('Margin Guidence Table'!$A$1:$A$10000=GR26)*('Margin Guidence Table'!$I$1:$I$10000&lt;=ROUND($GJ$3,0))*('Margin Guidence Table'!$J$1:$J$10000&gt;=ROUND($GJ$3,0)),0),MATCH("DEFAULT_SALES_LBS",'Margin Guidence Table'!$A$1:$AG$1,0))),0)</f>
        <v>0</v>
      </c>
      <c r="GW26" s="1054">
        <f t="array" ref="GW26">IFERROR(IF($GT26="SEGMENT",INDEX('Margin Guidence Table'!$A$1:$AG$10000,MATCH(1,('Margin Guidence Table'!$A$1:$A$10000=GR26)*('Margin Guidence Table'!$I$1:$I$10000&lt;=ROUND($GJ$3,0))*('Margin Guidence Table'!$J$1:$J$10000&gt;=ROUND($GJ$3,0)),0),MATCH("MDA_MIN_MARGIN_GUIDENCE",'Margin Guidence Table'!$A$1:$AG$1,0)),INDEX('Margin Guidence Table'!$A$1:$AG$10000,MATCH(1,('Margin Guidence Table'!$A$1:$A$10000=GR26)*('Margin Guidence Table'!$I$1:$I$10000&lt;=ROUND($GJ$3,0))*('Margin Guidence Table'!$J$1:$J$10000&gt;=ROUND($GJ$3,0)),0),MATCH("DEFAULT_MDA_MIN_MARGIN_GUIDENCE",'Margin Guidence Table'!$A$1:$AG$1,0))),0)</f>
        <v>0</v>
      </c>
      <c r="GX26" s="1054">
        <f t="array" ref="GX26">IFERROR(IF($GT26="SEGMENT",INDEX('Margin Guidence Table'!$A$1:$AG$10000,MATCH(1,('Margin Guidence Table'!$A$1:$A$10000=GR26)*('Margin Guidence Table'!$I$1:$I$10000&lt;=ROUND($GJ$3,0))*('Margin Guidence Table'!$J$1:$J$10000&gt;=ROUND($GJ$3,0)),0),MATCH("MDA_MEDIAN_MARGIN_GUIDENCE",'Margin Guidence Table'!$A$1:$AG$1,0)),INDEX('Margin Guidence Table'!$A$1:$AG$10000,MATCH(1,('Margin Guidence Table'!$A$1:$A$10000=GR26)*('Margin Guidence Table'!$I$1:$I$10000&lt;=ROUND($GJ$3,0))*('Margin Guidence Table'!$J$1:$J$10000&gt;=ROUND($GJ$3,0)),0),MATCH("DEFAULT_MDA_MEDIAN_MARGIN_GUIDENCE",'Margin Guidence Table'!$A$1:$AG$1,0))),0)</f>
        <v>0</v>
      </c>
      <c r="GY26" s="1054">
        <f t="array" ref="GY26">IFERROR(IF($GT26="SEGMENT",INDEX('Margin Guidence Table'!$A$1:$AG$10000,MATCH(1,('Margin Guidence Table'!$A$1:$A$10000=GR26)*('Margin Guidence Table'!$I$1:$I$10000&lt;=ROUND($GJ$3,0))*('Margin Guidence Table'!$J$1:$J$10000&gt;=ROUND($GJ$3,0)),0),MATCH("MDA_MAX_MARGIN_GUIDENCE",'Margin Guidence Table'!$A$1:$AG$1,0)),INDEX('Margin Guidence Table'!$A$1:$AG$10000,MATCH(1,('Margin Guidence Table'!$A$1:$A$10000=GR26)*('Margin Guidence Table'!$I$1:$I$10000&lt;=ROUND($GJ$3,0))*('Margin Guidence Table'!$J$1:$J$10000&gt;=ROUND($GJ$3,0)),0),MATCH("DEFAULT_MDA_MAX_MARGIN_GUIDENCE",'Margin Guidence Table'!$A$1:$AG$1,0))),0)</f>
        <v>0</v>
      </c>
      <c r="GZ26" s="1054">
        <f t="array" ref="GZ26">IFERROR(IF($GT26="SEGMENT",INDEX('Margin Guidence Table'!$A$1:$AG$10000,MATCH(1,('Margin Guidence Table'!$A$1:$A$10000=GR26)*('Margin Guidence Table'!$I$1:$I$10000&lt;=ROUND($GJ$3,0))*('Margin Guidence Table'!$J$1:$J$10000&gt;=ROUND($GJ$3,0)),0),MATCH("PA_PCT_SALES",'Margin Guidence Table'!$A$1:$AG$1,0)),INDEX('Margin Guidence Table'!$A$1:$AG$10000,MATCH(1,('Margin Guidence Table'!$A$1:$A$10000=GR26)*('Margin Guidence Table'!$I$1:$I$10000&lt;=ROUND($GJ$3,0))*('Margin Guidence Table'!$J$1:$J$10000&gt;=ROUND($GJ$3,0)),0),MATCH("DEFAULT_PA_PCT_SALES",'Margin Guidence Table'!$A$1:$AG$1,0))),0)</f>
        <v>0</v>
      </c>
      <c r="HA26" s="1054">
        <f t="array" ref="HA26">IFERROR(IF($GT26="SEGMENT",INDEX('Margin Guidence Table'!$A$1:$AG$10000,MATCH(1,('Margin Guidence Table'!$A$1:$A$10000=GR26)*('Margin Guidence Table'!$I$1:$I$10000&lt;=ROUND($GJ$3,0))*('Margin Guidence Table'!$J$1:$J$10000&gt;=ROUND($GJ$3,0)),0),MATCH("SELF_FUND_PCT_SALES",'Margin Guidence Table'!$A$1:$AG$1,0)),INDEX('Margin Guidence Table'!$A$1:$AG$10000,MATCH(1,('Margin Guidence Table'!$A$1:$A$10000=GR26)*('Margin Guidence Table'!$I$1:$I$10000&lt;=ROUND($GJ$3,0))*('Margin Guidence Table'!$J$1:$J$10000&gt;=ROUND($GJ$3,0)),0),MATCH("DEFAULT_SELF_FUND_PCT_SALES",'Margin Guidence Table'!$A$1:$AG$1,0))),0)</f>
        <v>0</v>
      </c>
      <c r="HB26" s="1054">
        <f t="array" ref="HB26">IFERROR(IF($GT26="SEGMENT",INDEX('Margin Guidence Table'!$A$1:$AG$10000,MATCH(1,('Margin Guidence Table'!$A$1:$A$10000=GR26)*('Margin Guidence Table'!$I$1:$I$10000&lt;=ROUND($GJ$3,0))*('Margin Guidence Table'!$J$1:$J$10000&gt;=ROUND($GJ$3,0)),0),MATCH("CIA_MEDIAN_MARGIN_GUIDENCE",'Margin Guidence Table'!$A$1:$AG$1,0)),INDEX('Margin Guidence Table'!$A$1:$AG$10000,MATCH(1,('Margin Guidence Table'!$A$1:$A$10000=GR26)*('Margin Guidence Table'!$I$1:$I$10000&lt;=ROUND($GJ$3,0))*('Margin Guidence Table'!$J$1:$J$10000&gt;=ROUND($GJ$3,0)),0),MATCH("DEFAULT_CIA_MEDIAN_MARGIN_GUIDENCE",'Margin Guidence Table'!$A$1:$AG$1,0))),0)</f>
        <v>0</v>
      </c>
      <c r="HC26" s="127"/>
      <c r="HD26" s="18">
        <f t="array" ref="HD26">IFERROR(IF($HQ26="SEGMENT",INDEX('Margin Guidence Table'!$A$1:$AG$10000,MATCH(1,('Margin Guidence Table'!$A$1:$A$10000=$HO26)*('Margin Guidence Table'!$I$1:$I$10000&lt;=ROUND($HG$3,0))*('Margin Guidence Table'!$J$1:$J$10000&gt;=ROUND($HG$3,0)),0),MATCH("PCT_SALES",'Margin Guidence Table'!$A$1:$AG$1,0)),INDEX('Margin Guidence Table'!$A$1:$AG$10000,MATCH(1,('Margin Guidence Table'!$A$1:$A$10000=$HO26)*('Margin Guidence Table'!$I$1:$I$10000&lt;=ROUND($HG$3,0))*('Margin Guidence Table'!$J$1:$J$10000&gt;=ROUND($HG$3,0)),0),MATCH("DEFAULT_PCT_SALES",'Margin Guidence Table'!$A$1:$AG$1,0))),0)</f>
        <v>0</v>
      </c>
      <c r="HE26" s="370" t="e">
        <f t="shared" si="40"/>
        <v>#DIV/0!</v>
      </c>
      <c r="HF26" s="100" t="s">
        <v>105</v>
      </c>
      <c r="HG26" s="92">
        <f>IFERROR(IF(AND($HG$2&lt;&gt;"Enter Spend&gt;&gt;&gt;",HH14="EXISTING"),SUMIFS('Existing Customers'!$Q:$Q,'Existing Customers'!$A:$A,$HG$1,'Existing Customers'!$H:$H,$HF26)*$HG$4,$HG$3*$HE26),0)</f>
        <v>0</v>
      </c>
      <c r="HH26" s="87">
        <f>IFERROR(IF(AND($HG$2&lt;&gt;"Enter Spend&gt;&gt;&gt;",HH2="EXISTING"),SUMIFS('Existing Customers'!$N:$N,'Existing Customers'!$A:$A,$HG$1,'Existing Customers'!$H:$H,$HF26)*$HG$4,$HG26/$HR26),0)</f>
        <v>0</v>
      </c>
      <c r="HI26" s="93">
        <f>IFERROR(IF(AND($HG$2&lt;&gt;"Enter Spend&gt;&gt;&gt;",HH2="EXISTING"),SUMIFS('Existing Customers'!$O:$O,'Existing Customers'!$H:$H,$HF26,'Existing Customers'!$A:$A,$HG$1)*$HG$4,$HH26*$HG$8),0)</f>
        <v>0</v>
      </c>
      <c r="HJ26" s="93">
        <f>IFERROR(IF(AND($HG$2&lt;&gt;"Enter Spend&gt;&gt;&gt;",HH2="EXISTING"),SUMIFS('Existing Customers'!$P:$P,'Existing Customers'!$A:$A,$HG$1,'Existing Customers'!$H:$H,$HF26)*$HG$4,$HG26/$HS26),0)</f>
        <v>0</v>
      </c>
      <c r="HK26" s="94">
        <f>IFERROR(IF(AND($HG$2&lt;&gt;"Enter Spend&gt;&gt;&gt;",HH2="EXISTING"),SUMIFS('Existing Customers'!$V:$V,'Existing Customers'!$H:$H,$HF26,'Existing Customers'!$A:$A,$HG$1)*$HG$4,0),0)</f>
        <v>0</v>
      </c>
      <c r="HL26" s="94">
        <f>IFERROR(IF(AND($HG$2&lt;&gt;"Enter Spend&gt;&gt;&gt;",HH2="EXISTING"),SUMIFS('Existing Customers'!$R:$R,'Existing Customers'!$H:$H,$HF26,'Existing Customers'!$A:$A,$HG$1)*$HG$4,0),0)</f>
        <v>0</v>
      </c>
      <c r="HM26" s="1050">
        <f>IFERROR(IF(AND($HG$2&lt;&gt;"Enter Spend&gt;&gt;&gt;",HH2="EXISTING"),SUMIFS('Existing Customers'!$S:$S,'Existing Customers'!$H:$H,$HF26,'Existing Customers'!$A:$A,$HG$1),HW26*HG26),0)</f>
        <v>0</v>
      </c>
      <c r="HN26" s="1050">
        <f>IFERROR(IF(AND($HG$2&lt;&gt;"Enter Spend&gt;&gt;&gt;",HH2="EXISTING"),SUMIFS('Existing Customers'!$U:$U,'Existing Customers'!$H:$H,$HF26,'Existing Customers'!$A:$A,$HG$1),HX26*HG26),0)</f>
        <v>0</v>
      </c>
      <c r="HO26" s="1053" t="e">
        <f>_xlfn.CONCAT('Customer Inputs'!$AG$13,"_",HF26)</f>
        <v>#N/A</v>
      </c>
      <c r="HP26" s="1053">
        <f t="array" ref="HP26">IFERROR(INDEX('Margin Guidence Table'!$A$1:$AG$10000,MATCH(1,('Margin Guidence Table'!$A$1:$A$10000=HO26)*('Margin Guidence Table'!$I$1:$I$10000&lt;=ROUND($HG$3,0))*('Margin Guidence Table'!$J$1:$J$10000&gt;=ROUND($HG$3,0)),0),MATCH("DATA_POINTS",'Margin Guidence Table'!$A$1:$AG$1,0)),0)</f>
        <v>0</v>
      </c>
      <c r="HQ26" s="1050" t="str">
        <f t="shared" si="41"/>
        <v>DEFAULT</v>
      </c>
      <c r="HR26" s="1050">
        <f t="array" ref="HR26">IFERROR(IF($HQ26="SEGMENT",INDEX('Margin Guidence Table'!$A$1:$AG$10000,MATCH(1,('Margin Guidence Table'!$A$1:$A$10000=HO26)*('Margin Guidence Table'!$I$1:$I$10000&lt;=ROUND($HG$3,0))*('Margin Guidence Table'!$J$1:$J$10000&gt;=ROUND($HG$3,0)),0),MATCH("SALES_CASE",'Margin Guidence Table'!$A$1:$AG$1,0)),INDEX('Margin Guidence Table'!$A$1:$AG$10000,MATCH(1,('Margin Guidence Table'!$A$1:$A$10000=HO26)*('Margin Guidence Table'!$I$1:$I$10000&lt;=ROUND($HG$3,0))*('Margin Guidence Table'!$J$1:$J$10000&gt;=ROUND($HG$3,0)),0),MATCH("DEFAULT_SALES_CASE",'Margin Guidence Table'!$A$1:$AG$1,0))),0)</f>
        <v>0</v>
      </c>
      <c r="HS26" s="1050">
        <f t="array" ref="HS26">IFERROR(IF($HQ26="SEGMENT",INDEX('Margin Guidence Table'!$A$1:$AG$10000,MATCH(1,('Margin Guidence Table'!$A$1:$A$10000=HO26)*('Margin Guidence Table'!$I$1:$I$10000&lt;=ROUND($HG$3,0))*('Margin Guidence Table'!$J$1:$J$10000&gt;=ROUND($HG$3,0)),0),MATCH("SALES_LBS",'Margin Guidence Table'!$A$1:$AG$1,0)),INDEX('Margin Guidence Table'!$A$1:$AG$10000,MATCH(1,('Margin Guidence Table'!$A$1:$A$10000=HO26)*('Margin Guidence Table'!$I$1:$I$10000&lt;=ROUND($HG$3,0))*('Margin Guidence Table'!$J$1:$J$10000&gt;=ROUND($HG$3,0)),0),MATCH("DEFAULT_SALES_LBS",'Margin Guidence Table'!$A$1:$AG$1,0))),0)</f>
        <v>0</v>
      </c>
      <c r="HT26" s="1054">
        <f t="array" ref="HT26">IFERROR(IF($HQ26="SEGMENT",INDEX('Margin Guidence Table'!$A$1:$AG$10000,MATCH(1,('Margin Guidence Table'!$A$1:$A$10000=HO26)*('Margin Guidence Table'!$I$1:$I$10000&lt;=ROUND($HG$3,0))*('Margin Guidence Table'!$J$1:$J$10000&gt;=ROUND($HG$3,0)),0),MATCH("MDA_MIN_MARGIN_GUIDENCE",'Margin Guidence Table'!$A$1:$AG$1,0)),INDEX('Margin Guidence Table'!$A$1:$AG$10000,MATCH(1,('Margin Guidence Table'!$A$1:$A$10000=HO26)*('Margin Guidence Table'!$I$1:$I$10000&lt;=ROUND($HG$3,0))*('Margin Guidence Table'!$J$1:$J$10000&gt;=ROUND($HG$3,0)),0),MATCH("DEFAULT_MDA_MIN_MARGIN_GUIDENCE",'Margin Guidence Table'!$A$1:$AG$1,0))),0)</f>
        <v>0</v>
      </c>
      <c r="HU26" s="1054">
        <f t="array" ref="HU26">IFERROR(IF($HQ26="SEGMENT",INDEX('Margin Guidence Table'!$A$1:$AG$10000,MATCH(1,('Margin Guidence Table'!$A$1:$A$10000=HO26)*('Margin Guidence Table'!$I$1:$I$10000&lt;=ROUND($HG$3,0))*('Margin Guidence Table'!$J$1:$J$10000&gt;=ROUND($HG$3,0)),0),MATCH("MDA_MEDIAN_MARGIN_GUIDENCE",'Margin Guidence Table'!$A$1:$AG$1,0)),INDEX('Margin Guidence Table'!$A$1:$AG$10000,MATCH(1,('Margin Guidence Table'!$A$1:$A$10000=HO26)*('Margin Guidence Table'!$I$1:$I$10000&lt;=ROUND($HG$3,0))*('Margin Guidence Table'!$J$1:$J$10000&gt;=ROUND($HG$3,0)),0),MATCH("DEFAULT_MDA_MEDIAN_MARGIN_GUIDENCE",'Margin Guidence Table'!$A$1:$AG$1,0))),0)</f>
        <v>0</v>
      </c>
      <c r="HV26" s="1054">
        <f t="array" ref="HV26">IFERROR(IF($HQ26="SEGMENT",INDEX('Margin Guidence Table'!$A$1:$AG$10000,MATCH(1,('Margin Guidence Table'!$A$1:$A$10000=HO26)*('Margin Guidence Table'!$I$1:$I$10000&lt;=ROUND($HG$3,0))*('Margin Guidence Table'!$J$1:$J$10000&gt;=ROUND($HG$3,0)),0),MATCH("MDA_MAX_MARGIN_GUIDENCE",'Margin Guidence Table'!$A$1:$AG$1,0)),INDEX('Margin Guidence Table'!$A$1:$AG$10000,MATCH(1,('Margin Guidence Table'!$A$1:$A$10000=HO26)*('Margin Guidence Table'!$I$1:$I$10000&lt;=ROUND($HG$3,0))*('Margin Guidence Table'!$J$1:$J$10000&gt;=ROUND($HG$3,0)),0),MATCH("DEFAULT_MDA_MAX_MARGIN_GUIDENCE",'Margin Guidence Table'!$A$1:$AG$1,0))),0)</f>
        <v>0</v>
      </c>
      <c r="HW26" s="1054">
        <f t="array" ref="HW26">IFERROR(IF($HQ26="SEGMENT",INDEX('Margin Guidence Table'!$A$1:$AG$10000,MATCH(1,('Margin Guidence Table'!$A$1:$A$10000=HO26)*('Margin Guidence Table'!$I$1:$I$10000&lt;=ROUND($HG$3,0))*('Margin Guidence Table'!$J$1:$J$10000&gt;=ROUND($HG$3,0)),0),MATCH("PA_PCT_SALES",'Margin Guidence Table'!$A$1:$AG$1,0)),INDEX('Margin Guidence Table'!$A$1:$AG$10000,MATCH(1,('Margin Guidence Table'!$A$1:$A$10000=HO26)*('Margin Guidence Table'!$I$1:$I$10000&lt;=ROUND($HG$3,0))*('Margin Guidence Table'!$J$1:$J$10000&gt;=ROUND($HG$3,0)),0),MATCH("DEFAULT_PA_PCT_SALES",'Margin Guidence Table'!$A$1:$AG$1,0))),0)</f>
        <v>0</v>
      </c>
      <c r="HX26" s="1054">
        <f t="array" ref="HX26">IFERROR(IF($HQ26="SEGMENT",INDEX('Margin Guidence Table'!$A$1:$AG$10000,MATCH(1,('Margin Guidence Table'!$A$1:$A$10000=HO26)*('Margin Guidence Table'!$I$1:$I$10000&lt;=ROUND($HG$3,0))*('Margin Guidence Table'!$J$1:$J$10000&gt;=ROUND($HG$3,0)),0),MATCH("SELF_FUND_PCT_SALES",'Margin Guidence Table'!$A$1:$AG$1,0)),INDEX('Margin Guidence Table'!$A$1:$AG$10000,MATCH(1,('Margin Guidence Table'!$A$1:$A$10000=HO26)*('Margin Guidence Table'!$I$1:$I$10000&lt;=ROUND($HG$3,0))*('Margin Guidence Table'!$J$1:$J$10000&gt;=ROUND($HG$3,0)),0),MATCH("DEFAULT_SELF_FUND_PCT_SALES",'Margin Guidence Table'!$A$1:$AG$1,0))),0)</f>
        <v>0</v>
      </c>
      <c r="HY26" s="1054">
        <f t="array" ref="HY26">IFERROR(IF($HQ26="SEGMENT",INDEX('Margin Guidence Table'!$A$1:$AG$10000,MATCH(1,('Margin Guidence Table'!$A$1:$A$10000=HO26)*('Margin Guidence Table'!$I$1:$I$10000&lt;=ROUND($HG$3,0))*('Margin Guidence Table'!$J$1:$J$10000&gt;=ROUND($HG$3,0)),0),MATCH("CIA_MEDIAN_MARGIN_GUIDENCE",'Margin Guidence Table'!$A$1:$AG$1,0)),INDEX('Margin Guidence Table'!$A$1:$AG$10000,MATCH(1,('Margin Guidence Table'!$A$1:$A$10000=HO26)*('Margin Guidence Table'!$I$1:$I$10000&lt;=ROUND($HG$3,0))*('Margin Guidence Table'!$J$1:$J$10000&gt;=ROUND($HG$3,0)),0),MATCH("DEFAULT_CIA_MEDIAN_MARGIN_GUIDENCE",'Margin Guidence Table'!$A$1:$AG$1,0))),0)</f>
        <v>0</v>
      </c>
      <c r="HZ26" s="127"/>
      <c r="IA26" s="18">
        <f t="array" ref="IA26">IFERROR(IF($IN26="SEGMENT",INDEX('Margin Guidence Table'!$A:$AC,MATCH(1,('Margin Guidence Table'!$A:$A=$IL26)*('Margin Guidence Table'!$H:$H&lt;=ROUND($ID$3,0))*('Margin Guidence Table'!$G:$G&gt;=ROUND($ID$3,0)),0),MATCH("PCT_SALES",'Margin Guidence Table'!$A$1:$AG$1,0)),INDEX('Margin Guidence Table'!$A:$AC,MATCH(1,('Margin Guidence Table'!$A:$A=$IL26)*('Margin Guidence Table'!$H:$H&lt;=ROUND($ID$3,0))*('Margin Guidence Table'!$G:$G&gt;=ROUND($ID$3,0)),0),MATCH("DEFAULT_PCT_SALES",'Margin Guidence Table'!$A$1:$AG$1,0))),0)</f>
        <v>0</v>
      </c>
      <c r="IB26" s="370" t="e">
        <f t="shared" si="42"/>
        <v>#DIV/0!</v>
      </c>
      <c r="IC26" s="100" t="s">
        <v>105</v>
      </c>
      <c r="ID26" s="92">
        <f>IFERROR(IF(AND($ID$2&lt;&gt;"Enter Spend&gt;&gt;&gt;",IE14="EXISTING"),SUMIFS('Existing Customers'!$Q:$Q,'Existing Customers'!$A:$A,$ID$1,'Existing Customers'!$H:$H,$IC26)*$ID$4,$ID$3*$IB26),0)</f>
        <v>0</v>
      </c>
      <c r="IE26" s="87">
        <f>IFERROR(IF(AND($ID$2&lt;&gt;"Enter Spend&gt;&gt;&gt;",IE2="EXISTING"),SUMIFS('Existing Customers'!$N:$N,'Existing Customers'!$A:$A,$ID$1,'Existing Customers'!$H:$H,$IC26)*$ID$4,$ID26/$IO26),0)</f>
        <v>0</v>
      </c>
      <c r="IF26" s="93">
        <f>IFERROR(IF(AND($ID$2&lt;&gt;"Enter Spend&gt;&gt;&gt;",IE2="EXISTING"),SUMIFS('Existing Customers'!$O:$O,'Existing Customers'!$H:$H,$IC26,'Existing Customers'!$A:$A,$ID$1)*$ID$4,$IE26*$ID$8),0)</f>
        <v>0</v>
      </c>
      <c r="IG26" s="93">
        <f>IFERROR(IF(AND($ID$2&lt;&gt;"Enter Spend&gt;&gt;&gt;",IE2="EXISTING"),SUMIFS('Existing Customers'!$P:$P,'Existing Customers'!$A:$A,$ID$1,'Existing Customers'!$H:$H,$IC26)*$ID$4,$ID26/$IP26),0)</f>
        <v>0</v>
      </c>
      <c r="IH26" s="376">
        <f>IFERROR(IF(AND($ID$2&lt;&gt;"Enter Spend&gt;&gt;&gt;",IE2="EXISTING"),SUMIFS('Existing Customers'!$V:$V,'Existing Customers'!$H:$H,$IC26,'Existing Customers'!$A:$A,$ID$1)*$ID$4,0),0)</f>
        <v>0</v>
      </c>
      <c r="II26" s="94">
        <f>IFERROR(IF(AND($ID$2&lt;&gt;"Enter Spend&gt;&gt;&gt;",IE2="EXISTING"),SUMIFS('Existing Customers'!$R:$R,'Existing Customers'!$H:$H,$IC26,'Existing Customers'!$A:$A,$ID$1)*$ID$4,0),0)</f>
        <v>0</v>
      </c>
      <c r="IJ26" s="1050">
        <f>IFERROR(IF(AND($ID$2&lt;&gt;"Enter Spend&gt;&gt;&gt;",IE2="EXISTING"),SUMIFS('Existing Customers'!$S:$S,'Existing Customers'!$H:$H,$IC26,'Existing Customers'!$A:$A,$ID$1),IT26*ID26),0)</f>
        <v>0</v>
      </c>
      <c r="IK26" s="1050">
        <f>IFERROR(IF(AND($ID$2&lt;&gt;"Enter Spend&gt;&gt;&gt;",IE2="EXISTING"),SUMIFS('Existing Customers'!$U:$U,'Existing Customers'!$H:$H,$IC26,'Existing Customers'!$A:$A,$ID$1),IU26*ID26),0)</f>
        <v>0</v>
      </c>
      <c r="IL26" s="1053" t="e">
        <f>_xlfn.CONCAT('Customer Inputs'!$AG$14,"_",IC26)</f>
        <v>#N/A</v>
      </c>
      <c r="IM26" s="1053">
        <f t="array" ref="IM26">IFERROR(INDEX('Margin Guidence Table'!$A$1:$AG$10000,MATCH(1,('Margin Guidence Table'!$A$1:$A$10000=IL26)*('Margin Guidence Table'!$I$1:$I$10000&lt;=ROUND($ID$3,0))*('Margin Guidence Table'!$J$1:$J$10000&gt;=ROUND($ID$3,0)),0),MATCH("DATA_POINTS",'Margin Guidence Table'!$A$1:$AG$1,0)),0)</f>
        <v>0</v>
      </c>
      <c r="IN26" s="1050" t="str">
        <f t="shared" si="43"/>
        <v>DEFAULT</v>
      </c>
      <c r="IO26" s="1050">
        <f t="array" ref="IO26">IFERROR(IF($IN26="SEGMENT",INDEX('Margin Guidence Table'!$A$1:$AG$10000,MATCH(1,('Margin Guidence Table'!$A$1:$A$10000=IL26)*('Margin Guidence Table'!$I$1:$I$10000&lt;=ROUND($ID$3,0))*('Margin Guidence Table'!$J$1:$J$10000&gt;=ROUND($ID$3,0)),0),MATCH("SALES_CASE",'Margin Guidence Table'!$A$1:$AG$1,0)),INDEX('Margin Guidence Table'!$A$1:$AG$10000,MATCH(1,('Margin Guidence Table'!$A$1:$A$10000=IL26)*('Margin Guidence Table'!$I$1:$I$10000&lt;=ROUND($ID$3,0))*('Margin Guidence Table'!$J$1:$J$10000&gt;=ROUND($ID$3,0)),0),MATCH("DEFAULT_SALES_CASE",'Margin Guidence Table'!$A$1:$AG$1,0))),0)</f>
        <v>0</v>
      </c>
      <c r="IP26" s="1050">
        <f t="array" ref="IP26">IFERROR(IF($IN26="SEGMENT",INDEX('Margin Guidence Table'!$A$1:$AG$10000,MATCH(1,('Margin Guidence Table'!$A$1:$A$10000=IL26)*('Margin Guidence Table'!$I$1:$I$10000&lt;=ROUND($ID$3,0))*('Margin Guidence Table'!$J$1:$J$10000&gt;=ROUND($ID$3,0)),0),MATCH("SALES_LBS",'Margin Guidence Table'!$A$1:$AG$1,0)),INDEX('Margin Guidence Table'!$A$1:$AG$10000,MATCH(1,('Margin Guidence Table'!$A$1:$A$10000=IL26)*('Margin Guidence Table'!$I$1:$I$10000&lt;=ROUND($ID$3,0))*('Margin Guidence Table'!$J$1:$J$10000&gt;=ROUND($ID$3,0)),0),MATCH("DEFAULT_SALES_LBS",'Margin Guidence Table'!$A$1:$AG$1,0))),0)</f>
        <v>0</v>
      </c>
      <c r="IQ26" s="1054">
        <f t="array" ref="IQ26">IFERROR(IF($IN26="SEGMENT",INDEX('Margin Guidence Table'!$A$1:$AG$10000,MATCH(1,('Margin Guidence Table'!$A$1:$A$10000=IL26)*('Margin Guidence Table'!$I$1:$I$10000&lt;=ROUND($ID$3,0))*('Margin Guidence Table'!$J$1:$J$10000&gt;=ROUND($ID$3,0)),0),MATCH("MDA_MIN_MARGIN_GUIDENCE",'Margin Guidence Table'!$A$1:$AG$1,0)),INDEX('Margin Guidence Table'!$A$1:$AG$10000,MATCH(1,('Margin Guidence Table'!$A$1:$A$10000=IL26)*('Margin Guidence Table'!$I$1:$I$10000&lt;=ROUND($ID$3,0))*('Margin Guidence Table'!$J$1:$J$10000&gt;=ROUND($ID$3,0)),0),MATCH("DEFAULT_MDA_MIN_MARGIN_GUIDENCE",'Margin Guidence Table'!$A$1:$AG$1,0))),0)</f>
        <v>0</v>
      </c>
      <c r="IR26" s="1054">
        <f t="array" ref="IR26">IFERROR(IF($IN26="SEGMENT",INDEX('Margin Guidence Table'!$A$1:$AG$10000,MATCH(1,('Margin Guidence Table'!$A$1:$A$10000=IL26)*('Margin Guidence Table'!$I$1:$I$10000&lt;=ROUND($ID$3,0))*('Margin Guidence Table'!$J$1:$J$10000&gt;=ROUND($ID$3,0)),0),MATCH("MDA_MEDIAN_MARGIN_GUIDENCE",'Margin Guidence Table'!$A$1:$AG$1,0)),INDEX('Margin Guidence Table'!$A$1:$AG$10000,MATCH(1,('Margin Guidence Table'!$A$1:$A$10000=IL26)*('Margin Guidence Table'!$I$1:$I$10000&lt;=ROUND($ID$3,0))*('Margin Guidence Table'!$J$1:$J$10000&gt;=ROUND($ID$3,0)),0),MATCH("DEFAULT_MDA_MEDIAN_MARGIN_GUIDENCE",'Margin Guidence Table'!$A$1:$AG$1,0))),0)</f>
        <v>0</v>
      </c>
      <c r="IS26" s="1054">
        <f t="array" ref="IS26">IFERROR(IF($IN26="SEGMENT",INDEX('Margin Guidence Table'!$A$1:$AG$10000,MATCH(1,('Margin Guidence Table'!$A$1:$A$10000=IL26)*('Margin Guidence Table'!$I$1:$I$10000&lt;=ROUND($ID$3,0))*('Margin Guidence Table'!$J$1:$J$10000&gt;=ROUND($ID$3,0)),0),MATCH("MDA_MAX_MARGIN_GUIDENCE",'Margin Guidence Table'!$A$1:$AG$1,0)),INDEX('Margin Guidence Table'!$A$1:$AG$10000,MATCH(1,('Margin Guidence Table'!$A$1:$A$10000=IL26)*('Margin Guidence Table'!$I$1:$I$10000&lt;=ROUND($ID$3,0))*('Margin Guidence Table'!$J$1:$J$10000&gt;=ROUND($ID$3,0)),0),MATCH("DEFAULT_MDA_MAX_MARGIN_GUIDENCE",'Margin Guidence Table'!$A$1:$AG$1,0))),0)</f>
        <v>0</v>
      </c>
      <c r="IT26" s="1054">
        <f t="array" ref="IT26">IFERROR(IF($IN26="SEGMENT",INDEX('Margin Guidence Table'!$A$1:$AG$10000,MATCH(1,('Margin Guidence Table'!$A$1:$A$10000=IL26)*('Margin Guidence Table'!$I$1:$I$10000&lt;=ROUND($ID$3,0))*('Margin Guidence Table'!$J$1:$J$10000&gt;=ROUND($ID$3,0)),0),MATCH("PA_PCT_SALES",'Margin Guidence Table'!$A$1:$AG$1,0)),INDEX('Margin Guidence Table'!$A$1:$AG$10000,MATCH(1,('Margin Guidence Table'!$A$1:$A$10000=IL26)*('Margin Guidence Table'!$I$1:$I$10000&lt;=ROUND($ID$3,0))*('Margin Guidence Table'!$J$1:$J$10000&gt;=ROUND($ID$3,0)),0),MATCH("DEFAULT_PA_PCT_SALES",'Margin Guidence Table'!$A$1:$AG$1,0))),0)</f>
        <v>0</v>
      </c>
      <c r="IU26" s="1054">
        <f t="array" ref="IU26">IFERROR(IF($IN26="SEGMENT",INDEX('Margin Guidence Table'!$A$1:$AG$10000,MATCH(1,('Margin Guidence Table'!$A$1:$A$10000=IL26)*('Margin Guidence Table'!$I$1:$I$10000&lt;=ROUND($ID$3,0))*('Margin Guidence Table'!$J$1:$J$10000&gt;=ROUND($ID$3,0)),0),MATCH("SELF_FUND_PCT_SALES",'Margin Guidence Table'!$A$1:$AG$1,0)),INDEX('Margin Guidence Table'!$A$1:$AG$10000,MATCH(1,('Margin Guidence Table'!$A$1:$A$10000=IL26)*('Margin Guidence Table'!$I$1:$I$10000&lt;=ROUND($ID$3,0))*('Margin Guidence Table'!$J$1:$J$10000&gt;=ROUND($ID$3,0)),0),MATCH("DEFAULT_SELF_FUND_PCT_SALES",'Margin Guidence Table'!$A$1:$AG$1,0))),0)</f>
        <v>0</v>
      </c>
      <c r="IV26" s="1054">
        <f t="array" ref="IV26">IFERROR(IF($IN26="SEGMENT",INDEX('Margin Guidence Table'!$A$1:$AG$10000,MATCH(1,('Margin Guidence Table'!$A$1:$A$10000=IL26)*('Margin Guidence Table'!$I$1:$I$10000&lt;=ROUND($ID$3,0))*('Margin Guidence Table'!$J$1:$J$10000&gt;=ROUND($ID$3,0)),0),MATCH("CIA_MEDIAN_MARGIN_GUIDENCE",'Margin Guidence Table'!$A$1:$AG$1,0)),INDEX('Margin Guidence Table'!$A$1:$AG$10000,MATCH(1,('Margin Guidence Table'!$A$1:$A$10000=IL26)*('Margin Guidence Table'!$I$1:$I$10000&lt;=ROUND($ID$3,0))*('Margin Guidence Table'!$J$1:$J$10000&gt;=ROUND($ID$3,0)),0),MATCH("DEFAULT_CIA_MEDIAN_MARGIN_GUIDENCE",'Margin Guidence Table'!$A$1:$AG$1,0))),0)</f>
        <v>0</v>
      </c>
      <c r="IW26" s="127"/>
      <c r="IX26" s="18">
        <f t="array" ref="IX26">IFERROR(IF($JK26="SEGMENT",INDEX('Margin Guidence Table'!$A$1:$AG$10000,MATCH(1,('Margin Guidence Table'!$A$1:$A$10000=$JI26)*('Margin Guidence Table'!$I$1:$I$10000&lt;=ROUND($JA$3,0))*('Margin Guidence Table'!$J$1:$J$10000&gt;=ROUND($JA$3,0)),0),MATCH("PCT_SALES",'Margin Guidence Table'!$A$1:$AG$1,0)),INDEX('Margin Guidence Table'!$A$1:$AG$10000,MATCH(1,('Margin Guidence Table'!$A$1:$A$10000=$JI26)*('Margin Guidence Table'!$I$1:$I$10000&lt;=ROUND($JA$3,0))*('Margin Guidence Table'!$J$1:$J$10000&gt;=ROUND($JA$3,0)),0),MATCH("DEFAULT_PCT_SALES",'Margin Guidence Table'!$A$1:$AG$1,0))),0)</f>
        <v>0</v>
      </c>
      <c r="IY26" s="370" t="e">
        <f t="shared" si="44"/>
        <v>#DIV/0!</v>
      </c>
      <c r="IZ26" s="100" t="s">
        <v>105</v>
      </c>
      <c r="JA26" s="92">
        <f>IFERROR(IF(AND($JA$2&lt;&gt;"Enter Spend&gt;&gt;&gt;",JB14="EXISTING"),SUMIFS('Existing Customers'!$Q:$Q,'Existing Customers'!$A:$A,$JA$1,'Existing Customers'!$H:$H,$IZ26)*$JA$4,$JA$3*$IY26),0)</f>
        <v>0</v>
      </c>
      <c r="JB26" s="87">
        <f>IFERROR(IF(AND($JA$2&lt;&gt;"Enter Spend&gt;&gt;&gt;",JB2="EXISTING"),SUMIFS('Existing Customers'!$N:$N,'Existing Customers'!$A:$A,$JA$1,'Existing Customers'!$H:$H,$IZ26)*$JA$4,$JA26/$JL26),0)</f>
        <v>0</v>
      </c>
      <c r="JC26" s="93">
        <f>IFERROR(IF(AND($JA$2&lt;&gt;"Enter Spend&gt;&gt;&gt;",JB2="EXISTING"),SUMIFS('Existing Customers'!$O:$O,'Existing Customers'!$H:$H,$IZ26,'Existing Customers'!$A:$A,$JA$1)*$JA$4,$JB26*$JA$8),0)</f>
        <v>0</v>
      </c>
      <c r="JD26" s="93">
        <f>IFERROR(IF(AND($JA$2&lt;&gt;"Enter Spend&gt;&gt;&gt;",JB2="EXISTING"),SUMIFS('Existing Customers'!$P:$P,'Existing Customers'!$A:$A,$JA$1,'Existing Customers'!$H:$H,$IZ26)*$JA$4,$JA26/$JM26),0)</f>
        <v>0</v>
      </c>
      <c r="JE26" s="376">
        <f>IFERROR(IF(AND($JA$2&lt;&gt;"Enter Spend&gt;&gt;&gt;",JB2="EXISTING"),SUMIFS('Existing Customers'!$V:$V,'Existing Customers'!$H:$H,$IZ26,'Existing Customers'!$A:$A,$JA$1)*$JA$4,0),0)</f>
        <v>0</v>
      </c>
      <c r="JF26" s="94">
        <f>IFERROR(IF(AND($JA$2&lt;&gt;"Enter Spend&gt;&gt;&gt;",JB2="EXISTING"),SUMIFS('Existing Customers'!$R:$R,'Existing Customers'!$H:$H,$IZ26,'Existing Customers'!$A:$A,$JA$1)*$JA$4,0),0)</f>
        <v>0</v>
      </c>
      <c r="JG26" s="1050">
        <f>IFERROR(IF(AND($JA$2&lt;&gt;"Enter Spend&gt;&gt;&gt;",JB2="EXISTING"),SUMIFS('Existing Customers'!$S:$S,'Existing Customers'!$H:$H,$IZ26,'Existing Customers'!$A:$A,$JA$1),JQ26*JA26),0)</f>
        <v>0</v>
      </c>
      <c r="JH26" s="1050">
        <f>IFERROR(IF(AND($JA$2&lt;&gt;"Enter Spend&gt;&gt;&gt;",JB2="EXISTING"),SUMIFS('Existing Customers'!$U:$U,'Existing Customers'!$H:$H,$IZ26,'Existing Customers'!$A:$A,$JA$1),JR26*JA26),0)</f>
        <v>0</v>
      </c>
      <c r="JI26" s="1053" t="e">
        <f>_xlfn.CONCAT('Customer Inputs'!$AG$15,"_",IZ26)</f>
        <v>#N/A</v>
      </c>
      <c r="JJ26" s="1053">
        <f t="array" ref="JJ26">IFERROR(INDEX('Margin Guidence Table'!$A$1:$AG$10000,MATCH(1,('Margin Guidence Table'!$A$1:$A$10000=JI26)*('Margin Guidence Table'!$I$1:$I$10000&lt;=ROUND($JA$3,0))*('Margin Guidence Table'!$J$1:$J$10000&gt;=ROUND($JA$3,0)),0),MATCH("DATA_POINTS",'Margin Guidence Table'!$A$1:$AG$1,0)),0)</f>
        <v>0</v>
      </c>
      <c r="JK26" s="1050" t="str">
        <f t="shared" si="45"/>
        <v>DEFAULT</v>
      </c>
      <c r="JL26" s="1050">
        <f t="array" ref="JL26">IFERROR(IF($JK26="SEGMENT",INDEX('Margin Guidence Table'!$A$1:$AG$10000,MATCH(1,('Margin Guidence Table'!$A$1:$A$10000=JI26)*('Margin Guidence Table'!$I$1:$I$10000&lt;=ROUND($JA$3,0))*('Margin Guidence Table'!$J$1:$J$10000&gt;=ROUND($JA$3,0)),0),MATCH("SALES_CASE",'Margin Guidence Table'!$A$1:$AG$1,0)),INDEX('Margin Guidence Table'!$A$1:$AG$10000,MATCH(1,('Margin Guidence Table'!$A$1:$A$10000=JI26)*('Margin Guidence Table'!$I$1:$I$10000&lt;=ROUND($JA$3,0))*('Margin Guidence Table'!$J$1:$J$10000&gt;=ROUND($JA$3,0)),0),MATCH("DEFAULT_SALES_CASE",'Margin Guidence Table'!$A$1:$AG$1,0))),0)</f>
        <v>0</v>
      </c>
      <c r="JM26" s="1050">
        <f t="array" ref="JM26">IFERROR(IF($JK26="SEGMENT",INDEX('Margin Guidence Table'!$A$1:$AG$10000,MATCH(1,('Margin Guidence Table'!$A$1:$A$10000=JI26)*('Margin Guidence Table'!$I$1:$I$10000&lt;=ROUND($JA$3,0))*('Margin Guidence Table'!$J$1:$J$10000&gt;=ROUND($JA$3,0)),0),MATCH("SALES_LBS",'Margin Guidence Table'!$A$1:$AG$1,0)),INDEX('Margin Guidence Table'!$A$1:$AG$10000,MATCH(1,('Margin Guidence Table'!$A$1:$A$10000=JI26)*('Margin Guidence Table'!$I$1:$I$10000&lt;=ROUND($JA$3,0))*('Margin Guidence Table'!$J$1:$J$10000&gt;=ROUND($JA$3,0)),0),MATCH("DEFAULT_SALES_LBS",'Margin Guidence Table'!$A$1:$AG$1,0))),0)</f>
        <v>0</v>
      </c>
      <c r="JN26" s="1054">
        <f t="array" ref="JN26">IFERROR(IF($JK26="SEGMENT",INDEX('Margin Guidence Table'!$A$1:$AG$10000,MATCH(1,('Margin Guidence Table'!$A$1:$A$10000=JI26)*('Margin Guidence Table'!$I$1:$I$10000&lt;=ROUND($JA$3,0))*('Margin Guidence Table'!$J$1:$J$10000&gt;=ROUND($JA$3,0)),0),MATCH("MDA_MIN_MARGIN_GUIDENCE",'Margin Guidence Table'!$A$1:$AG$1,0)),INDEX('Margin Guidence Table'!$A$1:$AG$10000,MATCH(1,('Margin Guidence Table'!$A$1:$A$10000=JI26)*('Margin Guidence Table'!$I$1:$I$10000&lt;=ROUND($JA$3,0))*('Margin Guidence Table'!$J$1:$J$10000&gt;=ROUND($JA$3,0)),0),MATCH("DEFAULT_MDA_MIN_MARGIN_GUIDENCE",'Margin Guidence Table'!$A$1:$AG$1,0))),0)</f>
        <v>0</v>
      </c>
      <c r="JO26" s="1054">
        <f t="array" ref="JO26">IFERROR(IF($JK26="SEGMENT",INDEX('Margin Guidence Table'!$A$1:$AG$10000,MATCH(1,('Margin Guidence Table'!$A$1:$A$10000=JI26)*('Margin Guidence Table'!$I$1:$I$10000&lt;=ROUND($JA$3,0))*('Margin Guidence Table'!$J$1:$J$10000&gt;=ROUND($JA$3,0)),0),MATCH("MDA_MEDIAN_MARGIN_GUIDENCE",'Margin Guidence Table'!$A$1:$AG$1,0)),INDEX('Margin Guidence Table'!$A$1:$AG$10000,MATCH(1,('Margin Guidence Table'!$A$1:$A$10000=JI26)*('Margin Guidence Table'!$I$1:$I$10000&lt;=ROUND($JA$3,0))*('Margin Guidence Table'!$J$1:$J$10000&gt;=ROUND($JA$3,0)),0),MATCH("DEFAULT_MDA_MEDIAN_MARGIN_GUIDENCE",'Margin Guidence Table'!$A$1:$AG$1,0))),0)</f>
        <v>0</v>
      </c>
      <c r="JP26" s="1054">
        <f t="array" ref="JP26">IFERROR(IF($JK26="SEGMENT",INDEX('Margin Guidence Table'!$A$1:$AG$10000,MATCH(1,('Margin Guidence Table'!$A$1:$A$10000=JI26)*('Margin Guidence Table'!$I$1:$I$10000&lt;=ROUND($JA$3,0))*('Margin Guidence Table'!$J$1:$J$10000&gt;=ROUND($JA$3,0)),0),MATCH("MDA_MAX_MARGIN_GUIDENCE",'Margin Guidence Table'!$A$1:$AG$1,0)),INDEX('Margin Guidence Table'!$A$1:$AG$10000,MATCH(1,('Margin Guidence Table'!$A$1:$A$10000=JI26)*('Margin Guidence Table'!$I$1:$I$10000&lt;=ROUND($JA$3,0))*('Margin Guidence Table'!$J$1:$J$10000&gt;=ROUND($JA$3,0)),0),MATCH("DEFAULT_MDA_MAX_MARGIN_GUIDENCE",'Margin Guidence Table'!$A$1:$AG$1,0))),0)</f>
        <v>0</v>
      </c>
      <c r="JQ26" s="1054">
        <f t="array" ref="JQ26">IFERROR(IF($JK26="SEGMENT",INDEX('Margin Guidence Table'!$A$1:$AG$10000,MATCH(1,('Margin Guidence Table'!$A$1:$A$10000=JI26)*('Margin Guidence Table'!$I$1:$I$10000&lt;=ROUND($JA$3,0))*('Margin Guidence Table'!$J$1:$J$10000&gt;=ROUND($JA$3,0)),0),MATCH("PA_PCT_SALES",'Margin Guidence Table'!$A$1:$AG$1,0)),INDEX('Margin Guidence Table'!$A$1:$AG$10000,MATCH(1,('Margin Guidence Table'!$A$1:$A$10000=JI26)*('Margin Guidence Table'!$I$1:$I$10000&lt;=ROUND($JA$3,0))*('Margin Guidence Table'!$J$1:$J$10000&gt;=ROUND($JA$3,0)),0),MATCH("DEFAULT_PA_PCT_SALES",'Margin Guidence Table'!$A$1:$AG$1,0))),0)</f>
        <v>0</v>
      </c>
      <c r="JR26" s="1054">
        <f t="array" ref="JR26">IFERROR(IF($JK26="SEGMENT",INDEX('Margin Guidence Table'!$A$1:$AG$10000,MATCH(1,('Margin Guidence Table'!$A$1:$A$10000=JI26)*('Margin Guidence Table'!$I$1:$I$10000&lt;=ROUND($JA$3,0))*('Margin Guidence Table'!$J$1:$J$10000&gt;=ROUND($JA$3,0)),0),MATCH("SELF_FUND_PCT_SALES",'Margin Guidence Table'!$A$1:$AG$1,0)),INDEX('Margin Guidence Table'!$A$1:$AG$10000,MATCH(1,('Margin Guidence Table'!$A$1:$A$10000=JI26)*('Margin Guidence Table'!$I$1:$I$10000&lt;=ROUND($JA$3,0))*('Margin Guidence Table'!$J$1:$J$10000&gt;=ROUND($JA$3,0)),0),MATCH("DEFAULT_SELF_FUND_PCT_SALES",'Margin Guidence Table'!$A$1:$AG$1,0))),0)</f>
        <v>0</v>
      </c>
      <c r="JS26" s="1054">
        <f t="array" ref="JS26">IFERROR(IF($JK26="SEGMENT",INDEX('Margin Guidence Table'!$A$1:$AG$10000,MATCH(1,('Margin Guidence Table'!$A$1:$A$10000=JI26)*('Margin Guidence Table'!$I$1:$I$10000&lt;=ROUND($JA$3,0))*('Margin Guidence Table'!$J$1:$J$10000&gt;=ROUND($JA$3,0)),0),MATCH("CIA_MEDIAN_MARGIN_GUIDENCE",'Margin Guidence Table'!$A$1:$AG$1,0)),INDEX('Margin Guidence Table'!$A$1:$AG$10000,MATCH(1,('Margin Guidence Table'!$A$1:$A$10000=JI26)*('Margin Guidence Table'!$I$1:$I$10000&lt;=ROUND($JA$3,0))*('Margin Guidence Table'!$J$1:$J$10000&gt;=ROUND($JA$3,0)),0),MATCH("DEFAULT_CIA_MEDIAN_MARGIN_GUIDENCE",'Margin Guidence Table'!$A$1:$AG$1,0))),0)</f>
        <v>0</v>
      </c>
      <c r="JU26" s="100" t="s">
        <v>105</v>
      </c>
      <c r="JV26" s="95"/>
      <c r="JW26" s="87"/>
      <c r="JX26" s="87"/>
      <c r="JY26" s="87"/>
      <c r="JZ26" s="112"/>
      <c r="KA26" s="96"/>
      <c r="KB26" s="127"/>
      <c r="KD26" s="100" t="s">
        <v>105</v>
      </c>
      <c r="KE26" s="95"/>
      <c r="KF26" s="87"/>
      <c r="KG26" s="87"/>
      <c r="KH26" s="87"/>
      <c r="KI26" s="112"/>
      <c r="KJ26" s="96"/>
    </row>
    <row r="27" spans="2:296" ht="15.75" thickBot="1" x14ac:dyDescent="0.3">
      <c r="B27" s="100" t="s">
        <v>92</v>
      </c>
      <c r="C27" s="449">
        <f t="shared" si="11"/>
        <v>0</v>
      </c>
      <c r="D27" s="465">
        <f t="shared" si="12"/>
        <v>0</v>
      </c>
      <c r="E27" s="465">
        <f t="shared" si="13"/>
        <v>0</v>
      </c>
      <c r="F27" s="465">
        <f t="shared" si="14"/>
        <v>0</v>
      </c>
      <c r="G27" s="466">
        <f t="shared" si="15"/>
        <v>0</v>
      </c>
      <c r="H27" s="465">
        <f t="shared" si="16"/>
        <v>0</v>
      </c>
      <c r="I27" s="1046" t="e">
        <f t="shared" si="0"/>
        <v>#DIV/0!</v>
      </c>
      <c r="J27" s="1046" t="e">
        <f t="shared" si="1"/>
        <v>#DIV/0!</v>
      </c>
      <c r="K27" s="1046" t="e">
        <f t="shared" si="2"/>
        <v>#DIV/0!</v>
      </c>
      <c r="L27" s="465" t="e">
        <f t="shared" si="3"/>
        <v>#DIV/0!</v>
      </c>
      <c r="M27" s="465" t="e">
        <f t="shared" si="17"/>
        <v>#DIV/0!</v>
      </c>
      <c r="N27" s="1047" t="e">
        <f t="shared" si="4"/>
        <v>#DIV/0!</v>
      </c>
      <c r="P27" t="str">
        <f>'PIM Model'!E23</f>
        <v>INCLUDE</v>
      </c>
      <c r="Q27">
        <f t="shared" si="18"/>
        <v>0</v>
      </c>
      <c r="R27">
        <f t="shared" si="19"/>
        <v>0</v>
      </c>
      <c r="S27" s="100" t="s">
        <v>92</v>
      </c>
      <c r="T27" s="95">
        <f t="shared" si="20"/>
        <v>0</v>
      </c>
      <c r="U27" s="87">
        <f t="shared" si="5"/>
        <v>0</v>
      </c>
      <c r="V27" s="87">
        <f t="shared" si="6"/>
        <v>0</v>
      </c>
      <c r="W27" s="87">
        <f t="shared" si="7"/>
        <v>0</v>
      </c>
      <c r="X27" s="112">
        <f t="shared" si="8"/>
        <v>0</v>
      </c>
      <c r="Y27" s="115">
        <f t="shared" si="21"/>
        <v>0</v>
      </c>
      <c r="Z27" s="374"/>
      <c r="AA27" s="100" t="s">
        <v>92</v>
      </c>
      <c r="AB27" s="453">
        <f t="shared" si="9"/>
        <v>0</v>
      </c>
      <c r="AC27" s="454">
        <f t="shared" si="9"/>
        <v>0</v>
      </c>
      <c r="AD27" s="454">
        <f t="shared" si="9"/>
        <v>0</v>
      </c>
      <c r="AE27" s="455">
        <f t="shared" si="22"/>
        <v>0</v>
      </c>
      <c r="AF27" s="456">
        <f t="shared" si="23"/>
        <v>0</v>
      </c>
      <c r="AG27" s="374"/>
      <c r="AH27" s="100" t="s">
        <v>92</v>
      </c>
      <c r="AI27" s="453">
        <f t="shared" si="10"/>
        <v>0</v>
      </c>
      <c r="AJ27" s="450">
        <f t="shared" si="24"/>
        <v>0</v>
      </c>
      <c r="AK27" s="456"/>
      <c r="AL27" s="374"/>
      <c r="AM27" s="1" t="str">
        <f>IF('PIM Ranges'!$AK25='PIM Ranges'!$AW$11,IF($AI27&lt;'PIM Ranges'!$AX$11,"Q1",IF($AI27&lt;'PIM Ranges'!$AY$11,"Q2",IF($AI27&lt;'PIM Ranges'!$AZ$11,"Q3",IF($AI27&lt;'PIM Ranges'!$BA$11,"Q4","Q5")))),IF('PIM Ranges'!$AK25='PIM Ranges'!$AW$12,IF($AI27&lt;'PIM Ranges'!$AX$12,"Q1",IF($AI27&lt;'PIM Ranges'!$AY$12,"Q2",IF($AI27&lt;'PIM Ranges'!$AZ$12,"Q3",IF($AI27&lt;'PIM Ranges'!$BA$12,"Q4","Q5")))),IF('PIM Ranges'!$AK25='PIM Ranges'!$AW$13,IF($AI27&lt;'PIM Ranges'!$AX$13,"Q1",IF($AI27&lt;'PIM Ranges'!$AY$13,"Q2",IF($AI27&lt;'PIM Ranges'!$AZ$13,"Q3",IF($AI27&lt;'PIM Ranges'!$BA$13,"Q4","Q5")))),IF('PIM Ranges'!$AK25='PIM Ranges'!$AW$14,IF($AI27&lt;'PIM Ranges'!$AX$14,"Q1",IF($AI27&lt;'PIM Ranges'!$AY$14,"Q2",IF($AI27&lt;'PIM Ranges'!$AZ$14,"Q3",IF($AI27&lt;'PIM Ranges'!$BA$14,"Q4","Q5")))),IF('PIM Ranges'!$AK25='PIM Ranges'!$AW$15,IF($AI27&lt;'PIM Ranges'!$AX$15,"Q1",IF($AI27&lt;'PIM Ranges'!$AY$15,"Q2",IF($AI27&lt;'PIM Ranges'!$AZ$15,"Q3",IF($AI27&lt;'PIM Ranges'!$BA$15,"Q4","Q5")))),IF('PIM Ranges'!$AK25='PIM Ranges'!$AW$16,IF($AI27&lt;'PIM Ranges'!$AX$16,"Q1",IF($AI27&lt;'PIM Ranges'!$AY$16,"Q2",IF($AI27&lt;'PIM Ranges'!$AZ$16,"Q3",IF($AI27&lt;'PIM Ranges'!$BA$16,"Q4","Q5")))),IF('PIM Ranges'!$AK25='PIM Ranges'!$AW$17,IF($AI27&lt;'PIM Ranges'!$AX$17,"Q1",IF($AI27&lt;'PIM Ranges'!$AY$17,"Q2",IF($AI27&lt;'PIM Ranges'!$AZ$17,"Q3",IF($AI27&lt;'PIM Ranges'!$BA$17,"Q4","Q5")))),IF('PIM Ranges'!$AK25='PIM Ranges'!$AW$18,IF($AI27&lt;'PIM Ranges'!$AX$18,"Q1",IF($AI27&lt;'PIM Ranges'!$AY$18,"Q2",IF($AI27&lt;'PIM Ranges'!$AZ$18,"Q3",IF($AI27&lt;'PIM Ranges'!$BA$18,"Q4","Q5")))),IF('PIM Ranges'!$AK25='PIM Ranges'!$AW$19,IF($AI27&lt;'PIM Ranges'!$AX$19,"Q1",IF($AI27&lt;'PIM Ranges'!$AY$19,"Q2",IF($AI27&lt;'PIM Ranges'!$AZ$19,"Q3",IF($AI27&lt;'PIM Ranges'!$BA$19,"Q4","Q5")))),IF('PIM Ranges'!$AK25='PIM Ranges'!$AW$20,IF($AI27&lt;'PIM Ranges'!$AX$20,"Q1",IF($AI27&lt;'PIM Ranges'!$AY$20,"Q2",IF($AI27&lt;'PIM Ranges'!$AZ$20,"Q3",IF($AI27&lt;'PIM Ranges'!$BA$20,"Q4","Q5")))),IF('PIM Ranges'!$AK25='PIM Ranges'!$AW$21,IF($AI27&lt;'PIM Ranges'!$AX$21,"Q1",IF($AI27&lt;'PIM Ranges'!$AY$21,"Q2",IF($AI27&lt;'PIM Ranges'!$AZ$21,"Q3",IF($AI27&lt;'PIM Ranges'!$BA$21,"Q4","Q5")))),IF('PIM Ranges'!$AK25='PIM Ranges'!$AW$22,IF($AI27&lt;'PIM Ranges'!$AX$22,"Q1",IF($AI27&lt;'PIM Ranges'!$AY$22,"Q2",IF($AI27&lt;'PIM Ranges'!$AZ$22,"Q3",IF($AI27&lt;'PIM Ranges'!$BA$22,"Q4","Q5")))),IF('PIM Ranges'!$AK25='PIM Ranges'!$AW$23,IF($AI27&lt;'PIM Ranges'!$AX$23,"Q1",IF($AI27&lt;'PIM Ranges'!$AY$23,"Q2",IF($AI27&lt;'PIM Ranges'!$AZ$23,"Q3",IF($AI27&lt;'PIM Ranges'!$BA$23,"Q4","Q5")))),IF('PIM Ranges'!$AK25='PIM Ranges'!$AW$24,IF($AI27&lt;'PIM Ranges'!$AX$24,"Q1",IF($AI27&lt;'PIM Ranges'!$AY$24,"Q2",IF($AI27&lt;'PIM Ranges'!$AZ$24,"Q3",IF($AI27&lt;'PIM Ranges'!$BA$24,"Q4","Q5")))),IF('PIM Ranges'!$AK25='PIM Ranges'!$AW$25,IF($AI27&lt;'PIM Ranges'!$AX$25,"Q1",IF($AI27&lt;'PIM Ranges'!$AY$25,"Q2",IF($AI27&lt;'PIM Ranges'!$AZ$25,"Q3",IF($AI27&lt;'PIM Ranges'!$BA$25,"Q4","Q5")))),IF('PIM Ranges'!$AK25='PIM Ranges'!$AW$26,IF($AI27&lt;'PIM Ranges'!$AX$26,"Q1",IF($AI27&lt;'PIM Ranges'!$AY$26,"Q2",IF($AI27&lt;'PIM Ranges'!$AZ$26,"Q3",IF($AI27&lt;'PIM Ranges'!$BA$26,"Q4","Q5")))),IF('PIM Ranges'!$AK25='PIM Ranges'!$AW$27,IF($AI27&lt;'PIM Ranges'!$AX$27,"Q1",IF($AI27&lt;'PIM Ranges'!$AY$27,"Q2",IF($AI27&lt;'PIM Ranges'!$AZ$27,"Q3",IF($AI27&lt;'PIM Ranges'!$BA$27,"Q4","Q5")))),IF('PIM Ranges'!$AK25='PIM Ranges'!$AW$28,IF($AI27&lt;'PIM Ranges'!$AX$28,"Q1",IF($AI27&lt;'PIM Ranges'!$AY$28,"Q2",IF($AI27&lt;'PIM Ranges'!$AZ$28,"Q3",IF($AI27&lt;'PIM Ranges'!$BA$28,"Q4","Q5")))),IF('PIM Ranges'!$AK25='PIM Ranges'!$AW$29,IF($AI27&lt;'PIM Ranges'!$AX$29,"Q1",IF($AI27&lt;'PIM Ranges'!$AY$29,"Q2",IF($AI27&lt;'PIM Ranges'!$AZ$29,"Q3",IF($AI27&lt;'PIM Ranges'!$BA$29,"Q4","Q5")))),IF('PIM Ranges'!$AK25='PIM Ranges'!$AW$30,IF($AI27&lt;'PIM Ranges'!$AX$30,"Q1",IF($AI27&lt;'PIM Ranges'!$AY$30,"Q2",IF($AI27&lt;'PIM Ranges'!$AZ$30,"Q3",IF($AI27&lt;'PIM Ranges'!$BA$30,"Q4","Q5")))),IF('PIM Ranges'!$AK25='PIM Ranges'!$AW$31,IF($AI27&lt;'PIM Ranges'!$AX$31,"Q1",IF($AI27&lt;'PIM Ranges'!$AY$31,"Q2",IF($AI27&lt;'PIM Ranges'!$AZ$31,"Q3",IF($AI27&lt;'PIM Ranges'!$BA$31,"Q4","Q5")))),IF('PIM Ranges'!$AK25='PIM Ranges'!$AW$32,IF($AI27&lt;'PIM Ranges'!$AX$32,"Q1",IF($AI27&lt;'PIM Ranges'!$AY$32,"Q2",IF($AI27&lt;'PIM Ranges'!$AZ$32,"Q3",IF($AI27&lt;'PIM Ranges'!$BA$32,"Q4","Q5"))))))))))))))))))))))))))</f>
        <v>Q1</v>
      </c>
      <c r="AN27" s="374">
        <f>VLOOKUP($AH27&amp;$AM27,'IMargin Quartiles'!$A:$F,6,FALSE)</f>
        <v>0.13</v>
      </c>
      <c r="AO27" s="374"/>
      <c r="AP27"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Q27" s="374" t="e">
        <f t="shared" si="25"/>
        <v>#DIV/0!</v>
      </c>
      <c r="AR27">
        <f>'PIM Model'!C23</f>
        <v>0</v>
      </c>
      <c r="AS27" s="374"/>
      <c r="AT27" s="374"/>
      <c r="AU27" s="374" t="e">
        <f t="shared" si="46"/>
        <v>#DIV/0!</v>
      </c>
      <c r="AV27" s="374"/>
      <c r="AW27" s="374"/>
      <c r="AX27" s="106">
        <v>16</v>
      </c>
      <c r="AY27" s="18">
        <f t="array" ref="AY27">IFERROR(IF($BL27="SEGMENT",INDEX('Margin Guidence Table'!$A$1:$AG$10000,MATCH(1,('Margin Guidence Table'!$A$1:$A$10000=$BJ27)*('Margin Guidence Table'!$I$1:$I$10000&lt;=ROUND($BB$3,0))*('Margin Guidence Table'!$J$1:$J$10000&gt;=ROUND($BB$3,0)),0),MATCH("PCT_SALES",'Margin Guidence Table'!$A$1:$AG$1,0)),INDEX('Margin Guidence Table'!$A$1:$AG$10000,MATCH(1,('Margin Guidence Table'!$A$1:$A$10000=$BJ27)*('Margin Guidence Table'!$I$1:$I$10000&lt;=ROUND($BB$3,0))*('Margin Guidence Table'!$J$1:$J$10000&gt;=ROUND($BB$3,0)),0),MATCH("DEFAULT_PCT_SALES",'Margin Guidence Table'!$A$1:$AG$1,0))),0)</f>
        <v>0</v>
      </c>
      <c r="AZ27" s="370" t="e">
        <f t="shared" si="26"/>
        <v>#DIV/0!</v>
      </c>
      <c r="BA27" s="100" t="s">
        <v>92</v>
      </c>
      <c r="BB27" s="92">
        <f>IFERROR(IF(AND($BB$2&lt;&gt;"Enter Spend&gt;&gt;&gt;",BC15="EXISTING"),SUMIFS('Existing Customers'!$Q:$Q,'Existing Customers'!$A:$A,$BB$1,'Existing Customers'!$H:$H,$BA27)*$BB$4,$BB$3*$AZ27),0)</f>
        <v>0</v>
      </c>
      <c r="BC27" s="93">
        <f>IFERROR(IF(AND($BB$2&lt;&gt;"Enter Spend&gt;&gt;&gt;",BC2="EXISTING"),SUMIFS('Existing Customers'!$N:$N,'Existing Customers'!$A:$A,$BB$1,'Existing Customers'!$H:$H,$BA27)*$BB$4,$BB27/$BM27),0)</f>
        <v>0</v>
      </c>
      <c r="BD27" s="93">
        <f>IFERROR(IF(AND($BB$2&lt;&gt;"Enter Spend&gt;&gt;&gt;",BC2="EXISTING"),SUMIFS('Existing Customers'!$O:$O,'Existing Customers'!$H:$H,$BA27,'Existing Customers'!$A:$A,$BB$1)*$BB$4,$BC27*$BB$8),0)</f>
        <v>0</v>
      </c>
      <c r="BE27" s="93">
        <f>IFERROR(IF(AND($BB$2&lt;&gt;"Enter Spend&gt;&gt;&gt;",BC2="EXISTING"),SUMIFS('Existing Customers'!$P:$P,'Existing Customers'!$A:$A,$BB$1,'Existing Customers'!$H:$H,$BA27)*$BB$4,$BB27/$BN27),0)</f>
        <v>0</v>
      </c>
      <c r="BF27" s="376">
        <f>IFERROR(IF(AND($BB$2&lt;&gt;"Enter Spend&gt;&gt;&gt;",BC2="EXISTING"),SUMIFS('Existing Customers'!$V:$V,'Existing Customers'!$H:$H,$BA27,'Existing Customers'!$A:$A,$BB$1)*$BB$4,0),0)</f>
        <v>0</v>
      </c>
      <c r="BG27" s="94">
        <f>IFERROR(IF(AND($BB$2&lt;&gt;"Enter Spend&gt;&gt;&gt;",BC2="EXISTING"),SUMIFS('Existing Customers'!$R:$R,'Existing Customers'!$H:$H,$BA27,'Existing Customers'!$A:$A,$BB$1)*$BB$4,0),0)</f>
        <v>0</v>
      </c>
      <c r="BH27" s="94">
        <f>IFERROR(IF(AND($BB$2&lt;&gt;"Enter Spend&gt;&gt;&gt;",BC2="EXISTING"),SUMIFS('Existing Customers'!$S:$S,'Existing Customers'!$H:$H,$BA27,'Existing Customers'!$A:$A,$BB$1),BR27*BB27),0)</f>
        <v>0</v>
      </c>
      <c r="BI27" s="94">
        <f>IFERROR(IF(AND($BB$2&lt;&gt;"Enter Spend&gt;&gt;&gt;",BC2="EXISTING"),SUMIFS('Existing Customers'!$U:$U,'Existing Customers'!$H:$H,$BA27,'Existing Customers'!$A:$A,$BB$1),BS27*BB27),0)</f>
        <v>0</v>
      </c>
      <c r="BJ27" s="1052" t="e">
        <f>_xlfn.CONCAT('Customer Inputs'!$AG$6,"_",BA27)</f>
        <v>#N/A</v>
      </c>
      <c r="BK27" s="1053">
        <f t="array" ref="BK27">IFERROR(INDEX('Margin Guidence Table'!$A$1:$AG$10000,MATCH(1,('Margin Guidence Table'!$A$1:$A$10000=$BJ27)*('Margin Guidence Table'!$I$1:$I$10000&lt;=ROUND($BB$3,0))*('Margin Guidence Table'!$J$1:$J$10000&gt;=ROUND($BB$3,0)),0),MATCH("DATA_POINTS",'Margin Guidence Table'!$A$1:$AG$1,0)),0)</f>
        <v>0</v>
      </c>
      <c r="BL27" s="1050" t="str">
        <f t="shared" si="27"/>
        <v>DEFAULT</v>
      </c>
      <c r="BM27" s="1050">
        <f t="array" ref="BM27">IFERROR(IF($BL27="SEGMENT",INDEX('Margin Guidence Table'!$A$1:$AG$10000,MATCH(1,('Margin Guidence Table'!$A$1:$A$10000=$BJ27)*('Margin Guidence Table'!$I$1:$I$10000&lt;=ROUND($BB$3,0))*('Margin Guidence Table'!$J$1:$J$10000&gt;=ROUND($BB$3,0)),0),MATCH("SALES_CASE",'Margin Guidence Table'!$A$1:$AG$1,0)),INDEX('Margin Guidence Table'!$A$1:$AG$10000,MATCH(1,('Margin Guidence Table'!$A$1:$A$10000=$BJ27)*('Margin Guidence Table'!$I$1:$I$10000&lt;=ROUND($BB$3,0))*('Margin Guidence Table'!$J$1:$J$10000&gt;=ROUND($BB$3,0)),0),MATCH("DEFAULT_SALES_CASE",'Margin Guidence Table'!$A$1:$AG$1,0))),0)</f>
        <v>0</v>
      </c>
      <c r="BN27" s="1050">
        <f t="array" ref="BN27">IFERROR(IF($BL27="SEGMENT",INDEX('Margin Guidence Table'!$A$1:$AG$10000,MATCH(1,('Margin Guidence Table'!$A$1:$A$10000=$BJ27)*('Margin Guidence Table'!$I$1:$I$10000&lt;=ROUND($BB$3,0))*('Margin Guidence Table'!$J$1:$J$10000&gt;=ROUND($BB$3,0)),0),MATCH("SALES_LBS",'Margin Guidence Table'!$A$1:$AG$1,0)),INDEX('Margin Guidence Table'!$A$1:$AG$10000,MATCH(1,('Margin Guidence Table'!$A$1:$A$10000=$BJ27)*('Margin Guidence Table'!$I$1:$I$10000&lt;=ROUND($BB$3,0))*('Margin Guidence Table'!$J$1:$J$10000&gt;=ROUND($BB$3,0)),0),MATCH("DEFAULT_SALES_LBS",'Margin Guidence Table'!$A$1:$AG$1,0))),0)</f>
        <v>0</v>
      </c>
      <c r="BO27" s="1054">
        <f t="array" ref="BO27">IFERROR(IF($BL27="SEGMENT",INDEX('Margin Guidence Table'!$A$1:$AG$10000,MATCH(1,('Margin Guidence Table'!$A$1:$A$10000=$BJ27)*('Margin Guidence Table'!$I$1:$I$10000&lt;=ROUND($BB$3,0))*('Margin Guidence Table'!$J$1:$J$10000&gt;=ROUND($BB$3,0)),0),MATCH("MDA_MIN_MARGIN_GUIDENCE",'Margin Guidence Table'!$A$1:$AG$1,0)),INDEX('Margin Guidence Table'!$A$1:$AG$10000,MATCH(1,('Margin Guidence Table'!$A$1:$A$10000=$BJ27)*('Margin Guidence Table'!$I$1:$I$10000&lt;=ROUND($BB$3,0))*('Margin Guidence Table'!$J$1:$J$10000&gt;=ROUND($BB$3,0)),0),MATCH("DEFAULT_MDA_MIN_MARGIN_GUIDENCE",'Margin Guidence Table'!$A$1:$AG$1,0))),0)</f>
        <v>0</v>
      </c>
      <c r="BP27" s="1054">
        <f t="array" ref="BP27">IFERROR(IF($BL27="SEGMENT",INDEX('Margin Guidence Table'!$A$1:$AG$10000,MATCH(1,('Margin Guidence Table'!$A$1:$A$10000=$BJ27)*('Margin Guidence Table'!$I$1:$I$10000&lt;=ROUND($BB$3,0))*('Margin Guidence Table'!$J$1:$J$10000&gt;=ROUND($BB$3,0)),0),MATCH("MDA_MEDIAN_MARGIN_GUIDENCE",'Margin Guidence Table'!$A$1:$AG$1,0)),INDEX('Margin Guidence Table'!$A$1:$AG$10000,MATCH(1,('Margin Guidence Table'!$A$1:$A$10000=$BJ27)*('Margin Guidence Table'!$I$1:$I$10000&lt;=ROUND($BB$3,0))*('Margin Guidence Table'!$J$1:$J$10000&gt;=ROUND($BB$3,0)),0),MATCH("DEFAULT_MDA_MEDIAN_MARGIN_GUIDENCE",'Margin Guidence Table'!$A$1:$AG$1,0))),0)</f>
        <v>0</v>
      </c>
      <c r="BQ27" s="1054">
        <f t="array" ref="BQ27">IFERROR(IF($BL27="SEGMENT",INDEX('Margin Guidence Table'!$A$1:$AG$10000,MATCH(1,('Margin Guidence Table'!$A$1:$A$10000=$BJ27)*('Margin Guidence Table'!$I$1:$I$10000&lt;=ROUND($BB$3,0))*('Margin Guidence Table'!$J$1:$J$10000&gt;=ROUND($BB$3,0)),0),MATCH("MDA_MAX_MARGIN_GUIDENCE",'Margin Guidence Table'!$A$1:$AG$1,0)),INDEX('Margin Guidence Table'!$A$1:$AG$10000,MATCH(1,('Margin Guidence Table'!$A$1:$A$10000=$BJ27)*('Margin Guidence Table'!$I$1:$I$10000&lt;=ROUND($BB$3,0))*('Margin Guidence Table'!$J$1:$J$10000&gt;=ROUND($BB$3,0)),0),MATCH("DEFAULT_MDA_MAX_MARGIN_GUIDENCE",'Margin Guidence Table'!$A$1:$AG$1,0))),0)</f>
        <v>0</v>
      </c>
      <c r="BR27" s="1054">
        <f t="array" ref="BR27">IFERROR(IF($BL27="SEGMENT",INDEX('Margin Guidence Table'!$A$1:$AG$10000,MATCH(1,('Margin Guidence Table'!$A$1:$A$10000=$BJ27)*('Margin Guidence Table'!$I$1:$I$10000&lt;=ROUND($BB$3,0))*('Margin Guidence Table'!$J$1:$J$10000&gt;=ROUND($BB$3,0)),0),MATCH("PA_PCT_SALES",'Margin Guidence Table'!$A$1:$AG$1,0)),INDEX('Margin Guidence Table'!$A$1:$AG$10000,MATCH(1,('Margin Guidence Table'!$A$1:$A$10000=$BJ27)*('Margin Guidence Table'!$I$1:$I$10000&lt;=ROUND($BB$3,0))*('Margin Guidence Table'!$J$1:$J$10000&gt;=ROUND($BB$3,0)),0),MATCH("DEFAULT_PA_PCT_SALES",'Margin Guidence Table'!$A$1:$AG$1,0))),0)</f>
        <v>0</v>
      </c>
      <c r="BS27" s="1054">
        <f t="array" ref="BS27">IFERROR(IF($BL27="SEGMENT",INDEX('Margin Guidence Table'!$A$1:$AG$10000,MATCH(1,('Margin Guidence Table'!$A$1:$A$10000=$BJ27)*('Margin Guidence Table'!$I$1:$I$10000&lt;=ROUND($BB$3,0))*('Margin Guidence Table'!$J$1:$J$10000&gt;=ROUND($BB$3,0)),0),MATCH("SELF_FUND_PCT_SALES",'Margin Guidence Table'!$A$1:$AG$1,0)),INDEX('Margin Guidence Table'!$A$1:$AG$10000,MATCH(1,('Margin Guidence Table'!$A$1:$A$10000=$BJ27)*('Margin Guidence Table'!$I$1:$I$10000&lt;=ROUND($BB$3,0))*('Margin Guidence Table'!$J$1:$J$10000&gt;=ROUND($BB$3,0)),0),MATCH("DEFAULT_SELF_FUND_PCT_SALES",'Margin Guidence Table'!$A$1:$AG$1,0))),0)</f>
        <v>0</v>
      </c>
      <c r="BT27" s="1054">
        <f t="array" ref="BT27">IFERROR(IF($BL27="SEGMENT",INDEX('Margin Guidence Table'!$A$1:$AG$10000,MATCH(1,('Margin Guidence Table'!$A$1:$A$10000=$BJ27)*('Margin Guidence Table'!$I$1:$I$10000&lt;=ROUND($BB$3,0))*('Margin Guidence Table'!$J$1:$J$10000&gt;=ROUND($BB$3,0)),0),MATCH("CIA_MEDIAN_MARGIN_GUIDENCE",'Margin Guidence Table'!$A$1:$AG$1,0)),INDEX('Margin Guidence Table'!$A$1:$AG$10000,MATCH(1,('Margin Guidence Table'!$A$1:$A$10000=$BJ27)*('Margin Guidence Table'!$I$1:$I$10000&lt;=ROUND($BB$3,0))*('Margin Guidence Table'!$J$1:$J$10000&gt;=ROUND($BB$3,0)),0),MATCH("DEFAULT_CIA_MEDIAN_MARGIN_GUIDENCE",'Margin Guidence Table'!$A$1:$AG$1,0))),0)</f>
        <v>0</v>
      </c>
      <c r="BU27" s="127"/>
      <c r="BV27" s="18">
        <f t="array" ref="BV27">IFERROR(IF($CI27="SEGMENT",INDEX('Margin Guidence Table'!$A$1:$AG$10000,MATCH(1,('Margin Guidence Table'!$A$1:$A$10000=$CG27)*('Margin Guidence Table'!$I$1:$I$10000&lt;=ROUND($BY$3,0))*('Margin Guidence Table'!$J$1:$J$10000&gt;=ROUND($BY$3,0)),0),MATCH("PCT_SALES",'Margin Guidence Table'!$A$1:$AG$1,0)),INDEX('Margin Guidence Table'!$A$1:$AG$10000,MATCH(1,('Margin Guidence Table'!$A$1:$A$10000=$CG27)*('Margin Guidence Table'!$I$1:$I$10000&lt;=ROUND($BY$3,0))*('Margin Guidence Table'!$J$1:$J$10000&gt;=ROUND($BY$3,0)),0),MATCH("DEFAULT_PCT_SALES",'Margin Guidence Table'!$A$1:$AG$1,0))),0)</f>
        <v>0</v>
      </c>
      <c r="BW27" s="370" t="e">
        <f t="shared" si="28"/>
        <v>#DIV/0!</v>
      </c>
      <c r="BX27" s="100" t="s">
        <v>92</v>
      </c>
      <c r="BY27" s="92">
        <f>IFERROR(IF(AND($BY$2&lt;&gt;"Enter Spend&gt;&gt;&gt;",BZ15="EXISTING"),SUMIFS('Existing Customers'!$Q:$Q,'Existing Customers'!$A:$A,$BY$1,'Existing Customers'!$H:$H,$BX27)*$BY$4,$BY$3*$BW27),0)</f>
        <v>0</v>
      </c>
      <c r="BZ27" s="87">
        <f>IFERROR(IF(AND($BY$2&lt;&gt;"Enter Spend&gt;&gt;&gt;",BZ2="EXISTING"),SUMIFS('Existing Customers'!$N:$N,'Existing Customers'!$A:$A,$BY$1,'Existing Customers'!$H:$H,$BX27)*$BY$4,$BY27/$CJ27),0)</f>
        <v>0</v>
      </c>
      <c r="CA27" s="93">
        <f>IFERROR(IF(AND($BY$2&lt;&gt;"Enter Spend&gt;&gt;&gt;",BZ2="EXISTING"),SUMIFS('Existing Customers'!$O:$O,'Existing Customers'!$H:$H,$BX27,'Existing Customers'!$A:$A,$BY$1)*$BY$4,$BZ27*$BY$8),0)</f>
        <v>0</v>
      </c>
      <c r="CB27" s="93">
        <f>IFERROR(IF(AND($BY$2&lt;&gt;"Enter Spend&gt;&gt;&gt;",BZ2="EXISTING"),SUMIFS('Existing Customers'!$P:$P,'Existing Customers'!$A:$A,$BY$1,'Existing Customers'!$H:$H,$BX27)*$BY$4,$BY27/$CK27),0)</f>
        <v>0</v>
      </c>
      <c r="CC27" s="94">
        <f>IFERROR(IF(AND($BY$2&lt;&gt;"Enter Spend&gt;&gt;&gt;",BZ2="EXISTING"),SUMIFS('Existing Customers'!$V:$V,'Existing Customers'!$H:$H,$BX27,'Existing Customers'!$A:$A,$BY$1)*$BY$4,0),0)</f>
        <v>0</v>
      </c>
      <c r="CD27" s="94">
        <f>IFERROR(IF(AND($BY$2&lt;&gt;"Enter Spend&gt;&gt;&gt;",BZ2="EXISTING"),SUMIFS('Existing Customers'!$R:$R,'Existing Customers'!$H:$H,$BX27,'Existing Customers'!$A:$A,$BY$1)*$BY$4,0),0)</f>
        <v>0</v>
      </c>
      <c r="CE27" s="1050">
        <f>IFERROR(IF(AND($BY$2&lt;&gt;"Enter Spend&gt;&gt;&gt;",BZ2="EXISTING"),SUMIFS('Existing Customers'!$S:$S,'Existing Customers'!$H:$H,$BX27,'Existing Customers'!$A:$A,$BY$1),CO27*BY27),0)</f>
        <v>0</v>
      </c>
      <c r="CF27" s="1050">
        <f>IFERROR(IF(AND($BY$2&lt;&gt;"Enter Spend&gt;&gt;&gt;",BZ2="EXISTING"),SUMIFS('Existing Customers'!$U:$U,'Existing Customers'!$H:$H,$BX27,'Existing Customers'!$A:$A,$BY$1),CP27*BY27),0)</f>
        <v>0</v>
      </c>
      <c r="CG27" s="1053" t="e">
        <f>_xlfn.CONCAT('Customer Inputs'!$AG$7,"_",BX27)</f>
        <v>#N/A</v>
      </c>
      <c r="CH27" s="1053">
        <f t="array" ref="CH27">IFERROR(INDEX('Margin Guidence Table'!$A$1:$AG$10000,MATCH(1,('Margin Guidence Table'!$A$1:$A$10000=$CG27)*('Margin Guidence Table'!$I$1:$I$10000&lt;=ROUND($BY$3,0))*('Margin Guidence Table'!$J$1:$J$10000&gt;=ROUND($BY$3,0)),0),MATCH("DATA_POINTS",'Margin Guidence Table'!$A$1:$AG$1,0)),0)</f>
        <v>0</v>
      </c>
      <c r="CI27" s="1050" t="str">
        <f t="shared" si="29"/>
        <v>DEFAULT</v>
      </c>
      <c r="CJ27" s="1050">
        <f t="array" ref="CJ27">IFERROR(IF($CI27="SEGMENT",INDEX('Margin Guidence Table'!$A$1:$AG$10000,MATCH(1,('Margin Guidence Table'!$A$1:$A$10000=$CG27)*('Margin Guidence Table'!$I$1:$I$10000&lt;=ROUND($BY$3,0))*('Margin Guidence Table'!$J$1:$J$10000&gt;=ROUND($BY$3,0)),0),MATCH("SALES_CASE",'Margin Guidence Table'!$A$1:$AG$1,0)),INDEX('Margin Guidence Table'!$A$1:$AG$10000,MATCH(1,('Margin Guidence Table'!$A$1:$A$10000=$CG27)*('Margin Guidence Table'!$I$1:$I$10000&lt;=ROUND($BY$3,0))*('Margin Guidence Table'!$J$1:$J$10000&gt;=ROUND($BY$3,0)),0),MATCH("DEFAULT_SALES_CASE",'Margin Guidence Table'!$A$1:$AG$1,0))),0)</f>
        <v>0</v>
      </c>
      <c r="CK27" s="1050">
        <f t="array" ref="CK27">IFERROR(IF($CI27="SEGMENT",INDEX('Margin Guidence Table'!$A$1:$AG$10000,MATCH(1,('Margin Guidence Table'!$A$1:$A$10000=$CG27)*('Margin Guidence Table'!$I$1:$I$10000&lt;=ROUND($BY$3,0))*('Margin Guidence Table'!$J$1:$J$10000&gt;=ROUND($BY$3,0)),0),MATCH("SALES_LBS",'Margin Guidence Table'!$A$1:$AG$1,0)),INDEX('Margin Guidence Table'!$A$1:$AG$10000,MATCH(1,('Margin Guidence Table'!$A$1:$A$10000=$CG27)*('Margin Guidence Table'!$I$1:$I$10000&lt;=ROUND($BY$3,0))*('Margin Guidence Table'!$J$1:$J$10000&gt;=ROUND($BY$3,0)),0),MATCH("DEFAULT_SALES_LBS",'Margin Guidence Table'!$A$1:$AG$1,0))),0)</f>
        <v>0</v>
      </c>
      <c r="CL27" s="1054">
        <f t="array" ref="CL27">IFERROR(IF($CI27="SEGMENT",INDEX('Margin Guidence Table'!$A$1:$AG$10000,MATCH(1,('Margin Guidence Table'!$A$1:$A$10000=$CG27)*('Margin Guidence Table'!$I$1:$I$10000&lt;=ROUND($BY$3,0))*('Margin Guidence Table'!$J$1:$J$10000&gt;=ROUND($BY$3,0)),0),MATCH("MDA_MIN_MARGIN_GUIDENCE",'Margin Guidence Table'!$A$1:$AG$1,0)),INDEX('Margin Guidence Table'!$A$1:$AG$10000,MATCH(1,('Margin Guidence Table'!$A$1:$A$10000=$CG27)*('Margin Guidence Table'!$I$1:$I$10000&lt;=ROUND($BY$3,0))*('Margin Guidence Table'!$J$1:$J$10000&gt;=ROUND($BY$3,0)),0),MATCH("DEFAULT_MDA_MIN_MARGIN_GUIDENCE",'Margin Guidence Table'!$A$1:$AG$1,0))),0)</f>
        <v>0</v>
      </c>
      <c r="CM27" s="1054">
        <f t="array" ref="CM27">IFERROR(IF($CI27="SEGMENT",INDEX('Margin Guidence Table'!$A$1:$AG$10000,MATCH(1,('Margin Guidence Table'!$A$1:$A$10000=$CG27)*('Margin Guidence Table'!$I$1:$I$10000&lt;=ROUND($BY$3,0))*('Margin Guidence Table'!$J$1:$J$10000&gt;=ROUND($BY$3,0)),0),MATCH("MDA_MEDIAN_MARGIN_GUIDENCE",'Margin Guidence Table'!$A$1:$AG$1,0)),INDEX('Margin Guidence Table'!$A$1:$AG$10000,MATCH(1,('Margin Guidence Table'!$A$1:$A$10000=$CG27)*('Margin Guidence Table'!$I$1:$I$10000&lt;=ROUND($BY$3,0))*('Margin Guidence Table'!$J$1:$J$10000&gt;=ROUND($BY$3,0)),0),MATCH("DEFAULT_MDA_MEDIAN_MARGIN_GUIDENCE",'Margin Guidence Table'!$A$1:$AG$1,0))),0)</f>
        <v>0</v>
      </c>
      <c r="CN27" s="1054">
        <f t="array" ref="CN27">IFERROR(IF($CI27="SEGMENT",INDEX('Margin Guidence Table'!$A$1:$AG$10000,MATCH(1,('Margin Guidence Table'!$A$1:$A$10000=$CG27)*('Margin Guidence Table'!$I$1:$I$10000&lt;=ROUND($BY$3,0))*('Margin Guidence Table'!$J$1:$J$10000&gt;=ROUND($BY$3,0)),0),MATCH("MDA_MAX_MARGIN_GUIDENCE",'Margin Guidence Table'!$A$1:$AG$1,0)),INDEX('Margin Guidence Table'!$A$1:$AG$10000,MATCH(1,('Margin Guidence Table'!$A$1:$A$10000=$CG27)*('Margin Guidence Table'!$I$1:$I$10000&lt;=ROUND($BY$3,0))*('Margin Guidence Table'!$J$1:$J$10000&gt;=ROUND($BY$3,0)),0),MATCH("DEFAULT_MDA_MAX_MARGIN_GUIDENCE",'Margin Guidence Table'!$A$1:$AG$1,0))),0)</f>
        <v>0</v>
      </c>
      <c r="CO27" s="1054">
        <f t="array" ref="CO27">IFERROR(IF($CI27="SEGMENT",INDEX('Margin Guidence Table'!$A$1:$AG$10000,MATCH(1,('Margin Guidence Table'!$A$1:$A$10000=$CG27)*('Margin Guidence Table'!$I$1:$I$10000&lt;=ROUND($BY$3,0))*('Margin Guidence Table'!$J$1:$J$10000&gt;=ROUND($BY$3,0)),0),MATCH("PA_PCT_SALES",'Margin Guidence Table'!$A$1:$AG$1,0)),INDEX('Margin Guidence Table'!$A$1:$AG$10000,MATCH(1,('Margin Guidence Table'!$A$1:$A$10000=$CG27)*('Margin Guidence Table'!$I$1:$I$10000&lt;=ROUND($BY$3,0))*('Margin Guidence Table'!$J$1:$J$10000&gt;=ROUND($BY$3,0)),0),MATCH("DEFAULT_PA_PCT_SALES",'Margin Guidence Table'!$A$1:$AG$1,0))),0)</f>
        <v>0</v>
      </c>
      <c r="CP27" s="1054">
        <f t="array" ref="CP27">IFERROR(IF($CI27="SEGMENT",INDEX('Margin Guidence Table'!$A$1:$AG$10000,MATCH(1,('Margin Guidence Table'!$A$1:$A$10000=$CG27)*('Margin Guidence Table'!$I$1:$I$10000&lt;=ROUND($BY$3,0))*('Margin Guidence Table'!$J$1:$J$10000&gt;=ROUND($BY$3,0)),0),MATCH("SELF_FUND_PCT_SALES",'Margin Guidence Table'!$A$1:$AG$1,0)),INDEX('Margin Guidence Table'!$A$1:$AG$10000,MATCH(1,('Margin Guidence Table'!$A$1:$A$10000=$CG27)*('Margin Guidence Table'!$I$1:$I$10000&lt;=ROUND($BY$3,0))*('Margin Guidence Table'!$J$1:$J$10000&gt;=ROUND($BY$3,0)),0),MATCH("DEFAULT_SELF_FUND_PCT_SALES",'Margin Guidence Table'!$A$1:$AG$1,0))),0)</f>
        <v>0</v>
      </c>
      <c r="CQ27" s="1054">
        <f t="array" ref="CQ27">IFERROR(IF($CI27="SEGMENT",INDEX('Margin Guidence Table'!$A$1:$AG$10000,MATCH(1,('Margin Guidence Table'!$A$1:$A$10000=$CG27)*('Margin Guidence Table'!$I$1:$I$10000&lt;=ROUND($BY$3,0))*('Margin Guidence Table'!$J$1:$J$10000&gt;=ROUND($BY$3,0)),0),MATCH("CIA_MEDIAN_MARGIN_GUIDENCE",'Margin Guidence Table'!$A$1:$AG$1,0)),INDEX('Margin Guidence Table'!$A$1:$AG$10000,MATCH(1,('Margin Guidence Table'!$A$1:$A$10000=$CG27)*('Margin Guidence Table'!$I$1:$I$10000&lt;=ROUND($BY$3,0))*('Margin Guidence Table'!$J$1:$J$10000&gt;=ROUND($BY$3,0)),0),MATCH("DEFAULT_CIA_MEDIAN_MARGIN_GUIDENCE",'Margin Guidence Table'!$A$1:$AG$1,0))),0)</f>
        <v>0</v>
      </c>
      <c r="CR27" s="127"/>
      <c r="CS27" s="18">
        <f t="array" ref="CS27">IFERROR(IF($DF27="SEGMENT",INDEX('Margin Guidence Table'!$A$1:$AG$10000,MATCH(1,('Margin Guidence Table'!$A$1:$A$10000=$DD27)*('Margin Guidence Table'!$I$1:$I$10000&lt;=ROUND($CV$3,0))*('Margin Guidence Table'!$J$1:$J$10000&gt;=ROUND($CV$3,0)),0),MATCH("PCT_SALES",'Margin Guidence Table'!$A$1:$AG$1,0)),INDEX('Margin Guidence Table'!$A$1:$AG$10000,MATCH(1,('Margin Guidence Table'!$A$1:$A$10000=$DD27)*('Margin Guidence Table'!$I$1:$I$10000&lt;=ROUND($CV$3,0))*('Margin Guidence Table'!$J$1:$J$10000&gt;=ROUND($CV$3,0)),0),MATCH("DEFAULT_PCT_SALES",'Margin Guidence Table'!$A$1:$AG$1,0))),0)</f>
        <v>0</v>
      </c>
      <c r="CT27" s="370" t="e">
        <f t="shared" si="30"/>
        <v>#DIV/0!</v>
      </c>
      <c r="CU27" s="100" t="s">
        <v>92</v>
      </c>
      <c r="CV27" s="92">
        <f>IFERROR(IF(AND($CV$2&lt;&gt;"Enter Spend&gt;&gt;&gt;",CW15="EXISTING"),SUMIFS('Existing Customers'!$Q:$Q,'Existing Customers'!$A:$A,$CV$1,'Existing Customers'!$H:$H,$CU27)*$CV$4,$CV$3*$CT27),0)</f>
        <v>0</v>
      </c>
      <c r="CW27" s="87">
        <f>IFERROR(IF(AND($CV$2&lt;&gt;"Enter Spend&gt;&gt;&gt;",CW2="EXISTING"),SUMIFS('Existing Customers'!$N:$N,'Existing Customers'!$A:$A,$CV$1,'Existing Customers'!$H:$H,$CU27)*$CV$4,$CV27/$DG27),0)</f>
        <v>0</v>
      </c>
      <c r="CX27" s="93">
        <f>IFERROR(IF(AND($CV$2&lt;&gt;"Enter Spend&gt;&gt;&gt;",BC28="EXISTING"),SUMIFS('Existing Customers'!$O:$O,'Existing Customers'!$H:$H,$CU27,'Existing Customers'!$A:$A,$CV$1)*$CV$4,$CW27*$CV$8),0)</f>
        <v>0</v>
      </c>
      <c r="CY27" s="93">
        <f>IFERROR(IF(AND($CV$2&lt;&gt;"Enter Spend&gt;&gt;&gt;",CW2="EXISTING"),SUMIFS('Existing Customers'!$P:$P,'Existing Customers'!$A:$A,$CV$1,'Existing Customers'!$H:$H,$CU27)*$CV$4,$CV27/$DH27),0)</f>
        <v>0</v>
      </c>
      <c r="CZ27" s="94">
        <f>IFERROR(IF(AND($CV$2&lt;&gt;"Enter Spend&gt;&gt;&gt;",CW2="EXISTING"),SUMIFS('Existing Customers'!$V:$V,'Existing Customers'!$H:$H,$CU27,'Existing Customers'!$A:$A,$CV$1)*$CV$4,0),0)</f>
        <v>0</v>
      </c>
      <c r="DA27" s="94">
        <f>IFERROR(IF(AND($CV$2&lt;&gt;"Enter Spend&gt;&gt;&gt;",CW2="EXISTING"),SUMIFS('Existing Customers'!$R:$R,'Existing Customers'!$H:$H,$BA27,'Existing Customers'!$A:$A,$CV$1)*$CV$4,0),0)</f>
        <v>0</v>
      </c>
      <c r="DB27" s="1050">
        <f>IFERROR(IF(AND($CV$2&lt;&gt;"Enter Spend&gt;&gt;&gt;",CW2="EXISTING"),SUMIFS('Existing Customers'!$S:$S,'Existing Customers'!$H:$H,$CU27,'Existing Customers'!$A:$A,$CV$1),DL27*CV27),0)</f>
        <v>0</v>
      </c>
      <c r="DC27" s="1050">
        <f>IFERROR(IF(AND($CV$2&lt;&gt;"Enter Spend&gt;&gt;&gt;",CW2="EXISTING"),SUMIFS('Existing Customers'!$U:$U,'Existing Customers'!$H:$H,$CU27,'Existing Customers'!$A:$A,$CV$1),DM27*CV27),0)</f>
        <v>0</v>
      </c>
      <c r="DD27" s="1053" t="e">
        <f>_xlfn.CONCAT('Customer Inputs'!$AG$8,"_",CU27)</f>
        <v>#N/A</v>
      </c>
      <c r="DE27" s="1053">
        <f t="array" ref="DE27">IFERROR(INDEX('Margin Guidence Table'!$A$1:$AG$10000,MATCH(1,('Margin Guidence Table'!$A$1:$A$10000=DD27)*('Margin Guidence Table'!$I$1:$I$10000&lt;=ROUND($CV$3,0))*('Margin Guidence Table'!$J$1:$J$10000&gt;=ROUND($CV$3,0)),0),MATCH("DATA_POINTS",'Margin Guidence Table'!$A$1:$AG$1,0)),0)</f>
        <v>0</v>
      </c>
      <c r="DF27" s="1050" t="str">
        <f t="shared" si="31"/>
        <v>DEFAULT</v>
      </c>
      <c r="DG27" s="1050">
        <f t="array" ref="DG27">IFERROR(IF($DF27="SEGMENT",INDEX('Margin Guidence Table'!$A$1:$AG$10000,MATCH(1,('Margin Guidence Table'!$A$1:$A$10000=DD27)*('Margin Guidence Table'!$I$1:$I$10000&lt;=ROUND($CV$3,0))*('Margin Guidence Table'!$J$1:$J$10000&gt;=ROUND($CV$3,0)),0),MATCH("SALES_CASE",'Margin Guidence Table'!$A$1:$AG$1,0)),INDEX('Margin Guidence Table'!$A$1:$AG$10000,MATCH(1,('Margin Guidence Table'!$A$1:$A$10000=DD27)*('Margin Guidence Table'!$I$1:$I$10000&lt;=ROUND($CV$3,0))*('Margin Guidence Table'!$J$1:$J$10000&gt;=ROUND($CV$3,0)),0),MATCH("DEFAULT_SALES_CASE",'Margin Guidence Table'!$A$1:$AG$1,0))),0)</f>
        <v>0</v>
      </c>
      <c r="DH27" s="1050">
        <f t="array" ref="DH27">IFERROR(IF($DF27="SEGMENT",INDEX('Margin Guidence Table'!$A$1:$AG$10000,MATCH(1,('Margin Guidence Table'!$A$1:$A$10000=DD27)*('Margin Guidence Table'!$I$1:$I$10000&lt;=ROUND($CV$3,0))*('Margin Guidence Table'!$J$1:$J$10000&gt;=ROUND($CV$3,0)),0),MATCH("SALES_LBS",'Margin Guidence Table'!$A$1:$AG$1,0)),INDEX('Margin Guidence Table'!$A$1:$AG$10000,MATCH(1,('Margin Guidence Table'!$A$1:$A$10000=DD27)*('Margin Guidence Table'!$I$1:$I$10000&lt;=ROUND($CV$3,0))*('Margin Guidence Table'!$J$1:$J$10000&gt;=ROUND($CV$3,0)),0),MATCH("DEFAULT_SALES_LBS",'Margin Guidence Table'!$A$1:$AG$1,0))),0)</f>
        <v>0</v>
      </c>
      <c r="DI27" s="1054">
        <f t="array" ref="DI27">IFERROR(IF($DF27="SEGMENT",INDEX('Margin Guidence Table'!$A$1:$AG$10000,MATCH(1,('Margin Guidence Table'!$A$1:$A$10000=DD27)*('Margin Guidence Table'!$I$1:$I$10000&lt;=ROUND($CV$3,0))*('Margin Guidence Table'!$J$1:$J$10000&gt;=ROUND($CV$3,0)),0),MATCH("MDA_MIN_MARGIN_GUIDENCE",'Margin Guidence Table'!$A$1:$AG$1,0)),INDEX('Margin Guidence Table'!$A$1:$AG$10000,MATCH(1,('Margin Guidence Table'!$A$1:$A$10000=DD27)*('Margin Guidence Table'!$I$1:$I$10000&lt;=ROUND($CV$3,0))*('Margin Guidence Table'!$J$1:$J$10000&gt;=ROUND($CV$3,0)),0),MATCH("DEFAULT_MDA_MIN_MARGIN_GUIDENCE",'Margin Guidence Table'!$A$1:$AG$1,0))),0)</f>
        <v>0</v>
      </c>
      <c r="DJ27" s="1054">
        <f t="array" ref="DJ27">IFERROR(IF($DF27="SEGMENT",INDEX('Margin Guidence Table'!$A$1:$AG$10000,MATCH(1,('Margin Guidence Table'!$A$1:$A$10000=DD27)*('Margin Guidence Table'!$I$1:$I$10000&lt;=ROUND($CV$3,0))*('Margin Guidence Table'!$J$1:$J$10000&gt;=ROUND($CV$3,0)),0),MATCH("MDA_MEDIAN_MARGIN_GUIDENCE",'Margin Guidence Table'!$A$1:$AG$1,0)),INDEX('Margin Guidence Table'!$A$1:$AG$10000,MATCH(1,('Margin Guidence Table'!$A$1:$A$10000=DD27)*('Margin Guidence Table'!$I$1:$I$10000&lt;=ROUND($CV$3,0))*('Margin Guidence Table'!$J$1:$J$10000&gt;=ROUND($CV$3,0)),0),MATCH("DEFAULT_MDA_MEDIAN_MARGIN_GUIDENCE",'Margin Guidence Table'!$A$1:$AG$1,0))),0)</f>
        <v>0</v>
      </c>
      <c r="DK27" s="1054">
        <f t="array" ref="DK27">IFERROR(IF($DF27="SEGMENT",INDEX('Margin Guidence Table'!$A$1:$AG$10000,MATCH(1,('Margin Guidence Table'!$A$1:$A$10000=DD27)*('Margin Guidence Table'!$I$1:$I$10000&lt;=ROUND($CV$3,0))*('Margin Guidence Table'!$J$1:$J$10000&gt;=ROUND($CV$3,0)),0),MATCH("MDA_MAX_MARGIN_GUIDENCE",'Margin Guidence Table'!$A$1:$AG$1,0)),INDEX('Margin Guidence Table'!$A$1:$AG$10000,MATCH(1,('Margin Guidence Table'!$A$1:$A$10000=DD27)*('Margin Guidence Table'!$I$1:$I$10000&lt;=ROUND($CV$3,0))*('Margin Guidence Table'!$J$1:$J$10000&gt;=ROUND($CV$3,0)),0),MATCH("DEFAULT_MDA_MAX_MARGIN_GUIDENCE",'Margin Guidence Table'!$A$1:$AG$1,0))),0)</f>
        <v>0</v>
      </c>
      <c r="DL27" s="1054">
        <f t="array" ref="DL27">IFERROR(IF($DF27="SEGMENT",INDEX('Margin Guidence Table'!$A$1:$AG$10000,MATCH(1,('Margin Guidence Table'!$A$1:$A$10000=DD27)*('Margin Guidence Table'!$I$1:$I$10000&lt;=ROUND($CV$3,0))*('Margin Guidence Table'!$J$1:$J$10000&gt;=ROUND($CV$3,0)),0),MATCH("PA_PCT_SALES",'Margin Guidence Table'!$A$1:$AG$1,0)),INDEX('Margin Guidence Table'!$A$1:$AG$10000,MATCH(1,('Margin Guidence Table'!$A$1:$A$10000=DD27)*('Margin Guidence Table'!$I$1:$I$10000&lt;=ROUND($CV$3,0))*('Margin Guidence Table'!$J$1:$J$10000&gt;=ROUND($CV$3,0)),0),MATCH("DEFAULT_PA_PCT_SALES",'Margin Guidence Table'!$A$1:$AG$1,0))),0)</f>
        <v>0</v>
      </c>
      <c r="DM27" s="1054">
        <f t="array" ref="DM27">IFERROR(IF($DF27="SEGMENT",INDEX('Margin Guidence Table'!$A$1:$AG$10000,MATCH(1,('Margin Guidence Table'!$A$1:$A$10000=DD27)*('Margin Guidence Table'!$I$1:$I$10000&lt;=ROUND($CV$3,0))*('Margin Guidence Table'!$J$1:$J$10000&gt;=ROUND($CV$3,0)),0),MATCH("SELF_FUND_PCT_SALES",'Margin Guidence Table'!$A$1:$AG$1,0)),INDEX('Margin Guidence Table'!$A$1:$AG$10000,MATCH(1,('Margin Guidence Table'!$A$1:$A$10000=DD27)*('Margin Guidence Table'!$I$1:$I$10000&lt;=ROUND($CV$3,0))*('Margin Guidence Table'!$J$1:$J$10000&gt;=ROUND($CV$3,0)),0),MATCH("DEFAULT_SELF_FUND_PCT_SALES",'Margin Guidence Table'!$A$1:$AG$1,0))),0)</f>
        <v>0</v>
      </c>
      <c r="DN27" s="1054">
        <f t="array" ref="DN27">IFERROR(IF($DF27="SEGMENT",INDEX('Margin Guidence Table'!$A$1:$AG$10000,MATCH(1,('Margin Guidence Table'!$A$1:$A$10000=DD27)*('Margin Guidence Table'!$I$1:$I$10000&lt;=ROUND($CV$3,0))*('Margin Guidence Table'!$J$1:$J$10000&gt;=ROUND($CV$3,0)),0),MATCH("CIA_MEDIAN_MARGIN_GUIDENCE",'Margin Guidence Table'!$A$1:$AG$1,0)),INDEX('Margin Guidence Table'!$A$1:$AG$10000,MATCH(1,('Margin Guidence Table'!$A$1:$A$10000=DD27)*('Margin Guidence Table'!$I$1:$I$10000&lt;=ROUND($CV$3,0))*('Margin Guidence Table'!$J$1:$J$10000&gt;=ROUND($CV$3,0)),0),MATCH("DEFAULT_CIA_MEDIAN_MARGIN_GUIDENCE",'Margin Guidence Table'!$A$1:$AG$1,0))),0)</f>
        <v>0</v>
      </c>
      <c r="DO27" s="127"/>
      <c r="DP27" s="18">
        <f t="array" ref="DP27">IFERROR(IF($EC27="SEGMENT",INDEX('Margin Guidence Table'!$A$1:$AG$10000,MATCH(1,('Margin Guidence Table'!$A$1:$A$10000=$EA27)*('Margin Guidence Table'!$I$1:$I$10000&lt;=ROUND($DS$3,0))*('Margin Guidence Table'!$J$1:$J$10000&gt;=ROUND($DS$3,0)),0),MATCH("PCT_SALES",'Margin Guidence Table'!$A$1:$AG$1,0)),INDEX('Margin Guidence Table'!$A$1:$AG$10000,MATCH(1,('Margin Guidence Table'!$A$1:$A$10000=$EA27)*('Margin Guidence Table'!$I$1:$I$10000&lt;=ROUND($DS$3,0))*('Margin Guidence Table'!$J$1:$J$10000&gt;=ROUND($DS$3,0)),0),MATCH("DEFAULT_PCT_SALES",'Margin Guidence Table'!$A$1:$AG$1,0))),0)</f>
        <v>0</v>
      </c>
      <c r="DQ27" s="370" t="e">
        <f t="shared" si="32"/>
        <v>#DIV/0!</v>
      </c>
      <c r="DR27" s="100" t="s">
        <v>92</v>
      </c>
      <c r="DS27" s="92">
        <f>IFERROR(IF(AND($DS$2&lt;&gt;"Enter Spend&gt;&gt;&gt;",DT15="EXISTING"),SUMIFS('Existing Customers'!$Q:$Q,'Existing Customers'!$A:$A,$DS$1,'Existing Customers'!$H:$H,$DR27)*$DS$4,$DS$3*$DQ27),0)</f>
        <v>0</v>
      </c>
      <c r="DT27" s="87">
        <f>IFERROR(IF(AND($DS$2&lt;&gt;"Enter Spend&gt;&gt;&gt;",DT2="EXISTING"),SUMIFS('Existing Customers'!$N:$N,'Existing Customers'!$A:$A,$DS$1,'Existing Customers'!$H:$H,$DR27)*$DS$4,$DS27/$ED27),0)</f>
        <v>0</v>
      </c>
      <c r="DU27" s="93">
        <f>IFERROR(IF(AND($DS$2&lt;&gt;"Enter Spend&gt;&gt;&gt;",DT2="EXISTING"),SUMIFS('Existing Customers'!$O:$O,'Existing Customers'!$H:$H,$DR27,'Existing Customers'!$A:$A,$DS$1)*$DS$4,$DT27*$DS$8),0)</f>
        <v>0</v>
      </c>
      <c r="DV27" s="93">
        <f>IFERROR(IF(AND($DS$2&lt;&gt;"Enter Spend&gt;&gt;&gt;",DT2="EXISTING"),SUMIFS('Existing Customers'!$P:$P,'Existing Customers'!$A:$A,$DS$1,'Existing Customers'!$H:$H,$DR27)*$DS$4,$DS27/$EE27),0)</f>
        <v>0</v>
      </c>
      <c r="DW27" s="94">
        <f>IFERROR(IF(AND($DS$2&lt;&gt;"Enter Spend&gt;&gt;&gt;",EQ2="EXISTING"),SUMIFS('Existing Customers'!$V:$V,'Existing Customers'!$H:$H,$DR27,'Existing Customers'!$A:$A,$DS$1)*$DS$4,0),0)</f>
        <v>0</v>
      </c>
      <c r="DX27" s="94">
        <f>IFERROR(IF(AND($DS$2&lt;&gt;"Enter Spend&gt;&gt;&gt;",DT2="EXISTING"),SUMIFS('Existing Customers'!$R:$R,'Existing Customers'!$H:$H,$DR27,'Existing Customers'!$A:$A,$DS$1)*$DS$4,0),0)</f>
        <v>0</v>
      </c>
      <c r="DY27" s="1050">
        <f>IFERROR(IF(AND($DS$2&lt;&gt;"Enter Spend&gt;&gt;&gt;",DT2="EXISTING"),SUMIFS('Existing Customers'!$S:$S,'Existing Customers'!$H:$H,$DT27,'Existing Customers'!$A:$A,$DS$1),EI27*DS27),0)</f>
        <v>0</v>
      </c>
      <c r="DZ27" s="1050">
        <f>IFERROR(IF(AND($DS$2&lt;&gt;"Enter Spend&gt;&gt;&gt;",DT2="EXISTING"),SUMIFS('Existing Customers'!$U:$U,'Existing Customers'!$H:$H,$DR27,'Existing Customers'!$A:$A,$DS$1),EJ27*DS27),0)</f>
        <v>0</v>
      </c>
      <c r="EA27" s="1053" t="e">
        <f>_xlfn.CONCAT('Customer Inputs'!$AG$9,"_",DR27)</f>
        <v>#N/A</v>
      </c>
      <c r="EB27" s="1053">
        <f t="array" ref="EB27">IFERROR(INDEX('Margin Guidence Table'!$A$1:$AG$10000,MATCH(1,('Margin Guidence Table'!$A$1:$A$10000=EA27)*('Margin Guidence Table'!$I$1:$I$10000&lt;=ROUND($DS$3,0))*('Margin Guidence Table'!$J$1:$J$10000&gt;=ROUND($DS$3,0)),0),MATCH("DATA_POINTS",'Margin Guidence Table'!$A$1:$AG$1,0)),0)</f>
        <v>0</v>
      </c>
      <c r="EC27" s="1050" t="str">
        <f t="shared" si="33"/>
        <v>DEFAULT</v>
      </c>
      <c r="ED27" s="1050">
        <f t="array" ref="ED27">IFERROR(IF($EC27="SEGMENT",INDEX('Margin Guidence Table'!$A$1:$AG$10000,MATCH(1,('Margin Guidence Table'!$A$1:$A$10000=EA27)*('Margin Guidence Table'!$I$1:$I$10000&lt;=ROUND($DS$3,0))*('Margin Guidence Table'!$J$1:$J$10000&gt;=ROUND($DS$3,0)),0),MATCH("SALES_CASE",'Margin Guidence Table'!$A$1:$AG$1,0)),INDEX('Margin Guidence Table'!$A$1:$AG$10000,MATCH(1,('Margin Guidence Table'!$A$1:$A$10000=EA27)*('Margin Guidence Table'!$I$1:$I$10000&lt;=ROUND($DS$3,0))*('Margin Guidence Table'!$J$1:$J$10000&gt;=ROUND($DS$3,0)),0),MATCH("DEFAULT_SALES_CASE",'Margin Guidence Table'!$A$1:$AG$1,0))),0)</f>
        <v>0</v>
      </c>
      <c r="EE27" s="1050">
        <f t="array" ref="EE27">IFERROR(IF($EC27="SEGMENT",INDEX('Margin Guidence Table'!$A$1:$AG$10000,MATCH(1,('Margin Guidence Table'!$A$1:$A$10000=EA27)*('Margin Guidence Table'!$I$1:$I$10000&lt;=ROUND($DS$3,0))*('Margin Guidence Table'!$J$1:$J$10000&gt;=ROUND($DS$3,0)),0),MATCH("SALES_LBS",'Margin Guidence Table'!$A$1:$AG$1,0)),INDEX('Margin Guidence Table'!$A$1:$AG$10000,MATCH(1,('Margin Guidence Table'!$A$1:$A$10000=EA27)*('Margin Guidence Table'!$I$1:$I$10000&lt;=ROUND($DS$3,0))*('Margin Guidence Table'!$J$1:$J$10000&gt;=ROUND($DS$3,0)),0),MATCH("DEFAULT_SALES_LBS",'Margin Guidence Table'!$A$1:$AG$1,0))),0)</f>
        <v>0</v>
      </c>
      <c r="EF27" s="1054">
        <f t="array" ref="EF27">IFERROR(IF($EC27="SEGMENT",INDEX('Margin Guidence Table'!$A$1:$AG$10000,MATCH(1,('Margin Guidence Table'!$A$1:$A$10000=EA27)*('Margin Guidence Table'!$I$1:$I$10000&lt;=ROUND($DS$3,0))*('Margin Guidence Table'!$J$1:$J$10000&gt;=ROUND($DS$3,0)),0),MATCH("MDA_MIN_MARGIN_GUIDENCE",'Margin Guidence Table'!$A$1:$AG$1,0)),INDEX('Margin Guidence Table'!$A$1:$AG$10000,MATCH(1,('Margin Guidence Table'!$A$1:$A$10000=EA27)*('Margin Guidence Table'!$I$1:$I$10000&lt;=ROUND($DS$3,0))*('Margin Guidence Table'!$J$1:$J$10000&gt;=ROUND($DS$3,0)),0),MATCH("DEFAULT_MDA_MIN_MARGIN_GUIDENCE",'Margin Guidence Table'!$A$1:$AG$1,0))),0)</f>
        <v>0</v>
      </c>
      <c r="EG27" s="1054">
        <f t="array" ref="EG27">IFERROR(IF($EC27="SEGMENT",INDEX('Margin Guidence Table'!$A$1:$AG$10000,MATCH(1,('Margin Guidence Table'!$A$1:$A$10000=EA27)*('Margin Guidence Table'!$I$1:$I$10000&lt;=ROUND($DS$3,0))*('Margin Guidence Table'!$J$1:$J$10000&gt;=ROUND($DS$3,0)),0),MATCH("MDA_MEDIAN_MARGIN_GUIDENCE",'Margin Guidence Table'!$A$1:$AG$1,0)),INDEX('Margin Guidence Table'!$A$1:$AG$10000,MATCH(1,('Margin Guidence Table'!$A$1:$A$10000=EA27)*('Margin Guidence Table'!$I$1:$I$10000&lt;=ROUND($DS$3,0))*('Margin Guidence Table'!$J$1:$J$10000&gt;=ROUND($DS$3,0)),0),MATCH("DEFAULT_MDA_MEDIAN_MARGIN_GUIDENCE",'Margin Guidence Table'!$A$1:$AG$1,0))),0)</f>
        <v>0</v>
      </c>
      <c r="EH27" s="1054">
        <f t="array" ref="EH27">IFERROR(IF($EC27="SEGMENT",INDEX('Margin Guidence Table'!$A$1:$AG$10000,MATCH(1,('Margin Guidence Table'!$A$1:$A$10000=EA27)*('Margin Guidence Table'!$I$1:$I$10000&lt;=ROUND($DS$3,0))*('Margin Guidence Table'!$J$1:$J$10000&gt;=ROUND($DS$3,0)),0),MATCH("MDA_MAX_MARGIN_GUIDENCE",'Margin Guidence Table'!$A$1:$AG$1,0)),INDEX('Margin Guidence Table'!$A$1:$AG$10000,MATCH(1,('Margin Guidence Table'!$A$1:$A$10000=EA27)*('Margin Guidence Table'!$I$1:$I$10000&lt;=ROUND($DS$3,0))*('Margin Guidence Table'!$J$1:$J$10000&gt;=ROUND($DS$3,0)),0),MATCH("DEFAULT_MDA_MAX_MARGIN_GUIDENCE",'Margin Guidence Table'!$A$1:$AG$1,0))),0)</f>
        <v>0</v>
      </c>
      <c r="EI27" s="1054">
        <f t="array" ref="EI27">IFERROR(IF($EC27="SEGMENT",INDEX('Margin Guidence Table'!$A$1:$AG$10000,MATCH(1,('Margin Guidence Table'!$A$1:$A$10000=EA27)*('Margin Guidence Table'!$I$1:$I$10000&lt;=ROUND($DS$3,0))*('Margin Guidence Table'!$J$1:$J$10000&gt;=ROUND($DS$3,0)),0),MATCH("PA_PCT_SALES",'Margin Guidence Table'!$A$1:$AG$1,0)),INDEX('Margin Guidence Table'!$A$1:$AG$10000,MATCH(1,('Margin Guidence Table'!$A$1:$A$10000=EA27)*('Margin Guidence Table'!$I$1:$I$10000&lt;=ROUND($DS$3,0))*('Margin Guidence Table'!$J$1:$J$10000&gt;=ROUND($DS$3,0)),0),MATCH("DEFAULT_PA_PCT_SALES",'Margin Guidence Table'!$A$1:$AG$1,0))),0)</f>
        <v>0</v>
      </c>
      <c r="EJ27" s="1054">
        <f t="array" ref="EJ27">IFERROR(IF($EC27="SEGMENT",INDEX('Margin Guidence Table'!$A$1:$AG$10000,MATCH(1,('Margin Guidence Table'!$A$1:$A$10000=EA27)*('Margin Guidence Table'!$I$1:$I$10000&lt;=ROUND($DS$3,0))*('Margin Guidence Table'!$J$1:$J$10000&gt;=ROUND($DS$3,0)),0),MATCH("SELF_FUND_PCT_SALES",'Margin Guidence Table'!$A$1:$AG$1,0)),INDEX('Margin Guidence Table'!$A$1:$AG$10000,MATCH(1,('Margin Guidence Table'!$A$1:$A$10000=EA27)*('Margin Guidence Table'!$I$1:$I$10000&lt;=ROUND($DS$3,0))*('Margin Guidence Table'!$J$1:$J$10000&gt;=ROUND($DS$3,0)),0),MATCH("DEFAULT_SELF_FUND_PCT_SALES",'Margin Guidence Table'!$A$1:$AG$1,0))),0)</f>
        <v>0</v>
      </c>
      <c r="EK27" s="1054">
        <f t="array" ref="EK27">IFERROR(IF($EC27="SEGMENT",INDEX('Margin Guidence Table'!$A$1:$AG$10000,MATCH(1,('Margin Guidence Table'!$A$1:$A$10000=EA27)*('Margin Guidence Table'!$I$1:$I$10000&lt;=ROUND($DS$3,0))*('Margin Guidence Table'!$J$1:$J$10000&gt;=ROUND($DS$3,0)),0),MATCH("CIA_MEDIAN_MARGIN_GUIDENCE",'Margin Guidence Table'!$A$1:$AG$1,0)),INDEX('Margin Guidence Table'!$A$1:$AG$10000,MATCH(1,('Margin Guidence Table'!$A$1:$A$10000=EA27)*('Margin Guidence Table'!$I$1:$I$10000&lt;=ROUND($DS$3,0))*('Margin Guidence Table'!$J$1:$J$10000&gt;=ROUND($DS$3,0)),0),MATCH("DEFAULT_CIA_MEDIAN_MARGIN_GUIDENCE",'Margin Guidence Table'!$A$1:$AG$1,0))),0)</f>
        <v>0</v>
      </c>
      <c r="EL27" s="127"/>
      <c r="EM27" s="18">
        <f t="array" ref="EM27">IFERROR(IF($EZ27="SEGMENT",INDEX('Margin Guidence Table'!$A$1:$AG$10000,MATCH(1,('Margin Guidence Table'!$A$1:$A$10000=$EX27)*('Margin Guidence Table'!$I$1:$I$10000&lt;=ROUND($EP$3,0))*('Margin Guidence Table'!$J$1:$J$10000&gt;=ROUND($EP$3,0)),0),MATCH("PCT_SALES",'Margin Guidence Table'!$A$1:$AG$1,0)),INDEX('Margin Guidence Table'!$A$1:$AG$10000,MATCH(1,('Margin Guidence Table'!$A$1:$A$10000=$EX27)*('Margin Guidence Table'!$I$1:$I$10000&lt;=ROUND($EP$3,0))*('Margin Guidence Table'!$J$1:$J$10000&gt;=ROUND($EP$3,0)),0),MATCH("DEFAULT_PCT_SALES",'Margin Guidence Table'!$A$1:$AG$1,0))),0)</f>
        <v>0</v>
      </c>
      <c r="EN27" s="370" t="e">
        <f t="shared" si="34"/>
        <v>#DIV/0!</v>
      </c>
      <c r="EO27" s="100" t="s">
        <v>92</v>
      </c>
      <c r="EP27" s="92">
        <f>IFERROR(IF(AND($EP$2&lt;&gt;"Enter Spend&gt;&gt;&gt;",EQ15="EXISTING"),SUMIFS('Existing Customers'!$Q:$Q,'Existing Customers'!$A:$A,$EP$1,'Existing Customers'!$H:$H,$EO27)*$EP$4,$EP$3*$EN27),0)</f>
        <v>0</v>
      </c>
      <c r="EQ27" s="87">
        <f>IFERROR(IF(AND($EP$2&lt;&gt;"Enter Spend&gt;&gt;&gt;",EQ2="EXISTING"),SUMIFS('Existing Customers'!$N:$N,'Existing Customers'!$A:$A,$EP$1,'Existing Customers'!$H:$H,$EO27)*$EP$4,$EP27/$FA27),0)</f>
        <v>0</v>
      </c>
      <c r="ER27" s="93">
        <f>IFERROR(IF(AND($EP$2&lt;&gt;"Enter Spend&gt;&gt;&gt;",EQ2="EXISTING"),SUMIFS('Existing Customers'!$O:$O,'Existing Customers'!$H:$H,$EO27,'Existing Customers'!$A:$A,$EP$1)*$EP$4,$EQ27*$EP$8),0)</f>
        <v>0</v>
      </c>
      <c r="ES27" s="93">
        <f>IFERROR(IF(AND($EP$2&lt;&gt;"Enter Spend&gt;&gt;&gt;",EQ2="EXISTING"),SUMIFS('Existing Customers'!$P:$P,'Existing Customers'!$A:$A,$EP$1,'Existing Customers'!$H:$H,$EO27)*$EP$4,$EP27/$FB27),0)</f>
        <v>0</v>
      </c>
      <c r="ET27" s="94">
        <f>IFERROR(IF(AND($EP$2&lt;&gt;"Enter Spend&gt;&gt;&gt;",EQ2="EXISTING"),SUMIFS('Existing Customers'!$V:$V,'Existing Customers'!$H:$H,$EO27,'Existing Customers'!$A:$A,$EP$1)*$EP$4,0),0)</f>
        <v>0</v>
      </c>
      <c r="EU27" s="94">
        <f>IFERROR(IF(AND($EP$2&lt;&gt;"Enter Spend&gt;&gt;&gt;",EQ2="EXISTING"),SUMIFS('Existing Customers'!$R:$R,'Existing Customers'!$H:$H,$EO27,'Existing Customers'!$A:$A,$EP$1)*$EP$4,0),0)</f>
        <v>0</v>
      </c>
      <c r="EV27" s="1050">
        <f>IFERROR(IF(AND($EP$2&lt;&gt;"Enter Spend&gt;&gt;&gt;",EQ2="EXISTING"),SUMIFS('Existing Customers'!$S:$S,'Existing Customers'!$H:$H,$EO27,'Existing Customers'!$A:$A,$EP$1),FF27*EP27),0)</f>
        <v>0</v>
      </c>
      <c r="EW27" s="1050">
        <f>IFERROR(IF(AND($EP$2&lt;&gt;"Enter Spend&gt;&gt;&gt;",EQ2="EXISTING"),SUMIFS('Existing Customers'!$U:$U,'Existing Customers'!$H:$H,$EO27,'Existing Customers'!$A:$A,$EP$1),FG27*EP27),0)</f>
        <v>0</v>
      </c>
      <c r="EX27" s="1053" t="e">
        <f>_xlfn.CONCAT('Customer Inputs'!$AG$10,"_",EO27)</f>
        <v>#N/A</v>
      </c>
      <c r="EY27" s="1053">
        <f t="array" ref="EY27">IFERROR(INDEX('Margin Guidence Table'!$A$1:$AG$10000,MATCH(1,('Margin Guidence Table'!$A$1:$A$10000=EX27)*('Margin Guidence Table'!$I$1:$I$10000&lt;=ROUND($EP$3,0))*('Margin Guidence Table'!$J$1:$J$10000&gt;=ROUND($EP$3,0)),0),MATCH("DATA_POINTS",'Margin Guidence Table'!$A$1:$AG$1,0)),0)</f>
        <v>0</v>
      </c>
      <c r="EZ27" s="1050" t="str">
        <f t="shared" si="35"/>
        <v>DEFAULT</v>
      </c>
      <c r="FA27" s="1050">
        <f t="array" ref="FA27">IFERROR(IF($EZ27="SEGMENT",INDEX('Margin Guidence Table'!$A$1:$AG$10000,MATCH(1,('Margin Guidence Table'!$A$1:$A$10000=EX27)*('Margin Guidence Table'!$I$1:$I$10000&lt;=ROUND($EP$3,0))*('Margin Guidence Table'!$J$1:$J$10000&gt;=ROUND($EP$3,0)),0),MATCH("SALES_CASE",'Margin Guidence Table'!$A$1:$AG$1,0)),INDEX('Margin Guidence Table'!$A$1:$AG$10000,MATCH(1,('Margin Guidence Table'!$A$1:$A$10000=EX27)*('Margin Guidence Table'!$I$1:$I$10000&lt;=ROUND($EP$3,0))*('Margin Guidence Table'!$J$1:$J$10000&gt;=ROUND($EP$3,0)),0),MATCH("DEFAULT_SALES_CASE",'Margin Guidence Table'!$A$1:$AG$1,0))),0)</f>
        <v>0</v>
      </c>
      <c r="FB27" s="1050" cm="1">
        <f t="array" ref="FB27">IFERROR(IF($EZ27="SEGMENT",INDEX('Margin Guidence Table'!$A$1:$AG$10000,MATCH(1,('Margin Guidence Table'!$A$1:$A$10000=EX27)*('Margin Guidence Table'!$I$1:$I$10000&lt;=ROUND($EP$3,0))*('Margin Guidence Table'!$J$1:$J$10000&gt;=ROUND($EP$3,0)),0),MATCH("SALES_LBS",'Margin Guidence Table'!$A$1:$AG$1,0)),INDEX('Margin Guidence Table'!$A$1:$AG$10000,MATCH(1,('Margin Guidence Table'!$A$1:$A$10000=EX27)*('Margin Guidence Table'!$I$1:$I$10000&lt;=ROUND($EP$3,0))*('Margin Guidence Table'!$J$1:$J$10000&gt;=ROUND($EP$3,0)),0),MATCH("DEFAULT_SALES_LBS",'Margin Guidence Table'!$A$1:$AG$1,0))),0)</f>
        <v>0</v>
      </c>
      <c r="FC27" s="1054">
        <f t="array" ref="FC27">IFERROR(IF($EZ27="SEGMENT",INDEX('Margin Guidence Table'!$A$1:$AG$10000,MATCH(1,('Margin Guidence Table'!$A$1:$A$10000=EX27)*('Margin Guidence Table'!$I$1:$I$10000&lt;=ROUND($EP$3,0))*('Margin Guidence Table'!$J$1:$J$10000&gt;=ROUND($EP$3,0)),0),MATCH("MDA_MIN_MARGIN_GUIDENCE",'Margin Guidence Table'!$A$1:$AG$1,0)),INDEX('Margin Guidence Table'!$A$1:$AG$10000,MATCH(1,('Margin Guidence Table'!$A$1:$A$10000=EX27)*('Margin Guidence Table'!$I$1:$I$10000&lt;=ROUND($EP$3,0))*('Margin Guidence Table'!$J$1:$J$10000&gt;=ROUND($EP$3,0)),0),MATCH("DEFAULT_MDA_MIN_MARGIN_GUIDENCE",'Margin Guidence Table'!$A$1:$AG$1,0))),0)</f>
        <v>0</v>
      </c>
      <c r="FD27" s="1054">
        <f t="array" ref="FD27">IFERROR(IF($EZ27="SEGMENT",INDEX('Margin Guidence Table'!$A$1:$AG$10000,MATCH(1,('Margin Guidence Table'!$A$1:$A$10000=EX27)*('Margin Guidence Table'!$I$1:$I$10000&lt;=ROUND($EP$3,0))*('Margin Guidence Table'!$J$1:$J$10000&gt;=ROUND($EP$3,0)),0),MATCH("MDA_MEDIAN_MARGIN_GUIDENCE",'Margin Guidence Table'!$A$1:$AG$1,0)),INDEX('Margin Guidence Table'!$A$1:$AG$10000,MATCH(1,('Margin Guidence Table'!$A$1:$A$10000=EX27)*('Margin Guidence Table'!$I$1:$I$10000&lt;=ROUND($EP$3,0))*('Margin Guidence Table'!$J$1:$J$10000&gt;=ROUND($EP$3,0)),0),MATCH("DEFAULT_MDA_MEDIAN_MARGIN_GUIDENCE",'Margin Guidence Table'!$A$1:$AG$1,0))),0)</f>
        <v>0</v>
      </c>
      <c r="FE27" s="1054">
        <f t="array" ref="FE27">IFERROR(IF($EZ27="SEGMENT",INDEX('Margin Guidence Table'!$A$1:$AG$10000,MATCH(1,('Margin Guidence Table'!$A$1:$A$10000=EX27)*('Margin Guidence Table'!$I$1:$I$10000&lt;=ROUND($EP$3,0))*('Margin Guidence Table'!$J$1:$J$10000&gt;=ROUND($EP$3,0)),0),MATCH("MDA_MAX_MARGIN_GUIDENCE",'Margin Guidence Table'!$A$1:$AG$1,0)),INDEX('Margin Guidence Table'!$A$1:$AG$10000,MATCH(1,('Margin Guidence Table'!$A$1:$A$10000=EX27)*('Margin Guidence Table'!$I$1:$I$10000&lt;=ROUND($EP$3,0))*('Margin Guidence Table'!$J$1:$J$10000&gt;=ROUND($EP$3,0)),0),MATCH("DEFAULT_MDA_MAX_MARGIN_GUIDENCE",'Margin Guidence Table'!$A$1:$AG$1,0))),0)</f>
        <v>0</v>
      </c>
      <c r="FF27" s="1054">
        <f t="array" ref="FF27">IFERROR(IF($EZ27="SEGMENT",INDEX('Margin Guidence Table'!$A$1:$AG$10000,MATCH(1,('Margin Guidence Table'!$A$1:$A$10000=EX27)*('Margin Guidence Table'!$I$1:$I$10000&lt;=ROUND($EP$3,0))*('Margin Guidence Table'!$J$1:$J$10000&gt;=ROUND($EP$3,0)),0),MATCH("PA_PCT_SALES",'Margin Guidence Table'!$A$1:$AG$1,0)),INDEX('Margin Guidence Table'!$A$1:$AG$10000,MATCH(1,('Margin Guidence Table'!$A$1:$A$10000=EX27)*('Margin Guidence Table'!$I$1:$I$10000&lt;=ROUND($EP$3,0))*('Margin Guidence Table'!$J$1:$J$10000&gt;=ROUND($EP$3,0)),0),MATCH("DEFAULT_PA_PCT_SALES",'Margin Guidence Table'!$A$1:$AG$1,0))),0)</f>
        <v>0</v>
      </c>
      <c r="FG27" s="1054">
        <f t="array" ref="FG27">IFERROR(IF($EZ27="SEGMENT",INDEX('Margin Guidence Table'!$A$1:$AG$10000,MATCH(1,('Margin Guidence Table'!$A$1:$A$10000=EX27)*('Margin Guidence Table'!$I$1:$I$10000&lt;=ROUND($EP$3,0))*('Margin Guidence Table'!$J$1:$J$10000&gt;=ROUND($EP$3,0)),0),MATCH("SELF_FUND_PCT_SALES",'Margin Guidence Table'!$A$1:$AG$1,0)),INDEX('Margin Guidence Table'!$A$1:$AG$10000,MATCH(1,('Margin Guidence Table'!$A$1:$A$10000=EX27)*('Margin Guidence Table'!$I$1:$I$10000&lt;=ROUND($EP$3,0))*('Margin Guidence Table'!$J$1:$J$10000&gt;=ROUND($EP$3,0)),0),MATCH("DEFAULT_SELF_FUND_PCT_SALES",'Margin Guidence Table'!$A$1:$AG$1,0))),0)</f>
        <v>0</v>
      </c>
      <c r="FH27" s="1054">
        <f t="array" ref="FH27">IFERROR(IF($EZ27="SEGMENT",INDEX('Margin Guidence Table'!$A$1:$AG$10000,MATCH(1,('Margin Guidence Table'!$A$1:$A$10000=EX27)*('Margin Guidence Table'!$I$1:$I$10000&lt;=ROUND($EP$3,0))*('Margin Guidence Table'!$J$1:$J$10000&gt;=ROUND($EP$3,0)),0),MATCH("CIA_MEDIAN_MARGIN_GUIDENCE",'Margin Guidence Table'!$A$1:$AG$1,0)),INDEX('Margin Guidence Table'!$A$1:$AG$10000,MATCH(1,('Margin Guidence Table'!$A$1:$A$10000=EX27)*('Margin Guidence Table'!$I$1:$I$10000&lt;=ROUND($EP$3,0))*('Margin Guidence Table'!$J$1:$J$10000&gt;=ROUND($EP$3,0)),0),MATCH("DEFAULT_CIA_MEDIAN_MARGIN_GUIDENCE",'Margin Guidence Table'!$A$1:$AG$1,0))),0)</f>
        <v>0</v>
      </c>
      <c r="FI27" s="127"/>
      <c r="FJ27" s="18">
        <f t="array" ref="FJ27">IFERROR(IF($FW27="SEGMENT",INDEX('Margin Guidence Table'!$A$1:$AG$10000,MATCH(1,('Margin Guidence Table'!$A$1:$A$10000=$FU27)*('Margin Guidence Table'!$I$1:$I$10000&lt;=ROUND($FM$3,0))*('Margin Guidence Table'!$J$1:$J$10000&gt;=ROUND($FM$3,0)),0),MATCH("PCT_SALES",'Margin Guidence Table'!$A$1:$AG$1,0)),INDEX('Margin Guidence Table'!$A$1:$AG$10000,MATCH(1,('Margin Guidence Table'!$A$1:$A$10000=$FU27)*('Margin Guidence Table'!$I$1:$I$10000&lt;=ROUND($FM$3,0))*('Margin Guidence Table'!$J$1:$J$10000&gt;=ROUND($FM$3,0)),0),MATCH("DEFAULT_PCT_SALES",'Margin Guidence Table'!$A$1:$AG$1,0))),0)</f>
        <v>0</v>
      </c>
      <c r="FK27" s="370" t="e">
        <f t="shared" si="36"/>
        <v>#DIV/0!</v>
      </c>
      <c r="FL27" s="100" t="s">
        <v>92</v>
      </c>
      <c r="FM27" s="92">
        <f>IFERROR(IF(AND($FM$2&lt;&gt;"Enter Spend&gt;&gt;&gt;",FN15="EXISTING"),SUMIFS('Existing Customers'!$Q:$Q,'Existing Customers'!$A:$A,$FM$1,'Existing Customers'!$H:$H,$FL27)*$FM$4,$FM$3*$FK27),0)</f>
        <v>0</v>
      </c>
      <c r="FN27" s="87">
        <f>IFERROR(IF(AND($FM$2&lt;&gt;"Enter Spend&gt;&gt;&gt;",FN2="EXISTING"),SUMIFS('Existing Customers'!$N:$N,'Existing Customers'!$A:$A,$FM$1,'Existing Customers'!$H:$H,$FL27)*$FM$4,$FM27/$FX27),0)</f>
        <v>0</v>
      </c>
      <c r="FO27" s="93">
        <f>IFERROR(IF(AND($FM$2&lt;&gt;"Enter Spend&gt;&gt;&gt;",FN2="EXISTING"),SUMIFS('Existing Customers'!$O:$O,'Existing Customers'!$H:$H,$FL27,'Existing Customers'!$A:$A,$FM$1)*$FM$4,$FN27*$FM$8),0)</f>
        <v>0</v>
      </c>
      <c r="FP27" s="93">
        <f>IFERROR(IF(AND($FM$2&lt;&gt;"Enter Spend&gt;&gt;&gt;",FN2="EXISTING"),SUMIFS('Existing Customers'!$P:$P,'Existing Customers'!$A:$A,$FM$1,'Existing Customers'!$H:$H,$FL27)*$FM$4,$FM27/$FY27),0)</f>
        <v>0</v>
      </c>
      <c r="FQ27" s="94">
        <f>IFERROR(IF(AND($FM$2&lt;&gt;"Enter Spend&gt;&gt;&gt;",FN2="EXISTING"),SUMIFS('Existing Customers'!$V:$V,'Existing Customers'!$H:$H,$FL27,'Existing Customers'!$A:$A,$FM$1)*$FM$4,0),0)</f>
        <v>0</v>
      </c>
      <c r="FR27" s="94">
        <f>IFERROR(IF(AND($FM$2&lt;&gt;"Enter Spend&gt;&gt;&gt;",FN2="EXISTING"),SUMIFS('Existing Customers'!$R:$R,'Existing Customers'!$H:$H,$FL27,'Existing Customers'!$A:$A,$FM$1)*$FM$4,0),0)</f>
        <v>0</v>
      </c>
      <c r="FS27" s="1050">
        <f>IFERROR(IF(AND($FM$2&lt;&gt;"Enter Spend&gt;&gt;&gt;",FN2="EXISTING"),SUMIFS('Existing Customers'!$S:$S,'Existing Customers'!$H:$H,$FL27,'Existing Customers'!$A:$A,$FM$1),GC27*FM27),0)</f>
        <v>0</v>
      </c>
      <c r="FT27" s="1050">
        <f>IFERROR(IF(AND($FM$2&lt;&gt;"Enter Spend&gt;&gt;&gt;",FN2="EXISTING"),SUMIFS('Existing Customers'!$U:$U,'Existing Customers'!$H:$H,$FL27,'Existing Customers'!$A:$A,$FM$1),GD27*FM27),0)</f>
        <v>0</v>
      </c>
      <c r="FU27" s="1053" t="e">
        <f>_xlfn.CONCAT('Customer Inputs'!$AG$11,"_",FL27)</f>
        <v>#N/A</v>
      </c>
      <c r="FV27" s="1053">
        <f t="array" ref="FV27">IFERROR(INDEX('Margin Guidence Table'!$A$1:$AG$10000,MATCH(1,('Margin Guidence Table'!$A$1:$A$10000=FU27)*('Margin Guidence Table'!$I$1:$I$10000&lt;=ROUND($FM$3,0))*('Margin Guidence Table'!$J$1:$J$10000&gt;=ROUND($FM$3,0)),0),MATCH("DATA_POINTS",'Margin Guidence Table'!$A$1:$AG$1,0)),0)</f>
        <v>0</v>
      </c>
      <c r="FW27" s="1050" t="str">
        <f t="shared" si="37"/>
        <v>DEFAULT</v>
      </c>
      <c r="FX27" s="1050">
        <f t="array" ref="FX27">IFERROR(IF($FW27="SEGMENT",INDEX('Margin Guidence Table'!$A$1:$AG$10000,MATCH(1,('Margin Guidence Table'!$A$1:$A$10000=FU27)*('Margin Guidence Table'!$I$1:$I$10000&lt;=ROUND($FM$3,0))*('Margin Guidence Table'!$J$1:$J$10000&gt;=ROUND($FM$3,0)),0),MATCH("SALES_CASE",'Margin Guidence Table'!$A$1:$AG$1,0)),INDEX('Margin Guidence Table'!$A$1:$AG$10000,MATCH(1,('Margin Guidence Table'!$A$1:$A$10000=FU27)*('Margin Guidence Table'!$I$1:$I$10000&lt;=ROUND($FM$3,0))*('Margin Guidence Table'!$J$1:$J$10000&gt;=ROUND($FM$3,0)),0),MATCH("DEFAULT_SALES_CASE",'Margin Guidence Table'!$A$1:$AG$1,0))),0)</f>
        <v>0</v>
      </c>
      <c r="FY27" s="1050">
        <f t="array" ref="FY27">IFERROR(IF($FW27="SEGMENT",INDEX('Margin Guidence Table'!$A$1:$AG$10000,MATCH(1,('Margin Guidence Table'!$A$1:$A$10000=FU27)*('Margin Guidence Table'!$I$1:$I$10000&lt;=ROUND($FM$3,0))*('Margin Guidence Table'!$J$1:$J$10000&gt;=ROUND($FM$3,0)),0),MATCH("SALES_LBS",'Margin Guidence Table'!$A$1:$AG$1,0)),INDEX('Margin Guidence Table'!$A$1:$AG$10000,MATCH(1,('Margin Guidence Table'!$A$1:$A$10000=FU27)*('Margin Guidence Table'!$I$1:$I$10000&lt;=ROUND($FM$3,0))*('Margin Guidence Table'!$J$1:$J$10000&gt;=ROUND($FM$3,0)),0),MATCH("DEFAULT_SALES_LBS",'Margin Guidence Table'!$A$1:$AG$1,0))),0)</f>
        <v>0</v>
      </c>
      <c r="FZ27" s="1054">
        <f t="array" ref="FZ27">IFERROR(IF($FW27="SEGMENT",INDEX('Margin Guidence Table'!$A$1:$AG$10000,MATCH(1,('Margin Guidence Table'!$A$1:$A$10000=FU27)*('Margin Guidence Table'!$I$1:$I$10000&lt;=ROUND($FM$3,0))*('Margin Guidence Table'!$J$1:$J$10000&gt;=ROUND($FM$3,0)),0),MATCH("MDA_MIN_MARGIN_GUIDENCE",'Margin Guidence Table'!$A$1:$AG$1,0)),INDEX('Margin Guidence Table'!$A$1:$AG$10000,MATCH(1,('Margin Guidence Table'!$A$1:$A$10000=FU27)*('Margin Guidence Table'!$I$1:$I$10000&lt;=ROUND($FM$3,0))*('Margin Guidence Table'!$J$1:$J$10000&gt;=ROUND($FM$3,0)),0),MATCH("DEFAULT_MDA_MIN_MARGIN_GUIDENCE",'Margin Guidence Table'!$A$1:$AG$1,0))),0)</f>
        <v>0</v>
      </c>
      <c r="GA27" s="1054">
        <f t="array" ref="GA27">IFERROR(IF($FW27="SEGMENT",INDEX('Margin Guidence Table'!$A$1:$AG$10000,MATCH(1,('Margin Guidence Table'!$A$1:$A$10000=FU27)*('Margin Guidence Table'!$I$1:$I$10000&lt;=ROUND($FM$3,0))*('Margin Guidence Table'!$J$1:$J$10000&gt;=ROUND($FM$3,0)),0),MATCH("MDA_MEDIAN_MARGIN_GUIDENCE",'Margin Guidence Table'!$A$1:$AG$1,0)),INDEX('Margin Guidence Table'!$A$1:$AG$10000,MATCH(1,('Margin Guidence Table'!$A$1:$A$10000=FU27)*('Margin Guidence Table'!$I$1:$I$10000&lt;=ROUND($FM$3,0))*('Margin Guidence Table'!$J$1:$J$10000&gt;=ROUND($FM$3,0)),0),MATCH("DEFAULT_MDA_MEDIAN_MARGIN_GUIDENCE",'Margin Guidence Table'!$A$1:$AG$1,0))),0)</f>
        <v>0</v>
      </c>
      <c r="GB27" s="1054">
        <f t="array" ref="GB27">IFERROR(IF($FW27="SEGMENT",INDEX('Margin Guidence Table'!$A$1:$AG$10000,MATCH(1,('Margin Guidence Table'!$A$1:$A$10000=FU27)*('Margin Guidence Table'!$I$1:$I$10000&lt;=ROUND($FM$3,0))*('Margin Guidence Table'!$J$1:$J$10000&gt;=ROUND($FM$3,0)),0),MATCH("MDA_MAX_MARGIN_GUIDENCE",'Margin Guidence Table'!$A$1:$AG$1,0)),INDEX('Margin Guidence Table'!$A$1:$AG$10000,MATCH(1,('Margin Guidence Table'!$A$1:$A$10000=FU27)*('Margin Guidence Table'!$I$1:$I$10000&lt;=ROUND($FM$3,0))*('Margin Guidence Table'!$J$1:$J$10000&gt;=ROUND($FM$3,0)),0),MATCH("DEFAULT_MDA_MAX_MARGIN_GUIDENCE",'Margin Guidence Table'!$A$1:$AG$1,0))),0)</f>
        <v>0</v>
      </c>
      <c r="GC27" s="1054">
        <f t="array" ref="GC27">IFERROR(IF($FW27="SEGMENT",INDEX('Margin Guidence Table'!$A$1:$AG$10000,MATCH(1,('Margin Guidence Table'!$A$1:$A$10000=FU27)*('Margin Guidence Table'!$I$1:$I$10000&lt;=ROUND($FM$3,0))*('Margin Guidence Table'!$J$1:$J$10000&gt;=ROUND($FM$3,0)),0),MATCH("PA_PCT_SALES",'Margin Guidence Table'!$A$1:$AG$1,0)),INDEX('Margin Guidence Table'!$A$1:$AG$10000,MATCH(1,('Margin Guidence Table'!$A$1:$A$10000=FU27)*('Margin Guidence Table'!$I$1:$I$10000&lt;=ROUND($FM$3,0))*('Margin Guidence Table'!$J$1:$J$10000&gt;=ROUND($FM$3,0)),0),MATCH("DEFAULT_PA_PCT_SALES",'Margin Guidence Table'!$A$1:$AG$1,0))),0)</f>
        <v>0</v>
      </c>
      <c r="GD27" s="1054">
        <f t="array" ref="GD27">IFERROR(IF($FW27="SEGMENT",INDEX('Margin Guidence Table'!$A$1:$AG$10000,MATCH(1,('Margin Guidence Table'!$A$1:$A$10000=FU27)*('Margin Guidence Table'!$I$1:$I$10000&lt;=ROUND($FM$3,0))*('Margin Guidence Table'!$J$1:$J$10000&gt;=ROUND($FM$3,0)),0),MATCH("SELF_FUND_PCT_SALES",'Margin Guidence Table'!$A$1:$AG$1,0)),INDEX('Margin Guidence Table'!$A$1:$AG$10000,MATCH(1,('Margin Guidence Table'!$A$1:$A$10000=FU27)*('Margin Guidence Table'!$I$1:$I$10000&lt;=ROUND($FM$3,0))*('Margin Guidence Table'!$J$1:$J$10000&gt;=ROUND($FM$3,0)),0),MATCH("DEFAULT_SELF_FUND_PCT_SALES",'Margin Guidence Table'!$A$1:$AG$1,0))),0)</f>
        <v>0</v>
      </c>
      <c r="GE27" s="1054">
        <f t="array" ref="GE27">IFERROR(IF($FW27="SEGMENT",INDEX('Margin Guidence Table'!$A$1:$AG$10000,MATCH(1,('Margin Guidence Table'!$A$1:$A$10000=FU27)*('Margin Guidence Table'!$I$1:$I$10000&lt;=ROUND($FM$3,0))*('Margin Guidence Table'!$J$1:$J$10000&gt;=ROUND($FM$3,0)),0),MATCH("CIA_MEDIAN_MARGIN_GUIDENCE",'Margin Guidence Table'!$A$1:$AG$1,0)),INDEX('Margin Guidence Table'!$A$1:$AG$10000,MATCH(1,('Margin Guidence Table'!$A$1:$A$10000=FU27)*('Margin Guidence Table'!$I$1:$I$10000&lt;=ROUND($FM$3,0))*('Margin Guidence Table'!$J$1:$J$10000&gt;=ROUND($FM$3,0)),0),MATCH("DEFAULT_CIA_MEDIAN_MARGIN_GUIDENCE",'Margin Guidence Table'!$A$1:$AG$1,0))),0)</f>
        <v>0</v>
      </c>
      <c r="GF27" s="127"/>
      <c r="GG27" s="18">
        <f t="array" ref="GG27">IFERROR(IF($GT27="SEGMENT",INDEX('Margin Guidence Table'!$A$1:$AG$10000,MATCH(1,('Margin Guidence Table'!$A$1:$A$10000=$GR27)*('Margin Guidence Table'!$I$1:$I$10000&lt;=ROUND($GJ$3,0))*('Margin Guidence Table'!$J$1:$J$10000&gt;=ROUND($GJ$3,0)),0),MATCH("PCT_SALES",'Margin Guidence Table'!$A$1:$AG$1,0)),INDEX('Margin Guidence Table'!$A$1:$AG$10000,MATCH(1,('Margin Guidence Table'!$A$1:$A$10000=$GR27)*('Margin Guidence Table'!$I$1:$I$10000&lt;=ROUND($GJ$3,0))*('Margin Guidence Table'!$J$1:$J$10000&gt;=ROUND($GJ$3,0)),0),MATCH("DEFAULT_PCT_SALES",'Margin Guidence Table'!$A$1:$AG$1,0))),0)</f>
        <v>0</v>
      </c>
      <c r="GH27" s="370" t="e">
        <f t="shared" si="38"/>
        <v>#DIV/0!</v>
      </c>
      <c r="GI27" s="100" t="s">
        <v>92</v>
      </c>
      <c r="GJ27" s="92">
        <f>IFERROR(IF(AND($GJ$2&lt;&gt;"Enter Spend&gt;&gt;&gt;",GK15="EXISTING"),SUMIFS('Existing Customers'!$Q:$Q,'Existing Customers'!$A:$A,$GJ$1,'Existing Customers'!$H:$H,$GI27)*$GJ$4,$GJ$3*$GH27),0)</f>
        <v>0</v>
      </c>
      <c r="GK27" s="87">
        <f>IFERROR(IF(AND($GJ$2&lt;&gt;"Enter Spend&gt;&gt;&gt;",GK2="EXISTING"),SUMIFS('Existing Customers'!$N:$N,'Existing Customers'!$A:$A,$GJ$1,'Existing Customers'!$H:$H,$GI27)*$GJ$4,$GJ27/$GU27),0)</f>
        <v>0</v>
      </c>
      <c r="GL27" s="93">
        <f>IFERROR(IF(AND($GJ$2&lt;&gt;"Enter Spend&gt;&gt;&gt;",GK2="EXISTING"),SUMIFS('Existing Customers'!$O:$O,'Existing Customers'!$H:$H,$GI27,'Existing Customers'!$A:$A,$GJ$1)*$GJ$4,$GK27*$GJ$8),0)</f>
        <v>0</v>
      </c>
      <c r="GM27" s="93">
        <f>IFERROR(IF(AND($GJ$2&lt;&gt;"Enter Spend&gt;&gt;&gt;",GK2="EXISTING"),SUMIFS('Existing Customers'!$P:$P,'Existing Customers'!$A:$A,$GJ$1,'Existing Customers'!$H:$H,$GI27)*$GJ$4,$GJ27/$GV27),0)</f>
        <v>0</v>
      </c>
      <c r="GN27" s="94">
        <f>IFERROR(IF(AND($GJ$2&lt;&gt;"Enter Spend&gt;&gt;&gt;",GK2="EXISTING"),SUMIFS('Existing Customers'!$V:$V,'Existing Customers'!$H:$H,$GI27,'Existing Customers'!$A:$A,$GJ$1)*$GJ$4,0),0)</f>
        <v>0</v>
      </c>
      <c r="GO27" s="94">
        <f>IFERROR(IF(AND($GJ$2&lt;&gt;"Enter Spend&gt;&gt;&gt;",GK2="EXISTING"),SUMIFS('Existing Customers'!$R:$R,'Existing Customers'!$H:$H,$GI27,'Existing Customers'!$A:$A,$GJ$1)*$GJ$4,0),0)</f>
        <v>0</v>
      </c>
      <c r="GP27" s="1050">
        <f>IFERROR(IF(AND($GJ$2&lt;&gt;"Enter Spend&gt;&gt;&gt;",GK2="EXISTING"),SUMIFS('Existing Customers'!$S:$S,'Existing Customers'!$H:$H,$GI27,'Existing Customers'!$A:$A,$GJ$1),GZ27*GJ27),0)</f>
        <v>0</v>
      </c>
      <c r="GQ27" s="1050">
        <f>IFERROR(IF(AND($GJ$2&lt;&gt;"Enter Spend&gt;&gt;&gt;",GK2="EXISTING"),SUMIFS('Existing Customers'!$U:$U,'Existing Customers'!$H:$H,$GI27,'Existing Customers'!$A:$A,$GJ$1),HA27*GJ27),0)</f>
        <v>0</v>
      </c>
      <c r="GR27" s="1053" t="e">
        <f>_xlfn.CONCAT('Customer Inputs'!$AG$12,"_",GI27)</f>
        <v>#N/A</v>
      </c>
      <c r="GS27" s="1053">
        <f t="array" ref="GS27">IFERROR(INDEX('Margin Guidence Table'!$A$1:$AG$10000,MATCH(1,('Margin Guidence Table'!$A$1:$A$10000=GR27)*('Margin Guidence Table'!$I$1:$I$10000&lt;=ROUND($GJ$3,0))*('Margin Guidence Table'!$J$1:$J$10000&gt;=ROUND($GJ$3,0)),0),MATCH("DATA_POINTS",'Margin Guidence Table'!$A$1:$AG$1,0)),0)</f>
        <v>0</v>
      </c>
      <c r="GT27" s="1050" t="str">
        <f t="shared" si="39"/>
        <v>DEFAULT</v>
      </c>
      <c r="GU27" s="1050">
        <f t="array" ref="GU27">IFERROR(IF($GT27="SEGMENT",INDEX('Margin Guidence Table'!$A$1:$AG$10000,MATCH(1,('Margin Guidence Table'!$A$1:$A$10000=GR27)*('Margin Guidence Table'!$I$1:$I$10000&lt;=ROUND($GJ$3,0))*('Margin Guidence Table'!$J$1:$J$10000&gt;=ROUND($GJ$3,0)),0),MATCH("SALES_CASE",'Margin Guidence Table'!$A$1:$AG$1,0)),INDEX('Margin Guidence Table'!$A$1:$AG$10000,MATCH(1,('Margin Guidence Table'!$A$1:$A$10000=GR27)*('Margin Guidence Table'!$I$1:$I$10000&lt;=ROUND($GJ$3,0))*('Margin Guidence Table'!$J$1:$J$10000&gt;=ROUND($GJ$3,0)),0),MATCH("DEFAULT_SALES_CASE",'Margin Guidence Table'!$A$1:$AG$1,0))),0)</f>
        <v>0</v>
      </c>
      <c r="GV27" s="1050">
        <f t="array" ref="GV27">IFERROR(IF($GT27="SEGMENT",INDEX('Margin Guidence Table'!$A$1:$AG$10000,MATCH(1,('Margin Guidence Table'!$A$1:$A$10000=GR27)*('Margin Guidence Table'!$I$1:$I$10000&lt;=ROUND($GJ$3,0))*('Margin Guidence Table'!$J$1:$J$10000&gt;=ROUND($GJ$3,0)),0),MATCH("SALES_LBS",'Margin Guidence Table'!$A$1:$AG$1,0)),INDEX('Margin Guidence Table'!$A$1:$AG$10000,MATCH(1,('Margin Guidence Table'!$A$1:$A$10000=GR27)*('Margin Guidence Table'!$I$1:$I$10000&lt;=ROUND($GJ$3,0))*('Margin Guidence Table'!$J$1:$J$10000&gt;=ROUND($GJ$3,0)),0),MATCH("DEFAULT_SALES_LBS",'Margin Guidence Table'!$A$1:$AG$1,0))),0)</f>
        <v>0</v>
      </c>
      <c r="GW27" s="1054">
        <f t="array" ref="GW27">IFERROR(IF($GT27="SEGMENT",INDEX('Margin Guidence Table'!$A$1:$AG$10000,MATCH(1,('Margin Guidence Table'!$A$1:$A$10000=GR27)*('Margin Guidence Table'!$I$1:$I$10000&lt;=ROUND($GJ$3,0))*('Margin Guidence Table'!$J$1:$J$10000&gt;=ROUND($GJ$3,0)),0),MATCH("MDA_MIN_MARGIN_GUIDENCE",'Margin Guidence Table'!$A$1:$AG$1,0)),INDEX('Margin Guidence Table'!$A$1:$AG$10000,MATCH(1,('Margin Guidence Table'!$A$1:$A$10000=GR27)*('Margin Guidence Table'!$I$1:$I$10000&lt;=ROUND($GJ$3,0))*('Margin Guidence Table'!$J$1:$J$10000&gt;=ROUND($GJ$3,0)),0),MATCH("DEFAULT_MDA_MIN_MARGIN_GUIDENCE",'Margin Guidence Table'!$A$1:$AG$1,0))),0)</f>
        <v>0</v>
      </c>
      <c r="GX27" s="1054">
        <f t="array" ref="GX27">IFERROR(IF($GT27="SEGMENT",INDEX('Margin Guidence Table'!$A$1:$AG$10000,MATCH(1,('Margin Guidence Table'!$A$1:$A$10000=GR27)*('Margin Guidence Table'!$I$1:$I$10000&lt;=ROUND($GJ$3,0))*('Margin Guidence Table'!$J$1:$J$10000&gt;=ROUND($GJ$3,0)),0),MATCH("MDA_MEDIAN_MARGIN_GUIDENCE",'Margin Guidence Table'!$A$1:$AG$1,0)),INDEX('Margin Guidence Table'!$A$1:$AG$10000,MATCH(1,('Margin Guidence Table'!$A$1:$A$10000=GR27)*('Margin Guidence Table'!$I$1:$I$10000&lt;=ROUND($GJ$3,0))*('Margin Guidence Table'!$J$1:$J$10000&gt;=ROUND($GJ$3,0)),0),MATCH("DEFAULT_MDA_MEDIAN_MARGIN_GUIDENCE",'Margin Guidence Table'!$A$1:$AG$1,0))),0)</f>
        <v>0</v>
      </c>
      <c r="GY27" s="1054">
        <f t="array" ref="GY27">IFERROR(IF($GT27="SEGMENT",INDEX('Margin Guidence Table'!$A$1:$AG$10000,MATCH(1,('Margin Guidence Table'!$A$1:$A$10000=GR27)*('Margin Guidence Table'!$I$1:$I$10000&lt;=ROUND($GJ$3,0))*('Margin Guidence Table'!$J$1:$J$10000&gt;=ROUND($GJ$3,0)),0),MATCH("MDA_MAX_MARGIN_GUIDENCE",'Margin Guidence Table'!$A$1:$AG$1,0)),INDEX('Margin Guidence Table'!$A$1:$AG$10000,MATCH(1,('Margin Guidence Table'!$A$1:$A$10000=GR27)*('Margin Guidence Table'!$I$1:$I$10000&lt;=ROUND($GJ$3,0))*('Margin Guidence Table'!$J$1:$J$10000&gt;=ROUND($GJ$3,0)),0),MATCH("DEFAULT_MDA_MAX_MARGIN_GUIDENCE",'Margin Guidence Table'!$A$1:$AG$1,0))),0)</f>
        <v>0</v>
      </c>
      <c r="GZ27" s="1054">
        <f t="array" ref="GZ27">IFERROR(IF($GT27="SEGMENT",INDEX('Margin Guidence Table'!$A$1:$AG$10000,MATCH(1,('Margin Guidence Table'!$A$1:$A$10000=GR27)*('Margin Guidence Table'!$I$1:$I$10000&lt;=ROUND($GJ$3,0))*('Margin Guidence Table'!$J$1:$J$10000&gt;=ROUND($GJ$3,0)),0),MATCH("PA_PCT_SALES",'Margin Guidence Table'!$A$1:$AG$1,0)),INDEX('Margin Guidence Table'!$A$1:$AG$10000,MATCH(1,('Margin Guidence Table'!$A$1:$A$10000=GR27)*('Margin Guidence Table'!$I$1:$I$10000&lt;=ROUND($GJ$3,0))*('Margin Guidence Table'!$J$1:$J$10000&gt;=ROUND($GJ$3,0)),0),MATCH("DEFAULT_PA_PCT_SALES",'Margin Guidence Table'!$A$1:$AG$1,0))),0)</f>
        <v>0</v>
      </c>
      <c r="HA27" s="1054">
        <f t="array" ref="HA27">IFERROR(IF($GT27="SEGMENT",INDEX('Margin Guidence Table'!$A$1:$AG$10000,MATCH(1,('Margin Guidence Table'!$A$1:$A$10000=GR27)*('Margin Guidence Table'!$I$1:$I$10000&lt;=ROUND($GJ$3,0))*('Margin Guidence Table'!$J$1:$J$10000&gt;=ROUND($GJ$3,0)),0),MATCH("SELF_FUND_PCT_SALES",'Margin Guidence Table'!$A$1:$AG$1,0)),INDEX('Margin Guidence Table'!$A$1:$AG$10000,MATCH(1,('Margin Guidence Table'!$A$1:$A$10000=GR27)*('Margin Guidence Table'!$I$1:$I$10000&lt;=ROUND($GJ$3,0))*('Margin Guidence Table'!$J$1:$J$10000&gt;=ROUND($GJ$3,0)),0),MATCH("DEFAULT_SELF_FUND_PCT_SALES",'Margin Guidence Table'!$A$1:$AG$1,0))),0)</f>
        <v>0</v>
      </c>
      <c r="HB27" s="1054">
        <f t="array" ref="HB27">IFERROR(IF($GT27="SEGMENT",INDEX('Margin Guidence Table'!$A$1:$AG$10000,MATCH(1,('Margin Guidence Table'!$A$1:$A$10000=GR27)*('Margin Guidence Table'!$I$1:$I$10000&lt;=ROUND($GJ$3,0))*('Margin Guidence Table'!$J$1:$J$10000&gt;=ROUND($GJ$3,0)),0),MATCH("CIA_MEDIAN_MARGIN_GUIDENCE",'Margin Guidence Table'!$A$1:$AG$1,0)),INDEX('Margin Guidence Table'!$A$1:$AG$10000,MATCH(1,('Margin Guidence Table'!$A$1:$A$10000=GR27)*('Margin Guidence Table'!$I$1:$I$10000&lt;=ROUND($GJ$3,0))*('Margin Guidence Table'!$J$1:$J$10000&gt;=ROUND($GJ$3,0)),0),MATCH("DEFAULT_CIA_MEDIAN_MARGIN_GUIDENCE",'Margin Guidence Table'!$A$1:$AG$1,0))),0)</f>
        <v>0</v>
      </c>
      <c r="HC27" s="127"/>
      <c r="HD27" s="18">
        <f t="array" ref="HD27">IFERROR(IF($HQ27="SEGMENT",INDEX('Margin Guidence Table'!$A$1:$AG$10000,MATCH(1,('Margin Guidence Table'!$A$1:$A$10000=$HO27)*('Margin Guidence Table'!$I$1:$I$10000&lt;=ROUND($HG$3,0))*('Margin Guidence Table'!$J$1:$J$10000&gt;=ROUND($HG$3,0)),0),MATCH("PCT_SALES",'Margin Guidence Table'!$A$1:$AG$1,0)),INDEX('Margin Guidence Table'!$A$1:$AG$10000,MATCH(1,('Margin Guidence Table'!$A$1:$A$10000=$HO27)*('Margin Guidence Table'!$I$1:$I$10000&lt;=ROUND($HG$3,0))*('Margin Guidence Table'!$J$1:$J$10000&gt;=ROUND($HG$3,0)),0),MATCH("DEFAULT_PCT_SALES",'Margin Guidence Table'!$A$1:$AG$1,0))),0)</f>
        <v>0</v>
      </c>
      <c r="HE27" s="370" t="e">
        <f t="shared" si="40"/>
        <v>#DIV/0!</v>
      </c>
      <c r="HF27" s="100" t="s">
        <v>92</v>
      </c>
      <c r="HG27" s="92">
        <f>IFERROR(IF(AND($HG$2&lt;&gt;"Enter Spend&gt;&gt;&gt;",HH15="EXISTING"),SUMIFS('Existing Customers'!$Q:$Q,'Existing Customers'!$A:$A,$HG$1,'Existing Customers'!$H:$H,$HF27)*$HG$4,$HG$3*$HE27),0)</f>
        <v>0</v>
      </c>
      <c r="HH27" s="87">
        <f>IFERROR(IF(AND($HG$2&lt;&gt;"Enter Spend&gt;&gt;&gt;",HH2="EXISTING"),SUMIFS('Existing Customers'!$N:$N,'Existing Customers'!$A:$A,$HG$1,'Existing Customers'!$H:$H,$HF27)*$HG$4,$HG27/$HR27),0)</f>
        <v>0</v>
      </c>
      <c r="HI27" s="93">
        <f>IFERROR(IF(AND($HG$2&lt;&gt;"Enter Spend&gt;&gt;&gt;",HH2="EXISTING"),SUMIFS('Existing Customers'!$O:$O,'Existing Customers'!$H:$H,$HF27,'Existing Customers'!$A:$A,$HG$1)*$HG$4,$HH27*$HG$8),0)</f>
        <v>0</v>
      </c>
      <c r="HJ27" s="93">
        <f>IFERROR(IF(AND($HG$2&lt;&gt;"Enter Spend&gt;&gt;&gt;",HH2="EXISTING"),SUMIFS('Existing Customers'!$P:$P,'Existing Customers'!$A:$A,$HG$1,'Existing Customers'!$H:$H,$HF27)*$HG$4,$HG27/$HS27),0)</f>
        <v>0</v>
      </c>
      <c r="HK27" s="94">
        <f>IFERROR(IF(AND($HG$2&lt;&gt;"Enter Spend&gt;&gt;&gt;",HH2="EXISTING"),SUMIFS('Existing Customers'!$V:$V,'Existing Customers'!$H:$H,$HF27,'Existing Customers'!$A:$A,$HG$1)*$HG$4,0),0)</f>
        <v>0</v>
      </c>
      <c r="HL27" s="94">
        <f>IFERROR(IF(AND($HG$2&lt;&gt;"Enter Spend&gt;&gt;&gt;",HH2="EXISTING"),SUMIFS('Existing Customers'!$R:$R,'Existing Customers'!$H:$H,$HF27,'Existing Customers'!$A:$A,$HG$1)*$HG$4,0),0)</f>
        <v>0</v>
      </c>
      <c r="HM27" s="1050">
        <f>IFERROR(IF(AND($HG$2&lt;&gt;"Enter Spend&gt;&gt;&gt;",HH2="EXISTING"),SUMIFS('Existing Customers'!$S:$S,'Existing Customers'!$H:$H,$HF27,'Existing Customers'!$A:$A,$HG$1),HW27*HG27),0)</f>
        <v>0</v>
      </c>
      <c r="HN27" s="1050">
        <f>IFERROR(IF(AND($HG$2&lt;&gt;"Enter Spend&gt;&gt;&gt;",HH2="EXISTING"),SUMIFS('Existing Customers'!$U:$U,'Existing Customers'!$H:$H,$HF27,'Existing Customers'!$A:$A,$HG$1),HX27*HG27),0)</f>
        <v>0</v>
      </c>
      <c r="HO27" s="1053" t="e">
        <f>_xlfn.CONCAT('Customer Inputs'!$AG$13,"_",HF27)</f>
        <v>#N/A</v>
      </c>
      <c r="HP27" s="1053">
        <f t="array" ref="HP27">IFERROR(INDEX('Margin Guidence Table'!$A$1:$AG$10000,MATCH(1,('Margin Guidence Table'!$A$1:$A$10000=HO27)*('Margin Guidence Table'!$I$1:$I$10000&lt;=ROUND($HG$3,0))*('Margin Guidence Table'!$J$1:$J$10000&gt;=ROUND($HG$3,0)),0),MATCH("DATA_POINTS",'Margin Guidence Table'!$A$1:$AG$1,0)),0)</f>
        <v>0</v>
      </c>
      <c r="HQ27" s="1050" t="str">
        <f t="shared" si="41"/>
        <v>DEFAULT</v>
      </c>
      <c r="HR27" s="1050">
        <f t="array" ref="HR27">IFERROR(IF($HQ27="SEGMENT",INDEX('Margin Guidence Table'!$A$1:$AG$10000,MATCH(1,('Margin Guidence Table'!$A$1:$A$10000=HO27)*('Margin Guidence Table'!$I$1:$I$10000&lt;=ROUND($HG$3,0))*('Margin Guidence Table'!$J$1:$J$10000&gt;=ROUND($HG$3,0)),0),MATCH("SALES_CASE",'Margin Guidence Table'!$A$1:$AG$1,0)),INDEX('Margin Guidence Table'!$A$1:$AG$10000,MATCH(1,('Margin Guidence Table'!$A$1:$A$10000=HO27)*('Margin Guidence Table'!$I$1:$I$10000&lt;=ROUND($HG$3,0))*('Margin Guidence Table'!$J$1:$J$10000&gt;=ROUND($HG$3,0)),0),MATCH("DEFAULT_SALES_CASE",'Margin Guidence Table'!$A$1:$AG$1,0))),0)</f>
        <v>0</v>
      </c>
      <c r="HS27" s="1050">
        <f t="array" ref="HS27">IFERROR(IF($HQ27="SEGMENT",INDEX('Margin Guidence Table'!$A$1:$AG$10000,MATCH(1,('Margin Guidence Table'!$A$1:$A$10000=HO27)*('Margin Guidence Table'!$I$1:$I$10000&lt;=ROUND($HG$3,0))*('Margin Guidence Table'!$J$1:$J$10000&gt;=ROUND($HG$3,0)),0),MATCH("SALES_LBS",'Margin Guidence Table'!$A$1:$AG$1,0)),INDEX('Margin Guidence Table'!$A$1:$AG$10000,MATCH(1,('Margin Guidence Table'!$A$1:$A$10000=HO27)*('Margin Guidence Table'!$I$1:$I$10000&lt;=ROUND($HG$3,0))*('Margin Guidence Table'!$J$1:$J$10000&gt;=ROUND($HG$3,0)),0),MATCH("DEFAULT_SALES_LBS",'Margin Guidence Table'!$A$1:$AG$1,0))),0)</f>
        <v>0</v>
      </c>
      <c r="HT27" s="1054">
        <f t="array" ref="HT27">IFERROR(IF($HQ27="SEGMENT",INDEX('Margin Guidence Table'!$A$1:$AG$10000,MATCH(1,('Margin Guidence Table'!$A$1:$A$10000=HO27)*('Margin Guidence Table'!$I$1:$I$10000&lt;=ROUND($HG$3,0))*('Margin Guidence Table'!$J$1:$J$10000&gt;=ROUND($HG$3,0)),0),MATCH("MDA_MIN_MARGIN_GUIDENCE",'Margin Guidence Table'!$A$1:$AG$1,0)),INDEX('Margin Guidence Table'!$A$1:$AG$10000,MATCH(1,('Margin Guidence Table'!$A$1:$A$10000=HO27)*('Margin Guidence Table'!$I$1:$I$10000&lt;=ROUND($HG$3,0))*('Margin Guidence Table'!$J$1:$J$10000&gt;=ROUND($HG$3,0)),0),MATCH("DEFAULT_MDA_MIN_MARGIN_GUIDENCE",'Margin Guidence Table'!$A$1:$AG$1,0))),0)</f>
        <v>0</v>
      </c>
      <c r="HU27" s="1054">
        <f t="array" ref="HU27">IFERROR(IF($HQ27="SEGMENT",INDEX('Margin Guidence Table'!$A$1:$AG$10000,MATCH(1,('Margin Guidence Table'!$A$1:$A$10000=HO27)*('Margin Guidence Table'!$I$1:$I$10000&lt;=ROUND($HG$3,0))*('Margin Guidence Table'!$J$1:$J$10000&gt;=ROUND($HG$3,0)),0),MATCH("MDA_MEDIAN_MARGIN_GUIDENCE",'Margin Guidence Table'!$A$1:$AG$1,0)),INDEX('Margin Guidence Table'!$A$1:$AG$10000,MATCH(1,('Margin Guidence Table'!$A$1:$A$10000=HO27)*('Margin Guidence Table'!$I$1:$I$10000&lt;=ROUND($HG$3,0))*('Margin Guidence Table'!$J$1:$J$10000&gt;=ROUND($HG$3,0)),0),MATCH("DEFAULT_MDA_MEDIAN_MARGIN_GUIDENCE",'Margin Guidence Table'!$A$1:$AG$1,0))),0)</f>
        <v>0</v>
      </c>
      <c r="HV27" s="1054">
        <f t="array" ref="HV27">IFERROR(IF($HQ27="SEGMENT",INDEX('Margin Guidence Table'!$A$1:$AG$10000,MATCH(1,('Margin Guidence Table'!$A$1:$A$10000=HO27)*('Margin Guidence Table'!$I$1:$I$10000&lt;=ROUND($HG$3,0))*('Margin Guidence Table'!$J$1:$J$10000&gt;=ROUND($HG$3,0)),0),MATCH("MDA_MAX_MARGIN_GUIDENCE",'Margin Guidence Table'!$A$1:$AG$1,0)),INDEX('Margin Guidence Table'!$A$1:$AG$10000,MATCH(1,('Margin Guidence Table'!$A$1:$A$10000=HO27)*('Margin Guidence Table'!$I$1:$I$10000&lt;=ROUND($HG$3,0))*('Margin Guidence Table'!$J$1:$J$10000&gt;=ROUND($HG$3,0)),0),MATCH("DEFAULT_MDA_MAX_MARGIN_GUIDENCE",'Margin Guidence Table'!$A$1:$AG$1,0))),0)</f>
        <v>0</v>
      </c>
      <c r="HW27" s="1054">
        <f t="array" ref="HW27">IFERROR(IF($HQ27="SEGMENT",INDEX('Margin Guidence Table'!$A$1:$AG$10000,MATCH(1,('Margin Guidence Table'!$A$1:$A$10000=HO27)*('Margin Guidence Table'!$I$1:$I$10000&lt;=ROUND($HG$3,0))*('Margin Guidence Table'!$J$1:$J$10000&gt;=ROUND($HG$3,0)),0),MATCH("PA_PCT_SALES",'Margin Guidence Table'!$A$1:$AG$1,0)),INDEX('Margin Guidence Table'!$A$1:$AG$10000,MATCH(1,('Margin Guidence Table'!$A$1:$A$10000=HO27)*('Margin Guidence Table'!$I$1:$I$10000&lt;=ROUND($HG$3,0))*('Margin Guidence Table'!$J$1:$J$10000&gt;=ROUND($HG$3,0)),0),MATCH("DEFAULT_PA_PCT_SALES",'Margin Guidence Table'!$A$1:$AG$1,0))),0)</f>
        <v>0</v>
      </c>
      <c r="HX27" s="1054">
        <f t="array" ref="HX27">IFERROR(IF($HQ27="SEGMENT",INDEX('Margin Guidence Table'!$A$1:$AG$10000,MATCH(1,('Margin Guidence Table'!$A$1:$A$10000=HO27)*('Margin Guidence Table'!$I$1:$I$10000&lt;=ROUND($HG$3,0))*('Margin Guidence Table'!$J$1:$J$10000&gt;=ROUND($HG$3,0)),0),MATCH("SELF_FUND_PCT_SALES",'Margin Guidence Table'!$A$1:$AG$1,0)),INDEX('Margin Guidence Table'!$A$1:$AG$10000,MATCH(1,('Margin Guidence Table'!$A$1:$A$10000=HO27)*('Margin Guidence Table'!$I$1:$I$10000&lt;=ROUND($HG$3,0))*('Margin Guidence Table'!$J$1:$J$10000&gt;=ROUND($HG$3,0)),0),MATCH("DEFAULT_SELF_FUND_PCT_SALES",'Margin Guidence Table'!$A$1:$AG$1,0))),0)</f>
        <v>0</v>
      </c>
      <c r="HY27" s="1054">
        <f t="array" ref="HY27">IFERROR(IF($HQ27="SEGMENT",INDEX('Margin Guidence Table'!$A$1:$AG$10000,MATCH(1,('Margin Guidence Table'!$A$1:$A$10000=HO27)*('Margin Guidence Table'!$I$1:$I$10000&lt;=ROUND($HG$3,0))*('Margin Guidence Table'!$J$1:$J$10000&gt;=ROUND($HG$3,0)),0),MATCH("CIA_MEDIAN_MARGIN_GUIDENCE",'Margin Guidence Table'!$A$1:$AG$1,0)),INDEX('Margin Guidence Table'!$A$1:$AG$10000,MATCH(1,('Margin Guidence Table'!$A$1:$A$10000=HO27)*('Margin Guidence Table'!$I$1:$I$10000&lt;=ROUND($HG$3,0))*('Margin Guidence Table'!$J$1:$J$10000&gt;=ROUND($HG$3,0)),0),MATCH("DEFAULT_CIA_MEDIAN_MARGIN_GUIDENCE",'Margin Guidence Table'!$A$1:$AG$1,0))),0)</f>
        <v>0</v>
      </c>
      <c r="HZ27" s="127"/>
      <c r="IA27" s="18">
        <f t="array" ref="IA27">IFERROR(IF($IN27="SEGMENT",INDEX('Margin Guidence Table'!$A:$AC,MATCH(1,('Margin Guidence Table'!$A:$A=$IL27)*('Margin Guidence Table'!$H:$H&lt;=ROUND($ID$3,0))*('Margin Guidence Table'!$G:$G&gt;=ROUND($ID$3,0)),0),MATCH("PCT_SALES",'Margin Guidence Table'!$A$1:$AG$1,0)),INDEX('Margin Guidence Table'!$A:$AC,MATCH(1,('Margin Guidence Table'!$A:$A=$IL27)*('Margin Guidence Table'!$H:$H&lt;=ROUND($ID$3,0))*('Margin Guidence Table'!$G:$G&gt;=ROUND($ID$3,0)),0),MATCH("DEFAULT_PCT_SALES",'Margin Guidence Table'!$A$1:$AG$1,0))),0)</f>
        <v>0</v>
      </c>
      <c r="IB27" s="370" t="e">
        <f t="shared" si="42"/>
        <v>#DIV/0!</v>
      </c>
      <c r="IC27" s="100" t="s">
        <v>92</v>
      </c>
      <c r="ID27" s="92">
        <f>IFERROR(IF(AND($ID$2&lt;&gt;"Enter Spend&gt;&gt;&gt;",IE15="EXISTING"),SUMIFS('Existing Customers'!$Q:$Q,'Existing Customers'!$A:$A,$ID$1,'Existing Customers'!$H:$H,$IC27)*$ID$4,$ID$3*$IB27),0)</f>
        <v>0</v>
      </c>
      <c r="IE27" s="87">
        <f>IFERROR(IF(AND($ID$2&lt;&gt;"Enter Spend&gt;&gt;&gt;",IE2="EXISTING"),SUMIFS('Existing Customers'!$N:$N,'Existing Customers'!$A:$A,$ID$1,'Existing Customers'!$H:$H,$IC27)*$ID$4,$ID27/$IO27),0)</f>
        <v>0</v>
      </c>
      <c r="IF27" s="93">
        <f>IFERROR(IF(AND($ID$2&lt;&gt;"Enter Spend&gt;&gt;&gt;",IE2="EXISTING"),SUMIFS('Existing Customers'!$O:$O,'Existing Customers'!$H:$H,$IC27,'Existing Customers'!$A:$A,$ID$1)*$ID$4,$IE27*$ID$8),0)</f>
        <v>0</v>
      </c>
      <c r="IG27" s="93">
        <f>IFERROR(IF(AND($ID$2&lt;&gt;"Enter Spend&gt;&gt;&gt;",IE2="EXISTING"),SUMIFS('Existing Customers'!$P:$P,'Existing Customers'!$A:$A,$ID$1,'Existing Customers'!$H:$H,$IC27)*$ID$4,$ID27/$IP27),0)</f>
        <v>0</v>
      </c>
      <c r="IH27" s="376">
        <f>IFERROR(IF(AND($ID$2&lt;&gt;"Enter Spend&gt;&gt;&gt;",IE2="EXISTING"),SUMIFS('Existing Customers'!$V:$V,'Existing Customers'!$H:$H,$IC27,'Existing Customers'!$A:$A,$ID$1)*$ID$4,0),0)</f>
        <v>0</v>
      </c>
      <c r="II27" s="94">
        <f>IFERROR(IF(AND($ID$2&lt;&gt;"Enter Spend&gt;&gt;&gt;",IE2="EXISTING"),SUMIFS('Existing Customers'!$R:$R,'Existing Customers'!$H:$H,$IC27,'Existing Customers'!$A:$A,$ID$1)*$ID$4,0),0)</f>
        <v>0</v>
      </c>
      <c r="IJ27" s="1050">
        <f>IFERROR(IF(AND($ID$2&lt;&gt;"Enter Spend&gt;&gt;&gt;",IE2="EXISTING"),SUMIFS('Existing Customers'!$S:$S,'Existing Customers'!$H:$H,$IC27,'Existing Customers'!$A:$A,$ID$1),IT27*ID27),0)</f>
        <v>0</v>
      </c>
      <c r="IK27" s="1050">
        <f>IFERROR(IF(AND($ID$2&lt;&gt;"Enter Spend&gt;&gt;&gt;",IE2="EXISTING"),SUMIFS('Existing Customers'!$U:$U,'Existing Customers'!$H:$H,$IC27,'Existing Customers'!$A:$A,$ID$1),IU27*ID27),0)</f>
        <v>0</v>
      </c>
      <c r="IL27" s="1053" t="e">
        <f>_xlfn.CONCAT('Customer Inputs'!$AG$14,"_",IC27)</f>
        <v>#N/A</v>
      </c>
      <c r="IM27" s="1053">
        <f t="array" ref="IM27">IFERROR(INDEX('Margin Guidence Table'!$A$1:$AG$10000,MATCH(1,('Margin Guidence Table'!$A$1:$A$10000=IL27)*('Margin Guidence Table'!$I$1:$I$10000&lt;=ROUND($ID$3,0))*('Margin Guidence Table'!$J$1:$J$10000&gt;=ROUND($ID$3,0)),0),MATCH("DATA_POINTS",'Margin Guidence Table'!$A$1:$AG$1,0)),0)</f>
        <v>0</v>
      </c>
      <c r="IN27" s="1050" t="str">
        <f t="shared" si="43"/>
        <v>DEFAULT</v>
      </c>
      <c r="IO27" s="1050">
        <f t="array" ref="IO27">IFERROR(IF($IN27="SEGMENT",INDEX('Margin Guidence Table'!$A$1:$AG$10000,MATCH(1,('Margin Guidence Table'!$A$1:$A$10000=IL27)*('Margin Guidence Table'!$I$1:$I$10000&lt;=ROUND($ID$3,0))*('Margin Guidence Table'!$J$1:$J$10000&gt;=ROUND($ID$3,0)),0),MATCH("SALES_CASE",'Margin Guidence Table'!$A$1:$AG$1,0)),INDEX('Margin Guidence Table'!$A$1:$AG$10000,MATCH(1,('Margin Guidence Table'!$A$1:$A$10000=IL27)*('Margin Guidence Table'!$I$1:$I$10000&lt;=ROUND($ID$3,0))*('Margin Guidence Table'!$J$1:$J$10000&gt;=ROUND($ID$3,0)),0),MATCH("DEFAULT_SALES_CASE",'Margin Guidence Table'!$A$1:$AG$1,0))),0)</f>
        <v>0</v>
      </c>
      <c r="IP27" s="1050">
        <f t="array" ref="IP27">IFERROR(IF($IN27="SEGMENT",INDEX('Margin Guidence Table'!$A$1:$AG$10000,MATCH(1,('Margin Guidence Table'!$A$1:$A$10000=IL27)*('Margin Guidence Table'!$I$1:$I$10000&lt;=ROUND($ID$3,0))*('Margin Guidence Table'!$J$1:$J$10000&gt;=ROUND($ID$3,0)),0),MATCH("SALES_LBS",'Margin Guidence Table'!$A$1:$AG$1,0)),INDEX('Margin Guidence Table'!$A$1:$AG$10000,MATCH(1,('Margin Guidence Table'!$A$1:$A$10000=IL27)*('Margin Guidence Table'!$I$1:$I$10000&lt;=ROUND($ID$3,0))*('Margin Guidence Table'!$J$1:$J$10000&gt;=ROUND($ID$3,0)),0),MATCH("DEFAULT_SALES_LBS",'Margin Guidence Table'!$A$1:$AG$1,0))),0)</f>
        <v>0</v>
      </c>
      <c r="IQ27" s="1054">
        <f t="array" ref="IQ27">IFERROR(IF($IN27="SEGMENT",INDEX('Margin Guidence Table'!$A$1:$AG$10000,MATCH(1,('Margin Guidence Table'!$A$1:$A$10000=IL27)*('Margin Guidence Table'!$I$1:$I$10000&lt;=ROUND($ID$3,0))*('Margin Guidence Table'!$J$1:$J$10000&gt;=ROUND($ID$3,0)),0),MATCH("MDA_MIN_MARGIN_GUIDENCE",'Margin Guidence Table'!$A$1:$AG$1,0)),INDEX('Margin Guidence Table'!$A$1:$AG$10000,MATCH(1,('Margin Guidence Table'!$A$1:$A$10000=IL27)*('Margin Guidence Table'!$I$1:$I$10000&lt;=ROUND($ID$3,0))*('Margin Guidence Table'!$J$1:$J$10000&gt;=ROUND($ID$3,0)),0),MATCH("DEFAULT_MDA_MIN_MARGIN_GUIDENCE",'Margin Guidence Table'!$A$1:$AG$1,0))),0)</f>
        <v>0</v>
      </c>
      <c r="IR27" s="1054">
        <f t="array" ref="IR27">IFERROR(IF($IN27="SEGMENT",INDEX('Margin Guidence Table'!$A$1:$AG$10000,MATCH(1,('Margin Guidence Table'!$A$1:$A$10000=IL27)*('Margin Guidence Table'!$I$1:$I$10000&lt;=ROUND($ID$3,0))*('Margin Guidence Table'!$J$1:$J$10000&gt;=ROUND($ID$3,0)),0),MATCH("MDA_MEDIAN_MARGIN_GUIDENCE",'Margin Guidence Table'!$A$1:$AG$1,0)),INDEX('Margin Guidence Table'!$A$1:$AG$10000,MATCH(1,('Margin Guidence Table'!$A$1:$A$10000=IL27)*('Margin Guidence Table'!$I$1:$I$10000&lt;=ROUND($ID$3,0))*('Margin Guidence Table'!$J$1:$J$10000&gt;=ROUND($ID$3,0)),0),MATCH("DEFAULT_MDA_MEDIAN_MARGIN_GUIDENCE",'Margin Guidence Table'!$A$1:$AG$1,0))),0)</f>
        <v>0</v>
      </c>
      <c r="IS27" s="1054">
        <f t="array" ref="IS27">IFERROR(IF($IN27="SEGMENT",INDEX('Margin Guidence Table'!$A$1:$AG$10000,MATCH(1,('Margin Guidence Table'!$A$1:$A$10000=IL27)*('Margin Guidence Table'!$I$1:$I$10000&lt;=ROUND($ID$3,0))*('Margin Guidence Table'!$J$1:$J$10000&gt;=ROUND($ID$3,0)),0),MATCH("MDA_MAX_MARGIN_GUIDENCE",'Margin Guidence Table'!$A$1:$AG$1,0)),INDEX('Margin Guidence Table'!$A$1:$AG$10000,MATCH(1,('Margin Guidence Table'!$A$1:$A$10000=IL27)*('Margin Guidence Table'!$I$1:$I$10000&lt;=ROUND($ID$3,0))*('Margin Guidence Table'!$J$1:$J$10000&gt;=ROUND($ID$3,0)),0),MATCH("DEFAULT_MDA_MAX_MARGIN_GUIDENCE",'Margin Guidence Table'!$A$1:$AG$1,0))),0)</f>
        <v>0</v>
      </c>
      <c r="IT27" s="1054">
        <f t="array" ref="IT27">IFERROR(IF($IN27="SEGMENT",INDEX('Margin Guidence Table'!$A$1:$AG$10000,MATCH(1,('Margin Guidence Table'!$A$1:$A$10000=IL27)*('Margin Guidence Table'!$I$1:$I$10000&lt;=ROUND($ID$3,0))*('Margin Guidence Table'!$J$1:$J$10000&gt;=ROUND($ID$3,0)),0),MATCH("PA_PCT_SALES",'Margin Guidence Table'!$A$1:$AG$1,0)),INDEX('Margin Guidence Table'!$A$1:$AG$10000,MATCH(1,('Margin Guidence Table'!$A$1:$A$10000=IL27)*('Margin Guidence Table'!$I$1:$I$10000&lt;=ROUND($ID$3,0))*('Margin Guidence Table'!$J$1:$J$10000&gt;=ROUND($ID$3,0)),0),MATCH("DEFAULT_PA_PCT_SALES",'Margin Guidence Table'!$A$1:$AG$1,0))),0)</f>
        <v>0</v>
      </c>
      <c r="IU27" s="1054">
        <f t="array" ref="IU27">IFERROR(IF($IN27="SEGMENT",INDEX('Margin Guidence Table'!$A$1:$AG$10000,MATCH(1,('Margin Guidence Table'!$A$1:$A$10000=IL27)*('Margin Guidence Table'!$I$1:$I$10000&lt;=ROUND($ID$3,0))*('Margin Guidence Table'!$J$1:$J$10000&gt;=ROUND($ID$3,0)),0),MATCH("SELF_FUND_PCT_SALES",'Margin Guidence Table'!$A$1:$AG$1,0)),INDEX('Margin Guidence Table'!$A$1:$AG$10000,MATCH(1,('Margin Guidence Table'!$A$1:$A$10000=IL27)*('Margin Guidence Table'!$I$1:$I$10000&lt;=ROUND($ID$3,0))*('Margin Guidence Table'!$J$1:$J$10000&gt;=ROUND($ID$3,0)),0),MATCH("DEFAULT_SELF_FUND_PCT_SALES",'Margin Guidence Table'!$A$1:$AG$1,0))),0)</f>
        <v>0</v>
      </c>
      <c r="IV27" s="1054">
        <f t="array" ref="IV27">IFERROR(IF($IN27="SEGMENT",INDEX('Margin Guidence Table'!$A$1:$AG$10000,MATCH(1,('Margin Guidence Table'!$A$1:$A$10000=IL27)*('Margin Guidence Table'!$I$1:$I$10000&lt;=ROUND($ID$3,0))*('Margin Guidence Table'!$J$1:$J$10000&gt;=ROUND($ID$3,0)),0),MATCH("CIA_MEDIAN_MARGIN_GUIDENCE",'Margin Guidence Table'!$A$1:$AG$1,0)),INDEX('Margin Guidence Table'!$A$1:$AG$10000,MATCH(1,('Margin Guidence Table'!$A$1:$A$10000=IL27)*('Margin Guidence Table'!$I$1:$I$10000&lt;=ROUND($ID$3,0))*('Margin Guidence Table'!$J$1:$J$10000&gt;=ROUND($ID$3,0)),0),MATCH("DEFAULT_CIA_MEDIAN_MARGIN_GUIDENCE",'Margin Guidence Table'!$A$1:$AG$1,0))),0)</f>
        <v>0</v>
      </c>
      <c r="IW27" s="127"/>
      <c r="IX27" s="18">
        <f t="array" ref="IX27">IFERROR(IF($JK27="SEGMENT",INDEX('Margin Guidence Table'!$A$1:$AG$10000,MATCH(1,('Margin Guidence Table'!$A$1:$A$10000=$JI27)*('Margin Guidence Table'!$I$1:$I$10000&lt;=ROUND($JA$3,0))*('Margin Guidence Table'!$J$1:$J$10000&gt;=ROUND($JA$3,0)),0),MATCH("PCT_SALES",'Margin Guidence Table'!$A$1:$AG$1,0)),INDEX('Margin Guidence Table'!$A$1:$AG$10000,MATCH(1,('Margin Guidence Table'!$A$1:$A$10000=$JI27)*('Margin Guidence Table'!$I$1:$I$10000&lt;=ROUND($JA$3,0))*('Margin Guidence Table'!$J$1:$J$10000&gt;=ROUND($JA$3,0)),0),MATCH("DEFAULT_PCT_SALES",'Margin Guidence Table'!$A$1:$AG$1,0))),0)</f>
        <v>0</v>
      </c>
      <c r="IY27" s="370" t="e">
        <f t="shared" si="44"/>
        <v>#DIV/0!</v>
      </c>
      <c r="IZ27" s="100" t="s">
        <v>92</v>
      </c>
      <c r="JA27" s="92">
        <f>IFERROR(IF(AND($JA$2&lt;&gt;"Enter Spend&gt;&gt;&gt;",JB15="EXISTING"),SUMIFS('Existing Customers'!$Q:$Q,'Existing Customers'!$A:$A,$JA$1,'Existing Customers'!$H:$H,$IZ27)*$JA$4,$JA$3*$IY27),0)</f>
        <v>0</v>
      </c>
      <c r="JB27" s="87">
        <f>IFERROR(IF(AND($JA$2&lt;&gt;"Enter Spend&gt;&gt;&gt;",JB2="EXISTING"),SUMIFS('Existing Customers'!$N:$N,'Existing Customers'!$A:$A,$JA$1,'Existing Customers'!$H:$H,$IZ27)*$JA$4,$JA27/$JL27),0)</f>
        <v>0</v>
      </c>
      <c r="JC27" s="93">
        <f>IFERROR(IF(AND($JA$2&lt;&gt;"Enter Spend&gt;&gt;&gt;",JB2="EXISTING"),SUMIFS('Existing Customers'!$O:$O,'Existing Customers'!$H:$H,$IZ27,'Existing Customers'!$A:$A,$JA$1)*$JA$4,$JB27*$JA$8),0)</f>
        <v>0</v>
      </c>
      <c r="JD27" s="93">
        <f>IFERROR(IF(AND($JA$2&lt;&gt;"Enter Spend&gt;&gt;&gt;",JB2="EXISTING"),SUMIFS('Existing Customers'!$P:$P,'Existing Customers'!$A:$A,$JA$1,'Existing Customers'!$H:$H,$IZ27)*$JA$4,$JA27/$JM27),0)</f>
        <v>0</v>
      </c>
      <c r="JE27" s="376">
        <f>IFERROR(IF(AND($JA$2&lt;&gt;"Enter Spend&gt;&gt;&gt;",JB2="EXISTING"),SUMIFS('Existing Customers'!$V:$V,'Existing Customers'!$H:$H,$IZ27,'Existing Customers'!$A:$A,$JA$1)*$JA$4,0),0)</f>
        <v>0</v>
      </c>
      <c r="JF27" s="94">
        <f>IFERROR(IF(AND($JA$2&lt;&gt;"Enter Spend&gt;&gt;&gt;",JB2="EXISTING"),SUMIFS('Existing Customers'!$R:$R,'Existing Customers'!$H:$H,$IZ27,'Existing Customers'!$A:$A,$JA$1)*$JA$4,0),0)</f>
        <v>0</v>
      </c>
      <c r="JG27" s="1050">
        <f>IFERROR(IF(AND($JA$2&lt;&gt;"Enter Spend&gt;&gt;&gt;",JB2="EXISTING"),SUMIFS('Existing Customers'!$S:$S,'Existing Customers'!$H:$H,$IZ27,'Existing Customers'!$A:$A,$JA$1),JQ27*JA27),0)</f>
        <v>0</v>
      </c>
      <c r="JH27" s="1050">
        <f>IFERROR(IF(AND($JA$2&lt;&gt;"Enter Spend&gt;&gt;&gt;",JB2="EXISTING"),SUMIFS('Existing Customers'!$U:$U,'Existing Customers'!$H:$H,$IZ27,'Existing Customers'!$A:$A,$JA$1),JR27*JA27),0)</f>
        <v>0</v>
      </c>
      <c r="JI27" s="1053" t="e">
        <f>_xlfn.CONCAT('Customer Inputs'!$AG$15,"_",IZ27)</f>
        <v>#N/A</v>
      </c>
      <c r="JJ27" s="1053">
        <f t="array" ref="JJ27">IFERROR(INDEX('Margin Guidence Table'!$A$1:$AG$10000,MATCH(1,('Margin Guidence Table'!$A$1:$A$10000=JI27)*('Margin Guidence Table'!$I$1:$I$10000&lt;=ROUND($JA$3,0))*('Margin Guidence Table'!$J$1:$J$10000&gt;=ROUND($JA$3,0)),0),MATCH("DATA_POINTS",'Margin Guidence Table'!$A$1:$AG$1,0)),0)</f>
        <v>0</v>
      </c>
      <c r="JK27" s="1050" t="str">
        <f t="shared" si="45"/>
        <v>DEFAULT</v>
      </c>
      <c r="JL27" s="1050">
        <f t="array" ref="JL27">IFERROR(IF($JK27="SEGMENT",INDEX('Margin Guidence Table'!$A$1:$AG$10000,MATCH(1,('Margin Guidence Table'!$A$1:$A$10000=JI27)*('Margin Guidence Table'!$I$1:$I$10000&lt;=ROUND($JA$3,0))*('Margin Guidence Table'!$J$1:$J$10000&gt;=ROUND($JA$3,0)),0),MATCH("SALES_CASE",'Margin Guidence Table'!$A$1:$AG$1,0)),INDEX('Margin Guidence Table'!$A$1:$AG$10000,MATCH(1,('Margin Guidence Table'!$A$1:$A$10000=JI27)*('Margin Guidence Table'!$I$1:$I$10000&lt;=ROUND($JA$3,0))*('Margin Guidence Table'!$J$1:$J$10000&gt;=ROUND($JA$3,0)),0),MATCH("DEFAULT_SALES_CASE",'Margin Guidence Table'!$A$1:$AG$1,0))),0)</f>
        <v>0</v>
      </c>
      <c r="JM27" s="1050">
        <f t="array" ref="JM27">IFERROR(IF($JK27="SEGMENT",INDEX('Margin Guidence Table'!$A$1:$AG$10000,MATCH(1,('Margin Guidence Table'!$A$1:$A$10000=JI27)*('Margin Guidence Table'!$I$1:$I$10000&lt;=ROUND($JA$3,0))*('Margin Guidence Table'!$J$1:$J$10000&gt;=ROUND($JA$3,0)),0),MATCH("SALES_LBS",'Margin Guidence Table'!$A$1:$AG$1,0)),INDEX('Margin Guidence Table'!$A$1:$AG$10000,MATCH(1,('Margin Guidence Table'!$A$1:$A$10000=JI27)*('Margin Guidence Table'!$I$1:$I$10000&lt;=ROUND($JA$3,0))*('Margin Guidence Table'!$J$1:$J$10000&gt;=ROUND($JA$3,0)),0),MATCH("DEFAULT_SALES_LBS",'Margin Guidence Table'!$A$1:$AG$1,0))),0)</f>
        <v>0</v>
      </c>
      <c r="JN27" s="1054">
        <f t="array" ref="JN27">IFERROR(IF($JK27="SEGMENT",INDEX('Margin Guidence Table'!$A$1:$AG$10000,MATCH(1,('Margin Guidence Table'!$A$1:$A$10000=JI27)*('Margin Guidence Table'!$I$1:$I$10000&lt;=ROUND($JA$3,0))*('Margin Guidence Table'!$J$1:$J$10000&gt;=ROUND($JA$3,0)),0),MATCH("MDA_MIN_MARGIN_GUIDENCE",'Margin Guidence Table'!$A$1:$AG$1,0)),INDEX('Margin Guidence Table'!$A$1:$AG$10000,MATCH(1,('Margin Guidence Table'!$A$1:$A$10000=JI27)*('Margin Guidence Table'!$I$1:$I$10000&lt;=ROUND($JA$3,0))*('Margin Guidence Table'!$J$1:$J$10000&gt;=ROUND($JA$3,0)),0),MATCH("DEFAULT_MDA_MIN_MARGIN_GUIDENCE",'Margin Guidence Table'!$A$1:$AG$1,0))),0)</f>
        <v>0</v>
      </c>
      <c r="JO27" s="1054">
        <f t="array" ref="JO27">IFERROR(IF($JK27="SEGMENT",INDEX('Margin Guidence Table'!$A$1:$AG$10000,MATCH(1,('Margin Guidence Table'!$A$1:$A$10000=JI27)*('Margin Guidence Table'!$I$1:$I$10000&lt;=ROUND($JA$3,0))*('Margin Guidence Table'!$J$1:$J$10000&gt;=ROUND($JA$3,0)),0),MATCH("MDA_MEDIAN_MARGIN_GUIDENCE",'Margin Guidence Table'!$A$1:$AG$1,0)),INDEX('Margin Guidence Table'!$A$1:$AG$10000,MATCH(1,('Margin Guidence Table'!$A$1:$A$10000=JI27)*('Margin Guidence Table'!$I$1:$I$10000&lt;=ROUND($JA$3,0))*('Margin Guidence Table'!$J$1:$J$10000&gt;=ROUND($JA$3,0)),0),MATCH("DEFAULT_MDA_MEDIAN_MARGIN_GUIDENCE",'Margin Guidence Table'!$A$1:$AG$1,0))),0)</f>
        <v>0</v>
      </c>
      <c r="JP27" s="1054">
        <f t="array" ref="JP27">IFERROR(IF($JK27="SEGMENT",INDEX('Margin Guidence Table'!$A$1:$AG$10000,MATCH(1,('Margin Guidence Table'!$A$1:$A$10000=JI27)*('Margin Guidence Table'!$I$1:$I$10000&lt;=ROUND($JA$3,0))*('Margin Guidence Table'!$J$1:$J$10000&gt;=ROUND($JA$3,0)),0),MATCH("MDA_MAX_MARGIN_GUIDENCE",'Margin Guidence Table'!$A$1:$AG$1,0)),INDEX('Margin Guidence Table'!$A$1:$AG$10000,MATCH(1,('Margin Guidence Table'!$A$1:$A$10000=JI27)*('Margin Guidence Table'!$I$1:$I$10000&lt;=ROUND($JA$3,0))*('Margin Guidence Table'!$J$1:$J$10000&gt;=ROUND($JA$3,0)),0),MATCH("DEFAULT_MDA_MAX_MARGIN_GUIDENCE",'Margin Guidence Table'!$A$1:$AG$1,0))),0)</f>
        <v>0</v>
      </c>
      <c r="JQ27" s="1054">
        <f t="array" ref="JQ27">IFERROR(IF($JK27="SEGMENT",INDEX('Margin Guidence Table'!$A$1:$AG$10000,MATCH(1,('Margin Guidence Table'!$A$1:$A$10000=JI27)*('Margin Guidence Table'!$I$1:$I$10000&lt;=ROUND($JA$3,0))*('Margin Guidence Table'!$J$1:$J$10000&gt;=ROUND($JA$3,0)),0),MATCH("PA_PCT_SALES",'Margin Guidence Table'!$A$1:$AG$1,0)),INDEX('Margin Guidence Table'!$A$1:$AG$10000,MATCH(1,('Margin Guidence Table'!$A$1:$A$10000=JI27)*('Margin Guidence Table'!$I$1:$I$10000&lt;=ROUND($JA$3,0))*('Margin Guidence Table'!$J$1:$J$10000&gt;=ROUND($JA$3,0)),0),MATCH("DEFAULT_PA_PCT_SALES",'Margin Guidence Table'!$A$1:$AG$1,0))),0)</f>
        <v>0</v>
      </c>
      <c r="JR27" s="1054">
        <f t="array" ref="JR27">IFERROR(IF($JK27="SEGMENT",INDEX('Margin Guidence Table'!$A$1:$AG$10000,MATCH(1,('Margin Guidence Table'!$A$1:$A$10000=JI27)*('Margin Guidence Table'!$I$1:$I$10000&lt;=ROUND($JA$3,0))*('Margin Guidence Table'!$J$1:$J$10000&gt;=ROUND($JA$3,0)),0),MATCH("SELF_FUND_PCT_SALES",'Margin Guidence Table'!$A$1:$AG$1,0)),INDEX('Margin Guidence Table'!$A$1:$AG$10000,MATCH(1,('Margin Guidence Table'!$A$1:$A$10000=JI27)*('Margin Guidence Table'!$I$1:$I$10000&lt;=ROUND($JA$3,0))*('Margin Guidence Table'!$J$1:$J$10000&gt;=ROUND($JA$3,0)),0),MATCH("DEFAULT_SELF_FUND_PCT_SALES",'Margin Guidence Table'!$A$1:$AG$1,0))),0)</f>
        <v>0</v>
      </c>
      <c r="JS27" s="1054">
        <f t="array" ref="JS27">IFERROR(IF($JK27="SEGMENT",INDEX('Margin Guidence Table'!$A$1:$AG$10000,MATCH(1,('Margin Guidence Table'!$A$1:$A$10000=JI27)*('Margin Guidence Table'!$I$1:$I$10000&lt;=ROUND($JA$3,0))*('Margin Guidence Table'!$J$1:$J$10000&gt;=ROUND($JA$3,0)),0),MATCH("CIA_MEDIAN_MARGIN_GUIDENCE",'Margin Guidence Table'!$A$1:$AG$1,0)),INDEX('Margin Guidence Table'!$A$1:$AG$10000,MATCH(1,('Margin Guidence Table'!$A$1:$A$10000=JI27)*('Margin Guidence Table'!$I$1:$I$10000&lt;=ROUND($JA$3,0))*('Margin Guidence Table'!$J$1:$J$10000&gt;=ROUND($JA$3,0)),0),MATCH("DEFAULT_CIA_MEDIAN_MARGIN_GUIDENCE",'Margin Guidence Table'!$A$1:$AG$1,0))),0)</f>
        <v>0</v>
      </c>
      <c r="JU27" s="100" t="s">
        <v>92</v>
      </c>
      <c r="JV27" s="95"/>
      <c r="JW27" s="87"/>
      <c r="JX27" s="87"/>
      <c r="JY27" s="87"/>
      <c r="JZ27" s="112"/>
      <c r="KA27" s="96"/>
      <c r="KB27" s="127"/>
      <c r="KD27" s="100" t="s">
        <v>92</v>
      </c>
      <c r="KE27" s="95"/>
      <c r="KF27" s="87"/>
      <c r="KG27" s="87"/>
      <c r="KH27" s="87"/>
      <c r="KI27" s="112"/>
      <c r="KJ27" s="96"/>
    </row>
    <row r="28" spans="2:296" ht="15.75" thickBot="1" x14ac:dyDescent="0.3">
      <c r="B28" s="100" t="s">
        <v>91</v>
      </c>
      <c r="C28" s="449">
        <f t="shared" si="11"/>
        <v>0</v>
      </c>
      <c r="D28" s="465">
        <f t="shared" si="12"/>
        <v>0</v>
      </c>
      <c r="E28" s="465">
        <f t="shared" si="13"/>
        <v>0</v>
      </c>
      <c r="F28" s="465">
        <f t="shared" si="14"/>
        <v>0</v>
      </c>
      <c r="G28" s="466">
        <f t="shared" si="15"/>
        <v>0</v>
      </c>
      <c r="H28" s="465">
        <f t="shared" si="16"/>
        <v>0</v>
      </c>
      <c r="I28" s="1046" t="e">
        <f t="shared" si="0"/>
        <v>#DIV/0!</v>
      </c>
      <c r="J28" s="1046" t="e">
        <f t="shared" si="1"/>
        <v>#DIV/0!</v>
      </c>
      <c r="K28" s="1046" t="e">
        <f t="shared" si="2"/>
        <v>#DIV/0!</v>
      </c>
      <c r="L28" s="465" t="e">
        <f t="shared" si="3"/>
        <v>#DIV/0!</v>
      </c>
      <c r="M28" s="465" t="e">
        <f t="shared" si="17"/>
        <v>#DIV/0!</v>
      </c>
      <c r="N28" s="1047" t="e">
        <f t="shared" si="4"/>
        <v>#DIV/0!</v>
      </c>
      <c r="P28" t="str">
        <f>'PIM Model'!E24</f>
        <v>INCLUDE</v>
      </c>
      <c r="Q28">
        <f t="shared" si="18"/>
        <v>0</v>
      </c>
      <c r="R28">
        <f t="shared" si="19"/>
        <v>0</v>
      </c>
      <c r="S28" s="100" t="s">
        <v>91</v>
      </c>
      <c r="T28" s="95">
        <f t="shared" si="20"/>
        <v>0</v>
      </c>
      <c r="U28" s="87">
        <f t="shared" si="5"/>
        <v>0</v>
      </c>
      <c r="V28" s="87">
        <f t="shared" si="6"/>
        <v>0</v>
      </c>
      <c r="W28" s="87">
        <f t="shared" si="7"/>
        <v>0</v>
      </c>
      <c r="X28" s="112">
        <f t="shared" si="8"/>
        <v>0</v>
      </c>
      <c r="Y28" s="115">
        <f t="shared" si="21"/>
        <v>0</v>
      </c>
      <c r="Z28" s="374"/>
      <c r="AA28" s="100" t="s">
        <v>91</v>
      </c>
      <c r="AB28" s="453">
        <f t="shared" si="9"/>
        <v>0</v>
      </c>
      <c r="AC28" s="454">
        <f t="shared" si="9"/>
        <v>0</v>
      </c>
      <c r="AD28" s="454">
        <f t="shared" si="9"/>
        <v>0</v>
      </c>
      <c r="AE28" s="455">
        <f t="shared" si="22"/>
        <v>0</v>
      </c>
      <c r="AF28" s="456">
        <f t="shared" si="23"/>
        <v>0</v>
      </c>
      <c r="AG28" s="374"/>
      <c r="AH28" s="100" t="s">
        <v>91</v>
      </c>
      <c r="AI28" s="453">
        <f t="shared" si="10"/>
        <v>0</v>
      </c>
      <c r="AJ28" s="450">
        <f t="shared" si="24"/>
        <v>0</v>
      </c>
      <c r="AK28" s="456"/>
      <c r="AL28" s="374"/>
      <c r="AM28" s="1" t="str">
        <f>IF('PIM Ranges'!$AK26='PIM Ranges'!$AW$11,IF($AI28&lt;'PIM Ranges'!$AX$11,"Q1",IF($AI28&lt;'PIM Ranges'!$AY$11,"Q2",IF($AI28&lt;'PIM Ranges'!$AZ$11,"Q3",IF($AI28&lt;'PIM Ranges'!$BA$11,"Q4","Q5")))),IF('PIM Ranges'!$AK26='PIM Ranges'!$AW$12,IF($AI28&lt;'PIM Ranges'!$AX$12,"Q1",IF($AI28&lt;'PIM Ranges'!$AY$12,"Q2",IF($AI28&lt;'PIM Ranges'!$AZ$12,"Q3",IF($AI28&lt;'PIM Ranges'!$BA$12,"Q4","Q5")))),IF('PIM Ranges'!$AK26='PIM Ranges'!$AW$13,IF($AI28&lt;'PIM Ranges'!$AX$13,"Q1",IF($AI28&lt;'PIM Ranges'!$AY$13,"Q2",IF($AI28&lt;'PIM Ranges'!$AZ$13,"Q3",IF($AI28&lt;'PIM Ranges'!$BA$13,"Q4","Q5")))),IF('PIM Ranges'!$AK26='PIM Ranges'!$AW$14,IF($AI28&lt;'PIM Ranges'!$AX$14,"Q1",IF($AI28&lt;'PIM Ranges'!$AY$14,"Q2",IF($AI28&lt;'PIM Ranges'!$AZ$14,"Q3",IF($AI28&lt;'PIM Ranges'!$BA$14,"Q4","Q5")))),IF('PIM Ranges'!$AK26='PIM Ranges'!$AW$15,IF($AI28&lt;'PIM Ranges'!$AX$15,"Q1",IF($AI28&lt;'PIM Ranges'!$AY$15,"Q2",IF($AI28&lt;'PIM Ranges'!$AZ$15,"Q3",IF($AI28&lt;'PIM Ranges'!$BA$15,"Q4","Q5")))),IF('PIM Ranges'!$AK26='PIM Ranges'!$AW$16,IF($AI28&lt;'PIM Ranges'!$AX$16,"Q1",IF($AI28&lt;'PIM Ranges'!$AY$16,"Q2",IF($AI28&lt;'PIM Ranges'!$AZ$16,"Q3",IF($AI28&lt;'PIM Ranges'!$BA$16,"Q4","Q5")))),IF('PIM Ranges'!$AK26='PIM Ranges'!$AW$17,IF($AI28&lt;'PIM Ranges'!$AX$17,"Q1",IF($AI28&lt;'PIM Ranges'!$AY$17,"Q2",IF($AI28&lt;'PIM Ranges'!$AZ$17,"Q3",IF($AI28&lt;'PIM Ranges'!$BA$17,"Q4","Q5")))),IF('PIM Ranges'!$AK26='PIM Ranges'!$AW$18,IF($AI28&lt;'PIM Ranges'!$AX$18,"Q1",IF($AI28&lt;'PIM Ranges'!$AY$18,"Q2",IF($AI28&lt;'PIM Ranges'!$AZ$18,"Q3",IF($AI28&lt;'PIM Ranges'!$BA$18,"Q4","Q5")))),IF('PIM Ranges'!$AK26='PIM Ranges'!$AW$19,IF($AI28&lt;'PIM Ranges'!$AX$19,"Q1",IF($AI28&lt;'PIM Ranges'!$AY$19,"Q2",IF($AI28&lt;'PIM Ranges'!$AZ$19,"Q3",IF($AI28&lt;'PIM Ranges'!$BA$19,"Q4","Q5")))),IF('PIM Ranges'!$AK26='PIM Ranges'!$AW$20,IF($AI28&lt;'PIM Ranges'!$AX$20,"Q1",IF($AI28&lt;'PIM Ranges'!$AY$20,"Q2",IF($AI28&lt;'PIM Ranges'!$AZ$20,"Q3",IF($AI28&lt;'PIM Ranges'!$BA$20,"Q4","Q5")))),IF('PIM Ranges'!$AK26='PIM Ranges'!$AW$21,IF($AI28&lt;'PIM Ranges'!$AX$21,"Q1",IF($AI28&lt;'PIM Ranges'!$AY$21,"Q2",IF($AI28&lt;'PIM Ranges'!$AZ$21,"Q3",IF($AI28&lt;'PIM Ranges'!$BA$21,"Q4","Q5")))),IF('PIM Ranges'!$AK26='PIM Ranges'!$AW$22,IF($AI28&lt;'PIM Ranges'!$AX$22,"Q1",IF($AI28&lt;'PIM Ranges'!$AY$22,"Q2",IF($AI28&lt;'PIM Ranges'!$AZ$22,"Q3",IF($AI28&lt;'PIM Ranges'!$BA$22,"Q4","Q5")))),IF('PIM Ranges'!$AK26='PIM Ranges'!$AW$23,IF($AI28&lt;'PIM Ranges'!$AX$23,"Q1",IF($AI28&lt;'PIM Ranges'!$AY$23,"Q2",IF($AI28&lt;'PIM Ranges'!$AZ$23,"Q3",IF($AI28&lt;'PIM Ranges'!$BA$23,"Q4","Q5")))),IF('PIM Ranges'!$AK26='PIM Ranges'!$AW$24,IF($AI28&lt;'PIM Ranges'!$AX$24,"Q1",IF($AI28&lt;'PIM Ranges'!$AY$24,"Q2",IF($AI28&lt;'PIM Ranges'!$AZ$24,"Q3",IF($AI28&lt;'PIM Ranges'!$BA$24,"Q4","Q5")))),IF('PIM Ranges'!$AK26='PIM Ranges'!$AW$25,IF($AI28&lt;'PIM Ranges'!$AX$25,"Q1",IF($AI28&lt;'PIM Ranges'!$AY$25,"Q2",IF($AI28&lt;'PIM Ranges'!$AZ$25,"Q3",IF($AI28&lt;'PIM Ranges'!$BA$25,"Q4","Q5")))),IF('PIM Ranges'!$AK26='PIM Ranges'!$AW$26,IF($AI28&lt;'PIM Ranges'!$AX$26,"Q1",IF($AI28&lt;'PIM Ranges'!$AY$26,"Q2",IF($AI28&lt;'PIM Ranges'!$AZ$26,"Q3",IF($AI28&lt;'PIM Ranges'!$BA$26,"Q4","Q5")))),IF('PIM Ranges'!$AK26='PIM Ranges'!$AW$27,IF($AI28&lt;'PIM Ranges'!$AX$27,"Q1",IF($AI28&lt;'PIM Ranges'!$AY$27,"Q2",IF($AI28&lt;'PIM Ranges'!$AZ$27,"Q3",IF($AI28&lt;'PIM Ranges'!$BA$27,"Q4","Q5")))),IF('PIM Ranges'!$AK26='PIM Ranges'!$AW$28,IF($AI28&lt;'PIM Ranges'!$AX$28,"Q1",IF($AI28&lt;'PIM Ranges'!$AY$28,"Q2",IF($AI28&lt;'PIM Ranges'!$AZ$28,"Q3",IF($AI28&lt;'PIM Ranges'!$BA$28,"Q4","Q5")))),IF('PIM Ranges'!$AK26='PIM Ranges'!$AW$29,IF($AI28&lt;'PIM Ranges'!$AX$29,"Q1",IF($AI28&lt;'PIM Ranges'!$AY$29,"Q2",IF($AI28&lt;'PIM Ranges'!$AZ$29,"Q3",IF($AI28&lt;'PIM Ranges'!$BA$29,"Q4","Q5")))),IF('PIM Ranges'!$AK26='PIM Ranges'!$AW$30,IF($AI28&lt;'PIM Ranges'!$AX$30,"Q1",IF($AI28&lt;'PIM Ranges'!$AY$30,"Q2",IF($AI28&lt;'PIM Ranges'!$AZ$30,"Q3",IF($AI28&lt;'PIM Ranges'!$BA$30,"Q4","Q5")))),IF('PIM Ranges'!$AK26='PIM Ranges'!$AW$31,IF($AI28&lt;'PIM Ranges'!$AX$31,"Q1",IF($AI28&lt;'PIM Ranges'!$AY$31,"Q2",IF($AI28&lt;'PIM Ranges'!$AZ$31,"Q3",IF($AI28&lt;'PIM Ranges'!$BA$31,"Q4","Q5")))),IF('PIM Ranges'!$AK26='PIM Ranges'!$AW$32,IF($AI28&lt;'PIM Ranges'!$AX$32,"Q1",IF($AI28&lt;'PIM Ranges'!$AY$32,"Q2",IF($AI28&lt;'PIM Ranges'!$AZ$32,"Q3",IF($AI28&lt;'PIM Ranges'!$BA$32,"Q4","Q5"))))))))))))))))))))))))))</f>
        <v>Q1</v>
      </c>
      <c r="AN28" s="374">
        <f>VLOOKUP($AH28&amp;$AM28,'IMargin Quartiles'!$A:$F,6,FALSE)</f>
        <v>0.16</v>
      </c>
      <c r="AO28" s="374"/>
      <c r="AP28"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Q28" s="374" t="e">
        <f t="shared" si="25"/>
        <v>#DIV/0!</v>
      </c>
      <c r="AR28">
        <f>'PIM Model'!C24</f>
        <v>0</v>
      </c>
      <c r="AS28" s="374"/>
      <c r="AT28" s="374"/>
      <c r="AU28" s="374" t="e">
        <f t="shared" si="46"/>
        <v>#DIV/0!</v>
      </c>
      <c r="AV28" s="374"/>
      <c r="AW28" s="374"/>
      <c r="AX28" s="106">
        <v>17</v>
      </c>
      <c r="AY28" s="18">
        <f t="array" ref="AY28">IFERROR(IF($BL28="SEGMENT",INDEX('Margin Guidence Table'!$A$1:$AG$10000,MATCH(1,('Margin Guidence Table'!$A$1:$A$10000=$BJ28)*('Margin Guidence Table'!$I$1:$I$10000&lt;=ROUND($BB$3,0))*('Margin Guidence Table'!$J$1:$J$10000&gt;=ROUND($BB$3,0)),0),MATCH("PCT_SALES",'Margin Guidence Table'!$A$1:$AG$1,0)),INDEX('Margin Guidence Table'!$A$1:$AG$10000,MATCH(1,('Margin Guidence Table'!$A$1:$A$10000=$BJ28)*('Margin Guidence Table'!$I$1:$I$10000&lt;=ROUND($BB$3,0))*('Margin Guidence Table'!$J$1:$J$10000&gt;=ROUND($BB$3,0)),0),MATCH("DEFAULT_PCT_SALES",'Margin Guidence Table'!$A$1:$AG$1,0))),0)</f>
        <v>0</v>
      </c>
      <c r="AZ28" s="370" t="e">
        <f t="shared" si="26"/>
        <v>#DIV/0!</v>
      </c>
      <c r="BA28" s="100" t="s">
        <v>91</v>
      </c>
      <c r="BB28" s="92">
        <f>IFERROR(IF(AND($BB$2&lt;&gt;"Enter Spend&gt;&gt;&gt;",BC16="EXISTING"),SUMIFS('Existing Customers'!$Q:$Q,'Existing Customers'!$A:$A,$BB$1,'Existing Customers'!$H:$H,$BA28)*$BB$4,$BB$3*$AZ28),0)</f>
        <v>0</v>
      </c>
      <c r="BC28" s="93">
        <f>IFERROR(IF(AND($BB$2&lt;&gt;"Enter Spend&gt;&gt;&gt;",BC2="EXISTING"),SUMIFS('Existing Customers'!$N:$N,'Existing Customers'!$A:$A,$BB$1,'Existing Customers'!$H:$H,$BA28)*$BB$4,$BB28/$BM28),0)</f>
        <v>0</v>
      </c>
      <c r="BD28" s="93">
        <f>IFERROR(IF(AND($BB$2&lt;&gt;"Enter Spend&gt;&gt;&gt;",BC2="EXISTING"),SUMIFS('Existing Customers'!$O:$O,'Existing Customers'!$H:$H,$BA28,'Existing Customers'!$A:$A,$BB$1)*$BB$4,$BC28*$BB$8),0)</f>
        <v>0</v>
      </c>
      <c r="BE28" s="93">
        <f>IFERROR(IF(AND($BB$2&lt;&gt;"Enter Spend&gt;&gt;&gt;",BC2="EXISTING"),SUMIFS('Existing Customers'!$P:$P,'Existing Customers'!$A:$A,$BB$1,'Existing Customers'!$H:$H,$BA28)*$BB$4,$BB28/$BN28),0)</f>
        <v>0</v>
      </c>
      <c r="BF28" s="376">
        <f>IFERROR(IF(AND($BB$2&lt;&gt;"Enter Spend&gt;&gt;&gt;",BC2="EXISTING"),SUMIFS('Existing Customers'!$V:$V,'Existing Customers'!$H:$H,$BA28,'Existing Customers'!$A:$A,$BB$1)*$BB$4,0),0)</f>
        <v>0</v>
      </c>
      <c r="BG28" s="94">
        <f>IFERROR(IF(AND($BB$2&lt;&gt;"Enter Spend&gt;&gt;&gt;",BC2="EXISTING"),SUMIFS('Existing Customers'!$R:$R,'Existing Customers'!$H:$H,$BA28,'Existing Customers'!$A:$A,$BB$1)*$BB$4,0),0)</f>
        <v>0</v>
      </c>
      <c r="BH28" s="94">
        <f>IFERROR(IF(AND($BB$2&lt;&gt;"Enter Spend&gt;&gt;&gt;",BC2="EXISTING"),SUMIFS('Existing Customers'!$S:$S,'Existing Customers'!$H:$H,$BA28,'Existing Customers'!$A:$A,$BB$1),BR28*BB28),0)</f>
        <v>0</v>
      </c>
      <c r="BI28" s="94">
        <f>IFERROR(IF(AND($BB$2&lt;&gt;"Enter Spend&gt;&gt;&gt;",BC2="EXISTING"),SUMIFS('Existing Customers'!$U:$U,'Existing Customers'!$H:$H,$BA28,'Existing Customers'!$A:$A,$BB$1),BS28*BB28),0)</f>
        <v>0</v>
      </c>
      <c r="BJ28" s="1052" t="e">
        <f>_xlfn.CONCAT('Customer Inputs'!$AG$6,"_",BA28)</f>
        <v>#N/A</v>
      </c>
      <c r="BK28" s="1053">
        <f t="array" ref="BK28">IFERROR(INDEX('Margin Guidence Table'!$A$1:$AG$10000,MATCH(1,('Margin Guidence Table'!$A$1:$A$10000=$BJ28)*('Margin Guidence Table'!$I$1:$I$10000&lt;=ROUND($BB$3,0))*('Margin Guidence Table'!$J$1:$J$10000&gt;=ROUND($BB$3,0)),0),MATCH("DATA_POINTS",'Margin Guidence Table'!$A$1:$AG$1,0)),0)</f>
        <v>0</v>
      </c>
      <c r="BL28" s="1050" t="str">
        <f t="shared" si="27"/>
        <v>DEFAULT</v>
      </c>
      <c r="BM28" s="1050">
        <f t="array" ref="BM28">IFERROR(IF($BL28="SEGMENT",INDEX('Margin Guidence Table'!$A$1:$AG$10000,MATCH(1,('Margin Guidence Table'!$A$1:$A$10000=$BJ28)*('Margin Guidence Table'!$I$1:$I$10000&lt;=ROUND($BB$3,0))*('Margin Guidence Table'!$J$1:$J$10000&gt;=ROUND($BB$3,0)),0),MATCH("SALES_CASE",'Margin Guidence Table'!$A$1:$AG$1,0)),INDEX('Margin Guidence Table'!$A$1:$AG$10000,MATCH(1,('Margin Guidence Table'!$A$1:$A$10000=$BJ28)*('Margin Guidence Table'!$I$1:$I$10000&lt;=ROUND($BB$3,0))*('Margin Guidence Table'!$J$1:$J$10000&gt;=ROUND($BB$3,0)),0),MATCH("DEFAULT_SALES_CASE",'Margin Guidence Table'!$A$1:$AG$1,0))),0)</f>
        <v>0</v>
      </c>
      <c r="BN28" s="1050">
        <f t="array" ref="BN28">IFERROR(IF($BL28="SEGMENT",INDEX('Margin Guidence Table'!$A$1:$AG$10000,MATCH(1,('Margin Guidence Table'!$A$1:$A$10000=$BJ28)*('Margin Guidence Table'!$I$1:$I$10000&lt;=ROUND($BB$3,0))*('Margin Guidence Table'!$J$1:$J$10000&gt;=ROUND($BB$3,0)),0),MATCH("SALES_LBS",'Margin Guidence Table'!$A$1:$AG$1,0)),INDEX('Margin Guidence Table'!$A$1:$AG$10000,MATCH(1,('Margin Guidence Table'!$A$1:$A$10000=$BJ28)*('Margin Guidence Table'!$I$1:$I$10000&lt;=ROUND($BB$3,0))*('Margin Guidence Table'!$J$1:$J$10000&gt;=ROUND($BB$3,0)),0),MATCH("DEFAULT_SALES_LBS",'Margin Guidence Table'!$A$1:$AG$1,0))),0)</f>
        <v>0</v>
      </c>
      <c r="BO28" s="1054">
        <f t="array" ref="BO28">IFERROR(IF($BL28="SEGMENT",INDEX('Margin Guidence Table'!$A$1:$AG$10000,MATCH(1,('Margin Guidence Table'!$A$1:$A$10000=$BJ28)*('Margin Guidence Table'!$I$1:$I$10000&lt;=ROUND($BB$3,0))*('Margin Guidence Table'!$J$1:$J$10000&gt;=ROUND($BB$3,0)),0),MATCH("MDA_MIN_MARGIN_GUIDENCE",'Margin Guidence Table'!$A$1:$AG$1,0)),INDEX('Margin Guidence Table'!$A$1:$AG$10000,MATCH(1,('Margin Guidence Table'!$A$1:$A$10000=$BJ28)*('Margin Guidence Table'!$I$1:$I$10000&lt;=ROUND($BB$3,0))*('Margin Guidence Table'!$J$1:$J$10000&gt;=ROUND($BB$3,0)),0),MATCH("DEFAULT_MDA_MIN_MARGIN_GUIDENCE",'Margin Guidence Table'!$A$1:$AG$1,0))),0)</f>
        <v>0</v>
      </c>
      <c r="BP28" s="1054">
        <f t="array" ref="BP28">IFERROR(IF($BL28="SEGMENT",INDEX('Margin Guidence Table'!$A$1:$AG$10000,MATCH(1,('Margin Guidence Table'!$A$1:$A$10000=$BJ28)*('Margin Guidence Table'!$I$1:$I$10000&lt;=ROUND($BB$3,0))*('Margin Guidence Table'!$J$1:$J$10000&gt;=ROUND($BB$3,0)),0),MATCH("MDA_MEDIAN_MARGIN_GUIDENCE",'Margin Guidence Table'!$A$1:$AG$1,0)),INDEX('Margin Guidence Table'!$A$1:$AG$10000,MATCH(1,('Margin Guidence Table'!$A$1:$A$10000=$BJ28)*('Margin Guidence Table'!$I$1:$I$10000&lt;=ROUND($BB$3,0))*('Margin Guidence Table'!$J$1:$J$10000&gt;=ROUND($BB$3,0)),0),MATCH("DEFAULT_MDA_MEDIAN_MARGIN_GUIDENCE",'Margin Guidence Table'!$A$1:$AG$1,0))),0)</f>
        <v>0</v>
      </c>
      <c r="BQ28" s="1054">
        <f t="array" ref="BQ28">IFERROR(IF($BL28="SEGMENT",INDEX('Margin Guidence Table'!$A$1:$AG$10000,MATCH(1,('Margin Guidence Table'!$A$1:$A$10000=$BJ28)*('Margin Guidence Table'!$I$1:$I$10000&lt;=ROUND($BB$3,0))*('Margin Guidence Table'!$J$1:$J$10000&gt;=ROUND($BB$3,0)),0),MATCH("MDA_MAX_MARGIN_GUIDENCE",'Margin Guidence Table'!$A$1:$AG$1,0)),INDEX('Margin Guidence Table'!$A$1:$AG$10000,MATCH(1,('Margin Guidence Table'!$A$1:$A$10000=$BJ28)*('Margin Guidence Table'!$I$1:$I$10000&lt;=ROUND($BB$3,0))*('Margin Guidence Table'!$J$1:$J$10000&gt;=ROUND($BB$3,0)),0),MATCH("DEFAULT_MDA_MAX_MARGIN_GUIDENCE",'Margin Guidence Table'!$A$1:$AG$1,0))),0)</f>
        <v>0</v>
      </c>
      <c r="BR28" s="1054">
        <f t="array" ref="BR28">IFERROR(IF($BL28="SEGMENT",INDEX('Margin Guidence Table'!$A$1:$AG$10000,MATCH(1,('Margin Guidence Table'!$A$1:$A$10000=$BJ28)*('Margin Guidence Table'!$I$1:$I$10000&lt;=ROUND($BB$3,0))*('Margin Guidence Table'!$J$1:$J$10000&gt;=ROUND($BB$3,0)),0),MATCH("PA_PCT_SALES",'Margin Guidence Table'!$A$1:$AG$1,0)),INDEX('Margin Guidence Table'!$A$1:$AG$10000,MATCH(1,('Margin Guidence Table'!$A$1:$A$10000=$BJ28)*('Margin Guidence Table'!$I$1:$I$10000&lt;=ROUND($BB$3,0))*('Margin Guidence Table'!$J$1:$J$10000&gt;=ROUND($BB$3,0)),0),MATCH("DEFAULT_PA_PCT_SALES",'Margin Guidence Table'!$A$1:$AG$1,0))),0)</f>
        <v>0</v>
      </c>
      <c r="BS28" s="1054">
        <f t="array" ref="BS28">IFERROR(IF($BL28="SEGMENT",INDEX('Margin Guidence Table'!$A$1:$AG$10000,MATCH(1,('Margin Guidence Table'!$A$1:$A$10000=$BJ28)*('Margin Guidence Table'!$I$1:$I$10000&lt;=ROUND($BB$3,0))*('Margin Guidence Table'!$J$1:$J$10000&gt;=ROUND($BB$3,0)),0),MATCH("SELF_FUND_PCT_SALES",'Margin Guidence Table'!$A$1:$AG$1,0)),INDEX('Margin Guidence Table'!$A$1:$AG$10000,MATCH(1,('Margin Guidence Table'!$A$1:$A$10000=$BJ28)*('Margin Guidence Table'!$I$1:$I$10000&lt;=ROUND($BB$3,0))*('Margin Guidence Table'!$J$1:$J$10000&gt;=ROUND($BB$3,0)),0),MATCH("DEFAULT_SELF_FUND_PCT_SALES",'Margin Guidence Table'!$A$1:$AG$1,0))),0)</f>
        <v>0</v>
      </c>
      <c r="BT28" s="1054">
        <f t="array" ref="BT28">IFERROR(IF($BL28="SEGMENT",INDEX('Margin Guidence Table'!$A$1:$AG$10000,MATCH(1,('Margin Guidence Table'!$A$1:$A$10000=$BJ28)*('Margin Guidence Table'!$I$1:$I$10000&lt;=ROUND($BB$3,0))*('Margin Guidence Table'!$J$1:$J$10000&gt;=ROUND($BB$3,0)),0),MATCH("CIA_MEDIAN_MARGIN_GUIDENCE",'Margin Guidence Table'!$A$1:$AG$1,0)),INDEX('Margin Guidence Table'!$A$1:$AG$10000,MATCH(1,('Margin Guidence Table'!$A$1:$A$10000=$BJ28)*('Margin Guidence Table'!$I$1:$I$10000&lt;=ROUND($BB$3,0))*('Margin Guidence Table'!$J$1:$J$10000&gt;=ROUND($BB$3,0)),0),MATCH("DEFAULT_CIA_MEDIAN_MARGIN_GUIDENCE",'Margin Guidence Table'!$A$1:$AG$1,0))),0)</f>
        <v>0</v>
      </c>
      <c r="BU28" s="127"/>
      <c r="BV28" s="18">
        <f t="array" ref="BV28">IFERROR(IF($CI28="SEGMENT",INDEX('Margin Guidence Table'!$A$1:$AG$10000,MATCH(1,('Margin Guidence Table'!$A$1:$A$10000=$CG28)*('Margin Guidence Table'!$I$1:$I$10000&lt;=ROUND($BY$3,0))*('Margin Guidence Table'!$J$1:$J$10000&gt;=ROUND($BY$3,0)),0),MATCH("PCT_SALES",'Margin Guidence Table'!$A$1:$AG$1,0)),INDEX('Margin Guidence Table'!$A$1:$AG$10000,MATCH(1,('Margin Guidence Table'!$A$1:$A$10000=$CG28)*('Margin Guidence Table'!$I$1:$I$10000&lt;=ROUND($BY$3,0))*('Margin Guidence Table'!$J$1:$J$10000&gt;=ROUND($BY$3,0)),0),MATCH("DEFAULT_PCT_SALES",'Margin Guidence Table'!$A$1:$AG$1,0))),0)</f>
        <v>0</v>
      </c>
      <c r="BW28" s="370" t="e">
        <f t="shared" si="28"/>
        <v>#DIV/0!</v>
      </c>
      <c r="BX28" s="100" t="s">
        <v>91</v>
      </c>
      <c r="BY28" s="92">
        <f>IFERROR(IF(AND($BY$2&lt;&gt;"Enter Spend&gt;&gt;&gt;",BZ16="EXISTING"),SUMIFS('Existing Customers'!$Q:$Q,'Existing Customers'!$A:$A,$BY$1,'Existing Customers'!$H:$H,$BX28)*$BY$4,$BY$3*$BW28),0)</f>
        <v>0</v>
      </c>
      <c r="BZ28" s="87">
        <f>IFERROR(IF(AND($BY$2&lt;&gt;"Enter Spend&gt;&gt;&gt;",BZ2="EXISTING"),SUMIFS('Existing Customers'!$N:$N,'Existing Customers'!$A:$A,$BY$1,'Existing Customers'!$H:$H,$BX28)*$BY$4,$BY28/$CJ28),0)</f>
        <v>0</v>
      </c>
      <c r="CA28" s="93">
        <f>IFERROR(IF(AND($BY$2&lt;&gt;"Enter Spend&gt;&gt;&gt;",BZ2="EXISTING"),SUMIFS('Existing Customers'!$O:$O,'Existing Customers'!$H:$H,$BX28,'Existing Customers'!$A:$A,$BY$1)*$BY$4,$BZ28*$BY$8),0)</f>
        <v>0</v>
      </c>
      <c r="CB28" s="93">
        <f>IFERROR(IF(AND($BY$2&lt;&gt;"Enter Spend&gt;&gt;&gt;",BZ2="EXISTING"),SUMIFS('Existing Customers'!$P:$P,'Existing Customers'!$A:$A,$BY$1,'Existing Customers'!$H:$H,$BX28)*$BY$4,$BY28/$CK28),0)</f>
        <v>0</v>
      </c>
      <c r="CC28" s="94">
        <f>IFERROR(IF(AND($BY$2&lt;&gt;"Enter Spend&gt;&gt;&gt;",BZ2="EXISTING"),SUMIFS('Existing Customers'!$V:$V,'Existing Customers'!$H:$H,$BX28,'Existing Customers'!$A:$A,$BY$1)*$BY$4,0),0)</f>
        <v>0</v>
      </c>
      <c r="CD28" s="94">
        <f>IFERROR(IF(AND($BY$2&lt;&gt;"Enter Spend&gt;&gt;&gt;",BZ2="EXISTING"),SUMIFS('Existing Customers'!$R:$R,'Existing Customers'!$H:$H,$BX28,'Existing Customers'!$A:$A,$BY$1)*$BY$4,0),0)</f>
        <v>0</v>
      </c>
      <c r="CE28" s="1050">
        <f>IFERROR(IF(AND($BY$2&lt;&gt;"Enter Spend&gt;&gt;&gt;",BZ2="EXISTING"),SUMIFS('Existing Customers'!$S:$S,'Existing Customers'!$H:$H,$BX28,'Existing Customers'!$A:$A,$BY$1),CO28*BY28),0)</f>
        <v>0</v>
      </c>
      <c r="CF28" s="1050">
        <f>IFERROR(IF(AND($BY$2&lt;&gt;"Enter Spend&gt;&gt;&gt;",BZ2="EXISTING"),SUMIFS('Existing Customers'!$U:$U,'Existing Customers'!$H:$H,$BX28,'Existing Customers'!$A:$A,$BY$1),CP28*BY28),0)</f>
        <v>0</v>
      </c>
      <c r="CG28" s="1053" t="e">
        <f>_xlfn.CONCAT('Customer Inputs'!$AG$7,"_",BX28)</f>
        <v>#N/A</v>
      </c>
      <c r="CH28" s="1053">
        <f t="array" ref="CH28">IFERROR(INDEX('Margin Guidence Table'!$A$1:$AG$10000,MATCH(1,('Margin Guidence Table'!$A$1:$A$10000=$CG28)*('Margin Guidence Table'!$I$1:$I$10000&lt;=ROUND($BY$3,0))*('Margin Guidence Table'!$J$1:$J$10000&gt;=ROUND($BY$3,0)),0),MATCH("DATA_POINTS",'Margin Guidence Table'!$A$1:$AG$1,0)),0)</f>
        <v>0</v>
      </c>
      <c r="CI28" s="1050" t="str">
        <f t="shared" si="29"/>
        <v>DEFAULT</v>
      </c>
      <c r="CJ28" s="1050">
        <f t="array" ref="CJ28">IFERROR(IF($CI28="SEGMENT",INDEX('Margin Guidence Table'!$A$1:$AG$10000,MATCH(1,('Margin Guidence Table'!$A$1:$A$10000=$CG28)*('Margin Guidence Table'!$I$1:$I$10000&lt;=ROUND($BY$3,0))*('Margin Guidence Table'!$J$1:$J$10000&gt;=ROUND($BY$3,0)),0),MATCH("SALES_CASE",'Margin Guidence Table'!$A$1:$AG$1,0)),INDEX('Margin Guidence Table'!$A$1:$AG$10000,MATCH(1,('Margin Guidence Table'!$A$1:$A$10000=$CG28)*('Margin Guidence Table'!$I$1:$I$10000&lt;=ROUND($BY$3,0))*('Margin Guidence Table'!$J$1:$J$10000&gt;=ROUND($BY$3,0)),0),MATCH("DEFAULT_SALES_CASE",'Margin Guidence Table'!$A$1:$AG$1,0))),0)</f>
        <v>0</v>
      </c>
      <c r="CK28" s="1050">
        <f t="array" ref="CK28">IFERROR(IF($CI28="SEGMENT",INDEX('Margin Guidence Table'!$A$1:$AG$10000,MATCH(1,('Margin Guidence Table'!$A$1:$A$10000=$CG28)*('Margin Guidence Table'!$I$1:$I$10000&lt;=ROUND($BY$3,0))*('Margin Guidence Table'!$J$1:$J$10000&gt;=ROUND($BY$3,0)),0),MATCH("SALES_LBS",'Margin Guidence Table'!$A$1:$AG$1,0)),INDEX('Margin Guidence Table'!$A$1:$AG$10000,MATCH(1,('Margin Guidence Table'!$A$1:$A$10000=$CG28)*('Margin Guidence Table'!$I$1:$I$10000&lt;=ROUND($BY$3,0))*('Margin Guidence Table'!$J$1:$J$10000&gt;=ROUND($BY$3,0)),0),MATCH("DEFAULT_SALES_LBS",'Margin Guidence Table'!$A$1:$AG$1,0))),0)</f>
        <v>0</v>
      </c>
      <c r="CL28" s="1054">
        <f t="array" ref="CL28">IFERROR(IF($CI28="SEGMENT",INDEX('Margin Guidence Table'!$A$1:$AG$10000,MATCH(1,('Margin Guidence Table'!$A$1:$A$10000=$CG28)*('Margin Guidence Table'!$I$1:$I$10000&lt;=ROUND($BY$3,0))*('Margin Guidence Table'!$J$1:$J$10000&gt;=ROUND($BY$3,0)),0),MATCH("MDA_MIN_MARGIN_GUIDENCE",'Margin Guidence Table'!$A$1:$AG$1,0)),INDEX('Margin Guidence Table'!$A$1:$AG$10000,MATCH(1,('Margin Guidence Table'!$A$1:$A$10000=$CG28)*('Margin Guidence Table'!$I$1:$I$10000&lt;=ROUND($BY$3,0))*('Margin Guidence Table'!$J$1:$J$10000&gt;=ROUND($BY$3,0)),0),MATCH("DEFAULT_MDA_MIN_MARGIN_GUIDENCE",'Margin Guidence Table'!$A$1:$AG$1,0))),0)</f>
        <v>0</v>
      </c>
      <c r="CM28" s="1054">
        <f t="array" ref="CM28">IFERROR(IF($CI28="SEGMENT",INDEX('Margin Guidence Table'!$A$1:$AG$10000,MATCH(1,('Margin Guidence Table'!$A$1:$A$10000=$CG28)*('Margin Guidence Table'!$I$1:$I$10000&lt;=ROUND($BY$3,0))*('Margin Guidence Table'!$J$1:$J$10000&gt;=ROUND($BY$3,0)),0),MATCH("MDA_MEDIAN_MARGIN_GUIDENCE",'Margin Guidence Table'!$A$1:$AG$1,0)),INDEX('Margin Guidence Table'!$A$1:$AG$10000,MATCH(1,('Margin Guidence Table'!$A$1:$A$10000=$CG28)*('Margin Guidence Table'!$I$1:$I$10000&lt;=ROUND($BY$3,0))*('Margin Guidence Table'!$J$1:$J$10000&gt;=ROUND($BY$3,0)),0),MATCH("DEFAULT_MDA_MEDIAN_MARGIN_GUIDENCE",'Margin Guidence Table'!$A$1:$AG$1,0))),0)</f>
        <v>0</v>
      </c>
      <c r="CN28" s="1054">
        <f t="array" ref="CN28">IFERROR(IF($CI28="SEGMENT",INDEX('Margin Guidence Table'!$A$1:$AG$10000,MATCH(1,('Margin Guidence Table'!$A$1:$A$10000=$CG28)*('Margin Guidence Table'!$I$1:$I$10000&lt;=ROUND($BY$3,0))*('Margin Guidence Table'!$J$1:$J$10000&gt;=ROUND($BY$3,0)),0),MATCH("MDA_MAX_MARGIN_GUIDENCE",'Margin Guidence Table'!$A$1:$AG$1,0)),INDEX('Margin Guidence Table'!$A$1:$AG$10000,MATCH(1,('Margin Guidence Table'!$A$1:$A$10000=$CG28)*('Margin Guidence Table'!$I$1:$I$10000&lt;=ROUND($BY$3,0))*('Margin Guidence Table'!$J$1:$J$10000&gt;=ROUND($BY$3,0)),0),MATCH("DEFAULT_MDA_MAX_MARGIN_GUIDENCE",'Margin Guidence Table'!$A$1:$AG$1,0))),0)</f>
        <v>0</v>
      </c>
      <c r="CO28" s="1054">
        <f t="array" ref="CO28">IFERROR(IF($CI28="SEGMENT",INDEX('Margin Guidence Table'!$A$1:$AG$10000,MATCH(1,('Margin Guidence Table'!$A$1:$A$10000=$CG28)*('Margin Guidence Table'!$I$1:$I$10000&lt;=ROUND($BY$3,0))*('Margin Guidence Table'!$J$1:$J$10000&gt;=ROUND($BY$3,0)),0),MATCH("PA_PCT_SALES",'Margin Guidence Table'!$A$1:$AG$1,0)),INDEX('Margin Guidence Table'!$A$1:$AG$10000,MATCH(1,('Margin Guidence Table'!$A$1:$A$10000=$CG28)*('Margin Guidence Table'!$I$1:$I$10000&lt;=ROUND($BY$3,0))*('Margin Guidence Table'!$J$1:$J$10000&gt;=ROUND($BY$3,0)),0),MATCH("DEFAULT_PA_PCT_SALES",'Margin Guidence Table'!$A$1:$AG$1,0))),0)</f>
        <v>0</v>
      </c>
      <c r="CP28" s="1054">
        <f t="array" ref="CP28">IFERROR(IF($CI28="SEGMENT",INDEX('Margin Guidence Table'!$A$1:$AG$10000,MATCH(1,('Margin Guidence Table'!$A$1:$A$10000=$CG28)*('Margin Guidence Table'!$I$1:$I$10000&lt;=ROUND($BY$3,0))*('Margin Guidence Table'!$J$1:$J$10000&gt;=ROUND($BY$3,0)),0),MATCH("SELF_FUND_PCT_SALES",'Margin Guidence Table'!$A$1:$AG$1,0)),INDEX('Margin Guidence Table'!$A$1:$AG$10000,MATCH(1,('Margin Guidence Table'!$A$1:$A$10000=$CG28)*('Margin Guidence Table'!$I$1:$I$10000&lt;=ROUND($BY$3,0))*('Margin Guidence Table'!$J$1:$J$10000&gt;=ROUND($BY$3,0)),0),MATCH("DEFAULT_SELF_FUND_PCT_SALES",'Margin Guidence Table'!$A$1:$AG$1,0))),0)</f>
        <v>0</v>
      </c>
      <c r="CQ28" s="1054">
        <f t="array" ref="CQ28">IFERROR(IF($CI28="SEGMENT",INDEX('Margin Guidence Table'!$A$1:$AG$10000,MATCH(1,('Margin Guidence Table'!$A$1:$A$10000=$CG28)*('Margin Guidence Table'!$I$1:$I$10000&lt;=ROUND($BY$3,0))*('Margin Guidence Table'!$J$1:$J$10000&gt;=ROUND($BY$3,0)),0),MATCH("CIA_MEDIAN_MARGIN_GUIDENCE",'Margin Guidence Table'!$A$1:$AG$1,0)),INDEX('Margin Guidence Table'!$A$1:$AG$10000,MATCH(1,('Margin Guidence Table'!$A$1:$A$10000=$CG28)*('Margin Guidence Table'!$I$1:$I$10000&lt;=ROUND($BY$3,0))*('Margin Guidence Table'!$J$1:$J$10000&gt;=ROUND($BY$3,0)),0),MATCH("DEFAULT_CIA_MEDIAN_MARGIN_GUIDENCE",'Margin Guidence Table'!$A$1:$AG$1,0))),0)</f>
        <v>0</v>
      </c>
      <c r="CR28" s="127"/>
      <c r="CS28" s="18">
        <f t="array" ref="CS28">IFERROR(IF($DF28="SEGMENT",INDEX('Margin Guidence Table'!$A$1:$AG$10000,MATCH(1,('Margin Guidence Table'!$A$1:$A$10000=$DD28)*('Margin Guidence Table'!$I$1:$I$10000&lt;=ROUND($CV$3,0))*('Margin Guidence Table'!$J$1:$J$10000&gt;=ROUND($CV$3,0)),0),MATCH("PCT_SALES",'Margin Guidence Table'!$A$1:$AG$1,0)),INDEX('Margin Guidence Table'!$A$1:$AG$10000,MATCH(1,('Margin Guidence Table'!$A$1:$A$10000=$DD28)*('Margin Guidence Table'!$I$1:$I$10000&lt;=ROUND($CV$3,0))*('Margin Guidence Table'!$J$1:$J$10000&gt;=ROUND($CV$3,0)),0),MATCH("DEFAULT_PCT_SALES",'Margin Guidence Table'!$A$1:$AG$1,0))),0)</f>
        <v>0</v>
      </c>
      <c r="CT28" s="370" t="e">
        <f t="shared" si="30"/>
        <v>#DIV/0!</v>
      </c>
      <c r="CU28" s="100" t="s">
        <v>91</v>
      </c>
      <c r="CV28" s="92">
        <f>IFERROR(IF(AND($CV$2&lt;&gt;"Enter Spend&gt;&gt;&gt;",CW16="EXISTING"),SUMIFS('Existing Customers'!$Q:$Q,'Existing Customers'!$A:$A,$CV$1,'Existing Customers'!$H:$H,$CU28)*$CV$4,$CV$3*$CT28),0)</f>
        <v>0</v>
      </c>
      <c r="CW28" s="87">
        <f>IFERROR(IF(AND($CV$2&lt;&gt;"Enter Spend&gt;&gt;&gt;",CW2="EXISTING"),SUMIFS('Existing Customers'!$N:$N,'Existing Customers'!$A:$A,$CV$1,'Existing Customers'!$H:$H,$CU28)*$CV$4,$CV28/$DG28),0)</f>
        <v>0</v>
      </c>
      <c r="CX28" s="93">
        <f>IFERROR(IF(AND($CV$2&lt;&gt;"Enter Spend&gt;&gt;&gt;",BC28="EXISTING"),SUMIFS('Existing Customers'!$O:$O,'Existing Customers'!$H:$H,$CU28,'Existing Customers'!$A:$A,$CV$1)*$CV$4,$CW28*$CV$8),0)</f>
        <v>0</v>
      </c>
      <c r="CY28" s="93">
        <f>IFERROR(IF(AND($CV$2&lt;&gt;"Enter Spend&gt;&gt;&gt;",CW2="EXISTING"),SUMIFS('Existing Customers'!$P:$P,'Existing Customers'!$A:$A,$CV$1,'Existing Customers'!$H:$H,$CU28)*$CV$4,$CV28/$DH28),0)</f>
        <v>0</v>
      </c>
      <c r="CZ28" s="94">
        <f>IFERROR(IF(AND($CV$2&lt;&gt;"Enter Spend&gt;&gt;&gt;",CW2="EXISTING"),SUMIFS('Existing Customers'!$V:$V,'Existing Customers'!$H:$H,$CU28,'Existing Customers'!$A:$A,$CV$1)*$CV$4,0),0)</f>
        <v>0</v>
      </c>
      <c r="DA28" s="94">
        <f>IFERROR(IF(AND($CV$2&lt;&gt;"Enter Spend&gt;&gt;&gt;",CW2="EXISTING"),SUMIFS('Existing Customers'!$R:$R,'Existing Customers'!$H:$H,$BA28,'Existing Customers'!$A:$A,$CV$1)*$CV$4,0),0)</f>
        <v>0</v>
      </c>
      <c r="DB28" s="1050">
        <f>IFERROR(IF(AND($CV$2&lt;&gt;"Enter Spend&gt;&gt;&gt;",CW2="EXISTING"),SUMIFS('Existing Customers'!$S:$S,'Existing Customers'!$H:$H,$CU28,'Existing Customers'!$A:$A,$CV$1),DL28*CV28),0)</f>
        <v>0</v>
      </c>
      <c r="DC28" s="1050">
        <f>IFERROR(IF(AND($CV$2&lt;&gt;"Enter Spend&gt;&gt;&gt;",CW2="EXISTING"),SUMIFS('Existing Customers'!$U:$U,'Existing Customers'!$H:$H,$CU28,'Existing Customers'!$A:$A,$CV$1),DM28*CV28),0)</f>
        <v>0</v>
      </c>
      <c r="DD28" s="1053" t="e">
        <f>_xlfn.CONCAT('Customer Inputs'!$AG$8,"_",CU28)</f>
        <v>#N/A</v>
      </c>
      <c r="DE28" s="1053">
        <f t="array" ref="DE28">IFERROR(INDEX('Margin Guidence Table'!$A$1:$AG$10000,MATCH(1,('Margin Guidence Table'!$A$1:$A$10000=DD28)*('Margin Guidence Table'!$I$1:$I$10000&lt;=ROUND($CV$3,0))*('Margin Guidence Table'!$J$1:$J$10000&gt;=ROUND($CV$3,0)),0),MATCH("DATA_POINTS",'Margin Guidence Table'!$A$1:$AG$1,0)),0)</f>
        <v>0</v>
      </c>
      <c r="DF28" s="1050" t="str">
        <f t="shared" si="31"/>
        <v>DEFAULT</v>
      </c>
      <c r="DG28" s="1050">
        <f t="array" ref="DG28">IFERROR(IF($DF28="SEGMENT",INDEX('Margin Guidence Table'!$A$1:$AG$10000,MATCH(1,('Margin Guidence Table'!$A$1:$A$10000=DD28)*('Margin Guidence Table'!$I$1:$I$10000&lt;=ROUND($CV$3,0))*('Margin Guidence Table'!$J$1:$J$10000&gt;=ROUND($CV$3,0)),0),MATCH("SALES_CASE",'Margin Guidence Table'!$A$1:$AG$1,0)),INDEX('Margin Guidence Table'!$A$1:$AG$10000,MATCH(1,('Margin Guidence Table'!$A$1:$A$10000=DD28)*('Margin Guidence Table'!$I$1:$I$10000&lt;=ROUND($CV$3,0))*('Margin Guidence Table'!$J$1:$J$10000&gt;=ROUND($CV$3,0)),0),MATCH("DEFAULT_SALES_CASE",'Margin Guidence Table'!$A$1:$AG$1,0))),0)</f>
        <v>0</v>
      </c>
      <c r="DH28" s="1050">
        <f t="array" ref="DH28">IFERROR(IF($DF28="SEGMENT",INDEX('Margin Guidence Table'!$A$1:$AG$10000,MATCH(1,('Margin Guidence Table'!$A$1:$A$10000=DD28)*('Margin Guidence Table'!$I$1:$I$10000&lt;=ROUND($CV$3,0))*('Margin Guidence Table'!$J$1:$J$10000&gt;=ROUND($CV$3,0)),0),MATCH("SALES_LBS",'Margin Guidence Table'!$A$1:$AG$1,0)),INDEX('Margin Guidence Table'!$A$1:$AG$10000,MATCH(1,('Margin Guidence Table'!$A$1:$A$10000=DD28)*('Margin Guidence Table'!$I$1:$I$10000&lt;=ROUND($CV$3,0))*('Margin Guidence Table'!$J$1:$J$10000&gt;=ROUND($CV$3,0)),0),MATCH("DEFAULT_SALES_LBS",'Margin Guidence Table'!$A$1:$AG$1,0))),0)</f>
        <v>0</v>
      </c>
      <c r="DI28" s="1054">
        <f t="array" ref="DI28">IFERROR(IF($DF28="SEGMENT",INDEX('Margin Guidence Table'!$A$1:$AG$10000,MATCH(1,('Margin Guidence Table'!$A$1:$A$10000=DD28)*('Margin Guidence Table'!$I$1:$I$10000&lt;=ROUND($CV$3,0))*('Margin Guidence Table'!$J$1:$J$10000&gt;=ROUND($CV$3,0)),0),MATCH("MDA_MIN_MARGIN_GUIDENCE",'Margin Guidence Table'!$A$1:$AG$1,0)),INDEX('Margin Guidence Table'!$A$1:$AG$10000,MATCH(1,('Margin Guidence Table'!$A$1:$A$10000=DD28)*('Margin Guidence Table'!$I$1:$I$10000&lt;=ROUND($CV$3,0))*('Margin Guidence Table'!$J$1:$J$10000&gt;=ROUND($CV$3,0)),0),MATCH("DEFAULT_MDA_MIN_MARGIN_GUIDENCE",'Margin Guidence Table'!$A$1:$AG$1,0))),0)</f>
        <v>0</v>
      </c>
      <c r="DJ28" s="1054">
        <f t="array" ref="DJ28">IFERROR(IF($DF28="SEGMENT",INDEX('Margin Guidence Table'!$A$1:$AG$10000,MATCH(1,('Margin Guidence Table'!$A$1:$A$10000=DD28)*('Margin Guidence Table'!$I$1:$I$10000&lt;=ROUND($CV$3,0))*('Margin Guidence Table'!$J$1:$J$10000&gt;=ROUND($CV$3,0)),0),MATCH("MDA_MEDIAN_MARGIN_GUIDENCE",'Margin Guidence Table'!$A$1:$AG$1,0)),INDEX('Margin Guidence Table'!$A$1:$AG$10000,MATCH(1,('Margin Guidence Table'!$A$1:$A$10000=DD28)*('Margin Guidence Table'!$I$1:$I$10000&lt;=ROUND($CV$3,0))*('Margin Guidence Table'!$J$1:$J$10000&gt;=ROUND($CV$3,0)),0),MATCH("DEFAULT_MDA_MEDIAN_MARGIN_GUIDENCE",'Margin Guidence Table'!$A$1:$AG$1,0))),0)</f>
        <v>0</v>
      </c>
      <c r="DK28" s="1054">
        <f t="array" ref="DK28">IFERROR(IF($DF28="SEGMENT",INDEX('Margin Guidence Table'!$A$1:$AG$10000,MATCH(1,('Margin Guidence Table'!$A$1:$A$10000=DD28)*('Margin Guidence Table'!$I$1:$I$10000&lt;=ROUND($CV$3,0))*('Margin Guidence Table'!$J$1:$J$10000&gt;=ROUND($CV$3,0)),0),MATCH("MDA_MAX_MARGIN_GUIDENCE",'Margin Guidence Table'!$A$1:$AG$1,0)),INDEX('Margin Guidence Table'!$A$1:$AG$10000,MATCH(1,('Margin Guidence Table'!$A$1:$A$10000=DD28)*('Margin Guidence Table'!$I$1:$I$10000&lt;=ROUND($CV$3,0))*('Margin Guidence Table'!$J$1:$J$10000&gt;=ROUND($CV$3,0)),0),MATCH("DEFAULT_MDA_MAX_MARGIN_GUIDENCE",'Margin Guidence Table'!$A$1:$AG$1,0))),0)</f>
        <v>0</v>
      </c>
      <c r="DL28" s="1054">
        <f t="array" ref="DL28">IFERROR(IF($DF28="SEGMENT",INDEX('Margin Guidence Table'!$A$1:$AG$10000,MATCH(1,('Margin Guidence Table'!$A$1:$A$10000=DD28)*('Margin Guidence Table'!$I$1:$I$10000&lt;=ROUND($CV$3,0))*('Margin Guidence Table'!$J$1:$J$10000&gt;=ROUND($CV$3,0)),0),MATCH("PA_PCT_SALES",'Margin Guidence Table'!$A$1:$AG$1,0)),INDEX('Margin Guidence Table'!$A$1:$AG$10000,MATCH(1,('Margin Guidence Table'!$A$1:$A$10000=DD28)*('Margin Guidence Table'!$I$1:$I$10000&lt;=ROUND($CV$3,0))*('Margin Guidence Table'!$J$1:$J$10000&gt;=ROUND($CV$3,0)),0),MATCH("DEFAULT_PA_PCT_SALES",'Margin Guidence Table'!$A$1:$AG$1,0))),0)</f>
        <v>0</v>
      </c>
      <c r="DM28" s="1054">
        <f t="array" ref="DM28">IFERROR(IF($DF28="SEGMENT",INDEX('Margin Guidence Table'!$A$1:$AG$10000,MATCH(1,('Margin Guidence Table'!$A$1:$A$10000=DD28)*('Margin Guidence Table'!$I$1:$I$10000&lt;=ROUND($CV$3,0))*('Margin Guidence Table'!$J$1:$J$10000&gt;=ROUND($CV$3,0)),0),MATCH("SELF_FUND_PCT_SALES",'Margin Guidence Table'!$A$1:$AG$1,0)),INDEX('Margin Guidence Table'!$A$1:$AG$10000,MATCH(1,('Margin Guidence Table'!$A$1:$A$10000=DD28)*('Margin Guidence Table'!$I$1:$I$10000&lt;=ROUND($CV$3,0))*('Margin Guidence Table'!$J$1:$J$10000&gt;=ROUND($CV$3,0)),0),MATCH("DEFAULT_SELF_FUND_PCT_SALES",'Margin Guidence Table'!$A$1:$AG$1,0))),0)</f>
        <v>0</v>
      </c>
      <c r="DN28" s="1054">
        <f t="array" ref="DN28">IFERROR(IF($DF28="SEGMENT",INDEX('Margin Guidence Table'!$A$1:$AG$10000,MATCH(1,('Margin Guidence Table'!$A$1:$A$10000=DD28)*('Margin Guidence Table'!$I$1:$I$10000&lt;=ROUND($CV$3,0))*('Margin Guidence Table'!$J$1:$J$10000&gt;=ROUND($CV$3,0)),0),MATCH("CIA_MEDIAN_MARGIN_GUIDENCE",'Margin Guidence Table'!$A$1:$AG$1,0)),INDEX('Margin Guidence Table'!$A$1:$AG$10000,MATCH(1,('Margin Guidence Table'!$A$1:$A$10000=DD28)*('Margin Guidence Table'!$I$1:$I$10000&lt;=ROUND($CV$3,0))*('Margin Guidence Table'!$J$1:$J$10000&gt;=ROUND($CV$3,0)),0),MATCH("DEFAULT_CIA_MEDIAN_MARGIN_GUIDENCE",'Margin Guidence Table'!$A$1:$AG$1,0))),0)</f>
        <v>0</v>
      </c>
      <c r="DO28" s="127"/>
      <c r="DP28" s="18">
        <f t="array" ref="DP28">IFERROR(IF($EC28="SEGMENT",INDEX('Margin Guidence Table'!$A$1:$AG$10000,MATCH(1,('Margin Guidence Table'!$A$1:$A$10000=$EA28)*('Margin Guidence Table'!$I$1:$I$10000&lt;=ROUND($DS$3,0))*('Margin Guidence Table'!$J$1:$J$10000&gt;=ROUND($DS$3,0)),0),MATCH("PCT_SALES",'Margin Guidence Table'!$A$1:$AG$1,0)),INDEX('Margin Guidence Table'!$A$1:$AG$10000,MATCH(1,('Margin Guidence Table'!$A$1:$A$10000=$EA28)*('Margin Guidence Table'!$I$1:$I$10000&lt;=ROUND($DS$3,0))*('Margin Guidence Table'!$J$1:$J$10000&gt;=ROUND($DS$3,0)),0),MATCH("DEFAULT_PCT_SALES",'Margin Guidence Table'!$A$1:$AG$1,0))),0)</f>
        <v>0</v>
      </c>
      <c r="DQ28" s="370" t="e">
        <f t="shared" si="32"/>
        <v>#DIV/0!</v>
      </c>
      <c r="DR28" s="100" t="s">
        <v>91</v>
      </c>
      <c r="DS28" s="92">
        <f>IFERROR(IF(AND($DS$2&lt;&gt;"Enter Spend&gt;&gt;&gt;",DT16="EXISTING"),SUMIFS('Existing Customers'!$Q:$Q,'Existing Customers'!$A:$A,$DS$1,'Existing Customers'!$H:$H,$DR28)*$DS$4,$DS$3*$DQ28),0)</f>
        <v>0</v>
      </c>
      <c r="DT28" s="87">
        <f>IFERROR(IF(AND($DS$2&lt;&gt;"Enter Spend&gt;&gt;&gt;",DT2="EXISTING"),SUMIFS('Existing Customers'!$N:$N,'Existing Customers'!$A:$A,$DS$1,'Existing Customers'!$H:$H,$DR28)*$DS$4,$DS28/$ED28),0)</f>
        <v>0</v>
      </c>
      <c r="DU28" s="93">
        <f>IFERROR(IF(AND($DS$2&lt;&gt;"Enter Spend&gt;&gt;&gt;",DT2="EXISTING"),SUMIFS('Existing Customers'!$O:$O,'Existing Customers'!$H:$H,$DR28,'Existing Customers'!$A:$A,$DS$1)*$DS$4,$DT28*$DS$8),0)</f>
        <v>0</v>
      </c>
      <c r="DV28" s="93">
        <f>IFERROR(IF(AND($DS$2&lt;&gt;"Enter Spend&gt;&gt;&gt;",DT2="EXISTING"),SUMIFS('Existing Customers'!$P:$P,'Existing Customers'!$A:$A,$DS$1,'Existing Customers'!$H:$H,$DR28)*$DS$4,$DS28/$EE28),0)</f>
        <v>0</v>
      </c>
      <c r="DW28" s="94">
        <f>IFERROR(IF(AND($DS$2&lt;&gt;"Enter Spend&gt;&gt;&gt;",EQ2="EXISTING"),SUMIFS('Existing Customers'!$V:$V,'Existing Customers'!$H:$H,$DR28,'Existing Customers'!$A:$A,$DS$1)*$DS$4,0),0)</f>
        <v>0</v>
      </c>
      <c r="DX28" s="94">
        <f>IFERROR(IF(AND($DS$2&lt;&gt;"Enter Spend&gt;&gt;&gt;",DT2="EXISTING"),SUMIFS('Existing Customers'!$R:$R,'Existing Customers'!$H:$H,$DR28,'Existing Customers'!$A:$A,$DS$1)*$DS$4,0),0)</f>
        <v>0</v>
      </c>
      <c r="DY28" s="1050">
        <f>IFERROR(IF(AND($DS$2&lt;&gt;"Enter Spend&gt;&gt;&gt;",DT2="EXISTING"),SUMIFS('Existing Customers'!$S:$S,'Existing Customers'!$H:$H,$DT28,'Existing Customers'!$A:$A,$DS$1),EI28*DS28),0)</f>
        <v>0</v>
      </c>
      <c r="DZ28" s="1050">
        <f>IFERROR(IF(AND($DS$2&lt;&gt;"Enter Spend&gt;&gt;&gt;",DT2="EXISTING"),SUMIFS('Existing Customers'!$U:$U,'Existing Customers'!$H:$H,$DR28,'Existing Customers'!$A:$A,$DS$1),EJ28*DS28),0)</f>
        <v>0</v>
      </c>
      <c r="EA28" s="1053" t="e">
        <f>_xlfn.CONCAT('Customer Inputs'!$AG$9,"_",DR28)</f>
        <v>#N/A</v>
      </c>
      <c r="EB28" s="1053">
        <f t="array" ref="EB28">IFERROR(INDEX('Margin Guidence Table'!$A$1:$AG$10000,MATCH(1,('Margin Guidence Table'!$A$1:$A$10000=EA28)*('Margin Guidence Table'!$I$1:$I$10000&lt;=ROUND($DS$3,0))*('Margin Guidence Table'!$J$1:$J$10000&gt;=ROUND($DS$3,0)),0),MATCH("DATA_POINTS",'Margin Guidence Table'!$A$1:$AG$1,0)),0)</f>
        <v>0</v>
      </c>
      <c r="EC28" s="1050" t="str">
        <f t="shared" si="33"/>
        <v>DEFAULT</v>
      </c>
      <c r="ED28" s="1050">
        <f t="array" ref="ED28">IFERROR(IF($EC28="SEGMENT",INDEX('Margin Guidence Table'!$A$1:$AG$10000,MATCH(1,('Margin Guidence Table'!$A$1:$A$10000=EA28)*('Margin Guidence Table'!$I$1:$I$10000&lt;=ROUND($DS$3,0))*('Margin Guidence Table'!$J$1:$J$10000&gt;=ROUND($DS$3,0)),0),MATCH("SALES_CASE",'Margin Guidence Table'!$A$1:$AG$1,0)),INDEX('Margin Guidence Table'!$A$1:$AG$10000,MATCH(1,('Margin Guidence Table'!$A$1:$A$10000=EA28)*('Margin Guidence Table'!$I$1:$I$10000&lt;=ROUND($DS$3,0))*('Margin Guidence Table'!$J$1:$J$10000&gt;=ROUND($DS$3,0)),0),MATCH("DEFAULT_SALES_CASE",'Margin Guidence Table'!$A$1:$AG$1,0))),0)</f>
        <v>0</v>
      </c>
      <c r="EE28" s="1050">
        <f t="array" ref="EE28">IFERROR(IF($EC28="SEGMENT",INDEX('Margin Guidence Table'!$A$1:$AG$10000,MATCH(1,('Margin Guidence Table'!$A$1:$A$10000=EA28)*('Margin Guidence Table'!$I$1:$I$10000&lt;=ROUND($DS$3,0))*('Margin Guidence Table'!$J$1:$J$10000&gt;=ROUND($DS$3,0)),0),MATCH("SALES_LBS",'Margin Guidence Table'!$A$1:$AG$1,0)),INDEX('Margin Guidence Table'!$A$1:$AG$10000,MATCH(1,('Margin Guidence Table'!$A$1:$A$10000=EA28)*('Margin Guidence Table'!$I$1:$I$10000&lt;=ROUND($DS$3,0))*('Margin Guidence Table'!$J$1:$J$10000&gt;=ROUND($DS$3,0)),0),MATCH("DEFAULT_SALES_LBS",'Margin Guidence Table'!$A$1:$AG$1,0))),0)</f>
        <v>0</v>
      </c>
      <c r="EF28" s="1054">
        <f t="array" ref="EF28">IFERROR(IF($EC28="SEGMENT",INDEX('Margin Guidence Table'!$A$1:$AG$10000,MATCH(1,('Margin Guidence Table'!$A$1:$A$10000=EA28)*('Margin Guidence Table'!$I$1:$I$10000&lt;=ROUND($DS$3,0))*('Margin Guidence Table'!$J$1:$J$10000&gt;=ROUND($DS$3,0)),0),MATCH("MDA_MIN_MARGIN_GUIDENCE",'Margin Guidence Table'!$A$1:$AG$1,0)),INDEX('Margin Guidence Table'!$A$1:$AG$10000,MATCH(1,('Margin Guidence Table'!$A$1:$A$10000=EA28)*('Margin Guidence Table'!$I$1:$I$10000&lt;=ROUND($DS$3,0))*('Margin Guidence Table'!$J$1:$J$10000&gt;=ROUND($DS$3,0)),0),MATCH("DEFAULT_MDA_MIN_MARGIN_GUIDENCE",'Margin Guidence Table'!$A$1:$AG$1,0))),0)</f>
        <v>0</v>
      </c>
      <c r="EG28" s="1054">
        <f t="array" ref="EG28">IFERROR(IF($EC28="SEGMENT",INDEX('Margin Guidence Table'!$A$1:$AG$10000,MATCH(1,('Margin Guidence Table'!$A$1:$A$10000=EA28)*('Margin Guidence Table'!$I$1:$I$10000&lt;=ROUND($DS$3,0))*('Margin Guidence Table'!$J$1:$J$10000&gt;=ROUND($DS$3,0)),0),MATCH("MDA_MEDIAN_MARGIN_GUIDENCE",'Margin Guidence Table'!$A$1:$AG$1,0)),INDEX('Margin Guidence Table'!$A$1:$AG$10000,MATCH(1,('Margin Guidence Table'!$A$1:$A$10000=EA28)*('Margin Guidence Table'!$I$1:$I$10000&lt;=ROUND($DS$3,0))*('Margin Guidence Table'!$J$1:$J$10000&gt;=ROUND($DS$3,0)),0),MATCH("DEFAULT_MDA_MEDIAN_MARGIN_GUIDENCE",'Margin Guidence Table'!$A$1:$AG$1,0))),0)</f>
        <v>0</v>
      </c>
      <c r="EH28" s="1054">
        <f t="array" ref="EH28">IFERROR(IF($EC28="SEGMENT",INDEX('Margin Guidence Table'!$A$1:$AG$10000,MATCH(1,('Margin Guidence Table'!$A$1:$A$10000=EA28)*('Margin Guidence Table'!$I$1:$I$10000&lt;=ROUND($DS$3,0))*('Margin Guidence Table'!$J$1:$J$10000&gt;=ROUND($DS$3,0)),0),MATCH("MDA_MAX_MARGIN_GUIDENCE",'Margin Guidence Table'!$A$1:$AG$1,0)),INDEX('Margin Guidence Table'!$A$1:$AG$10000,MATCH(1,('Margin Guidence Table'!$A$1:$A$10000=EA28)*('Margin Guidence Table'!$I$1:$I$10000&lt;=ROUND($DS$3,0))*('Margin Guidence Table'!$J$1:$J$10000&gt;=ROUND($DS$3,0)),0),MATCH("DEFAULT_MDA_MAX_MARGIN_GUIDENCE",'Margin Guidence Table'!$A$1:$AG$1,0))),0)</f>
        <v>0</v>
      </c>
      <c r="EI28" s="1054">
        <f t="array" ref="EI28">IFERROR(IF($EC28="SEGMENT",INDEX('Margin Guidence Table'!$A$1:$AG$10000,MATCH(1,('Margin Guidence Table'!$A$1:$A$10000=EA28)*('Margin Guidence Table'!$I$1:$I$10000&lt;=ROUND($DS$3,0))*('Margin Guidence Table'!$J$1:$J$10000&gt;=ROUND($DS$3,0)),0),MATCH("PA_PCT_SALES",'Margin Guidence Table'!$A$1:$AG$1,0)),INDEX('Margin Guidence Table'!$A$1:$AG$10000,MATCH(1,('Margin Guidence Table'!$A$1:$A$10000=EA28)*('Margin Guidence Table'!$I$1:$I$10000&lt;=ROUND($DS$3,0))*('Margin Guidence Table'!$J$1:$J$10000&gt;=ROUND($DS$3,0)),0),MATCH("DEFAULT_PA_PCT_SALES",'Margin Guidence Table'!$A$1:$AG$1,0))),0)</f>
        <v>0</v>
      </c>
      <c r="EJ28" s="1054">
        <f t="array" ref="EJ28">IFERROR(IF($EC28="SEGMENT",INDEX('Margin Guidence Table'!$A$1:$AG$10000,MATCH(1,('Margin Guidence Table'!$A$1:$A$10000=EA28)*('Margin Guidence Table'!$I$1:$I$10000&lt;=ROUND($DS$3,0))*('Margin Guidence Table'!$J$1:$J$10000&gt;=ROUND($DS$3,0)),0),MATCH("SELF_FUND_PCT_SALES",'Margin Guidence Table'!$A$1:$AG$1,0)),INDEX('Margin Guidence Table'!$A$1:$AG$10000,MATCH(1,('Margin Guidence Table'!$A$1:$A$10000=EA28)*('Margin Guidence Table'!$I$1:$I$10000&lt;=ROUND($DS$3,0))*('Margin Guidence Table'!$J$1:$J$10000&gt;=ROUND($DS$3,0)),0),MATCH("DEFAULT_SELF_FUND_PCT_SALES",'Margin Guidence Table'!$A$1:$AG$1,0))),0)</f>
        <v>0</v>
      </c>
      <c r="EK28" s="1054">
        <f t="array" ref="EK28">IFERROR(IF($EC28="SEGMENT",INDEX('Margin Guidence Table'!$A$1:$AG$10000,MATCH(1,('Margin Guidence Table'!$A$1:$A$10000=EA28)*('Margin Guidence Table'!$I$1:$I$10000&lt;=ROUND($DS$3,0))*('Margin Guidence Table'!$J$1:$J$10000&gt;=ROUND($DS$3,0)),0),MATCH("CIA_MEDIAN_MARGIN_GUIDENCE",'Margin Guidence Table'!$A$1:$AG$1,0)),INDEX('Margin Guidence Table'!$A$1:$AG$10000,MATCH(1,('Margin Guidence Table'!$A$1:$A$10000=EA28)*('Margin Guidence Table'!$I$1:$I$10000&lt;=ROUND($DS$3,0))*('Margin Guidence Table'!$J$1:$J$10000&gt;=ROUND($DS$3,0)),0),MATCH("DEFAULT_CIA_MEDIAN_MARGIN_GUIDENCE",'Margin Guidence Table'!$A$1:$AG$1,0))),0)</f>
        <v>0</v>
      </c>
      <c r="EL28" s="127"/>
      <c r="EM28" s="18">
        <f t="array" ref="EM28">IFERROR(IF($EZ28="SEGMENT",INDEX('Margin Guidence Table'!$A$1:$AG$10000,MATCH(1,('Margin Guidence Table'!$A$1:$A$10000=$EX28)*('Margin Guidence Table'!$I$1:$I$10000&lt;=ROUND($EP$3,0))*('Margin Guidence Table'!$J$1:$J$10000&gt;=ROUND($EP$3,0)),0),MATCH("PCT_SALES",'Margin Guidence Table'!$A$1:$AG$1,0)),INDEX('Margin Guidence Table'!$A$1:$AG$10000,MATCH(1,('Margin Guidence Table'!$A$1:$A$10000=$EX28)*('Margin Guidence Table'!$I$1:$I$10000&lt;=ROUND($EP$3,0))*('Margin Guidence Table'!$J$1:$J$10000&gt;=ROUND($EP$3,0)),0),MATCH("DEFAULT_PCT_SALES",'Margin Guidence Table'!$A$1:$AG$1,0))),0)</f>
        <v>0</v>
      </c>
      <c r="EN28" s="370" t="e">
        <f t="shared" si="34"/>
        <v>#DIV/0!</v>
      </c>
      <c r="EO28" s="100" t="s">
        <v>91</v>
      </c>
      <c r="EP28" s="92">
        <f>IFERROR(IF(AND($EP$2&lt;&gt;"Enter Spend&gt;&gt;&gt;",EQ16="EXISTING"),SUMIFS('Existing Customers'!$Q:$Q,'Existing Customers'!$A:$A,$EP$1,'Existing Customers'!$H:$H,$EO28)*$EP$4,$EP$3*$EN28),0)</f>
        <v>0</v>
      </c>
      <c r="EQ28" s="87">
        <f>IFERROR(IF(AND($EP$2&lt;&gt;"Enter Spend&gt;&gt;&gt;",EQ2="EXISTING"),SUMIFS('Existing Customers'!$N:$N,'Existing Customers'!$A:$A,$EP$1,'Existing Customers'!$H:$H,$EO28)*$EP$4,$EP28/$FA28),0)</f>
        <v>0</v>
      </c>
      <c r="ER28" s="93">
        <f>IFERROR(IF(AND($EP$2&lt;&gt;"Enter Spend&gt;&gt;&gt;",EQ2="EXISTING"),SUMIFS('Existing Customers'!$O:$O,'Existing Customers'!$H:$H,$EO28,'Existing Customers'!$A:$A,$EP$1)*$EP$4,$EQ28*$EP$8),0)</f>
        <v>0</v>
      </c>
      <c r="ES28" s="93">
        <f>IFERROR(IF(AND($EP$2&lt;&gt;"Enter Spend&gt;&gt;&gt;",EQ2="EXISTING"),SUMIFS('Existing Customers'!$P:$P,'Existing Customers'!$A:$A,$EP$1,'Existing Customers'!$H:$H,$EO28)*$EP$4,$EP28/$FB28),0)</f>
        <v>0</v>
      </c>
      <c r="ET28" s="94">
        <f>IFERROR(IF(AND($EP$2&lt;&gt;"Enter Spend&gt;&gt;&gt;",EQ2="EXISTING"),SUMIFS('Existing Customers'!$V:$V,'Existing Customers'!$H:$H,$EO28,'Existing Customers'!$A:$A,$EP$1)*$EP$4,0),0)</f>
        <v>0</v>
      </c>
      <c r="EU28" s="94">
        <f>IFERROR(IF(AND($EP$2&lt;&gt;"Enter Spend&gt;&gt;&gt;",EQ2="EXISTING"),SUMIFS('Existing Customers'!$R:$R,'Existing Customers'!$H:$H,$EO28,'Existing Customers'!$A:$A,$EP$1)*$EP$4,0),0)</f>
        <v>0</v>
      </c>
      <c r="EV28" s="1050">
        <f>IFERROR(IF(AND($EP$2&lt;&gt;"Enter Spend&gt;&gt;&gt;",EQ2="EXISTING"),SUMIFS('Existing Customers'!$S:$S,'Existing Customers'!$H:$H,$EO28,'Existing Customers'!$A:$A,$EP$1),FF28*EP28),0)</f>
        <v>0</v>
      </c>
      <c r="EW28" s="1050">
        <f>IFERROR(IF(AND($EP$2&lt;&gt;"Enter Spend&gt;&gt;&gt;",EQ2="EXISTING"),SUMIFS('Existing Customers'!$U:$U,'Existing Customers'!$H:$H,$EO28,'Existing Customers'!$A:$A,$EP$1),FG28*EP28),0)</f>
        <v>0</v>
      </c>
      <c r="EX28" s="1053" t="e">
        <f>_xlfn.CONCAT('Customer Inputs'!$AG$10,"_",EO28)</f>
        <v>#N/A</v>
      </c>
      <c r="EY28" s="1053">
        <f t="array" ref="EY28">IFERROR(INDEX('Margin Guidence Table'!$A$1:$AG$10000,MATCH(1,('Margin Guidence Table'!$A$1:$A$10000=EX28)*('Margin Guidence Table'!$I$1:$I$10000&lt;=ROUND($EP$3,0))*('Margin Guidence Table'!$J$1:$J$10000&gt;=ROUND($EP$3,0)),0),MATCH("DATA_POINTS",'Margin Guidence Table'!$A$1:$AG$1,0)),0)</f>
        <v>0</v>
      </c>
      <c r="EZ28" s="1050" t="str">
        <f t="shared" si="35"/>
        <v>DEFAULT</v>
      </c>
      <c r="FA28" s="1050">
        <f t="array" ref="FA28">IFERROR(IF($EZ28="SEGMENT",INDEX('Margin Guidence Table'!$A$1:$AG$10000,MATCH(1,('Margin Guidence Table'!$A$1:$A$10000=EX28)*('Margin Guidence Table'!$I$1:$I$10000&lt;=ROUND($EP$3,0))*('Margin Guidence Table'!$J$1:$J$10000&gt;=ROUND($EP$3,0)),0),MATCH("SALES_CASE",'Margin Guidence Table'!$A$1:$AG$1,0)),INDEX('Margin Guidence Table'!$A$1:$AG$10000,MATCH(1,('Margin Guidence Table'!$A$1:$A$10000=EX28)*('Margin Guidence Table'!$I$1:$I$10000&lt;=ROUND($EP$3,0))*('Margin Guidence Table'!$J$1:$J$10000&gt;=ROUND($EP$3,0)),0),MATCH("DEFAULT_SALES_CASE",'Margin Guidence Table'!$A$1:$AG$1,0))),0)</f>
        <v>0</v>
      </c>
      <c r="FB28" s="1050" cm="1">
        <f t="array" ref="FB28">IFERROR(IF($EZ28="SEGMENT",INDEX('Margin Guidence Table'!$A$1:$AG$10000,MATCH(1,('Margin Guidence Table'!$A$1:$A$10000=EX28)*('Margin Guidence Table'!$I$1:$I$10000&lt;=ROUND($EP$3,0))*('Margin Guidence Table'!$J$1:$J$10000&gt;=ROUND($EP$3,0)),0),MATCH("SALES_LBS",'Margin Guidence Table'!$A$1:$AG$1,0)),INDEX('Margin Guidence Table'!$A$1:$AG$10000,MATCH(1,('Margin Guidence Table'!$A$1:$A$10000=EX28)*('Margin Guidence Table'!$I$1:$I$10000&lt;=ROUND($EP$3,0))*('Margin Guidence Table'!$J$1:$J$10000&gt;=ROUND($EP$3,0)),0),MATCH("DEFAULT_SALES_LBS",'Margin Guidence Table'!$A$1:$AG$1,0))),0)</f>
        <v>0</v>
      </c>
      <c r="FC28" s="1054">
        <f t="array" ref="FC28">IFERROR(IF($EZ28="SEGMENT",INDEX('Margin Guidence Table'!$A$1:$AG$10000,MATCH(1,('Margin Guidence Table'!$A$1:$A$10000=EX28)*('Margin Guidence Table'!$I$1:$I$10000&lt;=ROUND($EP$3,0))*('Margin Guidence Table'!$J$1:$J$10000&gt;=ROUND($EP$3,0)),0),MATCH("MDA_MIN_MARGIN_GUIDENCE",'Margin Guidence Table'!$A$1:$AG$1,0)),INDEX('Margin Guidence Table'!$A$1:$AG$10000,MATCH(1,('Margin Guidence Table'!$A$1:$A$10000=EX28)*('Margin Guidence Table'!$I$1:$I$10000&lt;=ROUND($EP$3,0))*('Margin Guidence Table'!$J$1:$J$10000&gt;=ROUND($EP$3,0)),0),MATCH("DEFAULT_MDA_MIN_MARGIN_GUIDENCE",'Margin Guidence Table'!$A$1:$AG$1,0))),0)</f>
        <v>0</v>
      </c>
      <c r="FD28" s="1054">
        <f t="array" ref="FD28">IFERROR(IF($EZ28="SEGMENT",INDEX('Margin Guidence Table'!$A$1:$AG$10000,MATCH(1,('Margin Guidence Table'!$A$1:$A$10000=EX28)*('Margin Guidence Table'!$I$1:$I$10000&lt;=ROUND($EP$3,0))*('Margin Guidence Table'!$J$1:$J$10000&gt;=ROUND($EP$3,0)),0),MATCH("MDA_MEDIAN_MARGIN_GUIDENCE",'Margin Guidence Table'!$A$1:$AG$1,0)),INDEX('Margin Guidence Table'!$A$1:$AG$10000,MATCH(1,('Margin Guidence Table'!$A$1:$A$10000=EX28)*('Margin Guidence Table'!$I$1:$I$10000&lt;=ROUND($EP$3,0))*('Margin Guidence Table'!$J$1:$J$10000&gt;=ROUND($EP$3,0)),0),MATCH("DEFAULT_MDA_MEDIAN_MARGIN_GUIDENCE",'Margin Guidence Table'!$A$1:$AG$1,0))),0)</f>
        <v>0</v>
      </c>
      <c r="FE28" s="1054">
        <f t="array" ref="FE28">IFERROR(IF($EZ28="SEGMENT",INDEX('Margin Guidence Table'!$A$1:$AG$10000,MATCH(1,('Margin Guidence Table'!$A$1:$A$10000=EX28)*('Margin Guidence Table'!$I$1:$I$10000&lt;=ROUND($EP$3,0))*('Margin Guidence Table'!$J$1:$J$10000&gt;=ROUND($EP$3,0)),0),MATCH("MDA_MAX_MARGIN_GUIDENCE",'Margin Guidence Table'!$A$1:$AG$1,0)),INDEX('Margin Guidence Table'!$A$1:$AG$10000,MATCH(1,('Margin Guidence Table'!$A$1:$A$10000=EX28)*('Margin Guidence Table'!$I$1:$I$10000&lt;=ROUND($EP$3,0))*('Margin Guidence Table'!$J$1:$J$10000&gt;=ROUND($EP$3,0)),0),MATCH("DEFAULT_MDA_MAX_MARGIN_GUIDENCE",'Margin Guidence Table'!$A$1:$AG$1,0))),0)</f>
        <v>0</v>
      </c>
      <c r="FF28" s="1054">
        <f t="array" ref="FF28">IFERROR(IF($EZ28="SEGMENT",INDEX('Margin Guidence Table'!$A$1:$AG$10000,MATCH(1,('Margin Guidence Table'!$A$1:$A$10000=EX28)*('Margin Guidence Table'!$I$1:$I$10000&lt;=ROUND($EP$3,0))*('Margin Guidence Table'!$J$1:$J$10000&gt;=ROUND($EP$3,0)),0),MATCH("PA_PCT_SALES",'Margin Guidence Table'!$A$1:$AG$1,0)),INDEX('Margin Guidence Table'!$A$1:$AG$10000,MATCH(1,('Margin Guidence Table'!$A$1:$A$10000=EX28)*('Margin Guidence Table'!$I$1:$I$10000&lt;=ROUND($EP$3,0))*('Margin Guidence Table'!$J$1:$J$10000&gt;=ROUND($EP$3,0)),0),MATCH("DEFAULT_PA_PCT_SALES",'Margin Guidence Table'!$A$1:$AG$1,0))),0)</f>
        <v>0</v>
      </c>
      <c r="FG28" s="1054">
        <f t="array" ref="FG28">IFERROR(IF($EZ28="SEGMENT",INDEX('Margin Guidence Table'!$A$1:$AG$10000,MATCH(1,('Margin Guidence Table'!$A$1:$A$10000=EX28)*('Margin Guidence Table'!$I$1:$I$10000&lt;=ROUND($EP$3,0))*('Margin Guidence Table'!$J$1:$J$10000&gt;=ROUND($EP$3,0)),0),MATCH("SELF_FUND_PCT_SALES",'Margin Guidence Table'!$A$1:$AG$1,0)),INDEX('Margin Guidence Table'!$A$1:$AG$10000,MATCH(1,('Margin Guidence Table'!$A$1:$A$10000=EX28)*('Margin Guidence Table'!$I$1:$I$10000&lt;=ROUND($EP$3,0))*('Margin Guidence Table'!$J$1:$J$10000&gt;=ROUND($EP$3,0)),0),MATCH("DEFAULT_SELF_FUND_PCT_SALES",'Margin Guidence Table'!$A$1:$AG$1,0))),0)</f>
        <v>0</v>
      </c>
      <c r="FH28" s="1054">
        <f t="array" ref="FH28">IFERROR(IF($EZ28="SEGMENT",INDEX('Margin Guidence Table'!$A$1:$AG$10000,MATCH(1,('Margin Guidence Table'!$A$1:$A$10000=EX28)*('Margin Guidence Table'!$I$1:$I$10000&lt;=ROUND($EP$3,0))*('Margin Guidence Table'!$J$1:$J$10000&gt;=ROUND($EP$3,0)),0),MATCH("CIA_MEDIAN_MARGIN_GUIDENCE",'Margin Guidence Table'!$A$1:$AG$1,0)),INDEX('Margin Guidence Table'!$A$1:$AG$10000,MATCH(1,('Margin Guidence Table'!$A$1:$A$10000=EX28)*('Margin Guidence Table'!$I$1:$I$10000&lt;=ROUND($EP$3,0))*('Margin Guidence Table'!$J$1:$J$10000&gt;=ROUND($EP$3,0)),0),MATCH("DEFAULT_CIA_MEDIAN_MARGIN_GUIDENCE",'Margin Guidence Table'!$A$1:$AG$1,0))),0)</f>
        <v>0</v>
      </c>
      <c r="FI28" s="127"/>
      <c r="FJ28" s="18">
        <f t="array" ref="FJ28">IFERROR(IF($FW28="SEGMENT",INDEX('Margin Guidence Table'!$A$1:$AG$10000,MATCH(1,('Margin Guidence Table'!$A$1:$A$10000=$FU28)*('Margin Guidence Table'!$I$1:$I$10000&lt;=ROUND($FM$3,0))*('Margin Guidence Table'!$J$1:$J$10000&gt;=ROUND($FM$3,0)),0),MATCH("PCT_SALES",'Margin Guidence Table'!$A$1:$AG$1,0)),INDEX('Margin Guidence Table'!$A$1:$AG$10000,MATCH(1,('Margin Guidence Table'!$A$1:$A$10000=$FU28)*('Margin Guidence Table'!$I$1:$I$10000&lt;=ROUND($FM$3,0))*('Margin Guidence Table'!$J$1:$J$10000&gt;=ROUND($FM$3,0)),0),MATCH("DEFAULT_PCT_SALES",'Margin Guidence Table'!$A$1:$AG$1,0))),0)</f>
        <v>0</v>
      </c>
      <c r="FK28" s="370" t="e">
        <f t="shared" si="36"/>
        <v>#DIV/0!</v>
      </c>
      <c r="FL28" s="100" t="s">
        <v>91</v>
      </c>
      <c r="FM28" s="92">
        <f>IFERROR(IF(AND($FM$2&lt;&gt;"Enter Spend&gt;&gt;&gt;",FN16="EXISTING"),SUMIFS('Existing Customers'!$Q:$Q,'Existing Customers'!$A:$A,$FM$1,'Existing Customers'!$H:$H,$FL28)*$FM$4,$FM$3*$FK28),0)</f>
        <v>0</v>
      </c>
      <c r="FN28" s="87">
        <f>IFERROR(IF(AND($FM$2&lt;&gt;"Enter Spend&gt;&gt;&gt;",FN2="EXISTING"),SUMIFS('Existing Customers'!$N:$N,'Existing Customers'!$A:$A,$FM$1,'Existing Customers'!$H:$H,$FL28)*$FM$4,$FM28/$FX28),0)</f>
        <v>0</v>
      </c>
      <c r="FO28" s="93">
        <f>IFERROR(IF(AND($FM$2&lt;&gt;"Enter Spend&gt;&gt;&gt;",FN2="EXISTING"),SUMIFS('Existing Customers'!$O:$O,'Existing Customers'!$H:$H,$FL28,'Existing Customers'!$A:$A,$FM$1)*$FM$4,$FN28*$FM$8),0)</f>
        <v>0</v>
      </c>
      <c r="FP28" s="93">
        <f>IFERROR(IF(AND($FM$2&lt;&gt;"Enter Spend&gt;&gt;&gt;",FN2="EXISTING"),SUMIFS('Existing Customers'!$P:$P,'Existing Customers'!$A:$A,$FM$1,'Existing Customers'!$H:$H,$FL28)*$FM$4,$FM28/$FY28),0)</f>
        <v>0</v>
      </c>
      <c r="FQ28" s="94">
        <f>IFERROR(IF(AND($FM$2&lt;&gt;"Enter Spend&gt;&gt;&gt;",FN2="EXISTING"),SUMIFS('Existing Customers'!$V:$V,'Existing Customers'!$H:$H,$FL28,'Existing Customers'!$A:$A,$FM$1)*$FM$4,0),0)</f>
        <v>0</v>
      </c>
      <c r="FR28" s="94">
        <f>IFERROR(IF(AND($FM$2&lt;&gt;"Enter Spend&gt;&gt;&gt;",FN2="EXISTING"),SUMIFS('Existing Customers'!$R:$R,'Existing Customers'!$H:$H,$FL28,'Existing Customers'!$A:$A,$FM$1)*$FM$4,0),0)</f>
        <v>0</v>
      </c>
      <c r="FS28" s="1050">
        <f>IFERROR(IF(AND($FM$2&lt;&gt;"Enter Spend&gt;&gt;&gt;",FN2="EXISTING"),SUMIFS('Existing Customers'!$S:$S,'Existing Customers'!$H:$H,$FL28,'Existing Customers'!$A:$A,$FM$1),GC28*FM28),0)</f>
        <v>0</v>
      </c>
      <c r="FT28" s="1050">
        <f>IFERROR(IF(AND($FM$2&lt;&gt;"Enter Spend&gt;&gt;&gt;",FN2="EXISTING"),SUMIFS('Existing Customers'!$U:$U,'Existing Customers'!$H:$H,$FL28,'Existing Customers'!$A:$A,$FM$1),GD28*FM28),0)</f>
        <v>0</v>
      </c>
      <c r="FU28" s="1053" t="e">
        <f>_xlfn.CONCAT('Customer Inputs'!$AG$11,"_",FL28)</f>
        <v>#N/A</v>
      </c>
      <c r="FV28" s="1053">
        <f t="array" ref="FV28">IFERROR(INDEX('Margin Guidence Table'!$A$1:$AG$10000,MATCH(1,('Margin Guidence Table'!$A$1:$A$10000=FU28)*('Margin Guidence Table'!$I$1:$I$10000&lt;=ROUND($FM$3,0))*('Margin Guidence Table'!$J$1:$J$10000&gt;=ROUND($FM$3,0)),0),MATCH("DATA_POINTS",'Margin Guidence Table'!$A$1:$AG$1,0)),0)</f>
        <v>0</v>
      </c>
      <c r="FW28" s="1050" t="str">
        <f t="shared" si="37"/>
        <v>DEFAULT</v>
      </c>
      <c r="FX28" s="1050">
        <f t="array" ref="FX28">IFERROR(IF($FW28="SEGMENT",INDEX('Margin Guidence Table'!$A$1:$AG$10000,MATCH(1,('Margin Guidence Table'!$A$1:$A$10000=FU28)*('Margin Guidence Table'!$I$1:$I$10000&lt;=ROUND($FM$3,0))*('Margin Guidence Table'!$J$1:$J$10000&gt;=ROUND($FM$3,0)),0),MATCH("SALES_CASE",'Margin Guidence Table'!$A$1:$AG$1,0)),INDEX('Margin Guidence Table'!$A$1:$AG$10000,MATCH(1,('Margin Guidence Table'!$A$1:$A$10000=FU28)*('Margin Guidence Table'!$I$1:$I$10000&lt;=ROUND($FM$3,0))*('Margin Guidence Table'!$J$1:$J$10000&gt;=ROUND($FM$3,0)),0),MATCH("DEFAULT_SALES_CASE",'Margin Guidence Table'!$A$1:$AG$1,0))),0)</f>
        <v>0</v>
      </c>
      <c r="FY28" s="1050">
        <f t="array" ref="FY28">IFERROR(IF($FW28="SEGMENT",INDEX('Margin Guidence Table'!$A$1:$AG$10000,MATCH(1,('Margin Guidence Table'!$A$1:$A$10000=FU28)*('Margin Guidence Table'!$I$1:$I$10000&lt;=ROUND($FM$3,0))*('Margin Guidence Table'!$J$1:$J$10000&gt;=ROUND($FM$3,0)),0),MATCH("SALES_LBS",'Margin Guidence Table'!$A$1:$AG$1,0)),INDEX('Margin Guidence Table'!$A$1:$AG$10000,MATCH(1,('Margin Guidence Table'!$A$1:$A$10000=FU28)*('Margin Guidence Table'!$I$1:$I$10000&lt;=ROUND($FM$3,0))*('Margin Guidence Table'!$J$1:$J$10000&gt;=ROUND($FM$3,0)),0),MATCH("DEFAULT_SALES_LBS",'Margin Guidence Table'!$A$1:$AG$1,0))),0)</f>
        <v>0</v>
      </c>
      <c r="FZ28" s="1054">
        <f t="array" ref="FZ28">IFERROR(IF($FW28="SEGMENT",INDEX('Margin Guidence Table'!$A$1:$AG$10000,MATCH(1,('Margin Guidence Table'!$A$1:$A$10000=FU28)*('Margin Guidence Table'!$I$1:$I$10000&lt;=ROUND($FM$3,0))*('Margin Guidence Table'!$J$1:$J$10000&gt;=ROUND($FM$3,0)),0),MATCH("MDA_MIN_MARGIN_GUIDENCE",'Margin Guidence Table'!$A$1:$AG$1,0)),INDEX('Margin Guidence Table'!$A$1:$AG$10000,MATCH(1,('Margin Guidence Table'!$A$1:$A$10000=FU28)*('Margin Guidence Table'!$I$1:$I$10000&lt;=ROUND($FM$3,0))*('Margin Guidence Table'!$J$1:$J$10000&gt;=ROUND($FM$3,0)),0),MATCH("DEFAULT_MDA_MIN_MARGIN_GUIDENCE",'Margin Guidence Table'!$A$1:$AG$1,0))),0)</f>
        <v>0</v>
      </c>
      <c r="GA28" s="1054">
        <f t="array" ref="GA28">IFERROR(IF($FW28="SEGMENT",INDEX('Margin Guidence Table'!$A$1:$AG$10000,MATCH(1,('Margin Guidence Table'!$A$1:$A$10000=FU28)*('Margin Guidence Table'!$I$1:$I$10000&lt;=ROUND($FM$3,0))*('Margin Guidence Table'!$J$1:$J$10000&gt;=ROUND($FM$3,0)),0),MATCH("MDA_MEDIAN_MARGIN_GUIDENCE",'Margin Guidence Table'!$A$1:$AG$1,0)),INDEX('Margin Guidence Table'!$A$1:$AG$10000,MATCH(1,('Margin Guidence Table'!$A$1:$A$10000=FU28)*('Margin Guidence Table'!$I$1:$I$10000&lt;=ROUND($FM$3,0))*('Margin Guidence Table'!$J$1:$J$10000&gt;=ROUND($FM$3,0)),0),MATCH("DEFAULT_MDA_MEDIAN_MARGIN_GUIDENCE",'Margin Guidence Table'!$A$1:$AG$1,0))),0)</f>
        <v>0</v>
      </c>
      <c r="GB28" s="1054">
        <f t="array" ref="GB28">IFERROR(IF($FW28="SEGMENT",INDEX('Margin Guidence Table'!$A$1:$AG$10000,MATCH(1,('Margin Guidence Table'!$A$1:$A$10000=FU28)*('Margin Guidence Table'!$I$1:$I$10000&lt;=ROUND($FM$3,0))*('Margin Guidence Table'!$J$1:$J$10000&gt;=ROUND($FM$3,0)),0),MATCH("MDA_MAX_MARGIN_GUIDENCE",'Margin Guidence Table'!$A$1:$AG$1,0)),INDEX('Margin Guidence Table'!$A$1:$AG$10000,MATCH(1,('Margin Guidence Table'!$A$1:$A$10000=FU28)*('Margin Guidence Table'!$I$1:$I$10000&lt;=ROUND($FM$3,0))*('Margin Guidence Table'!$J$1:$J$10000&gt;=ROUND($FM$3,0)),0),MATCH("DEFAULT_MDA_MAX_MARGIN_GUIDENCE",'Margin Guidence Table'!$A$1:$AG$1,0))),0)</f>
        <v>0</v>
      </c>
      <c r="GC28" s="1054">
        <f t="array" ref="GC28">IFERROR(IF($FW28="SEGMENT",INDEX('Margin Guidence Table'!$A$1:$AG$10000,MATCH(1,('Margin Guidence Table'!$A$1:$A$10000=FU28)*('Margin Guidence Table'!$I$1:$I$10000&lt;=ROUND($FM$3,0))*('Margin Guidence Table'!$J$1:$J$10000&gt;=ROUND($FM$3,0)),0),MATCH("PA_PCT_SALES",'Margin Guidence Table'!$A$1:$AG$1,0)),INDEX('Margin Guidence Table'!$A$1:$AG$10000,MATCH(1,('Margin Guidence Table'!$A$1:$A$10000=FU28)*('Margin Guidence Table'!$I$1:$I$10000&lt;=ROUND($FM$3,0))*('Margin Guidence Table'!$J$1:$J$10000&gt;=ROUND($FM$3,0)),0),MATCH("DEFAULT_PA_PCT_SALES",'Margin Guidence Table'!$A$1:$AG$1,0))),0)</f>
        <v>0</v>
      </c>
      <c r="GD28" s="1054">
        <f t="array" ref="GD28">IFERROR(IF($FW28="SEGMENT",INDEX('Margin Guidence Table'!$A$1:$AG$10000,MATCH(1,('Margin Guidence Table'!$A$1:$A$10000=FU28)*('Margin Guidence Table'!$I$1:$I$10000&lt;=ROUND($FM$3,0))*('Margin Guidence Table'!$J$1:$J$10000&gt;=ROUND($FM$3,0)),0),MATCH("SELF_FUND_PCT_SALES",'Margin Guidence Table'!$A$1:$AG$1,0)),INDEX('Margin Guidence Table'!$A$1:$AG$10000,MATCH(1,('Margin Guidence Table'!$A$1:$A$10000=FU28)*('Margin Guidence Table'!$I$1:$I$10000&lt;=ROUND($FM$3,0))*('Margin Guidence Table'!$J$1:$J$10000&gt;=ROUND($FM$3,0)),0),MATCH("DEFAULT_SELF_FUND_PCT_SALES",'Margin Guidence Table'!$A$1:$AG$1,0))),0)</f>
        <v>0</v>
      </c>
      <c r="GE28" s="1054">
        <f t="array" ref="GE28">IFERROR(IF($FW28="SEGMENT",INDEX('Margin Guidence Table'!$A$1:$AG$10000,MATCH(1,('Margin Guidence Table'!$A$1:$A$10000=FU28)*('Margin Guidence Table'!$I$1:$I$10000&lt;=ROUND($FM$3,0))*('Margin Guidence Table'!$J$1:$J$10000&gt;=ROUND($FM$3,0)),0),MATCH("CIA_MEDIAN_MARGIN_GUIDENCE",'Margin Guidence Table'!$A$1:$AG$1,0)),INDEX('Margin Guidence Table'!$A$1:$AG$10000,MATCH(1,('Margin Guidence Table'!$A$1:$A$10000=FU28)*('Margin Guidence Table'!$I$1:$I$10000&lt;=ROUND($FM$3,0))*('Margin Guidence Table'!$J$1:$J$10000&gt;=ROUND($FM$3,0)),0),MATCH("DEFAULT_CIA_MEDIAN_MARGIN_GUIDENCE",'Margin Guidence Table'!$A$1:$AG$1,0))),0)</f>
        <v>0</v>
      </c>
      <c r="GF28" s="127"/>
      <c r="GG28" s="18">
        <f t="array" ref="GG28">IFERROR(IF($GT28="SEGMENT",INDEX('Margin Guidence Table'!$A$1:$AG$10000,MATCH(1,('Margin Guidence Table'!$A$1:$A$10000=$GR28)*('Margin Guidence Table'!$I$1:$I$10000&lt;=ROUND($GJ$3,0))*('Margin Guidence Table'!$J$1:$J$10000&gt;=ROUND($GJ$3,0)),0),MATCH("PCT_SALES",'Margin Guidence Table'!$A$1:$AG$1,0)),INDEX('Margin Guidence Table'!$A$1:$AG$10000,MATCH(1,('Margin Guidence Table'!$A$1:$A$10000=$GR28)*('Margin Guidence Table'!$I$1:$I$10000&lt;=ROUND($GJ$3,0))*('Margin Guidence Table'!$J$1:$J$10000&gt;=ROUND($GJ$3,0)),0),MATCH("DEFAULT_PCT_SALES",'Margin Guidence Table'!$A$1:$AG$1,0))),0)</f>
        <v>0</v>
      </c>
      <c r="GH28" s="370" t="e">
        <f t="shared" si="38"/>
        <v>#DIV/0!</v>
      </c>
      <c r="GI28" s="100" t="s">
        <v>91</v>
      </c>
      <c r="GJ28" s="92">
        <f>IFERROR(IF(AND($GJ$2&lt;&gt;"Enter Spend&gt;&gt;&gt;",GK16="EXISTING"),SUMIFS('Existing Customers'!$Q:$Q,'Existing Customers'!$A:$A,$GJ$1,'Existing Customers'!$H:$H,$GI28)*$GJ$4,$GJ$3*$GH28),0)</f>
        <v>0</v>
      </c>
      <c r="GK28" s="87">
        <f>IFERROR(IF(AND($GJ$2&lt;&gt;"Enter Spend&gt;&gt;&gt;",GK2="EXISTING"),SUMIFS('Existing Customers'!$N:$N,'Existing Customers'!$A:$A,$GJ$1,'Existing Customers'!$H:$H,$GI28)*$GJ$4,$GJ28/$GU28),0)</f>
        <v>0</v>
      </c>
      <c r="GL28" s="93">
        <f>IFERROR(IF(AND($GJ$2&lt;&gt;"Enter Spend&gt;&gt;&gt;",GK2="EXISTING"),SUMIFS('Existing Customers'!$O:$O,'Existing Customers'!$H:$H,$GI28,'Existing Customers'!$A:$A,$GJ$1)*$GJ$4,$GK28*$GJ$8),0)</f>
        <v>0</v>
      </c>
      <c r="GM28" s="93">
        <f>IFERROR(IF(AND($GJ$2&lt;&gt;"Enter Spend&gt;&gt;&gt;",GK2="EXISTING"),SUMIFS('Existing Customers'!$P:$P,'Existing Customers'!$A:$A,$GJ$1,'Existing Customers'!$H:$H,$GI28)*$GJ$4,$GJ28/$GV28),0)</f>
        <v>0</v>
      </c>
      <c r="GN28" s="94">
        <f>IFERROR(IF(AND($GJ$2&lt;&gt;"Enter Spend&gt;&gt;&gt;",GK2="EXISTING"),SUMIFS('Existing Customers'!$V:$V,'Existing Customers'!$H:$H,$GI28,'Existing Customers'!$A:$A,$GJ$1)*$GJ$4,0),0)</f>
        <v>0</v>
      </c>
      <c r="GO28" s="94">
        <f>IFERROR(IF(AND($GJ$2&lt;&gt;"Enter Spend&gt;&gt;&gt;",GK2="EXISTING"),SUMIFS('Existing Customers'!$R:$R,'Existing Customers'!$H:$H,$GI28,'Existing Customers'!$A:$A,$GJ$1)*$GJ$4,0),0)</f>
        <v>0</v>
      </c>
      <c r="GP28" s="1050">
        <f>IFERROR(IF(AND($GJ$2&lt;&gt;"Enter Spend&gt;&gt;&gt;",GK2="EXISTING"),SUMIFS('Existing Customers'!$S:$S,'Existing Customers'!$H:$H,$GI28,'Existing Customers'!$A:$A,$GJ$1),GZ28*GJ28),0)</f>
        <v>0</v>
      </c>
      <c r="GQ28" s="1050">
        <f>IFERROR(IF(AND($GJ$2&lt;&gt;"Enter Spend&gt;&gt;&gt;",GK2="EXISTING"),SUMIFS('Existing Customers'!$U:$U,'Existing Customers'!$H:$H,$GI28,'Existing Customers'!$A:$A,$GJ$1),HA28*GJ28),0)</f>
        <v>0</v>
      </c>
      <c r="GR28" s="1053" t="e">
        <f>_xlfn.CONCAT('Customer Inputs'!$AG$12,"_",GI28)</f>
        <v>#N/A</v>
      </c>
      <c r="GS28" s="1053">
        <f t="array" ref="GS28">IFERROR(INDEX('Margin Guidence Table'!$A$1:$AG$10000,MATCH(1,('Margin Guidence Table'!$A$1:$A$10000=GR28)*('Margin Guidence Table'!$I$1:$I$10000&lt;=ROUND($GJ$3,0))*('Margin Guidence Table'!$J$1:$J$10000&gt;=ROUND($GJ$3,0)),0),MATCH("DATA_POINTS",'Margin Guidence Table'!$A$1:$AG$1,0)),0)</f>
        <v>0</v>
      </c>
      <c r="GT28" s="1050" t="str">
        <f t="shared" si="39"/>
        <v>DEFAULT</v>
      </c>
      <c r="GU28" s="1050">
        <f t="array" ref="GU28">IFERROR(IF($GT28="SEGMENT",INDEX('Margin Guidence Table'!$A$1:$AG$10000,MATCH(1,('Margin Guidence Table'!$A$1:$A$10000=GR28)*('Margin Guidence Table'!$I$1:$I$10000&lt;=ROUND($GJ$3,0))*('Margin Guidence Table'!$J$1:$J$10000&gt;=ROUND($GJ$3,0)),0),MATCH("SALES_CASE",'Margin Guidence Table'!$A$1:$AG$1,0)),INDEX('Margin Guidence Table'!$A$1:$AG$10000,MATCH(1,('Margin Guidence Table'!$A$1:$A$10000=GR28)*('Margin Guidence Table'!$I$1:$I$10000&lt;=ROUND($GJ$3,0))*('Margin Guidence Table'!$J$1:$J$10000&gt;=ROUND($GJ$3,0)),0),MATCH("DEFAULT_SALES_CASE",'Margin Guidence Table'!$A$1:$AG$1,0))),0)</f>
        <v>0</v>
      </c>
      <c r="GV28" s="1050">
        <f t="array" ref="GV28">IFERROR(IF($GT28="SEGMENT",INDEX('Margin Guidence Table'!$A$1:$AG$10000,MATCH(1,('Margin Guidence Table'!$A$1:$A$10000=GR28)*('Margin Guidence Table'!$I$1:$I$10000&lt;=ROUND($GJ$3,0))*('Margin Guidence Table'!$J$1:$J$10000&gt;=ROUND($GJ$3,0)),0),MATCH("SALES_LBS",'Margin Guidence Table'!$A$1:$AG$1,0)),INDEX('Margin Guidence Table'!$A$1:$AG$10000,MATCH(1,('Margin Guidence Table'!$A$1:$A$10000=GR28)*('Margin Guidence Table'!$I$1:$I$10000&lt;=ROUND($GJ$3,0))*('Margin Guidence Table'!$J$1:$J$10000&gt;=ROUND($GJ$3,0)),0),MATCH("DEFAULT_SALES_LBS",'Margin Guidence Table'!$A$1:$AG$1,0))),0)</f>
        <v>0</v>
      </c>
      <c r="GW28" s="1054">
        <f t="array" ref="GW28">IFERROR(IF($GT28="SEGMENT",INDEX('Margin Guidence Table'!$A$1:$AG$10000,MATCH(1,('Margin Guidence Table'!$A$1:$A$10000=GR28)*('Margin Guidence Table'!$I$1:$I$10000&lt;=ROUND($GJ$3,0))*('Margin Guidence Table'!$J$1:$J$10000&gt;=ROUND($GJ$3,0)),0),MATCH("MDA_MIN_MARGIN_GUIDENCE",'Margin Guidence Table'!$A$1:$AG$1,0)),INDEX('Margin Guidence Table'!$A$1:$AG$10000,MATCH(1,('Margin Guidence Table'!$A$1:$A$10000=GR28)*('Margin Guidence Table'!$I$1:$I$10000&lt;=ROUND($GJ$3,0))*('Margin Guidence Table'!$J$1:$J$10000&gt;=ROUND($GJ$3,0)),0),MATCH("DEFAULT_MDA_MIN_MARGIN_GUIDENCE",'Margin Guidence Table'!$A$1:$AG$1,0))),0)</f>
        <v>0</v>
      </c>
      <c r="GX28" s="1054">
        <f t="array" ref="GX28">IFERROR(IF($GT28="SEGMENT",INDEX('Margin Guidence Table'!$A$1:$AG$10000,MATCH(1,('Margin Guidence Table'!$A$1:$A$10000=GR28)*('Margin Guidence Table'!$I$1:$I$10000&lt;=ROUND($GJ$3,0))*('Margin Guidence Table'!$J$1:$J$10000&gt;=ROUND($GJ$3,0)),0),MATCH("MDA_MEDIAN_MARGIN_GUIDENCE",'Margin Guidence Table'!$A$1:$AG$1,0)),INDEX('Margin Guidence Table'!$A$1:$AG$10000,MATCH(1,('Margin Guidence Table'!$A$1:$A$10000=GR28)*('Margin Guidence Table'!$I$1:$I$10000&lt;=ROUND($GJ$3,0))*('Margin Guidence Table'!$J$1:$J$10000&gt;=ROUND($GJ$3,0)),0),MATCH("DEFAULT_MDA_MEDIAN_MARGIN_GUIDENCE",'Margin Guidence Table'!$A$1:$AG$1,0))),0)</f>
        <v>0</v>
      </c>
      <c r="GY28" s="1054">
        <f t="array" ref="GY28">IFERROR(IF($GT28="SEGMENT",INDEX('Margin Guidence Table'!$A$1:$AG$10000,MATCH(1,('Margin Guidence Table'!$A$1:$A$10000=GR28)*('Margin Guidence Table'!$I$1:$I$10000&lt;=ROUND($GJ$3,0))*('Margin Guidence Table'!$J$1:$J$10000&gt;=ROUND($GJ$3,0)),0),MATCH("MDA_MAX_MARGIN_GUIDENCE",'Margin Guidence Table'!$A$1:$AG$1,0)),INDEX('Margin Guidence Table'!$A$1:$AG$10000,MATCH(1,('Margin Guidence Table'!$A$1:$A$10000=GR28)*('Margin Guidence Table'!$I$1:$I$10000&lt;=ROUND($GJ$3,0))*('Margin Guidence Table'!$J$1:$J$10000&gt;=ROUND($GJ$3,0)),0),MATCH("DEFAULT_MDA_MAX_MARGIN_GUIDENCE",'Margin Guidence Table'!$A$1:$AG$1,0))),0)</f>
        <v>0</v>
      </c>
      <c r="GZ28" s="1054">
        <f t="array" ref="GZ28">IFERROR(IF($GT28="SEGMENT",INDEX('Margin Guidence Table'!$A$1:$AG$10000,MATCH(1,('Margin Guidence Table'!$A$1:$A$10000=GR28)*('Margin Guidence Table'!$I$1:$I$10000&lt;=ROUND($GJ$3,0))*('Margin Guidence Table'!$J$1:$J$10000&gt;=ROUND($GJ$3,0)),0),MATCH("PA_PCT_SALES",'Margin Guidence Table'!$A$1:$AG$1,0)),INDEX('Margin Guidence Table'!$A$1:$AG$10000,MATCH(1,('Margin Guidence Table'!$A$1:$A$10000=GR28)*('Margin Guidence Table'!$I$1:$I$10000&lt;=ROUND($GJ$3,0))*('Margin Guidence Table'!$J$1:$J$10000&gt;=ROUND($GJ$3,0)),0),MATCH("DEFAULT_PA_PCT_SALES",'Margin Guidence Table'!$A$1:$AG$1,0))),0)</f>
        <v>0</v>
      </c>
      <c r="HA28" s="1054">
        <f t="array" ref="HA28">IFERROR(IF($GT28="SEGMENT",INDEX('Margin Guidence Table'!$A$1:$AG$10000,MATCH(1,('Margin Guidence Table'!$A$1:$A$10000=GR28)*('Margin Guidence Table'!$I$1:$I$10000&lt;=ROUND($GJ$3,0))*('Margin Guidence Table'!$J$1:$J$10000&gt;=ROUND($GJ$3,0)),0),MATCH("SELF_FUND_PCT_SALES",'Margin Guidence Table'!$A$1:$AG$1,0)),INDEX('Margin Guidence Table'!$A$1:$AG$10000,MATCH(1,('Margin Guidence Table'!$A$1:$A$10000=GR28)*('Margin Guidence Table'!$I$1:$I$10000&lt;=ROUND($GJ$3,0))*('Margin Guidence Table'!$J$1:$J$10000&gt;=ROUND($GJ$3,0)),0),MATCH("DEFAULT_SELF_FUND_PCT_SALES",'Margin Guidence Table'!$A$1:$AG$1,0))),0)</f>
        <v>0</v>
      </c>
      <c r="HB28" s="1054">
        <f t="array" ref="HB28">IFERROR(IF($GT28="SEGMENT",INDEX('Margin Guidence Table'!$A$1:$AG$10000,MATCH(1,('Margin Guidence Table'!$A$1:$A$10000=GR28)*('Margin Guidence Table'!$I$1:$I$10000&lt;=ROUND($GJ$3,0))*('Margin Guidence Table'!$J$1:$J$10000&gt;=ROUND($GJ$3,0)),0),MATCH("CIA_MEDIAN_MARGIN_GUIDENCE",'Margin Guidence Table'!$A$1:$AG$1,0)),INDEX('Margin Guidence Table'!$A$1:$AG$10000,MATCH(1,('Margin Guidence Table'!$A$1:$A$10000=GR28)*('Margin Guidence Table'!$I$1:$I$10000&lt;=ROUND($GJ$3,0))*('Margin Guidence Table'!$J$1:$J$10000&gt;=ROUND($GJ$3,0)),0),MATCH("DEFAULT_CIA_MEDIAN_MARGIN_GUIDENCE",'Margin Guidence Table'!$A$1:$AG$1,0))),0)</f>
        <v>0</v>
      </c>
      <c r="HC28" s="127"/>
      <c r="HD28" s="18">
        <f t="array" ref="HD28">IFERROR(IF($HQ28="SEGMENT",INDEX('Margin Guidence Table'!$A$1:$AG$10000,MATCH(1,('Margin Guidence Table'!$A$1:$A$10000=$HO28)*('Margin Guidence Table'!$I$1:$I$10000&lt;=ROUND($HG$3,0))*('Margin Guidence Table'!$J$1:$J$10000&gt;=ROUND($HG$3,0)),0),MATCH("PCT_SALES",'Margin Guidence Table'!$A$1:$AG$1,0)),INDEX('Margin Guidence Table'!$A$1:$AG$10000,MATCH(1,('Margin Guidence Table'!$A$1:$A$10000=$HO28)*('Margin Guidence Table'!$I$1:$I$10000&lt;=ROUND($HG$3,0))*('Margin Guidence Table'!$J$1:$J$10000&gt;=ROUND($HG$3,0)),0),MATCH("DEFAULT_PCT_SALES",'Margin Guidence Table'!$A$1:$AG$1,0))),0)</f>
        <v>0</v>
      </c>
      <c r="HE28" s="370" t="e">
        <f t="shared" si="40"/>
        <v>#DIV/0!</v>
      </c>
      <c r="HF28" s="100" t="s">
        <v>91</v>
      </c>
      <c r="HG28" s="92">
        <f>IFERROR(IF(AND($HG$2&lt;&gt;"Enter Spend&gt;&gt;&gt;",HH16="EXISTING"),SUMIFS('Existing Customers'!$Q:$Q,'Existing Customers'!$A:$A,$HG$1,'Existing Customers'!$H:$H,$HF28)*$HG$4,$HG$3*$HE28),0)</f>
        <v>0</v>
      </c>
      <c r="HH28" s="87">
        <f>IFERROR(IF(AND($HG$2&lt;&gt;"Enter Spend&gt;&gt;&gt;",HH2="EXISTING"),SUMIFS('Existing Customers'!$N:$N,'Existing Customers'!$A:$A,$HG$1,'Existing Customers'!$H:$H,$HF28)*$HG$4,$HG28/$HR28),0)</f>
        <v>0</v>
      </c>
      <c r="HI28" s="93">
        <f>IFERROR(IF(AND($HG$2&lt;&gt;"Enter Spend&gt;&gt;&gt;",HH2="EXISTING"),SUMIFS('Existing Customers'!$O:$O,'Existing Customers'!$H:$H,$HF28,'Existing Customers'!$A:$A,$HG$1)*$HG$4,$HH28*$HG$8),0)</f>
        <v>0</v>
      </c>
      <c r="HJ28" s="93">
        <f>IFERROR(IF(AND($HG$2&lt;&gt;"Enter Spend&gt;&gt;&gt;",HH2="EXISTING"),SUMIFS('Existing Customers'!$P:$P,'Existing Customers'!$A:$A,$HG$1,'Existing Customers'!$H:$H,$HF28)*$HG$4,$HG28/$HS28),0)</f>
        <v>0</v>
      </c>
      <c r="HK28" s="94">
        <f>IFERROR(IF(AND($HG$2&lt;&gt;"Enter Spend&gt;&gt;&gt;",HH2="EXISTING"),SUMIFS('Existing Customers'!$V:$V,'Existing Customers'!$H:$H,$HF28,'Existing Customers'!$A:$A,$HG$1)*$HG$4,0),0)</f>
        <v>0</v>
      </c>
      <c r="HL28" s="94">
        <f>IFERROR(IF(AND($HG$2&lt;&gt;"Enter Spend&gt;&gt;&gt;",HH2="EXISTING"),SUMIFS('Existing Customers'!$R:$R,'Existing Customers'!$H:$H,$HF28,'Existing Customers'!$A:$A,$HG$1)*$HG$4,0),0)</f>
        <v>0</v>
      </c>
      <c r="HM28" s="1050">
        <f>IFERROR(IF(AND($HG$2&lt;&gt;"Enter Spend&gt;&gt;&gt;",HH2="EXISTING"),SUMIFS('Existing Customers'!$S:$S,'Existing Customers'!$H:$H,$HF28,'Existing Customers'!$A:$A,$HG$1),HW28*HG28),0)</f>
        <v>0</v>
      </c>
      <c r="HN28" s="1050">
        <f>IFERROR(IF(AND($HG$2&lt;&gt;"Enter Spend&gt;&gt;&gt;",HH2="EXISTING"),SUMIFS('Existing Customers'!$U:$U,'Existing Customers'!$H:$H,$HF28,'Existing Customers'!$A:$A,$HG$1),HX28*HG28),0)</f>
        <v>0</v>
      </c>
      <c r="HO28" s="1053" t="e">
        <f>_xlfn.CONCAT('Customer Inputs'!$AG$13,"_",HF28)</f>
        <v>#N/A</v>
      </c>
      <c r="HP28" s="1053">
        <f t="array" ref="HP28">IFERROR(INDEX('Margin Guidence Table'!$A$1:$AG$10000,MATCH(1,('Margin Guidence Table'!$A$1:$A$10000=HO28)*('Margin Guidence Table'!$I$1:$I$10000&lt;=ROUND($HG$3,0))*('Margin Guidence Table'!$J$1:$J$10000&gt;=ROUND($HG$3,0)),0),MATCH("DATA_POINTS",'Margin Guidence Table'!$A$1:$AG$1,0)),0)</f>
        <v>0</v>
      </c>
      <c r="HQ28" s="1050" t="str">
        <f t="shared" si="41"/>
        <v>DEFAULT</v>
      </c>
      <c r="HR28" s="1050">
        <f t="array" ref="HR28">IFERROR(IF($HQ28="SEGMENT",INDEX('Margin Guidence Table'!$A$1:$AG$10000,MATCH(1,('Margin Guidence Table'!$A$1:$A$10000=HO28)*('Margin Guidence Table'!$I$1:$I$10000&lt;=ROUND($HG$3,0))*('Margin Guidence Table'!$J$1:$J$10000&gt;=ROUND($HG$3,0)),0),MATCH("SALES_CASE",'Margin Guidence Table'!$A$1:$AG$1,0)),INDEX('Margin Guidence Table'!$A$1:$AG$10000,MATCH(1,('Margin Guidence Table'!$A$1:$A$10000=HO28)*('Margin Guidence Table'!$I$1:$I$10000&lt;=ROUND($HG$3,0))*('Margin Guidence Table'!$J$1:$J$10000&gt;=ROUND($HG$3,0)),0),MATCH("DEFAULT_SALES_CASE",'Margin Guidence Table'!$A$1:$AG$1,0))),0)</f>
        <v>0</v>
      </c>
      <c r="HS28" s="1050">
        <f t="array" ref="HS28">IFERROR(IF($HQ28="SEGMENT",INDEX('Margin Guidence Table'!$A$1:$AG$10000,MATCH(1,('Margin Guidence Table'!$A$1:$A$10000=HO28)*('Margin Guidence Table'!$I$1:$I$10000&lt;=ROUND($HG$3,0))*('Margin Guidence Table'!$J$1:$J$10000&gt;=ROUND($HG$3,0)),0),MATCH("SALES_LBS",'Margin Guidence Table'!$A$1:$AG$1,0)),INDEX('Margin Guidence Table'!$A$1:$AG$10000,MATCH(1,('Margin Guidence Table'!$A$1:$A$10000=HO28)*('Margin Guidence Table'!$I$1:$I$10000&lt;=ROUND($HG$3,0))*('Margin Guidence Table'!$J$1:$J$10000&gt;=ROUND($HG$3,0)),0),MATCH("DEFAULT_SALES_LBS",'Margin Guidence Table'!$A$1:$AG$1,0))),0)</f>
        <v>0</v>
      </c>
      <c r="HT28" s="1054">
        <f t="array" ref="HT28">IFERROR(IF($HQ28="SEGMENT",INDEX('Margin Guidence Table'!$A$1:$AG$10000,MATCH(1,('Margin Guidence Table'!$A$1:$A$10000=HO28)*('Margin Guidence Table'!$I$1:$I$10000&lt;=ROUND($HG$3,0))*('Margin Guidence Table'!$J$1:$J$10000&gt;=ROUND($HG$3,0)),0),MATCH("MDA_MIN_MARGIN_GUIDENCE",'Margin Guidence Table'!$A$1:$AG$1,0)),INDEX('Margin Guidence Table'!$A$1:$AG$10000,MATCH(1,('Margin Guidence Table'!$A$1:$A$10000=HO28)*('Margin Guidence Table'!$I$1:$I$10000&lt;=ROUND($HG$3,0))*('Margin Guidence Table'!$J$1:$J$10000&gt;=ROUND($HG$3,0)),0),MATCH("DEFAULT_MDA_MIN_MARGIN_GUIDENCE",'Margin Guidence Table'!$A$1:$AG$1,0))),0)</f>
        <v>0</v>
      </c>
      <c r="HU28" s="1054">
        <f t="array" ref="HU28">IFERROR(IF($HQ28="SEGMENT",INDEX('Margin Guidence Table'!$A$1:$AG$10000,MATCH(1,('Margin Guidence Table'!$A$1:$A$10000=HO28)*('Margin Guidence Table'!$I$1:$I$10000&lt;=ROUND($HG$3,0))*('Margin Guidence Table'!$J$1:$J$10000&gt;=ROUND($HG$3,0)),0),MATCH("MDA_MEDIAN_MARGIN_GUIDENCE",'Margin Guidence Table'!$A$1:$AG$1,0)),INDEX('Margin Guidence Table'!$A$1:$AG$10000,MATCH(1,('Margin Guidence Table'!$A$1:$A$10000=HO28)*('Margin Guidence Table'!$I$1:$I$10000&lt;=ROUND($HG$3,0))*('Margin Guidence Table'!$J$1:$J$10000&gt;=ROUND($HG$3,0)),0),MATCH("DEFAULT_MDA_MEDIAN_MARGIN_GUIDENCE",'Margin Guidence Table'!$A$1:$AG$1,0))),0)</f>
        <v>0</v>
      </c>
      <c r="HV28" s="1054">
        <f t="array" ref="HV28">IFERROR(IF($HQ28="SEGMENT",INDEX('Margin Guidence Table'!$A$1:$AG$10000,MATCH(1,('Margin Guidence Table'!$A$1:$A$10000=HO28)*('Margin Guidence Table'!$I$1:$I$10000&lt;=ROUND($HG$3,0))*('Margin Guidence Table'!$J$1:$J$10000&gt;=ROUND($HG$3,0)),0),MATCH("MDA_MAX_MARGIN_GUIDENCE",'Margin Guidence Table'!$A$1:$AG$1,0)),INDEX('Margin Guidence Table'!$A$1:$AG$10000,MATCH(1,('Margin Guidence Table'!$A$1:$A$10000=HO28)*('Margin Guidence Table'!$I$1:$I$10000&lt;=ROUND($HG$3,0))*('Margin Guidence Table'!$J$1:$J$10000&gt;=ROUND($HG$3,0)),0),MATCH("DEFAULT_MDA_MAX_MARGIN_GUIDENCE",'Margin Guidence Table'!$A$1:$AG$1,0))),0)</f>
        <v>0</v>
      </c>
      <c r="HW28" s="1054">
        <f t="array" ref="HW28">IFERROR(IF($HQ28="SEGMENT",INDEX('Margin Guidence Table'!$A$1:$AG$10000,MATCH(1,('Margin Guidence Table'!$A$1:$A$10000=HO28)*('Margin Guidence Table'!$I$1:$I$10000&lt;=ROUND($HG$3,0))*('Margin Guidence Table'!$J$1:$J$10000&gt;=ROUND($HG$3,0)),0),MATCH("PA_PCT_SALES",'Margin Guidence Table'!$A$1:$AG$1,0)),INDEX('Margin Guidence Table'!$A$1:$AG$10000,MATCH(1,('Margin Guidence Table'!$A$1:$A$10000=HO28)*('Margin Guidence Table'!$I$1:$I$10000&lt;=ROUND($HG$3,0))*('Margin Guidence Table'!$J$1:$J$10000&gt;=ROUND($HG$3,0)),0),MATCH("DEFAULT_PA_PCT_SALES",'Margin Guidence Table'!$A$1:$AG$1,0))),0)</f>
        <v>0</v>
      </c>
      <c r="HX28" s="1054">
        <f t="array" ref="HX28">IFERROR(IF($HQ28="SEGMENT",INDEX('Margin Guidence Table'!$A$1:$AG$10000,MATCH(1,('Margin Guidence Table'!$A$1:$A$10000=HO28)*('Margin Guidence Table'!$I$1:$I$10000&lt;=ROUND($HG$3,0))*('Margin Guidence Table'!$J$1:$J$10000&gt;=ROUND($HG$3,0)),0),MATCH("SELF_FUND_PCT_SALES",'Margin Guidence Table'!$A$1:$AG$1,0)),INDEX('Margin Guidence Table'!$A$1:$AG$10000,MATCH(1,('Margin Guidence Table'!$A$1:$A$10000=HO28)*('Margin Guidence Table'!$I$1:$I$10000&lt;=ROUND($HG$3,0))*('Margin Guidence Table'!$J$1:$J$10000&gt;=ROUND($HG$3,0)),0),MATCH("DEFAULT_SELF_FUND_PCT_SALES",'Margin Guidence Table'!$A$1:$AG$1,0))),0)</f>
        <v>0</v>
      </c>
      <c r="HY28" s="1054">
        <f t="array" ref="HY28">IFERROR(IF($HQ28="SEGMENT",INDEX('Margin Guidence Table'!$A$1:$AG$10000,MATCH(1,('Margin Guidence Table'!$A$1:$A$10000=HO28)*('Margin Guidence Table'!$I$1:$I$10000&lt;=ROUND($HG$3,0))*('Margin Guidence Table'!$J$1:$J$10000&gt;=ROUND($HG$3,0)),0),MATCH("CIA_MEDIAN_MARGIN_GUIDENCE",'Margin Guidence Table'!$A$1:$AG$1,0)),INDEX('Margin Guidence Table'!$A$1:$AG$10000,MATCH(1,('Margin Guidence Table'!$A$1:$A$10000=HO28)*('Margin Guidence Table'!$I$1:$I$10000&lt;=ROUND($HG$3,0))*('Margin Guidence Table'!$J$1:$J$10000&gt;=ROUND($HG$3,0)),0),MATCH("DEFAULT_CIA_MEDIAN_MARGIN_GUIDENCE",'Margin Guidence Table'!$A$1:$AG$1,0))),0)</f>
        <v>0</v>
      </c>
      <c r="HZ28" s="127"/>
      <c r="IA28" s="18">
        <f t="array" ref="IA28">IFERROR(IF($IN28="SEGMENT",INDEX('Margin Guidence Table'!$A:$AC,MATCH(1,('Margin Guidence Table'!$A:$A=$IL28)*('Margin Guidence Table'!$H:$H&lt;=ROUND($ID$3,0))*('Margin Guidence Table'!$G:$G&gt;=ROUND($ID$3,0)),0),MATCH("PCT_SALES",'Margin Guidence Table'!$A$1:$AG$1,0)),INDEX('Margin Guidence Table'!$A:$AC,MATCH(1,('Margin Guidence Table'!$A:$A=$IL28)*('Margin Guidence Table'!$H:$H&lt;=ROUND($ID$3,0))*('Margin Guidence Table'!$G:$G&gt;=ROUND($ID$3,0)),0),MATCH("DEFAULT_PCT_SALES",'Margin Guidence Table'!$A$1:$AG$1,0))),0)</f>
        <v>0</v>
      </c>
      <c r="IB28" s="370" t="e">
        <f t="shared" si="42"/>
        <v>#DIV/0!</v>
      </c>
      <c r="IC28" s="100" t="s">
        <v>91</v>
      </c>
      <c r="ID28" s="92">
        <f>IFERROR(IF(AND($ID$2&lt;&gt;"Enter Spend&gt;&gt;&gt;",IE16="EXISTING"),SUMIFS('Existing Customers'!$Q:$Q,'Existing Customers'!$A:$A,$ID$1,'Existing Customers'!$H:$H,$IC28)*$ID$4,$ID$3*$IB28),0)</f>
        <v>0</v>
      </c>
      <c r="IE28" s="87">
        <f>IFERROR(IF(AND($ID$2&lt;&gt;"Enter Spend&gt;&gt;&gt;",IE2="EXISTING"),SUMIFS('Existing Customers'!$N:$N,'Existing Customers'!$A:$A,$ID$1,'Existing Customers'!$H:$H,$IC28)*$ID$4,$ID28/$IO28),0)</f>
        <v>0</v>
      </c>
      <c r="IF28" s="93">
        <f>IFERROR(IF(AND($ID$2&lt;&gt;"Enter Spend&gt;&gt;&gt;",IE2="EXISTING"),SUMIFS('Existing Customers'!$O:$O,'Existing Customers'!$H:$H,$IC28,'Existing Customers'!$A:$A,$ID$1)*$ID$4,$IE28*$ID$8),0)</f>
        <v>0</v>
      </c>
      <c r="IG28" s="93">
        <f>IFERROR(IF(AND($ID$2&lt;&gt;"Enter Spend&gt;&gt;&gt;",IE2="EXISTING"),SUMIFS('Existing Customers'!$P:$P,'Existing Customers'!$A:$A,$ID$1,'Existing Customers'!$H:$H,$IC28)*$ID$4,$ID28/$IP28),0)</f>
        <v>0</v>
      </c>
      <c r="IH28" s="376">
        <f>IFERROR(IF(AND($ID$2&lt;&gt;"Enter Spend&gt;&gt;&gt;",IE2="EXISTING"),SUMIFS('Existing Customers'!$V:$V,'Existing Customers'!$H:$H,$IC28,'Existing Customers'!$A:$A,$ID$1)*$ID$4,0),0)</f>
        <v>0</v>
      </c>
      <c r="II28" s="94">
        <f>IFERROR(IF(AND($ID$2&lt;&gt;"Enter Spend&gt;&gt;&gt;",IE2="EXISTING"),SUMIFS('Existing Customers'!$R:$R,'Existing Customers'!$H:$H,$IC28,'Existing Customers'!$A:$A,$ID$1)*$ID$4,0),0)</f>
        <v>0</v>
      </c>
      <c r="IJ28" s="1050">
        <f>IFERROR(IF(AND($ID$2&lt;&gt;"Enter Spend&gt;&gt;&gt;",IE2="EXISTING"),SUMIFS('Existing Customers'!$S:$S,'Existing Customers'!$H:$H,$IC28,'Existing Customers'!$A:$A,$ID$1),IT28*ID28),0)</f>
        <v>0</v>
      </c>
      <c r="IK28" s="1050">
        <f>IFERROR(IF(AND($ID$2&lt;&gt;"Enter Spend&gt;&gt;&gt;",IE2="EXISTING"),SUMIFS('Existing Customers'!$U:$U,'Existing Customers'!$H:$H,$IC28,'Existing Customers'!$A:$A,$ID$1),IU28*ID28),0)</f>
        <v>0</v>
      </c>
      <c r="IL28" s="1053" t="e">
        <f>_xlfn.CONCAT('Customer Inputs'!$AG$14,"_",IC28)</f>
        <v>#N/A</v>
      </c>
      <c r="IM28" s="1053">
        <f t="array" ref="IM28">IFERROR(INDEX('Margin Guidence Table'!$A$1:$AG$10000,MATCH(1,('Margin Guidence Table'!$A$1:$A$10000=IL28)*('Margin Guidence Table'!$I$1:$I$10000&lt;=ROUND($ID$3,0))*('Margin Guidence Table'!$J$1:$J$10000&gt;=ROUND($ID$3,0)),0),MATCH("DATA_POINTS",'Margin Guidence Table'!$A$1:$AG$1,0)),0)</f>
        <v>0</v>
      </c>
      <c r="IN28" s="1050" t="str">
        <f t="shared" si="43"/>
        <v>DEFAULT</v>
      </c>
      <c r="IO28" s="1050">
        <f t="array" ref="IO28">IFERROR(IF($IN28="SEGMENT",INDEX('Margin Guidence Table'!$A$1:$AG$10000,MATCH(1,('Margin Guidence Table'!$A$1:$A$10000=IL28)*('Margin Guidence Table'!$I$1:$I$10000&lt;=ROUND($ID$3,0))*('Margin Guidence Table'!$J$1:$J$10000&gt;=ROUND($ID$3,0)),0),MATCH("SALES_CASE",'Margin Guidence Table'!$A$1:$AG$1,0)),INDEX('Margin Guidence Table'!$A$1:$AG$10000,MATCH(1,('Margin Guidence Table'!$A$1:$A$10000=IL28)*('Margin Guidence Table'!$I$1:$I$10000&lt;=ROUND($ID$3,0))*('Margin Guidence Table'!$J$1:$J$10000&gt;=ROUND($ID$3,0)),0),MATCH("DEFAULT_SALES_CASE",'Margin Guidence Table'!$A$1:$AG$1,0))),0)</f>
        <v>0</v>
      </c>
      <c r="IP28" s="1050">
        <f t="array" ref="IP28">IFERROR(IF($IN28="SEGMENT",INDEX('Margin Guidence Table'!$A$1:$AG$10000,MATCH(1,('Margin Guidence Table'!$A$1:$A$10000=IL28)*('Margin Guidence Table'!$I$1:$I$10000&lt;=ROUND($ID$3,0))*('Margin Guidence Table'!$J$1:$J$10000&gt;=ROUND($ID$3,0)),0),MATCH("SALES_LBS",'Margin Guidence Table'!$A$1:$AG$1,0)),INDEX('Margin Guidence Table'!$A$1:$AG$10000,MATCH(1,('Margin Guidence Table'!$A$1:$A$10000=IL28)*('Margin Guidence Table'!$I$1:$I$10000&lt;=ROUND($ID$3,0))*('Margin Guidence Table'!$J$1:$J$10000&gt;=ROUND($ID$3,0)),0),MATCH("DEFAULT_SALES_LBS",'Margin Guidence Table'!$A$1:$AG$1,0))),0)</f>
        <v>0</v>
      </c>
      <c r="IQ28" s="1054">
        <f t="array" ref="IQ28">IFERROR(IF($IN28="SEGMENT",INDEX('Margin Guidence Table'!$A$1:$AG$10000,MATCH(1,('Margin Guidence Table'!$A$1:$A$10000=IL28)*('Margin Guidence Table'!$I$1:$I$10000&lt;=ROUND($ID$3,0))*('Margin Guidence Table'!$J$1:$J$10000&gt;=ROUND($ID$3,0)),0),MATCH("MDA_MIN_MARGIN_GUIDENCE",'Margin Guidence Table'!$A$1:$AG$1,0)),INDEX('Margin Guidence Table'!$A$1:$AG$10000,MATCH(1,('Margin Guidence Table'!$A$1:$A$10000=IL28)*('Margin Guidence Table'!$I$1:$I$10000&lt;=ROUND($ID$3,0))*('Margin Guidence Table'!$J$1:$J$10000&gt;=ROUND($ID$3,0)),0),MATCH("DEFAULT_MDA_MIN_MARGIN_GUIDENCE",'Margin Guidence Table'!$A$1:$AG$1,0))),0)</f>
        <v>0</v>
      </c>
      <c r="IR28" s="1054">
        <f t="array" ref="IR28">IFERROR(IF($IN28="SEGMENT",INDEX('Margin Guidence Table'!$A$1:$AG$10000,MATCH(1,('Margin Guidence Table'!$A$1:$A$10000=IL28)*('Margin Guidence Table'!$I$1:$I$10000&lt;=ROUND($ID$3,0))*('Margin Guidence Table'!$J$1:$J$10000&gt;=ROUND($ID$3,0)),0),MATCH("MDA_MEDIAN_MARGIN_GUIDENCE",'Margin Guidence Table'!$A$1:$AG$1,0)),INDEX('Margin Guidence Table'!$A$1:$AG$10000,MATCH(1,('Margin Guidence Table'!$A$1:$A$10000=IL28)*('Margin Guidence Table'!$I$1:$I$10000&lt;=ROUND($ID$3,0))*('Margin Guidence Table'!$J$1:$J$10000&gt;=ROUND($ID$3,0)),0),MATCH("DEFAULT_MDA_MEDIAN_MARGIN_GUIDENCE",'Margin Guidence Table'!$A$1:$AG$1,0))),0)</f>
        <v>0</v>
      </c>
      <c r="IS28" s="1054">
        <f t="array" ref="IS28">IFERROR(IF($IN28="SEGMENT",INDEX('Margin Guidence Table'!$A$1:$AG$10000,MATCH(1,('Margin Guidence Table'!$A$1:$A$10000=IL28)*('Margin Guidence Table'!$I$1:$I$10000&lt;=ROUND($ID$3,0))*('Margin Guidence Table'!$J$1:$J$10000&gt;=ROUND($ID$3,0)),0),MATCH("MDA_MAX_MARGIN_GUIDENCE",'Margin Guidence Table'!$A$1:$AG$1,0)),INDEX('Margin Guidence Table'!$A$1:$AG$10000,MATCH(1,('Margin Guidence Table'!$A$1:$A$10000=IL28)*('Margin Guidence Table'!$I$1:$I$10000&lt;=ROUND($ID$3,0))*('Margin Guidence Table'!$J$1:$J$10000&gt;=ROUND($ID$3,0)),0),MATCH("DEFAULT_MDA_MAX_MARGIN_GUIDENCE",'Margin Guidence Table'!$A$1:$AG$1,0))),0)</f>
        <v>0</v>
      </c>
      <c r="IT28" s="1054">
        <f t="array" ref="IT28">IFERROR(IF($IN28="SEGMENT",INDEX('Margin Guidence Table'!$A$1:$AG$10000,MATCH(1,('Margin Guidence Table'!$A$1:$A$10000=IL28)*('Margin Guidence Table'!$I$1:$I$10000&lt;=ROUND($ID$3,0))*('Margin Guidence Table'!$J$1:$J$10000&gt;=ROUND($ID$3,0)),0),MATCH("PA_PCT_SALES",'Margin Guidence Table'!$A$1:$AG$1,0)),INDEX('Margin Guidence Table'!$A$1:$AG$10000,MATCH(1,('Margin Guidence Table'!$A$1:$A$10000=IL28)*('Margin Guidence Table'!$I$1:$I$10000&lt;=ROUND($ID$3,0))*('Margin Guidence Table'!$J$1:$J$10000&gt;=ROUND($ID$3,0)),0),MATCH("DEFAULT_PA_PCT_SALES",'Margin Guidence Table'!$A$1:$AG$1,0))),0)</f>
        <v>0</v>
      </c>
      <c r="IU28" s="1054">
        <f t="array" ref="IU28">IFERROR(IF($IN28="SEGMENT",INDEX('Margin Guidence Table'!$A$1:$AG$10000,MATCH(1,('Margin Guidence Table'!$A$1:$A$10000=IL28)*('Margin Guidence Table'!$I$1:$I$10000&lt;=ROUND($ID$3,0))*('Margin Guidence Table'!$J$1:$J$10000&gt;=ROUND($ID$3,0)),0),MATCH("SELF_FUND_PCT_SALES",'Margin Guidence Table'!$A$1:$AG$1,0)),INDEX('Margin Guidence Table'!$A$1:$AG$10000,MATCH(1,('Margin Guidence Table'!$A$1:$A$10000=IL28)*('Margin Guidence Table'!$I$1:$I$10000&lt;=ROUND($ID$3,0))*('Margin Guidence Table'!$J$1:$J$10000&gt;=ROUND($ID$3,0)),0),MATCH("DEFAULT_SELF_FUND_PCT_SALES",'Margin Guidence Table'!$A$1:$AG$1,0))),0)</f>
        <v>0</v>
      </c>
      <c r="IV28" s="1054">
        <f t="array" ref="IV28">IFERROR(IF($IN28="SEGMENT",INDEX('Margin Guidence Table'!$A$1:$AG$10000,MATCH(1,('Margin Guidence Table'!$A$1:$A$10000=IL28)*('Margin Guidence Table'!$I$1:$I$10000&lt;=ROUND($ID$3,0))*('Margin Guidence Table'!$J$1:$J$10000&gt;=ROUND($ID$3,0)),0),MATCH("CIA_MEDIAN_MARGIN_GUIDENCE",'Margin Guidence Table'!$A$1:$AG$1,0)),INDEX('Margin Guidence Table'!$A$1:$AG$10000,MATCH(1,('Margin Guidence Table'!$A$1:$A$10000=IL28)*('Margin Guidence Table'!$I$1:$I$10000&lt;=ROUND($ID$3,0))*('Margin Guidence Table'!$J$1:$J$10000&gt;=ROUND($ID$3,0)),0),MATCH("DEFAULT_CIA_MEDIAN_MARGIN_GUIDENCE",'Margin Guidence Table'!$A$1:$AG$1,0))),0)</f>
        <v>0</v>
      </c>
      <c r="IW28" s="127"/>
      <c r="IX28" s="18">
        <f t="array" ref="IX28">IFERROR(IF($JK28="SEGMENT",INDEX('Margin Guidence Table'!$A$1:$AG$10000,MATCH(1,('Margin Guidence Table'!$A$1:$A$10000=$JI28)*('Margin Guidence Table'!$I$1:$I$10000&lt;=ROUND($JA$3,0))*('Margin Guidence Table'!$J$1:$J$10000&gt;=ROUND($JA$3,0)),0),MATCH("PCT_SALES",'Margin Guidence Table'!$A$1:$AG$1,0)),INDEX('Margin Guidence Table'!$A$1:$AG$10000,MATCH(1,('Margin Guidence Table'!$A$1:$A$10000=$JI28)*('Margin Guidence Table'!$I$1:$I$10000&lt;=ROUND($JA$3,0))*('Margin Guidence Table'!$J$1:$J$10000&gt;=ROUND($JA$3,0)),0),MATCH("DEFAULT_PCT_SALES",'Margin Guidence Table'!$A$1:$AG$1,0))),0)</f>
        <v>0</v>
      </c>
      <c r="IY28" s="370" t="e">
        <f t="shared" si="44"/>
        <v>#DIV/0!</v>
      </c>
      <c r="IZ28" s="100" t="s">
        <v>91</v>
      </c>
      <c r="JA28" s="92">
        <f>IFERROR(IF(AND($JA$2&lt;&gt;"Enter Spend&gt;&gt;&gt;",JB16="EXISTING"),SUMIFS('Existing Customers'!$Q:$Q,'Existing Customers'!$A:$A,$JA$1,'Existing Customers'!$H:$H,$IZ28)*$JA$4,$JA$3*$IY28),0)</f>
        <v>0</v>
      </c>
      <c r="JB28" s="87">
        <f>IFERROR(IF(AND($JA$2&lt;&gt;"Enter Spend&gt;&gt;&gt;",JB2="EXISTING"),SUMIFS('Existing Customers'!$N:$N,'Existing Customers'!$A:$A,$JA$1,'Existing Customers'!$H:$H,$IZ28)*$JA$4,$JA28/$JL28),0)</f>
        <v>0</v>
      </c>
      <c r="JC28" s="93">
        <f>IFERROR(IF(AND($JA$2&lt;&gt;"Enter Spend&gt;&gt;&gt;",JB2="EXISTING"),SUMIFS('Existing Customers'!$O:$O,'Existing Customers'!$H:$H,$IZ28,'Existing Customers'!$A:$A,$JA$1)*$JA$4,$JB28*$JA$8),0)</f>
        <v>0</v>
      </c>
      <c r="JD28" s="93">
        <f>IFERROR(IF(AND($JA$2&lt;&gt;"Enter Spend&gt;&gt;&gt;",JB2="EXISTING"),SUMIFS('Existing Customers'!$P:$P,'Existing Customers'!$A:$A,$JA$1,'Existing Customers'!$H:$H,$IZ28)*$JA$4,$JA28/$JM28),0)</f>
        <v>0</v>
      </c>
      <c r="JE28" s="376">
        <f>IFERROR(IF(AND($JA$2&lt;&gt;"Enter Spend&gt;&gt;&gt;",JB2="EXISTING"),SUMIFS('Existing Customers'!$V:$V,'Existing Customers'!$H:$H,$IZ28,'Existing Customers'!$A:$A,$JA$1)*$JA$4,0),0)</f>
        <v>0</v>
      </c>
      <c r="JF28" s="94">
        <f>IFERROR(IF(AND($JA$2&lt;&gt;"Enter Spend&gt;&gt;&gt;",JB2="EXISTING"),SUMIFS('Existing Customers'!$R:$R,'Existing Customers'!$H:$H,$IZ28,'Existing Customers'!$A:$A,$JA$1)*$JA$4,0),0)</f>
        <v>0</v>
      </c>
      <c r="JG28" s="1050">
        <f>IFERROR(IF(AND($JA$2&lt;&gt;"Enter Spend&gt;&gt;&gt;",JB2="EXISTING"),SUMIFS('Existing Customers'!$S:$S,'Existing Customers'!$H:$H,$IZ28,'Existing Customers'!$A:$A,$JA$1),JQ28*JA28),0)</f>
        <v>0</v>
      </c>
      <c r="JH28" s="1050">
        <f>IFERROR(IF(AND($JA$2&lt;&gt;"Enter Spend&gt;&gt;&gt;",JB2="EXISTING"),SUMIFS('Existing Customers'!$U:$U,'Existing Customers'!$H:$H,$IZ28,'Existing Customers'!$A:$A,$JA$1),JR28*JA28),0)</f>
        <v>0</v>
      </c>
      <c r="JI28" s="1053" t="e">
        <f>_xlfn.CONCAT('Customer Inputs'!$AG$15,"_",IZ28)</f>
        <v>#N/A</v>
      </c>
      <c r="JJ28" s="1053">
        <f t="array" ref="JJ28">IFERROR(INDEX('Margin Guidence Table'!$A$1:$AG$10000,MATCH(1,('Margin Guidence Table'!$A$1:$A$10000=JI28)*('Margin Guidence Table'!$I$1:$I$10000&lt;=ROUND($JA$3,0))*('Margin Guidence Table'!$J$1:$J$10000&gt;=ROUND($JA$3,0)),0),MATCH("DATA_POINTS",'Margin Guidence Table'!$A$1:$AG$1,0)),0)</f>
        <v>0</v>
      </c>
      <c r="JK28" s="1050" t="str">
        <f t="shared" si="45"/>
        <v>DEFAULT</v>
      </c>
      <c r="JL28" s="1050">
        <f t="array" ref="JL28">IFERROR(IF($JK28="SEGMENT",INDEX('Margin Guidence Table'!$A$1:$AG$10000,MATCH(1,('Margin Guidence Table'!$A$1:$A$10000=JI28)*('Margin Guidence Table'!$I$1:$I$10000&lt;=ROUND($JA$3,0))*('Margin Guidence Table'!$J$1:$J$10000&gt;=ROUND($JA$3,0)),0),MATCH("SALES_CASE",'Margin Guidence Table'!$A$1:$AG$1,0)),INDEX('Margin Guidence Table'!$A$1:$AG$10000,MATCH(1,('Margin Guidence Table'!$A$1:$A$10000=JI28)*('Margin Guidence Table'!$I$1:$I$10000&lt;=ROUND($JA$3,0))*('Margin Guidence Table'!$J$1:$J$10000&gt;=ROUND($JA$3,0)),0),MATCH("DEFAULT_SALES_CASE",'Margin Guidence Table'!$A$1:$AG$1,0))),0)</f>
        <v>0</v>
      </c>
      <c r="JM28" s="1050">
        <f t="array" ref="JM28">IFERROR(IF($JK28="SEGMENT",INDEX('Margin Guidence Table'!$A$1:$AG$10000,MATCH(1,('Margin Guidence Table'!$A$1:$A$10000=JI28)*('Margin Guidence Table'!$I$1:$I$10000&lt;=ROUND($JA$3,0))*('Margin Guidence Table'!$J$1:$J$10000&gt;=ROUND($JA$3,0)),0),MATCH("SALES_LBS",'Margin Guidence Table'!$A$1:$AG$1,0)),INDEX('Margin Guidence Table'!$A$1:$AG$10000,MATCH(1,('Margin Guidence Table'!$A$1:$A$10000=JI28)*('Margin Guidence Table'!$I$1:$I$10000&lt;=ROUND($JA$3,0))*('Margin Guidence Table'!$J$1:$J$10000&gt;=ROUND($JA$3,0)),0),MATCH("DEFAULT_SALES_LBS",'Margin Guidence Table'!$A$1:$AG$1,0))),0)</f>
        <v>0</v>
      </c>
      <c r="JN28" s="1054">
        <f t="array" ref="JN28">IFERROR(IF($JK28="SEGMENT",INDEX('Margin Guidence Table'!$A$1:$AG$10000,MATCH(1,('Margin Guidence Table'!$A$1:$A$10000=JI28)*('Margin Guidence Table'!$I$1:$I$10000&lt;=ROUND($JA$3,0))*('Margin Guidence Table'!$J$1:$J$10000&gt;=ROUND($JA$3,0)),0),MATCH("MDA_MIN_MARGIN_GUIDENCE",'Margin Guidence Table'!$A$1:$AG$1,0)),INDEX('Margin Guidence Table'!$A$1:$AG$10000,MATCH(1,('Margin Guidence Table'!$A$1:$A$10000=JI28)*('Margin Guidence Table'!$I$1:$I$10000&lt;=ROUND($JA$3,0))*('Margin Guidence Table'!$J$1:$J$10000&gt;=ROUND($JA$3,0)),0),MATCH("DEFAULT_MDA_MIN_MARGIN_GUIDENCE",'Margin Guidence Table'!$A$1:$AG$1,0))),0)</f>
        <v>0</v>
      </c>
      <c r="JO28" s="1054">
        <f t="array" ref="JO28">IFERROR(IF($JK28="SEGMENT",INDEX('Margin Guidence Table'!$A$1:$AG$10000,MATCH(1,('Margin Guidence Table'!$A$1:$A$10000=JI28)*('Margin Guidence Table'!$I$1:$I$10000&lt;=ROUND($JA$3,0))*('Margin Guidence Table'!$J$1:$J$10000&gt;=ROUND($JA$3,0)),0),MATCH("MDA_MEDIAN_MARGIN_GUIDENCE",'Margin Guidence Table'!$A$1:$AG$1,0)),INDEX('Margin Guidence Table'!$A$1:$AG$10000,MATCH(1,('Margin Guidence Table'!$A$1:$A$10000=JI28)*('Margin Guidence Table'!$I$1:$I$10000&lt;=ROUND($JA$3,0))*('Margin Guidence Table'!$J$1:$J$10000&gt;=ROUND($JA$3,0)),0),MATCH("DEFAULT_MDA_MEDIAN_MARGIN_GUIDENCE",'Margin Guidence Table'!$A$1:$AG$1,0))),0)</f>
        <v>0</v>
      </c>
      <c r="JP28" s="1054">
        <f t="array" ref="JP28">IFERROR(IF($JK28="SEGMENT",INDEX('Margin Guidence Table'!$A$1:$AG$10000,MATCH(1,('Margin Guidence Table'!$A$1:$A$10000=JI28)*('Margin Guidence Table'!$I$1:$I$10000&lt;=ROUND($JA$3,0))*('Margin Guidence Table'!$J$1:$J$10000&gt;=ROUND($JA$3,0)),0),MATCH("MDA_MAX_MARGIN_GUIDENCE",'Margin Guidence Table'!$A$1:$AG$1,0)),INDEX('Margin Guidence Table'!$A$1:$AG$10000,MATCH(1,('Margin Guidence Table'!$A$1:$A$10000=JI28)*('Margin Guidence Table'!$I$1:$I$10000&lt;=ROUND($JA$3,0))*('Margin Guidence Table'!$J$1:$J$10000&gt;=ROUND($JA$3,0)),0),MATCH("DEFAULT_MDA_MAX_MARGIN_GUIDENCE",'Margin Guidence Table'!$A$1:$AG$1,0))),0)</f>
        <v>0</v>
      </c>
      <c r="JQ28" s="1054">
        <f t="array" ref="JQ28">IFERROR(IF($JK28="SEGMENT",INDEX('Margin Guidence Table'!$A$1:$AG$10000,MATCH(1,('Margin Guidence Table'!$A$1:$A$10000=JI28)*('Margin Guidence Table'!$I$1:$I$10000&lt;=ROUND($JA$3,0))*('Margin Guidence Table'!$J$1:$J$10000&gt;=ROUND($JA$3,0)),0),MATCH("PA_PCT_SALES",'Margin Guidence Table'!$A$1:$AG$1,0)),INDEX('Margin Guidence Table'!$A$1:$AG$10000,MATCH(1,('Margin Guidence Table'!$A$1:$A$10000=JI28)*('Margin Guidence Table'!$I$1:$I$10000&lt;=ROUND($JA$3,0))*('Margin Guidence Table'!$J$1:$J$10000&gt;=ROUND($JA$3,0)),0),MATCH("DEFAULT_PA_PCT_SALES",'Margin Guidence Table'!$A$1:$AG$1,0))),0)</f>
        <v>0</v>
      </c>
      <c r="JR28" s="1054">
        <f t="array" ref="JR28">IFERROR(IF($JK28="SEGMENT",INDEX('Margin Guidence Table'!$A$1:$AG$10000,MATCH(1,('Margin Guidence Table'!$A$1:$A$10000=JI28)*('Margin Guidence Table'!$I$1:$I$10000&lt;=ROUND($JA$3,0))*('Margin Guidence Table'!$J$1:$J$10000&gt;=ROUND($JA$3,0)),0),MATCH("SELF_FUND_PCT_SALES",'Margin Guidence Table'!$A$1:$AG$1,0)),INDEX('Margin Guidence Table'!$A$1:$AG$10000,MATCH(1,('Margin Guidence Table'!$A$1:$A$10000=JI28)*('Margin Guidence Table'!$I$1:$I$10000&lt;=ROUND($JA$3,0))*('Margin Guidence Table'!$J$1:$J$10000&gt;=ROUND($JA$3,0)),0),MATCH("DEFAULT_SELF_FUND_PCT_SALES",'Margin Guidence Table'!$A$1:$AG$1,0))),0)</f>
        <v>0</v>
      </c>
      <c r="JS28" s="1054">
        <f t="array" ref="JS28">IFERROR(IF($JK28="SEGMENT",INDEX('Margin Guidence Table'!$A$1:$AG$10000,MATCH(1,('Margin Guidence Table'!$A$1:$A$10000=JI28)*('Margin Guidence Table'!$I$1:$I$10000&lt;=ROUND($JA$3,0))*('Margin Guidence Table'!$J$1:$J$10000&gt;=ROUND($JA$3,0)),0),MATCH("CIA_MEDIAN_MARGIN_GUIDENCE",'Margin Guidence Table'!$A$1:$AG$1,0)),INDEX('Margin Guidence Table'!$A$1:$AG$10000,MATCH(1,('Margin Guidence Table'!$A$1:$A$10000=JI28)*('Margin Guidence Table'!$I$1:$I$10000&lt;=ROUND($JA$3,0))*('Margin Guidence Table'!$J$1:$J$10000&gt;=ROUND($JA$3,0)),0),MATCH("DEFAULT_CIA_MEDIAN_MARGIN_GUIDENCE",'Margin Guidence Table'!$A$1:$AG$1,0))),0)</f>
        <v>0</v>
      </c>
      <c r="JU28" s="100" t="s">
        <v>91</v>
      </c>
      <c r="JV28" s="95"/>
      <c r="JW28" s="87"/>
      <c r="JX28" s="87"/>
      <c r="JY28" s="87"/>
      <c r="JZ28" s="112"/>
      <c r="KA28" s="96"/>
      <c r="KB28" s="127"/>
      <c r="KD28" s="100" t="s">
        <v>91</v>
      </c>
      <c r="KE28" s="95"/>
      <c r="KF28" s="87"/>
      <c r="KG28" s="87"/>
      <c r="KH28" s="87"/>
      <c r="KI28" s="112"/>
      <c r="KJ28" s="96"/>
    </row>
    <row r="29" spans="2:296" ht="15.75" thickBot="1" x14ac:dyDescent="0.3">
      <c r="B29" s="100" t="s">
        <v>90</v>
      </c>
      <c r="C29" s="449">
        <f t="shared" si="11"/>
        <v>0</v>
      </c>
      <c r="D29" s="465">
        <f t="shared" si="12"/>
        <v>0</v>
      </c>
      <c r="E29" s="465">
        <f t="shared" si="13"/>
        <v>0</v>
      </c>
      <c r="F29" s="465">
        <f t="shared" si="14"/>
        <v>0</v>
      </c>
      <c r="G29" s="466">
        <f t="shared" si="15"/>
        <v>0</v>
      </c>
      <c r="H29" s="465">
        <f t="shared" si="16"/>
        <v>0</v>
      </c>
      <c r="I29" s="1046" t="e">
        <f t="shared" si="0"/>
        <v>#DIV/0!</v>
      </c>
      <c r="J29" s="1046" t="e">
        <f t="shared" si="1"/>
        <v>#DIV/0!</v>
      </c>
      <c r="K29" s="1046" t="e">
        <f t="shared" si="2"/>
        <v>#DIV/0!</v>
      </c>
      <c r="L29" s="465" t="e">
        <f t="shared" si="3"/>
        <v>#DIV/0!</v>
      </c>
      <c r="M29" s="465" t="e">
        <f t="shared" si="17"/>
        <v>#DIV/0!</v>
      </c>
      <c r="N29" s="1047" t="e">
        <f t="shared" si="4"/>
        <v>#DIV/0!</v>
      </c>
      <c r="P29" t="str">
        <f>'PIM Model'!E25</f>
        <v>INCLUDE</v>
      </c>
      <c r="Q29">
        <f t="shared" si="18"/>
        <v>0</v>
      </c>
      <c r="R29">
        <f t="shared" si="19"/>
        <v>0</v>
      </c>
      <c r="S29" s="100" t="s">
        <v>90</v>
      </c>
      <c r="T29" s="95">
        <f t="shared" si="20"/>
        <v>0</v>
      </c>
      <c r="U29" s="87">
        <f t="shared" si="5"/>
        <v>0</v>
      </c>
      <c r="V29" s="87">
        <f t="shared" si="6"/>
        <v>0</v>
      </c>
      <c r="W29" s="87">
        <f t="shared" si="7"/>
        <v>0</v>
      </c>
      <c r="X29" s="112">
        <f t="shared" si="8"/>
        <v>0</v>
      </c>
      <c r="Y29" s="115">
        <f t="shared" si="21"/>
        <v>0</v>
      </c>
      <c r="Z29" s="374"/>
      <c r="AA29" s="100" t="s">
        <v>90</v>
      </c>
      <c r="AB29" s="453">
        <f t="shared" si="9"/>
        <v>0</v>
      </c>
      <c r="AC29" s="454">
        <f t="shared" si="9"/>
        <v>0</v>
      </c>
      <c r="AD29" s="454">
        <f t="shared" si="9"/>
        <v>0</v>
      </c>
      <c r="AE29" s="455">
        <f t="shared" si="22"/>
        <v>0</v>
      </c>
      <c r="AF29" s="456">
        <f t="shared" si="23"/>
        <v>0</v>
      </c>
      <c r="AG29" s="374"/>
      <c r="AH29" s="100" t="s">
        <v>90</v>
      </c>
      <c r="AI29" s="453">
        <f t="shared" si="10"/>
        <v>0</v>
      </c>
      <c r="AJ29" s="450">
        <f t="shared" si="24"/>
        <v>0</v>
      </c>
      <c r="AK29" s="456"/>
      <c r="AL29" s="374"/>
      <c r="AM29" s="1" t="str">
        <f>IF('PIM Ranges'!$AK27='PIM Ranges'!$AW$11,IF($AI29&lt;'PIM Ranges'!$AX$11,"Q1",IF($AI29&lt;'PIM Ranges'!$AY$11,"Q2",IF($AI29&lt;'PIM Ranges'!$AZ$11,"Q3",IF($AI29&lt;'PIM Ranges'!$BA$11,"Q4","Q5")))),IF('PIM Ranges'!$AK27='PIM Ranges'!$AW$12,IF($AI29&lt;'PIM Ranges'!$AX$12,"Q1",IF($AI29&lt;'PIM Ranges'!$AY$12,"Q2",IF($AI29&lt;'PIM Ranges'!$AZ$12,"Q3",IF($AI29&lt;'PIM Ranges'!$BA$12,"Q4","Q5")))),IF('PIM Ranges'!$AK27='PIM Ranges'!$AW$13,IF($AI29&lt;'PIM Ranges'!$AX$13,"Q1",IF($AI29&lt;'PIM Ranges'!$AY$13,"Q2",IF($AI29&lt;'PIM Ranges'!$AZ$13,"Q3",IF($AI29&lt;'PIM Ranges'!$BA$13,"Q4","Q5")))),IF('PIM Ranges'!$AK27='PIM Ranges'!$AW$14,IF($AI29&lt;'PIM Ranges'!$AX$14,"Q1",IF($AI29&lt;'PIM Ranges'!$AY$14,"Q2",IF($AI29&lt;'PIM Ranges'!$AZ$14,"Q3",IF($AI29&lt;'PIM Ranges'!$BA$14,"Q4","Q5")))),IF('PIM Ranges'!$AK27='PIM Ranges'!$AW$15,IF($AI29&lt;'PIM Ranges'!$AX$15,"Q1",IF($AI29&lt;'PIM Ranges'!$AY$15,"Q2",IF($AI29&lt;'PIM Ranges'!$AZ$15,"Q3",IF($AI29&lt;'PIM Ranges'!$BA$15,"Q4","Q5")))),IF('PIM Ranges'!$AK27='PIM Ranges'!$AW$16,IF($AI29&lt;'PIM Ranges'!$AX$16,"Q1",IF($AI29&lt;'PIM Ranges'!$AY$16,"Q2",IF($AI29&lt;'PIM Ranges'!$AZ$16,"Q3",IF($AI29&lt;'PIM Ranges'!$BA$16,"Q4","Q5")))),IF('PIM Ranges'!$AK27='PIM Ranges'!$AW$17,IF($AI29&lt;'PIM Ranges'!$AX$17,"Q1",IF($AI29&lt;'PIM Ranges'!$AY$17,"Q2",IF($AI29&lt;'PIM Ranges'!$AZ$17,"Q3",IF($AI29&lt;'PIM Ranges'!$BA$17,"Q4","Q5")))),IF('PIM Ranges'!$AK27='PIM Ranges'!$AW$18,IF($AI29&lt;'PIM Ranges'!$AX$18,"Q1",IF($AI29&lt;'PIM Ranges'!$AY$18,"Q2",IF($AI29&lt;'PIM Ranges'!$AZ$18,"Q3",IF($AI29&lt;'PIM Ranges'!$BA$18,"Q4","Q5")))),IF('PIM Ranges'!$AK27='PIM Ranges'!$AW$19,IF($AI29&lt;'PIM Ranges'!$AX$19,"Q1",IF($AI29&lt;'PIM Ranges'!$AY$19,"Q2",IF($AI29&lt;'PIM Ranges'!$AZ$19,"Q3",IF($AI29&lt;'PIM Ranges'!$BA$19,"Q4","Q5")))),IF('PIM Ranges'!$AK27='PIM Ranges'!$AW$20,IF($AI29&lt;'PIM Ranges'!$AX$20,"Q1",IF($AI29&lt;'PIM Ranges'!$AY$20,"Q2",IF($AI29&lt;'PIM Ranges'!$AZ$20,"Q3",IF($AI29&lt;'PIM Ranges'!$BA$20,"Q4","Q5")))),IF('PIM Ranges'!$AK27='PIM Ranges'!$AW$21,IF($AI29&lt;'PIM Ranges'!$AX$21,"Q1",IF($AI29&lt;'PIM Ranges'!$AY$21,"Q2",IF($AI29&lt;'PIM Ranges'!$AZ$21,"Q3",IF($AI29&lt;'PIM Ranges'!$BA$21,"Q4","Q5")))),IF('PIM Ranges'!$AK27='PIM Ranges'!$AW$22,IF($AI29&lt;'PIM Ranges'!$AX$22,"Q1",IF($AI29&lt;'PIM Ranges'!$AY$22,"Q2",IF($AI29&lt;'PIM Ranges'!$AZ$22,"Q3",IF($AI29&lt;'PIM Ranges'!$BA$22,"Q4","Q5")))),IF('PIM Ranges'!$AK27='PIM Ranges'!$AW$23,IF($AI29&lt;'PIM Ranges'!$AX$23,"Q1",IF($AI29&lt;'PIM Ranges'!$AY$23,"Q2",IF($AI29&lt;'PIM Ranges'!$AZ$23,"Q3",IF($AI29&lt;'PIM Ranges'!$BA$23,"Q4","Q5")))),IF('PIM Ranges'!$AK27='PIM Ranges'!$AW$24,IF($AI29&lt;'PIM Ranges'!$AX$24,"Q1",IF($AI29&lt;'PIM Ranges'!$AY$24,"Q2",IF($AI29&lt;'PIM Ranges'!$AZ$24,"Q3",IF($AI29&lt;'PIM Ranges'!$BA$24,"Q4","Q5")))),IF('PIM Ranges'!$AK27='PIM Ranges'!$AW$25,IF($AI29&lt;'PIM Ranges'!$AX$25,"Q1",IF($AI29&lt;'PIM Ranges'!$AY$25,"Q2",IF($AI29&lt;'PIM Ranges'!$AZ$25,"Q3",IF($AI29&lt;'PIM Ranges'!$BA$25,"Q4","Q5")))),IF('PIM Ranges'!$AK27='PIM Ranges'!$AW$26,IF($AI29&lt;'PIM Ranges'!$AX$26,"Q1",IF($AI29&lt;'PIM Ranges'!$AY$26,"Q2",IF($AI29&lt;'PIM Ranges'!$AZ$26,"Q3",IF($AI29&lt;'PIM Ranges'!$BA$26,"Q4","Q5")))),IF('PIM Ranges'!$AK27='PIM Ranges'!$AW$27,IF($AI29&lt;'PIM Ranges'!$AX$27,"Q1",IF($AI29&lt;'PIM Ranges'!$AY$27,"Q2",IF($AI29&lt;'PIM Ranges'!$AZ$27,"Q3",IF($AI29&lt;'PIM Ranges'!$BA$27,"Q4","Q5")))),IF('PIM Ranges'!$AK27='PIM Ranges'!$AW$28,IF($AI29&lt;'PIM Ranges'!$AX$28,"Q1",IF($AI29&lt;'PIM Ranges'!$AY$28,"Q2",IF($AI29&lt;'PIM Ranges'!$AZ$28,"Q3",IF($AI29&lt;'PIM Ranges'!$BA$28,"Q4","Q5")))),IF('PIM Ranges'!$AK27='PIM Ranges'!$AW$29,IF($AI29&lt;'PIM Ranges'!$AX$29,"Q1",IF($AI29&lt;'PIM Ranges'!$AY$29,"Q2",IF($AI29&lt;'PIM Ranges'!$AZ$29,"Q3",IF($AI29&lt;'PIM Ranges'!$BA$29,"Q4","Q5")))),IF('PIM Ranges'!$AK27='PIM Ranges'!$AW$30,IF($AI29&lt;'PIM Ranges'!$AX$30,"Q1",IF($AI29&lt;'PIM Ranges'!$AY$30,"Q2",IF($AI29&lt;'PIM Ranges'!$AZ$30,"Q3",IF($AI29&lt;'PIM Ranges'!$BA$30,"Q4","Q5")))),IF('PIM Ranges'!$AK27='PIM Ranges'!$AW$31,IF($AI29&lt;'PIM Ranges'!$AX$31,"Q1",IF($AI29&lt;'PIM Ranges'!$AY$31,"Q2",IF($AI29&lt;'PIM Ranges'!$AZ$31,"Q3",IF($AI29&lt;'PIM Ranges'!$BA$31,"Q4","Q5")))),IF('PIM Ranges'!$AK27='PIM Ranges'!$AW$32,IF($AI29&lt;'PIM Ranges'!$AX$32,"Q1",IF($AI29&lt;'PIM Ranges'!$AY$32,"Q2",IF($AI29&lt;'PIM Ranges'!$AZ$32,"Q3",IF($AI29&lt;'PIM Ranges'!$BA$32,"Q4","Q5"))))))))))))))))))))))))))</f>
        <v>Q1</v>
      </c>
      <c r="AN29" s="374">
        <f>VLOOKUP($AH29&amp;$AM29,'IMargin Quartiles'!$A:$F,6,FALSE)</f>
        <v>0.11</v>
      </c>
      <c r="AO29" s="374"/>
      <c r="AP29"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Q29" s="374" t="e">
        <f t="shared" si="25"/>
        <v>#DIV/0!</v>
      </c>
      <c r="AR29">
        <f>'PIM Model'!C25</f>
        <v>0</v>
      </c>
      <c r="AS29" s="374"/>
      <c r="AT29" s="374"/>
      <c r="AU29" s="374" t="e">
        <f t="shared" si="46"/>
        <v>#DIV/0!</v>
      </c>
      <c r="AV29" s="374"/>
      <c r="AW29" s="374"/>
      <c r="AX29" s="106">
        <v>18</v>
      </c>
      <c r="AY29" s="18">
        <f t="array" ref="AY29">IFERROR(IF($BL29="SEGMENT",INDEX('Margin Guidence Table'!$A$1:$AG$10000,MATCH(1,('Margin Guidence Table'!$A$1:$A$10000=$BJ29)*('Margin Guidence Table'!$I$1:$I$10000&lt;=ROUND($BB$3,0))*('Margin Guidence Table'!$J$1:$J$10000&gt;=ROUND($BB$3,0)),0),MATCH("PCT_SALES",'Margin Guidence Table'!$A$1:$AG$1,0)),INDEX('Margin Guidence Table'!$A$1:$AG$10000,MATCH(1,('Margin Guidence Table'!$A$1:$A$10000=$BJ29)*('Margin Guidence Table'!$I$1:$I$10000&lt;=ROUND($BB$3,0))*('Margin Guidence Table'!$J$1:$J$10000&gt;=ROUND($BB$3,0)),0),MATCH("DEFAULT_PCT_SALES",'Margin Guidence Table'!$A$1:$AG$1,0))),0)</f>
        <v>0</v>
      </c>
      <c r="AZ29" s="370" t="e">
        <f t="shared" si="26"/>
        <v>#DIV/0!</v>
      </c>
      <c r="BA29" s="100" t="s">
        <v>90</v>
      </c>
      <c r="BB29" s="92">
        <f>IFERROR(IF(AND($BB$2&lt;&gt;"Enter Spend&gt;&gt;&gt;",BC17="EXISTING"),SUMIFS('Existing Customers'!$Q:$Q,'Existing Customers'!$A:$A,$BB$1,'Existing Customers'!$H:$H,$BA29)*$BB$4,$BB$3*$AZ29),0)</f>
        <v>0</v>
      </c>
      <c r="BC29" s="93">
        <f>IFERROR(IF(AND($BB$2&lt;&gt;"Enter Spend&gt;&gt;&gt;",BC2="EXISTING"),SUMIFS('Existing Customers'!$N:$N,'Existing Customers'!$A:$A,$BB$1,'Existing Customers'!$H:$H,$BA29)*$BB$4,$BB29/$BM29),0)</f>
        <v>0</v>
      </c>
      <c r="BD29" s="93">
        <f>IFERROR(IF(AND($BB$2&lt;&gt;"Enter Spend&gt;&gt;&gt;",BC2="EXISTING"),SUMIFS('Existing Customers'!$O:$O,'Existing Customers'!$H:$H,$BA29,'Existing Customers'!$A:$A,$BB$1)*$BB$4,$BC29*$BB$8),0)</f>
        <v>0</v>
      </c>
      <c r="BE29" s="93">
        <f>IFERROR(IF(AND($BB$2&lt;&gt;"Enter Spend&gt;&gt;&gt;",BC2="EXISTING"),SUMIFS('Existing Customers'!$P:$P,'Existing Customers'!$A:$A,$BB$1,'Existing Customers'!$H:$H,$BA29)*$BB$4,$BB29/$BN29),0)</f>
        <v>0</v>
      </c>
      <c r="BF29" s="376">
        <f>IFERROR(IF(AND($BB$2&lt;&gt;"Enter Spend&gt;&gt;&gt;",BC2="EXISTING"),SUMIFS('Existing Customers'!$V:$V,'Existing Customers'!$H:$H,$BA29,'Existing Customers'!$A:$A,$BB$1)*$BB$4,0),0)</f>
        <v>0</v>
      </c>
      <c r="BG29" s="94">
        <f>IFERROR(IF(AND($BB$2&lt;&gt;"Enter Spend&gt;&gt;&gt;",BC2="EXISTING"),SUMIFS('Existing Customers'!$R:$R,'Existing Customers'!$H:$H,$BA29,'Existing Customers'!$A:$A,$BB$1)*$BB$4,0),0)</f>
        <v>0</v>
      </c>
      <c r="BH29" s="94">
        <f>IFERROR(IF(AND($BB$2&lt;&gt;"Enter Spend&gt;&gt;&gt;",BC2="EXISTING"),SUMIFS('Existing Customers'!$S:$S,'Existing Customers'!$H:$H,$BA29,'Existing Customers'!$A:$A,$BB$1),BR29*BB29),0)</f>
        <v>0</v>
      </c>
      <c r="BI29" s="94">
        <f>IFERROR(IF(AND($BB$2&lt;&gt;"Enter Spend&gt;&gt;&gt;",BC2="EXISTING"),SUMIFS('Existing Customers'!$U:$U,'Existing Customers'!$H:$H,$BA29,'Existing Customers'!$A:$A,$BB$1),BS29*BB29),0)</f>
        <v>0</v>
      </c>
      <c r="BJ29" s="1052" t="e">
        <f>_xlfn.CONCAT('Customer Inputs'!$AG$6,"_",BA29)</f>
        <v>#N/A</v>
      </c>
      <c r="BK29" s="1053">
        <f t="array" ref="BK29">IFERROR(INDEX('Margin Guidence Table'!$A$1:$AG$10000,MATCH(1,('Margin Guidence Table'!$A$1:$A$10000=$BJ29)*('Margin Guidence Table'!$I$1:$I$10000&lt;=ROUND($BB$3,0))*('Margin Guidence Table'!$J$1:$J$10000&gt;=ROUND($BB$3,0)),0),MATCH("DATA_POINTS",'Margin Guidence Table'!$A$1:$AG$1,0)),0)</f>
        <v>0</v>
      </c>
      <c r="BL29" s="1050" t="str">
        <f t="shared" si="27"/>
        <v>DEFAULT</v>
      </c>
      <c r="BM29" s="1050">
        <f t="array" ref="BM29">IFERROR(IF($BL29="SEGMENT",INDEX('Margin Guidence Table'!$A$1:$AG$10000,MATCH(1,('Margin Guidence Table'!$A$1:$A$10000=$BJ29)*('Margin Guidence Table'!$I$1:$I$10000&lt;=ROUND($BB$3,0))*('Margin Guidence Table'!$J$1:$J$10000&gt;=ROUND($BB$3,0)),0),MATCH("SALES_CASE",'Margin Guidence Table'!$A$1:$AG$1,0)),INDEX('Margin Guidence Table'!$A$1:$AG$10000,MATCH(1,('Margin Guidence Table'!$A$1:$A$10000=$BJ29)*('Margin Guidence Table'!$I$1:$I$10000&lt;=ROUND($BB$3,0))*('Margin Guidence Table'!$J$1:$J$10000&gt;=ROUND($BB$3,0)),0),MATCH("DEFAULT_SALES_CASE",'Margin Guidence Table'!$A$1:$AG$1,0))),0)</f>
        <v>0</v>
      </c>
      <c r="BN29" s="1050">
        <f t="array" ref="BN29">IFERROR(IF($BL29="SEGMENT",INDEX('Margin Guidence Table'!$A$1:$AG$10000,MATCH(1,('Margin Guidence Table'!$A$1:$A$10000=$BJ29)*('Margin Guidence Table'!$I$1:$I$10000&lt;=ROUND($BB$3,0))*('Margin Guidence Table'!$J$1:$J$10000&gt;=ROUND($BB$3,0)),0),MATCH("SALES_LBS",'Margin Guidence Table'!$A$1:$AG$1,0)),INDEX('Margin Guidence Table'!$A$1:$AG$10000,MATCH(1,('Margin Guidence Table'!$A$1:$A$10000=$BJ29)*('Margin Guidence Table'!$I$1:$I$10000&lt;=ROUND($BB$3,0))*('Margin Guidence Table'!$J$1:$J$10000&gt;=ROUND($BB$3,0)),0),MATCH("DEFAULT_SALES_LBS",'Margin Guidence Table'!$A$1:$AG$1,0))),0)</f>
        <v>0</v>
      </c>
      <c r="BO29" s="1054">
        <f t="array" ref="BO29">IFERROR(IF($BL29="SEGMENT",INDEX('Margin Guidence Table'!$A$1:$AG$10000,MATCH(1,('Margin Guidence Table'!$A$1:$A$10000=$BJ29)*('Margin Guidence Table'!$I$1:$I$10000&lt;=ROUND($BB$3,0))*('Margin Guidence Table'!$J$1:$J$10000&gt;=ROUND($BB$3,0)),0),MATCH("MDA_MIN_MARGIN_GUIDENCE",'Margin Guidence Table'!$A$1:$AG$1,0)),INDEX('Margin Guidence Table'!$A$1:$AG$10000,MATCH(1,('Margin Guidence Table'!$A$1:$A$10000=$BJ29)*('Margin Guidence Table'!$I$1:$I$10000&lt;=ROUND($BB$3,0))*('Margin Guidence Table'!$J$1:$J$10000&gt;=ROUND($BB$3,0)),0),MATCH("DEFAULT_MDA_MIN_MARGIN_GUIDENCE",'Margin Guidence Table'!$A$1:$AG$1,0))),0)</f>
        <v>0</v>
      </c>
      <c r="BP29" s="1054">
        <f t="array" ref="BP29">IFERROR(IF($BL29="SEGMENT",INDEX('Margin Guidence Table'!$A$1:$AG$10000,MATCH(1,('Margin Guidence Table'!$A$1:$A$10000=$BJ29)*('Margin Guidence Table'!$I$1:$I$10000&lt;=ROUND($BB$3,0))*('Margin Guidence Table'!$J$1:$J$10000&gt;=ROUND($BB$3,0)),0),MATCH("MDA_MEDIAN_MARGIN_GUIDENCE",'Margin Guidence Table'!$A$1:$AG$1,0)),INDEX('Margin Guidence Table'!$A$1:$AG$10000,MATCH(1,('Margin Guidence Table'!$A$1:$A$10000=$BJ29)*('Margin Guidence Table'!$I$1:$I$10000&lt;=ROUND($BB$3,0))*('Margin Guidence Table'!$J$1:$J$10000&gt;=ROUND($BB$3,0)),0),MATCH("DEFAULT_MDA_MEDIAN_MARGIN_GUIDENCE",'Margin Guidence Table'!$A$1:$AG$1,0))),0)</f>
        <v>0</v>
      </c>
      <c r="BQ29" s="1054">
        <f t="array" ref="BQ29">IFERROR(IF($BL29="SEGMENT",INDEX('Margin Guidence Table'!$A$1:$AG$10000,MATCH(1,('Margin Guidence Table'!$A$1:$A$10000=$BJ29)*('Margin Guidence Table'!$I$1:$I$10000&lt;=ROUND($BB$3,0))*('Margin Guidence Table'!$J$1:$J$10000&gt;=ROUND($BB$3,0)),0),MATCH("MDA_MAX_MARGIN_GUIDENCE",'Margin Guidence Table'!$A$1:$AG$1,0)),INDEX('Margin Guidence Table'!$A$1:$AG$10000,MATCH(1,('Margin Guidence Table'!$A$1:$A$10000=$BJ29)*('Margin Guidence Table'!$I$1:$I$10000&lt;=ROUND($BB$3,0))*('Margin Guidence Table'!$J$1:$J$10000&gt;=ROUND($BB$3,0)),0),MATCH("DEFAULT_MDA_MAX_MARGIN_GUIDENCE",'Margin Guidence Table'!$A$1:$AG$1,0))),0)</f>
        <v>0</v>
      </c>
      <c r="BR29" s="1054">
        <f t="array" ref="BR29">IFERROR(IF($BL29="SEGMENT",INDEX('Margin Guidence Table'!$A$1:$AG$10000,MATCH(1,('Margin Guidence Table'!$A$1:$A$10000=$BJ29)*('Margin Guidence Table'!$I$1:$I$10000&lt;=ROUND($BB$3,0))*('Margin Guidence Table'!$J$1:$J$10000&gt;=ROUND($BB$3,0)),0),MATCH("PA_PCT_SALES",'Margin Guidence Table'!$A$1:$AG$1,0)),INDEX('Margin Guidence Table'!$A$1:$AG$10000,MATCH(1,('Margin Guidence Table'!$A$1:$A$10000=$BJ29)*('Margin Guidence Table'!$I$1:$I$10000&lt;=ROUND($BB$3,0))*('Margin Guidence Table'!$J$1:$J$10000&gt;=ROUND($BB$3,0)),0),MATCH("DEFAULT_PA_PCT_SALES",'Margin Guidence Table'!$A$1:$AG$1,0))),0)</f>
        <v>0</v>
      </c>
      <c r="BS29" s="1054">
        <f t="array" ref="BS29">IFERROR(IF($BL29="SEGMENT",INDEX('Margin Guidence Table'!$A$1:$AG$10000,MATCH(1,('Margin Guidence Table'!$A$1:$A$10000=$BJ29)*('Margin Guidence Table'!$I$1:$I$10000&lt;=ROUND($BB$3,0))*('Margin Guidence Table'!$J$1:$J$10000&gt;=ROUND($BB$3,0)),0),MATCH("SELF_FUND_PCT_SALES",'Margin Guidence Table'!$A$1:$AG$1,0)),INDEX('Margin Guidence Table'!$A$1:$AG$10000,MATCH(1,('Margin Guidence Table'!$A$1:$A$10000=$BJ29)*('Margin Guidence Table'!$I$1:$I$10000&lt;=ROUND($BB$3,0))*('Margin Guidence Table'!$J$1:$J$10000&gt;=ROUND($BB$3,0)),0),MATCH("DEFAULT_SELF_FUND_PCT_SALES",'Margin Guidence Table'!$A$1:$AG$1,0))),0)</f>
        <v>0</v>
      </c>
      <c r="BT29" s="1054">
        <f t="array" ref="BT29">IFERROR(IF($BL29="SEGMENT",INDEX('Margin Guidence Table'!$A$1:$AG$10000,MATCH(1,('Margin Guidence Table'!$A$1:$A$10000=$BJ29)*('Margin Guidence Table'!$I$1:$I$10000&lt;=ROUND($BB$3,0))*('Margin Guidence Table'!$J$1:$J$10000&gt;=ROUND($BB$3,0)),0),MATCH("CIA_MEDIAN_MARGIN_GUIDENCE",'Margin Guidence Table'!$A$1:$AG$1,0)),INDEX('Margin Guidence Table'!$A$1:$AG$10000,MATCH(1,('Margin Guidence Table'!$A$1:$A$10000=$BJ29)*('Margin Guidence Table'!$I$1:$I$10000&lt;=ROUND($BB$3,0))*('Margin Guidence Table'!$J$1:$J$10000&gt;=ROUND($BB$3,0)),0),MATCH("DEFAULT_CIA_MEDIAN_MARGIN_GUIDENCE",'Margin Guidence Table'!$A$1:$AG$1,0))),0)</f>
        <v>0</v>
      </c>
      <c r="BU29" s="127"/>
      <c r="BV29" s="18">
        <f t="array" ref="BV29">IFERROR(IF($CI29="SEGMENT",INDEX('Margin Guidence Table'!$A$1:$AG$10000,MATCH(1,('Margin Guidence Table'!$A$1:$A$10000=$CG29)*('Margin Guidence Table'!$I$1:$I$10000&lt;=ROUND($BY$3,0))*('Margin Guidence Table'!$J$1:$J$10000&gt;=ROUND($BY$3,0)),0),MATCH("PCT_SALES",'Margin Guidence Table'!$A$1:$AG$1,0)),INDEX('Margin Guidence Table'!$A$1:$AG$10000,MATCH(1,('Margin Guidence Table'!$A$1:$A$10000=$CG29)*('Margin Guidence Table'!$I$1:$I$10000&lt;=ROUND($BY$3,0))*('Margin Guidence Table'!$J$1:$J$10000&gt;=ROUND($BY$3,0)),0),MATCH("DEFAULT_PCT_SALES",'Margin Guidence Table'!$A$1:$AG$1,0))),0)</f>
        <v>0</v>
      </c>
      <c r="BW29" s="370" t="e">
        <f t="shared" si="28"/>
        <v>#DIV/0!</v>
      </c>
      <c r="BX29" s="100" t="s">
        <v>90</v>
      </c>
      <c r="BY29" s="92">
        <f>IFERROR(IF(AND($BY$2&lt;&gt;"Enter Spend&gt;&gt;&gt;",BZ17="EXISTING"),SUMIFS('Existing Customers'!$Q:$Q,'Existing Customers'!$A:$A,$BY$1,'Existing Customers'!$H:$H,$BX29)*$BY$4,$BY$3*$BW29),0)</f>
        <v>0</v>
      </c>
      <c r="BZ29" s="87">
        <f>IFERROR(IF(AND($BY$2&lt;&gt;"Enter Spend&gt;&gt;&gt;",BZ2="EXISTING"),SUMIFS('Existing Customers'!$N:$N,'Existing Customers'!$A:$A,$BY$1,'Existing Customers'!$H:$H,$BX29)*$BY$4,$BY29/$CJ29),0)</f>
        <v>0</v>
      </c>
      <c r="CA29" s="93">
        <f>IFERROR(IF(AND($BY$2&lt;&gt;"Enter Spend&gt;&gt;&gt;",BZ2="EXISTING"),SUMIFS('Existing Customers'!$O:$O,'Existing Customers'!$H:$H,$BX29,'Existing Customers'!$A:$A,$BY$1)*$BY$4,$BZ29*$BY$8),0)</f>
        <v>0</v>
      </c>
      <c r="CB29" s="93">
        <f>IFERROR(IF(AND($BY$2&lt;&gt;"Enter Spend&gt;&gt;&gt;",BZ2="EXISTING"),SUMIFS('Existing Customers'!$P:$P,'Existing Customers'!$A:$A,$BY$1,'Existing Customers'!$H:$H,$BX29)*$BY$4,$BY29/$CK29),0)</f>
        <v>0</v>
      </c>
      <c r="CC29" s="94">
        <f>IFERROR(IF(AND($BY$2&lt;&gt;"Enter Spend&gt;&gt;&gt;",BZ2="EXISTING"),SUMIFS('Existing Customers'!$V:$V,'Existing Customers'!$H:$H,$BX29,'Existing Customers'!$A:$A,$BY$1)*$BY$4,0),0)</f>
        <v>0</v>
      </c>
      <c r="CD29" s="94">
        <f>IFERROR(IF(AND($BY$2&lt;&gt;"Enter Spend&gt;&gt;&gt;",BZ2="EXISTING"),SUMIFS('Existing Customers'!$R:$R,'Existing Customers'!$H:$H,$BX29,'Existing Customers'!$A:$A,$BY$1)*$BY$4,0),0)</f>
        <v>0</v>
      </c>
      <c r="CE29" s="1050">
        <f>IFERROR(IF(AND($BY$2&lt;&gt;"Enter Spend&gt;&gt;&gt;",BZ2="EXISTING"),SUMIFS('Existing Customers'!$S:$S,'Existing Customers'!$H:$H,$BX29,'Existing Customers'!$A:$A,$BY$1),CO29*BY29),0)</f>
        <v>0</v>
      </c>
      <c r="CF29" s="1050">
        <f>IFERROR(IF(AND($BY$2&lt;&gt;"Enter Spend&gt;&gt;&gt;",BZ2="EXISTING"),SUMIFS('Existing Customers'!$U:$U,'Existing Customers'!$H:$H,$BX29,'Existing Customers'!$A:$A,$BY$1),CP29*BY29),0)</f>
        <v>0</v>
      </c>
      <c r="CG29" s="1053" t="e">
        <f>_xlfn.CONCAT('Customer Inputs'!$AG$7,"_",BX29)</f>
        <v>#N/A</v>
      </c>
      <c r="CH29" s="1053">
        <f t="array" ref="CH29">IFERROR(INDEX('Margin Guidence Table'!$A$1:$AG$10000,MATCH(1,('Margin Guidence Table'!$A$1:$A$10000=$CG29)*('Margin Guidence Table'!$I$1:$I$10000&lt;=ROUND($BY$3,0))*('Margin Guidence Table'!$J$1:$J$10000&gt;=ROUND($BY$3,0)),0),MATCH("DATA_POINTS",'Margin Guidence Table'!$A$1:$AG$1,0)),0)</f>
        <v>0</v>
      </c>
      <c r="CI29" s="1050" t="str">
        <f t="shared" si="29"/>
        <v>DEFAULT</v>
      </c>
      <c r="CJ29" s="1050">
        <f t="array" ref="CJ29">IFERROR(IF($CI29="SEGMENT",INDEX('Margin Guidence Table'!$A$1:$AG$10000,MATCH(1,('Margin Guidence Table'!$A$1:$A$10000=$CG29)*('Margin Guidence Table'!$I$1:$I$10000&lt;=ROUND($BY$3,0))*('Margin Guidence Table'!$J$1:$J$10000&gt;=ROUND($BY$3,0)),0),MATCH("SALES_CASE",'Margin Guidence Table'!$A$1:$AG$1,0)),INDEX('Margin Guidence Table'!$A$1:$AG$10000,MATCH(1,('Margin Guidence Table'!$A$1:$A$10000=$CG29)*('Margin Guidence Table'!$I$1:$I$10000&lt;=ROUND($BY$3,0))*('Margin Guidence Table'!$J$1:$J$10000&gt;=ROUND($BY$3,0)),0),MATCH("DEFAULT_SALES_CASE",'Margin Guidence Table'!$A$1:$AG$1,0))),0)</f>
        <v>0</v>
      </c>
      <c r="CK29" s="1050">
        <f t="array" ref="CK29">IFERROR(IF($CI29="SEGMENT",INDEX('Margin Guidence Table'!$A$1:$AG$10000,MATCH(1,('Margin Guidence Table'!$A$1:$A$10000=$CG29)*('Margin Guidence Table'!$I$1:$I$10000&lt;=ROUND($BY$3,0))*('Margin Guidence Table'!$J$1:$J$10000&gt;=ROUND($BY$3,0)),0),MATCH("SALES_LBS",'Margin Guidence Table'!$A$1:$AG$1,0)),INDEX('Margin Guidence Table'!$A$1:$AG$10000,MATCH(1,('Margin Guidence Table'!$A$1:$A$10000=$CG29)*('Margin Guidence Table'!$I$1:$I$10000&lt;=ROUND($BY$3,0))*('Margin Guidence Table'!$J$1:$J$10000&gt;=ROUND($BY$3,0)),0),MATCH("DEFAULT_SALES_LBS",'Margin Guidence Table'!$A$1:$AG$1,0))),0)</f>
        <v>0</v>
      </c>
      <c r="CL29" s="1054">
        <f t="array" ref="CL29">IFERROR(IF($CI29="SEGMENT",INDEX('Margin Guidence Table'!$A$1:$AG$10000,MATCH(1,('Margin Guidence Table'!$A$1:$A$10000=$CG29)*('Margin Guidence Table'!$I$1:$I$10000&lt;=ROUND($BY$3,0))*('Margin Guidence Table'!$J$1:$J$10000&gt;=ROUND($BY$3,0)),0),MATCH("MDA_MIN_MARGIN_GUIDENCE",'Margin Guidence Table'!$A$1:$AG$1,0)),INDEX('Margin Guidence Table'!$A$1:$AG$10000,MATCH(1,('Margin Guidence Table'!$A$1:$A$10000=$CG29)*('Margin Guidence Table'!$I$1:$I$10000&lt;=ROUND($BY$3,0))*('Margin Guidence Table'!$J$1:$J$10000&gt;=ROUND($BY$3,0)),0),MATCH("DEFAULT_MDA_MIN_MARGIN_GUIDENCE",'Margin Guidence Table'!$A$1:$AG$1,0))),0)</f>
        <v>0</v>
      </c>
      <c r="CM29" s="1054">
        <f t="array" ref="CM29">IFERROR(IF($CI29="SEGMENT",INDEX('Margin Guidence Table'!$A$1:$AG$10000,MATCH(1,('Margin Guidence Table'!$A$1:$A$10000=$CG29)*('Margin Guidence Table'!$I$1:$I$10000&lt;=ROUND($BY$3,0))*('Margin Guidence Table'!$J$1:$J$10000&gt;=ROUND($BY$3,0)),0),MATCH("MDA_MEDIAN_MARGIN_GUIDENCE",'Margin Guidence Table'!$A$1:$AG$1,0)),INDEX('Margin Guidence Table'!$A$1:$AG$10000,MATCH(1,('Margin Guidence Table'!$A$1:$A$10000=$CG29)*('Margin Guidence Table'!$I$1:$I$10000&lt;=ROUND($BY$3,0))*('Margin Guidence Table'!$J$1:$J$10000&gt;=ROUND($BY$3,0)),0),MATCH("DEFAULT_MDA_MEDIAN_MARGIN_GUIDENCE",'Margin Guidence Table'!$A$1:$AG$1,0))),0)</f>
        <v>0</v>
      </c>
      <c r="CN29" s="1054">
        <f t="array" ref="CN29">IFERROR(IF($CI29="SEGMENT",INDEX('Margin Guidence Table'!$A$1:$AG$10000,MATCH(1,('Margin Guidence Table'!$A$1:$A$10000=$CG29)*('Margin Guidence Table'!$I$1:$I$10000&lt;=ROUND($BY$3,0))*('Margin Guidence Table'!$J$1:$J$10000&gt;=ROUND($BY$3,0)),0),MATCH("MDA_MAX_MARGIN_GUIDENCE",'Margin Guidence Table'!$A$1:$AG$1,0)),INDEX('Margin Guidence Table'!$A$1:$AG$10000,MATCH(1,('Margin Guidence Table'!$A$1:$A$10000=$CG29)*('Margin Guidence Table'!$I$1:$I$10000&lt;=ROUND($BY$3,0))*('Margin Guidence Table'!$J$1:$J$10000&gt;=ROUND($BY$3,0)),0),MATCH("DEFAULT_MDA_MAX_MARGIN_GUIDENCE",'Margin Guidence Table'!$A$1:$AG$1,0))),0)</f>
        <v>0</v>
      </c>
      <c r="CO29" s="1054">
        <f t="array" ref="CO29">IFERROR(IF($CI29="SEGMENT",INDEX('Margin Guidence Table'!$A$1:$AG$10000,MATCH(1,('Margin Guidence Table'!$A$1:$A$10000=$CG29)*('Margin Guidence Table'!$I$1:$I$10000&lt;=ROUND($BY$3,0))*('Margin Guidence Table'!$J$1:$J$10000&gt;=ROUND($BY$3,0)),0),MATCH("PA_PCT_SALES",'Margin Guidence Table'!$A$1:$AG$1,0)),INDEX('Margin Guidence Table'!$A$1:$AG$10000,MATCH(1,('Margin Guidence Table'!$A$1:$A$10000=$CG29)*('Margin Guidence Table'!$I$1:$I$10000&lt;=ROUND($BY$3,0))*('Margin Guidence Table'!$J$1:$J$10000&gt;=ROUND($BY$3,0)),0),MATCH("DEFAULT_PA_PCT_SALES",'Margin Guidence Table'!$A$1:$AG$1,0))),0)</f>
        <v>0</v>
      </c>
      <c r="CP29" s="1054">
        <f t="array" ref="CP29">IFERROR(IF($CI29="SEGMENT",INDEX('Margin Guidence Table'!$A$1:$AG$10000,MATCH(1,('Margin Guidence Table'!$A$1:$A$10000=$CG29)*('Margin Guidence Table'!$I$1:$I$10000&lt;=ROUND($BY$3,0))*('Margin Guidence Table'!$J$1:$J$10000&gt;=ROUND($BY$3,0)),0),MATCH("SELF_FUND_PCT_SALES",'Margin Guidence Table'!$A$1:$AG$1,0)),INDEX('Margin Guidence Table'!$A$1:$AG$10000,MATCH(1,('Margin Guidence Table'!$A$1:$A$10000=$CG29)*('Margin Guidence Table'!$I$1:$I$10000&lt;=ROUND($BY$3,0))*('Margin Guidence Table'!$J$1:$J$10000&gt;=ROUND($BY$3,0)),0),MATCH("DEFAULT_SELF_FUND_PCT_SALES",'Margin Guidence Table'!$A$1:$AG$1,0))),0)</f>
        <v>0</v>
      </c>
      <c r="CQ29" s="1054">
        <f t="array" ref="CQ29">IFERROR(IF($CI29="SEGMENT",INDEX('Margin Guidence Table'!$A$1:$AG$10000,MATCH(1,('Margin Guidence Table'!$A$1:$A$10000=$CG29)*('Margin Guidence Table'!$I$1:$I$10000&lt;=ROUND($BY$3,0))*('Margin Guidence Table'!$J$1:$J$10000&gt;=ROUND($BY$3,0)),0),MATCH("CIA_MEDIAN_MARGIN_GUIDENCE",'Margin Guidence Table'!$A$1:$AG$1,0)),INDEX('Margin Guidence Table'!$A$1:$AG$10000,MATCH(1,('Margin Guidence Table'!$A$1:$A$10000=$CG29)*('Margin Guidence Table'!$I$1:$I$10000&lt;=ROUND($BY$3,0))*('Margin Guidence Table'!$J$1:$J$10000&gt;=ROUND($BY$3,0)),0),MATCH("DEFAULT_CIA_MEDIAN_MARGIN_GUIDENCE",'Margin Guidence Table'!$A$1:$AG$1,0))),0)</f>
        <v>0</v>
      </c>
      <c r="CR29" s="127"/>
      <c r="CS29" s="18">
        <f t="array" ref="CS29">IFERROR(IF($DF29="SEGMENT",INDEX('Margin Guidence Table'!$A$1:$AG$10000,MATCH(1,('Margin Guidence Table'!$A$1:$A$10000=$DD29)*('Margin Guidence Table'!$I$1:$I$10000&lt;=ROUND($CV$3,0))*('Margin Guidence Table'!$J$1:$J$10000&gt;=ROUND($CV$3,0)),0),MATCH("PCT_SALES",'Margin Guidence Table'!$A$1:$AG$1,0)),INDEX('Margin Guidence Table'!$A$1:$AG$10000,MATCH(1,('Margin Guidence Table'!$A$1:$A$10000=$DD29)*('Margin Guidence Table'!$I$1:$I$10000&lt;=ROUND($CV$3,0))*('Margin Guidence Table'!$J$1:$J$10000&gt;=ROUND($CV$3,0)),0),MATCH("DEFAULT_PCT_SALES",'Margin Guidence Table'!$A$1:$AG$1,0))),0)</f>
        <v>0</v>
      </c>
      <c r="CT29" s="370" t="e">
        <f t="shared" si="30"/>
        <v>#DIV/0!</v>
      </c>
      <c r="CU29" s="100" t="s">
        <v>90</v>
      </c>
      <c r="CV29" s="92">
        <f>IFERROR(IF(AND($CV$2&lt;&gt;"Enter Spend&gt;&gt;&gt;",CW17="EXISTING"),SUMIFS('Existing Customers'!$Q:$Q,'Existing Customers'!$A:$A,$CV$1,'Existing Customers'!$H:$H,$CU29)*$CV$4,$CV$3*$CT29),0)</f>
        <v>0</v>
      </c>
      <c r="CW29" s="87">
        <f>IFERROR(IF(AND($CV$2&lt;&gt;"Enter Spend&gt;&gt;&gt;",CW2="EXISTING"),SUMIFS('Existing Customers'!$N:$N,'Existing Customers'!$A:$A,$CV$1,'Existing Customers'!$H:$H,$CU29)*$CV$4,$CV29/$DG29),0)</f>
        <v>0</v>
      </c>
      <c r="CX29" s="93">
        <f>IFERROR(IF(AND($CV$2&lt;&gt;"Enter Spend&gt;&gt;&gt;",BC28="EXISTING"),SUMIFS('Existing Customers'!$O:$O,'Existing Customers'!$H:$H,$CU29,'Existing Customers'!$A:$A,$CV$1)*$CV$4,$CW29*$CV$8),0)</f>
        <v>0</v>
      </c>
      <c r="CY29" s="93">
        <f>IFERROR(IF(AND($CV$2&lt;&gt;"Enter Spend&gt;&gt;&gt;",CW2="EXISTING"),SUMIFS('Existing Customers'!$P:$P,'Existing Customers'!$A:$A,$CV$1,'Existing Customers'!$H:$H,$CU29)*$CV$4,$CV29/$DH29),0)</f>
        <v>0</v>
      </c>
      <c r="CZ29" s="94">
        <f>IFERROR(IF(AND($CV$2&lt;&gt;"Enter Spend&gt;&gt;&gt;",CW2="EXISTING"),SUMIFS('Existing Customers'!$V:$V,'Existing Customers'!$H:$H,$CU29,'Existing Customers'!$A:$A,$CV$1)*$CV$4,0),0)</f>
        <v>0</v>
      </c>
      <c r="DA29" s="94">
        <f>IFERROR(IF(AND($CV$2&lt;&gt;"Enter Spend&gt;&gt;&gt;",CW2="EXISTING"),SUMIFS('Existing Customers'!$R:$R,'Existing Customers'!$H:$H,$BA29,'Existing Customers'!$A:$A,$CV$1)*$CV$4,0),0)</f>
        <v>0</v>
      </c>
      <c r="DB29" s="1050">
        <f>IFERROR(IF(AND($CV$2&lt;&gt;"Enter Spend&gt;&gt;&gt;",CW2="EXISTING"),SUMIFS('Existing Customers'!$S:$S,'Existing Customers'!$H:$H,$CU29,'Existing Customers'!$A:$A,$CV$1),DL29*CV29),0)</f>
        <v>0</v>
      </c>
      <c r="DC29" s="1050">
        <f>IFERROR(IF(AND($CV$2&lt;&gt;"Enter Spend&gt;&gt;&gt;",CW2="EXISTING"),SUMIFS('Existing Customers'!$U:$U,'Existing Customers'!$H:$H,$CU29,'Existing Customers'!$A:$A,$CV$1),DM29*CV29),0)</f>
        <v>0</v>
      </c>
      <c r="DD29" s="1053" t="e">
        <f>_xlfn.CONCAT('Customer Inputs'!$AG$8,"_",CU29)</f>
        <v>#N/A</v>
      </c>
      <c r="DE29" s="1053">
        <f t="array" ref="DE29">IFERROR(INDEX('Margin Guidence Table'!$A$1:$AG$10000,MATCH(1,('Margin Guidence Table'!$A$1:$A$10000=DD29)*('Margin Guidence Table'!$I$1:$I$10000&lt;=ROUND($CV$3,0))*('Margin Guidence Table'!$J$1:$J$10000&gt;=ROUND($CV$3,0)),0),MATCH("DATA_POINTS",'Margin Guidence Table'!$A$1:$AG$1,0)),0)</f>
        <v>0</v>
      </c>
      <c r="DF29" s="1050" t="str">
        <f t="shared" si="31"/>
        <v>DEFAULT</v>
      </c>
      <c r="DG29" s="1050">
        <f t="array" ref="DG29">IFERROR(IF($DF29="SEGMENT",INDEX('Margin Guidence Table'!$A$1:$AG$10000,MATCH(1,('Margin Guidence Table'!$A$1:$A$10000=DD29)*('Margin Guidence Table'!$I$1:$I$10000&lt;=ROUND($CV$3,0))*('Margin Guidence Table'!$J$1:$J$10000&gt;=ROUND($CV$3,0)),0),MATCH("SALES_CASE",'Margin Guidence Table'!$A$1:$AG$1,0)),INDEX('Margin Guidence Table'!$A$1:$AG$10000,MATCH(1,('Margin Guidence Table'!$A$1:$A$10000=DD29)*('Margin Guidence Table'!$I$1:$I$10000&lt;=ROUND($CV$3,0))*('Margin Guidence Table'!$J$1:$J$10000&gt;=ROUND($CV$3,0)),0),MATCH("DEFAULT_SALES_CASE",'Margin Guidence Table'!$A$1:$AG$1,0))),0)</f>
        <v>0</v>
      </c>
      <c r="DH29" s="1050">
        <f t="array" ref="DH29">IFERROR(IF($DF29="SEGMENT",INDEX('Margin Guidence Table'!$A$1:$AG$10000,MATCH(1,('Margin Guidence Table'!$A$1:$A$10000=DD29)*('Margin Guidence Table'!$I$1:$I$10000&lt;=ROUND($CV$3,0))*('Margin Guidence Table'!$J$1:$J$10000&gt;=ROUND($CV$3,0)),0),MATCH("SALES_LBS",'Margin Guidence Table'!$A$1:$AG$1,0)),INDEX('Margin Guidence Table'!$A$1:$AG$10000,MATCH(1,('Margin Guidence Table'!$A$1:$A$10000=DD29)*('Margin Guidence Table'!$I$1:$I$10000&lt;=ROUND($CV$3,0))*('Margin Guidence Table'!$J$1:$J$10000&gt;=ROUND($CV$3,0)),0),MATCH("DEFAULT_SALES_LBS",'Margin Guidence Table'!$A$1:$AG$1,0))),0)</f>
        <v>0</v>
      </c>
      <c r="DI29" s="1054">
        <f t="array" ref="DI29">IFERROR(IF($DF29="SEGMENT",INDEX('Margin Guidence Table'!$A$1:$AG$10000,MATCH(1,('Margin Guidence Table'!$A$1:$A$10000=DD29)*('Margin Guidence Table'!$I$1:$I$10000&lt;=ROUND($CV$3,0))*('Margin Guidence Table'!$J$1:$J$10000&gt;=ROUND($CV$3,0)),0),MATCH("MDA_MIN_MARGIN_GUIDENCE",'Margin Guidence Table'!$A$1:$AG$1,0)),INDEX('Margin Guidence Table'!$A$1:$AG$10000,MATCH(1,('Margin Guidence Table'!$A$1:$A$10000=DD29)*('Margin Guidence Table'!$I$1:$I$10000&lt;=ROUND($CV$3,0))*('Margin Guidence Table'!$J$1:$J$10000&gt;=ROUND($CV$3,0)),0),MATCH("DEFAULT_MDA_MIN_MARGIN_GUIDENCE",'Margin Guidence Table'!$A$1:$AG$1,0))),0)</f>
        <v>0</v>
      </c>
      <c r="DJ29" s="1054">
        <f t="array" ref="DJ29">IFERROR(IF($DF29="SEGMENT",INDEX('Margin Guidence Table'!$A$1:$AG$10000,MATCH(1,('Margin Guidence Table'!$A$1:$A$10000=DD29)*('Margin Guidence Table'!$I$1:$I$10000&lt;=ROUND($CV$3,0))*('Margin Guidence Table'!$J$1:$J$10000&gt;=ROUND($CV$3,0)),0),MATCH("MDA_MEDIAN_MARGIN_GUIDENCE",'Margin Guidence Table'!$A$1:$AG$1,0)),INDEX('Margin Guidence Table'!$A$1:$AG$10000,MATCH(1,('Margin Guidence Table'!$A$1:$A$10000=DD29)*('Margin Guidence Table'!$I$1:$I$10000&lt;=ROUND($CV$3,0))*('Margin Guidence Table'!$J$1:$J$10000&gt;=ROUND($CV$3,0)),0),MATCH("DEFAULT_MDA_MEDIAN_MARGIN_GUIDENCE",'Margin Guidence Table'!$A$1:$AG$1,0))),0)</f>
        <v>0</v>
      </c>
      <c r="DK29" s="1054">
        <f t="array" ref="DK29">IFERROR(IF($DF29="SEGMENT",INDEX('Margin Guidence Table'!$A$1:$AG$10000,MATCH(1,('Margin Guidence Table'!$A$1:$A$10000=DD29)*('Margin Guidence Table'!$I$1:$I$10000&lt;=ROUND($CV$3,0))*('Margin Guidence Table'!$J$1:$J$10000&gt;=ROUND($CV$3,0)),0),MATCH("MDA_MAX_MARGIN_GUIDENCE",'Margin Guidence Table'!$A$1:$AG$1,0)),INDEX('Margin Guidence Table'!$A$1:$AG$10000,MATCH(1,('Margin Guidence Table'!$A$1:$A$10000=DD29)*('Margin Guidence Table'!$I$1:$I$10000&lt;=ROUND($CV$3,0))*('Margin Guidence Table'!$J$1:$J$10000&gt;=ROUND($CV$3,0)),0),MATCH("DEFAULT_MDA_MAX_MARGIN_GUIDENCE",'Margin Guidence Table'!$A$1:$AG$1,0))),0)</f>
        <v>0</v>
      </c>
      <c r="DL29" s="1054">
        <f t="array" ref="DL29">IFERROR(IF($DF29="SEGMENT",INDEX('Margin Guidence Table'!$A$1:$AG$10000,MATCH(1,('Margin Guidence Table'!$A$1:$A$10000=DD29)*('Margin Guidence Table'!$I$1:$I$10000&lt;=ROUND($CV$3,0))*('Margin Guidence Table'!$J$1:$J$10000&gt;=ROUND($CV$3,0)),0),MATCH("PA_PCT_SALES",'Margin Guidence Table'!$A$1:$AG$1,0)),INDEX('Margin Guidence Table'!$A$1:$AG$10000,MATCH(1,('Margin Guidence Table'!$A$1:$A$10000=DD29)*('Margin Guidence Table'!$I$1:$I$10000&lt;=ROUND($CV$3,0))*('Margin Guidence Table'!$J$1:$J$10000&gt;=ROUND($CV$3,0)),0),MATCH("DEFAULT_PA_PCT_SALES",'Margin Guidence Table'!$A$1:$AG$1,0))),0)</f>
        <v>0</v>
      </c>
      <c r="DM29" s="1054">
        <f t="array" ref="DM29">IFERROR(IF($DF29="SEGMENT",INDEX('Margin Guidence Table'!$A$1:$AG$10000,MATCH(1,('Margin Guidence Table'!$A$1:$A$10000=DD29)*('Margin Guidence Table'!$I$1:$I$10000&lt;=ROUND($CV$3,0))*('Margin Guidence Table'!$J$1:$J$10000&gt;=ROUND($CV$3,0)),0),MATCH("SELF_FUND_PCT_SALES",'Margin Guidence Table'!$A$1:$AG$1,0)),INDEX('Margin Guidence Table'!$A$1:$AG$10000,MATCH(1,('Margin Guidence Table'!$A$1:$A$10000=DD29)*('Margin Guidence Table'!$I$1:$I$10000&lt;=ROUND($CV$3,0))*('Margin Guidence Table'!$J$1:$J$10000&gt;=ROUND($CV$3,0)),0),MATCH("DEFAULT_SELF_FUND_PCT_SALES",'Margin Guidence Table'!$A$1:$AG$1,0))),0)</f>
        <v>0</v>
      </c>
      <c r="DN29" s="1054">
        <f t="array" ref="DN29">IFERROR(IF($DF29="SEGMENT",INDEX('Margin Guidence Table'!$A$1:$AG$10000,MATCH(1,('Margin Guidence Table'!$A$1:$A$10000=DD29)*('Margin Guidence Table'!$I$1:$I$10000&lt;=ROUND($CV$3,0))*('Margin Guidence Table'!$J$1:$J$10000&gt;=ROUND($CV$3,0)),0),MATCH("CIA_MEDIAN_MARGIN_GUIDENCE",'Margin Guidence Table'!$A$1:$AG$1,0)),INDEX('Margin Guidence Table'!$A$1:$AG$10000,MATCH(1,('Margin Guidence Table'!$A$1:$A$10000=DD29)*('Margin Guidence Table'!$I$1:$I$10000&lt;=ROUND($CV$3,0))*('Margin Guidence Table'!$J$1:$J$10000&gt;=ROUND($CV$3,0)),0),MATCH("DEFAULT_CIA_MEDIAN_MARGIN_GUIDENCE",'Margin Guidence Table'!$A$1:$AG$1,0))),0)</f>
        <v>0</v>
      </c>
      <c r="DO29" s="127"/>
      <c r="DP29" s="18">
        <f t="array" ref="DP29">IFERROR(IF($EC29="SEGMENT",INDEX('Margin Guidence Table'!$A$1:$AG$10000,MATCH(1,('Margin Guidence Table'!$A$1:$A$10000=$EA29)*('Margin Guidence Table'!$I$1:$I$10000&lt;=ROUND($DS$3,0))*('Margin Guidence Table'!$J$1:$J$10000&gt;=ROUND($DS$3,0)),0),MATCH("PCT_SALES",'Margin Guidence Table'!$A$1:$AG$1,0)),INDEX('Margin Guidence Table'!$A$1:$AG$10000,MATCH(1,('Margin Guidence Table'!$A$1:$A$10000=$EA29)*('Margin Guidence Table'!$I$1:$I$10000&lt;=ROUND($DS$3,0))*('Margin Guidence Table'!$J$1:$J$10000&gt;=ROUND($DS$3,0)),0),MATCH("DEFAULT_PCT_SALES",'Margin Guidence Table'!$A$1:$AG$1,0))),0)</f>
        <v>0</v>
      </c>
      <c r="DQ29" s="370" t="e">
        <f t="shared" si="32"/>
        <v>#DIV/0!</v>
      </c>
      <c r="DR29" s="100" t="s">
        <v>90</v>
      </c>
      <c r="DS29" s="92">
        <f>IFERROR(IF(AND($DS$2&lt;&gt;"Enter Spend&gt;&gt;&gt;",DT17="EXISTING"),SUMIFS('Existing Customers'!$Q:$Q,'Existing Customers'!$A:$A,$DS$1,'Existing Customers'!$H:$H,$DR29)*$DS$4,$DS$3*$DQ29),0)</f>
        <v>0</v>
      </c>
      <c r="DT29" s="87">
        <f>IFERROR(IF(AND($DS$2&lt;&gt;"Enter Spend&gt;&gt;&gt;",DT2="EXISTING"),SUMIFS('Existing Customers'!$N:$N,'Existing Customers'!$A:$A,$DS$1,'Existing Customers'!$H:$H,$DR29)*$DS$4,$DS29/$ED29),0)</f>
        <v>0</v>
      </c>
      <c r="DU29" s="93">
        <f>IFERROR(IF(AND($DS$2&lt;&gt;"Enter Spend&gt;&gt;&gt;",DT2="EXISTING"),SUMIFS('Existing Customers'!$O:$O,'Existing Customers'!$H:$H,$DR29,'Existing Customers'!$A:$A,$DS$1)*$DS$4,$DT29*$DS$8),0)</f>
        <v>0</v>
      </c>
      <c r="DV29" s="93">
        <f>IFERROR(IF(AND($DS$2&lt;&gt;"Enter Spend&gt;&gt;&gt;",DT2="EXISTING"),SUMIFS('Existing Customers'!$P:$P,'Existing Customers'!$A:$A,$DS$1,'Existing Customers'!$H:$H,$DR29)*$DS$4,$DS29/$EE29),0)</f>
        <v>0</v>
      </c>
      <c r="DW29" s="94">
        <f>IFERROR(IF(AND($DS$2&lt;&gt;"Enter Spend&gt;&gt;&gt;",EQ2="EXISTING"),SUMIFS('Existing Customers'!$V:$V,'Existing Customers'!$H:$H,$DR29,'Existing Customers'!$A:$A,$DS$1)*$DS$4,0),0)</f>
        <v>0</v>
      </c>
      <c r="DX29" s="94">
        <f>IFERROR(IF(AND($DS$2&lt;&gt;"Enter Spend&gt;&gt;&gt;",DT2="EXISTING"),SUMIFS('Existing Customers'!$R:$R,'Existing Customers'!$H:$H,$DR29,'Existing Customers'!$A:$A,$DS$1)*$DS$4,0),0)</f>
        <v>0</v>
      </c>
      <c r="DY29" s="1050">
        <f>IFERROR(IF(AND($DS$2&lt;&gt;"Enter Spend&gt;&gt;&gt;",DT2="EXISTING"),SUMIFS('Existing Customers'!$S:$S,'Existing Customers'!$H:$H,$DT29,'Existing Customers'!$A:$A,$DS$1),EI29*DS29),0)</f>
        <v>0</v>
      </c>
      <c r="DZ29" s="1050">
        <f>IFERROR(IF(AND($DS$2&lt;&gt;"Enter Spend&gt;&gt;&gt;",DT2="EXISTING"),SUMIFS('Existing Customers'!$U:$U,'Existing Customers'!$H:$H,$DR29,'Existing Customers'!$A:$A,$DS$1),EJ29*DS29),0)</f>
        <v>0</v>
      </c>
      <c r="EA29" s="1053" t="e">
        <f>_xlfn.CONCAT('Customer Inputs'!$AG$9,"_",DR29)</f>
        <v>#N/A</v>
      </c>
      <c r="EB29" s="1053">
        <f t="array" ref="EB29">IFERROR(INDEX('Margin Guidence Table'!$A$1:$AG$10000,MATCH(1,('Margin Guidence Table'!$A$1:$A$10000=EA29)*('Margin Guidence Table'!$I$1:$I$10000&lt;=ROUND($DS$3,0))*('Margin Guidence Table'!$J$1:$J$10000&gt;=ROUND($DS$3,0)),0),MATCH("DATA_POINTS",'Margin Guidence Table'!$A$1:$AG$1,0)),0)</f>
        <v>0</v>
      </c>
      <c r="EC29" s="1050" t="str">
        <f t="shared" si="33"/>
        <v>DEFAULT</v>
      </c>
      <c r="ED29" s="1050">
        <f t="array" ref="ED29">IFERROR(IF($EC29="SEGMENT",INDEX('Margin Guidence Table'!$A$1:$AG$10000,MATCH(1,('Margin Guidence Table'!$A$1:$A$10000=EA29)*('Margin Guidence Table'!$I$1:$I$10000&lt;=ROUND($DS$3,0))*('Margin Guidence Table'!$J$1:$J$10000&gt;=ROUND($DS$3,0)),0),MATCH("SALES_CASE",'Margin Guidence Table'!$A$1:$AG$1,0)),INDEX('Margin Guidence Table'!$A$1:$AG$10000,MATCH(1,('Margin Guidence Table'!$A$1:$A$10000=EA29)*('Margin Guidence Table'!$I$1:$I$10000&lt;=ROUND($DS$3,0))*('Margin Guidence Table'!$J$1:$J$10000&gt;=ROUND($DS$3,0)),0),MATCH("DEFAULT_SALES_CASE",'Margin Guidence Table'!$A$1:$AG$1,0))),0)</f>
        <v>0</v>
      </c>
      <c r="EE29" s="1050">
        <f t="array" ref="EE29">IFERROR(IF($EC29="SEGMENT",INDEX('Margin Guidence Table'!$A$1:$AG$10000,MATCH(1,('Margin Guidence Table'!$A$1:$A$10000=EA29)*('Margin Guidence Table'!$I$1:$I$10000&lt;=ROUND($DS$3,0))*('Margin Guidence Table'!$J$1:$J$10000&gt;=ROUND($DS$3,0)),0),MATCH("SALES_LBS",'Margin Guidence Table'!$A$1:$AG$1,0)),INDEX('Margin Guidence Table'!$A$1:$AG$10000,MATCH(1,('Margin Guidence Table'!$A$1:$A$10000=EA29)*('Margin Guidence Table'!$I$1:$I$10000&lt;=ROUND($DS$3,0))*('Margin Guidence Table'!$J$1:$J$10000&gt;=ROUND($DS$3,0)),0),MATCH("DEFAULT_SALES_LBS",'Margin Guidence Table'!$A$1:$AG$1,0))),0)</f>
        <v>0</v>
      </c>
      <c r="EF29" s="1054">
        <f t="array" ref="EF29">IFERROR(IF($EC29="SEGMENT",INDEX('Margin Guidence Table'!$A$1:$AG$10000,MATCH(1,('Margin Guidence Table'!$A$1:$A$10000=EA29)*('Margin Guidence Table'!$I$1:$I$10000&lt;=ROUND($DS$3,0))*('Margin Guidence Table'!$J$1:$J$10000&gt;=ROUND($DS$3,0)),0),MATCH("MDA_MIN_MARGIN_GUIDENCE",'Margin Guidence Table'!$A$1:$AG$1,0)),INDEX('Margin Guidence Table'!$A$1:$AG$10000,MATCH(1,('Margin Guidence Table'!$A$1:$A$10000=EA29)*('Margin Guidence Table'!$I$1:$I$10000&lt;=ROUND($DS$3,0))*('Margin Guidence Table'!$J$1:$J$10000&gt;=ROUND($DS$3,0)),0),MATCH("DEFAULT_MDA_MIN_MARGIN_GUIDENCE",'Margin Guidence Table'!$A$1:$AG$1,0))),0)</f>
        <v>0</v>
      </c>
      <c r="EG29" s="1054">
        <f t="array" ref="EG29">IFERROR(IF($EC29="SEGMENT",INDEX('Margin Guidence Table'!$A$1:$AG$10000,MATCH(1,('Margin Guidence Table'!$A$1:$A$10000=EA29)*('Margin Guidence Table'!$I$1:$I$10000&lt;=ROUND($DS$3,0))*('Margin Guidence Table'!$J$1:$J$10000&gt;=ROUND($DS$3,0)),0),MATCH("MDA_MEDIAN_MARGIN_GUIDENCE",'Margin Guidence Table'!$A$1:$AG$1,0)),INDEX('Margin Guidence Table'!$A$1:$AG$10000,MATCH(1,('Margin Guidence Table'!$A$1:$A$10000=EA29)*('Margin Guidence Table'!$I$1:$I$10000&lt;=ROUND($DS$3,0))*('Margin Guidence Table'!$J$1:$J$10000&gt;=ROUND($DS$3,0)),0),MATCH("DEFAULT_MDA_MEDIAN_MARGIN_GUIDENCE",'Margin Guidence Table'!$A$1:$AG$1,0))),0)</f>
        <v>0</v>
      </c>
      <c r="EH29" s="1054">
        <f t="array" ref="EH29">IFERROR(IF($EC29="SEGMENT",INDEX('Margin Guidence Table'!$A$1:$AG$10000,MATCH(1,('Margin Guidence Table'!$A$1:$A$10000=EA29)*('Margin Guidence Table'!$I$1:$I$10000&lt;=ROUND($DS$3,0))*('Margin Guidence Table'!$J$1:$J$10000&gt;=ROUND($DS$3,0)),0),MATCH("MDA_MAX_MARGIN_GUIDENCE",'Margin Guidence Table'!$A$1:$AG$1,0)),INDEX('Margin Guidence Table'!$A$1:$AG$10000,MATCH(1,('Margin Guidence Table'!$A$1:$A$10000=EA29)*('Margin Guidence Table'!$I$1:$I$10000&lt;=ROUND($DS$3,0))*('Margin Guidence Table'!$J$1:$J$10000&gt;=ROUND($DS$3,0)),0),MATCH("DEFAULT_MDA_MAX_MARGIN_GUIDENCE",'Margin Guidence Table'!$A$1:$AG$1,0))),0)</f>
        <v>0</v>
      </c>
      <c r="EI29" s="1054">
        <f t="array" ref="EI29">IFERROR(IF($EC29="SEGMENT",INDEX('Margin Guidence Table'!$A$1:$AG$10000,MATCH(1,('Margin Guidence Table'!$A$1:$A$10000=EA29)*('Margin Guidence Table'!$I$1:$I$10000&lt;=ROUND($DS$3,0))*('Margin Guidence Table'!$J$1:$J$10000&gt;=ROUND($DS$3,0)),0),MATCH("PA_PCT_SALES",'Margin Guidence Table'!$A$1:$AG$1,0)),INDEX('Margin Guidence Table'!$A$1:$AG$10000,MATCH(1,('Margin Guidence Table'!$A$1:$A$10000=EA29)*('Margin Guidence Table'!$I$1:$I$10000&lt;=ROUND($DS$3,0))*('Margin Guidence Table'!$J$1:$J$10000&gt;=ROUND($DS$3,0)),0),MATCH("DEFAULT_PA_PCT_SALES",'Margin Guidence Table'!$A$1:$AG$1,0))),0)</f>
        <v>0</v>
      </c>
      <c r="EJ29" s="1054">
        <f t="array" ref="EJ29">IFERROR(IF($EC29="SEGMENT",INDEX('Margin Guidence Table'!$A$1:$AG$10000,MATCH(1,('Margin Guidence Table'!$A$1:$A$10000=EA29)*('Margin Guidence Table'!$I$1:$I$10000&lt;=ROUND($DS$3,0))*('Margin Guidence Table'!$J$1:$J$10000&gt;=ROUND($DS$3,0)),0),MATCH("SELF_FUND_PCT_SALES",'Margin Guidence Table'!$A$1:$AG$1,0)),INDEX('Margin Guidence Table'!$A$1:$AG$10000,MATCH(1,('Margin Guidence Table'!$A$1:$A$10000=EA29)*('Margin Guidence Table'!$I$1:$I$10000&lt;=ROUND($DS$3,0))*('Margin Guidence Table'!$J$1:$J$10000&gt;=ROUND($DS$3,0)),0),MATCH("DEFAULT_SELF_FUND_PCT_SALES",'Margin Guidence Table'!$A$1:$AG$1,0))),0)</f>
        <v>0</v>
      </c>
      <c r="EK29" s="1054">
        <f t="array" ref="EK29">IFERROR(IF($EC29="SEGMENT",INDEX('Margin Guidence Table'!$A$1:$AG$10000,MATCH(1,('Margin Guidence Table'!$A$1:$A$10000=EA29)*('Margin Guidence Table'!$I$1:$I$10000&lt;=ROUND($DS$3,0))*('Margin Guidence Table'!$J$1:$J$10000&gt;=ROUND($DS$3,0)),0),MATCH("CIA_MEDIAN_MARGIN_GUIDENCE",'Margin Guidence Table'!$A$1:$AG$1,0)),INDEX('Margin Guidence Table'!$A$1:$AG$10000,MATCH(1,('Margin Guidence Table'!$A$1:$A$10000=EA29)*('Margin Guidence Table'!$I$1:$I$10000&lt;=ROUND($DS$3,0))*('Margin Guidence Table'!$J$1:$J$10000&gt;=ROUND($DS$3,0)),0),MATCH("DEFAULT_CIA_MEDIAN_MARGIN_GUIDENCE",'Margin Guidence Table'!$A$1:$AG$1,0))),0)</f>
        <v>0</v>
      </c>
      <c r="EL29" s="127"/>
      <c r="EM29" s="18">
        <f t="array" ref="EM29">IFERROR(IF($EZ29="SEGMENT",INDEX('Margin Guidence Table'!$A$1:$AG$10000,MATCH(1,('Margin Guidence Table'!$A$1:$A$10000=$EX29)*('Margin Guidence Table'!$I$1:$I$10000&lt;=ROUND($EP$3,0))*('Margin Guidence Table'!$J$1:$J$10000&gt;=ROUND($EP$3,0)),0),MATCH("PCT_SALES",'Margin Guidence Table'!$A$1:$AG$1,0)),INDEX('Margin Guidence Table'!$A$1:$AG$10000,MATCH(1,('Margin Guidence Table'!$A$1:$A$10000=$EX29)*('Margin Guidence Table'!$I$1:$I$10000&lt;=ROUND($EP$3,0))*('Margin Guidence Table'!$J$1:$J$10000&gt;=ROUND($EP$3,0)),0),MATCH("DEFAULT_PCT_SALES",'Margin Guidence Table'!$A$1:$AG$1,0))),0)</f>
        <v>0</v>
      </c>
      <c r="EN29" s="370" t="e">
        <f t="shared" si="34"/>
        <v>#DIV/0!</v>
      </c>
      <c r="EO29" s="100" t="s">
        <v>90</v>
      </c>
      <c r="EP29" s="92">
        <f>IFERROR(IF(AND($EP$2&lt;&gt;"Enter Spend&gt;&gt;&gt;",EQ17="EXISTING"),SUMIFS('Existing Customers'!$Q:$Q,'Existing Customers'!$A:$A,$EP$1,'Existing Customers'!$H:$H,$EO29)*$EP$4,$EP$3*$EN29),0)</f>
        <v>0</v>
      </c>
      <c r="EQ29" s="87">
        <f>IFERROR(IF(AND($EP$2&lt;&gt;"Enter Spend&gt;&gt;&gt;",EQ2="EXISTING"),SUMIFS('Existing Customers'!$N:$N,'Existing Customers'!$A:$A,$EP$1,'Existing Customers'!$H:$H,$EO29)*$EP$4,$EP29/$FA29),0)</f>
        <v>0</v>
      </c>
      <c r="ER29" s="93">
        <f>IFERROR(IF(AND($EP$2&lt;&gt;"Enter Spend&gt;&gt;&gt;",EQ2="EXISTING"),SUMIFS('Existing Customers'!$O:$O,'Existing Customers'!$H:$H,$EO29,'Existing Customers'!$A:$A,$EP$1)*$EP$4,$EQ29*$EP$8),0)</f>
        <v>0</v>
      </c>
      <c r="ES29" s="93">
        <f>IFERROR(IF(AND($EP$2&lt;&gt;"Enter Spend&gt;&gt;&gt;",EQ2="EXISTING"),SUMIFS('Existing Customers'!$P:$P,'Existing Customers'!$A:$A,$EP$1,'Existing Customers'!$H:$H,$EO29)*$EP$4,$EP29/$FB29),0)</f>
        <v>0</v>
      </c>
      <c r="ET29" s="94">
        <f>IFERROR(IF(AND($EP$2&lt;&gt;"Enter Spend&gt;&gt;&gt;",EQ2="EXISTING"),SUMIFS('Existing Customers'!$V:$V,'Existing Customers'!$H:$H,$EO29,'Existing Customers'!$A:$A,$EP$1)*$EP$4,0),0)</f>
        <v>0</v>
      </c>
      <c r="EU29" s="94">
        <f>IFERROR(IF(AND($EP$2&lt;&gt;"Enter Spend&gt;&gt;&gt;",EQ2="EXISTING"),SUMIFS('Existing Customers'!$R:$R,'Existing Customers'!$H:$H,$EO29,'Existing Customers'!$A:$A,$EP$1)*$EP$4,0),0)</f>
        <v>0</v>
      </c>
      <c r="EV29" s="1050">
        <f>IFERROR(IF(AND($EP$2&lt;&gt;"Enter Spend&gt;&gt;&gt;",EQ2="EXISTING"),SUMIFS('Existing Customers'!$S:$S,'Existing Customers'!$H:$H,$EO29,'Existing Customers'!$A:$A,$EP$1),FF29*EP29),0)</f>
        <v>0</v>
      </c>
      <c r="EW29" s="1050">
        <f>IFERROR(IF(AND($EP$2&lt;&gt;"Enter Spend&gt;&gt;&gt;",EQ2="EXISTING"),SUMIFS('Existing Customers'!$U:$U,'Existing Customers'!$H:$H,$EO29,'Existing Customers'!$A:$A,$EP$1),FG29*EP29),0)</f>
        <v>0</v>
      </c>
      <c r="EX29" s="1053" t="e">
        <f>_xlfn.CONCAT('Customer Inputs'!$AG$10,"_",EO29)</f>
        <v>#N/A</v>
      </c>
      <c r="EY29" s="1053">
        <f t="array" ref="EY29">IFERROR(INDEX('Margin Guidence Table'!$A$1:$AG$10000,MATCH(1,('Margin Guidence Table'!$A$1:$A$10000=EX29)*('Margin Guidence Table'!$I$1:$I$10000&lt;=ROUND($EP$3,0))*('Margin Guidence Table'!$J$1:$J$10000&gt;=ROUND($EP$3,0)),0),MATCH("DATA_POINTS",'Margin Guidence Table'!$A$1:$AG$1,0)),0)</f>
        <v>0</v>
      </c>
      <c r="EZ29" s="1050" t="str">
        <f t="shared" si="35"/>
        <v>DEFAULT</v>
      </c>
      <c r="FA29" s="1050">
        <f t="array" ref="FA29">IFERROR(IF($EZ29="SEGMENT",INDEX('Margin Guidence Table'!$A$1:$AG$10000,MATCH(1,('Margin Guidence Table'!$A$1:$A$10000=EX29)*('Margin Guidence Table'!$I$1:$I$10000&lt;=ROUND($EP$3,0))*('Margin Guidence Table'!$J$1:$J$10000&gt;=ROUND($EP$3,0)),0),MATCH("SALES_CASE",'Margin Guidence Table'!$A$1:$AG$1,0)),INDEX('Margin Guidence Table'!$A$1:$AG$10000,MATCH(1,('Margin Guidence Table'!$A$1:$A$10000=EX29)*('Margin Guidence Table'!$I$1:$I$10000&lt;=ROUND($EP$3,0))*('Margin Guidence Table'!$J$1:$J$10000&gt;=ROUND($EP$3,0)),0),MATCH("DEFAULT_SALES_CASE",'Margin Guidence Table'!$A$1:$AG$1,0))),0)</f>
        <v>0</v>
      </c>
      <c r="FB29" s="1050" cm="1">
        <f t="array" ref="FB29">IFERROR(IF($EZ29="SEGMENT",INDEX('Margin Guidence Table'!$A$1:$AG$10000,MATCH(1,('Margin Guidence Table'!$A$1:$A$10000=EX29)*('Margin Guidence Table'!$I$1:$I$10000&lt;=ROUND($EP$3,0))*('Margin Guidence Table'!$J$1:$J$10000&gt;=ROUND($EP$3,0)),0),MATCH("SALES_LBS",'Margin Guidence Table'!$A$1:$AG$1,0)),INDEX('Margin Guidence Table'!$A$1:$AG$10000,MATCH(1,('Margin Guidence Table'!$A$1:$A$10000=EX29)*('Margin Guidence Table'!$I$1:$I$10000&lt;=ROUND($EP$3,0))*('Margin Guidence Table'!$J$1:$J$10000&gt;=ROUND($EP$3,0)),0),MATCH("DEFAULT_SALES_LBS",'Margin Guidence Table'!$A$1:$AG$1,0))),0)</f>
        <v>0</v>
      </c>
      <c r="FC29" s="1054">
        <f t="array" ref="FC29">IFERROR(IF($EZ29="SEGMENT",INDEX('Margin Guidence Table'!$A$1:$AG$10000,MATCH(1,('Margin Guidence Table'!$A$1:$A$10000=EX29)*('Margin Guidence Table'!$I$1:$I$10000&lt;=ROUND($EP$3,0))*('Margin Guidence Table'!$J$1:$J$10000&gt;=ROUND($EP$3,0)),0),MATCH("MDA_MIN_MARGIN_GUIDENCE",'Margin Guidence Table'!$A$1:$AG$1,0)),INDEX('Margin Guidence Table'!$A$1:$AG$10000,MATCH(1,('Margin Guidence Table'!$A$1:$A$10000=EX29)*('Margin Guidence Table'!$I$1:$I$10000&lt;=ROUND($EP$3,0))*('Margin Guidence Table'!$J$1:$J$10000&gt;=ROUND($EP$3,0)),0),MATCH("DEFAULT_MDA_MIN_MARGIN_GUIDENCE",'Margin Guidence Table'!$A$1:$AG$1,0))),0)</f>
        <v>0</v>
      </c>
      <c r="FD29" s="1054">
        <f t="array" ref="FD29">IFERROR(IF($EZ29="SEGMENT",INDEX('Margin Guidence Table'!$A$1:$AG$10000,MATCH(1,('Margin Guidence Table'!$A$1:$A$10000=EX29)*('Margin Guidence Table'!$I$1:$I$10000&lt;=ROUND($EP$3,0))*('Margin Guidence Table'!$J$1:$J$10000&gt;=ROUND($EP$3,0)),0),MATCH("MDA_MEDIAN_MARGIN_GUIDENCE",'Margin Guidence Table'!$A$1:$AG$1,0)),INDEX('Margin Guidence Table'!$A$1:$AG$10000,MATCH(1,('Margin Guidence Table'!$A$1:$A$10000=EX29)*('Margin Guidence Table'!$I$1:$I$10000&lt;=ROUND($EP$3,0))*('Margin Guidence Table'!$J$1:$J$10000&gt;=ROUND($EP$3,0)),0),MATCH("DEFAULT_MDA_MEDIAN_MARGIN_GUIDENCE",'Margin Guidence Table'!$A$1:$AG$1,0))),0)</f>
        <v>0</v>
      </c>
      <c r="FE29" s="1054">
        <f t="array" ref="FE29">IFERROR(IF($EZ29="SEGMENT",INDEX('Margin Guidence Table'!$A$1:$AG$10000,MATCH(1,('Margin Guidence Table'!$A$1:$A$10000=EX29)*('Margin Guidence Table'!$I$1:$I$10000&lt;=ROUND($EP$3,0))*('Margin Guidence Table'!$J$1:$J$10000&gt;=ROUND($EP$3,0)),0),MATCH("MDA_MAX_MARGIN_GUIDENCE",'Margin Guidence Table'!$A$1:$AG$1,0)),INDEX('Margin Guidence Table'!$A$1:$AG$10000,MATCH(1,('Margin Guidence Table'!$A$1:$A$10000=EX29)*('Margin Guidence Table'!$I$1:$I$10000&lt;=ROUND($EP$3,0))*('Margin Guidence Table'!$J$1:$J$10000&gt;=ROUND($EP$3,0)),0),MATCH("DEFAULT_MDA_MAX_MARGIN_GUIDENCE",'Margin Guidence Table'!$A$1:$AG$1,0))),0)</f>
        <v>0</v>
      </c>
      <c r="FF29" s="1054">
        <f t="array" ref="FF29">IFERROR(IF($EZ29="SEGMENT",INDEX('Margin Guidence Table'!$A$1:$AG$10000,MATCH(1,('Margin Guidence Table'!$A$1:$A$10000=EX29)*('Margin Guidence Table'!$I$1:$I$10000&lt;=ROUND($EP$3,0))*('Margin Guidence Table'!$J$1:$J$10000&gt;=ROUND($EP$3,0)),0),MATCH("PA_PCT_SALES",'Margin Guidence Table'!$A$1:$AG$1,0)),INDEX('Margin Guidence Table'!$A$1:$AG$10000,MATCH(1,('Margin Guidence Table'!$A$1:$A$10000=EX29)*('Margin Guidence Table'!$I$1:$I$10000&lt;=ROUND($EP$3,0))*('Margin Guidence Table'!$J$1:$J$10000&gt;=ROUND($EP$3,0)),0),MATCH("DEFAULT_PA_PCT_SALES",'Margin Guidence Table'!$A$1:$AG$1,0))),0)</f>
        <v>0</v>
      </c>
      <c r="FG29" s="1054">
        <f t="array" ref="FG29">IFERROR(IF($EZ29="SEGMENT",INDEX('Margin Guidence Table'!$A$1:$AG$10000,MATCH(1,('Margin Guidence Table'!$A$1:$A$10000=EX29)*('Margin Guidence Table'!$I$1:$I$10000&lt;=ROUND($EP$3,0))*('Margin Guidence Table'!$J$1:$J$10000&gt;=ROUND($EP$3,0)),0),MATCH("SELF_FUND_PCT_SALES",'Margin Guidence Table'!$A$1:$AG$1,0)),INDEX('Margin Guidence Table'!$A$1:$AG$10000,MATCH(1,('Margin Guidence Table'!$A$1:$A$10000=EX29)*('Margin Guidence Table'!$I$1:$I$10000&lt;=ROUND($EP$3,0))*('Margin Guidence Table'!$J$1:$J$10000&gt;=ROUND($EP$3,0)),0),MATCH("DEFAULT_SELF_FUND_PCT_SALES",'Margin Guidence Table'!$A$1:$AG$1,0))),0)</f>
        <v>0</v>
      </c>
      <c r="FH29" s="1054">
        <f t="array" ref="FH29">IFERROR(IF($EZ29="SEGMENT",INDEX('Margin Guidence Table'!$A$1:$AG$10000,MATCH(1,('Margin Guidence Table'!$A$1:$A$10000=EX29)*('Margin Guidence Table'!$I$1:$I$10000&lt;=ROUND($EP$3,0))*('Margin Guidence Table'!$J$1:$J$10000&gt;=ROUND($EP$3,0)),0),MATCH("CIA_MEDIAN_MARGIN_GUIDENCE",'Margin Guidence Table'!$A$1:$AG$1,0)),INDEX('Margin Guidence Table'!$A$1:$AG$10000,MATCH(1,('Margin Guidence Table'!$A$1:$A$10000=EX29)*('Margin Guidence Table'!$I$1:$I$10000&lt;=ROUND($EP$3,0))*('Margin Guidence Table'!$J$1:$J$10000&gt;=ROUND($EP$3,0)),0),MATCH("DEFAULT_CIA_MEDIAN_MARGIN_GUIDENCE",'Margin Guidence Table'!$A$1:$AG$1,0))),0)</f>
        <v>0</v>
      </c>
      <c r="FI29" s="127"/>
      <c r="FJ29" s="18">
        <f t="array" ref="FJ29">IFERROR(IF($FW29="SEGMENT",INDEX('Margin Guidence Table'!$A$1:$AG$10000,MATCH(1,('Margin Guidence Table'!$A$1:$A$10000=$FU29)*('Margin Guidence Table'!$I$1:$I$10000&lt;=ROUND($FM$3,0))*('Margin Guidence Table'!$J$1:$J$10000&gt;=ROUND($FM$3,0)),0),MATCH("PCT_SALES",'Margin Guidence Table'!$A$1:$AG$1,0)),INDEX('Margin Guidence Table'!$A$1:$AG$10000,MATCH(1,('Margin Guidence Table'!$A$1:$A$10000=$FU29)*('Margin Guidence Table'!$I$1:$I$10000&lt;=ROUND($FM$3,0))*('Margin Guidence Table'!$J$1:$J$10000&gt;=ROUND($FM$3,0)),0),MATCH("DEFAULT_PCT_SALES",'Margin Guidence Table'!$A$1:$AG$1,0))),0)</f>
        <v>0</v>
      </c>
      <c r="FK29" s="370" t="e">
        <f t="shared" si="36"/>
        <v>#DIV/0!</v>
      </c>
      <c r="FL29" s="100" t="s">
        <v>90</v>
      </c>
      <c r="FM29" s="92">
        <f>IFERROR(IF(AND($FM$2&lt;&gt;"Enter Spend&gt;&gt;&gt;",FN17="EXISTING"),SUMIFS('Existing Customers'!$Q:$Q,'Existing Customers'!$A:$A,$FM$1,'Existing Customers'!$H:$H,$FL29)*$FM$4,$FM$3*$FK29),0)</f>
        <v>0</v>
      </c>
      <c r="FN29" s="87">
        <f>IFERROR(IF(AND($FM$2&lt;&gt;"Enter Spend&gt;&gt;&gt;",FN2="EXISTING"),SUMIFS('Existing Customers'!$N:$N,'Existing Customers'!$A:$A,$FM$1,'Existing Customers'!$H:$H,$FL29)*$FM$4,$FM29/$FX29),0)</f>
        <v>0</v>
      </c>
      <c r="FO29" s="93">
        <f>IFERROR(IF(AND($FM$2&lt;&gt;"Enter Spend&gt;&gt;&gt;",FN2="EXISTING"),SUMIFS('Existing Customers'!$O:$O,'Existing Customers'!$H:$H,$FL29,'Existing Customers'!$A:$A,$FM$1)*$FM$4,$FN29*$FM$8),0)</f>
        <v>0</v>
      </c>
      <c r="FP29" s="93">
        <f>IFERROR(IF(AND($FM$2&lt;&gt;"Enter Spend&gt;&gt;&gt;",FN2="EXISTING"),SUMIFS('Existing Customers'!$P:$P,'Existing Customers'!$A:$A,$FM$1,'Existing Customers'!$H:$H,$FL29)*$FM$4,$FM29/$FY29),0)</f>
        <v>0</v>
      </c>
      <c r="FQ29" s="94">
        <f>IFERROR(IF(AND($FM$2&lt;&gt;"Enter Spend&gt;&gt;&gt;",FN2="EXISTING"),SUMIFS('Existing Customers'!$V:$V,'Existing Customers'!$H:$H,$FL29,'Existing Customers'!$A:$A,$FM$1)*$FM$4,0),0)</f>
        <v>0</v>
      </c>
      <c r="FR29" s="94">
        <f>IFERROR(IF(AND($FM$2&lt;&gt;"Enter Spend&gt;&gt;&gt;",FN2="EXISTING"),SUMIFS('Existing Customers'!$R:$R,'Existing Customers'!$H:$H,$FL29,'Existing Customers'!$A:$A,$FM$1)*$FM$4,0),0)</f>
        <v>0</v>
      </c>
      <c r="FS29" s="1050">
        <f>IFERROR(IF(AND($FM$2&lt;&gt;"Enter Spend&gt;&gt;&gt;",FN2="EXISTING"),SUMIFS('Existing Customers'!$S:$S,'Existing Customers'!$H:$H,$FL29,'Existing Customers'!$A:$A,$FM$1),GC29*FM29),0)</f>
        <v>0</v>
      </c>
      <c r="FT29" s="1050">
        <f>IFERROR(IF(AND($FM$2&lt;&gt;"Enter Spend&gt;&gt;&gt;",FN2="EXISTING"),SUMIFS('Existing Customers'!$U:$U,'Existing Customers'!$H:$H,$FL29,'Existing Customers'!$A:$A,$FM$1),GD29*FM29),0)</f>
        <v>0</v>
      </c>
      <c r="FU29" s="1053" t="e">
        <f>_xlfn.CONCAT('Customer Inputs'!$AG$11,"_",FL29)</f>
        <v>#N/A</v>
      </c>
      <c r="FV29" s="1053">
        <f t="array" ref="FV29">IFERROR(INDEX('Margin Guidence Table'!$A$1:$AG$10000,MATCH(1,('Margin Guidence Table'!$A$1:$A$10000=FU29)*('Margin Guidence Table'!$I$1:$I$10000&lt;=ROUND($FM$3,0))*('Margin Guidence Table'!$J$1:$J$10000&gt;=ROUND($FM$3,0)),0),MATCH("DATA_POINTS",'Margin Guidence Table'!$A$1:$AG$1,0)),0)</f>
        <v>0</v>
      </c>
      <c r="FW29" s="1050" t="str">
        <f t="shared" si="37"/>
        <v>DEFAULT</v>
      </c>
      <c r="FX29" s="1050">
        <f t="array" ref="FX29">IFERROR(IF($FW29="SEGMENT",INDEX('Margin Guidence Table'!$A$1:$AG$10000,MATCH(1,('Margin Guidence Table'!$A$1:$A$10000=FU29)*('Margin Guidence Table'!$I$1:$I$10000&lt;=ROUND($FM$3,0))*('Margin Guidence Table'!$J$1:$J$10000&gt;=ROUND($FM$3,0)),0),MATCH("SALES_CASE",'Margin Guidence Table'!$A$1:$AG$1,0)),INDEX('Margin Guidence Table'!$A$1:$AG$10000,MATCH(1,('Margin Guidence Table'!$A$1:$A$10000=FU29)*('Margin Guidence Table'!$I$1:$I$10000&lt;=ROUND($FM$3,0))*('Margin Guidence Table'!$J$1:$J$10000&gt;=ROUND($FM$3,0)),0),MATCH("DEFAULT_SALES_CASE",'Margin Guidence Table'!$A$1:$AG$1,0))),0)</f>
        <v>0</v>
      </c>
      <c r="FY29" s="1050">
        <f t="array" ref="FY29">IFERROR(IF($FW29="SEGMENT",INDEX('Margin Guidence Table'!$A$1:$AG$10000,MATCH(1,('Margin Guidence Table'!$A$1:$A$10000=FU29)*('Margin Guidence Table'!$I$1:$I$10000&lt;=ROUND($FM$3,0))*('Margin Guidence Table'!$J$1:$J$10000&gt;=ROUND($FM$3,0)),0),MATCH("SALES_LBS",'Margin Guidence Table'!$A$1:$AG$1,0)),INDEX('Margin Guidence Table'!$A$1:$AG$10000,MATCH(1,('Margin Guidence Table'!$A$1:$A$10000=FU29)*('Margin Guidence Table'!$I$1:$I$10000&lt;=ROUND($FM$3,0))*('Margin Guidence Table'!$J$1:$J$10000&gt;=ROUND($FM$3,0)),0),MATCH("DEFAULT_SALES_LBS",'Margin Guidence Table'!$A$1:$AG$1,0))),0)</f>
        <v>0</v>
      </c>
      <c r="FZ29" s="1054">
        <f t="array" ref="FZ29">IFERROR(IF($FW29="SEGMENT",INDEX('Margin Guidence Table'!$A$1:$AG$10000,MATCH(1,('Margin Guidence Table'!$A$1:$A$10000=FU29)*('Margin Guidence Table'!$I$1:$I$10000&lt;=ROUND($FM$3,0))*('Margin Guidence Table'!$J$1:$J$10000&gt;=ROUND($FM$3,0)),0),MATCH("MDA_MIN_MARGIN_GUIDENCE",'Margin Guidence Table'!$A$1:$AG$1,0)),INDEX('Margin Guidence Table'!$A$1:$AG$10000,MATCH(1,('Margin Guidence Table'!$A$1:$A$10000=FU29)*('Margin Guidence Table'!$I$1:$I$10000&lt;=ROUND($FM$3,0))*('Margin Guidence Table'!$J$1:$J$10000&gt;=ROUND($FM$3,0)),0),MATCH("DEFAULT_MDA_MIN_MARGIN_GUIDENCE",'Margin Guidence Table'!$A$1:$AG$1,0))),0)</f>
        <v>0</v>
      </c>
      <c r="GA29" s="1054">
        <f t="array" ref="GA29">IFERROR(IF($FW29="SEGMENT",INDEX('Margin Guidence Table'!$A$1:$AG$10000,MATCH(1,('Margin Guidence Table'!$A$1:$A$10000=FU29)*('Margin Guidence Table'!$I$1:$I$10000&lt;=ROUND($FM$3,0))*('Margin Guidence Table'!$J$1:$J$10000&gt;=ROUND($FM$3,0)),0),MATCH("MDA_MEDIAN_MARGIN_GUIDENCE",'Margin Guidence Table'!$A$1:$AG$1,0)),INDEX('Margin Guidence Table'!$A$1:$AG$10000,MATCH(1,('Margin Guidence Table'!$A$1:$A$10000=FU29)*('Margin Guidence Table'!$I$1:$I$10000&lt;=ROUND($FM$3,0))*('Margin Guidence Table'!$J$1:$J$10000&gt;=ROUND($FM$3,0)),0),MATCH("DEFAULT_MDA_MEDIAN_MARGIN_GUIDENCE",'Margin Guidence Table'!$A$1:$AG$1,0))),0)</f>
        <v>0</v>
      </c>
      <c r="GB29" s="1054">
        <f t="array" ref="GB29">IFERROR(IF($FW29="SEGMENT",INDEX('Margin Guidence Table'!$A$1:$AG$10000,MATCH(1,('Margin Guidence Table'!$A$1:$A$10000=FU29)*('Margin Guidence Table'!$I$1:$I$10000&lt;=ROUND($FM$3,0))*('Margin Guidence Table'!$J$1:$J$10000&gt;=ROUND($FM$3,0)),0),MATCH("MDA_MAX_MARGIN_GUIDENCE",'Margin Guidence Table'!$A$1:$AG$1,0)),INDEX('Margin Guidence Table'!$A$1:$AG$10000,MATCH(1,('Margin Guidence Table'!$A$1:$A$10000=FU29)*('Margin Guidence Table'!$I$1:$I$10000&lt;=ROUND($FM$3,0))*('Margin Guidence Table'!$J$1:$J$10000&gt;=ROUND($FM$3,0)),0),MATCH("DEFAULT_MDA_MAX_MARGIN_GUIDENCE",'Margin Guidence Table'!$A$1:$AG$1,0))),0)</f>
        <v>0</v>
      </c>
      <c r="GC29" s="1054">
        <f t="array" ref="GC29">IFERROR(IF($FW29="SEGMENT",INDEX('Margin Guidence Table'!$A$1:$AG$10000,MATCH(1,('Margin Guidence Table'!$A$1:$A$10000=FU29)*('Margin Guidence Table'!$I$1:$I$10000&lt;=ROUND($FM$3,0))*('Margin Guidence Table'!$J$1:$J$10000&gt;=ROUND($FM$3,0)),0),MATCH("PA_PCT_SALES",'Margin Guidence Table'!$A$1:$AG$1,0)),INDEX('Margin Guidence Table'!$A$1:$AG$10000,MATCH(1,('Margin Guidence Table'!$A$1:$A$10000=FU29)*('Margin Guidence Table'!$I$1:$I$10000&lt;=ROUND($FM$3,0))*('Margin Guidence Table'!$J$1:$J$10000&gt;=ROUND($FM$3,0)),0),MATCH("DEFAULT_PA_PCT_SALES",'Margin Guidence Table'!$A$1:$AG$1,0))),0)</f>
        <v>0</v>
      </c>
      <c r="GD29" s="1054">
        <f t="array" ref="GD29">IFERROR(IF($FW29="SEGMENT",INDEX('Margin Guidence Table'!$A$1:$AG$10000,MATCH(1,('Margin Guidence Table'!$A$1:$A$10000=FU29)*('Margin Guidence Table'!$I$1:$I$10000&lt;=ROUND($FM$3,0))*('Margin Guidence Table'!$J$1:$J$10000&gt;=ROUND($FM$3,0)),0),MATCH("SELF_FUND_PCT_SALES",'Margin Guidence Table'!$A$1:$AG$1,0)),INDEX('Margin Guidence Table'!$A$1:$AG$10000,MATCH(1,('Margin Guidence Table'!$A$1:$A$10000=FU29)*('Margin Guidence Table'!$I$1:$I$10000&lt;=ROUND($FM$3,0))*('Margin Guidence Table'!$J$1:$J$10000&gt;=ROUND($FM$3,0)),0),MATCH("DEFAULT_SELF_FUND_PCT_SALES",'Margin Guidence Table'!$A$1:$AG$1,0))),0)</f>
        <v>0</v>
      </c>
      <c r="GE29" s="1054">
        <f t="array" ref="GE29">IFERROR(IF($FW29="SEGMENT",INDEX('Margin Guidence Table'!$A$1:$AG$10000,MATCH(1,('Margin Guidence Table'!$A$1:$A$10000=FU29)*('Margin Guidence Table'!$I$1:$I$10000&lt;=ROUND($FM$3,0))*('Margin Guidence Table'!$J$1:$J$10000&gt;=ROUND($FM$3,0)),0),MATCH("CIA_MEDIAN_MARGIN_GUIDENCE",'Margin Guidence Table'!$A$1:$AG$1,0)),INDEX('Margin Guidence Table'!$A$1:$AG$10000,MATCH(1,('Margin Guidence Table'!$A$1:$A$10000=FU29)*('Margin Guidence Table'!$I$1:$I$10000&lt;=ROUND($FM$3,0))*('Margin Guidence Table'!$J$1:$J$10000&gt;=ROUND($FM$3,0)),0),MATCH("DEFAULT_CIA_MEDIAN_MARGIN_GUIDENCE",'Margin Guidence Table'!$A$1:$AG$1,0))),0)</f>
        <v>0</v>
      </c>
      <c r="GF29" s="127"/>
      <c r="GG29" s="18">
        <f t="array" ref="GG29">IFERROR(IF($GT29="SEGMENT",INDEX('Margin Guidence Table'!$A$1:$AG$10000,MATCH(1,('Margin Guidence Table'!$A$1:$A$10000=$GR29)*('Margin Guidence Table'!$I$1:$I$10000&lt;=ROUND($GJ$3,0))*('Margin Guidence Table'!$J$1:$J$10000&gt;=ROUND($GJ$3,0)),0),MATCH("PCT_SALES",'Margin Guidence Table'!$A$1:$AG$1,0)),INDEX('Margin Guidence Table'!$A$1:$AG$10000,MATCH(1,('Margin Guidence Table'!$A$1:$A$10000=$GR29)*('Margin Guidence Table'!$I$1:$I$10000&lt;=ROUND($GJ$3,0))*('Margin Guidence Table'!$J$1:$J$10000&gt;=ROUND($GJ$3,0)),0),MATCH("DEFAULT_PCT_SALES",'Margin Guidence Table'!$A$1:$AG$1,0))),0)</f>
        <v>0</v>
      </c>
      <c r="GH29" s="370" t="e">
        <f t="shared" si="38"/>
        <v>#DIV/0!</v>
      </c>
      <c r="GI29" s="100" t="s">
        <v>90</v>
      </c>
      <c r="GJ29" s="92">
        <f>IFERROR(IF(AND($GJ$2&lt;&gt;"Enter Spend&gt;&gt;&gt;",GK17="EXISTING"),SUMIFS('Existing Customers'!$Q:$Q,'Existing Customers'!$A:$A,$GJ$1,'Existing Customers'!$H:$H,$GI29)*$GJ$4,$GJ$3*$GH29),0)</f>
        <v>0</v>
      </c>
      <c r="GK29" s="87">
        <f>IFERROR(IF(AND($GJ$2&lt;&gt;"Enter Spend&gt;&gt;&gt;",GK2="EXISTING"),SUMIFS('Existing Customers'!$N:$N,'Existing Customers'!$A:$A,$GJ$1,'Existing Customers'!$H:$H,$GI29)*$GJ$4,$GJ29/$GU29),0)</f>
        <v>0</v>
      </c>
      <c r="GL29" s="93">
        <f>IFERROR(IF(AND($GJ$2&lt;&gt;"Enter Spend&gt;&gt;&gt;",GK2="EXISTING"),SUMIFS('Existing Customers'!$O:$O,'Existing Customers'!$H:$H,$GI29,'Existing Customers'!$A:$A,$GJ$1)*$GJ$4,$GK29*$GJ$8),0)</f>
        <v>0</v>
      </c>
      <c r="GM29" s="93">
        <f>IFERROR(IF(AND($GJ$2&lt;&gt;"Enter Spend&gt;&gt;&gt;",GK2="EXISTING"),SUMIFS('Existing Customers'!$P:$P,'Existing Customers'!$A:$A,$GJ$1,'Existing Customers'!$H:$H,$GI29)*$GJ$4,$GJ29/$GV29),0)</f>
        <v>0</v>
      </c>
      <c r="GN29" s="94">
        <f>IFERROR(IF(AND($GJ$2&lt;&gt;"Enter Spend&gt;&gt;&gt;",GK2="EXISTING"),SUMIFS('Existing Customers'!$V:$V,'Existing Customers'!$H:$H,$GI29,'Existing Customers'!$A:$A,$GJ$1)*$GJ$4,0),0)</f>
        <v>0</v>
      </c>
      <c r="GO29" s="94">
        <f>IFERROR(IF(AND($GJ$2&lt;&gt;"Enter Spend&gt;&gt;&gt;",GK2="EXISTING"),SUMIFS('Existing Customers'!$R:$R,'Existing Customers'!$H:$H,$GI29,'Existing Customers'!$A:$A,$GJ$1)*$GJ$4,0),0)</f>
        <v>0</v>
      </c>
      <c r="GP29" s="1050">
        <f>IFERROR(IF(AND($GJ$2&lt;&gt;"Enter Spend&gt;&gt;&gt;",GK2="EXISTING"),SUMIFS('Existing Customers'!$S:$S,'Existing Customers'!$H:$H,$GI29,'Existing Customers'!$A:$A,$GJ$1),GZ29*GJ29),0)</f>
        <v>0</v>
      </c>
      <c r="GQ29" s="1050">
        <f>IFERROR(IF(AND($GJ$2&lt;&gt;"Enter Spend&gt;&gt;&gt;",GK2="EXISTING"),SUMIFS('Existing Customers'!$U:$U,'Existing Customers'!$H:$H,$GI29,'Existing Customers'!$A:$A,$GJ$1),HA29*GJ29),0)</f>
        <v>0</v>
      </c>
      <c r="GR29" s="1053" t="e">
        <f>_xlfn.CONCAT('Customer Inputs'!$AG$12,"_",GI29)</f>
        <v>#N/A</v>
      </c>
      <c r="GS29" s="1053">
        <f t="array" ref="GS29">IFERROR(INDEX('Margin Guidence Table'!$A$1:$AG$10000,MATCH(1,('Margin Guidence Table'!$A$1:$A$10000=GR29)*('Margin Guidence Table'!$I$1:$I$10000&lt;=ROUND($GJ$3,0))*('Margin Guidence Table'!$J$1:$J$10000&gt;=ROUND($GJ$3,0)),0),MATCH("DATA_POINTS",'Margin Guidence Table'!$A$1:$AG$1,0)),0)</f>
        <v>0</v>
      </c>
      <c r="GT29" s="1050" t="str">
        <f t="shared" si="39"/>
        <v>DEFAULT</v>
      </c>
      <c r="GU29" s="1050">
        <f t="array" ref="GU29">IFERROR(IF($GT29="SEGMENT",INDEX('Margin Guidence Table'!$A$1:$AG$10000,MATCH(1,('Margin Guidence Table'!$A$1:$A$10000=GR29)*('Margin Guidence Table'!$I$1:$I$10000&lt;=ROUND($GJ$3,0))*('Margin Guidence Table'!$J$1:$J$10000&gt;=ROUND($GJ$3,0)),0),MATCH("SALES_CASE",'Margin Guidence Table'!$A$1:$AG$1,0)),INDEX('Margin Guidence Table'!$A$1:$AG$10000,MATCH(1,('Margin Guidence Table'!$A$1:$A$10000=GR29)*('Margin Guidence Table'!$I$1:$I$10000&lt;=ROUND($GJ$3,0))*('Margin Guidence Table'!$J$1:$J$10000&gt;=ROUND($GJ$3,0)),0),MATCH("DEFAULT_SALES_CASE",'Margin Guidence Table'!$A$1:$AG$1,0))),0)</f>
        <v>0</v>
      </c>
      <c r="GV29" s="1050">
        <f t="array" ref="GV29">IFERROR(IF($GT29="SEGMENT",INDEX('Margin Guidence Table'!$A$1:$AG$10000,MATCH(1,('Margin Guidence Table'!$A$1:$A$10000=GR29)*('Margin Guidence Table'!$I$1:$I$10000&lt;=ROUND($GJ$3,0))*('Margin Guidence Table'!$J$1:$J$10000&gt;=ROUND($GJ$3,0)),0),MATCH("SALES_LBS",'Margin Guidence Table'!$A$1:$AG$1,0)),INDEX('Margin Guidence Table'!$A$1:$AG$10000,MATCH(1,('Margin Guidence Table'!$A$1:$A$10000=GR29)*('Margin Guidence Table'!$I$1:$I$10000&lt;=ROUND($GJ$3,0))*('Margin Guidence Table'!$J$1:$J$10000&gt;=ROUND($GJ$3,0)),0),MATCH("DEFAULT_SALES_LBS",'Margin Guidence Table'!$A$1:$AG$1,0))),0)</f>
        <v>0</v>
      </c>
      <c r="GW29" s="1054">
        <f t="array" ref="GW29">IFERROR(IF($GT29="SEGMENT",INDEX('Margin Guidence Table'!$A$1:$AG$10000,MATCH(1,('Margin Guidence Table'!$A$1:$A$10000=GR29)*('Margin Guidence Table'!$I$1:$I$10000&lt;=ROUND($GJ$3,0))*('Margin Guidence Table'!$J$1:$J$10000&gt;=ROUND($GJ$3,0)),0),MATCH("MDA_MIN_MARGIN_GUIDENCE",'Margin Guidence Table'!$A$1:$AG$1,0)),INDEX('Margin Guidence Table'!$A$1:$AG$10000,MATCH(1,('Margin Guidence Table'!$A$1:$A$10000=GR29)*('Margin Guidence Table'!$I$1:$I$10000&lt;=ROUND($GJ$3,0))*('Margin Guidence Table'!$J$1:$J$10000&gt;=ROUND($GJ$3,0)),0),MATCH("DEFAULT_MDA_MIN_MARGIN_GUIDENCE",'Margin Guidence Table'!$A$1:$AG$1,0))),0)</f>
        <v>0</v>
      </c>
      <c r="GX29" s="1054">
        <f t="array" ref="GX29">IFERROR(IF($GT29="SEGMENT",INDEX('Margin Guidence Table'!$A$1:$AG$10000,MATCH(1,('Margin Guidence Table'!$A$1:$A$10000=GR29)*('Margin Guidence Table'!$I$1:$I$10000&lt;=ROUND($GJ$3,0))*('Margin Guidence Table'!$J$1:$J$10000&gt;=ROUND($GJ$3,0)),0),MATCH("MDA_MEDIAN_MARGIN_GUIDENCE",'Margin Guidence Table'!$A$1:$AG$1,0)),INDEX('Margin Guidence Table'!$A$1:$AG$10000,MATCH(1,('Margin Guidence Table'!$A$1:$A$10000=GR29)*('Margin Guidence Table'!$I$1:$I$10000&lt;=ROUND($GJ$3,0))*('Margin Guidence Table'!$J$1:$J$10000&gt;=ROUND($GJ$3,0)),0),MATCH("DEFAULT_MDA_MEDIAN_MARGIN_GUIDENCE",'Margin Guidence Table'!$A$1:$AG$1,0))),0)</f>
        <v>0</v>
      </c>
      <c r="GY29" s="1054">
        <f t="array" ref="GY29">IFERROR(IF($GT29="SEGMENT",INDEX('Margin Guidence Table'!$A$1:$AG$10000,MATCH(1,('Margin Guidence Table'!$A$1:$A$10000=GR29)*('Margin Guidence Table'!$I$1:$I$10000&lt;=ROUND($GJ$3,0))*('Margin Guidence Table'!$J$1:$J$10000&gt;=ROUND($GJ$3,0)),0),MATCH("MDA_MAX_MARGIN_GUIDENCE",'Margin Guidence Table'!$A$1:$AG$1,0)),INDEX('Margin Guidence Table'!$A$1:$AG$10000,MATCH(1,('Margin Guidence Table'!$A$1:$A$10000=GR29)*('Margin Guidence Table'!$I$1:$I$10000&lt;=ROUND($GJ$3,0))*('Margin Guidence Table'!$J$1:$J$10000&gt;=ROUND($GJ$3,0)),0),MATCH("DEFAULT_MDA_MAX_MARGIN_GUIDENCE",'Margin Guidence Table'!$A$1:$AG$1,0))),0)</f>
        <v>0</v>
      </c>
      <c r="GZ29" s="1054">
        <f t="array" ref="GZ29">IFERROR(IF($GT29="SEGMENT",INDEX('Margin Guidence Table'!$A$1:$AG$10000,MATCH(1,('Margin Guidence Table'!$A$1:$A$10000=GR29)*('Margin Guidence Table'!$I$1:$I$10000&lt;=ROUND($GJ$3,0))*('Margin Guidence Table'!$J$1:$J$10000&gt;=ROUND($GJ$3,0)),0),MATCH("PA_PCT_SALES",'Margin Guidence Table'!$A$1:$AG$1,0)),INDEX('Margin Guidence Table'!$A$1:$AG$10000,MATCH(1,('Margin Guidence Table'!$A$1:$A$10000=GR29)*('Margin Guidence Table'!$I$1:$I$10000&lt;=ROUND($GJ$3,0))*('Margin Guidence Table'!$J$1:$J$10000&gt;=ROUND($GJ$3,0)),0),MATCH("DEFAULT_PA_PCT_SALES",'Margin Guidence Table'!$A$1:$AG$1,0))),0)</f>
        <v>0</v>
      </c>
      <c r="HA29" s="1054">
        <f t="array" ref="HA29">IFERROR(IF($GT29="SEGMENT",INDEX('Margin Guidence Table'!$A$1:$AG$10000,MATCH(1,('Margin Guidence Table'!$A$1:$A$10000=GR29)*('Margin Guidence Table'!$I$1:$I$10000&lt;=ROUND($GJ$3,0))*('Margin Guidence Table'!$J$1:$J$10000&gt;=ROUND($GJ$3,0)),0),MATCH("SELF_FUND_PCT_SALES",'Margin Guidence Table'!$A$1:$AG$1,0)),INDEX('Margin Guidence Table'!$A$1:$AG$10000,MATCH(1,('Margin Guidence Table'!$A$1:$A$10000=GR29)*('Margin Guidence Table'!$I$1:$I$10000&lt;=ROUND($GJ$3,0))*('Margin Guidence Table'!$J$1:$J$10000&gt;=ROUND($GJ$3,0)),0),MATCH("DEFAULT_SELF_FUND_PCT_SALES",'Margin Guidence Table'!$A$1:$AG$1,0))),0)</f>
        <v>0</v>
      </c>
      <c r="HB29" s="1054">
        <f t="array" ref="HB29">IFERROR(IF($GT29="SEGMENT",INDEX('Margin Guidence Table'!$A$1:$AG$10000,MATCH(1,('Margin Guidence Table'!$A$1:$A$10000=GR29)*('Margin Guidence Table'!$I$1:$I$10000&lt;=ROUND($GJ$3,0))*('Margin Guidence Table'!$J$1:$J$10000&gt;=ROUND($GJ$3,0)),0),MATCH("CIA_MEDIAN_MARGIN_GUIDENCE",'Margin Guidence Table'!$A$1:$AG$1,0)),INDEX('Margin Guidence Table'!$A$1:$AG$10000,MATCH(1,('Margin Guidence Table'!$A$1:$A$10000=GR29)*('Margin Guidence Table'!$I$1:$I$10000&lt;=ROUND($GJ$3,0))*('Margin Guidence Table'!$J$1:$J$10000&gt;=ROUND($GJ$3,0)),0),MATCH("DEFAULT_CIA_MEDIAN_MARGIN_GUIDENCE",'Margin Guidence Table'!$A$1:$AG$1,0))),0)</f>
        <v>0</v>
      </c>
      <c r="HC29" s="127"/>
      <c r="HD29" s="18">
        <f t="array" ref="HD29">IFERROR(IF($HQ29="SEGMENT",INDEX('Margin Guidence Table'!$A$1:$AG$10000,MATCH(1,('Margin Guidence Table'!$A$1:$A$10000=$HO29)*('Margin Guidence Table'!$I$1:$I$10000&lt;=ROUND($HG$3,0))*('Margin Guidence Table'!$J$1:$J$10000&gt;=ROUND($HG$3,0)),0),MATCH("PCT_SALES",'Margin Guidence Table'!$A$1:$AG$1,0)),INDEX('Margin Guidence Table'!$A$1:$AG$10000,MATCH(1,('Margin Guidence Table'!$A$1:$A$10000=$HO29)*('Margin Guidence Table'!$I$1:$I$10000&lt;=ROUND($HG$3,0))*('Margin Guidence Table'!$J$1:$J$10000&gt;=ROUND($HG$3,0)),0),MATCH("DEFAULT_PCT_SALES",'Margin Guidence Table'!$A$1:$AG$1,0))),0)</f>
        <v>0</v>
      </c>
      <c r="HE29" s="370" t="e">
        <f t="shared" si="40"/>
        <v>#DIV/0!</v>
      </c>
      <c r="HF29" s="100" t="s">
        <v>90</v>
      </c>
      <c r="HG29" s="92">
        <f>IFERROR(IF(AND($HG$2&lt;&gt;"Enter Spend&gt;&gt;&gt;",HH17="EXISTING"),SUMIFS('Existing Customers'!$Q:$Q,'Existing Customers'!$A:$A,$HG$1,'Existing Customers'!$H:$H,$HF29)*$HG$4,$HG$3*$HE29),0)</f>
        <v>0</v>
      </c>
      <c r="HH29" s="87">
        <f>IFERROR(IF(AND($HG$2&lt;&gt;"Enter Spend&gt;&gt;&gt;",HH2="EXISTING"),SUMIFS('Existing Customers'!$N:$N,'Existing Customers'!$A:$A,$HG$1,'Existing Customers'!$H:$H,$HF29)*$HG$4,$HG29/$HR29),0)</f>
        <v>0</v>
      </c>
      <c r="HI29" s="93">
        <f>IFERROR(IF(AND($HG$2&lt;&gt;"Enter Spend&gt;&gt;&gt;",HH2="EXISTING"),SUMIFS('Existing Customers'!$O:$O,'Existing Customers'!$H:$H,$HF29,'Existing Customers'!$A:$A,$HG$1)*$HG$4,$HH29*$HG$8),0)</f>
        <v>0</v>
      </c>
      <c r="HJ29" s="93">
        <f>IFERROR(IF(AND($HG$2&lt;&gt;"Enter Spend&gt;&gt;&gt;",HH2="EXISTING"),SUMIFS('Existing Customers'!$P:$P,'Existing Customers'!$A:$A,$HG$1,'Existing Customers'!$H:$H,$HF29)*$HG$4,$HG29/$HS29),0)</f>
        <v>0</v>
      </c>
      <c r="HK29" s="94">
        <f>IFERROR(IF(AND($HG$2&lt;&gt;"Enter Spend&gt;&gt;&gt;",HH2="EXISTING"),SUMIFS('Existing Customers'!$V:$V,'Existing Customers'!$H:$H,$HF29,'Existing Customers'!$A:$A,$HG$1)*$HG$4,0),0)</f>
        <v>0</v>
      </c>
      <c r="HL29" s="94">
        <f>IFERROR(IF(AND($HG$2&lt;&gt;"Enter Spend&gt;&gt;&gt;",HH2="EXISTING"),SUMIFS('Existing Customers'!$R:$R,'Existing Customers'!$H:$H,$HF29,'Existing Customers'!$A:$A,$HG$1)*$HG$4,0),0)</f>
        <v>0</v>
      </c>
      <c r="HM29" s="1050">
        <f>IFERROR(IF(AND($HG$2&lt;&gt;"Enter Spend&gt;&gt;&gt;",HH2="EXISTING"),SUMIFS('Existing Customers'!$S:$S,'Existing Customers'!$H:$H,$HF29,'Existing Customers'!$A:$A,$HG$1),HW29*HG29),0)</f>
        <v>0</v>
      </c>
      <c r="HN29" s="1050">
        <f>IFERROR(IF(AND($HG$2&lt;&gt;"Enter Spend&gt;&gt;&gt;",HH2="EXISTING"),SUMIFS('Existing Customers'!$U:$U,'Existing Customers'!$H:$H,$HF29,'Existing Customers'!$A:$A,$HG$1),HX29*HG29),0)</f>
        <v>0</v>
      </c>
      <c r="HO29" s="1053" t="e">
        <f>_xlfn.CONCAT('Customer Inputs'!$AG$13,"_",HF29)</f>
        <v>#N/A</v>
      </c>
      <c r="HP29" s="1053">
        <f t="array" ref="HP29">IFERROR(INDEX('Margin Guidence Table'!$A$1:$AG$10000,MATCH(1,('Margin Guidence Table'!$A$1:$A$10000=HO29)*('Margin Guidence Table'!$I$1:$I$10000&lt;=ROUND($HG$3,0))*('Margin Guidence Table'!$J$1:$J$10000&gt;=ROUND($HG$3,0)),0),MATCH("DATA_POINTS",'Margin Guidence Table'!$A$1:$AG$1,0)),0)</f>
        <v>0</v>
      </c>
      <c r="HQ29" s="1050" t="str">
        <f t="shared" si="41"/>
        <v>DEFAULT</v>
      </c>
      <c r="HR29" s="1050">
        <f t="array" ref="HR29">IFERROR(IF($HQ29="SEGMENT",INDEX('Margin Guidence Table'!$A$1:$AG$10000,MATCH(1,('Margin Guidence Table'!$A$1:$A$10000=HO29)*('Margin Guidence Table'!$I$1:$I$10000&lt;=ROUND($HG$3,0))*('Margin Guidence Table'!$J$1:$J$10000&gt;=ROUND($HG$3,0)),0),MATCH("SALES_CASE",'Margin Guidence Table'!$A$1:$AG$1,0)),INDEX('Margin Guidence Table'!$A$1:$AG$10000,MATCH(1,('Margin Guidence Table'!$A$1:$A$10000=HO29)*('Margin Guidence Table'!$I$1:$I$10000&lt;=ROUND($HG$3,0))*('Margin Guidence Table'!$J$1:$J$10000&gt;=ROUND($HG$3,0)),0),MATCH("DEFAULT_SALES_CASE",'Margin Guidence Table'!$A$1:$AG$1,0))),0)</f>
        <v>0</v>
      </c>
      <c r="HS29" s="1050">
        <f t="array" ref="HS29">IFERROR(IF($HQ29="SEGMENT",INDEX('Margin Guidence Table'!$A$1:$AG$10000,MATCH(1,('Margin Guidence Table'!$A$1:$A$10000=HO29)*('Margin Guidence Table'!$I$1:$I$10000&lt;=ROUND($HG$3,0))*('Margin Guidence Table'!$J$1:$J$10000&gt;=ROUND($HG$3,0)),0),MATCH("SALES_LBS",'Margin Guidence Table'!$A$1:$AG$1,0)),INDEX('Margin Guidence Table'!$A$1:$AG$10000,MATCH(1,('Margin Guidence Table'!$A$1:$A$10000=HO29)*('Margin Guidence Table'!$I$1:$I$10000&lt;=ROUND($HG$3,0))*('Margin Guidence Table'!$J$1:$J$10000&gt;=ROUND($HG$3,0)),0),MATCH("DEFAULT_SALES_LBS",'Margin Guidence Table'!$A$1:$AG$1,0))),0)</f>
        <v>0</v>
      </c>
      <c r="HT29" s="1054">
        <f t="array" ref="HT29">IFERROR(IF($HQ29="SEGMENT",INDEX('Margin Guidence Table'!$A$1:$AG$10000,MATCH(1,('Margin Guidence Table'!$A$1:$A$10000=HO29)*('Margin Guidence Table'!$I$1:$I$10000&lt;=ROUND($HG$3,0))*('Margin Guidence Table'!$J$1:$J$10000&gt;=ROUND($HG$3,0)),0),MATCH("MDA_MIN_MARGIN_GUIDENCE",'Margin Guidence Table'!$A$1:$AG$1,0)),INDEX('Margin Guidence Table'!$A$1:$AG$10000,MATCH(1,('Margin Guidence Table'!$A$1:$A$10000=HO29)*('Margin Guidence Table'!$I$1:$I$10000&lt;=ROUND($HG$3,0))*('Margin Guidence Table'!$J$1:$J$10000&gt;=ROUND($HG$3,0)),0),MATCH("DEFAULT_MDA_MIN_MARGIN_GUIDENCE",'Margin Guidence Table'!$A$1:$AG$1,0))),0)</f>
        <v>0</v>
      </c>
      <c r="HU29" s="1054">
        <f t="array" ref="HU29">IFERROR(IF($HQ29="SEGMENT",INDEX('Margin Guidence Table'!$A$1:$AG$10000,MATCH(1,('Margin Guidence Table'!$A$1:$A$10000=HO29)*('Margin Guidence Table'!$I$1:$I$10000&lt;=ROUND($HG$3,0))*('Margin Guidence Table'!$J$1:$J$10000&gt;=ROUND($HG$3,0)),0),MATCH("MDA_MEDIAN_MARGIN_GUIDENCE",'Margin Guidence Table'!$A$1:$AG$1,0)),INDEX('Margin Guidence Table'!$A$1:$AG$10000,MATCH(1,('Margin Guidence Table'!$A$1:$A$10000=HO29)*('Margin Guidence Table'!$I$1:$I$10000&lt;=ROUND($HG$3,0))*('Margin Guidence Table'!$J$1:$J$10000&gt;=ROUND($HG$3,0)),0),MATCH("DEFAULT_MDA_MEDIAN_MARGIN_GUIDENCE",'Margin Guidence Table'!$A$1:$AG$1,0))),0)</f>
        <v>0</v>
      </c>
      <c r="HV29" s="1054">
        <f t="array" ref="HV29">IFERROR(IF($HQ29="SEGMENT",INDEX('Margin Guidence Table'!$A$1:$AG$10000,MATCH(1,('Margin Guidence Table'!$A$1:$A$10000=HO29)*('Margin Guidence Table'!$I$1:$I$10000&lt;=ROUND($HG$3,0))*('Margin Guidence Table'!$J$1:$J$10000&gt;=ROUND($HG$3,0)),0),MATCH("MDA_MAX_MARGIN_GUIDENCE",'Margin Guidence Table'!$A$1:$AG$1,0)),INDEX('Margin Guidence Table'!$A$1:$AG$10000,MATCH(1,('Margin Guidence Table'!$A$1:$A$10000=HO29)*('Margin Guidence Table'!$I$1:$I$10000&lt;=ROUND($HG$3,0))*('Margin Guidence Table'!$J$1:$J$10000&gt;=ROUND($HG$3,0)),0),MATCH("DEFAULT_MDA_MAX_MARGIN_GUIDENCE",'Margin Guidence Table'!$A$1:$AG$1,0))),0)</f>
        <v>0</v>
      </c>
      <c r="HW29" s="1054">
        <f t="array" ref="HW29">IFERROR(IF($HQ29="SEGMENT",INDEX('Margin Guidence Table'!$A$1:$AG$10000,MATCH(1,('Margin Guidence Table'!$A$1:$A$10000=HO29)*('Margin Guidence Table'!$I$1:$I$10000&lt;=ROUND($HG$3,0))*('Margin Guidence Table'!$J$1:$J$10000&gt;=ROUND($HG$3,0)),0),MATCH("PA_PCT_SALES",'Margin Guidence Table'!$A$1:$AG$1,0)),INDEX('Margin Guidence Table'!$A$1:$AG$10000,MATCH(1,('Margin Guidence Table'!$A$1:$A$10000=HO29)*('Margin Guidence Table'!$I$1:$I$10000&lt;=ROUND($HG$3,0))*('Margin Guidence Table'!$J$1:$J$10000&gt;=ROUND($HG$3,0)),0),MATCH("DEFAULT_PA_PCT_SALES",'Margin Guidence Table'!$A$1:$AG$1,0))),0)</f>
        <v>0</v>
      </c>
      <c r="HX29" s="1054">
        <f t="array" ref="HX29">IFERROR(IF($HQ29="SEGMENT",INDEX('Margin Guidence Table'!$A$1:$AG$10000,MATCH(1,('Margin Guidence Table'!$A$1:$A$10000=HO29)*('Margin Guidence Table'!$I$1:$I$10000&lt;=ROUND($HG$3,0))*('Margin Guidence Table'!$J$1:$J$10000&gt;=ROUND($HG$3,0)),0),MATCH("SELF_FUND_PCT_SALES",'Margin Guidence Table'!$A$1:$AG$1,0)),INDEX('Margin Guidence Table'!$A$1:$AG$10000,MATCH(1,('Margin Guidence Table'!$A$1:$A$10000=HO29)*('Margin Guidence Table'!$I$1:$I$10000&lt;=ROUND($HG$3,0))*('Margin Guidence Table'!$J$1:$J$10000&gt;=ROUND($HG$3,0)),0),MATCH("DEFAULT_SELF_FUND_PCT_SALES",'Margin Guidence Table'!$A$1:$AG$1,0))),0)</f>
        <v>0</v>
      </c>
      <c r="HY29" s="1054">
        <f t="array" ref="HY29">IFERROR(IF($HQ29="SEGMENT",INDEX('Margin Guidence Table'!$A$1:$AG$10000,MATCH(1,('Margin Guidence Table'!$A$1:$A$10000=HO29)*('Margin Guidence Table'!$I$1:$I$10000&lt;=ROUND($HG$3,0))*('Margin Guidence Table'!$J$1:$J$10000&gt;=ROUND($HG$3,0)),0),MATCH("CIA_MEDIAN_MARGIN_GUIDENCE",'Margin Guidence Table'!$A$1:$AG$1,0)),INDEX('Margin Guidence Table'!$A$1:$AG$10000,MATCH(1,('Margin Guidence Table'!$A$1:$A$10000=HO29)*('Margin Guidence Table'!$I$1:$I$10000&lt;=ROUND($HG$3,0))*('Margin Guidence Table'!$J$1:$J$10000&gt;=ROUND($HG$3,0)),0),MATCH("DEFAULT_CIA_MEDIAN_MARGIN_GUIDENCE",'Margin Guidence Table'!$A$1:$AG$1,0))),0)</f>
        <v>0</v>
      </c>
      <c r="HZ29" s="127"/>
      <c r="IA29" s="18">
        <f t="array" ref="IA29">IFERROR(IF($IN29="SEGMENT",INDEX('Margin Guidence Table'!$A:$AC,MATCH(1,('Margin Guidence Table'!$A:$A=$IL29)*('Margin Guidence Table'!$H:$H&lt;=ROUND($ID$3,0))*('Margin Guidence Table'!$G:$G&gt;=ROUND($ID$3,0)),0),MATCH("PCT_SALES",'Margin Guidence Table'!$A$1:$AG$1,0)),INDEX('Margin Guidence Table'!$A:$AC,MATCH(1,('Margin Guidence Table'!$A:$A=$IL29)*('Margin Guidence Table'!$H:$H&lt;=ROUND($ID$3,0))*('Margin Guidence Table'!$G:$G&gt;=ROUND($ID$3,0)),0),MATCH("DEFAULT_PCT_SALES",'Margin Guidence Table'!$A$1:$AG$1,0))),0)</f>
        <v>0</v>
      </c>
      <c r="IB29" s="370" t="e">
        <f t="shared" si="42"/>
        <v>#DIV/0!</v>
      </c>
      <c r="IC29" s="100" t="s">
        <v>90</v>
      </c>
      <c r="ID29" s="92">
        <f>IFERROR(IF(AND($ID$2&lt;&gt;"Enter Spend&gt;&gt;&gt;",IE17="EXISTING"),SUMIFS('Existing Customers'!$Q:$Q,'Existing Customers'!$A:$A,$ID$1,'Existing Customers'!$H:$H,$IC29)*$ID$4,$ID$3*$IB29),0)</f>
        <v>0</v>
      </c>
      <c r="IE29" s="87">
        <f>IFERROR(IF(AND($ID$2&lt;&gt;"Enter Spend&gt;&gt;&gt;",IE2="EXISTING"),SUMIFS('Existing Customers'!$N:$N,'Existing Customers'!$A:$A,$ID$1,'Existing Customers'!$H:$H,$IC29)*$ID$4,$ID29/$IO29),0)</f>
        <v>0</v>
      </c>
      <c r="IF29" s="93">
        <f>IFERROR(IF(AND($ID$2&lt;&gt;"Enter Spend&gt;&gt;&gt;",IE2="EXISTING"),SUMIFS('Existing Customers'!$O:$O,'Existing Customers'!$H:$H,$IC29,'Existing Customers'!$A:$A,$ID$1)*$ID$4,$IE29*$ID$8),0)</f>
        <v>0</v>
      </c>
      <c r="IG29" s="93">
        <f>IFERROR(IF(AND($ID$2&lt;&gt;"Enter Spend&gt;&gt;&gt;",IE2="EXISTING"),SUMIFS('Existing Customers'!$P:$P,'Existing Customers'!$A:$A,$ID$1,'Existing Customers'!$H:$H,$IC29)*$ID$4,$ID29/$IP29),0)</f>
        <v>0</v>
      </c>
      <c r="IH29" s="376">
        <f>IFERROR(IF(AND($ID$2&lt;&gt;"Enter Spend&gt;&gt;&gt;",IE2="EXISTING"),SUMIFS('Existing Customers'!$V:$V,'Existing Customers'!$H:$H,$IC29,'Existing Customers'!$A:$A,$ID$1)*$ID$4,0),0)</f>
        <v>0</v>
      </c>
      <c r="II29" s="94">
        <f>IFERROR(IF(AND($ID$2&lt;&gt;"Enter Spend&gt;&gt;&gt;",IE2="EXISTING"),SUMIFS('Existing Customers'!$R:$R,'Existing Customers'!$H:$H,$IC29,'Existing Customers'!$A:$A,$ID$1)*$ID$4,0),0)</f>
        <v>0</v>
      </c>
      <c r="IJ29" s="1050">
        <f>IFERROR(IF(AND($ID$2&lt;&gt;"Enter Spend&gt;&gt;&gt;",IE2="EXISTING"),SUMIFS('Existing Customers'!$S:$S,'Existing Customers'!$H:$H,$IC29,'Existing Customers'!$A:$A,$ID$1),IT29*ID29),0)</f>
        <v>0</v>
      </c>
      <c r="IK29" s="1050">
        <f>IFERROR(IF(AND($ID$2&lt;&gt;"Enter Spend&gt;&gt;&gt;",IE2="EXISTING"),SUMIFS('Existing Customers'!$U:$U,'Existing Customers'!$H:$H,$IC29,'Existing Customers'!$A:$A,$ID$1),IU29*ID29),0)</f>
        <v>0</v>
      </c>
      <c r="IL29" s="1053" t="e">
        <f>_xlfn.CONCAT('Customer Inputs'!$AG$14,"_",IC29)</f>
        <v>#N/A</v>
      </c>
      <c r="IM29" s="1053">
        <f t="array" ref="IM29">IFERROR(INDEX('Margin Guidence Table'!$A$1:$AG$10000,MATCH(1,('Margin Guidence Table'!$A$1:$A$10000=IL29)*('Margin Guidence Table'!$I$1:$I$10000&lt;=ROUND($ID$3,0))*('Margin Guidence Table'!$J$1:$J$10000&gt;=ROUND($ID$3,0)),0),MATCH("DATA_POINTS",'Margin Guidence Table'!$A$1:$AG$1,0)),0)</f>
        <v>0</v>
      </c>
      <c r="IN29" s="1050" t="str">
        <f t="shared" si="43"/>
        <v>DEFAULT</v>
      </c>
      <c r="IO29" s="1050">
        <f t="array" ref="IO29">IFERROR(IF($IN29="SEGMENT",INDEX('Margin Guidence Table'!$A$1:$AG$10000,MATCH(1,('Margin Guidence Table'!$A$1:$A$10000=IL29)*('Margin Guidence Table'!$I$1:$I$10000&lt;=ROUND($ID$3,0))*('Margin Guidence Table'!$J$1:$J$10000&gt;=ROUND($ID$3,0)),0),MATCH("SALES_CASE",'Margin Guidence Table'!$A$1:$AG$1,0)),INDEX('Margin Guidence Table'!$A$1:$AG$10000,MATCH(1,('Margin Guidence Table'!$A$1:$A$10000=IL29)*('Margin Guidence Table'!$I$1:$I$10000&lt;=ROUND($ID$3,0))*('Margin Guidence Table'!$J$1:$J$10000&gt;=ROUND($ID$3,0)),0),MATCH("DEFAULT_SALES_CASE",'Margin Guidence Table'!$A$1:$AG$1,0))),0)</f>
        <v>0</v>
      </c>
      <c r="IP29" s="1050">
        <f t="array" ref="IP29">IFERROR(IF($IN29="SEGMENT",INDEX('Margin Guidence Table'!$A$1:$AG$10000,MATCH(1,('Margin Guidence Table'!$A$1:$A$10000=IL29)*('Margin Guidence Table'!$I$1:$I$10000&lt;=ROUND($ID$3,0))*('Margin Guidence Table'!$J$1:$J$10000&gt;=ROUND($ID$3,0)),0),MATCH("SALES_LBS",'Margin Guidence Table'!$A$1:$AG$1,0)),INDEX('Margin Guidence Table'!$A$1:$AG$10000,MATCH(1,('Margin Guidence Table'!$A$1:$A$10000=IL29)*('Margin Guidence Table'!$I$1:$I$10000&lt;=ROUND($ID$3,0))*('Margin Guidence Table'!$J$1:$J$10000&gt;=ROUND($ID$3,0)),0),MATCH("DEFAULT_SALES_LBS",'Margin Guidence Table'!$A$1:$AG$1,0))),0)</f>
        <v>0</v>
      </c>
      <c r="IQ29" s="1054">
        <f t="array" ref="IQ29">IFERROR(IF($IN29="SEGMENT",INDEX('Margin Guidence Table'!$A$1:$AG$10000,MATCH(1,('Margin Guidence Table'!$A$1:$A$10000=IL29)*('Margin Guidence Table'!$I$1:$I$10000&lt;=ROUND($ID$3,0))*('Margin Guidence Table'!$J$1:$J$10000&gt;=ROUND($ID$3,0)),0),MATCH("MDA_MIN_MARGIN_GUIDENCE",'Margin Guidence Table'!$A$1:$AG$1,0)),INDEX('Margin Guidence Table'!$A$1:$AG$10000,MATCH(1,('Margin Guidence Table'!$A$1:$A$10000=IL29)*('Margin Guidence Table'!$I$1:$I$10000&lt;=ROUND($ID$3,0))*('Margin Guidence Table'!$J$1:$J$10000&gt;=ROUND($ID$3,0)),0),MATCH("DEFAULT_MDA_MIN_MARGIN_GUIDENCE",'Margin Guidence Table'!$A$1:$AG$1,0))),0)</f>
        <v>0</v>
      </c>
      <c r="IR29" s="1054">
        <f t="array" ref="IR29">IFERROR(IF($IN29="SEGMENT",INDEX('Margin Guidence Table'!$A$1:$AG$10000,MATCH(1,('Margin Guidence Table'!$A$1:$A$10000=IL29)*('Margin Guidence Table'!$I$1:$I$10000&lt;=ROUND($ID$3,0))*('Margin Guidence Table'!$J$1:$J$10000&gt;=ROUND($ID$3,0)),0),MATCH("MDA_MEDIAN_MARGIN_GUIDENCE",'Margin Guidence Table'!$A$1:$AG$1,0)),INDEX('Margin Guidence Table'!$A$1:$AG$10000,MATCH(1,('Margin Guidence Table'!$A$1:$A$10000=IL29)*('Margin Guidence Table'!$I$1:$I$10000&lt;=ROUND($ID$3,0))*('Margin Guidence Table'!$J$1:$J$10000&gt;=ROUND($ID$3,0)),0),MATCH("DEFAULT_MDA_MEDIAN_MARGIN_GUIDENCE",'Margin Guidence Table'!$A$1:$AG$1,0))),0)</f>
        <v>0</v>
      </c>
      <c r="IS29" s="1054">
        <f t="array" ref="IS29">IFERROR(IF($IN29="SEGMENT",INDEX('Margin Guidence Table'!$A$1:$AG$10000,MATCH(1,('Margin Guidence Table'!$A$1:$A$10000=IL29)*('Margin Guidence Table'!$I$1:$I$10000&lt;=ROUND($ID$3,0))*('Margin Guidence Table'!$J$1:$J$10000&gt;=ROUND($ID$3,0)),0),MATCH("MDA_MAX_MARGIN_GUIDENCE",'Margin Guidence Table'!$A$1:$AG$1,0)),INDEX('Margin Guidence Table'!$A$1:$AG$10000,MATCH(1,('Margin Guidence Table'!$A$1:$A$10000=IL29)*('Margin Guidence Table'!$I$1:$I$10000&lt;=ROUND($ID$3,0))*('Margin Guidence Table'!$J$1:$J$10000&gt;=ROUND($ID$3,0)),0),MATCH("DEFAULT_MDA_MAX_MARGIN_GUIDENCE",'Margin Guidence Table'!$A$1:$AG$1,0))),0)</f>
        <v>0</v>
      </c>
      <c r="IT29" s="1054">
        <f t="array" ref="IT29">IFERROR(IF($IN29="SEGMENT",INDEX('Margin Guidence Table'!$A$1:$AG$10000,MATCH(1,('Margin Guidence Table'!$A$1:$A$10000=IL29)*('Margin Guidence Table'!$I$1:$I$10000&lt;=ROUND($ID$3,0))*('Margin Guidence Table'!$J$1:$J$10000&gt;=ROUND($ID$3,0)),0),MATCH("PA_PCT_SALES",'Margin Guidence Table'!$A$1:$AG$1,0)),INDEX('Margin Guidence Table'!$A$1:$AG$10000,MATCH(1,('Margin Guidence Table'!$A$1:$A$10000=IL29)*('Margin Guidence Table'!$I$1:$I$10000&lt;=ROUND($ID$3,0))*('Margin Guidence Table'!$J$1:$J$10000&gt;=ROUND($ID$3,0)),0),MATCH("DEFAULT_PA_PCT_SALES",'Margin Guidence Table'!$A$1:$AG$1,0))),0)</f>
        <v>0</v>
      </c>
      <c r="IU29" s="1054">
        <f t="array" ref="IU29">IFERROR(IF($IN29="SEGMENT",INDEX('Margin Guidence Table'!$A$1:$AG$10000,MATCH(1,('Margin Guidence Table'!$A$1:$A$10000=IL29)*('Margin Guidence Table'!$I$1:$I$10000&lt;=ROUND($ID$3,0))*('Margin Guidence Table'!$J$1:$J$10000&gt;=ROUND($ID$3,0)),0),MATCH("SELF_FUND_PCT_SALES",'Margin Guidence Table'!$A$1:$AG$1,0)),INDEX('Margin Guidence Table'!$A$1:$AG$10000,MATCH(1,('Margin Guidence Table'!$A$1:$A$10000=IL29)*('Margin Guidence Table'!$I$1:$I$10000&lt;=ROUND($ID$3,0))*('Margin Guidence Table'!$J$1:$J$10000&gt;=ROUND($ID$3,0)),0),MATCH("DEFAULT_SELF_FUND_PCT_SALES",'Margin Guidence Table'!$A$1:$AG$1,0))),0)</f>
        <v>0</v>
      </c>
      <c r="IV29" s="1054">
        <f t="array" ref="IV29">IFERROR(IF($IN29="SEGMENT",INDEX('Margin Guidence Table'!$A$1:$AG$10000,MATCH(1,('Margin Guidence Table'!$A$1:$A$10000=IL29)*('Margin Guidence Table'!$I$1:$I$10000&lt;=ROUND($ID$3,0))*('Margin Guidence Table'!$J$1:$J$10000&gt;=ROUND($ID$3,0)),0),MATCH("CIA_MEDIAN_MARGIN_GUIDENCE",'Margin Guidence Table'!$A$1:$AG$1,0)),INDEX('Margin Guidence Table'!$A$1:$AG$10000,MATCH(1,('Margin Guidence Table'!$A$1:$A$10000=IL29)*('Margin Guidence Table'!$I$1:$I$10000&lt;=ROUND($ID$3,0))*('Margin Guidence Table'!$J$1:$J$10000&gt;=ROUND($ID$3,0)),0),MATCH("DEFAULT_CIA_MEDIAN_MARGIN_GUIDENCE",'Margin Guidence Table'!$A$1:$AG$1,0))),0)</f>
        <v>0</v>
      </c>
      <c r="IW29" s="127"/>
      <c r="IX29" s="18">
        <f t="array" ref="IX29">IFERROR(IF($JK29="SEGMENT",INDEX('Margin Guidence Table'!$A$1:$AG$10000,MATCH(1,('Margin Guidence Table'!$A$1:$A$10000=$JI29)*('Margin Guidence Table'!$I$1:$I$10000&lt;=ROUND($JA$3,0))*('Margin Guidence Table'!$J$1:$J$10000&gt;=ROUND($JA$3,0)),0),MATCH("PCT_SALES",'Margin Guidence Table'!$A$1:$AG$1,0)),INDEX('Margin Guidence Table'!$A$1:$AG$10000,MATCH(1,('Margin Guidence Table'!$A$1:$A$10000=$JI29)*('Margin Guidence Table'!$I$1:$I$10000&lt;=ROUND($JA$3,0))*('Margin Guidence Table'!$J$1:$J$10000&gt;=ROUND($JA$3,0)),0),MATCH("DEFAULT_PCT_SALES",'Margin Guidence Table'!$A$1:$AG$1,0))),0)</f>
        <v>0</v>
      </c>
      <c r="IY29" s="370" t="e">
        <f t="shared" si="44"/>
        <v>#DIV/0!</v>
      </c>
      <c r="IZ29" s="100" t="s">
        <v>90</v>
      </c>
      <c r="JA29" s="92">
        <f>IFERROR(IF(AND($JA$2&lt;&gt;"Enter Spend&gt;&gt;&gt;",JB17="EXISTING"),SUMIFS('Existing Customers'!$Q:$Q,'Existing Customers'!$A:$A,$JA$1,'Existing Customers'!$H:$H,$IZ29)*$JA$4,$JA$3*$IY29),0)</f>
        <v>0</v>
      </c>
      <c r="JB29" s="87">
        <f>IFERROR(IF(AND($JA$2&lt;&gt;"Enter Spend&gt;&gt;&gt;",JB2="EXISTING"),SUMIFS('Existing Customers'!$N:$N,'Existing Customers'!$A:$A,$JA$1,'Existing Customers'!$H:$H,$IZ29)*$JA$4,$JA29/$JL29),0)</f>
        <v>0</v>
      </c>
      <c r="JC29" s="93">
        <f>IFERROR(IF(AND($JA$2&lt;&gt;"Enter Spend&gt;&gt;&gt;",JB2="EXISTING"),SUMIFS('Existing Customers'!$O:$O,'Existing Customers'!$H:$H,$IZ29,'Existing Customers'!$A:$A,$JA$1)*$JA$4,$JB29*$JA$8),0)</f>
        <v>0</v>
      </c>
      <c r="JD29" s="93">
        <f>IFERROR(IF(AND($JA$2&lt;&gt;"Enter Spend&gt;&gt;&gt;",JB2="EXISTING"),SUMIFS('Existing Customers'!$P:$P,'Existing Customers'!$A:$A,$JA$1,'Existing Customers'!$H:$H,$IZ29)*$JA$4,$JA29/$JM29),0)</f>
        <v>0</v>
      </c>
      <c r="JE29" s="376">
        <f>IFERROR(IF(AND($JA$2&lt;&gt;"Enter Spend&gt;&gt;&gt;",JB2="EXISTING"),SUMIFS('Existing Customers'!$V:$V,'Existing Customers'!$H:$H,$IZ29,'Existing Customers'!$A:$A,$JA$1)*$JA$4,0),0)</f>
        <v>0</v>
      </c>
      <c r="JF29" s="94">
        <f>IFERROR(IF(AND($JA$2&lt;&gt;"Enter Spend&gt;&gt;&gt;",JB2="EXISTING"),SUMIFS('Existing Customers'!$R:$R,'Existing Customers'!$H:$H,$IZ29,'Existing Customers'!$A:$A,$JA$1)*$JA$4,0),0)</f>
        <v>0</v>
      </c>
      <c r="JG29" s="1050">
        <f>IFERROR(IF(AND($JA$2&lt;&gt;"Enter Spend&gt;&gt;&gt;",JB2="EXISTING"),SUMIFS('Existing Customers'!$S:$S,'Existing Customers'!$H:$H,$IZ29,'Existing Customers'!$A:$A,$JA$1),JQ29*JA29),0)</f>
        <v>0</v>
      </c>
      <c r="JH29" s="1050">
        <f>IFERROR(IF(AND($JA$2&lt;&gt;"Enter Spend&gt;&gt;&gt;",JB2="EXISTING"),SUMIFS('Existing Customers'!$U:$U,'Existing Customers'!$H:$H,$IZ29,'Existing Customers'!$A:$A,$JA$1),JR29*JA29),0)</f>
        <v>0</v>
      </c>
      <c r="JI29" s="1053" t="e">
        <f>_xlfn.CONCAT('Customer Inputs'!$AG$15,"_",IZ29)</f>
        <v>#N/A</v>
      </c>
      <c r="JJ29" s="1053">
        <f t="array" ref="JJ29">IFERROR(INDEX('Margin Guidence Table'!$A$1:$AG$10000,MATCH(1,('Margin Guidence Table'!$A$1:$A$10000=JI29)*('Margin Guidence Table'!$I$1:$I$10000&lt;=ROUND($JA$3,0))*('Margin Guidence Table'!$J$1:$J$10000&gt;=ROUND($JA$3,0)),0),MATCH("DATA_POINTS",'Margin Guidence Table'!$A$1:$AG$1,0)),0)</f>
        <v>0</v>
      </c>
      <c r="JK29" s="1050" t="str">
        <f t="shared" si="45"/>
        <v>DEFAULT</v>
      </c>
      <c r="JL29" s="1050">
        <f t="array" ref="JL29">IFERROR(IF($JK29="SEGMENT",INDEX('Margin Guidence Table'!$A$1:$AG$10000,MATCH(1,('Margin Guidence Table'!$A$1:$A$10000=JI29)*('Margin Guidence Table'!$I$1:$I$10000&lt;=ROUND($JA$3,0))*('Margin Guidence Table'!$J$1:$J$10000&gt;=ROUND($JA$3,0)),0),MATCH("SALES_CASE",'Margin Guidence Table'!$A$1:$AG$1,0)),INDEX('Margin Guidence Table'!$A$1:$AG$10000,MATCH(1,('Margin Guidence Table'!$A$1:$A$10000=JI29)*('Margin Guidence Table'!$I$1:$I$10000&lt;=ROUND($JA$3,0))*('Margin Guidence Table'!$J$1:$J$10000&gt;=ROUND($JA$3,0)),0),MATCH("DEFAULT_SALES_CASE",'Margin Guidence Table'!$A$1:$AG$1,0))),0)</f>
        <v>0</v>
      </c>
      <c r="JM29" s="1050">
        <f t="array" ref="JM29">IFERROR(IF($JK29="SEGMENT",INDEX('Margin Guidence Table'!$A$1:$AG$10000,MATCH(1,('Margin Guidence Table'!$A$1:$A$10000=JI29)*('Margin Guidence Table'!$I$1:$I$10000&lt;=ROUND($JA$3,0))*('Margin Guidence Table'!$J$1:$J$10000&gt;=ROUND($JA$3,0)),0),MATCH("SALES_LBS",'Margin Guidence Table'!$A$1:$AG$1,0)),INDEX('Margin Guidence Table'!$A$1:$AG$10000,MATCH(1,('Margin Guidence Table'!$A$1:$A$10000=JI29)*('Margin Guidence Table'!$I$1:$I$10000&lt;=ROUND($JA$3,0))*('Margin Guidence Table'!$J$1:$J$10000&gt;=ROUND($JA$3,0)),0),MATCH("DEFAULT_SALES_LBS",'Margin Guidence Table'!$A$1:$AG$1,0))),0)</f>
        <v>0</v>
      </c>
      <c r="JN29" s="1054">
        <f t="array" ref="JN29">IFERROR(IF($JK29="SEGMENT",INDEX('Margin Guidence Table'!$A$1:$AG$10000,MATCH(1,('Margin Guidence Table'!$A$1:$A$10000=JI29)*('Margin Guidence Table'!$I$1:$I$10000&lt;=ROUND($JA$3,0))*('Margin Guidence Table'!$J$1:$J$10000&gt;=ROUND($JA$3,0)),0),MATCH("MDA_MIN_MARGIN_GUIDENCE",'Margin Guidence Table'!$A$1:$AG$1,0)),INDEX('Margin Guidence Table'!$A$1:$AG$10000,MATCH(1,('Margin Guidence Table'!$A$1:$A$10000=JI29)*('Margin Guidence Table'!$I$1:$I$10000&lt;=ROUND($JA$3,0))*('Margin Guidence Table'!$J$1:$J$10000&gt;=ROUND($JA$3,0)),0),MATCH("DEFAULT_MDA_MIN_MARGIN_GUIDENCE",'Margin Guidence Table'!$A$1:$AG$1,0))),0)</f>
        <v>0</v>
      </c>
      <c r="JO29" s="1054">
        <f t="array" ref="JO29">IFERROR(IF($JK29="SEGMENT",INDEX('Margin Guidence Table'!$A$1:$AG$10000,MATCH(1,('Margin Guidence Table'!$A$1:$A$10000=JI29)*('Margin Guidence Table'!$I$1:$I$10000&lt;=ROUND($JA$3,0))*('Margin Guidence Table'!$J$1:$J$10000&gt;=ROUND($JA$3,0)),0),MATCH("MDA_MEDIAN_MARGIN_GUIDENCE",'Margin Guidence Table'!$A$1:$AG$1,0)),INDEX('Margin Guidence Table'!$A$1:$AG$10000,MATCH(1,('Margin Guidence Table'!$A$1:$A$10000=JI29)*('Margin Guidence Table'!$I$1:$I$10000&lt;=ROUND($JA$3,0))*('Margin Guidence Table'!$J$1:$J$10000&gt;=ROUND($JA$3,0)),0),MATCH("DEFAULT_MDA_MEDIAN_MARGIN_GUIDENCE",'Margin Guidence Table'!$A$1:$AG$1,0))),0)</f>
        <v>0</v>
      </c>
      <c r="JP29" s="1054">
        <f t="array" ref="JP29">IFERROR(IF($JK29="SEGMENT",INDEX('Margin Guidence Table'!$A$1:$AG$10000,MATCH(1,('Margin Guidence Table'!$A$1:$A$10000=JI29)*('Margin Guidence Table'!$I$1:$I$10000&lt;=ROUND($JA$3,0))*('Margin Guidence Table'!$J$1:$J$10000&gt;=ROUND($JA$3,0)),0),MATCH("MDA_MAX_MARGIN_GUIDENCE",'Margin Guidence Table'!$A$1:$AG$1,0)),INDEX('Margin Guidence Table'!$A$1:$AG$10000,MATCH(1,('Margin Guidence Table'!$A$1:$A$10000=JI29)*('Margin Guidence Table'!$I$1:$I$10000&lt;=ROUND($JA$3,0))*('Margin Guidence Table'!$J$1:$J$10000&gt;=ROUND($JA$3,0)),0),MATCH("DEFAULT_MDA_MAX_MARGIN_GUIDENCE",'Margin Guidence Table'!$A$1:$AG$1,0))),0)</f>
        <v>0</v>
      </c>
      <c r="JQ29" s="1054">
        <f t="array" ref="JQ29">IFERROR(IF($JK29="SEGMENT",INDEX('Margin Guidence Table'!$A$1:$AG$10000,MATCH(1,('Margin Guidence Table'!$A$1:$A$10000=JI29)*('Margin Guidence Table'!$I$1:$I$10000&lt;=ROUND($JA$3,0))*('Margin Guidence Table'!$J$1:$J$10000&gt;=ROUND($JA$3,0)),0),MATCH("PA_PCT_SALES",'Margin Guidence Table'!$A$1:$AG$1,0)),INDEX('Margin Guidence Table'!$A$1:$AG$10000,MATCH(1,('Margin Guidence Table'!$A$1:$A$10000=JI29)*('Margin Guidence Table'!$I$1:$I$10000&lt;=ROUND($JA$3,0))*('Margin Guidence Table'!$J$1:$J$10000&gt;=ROUND($JA$3,0)),0),MATCH("DEFAULT_PA_PCT_SALES",'Margin Guidence Table'!$A$1:$AG$1,0))),0)</f>
        <v>0</v>
      </c>
      <c r="JR29" s="1054">
        <f t="array" ref="JR29">IFERROR(IF($JK29="SEGMENT",INDEX('Margin Guidence Table'!$A$1:$AG$10000,MATCH(1,('Margin Guidence Table'!$A$1:$A$10000=JI29)*('Margin Guidence Table'!$I$1:$I$10000&lt;=ROUND($JA$3,0))*('Margin Guidence Table'!$J$1:$J$10000&gt;=ROUND($JA$3,0)),0),MATCH("SELF_FUND_PCT_SALES",'Margin Guidence Table'!$A$1:$AG$1,0)),INDEX('Margin Guidence Table'!$A$1:$AG$10000,MATCH(1,('Margin Guidence Table'!$A$1:$A$10000=JI29)*('Margin Guidence Table'!$I$1:$I$10000&lt;=ROUND($JA$3,0))*('Margin Guidence Table'!$J$1:$J$10000&gt;=ROUND($JA$3,0)),0),MATCH("DEFAULT_SELF_FUND_PCT_SALES",'Margin Guidence Table'!$A$1:$AG$1,0))),0)</f>
        <v>0</v>
      </c>
      <c r="JS29" s="1054">
        <f t="array" ref="JS29">IFERROR(IF($JK29="SEGMENT",INDEX('Margin Guidence Table'!$A$1:$AG$10000,MATCH(1,('Margin Guidence Table'!$A$1:$A$10000=JI29)*('Margin Guidence Table'!$I$1:$I$10000&lt;=ROUND($JA$3,0))*('Margin Guidence Table'!$J$1:$J$10000&gt;=ROUND($JA$3,0)),0),MATCH("CIA_MEDIAN_MARGIN_GUIDENCE",'Margin Guidence Table'!$A$1:$AG$1,0)),INDEX('Margin Guidence Table'!$A$1:$AG$10000,MATCH(1,('Margin Guidence Table'!$A$1:$A$10000=JI29)*('Margin Guidence Table'!$I$1:$I$10000&lt;=ROUND($JA$3,0))*('Margin Guidence Table'!$J$1:$J$10000&gt;=ROUND($JA$3,0)),0),MATCH("DEFAULT_CIA_MEDIAN_MARGIN_GUIDENCE",'Margin Guidence Table'!$A$1:$AG$1,0))),0)</f>
        <v>0</v>
      </c>
      <c r="JU29" s="100" t="s">
        <v>90</v>
      </c>
      <c r="JV29" s="95"/>
      <c r="JW29" s="87"/>
      <c r="JX29" s="87"/>
      <c r="JY29" s="87"/>
      <c r="JZ29" s="112"/>
      <c r="KA29" s="96"/>
      <c r="KB29" s="127"/>
      <c r="KD29" s="100" t="s">
        <v>90</v>
      </c>
      <c r="KE29" s="95"/>
      <c r="KF29" s="87"/>
      <c r="KG29" s="87"/>
      <c r="KH29" s="87"/>
      <c r="KI29" s="112"/>
      <c r="KJ29" s="96"/>
    </row>
    <row r="30" spans="2:296" ht="15.75" thickBot="1" x14ac:dyDescent="0.3">
      <c r="B30" s="100" t="s">
        <v>89</v>
      </c>
      <c r="C30" s="449">
        <f t="shared" si="11"/>
        <v>0</v>
      </c>
      <c r="D30" s="465">
        <f t="shared" si="12"/>
        <v>0</v>
      </c>
      <c r="E30" s="465">
        <f t="shared" si="13"/>
        <v>0</v>
      </c>
      <c r="F30" s="465">
        <f t="shared" si="14"/>
        <v>0</v>
      </c>
      <c r="G30" s="466">
        <f t="shared" si="15"/>
        <v>0</v>
      </c>
      <c r="H30" s="465">
        <f t="shared" si="16"/>
        <v>0</v>
      </c>
      <c r="I30" s="1046" t="e">
        <f t="shared" si="0"/>
        <v>#DIV/0!</v>
      </c>
      <c r="J30" s="1046" t="e">
        <f t="shared" si="1"/>
        <v>#DIV/0!</v>
      </c>
      <c r="K30" s="1046" t="e">
        <f t="shared" si="2"/>
        <v>#DIV/0!</v>
      </c>
      <c r="L30" s="465" t="e">
        <f t="shared" si="3"/>
        <v>#DIV/0!</v>
      </c>
      <c r="M30" s="465" t="e">
        <f t="shared" si="17"/>
        <v>#DIV/0!</v>
      </c>
      <c r="N30" s="1047" t="e">
        <f t="shared" si="4"/>
        <v>#DIV/0!</v>
      </c>
      <c r="P30" t="str">
        <f>'PIM Model'!E26</f>
        <v>INCLUDE</v>
      </c>
      <c r="Q30">
        <f t="shared" si="18"/>
        <v>0</v>
      </c>
      <c r="R30">
        <f t="shared" si="19"/>
        <v>0</v>
      </c>
      <c r="S30" s="100" t="s">
        <v>89</v>
      </c>
      <c r="T30" s="95">
        <f t="shared" si="20"/>
        <v>0</v>
      </c>
      <c r="U30" s="87">
        <f t="shared" si="5"/>
        <v>0</v>
      </c>
      <c r="V30" s="87">
        <f t="shared" si="6"/>
        <v>0</v>
      </c>
      <c r="W30" s="87">
        <f t="shared" si="7"/>
        <v>0</v>
      </c>
      <c r="X30" s="112">
        <f t="shared" si="8"/>
        <v>0</v>
      </c>
      <c r="Y30" s="115">
        <f t="shared" si="21"/>
        <v>0</v>
      </c>
      <c r="Z30" s="374"/>
      <c r="AA30" s="100" t="s">
        <v>89</v>
      </c>
      <c r="AB30" s="453">
        <f t="shared" si="9"/>
        <v>0</v>
      </c>
      <c r="AC30" s="454">
        <f t="shared" si="9"/>
        <v>0</v>
      </c>
      <c r="AD30" s="454">
        <f t="shared" si="9"/>
        <v>0</v>
      </c>
      <c r="AE30" s="455">
        <f t="shared" si="22"/>
        <v>0</v>
      </c>
      <c r="AF30" s="456">
        <f t="shared" si="23"/>
        <v>0</v>
      </c>
      <c r="AG30" s="374"/>
      <c r="AH30" s="100" t="s">
        <v>89</v>
      </c>
      <c r="AI30" s="453">
        <f t="shared" si="10"/>
        <v>0</v>
      </c>
      <c r="AJ30" s="450">
        <f t="shared" si="24"/>
        <v>0</v>
      </c>
      <c r="AK30" s="456"/>
      <c r="AL30" s="374"/>
      <c r="AM30" s="1" t="str">
        <f>IF('PIM Ranges'!$AK28='PIM Ranges'!$AW$11,IF($AI30&lt;'PIM Ranges'!$AX$11,"Q1",IF($AI30&lt;'PIM Ranges'!$AY$11,"Q2",IF($AI30&lt;'PIM Ranges'!$AZ$11,"Q3",IF($AI30&lt;'PIM Ranges'!$BA$11,"Q4","Q5")))),IF('PIM Ranges'!$AK28='PIM Ranges'!$AW$12,IF($AI30&lt;'PIM Ranges'!$AX$12,"Q1",IF($AI30&lt;'PIM Ranges'!$AY$12,"Q2",IF($AI30&lt;'PIM Ranges'!$AZ$12,"Q3",IF($AI30&lt;'PIM Ranges'!$BA$12,"Q4","Q5")))),IF('PIM Ranges'!$AK28='PIM Ranges'!$AW$13,IF($AI30&lt;'PIM Ranges'!$AX$13,"Q1",IF($AI30&lt;'PIM Ranges'!$AY$13,"Q2",IF($AI30&lt;'PIM Ranges'!$AZ$13,"Q3",IF($AI30&lt;'PIM Ranges'!$BA$13,"Q4","Q5")))),IF('PIM Ranges'!$AK28='PIM Ranges'!$AW$14,IF($AI30&lt;'PIM Ranges'!$AX$14,"Q1",IF($AI30&lt;'PIM Ranges'!$AY$14,"Q2",IF($AI30&lt;'PIM Ranges'!$AZ$14,"Q3",IF($AI30&lt;'PIM Ranges'!$BA$14,"Q4","Q5")))),IF('PIM Ranges'!$AK28='PIM Ranges'!$AW$15,IF($AI30&lt;'PIM Ranges'!$AX$15,"Q1",IF($AI30&lt;'PIM Ranges'!$AY$15,"Q2",IF($AI30&lt;'PIM Ranges'!$AZ$15,"Q3",IF($AI30&lt;'PIM Ranges'!$BA$15,"Q4","Q5")))),IF('PIM Ranges'!$AK28='PIM Ranges'!$AW$16,IF($AI30&lt;'PIM Ranges'!$AX$16,"Q1",IF($AI30&lt;'PIM Ranges'!$AY$16,"Q2",IF($AI30&lt;'PIM Ranges'!$AZ$16,"Q3",IF($AI30&lt;'PIM Ranges'!$BA$16,"Q4","Q5")))),IF('PIM Ranges'!$AK28='PIM Ranges'!$AW$17,IF($AI30&lt;'PIM Ranges'!$AX$17,"Q1",IF($AI30&lt;'PIM Ranges'!$AY$17,"Q2",IF($AI30&lt;'PIM Ranges'!$AZ$17,"Q3",IF($AI30&lt;'PIM Ranges'!$BA$17,"Q4","Q5")))),IF('PIM Ranges'!$AK28='PIM Ranges'!$AW$18,IF($AI30&lt;'PIM Ranges'!$AX$18,"Q1",IF($AI30&lt;'PIM Ranges'!$AY$18,"Q2",IF($AI30&lt;'PIM Ranges'!$AZ$18,"Q3",IF($AI30&lt;'PIM Ranges'!$BA$18,"Q4","Q5")))),IF('PIM Ranges'!$AK28='PIM Ranges'!$AW$19,IF($AI30&lt;'PIM Ranges'!$AX$19,"Q1",IF($AI30&lt;'PIM Ranges'!$AY$19,"Q2",IF($AI30&lt;'PIM Ranges'!$AZ$19,"Q3",IF($AI30&lt;'PIM Ranges'!$BA$19,"Q4","Q5")))),IF('PIM Ranges'!$AK28='PIM Ranges'!$AW$20,IF($AI30&lt;'PIM Ranges'!$AX$20,"Q1",IF($AI30&lt;'PIM Ranges'!$AY$20,"Q2",IF($AI30&lt;'PIM Ranges'!$AZ$20,"Q3",IF($AI30&lt;'PIM Ranges'!$BA$20,"Q4","Q5")))),IF('PIM Ranges'!$AK28='PIM Ranges'!$AW$21,IF($AI30&lt;'PIM Ranges'!$AX$21,"Q1",IF($AI30&lt;'PIM Ranges'!$AY$21,"Q2",IF($AI30&lt;'PIM Ranges'!$AZ$21,"Q3",IF($AI30&lt;'PIM Ranges'!$BA$21,"Q4","Q5")))),IF('PIM Ranges'!$AK28='PIM Ranges'!$AW$22,IF($AI30&lt;'PIM Ranges'!$AX$22,"Q1",IF($AI30&lt;'PIM Ranges'!$AY$22,"Q2",IF($AI30&lt;'PIM Ranges'!$AZ$22,"Q3",IF($AI30&lt;'PIM Ranges'!$BA$22,"Q4","Q5")))),IF('PIM Ranges'!$AK28='PIM Ranges'!$AW$23,IF($AI30&lt;'PIM Ranges'!$AX$23,"Q1",IF($AI30&lt;'PIM Ranges'!$AY$23,"Q2",IF($AI30&lt;'PIM Ranges'!$AZ$23,"Q3",IF($AI30&lt;'PIM Ranges'!$BA$23,"Q4","Q5")))),IF('PIM Ranges'!$AK28='PIM Ranges'!$AW$24,IF($AI30&lt;'PIM Ranges'!$AX$24,"Q1",IF($AI30&lt;'PIM Ranges'!$AY$24,"Q2",IF($AI30&lt;'PIM Ranges'!$AZ$24,"Q3",IF($AI30&lt;'PIM Ranges'!$BA$24,"Q4","Q5")))),IF('PIM Ranges'!$AK28='PIM Ranges'!$AW$25,IF($AI30&lt;'PIM Ranges'!$AX$25,"Q1",IF($AI30&lt;'PIM Ranges'!$AY$25,"Q2",IF($AI30&lt;'PIM Ranges'!$AZ$25,"Q3",IF($AI30&lt;'PIM Ranges'!$BA$25,"Q4","Q5")))),IF('PIM Ranges'!$AK28='PIM Ranges'!$AW$26,IF($AI30&lt;'PIM Ranges'!$AX$26,"Q1",IF($AI30&lt;'PIM Ranges'!$AY$26,"Q2",IF($AI30&lt;'PIM Ranges'!$AZ$26,"Q3",IF($AI30&lt;'PIM Ranges'!$BA$26,"Q4","Q5")))),IF('PIM Ranges'!$AK28='PIM Ranges'!$AW$27,IF($AI30&lt;'PIM Ranges'!$AX$27,"Q1",IF($AI30&lt;'PIM Ranges'!$AY$27,"Q2",IF($AI30&lt;'PIM Ranges'!$AZ$27,"Q3",IF($AI30&lt;'PIM Ranges'!$BA$27,"Q4","Q5")))),IF('PIM Ranges'!$AK28='PIM Ranges'!$AW$28,IF($AI30&lt;'PIM Ranges'!$AX$28,"Q1",IF($AI30&lt;'PIM Ranges'!$AY$28,"Q2",IF($AI30&lt;'PIM Ranges'!$AZ$28,"Q3",IF($AI30&lt;'PIM Ranges'!$BA$28,"Q4","Q5")))),IF('PIM Ranges'!$AK28='PIM Ranges'!$AW$29,IF($AI30&lt;'PIM Ranges'!$AX$29,"Q1",IF($AI30&lt;'PIM Ranges'!$AY$29,"Q2",IF($AI30&lt;'PIM Ranges'!$AZ$29,"Q3",IF($AI30&lt;'PIM Ranges'!$BA$29,"Q4","Q5")))),IF('PIM Ranges'!$AK28='PIM Ranges'!$AW$30,IF($AI30&lt;'PIM Ranges'!$AX$30,"Q1",IF($AI30&lt;'PIM Ranges'!$AY$30,"Q2",IF($AI30&lt;'PIM Ranges'!$AZ$30,"Q3",IF($AI30&lt;'PIM Ranges'!$BA$30,"Q4","Q5")))),IF('PIM Ranges'!$AK28='PIM Ranges'!$AW$31,IF($AI30&lt;'PIM Ranges'!$AX$31,"Q1",IF($AI30&lt;'PIM Ranges'!$AY$31,"Q2",IF($AI30&lt;'PIM Ranges'!$AZ$31,"Q3",IF($AI30&lt;'PIM Ranges'!$BA$31,"Q4","Q5")))),IF('PIM Ranges'!$AK28='PIM Ranges'!$AW$32,IF($AI30&lt;'PIM Ranges'!$AX$32,"Q1",IF($AI30&lt;'PIM Ranges'!$AY$32,"Q2",IF($AI30&lt;'PIM Ranges'!$AZ$32,"Q3",IF($AI30&lt;'PIM Ranges'!$BA$32,"Q4","Q5"))))))))))))))))))))))))))</f>
        <v>Q1</v>
      </c>
      <c r="AN30" s="374">
        <f>VLOOKUP($AH30&amp;$AM30,'IMargin Quartiles'!$A:$F,6,FALSE)</f>
        <v>0.17</v>
      </c>
      <c r="AO30" s="374"/>
      <c r="AP30"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Q30" s="374" t="e">
        <f t="shared" si="25"/>
        <v>#DIV/0!</v>
      </c>
      <c r="AR30">
        <f>'PIM Model'!C26</f>
        <v>0</v>
      </c>
      <c r="AS30" s="374"/>
      <c r="AT30" s="374"/>
      <c r="AU30" s="374" t="e">
        <f t="shared" si="46"/>
        <v>#DIV/0!</v>
      </c>
      <c r="AV30" s="374"/>
      <c r="AW30" s="374"/>
      <c r="AX30" s="106">
        <v>19</v>
      </c>
      <c r="AY30" s="18">
        <f t="array" ref="AY30">IFERROR(IF($BL30="SEGMENT",INDEX('Margin Guidence Table'!$A$1:$AG$10000,MATCH(1,('Margin Guidence Table'!$A$1:$A$10000=$BJ30)*('Margin Guidence Table'!$I$1:$I$10000&lt;=ROUND($BB$3,0))*('Margin Guidence Table'!$J$1:$J$10000&gt;=ROUND($BB$3,0)),0),MATCH("PCT_SALES",'Margin Guidence Table'!$A$1:$AG$1,0)),INDEX('Margin Guidence Table'!$A$1:$AG$10000,MATCH(1,('Margin Guidence Table'!$A$1:$A$10000=$BJ30)*('Margin Guidence Table'!$I$1:$I$10000&lt;=ROUND($BB$3,0))*('Margin Guidence Table'!$J$1:$J$10000&gt;=ROUND($BB$3,0)),0),MATCH("DEFAULT_PCT_SALES",'Margin Guidence Table'!$A$1:$AG$1,0))),0)</f>
        <v>0</v>
      </c>
      <c r="AZ30" s="370" t="e">
        <f t="shared" si="26"/>
        <v>#DIV/0!</v>
      </c>
      <c r="BA30" s="100" t="s">
        <v>89</v>
      </c>
      <c r="BB30" s="92">
        <f>IFERROR(IF(AND($BB$2&lt;&gt;"Enter Spend&gt;&gt;&gt;",BC18="EXISTING"),SUMIFS('Existing Customers'!$Q:$Q,'Existing Customers'!$A:$A,$BB$1,'Existing Customers'!$H:$H,$BA30)*$BB$4,$BB$3*$AZ30),0)</f>
        <v>0</v>
      </c>
      <c r="BC30" s="93">
        <f>IFERROR(IF(AND($BB$2&lt;&gt;"Enter Spend&gt;&gt;&gt;",BC2="EXISTING"),SUMIFS('Existing Customers'!$N:$N,'Existing Customers'!$A:$A,$BB$1,'Existing Customers'!$H:$H,$BA30)*$BB$4,$BB30/$BM30),0)</f>
        <v>0</v>
      </c>
      <c r="BD30" s="93">
        <f>IFERROR(IF(AND($BB$2&lt;&gt;"Enter Spend&gt;&gt;&gt;",BC2="EXISTING"),SUMIFS('Existing Customers'!$O:$O,'Existing Customers'!$H:$H,$BA30,'Existing Customers'!$A:$A,$BB$1)*$BB$4,$BC30*$BB$8),0)</f>
        <v>0</v>
      </c>
      <c r="BE30" s="93">
        <f>IFERROR(IF(AND($BB$2&lt;&gt;"Enter Spend&gt;&gt;&gt;",BC2="EXISTING"),SUMIFS('Existing Customers'!$P:$P,'Existing Customers'!$A:$A,$BB$1,'Existing Customers'!$H:$H,$BA30)*$BB$4,$BB30/$BN30),0)</f>
        <v>0</v>
      </c>
      <c r="BF30" s="376">
        <f>IFERROR(IF(AND($BB$2&lt;&gt;"Enter Spend&gt;&gt;&gt;",BC2="EXISTING"),SUMIFS('Existing Customers'!$V:$V,'Existing Customers'!$H:$H,$BA30,'Existing Customers'!$A:$A,$BB$1)*$BB$4,0),0)</f>
        <v>0</v>
      </c>
      <c r="BG30" s="94">
        <f>IFERROR(IF(AND($BB$2&lt;&gt;"Enter Spend&gt;&gt;&gt;",BC2="EXISTING"),SUMIFS('Existing Customers'!$R:$R,'Existing Customers'!$H:$H,$BA30,'Existing Customers'!$A:$A,$BB$1)*$BB$4,0),0)</f>
        <v>0</v>
      </c>
      <c r="BH30" s="94">
        <f>IFERROR(IF(AND($BB$2&lt;&gt;"Enter Spend&gt;&gt;&gt;",BC2="EXISTING"),SUMIFS('Existing Customers'!$S:$S,'Existing Customers'!$H:$H,$BA30,'Existing Customers'!$A:$A,$BB$1),BR30*BB30),0)</f>
        <v>0</v>
      </c>
      <c r="BI30" s="94">
        <f>IFERROR(IF(AND($BB$2&lt;&gt;"Enter Spend&gt;&gt;&gt;",BC2="EXISTING"),SUMIFS('Existing Customers'!$U:$U,'Existing Customers'!$H:$H,$BA30,'Existing Customers'!$A:$A,$BB$1),BS30*BB30),0)</f>
        <v>0</v>
      </c>
      <c r="BJ30" s="1052" t="e">
        <f>_xlfn.CONCAT('Customer Inputs'!$AG$6,"_",BA30)</f>
        <v>#N/A</v>
      </c>
      <c r="BK30" s="1053">
        <f t="array" ref="BK30">IFERROR(INDEX('Margin Guidence Table'!$A$1:$AG$10000,MATCH(1,('Margin Guidence Table'!$A$1:$A$10000=$BJ30)*('Margin Guidence Table'!$I$1:$I$10000&lt;=ROUND($BB$3,0))*('Margin Guidence Table'!$J$1:$J$10000&gt;=ROUND($BB$3,0)),0),MATCH("DATA_POINTS",'Margin Guidence Table'!$A$1:$AG$1,0)),0)</f>
        <v>0</v>
      </c>
      <c r="BL30" s="1050" t="str">
        <f t="shared" si="27"/>
        <v>DEFAULT</v>
      </c>
      <c r="BM30" s="1050">
        <f t="array" ref="BM30">IFERROR(IF($BL30="SEGMENT",INDEX('Margin Guidence Table'!$A$1:$AG$10000,MATCH(1,('Margin Guidence Table'!$A$1:$A$10000=$BJ30)*('Margin Guidence Table'!$I$1:$I$10000&lt;=ROUND($BB$3,0))*('Margin Guidence Table'!$J$1:$J$10000&gt;=ROUND($BB$3,0)),0),MATCH("SALES_CASE",'Margin Guidence Table'!$A$1:$AG$1,0)),INDEX('Margin Guidence Table'!$A$1:$AG$10000,MATCH(1,('Margin Guidence Table'!$A$1:$A$10000=$BJ30)*('Margin Guidence Table'!$I$1:$I$10000&lt;=ROUND($BB$3,0))*('Margin Guidence Table'!$J$1:$J$10000&gt;=ROUND($BB$3,0)),0),MATCH("DEFAULT_SALES_CASE",'Margin Guidence Table'!$A$1:$AG$1,0))),0)</f>
        <v>0</v>
      </c>
      <c r="BN30" s="1050">
        <f t="array" ref="BN30">IFERROR(IF($BL30="SEGMENT",INDEX('Margin Guidence Table'!$A$1:$AG$10000,MATCH(1,('Margin Guidence Table'!$A$1:$A$10000=$BJ30)*('Margin Guidence Table'!$I$1:$I$10000&lt;=ROUND($BB$3,0))*('Margin Guidence Table'!$J$1:$J$10000&gt;=ROUND($BB$3,0)),0),MATCH("SALES_LBS",'Margin Guidence Table'!$A$1:$AG$1,0)),INDEX('Margin Guidence Table'!$A$1:$AG$10000,MATCH(1,('Margin Guidence Table'!$A$1:$A$10000=$BJ30)*('Margin Guidence Table'!$I$1:$I$10000&lt;=ROUND($BB$3,0))*('Margin Guidence Table'!$J$1:$J$10000&gt;=ROUND($BB$3,0)),0),MATCH("DEFAULT_SALES_LBS",'Margin Guidence Table'!$A$1:$AG$1,0))),0)</f>
        <v>0</v>
      </c>
      <c r="BO30" s="1054">
        <f t="array" ref="BO30">IFERROR(IF($BL30="SEGMENT",INDEX('Margin Guidence Table'!$A$1:$AG$10000,MATCH(1,('Margin Guidence Table'!$A$1:$A$10000=$BJ30)*('Margin Guidence Table'!$I$1:$I$10000&lt;=ROUND($BB$3,0))*('Margin Guidence Table'!$J$1:$J$10000&gt;=ROUND($BB$3,0)),0),MATCH("MDA_MIN_MARGIN_GUIDENCE",'Margin Guidence Table'!$A$1:$AG$1,0)),INDEX('Margin Guidence Table'!$A$1:$AG$10000,MATCH(1,('Margin Guidence Table'!$A$1:$A$10000=$BJ30)*('Margin Guidence Table'!$I$1:$I$10000&lt;=ROUND($BB$3,0))*('Margin Guidence Table'!$J$1:$J$10000&gt;=ROUND($BB$3,0)),0),MATCH("DEFAULT_MDA_MIN_MARGIN_GUIDENCE",'Margin Guidence Table'!$A$1:$AG$1,0))),0)</f>
        <v>0</v>
      </c>
      <c r="BP30" s="1054">
        <f t="array" ref="BP30">IFERROR(IF($BL30="SEGMENT",INDEX('Margin Guidence Table'!$A$1:$AG$10000,MATCH(1,('Margin Guidence Table'!$A$1:$A$10000=$BJ30)*('Margin Guidence Table'!$I$1:$I$10000&lt;=ROUND($BB$3,0))*('Margin Guidence Table'!$J$1:$J$10000&gt;=ROUND($BB$3,0)),0),MATCH("MDA_MEDIAN_MARGIN_GUIDENCE",'Margin Guidence Table'!$A$1:$AG$1,0)),INDEX('Margin Guidence Table'!$A$1:$AG$10000,MATCH(1,('Margin Guidence Table'!$A$1:$A$10000=$BJ30)*('Margin Guidence Table'!$I$1:$I$10000&lt;=ROUND($BB$3,0))*('Margin Guidence Table'!$J$1:$J$10000&gt;=ROUND($BB$3,0)),0),MATCH("DEFAULT_MDA_MEDIAN_MARGIN_GUIDENCE",'Margin Guidence Table'!$A$1:$AG$1,0))),0)</f>
        <v>0</v>
      </c>
      <c r="BQ30" s="1054">
        <f t="array" ref="BQ30">IFERROR(IF($BL30="SEGMENT",INDEX('Margin Guidence Table'!$A$1:$AG$10000,MATCH(1,('Margin Guidence Table'!$A$1:$A$10000=$BJ30)*('Margin Guidence Table'!$I$1:$I$10000&lt;=ROUND($BB$3,0))*('Margin Guidence Table'!$J$1:$J$10000&gt;=ROUND($BB$3,0)),0),MATCH("MDA_MAX_MARGIN_GUIDENCE",'Margin Guidence Table'!$A$1:$AG$1,0)),INDEX('Margin Guidence Table'!$A$1:$AG$10000,MATCH(1,('Margin Guidence Table'!$A$1:$A$10000=$BJ30)*('Margin Guidence Table'!$I$1:$I$10000&lt;=ROUND($BB$3,0))*('Margin Guidence Table'!$J$1:$J$10000&gt;=ROUND($BB$3,0)),0),MATCH("DEFAULT_MDA_MAX_MARGIN_GUIDENCE",'Margin Guidence Table'!$A$1:$AG$1,0))),0)</f>
        <v>0</v>
      </c>
      <c r="BR30" s="1054">
        <f t="array" ref="BR30">IFERROR(IF($BL30="SEGMENT",INDEX('Margin Guidence Table'!$A$1:$AG$10000,MATCH(1,('Margin Guidence Table'!$A$1:$A$10000=$BJ30)*('Margin Guidence Table'!$I$1:$I$10000&lt;=ROUND($BB$3,0))*('Margin Guidence Table'!$J$1:$J$10000&gt;=ROUND($BB$3,0)),0),MATCH("PA_PCT_SALES",'Margin Guidence Table'!$A$1:$AG$1,0)),INDEX('Margin Guidence Table'!$A$1:$AG$10000,MATCH(1,('Margin Guidence Table'!$A$1:$A$10000=$BJ30)*('Margin Guidence Table'!$I$1:$I$10000&lt;=ROUND($BB$3,0))*('Margin Guidence Table'!$J$1:$J$10000&gt;=ROUND($BB$3,0)),0),MATCH("DEFAULT_PA_PCT_SALES",'Margin Guidence Table'!$A$1:$AG$1,0))),0)</f>
        <v>0</v>
      </c>
      <c r="BS30" s="1054">
        <f t="array" ref="BS30">IFERROR(IF($BL30="SEGMENT",INDEX('Margin Guidence Table'!$A$1:$AG$10000,MATCH(1,('Margin Guidence Table'!$A$1:$A$10000=$BJ30)*('Margin Guidence Table'!$I$1:$I$10000&lt;=ROUND($BB$3,0))*('Margin Guidence Table'!$J$1:$J$10000&gt;=ROUND($BB$3,0)),0),MATCH("SELF_FUND_PCT_SALES",'Margin Guidence Table'!$A$1:$AG$1,0)),INDEX('Margin Guidence Table'!$A$1:$AG$10000,MATCH(1,('Margin Guidence Table'!$A$1:$A$10000=$BJ30)*('Margin Guidence Table'!$I$1:$I$10000&lt;=ROUND($BB$3,0))*('Margin Guidence Table'!$J$1:$J$10000&gt;=ROUND($BB$3,0)),0),MATCH("DEFAULT_SELF_FUND_PCT_SALES",'Margin Guidence Table'!$A$1:$AG$1,0))),0)</f>
        <v>0</v>
      </c>
      <c r="BT30" s="1054">
        <f t="array" ref="BT30">IFERROR(IF($BL30="SEGMENT",INDEX('Margin Guidence Table'!$A$1:$AG$10000,MATCH(1,('Margin Guidence Table'!$A$1:$A$10000=$BJ30)*('Margin Guidence Table'!$I$1:$I$10000&lt;=ROUND($BB$3,0))*('Margin Guidence Table'!$J$1:$J$10000&gt;=ROUND($BB$3,0)),0),MATCH("CIA_MEDIAN_MARGIN_GUIDENCE",'Margin Guidence Table'!$A$1:$AG$1,0)),INDEX('Margin Guidence Table'!$A$1:$AG$10000,MATCH(1,('Margin Guidence Table'!$A$1:$A$10000=$BJ30)*('Margin Guidence Table'!$I$1:$I$10000&lt;=ROUND($BB$3,0))*('Margin Guidence Table'!$J$1:$J$10000&gt;=ROUND($BB$3,0)),0),MATCH("DEFAULT_CIA_MEDIAN_MARGIN_GUIDENCE",'Margin Guidence Table'!$A$1:$AG$1,0))),0)</f>
        <v>0</v>
      </c>
      <c r="BU30" s="127"/>
      <c r="BV30" s="18">
        <f t="array" ref="BV30">IFERROR(IF($CI30="SEGMENT",INDEX('Margin Guidence Table'!$A$1:$AG$10000,MATCH(1,('Margin Guidence Table'!$A$1:$A$10000=$CG30)*('Margin Guidence Table'!$I$1:$I$10000&lt;=ROUND($BY$3,0))*('Margin Guidence Table'!$J$1:$J$10000&gt;=ROUND($BY$3,0)),0),MATCH("PCT_SALES",'Margin Guidence Table'!$A$1:$AG$1,0)),INDEX('Margin Guidence Table'!$A$1:$AG$10000,MATCH(1,('Margin Guidence Table'!$A$1:$A$10000=$CG30)*('Margin Guidence Table'!$I$1:$I$10000&lt;=ROUND($BY$3,0))*('Margin Guidence Table'!$J$1:$J$10000&gt;=ROUND($BY$3,0)),0),MATCH("DEFAULT_PCT_SALES",'Margin Guidence Table'!$A$1:$AG$1,0))),0)</f>
        <v>0</v>
      </c>
      <c r="BW30" s="370" t="e">
        <f t="shared" si="28"/>
        <v>#DIV/0!</v>
      </c>
      <c r="BX30" s="100" t="s">
        <v>89</v>
      </c>
      <c r="BY30" s="92">
        <f>IFERROR(IF(AND($BY$2&lt;&gt;"Enter Spend&gt;&gt;&gt;",BZ18="EXISTING"),SUMIFS('Existing Customers'!$Q:$Q,'Existing Customers'!$A:$A,$BY$1,'Existing Customers'!$H:$H,$BX30)*$BY$4,$BY$3*$BW30),0)</f>
        <v>0</v>
      </c>
      <c r="BZ30" s="87">
        <f>IFERROR(IF(AND($BY$2&lt;&gt;"Enter Spend&gt;&gt;&gt;",BZ2="EXISTING"),SUMIFS('Existing Customers'!$N:$N,'Existing Customers'!$A:$A,$BY$1,'Existing Customers'!$H:$H,$BX30)*$BY$4,$BY30/$CJ30),0)</f>
        <v>0</v>
      </c>
      <c r="CA30" s="93">
        <f>IFERROR(IF(AND($BY$2&lt;&gt;"Enter Spend&gt;&gt;&gt;",BZ2="EXISTING"),SUMIFS('Existing Customers'!$O:$O,'Existing Customers'!$H:$H,$BX30,'Existing Customers'!$A:$A,$BY$1)*$BY$4,$BZ30*$BY$8),0)</f>
        <v>0</v>
      </c>
      <c r="CB30" s="93">
        <f>IFERROR(IF(AND($BY$2&lt;&gt;"Enter Spend&gt;&gt;&gt;",BZ2="EXISTING"),SUMIFS('Existing Customers'!$P:$P,'Existing Customers'!$A:$A,$BY$1,'Existing Customers'!$H:$H,$BX30)*$BY$4,$BY30/$CK30),0)</f>
        <v>0</v>
      </c>
      <c r="CC30" s="94">
        <f>IFERROR(IF(AND($BY$2&lt;&gt;"Enter Spend&gt;&gt;&gt;",BZ2="EXISTING"),SUMIFS('Existing Customers'!$V:$V,'Existing Customers'!$H:$H,$BX30,'Existing Customers'!$A:$A,$BY$1)*$BY$4,0),0)</f>
        <v>0</v>
      </c>
      <c r="CD30" s="94">
        <f>IFERROR(IF(AND($BY$2&lt;&gt;"Enter Spend&gt;&gt;&gt;",BZ2="EXISTING"),SUMIFS('Existing Customers'!$R:$R,'Existing Customers'!$H:$H,$BX30,'Existing Customers'!$A:$A,$BY$1)*$BY$4,0),0)</f>
        <v>0</v>
      </c>
      <c r="CE30" s="1050">
        <f>IFERROR(IF(AND($BY$2&lt;&gt;"Enter Spend&gt;&gt;&gt;",BZ2="EXISTING"),SUMIFS('Existing Customers'!$S:$S,'Existing Customers'!$H:$H,$BX30,'Existing Customers'!$A:$A,$BY$1),CO30*BY30),0)</f>
        <v>0</v>
      </c>
      <c r="CF30" s="1050">
        <f>IFERROR(IF(AND($BY$2&lt;&gt;"Enter Spend&gt;&gt;&gt;",BZ2="EXISTING"),SUMIFS('Existing Customers'!$U:$U,'Existing Customers'!$H:$H,$BX30,'Existing Customers'!$A:$A,$BY$1),CP30*BY30),0)</f>
        <v>0</v>
      </c>
      <c r="CG30" s="1053" t="e">
        <f>_xlfn.CONCAT('Customer Inputs'!$AG$7,"_",BX30)</f>
        <v>#N/A</v>
      </c>
      <c r="CH30" s="1053">
        <f t="array" ref="CH30">IFERROR(INDEX('Margin Guidence Table'!$A$1:$AG$10000,MATCH(1,('Margin Guidence Table'!$A$1:$A$10000=$CG30)*('Margin Guidence Table'!$I$1:$I$10000&lt;=ROUND($BY$3,0))*('Margin Guidence Table'!$J$1:$J$10000&gt;=ROUND($BY$3,0)),0),MATCH("DATA_POINTS",'Margin Guidence Table'!$A$1:$AG$1,0)),0)</f>
        <v>0</v>
      </c>
      <c r="CI30" s="1050" t="str">
        <f t="shared" si="29"/>
        <v>DEFAULT</v>
      </c>
      <c r="CJ30" s="1050">
        <f t="array" ref="CJ30">IFERROR(IF($CI30="SEGMENT",INDEX('Margin Guidence Table'!$A$1:$AG$10000,MATCH(1,('Margin Guidence Table'!$A$1:$A$10000=$CG30)*('Margin Guidence Table'!$I$1:$I$10000&lt;=ROUND($BY$3,0))*('Margin Guidence Table'!$J$1:$J$10000&gt;=ROUND($BY$3,0)),0),MATCH("SALES_CASE",'Margin Guidence Table'!$A$1:$AG$1,0)),INDEX('Margin Guidence Table'!$A$1:$AG$10000,MATCH(1,('Margin Guidence Table'!$A$1:$A$10000=$CG30)*('Margin Guidence Table'!$I$1:$I$10000&lt;=ROUND($BY$3,0))*('Margin Guidence Table'!$J$1:$J$10000&gt;=ROUND($BY$3,0)),0),MATCH("DEFAULT_SALES_CASE",'Margin Guidence Table'!$A$1:$AG$1,0))),0)</f>
        <v>0</v>
      </c>
      <c r="CK30" s="1050">
        <f t="array" ref="CK30">IFERROR(IF($CI30="SEGMENT",INDEX('Margin Guidence Table'!$A$1:$AG$10000,MATCH(1,('Margin Guidence Table'!$A$1:$A$10000=$CG30)*('Margin Guidence Table'!$I$1:$I$10000&lt;=ROUND($BY$3,0))*('Margin Guidence Table'!$J$1:$J$10000&gt;=ROUND($BY$3,0)),0),MATCH("SALES_LBS",'Margin Guidence Table'!$A$1:$AG$1,0)),INDEX('Margin Guidence Table'!$A$1:$AG$10000,MATCH(1,('Margin Guidence Table'!$A$1:$A$10000=$CG30)*('Margin Guidence Table'!$I$1:$I$10000&lt;=ROUND($BY$3,0))*('Margin Guidence Table'!$J$1:$J$10000&gt;=ROUND($BY$3,0)),0),MATCH("DEFAULT_SALES_LBS",'Margin Guidence Table'!$A$1:$AG$1,0))),0)</f>
        <v>0</v>
      </c>
      <c r="CL30" s="1054">
        <f t="array" ref="CL30">IFERROR(IF($CI30="SEGMENT",INDEX('Margin Guidence Table'!$A$1:$AG$10000,MATCH(1,('Margin Guidence Table'!$A$1:$A$10000=$CG30)*('Margin Guidence Table'!$I$1:$I$10000&lt;=ROUND($BY$3,0))*('Margin Guidence Table'!$J$1:$J$10000&gt;=ROUND($BY$3,0)),0),MATCH("MDA_MIN_MARGIN_GUIDENCE",'Margin Guidence Table'!$A$1:$AG$1,0)),INDEX('Margin Guidence Table'!$A$1:$AG$10000,MATCH(1,('Margin Guidence Table'!$A$1:$A$10000=$CG30)*('Margin Guidence Table'!$I$1:$I$10000&lt;=ROUND($BY$3,0))*('Margin Guidence Table'!$J$1:$J$10000&gt;=ROUND($BY$3,0)),0),MATCH("DEFAULT_MDA_MIN_MARGIN_GUIDENCE",'Margin Guidence Table'!$A$1:$AG$1,0))),0)</f>
        <v>0</v>
      </c>
      <c r="CM30" s="1054">
        <f t="array" ref="CM30">IFERROR(IF($CI30="SEGMENT",INDEX('Margin Guidence Table'!$A$1:$AG$10000,MATCH(1,('Margin Guidence Table'!$A$1:$A$10000=$CG30)*('Margin Guidence Table'!$I$1:$I$10000&lt;=ROUND($BY$3,0))*('Margin Guidence Table'!$J$1:$J$10000&gt;=ROUND($BY$3,0)),0),MATCH("MDA_MEDIAN_MARGIN_GUIDENCE",'Margin Guidence Table'!$A$1:$AG$1,0)),INDEX('Margin Guidence Table'!$A$1:$AG$10000,MATCH(1,('Margin Guidence Table'!$A$1:$A$10000=$CG30)*('Margin Guidence Table'!$I$1:$I$10000&lt;=ROUND($BY$3,0))*('Margin Guidence Table'!$J$1:$J$10000&gt;=ROUND($BY$3,0)),0),MATCH("DEFAULT_MDA_MEDIAN_MARGIN_GUIDENCE",'Margin Guidence Table'!$A$1:$AG$1,0))),0)</f>
        <v>0</v>
      </c>
      <c r="CN30" s="1054">
        <f t="array" ref="CN30">IFERROR(IF($CI30="SEGMENT",INDEX('Margin Guidence Table'!$A$1:$AG$10000,MATCH(1,('Margin Guidence Table'!$A$1:$A$10000=$CG30)*('Margin Guidence Table'!$I$1:$I$10000&lt;=ROUND($BY$3,0))*('Margin Guidence Table'!$J$1:$J$10000&gt;=ROUND($BY$3,0)),0),MATCH("MDA_MAX_MARGIN_GUIDENCE",'Margin Guidence Table'!$A$1:$AG$1,0)),INDEX('Margin Guidence Table'!$A$1:$AG$10000,MATCH(1,('Margin Guidence Table'!$A$1:$A$10000=$CG30)*('Margin Guidence Table'!$I$1:$I$10000&lt;=ROUND($BY$3,0))*('Margin Guidence Table'!$J$1:$J$10000&gt;=ROUND($BY$3,0)),0),MATCH("DEFAULT_MDA_MAX_MARGIN_GUIDENCE",'Margin Guidence Table'!$A$1:$AG$1,0))),0)</f>
        <v>0</v>
      </c>
      <c r="CO30" s="1054">
        <f t="array" ref="CO30">IFERROR(IF($CI30="SEGMENT",INDEX('Margin Guidence Table'!$A$1:$AG$10000,MATCH(1,('Margin Guidence Table'!$A$1:$A$10000=$CG30)*('Margin Guidence Table'!$I$1:$I$10000&lt;=ROUND($BY$3,0))*('Margin Guidence Table'!$J$1:$J$10000&gt;=ROUND($BY$3,0)),0),MATCH("PA_PCT_SALES",'Margin Guidence Table'!$A$1:$AG$1,0)),INDEX('Margin Guidence Table'!$A$1:$AG$10000,MATCH(1,('Margin Guidence Table'!$A$1:$A$10000=$CG30)*('Margin Guidence Table'!$I$1:$I$10000&lt;=ROUND($BY$3,0))*('Margin Guidence Table'!$J$1:$J$10000&gt;=ROUND($BY$3,0)),0),MATCH("DEFAULT_PA_PCT_SALES",'Margin Guidence Table'!$A$1:$AG$1,0))),0)</f>
        <v>0</v>
      </c>
      <c r="CP30" s="1054">
        <f t="array" ref="CP30">IFERROR(IF($CI30="SEGMENT",INDEX('Margin Guidence Table'!$A$1:$AG$10000,MATCH(1,('Margin Guidence Table'!$A$1:$A$10000=$CG30)*('Margin Guidence Table'!$I$1:$I$10000&lt;=ROUND($BY$3,0))*('Margin Guidence Table'!$J$1:$J$10000&gt;=ROUND($BY$3,0)),0),MATCH("SELF_FUND_PCT_SALES",'Margin Guidence Table'!$A$1:$AG$1,0)),INDEX('Margin Guidence Table'!$A$1:$AG$10000,MATCH(1,('Margin Guidence Table'!$A$1:$A$10000=$CG30)*('Margin Guidence Table'!$I$1:$I$10000&lt;=ROUND($BY$3,0))*('Margin Guidence Table'!$J$1:$J$10000&gt;=ROUND($BY$3,0)),0),MATCH("DEFAULT_SELF_FUND_PCT_SALES",'Margin Guidence Table'!$A$1:$AG$1,0))),0)</f>
        <v>0</v>
      </c>
      <c r="CQ30" s="1054">
        <f t="array" ref="CQ30">IFERROR(IF($CI30="SEGMENT",INDEX('Margin Guidence Table'!$A$1:$AG$10000,MATCH(1,('Margin Guidence Table'!$A$1:$A$10000=$CG30)*('Margin Guidence Table'!$I$1:$I$10000&lt;=ROUND($BY$3,0))*('Margin Guidence Table'!$J$1:$J$10000&gt;=ROUND($BY$3,0)),0),MATCH("CIA_MEDIAN_MARGIN_GUIDENCE",'Margin Guidence Table'!$A$1:$AG$1,0)),INDEX('Margin Guidence Table'!$A$1:$AG$10000,MATCH(1,('Margin Guidence Table'!$A$1:$A$10000=$CG30)*('Margin Guidence Table'!$I$1:$I$10000&lt;=ROUND($BY$3,0))*('Margin Guidence Table'!$J$1:$J$10000&gt;=ROUND($BY$3,0)),0),MATCH("DEFAULT_CIA_MEDIAN_MARGIN_GUIDENCE",'Margin Guidence Table'!$A$1:$AG$1,0))),0)</f>
        <v>0</v>
      </c>
      <c r="CR30" s="127"/>
      <c r="CS30" s="18">
        <f t="array" ref="CS30">IFERROR(IF($DF30="SEGMENT",INDEX('Margin Guidence Table'!$A$1:$AG$10000,MATCH(1,('Margin Guidence Table'!$A$1:$A$10000=$DD30)*('Margin Guidence Table'!$I$1:$I$10000&lt;=ROUND($CV$3,0))*('Margin Guidence Table'!$J$1:$J$10000&gt;=ROUND($CV$3,0)),0),MATCH("PCT_SALES",'Margin Guidence Table'!$A$1:$AG$1,0)),INDEX('Margin Guidence Table'!$A$1:$AG$10000,MATCH(1,('Margin Guidence Table'!$A$1:$A$10000=$DD30)*('Margin Guidence Table'!$I$1:$I$10000&lt;=ROUND($CV$3,0))*('Margin Guidence Table'!$J$1:$J$10000&gt;=ROUND($CV$3,0)),0),MATCH("DEFAULT_PCT_SALES",'Margin Guidence Table'!$A$1:$AG$1,0))),0)</f>
        <v>0</v>
      </c>
      <c r="CT30" s="370" t="e">
        <f t="shared" si="30"/>
        <v>#DIV/0!</v>
      </c>
      <c r="CU30" s="100" t="s">
        <v>89</v>
      </c>
      <c r="CV30" s="92">
        <f>IFERROR(IF(AND($CV$2&lt;&gt;"Enter Spend&gt;&gt;&gt;",CW18="EXISTING"),SUMIFS('Existing Customers'!$Q:$Q,'Existing Customers'!$A:$A,$CV$1,'Existing Customers'!$H:$H,$CU30)*$CV$4,$CV$3*$CT30),0)</f>
        <v>0</v>
      </c>
      <c r="CW30" s="87">
        <f>IFERROR(IF(AND($CV$2&lt;&gt;"Enter Spend&gt;&gt;&gt;",CW2="EXISTING"),SUMIFS('Existing Customers'!$N:$N,'Existing Customers'!$A:$A,$CV$1,'Existing Customers'!$H:$H,$CU30)*$CV$4,$CV30/$DG30),0)</f>
        <v>0</v>
      </c>
      <c r="CX30" s="93">
        <f>IFERROR(IF(AND($CV$2&lt;&gt;"Enter Spend&gt;&gt;&gt;",BC28="EXISTING"),SUMIFS('Existing Customers'!$O:$O,'Existing Customers'!$H:$H,$CU30,'Existing Customers'!$A:$A,$CV$1)*$CV$4,$CW30*$CV$8),0)</f>
        <v>0</v>
      </c>
      <c r="CY30" s="93">
        <f>IFERROR(IF(AND($CV$2&lt;&gt;"Enter Spend&gt;&gt;&gt;",CW2="EXISTING"),SUMIFS('Existing Customers'!$P:$P,'Existing Customers'!$A:$A,$CV$1,'Existing Customers'!$H:$H,$CU30)*$CV$4,$CV30/$DH30),0)</f>
        <v>0</v>
      </c>
      <c r="CZ30" s="94">
        <f>IFERROR(IF(AND($CV$2&lt;&gt;"Enter Spend&gt;&gt;&gt;",CW2="EXISTING"),SUMIFS('Existing Customers'!$V:$V,'Existing Customers'!$H:$H,$CU30,'Existing Customers'!$A:$A,$CV$1)*$CV$4,0),0)</f>
        <v>0</v>
      </c>
      <c r="DA30" s="94">
        <f>IFERROR(IF(AND($CV$2&lt;&gt;"Enter Spend&gt;&gt;&gt;",CW2="EXISTING"),SUMIFS('Existing Customers'!$R:$R,'Existing Customers'!$H:$H,$BA30,'Existing Customers'!$A:$A,$CV$1)*$CV$4,0),0)</f>
        <v>0</v>
      </c>
      <c r="DB30" s="1050">
        <f>IFERROR(IF(AND($CV$2&lt;&gt;"Enter Spend&gt;&gt;&gt;",CW2="EXISTING"),SUMIFS('Existing Customers'!$S:$S,'Existing Customers'!$H:$H,$CU30,'Existing Customers'!$A:$A,$CV$1),DL30*CV30),0)</f>
        <v>0</v>
      </c>
      <c r="DC30" s="1050">
        <f>IFERROR(IF(AND($CV$2&lt;&gt;"Enter Spend&gt;&gt;&gt;",CW2="EXISTING"),SUMIFS('Existing Customers'!$U:$U,'Existing Customers'!$H:$H,$CU30,'Existing Customers'!$A:$A,$CV$1),DM30*CV30),0)</f>
        <v>0</v>
      </c>
      <c r="DD30" s="1053" t="e">
        <f>_xlfn.CONCAT('Customer Inputs'!$AG$8,"_",CU30)</f>
        <v>#N/A</v>
      </c>
      <c r="DE30" s="1053">
        <f t="array" ref="DE30">IFERROR(INDEX('Margin Guidence Table'!$A$1:$AG$10000,MATCH(1,('Margin Guidence Table'!$A$1:$A$10000=DD30)*('Margin Guidence Table'!$I$1:$I$10000&lt;=ROUND($CV$3,0))*('Margin Guidence Table'!$J$1:$J$10000&gt;=ROUND($CV$3,0)),0),MATCH("DATA_POINTS",'Margin Guidence Table'!$A$1:$AG$1,0)),0)</f>
        <v>0</v>
      </c>
      <c r="DF30" s="1050" t="str">
        <f t="shared" si="31"/>
        <v>DEFAULT</v>
      </c>
      <c r="DG30" s="1050">
        <f t="array" ref="DG30">IFERROR(IF($DF30="SEGMENT",INDEX('Margin Guidence Table'!$A$1:$AG$10000,MATCH(1,('Margin Guidence Table'!$A$1:$A$10000=DD30)*('Margin Guidence Table'!$I$1:$I$10000&lt;=ROUND($CV$3,0))*('Margin Guidence Table'!$J$1:$J$10000&gt;=ROUND($CV$3,0)),0),MATCH("SALES_CASE",'Margin Guidence Table'!$A$1:$AG$1,0)),INDEX('Margin Guidence Table'!$A$1:$AG$10000,MATCH(1,('Margin Guidence Table'!$A$1:$A$10000=DD30)*('Margin Guidence Table'!$I$1:$I$10000&lt;=ROUND($CV$3,0))*('Margin Guidence Table'!$J$1:$J$10000&gt;=ROUND($CV$3,0)),0),MATCH("DEFAULT_SALES_CASE",'Margin Guidence Table'!$A$1:$AG$1,0))),0)</f>
        <v>0</v>
      </c>
      <c r="DH30" s="1050">
        <f t="array" ref="DH30">IFERROR(IF($DF30="SEGMENT",INDEX('Margin Guidence Table'!$A$1:$AG$10000,MATCH(1,('Margin Guidence Table'!$A$1:$A$10000=DD30)*('Margin Guidence Table'!$I$1:$I$10000&lt;=ROUND($CV$3,0))*('Margin Guidence Table'!$J$1:$J$10000&gt;=ROUND($CV$3,0)),0),MATCH("SALES_LBS",'Margin Guidence Table'!$A$1:$AG$1,0)),INDEX('Margin Guidence Table'!$A$1:$AG$10000,MATCH(1,('Margin Guidence Table'!$A$1:$A$10000=DD30)*('Margin Guidence Table'!$I$1:$I$10000&lt;=ROUND($CV$3,0))*('Margin Guidence Table'!$J$1:$J$10000&gt;=ROUND($CV$3,0)),0),MATCH("DEFAULT_SALES_LBS",'Margin Guidence Table'!$A$1:$AG$1,0))),0)</f>
        <v>0</v>
      </c>
      <c r="DI30" s="1054">
        <f t="array" ref="DI30">IFERROR(IF($DF30="SEGMENT",INDEX('Margin Guidence Table'!$A$1:$AG$10000,MATCH(1,('Margin Guidence Table'!$A$1:$A$10000=DD30)*('Margin Guidence Table'!$I$1:$I$10000&lt;=ROUND($CV$3,0))*('Margin Guidence Table'!$J$1:$J$10000&gt;=ROUND($CV$3,0)),0),MATCH("MDA_MIN_MARGIN_GUIDENCE",'Margin Guidence Table'!$A$1:$AG$1,0)),INDEX('Margin Guidence Table'!$A$1:$AG$10000,MATCH(1,('Margin Guidence Table'!$A$1:$A$10000=DD30)*('Margin Guidence Table'!$I$1:$I$10000&lt;=ROUND($CV$3,0))*('Margin Guidence Table'!$J$1:$J$10000&gt;=ROUND($CV$3,0)),0),MATCH("DEFAULT_MDA_MIN_MARGIN_GUIDENCE",'Margin Guidence Table'!$A$1:$AG$1,0))),0)</f>
        <v>0</v>
      </c>
      <c r="DJ30" s="1054">
        <f t="array" ref="DJ30">IFERROR(IF($DF30="SEGMENT",INDEX('Margin Guidence Table'!$A$1:$AG$10000,MATCH(1,('Margin Guidence Table'!$A$1:$A$10000=DD30)*('Margin Guidence Table'!$I$1:$I$10000&lt;=ROUND($CV$3,0))*('Margin Guidence Table'!$J$1:$J$10000&gt;=ROUND($CV$3,0)),0),MATCH("MDA_MEDIAN_MARGIN_GUIDENCE",'Margin Guidence Table'!$A$1:$AG$1,0)),INDEX('Margin Guidence Table'!$A$1:$AG$10000,MATCH(1,('Margin Guidence Table'!$A$1:$A$10000=DD30)*('Margin Guidence Table'!$I$1:$I$10000&lt;=ROUND($CV$3,0))*('Margin Guidence Table'!$J$1:$J$10000&gt;=ROUND($CV$3,0)),0),MATCH("DEFAULT_MDA_MEDIAN_MARGIN_GUIDENCE",'Margin Guidence Table'!$A$1:$AG$1,0))),0)</f>
        <v>0</v>
      </c>
      <c r="DK30" s="1054">
        <f t="array" ref="DK30">IFERROR(IF($DF30="SEGMENT",INDEX('Margin Guidence Table'!$A$1:$AG$10000,MATCH(1,('Margin Guidence Table'!$A$1:$A$10000=DD30)*('Margin Guidence Table'!$I$1:$I$10000&lt;=ROUND($CV$3,0))*('Margin Guidence Table'!$J$1:$J$10000&gt;=ROUND($CV$3,0)),0),MATCH("MDA_MAX_MARGIN_GUIDENCE",'Margin Guidence Table'!$A$1:$AG$1,0)),INDEX('Margin Guidence Table'!$A$1:$AG$10000,MATCH(1,('Margin Guidence Table'!$A$1:$A$10000=DD30)*('Margin Guidence Table'!$I$1:$I$10000&lt;=ROUND($CV$3,0))*('Margin Guidence Table'!$J$1:$J$10000&gt;=ROUND($CV$3,0)),0),MATCH("DEFAULT_MDA_MAX_MARGIN_GUIDENCE",'Margin Guidence Table'!$A$1:$AG$1,0))),0)</f>
        <v>0</v>
      </c>
      <c r="DL30" s="1054">
        <f t="array" ref="DL30">IFERROR(IF($DF30="SEGMENT",INDEX('Margin Guidence Table'!$A$1:$AG$10000,MATCH(1,('Margin Guidence Table'!$A$1:$A$10000=DD30)*('Margin Guidence Table'!$I$1:$I$10000&lt;=ROUND($CV$3,0))*('Margin Guidence Table'!$J$1:$J$10000&gt;=ROUND($CV$3,0)),0),MATCH("PA_PCT_SALES",'Margin Guidence Table'!$A$1:$AG$1,0)),INDEX('Margin Guidence Table'!$A$1:$AG$10000,MATCH(1,('Margin Guidence Table'!$A$1:$A$10000=DD30)*('Margin Guidence Table'!$I$1:$I$10000&lt;=ROUND($CV$3,0))*('Margin Guidence Table'!$J$1:$J$10000&gt;=ROUND($CV$3,0)),0),MATCH("DEFAULT_PA_PCT_SALES",'Margin Guidence Table'!$A$1:$AG$1,0))),0)</f>
        <v>0</v>
      </c>
      <c r="DM30" s="1054">
        <f t="array" ref="DM30">IFERROR(IF($DF30="SEGMENT",INDEX('Margin Guidence Table'!$A$1:$AG$10000,MATCH(1,('Margin Guidence Table'!$A$1:$A$10000=DD30)*('Margin Guidence Table'!$I$1:$I$10000&lt;=ROUND($CV$3,0))*('Margin Guidence Table'!$J$1:$J$10000&gt;=ROUND($CV$3,0)),0),MATCH("SELF_FUND_PCT_SALES",'Margin Guidence Table'!$A$1:$AG$1,0)),INDEX('Margin Guidence Table'!$A$1:$AG$10000,MATCH(1,('Margin Guidence Table'!$A$1:$A$10000=DD30)*('Margin Guidence Table'!$I$1:$I$10000&lt;=ROUND($CV$3,0))*('Margin Guidence Table'!$J$1:$J$10000&gt;=ROUND($CV$3,0)),0),MATCH("DEFAULT_SELF_FUND_PCT_SALES",'Margin Guidence Table'!$A$1:$AG$1,0))),0)</f>
        <v>0</v>
      </c>
      <c r="DN30" s="1054">
        <f t="array" ref="DN30">IFERROR(IF($DF30="SEGMENT",INDEX('Margin Guidence Table'!$A$1:$AG$10000,MATCH(1,('Margin Guidence Table'!$A$1:$A$10000=DD30)*('Margin Guidence Table'!$I$1:$I$10000&lt;=ROUND($CV$3,0))*('Margin Guidence Table'!$J$1:$J$10000&gt;=ROUND($CV$3,0)),0),MATCH("CIA_MEDIAN_MARGIN_GUIDENCE",'Margin Guidence Table'!$A$1:$AG$1,0)),INDEX('Margin Guidence Table'!$A$1:$AG$10000,MATCH(1,('Margin Guidence Table'!$A$1:$A$10000=DD30)*('Margin Guidence Table'!$I$1:$I$10000&lt;=ROUND($CV$3,0))*('Margin Guidence Table'!$J$1:$J$10000&gt;=ROUND($CV$3,0)),0),MATCH("DEFAULT_CIA_MEDIAN_MARGIN_GUIDENCE",'Margin Guidence Table'!$A$1:$AG$1,0))),0)</f>
        <v>0</v>
      </c>
      <c r="DO30" s="127"/>
      <c r="DP30" s="18">
        <f t="array" ref="DP30">IFERROR(IF($EC30="SEGMENT",INDEX('Margin Guidence Table'!$A$1:$AG$10000,MATCH(1,('Margin Guidence Table'!$A$1:$A$10000=$EA30)*('Margin Guidence Table'!$I$1:$I$10000&lt;=ROUND($DS$3,0))*('Margin Guidence Table'!$J$1:$J$10000&gt;=ROUND($DS$3,0)),0),MATCH("PCT_SALES",'Margin Guidence Table'!$A$1:$AG$1,0)),INDEX('Margin Guidence Table'!$A$1:$AG$10000,MATCH(1,('Margin Guidence Table'!$A$1:$A$10000=$EA30)*('Margin Guidence Table'!$I$1:$I$10000&lt;=ROUND($DS$3,0))*('Margin Guidence Table'!$J$1:$J$10000&gt;=ROUND($DS$3,0)),0),MATCH("DEFAULT_PCT_SALES",'Margin Guidence Table'!$A$1:$AG$1,0))),0)</f>
        <v>0</v>
      </c>
      <c r="DQ30" s="370" t="e">
        <f t="shared" si="32"/>
        <v>#DIV/0!</v>
      </c>
      <c r="DR30" s="100" t="s">
        <v>89</v>
      </c>
      <c r="DS30" s="92">
        <f>IFERROR(IF(AND($DS$2&lt;&gt;"Enter Spend&gt;&gt;&gt;",DT18="EXISTING"),SUMIFS('Existing Customers'!$Q:$Q,'Existing Customers'!$A:$A,$DS$1,'Existing Customers'!$H:$H,$DR30)*$DS$4,$DS$3*$DQ30),0)</f>
        <v>0</v>
      </c>
      <c r="DT30" s="87">
        <f>IFERROR(IF(AND($DS$2&lt;&gt;"Enter Spend&gt;&gt;&gt;",DT2="EXISTING"),SUMIFS('Existing Customers'!$N:$N,'Existing Customers'!$A:$A,$DS$1,'Existing Customers'!$H:$H,$DR30)*$DS$4,$DS30/$ED30),0)</f>
        <v>0</v>
      </c>
      <c r="DU30" s="93">
        <f>IFERROR(IF(AND($DS$2&lt;&gt;"Enter Spend&gt;&gt;&gt;",DT2="EXISTING"),SUMIFS('Existing Customers'!$O:$O,'Existing Customers'!$H:$H,$DR30,'Existing Customers'!$A:$A,$DS$1)*$DS$4,$DT30*$DS$8),0)</f>
        <v>0</v>
      </c>
      <c r="DV30" s="93">
        <f>IFERROR(IF(AND($DS$2&lt;&gt;"Enter Spend&gt;&gt;&gt;",DT2="EXISTING"),SUMIFS('Existing Customers'!$P:$P,'Existing Customers'!$A:$A,$DS$1,'Existing Customers'!$H:$H,$DR30)*$DS$4,$DS30/$EE30),0)</f>
        <v>0</v>
      </c>
      <c r="DW30" s="94">
        <f>IFERROR(IF(AND($DS$2&lt;&gt;"Enter Spend&gt;&gt;&gt;",EQ2="EXISTING"),SUMIFS('Existing Customers'!$V:$V,'Existing Customers'!$H:$H,$DR30,'Existing Customers'!$A:$A,$DS$1)*$DS$4,0),0)</f>
        <v>0</v>
      </c>
      <c r="DX30" s="94">
        <f>IFERROR(IF(AND($DS$2&lt;&gt;"Enter Spend&gt;&gt;&gt;",DT2="EXISTING"),SUMIFS('Existing Customers'!$R:$R,'Existing Customers'!$H:$H,$DR30,'Existing Customers'!$A:$A,$DS$1)*$DS$4,0),0)</f>
        <v>0</v>
      </c>
      <c r="DY30" s="1050">
        <f>IFERROR(IF(AND($DS$2&lt;&gt;"Enter Spend&gt;&gt;&gt;",DT2="EXISTING"),SUMIFS('Existing Customers'!$S:$S,'Existing Customers'!$H:$H,$DT30,'Existing Customers'!$A:$A,$DS$1),EI30*DS30),0)</f>
        <v>0</v>
      </c>
      <c r="DZ30" s="1050">
        <f>IFERROR(IF(AND($DS$2&lt;&gt;"Enter Spend&gt;&gt;&gt;",DT2="EXISTING"),SUMIFS('Existing Customers'!$U:$U,'Existing Customers'!$H:$H,$DR30,'Existing Customers'!$A:$A,$DS$1),EJ30*DS30),0)</f>
        <v>0</v>
      </c>
      <c r="EA30" s="1053" t="e">
        <f>_xlfn.CONCAT('Customer Inputs'!$AG$9,"_",DR30)</f>
        <v>#N/A</v>
      </c>
      <c r="EB30" s="1053">
        <f t="array" ref="EB30">IFERROR(INDEX('Margin Guidence Table'!$A$1:$AG$10000,MATCH(1,('Margin Guidence Table'!$A$1:$A$10000=EA30)*('Margin Guidence Table'!$I$1:$I$10000&lt;=ROUND($DS$3,0))*('Margin Guidence Table'!$J$1:$J$10000&gt;=ROUND($DS$3,0)),0),MATCH("DATA_POINTS",'Margin Guidence Table'!$A$1:$AG$1,0)),0)</f>
        <v>0</v>
      </c>
      <c r="EC30" s="1050" t="str">
        <f t="shared" si="33"/>
        <v>DEFAULT</v>
      </c>
      <c r="ED30" s="1050">
        <f t="array" ref="ED30">IFERROR(IF($EC30="SEGMENT",INDEX('Margin Guidence Table'!$A$1:$AG$10000,MATCH(1,('Margin Guidence Table'!$A$1:$A$10000=EA30)*('Margin Guidence Table'!$I$1:$I$10000&lt;=ROUND($DS$3,0))*('Margin Guidence Table'!$J$1:$J$10000&gt;=ROUND($DS$3,0)),0),MATCH("SALES_CASE",'Margin Guidence Table'!$A$1:$AG$1,0)),INDEX('Margin Guidence Table'!$A$1:$AG$10000,MATCH(1,('Margin Guidence Table'!$A$1:$A$10000=EA30)*('Margin Guidence Table'!$I$1:$I$10000&lt;=ROUND($DS$3,0))*('Margin Guidence Table'!$J$1:$J$10000&gt;=ROUND($DS$3,0)),0),MATCH("DEFAULT_SALES_CASE",'Margin Guidence Table'!$A$1:$AG$1,0))),0)</f>
        <v>0</v>
      </c>
      <c r="EE30" s="1050">
        <f t="array" ref="EE30">IFERROR(IF($EC30="SEGMENT",INDEX('Margin Guidence Table'!$A$1:$AG$10000,MATCH(1,('Margin Guidence Table'!$A$1:$A$10000=EA30)*('Margin Guidence Table'!$I$1:$I$10000&lt;=ROUND($DS$3,0))*('Margin Guidence Table'!$J$1:$J$10000&gt;=ROUND($DS$3,0)),0),MATCH("SALES_LBS",'Margin Guidence Table'!$A$1:$AG$1,0)),INDEX('Margin Guidence Table'!$A$1:$AG$10000,MATCH(1,('Margin Guidence Table'!$A$1:$A$10000=EA30)*('Margin Guidence Table'!$I$1:$I$10000&lt;=ROUND($DS$3,0))*('Margin Guidence Table'!$J$1:$J$10000&gt;=ROUND($DS$3,0)),0),MATCH("DEFAULT_SALES_LBS",'Margin Guidence Table'!$A$1:$AG$1,0))),0)</f>
        <v>0</v>
      </c>
      <c r="EF30" s="1054">
        <f t="array" ref="EF30">IFERROR(IF($EC30="SEGMENT",INDEX('Margin Guidence Table'!$A$1:$AG$10000,MATCH(1,('Margin Guidence Table'!$A$1:$A$10000=EA30)*('Margin Guidence Table'!$I$1:$I$10000&lt;=ROUND($DS$3,0))*('Margin Guidence Table'!$J$1:$J$10000&gt;=ROUND($DS$3,0)),0),MATCH("MDA_MIN_MARGIN_GUIDENCE",'Margin Guidence Table'!$A$1:$AG$1,0)),INDEX('Margin Guidence Table'!$A$1:$AG$10000,MATCH(1,('Margin Guidence Table'!$A$1:$A$10000=EA30)*('Margin Guidence Table'!$I$1:$I$10000&lt;=ROUND($DS$3,0))*('Margin Guidence Table'!$J$1:$J$10000&gt;=ROUND($DS$3,0)),0),MATCH("DEFAULT_MDA_MIN_MARGIN_GUIDENCE",'Margin Guidence Table'!$A$1:$AG$1,0))),0)</f>
        <v>0</v>
      </c>
      <c r="EG30" s="1054">
        <f t="array" ref="EG30">IFERROR(IF($EC30="SEGMENT",INDEX('Margin Guidence Table'!$A$1:$AG$10000,MATCH(1,('Margin Guidence Table'!$A$1:$A$10000=EA30)*('Margin Guidence Table'!$I$1:$I$10000&lt;=ROUND($DS$3,0))*('Margin Guidence Table'!$J$1:$J$10000&gt;=ROUND($DS$3,0)),0),MATCH("MDA_MEDIAN_MARGIN_GUIDENCE",'Margin Guidence Table'!$A$1:$AG$1,0)),INDEX('Margin Guidence Table'!$A$1:$AG$10000,MATCH(1,('Margin Guidence Table'!$A$1:$A$10000=EA30)*('Margin Guidence Table'!$I$1:$I$10000&lt;=ROUND($DS$3,0))*('Margin Guidence Table'!$J$1:$J$10000&gt;=ROUND($DS$3,0)),0),MATCH("DEFAULT_MDA_MEDIAN_MARGIN_GUIDENCE",'Margin Guidence Table'!$A$1:$AG$1,0))),0)</f>
        <v>0</v>
      </c>
      <c r="EH30" s="1054">
        <f t="array" ref="EH30">IFERROR(IF($EC30="SEGMENT",INDEX('Margin Guidence Table'!$A$1:$AG$10000,MATCH(1,('Margin Guidence Table'!$A$1:$A$10000=EA30)*('Margin Guidence Table'!$I$1:$I$10000&lt;=ROUND($DS$3,0))*('Margin Guidence Table'!$J$1:$J$10000&gt;=ROUND($DS$3,0)),0),MATCH("MDA_MAX_MARGIN_GUIDENCE",'Margin Guidence Table'!$A$1:$AG$1,0)),INDEX('Margin Guidence Table'!$A$1:$AG$10000,MATCH(1,('Margin Guidence Table'!$A$1:$A$10000=EA30)*('Margin Guidence Table'!$I$1:$I$10000&lt;=ROUND($DS$3,0))*('Margin Guidence Table'!$J$1:$J$10000&gt;=ROUND($DS$3,0)),0),MATCH("DEFAULT_MDA_MAX_MARGIN_GUIDENCE",'Margin Guidence Table'!$A$1:$AG$1,0))),0)</f>
        <v>0</v>
      </c>
      <c r="EI30" s="1054">
        <f t="array" ref="EI30">IFERROR(IF($EC30="SEGMENT",INDEX('Margin Guidence Table'!$A$1:$AG$10000,MATCH(1,('Margin Guidence Table'!$A$1:$A$10000=EA30)*('Margin Guidence Table'!$I$1:$I$10000&lt;=ROUND($DS$3,0))*('Margin Guidence Table'!$J$1:$J$10000&gt;=ROUND($DS$3,0)),0),MATCH("PA_PCT_SALES",'Margin Guidence Table'!$A$1:$AG$1,0)),INDEX('Margin Guidence Table'!$A$1:$AG$10000,MATCH(1,('Margin Guidence Table'!$A$1:$A$10000=EA30)*('Margin Guidence Table'!$I$1:$I$10000&lt;=ROUND($DS$3,0))*('Margin Guidence Table'!$J$1:$J$10000&gt;=ROUND($DS$3,0)),0),MATCH("DEFAULT_PA_PCT_SALES",'Margin Guidence Table'!$A$1:$AG$1,0))),0)</f>
        <v>0</v>
      </c>
      <c r="EJ30" s="1054">
        <f t="array" ref="EJ30">IFERROR(IF($EC30="SEGMENT",INDEX('Margin Guidence Table'!$A$1:$AG$10000,MATCH(1,('Margin Guidence Table'!$A$1:$A$10000=EA30)*('Margin Guidence Table'!$I$1:$I$10000&lt;=ROUND($DS$3,0))*('Margin Guidence Table'!$J$1:$J$10000&gt;=ROUND($DS$3,0)),0),MATCH("SELF_FUND_PCT_SALES",'Margin Guidence Table'!$A$1:$AG$1,0)),INDEX('Margin Guidence Table'!$A$1:$AG$10000,MATCH(1,('Margin Guidence Table'!$A$1:$A$10000=EA30)*('Margin Guidence Table'!$I$1:$I$10000&lt;=ROUND($DS$3,0))*('Margin Guidence Table'!$J$1:$J$10000&gt;=ROUND($DS$3,0)),0),MATCH("DEFAULT_SELF_FUND_PCT_SALES",'Margin Guidence Table'!$A$1:$AG$1,0))),0)</f>
        <v>0</v>
      </c>
      <c r="EK30" s="1054">
        <f t="array" ref="EK30">IFERROR(IF($EC30="SEGMENT",INDEX('Margin Guidence Table'!$A$1:$AG$10000,MATCH(1,('Margin Guidence Table'!$A$1:$A$10000=EA30)*('Margin Guidence Table'!$I$1:$I$10000&lt;=ROUND($DS$3,0))*('Margin Guidence Table'!$J$1:$J$10000&gt;=ROUND($DS$3,0)),0),MATCH("CIA_MEDIAN_MARGIN_GUIDENCE",'Margin Guidence Table'!$A$1:$AG$1,0)),INDEX('Margin Guidence Table'!$A$1:$AG$10000,MATCH(1,('Margin Guidence Table'!$A$1:$A$10000=EA30)*('Margin Guidence Table'!$I$1:$I$10000&lt;=ROUND($DS$3,0))*('Margin Guidence Table'!$J$1:$J$10000&gt;=ROUND($DS$3,0)),0),MATCH("DEFAULT_CIA_MEDIAN_MARGIN_GUIDENCE",'Margin Guidence Table'!$A$1:$AG$1,0))),0)</f>
        <v>0</v>
      </c>
      <c r="EL30" s="127"/>
      <c r="EM30" s="18">
        <f t="array" ref="EM30">IFERROR(IF($EZ30="SEGMENT",INDEX('Margin Guidence Table'!$A$1:$AG$10000,MATCH(1,('Margin Guidence Table'!$A$1:$A$10000=$EX30)*('Margin Guidence Table'!$I$1:$I$10000&lt;=ROUND($EP$3,0))*('Margin Guidence Table'!$J$1:$J$10000&gt;=ROUND($EP$3,0)),0),MATCH("PCT_SALES",'Margin Guidence Table'!$A$1:$AG$1,0)),INDEX('Margin Guidence Table'!$A$1:$AG$10000,MATCH(1,('Margin Guidence Table'!$A$1:$A$10000=$EX30)*('Margin Guidence Table'!$I$1:$I$10000&lt;=ROUND($EP$3,0))*('Margin Guidence Table'!$J$1:$J$10000&gt;=ROUND($EP$3,0)),0),MATCH("DEFAULT_PCT_SALES",'Margin Guidence Table'!$A$1:$AG$1,0))),0)</f>
        <v>0</v>
      </c>
      <c r="EN30" s="370" t="e">
        <f t="shared" si="34"/>
        <v>#DIV/0!</v>
      </c>
      <c r="EO30" s="100" t="s">
        <v>89</v>
      </c>
      <c r="EP30" s="92">
        <f>IFERROR(IF(AND($EP$2&lt;&gt;"Enter Spend&gt;&gt;&gt;",EQ18="EXISTING"),SUMIFS('Existing Customers'!$Q:$Q,'Existing Customers'!$A:$A,$EP$1,'Existing Customers'!$H:$H,$EO30)*$EP$4,$EP$3*$EN30),0)</f>
        <v>0</v>
      </c>
      <c r="EQ30" s="87">
        <f>IFERROR(IF(AND($EP$2&lt;&gt;"Enter Spend&gt;&gt;&gt;",EQ2="EXISTING"),SUMIFS('Existing Customers'!$N:$N,'Existing Customers'!$A:$A,$EP$1,'Existing Customers'!$H:$H,$EO30)*$EP$4,$EP30/$FA30),0)</f>
        <v>0</v>
      </c>
      <c r="ER30" s="93">
        <f>IFERROR(IF(AND($EP$2&lt;&gt;"Enter Spend&gt;&gt;&gt;",EQ2="EXISTING"),SUMIFS('Existing Customers'!$O:$O,'Existing Customers'!$H:$H,$EO30,'Existing Customers'!$A:$A,$EP$1)*$EP$4,$EQ30*$EP$8),0)</f>
        <v>0</v>
      </c>
      <c r="ES30" s="93">
        <f>IFERROR(IF(AND($EP$2&lt;&gt;"Enter Spend&gt;&gt;&gt;",EQ2="EXISTING"),SUMIFS('Existing Customers'!$P:$P,'Existing Customers'!$A:$A,$EP$1,'Existing Customers'!$H:$H,$EO30)*$EP$4,$EP30/$FB30),0)</f>
        <v>0</v>
      </c>
      <c r="ET30" s="94">
        <f>IFERROR(IF(AND($EP$2&lt;&gt;"Enter Spend&gt;&gt;&gt;",EQ2="EXISTING"),SUMIFS('Existing Customers'!$V:$V,'Existing Customers'!$H:$H,$EO30,'Existing Customers'!$A:$A,$EP$1)*$EP$4,0),0)</f>
        <v>0</v>
      </c>
      <c r="EU30" s="94">
        <f>IFERROR(IF(AND($EP$2&lt;&gt;"Enter Spend&gt;&gt;&gt;",EQ2="EXISTING"),SUMIFS('Existing Customers'!$R:$R,'Existing Customers'!$H:$H,$EO30,'Existing Customers'!$A:$A,$EP$1)*$EP$4,0),0)</f>
        <v>0</v>
      </c>
      <c r="EV30" s="1050">
        <f>IFERROR(IF(AND($EP$2&lt;&gt;"Enter Spend&gt;&gt;&gt;",EQ2="EXISTING"),SUMIFS('Existing Customers'!$S:$S,'Existing Customers'!$H:$H,$EO30,'Existing Customers'!$A:$A,$EP$1),FF30*EP30),0)</f>
        <v>0</v>
      </c>
      <c r="EW30" s="1050">
        <f>IFERROR(IF(AND($EP$2&lt;&gt;"Enter Spend&gt;&gt;&gt;",EQ2="EXISTING"),SUMIFS('Existing Customers'!$U:$U,'Existing Customers'!$H:$H,$EO30,'Existing Customers'!$A:$A,$EP$1),FG30*EP30),0)</f>
        <v>0</v>
      </c>
      <c r="EX30" s="1053" t="e">
        <f>_xlfn.CONCAT('Customer Inputs'!$AG$10,"_",EO30)</f>
        <v>#N/A</v>
      </c>
      <c r="EY30" s="1053">
        <f t="array" ref="EY30">IFERROR(INDEX('Margin Guidence Table'!$A$1:$AG$10000,MATCH(1,('Margin Guidence Table'!$A$1:$A$10000=EX30)*('Margin Guidence Table'!$I$1:$I$10000&lt;=ROUND($EP$3,0))*('Margin Guidence Table'!$J$1:$J$10000&gt;=ROUND($EP$3,0)),0),MATCH("DATA_POINTS",'Margin Guidence Table'!$A$1:$AG$1,0)),0)</f>
        <v>0</v>
      </c>
      <c r="EZ30" s="1050" t="str">
        <f t="shared" si="35"/>
        <v>DEFAULT</v>
      </c>
      <c r="FA30" s="1050">
        <f t="array" ref="FA30">IFERROR(IF($EZ30="SEGMENT",INDEX('Margin Guidence Table'!$A$1:$AG$10000,MATCH(1,('Margin Guidence Table'!$A$1:$A$10000=EX30)*('Margin Guidence Table'!$I$1:$I$10000&lt;=ROUND($EP$3,0))*('Margin Guidence Table'!$J$1:$J$10000&gt;=ROUND($EP$3,0)),0),MATCH("SALES_CASE",'Margin Guidence Table'!$A$1:$AG$1,0)),INDEX('Margin Guidence Table'!$A$1:$AG$10000,MATCH(1,('Margin Guidence Table'!$A$1:$A$10000=EX30)*('Margin Guidence Table'!$I$1:$I$10000&lt;=ROUND($EP$3,0))*('Margin Guidence Table'!$J$1:$J$10000&gt;=ROUND($EP$3,0)),0),MATCH("DEFAULT_SALES_CASE",'Margin Guidence Table'!$A$1:$AG$1,0))),0)</f>
        <v>0</v>
      </c>
      <c r="FB30" s="1050" cm="1">
        <f t="array" ref="FB30">IFERROR(IF($EZ30="SEGMENT",INDEX('Margin Guidence Table'!$A$1:$AG$10000,MATCH(1,('Margin Guidence Table'!$A$1:$A$10000=EX30)*('Margin Guidence Table'!$I$1:$I$10000&lt;=ROUND($EP$3,0))*('Margin Guidence Table'!$J$1:$J$10000&gt;=ROUND($EP$3,0)),0),MATCH("SALES_LBS",'Margin Guidence Table'!$A$1:$AG$1,0)),INDEX('Margin Guidence Table'!$A$1:$AG$10000,MATCH(1,('Margin Guidence Table'!$A$1:$A$10000=EX30)*('Margin Guidence Table'!$I$1:$I$10000&lt;=ROUND($EP$3,0))*('Margin Guidence Table'!$J$1:$J$10000&gt;=ROUND($EP$3,0)),0),MATCH("DEFAULT_SALES_LBS",'Margin Guidence Table'!$A$1:$AG$1,0))),0)</f>
        <v>0</v>
      </c>
      <c r="FC30" s="1054">
        <f t="array" ref="FC30">IFERROR(IF($EZ30="SEGMENT",INDEX('Margin Guidence Table'!$A$1:$AG$10000,MATCH(1,('Margin Guidence Table'!$A$1:$A$10000=EX30)*('Margin Guidence Table'!$I$1:$I$10000&lt;=ROUND($EP$3,0))*('Margin Guidence Table'!$J$1:$J$10000&gt;=ROUND($EP$3,0)),0),MATCH("MDA_MIN_MARGIN_GUIDENCE",'Margin Guidence Table'!$A$1:$AG$1,0)),INDEX('Margin Guidence Table'!$A$1:$AG$10000,MATCH(1,('Margin Guidence Table'!$A$1:$A$10000=EX30)*('Margin Guidence Table'!$I$1:$I$10000&lt;=ROUND($EP$3,0))*('Margin Guidence Table'!$J$1:$J$10000&gt;=ROUND($EP$3,0)),0),MATCH("DEFAULT_MDA_MIN_MARGIN_GUIDENCE",'Margin Guidence Table'!$A$1:$AG$1,0))),0)</f>
        <v>0</v>
      </c>
      <c r="FD30" s="1054">
        <f t="array" ref="FD30">IFERROR(IF($EZ30="SEGMENT",INDEX('Margin Guidence Table'!$A$1:$AG$10000,MATCH(1,('Margin Guidence Table'!$A$1:$A$10000=EX30)*('Margin Guidence Table'!$I$1:$I$10000&lt;=ROUND($EP$3,0))*('Margin Guidence Table'!$J$1:$J$10000&gt;=ROUND($EP$3,0)),0),MATCH("MDA_MEDIAN_MARGIN_GUIDENCE",'Margin Guidence Table'!$A$1:$AG$1,0)),INDEX('Margin Guidence Table'!$A$1:$AG$10000,MATCH(1,('Margin Guidence Table'!$A$1:$A$10000=EX30)*('Margin Guidence Table'!$I$1:$I$10000&lt;=ROUND($EP$3,0))*('Margin Guidence Table'!$J$1:$J$10000&gt;=ROUND($EP$3,0)),0),MATCH("DEFAULT_MDA_MEDIAN_MARGIN_GUIDENCE",'Margin Guidence Table'!$A$1:$AG$1,0))),0)</f>
        <v>0</v>
      </c>
      <c r="FE30" s="1054">
        <f t="array" ref="FE30">IFERROR(IF($EZ30="SEGMENT",INDEX('Margin Guidence Table'!$A$1:$AG$10000,MATCH(1,('Margin Guidence Table'!$A$1:$A$10000=EX30)*('Margin Guidence Table'!$I$1:$I$10000&lt;=ROUND($EP$3,0))*('Margin Guidence Table'!$J$1:$J$10000&gt;=ROUND($EP$3,0)),0),MATCH("MDA_MAX_MARGIN_GUIDENCE",'Margin Guidence Table'!$A$1:$AG$1,0)),INDEX('Margin Guidence Table'!$A$1:$AG$10000,MATCH(1,('Margin Guidence Table'!$A$1:$A$10000=EX30)*('Margin Guidence Table'!$I$1:$I$10000&lt;=ROUND($EP$3,0))*('Margin Guidence Table'!$J$1:$J$10000&gt;=ROUND($EP$3,0)),0),MATCH("DEFAULT_MDA_MAX_MARGIN_GUIDENCE",'Margin Guidence Table'!$A$1:$AG$1,0))),0)</f>
        <v>0</v>
      </c>
      <c r="FF30" s="1054">
        <f t="array" ref="FF30">IFERROR(IF($EZ30="SEGMENT",INDEX('Margin Guidence Table'!$A$1:$AG$10000,MATCH(1,('Margin Guidence Table'!$A$1:$A$10000=EX30)*('Margin Guidence Table'!$I$1:$I$10000&lt;=ROUND($EP$3,0))*('Margin Guidence Table'!$J$1:$J$10000&gt;=ROUND($EP$3,0)),0),MATCH("PA_PCT_SALES",'Margin Guidence Table'!$A$1:$AG$1,0)),INDEX('Margin Guidence Table'!$A$1:$AG$10000,MATCH(1,('Margin Guidence Table'!$A$1:$A$10000=EX30)*('Margin Guidence Table'!$I$1:$I$10000&lt;=ROUND($EP$3,0))*('Margin Guidence Table'!$J$1:$J$10000&gt;=ROUND($EP$3,0)),0),MATCH("DEFAULT_PA_PCT_SALES",'Margin Guidence Table'!$A$1:$AG$1,0))),0)</f>
        <v>0</v>
      </c>
      <c r="FG30" s="1054">
        <f t="array" ref="FG30">IFERROR(IF($EZ30="SEGMENT",INDEX('Margin Guidence Table'!$A$1:$AG$10000,MATCH(1,('Margin Guidence Table'!$A$1:$A$10000=EX30)*('Margin Guidence Table'!$I$1:$I$10000&lt;=ROUND($EP$3,0))*('Margin Guidence Table'!$J$1:$J$10000&gt;=ROUND($EP$3,0)),0),MATCH("SELF_FUND_PCT_SALES",'Margin Guidence Table'!$A$1:$AG$1,0)),INDEX('Margin Guidence Table'!$A$1:$AG$10000,MATCH(1,('Margin Guidence Table'!$A$1:$A$10000=EX30)*('Margin Guidence Table'!$I$1:$I$10000&lt;=ROUND($EP$3,0))*('Margin Guidence Table'!$J$1:$J$10000&gt;=ROUND($EP$3,0)),0),MATCH("DEFAULT_SELF_FUND_PCT_SALES",'Margin Guidence Table'!$A$1:$AG$1,0))),0)</f>
        <v>0</v>
      </c>
      <c r="FH30" s="1054">
        <f t="array" ref="FH30">IFERROR(IF($EZ30="SEGMENT",INDEX('Margin Guidence Table'!$A$1:$AG$10000,MATCH(1,('Margin Guidence Table'!$A$1:$A$10000=EX30)*('Margin Guidence Table'!$I$1:$I$10000&lt;=ROUND($EP$3,0))*('Margin Guidence Table'!$J$1:$J$10000&gt;=ROUND($EP$3,0)),0),MATCH("CIA_MEDIAN_MARGIN_GUIDENCE",'Margin Guidence Table'!$A$1:$AG$1,0)),INDEX('Margin Guidence Table'!$A$1:$AG$10000,MATCH(1,('Margin Guidence Table'!$A$1:$A$10000=EX30)*('Margin Guidence Table'!$I$1:$I$10000&lt;=ROUND($EP$3,0))*('Margin Guidence Table'!$J$1:$J$10000&gt;=ROUND($EP$3,0)),0),MATCH("DEFAULT_CIA_MEDIAN_MARGIN_GUIDENCE",'Margin Guidence Table'!$A$1:$AG$1,0))),0)</f>
        <v>0</v>
      </c>
      <c r="FI30" s="127"/>
      <c r="FJ30" s="18">
        <f t="array" ref="FJ30">IFERROR(IF($FW30="SEGMENT",INDEX('Margin Guidence Table'!$A$1:$AG$10000,MATCH(1,('Margin Guidence Table'!$A$1:$A$10000=$FU30)*('Margin Guidence Table'!$I$1:$I$10000&lt;=ROUND($FM$3,0))*('Margin Guidence Table'!$J$1:$J$10000&gt;=ROUND($FM$3,0)),0),MATCH("PCT_SALES",'Margin Guidence Table'!$A$1:$AG$1,0)),INDEX('Margin Guidence Table'!$A$1:$AG$10000,MATCH(1,('Margin Guidence Table'!$A$1:$A$10000=$FU30)*('Margin Guidence Table'!$I$1:$I$10000&lt;=ROUND($FM$3,0))*('Margin Guidence Table'!$J$1:$J$10000&gt;=ROUND($FM$3,0)),0),MATCH("DEFAULT_PCT_SALES",'Margin Guidence Table'!$A$1:$AG$1,0))),0)</f>
        <v>0</v>
      </c>
      <c r="FK30" s="370" t="e">
        <f t="shared" si="36"/>
        <v>#DIV/0!</v>
      </c>
      <c r="FL30" s="100" t="s">
        <v>89</v>
      </c>
      <c r="FM30" s="92">
        <f>IFERROR(IF(AND($FM$2&lt;&gt;"Enter Spend&gt;&gt;&gt;",FN18="EXISTING"),SUMIFS('Existing Customers'!$Q:$Q,'Existing Customers'!$A:$A,$FM$1,'Existing Customers'!$H:$H,$FL30)*$FM$4,$FM$3*$FK30),0)</f>
        <v>0</v>
      </c>
      <c r="FN30" s="87">
        <f>IFERROR(IF(AND($FM$2&lt;&gt;"Enter Spend&gt;&gt;&gt;",FN2="EXISTING"),SUMIFS('Existing Customers'!$N:$N,'Existing Customers'!$A:$A,$FM$1,'Existing Customers'!$H:$H,$FL30)*$FM$4,$FM30/$FX30),0)</f>
        <v>0</v>
      </c>
      <c r="FO30" s="93">
        <f>IFERROR(IF(AND($FM$2&lt;&gt;"Enter Spend&gt;&gt;&gt;",FN2="EXISTING"),SUMIFS('Existing Customers'!$O:$O,'Existing Customers'!$H:$H,$FL30,'Existing Customers'!$A:$A,$FM$1)*$FM$4,$FN30*$FM$8),0)</f>
        <v>0</v>
      </c>
      <c r="FP30" s="93">
        <f>IFERROR(IF(AND($FM$2&lt;&gt;"Enter Spend&gt;&gt;&gt;",FN2="EXISTING"),SUMIFS('Existing Customers'!$P:$P,'Existing Customers'!$A:$A,$FM$1,'Existing Customers'!$H:$H,$FL30)*$FM$4,$FM30/$FY30),0)</f>
        <v>0</v>
      </c>
      <c r="FQ30" s="94">
        <f>IFERROR(IF(AND($FM$2&lt;&gt;"Enter Spend&gt;&gt;&gt;",FN2="EXISTING"),SUMIFS('Existing Customers'!$V:$V,'Existing Customers'!$H:$H,$FL30,'Existing Customers'!$A:$A,$FM$1)*$FM$4,0),0)</f>
        <v>0</v>
      </c>
      <c r="FR30" s="94">
        <f>IFERROR(IF(AND($FM$2&lt;&gt;"Enter Spend&gt;&gt;&gt;",FN2="EXISTING"),SUMIFS('Existing Customers'!$R:$R,'Existing Customers'!$H:$H,$FL30,'Existing Customers'!$A:$A,$FM$1)*$FM$4,0),0)</f>
        <v>0</v>
      </c>
      <c r="FS30" s="1050">
        <f>IFERROR(IF(AND($FM$2&lt;&gt;"Enter Spend&gt;&gt;&gt;",FN2="EXISTING"),SUMIFS('Existing Customers'!$S:$S,'Existing Customers'!$H:$H,$FL30,'Existing Customers'!$A:$A,$FM$1),GC30*FM30),0)</f>
        <v>0</v>
      </c>
      <c r="FT30" s="1050">
        <f>IFERROR(IF(AND($FM$2&lt;&gt;"Enter Spend&gt;&gt;&gt;",FN2="EXISTING"),SUMIFS('Existing Customers'!$U:$U,'Existing Customers'!$H:$H,$FL30,'Existing Customers'!$A:$A,$FM$1),GD30*FM30),0)</f>
        <v>0</v>
      </c>
      <c r="FU30" s="1053" t="e">
        <f>_xlfn.CONCAT('Customer Inputs'!$AG$11,"_",FL30)</f>
        <v>#N/A</v>
      </c>
      <c r="FV30" s="1053">
        <f t="array" ref="FV30">IFERROR(INDEX('Margin Guidence Table'!$A$1:$AG$10000,MATCH(1,('Margin Guidence Table'!$A$1:$A$10000=FU30)*('Margin Guidence Table'!$I$1:$I$10000&lt;=ROUND($FM$3,0))*('Margin Guidence Table'!$J$1:$J$10000&gt;=ROUND($FM$3,0)),0),MATCH("DATA_POINTS",'Margin Guidence Table'!$A$1:$AG$1,0)),0)</f>
        <v>0</v>
      </c>
      <c r="FW30" s="1050" t="str">
        <f t="shared" si="37"/>
        <v>DEFAULT</v>
      </c>
      <c r="FX30" s="1050">
        <f t="array" ref="FX30">IFERROR(IF($FW30="SEGMENT",INDEX('Margin Guidence Table'!$A$1:$AG$10000,MATCH(1,('Margin Guidence Table'!$A$1:$A$10000=FU30)*('Margin Guidence Table'!$I$1:$I$10000&lt;=ROUND($FM$3,0))*('Margin Guidence Table'!$J$1:$J$10000&gt;=ROUND($FM$3,0)),0),MATCH("SALES_CASE",'Margin Guidence Table'!$A$1:$AG$1,0)),INDEX('Margin Guidence Table'!$A$1:$AG$10000,MATCH(1,('Margin Guidence Table'!$A$1:$A$10000=FU30)*('Margin Guidence Table'!$I$1:$I$10000&lt;=ROUND($FM$3,0))*('Margin Guidence Table'!$J$1:$J$10000&gt;=ROUND($FM$3,0)),0),MATCH("DEFAULT_SALES_CASE",'Margin Guidence Table'!$A$1:$AG$1,0))),0)</f>
        <v>0</v>
      </c>
      <c r="FY30" s="1050">
        <f t="array" ref="FY30">IFERROR(IF($FW30="SEGMENT",INDEX('Margin Guidence Table'!$A$1:$AG$10000,MATCH(1,('Margin Guidence Table'!$A$1:$A$10000=FU30)*('Margin Guidence Table'!$I$1:$I$10000&lt;=ROUND($FM$3,0))*('Margin Guidence Table'!$J$1:$J$10000&gt;=ROUND($FM$3,0)),0),MATCH("SALES_LBS",'Margin Guidence Table'!$A$1:$AG$1,0)),INDEX('Margin Guidence Table'!$A$1:$AG$10000,MATCH(1,('Margin Guidence Table'!$A$1:$A$10000=FU30)*('Margin Guidence Table'!$I$1:$I$10000&lt;=ROUND($FM$3,0))*('Margin Guidence Table'!$J$1:$J$10000&gt;=ROUND($FM$3,0)),0),MATCH("DEFAULT_SALES_LBS",'Margin Guidence Table'!$A$1:$AG$1,0))),0)</f>
        <v>0</v>
      </c>
      <c r="FZ30" s="1054">
        <f t="array" ref="FZ30">IFERROR(IF($FW30="SEGMENT",INDEX('Margin Guidence Table'!$A$1:$AG$10000,MATCH(1,('Margin Guidence Table'!$A$1:$A$10000=FU30)*('Margin Guidence Table'!$I$1:$I$10000&lt;=ROUND($FM$3,0))*('Margin Guidence Table'!$J$1:$J$10000&gt;=ROUND($FM$3,0)),0),MATCH("MDA_MIN_MARGIN_GUIDENCE",'Margin Guidence Table'!$A$1:$AG$1,0)),INDEX('Margin Guidence Table'!$A$1:$AG$10000,MATCH(1,('Margin Guidence Table'!$A$1:$A$10000=FU30)*('Margin Guidence Table'!$I$1:$I$10000&lt;=ROUND($FM$3,0))*('Margin Guidence Table'!$J$1:$J$10000&gt;=ROUND($FM$3,0)),0),MATCH("DEFAULT_MDA_MIN_MARGIN_GUIDENCE",'Margin Guidence Table'!$A$1:$AG$1,0))),0)</f>
        <v>0</v>
      </c>
      <c r="GA30" s="1054">
        <f t="array" ref="GA30">IFERROR(IF($FW30="SEGMENT",INDEX('Margin Guidence Table'!$A$1:$AG$10000,MATCH(1,('Margin Guidence Table'!$A$1:$A$10000=FU30)*('Margin Guidence Table'!$I$1:$I$10000&lt;=ROUND($FM$3,0))*('Margin Guidence Table'!$J$1:$J$10000&gt;=ROUND($FM$3,0)),0),MATCH("MDA_MEDIAN_MARGIN_GUIDENCE",'Margin Guidence Table'!$A$1:$AG$1,0)),INDEX('Margin Guidence Table'!$A$1:$AG$10000,MATCH(1,('Margin Guidence Table'!$A$1:$A$10000=FU30)*('Margin Guidence Table'!$I$1:$I$10000&lt;=ROUND($FM$3,0))*('Margin Guidence Table'!$J$1:$J$10000&gt;=ROUND($FM$3,0)),0),MATCH("DEFAULT_MDA_MEDIAN_MARGIN_GUIDENCE",'Margin Guidence Table'!$A$1:$AG$1,0))),0)</f>
        <v>0</v>
      </c>
      <c r="GB30" s="1054">
        <f t="array" ref="GB30">IFERROR(IF($FW30="SEGMENT",INDEX('Margin Guidence Table'!$A$1:$AG$10000,MATCH(1,('Margin Guidence Table'!$A$1:$A$10000=FU30)*('Margin Guidence Table'!$I$1:$I$10000&lt;=ROUND($FM$3,0))*('Margin Guidence Table'!$J$1:$J$10000&gt;=ROUND($FM$3,0)),0),MATCH("MDA_MAX_MARGIN_GUIDENCE",'Margin Guidence Table'!$A$1:$AG$1,0)),INDEX('Margin Guidence Table'!$A$1:$AG$10000,MATCH(1,('Margin Guidence Table'!$A$1:$A$10000=FU30)*('Margin Guidence Table'!$I$1:$I$10000&lt;=ROUND($FM$3,0))*('Margin Guidence Table'!$J$1:$J$10000&gt;=ROUND($FM$3,0)),0),MATCH("DEFAULT_MDA_MAX_MARGIN_GUIDENCE",'Margin Guidence Table'!$A$1:$AG$1,0))),0)</f>
        <v>0</v>
      </c>
      <c r="GC30" s="1054">
        <f t="array" ref="GC30">IFERROR(IF($FW30="SEGMENT",INDEX('Margin Guidence Table'!$A$1:$AG$10000,MATCH(1,('Margin Guidence Table'!$A$1:$A$10000=FU30)*('Margin Guidence Table'!$I$1:$I$10000&lt;=ROUND($FM$3,0))*('Margin Guidence Table'!$J$1:$J$10000&gt;=ROUND($FM$3,0)),0),MATCH("PA_PCT_SALES",'Margin Guidence Table'!$A$1:$AG$1,0)),INDEX('Margin Guidence Table'!$A$1:$AG$10000,MATCH(1,('Margin Guidence Table'!$A$1:$A$10000=FU30)*('Margin Guidence Table'!$I$1:$I$10000&lt;=ROUND($FM$3,0))*('Margin Guidence Table'!$J$1:$J$10000&gt;=ROUND($FM$3,0)),0),MATCH("DEFAULT_PA_PCT_SALES",'Margin Guidence Table'!$A$1:$AG$1,0))),0)</f>
        <v>0</v>
      </c>
      <c r="GD30" s="1054">
        <f t="array" ref="GD30">IFERROR(IF($FW30="SEGMENT",INDEX('Margin Guidence Table'!$A$1:$AG$10000,MATCH(1,('Margin Guidence Table'!$A$1:$A$10000=FU30)*('Margin Guidence Table'!$I$1:$I$10000&lt;=ROUND($FM$3,0))*('Margin Guidence Table'!$J$1:$J$10000&gt;=ROUND($FM$3,0)),0),MATCH("SELF_FUND_PCT_SALES",'Margin Guidence Table'!$A$1:$AG$1,0)),INDEX('Margin Guidence Table'!$A$1:$AG$10000,MATCH(1,('Margin Guidence Table'!$A$1:$A$10000=FU30)*('Margin Guidence Table'!$I$1:$I$10000&lt;=ROUND($FM$3,0))*('Margin Guidence Table'!$J$1:$J$10000&gt;=ROUND($FM$3,0)),0),MATCH("DEFAULT_SELF_FUND_PCT_SALES",'Margin Guidence Table'!$A$1:$AG$1,0))),0)</f>
        <v>0</v>
      </c>
      <c r="GE30" s="1054">
        <f t="array" ref="GE30">IFERROR(IF($FW30="SEGMENT",INDEX('Margin Guidence Table'!$A$1:$AG$10000,MATCH(1,('Margin Guidence Table'!$A$1:$A$10000=FU30)*('Margin Guidence Table'!$I$1:$I$10000&lt;=ROUND($FM$3,0))*('Margin Guidence Table'!$J$1:$J$10000&gt;=ROUND($FM$3,0)),0),MATCH("CIA_MEDIAN_MARGIN_GUIDENCE",'Margin Guidence Table'!$A$1:$AG$1,0)),INDEX('Margin Guidence Table'!$A$1:$AG$10000,MATCH(1,('Margin Guidence Table'!$A$1:$A$10000=FU30)*('Margin Guidence Table'!$I$1:$I$10000&lt;=ROUND($FM$3,0))*('Margin Guidence Table'!$J$1:$J$10000&gt;=ROUND($FM$3,0)),0),MATCH("DEFAULT_CIA_MEDIAN_MARGIN_GUIDENCE",'Margin Guidence Table'!$A$1:$AG$1,0))),0)</f>
        <v>0</v>
      </c>
      <c r="GF30" s="127"/>
      <c r="GG30" s="18">
        <f t="array" ref="GG30">IFERROR(IF($GT30="SEGMENT",INDEX('Margin Guidence Table'!$A$1:$AG$10000,MATCH(1,('Margin Guidence Table'!$A$1:$A$10000=$GR30)*('Margin Guidence Table'!$I$1:$I$10000&lt;=ROUND($GJ$3,0))*('Margin Guidence Table'!$J$1:$J$10000&gt;=ROUND($GJ$3,0)),0),MATCH("PCT_SALES",'Margin Guidence Table'!$A$1:$AG$1,0)),INDEX('Margin Guidence Table'!$A$1:$AG$10000,MATCH(1,('Margin Guidence Table'!$A$1:$A$10000=$GR30)*('Margin Guidence Table'!$I$1:$I$10000&lt;=ROUND($GJ$3,0))*('Margin Guidence Table'!$J$1:$J$10000&gt;=ROUND($GJ$3,0)),0),MATCH("DEFAULT_PCT_SALES",'Margin Guidence Table'!$A$1:$AG$1,0))),0)</f>
        <v>0</v>
      </c>
      <c r="GH30" s="370" t="e">
        <f t="shared" si="38"/>
        <v>#DIV/0!</v>
      </c>
      <c r="GI30" s="100" t="s">
        <v>89</v>
      </c>
      <c r="GJ30" s="92">
        <f>IFERROR(IF(AND($GJ$2&lt;&gt;"Enter Spend&gt;&gt;&gt;",GK18="EXISTING"),SUMIFS('Existing Customers'!$Q:$Q,'Existing Customers'!$A:$A,$GJ$1,'Existing Customers'!$H:$H,$GI30)*$GJ$4,$GJ$3*$GH30),0)</f>
        <v>0</v>
      </c>
      <c r="GK30" s="87">
        <f>IFERROR(IF(AND($GJ$2&lt;&gt;"Enter Spend&gt;&gt;&gt;",GK2="EXISTING"),SUMIFS('Existing Customers'!$N:$N,'Existing Customers'!$A:$A,$GJ$1,'Existing Customers'!$H:$H,$GI30)*$GJ$4,$GJ30/$GU30),0)</f>
        <v>0</v>
      </c>
      <c r="GL30" s="93">
        <f>IFERROR(IF(AND($GJ$2&lt;&gt;"Enter Spend&gt;&gt;&gt;",GK2="EXISTING"),SUMIFS('Existing Customers'!$O:$O,'Existing Customers'!$H:$H,$GI30,'Existing Customers'!$A:$A,$GJ$1)*$GJ$4,$GK30*$GJ$8),0)</f>
        <v>0</v>
      </c>
      <c r="GM30" s="93">
        <f>IFERROR(IF(AND($GJ$2&lt;&gt;"Enter Spend&gt;&gt;&gt;",GK2="EXISTING"),SUMIFS('Existing Customers'!$P:$P,'Existing Customers'!$A:$A,$GJ$1,'Existing Customers'!$H:$H,$GI30)*$GJ$4,$GJ30/$GV30),0)</f>
        <v>0</v>
      </c>
      <c r="GN30" s="94">
        <f>IFERROR(IF(AND($GJ$2&lt;&gt;"Enter Spend&gt;&gt;&gt;",GK2="EXISTING"),SUMIFS('Existing Customers'!$V:$V,'Existing Customers'!$H:$H,$GI30,'Existing Customers'!$A:$A,$GJ$1)*$GJ$4,0),0)</f>
        <v>0</v>
      </c>
      <c r="GO30" s="94">
        <f>IFERROR(IF(AND($GJ$2&lt;&gt;"Enter Spend&gt;&gt;&gt;",GK2="EXISTING"),SUMIFS('Existing Customers'!$R:$R,'Existing Customers'!$H:$H,$GI30,'Existing Customers'!$A:$A,$GJ$1)*$GJ$4,0),0)</f>
        <v>0</v>
      </c>
      <c r="GP30" s="1050">
        <f>IFERROR(IF(AND($GJ$2&lt;&gt;"Enter Spend&gt;&gt;&gt;",GK2="EXISTING"),SUMIFS('Existing Customers'!$S:$S,'Existing Customers'!$H:$H,$GI30,'Existing Customers'!$A:$A,$GJ$1),GZ30*GJ30),0)</f>
        <v>0</v>
      </c>
      <c r="GQ30" s="1050">
        <f>IFERROR(IF(AND($GJ$2&lt;&gt;"Enter Spend&gt;&gt;&gt;",GK2="EXISTING"),SUMIFS('Existing Customers'!$U:$U,'Existing Customers'!$H:$H,$GI30,'Existing Customers'!$A:$A,$GJ$1),HA30*GJ30),0)</f>
        <v>0</v>
      </c>
      <c r="GR30" s="1053" t="e">
        <f>_xlfn.CONCAT('Customer Inputs'!$AG$12,"_",GI30)</f>
        <v>#N/A</v>
      </c>
      <c r="GS30" s="1053">
        <f t="array" ref="GS30">IFERROR(INDEX('Margin Guidence Table'!$A$1:$AG$10000,MATCH(1,('Margin Guidence Table'!$A$1:$A$10000=GR30)*('Margin Guidence Table'!$I$1:$I$10000&lt;=ROUND($GJ$3,0))*('Margin Guidence Table'!$J$1:$J$10000&gt;=ROUND($GJ$3,0)),0),MATCH("DATA_POINTS",'Margin Guidence Table'!$A$1:$AG$1,0)),0)</f>
        <v>0</v>
      </c>
      <c r="GT30" s="1050" t="str">
        <f t="shared" si="39"/>
        <v>DEFAULT</v>
      </c>
      <c r="GU30" s="1050">
        <f t="array" ref="GU30">IFERROR(IF($GT30="SEGMENT",INDEX('Margin Guidence Table'!$A$1:$AG$10000,MATCH(1,('Margin Guidence Table'!$A$1:$A$10000=GR30)*('Margin Guidence Table'!$I$1:$I$10000&lt;=ROUND($GJ$3,0))*('Margin Guidence Table'!$J$1:$J$10000&gt;=ROUND($GJ$3,0)),0),MATCH("SALES_CASE",'Margin Guidence Table'!$A$1:$AG$1,0)),INDEX('Margin Guidence Table'!$A$1:$AG$10000,MATCH(1,('Margin Guidence Table'!$A$1:$A$10000=GR30)*('Margin Guidence Table'!$I$1:$I$10000&lt;=ROUND($GJ$3,0))*('Margin Guidence Table'!$J$1:$J$10000&gt;=ROUND($GJ$3,0)),0),MATCH("DEFAULT_SALES_CASE",'Margin Guidence Table'!$A$1:$AG$1,0))),0)</f>
        <v>0</v>
      </c>
      <c r="GV30" s="1050">
        <f t="array" ref="GV30">IFERROR(IF($GT30="SEGMENT",INDEX('Margin Guidence Table'!$A$1:$AG$10000,MATCH(1,('Margin Guidence Table'!$A$1:$A$10000=GR30)*('Margin Guidence Table'!$I$1:$I$10000&lt;=ROUND($GJ$3,0))*('Margin Guidence Table'!$J$1:$J$10000&gt;=ROUND($GJ$3,0)),0),MATCH("SALES_LBS",'Margin Guidence Table'!$A$1:$AG$1,0)),INDEX('Margin Guidence Table'!$A$1:$AG$10000,MATCH(1,('Margin Guidence Table'!$A$1:$A$10000=GR30)*('Margin Guidence Table'!$I$1:$I$10000&lt;=ROUND($GJ$3,0))*('Margin Guidence Table'!$J$1:$J$10000&gt;=ROUND($GJ$3,0)),0),MATCH("DEFAULT_SALES_LBS",'Margin Guidence Table'!$A$1:$AG$1,0))),0)</f>
        <v>0</v>
      </c>
      <c r="GW30" s="1054">
        <f t="array" ref="GW30">IFERROR(IF($GT30="SEGMENT",INDEX('Margin Guidence Table'!$A$1:$AG$10000,MATCH(1,('Margin Guidence Table'!$A$1:$A$10000=GR30)*('Margin Guidence Table'!$I$1:$I$10000&lt;=ROUND($GJ$3,0))*('Margin Guidence Table'!$J$1:$J$10000&gt;=ROUND($GJ$3,0)),0),MATCH("MDA_MIN_MARGIN_GUIDENCE",'Margin Guidence Table'!$A$1:$AG$1,0)),INDEX('Margin Guidence Table'!$A$1:$AG$10000,MATCH(1,('Margin Guidence Table'!$A$1:$A$10000=GR30)*('Margin Guidence Table'!$I$1:$I$10000&lt;=ROUND($GJ$3,0))*('Margin Guidence Table'!$J$1:$J$10000&gt;=ROUND($GJ$3,0)),0),MATCH("DEFAULT_MDA_MIN_MARGIN_GUIDENCE",'Margin Guidence Table'!$A$1:$AG$1,0))),0)</f>
        <v>0</v>
      </c>
      <c r="GX30" s="1054">
        <f t="array" ref="GX30">IFERROR(IF($GT30="SEGMENT",INDEX('Margin Guidence Table'!$A$1:$AG$10000,MATCH(1,('Margin Guidence Table'!$A$1:$A$10000=GR30)*('Margin Guidence Table'!$I$1:$I$10000&lt;=ROUND($GJ$3,0))*('Margin Guidence Table'!$J$1:$J$10000&gt;=ROUND($GJ$3,0)),0),MATCH("MDA_MEDIAN_MARGIN_GUIDENCE",'Margin Guidence Table'!$A$1:$AG$1,0)),INDEX('Margin Guidence Table'!$A$1:$AG$10000,MATCH(1,('Margin Guidence Table'!$A$1:$A$10000=GR30)*('Margin Guidence Table'!$I$1:$I$10000&lt;=ROUND($GJ$3,0))*('Margin Guidence Table'!$J$1:$J$10000&gt;=ROUND($GJ$3,0)),0),MATCH("DEFAULT_MDA_MEDIAN_MARGIN_GUIDENCE",'Margin Guidence Table'!$A$1:$AG$1,0))),0)</f>
        <v>0</v>
      </c>
      <c r="GY30" s="1054">
        <f t="array" ref="GY30">IFERROR(IF($GT30="SEGMENT",INDEX('Margin Guidence Table'!$A$1:$AG$10000,MATCH(1,('Margin Guidence Table'!$A$1:$A$10000=GR30)*('Margin Guidence Table'!$I$1:$I$10000&lt;=ROUND($GJ$3,0))*('Margin Guidence Table'!$J$1:$J$10000&gt;=ROUND($GJ$3,0)),0),MATCH("MDA_MAX_MARGIN_GUIDENCE",'Margin Guidence Table'!$A$1:$AG$1,0)),INDEX('Margin Guidence Table'!$A$1:$AG$10000,MATCH(1,('Margin Guidence Table'!$A$1:$A$10000=GR30)*('Margin Guidence Table'!$I$1:$I$10000&lt;=ROUND($GJ$3,0))*('Margin Guidence Table'!$J$1:$J$10000&gt;=ROUND($GJ$3,0)),0),MATCH("DEFAULT_MDA_MAX_MARGIN_GUIDENCE",'Margin Guidence Table'!$A$1:$AG$1,0))),0)</f>
        <v>0</v>
      </c>
      <c r="GZ30" s="1054">
        <f t="array" ref="GZ30">IFERROR(IF($GT30="SEGMENT",INDEX('Margin Guidence Table'!$A$1:$AG$10000,MATCH(1,('Margin Guidence Table'!$A$1:$A$10000=GR30)*('Margin Guidence Table'!$I$1:$I$10000&lt;=ROUND($GJ$3,0))*('Margin Guidence Table'!$J$1:$J$10000&gt;=ROUND($GJ$3,0)),0),MATCH("PA_PCT_SALES",'Margin Guidence Table'!$A$1:$AG$1,0)),INDEX('Margin Guidence Table'!$A$1:$AG$10000,MATCH(1,('Margin Guidence Table'!$A$1:$A$10000=GR30)*('Margin Guidence Table'!$I$1:$I$10000&lt;=ROUND($GJ$3,0))*('Margin Guidence Table'!$J$1:$J$10000&gt;=ROUND($GJ$3,0)),0),MATCH("DEFAULT_PA_PCT_SALES",'Margin Guidence Table'!$A$1:$AG$1,0))),0)</f>
        <v>0</v>
      </c>
      <c r="HA30" s="1054">
        <f t="array" ref="HA30">IFERROR(IF($GT30="SEGMENT",INDEX('Margin Guidence Table'!$A$1:$AG$10000,MATCH(1,('Margin Guidence Table'!$A$1:$A$10000=GR30)*('Margin Guidence Table'!$I$1:$I$10000&lt;=ROUND($GJ$3,0))*('Margin Guidence Table'!$J$1:$J$10000&gt;=ROUND($GJ$3,0)),0),MATCH("SELF_FUND_PCT_SALES",'Margin Guidence Table'!$A$1:$AG$1,0)),INDEX('Margin Guidence Table'!$A$1:$AG$10000,MATCH(1,('Margin Guidence Table'!$A$1:$A$10000=GR30)*('Margin Guidence Table'!$I$1:$I$10000&lt;=ROUND($GJ$3,0))*('Margin Guidence Table'!$J$1:$J$10000&gt;=ROUND($GJ$3,0)),0),MATCH("DEFAULT_SELF_FUND_PCT_SALES",'Margin Guidence Table'!$A$1:$AG$1,0))),0)</f>
        <v>0</v>
      </c>
      <c r="HB30" s="1054">
        <f t="array" ref="HB30">IFERROR(IF($GT30="SEGMENT",INDEX('Margin Guidence Table'!$A$1:$AG$10000,MATCH(1,('Margin Guidence Table'!$A$1:$A$10000=GR30)*('Margin Guidence Table'!$I$1:$I$10000&lt;=ROUND($GJ$3,0))*('Margin Guidence Table'!$J$1:$J$10000&gt;=ROUND($GJ$3,0)),0),MATCH("CIA_MEDIAN_MARGIN_GUIDENCE",'Margin Guidence Table'!$A$1:$AG$1,0)),INDEX('Margin Guidence Table'!$A$1:$AG$10000,MATCH(1,('Margin Guidence Table'!$A$1:$A$10000=GR30)*('Margin Guidence Table'!$I$1:$I$10000&lt;=ROUND($GJ$3,0))*('Margin Guidence Table'!$J$1:$J$10000&gt;=ROUND($GJ$3,0)),0),MATCH("DEFAULT_CIA_MEDIAN_MARGIN_GUIDENCE",'Margin Guidence Table'!$A$1:$AG$1,0))),0)</f>
        <v>0</v>
      </c>
      <c r="HC30" s="127"/>
      <c r="HD30" s="18">
        <f t="array" ref="HD30">IFERROR(IF($HQ30="SEGMENT",INDEX('Margin Guidence Table'!$A$1:$AG$10000,MATCH(1,('Margin Guidence Table'!$A$1:$A$10000=$HO30)*('Margin Guidence Table'!$I$1:$I$10000&lt;=ROUND($HG$3,0))*('Margin Guidence Table'!$J$1:$J$10000&gt;=ROUND($HG$3,0)),0),MATCH("PCT_SALES",'Margin Guidence Table'!$A$1:$AG$1,0)),INDEX('Margin Guidence Table'!$A$1:$AG$10000,MATCH(1,('Margin Guidence Table'!$A$1:$A$10000=$HO30)*('Margin Guidence Table'!$I$1:$I$10000&lt;=ROUND($HG$3,0))*('Margin Guidence Table'!$J$1:$J$10000&gt;=ROUND($HG$3,0)),0),MATCH("DEFAULT_PCT_SALES",'Margin Guidence Table'!$A$1:$AG$1,0))),0)</f>
        <v>0</v>
      </c>
      <c r="HE30" s="370" t="e">
        <f t="shared" si="40"/>
        <v>#DIV/0!</v>
      </c>
      <c r="HF30" s="100" t="s">
        <v>89</v>
      </c>
      <c r="HG30" s="92">
        <f>IFERROR(IF(AND($HG$2&lt;&gt;"Enter Spend&gt;&gt;&gt;",HH18="EXISTING"),SUMIFS('Existing Customers'!$Q:$Q,'Existing Customers'!$A:$A,$HG$1,'Existing Customers'!$H:$H,$HF30)*$HG$4,$HG$3*$HE30),0)</f>
        <v>0</v>
      </c>
      <c r="HH30" s="87">
        <f>IFERROR(IF(AND($HG$2&lt;&gt;"Enter Spend&gt;&gt;&gt;",HH2="EXISTING"),SUMIFS('Existing Customers'!$N:$N,'Existing Customers'!$A:$A,$HG$1,'Existing Customers'!$H:$H,$HF30)*$HG$4,$HG30/$HR30),0)</f>
        <v>0</v>
      </c>
      <c r="HI30" s="93">
        <f>IFERROR(IF(AND($HG$2&lt;&gt;"Enter Spend&gt;&gt;&gt;",HH2="EXISTING"),SUMIFS('Existing Customers'!$O:$O,'Existing Customers'!$H:$H,$HF30,'Existing Customers'!$A:$A,$HG$1)*$HG$4,$HH30*$HG$8),0)</f>
        <v>0</v>
      </c>
      <c r="HJ30" s="93">
        <f>IFERROR(IF(AND($HG$2&lt;&gt;"Enter Spend&gt;&gt;&gt;",HH2="EXISTING"),SUMIFS('Existing Customers'!$P:$P,'Existing Customers'!$A:$A,$HG$1,'Existing Customers'!$H:$H,$HF30)*$HG$4,$HG30/$HS30),0)</f>
        <v>0</v>
      </c>
      <c r="HK30" s="94">
        <f>IFERROR(IF(AND($HG$2&lt;&gt;"Enter Spend&gt;&gt;&gt;",HH2="EXISTING"),SUMIFS('Existing Customers'!$V:$V,'Existing Customers'!$H:$H,$HF30,'Existing Customers'!$A:$A,$HG$1)*$HG$4,0),0)</f>
        <v>0</v>
      </c>
      <c r="HL30" s="94">
        <f>IFERROR(IF(AND($HG$2&lt;&gt;"Enter Spend&gt;&gt;&gt;",HH2="EXISTING"),SUMIFS('Existing Customers'!$R:$R,'Existing Customers'!$H:$H,$HF30,'Existing Customers'!$A:$A,$HG$1)*$HG$4,0),0)</f>
        <v>0</v>
      </c>
      <c r="HM30" s="1050">
        <f>IFERROR(IF(AND($HG$2&lt;&gt;"Enter Spend&gt;&gt;&gt;",HH2="EXISTING"),SUMIFS('Existing Customers'!$S:$S,'Existing Customers'!$H:$H,$HF30,'Existing Customers'!$A:$A,$HG$1),HW30*HG30),0)</f>
        <v>0</v>
      </c>
      <c r="HN30" s="1050">
        <f>IFERROR(IF(AND($HG$2&lt;&gt;"Enter Spend&gt;&gt;&gt;",HH2="EXISTING"),SUMIFS('Existing Customers'!$U:$U,'Existing Customers'!$H:$H,$HF30,'Existing Customers'!$A:$A,$HG$1),HX30*HG30),0)</f>
        <v>0</v>
      </c>
      <c r="HO30" s="1053" t="e">
        <f>_xlfn.CONCAT('Customer Inputs'!$AG$13,"_",HF30)</f>
        <v>#N/A</v>
      </c>
      <c r="HP30" s="1053">
        <f t="array" ref="HP30">IFERROR(INDEX('Margin Guidence Table'!$A$1:$AG$10000,MATCH(1,('Margin Guidence Table'!$A$1:$A$10000=HO30)*('Margin Guidence Table'!$I$1:$I$10000&lt;=ROUND($HG$3,0))*('Margin Guidence Table'!$J$1:$J$10000&gt;=ROUND($HG$3,0)),0),MATCH("DATA_POINTS",'Margin Guidence Table'!$A$1:$AG$1,0)),0)</f>
        <v>0</v>
      </c>
      <c r="HQ30" s="1050" t="str">
        <f t="shared" si="41"/>
        <v>DEFAULT</v>
      </c>
      <c r="HR30" s="1050">
        <f t="array" ref="HR30">IFERROR(IF($HQ30="SEGMENT",INDEX('Margin Guidence Table'!$A$1:$AG$10000,MATCH(1,('Margin Guidence Table'!$A$1:$A$10000=HO30)*('Margin Guidence Table'!$I$1:$I$10000&lt;=ROUND($HG$3,0))*('Margin Guidence Table'!$J$1:$J$10000&gt;=ROUND($HG$3,0)),0),MATCH("SALES_CASE",'Margin Guidence Table'!$A$1:$AG$1,0)),INDEX('Margin Guidence Table'!$A$1:$AG$10000,MATCH(1,('Margin Guidence Table'!$A$1:$A$10000=HO30)*('Margin Guidence Table'!$I$1:$I$10000&lt;=ROUND($HG$3,0))*('Margin Guidence Table'!$J$1:$J$10000&gt;=ROUND($HG$3,0)),0),MATCH("DEFAULT_SALES_CASE",'Margin Guidence Table'!$A$1:$AG$1,0))),0)</f>
        <v>0</v>
      </c>
      <c r="HS30" s="1050">
        <f t="array" ref="HS30">IFERROR(IF($HQ30="SEGMENT",INDEX('Margin Guidence Table'!$A$1:$AG$10000,MATCH(1,('Margin Guidence Table'!$A$1:$A$10000=HO30)*('Margin Guidence Table'!$I$1:$I$10000&lt;=ROUND($HG$3,0))*('Margin Guidence Table'!$J$1:$J$10000&gt;=ROUND($HG$3,0)),0),MATCH("SALES_LBS",'Margin Guidence Table'!$A$1:$AG$1,0)),INDEX('Margin Guidence Table'!$A$1:$AG$10000,MATCH(1,('Margin Guidence Table'!$A$1:$A$10000=HO30)*('Margin Guidence Table'!$I$1:$I$10000&lt;=ROUND($HG$3,0))*('Margin Guidence Table'!$J$1:$J$10000&gt;=ROUND($HG$3,0)),0),MATCH("DEFAULT_SALES_LBS",'Margin Guidence Table'!$A$1:$AG$1,0))),0)</f>
        <v>0</v>
      </c>
      <c r="HT30" s="1054">
        <f t="array" ref="HT30">IFERROR(IF($HQ30="SEGMENT",INDEX('Margin Guidence Table'!$A$1:$AG$10000,MATCH(1,('Margin Guidence Table'!$A$1:$A$10000=HO30)*('Margin Guidence Table'!$I$1:$I$10000&lt;=ROUND($HG$3,0))*('Margin Guidence Table'!$J$1:$J$10000&gt;=ROUND($HG$3,0)),0),MATCH("MDA_MIN_MARGIN_GUIDENCE",'Margin Guidence Table'!$A$1:$AG$1,0)),INDEX('Margin Guidence Table'!$A$1:$AG$10000,MATCH(1,('Margin Guidence Table'!$A$1:$A$10000=HO30)*('Margin Guidence Table'!$I$1:$I$10000&lt;=ROUND($HG$3,0))*('Margin Guidence Table'!$J$1:$J$10000&gt;=ROUND($HG$3,0)),0),MATCH("DEFAULT_MDA_MIN_MARGIN_GUIDENCE",'Margin Guidence Table'!$A$1:$AG$1,0))),0)</f>
        <v>0</v>
      </c>
      <c r="HU30" s="1054">
        <f t="array" ref="HU30">IFERROR(IF($HQ30="SEGMENT",INDEX('Margin Guidence Table'!$A$1:$AG$10000,MATCH(1,('Margin Guidence Table'!$A$1:$A$10000=HO30)*('Margin Guidence Table'!$I$1:$I$10000&lt;=ROUND($HG$3,0))*('Margin Guidence Table'!$J$1:$J$10000&gt;=ROUND($HG$3,0)),0),MATCH("MDA_MEDIAN_MARGIN_GUIDENCE",'Margin Guidence Table'!$A$1:$AG$1,0)),INDEX('Margin Guidence Table'!$A$1:$AG$10000,MATCH(1,('Margin Guidence Table'!$A$1:$A$10000=HO30)*('Margin Guidence Table'!$I$1:$I$10000&lt;=ROUND($HG$3,0))*('Margin Guidence Table'!$J$1:$J$10000&gt;=ROUND($HG$3,0)),0),MATCH("DEFAULT_MDA_MEDIAN_MARGIN_GUIDENCE",'Margin Guidence Table'!$A$1:$AG$1,0))),0)</f>
        <v>0</v>
      </c>
      <c r="HV30" s="1054">
        <f t="array" ref="HV30">IFERROR(IF($HQ30="SEGMENT",INDEX('Margin Guidence Table'!$A$1:$AG$10000,MATCH(1,('Margin Guidence Table'!$A$1:$A$10000=HO30)*('Margin Guidence Table'!$I$1:$I$10000&lt;=ROUND($HG$3,0))*('Margin Guidence Table'!$J$1:$J$10000&gt;=ROUND($HG$3,0)),0),MATCH("MDA_MAX_MARGIN_GUIDENCE",'Margin Guidence Table'!$A$1:$AG$1,0)),INDEX('Margin Guidence Table'!$A$1:$AG$10000,MATCH(1,('Margin Guidence Table'!$A$1:$A$10000=HO30)*('Margin Guidence Table'!$I$1:$I$10000&lt;=ROUND($HG$3,0))*('Margin Guidence Table'!$J$1:$J$10000&gt;=ROUND($HG$3,0)),0),MATCH("DEFAULT_MDA_MAX_MARGIN_GUIDENCE",'Margin Guidence Table'!$A$1:$AG$1,0))),0)</f>
        <v>0</v>
      </c>
      <c r="HW30" s="1054">
        <f t="array" ref="HW30">IFERROR(IF($HQ30="SEGMENT",INDEX('Margin Guidence Table'!$A$1:$AG$10000,MATCH(1,('Margin Guidence Table'!$A$1:$A$10000=HO30)*('Margin Guidence Table'!$I$1:$I$10000&lt;=ROUND($HG$3,0))*('Margin Guidence Table'!$J$1:$J$10000&gt;=ROUND($HG$3,0)),0),MATCH("PA_PCT_SALES",'Margin Guidence Table'!$A$1:$AG$1,0)),INDEX('Margin Guidence Table'!$A$1:$AG$10000,MATCH(1,('Margin Guidence Table'!$A$1:$A$10000=HO30)*('Margin Guidence Table'!$I$1:$I$10000&lt;=ROUND($HG$3,0))*('Margin Guidence Table'!$J$1:$J$10000&gt;=ROUND($HG$3,0)),0),MATCH("DEFAULT_PA_PCT_SALES",'Margin Guidence Table'!$A$1:$AG$1,0))),0)</f>
        <v>0</v>
      </c>
      <c r="HX30" s="1054">
        <f t="array" ref="HX30">IFERROR(IF($HQ30="SEGMENT",INDEX('Margin Guidence Table'!$A$1:$AG$10000,MATCH(1,('Margin Guidence Table'!$A$1:$A$10000=HO30)*('Margin Guidence Table'!$I$1:$I$10000&lt;=ROUND($HG$3,0))*('Margin Guidence Table'!$J$1:$J$10000&gt;=ROUND($HG$3,0)),0),MATCH("SELF_FUND_PCT_SALES",'Margin Guidence Table'!$A$1:$AG$1,0)),INDEX('Margin Guidence Table'!$A$1:$AG$10000,MATCH(1,('Margin Guidence Table'!$A$1:$A$10000=HO30)*('Margin Guidence Table'!$I$1:$I$10000&lt;=ROUND($HG$3,0))*('Margin Guidence Table'!$J$1:$J$10000&gt;=ROUND($HG$3,0)),0),MATCH("DEFAULT_SELF_FUND_PCT_SALES",'Margin Guidence Table'!$A$1:$AG$1,0))),0)</f>
        <v>0</v>
      </c>
      <c r="HY30" s="1054">
        <f t="array" ref="HY30">IFERROR(IF($HQ30="SEGMENT",INDEX('Margin Guidence Table'!$A$1:$AG$10000,MATCH(1,('Margin Guidence Table'!$A$1:$A$10000=HO30)*('Margin Guidence Table'!$I$1:$I$10000&lt;=ROUND($HG$3,0))*('Margin Guidence Table'!$J$1:$J$10000&gt;=ROUND($HG$3,0)),0),MATCH("CIA_MEDIAN_MARGIN_GUIDENCE",'Margin Guidence Table'!$A$1:$AG$1,0)),INDEX('Margin Guidence Table'!$A$1:$AG$10000,MATCH(1,('Margin Guidence Table'!$A$1:$A$10000=HO30)*('Margin Guidence Table'!$I$1:$I$10000&lt;=ROUND($HG$3,0))*('Margin Guidence Table'!$J$1:$J$10000&gt;=ROUND($HG$3,0)),0),MATCH("DEFAULT_CIA_MEDIAN_MARGIN_GUIDENCE",'Margin Guidence Table'!$A$1:$AG$1,0))),0)</f>
        <v>0</v>
      </c>
      <c r="HZ30" s="127"/>
      <c r="IA30" s="18">
        <f t="array" ref="IA30">IFERROR(IF($IN30="SEGMENT",INDEX('Margin Guidence Table'!$A:$AC,MATCH(1,('Margin Guidence Table'!$A:$A=$IL30)*('Margin Guidence Table'!$H:$H&lt;=ROUND($ID$3,0))*('Margin Guidence Table'!$G:$G&gt;=ROUND($ID$3,0)),0),MATCH("PCT_SALES",'Margin Guidence Table'!$A$1:$AG$1,0)),INDEX('Margin Guidence Table'!$A:$AC,MATCH(1,('Margin Guidence Table'!$A:$A=$IL30)*('Margin Guidence Table'!$H:$H&lt;=ROUND($ID$3,0))*('Margin Guidence Table'!$G:$G&gt;=ROUND($ID$3,0)),0),MATCH("DEFAULT_PCT_SALES",'Margin Guidence Table'!$A$1:$AG$1,0))),0)</f>
        <v>0</v>
      </c>
      <c r="IB30" s="370" t="e">
        <f t="shared" si="42"/>
        <v>#DIV/0!</v>
      </c>
      <c r="IC30" s="100" t="s">
        <v>89</v>
      </c>
      <c r="ID30" s="92">
        <f>IFERROR(IF(AND($ID$2&lt;&gt;"Enter Spend&gt;&gt;&gt;",IE18="EXISTING"),SUMIFS('Existing Customers'!$Q:$Q,'Existing Customers'!$A:$A,$ID$1,'Existing Customers'!$H:$H,$IC30)*$ID$4,$ID$3*$IB30),0)</f>
        <v>0</v>
      </c>
      <c r="IE30" s="87">
        <f>IFERROR(IF(AND($ID$2&lt;&gt;"Enter Spend&gt;&gt;&gt;",IE2="EXISTING"),SUMIFS('Existing Customers'!$N:$N,'Existing Customers'!$A:$A,$ID$1,'Existing Customers'!$H:$H,$IC30)*$ID$4,$ID30/$IO30),0)</f>
        <v>0</v>
      </c>
      <c r="IF30" s="93">
        <f>IFERROR(IF(AND($ID$2&lt;&gt;"Enter Spend&gt;&gt;&gt;",IE2="EXISTING"),SUMIFS('Existing Customers'!$O:$O,'Existing Customers'!$H:$H,$IC30,'Existing Customers'!$A:$A,$ID$1)*$ID$4,$IE30*$ID$8),0)</f>
        <v>0</v>
      </c>
      <c r="IG30" s="93">
        <f>IFERROR(IF(AND($ID$2&lt;&gt;"Enter Spend&gt;&gt;&gt;",IE2="EXISTING"),SUMIFS('Existing Customers'!$P:$P,'Existing Customers'!$A:$A,$ID$1,'Existing Customers'!$H:$H,$IC30)*$ID$4,$ID30/$IP30),0)</f>
        <v>0</v>
      </c>
      <c r="IH30" s="376">
        <f>IFERROR(IF(AND($ID$2&lt;&gt;"Enter Spend&gt;&gt;&gt;",IE2="EXISTING"),SUMIFS('Existing Customers'!$V:$V,'Existing Customers'!$H:$H,$IC30,'Existing Customers'!$A:$A,$ID$1)*$ID$4,0),0)</f>
        <v>0</v>
      </c>
      <c r="II30" s="94">
        <f>IFERROR(IF(AND($ID$2&lt;&gt;"Enter Spend&gt;&gt;&gt;",IE2="EXISTING"),SUMIFS('Existing Customers'!$R:$R,'Existing Customers'!$H:$H,$IC30,'Existing Customers'!$A:$A,$ID$1)*$ID$4,0),0)</f>
        <v>0</v>
      </c>
      <c r="IJ30" s="1050">
        <f>IFERROR(IF(AND($ID$2&lt;&gt;"Enter Spend&gt;&gt;&gt;",IE2="EXISTING"),SUMIFS('Existing Customers'!$S:$S,'Existing Customers'!$H:$H,$IC30,'Existing Customers'!$A:$A,$ID$1),IT30*ID30),0)</f>
        <v>0</v>
      </c>
      <c r="IK30" s="1050">
        <f>IFERROR(IF(AND($ID$2&lt;&gt;"Enter Spend&gt;&gt;&gt;",IE2="EXISTING"),SUMIFS('Existing Customers'!$U:$U,'Existing Customers'!$H:$H,$IC30,'Existing Customers'!$A:$A,$ID$1),IU30*ID30),0)</f>
        <v>0</v>
      </c>
      <c r="IL30" s="1053" t="e">
        <f>_xlfn.CONCAT('Customer Inputs'!$AG$14,"_",IC30)</f>
        <v>#N/A</v>
      </c>
      <c r="IM30" s="1053">
        <f t="array" ref="IM30">IFERROR(INDEX('Margin Guidence Table'!$A$1:$AG$10000,MATCH(1,('Margin Guidence Table'!$A$1:$A$10000=IL30)*('Margin Guidence Table'!$I$1:$I$10000&lt;=ROUND($ID$3,0))*('Margin Guidence Table'!$J$1:$J$10000&gt;=ROUND($ID$3,0)),0),MATCH("DATA_POINTS",'Margin Guidence Table'!$A$1:$AG$1,0)),0)</f>
        <v>0</v>
      </c>
      <c r="IN30" s="1050" t="str">
        <f t="shared" si="43"/>
        <v>DEFAULT</v>
      </c>
      <c r="IO30" s="1050">
        <f t="array" ref="IO30">IFERROR(IF($IN30="SEGMENT",INDEX('Margin Guidence Table'!$A$1:$AG$10000,MATCH(1,('Margin Guidence Table'!$A$1:$A$10000=IL30)*('Margin Guidence Table'!$I$1:$I$10000&lt;=ROUND($ID$3,0))*('Margin Guidence Table'!$J$1:$J$10000&gt;=ROUND($ID$3,0)),0),MATCH("SALES_CASE",'Margin Guidence Table'!$A$1:$AG$1,0)),INDEX('Margin Guidence Table'!$A$1:$AG$10000,MATCH(1,('Margin Guidence Table'!$A$1:$A$10000=IL30)*('Margin Guidence Table'!$I$1:$I$10000&lt;=ROUND($ID$3,0))*('Margin Guidence Table'!$J$1:$J$10000&gt;=ROUND($ID$3,0)),0),MATCH("DEFAULT_SALES_CASE",'Margin Guidence Table'!$A$1:$AG$1,0))),0)</f>
        <v>0</v>
      </c>
      <c r="IP30" s="1050">
        <f t="array" ref="IP30">IFERROR(IF($IN30="SEGMENT",INDEX('Margin Guidence Table'!$A$1:$AG$10000,MATCH(1,('Margin Guidence Table'!$A$1:$A$10000=IL30)*('Margin Guidence Table'!$I$1:$I$10000&lt;=ROUND($ID$3,0))*('Margin Guidence Table'!$J$1:$J$10000&gt;=ROUND($ID$3,0)),0),MATCH("SALES_LBS",'Margin Guidence Table'!$A$1:$AG$1,0)),INDEX('Margin Guidence Table'!$A$1:$AG$10000,MATCH(1,('Margin Guidence Table'!$A$1:$A$10000=IL30)*('Margin Guidence Table'!$I$1:$I$10000&lt;=ROUND($ID$3,0))*('Margin Guidence Table'!$J$1:$J$10000&gt;=ROUND($ID$3,0)),0),MATCH("DEFAULT_SALES_LBS",'Margin Guidence Table'!$A$1:$AG$1,0))),0)</f>
        <v>0</v>
      </c>
      <c r="IQ30" s="1054">
        <f t="array" ref="IQ30">IFERROR(IF($IN30="SEGMENT",INDEX('Margin Guidence Table'!$A$1:$AG$10000,MATCH(1,('Margin Guidence Table'!$A$1:$A$10000=IL30)*('Margin Guidence Table'!$I$1:$I$10000&lt;=ROUND($ID$3,0))*('Margin Guidence Table'!$J$1:$J$10000&gt;=ROUND($ID$3,0)),0),MATCH("MDA_MIN_MARGIN_GUIDENCE",'Margin Guidence Table'!$A$1:$AG$1,0)),INDEX('Margin Guidence Table'!$A$1:$AG$10000,MATCH(1,('Margin Guidence Table'!$A$1:$A$10000=IL30)*('Margin Guidence Table'!$I$1:$I$10000&lt;=ROUND($ID$3,0))*('Margin Guidence Table'!$J$1:$J$10000&gt;=ROUND($ID$3,0)),0),MATCH("DEFAULT_MDA_MIN_MARGIN_GUIDENCE",'Margin Guidence Table'!$A$1:$AG$1,0))),0)</f>
        <v>0</v>
      </c>
      <c r="IR30" s="1054">
        <f t="array" ref="IR30">IFERROR(IF($IN30="SEGMENT",INDEX('Margin Guidence Table'!$A$1:$AG$10000,MATCH(1,('Margin Guidence Table'!$A$1:$A$10000=IL30)*('Margin Guidence Table'!$I$1:$I$10000&lt;=ROUND($ID$3,0))*('Margin Guidence Table'!$J$1:$J$10000&gt;=ROUND($ID$3,0)),0),MATCH("MDA_MEDIAN_MARGIN_GUIDENCE",'Margin Guidence Table'!$A$1:$AG$1,0)),INDEX('Margin Guidence Table'!$A$1:$AG$10000,MATCH(1,('Margin Guidence Table'!$A$1:$A$10000=IL30)*('Margin Guidence Table'!$I$1:$I$10000&lt;=ROUND($ID$3,0))*('Margin Guidence Table'!$J$1:$J$10000&gt;=ROUND($ID$3,0)),0),MATCH("DEFAULT_MDA_MEDIAN_MARGIN_GUIDENCE",'Margin Guidence Table'!$A$1:$AG$1,0))),0)</f>
        <v>0</v>
      </c>
      <c r="IS30" s="1054">
        <f t="array" ref="IS30">IFERROR(IF($IN30="SEGMENT",INDEX('Margin Guidence Table'!$A$1:$AG$10000,MATCH(1,('Margin Guidence Table'!$A$1:$A$10000=IL30)*('Margin Guidence Table'!$I$1:$I$10000&lt;=ROUND($ID$3,0))*('Margin Guidence Table'!$J$1:$J$10000&gt;=ROUND($ID$3,0)),0),MATCH("MDA_MAX_MARGIN_GUIDENCE",'Margin Guidence Table'!$A$1:$AG$1,0)),INDEX('Margin Guidence Table'!$A$1:$AG$10000,MATCH(1,('Margin Guidence Table'!$A$1:$A$10000=IL30)*('Margin Guidence Table'!$I$1:$I$10000&lt;=ROUND($ID$3,0))*('Margin Guidence Table'!$J$1:$J$10000&gt;=ROUND($ID$3,0)),0),MATCH("DEFAULT_MDA_MAX_MARGIN_GUIDENCE",'Margin Guidence Table'!$A$1:$AG$1,0))),0)</f>
        <v>0</v>
      </c>
      <c r="IT30" s="1054">
        <f t="array" ref="IT30">IFERROR(IF($IN30="SEGMENT",INDEX('Margin Guidence Table'!$A$1:$AG$10000,MATCH(1,('Margin Guidence Table'!$A$1:$A$10000=IL30)*('Margin Guidence Table'!$I$1:$I$10000&lt;=ROUND($ID$3,0))*('Margin Guidence Table'!$J$1:$J$10000&gt;=ROUND($ID$3,0)),0),MATCH("PA_PCT_SALES",'Margin Guidence Table'!$A$1:$AG$1,0)),INDEX('Margin Guidence Table'!$A$1:$AG$10000,MATCH(1,('Margin Guidence Table'!$A$1:$A$10000=IL30)*('Margin Guidence Table'!$I$1:$I$10000&lt;=ROUND($ID$3,0))*('Margin Guidence Table'!$J$1:$J$10000&gt;=ROUND($ID$3,0)),0),MATCH("DEFAULT_PA_PCT_SALES",'Margin Guidence Table'!$A$1:$AG$1,0))),0)</f>
        <v>0</v>
      </c>
      <c r="IU30" s="1054">
        <f t="array" ref="IU30">IFERROR(IF($IN30="SEGMENT",INDEX('Margin Guidence Table'!$A$1:$AG$10000,MATCH(1,('Margin Guidence Table'!$A$1:$A$10000=IL30)*('Margin Guidence Table'!$I$1:$I$10000&lt;=ROUND($ID$3,0))*('Margin Guidence Table'!$J$1:$J$10000&gt;=ROUND($ID$3,0)),0),MATCH("SELF_FUND_PCT_SALES",'Margin Guidence Table'!$A$1:$AG$1,0)),INDEX('Margin Guidence Table'!$A$1:$AG$10000,MATCH(1,('Margin Guidence Table'!$A$1:$A$10000=IL30)*('Margin Guidence Table'!$I$1:$I$10000&lt;=ROUND($ID$3,0))*('Margin Guidence Table'!$J$1:$J$10000&gt;=ROUND($ID$3,0)),0),MATCH("DEFAULT_SELF_FUND_PCT_SALES",'Margin Guidence Table'!$A$1:$AG$1,0))),0)</f>
        <v>0</v>
      </c>
      <c r="IV30" s="1054">
        <f t="array" ref="IV30">IFERROR(IF($IN30="SEGMENT",INDEX('Margin Guidence Table'!$A$1:$AG$10000,MATCH(1,('Margin Guidence Table'!$A$1:$A$10000=IL30)*('Margin Guidence Table'!$I$1:$I$10000&lt;=ROUND($ID$3,0))*('Margin Guidence Table'!$J$1:$J$10000&gt;=ROUND($ID$3,0)),0),MATCH("CIA_MEDIAN_MARGIN_GUIDENCE",'Margin Guidence Table'!$A$1:$AG$1,0)),INDEX('Margin Guidence Table'!$A$1:$AG$10000,MATCH(1,('Margin Guidence Table'!$A$1:$A$10000=IL30)*('Margin Guidence Table'!$I$1:$I$10000&lt;=ROUND($ID$3,0))*('Margin Guidence Table'!$J$1:$J$10000&gt;=ROUND($ID$3,0)),0),MATCH("DEFAULT_CIA_MEDIAN_MARGIN_GUIDENCE",'Margin Guidence Table'!$A$1:$AG$1,0))),0)</f>
        <v>0</v>
      </c>
      <c r="IW30" s="127"/>
      <c r="IX30" s="18">
        <f t="array" ref="IX30">IFERROR(IF($JK30="SEGMENT",INDEX('Margin Guidence Table'!$A$1:$AG$10000,MATCH(1,('Margin Guidence Table'!$A$1:$A$10000=$JI30)*('Margin Guidence Table'!$I$1:$I$10000&lt;=ROUND($JA$3,0))*('Margin Guidence Table'!$J$1:$J$10000&gt;=ROUND($JA$3,0)),0),MATCH("PCT_SALES",'Margin Guidence Table'!$A$1:$AG$1,0)),INDEX('Margin Guidence Table'!$A$1:$AG$10000,MATCH(1,('Margin Guidence Table'!$A$1:$A$10000=$JI30)*('Margin Guidence Table'!$I$1:$I$10000&lt;=ROUND($JA$3,0))*('Margin Guidence Table'!$J$1:$J$10000&gt;=ROUND($JA$3,0)),0),MATCH("DEFAULT_PCT_SALES",'Margin Guidence Table'!$A$1:$AG$1,0))),0)</f>
        <v>0</v>
      </c>
      <c r="IY30" s="370" t="e">
        <f t="shared" si="44"/>
        <v>#DIV/0!</v>
      </c>
      <c r="IZ30" s="100" t="s">
        <v>89</v>
      </c>
      <c r="JA30" s="92">
        <f>IFERROR(IF(AND($JA$2&lt;&gt;"Enter Spend&gt;&gt;&gt;",JB18="EXISTING"),SUMIFS('Existing Customers'!$Q:$Q,'Existing Customers'!$A:$A,$JA$1,'Existing Customers'!$H:$H,$IZ30)*$JA$4,$JA$3*$IY30),0)</f>
        <v>0</v>
      </c>
      <c r="JB30" s="87">
        <f>IFERROR(IF(AND($JA$2&lt;&gt;"Enter Spend&gt;&gt;&gt;",JB2="EXISTING"),SUMIFS('Existing Customers'!$N:$N,'Existing Customers'!$A:$A,$JA$1,'Existing Customers'!$H:$H,$IZ30)*$JA$4,$JA30/$JL30),0)</f>
        <v>0</v>
      </c>
      <c r="JC30" s="93">
        <f>IFERROR(IF(AND($JA$2&lt;&gt;"Enter Spend&gt;&gt;&gt;",JB2="EXISTING"),SUMIFS('Existing Customers'!$O:$O,'Existing Customers'!$H:$H,$IZ30,'Existing Customers'!$A:$A,$JA$1)*$JA$4,$JB30*$JA$8),0)</f>
        <v>0</v>
      </c>
      <c r="JD30" s="93">
        <f>IFERROR(IF(AND($JA$2&lt;&gt;"Enter Spend&gt;&gt;&gt;",JB2="EXISTING"),SUMIFS('Existing Customers'!$P:$P,'Existing Customers'!$A:$A,$JA$1,'Existing Customers'!$H:$H,$IZ30)*$JA$4,$JA30/$JM30),0)</f>
        <v>0</v>
      </c>
      <c r="JE30" s="376">
        <f>IFERROR(IF(AND($JA$2&lt;&gt;"Enter Spend&gt;&gt;&gt;",JB2="EXISTING"),SUMIFS('Existing Customers'!$V:$V,'Existing Customers'!$H:$H,$IZ30,'Existing Customers'!$A:$A,$JA$1)*$JA$4,0),0)</f>
        <v>0</v>
      </c>
      <c r="JF30" s="94">
        <f>IFERROR(IF(AND($JA$2&lt;&gt;"Enter Spend&gt;&gt;&gt;",JB2="EXISTING"),SUMIFS('Existing Customers'!$R:$R,'Existing Customers'!$H:$H,$IZ30,'Existing Customers'!$A:$A,$JA$1)*$JA$4,0),0)</f>
        <v>0</v>
      </c>
      <c r="JG30" s="1050">
        <f>IFERROR(IF(AND($JA$2&lt;&gt;"Enter Spend&gt;&gt;&gt;",JB2="EXISTING"),SUMIFS('Existing Customers'!$S:$S,'Existing Customers'!$H:$H,$IZ30,'Existing Customers'!$A:$A,$JA$1),JQ30*JA30),0)</f>
        <v>0</v>
      </c>
      <c r="JH30" s="1050">
        <f>IFERROR(IF(AND($JA$2&lt;&gt;"Enter Spend&gt;&gt;&gt;",JB2="EXISTING"),SUMIFS('Existing Customers'!$U:$U,'Existing Customers'!$H:$H,$IZ30,'Existing Customers'!$A:$A,$JA$1),JR30*JA30),0)</f>
        <v>0</v>
      </c>
      <c r="JI30" s="1053" t="e">
        <f>_xlfn.CONCAT('Customer Inputs'!$AG$15,"_",IZ30)</f>
        <v>#N/A</v>
      </c>
      <c r="JJ30" s="1053">
        <f t="array" ref="JJ30">IFERROR(INDEX('Margin Guidence Table'!$A$1:$AG$10000,MATCH(1,('Margin Guidence Table'!$A$1:$A$10000=JI30)*('Margin Guidence Table'!$I$1:$I$10000&lt;=ROUND($JA$3,0))*('Margin Guidence Table'!$J$1:$J$10000&gt;=ROUND($JA$3,0)),0),MATCH("DATA_POINTS",'Margin Guidence Table'!$A$1:$AG$1,0)),0)</f>
        <v>0</v>
      </c>
      <c r="JK30" s="1050" t="str">
        <f t="shared" si="45"/>
        <v>DEFAULT</v>
      </c>
      <c r="JL30" s="1050">
        <f t="array" ref="JL30">IFERROR(IF($JK30="SEGMENT",INDEX('Margin Guidence Table'!$A$1:$AG$10000,MATCH(1,('Margin Guidence Table'!$A$1:$A$10000=JI30)*('Margin Guidence Table'!$I$1:$I$10000&lt;=ROUND($JA$3,0))*('Margin Guidence Table'!$J$1:$J$10000&gt;=ROUND($JA$3,0)),0),MATCH("SALES_CASE",'Margin Guidence Table'!$A$1:$AG$1,0)),INDEX('Margin Guidence Table'!$A$1:$AG$10000,MATCH(1,('Margin Guidence Table'!$A$1:$A$10000=JI30)*('Margin Guidence Table'!$I$1:$I$10000&lt;=ROUND($JA$3,0))*('Margin Guidence Table'!$J$1:$J$10000&gt;=ROUND($JA$3,0)),0),MATCH("DEFAULT_SALES_CASE",'Margin Guidence Table'!$A$1:$AG$1,0))),0)</f>
        <v>0</v>
      </c>
      <c r="JM30" s="1050">
        <f t="array" ref="JM30">IFERROR(IF($JK30="SEGMENT",INDEX('Margin Guidence Table'!$A$1:$AG$10000,MATCH(1,('Margin Guidence Table'!$A$1:$A$10000=JI30)*('Margin Guidence Table'!$I$1:$I$10000&lt;=ROUND($JA$3,0))*('Margin Guidence Table'!$J$1:$J$10000&gt;=ROUND($JA$3,0)),0),MATCH("SALES_LBS",'Margin Guidence Table'!$A$1:$AG$1,0)),INDEX('Margin Guidence Table'!$A$1:$AG$10000,MATCH(1,('Margin Guidence Table'!$A$1:$A$10000=JI30)*('Margin Guidence Table'!$I$1:$I$10000&lt;=ROUND($JA$3,0))*('Margin Guidence Table'!$J$1:$J$10000&gt;=ROUND($JA$3,0)),0),MATCH("DEFAULT_SALES_LBS",'Margin Guidence Table'!$A$1:$AG$1,0))),0)</f>
        <v>0</v>
      </c>
      <c r="JN30" s="1054">
        <f t="array" ref="JN30">IFERROR(IF($JK30="SEGMENT",INDEX('Margin Guidence Table'!$A$1:$AG$10000,MATCH(1,('Margin Guidence Table'!$A$1:$A$10000=JI30)*('Margin Guidence Table'!$I$1:$I$10000&lt;=ROUND($JA$3,0))*('Margin Guidence Table'!$J$1:$J$10000&gt;=ROUND($JA$3,0)),0),MATCH("MDA_MIN_MARGIN_GUIDENCE",'Margin Guidence Table'!$A$1:$AG$1,0)),INDEX('Margin Guidence Table'!$A$1:$AG$10000,MATCH(1,('Margin Guidence Table'!$A$1:$A$10000=JI30)*('Margin Guidence Table'!$I$1:$I$10000&lt;=ROUND($JA$3,0))*('Margin Guidence Table'!$J$1:$J$10000&gt;=ROUND($JA$3,0)),0),MATCH("DEFAULT_MDA_MIN_MARGIN_GUIDENCE",'Margin Guidence Table'!$A$1:$AG$1,0))),0)</f>
        <v>0</v>
      </c>
      <c r="JO30" s="1054">
        <f t="array" ref="JO30">IFERROR(IF($JK30="SEGMENT",INDEX('Margin Guidence Table'!$A$1:$AG$10000,MATCH(1,('Margin Guidence Table'!$A$1:$A$10000=JI30)*('Margin Guidence Table'!$I$1:$I$10000&lt;=ROUND($JA$3,0))*('Margin Guidence Table'!$J$1:$J$10000&gt;=ROUND($JA$3,0)),0),MATCH("MDA_MEDIAN_MARGIN_GUIDENCE",'Margin Guidence Table'!$A$1:$AG$1,0)),INDEX('Margin Guidence Table'!$A$1:$AG$10000,MATCH(1,('Margin Guidence Table'!$A$1:$A$10000=JI30)*('Margin Guidence Table'!$I$1:$I$10000&lt;=ROUND($JA$3,0))*('Margin Guidence Table'!$J$1:$J$10000&gt;=ROUND($JA$3,0)),0),MATCH("DEFAULT_MDA_MEDIAN_MARGIN_GUIDENCE",'Margin Guidence Table'!$A$1:$AG$1,0))),0)</f>
        <v>0</v>
      </c>
      <c r="JP30" s="1054">
        <f t="array" ref="JP30">IFERROR(IF($JK30="SEGMENT",INDEX('Margin Guidence Table'!$A$1:$AG$10000,MATCH(1,('Margin Guidence Table'!$A$1:$A$10000=JI30)*('Margin Guidence Table'!$I$1:$I$10000&lt;=ROUND($JA$3,0))*('Margin Guidence Table'!$J$1:$J$10000&gt;=ROUND($JA$3,0)),0),MATCH("MDA_MAX_MARGIN_GUIDENCE",'Margin Guidence Table'!$A$1:$AG$1,0)),INDEX('Margin Guidence Table'!$A$1:$AG$10000,MATCH(1,('Margin Guidence Table'!$A$1:$A$10000=JI30)*('Margin Guidence Table'!$I$1:$I$10000&lt;=ROUND($JA$3,0))*('Margin Guidence Table'!$J$1:$J$10000&gt;=ROUND($JA$3,0)),0),MATCH("DEFAULT_MDA_MAX_MARGIN_GUIDENCE",'Margin Guidence Table'!$A$1:$AG$1,0))),0)</f>
        <v>0</v>
      </c>
      <c r="JQ30" s="1054">
        <f t="array" ref="JQ30">IFERROR(IF($JK30="SEGMENT",INDEX('Margin Guidence Table'!$A$1:$AG$10000,MATCH(1,('Margin Guidence Table'!$A$1:$A$10000=JI30)*('Margin Guidence Table'!$I$1:$I$10000&lt;=ROUND($JA$3,0))*('Margin Guidence Table'!$J$1:$J$10000&gt;=ROUND($JA$3,0)),0),MATCH("PA_PCT_SALES",'Margin Guidence Table'!$A$1:$AG$1,0)),INDEX('Margin Guidence Table'!$A$1:$AG$10000,MATCH(1,('Margin Guidence Table'!$A$1:$A$10000=JI30)*('Margin Guidence Table'!$I$1:$I$10000&lt;=ROUND($JA$3,0))*('Margin Guidence Table'!$J$1:$J$10000&gt;=ROUND($JA$3,0)),0),MATCH("DEFAULT_PA_PCT_SALES",'Margin Guidence Table'!$A$1:$AG$1,0))),0)</f>
        <v>0</v>
      </c>
      <c r="JR30" s="1054">
        <f t="array" ref="JR30">IFERROR(IF($JK30="SEGMENT",INDEX('Margin Guidence Table'!$A$1:$AG$10000,MATCH(1,('Margin Guidence Table'!$A$1:$A$10000=JI30)*('Margin Guidence Table'!$I$1:$I$10000&lt;=ROUND($JA$3,0))*('Margin Guidence Table'!$J$1:$J$10000&gt;=ROUND($JA$3,0)),0),MATCH("SELF_FUND_PCT_SALES",'Margin Guidence Table'!$A$1:$AG$1,0)),INDEX('Margin Guidence Table'!$A$1:$AG$10000,MATCH(1,('Margin Guidence Table'!$A$1:$A$10000=JI30)*('Margin Guidence Table'!$I$1:$I$10000&lt;=ROUND($JA$3,0))*('Margin Guidence Table'!$J$1:$J$10000&gt;=ROUND($JA$3,0)),0),MATCH("DEFAULT_SELF_FUND_PCT_SALES",'Margin Guidence Table'!$A$1:$AG$1,0))),0)</f>
        <v>0</v>
      </c>
      <c r="JS30" s="1054">
        <f t="array" ref="JS30">IFERROR(IF($JK30="SEGMENT",INDEX('Margin Guidence Table'!$A$1:$AG$10000,MATCH(1,('Margin Guidence Table'!$A$1:$A$10000=JI30)*('Margin Guidence Table'!$I$1:$I$10000&lt;=ROUND($JA$3,0))*('Margin Guidence Table'!$J$1:$J$10000&gt;=ROUND($JA$3,0)),0),MATCH("CIA_MEDIAN_MARGIN_GUIDENCE",'Margin Guidence Table'!$A$1:$AG$1,0)),INDEX('Margin Guidence Table'!$A$1:$AG$10000,MATCH(1,('Margin Guidence Table'!$A$1:$A$10000=JI30)*('Margin Guidence Table'!$I$1:$I$10000&lt;=ROUND($JA$3,0))*('Margin Guidence Table'!$J$1:$J$10000&gt;=ROUND($JA$3,0)),0),MATCH("DEFAULT_CIA_MEDIAN_MARGIN_GUIDENCE",'Margin Guidence Table'!$A$1:$AG$1,0))),0)</f>
        <v>0</v>
      </c>
      <c r="JU30" s="100" t="s">
        <v>89</v>
      </c>
      <c r="JV30" s="95"/>
      <c r="JW30" s="87"/>
      <c r="JX30" s="87"/>
      <c r="JY30" s="87"/>
      <c r="JZ30" s="112"/>
      <c r="KA30" s="96"/>
      <c r="KB30" s="127"/>
      <c r="KD30" s="100" t="s">
        <v>89</v>
      </c>
      <c r="KE30" s="95"/>
      <c r="KF30" s="87"/>
      <c r="KG30" s="87"/>
      <c r="KH30" s="87"/>
      <c r="KI30" s="112"/>
      <c r="KJ30" s="96"/>
    </row>
    <row r="31" spans="2:296" ht="15.75" thickBot="1" x14ac:dyDescent="0.3">
      <c r="B31" s="100" t="s">
        <v>94</v>
      </c>
      <c r="C31" s="449">
        <f t="shared" si="11"/>
        <v>0</v>
      </c>
      <c r="D31" s="465">
        <f t="shared" si="12"/>
        <v>0</v>
      </c>
      <c r="E31" s="465">
        <f t="shared" si="13"/>
        <v>0</v>
      </c>
      <c r="F31" s="465">
        <f t="shared" si="14"/>
        <v>0</v>
      </c>
      <c r="G31" s="466">
        <f t="shared" si="15"/>
        <v>0</v>
      </c>
      <c r="H31" s="465">
        <f t="shared" si="16"/>
        <v>0</v>
      </c>
      <c r="I31" s="1046" t="e">
        <f t="shared" si="0"/>
        <v>#DIV/0!</v>
      </c>
      <c r="J31" s="1046" t="e">
        <f t="shared" si="1"/>
        <v>#DIV/0!</v>
      </c>
      <c r="K31" s="1046" t="e">
        <f t="shared" si="2"/>
        <v>#DIV/0!</v>
      </c>
      <c r="L31" s="465" t="e">
        <f t="shared" si="3"/>
        <v>#DIV/0!</v>
      </c>
      <c r="M31" s="465" t="e">
        <f t="shared" si="17"/>
        <v>#DIV/0!</v>
      </c>
      <c r="N31" s="1047" t="e">
        <f t="shared" si="4"/>
        <v>#DIV/0!</v>
      </c>
      <c r="P31" t="str">
        <f>'PIM Model'!E27</f>
        <v>INCLUDE</v>
      </c>
      <c r="Q31">
        <f t="shared" si="18"/>
        <v>0</v>
      </c>
      <c r="R31">
        <f t="shared" si="19"/>
        <v>0</v>
      </c>
      <c r="S31" s="100" t="s">
        <v>94</v>
      </c>
      <c r="T31" s="95">
        <f t="shared" si="20"/>
        <v>0</v>
      </c>
      <c r="U31" s="87">
        <f t="shared" si="5"/>
        <v>0</v>
      </c>
      <c r="V31" s="87">
        <f t="shared" si="6"/>
        <v>0</v>
      </c>
      <c r="W31" s="87">
        <f t="shared" si="7"/>
        <v>0</v>
      </c>
      <c r="X31" s="112">
        <f t="shared" si="8"/>
        <v>0</v>
      </c>
      <c r="Y31" s="115">
        <f t="shared" si="21"/>
        <v>0</v>
      </c>
      <c r="Z31" s="374"/>
      <c r="AA31" s="100" t="s">
        <v>94</v>
      </c>
      <c r="AB31" s="453">
        <f t="shared" si="9"/>
        <v>0</v>
      </c>
      <c r="AC31" s="454">
        <f t="shared" si="9"/>
        <v>0</v>
      </c>
      <c r="AD31" s="454">
        <f t="shared" si="9"/>
        <v>0</v>
      </c>
      <c r="AE31" s="455">
        <f t="shared" si="22"/>
        <v>0</v>
      </c>
      <c r="AF31" s="456">
        <f t="shared" si="23"/>
        <v>0</v>
      </c>
      <c r="AG31" s="374"/>
      <c r="AH31" s="100" t="s">
        <v>94</v>
      </c>
      <c r="AI31" s="453">
        <f t="shared" si="10"/>
        <v>0</v>
      </c>
      <c r="AJ31" s="450">
        <f t="shared" si="24"/>
        <v>0</v>
      </c>
      <c r="AK31" s="456"/>
      <c r="AL31" s="374"/>
      <c r="AM31" s="1" t="str">
        <f>IF('PIM Ranges'!$AK29='PIM Ranges'!$AW$11,IF($AI31&lt;'PIM Ranges'!$AX$11,"Q1",IF($AI31&lt;'PIM Ranges'!$AY$11,"Q2",IF($AI31&lt;'PIM Ranges'!$AZ$11,"Q3",IF($AI31&lt;'PIM Ranges'!$BA$11,"Q4","Q5")))),IF('PIM Ranges'!$AK29='PIM Ranges'!$AW$12,IF($AI31&lt;'PIM Ranges'!$AX$12,"Q1",IF($AI31&lt;'PIM Ranges'!$AY$12,"Q2",IF($AI31&lt;'PIM Ranges'!$AZ$12,"Q3",IF($AI31&lt;'PIM Ranges'!$BA$12,"Q4","Q5")))),IF('PIM Ranges'!$AK29='PIM Ranges'!$AW$13,IF($AI31&lt;'PIM Ranges'!$AX$13,"Q1",IF($AI31&lt;'PIM Ranges'!$AY$13,"Q2",IF($AI31&lt;'PIM Ranges'!$AZ$13,"Q3",IF($AI31&lt;'PIM Ranges'!$BA$13,"Q4","Q5")))),IF('PIM Ranges'!$AK29='PIM Ranges'!$AW$14,IF($AI31&lt;'PIM Ranges'!$AX$14,"Q1",IF($AI31&lt;'PIM Ranges'!$AY$14,"Q2",IF($AI31&lt;'PIM Ranges'!$AZ$14,"Q3",IF($AI31&lt;'PIM Ranges'!$BA$14,"Q4","Q5")))),IF('PIM Ranges'!$AK29='PIM Ranges'!$AW$15,IF($AI31&lt;'PIM Ranges'!$AX$15,"Q1",IF($AI31&lt;'PIM Ranges'!$AY$15,"Q2",IF($AI31&lt;'PIM Ranges'!$AZ$15,"Q3",IF($AI31&lt;'PIM Ranges'!$BA$15,"Q4","Q5")))),IF('PIM Ranges'!$AK29='PIM Ranges'!$AW$16,IF($AI31&lt;'PIM Ranges'!$AX$16,"Q1",IF($AI31&lt;'PIM Ranges'!$AY$16,"Q2",IF($AI31&lt;'PIM Ranges'!$AZ$16,"Q3",IF($AI31&lt;'PIM Ranges'!$BA$16,"Q4","Q5")))),IF('PIM Ranges'!$AK29='PIM Ranges'!$AW$17,IF($AI31&lt;'PIM Ranges'!$AX$17,"Q1",IF($AI31&lt;'PIM Ranges'!$AY$17,"Q2",IF($AI31&lt;'PIM Ranges'!$AZ$17,"Q3",IF($AI31&lt;'PIM Ranges'!$BA$17,"Q4","Q5")))),IF('PIM Ranges'!$AK29='PIM Ranges'!$AW$18,IF($AI31&lt;'PIM Ranges'!$AX$18,"Q1",IF($AI31&lt;'PIM Ranges'!$AY$18,"Q2",IF($AI31&lt;'PIM Ranges'!$AZ$18,"Q3",IF($AI31&lt;'PIM Ranges'!$BA$18,"Q4","Q5")))),IF('PIM Ranges'!$AK29='PIM Ranges'!$AW$19,IF($AI31&lt;'PIM Ranges'!$AX$19,"Q1",IF($AI31&lt;'PIM Ranges'!$AY$19,"Q2",IF($AI31&lt;'PIM Ranges'!$AZ$19,"Q3",IF($AI31&lt;'PIM Ranges'!$BA$19,"Q4","Q5")))),IF('PIM Ranges'!$AK29='PIM Ranges'!$AW$20,IF($AI31&lt;'PIM Ranges'!$AX$20,"Q1",IF($AI31&lt;'PIM Ranges'!$AY$20,"Q2",IF($AI31&lt;'PIM Ranges'!$AZ$20,"Q3",IF($AI31&lt;'PIM Ranges'!$BA$20,"Q4","Q5")))),IF('PIM Ranges'!$AK29='PIM Ranges'!$AW$21,IF($AI31&lt;'PIM Ranges'!$AX$21,"Q1",IF($AI31&lt;'PIM Ranges'!$AY$21,"Q2",IF($AI31&lt;'PIM Ranges'!$AZ$21,"Q3",IF($AI31&lt;'PIM Ranges'!$BA$21,"Q4","Q5")))),IF('PIM Ranges'!$AK29='PIM Ranges'!$AW$22,IF($AI31&lt;'PIM Ranges'!$AX$22,"Q1",IF($AI31&lt;'PIM Ranges'!$AY$22,"Q2",IF($AI31&lt;'PIM Ranges'!$AZ$22,"Q3",IF($AI31&lt;'PIM Ranges'!$BA$22,"Q4","Q5")))),IF('PIM Ranges'!$AK29='PIM Ranges'!$AW$23,IF($AI31&lt;'PIM Ranges'!$AX$23,"Q1",IF($AI31&lt;'PIM Ranges'!$AY$23,"Q2",IF($AI31&lt;'PIM Ranges'!$AZ$23,"Q3",IF($AI31&lt;'PIM Ranges'!$BA$23,"Q4","Q5")))),IF('PIM Ranges'!$AK29='PIM Ranges'!$AW$24,IF($AI31&lt;'PIM Ranges'!$AX$24,"Q1",IF($AI31&lt;'PIM Ranges'!$AY$24,"Q2",IF($AI31&lt;'PIM Ranges'!$AZ$24,"Q3",IF($AI31&lt;'PIM Ranges'!$BA$24,"Q4","Q5")))),IF('PIM Ranges'!$AK29='PIM Ranges'!$AW$25,IF($AI31&lt;'PIM Ranges'!$AX$25,"Q1",IF($AI31&lt;'PIM Ranges'!$AY$25,"Q2",IF($AI31&lt;'PIM Ranges'!$AZ$25,"Q3",IF($AI31&lt;'PIM Ranges'!$BA$25,"Q4","Q5")))),IF('PIM Ranges'!$AK29='PIM Ranges'!$AW$26,IF($AI31&lt;'PIM Ranges'!$AX$26,"Q1",IF($AI31&lt;'PIM Ranges'!$AY$26,"Q2",IF($AI31&lt;'PIM Ranges'!$AZ$26,"Q3",IF($AI31&lt;'PIM Ranges'!$BA$26,"Q4","Q5")))),IF('PIM Ranges'!$AK29='PIM Ranges'!$AW$27,IF($AI31&lt;'PIM Ranges'!$AX$27,"Q1",IF($AI31&lt;'PIM Ranges'!$AY$27,"Q2",IF($AI31&lt;'PIM Ranges'!$AZ$27,"Q3",IF($AI31&lt;'PIM Ranges'!$BA$27,"Q4","Q5")))),IF('PIM Ranges'!$AK29='PIM Ranges'!$AW$28,IF($AI31&lt;'PIM Ranges'!$AX$28,"Q1",IF($AI31&lt;'PIM Ranges'!$AY$28,"Q2",IF($AI31&lt;'PIM Ranges'!$AZ$28,"Q3",IF($AI31&lt;'PIM Ranges'!$BA$28,"Q4","Q5")))),IF('PIM Ranges'!$AK29='PIM Ranges'!$AW$29,IF($AI31&lt;'PIM Ranges'!$AX$29,"Q1",IF($AI31&lt;'PIM Ranges'!$AY$29,"Q2",IF($AI31&lt;'PIM Ranges'!$AZ$29,"Q3",IF($AI31&lt;'PIM Ranges'!$BA$29,"Q4","Q5")))),IF('PIM Ranges'!$AK29='PIM Ranges'!$AW$30,IF($AI31&lt;'PIM Ranges'!$AX$30,"Q1",IF($AI31&lt;'PIM Ranges'!$AY$30,"Q2",IF($AI31&lt;'PIM Ranges'!$AZ$30,"Q3",IF($AI31&lt;'PIM Ranges'!$BA$30,"Q4","Q5")))),IF('PIM Ranges'!$AK29='PIM Ranges'!$AW$31,IF($AI31&lt;'PIM Ranges'!$AX$31,"Q1",IF($AI31&lt;'PIM Ranges'!$AY$31,"Q2",IF($AI31&lt;'PIM Ranges'!$AZ$31,"Q3",IF($AI31&lt;'PIM Ranges'!$BA$31,"Q4","Q5")))),IF('PIM Ranges'!$AK29='PIM Ranges'!$AW$32,IF($AI31&lt;'PIM Ranges'!$AX$32,"Q1",IF($AI31&lt;'PIM Ranges'!$AY$32,"Q2",IF($AI31&lt;'PIM Ranges'!$AZ$32,"Q3",IF($AI31&lt;'PIM Ranges'!$BA$32,"Q4","Q5"))))))))))))))))))))))))))</f>
        <v>Q1</v>
      </c>
      <c r="AN31" s="374">
        <f>VLOOKUP($AH31&amp;$AM31,'IMargin Quartiles'!$A:$F,6,FALSE)</f>
        <v>0.16</v>
      </c>
      <c r="AO31" s="374"/>
      <c r="AP31"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Q31" s="374" t="e">
        <f t="shared" si="25"/>
        <v>#DIV/0!</v>
      </c>
      <c r="AR31">
        <f>'PIM Model'!C27</f>
        <v>0</v>
      </c>
      <c r="AS31" s="374"/>
      <c r="AT31" s="374"/>
      <c r="AU31" s="374" t="e">
        <f t="shared" si="46"/>
        <v>#DIV/0!</v>
      </c>
      <c r="AV31" s="374"/>
      <c r="AW31" s="374"/>
      <c r="AX31" s="106">
        <v>20</v>
      </c>
      <c r="AY31" s="18">
        <f t="array" ref="AY31">IFERROR(IF($BL31="SEGMENT",INDEX('Margin Guidence Table'!$A$1:$AG$10000,MATCH(1,('Margin Guidence Table'!$A$1:$A$10000=$BJ31)*('Margin Guidence Table'!$I$1:$I$10000&lt;=ROUND($BB$3,0))*('Margin Guidence Table'!$J$1:$J$10000&gt;=ROUND($BB$3,0)),0),MATCH("PCT_SALES",'Margin Guidence Table'!$A$1:$AG$1,0)),INDEX('Margin Guidence Table'!$A$1:$AG$10000,MATCH(1,('Margin Guidence Table'!$A$1:$A$10000=$BJ31)*('Margin Guidence Table'!$I$1:$I$10000&lt;=ROUND($BB$3,0))*('Margin Guidence Table'!$J$1:$J$10000&gt;=ROUND($BB$3,0)),0),MATCH("DEFAULT_PCT_SALES",'Margin Guidence Table'!$A$1:$AG$1,0))),0)</f>
        <v>0</v>
      </c>
      <c r="AZ31" s="370" t="e">
        <f t="shared" si="26"/>
        <v>#DIV/0!</v>
      </c>
      <c r="BA31" s="100" t="s">
        <v>94</v>
      </c>
      <c r="BB31" s="92">
        <f>IFERROR(IF(AND($BB$2&lt;&gt;"Enter Spend&gt;&gt;&gt;",BC19="EXISTING"),SUMIFS('Existing Customers'!$Q:$Q,'Existing Customers'!$A:$A,$BB$1,'Existing Customers'!$H:$H,$BA31)*$BB$4,$BB$3*$AZ31),0)</f>
        <v>0</v>
      </c>
      <c r="BC31" s="93">
        <f>IFERROR(IF(AND($BB$2&lt;&gt;"Enter Spend&gt;&gt;&gt;",BC2="EXISTING"),SUMIFS('Existing Customers'!$N:$N,'Existing Customers'!$A:$A,$BB$1,'Existing Customers'!$H:$H,$BA31)*$BB$4,$BB31/$BM31),0)</f>
        <v>0</v>
      </c>
      <c r="BD31" s="93">
        <f>IFERROR(IF(AND($BB$2&lt;&gt;"Enter Spend&gt;&gt;&gt;",BC2="EXISTING"),SUMIFS('Existing Customers'!$O:$O,'Existing Customers'!$H:$H,$BA31,'Existing Customers'!$A:$A,$BB$1)*$BB$4,$BC31*$BB$8),0)</f>
        <v>0</v>
      </c>
      <c r="BE31" s="93">
        <f>IFERROR(IF(AND($BB$2&lt;&gt;"Enter Spend&gt;&gt;&gt;",BC2="EXISTING"),SUMIFS('Existing Customers'!$P:$P,'Existing Customers'!$A:$A,$BB$1,'Existing Customers'!$H:$H,$BA31)*$BB$4,$BB31/$BN31),0)</f>
        <v>0</v>
      </c>
      <c r="BF31" s="376">
        <f>IFERROR(IF(AND($BB$2&lt;&gt;"Enter Spend&gt;&gt;&gt;",BC2="EXISTING"),SUMIFS('Existing Customers'!$V:$V,'Existing Customers'!$H:$H,$BA31,'Existing Customers'!$A:$A,$BB$1)*$BB$4,0),0)</f>
        <v>0</v>
      </c>
      <c r="BG31" s="94">
        <f>IFERROR(IF(AND($BB$2&lt;&gt;"Enter Spend&gt;&gt;&gt;",BC2="EXISTING"),SUMIFS('Existing Customers'!$R:$R,'Existing Customers'!$H:$H,$BA31,'Existing Customers'!$A:$A,$BB$1)*$BB$4,0),0)</f>
        <v>0</v>
      </c>
      <c r="BH31" s="94">
        <f>IFERROR(IF(AND($BB$2&lt;&gt;"Enter Spend&gt;&gt;&gt;",BC2="EXISTING"),SUMIFS('Existing Customers'!$S:$S,'Existing Customers'!$H:$H,$BA31,'Existing Customers'!$A:$A,$BB$1),BR31*BB31),0)</f>
        <v>0</v>
      </c>
      <c r="BI31" s="94">
        <f>IFERROR(IF(AND($BB$2&lt;&gt;"Enter Spend&gt;&gt;&gt;",BC2="EXISTING"),SUMIFS('Existing Customers'!$U:$U,'Existing Customers'!$H:$H,$BA31,'Existing Customers'!$A:$A,$BB$1),BS31*BB31),0)</f>
        <v>0</v>
      </c>
      <c r="BJ31" s="1052" t="e">
        <f>_xlfn.CONCAT('Customer Inputs'!$AG$6,"_",BA31)</f>
        <v>#N/A</v>
      </c>
      <c r="BK31" s="1053">
        <f t="array" ref="BK31">IFERROR(INDEX('Margin Guidence Table'!$A$1:$AG$10000,MATCH(1,('Margin Guidence Table'!$A$1:$A$10000=$BJ31)*('Margin Guidence Table'!$I$1:$I$10000&lt;=ROUND($BB$3,0))*('Margin Guidence Table'!$J$1:$J$10000&gt;=ROUND($BB$3,0)),0),MATCH("DATA_POINTS",'Margin Guidence Table'!$A$1:$AG$1,0)),0)</f>
        <v>0</v>
      </c>
      <c r="BL31" s="1050" t="str">
        <f t="shared" si="27"/>
        <v>DEFAULT</v>
      </c>
      <c r="BM31" s="1050">
        <f t="array" ref="BM31">IFERROR(IF($BL31="SEGMENT",INDEX('Margin Guidence Table'!$A$1:$AG$10000,MATCH(1,('Margin Guidence Table'!$A$1:$A$10000=$BJ31)*('Margin Guidence Table'!$I$1:$I$10000&lt;=ROUND($BB$3,0))*('Margin Guidence Table'!$J$1:$J$10000&gt;=ROUND($BB$3,0)),0),MATCH("SALES_CASE",'Margin Guidence Table'!$A$1:$AG$1,0)),INDEX('Margin Guidence Table'!$A$1:$AG$10000,MATCH(1,('Margin Guidence Table'!$A$1:$A$10000=$BJ31)*('Margin Guidence Table'!$I$1:$I$10000&lt;=ROUND($BB$3,0))*('Margin Guidence Table'!$J$1:$J$10000&gt;=ROUND($BB$3,0)),0),MATCH("DEFAULT_SALES_CASE",'Margin Guidence Table'!$A$1:$AG$1,0))),0)</f>
        <v>0</v>
      </c>
      <c r="BN31" s="1050">
        <f t="array" ref="BN31">IFERROR(IF($BL31="SEGMENT",INDEX('Margin Guidence Table'!$A$1:$AG$10000,MATCH(1,('Margin Guidence Table'!$A$1:$A$10000=$BJ31)*('Margin Guidence Table'!$I$1:$I$10000&lt;=ROUND($BB$3,0))*('Margin Guidence Table'!$J$1:$J$10000&gt;=ROUND($BB$3,0)),0),MATCH("SALES_LBS",'Margin Guidence Table'!$A$1:$AG$1,0)),INDEX('Margin Guidence Table'!$A$1:$AG$10000,MATCH(1,('Margin Guidence Table'!$A$1:$A$10000=$BJ31)*('Margin Guidence Table'!$I$1:$I$10000&lt;=ROUND($BB$3,0))*('Margin Guidence Table'!$J$1:$J$10000&gt;=ROUND($BB$3,0)),0),MATCH("DEFAULT_SALES_LBS",'Margin Guidence Table'!$A$1:$AG$1,0))),0)</f>
        <v>0</v>
      </c>
      <c r="BO31" s="1054">
        <f t="array" ref="BO31">IFERROR(IF($BL31="SEGMENT",INDEX('Margin Guidence Table'!$A$1:$AG$10000,MATCH(1,('Margin Guidence Table'!$A$1:$A$10000=$BJ31)*('Margin Guidence Table'!$I$1:$I$10000&lt;=ROUND($BB$3,0))*('Margin Guidence Table'!$J$1:$J$10000&gt;=ROUND($BB$3,0)),0),MATCH("MDA_MIN_MARGIN_GUIDENCE",'Margin Guidence Table'!$A$1:$AG$1,0)),INDEX('Margin Guidence Table'!$A$1:$AG$10000,MATCH(1,('Margin Guidence Table'!$A$1:$A$10000=$BJ31)*('Margin Guidence Table'!$I$1:$I$10000&lt;=ROUND($BB$3,0))*('Margin Guidence Table'!$J$1:$J$10000&gt;=ROUND($BB$3,0)),0),MATCH("DEFAULT_MDA_MIN_MARGIN_GUIDENCE",'Margin Guidence Table'!$A$1:$AG$1,0))),0)</f>
        <v>0</v>
      </c>
      <c r="BP31" s="1054">
        <f t="array" ref="BP31">IFERROR(IF($BL31="SEGMENT",INDEX('Margin Guidence Table'!$A$1:$AG$10000,MATCH(1,('Margin Guidence Table'!$A$1:$A$10000=$BJ31)*('Margin Guidence Table'!$I$1:$I$10000&lt;=ROUND($BB$3,0))*('Margin Guidence Table'!$J$1:$J$10000&gt;=ROUND($BB$3,0)),0),MATCH("MDA_MEDIAN_MARGIN_GUIDENCE",'Margin Guidence Table'!$A$1:$AG$1,0)),INDEX('Margin Guidence Table'!$A$1:$AG$10000,MATCH(1,('Margin Guidence Table'!$A$1:$A$10000=$BJ31)*('Margin Guidence Table'!$I$1:$I$10000&lt;=ROUND($BB$3,0))*('Margin Guidence Table'!$J$1:$J$10000&gt;=ROUND($BB$3,0)),0),MATCH("DEFAULT_MDA_MEDIAN_MARGIN_GUIDENCE",'Margin Guidence Table'!$A$1:$AG$1,0))),0)</f>
        <v>0</v>
      </c>
      <c r="BQ31" s="1054">
        <f t="array" ref="BQ31">IFERROR(IF($BL31="SEGMENT",INDEX('Margin Guidence Table'!$A$1:$AG$10000,MATCH(1,('Margin Guidence Table'!$A$1:$A$10000=$BJ31)*('Margin Guidence Table'!$I$1:$I$10000&lt;=ROUND($BB$3,0))*('Margin Guidence Table'!$J$1:$J$10000&gt;=ROUND($BB$3,0)),0),MATCH("MDA_MAX_MARGIN_GUIDENCE",'Margin Guidence Table'!$A$1:$AG$1,0)),INDEX('Margin Guidence Table'!$A$1:$AG$10000,MATCH(1,('Margin Guidence Table'!$A$1:$A$10000=$BJ31)*('Margin Guidence Table'!$I$1:$I$10000&lt;=ROUND($BB$3,0))*('Margin Guidence Table'!$J$1:$J$10000&gt;=ROUND($BB$3,0)),0),MATCH("DEFAULT_MDA_MAX_MARGIN_GUIDENCE",'Margin Guidence Table'!$A$1:$AG$1,0))),0)</f>
        <v>0</v>
      </c>
      <c r="BR31" s="1054">
        <f t="array" ref="BR31">IFERROR(IF($BL31="SEGMENT",INDEX('Margin Guidence Table'!$A$1:$AG$10000,MATCH(1,('Margin Guidence Table'!$A$1:$A$10000=$BJ31)*('Margin Guidence Table'!$I$1:$I$10000&lt;=ROUND($BB$3,0))*('Margin Guidence Table'!$J$1:$J$10000&gt;=ROUND($BB$3,0)),0),MATCH("PA_PCT_SALES",'Margin Guidence Table'!$A$1:$AG$1,0)),INDEX('Margin Guidence Table'!$A$1:$AG$10000,MATCH(1,('Margin Guidence Table'!$A$1:$A$10000=$BJ31)*('Margin Guidence Table'!$I$1:$I$10000&lt;=ROUND($BB$3,0))*('Margin Guidence Table'!$J$1:$J$10000&gt;=ROUND($BB$3,0)),0),MATCH("DEFAULT_PA_PCT_SALES",'Margin Guidence Table'!$A$1:$AG$1,0))),0)</f>
        <v>0</v>
      </c>
      <c r="BS31" s="1054">
        <f t="array" ref="BS31">IFERROR(IF($BL31="SEGMENT",INDEX('Margin Guidence Table'!$A$1:$AG$10000,MATCH(1,('Margin Guidence Table'!$A$1:$A$10000=$BJ31)*('Margin Guidence Table'!$I$1:$I$10000&lt;=ROUND($BB$3,0))*('Margin Guidence Table'!$J$1:$J$10000&gt;=ROUND($BB$3,0)),0),MATCH("SELF_FUND_PCT_SALES",'Margin Guidence Table'!$A$1:$AG$1,0)),INDEX('Margin Guidence Table'!$A$1:$AG$10000,MATCH(1,('Margin Guidence Table'!$A$1:$A$10000=$BJ31)*('Margin Guidence Table'!$I$1:$I$10000&lt;=ROUND($BB$3,0))*('Margin Guidence Table'!$J$1:$J$10000&gt;=ROUND($BB$3,0)),0),MATCH("DEFAULT_SELF_FUND_PCT_SALES",'Margin Guidence Table'!$A$1:$AG$1,0))),0)</f>
        <v>0</v>
      </c>
      <c r="BT31" s="1054">
        <f t="array" ref="BT31">IFERROR(IF($BL31="SEGMENT",INDEX('Margin Guidence Table'!$A$1:$AG$10000,MATCH(1,('Margin Guidence Table'!$A$1:$A$10000=$BJ31)*('Margin Guidence Table'!$I$1:$I$10000&lt;=ROUND($BB$3,0))*('Margin Guidence Table'!$J$1:$J$10000&gt;=ROUND($BB$3,0)),0),MATCH("CIA_MEDIAN_MARGIN_GUIDENCE",'Margin Guidence Table'!$A$1:$AG$1,0)),INDEX('Margin Guidence Table'!$A$1:$AG$10000,MATCH(1,('Margin Guidence Table'!$A$1:$A$10000=$BJ31)*('Margin Guidence Table'!$I$1:$I$10000&lt;=ROUND($BB$3,0))*('Margin Guidence Table'!$J$1:$J$10000&gt;=ROUND($BB$3,0)),0),MATCH("DEFAULT_CIA_MEDIAN_MARGIN_GUIDENCE",'Margin Guidence Table'!$A$1:$AG$1,0))),0)</f>
        <v>0</v>
      </c>
      <c r="BU31" s="127"/>
      <c r="BV31" s="18">
        <f t="array" ref="BV31">IFERROR(IF($CI31="SEGMENT",INDEX('Margin Guidence Table'!$A$1:$AG$10000,MATCH(1,('Margin Guidence Table'!$A$1:$A$10000=$CG31)*('Margin Guidence Table'!$I$1:$I$10000&lt;=ROUND($BY$3,0))*('Margin Guidence Table'!$J$1:$J$10000&gt;=ROUND($BY$3,0)),0),MATCH("PCT_SALES",'Margin Guidence Table'!$A$1:$AG$1,0)),INDEX('Margin Guidence Table'!$A$1:$AG$10000,MATCH(1,('Margin Guidence Table'!$A$1:$A$10000=$CG31)*('Margin Guidence Table'!$I$1:$I$10000&lt;=ROUND($BY$3,0))*('Margin Guidence Table'!$J$1:$J$10000&gt;=ROUND($BY$3,0)),0),MATCH("DEFAULT_PCT_SALES",'Margin Guidence Table'!$A$1:$AG$1,0))),0)</f>
        <v>0</v>
      </c>
      <c r="BW31" s="370" t="e">
        <f t="shared" si="28"/>
        <v>#DIV/0!</v>
      </c>
      <c r="BX31" s="100" t="s">
        <v>94</v>
      </c>
      <c r="BY31" s="92">
        <f>IFERROR(IF(AND($BY$2&lt;&gt;"Enter Spend&gt;&gt;&gt;",BZ19="EXISTING"),SUMIFS('Existing Customers'!$Q:$Q,'Existing Customers'!$A:$A,$BY$1,'Existing Customers'!$H:$H,$BX31)*$BY$4,$BY$3*$BW31),0)</f>
        <v>0</v>
      </c>
      <c r="BZ31" s="87">
        <f>IFERROR(IF(AND($BY$2&lt;&gt;"Enter Spend&gt;&gt;&gt;",BZ2="EXISTING"),SUMIFS('Existing Customers'!$N:$N,'Existing Customers'!$A:$A,$BY$1,'Existing Customers'!$H:$H,$BX31)*$BY$4,$BY31/$CJ31),0)</f>
        <v>0</v>
      </c>
      <c r="CA31" s="93">
        <f>IFERROR(IF(AND($BY$2&lt;&gt;"Enter Spend&gt;&gt;&gt;",BZ2="EXISTING"),SUMIFS('Existing Customers'!$O:$O,'Existing Customers'!$H:$H,$BX31,'Existing Customers'!$A:$A,$BY$1)*$BY$4,$BZ31*$BY$8),0)</f>
        <v>0</v>
      </c>
      <c r="CB31" s="93">
        <f>IFERROR(IF(AND($BY$2&lt;&gt;"Enter Spend&gt;&gt;&gt;",BZ2="EXISTING"),SUMIFS('Existing Customers'!$P:$P,'Existing Customers'!$A:$A,$BY$1,'Existing Customers'!$H:$H,$BX31)*$BY$4,$BY31/$CK31),0)</f>
        <v>0</v>
      </c>
      <c r="CC31" s="94">
        <f>IFERROR(IF(AND($BY$2&lt;&gt;"Enter Spend&gt;&gt;&gt;",BZ2="EXISTING"),SUMIFS('Existing Customers'!$V:$V,'Existing Customers'!$H:$H,$BX31,'Existing Customers'!$A:$A,$BY$1)*$BY$4,0),0)</f>
        <v>0</v>
      </c>
      <c r="CD31" s="94">
        <f>IFERROR(IF(AND($BY$2&lt;&gt;"Enter Spend&gt;&gt;&gt;",BZ2="EXISTING"),SUMIFS('Existing Customers'!$R:$R,'Existing Customers'!$H:$H,$BX31,'Existing Customers'!$A:$A,$BY$1)*$BY$4,0),0)</f>
        <v>0</v>
      </c>
      <c r="CE31" s="1050">
        <f>IFERROR(IF(AND($BY$2&lt;&gt;"Enter Spend&gt;&gt;&gt;",BZ2="EXISTING"),SUMIFS('Existing Customers'!$S:$S,'Existing Customers'!$H:$H,$BX31,'Existing Customers'!$A:$A,$BY$1),CO31*BY31),0)</f>
        <v>0</v>
      </c>
      <c r="CF31" s="1050">
        <f>IFERROR(IF(AND($BY$2&lt;&gt;"Enter Spend&gt;&gt;&gt;",BZ2="EXISTING"),SUMIFS('Existing Customers'!$U:$U,'Existing Customers'!$H:$H,$BX31,'Existing Customers'!$A:$A,$BY$1),CP31*BY31),0)</f>
        <v>0</v>
      </c>
      <c r="CG31" s="1053" t="e">
        <f>_xlfn.CONCAT('Customer Inputs'!$AG$7,"_",BX31)</f>
        <v>#N/A</v>
      </c>
      <c r="CH31" s="1053">
        <f t="array" ref="CH31">IFERROR(INDEX('Margin Guidence Table'!$A$1:$AG$10000,MATCH(1,('Margin Guidence Table'!$A$1:$A$10000=$CG31)*('Margin Guidence Table'!$I$1:$I$10000&lt;=ROUND($BY$3,0))*('Margin Guidence Table'!$J$1:$J$10000&gt;=ROUND($BY$3,0)),0),MATCH("DATA_POINTS",'Margin Guidence Table'!$A$1:$AG$1,0)),0)</f>
        <v>0</v>
      </c>
      <c r="CI31" s="1050" t="str">
        <f t="shared" si="29"/>
        <v>DEFAULT</v>
      </c>
      <c r="CJ31" s="1050">
        <f t="array" ref="CJ31">IFERROR(IF($CI31="SEGMENT",INDEX('Margin Guidence Table'!$A$1:$AG$10000,MATCH(1,('Margin Guidence Table'!$A$1:$A$10000=$CG31)*('Margin Guidence Table'!$I$1:$I$10000&lt;=ROUND($BY$3,0))*('Margin Guidence Table'!$J$1:$J$10000&gt;=ROUND($BY$3,0)),0),MATCH("SALES_CASE",'Margin Guidence Table'!$A$1:$AG$1,0)),INDEX('Margin Guidence Table'!$A$1:$AG$10000,MATCH(1,('Margin Guidence Table'!$A$1:$A$10000=$CG31)*('Margin Guidence Table'!$I$1:$I$10000&lt;=ROUND($BY$3,0))*('Margin Guidence Table'!$J$1:$J$10000&gt;=ROUND($BY$3,0)),0),MATCH("DEFAULT_SALES_CASE",'Margin Guidence Table'!$A$1:$AG$1,0))),0)</f>
        <v>0</v>
      </c>
      <c r="CK31" s="1050">
        <f t="array" ref="CK31">IFERROR(IF($CI31="SEGMENT",INDEX('Margin Guidence Table'!$A$1:$AG$10000,MATCH(1,('Margin Guidence Table'!$A$1:$A$10000=$CG31)*('Margin Guidence Table'!$I$1:$I$10000&lt;=ROUND($BY$3,0))*('Margin Guidence Table'!$J$1:$J$10000&gt;=ROUND($BY$3,0)),0),MATCH("SALES_LBS",'Margin Guidence Table'!$A$1:$AG$1,0)),INDEX('Margin Guidence Table'!$A$1:$AG$10000,MATCH(1,('Margin Guidence Table'!$A$1:$A$10000=$CG31)*('Margin Guidence Table'!$I$1:$I$10000&lt;=ROUND($BY$3,0))*('Margin Guidence Table'!$J$1:$J$10000&gt;=ROUND($BY$3,0)),0),MATCH("DEFAULT_SALES_LBS",'Margin Guidence Table'!$A$1:$AG$1,0))),0)</f>
        <v>0</v>
      </c>
      <c r="CL31" s="1054">
        <f t="array" ref="CL31">IFERROR(IF($CI31="SEGMENT",INDEX('Margin Guidence Table'!$A$1:$AG$10000,MATCH(1,('Margin Guidence Table'!$A$1:$A$10000=$CG31)*('Margin Guidence Table'!$I$1:$I$10000&lt;=ROUND($BY$3,0))*('Margin Guidence Table'!$J$1:$J$10000&gt;=ROUND($BY$3,0)),0),MATCH("MDA_MIN_MARGIN_GUIDENCE",'Margin Guidence Table'!$A$1:$AG$1,0)),INDEX('Margin Guidence Table'!$A$1:$AG$10000,MATCH(1,('Margin Guidence Table'!$A$1:$A$10000=$CG31)*('Margin Guidence Table'!$I$1:$I$10000&lt;=ROUND($BY$3,0))*('Margin Guidence Table'!$J$1:$J$10000&gt;=ROUND($BY$3,0)),0),MATCH("DEFAULT_MDA_MIN_MARGIN_GUIDENCE",'Margin Guidence Table'!$A$1:$AG$1,0))),0)</f>
        <v>0</v>
      </c>
      <c r="CM31" s="1054">
        <f t="array" ref="CM31">IFERROR(IF($CI31="SEGMENT",INDEX('Margin Guidence Table'!$A$1:$AG$10000,MATCH(1,('Margin Guidence Table'!$A$1:$A$10000=$CG31)*('Margin Guidence Table'!$I$1:$I$10000&lt;=ROUND($BY$3,0))*('Margin Guidence Table'!$J$1:$J$10000&gt;=ROUND($BY$3,0)),0),MATCH("MDA_MEDIAN_MARGIN_GUIDENCE",'Margin Guidence Table'!$A$1:$AG$1,0)),INDEX('Margin Guidence Table'!$A$1:$AG$10000,MATCH(1,('Margin Guidence Table'!$A$1:$A$10000=$CG31)*('Margin Guidence Table'!$I$1:$I$10000&lt;=ROUND($BY$3,0))*('Margin Guidence Table'!$J$1:$J$10000&gt;=ROUND($BY$3,0)),0),MATCH("DEFAULT_MDA_MEDIAN_MARGIN_GUIDENCE",'Margin Guidence Table'!$A$1:$AG$1,0))),0)</f>
        <v>0</v>
      </c>
      <c r="CN31" s="1054">
        <f t="array" ref="CN31">IFERROR(IF($CI31="SEGMENT",INDEX('Margin Guidence Table'!$A$1:$AG$10000,MATCH(1,('Margin Guidence Table'!$A$1:$A$10000=$CG31)*('Margin Guidence Table'!$I$1:$I$10000&lt;=ROUND($BY$3,0))*('Margin Guidence Table'!$J$1:$J$10000&gt;=ROUND($BY$3,0)),0),MATCH("MDA_MAX_MARGIN_GUIDENCE",'Margin Guidence Table'!$A$1:$AG$1,0)),INDEX('Margin Guidence Table'!$A$1:$AG$10000,MATCH(1,('Margin Guidence Table'!$A$1:$A$10000=$CG31)*('Margin Guidence Table'!$I$1:$I$10000&lt;=ROUND($BY$3,0))*('Margin Guidence Table'!$J$1:$J$10000&gt;=ROUND($BY$3,0)),0),MATCH("DEFAULT_MDA_MAX_MARGIN_GUIDENCE",'Margin Guidence Table'!$A$1:$AG$1,0))),0)</f>
        <v>0</v>
      </c>
      <c r="CO31" s="1054">
        <f t="array" ref="CO31">IFERROR(IF($CI31="SEGMENT",INDEX('Margin Guidence Table'!$A$1:$AG$10000,MATCH(1,('Margin Guidence Table'!$A$1:$A$10000=$CG31)*('Margin Guidence Table'!$I$1:$I$10000&lt;=ROUND($BY$3,0))*('Margin Guidence Table'!$J$1:$J$10000&gt;=ROUND($BY$3,0)),0),MATCH("PA_PCT_SALES",'Margin Guidence Table'!$A$1:$AG$1,0)),INDEX('Margin Guidence Table'!$A$1:$AG$10000,MATCH(1,('Margin Guidence Table'!$A$1:$A$10000=$CG31)*('Margin Guidence Table'!$I$1:$I$10000&lt;=ROUND($BY$3,0))*('Margin Guidence Table'!$J$1:$J$10000&gt;=ROUND($BY$3,0)),0),MATCH("DEFAULT_PA_PCT_SALES",'Margin Guidence Table'!$A$1:$AG$1,0))),0)</f>
        <v>0</v>
      </c>
      <c r="CP31" s="1054">
        <f t="array" ref="CP31">IFERROR(IF($CI31="SEGMENT",INDEX('Margin Guidence Table'!$A$1:$AG$10000,MATCH(1,('Margin Guidence Table'!$A$1:$A$10000=$CG31)*('Margin Guidence Table'!$I$1:$I$10000&lt;=ROUND($BY$3,0))*('Margin Guidence Table'!$J$1:$J$10000&gt;=ROUND($BY$3,0)),0),MATCH("SELF_FUND_PCT_SALES",'Margin Guidence Table'!$A$1:$AG$1,0)),INDEX('Margin Guidence Table'!$A$1:$AG$10000,MATCH(1,('Margin Guidence Table'!$A$1:$A$10000=$CG31)*('Margin Guidence Table'!$I$1:$I$10000&lt;=ROUND($BY$3,0))*('Margin Guidence Table'!$J$1:$J$10000&gt;=ROUND($BY$3,0)),0),MATCH("DEFAULT_SELF_FUND_PCT_SALES",'Margin Guidence Table'!$A$1:$AG$1,0))),0)</f>
        <v>0</v>
      </c>
      <c r="CQ31" s="1054">
        <f t="array" ref="CQ31">IFERROR(IF($CI31="SEGMENT",INDEX('Margin Guidence Table'!$A$1:$AG$10000,MATCH(1,('Margin Guidence Table'!$A$1:$A$10000=$CG31)*('Margin Guidence Table'!$I$1:$I$10000&lt;=ROUND($BY$3,0))*('Margin Guidence Table'!$J$1:$J$10000&gt;=ROUND($BY$3,0)),0),MATCH("CIA_MEDIAN_MARGIN_GUIDENCE",'Margin Guidence Table'!$A$1:$AG$1,0)),INDEX('Margin Guidence Table'!$A$1:$AG$10000,MATCH(1,('Margin Guidence Table'!$A$1:$A$10000=$CG31)*('Margin Guidence Table'!$I$1:$I$10000&lt;=ROUND($BY$3,0))*('Margin Guidence Table'!$J$1:$J$10000&gt;=ROUND($BY$3,0)),0),MATCH("DEFAULT_CIA_MEDIAN_MARGIN_GUIDENCE",'Margin Guidence Table'!$A$1:$AG$1,0))),0)</f>
        <v>0</v>
      </c>
      <c r="CR31" s="127"/>
      <c r="CS31" s="18">
        <f t="array" ref="CS31">IFERROR(IF($DF31="SEGMENT",INDEX('Margin Guidence Table'!$A$1:$AG$10000,MATCH(1,('Margin Guidence Table'!$A$1:$A$10000=$DD31)*('Margin Guidence Table'!$I$1:$I$10000&lt;=ROUND($CV$3,0))*('Margin Guidence Table'!$J$1:$J$10000&gt;=ROUND($CV$3,0)),0),MATCH("PCT_SALES",'Margin Guidence Table'!$A$1:$AG$1,0)),INDEX('Margin Guidence Table'!$A$1:$AG$10000,MATCH(1,('Margin Guidence Table'!$A$1:$A$10000=$DD31)*('Margin Guidence Table'!$I$1:$I$10000&lt;=ROUND($CV$3,0))*('Margin Guidence Table'!$J$1:$J$10000&gt;=ROUND($CV$3,0)),0),MATCH("DEFAULT_PCT_SALES",'Margin Guidence Table'!$A$1:$AG$1,0))),0)</f>
        <v>0</v>
      </c>
      <c r="CT31" s="370" t="e">
        <f t="shared" si="30"/>
        <v>#DIV/0!</v>
      </c>
      <c r="CU31" s="100" t="s">
        <v>94</v>
      </c>
      <c r="CV31" s="92">
        <f>IFERROR(IF(AND($CV$2&lt;&gt;"Enter Spend&gt;&gt;&gt;",CW19="EXISTING"),SUMIFS('Existing Customers'!$Q:$Q,'Existing Customers'!$A:$A,$CV$1,'Existing Customers'!$H:$H,$CU31)*$CV$4,$CV$3*$CT31),0)</f>
        <v>0</v>
      </c>
      <c r="CW31" s="87">
        <f>IFERROR(IF(AND($CV$2&lt;&gt;"Enter Spend&gt;&gt;&gt;",CW2="EXISTING"),SUMIFS('Existing Customers'!$N:$N,'Existing Customers'!$A:$A,$CV$1,'Existing Customers'!$H:$H,$CU31)*$CV$4,$CV31/$DG31),0)</f>
        <v>0</v>
      </c>
      <c r="CX31" s="93">
        <f>IFERROR(IF(AND($CV$2&lt;&gt;"Enter Spend&gt;&gt;&gt;",BC28="EXISTING"),SUMIFS('Existing Customers'!$O:$O,'Existing Customers'!$H:$H,$CU31,'Existing Customers'!$A:$A,$CV$1)*$CV$4,$CW31*$CV$8),0)</f>
        <v>0</v>
      </c>
      <c r="CY31" s="93">
        <f>IFERROR(IF(AND($CV$2&lt;&gt;"Enter Spend&gt;&gt;&gt;",CW2="EXISTING"),SUMIFS('Existing Customers'!$P:$P,'Existing Customers'!$A:$A,$CV$1,'Existing Customers'!$H:$H,$CU31)*$CV$4,$CV31/$DH31),0)</f>
        <v>0</v>
      </c>
      <c r="CZ31" s="94">
        <f>IFERROR(IF(AND($CV$2&lt;&gt;"Enter Spend&gt;&gt;&gt;",CW2="EXISTING"),SUMIFS('Existing Customers'!$V:$V,'Existing Customers'!$H:$H,$CU31,'Existing Customers'!$A:$A,$CV$1)*$CV$4,0),0)</f>
        <v>0</v>
      </c>
      <c r="DA31" s="94">
        <f>IFERROR(IF(AND($CV$2&lt;&gt;"Enter Spend&gt;&gt;&gt;",CW2="EXISTING"),SUMIFS('Existing Customers'!$R:$R,'Existing Customers'!$H:$H,$BA31,'Existing Customers'!$A:$A,$CV$1)*$CV$4,0),0)</f>
        <v>0</v>
      </c>
      <c r="DB31" s="1050">
        <f>IFERROR(IF(AND($CV$2&lt;&gt;"Enter Spend&gt;&gt;&gt;",CW2="EXISTING"),SUMIFS('Existing Customers'!$S:$S,'Existing Customers'!$H:$H,$CU31,'Existing Customers'!$A:$A,$CV$1),DL31*CV31),0)</f>
        <v>0</v>
      </c>
      <c r="DC31" s="1050">
        <f>IFERROR(IF(AND($CV$2&lt;&gt;"Enter Spend&gt;&gt;&gt;",CW2="EXISTING"),SUMIFS('Existing Customers'!$U:$U,'Existing Customers'!$H:$H,$CU31,'Existing Customers'!$A:$A,$CV$1),DM31*CV31),0)</f>
        <v>0</v>
      </c>
      <c r="DD31" s="1053" t="e">
        <f>_xlfn.CONCAT('Customer Inputs'!$AG$8,"_",CU31)</f>
        <v>#N/A</v>
      </c>
      <c r="DE31" s="1053">
        <f t="array" ref="DE31">IFERROR(INDEX('Margin Guidence Table'!$A$1:$AG$10000,MATCH(1,('Margin Guidence Table'!$A$1:$A$10000=DD31)*('Margin Guidence Table'!$I$1:$I$10000&lt;=ROUND($CV$3,0))*('Margin Guidence Table'!$J$1:$J$10000&gt;=ROUND($CV$3,0)),0),MATCH("DATA_POINTS",'Margin Guidence Table'!$A$1:$AG$1,0)),0)</f>
        <v>0</v>
      </c>
      <c r="DF31" s="1050" t="str">
        <f t="shared" si="31"/>
        <v>DEFAULT</v>
      </c>
      <c r="DG31" s="1050">
        <f t="array" ref="DG31">IFERROR(IF($DF31="SEGMENT",INDEX('Margin Guidence Table'!$A$1:$AG$10000,MATCH(1,('Margin Guidence Table'!$A$1:$A$10000=DD31)*('Margin Guidence Table'!$I$1:$I$10000&lt;=ROUND($CV$3,0))*('Margin Guidence Table'!$J$1:$J$10000&gt;=ROUND($CV$3,0)),0),MATCH("SALES_CASE",'Margin Guidence Table'!$A$1:$AG$1,0)),INDEX('Margin Guidence Table'!$A$1:$AG$10000,MATCH(1,('Margin Guidence Table'!$A$1:$A$10000=DD31)*('Margin Guidence Table'!$I$1:$I$10000&lt;=ROUND($CV$3,0))*('Margin Guidence Table'!$J$1:$J$10000&gt;=ROUND($CV$3,0)),0),MATCH("DEFAULT_SALES_CASE",'Margin Guidence Table'!$A$1:$AG$1,0))),0)</f>
        <v>0</v>
      </c>
      <c r="DH31" s="1050">
        <f t="array" ref="DH31">IFERROR(IF($DF31="SEGMENT",INDEX('Margin Guidence Table'!$A$1:$AG$10000,MATCH(1,('Margin Guidence Table'!$A$1:$A$10000=DD31)*('Margin Guidence Table'!$I$1:$I$10000&lt;=ROUND($CV$3,0))*('Margin Guidence Table'!$J$1:$J$10000&gt;=ROUND($CV$3,0)),0),MATCH("SALES_LBS",'Margin Guidence Table'!$A$1:$AG$1,0)),INDEX('Margin Guidence Table'!$A$1:$AG$10000,MATCH(1,('Margin Guidence Table'!$A$1:$A$10000=DD31)*('Margin Guidence Table'!$I$1:$I$10000&lt;=ROUND($CV$3,0))*('Margin Guidence Table'!$J$1:$J$10000&gt;=ROUND($CV$3,0)),0),MATCH("DEFAULT_SALES_LBS",'Margin Guidence Table'!$A$1:$AG$1,0))),0)</f>
        <v>0</v>
      </c>
      <c r="DI31" s="1054">
        <f t="array" ref="DI31">IFERROR(IF($DF31="SEGMENT",INDEX('Margin Guidence Table'!$A$1:$AG$10000,MATCH(1,('Margin Guidence Table'!$A$1:$A$10000=DD31)*('Margin Guidence Table'!$I$1:$I$10000&lt;=ROUND($CV$3,0))*('Margin Guidence Table'!$J$1:$J$10000&gt;=ROUND($CV$3,0)),0),MATCH("MDA_MIN_MARGIN_GUIDENCE",'Margin Guidence Table'!$A$1:$AG$1,0)),INDEX('Margin Guidence Table'!$A$1:$AG$10000,MATCH(1,('Margin Guidence Table'!$A$1:$A$10000=DD31)*('Margin Guidence Table'!$I$1:$I$10000&lt;=ROUND($CV$3,0))*('Margin Guidence Table'!$J$1:$J$10000&gt;=ROUND($CV$3,0)),0),MATCH("DEFAULT_MDA_MIN_MARGIN_GUIDENCE",'Margin Guidence Table'!$A$1:$AG$1,0))),0)</f>
        <v>0</v>
      </c>
      <c r="DJ31" s="1054">
        <f t="array" ref="DJ31">IFERROR(IF($DF31="SEGMENT",INDEX('Margin Guidence Table'!$A$1:$AG$10000,MATCH(1,('Margin Guidence Table'!$A$1:$A$10000=DD31)*('Margin Guidence Table'!$I$1:$I$10000&lt;=ROUND($CV$3,0))*('Margin Guidence Table'!$J$1:$J$10000&gt;=ROUND($CV$3,0)),0),MATCH("MDA_MEDIAN_MARGIN_GUIDENCE",'Margin Guidence Table'!$A$1:$AG$1,0)),INDEX('Margin Guidence Table'!$A$1:$AG$10000,MATCH(1,('Margin Guidence Table'!$A$1:$A$10000=DD31)*('Margin Guidence Table'!$I$1:$I$10000&lt;=ROUND($CV$3,0))*('Margin Guidence Table'!$J$1:$J$10000&gt;=ROUND($CV$3,0)),0),MATCH("DEFAULT_MDA_MEDIAN_MARGIN_GUIDENCE",'Margin Guidence Table'!$A$1:$AG$1,0))),0)</f>
        <v>0</v>
      </c>
      <c r="DK31" s="1054">
        <f t="array" ref="DK31">IFERROR(IF($DF31="SEGMENT",INDEX('Margin Guidence Table'!$A$1:$AG$10000,MATCH(1,('Margin Guidence Table'!$A$1:$A$10000=DD31)*('Margin Guidence Table'!$I$1:$I$10000&lt;=ROUND($CV$3,0))*('Margin Guidence Table'!$J$1:$J$10000&gt;=ROUND($CV$3,0)),0),MATCH("MDA_MAX_MARGIN_GUIDENCE",'Margin Guidence Table'!$A$1:$AG$1,0)),INDEX('Margin Guidence Table'!$A$1:$AG$10000,MATCH(1,('Margin Guidence Table'!$A$1:$A$10000=DD31)*('Margin Guidence Table'!$I$1:$I$10000&lt;=ROUND($CV$3,0))*('Margin Guidence Table'!$J$1:$J$10000&gt;=ROUND($CV$3,0)),0),MATCH("DEFAULT_MDA_MAX_MARGIN_GUIDENCE",'Margin Guidence Table'!$A$1:$AG$1,0))),0)</f>
        <v>0</v>
      </c>
      <c r="DL31" s="1054">
        <f t="array" ref="DL31">IFERROR(IF($DF31="SEGMENT",INDEX('Margin Guidence Table'!$A$1:$AG$10000,MATCH(1,('Margin Guidence Table'!$A$1:$A$10000=DD31)*('Margin Guidence Table'!$I$1:$I$10000&lt;=ROUND($CV$3,0))*('Margin Guidence Table'!$J$1:$J$10000&gt;=ROUND($CV$3,0)),0),MATCH("PA_PCT_SALES",'Margin Guidence Table'!$A$1:$AG$1,0)),INDEX('Margin Guidence Table'!$A$1:$AG$10000,MATCH(1,('Margin Guidence Table'!$A$1:$A$10000=DD31)*('Margin Guidence Table'!$I$1:$I$10000&lt;=ROUND($CV$3,0))*('Margin Guidence Table'!$J$1:$J$10000&gt;=ROUND($CV$3,0)),0),MATCH("DEFAULT_PA_PCT_SALES",'Margin Guidence Table'!$A$1:$AG$1,0))),0)</f>
        <v>0</v>
      </c>
      <c r="DM31" s="1054">
        <f t="array" ref="DM31">IFERROR(IF($DF31="SEGMENT",INDEX('Margin Guidence Table'!$A$1:$AG$10000,MATCH(1,('Margin Guidence Table'!$A$1:$A$10000=DD31)*('Margin Guidence Table'!$I$1:$I$10000&lt;=ROUND($CV$3,0))*('Margin Guidence Table'!$J$1:$J$10000&gt;=ROUND($CV$3,0)),0),MATCH("SELF_FUND_PCT_SALES",'Margin Guidence Table'!$A$1:$AG$1,0)),INDEX('Margin Guidence Table'!$A$1:$AG$10000,MATCH(1,('Margin Guidence Table'!$A$1:$A$10000=DD31)*('Margin Guidence Table'!$I$1:$I$10000&lt;=ROUND($CV$3,0))*('Margin Guidence Table'!$J$1:$J$10000&gt;=ROUND($CV$3,0)),0),MATCH("DEFAULT_SELF_FUND_PCT_SALES",'Margin Guidence Table'!$A$1:$AG$1,0))),0)</f>
        <v>0</v>
      </c>
      <c r="DN31" s="1054">
        <f t="array" ref="DN31">IFERROR(IF($DF31="SEGMENT",INDEX('Margin Guidence Table'!$A$1:$AG$10000,MATCH(1,('Margin Guidence Table'!$A$1:$A$10000=DD31)*('Margin Guidence Table'!$I$1:$I$10000&lt;=ROUND($CV$3,0))*('Margin Guidence Table'!$J$1:$J$10000&gt;=ROUND($CV$3,0)),0),MATCH("CIA_MEDIAN_MARGIN_GUIDENCE",'Margin Guidence Table'!$A$1:$AG$1,0)),INDEX('Margin Guidence Table'!$A$1:$AG$10000,MATCH(1,('Margin Guidence Table'!$A$1:$A$10000=DD31)*('Margin Guidence Table'!$I$1:$I$10000&lt;=ROUND($CV$3,0))*('Margin Guidence Table'!$J$1:$J$10000&gt;=ROUND($CV$3,0)),0),MATCH("DEFAULT_CIA_MEDIAN_MARGIN_GUIDENCE",'Margin Guidence Table'!$A$1:$AG$1,0))),0)</f>
        <v>0</v>
      </c>
      <c r="DO31" s="127"/>
      <c r="DP31" s="18">
        <f t="array" ref="DP31">IFERROR(IF($EC31="SEGMENT",INDEX('Margin Guidence Table'!$A$1:$AG$10000,MATCH(1,('Margin Guidence Table'!$A$1:$A$10000=$EA31)*('Margin Guidence Table'!$I$1:$I$10000&lt;=ROUND($DS$3,0))*('Margin Guidence Table'!$J$1:$J$10000&gt;=ROUND($DS$3,0)),0),MATCH("PCT_SALES",'Margin Guidence Table'!$A$1:$AG$1,0)),INDEX('Margin Guidence Table'!$A$1:$AG$10000,MATCH(1,('Margin Guidence Table'!$A$1:$A$10000=$EA31)*('Margin Guidence Table'!$I$1:$I$10000&lt;=ROUND($DS$3,0))*('Margin Guidence Table'!$J$1:$J$10000&gt;=ROUND($DS$3,0)),0),MATCH("DEFAULT_PCT_SALES",'Margin Guidence Table'!$A$1:$AG$1,0))),0)</f>
        <v>0</v>
      </c>
      <c r="DQ31" s="370" t="e">
        <f t="shared" si="32"/>
        <v>#DIV/0!</v>
      </c>
      <c r="DR31" s="100" t="s">
        <v>94</v>
      </c>
      <c r="DS31" s="92">
        <f>IFERROR(IF(AND($DS$2&lt;&gt;"Enter Spend&gt;&gt;&gt;",DT19="EXISTING"),SUMIFS('Existing Customers'!$Q:$Q,'Existing Customers'!$A:$A,$DS$1,'Existing Customers'!$H:$H,$DR31)*$DS$4,$DS$3*$DQ31),0)</f>
        <v>0</v>
      </c>
      <c r="DT31" s="87">
        <f>IFERROR(IF(AND($DS$2&lt;&gt;"Enter Spend&gt;&gt;&gt;",DT2="EXISTING"),SUMIFS('Existing Customers'!$N:$N,'Existing Customers'!$A:$A,$DS$1,'Existing Customers'!$H:$H,$DR31)*$DS$4,$DS31/$ED31),0)</f>
        <v>0</v>
      </c>
      <c r="DU31" s="93">
        <f>IFERROR(IF(AND($DS$2&lt;&gt;"Enter Spend&gt;&gt;&gt;",DT2="EXISTING"),SUMIFS('Existing Customers'!$O:$O,'Existing Customers'!$H:$H,$DR31,'Existing Customers'!$A:$A,$DS$1)*$DS$4,$DT31*$DS$8),0)</f>
        <v>0</v>
      </c>
      <c r="DV31" s="93">
        <f>IFERROR(IF(AND($DS$2&lt;&gt;"Enter Spend&gt;&gt;&gt;",DT2="EXISTING"),SUMIFS('Existing Customers'!$P:$P,'Existing Customers'!$A:$A,$DS$1,'Existing Customers'!$H:$H,$DR31)*$DS$4,$DS31/$EE31),0)</f>
        <v>0</v>
      </c>
      <c r="DW31" s="94">
        <f>IFERROR(IF(AND($DS$2&lt;&gt;"Enter Spend&gt;&gt;&gt;",EQ2="EXISTING"),SUMIFS('Existing Customers'!$V:$V,'Existing Customers'!$H:$H,$DR31,'Existing Customers'!$A:$A,$DS$1)*$DS$4,0),0)</f>
        <v>0</v>
      </c>
      <c r="DX31" s="94">
        <f>IFERROR(IF(AND($DS$2&lt;&gt;"Enter Spend&gt;&gt;&gt;",DT2="EXISTING"),SUMIFS('Existing Customers'!$R:$R,'Existing Customers'!$H:$H,$DR31,'Existing Customers'!$A:$A,$DS$1)*$DS$4,0),0)</f>
        <v>0</v>
      </c>
      <c r="DY31" s="1050">
        <f>IFERROR(IF(AND($DS$2&lt;&gt;"Enter Spend&gt;&gt;&gt;",DT2="EXISTING"),SUMIFS('Existing Customers'!$S:$S,'Existing Customers'!$H:$H,$DT31,'Existing Customers'!$A:$A,$DS$1),EI31*DS31),0)</f>
        <v>0</v>
      </c>
      <c r="DZ31" s="1050">
        <f>IFERROR(IF(AND($DS$2&lt;&gt;"Enter Spend&gt;&gt;&gt;",DT2="EXISTING"),SUMIFS('Existing Customers'!$U:$U,'Existing Customers'!$H:$H,$DR31,'Existing Customers'!$A:$A,$DS$1),EJ31*DS31),0)</f>
        <v>0</v>
      </c>
      <c r="EA31" s="1053" t="e">
        <f>_xlfn.CONCAT('Customer Inputs'!$AG$9,"_",DR31)</f>
        <v>#N/A</v>
      </c>
      <c r="EB31" s="1053">
        <f t="array" ref="EB31">IFERROR(INDEX('Margin Guidence Table'!$A$1:$AG$10000,MATCH(1,('Margin Guidence Table'!$A$1:$A$10000=EA31)*('Margin Guidence Table'!$I$1:$I$10000&lt;=ROUND($DS$3,0))*('Margin Guidence Table'!$J$1:$J$10000&gt;=ROUND($DS$3,0)),0),MATCH("DATA_POINTS",'Margin Guidence Table'!$A$1:$AG$1,0)),0)</f>
        <v>0</v>
      </c>
      <c r="EC31" s="1050" t="str">
        <f t="shared" si="33"/>
        <v>DEFAULT</v>
      </c>
      <c r="ED31" s="1050">
        <f t="array" ref="ED31">IFERROR(IF($EC31="SEGMENT",INDEX('Margin Guidence Table'!$A$1:$AG$10000,MATCH(1,('Margin Guidence Table'!$A$1:$A$10000=EA31)*('Margin Guidence Table'!$I$1:$I$10000&lt;=ROUND($DS$3,0))*('Margin Guidence Table'!$J$1:$J$10000&gt;=ROUND($DS$3,0)),0),MATCH("SALES_CASE",'Margin Guidence Table'!$A$1:$AG$1,0)),INDEX('Margin Guidence Table'!$A$1:$AG$10000,MATCH(1,('Margin Guidence Table'!$A$1:$A$10000=EA31)*('Margin Guidence Table'!$I$1:$I$10000&lt;=ROUND($DS$3,0))*('Margin Guidence Table'!$J$1:$J$10000&gt;=ROUND($DS$3,0)),0),MATCH("DEFAULT_SALES_CASE",'Margin Guidence Table'!$A$1:$AG$1,0))),0)</f>
        <v>0</v>
      </c>
      <c r="EE31" s="1050">
        <f t="array" ref="EE31">IFERROR(IF($EC31="SEGMENT",INDEX('Margin Guidence Table'!$A$1:$AG$10000,MATCH(1,('Margin Guidence Table'!$A$1:$A$10000=EA31)*('Margin Guidence Table'!$I$1:$I$10000&lt;=ROUND($DS$3,0))*('Margin Guidence Table'!$J$1:$J$10000&gt;=ROUND($DS$3,0)),0),MATCH("SALES_LBS",'Margin Guidence Table'!$A$1:$AG$1,0)),INDEX('Margin Guidence Table'!$A$1:$AG$10000,MATCH(1,('Margin Guidence Table'!$A$1:$A$10000=EA31)*('Margin Guidence Table'!$I$1:$I$10000&lt;=ROUND($DS$3,0))*('Margin Guidence Table'!$J$1:$J$10000&gt;=ROUND($DS$3,0)),0),MATCH("DEFAULT_SALES_LBS",'Margin Guidence Table'!$A$1:$AG$1,0))),0)</f>
        <v>0</v>
      </c>
      <c r="EF31" s="1054">
        <f t="array" ref="EF31">IFERROR(IF($EC31="SEGMENT",INDEX('Margin Guidence Table'!$A$1:$AG$10000,MATCH(1,('Margin Guidence Table'!$A$1:$A$10000=EA31)*('Margin Guidence Table'!$I$1:$I$10000&lt;=ROUND($DS$3,0))*('Margin Guidence Table'!$J$1:$J$10000&gt;=ROUND($DS$3,0)),0),MATCH("MDA_MIN_MARGIN_GUIDENCE",'Margin Guidence Table'!$A$1:$AG$1,0)),INDEX('Margin Guidence Table'!$A$1:$AG$10000,MATCH(1,('Margin Guidence Table'!$A$1:$A$10000=EA31)*('Margin Guidence Table'!$I$1:$I$10000&lt;=ROUND($DS$3,0))*('Margin Guidence Table'!$J$1:$J$10000&gt;=ROUND($DS$3,0)),0),MATCH("DEFAULT_MDA_MIN_MARGIN_GUIDENCE",'Margin Guidence Table'!$A$1:$AG$1,0))),0)</f>
        <v>0</v>
      </c>
      <c r="EG31" s="1054">
        <f t="array" ref="EG31">IFERROR(IF($EC31="SEGMENT",INDEX('Margin Guidence Table'!$A$1:$AG$10000,MATCH(1,('Margin Guidence Table'!$A$1:$A$10000=EA31)*('Margin Guidence Table'!$I$1:$I$10000&lt;=ROUND($DS$3,0))*('Margin Guidence Table'!$J$1:$J$10000&gt;=ROUND($DS$3,0)),0),MATCH("MDA_MEDIAN_MARGIN_GUIDENCE",'Margin Guidence Table'!$A$1:$AG$1,0)),INDEX('Margin Guidence Table'!$A$1:$AG$10000,MATCH(1,('Margin Guidence Table'!$A$1:$A$10000=EA31)*('Margin Guidence Table'!$I$1:$I$10000&lt;=ROUND($DS$3,0))*('Margin Guidence Table'!$J$1:$J$10000&gt;=ROUND($DS$3,0)),0),MATCH("DEFAULT_MDA_MEDIAN_MARGIN_GUIDENCE",'Margin Guidence Table'!$A$1:$AG$1,0))),0)</f>
        <v>0</v>
      </c>
      <c r="EH31" s="1054">
        <f t="array" ref="EH31">IFERROR(IF($EC31="SEGMENT",INDEX('Margin Guidence Table'!$A$1:$AG$10000,MATCH(1,('Margin Guidence Table'!$A$1:$A$10000=EA31)*('Margin Guidence Table'!$I$1:$I$10000&lt;=ROUND($DS$3,0))*('Margin Guidence Table'!$J$1:$J$10000&gt;=ROUND($DS$3,0)),0),MATCH("MDA_MAX_MARGIN_GUIDENCE",'Margin Guidence Table'!$A$1:$AG$1,0)),INDEX('Margin Guidence Table'!$A$1:$AG$10000,MATCH(1,('Margin Guidence Table'!$A$1:$A$10000=EA31)*('Margin Guidence Table'!$I$1:$I$10000&lt;=ROUND($DS$3,0))*('Margin Guidence Table'!$J$1:$J$10000&gt;=ROUND($DS$3,0)),0),MATCH("DEFAULT_MDA_MAX_MARGIN_GUIDENCE",'Margin Guidence Table'!$A$1:$AG$1,0))),0)</f>
        <v>0</v>
      </c>
      <c r="EI31" s="1054">
        <f t="array" ref="EI31">IFERROR(IF($EC31="SEGMENT",INDEX('Margin Guidence Table'!$A$1:$AG$10000,MATCH(1,('Margin Guidence Table'!$A$1:$A$10000=EA31)*('Margin Guidence Table'!$I$1:$I$10000&lt;=ROUND($DS$3,0))*('Margin Guidence Table'!$J$1:$J$10000&gt;=ROUND($DS$3,0)),0),MATCH("PA_PCT_SALES",'Margin Guidence Table'!$A$1:$AG$1,0)),INDEX('Margin Guidence Table'!$A$1:$AG$10000,MATCH(1,('Margin Guidence Table'!$A$1:$A$10000=EA31)*('Margin Guidence Table'!$I$1:$I$10000&lt;=ROUND($DS$3,0))*('Margin Guidence Table'!$J$1:$J$10000&gt;=ROUND($DS$3,0)),0),MATCH("DEFAULT_PA_PCT_SALES",'Margin Guidence Table'!$A$1:$AG$1,0))),0)</f>
        <v>0</v>
      </c>
      <c r="EJ31" s="1054">
        <f t="array" ref="EJ31">IFERROR(IF($EC31="SEGMENT",INDEX('Margin Guidence Table'!$A$1:$AG$10000,MATCH(1,('Margin Guidence Table'!$A$1:$A$10000=EA31)*('Margin Guidence Table'!$I$1:$I$10000&lt;=ROUND($DS$3,0))*('Margin Guidence Table'!$J$1:$J$10000&gt;=ROUND($DS$3,0)),0),MATCH("SELF_FUND_PCT_SALES",'Margin Guidence Table'!$A$1:$AG$1,0)),INDEX('Margin Guidence Table'!$A$1:$AG$10000,MATCH(1,('Margin Guidence Table'!$A$1:$A$10000=EA31)*('Margin Guidence Table'!$I$1:$I$10000&lt;=ROUND($DS$3,0))*('Margin Guidence Table'!$J$1:$J$10000&gt;=ROUND($DS$3,0)),0),MATCH("DEFAULT_SELF_FUND_PCT_SALES",'Margin Guidence Table'!$A$1:$AG$1,0))),0)</f>
        <v>0</v>
      </c>
      <c r="EK31" s="1054">
        <f t="array" ref="EK31">IFERROR(IF($EC31="SEGMENT",INDEX('Margin Guidence Table'!$A$1:$AG$10000,MATCH(1,('Margin Guidence Table'!$A$1:$A$10000=EA31)*('Margin Guidence Table'!$I$1:$I$10000&lt;=ROUND($DS$3,0))*('Margin Guidence Table'!$J$1:$J$10000&gt;=ROUND($DS$3,0)),0),MATCH("CIA_MEDIAN_MARGIN_GUIDENCE",'Margin Guidence Table'!$A$1:$AG$1,0)),INDEX('Margin Guidence Table'!$A$1:$AG$10000,MATCH(1,('Margin Guidence Table'!$A$1:$A$10000=EA31)*('Margin Guidence Table'!$I$1:$I$10000&lt;=ROUND($DS$3,0))*('Margin Guidence Table'!$J$1:$J$10000&gt;=ROUND($DS$3,0)),0),MATCH("DEFAULT_CIA_MEDIAN_MARGIN_GUIDENCE",'Margin Guidence Table'!$A$1:$AG$1,0))),0)</f>
        <v>0</v>
      </c>
      <c r="EL31" s="127"/>
      <c r="EM31" s="18">
        <f t="array" ref="EM31">IFERROR(IF($EZ31="SEGMENT",INDEX('Margin Guidence Table'!$A$1:$AG$10000,MATCH(1,('Margin Guidence Table'!$A$1:$A$10000=$EX31)*('Margin Guidence Table'!$I$1:$I$10000&lt;=ROUND($EP$3,0))*('Margin Guidence Table'!$J$1:$J$10000&gt;=ROUND($EP$3,0)),0),MATCH("PCT_SALES",'Margin Guidence Table'!$A$1:$AG$1,0)),INDEX('Margin Guidence Table'!$A$1:$AG$10000,MATCH(1,('Margin Guidence Table'!$A$1:$A$10000=$EX31)*('Margin Guidence Table'!$I$1:$I$10000&lt;=ROUND($EP$3,0))*('Margin Guidence Table'!$J$1:$J$10000&gt;=ROUND($EP$3,0)),0),MATCH("DEFAULT_PCT_SALES",'Margin Guidence Table'!$A$1:$AG$1,0))),0)</f>
        <v>0</v>
      </c>
      <c r="EN31" s="370" t="e">
        <f t="shared" si="34"/>
        <v>#DIV/0!</v>
      </c>
      <c r="EO31" s="100" t="s">
        <v>94</v>
      </c>
      <c r="EP31" s="92">
        <f>IFERROR(IF(AND($EP$2&lt;&gt;"Enter Spend&gt;&gt;&gt;",EQ19="EXISTING"),SUMIFS('Existing Customers'!$Q:$Q,'Existing Customers'!$A:$A,$EP$1,'Existing Customers'!$H:$H,$EO31)*$EP$4,$EP$3*$EN31),0)</f>
        <v>0</v>
      </c>
      <c r="EQ31" s="87">
        <f>IFERROR(IF(AND($EP$2&lt;&gt;"Enter Spend&gt;&gt;&gt;",EQ2="EXISTING"),SUMIFS('Existing Customers'!$N:$N,'Existing Customers'!$A:$A,$EP$1,'Existing Customers'!$H:$H,$EO31)*$EP$4,$EP31/$FA31),0)</f>
        <v>0</v>
      </c>
      <c r="ER31" s="93">
        <f>IFERROR(IF(AND($EP$2&lt;&gt;"Enter Spend&gt;&gt;&gt;",EQ2="EXISTING"),SUMIFS('Existing Customers'!$O:$O,'Existing Customers'!$H:$H,$EO31,'Existing Customers'!$A:$A,$EP$1)*$EP$4,$EQ31*$EP$8),0)</f>
        <v>0</v>
      </c>
      <c r="ES31" s="93">
        <f>IFERROR(IF(AND($EP$2&lt;&gt;"Enter Spend&gt;&gt;&gt;",EQ2="EXISTING"),SUMIFS('Existing Customers'!$P:$P,'Existing Customers'!$A:$A,$EP$1,'Existing Customers'!$H:$H,$EO31)*$EP$4,$EP31/$FB31),0)</f>
        <v>0</v>
      </c>
      <c r="ET31" s="94">
        <f>IFERROR(IF(AND($EP$2&lt;&gt;"Enter Spend&gt;&gt;&gt;",EQ2="EXISTING"),SUMIFS('Existing Customers'!$V:$V,'Existing Customers'!$H:$H,$EO31,'Existing Customers'!$A:$A,$EP$1)*$EP$4,0),0)</f>
        <v>0</v>
      </c>
      <c r="EU31" s="94">
        <f>IFERROR(IF(AND($EP$2&lt;&gt;"Enter Spend&gt;&gt;&gt;",EQ2="EXISTING"),SUMIFS('Existing Customers'!$R:$R,'Existing Customers'!$H:$H,$EO31,'Existing Customers'!$A:$A,$EP$1)*$EP$4,0),0)</f>
        <v>0</v>
      </c>
      <c r="EV31" s="1050">
        <f>IFERROR(IF(AND($EP$2&lt;&gt;"Enter Spend&gt;&gt;&gt;",EQ2="EXISTING"),SUMIFS('Existing Customers'!$S:$S,'Existing Customers'!$H:$H,$EO31,'Existing Customers'!$A:$A,$EP$1),FF31*EP31),0)</f>
        <v>0</v>
      </c>
      <c r="EW31" s="1050">
        <f>IFERROR(IF(AND($EP$2&lt;&gt;"Enter Spend&gt;&gt;&gt;",EQ2="EXISTING"),SUMIFS('Existing Customers'!$U:$U,'Existing Customers'!$H:$H,$EO31,'Existing Customers'!$A:$A,$EP$1),FG31*EP31),0)</f>
        <v>0</v>
      </c>
      <c r="EX31" s="1053" t="e">
        <f>_xlfn.CONCAT('Customer Inputs'!$AG$10,"_",EO31)</f>
        <v>#N/A</v>
      </c>
      <c r="EY31" s="1053">
        <f t="array" ref="EY31">IFERROR(INDEX('Margin Guidence Table'!$A$1:$AG$10000,MATCH(1,('Margin Guidence Table'!$A$1:$A$10000=EX31)*('Margin Guidence Table'!$I$1:$I$10000&lt;=ROUND($EP$3,0))*('Margin Guidence Table'!$J$1:$J$10000&gt;=ROUND($EP$3,0)),0),MATCH("DATA_POINTS",'Margin Guidence Table'!$A$1:$AG$1,0)),0)</f>
        <v>0</v>
      </c>
      <c r="EZ31" s="1050" t="str">
        <f t="shared" si="35"/>
        <v>DEFAULT</v>
      </c>
      <c r="FA31" s="1050">
        <f t="array" ref="FA31">IFERROR(IF($EZ31="SEGMENT",INDEX('Margin Guidence Table'!$A$1:$AG$10000,MATCH(1,('Margin Guidence Table'!$A$1:$A$10000=EX31)*('Margin Guidence Table'!$I$1:$I$10000&lt;=ROUND($EP$3,0))*('Margin Guidence Table'!$J$1:$J$10000&gt;=ROUND($EP$3,0)),0),MATCH("SALES_CASE",'Margin Guidence Table'!$A$1:$AG$1,0)),INDEX('Margin Guidence Table'!$A$1:$AG$10000,MATCH(1,('Margin Guidence Table'!$A$1:$A$10000=EX31)*('Margin Guidence Table'!$I$1:$I$10000&lt;=ROUND($EP$3,0))*('Margin Guidence Table'!$J$1:$J$10000&gt;=ROUND($EP$3,0)),0),MATCH("DEFAULT_SALES_CASE",'Margin Guidence Table'!$A$1:$AG$1,0))),0)</f>
        <v>0</v>
      </c>
      <c r="FB31" s="1050" cm="1">
        <f t="array" ref="FB31">IFERROR(IF($EZ31="SEGMENT",INDEX('Margin Guidence Table'!$A$1:$AG$10000,MATCH(1,('Margin Guidence Table'!$A$1:$A$10000=EX31)*('Margin Guidence Table'!$I$1:$I$10000&lt;=ROUND($EP$3,0))*('Margin Guidence Table'!$J$1:$J$10000&gt;=ROUND($EP$3,0)),0),MATCH("SALES_LBS",'Margin Guidence Table'!$A$1:$AG$1,0)),INDEX('Margin Guidence Table'!$A$1:$AG$10000,MATCH(1,('Margin Guidence Table'!$A$1:$A$10000=EX31)*('Margin Guidence Table'!$I$1:$I$10000&lt;=ROUND($EP$3,0))*('Margin Guidence Table'!$J$1:$J$10000&gt;=ROUND($EP$3,0)),0),MATCH("DEFAULT_SALES_LBS",'Margin Guidence Table'!$A$1:$AG$1,0))),0)</f>
        <v>0</v>
      </c>
      <c r="FC31" s="1054">
        <f t="array" ref="FC31">IFERROR(IF($EZ31="SEGMENT",INDEX('Margin Guidence Table'!$A$1:$AG$10000,MATCH(1,('Margin Guidence Table'!$A$1:$A$10000=EX31)*('Margin Guidence Table'!$I$1:$I$10000&lt;=ROUND($EP$3,0))*('Margin Guidence Table'!$J$1:$J$10000&gt;=ROUND($EP$3,0)),0),MATCH("MDA_MIN_MARGIN_GUIDENCE",'Margin Guidence Table'!$A$1:$AG$1,0)),INDEX('Margin Guidence Table'!$A$1:$AG$10000,MATCH(1,('Margin Guidence Table'!$A$1:$A$10000=EX31)*('Margin Guidence Table'!$I$1:$I$10000&lt;=ROUND($EP$3,0))*('Margin Guidence Table'!$J$1:$J$10000&gt;=ROUND($EP$3,0)),0),MATCH("DEFAULT_MDA_MIN_MARGIN_GUIDENCE",'Margin Guidence Table'!$A$1:$AG$1,0))),0)</f>
        <v>0</v>
      </c>
      <c r="FD31" s="1054">
        <f t="array" ref="FD31">IFERROR(IF($EZ31="SEGMENT",INDEX('Margin Guidence Table'!$A$1:$AG$10000,MATCH(1,('Margin Guidence Table'!$A$1:$A$10000=EX31)*('Margin Guidence Table'!$I$1:$I$10000&lt;=ROUND($EP$3,0))*('Margin Guidence Table'!$J$1:$J$10000&gt;=ROUND($EP$3,0)),0),MATCH("MDA_MEDIAN_MARGIN_GUIDENCE",'Margin Guidence Table'!$A$1:$AG$1,0)),INDEX('Margin Guidence Table'!$A$1:$AG$10000,MATCH(1,('Margin Guidence Table'!$A$1:$A$10000=EX31)*('Margin Guidence Table'!$I$1:$I$10000&lt;=ROUND($EP$3,0))*('Margin Guidence Table'!$J$1:$J$10000&gt;=ROUND($EP$3,0)),0),MATCH("DEFAULT_MDA_MEDIAN_MARGIN_GUIDENCE",'Margin Guidence Table'!$A$1:$AG$1,0))),0)</f>
        <v>0</v>
      </c>
      <c r="FE31" s="1054">
        <f t="array" ref="FE31">IFERROR(IF($EZ31="SEGMENT",INDEX('Margin Guidence Table'!$A$1:$AG$10000,MATCH(1,('Margin Guidence Table'!$A$1:$A$10000=EX31)*('Margin Guidence Table'!$I$1:$I$10000&lt;=ROUND($EP$3,0))*('Margin Guidence Table'!$J$1:$J$10000&gt;=ROUND($EP$3,0)),0),MATCH("MDA_MAX_MARGIN_GUIDENCE",'Margin Guidence Table'!$A$1:$AG$1,0)),INDEX('Margin Guidence Table'!$A$1:$AG$10000,MATCH(1,('Margin Guidence Table'!$A$1:$A$10000=EX31)*('Margin Guidence Table'!$I$1:$I$10000&lt;=ROUND($EP$3,0))*('Margin Guidence Table'!$J$1:$J$10000&gt;=ROUND($EP$3,0)),0),MATCH("DEFAULT_MDA_MAX_MARGIN_GUIDENCE",'Margin Guidence Table'!$A$1:$AG$1,0))),0)</f>
        <v>0</v>
      </c>
      <c r="FF31" s="1054">
        <f t="array" ref="FF31">IFERROR(IF($EZ31="SEGMENT",INDEX('Margin Guidence Table'!$A$1:$AG$10000,MATCH(1,('Margin Guidence Table'!$A$1:$A$10000=EX31)*('Margin Guidence Table'!$I$1:$I$10000&lt;=ROUND($EP$3,0))*('Margin Guidence Table'!$J$1:$J$10000&gt;=ROUND($EP$3,0)),0),MATCH("PA_PCT_SALES",'Margin Guidence Table'!$A$1:$AG$1,0)),INDEX('Margin Guidence Table'!$A$1:$AG$10000,MATCH(1,('Margin Guidence Table'!$A$1:$A$10000=EX31)*('Margin Guidence Table'!$I$1:$I$10000&lt;=ROUND($EP$3,0))*('Margin Guidence Table'!$J$1:$J$10000&gt;=ROUND($EP$3,0)),0),MATCH("DEFAULT_PA_PCT_SALES",'Margin Guidence Table'!$A$1:$AG$1,0))),0)</f>
        <v>0</v>
      </c>
      <c r="FG31" s="1054">
        <f t="array" ref="FG31">IFERROR(IF($EZ31="SEGMENT",INDEX('Margin Guidence Table'!$A$1:$AG$10000,MATCH(1,('Margin Guidence Table'!$A$1:$A$10000=EX31)*('Margin Guidence Table'!$I$1:$I$10000&lt;=ROUND($EP$3,0))*('Margin Guidence Table'!$J$1:$J$10000&gt;=ROUND($EP$3,0)),0),MATCH("SELF_FUND_PCT_SALES",'Margin Guidence Table'!$A$1:$AG$1,0)),INDEX('Margin Guidence Table'!$A$1:$AG$10000,MATCH(1,('Margin Guidence Table'!$A$1:$A$10000=EX31)*('Margin Guidence Table'!$I$1:$I$10000&lt;=ROUND($EP$3,0))*('Margin Guidence Table'!$J$1:$J$10000&gt;=ROUND($EP$3,0)),0),MATCH("DEFAULT_SELF_FUND_PCT_SALES",'Margin Guidence Table'!$A$1:$AG$1,0))),0)</f>
        <v>0</v>
      </c>
      <c r="FH31" s="1054">
        <f t="array" ref="FH31">IFERROR(IF($EZ31="SEGMENT",INDEX('Margin Guidence Table'!$A$1:$AG$10000,MATCH(1,('Margin Guidence Table'!$A$1:$A$10000=EX31)*('Margin Guidence Table'!$I$1:$I$10000&lt;=ROUND($EP$3,0))*('Margin Guidence Table'!$J$1:$J$10000&gt;=ROUND($EP$3,0)),0),MATCH("CIA_MEDIAN_MARGIN_GUIDENCE",'Margin Guidence Table'!$A$1:$AG$1,0)),INDEX('Margin Guidence Table'!$A$1:$AG$10000,MATCH(1,('Margin Guidence Table'!$A$1:$A$10000=EX31)*('Margin Guidence Table'!$I$1:$I$10000&lt;=ROUND($EP$3,0))*('Margin Guidence Table'!$J$1:$J$10000&gt;=ROUND($EP$3,0)),0),MATCH("DEFAULT_CIA_MEDIAN_MARGIN_GUIDENCE",'Margin Guidence Table'!$A$1:$AG$1,0))),0)</f>
        <v>0</v>
      </c>
      <c r="FI31" s="127"/>
      <c r="FJ31" s="18">
        <f t="array" ref="FJ31">IFERROR(IF($FW31="SEGMENT",INDEX('Margin Guidence Table'!$A$1:$AG$10000,MATCH(1,('Margin Guidence Table'!$A$1:$A$10000=$FU31)*('Margin Guidence Table'!$I$1:$I$10000&lt;=ROUND($FM$3,0))*('Margin Guidence Table'!$J$1:$J$10000&gt;=ROUND($FM$3,0)),0),MATCH("PCT_SALES",'Margin Guidence Table'!$A$1:$AG$1,0)),INDEX('Margin Guidence Table'!$A$1:$AG$10000,MATCH(1,('Margin Guidence Table'!$A$1:$A$10000=$FU31)*('Margin Guidence Table'!$I$1:$I$10000&lt;=ROUND($FM$3,0))*('Margin Guidence Table'!$J$1:$J$10000&gt;=ROUND($FM$3,0)),0),MATCH("DEFAULT_PCT_SALES",'Margin Guidence Table'!$A$1:$AG$1,0))),0)</f>
        <v>0</v>
      </c>
      <c r="FK31" s="370" t="e">
        <f t="shared" si="36"/>
        <v>#DIV/0!</v>
      </c>
      <c r="FL31" s="100" t="s">
        <v>94</v>
      </c>
      <c r="FM31" s="92">
        <f>IFERROR(IF(AND($FM$2&lt;&gt;"Enter Spend&gt;&gt;&gt;",FN19="EXISTING"),SUMIFS('Existing Customers'!$Q:$Q,'Existing Customers'!$A:$A,$FM$1,'Existing Customers'!$H:$H,$FL31)*$FM$4,$FM$3*$FK31),0)</f>
        <v>0</v>
      </c>
      <c r="FN31" s="87">
        <f>IFERROR(IF(AND($FM$2&lt;&gt;"Enter Spend&gt;&gt;&gt;",FN2="EXISTING"),SUMIFS('Existing Customers'!$N:$N,'Existing Customers'!$A:$A,$FM$1,'Existing Customers'!$H:$H,$FL31)*$FM$4,$FM31/$FX31),0)</f>
        <v>0</v>
      </c>
      <c r="FO31" s="93">
        <f>IFERROR(IF(AND($FM$2&lt;&gt;"Enter Spend&gt;&gt;&gt;",FN2="EXISTING"),SUMIFS('Existing Customers'!$O:$O,'Existing Customers'!$H:$H,$FL31,'Existing Customers'!$A:$A,$FM$1)*$FM$4,$FN31*$FM$8),0)</f>
        <v>0</v>
      </c>
      <c r="FP31" s="93">
        <f>IFERROR(IF(AND($FM$2&lt;&gt;"Enter Spend&gt;&gt;&gt;",FN2="EXISTING"),SUMIFS('Existing Customers'!$P:$P,'Existing Customers'!$A:$A,$FM$1,'Existing Customers'!$H:$H,$FL31)*$FM$4,$FM31/$FY31),0)</f>
        <v>0</v>
      </c>
      <c r="FQ31" s="94">
        <f>IFERROR(IF(AND($FM$2&lt;&gt;"Enter Spend&gt;&gt;&gt;",FN2="EXISTING"),SUMIFS('Existing Customers'!$V:$V,'Existing Customers'!$H:$H,$FL31,'Existing Customers'!$A:$A,$FM$1)*$FM$4,0),0)</f>
        <v>0</v>
      </c>
      <c r="FR31" s="94">
        <f>IFERROR(IF(AND($FM$2&lt;&gt;"Enter Spend&gt;&gt;&gt;",FN2="EXISTING"),SUMIFS('Existing Customers'!$R:$R,'Existing Customers'!$H:$H,$FL31,'Existing Customers'!$A:$A,$FM$1)*$FM$4,0),0)</f>
        <v>0</v>
      </c>
      <c r="FS31" s="1050">
        <f>IFERROR(IF(AND($FM$2&lt;&gt;"Enter Spend&gt;&gt;&gt;",FN2="EXISTING"),SUMIFS('Existing Customers'!$S:$S,'Existing Customers'!$H:$H,$FL31,'Existing Customers'!$A:$A,$FM$1),GC31*FM31),0)</f>
        <v>0</v>
      </c>
      <c r="FT31" s="1050">
        <f>IFERROR(IF(AND($FM$2&lt;&gt;"Enter Spend&gt;&gt;&gt;",FN2="EXISTING"),SUMIFS('Existing Customers'!$U:$U,'Existing Customers'!$H:$H,$FL31,'Existing Customers'!$A:$A,$FM$1),GD31*FM31),0)</f>
        <v>0</v>
      </c>
      <c r="FU31" s="1053" t="e">
        <f>_xlfn.CONCAT('Customer Inputs'!$AG$11,"_",FL31)</f>
        <v>#N/A</v>
      </c>
      <c r="FV31" s="1053">
        <f t="array" ref="FV31">IFERROR(INDEX('Margin Guidence Table'!$A$1:$AG$10000,MATCH(1,('Margin Guidence Table'!$A$1:$A$10000=FU31)*('Margin Guidence Table'!$I$1:$I$10000&lt;=ROUND($FM$3,0))*('Margin Guidence Table'!$J$1:$J$10000&gt;=ROUND($FM$3,0)),0),MATCH("DATA_POINTS",'Margin Guidence Table'!$A$1:$AG$1,0)),0)</f>
        <v>0</v>
      </c>
      <c r="FW31" s="1050" t="str">
        <f t="shared" si="37"/>
        <v>DEFAULT</v>
      </c>
      <c r="FX31" s="1050">
        <f t="array" ref="FX31">IFERROR(IF($FW31="SEGMENT",INDEX('Margin Guidence Table'!$A$1:$AG$10000,MATCH(1,('Margin Guidence Table'!$A$1:$A$10000=FU31)*('Margin Guidence Table'!$I$1:$I$10000&lt;=ROUND($FM$3,0))*('Margin Guidence Table'!$J$1:$J$10000&gt;=ROUND($FM$3,0)),0),MATCH("SALES_CASE",'Margin Guidence Table'!$A$1:$AG$1,0)),INDEX('Margin Guidence Table'!$A$1:$AG$10000,MATCH(1,('Margin Guidence Table'!$A$1:$A$10000=FU31)*('Margin Guidence Table'!$I$1:$I$10000&lt;=ROUND($FM$3,0))*('Margin Guidence Table'!$J$1:$J$10000&gt;=ROUND($FM$3,0)),0),MATCH("DEFAULT_SALES_CASE",'Margin Guidence Table'!$A$1:$AG$1,0))),0)</f>
        <v>0</v>
      </c>
      <c r="FY31" s="1050">
        <f t="array" ref="FY31">IFERROR(IF($FW31="SEGMENT",INDEX('Margin Guidence Table'!$A$1:$AG$10000,MATCH(1,('Margin Guidence Table'!$A$1:$A$10000=FU31)*('Margin Guidence Table'!$I$1:$I$10000&lt;=ROUND($FM$3,0))*('Margin Guidence Table'!$J$1:$J$10000&gt;=ROUND($FM$3,0)),0),MATCH("SALES_LBS",'Margin Guidence Table'!$A$1:$AG$1,0)),INDEX('Margin Guidence Table'!$A$1:$AG$10000,MATCH(1,('Margin Guidence Table'!$A$1:$A$10000=FU31)*('Margin Guidence Table'!$I$1:$I$10000&lt;=ROUND($FM$3,0))*('Margin Guidence Table'!$J$1:$J$10000&gt;=ROUND($FM$3,0)),0),MATCH("DEFAULT_SALES_LBS",'Margin Guidence Table'!$A$1:$AG$1,0))),0)</f>
        <v>0</v>
      </c>
      <c r="FZ31" s="1054">
        <f t="array" ref="FZ31">IFERROR(IF($FW31="SEGMENT",INDEX('Margin Guidence Table'!$A$1:$AG$10000,MATCH(1,('Margin Guidence Table'!$A$1:$A$10000=FU31)*('Margin Guidence Table'!$I$1:$I$10000&lt;=ROUND($FM$3,0))*('Margin Guidence Table'!$J$1:$J$10000&gt;=ROUND($FM$3,0)),0),MATCH("MDA_MIN_MARGIN_GUIDENCE",'Margin Guidence Table'!$A$1:$AG$1,0)),INDEX('Margin Guidence Table'!$A$1:$AG$10000,MATCH(1,('Margin Guidence Table'!$A$1:$A$10000=FU31)*('Margin Guidence Table'!$I$1:$I$10000&lt;=ROUND($FM$3,0))*('Margin Guidence Table'!$J$1:$J$10000&gt;=ROUND($FM$3,0)),0),MATCH("DEFAULT_MDA_MIN_MARGIN_GUIDENCE",'Margin Guidence Table'!$A$1:$AG$1,0))),0)</f>
        <v>0</v>
      </c>
      <c r="GA31" s="1054">
        <f t="array" ref="GA31">IFERROR(IF($FW31="SEGMENT",INDEX('Margin Guidence Table'!$A$1:$AG$10000,MATCH(1,('Margin Guidence Table'!$A$1:$A$10000=FU31)*('Margin Guidence Table'!$I$1:$I$10000&lt;=ROUND($FM$3,0))*('Margin Guidence Table'!$J$1:$J$10000&gt;=ROUND($FM$3,0)),0),MATCH("MDA_MEDIAN_MARGIN_GUIDENCE",'Margin Guidence Table'!$A$1:$AG$1,0)),INDEX('Margin Guidence Table'!$A$1:$AG$10000,MATCH(1,('Margin Guidence Table'!$A$1:$A$10000=FU31)*('Margin Guidence Table'!$I$1:$I$10000&lt;=ROUND($FM$3,0))*('Margin Guidence Table'!$J$1:$J$10000&gt;=ROUND($FM$3,0)),0),MATCH("DEFAULT_MDA_MEDIAN_MARGIN_GUIDENCE",'Margin Guidence Table'!$A$1:$AG$1,0))),0)</f>
        <v>0</v>
      </c>
      <c r="GB31" s="1054">
        <f t="array" ref="GB31">IFERROR(IF($FW31="SEGMENT",INDEX('Margin Guidence Table'!$A$1:$AG$10000,MATCH(1,('Margin Guidence Table'!$A$1:$A$10000=FU31)*('Margin Guidence Table'!$I$1:$I$10000&lt;=ROUND($FM$3,0))*('Margin Guidence Table'!$J$1:$J$10000&gt;=ROUND($FM$3,0)),0),MATCH("MDA_MAX_MARGIN_GUIDENCE",'Margin Guidence Table'!$A$1:$AG$1,0)),INDEX('Margin Guidence Table'!$A$1:$AG$10000,MATCH(1,('Margin Guidence Table'!$A$1:$A$10000=FU31)*('Margin Guidence Table'!$I$1:$I$10000&lt;=ROUND($FM$3,0))*('Margin Guidence Table'!$J$1:$J$10000&gt;=ROUND($FM$3,0)),0),MATCH("DEFAULT_MDA_MAX_MARGIN_GUIDENCE",'Margin Guidence Table'!$A$1:$AG$1,0))),0)</f>
        <v>0</v>
      </c>
      <c r="GC31" s="1054">
        <f t="array" ref="GC31">IFERROR(IF($FW31="SEGMENT",INDEX('Margin Guidence Table'!$A$1:$AG$10000,MATCH(1,('Margin Guidence Table'!$A$1:$A$10000=FU31)*('Margin Guidence Table'!$I$1:$I$10000&lt;=ROUND($FM$3,0))*('Margin Guidence Table'!$J$1:$J$10000&gt;=ROUND($FM$3,0)),0),MATCH("PA_PCT_SALES",'Margin Guidence Table'!$A$1:$AG$1,0)),INDEX('Margin Guidence Table'!$A$1:$AG$10000,MATCH(1,('Margin Guidence Table'!$A$1:$A$10000=FU31)*('Margin Guidence Table'!$I$1:$I$10000&lt;=ROUND($FM$3,0))*('Margin Guidence Table'!$J$1:$J$10000&gt;=ROUND($FM$3,0)),0),MATCH("DEFAULT_PA_PCT_SALES",'Margin Guidence Table'!$A$1:$AG$1,0))),0)</f>
        <v>0</v>
      </c>
      <c r="GD31" s="1054">
        <f t="array" ref="GD31">IFERROR(IF($FW31="SEGMENT",INDEX('Margin Guidence Table'!$A$1:$AG$10000,MATCH(1,('Margin Guidence Table'!$A$1:$A$10000=FU31)*('Margin Guidence Table'!$I$1:$I$10000&lt;=ROUND($FM$3,0))*('Margin Guidence Table'!$J$1:$J$10000&gt;=ROUND($FM$3,0)),0),MATCH("SELF_FUND_PCT_SALES",'Margin Guidence Table'!$A$1:$AG$1,0)),INDEX('Margin Guidence Table'!$A$1:$AG$10000,MATCH(1,('Margin Guidence Table'!$A$1:$A$10000=FU31)*('Margin Guidence Table'!$I$1:$I$10000&lt;=ROUND($FM$3,0))*('Margin Guidence Table'!$J$1:$J$10000&gt;=ROUND($FM$3,0)),0),MATCH("DEFAULT_SELF_FUND_PCT_SALES",'Margin Guidence Table'!$A$1:$AG$1,0))),0)</f>
        <v>0</v>
      </c>
      <c r="GE31" s="1054">
        <f t="array" ref="GE31">IFERROR(IF($FW31="SEGMENT",INDEX('Margin Guidence Table'!$A$1:$AG$10000,MATCH(1,('Margin Guidence Table'!$A$1:$A$10000=FU31)*('Margin Guidence Table'!$I$1:$I$10000&lt;=ROUND($FM$3,0))*('Margin Guidence Table'!$J$1:$J$10000&gt;=ROUND($FM$3,0)),0),MATCH("CIA_MEDIAN_MARGIN_GUIDENCE",'Margin Guidence Table'!$A$1:$AG$1,0)),INDEX('Margin Guidence Table'!$A$1:$AG$10000,MATCH(1,('Margin Guidence Table'!$A$1:$A$10000=FU31)*('Margin Guidence Table'!$I$1:$I$10000&lt;=ROUND($FM$3,0))*('Margin Guidence Table'!$J$1:$J$10000&gt;=ROUND($FM$3,0)),0),MATCH("DEFAULT_CIA_MEDIAN_MARGIN_GUIDENCE",'Margin Guidence Table'!$A$1:$AG$1,0))),0)</f>
        <v>0</v>
      </c>
      <c r="GF31" s="127"/>
      <c r="GG31" s="18">
        <f t="array" ref="GG31">IFERROR(IF($GT31="SEGMENT",INDEX('Margin Guidence Table'!$A$1:$AG$10000,MATCH(1,('Margin Guidence Table'!$A$1:$A$10000=$GR31)*('Margin Guidence Table'!$I$1:$I$10000&lt;=ROUND($GJ$3,0))*('Margin Guidence Table'!$J$1:$J$10000&gt;=ROUND($GJ$3,0)),0),MATCH("PCT_SALES",'Margin Guidence Table'!$A$1:$AG$1,0)),INDEX('Margin Guidence Table'!$A$1:$AG$10000,MATCH(1,('Margin Guidence Table'!$A$1:$A$10000=$GR31)*('Margin Guidence Table'!$I$1:$I$10000&lt;=ROUND($GJ$3,0))*('Margin Guidence Table'!$J$1:$J$10000&gt;=ROUND($GJ$3,0)),0),MATCH("DEFAULT_PCT_SALES",'Margin Guidence Table'!$A$1:$AG$1,0))),0)</f>
        <v>0</v>
      </c>
      <c r="GH31" s="370" t="e">
        <f t="shared" si="38"/>
        <v>#DIV/0!</v>
      </c>
      <c r="GI31" s="100" t="s">
        <v>94</v>
      </c>
      <c r="GJ31" s="92">
        <f>IFERROR(IF(AND($GJ$2&lt;&gt;"Enter Spend&gt;&gt;&gt;",GK19="EXISTING"),SUMIFS('Existing Customers'!$Q:$Q,'Existing Customers'!$A:$A,$GJ$1,'Existing Customers'!$H:$H,$GI31)*$GJ$4,$GJ$3*$GH31),0)</f>
        <v>0</v>
      </c>
      <c r="GK31" s="87">
        <f>IFERROR(IF(AND($GJ$2&lt;&gt;"Enter Spend&gt;&gt;&gt;",GK2="EXISTING"),SUMIFS('Existing Customers'!$N:$N,'Existing Customers'!$A:$A,$GJ$1,'Existing Customers'!$H:$H,$GI31)*$GJ$4,$GJ31/$GU31),0)</f>
        <v>0</v>
      </c>
      <c r="GL31" s="93">
        <f>IFERROR(IF(AND($GJ$2&lt;&gt;"Enter Spend&gt;&gt;&gt;",GK2="EXISTING"),SUMIFS('Existing Customers'!$O:$O,'Existing Customers'!$H:$H,$GI31,'Existing Customers'!$A:$A,$GJ$1)*$GJ$4,$GK31*$GJ$8),0)</f>
        <v>0</v>
      </c>
      <c r="GM31" s="93">
        <f>IFERROR(IF(AND($GJ$2&lt;&gt;"Enter Spend&gt;&gt;&gt;",GK2="EXISTING"),SUMIFS('Existing Customers'!$P:$P,'Existing Customers'!$A:$A,$GJ$1,'Existing Customers'!$H:$H,$GI31)*$GJ$4,$GJ31/$GV31),0)</f>
        <v>0</v>
      </c>
      <c r="GN31" s="94">
        <f>IFERROR(IF(AND($GJ$2&lt;&gt;"Enter Spend&gt;&gt;&gt;",GK2="EXISTING"),SUMIFS('Existing Customers'!$V:$V,'Existing Customers'!$H:$H,$GI31,'Existing Customers'!$A:$A,$GJ$1)*$GJ$4,0),0)</f>
        <v>0</v>
      </c>
      <c r="GO31" s="94">
        <f>IFERROR(IF(AND($GJ$2&lt;&gt;"Enter Spend&gt;&gt;&gt;",GK2="EXISTING"),SUMIFS('Existing Customers'!$R:$R,'Existing Customers'!$H:$H,$GI31,'Existing Customers'!$A:$A,$GJ$1)*$GJ$4,0),0)</f>
        <v>0</v>
      </c>
      <c r="GP31" s="1050">
        <f>IFERROR(IF(AND($GJ$2&lt;&gt;"Enter Spend&gt;&gt;&gt;",GK2="EXISTING"),SUMIFS('Existing Customers'!$S:$S,'Existing Customers'!$H:$H,$GI31,'Existing Customers'!$A:$A,$GJ$1),GZ31*GJ31),0)</f>
        <v>0</v>
      </c>
      <c r="GQ31" s="1050">
        <f>IFERROR(IF(AND($GJ$2&lt;&gt;"Enter Spend&gt;&gt;&gt;",GK2="EXISTING"),SUMIFS('Existing Customers'!$U:$U,'Existing Customers'!$H:$H,$GI31,'Existing Customers'!$A:$A,$GJ$1),HA31*GJ31),0)</f>
        <v>0</v>
      </c>
      <c r="GR31" s="1053" t="e">
        <f>_xlfn.CONCAT('Customer Inputs'!$AG$12,"_",GI31)</f>
        <v>#N/A</v>
      </c>
      <c r="GS31" s="1053">
        <f t="array" ref="GS31">IFERROR(INDEX('Margin Guidence Table'!$A$1:$AG$10000,MATCH(1,('Margin Guidence Table'!$A$1:$A$10000=GR31)*('Margin Guidence Table'!$I$1:$I$10000&lt;=ROUND($GJ$3,0))*('Margin Guidence Table'!$J$1:$J$10000&gt;=ROUND($GJ$3,0)),0),MATCH("DATA_POINTS",'Margin Guidence Table'!$A$1:$AG$1,0)),0)</f>
        <v>0</v>
      </c>
      <c r="GT31" s="1050" t="str">
        <f t="shared" si="39"/>
        <v>DEFAULT</v>
      </c>
      <c r="GU31" s="1050">
        <f t="array" ref="GU31">IFERROR(IF($GT31="SEGMENT",INDEX('Margin Guidence Table'!$A$1:$AG$10000,MATCH(1,('Margin Guidence Table'!$A$1:$A$10000=GR31)*('Margin Guidence Table'!$I$1:$I$10000&lt;=ROUND($GJ$3,0))*('Margin Guidence Table'!$J$1:$J$10000&gt;=ROUND($GJ$3,0)),0),MATCH("SALES_CASE",'Margin Guidence Table'!$A$1:$AG$1,0)),INDEX('Margin Guidence Table'!$A$1:$AG$10000,MATCH(1,('Margin Guidence Table'!$A$1:$A$10000=GR31)*('Margin Guidence Table'!$I$1:$I$10000&lt;=ROUND($GJ$3,0))*('Margin Guidence Table'!$J$1:$J$10000&gt;=ROUND($GJ$3,0)),0),MATCH("DEFAULT_SALES_CASE",'Margin Guidence Table'!$A$1:$AG$1,0))),0)</f>
        <v>0</v>
      </c>
      <c r="GV31" s="1050">
        <f t="array" ref="GV31">IFERROR(IF($GT31="SEGMENT",INDEX('Margin Guidence Table'!$A$1:$AG$10000,MATCH(1,('Margin Guidence Table'!$A$1:$A$10000=GR31)*('Margin Guidence Table'!$I$1:$I$10000&lt;=ROUND($GJ$3,0))*('Margin Guidence Table'!$J$1:$J$10000&gt;=ROUND($GJ$3,0)),0),MATCH("SALES_LBS",'Margin Guidence Table'!$A$1:$AG$1,0)),INDEX('Margin Guidence Table'!$A$1:$AG$10000,MATCH(1,('Margin Guidence Table'!$A$1:$A$10000=GR31)*('Margin Guidence Table'!$I$1:$I$10000&lt;=ROUND($GJ$3,0))*('Margin Guidence Table'!$J$1:$J$10000&gt;=ROUND($GJ$3,0)),0),MATCH("DEFAULT_SALES_LBS",'Margin Guidence Table'!$A$1:$AG$1,0))),0)</f>
        <v>0</v>
      </c>
      <c r="GW31" s="1054">
        <f t="array" ref="GW31">IFERROR(IF($GT31="SEGMENT",INDEX('Margin Guidence Table'!$A$1:$AG$10000,MATCH(1,('Margin Guidence Table'!$A$1:$A$10000=GR31)*('Margin Guidence Table'!$I$1:$I$10000&lt;=ROUND($GJ$3,0))*('Margin Guidence Table'!$J$1:$J$10000&gt;=ROUND($GJ$3,0)),0),MATCH("MDA_MIN_MARGIN_GUIDENCE",'Margin Guidence Table'!$A$1:$AG$1,0)),INDEX('Margin Guidence Table'!$A$1:$AG$10000,MATCH(1,('Margin Guidence Table'!$A$1:$A$10000=GR31)*('Margin Guidence Table'!$I$1:$I$10000&lt;=ROUND($GJ$3,0))*('Margin Guidence Table'!$J$1:$J$10000&gt;=ROUND($GJ$3,0)),0),MATCH("DEFAULT_MDA_MIN_MARGIN_GUIDENCE",'Margin Guidence Table'!$A$1:$AG$1,0))),0)</f>
        <v>0</v>
      </c>
      <c r="GX31" s="1054">
        <f t="array" ref="GX31">IFERROR(IF($GT31="SEGMENT",INDEX('Margin Guidence Table'!$A$1:$AG$10000,MATCH(1,('Margin Guidence Table'!$A$1:$A$10000=GR31)*('Margin Guidence Table'!$I$1:$I$10000&lt;=ROUND($GJ$3,0))*('Margin Guidence Table'!$J$1:$J$10000&gt;=ROUND($GJ$3,0)),0),MATCH("MDA_MEDIAN_MARGIN_GUIDENCE",'Margin Guidence Table'!$A$1:$AG$1,0)),INDEX('Margin Guidence Table'!$A$1:$AG$10000,MATCH(1,('Margin Guidence Table'!$A$1:$A$10000=GR31)*('Margin Guidence Table'!$I$1:$I$10000&lt;=ROUND($GJ$3,0))*('Margin Guidence Table'!$J$1:$J$10000&gt;=ROUND($GJ$3,0)),0),MATCH("DEFAULT_MDA_MEDIAN_MARGIN_GUIDENCE",'Margin Guidence Table'!$A$1:$AG$1,0))),0)</f>
        <v>0</v>
      </c>
      <c r="GY31" s="1054">
        <f t="array" ref="GY31">IFERROR(IF($GT31="SEGMENT",INDEX('Margin Guidence Table'!$A$1:$AG$10000,MATCH(1,('Margin Guidence Table'!$A$1:$A$10000=GR31)*('Margin Guidence Table'!$I$1:$I$10000&lt;=ROUND($GJ$3,0))*('Margin Guidence Table'!$J$1:$J$10000&gt;=ROUND($GJ$3,0)),0),MATCH("MDA_MAX_MARGIN_GUIDENCE",'Margin Guidence Table'!$A$1:$AG$1,0)),INDEX('Margin Guidence Table'!$A$1:$AG$10000,MATCH(1,('Margin Guidence Table'!$A$1:$A$10000=GR31)*('Margin Guidence Table'!$I$1:$I$10000&lt;=ROUND($GJ$3,0))*('Margin Guidence Table'!$J$1:$J$10000&gt;=ROUND($GJ$3,0)),0),MATCH("DEFAULT_MDA_MAX_MARGIN_GUIDENCE",'Margin Guidence Table'!$A$1:$AG$1,0))),0)</f>
        <v>0</v>
      </c>
      <c r="GZ31" s="1054">
        <f t="array" ref="GZ31">IFERROR(IF($GT31="SEGMENT",INDEX('Margin Guidence Table'!$A$1:$AG$10000,MATCH(1,('Margin Guidence Table'!$A$1:$A$10000=GR31)*('Margin Guidence Table'!$I$1:$I$10000&lt;=ROUND($GJ$3,0))*('Margin Guidence Table'!$J$1:$J$10000&gt;=ROUND($GJ$3,0)),0),MATCH("PA_PCT_SALES",'Margin Guidence Table'!$A$1:$AG$1,0)),INDEX('Margin Guidence Table'!$A$1:$AG$10000,MATCH(1,('Margin Guidence Table'!$A$1:$A$10000=GR31)*('Margin Guidence Table'!$I$1:$I$10000&lt;=ROUND($GJ$3,0))*('Margin Guidence Table'!$J$1:$J$10000&gt;=ROUND($GJ$3,0)),0),MATCH("DEFAULT_PA_PCT_SALES",'Margin Guidence Table'!$A$1:$AG$1,0))),0)</f>
        <v>0</v>
      </c>
      <c r="HA31" s="1054">
        <f t="array" ref="HA31">IFERROR(IF($GT31="SEGMENT",INDEX('Margin Guidence Table'!$A$1:$AG$10000,MATCH(1,('Margin Guidence Table'!$A$1:$A$10000=GR31)*('Margin Guidence Table'!$I$1:$I$10000&lt;=ROUND($GJ$3,0))*('Margin Guidence Table'!$J$1:$J$10000&gt;=ROUND($GJ$3,0)),0),MATCH("SELF_FUND_PCT_SALES",'Margin Guidence Table'!$A$1:$AG$1,0)),INDEX('Margin Guidence Table'!$A$1:$AG$10000,MATCH(1,('Margin Guidence Table'!$A$1:$A$10000=GR31)*('Margin Guidence Table'!$I$1:$I$10000&lt;=ROUND($GJ$3,0))*('Margin Guidence Table'!$J$1:$J$10000&gt;=ROUND($GJ$3,0)),0),MATCH("DEFAULT_SELF_FUND_PCT_SALES",'Margin Guidence Table'!$A$1:$AG$1,0))),0)</f>
        <v>0</v>
      </c>
      <c r="HB31" s="1054">
        <f t="array" ref="HB31">IFERROR(IF($GT31="SEGMENT",INDEX('Margin Guidence Table'!$A$1:$AG$10000,MATCH(1,('Margin Guidence Table'!$A$1:$A$10000=GR31)*('Margin Guidence Table'!$I$1:$I$10000&lt;=ROUND($GJ$3,0))*('Margin Guidence Table'!$J$1:$J$10000&gt;=ROUND($GJ$3,0)),0),MATCH("CIA_MEDIAN_MARGIN_GUIDENCE",'Margin Guidence Table'!$A$1:$AG$1,0)),INDEX('Margin Guidence Table'!$A$1:$AG$10000,MATCH(1,('Margin Guidence Table'!$A$1:$A$10000=GR31)*('Margin Guidence Table'!$I$1:$I$10000&lt;=ROUND($GJ$3,0))*('Margin Guidence Table'!$J$1:$J$10000&gt;=ROUND($GJ$3,0)),0),MATCH("DEFAULT_CIA_MEDIAN_MARGIN_GUIDENCE",'Margin Guidence Table'!$A$1:$AG$1,0))),0)</f>
        <v>0</v>
      </c>
      <c r="HC31" s="127"/>
      <c r="HD31" s="18">
        <f t="array" ref="HD31">IFERROR(IF($HQ31="SEGMENT",INDEX('Margin Guidence Table'!$A$1:$AG$10000,MATCH(1,('Margin Guidence Table'!$A$1:$A$10000=$HO31)*('Margin Guidence Table'!$I$1:$I$10000&lt;=ROUND($HG$3,0))*('Margin Guidence Table'!$J$1:$J$10000&gt;=ROUND($HG$3,0)),0),MATCH("PCT_SALES",'Margin Guidence Table'!$A$1:$AG$1,0)),INDEX('Margin Guidence Table'!$A$1:$AG$10000,MATCH(1,('Margin Guidence Table'!$A$1:$A$10000=$HO31)*('Margin Guidence Table'!$I$1:$I$10000&lt;=ROUND($HG$3,0))*('Margin Guidence Table'!$J$1:$J$10000&gt;=ROUND($HG$3,0)),0),MATCH("DEFAULT_PCT_SALES",'Margin Guidence Table'!$A$1:$AG$1,0))),0)</f>
        <v>0</v>
      </c>
      <c r="HE31" s="370" t="e">
        <f t="shared" si="40"/>
        <v>#DIV/0!</v>
      </c>
      <c r="HF31" s="100" t="s">
        <v>94</v>
      </c>
      <c r="HG31" s="92">
        <f>IFERROR(IF(AND($HG$2&lt;&gt;"Enter Spend&gt;&gt;&gt;",HH19="EXISTING"),SUMIFS('Existing Customers'!$Q:$Q,'Existing Customers'!$A:$A,$HG$1,'Existing Customers'!$H:$H,$HF31)*$HG$4,$HG$3*$HE31),0)</f>
        <v>0</v>
      </c>
      <c r="HH31" s="87">
        <f>IFERROR(IF(AND($HG$2&lt;&gt;"Enter Spend&gt;&gt;&gt;",HH2="EXISTING"),SUMIFS('Existing Customers'!$N:$N,'Existing Customers'!$A:$A,$HG$1,'Existing Customers'!$H:$H,$HF31)*$HG$4,$HG31/$HR31),0)</f>
        <v>0</v>
      </c>
      <c r="HI31" s="93">
        <f>IFERROR(IF(AND($HG$2&lt;&gt;"Enter Spend&gt;&gt;&gt;",HH2="EXISTING"),SUMIFS('Existing Customers'!$O:$O,'Existing Customers'!$H:$H,$HF31,'Existing Customers'!$A:$A,$HG$1)*$HG$4,$HH31*$HG$8),0)</f>
        <v>0</v>
      </c>
      <c r="HJ31" s="93">
        <f>IFERROR(IF(AND($HG$2&lt;&gt;"Enter Spend&gt;&gt;&gt;",HH2="EXISTING"),SUMIFS('Existing Customers'!$P:$P,'Existing Customers'!$A:$A,$HG$1,'Existing Customers'!$H:$H,$HF31)*$HG$4,$HG31/$HS31),0)</f>
        <v>0</v>
      </c>
      <c r="HK31" s="94">
        <f>IFERROR(IF(AND($HG$2&lt;&gt;"Enter Spend&gt;&gt;&gt;",HH2="EXISTING"),SUMIFS('Existing Customers'!$V:$V,'Existing Customers'!$H:$H,$HF31,'Existing Customers'!$A:$A,$HG$1)*$HG$4,0),0)</f>
        <v>0</v>
      </c>
      <c r="HL31" s="94">
        <f>IFERROR(IF(AND($HG$2&lt;&gt;"Enter Spend&gt;&gt;&gt;",HH2="EXISTING"),SUMIFS('Existing Customers'!$R:$R,'Existing Customers'!$H:$H,$HF31,'Existing Customers'!$A:$A,$HG$1)*$HG$4,0),0)</f>
        <v>0</v>
      </c>
      <c r="HM31" s="1050">
        <f>IFERROR(IF(AND($HG$2&lt;&gt;"Enter Spend&gt;&gt;&gt;",HH2="EXISTING"),SUMIFS('Existing Customers'!$S:$S,'Existing Customers'!$H:$H,$HF31,'Existing Customers'!$A:$A,$HG$1),HW31*HG31),0)</f>
        <v>0</v>
      </c>
      <c r="HN31" s="1050">
        <f>IFERROR(IF(AND($HG$2&lt;&gt;"Enter Spend&gt;&gt;&gt;",HH2="EXISTING"),SUMIFS('Existing Customers'!$U:$U,'Existing Customers'!$H:$H,$HF31,'Existing Customers'!$A:$A,$HG$1),HX31*HG31),0)</f>
        <v>0</v>
      </c>
      <c r="HO31" s="1053" t="e">
        <f>_xlfn.CONCAT('Customer Inputs'!$AG$13,"_",HF31)</f>
        <v>#N/A</v>
      </c>
      <c r="HP31" s="1053">
        <f t="array" ref="HP31">IFERROR(INDEX('Margin Guidence Table'!$A$1:$AG$10000,MATCH(1,('Margin Guidence Table'!$A$1:$A$10000=HO31)*('Margin Guidence Table'!$I$1:$I$10000&lt;=ROUND($HG$3,0))*('Margin Guidence Table'!$J$1:$J$10000&gt;=ROUND($HG$3,0)),0),MATCH("DATA_POINTS",'Margin Guidence Table'!$A$1:$AG$1,0)),0)</f>
        <v>0</v>
      </c>
      <c r="HQ31" s="1050" t="str">
        <f t="shared" si="41"/>
        <v>DEFAULT</v>
      </c>
      <c r="HR31" s="1050">
        <f t="array" ref="HR31">IFERROR(IF($HQ31="SEGMENT",INDEX('Margin Guidence Table'!$A$1:$AG$10000,MATCH(1,('Margin Guidence Table'!$A$1:$A$10000=HO31)*('Margin Guidence Table'!$I$1:$I$10000&lt;=ROUND($HG$3,0))*('Margin Guidence Table'!$J$1:$J$10000&gt;=ROUND($HG$3,0)),0),MATCH("SALES_CASE",'Margin Guidence Table'!$A$1:$AG$1,0)),INDEX('Margin Guidence Table'!$A$1:$AG$10000,MATCH(1,('Margin Guidence Table'!$A$1:$A$10000=HO31)*('Margin Guidence Table'!$I$1:$I$10000&lt;=ROUND($HG$3,0))*('Margin Guidence Table'!$J$1:$J$10000&gt;=ROUND($HG$3,0)),0),MATCH("DEFAULT_SALES_CASE",'Margin Guidence Table'!$A$1:$AG$1,0))),0)</f>
        <v>0</v>
      </c>
      <c r="HS31" s="1050">
        <f t="array" ref="HS31">IFERROR(IF($HQ31="SEGMENT",INDEX('Margin Guidence Table'!$A$1:$AG$10000,MATCH(1,('Margin Guidence Table'!$A$1:$A$10000=HO31)*('Margin Guidence Table'!$I$1:$I$10000&lt;=ROUND($HG$3,0))*('Margin Guidence Table'!$J$1:$J$10000&gt;=ROUND($HG$3,0)),0),MATCH("SALES_LBS",'Margin Guidence Table'!$A$1:$AG$1,0)),INDEX('Margin Guidence Table'!$A$1:$AG$10000,MATCH(1,('Margin Guidence Table'!$A$1:$A$10000=HO31)*('Margin Guidence Table'!$I$1:$I$10000&lt;=ROUND($HG$3,0))*('Margin Guidence Table'!$J$1:$J$10000&gt;=ROUND($HG$3,0)),0),MATCH("DEFAULT_SALES_LBS",'Margin Guidence Table'!$A$1:$AG$1,0))),0)</f>
        <v>0</v>
      </c>
      <c r="HT31" s="1054">
        <f t="array" ref="HT31">IFERROR(IF($HQ31="SEGMENT",INDEX('Margin Guidence Table'!$A$1:$AG$10000,MATCH(1,('Margin Guidence Table'!$A$1:$A$10000=HO31)*('Margin Guidence Table'!$I$1:$I$10000&lt;=ROUND($HG$3,0))*('Margin Guidence Table'!$J$1:$J$10000&gt;=ROUND($HG$3,0)),0),MATCH("MDA_MIN_MARGIN_GUIDENCE",'Margin Guidence Table'!$A$1:$AG$1,0)),INDEX('Margin Guidence Table'!$A$1:$AG$10000,MATCH(1,('Margin Guidence Table'!$A$1:$A$10000=HO31)*('Margin Guidence Table'!$I$1:$I$10000&lt;=ROUND($HG$3,0))*('Margin Guidence Table'!$J$1:$J$10000&gt;=ROUND($HG$3,0)),0),MATCH("DEFAULT_MDA_MIN_MARGIN_GUIDENCE",'Margin Guidence Table'!$A$1:$AG$1,0))),0)</f>
        <v>0</v>
      </c>
      <c r="HU31" s="1054">
        <f t="array" ref="HU31">IFERROR(IF($HQ31="SEGMENT",INDEX('Margin Guidence Table'!$A$1:$AG$10000,MATCH(1,('Margin Guidence Table'!$A$1:$A$10000=HO31)*('Margin Guidence Table'!$I$1:$I$10000&lt;=ROUND($HG$3,0))*('Margin Guidence Table'!$J$1:$J$10000&gt;=ROUND($HG$3,0)),0),MATCH("MDA_MEDIAN_MARGIN_GUIDENCE",'Margin Guidence Table'!$A$1:$AG$1,0)),INDEX('Margin Guidence Table'!$A$1:$AG$10000,MATCH(1,('Margin Guidence Table'!$A$1:$A$10000=HO31)*('Margin Guidence Table'!$I$1:$I$10000&lt;=ROUND($HG$3,0))*('Margin Guidence Table'!$J$1:$J$10000&gt;=ROUND($HG$3,0)),0),MATCH("DEFAULT_MDA_MEDIAN_MARGIN_GUIDENCE",'Margin Guidence Table'!$A$1:$AG$1,0))),0)</f>
        <v>0</v>
      </c>
      <c r="HV31" s="1054">
        <f t="array" ref="HV31">IFERROR(IF($HQ31="SEGMENT",INDEX('Margin Guidence Table'!$A$1:$AG$10000,MATCH(1,('Margin Guidence Table'!$A$1:$A$10000=HO31)*('Margin Guidence Table'!$I$1:$I$10000&lt;=ROUND($HG$3,0))*('Margin Guidence Table'!$J$1:$J$10000&gt;=ROUND($HG$3,0)),0),MATCH("MDA_MAX_MARGIN_GUIDENCE",'Margin Guidence Table'!$A$1:$AG$1,0)),INDEX('Margin Guidence Table'!$A$1:$AG$10000,MATCH(1,('Margin Guidence Table'!$A$1:$A$10000=HO31)*('Margin Guidence Table'!$I$1:$I$10000&lt;=ROUND($HG$3,0))*('Margin Guidence Table'!$J$1:$J$10000&gt;=ROUND($HG$3,0)),0),MATCH("DEFAULT_MDA_MAX_MARGIN_GUIDENCE",'Margin Guidence Table'!$A$1:$AG$1,0))),0)</f>
        <v>0</v>
      </c>
      <c r="HW31" s="1054">
        <f t="array" ref="HW31">IFERROR(IF($HQ31="SEGMENT",INDEX('Margin Guidence Table'!$A$1:$AG$10000,MATCH(1,('Margin Guidence Table'!$A$1:$A$10000=HO31)*('Margin Guidence Table'!$I$1:$I$10000&lt;=ROUND($HG$3,0))*('Margin Guidence Table'!$J$1:$J$10000&gt;=ROUND($HG$3,0)),0),MATCH("PA_PCT_SALES",'Margin Guidence Table'!$A$1:$AG$1,0)),INDEX('Margin Guidence Table'!$A$1:$AG$10000,MATCH(1,('Margin Guidence Table'!$A$1:$A$10000=HO31)*('Margin Guidence Table'!$I$1:$I$10000&lt;=ROUND($HG$3,0))*('Margin Guidence Table'!$J$1:$J$10000&gt;=ROUND($HG$3,0)),0),MATCH("DEFAULT_PA_PCT_SALES",'Margin Guidence Table'!$A$1:$AG$1,0))),0)</f>
        <v>0</v>
      </c>
      <c r="HX31" s="1054">
        <f t="array" ref="HX31">IFERROR(IF($HQ31="SEGMENT",INDEX('Margin Guidence Table'!$A$1:$AG$10000,MATCH(1,('Margin Guidence Table'!$A$1:$A$10000=HO31)*('Margin Guidence Table'!$I$1:$I$10000&lt;=ROUND($HG$3,0))*('Margin Guidence Table'!$J$1:$J$10000&gt;=ROUND($HG$3,0)),0),MATCH("SELF_FUND_PCT_SALES",'Margin Guidence Table'!$A$1:$AG$1,0)),INDEX('Margin Guidence Table'!$A$1:$AG$10000,MATCH(1,('Margin Guidence Table'!$A$1:$A$10000=HO31)*('Margin Guidence Table'!$I$1:$I$10000&lt;=ROUND($HG$3,0))*('Margin Guidence Table'!$J$1:$J$10000&gt;=ROUND($HG$3,0)),0),MATCH("DEFAULT_SELF_FUND_PCT_SALES",'Margin Guidence Table'!$A$1:$AG$1,0))),0)</f>
        <v>0</v>
      </c>
      <c r="HY31" s="1054">
        <f t="array" ref="HY31">IFERROR(IF($HQ31="SEGMENT",INDEX('Margin Guidence Table'!$A$1:$AG$10000,MATCH(1,('Margin Guidence Table'!$A$1:$A$10000=HO31)*('Margin Guidence Table'!$I$1:$I$10000&lt;=ROUND($HG$3,0))*('Margin Guidence Table'!$J$1:$J$10000&gt;=ROUND($HG$3,0)),0),MATCH("CIA_MEDIAN_MARGIN_GUIDENCE",'Margin Guidence Table'!$A$1:$AG$1,0)),INDEX('Margin Guidence Table'!$A$1:$AG$10000,MATCH(1,('Margin Guidence Table'!$A$1:$A$10000=HO31)*('Margin Guidence Table'!$I$1:$I$10000&lt;=ROUND($HG$3,0))*('Margin Guidence Table'!$J$1:$J$10000&gt;=ROUND($HG$3,0)),0),MATCH("DEFAULT_CIA_MEDIAN_MARGIN_GUIDENCE",'Margin Guidence Table'!$A$1:$AG$1,0))),0)</f>
        <v>0</v>
      </c>
      <c r="HZ31" s="127"/>
      <c r="IA31" s="18">
        <f t="array" ref="IA31">IFERROR(IF($IN31="SEGMENT",INDEX('Margin Guidence Table'!$A:$AC,MATCH(1,('Margin Guidence Table'!$A:$A=$IL31)*('Margin Guidence Table'!$H:$H&lt;=ROUND($ID$3,0))*('Margin Guidence Table'!$G:$G&gt;=ROUND($ID$3,0)),0),MATCH("PCT_SALES",'Margin Guidence Table'!$A$1:$AG$1,0)),INDEX('Margin Guidence Table'!$A:$AC,MATCH(1,('Margin Guidence Table'!$A:$A=$IL31)*('Margin Guidence Table'!$H:$H&lt;=ROUND($ID$3,0))*('Margin Guidence Table'!$G:$G&gt;=ROUND($ID$3,0)),0),MATCH("DEFAULT_PCT_SALES",'Margin Guidence Table'!$A$1:$AG$1,0))),0)</f>
        <v>0</v>
      </c>
      <c r="IB31" s="370" t="e">
        <f t="shared" si="42"/>
        <v>#DIV/0!</v>
      </c>
      <c r="IC31" s="100" t="s">
        <v>94</v>
      </c>
      <c r="ID31" s="92">
        <f>IFERROR(IF(AND($ID$2&lt;&gt;"Enter Spend&gt;&gt;&gt;",IE19="EXISTING"),SUMIFS('Existing Customers'!$Q:$Q,'Existing Customers'!$A:$A,$ID$1,'Existing Customers'!$H:$H,$IC31)*$ID$4,$ID$3*$IB31),0)</f>
        <v>0</v>
      </c>
      <c r="IE31" s="87">
        <f>IFERROR(IF(AND($ID$2&lt;&gt;"Enter Spend&gt;&gt;&gt;",IE2="EXISTING"),SUMIFS('Existing Customers'!$N:$N,'Existing Customers'!$A:$A,$ID$1,'Existing Customers'!$H:$H,$IC31)*$ID$4,$ID31/$IO31),0)</f>
        <v>0</v>
      </c>
      <c r="IF31" s="93">
        <f>IFERROR(IF(AND($ID$2&lt;&gt;"Enter Spend&gt;&gt;&gt;",IE2="EXISTING"),SUMIFS('Existing Customers'!$O:$O,'Existing Customers'!$H:$H,$IC31,'Existing Customers'!$A:$A,$ID$1)*$ID$4,$IE31*$ID$8),0)</f>
        <v>0</v>
      </c>
      <c r="IG31" s="93">
        <f>IFERROR(IF(AND($ID$2&lt;&gt;"Enter Spend&gt;&gt;&gt;",IE2="EXISTING"),SUMIFS('Existing Customers'!$P:$P,'Existing Customers'!$A:$A,$ID$1,'Existing Customers'!$H:$H,$IC31)*$ID$4,$ID31/$IP31),0)</f>
        <v>0</v>
      </c>
      <c r="IH31" s="376">
        <f>IFERROR(IF(AND($ID$2&lt;&gt;"Enter Spend&gt;&gt;&gt;",IE2="EXISTING"),SUMIFS('Existing Customers'!$V:$V,'Existing Customers'!$H:$H,$IC31,'Existing Customers'!$A:$A,$ID$1)*$ID$4,0),0)</f>
        <v>0</v>
      </c>
      <c r="II31" s="94">
        <f>IFERROR(IF(AND($ID$2&lt;&gt;"Enter Spend&gt;&gt;&gt;",IE2="EXISTING"),SUMIFS('Existing Customers'!$R:$R,'Existing Customers'!$H:$H,$IC31,'Existing Customers'!$A:$A,$ID$1)*$ID$4,0),0)</f>
        <v>0</v>
      </c>
      <c r="IJ31" s="1050">
        <f>IFERROR(IF(AND($ID$2&lt;&gt;"Enter Spend&gt;&gt;&gt;",IE2="EXISTING"),SUMIFS('Existing Customers'!$S:$S,'Existing Customers'!$H:$H,$IC31,'Existing Customers'!$A:$A,$ID$1),IT31*ID31),0)</f>
        <v>0</v>
      </c>
      <c r="IK31" s="1050">
        <f>IFERROR(IF(AND($ID$2&lt;&gt;"Enter Spend&gt;&gt;&gt;",IE2="EXISTING"),SUMIFS('Existing Customers'!$U:$U,'Existing Customers'!$H:$H,$IC31,'Existing Customers'!$A:$A,$ID$1),IU31*ID31),0)</f>
        <v>0</v>
      </c>
      <c r="IL31" s="1053" t="e">
        <f>_xlfn.CONCAT('Customer Inputs'!$AG$14,"_",IC31)</f>
        <v>#N/A</v>
      </c>
      <c r="IM31" s="1053">
        <f t="array" ref="IM31">IFERROR(INDEX('Margin Guidence Table'!$A$1:$AG$10000,MATCH(1,('Margin Guidence Table'!$A$1:$A$10000=IL31)*('Margin Guidence Table'!$I$1:$I$10000&lt;=ROUND($ID$3,0))*('Margin Guidence Table'!$J$1:$J$10000&gt;=ROUND($ID$3,0)),0),MATCH("DATA_POINTS",'Margin Guidence Table'!$A$1:$AG$1,0)),0)</f>
        <v>0</v>
      </c>
      <c r="IN31" s="1050" t="str">
        <f t="shared" si="43"/>
        <v>DEFAULT</v>
      </c>
      <c r="IO31" s="1050">
        <f t="array" ref="IO31">IFERROR(IF($IN31="SEGMENT",INDEX('Margin Guidence Table'!$A$1:$AG$10000,MATCH(1,('Margin Guidence Table'!$A$1:$A$10000=IL31)*('Margin Guidence Table'!$I$1:$I$10000&lt;=ROUND($ID$3,0))*('Margin Guidence Table'!$J$1:$J$10000&gt;=ROUND($ID$3,0)),0),MATCH("SALES_CASE",'Margin Guidence Table'!$A$1:$AG$1,0)),INDEX('Margin Guidence Table'!$A$1:$AG$10000,MATCH(1,('Margin Guidence Table'!$A$1:$A$10000=IL31)*('Margin Guidence Table'!$I$1:$I$10000&lt;=ROUND($ID$3,0))*('Margin Guidence Table'!$J$1:$J$10000&gt;=ROUND($ID$3,0)),0),MATCH("DEFAULT_SALES_CASE",'Margin Guidence Table'!$A$1:$AG$1,0))),0)</f>
        <v>0</v>
      </c>
      <c r="IP31" s="1050">
        <f t="array" ref="IP31">IFERROR(IF($IN31="SEGMENT",INDEX('Margin Guidence Table'!$A$1:$AG$10000,MATCH(1,('Margin Guidence Table'!$A$1:$A$10000=IL31)*('Margin Guidence Table'!$I$1:$I$10000&lt;=ROUND($ID$3,0))*('Margin Guidence Table'!$J$1:$J$10000&gt;=ROUND($ID$3,0)),0),MATCH("SALES_LBS",'Margin Guidence Table'!$A$1:$AG$1,0)),INDEX('Margin Guidence Table'!$A$1:$AG$10000,MATCH(1,('Margin Guidence Table'!$A$1:$A$10000=IL31)*('Margin Guidence Table'!$I$1:$I$10000&lt;=ROUND($ID$3,0))*('Margin Guidence Table'!$J$1:$J$10000&gt;=ROUND($ID$3,0)),0),MATCH("DEFAULT_SALES_LBS",'Margin Guidence Table'!$A$1:$AG$1,0))),0)</f>
        <v>0</v>
      </c>
      <c r="IQ31" s="1054">
        <f t="array" ref="IQ31">IFERROR(IF($IN31="SEGMENT",INDEX('Margin Guidence Table'!$A$1:$AG$10000,MATCH(1,('Margin Guidence Table'!$A$1:$A$10000=IL31)*('Margin Guidence Table'!$I$1:$I$10000&lt;=ROUND($ID$3,0))*('Margin Guidence Table'!$J$1:$J$10000&gt;=ROUND($ID$3,0)),0),MATCH("MDA_MIN_MARGIN_GUIDENCE",'Margin Guidence Table'!$A$1:$AG$1,0)),INDEX('Margin Guidence Table'!$A$1:$AG$10000,MATCH(1,('Margin Guidence Table'!$A$1:$A$10000=IL31)*('Margin Guidence Table'!$I$1:$I$10000&lt;=ROUND($ID$3,0))*('Margin Guidence Table'!$J$1:$J$10000&gt;=ROUND($ID$3,0)),0),MATCH("DEFAULT_MDA_MIN_MARGIN_GUIDENCE",'Margin Guidence Table'!$A$1:$AG$1,0))),0)</f>
        <v>0</v>
      </c>
      <c r="IR31" s="1054">
        <f t="array" ref="IR31">IFERROR(IF($IN31="SEGMENT",INDEX('Margin Guidence Table'!$A$1:$AG$10000,MATCH(1,('Margin Guidence Table'!$A$1:$A$10000=IL31)*('Margin Guidence Table'!$I$1:$I$10000&lt;=ROUND($ID$3,0))*('Margin Guidence Table'!$J$1:$J$10000&gt;=ROUND($ID$3,0)),0),MATCH("MDA_MEDIAN_MARGIN_GUIDENCE",'Margin Guidence Table'!$A$1:$AG$1,0)),INDEX('Margin Guidence Table'!$A$1:$AG$10000,MATCH(1,('Margin Guidence Table'!$A$1:$A$10000=IL31)*('Margin Guidence Table'!$I$1:$I$10000&lt;=ROUND($ID$3,0))*('Margin Guidence Table'!$J$1:$J$10000&gt;=ROUND($ID$3,0)),0),MATCH("DEFAULT_MDA_MEDIAN_MARGIN_GUIDENCE",'Margin Guidence Table'!$A$1:$AG$1,0))),0)</f>
        <v>0</v>
      </c>
      <c r="IS31" s="1054">
        <f t="array" ref="IS31">IFERROR(IF($IN31="SEGMENT",INDEX('Margin Guidence Table'!$A$1:$AG$10000,MATCH(1,('Margin Guidence Table'!$A$1:$A$10000=IL31)*('Margin Guidence Table'!$I$1:$I$10000&lt;=ROUND($ID$3,0))*('Margin Guidence Table'!$J$1:$J$10000&gt;=ROUND($ID$3,0)),0),MATCH("MDA_MAX_MARGIN_GUIDENCE",'Margin Guidence Table'!$A$1:$AG$1,0)),INDEX('Margin Guidence Table'!$A$1:$AG$10000,MATCH(1,('Margin Guidence Table'!$A$1:$A$10000=IL31)*('Margin Guidence Table'!$I$1:$I$10000&lt;=ROUND($ID$3,0))*('Margin Guidence Table'!$J$1:$J$10000&gt;=ROUND($ID$3,0)),0),MATCH("DEFAULT_MDA_MAX_MARGIN_GUIDENCE",'Margin Guidence Table'!$A$1:$AG$1,0))),0)</f>
        <v>0</v>
      </c>
      <c r="IT31" s="1054">
        <f t="array" ref="IT31">IFERROR(IF($IN31="SEGMENT",INDEX('Margin Guidence Table'!$A$1:$AG$10000,MATCH(1,('Margin Guidence Table'!$A$1:$A$10000=IL31)*('Margin Guidence Table'!$I$1:$I$10000&lt;=ROUND($ID$3,0))*('Margin Guidence Table'!$J$1:$J$10000&gt;=ROUND($ID$3,0)),0),MATCH("PA_PCT_SALES",'Margin Guidence Table'!$A$1:$AG$1,0)),INDEX('Margin Guidence Table'!$A$1:$AG$10000,MATCH(1,('Margin Guidence Table'!$A$1:$A$10000=IL31)*('Margin Guidence Table'!$I$1:$I$10000&lt;=ROUND($ID$3,0))*('Margin Guidence Table'!$J$1:$J$10000&gt;=ROUND($ID$3,0)),0),MATCH("DEFAULT_PA_PCT_SALES",'Margin Guidence Table'!$A$1:$AG$1,0))),0)</f>
        <v>0</v>
      </c>
      <c r="IU31" s="1054">
        <f t="array" ref="IU31">IFERROR(IF($IN31="SEGMENT",INDEX('Margin Guidence Table'!$A$1:$AG$10000,MATCH(1,('Margin Guidence Table'!$A$1:$A$10000=IL31)*('Margin Guidence Table'!$I$1:$I$10000&lt;=ROUND($ID$3,0))*('Margin Guidence Table'!$J$1:$J$10000&gt;=ROUND($ID$3,0)),0),MATCH("SELF_FUND_PCT_SALES",'Margin Guidence Table'!$A$1:$AG$1,0)),INDEX('Margin Guidence Table'!$A$1:$AG$10000,MATCH(1,('Margin Guidence Table'!$A$1:$A$10000=IL31)*('Margin Guidence Table'!$I$1:$I$10000&lt;=ROUND($ID$3,0))*('Margin Guidence Table'!$J$1:$J$10000&gt;=ROUND($ID$3,0)),0),MATCH("DEFAULT_SELF_FUND_PCT_SALES",'Margin Guidence Table'!$A$1:$AG$1,0))),0)</f>
        <v>0</v>
      </c>
      <c r="IV31" s="1054">
        <f t="array" ref="IV31">IFERROR(IF($IN31="SEGMENT",INDEX('Margin Guidence Table'!$A$1:$AG$10000,MATCH(1,('Margin Guidence Table'!$A$1:$A$10000=IL31)*('Margin Guidence Table'!$I$1:$I$10000&lt;=ROUND($ID$3,0))*('Margin Guidence Table'!$J$1:$J$10000&gt;=ROUND($ID$3,0)),0),MATCH("CIA_MEDIAN_MARGIN_GUIDENCE",'Margin Guidence Table'!$A$1:$AG$1,0)),INDEX('Margin Guidence Table'!$A$1:$AG$10000,MATCH(1,('Margin Guidence Table'!$A$1:$A$10000=IL31)*('Margin Guidence Table'!$I$1:$I$10000&lt;=ROUND($ID$3,0))*('Margin Guidence Table'!$J$1:$J$10000&gt;=ROUND($ID$3,0)),0),MATCH("DEFAULT_CIA_MEDIAN_MARGIN_GUIDENCE",'Margin Guidence Table'!$A$1:$AG$1,0))),0)</f>
        <v>0</v>
      </c>
      <c r="IW31" s="127"/>
      <c r="IX31" s="18">
        <f t="array" ref="IX31">IFERROR(IF($JK31="SEGMENT",INDEX('Margin Guidence Table'!$A$1:$AG$10000,MATCH(1,('Margin Guidence Table'!$A$1:$A$10000=$JI31)*('Margin Guidence Table'!$I$1:$I$10000&lt;=ROUND($JA$3,0))*('Margin Guidence Table'!$J$1:$J$10000&gt;=ROUND($JA$3,0)),0),MATCH("PCT_SALES",'Margin Guidence Table'!$A$1:$AG$1,0)),INDEX('Margin Guidence Table'!$A$1:$AG$10000,MATCH(1,('Margin Guidence Table'!$A$1:$A$10000=$JI31)*('Margin Guidence Table'!$I$1:$I$10000&lt;=ROUND($JA$3,0))*('Margin Guidence Table'!$J$1:$J$10000&gt;=ROUND($JA$3,0)),0),MATCH("DEFAULT_PCT_SALES",'Margin Guidence Table'!$A$1:$AG$1,0))),0)</f>
        <v>0</v>
      </c>
      <c r="IY31" s="370" t="e">
        <f t="shared" si="44"/>
        <v>#DIV/0!</v>
      </c>
      <c r="IZ31" s="100" t="s">
        <v>94</v>
      </c>
      <c r="JA31" s="92">
        <f>IFERROR(IF(AND($JA$2&lt;&gt;"Enter Spend&gt;&gt;&gt;",JB19="EXISTING"),SUMIFS('Existing Customers'!$Q:$Q,'Existing Customers'!$A:$A,$JA$1,'Existing Customers'!$H:$H,$IZ31)*$JA$4,$JA$3*$IY31),0)</f>
        <v>0</v>
      </c>
      <c r="JB31" s="87">
        <f>IFERROR(IF(AND($JA$2&lt;&gt;"Enter Spend&gt;&gt;&gt;",JB2="EXISTING"),SUMIFS('Existing Customers'!$N:$N,'Existing Customers'!$A:$A,$JA$1,'Existing Customers'!$H:$H,$IZ31)*$JA$4,$JA31/$JL31),0)</f>
        <v>0</v>
      </c>
      <c r="JC31" s="93">
        <f>IFERROR(IF(AND($JA$2&lt;&gt;"Enter Spend&gt;&gt;&gt;",JB2="EXISTING"),SUMIFS('Existing Customers'!$O:$O,'Existing Customers'!$H:$H,$IZ31,'Existing Customers'!$A:$A,$JA$1)*$JA$4,$JB31*$JA$8),0)</f>
        <v>0</v>
      </c>
      <c r="JD31" s="93">
        <f>IFERROR(IF(AND($JA$2&lt;&gt;"Enter Spend&gt;&gt;&gt;",JB2="EXISTING"),SUMIFS('Existing Customers'!$P:$P,'Existing Customers'!$A:$A,$JA$1,'Existing Customers'!$H:$H,$IZ31)*$JA$4,$JA31/$JM31),0)</f>
        <v>0</v>
      </c>
      <c r="JE31" s="376">
        <f>IFERROR(IF(AND($JA$2&lt;&gt;"Enter Spend&gt;&gt;&gt;",JB2="EXISTING"),SUMIFS('Existing Customers'!$V:$V,'Existing Customers'!$H:$H,$IZ31,'Existing Customers'!$A:$A,$JA$1)*$JA$4,0),0)</f>
        <v>0</v>
      </c>
      <c r="JF31" s="94">
        <f>IFERROR(IF(AND($JA$2&lt;&gt;"Enter Spend&gt;&gt;&gt;",JB2="EXISTING"),SUMIFS('Existing Customers'!$R:$R,'Existing Customers'!$H:$H,$IZ31,'Existing Customers'!$A:$A,$JA$1)*$JA$4,0),0)</f>
        <v>0</v>
      </c>
      <c r="JG31" s="1050">
        <f>IFERROR(IF(AND($JA$2&lt;&gt;"Enter Spend&gt;&gt;&gt;",JB2="EXISTING"),SUMIFS('Existing Customers'!$S:$S,'Existing Customers'!$H:$H,$IZ31,'Existing Customers'!$A:$A,$JA$1),JQ31*JA31),0)</f>
        <v>0</v>
      </c>
      <c r="JH31" s="1050">
        <f>IFERROR(IF(AND($JA$2&lt;&gt;"Enter Spend&gt;&gt;&gt;",JB2="EXISTING"),SUMIFS('Existing Customers'!$U:$U,'Existing Customers'!$H:$H,$IZ31,'Existing Customers'!$A:$A,$JA$1),JR31*JA31),0)</f>
        <v>0</v>
      </c>
      <c r="JI31" s="1053" t="e">
        <f>_xlfn.CONCAT('Customer Inputs'!$AG$15,"_",IZ31)</f>
        <v>#N/A</v>
      </c>
      <c r="JJ31" s="1053">
        <f t="array" ref="JJ31">IFERROR(INDEX('Margin Guidence Table'!$A$1:$AG$10000,MATCH(1,('Margin Guidence Table'!$A$1:$A$10000=JI31)*('Margin Guidence Table'!$I$1:$I$10000&lt;=ROUND($JA$3,0))*('Margin Guidence Table'!$J$1:$J$10000&gt;=ROUND($JA$3,0)),0),MATCH("DATA_POINTS",'Margin Guidence Table'!$A$1:$AG$1,0)),0)</f>
        <v>0</v>
      </c>
      <c r="JK31" s="1050" t="str">
        <f t="shared" si="45"/>
        <v>DEFAULT</v>
      </c>
      <c r="JL31" s="1050">
        <f t="array" ref="JL31">IFERROR(IF($JK31="SEGMENT",INDEX('Margin Guidence Table'!$A$1:$AG$10000,MATCH(1,('Margin Guidence Table'!$A$1:$A$10000=JI31)*('Margin Guidence Table'!$I$1:$I$10000&lt;=ROUND($JA$3,0))*('Margin Guidence Table'!$J$1:$J$10000&gt;=ROUND($JA$3,0)),0),MATCH("SALES_CASE",'Margin Guidence Table'!$A$1:$AG$1,0)),INDEX('Margin Guidence Table'!$A$1:$AG$10000,MATCH(1,('Margin Guidence Table'!$A$1:$A$10000=JI31)*('Margin Guidence Table'!$I$1:$I$10000&lt;=ROUND($JA$3,0))*('Margin Guidence Table'!$J$1:$J$10000&gt;=ROUND($JA$3,0)),0),MATCH("DEFAULT_SALES_CASE",'Margin Guidence Table'!$A$1:$AG$1,0))),0)</f>
        <v>0</v>
      </c>
      <c r="JM31" s="1050">
        <f t="array" ref="JM31">IFERROR(IF($JK31="SEGMENT",INDEX('Margin Guidence Table'!$A$1:$AG$10000,MATCH(1,('Margin Guidence Table'!$A$1:$A$10000=JI31)*('Margin Guidence Table'!$I$1:$I$10000&lt;=ROUND($JA$3,0))*('Margin Guidence Table'!$J$1:$J$10000&gt;=ROUND($JA$3,0)),0),MATCH("SALES_LBS",'Margin Guidence Table'!$A$1:$AG$1,0)),INDEX('Margin Guidence Table'!$A$1:$AG$10000,MATCH(1,('Margin Guidence Table'!$A$1:$A$10000=JI31)*('Margin Guidence Table'!$I$1:$I$10000&lt;=ROUND($JA$3,0))*('Margin Guidence Table'!$J$1:$J$10000&gt;=ROUND($JA$3,0)),0),MATCH("DEFAULT_SALES_LBS",'Margin Guidence Table'!$A$1:$AG$1,0))),0)</f>
        <v>0</v>
      </c>
      <c r="JN31" s="1054">
        <f t="array" ref="JN31">IFERROR(IF($JK31="SEGMENT",INDEX('Margin Guidence Table'!$A$1:$AG$10000,MATCH(1,('Margin Guidence Table'!$A$1:$A$10000=JI31)*('Margin Guidence Table'!$I$1:$I$10000&lt;=ROUND($JA$3,0))*('Margin Guidence Table'!$J$1:$J$10000&gt;=ROUND($JA$3,0)),0),MATCH("MDA_MIN_MARGIN_GUIDENCE",'Margin Guidence Table'!$A$1:$AG$1,0)),INDEX('Margin Guidence Table'!$A$1:$AG$10000,MATCH(1,('Margin Guidence Table'!$A$1:$A$10000=JI31)*('Margin Guidence Table'!$I$1:$I$10000&lt;=ROUND($JA$3,0))*('Margin Guidence Table'!$J$1:$J$10000&gt;=ROUND($JA$3,0)),0),MATCH("DEFAULT_MDA_MIN_MARGIN_GUIDENCE",'Margin Guidence Table'!$A$1:$AG$1,0))),0)</f>
        <v>0</v>
      </c>
      <c r="JO31" s="1054">
        <f t="array" ref="JO31">IFERROR(IF($JK31="SEGMENT",INDEX('Margin Guidence Table'!$A$1:$AG$10000,MATCH(1,('Margin Guidence Table'!$A$1:$A$10000=JI31)*('Margin Guidence Table'!$I$1:$I$10000&lt;=ROUND($JA$3,0))*('Margin Guidence Table'!$J$1:$J$10000&gt;=ROUND($JA$3,0)),0),MATCH("MDA_MEDIAN_MARGIN_GUIDENCE",'Margin Guidence Table'!$A$1:$AG$1,0)),INDEX('Margin Guidence Table'!$A$1:$AG$10000,MATCH(1,('Margin Guidence Table'!$A$1:$A$10000=JI31)*('Margin Guidence Table'!$I$1:$I$10000&lt;=ROUND($JA$3,0))*('Margin Guidence Table'!$J$1:$J$10000&gt;=ROUND($JA$3,0)),0),MATCH("DEFAULT_MDA_MEDIAN_MARGIN_GUIDENCE",'Margin Guidence Table'!$A$1:$AG$1,0))),0)</f>
        <v>0</v>
      </c>
      <c r="JP31" s="1054">
        <f t="array" ref="JP31">IFERROR(IF($JK31="SEGMENT",INDEX('Margin Guidence Table'!$A$1:$AG$10000,MATCH(1,('Margin Guidence Table'!$A$1:$A$10000=JI31)*('Margin Guidence Table'!$I$1:$I$10000&lt;=ROUND($JA$3,0))*('Margin Guidence Table'!$J$1:$J$10000&gt;=ROUND($JA$3,0)),0),MATCH("MDA_MAX_MARGIN_GUIDENCE",'Margin Guidence Table'!$A$1:$AG$1,0)),INDEX('Margin Guidence Table'!$A$1:$AG$10000,MATCH(1,('Margin Guidence Table'!$A$1:$A$10000=JI31)*('Margin Guidence Table'!$I$1:$I$10000&lt;=ROUND($JA$3,0))*('Margin Guidence Table'!$J$1:$J$10000&gt;=ROUND($JA$3,0)),0),MATCH("DEFAULT_MDA_MAX_MARGIN_GUIDENCE",'Margin Guidence Table'!$A$1:$AG$1,0))),0)</f>
        <v>0</v>
      </c>
      <c r="JQ31" s="1054">
        <f t="array" ref="JQ31">IFERROR(IF($JK31="SEGMENT",INDEX('Margin Guidence Table'!$A$1:$AG$10000,MATCH(1,('Margin Guidence Table'!$A$1:$A$10000=JI31)*('Margin Guidence Table'!$I$1:$I$10000&lt;=ROUND($JA$3,0))*('Margin Guidence Table'!$J$1:$J$10000&gt;=ROUND($JA$3,0)),0),MATCH("PA_PCT_SALES",'Margin Guidence Table'!$A$1:$AG$1,0)),INDEX('Margin Guidence Table'!$A$1:$AG$10000,MATCH(1,('Margin Guidence Table'!$A$1:$A$10000=JI31)*('Margin Guidence Table'!$I$1:$I$10000&lt;=ROUND($JA$3,0))*('Margin Guidence Table'!$J$1:$J$10000&gt;=ROUND($JA$3,0)),0),MATCH("DEFAULT_PA_PCT_SALES",'Margin Guidence Table'!$A$1:$AG$1,0))),0)</f>
        <v>0</v>
      </c>
      <c r="JR31" s="1054">
        <f t="array" ref="JR31">IFERROR(IF($JK31="SEGMENT",INDEX('Margin Guidence Table'!$A$1:$AG$10000,MATCH(1,('Margin Guidence Table'!$A$1:$A$10000=JI31)*('Margin Guidence Table'!$I$1:$I$10000&lt;=ROUND($JA$3,0))*('Margin Guidence Table'!$J$1:$J$10000&gt;=ROUND($JA$3,0)),0),MATCH("SELF_FUND_PCT_SALES",'Margin Guidence Table'!$A$1:$AG$1,0)),INDEX('Margin Guidence Table'!$A$1:$AG$10000,MATCH(1,('Margin Guidence Table'!$A$1:$A$10000=JI31)*('Margin Guidence Table'!$I$1:$I$10000&lt;=ROUND($JA$3,0))*('Margin Guidence Table'!$J$1:$J$10000&gt;=ROUND($JA$3,0)),0),MATCH("DEFAULT_SELF_FUND_PCT_SALES",'Margin Guidence Table'!$A$1:$AG$1,0))),0)</f>
        <v>0</v>
      </c>
      <c r="JS31" s="1054">
        <f t="array" ref="JS31">IFERROR(IF($JK31="SEGMENT",INDEX('Margin Guidence Table'!$A$1:$AG$10000,MATCH(1,('Margin Guidence Table'!$A$1:$A$10000=JI31)*('Margin Guidence Table'!$I$1:$I$10000&lt;=ROUND($JA$3,0))*('Margin Guidence Table'!$J$1:$J$10000&gt;=ROUND($JA$3,0)),0),MATCH("CIA_MEDIAN_MARGIN_GUIDENCE",'Margin Guidence Table'!$A$1:$AG$1,0)),INDEX('Margin Guidence Table'!$A$1:$AG$10000,MATCH(1,('Margin Guidence Table'!$A$1:$A$10000=JI31)*('Margin Guidence Table'!$I$1:$I$10000&lt;=ROUND($JA$3,0))*('Margin Guidence Table'!$J$1:$J$10000&gt;=ROUND($JA$3,0)),0),MATCH("DEFAULT_CIA_MEDIAN_MARGIN_GUIDENCE",'Margin Guidence Table'!$A$1:$AG$1,0))),0)</f>
        <v>0</v>
      </c>
      <c r="JU31" s="100" t="s">
        <v>94</v>
      </c>
      <c r="JV31" s="95"/>
      <c r="JW31" s="87"/>
      <c r="JX31" s="87"/>
      <c r="JY31" s="87"/>
      <c r="JZ31" s="112"/>
      <c r="KA31" s="96"/>
      <c r="KB31" s="127"/>
      <c r="KD31" s="100" t="s">
        <v>94</v>
      </c>
      <c r="KE31" s="95"/>
      <c r="KF31" s="87"/>
      <c r="KG31" s="87"/>
      <c r="KH31" s="87"/>
      <c r="KI31" s="112"/>
      <c r="KJ31" s="96"/>
    </row>
    <row r="32" spans="2:296" ht="15.75" thickBot="1" x14ac:dyDescent="0.3">
      <c r="B32" s="100" t="s">
        <v>86</v>
      </c>
      <c r="C32" s="449">
        <f t="shared" si="11"/>
        <v>0</v>
      </c>
      <c r="D32" s="465">
        <f t="shared" si="12"/>
        <v>0</v>
      </c>
      <c r="E32" s="465">
        <f t="shared" si="13"/>
        <v>0</v>
      </c>
      <c r="F32" s="465">
        <f t="shared" si="14"/>
        <v>0</v>
      </c>
      <c r="G32" s="466">
        <f t="shared" si="15"/>
        <v>0</v>
      </c>
      <c r="H32" s="465">
        <f t="shared" si="16"/>
        <v>0</v>
      </c>
      <c r="I32" s="1046" t="e">
        <f t="shared" si="0"/>
        <v>#DIV/0!</v>
      </c>
      <c r="J32" s="1046" t="e">
        <f t="shared" si="1"/>
        <v>#DIV/0!</v>
      </c>
      <c r="K32" s="1046" t="e">
        <f t="shared" si="2"/>
        <v>#DIV/0!</v>
      </c>
      <c r="L32" s="465" t="e">
        <f t="shared" si="3"/>
        <v>#DIV/0!</v>
      </c>
      <c r="M32" s="465" t="e">
        <f t="shared" si="17"/>
        <v>#DIV/0!</v>
      </c>
      <c r="N32" s="1047" t="e">
        <f t="shared" si="4"/>
        <v>#DIV/0!</v>
      </c>
      <c r="P32" t="str">
        <f>'PIM Model'!E28</f>
        <v>INCLUDE</v>
      </c>
      <c r="Q32">
        <f t="shared" si="18"/>
        <v>0</v>
      </c>
      <c r="R32">
        <f t="shared" si="19"/>
        <v>0</v>
      </c>
      <c r="S32" s="100" t="s">
        <v>86</v>
      </c>
      <c r="T32" s="95">
        <f t="shared" si="20"/>
        <v>0</v>
      </c>
      <c r="U32" s="87">
        <f t="shared" si="5"/>
        <v>0</v>
      </c>
      <c r="V32" s="87">
        <f t="shared" si="6"/>
        <v>0</v>
      </c>
      <c r="W32" s="87">
        <f t="shared" si="7"/>
        <v>0</v>
      </c>
      <c r="X32" s="112">
        <f t="shared" si="8"/>
        <v>0</v>
      </c>
      <c r="Y32" s="115">
        <f t="shared" si="21"/>
        <v>0</v>
      </c>
      <c r="Z32" s="374"/>
      <c r="AA32" s="100" t="s">
        <v>86</v>
      </c>
      <c r="AB32" s="453">
        <f t="shared" si="9"/>
        <v>0</v>
      </c>
      <c r="AC32" s="454">
        <f t="shared" si="9"/>
        <v>0</v>
      </c>
      <c r="AD32" s="454">
        <f t="shared" si="9"/>
        <v>0</v>
      </c>
      <c r="AE32" s="455">
        <f t="shared" si="22"/>
        <v>0</v>
      </c>
      <c r="AF32" s="456">
        <f t="shared" si="23"/>
        <v>0</v>
      </c>
      <c r="AG32" s="374"/>
      <c r="AH32" s="100" t="s">
        <v>86</v>
      </c>
      <c r="AI32" s="453">
        <f t="shared" si="10"/>
        <v>0</v>
      </c>
      <c r="AJ32" s="450">
        <f t="shared" si="24"/>
        <v>0</v>
      </c>
      <c r="AK32" s="456"/>
      <c r="AL32" s="374"/>
      <c r="AM32" s="1" t="str">
        <f>IF('PIM Ranges'!$AK30='PIM Ranges'!$AW$11,IF($AI32&lt;'PIM Ranges'!$AX$11,"Q1",IF($AI32&lt;'PIM Ranges'!$AY$11,"Q2",IF($AI32&lt;'PIM Ranges'!$AZ$11,"Q3",IF($AI32&lt;'PIM Ranges'!$BA$11,"Q4","Q5")))),IF('PIM Ranges'!$AK30='PIM Ranges'!$AW$12,IF($AI32&lt;'PIM Ranges'!$AX$12,"Q1",IF($AI32&lt;'PIM Ranges'!$AY$12,"Q2",IF($AI32&lt;'PIM Ranges'!$AZ$12,"Q3",IF($AI32&lt;'PIM Ranges'!$BA$12,"Q4","Q5")))),IF('PIM Ranges'!$AK30='PIM Ranges'!$AW$13,IF($AI32&lt;'PIM Ranges'!$AX$13,"Q1",IF($AI32&lt;'PIM Ranges'!$AY$13,"Q2",IF($AI32&lt;'PIM Ranges'!$AZ$13,"Q3",IF($AI32&lt;'PIM Ranges'!$BA$13,"Q4","Q5")))),IF('PIM Ranges'!$AK30='PIM Ranges'!$AW$14,IF($AI32&lt;'PIM Ranges'!$AX$14,"Q1",IF($AI32&lt;'PIM Ranges'!$AY$14,"Q2",IF($AI32&lt;'PIM Ranges'!$AZ$14,"Q3",IF($AI32&lt;'PIM Ranges'!$BA$14,"Q4","Q5")))),IF('PIM Ranges'!$AK30='PIM Ranges'!$AW$15,IF($AI32&lt;'PIM Ranges'!$AX$15,"Q1",IF($AI32&lt;'PIM Ranges'!$AY$15,"Q2",IF($AI32&lt;'PIM Ranges'!$AZ$15,"Q3",IF($AI32&lt;'PIM Ranges'!$BA$15,"Q4","Q5")))),IF('PIM Ranges'!$AK30='PIM Ranges'!$AW$16,IF($AI32&lt;'PIM Ranges'!$AX$16,"Q1",IF($AI32&lt;'PIM Ranges'!$AY$16,"Q2",IF($AI32&lt;'PIM Ranges'!$AZ$16,"Q3",IF($AI32&lt;'PIM Ranges'!$BA$16,"Q4","Q5")))),IF('PIM Ranges'!$AK30='PIM Ranges'!$AW$17,IF($AI32&lt;'PIM Ranges'!$AX$17,"Q1",IF($AI32&lt;'PIM Ranges'!$AY$17,"Q2",IF($AI32&lt;'PIM Ranges'!$AZ$17,"Q3",IF($AI32&lt;'PIM Ranges'!$BA$17,"Q4","Q5")))),IF('PIM Ranges'!$AK30='PIM Ranges'!$AW$18,IF($AI32&lt;'PIM Ranges'!$AX$18,"Q1",IF($AI32&lt;'PIM Ranges'!$AY$18,"Q2",IF($AI32&lt;'PIM Ranges'!$AZ$18,"Q3",IF($AI32&lt;'PIM Ranges'!$BA$18,"Q4","Q5")))),IF('PIM Ranges'!$AK30='PIM Ranges'!$AW$19,IF($AI32&lt;'PIM Ranges'!$AX$19,"Q1",IF($AI32&lt;'PIM Ranges'!$AY$19,"Q2",IF($AI32&lt;'PIM Ranges'!$AZ$19,"Q3",IF($AI32&lt;'PIM Ranges'!$BA$19,"Q4","Q5")))),IF('PIM Ranges'!$AK30='PIM Ranges'!$AW$20,IF($AI32&lt;'PIM Ranges'!$AX$20,"Q1",IF($AI32&lt;'PIM Ranges'!$AY$20,"Q2",IF($AI32&lt;'PIM Ranges'!$AZ$20,"Q3",IF($AI32&lt;'PIM Ranges'!$BA$20,"Q4","Q5")))),IF('PIM Ranges'!$AK30='PIM Ranges'!$AW$21,IF($AI32&lt;'PIM Ranges'!$AX$21,"Q1",IF($AI32&lt;'PIM Ranges'!$AY$21,"Q2",IF($AI32&lt;'PIM Ranges'!$AZ$21,"Q3",IF($AI32&lt;'PIM Ranges'!$BA$21,"Q4","Q5")))),IF('PIM Ranges'!$AK30='PIM Ranges'!$AW$22,IF($AI32&lt;'PIM Ranges'!$AX$22,"Q1",IF($AI32&lt;'PIM Ranges'!$AY$22,"Q2",IF($AI32&lt;'PIM Ranges'!$AZ$22,"Q3",IF($AI32&lt;'PIM Ranges'!$BA$22,"Q4","Q5")))),IF('PIM Ranges'!$AK30='PIM Ranges'!$AW$23,IF($AI32&lt;'PIM Ranges'!$AX$23,"Q1",IF($AI32&lt;'PIM Ranges'!$AY$23,"Q2",IF($AI32&lt;'PIM Ranges'!$AZ$23,"Q3",IF($AI32&lt;'PIM Ranges'!$BA$23,"Q4","Q5")))),IF('PIM Ranges'!$AK30='PIM Ranges'!$AW$24,IF($AI32&lt;'PIM Ranges'!$AX$24,"Q1",IF($AI32&lt;'PIM Ranges'!$AY$24,"Q2",IF($AI32&lt;'PIM Ranges'!$AZ$24,"Q3",IF($AI32&lt;'PIM Ranges'!$BA$24,"Q4","Q5")))),IF('PIM Ranges'!$AK30='PIM Ranges'!$AW$25,IF($AI32&lt;'PIM Ranges'!$AX$25,"Q1",IF($AI32&lt;'PIM Ranges'!$AY$25,"Q2",IF($AI32&lt;'PIM Ranges'!$AZ$25,"Q3",IF($AI32&lt;'PIM Ranges'!$BA$25,"Q4","Q5")))),IF('PIM Ranges'!$AK30='PIM Ranges'!$AW$26,IF($AI32&lt;'PIM Ranges'!$AX$26,"Q1",IF($AI32&lt;'PIM Ranges'!$AY$26,"Q2",IF($AI32&lt;'PIM Ranges'!$AZ$26,"Q3",IF($AI32&lt;'PIM Ranges'!$BA$26,"Q4","Q5")))),IF('PIM Ranges'!$AK30='PIM Ranges'!$AW$27,IF($AI32&lt;'PIM Ranges'!$AX$27,"Q1",IF($AI32&lt;'PIM Ranges'!$AY$27,"Q2",IF($AI32&lt;'PIM Ranges'!$AZ$27,"Q3",IF($AI32&lt;'PIM Ranges'!$BA$27,"Q4","Q5")))),IF('PIM Ranges'!$AK30='PIM Ranges'!$AW$28,IF($AI32&lt;'PIM Ranges'!$AX$28,"Q1",IF($AI32&lt;'PIM Ranges'!$AY$28,"Q2",IF($AI32&lt;'PIM Ranges'!$AZ$28,"Q3",IF($AI32&lt;'PIM Ranges'!$BA$28,"Q4","Q5")))),IF('PIM Ranges'!$AK30='PIM Ranges'!$AW$29,IF($AI32&lt;'PIM Ranges'!$AX$29,"Q1",IF($AI32&lt;'PIM Ranges'!$AY$29,"Q2",IF($AI32&lt;'PIM Ranges'!$AZ$29,"Q3",IF($AI32&lt;'PIM Ranges'!$BA$29,"Q4","Q5")))),IF('PIM Ranges'!$AK30='PIM Ranges'!$AW$30,IF($AI32&lt;'PIM Ranges'!$AX$30,"Q1",IF($AI32&lt;'PIM Ranges'!$AY$30,"Q2",IF($AI32&lt;'PIM Ranges'!$AZ$30,"Q3",IF($AI32&lt;'PIM Ranges'!$BA$30,"Q4","Q5")))),IF('PIM Ranges'!$AK30='PIM Ranges'!$AW$31,IF($AI32&lt;'PIM Ranges'!$AX$31,"Q1",IF($AI32&lt;'PIM Ranges'!$AY$31,"Q2",IF($AI32&lt;'PIM Ranges'!$AZ$31,"Q3",IF($AI32&lt;'PIM Ranges'!$BA$31,"Q4","Q5")))),IF('PIM Ranges'!$AK30='PIM Ranges'!$AW$32,IF($AI32&lt;'PIM Ranges'!$AX$32,"Q1",IF($AI32&lt;'PIM Ranges'!$AY$32,"Q2",IF($AI32&lt;'PIM Ranges'!$AZ$32,"Q3",IF($AI32&lt;'PIM Ranges'!$BA$32,"Q4","Q5"))))))))))))))))))))))))))</f>
        <v>Q1</v>
      </c>
      <c r="AN32" s="374">
        <f>VLOOKUP($AH32&amp;$AM32,'IMargin Quartiles'!$A:$F,6,FALSE)</f>
        <v>0.17</v>
      </c>
      <c r="AO32" s="374"/>
      <c r="AP32"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Q32" s="374" t="e">
        <f t="shared" si="25"/>
        <v>#DIV/0!</v>
      </c>
      <c r="AR32">
        <f>'PIM Model'!C28</f>
        <v>0</v>
      </c>
      <c r="AS32" s="374"/>
      <c r="AT32" s="374"/>
      <c r="AU32" s="374" t="e">
        <f t="shared" si="46"/>
        <v>#DIV/0!</v>
      </c>
      <c r="AV32" s="374"/>
      <c r="AW32" s="374"/>
      <c r="AX32" s="106">
        <v>21</v>
      </c>
      <c r="AY32" s="18">
        <f t="array" ref="AY32">IFERROR(IF($BL32="SEGMENT",INDEX('Margin Guidence Table'!$A$1:$AG$10000,MATCH(1,('Margin Guidence Table'!$A$1:$A$10000=$BJ32)*('Margin Guidence Table'!$I$1:$I$10000&lt;=ROUND($BB$3,0))*('Margin Guidence Table'!$J$1:$J$10000&gt;=ROUND($BB$3,0)),0),MATCH("PCT_SALES",'Margin Guidence Table'!$A$1:$AG$1,0)),INDEX('Margin Guidence Table'!$A$1:$AG$10000,MATCH(1,('Margin Guidence Table'!$A$1:$A$10000=$BJ32)*('Margin Guidence Table'!$I$1:$I$10000&lt;=ROUND($BB$3,0))*('Margin Guidence Table'!$J$1:$J$10000&gt;=ROUND($BB$3,0)),0),MATCH("DEFAULT_PCT_SALES",'Margin Guidence Table'!$A$1:$AG$1,0))),0)</f>
        <v>0</v>
      </c>
      <c r="AZ32" s="370" t="e">
        <f t="shared" si="26"/>
        <v>#DIV/0!</v>
      </c>
      <c r="BA32" s="100" t="s">
        <v>86</v>
      </c>
      <c r="BB32" s="92">
        <f>IFERROR(IF(AND($BB$2&lt;&gt;"Enter Spend&gt;&gt;&gt;",BC20="EXISTING"),SUMIFS('Existing Customers'!$Q:$Q,'Existing Customers'!$A:$A,$BB$1,'Existing Customers'!$H:$H,$BA32)*$BB$4,$BB$3*$AZ32),0)</f>
        <v>0</v>
      </c>
      <c r="BC32" s="93">
        <f>IFERROR(IF(AND($BB$2&lt;&gt;"Enter Spend&gt;&gt;&gt;",BC2="EXISTING"),SUMIFS('Existing Customers'!$N:$N,'Existing Customers'!$A:$A,$BB$1,'Existing Customers'!$H:$H,$BA32)*$BB$4,$BB32/$BM32),0)</f>
        <v>0</v>
      </c>
      <c r="BD32" s="93">
        <f>IFERROR(IF(AND($BB$2&lt;&gt;"Enter Spend&gt;&gt;&gt;",BC2="EXISTING"),SUMIFS('Existing Customers'!$O:$O,'Existing Customers'!$H:$H,$BA32,'Existing Customers'!$A:$A,$BB$1)*$BB$4,$BC32*$BB$8),0)</f>
        <v>0</v>
      </c>
      <c r="BE32" s="93">
        <f>IFERROR(IF(AND($BB$2&lt;&gt;"Enter Spend&gt;&gt;&gt;",BC2="EXISTING"),SUMIFS('Existing Customers'!$P:$P,'Existing Customers'!$A:$A,$BB$1,'Existing Customers'!$H:$H,$BA32)*$BB$4,$BB32/$BN32),0)</f>
        <v>0</v>
      </c>
      <c r="BF32" s="376">
        <f>IFERROR(IF(AND($BB$2&lt;&gt;"Enter Spend&gt;&gt;&gt;",BC2="EXISTING"),SUMIFS('Existing Customers'!$V:$V,'Existing Customers'!$H:$H,$BA32,'Existing Customers'!$A:$A,$BB$1)*$BB$4,0),0)</f>
        <v>0</v>
      </c>
      <c r="BG32" s="94">
        <f>IFERROR(IF(AND($BB$2&lt;&gt;"Enter Spend&gt;&gt;&gt;",BC2="EXISTING"),SUMIFS('Existing Customers'!$R:$R,'Existing Customers'!$H:$H,$BA32,'Existing Customers'!$A:$A,$BB$1)*$BB$4,0),0)</f>
        <v>0</v>
      </c>
      <c r="BH32" s="94">
        <f>IFERROR(IF(AND($BB$2&lt;&gt;"Enter Spend&gt;&gt;&gt;",BC2="EXISTING"),SUMIFS('Existing Customers'!$S:$S,'Existing Customers'!$H:$H,$BA32,'Existing Customers'!$A:$A,$BB$1),BR32*BB32),0)</f>
        <v>0</v>
      </c>
      <c r="BI32" s="94">
        <f>IFERROR(IF(AND($BB$2&lt;&gt;"Enter Spend&gt;&gt;&gt;",BC2="EXISTING"),SUMIFS('Existing Customers'!$U:$U,'Existing Customers'!$H:$H,$BA32,'Existing Customers'!$A:$A,$BB$1),BS32*BB32),0)</f>
        <v>0</v>
      </c>
      <c r="BJ32" s="1052" t="e">
        <f>_xlfn.CONCAT('Customer Inputs'!$AG$6,"_",BA32)</f>
        <v>#N/A</v>
      </c>
      <c r="BK32" s="1053">
        <f t="array" ref="BK32">IFERROR(INDEX('Margin Guidence Table'!$A$1:$AG$10000,MATCH(1,('Margin Guidence Table'!$A$1:$A$10000=$BJ32)*('Margin Guidence Table'!$I$1:$I$10000&lt;=ROUND($BB$3,0))*('Margin Guidence Table'!$J$1:$J$10000&gt;=ROUND($BB$3,0)),0),MATCH("DATA_POINTS",'Margin Guidence Table'!$A$1:$AG$1,0)),0)</f>
        <v>0</v>
      </c>
      <c r="BL32" s="1050" t="str">
        <f t="shared" si="27"/>
        <v>DEFAULT</v>
      </c>
      <c r="BM32" s="1050">
        <f t="array" ref="BM32">IFERROR(IF($BL32="SEGMENT",INDEX('Margin Guidence Table'!$A$1:$AG$10000,MATCH(1,('Margin Guidence Table'!$A$1:$A$10000=$BJ32)*('Margin Guidence Table'!$I$1:$I$10000&lt;=ROUND($BB$3,0))*('Margin Guidence Table'!$J$1:$J$10000&gt;=ROUND($BB$3,0)),0),MATCH("SALES_CASE",'Margin Guidence Table'!$A$1:$AG$1,0)),INDEX('Margin Guidence Table'!$A$1:$AG$10000,MATCH(1,('Margin Guidence Table'!$A$1:$A$10000=$BJ32)*('Margin Guidence Table'!$I$1:$I$10000&lt;=ROUND($BB$3,0))*('Margin Guidence Table'!$J$1:$J$10000&gt;=ROUND($BB$3,0)),0),MATCH("DEFAULT_SALES_CASE",'Margin Guidence Table'!$A$1:$AG$1,0))),0)</f>
        <v>0</v>
      </c>
      <c r="BN32" s="1050">
        <f t="array" ref="BN32">IFERROR(IF($BL32="SEGMENT",INDEX('Margin Guidence Table'!$A$1:$AG$10000,MATCH(1,('Margin Guidence Table'!$A$1:$A$10000=$BJ32)*('Margin Guidence Table'!$I$1:$I$10000&lt;=ROUND($BB$3,0))*('Margin Guidence Table'!$J$1:$J$10000&gt;=ROUND($BB$3,0)),0),MATCH("SALES_LBS",'Margin Guidence Table'!$A$1:$AG$1,0)),INDEX('Margin Guidence Table'!$A$1:$AG$10000,MATCH(1,('Margin Guidence Table'!$A$1:$A$10000=$BJ32)*('Margin Guidence Table'!$I$1:$I$10000&lt;=ROUND($BB$3,0))*('Margin Guidence Table'!$J$1:$J$10000&gt;=ROUND($BB$3,0)),0),MATCH("DEFAULT_SALES_LBS",'Margin Guidence Table'!$A$1:$AG$1,0))),0)</f>
        <v>0</v>
      </c>
      <c r="BO32" s="1054">
        <f t="array" ref="BO32">IFERROR(IF($BL32="SEGMENT",INDEX('Margin Guidence Table'!$A$1:$AG$10000,MATCH(1,('Margin Guidence Table'!$A$1:$A$10000=$BJ32)*('Margin Guidence Table'!$I$1:$I$10000&lt;=ROUND($BB$3,0))*('Margin Guidence Table'!$J$1:$J$10000&gt;=ROUND($BB$3,0)),0),MATCH("MDA_MIN_MARGIN_GUIDENCE",'Margin Guidence Table'!$A$1:$AG$1,0)),INDEX('Margin Guidence Table'!$A$1:$AG$10000,MATCH(1,('Margin Guidence Table'!$A$1:$A$10000=$BJ32)*('Margin Guidence Table'!$I$1:$I$10000&lt;=ROUND($BB$3,0))*('Margin Guidence Table'!$J$1:$J$10000&gt;=ROUND($BB$3,0)),0),MATCH("DEFAULT_MDA_MIN_MARGIN_GUIDENCE",'Margin Guidence Table'!$A$1:$AG$1,0))),0)</f>
        <v>0</v>
      </c>
      <c r="BP32" s="1054">
        <f t="array" ref="BP32">IFERROR(IF($BL32="SEGMENT",INDEX('Margin Guidence Table'!$A$1:$AG$10000,MATCH(1,('Margin Guidence Table'!$A$1:$A$10000=$BJ32)*('Margin Guidence Table'!$I$1:$I$10000&lt;=ROUND($BB$3,0))*('Margin Guidence Table'!$J$1:$J$10000&gt;=ROUND($BB$3,0)),0),MATCH("MDA_MEDIAN_MARGIN_GUIDENCE",'Margin Guidence Table'!$A$1:$AG$1,0)),INDEX('Margin Guidence Table'!$A$1:$AG$10000,MATCH(1,('Margin Guidence Table'!$A$1:$A$10000=$BJ32)*('Margin Guidence Table'!$I$1:$I$10000&lt;=ROUND($BB$3,0))*('Margin Guidence Table'!$J$1:$J$10000&gt;=ROUND($BB$3,0)),0),MATCH("DEFAULT_MDA_MEDIAN_MARGIN_GUIDENCE",'Margin Guidence Table'!$A$1:$AG$1,0))),0)</f>
        <v>0</v>
      </c>
      <c r="BQ32" s="1054">
        <f t="array" ref="BQ32">IFERROR(IF($BL32="SEGMENT",INDEX('Margin Guidence Table'!$A$1:$AG$10000,MATCH(1,('Margin Guidence Table'!$A$1:$A$10000=$BJ32)*('Margin Guidence Table'!$I$1:$I$10000&lt;=ROUND($BB$3,0))*('Margin Guidence Table'!$J$1:$J$10000&gt;=ROUND($BB$3,0)),0),MATCH("MDA_MAX_MARGIN_GUIDENCE",'Margin Guidence Table'!$A$1:$AG$1,0)),INDEX('Margin Guidence Table'!$A$1:$AG$10000,MATCH(1,('Margin Guidence Table'!$A$1:$A$10000=$BJ32)*('Margin Guidence Table'!$I$1:$I$10000&lt;=ROUND($BB$3,0))*('Margin Guidence Table'!$J$1:$J$10000&gt;=ROUND($BB$3,0)),0),MATCH("DEFAULT_MDA_MAX_MARGIN_GUIDENCE",'Margin Guidence Table'!$A$1:$AG$1,0))),0)</f>
        <v>0</v>
      </c>
      <c r="BR32" s="1054">
        <f t="array" ref="BR32">IFERROR(IF($BL32="SEGMENT",INDEX('Margin Guidence Table'!$A$1:$AG$10000,MATCH(1,('Margin Guidence Table'!$A$1:$A$10000=$BJ32)*('Margin Guidence Table'!$I$1:$I$10000&lt;=ROUND($BB$3,0))*('Margin Guidence Table'!$J$1:$J$10000&gt;=ROUND($BB$3,0)),0),MATCH("PA_PCT_SALES",'Margin Guidence Table'!$A$1:$AG$1,0)),INDEX('Margin Guidence Table'!$A$1:$AG$10000,MATCH(1,('Margin Guidence Table'!$A$1:$A$10000=$BJ32)*('Margin Guidence Table'!$I$1:$I$10000&lt;=ROUND($BB$3,0))*('Margin Guidence Table'!$J$1:$J$10000&gt;=ROUND($BB$3,0)),0),MATCH("DEFAULT_PA_PCT_SALES",'Margin Guidence Table'!$A$1:$AG$1,0))),0)</f>
        <v>0</v>
      </c>
      <c r="BS32" s="1054">
        <f t="array" ref="BS32">IFERROR(IF($BL32="SEGMENT",INDEX('Margin Guidence Table'!$A$1:$AG$10000,MATCH(1,('Margin Guidence Table'!$A$1:$A$10000=$BJ32)*('Margin Guidence Table'!$I$1:$I$10000&lt;=ROUND($BB$3,0))*('Margin Guidence Table'!$J$1:$J$10000&gt;=ROUND($BB$3,0)),0),MATCH("SELF_FUND_PCT_SALES",'Margin Guidence Table'!$A$1:$AG$1,0)),INDEX('Margin Guidence Table'!$A$1:$AG$10000,MATCH(1,('Margin Guidence Table'!$A$1:$A$10000=$BJ32)*('Margin Guidence Table'!$I$1:$I$10000&lt;=ROUND($BB$3,0))*('Margin Guidence Table'!$J$1:$J$10000&gt;=ROUND($BB$3,0)),0),MATCH("DEFAULT_SELF_FUND_PCT_SALES",'Margin Guidence Table'!$A$1:$AG$1,0))),0)</f>
        <v>0</v>
      </c>
      <c r="BT32" s="1054">
        <f t="array" ref="BT32">IFERROR(IF($BL32="SEGMENT",INDEX('Margin Guidence Table'!$A$1:$AG$10000,MATCH(1,('Margin Guidence Table'!$A$1:$A$10000=$BJ32)*('Margin Guidence Table'!$I$1:$I$10000&lt;=ROUND($BB$3,0))*('Margin Guidence Table'!$J$1:$J$10000&gt;=ROUND($BB$3,0)),0),MATCH("CIA_MEDIAN_MARGIN_GUIDENCE",'Margin Guidence Table'!$A$1:$AG$1,0)),INDEX('Margin Guidence Table'!$A$1:$AG$10000,MATCH(1,('Margin Guidence Table'!$A$1:$A$10000=$BJ32)*('Margin Guidence Table'!$I$1:$I$10000&lt;=ROUND($BB$3,0))*('Margin Guidence Table'!$J$1:$J$10000&gt;=ROUND($BB$3,0)),0),MATCH("DEFAULT_CIA_MEDIAN_MARGIN_GUIDENCE",'Margin Guidence Table'!$A$1:$AG$1,0))),0)</f>
        <v>0</v>
      </c>
      <c r="BU32" s="127"/>
      <c r="BV32" s="18">
        <f t="array" ref="BV32">IFERROR(IF($CI32="SEGMENT",INDEX('Margin Guidence Table'!$A$1:$AG$10000,MATCH(1,('Margin Guidence Table'!$A$1:$A$10000=$CG32)*('Margin Guidence Table'!$I$1:$I$10000&lt;=ROUND($BY$3,0))*('Margin Guidence Table'!$J$1:$J$10000&gt;=ROUND($BY$3,0)),0),MATCH("PCT_SALES",'Margin Guidence Table'!$A$1:$AG$1,0)),INDEX('Margin Guidence Table'!$A$1:$AG$10000,MATCH(1,('Margin Guidence Table'!$A$1:$A$10000=$CG32)*('Margin Guidence Table'!$I$1:$I$10000&lt;=ROUND($BY$3,0))*('Margin Guidence Table'!$J$1:$J$10000&gt;=ROUND($BY$3,0)),0),MATCH("DEFAULT_PCT_SALES",'Margin Guidence Table'!$A$1:$AG$1,0))),0)</f>
        <v>0</v>
      </c>
      <c r="BW32" s="370" t="e">
        <f t="shared" si="28"/>
        <v>#DIV/0!</v>
      </c>
      <c r="BX32" s="100" t="s">
        <v>86</v>
      </c>
      <c r="BY32" s="92">
        <f>IFERROR(IF(AND($BY$2&lt;&gt;"Enter Spend&gt;&gt;&gt;",BZ20="EXISTING"),SUMIFS('Existing Customers'!$Q:$Q,'Existing Customers'!$A:$A,$BY$1,'Existing Customers'!$H:$H,$BX32)*$BY$4,$BY$3*$BW32),0)</f>
        <v>0</v>
      </c>
      <c r="BZ32" s="87">
        <f>IFERROR(IF(AND($BY$2&lt;&gt;"Enter Spend&gt;&gt;&gt;",BZ2="EXISTING"),SUMIFS('Existing Customers'!$N:$N,'Existing Customers'!$A:$A,$BY$1,'Existing Customers'!$H:$H,$BX32)*$BY$4,$BY32/$CJ32),0)</f>
        <v>0</v>
      </c>
      <c r="CA32" s="93">
        <f>IFERROR(IF(AND($BY$2&lt;&gt;"Enter Spend&gt;&gt;&gt;",BZ2="EXISTING"),SUMIFS('Existing Customers'!$O:$O,'Existing Customers'!$H:$H,$BX32,'Existing Customers'!$A:$A,$BY$1)*$BY$4,$BZ32*$BY$8),0)</f>
        <v>0</v>
      </c>
      <c r="CB32" s="93">
        <f>IFERROR(IF(AND($BY$2&lt;&gt;"Enter Spend&gt;&gt;&gt;",BZ2="EXISTING"),SUMIFS('Existing Customers'!$P:$P,'Existing Customers'!$A:$A,$BY$1,'Existing Customers'!$H:$H,$BX32)*$BY$4,$BY32/$CK32),0)</f>
        <v>0</v>
      </c>
      <c r="CC32" s="94">
        <f>IFERROR(IF(AND($BY$2&lt;&gt;"Enter Spend&gt;&gt;&gt;",BZ2="EXISTING"),SUMIFS('Existing Customers'!$V:$V,'Existing Customers'!$H:$H,$BX32,'Existing Customers'!$A:$A,$BY$1)*$BY$4,0),0)</f>
        <v>0</v>
      </c>
      <c r="CD32" s="94">
        <f>IFERROR(IF(AND($BY$2&lt;&gt;"Enter Spend&gt;&gt;&gt;",BZ2="EXISTING"),SUMIFS('Existing Customers'!$R:$R,'Existing Customers'!$H:$H,$BX32,'Existing Customers'!$A:$A,$BY$1)*$BY$4,0),0)</f>
        <v>0</v>
      </c>
      <c r="CE32" s="1050">
        <f>IFERROR(IF(AND($BY$2&lt;&gt;"Enter Spend&gt;&gt;&gt;",BZ2="EXISTING"),SUMIFS('Existing Customers'!$S:$S,'Existing Customers'!$H:$H,$BX32,'Existing Customers'!$A:$A,$BY$1),CO32*BY32),0)</f>
        <v>0</v>
      </c>
      <c r="CF32" s="1050">
        <f>IFERROR(IF(AND($BY$2&lt;&gt;"Enter Spend&gt;&gt;&gt;",BZ2="EXISTING"),SUMIFS('Existing Customers'!$U:$U,'Existing Customers'!$H:$H,$BX32,'Existing Customers'!$A:$A,$BY$1),CP32*BY32),0)</f>
        <v>0</v>
      </c>
      <c r="CG32" s="1053" t="e">
        <f>_xlfn.CONCAT('Customer Inputs'!$AG$7,"_",BX32)</f>
        <v>#N/A</v>
      </c>
      <c r="CH32" s="1053">
        <f t="array" ref="CH32">IFERROR(INDEX('Margin Guidence Table'!$A$1:$AG$10000,MATCH(1,('Margin Guidence Table'!$A$1:$A$10000=$CG32)*('Margin Guidence Table'!$I$1:$I$10000&lt;=ROUND($BY$3,0))*('Margin Guidence Table'!$J$1:$J$10000&gt;=ROUND($BY$3,0)),0),MATCH("DATA_POINTS",'Margin Guidence Table'!$A$1:$AG$1,0)),0)</f>
        <v>0</v>
      </c>
      <c r="CI32" s="1050" t="str">
        <f t="shared" si="29"/>
        <v>DEFAULT</v>
      </c>
      <c r="CJ32" s="1050">
        <f t="array" ref="CJ32">IFERROR(IF($CI32="SEGMENT",INDEX('Margin Guidence Table'!$A$1:$AG$10000,MATCH(1,('Margin Guidence Table'!$A$1:$A$10000=$CG32)*('Margin Guidence Table'!$I$1:$I$10000&lt;=ROUND($BY$3,0))*('Margin Guidence Table'!$J$1:$J$10000&gt;=ROUND($BY$3,0)),0),MATCH("SALES_CASE",'Margin Guidence Table'!$A$1:$AG$1,0)),INDEX('Margin Guidence Table'!$A$1:$AG$10000,MATCH(1,('Margin Guidence Table'!$A$1:$A$10000=$CG32)*('Margin Guidence Table'!$I$1:$I$10000&lt;=ROUND($BY$3,0))*('Margin Guidence Table'!$J$1:$J$10000&gt;=ROUND($BY$3,0)),0),MATCH("DEFAULT_SALES_CASE",'Margin Guidence Table'!$A$1:$AG$1,0))),0)</f>
        <v>0</v>
      </c>
      <c r="CK32" s="1050">
        <f t="array" ref="CK32">IFERROR(IF($CI32="SEGMENT",INDEX('Margin Guidence Table'!$A$1:$AG$10000,MATCH(1,('Margin Guidence Table'!$A$1:$A$10000=$CG32)*('Margin Guidence Table'!$I$1:$I$10000&lt;=ROUND($BY$3,0))*('Margin Guidence Table'!$J$1:$J$10000&gt;=ROUND($BY$3,0)),0),MATCH("SALES_LBS",'Margin Guidence Table'!$A$1:$AG$1,0)),INDEX('Margin Guidence Table'!$A$1:$AG$10000,MATCH(1,('Margin Guidence Table'!$A$1:$A$10000=$CG32)*('Margin Guidence Table'!$I$1:$I$10000&lt;=ROUND($BY$3,0))*('Margin Guidence Table'!$J$1:$J$10000&gt;=ROUND($BY$3,0)),0),MATCH("DEFAULT_SALES_LBS",'Margin Guidence Table'!$A$1:$AG$1,0))),0)</f>
        <v>0</v>
      </c>
      <c r="CL32" s="1054">
        <f t="array" ref="CL32">IFERROR(IF($CI32="SEGMENT",INDEX('Margin Guidence Table'!$A$1:$AG$10000,MATCH(1,('Margin Guidence Table'!$A$1:$A$10000=$CG32)*('Margin Guidence Table'!$I$1:$I$10000&lt;=ROUND($BY$3,0))*('Margin Guidence Table'!$J$1:$J$10000&gt;=ROUND($BY$3,0)),0),MATCH("MDA_MIN_MARGIN_GUIDENCE",'Margin Guidence Table'!$A$1:$AG$1,0)),INDEX('Margin Guidence Table'!$A$1:$AG$10000,MATCH(1,('Margin Guidence Table'!$A$1:$A$10000=$CG32)*('Margin Guidence Table'!$I$1:$I$10000&lt;=ROUND($BY$3,0))*('Margin Guidence Table'!$J$1:$J$10000&gt;=ROUND($BY$3,0)),0),MATCH("DEFAULT_MDA_MIN_MARGIN_GUIDENCE",'Margin Guidence Table'!$A$1:$AG$1,0))),0)</f>
        <v>0</v>
      </c>
      <c r="CM32" s="1054">
        <f t="array" ref="CM32">IFERROR(IF($CI32="SEGMENT",INDEX('Margin Guidence Table'!$A$1:$AG$10000,MATCH(1,('Margin Guidence Table'!$A$1:$A$10000=$CG32)*('Margin Guidence Table'!$I$1:$I$10000&lt;=ROUND($BY$3,0))*('Margin Guidence Table'!$J$1:$J$10000&gt;=ROUND($BY$3,0)),0),MATCH("MDA_MEDIAN_MARGIN_GUIDENCE",'Margin Guidence Table'!$A$1:$AG$1,0)),INDEX('Margin Guidence Table'!$A$1:$AG$10000,MATCH(1,('Margin Guidence Table'!$A$1:$A$10000=$CG32)*('Margin Guidence Table'!$I$1:$I$10000&lt;=ROUND($BY$3,0))*('Margin Guidence Table'!$J$1:$J$10000&gt;=ROUND($BY$3,0)),0),MATCH("DEFAULT_MDA_MEDIAN_MARGIN_GUIDENCE",'Margin Guidence Table'!$A$1:$AG$1,0))),0)</f>
        <v>0</v>
      </c>
      <c r="CN32" s="1054">
        <f t="array" ref="CN32">IFERROR(IF($CI32="SEGMENT",INDEX('Margin Guidence Table'!$A$1:$AG$10000,MATCH(1,('Margin Guidence Table'!$A$1:$A$10000=$CG32)*('Margin Guidence Table'!$I$1:$I$10000&lt;=ROUND($BY$3,0))*('Margin Guidence Table'!$J$1:$J$10000&gt;=ROUND($BY$3,0)),0),MATCH("MDA_MAX_MARGIN_GUIDENCE",'Margin Guidence Table'!$A$1:$AG$1,0)),INDEX('Margin Guidence Table'!$A$1:$AG$10000,MATCH(1,('Margin Guidence Table'!$A$1:$A$10000=$CG32)*('Margin Guidence Table'!$I$1:$I$10000&lt;=ROUND($BY$3,0))*('Margin Guidence Table'!$J$1:$J$10000&gt;=ROUND($BY$3,0)),0),MATCH("DEFAULT_MDA_MAX_MARGIN_GUIDENCE",'Margin Guidence Table'!$A$1:$AG$1,0))),0)</f>
        <v>0</v>
      </c>
      <c r="CO32" s="1054">
        <f t="array" ref="CO32">IFERROR(IF($CI32="SEGMENT",INDEX('Margin Guidence Table'!$A$1:$AG$10000,MATCH(1,('Margin Guidence Table'!$A$1:$A$10000=$CG32)*('Margin Guidence Table'!$I$1:$I$10000&lt;=ROUND($BY$3,0))*('Margin Guidence Table'!$J$1:$J$10000&gt;=ROUND($BY$3,0)),0),MATCH("PA_PCT_SALES",'Margin Guidence Table'!$A$1:$AG$1,0)),INDEX('Margin Guidence Table'!$A$1:$AG$10000,MATCH(1,('Margin Guidence Table'!$A$1:$A$10000=$CG32)*('Margin Guidence Table'!$I$1:$I$10000&lt;=ROUND($BY$3,0))*('Margin Guidence Table'!$J$1:$J$10000&gt;=ROUND($BY$3,0)),0),MATCH("DEFAULT_PA_PCT_SALES",'Margin Guidence Table'!$A$1:$AG$1,0))),0)</f>
        <v>0</v>
      </c>
      <c r="CP32" s="1054">
        <f t="array" ref="CP32">IFERROR(IF($CI32="SEGMENT",INDEX('Margin Guidence Table'!$A$1:$AG$10000,MATCH(1,('Margin Guidence Table'!$A$1:$A$10000=$CG32)*('Margin Guidence Table'!$I$1:$I$10000&lt;=ROUND($BY$3,0))*('Margin Guidence Table'!$J$1:$J$10000&gt;=ROUND($BY$3,0)),0),MATCH("SELF_FUND_PCT_SALES",'Margin Guidence Table'!$A$1:$AG$1,0)),INDEX('Margin Guidence Table'!$A$1:$AG$10000,MATCH(1,('Margin Guidence Table'!$A$1:$A$10000=$CG32)*('Margin Guidence Table'!$I$1:$I$10000&lt;=ROUND($BY$3,0))*('Margin Guidence Table'!$J$1:$J$10000&gt;=ROUND($BY$3,0)),0),MATCH("DEFAULT_SELF_FUND_PCT_SALES",'Margin Guidence Table'!$A$1:$AG$1,0))),0)</f>
        <v>0</v>
      </c>
      <c r="CQ32" s="1054">
        <f t="array" ref="CQ32">IFERROR(IF($CI32="SEGMENT",INDEX('Margin Guidence Table'!$A$1:$AG$10000,MATCH(1,('Margin Guidence Table'!$A$1:$A$10000=$CG32)*('Margin Guidence Table'!$I$1:$I$10000&lt;=ROUND($BY$3,0))*('Margin Guidence Table'!$J$1:$J$10000&gt;=ROUND($BY$3,0)),0),MATCH("CIA_MEDIAN_MARGIN_GUIDENCE",'Margin Guidence Table'!$A$1:$AG$1,0)),INDEX('Margin Guidence Table'!$A$1:$AG$10000,MATCH(1,('Margin Guidence Table'!$A$1:$A$10000=$CG32)*('Margin Guidence Table'!$I$1:$I$10000&lt;=ROUND($BY$3,0))*('Margin Guidence Table'!$J$1:$J$10000&gt;=ROUND($BY$3,0)),0),MATCH("DEFAULT_CIA_MEDIAN_MARGIN_GUIDENCE",'Margin Guidence Table'!$A$1:$AG$1,0))),0)</f>
        <v>0</v>
      </c>
      <c r="CR32" s="127"/>
      <c r="CS32" s="18">
        <f t="array" ref="CS32">IFERROR(IF($DF32="SEGMENT",INDEX('Margin Guidence Table'!$A$1:$AG$10000,MATCH(1,('Margin Guidence Table'!$A$1:$A$10000=$DD32)*('Margin Guidence Table'!$I$1:$I$10000&lt;=ROUND($CV$3,0))*('Margin Guidence Table'!$J$1:$J$10000&gt;=ROUND($CV$3,0)),0),MATCH("PCT_SALES",'Margin Guidence Table'!$A$1:$AG$1,0)),INDEX('Margin Guidence Table'!$A$1:$AG$10000,MATCH(1,('Margin Guidence Table'!$A$1:$A$10000=$DD32)*('Margin Guidence Table'!$I$1:$I$10000&lt;=ROUND($CV$3,0))*('Margin Guidence Table'!$J$1:$J$10000&gt;=ROUND($CV$3,0)),0),MATCH("DEFAULT_PCT_SALES",'Margin Guidence Table'!$A$1:$AG$1,0))),0)</f>
        <v>0</v>
      </c>
      <c r="CT32" s="370" t="e">
        <f t="shared" si="30"/>
        <v>#DIV/0!</v>
      </c>
      <c r="CU32" s="100" t="s">
        <v>86</v>
      </c>
      <c r="CV32" s="92">
        <f>IFERROR(IF(AND($CV$2&lt;&gt;"Enter Spend&gt;&gt;&gt;",CW20="EXISTING"),SUMIFS('Existing Customers'!$Q:$Q,'Existing Customers'!$A:$A,$CV$1,'Existing Customers'!$H:$H,$CU32)*$CV$4,$CV$3*$CT32),0)</f>
        <v>0</v>
      </c>
      <c r="CW32" s="87">
        <f>IFERROR(IF(AND($CV$2&lt;&gt;"Enter Spend&gt;&gt;&gt;",CW2="EXISTING"),SUMIFS('Existing Customers'!$N:$N,'Existing Customers'!$A:$A,$CV$1,'Existing Customers'!$H:$H,$CU32)*$CV$4,$CV32/$DG32),0)</f>
        <v>0</v>
      </c>
      <c r="CX32" s="93">
        <f>IFERROR(IF(AND($CV$2&lt;&gt;"Enter Spend&gt;&gt;&gt;",BC28="EXISTING"),SUMIFS('Existing Customers'!$O:$O,'Existing Customers'!$H:$H,$CU32,'Existing Customers'!$A:$A,$CV$1)*$CV$4,$CW32*$CV$8),0)</f>
        <v>0</v>
      </c>
      <c r="CY32" s="93">
        <f>IFERROR(IF(AND($CV$2&lt;&gt;"Enter Spend&gt;&gt;&gt;",CW2="EXISTING"),SUMIFS('Existing Customers'!$P:$P,'Existing Customers'!$A:$A,$CV$1,'Existing Customers'!$H:$H,$CU32)*$CV$4,$CV32/$DH32),0)</f>
        <v>0</v>
      </c>
      <c r="CZ32" s="94">
        <f>IFERROR(IF(AND($CV$2&lt;&gt;"Enter Spend&gt;&gt;&gt;",CW2="EXISTING"),SUMIFS('Existing Customers'!$V:$V,'Existing Customers'!$H:$H,$CU32,'Existing Customers'!$A:$A,$CV$1)*$CV$4,0),0)</f>
        <v>0</v>
      </c>
      <c r="DA32" s="94">
        <f>IFERROR(IF(AND($CV$2&lt;&gt;"Enter Spend&gt;&gt;&gt;",CW2="EXISTING"),SUMIFS('Existing Customers'!$R:$R,'Existing Customers'!$H:$H,$BA32,'Existing Customers'!$A:$A,$CV$1)*$CV$4,0),0)</f>
        <v>0</v>
      </c>
      <c r="DB32" s="1050">
        <f>IFERROR(IF(AND($CV$2&lt;&gt;"Enter Spend&gt;&gt;&gt;",CW2="EXISTING"),SUMIFS('Existing Customers'!$S:$S,'Existing Customers'!$H:$H,$CU32,'Existing Customers'!$A:$A,$CV$1),DL32*CV32),0)</f>
        <v>0</v>
      </c>
      <c r="DC32" s="1050">
        <f>IFERROR(IF(AND($CV$2&lt;&gt;"Enter Spend&gt;&gt;&gt;",CW2="EXISTING"),SUMIFS('Existing Customers'!$U:$U,'Existing Customers'!$H:$H,$CU32,'Existing Customers'!$A:$A,$CV$1),DM32*CV32),0)</f>
        <v>0</v>
      </c>
      <c r="DD32" s="1053" t="e">
        <f>_xlfn.CONCAT('Customer Inputs'!$AG$8,"_",CU32)</f>
        <v>#N/A</v>
      </c>
      <c r="DE32" s="1053">
        <f t="array" ref="DE32">IFERROR(INDEX('Margin Guidence Table'!$A$1:$AG$10000,MATCH(1,('Margin Guidence Table'!$A$1:$A$10000=DD32)*('Margin Guidence Table'!$I$1:$I$10000&lt;=ROUND($CV$3,0))*('Margin Guidence Table'!$J$1:$J$10000&gt;=ROUND($CV$3,0)),0),MATCH("DATA_POINTS",'Margin Guidence Table'!$A$1:$AG$1,0)),0)</f>
        <v>0</v>
      </c>
      <c r="DF32" s="1050" t="str">
        <f t="shared" si="31"/>
        <v>DEFAULT</v>
      </c>
      <c r="DG32" s="1050">
        <f t="array" ref="DG32">IFERROR(IF($DF32="SEGMENT",INDEX('Margin Guidence Table'!$A$1:$AG$10000,MATCH(1,('Margin Guidence Table'!$A$1:$A$10000=DD32)*('Margin Guidence Table'!$I$1:$I$10000&lt;=ROUND($CV$3,0))*('Margin Guidence Table'!$J$1:$J$10000&gt;=ROUND($CV$3,0)),0),MATCH("SALES_CASE",'Margin Guidence Table'!$A$1:$AG$1,0)),INDEX('Margin Guidence Table'!$A$1:$AG$10000,MATCH(1,('Margin Guidence Table'!$A$1:$A$10000=DD32)*('Margin Guidence Table'!$I$1:$I$10000&lt;=ROUND($CV$3,0))*('Margin Guidence Table'!$J$1:$J$10000&gt;=ROUND($CV$3,0)),0),MATCH("DEFAULT_SALES_CASE",'Margin Guidence Table'!$A$1:$AG$1,0))),0)</f>
        <v>0</v>
      </c>
      <c r="DH32" s="1050">
        <f t="array" ref="DH32">IFERROR(IF($DF32="SEGMENT",INDEX('Margin Guidence Table'!$A$1:$AG$10000,MATCH(1,('Margin Guidence Table'!$A$1:$A$10000=DD32)*('Margin Guidence Table'!$I$1:$I$10000&lt;=ROUND($CV$3,0))*('Margin Guidence Table'!$J$1:$J$10000&gt;=ROUND($CV$3,0)),0),MATCH("SALES_LBS",'Margin Guidence Table'!$A$1:$AG$1,0)),INDEX('Margin Guidence Table'!$A$1:$AG$10000,MATCH(1,('Margin Guidence Table'!$A$1:$A$10000=DD32)*('Margin Guidence Table'!$I$1:$I$10000&lt;=ROUND($CV$3,0))*('Margin Guidence Table'!$J$1:$J$10000&gt;=ROUND($CV$3,0)),0),MATCH("DEFAULT_SALES_LBS",'Margin Guidence Table'!$A$1:$AG$1,0))),0)</f>
        <v>0</v>
      </c>
      <c r="DI32" s="1054">
        <f t="array" ref="DI32">IFERROR(IF($DF32="SEGMENT",INDEX('Margin Guidence Table'!$A$1:$AG$10000,MATCH(1,('Margin Guidence Table'!$A$1:$A$10000=DD32)*('Margin Guidence Table'!$I$1:$I$10000&lt;=ROUND($CV$3,0))*('Margin Guidence Table'!$J$1:$J$10000&gt;=ROUND($CV$3,0)),0),MATCH("MDA_MIN_MARGIN_GUIDENCE",'Margin Guidence Table'!$A$1:$AG$1,0)),INDEX('Margin Guidence Table'!$A$1:$AG$10000,MATCH(1,('Margin Guidence Table'!$A$1:$A$10000=DD32)*('Margin Guidence Table'!$I$1:$I$10000&lt;=ROUND($CV$3,0))*('Margin Guidence Table'!$J$1:$J$10000&gt;=ROUND($CV$3,0)),0),MATCH("DEFAULT_MDA_MIN_MARGIN_GUIDENCE",'Margin Guidence Table'!$A$1:$AG$1,0))),0)</f>
        <v>0</v>
      </c>
      <c r="DJ32" s="1054">
        <f t="array" ref="DJ32">IFERROR(IF($DF32="SEGMENT",INDEX('Margin Guidence Table'!$A$1:$AG$10000,MATCH(1,('Margin Guidence Table'!$A$1:$A$10000=DD32)*('Margin Guidence Table'!$I$1:$I$10000&lt;=ROUND($CV$3,0))*('Margin Guidence Table'!$J$1:$J$10000&gt;=ROUND($CV$3,0)),0),MATCH("MDA_MEDIAN_MARGIN_GUIDENCE",'Margin Guidence Table'!$A$1:$AG$1,0)),INDEX('Margin Guidence Table'!$A$1:$AG$10000,MATCH(1,('Margin Guidence Table'!$A$1:$A$10000=DD32)*('Margin Guidence Table'!$I$1:$I$10000&lt;=ROUND($CV$3,0))*('Margin Guidence Table'!$J$1:$J$10000&gt;=ROUND($CV$3,0)),0),MATCH("DEFAULT_MDA_MEDIAN_MARGIN_GUIDENCE",'Margin Guidence Table'!$A$1:$AG$1,0))),0)</f>
        <v>0</v>
      </c>
      <c r="DK32" s="1054">
        <f t="array" ref="DK32">IFERROR(IF($DF32="SEGMENT",INDEX('Margin Guidence Table'!$A$1:$AG$10000,MATCH(1,('Margin Guidence Table'!$A$1:$A$10000=DD32)*('Margin Guidence Table'!$I$1:$I$10000&lt;=ROUND($CV$3,0))*('Margin Guidence Table'!$J$1:$J$10000&gt;=ROUND($CV$3,0)),0),MATCH("MDA_MAX_MARGIN_GUIDENCE",'Margin Guidence Table'!$A$1:$AG$1,0)),INDEX('Margin Guidence Table'!$A$1:$AG$10000,MATCH(1,('Margin Guidence Table'!$A$1:$A$10000=DD32)*('Margin Guidence Table'!$I$1:$I$10000&lt;=ROUND($CV$3,0))*('Margin Guidence Table'!$J$1:$J$10000&gt;=ROUND($CV$3,0)),0),MATCH("DEFAULT_MDA_MAX_MARGIN_GUIDENCE",'Margin Guidence Table'!$A$1:$AG$1,0))),0)</f>
        <v>0</v>
      </c>
      <c r="DL32" s="1054">
        <f t="array" ref="DL32">IFERROR(IF($DF32="SEGMENT",INDEX('Margin Guidence Table'!$A$1:$AG$10000,MATCH(1,('Margin Guidence Table'!$A$1:$A$10000=DD32)*('Margin Guidence Table'!$I$1:$I$10000&lt;=ROUND($CV$3,0))*('Margin Guidence Table'!$J$1:$J$10000&gt;=ROUND($CV$3,0)),0),MATCH("PA_PCT_SALES",'Margin Guidence Table'!$A$1:$AG$1,0)),INDEX('Margin Guidence Table'!$A$1:$AG$10000,MATCH(1,('Margin Guidence Table'!$A$1:$A$10000=DD32)*('Margin Guidence Table'!$I$1:$I$10000&lt;=ROUND($CV$3,0))*('Margin Guidence Table'!$J$1:$J$10000&gt;=ROUND($CV$3,0)),0),MATCH("DEFAULT_PA_PCT_SALES",'Margin Guidence Table'!$A$1:$AG$1,0))),0)</f>
        <v>0</v>
      </c>
      <c r="DM32" s="1054">
        <f t="array" ref="DM32">IFERROR(IF($DF32="SEGMENT",INDEX('Margin Guidence Table'!$A$1:$AG$10000,MATCH(1,('Margin Guidence Table'!$A$1:$A$10000=DD32)*('Margin Guidence Table'!$I$1:$I$10000&lt;=ROUND($CV$3,0))*('Margin Guidence Table'!$J$1:$J$10000&gt;=ROUND($CV$3,0)),0),MATCH("SELF_FUND_PCT_SALES",'Margin Guidence Table'!$A$1:$AG$1,0)),INDEX('Margin Guidence Table'!$A$1:$AG$10000,MATCH(1,('Margin Guidence Table'!$A$1:$A$10000=DD32)*('Margin Guidence Table'!$I$1:$I$10000&lt;=ROUND($CV$3,0))*('Margin Guidence Table'!$J$1:$J$10000&gt;=ROUND($CV$3,0)),0),MATCH("DEFAULT_SELF_FUND_PCT_SALES",'Margin Guidence Table'!$A$1:$AG$1,0))),0)</f>
        <v>0</v>
      </c>
      <c r="DN32" s="1054">
        <f t="array" ref="DN32">IFERROR(IF($DF32="SEGMENT",INDEX('Margin Guidence Table'!$A$1:$AG$10000,MATCH(1,('Margin Guidence Table'!$A$1:$A$10000=DD32)*('Margin Guidence Table'!$I$1:$I$10000&lt;=ROUND($CV$3,0))*('Margin Guidence Table'!$J$1:$J$10000&gt;=ROUND($CV$3,0)),0),MATCH("CIA_MEDIAN_MARGIN_GUIDENCE",'Margin Guidence Table'!$A$1:$AG$1,0)),INDEX('Margin Guidence Table'!$A$1:$AG$10000,MATCH(1,('Margin Guidence Table'!$A$1:$A$10000=DD32)*('Margin Guidence Table'!$I$1:$I$10000&lt;=ROUND($CV$3,0))*('Margin Guidence Table'!$J$1:$J$10000&gt;=ROUND($CV$3,0)),0),MATCH("DEFAULT_CIA_MEDIAN_MARGIN_GUIDENCE",'Margin Guidence Table'!$A$1:$AG$1,0))),0)</f>
        <v>0</v>
      </c>
      <c r="DO32" s="127"/>
      <c r="DP32" s="18">
        <f t="array" ref="DP32">IFERROR(IF($EC32="SEGMENT",INDEX('Margin Guidence Table'!$A$1:$AG$10000,MATCH(1,('Margin Guidence Table'!$A$1:$A$10000=$EA32)*('Margin Guidence Table'!$I$1:$I$10000&lt;=ROUND($DS$3,0))*('Margin Guidence Table'!$J$1:$J$10000&gt;=ROUND($DS$3,0)),0),MATCH("PCT_SALES",'Margin Guidence Table'!$A$1:$AG$1,0)),INDEX('Margin Guidence Table'!$A$1:$AG$10000,MATCH(1,('Margin Guidence Table'!$A$1:$A$10000=$EA32)*('Margin Guidence Table'!$I$1:$I$10000&lt;=ROUND($DS$3,0))*('Margin Guidence Table'!$J$1:$J$10000&gt;=ROUND($DS$3,0)),0),MATCH("DEFAULT_PCT_SALES",'Margin Guidence Table'!$A$1:$AG$1,0))),0)</f>
        <v>0</v>
      </c>
      <c r="DQ32" s="370" t="e">
        <f t="shared" si="32"/>
        <v>#DIV/0!</v>
      </c>
      <c r="DR32" s="100" t="s">
        <v>86</v>
      </c>
      <c r="DS32" s="92">
        <f>IFERROR(IF(AND($DS$2&lt;&gt;"Enter Spend&gt;&gt;&gt;",DT20="EXISTING"),SUMIFS('Existing Customers'!$Q:$Q,'Existing Customers'!$A:$A,$DS$1,'Existing Customers'!$H:$H,$DR32)*$DS$4,$DS$3*$DQ32),0)</f>
        <v>0</v>
      </c>
      <c r="DT32" s="87">
        <f>IFERROR(IF(AND($DS$2&lt;&gt;"Enter Spend&gt;&gt;&gt;",DT2="EXISTING"),SUMIFS('Existing Customers'!$N:$N,'Existing Customers'!$A:$A,$DS$1,'Existing Customers'!$H:$H,$DR32)*$DS$4,$DS32/$ED32),0)</f>
        <v>0</v>
      </c>
      <c r="DU32" s="93">
        <f>IFERROR(IF(AND($DS$2&lt;&gt;"Enter Spend&gt;&gt;&gt;",DT2="EXISTING"),SUMIFS('Existing Customers'!$O:$O,'Existing Customers'!$H:$H,$DR32,'Existing Customers'!$A:$A,$DS$1)*$DS$4,$DT32*$DS$8),0)</f>
        <v>0</v>
      </c>
      <c r="DV32" s="93">
        <f>IFERROR(IF(AND($DS$2&lt;&gt;"Enter Spend&gt;&gt;&gt;",DT2="EXISTING"),SUMIFS('Existing Customers'!$P:$P,'Existing Customers'!$A:$A,$DS$1,'Existing Customers'!$H:$H,$DR32)*$DS$4,$DS32/$EE32),0)</f>
        <v>0</v>
      </c>
      <c r="DW32" s="94">
        <f>IFERROR(IF(AND($DS$2&lt;&gt;"Enter Spend&gt;&gt;&gt;",EQ2="EXISTING"),SUMIFS('Existing Customers'!$V:$V,'Existing Customers'!$H:$H,$DR32,'Existing Customers'!$A:$A,$DS$1)*$DS$4,0),0)</f>
        <v>0</v>
      </c>
      <c r="DX32" s="94">
        <f>IFERROR(IF(AND($DS$2&lt;&gt;"Enter Spend&gt;&gt;&gt;",DT2="EXISTING"),SUMIFS('Existing Customers'!$R:$R,'Existing Customers'!$H:$H,$DR32,'Existing Customers'!$A:$A,$DS$1)*$DS$4,0),0)</f>
        <v>0</v>
      </c>
      <c r="DY32" s="1050">
        <f>IFERROR(IF(AND($DS$2&lt;&gt;"Enter Spend&gt;&gt;&gt;",DT2="EXISTING"),SUMIFS('Existing Customers'!$S:$S,'Existing Customers'!$H:$H,$DT32,'Existing Customers'!$A:$A,$DS$1),EI32*DS32),0)</f>
        <v>0</v>
      </c>
      <c r="DZ32" s="1050">
        <f>IFERROR(IF(AND($DS$2&lt;&gt;"Enter Spend&gt;&gt;&gt;",DT2="EXISTING"),SUMIFS('Existing Customers'!$U:$U,'Existing Customers'!$H:$H,$DR32,'Existing Customers'!$A:$A,$DS$1),EJ32*DS32),0)</f>
        <v>0</v>
      </c>
      <c r="EA32" s="1053" t="e">
        <f>_xlfn.CONCAT('Customer Inputs'!$AG$9,"_",DR32)</f>
        <v>#N/A</v>
      </c>
      <c r="EB32" s="1053">
        <f t="array" ref="EB32">IFERROR(INDEX('Margin Guidence Table'!$A$1:$AG$10000,MATCH(1,('Margin Guidence Table'!$A$1:$A$10000=EA32)*('Margin Guidence Table'!$I$1:$I$10000&lt;=ROUND($DS$3,0))*('Margin Guidence Table'!$J$1:$J$10000&gt;=ROUND($DS$3,0)),0),MATCH("DATA_POINTS",'Margin Guidence Table'!$A$1:$AG$1,0)),0)</f>
        <v>0</v>
      </c>
      <c r="EC32" s="1050" t="str">
        <f t="shared" si="33"/>
        <v>DEFAULT</v>
      </c>
      <c r="ED32" s="1050">
        <f t="array" ref="ED32">IFERROR(IF($EC32="SEGMENT",INDEX('Margin Guidence Table'!$A$1:$AG$10000,MATCH(1,('Margin Guidence Table'!$A$1:$A$10000=EA32)*('Margin Guidence Table'!$I$1:$I$10000&lt;=ROUND($DS$3,0))*('Margin Guidence Table'!$J$1:$J$10000&gt;=ROUND($DS$3,0)),0),MATCH("SALES_CASE",'Margin Guidence Table'!$A$1:$AG$1,0)),INDEX('Margin Guidence Table'!$A$1:$AG$10000,MATCH(1,('Margin Guidence Table'!$A$1:$A$10000=EA32)*('Margin Guidence Table'!$I$1:$I$10000&lt;=ROUND($DS$3,0))*('Margin Guidence Table'!$J$1:$J$10000&gt;=ROUND($DS$3,0)),0),MATCH("DEFAULT_SALES_CASE",'Margin Guidence Table'!$A$1:$AG$1,0))),0)</f>
        <v>0</v>
      </c>
      <c r="EE32" s="1050">
        <f t="array" ref="EE32">IFERROR(IF($EC32="SEGMENT",INDEX('Margin Guidence Table'!$A$1:$AG$10000,MATCH(1,('Margin Guidence Table'!$A$1:$A$10000=EA32)*('Margin Guidence Table'!$I$1:$I$10000&lt;=ROUND($DS$3,0))*('Margin Guidence Table'!$J$1:$J$10000&gt;=ROUND($DS$3,0)),0),MATCH("SALES_LBS",'Margin Guidence Table'!$A$1:$AG$1,0)),INDEX('Margin Guidence Table'!$A$1:$AG$10000,MATCH(1,('Margin Guidence Table'!$A$1:$A$10000=EA32)*('Margin Guidence Table'!$I$1:$I$10000&lt;=ROUND($DS$3,0))*('Margin Guidence Table'!$J$1:$J$10000&gt;=ROUND($DS$3,0)),0),MATCH("DEFAULT_SALES_LBS",'Margin Guidence Table'!$A$1:$AG$1,0))),0)</f>
        <v>0</v>
      </c>
      <c r="EF32" s="1054">
        <f t="array" ref="EF32">IFERROR(IF($EC32="SEGMENT",INDEX('Margin Guidence Table'!$A$1:$AG$10000,MATCH(1,('Margin Guidence Table'!$A$1:$A$10000=EA32)*('Margin Guidence Table'!$I$1:$I$10000&lt;=ROUND($DS$3,0))*('Margin Guidence Table'!$J$1:$J$10000&gt;=ROUND($DS$3,0)),0),MATCH("MDA_MIN_MARGIN_GUIDENCE",'Margin Guidence Table'!$A$1:$AG$1,0)),INDEX('Margin Guidence Table'!$A$1:$AG$10000,MATCH(1,('Margin Guidence Table'!$A$1:$A$10000=EA32)*('Margin Guidence Table'!$I$1:$I$10000&lt;=ROUND($DS$3,0))*('Margin Guidence Table'!$J$1:$J$10000&gt;=ROUND($DS$3,0)),0),MATCH("DEFAULT_MDA_MIN_MARGIN_GUIDENCE",'Margin Guidence Table'!$A$1:$AG$1,0))),0)</f>
        <v>0</v>
      </c>
      <c r="EG32" s="1054">
        <f t="array" ref="EG32">IFERROR(IF($EC32="SEGMENT",INDEX('Margin Guidence Table'!$A$1:$AG$10000,MATCH(1,('Margin Guidence Table'!$A$1:$A$10000=EA32)*('Margin Guidence Table'!$I$1:$I$10000&lt;=ROUND($DS$3,0))*('Margin Guidence Table'!$J$1:$J$10000&gt;=ROUND($DS$3,0)),0),MATCH("MDA_MEDIAN_MARGIN_GUIDENCE",'Margin Guidence Table'!$A$1:$AG$1,0)),INDEX('Margin Guidence Table'!$A$1:$AG$10000,MATCH(1,('Margin Guidence Table'!$A$1:$A$10000=EA32)*('Margin Guidence Table'!$I$1:$I$10000&lt;=ROUND($DS$3,0))*('Margin Guidence Table'!$J$1:$J$10000&gt;=ROUND($DS$3,0)),0),MATCH("DEFAULT_MDA_MEDIAN_MARGIN_GUIDENCE",'Margin Guidence Table'!$A$1:$AG$1,0))),0)</f>
        <v>0</v>
      </c>
      <c r="EH32" s="1054">
        <f t="array" ref="EH32">IFERROR(IF($EC32="SEGMENT",INDEX('Margin Guidence Table'!$A$1:$AG$10000,MATCH(1,('Margin Guidence Table'!$A$1:$A$10000=EA32)*('Margin Guidence Table'!$I$1:$I$10000&lt;=ROUND($DS$3,0))*('Margin Guidence Table'!$J$1:$J$10000&gt;=ROUND($DS$3,0)),0),MATCH("MDA_MAX_MARGIN_GUIDENCE",'Margin Guidence Table'!$A$1:$AG$1,0)),INDEX('Margin Guidence Table'!$A$1:$AG$10000,MATCH(1,('Margin Guidence Table'!$A$1:$A$10000=EA32)*('Margin Guidence Table'!$I$1:$I$10000&lt;=ROUND($DS$3,0))*('Margin Guidence Table'!$J$1:$J$10000&gt;=ROUND($DS$3,0)),0),MATCH("DEFAULT_MDA_MAX_MARGIN_GUIDENCE",'Margin Guidence Table'!$A$1:$AG$1,0))),0)</f>
        <v>0</v>
      </c>
      <c r="EI32" s="1054">
        <f t="array" ref="EI32">IFERROR(IF($EC32="SEGMENT",INDEX('Margin Guidence Table'!$A$1:$AG$10000,MATCH(1,('Margin Guidence Table'!$A$1:$A$10000=EA32)*('Margin Guidence Table'!$I$1:$I$10000&lt;=ROUND($DS$3,0))*('Margin Guidence Table'!$J$1:$J$10000&gt;=ROUND($DS$3,0)),0),MATCH("PA_PCT_SALES",'Margin Guidence Table'!$A$1:$AG$1,0)),INDEX('Margin Guidence Table'!$A$1:$AG$10000,MATCH(1,('Margin Guidence Table'!$A$1:$A$10000=EA32)*('Margin Guidence Table'!$I$1:$I$10000&lt;=ROUND($DS$3,0))*('Margin Guidence Table'!$J$1:$J$10000&gt;=ROUND($DS$3,0)),0),MATCH("DEFAULT_PA_PCT_SALES",'Margin Guidence Table'!$A$1:$AG$1,0))),0)</f>
        <v>0</v>
      </c>
      <c r="EJ32" s="1054">
        <f t="array" ref="EJ32">IFERROR(IF($EC32="SEGMENT",INDEX('Margin Guidence Table'!$A$1:$AG$10000,MATCH(1,('Margin Guidence Table'!$A$1:$A$10000=EA32)*('Margin Guidence Table'!$I$1:$I$10000&lt;=ROUND($DS$3,0))*('Margin Guidence Table'!$J$1:$J$10000&gt;=ROUND($DS$3,0)),0),MATCH("SELF_FUND_PCT_SALES",'Margin Guidence Table'!$A$1:$AG$1,0)),INDEX('Margin Guidence Table'!$A$1:$AG$10000,MATCH(1,('Margin Guidence Table'!$A$1:$A$10000=EA32)*('Margin Guidence Table'!$I$1:$I$10000&lt;=ROUND($DS$3,0))*('Margin Guidence Table'!$J$1:$J$10000&gt;=ROUND($DS$3,0)),0),MATCH("DEFAULT_SELF_FUND_PCT_SALES",'Margin Guidence Table'!$A$1:$AG$1,0))),0)</f>
        <v>0</v>
      </c>
      <c r="EK32" s="1054">
        <f t="array" ref="EK32">IFERROR(IF($EC32="SEGMENT",INDEX('Margin Guidence Table'!$A$1:$AG$10000,MATCH(1,('Margin Guidence Table'!$A$1:$A$10000=EA32)*('Margin Guidence Table'!$I$1:$I$10000&lt;=ROUND($DS$3,0))*('Margin Guidence Table'!$J$1:$J$10000&gt;=ROUND($DS$3,0)),0),MATCH("CIA_MEDIAN_MARGIN_GUIDENCE",'Margin Guidence Table'!$A$1:$AG$1,0)),INDEX('Margin Guidence Table'!$A$1:$AG$10000,MATCH(1,('Margin Guidence Table'!$A$1:$A$10000=EA32)*('Margin Guidence Table'!$I$1:$I$10000&lt;=ROUND($DS$3,0))*('Margin Guidence Table'!$J$1:$J$10000&gt;=ROUND($DS$3,0)),0),MATCH("DEFAULT_CIA_MEDIAN_MARGIN_GUIDENCE",'Margin Guidence Table'!$A$1:$AG$1,0))),0)</f>
        <v>0</v>
      </c>
      <c r="EL32" s="127"/>
      <c r="EM32" s="18">
        <f t="array" ref="EM32">IFERROR(IF($EZ32="SEGMENT",INDEX('Margin Guidence Table'!$A$1:$AG$10000,MATCH(1,('Margin Guidence Table'!$A$1:$A$10000=$EX32)*('Margin Guidence Table'!$I$1:$I$10000&lt;=ROUND($EP$3,0))*('Margin Guidence Table'!$J$1:$J$10000&gt;=ROUND($EP$3,0)),0),MATCH("PCT_SALES",'Margin Guidence Table'!$A$1:$AG$1,0)),INDEX('Margin Guidence Table'!$A$1:$AG$10000,MATCH(1,('Margin Guidence Table'!$A$1:$A$10000=$EX32)*('Margin Guidence Table'!$I$1:$I$10000&lt;=ROUND($EP$3,0))*('Margin Guidence Table'!$J$1:$J$10000&gt;=ROUND($EP$3,0)),0),MATCH("DEFAULT_PCT_SALES",'Margin Guidence Table'!$A$1:$AG$1,0))),0)</f>
        <v>0</v>
      </c>
      <c r="EN32" s="370" t="e">
        <f t="shared" si="34"/>
        <v>#DIV/0!</v>
      </c>
      <c r="EO32" s="100" t="s">
        <v>86</v>
      </c>
      <c r="EP32" s="92">
        <f>IFERROR(IF(AND($EP$2&lt;&gt;"Enter Spend&gt;&gt;&gt;",EQ20="EXISTING"),SUMIFS('Existing Customers'!$Q:$Q,'Existing Customers'!$A:$A,$EP$1,'Existing Customers'!$H:$H,$EO32)*$EP$4,$EP$3*$EN32),0)</f>
        <v>0</v>
      </c>
      <c r="EQ32" s="87">
        <f>IFERROR(IF(AND($EP$2&lt;&gt;"Enter Spend&gt;&gt;&gt;",EQ2="EXISTING"),SUMIFS('Existing Customers'!$N:$N,'Existing Customers'!$A:$A,$EP$1,'Existing Customers'!$H:$H,$EO32)*$EP$4,$EP32/$FA32),0)</f>
        <v>0</v>
      </c>
      <c r="ER32" s="93">
        <f>IFERROR(IF(AND($EP$2&lt;&gt;"Enter Spend&gt;&gt;&gt;",EQ2="EXISTING"),SUMIFS('Existing Customers'!$O:$O,'Existing Customers'!$H:$H,$EO32,'Existing Customers'!$A:$A,$EP$1)*$EP$4,$EQ32*$EP$8),0)</f>
        <v>0</v>
      </c>
      <c r="ES32" s="93">
        <f>IFERROR(IF(AND($EP$2&lt;&gt;"Enter Spend&gt;&gt;&gt;",EQ2="EXISTING"),SUMIFS('Existing Customers'!$P:$P,'Existing Customers'!$A:$A,$EP$1,'Existing Customers'!$H:$H,$EO32)*$EP$4,$EP32/$FB32),0)</f>
        <v>0</v>
      </c>
      <c r="ET32" s="94">
        <f>IFERROR(IF(AND($EP$2&lt;&gt;"Enter Spend&gt;&gt;&gt;",EQ2="EXISTING"),SUMIFS('Existing Customers'!$V:$V,'Existing Customers'!$H:$H,$EO32,'Existing Customers'!$A:$A,$EP$1)*$EP$4,0),0)</f>
        <v>0</v>
      </c>
      <c r="EU32" s="94">
        <f>IFERROR(IF(AND($EP$2&lt;&gt;"Enter Spend&gt;&gt;&gt;",EQ2="EXISTING"),SUMIFS('Existing Customers'!$R:$R,'Existing Customers'!$H:$H,$EO32,'Existing Customers'!$A:$A,$EP$1)*$EP$4,0),0)</f>
        <v>0</v>
      </c>
      <c r="EV32" s="1050">
        <f>IFERROR(IF(AND($EP$2&lt;&gt;"Enter Spend&gt;&gt;&gt;",EQ2="EXISTING"),SUMIFS('Existing Customers'!$S:$S,'Existing Customers'!$H:$H,$EO32,'Existing Customers'!$A:$A,$EP$1),FF32*EP32),0)</f>
        <v>0</v>
      </c>
      <c r="EW32" s="1050">
        <f>IFERROR(IF(AND($EP$2&lt;&gt;"Enter Spend&gt;&gt;&gt;",EQ2="EXISTING"),SUMIFS('Existing Customers'!$U:$U,'Existing Customers'!$H:$H,$EO32,'Existing Customers'!$A:$A,$EP$1),FG32*EP32),0)</f>
        <v>0</v>
      </c>
      <c r="EX32" s="1053" t="e">
        <f>_xlfn.CONCAT('Customer Inputs'!$AG$10,"_",EO32)</f>
        <v>#N/A</v>
      </c>
      <c r="EY32" s="1053">
        <f t="array" ref="EY32">IFERROR(INDEX('Margin Guidence Table'!$A$1:$AG$10000,MATCH(1,('Margin Guidence Table'!$A$1:$A$10000=EX32)*('Margin Guidence Table'!$I$1:$I$10000&lt;=ROUND($EP$3,0))*('Margin Guidence Table'!$J$1:$J$10000&gt;=ROUND($EP$3,0)),0),MATCH("DATA_POINTS",'Margin Guidence Table'!$A$1:$AG$1,0)),0)</f>
        <v>0</v>
      </c>
      <c r="EZ32" s="1050" t="str">
        <f t="shared" si="35"/>
        <v>DEFAULT</v>
      </c>
      <c r="FA32" s="1050">
        <f t="array" ref="FA32">IFERROR(IF($EZ32="SEGMENT",INDEX('Margin Guidence Table'!$A$1:$AG$10000,MATCH(1,('Margin Guidence Table'!$A$1:$A$10000=EX32)*('Margin Guidence Table'!$I$1:$I$10000&lt;=ROUND($EP$3,0))*('Margin Guidence Table'!$J$1:$J$10000&gt;=ROUND($EP$3,0)),0),MATCH("SALES_CASE",'Margin Guidence Table'!$A$1:$AG$1,0)),INDEX('Margin Guidence Table'!$A$1:$AG$10000,MATCH(1,('Margin Guidence Table'!$A$1:$A$10000=EX32)*('Margin Guidence Table'!$I$1:$I$10000&lt;=ROUND($EP$3,0))*('Margin Guidence Table'!$J$1:$J$10000&gt;=ROUND($EP$3,0)),0),MATCH("DEFAULT_SALES_CASE",'Margin Guidence Table'!$A$1:$AG$1,0))),0)</f>
        <v>0</v>
      </c>
      <c r="FB32" s="1050" cm="1">
        <f t="array" ref="FB32">IFERROR(IF($EZ32="SEGMENT",INDEX('Margin Guidence Table'!$A$1:$AG$10000,MATCH(1,('Margin Guidence Table'!$A$1:$A$10000=EX32)*('Margin Guidence Table'!$I$1:$I$10000&lt;=ROUND($EP$3,0))*('Margin Guidence Table'!$J$1:$J$10000&gt;=ROUND($EP$3,0)),0),MATCH("SALES_LBS",'Margin Guidence Table'!$A$1:$AG$1,0)),INDEX('Margin Guidence Table'!$A$1:$AG$10000,MATCH(1,('Margin Guidence Table'!$A$1:$A$10000=EX32)*('Margin Guidence Table'!$I$1:$I$10000&lt;=ROUND($EP$3,0))*('Margin Guidence Table'!$J$1:$J$10000&gt;=ROUND($EP$3,0)),0),MATCH("DEFAULT_SALES_LBS",'Margin Guidence Table'!$A$1:$AG$1,0))),0)</f>
        <v>0</v>
      </c>
      <c r="FC32" s="1054">
        <f t="array" ref="FC32">IFERROR(IF($EZ32="SEGMENT",INDEX('Margin Guidence Table'!$A$1:$AG$10000,MATCH(1,('Margin Guidence Table'!$A$1:$A$10000=EX32)*('Margin Guidence Table'!$I$1:$I$10000&lt;=ROUND($EP$3,0))*('Margin Guidence Table'!$J$1:$J$10000&gt;=ROUND($EP$3,0)),0),MATCH("MDA_MIN_MARGIN_GUIDENCE",'Margin Guidence Table'!$A$1:$AG$1,0)),INDEX('Margin Guidence Table'!$A$1:$AG$10000,MATCH(1,('Margin Guidence Table'!$A$1:$A$10000=EX32)*('Margin Guidence Table'!$I$1:$I$10000&lt;=ROUND($EP$3,0))*('Margin Guidence Table'!$J$1:$J$10000&gt;=ROUND($EP$3,0)),0),MATCH("DEFAULT_MDA_MIN_MARGIN_GUIDENCE",'Margin Guidence Table'!$A$1:$AG$1,0))),0)</f>
        <v>0</v>
      </c>
      <c r="FD32" s="1054">
        <f t="array" ref="FD32">IFERROR(IF($EZ32="SEGMENT",INDEX('Margin Guidence Table'!$A$1:$AG$10000,MATCH(1,('Margin Guidence Table'!$A$1:$A$10000=EX32)*('Margin Guidence Table'!$I$1:$I$10000&lt;=ROUND($EP$3,0))*('Margin Guidence Table'!$J$1:$J$10000&gt;=ROUND($EP$3,0)),0),MATCH("MDA_MEDIAN_MARGIN_GUIDENCE",'Margin Guidence Table'!$A$1:$AG$1,0)),INDEX('Margin Guidence Table'!$A$1:$AG$10000,MATCH(1,('Margin Guidence Table'!$A$1:$A$10000=EX32)*('Margin Guidence Table'!$I$1:$I$10000&lt;=ROUND($EP$3,0))*('Margin Guidence Table'!$J$1:$J$10000&gt;=ROUND($EP$3,0)),0),MATCH("DEFAULT_MDA_MEDIAN_MARGIN_GUIDENCE",'Margin Guidence Table'!$A$1:$AG$1,0))),0)</f>
        <v>0</v>
      </c>
      <c r="FE32" s="1054">
        <f t="array" ref="FE32">IFERROR(IF($EZ32="SEGMENT",INDEX('Margin Guidence Table'!$A$1:$AG$10000,MATCH(1,('Margin Guidence Table'!$A$1:$A$10000=EX32)*('Margin Guidence Table'!$I$1:$I$10000&lt;=ROUND($EP$3,0))*('Margin Guidence Table'!$J$1:$J$10000&gt;=ROUND($EP$3,0)),0),MATCH("MDA_MAX_MARGIN_GUIDENCE",'Margin Guidence Table'!$A$1:$AG$1,0)),INDEX('Margin Guidence Table'!$A$1:$AG$10000,MATCH(1,('Margin Guidence Table'!$A$1:$A$10000=EX32)*('Margin Guidence Table'!$I$1:$I$10000&lt;=ROUND($EP$3,0))*('Margin Guidence Table'!$J$1:$J$10000&gt;=ROUND($EP$3,0)),0),MATCH("DEFAULT_MDA_MAX_MARGIN_GUIDENCE",'Margin Guidence Table'!$A$1:$AG$1,0))),0)</f>
        <v>0</v>
      </c>
      <c r="FF32" s="1054">
        <f t="array" ref="FF32">IFERROR(IF($EZ32="SEGMENT",INDEX('Margin Guidence Table'!$A$1:$AG$10000,MATCH(1,('Margin Guidence Table'!$A$1:$A$10000=EX32)*('Margin Guidence Table'!$I$1:$I$10000&lt;=ROUND($EP$3,0))*('Margin Guidence Table'!$J$1:$J$10000&gt;=ROUND($EP$3,0)),0),MATCH("PA_PCT_SALES",'Margin Guidence Table'!$A$1:$AG$1,0)),INDEX('Margin Guidence Table'!$A$1:$AG$10000,MATCH(1,('Margin Guidence Table'!$A$1:$A$10000=EX32)*('Margin Guidence Table'!$I$1:$I$10000&lt;=ROUND($EP$3,0))*('Margin Guidence Table'!$J$1:$J$10000&gt;=ROUND($EP$3,0)),0),MATCH("DEFAULT_PA_PCT_SALES",'Margin Guidence Table'!$A$1:$AG$1,0))),0)</f>
        <v>0</v>
      </c>
      <c r="FG32" s="1054">
        <f t="array" ref="FG32">IFERROR(IF($EZ32="SEGMENT",INDEX('Margin Guidence Table'!$A$1:$AG$10000,MATCH(1,('Margin Guidence Table'!$A$1:$A$10000=EX32)*('Margin Guidence Table'!$I$1:$I$10000&lt;=ROUND($EP$3,0))*('Margin Guidence Table'!$J$1:$J$10000&gt;=ROUND($EP$3,0)),0),MATCH("SELF_FUND_PCT_SALES",'Margin Guidence Table'!$A$1:$AG$1,0)),INDEX('Margin Guidence Table'!$A$1:$AG$10000,MATCH(1,('Margin Guidence Table'!$A$1:$A$10000=EX32)*('Margin Guidence Table'!$I$1:$I$10000&lt;=ROUND($EP$3,0))*('Margin Guidence Table'!$J$1:$J$10000&gt;=ROUND($EP$3,0)),0),MATCH("DEFAULT_SELF_FUND_PCT_SALES",'Margin Guidence Table'!$A$1:$AG$1,0))),0)</f>
        <v>0</v>
      </c>
      <c r="FH32" s="1054">
        <f t="array" ref="FH32">IFERROR(IF($EZ32="SEGMENT",INDEX('Margin Guidence Table'!$A$1:$AG$10000,MATCH(1,('Margin Guidence Table'!$A$1:$A$10000=EX32)*('Margin Guidence Table'!$I$1:$I$10000&lt;=ROUND($EP$3,0))*('Margin Guidence Table'!$J$1:$J$10000&gt;=ROUND($EP$3,0)),0),MATCH("CIA_MEDIAN_MARGIN_GUIDENCE",'Margin Guidence Table'!$A$1:$AG$1,0)),INDEX('Margin Guidence Table'!$A$1:$AG$10000,MATCH(1,('Margin Guidence Table'!$A$1:$A$10000=EX32)*('Margin Guidence Table'!$I$1:$I$10000&lt;=ROUND($EP$3,0))*('Margin Guidence Table'!$J$1:$J$10000&gt;=ROUND($EP$3,0)),0),MATCH("DEFAULT_CIA_MEDIAN_MARGIN_GUIDENCE",'Margin Guidence Table'!$A$1:$AG$1,0))),0)</f>
        <v>0</v>
      </c>
      <c r="FI32" s="127"/>
      <c r="FJ32" s="18">
        <f t="array" ref="FJ32">IFERROR(IF($FW32="SEGMENT",INDEX('Margin Guidence Table'!$A$1:$AG$10000,MATCH(1,('Margin Guidence Table'!$A$1:$A$10000=$FU32)*('Margin Guidence Table'!$I$1:$I$10000&lt;=ROUND($FM$3,0))*('Margin Guidence Table'!$J$1:$J$10000&gt;=ROUND($FM$3,0)),0),MATCH("PCT_SALES",'Margin Guidence Table'!$A$1:$AG$1,0)),INDEX('Margin Guidence Table'!$A$1:$AG$10000,MATCH(1,('Margin Guidence Table'!$A$1:$A$10000=$FU32)*('Margin Guidence Table'!$I$1:$I$10000&lt;=ROUND($FM$3,0))*('Margin Guidence Table'!$J$1:$J$10000&gt;=ROUND($FM$3,0)),0),MATCH("DEFAULT_PCT_SALES",'Margin Guidence Table'!$A$1:$AG$1,0))),0)</f>
        <v>0</v>
      </c>
      <c r="FK32" s="370" t="e">
        <f t="shared" si="36"/>
        <v>#DIV/0!</v>
      </c>
      <c r="FL32" s="100" t="s">
        <v>86</v>
      </c>
      <c r="FM32" s="92">
        <f>IFERROR(IF(AND($FM$2&lt;&gt;"Enter Spend&gt;&gt;&gt;",FN20="EXISTING"),SUMIFS('Existing Customers'!$Q:$Q,'Existing Customers'!$A:$A,$FM$1,'Existing Customers'!$H:$H,$FL32)*$FM$4,$FM$3*$FK32),0)</f>
        <v>0</v>
      </c>
      <c r="FN32" s="87">
        <f>IFERROR(IF(AND($FM$2&lt;&gt;"Enter Spend&gt;&gt;&gt;",FN2="EXISTING"),SUMIFS('Existing Customers'!$N:$N,'Existing Customers'!$A:$A,$FM$1,'Existing Customers'!$H:$H,$FL32)*$FM$4,$FM32/$FX32),0)</f>
        <v>0</v>
      </c>
      <c r="FO32" s="93">
        <f>IFERROR(IF(AND($FM$2&lt;&gt;"Enter Spend&gt;&gt;&gt;",FN2="EXISTING"),SUMIFS('Existing Customers'!$O:$O,'Existing Customers'!$H:$H,$FL32,'Existing Customers'!$A:$A,$FM$1)*$FM$4,$FN32*$FM$8),0)</f>
        <v>0</v>
      </c>
      <c r="FP32" s="93">
        <f>IFERROR(IF(AND($FM$2&lt;&gt;"Enter Spend&gt;&gt;&gt;",FN2="EXISTING"),SUMIFS('Existing Customers'!$P:$P,'Existing Customers'!$A:$A,$FM$1,'Existing Customers'!$H:$H,$FL32)*$FM$4,$FM32/$FY32),0)</f>
        <v>0</v>
      </c>
      <c r="FQ32" s="94">
        <f>IFERROR(IF(AND($FM$2&lt;&gt;"Enter Spend&gt;&gt;&gt;",FN2="EXISTING"),SUMIFS('Existing Customers'!$V:$V,'Existing Customers'!$H:$H,$FL32,'Existing Customers'!$A:$A,$FM$1)*$FM$4,0),0)</f>
        <v>0</v>
      </c>
      <c r="FR32" s="94">
        <f>IFERROR(IF(AND($FM$2&lt;&gt;"Enter Spend&gt;&gt;&gt;",FN2="EXISTING"),SUMIFS('Existing Customers'!$R:$R,'Existing Customers'!$H:$H,$FL32,'Existing Customers'!$A:$A,$FM$1)*$FM$4,0),0)</f>
        <v>0</v>
      </c>
      <c r="FS32" s="1050">
        <f>IFERROR(IF(AND($FM$2&lt;&gt;"Enter Spend&gt;&gt;&gt;",FN2="EXISTING"),SUMIFS('Existing Customers'!$S:$S,'Existing Customers'!$H:$H,$FL32,'Existing Customers'!$A:$A,$FM$1),GC32*FM32),0)</f>
        <v>0</v>
      </c>
      <c r="FT32" s="1050">
        <f>IFERROR(IF(AND($FM$2&lt;&gt;"Enter Spend&gt;&gt;&gt;",FN2="EXISTING"),SUMIFS('Existing Customers'!$U:$U,'Existing Customers'!$H:$H,$FL32,'Existing Customers'!$A:$A,$FM$1),GD32*FM32),0)</f>
        <v>0</v>
      </c>
      <c r="FU32" s="1053" t="e">
        <f>_xlfn.CONCAT('Customer Inputs'!$AG$11,"_",FL32)</f>
        <v>#N/A</v>
      </c>
      <c r="FV32" s="1053">
        <f t="array" ref="FV32">IFERROR(INDEX('Margin Guidence Table'!$A$1:$AG$10000,MATCH(1,('Margin Guidence Table'!$A$1:$A$10000=FU32)*('Margin Guidence Table'!$I$1:$I$10000&lt;=ROUND($FM$3,0))*('Margin Guidence Table'!$J$1:$J$10000&gt;=ROUND($FM$3,0)),0),MATCH("DATA_POINTS",'Margin Guidence Table'!$A$1:$AG$1,0)),0)</f>
        <v>0</v>
      </c>
      <c r="FW32" s="1050" t="str">
        <f t="shared" si="37"/>
        <v>DEFAULT</v>
      </c>
      <c r="FX32" s="1050">
        <f t="array" ref="FX32">IFERROR(IF($FW32="SEGMENT",INDEX('Margin Guidence Table'!$A$1:$AG$10000,MATCH(1,('Margin Guidence Table'!$A$1:$A$10000=FU32)*('Margin Guidence Table'!$I$1:$I$10000&lt;=ROUND($FM$3,0))*('Margin Guidence Table'!$J$1:$J$10000&gt;=ROUND($FM$3,0)),0),MATCH("SALES_CASE",'Margin Guidence Table'!$A$1:$AG$1,0)),INDEX('Margin Guidence Table'!$A$1:$AG$10000,MATCH(1,('Margin Guidence Table'!$A$1:$A$10000=FU32)*('Margin Guidence Table'!$I$1:$I$10000&lt;=ROUND($FM$3,0))*('Margin Guidence Table'!$J$1:$J$10000&gt;=ROUND($FM$3,0)),0),MATCH("DEFAULT_SALES_CASE",'Margin Guidence Table'!$A$1:$AG$1,0))),0)</f>
        <v>0</v>
      </c>
      <c r="FY32" s="1050">
        <f t="array" ref="FY32">IFERROR(IF($FW32="SEGMENT",INDEX('Margin Guidence Table'!$A$1:$AG$10000,MATCH(1,('Margin Guidence Table'!$A$1:$A$10000=FU32)*('Margin Guidence Table'!$I$1:$I$10000&lt;=ROUND($FM$3,0))*('Margin Guidence Table'!$J$1:$J$10000&gt;=ROUND($FM$3,0)),0),MATCH("SALES_LBS",'Margin Guidence Table'!$A$1:$AG$1,0)),INDEX('Margin Guidence Table'!$A$1:$AG$10000,MATCH(1,('Margin Guidence Table'!$A$1:$A$10000=FU32)*('Margin Guidence Table'!$I$1:$I$10000&lt;=ROUND($FM$3,0))*('Margin Guidence Table'!$J$1:$J$10000&gt;=ROUND($FM$3,0)),0),MATCH("DEFAULT_SALES_LBS",'Margin Guidence Table'!$A$1:$AG$1,0))),0)</f>
        <v>0</v>
      </c>
      <c r="FZ32" s="1054">
        <f t="array" ref="FZ32">IFERROR(IF($FW32="SEGMENT",INDEX('Margin Guidence Table'!$A$1:$AG$10000,MATCH(1,('Margin Guidence Table'!$A$1:$A$10000=FU32)*('Margin Guidence Table'!$I$1:$I$10000&lt;=ROUND($FM$3,0))*('Margin Guidence Table'!$J$1:$J$10000&gt;=ROUND($FM$3,0)),0),MATCH("MDA_MIN_MARGIN_GUIDENCE",'Margin Guidence Table'!$A$1:$AG$1,0)),INDEX('Margin Guidence Table'!$A$1:$AG$10000,MATCH(1,('Margin Guidence Table'!$A$1:$A$10000=FU32)*('Margin Guidence Table'!$I$1:$I$10000&lt;=ROUND($FM$3,0))*('Margin Guidence Table'!$J$1:$J$10000&gt;=ROUND($FM$3,0)),0),MATCH("DEFAULT_MDA_MIN_MARGIN_GUIDENCE",'Margin Guidence Table'!$A$1:$AG$1,0))),0)</f>
        <v>0</v>
      </c>
      <c r="GA32" s="1054">
        <f t="array" ref="GA32">IFERROR(IF($FW32="SEGMENT",INDEX('Margin Guidence Table'!$A$1:$AG$10000,MATCH(1,('Margin Guidence Table'!$A$1:$A$10000=FU32)*('Margin Guidence Table'!$I$1:$I$10000&lt;=ROUND($FM$3,0))*('Margin Guidence Table'!$J$1:$J$10000&gt;=ROUND($FM$3,0)),0),MATCH("MDA_MEDIAN_MARGIN_GUIDENCE",'Margin Guidence Table'!$A$1:$AG$1,0)),INDEX('Margin Guidence Table'!$A$1:$AG$10000,MATCH(1,('Margin Guidence Table'!$A$1:$A$10000=FU32)*('Margin Guidence Table'!$I$1:$I$10000&lt;=ROUND($FM$3,0))*('Margin Guidence Table'!$J$1:$J$10000&gt;=ROUND($FM$3,0)),0),MATCH("DEFAULT_MDA_MEDIAN_MARGIN_GUIDENCE",'Margin Guidence Table'!$A$1:$AG$1,0))),0)</f>
        <v>0</v>
      </c>
      <c r="GB32" s="1054">
        <f t="array" ref="GB32">IFERROR(IF($FW32="SEGMENT",INDEX('Margin Guidence Table'!$A$1:$AG$10000,MATCH(1,('Margin Guidence Table'!$A$1:$A$10000=FU32)*('Margin Guidence Table'!$I$1:$I$10000&lt;=ROUND($FM$3,0))*('Margin Guidence Table'!$J$1:$J$10000&gt;=ROUND($FM$3,0)),0),MATCH("MDA_MAX_MARGIN_GUIDENCE",'Margin Guidence Table'!$A$1:$AG$1,0)),INDEX('Margin Guidence Table'!$A$1:$AG$10000,MATCH(1,('Margin Guidence Table'!$A$1:$A$10000=FU32)*('Margin Guidence Table'!$I$1:$I$10000&lt;=ROUND($FM$3,0))*('Margin Guidence Table'!$J$1:$J$10000&gt;=ROUND($FM$3,0)),0),MATCH("DEFAULT_MDA_MAX_MARGIN_GUIDENCE",'Margin Guidence Table'!$A$1:$AG$1,0))),0)</f>
        <v>0</v>
      </c>
      <c r="GC32" s="1054">
        <f t="array" ref="GC32">IFERROR(IF($FW32="SEGMENT",INDEX('Margin Guidence Table'!$A$1:$AG$10000,MATCH(1,('Margin Guidence Table'!$A$1:$A$10000=FU32)*('Margin Guidence Table'!$I$1:$I$10000&lt;=ROUND($FM$3,0))*('Margin Guidence Table'!$J$1:$J$10000&gt;=ROUND($FM$3,0)),0),MATCH("PA_PCT_SALES",'Margin Guidence Table'!$A$1:$AG$1,0)),INDEX('Margin Guidence Table'!$A$1:$AG$10000,MATCH(1,('Margin Guidence Table'!$A$1:$A$10000=FU32)*('Margin Guidence Table'!$I$1:$I$10000&lt;=ROUND($FM$3,0))*('Margin Guidence Table'!$J$1:$J$10000&gt;=ROUND($FM$3,0)),0),MATCH("DEFAULT_PA_PCT_SALES",'Margin Guidence Table'!$A$1:$AG$1,0))),0)</f>
        <v>0</v>
      </c>
      <c r="GD32" s="1054">
        <f t="array" ref="GD32">IFERROR(IF($FW32="SEGMENT",INDEX('Margin Guidence Table'!$A$1:$AG$10000,MATCH(1,('Margin Guidence Table'!$A$1:$A$10000=FU32)*('Margin Guidence Table'!$I$1:$I$10000&lt;=ROUND($FM$3,0))*('Margin Guidence Table'!$J$1:$J$10000&gt;=ROUND($FM$3,0)),0),MATCH("SELF_FUND_PCT_SALES",'Margin Guidence Table'!$A$1:$AG$1,0)),INDEX('Margin Guidence Table'!$A$1:$AG$10000,MATCH(1,('Margin Guidence Table'!$A$1:$A$10000=FU32)*('Margin Guidence Table'!$I$1:$I$10000&lt;=ROUND($FM$3,0))*('Margin Guidence Table'!$J$1:$J$10000&gt;=ROUND($FM$3,0)),0),MATCH("DEFAULT_SELF_FUND_PCT_SALES",'Margin Guidence Table'!$A$1:$AG$1,0))),0)</f>
        <v>0</v>
      </c>
      <c r="GE32" s="1054">
        <f t="array" ref="GE32">IFERROR(IF($FW32="SEGMENT",INDEX('Margin Guidence Table'!$A$1:$AG$10000,MATCH(1,('Margin Guidence Table'!$A$1:$A$10000=FU32)*('Margin Guidence Table'!$I$1:$I$10000&lt;=ROUND($FM$3,0))*('Margin Guidence Table'!$J$1:$J$10000&gt;=ROUND($FM$3,0)),0),MATCH("CIA_MEDIAN_MARGIN_GUIDENCE",'Margin Guidence Table'!$A$1:$AG$1,0)),INDEX('Margin Guidence Table'!$A$1:$AG$10000,MATCH(1,('Margin Guidence Table'!$A$1:$A$10000=FU32)*('Margin Guidence Table'!$I$1:$I$10000&lt;=ROUND($FM$3,0))*('Margin Guidence Table'!$J$1:$J$10000&gt;=ROUND($FM$3,0)),0),MATCH("DEFAULT_CIA_MEDIAN_MARGIN_GUIDENCE",'Margin Guidence Table'!$A$1:$AG$1,0))),0)</f>
        <v>0</v>
      </c>
      <c r="GF32" s="127"/>
      <c r="GG32" s="18">
        <f t="array" ref="GG32">IFERROR(IF($GT32="SEGMENT",INDEX('Margin Guidence Table'!$A$1:$AG$10000,MATCH(1,('Margin Guidence Table'!$A$1:$A$10000=$GR32)*('Margin Guidence Table'!$I$1:$I$10000&lt;=ROUND($GJ$3,0))*('Margin Guidence Table'!$J$1:$J$10000&gt;=ROUND($GJ$3,0)),0),MATCH("PCT_SALES",'Margin Guidence Table'!$A$1:$AG$1,0)),INDEX('Margin Guidence Table'!$A$1:$AG$10000,MATCH(1,('Margin Guidence Table'!$A$1:$A$10000=$GR32)*('Margin Guidence Table'!$I$1:$I$10000&lt;=ROUND($GJ$3,0))*('Margin Guidence Table'!$J$1:$J$10000&gt;=ROUND($GJ$3,0)),0),MATCH("DEFAULT_PCT_SALES",'Margin Guidence Table'!$A$1:$AG$1,0))),0)</f>
        <v>0</v>
      </c>
      <c r="GH32" s="370" t="e">
        <f t="shared" si="38"/>
        <v>#DIV/0!</v>
      </c>
      <c r="GI32" s="100" t="s">
        <v>86</v>
      </c>
      <c r="GJ32" s="92">
        <f>IFERROR(IF(AND($GJ$2&lt;&gt;"Enter Spend&gt;&gt;&gt;",GK20="EXISTING"),SUMIFS('Existing Customers'!$Q:$Q,'Existing Customers'!$A:$A,$GJ$1,'Existing Customers'!$H:$H,$GI32)*$GJ$4,$GJ$3*$GH32),0)</f>
        <v>0</v>
      </c>
      <c r="GK32" s="87">
        <f>IFERROR(IF(AND($GJ$2&lt;&gt;"Enter Spend&gt;&gt;&gt;",GK2="EXISTING"),SUMIFS('Existing Customers'!$N:$N,'Existing Customers'!$A:$A,$GJ$1,'Existing Customers'!$H:$H,$GI32)*$GJ$4,$GJ32/$GU32),0)</f>
        <v>0</v>
      </c>
      <c r="GL32" s="93">
        <f>IFERROR(IF(AND($GJ$2&lt;&gt;"Enter Spend&gt;&gt;&gt;",GK2="EXISTING"),SUMIFS('Existing Customers'!$O:$O,'Existing Customers'!$H:$H,$GI32,'Existing Customers'!$A:$A,$GJ$1)*$GJ$4,$GK32*$GJ$8),0)</f>
        <v>0</v>
      </c>
      <c r="GM32" s="93">
        <f>IFERROR(IF(AND($GJ$2&lt;&gt;"Enter Spend&gt;&gt;&gt;",GK2="EXISTING"),SUMIFS('Existing Customers'!$P:$P,'Existing Customers'!$A:$A,$GJ$1,'Existing Customers'!$H:$H,$GI32)*$GJ$4,$GJ32/$GV32),0)</f>
        <v>0</v>
      </c>
      <c r="GN32" s="94">
        <f>IFERROR(IF(AND($GJ$2&lt;&gt;"Enter Spend&gt;&gt;&gt;",GK2="EXISTING"),SUMIFS('Existing Customers'!$V:$V,'Existing Customers'!$H:$H,$GI32,'Existing Customers'!$A:$A,$GJ$1)*$GJ$4,0),0)</f>
        <v>0</v>
      </c>
      <c r="GO32" s="94">
        <f>IFERROR(IF(AND($GJ$2&lt;&gt;"Enter Spend&gt;&gt;&gt;",GK2="EXISTING"),SUMIFS('Existing Customers'!$R:$R,'Existing Customers'!$H:$H,$GI32,'Existing Customers'!$A:$A,$GJ$1)*$GJ$4,0),0)</f>
        <v>0</v>
      </c>
      <c r="GP32" s="1050">
        <f>IFERROR(IF(AND($GJ$2&lt;&gt;"Enter Spend&gt;&gt;&gt;",GK2="EXISTING"),SUMIFS('Existing Customers'!$S:$S,'Existing Customers'!$H:$H,$GI32,'Existing Customers'!$A:$A,$GJ$1),GZ32*GJ32),0)</f>
        <v>0</v>
      </c>
      <c r="GQ32" s="1050">
        <f>IFERROR(IF(AND($GJ$2&lt;&gt;"Enter Spend&gt;&gt;&gt;",GK2="EXISTING"),SUMIFS('Existing Customers'!$U:$U,'Existing Customers'!$H:$H,$GI32,'Existing Customers'!$A:$A,$GJ$1),HA32*GJ32),0)</f>
        <v>0</v>
      </c>
      <c r="GR32" s="1053" t="e">
        <f>_xlfn.CONCAT('Customer Inputs'!$AG$12,"_",GI32)</f>
        <v>#N/A</v>
      </c>
      <c r="GS32" s="1053">
        <f t="array" ref="GS32">IFERROR(INDEX('Margin Guidence Table'!$A$1:$AG$10000,MATCH(1,('Margin Guidence Table'!$A$1:$A$10000=GR32)*('Margin Guidence Table'!$I$1:$I$10000&lt;=ROUND($GJ$3,0))*('Margin Guidence Table'!$J$1:$J$10000&gt;=ROUND($GJ$3,0)),0),MATCH("DATA_POINTS",'Margin Guidence Table'!$A$1:$AG$1,0)),0)</f>
        <v>0</v>
      </c>
      <c r="GT32" s="1050" t="str">
        <f t="shared" si="39"/>
        <v>DEFAULT</v>
      </c>
      <c r="GU32" s="1050">
        <f t="array" ref="GU32">IFERROR(IF($GT32="SEGMENT",INDEX('Margin Guidence Table'!$A$1:$AG$10000,MATCH(1,('Margin Guidence Table'!$A$1:$A$10000=GR32)*('Margin Guidence Table'!$I$1:$I$10000&lt;=ROUND($GJ$3,0))*('Margin Guidence Table'!$J$1:$J$10000&gt;=ROUND($GJ$3,0)),0),MATCH("SALES_CASE",'Margin Guidence Table'!$A$1:$AG$1,0)),INDEX('Margin Guidence Table'!$A$1:$AG$10000,MATCH(1,('Margin Guidence Table'!$A$1:$A$10000=GR32)*('Margin Guidence Table'!$I$1:$I$10000&lt;=ROUND($GJ$3,0))*('Margin Guidence Table'!$J$1:$J$10000&gt;=ROUND($GJ$3,0)),0),MATCH("DEFAULT_SALES_CASE",'Margin Guidence Table'!$A$1:$AG$1,0))),0)</f>
        <v>0</v>
      </c>
      <c r="GV32" s="1050">
        <f t="array" ref="GV32">IFERROR(IF($GT32="SEGMENT",INDEX('Margin Guidence Table'!$A$1:$AG$10000,MATCH(1,('Margin Guidence Table'!$A$1:$A$10000=GR32)*('Margin Guidence Table'!$I$1:$I$10000&lt;=ROUND($GJ$3,0))*('Margin Guidence Table'!$J$1:$J$10000&gt;=ROUND($GJ$3,0)),0),MATCH("SALES_LBS",'Margin Guidence Table'!$A$1:$AG$1,0)),INDEX('Margin Guidence Table'!$A$1:$AG$10000,MATCH(1,('Margin Guidence Table'!$A$1:$A$10000=GR32)*('Margin Guidence Table'!$I$1:$I$10000&lt;=ROUND($GJ$3,0))*('Margin Guidence Table'!$J$1:$J$10000&gt;=ROUND($GJ$3,0)),0),MATCH("DEFAULT_SALES_LBS",'Margin Guidence Table'!$A$1:$AG$1,0))),0)</f>
        <v>0</v>
      </c>
      <c r="GW32" s="1054">
        <f t="array" ref="GW32">IFERROR(IF($GT32="SEGMENT",INDEX('Margin Guidence Table'!$A$1:$AG$10000,MATCH(1,('Margin Guidence Table'!$A$1:$A$10000=GR32)*('Margin Guidence Table'!$I$1:$I$10000&lt;=ROUND($GJ$3,0))*('Margin Guidence Table'!$J$1:$J$10000&gt;=ROUND($GJ$3,0)),0),MATCH("MDA_MIN_MARGIN_GUIDENCE",'Margin Guidence Table'!$A$1:$AG$1,0)),INDEX('Margin Guidence Table'!$A$1:$AG$10000,MATCH(1,('Margin Guidence Table'!$A$1:$A$10000=GR32)*('Margin Guidence Table'!$I$1:$I$10000&lt;=ROUND($GJ$3,0))*('Margin Guidence Table'!$J$1:$J$10000&gt;=ROUND($GJ$3,0)),0),MATCH("DEFAULT_MDA_MIN_MARGIN_GUIDENCE",'Margin Guidence Table'!$A$1:$AG$1,0))),0)</f>
        <v>0</v>
      </c>
      <c r="GX32" s="1054">
        <f t="array" ref="GX32">IFERROR(IF($GT32="SEGMENT",INDEX('Margin Guidence Table'!$A$1:$AG$10000,MATCH(1,('Margin Guidence Table'!$A$1:$A$10000=GR32)*('Margin Guidence Table'!$I$1:$I$10000&lt;=ROUND($GJ$3,0))*('Margin Guidence Table'!$J$1:$J$10000&gt;=ROUND($GJ$3,0)),0),MATCH("MDA_MEDIAN_MARGIN_GUIDENCE",'Margin Guidence Table'!$A$1:$AG$1,0)),INDEX('Margin Guidence Table'!$A$1:$AG$10000,MATCH(1,('Margin Guidence Table'!$A$1:$A$10000=GR32)*('Margin Guidence Table'!$I$1:$I$10000&lt;=ROUND($GJ$3,0))*('Margin Guidence Table'!$J$1:$J$10000&gt;=ROUND($GJ$3,0)),0),MATCH("DEFAULT_MDA_MEDIAN_MARGIN_GUIDENCE",'Margin Guidence Table'!$A$1:$AG$1,0))),0)</f>
        <v>0</v>
      </c>
      <c r="GY32" s="1054">
        <f t="array" ref="GY32">IFERROR(IF($GT32="SEGMENT",INDEX('Margin Guidence Table'!$A$1:$AG$10000,MATCH(1,('Margin Guidence Table'!$A$1:$A$10000=GR32)*('Margin Guidence Table'!$I$1:$I$10000&lt;=ROUND($GJ$3,0))*('Margin Guidence Table'!$J$1:$J$10000&gt;=ROUND($GJ$3,0)),0),MATCH("MDA_MAX_MARGIN_GUIDENCE",'Margin Guidence Table'!$A$1:$AG$1,0)),INDEX('Margin Guidence Table'!$A$1:$AG$10000,MATCH(1,('Margin Guidence Table'!$A$1:$A$10000=GR32)*('Margin Guidence Table'!$I$1:$I$10000&lt;=ROUND($GJ$3,0))*('Margin Guidence Table'!$J$1:$J$10000&gt;=ROUND($GJ$3,0)),0),MATCH("DEFAULT_MDA_MAX_MARGIN_GUIDENCE",'Margin Guidence Table'!$A$1:$AG$1,0))),0)</f>
        <v>0</v>
      </c>
      <c r="GZ32" s="1054">
        <f t="array" ref="GZ32">IFERROR(IF($GT32="SEGMENT",INDEX('Margin Guidence Table'!$A$1:$AG$10000,MATCH(1,('Margin Guidence Table'!$A$1:$A$10000=GR32)*('Margin Guidence Table'!$I$1:$I$10000&lt;=ROUND($GJ$3,0))*('Margin Guidence Table'!$J$1:$J$10000&gt;=ROUND($GJ$3,0)),0),MATCH("PA_PCT_SALES",'Margin Guidence Table'!$A$1:$AG$1,0)),INDEX('Margin Guidence Table'!$A$1:$AG$10000,MATCH(1,('Margin Guidence Table'!$A$1:$A$10000=GR32)*('Margin Guidence Table'!$I$1:$I$10000&lt;=ROUND($GJ$3,0))*('Margin Guidence Table'!$J$1:$J$10000&gt;=ROUND($GJ$3,0)),0),MATCH("DEFAULT_PA_PCT_SALES",'Margin Guidence Table'!$A$1:$AG$1,0))),0)</f>
        <v>0</v>
      </c>
      <c r="HA32" s="1054">
        <f t="array" ref="HA32">IFERROR(IF($GT32="SEGMENT",INDEX('Margin Guidence Table'!$A$1:$AG$10000,MATCH(1,('Margin Guidence Table'!$A$1:$A$10000=GR32)*('Margin Guidence Table'!$I$1:$I$10000&lt;=ROUND($GJ$3,0))*('Margin Guidence Table'!$J$1:$J$10000&gt;=ROUND($GJ$3,0)),0),MATCH("SELF_FUND_PCT_SALES",'Margin Guidence Table'!$A$1:$AG$1,0)),INDEX('Margin Guidence Table'!$A$1:$AG$10000,MATCH(1,('Margin Guidence Table'!$A$1:$A$10000=GR32)*('Margin Guidence Table'!$I$1:$I$10000&lt;=ROUND($GJ$3,0))*('Margin Guidence Table'!$J$1:$J$10000&gt;=ROUND($GJ$3,0)),0),MATCH("DEFAULT_SELF_FUND_PCT_SALES",'Margin Guidence Table'!$A$1:$AG$1,0))),0)</f>
        <v>0</v>
      </c>
      <c r="HB32" s="1054">
        <f t="array" ref="HB32">IFERROR(IF($GT32="SEGMENT",INDEX('Margin Guidence Table'!$A$1:$AG$10000,MATCH(1,('Margin Guidence Table'!$A$1:$A$10000=GR32)*('Margin Guidence Table'!$I$1:$I$10000&lt;=ROUND($GJ$3,0))*('Margin Guidence Table'!$J$1:$J$10000&gt;=ROUND($GJ$3,0)),0),MATCH("CIA_MEDIAN_MARGIN_GUIDENCE",'Margin Guidence Table'!$A$1:$AG$1,0)),INDEX('Margin Guidence Table'!$A$1:$AG$10000,MATCH(1,('Margin Guidence Table'!$A$1:$A$10000=GR32)*('Margin Guidence Table'!$I$1:$I$10000&lt;=ROUND($GJ$3,0))*('Margin Guidence Table'!$J$1:$J$10000&gt;=ROUND($GJ$3,0)),0),MATCH("DEFAULT_CIA_MEDIAN_MARGIN_GUIDENCE",'Margin Guidence Table'!$A$1:$AG$1,0))),0)</f>
        <v>0</v>
      </c>
      <c r="HC32" s="127"/>
      <c r="HD32" s="18">
        <f t="array" ref="HD32">IFERROR(IF($HQ32="SEGMENT",INDEX('Margin Guidence Table'!$A$1:$AG$10000,MATCH(1,('Margin Guidence Table'!$A$1:$A$10000=$HO32)*('Margin Guidence Table'!$I$1:$I$10000&lt;=ROUND($HG$3,0))*('Margin Guidence Table'!$J$1:$J$10000&gt;=ROUND($HG$3,0)),0),MATCH("PCT_SALES",'Margin Guidence Table'!$A$1:$AG$1,0)),INDEX('Margin Guidence Table'!$A$1:$AG$10000,MATCH(1,('Margin Guidence Table'!$A$1:$A$10000=$HO32)*('Margin Guidence Table'!$I$1:$I$10000&lt;=ROUND($HG$3,0))*('Margin Guidence Table'!$J$1:$J$10000&gt;=ROUND($HG$3,0)),0),MATCH("DEFAULT_PCT_SALES",'Margin Guidence Table'!$A$1:$AG$1,0))),0)</f>
        <v>0</v>
      </c>
      <c r="HE32" s="370" t="e">
        <f t="shared" si="40"/>
        <v>#DIV/0!</v>
      </c>
      <c r="HF32" s="100" t="s">
        <v>86</v>
      </c>
      <c r="HG32" s="92">
        <f>IFERROR(IF(AND($HG$2&lt;&gt;"Enter Spend&gt;&gt;&gt;",HH20="EXISTING"),SUMIFS('Existing Customers'!$Q:$Q,'Existing Customers'!$A:$A,$HG$1,'Existing Customers'!$H:$H,$HF32)*$HG$4,$HG$3*$HE32),0)</f>
        <v>0</v>
      </c>
      <c r="HH32" s="87">
        <f>IFERROR(IF(AND($HG$2&lt;&gt;"Enter Spend&gt;&gt;&gt;",HH2="EXISTING"),SUMIFS('Existing Customers'!$N:$N,'Existing Customers'!$A:$A,$HG$1,'Existing Customers'!$H:$H,$HF32)*$HG$4,$HG32/$HR32),0)</f>
        <v>0</v>
      </c>
      <c r="HI32" s="93">
        <f>IFERROR(IF(AND($HG$2&lt;&gt;"Enter Spend&gt;&gt;&gt;",HH2="EXISTING"),SUMIFS('Existing Customers'!$O:$O,'Existing Customers'!$H:$H,$HF32,'Existing Customers'!$A:$A,$HG$1)*$HG$4,$HH32*$HG$8),0)</f>
        <v>0</v>
      </c>
      <c r="HJ32" s="93">
        <f>IFERROR(IF(AND($HG$2&lt;&gt;"Enter Spend&gt;&gt;&gt;",HH2="EXISTING"),SUMIFS('Existing Customers'!$P:$P,'Existing Customers'!$A:$A,$HG$1,'Existing Customers'!$H:$H,$HF32)*$HG$4,$HG32/$HS32),0)</f>
        <v>0</v>
      </c>
      <c r="HK32" s="94">
        <f>IFERROR(IF(AND($HG$2&lt;&gt;"Enter Spend&gt;&gt;&gt;",HH2="EXISTING"),SUMIFS('Existing Customers'!$V:$V,'Existing Customers'!$H:$H,$HF32,'Existing Customers'!$A:$A,$HG$1)*$HG$4,0),0)</f>
        <v>0</v>
      </c>
      <c r="HL32" s="94">
        <f>IFERROR(IF(AND($HG$2&lt;&gt;"Enter Spend&gt;&gt;&gt;",HH2="EXISTING"),SUMIFS('Existing Customers'!$R:$R,'Existing Customers'!$H:$H,$HF32,'Existing Customers'!$A:$A,$HG$1)*$HG$4,0),0)</f>
        <v>0</v>
      </c>
      <c r="HM32" s="1050">
        <f>IFERROR(IF(AND($HG$2&lt;&gt;"Enter Spend&gt;&gt;&gt;",HH2="EXISTING"),SUMIFS('Existing Customers'!$S:$S,'Existing Customers'!$H:$H,$HF32,'Existing Customers'!$A:$A,$HG$1),HW32*HG32),0)</f>
        <v>0</v>
      </c>
      <c r="HN32" s="1050">
        <f>IFERROR(IF(AND($HG$2&lt;&gt;"Enter Spend&gt;&gt;&gt;",HH2="EXISTING"),SUMIFS('Existing Customers'!$U:$U,'Existing Customers'!$H:$H,$HF32,'Existing Customers'!$A:$A,$HG$1),HX32*HG32),0)</f>
        <v>0</v>
      </c>
      <c r="HO32" s="1053" t="e">
        <f>_xlfn.CONCAT('Customer Inputs'!$AG$13,"_",HF32)</f>
        <v>#N/A</v>
      </c>
      <c r="HP32" s="1053">
        <f t="array" ref="HP32">IFERROR(INDEX('Margin Guidence Table'!$A$1:$AG$10000,MATCH(1,('Margin Guidence Table'!$A$1:$A$10000=HO32)*('Margin Guidence Table'!$I$1:$I$10000&lt;=ROUND($HG$3,0))*('Margin Guidence Table'!$J$1:$J$10000&gt;=ROUND($HG$3,0)),0),MATCH("DATA_POINTS",'Margin Guidence Table'!$A$1:$AG$1,0)),0)</f>
        <v>0</v>
      </c>
      <c r="HQ32" s="1050" t="str">
        <f t="shared" si="41"/>
        <v>DEFAULT</v>
      </c>
      <c r="HR32" s="1050">
        <f t="array" ref="HR32">IFERROR(IF($HQ32="SEGMENT",INDEX('Margin Guidence Table'!$A$1:$AG$10000,MATCH(1,('Margin Guidence Table'!$A$1:$A$10000=HO32)*('Margin Guidence Table'!$I$1:$I$10000&lt;=ROUND($HG$3,0))*('Margin Guidence Table'!$J$1:$J$10000&gt;=ROUND($HG$3,0)),0),MATCH("SALES_CASE",'Margin Guidence Table'!$A$1:$AG$1,0)),INDEX('Margin Guidence Table'!$A$1:$AG$10000,MATCH(1,('Margin Guidence Table'!$A$1:$A$10000=HO32)*('Margin Guidence Table'!$I$1:$I$10000&lt;=ROUND($HG$3,0))*('Margin Guidence Table'!$J$1:$J$10000&gt;=ROUND($HG$3,0)),0),MATCH("DEFAULT_SALES_CASE",'Margin Guidence Table'!$A$1:$AG$1,0))),0)</f>
        <v>0</v>
      </c>
      <c r="HS32" s="1050">
        <f t="array" ref="HS32">IFERROR(IF($HQ32="SEGMENT",INDEX('Margin Guidence Table'!$A$1:$AG$10000,MATCH(1,('Margin Guidence Table'!$A$1:$A$10000=HO32)*('Margin Guidence Table'!$I$1:$I$10000&lt;=ROUND($HG$3,0))*('Margin Guidence Table'!$J$1:$J$10000&gt;=ROUND($HG$3,0)),0),MATCH("SALES_LBS",'Margin Guidence Table'!$A$1:$AG$1,0)),INDEX('Margin Guidence Table'!$A$1:$AG$10000,MATCH(1,('Margin Guidence Table'!$A$1:$A$10000=HO32)*('Margin Guidence Table'!$I$1:$I$10000&lt;=ROUND($HG$3,0))*('Margin Guidence Table'!$J$1:$J$10000&gt;=ROUND($HG$3,0)),0),MATCH("DEFAULT_SALES_LBS",'Margin Guidence Table'!$A$1:$AG$1,0))),0)</f>
        <v>0</v>
      </c>
      <c r="HT32" s="1054">
        <f t="array" ref="HT32">IFERROR(IF($HQ32="SEGMENT",INDEX('Margin Guidence Table'!$A$1:$AG$10000,MATCH(1,('Margin Guidence Table'!$A$1:$A$10000=HO32)*('Margin Guidence Table'!$I$1:$I$10000&lt;=ROUND($HG$3,0))*('Margin Guidence Table'!$J$1:$J$10000&gt;=ROUND($HG$3,0)),0),MATCH("MDA_MIN_MARGIN_GUIDENCE",'Margin Guidence Table'!$A$1:$AG$1,0)),INDEX('Margin Guidence Table'!$A$1:$AG$10000,MATCH(1,('Margin Guidence Table'!$A$1:$A$10000=HO32)*('Margin Guidence Table'!$I$1:$I$10000&lt;=ROUND($HG$3,0))*('Margin Guidence Table'!$J$1:$J$10000&gt;=ROUND($HG$3,0)),0),MATCH("DEFAULT_MDA_MIN_MARGIN_GUIDENCE",'Margin Guidence Table'!$A$1:$AG$1,0))),0)</f>
        <v>0</v>
      </c>
      <c r="HU32" s="1054">
        <f t="array" ref="HU32">IFERROR(IF($HQ32="SEGMENT",INDEX('Margin Guidence Table'!$A$1:$AG$10000,MATCH(1,('Margin Guidence Table'!$A$1:$A$10000=HO32)*('Margin Guidence Table'!$I$1:$I$10000&lt;=ROUND($HG$3,0))*('Margin Guidence Table'!$J$1:$J$10000&gt;=ROUND($HG$3,0)),0),MATCH("MDA_MEDIAN_MARGIN_GUIDENCE",'Margin Guidence Table'!$A$1:$AG$1,0)),INDEX('Margin Guidence Table'!$A$1:$AG$10000,MATCH(1,('Margin Guidence Table'!$A$1:$A$10000=HO32)*('Margin Guidence Table'!$I$1:$I$10000&lt;=ROUND($HG$3,0))*('Margin Guidence Table'!$J$1:$J$10000&gt;=ROUND($HG$3,0)),0),MATCH("DEFAULT_MDA_MEDIAN_MARGIN_GUIDENCE",'Margin Guidence Table'!$A$1:$AG$1,0))),0)</f>
        <v>0</v>
      </c>
      <c r="HV32" s="1054">
        <f t="array" ref="HV32">IFERROR(IF($HQ32="SEGMENT",INDEX('Margin Guidence Table'!$A$1:$AG$10000,MATCH(1,('Margin Guidence Table'!$A$1:$A$10000=HO32)*('Margin Guidence Table'!$I$1:$I$10000&lt;=ROUND($HG$3,0))*('Margin Guidence Table'!$J$1:$J$10000&gt;=ROUND($HG$3,0)),0),MATCH("MDA_MAX_MARGIN_GUIDENCE",'Margin Guidence Table'!$A$1:$AG$1,0)),INDEX('Margin Guidence Table'!$A$1:$AG$10000,MATCH(1,('Margin Guidence Table'!$A$1:$A$10000=HO32)*('Margin Guidence Table'!$I$1:$I$10000&lt;=ROUND($HG$3,0))*('Margin Guidence Table'!$J$1:$J$10000&gt;=ROUND($HG$3,0)),0),MATCH("DEFAULT_MDA_MAX_MARGIN_GUIDENCE",'Margin Guidence Table'!$A$1:$AG$1,0))),0)</f>
        <v>0</v>
      </c>
      <c r="HW32" s="1054">
        <f t="array" ref="HW32">IFERROR(IF($HQ32="SEGMENT",INDEX('Margin Guidence Table'!$A$1:$AG$10000,MATCH(1,('Margin Guidence Table'!$A$1:$A$10000=HO32)*('Margin Guidence Table'!$I$1:$I$10000&lt;=ROUND($HG$3,0))*('Margin Guidence Table'!$J$1:$J$10000&gt;=ROUND($HG$3,0)),0),MATCH("PA_PCT_SALES",'Margin Guidence Table'!$A$1:$AG$1,0)),INDEX('Margin Guidence Table'!$A$1:$AG$10000,MATCH(1,('Margin Guidence Table'!$A$1:$A$10000=HO32)*('Margin Guidence Table'!$I$1:$I$10000&lt;=ROUND($HG$3,0))*('Margin Guidence Table'!$J$1:$J$10000&gt;=ROUND($HG$3,0)),0),MATCH("DEFAULT_PA_PCT_SALES",'Margin Guidence Table'!$A$1:$AG$1,0))),0)</f>
        <v>0</v>
      </c>
      <c r="HX32" s="1054">
        <f t="array" ref="HX32">IFERROR(IF($HQ32="SEGMENT",INDEX('Margin Guidence Table'!$A$1:$AG$10000,MATCH(1,('Margin Guidence Table'!$A$1:$A$10000=HO32)*('Margin Guidence Table'!$I$1:$I$10000&lt;=ROUND($HG$3,0))*('Margin Guidence Table'!$J$1:$J$10000&gt;=ROUND($HG$3,0)),0),MATCH("SELF_FUND_PCT_SALES",'Margin Guidence Table'!$A$1:$AG$1,0)),INDEX('Margin Guidence Table'!$A$1:$AG$10000,MATCH(1,('Margin Guidence Table'!$A$1:$A$10000=HO32)*('Margin Guidence Table'!$I$1:$I$10000&lt;=ROUND($HG$3,0))*('Margin Guidence Table'!$J$1:$J$10000&gt;=ROUND($HG$3,0)),0),MATCH("DEFAULT_SELF_FUND_PCT_SALES",'Margin Guidence Table'!$A$1:$AG$1,0))),0)</f>
        <v>0</v>
      </c>
      <c r="HY32" s="1054">
        <f t="array" ref="HY32">IFERROR(IF($HQ32="SEGMENT",INDEX('Margin Guidence Table'!$A$1:$AG$10000,MATCH(1,('Margin Guidence Table'!$A$1:$A$10000=HO32)*('Margin Guidence Table'!$I$1:$I$10000&lt;=ROUND($HG$3,0))*('Margin Guidence Table'!$J$1:$J$10000&gt;=ROUND($HG$3,0)),0),MATCH("CIA_MEDIAN_MARGIN_GUIDENCE",'Margin Guidence Table'!$A$1:$AG$1,0)),INDEX('Margin Guidence Table'!$A$1:$AG$10000,MATCH(1,('Margin Guidence Table'!$A$1:$A$10000=HO32)*('Margin Guidence Table'!$I$1:$I$10000&lt;=ROUND($HG$3,0))*('Margin Guidence Table'!$J$1:$J$10000&gt;=ROUND($HG$3,0)),0),MATCH("DEFAULT_CIA_MEDIAN_MARGIN_GUIDENCE",'Margin Guidence Table'!$A$1:$AG$1,0))),0)</f>
        <v>0</v>
      </c>
      <c r="HZ32" s="127"/>
      <c r="IA32" s="18">
        <f t="array" ref="IA32">IFERROR(IF($IN32="SEGMENT",INDEX('Margin Guidence Table'!$A:$AC,MATCH(1,('Margin Guidence Table'!$A:$A=$IL32)*('Margin Guidence Table'!$H:$H&lt;=ROUND($ID$3,0))*('Margin Guidence Table'!$G:$G&gt;=ROUND($ID$3,0)),0),MATCH("PCT_SALES",'Margin Guidence Table'!$A$1:$AG$1,0)),INDEX('Margin Guidence Table'!$A:$AC,MATCH(1,('Margin Guidence Table'!$A:$A=$IL32)*('Margin Guidence Table'!$H:$H&lt;=ROUND($ID$3,0))*('Margin Guidence Table'!$G:$G&gt;=ROUND($ID$3,0)),0),MATCH("DEFAULT_PCT_SALES",'Margin Guidence Table'!$A$1:$AG$1,0))),0)</f>
        <v>0</v>
      </c>
      <c r="IB32" s="370" t="e">
        <f t="shared" si="42"/>
        <v>#DIV/0!</v>
      </c>
      <c r="IC32" s="100" t="s">
        <v>86</v>
      </c>
      <c r="ID32" s="92">
        <f>IFERROR(IF(AND($ID$2&lt;&gt;"Enter Spend&gt;&gt;&gt;",IE20="EXISTING"),SUMIFS('Existing Customers'!$Q:$Q,'Existing Customers'!$A:$A,$ID$1,'Existing Customers'!$H:$H,$IC32)*$ID$4,$ID$3*$IB32),0)</f>
        <v>0</v>
      </c>
      <c r="IE32" s="87">
        <f>IFERROR(IF(AND($ID$2&lt;&gt;"Enter Spend&gt;&gt;&gt;",IE2="EXISTING"),SUMIFS('Existing Customers'!$N:$N,'Existing Customers'!$A:$A,$ID$1,'Existing Customers'!$H:$H,$IC32)*$ID$4,$ID32/$IO32),0)</f>
        <v>0</v>
      </c>
      <c r="IF32" s="93">
        <f>IFERROR(IF(AND($ID$2&lt;&gt;"Enter Spend&gt;&gt;&gt;",IE2="EXISTING"),SUMIFS('Existing Customers'!$O:$O,'Existing Customers'!$H:$H,$IC32,'Existing Customers'!$A:$A,$ID$1)*$ID$4,$IE32*$ID$8),0)</f>
        <v>0</v>
      </c>
      <c r="IG32" s="93">
        <f>IFERROR(IF(AND($ID$2&lt;&gt;"Enter Spend&gt;&gt;&gt;",IE2="EXISTING"),SUMIFS('Existing Customers'!$P:$P,'Existing Customers'!$A:$A,$ID$1,'Existing Customers'!$H:$H,$IC32)*$ID$4,$ID32/$IP32),0)</f>
        <v>0</v>
      </c>
      <c r="IH32" s="376">
        <f>IFERROR(IF(AND($ID$2&lt;&gt;"Enter Spend&gt;&gt;&gt;",IE2="EXISTING"),SUMIFS('Existing Customers'!$V:$V,'Existing Customers'!$H:$H,$IC32,'Existing Customers'!$A:$A,$ID$1)*$ID$4,0),0)</f>
        <v>0</v>
      </c>
      <c r="II32" s="94">
        <f>IFERROR(IF(AND($ID$2&lt;&gt;"Enter Spend&gt;&gt;&gt;",IE2="EXISTING"),SUMIFS('Existing Customers'!$R:$R,'Existing Customers'!$H:$H,$IC32,'Existing Customers'!$A:$A,$ID$1)*$ID$4,0),0)</f>
        <v>0</v>
      </c>
      <c r="IJ32" s="1050">
        <f>IFERROR(IF(AND($ID$2&lt;&gt;"Enter Spend&gt;&gt;&gt;",IE2="EXISTING"),SUMIFS('Existing Customers'!$S:$S,'Existing Customers'!$H:$H,$IC32,'Existing Customers'!$A:$A,$ID$1),IT32*ID32),0)</f>
        <v>0</v>
      </c>
      <c r="IK32" s="1050">
        <f>IFERROR(IF(AND($ID$2&lt;&gt;"Enter Spend&gt;&gt;&gt;",IE2="EXISTING"),SUMIFS('Existing Customers'!$U:$U,'Existing Customers'!$H:$H,$IC32,'Existing Customers'!$A:$A,$ID$1),IU32*ID32),0)</f>
        <v>0</v>
      </c>
      <c r="IL32" s="1053" t="e">
        <f>_xlfn.CONCAT('Customer Inputs'!$AG$14,"_",IC32)</f>
        <v>#N/A</v>
      </c>
      <c r="IM32" s="1053">
        <f t="array" ref="IM32">IFERROR(INDEX('Margin Guidence Table'!$A$1:$AG$10000,MATCH(1,('Margin Guidence Table'!$A$1:$A$10000=IL32)*('Margin Guidence Table'!$I$1:$I$10000&lt;=ROUND($ID$3,0))*('Margin Guidence Table'!$J$1:$J$10000&gt;=ROUND($ID$3,0)),0),MATCH("DATA_POINTS",'Margin Guidence Table'!$A$1:$AG$1,0)),0)</f>
        <v>0</v>
      </c>
      <c r="IN32" s="1050" t="str">
        <f t="shared" si="43"/>
        <v>DEFAULT</v>
      </c>
      <c r="IO32" s="1050">
        <f t="array" ref="IO32">IFERROR(IF($IN32="SEGMENT",INDEX('Margin Guidence Table'!$A$1:$AG$10000,MATCH(1,('Margin Guidence Table'!$A$1:$A$10000=IL32)*('Margin Guidence Table'!$I$1:$I$10000&lt;=ROUND($ID$3,0))*('Margin Guidence Table'!$J$1:$J$10000&gt;=ROUND($ID$3,0)),0),MATCH("SALES_CASE",'Margin Guidence Table'!$A$1:$AG$1,0)),INDEX('Margin Guidence Table'!$A$1:$AG$10000,MATCH(1,('Margin Guidence Table'!$A$1:$A$10000=IL32)*('Margin Guidence Table'!$I$1:$I$10000&lt;=ROUND($ID$3,0))*('Margin Guidence Table'!$J$1:$J$10000&gt;=ROUND($ID$3,0)),0),MATCH("DEFAULT_SALES_CASE",'Margin Guidence Table'!$A$1:$AG$1,0))),0)</f>
        <v>0</v>
      </c>
      <c r="IP32" s="1050">
        <f t="array" ref="IP32">IFERROR(IF($IN32="SEGMENT",INDEX('Margin Guidence Table'!$A$1:$AG$10000,MATCH(1,('Margin Guidence Table'!$A$1:$A$10000=IL32)*('Margin Guidence Table'!$I$1:$I$10000&lt;=ROUND($ID$3,0))*('Margin Guidence Table'!$J$1:$J$10000&gt;=ROUND($ID$3,0)),0),MATCH("SALES_LBS",'Margin Guidence Table'!$A$1:$AG$1,0)),INDEX('Margin Guidence Table'!$A$1:$AG$10000,MATCH(1,('Margin Guidence Table'!$A$1:$A$10000=IL32)*('Margin Guidence Table'!$I$1:$I$10000&lt;=ROUND($ID$3,0))*('Margin Guidence Table'!$J$1:$J$10000&gt;=ROUND($ID$3,0)),0),MATCH("DEFAULT_SALES_LBS",'Margin Guidence Table'!$A$1:$AG$1,0))),0)</f>
        <v>0</v>
      </c>
      <c r="IQ32" s="1054">
        <f t="array" ref="IQ32">IFERROR(IF($IN32="SEGMENT",INDEX('Margin Guidence Table'!$A$1:$AG$10000,MATCH(1,('Margin Guidence Table'!$A$1:$A$10000=IL32)*('Margin Guidence Table'!$I$1:$I$10000&lt;=ROUND($ID$3,0))*('Margin Guidence Table'!$J$1:$J$10000&gt;=ROUND($ID$3,0)),0),MATCH("MDA_MIN_MARGIN_GUIDENCE",'Margin Guidence Table'!$A$1:$AG$1,0)),INDEX('Margin Guidence Table'!$A$1:$AG$10000,MATCH(1,('Margin Guidence Table'!$A$1:$A$10000=IL32)*('Margin Guidence Table'!$I$1:$I$10000&lt;=ROUND($ID$3,0))*('Margin Guidence Table'!$J$1:$J$10000&gt;=ROUND($ID$3,0)),0),MATCH("DEFAULT_MDA_MIN_MARGIN_GUIDENCE",'Margin Guidence Table'!$A$1:$AG$1,0))),0)</f>
        <v>0</v>
      </c>
      <c r="IR32" s="1054">
        <f t="array" ref="IR32">IFERROR(IF($IN32="SEGMENT",INDEX('Margin Guidence Table'!$A$1:$AG$10000,MATCH(1,('Margin Guidence Table'!$A$1:$A$10000=IL32)*('Margin Guidence Table'!$I$1:$I$10000&lt;=ROUND($ID$3,0))*('Margin Guidence Table'!$J$1:$J$10000&gt;=ROUND($ID$3,0)),0),MATCH("MDA_MEDIAN_MARGIN_GUIDENCE",'Margin Guidence Table'!$A$1:$AG$1,0)),INDEX('Margin Guidence Table'!$A$1:$AG$10000,MATCH(1,('Margin Guidence Table'!$A$1:$A$10000=IL32)*('Margin Guidence Table'!$I$1:$I$10000&lt;=ROUND($ID$3,0))*('Margin Guidence Table'!$J$1:$J$10000&gt;=ROUND($ID$3,0)),0),MATCH("DEFAULT_MDA_MEDIAN_MARGIN_GUIDENCE",'Margin Guidence Table'!$A$1:$AG$1,0))),0)</f>
        <v>0</v>
      </c>
      <c r="IS32" s="1054">
        <f t="array" ref="IS32">IFERROR(IF($IN32="SEGMENT",INDEX('Margin Guidence Table'!$A$1:$AG$10000,MATCH(1,('Margin Guidence Table'!$A$1:$A$10000=IL32)*('Margin Guidence Table'!$I$1:$I$10000&lt;=ROUND($ID$3,0))*('Margin Guidence Table'!$J$1:$J$10000&gt;=ROUND($ID$3,0)),0),MATCH("MDA_MAX_MARGIN_GUIDENCE",'Margin Guidence Table'!$A$1:$AG$1,0)),INDEX('Margin Guidence Table'!$A$1:$AG$10000,MATCH(1,('Margin Guidence Table'!$A$1:$A$10000=IL32)*('Margin Guidence Table'!$I$1:$I$10000&lt;=ROUND($ID$3,0))*('Margin Guidence Table'!$J$1:$J$10000&gt;=ROUND($ID$3,0)),0),MATCH("DEFAULT_MDA_MAX_MARGIN_GUIDENCE",'Margin Guidence Table'!$A$1:$AG$1,0))),0)</f>
        <v>0</v>
      </c>
      <c r="IT32" s="1054">
        <f t="array" ref="IT32">IFERROR(IF($IN32="SEGMENT",INDEX('Margin Guidence Table'!$A$1:$AG$10000,MATCH(1,('Margin Guidence Table'!$A$1:$A$10000=IL32)*('Margin Guidence Table'!$I$1:$I$10000&lt;=ROUND($ID$3,0))*('Margin Guidence Table'!$J$1:$J$10000&gt;=ROUND($ID$3,0)),0),MATCH("PA_PCT_SALES",'Margin Guidence Table'!$A$1:$AG$1,0)),INDEX('Margin Guidence Table'!$A$1:$AG$10000,MATCH(1,('Margin Guidence Table'!$A$1:$A$10000=IL32)*('Margin Guidence Table'!$I$1:$I$10000&lt;=ROUND($ID$3,0))*('Margin Guidence Table'!$J$1:$J$10000&gt;=ROUND($ID$3,0)),0),MATCH("DEFAULT_PA_PCT_SALES",'Margin Guidence Table'!$A$1:$AG$1,0))),0)</f>
        <v>0</v>
      </c>
      <c r="IU32" s="1054">
        <f t="array" ref="IU32">IFERROR(IF($IN32="SEGMENT",INDEX('Margin Guidence Table'!$A$1:$AG$10000,MATCH(1,('Margin Guidence Table'!$A$1:$A$10000=IL32)*('Margin Guidence Table'!$I$1:$I$10000&lt;=ROUND($ID$3,0))*('Margin Guidence Table'!$J$1:$J$10000&gt;=ROUND($ID$3,0)),0),MATCH("SELF_FUND_PCT_SALES",'Margin Guidence Table'!$A$1:$AG$1,0)),INDEX('Margin Guidence Table'!$A$1:$AG$10000,MATCH(1,('Margin Guidence Table'!$A$1:$A$10000=IL32)*('Margin Guidence Table'!$I$1:$I$10000&lt;=ROUND($ID$3,0))*('Margin Guidence Table'!$J$1:$J$10000&gt;=ROUND($ID$3,0)),0),MATCH("DEFAULT_SELF_FUND_PCT_SALES",'Margin Guidence Table'!$A$1:$AG$1,0))),0)</f>
        <v>0</v>
      </c>
      <c r="IV32" s="1054">
        <f t="array" ref="IV32">IFERROR(IF($IN32="SEGMENT",INDEX('Margin Guidence Table'!$A$1:$AG$10000,MATCH(1,('Margin Guidence Table'!$A$1:$A$10000=IL32)*('Margin Guidence Table'!$I$1:$I$10000&lt;=ROUND($ID$3,0))*('Margin Guidence Table'!$J$1:$J$10000&gt;=ROUND($ID$3,0)),0),MATCH("CIA_MEDIAN_MARGIN_GUIDENCE",'Margin Guidence Table'!$A$1:$AG$1,0)),INDEX('Margin Guidence Table'!$A$1:$AG$10000,MATCH(1,('Margin Guidence Table'!$A$1:$A$10000=IL32)*('Margin Guidence Table'!$I$1:$I$10000&lt;=ROUND($ID$3,0))*('Margin Guidence Table'!$J$1:$J$10000&gt;=ROUND($ID$3,0)),0),MATCH("DEFAULT_CIA_MEDIAN_MARGIN_GUIDENCE",'Margin Guidence Table'!$A$1:$AG$1,0))),0)</f>
        <v>0</v>
      </c>
      <c r="IW32" s="127"/>
      <c r="IX32" s="18">
        <f t="array" ref="IX32">IFERROR(IF($JK32="SEGMENT",INDEX('Margin Guidence Table'!$A$1:$AG$10000,MATCH(1,('Margin Guidence Table'!$A$1:$A$10000=$JI32)*('Margin Guidence Table'!$I$1:$I$10000&lt;=ROUND($JA$3,0))*('Margin Guidence Table'!$J$1:$J$10000&gt;=ROUND($JA$3,0)),0),MATCH("PCT_SALES",'Margin Guidence Table'!$A$1:$AG$1,0)),INDEX('Margin Guidence Table'!$A$1:$AG$10000,MATCH(1,('Margin Guidence Table'!$A$1:$A$10000=$JI32)*('Margin Guidence Table'!$I$1:$I$10000&lt;=ROUND($JA$3,0))*('Margin Guidence Table'!$J$1:$J$10000&gt;=ROUND($JA$3,0)),0),MATCH("DEFAULT_PCT_SALES",'Margin Guidence Table'!$A$1:$AG$1,0))),0)</f>
        <v>0</v>
      </c>
      <c r="IY32" s="370" t="e">
        <f t="shared" si="44"/>
        <v>#DIV/0!</v>
      </c>
      <c r="IZ32" s="100" t="s">
        <v>86</v>
      </c>
      <c r="JA32" s="92">
        <f>IFERROR(IF(AND($JA$2&lt;&gt;"Enter Spend&gt;&gt;&gt;",JB20="EXISTING"),SUMIFS('Existing Customers'!$Q:$Q,'Existing Customers'!$A:$A,$JA$1,'Existing Customers'!$H:$H,$IZ32)*$JA$4,$JA$3*$IY32),0)</f>
        <v>0</v>
      </c>
      <c r="JB32" s="87">
        <f>IFERROR(IF(AND($JA$2&lt;&gt;"Enter Spend&gt;&gt;&gt;",JB2="EXISTING"),SUMIFS('Existing Customers'!$N:$N,'Existing Customers'!$A:$A,$JA$1,'Existing Customers'!$H:$H,$IZ32)*$JA$4,$JA32/$JL32),0)</f>
        <v>0</v>
      </c>
      <c r="JC32" s="93">
        <f>IFERROR(IF(AND($JA$2&lt;&gt;"Enter Spend&gt;&gt;&gt;",JB2="EXISTING"),SUMIFS('Existing Customers'!$O:$O,'Existing Customers'!$H:$H,$IZ32,'Existing Customers'!$A:$A,$JA$1)*$JA$4,$JB32*$JA$8),0)</f>
        <v>0</v>
      </c>
      <c r="JD32" s="93">
        <f>IFERROR(IF(AND($JA$2&lt;&gt;"Enter Spend&gt;&gt;&gt;",JB2="EXISTING"),SUMIFS('Existing Customers'!$P:$P,'Existing Customers'!$A:$A,$JA$1,'Existing Customers'!$H:$H,$IZ32)*$JA$4,$JA32/$JM32),0)</f>
        <v>0</v>
      </c>
      <c r="JE32" s="376">
        <f>IFERROR(IF(AND($JA$2&lt;&gt;"Enter Spend&gt;&gt;&gt;",JB2="EXISTING"),SUMIFS('Existing Customers'!$V:$V,'Existing Customers'!$H:$H,$IZ32,'Existing Customers'!$A:$A,$JA$1)*$JA$4,0),0)</f>
        <v>0</v>
      </c>
      <c r="JF32" s="94">
        <f>IFERROR(IF(AND($JA$2&lt;&gt;"Enter Spend&gt;&gt;&gt;",JB2="EXISTING"),SUMIFS('Existing Customers'!$R:$R,'Existing Customers'!$H:$H,$IZ32,'Existing Customers'!$A:$A,$JA$1)*$JA$4,0),0)</f>
        <v>0</v>
      </c>
      <c r="JG32" s="1050">
        <f>IFERROR(IF(AND($JA$2&lt;&gt;"Enter Spend&gt;&gt;&gt;",JB2="EXISTING"),SUMIFS('Existing Customers'!$S:$S,'Existing Customers'!$H:$H,$IZ32,'Existing Customers'!$A:$A,$JA$1),JQ32*JA32),0)</f>
        <v>0</v>
      </c>
      <c r="JH32" s="1050">
        <f>IFERROR(IF(AND($JA$2&lt;&gt;"Enter Spend&gt;&gt;&gt;",JB2="EXISTING"),SUMIFS('Existing Customers'!$U:$U,'Existing Customers'!$H:$H,$IZ32,'Existing Customers'!$A:$A,$JA$1),JR32*JA32),0)</f>
        <v>0</v>
      </c>
      <c r="JI32" s="1053" t="e">
        <f>_xlfn.CONCAT('Customer Inputs'!$AG$15,"_",IZ32)</f>
        <v>#N/A</v>
      </c>
      <c r="JJ32" s="1053">
        <f t="array" ref="JJ32">IFERROR(INDEX('Margin Guidence Table'!$A$1:$AG$10000,MATCH(1,('Margin Guidence Table'!$A$1:$A$10000=JI32)*('Margin Guidence Table'!$I$1:$I$10000&lt;=ROUND($JA$3,0))*('Margin Guidence Table'!$J$1:$J$10000&gt;=ROUND($JA$3,0)),0),MATCH("DATA_POINTS",'Margin Guidence Table'!$A$1:$AG$1,0)),0)</f>
        <v>0</v>
      </c>
      <c r="JK32" s="1050" t="str">
        <f t="shared" si="45"/>
        <v>DEFAULT</v>
      </c>
      <c r="JL32" s="1050">
        <f t="array" ref="JL32">IFERROR(IF($JK32="SEGMENT",INDEX('Margin Guidence Table'!$A$1:$AG$10000,MATCH(1,('Margin Guidence Table'!$A$1:$A$10000=JI32)*('Margin Guidence Table'!$I$1:$I$10000&lt;=ROUND($JA$3,0))*('Margin Guidence Table'!$J$1:$J$10000&gt;=ROUND($JA$3,0)),0),MATCH("SALES_CASE",'Margin Guidence Table'!$A$1:$AG$1,0)),INDEX('Margin Guidence Table'!$A$1:$AG$10000,MATCH(1,('Margin Guidence Table'!$A$1:$A$10000=JI32)*('Margin Guidence Table'!$I$1:$I$10000&lt;=ROUND($JA$3,0))*('Margin Guidence Table'!$J$1:$J$10000&gt;=ROUND($JA$3,0)),0),MATCH("DEFAULT_SALES_CASE",'Margin Guidence Table'!$A$1:$AG$1,0))),0)</f>
        <v>0</v>
      </c>
      <c r="JM32" s="1050">
        <f t="array" ref="JM32">IFERROR(IF($JK32="SEGMENT",INDEX('Margin Guidence Table'!$A$1:$AG$10000,MATCH(1,('Margin Guidence Table'!$A$1:$A$10000=JI32)*('Margin Guidence Table'!$I$1:$I$10000&lt;=ROUND($JA$3,0))*('Margin Guidence Table'!$J$1:$J$10000&gt;=ROUND($JA$3,0)),0),MATCH("SALES_LBS",'Margin Guidence Table'!$A$1:$AG$1,0)),INDEX('Margin Guidence Table'!$A$1:$AG$10000,MATCH(1,('Margin Guidence Table'!$A$1:$A$10000=JI32)*('Margin Guidence Table'!$I$1:$I$10000&lt;=ROUND($JA$3,0))*('Margin Guidence Table'!$J$1:$J$10000&gt;=ROUND($JA$3,0)),0),MATCH("DEFAULT_SALES_LBS",'Margin Guidence Table'!$A$1:$AG$1,0))),0)</f>
        <v>0</v>
      </c>
      <c r="JN32" s="1054">
        <f t="array" ref="JN32">IFERROR(IF($JK32="SEGMENT",INDEX('Margin Guidence Table'!$A$1:$AG$10000,MATCH(1,('Margin Guidence Table'!$A$1:$A$10000=JI32)*('Margin Guidence Table'!$I$1:$I$10000&lt;=ROUND($JA$3,0))*('Margin Guidence Table'!$J$1:$J$10000&gt;=ROUND($JA$3,0)),0),MATCH("MDA_MIN_MARGIN_GUIDENCE",'Margin Guidence Table'!$A$1:$AG$1,0)),INDEX('Margin Guidence Table'!$A$1:$AG$10000,MATCH(1,('Margin Guidence Table'!$A$1:$A$10000=JI32)*('Margin Guidence Table'!$I$1:$I$10000&lt;=ROUND($JA$3,0))*('Margin Guidence Table'!$J$1:$J$10000&gt;=ROUND($JA$3,0)),0),MATCH("DEFAULT_MDA_MIN_MARGIN_GUIDENCE",'Margin Guidence Table'!$A$1:$AG$1,0))),0)</f>
        <v>0</v>
      </c>
      <c r="JO32" s="1054">
        <f t="array" ref="JO32">IFERROR(IF($JK32="SEGMENT",INDEX('Margin Guidence Table'!$A$1:$AG$10000,MATCH(1,('Margin Guidence Table'!$A$1:$A$10000=JI32)*('Margin Guidence Table'!$I$1:$I$10000&lt;=ROUND($JA$3,0))*('Margin Guidence Table'!$J$1:$J$10000&gt;=ROUND($JA$3,0)),0),MATCH("MDA_MEDIAN_MARGIN_GUIDENCE",'Margin Guidence Table'!$A$1:$AG$1,0)),INDEX('Margin Guidence Table'!$A$1:$AG$10000,MATCH(1,('Margin Guidence Table'!$A$1:$A$10000=JI32)*('Margin Guidence Table'!$I$1:$I$10000&lt;=ROUND($JA$3,0))*('Margin Guidence Table'!$J$1:$J$10000&gt;=ROUND($JA$3,0)),0),MATCH("DEFAULT_MDA_MEDIAN_MARGIN_GUIDENCE",'Margin Guidence Table'!$A$1:$AG$1,0))),0)</f>
        <v>0</v>
      </c>
      <c r="JP32" s="1054">
        <f t="array" ref="JP32">IFERROR(IF($JK32="SEGMENT",INDEX('Margin Guidence Table'!$A$1:$AG$10000,MATCH(1,('Margin Guidence Table'!$A$1:$A$10000=JI32)*('Margin Guidence Table'!$I$1:$I$10000&lt;=ROUND($JA$3,0))*('Margin Guidence Table'!$J$1:$J$10000&gt;=ROUND($JA$3,0)),0),MATCH("MDA_MAX_MARGIN_GUIDENCE",'Margin Guidence Table'!$A$1:$AG$1,0)),INDEX('Margin Guidence Table'!$A$1:$AG$10000,MATCH(1,('Margin Guidence Table'!$A$1:$A$10000=JI32)*('Margin Guidence Table'!$I$1:$I$10000&lt;=ROUND($JA$3,0))*('Margin Guidence Table'!$J$1:$J$10000&gt;=ROUND($JA$3,0)),0),MATCH("DEFAULT_MDA_MAX_MARGIN_GUIDENCE",'Margin Guidence Table'!$A$1:$AG$1,0))),0)</f>
        <v>0</v>
      </c>
      <c r="JQ32" s="1054">
        <f t="array" ref="JQ32">IFERROR(IF($JK32="SEGMENT",INDEX('Margin Guidence Table'!$A$1:$AG$10000,MATCH(1,('Margin Guidence Table'!$A$1:$A$10000=JI32)*('Margin Guidence Table'!$I$1:$I$10000&lt;=ROUND($JA$3,0))*('Margin Guidence Table'!$J$1:$J$10000&gt;=ROUND($JA$3,0)),0),MATCH("PA_PCT_SALES",'Margin Guidence Table'!$A$1:$AG$1,0)),INDEX('Margin Guidence Table'!$A$1:$AG$10000,MATCH(1,('Margin Guidence Table'!$A$1:$A$10000=JI32)*('Margin Guidence Table'!$I$1:$I$10000&lt;=ROUND($JA$3,0))*('Margin Guidence Table'!$J$1:$J$10000&gt;=ROUND($JA$3,0)),0),MATCH("DEFAULT_PA_PCT_SALES",'Margin Guidence Table'!$A$1:$AG$1,0))),0)</f>
        <v>0</v>
      </c>
      <c r="JR32" s="1054">
        <f t="array" ref="JR32">IFERROR(IF($JK32="SEGMENT",INDEX('Margin Guidence Table'!$A$1:$AG$10000,MATCH(1,('Margin Guidence Table'!$A$1:$A$10000=JI32)*('Margin Guidence Table'!$I$1:$I$10000&lt;=ROUND($JA$3,0))*('Margin Guidence Table'!$J$1:$J$10000&gt;=ROUND($JA$3,0)),0),MATCH("SELF_FUND_PCT_SALES",'Margin Guidence Table'!$A$1:$AG$1,0)),INDEX('Margin Guidence Table'!$A$1:$AG$10000,MATCH(1,('Margin Guidence Table'!$A$1:$A$10000=JI32)*('Margin Guidence Table'!$I$1:$I$10000&lt;=ROUND($JA$3,0))*('Margin Guidence Table'!$J$1:$J$10000&gt;=ROUND($JA$3,0)),0),MATCH("DEFAULT_SELF_FUND_PCT_SALES",'Margin Guidence Table'!$A$1:$AG$1,0))),0)</f>
        <v>0</v>
      </c>
      <c r="JS32" s="1054">
        <f t="array" ref="JS32">IFERROR(IF($JK32="SEGMENT",INDEX('Margin Guidence Table'!$A$1:$AG$10000,MATCH(1,('Margin Guidence Table'!$A$1:$A$10000=JI32)*('Margin Guidence Table'!$I$1:$I$10000&lt;=ROUND($JA$3,0))*('Margin Guidence Table'!$J$1:$J$10000&gt;=ROUND($JA$3,0)),0),MATCH("CIA_MEDIAN_MARGIN_GUIDENCE",'Margin Guidence Table'!$A$1:$AG$1,0)),INDEX('Margin Guidence Table'!$A$1:$AG$10000,MATCH(1,('Margin Guidence Table'!$A$1:$A$10000=JI32)*('Margin Guidence Table'!$I$1:$I$10000&lt;=ROUND($JA$3,0))*('Margin Guidence Table'!$J$1:$J$10000&gt;=ROUND($JA$3,0)),0),MATCH("DEFAULT_CIA_MEDIAN_MARGIN_GUIDENCE",'Margin Guidence Table'!$A$1:$AG$1,0))),0)</f>
        <v>0</v>
      </c>
      <c r="JU32" s="100" t="s">
        <v>86</v>
      </c>
      <c r="JV32" s="95"/>
      <c r="JW32" s="87"/>
      <c r="JX32" s="87"/>
      <c r="JY32" s="87"/>
      <c r="JZ32" s="112"/>
      <c r="KA32" s="96"/>
      <c r="KB32" s="127"/>
      <c r="KD32" s="100" t="s">
        <v>86</v>
      </c>
      <c r="KE32" s="95"/>
      <c r="KF32" s="87"/>
      <c r="KG32" s="87"/>
      <c r="KH32" s="87"/>
      <c r="KI32" s="112"/>
      <c r="KJ32" s="96"/>
    </row>
    <row r="33" spans="2:296" ht="15.75" thickBot="1" x14ac:dyDescent="0.3">
      <c r="B33" s="100" t="s">
        <v>88</v>
      </c>
      <c r="C33" s="449">
        <f t="shared" si="11"/>
        <v>0</v>
      </c>
      <c r="D33" s="465">
        <f t="shared" si="12"/>
        <v>0</v>
      </c>
      <c r="E33" s="465">
        <f t="shared" si="13"/>
        <v>0</v>
      </c>
      <c r="F33" s="465">
        <f t="shared" si="14"/>
        <v>0</v>
      </c>
      <c r="G33" s="466">
        <f t="shared" si="15"/>
        <v>0</v>
      </c>
      <c r="H33" s="465">
        <f t="shared" si="16"/>
        <v>0</v>
      </c>
      <c r="I33" s="1046" t="e">
        <f t="shared" si="0"/>
        <v>#DIV/0!</v>
      </c>
      <c r="J33" s="1046" t="e">
        <f t="shared" si="1"/>
        <v>#DIV/0!</v>
      </c>
      <c r="K33" s="1046" t="e">
        <f t="shared" si="2"/>
        <v>#DIV/0!</v>
      </c>
      <c r="L33" s="465" t="e">
        <f t="shared" si="3"/>
        <v>#DIV/0!</v>
      </c>
      <c r="M33" s="465" t="e">
        <f t="shared" si="17"/>
        <v>#DIV/0!</v>
      </c>
      <c r="N33" s="1047" t="e">
        <f t="shared" si="4"/>
        <v>#DIV/0!</v>
      </c>
      <c r="P33" t="str">
        <f>'PIM Model'!E29</f>
        <v>INCLUDE</v>
      </c>
      <c r="Q33">
        <f t="shared" si="18"/>
        <v>0</v>
      </c>
      <c r="R33">
        <f t="shared" si="19"/>
        <v>0</v>
      </c>
      <c r="S33" s="100" t="s">
        <v>88</v>
      </c>
      <c r="T33" s="95">
        <f t="shared" si="20"/>
        <v>0</v>
      </c>
      <c r="U33" s="87">
        <f t="shared" si="5"/>
        <v>0</v>
      </c>
      <c r="V33" s="87">
        <f t="shared" si="6"/>
        <v>0</v>
      </c>
      <c r="W33" s="87">
        <f t="shared" si="7"/>
        <v>0</v>
      </c>
      <c r="X33" s="112">
        <f t="shared" si="8"/>
        <v>0</v>
      </c>
      <c r="Y33" s="115">
        <f t="shared" si="21"/>
        <v>0</v>
      </c>
      <c r="Z33" s="374"/>
      <c r="AA33" s="100" t="s">
        <v>88</v>
      </c>
      <c r="AB33" s="453">
        <f t="shared" si="9"/>
        <v>0</v>
      </c>
      <c r="AC33" s="454">
        <f t="shared" si="9"/>
        <v>0</v>
      </c>
      <c r="AD33" s="454">
        <f t="shared" si="9"/>
        <v>0</v>
      </c>
      <c r="AE33" s="455">
        <f t="shared" si="22"/>
        <v>0</v>
      </c>
      <c r="AF33" s="456">
        <f t="shared" si="23"/>
        <v>0</v>
      </c>
      <c r="AG33" s="374"/>
      <c r="AH33" s="100" t="s">
        <v>88</v>
      </c>
      <c r="AI33" s="453">
        <f t="shared" si="10"/>
        <v>0</v>
      </c>
      <c r="AJ33" s="450">
        <f t="shared" si="24"/>
        <v>0</v>
      </c>
      <c r="AK33" s="456"/>
      <c r="AL33" s="374"/>
      <c r="AM33" s="1" t="str">
        <f>IF('PIM Ranges'!$AK31='PIM Ranges'!$AW$11,IF($AI33&lt;'PIM Ranges'!$AX$11,"Q1",IF($AI33&lt;'PIM Ranges'!$AY$11,"Q2",IF($AI33&lt;'PIM Ranges'!$AZ$11,"Q3",IF($AI33&lt;'PIM Ranges'!$BA$11,"Q4","Q5")))),IF('PIM Ranges'!$AK31='PIM Ranges'!$AW$12,IF($AI33&lt;'PIM Ranges'!$AX$12,"Q1",IF($AI33&lt;'PIM Ranges'!$AY$12,"Q2",IF($AI33&lt;'PIM Ranges'!$AZ$12,"Q3",IF($AI33&lt;'PIM Ranges'!$BA$12,"Q4","Q5")))),IF('PIM Ranges'!$AK31='PIM Ranges'!$AW$13,IF($AI33&lt;'PIM Ranges'!$AX$13,"Q1",IF($AI33&lt;'PIM Ranges'!$AY$13,"Q2",IF($AI33&lt;'PIM Ranges'!$AZ$13,"Q3",IF($AI33&lt;'PIM Ranges'!$BA$13,"Q4","Q5")))),IF('PIM Ranges'!$AK31='PIM Ranges'!$AW$14,IF($AI33&lt;'PIM Ranges'!$AX$14,"Q1",IF($AI33&lt;'PIM Ranges'!$AY$14,"Q2",IF($AI33&lt;'PIM Ranges'!$AZ$14,"Q3",IF($AI33&lt;'PIM Ranges'!$BA$14,"Q4","Q5")))),IF('PIM Ranges'!$AK31='PIM Ranges'!$AW$15,IF($AI33&lt;'PIM Ranges'!$AX$15,"Q1",IF($AI33&lt;'PIM Ranges'!$AY$15,"Q2",IF($AI33&lt;'PIM Ranges'!$AZ$15,"Q3",IF($AI33&lt;'PIM Ranges'!$BA$15,"Q4","Q5")))),IF('PIM Ranges'!$AK31='PIM Ranges'!$AW$16,IF($AI33&lt;'PIM Ranges'!$AX$16,"Q1",IF($AI33&lt;'PIM Ranges'!$AY$16,"Q2",IF($AI33&lt;'PIM Ranges'!$AZ$16,"Q3",IF($AI33&lt;'PIM Ranges'!$BA$16,"Q4","Q5")))),IF('PIM Ranges'!$AK31='PIM Ranges'!$AW$17,IF($AI33&lt;'PIM Ranges'!$AX$17,"Q1",IF($AI33&lt;'PIM Ranges'!$AY$17,"Q2",IF($AI33&lt;'PIM Ranges'!$AZ$17,"Q3",IF($AI33&lt;'PIM Ranges'!$BA$17,"Q4","Q5")))),IF('PIM Ranges'!$AK31='PIM Ranges'!$AW$18,IF($AI33&lt;'PIM Ranges'!$AX$18,"Q1",IF($AI33&lt;'PIM Ranges'!$AY$18,"Q2",IF($AI33&lt;'PIM Ranges'!$AZ$18,"Q3",IF($AI33&lt;'PIM Ranges'!$BA$18,"Q4","Q5")))),IF('PIM Ranges'!$AK31='PIM Ranges'!$AW$19,IF($AI33&lt;'PIM Ranges'!$AX$19,"Q1",IF($AI33&lt;'PIM Ranges'!$AY$19,"Q2",IF($AI33&lt;'PIM Ranges'!$AZ$19,"Q3",IF($AI33&lt;'PIM Ranges'!$BA$19,"Q4","Q5")))),IF('PIM Ranges'!$AK31='PIM Ranges'!$AW$20,IF($AI33&lt;'PIM Ranges'!$AX$20,"Q1",IF($AI33&lt;'PIM Ranges'!$AY$20,"Q2",IF($AI33&lt;'PIM Ranges'!$AZ$20,"Q3",IF($AI33&lt;'PIM Ranges'!$BA$20,"Q4","Q5")))),IF('PIM Ranges'!$AK31='PIM Ranges'!$AW$21,IF($AI33&lt;'PIM Ranges'!$AX$21,"Q1",IF($AI33&lt;'PIM Ranges'!$AY$21,"Q2",IF($AI33&lt;'PIM Ranges'!$AZ$21,"Q3",IF($AI33&lt;'PIM Ranges'!$BA$21,"Q4","Q5")))),IF('PIM Ranges'!$AK31='PIM Ranges'!$AW$22,IF($AI33&lt;'PIM Ranges'!$AX$22,"Q1",IF($AI33&lt;'PIM Ranges'!$AY$22,"Q2",IF($AI33&lt;'PIM Ranges'!$AZ$22,"Q3",IF($AI33&lt;'PIM Ranges'!$BA$22,"Q4","Q5")))),IF('PIM Ranges'!$AK31='PIM Ranges'!$AW$23,IF($AI33&lt;'PIM Ranges'!$AX$23,"Q1",IF($AI33&lt;'PIM Ranges'!$AY$23,"Q2",IF($AI33&lt;'PIM Ranges'!$AZ$23,"Q3",IF($AI33&lt;'PIM Ranges'!$BA$23,"Q4","Q5")))),IF('PIM Ranges'!$AK31='PIM Ranges'!$AW$24,IF($AI33&lt;'PIM Ranges'!$AX$24,"Q1",IF($AI33&lt;'PIM Ranges'!$AY$24,"Q2",IF($AI33&lt;'PIM Ranges'!$AZ$24,"Q3",IF($AI33&lt;'PIM Ranges'!$BA$24,"Q4","Q5")))),IF('PIM Ranges'!$AK31='PIM Ranges'!$AW$25,IF($AI33&lt;'PIM Ranges'!$AX$25,"Q1",IF($AI33&lt;'PIM Ranges'!$AY$25,"Q2",IF($AI33&lt;'PIM Ranges'!$AZ$25,"Q3",IF($AI33&lt;'PIM Ranges'!$BA$25,"Q4","Q5")))),IF('PIM Ranges'!$AK31='PIM Ranges'!$AW$26,IF($AI33&lt;'PIM Ranges'!$AX$26,"Q1",IF($AI33&lt;'PIM Ranges'!$AY$26,"Q2",IF($AI33&lt;'PIM Ranges'!$AZ$26,"Q3",IF($AI33&lt;'PIM Ranges'!$BA$26,"Q4","Q5")))),IF('PIM Ranges'!$AK31='PIM Ranges'!$AW$27,IF($AI33&lt;'PIM Ranges'!$AX$27,"Q1",IF($AI33&lt;'PIM Ranges'!$AY$27,"Q2",IF($AI33&lt;'PIM Ranges'!$AZ$27,"Q3",IF($AI33&lt;'PIM Ranges'!$BA$27,"Q4","Q5")))),IF('PIM Ranges'!$AK31='PIM Ranges'!$AW$28,IF($AI33&lt;'PIM Ranges'!$AX$28,"Q1",IF($AI33&lt;'PIM Ranges'!$AY$28,"Q2",IF($AI33&lt;'PIM Ranges'!$AZ$28,"Q3",IF($AI33&lt;'PIM Ranges'!$BA$28,"Q4","Q5")))),IF('PIM Ranges'!$AK31='PIM Ranges'!$AW$29,IF($AI33&lt;'PIM Ranges'!$AX$29,"Q1",IF($AI33&lt;'PIM Ranges'!$AY$29,"Q2",IF($AI33&lt;'PIM Ranges'!$AZ$29,"Q3",IF($AI33&lt;'PIM Ranges'!$BA$29,"Q4","Q5")))),IF('PIM Ranges'!$AK31='PIM Ranges'!$AW$30,IF($AI33&lt;'PIM Ranges'!$AX$30,"Q1",IF($AI33&lt;'PIM Ranges'!$AY$30,"Q2",IF($AI33&lt;'PIM Ranges'!$AZ$30,"Q3",IF($AI33&lt;'PIM Ranges'!$BA$30,"Q4","Q5")))),IF('PIM Ranges'!$AK31='PIM Ranges'!$AW$31,IF($AI33&lt;'PIM Ranges'!$AX$31,"Q1",IF($AI33&lt;'PIM Ranges'!$AY$31,"Q2",IF($AI33&lt;'PIM Ranges'!$AZ$31,"Q3",IF($AI33&lt;'PIM Ranges'!$BA$31,"Q4","Q5")))),IF('PIM Ranges'!$AK31='PIM Ranges'!$AW$32,IF($AI33&lt;'PIM Ranges'!$AX$32,"Q1",IF($AI33&lt;'PIM Ranges'!$AY$32,"Q2",IF($AI33&lt;'PIM Ranges'!$AZ$32,"Q3",IF($AI33&lt;'PIM Ranges'!$BA$32,"Q4","Q5"))))))))))))))))))))))))))</f>
        <v>Q1</v>
      </c>
      <c r="AN33" s="374">
        <f>VLOOKUP($AH33&amp;$AM33,'IMargin Quartiles'!$A:$F,6,FALSE)</f>
        <v>0.13</v>
      </c>
      <c r="AO33" s="374"/>
      <c r="AP33"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Q33" s="374" t="e">
        <f t="shared" si="25"/>
        <v>#DIV/0!</v>
      </c>
      <c r="AR33">
        <f>'PIM Model'!C29</f>
        <v>0</v>
      </c>
      <c r="AS33" s="374"/>
      <c r="AT33" s="374"/>
      <c r="AU33" s="374" t="e">
        <f t="shared" si="46"/>
        <v>#DIV/0!</v>
      </c>
      <c r="AV33" s="374"/>
      <c r="AW33" s="374"/>
      <c r="AX33" s="106">
        <v>22</v>
      </c>
      <c r="AY33" s="18">
        <f t="array" ref="AY33">IFERROR(IF($BL33="SEGMENT",INDEX('Margin Guidence Table'!$A$1:$AG$10000,MATCH(1,('Margin Guidence Table'!$A$1:$A$10000=$BJ33)*('Margin Guidence Table'!$I$1:$I$10000&lt;=ROUND($BB$3,0))*('Margin Guidence Table'!$J$1:$J$10000&gt;=ROUND($BB$3,0)),0),MATCH("PCT_SALES",'Margin Guidence Table'!$A$1:$AG$1,0)),INDEX('Margin Guidence Table'!$A$1:$AG$10000,MATCH(1,('Margin Guidence Table'!$A$1:$A$10000=$BJ33)*('Margin Guidence Table'!$I$1:$I$10000&lt;=ROUND($BB$3,0))*('Margin Guidence Table'!$J$1:$J$10000&gt;=ROUND($BB$3,0)),0),MATCH("DEFAULT_PCT_SALES",'Margin Guidence Table'!$A$1:$AG$1,0))),0)</f>
        <v>0</v>
      </c>
      <c r="AZ33" s="370" t="e">
        <f t="shared" si="26"/>
        <v>#DIV/0!</v>
      </c>
      <c r="BA33" s="100" t="s">
        <v>88</v>
      </c>
      <c r="BB33" s="92">
        <f>IFERROR(IF(AND($BB$2&lt;&gt;"Enter Spend&gt;&gt;&gt;",BC21="EXISTING"),SUMIFS('Existing Customers'!$Q:$Q,'Existing Customers'!$A:$A,$BB$1,'Existing Customers'!$H:$H,$BA33)*$BB$4,$BB$3*$AZ33),0)</f>
        <v>0</v>
      </c>
      <c r="BC33" s="93">
        <f>IFERROR(IF(AND($BB$2&lt;&gt;"Enter Spend&gt;&gt;&gt;",BC2="EXISTING"),SUMIFS('Existing Customers'!$N:$N,'Existing Customers'!$A:$A,$BB$1,'Existing Customers'!$H:$H,$BA33)*$BB$4,$BB33/$BM33),0)</f>
        <v>0</v>
      </c>
      <c r="BD33" s="93">
        <f>IFERROR(IF(AND($BB$2&lt;&gt;"Enter Spend&gt;&gt;&gt;",BC2="EXISTING"),SUMIFS('Existing Customers'!$O:$O,'Existing Customers'!$H:$H,$BA33,'Existing Customers'!$A:$A,$BB$1)*$BB$4,$BC33*$BB$8),0)</f>
        <v>0</v>
      </c>
      <c r="BE33" s="93">
        <f>IFERROR(IF(AND($BB$2&lt;&gt;"Enter Spend&gt;&gt;&gt;",BC2="EXISTING"),SUMIFS('Existing Customers'!$P:$P,'Existing Customers'!$A:$A,$BB$1,'Existing Customers'!$H:$H,$BA33)*$BB$4,$BB33/$BN33),0)</f>
        <v>0</v>
      </c>
      <c r="BF33" s="376">
        <f>IFERROR(IF(AND($BB$2&lt;&gt;"Enter Spend&gt;&gt;&gt;",BC2="EXISTING"),SUMIFS('Existing Customers'!$V:$V,'Existing Customers'!$H:$H,$BA33,'Existing Customers'!$A:$A,$BB$1)*$BB$4,0),0)</f>
        <v>0</v>
      </c>
      <c r="BG33" s="94">
        <f>IFERROR(IF(AND($BB$2&lt;&gt;"Enter Spend&gt;&gt;&gt;",BC2="EXISTING"),SUMIFS('Existing Customers'!$R:$R,'Existing Customers'!$H:$H,$BA33,'Existing Customers'!$A:$A,$BB$1)*$BB$4,0),0)</f>
        <v>0</v>
      </c>
      <c r="BH33" s="94">
        <f>IFERROR(IF(AND($BB$2&lt;&gt;"Enter Spend&gt;&gt;&gt;",BC2="EXISTING"),SUMIFS('Existing Customers'!$S:$S,'Existing Customers'!$H:$H,$BA33,'Existing Customers'!$A:$A,$BB$1),BR33*BB33),0)</f>
        <v>0</v>
      </c>
      <c r="BI33" s="94">
        <f>IFERROR(IF(AND($BB$2&lt;&gt;"Enter Spend&gt;&gt;&gt;",BC2="EXISTING"),SUMIFS('Existing Customers'!$U:$U,'Existing Customers'!$H:$H,$BA33,'Existing Customers'!$A:$A,$BB$1),BS33*BB33),0)</f>
        <v>0</v>
      </c>
      <c r="BJ33" s="1052" t="e">
        <f>_xlfn.CONCAT('Customer Inputs'!$AG$6,"_",BA33)</f>
        <v>#N/A</v>
      </c>
      <c r="BK33" s="1053">
        <f t="array" ref="BK33">IFERROR(INDEX('Margin Guidence Table'!$A$1:$AG$10000,MATCH(1,('Margin Guidence Table'!$A$1:$A$10000=$BJ33)*('Margin Guidence Table'!$I$1:$I$10000&lt;=ROUND($BB$3,0))*('Margin Guidence Table'!$J$1:$J$10000&gt;=ROUND($BB$3,0)),0),MATCH("DATA_POINTS",'Margin Guidence Table'!$A$1:$AG$1,0)),0)</f>
        <v>0</v>
      </c>
      <c r="BL33" s="1050" t="str">
        <f t="shared" si="27"/>
        <v>DEFAULT</v>
      </c>
      <c r="BM33" s="1050">
        <f t="array" ref="BM33">IFERROR(IF($BL33="SEGMENT",INDEX('Margin Guidence Table'!$A$1:$AG$10000,MATCH(1,('Margin Guidence Table'!$A$1:$A$10000=$BJ33)*('Margin Guidence Table'!$I$1:$I$10000&lt;=ROUND($BB$3,0))*('Margin Guidence Table'!$J$1:$J$10000&gt;=ROUND($BB$3,0)),0),MATCH("SALES_CASE",'Margin Guidence Table'!$A$1:$AG$1,0)),INDEX('Margin Guidence Table'!$A$1:$AG$10000,MATCH(1,('Margin Guidence Table'!$A$1:$A$10000=$BJ33)*('Margin Guidence Table'!$I$1:$I$10000&lt;=ROUND($BB$3,0))*('Margin Guidence Table'!$J$1:$J$10000&gt;=ROUND($BB$3,0)),0),MATCH("DEFAULT_SALES_CASE",'Margin Guidence Table'!$A$1:$AG$1,0))),0)</f>
        <v>0</v>
      </c>
      <c r="BN33" s="1050">
        <f t="array" ref="BN33">IFERROR(IF($BL33="SEGMENT",INDEX('Margin Guidence Table'!$A$1:$AG$10000,MATCH(1,('Margin Guidence Table'!$A$1:$A$10000=$BJ33)*('Margin Guidence Table'!$I$1:$I$10000&lt;=ROUND($BB$3,0))*('Margin Guidence Table'!$J$1:$J$10000&gt;=ROUND($BB$3,0)),0),MATCH("SALES_LBS",'Margin Guidence Table'!$A$1:$AG$1,0)),INDEX('Margin Guidence Table'!$A$1:$AG$10000,MATCH(1,('Margin Guidence Table'!$A$1:$A$10000=$BJ33)*('Margin Guidence Table'!$I$1:$I$10000&lt;=ROUND($BB$3,0))*('Margin Guidence Table'!$J$1:$J$10000&gt;=ROUND($BB$3,0)),0),MATCH("DEFAULT_SALES_LBS",'Margin Guidence Table'!$A$1:$AG$1,0))),0)</f>
        <v>0</v>
      </c>
      <c r="BO33" s="1054">
        <f t="array" ref="BO33">IFERROR(IF($BL33="SEGMENT",INDEX('Margin Guidence Table'!$A$1:$AG$10000,MATCH(1,('Margin Guidence Table'!$A$1:$A$10000=$BJ33)*('Margin Guidence Table'!$I$1:$I$10000&lt;=ROUND($BB$3,0))*('Margin Guidence Table'!$J$1:$J$10000&gt;=ROUND($BB$3,0)),0),MATCH("MDA_MIN_MARGIN_GUIDENCE",'Margin Guidence Table'!$A$1:$AG$1,0)),INDEX('Margin Guidence Table'!$A$1:$AG$10000,MATCH(1,('Margin Guidence Table'!$A$1:$A$10000=$BJ33)*('Margin Guidence Table'!$I$1:$I$10000&lt;=ROUND($BB$3,0))*('Margin Guidence Table'!$J$1:$J$10000&gt;=ROUND($BB$3,0)),0),MATCH("DEFAULT_MDA_MIN_MARGIN_GUIDENCE",'Margin Guidence Table'!$A$1:$AG$1,0))),0)</f>
        <v>0</v>
      </c>
      <c r="BP33" s="1054">
        <f t="array" ref="BP33">IFERROR(IF($BL33="SEGMENT",INDEX('Margin Guidence Table'!$A$1:$AG$10000,MATCH(1,('Margin Guidence Table'!$A$1:$A$10000=$BJ33)*('Margin Guidence Table'!$I$1:$I$10000&lt;=ROUND($BB$3,0))*('Margin Guidence Table'!$J$1:$J$10000&gt;=ROUND($BB$3,0)),0),MATCH("MDA_MEDIAN_MARGIN_GUIDENCE",'Margin Guidence Table'!$A$1:$AG$1,0)),INDEX('Margin Guidence Table'!$A$1:$AG$10000,MATCH(1,('Margin Guidence Table'!$A$1:$A$10000=$BJ33)*('Margin Guidence Table'!$I$1:$I$10000&lt;=ROUND($BB$3,0))*('Margin Guidence Table'!$J$1:$J$10000&gt;=ROUND($BB$3,0)),0),MATCH("DEFAULT_MDA_MEDIAN_MARGIN_GUIDENCE",'Margin Guidence Table'!$A$1:$AG$1,0))),0)</f>
        <v>0</v>
      </c>
      <c r="BQ33" s="1054">
        <f t="array" ref="BQ33">IFERROR(IF($BL33="SEGMENT",INDEX('Margin Guidence Table'!$A$1:$AG$10000,MATCH(1,('Margin Guidence Table'!$A$1:$A$10000=$BJ33)*('Margin Guidence Table'!$I$1:$I$10000&lt;=ROUND($BB$3,0))*('Margin Guidence Table'!$J$1:$J$10000&gt;=ROUND($BB$3,0)),0),MATCH("MDA_MAX_MARGIN_GUIDENCE",'Margin Guidence Table'!$A$1:$AG$1,0)),INDEX('Margin Guidence Table'!$A$1:$AG$10000,MATCH(1,('Margin Guidence Table'!$A$1:$A$10000=$BJ33)*('Margin Guidence Table'!$I$1:$I$10000&lt;=ROUND($BB$3,0))*('Margin Guidence Table'!$J$1:$J$10000&gt;=ROUND($BB$3,0)),0),MATCH("DEFAULT_MDA_MAX_MARGIN_GUIDENCE",'Margin Guidence Table'!$A$1:$AG$1,0))),0)</f>
        <v>0</v>
      </c>
      <c r="BR33" s="1054">
        <f t="array" ref="BR33">IFERROR(IF($BL33="SEGMENT",INDEX('Margin Guidence Table'!$A$1:$AG$10000,MATCH(1,('Margin Guidence Table'!$A$1:$A$10000=$BJ33)*('Margin Guidence Table'!$I$1:$I$10000&lt;=ROUND($BB$3,0))*('Margin Guidence Table'!$J$1:$J$10000&gt;=ROUND($BB$3,0)),0),MATCH("PA_PCT_SALES",'Margin Guidence Table'!$A$1:$AG$1,0)),INDEX('Margin Guidence Table'!$A$1:$AG$10000,MATCH(1,('Margin Guidence Table'!$A$1:$A$10000=$BJ33)*('Margin Guidence Table'!$I$1:$I$10000&lt;=ROUND($BB$3,0))*('Margin Guidence Table'!$J$1:$J$10000&gt;=ROUND($BB$3,0)),0),MATCH("DEFAULT_PA_PCT_SALES",'Margin Guidence Table'!$A$1:$AG$1,0))),0)</f>
        <v>0</v>
      </c>
      <c r="BS33" s="1054">
        <f t="array" ref="BS33">IFERROR(IF($BL33="SEGMENT",INDEX('Margin Guidence Table'!$A$1:$AG$10000,MATCH(1,('Margin Guidence Table'!$A$1:$A$10000=$BJ33)*('Margin Guidence Table'!$I$1:$I$10000&lt;=ROUND($BB$3,0))*('Margin Guidence Table'!$J$1:$J$10000&gt;=ROUND($BB$3,0)),0),MATCH("SELF_FUND_PCT_SALES",'Margin Guidence Table'!$A$1:$AG$1,0)),INDEX('Margin Guidence Table'!$A$1:$AG$10000,MATCH(1,('Margin Guidence Table'!$A$1:$A$10000=$BJ33)*('Margin Guidence Table'!$I$1:$I$10000&lt;=ROUND($BB$3,0))*('Margin Guidence Table'!$J$1:$J$10000&gt;=ROUND($BB$3,0)),0),MATCH("DEFAULT_SELF_FUND_PCT_SALES",'Margin Guidence Table'!$A$1:$AG$1,0))),0)</f>
        <v>0</v>
      </c>
      <c r="BT33" s="1054">
        <f t="array" ref="BT33">IFERROR(IF($BL33="SEGMENT",INDEX('Margin Guidence Table'!$A$1:$AG$10000,MATCH(1,('Margin Guidence Table'!$A$1:$A$10000=$BJ33)*('Margin Guidence Table'!$I$1:$I$10000&lt;=ROUND($BB$3,0))*('Margin Guidence Table'!$J$1:$J$10000&gt;=ROUND($BB$3,0)),0),MATCH("CIA_MEDIAN_MARGIN_GUIDENCE",'Margin Guidence Table'!$A$1:$AG$1,0)),INDEX('Margin Guidence Table'!$A$1:$AG$10000,MATCH(1,('Margin Guidence Table'!$A$1:$A$10000=$BJ33)*('Margin Guidence Table'!$I$1:$I$10000&lt;=ROUND($BB$3,0))*('Margin Guidence Table'!$J$1:$J$10000&gt;=ROUND($BB$3,0)),0),MATCH("DEFAULT_CIA_MEDIAN_MARGIN_GUIDENCE",'Margin Guidence Table'!$A$1:$AG$1,0))),0)</f>
        <v>0</v>
      </c>
      <c r="BU33" s="127"/>
      <c r="BV33" s="18">
        <f t="array" ref="BV33">IFERROR(IF($CI33="SEGMENT",INDEX('Margin Guidence Table'!$A$1:$AG$10000,MATCH(1,('Margin Guidence Table'!$A$1:$A$10000=$CG33)*('Margin Guidence Table'!$I$1:$I$10000&lt;=ROUND($BY$3,0))*('Margin Guidence Table'!$J$1:$J$10000&gt;=ROUND($BY$3,0)),0),MATCH("PCT_SALES",'Margin Guidence Table'!$A$1:$AG$1,0)),INDEX('Margin Guidence Table'!$A$1:$AG$10000,MATCH(1,('Margin Guidence Table'!$A$1:$A$10000=$CG33)*('Margin Guidence Table'!$I$1:$I$10000&lt;=ROUND($BY$3,0))*('Margin Guidence Table'!$J$1:$J$10000&gt;=ROUND($BY$3,0)),0),MATCH("DEFAULT_PCT_SALES",'Margin Guidence Table'!$A$1:$AG$1,0))),0)</f>
        <v>0</v>
      </c>
      <c r="BW33" s="370" t="e">
        <f t="shared" si="28"/>
        <v>#DIV/0!</v>
      </c>
      <c r="BX33" s="100" t="s">
        <v>88</v>
      </c>
      <c r="BY33" s="92">
        <f>IFERROR(IF(AND($BY$2&lt;&gt;"Enter Spend&gt;&gt;&gt;",BZ21="EXISTING"),SUMIFS('Existing Customers'!$Q:$Q,'Existing Customers'!$A:$A,$BY$1,'Existing Customers'!$H:$H,$BX33)*$BY$4,$BY$3*$BW33),0)</f>
        <v>0</v>
      </c>
      <c r="BZ33" s="87">
        <f>IFERROR(IF(AND($BY$2&lt;&gt;"Enter Spend&gt;&gt;&gt;",BZ2="EXISTING"),SUMIFS('Existing Customers'!$N:$N,'Existing Customers'!$A:$A,$BY$1,'Existing Customers'!$H:$H,$BX33)*$BY$4,$BY33/$CJ33),0)</f>
        <v>0</v>
      </c>
      <c r="CA33" s="93">
        <f>IFERROR(IF(AND($BY$2&lt;&gt;"Enter Spend&gt;&gt;&gt;",BZ2="EXISTING"),SUMIFS('Existing Customers'!$O:$O,'Existing Customers'!$H:$H,$BX33,'Existing Customers'!$A:$A,$BY$1)*$BY$4,$BZ33*$BY$8),0)</f>
        <v>0</v>
      </c>
      <c r="CB33" s="93">
        <f>IFERROR(IF(AND($BY$2&lt;&gt;"Enter Spend&gt;&gt;&gt;",BZ2="EXISTING"),SUMIFS('Existing Customers'!$P:$P,'Existing Customers'!$A:$A,$BY$1,'Existing Customers'!$H:$H,$BX33)*$BY$4,$BY33/$CK33),0)</f>
        <v>0</v>
      </c>
      <c r="CC33" s="94">
        <f>IFERROR(IF(AND($BY$2&lt;&gt;"Enter Spend&gt;&gt;&gt;",BZ2="EXISTING"),SUMIFS('Existing Customers'!$V:$V,'Existing Customers'!$H:$H,$BX33,'Existing Customers'!$A:$A,$BY$1)*$BY$4,0),0)</f>
        <v>0</v>
      </c>
      <c r="CD33" s="94">
        <f>IFERROR(IF(AND($BY$2&lt;&gt;"Enter Spend&gt;&gt;&gt;",BZ2="EXISTING"),SUMIFS('Existing Customers'!$R:$R,'Existing Customers'!$H:$H,$BX33,'Existing Customers'!$A:$A,$BY$1)*$BY$4,0),0)</f>
        <v>0</v>
      </c>
      <c r="CE33" s="1050">
        <f>IFERROR(IF(AND($BY$2&lt;&gt;"Enter Spend&gt;&gt;&gt;",BZ2="EXISTING"),SUMIFS('Existing Customers'!$S:$S,'Existing Customers'!$H:$H,$BX33,'Existing Customers'!$A:$A,$BY$1),CO33*BY33),0)</f>
        <v>0</v>
      </c>
      <c r="CF33" s="1050">
        <f>IFERROR(IF(AND($BY$2&lt;&gt;"Enter Spend&gt;&gt;&gt;",BZ2="EXISTING"),SUMIFS('Existing Customers'!$U:$U,'Existing Customers'!$H:$H,$BX33,'Existing Customers'!$A:$A,$BY$1),CP33*BY33),0)</f>
        <v>0</v>
      </c>
      <c r="CG33" s="1053" t="e">
        <f>_xlfn.CONCAT('Customer Inputs'!$AG$7,"_",BX33)</f>
        <v>#N/A</v>
      </c>
      <c r="CH33" s="1053">
        <f t="array" ref="CH33">IFERROR(INDEX('Margin Guidence Table'!$A$1:$AG$10000,MATCH(1,('Margin Guidence Table'!$A$1:$A$10000=$CG33)*('Margin Guidence Table'!$I$1:$I$10000&lt;=ROUND($BY$3,0))*('Margin Guidence Table'!$J$1:$J$10000&gt;=ROUND($BY$3,0)),0),MATCH("DATA_POINTS",'Margin Guidence Table'!$A$1:$AG$1,0)),0)</f>
        <v>0</v>
      </c>
      <c r="CI33" s="1050" t="str">
        <f t="shared" si="29"/>
        <v>DEFAULT</v>
      </c>
      <c r="CJ33" s="1050">
        <f t="array" ref="CJ33">IFERROR(IF($CI33="SEGMENT",INDEX('Margin Guidence Table'!$A$1:$AG$10000,MATCH(1,('Margin Guidence Table'!$A$1:$A$10000=$CG33)*('Margin Guidence Table'!$I$1:$I$10000&lt;=ROUND($BY$3,0))*('Margin Guidence Table'!$J$1:$J$10000&gt;=ROUND($BY$3,0)),0),MATCH("SALES_CASE",'Margin Guidence Table'!$A$1:$AG$1,0)),INDEX('Margin Guidence Table'!$A$1:$AG$10000,MATCH(1,('Margin Guidence Table'!$A$1:$A$10000=$CG33)*('Margin Guidence Table'!$I$1:$I$10000&lt;=ROUND($BY$3,0))*('Margin Guidence Table'!$J$1:$J$10000&gt;=ROUND($BY$3,0)),0),MATCH("DEFAULT_SALES_CASE",'Margin Guidence Table'!$A$1:$AG$1,0))),0)</f>
        <v>0</v>
      </c>
      <c r="CK33" s="1050">
        <f t="array" ref="CK33">IFERROR(IF($CI33="SEGMENT",INDEX('Margin Guidence Table'!$A$1:$AG$10000,MATCH(1,('Margin Guidence Table'!$A$1:$A$10000=$CG33)*('Margin Guidence Table'!$I$1:$I$10000&lt;=ROUND($BY$3,0))*('Margin Guidence Table'!$J$1:$J$10000&gt;=ROUND($BY$3,0)),0),MATCH("SALES_LBS",'Margin Guidence Table'!$A$1:$AG$1,0)),INDEX('Margin Guidence Table'!$A$1:$AG$10000,MATCH(1,('Margin Guidence Table'!$A$1:$A$10000=$CG33)*('Margin Guidence Table'!$I$1:$I$10000&lt;=ROUND($BY$3,0))*('Margin Guidence Table'!$J$1:$J$10000&gt;=ROUND($BY$3,0)),0),MATCH("DEFAULT_SALES_LBS",'Margin Guidence Table'!$A$1:$AG$1,0))),0)</f>
        <v>0</v>
      </c>
      <c r="CL33" s="1054">
        <f t="array" ref="CL33">IFERROR(IF($CI33="SEGMENT",INDEX('Margin Guidence Table'!$A$1:$AG$10000,MATCH(1,('Margin Guidence Table'!$A$1:$A$10000=$CG33)*('Margin Guidence Table'!$I$1:$I$10000&lt;=ROUND($BY$3,0))*('Margin Guidence Table'!$J$1:$J$10000&gt;=ROUND($BY$3,0)),0),MATCH("MDA_MIN_MARGIN_GUIDENCE",'Margin Guidence Table'!$A$1:$AG$1,0)),INDEX('Margin Guidence Table'!$A$1:$AG$10000,MATCH(1,('Margin Guidence Table'!$A$1:$A$10000=$CG33)*('Margin Guidence Table'!$I$1:$I$10000&lt;=ROUND($BY$3,0))*('Margin Guidence Table'!$J$1:$J$10000&gt;=ROUND($BY$3,0)),0),MATCH("DEFAULT_MDA_MIN_MARGIN_GUIDENCE",'Margin Guidence Table'!$A$1:$AG$1,0))),0)</f>
        <v>0</v>
      </c>
      <c r="CM33" s="1054">
        <f t="array" ref="CM33">IFERROR(IF($CI33="SEGMENT",INDEX('Margin Guidence Table'!$A$1:$AG$10000,MATCH(1,('Margin Guidence Table'!$A$1:$A$10000=$CG33)*('Margin Guidence Table'!$I$1:$I$10000&lt;=ROUND($BY$3,0))*('Margin Guidence Table'!$J$1:$J$10000&gt;=ROUND($BY$3,0)),0),MATCH("MDA_MEDIAN_MARGIN_GUIDENCE",'Margin Guidence Table'!$A$1:$AG$1,0)),INDEX('Margin Guidence Table'!$A$1:$AG$10000,MATCH(1,('Margin Guidence Table'!$A$1:$A$10000=$CG33)*('Margin Guidence Table'!$I$1:$I$10000&lt;=ROUND($BY$3,0))*('Margin Guidence Table'!$J$1:$J$10000&gt;=ROUND($BY$3,0)),0),MATCH("DEFAULT_MDA_MEDIAN_MARGIN_GUIDENCE",'Margin Guidence Table'!$A$1:$AG$1,0))),0)</f>
        <v>0</v>
      </c>
      <c r="CN33" s="1054">
        <f t="array" ref="CN33">IFERROR(IF($CI33="SEGMENT",INDEX('Margin Guidence Table'!$A$1:$AG$10000,MATCH(1,('Margin Guidence Table'!$A$1:$A$10000=$CG33)*('Margin Guidence Table'!$I$1:$I$10000&lt;=ROUND($BY$3,0))*('Margin Guidence Table'!$J$1:$J$10000&gt;=ROUND($BY$3,0)),0),MATCH("MDA_MAX_MARGIN_GUIDENCE",'Margin Guidence Table'!$A$1:$AG$1,0)),INDEX('Margin Guidence Table'!$A$1:$AG$10000,MATCH(1,('Margin Guidence Table'!$A$1:$A$10000=$CG33)*('Margin Guidence Table'!$I$1:$I$10000&lt;=ROUND($BY$3,0))*('Margin Guidence Table'!$J$1:$J$10000&gt;=ROUND($BY$3,0)),0),MATCH("DEFAULT_MDA_MAX_MARGIN_GUIDENCE",'Margin Guidence Table'!$A$1:$AG$1,0))),0)</f>
        <v>0</v>
      </c>
      <c r="CO33" s="1054">
        <f t="array" ref="CO33">IFERROR(IF($CI33="SEGMENT",INDEX('Margin Guidence Table'!$A$1:$AG$10000,MATCH(1,('Margin Guidence Table'!$A$1:$A$10000=$CG33)*('Margin Guidence Table'!$I$1:$I$10000&lt;=ROUND($BY$3,0))*('Margin Guidence Table'!$J$1:$J$10000&gt;=ROUND($BY$3,0)),0),MATCH("PA_PCT_SALES",'Margin Guidence Table'!$A$1:$AG$1,0)),INDEX('Margin Guidence Table'!$A$1:$AG$10000,MATCH(1,('Margin Guidence Table'!$A$1:$A$10000=$CG33)*('Margin Guidence Table'!$I$1:$I$10000&lt;=ROUND($BY$3,0))*('Margin Guidence Table'!$J$1:$J$10000&gt;=ROUND($BY$3,0)),0),MATCH("DEFAULT_PA_PCT_SALES",'Margin Guidence Table'!$A$1:$AG$1,0))),0)</f>
        <v>0</v>
      </c>
      <c r="CP33" s="1054">
        <f t="array" ref="CP33">IFERROR(IF($CI33="SEGMENT",INDEX('Margin Guidence Table'!$A$1:$AG$10000,MATCH(1,('Margin Guidence Table'!$A$1:$A$10000=$CG33)*('Margin Guidence Table'!$I$1:$I$10000&lt;=ROUND($BY$3,0))*('Margin Guidence Table'!$J$1:$J$10000&gt;=ROUND($BY$3,0)),0),MATCH("SELF_FUND_PCT_SALES",'Margin Guidence Table'!$A$1:$AG$1,0)),INDEX('Margin Guidence Table'!$A$1:$AG$10000,MATCH(1,('Margin Guidence Table'!$A$1:$A$10000=$CG33)*('Margin Guidence Table'!$I$1:$I$10000&lt;=ROUND($BY$3,0))*('Margin Guidence Table'!$J$1:$J$10000&gt;=ROUND($BY$3,0)),0),MATCH("DEFAULT_SELF_FUND_PCT_SALES",'Margin Guidence Table'!$A$1:$AG$1,0))),0)</f>
        <v>0</v>
      </c>
      <c r="CQ33" s="1054">
        <f t="array" ref="CQ33">IFERROR(IF($CI33="SEGMENT",INDEX('Margin Guidence Table'!$A$1:$AG$10000,MATCH(1,('Margin Guidence Table'!$A$1:$A$10000=$CG33)*('Margin Guidence Table'!$I$1:$I$10000&lt;=ROUND($BY$3,0))*('Margin Guidence Table'!$J$1:$J$10000&gt;=ROUND($BY$3,0)),0),MATCH("CIA_MEDIAN_MARGIN_GUIDENCE",'Margin Guidence Table'!$A$1:$AG$1,0)),INDEX('Margin Guidence Table'!$A$1:$AG$10000,MATCH(1,('Margin Guidence Table'!$A$1:$A$10000=$CG33)*('Margin Guidence Table'!$I$1:$I$10000&lt;=ROUND($BY$3,0))*('Margin Guidence Table'!$J$1:$J$10000&gt;=ROUND($BY$3,0)),0),MATCH("DEFAULT_CIA_MEDIAN_MARGIN_GUIDENCE",'Margin Guidence Table'!$A$1:$AG$1,0))),0)</f>
        <v>0</v>
      </c>
      <c r="CR33" s="127"/>
      <c r="CS33" s="18">
        <f t="array" ref="CS33">IFERROR(IF($DF33="SEGMENT",INDEX('Margin Guidence Table'!$A$1:$AG$10000,MATCH(1,('Margin Guidence Table'!$A$1:$A$10000=$DD33)*('Margin Guidence Table'!$I$1:$I$10000&lt;=ROUND($CV$3,0))*('Margin Guidence Table'!$J$1:$J$10000&gt;=ROUND($CV$3,0)),0),MATCH("PCT_SALES",'Margin Guidence Table'!$A$1:$AG$1,0)),INDEX('Margin Guidence Table'!$A$1:$AG$10000,MATCH(1,('Margin Guidence Table'!$A$1:$A$10000=$DD33)*('Margin Guidence Table'!$I$1:$I$10000&lt;=ROUND($CV$3,0))*('Margin Guidence Table'!$J$1:$J$10000&gt;=ROUND($CV$3,0)),0),MATCH("DEFAULT_PCT_SALES",'Margin Guidence Table'!$A$1:$AG$1,0))),0)</f>
        <v>0</v>
      </c>
      <c r="CT33" s="370" t="e">
        <f t="shared" si="30"/>
        <v>#DIV/0!</v>
      </c>
      <c r="CU33" s="100" t="s">
        <v>88</v>
      </c>
      <c r="CV33" s="92">
        <f>IFERROR(IF(AND($CV$2&lt;&gt;"Enter Spend&gt;&gt;&gt;",CW21="EXISTING"),SUMIFS('Existing Customers'!$Q:$Q,'Existing Customers'!$A:$A,$CV$1,'Existing Customers'!$H:$H,$CU33)*$CV$4,$CV$3*$CT33),0)</f>
        <v>0</v>
      </c>
      <c r="CW33" s="87">
        <f>IFERROR(IF(AND($CV$2&lt;&gt;"Enter Spend&gt;&gt;&gt;",CW2="EXISTING"),SUMIFS('Existing Customers'!$N:$N,'Existing Customers'!$A:$A,$CV$1,'Existing Customers'!$H:$H,$CU33)*$CV$4,$CV33/$DG33),0)</f>
        <v>0</v>
      </c>
      <c r="CX33" s="93">
        <f>IFERROR(IF(AND($CV$2&lt;&gt;"Enter Spend&gt;&gt;&gt;",BC28="EXISTING"),SUMIFS('Existing Customers'!$O:$O,'Existing Customers'!$H:$H,$CU33,'Existing Customers'!$A:$A,$CV$1)*$CV$4,$CW33*$CV$8),0)</f>
        <v>0</v>
      </c>
      <c r="CY33" s="93">
        <f>IFERROR(IF(AND($CV$2&lt;&gt;"Enter Spend&gt;&gt;&gt;",CW2="EXISTING"),SUMIFS('Existing Customers'!$P:$P,'Existing Customers'!$A:$A,$CV$1,'Existing Customers'!$H:$H,$CU33)*$CV$4,$CV33/$DH33),0)</f>
        <v>0</v>
      </c>
      <c r="CZ33" s="94">
        <f>IFERROR(IF(AND($CV$2&lt;&gt;"Enter Spend&gt;&gt;&gt;",CW2="EXISTING"),SUMIFS('Existing Customers'!$V:$V,'Existing Customers'!$H:$H,$CU33,'Existing Customers'!$A:$A,$CV$1)*$CV$4,0),0)</f>
        <v>0</v>
      </c>
      <c r="DA33" s="94">
        <f>IFERROR(IF(AND($CV$2&lt;&gt;"Enter Spend&gt;&gt;&gt;",CW2="EXISTING"),SUMIFS('Existing Customers'!$R:$R,'Existing Customers'!$H:$H,$BA33,'Existing Customers'!$A:$A,$CV$1)*$CV$4,0),0)</f>
        <v>0</v>
      </c>
      <c r="DB33" s="1050">
        <f>IFERROR(IF(AND($CV$2&lt;&gt;"Enter Spend&gt;&gt;&gt;",CW2="EXISTING"),SUMIFS('Existing Customers'!$S:$S,'Existing Customers'!$H:$H,$CU33,'Existing Customers'!$A:$A,$CV$1),DL33*CV33),0)</f>
        <v>0</v>
      </c>
      <c r="DC33" s="1050">
        <f>IFERROR(IF(AND($CV$2&lt;&gt;"Enter Spend&gt;&gt;&gt;",CW2="EXISTING"),SUMIFS('Existing Customers'!$U:$U,'Existing Customers'!$H:$H,$CU33,'Existing Customers'!$A:$A,$CV$1),DM33*CV33),0)</f>
        <v>0</v>
      </c>
      <c r="DD33" s="1053" t="e">
        <f>_xlfn.CONCAT('Customer Inputs'!$AG$8,"_",CU33)</f>
        <v>#N/A</v>
      </c>
      <c r="DE33" s="1053">
        <f t="array" ref="DE33">IFERROR(INDEX('Margin Guidence Table'!$A$1:$AG$10000,MATCH(1,('Margin Guidence Table'!$A$1:$A$10000=DD33)*('Margin Guidence Table'!$I$1:$I$10000&lt;=ROUND($CV$3,0))*('Margin Guidence Table'!$J$1:$J$10000&gt;=ROUND($CV$3,0)),0),MATCH("DATA_POINTS",'Margin Guidence Table'!$A$1:$AG$1,0)),0)</f>
        <v>0</v>
      </c>
      <c r="DF33" s="1050" t="str">
        <f t="shared" si="31"/>
        <v>DEFAULT</v>
      </c>
      <c r="DG33" s="1050">
        <f t="array" ref="DG33">IFERROR(IF($DF33="SEGMENT",INDEX('Margin Guidence Table'!$A$1:$AG$10000,MATCH(1,('Margin Guidence Table'!$A$1:$A$10000=DD33)*('Margin Guidence Table'!$I$1:$I$10000&lt;=ROUND($CV$3,0))*('Margin Guidence Table'!$J$1:$J$10000&gt;=ROUND($CV$3,0)),0),MATCH("SALES_CASE",'Margin Guidence Table'!$A$1:$AG$1,0)),INDEX('Margin Guidence Table'!$A$1:$AG$10000,MATCH(1,('Margin Guidence Table'!$A$1:$A$10000=DD33)*('Margin Guidence Table'!$I$1:$I$10000&lt;=ROUND($CV$3,0))*('Margin Guidence Table'!$J$1:$J$10000&gt;=ROUND($CV$3,0)),0),MATCH("DEFAULT_SALES_CASE",'Margin Guidence Table'!$A$1:$AG$1,0))),0)</f>
        <v>0</v>
      </c>
      <c r="DH33" s="1050">
        <f t="array" ref="DH33">IFERROR(IF($DF33="SEGMENT",INDEX('Margin Guidence Table'!$A$1:$AG$10000,MATCH(1,('Margin Guidence Table'!$A$1:$A$10000=DD33)*('Margin Guidence Table'!$I$1:$I$10000&lt;=ROUND($CV$3,0))*('Margin Guidence Table'!$J$1:$J$10000&gt;=ROUND($CV$3,0)),0),MATCH("SALES_LBS",'Margin Guidence Table'!$A$1:$AG$1,0)),INDEX('Margin Guidence Table'!$A$1:$AG$10000,MATCH(1,('Margin Guidence Table'!$A$1:$A$10000=DD33)*('Margin Guidence Table'!$I$1:$I$10000&lt;=ROUND($CV$3,0))*('Margin Guidence Table'!$J$1:$J$10000&gt;=ROUND($CV$3,0)),0),MATCH("DEFAULT_SALES_LBS",'Margin Guidence Table'!$A$1:$AG$1,0))),0)</f>
        <v>0</v>
      </c>
      <c r="DI33" s="1054">
        <f t="array" ref="DI33">IFERROR(IF($DF33="SEGMENT",INDEX('Margin Guidence Table'!$A$1:$AG$10000,MATCH(1,('Margin Guidence Table'!$A$1:$A$10000=DD33)*('Margin Guidence Table'!$I$1:$I$10000&lt;=ROUND($CV$3,0))*('Margin Guidence Table'!$J$1:$J$10000&gt;=ROUND($CV$3,0)),0),MATCH("MDA_MIN_MARGIN_GUIDENCE",'Margin Guidence Table'!$A$1:$AG$1,0)),INDEX('Margin Guidence Table'!$A$1:$AG$10000,MATCH(1,('Margin Guidence Table'!$A$1:$A$10000=DD33)*('Margin Guidence Table'!$I$1:$I$10000&lt;=ROUND($CV$3,0))*('Margin Guidence Table'!$J$1:$J$10000&gt;=ROUND($CV$3,0)),0),MATCH("DEFAULT_MDA_MIN_MARGIN_GUIDENCE",'Margin Guidence Table'!$A$1:$AG$1,0))),0)</f>
        <v>0</v>
      </c>
      <c r="DJ33" s="1054">
        <f t="array" ref="DJ33">IFERROR(IF($DF33="SEGMENT",INDEX('Margin Guidence Table'!$A$1:$AG$10000,MATCH(1,('Margin Guidence Table'!$A$1:$A$10000=DD33)*('Margin Guidence Table'!$I$1:$I$10000&lt;=ROUND($CV$3,0))*('Margin Guidence Table'!$J$1:$J$10000&gt;=ROUND($CV$3,0)),0),MATCH("MDA_MEDIAN_MARGIN_GUIDENCE",'Margin Guidence Table'!$A$1:$AG$1,0)),INDEX('Margin Guidence Table'!$A$1:$AG$10000,MATCH(1,('Margin Guidence Table'!$A$1:$A$10000=DD33)*('Margin Guidence Table'!$I$1:$I$10000&lt;=ROUND($CV$3,0))*('Margin Guidence Table'!$J$1:$J$10000&gt;=ROUND($CV$3,0)),0),MATCH("DEFAULT_MDA_MEDIAN_MARGIN_GUIDENCE",'Margin Guidence Table'!$A$1:$AG$1,0))),0)</f>
        <v>0</v>
      </c>
      <c r="DK33" s="1054">
        <f t="array" ref="DK33">IFERROR(IF($DF33="SEGMENT",INDEX('Margin Guidence Table'!$A$1:$AG$10000,MATCH(1,('Margin Guidence Table'!$A$1:$A$10000=DD33)*('Margin Guidence Table'!$I$1:$I$10000&lt;=ROUND($CV$3,0))*('Margin Guidence Table'!$J$1:$J$10000&gt;=ROUND($CV$3,0)),0),MATCH("MDA_MAX_MARGIN_GUIDENCE",'Margin Guidence Table'!$A$1:$AG$1,0)),INDEX('Margin Guidence Table'!$A$1:$AG$10000,MATCH(1,('Margin Guidence Table'!$A$1:$A$10000=DD33)*('Margin Guidence Table'!$I$1:$I$10000&lt;=ROUND($CV$3,0))*('Margin Guidence Table'!$J$1:$J$10000&gt;=ROUND($CV$3,0)),0),MATCH("DEFAULT_MDA_MAX_MARGIN_GUIDENCE",'Margin Guidence Table'!$A$1:$AG$1,0))),0)</f>
        <v>0</v>
      </c>
      <c r="DL33" s="1054">
        <f t="array" ref="DL33">IFERROR(IF($DF33="SEGMENT",INDEX('Margin Guidence Table'!$A$1:$AG$10000,MATCH(1,('Margin Guidence Table'!$A$1:$A$10000=DD33)*('Margin Guidence Table'!$I$1:$I$10000&lt;=ROUND($CV$3,0))*('Margin Guidence Table'!$J$1:$J$10000&gt;=ROUND($CV$3,0)),0),MATCH("PA_PCT_SALES",'Margin Guidence Table'!$A$1:$AG$1,0)),INDEX('Margin Guidence Table'!$A$1:$AG$10000,MATCH(1,('Margin Guidence Table'!$A$1:$A$10000=DD33)*('Margin Guidence Table'!$I$1:$I$10000&lt;=ROUND($CV$3,0))*('Margin Guidence Table'!$J$1:$J$10000&gt;=ROUND($CV$3,0)),0),MATCH("DEFAULT_PA_PCT_SALES",'Margin Guidence Table'!$A$1:$AG$1,0))),0)</f>
        <v>0</v>
      </c>
      <c r="DM33" s="1054">
        <f t="array" ref="DM33">IFERROR(IF($DF33="SEGMENT",INDEX('Margin Guidence Table'!$A$1:$AG$10000,MATCH(1,('Margin Guidence Table'!$A$1:$A$10000=DD33)*('Margin Guidence Table'!$I$1:$I$10000&lt;=ROUND($CV$3,0))*('Margin Guidence Table'!$J$1:$J$10000&gt;=ROUND($CV$3,0)),0),MATCH("SELF_FUND_PCT_SALES",'Margin Guidence Table'!$A$1:$AG$1,0)),INDEX('Margin Guidence Table'!$A$1:$AG$10000,MATCH(1,('Margin Guidence Table'!$A$1:$A$10000=DD33)*('Margin Guidence Table'!$I$1:$I$10000&lt;=ROUND($CV$3,0))*('Margin Guidence Table'!$J$1:$J$10000&gt;=ROUND($CV$3,0)),0),MATCH("DEFAULT_SELF_FUND_PCT_SALES",'Margin Guidence Table'!$A$1:$AG$1,0))),0)</f>
        <v>0</v>
      </c>
      <c r="DN33" s="1054">
        <f t="array" ref="DN33">IFERROR(IF($DF33="SEGMENT",INDEX('Margin Guidence Table'!$A$1:$AG$10000,MATCH(1,('Margin Guidence Table'!$A$1:$A$10000=DD33)*('Margin Guidence Table'!$I$1:$I$10000&lt;=ROUND($CV$3,0))*('Margin Guidence Table'!$J$1:$J$10000&gt;=ROUND($CV$3,0)),0),MATCH("CIA_MEDIAN_MARGIN_GUIDENCE",'Margin Guidence Table'!$A$1:$AG$1,0)),INDEX('Margin Guidence Table'!$A$1:$AG$10000,MATCH(1,('Margin Guidence Table'!$A$1:$A$10000=DD33)*('Margin Guidence Table'!$I$1:$I$10000&lt;=ROUND($CV$3,0))*('Margin Guidence Table'!$J$1:$J$10000&gt;=ROUND($CV$3,0)),0),MATCH("DEFAULT_CIA_MEDIAN_MARGIN_GUIDENCE",'Margin Guidence Table'!$A$1:$AG$1,0))),0)</f>
        <v>0</v>
      </c>
      <c r="DO33" s="127"/>
      <c r="DP33" s="18">
        <f t="array" ref="DP33">IFERROR(IF($EC33="SEGMENT",INDEX('Margin Guidence Table'!$A$1:$AG$10000,MATCH(1,('Margin Guidence Table'!$A$1:$A$10000=$EA33)*('Margin Guidence Table'!$I$1:$I$10000&lt;=ROUND($DS$3,0))*('Margin Guidence Table'!$J$1:$J$10000&gt;=ROUND($DS$3,0)),0),MATCH("PCT_SALES",'Margin Guidence Table'!$A$1:$AG$1,0)),INDEX('Margin Guidence Table'!$A$1:$AG$10000,MATCH(1,('Margin Guidence Table'!$A$1:$A$10000=$EA33)*('Margin Guidence Table'!$I$1:$I$10000&lt;=ROUND($DS$3,0))*('Margin Guidence Table'!$J$1:$J$10000&gt;=ROUND($DS$3,0)),0),MATCH("DEFAULT_PCT_SALES",'Margin Guidence Table'!$A$1:$AG$1,0))),0)</f>
        <v>0</v>
      </c>
      <c r="DQ33" s="370" t="e">
        <f t="shared" si="32"/>
        <v>#DIV/0!</v>
      </c>
      <c r="DR33" s="100" t="s">
        <v>88</v>
      </c>
      <c r="DS33" s="92">
        <f>IFERROR(IF(AND($DS$2&lt;&gt;"Enter Spend&gt;&gt;&gt;",DT21="EXISTING"),SUMIFS('Existing Customers'!$Q:$Q,'Existing Customers'!$A:$A,$DS$1,'Existing Customers'!$H:$H,$DR33)*$DS$4,$DS$3*$DQ33),0)</f>
        <v>0</v>
      </c>
      <c r="DT33" s="87">
        <f>IFERROR(IF(AND($DS$2&lt;&gt;"Enter Spend&gt;&gt;&gt;",DT2="EXISTING"),SUMIFS('Existing Customers'!$N:$N,'Existing Customers'!$A:$A,$DS$1,'Existing Customers'!$H:$H,$DR33)*$DS$4,$DS33/$ED33),0)</f>
        <v>0</v>
      </c>
      <c r="DU33" s="93">
        <f>IFERROR(IF(AND($DS$2&lt;&gt;"Enter Spend&gt;&gt;&gt;",DT2="EXISTING"),SUMIFS('Existing Customers'!$O:$O,'Existing Customers'!$H:$H,$DR33,'Existing Customers'!$A:$A,$DS$1)*$DS$4,$DT33*$DS$8),0)</f>
        <v>0</v>
      </c>
      <c r="DV33" s="93">
        <f>IFERROR(IF(AND($DS$2&lt;&gt;"Enter Spend&gt;&gt;&gt;",DT2="EXISTING"),SUMIFS('Existing Customers'!$P:$P,'Existing Customers'!$A:$A,$DS$1,'Existing Customers'!$H:$H,$DR33)*$DS$4,$DS33/$EE33),0)</f>
        <v>0</v>
      </c>
      <c r="DW33" s="94">
        <f>IFERROR(IF(AND($DS$2&lt;&gt;"Enter Spend&gt;&gt;&gt;",EQ2="EXISTING"),SUMIFS('Existing Customers'!$V:$V,'Existing Customers'!$H:$H,$DR33,'Existing Customers'!$A:$A,$DS$1)*$DS$4,0),0)</f>
        <v>0</v>
      </c>
      <c r="DX33" s="94">
        <f>IFERROR(IF(AND($DS$2&lt;&gt;"Enter Spend&gt;&gt;&gt;",DT2="EXISTING"),SUMIFS('Existing Customers'!$R:$R,'Existing Customers'!$H:$H,$DR33,'Existing Customers'!$A:$A,$DS$1)*$DS$4,0),0)</f>
        <v>0</v>
      </c>
      <c r="DY33" s="1050">
        <f>IFERROR(IF(AND($DS$2&lt;&gt;"Enter Spend&gt;&gt;&gt;",DT2="EXISTING"),SUMIFS('Existing Customers'!$S:$S,'Existing Customers'!$H:$H,$DT33,'Existing Customers'!$A:$A,$DS$1),EI33*DS33),0)</f>
        <v>0</v>
      </c>
      <c r="DZ33" s="1050">
        <f>IFERROR(IF(AND($DS$2&lt;&gt;"Enter Spend&gt;&gt;&gt;",DT2="EXISTING"),SUMIFS('Existing Customers'!$U:$U,'Existing Customers'!$H:$H,$DR33,'Existing Customers'!$A:$A,$DS$1),EJ33*DS33),0)</f>
        <v>0</v>
      </c>
      <c r="EA33" s="1053" t="e">
        <f>_xlfn.CONCAT('Customer Inputs'!$AG$9,"_",DR33)</f>
        <v>#N/A</v>
      </c>
      <c r="EB33" s="1053">
        <f t="array" ref="EB33">IFERROR(INDEX('Margin Guidence Table'!$A$1:$AG$10000,MATCH(1,('Margin Guidence Table'!$A$1:$A$10000=EA33)*('Margin Guidence Table'!$I$1:$I$10000&lt;=ROUND($DS$3,0))*('Margin Guidence Table'!$J$1:$J$10000&gt;=ROUND($DS$3,0)),0),MATCH("DATA_POINTS",'Margin Guidence Table'!$A$1:$AG$1,0)),0)</f>
        <v>0</v>
      </c>
      <c r="EC33" s="1050" t="str">
        <f t="shared" si="33"/>
        <v>DEFAULT</v>
      </c>
      <c r="ED33" s="1050">
        <f t="array" ref="ED33">IFERROR(IF($EC33="SEGMENT",INDEX('Margin Guidence Table'!$A$1:$AG$10000,MATCH(1,('Margin Guidence Table'!$A$1:$A$10000=EA33)*('Margin Guidence Table'!$I$1:$I$10000&lt;=ROUND($DS$3,0))*('Margin Guidence Table'!$J$1:$J$10000&gt;=ROUND($DS$3,0)),0),MATCH("SALES_CASE",'Margin Guidence Table'!$A$1:$AG$1,0)),INDEX('Margin Guidence Table'!$A$1:$AG$10000,MATCH(1,('Margin Guidence Table'!$A$1:$A$10000=EA33)*('Margin Guidence Table'!$I$1:$I$10000&lt;=ROUND($DS$3,0))*('Margin Guidence Table'!$J$1:$J$10000&gt;=ROUND($DS$3,0)),0),MATCH("DEFAULT_SALES_CASE",'Margin Guidence Table'!$A$1:$AG$1,0))),0)</f>
        <v>0</v>
      </c>
      <c r="EE33" s="1050">
        <f t="array" ref="EE33">IFERROR(IF($EC33="SEGMENT",INDEX('Margin Guidence Table'!$A$1:$AG$10000,MATCH(1,('Margin Guidence Table'!$A$1:$A$10000=EA33)*('Margin Guidence Table'!$I$1:$I$10000&lt;=ROUND($DS$3,0))*('Margin Guidence Table'!$J$1:$J$10000&gt;=ROUND($DS$3,0)),0),MATCH("SALES_LBS",'Margin Guidence Table'!$A$1:$AG$1,0)),INDEX('Margin Guidence Table'!$A$1:$AG$10000,MATCH(1,('Margin Guidence Table'!$A$1:$A$10000=EA33)*('Margin Guidence Table'!$I$1:$I$10000&lt;=ROUND($DS$3,0))*('Margin Guidence Table'!$J$1:$J$10000&gt;=ROUND($DS$3,0)),0),MATCH("DEFAULT_SALES_LBS",'Margin Guidence Table'!$A$1:$AG$1,0))),0)</f>
        <v>0</v>
      </c>
      <c r="EF33" s="1054">
        <f t="array" ref="EF33">IFERROR(IF($EC33="SEGMENT",INDEX('Margin Guidence Table'!$A$1:$AG$10000,MATCH(1,('Margin Guidence Table'!$A$1:$A$10000=EA33)*('Margin Guidence Table'!$I$1:$I$10000&lt;=ROUND($DS$3,0))*('Margin Guidence Table'!$J$1:$J$10000&gt;=ROUND($DS$3,0)),0),MATCH("MDA_MIN_MARGIN_GUIDENCE",'Margin Guidence Table'!$A$1:$AG$1,0)),INDEX('Margin Guidence Table'!$A$1:$AG$10000,MATCH(1,('Margin Guidence Table'!$A$1:$A$10000=EA33)*('Margin Guidence Table'!$I$1:$I$10000&lt;=ROUND($DS$3,0))*('Margin Guidence Table'!$J$1:$J$10000&gt;=ROUND($DS$3,0)),0),MATCH("DEFAULT_MDA_MIN_MARGIN_GUIDENCE",'Margin Guidence Table'!$A$1:$AG$1,0))),0)</f>
        <v>0</v>
      </c>
      <c r="EG33" s="1054">
        <f t="array" ref="EG33">IFERROR(IF($EC33="SEGMENT",INDEX('Margin Guidence Table'!$A$1:$AG$10000,MATCH(1,('Margin Guidence Table'!$A$1:$A$10000=EA33)*('Margin Guidence Table'!$I$1:$I$10000&lt;=ROUND($DS$3,0))*('Margin Guidence Table'!$J$1:$J$10000&gt;=ROUND($DS$3,0)),0),MATCH("MDA_MEDIAN_MARGIN_GUIDENCE",'Margin Guidence Table'!$A$1:$AG$1,0)),INDEX('Margin Guidence Table'!$A$1:$AG$10000,MATCH(1,('Margin Guidence Table'!$A$1:$A$10000=EA33)*('Margin Guidence Table'!$I$1:$I$10000&lt;=ROUND($DS$3,0))*('Margin Guidence Table'!$J$1:$J$10000&gt;=ROUND($DS$3,0)),0),MATCH("DEFAULT_MDA_MEDIAN_MARGIN_GUIDENCE",'Margin Guidence Table'!$A$1:$AG$1,0))),0)</f>
        <v>0</v>
      </c>
      <c r="EH33" s="1054">
        <f t="array" ref="EH33">IFERROR(IF($EC33="SEGMENT",INDEX('Margin Guidence Table'!$A$1:$AG$10000,MATCH(1,('Margin Guidence Table'!$A$1:$A$10000=EA33)*('Margin Guidence Table'!$I$1:$I$10000&lt;=ROUND($DS$3,0))*('Margin Guidence Table'!$J$1:$J$10000&gt;=ROUND($DS$3,0)),0),MATCH("MDA_MAX_MARGIN_GUIDENCE",'Margin Guidence Table'!$A$1:$AG$1,0)),INDEX('Margin Guidence Table'!$A$1:$AG$10000,MATCH(1,('Margin Guidence Table'!$A$1:$A$10000=EA33)*('Margin Guidence Table'!$I$1:$I$10000&lt;=ROUND($DS$3,0))*('Margin Guidence Table'!$J$1:$J$10000&gt;=ROUND($DS$3,0)),0),MATCH("DEFAULT_MDA_MAX_MARGIN_GUIDENCE",'Margin Guidence Table'!$A$1:$AG$1,0))),0)</f>
        <v>0</v>
      </c>
      <c r="EI33" s="1054">
        <f t="array" ref="EI33">IFERROR(IF($EC33="SEGMENT",INDEX('Margin Guidence Table'!$A$1:$AG$10000,MATCH(1,('Margin Guidence Table'!$A$1:$A$10000=EA33)*('Margin Guidence Table'!$I$1:$I$10000&lt;=ROUND($DS$3,0))*('Margin Guidence Table'!$J$1:$J$10000&gt;=ROUND($DS$3,0)),0),MATCH("PA_PCT_SALES",'Margin Guidence Table'!$A$1:$AG$1,0)),INDEX('Margin Guidence Table'!$A$1:$AG$10000,MATCH(1,('Margin Guidence Table'!$A$1:$A$10000=EA33)*('Margin Guidence Table'!$I$1:$I$10000&lt;=ROUND($DS$3,0))*('Margin Guidence Table'!$J$1:$J$10000&gt;=ROUND($DS$3,0)),0),MATCH("DEFAULT_PA_PCT_SALES",'Margin Guidence Table'!$A$1:$AG$1,0))),0)</f>
        <v>0</v>
      </c>
      <c r="EJ33" s="1054">
        <f t="array" ref="EJ33">IFERROR(IF($EC33="SEGMENT",INDEX('Margin Guidence Table'!$A$1:$AG$10000,MATCH(1,('Margin Guidence Table'!$A$1:$A$10000=EA33)*('Margin Guidence Table'!$I$1:$I$10000&lt;=ROUND($DS$3,0))*('Margin Guidence Table'!$J$1:$J$10000&gt;=ROUND($DS$3,0)),0),MATCH("SELF_FUND_PCT_SALES",'Margin Guidence Table'!$A$1:$AG$1,0)),INDEX('Margin Guidence Table'!$A$1:$AG$10000,MATCH(1,('Margin Guidence Table'!$A$1:$A$10000=EA33)*('Margin Guidence Table'!$I$1:$I$10000&lt;=ROUND($DS$3,0))*('Margin Guidence Table'!$J$1:$J$10000&gt;=ROUND($DS$3,0)),0),MATCH("DEFAULT_SELF_FUND_PCT_SALES",'Margin Guidence Table'!$A$1:$AG$1,0))),0)</f>
        <v>0</v>
      </c>
      <c r="EK33" s="1054">
        <f t="array" ref="EK33">IFERROR(IF($EC33="SEGMENT",INDEX('Margin Guidence Table'!$A$1:$AG$10000,MATCH(1,('Margin Guidence Table'!$A$1:$A$10000=EA33)*('Margin Guidence Table'!$I$1:$I$10000&lt;=ROUND($DS$3,0))*('Margin Guidence Table'!$J$1:$J$10000&gt;=ROUND($DS$3,0)),0),MATCH("CIA_MEDIAN_MARGIN_GUIDENCE",'Margin Guidence Table'!$A$1:$AG$1,0)),INDEX('Margin Guidence Table'!$A$1:$AG$10000,MATCH(1,('Margin Guidence Table'!$A$1:$A$10000=EA33)*('Margin Guidence Table'!$I$1:$I$10000&lt;=ROUND($DS$3,0))*('Margin Guidence Table'!$J$1:$J$10000&gt;=ROUND($DS$3,0)),0),MATCH("DEFAULT_CIA_MEDIAN_MARGIN_GUIDENCE",'Margin Guidence Table'!$A$1:$AG$1,0))),0)</f>
        <v>0</v>
      </c>
      <c r="EL33" s="127"/>
      <c r="EM33" s="18">
        <f t="array" ref="EM33">IFERROR(IF($EZ33="SEGMENT",INDEX('Margin Guidence Table'!$A$1:$AG$10000,MATCH(1,('Margin Guidence Table'!$A$1:$A$10000=$EX33)*('Margin Guidence Table'!$I$1:$I$10000&lt;=ROUND($EP$3,0))*('Margin Guidence Table'!$J$1:$J$10000&gt;=ROUND($EP$3,0)),0),MATCH("PCT_SALES",'Margin Guidence Table'!$A$1:$AG$1,0)),INDEX('Margin Guidence Table'!$A$1:$AG$10000,MATCH(1,('Margin Guidence Table'!$A$1:$A$10000=$EX33)*('Margin Guidence Table'!$I$1:$I$10000&lt;=ROUND($EP$3,0))*('Margin Guidence Table'!$J$1:$J$10000&gt;=ROUND($EP$3,0)),0),MATCH("DEFAULT_PCT_SALES",'Margin Guidence Table'!$A$1:$AG$1,0))),0)</f>
        <v>0</v>
      </c>
      <c r="EN33" s="370" t="e">
        <f t="shared" si="34"/>
        <v>#DIV/0!</v>
      </c>
      <c r="EO33" s="100" t="s">
        <v>88</v>
      </c>
      <c r="EP33" s="92">
        <f>IFERROR(IF(AND($EP$2&lt;&gt;"Enter Spend&gt;&gt;&gt;",EQ21="EXISTING"),SUMIFS('Existing Customers'!$Q:$Q,'Existing Customers'!$A:$A,$EP$1,'Existing Customers'!$H:$H,$EO33)*$EP$4,$EP$3*$EN33),0)</f>
        <v>0</v>
      </c>
      <c r="EQ33" s="87">
        <f>IFERROR(IF(AND($EP$2&lt;&gt;"Enter Spend&gt;&gt;&gt;",EQ2="EXISTING"),SUMIFS('Existing Customers'!$N:$N,'Existing Customers'!$A:$A,$EP$1,'Existing Customers'!$H:$H,$EO33)*$EP$4,$EP33/$FA33),0)</f>
        <v>0</v>
      </c>
      <c r="ER33" s="93">
        <f>IFERROR(IF(AND($EP$2&lt;&gt;"Enter Spend&gt;&gt;&gt;",EQ2="EXISTING"),SUMIFS('Existing Customers'!$O:$O,'Existing Customers'!$H:$H,$EO33,'Existing Customers'!$A:$A,$EP$1)*$EP$4,$EQ33*$EP$8),0)</f>
        <v>0</v>
      </c>
      <c r="ES33" s="93">
        <f>IFERROR(IF(AND($EP$2&lt;&gt;"Enter Spend&gt;&gt;&gt;",EQ2="EXISTING"),SUMIFS('Existing Customers'!$P:$P,'Existing Customers'!$A:$A,$EP$1,'Existing Customers'!$H:$H,$EO33)*$EP$4,$EP33/$FB33),0)</f>
        <v>0</v>
      </c>
      <c r="ET33" s="94">
        <f>IFERROR(IF(AND($EP$2&lt;&gt;"Enter Spend&gt;&gt;&gt;",EQ2="EXISTING"),SUMIFS('Existing Customers'!$V:$V,'Existing Customers'!$H:$H,$EO33,'Existing Customers'!$A:$A,$EP$1)*$EP$4,0),0)</f>
        <v>0</v>
      </c>
      <c r="EU33" s="94">
        <f>IFERROR(IF(AND($EP$2&lt;&gt;"Enter Spend&gt;&gt;&gt;",EQ2="EXISTING"),SUMIFS('Existing Customers'!$R:$R,'Existing Customers'!$H:$H,$EO33,'Existing Customers'!$A:$A,$EP$1)*$EP$4,0),0)</f>
        <v>0</v>
      </c>
      <c r="EV33" s="1050">
        <f>IFERROR(IF(AND($EP$2&lt;&gt;"Enter Spend&gt;&gt;&gt;",EQ2="EXISTING"),SUMIFS('Existing Customers'!$S:$S,'Existing Customers'!$H:$H,$EO33,'Existing Customers'!$A:$A,$EP$1),FF33*EP33),0)</f>
        <v>0</v>
      </c>
      <c r="EW33" s="1050">
        <f>IFERROR(IF(AND($EP$2&lt;&gt;"Enter Spend&gt;&gt;&gt;",EQ2="EXISTING"),SUMIFS('Existing Customers'!$U:$U,'Existing Customers'!$H:$H,$EO33,'Existing Customers'!$A:$A,$EP$1),FG33*EP33),0)</f>
        <v>0</v>
      </c>
      <c r="EX33" s="1053" t="e">
        <f>_xlfn.CONCAT('Customer Inputs'!$AG$10,"_",EO33)</f>
        <v>#N/A</v>
      </c>
      <c r="EY33" s="1053">
        <f t="array" ref="EY33">IFERROR(INDEX('Margin Guidence Table'!$A$1:$AG$10000,MATCH(1,('Margin Guidence Table'!$A$1:$A$10000=EX33)*('Margin Guidence Table'!$I$1:$I$10000&lt;=ROUND($EP$3,0))*('Margin Guidence Table'!$J$1:$J$10000&gt;=ROUND($EP$3,0)),0),MATCH("DATA_POINTS",'Margin Guidence Table'!$A$1:$AG$1,0)),0)</f>
        <v>0</v>
      </c>
      <c r="EZ33" s="1050" t="str">
        <f t="shared" si="35"/>
        <v>DEFAULT</v>
      </c>
      <c r="FA33" s="1050">
        <f t="array" ref="FA33">IFERROR(IF($EZ33="SEGMENT",INDEX('Margin Guidence Table'!$A$1:$AG$10000,MATCH(1,('Margin Guidence Table'!$A$1:$A$10000=EX33)*('Margin Guidence Table'!$I$1:$I$10000&lt;=ROUND($EP$3,0))*('Margin Guidence Table'!$J$1:$J$10000&gt;=ROUND($EP$3,0)),0),MATCH("SALES_CASE",'Margin Guidence Table'!$A$1:$AG$1,0)),INDEX('Margin Guidence Table'!$A$1:$AG$10000,MATCH(1,('Margin Guidence Table'!$A$1:$A$10000=EX33)*('Margin Guidence Table'!$I$1:$I$10000&lt;=ROUND($EP$3,0))*('Margin Guidence Table'!$J$1:$J$10000&gt;=ROUND($EP$3,0)),0),MATCH("DEFAULT_SALES_CASE",'Margin Guidence Table'!$A$1:$AG$1,0))),0)</f>
        <v>0</v>
      </c>
      <c r="FB33" s="1050" cm="1">
        <f t="array" ref="FB33">IFERROR(IF($EZ33="SEGMENT",INDEX('Margin Guidence Table'!$A$1:$AG$10000,MATCH(1,('Margin Guidence Table'!$A$1:$A$10000=EX33)*('Margin Guidence Table'!$I$1:$I$10000&lt;=ROUND($EP$3,0))*('Margin Guidence Table'!$J$1:$J$10000&gt;=ROUND($EP$3,0)),0),MATCH("SALES_LBS",'Margin Guidence Table'!$A$1:$AG$1,0)),INDEX('Margin Guidence Table'!$A$1:$AG$10000,MATCH(1,('Margin Guidence Table'!$A$1:$A$10000=EX33)*('Margin Guidence Table'!$I$1:$I$10000&lt;=ROUND($EP$3,0))*('Margin Guidence Table'!$J$1:$J$10000&gt;=ROUND($EP$3,0)),0),MATCH("DEFAULT_SALES_LBS",'Margin Guidence Table'!$A$1:$AG$1,0))),0)</f>
        <v>0</v>
      </c>
      <c r="FC33" s="1054">
        <f t="array" ref="FC33">IFERROR(IF($EZ33="SEGMENT",INDEX('Margin Guidence Table'!$A$1:$AG$10000,MATCH(1,('Margin Guidence Table'!$A$1:$A$10000=EX33)*('Margin Guidence Table'!$I$1:$I$10000&lt;=ROUND($EP$3,0))*('Margin Guidence Table'!$J$1:$J$10000&gt;=ROUND($EP$3,0)),0),MATCH("MDA_MIN_MARGIN_GUIDENCE",'Margin Guidence Table'!$A$1:$AG$1,0)),INDEX('Margin Guidence Table'!$A$1:$AG$10000,MATCH(1,('Margin Guidence Table'!$A$1:$A$10000=EX33)*('Margin Guidence Table'!$I$1:$I$10000&lt;=ROUND($EP$3,0))*('Margin Guidence Table'!$J$1:$J$10000&gt;=ROUND($EP$3,0)),0),MATCH("DEFAULT_MDA_MIN_MARGIN_GUIDENCE",'Margin Guidence Table'!$A$1:$AG$1,0))),0)</f>
        <v>0</v>
      </c>
      <c r="FD33" s="1054">
        <f t="array" ref="FD33">IFERROR(IF($EZ33="SEGMENT",INDEX('Margin Guidence Table'!$A$1:$AG$10000,MATCH(1,('Margin Guidence Table'!$A$1:$A$10000=EX33)*('Margin Guidence Table'!$I$1:$I$10000&lt;=ROUND($EP$3,0))*('Margin Guidence Table'!$J$1:$J$10000&gt;=ROUND($EP$3,0)),0),MATCH("MDA_MEDIAN_MARGIN_GUIDENCE",'Margin Guidence Table'!$A$1:$AG$1,0)),INDEX('Margin Guidence Table'!$A$1:$AG$10000,MATCH(1,('Margin Guidence Table'!$A$1:$A$10000=EX33)*('Margin Guidence Table'!$I$1:$I$10000&lt;=ROUND($EP$3,0))*('Margin Guidence Table'!$J$1:$J$10000&gt;=ROUND($EP$3,0)),0),MATCH("DEFAULT_MDA_MEDIAN_MARGIN_GUIDENCE",'Margin Guidence Table'!$A$1:$AG$1,0))),0)</f>
        <v>0</v>
      </c>
      <c r="FE33" s="1054">
        <f t="array" ref="FE33">IFERROR(IF($EZ33="SEGMENT",INDEX('Margin Guidence Table'!$A$1:$AG$10000,MATCH(1,('Margin Guidence Table'!$A$1:$A$10000=EX33)*('Margin Guidence Table'!$I$1:$I$10000&lt;=ROUND($EP$3,0))*('Margin Guidence Table'!$J$1:$J$10000&gt;=ROUND($EP$3,0)),0),MATCH("MDA_MAX_MARGIN_GUIDENCE",'Margin Guidence Table'!$A$1:$AG$1,0)),INDEX('Margin Guidence Table'!$A$1:$AG$10000,MATCH(1,('Margin Guidence Table'!$A$1:$A$10000=EX33)*('Margin Guidence Table'!$I$1:$I$10000&lt;=ROUND($EP$3,0))*('Margin Guidence Table'!$J$1:$J$10000&gt;=ROUND($EP$3,0)),0),MATCH("DEFAULT_MDA_MAX_MARGIN_GUIDENCE",'Margin Guidence Table'!$A$1:$AG$1,0))),0)</f>
        <v>0</v>
      </c>
      <c r="FF33" s="1054">
        <f t="array" ref="FF33">IFERROR(IF($EZ33="SEGMENT",INDEX('Margin Guidence Table'!$A$1:$AG$10000,MATCH(1,('Margin Guidence Table'!$A$1:$A$10000=EX33)*('Margin Guidence Table'!$I$1:$I$10000&lt;=ROUND($EP$3,0))*('Margin Guidence Table'!$J$1:$J$10000&gt;=ROUND($EP$3,0)),0),MATCH("PA_PCT_SALES",'Margin Guidence Table'!$A$1:$AG$1,0)),INDEX('Margin Guidence Table'!$A$1:$AG$10000,MATCH(1,('Margin Guidence Table'!$A$1:$A$10000=EX33)*('Margin Guidence Table'!$I$1:$I$10000&lt;=ROUND($EP$3,0))*('Margin Guidence Table'!$J$1:$J$10000&gt;=ROUND($EP$3,0)),0),MATCH("DEFAULT_PA_PCT_SALES",'Margin Guidence Table'!$A$1:$AG$1,0))),0)</f>
        <v>0</v>
      </c>
      <c r="FG33" s="1054">
        <f t="array" ref="FG33">IFERROR(IF($EZ33="SEGMENT",INDEX('Margin Guidence Table'!$A$1:$AG$10000,MATCH(1,('Margin Guidence Table'!$A$1:$A$10000=EX33)*('Margin Guidence Table'!$I$1:$I$10000&lt;=ROUND($EP$3,0))*('Margin Guidence Table'!$J$1:$J$10000&gt;=ROUND($EP$3,0)),0),MATCH("SELF_FUND_PCT_SALES",'Margin Guidence Table'!$A$1:$AG$1,0)),INDEX('Margin Guidence Table'!$A$1:$AG$10000,MATCH(1,('Margin Guidence Table'!$A$1:$A$10000=EX33)*('Margin Guidence Table'!$I$1:$I$10000&lt;=ROUND($EP$3,0))*('Margin Guidence Table'!$J$1:$J$10000&gt;=ROUND($EP$3,0)),0),MATCH("DEFAULT_SELF_FUND_PCT_SALES",'Margin Guidence Table'!$A$1:$AG$1,0))),0)</f>
        <v>0</v>
      </c>
      <c r="FH33" s="1054">
        <f t="array" ref="FH33">IFERROR(IF($EZ33="SEGMENT",INDEX('Margin Guidence Table'!$A$1:$AG$10000,MATCH(1,('Margin Guidence Table'!$A$1:$A$10000=EX33)*('Margin Guidence Table'!$I$1:$I$10000&lt;=ROUND($EP$3,0))*('Margin Guidence Table'!$J$1:$J$10000&gt;=ROUND($EP$3,0)),0),MATCH("CIA_MEDIAN_MARGIN_GUIDENCE",'Margin Guidence Table'!$A$1:$AG$1,0)),INDEX('Margin Guidence Table'!$A$1:$AG$10000,MATCH(1,('Margin Guidence Table'!$A$1:$A$10000=EX33)*('Margin Guidence Table'!$I$1:$I$10000&lt;=ROUND($EP$3,0))*('Margin Guidence Table'!$J$1:$J$10000&gt;=ROUND($EP$3,0)),0),MATCH("DEFAULT_CIA_MEDIAN_MARGIN_GUIDENCE",'Margin Guidence Table'!$A$1:$AG$1,0))),0)</f>
        <v>0</v>
      </c>
      <c r="FI33" s="127"/>
      <c r="FJ33" s="18">
        <f t="array" ref="FJ33">IFERROR(IF($FW33="SEGMENT",INDEX('Margin Guidence Table'!$A$1:$AG$10000,MATCH(1,('Margin Guidence Table'!$A$1:$A$10000=$FU33)*('Margin Guidence Table'!$I$1:$I$10000&lt;=ROUND($FM$3,0))*('Margin Guidence Table'!$J$1:$J$10000&gt;=ROUND($FM$3,0)),0),MATCH("PCT_SALES",'Margin Guidence Table'!$A$1:$AG$1,0)),INDEX('Margin Guidence Table'!$A$1:$AG$10000,MATCH(1,('Margin Guidence Table'!$A$1:$A$10000=$FU33)*('Margin Guidence Table'!$I$1:$I$10000&lt;=ROUND($FM$3,0))*('Margin Guidence Table'!$J$1:$J$10000&gt;=ROUND($FM$3,0)),0),MATCH("DEFAULT_PCT_SALES",'Margin Guidence Table'!$A$1:$AG$1,0))),0)</f>
        <v>0</v>
      </c>
      <c r="FK33" s="370" t="e">
        <f t="shared" si="36"/>
        <v>#DIV/0!</v>
      </c>
      <c r="FL33" s="100" t="s">
        <v>88</v>
      </c>
      <c r="FM33" s="92">
        <f>IFERROR(IF(AND($FM$2&lt;&gt;"Enter Spend&gt;&gt;&gt;",FN21="EXISTING"),SUMIFS('Existing Customers'!$Q:$Q,'Existing Customers'!$A:$A,$FM$1,'Existing Customers'!$H:$H,$FL33)*$FM$4,$FM$3*$FK33),0)</f>
        <v>0</v>
      </c>
      <c r="FN33" s="87">
        <f>IFERROR(IF(AND($FM$2&lt;&gt;"Enter Spend&gt;&gt;&gt;",FN2="EXISTING"),SUMIFS('Existing Customers'!$N:$N,'Existing Customers'!$A:$A,$FM$1,'Existing Customers'!$H:$H,$FL33)*$FM$4,$FM33/$FX33),0)</f>
        <v>0</v>
      </c>
      <c r="FO33" s="93">
        <f>IFERROR(IF(AND($FM$2&lt;&gt;"Enter Spend&gt;&gt;&gt;",FN2="EXISTING"),SUMIFS('Existing Customers'!$O:$O,'Existing Customers'!$H:$H,$FL33,'Existing Customers'!$A:$A,$FM$1)*$FM$4,$FN33*$FM$8),0)</f>
        <v>0</v>
      </c>
      <c r="FP33" s="93">
        <f>IFERROR(IF(AND($FM$2&lt;&gt;"Enter Spend&gt;&gt;&gt;",FN2="EXISTING"),SUMIFS('Existing Customers'!$P:$P,'Existing Customers'!$A:$A,$FM$1,'Existing Customers'!$H:$H,$FL33)*$FM$4,$FM33/$FY33),0)</f>
        <v>0</v>
      </c>
      <c r="FQ33" s="94">
        <f>IFERROR(IF(AND($FM$2&lt;&gt;"Enter Spend&gt;&gt;&gt;",FN2="EXISTING"),SUMIFS('Existing Customers'!$V:$V,'Existing Customers'!$H:$H,$FL33,'Existing Customers'!$A:$A,$FM$1)*$FM$4,0),0)</f>
        <v>0</v>
      </c>
      <c r="FR33" s="94">
        <f>IFERROR(IF(AND($FM$2&lt;&gt;"Enter Spend&gt;&gt;&gt;",FN2="EXISTING"),SUMIFS('Existing Customers'!$R:$R,'Existing Customers'!$H:$H,$FL33,'Existing Customers'!$A:$A,$FM$1)*$FM$4,0),0)</f>
        <v>0</v>
      </c>
      <c r="FS33" s="1050">
        <f>IFERROR(IF(AND($FM$2&lt;&gt;"Enter Spend&gt;&gt;&gt;",FN2="EXISTING"),SUMIFS('Existing Customers'!$S:$S,'Existing Customers'!$H:$H,$FL33,'Existing Customers'!$A:$A,$FM$1),GC33*FM33),0)</f>
        <v>0</v>
      </c>
      <c r="FT33" s="1050">
        <f>IFERROR(IF(AND($FM$2&lt;&gt;"Enter Spend&gt;&gt;&gt;",FN2="EXISTING"),SUMIFS('Existing Customers'!$U:$U,'Existing Customers'!$H:$H,$FL33,'Existing Customers'!$A:$A,$FM$1),GD33*FM33),0)</f>
        <v>0</v>
      </c>
      <c r="FU33" s="1053" t="e">
        <f>_xlfn.CONCAT('Customer Inputs'!$AG$11,"_",FL33)</f>
        <v>#N/A</v>
      </c>
      <c r="FV33" s="1053">
        <f t="array" ref="FV33">IFERROR(INDEX('Margin Guidence Table'!$A$1:$AG$10000,MATCH(1,('Margin Guidence Table'!$A$1:$A$10000=FU33)*('Margin Guidence Table'!$I$1:$I$10000&lt;=ROUND($FM$3,0))*('Margin Guidence Table'!$J$1:$J$10000&gt;=ROUND($FM$3,0)),0),MATCH("DATA_POINTS",'Margin Guidence Table'!$A$1:$AG$1,0)),0)</f>
        <v>0</v>
      </c>
      <c r="FW33" s="1050" t="str">
        <f t="shared" si="37"/>
        <v>DEFAULT</v>
      </c>
      <c r="FX33" s="1050">
        <f t="array" ref="FX33">IFERROR(IF($FW33="SEGMENT",INDEX('Margin Guidence Table'!$A$1:$AG$10000,MATCH(1,('Margin Guidence Table'!$A$1:$A$10000=FU33)*('Margin Guidence Table'!$I$1:$I$10000&lt;=ROUND($FM$3,0))*('Margin Guidence Table'!$J$1:$J$10000&gt;=ROUND($FM$3,0)),0),MATCH("SALES_CASE",'Margin Guidence Table'!$A$1:$AG$1,0)),INDEX('Margin Guidence Table'!$A$1:$AG$10000,MATCH(1,('Margin Guidence Table'!$A$1:$A$10000=FU33)*('Margin Guidence Table'!$I$1:$I$10000&lt;=ROUND($FM$3,0))*('Margin Guidence Table'!$J$1:$J$10000&gt;=ROUND($FM$3,0)),0),MATCH("DEFAULT_SALES_CASE",'Margin Guidence Table'!$A$1:$AG$1,0))),0)</f>
        <v>0</v>
      </c>
      <c r="FY33" s="1050">
        <f t="array" ref="FY33">IFERROR(IF($FW33="SEGMENT",INDEX('Margin Guidence Table'!$A$1:$AG$10000,MATCH(1,('Margin Guidence Table'!$A$1:$A$10000=FU33)*('Margin Guidence Table'!$I$1:$I$10000&lt;=ROUND($FM$3,0))*('Margin Guidence Table'!$J$1:$J$10000&gt;=ROUND($FM$3,0)),0),MATCH("SALES_LBS",'Margin Guidence Table'!$A$1:$AG$1,0)),INDEX('Margin Guidence Table'!$A$1:$AG$10000,MATCH(1,('Margin Guidence Table'!$A$1:$A$10000=FU33)*('Margin Guidence Table'!$I$1:$I$10000&lt;=ROUND($FM$3,0))*('Margin Guidence Table'!$J$1:$J$10000&gt;=ROUND($FM$3,0)),0),MATCH("DEFAULT_SALES_LBS",'Margin Guidence Table'!$A$1:$AG$1,0))),0)</f>
        <v>0</v>
      </c>
      <c r="FZ33" s="1054">
        <f t="array" ref="FZ33">IFERROR(IF($FW33="SEGMENT",INDEX('Margin Guidence Table'!$A$1:$AG$10000,MATCH(1,('Margin Guidence Table'!$A$1:$A$10000=FU33)*('Margin Guidence Table'!$I$1:$I$10000&lt;=ROUND($FM$3,0))*('Margin Guidence Table'!$J$1:$J$10000&gt;=ROUND($FM$3,0)),0),MATCH("MDA_MIN_MARGIN_GUIDENCE",'Margin Guidence Table'!$A$1:$AG$1,0)),INDEX('Margin Guidence Table'!$A$1:$AG$10000,MATCH(1,('Margin Guidence Table'!$A$1:$A$10000=FU33)*('Margin Guidence Table'!$I$1:$I$10000&lt;=ROUND($FM$3,0))*('Margin Guidence Table'!$J$1:$J$10000&gt;=ROUND($FM$3,0)),0),MATCH("DEFAULT_MDA_MIN_MARGIN_GUIDENCE",'Margin Guidence Table'!$A$1:$AG$1,0))),0)</f>
        <v>0</v>
      </c>
      <c r="GA33" s="1054">
        <f t="array" ref="GA33">IFERROR(IF($FW33="SEGMENT",INDEX('Margin Guidence Table'!$A$1:$AG$10000,MATCH(1,('Margin Guidence Table'!$A$1:$A$10000=FU33)*('Margin Guidence Table'!$I$1:$I$10000&lt;=ROUND($FM$3,0))*('Margin Guidence Table'!$J$1:$J$10000&gt;=ROUND($FM$3,0)),0),MATCH("MDA_MEDIAN_MARGIN_GUIDENCE",'Margin Guidence Table'!$A$1:$AG$1,0)),INDEX('Margin Guidence Table'!$A$1:$AG$10000,MATCH(1,('Margin Guidence Table'!$A$1:$A$10000=FU33)*('Margin Guidence Table'!$I$1:$I$10000&lt;=ROUND($FM$3,0))*('Margin Guidence Table'!$J$1:$J$10000&gt;=ROUND($FM$3,0)),0),MATCH("DEFAULT_MDA_MEDIAN_MARGIN_GUIDENCE",'Margin Guidence Table'!$A$1:$AG$1,0))),0)</f>
        <v>0</v>
      </c>
      <c r="GB33" s="1054">
        <f t="array" ref="GB33">IFERROR(IF($FW33="SEGMENT",INDEX('Margin Guidence Table'!$A$1:$AG$10000,MATCH(1,('Margin Guidence Table'!$A$1:$A$10000=FU33)*('Margin Guidence Table'!$I$1:$I$10000&lt;=ROUND($FM$3,0))*('Margin Guidence Table'!$J$1:$J$10000&gt;=ROUND($FM$3,0)),0),MATCH("MDA_MAX_MARGIN_GUIDENCE",'Margin Guidence Table'!$A$1:$AG$1,0)),INDEX('Margin Guidence Table'!$A$1:$AG$10000,MATCH(1,('Margin Guidence Table'!$A$1:$A$10000=FU33)*('Margin Guidence Table'!$I$1:$I$10000&lt;=ROUND($FM$3,0))*('Margin Guidence Table'!$J$1:$J$10000&gt;=ROUND($FM$3,0)),0),MATCH("DEFAULT_MDA_MAX_MARGIN_GUIDENCE",'Margin Guidence Table'!$A$1:$AG$1,0))),0)</f>
        <v>0</v>
      </c>
      <c r="GC33" s="1054">
        <f t="array" ref="GC33">IFERROR(IF($FW33="SEGMENT",INDEX('Margin Guidence Table'!$A$1:$AG$10000,MATCH(1,('Margin Guidence Table'!$A$1:$A$10000=FU33)*('Margin Guidence Table'!$I$1:$I$10000&lt;=ROUND($FM$3,0))*('Margin Guidence Table'!$J$1:$J$10000&gt;=ROUND($FM$3,0)),0),MATCH("PA_PCT_SALES",'Margin Guidence Table'!$A$1:$AG$1,0)),INDEX('Margin Guidence Table'!$A$1:$AG$10000,MATCH(1,('Margin Guidence Table'!$A$1:$A$10000=FU33)*('Margin Guidence Table'!$I$1:$I$10000&lt;=ROUND($FM$3,0))*('Margin Guidence Table'!$J$1:$J$10000&gt;=ROUND($FM$3,0)),0),MATCH("DEFAULT_PA_PCT_SALES",'Margin Guidence Table'!$A$1:$AG$1,0))),0)</f>
        <v>0</v>
      </c>
      <c r="GD33" s="1054">
        <f t="array" ref="GD33">IFERROR(IF($FW33="SEGMENT",INDEX('Margin Guidence Table'!$A$1:$AG$10000,MATCH(1,('Margin Guidence Table'!$A$1:$A$10000=FU33)*('Margin Guidence Table'!$I$1:$I$10000&lt;=ROUND($FM$3,0))*('Margin Guidence Table'!$J$1:$J$10000&gt;=ROUND($FM$3,0)),0),MATCH("SELF_FUND_PCT_SALES",'Margin Guidence Table'!$A$1:$AG$1,0)),INDEX('Margin Guidence Table'!$A$1:$AG$10000,MATCH(1,('Margin Guidence Table'!$A$1:$A$10000=FU33)*('Margin Guidence Table'!$I$1:$I$10000&lt;=ROUND($FM$3,0))*('Margin Guidence Table'!$J$1:$J$10000&gt;=ROUND($FM$3,0)),0),MATCH("DEFAULT_SELF_FUND_PCT_SALES",'Margin Guidence Table'!$A$1:$AG$1,0))),0)</f>
        <v>0</v>
      </c>
      <c r="GE33" s="1054">
        <f t="array" ref="GE33">IFERROR(IF($FW33="SEGMENT",INDEX('Margin Guidence Table'!$A$1:$AG$10000,MATCH(1,('Margin Guidence Table'!$A$1:$A$10000=FU33)*('Margin Guidence Table'!$I$1:$I$10000&lt;=ROUND($FM$3,0))*('Margin Guidence Table'!$J$1:$J$10000&gt;=ROUND($FM$3,0)),0),MATCH("CIA_MEDIAN_MARGIN_GUIDENCE",'Margin Guidence Table'!$A$1:$AG$1,0)),INDEX('Margin Guidence Table'!$A$1:$AG$10000,MATCH(1,('Margin Guidence Table'!$A$1:$A$10000=FU33)*('Margin Guidence Table'!$I$1:$I$10000&lt;=ROUND($FM$3,0))*('Margin Guidence Table'!$J$1:$J$10000&gt;=ROUND($FM$3,0)),0),MATCH("DEFAULT_CIA_MEDIAN_MARGIN_GUIDENCE",'Margin Guidence Table'!$A$1:$AG$1,0))),0)</f>
        <v>0</v>
      </c>
      <c r="GF33" s="127"/>
      <c r="GG33" s="18">
        <f t="array" ref="GG33">IFERROR(IF($GT33="SEGMENT",INDEX('Margin Guidence Table'!$A$1:$AG$10000,MATCH(1,('Margin Guidence Table'!$A$1:$A$10000=$GR33)*('Margin Guidence Table'!$I$1:$I$10000&lt;=ROUND($GJ$3,0))*('Margin Guidence Table'!$J$1:$J$10000&gt;=ROUND($GJ$3,0)),0),MATCH("PCT_SALES",'Margin Guidence Table'!$A$1:$AG$1,0)),INDEX('Margin Guidence Table'!$A$1:$AG$10000,MATCH(1,('Margin Guidence Table'!$A$1:$A$10000=$GR33)*('Margin Guidence Table'!$I$1:$I$10000&lt;=ROUND($GJ$3,0))*('Margin Guidence Table'!$J$1:$J$10000&gt;=ROUND($GJ$3,0)),0),MATCH("DEFAULT_PCT_SALES",'Margin Guidence Table'!$A$1:$AG$1,0))),0)</f>
        <v>0</v>
      </c>
      <c r="GH33" s="370" t="e">
        <f t="shared" si="38"/>
        <v>#DIV/0!</v>
      </c>
      <c r="GI33" s="100" t="s">
        <v>88</v>
      </c>
      <c r="GJ33" s="92">
        <f>IFERROR(IF(AND($GJ$2&lt;&gt;"Enter Spend&gt;&gt;&gt;",GK21="EXISTING"),SUMIFS('Existing Customers'!$Q:$Q,'Existing Customers'!$A:$A,$GJ$1,'Existing Customers'!$H:$H,$GI33)*$GJ$4,$GJ$3*$GH33),0)</f>
        <v>0</v>
      </c>
      <c r="GK33" s="87">
        <f>IFERROR(IF(AND($GJ$2&lt;&gt;"Enter Spend&gt;&gt;&gt;",GK2="EXISTING"),SUMIFS('Existing Customers'!$N:$N,'Existing Customers'!$A:$A,$GJ$1,'Existing Customers'!$H:$H,$GI33)*$GJ$4,$GJ33/$GU33),0)</f>
        <v>0</v>
      </c>
      <c r="GL33" s="93">
        <f>IFERROR(IF(AND($GJ$2&lt;&gt;"Enter Spend&gt;&gt;&gt;",GK2="EXISTING"),SUMIFS('Existing Customers'!$O:$O,'Existing Customers'!$H:$H,$GI33,'Existing Customers'!$A:$A,$GJ$1)*$GJ$4,$GK33*$GJ$8),0)</f>
        <v>0</v>
      </c>
      <c r="GM33" s="93">
        <f>IFERROR(IF(AND($GJ$2&lt;&gt;"Enter Spend&gt;&gt;&gt;",GK2="EXISTING"),SUMIFS('Existing Customers'!$P:$P,'Existing Customers'!$A:$A,$GJ$1,'Existing Customers'!$H:$H,$GI33)*$GJ$4,$GJ33/$GV33),0)</f>
        <v>0</v>
      </c>
      <c r="GN33" s="94">
        <f>IFERROR(IF(AND($GJ$2&lt;&gt;"Enter Spend&gt;&gt;&gt;",GK2="EXISTING"),SUMIFS('Existing Customers'!$V:$V,'Existing Customers'!$H:$H,$GI33,'Existing Customers'!$A:$A,$GJ$1)*$GJ$4,0),0)</f>
        <v>0</v>
      </c>
      <c r="GO33" s="94">
        <f>IFERROR(IF(AND($GJ$2&lt;&gt;"Enter Spend&gt;&gt;&gt;",GK2="EXISTING"),SUMIFS('Existing Customers'!$R:$R,'Existing Customers'!$H:$H,$GI33,'Existing Customers'!$A:$A,$GJ$1)*$GJ$4,0),0)</f>
        <v>0</v>
      </c>
      <c r="GP33" s="1050">
        <f>IFERROR(IF(AND($GJ$2&lt;&gt;"Enter Spend&gt;&gt;&gt;",GK2="EXISTING"),SUMIFS('Existing Customers'!$S:$S,'Existing Customers'!$H:$H,$GI33,'Existing Customers'!$A:$A,$GJ$1),GZ33*GJ33),0)</f>
        <v>0</v>
      </c>
      <c r="GQ33" s="1050">
        <f>IFERROR(IF(AND($GJ$2&lt;&gt;"Enter Spend&gt;&gt;&gt;",GK2="EXISTING"),SUMIFS('Existing Customers'!$U:$U,'Existing Customers'!$H:$H,$GI33,'Existing Customers'!$A:$A,$GJ$1),HA33*GJ33),0)</f>
        <v>0</v>
      </c>
      <c r="GR33" s="1053" t="e">
        <f>_xlfn.CONCAT('Customer Inputs'!$AG$12,"_",GI33)</f>
        <v>#N/A</v>
      </c>
      <c r="GS33" s="1053">
        <f t="array" ref="GS33">IFERROR(INDEX('Margin Guidence Table'!$A$1:$AG$10000,MATCH(1,('Margin Guidence Table'!$A$1:$A$10000=GR33)*('Margin Guidence Table'!$I$1:$I$10000&lt;=ROUND($GJ$3,0))*('Margin Guidence Table'!$J$1:$J$10000&gt;=ROUND($GJ$3,0)),0),MATCH("DATA_POINTS",'Margin Guidence Table'!$A$1:$AG$1,0)),0)</f>
        <v>0</v>
      </c>
      <c r="GT33" s="1050" t="str">
        <f t="shared" si="39"/>
        <v>DEFAULT</v>
      </c>
      <c r="GU33" s="1050">
        <f t="array" ref="GU33">IFERROR(IF($GT33="SEGMENT",INDEX('Margin Guidence Table'!$A$1:$AG$10000,MATCH(1,('Margin Guidence Table'!$A$1:$A$10000=GR33)*('Margin Guidence Table'!$I$1:$I$10000&lt;=ROUND($GJ$3,0))*('Margin Guidence Table'!$J$1:$J$10000&gt;=ROUND($GJ$3,0)),0),MATCH("SALES_CASE",'Margin Guidence Table'!$A$1:$AG$1,0)),INDEX('Margin Guidence Table'!$A$1:$AG$10000,MATCH(1,('Margin Guidence Table'!$A$1:$A$10000=GR33)*('Margin Guidence Table'!$I$1:$I$10000&lt;=ROUND($GJ$3,0))*('Margin Guidence Table'!$J$1:$J$10000&gt;=ROUND($GJ$3,0)),0),MATCH("DEFAULT_SALES_CASE",'Margin Guidence Table'!$A$1:$AG$1,0))),0)</f>
        <v>0</v>
      </c>
      <c r="GV33" s="1050">
        <f t="array" ref="GV33">IFERROR(IF($GT33="SEGMENT",INDEX('Margin Guidence Table'!$A$1:$AG$10000,MATCH(1,('Margin Guidence Table'!$A$1:$A$10000=GR33)*('Margin Guidence Table'!$I$1:$I$10000&lt;=ROUND($GJ$3,0))*('Margin Guidence Table'!$J$1:$J$10000&gt;=ROUND($GJ$3,0)),0),MATCH("SALES_LBS",'Margin Guidence Table'!$A$1:$AG$1,0)),INDEX('Margin Guidence Table'!$A$1:$AG$10000,MATCH(1,('Margin Guidence Table'!$A$1:$A$10000=GR33)*('Margin Guidence Table'!$I$1:$I$10000&lt;=ROUND($GJ$3,0))*('Margin Guidence Table'!$J$1:$J$10000&gt;=ROUND($GJ$3,0)),0),MATCH("DEFAULT_SALES_LBS",'Margin Guidence Table'!$A$1:$AG$1,0))),0)</f>
        <v>0</v>
      </c>
      <c r="GW33" s="1054">
        <f t="array" ref="GW33">IFERROR(IF($GT33="SEGMENT",INDEX('Margin Guidence Table'!$A$1:$AG$10000,MATCH(1,('Margin Guidence Table'!$A$1:$A$10000=GR33)*('Margin Guidence Table'!$I$1:$I$10000&lt;=ROUND($GJ$3,0))*('Margin Guidence Table'!$J$1:$J$10000&gt;=ROUND($GJ$3,0)),0),MATCH("MDA_MIN_MARGIN_GUIDENCE",'Margin Guidence Table'!$A$1:$AG$1,0)),INDEX('Margin Guidence Table'!$A$1:$AG$10000,MATCH(1,('Margin Guidence Table'!$A$1:$A$10000=GR33)*('Margin Guidence Table'!$I$1:$I$10000&lt;=ROUND($GJ$3,0))*('Margin Guidence Table'!$J$1:$J$10000&gt;=ROUND($GJ$3,0)),0),MATCH("DEFAULT_MDA_MIN_MARGIN_GUIDENCE",'Margin Guidence Table'!$A$1:$AG$1,0))),0)</f>
        <v>0</v>
      </c>
      <c r="GX33" s="1054">
        <f t="array" ref="GX33">IFERROR(IF($GT33="SEGMENT",INDEX('Margin Guidence Table'!$A$1:$AG$10000,MATCH(1,('Margin Guidence Table'!$A$1:$A$10000=GR33)*('Margin Guidence Table'!$I$1:$I$10000&lt;=ROUND($GJ$3,0))*('Margin Guidence Table'!$J$1:$J$10000&gt;=ROUND($GJ$3,0)),0),MATCH("MDA_MEDIAN_MARGIN_GUIDENCE",'Margin Guidence Table'!$A$1:$AG$1,0)),INDEX('Margin Guidence Table'!$A$1:$AG$10000,MATCH(1,('Margin Guidence Table'!$A$1:$A$10000=GR33)*('Margin Guidence Table'!$I$1:$I$10000&lt;=ROUND($GJ$3,0))*('Margin Guidence Table'!$J$1:$J$10000&gt;=ROUND($GJ$3,0)),0),MATCH("DEFAULT_MDA_MEDIAN_MARGIN_GUIDENCE",'Margin Guidence Table'!$A$1:$AG$1,0))),0)</f>
        <v>0</v>
      </c>
      <c r="GY33" s="1054">
        <f t="array" ref="GY33">IFERROR(IF($GT33="SEGMENT",INDEX('Margin Guidence Table'!$A$1:$AG$10000,MATCH(1,('Margin Guidence Table'!$A$1:$A$10000=GR33)*('Margin Guidence Table'!$I$1:$I$10000&lt;=ROUND($GJ$3,0))*('Margin Guidence Table'!$J$1:$J$10000&gt;=ROUND($GJ$3,0)),0),MATCH("MDA_MAX_MARGIN_GUIDENCE",'Margin Guidence Table'!$A$1:$AG$1,0)),INDEX('Margin Guidence Table'!$A$1:$AG$10000,MATCH(1,('Margin Guidence Table'!$A$1:$A$10000=GR33)*('Margin Guidence Table'!$I$1:$I$10000&lt;=ROUND($GJ$3,0))*('Margin Guidence Table'!$J$1:$J$10000&gt;=ROUND($GJ$3,0)),0),MATCH("DEFAULT_MDA_MAX_MARGIN_GUIDENCE",'Margin Guidence Table'!$A$1:$AG$1,0))),0)</f>
        <v>0</v>
      </c>
      <c r="GZ33" s="1054">
        <f t="array" ref="GZ33">IFERROR(IF($GT33="SEGMENT",INDEX('Margin Guidence Table'!$A$1:$AG$10000,MATCH(1,('Margin Guidence Table'!$A$1:$A$10000=GR33)*('Margin Guidence Table'!$I$1:$I$10000&lt;=ROUND($GJ$3,0))*('Margin Guidence Table'!$J$1:$J$10000&gt;=ROUND($GJ$3,0)),0),MATCH("PA_PCT_SALES",'Margin Guidence Table'!$A$1:$AG$1,0)),INDEX('Margin Guidence Table'!$A$1:$AG$10000,MATCH(1,('Margin Guidence Table'!$A$1:$A$10000=GR33)*('Margin Guidence Table'!$I$1:$I$10000&lt;=ROUND($GJ$3,0))*('Margin Guidence Table'!$J$1:$J$10000&gt;=ROUND($GJ$3,0)),0),MATCH("DEFAULT_PA_PCT_SALES",'Margin Guidence Table'!$A$1:$AG$1,0))),0)</f>
        <v>0</v>
      </c>
      <c r="HA33" s="1054">
        <f t="array" ref="HA33">IFERROR(IF($GT33="SEGMENT",INDEX('Margin Guidence Table'!$A$1:$AG$10000,MATCH(1,('Margin Guidence Table'!$A$1:$A$10000=GR33)*('Margin Guidence Table'!$I$1:$I$10000&lt;=ROUND($GJ$3,0))*('Margin Guidence Table'!$J$1:$J$10000&gt;=ROUND($GJ$3,0)),0),MATCH("SELF_FUND_PCT_SALES",'Margin Guidence Table'!$A$1:$AG$1,0)),INDEX('Margin Guidence Table'!$A$1:$AG$10000,MATCH(1,('Margin Guidence Table'!$A$1:$A$10000=GR33)*('Margin Guidence Table'!$I$1:$I$10000&lt;=ROUND($GJ$3,0))*('Margin Guidence Table'!$J$1:$J$10000&gt;=ROUND($GJ$3,0)),0),MATCH("DEFAULT_SELF_FUND_PCT_SALES",'Margin Guidence Table'!$A$1:$AG$1,0))),0)</f>
        <v>0</v>
      </c>
      <c r="HB33" s="1054">
        <f t="array" ref="HB33">IFERROR(IF($GT33="SEGMENT",INDEX('Margin Guidence Table'!$A$1:$AG$10000,MATCH(1,('Margin Guidence Table'!$A$1:$A$10000=GR33)*('Margin Guidence Table'!$I$1:$I$10000&lt;=ROUND($GJ$3,0))*('Margin Guidence Table'!$J$1:$J$10000&gt;=ROUND($GJ$3,0)),0),MATCH("CIA_MEDIAN_MARGIN_GUIDENCE",'Margin Guidence Table'!$A$1:$AG$1,0)),INDEX('Margin Guidence Table'!$A$1:$AG$10000,MATCH(1,('Margin Guidence Table'!$A$1:$A$10000=GR33)*('Margin Guidence Table'!$I$1:$I$10000&lt;=ROUND($GJ$3,0))*('Margin Guidence Table'!$J$1:$J$10000&gt;=ROUND($GJ$3,0)),0),MATCH("DEFAULT_CIA_MEDIAN_MARGIN_GUIDENCE",'Margin Guidence Table'!$A$1:$AG$1,0))),0)</f>
        <v>0</v>
      </c>
      <c r="HC33" s="127"/>
      <c r="HD33" s="18">
        <f t="array" ref="HD33">IFERROR(IF($HQ33="SEGMENT",INDEX('Margin Guidence Table'!$A$1:$AG$10000,MATCH(1,('Margin Guidence Table'!$A$1:$A$10000=$HO33)*('Margin Guidence Table'!$I$1:$I$10000&lt;=ROUND($HG$3,0))*('Margin Guidence Table'!$J$1:$J$10000&gt;=ROUND($HG$3,0)),0),MATCH("PCT_SALES",'Margin Guidence Table'!$A$1:$AG$1,0)),INDEX('Margin Guidence Table'!$A$1:$AG$10000,MATCH(1,('Margin Guidence Table'!$A$1:$A$10000=$HO33)*('Margin Guidence Table'!$I$1:$I$10000&lt;=ROUND($HG$3,0))*('Margin Guidence Table'!$J$1:$J$10000&gt;=ROUND($HG$3,0)),0),MATCH("DEFAULT_PCT_SALES",'Margin Guidence Table'!$A$1:$AG$1,0))),0)</f>
        <v>0</v>
      </c>
      <c r="HE33" s="370" t="e">
        <f t="shared" si="40"/>
        <v>#DIV/0!</v>
      </c>
      <c r="HF33" s="100" t="s">
        <v>88</v>
      </c>
      <c r="HG33" s="92">
        <f>IFERROR(IF(AND($HG$2&lt;&gt;"Enter Spend&gt;&gt;&gt;",HH21="EXISTING"),SUMIFS('Existing Customers'!$Q:$Q,'Existing Customers'!$A:$A,$HG$1,'Existing Customers'!$H:$H,$HF33)*$HG$4,$HG$3*$HE33),0)</f>
        <v>0</v>
      </c>
      <c r="HH33" s="87">
        <f>IFERROR(IF(AND($HG$2&lt;&gt;"Enter Spend&gt;&gt;&gt;",HH2="EXISTING"),SUMIFS('Existing Customers'!$N:$N,'Existing Customers'!$A:$A,$HG$1,'Existing Customers'!$H:$H,$HF33)*$HG$4,$HG33/$HR33),0)</f>
        <v>0</v>
      </c>
      <c r="HI33" s="93">
        <f>IFERROR(IF(AND($HG$2&lt;&gt;"Enter Spend&gt;&gt;&gt;",HH2="EXISTING"),SUMIFS('Existing Customers'!$O:$O,'Existing Customers'!$H:$H,$HF33,'Existing Customers'!$A:$A,$HG$1)*$HG$4,$HH33*$HG$8),0)</f>
        <v>0</v>
      </c>
      <c r="HJ33" s="93">
        <f>IFERROR(IF(AND($HG$2&lt;&gt;"Enter Spend&gt;&gt;&gt;",HH2="EXISTING"),SUMIFS('Existing Customers'!$P:$P,'Existing Customers'!$A:$A,$HG$1,'Existing Customers'!$H:$H,$HF33)*$HG$4,$HG33/$HS33),0)</f>
        <v>0</v>
      </c>
      <c r="HK33" s="94">
        <f>IFERROR(IF(AND($HG$2&lt;&gt;"Enter Spend&gt;&gt;&gt;",HH2="EXISTING"),SUMIFS('Existing Customers'!$V:$V,'Existing Customers'!$H:$H,$HF33,'Existing Customers'!$A:$A,$HG$1)*$HG$4,0),0)</f>
        <v>0</v>
      </c>
      <c r="HL33" s="94">
        <f>IFERROR(IF(AND($HG$2&lt;&gt;"Enter Spend&gt;&gt;&gt;",HH2="EXISTING"),SUMIFS('Existing Customers'!$R:$R,'Existing Customers'!$H:$H,$HF33,'Existing Customers'!$A:$A,$HG$1)*$HG$4,0),0)</f>
        <v>0</v>
      </c>
      <c r="HM33" s="1050">
        <f>IFERROR(IF(AND($HG$2&lt;&gt;"Enter Spend&gt;&gt;&gt;",HH2="EXISTING"),SUMIFS('Existing Customers'!$S:$S,'Existing Customers'!$H:$H,$HF33,'Existing Customers'!$A:$A,$HG$1),HW33*HG33),0)</f>
        <v>0</v>
      </c>
      <c r="HN33" s="1050">
        <f>IFERROR(IF(AND($HG$2&lt;&gt;"Enter Spend&gt;&gt;&gt;",HH2="EXISTING"),SUMIFS('Existing Customers'!$U:$U,'Existing Customers'!$H:$H,$HF33,'Existing Customers'!$A:$A,$HG$1),HX33*HG33),0)</f>
        <v>0</v>
      </c>
      <c r="HO33" s="1053" t="e">
        <f>_xlfn.CONCAT('Customer Inputs'!$AG$13,"_",HF33)</f>
        <v>#N/A</v>
      </c>
      <c r="HP33" s="1053">
        <f t="array" ref="HP33">IFERROR(INDEX('Margin Guidence Table'!$A$1:$AG$10000,MATCH(1,('Margin Guidence Table'!$A$1:$A$10000=HO33)*('Margin Guidence Table'!$I$1:$I$10000&lt;=ROUND($HG$3,0))*('Margin Guidence Table'!$J$1:$J$10000&gt;=ROUND($HG$3,0)),0),MATCH("DATA_POINTS",'Margin Guidence Table'!$A$1:$AG$1,0)),0)</f>
        <v>0</v>
      </c>
      <c r="HQ33" s="1050" t="str">
        <f t="shared" si="41"/>
        <v>DEFAULT</v>
      </c>
      <c r="HR33" s="1050">
        <f t="array" ref="HR33">IFERROR(IF($HQ33="SEGMENT",INDEX('Margin Guidence Table'!$A$1:$AG$10000,MATCH(1,('Margin Guidence Table'!$A$1:$A$10000=HO33)*('Margin Guidence Table'!$I$1:$I$10000&lt;=ROUND($HG$3,0))*('Margin Guidence Table'!$J$1:$J$10000&gt;=ROUND($HG$3,0)),0),MATCH("SALES_CASE",'Margin Guidence Table'!$A$1:$AG$1,0)),INDEX('Margin Guidence Table'!$A$1:$AG$10000,MATCH(1,('Margin Guidence Table'!$A$1:$A$10000=HO33)*('Margin Guidence Table'!$I$1:$I$10000&lt;=ROUND($HG$3,0))*('Margin Guidence Table'!$J$1:$J$10000&gt;=ROUND($HG$3,0)),0),MATCH("DEFAULT_SALES_CASE",'Margin Guidence Table'!$A$1:$AG$1,0))),0)</f>
        <v>0</v>
      </c>
      <c r="HS33" s="1050">
        <f t="array" ref="HS33">IFERROR(IF($HQ33="SEGMENT",INDEX('Margin Guidence Table'!$A$1:$AG$10000,MATCH(1,('Margin Guidence Table'!$A$1:$A$10000=HO33)*('Margin Guidence Table'!$I$1:$I$10000&lt;=ROUND($HG$3,0))*('Margin Guidence Table'!$J$1:$J$10000&gt;=ROUND($HG$3,0)),0),MATCH("SALES_LBS",'Margin Guidence Table'!$A$1:$AG$1,0)),INDEX('Margin Guidence Table'!$A$1:$AG$10000,MATCH(1,('Margin Guidence Table'!$A$1:$A$10000=HO33)*('Margin Guidence Table'!$I$1:$I$10000&lt;=ROUND($HG$3,0))*('Margin Guidence Table'!$J$1:$J$10000&gt;=ROUND($HG$3,0)),0),MATCH("DEFAULT_SALES_LBS",'Margin Guidence Table'!$A$1:$AG$1,0))),0)</f>
        <v>0</v>
      </c>
      <c r="HT33" s="1054">
        <f t="array" ref="HT33">IFERROR(IF($HQ33="SEGMENT",INDEX('Margin Guidence Table'!$A$1:$AG$10000,MATCH(1,('Margin Guidence Table'!$A$1:$A$10000=HO33)*('Margin Guidence Table'!$I$1:$I$10000&lt;=ROUND($HG$3,0))*('Margin Guidence Table'!$J$1:$J$10000&gt;=ROUND($HG$3,0)),0),MATCH("MDA_MIN_MARGIN_GUIDENCE",'Margin Guidence Table'!$A$1:$AG$1,0)),INDEX('Margin Guidence Table'!$A$1:$AG$10000,MATCH(1,('Margin Guidence Table'!$A$1:$A$10000=HO33)*('Margin Guidence Table'!$I$1:$I$10000&lt;=ROUND($HG$3,0))*('Margin Guidence Table'!$J$1:$J$10000&gt;=ROUND($HG$3,0)),0),MATCH("DEFAULT_MDA_MIN_MARGIN_GUIDENCE",'Margin Guidence Table'!$A$1:$AG$1,0))),0)</f>
        <v>0</v>
      </c>
      <c r="HU33" s="1054">
        <f t="array" ref="HU33">IFERROR(IF($HQ33="SEGMENT",INDEX('Margin Guidence Table'!$A$1:$AG$10000,MATCH(1,('Margin Guidence Table'!$A$1:$A$10000=HO33)*('Margin Guidence Table'!$I$1:$I$10000&lt;=ROUND($HG$3,0))*('Margin Guidence Table'!$J$1:$J$10000&gt;=ROUND($HG$3,0)),0),MATCH("MDA_MEDIAN_MARGIN_GUIDENCE",'Margin Guidence Table'!$A$1:$AG$1,0)),INDEX('Margin Guidence Table'!$A$1:$AG$10000,MATCH(1,('Margin Guidence Table'!$A$1:$A$10000=HO33)*('Margin Guidence Table'!$I$1:$I$10000&lt;=ROUND($HG$3,0))*('Margin Guidence Table'!$J$1:$J$10000&gt;=ROUND($HG$3,0)),0),MATCH("DEFAULT_MDA_MEDIAN_MARGIN_GUIDENCE",'Margin Guidence Table'!$A$1:$AG$1,0))),0)</f>
        <v>0</v>
      </c>
      <c r="HV33" s="1054">
        <f t="array" ref="HV33">IFERROR(IF($HQ33="SEGMENT",INDEX('Margin Guidence Table'!$A$1:$AG$10000,MATCH(1,('Margin Guidence Table'!$A$1:$A$10000=HO33)*('Margin Guidence Table'!$I$1:$I$10000&lt;=ROUND($HG$3,0))*('Margin Guidence Table'!$J$1:$J$10000&gt;=ROUND($HG$3,0)),0),MATCH("MDA_MAX_MARGIN_GUIDENCE",'Margin Guidence Table'!$A$1:$AG$1,0)),INDEX('Margin Guidence Table'!$A$1:$AG$10000,MATCH(1,('Margin Guidence Table'!$A$1:$A$10000=HO33)*('Margin Guidence Table'!$I$1:$I$10000&lt;=ROUND($HG$3,0))*('Margin Guidence Table'!$J$1:$J$10000&gt;=ROUND($HG$3,0)),0),MATCH("DEFAULT_MDA_MAX_MARGIN_GUIDENCE",'Margin Guidence Table'!$A$1:$AG$1,0))),0)</f>
        <v>0</v>
      </c>
      <c r="HW33" s="1054">
        <f t="array" ref="HW33">IFERROR(IF($HQ33="SEGMENT",INDEX('Margin Guidence Table'!$A$1:$AG$10000,MATCH(1,('Margin Guidence Table'!$A$1:$A$10000=HO33)*('Margin Guidence Table'!$I$1:$I$10000&lt;=ROUND($HG$3,0))*('Margin Guidence Table'!$J$1:$J$10000&gt;=ROUND($HG$3,0)),0),MATCH("PA_PCT_SALES",'Margin Guidence Table'!$A$1:$AG$1,0)),INDEX('Margin Guidence Table'!$A$1:$AG$10000,MATCH(1,('Margin Guidence Table'!$A$1:$A$10000=HO33)*('Margin Guidence Table'!$I$1:$I$10000&lt;=ROUND($HG$3,0))*('Margin Guidence Table'!$J$1:$J$10000&gt;=ROUND($HG$3,0)),0),MATCH("DEFAULT_PA_PCT_SALES",'Margin Guidence Table'!$A$1:$AG$1,0))),0)</f>
        <v>0</v>
      </c>
      <c r="HX33" s="1054">
        <f t="array" ref="HX33">IFERROR(IF($HQ33="SEGMENT",INDEX('Margin Guidence Table'!$A$1:$AG$10000,MATCH(1,('Margin Guidence Table'!$A$1:$A$10000=HO33)*('Margin Guidence Table'!$I$1:$I$10000&lt;=ROUND($HG$3,0))*('Margin Guidence Table'!$J$1:$J$10000&gt;=ROUND($HG$3,0)),0),MATCH("SELF_FUND_PCT_SALES",'Margin Guidence Table'!$A$1:$AG$1,0)),INDEX('Margin Guidence Table'!$A$1:$AG$10000,MATCH(1,('Margin Guidence Table'!$A$1:$A$10000=HO33)*('Margin Guidence Table'!$I$1:$I$10000&lt;=ROUND($HG$3,0))*('Margin Guidence Table'!$J$1:$J$10000&gt;=ROUND($HG$3,0)),0),MATCH("DEFAULT_SELF_FUND_PCT_SALES",'Margin Guidence Table'!$A$1:$AG$1,0))),0)</f>
        <v>0</v>
      </c>
      <c r="HY33" s="1054">
        <f t="array" ref="HY33">IFERROR(IF($HQ33="SEGMENT",INDEX('Margin Guidence Table'!$A$1:$AG$10000,MATCH(1,('Margin Guidence Table'!$A$1:$A$10000=HO33)*('Margin Guidence Table'!$I$1:$I$10000&lt;=ROUND($HG$3,0))*('Margin Guidence Table'!$J$1:$J$10000&gt;=ROUND($HG$3,0)),0),MATCH("CIA_MEDIAN_MARGIN_GUIDENCE",'Margin Guidence Table'!$A$1:$AG$1,0)),INDEX('Margin Guidence Table'!$A$1:$AG$10000,MATCH(1,('Margin Guidence Table'!$A$1:$A$10000=HO33)*('Margin Guidence Table'!$I$1:$I$10000&lt;=ROUND($HG$3,0))*('Margin Guidence Table'!$J$1:$J$10000&gt;=ROUND($HG$3,0)),0),MATCH("DEFAULT_CIA_MEDIAN_MARGIN_GUIDENCE",'Margin Guidence Table'!$A$1:$AG$1,0))),0)</f>
        <v>0</v>
      </c>
      <c r="HZ33" s="127"/>
      <c r="IA33" s="18">
        <f t="array" ref="IA33">IFERROR(IF($IN33="SEGMENT",INDEX('Margin Guidence Table'!$A:$AC,MATCH(1,('Margin Guidence Table'!$A:$A=$IL33)*('Margin Guidence Table'!$H:$H&lt;=ROUND($ID$3,0))*('Margin Guidence Table'!$G:$G&gt;=ROUND($ID$3,0)),0),MATCH("PCT_SALES",'Margin Guidence Table'!$A$1:$AG$1,0)),INDEX('Margin Guidence Table'!$A:$AC,MATCH(1,('Margin Guidence Table'!$A:$A=$IL33)*('Margin Guidence Table'!$H:$H&lt;=ROUND($ID$3,0))*('Margin Guidence Table'!$G:$G&gt;=ROUND($ID$3,0)),0),MATCH("DEFAULT_PCT_SALES",'Margin Guidence Table'!$A$1:$AG$1,0))),0)</f>
        <v>0</v>
      </c>
      <c r="IB33" s="370" t="e">
        <f t="shared" si="42"/>
        <v>#DIV/0!</v>
      </c>
      <c r="IC33" s="100" t="s">
        <v>88</v>
      </c>
      <c r="ID33" s="92">
        <f>IFERROR(IF(AND($ID$2&lt;&gt;"Enter Spend&gt;&gt;&gt;",IE21="EXISTING"),SUMIFS('Existing Customers'!$Q:$Q,'Existing Customers'!$A:$A,$ID$1,'Existing Customers'!$H:$H,$IC33)*$ID$4,$ID$3*$IB33),0)</f>
        <v>0</v>
      </c>
      <c r="IE33" s="87">
        <f>IFERROR(IF(AND($ID$2&lt;&gt;"Enter Spend&gt;&gt;&gt;",IE2="EXISTING"),SUMIFS('Existing Customers'!$N:$N,'Existing Customers'!$A:$A,$ID$1,'Existing Customers'!$H:$H,$IC33)*$ID$4,$ID33/$IO33),0)</f>
        <v>0</v>
      </c>
      <c r="IF33" s="93">
        <f>IFERROR(IF(AND($ID$2&lt;&gt;"Enter Spend&gt;&gt;&gt;",IE2="EXISTING"),SUMIFS('Existing Customers'!$O:$O,'Existing Customers'!$H:$H,$IC33,'Existing Customers'!$A:$A,$ID$1)*$ID$4,$IE33*$ID$8),0)</f>
        <v>0</v>
      </c>
      <c r="IG33" s="93">
        <f>IFERROR(IF(AND($ID$2&lt;&gt;"Enter Spend&gt;&gt;&gt;",IE2="EXISTING"),SUMIFS('Existing Customers'!$P:$P,'Existing Customers'!$A:$A,$ID$1,'Existing Customers'!$H:$H,$IC33)*$ID$4,$ID33/$IP33),0)</f>
        <v>0</v>
      </c>
      <c r="IH33" s="376">
        <f>IFERROR(IF(AND($ID$2&lt;&gt;"Enter Spend&gt;&gt;&gt;",IE2="EXISTING"),SUMIFS('Existing Customers'!$V:$V,'Existing Customers'!$H:$H,$IC33,'Existing Customers'!$A:$A,$ID$1)*$ID$4,0),0)</f>
        <v>0</v>
      </c>
      <c r="II33" s="94">
        <f>IFERROR(IF(AND($ID$2&lt;&gt;"Enter Spend&gt;&gt;&gt;",IE2="EXISTING"),SUMIFS('Existing Customers'!$R:$R,'Existing Customers'!$H:$H,$IC33,'Existing Customers'!$A:$A,$ID$1)*$ID$4,0),0)</f>
        <v>0</v>
      </c>
      <c r="IJ33" s="1050">
        <f>IFERROR(IF(AND($ID$2&lt;&gt;"Enter Spend&gt;&gt;&gt;",IE2="EXISTING"),SUMIFS('Existing Customers'!$S:$S,'Existing Customers'!$H:$H,$IC33,'Existing Customers'!$A:$A,$ID$1),IT33*ID33),0)</f>
        <v>0</v>
      </c>
      <c r="IK33" s="1050">
        <f>IFERROR(IF(AND($ID$2&lt;&gt;"Enter Spend&gt;&gt;&gt;",IE2="EXISTING"),SUMIFS('Existing Customers'!$U:$U,'Existing Customers'!$H:$H,$IC33,'Existing Customers'!$A:$A,$ID$1),IU33*ID33),0)</f>
        <v>0</v>
      </c>
      <c r="IL33" s="1053" t="e">
        <f>_xlfn.CONCAT('Customer Inputs'!$AG$14,"_",IC33)</f>
        <v>#N/A</v>
      </c>
      <c r="IM33" s="1053">
        <f t="array" ref="IM33">IFERROR(INDEX('Margin Guidence Table'!$A$1:$AG$10000,MATCH(1,('Margin Guidence Table'!$A$1:$A$10000=IL33)*('Margin Guidence Table'!$I$1:$I$10000&lt;=ROUND($ID$3,0))*('Margin Guidence Table'!$J$1:$J$10000&gt;=ROUND($ID$3,0)),0),MATCH("DATA_POINTS",'Margin Guidence Table'!$A$1:$AG$1,0)),0)</f>
        <v>0</v>
      </c>
      <c r="IN33" s="1050" t="str">
        <f t="shared" si="43"/>
        <v>DEFAULT</v>
      </c>
      <c r="IO33" s="1050">
        <f t="array" ref="IO33">IFERROR(IF($IN33="SEGMENT",INDEX('Margin Guidence Table'!$A$1:$AG$10000,MATCH(1,('Margin Guidence Table'!$A$1:$A$10000=IL33)*('Margin Guidence Table'!$I$1:$I$10000&lt;=ROUND($ID$3,0))*('Margin Guidence Table'!$J$1:$J$10000&gt;=ROUND($ID$3,0)),0),MATCH("SALES_CASE",'Margin Guidence Table'!$A$1:$AG$1,0)),INDEX('Margin Guidence Table'!$A$1:$AG$10000,MATCH(1,('Margin Guidence Table'!$A$1:$A$10000=IL33)*('Margin Guidence Table'!$I$1:$I$10000&lt;=ROUND($ID$3,0))*('Margin Guidence Table'!$J$1:$J$10000&gt;=ROUND($ID$3,0)),0),MATCH("DEFAULT_SALES_CASE",'Margin Guidence Table'!$A$1:$AG$1,0))),0)</f>
        <v>0</v>
      </c>
      <c r="IP33" s="1050">
        <f t="array" ref="IP33">IFERROR(IF($IN33="SEGMENT",INDEX('Margin Guidence Table'!$A$1:$AG$10000,MATCH(1,('Margin Guidence Table'!$A$1:$A$10000=IL33)*('Margin Guidence Table'!$I$1:$I$10000&lt;=ROUND($ID$3,0))*('Margin Guidence Table'!$J$1:$J$10000&gt;=ROUND($ID$3,0)),0),MATCH("SALES_LBS",'Margin Guidence Table'!$A$1:$AG$1,0)),INDEX('Margin Guidence Table'!$A$1:$AG$10000,MATCH(1,('Margin Guidence Table'!$A$1:$A$10000=IL33)*('Margin Guidence Table'!$I$1:$I$10000&lt;=ROUND($ID$3,0))*('Margin Guidence Table'!$J$1:$J$10000&gt;=ROUND($ID$3,0)),0),MATCH("DEFAULT_SALES_LBS",'Margin Guidence Table'!$A$1:$AG$1,0))),0)</f>
        <v>0</v>
      </c>
      <c r="IQ33" s="1054">
        <f t="array" ref="IQ33">IFERROR(IF($IN33="SEGMENT",INDEX('Margin Guidence Table'!$A$1:$AG$10000,MATCH(1,('Margin Guidence Table'!$A$1:$A$10000=IL33)*('Margin Guidence Table'!$I$1:$I$10000&lt;=ROUND($ID$3,0))*('Margin Guidence Table'!$J$1:$J$10000&gt;=ROUND($ID$3,0)),0),MATCH("MDA_MIN_MARGIN_GUIDENCE",'Margin Guidence Table'!$A$1:$AG$1,0)),INDEX('Margin Guidence Table'!$A$1:$AG$10000,MATCH(1,('Margin Guidence Table'!$A$1:$A$10000=IL33)*('Margin Guidence Table'!$I$1:$I$10000&lt;=ROUND($ID$3,0))*('Margin Guidence Table'!$J$1:$J$10000&gt;=ROUND($ID$3,0)),0),MATCH("DEFAULT_MDA_MIN_MARGIN_GUIDENCE",'Margin Guidence Table'!$A$1:$AG$1,0))),0)</f>
        <v>0</v>
      </c>
      <c r="IR33" s="1054">
        <f t="array" ref="IR33">IFERROR(IF($IN33="SEGMENT",INDEX('Margin Guidence Table'!$A$1:$AG$10000,MATCH(1,('Margin Guidence Table'!$A$1:$A$10000=IL33)*('Margin Guidence Table'!$I$1:$I$10000&lt;=ROUND($ID$3,0))*('Margin Guidence Table'!$J$1:$J$10000&gt;=ROUND($ID$3,0)),0),MATCH("MDA_MEDIAN_MARGIN_GUIDENCE",'Margin Guidence Table'!$A$1:$AG$1,0)),INDEX('Margin Guidence Table'!$A$1:$AG$10000,MATCH(1,('Margin Guidence Table'!$A$1:$A$10000=IL33)*('Margin Guidence Table'!$I$1:$I$10000&lt;=ROUND($ID$3,0))*('Margin Guidence Table'!$J$1:$J$10000&gt;=ROUND($ID$3,0)),0),MATCH("DEFAULT_MDA_MEDIAN_MARGIN_GUIDENCE",'Margin Guidence Table'!$A$1:$AG$1,0))),0)</f>
        <v>0</v>
      </c>
      <c r="IS33" s="1054">
        <f t="array" ref="IS33">IFERROR(IF($IN33="SEGMENT",INDEX('Margin Guidence Table'!$A$1:$AG$10000,MATCH(1,('Margin Guidence Table'!$A$1:$A$10000=IL33)*('Margin Guidence Table'!$I$1:$I$10000&lt;=ROUND($ID$3,0))*('Margin Guidence Table'!$J$1:$J$10000&gt;=ROUND($ID$3,0)),0),MATCH("MDA_MAX_MARGIN_GUIDENCE",'Margin Guidence Table'!$A$1:$AG$1,0)),INDEX('Margin Guidence Table'!$A$1:$AG$10000,MATCH(1,('Margin Guidence Table'!$A$1:$A$10000=IL33)*('Margin Guidence Table'!$I$1:$I$10000&lt;=ROUND($ID$3,0))*('Margin Guidence Table'!$J$1:$J$10000&gt;=ROUND($ID$3,0)),0),MATCH("DEFAULT_MDA_MAX_MARGIN_GUIDENCE",'Margin Guidence Table'!$A$1:$AG$1,0))),0)</f>
        <v>0</v>
      </c>
      <c r="IT33" s="1054">
        <f t="array" ref="IT33">IFERROR(IF($IN33="SEGMENT",INDEX('Margin Guidence Table'!$A$1:$AG$10000,MATCH(1,('Margin Guidence Table'!$A$1:$A$10000=IL33)*('Margin Guidence Table'!$I$1:$I$10000&lt;=ROUND($ID$3,0))*('Margin Guidence Table'!$J$1:$J$10000&gt;=ROUND($ID$3,0)),0),MATCH("PA_PCT_SALES",'Margin Guidence Table'!$A$1:$AG$1,0)),INDEX('Margin Guidence Table'!$A$1:$AG$10000,MATCH(1,('Margin Guidence Table'!$A$1:$A$10000=IL33)*('Margin Guidence Table'!$I$1:$I$10000&lt;=ROUND($ID$3,0))*('Margin Guidence Table'!$J$1:$J$10000&gt;=ROUND($ID$3,0)),0),MATCH("DEFAULT_PA_PCT_SALES",'Margin Guidence Table'!$A$1:$AG$1,0))),0)</f>
        <v>0</v>
      </c>
      <c r="IU33" s="1054">
        <f t="array" ref="IU33">IFERROR(IF($IN33="SEGMENT",INDEX('Margin Guidence Table'!$A$1:$AG$10000,MATCH(1,('Margin Guidence Table'!$A$1:$A$10000=IL33)*('Margin Guidence Table'!$I$1:$I$10000&lt;=ROUND($ID$3,0))*('Margin Guidence Table'!$J$1:$J$10000&gt;=ROUND($ID$3,0)),0),MATCH("SELF_FUND_PCT_SALES",'Margin Guidence Table'!$A$1:$AG$1,0)),INDEX('Margin Guidence Table'!$A$1:$AG$10000,MATCH(1,('Margin Guidence Table'!$A$1:$A$10000=IL33)*('Margin Guidence Table'!$I$1:$I$10000&lt;=ROUND($ID$3,0))*('Margin Guidence Table'!$J$1:$J$10000&gt;=ROUND($ID$3,0)),0),MATCH("DEFAULT_SELF_FUND_PCT_SALES",'Margin Guidence Table'!$A$1:$AG$1,0))),0)</f>
        <v>0</v>
      </c>
      <c r="IV33" s="1054">
        <f t="array" ref="IV33">IFERROR(IF($IN33="SEGMENT",INDEX('Margin Guidence Table'!$A$1:$AG$10000,MATCH(1,('Margin Guidence Table'!$A$1:$A$10000=IL33)*('Margin Guidence Table'!$I$1:$I$10000&lt;=ROUND($ID$3,0))*('Margin Guidence Table'!$J$1:$J$10000&gt;=ROUND($ID$3,0)),0),MATCH("CIA_MEDIAN_MARGIN_GUIDENCE",'Margin Guidence Table'!$A$1:$AG$1,0)),INDEX('Margin Guidence Table'!$A$1:$AG$10000,MATCH(1,('Margin Guidence Table'!$A$1:$A$10000=IL33)*('Margin Guidence Table'!$I$1:$I$10000&lt;=ROUND($ID$3,0))*('Margin Guidence Table'!$J$1:$J$10000&gt;=ROUND($ID$3,0)),0),MATCH("DEFAULT_CIA_MEDIAN_MARGIN_GUIDENCE",'Margin Guidence Table'!$A$1:$AG$1,0))),0)</f>
        <v>0</v>
      </c>
      <c r="IW33" s="127"/>
      <c r="IX33" s="18">
        <f t="array" ref="IX33">IFERROR(IF($JK33="SEGMENT",INDEX('Margin Guidence Table'!$A$1:$AG$10000,MATCH(1,('Margin Guidence Table'!$A$1:$A$10000=$JI33)*('Margin Guidence Table'!$I$1:$I$10000&lt;=ROUND($JA$3,0))*('Margin Guidence Table'!$J$1:$J$10000&gt;=ROUND($JA$3,0)),0),MATCH("PCT_SALES",'Margin Guidence Table'!$A$1:$AG$1,0)),INDEX('Margin Guidence Table'!$A$1:$AG$10000,MATCH(1,('Margin Guidence Table'!$A$1:$A$10000=$JI33)*('Margin Guidence Table'!$I$1:$I$10000&lt;=ROUND($JA$3,0))*('Margin Guidence Table'!$J$1:$J$10000&gt;=ROUND($JA$3,0)),0),MATCH("DEFAULT_PCT_SALES",'Margin Guidence Table'!$A$1:$AG$1,0))),0)</f>
        <v>0</v>
      </c>
      <c r="IY33" s="370" t="e">
        <f t="shared" si="44"/>
        <v>#DIV/0!</v>
      </c>
      <c r="IZ33" s="100" t="s">
        <v>88</v>
      </c>
      <c r="JA33" s="92">
        <f>IFERROR(IF(AND($JA$2&lt;&gt;"Enter Spend&gt;&gt;&gt;",JB21="EXISTING"),SUMIFS('Existing Customers'!$Q:$Q,'Existing Customers'!$A:$A,$JA$1,'Existing Customers'!$H:$H,$IZ33)*$JA$4,$JA$3*$IY33),0)</f>
        <v>0</v>
      </c>
      <c r="JB33" s="87">
        <f>IFERROR(IF(AND($JA$2&lt;&gt;"Enter Spend&gt;&gt;&gt;",JB2="EXISTING"),SUMIFS('Existing Customers'!$N:$N,'Existing Customers'!$A:$A,$JA$1,'Existing Customers'!$H:$H,$IZ33)*$JA$4,$JA33/$JL33),0)</f>
        <v>0</v>
      </c>
      <c r="JC33" s="93">
        <f>IFERROR(IF(AND($JA$2&lt;&gt;"Enter Spend&gt;&gt;&gt;",JB2="EXISTING"),SUMIFS('Existing Customers'!$O:$O,'Existing Customers'!$H:$H,$IZ33,'Existing Customers'!$A:$A,$JA$1)*$JA$4,$JB33*$JA$8),0)</f>
        <v>0</v>
      </c>
      <c r="JD33" s="93">
        <f>IFERROR(IF(AND($JA$2&lt;&gt;"Enter Spend&gt;&gt;&gt;",JB2="EXISTING"),SUMIFS('Existing Customers'!$P:$P,'Existing Customers'!$A:$A,$JA$1,'Existing Customers'!$H:$H,$IZ33)*$JA$4,$JA33/$JM33),0)</f>
        <v>0</v>
      </c>
      <c r="JE33" s="376">
        <f>IFERROR(IF(AND($JA$2&lt;&gt;"Enter Spend&gt;&gt;&gt;",JB2="EXISTING"),SUMIFS('Existing Customers'!$V:$V,'Existing Customers'!$H:$H,$IZ33,'Existing Customers'!$A:$A,$JA$1)*$JA$4,0),0)</f>
        <v>0</v>
      </c>
      <c r="JF33" s="94">
        <f>IFERROR(IF(AND($JA$2&lt;&gt;"Enter Spend&gt;&gt;&gt;",JB2="EXISTING"),SUMIFS('Existing Customers'!$R:$R,'Existing Customers'!$H:$H,$IZ33,'Existing Customers'!$A:$A,$JA$1)*$JA$4,0),0)</f>
        <v>0</v>
      </c>
      <c r="JG33" s="1050">
        <f>IFERROR(IF(AND($JA$2&lt;&gt;"Enter Spend&gt;&gt;&gt;",JB2="EXISTING"),SUMIFS('Existing Customers'!$S:$S,'Existing Customers'!$H:$H,$IZ33,'Existing Customers'!$A:$A,$JA$1),JQ33*JA33),0)</f>
        <v>0</v>
      </c>
      <c r="JH33" s="1050">
        <f>IFERROR(IF(AND($JA$2&lt;&gt;"Enter Spend&gt;&gt;&gt;",JB2="EXISTING"),SUMIFS('Existing Customers'!$U:$U,'Existing Customers'!$H:$H,$IZ33,'Existing Customers'!$A:$A,$JA$1),JR33*JA33),0)</f>
        <v>0</v>
      </c>
      <c r="JI33" s="1053" t="e">
        <f>_xlfn.CONCAT('Customer Inputs'!$AG$15,"_",IZ33)</f>
        <v>#N/A</v>
      </c>
      <c r="JJ33" s="1053">
        <f t="array" ref="JJ33">IFERROR(INDEX('Margin Guidence Table'!$A$1:$AG$10000,MATCH(1,('Margin Guidence Table'!$A$1:$A$10000=JI33)*('Margin Guidence Table'!$I$1:$I$10000&lt;=ROUND($JA$3,0))*('Margin Guidence Table'!$J$1:$J$10000&gt;=ROUND($JA$3,0)),0),MATCH("DATA_POINTS",'Margin Guidence Table'!$A$1:$AG$1,0)),0)</f>
        <v>0</v>
      </c>
      <c r="JK33" s="1050" t="str">
        <f t="shared" si="45"/>
        <v>DEFAULT</v>
      </c>
      <c r="JL33" s="1050">
        <f t="array" ref="JL33">IFERROR(IF($JK33="SEGMENT",INDEX('Margin Guidence Table'!$A$1:$AG$10000,MATCH(1,('Margin Guidence Table'!$A$1:$A$10000=JI33)*('Margin Guidence Table'!$I$1:$I$10000&lt;=ROUND($JA$3,0))*('Margin Guidence Table'!$J$1:$J$10000&gt;=ROUND($JA$3,0)),0),MATCH("SALES_CASE",'Margin Guidence Table'!$A$1:$AG$1,0)),INDEX('Margin Guidence Table'!$A$1:$AG$10000,MATCH(1,('Margin Guidence Table'!$A$1:$A$10000=JI33)*('Margin Guidence Table'!$I$1:$I$10000&lt;=ROUND($JA$3,0))*('Margin Guidence Table'!$J$1:$J$10000&gt;=ROUND($JA$3,0)),0),MATCH("DEFAULT_SALES_CASE",'Margin Guidence Table'!$A$1:$AG$1,0))),0)</f>
        <v>0</v>
      </c>
      <c r="JM33" s="1050">
        <f t="array" ref="JM33">IFERROR(IF($JK33="SEGMENT",INDEX('Margin Guidence Table'!$A$1:$AG$10000,MATCH(1,('Margin Guidence Table'!$A$1:$A$10000=JI33)*('Margin Guidence Table'!$I$1:$I$10000&lt;=ROUND($JA$3,0))*('Margin Guidence Table'!$J$1:$J$10000&gt;=ROUND($JA$3,0)),0),MATCH("SALES_LBS",'Margin Guidence Table'!$A$1:$AG$1,0)),INDEX('Margin Guidence Table'!$A$1:$AG$10000,MATCH(1,('Margin Guidence Table'!$A$1:$A$10000=JI33)*('Margin Guidence Table'!$I$1:$I$10000&lt;=ROUND($JA$3,0))*('Margin Guidence Table'!$J$1:$J$10000&gt;=ROUND($JA$3,0)),0),MATCH("DEFAULT_SALES_LBS",'Margin Guidence Table'!$A$1:$AG$1,0))),0)</f>
        <v>0</v>
      </c>
      <c r="JN33" s="1054">
        <f t="array" ref="JN33">IFERROR(IF($JK33="SEGMENT",INDEX('Margin Guidence Table'!$A$1:$AG$10000,MATCH(1,('Margin Guidence Table'!$A$1:$A$10000=JI33)*('Margin Guidence Table'!$I$1:$I$10000&lt;=ROUND($JA$3,0))*('Margin Guidence Table'!$J$1:$J$10000&gt;=ROUND($JA$3,0)),0),MATCH("MDA_MIN_MARGIN_GUIDENCE",'Margin Guidence Table'!$A$1:$AG$1,0)),INDEX('Margin Guidence Table'!$A$1:$AG$10000,MATCH(1,('Margin Guidence Table'!$A$1:$A$10000=JI33)*('Margin Guidence Table'!$I$1:$I$10000&lt;=ROUND($JA$3,0))*('Margin Guidence Table'!$J$1:$J$10000&gt;=ROUND($JA$3,0)),0),MATCH("DEFAULT_MDA_MIN_MARGIN_GUIDENCE",'Margin Guidence Table'!$A$1:$AG$1,0))),0)</f>
        <v>0</v>
      </c>
      <c r="JO33" s="1054">
        <f t="array" ref="JO33">IFERROR(IF($JK33="SEGMENT",INDEX('Margin Guidence Table'!$A$1:$AG$10000,MATCH(1,('Margin Guidence Table'!$A$1:$A$10000=JI33)*('Margin Guidence Table'!$I$1:$I$10000&lt;=ROUND($JA$3,0))*('Margin Guidence Table'!$J$1:$J$10000&gt;=ROUND($JA$3,0)),0),MATCH("MDA_MEDIAN_MARGIN_GUIDENCE",'Margin Guidence Table'!$A$1:$AG$1,0)),INDEX('Margin Guidence Table'!$A$1:$AG$10000,MATCH(1,('Margin Guidence Table'!$A$1:$A$10000=JI33)*('Margin Guidence Table'!$I$1:$I$10000&lt;=ROUND($JA$3,0))*('Margin Guidence Table'!$J$1:$J$10000&gt;=ROUND($JA$3,0)),0),MATCH("DEFAULT_MDA_MEDIAN_MARGIN_GUIDENCE",'Margin Guidence Table'!$A$1:$AG$1,0))),0)</f>
        <v>0</v>
      </c>
      <c r="JP33" s="1054">
        <f t="array" ref="JP33">IFERROR(IF($JK33="SEGMENT",INDEX('Margin Guidence Table'!$A$1:$AG$10000,MATCH(1,('Margin Guidence Table'!$A$1:$A$10000=JI33)*('Margin Guidence Table'!$I$1:$I$10000&lt;=ROUND($JA$3,0))*('Margin Guidence Table'!$J$1:$J$10000&gt;=ROUND($JA$3,0)),0),MATCH("MDA_MAX_MARGIN_GUIDENCE",'Margin Guidence Table'!$A$1:$AG$1,0)),INDEX('Margin Guidence Table'!$A$1:$AG$10000,MATCH(1,('Margin Guidence Table'!$A$1:$A$10000=JI33)*('Margin Guidence Table'!$I$1:$I$10000&lt;=ROUND($JA$3,0))*('Margin Guidence Table'!$J$1:$J$10000&gt;=ROUND($JA$3,0)),0),MATCH("DEFAULT_MDA_MAX_MARGIN_GUIDENCE",'Margin Guidence Table'!$A$1:$AG$1,0))),0)</f>
        <v>0</v>
      </c>
      <c r="JQ33" s="1054">
        <f t="array" ref="JQ33">IFERROR(IF($JK33="SEGMENT",INDEX('Margin Guidence Table'!$A$1:$AG$10000,MATCH(1,('Margin Guidence Table'!$A$1:$A$10000=JI33)*('Margin Guidence Table'!$I$1:$I$10000&lt;=ROUND($JA$3,0))*('Margin Guidence Table'!$J$1:$J$10000&gt;=ROUND($JA$3,0)),0),MATCH("PA_PCT_SALES",'Margin Guidence Table'!$A$1:$AG$1,0)),INDEX('Margin Guidence Table'!$A$1:$AG$10000,MATCH(1,('Margin Guidence Table'!$A$1:$A$10000=JI33)*('Margin Guidence Table'!$I$1:$I$10000&lt;=ROUND($JA$3,0))*('Margin Guidence Table'!$J$1:$J$10000&gt;=ROUND($JA$3,0)),0),MATCH("DEFAULT_PA_PCT_SALES",'Margin Guidence Table'!$A$1:$AG$1,0))),0)</f>
        <v>0</v>
      </c>
      <c r="JR33" s="1054">
        <f t="array" ref="JR33">IFERROR(IF($JK33="SEGMENT",INDEX('Margin Guidence Table'!$A$1:$AG$10000,MATCH(1,('Margin Guidence Table'!$A$1:$A$10000=JI33)*('Margin Guidence Table'!$I$1:$I$10000&lt;=ROUND($JA$3,0))*('Margin Guidence Table'!$J$1:$J$10000&gt;=ROUND($JA$3,0)),0),MATCH("SELF_FUND_PCT_SALES",'Margin Guidence Table'!$A$1:$AG$1,0)),INDEX('Margin Guidence Table'!$A$1:$AG$10000,MATCH(1,('Margin Guidence Table'!$A$1:$A$10000=JI33)*('Margin Guidence Table'!$I$1:$I$10000&lt;=ROUND($JA$3,0))*('Margin Guidence Table'!$J$1:$J$10000&gt;=ROUND($JA$3,0)),0),MATCH("DEFAULT_SELF_FUND_PCT_SALES",'Margin Guidence Table'!$A$1:$AG$1,0))),0)</f>
        <v>0</v>
      </c>
      <c r="JS33" s="1054">
        <f t="array" ref="JS33">IFERROR(IF($JK33="SEGMENT",INDEX('Margin Guidence Table'!$A$1:$AG$10000,MATCH(1,('Margin Guidence Table'!$A$1:$A$10000=JI33)*('Margin Guidence Table'!$I$1:$I$10000&lt;=ROUND($JA$3,0))*('Margin Guidence Table'!$J$1:$J$10000&gt;=ROUND($JA$3,0)),0),MATCH("CIA_MEDIAN_MARGIN_GUIDENCE",'Margin Guidence Table'!$A$1:$AG$1,0)),INDEX('Margin Guidence Table'!$A$1:$AG$10000,MATCH(1,('Margin Guidence Table'!$A$1:$A$10000=JI33)*('Margin Guidence Table'!$I$1:$I$10000&lt;=ROUND($JA$3,0))*('Margin Guidence Table'!$J$1:$J$10000&gt;=ROUND($JA$3,0)),0),MATCH("DEFAULT_CIA_MEDIAN_MARGIN_GUIDENCE",'Margin Guidence Table'!$A$1:$AG$1,0))),0)</f>
        <v>0</v>
      </c>
      <c r="JU33" s="100" t="s">
        <v>88</v>
      </c>
      <c r="JV33" s="95"/>
      <c r="JW33" s="87"/>
      <c r="JX33" s="87"/>
      <c r="JY33" s="87"/>
      <c r="JZ33" s="112"/>
      <c r="KA33" s="96"/>
      <c r="KB33" s="127"/>
      <c r="KD33" s="100" t="s">
        <v>88</v>
      </c>
      <c r="KE33" s="95"/>
      <c r="KF33" s="87"/>
      <c r="KG33" s="87"/>
      <c r="KH33" s="87"/>
      <c r="KI33" s="112"/>
      <c r="KJ33" s="96"/>
    </row>
    <row r="34" spans="2:296" ht="15.75" thickBot="1" x14ac:dyDescent="0.3">
      <c r="B34" s="101" t="s">
        <v>87</v>
      </c>
      <c r="C34" s="449">
        <f t="shared" si="11"/>
        <v>0</v>
      </c>
      <c r="D34" s="465">
        <f t="shared" si="12"/>
        <v>0</v>
      </c>
      <c r="E34" s="465">
        <f t="shared" si="13"/>
        <v>0</v>
      </c>
      <c r="F34" s="465">
        <f t="shared" si="14"/>
        <v>0</v>
      </c>
      <c r="G34" s="466">
        <f t="shared" si="15"/>
        <v>0</v>
      </c>
      <c r="H34" s="465">
        <f t="shared" si="16"/>
        <v>0</v>
      </c>
      <c r="I34" s="1046" t="e">
        <f t="shared" si="0"/>
        <v>#DIV/0!</v>
      </c>
      <c r="J34" s="1046" t="e">
        <f t="shared" si="1"/>
        <v>#DIV/0!</v>
      </c>
      <c r="K34" s="1046" t="e">
        <f t="shared" si="2"/>
        <v>#DIV/0!</v>
      </c>
      <c r="L34" s="465" t="e">
        <f t="shared" si="3"/>
        <v>#DIV/0!</v>
      </c>
      <c r="M34" s="465" t="e">
        <f t="shared" si="17"/>
        <v>#DIV/0!</v>
      </c>
      <c r="N34" s="1047" t="e">
        <f t="shared" si="4"/>
        <v>#DIV/0!</v>
      </c>
      <c r="P34" t="str">
        <f>'PIM Model'!E30</f>
        <v>INCLUDE</v>
      </c>
      <c r="Q34">
        <f t="shared" si="18"/>
        <v>0</v>
      </c>
      <c r="R34">
        <f t="shared" si="19"/>
        <v>0</v>
      </c>
      <c r="S34" s="101" t="s">
        <v>87</v>
      </c>
      <c r="T34" s="97">
        <f t="shared" si="20"/>
        <v>0</v>
      </c>
      <c r="U34" s="98">
        <f t="shared" si="5"/>
        <v>0</v>
      </c>
      <c r="V34" s="98">
        <f t="shared" si="6"/>
        <v>0</v>
      </c>
      <c r="W34" s="98">
        <f t="shared" si="7"/>
        <v>0</v>
      </c>
      <c r="X34" s="113">
        <f t="shared" si="8"/>
        <v>0</v>
      </c>
      <c r="Y34" s="116">
        <f t="shared" si="21"/>
        <v>0</v>
      </c>
      <c r="Z34" s="374"/>
      <c r="AA34" s="101" t="s">
        <v>87</v>
      </c>
      <c r="AB34" s="457">
        <f t="shared" si="9"/>
        <v>0</v>
      </c>
      <c r="AC34" s="458">
        <f t="shared" si="9"/>
        <v>0</v>
      </c>
      <c r="AD34" s="458">
        <f t="shared" si="9"/>
        <v>0</v>
      </c>
      <c r="AE34" s="459">
        <f t="shared" si="22"/>
        <v>0</v>
      </c>
      <c r="AF34" s="460">
        <f t="shared" si="23"/>
        <v>0</v>
      </c>
      <c r="AG34" s="374"/>
      <c r="AH34" s="101" t="s">
        <v>87</v>
      </c>
      <c r="AI34" s="457">
        <f t="shared" si="10"/>
        <v>0</v>
      </c>
      <c r="AJ34" s="450">
        <f t="shared" si="24"/>
        <v>0</v>
      </c>
      <c r="AK34" s="460"/>
      <c r="AL34" s="374"/>
      <c r="AM34" s="1" t="str">
        <f>IF('PIM Ranges'!$AK32='PIM Ranges'!$AW$11,IF($AI34&lt;'PIM Ranges'!$AX$11,"Q1",IF($AI34&lt;'PIM Ranges'!$AY$11,"Q2",IF($AI34&lt;'PIM Ranges'!$AZ$11,"Q3",IF($AI34&lt;'PIM Ranges'!$BA$11,"Q4","Q5")))),IF('PIM Ranges'!$AK32='PIM Ranges'!$AW$12,IF($AI34&lt;'PIM Ranges'!$AX$12,"Q1",IF($AI34&lt;'PIM Ranges'!$AY$12,"Q2",IF($AI34&lt;'PIM Ranges'!$AZ$12,"Q3",IF($AI34&lt;'PIM Ranges'!$BA$12,"Q4","Q5")))),IF('PIM Ranges'!$AK32='PIM Ranges'!$AW$13,IF($AI34&lt;'PIM Ranges'!$AX$13,"Q1",IF($AI34&lt;'PIM Ranges'!$AY$13,"Q2",IF($AI34&lt;'PIM Ranges'!$AZ$13,"Q3",IF($AI34&lt;'PIM Ranges'!$BA$13,"Q4","Q5")))),IF('PIM Ranges'!$AK32='PIM Ranges'!$AW$14,IF($AI34&lt;'PIM Ranges'!$AX$14,"Q1",IF($AI34&lt;'PIM Ranges'!$AY$14,"Q2",IF($AI34&lt;'PIM Ranges'!$AZ$14,"Q3",IF($AI34&lt;'PIM Ranges'!$BA$14,"Q4","Q5")))),IF('PIM Ranges'!$AK32='PIM Ranges'!$AW$15,IF($AI34&lt;'PIM Ranges'!$AX$15,"Q1",IF($AI34&lt;'PIM Ranges'!$AY$15,"Q2",IF($AI34&lt;'PIM Ranges'!$AZ$15,"Q3",IF($AI34&lt;'PIM Ranges'!$BA$15,"Q4","Q5")))),IF('PIM Ranges'!$AK32='PIM Ranges'!$AW$16,IF($AI34&lt;'PIM Ranges'!$AX$16,"Q1",IF($AI34&lt;'PIM Ranges'!$AY$16,"Q2",IF($AI34&lt;'PIM Ranges'!$AZ$16,"Q3",IF($AI34&lt;'PIM Ranges'!$BA$16,"Q4","Q5")))),IF('PIM Ranges'!$AK32='PIM Ranges'!$AW$17,IF($AI34&lt;'PIM Ranges'!$AX$17,"Q1",IF($AI34&lt;'PIM Ranges'!$AY$17,"Q2",IF($AI34&lt;'PIM Ranges'!$AZ$17,"Q3",IF($AI34&lt;'PIM Ranges'!$BA$17,"Q4","Q5")))),IF('PIM Ranges'!$AK32='PIM Ranges'!$AW$18,IF($AI34&lt;'PIM Ranges'!$AX$18,"Q1",IF($AI34&lt;'PIM Ranges'!$AY$18,"Q2",IF($AI34&lt;'PIM Ranges'!$AZ$18,"Q3",IF($AI34&lt;'PIM Ranges'!$BA$18,"Q4","Q5")))),IF('PIM Ranges'!$AK32='PIM Ranges'!$AW$19,IF($AI34&lt;'PIM Ranges'!$AX$19,"Q1",IF($AI34&lt;'PIM Ranges'!$AY$19,"Q2",IF($AI34&lt;'PIM Ranges'!$AZ$19,"Q3",IF($AI34&lt;'PIM Ranges'!$BA$19,"Q4","Q5")))),IF('PIM Ranges'!$AK32='PIM Ranges'!$AW$20,IF($AI34&lt;'PIM Ranges'!$AX$20,"Q1",IF($AI34&lt;'PIM Ranges'!$AY$20,"Q2",IF($AI34&lt;'PIM Ranges'!$AZ$20,"Q3",IF($AI34&lt;'PIM Ranges'!$BA$20,"Q4","Q5")))),IF('PIM Ranges'!$AK32='PIM Ranges'!$AW$21,IF($AI34&lt;'PIM Ranges'!$AX$21,"Q1",IF($AI34&lt;'PIM Ranges'!$AY$21,"Q2",IF($AI34&lt;'PIM Ranges'!$AZ$21,"Q3",IF($AI34&lt;'PIM Ranges'!$BA$21,"Q4","Q5")))),IF('PIM Ranges'!$AK32='PIM Ranges'!$AW$22,IF($AI34&lt;'PIM Ranges'!$AX$22,"Q1",IF($AI34&lt;'PIM Ranges'!$AY$22,"Q2",IF($AI34&lt;'PIM Ranges'!$AZ$22,"Q3",IF($AI34&lt;'PIM Ranges'!$BA$22,"Q4","Q5")))),IF('PIM Ranges'!$AK32='PIM Ranges'!$AW$23,IF($AI34&lt;'PIM Ranges'!$AX$23,"Q1",IF($AI34&lt;'PIM Ranges'!$AY$23,"Q2",IF($AI34&lt;'PIM Ranges'!$AZ$23,"Q3",IF($AI34&lt;'PIM Ranges'!$BA$23,"Q4","Q5")))),IF('PIM Ranges'!$AK32='PIM Ranges'!$AW$24,IF($AI34&lt;'PIM Ranges'!$AX$24,"Q1",IF($AI34&lt;'PIM Ranges'!$AY$24,"Q2",IF($AI34&lt;'PIM Ranges'!$AZ$24,"Q3",IF($AI34&lt;'PIM Ranges'!$BA$24,"Q4","Q5")))),IF('PIM Ranges'!$AK32='PIM Ranges'!$AW$25,IF($AI34&lt;'PIM Ranges'!$AX$25,"Q1",IF($AI34&lt;'PIM Ranges'!$AY$25,"Q2",IF($AI34&lt;'PIM Ranges'!$AZ$25,"Q3",IF($AI34&lt;'PIM Ranges'!$BA$25,"Q4","Q5")))),IF('PIM Ranges'!$AK32='PIM Ranges'!$AW$26,IF($AI34&lt;'PIM Ranges'!$AX$26,"Q1",IF($AI34&lt;'PIM Ranges'!$AY$26,"Q2",IF($AI34&lt;'PIM Ranges'!$AZ$26,"Q3",IF($AI34&lt;'PIM Ranges'!$BA$26,"Q4","Q5")))),IF('PIM Ranges'!$AK32='PIM Ranges'!$AW$27,IF($AI34&lt;'PIM Ranges'!$AX$27,"Q1",IF($AI34&lt;'PIM Ranges'!$AY$27,"Q2",IF($AI34&lt;'PIM Ranges'!$AZ$27,"Q3",IF($AI34&lt;'PIM Ranges'!$BA$27,"Q4","Q5")))),IF('PIM Ranges'!$AK32='PIM Ranges'!$AW$28,IF($AI34&lt;'PIM Ranges'!$AX$28,"Q1",IF($AI34&lt;'PIM Ranges'!$AY$28,"Q2",IF($AI34&lt;'PIM Ranges'!$AZ$28,"Q3",IF($AI34&lt;'PIM Ranges'!$BA$28,"Q4","Q5")))),IF('PIM Ranges'!$AK32='PIM Ranges'!$AW$29,IF($AI34&lt;'PIM Ranges'!$AX$29,"Q1",IF($AI34&lt;'PIM Ranges'!$AY$29,"Q2",IF($AI34&lt;'PIM Ranges'!$AZ$29,"Q3",IF($AI34&lt;'PIM Ranges'!$BA$29,"Q4","Q5")))),IF('PIM Ranges'!$AK32='PIM Ranges'!$AW$30,IF($AI34&lt;'PIM Ranges'!$AX$30,"Q1",IF($AI34&lt;'PIM Ranges'!$AY$30,"Q2",IF($AI34&lt;'PIM Ranges'!$AZ$30,"Q3",IF($AI34&lt;'PIM Ranges'!$BA$30,"Q4","Q5")))),IF('PIM Ranges'!$AK32='PIM Ranges'!$AW$31,IF($AI34&lt;'PIM Ranges'!$AX$31,"Q1",IF($AI34&lt;'PIM Ranges'!$AY$31,"Q2",IF($AI34&lt;'PIM Ranges'!$AZ$31,"Q3",IF($AI34&lt;'PIM Ranges'!$BA$31,"Q4","Q5")))),IF('PIM Ranges'!$AK32='PIM Ranges'!$AW$32,IF($AI34&lt;'PIM Ranges'!$AX$32,"Q1",IF($AI34&lt;'PIM Ranges'!$AY$32,"Q2",IF($AI34&lt;'PIM Ranges'!$AZ$32,"Q3",IF($AI34&lt;'PIM Ranges'!$BA$32,"Q4","Q5"))))))))))))))))))))))))))</f>
        <v>Q1</v>
      </c>
      <c r="AN34" s="374">
        <f>VLOOKUP($AH34&amp;$AM34,'IMargin Quartiles'!$A:$F,6,FALSE)</f>
        <v>0.11</v>
      </c>
      <c r="AO34" s="374"/>
      <c r="AP34"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Q34" s="374" t="e">
        <f t="shared" si="25"/>
        <v>#DIV/0!</v>
      </c>
      <c r="AR34">
        <f>'PIM Model'!C30</f>
        <v>0</v>
      </c>
      <c r="AS34" s="374"/>
      <c r="AT34" s="374"/>
      <c r="AU34" s="374" t="e">
        <f t="shared" si="46"/>
        <v>#DIV/0!</v>
      </c>
      <c r="AV34" s="374"/>
      <c r="AW34" s="374"/>
      <c r="AX34" s="106">
        <v>23</v>
      </c>
      <c r="AY34" s="18">
        <f t="array" ref="AY34">IFERROR(IF($BL34="SEGMENT",INDEX('Margin Guidence Table'!$A$1:$AG$10000,MATCH(1,('Margin Guidence Table'!$A$1:$A$10000=$BJ34)*('Margin Guidence Table'!$I$1:$I$10000&lt;=ROUND($BB$3,0))*('Margin Guidence Table'!$J$1:$J$10000&gt;=ROUND($BB$3,0)),0),MATCH("PCT_SALES",'Margin Guidence Table'!$A$1:$AG$1,0)),INDEX('Margin Guidence Table'!$A$1:$AG$10000,MATCH(1,('Margin Guidence Table'!$A$1:$A$10000=$BJ34)*('Margin Guidence Table'!$I$1:$I$10000&lt;=ROUND($BB$3,0))*('Margin Guidence Table'!$J$1:$J$10000&gt;=ROUND($BB$3,0)),0),MATCH("DEFAULT_PCT_SALES",'Margin Guidence Table'!$A$1:$AG$1,0))),0)</f>
        <v>0</v>
      </c>
      <c r="AZ34" s="370" t="e">
        <f t="shared" si="26"/>
        <v>#DIV/0!</v>
      </c>
      <c r="BA34" s="101" t="s">
        <v>87</v>
      </c>
      <c r="BB34" s="92">
        <f>IFERROR(IF(AND($BB$2&lt;&gt;"Enter Spend&gt;&gt;&gt;",BC22="EXISTING"),SUMIFS('Existing Customers'!$Q:$Q,'Existing Customers'!$A:$A,$BB$1,'Existing Customers'!$H:$H,$BA34)*$BB$4,$BB$3*$AZ34),0)</f>
        <v>0</v>
      </c>
      <c r="BC34" s="93">
        <f>IFERROR(IF(AND($BB$2&lt;&gt;"Enter Spend&gt;&gt;&gt;",BC2="EXISTING"),SUMIFS('Existing Customers'!$N:$N,'Existing Customers'!$A:$A,$BB$1,'Existing Customers'!$H:$H,$BA34)*$BB$4,$BB34/$BM34),0)</f>
        <v>0</v>
      </c>
      <c r="BD34" s="93">
        <f>IFERROR(IF(AND($BB$2&lt;&gt;"Enter Spend&gt;&gt;&gt;",BC2="EXISTING"),SUMIFS('Existing Customers'!$O:$O,'Existing Customers'!$H:$H,$BA34,'Existing Customers'!$A:$A,$BB$1)*$BB$4,$BC34*$BB$8),0)</f>
        <v>0</v>
      </c>
      <c r="BE34" s="93">
        <f>IFERROR(IF(AND($BB$2&lt;&gt;"Enter Spend&gt;&gt;&gt;",BC2="EXISTING"),SUMIFS('Existing Customers'!$P:$P,'Existing Customers'!$A:$A,$BB$1,'Existing Customers'!$H:$H,$BA34)*$BB$4,$BB34/$BN34),0)</f>
        <v>0</v>
      </c>
      <c r="BF34" s="376">
        <f>IFERROR(IF(AND($BB$2&lt;&gt;"Enter Spend&gt;&gt;&gt;",BC2="EXISTING"),SUMIFS('Existing Customers'!$V:$V,'Existing Customers'!$H:$H,$BA34,'Existing Customers'!$A:$A,$BB$1)*$BB$4,0),0)</f>
        <v>0</v>
      </c>
      <c r="BG34" s="94">
        <f>IFERROR(IF(AND($BB$2&lt;&gt;"Enter Spend&gt;&gt;&gt;",BC2="EXISTING"),SUMIFS('Existing Customers'!$R:$R,'Existing Customers'!$H:$H,$BA34,'Existing Customers'!$A:$A,$BB$1)*$BB$4,0),0)</f>
        <v>0</v>
      </c>
      <c r="BH34" s="94">
        <f>IFERROR(IF(AND($BB$2&lt;&gt;"Enter Spend&gt;&gt;&gt;",BC2="EXISTING"),SUMIFS('Existing Customers'!$S:$S,'Existing Customers'!$H:$H,$BA34,'Existing Customers'!$A:$A,$BB$1),BR34*BB34),0)</f>
        <v>0</v>
      </c>
      <c r="BI34" s="94">
        <f>IFERROR(IF(AND($BB$2&lt;&gt;"Enter Spend&gt;&gt;&gt;",BC2="EXISTING"),SUMIFS('Existing Customers'!$U:$U,'Existing Customers'!$H:$H,$BA34,'Existing Customers'!$A:$A,$BB$1),BS34*BB34),0)</f>
        <v>0</v>
      </c>
      <c r="BJ34" s="1052" t="e">
        <f>_xlfn.CONCAT('Customer Inputs'!$AG$6,"_",BA34)</f>
        <v>#N/A</v>
      </c>
      <c r="BK34" s="1053">
        <f t="array" ref="BK34">IFERROR(INDEX('Margin Guidence Table'!$A$1:$AG$10000,MATCH(1,('Margin Guidence Table'!$A$1:$A$10000=$BJ34)*('Margin Guidence Table'!$I$1:$I$10000&lt;=ROUND($BB$3,0))*('Margin Guidence Table'!$J$1:$J$10000&gt;=ROUND($BB$3,0)),0),MATCH("DATA_POINTS",'Margin Guidence Table'!$A$1:$AG$1,0)),0)</f>
        <v>0</v>
      </c>
      <c r="BL34" s="1050" t="str">
        <f t="shared" si="27"/>
        <v>DEFAULT</v>
      </c>
      <c r="BM34" s="1050">
        <f t="array" ref="BM34">IFERROR(IF($BL34="SEGMENT",INDEX('Margin Guidence Table'!$A$1:$AG$10000,MATCH(1,('Margin Guidence Table'!$A$1:$A$10000=$BJ34)*('Margin Guidence Table'!$I$1:$I$10000&lt;=ROUND($BB$3,0))*('Margin Guidence Table'!$J$1:$J$10000&gt;=ROUND($BB$3,0)),0),MATCH("SALES_CASE",'Margin Guidence Table'!$A$1:$AG$1,0)),INDEX('Margin Guidence Table'!$A$1:$AG$10000,MATCH(1,('Margin Guidence Table'!$A$1:$A$10000=$BJ34)*('Margin Guidence Table'!$I$1:$I$10000&lt;=ROUND($BB$3,0))*('Margin Guidence Table'!$J$1:$J$10000&gt;=ROUND($BB$3,0)),0),MATCH("DEFAULT_SALES_CASE",'Margin Guidence Table'!$A$1:$AG$1,0))),0)</f>
        <v>0</v>
      </c>
      <c r="BN34" s="1050">
        <f t="array" ref="BN34">IFERROR(IF($BL34="SEGMENT",INDEX('Margin Guidence Table'!$A$1:$AG$10000,MATCH(1,('Margin Guidence Table'!$A$1:$A$10000=$BJ34)*('Margin Guidence Table'!$I$1:$I$10000&lt;=ROUND($BB$3,0))*('Margin Guidence Table'!$J$1:$J$10000&gt;=ROUND($BB$3,0)),0),MATCH("SALES_LBS",'Margin Guidence Table'!$A$1:$AG$1,0)),INDEX('Margin Guidence Table'!$A$1:$AG$10000,MATCH(1,('Margin Guidence Table'!$A$1:$A$10000=$BJ34)*('Margin Guidence Table'!$I$1:$I$10000&lt;=ROUND($BB$3,0))*('Margin Guidence Table'!$J$1:$J$10000&gt;=ROUND($BB$3,0)),0),MATCH("DEFAULT_SALES_LBS",'Margin Guidence Table'!$A$1:$AG$1,0))),0)</f>
        <v>0</v>
      </c>
      <c r="BO34" s="1054">
        <f t="array" ref="BO34">IFERROR(IF($BL34="SEGMENT",INDEX('Margin Guidence Table'!$A$1:$AG$10000,MATCH(1,('Margin Guidence Table'!$A$1:$A$10000=$BJ34)*('Margin Guidence Table'!$I$1:$I$10000&lt;=ROUND($BB$3,0))*('Margin Guidence Table'!$J$1:$J$10000&gt;=ROUND($BB$3,0)),0),MATCH("MDA_MIN_MARGIN_GUIDENCE",'Margin Guidence Table'!$A$1:$AG$1,0)),INDEX('Margin Guidence Table'!$A$1:$AG$10000,MATCH(1,('Margin Guidence Table'!$A$1:$A$10000=$BJ34)*('Margin Guidence Table'!$I$1:$I$10000&lt;=ROUND($BB$3,0))*('Margin Guidence Table'!$J$1:$J$10000&gt;=ROUND($BB$3,0)),0),MATCH("DEFAULT_MDA_MIN_MARGIN_GUIDENCE",'Margin Guidence Table'!$A$1:$AG$1,0))),0)</f>
        <v>0</v>
      </c>
      <c r="BP34" s="1054">
        <f t="array" ref="BP34">IFERROR(IF($BL34="SEGMENT",INDEX('Margin Guidence Table'!$A$1:$AG$10000,MATCH(1,('Margin Guidence Table'!$A$1:$A$10000=$BJ34)*('Margin Guidence Table'!$I$1:$I$10000&lt;=ROUND($BB$3,0))*('Margin Guidence Table'!$J$1:$J$10000&gt;=ROUND($BB$3,0)),0),MATCH("MDA_MEDIAN_MARGIN_GUIDENCE",'Margin Guidence Table'!$A$1:$AG$1,0)),INDEX('Margin Guidence Table'!$A$1:$AG$10000,MATCH(1,('Margin Guidence Table'!$A$1:$A$10000=$BJ34)*('Margin Guidence Table'!$I$1:$I$10000&lt;=ROUND($BB$3,0))*('Margin Guidence Table'!$J$1:$J$10000&gt;=ROUND($BB$3,0)),0),MATCH("DEFAULT_MDA_MEDIAN_MARGIN_GUIDENCE",'Margin Guidence Table'!$A$1:$AG$1,0))),0)</f>
        <v>0</v>
      </c>
      <c r="BQ34" s="1054">
        <f t="array" ref="BQ34">IFERROR(IF($BL34="SEGMENT",INDEX('Margin Guidence Table'!$A$1:$AG$10000,MATCH(1,('Margin Guidence Table'!$A$1:$A$10000=$BJ34)*('Margin Guidence Table'!$I$1:$I$10000&lt;=ROUND($BB$3,0))*('Margin Guidence Table'!$J$1:$J$10000&gt;=ROUND($BB$3,0)),0),MATCH("MDA_MAX_MARGIN_GUIDENCE",'Margin Guidence Table'!$A$1:$AG$1,0)),INDEX('Margin Guidence Table'!$A$1:$AG$10000,MATCH(1,('Margin Guidence Table'!$A$1:$A$10000=$BJ34)*('Margin Guidence Table'!$I$1:$I$10000&lt;=ROUND($BB$3,0))*('Margin Guidence Table'!$J$1:$J$10000&gt;=ROUND($BB$3,0)),0),MATCH("DEFAULT_MDA_MAX_MARGIN_GUIDENCE",'Margin Guidence Table'!$A$1:$AG$1,0))),0)</f>
        <v>0</v>
      </c>
      <c r="BR34" s="1054">
        <f t="array" ref="BR34">IFERROR(IF($BL34="SEGMENT",INDEX('Margin Guidence Table'!$A$1:$AG$10000,MATCH(1,('Margin Guidence Table'!$A$1:$A$10000=$BJ34)*('Margin Guidence Table'!$I$1:$I$10000&lt;=ROUND($BB$3,0))*('Margin Guidence Table'!$J$1:$J$10000&gt;=ROUND($BB$3,0)),0),MATCH("PA_PCT_SALES",'Margin Guidence Table'!$A$1:$AG$1,0)),INDEX('Margin Guidence Table'!$A$1:$AG$10000,MATCH(1,('Margin Guidence Table'!$A$1:$A$10000=$BJ34)*('Margin Guidence Table'!$I$1:$I$10000&lt;=ROUND($BB$3,0))*('Margin Guidence Table'!$J$1:$J$10000&gt;=ROUND($BB$3,0)),0),MATCH("DEFAULT_PA_PCT_SALES",'Margin Guidence Table'!$A$1:$AG$1,0))),0)</f>
        <v>0</v>
      </c>
      <c r="BS34" s="1054">
        <f t="array" ref="BS34">IFERROR(IF($BL34="SEGMENT",INDEX('Margin Guidence Table'!$A$1:$AG$10000,MATCH(1,('Margin Guidence Table'!$A$1:$A$10000=$BJ34)*('Margin Guidence Table'!$I$1:$I$10000&lt;=ROUND($BB$3,0))*('Margin Guidence Table'!$J$1:$J$10000&gt;=ROUND($BB$3,0)),0),MATCH("SELF_FUND_PCT_SALES",'Margin Guidence Table'!$A$1:$AG$1,0)),INDEX('Margin Guidence Table'!$A$1:$AG$10000,MATCH(1,('Margin Guidence Table'!$A$1:$A$10000=$BJ34)*('Margin Guidence Table'!$I$1:$I$10000&lt;=ROUND($BB$3,0))*('Margin Guidence Table'!$J$1:$J$10000&gt;=ROUND($BB$3,0)),0),MATCH("DEFAULT_SELF_FUND_PCT_SALES",'Margin Guidence Table'!$A$1:$AG$1,0))),0)</f>
        <v>0</v>
      </c>
      <c r="BT34" s="1054">
        <f t="array" ref="BT34">IFERROR(IF($BL34="SEGMENT",INDEX('Margin Guidence Table'!$A$1:$AG$10000,MATCH(1,('Margin Guidence Table'!$A$1:$A$10000=$BJ34)*('Margin Guidence Table'!$I$1:$I$10000&lt;=ROUND($BB$3,0))*('Margin Guidence Table'!$J$1:$J$10000&gt;=ROUND($BB$3,0)),0),MATCH("CIA_MEDIAN_MARGIN_GUIDENCE",'Margin Guidence Table'!$A$1:$AG$1,0)),INDEX('Margin Guidence Table'!$A$1:$AG$10000,MATCH(1,('Margin Guidence Table'!$A$1:$A$10000=$BJ34)*('Margin Guidence Table'!$I$1:$I$10000&lt;=ROUND($BB$3,0))*('Margin Guidence Table'!$J$1:$J$10000&gt;=ROUND($BB$3,0)),0),MATCH("DEFAULT_CIA_MEDIAN_MARGIN_GUIDENCE",'Margin Guidence Table'!$A$1:$AG$1,0))),0)</f>
        <v>0</v>
      </c>
      <c r="BU34" s="127"/>
      <c r="BV34" s="18">
        <f t="array" ref="BV34">IFERROR(IF($CI34="SEGMENT",INDEX('Margin Guidence Table'!$A$1:$AG$10000,MATCH(1,('Margin Guidence Table'!$A$1:$A$10000=$CG34)*('Margin Guidence Table'!$I$1:$I$10000&lt;=ROUND($BY$3,0))*('Margin Guidence Table'!$J$1:$J$10000&gt;=ROUND($BY$3,0)),0),MATCH("PCT_SALES",'Margin Guidence Table'!$A$1:$AG$1,0)),INDEX('Margin Guidence Table'!$A$1:$AG$10000,MATCH(1,('Margin Guidence Table'!$A$1:$A$10000=$CG34)*('Margin Guidence Table'!$I$1:$I$10000&lt;=ROUND($BY$3,0))*('Margin Guidence Table'!$J$1:$J$10000&gt;=ROUND($BY$3,0)),0),MATCH("DEFAULT_PCT_SALES",'Margin Guidence Table'!$A$1:$AG$1,0))),0)</f>
        <v>0</v>
      </c>
      <c r="BW34" s="370" t="e">
        <f t="shared" si="28"/>
        <v>#DIV/0!</v>
      </c>
      <c r="BX34" s="101" t="s">
        <v>87</v>
      </c>
      <c r="BY34" s="92">
        <f>IFERROR(IF(AND($BY$2&lt;&gt;"Enter Spend&gt;&gt;&gt;",BZ22="EXISTING"),SUMIFS('Existing Customers'!$Q:$Q,'Existing Customers'!$A:$A,$BY$1,'Existing Customers'!$H:$H,$BX34)*$BY$4,$BY$3*$BW34),0)</f>
        <v>0</v>
      </c>
      <c r="BZ34" s="87">
        <f>IFERROR(IF(AND($BY$2&lt;&gt;"Enter Spend&gt;&gt;&gt;",BZ2="EXISTING"),SUMIFS('Existing Customers'!$N:$N,'Existing Customers'!$A:$A,$BY$1,'Existing Customers'!$H:$H,$BX34)*$BY$4,$BY34/$CJ34),0)</f>
        <v>0</v>
      </c>
      <c r="CA34" s="93">
        <f>IFERROR(IF(AND($BY$2&lt;&gt;"Enter Spend&gt;&gt;&gt;",BZ2="EXISTING"),SUMIFS('Existing Customers'!$O:$O,'Existing Customers'!$H:$H,$BX34,'Existing Customers'!$A:$A,$BY$1)*$BY$4,$BZ34*$BY$8),0)</f>
        <v>0</v>
      </c>
      <c r="CB34" s="93">
        <f>IFERROR(IF(AND($BY$2&lt;&gt;"Enter Spend&gt;&gt;&gt;",BZ2="EXISTING"),SUMIFS('Existing Customers'!$P:$P,'Existing Customers'!$A:$A,$BY$1,'Existing Customers'!$H:$H,$BX34)*$BY$4,$BY34/$CK34),0)</f>
        <v>0</v>
      </c>
      <c r="CC34" s="94">
        <f>IFERROR(IF(AND($BY$2&lt;&gt;"Enter Spend&gt;&gt;&gt;",BZ2="EXISTING"),SUMIFS('Existing Customers'!$V:$V,'Existing Customers'!$H:$H,$BX34,'Existing Customers'!$A:$A,$BY$1)*$BY$4,0),0)</f>
        <v>0</v>
      </c>
      <c r="CD34" s="94">
        <f>IFERROR(IF(AND($BY$2&lt;&gt;"Enter Spend&gt;&gt;&gt;",BZ2="EXISTING"),SUMIFS('Existing Customers'!$R:$R,'Existing Customers'!$H:$H,$BX34,'Existing Customers'!$A:$A,$BY$1)*$BY$4,0),0)</f>
        <v>0</v>
      </c>
      <c r="CE34" s="1050">
        <f>IFERROR(IF(AND($BY$2&lt;&gt;"Enter Spend&gt;&gt;&gt;",BZ2="EXISTING"),SUMIFS('Existing Customers'!$S:$S,'Existing Customers'!$H:$H,$BX34,'Existing Customers'!$A:$A,$BY$1),CO34*BY34),0)</f>
        <v>0</v>
      </c>
      <c r="CF34" s="1050">
        <f>IFERROR(IF(AND($BY$2&lt;&gt;"Enter Spend&gt;&gt;&gt;",BZ2="EXISTING"),SUMIFS('Existing Customers'!$U:$U,'Existing Customers'!$H:$H,$BX34,'Existing Customers'!$A:$A,$BY$1),CP34*BY34),0)</f>
        <v>0</v>
      </c>
      <c r="CG34" s="1053" t="e">
        <f>_xlfn.CONCAT('Customer Inputs'!$AG$7,"_",BX34)</f>
        <v>#N/A</v>
      </c>
      <c r="CH34" s="1053">
        <f t="array" ref="CH34">IFERROR(INDEX('Margin Guidence Table'!$A$1:$AG$10000,MATCH(1,('Margin Guidence Table'!$A$1:$A$10000=$CG34)*('Margin Guidence Table'!$I$1:$I$10000&lt;=ROUND($BY$3,0))*('Margin Guidence Table'!$J$1:$J$10000&gt;=ROUND($BY$3,0)),0),MATCH("DATA_POINTS",'Margin Guidence Table'!$A$1:$AG$1,0)),0)</f>
        <v>0</v>
      </c>
      <c r="CI34" s="1050" t="str">
        <f t="shared" si="29"/>
        <v>DEFAULT</v>
      </c>
      <c r="CJ34" s="1050">
        <f t="array" ref="CJ34">IFERROR(IF($CI34="SEGMENT",INDEX('Margin Guidence Table'!$A$1:$AG$10000,MATCH(1,('Margin Guidence Table'!$A$1:$A$10000=$CG34)*('Margin Guidence Table'!$I$1:$I$10000&lt;=ROUND($BY$3,0))*('Margin Guidence Table'!$J$1:$J$10000&gt;=ROUND($BY$3,0)),0),MATCH("SALES_CASE",'Margin Guidence Table'!$A$1:$AG$1,0)),INDEX('Margin Guidence Table'!$A$1:$AG$10000,MATCH(1,('Margin Guidence Table'!$A$1:$A$10000=$CG34)*('Margin Guidence Table'!$I$1:$I$10000&lt;=ROUND($BY$3,0))*('Margin Guidence Table'!$J$1:$J$10000&gt;=ROUND($BY$3,0)),0),MATCH("DEFAULT_SALES_CASE",'Margin Guidence Table'!$A$1:$AG$1,0))),0)</f>
        <v>0</v>
      </c>
      <c r="CK34" s="1050">
        <f t="array" ref="CK34">IFERROR(IF($CI34="SEGMENT",INDEX('Margin Guidence Table'!$A$1:$AG$10000,MATCH(1,('Margin Guidence Table'!$A$1:$A$10000=$CG34)*('Margin Guidence Table'!$I$1:$I$10000&lt;=ROUND($BY$3,0))*('Margin Guidence Table'!$J$1:$J$10000&gt;=ROUND($BY$3,0)),0),MATCH("SALES_LBS",'Margin Guidence Table'!$A$1:$AG$1,0)),INDEX('Margin Guidence Table'!$A$1:$AG$10000,MATCH(1,('Margin Guidence Table'!$A$1:$A$10000=$CG34)*('Margin Guidence Table'!$I$1:$I$10000&lt;=ROUND($BY$3,0))*('Margin Guidence Table'!$J$1:$J$10000&gt;=ROUND($BY$3,0)),0),MATCH("DEFAULT_SALES_LBS",'Margin Guidence Table'!$A$1:$AG$1,0))),0)</f>
        <v>0</v>
      </c>
      <c r="CL34" s="1054">
        <f t="array" ref="CL34">IFERROR(IF($CI34="SEGMENT",INDEX('Margin Guidence Table'!$A$1:$AG$10000,MATCH(1,('Margin Guidence Table'!$A$1:$A$10000=$CG34)*('Margin Guidence Table'!$I$1:$I$10000&lt;=ROUND($BY$3,0))*('Margin Guidence Table'!$J$1:$J$10000&gt;=ROUND($BY$3,0)),0),MATCH("MDA_MIN_MARGIN_GUIDENCE",'Margin Guidence Table'!$A$1:$AG$1,0)),INDEX('Margin Guidence Table'!$A$1:$AG$10000,MATCH(1,('Margin Guidence Table'!$A$1:$A$10000=$CG34)*('Margin Guidence Table'!$I$1:$I$10000&lt;=ROUND($BY$3,0))*('Margin Guidence Table'!$J$1:$J$10000&gt;=ROUND($BY$3,0)),0),MATCH("DEFAULT_MDA_MIN_MARGIN_GUIDENCE",'Margin Guidence Table'!$A$1:$AG$1,0))),0)</f>
        <v>0</v>
      </c>
      <c r="CM34" s="1054">
        <f t="array" ref="CM34">IFERROR(IF($CI34="SEGMENT",INDEX('Margin Guidence Table'!$A$1:$AG$10000,MATCH(1,('Margin Guidence Table'!$A$1:$A$10000=$CG34)*('Margin Guidence Table'!$I$1:$I$10000&lt;=ROUND($BY$3,0))*('Margin Guidence Table'!$J$1:$J$10000&gt;=ROUND($BY$3,0)),0),MATCH("MDA_MEDIAN_MARGIN_GUIDENCE",'Margin Guidence Table'!$A$1:$AG$1,0)),INDEX('Margin Guidence Table'!$A$1:$AG$10000,MATCH(1,('Margin Guidence Table'!$A$1:$A$10000=$CG34)*('Margin Guidence Table'!$I$1:$I$10000&lt;=ROUND($BY$3,0))*('Margin Guidence Table'!$J$1:$J$10000&gt;=ROUND($BY$3,0)),0),MATCH("DEFAULT_MDA_MEDIAN_MARGIN_GUIDENCE",'Margin Guidence Table'!$A$1:$AG$1,0))),0)</f>
        <v>0</v>
      </c>
      <c r="CN34" s="1054">
        <f t="array" ref="CN34">IFERROR(IF($CI34="SEGMENT",INDEX('Margin Guidence Table'!$A$1:$AG$10000,MATCH(1,('Margin Guidence Table'!$A$1:$A$10000=$CG34)*('Margin Guidence Table'!$I$1:$I$10000&lt;=ROUND($BY$3,0))*('Margin Guidence Table'!$J$1:$J$10000&gt;=ROUND($BY$3,0)),0),MATCH("MDA_MAX_MARGIN_GUIDENCE",'Margin Guidence Table'!$A$1:$AG$1,0)),INDEX('Margin Guidence Table'!$A$1:$AG$10000,MATCH(1,('Margin Guidence Table'!$A$1:$A$10000=$CG34)*('Margin Guidence Table'!$I$1:$I$10000&lt;=ROUND($BY$3,0))*('Margin Guidence Table'!$J$1:$J$10000&gt;=ROUND($BY$3,0)),0),MATCH("DEFAULT_MDA_MAX_MARGIN_GUIDENCE",'Margin Guidence Table'!$A$1:$AG$1,0))),0)</f>
        <v>0</v>
      </c>
      <c r="CO34" s="1054">
        <f t="array" ref="CO34">IFERROR(IF($CI34="SEGMENT",INDEX('Margin Guidence Table'!$A$1:$AG$10000,MATCH(1,('Margin Guidence Table'!$A$1:$A$10000=$CG34)*('Margin Guidence Table'!$I$1:$I$10000&lt;=ROUND($BY$3,0))*('Margin Guidence Table'!$J$1:$J$10000&gt;=ROUND($BY$3,0)),0),MATCH("PA_PCT_SALES",'Margin Guidence Table'!$A$1:$AG$1,0)),INDEX('Margin Guidence Table'!$A$1:$AG$10000,MATCH(1,('Margin Guidence Table'!$A$1:$A$10000=$CG34)*('Margin Guidence Table'!$I$1:$I$10000&lt;=ROUND($BY$3,0))*('Margin Guidence Table'!$J$1:$J$10000&gt;=ROUND($BY$3,0)),0),MATCH("DEFAULT_PA_PCT_SALES",'Margin Guidence Table'!$A$1:$AG$1,0))),0)</f>
        <v>0</v>
      </c>
      <c r="CP34" s="1054">
        <f t="array" ref="CP34">IFERROR(IF($CI34="SEGMENT",INDEX('Margin Guidence Table'!$A$1:$AG$10000,MATCH(1,('Margin Guidence Table'!$A$1:$A$10000=$CG34)*('Margin Guidence Table'!$I$1:$I$10000&lt;=ROUND($BY$3,0))*('Margin Guidence Table'!$J$1:$J$10000&gt;=ROUND($BY$3,0)),0),MATCH("SELF_FUND_PCT_SALES",'Margin Guidence Table'!$A$1:$AG$1,0)),INDEX('Margin Guidence Table'!$A$1:$AG$10000,MATCH(1,('Margin Guidence Table'!$A$1:$A$10000=$CG34)*('Margin Guidence Table'!$I$1:$I$10000&lt;=ROUND($BY$3,0))*('Margin Guidence Table'!$J$1:$J$10000&gt;=ROUND($BY$3,0)),0),MATCH("DEFAULT_SELF_FUND_PCT_SALES",'Margin Guidence Table'!$A$1:$AG$1,0))),0)</f>
        <v>0</v>
      </c>
      <c r="CQ34" s="1054">
        <f t="array" ref="CQ34">IFERROR(IF($CI34="SEGMENT",INDEX('Margin Guidence Table'!$A$1:$AG$10000,MATCH(1,('Margin Guidence Table'!$A$1:$A$10000=$CG34)*('Margin Guidence Table'!$I$1:$I$10000&lt;=ROUND($BY$3,0))*('Margin Guidence Table'!$J$1:$J$10000&gt;=ROUND($BY$3,0)),0),MATCH("CIA_MEDIAN_MARGIN_GUIDENCE",'Margin Guidence Table'!$A$1:$AG$1,0)),INDEX('Margin Guidence Table'!$A$1:$AG$10000,MATCH(1,('Margin Guidence Table'!$A$1:$A$10000=$CG34)*('Margin Guidence Table'!$I$1:$I$10000&lt;=ROUND($BY$3,0))*('Margin Guidence Table'!$J$1:$J$10000&gt;=ROUND($BY$3,0)),0),MATCH("DEFAULT_CIA_MEDIAN_MARGIN_GUIDENCE",'Margin Guidence Table'!$A$1:$AG$1,0))),0)</f>
        <v>0</v>
      </c>
      <c r="CR34" s="127"/>
      <c r="CS34" s="18">
        <f t="array" ref="CS34">IFERROR(IF($DF34="SEGMENT",INDEX('Margin Guidence Table'!$A$1:$AG$10000,MATCH(1,('Margin Guidence Table'!$A$1:$A$10000=$DD34)*('Margin Guidence Table'!$I$1:$I$10000&lt;=ROUND($CV$3,0))*('Margin Guidence Table'!$J$1:$J$10000&gt;=ROUND($CV$3,0)),0),MATCH("PCT_SALES",'Margin Guidence Table'!$A$1:$AG$1,0)),INDEX('Margin Guidence Table'!$A$1:$AG$10000,MATCH(1,('Margin Guidence Table'!$A$1:$A$10000=$DD34)*('Margin Guidence Table'!$I$1:$I$10000&lt;=ROUND($CV$3,0))*('Margin Guidence Table'!$J$1:$J$10000&gt;=ROUND($CV$3,0)),0),MATCH("DEFAULT_PCT_SALES",'Margin Guidence Table'!$A$1:$AG$1,0))),0)</f>
        <v>0</v>
      </c>
      <c r="CT34" s="370" t="e">
        <f t="shared" si="30"/>
        <v>#DIV/0!</v>
      </c>
      <c r="CU34" s="101" t="s">
        <v>87</v>
      </c>
      <c r="CV34" s="92">
        <f>IFERROR(IF(AND($CV$2&lt;&gt;"Enter Spend&gt;&gt;&gt;",CW22="EXISTING"),SUMIFS('Existing Customers'!$Q:$Q,'Existing Customers'!$A:$A,$CV$1,'Existing Customers'!$H:$H,$CU34)*$CV$4,$CV$3*$CT34),0)</f>
        <v>0</v>
      </c>
      <c r="CW34" s="87">
        <f>IFERROR(IF(AND($CV$2&lt;&gt;"Enter Spend&gt;&gt;&gt;",CW2="EXISTING"),SUMIFS('Existing Customers'!$N:$N,'Existing Customers'!$A:$A,$CV$1,'Existing Customers'!$H:$H,$CU34)*$CV$4,$CV34/$DG34),0)</f>
        <v>0</v>
      </c>
      <c r="CX34" s="93">
        <f>IFERROR(IF(AND($CV$2&lt;&gt;"Enter Spend&gt;&gt;&gt;",BC28="EXISTING"),SUMIFS('Existing Customers'!$O:$O,'Existing Customers'!$H:$H,$CU34,'Existing Customers'!$A:$A,$CV$1)*$CV$4,$CW34*$CV$8),0)</f>
        <v>0</v>
      </c>
      <c r="CY34" s="93">
        <f>IFERROR(IF(AND($CV$2&lt;&gt;"Enter Spend&gt;&gt;&gt;",CW2="EXISTING"),SUMIFS('Existing Customers'!$P:$P,'Existing Customers'!$A:$A,$CV$1,'Existing Customers'!$H:$H,$CU34)*$CV$4,$CV34/$DH34),0)</f>
        <v>0</v>
      </c>
      <c r="CZ34" s="94">
        <f>IFERROR(IF(AND($CV$2&lt;&gt;"Enter Spend&gt;&gt;&gt;",CW2="EXISTING"),SUMIFS('Existing Customers'!$V:$V,'Existing Customers'!$H:$H,$CU34,'Existing Customers'!$A:$A,$CV$1)*$CV$4,0),0)</f>
        <v>0</v>
      </c>
      <c r="DA34" s="94">
        <f>IFERROR(IF(AND($CV$2&lt;&gt;"Enter Spend&gt;&gt;&gt;",CW2="EXISTING"),SUMIFS('Existing Customers'!$R:$R,'Existing Customers'!$H:$H,$BA34,'Existing Customers'!$A:$A,$CV$1)*$CV$4,0),0)</f>
        <v>0</v>
      </c>
      <c r="DB34" s="1050">
        <f>IFERROR(IF(AND($CV$2&lt;&gt;"Enter Spend&gt;&gt;&gt;",CW2="EXISTING"),SUMIFS('Existing Customers'!$S:$S,'Existing Customers'!$H:$H,$CU34,'Existing Customers'!$A:$A,$CV$1),DL34*CV34),0)</f>
        <v>0</v>
      </c>
      <c r="DC34" s="1050">
        <f>IFERROR(IF(AND($CV$2&lt;&gt;"Enter Spend&gt;&gt;&gt;",CW2="EXISTING"),SUMIFS('Existing Customers'!$U:$U,'Existing Customers'!$H:$H,$CU34,'Existing Customers'!$A:$A,$CV$1),DM34*CV34),0)</f>
        <v>0</v>
      </c>
      <c r="DD34" s="1053" t="e">
        <f>_xlfn.CONCAT('Customer Inputs'!$AG$8,"_",CU34)</f>
        <v>#N/A</v>
      </c>
      <c r="DE34" s="1053">
        <f t="array" ref="DE34">IFERROR(INDEX('Margin Guidence Table'!$A$1:$AG$10000,MATCH(1,('Margin Guidence Table'!$A$1:$A$10000=DD34)*('Margin Guidence Table'!$I$1:$I$10000&lt;=ROUND($CV$3,0))*('Margin Guidence Table'!$J$1:$J$10000&gt;=ROUND($CV$3,0)),0),MATCH("DATA_POINTS",'Margin Guidence Table'!$A$1:$AG$1,0)),0)</f>
        <v>0</v>
      </c>
      <c r="DF34" s="1050" t="str">
        <f t="shared" si="31"/>
        <v>DEFAULT</v>
      </c>
      <c r="DG34" s="1050">
        <f t="array" ref="DG34">IFERROR(IF($DF34="SEGMENT",INDEX('Margin Guidence Table'!$A$1:$AG$10000,MATCH(1,('Margin Guidence Table'!$A$1:$A$10000=DD34)*('Margin Guidence Table'!$I$1:$I$10000&lt;=ROUND($CV$3,0))*('Margin Guidence Table'!$J$1:$J$10000&gt;=ROUND($CV$3,0)),0),MATCH("SALES_CASE",'Margin Guidence Table'!$A$1:$AG$1,0)),INDEX('Margin Guidence Table'!$A$1:$AG$10000,MATCH(1,('Margin Guidence Table'!$A$1:$A$10000=DD34)*('Margin Guidence Table'!$I$1:$I$10000&lt;=ROUND($CV$3,0))*('Margin Guidence Table'!$J$1:$J$10000&gt;=ROUND($CV$3,0)),0),MATCH("DEFAULT_SALES_CASE",'Margin Guidence Table'!$A$1:$AG$1,0))),0)</f>
        <v>0</v>
      </c>
      <c r="DH34" s="1050">
        <f t="array" ref="DH34">IFERROR(IF($DF34="SEGMENT",INDEX('Margin Guidence Table'!$A$1:$AG$10000,MATCH(1,('Margin Guidence Table'!$A$1:$A$10000=DD34)*('Margin Guidence Table'!$I$1:$I$10000&lt;=ROUND($CV$3,0))*('Margin Guidence Table'!$J$1:$J$10000&gt;=ROUND($CV$3,0)),0),MATCH("SALES_LBS",'Margin Guidence Table'!$A$1:$AG$1,0)),INDEX('Margin Guidence Table'!$A$1:$AG$10000,MATCH(1,('Margin Guidence Table'!$A$1:$A$10000=DD34)*('Margin Guidence Table'!$I$1:$I$10000&lt;=ROUND($CV$3,0))*('Margin Guidence Table'!$J$1:$J$10000&gt;=ROUND($CV$3,0)),0),MATCH("DEFAULT_SALES_LBS",'Margin Guidence Table'!$A$1:$AG$1,0))),0)</f>
        <v>0</v>
      </c>
      <c r="DI34" s="1054">
        <f t="array" ref="DI34">IFERROR(IF($DF34="SEGMENT",INDEX('Margin Guidence Table'!$A$1:$AG$10000,MATCH(1,('Margin Guidence Table'!$A$1:$A$10000=DD34)*('Margin Guidence Table'!$I$1:$I$10000&lt;=ROUND($CV$3,0))*('Margin Guidence Table'!$J$1:$J$10000&gt;=ROUND($CV$3,0)),0),MATCH("MDA_MIN_MARGIN_GUIDENCE",'Margin Guidence Table'!$A$1:$AG$1,0)),INDEX('Margin Guidence Table'!$A$1:$AG$10000,MATCH(1,('Margin Guidence Table'!$A$1:$A$10000=DD34)*('Margin Guidence Table'!$I$1:$I$10000&lt;=ROUND($CV$3,0))*('Margin Guidence Table'!$J$1:$J$10000&gt;=ROUND($CV$3,0)),0),MATCH("DEFAULT_MDA_MIN_MARGIN_GUIDENCE",'Margin Guidence Table'!$A$1:$AG$1,0))),0)</f>
        <v>0</v>
      </c>
      <c r="DJ34" s="1054">
        <f t="array" ref="DJ34">IFERROR(IF($DF34="SEGMENT",INDEX('Margin Guidence Table'!$A$1:$AG$10000,MATCH(1,('Margin Guidence Table'!$A$1:$A$10000=DD34)*('Margin Guidence Table'!$I$1:$I$10000&lt;=ROUND($CV$3,0))*('Margin Guidence Table'!$J$1:$J$10000&gt;=ROUND($CV$3,0)),0),MATCH("MDA_MEDIAN_MARGIN_GUIDENCE",'Margin Guidence Table'!$A$1:$AG$1,0)),INDEX('Margin Guidence Table'!$A$1:$AG$10000,MATCH(1,('Margin Guidence Table'!$A$1:$A$10000=DD34)*('Margin Guidence Table'!$I$1:$I$10000&lt;=ROUND($CV$3,0))*('Margin Guidence Table'!$J$1:$J$10000&gt;=ROUND($CV$3,0)),0),MATCH("DEFAULT_MDA_MEDIAN_MARGIN_GUIDENCE",'Margin Guidence Table'!$A$1:$AG$1,0))),0)</f>
        <v>0</v>
      </c>
      <c r="DK34" s="1054">
        <f t="array" ref="DK34">IFERROR(IF($DF34="SEGMENT",INDEX('Margin Guidence Table'!$A$1:$AG$10000,MATCH(1,('Margin Guidence Table'!$A$1:$A$10000=DD34)*('Margin Guidence Table'!$I$1:$I$10000&lt;=ROUND($CV$3,0))*('Margin Guidence Table'!$J$1:$J$10000&gt;=ROUND($CV$3,0)),0),MATCH("MDA_MAX_MARGIN_GUIDENCE",'Margin Guidence Table'!$A$1:$AG$1,0)),INDEX('Margin Guidence Table'!$A$1:$AG$10000,MATCH(1,('Margin Guidence Table'!$A$1:$A$10000=DD34)*('Margin Guidence Table'!$I$1:$I$10000&lt;=ROUND($CV$3,0))*('Margin Guidence Table'!$J$1:$J$10000&gt;=ROUND($CV$3,0)),0),MATCH("DEFAULT_MDA_MAX_MARGIN_GUIDENCE",'Margin Guidence Table'!$A$1:$AG$1,0))),0)</f>
        <v>0</v>
      </c>
      <c r="DL34" s="1054">
        <f t="array" ref="DL34">IFERROR(IF($DF34="SEGMENT",INDEX('Margin Guidence Table'!$A$1:$AG$10000,MATCH(1,('Margin Guidence Table'!$A$1:$A$10000=DD34)*('Margin Guidence Table'!$I$1:$I$10000&lt;=ROUND($CV$3,0))*('Margin Guidence Table'!$J$1:$J$10000&gt;=ROUND($CV$3,0)),0),MATCH("PA_PCT_SALES",'Margin Guidence Table'!$A$1:$AG$1,0)),INDEX('Margin Guidence Table'!$A$1:$AG$10000,MATCH(1,('Margin Guidence Table'!$A$1:$A$10000=DD34)*('Margin Guidence Table'!$I$1:$I$10000&lt;=ROUND($CV$3,0))*('Margin Guidence Table'!$J$1:$J$10000&gt;=ROUND($CV$3,0)),0),MATCH("DEFAULT_PA_PCT_SALES",'Margin Guidence Table'!$A$1:$AG$1,0))),0)</f>
        <v>0</v>
      </c>
      <c r="DM34" s="1054">
        <f t="array" ref="DM34">IFERROR(IF($DF34="SEGMENT",INDEX('Margin Guidence Table'!$A$1:$AG$10000,MATCH(1,('Margin Guidence Table'!$A$1:$A$10000=DD34)*('Margin Guidence Table'!$I$1:$I$10000&lt;=ROUND($CV$3,0))*('Margin Guidence Table'!$J$1:$J$10000&gt;=ROUND($CV$3,0)),0),MATCH("SELF_FUND_PCT_SALES",'Margin Guidence Table'!$A$1:$AG$1,0)),INDEX('Margin Guidence Table'!$A$1:$AG$10000,MATCH(1,('Margin Guidence Table'!$A$1:$A$10000=DD34)*('Margin Guidence Table'!$I$1:$I$10000&lt;=ROUND($CV$3,0))*('Margin Guidence Table'!$J$1:$J$10000&gt;=ROUND($CV$3,0)),0),MATCH("DEFAULT_SELF_FUND_PCT_SALES",'Margin Guidence Table'!$A$1:$AG$1,0))),0)</f>
        <v>0</v>
      </c>
      <c r="DN34" s="1054">
        <f t="array" ref="DN34">IFERROR(IF($DF34="SEGMENT",INDEX('Margin Guidence Table'!$A$1:$AG$10000,MATCH(1,('Margin Guidence Table'!$A$1:$A$10000=DD34)*('Margin Guidence Table'!$I$1:$I$10000&lt;=ROUND($CV$3,0))*('Margin Guidence Table'!$J$1:$J$10000&gt;=ROUND($CV$3,0)),0),MATCH("CIA_MEDIAN_MARGIN_GUIDENCE",'Margin Guidence Table'!$A$1:$AG$1,0)),INDEX('Margin Guidence Table'!$A$1:$AG$10000,MATCH(1,('Margin Guidence Table'!$A$1:$A$10000=DD34)*('Margin Guidence Table'!$I$1:$I$10000&lt;=ROUND($CV$3,0))*('Margin Guidence Table'!$J$1:$J$10000&gt;=ROUND($CV$3,0)),0),MATCH("DEFAULT_CIA_MEDIAN_MARGIN_GUIDENCE",'Margin Guidence Table'!$A$1:$AG$1,0))),0)</f>
        <v>0</v>
      </c>
      <c r="DO34" s="127"/>
      <c r="DP34" s="18">
        <f t="array" ref="DP34">IFERROR(IF($EC34="SEGMENT",INDEX('Margin Guidence Table'!$A$1:$AG$10000,MATCH(1,('Margin Guidence Table'!$A$1:$A$10000=$EA34)*('Margin Guidence Table'!$I$1:$I$10000&lt;=ROUND($DS$3,0))*('Margin Guidence Table'!$J$1:$J$10000&gt;=ROUND($DS$3,0)),0),MATCH("PCT_SALES",'Margin Guidence Table'!$A$1:$AG$1,0)),INDEX('Margin Guidence Table'!$A$1:$AG$10000,MATCH(1,('Margin Guidence Table'!$A$1:$A$10000=$EA34)*('Margin Guidence Table'!$I$1:$I$10000&lt;=ROUND($DS$3,0))*('Margin Guidence Table'!$J$1:$J$10000&gt;=ROUND($DS$3,0)),0),MATCH("DEFAULT_PCT_SALES",'Margin Guidence Table'!$A$1:$AG$1,0))),0)</f>
        <v>0</v>
      </c>
      <c r="DQ34" s="370" t="e">
        <f t="shared" si="32"/>
        <v>#DIV/0!</v>
      </c>
      <c r="DR34" s="101" t="s">
        <v>87</v>
      </c>
      <c r="DS34" s="92">
        <f>IFERROR(IF(AND($DS$2&lt;&gt;"Enter Spend&gt;&gt;&gt;",DT22="EXISTING"),SUMIFS('Existing Customers'!$Q:$Q,'Existing Customers'!$A:$A,$DS$1,'Existing Customers'!$H:$H,$DR34)*$DS$4,$DS$3*$DQ34),0)</f>
        <v>0</v>
      </c>
      <c r="DT34" s="87">
        <f>IFERROR(IF(AND($DS$2&lt;&gt;"Enter Spend&gt;&gt;&gt;",DT2="EXISTING"),SUMIFS('Existing Customers'!$N:$N,'Existing Customers'!$A:$A,$DS$1,'Existing Customers'!$H:$H,$DR34)*$DS$4,$DS34/$ED34),0)</f>
        <v>0</v>
      </c>
      <c r="DU34" s="93">
        <f>IFERROR(IF(AND($DS$2&lt;&gt;"Enter Spend&gt;&gt;&gt;",DT2="EXISTING"),SUMIFS('Existing Customers'!$O:$O,'Existing Customers'!$H:$H,$DR34,'Existing Customers'!$A:$A,$DS$1)*$DS$4,$DT34*$DS$8),0)</f>
        <v>0</v>
      </c>
      <c r="DV34" s="93">
        <f>IFERROR(IF(AND($DS$2&lt;&gt;"Enter Spend&gt;&gt;&gt;",DT2="EXISTING"),SUMIFS('Existing Customers'!$P:$P,'Existing Customers'!$A:$A,$DS$1,'Existing Customers'!$H:$H,$DR34)*$DS$4,$DS34/$EE34),0)</f>
        <v>0</v>
      </c>
      <c r="DW34" s="94">
        <f>IFERROR(IF(AND($DS$2&lt;&gt;"Enter Spend&gt;&gt;&gt;",EQ2="EXISTING"),SUMIFS('Existing Customers'!$V:$V,'Existing Customers'!$H:$H,$DR34,'Existing Customers'!$A:$A,$DS$1)*$DS$4,0),0)</f>
        <v>0</v>
      </c>
      <c r="DX34" s="94">
        <f>IFERROR(IF(AND($DS$2&lt;&gt;"Enter Spend&gt;&gt;&gt;",DT2="EXISTING"),SUMIFS('Existing Customers'!$R:$R,'Existing Customers'!$H:$H,$DR34,'Existing Customers'!$A:$A,$DS$1)*$DS$4,0),0)</f>
        <v>0</v>
      </c>
      <c r="DY34" s="1050">
        <f>IFERROR(IF(AND($DS$2&lt;&gt;"Enter Spend&gt;&gt;&gt;",DT2="EXISTING"),SUMIFS('Existing Customers'!$S:$S,'Existing Customers'!$H:$H,$DT34,'Existing Customers'!$A:$A,$DS$1),EI34*DS34),0)</f>
        <v>0</v>
      </c>
      <c r="DZ34" s="1050">
        <f>IFERROR(IF(AND($DS$2&lt;&gt;"Enter Spend&gt;&gt;&gt;",DT2="EXISTING"),SUMIFS('Existing Customers'!$U:$U,'Existing Customers'!$H:$H,$DR34,'Existing Customers'!$A:$A,$DS$1),EJ34*DS34),0)</f>
        <v>0</v>
      </c>
      <c r="EA34" s="1053" t="e">
        <f>_xlfn.CONCAT('Customer Inputs'!$AG$9,"_",DR34)</f>
        <v>#N/A</v>
      </c>
      <c r="EB34" s="1053">
        <f t="array" ref="EB34">IFERROR(INDEX('Margin Guidence Table'!$A$1:$AG$10000,MATCH(1,('Margin Guidence Table'!$A$1:$A$10000=EA34)*('Margin Guidence Table'!$I$1:$I$10000&lt;=ROUND($DS$3,0))*('Margin Guidence Table'!$J$1:$J$10000&gt;=ROUND($DS$3,0)),0),MATCH("DATA_POINTS",'Margin Guidence Table'!$A$1:$AG$1,0)),0)</f>
        <v>0</v>
      </c>
      <c r="EC34" s="1050" t="str">
        <f t="shared" si="33"/>
        <v>DEFAULT</v>
      </c>
      <c r="ED34" s="1050">
        <f t="array" ref="ED34">IFERROR(IF($EC34="SEGMENT",INDEX('Margin Guidence Table'!$A$1:$AG$10000,MATCH(1,('Margin Guidence Table'!$A$1:$A$10000=EA34)*('Margin Guidence Table'!$I$1:$I$10000&lt;=ROUND($DS$3,0))*('Margin Guidence Table'!$J$1:$J$10000&gt;=ROUND($DS$3,0)),0),MATCH("SALES_CASE",'Margin Guidence Table'!$A$1:$AG$1,0)),INDEX('Margin Guidence Table'!$A$1:$AG$10000,MATCH(1,('Margin Guidence Table'!$A$1:$A$10000=EA34)*('Margin Guidence Table'!$I$1:$I$10000&lt;=ROUND($DS$3,0))*('Margin Guidence Table'!$J$1:$J$10000&gt;=ROUND($DS$3,0)),0),MATCH("DEFAULT_SALES_CASE",'Margin Guidence Table'!$A$1:$AG$1,0))),0)</f>
        <v>0</v>
      </c>
      <c r="EE34" s="1050">
        <f t="array" ref="EE34">IFERROR(IF($EC34="SEGMENT",INDEX('Margin Guidence Table'!$A$1:$AG$10000,MATCH(1,('Margin Guidence Table'!$A$1:$A$10000=EA34)*('Margin Guidence Table'!$I$1:$I$10000&lt;=ROUND($DS$3,0))*('Margin Guidence Table'!$J$1:$J$10000&gt;=ROUND($DS$3,0)),0),MATCH("SALES_LBS",'Margin Guidence Table'!$A$1:$AG$1,0)),INDEX('Margin Guidence Table'!$A$1:$AG$10000,MATCH(1,('Margin Guidence Table'!$A$1:$A$10000=EA34)*('Margin Guidence Table'!$I$1:$I$10000&lt;=ROUND($DS$3,0))*('Margin Guidence Table'!$J$1:$J$10000&gt;=ROUND($DS$3,0)),0),MATCH("DEFAULT_SALES_LBS",'Margin Guidence Table'!$A$1:$AG$1,0))),0)</f>
        <v>0</v>
      </c>
      <c r="EF34" s="1054">
        <f t="array" ref="EF34">IFERROR(IF($EC34="SEGMENT",INDEX('Margin Guidence Table'!$A$1:$AG$10000,MATCH(1,('Margin Guidence Table'!$A$1:$A$10000=EA34)*('Margin Guidence Table'!$I$1:$I$10000&lt;=ROUND($DS$3,0))*('Margin Guidence Table'!$J$1:$J$10000&gt;=ROUND($DS$3,0)),0),MATCH("MDA_MIN_MARGIN_GUIDENCE",'Margin Guidence Table'!$A$1:$AG$1,0)),INDEX('Margin Guidence Table'!$A$1:$AG$10000,MATCH(1,('Margin Guidence Table'!$A$1:$A$10000=EA34)*('Margin Guidence Table'!$I$1:$I$10000&lt;=ROUND($DS$3,0))*('Margin Guidence Table'!$J$1:$J$10000&gt;=ROUND($DS$3,0)),0),MATCH("DEFAULT_MDA_MIN_MARGIN_GUIDENCE",'Margin Guidence Table'!$A$1:$AG$1,0))),0)</f>
        <v>0</v>
      </c>
      <c r="EG34" s="1054">
        <f t="array" ref="EG34">IFERROR(IF($EC34="SEGMENT",INDEX('Margin Guidence Table'!$A$1:$AG$10000,MATCH(1,('Margin Guidence Table'!$A$1:$A$10000=EA34)*('Margin Guidence Table'!$I$1:$I$10000&lt;=ROUND($DS$3,0))*('Margin Guidence Table'!$J$1:$J$10000&gt;=ROUND($DS$3,0)),0),MATCH("MDA_MEDIAN_MARGIN_GUIDENCE",'Margin Guidence Table'!$A$1:$AG$1,0)),INDEX('Margin Guidence Table'!$A$1:$AG$10000,MATCH(1,('Margin Guidence Table'!$A$1:$A$10000=EA34)*('Margin Guidence Table'!$I$1:$I$10000&lt;=ROUND($DS$3,0))*('Margin Guidence Table'!$J$1:$J$10000&gt;=ROUND($DS$3,0)),0),MATCH("DEFAULT_MDA_MEDIAN_MARGIN_GUIDENCE",'Margin Guidence Table'!$A$1:$AG$1,0))),0)</f>
        <v>0</v>
      </c>
      <c r="EH34" s="1054">
        <f t="array" ref="EH34">IFERROR(IF($EC34="SEGMENT",INDEX('Margin Guidence Table'!$A$1:$AG$10000,MATCH(1,('Margin Guidence Table'!$A$1:$A$10000=EA34)*('Margin Guidence Table'!$I$1:$I$10000&lt;=ROUND($DS$3,0))*('Margin Guidence Table'!$J$1:$J$10000&gt;=ROUND($DS$3,0)),0),MATCH("MDA_MAX_MARGIN_GUIDENCE",'Margin Guidence Table'!$A$1:$AG$1,0)),INDEX('Margin Guidence Table'!$A$1:$AG$10000,MATCH(1,('Margin Guidence Table'!$A$1:$A$10000=EA34)*('Margin Guidence Table'!$I$1:$I$10000&lt;=ROUND($DS$3,0))*('Margin Guidence Table'!$J$1:$J$10000&gt;=ROUND($DS$3,0)),0),MATCH("DEFAULT_MDA_MAX_MARGIN_GUIDENCE",'Margin Guidence Table'!$A$1:$AG$1,0))),0)</f>
        <v>0</v>
      </c>
      <c r="EI34" s="1054">
        <f t="array" ref="EI34">IFERROR(IF($EC34="SEGMENT",INDEX('Margin Guidence Table'!$A$1:$AG$10000,MATCH(1,('Margin Guidence Table'!$A$1:$A$10000=EA34)*('Margin Guidence Table'!$I$1:$I$10000&lt;=ROUND($DS$3,0))*('Margin Guidence Table'!$J$1:$J$10000&gt;=ROUND($DS$3,0)),0),MATCH("PA_PCT_SALES",'Margin Guidence Table'!$A$1:$AG$1,0)),INDEX('Margin Guidence Table'!$A$1:$AG$10000,MATCH(1,('Margin Guidence Table'!$A$1:$A$10000=EA34)*('Margin Guidence Table'!$I$1:$I$10000&lt;=ROUND($DS$3,0))*('Margin Guidence Table'!$J$1:$J$10000&gt;=ROUND($DS$3,0)),0),MATCH("DEFAULT_PA_PCT_SALES",'Margin Guidence Table'!$A$1:$AG$1,0))),0)</f>
        <v>0</v>
      </c>
      <c r="EJ34" s="1054">
        <f t="array" ref="EJ34">IFERROR(IF($EC34="SEGMENT",INDEX('Margin Guidence Table'!$A$1:$AG$10000,MATCH(1,('Margin Guidence Table'!$A$1:$A$10000=EA34)*('Margin Guidence Table'!$I$1:$I$10000&lt;=ROUND($DS$3,0))*('Margin Guidence Table'!$J$1:$J$10000&gt;=ROUND($DS$3,0)),0),MATCH("SELF_FUND_PCT_SALES",'Margin Guidence Table'!$A$1:$AG$1,0)),INDEX('Margin Guidence Table'!$A$1:$AG$10000,MATCH(1,('Margin Guidence Table'!$A$1:$A$10000=EA34)*('Margin Guidence Table'!$I$1:$I$10000&lt;=ROUND($DS$3,0))*('Margin Guidence Table'!$J$1:$J$10000&gt;=ROUND($DS$3,0)),0),MATCH("DEFAULT_SELF_FUND_PCT_SALES",'Margin Guidence Table'!$A$1:$AG$1,0))),0)</f>
        <v>0</v>
      </c>
      <c r="EK34" s="1054">
        <f t="array" ref="EK34">IFERROR(IF($EC34="SEGMENT",INDEX('Margin Guidence Table'!$A$1:$AG$10000,MATCH(1,('Margin Guidence Table'!$A$1:$A$10000=EA34)*('Margin Guidence Table'!$I$1:$I$10000&lt;=ROUND($DS$3,0))*('Margin Guidence Table'!$J$1:$J$10000&gt;=ROUND($DS$3,0)),0),MATCH("CIA_MEDIAN_MARGIN_GUIDENCE",'Margin Guidence Table'!$A$1:$AG$1,0)),INDEX('Margin Guidence Table'!$A$1:$AG$10000,MATCH(1,('Margin Guidence Table'!$A$1:$A$10000=EA34)*('Margin Guidence Table'!$I$1:$I$10000&lt;=ROUND($DS$3,0))*('Margin Guidence Table'!$J$1:$J$10000&gt;=ROUND($DS$3,0)),0),MATCH("DEFAULT_CIA_MEDIAN_MARGIN_GUIDENCE",'Margin Guidence Table'!$A$1:$AG$1,0))),0)</f>
        <v>0</v>
      </c>
      <c r="EL34" s="127"/>
      <c r="EM34" s="18">
        <f t="array" ref="EM34">IFERROR(IF($EZ34="SEGMENT",INDEX('Margin Guidence Table'!$A$1:$AG$10000,MATCH(1,('Margin Guidence Table'!$A$1:$A$10000=$EX34)*('Margin Guidence Table'!$I$1:$I$10000&lt;=ROUND($EP$3,0))*('Margin Guidence Table'!$J$1:$J$10000&gt;=ROUND($EP$3,0)),0),MATCH("PCT_SALES",'Margin Guidence Table'!$A$1:$AG$1,0)),INDEX('Margin Guidence Table'!$A$1:$AG$10000,MATCH(1,('Margin Guidence Table'!$A$1:$A$10000=$EX34)*('Margin Guidence Table'!$I$1:$I$10000&lt;=ROUND($EP$3,0))*('Margin Guidence Table'!$J$1:$J$10000&gt;=ROUND($EP$3,0)),0),MATCH("DEFAULT_PCT_SALES",'Margin Guidence Table'!$A$1:$AG$1,0))),0)</f>
        <v>0</v>
      </c>
      <c r="EN34" s="370" t="e">
        <f t="shared" si="34"/>
        <v>#DIV/0!</v>
      </c>
      <c r="EO34" s="101" t="s">
        <v>87</v>
      </c>
      <c r="EP34" s="92">
        <f>IFERROR(IF(AND($EP$2&lt;&gt;"Enter Spend&gt;&gt;&gt;",EQ22="EXISTING"),SUMIFS('Existing Customers'!$Q:$Q,'Existing Customers'!$A:$A,$EP$1,'Existing Customers'!$H:$H,$EO34)*$EP$4,$EP$3*$EN34),0)</f>
        <v>0</v>
      </c>
      <c r="EQ34" s="87">
        <f>IFERROR(IF(AND($EP$2&lt;&gt;"Enter Spend&gt;&gt;&gt;",EQ2="EXISTING"),SUMIFS('Existing Customers'!$N:$N,'Existing Customers'!$A:$A,$EP$1,'Existing Customers'!$H:$H,$EO34)*$EP$4,$EP34/$FA34),0)</f>
        <v>0</v>
      </c>
      <c r="ER34" s="93">
        <f>IFERROR(IF(AND($EP$2&lt;&gt;"Enter Spend&gt;&gt;&gt;",EQ2="EXISTING"),SUMIFS('Existing Customers'!$O:$O,'Existing Customers'!$H:$H,$EO34,'Existing Customers'!$A:$A,$EP$1)*$EP$4,$EQ34*$EP$8),0)</f>
        <v>0</v>
      </c>
      <c r="ES34" s="93">
        <f>IFERROR(IF(AND($EP$2&lt;&gt;"Enter Spend&gt;&gt;&gt;",EQ2="EXISTING"),SUMIFS('Existing Customers'!$P:$P,'Existing Customers'!$A:$A,$EP$1,'Existing Customers'!$H:$H,$EO34)*$EP$4,$EP34/$FB34),0)</f>
        <v>0</v>
      </c>
      <c r="ET34" s="94">
        <f>IFERROR(IF(AND($EP$2&lt;&gt;"Enter Spend&gt;&gt;&gt;",EQ2="EXISTING"),SUMIFS('Existing Customers'!$V:$V,'Existing Customers'!$H:$H,$EO34,'Existing Customers'!$A:$A,$EP$1)*$EP$4,0),0)</f>
        <v>0</v>
      </c>
      <c r="EU34" s="94">
        <f>IFERROR(IF(AND($EP$2&lt;&gt;"Enter Spend&gt;&gt;&gt;",EQ2="EXISTING"),SUMIFS('Existing Customers'!$R:$R,'Existing Customers'!$H:$H,$EO34,'Existing Customers'!$A:$A,$EP$1)*$EP$4,0),0)</f>
        <v>0</v>
      </c>
      <c r="EV34" s="1050">
        <f>IFERROR(IF(AND($EP$2&lt;&gt;"Enter Spend&gt;&gt;&gt;",EQ2="EXISTING"),SUMIFS('Existing Customers'!$S:$S,'Existing Customers'!$H:$H,$EO34,'Existing Customers'!$A:$A,$EP$1),FF34*EP34),0)</f>
        <v>0</v>
      </c>
      <c r="EW34" s="1050">
        <f>IFERROR(IF(AND($EP$2&lt;&gt;"Enter Spend&gt;&gt;&gt;",EQ2="EXISTING"),SUMIFS('Existing Customers'!$U:$U,'Existing Customers'!$H:$H,$EO34,'Existing Customers'!$A:$A,$EP$1),FG34*EP34),0)</f>
        <v>0</v>
      </c>
      <c r="EX34" s="1053" t="e">
        <f>_xlfn.CONCAT('Customer Inputs'!$AG$10,"_",EO34)</f>
        <v>#N/A</v>
      </c>
      <c r="EY34" s="1053">
        <f t="array" ref="EY34">IFERROR(INDEX('Margin Guidence Table'!$A$1:$AG$10000,MATCH(1,('Margin Guidence Table'!$A$1:$A$10000=EX34)*('Margin Guidence Table'!$I$1:$I$10000&lt;=ROUND($EP$3,0))*('Margin Guidence Table'!$J$1:$J$10000&gt;=ROUND($EP$3,0)),0),MATCH("DATA_POINTS",'Margin Guidence Table'!$A$1:$AG$1,0)),0)</f>
        <v>0</v>
      </c>
      <c r="EZ34" s="1050" t="str">
        <f t="shared" si="35"/>
        <v>DEFAULT</v>
      </c>
      <c r="FA34" s="1050">
        <f t="array" ref="FA34">IFERROR(IF($EZ34="SEGMENT",INDEX('Margin Guidence Table'!$A$1:$AG$10000,MATCH(1,('Margin Guidence Table'!$A$1:$A$10000=EX34)*('Margin Guidence Table'!$I$1:$I$10000&lt;=ROUND($EP$3,0))*('Margin Guidence Table'!$J$1:$J$10000&gt;=ROUND($EP$3,0)),0),MATCH("SALES_CASE",'Margin Guidence Table'!$A$1:$AG$1,0)),INDEX('Margin Guidence Table'!$A$1:$AG$10000,MATCH(1,('Margin Guidence Table'!$A$1:$A$10000=EX34)*('Margin Guidence Table'!$I$1:$I$10000&lt;=ROUND($EP$3,0))*('Margin Guidence Table'!$J$1:$J$10000&gt;=ROUND($EP$3,0)),0),MATCH("DEFAULT_SALES_CASE",'Margin Guidence Table'!$A$1:$AG$1,0))),0)</f>
        <v>0</v>
      </c>
      <c r="FB34" s="1050" cm="1">
        <f t="array" ref="FB34">IFERROR(IF($EZ34="SEGMENT",INDEX('Margin Guidence Table'!$A$1:$AG$10000,MATCH(1,('Margin Guidence Table'!$A$1:$A$10000=EX34)*('Margin Guidence Table'!$I$1:$I$10000&lt;=ROUND($EP$3,0))*('Margin Guidence Table'!$J$1:$J$10000&gt;=ROUND($EP$3,0)),0),MATCH("SALES_LBS",'Margin Guidence Table'!$A$1:$AG$1,0)),INDEX('Margin Guidence Table'!$A$1:$AG$10000,MATCH(1,('Margin Guidence Table'!$A$1:$A$10000=EX34)*('Margin Guidence Table'!$I$1:$I$10000&lt;=ROUND($EP$3,0))*('Margin Guidence Table'!$J$1:$J$10000&gt;=ROUND($EP$3,0)),0),MATCH("DEFAULT_SALES_LBS",'Margin Guidence Table'!$A$1:$AG$1,0))),0)</f>
        <v>0</v>
      </c>
      <c r="FC34" s="1054">
        <f t="array" ref="FC34">IFERROR(IF($EZ34="SEGMENT",INDEX('Margin Guidence Table'!$A$1:$AG$10000,MATCH(1,('Margin Guidence Table'!$A$1:$A$10000=EX34)*('Margin Guidence Table'!$I$1:$I$10000&lt;=ROUND($EP$3,0))*('Margin Guidence Table'!$J$1:$J$10000&gt;=ROUND($EP$3,0)),0),MATCH("MDA_MIN_MARGIN_GUIDENCE",'Margin Guidence Table'!$A$1:$AG$1,0)),INDEX('Margin Guidence Table'!$A$1:$AG$10000,MATCH(1,('Margin Guidence Table'!$A$1:$A$10000=EX34)*('Margin Guidence Table'!$I$1:$I$10000&lt;=ROUND($EP$3,0))*('Margin Guidence Table'!$J$1:$J$10000&gt;=ROUND($EP$3,0)),0),MATCH("DEFAULT_MDA_MIN_MARGIN_GUIDENCE",'Margin Guidence Table'!$A$1:$AG$1,0))),0)</f>
        <v>0</v>
      </c>
      <c r="FD34" s="1054">
        <f t="array" ref="FD34">IFERROR(IF($EZ34="SEGMENT",INDEX('Margin Guidence Table'!$A$1:$AG$10000,MATCH(1,('Margin Guidence Table'!$A$1:$A$10000=EX34)*('Margin Guidence Table'!$I$1:$I$10000&lt;=ROUND($EP$3,0))*('Margin Guidence Table'!$J$1:$J$10000&gt;=ROUND($EP$3,0)),0),MATCH("MDA_MEDIAN_MARGIN_GUIDENCE",'Margin Guidence Table'!$A$1:$AG$1,0)),INDEX('Margin Guidence Table'!$A$1:$AG$10000,MATCH(1,('Margin Guidence Table'!$A$1:$A$10000=EX34)*('Margin Guidence Table'!$I$1:$I$10000&lt;=ROUND($EP$3,0))*('Margin Guidence Table'!$J$1:$J$10000&gt;=ROUND($EP$3,0)),0),MATCH("DEFAULT_MDA_MEDIAN_MARGIN_GUIDENCE",'Margin Guidence Table'!$A$1:$AG$1,0))),0)</f>
        <v>0</v>
      </c>
      <c r="FE34" s="1054">
        <f t="array" ref="FE34">IFERROR(IF($EZ34="SEGMENT",INDEX('Margin Guidence Table'!$A$1:$AG$10000,MATCH(1,('Margin Guidence Table'!$A$1:$A$10000=EX34)*('Margin Guidence Table'!$I$1:$I$10000&lt;=ROUND($EP$3,0))*('Margin Guidence Table'!$J$1:$J$10000&gt;=ROUND($EP$3,0)),0),MATCH("MDA_MAX_MARGIN_GUIDENCE",'Margin Guidence Table'!$A$1:$AG$1,0)),INDEX('Margin Guidence Table'!$A$1:$AG$10000,MATCH(1,('Margin Guidence Table'!$A$1:$A$10000=EX34)*('Margin Guidence Table'!$I$1:$I$10000&lt;=ROUND($EP$3,0))*('Margin Guidence Table'!$J$1:$J$10000&gt;=ROUND($EP$3,0)),0),MATCH("DEFAULT_MDA_MAX_MARGIN_GUIDENCE",'Margin Guidence Table'!$A$1:$AG$1,0))),0)</f>
        <v>0</v>
      </c>
      <c r="FF34" s="1054">
        <f t="array" ref="FF34">IFERROR(IF($EZ34="SEGMENT",INDEX('Margin Guidence Table'!$A$1:$AG$10000,MATCH(1,('Margin Guidence Table'!$A$1:$A$10000=EX34)*('Margin Guidence Table'!$I$1:$I$10000&lt;=ROUND($EP$3,0))*('Margin Guidence Table'!$J$1:$J$10000&gt;=ROUND($EP$3,0)),0),MATCH("PA_PCT_SALES",'Margin Guidence Table'!$A$1:$AG$1,0)),INDEX('Margin Guidence Table'!$A$1:$AG$10000,MATCH(1,('Margin Guidence Table'!$A$1:$A$10000=EX34)*('Margin Guidence Table'!$I$1:$I$10000&lt;=ROUND($EP$3,0))*('Margin Guidence Table'!$J$1:$J$10000&gt;=ROUND($EP$3,0)),0),MATCH("DEFAULT_PA_PCT_SALES",'Margin Guidence Table'!$A$1:$AG$1,0))),0)</f>
        <v>0</v>
      </c>
      <c r="FG34" s="1054">
        <f t="array" ref="FG34">IFERROR(IF($EZ34="SEGMENT",INDEX('Margin Guidence Table'!$A$1:$AG$10000,MATCH(1,('Margin Guidence Table'!$A$1:$A$10000=EX34)*('Margin Guidence Table'!$I$1:$I$10000&lt;=ROUND($EP$3,0))*('Margin Guidence Table'!$J$1:$J$10000&gt;=ROUND($EP$3,0)),0),MATCH("SELF_FUND_PCT_SALES",'Margin Guidence Table'!$A$1:$AG$1,0)),INDEX('Margin Guidence Table'!$A$1:$AG$10000,MATCH(1,('Margin Guidence Table'!$A$1:$A$10000=EX34)*('Margin Guidence Table'!$I$1:$I$10000&lt;=ROUND($EP$3,0))*('Margin Guidence Table'!$J$1:$J$10000&gt;=ROUND($EP$3,0)),0),MATCH("DEFAULT_SELF_FUND_PCT_SALES",'Margin Guidence Table'!$A$1:$AG$1,0))),0)</f>
        <v>0</v>
      </c>
      <c r="FH34" s="1054">
        <f t="array" ref="FH34">IFERROR(IF($EZ34="SEGMENT",INDEX('Margin Guidence Table'!$A$1:$AG$10000,MATCH(1,('Margin Guidence Table'!$A$1:$A$10000=EX34)*('Margin Guidence Table'!$I$1:$I$10000&lt;=ROUND($EP$3,0))*('Margin Guidence Table'!$J$1:$J$10000&gt;=ROUND($EP$3,0)),0),MATCH("CIA_MEDIAN_MARGIN_GUIDENCE",'Margin Guidence Table'!$A$1:$AG$1,0)),INDEX('Margin Guidence Table'!$A$1:$AG$10000,MATCH(1,('Margin Guidence Table'!$A$1:$A$10000=EX34)*('Margin Guidence Table'!$I$1:$I$10000&lt;=ROUND($EP$3,0))*('Margin Guidence Table'!$J$1:$J$10000&gt;=ROUND($EP$3,0)),0),MATCH("DEFAULT_CIA_MEDIAN_MARGIN_GUIDENCE",'Margin Guidence Table'!$A$1:$AG$1,0))),0)</f>
        <v>0</v>
      </c>
      <c r="FI34" s="127"/>
      <c r="FJ34" s="18">
        <f t="array" ref="FJ34">IFERROR(IF($FW34="SEGMENT",INDEX('Margin Guidence Table'!$A$1:$AG$10000,MATCH(1,('Margin Guidence Table'!$A$1:$A$10000=$FU34)*('Margin Guidence Table'!$I$1:$I$10000&lt;=ROUND($FM$3,0))*('Margin Guidence Table'!$J$1:$J$10000&gt;=ROUND($FM$3,0)),0),MATCH("PCT_SALES",'Margin Guidence Table'!$A$1:$AG$1,0)),INDEX('Margin Guidence Table'!$A$1:$AG$10000,MATCH(1,('Margin Guidence Table'!$A$1:$A$10000=$FU34)*('Margin Guidence Table'!$I$1:$I$10000&lt;=ROUND($FM$3,0))*('Margin Guidence Table'!$J$1:$J$10000&gt;=ROUND($FM$3,0)),0),MATCH("DEFAULT_PCT_SALES",'Margin Guidence Table'!$A$1:$AG$1,0))),0)</f>
        <v>0</v>
      </c>
      <c r="FK34" s="370" t="e">
        <f t="shared" si="36"/>
        <v>#DIV/0!</v>
      </c>
      <c r="FL34" s="101" t="s">
        <v>87</v>
      </c>
      <c r="FM34" s="92">
        <f>IFERROR(IF(AND($FM$2&lt;&gt;"Enter Spend&gt;&gt;&gt;",FN22="EXISTING"),SUMIFS('Existing Customers'!$Q:$Q,'Existing Customers'!$A:$A,$FM$1,'Existing Customers'!$H:$H,$FL34)*$FM$4,$FM$3*$FK34),0)</f>
        <v>0</v>
      </c>
      <c r="FN34" s="87">
        <f>IFERROR(IF(AND($FM$2&lt;&gt;"Enter Spend&gt;&gt;&gt;",FN2="EXISTING"),SUMIFS('Existing Customers'!$N:$N,'Existing Customers'!$A:$A,$FM$1,'Existing Customers'!$H:$H,$FL34)*$FM$4,$FM34/$FX34),0)</f>
        <v>0</v>
      </c>
      <c r="FO34" s="93">
        <f>IFERROR(IF(AND($FM$2&lt;&gt;"Enter Spend&gt;&gt;&gt;",FN2="EXISTING"),SUMIFS('Existing Customers'!$O:$O,'Existing Customers'!$H:$H,$FL34,'Existing Customers'!$A:$A,$FM$1)*$FM$4,$FN34*$FM$8),0)</f>
        <v>0</v>
      </c>
      <c r="FP34" s="93">
        <f>IFERROR(IF(AND($FM$2&lt;&gt;"Enter Spend&gt;&gt;&gt;",FN2="EXISTING"),SUMIFS('Existing Customers'!$P:$P,'Existing Customers'!$A:$A,$FM$1,'Existing Customers'!$H:$H,$FL34)*$FM$4,$FM34/$FY34),0)</f>
        <v>0</v>
      </c>
      <c r="FQ34" s="94">
        <f>IFERROR(IF(AND($FM$2&lt;&gt;"Enter Spend&gt;&gt;&gt;",FN2="EXISTING"),SUMIFS('Existing Customers'!$V:$V,'Existing Customers'!$H:$H,$FL34,'Existing Customers'!$A:$A,$FM$1)*$FM$4,0),0)</f>
        <v>0</v>
      </c>
      <c r="FR34" s="94">
        <f>IFERROR(IF(AND($FM$2&lt;&gt;"Enter Spend&gt;&gt;&gt;",FN2="EXISTING"),SUMIFS('Existing Customers'!$R:$R,'Existing Customers'!$H:$H,$FL34,'Existing Customers'!$A:$A,$FM$1)*$FM$4,0),0)</f>
        <v>0</v>
      </c>
      <c r="FS34" s="1050">
        <f>IFERROR(IF(AND($FM$2&lt;&gt;"Enter Spend&gt;&gt;&gt;",FN2="EXISTING"),SUMIFS('Existing Customers'!$S:$S,'Existing Customers'!$H:$H,$FL34,'Existing Customers'!$A:$A,$FM$1),GC34*FM34),0)</f>
        <v>0</v>
      </c>
      <c r="FT34" s="1050">
        <f>IFERROR(IF(AND($FM$2&lt;&gt;"Enter Spend&gt;&gt;&gt;",FN2="EXISTING"),SUMIFS('Existing Customers'!$U:$U,'Existing Customers'!$H:$H,$FL34,'Existing Customers'!$A:$A,$FM$1),GD34*FM34),0)</f>
        <v>0</v>
      </c>
      <c r="FU34" s="1053" t="e">
        <f>_xlfn.CONCAT('Customer Inputs'!$AG$11,"_",FL34)</f>
        <v>#N/A</v>
      </c>
      <c r="FV34" s="1053">
        <f t="array" ref="FV34">IFERROR(INDEX('Margin Guidence Table'!$A$1:$AG$10000,MATCH(1,('Margin Guidence Table'!$A$1:$A$10000=FU34)*('Margin Guidence Table'!$I$1:$I$10000&lt;=ROUND($FM$3,0))*('Margin Guidence Table'!$J$1:$J$10000&gt;=ROUND($FM$3,0)),0),MATCH("DATA_POINTS",'Margin Guidence Table'!$A$1:$AG$1,0)),0)</f>
        <v>0</v>
      </c>
      <c r="FW34" s="1050" t="str">
        <f t="shared" si="37"/>
        <v>DEFAULT</v>
      </c>
      <c r="FX34" s="1050">
        <f t="array" ref="FX34">IFERROR(IF($FW34="SEGMENT",INDEX('Margin Guidence Table'!$A$1:$AG$10000,MATCH(1,('Margin Guidence Table'!$A$1:$A$10000=FU34)*('Margin Guidence Table'!$I$1:$I$10000&lt;=ROUND($FM$3,0))*('Margin Guidence Table'!$J$1:$J$10000&gt;=ROUND($FM$3,0)),0),MATCH("SALES_CASE",'Margin Guidence Table'!$A$1:$AG$1,0)),INDEX('Margin Guidence Table'!$A$1:$AG$10000,MATCH(1,('Margin Guidence Table'!$A$1:$A$10000=FU34)*('Margin Guidence Table'!$I$1:$I$10000&lt;=ROUND($FM$3,0))*('Margin Guidence Table'!$J$1:$J$10000&gt;=ROUND($FM$3,0)),0),MATCH("DEFAULT_SALES_CASE",'Margin Guidence Table'!$A$1:$AG$1,0))),0)</f>
        <v>0</v>
      </c>
      <c r="FY34" s="1050">
        <f t="array" ref="FY34">IFERROR(IF($FW34="SEGMENT",INDEX('Margin Guidence Table'!$A$1:$AG$10000,MATCH(1,('Margin Guidence Table'!$A$1:$A$10000=FU34)*('Margin Guidence Table'!$I$1:$I$10000&lt;=ROUND($FM$3,0))*('Margin Guidence Table'!$J$1:$J$10000&gt;=ROUND($FM$3,0)),0),MATCH("SALES_LBS",'Margin Guidence Table'!$A$1:$AG$1,0)),INDEX('Margin Guidence Table'!$A$1:$AG$10000,MATCH(1,('Margin Guidence Table'!$A$1:$A$10000=FU34)*('Margin Guidence Table'!$I$1:$I$10000&lt;=ROUND($FM$3,0))*('Margin Guidence Table'!$J$1:$J$10000&gt;=ROUND($FM$3,0)),0),MATCH("DEFAULT_SALES_LBS",'Margin Guidence Table'!$A$1:$AG$1,0))),0)</f>
        <v>0</v>
      </c>
      <c r="FZ34" s="1054">
        <f t="array" ref="FZ34">IFERROR(IF($FW34="SEGMENT",INDEX('Margin Guidence Table'!$A$1:$AG$10000,MATCH(1,('Margin Guidence Table'!$A$1:$A$10000=FU34)*('Margin Guidence Table'!$I$1:$I$10000&lt;=ROUND($FM$3,0))*('Margin Guidence Table'!$J$1:$J$10000&gt;=ROUND($FM$3,0)),0),MATCH("MDA_MIN_MARGIN_GUIDENCE",'Margin Guidence Table'!$A$1:$AG$1,0)),INDEX('Margin Guidence Table'!$A$1:$AG$10000,MATCH(1,('Margin Guidence Table'!$A$1:$A$10000=FU34)*('Margin Guidence Table'!$I$1:$I$10000&lt;=ROUND($FM$3,0))*('Margin Guidence Table'!$J$1:$J$10000&gt;=ROUND($FM$3,0)),0),MATCH("DEFAULT_MDA_MIN_MARGIN_GUIDENCE",'Margin Guidence Table'!$A$1:$AG$1,0))),0)</f>
        <v>0</v>
      </c>
      <c r="GA34" s="1054">
        <f t="array" ref="GA34">IFERROR(IF($FW34="SEGMENT",INDEX('Margin Guidence Table'!$A$1:$AG$10000,MATCH(1,('Margin Guidence Table'!$A$1:$A$10000=FU34)*('Margin Guidence Table'!$I$1:$I$10000&lt;=ROUND($FM$3,0))*('Margin Guidence Table'!$J$1:$J$10000&gt;=ROUND($FM$3,0)),0),MATCH("MDA_MEDIAN_MARGIN_GUIDENCE",'Margin Guidence Table'!$A$1:$AG$1,0)),INDEX('Margin Guidence Table'!$A$1:$AG$10000,MATCH(1,('Margin Guidence Table'!$A$1:$A$10000=FU34)*('Margin Guidence Table'!$I$1:$I$10000&lt;=ROUND($FM$3,0))*('Margin Guidence Table'!$J$1:$J$10000&gt;=ROUND($FM$3,0)),0),MATCH("DEFAULT_MDA_MEDIAN_MARGIN_GUIDENCE",'Margin Guidence Table'!$A$1:$AG$1,0))),0)</f>
        <v>0</v>
      </c>
      <c r="GB34" s="1054">
        <f t="array" ref="GB34">IFERROR(IF($FW34="SEGMENT",INDEX('Margin Guidence Table'!$A$1:$AG$10000,MATCH(1,('Margin Guidence Table'!$A$1:$A$10000=FU34)*('Margin Guidence Table'!$I$1:$I$10000&lt;=ROUND($FM$3,0))*('Margin Guidence Table'!$J$1:$J$10000&gt;=ROUND($FM$3,0)),0),MATCH("MDA_MAX_MARGIN_GUIDENCE",'Margin Guidence Table'!$A$1:$AG$1,0)),INDEX('Margin Guidence Table'!$A$1:$AG$10000,MATCH(1,('Margin Guidence Table'!$A$1:$A$10000=FU34)*('Margin Guidence Table'!$I$1:$I$10000&lt;=ROUND($FM$3,0))*('Margin Guidence Table'!$J$1:$J$10000&gt;=ROUND($FM$3,0)),0),MATCH("DEFAULT_MDA_MAX_MARGIN_GUIDENCE",'Margin Guidence Table'!$A$1:$AG$1,0))),0)</f>
        <v>0</v>
      </c>
      <c r="GC34" s="1054">
        <f t="array" ref="GC34">IFERROR(IF($FW34="SEGMENT",INDEX('Margin Guidence Table'!$A$1:$AG$10000,MATCH(1,('Margin Guidence Table'!$A$1:$A$10000=FU34)*('Margin Guidence Table'!$I$1:$I$10000&lt;=ROUND($FM$3,0))*('Margin Guidence Table'!$J$1:$J$10000&gt;=ROUND($FM$3,0)),0),MATCH("PA_PCT_SALES",'Margin Guidence Table'!$A$1:$AG$1,0)),INDEX('Margin Guidence Table'!$A$1:$AG$10000,MATCH(1,('Margin Guidence Table'!$A$1:$A$10000=FU34)*('Margin Guidence Table'!$I$1:$I$10000&lt;=ROUND($FM$3,0))*('Margin Guidence Table'!$J$1:$J$10000&gt;=ROUND($FM$3,0)),0),MATCH("DEFAULT_PA_PCT_SALES",'Margin Guidence Table'!$A$1:$AG$1,0))),0)</f>
        <v>0</v>
      </c>
      <c r="GD34" s="1054">
        <f t="array" ref="GD34">IFERROR(IF($FW34="SEGMENT",INDEX('Margin Guidence Table'!$A$1:$AG$10000,MATCH(1,('Margin Guidence Table'!$A$1:$A$10000=FU34)*('Margin Guidence Table'!$I$1:$I$10000&lt;=ROUND($FM$3,0))*('Margin Guidence Table'!$J$1:$J$10000&gt;=ROUND($FM$3,0)),0),MATCH("SELF_FUND_PCT_SALES",'Margin Guidence Table'!$A$1:$AG$1,0)),INDEX('Margin Guidence Table'!$A$1:$AG$10000,MATCH(1,('Margin Guidence Table'!$A$1:$A$10000=FU34)*('Margin Guidence Table'!$I$1:$I$10000&lt;=ROUND($FM$3,0))*('Margin Guidence Table'!$J$1:$J$10000&gt;=ROUND($FM$3,0)),0),MATCH("DEFAULT_SELF_FUND_PCT_SALES",'Margin Guidence Table'!$A$1:$AG$1,0))),0)</f>
        <v>0</v>
      </c>
      <c r="GE34" s="1054">
        <f t="array" ref="GE34">IFERROR(IF($FW34="SEGMENT",INDEX('Margin Guidence Table'!$A$1:$AG$10000,MATCH(1,('Margin Guidence Table'!$A$1:$A$10000=FU34)*('Margin Guidence Table'!$I$1:$I$10000&lt;=ROUND($FM$3,0))*('Margin Guidence Table'!$J$1:$J$10000&gt;=ROUND($FM$3,0)),0),MATCH("CIA_MEDIAN_MARGIN_GUIDENCE",'Margin Guidence Table'!$A$1:$AG$1,0)),INDEX('Margin Guidence Table'!$A$1:$AG$10000,MATCH(1,('Margin Guidence Table'!$A$1:$A$10000=FU34)*('Margin Guidence Table'!$I$1:$I$10000&lt;=ROUND($FM$3,0))*('Margin Guidence Table'!$J$1:$J$10000&gt;=ROUND($FM$3,0)),0),MATCH("DEFAULT_CIA_MEDIAN_MARGIN_GUIDENCE",'Margin Guidence Table'!$A$1:$AG$1,0))),0)</f>
        <v>0</v>
      </c>
      <c r="GF34" s="127"/>
      <c r="GG34" s="18">
        <f t="array" ref="GG34">IFERROR(IF($GT34="SEGMENT",INDEX('Margin Guidence Table'!$A$1:$AG$10000,MATCH(1,('Margin Guidence Table'!$A$1:$A$10000=$GR34)*('Margin Guidence Table'!$I$1:$I$10000&lt;=ROUND($GJ$3,0))*('Margin Guidence Table'!$J$1:$J$10000&gt;=ROUND($GJ$3,0)),0),MATCH("PCT_SALES",'Margin Guidence Table'!$A$1:$AG$1,0)),INDEX('Margin Guidence Table'!$A$1:$AG$10000,MATCH(1,('Margin Guidence Table'!$A$1:$A$10000=$GR34)*('Margin Guidence Table'!$I$1:$I$10000&lt;=ROUND($GJ$3,0))*('Margin Guidence Table'!$J$1:$J$10000&gt;=ROUND($GJ$3,0)),0),MATCH("DEFAULT_PCT_SALES",'Margin Guidence Table'!$A$1:$AG$1,0))),0)</f>
        <v>0</v>
      </c>
      <c r="GH34" s="370" t="e">
        <f t="shared" si="38"/>
        <v>#DIV/0!</v>
      </c>
      <c r="GI34" s="101" t="s">
        <v>87</v>
      </c>
      <c r="GJ34" s="92">
        <f>IFERROR(IF(AND($GJ$2&lt;&gt;"Enter Spend&gt;&gt;&gt;",GK22="EXISTING"),SUMIFS('Existing Customers'!$Q:$Q,'Existing Customers'!$A:$A,$GJ$1,'Existing Customers'!$H:$H,$GI34)*$GJ$4,$GJ$3*$GH34),0)</f>
        <v>0</v>
      </c>
      <c r="GK34" s="87">
        <f>IFERROR(IF(AND($GJ$2&lt;&gt;"Enter Spend&gt;&gt;&gt;",GK2="EXISTING"),SUMIFS('Existing Customers'!$N:$N,'Existing Customers'!$A:$A,$GJ$1,'Existing Customers'!$H:$H,$GI34)*$GJ$4,$GJ34/$GU34),0)</f>
        <v>0</v>
      </c>
      <c r="GL34" s="93">
        <f>IFERROR(IF(AND($GJ$2&lt;&gt;"Enter Spend&gt;&gt;&gt;",GK2="EXISTING"),SUMIFS('Existing Customers'!$O:$O,'Existing Customers'!$H:$H,$GI34,'Existing Customers'!$A:$A,$GJ$1)*$GJ$4,$GK34*$GJ$8),0)</f>
        <v>0</v>
      </c>
      <c r="GM34" s="93">
        <f>IFERROR(IF(AND($GJ$2&lt;&gt;"Enter Spend&gt;&gt;&gt;",GK2="EXISTING"),SUMIFS('Existing Customers'!$P:$P,'Existing Customers'!$A:$A,$GJ$1,'Existing Customers'!$H:$H,$GI34)*$GJ$4,$GJ34/$GV34),0)</f>
        <v>0</v>
      </c>
      <c r="GN34" s="94">
        <f>IFERROR(IF(AND($GJ$2&lt;&gt;"Enter Spend&gt;&gt;&gt;",GK2="EXISTING"),SUMIFS('Existing Customers'!$V:$V,'Existing Customers'!$H:$H,$GI34,'Existing Customers'!$A:$A,$GJ$1)*$GJ$4,0),0)</f>
        <v>0</v>
      </c>
      <c r="GO34" s="94">
        <f>IFERROR(IF(AND($GJ$2&lt;&gt;"Enter Spend&gt;&gt;&gt;",GK2="EXISTING"),SUMIFS('Existing Customers'!$R:$R,'Existing Customers'!$H:$H,$GI34,'Existing Customers'!$A:$A,$GJ$1)*$GJ$4,0),0)</f>
        <v>0</v>
      </c>
      <c r="GP34" s="1050">
        <f>IFERROR(IF(AND($GJ$2&lt;&gt;"Enter Spend&gt;&gt;&gt;",GK2="EXISTING"),SUMIFS('Existing Customers'!$S:$S,'Existing Customers'!$H:$H,$GI34,'Existing Customers'!$A:$A,$GJ$1),GZ34*GJ34),0)</f>
        <v>0</v>
      </c>
      <c r="GQ34" s="1050">
        <f>IFERROR(IF(AND($GJ$2&lt;&gt;"Enter Spend&gt;&gt;&gt;",GK2="EXISTING"),SUMIFS('Existing Customers'!$U:$U,'Existing Customers'!$H:$H,$GI34,'Existing Customers'!$A:$A,$GJ$1),HA34*GJ34),0)</f>
        <v>0</v>
      </c>
      <c r="GR34" s="1053" t="e">
        <f>_xlfn.CONCAT('Customer Inputs'!$AG$12,"_",GI34)</f>
        <v>#N/A</v>
      </c>
      <c r="GS34" s="1053">
        <f t="array" ref="GS34">IFERROR(INDEX('Margin Guidence Table'!$A$1:$AG$10000,MATCH(1,('Margin Guidence Table'!$A$1:$A$10000=GR34)*('Margin Guidence Table'!$I$1:$I$10000&lt;=ROUND($GJ$3,0))*('Margin Guidence Table'!$J$1:$J$10000&gt;=ROUND($GJ$3,0)),0),MATCH("DATA_POINTS",'Margin Guidence Table'!$A$1:$AG$1,0)),0)</f>
        <v>0</v>
      </c>
      <c r="GT34" s="1050" t="str">
        <f t="shared" si="39"/>
        <v>DEFAULT</v>
      </c>
      <c r="GU34" s="1050">
        <f t="array" ref="GU34">IFERROR(IF($GT34="SEGMENT",INDEX('Margin Guidence Table'!$A$1:$AG$10000,MATCH(1,('Margin Guidence Table'!$A$1:$A$10000=GR34)*('Margin Guidence Table'!$I$1:$I$10000&lt;=ROUND($GJ$3,0))*('Margin Guidence Table'!$J$1:$J$10000&gt;=ROUND($GJ$3,0)),0),MATCH("SALES_CASE",'Margin Guidence Table'!$A$1:$AG$1,0)),INDEX('Margin Guidence Table'!$A$1:$AG$10000,MATCH(1,('Margin Guidence Table'!$A$1:$A$10000=GR34)*('Margin Guidence Table'!$I$1:$I$10000&lt;=ROUND($GJ$3,0))*('Margin Guidence Table'!$J$1:$J$10000&gt;=ROUND($GJ$3,0)),0),MATCH("DEFAULT_SALES_CASE",'Margin Guidence Table'!$A$1:$AG$1,0))),0)</f>
        <v>0</v>
      </c>
      <c r="GV34" s="1050">
        <f t="array" ref="GV34">IFERROR(IF($GT34="SEGMENT",INDEX('Margin Guidence Table'!$A$1:$AG$10000,MATCH(1,('Margin Guidence Table'!$A$1:$A$10000=GR34)*('Margin Guidence Table'!$I$1:$I$10000&lt;=ROUND($GJ$3,0))*('Margin Guidence Table'!$J$1:$J$10000&gt;=ROUND($GJ$3,0)),0),MATCH("SALES_LBS",'Margin Guidence Table'!$A$1:$AG$1,0)),INDEX('Margin Guidence Table'!$A$1:$AG$10000,MATCH(1,('Margin Guidence Table'!$A$1:$A$10000=GR34)*('Margin Guidence Table'!$I$1:$I$10000&lt;=ROUND($GJ$3,0))*('Margin Guidence Table'!$J$1:$J$10000&gt;=ROUND($GJ$3,0)),0),MATCH("DEFAULT_SALES_LBS",'Margin Guidence Table'!$A$1:$AG$1,0))),0)</f>
        <v>0</v>
      </c>
      <c r="GW34" s="1054">
        <f t="array" ref="GW34">IFERROR(IF($GT34="SEGMENT",INDEX('Margin Guidence Table'!$A$1:$AG$10000,MATCH(1,('Margin Guidence Table'!$A$1:$A$10000=GR34)*('Margin Guidence Table'!$I$1:$I$10000&lt;=ROUND($GJ$3,0))*('Margin Guidence Table'!$J$1:$J$10000&gt;=ROUND($GJ$3,0)),0),MATCH("MDA_MIN_MARGIN_GUIDENCE",'Margin Guidence Table'!$A$1:$AG$1,0)),INDEX('Margin Guidence Table'!$A$1:$AG$10000,MATCH(1,('Margin Guidence Table'!$A$1:$A$10000=GR34)*('Margin Guidence Table'!$I$1:$I$10000&lt;=ROUND($GJ$3,0))*('Margin Guidence Table'!$J$1:$J$10000&gt;=ROUND($GJ$3,0)),0),MATCH("DEFAULT_MDA_MIN_MARGIN_GUIDENCE",'Margin Guidence Table'!$A$1:$AG$1,0))),0)</f>
        <v>0</v>
      </c>
      <c r="GX34" s="1054">
        <f t="array" ref="GX34">IFERROR(IF($GT34="SEGMENT",INDEX('Margin Guidence Table'!$A$1:$AG$10000,MATCH(1,('Margin Guidence Table'!$A$1:$A$10000=GR34)*('Margin Guidence Table'!$I$1:$I$10000&lt;=ROUND($GJ$3,0))*('Margin Guidence Table'!$J$1:$J$10000&gt;=ROUND($GJ$3,0)),0),MATCH("MDA_MEDIAN_MARGIN_GUIDENCE",'Margin Guidence Table'!$A$1:$AG$1,0)),INDEX('Margin Guidence Table'!$A$1:$AG$10000,MATCH(1,('Margin Guidence Table'!$A$1:$A$10000=GR34)*('Margin Guidence Table'!$I$1:$I$10000&lt;=ROUND($GJ$3,0))*('Margin Guidence Table'!$J$1:$J$10000&gt;=ROUND($GJ$3,0)),0),MATCH("DEFAULT_MDA_MEDIAN_MARGIN_GUIDENCE",'Margin Guidence Table'!$A$1:$AG$1,0))),0)</f>
        <v>0</v>
      </c>
      <c r="GY34" s="1054">
        <f t="array" ref="GY34">IFERROR(IF($GT34="SEGMENT",INDEX('Margin Guidence Table'!$A$1:$AG$10000,MATCH(1,('Margin Guidence Table'!$A$1:$A$10000=GR34)*('Margin Guidence Table'!$I$1:$I$10000&lt;=ROUND($GJ$3,0))*('Margin Guidence Table'!$J$1:$J$10000&gt;=ROUND($GJ$3,0)),0),MATCH("MDA_MAX_MARGIN_GUIDENCE",'Margin Guidence Table'!$A$1:$AG$1,0)),INDEX('Margin Guidence Table'!$A$1:$AG$10000,MATCH(1,('Margin Guidence Table'!$A$1:$A$10000=GR34)*('Margin Guidence Table'!$I$1:$I$10000&lt;=ROUND($GJ$3,0))*('Margin Guidence Table'!$J$1:$J$10000&gt;=ROUND($GJ$3,0)),0),MATCH("DEFAULT_MDA_MAX_MARGIN_GUIDENCE",'Margin Guidence Table'!$A$1:$AG$1,0))),0)</f>
        <v>0</v>
      </c>
      <c r="GZ34" s="1054">
        <f t="array" ref="GZ34">IFERROR(IF($GT34="SEGMENT",INDEX('Margin Guidence Table'!$A$1:$AG$10000,MATCH(1,('Margin Guidence Table'!$A$1:$A$10000=GR34)*('Margin Guidence Table'!$I$1:$I$10000&lt;=ROUND($GJ$3,0))*('Margin Guidence Table'!$J$1:$J$10000&gt;=ROUND($GJ$3,0)),0),MATCH("PA_PCT_SALES",'Margin Guidence Table'!$A$1:$AG$1,0)),INDEX('Margin Guidence Table'!$A$1:$AG$10000,MATCH(1,('Margin Guidence Table'!$A$1:$A$10000=GR34)*('Margin Guidence Table'!$I$1:$I$10000&lt;=ROUND($GJ$3,0))*('Margin Guidence Table'!$J$1:$J$10000&gt;=ROUND($GJ$3,0)),0),MATCH("DEFAULT_PA_PCT_SALES",'Margin Guidence Table'!$A$1:$AG$1,0))),0)</f>
        <v>0</v>
      </c>
      <c r="HA34" s="1054">
        <f t="array" ref="HA34">IFERROR(IF($GT34="SEGMENT",INDEX('Margin Guidence Table'!$A$1:$AG$10000,MATCH(1,('Margin Guidence Table'!$A$1:$A$10000=GR34)*('Margin Guidence Table'!$I$1:$I$10000&lt;=ROUND($GJ$3,0))*('Margin Guidence Table'!$J$1:$J$10000&gt;=ROUND($GJ$3,0)),0),MATCH("SELF_FUND_PCT_SALES",'Margin Guidence Table'!$A$1:$AG$1,0)),INDEX('Margin Guidence Table'!$A$1:$AG$10000,MATCH(1,('Margin Guidence Table'!$A$1:$A$10000=GR34)*('Margin Guidence Table'!$I$1:$I$10000&lt;=ROUND($GJ$3,0))*('Margin Guidence Table'!$J$1:$J$10000&gt;=ROUND($GJ$3,0)),0),MATCH("DEFAULT_SELF_FUND_PCT_SALES",'Margin Guidence Table'!$A$1:$AG$1,0))),0)</f>
        <v>0</v>
      </c>
      <c r="HB34" s="1054">
        <f t="array" ref="HB34">IFERROR(IF($GT34="SEGMENT",INDEX('Margin Guidence Table'!$A$1:$AG$10000,MATCH(1,('Margin Guidence Table'!$A$1:$A$10000=GR34)*('Margin Guidence Table'!$I$1:$I$10000&lt;=ROUND($GJ$3,0))*('Margin Guidence Table'!$J$1:$J$10000&gt;=ROUND($GJ$3,0)),0),MATCH("CIA_MEDIAN_MARGIN_GUIDENCE",'Margin Guidence Table'!$A$1:$AG$1,0)),INDEX('Margin Guidence Table'!$A$1:$AG$10000,MATCH(1,('Margin Guidence Table'!$A$1:$A$10000=GR34)*('Margin Guidence Table'!$I$1:$I$10000&lt;=ROUND($GJ$3,0))*('Margin Guidence Table'!$J$1:$J$10000&gt;=ROUND($GJ$3,0)),0),MATCH("DEFAULT_CIA_MEDIAN_MARGIN_GUIDENCE",'Margin Guidence Table'!$A$1:$AG$1,0))),0)</f>
        <v>0</v>
      </c>
      <c r="HC34" s="127"/>
      <c r="HD34" s="18">
        <f t="array" ref="HD34">IFERROR(IF($HQ34="SEGMENT",INDEX('Margin Guidence Table'!$A$1:$AG$10000,MATCH(1,('Margin Guidence Table'!$A$1:$A$10000=$HO34)*('Margin Guidence Table'!$I$1:$I$10000&lt;=ROUND($HG$3,0))*('Margin Guidence Table'!$J$1:$J$10000&gt;=ROUND($HG$3,0)),0),MATCH("PCT_SALES",'Margin Guidence Table'!$A$1:$AG$1,0)),INDEX('Margin Guidence Table'!$A$1:$AG$10000,MATCH(1,('Margin Guidence Table'!$A$1:$A$10000=$HO34)*('Margin Guidence Table'!$I$1:$I$10000&lt;=ROUND($HG$3,0))*('Margin Guidence Table'!$J$1:$J$10000&gt;=ROUND($HG$3,0)),0),MATCH("DEFAULT_PCT_SALES",'Margin Guidence Table'!$A$1:$AG$1,0))),0)</f>
        <v>0</v>
      </c>
      <c r="HE34" s="370" t="e">
        <f t="shared" si="40"/>
        <v>#DIV/0!</v>
      </c>
      <c r="HF34" s="101" t="s">
        <v>87</v>
      </c>
      <c r="HG34" s="92">
        <f>IFERROR(IF(AND($HG$2&lt;&gt;"Enter Spend&gt;&gt;&gt;",HH22="EXISTING"),SUMIFS('Existing Customers'!$Q:$Q,'Existing Customers'!$A:$A,$HG$1,'Existing Customers'!$H:$H,$HF34)*$HG$4,$HG$3*$HE34),0)</f>
        <v>0</v>
      </c>
      <c r="HH34" s="87">
        <f>IFERROR(IF(AND($HG$2&lt;&gt;"Enter Spend&gt;&gt;&gt;",HH2="EXISTING"),SUMIFS('Existing Customers'!$N:$N,'Existing Customers'!$A:$A,$HG$1,'Existing Customers'!$H:$H,$HF34)*$HG$4,$HG34/$HR34),0)</f>
        <v>0</v>
      </c>
      <c r="HI34" s="93">
        <f>IFERROR(IF(AND($HG$2&lt;&gt;"Enter Spend&gt;&gt;&gt;",HH2="EXISTING"),SUMIFS('Existing Customers'!$O:$O,'Existing Customers'!$H:$H,$HF34,'Existing Customers'!$A:$A,$HG$1)*$HG$4,$HH34*$HG$8),0)</f>
        <v>0</v>
      </c>
      <c r="HJ34" s="93">
        <f>IFERROR(IF(AND($HG$2&lt;&gt;"Enter Spend&gt;&gt;&gt;",HH2="EXISTING"),SUMIFS('Existing Customers'!$P:$P,'Existing Customers'!$A:$A,$HG$1,'Existing Customers'!$H:$H,$HF34)*$HG$4,$HG34/$HS34),0)</f>
        <v>0</v>
      </c>
      <c r="HK34" s="94">
        <f>IFERROR(IF(AND($HG$2&lt;&gt;"Enter Spend&gt;&gt;&gt;",HH2="EXISTING"),SUMIFS('Existing Customers'!$V:$V,'Existing Customers'!$H:$H,$HF34,'Existing Customers'!$A:$A,$HG$1)*$HG$4,0),0)</f>
        <v>0</v>
      </c>
      <c r="HL34" s="94">
        <f>IFERROR(IF(AND($HG$2&lt;&gt;"Enter Spend&gt;&gt;&gt;",HH2="EXISTING"),SUMIFS('Existing Customers'!$R:$R,'Existing Customers'!$H:$H,$HF34,'Existing Customers'!$A:$A,$HG$1)*$HG$4,0),0)</f>
        <v>0</v>
      </c>
      <c r="HM34" s="1050">
        <f>IFERROR(IF(AND($HG$2&lt;&gt;"Enter Spend&gt;&gt;&gt;",HH2="EXISTING"),SUMIFS('Existing Customers'!$S:$S,'Existing Customers'!$H:$H,$HF34,'Existing Customers'!$A:$A,$HG$1),HW34*HG34),0)</f>
        <v>0</v>
      </c>
      <c r="HN34" s="1050">
        <f>IFERROR(IF(AND($HG$2&lt;&gt;"Enter Spend&gt;&gt;&gt;",HH2="EXISTING"),SUMIFS('Existing Customers'!$U:$U,'Existing Customers'!$H:$H,$HF34,'Existing Customers'!$A:$A,$HG$1),HX34*HG34),0)</f>
        <v>0</v>
      </c>
      <c r="HO34" s="1053" t="e">
        <f>_xlfn.CONCAT('Customer Inputs'!$AG$13,"_",HF34)</f>
        <v>#N/A</v>
      </c>
      <c r="HP34" s="1053">
        <f t="array" ref="HP34">IFERROR(INDEX('Margin Guidence Table'!$A$1:$AG$10000,MATCH(1,('Margin Guidence Table'!$A$1:$A$10000=HO34)*('Margin Guidence Table'!$I$1:$I$10000&lt;=ROUND($HG$3,0))*('Margin Guidence Table'!$J$1:$J$10000&gt;=ROUND($HG$3,0)),0),MATCH("DATA_POINTS",'Margin Guidence Table'!$A$1:$AG$1,0)),0)</f>
        <v>0</v>
      </c>
      <c r="HQ34" s="1050" t="str">
        <f t="shared" si="41"/>
        <v>DEFAULT</v>
      </c>
      <c r="HR34" s="1050">
        <f t="array" ref="HR34">IFERROR(IF($HQ34="SEGMENT",INDEX('Margin Guidence Table'!$A$1:$AG$10000,MATCH(1,('Margin Guidence Table'!$A$1:$A$10000=HO34)*('Margin Guidence Table'!$I$1:$I$10000&lt;=ROUND($HG$3,0))*('Margin Guidence Table'!$J$1:$J$10000&gt;=ROUND($HG$3,0)),0),MATCH("SALES_CASE",'Margin Guidence Table'!$A$1:$AG$1,0)),INDEX('Margin Guidence Table'!$A$1:$AG$10000,MATCH(1,('Margin Guidence Table'!$A$1:$A$10000=HO34)*('Margin Guidence Table'!$I$1:$I$10000&lt;=ROUND($HG$3,0))*('Margin Guidence Table'!$J$1:$J$10000&gt;=ROUND($HG$3,0)),0),MATCH("DEFAULT_SALES_CASE",'Margin Guidence Table'!$A$1:$AG$1,0))),0)</f>
        <v>0</v>
      </c>
      <c r="HS34" s="1050">
        <f t="array" ref="HS34">IFERROR(IF($HQ34="SEGMENT",INDEX('Margin Guidence Table'!$A$1:$AG$10000,MATCH(1,('Margin Guidence Table'!$A$1:$A$10000=HO34)*('Margin Guidence Table'!$I$1:$I$10000&lt;=ROUND($HG$3,0))*('Margin Guidence Table'!$J$1:$J$10000&gt;=ROUND($HG$3,0)),0),MATCH("SALES_LBS",'Margin Guidence Table'!$A$1:$AG$1,0)),INDEX('Margin Guidence Table'!$A$1:$AG$10000,MATCH(1,('Margin Guidence Table'!$A$1:$A$10000=HO34)*('Margin Guidence Table'!$I$1:$I$10000&lt;=ROUND($HG$3,0))*('Margin Guidence Table'!$J$1:$J$10000&gt;=ROUND($HG$3,0)),0),MATCH("DEFAULT_SALES_LBS",'Margin Guidence Table'!$A$1:$AG$1,0))),0)</f>
        <v>0</v>
      </c>
      <c r="HT34" s="1054">
        <f t="array" ref="HT34">IFERROR(IF($HQ34="SEGMENT",INDEX('Margin Guidence Table'!$A$1:$AG$10000,MATCH(1,('Margin Guidence Table'!$A$1:$A$10000=HO34)*('Margin Guidence Table'!$I$1:$I$10000&lt;=ROUND($HG$3,0))*('Margin Guidence Table'!$J$1:$J$10000&gt;=ROUND($HG$3,0)),0),MATCH("MDA_MIN_MARGIN_GUIDENCE",'Margin Guidence Table'!$A$1:$AG$1,0)),INDEX('Margin Guidence Table'!$A$1:$AG$10000,MATCH(1,('Margin Guidence Table'!$A$1:$A$10000=HO34)*('Margin Guidence Table'!$I$1:$I$10000&lt;=ROUND($HG$3,0))*('Margin Guidence Table'!$J$1:$J$10000&gt;=ROUND($HG$3,0)),0),MATCH("DEFAULT_MDA_MIN_MARGIN_GUIDENCE",'Margin Guidence Table'!$A$1:$AG$1,0))),0)</f>
        <v>0</v>
      </c>
      <c r="HU34" s="1054">
        <f t="array" ref="HU34">IFERROR(IF($HQ34="SEGMENT",INDEX('Margin Guidence Table'!$A$1:$AG$10000,MATCH(1,('Margin Guidence Table'!$A$1:$A$10000=HO34)*('Margin Guidence Table'!$I$1:$I$10000&lt;=ROUND($HG$3,0))*('Margin Guidence Table'!$J$1:$J$10000&gt;=ROUND($HG$3,0)),0),MATCH("MDA_MEDIAN_MARGIN_GUIDENCE",'Margin Guidence Table'!$A$1:$AG$1,0)),INDEX('Margin Guidence Table'!$A$1:$AG$10000,MATCH(1,('Margin Guidence Table'!$A$1:$A$10000=HO34)*('Margin Guidence Table'!$I$1:$I$10000&lt;=ROUND($HG$3,0))*('Margin Guidence Table'!$J$1:$J$10000&gt;=ROUND($HG$3,0)),0),MATCH("DEFAULT_MDA_MEDIAN_MARGIN_GUIDENCE",'Margin Guidence Table'!$A$1:$AG$1,0))),0)</f>
        <v>0</v>
      </c>
      <c r="HV34" s="1054">
        <f t="array" ref="HV34">IFERROR(IF($HQ34="SEGMENT",INDEX('Margin Guidence Table'!$A$1:$AG$10000,MATCH(1,('Margin Guidence Table'!$A$1:$A$10000=HO34)*('Margin Guidence Table'!$I$1:$I$10000&lt;=ROUND($HG$3,0))*('Margin Guidence Table'!$J$1:$J$10000&gt;=ROUND($HG$3,0)),0),MATCH("MDA_MAX_MARGIN_GUIDENCE",'Margin Guidence Table'!$A$1:$AG$1,0)),INDEX('Margin Guidence Table'!$A$1:$AG$10000,MATCH(1,('Margin Guidence Table'!$A$1:$A$10000=HO34)*('Margin Guidence Table'!$I$1:$I$10000&lt;=ROUND($HG$3,0))*('Margin Guidence Table'!$J$1:$J$10000&gt;=ROUND($HG$3,0)),0),MATCH("DEFAULT_MDA_MAX_MARGIN_GUIDENCE",'Margin Guidence Table'!$A$1:$AG$1,0))),0)</f>
        <v>0</v>
      </c>
      <c r="HW34" s="1054">
        <f t="array" ref="HW34">IFERROR(IF($HQ34="SEGMENT",INDEX('Margin Guidence Table'!$A$1:$AG$10000,MATCH(1,('Margin Guidence Table'!$A$1:$A$10000=HO34)*('Margin Guidence Table'!$I$1:$I$10000&lt;=ROUND($HG$3,0))*('Margin Guidence Table'!$J$1:$J$10000&gt;=ROUND($HG$3,0)),0),MATCH("PA_PCT_SALES",'Margin Guidence Table'!$A$1:$AG$1,0)),INDEX('Margin Guidence Table'!$A$1:$AG$10000,MATCH(1,('Margin Guidence Table'!$A$1:$A$10000=HO34)*('Margin Guidence Table'!$I$1:$I$10000&lt;=ROUND($HG$3,0))*('Margin Guidence Table'!$J$1:$J$10000&gt;=ROUND($HG$3,0)),0),MATCH("DEFAULT_PA_PCT_SALES",'Margin Guidence Table'!$A$1:$AG$1,0))),0)</f>
        <v>0</v>
      </c>
      <c r="HX34" s="1054">
        <f t="array" ref="HX34">IFERROR(IF($HQ34="SEGMENT",INDEX('Margin Guidence Table'!$A$1:$AG$10000,MATCH(1,('Margin Guidence Table'!$A$1:$A$10000=HO34)*('Margin Guidence Table'!$I$1:$I$10000&lt;=ROUND($HG$3,0))*('Margin Guidence Table'!$J$1:$J$10000&gt;=ROUND($HG$3,0)),0),MATCH("SELF_FUND_PCT_SALES",'Margin Guidence Table'!$A$1:$AG$1,0)),INDEX('Margin Guidence Table'!$A$1:$AG$10000,MATCH(1,('Margin Guidence Table'!$A$1:$A$10000=HO34)*('Margin Guidence Table'!$I$1:$I$10000&lt;=ROUND($HG$3,0))*('Margin Guidence Table'!$J$1:$J$10000&gt;=ROUND($HG$3,0)),0),MATCH("DEFAULT_SELF_FUND_PCT_SALES",'Margin Guidence Table'!$A$1:$AG$1,0))),0)</f>
        <v>0</v>
      </c>
      <c r="HY34" s="1054">
        <f t="array" ref="HY34">IFERROR(IF($HQ34="SEGMENT",INDEX('Margin Guidence Table'!$A$1:$AG$10000,MATCH(1,('Margin Guidence Table'!$A$1:$A$10000=HO34)*('Margin Guidence Table'!$I$1:$I$10000&lt;=ROUND($HG$3,0))*('Margin Guidence Table'!$J$1:$J$10000&gt;=ROUND($HG$3,0)),0),MATCH("CIA_MEDIAN_MARGIN_GUIDENCE",'Margin Guidence Table'!$A$1:$AG$1,0)),INDEX('Margin Guidence Table'!$A$1:$AG$10000,MATCH(1,('Margin Guidence Table'!$A$1:$A$10000=HO34)*('Margin Guidence Table'!$I$1:$I$10000&lt;=ROUND($HG$3,0))*('Margin Guidence Table'!$J$1:$J$10000&gt;=ROUND($HG$3,0)),0),MATCH("DEFAULT_CIA_MEDIAN_MARGIN_GUIDENCE",'Margin Guidence Table'!$A$1:$AG$1,0))),0)</f>
        <v>0</v>
      </c>
      <c r="HZ34" s="127"/>
      <c r="IA34" s="18">
        <f t="array" ref="IA34">IFERROR(IF($IN34="SEGMENT",INDEX('Margin Guidence Table'!$A:$AC,MATCH(1,('Margin Guidence Table'!$A:$A=$IL34)*('Margin Guidence Table'!$H:$H&lt;=ROUND($ID$3,0))*('Margin Guidence Table'!$G:$G&gt;=ROUND($ID$3,0)),0),MATCH("PCT_SALES",'Margin Guidence Table'!$A$1:$AG$1,0)),INDEX('Margin Guidence Table'!$A:$AC,MATCH(1,('Margin Guidence Table'!$A:$A=$IL34)*('Margin Guidence Table'!$H:$H&lt;=ROUND($ID$3,0))*('Margin Guidence Table'!$G:$G&gt;=ROUND($ID$3,0)),0),MATCH("DEFAULT_PCT_SALES",'Margin Guidence Table'!$A$1:$AG$1,0))),0)</f>
        <v>0</v>
      </c>
      <c r="IB34" s="370" t="e">
        <f t="shared" si="42"/>
        <v>#DIV/0!</v>
      </c>
      <c r="IC34" s="101" t="s">
        <v>87</v>
      </c>
      <c r="ID34" s="92">
        <f>IFERROR(IF(AND($ID$2&lt;&gt;"Enter Spend&gt;&gt;&gt;",IE22="EXISTING"),SUMIFS('Existing Customers'!$Q:$Q,'Existing Customers'!$A:$A,$ID$1,'Existing Customers'!$H:$H,$IC34)*$ID$4,$ID$3*$IB34),0)</f>
        <v>0</v>
      </c>
      <c r="IE34" s="87">
        <f>IFERROR(IF(AND($ID$2&lt;&gt;"Enter Spend&gt;&gt;&gt;",IE2="EXISTING"),SUMIFS('Existing Customers'!$N:$N,'Existing Customers'!$A:$A,$ID$1,'Existing Customers'!$H:$H,$IC34)*$ID$4,$ID34/$IO34),0)</f>
        <v>0</v>
      </c>
      <c r="IF34" s="93">
        <f>IFERROR(IF(AND($ID$2&lt;&gt;"Enter Spend&gt;&gt;&gt;",IE2="EXISTING"),SUMIFS('Existing Customers'!$O:$O,'Existing Customers'!$H:$H,$IC34,'Existing Customers'!$A:$A,$ID$1)*$ID$4,$IE34*$ID$8),0)</f>
        <v>0</v>
      </c>
      <c r="IG34" s="93">
        <f>IFERROR(IF(AND($ID$2&lt;&gt;"Enter Spend&gt;&gt;&gt;",IE2="EXISTING"),SUMIFS('Existing Customers'!$P:$P,'Existing Customers'!$A:$A,$ID$1,'Existing Customers'!$H:$H,$IC34)*$ID$4,$ID34/$IP34),0)</f>
        <v>0</v>
      </c>
      <c r="IH34" s="376">
        <f>IFERROR(IF(AND($ID$2&lt;&gt;"Enter Spend&gt;&gt;&gt;",IE2="EXISTING"),SUMIFS('Existing Customers'!$V:$V,'Existing Customers'!$H:$H,$IC34,'Existing Customers'!$A:$A,$ID$1)*$ID$4,0),0)</f>
        <v>0</v>
      </c>
      <c r="II34" s="94">
        <f>IFERROR(IF(AND($ID$2&lt;&gt;"Enter Spend&gt;&gt;&gt;",IE2="EXISTING"),SUMIFS('Existing Customers'!$R:$R,'Existing Customers'!$H:$H,$IC34,'Existing Customers'!$A:$A,$ID$1)*$ID$4,0),0)</f>
        <v>0</v>
      </c>
      <c r="IJ34" s="1050">
        <f>IFERROR(IF(AND($ID$2&lt;&gt;"Enter Spend&gt;&gt;&gt;",IE2="EXISTING"),SUMIFS('Existing Customers'!$S:$S,'Existing Customers'!$H:$H,$IC34,'Existing Customers'!$A:$A,$ID$1),IT34*ID34),0)</f>
        <v>0</v>
      </c>
      <c r="IK34" s="1050">
        <f>IFERROR(IF(AND($ID$2&lt;&gt;"Enter Spend&gt;&gt;&gt;",IE2="EXISTING"),SUMIFS('Existing Customers'!$U:$U,'Existing Customers'!$H:$H,$IC34,'Existing Customers'!$A:$A,$ID$1),IU34*ID34),0)</f>
        <v>0</v>
      </c>
      <c r="IL34" s="1053" t="e">
        <f>_xlfn.CONCAT('Customer Inputs'!$AG$14,"_",IC34)</f>
        <v>#N/A</v>
      </c>
      <c r="IM34" s="1053">
        <f t="array" ref="IM34">IFERROR(INDEX('Margin Guidence Table'!$A$1:$AG$10000,MATCH(1,('Margin Guidence Table'!$A$1:$A$10000=IL34)*('Margin Guidence Table'!$I$1:$I$10000&lt;=ROUND($ID$3,0))*('Margin Guidence Table'!$J$1:$J$10000&gt;=ROUND($ID$3,0)),0),MATCH("DATA_POINTS",'Margin Guidence Table'!$A$1:$AG$1,0)),0)</f>
        <v>0</v>
      </c>
      <c r="IN34" s="1050" t="str">
        <f t="shared" si="43"/>
        <v>DEFAULT</v>
      </c>
      <c r="IO34" s="1050">
        <f t="array" ref="IO34">IFERROR(IF($IN34="SEGMENT",INDEX('Margin Guidence Table'!$A$1:$AG$10000,MATCH(1,('Margin Guidence Table'!$A$1:$A$10000=IL34)*('Margin Guidence Table'!$I$1:$I$10000&lt;=ROUND($ID$3,0))*('Margin Guidence Table'!$J$1:$J$10000&gt;=ROUND($ID$3,0)),0),MATCH("SALES_CASE",'Margin Guidence Table'!$A$1:$AG$1,0)),INDEX('Margin Guidence Table'!$A$1:$AG$10000,MATCH(1,('Margin Guidence Table'!$A$1:$A$10000=IL34)*('Margin Guidence Table'!$I$1:$I$10000&lt;=ROUND($ID$3,0))*('Margin Guidence Table'!$J$1:$J$10000&gt;=ROUND($ID$3,0)),0),MATCH("DEFAULT_SALES_CASE",'Margin Guidence Table'!$A$1:$AG$1,0))),0)</f>
        <v>0</v>
      </c>
      <c r="IP34" s="1050">
        <f t="array" ref="IP34">IFERROR(IF($IN34="SEGMENT",INDEX('Margin Guidence Table'!$A$1:$AG$10000,MATCH(1,('Margin Guidence Table'!$A$1:$A$10000=IL34)*('Margin Guidence Table'!$I$1:$I$10000&lt;=ROUND($ID$3,0))*('Margin Guidence Table'!$J$1:$J$10000&gt;=ROUND($ID$3,0)),0),MATCH("SALES_LBS",'Margin Guidence Table'!$A$1:$AG$1,0)),INDEX('Margin Guidence Table'!$A$1:$AG$10000,MATCH(1,('Margin Guidence Table'!$A$1:$A$10000=IL34)*('Margin Guidence Table'!$I$1:$I$10000&lt;=ROUND($ID$3,0))*('Margin Guidence Table'!$J$1:$J$10000&gt;=ROUND($ID$3,0)),0),MATCH("DEFAULT_SALES_LBS",'Margin Guidence Table'!$A$1:$AG$1,0))),0)</f>
        <v>0</v>
      </c>
      <c r="IQ34" s="1054">
        <f t="array" ref="IQ34">IFERROR(IF($IN34="SEGMENT",INDEX('Margin Guidence Table'!$A$1:$AG$10000,MATCH(1,('Margin Guidence Table'!$A$1:$A$10000=IL34)*('Margin Guidence Table'!$I$1:$I$10000&lt;=ROUND($ID$3,0))*('Margin Guidence Table'!$J$1:$J$10000&gt;=ROUND($ID$3,0)),0),MATCH("MDA_MIN_MARGIN_GUIDENCE",'Margin Guidence Table'!$A$1:$AG$1,0)),INDEX('Margin Guidence Table'!$A$1:$AG$10000,MATCH(1,('Margin Guidence Table'!$A$1:$A$10000=IL34)*('Margin Guidence Table'!$I$1:$I$10000&lt;=ROUND($ID$3,0))*('Margin Guidence Table'!$J$1:$J$10000&gt;=ROUND($ID$3,0)),0),MATCH("DEFAULT_MDA_MIN_MARGIN_GUIDENCE",'Margin Guidence Table'!$A$1:$AG$1,0))),0)</f>
        <v>0</v>
      </c>
      <c r="IR34" s="1054">
        <f t="array" ref="IR34">IFERROR(IF($IN34="SEGMENT",INDEX('Margin Guidence Table'!$A$1:$AG$10000,MATCH(1,('Margin Guidence Table'!$A$1:$A$10000=IL34)*('Margin Guidence Table'!$I$1:$I$10000&lt;=ROUND($ID$3,0))*('Margin Guidence Table'!$J$1:$J$10000&gt;=ROUND($ID$3,0)),0),MATCH("MDA_MEDIAN_MARGIN_GUIDENCE",'Margin Guidence Table'!$A$1:$AG$1,0)),INDEX('Margin Guidence Table'!$A$1:$AG$10000,MATCH(1,('Margin Guidence Table'!$A$1:$A$10000=IL34)*('Margin Guidence Table'!$I$1:$I$10000&lt;=ROUND($ID$3,0))*('Margin Guidence Table'!$J$1:$J$10000&gt;=ROUND($ID$3,0)),0),MATCH("DEFAULT_MDA_MEDIAN_MARGIN_GUIDENCE",'Margin Guidence Table'!$A$1:$AG$1,0))),0)</f>
        <v>0</v>
      </c>
      <c r="IS34" s="1054">
        <f t="array" ref="IS34">IFERROR(IF($IN34="SEGMENT",INDEX('Margin Guidence Table'!$A$1:$AG$10000,MATCH(1,('Margin Guidence Table'!$A$1:$A$10000=IL34)*('Margin Guidence Table'!$I$1:$I$10000&lt;=ROUND($ID$3,0))*('Margin Guidence Table'!$J$1:$J$10000&gt;=ROUND($ID$3,0)),0),MATCH("MDA_MAX_MARGIN_GUIDENCE",'Margin Guidence Table'!$A$1:$AG$1,0)),INDEX('Margin Guidence Table'!$A$1:$AG$10000,MATCH(1,('Margin Guidence Table'!$A$1:$A$10000=IL34)*('Margin Guidence Table'!$I$1:$I$10000&lt;=ROUND($ID$3,0))*('Margin Guidence Table'!$J$1:$J$10000&gt;=ROUND($ID$3,0)),0),MATCH("DEFAULT_MDA_MAX_MARGIN_GUIDENCE",'Margin Guidence Table'!$A$1:$AG$1,0))),0)</f>
        <v>0</v>
      </c>
      <c r="IT34" s="1054">
        <f t="array" ref="IT34">IFERROR(IF($IN34="SEGMENT",INDEX('Margin Guidence Table'!$A$1:$AG$10000,MATCH(1,('Margin Guidence Table'!$A$1:$A$10000=IL34)*('Margin Guidence Table'!$I$1:$I$10000&lt;=ROUND($ID$3,0))*('Margin Guidence Table'!$J$1:$J$10000&gt;=ROUND($ID$3,0)),0),MATCH("PA_PCT_SALES",'Margin Guidence Table'!$A$1:$AG$1,0)),INDEX('Margin Guidence Table'!$A$1:$AG$10000,MATCH(1,('Margin Guidence Table'!$A$1:$A$10000=IL34)*('Margin Guidence Table'!$I$1:$I$10000&lt;=ROUND($ID$3,0))*('Margin Guidence Table'!$J$1:$J$10000&gt;=ROUND($ID$3,0)),0),MATCH("DEFAULT_PA_PCT_SALES",'Margin Guidence Table'!$A$1:$AG$1,0))),0)</f>
        <v>0</v>
      </c>
      <c r="IU34" s="1054">
        <f t="array" ref="IU34">IFERROR(IF($IN34="SEGMENT",INDEX('Margin Guidence Table'!$A$1:$AG$10000,MATCH(1,('Margin Guidence Table'!$A$1:$A$10000=IL34)*('Margin Guidence Table'!$I$1:$I$10000&lt;=ROUND($ID$3,0))*('Margin Guidence Table'!$J$1:$J$10000&gt;=ROUND($ID$3,0)),0),MATCH("SELF_FUND_PCT_SALES",'Margin Guidence Table'!$A$1:$AG$1,0)),INDEX('Margin Guidence Table'!$A$1:$AG$10000,MATCH(1,('Margin Guidence Table'!$A$1:$A$10000=IL34)*('Margin Guidence Table'!$I$1:$I$10000&lt;=ROUND($ID$3,0))*('Margin Guidence Table'!$J$1:$J$10000&gt;=ROUND($ID$3,0)),0),MATCH("DEFAULT_SELF_FUND_PCT_SALES",'Margin Guidence Table'!$A$1:$AG$1,0))),0)</f>
        <v>0</v>
      </c>
      <c r="IV34" s="1054">
        <f t="array" ref="IV34">IFERROR(IF($IN34="SEGMENT",INDEX('Margin Guidence Table'!$A$1:$AG$10000,MATCH(1,('Margin Guidence Table'!$A$1:$A$10000=IL34)*('Margin Guidence Table'!$I$1:$I$10000&lt;=ROUND($ID$3,0))*('Margin Guidence Table'!$J$1:$J$10000&gt;=ROUND($ID$3,0)),0),MATCH("CIA_MEDIAN_MARGIN_GUIDENCE",'Margin Guidence Table'!$A$1:$AG$1,0)),INDEX('Margin Guidence Table'!$A$1:$AG$10000,MATCH(1,('Margin Guidence Table'!$A$1:$A$10000=IL34)*('Margin Guidence Table'!$I$1:$I$10000&lt;=ROUND($ID$3,0))*('Margin Guidence Table'!$J$1:$J$10000&gt;=ROUND($ID$3,0)),0),MATCH("DEFAULT_CIA_MEDIAN_MARGIN_GUIDENCE",'Margin Guidence Table'!$A$1:$AG$1,0))),0)</f>
        <v>0</v>
      </c>
      <c r="IW34" s="127"/>
      <c r="IX34" s="18">
        <f t="array" ref="IX34">IFERROR(IF($JK34="SEGMENT",INDEX('Margin Guidence Table'!$A$1:$AG$10000,MATCH(1,('Margin Guidence Table'!$A$1:$A$10000=$JI34)*('Margin Guidence Table'!$I$1:$I$10000&lt;=ROUND($JA$3,0))*('Margin Guidence Table'!$J$1:$J$10000&gt;=ROUND($JA$3,0)),0),MATCH("PCT_SALES",'Margin Guidence Table'!$A$1:$AG$1,0)),INDEX('Margin Guidence Table'!$A$1:$AG$10000,MATCH(1,('Margin Guidence Table'!$A$1:$A$10000=$JI34)*('Margin Guidence Table'!$I$1:$I$10000&lt;=ROUND($JA$3,0))*('Margin Guidence Table'!$J$1:$J$10000&gt;=ROUND($JA$3,0)),0),MATCH("DEFAULT_PCT_SALES",'Margin Guidence Table'!$A$1:$AG$1,0))),0)</f>
        <v>0</v>
      </c>
      <c r="IY34" s="370" t="e">
        <f t="shared" si="44"/>
        <v>#DIV/0!</v>
      </c>
      <c r="IZ34" s="101" t="s">
        <v>87</v>
      </c>
      <c r="JA34" s="92">
        <f>IFERROR(IF(AND($JA$2&lt;&gt;"Enter Spend&gt;&gt;&gt;",JB22="EXISTING"),SUMIFS('Existing Customers'!$Q:$Q,'Existing Customers'!$A:$A,$JA$1,'Existing Customers'!$H:$H,$IZ34)*$JA$4,$JA$3*$IY34),0)</f>
        <v>0</v>
      </c>
      <c r="JB34" s="87">
        <f>IFERROR(IF(AND($JA$2&lt;&gt;"Enter Spend&gt;&gt;&gt;",JB2="EXISTING"),SUMIFS('Existing Customers'!$N:$N,'Existing Customers'!$A:$A,$JA$1,'Existing Customers'!$H:$H,$IZ34)*$JA$4,$JA34/$JL34),0)</f>
        <v>0</v>
      </c>
      <c r="JC34" s="93">
        <f>IFERROR(IF(AND($JA$2&lt;&gt;"Enter Spend&gt;&gt;&gt;",JB2="EXISTING"),SUMIFS('Existing Customers'!$O:$O,'Existing Customers'!$H:$H,$IZ34,'Existing Customers'!$A:$A,$JA$1)*$JA$4,$JB34*$JA$8),0)</f>
        <v>0</v>
      </c>
      <c r="JD34" s="93">
        <f>IFERROR(IF(AND($JA$2&lt;&gt;"Enter Spend&gt;&gt;&gt;",JB2="EXISTING"),SUMIFS('Existing Customers'!$P:$P,'Existing Customers'!$A:$A,$JA$1,'Existing Customers'!$H:$H,$IZ34)*$JA$4,$JA34/$JM34),0)</f>
        <v>0</v>
      </c>
      <c r="JE34" s="376">
        <f>IFERROR(IF(AND($JA$2&lt;&gt;"Enter Spend&gt;&gt;&gt;",JB2="EXISTING"),SUMIFS('Existing Customers'!$V:$V,'Existing Customers'!$H:$H,$IZ34,'Existing Customers'!$A:$A,$JA$1)*$JA$4,0),0)</f>
        <v>0</v>
      </c>
      <c r="JF34" s="94">
        <f>IFERROR(IF(AND($JA$2&lt;&gt;"Enter Spend&gt;&gt;&gt;",JB2="EXISTING"),SUMIFS('Existing Customers'!$R:$R,'Existing Customers'!$H:$H,$IZ34,'Existing Customers'!$A:$A,$JA$1)*$JA$4,0),0)</f>
        <v>0</v>
      </c>
      <c r="JG34" s="1050">
        <f>IFERROR(IF(AND($JA$2&lt;&gt;"Enter Spend&gt;&gt;&gt;",JB2="EXISTING"),SUMIFS('Existing Customers'!$S:$S,'Existing Customers'!$H:$H,$IZ34,'Existing Customers'!$A:$A,$JA$1),JQ34*JA34),0)</f>
        <v>0</v>
      </c>
      <c r="JH34" s="1050">
        <f>IFERROR(IF(AND($JA$2&lt;&gt;"Enter Spend&gt;&gt;&gt;",JB2="EXISTING"),SUMIFS('Existing Customers'!$U:$U,'Existing Customers'!$H:$H,$IZ34,'Existing Customers'!$A:$A,$JA$1),JR34*JA34),0)</f>
        <v>0</v>
      </c>
      <c r="JI34" s="1053" t="e">
        <f>_xlfn.CONCAT('Customer Inputs'!$AG$15,"_",IZ34)</f>
        <v>#N/A</v>
      </c>
      <c r="JJ34" s="1053">
        <f t="array" ref="JJ34">IFERROR(INDEX('Margin Guidence Table'!$A$1:$AG$10000,MATCH(1,('Margin Guidence Table'!$A$1:$A$10000=JI34)*('Margin Guidence Table'!$I$1:$I$10000&lt;=ROUND($JA$3,0))*('Margin Guidence Table'!$J$1:$J$10000&gt;=ROUND($JA$3,0)),0),MATCH("DATA_POINTS",'Margin Guidence Table'!$A$1:$AG$1,0)),0)</f>
        <v>0</v>
      </c>
      <c r="JK34" s="1050" t="str">
        <f t="shared" si="45"/>
        <v>DEFAULT</v>
      </c>
      <c r="JL34" s="1050">
        <f t="array" ref="JL34">IFERROR(IF($JK34="SEGMENT",INDEX('Margin Guidence Table'!$A$1:$AG$10000,MATCH(1,('Margin Guidence Table'!$A$1:$A$10000=JI34)*('Margin Guidence Table'!$I$1:$I$10000&lt;=ROUND($JA$3,0))*('Margin Guidence Table'!$J$1:$J$10000&gt;=ROUND($JA$3,0)),0),MATCH("SALES_CASE",'Margin Guidence Table'!$A$1:$AG$1,0)),INDEX('Margin Guidence Table'!$A$1:$AG$10000,MATCH(1,('Margin Guidence Table'!$A$1:$A$10000=JI34)*('Margin Guidence Table'!$I$1:$I$10000&lt;=ROUND($JA$3,0))*('Margin Guidence Table'!$J$1:$J$10000&gt;=ROUND($JA$3,0)),0),MATCH("DEFAULT_SALES_CASE",'Margin Guidence Table'!$A$1:$AG$1,0))),0)</f>
        <v>0</v>
      </c>
      <c r="JM34" s="1050">
        <f t="array" ref="JM34">IFERROR(IF($JK34="SEGMENT",INDEX('Margin Guidence Table'!$A$1:$AG$10000,MATCH(1,('Margin Guidence Table'!$A$1:$A$10000=JI34)*('Margin Guidence Table'!$I$1:$I$10000&lt;=ROUND($JA$3,0))*('Margin Guidence Table'!$J$1:$J$10000&gt;=ROUND($JA$3,0)),0),MATCH("SALES_LBS",'Margin Guidence Table'!$A$1:$AG$1,0)),INDEX('Margin Guidence Table'!$A$1:$AG$10000,MATCH(1,('Margin Guidence Table'!$A$1:$A$10000=JI34)*('Margin Guidence Table'!$I$1:$I$10000&lt;=ROUND($JA$3,0))*('Margin Guidence Table'!$J$1:$J$10000&gt;=ROUND($JA$3,0)),0),MATCH("DEFAULT_SALES_LBS",'Margin Guidence Table'!$A$1:$AG$1,0))),0)</f>
        <v>0</v>
      </c>
      <c r="JN34" s="1054">
        <f t="array" ref="JN34">IFERROR(IF($JK34="SEGMENT",INDEX('Margin Guidence Table'!$A$1:$AG$10000,MATCH(1,('Margin Guidence Table'!$A$1:$A$10000=JI34)*('Margin Guidence Table'!$I$1:$I$10000&lt;=ROUND($JA$3,0))*('Margin Guidence Table'!$J$1:$J$10000&gt;=ROUND($JA$3,0)),0),MATCH("MDA_MIN_MARGIN_GUIDENCE",'Margin Guidence Table'!$A$1:$AG$1,0)),INDEX('Margin Guidence Table'!$A$1:$AG$10000,MATCH(1,('Margin Guidence Table'!$A$1:$A$10000=JI34)*('Margin Guidence Table'!$I$1:$I$10000&lt;=ROUND($JA$3,0))*('Margin Guidence Table'!$J$1:$J$10000&gt;=ROUND($JA$3,0)),0),MATCH("DEFAULT_MDA_MIN_MARGIN_GUIDENCE",'Margin Guidence Table'!$A$1:$AG$1,0))),0)</f>
        <v>0</v>
      </c>
      <c r="JO34" s="1054">
        <f t="array" ref="JO34">IFERROR(IF($JK34="SEGMENT",INDEX('Margin Guidence Table'!$A$1:$AG$10000,MATCH(1,('Margin Guidence Table'!$A$1:$A$10000=JI34)*('Margin Guidence Table'!$I$1:$I$10000&lt;=ROUND($JA$3,0))*('Margin Guidence Table'!$J$1:$J$10000&gt;=ROUND($JA$3,0)),0),MATCH("MDA_MEDIAN_MARGIN_GUIDENCE",'Margin Guidence Table'!$A$1:$AG$1,0)),INDEX('Margin Guidence Table'!$A$1:$AG$10000,MATCH(1,('Margin Guidence Table'!$A$1:$A$10000=JI34)*('Margin Guidence Table'!$I$1:$I$10000&lt;=ROUND($JA$3,0))*('Margin Guidence Table'!$J$1:$J$10000&gt;=ROUND($JA$3,0)),0),MATCH("DEFAULT_MDA_MEDIAN_MARGIN_GUIDENCE",'Margin Guidence Table'!$A$1:$AG$1,0))),0)</f>
        <v>0</v>
      </c>
      <c r="JP34" s="1054">
        <f t="array" ref="JP34">IFERROR(IF($JK34="SEGMENT",INDEX('Margin Guidence Table'!$A$1:$AG$10000,MATCH(1,('Margin Guidence Table'!$A$1:$A$10000=JI34)*('Margin Guidence Table'!$I$1:$I$10000&lt;=ROUND($JA$3,0))*('Margin Guidence Table'!$J$1:$J$10000&gt;=ROUND($JA$3,0)),0),MATCH("MDA_MAX_MARGIN_GUIDENCE",'Margin Guidence Table'!$A$1:$AG$1,0)),INDEX('Margin Guidence Table'!$A$1:$AG$10000,MATCH(1,('Margin Guidence Table'!$A$1:$A$10000=JI34)*('Margin Guidence Table'!$I$1:$I$10000&lt;=ROUND($JA$3,0))*('Margin Guidence Table'!$J$1:$J$10000&gt;=ROUND($JA$3,0)),0),MATCH("DEFAULT_MDA_MAX_MARGIN_GUIDENCE",'Margin Guidence Table'!$A$1:$AG$1,0))),0)</f>
        <v>0</v>
      </c>
      <c r="JQ34" s="1054">
        <f t="array" ref="JQ34">IFERROR(IF($JK34="SEGMENT",INDEX('Margin Guidence Table'!$A$1:$AG$10000,MATCH(1,('Margin Guidence Table'!$A$1:$A$10000=JI34)*('Margin Guidence Table'!$I$1:$I$10000&lt;=ROUND($JA$3,0))*('Margin Guidence Table'!$J$1:$J$10000&gt;=ROUND($JA$3,0)),0),MATCH("PA_PCT_SALES",'Margin Guidence Table'!$A$1:$AG$1,0)),INDEX('Margin Guidence Table'!$A$1:$AG$10000,MATCH(1,('Margin Guidence Table'!$A$1:$A$10000=JI34)*('Margin Guidence Table'!$I$1:$I$10000&lt;=ROUND($JA$3,0))*('Margin Guidence Table'!$J$1:$J$10000&gt;=ROUND($JA$3,0)),0),MATCH("DEFAULT_PA_PCT_SALES",'Margin Guidence Table'!$A$1:$AG$1,0))),0)</f>
        <v>0</v>
      </c>
      <c r="JR34" s="1054">
        <f t="array" ref="JR34">IFERROR(IF($JK34="SEGMENT",INDEX('Margin Guidence Table'!$A$1:$AG$10000,MATCH(1,('Margin Guidence Table'!$A$1:$A$10000=JI34)*('Margin Guidence Table'!$I$1:$I$10000&lt;=ROUND($JA$3,0))*('Margin Guidence Table'!$J$1:$J$10000&gt;=ROUND($JA$3,0)),0),MATCH("SELF_FUND_PCT_SALES",'Margin Guidence Table'!$A$1:$AG$1,0)),INDEX('Margin Guidence Table'!$A$1:$AG$10000,MATCH(1,('Margin Guidence Table'!$A$1:$A$10000=JI34)*('Margin Guidence Table'!$I$1:$I$10000&lt;=ROUND($JA$3,0))*('Margin Guidence Table'!$J$1:$J$10000&gt;=ROUND($JA$3,0)),0),MATCH("DEFAULT_SELF_FUND_PCT_SALES",'Margin Guidence Table'!$A$1:$AG$1,0))),0)</f>
        <v>0</v>
      </c>
      <c r="JS34" s="1054">
        <f t="array" ref="JS34">IFERROR(IF($JK34="SEGMENT",INDEX('Margin Guidence Table'!$A$1:$AG$10000,MATCH(1,('Margin Guidence Table'!$A$1:$A$10000=JI34)*('Margin Guidence Table'!$I$1:$I$10000&lt;=ROUND($JA$3,0))*('Margin Guidence Table'!$J$1:$J$10000&gt;=ROUND($JA$3,0)),0),MATCH("CIA_MEDIAN_MARGIN_GUIDENCE",'Margin Guidence Table'!$A$1:$AG$1,0)),INDEX('Margin Guidence Table'!$A$1:$AG$10000,MATCH(1,('Margin Guidence Table'!$A$1:$A$10000=JI34)*('Margin Guidence Table'!$I$1:$I$10000&lt;=ROUND($JA$3,0))*('Margin Guidence Table'!$J$1:$J$10000&gt;=ROUND($JA$3,0)),0),MATCH("DEFAULT_CIA_MEDIAN_MARGIN_GUIDENCE",'Margin Guidence Table'!$A$1:$AG$1,0))),0)</f>
        <v>0</v>
      </c>
      <c r="JU34" s="101" t="s">
        <v>87</v>
      </c>
      <c r="JV34" s="97"/>
      <c r="JW34" s="87"/>
      <c r="JX34" s="98"/>
      <c r="JY34" s="98"/>
      <c r="JZ34" s="113"/>
      <c r="KA34" s="99"/>
      <c r="KB34" s="127"/>
      <c r="KD34" s="101" t="s">
        <v>87</v>
      </c>
      <c r="KE34" s="97"/>
      <c r="KF34" s="87"/>
      <c r="KG34" s="98"/>
      <c r="KH34" s="98"/>
      <c r="KI34" s="113"/>
      <c r="KJ34" s="99"/>
    </row>
    <row r="35" spans="2:296" ht="15.75" thickBot="1" x14ac:dyDescent="0.3">
      <c r="C35" s="103">
        <f>SUM(C14:C34)</f>
        <v>0</v>
      </c>
      <c r="D35" s="104">
        <f>SUM(D14:D34)</f>
        <v>0</v>
      </c>
      <c r="E35" s="104">
        <f>SUM(E14:E34)</f>
        <v>0</v>
      </c>
      <c r="F35" s="104">
        <f>SUM(F14:F34)</f>
        <v>0</v>
      </c>
      <c r="G35" s="105">
        <f>SUM(G14:G34)</f>
        <v>0</v>
      </c>
      <c r="H35" s="106"/>
      <c r="I35" s="1048" t="e">
        <f t="shared" si="0"/>
        <v>#DIV/0!</v>
      </c>
      <c r="J35" s="1048" t="e">
        <f t="shared" si="1"/>
        <v>#DIV/0!</v>
      </c>
      <c r="K35" s="1048" t="e">
        <f t="shared" si="2"/>
        <v>#DIV/0!</v>
      </c>
      <c r="L35" s="1049" t="e">
        <f>SUM(L14:L34)</f>
        <v>#DIV/0!</v>
      </c>
      <c r="M35" s="1048" t="e">
        <f t="shared" si="17"/>
        <v>#DIV/0!</v>
      </c>
      <c r="N35" s="465" t="e">
        <f t="shared" si="4"/>
        <v>#DIV/0!</v>
      </c>
      <c r="Q35">
        <f>SUM(Q14:Q34)</f>
        <v>0</v>
      </c>
      <c r="R35">
        <f>SUM(R14:R34)</f>
        <v>0</v>
      </c>
      <c r="T35" s="103">
        <f>SUM(T14:T34)</f>
        <v>0</v>
      </c>
      <c r="U35" s="104">
        <f>SUM(U14:U34)</f>
        <v>0</v>
      </c>
      <c r="V35" s="104">
        <f>SUM(V14:V34)</f>
        <v>0</v>
      </c>
      <c r="W35" s="104">
        <f>SUM(W14:W34)</f>
        <v>0</v>
      </c>
      <c r="X35" s="105">
        <f>SUM(X14:X34)</f>
        <v>0</v>
      </c>
      <c r="Y35" s="106"/>
      <c r="Z35" s="106"/>
      <c r="AA35" s="106"/>
      <c r="AB35" s="461">
        <f>SUM(AB14:AB34)</f>
        <v>0</v>
      </c>
      <c r="AC35" s="462">
        <f>SUM(AC14:AC34)</f>
        <v>0</v>
      </c>
      <c r="AD35" s="462">
        <f>SUM(AD14:AD34)</f>
        <v>0</v>
      </c>
      <c r="AE35" s="463">
        <f t="shared" ref="AE35" si="47">IFERROR(AC35/AB35,0)</f>
        <v>0</v>
      </c>
      <c r="AF35" s="464">
        <f t="shared" ref="AF35" si="48">IFERROR(AD35/AB35,0)</f>
        <v>0</v>
      </c>
      <c r="AG35" s="106"/>
      <c r="AH35" s="106"/>
      <c r="AI35" s="461">
        <f>SUM(AI14:AI34)</f>
        <v>0</v>
      </c>
      <c r="AJ35" s="619">
        <f>SUM(AJ14:AJ34)</f>
        <v>0</v>
      </c>
      <c r="AK35" s="464">
        <f>IFERROR(#REF!/AI35,0)</f>
        <v>0</v>
      </c>
      <c r="AL35" s="106"/>
      <c r="AM35" s="106"/>
      <c r="AN35" s="106"/>
      <c r="AO35" s="106"/>
      <c r="AP35" s="106"/>
      <c r="AQ35" s="106"/>
      <c r="AR35" s="106"/>
      <c r="AS35" s="106"/>
      <c r="AT35" s="106"/>
      <c r="AU35" s="106"/>
      <c r="AV35" s="106"/>
      <c r="AW35" s="106"/>
      <c r="AX35" s="106"/>
      <c r="AY35" s="370">
        <f>SUM(AY14:AY34)</f>
        <v>0</v>
      </c>
      <c r="AZ35" s="370" t="e">
        <f>SUM(AZ14:AZ34)</f>
        <v>#DIV/0!</v>
      </c>
      <c r="BB35" s="103">
        <f t="shared" ref="BB35:BG35" si="49">SUM(BB14:BB34)</f>
        <v>0</v>
      </c>
      <c r="BC35" s="104">
        <f t="shared" si="49"/>
        <v>0</v>
      </c>
      <c r="BD35" s="104">
        <f t="shared" si="49"/>
        <v>0</v>
      </c>
      <c r="BE35" s="104">
        <f t="shared" si="49"/>
        <v>0</v>
      </c>
      <c r="BF35" s="377">
        <f t="shared" si="49"/>
        <v>0</v>
      </c>
      <c r="BG35" s="105">
        <f t="shared" si="49"/>
        <v>0</v>
      </c>
      <c r="BH35" s="94">
        <f>SUM(BH14:BH34)</f>
        <v>0</v>
      </c>
      <c r="BI35" s="94">
        <f>SUM(BI14:BI34)</f>
        <v>0</v>
      </c>
      <c r="BJ35" s="1044"/>
      <c r="BK35" s="1044"/>
      <c r="BL35" s="1044"/>
      <c r="BM35" s="1044"/>
      <c r="BN35" s="1044"/>
      <c r="BO35" s="1044"/>
      <c r="BP35" s="1044"/>
      <c r="BQ35" s="1044"/>
      <c r="BR35" s="1044"/>
      <c r="BS35" s="1044"/>
      <c r="BT35" s="1044"/>
      <c r="BU35" s="370"/>
      <c r="BV35" s="370">
        <f>SUM(BV14:BV34)</f>
        <v>0</v>
      </c>
      <c r="BW35" s="370" t="e">
        <f>SUM(BW14:BW34)</f>
        <v>#DIV/0!</v>
      </c>
      <c r="BY35" s="103">
        <f t="shared" ref="BY35:CD35" si="50">SUM(BY14:BY34)</f>
        <v>0</v>
      </c>
      <c r="BZ35" s="104">
        <f t="shared" si="50"/>
        <v>0</v>
      </c>
      <c r="CA35" s="104">
        <f t="shared" si="50"/>
        <v>0</v>
      </c>
      <c r="CB35" s="104">
        <f t="shared" si="50"/>
        <v>0</v>
      </c>
      <c r="CC35" s="105">
        <f t="shared" si="50"/>
        <v>0</v>
      </c>
      <c r="CD35" s="105">
        <f t="shared" si="50"/>
        <v>0</v>
      </c>
      <c r="CE35" s="105">
        <f t="shared" ref="CE35:CF35" si="51">SUM(CE14:CE34)</f>
        <v>0</v>
      </c>
      <c r="CF35" s="105">
        <f t="shared" si="51"/>
        <v>0</v>
      </c>
      <c r="CG35" s="1044"/>
      <c r="CH35" s="1044"/>
      <c r="CI35" s="1044"/>
      <c r="CJ35" s="1044"/>
      <c r="CK35" s="1044"/>
      <c r="CL35" s="1044"/>
      <c r="CM35" s="1044"/>
      <c r="CN35" s="1044"/>
      <c r="CO35" s="1044"/>
      <c r="CP35" s="1044"/>
      <c r="CQ35" s="1044"/>
      <c r="CR35" s="106"/>
      <c r="CS35" s="370">
        <f>SUM(CS14:CS34)</f>
        <v>0</v>
      </c>
      <c r="CT35" s="370" t="e">
        <f>SUM(CT14:CT34)</f>
        <v>#DIV/0!</v>
      </c>
      <c r="CV35" s="103">
        <f t="shared" ref="CV35:DA35" si="52">SUM(CV14:CV34)</f>
        <v>0</v>
      </c>
      <c r="CW35" s="104">
        <f t="shared" si="52"/>
        <v>0</v>
      </c>
      <c r="CX35" s="104">
        <f t="shared" si="52"/>
        <v>0</v>
      </c>
      <c r="CY35" s="104">
        <f t="shared" si="52"/>
        <v>0</v>
      </c>
      <c r="CZ35" s="105">
        <f t="shared" si="52"/>
        <v>0</v>
      </c>
      <c r="DA35" s="105">
        <f t="shared" si="52"/>
        <v>0</v>
      </c>
      <c r="DB35" s="105">
        <f t="shared" ref="DB35:DC35" si="53">SUM(DB14:DB34)</f>
        <v>0</v>
      </c>
      <c r="DC35" s="105">
        <f t="shared" si="53"/>
        <v>0</v>
      </c>
      <c r="DD35" s="1044"/>
      <c r="DE35" s="1044"/>
      <c r="DF35" s="1044"/>
      <c r="DG35" s="1044"/>
      <c r="DH35" s="1044"/>
      <c r="DI35" s="1044"/>
      <c r="DJ35" s="1044"/>
      <c r="DK35" s="1044"/>
      <c r="DL35" s="1044"/>
      <c r="DM35" s="1044"/>
      <c r="DN35" s="1044"/>
      <c r="DO35" s="106"/>
      <c r="DP35" s="370">
        <f>SUM(DP14:DP34)</f>
        <v>0</v>
      </c>
      <c r="DQ35" s="370" t="e">
        <f>SUM(DQ14:DQ34)</f>
        <v>#DIV/0!</v>
      </c>
      <c r="DS35" s="103">
        <f t="shared" ref="DS35:DX35" si="54">SUM(DS14:DS34)</f>
        <v>0</v>
      </c>
      <c r="DT35" s="104">
        <f t="shared" si="54"/>
        <v>0</v>
      </c>
      <c r="DU35" s="104">
        <f t="shared" si="54"/>
        <v>0</v>
      </c>
      <c r="DV35" s="104">
        <f t="shared" si="54"/>
        <v>0</v>
      </c>
      <c r="DW35" s="105">
        <f t="shared" si="54"/>
        <v>0</v>
      </c>
      <c r="DX35" s="105">
        <f t="shared" si="54"/>
        <v>0</v>
      </c>
      <c r="DY35" s="105">
        <f t="shared" ref="DY35:DZ35" si="55">SUM(DY14:DY34)</f>
        <v>0</v>
      </c>
      <c r="DZ35" s="105">
        <f t="shared" si="55"/>
        <v>0</v>
      </c>
      <c r="EA35" s="1044"/>
      <c r="EB35" s="1044"/>
      <c r="EC35" s="1044"/>
      <c r="ED35" s="1044"/>
      <c r="EE35" s="1044"/>
      <c r="EF35" s="1044"/>
      <c r="EG35" s="1044"/>
      <c r="EH35" s="1044"/>
      <c r="EI35" s="1044"/>
      <c r="EJ35" s="1044"/>
      <c r="EK35" s="1044"/>
      <c r="EL35" s="106"/>
      <c r="EM35" s="370">
        <f>SUM(EM14:EM34)</f>
        <v>0</v>
      </c>
      <c r="EN35" s="370" t="e">
        <f>SUM(EN14:EN34)</f>
        <v>#DIV/0!</v>
      </c>
      <c r="EP35" s="103">
        <f t="shared" ref="EP35:EU35" si="56">SUM(EP14:EP34)</f>
        <v>0</v>
      </c>
      <c r="EQ35" s="104">
        <f t="shared" si="56"/>
        <v>0</v>
      </c>
      <c r="ER35" s="104">
        <f t="shared" si="56"/>
        <v>0</v>
      </c>
      <c r="ES35" s="104">
        <f t="shared" si="56"/>
        <v>0</v>
      </c>
      <c r="ET35" s="105">
        <f t="shared" si="56"/>
        <v>0</v>
      </c>
      <c r="EU35" s="105">
        <f t="shared" si="56"/>
        <v>0</v>
      </c>
      <c r="EV35" s="105">
        <f t="shared" ref="EV35:EW35" si="57">SUM(EV14:EV34)</f>
        <v>0</v>
      </c>
      <c r="EW35" s="105">
        <f t="shared" si="57"/>
        <v>0</v>
      </c>
      <c r="EX35" s="1044"/>
      <c r="EY35" s="1044"/>
      <c r="EZ35" s="1044"/>
      <c r="FA35" s="1044"/>
      <c r="FB35" s="1044"/>
      <c r="FC35" s="1044"/>
      <c r="FD35" s="1044"/>
      <c r="FE35" s="1044"/>
      <c r="FF35" s="1044"/>
      <c r="FG35" s="1044"/>
      <c r="FH35" s="1044"/>
      <c r="FI35" s="106"/>
      <c r="FJ35" s="370">
        <f>SUM(FJ14:FJ34)</f>
        <v>0</v>
      </c>
      <c r="FK35" s="370" t="e">
        <f>SUM(FK14:FK34)</f>
        <v>#DIV/0!</v>
      </c>
      <c r="FM35" s="103">
        <f t="shared" ref="FM35:FR35" si="58">SUM(FM14:FM34)</f>
        <v>0</v>
      </c>
      <c r="FN35" s="104">
        <f t="shared" si="58"/>
        <v>0</v>
      </c>
      <c r="FO35" s="104">
        <f t="shared" si="58"/>
        <v>0</v>
      </c>
      <c r="FP35" s="104">
        <f t="shared" si="58"/>
        <v>0</v>
      </c>
      <c r="FQ35" s="105">
        <f t="shared" si="58"/>
        <v>0</v>
      </c>
      <c r="FR35" s="105">
        <f t="shared" si="58"/>
        <v>0</v>
      </c>
      <c r="FS35" s="105">
        <f t="shared" ref="FS35:FT35" si="59">SUM(FS14:FS34)</f>
        <v>0</v>
      </c>
      <c r="FT35" s="105">
        <f t="shared" si="59"/>
        <v>0</v>
      </c>
      <c r="FU35" s="1044"/>
      <c r="FV35" s="1044"/>
      <c r="FW35" s="1044"/>
      <c r="FX35" s="1044"/>
      <c r="FY35" s="1044"/>
      <c r="FZ35" s="1044"/>
      <c r="GA35" s="1044"/>
      <c r="GB35" s="1044"/>
      <c r="GC35" s="1044"/>
      <c r="GD35" s="1044"/>
      <c r="GE35" s="1044"/>
      <c r="GF35" s="106"/>
      <c r="GG35" s="370">
        <f>SUM(GG14:GG34)</f>
        <v>0</v>
      </c>
      <c r="GH35" s="370" t="e">
        <f>SUM(GH14:GH34)</f>
        <v>#DIV/0!</v>
      </c>
      <c r="GJ35" s="103">
        <f t="shared" ref="GJ35:GO35" si="60">SUM(GJ14:GJ34)</f>
        <v>0</v>
      </c>
      <c r="GK35" s="104">
        <f t="shared" si="60"/>
        <v>0</v>
      </c>
      <c r="GL35" s="104">
        <f t="shared" si="60"/>
        <v>0</v>
      </c>
      <c r="GM35" s="104">
        <f t="shared" si="60"/>
        <v>0</v>
      </c>
      <c r="GN35" s="105">
        <f t="shared" si="60"/>
        <v>0</v>
      </c>
      <c r="GO35" s="105">
        <f t="shared" si="60"/>
        <v>0</v>
      </c>
      <c r="GP35" s="105">
        <f t="shared" ref="GP35:GQ35" si="61">SUM(GP14:GP34)</f>
        <v>0</v>
      </c>
      <c r="GQ35" s="105">
        <f t="shared" si="61"/>
        <v>0</v>
      </c>
      <c r="GR35" s="1044"/>
      <c r="GS35" s="1044"/>
      <c r="GT35" s="1044"/>
      <c r="GU35" s="1044"/>
      <c r="GV35" s="1044"/>
      <c r="GW35" s="1044"/>
      <c r="GX35" s="1044"/>
      <c r="GY35" s="1044"/>
      <c r="GZ35" s="1044"/>
      <c r="HA35" s="1044"/>
      <c r="HB35" s="1044"/>
      <c r="HC35" s="106"/>
      <c r="HD35" s="370">
        <f>SUM(HD14:HD34)</f>
        <v>0</v>
      </c>
      <c r="HE35" s="370" t="e">
        <f>SUM(HE14:HE34)</f>
        <v>#DIV/0!</v>
      </c>
      <c r="HG35" s="103">
        <f t="shared" ref="HG35:HL35" si="62">SUM(HG14:HG34)</f>
        <v>0</v>
      </c>
      <c r="HH35" s="104">
        <f t="shared" si="62"/>
        <v>0</v>
      </c>
      <c r="HI35" s="104">
        <f t="shared" si="62"/>
        <v>0</v>
      </c>
      <c r="HJ35" s="104">
        <f t="shared" si="62"/>
        <v>0</v>
      </c>
      <c r="HK35" s="105">
        <f t="shared" si="62"/>
        <v>0</v>
      </c>
      <c r="HL35" s="105">
        <f t="shared" si="62"/>
        <v>0</v>
      </c>
      <c r="HM35" s="105">
        <f t="shared" ref="HM35:HN35" si="63">SUM(HM14:HM34)</f>
        <v>0</v>
      </c>
      <c r="HN35" s="105">
        <f t="shared" si="63"/>
        <v>0</v>
      </c>
      <c r="HO35" s="1044"/>
      <c r="HP35" s="1044"/>
      <c r="HQ35" s="1044"/>
      <c r="HR35" s="1044"/>
      <c r="HS35" s="1044"/>
      <c r="HT35" s="1044"/>
      <c r="HU35" s="1044"/>
      <c r="HV35" s="1044"/>
      <c r="HW35" s="1044"/>
      <c r="HX35" s="1044"/>
      <c r="HY35" s="1044"/>
      <c r="HZ35" s="106"/>
      <c r="IA35" s="370">
        <f>SUM(IA14:IA34)</f>
        <v>0</v>
      </c>
      <c r="IB35" s="370" t="e">
        <f>SUM(IB14:IB34)</f>
        <v>#DIV/0!</v>
      </c>
      <c r="ID35" s="103">
        <f t="shared" ref="ID35:II35" si="64">SUM(ID14:ID34)</f>
        <v>0</v>
      </c>
      <c r="IE35" s="104">
        <f t="shared" si="64"/>
        <v>0</v>
      </c>
      <c r="IF35" s="104">
        <f t="shared" si="64"/>
        <v>0</v>
      </c>
      <c r="IG35" s="104">
        <f t="shared" si="64"/>
        <v>0</v>
      </c>
      <c r="IH35" s="377">
        <f t="shared" si="64"/>
        <v>0</v>
      </c>
      <c r="II35" s="105">
        <f t="shared" si="64"/>
        <v>0</v>
      </c>
      <c r="IJ35" s="105">
        <f t="shared" ref="IJ35:IK35" si="65">SUM(IJ14:IJ34)</f>
        <v>0</v>
      </c>
      <c r="IK35" s="105">
        <f t="shared" si="65"/>
        <v>0</v>
      </c>
      <c r="IL35" s="1044"/>
      <c r="IM35" s="1044"/>
      <c r="IN35" s="1044"/>
      <c r="IO35" s="1044"/>
      <c r="IP35" s="1044"/>
      <c r="IQ35" s="1044"/>
      <c r="IR35" s="1044"/>
      <c r="IS35" s="1044"/>
      <c r="IT35" s="1044"/>
      <c r="IU35" s="1044"/>
      <c r="IV35" s="1044"/>
      <c r="IW35" s="106"/>
      <c r="IX35" s="370">
        <f>SUM(IX14:IX34)</f>
        <v>0</v>
      </c>
      <c r="IY35" s="370" t="e">
        <f>SUM(IY14:IY34)</f>
        <v>#DIV/0!</v>
      </c>
      <c r="JA35" s="103">
        <f t="shared" ref="JA35:JF35" si="66">SUM(JA14:JA34)</f>
        <v>0</v>
      </c>
      <c r="JB35" s="104">
        <f t="shared" si="66"/>
        <v>0</v>
      </c>
      <c r="JC35" s="104">
        <f t="shared" si="66"/>
        <v>0</v>
      </c>
      <c r="JD35" s="104">
        <f t="shared" si="66"/>
        <v>0</v>
      </c>
      <c r="JE35" s="377">
        <f t="shared" si="66"/>
        <v>0</v>
      </c>
      <c r="JF35" s="105">
        <f t="shared" si="66"/>
        <v>0</v>
      </c>
      <c r="JG35" s="105">
        <f t="shared" ref="JG35:JH35" si="67">SUM(JG14:JG34)</f>
        <v>0</v>
      </c>
      <c r="JH35" s="105">
        <f t="shared" si="67"/>
        <v>0</v>
      </c>
      <c r="JI35" s="1044"/>
      <c r="JJ35" s="1044"/>
      <c r="JK35" s="1044"/>
      <c r="JL35" s="1044"/>
      <c r="JM35" s="1044"/>
      <c r="JN35" s="1044"/>
      <c r="JO35" s="1044"/>
      <c r="JP35" s="1044"/>
      <c r="JQ35" s="1044"/>
      <c r="JR35" s="1044"/>
      <c r="JS35" s="1044"/>
      <c r="JV35" s="103"/>
      <c r="JW35" s="104"/>
      <c r="JX35" s="104"/>
      <c r="JY35" s="104"/>
      <c r="JZ35" s="377"/>
      <c r="KA35" s="105"/>
      <c r="KB35" s="106"/>
      <c r="KE35" s="103"/>
      <c r="KF35" s="104"/>
      <c r="KG35" s="104"/>
      <c r="KH35" s="104"/>
      <c r="KI35" s="377"/>
      <c r="KJ35" s="105"/>
    </row>
    <row r="36" spans="2:296" ht="15.75" thickBot="1" x14ac:dyDescent="0.3">
      <c r="C36" s="23"/>
      <c r="E36" s="428" t="e">
        <f>E35/D35</f>
        <v>#DIV/0!</v>
      </c>
      <c r="BC36" s="468"/>
    </row>
    <row r="37" spans="2:296" x14ac:dyDescent="0.25">
      <c r="R37" s="334"/>
      <c r="S37" s="430" t="s">
        <v>836</v>
      </c>
      <c r="T37" s="337"/>
      <c r="Z37" s="436">
        <f>RANK(AB37,$AB$36:$AB$38)</f>
        <v>1</v>
      </c>
      <c r="AA37" s="430" t="s">
        <v>1422</v>
      </c>
      <c r="AB37" s="437">
        <f>COUNTIF($BA$51:$IZ$51,AA37)</f>
        <v>0</v>
      </c>
      <c r="AG37" s="334">
        <v>1</v>
      </c>
      <c r="AH37" s="1036" t="str">
        <f>IF($AH$38&gt;1,"MULTIPLE TYPES",VLOOKUP(AG37,$Z$38:$AA$65,2,FALSE))</f>
        <v>MULTIPLE TYPES</v>
      </c>
      <c r="AI37" s="337"/>
    </row>
    <row r="38" spans="2:296" x14ac:dyDescent="0.25">
      <c r="R38" s="431">
        <f>RANK(T38,$T$39:$T$43)</f>
        <v>1</v>
      </c>
      <c r="S38" s="429" t="s">
        <v>926</v>
      </c>
      <c r="T38" s="432">
        <f t="shared" ref="T38" si="68">COUNTIF($BB$47:$JA$47,S38)</f>
        <v>0</v>
      </c>
      <c r="Z38" s="431">
        <f>RANK(AB38,$AB$38:$AB$38)</f>
        <v>1</v>
      </c>
      <c r="AA38" s="429" t="s">
        <v>926</v>
      </c>
      <c r="AB38" s="432">
        <f>COUNTIF($AZ$53:$IP$53,AA38)</f>
        <v>0</v>
      </c>
      <c r="AG38" s="438" t="s">
        <v>841</v>
      </c>
      <c r="AH38" s="439">
        <f>COUNTIF($Z$38:$Z$65,1)</f>
        <v>2</v>
      </c>
      <c r="AI38" s="139"/>
      <c r="BA38" s="102" t="s">
        <v>823</v>
      </c>
      <c r="BB38" s="84">
        <f>BB1</f>
        <v>0</v>
      </c>
      <c r="BX38" s="102" t="s">
        <v>823</v>
      </c>
      <c r="BY38" s="84">
        <f>BY1</f>
        <v>0</v>
      </c>
      <c r="CU38" s="102" t="s">
        <v>823</v>
      </c>
      <c r="CV38" s="84">
        <f>CV1</f>
        <v>0</v>
      </c>
      <c r="DR38" s="102" t="s">
        <v>823</v>
      </c>
      <c r="DS38" s="84">
        <f>DS1</f>
        <v>0</v>
      </c>
      <c r="EO38" s="102" t="s">
        <v>823</v>
      </c>
      <c r="EP38" s="84">
        <f>EP1</f>
        <v>0</v>
      </c>
      <c r="FL38" s="102" t="s">
        <v>823</v>
      </c>
      <c r="FM38" s="84">
        <f>FM1</f>
        <v>0</v>
      </c>
      <c r="GI38" s="102" t="s">
        <v>823</v>
      </c>
      <c r="GJ38" s="84">
        <f>GJ1</f>
        <v>0</v>
      </c>
      <c r="HF38" s="102" t="s">
        <v>823</v>
      </c>
      <c r="HG38" s="84">
        <f>HG1</f>
        <v>0</v>
      </c>
      <c r="IC38" s="102" t="s">
        <v>823</v>
      </c>
      <c r="ID38" s="84">
        <f>ID1</f>
        <v>0</v>
      </c>
      <c r="IZ38" s="102" t="s">
        <v>823</v>
      </c>
      <c r="JA38" s="84">
        <f>JA1</f>
        <v>0</v>
      </c>
    </row>
    <row r="39" spans="2:296" x14ac:dyDescent="0.25">
      <c r="R39" s="431">
        <f t="shared" ref="R39:R47" si="69">RANK(T39,$T$39:$T$47)</f>
        <v>1</v>
      </c>
      <c r="S39" s="429" t="s">
        <v>1</v>
      </c>
      <c r="T39" s="432">
        <f>COUNTIF('Variable Costs (Back)'!$C$15:$C$24,S39)</f>
        <v>0</v>
      </c>
      <c r="Z39" s="431">
        <f t="shared" ref="Z39:Z65" si="70">RANK(AB39,$AB$38:$AB$65)</f>
        <v>1</v>
      </c>
      <c r="AA39" s="429" t="str" cm="1">
        <f t="array" ref="AA39">IF(_xlfn.UNIQUE('Margin Guidence Table'!F2:F1000000)&lt;&gt;0,_xlfn._xlws.SORT(_xlfn.UNIQUE('Margin Guidence Table'!F2:F1000000)),"")</f>
        <v/>
      </c>
      <c r="AB39" s="432">
        <f t="shared" ref="AB39:AB65" si="71">COUNTIF($BA$53:$IZ$53,AA39)</f>
        <v>189</v>
      </c>
      <c r="AG39" s="438" t="s">
        <v>840</v>
      </c>
      <c r="AH39" s="439" t="str">
        <f>VLOOKUP(AG37,$Z$38:$AA$65,2,FALSE)</f>
        <v>Enter Customer(s)</v>
      </c>
      <c r="AI39" s="139"/>
      <c r="BA39" s="102" t="s">
        <v>824</v>
      </c>
      <c r="BB39" s="84" t="e">
        <f>VLOOKUP(BB$1,'Existing Customers'!$A:$AA,2,FALSE)</f>
        <v>#N/A</v>
      </c>
      <c r="BX39" s="102" t="s">
        <v>824</v>
      </c>
      <c r="BY39" s="84" t="e">
        <f>VLOOKUP(BY$1,'Existing Customers'!$A:$AA,2,FALSE)</f>
        <v>#N/A</v>
      </c>
      <c r="CU39" s="102" t="s">
        <v>824</v>
      </c>
      <c r="CV39" s="84" t="e">
        <f>VLOOKUP(CV$1,'Existing Customers'!$A:$AA,2,FALSE)</f>
        <v>#N/A</v>
      </c>
      <c r="DR39" s="102" t="s">
        <v>824</v>
      </c>
      <c r="DS39" s="84" t="e">
        <f>VLOOKUP(DS$1,'Existing Customers'!$A:$AA,2,FALSE)</f>
        <v>#N/A</v>
      </c>
      <c r="EO39" s="102" t="s">
        <v>824</v>
      </c>
      <c r="EP39" s="84" t="e">
        <f>VLOOKUP(EP$1,'Existing Customers'!$A:$AA,2,FALSE)</f>
        <v>#N/A</v>
      </c>
      <c r="FL39" s="102" t="s">
        <v>824</v>
      </c>
      <c r="FM39" s="84" t="e">
        <f>VLOOKUP(FM$1,'Existing Customers'!$A:$AA,2,FALSE)</f>
        <v>#N/A</v>
      </c>
      <c r="GI39" s="102" t="s">
        <v>824</v>
      </c>
      <c r="GJ39" s="84" t="e">
        <f>VLOOKUP(GJ$1,'Existing Customers'!$A:$AA,2,FALSE)</f>
        <v>#N/A</v>
      </c>
      <c r="HF39" s="102" t="s">
        <v>824</v>
      </c>
      <c r="HG39" s="84" t="e">
        <f>VLOOKUP(HG$1,'Existing Customers'!$A:$AA,2,FALSE)</f>
        <v>#N/A</v>
      </c>
      <c r="IC39" s="102" t="s">
        <v>824</v>
      </c>
      <c r="ID39" s="84" t="e">
        <f>VLOOKUP(ID$1,'Existing Customers'!$A:$AA,2,FALSE)</f>
        <v>#N/A</v>
      </c>
      <c r="IZ39" s="102" t="s">
        <v>824</v>
      </c>
      <c r="JA39" s="84" t="e">
        <f>VLOOKUP(JA$1,'Existing Customers'!$A:$AA,2,FALSE)</f>
        <v>#N/A</v>
      </c>
    </row>
    <row r="40" spans="2:296" ht="15.75" thickBot="1" x14ac:dyDescent="0.3">
      <c r="R40" s="431">
        <f t="shared" si="69"/>
        <v>1</v>
      </c>
      <c r="S40" s="429" t="s">
        <v>114</v>
      </c>
      <c r="T40" s="432">
        <f>COUNTIF('Variable Costs (Back)'!$C$15:$C$24,S40)</f>
        <v>0</v>
      </c>
      <c r="Z40" s="431">
        <f t="shared" si="70"/>
        <v>2</v>
      </c>
      <c r="AA40" s="429"/>
      <c r="AB40" s="432">
        <f t="shared" si="71"/>
        <v>9</v>
      </c>
      <c r="AG40" s="440" t="s">
        <v>946</v>
      </c>
      <c r="AH40" s="441" t="str">
        <f>IF(COUNTIF($AB$39:$AB$65,"&gt;0")&gt;1,"MULTIPLE TYPES",$AH$37)</f>
        <v>MULTIPLE TYPES</v>
      </c>
      <c r="AI40" s="267"/>
      <c r="BA40" s="102" t="s">
        <v>120</v>
      </c>
      <c r="BB40" s="84" t="e">
        <f>VLOOKUP(BB$1,'Existing Customers'!$A:$AA,12,FALSE)</f>
        <v>#N/A</v>
      </c>
      <c r="BX40" s="102" t="s">
        <v>120</v>
      </c>
      <c r="BY40" s="84" t="e">
        <f>VLOOKUP(BY$1,'Existing Customers'!$A:$AA,12,FALSE)</f>
        <v>#N/A</v>
      </c>
      <c r="CU40" s="102" t="s">
        <v>120</v>
      </c>
      <c r="CV40" s="84" t="e">
        <f>VLOOKUP(CV$1,'Existing Customers'!$A:$AA,12,FALSE)</f>
        <v>#N/A</v>
      </c>
      <c r="DR40" s="102" t="s">
        <v>120</v>
      </c>
      <c r="DS40" s="84" t="e">
        <f>VLOOKUP(DS$1,'Existing Customers'!$A:$AA,12,FALSE)</f>
        <v>#N/A</v>
      </c>
      <c r="EO40" s="102" t="s">
        <v>120</v>
      </c>
      <c r="EP40" s="84" t="e">
        <f>VLOOKUP(EP$1,'Existing Customers'!$A:$AA,12,FALSE)</f>
        <v>#N/A</v>
      </c>
      <c r="FL40" s="102" t="s">
        <v>120</v>
      </c>
      <c r="FM40" s="84" t="e">
        <f>VLOOKUP(FM$1,'Existing Customers'!$A:$AA,12,FALSE)</f>
        <v>#N/A</v>
      </c>
      <c r="GI40" s="102" t="s">
        <v>120</v>
      </c>
      <c r="GJ40" s="84" t="e">
        <f>VLOOKUP(GJ$1,'Existing Customers'!$A:$AA,12,FALSE)</f>
        <v>#N/A</v>
      </c>
      <c r="HF40" s="102" t="s">
        <v>120</v>
      </c>
      <c r="HG40" s="84" t="e">
        <f>VLOOKUP(HG$1,'Existing Customers'!$A:$AA,12,FALSE)</f>
        <v>#N/A</v>
      </c>
      <c r="IC40" s="102" t="s">
        <v>120</v>
      </c>
      <c r="ID40" s="84" t="e">
        <f>VLOOKUP(ID$1,'Existing Customers'!$A:$AA,12,FALSE)</f>
        <v>#N/A</v>
      </c>
      <c r="IZ40" s="102" t="s">
        <v>120</v>
      </c>
      <c r="JA40" s="84" t="e">
        <f>VLOOKUP(JA$1,'Existing Customers'!$A:$AA,12,FALSE)</f>
        <v>#N/A</v>
      </c>
    </row>
    <row r="41" spans="2:296" x14ac:dyDescent="0.25">
      <c r="R41" s="431">
        <f t="shared" si="69"/>
        <v>1</v>
      </c>
      <c r="S41" s="429" t="s">
        <v>116</v>
      </c>
      <c r="T41" s="432">
        <f>COUNTIF('Variable Costs (Back)'!$C$15:$C$24,S41)</f>
        <v>0</v>
      </c>
      <c r="Z41" s="431">
        <f t="shared" si="70"/>
        <v>2</v>
      </c>
      <c r="AA41" s="429"/>
      <c r="AB41" s="432">
        <f t="shared" si="71"/>
        <v>9</v>
      </c>
      <c r="AG41" s="1031"/>
      <c r="AH41" s="1031"/>
      <c r="AI41" s="1031"/>
      <c r="BA41" s="102" t="s">
        <v>825</v>
      </c>
      <c r="BB41" s="84" t="e">
        <f>VLOOKUP(BB$1,'Existing Customers'!$A:$AA,25,FALSE)</f>
        <v>#N/A</v>
      </c>
      <c r="BX41" s="102" t="s">
        <v>825</v>
      </c>
      <c r="BY41" s="84" t="e">
        <f>VLOOKUP(BY$1,'Existing Customers'!$A:$AA,25,FALSE)</f>
        <v>#N/A</v>
      </c>
      <c r="CU41" s="102" t="s">
        <v>825</v>
      </c>
      <c r="CV41" s="84" t="e">
        <f>VLOOKUP(CV$1,'Existing Customers'!$A:$AA,25,FALSE)</f>
        <v>#N/A</v>
      </c>
      <c r="DR41" s="102" t="s">
        <v>825</v>
      </c>
      <c r="DS41" s="84" t="e">
        <f>VLOOKUP(DS$1,'Existing Customers'!$A:$AA,25,FALSE)</f>
        <v>#N/A</v>
      </c>
      <c r="EO41" s="102" t="s">
        <v>825</v>
      </c>
      <c r="EP41" s="84" t="e">
        <f>VLOOKUP(EP$1,'Existing Customers'!$A:$AA,25,FALSE)</f>
        <v>#N/A</v>
      </c>
      <c r="FL41" s="102" t="s">
        <v>825</v>
      </c>
      <c r="FM41" s="84" t="e">
        <f>VLOOKUP(FM$1,'Existing Customers'!$A:$AA,25,FALSE)</f>
        <v>#N/A</v>
      </c>
      <c r="GI41" s="102" t="s">
        <v>825</v>
      </c>
      <c r="GJ41" s="84" t="e">
        <f>VLOOKUP(GJ$1,'Existing Customers'!$A:$AA,25,FALSE)</f>
        <v>#N/A</v>
      </c>
      <c r="HF41" s="102" t="s">
        <v>825</v>
      </c>
      <c r="HG41" s="84" t="e">
        <f>VLOOKUP(HG$1,'Existing Customers'!$A:$AA,25,FALSE)</f>
        <v>#N/A</v>
      </c>
      <c r="IC41" s="102" t="s">
        <v>825</v>
      </c>
      <c r="ID41" s="84" t="e">
        <f>VLOOKUP(ID$1,'Existing Customers'!$A:$AA,25,FALSE)</f>
        <v>#N/A</v>
      </c>
      <c r="IZ41" s="102" t="s">
        <v>825</v>
      </c>
      <c r="JA41" s="84" t="e">
        <f>VLOOKUP(JA$1,'Existing Customers'!$A:$AA,25,FALSE)</f>
        <v>#N/A</v>
      </c>
    </row>
    <row r="42" spans="2:296" x14ac:dyDescent="0.25">
      <c r="R42" s="431">
        <f t="shared" si="69"/>
        <v>1</v>
      </c>
      <c r="S42" s="429" t="s">
        <v>112</v>
      </c>
      <c r="T42" s="432">
        <f>COUNTIF('Variable Costs (Back)'!$C$15:$C$24,S42)</f>
        <v>0</v>
      </c>
      <c r="Z42" s="431">
        <f t="shared" si="70"/>
        <v>2</v>
      </c>
      <c r="AA42" s="429"/>
      <c r="AB42" s="432">
        <f t="shared" si="71"/>
        <v>9</v>
      </c>
      <c r="BA42" s="102" t="s">
        <v>826</v>
      </c>
      <c r="BB42" s="84" t="e">
        <f>VLOOKUP(BB$1,'Existing Customers'!$A:$AA,26,FALSE)</f>
        <v>#N/A</v>
      </c>
      <c r="BX42" s="102" t="s">
        <v>826</v>
      </c>
      <c r="BY42" s="84" t="e">
        <f>VLOOKUP(BY$1,'Existing Customers'!$A:$AA,26,FALSE)</f>
        <v>#N/A</v>
      </c>
      <c r="CU42" s="102" t="s">
        <v>826</v>
      </c>
      <c r="CV42" s="84" t="e">
        <f>VLOOKUP(CV$1,'Existing Customers'!$A:$AA,26,FALSE)</f>
        <v>#N/A</v>
      </c>
      <c r="DR42" s="102" t="s">
        <v>826</v>
      </c>
      <c r="DS42" s="84" t="e">
        <f>VLOOKUP(DS$1,'Existing Customers'!$A:$AA,26,FALSE)</f>
        <v>#N/A</v>
      </c>
      <c r="EO42" s="102" t="s">
        <v>826</v>
      </c>
      <c r="EP42" s="84" t="e">
        <f>VLOOKUP(EP$1,'Existing Customers'!$A:$AA,26,FALSE)</f>
        <v>#N/A</v>
      </c>
      <c r="FL42" s="102" t="s">
        <v>826</v>
      </c>
      <c r="FM42" s="84" t="e">
        <f>VLOOKUP(FM$1,'Existing Customers'!$A:$AA,26,FALSE)</f>
        <v>#N/A</v>
      </c>
      <c r="GI42" s="102" t="s">
        <v>826</v>
      </c>
      <c r="GJ42" s="84" t="e">
        <f>VLOOKUP(GJ$1,'Existing Customers'!$A:$AA,26,FALSE)</f>
        <v>#N/A</v>
      </c>
      <c r="HF42" s="102" t="s">
        <v>826</v>
      </c>
      <c r="HG42" s="84" t="e">
        <f>VLOOKUP(HG$1,'Existing Customers'!$A:$AA,26,FALSE)</f>
        <v>#N/A</v>
      </c>
      <c r="IC42" s="102" t="s">
        <v>826</v>
      </c>
      <c r="ID42" s="84" t="e">
        <f>VLOOKUP(ID$1,'Existing Customers'!$A:$AA,26,FALSE)</f>
        <v>#N/A</v>
      </c>
      <c r="IZ42" s="102" t="s">
        <v>826</v>
      </c>
      <c r="JA42" s="84" t="e">
        <f>VLOOKUP(JA$1,'Existing Customers'!$A:$AA,26,FALSE)</f>
        <v>#N/A</v>
      </c>
    </row>
    <row r="43" spans="2:296" x14ac:dyDescent="0.25">
      <c r="R43" s="431">
        <f t="shared" si="69"/>
        <v>1</v>
      </c>
      <c r="S43" s="429" t="s">
        <v>113</v>
      </c>
      <c r="T43" s="432">
        <f>COUNTIF('Variable Costs (Back)'!$C$15:$C$24,S43)</f>
        <v>0</v>
      </c>
      <c r="Z43" s="431">
        <f t="shared" si="70"/>
        <v>2</v>
      </c>
      <c r="AA43" s="429"/>
      <c r="AB43" s="432">
        <f t="shared" si="71"/>
        <v>9</v>
      </c>
      <c r="BA43" s="102" t="s">
        <v>827</v>
      </c>
      <c r="BB43" s="84" t="e">
        <f>VLOOKUP(BB$1,'Existing Customers'!$A:$AA,23,FALSE)</f>
        <v>#N/A</v>
      </c>
      <c r="BX43" s="102" t="s">
        <v>827</v>
      </c>
      <c r="BY43" s="84" t="e">
        <f>VLOOKUP(BY$1,'Existing Customers'!$A:$AA,23,FALSE)</f>
        <v>#N/A</v>
      </c>
      <c r="CU43" s="102" t="s">
        <v>827</v>
      </c>
      <c r="CV43" s="84" t="e">
        <f>VLOOKUP(CV$1,'Existing Customers'!$A:$AA,23,FALSE)</f>
        <v>#N/A</v>
      </c>
      <c r="DR43" s="102" t="s">
        <v>827</v>
      </c>
      <c r="DS43" s="84" t="e">
        <f>VLOOKUP(DS$1,'Existing Customers'!$A:$AA,23,FALSE)</f>
        <v>#N/A</v>
      </c>
      <c r="EO43" s="102" t="s">
        <v>827</v>
      </c>
      <c r="EP43" s="84" t="e">
        <f>VLOOKUP(EP$1,'Existing Customers'!$A:$AA,23,FALSE)</f>
        <v>#N/A</v>
      </c>
      <c r="FL43" s="102" t="s">
        <v>827</v>
      </c>
      <c r="FM43" s="84" t="e">
        <f>VLOOKUP(FM$1,'Existing Customers'!$A:$AA,23,FALSE)</f>
        <v>#N/A</v>
      </c>
      <c r="GI43" s="102" t="s">
        <v>827</v>
      </c>
      <c r="GJ43" s="84" t="e">
        <f>VLOOKUP(GJ$1,'Existing Customers'!$A:$AA,23,FALSE)</f>
        <v>#N/A</v>
      </c>
      <c r="HF43" s="102" t="s">
        <v>827</v>
      </c>
      <c r="HG43" s="84" t="e">
        <f>VLOOKUP(HG$1,'Existing Customers'!$A:$AA,23,FALSE)</f>
        <v>#N/A</v>
      </c>
      <c r="IC43" s="102" t="s">
        <v>827</v>
      </c>
      <c r="ID43" s="84" t="e">
        <f>VLOOKUP(ID$1,'Existing Customers'!$A:$AA,23,FALSE)</f>
        <v>#N/A</v>
      </c>
      <c r="IZ43" s="102" t="s">
        <v>827</v>
      </c>
      <c r="JA43" s="84" t="e">
        <f>VLOOKUP(JA$1,'Existing Customers'!$A:$AA,23,FALSE)</f>
        <v>#N/A</v>
      </c>
    </row>
    <row r="44" spans="2:296" x14ac:dyDescent="0.25">
      <c r="R44" s="431">
        <f t="shared" si="69"/>
        <v>1</v>
      </c>
      <c r="S44" s="429" t="s">
        <v>111</v>
      </c>
      <c r="T44" s="432">
        <f>COUNTIF('Variable Costs (Back)'!$C$15:$C$24,S44)</f>
        <v>0</v>
      </c>
      <c r="Z44" s="431">
        <f t="shared" si="70"/>
        <v>2</v>
      </c>
      <c r="AA44" s="429"/>
      <c r="AB44" s="432">
        <f t="shared" si="71"/>
        <v>9</v>
      </c>
      <c r="BA44" s="102" t="s">
        <v>828</v>
      </c>
      <c r="BB44" s="84" t="e">
        <f>VLOOKUP(BB$1,'Existing Customers'!$A:$AA,24,FALSE)</f>
        <v>#N/A</v>
      </c>
      <c r="BX44" s="102" t="s">
        <v>828</v>
      </c>
      <c r="BY44" s="84" t="e">
        <f>VLOOKUP(BY$1,'Existing Customers'!$A:$AA,24,FALSE)</f>
        <v>#N/A</v>
      </c>
      <c r="CU44" s="102" t="s">
        <v>828</v>
      </c>
      <c r="CV44" s="84" t="e">
        <f>VLOOKUP(CV$1,'Existing Customers'!$A:$AA,24,FALSE)</f>
        <v>#N/A</v>
      </c>
      <c r="DR44" s="102" t="s">
        <v>828</v>
      </c>
      <c r="DS44" s="84" t="e">
        <f>VLOOKUP(DS$1,'Existing Customers'!$A:$AA,24,FALSE)</f>
        <v>#N/A</v>
      </c>
      <c r="EO44" s="102" t="s">
        <v>828</v>
      </c>
      <c r="EP44" s="84" t="e">
        <f>VLOOKUP(EP$1,'Existing Customers'!$A:$AA,24,FALSE)</f>
        <v>#N/A</v>
      </c>
      <c r="FL44" s="102" t="s">
        <v>828</v>
      </c>
      <c r="FM44" s="84" t="e">
        <f>VLOOKUP(FM$1,'Existing Customers'!$A:$AA,24,FALSE)</f>
        <v>#N/A</v>
      </c>
      <c r="GI44" s="102" t="s">
        <v>828</v>
      </c>
      <c r="GJ44" s="84" t="e">
        <f>VLOOKUP(GJ$1,'Existing Customers'!$A:$AA,24,FALSE)</f>
        <v>#N/A</v>
      </c>
      <c r="HF44" s="102" t="s">
        <v>828</v>
      </c>
      <c r="HG44" s="84" t="e">
        <f>VLOOKUP(HG$1,'Existing Customers'!$A:$AA,24,FALSE)</f>
        <v>#N/A</v>
      </c>
      <c r="IC44" s="102" t="s">
        <v>828</v>
      </c>
      <c r="ID44" s="84" t="e">
        <f>VLOOKUP(ID$1,'Existing Customers'!$A:$AA,24,FALSE)</f>
        <v>#N/A</v>
      </c>
      <c r="IZ44" s="102" t="s">
        <v>828</v>
      </c>
      <c r="JA44" s="84" t="e">
        <f>VLOOKUP(JA$1,'Existing Customers'!$A:$AA,24,FALSE)</f>
        <v>#N/A</v>
      </c>
    </row>
    <row r="45" spans="2:296" x14ac:dyDescent="0.25">
      <c r="R45" s="431">
        <f t="shared" si="69"/>
        <v>1</v>
      </c>
      <c r="S45" s="429" t="s">
        <v>118</v>
      </c>
      <c r="T45" s="432">
        <f>COUNTIF('Variable Costs (Back)'!$C$15:$C$24,S45)</f>
        <v>0</v>
      </c>
      <c r="Z45" s="431">
        <f t="shared" si="70"/>
        <v>2</v>
      </c>
      <c r="AA45" s="429"/>
      <c r="AB45" s="432">
        <f t="shared" si="71"/>
        <v>9</v>
      </c>
      <c r="BA45" s="102" t="s">
        <v>829</v>
      </c>
      <c r="BB45" s="84" t="e">
        <f>VLOOKUP(BB$1,'Existing Customers'!$A:$AA,9,FALSE)</f>
        <v>#N/A</v>
      </c>
      <c r="BX45" s="102" t="s">
        <v>829</v>
      </c>
      <c r="BY45" s="84" t="e">
        <f>VLOOKUP(BY$1,'Existing Customers'!$A:$AA,9,FALSE)</f>
        <v>#N/A</v>
      </c>
      <c r="CU45" s="102" t="s">
        <v>829</v>
      </c>
      <c r="CV45" s="84" t="e">
        <f>VLOOKUP(CV$1,'Existing Customers'!$A:$AA,9,FALSE)</f>
        <v>#N/A</v>
      </c>
      <c r="DR45" s="102" t="s">
        <v>829</v>
      </c>
      <c r="DS45" s="84" t="e">
        <f>VLOOKUP(DS$1,'Existing Customers'!$A:$AA,9,FALSE)</f>
        <v>#N/A</v>
      </c>
      <c r="EO45" s="102" t="s">
        <v>829</v>
      </c>
      <c r="EP45" s="84" t="e">
        <f>VLOOKUP(EP$1,'Existing Customers'!$A:$AA,9,FALSE)</f>
        <v>#N/A</v>
      </c>
      <c r="FL45" s="102" t="s">
        <v>829</v>
      </c>
      <c r="FM45" s="84" t="e">
        <f>VLOOKUP(FM$1,'Existing Customers'!$A:$AA,9,FALSE)</f>
        <v>#N/A</v>
      </c>
      <c r="GI45" s="102" t="s">
        <v>829</v>
      </c>
      <c r="GJ45" s="84" t="e">
        <f>VLOOKUP(GJ$1,'Existing Customers'!$A:$AA,9,FALSE)</f>
        <v>#N/A</v>
      </c>
      <c r="HF45" s="102" t="s">
        <v>829</v>
      </c>
      <c r="HG45" s="84" t="e">
        <f>VLOOKUP(HG$1,'Existing Customers'!$A:$AA,9,FALSE)</f>
        <v>#N/A</v>
      </c>
      <c r="IC45" s="102" t="s">
        <v>829</v>
      </c>
      <c r="ID45" s="84" t="e">
        <f>VLOOKUP(ID$1,'Existing Customers'!$A:$AA,9,FALSE)</f>
        <v>#N/A</v>
      </c>
      <c r="IZ45" s="102" t="s">
        <v>829</v>
      </c>
      <c r="JA45" s="84" t="e">
        <f>VLOOKUP(JA$1,'Existing Customers'!$A:$AA,9,FALSE)</f>
        <v>#N/A</v>
      </c>
    </row>
    <row r="46" spans="2:296" x14ac:dyDescent="0.25">
      <c r="R46" s="431">
        <f t="shared" si="69"/>
        <v>1</v>
      </c>
      <c r="S46" s="429" t="s">
        <v>115</v>
      </c>
      <c r="T46" s="432">
        <f>COUNTIF('Variable Costs (Back)'!$C$15:$C$24,S46)</f>
        <v>0</v>
      </c>
      <c r="Z46" s="431">
        <f t="shared" si="70"/>
        <v>2</v>
      </c>
      <c r="AA46" s="429"/>
      <c r="AB46" s="432">
        <f t="shared" si="71"/>
        <v>9</v>
      </c>
      <c r="BA46" s="102" t="s">
        <v>830</v>
      </c>
      <c r="BB46" s="84" t="e">
        <f>VLOOKUP(BB$1,'Existing Customers'!$A:$AA,27,FALSE)</f>
        <v>#N/A</v>
      </c>
      <c r="BX46" s="102" t="s">
        <v>830</v>
      </c>
      <c r="BY46" s="84" t="e">
        <f>VLOOKUP(BY$1,'Existing Customers'!$A:$AA,27,FALSE)</f>
        <v>#N/A</v>
      </c>
      <c r="CU46" s="102" t="s">
        <v>830</v>
      </c>
      <c r="CV46" s="84" t="e">
        <f>VLOOKUP(CV$1,'Existing Customers'!$A:$AA,27,FALSE)</f>
        <v>#N/A</v>
      </c>
      <c r="DR46" s="102" t="s">
        <v>830</v>
      </c>
      <c r="DS46" s="84" t="e">
        <f>VLOOKUP(DS$1,'Existing Customers'!$A:$AA,27,FALSE)</f>
        <v>#N/A</v>
      </c>
      <c r="EO46" s="102" t="s">
        <v>830</v>
      </c>
      <c r="EP46" s="84" t="e">
        <f>VLOOKUP(EP$1,'Existing Customers'!$A:$AA,27,FALSE)</f>
        <v>#N/A</v>
      </c>
      <c r="FL46" s="102" t="s">
        <v>830</v>
      </c>
      <c r="FM46" s="84" t="e">
        <f>VLOOKUP(FM$1,'Existing Customers'!$A:$AA,27,FALSE)</f>
        <v>#N/A</v>
      </c>
      <c r="GI46" s="102" t="s">
        <v>830</v>
      </c>
      <c r="GJ46" s="84" t="e">
        <f>VLOOKUP(GJ$1,'Existing Customers'!$A:$AA,27,FALSE)</f>
        <v>#N/A</v>
      </c>
      <c r="HF46" s="102" t="s">
        <v>830</v>
      </c>
      <c r="HG46" s="84" t="e">
        <f>VLOOKUP(HG$1,'Existing Customers'!$A:$AA,27,FALSE)</f>
        <v>#N/A</v>
      </c>
      <c r="IC46" s="102" t="s">
        <v>830</v>
      </c>
      <c r="ID46" s="84" t="e">
        <f>VLOOKUP(ID$1,'Existing Customers'!$A:$AA,27,FALSE)</f>
        <v>#N/A</v>
      </c>
      <c r="IZ46" s="102" t="s">
        <v>830</v>
      </c>
      <c r="JA46" s="84" t="e">
        <f>VLOOKUP(JA$1,'Existing Customers'!$A:$AA,27,FALSE)</f>
        <v>#N/A</v>
      </c>
    </row>
    <row r="47" spans="2:296" x14ac:dyDescent="0.25">
      <c r="R47" s="431">
        <f t="shared" si="69"/>
        <v>1</v>
      </c>
      <c r="S47" s="429" t="s">
        <v>117</v>
      </c>
      <c r="T47" s="432">
        <f>COUNTIF('Variable Costs (Back)'!$C$15:$C$24,S47)</f>
        <v>0</v>
      </c>
      <c r="Z47" s="431">
        <f t="shared" si="70"/>
        <v>2</v>
      </c>
      <c r="AA47" s="429"/>
      <c r="AB47" s="432">
        <f t="shared" si="71"/>
        <v>9</v>
      </c>
      <c r="BA47" s="102" t="s">
        <v>973</v>
      </c>
      <c r="BB47" s="84" t="e">
        <f>VLOOKUP(BB$1,'Existing Customers'!$A:$AA,4,FALSE)</f>
        <v>#N/A</v>
      </c>
      <c r="BX47" s="102" t="s">
        <v>107</v>
      </c>
      <c r="BY47" s="84" t="e">
        <f>VLOOKUP(BY$1,'Existing Customers'!$A:$AA,4,FALSE)</f>
        <v>#N/A</v>
      </c>
      <c r="CU47" s="102" t="s">
        <v>107</v>
      </c>
      <c r="CV47" s="84" t="e">
        <f>VLOOKUP(CV$1,'Existing Customers'!$A:$AA,4,FALSE)</f>
        <v>#N/A</v>
      </c>
      <c r="DR47" s="102" t="s">
        <v>107</v>
      </c>
      <c r="DS47" s="84" t="e">
        <f>VLOOKUP(DS$1,'Existing Customers'!$A:$AA,4,FALSE)</f>
        <v>#N/A</v>
      </c>
      <c r="EO47" s="102" t="s">
        <v>107</v>
      </c>
      <c r="EP47" s="84" t="e">
        <f>VLOOKUP(EP$1,'Existing Customers'!$A:$AA,4,FALSE)</f>
        <v>#N/A</v>
      </c>
      <c r="FL47" s="102" t="s">
        <v>107</v>
      </c>
      <c r="FM47" s="84" t="e">
        <f>VLOOKUP(FM$1,'Existing Customers'!$A:$AA,4,FALSE)</f>
        <v>#N/A</v>
      </c>
      <c r="GI47" s="102" t="s">
        <v>107</v>
      </c>
      <c r="GJ47" s="84" t="e">
        <f>VLOOKUP(GJ$1,'Existing Customers'!$A:$AA,4,FALSE)</f>
        <v>#N/A</v>
      </c>
      <c r="HF47" s="102" t="s">
        <v>107</v>
      </c>
      <c r="HG47" s="84" t="e">
        <f>VLOOKUP(HG$1,'Existing Customers'!$A:$AA,4,FALSE)</f>
        <v>#N/A</v>
      </c>
      <c r="IC47" s="102" t="s">
        <v>107</v>
      </c>
      <c r="ID47" s="84" t="e">
        <f>VLOOKUP(ID$1,'Existing Customers'!$A:$AA,4,FALSE)</f>
        <v>#N/A</v>
      </c>
      <c r="IZ47" s="102" t="s">
        <v>107</v>
      </c>
      <c r="JA47" s="84" t="e">
        <f>VLOOKUP(JA$1,'Existing Customers'!$A:$AA,4,FALSE)</f>
        <v>#N/A</v>
      </c>
    </row>
    <row r="48" spans="2:296" x14ac:dyDescent="0.25">
      <c r="R48" s="138"/>
      <c r="T48" s="139"/>
      <c r="Z48" s="431">
        <f t="shared" si="70"/>
        <v>2</v>
      </c>
      <c r="AA48" s="429"/>
      <c r="AB48" s="432">
        <f t="shared" si="71"/>
        <v>9</v>
      </c>
      <c r="BA48" s="102" t="s">
        <v>835</v>
      </c>
      <c r="BB48" s="84">
        <f>IFERROR(VLOOKUP(BB$1,'Existing Customers'!$A:$AA,6,FALSE),BB6)</f>
        <v>0</v>
      </c>
      <c r="BX48" s="102" t="s">
        <v>835</v>
      </c>
      <c r="BY48" s="84">
        <f>IFERROR(VLOOKUP(BY$1,'Existing Customers'!$A:$AA,6,FALSE),BY5)</f>
        <v>0</v>
      </c>
      <c r="CU48" s="102" t="s">
        <v>835</v>
      </c>
      <c r="CV48" s="84">
        <f>IFERROR(VLOOKUP(CV$1,'Existing Customers'!$A:$AA,6,FALSE),CV6)</f>
        <v>0</v>
      </c>
      <c r="DR48" s="102" t="s">
        <v>835</v>
      </c>
      <c r="DS48" s="84">
        <f>IFERROR(VLOOKUP(DS$1,'Existing Customers'!$A:$AA,6,FALSE),DS6)</f>
        <v>0</v>
      </c>
      <c r="EO48" s="102" t="s">
        <v>835</v>
      </c>
      <c r="EP48" s="84">
        <f>IFERROR(VLOOKUP(EP$1,'Existing Customers'!$A:$AA,6,FALSE),EP6)</f>
        <v>0</v>
      </c>
      <c r="FL48" s="102" t="s">
        <v>835</v>
      </c>
      <c r="FM48" s="84">
        <f>IFERROR(VLOOKUP(FM$1,'Existing Customers'!$A:$AA,6,FALSE),FM6)</f>
        <v>0</v>
      </c>
      <c r="GI48" s="102" t="s">
        <v>835</v>
      </c>
      <c r="GJ48" s="84">
        <f>IFERROR(VLOOKUP(GJ$1,'Existing Customers'!$A:$AA,6,FALSE),GJ6)</f>
        <v>0</v>
      </c>
      <c r="HF48" s="102" t="s">
        <v>835</v>
      </c>
      <c r="HG48" s="84">
        <f>IFERROR(VLOOKUP(HG$1,'Existing Customers'!$A:$AA,6,FALSE),HG6)</f>
        <v>0</v>
      </c>
      <c r="IC48" s="102" t="s">
        <v>835</v>
      </c>
      <c r="ID48" s="84">
        <f>IFERROR(VLOOKUP(ID$1,'Existing Customers'!$A:$AA,6,FALSE),ID6)</f>
        <v>0</v>
      </c>
      <c r="IZ48" s="102" t="s">
        <v>835</v>
      </c>
      <c r="JA48" s="84">
        <f>IFERROR(VLOOKUP(JA$1,'Existing Customers'!$A:$AA,6,FALSE),JA6)</f>
        <v>0</v>
      </c>
    </row>
    <row r="49" spans="18:261" ht="15.75" thickBot="1" x14ac:dyDescent="0.3">
      <c r="R49" s="433">
        <v>1</v>
      </c>
      <c r="S49" s="434" t="str">
        <f>IF(COUNTIF($T$38:$T$47,"&gt;0")&gt;1,"MULTIPLE PYRAMID SEGMENTS",VLOOKUP(R49,$R$38:$S$47,2,FALSE))</f>
        <v>Enter Customer(s)</v>
      </c>
      <c r="T49" s="435"/>
      <c r="Z49" s="431">
        <f t="shared" si="70"/>
        <v>2</v>
      </c>
      <c r="AA49" s="429"/>
      <c r="AB49" s="432">
        <f t="shared" si="71"/>
        <v>9</v>
      </c>
      <c r="BA49" s="102" t="s">
        <v>972</v>
      </c>
      <c r="BB49" s="84" t="str">
        <f>IFERROR(ROUND(VLOOKUP(BB38,'Existing Customer Variable Exp'!$B:$F,5,FALSE)/52,1),"Enter Drops &gt;")</f>
        <v>Enter Drops &gt;</v>
      </c>
      <c r="BX49" s="102" t="s">
        <v>839</v>
      </c>
      <c r="BY49" s="84" t="str">
        <f>IFERROR(ROUND(VLOOKUP(BY38,'Existing Customer Variable Exp'!$B:$F,5,FALSE)/52,1),"Enter Drops &gt;")</f>
        <v>Enter Drops &gt;</v>
      </c>
      <c r="CU49" s="102" t="s">
        <v>839</v>
      </c>
      <c r="CV49" s="84" t="str">
        <f>IFERROR(ROUND(VLOOKUP(CV38,'Existing Customer Variable Exp'!$B:$F,5,FALSE)/52,1),"Enter Drops &gt;")</f>
        <v>Enter Drops &gt;</v>
      </c>
      <c r="DR49" s="102" t="s">
        <v>839</v>
      </c>
      <c r="DS49" s="84" t="str">
        <f>IFERROR(ROUND(VLOOKUP(DS38,'Existing Customer Variable Exp'!$B:$F,5,FALSE)/52,1),"Enter Drops &gt;")</f>
        <v>Enter Drops &gt;</v>
      </c>
      <c r="EO49" s="102" t="s">
        <v>839</v>
      </c>
      <c r="EP49" s="84" t="str">
        <f>IFERROR(ROUND(VLOOKUP(EP38,'Existing Customer Variable Exp'!$B:$F,5,FALSE)/52,1),"Enter Drops &gt;")</f>
        <v>Enter Drops &gt;</v>
      </c>
      <c r="FL49" s="102" t="s">
        <v>839</v>
      </c>
      <c r="FM49" s="84" t="str">
        <f>IFERROR(ROUND(VLOOKUP(FM38,'Existing Customer Variable Exp'!$B:$F,5,FALSE)/52,1),"Enter Drops &gt;")</f>
        <v>Enter Drops &gt;</v>
      </c>
      <c r="GI49" s="102" t="s">
        <v>839</v>
      </c>
      <c r="GJ49" s="84" t="str">
        <f>IFERROR(ROUND(VLOOKUP(GJ38,'Existing Customer Variable Exp'!$B:$F,5,FALSE)/52,1),"Enter Drops &gt;")</f>
        <v>Enter Drops &gt;</v>
      </c>
      <c r="HF49" s="102" t="s">
        <v>839</v>
      </c>
      <c r="HG49" s="84" t="str">
        <f>IFERROR(ROUND(VLOOKUP(HG38,'Existing Customer Variable Exp'!$B:$F,5,FALSE)/52,1),"Enter Drops &gt;")</f>
        <v>Enter Drops &gt;</v>
      </c>
      <c r="IC49" s="102" t="s">
        <v>839</v>
      </c>
      <c r="ID49" s="84" t="str">
        <f>IFERROR(ROUND(VLOOKUP(ID38,'Existing Customer Variable Exp'!$B:$F,5,FALSE)/52,1),"Enter Drops &gt;")</f>
        <v>Enter Drops &gt;</v>
      </c>
      <c r="IZ49" s="102" t="s">
        <v>839</v>
      </c>
      <c r="JA49" s="84" t="str">
        <f>IFERROR(ROUND(VLOOKUP(JA38,'Existing Customer Variable Exp'!$B:$F,5,FALSE)/52,1),"Enter Drops &gt;")</f>
        <v>Enter Drops &gt;</v>
      </c>
    </row>
    <row r="50" spans="18:261" x14ac:dyDescent="0.25">
      <c r="W50" s="102"/>
      <c r="X50" s="127"/>
      <c r="Z50" s="431">
        <f t="shared" si="70"/>
        <v>2</v>
      </c>
      <c r="AA50" s="429"/>
      <c r="AB50" s="432">
        <f t="shared" si="71"/>
        <v>9</v>
      </c>
      <c r="BA50" s="102" t="s">
        <v>464</v>
      </c>
      <c r="BB50" s="128">
        <f>IF(BB2="Enter Spend&gt;&gt;&gt;","Enter EB % &gt;",BB$7)</f>
        <v>0</v>
      </c>
      <c r="BX50" s="102" t="s">
        <v>464</v>
      </c>
      <c r="BY50" s="128">
        <f>IF(BY2="Enter Spend&gt;&gt;&gt;","Enter EB % &gt;",BY$7)</f>
        <v>0</v>
      </c>
      <c r="CU50" s="102" t="s">
        <v>464</v>
      </c>
      <c r="CV50" s="128">
        <f>IF(CV2="Enter Spend&gt;&gt;&gt;","Enter EB % &gt;",CV$7)</f>
        <v>0</v>
      </c>
      <c r="DR50" s="102" t="s">
        <v>464</v>
      </c>
      <c r="DS50" s="128">
        <f>IF(DS2="Enter Spend&gt;&gt;&gt;","Enter EB % &gt;",DS$7)</f>
        <v>0</v>
      </c>
      <c r="EO50" s="102" t="s">
        <v>464</v>
      </c>
      <c r="EP50" s="128">
        <f>IF(EP2="Enter Spend&gt;&gt;&gt;","Enter EB % &gt;",EP$7)</f>
        <v>0</v>
      </c>
      <c r="FL50" s="102" t="s">
        <v>464</v>
      </c>
      <c r="FM50" s="128">
        <f>IF(FM2="Enter Spend&gt;&gt;&gt;","Enter EB % &gt;",FM$7)</f>
        <v>0</v>
      </c>
      <c r="GI50" s="102" t="s">
        <v>464</v>
      </c>
      <c r="GJ50" s="128">
        <f>IF(GJ2="Enter Spend&gt;&gt;&gt;","Enter EB % &gt;",GJ$7)</f>
        <v>0</v>
      </c>
      <c r="HF50" s="102" t="s">
        <v>464</v>
      </c>
      <c r="HG50" s="128">
        <f>IF(HG2="Enter Spend&gt;&gt;&gt;","Enter EB % &gt;",HG$7)</f>
        <v>0</v>
      </c>
      <c r="IC50" s="102" t="s">
        <v>464</v>
      </c>
      <c r="ID50" s="128">
        <f>IF(ID2="Enter Spend&gt;&gt;&gt;","Enter EB % &gt;",ID$7)</f>
        <v>0</v>
      </c>
      <c r="IZ50" s="102" t="s">
        <v>464</v>
      </c>
      <c r="JA50" s="128">
        <f>IF(JA2="Enter Spend&gt;&gt;&gt;","Enter EB % &gt;",JA$7)</f>
        <v>0</v>
      </c>
    </row>
    <row r="51" spans="18:261" x14ac:dyDescent="0.25">
      <c r="R51" s="1031"/>
      <c r="S51" s="1031"/>
      <c r="T51" s="102"/>
      <c r="W51" s="102"/>
      <c r="X51" s="127"/>
      <c r="Z51" s="431">
        <f t="shared" si="70"/>
        <v>2</v>
      </c>
      <c r="AA51" s="429"/>
      <c r="AB51" s="432">
        <f t="shared" si="71"/>
        <v>9</v>
      </c>
      <c r="BA51" s="102" t="s">
        <v>971</v>
      </c>
      <c r="BB51" s="106">
        <f>SUMIFS('Existing Customers'!$N:$N,'Existing Customers'!$A:$A,'Multi-Customer'!BB$38)</f>
        <v>0</v>
      </c>
      <c r="BX51" s="102" t="s">
        <v>965</v>
      </c>
      <c r="BY51" s="106">
        <f>SUMIFS('Existing Customers'!$N:$N,'Existing Customers'!$A:$A,'Multi-Customer'!BY$38)</f>
        <v>0</v>
      </c>
      <c r="CU51" s="102" t="s">
        <v>965</v>
      </c>
      <c r="CV51" s="106">
        <f>SUMIFS('Existing Customers'!$N:$N,'Existing Customers'!$A:$A,'Multi-Customer'!CV$38)</f>
        <v>0</v>
      </c>
      <c r="DR51" s="102" t="s">
        <v>965</v>
      </c>
      <c r="DS51" s="106">
        <f>SUMIFS('Existing Customers'!$N:$N,'Existing Customers'!$A:$A,'Multi-Customer'!DS$38)</f>
        <v>0</v>
      </c>
      <c r="EO51" s="102" t="s">
        <v>965</v>
      </c>
      <c r="EP51" s="106">
        <f>SUMIFS('Existing Customers'!$N:$N,'Existing Customers'!$A:$A,'Multi-Customer'!EP$38)</f>
        <v>0</v>
      </c>
      <c r="FL51" s="102" t="s">
        <v>965</v>
      </c>
      <c r="FM51" s="106">
        <f>SUMIFS('Existing Customers'!$N:$N,'Existing Customers'!$A:$A,'Multi-Customer'!FM$38)</f>
        <v>0</v>
      </c>
      <c r="GI51" s="102" t="s">
        <v>965</v>
      </c>
      <c r="GJ51" s="106">
        <f>SUMIFS('Existing Customers'!$N:$N,'Existing Customers'!$A:$A,'Multi-Customer'!GJ$38)</f>
        <v>0</v>
      </c>
      <c r="HF51" s="102" t="s">
        <v>965</v>
      </c>
      <c r="HG51" s="106">
        <f>SUMIFS('Existing Customers'!$N:$N,'Existing Customers'!$A:$A,'Multi-Customer'!HG$38)</f>
        <v>0</v>
      </c>
      <c r="IC51" s="102" t="s">
        <v>965</v>
      </c>
      <c r="ID51" s="106">
        <f>SUMIFS('Existing Customers'!$N:$N,'Existing Customers'!$A:$A,'Multi-Customer'!ID$38)</f>
        <v>0</v>
      </c>
      <c r="IZ51" s="102" t="s">
        <v>965</v>
      </c>
      <c r="JA51" s="106">
        <f>SUMIFS('Existing Customers'!$N:$N,'Existing Customers'!$A:$A,'Multi-Customer'!JA$38)</f>
        <v>0</v>
      </c>
    </row>
    <row r="52" spans="18:261" x14ac:dyDescent="0.25">
      <c r="R52" s="1031"/>
      <c r="S52" s="1031"/>
      <c r="T52" s="102"/>
      <c r="W52" s="102"/>
      <c r="X52" s="128"/>
      <c r="Z52" s="431">
        <f t="shared" si="70"/>
        <v>2</v>
      </c>
      <c r="AA52" s="429"/>
      <c r="AB52" s="432">
        <f t="shared" si="71"/>
        <v>9</v>
      </c>
      <c r="BA52" s="102" t="s">
        <v>970</v>
      </c>
      <c r="BB52" s="106">
        <f>IFERROR(VLOOKUP(BB$38,'Existing Customer Variable Exp'!$B:$F,5,FALSE),0)</f>
        <v>0</v>
      </c>
      <c r="BX52" s="102" t="s">
        <v>970</v>
      </c>
      <c r="BY52" s="106">
        <f>IFERROR(VLOOKUP(BY$38,'Existing Customer Variable Exp'!$B:$F,5,FALSE),0)</f>
        <v>0</v>
      </c>
      <c r="CU52" s="102" t="s">
        <v>970</v>
      </c>
      <c r="CV52" s="106">
        <f>IFERROR(VLOOKUP(CV$38,'Existing Customer Variable Exp'!$B:$F,5,FALSE),0)</f>
        <v>0</v>
      </c>
      <c r="DR52" s="102" t="s">
        <v>970</v>
      </c>
      <c r="DS52" s="106">
        <f>IFERROR(VLOOKUP(DS$38,'Existing Customer Variable Exp'!$B:$F,5,FALSE),0)</f>
        <v>0</v>
      </c>
      <c r="EO52" s="102" t="s">
        <v>970</v>
      </c>
      <c r="EP52" s="106">
        <f>IFERROR(VLOOKUP(EP$38,'Existing Customer Variable Exp'!$B:$F,5,FALSE),0)</f>
        <v>0</v>
      </c>
      <c r="FL52" s="102" t="s">
        <v>970</v>
      </c>
      <c r="FM52" s="106">
        <f>IFERROR(VLOOKUP(FM$38,'Existing Customer Variable Exp'!$B:$F,5,FALSE),0)</f>
        <v>0</v>
      </c>
      <c r="GI52" s="102" t="s">
        <v>970</v>
      </c>
      <c r="GJ52" s="106">
        <f>IFERROR(VLOOKUP(GJ$38,'Existing Customer Variable Exp'!$B:$F,5,FALSE),0)</f>
        <v>0</v>
      </c>
      <c r="HF52" s="102" t="s">
        <v>970</v>
      </c>
      <c r="HG52" s="106">
        <f>IFERROR(VLOOKUP(HG$38,'Existing Customer Variable Exp'!$B:$F,5,FALSE),0)</f>
        <v>0</v>
      </c>
      <c r="IC52" s="102" t="s">
        <v>970</v>
      </c>
      <c r="ID52" s="106">
        <f>IFERROR(VLOOKUP(ID$38,'Existing Customer Variable Exp'!$B:$F,5,FALSE),0)</f>
        <v>0</v>
      </c>
      <c r="IZ52" s="102" t="s">
        <v>970</v>
      </c>
      <c r="JA52" s="106">
        <f>IFERROR(VLOOKUP(JA$38,'Existing Customer Variable Exp'!$B:$F,5,FALSE),0)</f>
        <v>0</v>
      </c>
    </row>
    <row r="53" spans="18:261" x14ac:dyDescent="0.25">
      <c r="R53" s="1031"/>
      <c r="S53" s="1031"/>
      <c r="T53" s="1031"/>
      <c r="Z53" s="431">
        <f t="shared" si="70"/>
        <v>2</v>
      </c>
      <c r="AA53" s="429"/>
      <c r="AB53" s="432">
        <f t="shared" si="71"/>
        <v>9</v>
      </c>
      <c r="BA53" s="102" t="s">
        <v>1421</v>
      </c>
      <c r="BB53" s="84">
        <f>IFERROR(VLOOKUP(BB$1,'Existing Customers'!$A:$AD,30,FALSE),BB6)</f>
        <v>0</v>
      </c>
      <c r="BC53" s="1031"/>
      <c r="BD53" s="1031"/>
      <c r="BE53" s="1031"/>
      <c r="BF53" s="1031"/>
      <c r="BG53" s="1031"/>
      <c r="BU53" s="1031"/>
      <c r="BV53" s="1031"/>
      <c r="BX53" s="102" t="s">
        <v>1421</v>
      </c>
      <c r="BY53" s="84">
        <f>IFERROR(VLOOKUP(BY$1,'Existing Customers'!$A:$AD,30,FALSE),BY6)</f>
        <v>0</v>
      </c>
      <c r="BZ53" s="1031"/>
      <c r="CA53" s="1031"/>
      <c r="CB53" s="1031"/>
      <c r="CC53" s="1031"/>
      <c r="CD53" s="1031"/>
      <c r="CR53" s="1031"/>
      <c r="CS53" s="1031"/>
      <c r="CU53" s="102" t="s">
        <v>1421</v>
      </c>
      <c r="CV53" s="84">
        <f>IFERROR(VLOOKUP(CV$1,'Existing Customers'!$A:$AD,30,FALSE),CV6)</f>
        <v>0</v>
      </c>
      <c r="CW53" s="1031"/>
      <c r="CX53" s="1031"/>
      <c r="CY53" s="1031"/>
      <c r="CZ53" s="1031"/>
      <c r="DA53" s="1031"/>
      <c r="DO53" s="1031"/>
      <c r="DP53" s="1031"/>
      <c r="DR53" s="102" t="s">
        <v>1421</v>
      </c>
      <c r="DS53" s="84">
        <f>IFERROR(VLOOKUP(DS$1,'Existing Customers'!$A:$AD,30,FALSE),DS6)</f>
        <v>0</v>
      </c>
      <c r="DT53" s="1031"/>
      <c r="DU53" s="1031"/>
      <c r="DV53" s="1031"/>
      <c r="DW53" s="1031"/>
      <c r="DX53" s="1031"/>
      <c r="EL53" s="1031"/>
      <c r="EM53" s="1031"/>
      <c r="EO53" s="102" t="s">
        <v>1421</v>
      </c>
      <c r="EP53" s="84">
        <f>IFERROR(VLOOKUP(EP$1,'Existing Customers'!$A:$AD,30,FALSE),EP6)</f>
        <v>0</v>
      </c>
      <c r="EQ53" s="1031"/>
      <c r="ER53" s="1031"/>
      <c r="ES53" s="1031"/>
      <c r="ET53" s="1031"/>
      <c r="EU53" s="1031"/>
      <c r="FI53" s="1031"/>
      <c r="FJ53" s="1031"/>
      <c r="FL53" s="102" t="s">
        <v>1421</v>
      </c>
      <c r="FM53" s="84">
        <f>IFERROR(VLOOKUP(FM$1,'Existing Customers'!$A:$AD,30,FALSE),FM6)</f>
        <v>0</v>
      </c>
      <c r="FN53" s="1031"/>
      <c r="FO53" s="1031"/>
      <c r="FP53" s="1031"/>
      <c r="FQ53" s="1031"/>
      <c r="FR53" s="1031"/>
      <c r="GF53" s="1031"/>
      <c r="GG53" s="1031"/>
      <c r="GI53" s="102" t="s">
        <v>1421</v>
      </c>
      <c r="GJ53" s="84">
        <f>IFERROR(VLOOKUP(GJ$1,'Existing Customers'!$A:$AD,30,FALSE),GJ6)</f>
        <v>0</v>
      </c>
      <c r="GK53" s="1031"/>
      <c r="GL53" s="1031"/>
      <c r="GM53" s="1031"/>
      <c r="GN53" s="1031"/>
      <c r="GO53" s="1031"/>
      <c r="HC53" s="1031"/>
      <c r="HD53" s="1031"/>
      <c r="HF53" s="102" t="s">
        <v>1421</v>
      </c>
      <c r="HG53" s="84">
        <f>IFERROR(VLOOKUP(HG$1,'Existing Customers'!$A:$AD,30,FALSE),HG6)</f>
        <v>0</v>
      </c>
      <c r="HH53" s="1031"/>
      <c r="HI53" s="1031"/>
      <c r="HJ53" s="1031"/>
      <c r="HK53" s="1031"/>
      <c r="HL53" s="1031"/>
      <c r="HZ53" s="1031"/>
      <c r="IA53" s="1031"/>
      <c r="IC53" s="102" t="s">
        <v>1421</v>
      </c>
      <c r="ID53" s="84">
        <f>IFERROR(VLOOKUP(ID$1,'Existing Customers'!$A:$AD,30,FALSE),ID6)</f>
        <v>0</v>
      </c>
      <c r="IE53" s="1031"/>
      <c r="IF53" s="1031"/>
      <c r="IG53" s="1031"/>
      <c r="IH53" s="1031"/>
      <c r="II53" s="1031"/>
      <c r="IW53" s="1031"/>
      <c r="IX53" s="1031"/>
      <c r="IZ53" s="102" t="s">
        <v>1421</v>
      </c>
      <c r="JA53" s="84">
        <f>IFERROR(VLOOKUP(JA$1,'Existing Customers'!$A:$AD,30,FALSE),JA6)</f>
        <v>0</v>
      </c>
    </row>
    <row r="54" spans="18:261" x14ac:dyDescent="0.25">
      <c r="R54" s="1031"/>
      <c r="S54" s="1031"/>
      <c r="T54" s="1031"/>
      <c r="Z54" s="431">
        <f t="shared" si="70"/>
        <v>2</v>
      </c>
      <c r="AA54" s="429"/>
      <c r="AB54" s="432">
        <f t="shared" si="71"/>
        <v>9</v>
      </c>
    </row>
    <row r="55" spans="18:261" x14ac:dyDescent="0.25">
      <c r="R55" s="1031"/>
      <c r="S55" s="1031"/>
      <c r="T55" s="1031"/>
      <c r="Z55" s="431">
        <f t="shared" si="70"/>
        <v>2</v>
      </c>
      <c r="AA55" s="429"/>
      <c r="AB55" s="432">
        <f t="shared" si="71"/>
        <v>9</v>
      </c>
    </row>
    <row r="56" spans="18:261" x14ac:dyDescent="0.25">
      <c r="R56" s="1031"/>
      <c r="S56" s="1031"/>
      <c r="T56" s="1031"/>
      <c r="Z56" s="431">
        <f t="shared" si="70"/>
        <v>2</v>
      </c>
      <c r="AA56" s="429"/>
      <c r="AB56" s="432">
        <f t="shared" si="71"/>
        <v>9</v>
      </c>
    </row>
    <row r="57" spans="18:261" x14ac:dyDescent="0.25">
      <c r="R57" s="1031"/>
      <c r="S57" s="1031"/>
      <c r="T57" s="1031"/>
      <c r="Z57" s="431">
        <f t="shared" si="70"/>
        <v>2</v>
      </c>
      <c r="AA57" s="429"/>
      <c r="AB57" s="432">
        <f t="shared" si="71"/>
        <v>9</v>
      </c>
    </row>
    <row r="58" spans="18:261" x14ac:dyDescent="0.25">
      <c r="R58" s="1031"/>
      <c r="S58" s="1031"/>
      <c r="T58" s="1031"/>
      <c r="Z58" s="431">
        <f t="shared" si="70"/>
        <v>2</v>
      </c>
      <c r="AA58" s="429"/>
      <c r="AB58" s="432">
        <f t="shared" si="71"/>
        <v>9</v>
      </c>
    </row>
    <row r="59" spans="18:261" x14ac:dyDescent="0.25">
      <c r="R59" s="1031"/>
      <c r="S59" s="1031"/>
      <c r="T59" s="1031"/>
      <c r="Z59" s="431">
        <f t="shared" si="70"/>
        <v>2</v>
      </c>
      <c r="AA59" s="429"/>
      <c r="AB59" s="432">
        <f t="shared" si="71"/>
        <v>9</v>
      </c>
    </row>
    <row r="60" spans="18:261" x14ac:dyDescent="0.25">
      <c r="R60" s="1031"/>
      <c r="S60" s="1031"/>
      <c r="T60" s="1031"/>
      <c r="Z60" s="431">
        <f t="shared" si="70"/>
        <v>2</v>
      </c>
      <c r="AA60" s="429"/>
      <c r="AB60" s="432">
        <f t="shared" si="71"/>
        <v>9</v>
      </c>
    </row>
    <row r="61" spans="18:261" x14ac:dyDescent="0.25">
      <c r="R61" s="1031"/>
      <c r="S61" s="1031"/>
      <c r="T61" s="1031"/>
      <c r="Z61" s="431">
        <f t="shared" si="70"/>
        <v>2</v>
      </c>
      <c r="AA61" s="429"/>
      <c r="AB61" s="432">
        <f t="shared" si="71"/>
        <v>9</v>
      </c>
    </row>
    <row r="62" spans="18:261" x14ac:dyDescent="0.25">
      <c r="R62" s="1031"/>
      <c r="S62" s="1031"/>
      <c r="T62" s="1031"/>
      <c r="Z62" s="431">
        <f t="shared" si="70"/>
        <v>2</v>
      </c>
      <c r="AA62" s="429"/>
      <c r="AB62" s="432">
        <f t="shared" si="71"/>
        <v>9</v>
      </c>
    </row>
    <row r="63" spans="18:261" x14ac:dyDescent="0.25">
      <c r="R63" s="1031"/>
      <c r="S63" s="1031"/>
      <c r="T63" s="1031"/>
      <c r="Z63" s="431">
        <f t="shared" si="70"/>
        <v>2</v>
      </c>
      <c r="AA63" s="429"/>
      <c r="AB63" s="432">
        <f t="shared" si="71"/>
        <v>9</v>
      </c>
    </row>
    <row r="64" spans="18:261" x14ac:dyDescent="0.25">
      <c r="R64" s="1031"/>
      <c r="S64" s="1031"/>
      <c r="T64" s="1031"/>
      <c r="Z64" s="431">
        <f t="shared" si="70"/>
        <v>2</v>
      </c>
      <c r="AA64" s="429"/>
      <c r="AB64" s="432">
        <f t="shared" si="71"/>
        <v>9</v>
      </c>
    </row>
    <row r="65" spans="18:28" x14ac:dyDescent="0.25">
      <c r="R65" s="1031"/>
      <c r="S65" s="1031"/>
      <c r="T65" s="1031"/>
      <c r="Z65" s="431">
        <f t="shared" si="70"/>
        <v>2</v>
      </c>
      <c r="AA65" s="429"/>
      <c r="AB65" s="432">
        <f t="shared" si="71"/>
        <v>9</v>
      </c>
    </row>
    <row r="66" spans="18:28" x14ac:dyDescent="0.25">
      <c r="R66" s="1031"/>
      <c r="S66" s="1031"/>
      <c r="T66" s="1031"/>
      <c r="Z66" s="431"/>
      <c r="AA66" s="429"/>
      <c r="AB66" s="432"/>
    </row>
    <row r="67" spans="18:28" x14ac:dyDescent="0.25">
      <c r="R67" s="1031"/>
      <c r="S67" s="1031"/>
      <c r="T67" s="1031"/>
      <c r="Z67" s="1032"/>
      <c r="AA67" s="1033"/>
      <c r="AB67" s="1034"/>
    </row>
    <row r="68" spans="18:28" x14ac:dyDescent="0.25">
      <c r="R68" s="1031"/>
      <c r="S68" s="1031"/>
      <c r="T68" s="1031"/>
      <c r="Z68" s="1032"/>
      <c r="AA68" s="1033"/>
      <c r="AB68" s="1034"/>
    </row>
    <row r="69" spans="18:28" x14ac:dyDescent="0.25">
      <c r="R69" s="1031"/>
      <c r="S69" s="1031"/>
      <c r="T69" s="1031"/>
      <c r="Z69" s="1032"/>
      <c r="AA69" s="1033"/>
      <c r="AB69" s="1034"/>
    </row>
    <row r="70" spans="18:28" x14ac:dyDescent="0.25">
      <c r="R70" s="1031"/>
      <c r="S70" s="1031"/>
      <c r="T70" s="1031"/>
      <c r="Z70" s="1032"/>
      <c r="AA70" s="1033"/>
      <c r="AB70" s="1034"/>
    </row>
    <row r="71" spans="18:28" x14ac:dyDescent="0.25">
      <c r="R71" s="1031"/>
      <c r="S71" s="1031"/>
      <c r="T71" s="1031"/>
      <c r="Z71" s="1032"/>
      <c r="AA71" s="1033"/>
      <c r="AB71" s="1034"/>
    </row>
    <row r="72" spans="18:28" x14ac:dyDescent="0.25">
      <c r="R72" s="1031"/>
      <c r="S72" s="1031"/>
      <c r="T72" s="1031"/>
      <c r="Z72" s="1032"/>
      <c r="AA72" s="1033"/>
      <c r="AB72" s="1034"/>
    </row>
    <row r="73" spans="18:28" x14ac:dyDescent="0.25">
      <c r="R73" s="1031"/>
      <c r="S73" s="1031"/>
      <c r="T73" s="1031"/>
      <c r="Z73" s="1032"/>
      <c r="AA73" s="1033"/>
      <c r="AB73" s="1034"/>
    </row>
    <row r="74" spans="18:28" x14ac:dyDescent="0.25">
      <c r="R74" s="1031"/>
      <c r="S74" s="1031"/>
      <c r="T74" s="1031"/>
      <c r="Z74" s="1032"/>
      <c r="AA74" s="1033"/>
      <c r="AB74" s="1034"/>
    </row>
    <row r="75" spans="18:28" x14ac:dyDescent="0.25">
      <c r="R75" s="1031"/>
      <c r="S75" s="1031"/>
      <c r="T75" s="1031"/>
      <c r="Z75" s="1032"/>
      <c r="AA75" s="1033"/>
      <c r="AB75" s="1034"/>
    </row>
    <row r="76" spans="18:28" ht="15.75" thickBot="1" x14ac:dyDescent="0.3">
      <c r="R76" s="1031"/>
      <c r="S76" s="1031"/>
      <c r="T76" s="1031"/>
      <c r="Z76" s="32"/>
      <c r="AA76" s="1035"/>
      <c r="AB76" s="1037"/>
    </row>
    <row r="77" spans="18:28" x14ac:dyDescent="0.25">
      <c r="R77" s="1031"/>
      <c r="S77" s="1031"/>
      <c r="T77" s="1031"/>
    </row>
    <row r="78" spans="18:28" x14ac:dyDescent="0.25">
      <c r="R78" s="1031"/>
      <c r="S78" s="1031"/>
      <c r="T78" s="1031"/>
    </row>
    <row r="79" spans="18:28" x14ac:dyDescent="0.25">
      <c r="R79" s="1031"/>
      <c r="S79" s="1031"/>
      <c r="T79" s="1031"/>
    </row>
    <row r="80" spans="18:28" x14ac:dyDescent="0.25">
      <c r="R80" s="1031"/>
      <c r="S80" s="1031"/>
      <c r="T80" s="1031"/>
    </row>
    <row r="81" spans="18:20" x14ac:dyDescent="0.25">
      <c r="R81" s="1031"/>
      <c r="S81" s="1031"/>
      <c r="T81" s="1031"/>
    </row>
    <row r="82" spans="18:20" x14ac:dyDescent="0.25">
      <c r="R82" s="1031"/>
      <c r="S82" s="1031"/>
      <c r="T82" s="1031"/>
    </row>
    <row r="83" spans="18:20" x14ac:dyDescent="0.25">
      <c r="R83" s="1031"/>
      <c r="S83" s="1031"/>
      <c r="T83" s="1031"/>
    </row>
    <row r="84" spans="18:20" x14ac:dyDescent="0.25">
      <c r="R84" s="1031"/>
      <c r="S84" s="1031"/>
      <c r="T84" s="1031"/>
    </row>
    <row r="85" spans="18:20" x14ac:dyDescent="0.25">
      <c r="R85" s="1031"/>
      <c r="S85" s="1031"/>
      <c r="T85" s="1031"/>
    </row>
    <row r="87" spans="18:20" x14ac:dyDescent="0.25">
      <c r="S87" s="102"/>
    </row>
  </sheetData>
  <mergeCells count="4">
    <mergeCell ref="T1:U1"/>
    <mergeCell ref="T5:U5"/>
    <mergeCell ref="T6:U6"/>
    <mergeCell ref="AU11:AU13"/>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8">
    <tabColor rgb="FF00B0F0"/>
  </sheetPr>
  <dimension ref="A1:BR67"/>
  <sheetViews>
    <sheetView topLeftCell="A7" workbookViewId="0">
      <selection activeCell="A12" sqref="A12"/>
    </sheetView>
  </sheetViews>
  <sheetFormatPr defaultRowHeight="15" x14ac:dyDescent="0.25"/>
  <cols>
    <col min="1" max="1" width="17.42578125" bestFit="1" customWidth="1"/>
    <col min="3" max="3" width="39.7109375" bestFit="1" customWidth="1"/>
    <col min="4" max="4" width="12.140625" bestFit="1" customWidth="1"/>
    <col min="7" max="7" width="12" bestFit="1" customWidth="1"/>
    <col min="12" max="12" width="17.42578125" bestFit="1" customWidth="1"/>
    <col min="14" max="14" width="40.7109375" bestFit="1" customWidth="1"/>
    <col min="15" max="15" width="12.140625" bestFit="1" customWidth="1"/>
    <col min="16" max="16" width="11" bestFit="1" customWidth="1"/>
    <col min="17" max="18" width="12" bestFit="1" customWidth="1"/>
    <col min="23" max="23" width="26.7109375" bestFit="1" customWidth="1"/>
    <col min="24" max="24" width="10.140625" bestFit="1" customWidth="1"/>
    <col min="25" max="26" width="11.140625" bestFit="1" customWidth="1"/>
    <col min="27" max="27" width="11.7109375" bestFit="1" customWidth="1"/>
    <col min="28" max="28" width="14.5703125" bestFit="1" customWidth="1"/>
    <col min="29" max="29" width="15.42578125" bestFit="1" customWidth="1"/>
    <col min="30" max="30" width="12.28515625" bestFit="1" customWidth="1"/>
    <col min="31" max="31" width="10.140625" customWidth="1"/>
    <col min="32" max="32" width="12.5703125" bestFit="1" customWidth="1"/>
    <col min="34" max="34" width="10.7109375" bestFit="1" customWidth="1"/>
    <col min="35" max="35" width="9.7109375" bestFit="1" customWidth="1"/>
    <col min="37" max="37" width="40.7109375" bestFit="1" customWidth="1"/>
    <col min="38" max="38" width="12.5703125" bestFit="1" customWidth="1"/>
    <col min="39" max="39" width="11.140625" bestFit="1" customWidth="1"/>
    <col min="40" max="40" width="12.5703125" bestFit="1" customWidth="1"/>
    <col min="45" max="45" width="4.28515625" customWidth="1"/>
    <col min="46" max="46" width="9.140625" bestFit="1" customWidth="1"/>
    <col min="47" max="48" width="11" bestFit="1" customWidth="1"/>
    <col min="49" max="49" width="8.85546875" bestFit="1" customWidth="1"/>
    <col min="50" max="50" width="11.140625" bestFit="1" customWidth="1"/>
    <col min="51" max="51" width="13.7109375" bestFit="1" customWidth="1"/>
    <col min="52" max="53" width="12.140625" bestFit="1" customWidth="1"/>
    <col min="54" max="54" width="8.28515625" bestFit="1" customWidth="1"/>
    <col min="55" max="55" width="8.85546875" bestFit="1" customWidth="1"/>
    <col min="56" max="56" width="10.28515625" customWidth="1"/>
    <col min="57" max="58" width="11.140625" bestFit="1" customWidth="1"/>
    <col min="59" max="60" width="12.140625" bestFit="1" customWidth="1"/>
    <col min="61" max="61" width="8.85546875" bestFit="1" customWidth="1"/>
    <col min="62" max="62" width="6" bestFit="1" customWidth="1"/>
    <col min="63" max="63" width="11.85546875" bestFit="1" customWidth="1"/>
    <col min="64" max="65" width="3.28515625" bestFit="1" customWidth="1"/>
    <col min="66" max="70" width="8.85546875" customWidth="1"/>
  </cols>
  <sheetData>
    <row r="1" spans="1:70" ht="15.75" thickBot="1" x14ac:dyDescent="0.3"/>
    <row r="2" spans="1:70" ht="15.75" thickBot="1" x14ac:dyDescent="0.3">
      <c r="AT2" s="83" t="s">
        <v>927</v>
      </c>
      <c r="AU2" s="38" t="e">
        <f>$AL$33</f>
        <v>#DIV/0!</v>
      </c>
      <c r="AY2" s="494" t="s">
        <v>962</v>
      </c>
      <c r="AZ2" s="266"/>
      <c r="BA2" s="266"/>
      <c r="BB2" s="266"/>
      <c r="BC2" s="266"/>
      <c r="BD2" s="266"/>
      <c r="BE2" s="266"/>
      <c r="BF2" s="266"/>
      <c r="BK2" s="494" t="s">
        <v>962</v>
      </c>
    </row>
    <row r="3" spans="1:70" x14ac:dyDescent="0.25">
      <c r="AT3" s="83" t="s">
        <v>464</v>
      </c>
      <c r="AU3" s="24">
        <f>'Customer Inputs'!$AB$16</f>
        <v>0</v>
      </c>
      <c r="AY3" s="496">
        <v>334319</v>
      </c>
      <c r="AZ3" s="495" t="s">
        <v>212</v>
      </c>
      <c r="BA3" s="51" t="s">
        <v>212</v>
      </c>
      <c r="BB3" s="488">
        <v>0.04</v>
      </c>
      <c r="BC3" s="488">
        <v>0.08</v>
      </c>
      <c r="BD3" s="488">
        <v>9.2999999999999999E-2</v>
      </c>
      <c r="BE3" s="488">
        <v>0.11</v>
      </c>
      <c r="BF3" s="489">
        <v>0.153</v>
      </c>
      <c r="BK3" s="496">
        <v>301441</v>
      </c>
      <c r="BL3" s="495" t="s">
        <v>212</v>
      </c>
      <c r="BM3" s="51" t="s">
        <v>212</v>
      </c>
      <c r="BN3" s="488">
        <v>4.5999999999999999E-2</v>
      </c>
      <c r="BO3" s="488">
        <v>8.8999999999999996E-2</v>
      </c>
      <c r="BP3" s="488">
        <v>0.107</v>
      </c>
      <c r="BQ3" s="488">
        <v>0.127</v>
      </c>
      <c r="BR3" s="488">
        <v>0.17100000000000001</v>
      </c>
    </row>
    <row r="4" spans="1:70" ht="15.75" thickBot="1" x14ac:dyDescent="0.3">
      <c r="AY4" s="497">
        <v>723899</v>
      </c>
      <c r="AZ4" s="291" t="s">
        <v>213</v>
      </c>
      <c r="BA4" s="1" t="s">
        <v>213</v>
      </c>
      <c r="BB4" s="490">
        <v>4.2000000000000003E-2</v>
      </c>
      <c r="BC4" s="490">
        <v>7.4999999999999997E-2</v>
      </c>
      <c r="BD4" s="490">
        <v>8.6999999999999994E-2</v>
      </c>
      <c r="BE4" s="490">
        <v>0.1</v>
      </c>
      <c r="BF4" s="491">
        <v>0.13600000000000001</v>
      </c>
      <c r="BK4" s="497">
        <v>684993</v>
      </c>
      <c r="BL4" s="291" t="s">
        <v>213</v>
      </c>
      <c r="BM4" s="1" t="s">
        <v>213</v>
      </c>
      <c r="BN4" s="490">
        <v>4.8000000000000001E-2</v>
      </c>
      <c r="BO4" s="490">
        <v>8.3000000000000004E-2</v>
      </c>
      <c r="BP4" s="490">
        <v>0.1</v>
      </c>
      <c r="BQ4" s="490">
        <v>0.115</v>
      </c>
      <c r="BR4" s="490">
        <v>0.152</v>
      </c>
    </row>
    <row r="5" spans="1:70" ht="15.75" thickBot="1" x14ac:dyDescent="0.3">
      <c r="AW5" s="1450" t="s">
        <v>960</v>
      </c>
      <c r="AX5" s="1451"/>
      <c r="AY5" s="497">
        <v>1757315</v>
      </c>
      <c r="AZ5" s="291" t="s">
        <v>214</v>
      </c>
      <c r="BA5" s="1" t="s">
        <v>214</v>
      </c>
      <c r="BB5" s="490">
        <v>3.2000000000000001E-2</v>
      </c>
      <c r="BC5" s="490">
        <v>6.9000000000000006E-2</v>
      </c>
      <c r="BD5" s="490">
        <v>8.2000000000000003E-2</v>
      </c>
      <c r="BE5" s="490">
        <v>9.6000000000000002E-2</v>
      </c>
      <c r="BF5" s="491">
        <v>0.13300000000000001</v>
      </c>
      <c r="BI5" s="1450" t="s">
        <v>961</v>
      </c>
      <c r="BJ5" s="1451"/>
      <c r="BK5" s="497">
        <v>1554219</v>
      </c>
      <c r="BL5" s="291" t="s">
        <v>214</v>
      </c>
      <c r="BM5" s="1" t="s">
        <v>214</v>
      </c>
      <c r="BN5" s="490">
        <v>3.6999999999999998E-2</v>
      </c>
      <c r="BO5" s="490">
        <v>7.8E-2</v>
      </c>
      <c r="BP5" s="490">
        <v>9.4E-2</v>
      </c>
      <c r="BQ5" s="490">
        <v>0.11</v>
      </c>
      <c r="BR5" s="490">
        <v>0.151</v>
      </c>
    </row>
    <row r="6" spans="1:70" ht="15.75" thickBot="1" x14ac:dyDescent="0.3">
      <c r="AW6" s="47" t="s">
        <v>494</v>
      </c>
      <c r="AX6" s="48" t="e">
        <f>IF($AU$2&lt;$AY$3,$AZ$3,IF($AU$2&lt;$AY$4,$AZ$4,IF($AU$2&lt;$AY$5,$AZ$5,IF($AU$2&lt;$AY$6,$AZ$6,$AZ$7))))</f>
        <v>#DIV/0!</v>
      </c>
      <c r="AY6" s="497">
        <v>3873056</v>
      </c>
      <c r="AZ6" s="291" t="s">
        <v>267</v>
      </c>
      <c r="BA6" s="1" t="s">
        <v>267</v>
      </c>
      <c r="BB6" s="490">
        <v>2.5000000000000001E-2</v>
      </c>
      <c r="BC6" s="490">
        <v>6.3E-2</v>
      </c>
      <c r="BD6" s="490">
        <v>7.5999999999999998E-2</v>
      </c>
      <c r="BE6" s="490">
        <v>0.09</v>
      </c>
      <c r="BF6" s="491">
        <v>0.13</v>
      </c>
      <c r="BI6" s="47" t="s">
        <v>494</v>
      </c>
      <c r="BJ6" s="48" t="e">
        <f>IF($AU$2&lt;$AY$3,$AZ$3,IF($AU$2&lt;$AY$4,$AZ$4,IF($AU$2&lt;$AY$5,$AZ$5,IF($AU$2&lt;$AY$6,$AZ$6,$AZ$7))))</f>
        <v>#DIV/0!</v>
      </c>
      <c r="BK6" s="497">
        <v>3316405</v>
      </c>
      <c r="BL6" s="291" t="s">
        <v>267</v>
      </c>
      <c r="BM6" s="1" t="s">
        <v>267</v>
      </c>
      <c r="BN6" s="490">
        <v>3.1E-2</v>
      </c>
      <c r="BO6" s="490">
        <v>7.0000000000000007E-2</v>
      </c>
      <c r="BP6" s="490">
        <v>8.6999999999999994E-2</v>
      </c>
      <c r="BQ6" s="490">
        <v>0.104</v>
      </c>
      <c r="BR6" s="490">
        <v>0.14899999999999999</v>
      </c>
    </row>
    <row r="7" spans="1:70" ht="15.75" thickBot="1" x14ac:dyDescent="0.3">
      <c r="AW7" s="47" t="s">
        <v>495</v>
      </c>
      <c r="AX7" s="49" t="e">
        <f>VLOOKUP($AX$6,$BA$3:$BF$7,3,FALSE)</f>
        <v>#DIV/0!</v>
      </c>
      <c r="AY7" s="498"/>
      <c r="AZ7" s="420" t="s">
        <v>268</v>
      </c>
      <c r="BA7" s="33" t="s">
        <v>268</v>
      </c>
      <c r="BB7" s="492">
        <v>2.5999999999999999E-2</v>
      </c>
      <c r="BC7" s="492">
        <v>5.6000000000000001E-2</v>
      </c>
      <c r="BD7" s="492">
        <v>6.8000000000000005E-2</v>
      </c>
      <c r="BE7" s="492">
        <v>8.3000000000000004E-2</v>
      </c>
      <c r="BF7" s="493">
        <v>0.114</v>
      </c>
      <c r="BI7" s="47" t="s">
        <v>495</v>
      </c>
      <c r="BJ7" s="49" t="e">
        <f>VLOOKUP($BJ$6,$BM$3:$BO$7,3,FALSE)</f>
        <v>#DIV/0!</v>
      </c>
      <c r="BK7" s="499"/>
      <c r="BL7" s="420" t="s">
        <v>268</v>
      </c>
      <c r="BM7" s="33" t="s">
        <v>268</v>
      </c>
      <c r="BN7" s="492">
        <v>0.03</v>
      </c>
      <c r="BO7" s="492">
        <v>6.4000000000000001E-2</v>
      </c>
      <c r="BP7" s="492">
        <v>7.8E-2</v>
      </c>
      <c r="BQ7" s="492">
        <v>9.5000000000000001E-2</v>
      </c>
      <c r="BR7" s="492">
        <v>0.13100000000000001</v>
      </c>
    </row>
    <row r="8" spans="1:70" x14ac:dyDescent="0.25">
      <c r="AU8" s="39"/>
    </row>
    <row r="10" spans="1:70" ht="15.75" x14ac:dyDescent="0.25">
      <c r="C10" s="467" t="s">
        <v>952</v>
      </c>
      <c r="D10" s="2" t="s">
        <v>463</v>
      </c>
      <c r="E10" s="2" t="s">
        <v>463</v>
      </c>
      <c r="F10" s="2" t="s">
        <v>463</v>
      </c>
      <c r="G10" s="2" t="s">
        <v>463</v>
      </c>
      <c r="H10" s="2" t="s">
        <v>463</v>
      </c>
      <c r="I10" s="2" t="s">
        <v>463</v>
      </c>
      <c r="J10" s="2"/>
      <c r="K10" s="2"/>
      <c r="L10" s="2"/>
      <c r="N10" s="467" t="s">
        <v>953</v>
      </c>
      <c r="O10" s="2" t="s">
        <v>463</v>
      </c>
      <c r="P10" s="2" t="s">
        <v>463</v>
      </c>
      <c r="Q10" s="2" t="s">
        <v>463</v>
      </c>
      <c r="R10" s="2" t="s">
        <v>463</v>
      </c>
      <c r="S10" s="2" t="s">
        <v>463</v>
      </c>
      <c r="T10" s="2" t="s">
        <v>463</v>
      </c>
      <c r="U10" s="2"/>
      <c r="V10" s="2"/>
      <c r="W10" s="378" t="str">
        <f>IF('Multi-Customer'!$AH$37="MULTIPLE MENU TYPES","INDEPENDENT RESTAURATEURS (PYR)",'Multi-Customer'!$AH$37)</f>
        <v>MULTIPLE TYPES</v>
      </c>
      <c r="X10" s="2"/>
      <c r="Y10" s="2"/>
      <c r="Z10" s="2"/>
      <c r="AA10" s="2"/>
      <c r="AB10" s="2"/>
      <c r="AC10" s="2"/>
      <c r="AD10" s="2" t="s">
        <v>998</v>
      </c>
      <c r="AE10" s="2"/>
      <c r="AF10" s="2"/>
      <c r="AG10" s="2"/>
      <c r="AH10" s="2"/>
      <c r="AI10" s="2"/>
      <c r="AJ10" s="2"/>
      <c r="AK10" s="467" t="s">
        <v>955</v>
      </c>
      <c r="AL10" s="40" t="s">
        <v>463</v>
      </c>
      <c r="AM10" s="40" t="s">
        <v>463</v>
      </c>
      <c r="AN10" s="40" t="s">
        <v>463</v>
      </c>
      <c r="AO10" s="40" t="s">
        <v>463</v>
      </c>
      <c r="AP10" s="40" t="s">
        <v>463</v>
      </c>
      <c r="AQ10" s="1453" t="s">
        <v>959</v>
      </c>
      <c r="AR10" s="1453"/>
      <c r="AW10" s="1452" t="s">
        <v>957</v>
      </c>
      <c r="AX10" s="1452"/>
      <c r="AY10" s="1452"/>
      <c r="AZ10" s="1452"/>
      <c r="BA10" s="1452"/>
      <c r="BD10" s="1452" t="s">
        <v>958</v>
      </c>
      <c r="BE10" s="1452"/>
      <c r="BF10" s="1452"/>
      <c r="BG10" s="1452"/>
      <c r="BH10" s="1452"/>
    </row>
    <row r="11" spans="1:70" x14ac:dyDescent="0.25">
      <c r="A11" s="2" t="s">
        <v>905</v>
      </c>
      <c r="C11" t="s">
        <v>254</v>
      </c>
      <c r="D11" s="2" t="s">
        <v>397</v>
      </c>
      <c r="E11" s="2" t="s">
        <v>83</v>
      </c>
      <c r="F11" s="2" t="s">
        <v>398</v>
      </c>
      <c r="G11" s="2" t="s">
        <v>501</v>
      </c>
      <c r="H11" s="2" t="s">
        <v>504</v>
      </c>
      <c r="I11" s="2" t="s">
        <v>502</v>
      </c>
      <c r="J11" s="2"/>
      <c r="K11" s="2"/>
      <c r="L11" s="2" t="s">
        <v>905</v>
      </c>
      <c r="N11" s="2" t="s">
        <v>254</v>
      </c>
      <c r="O11" s="2" t="s">
        <v>397</v>
      </c>
      <c r="P11" s="2" t="s">
        <v>83</v>
      </c>
      <c r="Q11" s="2" t="s">
        <v>398</v>
      </c>
      <c r="R11" s="2" t="s">
        <v>501</v>
      </c>
      <c r="S11" s="2" t="s">
        <v>504</v>
      </c>
      <c r="T11" s="2" t="s">
        <v>502</v>
      </c>
      <c r="U11" s="2"/>
      <c r="V11" s="2" t="s">
        <v>992</v>
      </c>
      <c r="W11" s="2" t="s">
        <v>993</v>
      </c>
      <c r="X11" s="2" t="s">
        <v>994</v>
      </c>
      <c r="Y11" s="2"/>
      <c r="Z11" s="2"/>
      <c r="AA11" s="2" t="s">
        <v>954</v>
      </c>
      <c r="AB11" s="2" t="s">
        <v>997</v>
      </c>
      <c r="AC11" s="2" t="s">
        <v>995</v>
      </c>
      <c r="AD11" s="2" t="s">
        <v>996</v>
      </c>
      <c r="AE11" s="2"/>
      <c r="AF11" s="2" t="s">
        <v>954</v>
      </c>
      <c r="AG11" s="2"/>
      <c r="AH11" s="2"/>
      <c r="AI11" s="2"/>
      <c r="AJ11" s="2"/>
      <c r="AK11" s="40" t="s">
        <v>254</v>
      </c>
      <c r="AL11" s="40" t="s">
        <v>397</v>
      </c>
      <c r="AM11" s="40" t="s">
        <v>83</v>
      </c>
      <c r="AN11" s="40" t="s">
        <v>501</v>
      </c>
      <c r="AO11" s="40" t="s">
        <v>504</v>
      </c>
      <c r="AP11" s="40" t="s">
        <v>502</v>
      </c>
      <c r="AQ11" s="480" t="s">
        <v>374</v>
      </c>
      <c r="AR11" s="480" t="s">
        <v>991</v>
      </c>
      <c r="AV11" s="2"/>
      <c r="AW11" s="52" t="s">
        <v>254</v>
      </c>
      <c r="AX11" s="15" t="s">
        <v>212</v>
      </c>
      <c r="AY11" s="15" t="s">
        <v>213</v>
      </c>
      <c r="AZ11" s="15" t="s">
        <v>214</v>
      </c>
      <c r="BA11" s="15" t="s">
        <v>267</v>
      </c>
      <c r="BC11" s="2"/>
      <c r="BD11" s="52" t="s">
        <v>254</v>
      </c>
      <c r="BE11" s="15" t="s">
        <v>212</v>
      </c>
      <c r="BF11" s="15" t="s">
        <v>213</v>
      </c>
      <c r="BG11" s="15" t="s">
        <v>214</v>
      </c>
      <c r="BH11" s="15" t="s">
        <v>267</v>
      </c>
      <c r="BO11" s="54"/>
    </row>
    <row r="12" spans="1:70" x14ac:dyDescent="0.25">
      <c r="A12" t="e">
        <f>D12/$D$33</f>
        <v>#DIV/0!</v>
      </c>
      <c r="B12">
        <v>3</v>
      </c>
      <c r="C12" t="s">
        <v>99</v>
      </c>
      <c r="D12" s="25">
        <f>'Multi-Customer'!C14</f>
        <v>0</v>
      </c>
      <c r="E12">
        <f>'Multi-Customer'!D14</f>
        <v>0</v>
      </c>
      <c r="F12">
        <f>'Multi-Customer'!E14</f>
        <v>0</v>
      </c>
      <c r="G12" s="328">
        <f>'Multi-Customer'!F14</f>
        <v>0</v>
      </c>
      <c r="H12" s="19">
        <f>IFERROR(D12/E12,0)</f>
        <v>0</v>
      </c>
      <c r="I12" s="19">
        <f>IFERROR(D12/G12,0)</f>
        <v>0</v>
      </c>
      <c r="J12" s="328"/>
      <c r="K12" s="328" t="str">
        <f>'PIM Model'!E10</f>
        <v>INCLUDE</v>
      </c>
      <c r="L12" s="328" t="e">
        <f t="shared" ref="L12:L32" si="0">IF($K12="Exclude",0,$A12)</f>
        <v>#DIV/0!</v>
      </c>
      <c r="M12">
        <v>3</v>
      </c>
      <c r="N12" s="328" t="s">
        <v>99</v>
      </c>
      <c r="O12" s="328" t="e">
        <f t="shared" ref="O12:O32" si="1">IF($K12="Exclude",0,D12/$L$33)</f>
        <v>#DIV/0!</v>
      </c>
      <c r="P12" s="328" t="e">
        <f t="shared" ref="P12:P32" si="2">IF($K12="Exclude",0,E12/$L$33)</f>
        <v>#DIV/0!</v>
      </c>
      <c r="Q12" s="328" t="e">
        <f t="shared" ref="Q12:Q32" si="3">IF($K12="Exclude",0,F12/$L$33)</f>
        <v>#DIV/0!</v>
      </c>
      <c r="R12" s="328" t="e">
        <f t="shared" ref="R12:R32" si="4">IF($K12="Exclude",0,G12/$L$33)</f>
        <v>#DIV/0!</v>
      </c>
      <c r="S12" s="328">
        <f>IFERROR(O12/P12,0)</f>
        <v>0</v>
      </c>
      <c r="T12" s="19">
        <f>IFERROR(O12/R12,0)</f>
        <v>0</v>
      </c>
      <c r="U12" s="19"/>
      <c r="V12" s="2">
        <f>'PIM Model'!$C$10</f>
        <v>0</v>
      </c>
      <c r="W12" s="611" t="e">
        <f>'Multi-Customer'!M14</f>
        <v>#DIV/0!</v>
      </c>
      <c r="X12" s="19" t="e">
        <f>$W12*$Z$33</f>
        <v>#DIV/0!</v>
      </c>
      <c r="Y12" s="328" t="e">
        <f>IF(V12="AVG",X12,O12)</f>
        <v>#DIV/0!</v>
      </c>
      <c r="Z12" s="328" t="e">
        <f>IF($V12="AVG",0,$Y12)</f>
        <v>#DIV/0!</v>
      </c>
      <c r="AA12" s="328" t="e">
        <f>IF($V12="AVG",IF($O12=0,$X12,$X12-$O12),Y12)</f>
        <v>#DIV/0!</v>
      </c>
      <c r="AB12" s="612" t="e">
        <f>$X12/$X$33</f>
        <v>#DIV/0!</v>
      </c>
      <c r="AC12" s="612" t="e">
        <f>IF($AA12=0,AB12,0)</f>
        <v>#DIV/0!</v>
      </c>
      <c r="AD12" s="328" t="e">
        <f t="shared" ref="AD12:AD32" si="5">IF($AA12=0,$O12-($AA$33*($AC12/$AC$33)),$Y12)</f>
        <v>#DIV/0!</v>
      </c>
      <c r="AE12" s="328"/>
      <c r="AF12" s="328" t="e">
        <f>AD12*(1+$AG12)-AD12</f>
        <v>#DIV/0!</v>
      </c>
      <c r="AG12" s="39">
        <f>'PIM Model'!B10</f>
        <v>0</v>
      </c>
      <c r="AH12" s="468" t="e">
        <f t="shared" ref="AH12:AH32" si="6">L12*(1+AG12)</f>
        <v>#DIV/0!</v>
      </c>
      <c r="AI12" s="468" t="e">
        <f>IF(AF12=0,AH12,0)</f>
        <v>#DIV/0!</v>
      </c>
      <c r="AJ12">
        <v>3</v>
      </c>
      <c r="AK12" s="469" t="s">
        <v>99</v>
      </c>
      <c r="AL12" s="469" t="e">
        <f t="shared" ref="AL12:AL32" si="7">IF($AG12=0,$AD12-($AF$33*($AI12/$AI$33)),$AD12+$AF12)</f>
        <v>#DIV/0!</v>
      </c>
      <c r="AM12" s="469">
        <f t="shared" ref="AM12:AM32" si="8">IFERROR($AL12/AO12,0)</f>
        <v>0</v>
      </c>
      <c r="AN12" s="469">
        <f t="shared" ref="AN12:AN32" si="9">IFERROR($AL12/AP12,0)</f>
        <v>0</v>
      </c>
      <c r="AO12" s="470">
        <f t="shared" ref="AO12:AO32" si="10">S12</f>
        <v>0</v>
      </c>
      <c r="AP12" s="470">
        <f t="shared" ref="AP12:AP32" si="11">T12</f>
        <v>0</v>
      </c>
      <c r="AQ12" s="1" t="e">
        <f t="shared" ref="AQ12:AQ31" si="12">IF($AK12=$BD$12,IF($AL12&lt;$BE$12,"Q1",IF($AL12&lt;$BF$12,"Q2",IF($AL12&lt;$BG$12,"Q3",IF($AL12&lt;$BH$12,"Q4","Q5")))),IF($AK12=$BD$13,IF($AL12&lt;$BE$13,"Q1",IF($AL12&lt;$BF$13,"Q2",IF($AL12&lt;$BG$13,"Q3",IF($AL12&lt;$BH$13,"Q4","Q5")))),IF($AK12=$BD$14,IF($AL12&lt;$BE$14,"Q1",IF($AL12&lt;$BF$14,"Q2",IF($AL12&lt;$BG$14,"Q3",IF($AL12&lt;$BH$14,"Q4","Q5")))),IF($AK12=$BD$15,IF($AL12&lt;$BE$15,"Q1",IF($AL12&lt;$BF$15,"Q2",IF($AL12&lt;$BG$15,"Q3",IF($AL12&lt;$BH$15,"Q4","Q5")))),IF($AK12=$BD$16,IF($AL12&lt;$BE$16,"Q1",IF($AL12&lt;$BF$16,"Q2",IF($AL12&lt;$BG$16,"Q3",IF($AL12&lt;$BH$16,"Q4","Q5")))),IF($AK12=$BD$17,IF($AL12&lt;$BE$17,"Q1",IF($AL12&lt;$BF$17,"Q2",IF($AL12&lt;$BG$17,"Q3",IF($AL12&lt;$BH$17,"Q4","Q5")))),IF($AK12=$BD$18,IF($AL12&lt;$BE$18,"Q1",IF($AL12&lt;$BF$18,"Q2",IF($AL12&lt;$BG$18,"Q3",IF($AL12&lt;$BH$18,"Q4","Q5")))),IF($AK12=$BD$19,IF($AL12&lt;$BE$19,"Q1",IF($AL12&lt;$BF$19,"Q2",IF($AL12&lt;$BG$19,"Q3",IF($AL12&lt;$BH$19,"Q4","Q5")))),IF($AK12=$BD$20,IF($AL12&lt;$BE$20,"Q1",IF($AL12&lt;$BF$20,"Q2",IF($AL12&lt;$BG$20,"Q3",IF($AL12&lt;$BH$20,"Q4","Q5")))),IF($AK12=$BD$21,IF($AL12&lt;$BE$21,"Q1",IF($AL12&lt;$BF$21,"Q2",IF($AL12&lt;$BG$21,"Q3",IF($AL12&lt;$BH$21,"Q4","Q5")))),IF($AK12=$BD$22,IF($AL12&lt;$BE$22,"Q1",IF($AL12&lt;$BF$22,"Q2",IF($AL12&lt;$BG$22,"Q3",IF($AL12&lt;$BH$22,"Q4","Q5")))),IF($AK12=$BD$23,IF($AL12&lt;$BE$23,"Q1",IF($AL12&lt;$BF$23,"Q2",IF($AL12&lt;$BG$23,"Q3",IF($AL12&lt;$BH$23,"Q4","Q5")))),IF($AK12=$BD$24,IF($AL12&lt;$BE$24,"Q1",IF($AL12&lt;$BF$24,"Q2",IF($AL12&lt;$BG$24,"Q3",IF($AL12&lt;$BH$24,"Q4","Q5")))),IF($AK12=$BD$25,IF($AL12&lt;$BE$25,"Q1",IF($AL12&lt;$BF$25,"Q2",IF($AL12&lt;$BG$25,"Q3",IF($AL12&lt;$BH$25,"Q4","Q5")))),IF($AK12=$BD$26,IF($AL12&lt;$BE$26,"Q1",IF($AL12&lt;$BF$26,"Q2",IF($AL12&lt;$BG$26,"Q3",IF($AL12&lt;$BH$26,"Q4","Q5")))),IF($AK12=$BD$27,IF($AL12&lt;$BE$27,"Q1",IF($AL12&lt;$BF$27,"Q2",IF($AL12&lt;$BG$27,"Q3",IF($AL12&lt;$BH$27,"Q4","Q5")))),IF($AK12=$BD$28,IF($AL12&lt;$BE$28,"Q1",IF($AL12&lt;$BF$28,"Q2",IF($AL12&lt;$BG$28,"Q3",IF($AL12&lt;$BH$28,"Q4","Q5")))),IF($AK12=$BD$29,IF($AL12&lt;$BE$29,"Q1",IF($AL12&lt;$BF$29,"Q2",IF($AL12&lt;$BG$29,"Q3",IF($AL12&lt;$BH$29,"Q4","Q5")))),IF($AK12=$BD$30,IF($AL12&lt;$BE$30,"Q1",IF($AL12&lt;$BF$30,"Q2",IF($AL12&lt;$BG$30,"Q3",IF($AL12&lt;$BH$30,"Q4","Q5")))),IF($AK12=$BD$31,IF($AL12&lt;$BE$31,"Q1",IF($AL12&lt;$BF$31,"Q2",IF($AL12&lt;$BG$31,"Q3",IF($AL12&lt;$BH$31,"Q4","Q5")))),IF($AK12=$BD$32,IF($AL12&lt;$BE$32,"Q1",IF($AL12&lt;$BF$32,"Q2",IF($AL12&lt;$BG$32,"Q3",IF($AL12&lt;$BH$32,"Q4","Q5")))),IF($AK12=$BD$33,IF($AL12&lt;$BE$33,"Q1",IF($AL12&lt;$BF$33,"Q2",IF($AL12&lt;$BG$33,"Q3",IF($AL12&lt;$BH$33,"Q4","Q5"))))))))))))))))))))))))))</f>
        <v>#DIV/0!</v>
      </c>
      <c r="AR12" s="1" t="e">
        <f>IF('PIM Ranges'!$AK12='PIM Ranges'!$AW$11,IF('PIM Ranges'!$AL12&lt;'PIM Ranges'!$AX$11,"Q1",IF('PIM Ranges'!$AL12&lt;'PIM Ranges'!$AY$11,"Q2",IF('PIM Ranges'!$AL12&lt;'PIM Ranges'!$AZ$11,"Q3",IF('PIM Ranges'!$AL12&lt;'PIM Ranges'!$BA$11,"Q4","Q5")))),IF('PIM Ranges'!$AK12='PIM Ranges'!$AW$12,IF('PIM Ranges'!$AL12&lt;'PIM Ranges'!$AX$12,"Q1",IF('PIM Ranges'!$AL12&lt;'PIM Ranges'!$AY$12,"Q2",IF('PIM Ranges'!$AL12&lt;'PIM Ranges'!$AZ$12,"Q3",IF('PIM Ranges'!$AL12&lt;'PIM Ranges'!$BA$12,"Q4","Q5")))),IF('PIM Ranges'!$AK12='PIM Ranges'!$AW$13,IF('PIM Ranges'!$AL12&lt;'PIM Ranges'!$AX$13,"Q1",IF('PIM Ranges'!$AL12&lt;'PIM Ranges'!$AY$13,"Q2",IF('PIM Ranges'!$AL12&lt;'PIM Ranges'!$AZ$13,"Q3",IF('PIM Ranges'!$AL12&lt;'PIM Ranges'!$BA$13,"Q4","Q5")))),IF('PIM Ranges'!$AK12='PIM Ranges'!$AW$14,IF('PIM Ranges'!$AL12&lt;'PIM Ranges'!$AX$14,"Q1",IF('PIM Ranges'!$AL12&lt;'PIM Ranges'!$AY$14,"Q2",IF('PIM Ranges'!$AL12&lt;'PIM Ranges'!$AZ$14,"Q3",IF('PIM Ranges'!$AL12&lt;'PIM Ranges'!$BA$14,"Q4","Q5")))),IF('PIM Ranges'!$AK12='PIM Ranges'!$AW$15,IF('PIM Ranges'!$AL12&lt;'PIM Ranges'!$AX$15,"Q1",IF('PIM Ranges'!$AL12&lt;'PIM Ranges'!$AY$15,"Q2",IF('PIM Ranges'!$AL12&lt;'PIM Ranges'!$AZ$15,"Q3",IF('PIM Ranges'!$AL12&lt;'PIM Ranges'!$BA$15,"Q4","Q5")))),IF('PIM Ranges'!$AK12='PIM Ranges'!$AW$16,IF('PIM Ranges'!$AL12&lt;'PIM Ranges'!$AX$16,"Q1",IF('PIM Ranges'!$AL12&lt;'PIM Ranges'!$AY$16,"Q2",IF('PIM Ranges'!$AL12&lt;'PIM Ranges'!$AZ$16,"Q3",IF('PIM Ranges'!$AL12&lt;'PIM Ranges'!$BA$16,"Q4","Q5")))),IF('PIM Ranges'!$AK12='PIM Ranges'!$AW$17,IF('PIM Ranges'!$AL12&lt;'PIM Ranges'!$AX$17,"Q1",IF('PIM Ranges'!$AL12&lt;'PIM Ranges'!$AY$17,"Q2",IF('PIM Ranges'!$AL12&lt;'PIM Ranges'!$AZ$17,"Q3",IF('PIM Ranges'!$AL12&lt;'PIM Ranges'!$BA$17,"Q4","Q5")))),IF('PIM Ranges'!$AK12='PIM Ranges'!$AW$18,IF('PIM Ranges'!$AL12&lt;'PIM Ranges'!$AX$18,"Q1",IF('PIM Ranges'!$AL12&lt;'PIM Ranges'!$AY$18,"Q2",IF('PIM Ranges'!$AL12&lt;'PIM Ranges'!$AZ$18,"Q3",IF('PIM Ranges'!$AL12&lt;'PIM Ranges'!$BA$18,"Q4","Q5")))),IF('PIM Ranges'!$AK12='PIM Ranges'!$AW$19,IF('PIM Ranges'!$AL12&lt;'PIM Ranges'!$AX$19,"Q1",IF('PIM Ranges'!$AL12&lt;'PIM Ranges'!$AY$19,"Q2",IF('PIM Ranges'!$AL12&lt;'PIM Ranges'!$AZ$19,"Q3",IF('PIM Ranges'!$AL12&lt;'PIM Ranges'!$BA$19,"Q4","Q5")))),IF('PIM Ranges'!$AK12='PIM Ranges'!$AW$20,IF('PIM Ranges'!$AL12&lt;'PIM Ranges'!$AX$20,"Q1",IF('PIM Ranges'!$AL12&lt;'PIM Ranges'!$AY$20,"Q2",IF('PIM Ranges'!$AL12&lt;'PIM Ranges'!$AZ$20,"Q3",IF('PIM Ranges'!$AL12&lt;'PIM Ranges'!$BA$20,"Q4","Q5")))),IF('PIM Ranges'!$AK12='PIM Ranges'!$AW$21,IF('PIM Ranges'!$AL12&lt;'PIM Ranges'!$AX$21,"Q1",IF('PIM Ranges'!$AL12&lt;'PIM Ranges'!$AY$21,"Q2",IF('PIM Ranges'!$AL12&lt;'PIM Ranges'!$AZ$21,"Q3",IF('PIM Ranges'!$AL12&lt;'PIM Ranges'!$BA$21,"Q4","Q5")))),IF('PIM Ranges'!$AK12='PIM Ranges'!$AW$22,IF('PIM Ranges'!$AL12&lt;'PIM Ranges'!$AX$22,"Q1",IF('PIM Ranges'!$AL12&lt;'PIM Ranges'!$AY$22,"Q2",IF('PIM Ranges'!$AL12&lt;'PIM Ranges'!$AZ$22,"Q3",IF('PIM Ranges'!$AL12&lt;'PIM Ranges'!$BA$22,"Q4","Q5")))),IF('PIM Ranges'!$AK12='PIM Ranges'!$AW$23,IF('PIM Ranges'!$AL12&lt;'PIM Ranges'!$AX$23,"Q1",IF('PIM Ranges'!$AL12&lt;'PIM Ranges'!$AY$23,"Q2",IF('PIM Ranges'!$AL12&lt;'PIM Ranges'!$AZ$23,"Q3",IF('PIM Ranges'!$AL12&lt;'PIM Ranges'!$BA$23,"Q4","Q5")))),IF('PIM Ranges'!$AK12='PIM Ranges'!$AW$24,IF('PIM Ranges'!$AL12&lt;'PIM Ranges'!$AX$24,"Q1",IF('PIM Ranges'!$AL12&lt;'PIM Ranges'!$AY$24,"Q2",IF('PIM Ranges'!$AL12&lt;'PIM Ranges'!$AZ$24,"Q3",IF('PIM Ranges'!$AL12&lt;'PIM Ranges'!$BA$24,"Q4","Q5")))),IF('PIM Ranges'!$AK12='PIM Ranges'!$AW$25,IF('PIM Ranges'!$AL12&lt;'PIM Ranges'!$AX$25,"Q1",IF('PIM Ranges'!$AL12&lt;'PIM Ranges'!$AY$25,"Q2",IF('PIM Ranges'!$AL12&lt;'PIM Ranges'!$AZ$25,"Q3",IF('PIM Ranges'!$AL12&lt;'PIM Ranges'!$BA$25,"Q4","Q5")))),IF('PIM Ranges'!$AK12='PIM Ranges'!$AW$26,IF('PIM Ranges'!$AL12&lt;'PIM Ranges'!$AX$26,"Q1",IF('PIM Ranges'!$AL12&lt;'PIM Ranges'!$AY$26,"Q2",IF('PIM Ranges'!$AL12&lt;'PIM Ranges'!$AZ$26,"Q3",IF('PIM Ranges'!$AL12&lt;'PIM Ranges'!$BA$26,"Q4","Q5")))),IF('PIM Ranges'!$AK12='PIM Ranges'!$AW$27,IF('PIM Ranges'!$AL12&lt;'PIM Ranges'!$AX$27,"Q1",IF('PIM Ranges'!$AL12&lt;'PIM Ranges'!$AY$27,"Q2",IF('PIM Ranges'!$AL12&lt;'PIM Ranges'!$AZ$27,"Q3",IF('PIM Ranges'!$AL12&lt;'PIM Ranges'!$BA$27,"Q4","Q5")))),IF('PIM Ranges'!$AK12='PIM Ranges'!$AW$28,IF('PIM Ranges'!$AL12&lt;'PIM Ranges'!$AX$28,"Q1",IF('PIM Ranges'!$AL12&lt;'PIM Ranges'!$AY$28,"Q2",IF('PIM Ranges'!$AL12&lt;'PIM Ranges'!$AZ$28,"Q3",IF('PIM Ranges'!$AL12&lt;'PIM Ranges'!$BA$28,"Q4","Q5")))),IF('PIM Ranges'!$AK12='PIM Ranges'!$AW$29,IF('PIM Ranges'!$AL12&lt;'PIM Ranges'!$AX$29,"Q1",IF('PIM Ranges'!$AL12&lt;'PIM Ranges'!$AY$29,"Q2",IF('PIM Ranges'!$AL12&lt;'PIM Ranges'!$AZ$29,"Q3",IF('PIM Ranges'!$AL12&lt;'PIM Ranges'!$BA$29,"Q4","Q5")))),IF('PIM Ranges'!$AK12='PIM Ranges'!$AW$30,IF('PIM Ranges'!$AL12&lt;'PIM Ranges'!$AX$30,"Q1",IF('PIM Ranges'!$AL12&lt;'PIM Ranges'!$AY$30,"Q2",IF('PIM Ranges'!$AL12&lt;'PIM Ranges'!$AZ$30,"Q3",IF('PIM Ranges'!$AL12&lt;'PIM Ranges'!$BA$30,"Q4","Q5")))),IF('PIM Ranges'!$AK12='PIM Ranges'!$AW$31,IF('PIM Ranges'!$AL12&lt;'PIM Ranges'!$AX$31,"Q1",IF('PIM Ranges'!$AL12&lt;'PIM Ranges'!$AY$31,"Q2",IF('PIM Ranges'!$AL12&lt;'PIM Ranges'!$AZ$31,"Q3",IF('PIM Ranges'!$AL12&lt;'PIM Ranges'!$BA$31,"Q4","Q5")))),IF('PIM Ranges'!$AK12='PIM Ranges'!$AW$32,IF('PIM Ranges'!$AL12&lt;'PIM Ranges'!$AX$32,"Q1",IF('PIM Ranges'!$AL12&lt;'PIM Ranges'!$AY$32,"Q2",IF('PIM Ranges'!$AL12&lt;'PIM Ranges'!$AZ$32,"Q3",IF('PIM Ranges'!$AL12&lt;'PIM Ranges'!$BA$32,"Q4","Q5"))))))))))))))))))))))))))</f>
        <v>#DIV/0!</v>
      </c>
      <c r="AV12" s="500"/>
      <c r="AW12" s="52" t="s">
        <v>99</v>
      </c>
      <c r="AX12" s="501">
        <v>6992</v>
      </c>
      <c r="AY12" s="501">
        <v>18976</v>
      </c>
      <c r="AZ12" s="501">
        <v>35942</v>
      </c>
      <c r="BA12" s="501">
        <v>79246</v>
      </c>
      <c r="BC12" s="2"/>
      <c r="BD12" s="52" t="s">
        <v>99</v>
      </c>
      <c r="BE12" s="501">
        <v>13830</v>
      </c>
      <c r="BF12" s="501">
        <v>40121</v>
      </c>
      <c r="BG12" s="501">
        <v>106847</v>
      </c>
      <c r="BH12" s="501">
        <v>246211</v>
      </c>
    </row>
    <row r="13" spans="1:70" x14ac:dyDescent="0.25">
      <c r="A13" t="e">
        <f t="shared" ref="A13:A32" si="13">D13/$D$33</f>
        <v>#DIV/0!</v>
      </c>
      <c r="B13">
        <v>4</v>
      </c>
      <c r="C13" t="s">
        <v>103</v>
      </c>
      <c r="D13" s="25">
        <f>'Multi-Customer'!C15</f>
        <v>0</v>
      </c>
      <c r="E13">
        <f>'Multi-Customer'!D15</f>
        <v>0</v>
      </c>
      <c r="F13">
        <f>'Multi-Customer'!E15</f>
        <v>0</v>
      </c>
      <c r="G13" s="328">
        <f>'Multi-Customer'!F15</f>
        <v>0</v>
      </c>
      <c r="H13" s="19">
        <f t="shared" ref="H13:H32" si="14">IFERROR(D13/E13,0)</f>
        <v>0</v>
      </c>
      <c r="I13" s="19">
        <f t="shared" ref="I13:I32" si="15">IFERROR(D13/G13,0)</f>
        <v>0</v>
      </c>
      <c r="J13" s="328"/>
      <c r="K13" s="328" t="str">
        <f>'PIM Model'!E11</f>
        <v>INCLUDE</v>
      </c>
      <c r="L13" s="328" t="e">
        <f t="shared" si="0"/>
        <v>#DIV/0!</v>
      </c>
      <c r="M13">
        <v>4</v>
      </c>
      <c r="N13" s="328" t="s">
        <v>103</v>
      </c>
      <c r="O13" s="328" t="e">
        <f t="shared" si="1"/>
        <v>#DIV/0!</v>
      </c>
      <c r="P13" s="328" t="e">
        <f t="shared" si="2"/>
        <v>#DIV/0!</v>
      </c>
      <c r="Q13" s="328" t="e">
        <f t="shared" si="3"/>
        <v>#DIV/0!</v>
      </c>
      <c r="R13" s="328" t="e">
        <f t="shared" si="4"/>
        <v>#DIV/0!</v>
      </c>
      <c r="S13" s="328">
        <f t="shared" ref="S13:S32" si="16">IFERROR(O13/P13,0)</f>
        <v>0</v>
      </c>
      <c r="T13" s="19">
        <f t="shared" ref="T13:T32" si="17">IFERROR(O13/R13,0)</f>
        <v>0</v>
      </c>
      <c r="U13" s="19"/>
      <c r="V13" s="2">
        <f>'PIM Model'!$C$11</f>
        <v>0</v>
      </c>
      <c r="W13" s="611" t="e">
        <f>'Multi-Customer'!M15</f>
        <v>#DIV/0!</v>
      </c>
      <c r="X13" s="19" t="e">
        <f t="shared" ref="X13:X32" si="18">$W13*$Z$33</f>
        <v>#DIV/0!</v>
      </c>
      <c r="Y13" s="328" t="e">
        <f t="shared" ref="Y13:Y32" si="19">IF(V13="AVG",X13,O13)</f>
        <v>#DIV/0!</v>
      </c>
      <c r="Z13" s="328" t="e">
        <f t="shared" ref="Z13:Z32" si="20">IF($V13="AVG",0,$Y13)</f>
        <v>#DIV/0!</v>
      </c>
      <c r="AA13" s="328" t="e">
        <f t="shared" ref="AA13:AA32" si="21">IF($V13="AVG",IF($O13=0,$X13,$X13-$O13),Y13)</f>
        <v>#DIV/0!</v>
      </c>
      <c r="AB13" s="612" t="e">
        <f t="shared" ref="AB13:AB32" si="22">$X13/$X$33</f>
        <v>#DIV/0!</v>
      </c>
      <c r="AC13" s="612" t="e">
        <f t="shared" ref="AC13:AC32" si="23">IF($AA13=0,AB13,0)</f>
        <v>#DIV/0!</v>
      </c>
      <c r="AD13" s="328" t="e">
        <f t="shared" si="5"/>
        <v>#DIV/0!</v>
      </c>
      <c r="AE13" s="328"/>
      <c r="AF13" s="328" t="e">
        <f t="shared" ref="AF13:AF32" si="24">AD13*(1+$AG13)-AD13</f>
        <v>#DIV/0!</v>
      </c>
      <c r="AG13" s="39">
        <f>'PIM Model'!B11</f>
        <v>0</v>
      </c>
      <c r="AH13" s="468" t="e">
        <f t="shared" si="6"/>
        <v>#DIV/0!</v>
      </c>
      <c r="AI13" s="468" t="e">
        <f t="shared" ref="AI13:AI32" si="25">IF(AF13=0,AH13,0)</f>
        <v>#DIV/0!</v>
      </c>
      <c r="AJ13">
        <v>4</v>
      </c>
      <c r="AK13" s="469" t="s">
        <v>103</v>
      </c>
      <c r="AL13" s="469" t="e">
        <f t="shared" si="7"/>
        <v>#DIV/0!</v>
      </c>
      <c r="AM13" s="469">
        <f t="shared" si="8"/>
        <v>0</v>
      </c>
      <c r="AN13" s="469">
        <f t="shared" si="9"/>
        <v>0</v>
      </c>
      <c r="AO13" s="470">
        <f>S13</f>
        <v>0</v>
      </c>
      <c r="AP13" s="470">
        <f t="shared" si="11"/>
        <v>0</v>
      </c>
      <c r="AQ13" s="1" t="e">
        <f t="shared" si="12"/>
        <v>#DIV/0!</v>
      </c>
      <c r="AR13" s="1" t="e">
        <f>IF('PIM Ranges'!$AK13='PIM Ranges'!$AW$11,IF('PIM Ranges'!$AL13&lt;'PIM Ranges'!$AX$11,"Q1",IF('PIM Ranges'!$AL13&lt;'PIM Ranges'!$AY$11,"Q2",IF('PIM Ranges'!$AL13&lt;'PIM Ranges'!$AZ$11,"Q3",IF('PIM Ranges'!$AL13&lt;'PIM Ranges'!$BA$11,"Q4","Q5")))),IF('PIM Ranges'!$AK13='PIM Ranges'!$AW$12,IF('PIM Ranges'!$AL13&lt;'PIM Ranges'!$AX$12,"Q1",IF('PIM Ranges'!$AL13&lt;'PIM Ranges'!$AY$12,"Q2",IF('PIM Ranges'!$AL13&lt;'PIM Ranges'!$AZ$12,"Q3",IF('PIM Ranges'!$AL13&lt;'PIM Ranges'!$BA$12,"Q4","Q5")))),IF('PIM Ranges'!$AK13='PIM Ranges'!$AW$13,IF('PIM Ranges'!$AL13&lt;'PIM Ranges'!$AX$13,"Q1",IF('PIM Ranges'!$AL13&lt;'PIM Ranges'!$AY$13,"Q2",IF('PIM Ranges'!$AL13&lt;'PIM Ranges'!$AZ$13,"Q3",IF('PIM Ranges'!$AL13&lt;'PIM Ranges'!$BA$13,"Q4","Q5")))),IF('PIM Ranges'!$AK13='PIM Ranges'!$AW$14,IF('PIM Ranges'!$AL13&lt;'PIM Ranges'!$AX$14,"Q1",IF('PIM Ranges'!$AL13&lt;'PIM Ranges'!$AY$14,"Q2",IF('PIM Ranges'!$AL13&lt;'PIM Ranges'!$AZ$14,"Q3",IF('PIM Ranges'!$AL13&lt;'PIM Ranges'!$BA$14,"Q4","Q5")))),IF('PIM Ranges'!$AK13='PIM Ranges'!$AW$15,IF('PIM Ranges'!$AL13&lt;'PIM Ranges'!$AX$15,"Q1",IF('PIM Ranges'!$AL13&lt;'PIM Ranges'!$AY$15,"Q2",IF('PIM Ranges'!$AL13&lt;'PIM Ranges'!$AZ$15,"Q3",IF('PIM Ranges'!$AL13&lt;'PIM Ranges'!$BA$15,"Q4","Q5")))),IF('PIM Ranges'!$AK13='PIM Ranges'!$AW$16,IF('PIM Ranges'!$AL13&lt;'PIM Ranges'!$AX$16,"Q1",IF('PIM Ranges'!$AL13&lt;'PIM Ranges'!$AY$16,"Q2",IF('PIM Ranges'!$AL13&lt;'PIM Ranges'!$AZ$16,"Q3",IF('PIM Ranges'!$AL13&lt;'PIM Ranges'!$BA$16,"Q4","Q5")))),IF('PIM Ranges'!$AK13='PIM Ranges'!$AW$17,IF('PIM Ranges'!$AL13&lt;'PIM Ranges'!$AX$17,"Q1",IF('PIM Ranges'!$AL13&lt;'PIM Ranges'!$AY$17,"Q2",IF('PIM Ranges'!$AL13&lt;'PIM Ranges'!$AZ$17,"Q3",IF('PIM Ranges'!$AL13&lt;'PIM Ranges'!$BA$17,"Q4","Q5")))),IF('PIM Ranges'!$AK13='PIM Ranges'!$AW$18,IF('PIM Ranges'!$AL13&lt;'PIM Ranges'!$AX$18,"Q1",IF('PIM Ranges'!$AL13&lt;'PIM Ranges'!$AY$18,"Q2",IF('PIM Ranges'!$AL13&lt;'PIM Ranges'!$AZ$18,"Q3",IF('PIM Ranges'!$AL13&lt;'PIM Ranges'!$BA$18,"Q4","Q5")))),IF('PIM Ranges'!$AK13='PIM Ranges'!$AW$19,IF('PIM Ranges'!$AL13&lt;'PIM Ranges'!$AX$19,"Q1",IF('PIM Ranges'!$AL13&lt;'PIM Ranges'!$AY$19,"Q2",IF('PIM Ranges'!$AL13&lt;'PIM Ranges'!$AZ$19,"Q3",IF('PIM Ranges'!$AL13&lt;'PIM Ranges'!$BA$19,"Q4","Q5")))),IF('PIM Ranges'!$AK13='PIM Ranges'!$AW$20,IF('PIM Ranges'!$AL13&lt;'PIM Ranges'!$AX$20,"Q1",IF('PIM Ranges'!$AL13&lt;'PIM Ranges'!$AY$20,"Q2",IF('PIM Ranges'!$AL13&lt;'PIM Ranges'!$AZ$20,"Q3",IF('PIM Ranges'!$AL13&lt;'PIM Ranges'!$BA$20,"Q4","Q5")))),IF('PIM Ranges'!$AK13='PIM Ranges'!$AW$21,IF('PIM Ranges'!$AL13&lt;'PIM Ranges'!$AX$21,"Q1",IF('PIM Ranges'!$AL13&lt;'PIM Ranges'!$AY$21,"Q2",IF('PIM Ranges'!$AL13&lt;'PIM Ranges'!$AZ$21,"Q3",IF('PIM Ranges'!$AL13&lt;'PIM Ranges'!$BA$21,"Q4","Q5")))),IF('PIM Ranges'!$AK13='PIM Ranges'!$AW$22,IF('PIM Ranges'!$AL13&lt;'PIM Ranges'!$AX$22,"Q1",IF('PIM Ranges'!$AL13&lt;'PIM Ranges'!$AY$22,"Q2",IF('PIM Ranges'!$AL13&lt;'PIM Ranges'!$AZ$22,"Q3",IF('PIM Ranges'!$AL13&lt;'PIM Ranges'!$BA$22,"Q4","Q5")))),IF('PIM Ranges'!$AK13='PIM Ranges'!$AW$23,IF('PIM Ranges'!$AL13&lt;'PIM Ranges'!$AX$23,"Q1",IF('PIM Ranges'!$AL13&lt;'PIM Ranges'!$AY$23,"Q2",IF('PIM Ranges'!$AL13&lt;'PIM Ranges'!$AZ$23,"Q3",IF('PIM Ranges'!$AL13&lt;'PIM Ranges'!$BA$23,"Q4","Q5")))),IF('PIM Ranges'!$AK13='PIM Ranges'!$AW$24,IF('PIM Ranges'!$AL13&lt;'PIM Ranges'!$AX$24,"Q1",IF('PIM Ranges'!$AL13&lt;'PIM Ranges'!$AY$24,"Q2",IF('PIM Ranges'!$AL13&lt;'PIM Ranges'!$AZ$24,"Q3",IF('PIM Ranges'!$AL13&lt;'PIM Ranges'!$BA$24,"Q4","Q5")))),IF('PIM Ranges'!$AK13='PIM Ranges'!$AW$25,IF('PIM Ranges'!$AL13&lt;'PIM Ranges'!$AX$25,"Q1",IF('PIM Ranges'!$AL13&lt;'PIM Ranges'!$AY$25,"Q2",IF('PIM Ranges'!$AL13&lt;'PIM Ranges'!$AZ$25,"Q3",IF('PIM Ranges'!$AL13&lt;'PIM Ranges'!$BA$25,"Q4","Q5")))),IF('PIM Ranges'!$AK13='PIM Ranges'!$AW$26,IF('PIM Ranges'!$AL13&lt;'PIM Ranges'!$AX$26,"Q1",IF('PIM Ranges'!$AL13&lt;'PIM Ranges'!$AY$26,"Q2",IF('PIM Ranges'!$AL13&lt;'PIM Ranges'!$AZ$26,"Q3",IF('PIM Ranges'!$AL13&lt;'PIM Ranges'!$BA$26,"Q4","Q5")))),IF('PIM Ranges'!$AK13='PIM Ranges'!$AW$27,IF('PIM Ranges'!$AL13&lt;'PIM Ranges'!$AX$27,"Q1",IF('PIM Ranges'!$AL13&lt;'PIM Ranges'!$AY$27,"Q2",IF('PIM Ranges'!$AL13&lt;'PIM Ranges'!$AZ$27,"Q3",IF('PIM Ranges'!$AL13&lt;'PIM Ranges'!$BA$27,"Q4","Q5")))),IF('PIM Ranges'!$AK13='PIM Ranges'!$AW$28,IF('PIM Ranges'!$AL13&lt;'PIM Ranges'!$AX$28,"Q1",IF('PIM Ranges'!$AL13&lt;'PIM Ranges'!$AY$28,"Q2",IF('PIM Ranges'!$AL13&lt;'PIM Ranges'!$AZ$28,"Q3",IF('PIM Ranges'!$AL13&lt;'PIM Ranges'!$BA$28,"Q4","Q5")))),IF('PIM Ranges'!$AK13='PIM Ranges'!$AW$29,IF('PIM Ranges'!$AL13&lt;'PIM Ranges'!$AX$29,"Q1",IF('PIM Ranges'!$AL13&lt;'PIM Ranges'!$AY$29,"Q2",IF('PIM Ranges'!$AL13&lt;'PIM Ranges'!$AZ$29,"Q3",IF('PIM Ranges'!$AL13&lt;'PIM Ranges'!$BA$29,"Q4","Q5")))),IF('PIM Ranges'!$AK13='PIM Ranges'!$AW$30,IF('PIM Ranges'!$AL13&lt;'PIM Ranges'!$AX$30,"Q1",IF('PIM Ranges'!$AL13&lt;'PIM Ranges'!$AY$30,"Q2",IF('PIM Ranges'!$AL13&lt;'PIM Ranges'!$AZ$30,"Q3",IF('PIM Ranges'!$AL13&lt;'PIM Ranges'!$BA$30,"Q4","Q5")))),IF('PIM Ranges'!$AK13='PIM Ranges'!$AW$31,IF('PIM Ranges'!$AL13&lt;'PIM Ranges'!$AX$31,"Q1",IF('PIM Ranges'!$AL13&lt;'PIM Ranges'!$AY$31,"Q2",IF('PIM Ranges'!$AL13&lt;'PIM Ranges'!$AZ$31,"Q3",IF('PIM Ranges'!$AL13&lt;'PIM Ranges'!$BA$31,"Q4","Q5")))),IF('PIM Ranges'!$AK13='PIM Ranges'!$AW$32,IF('PIM Ranges'!$AL13&lt;'PIM Ranges'!$AX$32,"Q1",IF('PIM Ranges'!$AL13&lt;'PIM Ranges'!$AY$32,"Q2",IF('PIM Ranges'!$AL13&lt;'PIM Ranges'!$AZ$32,"Q3",IF('PIM Ranges'!$AL13&lt;'PIM Ranges'!$BA$32,"Q4","Q5"))))))))))))))))))))))))))</f>
        <v>#DIV/0!</v>
      </c>
      <c r="AV13" s="500"/>
      <c r="AW13" s="56" t="s">
        <v>103</v>
      </c>
      <c r="AX13" s="501">
        <v>9726</v>
      </c>
      <c r="AY13" s="501">
        <v>36145</v>
      </c>
      <c r="AZ13" s="501">
        <v>112255</v>
      </c>
      <c r="BA13" s="501">
        <v>235495</v>
      </c>
      <c r="BD13" s="56" t="s">
        <v>103</v>
      </c>
      <c r="BE13" s="501">
        <v>10238</v>
      </c>
      <c r="BF13" s="501">
        <v>41074</v>
      </c>
      <c r="BG13" s="501">
        <v>127563</v>
      </c>
      <c r="BH13" s="501">
        <v>301917</v>
      </c>
    </row>
    <row r="14" spans="1:70" x14ac:dyDescent="0.25">
      <c r="A14" t="e">
        <f t="shared" si="13"/>
        <v>#DIV/0!</v>
      </c>
      <c r="B14">
        <v>5</v>
      </c>
      <c r="C14" t="s">
        <v>1399</v>
      </c>
      <c r="D14" s="25">
        <f>'Multi-Customer'!C16</f>
        <v>0</v>
      </c>
      <c r="E14">
        <f>'Multi-Customer'!D16</f>
        <v>0</v>
      </c>
      <c r="F14">
        <f>'Multi-Customer'!E16</f>
        <v>0</v>
      </c>
      <c r="G14" s="328">
        <f>'Multi-Customer'!F16</f>
        <v>0</v>
      </c>
      <c r="H14" s="19">
        <f t="shared" si="14"/>
        <v>0</v>
      </c>
      <c r="I14" s="19">
        <f t="shared" si="15"/>
        <v>0</v>
      </c>
      <c r="J14" s="328"/>
      <c r="K14" s="328" t="str">
        <f>'PIM Model'!E12</f>
        <v>INCLUDE</v>
      </c>
      <c r="L14" s="328" t="e">
        <f t="shared" si="0"/>
        <v>#DIV/0!</v>
      </c>
      <c r="M14">
        <v>5</v>
      </c>
      <c r="N14" s="328" t="s">
        <v>1399</v>
      </c>
      <c r="O14" s="328" t="e">
        <f t="shared" si="1"/>
        <v>#DIV/0!</v>
      </c>
      <c r="P14" s="328" t="e">
        <f t="shared" si="2"/>
        <v>#DIV/0!</v>
      </c>
      <c r="Q14" s="328" t="e">
        <f t="shared" si="3"/>
        <v>#DIV/0!</v>
      </c>
      <c r="R14" s="328" t="e">
        <f t="shared" si="4"/>
        <v>#DIV/0!</v>
      </c>
      <c r="S14" s="328">
        <f t="shared" si="16"/>
        <v>0</v>
      </c>
      <c r="T14" s="19">
        <f t="shared" si="17"/>
        <v>0</v>
      </c>
      <c r="U14" s="19"/>
      <c r="V14" s="2">
        <f>'PIM Model'!$C$12</f>
        <v>0</v>
      </c>
      <c r="W14" s="611" t="e">
        <f>'Multi-Customer'!M16</f>
        <v>#DIV/0!</v>
      </c>
      <c r="X14" s="19" t="e">
        <f t="shared" si="18"/>
        <v>#DIV/0!</v>
      </c>
      <c r="Y14" s="328" t="e">
        <f t="shared" si="19"/>
        <v>#DIV/0!</v>
      </c>
      <c r="Z14" s="328" t="e">
        <f t="shared" si="20"/>
        <v>#DIV/0!</v>
      </c>
      <c r="AA14" s="328" t="e">
        <f t="shared" si="21"/>
        <v>#DIV/0!</v>
      </c>
      <c r="AB14" s="612" t="e">
        <f t="shared" si="22"/>
        <v>#DIV/0!</v>
      </c>
      <c r="AC14" s="612" t="e">
        <f t="shared" si="23"/>
        <v>#DIV/0!</v>
      </c>
      <c r="AD14" s="328" t="e">
        <f t="shared" si="5"/>
        <v>#DIV/0!</v>
      </c>
      <c r="AE14" s="328"/>
      <c r="AF14" s="328" t="e">
        <f t="shared" si="24"/>
        <v>#DIV/0!</v>
      </c>
      <c r="AG14" s="39">
        <f>'PIM Model'!B12</f>
        <v>0</v>
      </c>
      <c r="AH14" s="468" t="e">
        <f t="shared" si="6"/>
        <v>#DIV/0!</v>
      </c>
      <c r="AI14" s="468" t="e">
        <f t="shared" si="25"/>
        <v>#DIV/0!</v>
      </c>
      <c r="AJ14">
        <v>5</v>
      </c>
      <c r="AK14" s="469" t="s">
        <v>1399</v>
      </c>
      <c r="AL14" s="469" t="e">
        <f t="shared" si="7"/>
        <v>#DIV/0!</v>
      </c>
      <c r="AM14" s="469">
        <f t="shared" si="8"/>
        <v>0</v>
      </c>
      <c r="AN14" s="469">
        <f t="shared" si="9"/>
        <v>0</v>
      </c>
      <c r="AO14" s="470">
        <f t="shared" si="10"/>
        <v>0</v>
      </c>
      <c r="AP14" s="470">
        <f t="shared" si="11"/>
        <v>0</v>
      </c>
      <c r="AQ14" s="1" t="e">
        <f t="shared" si="12"/>
        <v>#DIV/0!</v>
      </c>
      <c r="AR14" s="1" t="e">
        <f>IF('PIM Ranges'!$AK14='PIM Ranges'!$AW$11,IF('PIM Ranges'!$AL14&lt;'PIM Ranges'!$AX$11,"Q1",IF('PIM Ranges'!$AL14&lt;'PIM Ranges'!$AY$11,"Q2",IF('PIM Ranges'!$AL14&lt;'PIM Ranges'!$AZ$11,"Q3",IF('PIM Ranges'!$AL14&lt;'PIM Ranges'!$BA$11,"Q4","Q5")))),IF('PIM Ranges'!$AK14='PIM Ranges'!$AW$12,IF('PIM Ranges'!$AL14&lt;'PIM Ranges'!$AX$12,"Q1",IF('PIM Ranges'!$AL14&lt;'PIM Ranges'!$AY$12,"Q2",IF('PIM Ranges'!$AL14&lt;'PIM Ranges'!$AZ$12,"Q3",IF('PIM Ranges'!$AL14&lt;'PIM Ranges'!$BA$12,"Q4","Q5")))),IF('PIM Ranges'!$AK14='PIM Ranges'!$AW$13,IF('PIM Ranges'!$AL14&lt;'PIM Ranges'!$AX$13,"Q1",IF('PIM Ranges'!$AL14&lt;'PIM Ranges'!$AY$13,"Q2",IF('PIM Ranges'!$AL14&lt;'PIM Ranges'!$AZ$13,"Q3",IF('PIM Ranges'!$AL14&lt;'PIM Ranges'!$BA$13,"Q4","Q5")))),IF('PIM Ranges'!$AK14='PIM Ranges'!$AW$14,IF('PIM Ranges'!$AL14&lt;'PIM Ranges'!$AX$14,"Q1",IF('PIM Ranges'!$AL14&lt;'PIM Ranges'!$AY$14,"Q2",IF('PIM Ranges'!$AL14&lt;'PIM Ranges'!$AZ$14,"Q3",IF('PIM Ranges'!$AL14&lt;'PIM Ranges'!$BA$14,"Q4","Q5")))),IF('PIM Ranges'!$AK14='PIM Ranges'!$AW$15,IF('PIM Ranges'!$AL14&lt;'PIM Ranges'!$AX$15,"Q1",IF('PIM Ranges'!$AL14&lt;'PIM Ranges'!$AY$15,"Q2",IF('PIM Ranges'!$AL14&lt;'PIM Ranges'!$AZ$15,"Q3",IF('PIM Ranges'!$AL14&lt;'PIM Ranges'!$BA$15,"Q4","Q5")))),IF('PIM Ranges'!$AK14='PIM Ranges'!$AW$16,IF('PIM Ranges'!$AL14&lt;'PIM Ranges'!$AX$16,"Q1",IF('PIM Ranges'!$AL14&lt;'PIM Ranges'!$AY$16,"Q2",IF('PIM Ranges'!$AL14&lt;'PIM Ranges'!$AZ$16,"Q3",IF('PIM Ranges'!$AL14&lt;'PIM Ranges'!$BA$16,"Q4","Q5")))),IF('PIM Ranges'!$AK14='PIM Ranges'!$AW$17,IF('PIM Ranges'!$AL14&lt;'PIM Ranges'!$AX$17,"Q1",IF('PIM Ranges'!$AL14&lt;'PIM Ranges'!$AY$17,"Q2",IF('PIM Ranges'!$AL14&lt;'PIM Ranges'!$AZ$17,"Q3",IF('PIM Ranges'!$AL14&lt;'PIM Ranges'!$BA$17,"Q4","Q5")))),IF('PIM Ranges'!$AK14='PIM Ranges'!$AW$18,IF('PIM Ranges'!$AL14&lt;'PIM Ranges'!$AX$18,"Q1",IF('PIM Ranges'!$AL14&lt;'PIM Ranges'!$AY$18,"Q2",IF('PIM Ranges'!$AL14&lt;'PIM Ranges'!$AZ$18,"Q3",IF('PIM Ranges'!$AL14&lt;'PIM Ranges'!$BA$18,"Q4","Q5")))),IF('PIM Ranges'!$AK14='PIM Ranges'!$AW$19,IF('PIM Ranges'!$AL14&lt;'PIM Ranges'!$AX$19,"Q1",IF('PIM Ranges'!$AL14&lt;'PIM Ranges'!$AY$19,"Q2",IF('PIM Ranges'!$AL14&lt;'PIM Ranges'!$AZ$19,"Q3",IF('PIM Ranges'!$AL14&lt;'PIM Ranges'!$BA$19,"Q4","Q5")))),IF('PIM Ranges'!$AK14='PIM Ranges'!$AW$20,IF('PIM Ranges'!$AL14&lt;'PIM Ranges'!$AX$20,"Q1",IF('PIM Ranges'!$AL14&lt;'PIM Ranges'!$AY$20,"Q2",IF('PIM Ranges'!$AL14&lt;'PIM Ranges'!$AZ$20,"Q3",IF('PIM Ranges'!$AL14&lt;'PIM Ranges'!$BA$20,"Q4","Q5")))),IF('PIM Ranges'!$AK14='PIM Ranges'!$AW$21,IF('PIM Ranges'!$AL14&lt;'PIM Ranges'!$AX$21,"Q1",IF('PIM Ranges'!$AL14&lt;'PIM Ranges'!$AY$21,"Q2",IF('PIM Ranges'!$AL14&lt;'PIM Ranges'!$AZ$21,"Q3",IF('PIM Ranges'!$AL14&lt;'PIM Ranges'!$BA$21,"Q4","Q5")))),IF('PIM Ranges'!$AK14='PIM Ranges'!$AW$22,IF('PIM Ranges'!$AL14&lt;'PIM Ranges'!$AX$22,"Q1",IF('PIM Ranges'!$AL14&lt;'PIM Ranges'!$AY$22,"Q2",IF('PIM Ranges'!$AL14&lt;'PIM Ranges'!$AZ$22,"Q3",IF('PIM Ranges'!$AL14&lt;'PIM Ranges'!$BA$22,"Q4","Q5")))),IF('PIM Ranges'!$AK14='PIM Ranges'!$AW$23,IF('PIM Ranges'!$AL14&lt;'PIM Ranges'!$AX$23,"Q1",IF('PIM Ranges'!$AL14&lt;'PIM Ranges'!$AY$23,"Q2",IF('PIM Ranges'!$AL14&lt;'PIM Ranges'!$AZ$23,"Q3",IF('PIM Ranges'!$AL14&lt;'PIM Ranges'!$BA$23,"Q4","Q5")))),IF('PIM Ranges'!$AK14='PIM Ranges'!$AW$24,IF('PIM Ranges'!$AL14&lt;'PIM Ranges'!$AX$24,"Q1",IF('PIM Ranges'!$AL14&lt;'PIM Ranges'!$AY$24,"Q2",IF('PIM Ranges'!$AL14&lt;'PIM Ranges'!$AZ$24,"Q3",IF('PIM Ranges'!$AL14&lt;'PIM Ranges'!$BA$24,"Q4","Q5")))),IF('PIM Ranges'!$AK14='PIM Ranges'!$AW$25,IF('PIM Ranges'!$AL14&lt;'PIM Ranges'!$AX$25,"Q1",IF('PIM Ranges'!$AL14&lt;'PIM Ranges'!$AY$25,"Q2",IF('PIM Ranges'!$AL14&lt;'PIM Ranges'!$AZ$25,"Q3",IF('PIM Ranges'!$AL14&lt;'PIM Ranges'!$BA$25,"Q4","Q5")))),IF('PIM Ranges'!$AK14='PIM Ranges'!$AW$26,IF('PIM Ranges'!$AL14&lt;'PIM Ranges'!$AX$26,"Q1",IF('PIM Ranges'!$AL14&lt;'PIM Ranges'!$AY$26,"Q2",IF('PIM Ranges'!$AL14&lt;'PIM Ranges'!$AZ$26,"Q3",IF('PIM Ranges'!$AL14&lt;'PIM Ranges'!$BA$26,"Q4","Q5")))),IF('PIM Ranges'!$AK14='PIM Ranges'!$AW$27,IF('PIM Ranges'!$AL14&lt;'PIM Ranges'!$AX$27,"Q1",IF('PIM Ranges'!$AL14&lt;'PIM Ranges'!$AY$27,"Q2",IF('PIM Ranges'!$AL14&lt;'PIM Ranges'!$AZ$27,"Q3",IF('PIM Ranges'!$AL14&lt;'PIM Ranges'!$BA$27,"Q4","Q5")))),IF('PIM Ranges'!$AK14='PIM Ranges'!$AW$28,IF('PIM Ranges'!$AL14&lt;'PIM Ranges'!$AX$28,"Q1",IF('PIM Ranges'!$AL14&lt;'PIM Ranges'!$AY$28,"Q2",IF('PIM Ranges'!$AL14&lt;'PIM Ranges'!$AZ$28,"Q3",IF('PIM Ranges'!$AL14&lt;'PIM Ranges'!$BA$28,"Q4","Q5")))),IF('PIM Ranges'!$AK14='PIM Ranges'!$AW$29,IF('PIM Ranges'!$AL14&lt;'PIM Ranges'!$AX$29,"Q1",IF('PIM Ranges'!$AL14&lt;'PIM Ranges'!$AY$29,"Q2",IF('PIM Ranges'!$AL14&lt;'PIM Ranges'!$AZ$29,"Q3",IF('PIM Ranges'!$AL14&lt;'PIM Ranges'!$BA$29,"Q4","Q5")))),IF('PIM Ranges'!$AK14='PIM Ranges'!$AW$30,IF('PIM Ranges'!$AL14&lt;'PIM Ranges'!$AX$30,"Q1",IF('PIM Ranges'!$AL14&lt;'PIM Ranges'!$AY$30,"Q2",IF('PIM Ranges'!$AL14&lt;'PIM Ranges'!$AZ$30,"Q3",IF('PIM Ranges'!$AL14&lt;'PIM Ranges'!$BA$30,"Q4","Q5")))),IF('PIM Ranges'!$AK14='PIM Ranges'!$AW$31,IF('PIM Ranges'!$AL14&lt;'PIM Ranges'!$AX$31,"Q1",IF('PIM Ranges'!$AL14&lt;'PIM Ranges'!$AY$31,"Q2",IF('PIM Ranges'!$AL14&lt;'PIM Ranges'!$AZ$31,"Q3",IF('PIM Ranges'!$AL14&lt;'PIM Ranges'!$BA$31,"Q4","Q5")))),IF('PIM Ranges'!$AK14='PIM Ranges'!$AW$32,IF('PIM Ranges'!$AL14&lt;'PIM Ranges'!$AX$32,"Q1",IF('PIM Ranges'!$AL14&lt;'PIM Ranges'!$AY$32,"Q2",IF('PIM Ranges'!$AL14&lt;'PIM Ranges'!$AZ$32,"Q3",IF('PIM Ranges'!$AL14&lt;'PIM Ranges'!$BA$32,"Q4","Q5"))))))))))))))))))))))))))</f>
        <v>#DIV/0!</v>
      </c>
      <c r="AV14" s="500"/>
      <c r="AW14" s="56" t="s">
        <v>1399</v>
      </c>
      <c r="AX14" s="501">
        <v>7627</v>
      </c>
      <c r="AY14" s="501">
        <v>25048</v>
      </c>
      <c r="AZ14" s="501">
        <v>65918</v>
      </c>
      <c r="BA14" s="501">
        <v>149490</v>
      </c>
      <c r="BD14" s="56" t="s">
        <v>1399</v>
      </c>
      <c r="BE14" s="501">
        <v>8381</v>
      </c>
      <c r="BF14" s="501">
        <v>27692</v>
      </c>
      <c r="BG14" s="501">
        <v>73242</v>
      </c>
      <c r="BH14" s="501">
        <v>169875</v>
      </c>
    </row>
    <row r="15" spans="1:70" x14ac:dyDescent="0.25">
      <c r="A15" t="e">
        <f t="shared" si="13"/>
        <v>#DIV/0!</v>
      </c>
      <c r="B15">
        <v>6</v>
      </c>
      <c r="C15" t="s">
        <v>102</v>
      </c>
      <c r="D15" s="25">
        <f>'Multi-Customer'!C17</f>
        <v>0</v>
      </c>
      <c r="E15">
        <f>'Multi-Customer'!D17</f>
        <v>0</v>
      </c>
      <c r="F15">
        <f>'Multi-Customer'!E17</f>
        <v>0</v>
      </c>
      <c r="G15" s="328">
        <f>'Multi-Customer'!F17</f>
        <v>0</v>
      </c>
      <c r="H15" s="19">
        <f t="shared" si="14"/>
        <v>0</v>
      </c>
      <c r="I15" s="19">
        <f t="shared" si="15"/>
        <v>0</v>
      </c>
      <c r="J15" s="328"/>
      <c r="K15" s="328" t="str">
        <f>'PIM Model'!E13</f>
        <v>INCLUDE</v>
      </c>
      <c r="L15" s="328" t="e">
        <f t="shared" si="0"/>
        <v>#DIV/0!</v>
      </c>
      <c r="M15">
        <v>6</v>
      </c>
      <c r="N15" s="328" t="s">
        <v>102</v>
      </c>
      <c r="O15" s="328" t="e">
        <f t="shared" si="1"/>
        <v>#DIV/0!</v>
      </c>
      <c r="P15" s="328" t="e">
        <f t="shared" si="2"/>
        <v>#DIV/0!</v>
      </c>
      <c r="Q15" s="328" t="e">
        <f t="shared" si="3"/>
        <v>#DIV/0!</v>
      </c>
      <c r="R15" s="328" t="e">
        <f t="shared" si="4"/>
        <v>#DIV/0!</v>
      </c>
      <c r="S15" s="328">
        <f t="shared" si="16"/>
        <v>0</v>
      </c>
      <c r="T15" s="19">
        <f t="shared" si="17"/>
        <v>0</v>
      </c>
      <c r="U15" s="19"/>
      <c r="V15" s="2">
        <f>'PIM Model'!$C$13</f>
        <v>0</v>
      </c>
      <c r="W15" s="611" t="e">
        <f>'Multi-Customer'!M17</f>
        <v>#DIV/0!</v>
      </c>
      <c r="X15" s="19" t="e">
        <f t="shared" si="18"/>
        <v>#DIV/0!</v>
      </c>
      <c r="Y15" s="328" t="e">
        <f t="shared" si="19"/>
        <v>#DIV/0!</v>
      </c>
      <c r="Z15" s="328" t="e">
        <f t="shared" si="20"/>
        <v>#DIV/0!</v>
      </c>
      <c r="AA15" s="328" t="e">
        <f t="shared" si="21"/>
        <v>#DIV/0!</v>
      </c>
      <c r="AB15" s="612" t="e">
        <f t="shared" si="22"/>
        <v>#DIV/0!</v>
      </c>
      <c r="AC15" s="612" t="e">
        <f t="shared" si="23"/>
        <v>#DIV/0!</v>
      </c>
      <c r="AD15" s="328" t="e">
        <f t="shared" si="5"/>
        <v>#DIV/0!</v>
      </c>
      <c r="AE15" s="328"/>
      <c r="AF15" s="328" t="e">
        <f t="shared" si="24"/>
        <v>#DIV/0!</v>
      </c>
      <c r="AG15" s="39">
        <f>'PIM Model'!B13</f>
        <v>0</v>
      </c>
      <c r="AH15" s="468" t="e">
        <f t="shared" si="6"/>
        <v>#DIV/0!</v>
      </c>
      <c r="AI15" s="468" t="e">
        <f t="shared" si="25"/>
        <v>#DIV/0!</v>
      </c>
      <c r="AJ15">
        <v>6</v>
      </c>
      <c r="AK15" s="469" t="s">
        <v>102</v>
      </c>
      <c r="AL15" s="469" t="e">
        <f t="shared" si="7"/>
        <v>#DIV/0!</v>
      </c>
      <c r="AM15" s="469">
        <f t="shared" si="8"/>
        <v>0</v>
      </c>
      <c r="AN15" s="469">
        <f t="shared" si="9"/>
        <v>0</v>
      </c>
      <c r="AO15" s="470">
        <f t="shared" si="10"/>
        <v>0</v>
      </c>
      <c r="AP15" s="470">
        <f t="shared" si="11"/>
        <v>0</v>
      </c>
      <c r="AQ15" s="1" t="e">
        <f t="shared" si="12"/>
        <v>#DIV/0!</v>
      </c>
      <c r="AR15" s="1" t="e">
        <f>IF('PIM Ranges'!$AK15='PIM Ranges'!$AW$11,IF('PIM Ranges'!$AL15&lt;'PIM Ranges'!$AX$11,"Q1",IF('PIM Ranges'!$AL15&lt;'PIM Ranges'!$AY$11,"Q2",IF('PIM Ranges'!$AL15&lt;'PIM Ranges'!$AZ$11,"Q3",IF('PIM Ranges'!$AL15&lt;'PIM Ranges'!$BA$11,"Q4","Q5")))),IF('PIM Ranges'!$AK15='PIM Ranges'!$AW$12,IF('PIM Ranges'!$AL15&lt;'PIM Ranges'!$AX$12,"Q1",IF('PIM Ranges'!$AL15&lt;'PIM Ranges'!$AY$12,"Q2",IF('PIM Ranges'!$AL15&lt;'PIM Ranges'!$AZ$12,"Q3",IF('PIM Ranges'!$AL15&lt;'PIM Ranges'!$BA$12,"Q4","Q5")))),IF('PIM Ranges'!$AK15='PIM Ranges'!$AW$13,IF('PIM Ranges'!$AL15&lt;'PIM Ranges'!$AX$13,"Q1",IF('PIM Ranges'!$AL15&lt;'PIM Ranges'!$AY$13,"Q2",IF('PIM Ranges'!$AL15&lt;'PIM Ranges'!$AZ$13,"Q3",IF('PIM Ranges'!$AL15&lt;'PIM Ranges'!$BA$13,"Q4","Q5")))),IF('PIM Ranges'!$AK15='PIM Ranges'!$AW$14,IF('PIM Ranges'!$AL15&lt;'PIM Ranges'!$AX$14,"Q1",IF('PIM Ranges'!$AL15&lt;'PIM Ranges'!$AY$14,"Q2",IF('PIM Ranges'!$AL15&lt;'PIM Ranges'!$AZ$14,"Q3",IF('PIM Ranges'!$AL15&lt;'PIM Ranges'!$BA$14,"Q4","Q5")))),IF('PIM Ranges'!$AK15='PIM Ranges'!$AW$15,IF('PIM Ranges'!$AL15&lt;'PIM Ranges'!$AX$15,"Q1",IF('PIM Ranges'!$AL15&lt;'PIM Ranges'!$AY$15,"Q2",IF('PIM Ranges'!$AL15&lt;'PIM Ranges'!$AZ$15,"Q3",IF('PIM Ranges'!$AL15&lt;'PIM Ranges'!$BA$15,"Q4","Q5")))),IF('PIM Ranges'!$AK15='PIM Ranges'!$AW$16,IF('PIM Ranges'!$AL15&lt;'PIM Ranges'!$AX$16,"Q1",IF('PIM Ranges'!$AL15&lt;'PIM Ranges'!$AY$16,"Q2",IF('PIM Ranges'!$AL15&lt;'PIM Ranges'!$AZ$16,"Q3",IF('PIM Ranges'!$AL15&lt;'PIM Ranges'!$BA$16,"Q4","Q5")))),IF('PIM Ranges'!$AK15='PIM Ranges'!$AW$17,IF('PIM Ranges'!$AL15&lt;'PIM Ranges'!$AX$17,"Q1",IF('PIM Ranges'!$AL15&lt;'PIM Ranges'!$AY$17,"Q2",IF('PIM Ranges'!$AL15&lt;'PIM Ranges'!$AZ$17,"Q3",IF('PIM Ranges'!$AL15&lt;'PIM Ranges'!$BA$17,"Q4","Q5")))),IF('PIM Ranges'!$AK15='PIM Ranges'!$AW$18,IF('PIM Ranges'!$AL15&lt;'PIM Ranges'!$AX$18,"Q1",IF('PIM Ranges'!$AL15&lt;'PIM Ranges'!$AY$18,"Q2",IF('PIM Ranges'!$AL15&lt;'PIM Ranges'!$AZ$18,"Q3",IF('PIM Ranges'!$AL15&lt;'PIM Ranges'!$BA$18,"Q4","Q5")))),IF('PIM Ranges'!$AK15='PIM Ranges'!$AW$19,IF('PIM Ranges'!$AL15&lt;'PIM Ranges'!$AX$19,"Q1",IF('PIM Ranges'!$AL15&lt;'PIM Ranges'!$AY$19,"Q2",IF('PIM Ranges'!$AL15&lt;'PIM Ranges'!$AZ$19,"Q3",IF('PIM Ranges'!$AL15&lt;'PIM Ranges'!$BA$19,"Q4","Q5")))),IF('PIM Ranges'!$AK15='PIM Ranges'!$AW$20,IF('PIM Ranges'!$AL15&lt;'PIM Ranges'!$AX$20,"Q1",IF('PIM Ranges'!$AL15&lt;'PIM Ranges'!$AY$20,"Q2",IF('PIM Ranges'!$AL15&lt;'PIM Ranges'!$AZ$20,"Q3",IF('PIM Ranges'!$AL15&lt;'PIM Ranges'!$BA$20,"Q4","Q5")))),IF('PIM Ranges'!$AK15='PIM Ranges'!$AW$21,IF('PIM Ranges'!$AL15&lt;'PIM Ranges'!$AX$21,"Q1",IF('PIM Ranges'!$AL15&lt;'PIM Ranges'!$AY$21,"Q2",IF('PIM Ranges'!$AL15&lt;'PIM Ranges'!$AZ$21,"Q3",IF('PIM Ranges'!$AL15&lt;'PIM Ranges'!$BA$21,"Q4","Q5")))),IF('PIM Ranges'!$AK15='PIM Ranges'!$AW$22,IF('PIM Ranges'!$AL15&lt;'PIM Ranges'!$AX$22,"Q1",IF('PIM Ranges'!$AL15&lt;'PIM Ranges'!$AY$22,"Q2",IF('PIM Ranges'!$AL15&lt;'PIM Ranges'!$AZ$22,"Q3",IF('PIM Ranges'!$AL15&lt;'PIM Ranges'!$BA$22,"Q4","Q5")))),IF('PIM Ranges'!$AK15='PIM Ranges'!$AW$23,IF('PIM Ranges'!$AL15&lt;'PIM Ranges'!$AX$23,"Q1",IF('PIM Ranges'!$AL15&lt;'PIM Ranges'!$AY$23,"Q2",IF('PIM Ranges'!$AL15&lt;'PIM Ranges'!$AZ$23,"Q3",IF('PIM Ranges'!$AL15&lt;'PIM Ranges'!$BA$23,"Q4","Q5")))),IF('PIM Ranges'!$AK15='PIM Ranges'!$AW$24,IF('PIM Ranges'!$AL15&lt;'PIM Ranges'!$AX$24,"Q1",IF('PIM Ranges'!$AL15&lt;'PIM Ranges'!$AY$24,"Q2",IF('PIM Ranges'!$AL15&lt;'PIM Ranges'!$AZ$24,"Q3",IF('PIM Ranges'!$AL15&lt;'PIM Ranges'!$BA$24,"Q4","Q5")))),IF('PIM Ranges'!$AK15='PIM Ranges'!$AW$25,IF('PIM Ranges'!$AL15&lt;'PIM Ranges'!$AX$25,"Q1",IF('PIM Ranges'!$AL15&lt;'PIM Ranges'!$AY$25,"Q2",IF('PIM Ranges'!$AL15&lt;'PIM Ranges'!$AZ$25,"Q3",IF('PIM Ranges'!$AL15&lt;'PIM Ranges'!$BA$25,"Q4","Q5")))),IF('PIM Ranges'!$AK15='PIM Ranges'!$AW$26,IF('PIM Ranges'!$AL15&lt;'PIM Ranges'!$AX$26,"Q1",IF('PIM Ranges'!$AL15&lt;'PIM Ranges'!$AY$26,"Q2",IF('PIM Ranges'!$AL15&lt;'PIM Ranges'!$AZ$26,"Q3",IF('PIM Ranges'!$AL15&lt;'PIM Ranges'!$BA$26,"Q4","Q5")))),IF('PIM Ranges'!$AK15='PIM Ranges'!$AW$27,IF('PIM Ranges'!$AL15&lt;'PIM Ranges'!$AX$27,"Q1",IF('PIM Ranges'!$AL15&lt;'PIM Ranges'!$AY$27,"Q2",IF('PIM Ranges'!$AL15&lt;'PIM Ranges'!$AZ$27,"Q3",IF('PIM Ranges'!$AL15&lt;'PIM Ranges'!$BA$27,"Q4","Q5")))),IF('PIM Ranges'!$AK15='PIM Ranges'!$AW$28,IF('PIM Ranges'!$AL15&lt;'PIM Ranges'!$AX$28,"Q1",IF('PIM Ranges'!$AL15&lt;'PIM Ranges'!$AY$28,"Q2",IF('PIM Ranges'!$AL15&lt;'PIM Ranges'!$AZ$28,"Q3",IF('PIM Ranges'!$AL15&lt;'PIM Ranges'!$BA$28,"Q4","Q5")))),IF('PIM Ranges'!$AK15='PIM Ranges'!$AW$29,IF('PIM Ranges'!$AL15&lt;'PIM Ranges'!$AX$29,"Q1",IF('PIM Ranges'!$AL15&lt;'PIM Ranges'!$AY$29,"Q2",IF('PIM Ranges'!$AL15&lt;'PIM Ranges'!$AZ$29,"Q3",IF('PIM Ranges'!$AL15&lt;'PIM Ranges'!$BA$29,"Q4","Q5")))),IF('PIM Ranges'!$AK15='PIM Ranges'!$AW$30,IF('PIM Ranges'!$AL15&lt;'PIM Ranges'!$AX$30,"Q1",IF('PIM Ranges'!$AL15&lt;'PIM Ranges'!$AY$30,"Q2",IF('PIM Ranges'!$AL15&lt;'PIM Ranges'!$AZ$30,"Q3",IF('PIM Ranges'!$AL15&lt;'PIM Ranges'!$BA$30,"Q4","Q5")))),IF('PIM Ranges'!$AK15='PIM Ranges'!$AW$31,IF('PIM Ranges'!$AL15&lt;'PIM Ranges'!$AX$31,"Q1",IF('PIM Ranges'!$AL15&lt;'PIM Ranges'!$AY$31,"Q2",IF('PIM Ranges'!$AL15&lt;'PIM Ranges'!$AZ$31,"Q3",IF('PIM Ranges'!$AL15&lt;'PIM Ranges'!$BA$31,"Q4","Q5")))),IF('PIM Ranges'!$AK15='PIM Ranges'!$AW$32,IF('PIM Ranges'!$AL15&lt;'PIM Ranges'!$AX$32,"Q1",IF('PIM Ranges'!$AL15&lt;'PIM Ranges'!$AY$32,"Q2",IF('PIM Ranges'!$AL15&lt;'PIM Ranges'!$AZ$32,"Q3",IF('PIM Ranges'!$AL15&lt;'PIM Ranges'!$BA$32,"Q4","Q5"))))))))))))))))))))))))))</f>
        <v>#DIV/0!</v>
      </c>
      <c r="AV15" s="500"/>
      <c r="AW15" s="52" t="s">
        <v>102</v>
      </c>
      <c r="AX15" s="501">
        <v>2926</v>
      </c>
      <c r="AY15" s="501">
        <v>7075</v>
      </c>
      <c r="AZ15" s="501">
        <v>14145</v>
      </c>
      <c r="BA15" s="501">
        <v>30916</v>
      </c>
      <c r="BD15" s="52" t="s">
        <v>102</v>
      </c>
      <c r="BE15" s="501">
        <v>5828</v>
      </c>
      <c r="BF15" s="501">
        <v>18598</v>
      </c>
      <c r="BG15" s="501">
        <v>52273</v>
      </c>
      <c r="BH15" s="501">
        <v>121106</v>
      </c>
    </row>
    <row r="16" spans="1:70" x14ac:dyDescent="0.25">
      <c r="A16" t="e">
        <f t="shared" si="13"/>
        <v>#DIV/0!</v>
      </c>
      <c r="B16">
        <v>7</v>
      </c>
      <c r="C16" t="s">
        <v>100</v>
      </c>
      <c r="D16" s="25">
        <f>'Multi-Customer'!C18</f>
        <v>0</v>
      </c>
      <c r="E16">
        <f>'Multi-Customer'!D18</f>
        <v>0</v>
      </c>
      <c r="F16">
        <f>'Multi-Customer'!E18</f>
        <v>0</v>
      </c>
      <c r="G16" s="328">
        <f>'Multi-Customer'!F18</f>
        <v>0</v>
      </c>
      <c r="H16" s="19">
        <f t="shared" si="14"/>
        <v>0</v>
      </c>
      <c r="I16" s="19">
        <f t="shared" si="15"/>
        <v>0</v>
      </c>
      <c r="J16" s="328"/>
      <c r="K16" s="328" t="str">
        <f>'PIM Model'!E14</f>
        <v>INCLUDE</v>
      </c>
      <c r="L16" s="328" t="e">
        <f t="shared" si="0"/>
        <v>#DIV/0!</v>
      </c>
      <c r="M16">
        <v>7</v>
      </c>
      <c r="N16" s="328" t="s">
        <v>100</v>
      </c>
      <c r="O16" s="328" t="e">
        <f t="shared" si="1"/>
        <v>#DIV/0!</v>
      </c>
      <c r="P16" s="328" t="e">
        <f t="shared" si="2"/>
        <v>#DIV/0!</v>
      </c>
      <c r="Q16" s="328" t="e">
        <f t="shared" si="3"/>
        <v>#DIV/0!</v>
      </c>
      <c r="R16" s="328" t="e">
        <f t="shared" si="4"/>
        <v>#DIV/0!</v>
      </c>
      <c r="S16" s="328">
        <f t="shared" si="16"/>
        <v>0</v>
      </c>
      <c r="T16" s="19">
        <f t="shared" si="17"/>
        <v>0</v>
      </c>
      <c r="U16" s="19"/>
      <c r="V16" s="2">
        <f>'PIM Model'!$C$14</f>
        <v>0</v>
      </c>
      <c r="W16" s="611" t="e">
        <f>'Multi-Customer'!M18</f>
        <v>#DIV/0!</v>
      </c>
      <c r="X16" s="19" t="e">
        <f t="shared" si="18"/>
        <v>#DIV/0!</v>
      </c>
      <c r="Y16" s="328" t="e">
        <f t="shared" si="19"/>
        <v>#DIV/0!</v>
      </c>
      <c r="Z16" s="328" t="e">
        <f t="shared" si="20"/>
        <v>#DIV/0!</v>
      </c>
      <c r="AA16" s="328" t="e">
        <f t="shared" si="21"/>
        <v>#DIV/0!</v>
      </c>
      <c r="AB16" s="612" t="e">
        <f t="shared" si="22"/>
        <v>#DIV/0!</v>
      </c>
      <c r="AC16" s="612" t="e">
        <f t="shared" si="23"/>
        <v>#DIV/0!</v>
      </c>
      <c r="AD16" s="328" t="e">
        <f t="shared" si="5"/>
        <v>#DIV/0!</v>
      </c>
      <c r="AE16" s="328"/>
      <c r="AF16" s="328" t="e">
        <f t="shared" si="24"/>
        <v>#DIV/0!</v>
      </c>
      <c r="AG16" s="39">
        <f>'PIM Model'!B14</f>
        <v>0</v>
      </c>
      <c r="AH16" s="468" t="e">
        <f t="shared" si="6"/>
        <v>#DIV/0!</v>
      </c>
      <c r="AI16" s="468" t="e">
        <f t="shared" si="25"/>
        <v>#DIV/0!</v>
      </c>
      <c r="AJ16">
        <v>7</v>
      </c>
      <c r="AK16" s="469" t="s">
        <v>100</v>
      </c>
      <c r="AL16" s="469" t="e">
        <f t="shared" si="7"/>
        <v>#DIV/0!</v>
      </c>
      <c r="AM16" s="469">
        <f t="shared" si="8"/>
        <v>0</v>
      </c>
      <c r="AN16" s="469">
        <f t="shared" si="9"/>
        <v>0</v>
      </c>
      <c r="AO16" s="470">
        <f t="shared" si="10"/>
        <v>0</v>
      </c>
      <c r="AP16" s="470">
        <f t="shared" si="11"/>
        <v>0</v>
      </c>
      <c r="AQ16" s="1" t="e">
        <f t="shared" si="12"/>
        <v>#DIV/0!</v>
      </c>
      <c r="AR16" s="1" t="e">
        <f>IF('PIM Ranges'!$AK16='PIM Ranges'!$AW$11,IF('PIM Ranges'!$AL16&lt;'PIM Ranges'!$AX$11,"Q1",IF('PIM Ranges'!$AL16&lt;'PIM Ranges'!$AY$11,"Q2",IF('PIM Ranges'!$AL16&lt;'PIM Ranges'!$AZ$11,"Q3",IF('PIM Ranges'!$AL16&lt;'PIM Ranges'!$BA$11,"Q4","Q5")))),IF('PIM Ranges'!$AK16='PIM Ranges'!$AW$12,IF('PIM Ranges'!$AL16&lt;'PIM Ranges'!$AX$12,"Q1",IF('PIM Ranges'!$AL16&lt;'PIM Ranges'!$AY$12,"Q2",IF('PIM Ranges'!$AL16&lt;'PIM Ranges'!$AZ$12,"Q3",IF('PIM Ranges'!$AL16&lt;'PIM Ranges'!$BA$12,"Q4","Q5")))),IF('PIM Ranges'!$AK16='PIM Ranges'!$AW$13,IF('PIM Ranges'!$AL16&lt;'PIM Ranges'!$AX$13,"Q1",IF('PIM Ranges'!$AL16&lt;'PIM Ranges'!$AY$13,"Q2",IF('PIM Ranges'!$AL16&lt;'PIM Ranges'!$AZ$13,"Q3",IF('PIM Ranges'!$AL16&lt;'PIM Ranges'!$BA$13,"Q4","Q5")))),IF('PIM Ranges'!$AK16='PIM Ranges'!$AW$14,IF('PIM Ranges'!$AL16&lt;'PIM Ranges'!$AX$14,"Q1",IF('PIM Ranges'!$AL16&lt;'PIM Ranges'!$AY$14,"Q2",IF('PIM Ranges'!$AL16&lt;'PIM Ranges'!$AZ$14,"Q3",IF('PIM Ranges'!$AL16&lt;'PIM Ranges'!$BA$14,"Q4","Q5")))),IF('PIM Ranges'!$AK16='PIM Ranges'!$AW$15,IF('PIM Ranges'!$AL16&lt;'PIM Ranges'!$AX$15,"Q1",IF('PIM Ranges'!$AL16&lt;'PIM Ranges'!$AY$15,"Q2",IF('PIM Ranges'!$AL16&lt;'PIM Ranges'!$AZ$15,"Q3",IF('PIM Ranges'!$AL16&lt;'PIM Ranges'!$BA$15,"Q4","Q5")))),IF('PIM Ranges'!$AK16='PIM Ranges'!$AW$16,IF('PIM Ranges'!$AL16&lt;'PIM Ranges'!$AX$16,"Q1",IF('PIM Ranges'!$AL16&lt;'PIM Ranges'!$AY$16,"Q2",IF('PIM Ranges'!$AL16&lt;'PIM Ranges'!$AZ$16,"Q3",IF('PIM Ranges'!$AL16&lt;'PIM Ranges'!$BA$16,"Q4","Q5")))),IF('PIM Ranges'!$AK16='PIM Ranges'!$AW$17,IF('PIM Ranges'!$AL16&lt;'PIM Ranges'!$AX$17,"Q1",IF('PIM Ranges'!$AL16&lt;'PIM Ranges'!$AY$17,"Q2",IF('PIM Ranges'!$AL16&lt;'PIM Ranges'!$AZ$17,"Q3",IF('PIM Ranges'!$AL16&lt;'PIM Ranges'!$BA$17,"Q4","Q5")))),IF('PIM Ranges'!$AK16='PIM Ranges'!$AW$18,IF('PIM Ranges'!$AL16&lt;'PIM Ranges'!$AX$18,"Q1",IF('PIM Ranges'!$AL16&lt;'PIM Ranges'!$AY$18,"Q2",IF('PIM Ranges'!$AL16&lt;'PIM Ranges'!$AZ$18,"Q3",IF('PIM Ranges'!$AL16&lt;'PIM Ranges'!$BA$18,"Q4","Q5")))),IF('PIM Ranges'!$AK16='PIM Ranges'!$AW$19,IF('PIM Ranges'!$AL16&lt;'PIM Ranges'!$AX$19,"Q1",IF('PIM Ranges'!$AL16&lt;'PIM Ranges'!$AY$19,"Q2",IF('PIM Ranges'!$AL16&lt;'PIM Ranges'!$AZ$19,"Q3",IF('PIM Ranges'!$AL16&lt;'PIM Ranges'!$BA$19,"Q4","Q5")))),IF('PIM Ranges'!$AK16='PIM Ranges'!$AW$20,IF('PIM Ranges'!$AL16&lt;'PIM Ranges'!$AX$20,"Q1",IF('PIM Ranges'!$AL16&lt;'PIM Ranges'!$AY$20,"Q2",IF('PIM Ranges'!$AL16&lt;'PIM Ranges'!$AZ$20,"Q3",IF('PIM Ranges'!$AL16&lt;'PIM Ranges'!$BA$20,"Q4","Q5")))),IF('PIM Ranges'!$AK16='PIM Ranges'!$AW$21,IF('PIM Ranges'!$AL16&lt;'PIM Ranges'!$AX$21,"Q1",IF('PIM Ranges'!$AL16&lt;'PIM Ranges'!$AY$21,"Q2",IF('PIM Ranges'!$AL16&lt;'PIM Ranges'!$AZ$21,"Q3",IF('PIM Ranges'!$AL16&lt;'PIM Ranges'!$BA$21,"Q4","Q5")))),IF('PIM Ranges'!$AK16='PIM Ranges'!$AW$22,IF('PIM Ranges'!$AL16&lt;'PIM Ranges'!$AX$22,"Q1",IF('PIM Ranges'!$AL16&lt;'PIM Ranges'!$AY$22,"Q2",IF('PIM Ranges'!$AL16&lt;'PIM Ranges'!$AZ$22,"Q3",IF('PIM Ranges'!$AL16&lt;'PIM Ranges'!$BA$22,"Q4","Q5")))),IF('PIM Ranges'!$AK16='PIM Ranges'!$AW$23,IF('PIM Ranges'!$AL16&lt;'PIM Ranges'!$AX$23,"Q1",IF('PIM Ranges'!$AL16&lt;'PIM Ranges'!$AY$23,"Q2",IF('PIM Ranges'!$AL16&lt;'PIM Ranges'!$AZ$23,"Q3",IF('PIM Ranges'!$AL16&lt;'PIM Ranges'!$BA$23,"Q4","Q5")))),IF('PIM Ranges'!$AK16='PIM Ranges'!$AW$24,IF('PIM Ranges'!$AL16&lt;'PIM Ranges'!$AX$24,"Q1",IF('PIM Ranges'!$AL16&lt;'PIM Ranges'!$AY$24,"Q2",IF('PIM Ranges'!$AL16&lt;'PIM Ranges'!$AZ$24,"Q3",IF('PIM Ranges'!$AL16&lt;'PIM Ranges'!$BA$24,"Q4","Q5")))),IF('PIM Ranges'!$AK16='PIM Ranges'!$AW$25,IF('PIM Ranges'!$AL16&lt;'PIM Ranges'!$AX$25,"Q1",IF('PIM Ranges'!$AL16&lt;'PIM Ranges'!$AY$25,"Q2",IF('PIM Ranges'!$AL16&lt;'PIM Ranges'!$AZ$25,"Q3",IF('PIM Ranges'!$AL16&lt;'PIM Ranges'!$BA$25,"Q4","Q5")))),IF('PIM Ranges'!$AK16='PIM Ranges'!$AW$26,IF('PIM Ranges'!$AL16&lt;'PIM Ranges'!$AX$26,"Q1",IF('PIM Ranges'!$AL16&lt;'PIM Ranges'!$AY$26,"Q2",IF('PIM Ranges'!$AL16&lt;'PIM Ranges'!$AZ$26,"Q3",IF('PIM Ranges'!$AL16&lt;'PIM Ranges'!$BA$26,"Q4","Q5")))),IF('PIM Ranges'!$AK16='PIM Ranges'!$AW$27,IF('PIM Ranges'!$AL16&lt;'PIM Ranges'!$AX$27,"Q1",IF('PIM Ranges'!$AL16&lt;'PIM Ranges'!$AY$27,"Q2",IF('PIM Ranges'!$AL16&lt;'PIM Ranges'!$AZ$27,"Q3",IF('PIM Ranges'!$AL16&lt;'PIM Ranges'!$BA$27,"Q4","Q5")))),IF('PIM Ranges'!$AK16='PIM Ranges'!$AW$28,IF('PIM Ranges'!$AL16&lt;'PIM Ranges'!$AX$28,"Q1",IF('PIM Ranges'!$AL16&lt;'PIM Ranges'!$AY$28,"Q2",IF('PIM Ranges'!$AL16&lt;'PIM Ranges'!$AZ$28,"Q3",IF('PIM Ranges'!$AL16&lt;'PIM Ranges'!$BA$28,"Q4","Q5")))),IF('PIM Ranges'!$AK16='PIM Ranges'!$AW$29,IF('PIM Ranges'!$AL16&lt;'PIM Ranges'!$AX$29,"Q1",IF('PIM Ranges'!$AL16&lt;'PIM Ranges'!$AY$29,"Q2",IF('PIM Ranges'!$AL16&lt;'PIM Ranges'!$AZ$29,"Q3",IF('PIM Ranges'!$AL16&lt;'PIM Ranges'!$BA$29,"Q4","Q5")))),IF('PIM Ranges'!$AK16='PIM Ranges'!$AW$30,IF('PIM Ranges'!$AL16&lt;'PIM Ranges'!$AX$30,"Q1",IF('PIM Ranges'!$AL16&lt;'PIM Ranges'!$AY$30,"Q2",IF('PIM Ranges'!$AL16&lt;'PIM Ranges'!$AZ$30,"Q3",IF('PIM Ranges'!$AL16&lt;'PIM Ranges'!$BA$30,"Q4","Q5")))),IF('PIM Ranges'!$AK16='PIM Ranges'!$AW$31,IF('PIM Ranges'!$AL16&lt;'PIM Ranges'!$AX$31,"Q1",IF('PIM Ranges'!$AL16&lt;'PIM Ranges'!$AY$31,"Q2",IF('PIM Ranges'!$AL16&lt;'PIM Ranges'!$AZ$31,"Q3",IF('PIM Ranges'!$AL16&lt;'PIM Ranges'!$BA$31,"Q4","Q5")))),IF('PIM Ranges'!$AK16='PIM Ranges'!$AW$32,IF('PIM Ranges'!$AL16&lt;'PIM Ranges'!$AX$32,"Q1",IF('PIM Ranges'!$AL16&lt;'PIM Ranges'!$AY$32,"Q2",IF('PIM Ranges'!$AL16&lt;'PIM Ranges'!$AZ$32,"Q3",IF('PIM Ranges'!$AL16&lt;'PIM Ranges'!$BA$32,"Q4","Q5"))))))))))))))))))))))))))</f>
        <v>#DIV/0!</v>
      </c>
      <c r="AV16" s="500"/>
      <c r="AW16" s="52" t="s">
        <v>100</v>
      </c>
      <c r="AX16" s="501">
        <v>9661</v>
      </c>
      <c r="AY16" s="501">
        <v>18992</v>
      </c>
      <c r="AZ16" s="501">
        <v>36524</v>
      </c>
      <c r="BA16" s="501">
        <v>76773</v>
      </c>
      <c r="BD16" s="52" t="s">
        <v>100</v>
      </c>
      <c r="BE16" s="501">
        <v>14922</v>
      </c>
      <c r="BF16" s="501">
        <v>36880</v>
      </c>
      <c r="BG16" s="501">
        <v>97878</v>
      </c>
      <c r="BH16" s="501">
        <v>221341</v>
      </c>
    </row>
    <row r="17" spans="1:60" x14ac:dyDescent="0.25">
      <c r="A17" t="e">
        <f t="shared" si="13"/>
        <v>#DIV/0!</v>
      </c>
      <c r="B17">
        <v>8</v>
      </c>
      <c r="C17" t="s">
        <v>104</v>
      </c>
      <c r="D17" s="25">
        <f>'Multi-Customer'!C19</f>
        <v>0</v>
      </c>
      <c r="E17">
        <f>'Multi-Customer'!D19</f>
        <v>0</v>
      </c>
      <c r="F17">
        <f>'Multi-Customer'!E19</f>
        <v>0</v>
      </c>
      <c r="G17" s="328">
        <f>'Multi-Customer'!F19</f>
        <v>0</v>
      </c>
      <c r="H17" s="19">
        <f t="shared" si="14"/>
        <v>0</v>
      </c>
      <c r="I17" s="19">
        <f t="shared" si="15"/>
        <v>0</v>
      </c>
      <c r="J17" s="328"/>
      <c r="K17" s="328" t="str">
        <f>'PIM Model'!E15</f>
        <v>INCLUDE</v>
      </c>
      <c r="L17" s="328" t="e">
        <f t="shared" si="0"/>
        <v>#DIV/0!</v>
      </c>
      <c r="M17">
        <v>8</v>
      </c>
      <c r="N17" s="328" t="s">
        <v>104</v>
      </c>
      <c r="O17" s="328" t="e">
        <f t="shared" si="1"/>
        <v>#DIV/0!</v>
      </c>
      <c r="P17" s="328" t="e">
        <f t="shared" si="2"/>
        <v>#DIV/0!</v>
      </c>
      <c r="Q17" s="328" t="e">
        <f t="shared" si="3"/>
        <v>#DIV/0!</v>
      </c>
      <c r="R17" s="328" t="e">
        <f t="shared" si="4"/>
        <v>#DIV/0!</v>
      </c>
      <c r="S17" s="328">
        <f t="shared" si="16"/>
        <v>0</v>
      </c>
      <c r="T17" s="19">
        <f t="shared" si="17"/>
        <v>0</v>
      </c>
      <c r="U17" s="19"/>
      <c r="V17" s="2">
        <f>'PIM Model'!$C$15</f>
        <v>0</v>
      </c>
      <c r="W17" s="611" t="e">
        <f>'Multi-Customer'!M19</f>
        <v>#DIV/0!</v>
      </c>
      <c r="X17" s="19" t="e">
        <f t="shared" si="18"/>
        <v>#DIV/0!</v>
      </c>
      <c r="Y17" s="328" t="e">
        <f t="shared" si="19"/>
        <v>#DIV/0!</v>
      </c>
      <c r="Z17" s="328" t="e">
        <f t="shared" si="20"/>
        <v>#DIV/0!</v>
      </c>
      <c r="AA17" s="328" t="e">
        <f t="shared" si="21"/>
        <v>#DIV/0!</v>
      </c>
      <c r="AB17" s="612" t="e">
        <f t="shared" si="22"/>
        <v>#DIV/0!</v>
      </c>
      <c r="AC17" s="612" t="e">
        <f t="shared" si="23"/>
        <v>#DIV/0!</v>
      </c>
      <c r="AD17" s="328" t="e">
        <f t="shared" si="5"/>
        <v>#DIV/0!</v>
      </c>
      <c r="AE17" s="328"/>
      <c r="AF17" s="328" t="e">
        <f t="shared" si="24"/>
        <v>#DIV/0!</v>
      </c>
      <c r="AG17" s="39">
        <f>'PIM Model'!B15</f>
        <v>0</v>
      </c>
      <c r="AH17" s="468" t="e">
        <f t="shared" si="6"/>
        <v>#DIV/0!</v>
      </c>
      <c r="AI17" s="468" t="e">
        <f t="shared" si="25"/>
        <v>#DIV/0!</v>
      </c>
      <c r="AJ17">
        <v>8</v>
      </c>
      <c r="AK17" s="469" t="s">
        <v>104</v>
      </c>
      <c r="AL17" s="469" t="e">
        <f t="shared" si="7"/>
        <v>#DIV/0!</v>
      </c>
      <c r="AM17" s="469">
        <f t="shared" si="8"/>
        <v>0</v>
      </c>
      <c r="AN17" s="469">
        <f t="shared" si="9"/>
        <v>0</v>
      </c>
      <c r="AO17" s="470">
        <f t="shared" si="10"/>
        <v>0</v>
      </c>
      <c r="AP17" s="470">
        <f t="shared" si="11"/>
        <v>0</v>
      </c>
      <c r="AQ17" s="1" t="e">
        <f t="shared" si="12"/>
        <v>#DIV/0!</v>
      </c>
      <c r="AR17" s="1" t="e">
        <f>IF('PIM Ranges'!$AK17='PIM Ranges'!$AW$11,IF('PIM Ranges'!$AL17&lt;'PIM Ranges'!$AX$11,"Q1",IF('PIM Ranges'!$AL17&lt;'PIM Ranges'!$AY$11,"Q2",IF('PIM Ranges'!$AL17&lt;'PIM Ranges'!$AZ$11,"Q3",IF('PIM Ranges'!$AL17&lt;'PIM Ranges'!$BA$11,"Q4","Q5")))),IF('PIM Ranges'!$AK17='PIM Ranges'!$AW$12,IF('PIM Ranges'!$AL17&lt;'PIM Ranges'!$AX$12,"Q1",IF('PIM Ranges'!$AL17&lt;'PIM Ranges'!$AY$12,"Q2",IF('PIM Ranges'!$AL17&lt;'PIM Ranges'!$AZ$12,"Q3",IF('PIM Ranges'!$AL17&lt;'PIM Ranges'!$BA$12,"Q4","Q5")))),IF('PIM Ranges'!$AK17='PIM Ranges'!$AW$13,IF('PIM Ranges'!$AL17&lt;'PIM Ranges'!$AX$13,"Q1",IF('PIM Ranges'!$AL17&lt;'PIM Ranges'!$AY$13,"Q2",IF('PIM Ranges'!$AL17&lt;'PIM Ranges'!$AZ$13,"Q3",IF('PIM Ranges'!$AL17&lt;'PIM Ranges'!$BA$13,"Q4","Q5")))),IF('PIM Ranges'!$AK17='PIM Ranges'!$AW$14,IF('PIM Ranges'!$AL17&lt;'PIM Ranges'!$AX$14,"Q1",IF('PIM Ranges'!$AL17&lt;'PIM Ranges'!$AY$14,"Q2",IF('PIM Ranges'!$AL17&lt;'PIM Ranges'!$AZ$14,"Q3",IF('PIM Ranges'!$AL17&lt;'PIM Ranges'!$BA$14,"Q4","Q5")))),IF('PIM Ranges'!$AK17='PIM Ranges'!$AW$15,IF('PIM Ranges'!$AL17&lt;'PIM Ranges'!$AX$15,"Q1",IF('PIM Ranges'!$AL17&lt;'PIM Ranges'!$AY$15,"Q2",IF('PIM Ranges'!$AL17&lt;'PIM Ranges'!$AZ$15,"Q3",IF('PIM Ranges'!$AL17&lt;'PIM Ranges'!$BA$15,"Q4","Q5")))),IF('PIM Ranges'!$AK17='PIM Ranges'!$AW$16,IF('PIM Ranges'!$AL17&lt;'PIM Ranges'!$AX$16,"Q1",IF('PIM Ranges'!$AL17&lt;'PIM Ranges'!$AY$16,"Q2",IF('PIM Ranges'!$AL17&lt;'PIM Ranges'!$AZ$16,"Q3",IF('PIM Ranges'!$AL17&lt;'PIM Ranges'!$BA$16,"Q4","Q5")))),IF('PIM Ranges'!$AK17='PIM Ranges'!$AW$17,IF('PIM Ranges'!$AL17&lt;'PIM Ranges'!$AX$17,"Q1",IF('PIM Ranges'!$AL17&lt;'PIM Ranges'!$AY$17,"Q2",IF('PIM Ranges'!$AL17&lt;'PIM Ranges'!$AZ$17,"Q3",IF('PIM Ranges'!$AL17&lt;'PIM Ranges'!$BA$17,"Q4","Q5")))),IF('PIM Ranges'!$AK17='PIM Ranges'!$AW$18,IF('PIM Ranges'!$AL17&lt;'PIM Ranges'!$AX$18,"Q1",IF('PIM Ranges'!$AL17&lt;'PIM Ranges'!$AY$18,"Q2",IF('PIM Ranges'!$AL17&lt;'PIM Ranges'!$AZ$18,"Q3",IF('PIM Ranges'!$AL17&lt;'PIM Ranges'!$BA$18,"Q4","Q5")))),IF('PIM Ranges'!$AK17='PIM Ranges'!$AW$19,IF('PIM Ranges'!$AL17&lt;'PIM Ranges'!$AX$19,"Q1",IF('PIM Ranges'!$AL17&lt;'PIM Ranges'!$AY$19,"Q2",IF('PIM Ranges'!$AL17&lt;'PIM Ranges'!$AZ$19,"Q3",IF('PIM Ranges'!$AL17&lt;'PIM Ranges'!$BA$19,"Q4","Q5")))),IF('PIM Ranges'!$AK17='PIM Ranges'!$AW$20,IF('PIM Ranges'!$AL17&lt;'PIM Ranges'!$AX$20,"Q1",IF('PIM Ranges'!$AL17&lt;'PIM Ranges'!$AY$20,"Q2",IF('PIM Ranges'!$AL17&lt;'PIM Ranges'!$AZ$20,"Q3",IF('PIM Ranges'!$AL17&lt;'PIM Ranges'!$BA$20,"Q4","Q5")))),IF('PIM Ranges'!$AK17='PIM Ranges'!$AW$21,IF('PIM Ranges'!$AL17&lt;'PIM Ranges'!$AX$21,"Q1",IF('PIM Ranges'!$AL17&lt;'PIM Ranges'!$AY$21,"Q2",IF('PIM Ranges'!$AL17&lt;'PIM Ranges'!$AZ$21,"Q3",IF('PIM Ranges'!$AL17&lt;'PIM Ranges'!$BA$21,"Q4","Q5")))),IF('PIM Ranges'!$AK17='PIM Ranges'!$AW$22,IF('PIM Ranges'!$AL17&lt;'PIM Ranges'!$AX$22,"Q1",IF('PIM Ranges'!$AL17&lt;'PIM Ranges'!$AY$22,"Q2",IF('PIM Ranges'!$AL17&lt;'PIM Ranges'!$AZ$22,"Q3",IF('PIM Ranges'!$AL17&lt;'PIM Ranges'!$BA$22,"Q4","Q5")))),IF('PIM Ranges'!$AK17='PIM Ranges'!$AW$23,IF('PIM Ranges'!$AL17&lt;'PIM Ranges'!$AX$23,"Q1",IF('PIM Ranges'!$AL17&lt;'PIM Ranges'!$AY$23,"Q2",IF('PIM Ranges'!$AL17&lt;'PIM Ranges'!$AZ$23,"Q3",IF('PIM Ranges'!$AL17&lt;'PIM Ranges'!$BA$23,"Q4","Q5")))),IF('PIM Ranges'!$AK17='PIM Ranges'!$AW$24,IF('PIM Ranges'!$AL17&lt;'PIM Ranges'!$AX$24,"Q1",IF('PIM Ranges'!$AL17&lt;'PIM Ranges'!$AY$24,"Q2",IF('PIM Ranges'!$AL17&lt;'PIM Ranges'!$AZ$24,"Q3",IF('PIM Ranges'!$AL17&lt;'PIM Ranges'!$BA$24,"Q4","Q5")))),IF('PIM Ranges'!$AK17='PIM Ranges'!$AW$25,IF('PIM Ranges'!$AL17&lt;'PIM Ranges'!$AX$25,"Q1",IF('PIM Ranges'!$AL17&lt;'PIM Ranges'!$AY$25,"Q2",IF('PIM Ranges'!$AL17&lt;'PIM Ranges'!$AZ$25,"Q3",IF('PIM Ranges'!$AL17&lt;'PIM Ranges'!$BA$25,"Q4","Q5")))),IF('PIM Ranges'!$AK17='PIM Ranges'!$AW$26,IF('PIM Ranges'!$AL17&lt;'PIM Ranges'!$AX$26,"Q1",IF('PIM Ranges'!$AL17&lt;'PIM Ranges'!$AY$26,"Q2",IF('PIM Ranges'!$AL17&lt;'PIM Ranges'!$AZ$26,"Q3",IF('PIM Ranges'!$AL17&lt;'PIM Ranges'!$BA$26,"Q4","Q5")))),IF('PIM Ranges'!$AK17='PIM Ranges'!$AW$27,IF('PIM Ranges'!$AL17&lt;'PIM Ranges'!$AX$27,"Q1",IF('PIM Ranges'!$AL17&lt;'PIM Ranges'!$AY$27,"Q2",IF('PIM Ranges'!$AL17&lt;'PIM Ranges'!$AZ$27,"Q3",IF('PIM Ranges'!$AL17&lt;'PIM Ranges'!$BA$27,"Q4","Q5")))),IF('PIM Ranges'!$AK17='PIM Ranges'!$AW$28,IF('PIM Ranges'!$AL17&lt;'PIM Ranges'!$AX$28,"Q1",IF('PIM Ranges'!$AL17&lt;'PIM Ranges'!$AY$28,"Q2",IF('PIM Ranges'!$AL17&lt;'PIM Ranges'!$AZ$28,"Q3",IF('PIM Ranges'!$AL17&lt;'PIM Ranges'!$BA$28,"Q4","Q5")))),IF('PIM Ranges'!$AK17='PIM Ranges'!$AW$29,IF('PIM Ranges'!$AL17&lt;'PIM Ranges'!$AX$29,"Q1",IF('PIM Ranges'!$AL17&lt;'PIM Ranges'!$AY$29,"Q2",IF('PIM Ranges'!$AL17&lt;'PIM Ranges'!$AZ$29,"Q3",IF('PIM Ranges'!$AL17&lt;'PIM Ranges'!$BA$29,"Q4","Q5")))),IF('PIM Ranges'!$AK17='PIM Ranges'!$AW$30,IF('PIM Ranges'!$AL17&lt;'PIM Ranges'!$AX$30,"Q1",IF('PIM Ranges'!$AL17&lt;'PIM Ranges'!$AY$30,"Q2",IF('PIM Ranges'!$AL17&lt;'PIM Ranges'!$AZ$30,"Q3",IF('PIM Ranges'!$AL17&lt;'PIM Ranges'!$BA$30,"Q4","Q5")))),IF('PIM Ranges'!$AK17='PIM Ranges'!$AW$31,IF('PIM Ranges'!$AL17&lt;'PIM Ranges'!$AX$31,"Q1",IF('PIM Ranges'!$AL17&lt;'PIM Ranges'!$AY$31,"Q2",IF('PIM Ranges'!$AL17&lt;'PIM Ranges'!$AZ$31,"Q3",IF('PIM Ranges'!$AL17&lt;'PIM Ranges'!$BA$31,"Q4","Q5")))),IF('PIM Ranges'!$AK17='PIM Ranges'!$AW$32,IF('PIM Ranges'!$AL17&lt;'PIM Ranges'!$AX$32,"Q1",IF('PIM Ranges'!$AL17&lt;'PIM Ranges'!$AY$32,"Q2",IF('PIM Ranges'!$AL17&lt;'PIM Ranges'!$AZ$32,"Q3",IF('PIM Ranges'!$AL17&lt;'PIM Ranges'!$BA$32,"Q4","Q5"))))))))))))))))))))))))))</f>
        <v>#DIV/0!</v>
      </c>
      <c r="AV17" s="500"/>
      <c r="AW17" s="52" t="s">
        <v>104</v>
      </c>
      <c r="AX17" s="501">
        <v>1374</v>
      </c>
      <c r="AY17" s="501">
        <v>4152</v>
      </c>
      <c r="AZ17" s="501">
        <v>8859</v>
      </c>
      <c r="BA17" s="501">
        <v>20083</v>
      </c>
      <c r="BD17" s="52" t="s">
        <v>104</v>
      </c>
      <c r="BE17" s="501">
        <v>2515</v>
      </c>
      <c r="BF17" s="501">
        <v>9191</v>
      </c>
      <c r="BG17" s="501">
        <v>28229</v>
      </c>
      <c r="BH17" s="501">
        <v>66332</v>
      </c>
    </row>
    <row r="18" spans="1:60" x14ac:dyDescent="0.25">
      <c r="A18" t="e">
        <f t="shared" si="13"/>
        <v>#DIV/0!</v>
      </c>
      <c r="B18">
        <v>9</v>
      </c>
      <c r="C18" t="s">
        <v>98</v>
      </c>
      <c r="D18" s="25">
        <f>'Multi-Customer'!C20</f>
        <v>0</v>
      </c>
      <c r="E18">
        <f>'Multi-Customer'!D20</f>
        <v>0</v>
      </c>
      <c r="F18">
        <f>'Multi-Customer'!E20</f>
        <v>0</v>
      </c>
      <c r="G18" s="328">
        <f>'Multi-Customer'!F20</f>
        <v>0</v>
      </c>
      <c r="H18" s="19">
        <f t="shared" si="14"/>
        <v>0</v>
      </c>
      <c r="I18" s="19">
        <f t="shared" si="15"/>
        <v>0</v>
      </c>
      <c r="J18" s="328"/>
      <c r="K18" s="328" t="str">
        <f>'PIM Model'!E16</f>
        <v>INCLUDE</v>
      </c>
      <c r="L18" s="328" t="e">
        <f t="shared" si="0"/>
        <v>#DIV/0!</v>
      </c>
      <c r="M18">
        <v>9</v>
      </c>
      <c r="N18" s="328" t="s">
        <v>98</v>
      </c>
      <c r="O18" s="328" t="e">
        <f t="shared" si="1"/>
        <v>#DIV/0!</v>
      </c>
      <c r="P18" s="328" t="e">
        <f t="shared" si="2"/>
        <v>#DIV/0!</v>
      </c>
      <c r="Q18" s="328" t="e">
        <f t="shared" si="3"/>
        <v>#DIV/0!</v>
      </c>
      <c r="R18" s="328" t="e">
        <f t="shared" si="4"/>
        <v>#DIV/0!</v>
      </c>
      <c r="S18" s="328">
        <f t="shared" si="16"/>
        <v>0</v>
      </c>
      <c r="T18" s="19">
        <f t="shared" si="17"/>
        <v>0</v>
      </c>
      <c r="U18" s="19"/>
      <c r="V18" s="2">
        <f>'PIM Model'!$C$16</f>
        <v>0</v>
      </c>
      <c r="W18" s="611" t="e">
        <f>'Multi-Customer'!M20</f>
        <v>#DIV/0!</v>
      </c>
      <c r="X18" s="19" t="e">
        <f t="shared" si="18"/>
        <v>#DIV/0!</v>
      </c>
      <c r="Y18" s="328" t="e">
        <f t="shared" si="19"/>
        <v>#DIV/0!</v>
      </c>
      <c r="Z18" s="328" t="e">
        <f t="shared" si="20"/>
        <v>#DIV/0!</v>
      </c>
      <c r="AA18" s="328" t="e">
        <f t="shared" si="21"/>
        <v>#DIV/0!</v>
      </c>
      <c r="AB18" s="612" t="e">
        <f t="shared" si="22"/>
        <v>#DIV/0!</v>
      </c>
      <c r="AC18" s="612" t="e">
        <f t="shared" si="23"/>
        <v>#DIV/0!</v>
      </c>
      <c r="AD18" s="328" t="e">
        <f t="shared" si="5"/>
        <v>#DIV/0!</v>
      </c>
      <c r="AE18" s="328"/>
      <c r="AF18" s="328" t="e">
        <f t="shared" si="24"/>
        <v>#DIV/0!</v>
      </c>
      <c r="AG18" s="39">
        <f>'PIM Model'!B16</f>
        <v>0</v>
      </c>
      <c r="AH18" s="468" t="e">
        <f t="shared" si="6"/>
        <v>#DIV/0!</v>
      </c>
      <c r="AI18" s="468" t="e">
        <f t="shared" si="25"/>
        <v>#DIV/0!</v>
      </c>
      <c r="AJ18">
        <v>9</v>
      </c>
      <c r="AK18" s="469" t="s">
        <v>98</v>
      </c>
      <c r="AL18" s="469" t="e">
        <f t="shared" si="7"/>
        <v>#DIV/0!</v>
      </c>
      <c r="AM18" s="469">
        <f t="shared" si="8"/>
        <v>0</v>
      </c>
      <c r="AN18" s="469">
        <f t="shared" si="9"/>
        <v>0</v>
      </c>
      <c r="AO18" s="470">
        <f t="shared" si="10"/>
        <v>0</v>
      </c>
      <c r="AP18" s="470">
        <f t="shared" si="11"/>
        <v>0</v>
      </c>
      <c r="AQ18" s="1" t="e">
        <f t="shared" si="12"/>
        <v>#DIV/0!</v>
      </c>
      <c r="AR18" s="1" t="e">
        <f>IF('PIM Ranges'!$AK18='PIM Ranges'!$AW$11,IF('PIM Ranges'!$AL18&lt;'PIM Ranges'!$AX$11,"Q1",IF('PIM Ranges'!$AL18&lt;'PIM Ranges'!$AY$11,"Q2",IF('PIM Ranges'!$AL18&lt;'PIM Ranges'!$AZ$11,"Q3",IF('PIM Ranges'!$AL18&lt;'PIM Ranges'!$BA$11,"Q4","Q5")))),IF('PIM Ranges'!$AK18='PIM Ranges'!$AW$12,IF('PIM Ranges'!$AL18&lt;'PIM Ranges'!$AX$12,"Q1",IF('PIM Ranges'!$AL18&lt;'PIM Ranges'!$AY$12,"Q2",IF('PIM Ranges'!$AL18&lt;'PIM Ranges'!$AZ$12,"Q3",IF('PIM Ranges'!$AL18&lt;'PIM Ranges'!$BA$12,"Q4","Q5")))),IF('PIM Ranges'!$AK18='PIM Ranges'!$AW$13,IF('PIM Ranges'!$AL18&lt;'PIM Ranges'!$AX$13,"Q1",IF('PIM Ranges'!$AL18&lt;'PIM Ranges'!$AY$13,"Q2",IF('PIM Ranges'!$AL18&lt;'PIM Ranges'!$AZ$13,"Q3",IF('PIM Ranges'!$AL18&lt;'PIM Ranges'!$BA$13,"Q4","Q5")))),IF('PIM Ranges'!$AK18='PIM Ranges'!$AW$14,IF('PIM Ranges'!$AL18&lt;'PIM Ranges'!$AX$14,"Q1",IF('PIM Ranges'!$AL18&lt;'PIM Ranges'!$AY$14,"Q2",IF('PIM Ranges'!$AL18&lt;'PIM Ranges'!$AZ$14,"Q3",IF('PIM Ranges'!$AL18&lt;'PIM Ranges'!$BA$14,"Q4","Q5")))),IF('PIM Ranges'!$AK18='PIM Ranges'!$AW$15,IF('PIM Ranges'!$AL18&lt;'PIM Ranges'!$AX$15,"Q1",IF('PIM Ranges'!$AL18&lt;'PIM Ranges'!$AY$15,"Q2",IF('PIM Ranges'!$AL18&lt;'PIM Ranges'!$AZ$15,"Q3",IF('PIM Ranges'!$AL18&lt;'PIM Ranges'!$BA$15,"Q4","Q5")))),IF('PIM Ranges'!$AK18='PIM Ranges'!$AW$16,IF('PIM Ranges'!$AL18&lt;'PIM Ranges'!$AX$16,"Q1",IF('PIM Ranges'!$AL18&lt;'PIM Ranges'!$AY$16,"Q2",IF('PIM Ranges'!$AL18&lt;'PIM Ranges'!$AZ$16,"Q3",IF('PIM Ranges'!$AL18&lt;'PIM Ranges'!$BA$16,"Q4","Q5")))),IF('PIM Ranges'!$AK18='PIM Ranges'!$AW$17,IF('PIM Ranges'!$AL18&lt;'PIM Ranges'!$AX$17,"Q1",IF('PIM Ranges'!$AL18&lt;'PIM Ranges'!$AY$17,"Q2",IF('PIM Ranges'!$AL18&lt;'PIM Ranges'!$AZ$17,"Q3",IF('PIM Ranges'!$AL18&lt;'PIM Ranges'!$BA$17,"Q4","Q5")))),IF('PIM Ranges'!$AK18='PIM Ranges'!$AW$18,IF('PIM Ranges'!$AL18&lt;'PIM Ranges'!$AX$18,"Q1",IF('PIM Ranges'!$AL18&lt;'PIM Ranges'!$AY$18,"Q2",IF('PIM Ranges'!$AL18&lt;'PIM Ranges'!$AZ$18,"Q3",IF('PIM Ranges'!$AL18&lt;'PIM Ranges'!$BA$18,"Q4","Q5")))),IF('PIM Ranges'!$AK18='PIM Ranges'!$AW$19,IF('PIM Ranges'!$AL18&lt;'PIM Ranges'!$AX$19,"Q1",IF('PIM Ranges'!$AL18&lt;'PIM Ranges'!$AY$19,"Q2",IF('PIM Ranges'!$AL18&lt;'PIM Ranges'!$AZ$19,"Q3",IF('PIM Ranges'!$AL18&lt;'PIM Ranges'!$BA$19,"Q4","Q5")))),IF('PIM Ranges'!$AK18='PIM Ranges'!$AW$20,IF('PIM Ranges'!$AL18&lt;'PIM Ranges'!$AX$20,"Q1",IF('PIM Ranges'!$AL18&lt;'PIM Ranges'!$AY$20,"Q2",IF('PIM Ranges'!$AL18&lt;'PIM Ranges'!$AZ$20,"Q3",IF('PIM Ranges'!$AL18&lt;'PIM Ranges'!$BA$20,"Q4","Q5")))),IF('PIM Ranges'!$AK18='PIM Ranges'!$AW$21,IF('PIM Ranges'!$AL18&lt;'PIM Ranges'!$AX$21,"Q1",IF('PIM Ranges'!$AL18&lt;'PIM Ranges'!$AY$21,"Q2",IF('PIM Ranges'!$AL18&lt;'PIM Ranges'!$AZ$21,"Q3",IF('PIM Ranges'!$AL18&lt;'PIM Ranges'!$BA$21,"Q4","Q5")))),IF('PIM Ranges'!$AK18='PIM Ranges'!$AW$22,IF('PIM Ranges'!$AL18&lt;'PIM Ranges'!$AX$22,"Q1",IF('PIM Ranges'!$AL18&lt;'PIM Ranges'!$AY$22,"Q2",IF('PIM Ranges'!$AL18&lt;'PIM Ranges'!$AZ$22,"Q3",IF('PIM Ranges'!$AL18&lt;'PIM Ranges'!$BA$22,"Q4","Q5")))),IF('PIM Ranges'!$AK18='PIM Ranges'!$AW$23,IF('PIM Ranges'!$AL18&lt;'PIM Ranges'!$AX$23,"Q1",IF('PIM Ranges'!$AL18&lt;'PIM Ranges'!$AY$23,"Q2",IF('PIM Ranges'!$AL18&lt;'PIM Ranges'!$AZ$23,"Q3",IF('PIM Ranges'!$AL18&lt;'PIM Ranges'!$BA$23,"Q4","Q5")))),IF('PIM Ranges'!$AK18='PIM Ranges'!$AW$24,IF('PIM Ranges'!$AL18&lt;'PIM Ranges'!$AX$24,"Q1",IF('PIM Ranges'!$AL18&lt;'PIM Ranges'!$AY$24,"Q2",IF('PIM Ranges'!$AL18&lt;'PIM Ranges'!$AZ$24,"Q3",IF('PIM Ranges'!$AL18&lt;'PIM Ranges'!$BA$24,"Q4","Q5")))),IF('PIM Ranges'!$AK18='PIM Ranges'!$AW$25,IF('PIM Ranges'!$AL18&lt;'PIM Ranges'!$AX$25,"Q1",IF('PIM Ranges'!$AL18&lt;'PIM Ranges'!$AY$25,"Q2",IF('PIM Ranges'!$AL18&lt;'PIM Ranges'!$AZ$25,"Q3",IF('PIM Ranges'!$AL18&lt;'PIM Ranges'!$BA$25,"Q4","Q5")))),IF('PIM Ranges'!$AK18='PIM Ranges'!$AW$26,IF('PIM Ranges'!$AL18&lt;'PIM Ranges'!$AX$26,"Q1",IF('PIM Ranges'!$AL18&lt;'PIM Ranges'!$AY$26,"Q2",IF('PIM Ranges'!$AL18&lt;'PIM Ranges'!$AZ$26,"Q3",IF('PIM Ranges'!$AL18&lt;'PIM Ranges'!$BA$26,"Q4","Q5")))),IF('PIM Ranges'!$AK18='PIM Ranges'!$AW$27,IF('PIM Ranges'!$AL18&lt;'PIM Ranges'!$AX$27,"Q1",IF('PIM Ranges'!$AL18&lt;'PIM Ranges'!$AY$27,"Q2",IF('PIM Ranges'!$AL18&lt;'PIM Ranges'!$AZ$27,"Q3",IF('PIM Ranges'!$AL18&lt;'PIM Ranges'!$BA$27,"Q4","Q5")))),IF('PIM Ranges'!$AK18='PIM Ranges'!$AW$28,IF('PIM Ranges'!$AL18&lt;'PIM Ranges'!$AX$28,"Q1",IF('PIM Ranges'!$AL18&lt;'PIM Ranges'!$AY$28,"Q2",IF('PIM Ranges'!$AL18&lt;'PIM Ranges'!$AZ$28,"Q3",IF('PIM Ranges'!$AL18&lt;'PIM Ranges'!$BA$28,"Q4","Q5")))),IF('PIM Ranges'!$AK18='PIM Ranges'!$AW$29,IF('PIM Ranges'!$AL18&lt;'PIM Ranges'!$AX$29,"Q1",IF('PIM Ranges'!$AL18&lt;'PIM Ranges'!$AY$29,"Q2",IF('PIM Ranges'!$AL18&lt;'PIM Ranges'!$AZ$29,"Q3",IF('PIM Ranges'!$AL18&lt;'PIM Ranges'!$BA$29,"Q4","Q5")))),IF('PIM Ranges'!$AK18='PIM Ranges'!$AW$30,IF('PIM Ranges'!$AL18&lt;'PIM Ranges'!$AX$30,"Q1",IF('PIM Ranges'!$AL18&lt;'PIM Ranges'!$AY$30,"Q2",IF('PIM Ranges'!$AL18&lt;'PIM Ranges'!$AZ$30,"Q3",IF('PIM Ranges'!$AL18&lt;'PIM Ranges'!$BA$30,"Q4","Q5")))),IF('PIM Ranges'!$AK18='PIM Ranges'!$AW$31,IF('PIM Ranges'!$AL18&lt;'PIM Ranges'!$AX$31,"Q1",IF('PIM Ranges'!$AL18&lt;'PIM Ranges'!$AY$31,"Q2",IF('PIM Ranges'!$AL18&lt;'PIM Ranges'!$AZ$31,"Q3",IF('PIM Ranges'!$AL18&lt;'PIM Ranges'!$BA$31,"Q4","Q5")))),IF('PIM Ranges'!$AK18='PIM Ranges'!$AW$32,IF('PIM Ranges'!$AL18&lt;'PIM Ranges'!$AX$32,"Q1",IF('PIM Ranges'!$AL18&lt;'PIM Ranges'!$AY$32,"Q2",IF('PIM Ranges'!$AL18&lt;'PIM Ranges'!$AZ$32,"Q3",IF('PIM Ranges'!$AL18&lt;'PIM Ranges'!$BA$32,"Q4","Q5"))))))))))))))))))))))))))</f>
        <v>#DIV/0!</v>
      </c>
      <c r="AV18" s="500"/>
      <c r="AW18" s="52" t="s">
        <v>98</v>
      </c>
      <c r="AX18" s="501">
        <v>5735</v>
      </c>
      <c r="AY18" s="501">
        <v>12048</v>
      </c>
      <c r="AZ18" s="501">
        <v>22223</v>
      </c>
      <c r="BA18" s="501">
        <v>46885</v>
      </c>
      <c r="BD18" s="52" t="s">
        <v>98</v>
      </c>
      <c r="BE18" s="501">
        <v>11588</v>
      </c>
      <c r="BF18" s="501">
        <v>31399</v>
      </c>
      <c r="BG18" s="501">
        <v>78180</v>
      </c>
      <c r="BH18" s="501">
        <v>177577</v>
      </c>
    </row>
    <row r="19" spans="1:60" x14ac:dyDescent="0.25">
      <c r="A19" t="e">
        <f t="shared" si="13"/>
        <v>#DIV/0!</v>
      </c>
      <c r="B19">
        <v>10</v>
      </c>
      <c r="C19" t="s">
        <v>95</v>
      </c>
      <c r="D19" s="25">
        <f>'Multi-Customer'!C21</f>
        <v>0</v>
      </c>
      <c r="E19">
        <f>'Multi-Customer'!D21</f>
        <v>0</v>
      </c>
      <c r="F19">
        <f>'Multi-Customer'!E21</f>
        <v>0</v>
      </c>
      <c r="G19" s="328">
        <f>'Multi-Customer'!F21</f>
        <v>0</v>
      </c>
      <c r="H19" s="19">
        <f t="shared" si="14"/>
        <v>0</v>
      </c>
      <c r="I19" s="19">
        <f t="shared" si="15"/>
        <v>0</v>
      </c>
      <c r="J19" s="328"/>
      <c r="K19" s="328" t="str">
        <f>'PIM Model'!E17</f>
        <v>INCLUDE</v>
      </c>
      <c r="L19" s="328" t="e">
        <f t="shared" si="0"/>
        <v>#DIV/0!</v>
      </c>
      <c r="M19">
        <v>10</v>
      </c>
      <c r="N19" s="328" t="s">
        <v>95</v>
      </c>
      <c r="O19" s="328" t="e">
        <f t="shared" si="1"/>
        <v>#DIV/0!</v>
      </c>
      <c r="P19" s="328" t="e">
        <f t="shared" si="2"/>
        <v>#DIV/0!</v>
      </c>
      <c r="Q19" s="328" t="e">
        <f t="shared" si="3"/>
        <v>#DIV/0!</v>
      </c>
      <c r="R19" s="328" t="e">
        <f t="shared" si="4"/>
        <v>#DIV/0!</v>
      </c>
      <c r="S19" s="328">
        <f t="shared" si="16"/>
        <v>0</v>
      </c>
      <c r="T19" s="19">
        <f t="shared" si="17"/>
        <v>0</v>
      </c>
      <c r="U19" s="19"/>
      <c r="V19" s="2">
        <f>'PIM Model'!$C$17</f>
        <v>0</v>
      </c>
      <c r="W19" s="611" t="e">
        <f>'Multi-Customer'!M21</f>
        <v>#DIV/0!</v>
      </c>
      <c r="X19" s="19" t="e">
        <f t="shared" si="18"/>
        <v>#DIV/0!</v>
      </c>
      <c r="Y19" s="328" t="e">
        <f t="shared" si="19"/>
        <v>#DIV/0!</v>
      </c>
      <c r="Z19" s="328" t="e">
        <f t="shared" si="20"/>
        <v>#DIV/0!</v>
      </c>
      <c r="AA19" s="328" t="e">
        <f t="shared" si="21"/>
        <v>#DIV/0!</v>
      </c>
      <c r="AB19" s="612" t="e">
        <f t="shared" si="22"/>
        <v>#DIV/0!</v>
      </c>
      <c r="AC19" s="612" t="e">
        <f t="shared" si="23"/>
        <v>#DIV/0!</v>
      </c>
      <c r="AD19" s="328" t="e">
        <f t="shared" si="5"/>
        <v>#DIV/0!</v>
      </c>
      <c r="AE19" s="328"/>
      <c r="AF19" s="328" t="e">
        <f t="shared" si="24"/>
        <v>#DIV/0!</v>
      </c>
      <c r="AG19" s="39">
        <f>'PIM Model'!B17</f>
        <v>0</v>
      </c>
      <c r="AH19" s="468" t="e">
        <f t="shared" si="6"/>
        <v>#DIV/0!</v>
      </c>
      <c r="AI19" s="468" t="e">
        <f t="shared" si="25"/>
        <v>#DIV/0!</v>
      </c>
      <c r="AJ19">
        <v>10</v>
      </c>
      <c r="AK19" s="469" t="s">
        <v>95</v>
      </c>
      <c r="AL19" s="469" t="e">
        <f t="shared" si="7"/>
        <v>#DIV/0!</v>
      </c>
      <c r="AM19" s="469">
        <f t="shared" si="8"/>
        <v>0</v>
      </c>
      <c r="AN19" s="469">
        <f t="shared" si="9"/>
        <v>0</v>
      </c>
      <c r="AO19" s="470">
        <f t="shared" si="10"/>
        <v>0</v>
      </c>
      <c r="AP19" s="470">
        <f t="shared" si="11"/>
        <v>0</v>
      </c>
      <c r="AQ19" s="1" t="e">
        <f t="shared" si="12"/>
        <v>#DIV/0!</v>
      </c>
      <c r="AR19" s="1" t="e">
        <f>IF('PIM Ranges'!$AK19='PIM Ranges'!$AW$11,IF('PIM Ranges'!$AL19&lt;'PIM Ranges'!$AX$11,"Q1",IF('PIM Ranges'!$AL19&lt;'PIM Ranges'!$AY$11,"Q2",IF('PIM Ranges'!$AL19&lt;'PIM Ranges'!$AZ$11,"Q3",IF('PIM Ranges'!$AL19&lt;'PIM Ranges'!$BA$11,"Q4","Q5")))),IF('PIM Ranges'!$AK19='PIM Ranges'!$AW$12,IF('PIM Ranges'!$AL19&lt;'PIM Ranges'!$AX$12,"Q1",IF('PIM Ranges'!$AL19&lt;'PIM Ranges'!$AY$12,"Q2",IF('PIM Ranges'!$AL19&lt;'PIM Ranges'!$AZ$12,"Q3",IF('PIM Ranges'!$AL19&lt;'PIM Ranges'!$BA$12,"Q4","Q5")))),IF('PIM Ranges'!$AK19='PIM Ranges'!$AW$13,IF('PIM Ranges'!$AL19&lt;'PIM Ranges'!$AX$13,"Q1",IF('PIM Ranges'!$AL19&lt;'PIM Ranges'!$AY$13,"Q2",IF('PIM Ranges'!$AL19&lt;'PIM Ranges'!$AZ$13,"Q3",IF('PIM Ranges'!$AL19&lt;'PIM Ranges'!$BA$13,"Q4","Q5")))),IF('PIM Ranges'!$AK19='PIM Ranges'!$AW$14,IF('PIM Ranges'!$AL19&lt;'PIM Ranges'!$AX$14,"Q1",IF('PIM Ranges'!$AL19&lt;'PIM Ranges'!$AY$14,"Q2",IF('PIM Ranges'!$AL19&lt;'PIM Ranges'!$AZ$14,"Q3",IF('PIM Ranges'!$AL19&lt;'PIM Ranges'!$BA$14,"Q4","Q5")))),IF('PIM Ranges'!$AK19='PIM Ranges'!$AW$15,IF('PIM Ranges'!$AL19&lt;'PIM Ranges'!$AX$15,"Q1",IF('PIM Ranges'!$AL19&lt;'PIM Ranges'!$AY$15,"Q2",IF('PIM Ranges'!$AL19&lt;'PIM Ranges'!$AZ$15,"Q3",IF('PIM Ranges'!$AL19&lt;'PIM Ranges'!$BA$15,"Q4","Q5")))),IF('PIM Ranges'!$AK19='PIM Ranges'!$AW$16,IF('PIM Ranges'!$AL19&lt;'PIM Ranges'!$AX$16,"Q1",IF('PIM Ranges'!$AL19&lt;'PIM Ranges'!$AY$16,"Q2",IF('PIM Ranges'!$AL19&lt;'PIM Ranges'!$AZ$16,"Q3",IF('PIM Ranges'!$AL19&lt;'PIM Ranges'!$BA$16,"Q4","Q5")))),IF('PIM Ranges'!$AK19='PIM Ranges'!$AW$17,IF('PIM Ranges'!$AL19&lt;'PIM Ranges'!$AX$17,"Q1",IF('PIM Ranges'!$AL19&lt;'PIM Ranges'!$AY$17,"Q2",IF('PIM Ranges'!$AL19&lt;'PIM Ranges'!$AZ$17,"Q3",IF('PIM Ranges'!$AL19&lt;'PIM Ranges'!$BA$17,"Q4","Q5")))),IF('PIM Ranges'!$AK19='PIM Ranges'!$AW$18,IF('PIM Ranges'!$AL19&lt;'PIM Ranges'!$AX$18,"Q1",IF('PIM Ranges'!$AL19&lt;'PIM Ranges'!$AY$18,"Q2",IF('PIM Ranges'!$AL19&lt;'PIM Ranges'!$AZ$18,"Q3",IF('PIM Ranges'!$AL19&lt;'PIM Ranges'!$BA$18,"Q4","Q5")))),IF('PIM Ranges'!$AK19='PIM Ranges'!$AW$19,IF('PIM Ranges'!$AL19&lt;'PIM Ranges'!$AX$19,"Q1",IF('PIM Ranges'!$AL19&lt;'PIM Ranges'!$AY$19,"Q2",IF('PIM Ranges'!$AL19&lt;'PIM Ranges'!$AZ$19,"Q3",IF('PIM Ranges'!$AL19&lt;'PIM Ranges'!$BA$19,"Q4","Q5")))),IF('PIM Ranges'!$AK19='PIM Ranges'!$AW$20,IF('PIM Ranges'!$AL19&lt;'PIM Ranges'!$AX$20,"Q1",IF('PIM Ranges'!$AL19&lt;'PIM Ranges'!$AY$20,"Q2",IF('PIM Ranges'!$AL19&lt;'PIM Ranges'!$AZ$20,"Q3",IF('PIM Ranges'!$AL19&lt;'PIM Ranges'!$BA$20,"Q4","Q5")))),IF('PIM Ranges'!$AK19='PIM Ranges'!$AW$21,IF('PIM Ranges'!$AL19&lt;'PIM Ranges'!$AX$21,"Q1",IF('PIM Ranges'!$AL19&lt;'PIM Ranges'!$AY$21,"Q2",IF('PIM Ranges'!$AL19&lt;'PIM Ranges'!$AZ$21,"Q3",IF('PIM Ranges'!$AL19&lt;'PIM Ranges'!$BA$21,"Q4","Q5")))),IF('PIM Ranges'!$AK19='PIM Ranges'!$AW$22,IF('PIM Ranges'!$AL19&lt;'PIM Ranges'!$AX$22,"Q1",IF('PIM Ranges'!$AL19&lt;'PIM Ranges'!$AY$22,"Q2",IF('PIM Ranges'!$AL19&lt;'PIM Ranges'!$AZ$22,"Q3",IF('PIM Ranges'!$AL19&lt;'PIM Ranges'!$BA$22,"Q4","Q5")))),IF('PIM Ranges'!$AK19='PIM Ranges'!$AW$23,IF('PIM Ranges'!$AL19&lt;'PIM Ranges'!$AX$23,"Q1",IF('PIM Ranges'!$AL19&lt;'PIM Ranges'!$AY$23,"Q2",IF('PIM Ranges'!$AL19&lt;'PIM Ranges'!$AZ$23,"Q3",IF('PIM Ranges'!$AL19&lt;'PIM Ranges'!$BA$23,"Q4","Q5")))),IF('PIM Ranges'!$AK19='PIM Ranges'!$AW$24,IF('PIM Ranges'!$AL19&lt;'PIM Ranges'!$AX$24,"Q1",IF('PIM Ranges'!$AL19&lt;'PIM Ranges'!$AY$24,"Q2",IF('PIM Ranges'!$AL19&lt;'PIM Ranges'!$AZ$24,"Q3",IF('PIM Ranges'!$AL19&lt;'PIM Ranges'!$BA$24,"Q4","Q5")))),IF('PIM Ranges'!$AK19='PIM Ranges'!$AW$25,IF('PIM Ranges'!$AL19&lt;'PIM Ranges'!$AX$25,"Q1",IF('PIM Ranges'!$AL19&lt;'PIM Ranges'!$AY$25,"Q2",IF('PIM Ranges'!$AL19&lt;'PIM Ranges'!$AZ$25,"Q3",IF('PIM Ranges'!$AL19&lt;'PIM Ranges'!$BA$25,"Q4","Q5")))),IF('PIM Ranges'!$AK19='PIM Ranges'!$AW$26,IF('PIM Ranges'!$AL19&lt;'PIM Ranges'!$AX$26,"Q1",IF('PIM Ranges'!$AL19&lt;'PIM Ranges'!$AY$26,"Q2",IF('PIM Ranges'!$AL19&lt;'PIM Ranges'!$AZ$26,"Q3",IF('PIM Ranges'!$AL19&lt;'PIM Ranges'!$BA$26,"Q4","Q5")))),IF('PIM Ranges'!$AK19='PIM Ranges'!$AW$27,IF('PIM Ranges'!$AL19&lt;'PIM Ranges'!$AX$27,"Q1",IF('PIM Ranges'!$AL19&lt;'PIM Ranges'!$AY$27,"Q2",IF('PIM Ranges'!$AL19&lt;'PIM Ranges'!$AZ$27,"Q3",IF('PIM Ranges'!$AL19&lt;'PIM Ranges'!$BA$27,"Q4","Q5")))),IF('PIM Ranges'!$AK19='PIM Ranges'!$AW$28,IF('PIM Ranges'!$AL19&lt;'PIM Ranges'!$AX$28,"Q1",IF('PIM Ranges'!$AL19&lt;'PIM Ranges'!$AY$28,"Q2",IF('PIM Ranges'!$AL19&lt;'PIM Ranges'!$AZ$28,"Q3",IF('PIM Ranges'!$AL19&lt;'PIM Ranges'!$BA$28,"Q4","Q5")))),IF('PIM Ranges'!$AK19='PIM Ranges'!$AW$29,IF('PIM Ranges'!$AL19&lt;'PIM Ranges'!$AX$29,"Q1",IF('PIM Ranges'!$AL19&lt;'PIM Ranges'!$AY$29,"Q2",IF('PIM Ranges'!$AL19&lt;'PIM Ranges'!$AZ$29,"Q3",IF('PIM Ranges'!$AL19&lt;'PIM Ranges'!$BA$29,"Q4","Q5")))),IF('PIM Ranges'!$AK19='PIM Ranges'!$AW$30,IF('PIM Ranges'!$AL19&lt;'PIM Ranges'!$AX$30,"Q1",IF('PIM Ranges'!$AL19&lt;'PIM Ranges'!$AY$30,"Q2",IF('PIM Ranges'!$AL19&lt;'PIM Ranges'!$AZ$30,"Q3",IF('PIM Ranges'!$AL19&lt;'PIM Ranges'!$BA$30,"Q4","Q5")))),IF('PIM Ranges'!$AK19='PIM Ranges'!$AW$31,IF('PIM Ranges'!$AL19&lt;'PIM Ranges'!$AX$31,"Q1",IF('PIM Ranges'!$AL19&lt;'PIM Ranges'!$AY$31,"Q2",IF('PIM Ranges'!$AL19&lt;'PIM Ranges'!$AZ$31,"Q3",IF('PIM Ranges'!$AL19&lt;'PIM Ranges'!$BA$31,"Q4","Q5")))),IF('PIM Ranges'!$AK19='PIM Ranges'!$AW$32,IF('PIM Ranges'!$AL19&lt;'PIM Ranges'!$AX$32,"Q1",IF('PIM Ranges'!$AL19&lt;'PIM Ranges'!$AY$32,"Q2",IF('PIM Ranges'!$AL19&lt;'PIM Ranges'!$AZ$32,"Q3",IF('PIM Ranges'!$AL19&lt;'PIM Ranges'!$BA$32,"Q4","Q5"))))))))))))))))))))))))))</f>
        <v>#DIV/0!</v>
      </c>
      <c r="AV19" s="500"/>
      <c r="AW19" s="52" t="s">
        <v>95</v>
      </c>
      <c r="AX19" s="501">
        <v>5783</v>
      </c>
      <c r="AY19" s="501">
        <v>15190</v>
      </c>
      <c r="AZ19" s="501">
        <v>28191</v>
      </c>
      <c r="BA19" s="501">
        <v>61587</v>
      </c>
      <c r="BD19" s="52" t="s">
        <v>95</v>
      </c>
      <c r="BE19" s="501">
        <v>11697</v>
      </c>
      <c r="BF19" s="501">
        <v>35019</v>
      </c>
      <c r="BG19" s="501">
        <v>103570</v>
      </c>
      <c r="BH19" s="501">
        <v>238698</v>
      </c>
    </row>
    <row r="20" spans="1:60" x14ac:dyDescent="0.25">
      <c r="A20" t="e">
        <f t="shared" si="13"/>
        <v>#DIV/0!</v>
      </c>
      <c r="B20">
        <v>11</v>
      </c>
      <c r="C20" t="s">
        <v>96</v>
      </c>
      <c r="D20" s="25">
        <f>'Multi-Customer'!C22</f>
        <v>0</v>
      </c>
      <c r="E20">
        <f>'Multi-Customer'!D22</f>
        <v>0</v>
      </c>
      <c r="F20">
        <f>'Multi-Customer'!E22</f>
        <v>0</v>
      </c>
      <c r="G20" s="328">
        <f>'Multi-Customer'!F22</f>
        <v>0</v>
      </c>
      <c r="H20" s="19">
        <f t="shared" si="14"/>
        <v>0</v>
      </c>
      <c r="I20" s="19">
        <f t="shared" si="15"/>
        <v>0</v>
      </c>
      <c r="J20" s="328"/>
      <c r="K20" s="328" t="str">
        <f>'PIM Model'!E18</f>
        <v>INCLUDE</v>
      </c>
      <c r="L20" s="328" t="e">
        <f t="shared" si="0"/>
        <v>#DIV/0!</v>
      </c>
      <c r="M20">
        <v>11</v>
      </c>
      <c r="N20" s="328" t="s">
        <v>96</v>
      </c>
      <c r="O20" s="328" t="e">
        <f t="shared" si="1"/>
        <v>#DIV/0!</v>
      </c>
      <c r="P20" s="328" t="e">
        <f t="shared" si="2"/>
        <v>#DIV/0!</v>
      </c>
      <c r="Q20" s="328" t="e">
        <f t="shared" si="3"/>
        <v>#DIV/0!</v>
      </c>
      <c r="R20" s="328" t="e">
        <f t="shared" si="4"/>
        <v>#DIV/0!</v>
      </c>
      <c r="S20" s="328">
        <f t="shared" si="16"/>
        <v>0</v>
      </c>
      <c r="T20" s="19">
        <f t="shared" si="17"/>
        <v>0</v>
      </c>
      <c r="U20" s="19"/>
      <c r="V20" s="2">
        <f>'PIM Model'!$C$18</f>
        <v>0</v>
      </c>
      <c r="W20" s="611" t="e">
        <f>'Multi-Customer'!M22</f>
        <v>#DIV/0!</v>
      </c>
      <c r="X20" s="19" t="e">
        <f t="shared" si="18"/>
        <v>#DIV/0!</v>
      </c>
      <c r="Y20" s="328" t="e">
        <f t="shared" si="19"/>
        <v>#DIV/0!</v>
      </c>
      <c r="Z20" s="328" t="e">
        <f t="shared" si="20"/>
        <v>#DIV/0!</v>
      </c>
      <c r="AA20" s="328" t="e">
        <f t="shared" si="21"/>
        <v>#DIV/0!</v>
      </c>
      <c r="AB20" s="612" t="e">
        <f t="shared" si="22"/>
        <v>#DIV/0!</v>
      </c>
      <c r="AC20" s="612" t="e">
        <f t="shared" si="23"/>
        <v>#DIV/0!</v>
      </c>
      <c r="AD20" s="328" t="e">
        <f t="shared" si="5"/>
        <v>#DIV/0!</v>
      </c>
      <c r="AE20" s="328"/>
      <c r="AF20" s="328" t="e">
        <f t="shared" si="24"/>
        <v>#DIV/0!</v>
      </c>
      <c r="AG20" s="39">
        <f>'PIM Model'!B18</f>
        <v>0</v>
      </c>
      <c r="AH20" s="468" t="e">
        <f t="shared" si="6"/>
        <v>#DIV/0!</v>
      </c>
      <c r="AI20" s="468" t="e">
        <f t="shared" si="25"/>
        <v>#DIV/0!</v>
      </c>
      <c r="AJ20">
        <v>11</v>
      </c>
      <c r="AK20" s="469" t="s">
        <v>96</v>
      </c>
      <c r="AL20" s="469" t="e">
        <f t="shared" si="7"/>
        <v>#DIV/0!</v>
      </c>
      <c r="AM20" s="469">
        <f t="shared" si="8"/>
        <v>0</v>
      </c>
      <c r="AN20" s="469">
        <f t="shared" si="9"/>
        <v>0</v>
      </c>
      <c r="AO20" s="470">
        <f t="shared" si="10"/>
        <v>0</v>
      </c>
      <c r="AP20" s="470">
        <f t="shared" si="11"/>
        <v>0</v>
      </c>
      <c r="AQ20" s="1" t="e">
        <f t="shared" si="12"/>
        <v>#DIV/0!</v>
      </c>
      <c r="AR20" s="1" t="e">
        <f>IF('PIM Ranges'!$AK20='PIM Ranges'!$AW$11,IF('PIM Ranges'!$AL20&lt;'PIM Ranges'!$AX$11,"Q1",IF('PIM Ranges'!$AL20&lt;'PIM Ranges'!$AY$11,"Q2",IF('PIM Ranges'!$AL20&lt;'PIM Ranges'!$AZ$11,"Q3",IF('PIM Ranges'!$AL20&lt;'PIM Ranges'!$BA$11,"Q4","Q5")))),IF('PIM Ranges'!$AK20='PIM Ranges'!$AW$12,IF('PIM Ranges'!$AL20&lt;'PIM Ranges'!$AX$12,"Q1",IF('PIM Ranges'!$AL20&lt;'PIM Ranges'!$AY$12,"Q2",IF('PIM Ranges'!$AL20&lt;'PIM Ranges'!$AZ$12,"Q3",IF('PIM Ranges'!$AL20&lt;'PIM Ranges'!$BA$12,"Q4","Q5")))),IF('PIM Ranges'!$AK20='PIM Ranges'!$AW$13,IF('PIM Ranges'!$AL20&lt;'PIM Ranges'!$AX$13,"Q1",IF('PIM Ranges'!$AL20&lt;'PIM Ranges'!$AY$13,"Q2",IF('PIM Ranges'!$AL20&lt;'PIM Ranges'!$AZ$13,"Q3",IF('PIM Ranges'!$AL20&lt;'PIM Ranges'!$BA$13,"Q4","Q5")))),IF('PIM Ranges'!$AK20='PIM Ranges'!$AW$14,IF('PIM Ranges'!$AL20&lt;'PIM Ranges'!$AX$14,"Q1",IF('PIM Ranges'!$AL20&lt;'PIM Ranges'!$AY$14,"Q2",IF('PIM Ranges'!$AL20&lt;'PIM Ranges'!$AZ$14,"Q3",IF('PIM Ranges'!$AL20&lt;'PIM Ranges'!$BA$14,"Q4","Q5")))),IF('PIM Ranges'!$AK20='PIM Ranges'!$AW$15,IF('PIM Ranges'!$AL20&lt;'PIM Ranges'!$AX$15,"Q1",IF('PIM Ranges'!$AL20&lt;'PIM Ranges'!$AY$15,"Q2",IF('PIM Ranges'!$AL20&lt;'PIM Ranges'!$AZ$15,"Q3",IF('PIM Ranges'!$AL20&lt;'PIM Ranges'!$BA$15,"Q4","Q5")))),IF('PIM Ranges'!$AK20='PIM Ranges'!$AW$16,IF('PIM Ranges'!$AL20&lt;'PIM Ranges'!$AX$16,"Q1",IF('PIM Ranges'!$AL20&lt;'PIM Ranges'!$AY$16,"Q2",IF('PIM Ranges'!$AL20&lt;'PIM Ranges'!$AZ$16,"Q3",IF('PIM Ranges'!$AL20&lt;'PIM Ranges'!$BA$16,"Q4","Q5")))),IF('PIM Ranges'!$AK20='PIM Ranges'!$AW$17,IF('PIM Ranges'!$AL20&lt;'PIM Ranges'!$AX$17,"Q1",IF('PIM Ranges'!$AL20&lt;'PIM Ranges'!$AY$17,"Q2",IF('PIM Ranges'!$AL20&lt;'PIM Ranges'!$AZ$17,"Q3",IF('PIM Ranges'!$AL20&lt;'PIM Ranges'!$BA$17,"Q4","Q5")))),IF('PIM Ranges'!$AK20='PIM Ranges'!$AW$18,IF('PIM Ranges'!$AL20&lt;'PIM Ranges'!$AX$18,"Q1",IF('PIM Ranges'!$AL20&lt;'PIM Ranges'!$AY$18,"Q2",IF('PIM Ranges'!$AL20&lt;'PIM Ranges'!$AZ$18,"Q3",IF('PIM Ranges'!$AL20&lt;'PIM Ranges'!$BA$18,"Q4","Q5")))),IF('PIM Ranges'!$AK20='PIM Ranges'!$AW$19,IF('PIM Ranges'!$AL20&lt;'PIM Ranges'!$AX$19,"Q1",IF('PIM Ranges'!$AL20&lt;'PIM Ranges'!$AY$19,"Q2",IF('PIM Ranges'!$AL20&lt;'PIM Ranges'!$AZ$19,"Q3",IF('PIM Ranges'!$AL20&lt;'PIM Ranges'!$BA$19,"Q4","Q5")))),IF('PIM Ranges'!$AK20='PIM Ranges'!$AW$20,IF('PIM Ranges'!$AL20&lt;'PIM Ranges'!$AX$20,"Q1",IF('PIM Ranges'!$AL20&lt;'PIM Ranges'!$AY$20,"Q2",IF('PIM Ranges'!$AL20&lt;'PIM Ranges'!$AZ$20,"Q3",IF('PIM Ranges'!$AL20&lt;'PIM Ranges'!$BA$20,"Q4","Q5")))),IF('PIM Ranges'!$AK20='PIM Ranges'!$AW$21,IF('PIM Ranges'!$AL20&lt;'PIM Ranges'!$AX$21,"Q1",IF('PIM Ranges'!$AL20&lt;'PIM Ranges'!$AY$21,"Q2",IF('PIM Ranges'!$AL20&lt;'PIM Ranges'!$AZ$21,"Q3",IF('PIM Ranges'!$AL20&lt;'PIM Ranges'!$BA$21,"Q4","Q5")))),IF('PIM Ranges'!$AK20='PIM Ranges'!$AW$22,IF('PIM Ranges'!$AL20&lt;'PIM Ranges'!$AX$22,"Q1",IF('PIM Ranges'!$AL20&lt;'PIM Ranges'!$AY$22,"Q2",IF('PIM Ranges'!$AL20&lt;'PIM Ranges'!$AZ$22,"Q3",IF('PIM Ranges'!$AL20&lt;'PIM Ranges'!$BA$22,"Q4","Q5")))),IF('PIM Ranges'!$AK20='PIM Ranges'!$AW$23,IF('PIM Ranges'!$AL20&lt;'PIM Ranges'!$AX$23,"Q1",IF('PIM Ranges'!$AL20&lt;'PIM Ranges'!$AY$23,"Q2",IF('PIM Ranges'!$AL20&lt;'PIM Ranges'!$AZ$23,"Q3",IF('PIM Ranges'!$AL20&lt;'PIM Ranges'!$BA$23,"Q4","Q5")))),IF('PIM Ranges'!$AK20='PIM Ranges'!$AW$24,IF('PIM Ranges'!$AL20&lt;'PIM Ranges'!$AX$24,"Q1",IF('PIM Ranges'!$AL20&lt;'PIM Ranges'!$AY$24,"Q2",IF('PIM Ranges'!$AL20&lt;'PIM Ranges'!$AZ$24,"Q3",IF('PIM Ranges'!$AL20&lt;'PIM Ranges'!$BA$24,"Q4","Q5")))),IF('PIM Ranges'!$AK20='PIM Ranges'!$AW$25,IF('PIM Ranges'!$AL20&lt;'PIM Ranges'!$AX$25,"Q1",IF('PIM Ranges'!$AL20&lt;'PIM Ranges'!$AY$25,"Q2",IF('PIM Ranges'!$AL20&lt;'PIM Ranges'!$AZ$25,"Q3",IF('PIM Ranges'!$AL20&lt;'PIM Ranges'!$BA$25,"Q4","Q5")))),IF('PIM Ranges'!$AK20='PIM Ranges'!$AW$26,IF('PIM Ranges'!$AL20&lt;'PIM Ranges'!$AX$26,"Q1",IF('PIM Ranges'!$AL20&lt;'PIM Ranges'!$AY$26,"Q2",IF('PIM Ranges'!$AL20&lt;'PIM Ranges'!$AZ$26,"Q3",IF('PIM Ranges'!$AL20&lt;'PIM Ranges'!$BA$26,"Q4","Q5")))),IF('PIM Ranges'!$AK20='PIM Ranges'!$AW$27,IF('PIM Ranges'!$AL20&lt;'PIM Ranges'!$AX$27,"Q1",IF('PIM Ranges'!$AL20&lt;'PIM Ranges'!$AY$27,"Q2",IF('PIM Ranges'!$AL20&lt;'PIM Ranges'!$AZ$27,"Q3",IF('PIM Ranges'!$AL20&lt;'PIM Ranges'!$BA$27,"Q4","Q5")))),IF('PIM Ranges'!$AK20='PIM Ranges'!$AW$28,IF('PIM Ranges'!$AL20&lt;'PIM Ranges'!$AX$28,"Q1",IF('PIM Ranges'!$AL20&lt;'PIM Ranges'!$AY$28,"Q2",IF('PIM Ranges'!$AL20&lt;'PIM Ranges'!$AZ$28,"Q3",IF('PIM Ranges'!$AL20&lt;'PIM Ranges'!$BA$28,"Q4","Q5")))),IF('PIM Ranges'!$AK20='PIM Ranges'!$AW$29,IF('PIM Ranges'!$AL20&lt;'PIM Ranges'!$AX$29,"Q1",IF('PIM Ranges'!$AL20&lt;'PIM Ranges'!$AY$29,"Q2",IF('PIM Ranges'!$AL20&lt;'PIM Ranges'!$AZ$29,"Q3",IF('PIM Ranges'!$AL20&lt;'PIM Ranges'!$BA$29,"Q4","Q5")))),IF('PIM Ranges'!$AK20='PIM Ranges'!$AW$30,IF('PIM Ranges'!$AL20&lt;'PIM Ranges'!$AX$30,"Q1",IF('PIM Ranges'!$AL20&lt;'PIM Ranges'!$AY$30,"Q2",IF('PIM Ranges'!$AL20&lt;'PIM Ranges'!$AZ$30,"Q3",IF('PIM Ranges'!$AL20&lt;'PIM Ranges'!$BA$30,"Q4","Q5")))),IF('PIM Ranges'!$AK20='PIM Ranges'!$AW$31,IF('PIM Ranges'!$AL20&lt;'PIM Ranges'!$AX$31,"Q1",IF('PIM Ranges'!$AL20&lt;'PIM Ranges'!$AY$31,"Q2",IF('PIM Ranges'!$AL20&lt;'PIM Ranges'!$AZ$31,"Q3",IF('PIM Ranges'!$AL20&lt;'PIM Ranges'!$BA$31,"Q4","Q5")))),IF('PIM Ranges'!$AK20='PIM Ranges'!$AW$32,IF('PIM Ranges'!$AL20&lt;'PIM Ranges'!$AX$32,"Q1",IF('PIM Ranges'!$AL20&lt;'PIM Ranges'!$AY$32,"Q2",IF('PIM Ranges'!$AL20&lt;'PIM Ranges'!$AZ$32,"Q3",IF('PIM Ranges'!$AL20&lt;'PIM Ranges'!$BA$32,"Q4","Q5"))))))))))))))))))))))))))</f>
        <v>#DIV/0!</v>
      </c>
      <c r="AV20" s="500"/>
      <c r="AW20" s="52" t="s">
        <v>96</v>
      </c>
      <c r="AX20" s="501">
        <v>830</v>
      </c>
      <c r="AY20" s="501">
        <v>2480</v>
      </c>
      <c r="AZ20" s="501">
        <v>6004</v>
      </c>
      <c r="BA20" s="501">
        <v>13761</v>
      </c>
      <c r="BD20" s="52" t="s">
        <v>96</v>
      </c>
      <c r="BE20" s="501">
        <v>1562</v>
      </c>
      <c r="BF20" s="501">
        <v>5701</v>
      </c>
      <c r="BG20" s="501">
        <v>19578</v>
      </c>
      <c r="BH20" s="501">
        <v>45979</v>
      </c>
    </row>
    <row r="21" spans="1:60" x14ac:dyDescent="0.25">
      <c r="A21" t="e">
        <f t="shared" si="13"/>
        <v>#DIV/0!</v>
      </c>
      <c r="B21">
        <v>12</v>
      </c>
      <c r="C21" t="s">
        <v>101</v>
      </c>
      <c r="D21" s="25">
        <f>'Multi-Customer'!C23</f>
        <v>0</v>
      </c>
      <c r="E21">
        <f>'Multi-Customer'!D23</f>
        <v>0</v>
      </c>
      <c r="F21">
        <f>'Multi-Customer'!E23</f>
        <v>0</v>
      </c>
      <c r="G21" s="328">
        <f>'Multi-Customer'!F23</f>
        <v>0</v>
      </c>
      <c r="H21" s="19">
        <f t="shared" si="14"/>
        <v>0</v>
      </c>
      <c r="I21" s="19">
        <f t="shared" si="15"/>
        <v>0</v>
      </c>
      <c r="J21" s="328"/>
      <c r="K21" s="328" t="str">
        <f>'PIM Model'!E19</f>
        <v>INCLUDE</v>
      </c>
      <c r="L21" s="328" t="e">
        <f t="shared" si="0"/>
        <v>#DIV/0!</v>
      </c>
      <c r="M21">
        <v>12</v>
      </c>
      <c r="N21" s="328" t="s">
        <v>101</v>
      </c>
      <c r="O21" s="328" t="e">
        <f t="shared" si="1"/>
        <v>#DIV/0!</v>
      </c>
      <c r="P21" s="328" t="e">
        <f t="shared" si="2"/>
        <v>#DIV/0!</v>
      </c>
      <c r="Q21" s="328" t="e">
        <f t="shared" si="3"/>
        <v>#DIV/0!</v>
      </c>
      <c r="R21" s="328" t="e">
        <f t="shared" si="4"/>
        <v>#DIV/0!</v>
      </c>
      <c r="S21" s="328">
        <f t="shared" si="16"/>
        <v>0</v>
      </c>
      <c r="T21" s="19">
        <f t="shared" si="17"/>
        <v>0</v>
      </c>
      <c r="U21" s="19"/>
      <c r="V21" s="2">
        <f>'PIM Model'!$C$19</f>
        <v>0</v>
      </c>
      <c r="W21" s="611" t="e">
        <f>'Multi-Customer'!M23</f>
        <v>#DIV/0!</v>
      </c>
      <c r="X21" s="19" t="e">
        <f t="shared" si="18"/>
        <v>#DIV/0!</v>
      </c>
      <c r="Y21" s="328" t="e">
        <f t="shared" si="19"/>
        <v>#DIV/0!</v>
      </c>
      <c r="Z21" s="328" t="e">
        <f t="shared" si="20"/>
        <v>#DIV/0!</v>
      </c>
      <c r="AA21" s="328" t="e">
        <f t="shared" si="21"/>
        <v>#DIV/0!</v>
      </c>
      <c r="AB21" s="612" t="e">
        <f t="shared" si="22"/>
        <v>#DIV/0!</v>
      </c>
      <c r="AC21" s="612" t="e">
        <f t="shared" si="23"/>
        <v>#DIV/0!</v>
      </c>
      <c r="AD21" s="328" t="e">
        <f t="shared" si="5"/>
        <v>#DIV/0!</v>
      </c>
      <c r="AE21" s="328"/>
      <c r="AF21" s="328" t="e">
        <f t="shared" si="24"/>
        <v>#DIV/0!</v>
      </c>
      <c r="AG21" s="39">
        <f>'PIM Model'!B19</f>
        <v>0</v>
      </c>
      <c r="AH21" s="468" t="e">
        <f t="shared" si="6"/>
        <v>#DIV/0!</v>
      </c>
      <c r="AI21" s="468" t="e">
        <f t="shared" si="25"/>
        <v>#DIV/0!</v>
      </c>
      <c r="AJ21">
        <v>12</v>
      </c>
      <c r="AK21" s="469" t="s">
        <v>101</v>
      </c>
      <c r="AL21" s="469" t="e">
        <f t="shared" si="7"/>
        <v>#DIV/0!</v>
      </c>
      <c r="AM21" s="469">
        <f t="shared" si="8"/>
        <v>0</v>
      </c>
      <c r="AN21" s="469">
        <f t="shared" si="9"/>
        <v>0</v>
      </c>
      <c r="AO21" s="470">
        <f t="shared" si="10"/>
        <v>0</v>
      </c>
      <c r="AP21" s="470">
        <f t="shared" si="11"/>
        <v>0</v>
      </c>
      <c r="AQ21" s="1" t="e">
        <f t="shared" si="12"/>
        <v>#DIV/0!</v>
      </c>
      <c r="AR21" s="1" t="e">
        <f>IF('PIM Ranges'!$AK21='PIM Ranges'!$AW$11,IF('PIM Ranges'!$AL21&lt;'PIM Ranges'!$AX$11,"Q1",IF('PIM Ranges'!$AL21&lt;'PIM Ranges'!$AY$11,"Q2",IF('PIM Ranges'!$AL21&lt;'PIM Ranges'!$AZ$11,"Q3",IF('PIM Ranges'!$AL21&lt;'PIM Ranges'!$BA$11,"Q4","Q5")))),IF('PIM Ranges'!$AK21='PIM Ranges'!$AW$12,IF('PIM Ranges'!$AL21&lt;'PIM Ranges'!$AX$12,"Q1",IF('PIM Ranges'!$AL21&lt;'PIM Ranges'!$AY$12,"Q2",IF('PIM Ranges'!$AL21&lt;'PIM Ranges'!$AZ$12,"Q3",IF('PIM Ranges'!$AL21&lt;'PIM Ranges'!$BA$12,"Q4","Q5")))),IF('PIM Ranges'!$AK21='PIM Ranges'!$AW$13,IF('PIM Ranges'!$AL21&lt;'PIM Ranges'!$AX$13,"Q1",IF('PIM Ranges'!$AL21&lt;'PIM Ranges'!$AY$13,"Q2",IF('PIM Ranges'!$AL21&lt;'PIM Ranges'!$AZ$13,"Q3",IF('PIM Ranges'!$AL21&lt;'PIM Ranges'!$BA$13,"Q4","Q5")))),IF('PIM Ranges'!$AK21='PIM Ranges'!$AW$14,IF('PIM Ranges'!$AL21&lt;'PIM Ranges'!$AX$14,"Q1",IF('PIM Ranges'!$AL21&lt;'PIM Ranges'!$AY$14,"Q2",IF('PIM Ranges'!$AL21&lt;'PIM Ranges'!$AZ$14,"Q3",IF('PIM Ranges'!$AL21&lt;'PIM Ranges'!$BA$14,"Q4","Q5")))),IF('PIM Ranges'!$AK21='PIM Ranges'!$AW$15,IF('PIM Ranges'!$AL21&lt;'PIM Ranges'!$AX$15,"Q1",IF('PIM Ranges'!$AL21&lt;'PIM Ranges'!$AY$15,"Q2",IF('PIM Ranges'!$AL21&lt;'PIM Ranges'!$AZ$15,"Q3",IF('PIM Ranges'!$AL21&lt;'PIM Ranges'!$BA$15,"Q4","Q5")))),IF('PIM Ranges'!$AK21='PIM Ranges'!$AW$16,IF('PIM Ranges'!$AL21&lt;'PIM Ranges'!$AX$16,"Q1",IF('PIM Ranges'!$AL21&lt;'PIM Ranges'!$AY$16,"Q2",IF('PIM Ranges'!$AL21&lt;'PIM Ranges'!$AZ$16,"Q3",IF('PIM Ranges'!$AL21&lt;'PIM Ranges'!$BA$16,"Q4","Q5")))),IF('PIM Ranges'!$AK21='PIM Ranges'!$AW$17,IF('PIM Ranges'!$AL21&lt;'PIM Ranges'!$AX$17,"Q1",IF('PIM Ranges'!$AL21&lt;'PIM Ranges'!$AY$17,"Q2",IF('PIM Ranges'!$AL21&lt;'PIM Ranges'!$AZ$17,"Q3",IF('PIM Ranges'!$AL21&lt;'PIM Ranges'!$BA$17,"Q4","Q5")))),IF('PIM Ranges'!$AK21='PIM Ranges'!$AW$18,IF('PIM Ranges'!$AL21&lt;'PIM Ranges'!$AX$18,"Q1",IF('PIM Ranges'!$AL21&lt;'PIM Ranges'!$AY$18,"Q2",IF('PIM Ranges'!$AL21&lt;'PIM Ranges'!$AZ$18,"Q3",IF('PIM Ranges'!$AL21&lt;'PIM Ranges'!$BA$18,"Q4","Q5")))),IF('PIM Ranges'!$AK21='PIM Ranges'!$AW$19,IF('PIM Ranges'!$AL21&lt;'PIM Ranges'!$AX$19,"Q1",IF('PIM Ranges'!$AL21&lt;'PIM Ranges'!$AY$19,"Q2",IF('PIM Ranges'!$AL21&lt;'PIM Ranges'!$AZ$19,"Q3",IF('PIM Ranges'!$AL21&lt;'PIM Ranges'!$BA$19,"Q4","Q5")))),IF('PIM Ranges'!$AK21='PIM Ranges'!$AW$20,IF('PIM Ranges'!$AL21&lt;'PIM Ranges'!$AX$20,"Q1",IF('PIM Ranges'!$AL21&lt;'PIM Ranges'!$AY$20,"Q2",IF('PIM Ranges'!$AL21&lt;'PIM Ranges'!$AZ$20,"Q3",IF('PIM Ranges'!$AL21&lt;'PIM Ranges'!$BA$20,"Q4","Q5")))),IF('PIM Ranges'!$AK21='PIM Ranges'!$AW$21,IF('PIM Ranges'!$AL21&lt;'PIM Ranges'!$AX$21,"Q1",IF('PIM Ranges'!$AL21&lt;'PIM Ranges'!$AY$21,"Q2",IF('PIM Ranges'!$AL21&lt;'PIM Ranges'!$AZ$21,"Q3",IF('PIM Ranges'!$AL21&lt;'PIM Ranges'!$BA$21,"Q4","Q5")))),IF('PIM Ranges'!$AK21='PIM Ranges'!$AW$22,IF('PIM Ranges'!$AL21&lt;'PIM Ranges'!$AX$22,"Q1",IF('PIM Ranges'!$AL21&lt;'PIM Ranges'!$AY$22,"Q2",IF('PIM Ranges'!$AL21&lt;'PIM Ranges'!$AZ$22,"Q3",IF('PIM Ranges'!$AL21&lt;'PIM Ranges'!$BA$22,"Q4","Q5")))),IF('PIM Ranges'!$AK21='PIM Ranges'!$AW$23,IF('PIM Ranges'!$AL21&lt;'PIM Ranges'!$AX$23,"Q1",IF('PIM Ranges'!$AL21&lt;'PIM Ranges'!$AY$23,"Q2",IF('PIM Ranges'!$AL21&lt;'PIM Ranges'!$AZ$23,"Q3",IF('PIM Ranges'!$AL21&lt;'PIM Ranges'!$BA$23,"Q4","Q5")))),IF('PIM Ranges'!$AK21='PIM Ranges'!$AW$24,IF('PIM Ranges'!$AL21&lt;'PIM Ranges'!$AX$24,"Q1",IF('PIM Ranges'!$AL21&lt;'PIM Ranges'!$AY$24,"Q2",IF('PIM Ranges'!$AL21&lt;'PIM Ranges'!$AZ$24,"Q3",IF('PIM Ranges'!$AL21&lt;'PIM Ranges'!$BA$24,"Q4","Q5")))),IF('PIM Ranges'!$AK21='PIM Ranges'!$AW$25,IF('PIM Ranges'!$AL21&lt;'PIM Ranges'!$AX$25,"Q1",IF('PIM Ranges'!$AL21&lt;'PIM Ranges'!$AY$25,"Q2",IF('PIM Ranges'!$AL21&lt;'PIM Ranges'!$AZ$25,"Q3",IF('PIM Ranges'!$AL21&lt;'PIM Ranges'!$BA$25,"Q4","Q5")))),IF('PIM Ranges'!$AK21='PIM Ranges'!$AW$26,IF('PIM Ranges'!$AL21&lt;'PIM Ranges'!$AX$26,"Q1",IF('PIM Ranges'!$AL21&lt;'PIM Ranges'!$AY$26,"Q2",IF('PIM Ranges'!$AL21&lt;'PIM Ranges'!$AZ$26,"Q3",IF('PIM Ranges'!$AL21&lt;'PIM Ranges'!$BA$26,"Q4","Q5")))),IF('PIM Ranges'!$AK21='PIM Ranges'!$AW$27,IF('PIM Ranges'!$AL21&lt;'PIM Ranges'!$AX$27,"Q1",IF('PIM Ranges'!$AL21&lt;'PIM Ranges'!$AY$27,"Q2",IF('PIM Ranges'!$AL21&lt;'PIM Ranges'!$AZ$27,"Q3",IF('PIM Ranges'!$AL21&lt;'PIM Ranges'!$BA$27,"Q4","Q5")))),IF('PIM Ranges'!$AK21='PIM Ranges'!$AW$28,IF('PIM Ranges'!$AL21&lt;'PIM Ranges'!$AX$28,"Q1",IF('PIM Ranges'!$AL21&lt;'PIM Ranges'!$AY$28,"Q2",IF('PIM Ranges'!$AL21&lt;'PIM Ranges'!$AZ$28,"Q3",IF('PIM Ranges'!$AL21&lt;'PIM Ranges'!$BA$28,"Q4","Q5")))),IF('PIM Ranges'!$AK21='PIM Ranges'!$AW$29,IF('PIM Ranges'!$AL21&lt;'PIM Ranges'!$AX$29,"Q1",IF('PIM Ranges'!$AL21&lt;'PIM Ranges'!$AY$29,"Q2",IF('PIM Ranges'!$AL21&lt;'PIM Ranges'!$AZ$29,"Q3",IF('PIM Ranges'!$AL21&lt;'PIM Ranges'!$BA$29,"Q4","Q5")))),IF('PIM Ranges'!$AK21='PIM Ranges'!$AW$30,IF('PIM Ranges'!$AL21&lt;'PIM Ranges'!$AX$30,"Q1",IF('PIM Ranges'!$AL21&lt;'PIM Ranges'!$AY$30,"Q2",IF('PIM Ranges'!$AL21&lt;'PIM Ranges'!$AZ$30,"Q3",IF('PIM Ranges'!$AL21&lt;'PIM Ranges'!$BA$30,"Q4","Q5")))),IF('PIM Ranges'!$AK21='PIM Ranges'!$AW$31,IF('PIM Ranges'!$AL21&lt;'PIM Ranges'!$AX$31,"Q1",IF('PIM Ranges'!$AL21&lt;'PIM Ranges'!$AY$31,"Q2",IF('PIM Ranges'!$AL21&lt;'PIM Ranges'!$AZ$31,"Q3",IF('PIM Ranges'!$AL21&lt;'PIM Ranges'!$BA$31,"Q4","Q5")))),IF('PIM Ranges'!$AK21='PIM Ranges'!$AW$32,IF('PIM Ranges'!$AL21&lt;'PIM Ranges'!$AX$32,"Q1",IF('PIM Ranges'!$AL21&lt;'PIM Ranges'!$AY$32,"Q2",IF('PIM Ranges'!$AL21&lt;'PIM Ranges'!$AZ$32,"Q3",IF('PIM Ranges'!$AL21&lt;'PIM Ranges'!$BA$32,"Q4","Q5"))))))))))))))))))))))))))</f>
        <v>#DIV/0!</v>
      </c>
      <c r="AV21" s="500"/>
      <c r="AW21" s="52" t="s">
        <v>101</v>
      </c>
      <c r="AX21" s="501">
        <v>2353</v>
      </c>
      <c r="AY21" s="501">
        <v>5189</v>
      </c>
      <c r="AZ21" s="501">
        <v>10687</v>
      </c>
      <c r="BA21" s="501">
        <v>23163</v>
      </c>
      <c r="BD21" s="52" t="s">
        <v>101</v>
      </c>
      <c r="BE21" s="501">
        <v>3473</v>
      </c>
      <c r="BF21" s="501">
        <v>9790</v>
      </c>
      <c r="BG21" s="501">
        <v>29037</v>
      </c>
      <c r="BH21" s="501">
        <v>66663</v>
      </c>
    </row>
    <row r="22" spans="1:60" x14ac:dyDescent="0.25">
      <c r="A22" t="e">
        <f t="shared" si="13"/>
        <v>#DIV/0!</v>
      </c>
      <c r="B22">
        <v>13</v>
      </c>
      <c r="C22" t="s">
        <v>97</v>
      </c>
      <c r="D22" s="25">
        <f>'Multi-Customer'!C24</f>
        <v>0</v>
      </c>
      <c r="E22">
        <f>'Multi-Customer'!D24</f>
        <v>0</v>
      </c>
      <c r="F22">
        <f>'Multi-Customer'!E24</f>
        <v>0</v>
      </c>
      <c r="G22" s="328">
        <f>'Multi-Customer'!F24</f>
        <v>0</v>
      </c>
      <c r="H22" s="19">
        <f t="shared" si="14"/>
        <v>0</v>
      </c>
      <c r="I22" s="19">
        <f t="shared" si="15"/>
        <v>0</v>
      </c>
      <c r="J22" s="328"/>
      <c r="K22" s="328" t="str">
        <f>'PIM Model'!E20</f>
        <v>INCLUDE</v>
      </c>
      <c r="L22" s="328" t="e">
        <f t="shared" si="0"/>
        <v>#DIV/0!</v>
      </c>
      <c r="M22">
        <v>13</v>
      </c>
      <c r="N22" s="328" t="s">
        <v>97</v>
      </c>
      <c r="O22" s="328" t="e">
        <f t="shared" si="1"/>
        <v>#DIV/0!</v>
      </c>
      <c r="P22" s="328" t="e">
        <f t="shared" si="2"/>
        <v>#DIV/0!</v>
      </c>
      <c r="Q22" s="328" t="e">
        <f t="shared" si="3"/>
        <v>#DIV/0!</v>
      </c>
      <c r="R22" s="328" t="e">
        <f t="shared" si="4"/>
        <v>#DIV/0!</v>
      </c>
      <c r="S22" s="328">
        <f t="shared" si="16"/>
        <v>0</v>
      </c>
      <c r="T22" s="19">
        <f t="shared" si="17"/>
        <v>0</v>
      </c>
      <c r="U22" s="19"/>
      <c r="V22" s="2">
        <f>'PIM Model'!$C$20</f>
        <v>0</v>
      </c>
      <c r="W22" s="611" t="e">
        <f>'Multi-Customer'!M24</f>
        <v>#DIV/0!</v>
      </c>
      <c r="X22" s="19" t="e">
        <f t="shared" si="18"/>
        <v>#DIV/0!</v>
      </c>
      <c r="Y22" s="328" t="e">
        <f t="shared" si="19"/>
        <v>#DIV/0!</v>
      </c>
      <c r="Z22" s="328" t="e">
        <f t="shared" si="20"/>
        <v>#DIV/0!</v>
      </c>
      <c r="AA22" s="328" t="e">
        <f t="shared" si="21"/>
        <v>#DIV/0!</v>
      </c>
      <c r="AB22" s="612" t="e">
        <f t="shared" si="22"/>
        <v>#DIV/0!</v>
      </c>
      <c r="AC22" s="612" t="e">
        <f t="shared" si="23"/>
        <v>#DIV/0!</v>
      </c>
      <c r="AD22" s="328" t="e">
        <f t="shared" si="5"/>
        <v>#DIV/0!</v>
      </c>
      <c r="AE22" s="328"/>
      <c r="AF22" s="328" t="e">
        <f t="shared" si="24"/>
        <v>#DIV/0!</v>
      </c>
      <c r="AG22" s="39">
        <f>'PIM Model'!B20</f>
        <v>0</v>
      </c>
      <c r="AH22" s="468" t="e">
        <f t="shared" si="6"/>
        <v>#DIV/0!</v>
      </c>
      <c r="AI22" s="468" t="e">
        <f t="shared" si="25"/>
        <v>#DIV/0!</v>
      </c>
      <c r="AJ22">
        <v>13</v>
      </c>
      <c r="AK22" s="469" t="s">
        <v>97</v>
      </c>
      <c r="AL22" s="469" t="e">
        <f t="shared" si="7"/>
        <v>#DIV/0!</v>
      </c>
      <c r="AM22" s="469">
        <f t="shared" si="8"/>
        <v>0</v>
      </c>
      <c r="AN22" s="469">
        <f t="shared" si="9"/>
        <v>0</v>
      </c>
      <c r="AO22" s="470">
        <f t="shared" si="10"/>
        <v>0</v>
      </c>
      <c r="AP22" s="470">
        <f t="shared" si="11"/>
        <v>0</v>
      </c>
      <c r="AQ22" s="1" t="e">
        <f t="shared" si="12"/>
        <v>#DIV/0!</v>
      </c>
      <c r="AR22" s="1" t="e">
        <f>IF('PIM Ranges'!$AK22='PIM Ranges'!$AW$11,IF('PIM Ranges'!$AL22&lt;'PIM Ranges'!$AX$11,"Q1",IF('PIM Ranges'!$AL22&lt;'PIM Ranges'!$AY$11,"Q2",IF('PIM Ranges'!$AL22&lt;'PIM Ranges'!$AZ$11,"Q3",IF('PIM Ranges'!$AL22&lt;'PIM Ranges'!$BA$11,"Q4","Q5")))),IF('PIM Ranges'!$AK22='PIM Ranges'!$AW$12,IF('PIM Ranges'!$AL22&lt;'PIM Ranges'!$AX$12,"Q1",IF('PIM Ranges'!$AL22&lt;'PIM Ranges'!$AY$12,"Q2",IF('PIM Ranges'!$AL22&lt;'PIM Ranges'!$AZ$12,"Q3",IF('PIM Ranges'!$AL22&lt;'PIM Ranges'!$BA$12,"Q4","Q5")))),IF('PIM Ranges'!$AK22='PIM Ranges'!$AW$13,IF('PIM Ranges'!$AL22&lt;'PIM Ranges'!$AX$13,"Q1",IF('PIM Ranges'!$AL22&lt;'PIM Ranges'!$AY$13,"Q2",IF('PIM Ranges'!$AL22&lt;'PIM Ranges'!$AZ$13,"Q3",IF('PIM Ranges'!$AL22&lt;'PIM Ranges'!$BA$13,"Q4","Q5")))),IF('PIM Ranges'!$AK22='PIM Ranges'!$AW$14,IF('PIM Ranges'!$AL22&lt;'PIM Ranges'!$AX$14,"Q1",IF('PIM Ranges'!$AL22&lt;'PIM Ranges'!$AY$14,"Q2",IF('PIM Ranges'!$AL22&lt;'PIM Ranges'!$AZ$14,"Q3",IF('PIM Ranges'!$AL22&lt;'PIM Ranges'!$BA$14,"Q4","Q5")))),IF('PIM Ranges'!$AK22='PIM Ranges'!$AW$15,IF('PIM Ranges'!$AL22&lt;'PIM Ranges'!$AX$15,"Q1",IF('PIM Ranges'!$AL22&lt;'PIM Ranges'!$AY$15,"Q2",IF('PIM Ranges'!$AL22&lt;'PIM Ranges'!$AZ$15,"Q3",IF('PIM Ranges'!$AL22&lt;'PIM Ranges'!$BA$15,"Q4","Q5")))),IF('PIM Ranges'!$AK22='PIM Ranges'!$AW$16,IF('PIM Ranges'!$AL22&lt;'PIM Ranges'!$AX$16,"Q1",IF('PIM Ranges'!$AL22&lt;'PIM Ranges'!$AY$16,"Q2",IF('PIM Ranges'!$AL22&lt;'PIM Ranges'!$AZ$16,"Q3",IF('PIM Ranges'!$AL22&lt;'PIM Ranges'!$BA$16,"Q4","Q5")))),IF('PIM Ranges'!$AK22='PIM Ranges'!$AW$17,IF('PIM Ranges'!$AL22&lt;'PIM Ranges'!$AX$17,"Q1",IF('PIM Ranges'!$AL22&lt;'PIM Ranges'!$AY$17,"Q2",IF('PIM Ranges'!$AL22&lt;'PIM Ranges'!$AZ$17,"Q3",IF('PIM Ranges'!$AL22&lt;'PIM Ranges'!$BA$17,"Q4","Q5")))),IF('PIM Ranges'!$AK22='PIM Ranges'!$AW$18,IF('PIM Ranges'!$AL22&lt;'PIM Ranges'!$AX$18,"Q1",IF('PIM Ranges'!$AL22&lt;'PIM Ranges'!$AY$18,"Q2",IF('PIM Ranges'!$AL22&lt;'PIM Ranges'!$AZ$18,"Q3",IF('PIM Ranges'!$AL22&lt;'PIM Ranges'!$BA$18,"Q4","Q5")))),IF('PIM Ranges'!$AK22='PIM Ranges'!$AW$19,IF('PIM Ranges'!$AL22&lt;'PIM Ranges'!$AX$19,"Q1",IF('PIM Ranges'!$AL22&lt;'PIM Ranges'!$AY$19,"Q2",IF('PIM Ranges'!$AL22&lt;'PIM Ranges'!$AZ$19,"Q3",IF('PIM Ranges'!$AL22&lt;'PIM Ranges'!$BA$19,"Q4","Q5")))),IF('PIM Ranges'!$AK22='PIM Ranges'!$AW$20,IF('PIM Ranges'!$AL22&lt;'PIM Ranges'!$AX$20,"Q1",IF('PIM Ranges'!$AL22&lt;'PIM Ranges'!$AY$20,"Q2",IF('PIM Ranges'!$AL22&lt;'PIM Ranges'!$AZ$20,"Q3",IF('PIM Ranges'!$AL22&lt;'PIM Ranges'!$BA$20,"Q4","Q5")))),IF('PIM Ranges'!$AK22='PIM Ranges'!$AW$21,IF('PIM Ranges'!$AL22&lt;'PIM Ranges'!$AX$21,"Q1",IF('PIM Ranges'!$AL22&lt;'PIM Ranges'!$AY$21,"Q2",IF('PIM Ranges'!$AL22&lt;'PIM Ranges'!$AZ$21,"Q3",IF('PIM Ranges'!$AL22&lt;'PIM Ranges'!$BA$21,"Q4","Q5")))),IF('PIM Ranges'!$AK22='PIM Ranges'!$AW$22,IF('PIM Ranges'!$AL22&lt;'PIM Ranges'!$AX$22,"Q1",IF('PIM Ranges'!$AL22&lt;'PIM Ranges'!$AY$22,"Q2",IF('PIM Ranges'!$AL22&lt;'PIM Ranges'!$AZ$22,"Q3",IF('PIM Ranges'!$AL22&lt;'PIM Ranges'!$BA$22,"Q4","Q5")))),IF('PIM Ranges'!$AK22='PIM Ranges'!$AW$23,IF('PIM Ranges'!$AL22&lt;'PIM Ranges'!$AX$23,"Q1",IF('PIM Ranges'!$AL22&lt;'PIM Ranges'!$AY$23,"Q2",IF('PIM Ranges'!$AL22&lt;'PIM Ranges'!$AZ$23,"Q3",IF('PIM Ranges'!$AL22&lt;'PIM Ranges'!$BA$23,"Q4","Q5")))),IF('PIM Ranges'!$AK22='PIM Ranges'!$AW$24,IF('PIM Ranges'!$AL22&lt;'PIM Ranges'!$AX$24,"Q1",IF('PIM Ranges'!$AL22&lt;'PIM Ranges'!$AY$24,"Q2",IF('PIM Ranges'!$AL22&lt;'PIM Ranges'!$AZ$24,"Q3",IF('PIM Ranges'!$AL22&lt;'PIM Ranges'!$BA$24,"Q4","Q5")))),IF('PIM Ranges'!$AK22='PIM Ranges'!$AW$25,IF('PIM Ranges'!$AL22&lt;'PIM Ranges'!$AX$25,"Q1",IF('PIM Ranges'!$AL22&lt;'PIM Ranges'!$AY$25,"Q2",IF('PIM Ranges'!$AL22&lt;'PIM Ranges'!$AZ$25,"Q3",IF('PIM Ranges'!$AL22&lt;'PIM Ranges'!$BA$25,"Q4","Q5")))),IF('PIM Ranges'!$AK22='PIM Ranges'!$AW$26,IF('PIM Ranges'!$AL22&lt;'PIM Ranges'!$AX$26,"Q1",IF('PIM Ranges'!$AL22&lt;'PIM Ranges'!$AY$26,"Q2",IF('PIM Ranges'!$AL22&lt;'PIM Ranges'!$AZ$26,"Q3",IF('PIM Ranges'!$AL22&lt;'PIM Ranges'!$BA$26,"Q4","Q5")))),IF('PIM Ranges'!$AK22='PIM Ranges'!$AW$27,IF('PIM Ranges'!$AL22&lt;'PIM Ranges'!$AX$27,"Q1",IF('PIM Ranges'!$AL22&lt;'PIM Ranges'!$AY$27,"Q2",IF('PIM Ranges'!$AL22&lt;'PIM Ranges'!$AZ$27,"Q3",IF('PIM Ranges'!$AL22&lt;'PIM Ranges'!$BA$27,"Q4","Q5")))),IF('PIM Ranges'!$AK22='PIM Ranges'!$AW$28,IF('PIM Ranges'!$AL22&lt;'PIM Ranges'!$AX$28,"Q1",IF('PIM Ranges'!$AL22&lt;'PIM Ranges'!$AY$28,"Q2",IF('PIM Ranges'!$AL22&lt;'PIM Ranges'!$AZ$28,"Q3",IF('PIM Ranges'!$AL22&lt;'PIM Ranges'!$BA$28,"Q4","Q5")))),IF('PIM Ranges'!$AK22='PIM Ranges'!$AW$29,IF('PIM Ranges'!$AL22&lt;'PIM Ranges'!$AX$29,"Q1",IF('PIM Ranges'!$AL22&lt;'PIM Ranges'!$AY$29,"Q2",IF('PIM Ranges'!$AL22&lt;'PIM Ranges'!$AZ$29,"Q3",IF('PIM Ranges'!$AL22&lt;'PIM Ranges'!$BA$29,"Q4","Q5")))),IF('PIM Ranges'!$AK22='PIM Ranges'!$AW$30,IF('PIM Ranges'!$AL22&lt;'PIM Ranges'!$AX$30,"Q1",IF('PIM Ranges'!$AL22&lt;'PIM Ranges'!$AY$30,"Q2",IF('PIM Ranges'!$AL22&lt;'PIM Ranges'!$AZ$30,"Q3",IF('PIM Ranges'!$AL22&lt;'PIM Ranges'!$BA$30,"Q4","Q5")))),IF('PIM Ranges'!$AK22='PIM Ranges'!$AW$31,IF('PIM Ranges'!$AL22&lt;'PIM Ranges'!$AX$31,"Q1",IF('PIM Ranges'!$AL22&lt;'PIM Ranges'!$AY$31,"Q2",IF('PIM Ranges'!$AL22&lt;'PIM Ranges'!$AZ$31,"Q3",IF('PIM Ranges'!$AL22&lt;'PIM Ranges'!$BA$31,"Q4","Q5")))),IF('PIM Ranges'!$AK22='PIM Ranges'!$AW$32,IF('PIM Ranges'!$AL22&lt;'PIM Ranges'!$AX$32,"Q1",IF('PIM Ranges'!$AL22&lt;'PIM Ranges'!$AY$32,"Q2",IF('PIM Ranges'!$AL22&lt;'PIM Ranges'!$AZ$32,"Q3",IF('PIM Ranges'!$AL22&lt;'PIM Ranges'!$BA$32,"Q4","Q5"))))))))))))))))))))))))))</f>
        <v>#DIV/0!</v>
      </c>
      <c r="AV22" s="500"/>
      <c r="AW22" s="52" t="s">
        <v>97</v>
      </c>
      <c r="AX22" s="501">
        <v>26250</v>
      </c>
      <c r="AY22" s="501">
        <v>37715</v>
      </c>
      <c r="AZ22" s="501">
        <v>54986</v>
      </c>
      <c r="BA22" s="501">
        <v>98006</v>
      </c>
      <c r="BD22" s="52" t="s">
        <v>97</v>
      </c>
      <c r="BE22" s="501">
        <v>34732</v>
      </c>
      <c r="BF22" s="501">
        <v>78310</v>
      </c>
      <c r="BG22" s="501">
        <v>203159</v>
      </c>
      <c r="BH22" s="501">
        <v>451886</v>
      </c>
    </row>
    <row r="23" spans="1:60" x14ac:dyDescent="0.25">
      <c r="A23" t="e">
        <f t="shared" si="13"/>
        <v>#DIV/0!</v>
      </c>
      <c r="B23">
        <v>14</v>
      </c>
      <c r="C23" t="s">
        <v>93</v>
      </c>
      <c r="D23" s="25">
        <f>'Multi-Customer'!C25</f>
        <v>0</v>
      </c>
      <c r="E23">
        <f>'Multi-Customer'!D25</f>
        <v>0</v>
      </c>
      <c r="F23">
        <f>'Multi-Customer'!E25</f>
        <v>0</v>
      </c>
      <c r="G23" s="328">
        <f>'Multi-Customer'!F25</f>
        <v>0</v>
      </c>
      <c r="H23" s="19">
        <f t="shared" si="14"/>
        <v>0</v>
      </c>
      <c r="I23" s="19">
        <f t="shared" si="15"/>
        <v>0</v>
      </c>
      <c r="J23" s="328"/>
      <c r="K23" s="328" t="str">
        <f>'PIM Model'!E21</f>
        <v>INCLUDE</v>
      </c>
      <c r="L23" s="328" t="e">
        <f t="shared" si="0"/>
        <v>#DIV/0!</v>
      </c>
      <c r="M23">
        <v>14</v>
      </c>
      <c r="N23" s="328" t="s">
        <v>93</v>
      </c>
      <c r="O23" s="328" t="e">
        <f t="shared" si="1"/>
        <v>#DIV/0!</v>
      </c>
      <c r="P23" s="328" t="e">
        <f t="shared" si="2"/>
        <v>#DIV/0!</v>
      </c>
      <c r="Q23" s="328" t="e">
        <f t="shared" si="3"/>
        <v>#DIV/0!</v>
      </c>
      <c r="R23" s="328" t="e">
        <f t="shared" si="4"/>
        <v>#DIV/0!</v>
      </c>
      <c r="S23" s="328">
        <f t="shared" si="16"/>
        <v>0</v>
      </c>
      <c r="T23" s="19">
        <f t="shared" si="17"/>
        <v>0</v>
      </c>
      <c r="U23" s="19"/>
      <c r="V23" s="2">
        <f>'PIM Model'!$C$21</f>
        <v>0</v>
      </c>
      <c r="W23" s="611" t="e">
        <f>'Multi-Customer'!M25</f>
        <v>#DIV/0!</v>
      </c>
      <c r="X23" s="19" t="e">
        <f t="shared" si="18"/>
        <v>#DIV/0!</v>
      </c>
      <c r="Y23" s="328" t="e">
        <f t="shared" si="19"/>
        <v>#DIV/0!</v>
      </c>
      <c r="Z23" s="328" t="e">
        <f t="shared" si="20"/>
        <v>#DIV/0!</v>
      </c>
      <c r="AA23" s="328" t="e">
        <f t="shared" si="21"/>
        <v>#DIV/0!</v>
      </c>
      <c r="AB23" s="612" t="e">
        <f t="shared" si="22"/>
        <v>#DIV/0!</v>
      </c>
      <c r="AC23" s="612" t="e">
        <f t="shared" si="23"/>
        <v>#DIV/0!</v>
      </c>
      <c r="AD23" s="328" t="e">
        <f t="shared" si="5"/>
        <v>#DIV/0!</v>
      </c>
      <c r="AE23" s="328"/>
      <c r="AF23" s="328" t="e">
        <f t="shared" si="24"/>
        <v>#DIV/0!</v>
      </c>
      <c r="AG23" s="39">
        <f>'PIM Model'!B21</f>
        <v>0</v>
      </c>
      <c r="AH23" s="468" t="e">
        <f t="shared" si="6"/>
        <v>#DIV/0!</v>
      </c>
      <c r="AI23" s="468" t="e">
        <f t="shared" si="25"/>
        <v>#DIV/0!</v>
      </c>
      <c r="AJ23">
        <v>14</v>
      </c>
      <c r="AK23" s="469" t="s">
        <v>93</v>
      </c>
      <c r="AL23" s="469" t="e">
        <f t="shared" si="7"/>
        <v>#DIV/0!</v>
      </c>
      <c r="AM23" s="469">
        <f t="shared" si="8"/>
        <v>0</v>
      </c>
      <c r="AN23" s="469">
        <f t="shared" si="9"/>
        <v>0</v>
      </c>
      <c r="AO23" s="470">
        <f t="shared" si="10"/>
        <v>0</v>
      </c>
      <c r="AP23" s="470">
        <f t="shared" si="11"/>
        <v>0</v>
      </c>
      <c r="AQ23" s="1" t="e">
        <f t="shared" si="12"/>
        <v>#DIV/0!</v>
      </c>
      <c r="AR23" s="1" t="e">
        <f>IF('PIM Ranges'!$AK23='PIM Ranges'!$AW$11,IF('PIM Ranges'!$AL23&lt;'PIM Ranges'!$AX$11,"Q1",IF('PIM Ranges'!$AL23&lt;'PIM Ranges'!$AY$11,"Q2",IF('PIM Ranges'!$AL23&lt;'PIM Ranges'!$AZ$11,"Q3",IF('PIM Ranges'!$AL23&lt;'PIM Ranges'!$BA$11,"Q4","Q5")))),IF('PIM Ranges'!$AK23='PIM Ranges'!$AW$12,IF('PIM Ranges'!$AL23&lt;'PIM Ranges'!$AX$12,"Q1",IF('PIM Ranges'!$AL23&lt;'PIM Ranges'!$AY$12,"Q2",IF('PIM Ranges'!$AL23&lt;'PIM Ranges'!$AZ$12,"Q3",IF('PIM Ranges'!$AL23&lt;'PIM Ranges'!$BA$12,"Q4","Q5")))),IF('PIM Ranges'!$AK23='PIM Ranges'!$AW$13,IF('PIM Ranges'!$AL23&lt;'PIM Ranges'!$AX$13,"Q1",IF('PIM Ranges'!$AL23&lt;'PIM Ranges'!$AY$13,"Q2",IF('PIM Ranges'!$AL23&lt;'PIM Ranges'!$AZ$13,"Q3",IF('PIM Ranges'!$AL23&lt;'PIM Ranges'!$BA$13,"Q4","Q5")))),IF('PIM Ranges'!$AK23='PIM Ranges'!$AW$14,IF('PIM Ranges'!$AL23&lt;'PIM Ranges'!$AX$14,"Q1",IF('PIM Ranges'!$AL23&lt;'PIM Ranges'!$AY$14,"Q2",IF('PIM Ranges'!$AL23&lt;'PIM Ranges'!$AZ$14,"Q3",IF('PIM Ranges'!$AL23&lt;'PIM Ranges'!$BA$14,"Q4","Q5")))),IF('PIM Ranges'!$AK23='PIM Ranges'!$AW$15,IF('PIM Ranges'!$AL23&lt;'PIM Ranges'!$AX$15,"Q1",IF('PIM Ranges'!$AL23&lt;'PIM Ranges'!$AY$15,"Q2",IF('PIM Ranges'!$AL23&lt;'PIM Ranges'!$AZ$15,"Q3",IF('PIM Ranges'!$AL23&lt;'PIM Ranges'!$BA$15,"Q4","Q5")))),IF('PIM Ranges'!$AK23='PIM Ranges'!$AW$16,IF('PIM Ranges'!$AL23&lt;'PIM Ranges'!$AX$16,"Q1",IF('PIM Ranges'!$AL23&lt;'PIM Ranges'!$AY$16,"Q2",IF('PIM Ranges'!$AL23&lt;'PIM Ranges'!$AZ$16,"Q3",IF('PIM Ranges'!$AL23&lt;'PIM Ranges'!$BA$16,"Q4","Q5")))),IF('PIM Ranges'!$AK23='PIM Ranges'!$AW$17,IF('PIM Ranges'!$AL23&lt;'PIM Ranges'!$AX$17,"Q1",IF('PIM Ranges'!$AL23&lt;'PIM Ranges'!$AY$17,"Q2",IF('PIM Ranges'!$AL23&lt;'PIM Ranges'!$AZ$17,"Q3",IF('PIM Ranges'!$AL23&lt;'PIM Ranges'!$BA$17,"Q4","Q5")))),IF('PIM Ranges'!$AK23='PIM Ranges'!$AW$18,IF('PIM Ranges'!$AL23&lt;'PIM Ranges'!$AX$18,"Q1",IF('PIM Ranges'!$AL23&lt;'PIM Ranges'!$AY$18,"Q2",IF('PIM Ranges'!$AL23&lt;'PIM Ranges'!$AZ$18,"Q3",IF('PIM Ranges'!$AL23&lt;'PIM Ranges'!$BA$18,"Q4","Q5")))),IF('PIM Ranges'!$AK23='PIM Ranges'!$AW$19,IF('PIM Ranges'!$AL23&lt;'PIM Ranges'!$AX$19,"Q1",IF('PIM Ranges'!$AL23&lt;'PIM Ranges'!$AY$19,"Q2",IF('PIM Ranges'!$AL23&lt;'PIM Ranges'!$AZ$19,"Q3",IF('PIM Ranges'!$AL23&lt;'PIM Ranges'!$BA$19,"Q4","Q5")))),IF('PIM Ranges'!$AK23='PIM Ranges'!$AW$20,IF('PIM Ranges'!$AL23&lt;'PIM Ranges'!$AX$20,"Q1",IF('PIM Ranges'!$AL23&lt;'PIM Ranges'!$AY$20,"Q2",IF('PIM Ranges'!$AL23&lt;'PIM Ranges'!$AZ$20,"Q3",IF('PIM Ranges'!$AL23&lt;'PIM Ranges'!$BA$20,"Q4","Q5")))),IF('PIM Ranges'!$AK23='PIM Ranges'!$AW$21,IF('PIM Ranges'!$AL23&lt;'PIM Ranges'!$AX$21,"Q1",IF('PIM Ranges'!$AL23&lt;'PIM Ranges'!$AY$21,"Q2",IF('PIM Ranges'!$AL23&lt;'PIM Ranges'!$AZ$21,"Q3",IF('PIM Ranges'!$AL23&lt;'PIM Ranges'!$BA$21,"Q4","Q5")))),IF('PIM Ranges'!$AK23='PIM Ranges'!$AW$22,IF('PIM Ranges'!$AL23&lt;'PIM Ranges'!$AX$22,"Q1",IF('PIM Ranges'!$AL23&lt;'PIM Ranges'!$AY$22,"Q2",IF('PIM Ranges'!$AL23&lt;'PIM Ranges'!$AZ$22,"Q3",IF('PIM Ranges'!$AL23&lt;'PIM Ranges'!$BA$22,"Q4","Q5")))),IF('PIM Ranges'!$AK23='PIM Ranges'!$AW$23,IF('PIM Ranges'!$AL23&lt;'PIM Ranges'!$AX$23,"Q1",IF('PIM Ranges'!$AL23&lt;'PIM Ranges'!$AY$23,"Q2",IF('PIM Ranges'!$AL23&lt;'PIM Ranges'!$AZ$23,"Q3",IF('PIM Ranges'!$AL23&lt;'PIM Ranges'!$BA$23,"Q4","Q5")))),IF('PIM Ranges'!$AK23='PIM Ranges'!$AW$24,IF('PIM Ranges'!$AL23&lt;'PIM Ranges'!$AX$24,"Q1",IF('PIM Ranges'!$AL23&lt;'PIM Ranges'!$AY$24,"Q2",IF('PIM Ranges'!$AL23&lt;'PIM Ranges'!$AZ$24,"Q3",IF('PIM Ranges'!$AL23&lt;'PIM Ranges'!$BA$24,"Q4","Q5")))),IF('PIM Ranges'!$AK23='PIM Ranges'!$AW$25,IF('PIM Ranges'!$AL23&lt;'PIM Ranges'!$AX$25,"Q1",IF('PIM Ranges'!$AL23&lt;'PIM Ranges'!$AY$25,"Q2",IF('PIM Ranges'!$AL23&lt;'PIM Ranges'!$AZ$25,"Q3",IF('PIM Ranges'!$AL23&lt;'PIM Ranges'!$BA$25,"Q4","Q5")))),IF('PIM Ranges'!$AK23='PIM Ranges'!$AW$26,IF('PIM Ranges'!$AL23&lt;'PIM Ranges'!$AX$26,"Q1",IF('PIM Ranges'!$AL23&lt;'PIM Ranges'!$AY$26,"Q2",IF('PIM Ranges'!$AL23&lt;'PIM Ranges'!$AZ$26,"Q3",IF('PIM Ranges'!$AL23&lt;'PIM Ranges'!$BA$26,"Q4","Q5")))),IF('PIM Ranges'!$AK23='PIM Ranges'!$AW$27,IF('PIM Ranges'!$AL23&lt;'PIM Ranges'!$AX$27,"Q1",IF('PIM Ranges'!$AL23&lt;'PIM Ranges'!$AY$27,"Q2",IF('PIM Ranges'!$AL23&lt;'PIM Ranges'!$AZ$27,"Q3",IF('PIM Ranges'!$AL23&lt;'PIM Ranges'!$BA$27,"Q4","Q5")))),IF('PIM Ranges'!$AK23='PIM Ranges'!$AW$28,IF('PIM Ranges'!$AL23&lt;'PIM Ranges'!$AX$28,"Q1",IF('PIM Ranges'!$AL23&lt;'PIM Ranges'!$AY$28,"Q2",IF('PIM Ranges'!$AL23&lt;'PIM Ranges'!$AZ$28,"Q3",IF('PIM Ranges'!$AL23&lt;'PIM Ranges'!$BA$28,"Q4","Q5")))),IF('PIM Ranges'!$AK23='PIM Ranges'!$AW$29,IF('PIM Ranges'!$AL23&lt;'PIM Ranges'!$AX$29,"Q1",IF('PIM Ranges'!$AL23&lt;'PIM Ranges'!$AY$29,"Q2",IF('PIM Ranges'!$AL23&lt;'PIM Ranges'!$AZ$29,"Q3",IF('PIM Ranges'!$AL23&lt;'PIM Ranges'!$BA$29,"Q4","Q5")))),IF('PIM Ranges'!$AK23='PIM Ranges'!$AW$30,IF('PIM Ranges'!$AL23&lt;'PIM Ranges'!$AX$30,"Q1",IF('PIM Ranges'!$AL23&lt;'PIM Ranges'!$AY$30,"Q2",IF('PIM Ranges'!$AL23&lt;'PIM Ranges'!$AZ$30,"Q3",IF('PIM Ranges'!$AL23&lt;'PIM Ranges'!$BA$30,"Q4","Q5")))),IF('PIM Ranges'!$AK23='PIM Ranges'!$AW$31,IF('PIM Ranges'!$AL23&lt;'PIM Ranges'!$AX$31,"Q1",IF('PIM Ranges'!$AL23&lt;'PIM Ranges'!$AY$31,"Q2",IF('PIM Ranges'!$AL23&lt;'PIM Ranges'!$AZ$31,"Q3",IF('PIM Ranges'!$AL23&lt;'PIM Ranges'!$BA$31,"Q4","Q5")))),IF('PIM Ranges'!$AK23='PIM Ranges'!$AW$32,IF('PIM Ranges'!$AL23&lt;'PIM Ranges'!$AX$32,"Q1",IF('PIM Ranges'!$AL23&lt;'PIM Ranges'!$AY$32,"Q2",IF('PIM Ranges'!$AL23&lt;'PIM Ranges'!$AZ$32,"Q3",IF('PIM Ranges'!$AL23&lt;'PIM Ranges'!$BA$32,"Q4","Q5"))))))))))))))))))))))))))</f>
        <v>#DIV/0!</v>
      </c>
      <c r="AV23" s="500"/>
      <c r="AW23" s="52" t="s">
        <v>93</v>
      </c>
      <c r="AX23" s="501">
        <v>9242</v>
      </c>
      <c r="AY23" s="501">
        <v>18705</v>
      </c>
      <c r="AZ23" s="501">
        <v>31626</v>
      </c>
      <c r="BA23" s="501">
        <v>65192</v>
      </c>
      <c r="BD23" s="52" t="s">
        <v>93</v>
      </c>
      <c r="BE23" s="501">
        <v>19767</v>
      </c>
      <c r="BF23" s="501">
        <v>50065</v>
      </c>
      <c r="BG23" s="501">
        <v>124322</v>
      </c>
      <c r="BH23" s="501">
        <v>278212</v>
      </c>
    </row>
    <row r="24" spans="1:60" x14ac:dyDescent="0.25">
      <c r="A24" t="e">
        <f t="shared" si="13"/>
        <v>#DIV/0!</v>
      </c>
      <c r="B24">
        <v>15</v>
      </c>
      <c r="C24" t="s">
        <v>105</v>
      </c>
      <c r="D24" s="25">
        <f>'Multi-Customer'!C26</f>
        <v>0</v>
      </c>
      <c r="E24">
        <f>'Multi-Customer'!D26</f>
        <v>0</v>
      </c>
      <c r="F24">
        <f>'Multi-Customer'!E26</f>
        <v>0</v>
      </c>
      <c r="G24" s="328">
        <f>'Multi-Customer'!F26</f>
        <v>0</v>
      </c>
      <c r="H24" s="19">
        <f t="shared" si="14"/>
        <v>0</v>
      </c>
      <c r="I24" s="19">
        <f t="shared" si="15"/>
        <v>0</v>
      </c>
      <c r="J24" s="328"/>
      <c r="K24" s="328" t="str">
        <f>'PIM Model'!E22</f>
        <v>INCLUDE</v>
      </c>
      <c r="L24" s="328" t="e">
        <f t="shared" si="0"/>
        <v>#DIV/0!</v>
      </c>
      <c r="M24">
        <v>15</v>
      </c>
      <c r="N24" s="328" t="s">
        <v>105</v>
      </c>
      <c r="O24" s="328" t="e">
        <f t="shared" si="1"/>
        <v>#DIV/0!</v>
      </c>
      <c r="P24" s="328" t="e">
        <f t="shared" si="2"/>
        <v>#DIV/0!</v>
      </c>
      <c r="Q24" s="328" t="e">
        <f t="shared" si="3"/>
        <v>#DIV/0!</v>
      </c>
      <c r="R24" s="328" t="e">
        <f t="shared" si="4"/>
        <v>#DIV/0!</v>
      </c>
      <c r="S24" s="328">
        <f t="shared" si="16"/>
        <v>0</v>
      </c>
      <c r="T24" s="19">
        <f t="shared" si="17"/>
        <v>0</v>
      </c>
      <c r="U24" s="19"/>
      <c r="V24" s="2">
        <f>'PIM Model'!$C$22</f>
        <v>0</v>
      </c>
      <c r="W24" s="611" t="e">
        <f>'Multi-Customer'!M26</f>
        <v>#DIV/0!</v>
      </c>
      <c r="X24" s="19" t="e">
        <f t="shared" si="18"/>
        <v>#DIV/0!</v>
      </c>
      <c r="Y24" s="328" t="e">
        <f t="shared" si="19"/>
        <v>#DIV/0!</v>
      </c>
      <c r="Z24" s="328" t="e">
        <f t="shared" si="20"/>
        <v>#DIV/0!</v>
      </c>
      <c r="AA24" s="328" t="e">
        <f t="shared" si="21"/>
        <v>#DIV/0!</v>
      </c>
      <c r="AB24" s="612" t="e">
        <f t="shared" si="22"/>
        <v>#DIV/0!</v>
      </c>
      <c r="AC24" s="612" t="e">
        <f t="shared" si="23"/>
        <v>#DIV/0!</v>
      </c>
      <c r="AD24" s="328" t="e">
        <f t="shared" si="5"/>
        <v>#DIV/0!</v>
      </c>
      <c r="AE24" s="328"/>
      <c r="AF24" s="328" t="e">
        <f t="shared" si="24"/>
        <v>#DIV/0!</v>
      </c>
      <c r="AG24" s="39">
        <f>'PIM Model'!B22</f>
        <v>0</v>
      </c>
      <c r="AH24" s="468" t="e">
        <f t="shared" si="6"/>
        <v>#DIV/0!</v>
      </c>
      <c r="AI24" s="468" t="e">
        <f t="shared" si="25"/>
        <v>#DIV/0!</v>
      </c>
      <c r="AJ24">
        <v>15</v>
      </c>
      <c r="AK24" s="469" t="s">
        <v>105</v>
      </c>
      <c r="AL24" s="469" t="e">
        <f t="shared" si="7"/>
        <v>#DIV/0!</v>
      </c>
      <c r="AM24" s="469">
        <f t="shared" si="8"/>
        <v>0</v>
      </c>
      <c r="AN24" s="469">
        <f t="shared" si="9"/>
        <v>0</v>
      </c>
      <c r="AO24" s="470">
        <f t="shared" si="10"/>
        <v>0</v>
      </c>
      <c r="AP24" s="470">
        <f t="shared" si="11"/>
        <v>0</v>
      </c>
      <c r="AQ24" s="1" t="e">
        <f t="shared" si="12"/>
        <v>#DIV/0!</v>
      </c>
      <c r="AR24" s="1" t="e">
        <f>IF('PIM Ranges'!$AK24='PIM Ranges'!$AW$11,IF('PIM Ranges'!$AL24&lt;'PIM Ranges'!$AX$11,"Q1",IF('PIM Ranges'!$AL24&lt;'PIM Ranges'!$AY$11,"Q2",IF('PIM Ranges'!$AL24&lt;'PIM Ranges'!$AZ$11,"Q3",IF('PIM Ranges'!$AL24&lt;'PIM Ranges'!$BA$11,"Q4","Q5")))),IF('PIM Ranges'!$AK24='PIM Ranges'!$AW$12,IF('PIM Ranges'!$AL24&lt;'PIM Ranges'!$AX$12,"Q1",IF('PIM Ranges'!$AL24&lt;'PIM Ranges'!$AY$12,"Q2",IF('PIM Ranges'!$AL24&lt;'PIM Ranges'!$AZ$12,"Q3",IF('PIM Ranges'!$AL24&lt;'PIM Ranges'!$BA$12,"Q4","Q5")))),IF('PIM Ranges'!$AK24='PIM Ranges'!$AW$13,IF('PIM Ranges'!$AL24&lt;'PIM Ranges'!$AX$13,"Q1",IF('PIM Ranges'!$AL24&lt;'PIM Ranges'!$AY$13,"Q2",IF('PIM Ranges'!$AL24&lt;'PIM Ranges'!$AZ$13,"Q3",IF('PIM Ranges'!$AL24&lt;'PIM Ranges'!$BA$13,"Q4","Q5")))),IF('PIM Ranges'!$AK24='PIM Ranges'!$AW$14,IF('PIM Ranges'!$AL24&lt;'PIM Ranges'!$AX$14,"Q1",IF('PIM Ranges'!$AL24&lt;'PIM Ranges'!$AY$14,"Q2",IF('PIM Ranges'!$AL24&lt;'PIM Ranges'!$AZ$14,"Q3",IF('PIM Ranges'!$AL24&lt;'PIM Ranges'!$BA$14,"Q4","Q5")))),IF('PIM Ranges'!$AK24='PIM Ranges'!$AW$15,IF('PIM Ranges'!$AL24&lt;'PIM Ranges'!$AX$15,"Q1",IF('PIM Ranges'!$AL24&lt;'PIM Ranges'!$AY$15,"Q2",IF('PIM Ranges'!$AL24&lt;'PIM Ranges'!$AZ$15,"Q3",IF('PIM Ranges'!$AL24&lt;'PIM Ranges'!$BA$15,"Q4","Q5")))),IF('PIM Ranges'!$AK24='PIM Ranges'!$AW$16,IF('PIM Ranges'!$AL24&lt;'PIM Ranges'!$AX$16,"Q1",IF('PIM Ranges'!$AL24&lt;'PIM Ranges'!$AY$16,"Q2",IF('PIM Ranges'!$AL24&lt;'PIM Ranges'!$AZ$16,"Q3",IF('PIM Ranges'!$AL24&lt;'PIM Ranges'!$BA$16,"Q4","Q5")))),IF('PIM Ranges'!$AK24='PIM Ranges'!$AW$17,IF('PIM Ranges'!$AL24&lt;'PIM Ranges'!$AX$17,"Q1",IF('PIM Ranges'!$AL24&lt;'PIM Ranges'!$AY$17,"Q2",IF('PIM Ranges'!$AL24&lt;'PIM Ranges'!$AZ$17,"Q3",IF('PIM Ranges'!$AL24&lt;'PIM Ranges'!$BA$17,"Q4","Q5")))),IF('PIM Ranges'!$AK24='PIM Ranges'!$AW$18,IF('PIM Ranges'!$AL24&lt;'PIM Ranges'!$AX$18,"Q1",IF('PIM Ranges'!$AL24&lt;'PIM Ranges'!$AY$18,"Q2",IF('PIM Ranges'!$AL24&lt;'PIM Ranges'!$AZ$18,"Q3",IF('PIM Ranges'!$AL24&lt;'PIM Ranges'!$BA$18,"Q4","Q5")))),IF('PIM Ranges'!$AK24='PIM Ranges'!$AW$19,IF('PIM Ranges'!$AL24&lt;'PIM Ranges'!$AX$19,"Q1",IF('PIM Ranges'!$AL24&lt;'PIM Ranges'!$AY$19,"Q2",IF('PIM Ranges'!$AL24&lt;'PIM Ranges'!$AZ$19,"Q3",IF('PIM Ranges'!$AL24&lt;'PIM Ranges'!$BA$19,"Q4","Q5")))),IF('PIM Ranges'!$AK24='PIM Ranges'!$AW$20,IF('PIM Ranges'!$AL24&lt;'PIM Ranges'!$AX$20,"Q1",IF('PIM Ranges'!$AL24&lt;'PIM Ranges'!$AY$20,"Q2",IF('PIM Ranges'!$AL24&lt;'PIM Ranges'!$AZ$20,"Q3",IF('PIM Ranges'!$AL24&lt;'PIM Ranges'!$BA$20,"Q4","Q5")))),IF('PIM Ranges'!$AK24='PIM Ranges'!$AW$21,IF('PIM Ranges'!$AL24&lt;'PIM Ranges'!$AX$21,"Q1",IF('PIM Ranges'!$AL24&lt;'PIM Ranges'!$AY$21,"Q2",IF('PIM Ranges'!$AL24&lt;'PIM Ranges'!$AZ$21,"Q3",IF('PIM Ranges'!$AL24&lt;'PIM Ranges'!$BA$21,"Q4","Q5")))),IF('PIM Ranges'!$AK24='PIM Ranges'!$AW$22,IF('PIM Ranges'!$AL24&lt;'PIM Ranges'!$AX$22,"Q1",IF('PIM Ranges'!$AL24&lt;'PIM Ranges'!$AY$22,"Q2",IF('PIM Ranges'!$AL24&lt;'PIM Ranges'!$AZ$22,"Q3",IF('PIM Ranges'!$AL24&lt;'PIM Ranges'!$BA$22,"Q4","Q5")))),IF('PIM Ranges'!$AK24='PIM Ranges'!$AW$23,IF('PIM Ranges'!$AL24&lt;'PIM Ranges'!$AX$23,"Q1",IF('PIM Ranges'!$AL24&lt;'PIM Ranges'!$AY$23,"Q2",IF('PIM Ranges'!$AL24&lt;'PIM Ranges'!$AZ$23,"Q3",IF('PIM Ranges'!$AL24&lt;'PIM Ranges'!$BA$23,"Q4","Q5")))),IF('PIM Ranges'!$AK24='PIM Ranges'!$AW$24,IF('PIM Ranges'!$AL24&lt;'PIM Ranges'!$AX$24,"Q1",IF('PIM Ranges'!$AL24&lt;'PIM Ranges'!$AY$24,"Q2",IF('PIM Ranges'!$AL24&lt;'PIM Ranges'!$AZ$24,"Q3",IF('PIM Ranges'!$AL24&lt;'PIM Ranges'!$BA$24,"Q4","Q5")))),IF('PIM Ranges'!$AK24='PIM Ranges'!$AW$25,IF('PIM Ranges'!$AL24&lt;'PIM Ranges'!$AX$25,"Q1",IF('PIM Ranges'!$AL24&lt;'PIM Ranges'!$AY$25,"Q2",IF('PIM Ranges'!$AL24&lt;'PIM Ranges'!$AZ$25,"Q3",IF('PIM Ranges'!$AL24&lt;'PIM Ranges'!$BA$25,"Q4","Q5")))),IF('PIM Ranges'!$AK24='PIM Ranges'!$AW$26,IF('PIM Ranges'!$AL24&lt;'PIM Ranges'!$AX$26,"Q1",IF('PIM Ranges'!$AL24&lt;'PIM Ranges'!$AY$26,"Q2",IF('PIM Ranges'!$AL24&lt;'PIM Ranges'!$AZ$26,"Q3",IF('PIM Ranges'!$AL24&lt;'PIM Ranges'!$BA$26,"Q4","Q5")))),IF('PIM Ranges'!$AK24='PIM Ranges'!$AW$27,IF('PIM Ranges'!$AL24&lt;'PIM Ranges'!$AX$27,"Q1",IF('PIM Ranges'!$AL24&lt;'PIM Ranges'!$AY$27,"Q2",IF('PIM Ranges'!$AL24&lt;'PIM Ranges'!$AZ$27,"Q3",IF('PIM Ranges'!$AL24&lt;'PIM Ranges'!$BA$27,"Q4","Q5")))),IF('PIM Ranges'!$AK24='PIM Ranges'!$AW$28,IF('PIM Ranges'!$AL24&lt;'PIM Ranges'!$AX$28,"Q1",IF('PIM Ranges'!$AL24&lt;'PIM Ranges'!$AY$28,"Q2",IF('PIM Ranges'!$AL24&lt;'PIM Ranges'!$AZ$28,"Q3",IF('PIM Ranges'!$AL24&lt;'PIM Ranges'!$BA$28,"Q4","Q5")))),IF('PIM Ranges'!$AK24='PIM Ranges'!$AW$29,IF('PIM Ranges'!$AL24&lt;'PIM Ranges'!$AX$29,"Q1",IF('PIM Ranges'!$AL24&lt;'PIM Ranges'!$AY$29,"Q2",IF('PIM Ranges'!$AL24&lt;'PIM Ranges'!$AZ$29,"Q3",IF('PIM Ranges'!$AL24&lt;'PIM Ranges'!$BA$29,"Q4","Q5")))),IF('PIM Ranges'!$AK24='PIM Ranges'!$AW$30,IF('PIM Ranges'!$AL24&lt;'PIM Ranges'!$AX$30,"Q1",IF('PIM Ranges'!$AL24&lt;'PIM Ranges'!$AY$30,"Q2",IF('PIM Ranges'!$AL24&lt;'PIM Ranges'!$AZ$30,"Q3",IF('PIM Ranges'!$AL24&lt;'PIM Ranges'!$BA$30,"Q4","Q5")))),IF('PIM Ranges'!$AK24='PIM Ranges'!$AW$31,IF('PIM Ranges'!$AL24&lt;'PIM Ranges'!$AX$31,"Q1",IF('PIM Ranges'!$AL24&lt;'PIM Ranges'!$AY$31,"Q2",IF('PIM Ranges'!$AL24&lt;'PIM Ranges'!$AZ$31,"Q3",IF('PIM Ranges'!$AL24&lt;'PIM Ranges'!$BA$31,"Q4","Q5")))),IF('PIM Ranges'!$AK24='PIM Ranges'!$AW$32,IF('PIM Ranges'!$AL24&lt;'PIM Ranges'!$AX$32,"Q1",IF('PIM Ranges'!$AL24&lt;'PIM Ranges'!$AY$32,"Q2",IF('PIM Ranges'!$AL24&lt;'PIM Ranges'!$AZ$32,"Q3",IF('PIM Ranges'!$AL24&lt;'PIM Ranges'!$BA$32,"Q4","Q5"))))))))))))))))))))))))))</f>
        <v>#DIV/0!</v>
      </c>
      <c r="AV24" s="500"/>
      <c r="AW24" s="52" t="s">
        <v>105</v>
      </c>
      <c r="AX24" s="501">
        <v>142</v>
      </c>
      <c r="AY24" s="501">
        <v>469</v>
      </c>
      <c r="AZ24" s="501">
        <v>1089</v>
      </c>
      <c r="BA24" s="501">
        <v>2473</v>
      </c>
      <c r="BD24" s="52" t="s">
        <v>105</v>
      </c>
      <c r="BE24" s="501">
        <v>179</v>
      </c>
      <c r="BF24" s="501">
        <v>732</v>
      </c>
      <c r="BG24" s="501">
        <v>2385</v>
      </c>
      <c r="BH24" s="501">
        <v>5645</v>
      </c>
    </row>
    <row r="25" spans="1:60" x14ac:dyDescent="0.25">
      <c r="A25" t="e">
        <f t="shared" si="13"/>
        <v>#DIV/0!</v>
      </c>
      <c r="B25">
        <v>16</v>
      </c>
      <c r="C25" t="s">
        <v>92</v>
      </c>
      <c r="D25" s="25">
        <f>'Multi-Customer'!C27</f>
        <v>0</v>
      </c>
      <c r="E25">
        <f>'Multi-Customer'!D27</f>
        <v>0</v>
      </c>
      <c r="F25">
        <f>'Multi-Customer'!E27</f>
        <v>0</v>
      </c>
      <c r="G25" s="328">
        <f>'Multi-Customer'!F27</f>
        <v>0</v>
      </c>
      <c r="H25" s="19">
        <f>IFERROR(D25/E25,0)</f>
        <v>0</v>
      </c>
      <c r="I25" s="19">
        <f>IFERROR(D25/G25,0)</f>
        <v>0</v>
      </c>
      <c r="J25" s="328"/>
      <c r="K25" s="328" t="str">
        <f>'PIM Model'!E23</f>
        <v>INCLUDE</v>
      </c>
      <c r="L25" s="328" t="e">
        <f t="shared" si="0"/>
        <v>#DIV/0!</v>
      </c>
      <c r="M25">
        <v>16</v>
      </c>
      <c r="N25" s="328" t="s">
        <v>92</v>
      </c>
      <c r="O25" s="328" t="e">
        <f t="shared" si="1"/>
        <v>#DIV/0!</v>
      </c>
      <c r="P25" s="328" t="e">
        <f t="shared" si="2"/>
        <v>#DIV/0!</v>
      </c>
      <c r="Q25" s="328" t="e">
        <f t="shared" si="3"/>
        <v>#DIV/0!</v>
      </c>
      <c r="R25" s="328" t="e">
        <f t="shared" si="4"/>
        <v>#DIV/0!</v>
      </c>
      <c r="S25" s="328">
        <f t="shared" si="16"/>
        <v>0</v>
      </c>
      <c r="T25" s="19">
        <f t="shared" si="17"/>
        <v>0</v>
      </c>
      <c r="U25" s="19"/>
      <c r="V25" s="2">
        <f>'PIM Model'!$C$23</f>
        <v>0</v>
      </c>
      <c r="W25" s="611" t="e">
        <f>'Multi-Customer'!M27</f>
        <v>#DIV/0!</v>
      </c>
      <c r="X25" s="19" t="e">
        <f t="shared" si="18"/>
        <v>#DIV/0!</v>
      </c>
      <c r="Y25" s="328" t="e">
        <f t="shared" si="19"/>
        <v>#DIV/0!</v>
      </c>
      <c r="Z25" s="328" t="e">
        <f t="shared" si="20"/>
        <v>#DIV/0!</v>
      </c>
      <c r="AA25" s="328" t="e">
        <f t="shared" si="21"/>
        <v>#DIV/0!</v>
      </c>
      <c r="AB25" s="612" t="e">
        <f t="shared" si="22"/>
        <v>#DIV/0!</v>
      </c>
      <c r="AC25" s="612" t="e">
        <f t="shared" si="23"/>
        <v>#DIV/0!</v>
      </c>
      <c r="AD25" s="328" t="e">
        <f t="shared" si="5"/>
        <v>#DIV/0!</v>
      </c>
      <c r="AE25" s="328"/>
      <c r="AF25" s="328" t="e">
        <f t="shared" si="24"/>
        <v>#DIV/0!</v>
      </c>
      <c r="AG25" s="39">
        <f>'PIM Model'!B23</f>
        <v>0</v>
      </c>
      <c r="AH25" s="468" t="e">
        <f t="shared" si="6"/>
        <v>#DIV/0!</v>
      </c>
      <c r="AI25" s="468" t="e">
        <f t="shared" si="25"/>
        <v>#DIV/0!</v>
      </c>
      <c r="AJ25">
        <v>16</v>
      </c>
      <c r="AK25" s="469" t="s">
        <v>92</v>
      </c>
      <c r="AL25" s="469" t="e">
        <f t="shared" si="7"/>
        <v>#DIV/0!</v>
      </c>
      <c r="AM25" s="469">
        <f t="shared" si="8"/>
        <v>0</v>
      </c>
      <c r="AN25" s="469">
        <f t="shared" si="9"/>
        <v>0</v>
      </c>
      <c r="AO25" s="470">
        <f t="shared" si="10"/>
        <v>0</v>
      </c>
      <c r="AP25" s="470">
        <f t="shared" si="11"/>
        <v>0</v>
      </c>
      <c r="AQ25" s="1" t="e">
        <f t="shared" si="12"/>
        <v>#DIV/0!</v>
      </c>
      <c r="AR25" s="1" t="e">
        <f>IF('PIM Ranges'!$AK25='PIM Ranges'!$AW$11,IF('PIM Ranges'!$AL25&lt;'PIM Ranges'!$AX$11,"Q1",IF('PIM Ranges'!$AL25&lt;'PIM Ranges'!$AY$11,"Q2",IF('PIM Ranges'!$AL25&lt;'PIM Ranges'!$AZ$11,"Q3",IF('PIM Ranges'!$AL25&lt;'PIM Ranges'!$BA$11,"Q4","Q5")))),IF('PIM Ranges'!$AK25='PIM Ranges'!$AW$12,IF('PIM Ranges'!$AL25&lt;'PIM Ranges'!$AX$12,"Q1",IF('PIM Ranges'!$AL25&lt;'PIM Ranges'!$AY$12,"Q2",IF('PIM Ranges'!$AL25&lt;'PIM Ranges'!$AZ$12,"Q3",IF('PIM Ranges'!$AL25&lt;'PIM Ranges'!$BA$12,"Q4","Q5")))),IF('PIM Ranges'!$AK25='PIM Ranges'!$AW$13,IF('PIM Ranges'!$AL25&lt;'PIM Ranges'!$AX$13,"Q1",IF('PIM Ranges'!$AL25&lt;'PIM Ranges'!$AY$13,"Q2",IF('PIM Ranges'!$AL25&lt;'PIM Ranges'!$AZ$13,"Q3",IF('PIM Ranges'!$AL25&lt;'PIM Ranges'!$BA$13,"Q4","Q5")))),IF('PIM Ranges'!$AK25='PIM Ranges'!$AW$14,IF('PIM Ranges'!$AL25&lt;'PIM Ranges'!$AX$14,"Q1",IF('PIM Ranges'!$AL25&lt;'PIM Ranges'!$AY$14,"Q2",IF('PIM Ranges'!$AL25&lt;'PIM Ranges'!$AZ$14,"Q3",IF('PIM Ranges'!$AL25&lt;'PIM Ranges'!$BA$14,"Q4","Q5")))),IF('PIM Ranges'!$AK25='PIM Ranges'!$AW$15,IF('PIM Ranges'!$AL25&lt;'PIM Ranges'!$AX$15,"Q1",IF('PIM Ranges'!$AL25&lt;'PIM Ranges'!$AY$15,"Q2",IF('PIM Ranges'!$AL25&lt;'PIM Ranges'!$AZ$15,"Q3",IF('PIM Ranges'!$AL25&lt;'PIM Ranges'!$BA$15,"Q4","Q5")))),IF('PIM Ranges'!$AK25='PIM Ranges'!$AW$16,IF('PIM Ranges'!$AL25&lt;'PIM Ranges'!$AX$16,"Q1",IF('PIM Ranges'!$AL25&lt;'PIM Ranges'!$AY$16,"Q2",IF('PIM Ranges'!$AL25&lt;'PIM Ranges'!$AZ$16,"Q3",IF('PIM Ranges'!$AL25&lt;'PIM Ranges'!$BA$16,"Q4","Q5")))),IF('PIM Ranges'!$AK25='PIM Ranges'!$AW$17,IF('PIM Ranges'!$AL25&lt;'PIM Ranges'!$AX$17,"Q1",IF('PIM Ranges'!$AL25&lt;'PIM Ranges'!$AY$17,"Q2",IF('PIM Ranges'!$AL25&lt;'PIM Ranges'!$AZ$17,"Q3",IF('PIM Ranges'!$AL25&lt;'PIM Ranges'!$BA$17,"Q4","Q5")))),IF('PIM Ranges'!$AK25='PIM Ranges'!$AW$18,IF('PIM Ranges'!$AL25&lt;'PIM Ranges'!$AX$18,"Q1",IF('PIM Ranges'!$AL25&lt;'PIM Ranges'!$AY$18,"Q2",IF('PIM Ranges'!$AL25&lt;'PIM Ranges'!$AZ$18,"Q3",IF('PIM Ranges'!$AL25&lt;'PIM Ranges'!$BA$18,"Q4","Q5")))),IF('PIM Ranges'!$AK25='PIM Ranges'!$AW$19,IF('PIM Ranges'!$AL25&lt;'PIM Ranges'!$AX$19,"Q1",IF('PIM Ranges'!$AL25&lt;'PIM Ranges'!$AY$19,"Q2",IF('PIM Ranges'!$AL25&lt;'PIM Ranges'!$AZ$19,"Q3",IF('PIM Ranges'!$AL25&lt;'PIM Ranges'!$BA$19,"Q4","Q5")))),IF('PIM Ranges'!$AK25='PIM Ranges'!$AW$20,IF('PIM Ranges'!$AL25&lt;'PIM Ranges'!$AX$20,"Q1",IF('PIM Ranges'!$AL25&lt;'PIM Ranges'!$AY$20,"Q2",IF('PIM Ranges'!$AL25&lt;'PIM Ranges'!$AZ$20,"Q3",IF('PIM Ranges'!$AL25&lt;'PIM Ranges'!$BA$20,"Q4","Q5")))),IF('PIM Ranges'!$AK25='PIM Ranges'!$AW$21,IF('PIM Ranges'!$AL25&lt;'PIM Ranges'!$AX$21,"Q1",IF('PIM Ranges'!$AL25&lt;'PIM Ranges'!$AY$21,"Q2",IF('PIM Ranges'!$AL25&lt;'PIM Ranges'!$AZ$21,"Q3",IF('PIM Ranges'!$AL25&lt;'PIM Ranges'!$BA$21,"Q4","Q5")))),IF('PIM Ranges'!$AK25='PIM Ranges'!$AW$22,IF('PIM Ranges'!$AL25&lt;'PIM Ranges'!$AX$22,"Q1",IF('PIM Ranges'!$AL25&lt;'PIM Ranges'!$AY$22,"Q2",IF('PIM Ranges'!$AL25&lt;'PIM Ranges'!$AZ$22,"Q3",IF('PIM Ranges'!$AL25&lt;'PIM Ranges'!$BA$22,"Q4","Q5")))),IF('PIM Ranges'!$AK25='PIM Ranges'!$AW$23,IF('PIM Ranges'!$AL25&lt;'PIM Ranges'!$AX$23,"Q1",IF('PIM Ranges'!$AL25&lt;'PIM Ranges'!$AY$23,"Q2",IF('PIM Ranges'!$AL25&lt;'PIM Ranges'!$AZ$23,"Q3",IF('PIM Ranges'!$AL25&lt;'PIM Ranges'!$BA$23,"Q4","Q5")))),IF('PIM Ranges'!$AK25='PIM Ranges'!$AW$24,IF('PIM Ranges'!$AL25&lt;'PIM Ranges'!$AX$24,"Q1",IF('PIM Ranges'!$AL25&lt;'PIM Ranges'!$AY$24,"Q2",IF('PIM Ranges'!$AL25&lt;'PIM Ranges'!$AZ$24,"Q3",IF('PIM Ranges'!$AL25&lt;'PIM Ranges'!$BA$24,"Q4","Q5")))),IF('PIM Ranges'!$AK25='PIM Ranges'!$AW$25,IF('PIM Ranges'!$AL25&lt;'PIM Ranges'!$AX$25,"Q1",IF('PIM Ranges'!$AL25&lt;'PIM Ranges'!$AY$25,"Q2",IF('PIM Ranges'!$AL25&lt;'PIM Ranges'!$AZ$25,"Q3",IF('PIM Ranges'!$AL25&lt;'PIM Ranges'!$BA$25,"Q4","Q5")))),IF('PIM Ranges'!$AK25='PIM Ranges'!$AW$26,IF('PIM Ranges'!$AL25&lt;'PIM Ranges'!$AX$26,"Q1",IF('PIM Ranges'!$AL25&lt;'PIM Ranges'!$AY$26,"Q2",IF('PIM Ranges'!$AL25&lt;'PIM Ranges'!$AZ$26,"Q3",IF('PIM Ranges'!$AL25&lt;'PIM Ranges'!$BA$26,"Q4","Q5")))),IF('PIM Ranges'!$AK25='PIM Ranges'!$AW$27,IF('PIM Ranges'!$AL25&lt;'PIM Ranges'!$AX$27,"Q1",IF('PIM Ranges'!$AL25&lt;'PIM Ranges'!$AY$27,"Q2",IF('PIM Ranges'!$AL25&lt;'PIM Ranges'!$AZ$27,"Q3",IF('PIM Ranges'!$AL25&lt;'PIM Ranges'!$BA$27,"Q4","Q5")))),IF('PIM Ranges'!$AK25='PIM Ranges'!$AW$28,IF('PIM Ranges'!$AL25&lt;'PIM Ranges'!$AX$28,"Q1",IF('PIM Ranges'!$AL25&lt;'PIM Ranges'!$AY$28,"Q2",IF('PIM Ranges'!$AL25&lt;'PIM Ranges'!$AZ$28,"Q3",IF('PIM Ranges'!$AL25&lt;'PIM Ranges'!$BA$28,"Q4","Q5")))),IF('PIM Ranges'!$AK25='PIM Ranges'!$AW$29,IF('PIM Ranges'!$AL25&lt;'PIM Ranges'!$AX$29,"Q1",IF('PIM Ranges'!$AL25&lt;'PIM Ranges'!$AY$29,"Q2",IF('PIM Ranges'!$AL25&lt;'PIM Ranges'!$AZ$29,"Q3",IF('PIM Ranges'!$AL25&lt;'PIM Ranges'!$BA$29,"Q4","Q5")))),IF('PIM Ranges'!$AK25='PIM Ranges'!$AW$30,IF('PIM Ranges'!$AL25&lt;'PIM Ranges'!$AX$30,"Q1",IF('PIM Ranges'!$AL25&lt;'PIM Ranges'!$AY$30,"Q2",IF('PIM Ranges'!$AL25&lt;'PIM Ranges'!$AZ$30,"Q3",IF('PIM Ranges'!$AL25&lt;'PIM Ranges'!$BA$30,"Q4","Q5")))),IF('PIM Ranges'!$AK25='PIM Ranges'!$AW$31,IF('PIM Ranges'!$AL25&lt;'PIM Ranges'!$AX$31,"Q1",IF('PIM Ranges'!$AL25&lt;'PIM Ranges'!$AY$31,"Q2",IF('PIM Ranges'!$AL25&lt;'PIM Ranges'!$AZ$31,"Q3",IF('PIM Ranges'!$AL25&lt;'PIM Ranges'!$BA$31,"Q4","Q5")))),IF('PIM Ranges'!$AK25='PIM Ranges'!$AW$32,IF('PIM Ranges'!$AL25&lt;'PIM Ranges'!$AX$32,"Q1",IF('PIM Ranges'!$AL25&lt;'PIM Ranges'!$AY$32,"Q2",IF('PIM Ranges'!$AL25&lt;'PIM Ranges'!$AZ$32,"Q3",IF('PIM Ranges'!$AL25&lt;'PIM Ranges'!$BA$32,"Q4","Q5"))))))))))))))))))))))))))</f>
        <v>#DIV/0!</v>
      </c>
      <c r="AV25" s="500"/>
      <c r="AW25" s="52" t="s">
        <v>92</v>
      </c>
      <c r="AX25" s="501">
        <v>6610</v>
      </c>
      <c r="AY25" s="501">
        <v>11026</v>
      </c>
      <c r="AZ25" s="501">
        <v>16902</v>
      </c>
      <c r="BA25" s="501">
        <v>32235</v>
      </c>
      <c r="BD25" s="52" t="s">
        <v>92</v>
      </c>
      <c r="BE25" s="501">
        <v>7323</v>
      </c>
      <c r="BF25" s="501">
        <v>19194</v>
      </c>
      <c r="BG25" s="501">
        <v>47517</v>
      </c>
      <c r="BH25" s="501">
        <v>107183</v>
      </c>
    </row>
    <row r="26" spans="1:60" x14ac:dyDescent="0.25">
      <c r="A26" t="e">
        <f t="shared" si="13"/>
        <v>#DIV/0!</v>
      </c>
      <c r="B26">
        <v>17</v>
      </c>
      <c r="C26" t="s">
        <v>91</v>
      </c>
      <c r="D26" s="25">
        <f>'Multi-Customer'!C28</f>
        <v>0</v>
      </c>
      <c r="E26">
        <f>'Multi-Customer'!D28</f>
        <v>0</v>
      </c>
      <c r="F26">
        <f>'Multi-Customer'!E28</f>
        <v>0</v>
      </c>
      <c r="G26" s="328">
        <f>'Multi-Customer'!F28</f>
        <v>0</v>
      </c>
      <c r="H26" s="19">
        <f t="shared" si="14"/>
        <v>0</v>
      </c>
      <c r="I26" s="19">
        <f t="shared" si="15"/>
        <v>0</v>
      </c>
      <c r="J26" s="328"/>
      <c r="K26" s="328" t="str">
        <f>'PIM Model'!E24</f>
        <v>INCLUDE</v>
      </c>
      <c r="L26" s="328" t="e">
        <f t="shared" si="0"/>
        <v>#DIV/0!</v>
      </c>
      <c r="M26">
        <v>17</v>
      </c>
      <c r="N26" s="328" t="s">
        <v>91</v>
      </c>
      <c r="O26" s="328" t="e">
        <f t="shared" si="1"/>
        <v>#DIV/0!</v>
      </c>
      <c r="P26" s="328" t="e">
        <f t="shared" si="2"/>
        <v>#DIV/0!</v>
      </c>
      <c r="Q26" s="328" t="e">
        <f t="shared" si="3"/>
        <v>#DIV/0!</v>
      </c>
      <c r="R26" s="328" t="e">
        <f t="shared" si="4"/>
        <v>#DIV/0!</v>
      </c>
      <c r="S26" s="328">
        <f t="shared" si="16"/>
        <v>0</v>
      </c>
      <c r="T26" s="19">
        <f t="shared" si="17"/>
        <v>0</v>
      </c>
      <c r="U26" s="19"/>
      <c r="V26" s="2">
        <f>'PIM Model'!$C$24</f>
        <v>0</v>
      </c>
      <c r="W26" s="611" t="e">
        <f>'Multi-Customer'!M28</f>
        <v>#DIV/0!</v>
      </c>
      <c r="X26" s="19" t="e">
        <f t="shared" si="18"/>
        <v>#DIV/0!</v>
      </c>
      <c r="Y26" s="328" t="e">
        <f t="shared" si="19"/>
        <v>#DIV/0!</v>
      </c>
      <c r="Z26" s="328" t="e">
        <f t="shared" si="20"/>
        <v>#DIV/0!</v>
      </c>
      <c r="AA26" s="328" t="e">
        <f t="shared" si="21"/>
        <v>#DIV/0!</v>
      </c>
      <c r="AB26" s="612" t="e">
        <f t="shared" si="22"/>
        <v>#DIV/0!</v>
      </c>
      <c r="AC26" s="612" t="e">
        <f t="shared" si="23"/>
        <v>#DIV/0!</v>
      </c>
      <c r="AD26" s="328" t="e">
        <f t="shared" si="5"/>
        <v>#DIV/0!</v>
      </c>
      <c r="AE26" s="328"/>
      <c r="AF26" s="328" t="e">
        <f t="shared" si="24"/>
        <v>#DIV/0!</v>
      </c>
      <c r="AG26" s="39">
        <f>'PIM Model'!B24</f>
        <v>0</v>
      </c>
      <c r="AH26" s="468" t="e">
        <f t="shared" si="6"/>
        <v>#DIV/0!</v>
      </c>
      <c r="AI26" s="468" t="e">
        <f t="shared" si="25"/>
        <v>#DIV/0!</v>
      </c>
      <c r="AJ26">
        <v>17</v>
      </c>
      <c r="AK26" s="469" t="s">
        <v>91</v>
      </c>
      <c r="AL26" s="469" t="e">
        <f t="shared" si="7"/>
        <v>#DIV/0!</v>
      </c>
      <c r="AM26" s="469">
        <f t="shared" si="8"/>
        <v>0</v>
      </c>
      <c r="AN26" s="469">
        <f t="shared" si="9"/>
        <v>0</v>
      </c>
      <c r="AO26" s="470">
        <f t="shared" si="10"/>
        <v>0</v>
      </c>
      <c r="AP26" s="470">
        <f t="shared" si="11"/>
        <v>0</v>
      </c>
      <c r="AQ26" s="1" t="e">
        <f t="shared" si="12"/>
        <v>#DIV/0!</v>
      </c>
      <c r="AR26" s="1" t="e">
        <f>IF('PIM Ranges'!$AK26='PIM Ranges'!$AW$11,IF('PIM Ranges'!$AL26&lt;'PIM Ranges'!$AX$11,"Q1",IF('PIM Ranges'!$AL26&lt;'PIM Ranges'!$AY$11,"Q2",IF('PIM Ranges'!$AL26&lt;'PIM Ranges'!$AZ$11,"Q3",IF('PIM Ranges'!$AL26&lt;'PIM Ranges'!$BA$11,"Q4","Q5")))),IF('PIM Ranges'!$AK26='PIM Ranges'!$AW$12,IF('PIM Ranges'!$AL26&lt;'PIM Ranges'!$AX$12,"Q1",IF('PIM Ranges'!$AL26&lt;'PIM Ranges'!$AY$12,"Q2",IF('PIM Ranges'!$AL26&lt;'PIM Ranges'!$AZ$12,"Q3",IF('PIM Ranges'!$AL26&lt;'PIM Ranges'!$BA$12,"Q4","Q5")))),IF('PIM Ranges'!$AK26='PIM Ranges'!$AW$13,IF('PIM Ranges'!$AL26&lt;'PIM Ranges'!$AX$13,"Q1",IF('PIM Ranges'!$AL26&lt;'PIM Ranges'!$AY$13,"Q2",IF('PIM Ranges'!$AL26&lt;'PIM Ranges'!$AZ$13,"Q3",IF('PIM Ranges'!$AL26&lt;'PIM Ranges'!$BA$13,"Q4","Q5")))),IF('PIM Ranges'!$AK26='PIM Ranges'!$AW$14,IF('PIM Ranges'!$AL26&lt;'PIM Ranges'!$AX$14,"Q1",IF('PIM Ranges'!$AL26&lt;'PIM Ranges'!$AY$14,"Q2",IF('PIM Ranges'!$AL26&lt;'PIM Ranges'!$AZ$14,"Q3",IF('PIM Ranges'!$AL26&lt;'PIM Ranges'!$BA$14,"Q4","Q5")))),IF('PIM Ranges'!$AK26='PIM Ranges'!$AW$15,IF('PIM Ranges'!$AL26&lt;'PIM Ranges'!$AX$15,"Q1",IF('PIM Ranges'!$AL26&lt;'PIM Ranges'!$AY$15,"Q2",IF('PIM Ranges'!$AL26&lt;'PIM Ranges'!$AZ$15,"Q3",IF('PIM Ranges'!$AL26&lt;'PIM Ranges'!$BA$15,"Q4","Q5")))),IF('PIM Ranges'!$AK26='PIM Ranges'!$AW$16,IF('PIM Ranges'!$AL26&lt;'PIM Ranges'!$AX$16,"Q1",IF('PIM Ranges'!$AL26&lt;'PIM Ranges'!$AY$16,"Q2",IF('PIM Ranges'!$AL26&lt;'PIM Ranges'!$AZ$16,"Q3",IF('PIM Ranges'!$AL26&lt;'PIM Ranges'!$BA$16,"Q4","Q5")))),IF('PIM Ranges'!$AK26='PIM Ranges'!$AW$17,IF('PIM Ranges'!$AL26&lt;'PIM Ranges'!$AX$17,"Q1",IF('PIM Ranges'!$AL26&lt;'PIM Ranges'!$AY$17,"Q2",IF('PIM Ranges'!$AL26&lt;'PIM Ranges'!$AZ$17,"Q3",IF('PIM Ranges'!$AL26&lt;'PIM Ranges'!$BA$17,"Q4","Q5")))),IF('PIM Ranges'!$AK26='PIM Ranges'!$AW$18,IF('PIM Ranges'!$AL26&lt;'PIM Ranges'!$AX$18,"Q1",IF('PIM Ranges'!$AL26&lt;'PIM Ranges'!$AY$18,"Q2",IF('PIM Ranges'!$AL26&lt;'PIM Ranges'!$AZ$18,"Q3",IF('PIM Ranges'!$AL26&lt;'PIM Ranges'!$BA$18,"Q4","Q5")))),IF('PIM Ranges'!$AK26='PIM Ranges'!$AW$19,IF('PIM Ranges'!$AL26&lt;'PIM Ranges'!$AX$19,"Q1",IF('PIM Ranges'!$AL26&lt;'PIM Ranges'!$AY$19,"Q2",IF('PIM Ranges'!$AL26&lt;'PIM Ranges'!$AZ$19,"Q3",IF('PIM Ranges'!$AL26&lt;'PIM Ranges'!$BA$19,"Q4","Q5")))),IF('PIM Ranges'!$AK26='PIM Ranges'!$AW$20,IF('PIM Ranges'!$AL26&lt;'PIM Ranges'!$AX$20,"Q1",IF('PIM Ranges'!$AL26&lt;'PIM Ranges'!$AY$20,"Q2",IF('PIM Ranges'!$AL26&lt;'PIM Ranges'!$AZ$20,"Q3",IF('PIM Ranges'!$AL26&lt;'PIM Ranges'!$BA$20,"Q4","Q5")))),IF('PIM Ranges'!$AK26='PIM Ranges'!$AW$21,IF('PIM Ranges'!$AL26&lt;'PIM Ranges'!$AX$21,"Q1",IF('PIM Ranges'!$AL26&lt;'PIM Ranges'!$AY$21,"Q2",IF('PIM Ranges'!$AL26&lt;'PIM Ranges'!$AZ$21,"Q3",IF('PIM Ranges'!$AL26&lt;'PIM Ranges'!$BA$21,"Q4","Q5")))),IF('PIM Ranges'!$AK26='PIM Ranges'!$AW$22,IF('PIM Ranges'!$AL26&lt;'PIM Ranges'!$AX$22,"Q1",IF('PIM Ranges'!$AL26&lt;'PIM Ranges'!$AY$22,"Q2",IF('PIM Ranges'!$AL26&lt;'PIM Ranges'!$AZ$22,"Q3",IF('PIM Ranges'!$AL26&lt;'PIM Ranges'!$BA$22,"Q4","Q5")))),IF('PIM Ranges'!$AK26='PIM Ranges'!$AW$23,IF('PIM Ranges'!$AL26&lt;'PIM Ranges'!$AX$23,"Q1",IF('PIM Ranges'!$AL26&lt;'PIM Ranges'!$AY$23,"Q2",IF('PIM Ranges'!$AL26&lt;'PIM Ranges'!$AZ$23,"Q3",IF('PIM Ranges'!$AL26&lt;'PIM Ranges'!$BA$23,"Q4","Q5")))),IF('PIM Ranges'!$AK26='PIM Ranges'!$AW$24,IF('PIM Ranges'!$AL26&lt;'PIM Ranges'!$AX$24,"Q1",IF('PIM Ranges'!$AL26&lt;'PIM Ranges'!$AY$24,"Q2",IF('PIM Ranges'!$AL26&lt;'PIM Ranges'!$AZ$24,"Q3",IF('PIM Ranges'!$AL26&lt;'PIM Ranges'!$BA$24,"Q4","Q5")))),IF('PIM Ranges'!$AK26='PIM Ranges'!$AW$25,IF('PIM Ranges'!$AL26&lt;'PIM Ranges'!$AX$25,"Q1",IF('PIM Ranges'!$AL26&lt;'PIM Ranges'!$AY$25,"Q2",IF('PIM Ranges'!$AL26&lt;'PIM Ranges'!$AZ$25,"Q3",IF('PIM Ranges'!$AL26&lt;'PIM Ranges'!$BA$25,"Q4","Q5")))),IF('PIM Ranges'!$AK26='PIM Ranges'!$AW$26,IF('PIM Ranges'!$AL26&lt;'PIM Ranges'!$AX$26,"Q1",IF('PIM Ranges'!$AL26&lt;'PIM Ranges'!$AY$26,"Q2",IF('PIM Ranges'!$AL26&lt;'PIM Ranges'!$AZ$26,"Q3",IF('PIM Ranges'!$AL26&lt;'PIM Ranges'!$BA$26,"Q4","Q5")))),IF('PIM Ranges'!$AK26='PIM Ranges'!$AW$27,IF('PIM Ranges'!$AL26&lt;'PIM Ranges'!$AX$27,"Q1",IF('PIM Ranges'!$AL26&lt;'PIM Ranges'!$AY$27,"Q2",IF('PIM Ranges'!$AL26&lt;'PIM Ranges'!$AZ$27,"Q3",IF('PIM Ranges'!$AL26&lt;'PIM Ranges'!$BA$27,"Q4","Q5")))),IF('PIM Ranges'!$AK26='PIM Ranges'!$AW$28,IF('PIM Ranges'!$AL26&lt;'PIM Ranges'!$AX$28,"Q1",IF('PIM Ranges'!$AL26&lt;'PIM Ranges'!$AY$28,"Q2",IF('PIM Ranges'!$AL26&lt;'PIM Ranges'!$AZ$28,"Q3",IF('PIM Ranges'!$AL26&lt;'PIM Ranges'!$BA$28,"Q4","Q5")))),IF('PIM Ranges'!$AK26='PIM Ranges'!$AW$29,IF('PIM Ranges'!$AL26&lt;'PIM Ranges'!$AX$29,"Q1",IF('PIM Ranges'!$AL26&lt;'PIM Ranges'!$AY$29,"Q2",IF('PIM Ranges'!$AL26&lt;'PIM Ranges'!$AZ$29,"Q3",IF('PIM Ranges'!$AL26&lt;'PIM Ranges'!$BA$29,"Q4","Q5")))),IF('PIM Ranges'!$AK26='PIM Ranges'!$AW$30,IF('PIM Ranges'!$AL26&lt;'PIM Ranges'!$AX$30,"Q1",IF('PIM Ranges'!$AL26&lt;'PIM Ranges'!$AY$30,"Q2",IF('PIM Ranges'!$AL26&lt;'PIM Ranges'!$AZ$30,"Q3",IF('PIM Ranges'!$AL26&lt;'PIM Ranges'!$BA$30,"Q4","Q5")))),IF('PIM Ranges'!$AK26='PIM Ranges'!$AW$31,IF('PIM Ranges'!$AL26&lt;'PIM Ranges'!$AX$31,"Q1",IF('PIM Ranges'!$AL26&lt;'PIM Ranges'!$AY$31,"Q2",IF('PIM Ranges'!$AL26&lt;'PIM Ranges'!$AZ$31,"Q3",IF('PIM Ranges'!$AL26&lt;'PIM Ranges'!$BA$31,"Q4","Q5")))),IF('PIM Ranges'!$AK26='PIM Ranges'!$AW$32,IF('PIM Ranges'!$AL26&lt;'PIM Ranges'!$AX$32,"Q1",IF('PIM Ranges'!$AL26&lt;'PIM Ranges'!$AY$32,"Q2",IF('PIM Ranges'!$AL26&lt;'PIM Ranges'!$AZ$32,"Q3",IF('PIM Ranges'!$AL26&lt;'PIM Ranges'!$BA$32,"Q4","Q5"))))))))))))))))))))))))))</f>
        <v>#DIV/0!</v>
      </c>
      <c r="AV26" s="500"/>
      <c r="AW26" s="52" t="s">
        <v>91</v>
      </c>
      <c r="AX26" s="501">
        <v>7459</v>
      </c>
      <c r="AY26" s="501">
        <v>15542</v>
      </c>
      <c r="AZ26" s="501">
        <v>28734</v>
      </c>
      <c r="BA26" s="501">
        <v>60450</v>
      </c>
      <c r="BD26" s="52" t="s">
        <v>91</v>
      </c>
      <c r="BE26" s="501">
        <v>13315</v>
      </c>
      <c r="BF26" s="501">
        <v>33760</v>
      </c>
      <c r="BG26" s="501">
        <v>91382</v>
      </c>
      <c r="BH26" s="501">
        <v>208294</v>
      </c>
    </row>
    <row r="27" spans="1:60" x14ac:dyDescent="0.25">
      <c r="A27" t="e">
        <f t="shared" si="13"/>
        <v>#DIV/0!</v>
      </c>
      <c r="B27">
        <v>18</v>
      </c>
      <c r="C27" t="s">
        <v>90</v>
      </c>
      <c r="D27" s="25">
        <f>'Multi-Customer'!C29</f>
        <v>0</v>
      </c>
      <c r="E27">
        <f>'Multi-Customer'!D29</f>
        <v>0</v>
      </c>
      <c r="F27">
        <f>'Multi-Customer'!E29</f>
        <v>0</v>
      </c>
      <c r="G27" s="328">
        <f>'Multi-Customer'!F29</f>
        <v>0</v>
      </c>
      <c r="H27" s="19">
        <f t="shared" si="14"/>
        <v>0</v>
      </c>
      <c r="I27" s="19">
        <f t="shared" si="15"/>
        <v>0</v>
      </c>
      <c r="J27" s="328"/>
      <c r="K27" s="328" t="str">
        <f>'PIM Model'!E25</f>
        <v>INCLUDE</v>
      </c>
      <c r="L27" s="328" t="e">
        <f t="shared" si="0"/>
        <v>#DIV/0!</v>
      </c>
      <c r="M27">
        <v>18</v>
      </c>
      <c r="N27" s="328" t="s">
        <v>90</v>
      </c>
      <c r="O27" s="328" t="e">
        <f t="shared" si="1"/>
        <v>#DIV/0!</v>
      </c>
      <c r="P27" s="328" t="e">
        <f t="shared" si="2"/>
        <v>#DIV/0!</v>
      </c>
      <c r="Q27" s="328" t="e">
        <f t="shared" si="3"/>
        <v>#DIV/0!</v>
      </c>
      <c r="R27" s="328" t="e">
        <f t="shared" si="4"/>
        <v>#DIV/0!</v>
      </c>
      <c r="S27" s="328">
        <f t="shared" si="16"/>
        <v>0</v>
      </c>
      <c r="T27" s="19">
        <f t="shared" si="17"/>
        <v>0</v>
      </c>
      <c r="U27" s="19"/>
      <c r="V27" s="2">
        <f>'PIM Model'!$C$25</f>
        <v>0</v>
      </c>
      <c r="W27" s="611" t="e">
        <f>'Multi-Customer'!M29</f>
        <v>#DIV/0!</v>
      </c>
      <c r="X27" s="19" t="e">
        <f t="shared" si="18"/>
        <v>#DIV/0!</v>
      </c>
      <c r="Y27" s="328" t="e">
        <f t="shared" si="19"/>
        <v>#DIV/0!</v>
      </c>
      <c r="Z27" s="328" t="e">
        <f t="shared" si="20"/>
        <v>#DIV/0!</v>
      </c>
      <c r="AA27" s="328" t="e">
        <f t="shared" si="21"/>
        <v>#DIV/0!</v>
      </c>
      <c r="AB27" s="612" t="e">
        <f t="shared" si="22"/>
        <v>#DIV/0!</v>
      </c>
      <c r="AC27" s="612" t="e">
        <f t="shared" si="23"/>
        <v>#DIV/0!</v>
      </c>
      <c r="AD27" s="328" t="e">
        <f t="shared" si="5"/>
        <v>#DIV/0!</v>
      </c>
      <c r="AE27" s="328"/>
      <c r="AF27" s="328" t="e">
        <f t="shared" si="24"/>
        <v>#DIV/0!</v>
      </c>
      <c r="AG27" s="39">
        <f>'PIM Model'!B25</f>
        <v>0</v>
      </c>
      <c r="AH27" s="468" t="e">
        <f t="shared" si="6"/>
        <v>#DIV/0!</v>
      </c>
      <c r="AI27" s="468" t="e">
        <f t="shared" si="25"/>
        <v>#DIV/0!</v>
      </c>
      <c r="AJ27">
        <v>18</v>
      </c>
      <c r="AK27" s="469" t="s">
        <v>90</v>
      </c>
      <c r="AL27" s="469" t="e">
        <f t="shared" si="7"/>
        <v>#DIV/0!</v>
      </c>
      <c r="AM27" s="469">
        <f t="shared" si="8"/>
        <v>0</v>
      </c>
      <c r="AN27" s="469">
        <f t="shared" si="9"/>
        <v>0</v>
      </c>
      <c r="AO27" s="470">
        <f t="shared" si="10"/>
        <v>0</v>
      </c>
      <c r="AP27" s="470">
        <f t="shared" si="11"/>
        <v>0</v>
      </c>
      <c r="AQ27" s="1" t="e">
        <f t="shared" si="12"/>
        <v>#DIV/0!</v>
      </c>
      <c r="AR27" s="1" t="e">
        <f>IF('PIM Ranges'!$AK27='PIM Ranges'!$AW$11,IF('PIM Ranges'!$AL27&lt;'PIM Ranges'!$AX$11,"Q1",IF('PIM Ranges'!$AL27&lt;'PIM Ranges'!$AY$11,"Q2",IF('PIM Ranges'!$AL27&lt;'PIM Ranges'!$AZ$11,"Q3",IF('PIM Ranges'!$AL27&lt;'PIM Ranges'!$BA$11,"Q4","Q5")))),IF('PIM Ranges'!$AK27='PIM Ranges'!$AW$12,IF('PIM Ranges'!$AL27&lt;'PIM Ranges'!$AX$12,"Q1",IF('PIM Ranges'!$AL27&lt;'PIM Ranges'!$AY$12,"Q2",IF('PIM Ranges'!$AL27&lt;'PIM Ranges'!$AZ$12,"Q3",IF('PIM Ranges'!$AL27&lt;'PIM Ranges'!$BA$12,"Q4","Q5")))),IF('PIM Ranges'!$AK27='PIM Ranges'!$AW$13,IF('PIM Ranges'!$AL27&lt;'PIM Ranges'!$AX$13,"Q1",IF('PIM Ranges'!$AL27&lt;'PIM Ranges'!$AY$13,"Q2",IF('PIM Ranges'!$AL27&lt;'PIM Ranges'!$AZ$13,"Q3",IF('PIM Ranges'!$AL27&lt;'PIM Ranges'!$BA$13,"Q4","Q5")))),IF('PIM Ranges'!$AK27='PIM Ranges'!$AW$14,IF('PIM Ranges'!$AL27&lt;'PIM Ranges'!$AX$14,"Q1",IF('PIM Ranges'!$AL27&lt;'PIM Ranges'!$AY$14,"Q2",IF('PIM Ranges'!$AL27&lt;'PIM Ranges'!$AZ$14,"Q3",IF('PIM Ranges'!$AL27&lt;'PIM Ranges'!$BA$14,"Q4","Q5")))),IF('PIM Ranges'!$AK27='PIM Ranges'!$AW$15,IF('PIM Ranges'!$AL27&lt;'PIM Ranges'!$AX$15,"Q1",IF('PIM Ranges'!$AL27&lt;'PIM Ranges'!$AY$15,"Q2",IF('PIM Ranges'!$AL27&lt;'PIM Ranges'!$AZ$15,"Q3",IF('PIM Ranges'!$AL27&lt;'PIM Ranges'!$BA$15,"Q4","Q5")))),IF('PIM Ranges'!$AK27='PIM Ranges'!$AW$16,IF('PIM Ranges'!$AL27&lt;'PIM Ranges'!$AX$16,"Q1",IF('PIM Ranges'!$AL27&lt;'PIM Ranges'!$AY$16,"Q2",IF('PIM Ranges'!$AL27&lt;'PIM Ranges'!$AZ$16,"Q3",IF('PIM Ranges'!$AL27&lt;'PIM Ranges'!$BA$16,"Q4","Q5")))),IF('PIM Ranges'!$AK27='PIM Ranges'!$AW$17,IF('PIM Ranges'!$AL27&lt;'PIM Ranges'!$AX$17,"Q1",IF('PIM Ranges'!$AL27&lt;'PIM Ranges'!$AY$17,"Q2",IF('PIM Ranges'!$AL27&lt;'PIM Ranges'!$AZ$17,"Q3",IF('PIM Ranges'!$AL27&lt;'PIM Ranges'!$BA$17,"Q4","Q5")))),IF('PIM Ranges'!$AK27='PIM Ranges'!$AW$18,IF('PIM Ranges'!$AL27&lt;'PIM Ranges'!$AX$18,"Q1",IF('PIM Ranges'!$AL27&lt;'PIM Ranges'!$AY$18,"Q2",IF('PIM Ranges'!$AL27&lt;'PIM Ranges'!$AZ$18,"Q3",IF('PIM Ranges'!$AL27&lt;'PIM Ranges'!$BA$18,"Q4","Q5")))),IF('PIM Ranges'!$AK27='PIM Ranges'!$AW$19,IF('PIM Ranges'!$AL27&lt;'PIM Ranges'!$AX$19,"Q1",IF('PIM Ranges'!$AL27&lt;'PIM Ranges'!$AY$19,"Q2",IF('PIM Ranges'!$AL27&lt;'PIM Ranges'!$AZ$19,"Q3",IF('PIM Ranges'!$AL27&lt;'PIM Ranges'!$BA$19,"Q4","Q5")))),IF('PIM Ranges'!$AK27='PIM Ranges'!$AW$20,IF('PIM Ranges'!$AL27&lt;'PIM Ranges'!$AX$20,"Q1",IF('PIM Ranges'!$AL27&lt;'PIM Ranges'!$AY$20,"Q2",IF('PIM Ranges'!$AL27&lt;'PIM Ranges'!$AZ$20,"Q3",IF('PIM Ranges'!$AL27&lt;'PIM Ranges'!$BA$20,"Q4","Q5")))),IF('PIM Ranges'!$AK27='PIM Ranges'!$AW$21,IF('PIM Ranges'!$AL27&lt;'PIM Ranges'!$AX$21,"Q1",IF('PIM Ranges'!$AL27&lt;'PIM Ranges'!$AY$21,"Q2",IF('PIM Ranges'!$AL27&lt;'PIM Ranges'!$AZ$21,"Q3",IF('PIM Ranges'!$AL27&lt;'PIM Ranges'!$BA$21,"Q4","Q5")))),IF('PIM Ranges'!$AK27='PIM Ranges'!$AW$22,IF('PIM Ranges'!$AL27&lt;'PIM Ranges'!$AX$22,"Q1",IF('PIM Ranges'!$AL27&lt;'PIM Ranges'!$AY$22,"Q2",IF('PIM Ranges'!$AL27&lt;'PIM Ranges'!$AZ$22,"Q3",IF('PIM Ranges'!$AL27&lt;'PIM Ranges'!$BA$22,"Q4","Q5")))),IF('PIM Ranges'!$AK27='PIM Ranges'!$AW$23,IF('PIM Ranges'!$AL27&lt;'PIM Ranges'!$AX$23,"Q1",IF('PIM Ranges'!$AL27&lt;'PIM Ranges'!$AY$23,"Q2",IF('PIM Ranges'!$AL27&lt;'PIM Ranges'!$AZ$23,"Q3",IF('PIM Ranges'!$AL27&lt;'PIM Ranges'!$BA$23,"Q4","Q5")))),IF('PIM Ranges'!$AK27='PIM Ranges'!$AW$24,IF('PIM Ranges'!$AL27&lt;'PIM Ranges'!$AX$24,"Q1",IF('PIM Ranges'!$AL27&lt;'PIM Ranges'!$AY$24,"Q2",IF('PIM Ranges'!$AL27&lt;'PIM Ranges'!$AZ$24,"Q3",IF('PIM Ranges'!$AL27&lt;'PIM Ranges'!$BA$24,"Q4","Q5")))),IF('PIM Ranges'!$AK27='PIM Ranges'!$AW$25,IF('PIM Ranges'!$AL27&lt;'PIM Ranges'!$AX$25,"Q1",IF('PIM Ranges'!$AL27&lt;'PIM Ranges'!$AY$25,"Q2",IF('PIM Ranges'!$AL27&lt;'PIM Ranges'!$AZ$25,"Q3",IF('PIM Ranges'!$AL27&lt;'PIM Ranges'!$BA$25,"Q4","Q5")))),IF('PIM Ranges'!$AK27='PIM Ranges'!$AW$26,IF('PIM Ranges'!$AL27&lt;'PIM Ranges'!$AX$26,"Q1",IF('PIM Ranges'!$AL27&lt;'PIM Ranges'!$AY$26,"Q2",IF('PIM Ranges'!$AL27&lt;'PIM Ranges'!$AZ$26,"Q3",IF('PIM Ranges'!$AL27&lt;'PIM Ranges'!$BA$26,"Q4","Q5")))),IF('PIM Ranges'!$AK27='PIM Ranges'!$AW$27,IF('PIM Ranges'!$AL27&lt;'PIM Ranges'!$AX$27,"Q1",IF('PIM Ranges'!$AL27&lt;'PIM Ranges'!$AY$27,"Q2",IF('PIM Ranges'!$AL27&lt;'PIM Ranges'!$AZ$27,"Q3",IF('PIM Ranges'!$AL27&lt;'PIM Ranges'!$BA$27,"Q4","Q5")))),IF('PIM Ranges'!$AK27='PIM Ranges'!$AW$28,IF('PIM Ranges'!$AL27&lt;'PIM Ranges'!$AX$28,"Q1",IF('PIM Ranges'!$AL27&lt;'PIM Ranges'!$AY$28,"Q2",IF('PIM Ranges'!$AL27&lt;'PIM Ranges'!$AZ$28,"Q3",IF('PIM Ranges'!$AL27&lt;'PIM Ranges'!$BA$28,"Q4","Q5")))),IF('PIM Ranges'!$AK27='PIM Ranges'!$AW$29,IF('PIM Ranges'!$AL27&lt;'PIM Ranges'!$AX$29,"Q1",IF('PIM Ranges'!$AL27&lt;'PIM Ranges'!$AY$29,"Q2",IF('PIM Ranges'!$AL27&lt;'PIM Ranges'!$AZ$29,"Q3",IF('PIM Ranges'!$AL27&lt;'PIM Ranges'!$BA$29,"Q4","Q5")))),IF('PIM Ranges'!$AK27='PIM Ranges'!$AW$30,IF('PIM Ranges'!$AL27&lt;'PIM Ranges'!$AX$30,"Q1",IF('PIM Ranges'!$AL27&lt;'PIM Ranges'!$AY$30,"Q2",IF('PIM Ranges'!$AL27&lt;'PIM Ranges'!$AZ$30,"Q3",IF('PIM Ranges'!$AL27&lt;'PIM Ranges'!$BA$30,"Q4","Q5")))),IF('PIM Ranges'!$AK27='PIM Ranges'!$AW$31,IF('PIM Ranges'!$AL27&lt;'PIM Ranges'!$AX$31,"Q1",IF('PIM Ranges'!$AL27&lt;'PIM Ranges'!$AY$31,"Q2",IF('PIM Ranges'!$AL27&lt;'PIM Ranges'!$AZ$31,"Q3",IF('PIM Ranges'!$AL27&lt;'PIM Ranges'!$BA$31,"Q4","Q5")))),IF('PIM Ranges'!$AK27='PIM Ranges'!$AW$32,IF('PIM Ranges'!$AL27&lt;'PIM Ranges'!$AX$32,"Q1",IF('PIM Ranges'!$AL27&lt;'PIM Ranges'!$AY$32,"Q2",IF('PIM Ranges'!$AL27&lt;'PIM Ranges'!$AZ$32,"Q3",IF('PIM Ranges'!$AL27&lt;'PIM Ranges'!$BA$32,"Q4","Q5"))))))))))))))))))))))))))</f>
        <v>#DIV/0!</v>
      </c>
      <c r="AV27" s="500"/>
      <c r="AW27" s="52" t="s">
        <v>90</v>
      </c>
      <c r="AX27" s="501">
        <v>17969</v>
      </c>
      <c r="AY27" s="501">
        <v>34626</v>
      </c>
      <c r="AZ27" s="501">
        <v>59214</v>
      </c>
      <c r="BA27" s="501">
        <v>120996</v>
      </c>
      <c r="BD27" s="52" t="s">
        <v>90</v>
      </c>
      <c r="BE27" s="501">
        <v>25337</v>
      </c>
      <c r="BF27" s="501">
        <v>62445</v>
      </c>
      <c r="BG27" s="501">
        <v>178249</v>
      </c>
      <c r="BH27" s="501">
        <v>407116</v>
      </c>
    </row>
    <row r="28" spans="1:60" x14ac:dyDescent="0.25">
      <c r="A28" t="e">
        <f t="shared" si="13"/>
        <v>#DIV/0!</v>
      </c>
      <c r="B28">
        <v>19</v>
      </c>
      <c r="C28" t="s">
        <v>89</v>
      </c>
      <c r="D28" s="25">
        <f>'Multi-Customer'!C30</f>
        <v>0</v>
      </c>
      <c r="E28">
        <f>'Multi-Customer'!D30</f>
        <v>0</v>
      </c>
      <c r="F28">
        <f>'Multi-Customer'!E30</f>
        <v>0</v>
      </c>
      <c r="G28" s="328">
        <f>'Multi-Customer'!F30</f>
        <v>0</v>
      </c>
      <c r="H28" s="19">
        <f t="shared" si="14"/>
        <v>0</v>
      </c>
      <c r="I28" s="19">
        <f t="shared" si="15"/>
        <v>0</v>
      </c>
      <c r="J28" s="328"/>
      <c r="K28" s="328" t="str">
        <f>'PIM Model'!E26</f>
        <v>INCLUDE</v>
      </c>
      <c r="L28" s="328" t="e">
        <f t="shared" si="0"/>
        <v>#DIV/0!</v>
      </c>
      <c r="M28">
        <v>19</v>
      </c>
      <c r="N28" s="328" t="s">
        <v>89</v>
      </c>
      <c r="O28" s="328" t="e">
        <f t="shared" si="1"/>
        <v>#DIV/0!</v>
      </c>
      <c r="P28" s="328" t="e">
        <f t="shared" si="2"/>
        <v>#DIV/0!</v>
      </c>
      <c r="Q28" s="328" t="e">
        <f t="shared" si="3"/>
        <v>#DIV/0!</v>
      </c>
      <c r="R28" s="328" t="e">
        <f t="shared" si="4"/>
        <v>#DIV/0!</v>
      </c>
      <c r="S28" s="328">
        <f t="shared" si="16"/>
        <v>0</v>
      </c>
      <c r="T28" s="19">
        <f t="shared" si="17"/>
        <v>0</v>
      </c>
      <c r="U28" s="19"/>
      <c r="V28" s="2">
        <f>'PIM Model'!$C$26</f>
        <v>0</v>
      </c>
      <c r="W28" s="611" t="e">
        <f>'Multi-Customer'!M30</f>
        <v>#DIV/0!</v>
      </c>
      <c r="X28" s="19" t="e">
        <f t="shared" si="18"/>
        <v>#DIV/0!</v>
      </c>
      <c r="Y28" s="328" t="e">
        <f t="shared" si="19"/>
        <v>#DIV/0!</v>
      </c>
      <c r="Z28" s="328" t="e">
        <f t="shared" si="20"/>
        <v>#DIV/0!</v>
      </c>
      <c r="AA28" s="328" t="e">
        <f t="shared" si="21"/>
        <v>#DIV/0!</v>
      </c>
      <c r="AB28" s="612" t="e">
        <f t="shared" si="22"/>
        <v>#DIV/0!</v>
      </c>
      <c r="AC28" s="612" t="e">
        <f t="shared" si="23"/>
        <v>#DIV/0!</v>
      </c>
      <c r="AD28" s="328" t="e">
        <f t="shared" si="5"/>
        <v>#DIV/0!</v>
      </c>
      <c r="AE28" s="328"/>
      <c r="AF28" s="328" t="e">
        <f t="shared" si="24"/>
        <v>#DIV/0!</v>
      </c>
      <c r="AG28" s="39">
        <f>'PIM Model'!B26</f>
        <v>0</v>
      </c>
      <c r="AH28" s="468" t="e">
        <f t="shared" si="6"/>
        <v>#DIV/0!</v>
      </c>
      <c r="AI28" s="468" t="e">
        <f t="shared" si="25"/>
        <v>#DIV/0!</v>
      </c>
      <c r="AJ28">
        <v>19</v>
      </c>
      <c r="AK28" s="469" t="s">
        <v>89</v>
      </c>
      <c r="AL28" s="469" t="e">
        <f t="shared" si="7"/>
        <v>#DIV/0!</v>
      </c>
      <c r="AM28" s="469">
        <f t="shared" si="8"/>
        <v>0</v>
      </c>
      <c r="AN28" s="469">
        <f t="shared" si="9"/>
        <v>0</v>
      </c>
      <c r="AO28" s="470">
        <f t="shared" si="10"/>
        <v>0</v>
      </c>
      <c r="AP28" s="470">
        <f t="shared" si="11"/>
        <v>0</v>
      </c>
      <c r="AQ28" s="1" t="e">
        <f t="shared" si="12"/>
        <v>#DIV/0!</v>
      </c>
      <c r="AR28" s="1" t="e">
        <f>IF('PIM Ranges'!$AK28='PIM Ranges'!$AW$11,IF('PIM Ranges'!$AL28&lt;'PIM Ranges'!$AX$11,"Q1",IF('PIM Ranges'!$AL28&lt;'PIM Ranges'!$AY$11,"Q2",IF('PIM Ranges'!$AL28&lt;'PIM Ranges'!$AZ$11,"Q3",IF('PIM Ranges'!$AL28&lt;'PIM Ranges'!$BA$11,"Q4","Q5")))),IF('PIM Ranges'!$AK28='PIM Ranges'!$AW$12,IF('PIM Ranges'!$AL28&lt;'PIM Ranges'!$AX$12,"Q1",IF('PIM Ranges'!$AL28&lt;'PIM Ranges'!$AY$12,"Q2",IF('PIM Ranges'!$AL28&lt;'PIM Ranges'!$AZ$12,"Q3",IF('PIM Ranges'!$AL28&lt;'PIM Ranges'!$BA$12,"Q4","Q5")))),IF('PIM Ranges'!$AK28='PIM Ranges'!$AW$13,IF('PIM Ranges'!$AL28&lt;'PIM Ranges'!$AX$13,"Q1",IF('PIM Ranges'!$AL28&lt;'PIM Ranges'!$AY$13,"Q2",IF('PIM Ranges'!$AL28&lt;'PIM Ranges'!$AZ$13,"Q3",IF('PIM Ranges'!$AL28&lt;'PIM Ranges'!$BA$13,"Q4","Q5")))),IF('PIM Ranges'!$AK28='PIM Ranges'!$AW$14,IF('PIM Ranges'!$AL28&lt;'PIM Ranges'!$AX$14,"Q1",IF('PIM Ranges'!$AL28&lt;'PIM Ranges'!$AY$14,"Q2",IF('PIM Ranges'!$AL28&lt;'PIM Ranges'!$AZ$14,"Q3",IF('PIM Ranges'!$AL28&lt;'PIM Ranges'!$BA$14,"Q4","Q5")))),IF('PIM Ranges'!$AK28='PIM Ranges'!$AW$15,IF('PIM Ranges'!$AL28&lt;'PIM Ranges'!$AX$15,"Q1",IF('PIM Ranges'!$AL28&lt;'PIM Ranges'!$AY$15,"Q2",IF('PIM Ranges'!$AL28&lt;'PIM Ranges'!$AZ$15,"Q3",IF('PIM Ranges'!$AL28&lt;'PIM Ranges'!$BA$15,"Q4","Q5")))),IF('PIM Ranges'!$AK28='PIM Ranges'!$AW$16,IF('PIM Ranges'!$AL28&lt;'PIM Ranges'!$AX$16,"Q1",IF('PIM Ranges'!$AL28&lt;'PIM Ranges'!$AY$16,"Q2",IF('PIM Ranges'!$AL28&lt;'PIM Ranges'!$AZ$16,"Q3",IF('PIM Ranges'!$AL28&lt;'PIM Ranges'!$BA$16,"Q4","Q5")))),IF('PIM Ranges'!$AK28='PIM Ranges'!$AW$17,IF('PIM Ranges'!$AL28&lt;'PIM Ranges'!$AX$17,"Q1",IF('PIM Ranges'!$AL28&lt;'PIM Ranges'!$AY$17,"Q2",IF('PIM Ranges'!$AL28&lt;'PIM Ranges'!$AZ$17,"Q3",IF('PIM Ranges'!$AL28&lt;'PIM Ranges'!$BA$17,"Q4","Q5")))),IF('PIM Ranges'!$AK28='PIM Ranges'!$AW$18,IF('PIM Ranges'!$AL28&lt;'PIM Ranges'!$AX$18,"Q1",IF('PIM Ranges'!$AL28&lt;'PIM Ranges'!$AY$18,"Q2",IF('PIM Ranges'!$AL28&lt;'PIM Ranges'!$AZ$18,"Q3",IF('PIM Ranges'!$AL28&lt;'PIM Ranges'!$BA$18,"Q4","Q5")))),IF('PIM Ranges'!$AK28='PIM Ranges'!$AW$19,IF('PIM Ranges'!$AL28&lt;'PIM Ranges'!$AX$19,"Q1",IF('PIM Ranges'!$AL28&lt;'PIM Ranges'!$AY$19,"Q2",IF('PIM Ranges'!$AL28&lt;'PIM Ranges'!$AZ$19,"Q3",IF('PIM Ranges'!$AL28&lt;'PIM Ranges'!$BA$19,"Q4","Q5")))),IF('PIM Ranges'!$AK28='PIM Ranges'!$AW$20,IF('PIM Ranges'!$AL28&lt;'PIM Ranges'!$AX$20,"Q1",IF('PIM Ranges'!$AL28&lt;'PIM Ranges'!$AY$20,"Q2",IF('PIM Ranges'!$AL28&lt;'PIM Ranges'!$AZ$20,"Q3",IF('PIM Ranges'!$AL28&lt;'PIM Ranges'!$BA$20,"Q4","Q5")))),IF('PIM Ranges'!$AK28='PIM Ranges'!$AW$21,IF('PIM Ranges'!$AL28&lt;'PIM Ranges'!$AX$21,"Q1",IF('PIM Ranges'!$AL28&lt;'PIM Ranges'!$AY$21,"Q2",IF('PIM Ranges'!$AL28&lt;'PIM Ranges'!$AZ$21,"Q3",IF('PIM Ranges'!$AL28&lt;'PIM Ranges'!$BA$21,"Q4","Q5")))),IF('PIM Ranges'!$AK28='PIM Ranges'!$AW$22,IF('PIM Ranges'!$AL28&lt;'PIM Ranges'!$AX$22,"Q1",IF('PIM Ranges'!$AL28&lt;'PIM Ranges'!$AY$22,"Q2",IF('PIM Ranges'!$AL28&lt;'PIM Ranges'!$AZ$22,"Q3",IF('PIM Ranges'!$AL28&lt;'PIM Ranges'!$BA$22,"Q4","Q5")))),IF('PIM Ranges'!$AK28='PIM Ranges'!$AW$23,IF('PIM Ranges'!$AL28&lt;'PIM Ranges'!$AX$23,"Q1",IF('PIM Ranges'!$AL28&lt;'PIM Ranges'!$AY$23,"Q2",IF('PIM Ranges'!$AL28&lt;'PIM Ranges'!$AZ$23,"Q3",IF('PIM Ranges'!$AL28&lt;'PIM Ranges'!$BA$23,"Q4","Q5")))),IF('PIM Ranges'!$AK28='PIM Ranges'!$AW$24,IF('PIM Ranges'!$AL28&lt;'PIM Ranges'!$AX$24,"Q1",IF('PIM Ranges'!$AL28&lt;'PIM Ranges'!$AY$24,"Q2",IF('PIM Ranges'!$AL28&lt;'PIM Ranges'!$AZ$24,"Q3",IF('PIM Ranges'!$AL28&lt;'PIM Ranges'!$BA$24,"Q4","Q5")))),IF('PIM Ranges'!$AK28='PIM Ranges'!$AW$25,IF('PIM Ranges'!$AL28&lt;'PIM Ranges'!$AX$25,"Q1",IF('PIM Ranges'!$AL28&lt;'PIM Ranges'!$AY$25,"Q2",IF('PIM Ranges'!$AL28&lt;'PIM Ranges'!$AZ$25,"Q3",IF('PIM Ranges'!$AL28&lt;'PIM Ranges'!$BA$25,"Q4","Q5")))),IF('PIM Ranges'!$AK28='PIM Ranges'!$AW$26,IF('PIM Ranges'!$AL28&lt;'PIM Ranges'!$AX$26,"Q1",IF('PIM Ranges'!$AL28&lt;'PIM Ranges'!$AY$26,"Q2",IF('PIM Ranges'!$AL28&lt;'PIM Ranges'!$AZ$26,"Q3",IF('PIM Ranges'!$AL28&lt;'PIM Ranges'!$BA$26,"Q4","Q5")))),IF('PIM Ranges'!$AK28='PIM Ranges'!$AW$27,IF('PIM Ranges'!$AL28&lt;'PIM Ranges'!$AX$27,"Q1",IF('PIM Ranges'!$AL28&lt;'PIM Ranges'!$AY$27,"Q2",IF('PIM Ranges'!$AL28&lt;'PIM Ranges'!$AZ$27,"Q3",IF('PIM Ranges'!$AL28&lt;'PIM Ranges'!$BA$27,"Q4","Q5")))),IF('PIM Ranges'!$AK28='PIM Ranges'!$AW$28,IF('PIM Ranges'!$AL28&lt;'PIM Ranges'!$AX$28,"Q1",IF('PIM Ranges'!$AL28&lt;'PIM Ranges'!$AY$28,"Q2",IF('PIM Ranges'!$AL28&lt;'PIM Ranges'!$AZ$28,"Q3",IF('PIM Ranges'!$AL28&lt;'PIM Ranges'!$BA$28,"Q4","Q5")))),IF('PIM Ranges'!$AK28='PIM Ranges'!$AW$29,IF('PIM Ranges'!$AL28&lt;'PIM Ranges'!$AX$29,"Q1",IF('PIM Ranges'!$AL28&lt;'PIM Ranges'!$AY$29,"Q2",IF('PIM Ranges'!$AL28&lt;'PIM Ranges'!$AZ$29,"Q3",IF('PIM Ranges'!$AL28&lt;'PIM Ranges'!$BA$29,"Q4","Q5")))),IF('PIM Ranges'!$AK28='PIM Ranges'!$AW$30,IF('PIM Ranges'!$AL28&lt;'PIM Ranges'!$AX$30,"Q1",IF('PIM Ranges'!$AL28&lt;'PIM Ranges'!$AY$30,"Q2",IF('PIM Ranges'!$AL28&lt;'PIM Ranges'!$AZ$30,"Q3",IF('PIM Ranges'!$AL28&lt;'PIM Ranges'!$BA$30,"Q4","Q5")))),IF('PIM Ranges'!$AK28='PIM Ranges'!$AW$31,IF('PIM Ranges'!$AL28&lt;'PIM Ranges'!$AX$31,"Q1",IF('PIM Ranges'!$AL28&lt;'PIM Ranges'!$AY$31,"Q2",IF('PIM Ranges'!$AL28&lt;'PIM Ranges'!$AZ$31,"Q3",IF('PIM Ranges'!$AL28&lt;'PIM Ranges'!$BA$31,"Q4","Q5")))),IF('PIM Ranges'!$AK28='PIM Ranges'!$AW$32,IF('PIM Ranges'!$AL28&lt;'PIM Ranges'!$AX$32,"Q1",IF('PIM Ranges'!$AL28&lt;'PIM Ranges'!$AY$32,"Q2",IF('PIM Ranges'!$AL28&lt;'PIM Ranges'!$AZ$32,"Q3",IF('PIM Ranges'!$AL28&lt;'PIM Ranges'!$BA$32,"Q4","Q5"))))))))))))))))))))))))))</f>
        <v>#DIV/0!</v>
      </c>
      <c r="AV28" s="500"/>
      <c r="AW28" s="52" t="s">
        <v>89</v>
      </c>
      <c r="AX28" s="501">
        <v>1058</v>
      </c>
      <c r="AY28" s="501">
        <v>3034</v>
      </c>
      <c r="AZ28" s="501">
        <v>8013</v>
      </c>
      <c r="BA28" s="501">
        <v>18443</v>
      </c>
      <c r="BD28" s="52" t="s">
        <v>89</v>
      </c>
      <c r="BE28" s="501">
        <v>2315</v>
      </c>
      <c r="BF28" s="501">
        <v>7746</v>
      </c>
      <c r="BG28" s="501">
        <v>24790</v>
      </c>
      <c r="BH28" s="501">
        <v>58388</v>
      </c>
    </row>
    <row r="29" spans="1:60" x14ac:dyDescent="0.25">
      <c r="A29" t="e">
        <f t="shared" si="13"/>
        <v>#DIV/0!</v>
      </c>
      <c r="B29">
        <v>20</v>
      </c>
      <c r="C29" t="s">
        <v>94</v>
      </c>
      <c r="D29" s="25">
        <f>'Multi-Customer'!C31</f>
        <v>0</v>
      </c>
      <c r="E29">
        <f>'Multi-Customer'!D31</f>
        <v>0</v>
      </c>
      <c r="F29">
        <f>'Multi-Customer'!E31</f>
        <v>0</v>
      </c>
      <c r="G29" s="328">
        <f>'Multi-Customer'!F31</f>
        <v>0</v>
      </c>
      <c r="H29" s="19">
        <f t="shared" si="14"/>
        <v>0</v>
      </c>
      <c r="I29" s="19">
        <f t="shared" si="15"/>
        <v>0</v>
      </c>
      <c r="J29" s="328"/>
      <c r="K29" s="328" t="str">
        <f>'PIM Model'!E27</f>
        <v>INCLUDE</v>
      </c>
      <c r="L29" s="328" t="e">
        <f t="shared" si="0"/>
        <v>#DIV/0!</v>
      </c>
      <c r="M29">
        <v>20</v>
      </c>
      <c r="N29" s="328" t="s">
        <v>94</v>
      </c>
      <c r="O29" s="328" t="e">
        <f t="shared" si="1"/>
        <v>#DIV/0!</v>
      </c>
      <c r="P29" s="328" t="e">
        <f t="shared" si="2"/>
        <v>#DIV/0!</v>
      </c>
      <c r="Q29" s="328" t="e">
        <f t="shared" si="3"/>
        <v>#DIV/0!</v>
      </c>
      <c r="R29" s="328" t="e">
        <f t="shared" si="4"/>
        <v>#DIV/0!</v>
      </c>
      <c r="S29" s="328">
        <f t="shared" si="16"/>
        <v>0</v>
      </c>
      <c r="T29" s="19">
        <f t="shared" si="17"/>
        <v>0</v>
      </c>
      <c r="U29" s="19"/>
      <c r="V29" s="2">
        <f>'PIM Model'!$C$27</f>
        <v>0</v>
      </c>
      <c r="W29" s="611" t="e">
        <f>'Multi-Customer'!M31</f>
        <v>#DIV/0!</v>
      </c>
      <c r="X29" s="19" t="e">
        <f t="shared" si="18"/>
        <v>#DIV/0!</v>
      </c>
      <c r="Y29" s="328" t="e">
        <f t="shared" si="19"/>
        <v>#DIV/0!</v>
      </c>
      <c r="Z29" s="328" t="e">
        <f t="shared" si="20"/>
        <v>#DIV/0!</v>
      </c>
      <c r="AA29" s="328" t="e">
        <f t="shared" si="21"/>
        <v>#DIV/0!</v>
      </c>
      <c r="AB29" s="612" t="e">
        <f t="shared" si="22"/>
        <v>#DIV/0!</v>
      </c>
      <c r="AC29" s="612" t="e">
        <f t="shared" si="23"/>
        <v>#DIV/0!</v>
      </c>
      <c r="AD29" s="328" t="e">
        <f t="shared" si="5"/>
        <v>#DIV/0!</v>
      </c>
      <c r="AE29" s="328"/>
      <c r="AF29" s="328" t="e">
        <f t="shared" si="24"/>
        <v>#DIV/0!</v>
      </c>
      <c r="AG29" s="39">
        <f>'PIM Model'!B27</f>
        <v>0</v>
      </c>
      <c r="AH29" s="468" t="e">
        <f t="shared" si="6"/>
        <v>#DIV/0!</v>
      </c>
      <c r="AI29" s="468" t="e">
        <f t="shared" si="25"/>
        <v>#DIV/0!</v>
      </c>
      <c r="AJ29">
        <v>20</v>
      </c>
      <c r="AK29" s="469" t="s">
        <v>94</v>
      </c>
      <c r="AL29" s="469" t="e">
        <f t="shared" si="7"/>
        <v>#DIV/0!</v>
      </c>
      <c r="AM29" s="469">
        <f t="shared" si="8"/>
        <v>0</v>
      </c>
      <c r="AN29" s="469">
        <f t="shared" si="9"/>
        <v>0</v>
      </c>
      <c r="AO29" s="470">
        <f t="shared" si="10"/>
        <v>0</v>
      </c>
      <c r="AP29" s="470">
        <f t="shared" si="11"/>
        <v>0</v>
      </c>
      <c r="AQ29" s="1" t="e">
        <f t="shared" si="12"/>
        <v>#DIV/0!</v>
      </c>
      <c r="AR29" s="1" t="e">
        <f>IF('PIM Ranges'!$AK29='PIM Ranges'!$AW$11,IF('PIM Ranges'!$AL29&lt;'PIM Ranges'!$AX$11,"Q1",IF('PIM Ranges'!$AL29&lt;'PIM Ranges'!$AY$11,"Q2",IF('PIM Ranges'!$AL29&lt;'PIM Ranges'!$AZ$11,"Q3",IF('PIM Ranges'!$AL29&lt;'PIM Ranges'!$BA$11,"Q4","Q5")))),IF('PIM Ranges'!$AK29='PIM Ranges'!$AW$12,IF('PIM Ranges'!$AL29&lt;'PIM Ranges'!$AX$12,"Q1",IF('PIM Ranges'!$AL29&lt;'PIM Ranges'!$AY$12,"Q2",IF('PIM Ranges'!$AL29&lt;'PIM Ranges'!$AZ$12,"Q3",IF('PIM Ranges'!$AL29&lt;'PIM Ranges'!$BA$12,"Q4","Q5")))),IF('PIM Ranges'!$AK29='PIM Ranges'!$AW$13,IF('PIM Ranges'!$AL29&lt;'PIM Ranges'!$AX$13,"Q1",IF('PIM Ranges'!$AL29&lt;'PIM Ranges'!$AY$13,"Q2",IF('PIM Ranges'!$AL29&lt;'PIM Ranges'!$AZ$13,"Q3",IF('PIM Ranges'!$AL29&lt;'PIM Ranges'!$BA$13,"Q4","Q5")))),IF('PIM Ranges'!$AK29='PIM Ranges'!$AW$14,IF('PIM Ranges'!$AL29&lt;'PIM Ranges'!$AX$14,"Q1",IF('PIM Ranges'!$AL29&lt;'PIM Ranges'!$AY$14,"Q2",IF('PIM Ranges'!$AL29&lt;'PIM Ranges'!$AZ$14,"Q3",IF('PIM Ranges'!$AL29&lt;'PIM Ranges'!$BA$14,"Q4","Q5")))),IF('PIM Ranges'!$AK29='PIM Ranges'!$AW$15,IF('PIM Ranges'!$AL29&lt;'PIM Ranges'!$AX$15,"Q1",IF('PIM Ranges'!$AL29&lt;'PIM Ranges'!$AY$15,"Q2",IF('PIM Ranges'!$AL29&lt;'PIM Ranges'!$AZ$15,"Q3",IF('PIM Ranges'!$AL29&lt;'PIM Ranges'!$BA$15,"Q4","Q5")))),IF('PIM Ranges'!$AK29='PIM Ranges'!$AW$16,IF('PIM Ranges'!$AL29&lt;'PIM Ranges'!$AX$16,"Q1",IF('PIM Ranges'!$AL29&lt;'PIM Ranges'!$AY$16,"Q2",IF('PIM Ranges'!$AL29&lt;'PIM Ranges'!$AZ$16,"Q3",IF('PIM Ranges'!$AL29&lt;'PIM Ranges'!$BA$16,"Q4","Q5")))),IF('PIM Ranges'!$AK29='PIM Ranges'!$AW$17,IF('PIM Ranges'!$AL29&lt;'PIM Ranges'!$AX$17,"Q1",IF('PIM Ranges'!$AL29&lt;'PIM Ranges'!$AY$17,"Q2",IF('PIM Ranges'!$AL29&lt;'PIM Ranges'!$AZ$17,"Q3",IF('PIM Ranges'!$AL29&lt;'PIM Ranges'!$BA$17,"Q4","Q5")))),IF('PIM Ranges'!$AK29='PIM Ranges'!$AW$18,IF('PIM Ranges'!$AL29&lt;'PIM Ranges'!$AX$18,"Q1",IF('PIM Ranges'!$AL29&lt;'PIM Ranges'!$AY$18,"Q2",IF('PIM Ranges'!$AL29&lt;'PIM Ranges'!$AZ$18,"Q3",IF('PIM Ranges'!$AL29&lt;'PIM Ranges'!$BA$18,"Q4","Q5")))),IF('PIM Ranges'!$AK29='PIM Ranges'!$AW$19,IF('PIM Ranges'!$AL29&lt;'PIM Ranges'!$AX$19,"Q1",IF('PIM Ranges'!$AL29&lt;'PIM Ranges'!$AY$19,"Q2",IF('PIM Ranges'!$AL29&lt;'PIM Ranges'!$AZ$19,"Q3",IF('PIM Ranges'!$AL29&lt;'PIM Ranges'!$BA$19,"Q4","Q5")))),IF('PIM Ranges'!$AK29='PIM Ranges'!$AW$20,IF('PIM Ranges'!$AL29&lt;'PIM Ranges'!$AX$20,"Q1",IF('PIM Ranges'!$AL29&lt;'PIM Ranges'!$AY$20,"Q2",IF('PIM Ranges'!$AL29&lt;'PIM Ranges'!$AZ$20,"Q3",IF('PIM Ranges'!$AL29&lt;'PIM Ranges'!$BA$20,"Q4","Q5")))),IF('PIM Ranges'!$AK29='PIM Ranges'!$AW$21,IF('PIM Ranges'!$AL29&lt;'PIM Ranges'!$AX$21,"Q1",IF('PIM Ranges'!$AL29&lt;'PIM Ranges'!$AY$21,"Q2",IF('PIM Ranges'!$AL29&lt;'PIM Ranges'!$AZ$21,"Q3",IF('PIM Ranges'!$AL29&lt;'PIM Ranges'!$BA$21,"Q4","Q5")))),IF('PIM Ranges'!$AK29='PIM Ranges'!$AW$22,IF('PIM Ranges'!$AL29&lt;'PIM Ranges'!$AX$22,"Q1",IF('PIM Ranges'!$AL29&lt;'PIM Ranges'!$AY$22,"Q2",IF('PIM Ranges'!$AL29&lt;'PIM Ranges'!$AZ$22,"Q3",IF('PIM Ranges'!$AL29&lt;'PIM Ranges'!$BA$22,"Q4","Q5")))),IF('PIM Ranges'!$AK29='PIM Ranges'!$AW$23,IF('PIM Ranges'!$AL29&lt;'PIM Ranges'!$AX$23,"Q1",IF('PIM Ranges'!$AL29&lt;'PIM Ranges'!$AY$23,"Q2",IF('PIM Ranges'!$AL29&lt;'PIM Ranges'!$AZ$23,"Q3",IF('PIM Ranges'!$AL29&lt;'PIM Ranges'!$BA$23,"Q4","Q5")))),IF('PIM Ranges'!$AK29='PIM Ranges'!$AW$24,IF('PIM Ranges'!$AL29&lt;'PIM Ranges'!$AX$24,"Q1",IF('PIM Ranges'!$AL29&lt;'PIM Ranges'!$AY$24,"Q2",IF('PIM Ranges'!$AL29&lt;'PIM Ranges'!$AZ$24,"Q3",IF('PIM Ranges'!$AL29&lt;'PIM Ranges'!$BA$24,"Q4","Q5")))),IF('PIM Ranges'!$AK29='PIM Ranges'!$AW$25,IF('PIM Ranges'!$AL29&lt;'PIM Ranges'!$AX$25,"Q1",IF('PIM Ranges'!$AL29&lt;'PIM Ranges'!$AY$25,"Q2",IF('PIM Ranges'!$AL29&lt;'PIM Ranges'!$AZ$25,"Q3",IF('PIM Ranges'!$AL29&lt;'PIM Ranges'!$BA$25,"Q4","Q5")))),IF('PIM Ranges'!$AK29='PIM Ranges'!$AW$26,IF('PIM Ranges'!$AL29&lt;'PIM Ranges'!$AX$26,"Q1",IF('PIM Ranges'!$AL29&lt;'PIM Ranges'!$AY$26,"Q2",IF('PIM Ranges'!$AL29&lt;'PIM Ranges'!$AZ$26,"Q3",IF('PIM Ranges'!$AL29&lt;'PIM Ranges'!$BA$26,"Q4","Q5")))),IF('PIM Ranges'!$AK29='PIM Ranges'!$AW$27,IF('PIM Ranges'!$AL29&lt;'PIM Ranges'!$AX$27,"Q1",IF('PIM Ranges'!$AL29&lt;'PIM Ranges'!$AY$27,"Q2",IF('PIM Ranges'!$AL29&lt;'PIM Ranges'!$AZ$27,"Q3",IF('PIM Ranges'!$AL29&lt;'PIM Ranges'!$BA$27,"Q4","Q5")))),IF('PIM Ranges'!$AK29='PIM Ranges'!$AW$28,IF('PIM Ranges'!$AL29&lt;'PIM Ranges'!$AX$28,"Q1",IF('PIM Ranges'!$AL29&lt;'PIM Ranges'!$AY$28,"Q2",IF('PIM Ranges'!$AL29&lt;'PIM Ranges'!$AZ$28,"Q3",IF('PIM Ranges'!$AL29&lt;'PIM Ranges'!$BA$28,"Q4","Q5")))),IF('PIM Ranges'!$AK29='PIM Ranges'!$AW$29,IF('PIM Ranges'!$AL29&lt;'PIM Ranges'!$AX$29,"Q1",IF('PIM Ranges'!$AL29&lt;'PIM Ranges'!$AY$29,"Q2",IF('PIM Ranges'!$AL29&lt;'PIM Ranges'!$AZ$29,"Q3",IF('PIM Ranges'!$AL29&lt;'PIM Ranges'!$BA$29,"Q4","Q5")))),IF('PIM Ranges'!$AK29='PIM Ranges'!$AW$30,IF('PIM Ranges'!$AL29&lt;'PIM Ranges'!$AX$30,"Q1",IF('PIM Ranges'!$AL29&lt;'PIM Ranges'!$AY$30,"Q2",IF('PIM Ranges'!$AL29&lt;'PIM Ranges'!$AZ$30,"Q3",IF('PIM Ranges'!$AL29&lt;'PIM Ranges'!$BA$30,"Q4","Q5")))),IF('PIM Ranges'!$AK29='PIM Ranges'!$AW$31,IF('PIM Ranges'!$AL29&lt;'PIM Ranges'!$AX$31,"Q1",IF('PIM Ranges'!$AL29&lt;'PIM Ranges'!$AY$31,"Q2",IF('PIM Ranges'!$AL29&lt;'PIM Ranges'!$AZ$31,"Q3",IF('PIM Ranges'!$AL29&lt;'PIM Ranges'!$BA$31,"Q4","Q5")))),IF('PIM Ranges'!$AK29='PIM Ranges'!$AW$32,IF('PIM Ranges'!$AL29&lt;'PIM Ranges'!$AX$32,"Q1",IF('PIM Ranges'!$AL29&lt;'PIM Ranges'!$AY$32,"Q2",IF('PIM Ranges'!$AL29&lt;'PIM Ranges'!$AZ$32,"Q3",IF('PIM Ranges'!$AL29&lt;'PIM Ranges'!$BA$32,"Q4","Q5"))))))))))))))))))))))))))</f>
        <v>#DIV/0!</v>
      </c>
      <c r="AV29" s="500"/>
      <c r="AW29" s="52" t="s">
        <v>94</v>
      </c>
      <c r="AX29" s="501">
        <v>6052</v>
      </c>
      <c r="AY29" s="501">
        <v>19330</v>
      </c>
      <c r="AZ29" s="501">
        <v>36449</v>
      </c>
      <c r="BA29" s="501">
        <v>81904</v>
      </c>
      <c r="BD29" s="52" t="s">
        <v>94</v>
      </c>
      <c r="BE29" s="501">
        <v>8676</v>
      </c>
      <c r="BF29" s="501">
        <v>33383</v>
      </c>
      <c r="BG29" s="501">
        <v>87871</v>
      </c>
      <c r="BH29" s="501">
        <v>205967</v>
      </c>
    </row>
    <row r="30" spans="1:60" x14ac:dyDescent="0.25">
      <c r="A30" t="e">
        <f t="shared" si="13"/>
        <v>#DIV/0!</v>
      </c>
      <c r="B30">
        <v>21</v>
      </c>
      <c r="C30" t="s">
        <v>86</v>
      </c>
      <c r="D30" s="25">
        <f>'Multi-Customer'!C32</f>
        <v>0</v>
      </c>
      <c r="E30">
        <f>'Multi-Customer'!D32</f>
        <v>0</v>
      </c>
      <c r="F30">
        <f>'Multi-Customer'!E32</f>
        <v>0</v>
      </c>
      <c r="G30" s="328">
        <f>'Multi-Customer'!F32</f>
        <v>0</v>
      </c>
      <c r="H30" s="19">
        <f t="shared" si="14"/>
        <v>0</v>
      </c>
      <c r="I30" s="19">
        <f t="shared" si="15"/>
        <v>0</v>
      </c>
      <c r="J30" s="328"/>
      <c r="K30" s="328" t="str">
        <f>'PIM Model'!E28</f>
        <v>INCLUDE</v>
      </c>
      <c r="L30" s="328" t="e">
        <f t="shared" si="0"/>
        <v>#DIV/0!</v>
      </c>
      <c r="M30">
        <v>21</v>
      </c>
      <c r="N30" s="328" t="s">
        <v>86</v>
      </c>
      <c r="O30" s="328" t="e">
        <f t="shared" si="1"/>
        <v>#DIV/0!</v>
      </c>
      <c r="P30" s="328" t="e">
        <f t="shared" si="2"/>
        <v>#DIV/0!</v>
      </c>
      <c r="Q30" s="328" t="e">
        <f t="shared" si="3"/>
        <v>#DIV/0!</v>
      </c>
      <c r="R30" s="328" t="e">
        <f t="shared" si="4"/>
        <v>#DIV/0!</v>
      </c>
      <c r="S30" s="328">
        <f t="shared" si="16"/>
        <v>0</v>
      </c>
      <c r="T30" s="19">
        <f t="shared" si="17"/>
        <v>0</v>
      </c>
      <c r="U30" s="19"/>
      <c r="V30" s="2">
        <f>'PIM Model'!$C$28</f>
        <v>0</v>
      </c>
      <c r="W30" s="611" t="e">
        <f>'Multi-Customer'!M32</f>
        <v>#DIV/0!</v>
      </c>
      <c r="X30" s="19" t="e">
        <f t="shared" si="18"/>
        <v>#DIV/0!</v>
      </c>
      <c r="Y30" s="328" t="e">
        <f t="shared" si="19"/>
        <v>#DIV/0!</v>
      </c>
      <c r="Z30" s="328" t="e">
        <f t="shared" si="20"/>
        <v>#DIV/0!</v>
      </c>
      <c r="AA30" s="328" t="e">
        <f t="shared" si="21"/>
        <v>#DIV/0!</v>
      </c>
      <c r="AB30" s="612" t="e">
        <f t="shared" si="22"/>
        <v>#DIV/0!</v>
      </c>
      <c r="AC30" s="612" t="e">
        <f t="shared" si="23"/>
        <v>#DIV/0!</v>
      </c>
      <c r="AD30" s="328" t="e">
        <f t="shared" si="5"/>
        <v>#DIV/0!</v>
      </c>
      <c r="AE30" s="328"/>
      <c r="AF30" s="328" t="e">
        <f t="shared" si="24"/>
        <v>#DIV/0!</v>
      </c>
      <c r="AG30" s="39">
        <f>'PIM Model'!B28</f>
        <v>0</v>
      </c>
      <c r="AH30" s="468" t="e">
        <f t="shared" si="6"/>
        <v>#DIV/0!</v>
      </c>
      <c r="AI30" s="468" t="e">
        <f t="shared" si="25"/>
        <v>#DIV/0!</v>
      </c>
      <c r="AJ30">
        <v>21</v>
      </c>
      <c r="AK30" s="469" t="s">
        <v>86</v>
      </c>
      <c r="AL30" s="469" t="e">
        <f t="shared" si="7"/>
        <v>#DIV/0!</v>
      </c>
      <c r="AM30" s="469">
        <f t="shared" si="8"/>
        <v>0</v>
      </c>
      <c r="AN30" s="469">
        <f t="shared" si="9"/>
        <v>0</v>
      </c>
      <c r="AO30" s="470">
        <f t="shared" si="10"/>
        <v>0</v>
      </c>
      <c r="AP30" s="470">
        <f t="shared" si="11"/>
        <v>0</v>
      </c>
      <c r="AQ30" s="1" t="e">
        <f t="shared" si="12"/>
        <v>#DIV/0!</v>
      </c>
      <c r="AR30" s="1" t="e">
        <f>IF('PIM Ranges'!$AK30='PIM Ranges'!$AW$11,IF('PIM Ranges'!$AL30&lt;'PIM Ranges'!$AX$11,"Q1",IF('PIM Ranges'!$AL30&lt;'PIM Ranges'!$AY$11,"Q2",IF('PIM Ranges'!$AL30&lt;'PIM Ranges'!$AZ$11,"Q3",IF('PIM Ranges'!$AL30&lt;'PIM Ranges'!$BA$11,"Q4","Q5")))),IF('PIM Ranges'!$AK30='PIM Ranges'!$AW$12,IF('PIM Ranges'!$AL30&lt;'PIM Ranges'!$AX$12,"Q1",IF('PIM Ranges'!$AL30&lt;'PIM Ranges'!$AY$12,"Q2",IF('PIM Ranges'!$AL30&lt;'PIM Ranges'!$AZ$12,"Q3",IF('PIM Ranges'!$AL30&lt;'PIM Ranges'!$BA$12,"Q4","Q5")))),IF('PIM Ranges'!$AK30='PIM Ranges'!$AW$13,IF('PIM Ranges'!$AL30&lt;'PIM Ranges'!$AX$13,"Q1",IF('PIM Ranges'!$AL30&lt;'PIM Ranges'!$AY$13,"Q2",IF('PIM Ranges'!$AL30&lt;'PIM Ranges'!$AZ$13,"Q3",IF('PIM Ranges'!$AL30&lt;'PIM Ranges'!$BA$13,"Q4","Q5")))),IF('PIM Ranges'!$AK30='PIM Ranges'!$AW$14,IF('PIM Ranges'!$AL30&lt;'PIM Ranges'!$AX$14,"Q1",IF('PIM Ranges'!$AL30&lt;'PIM Ranges'!$AY$14,"Q2",IF('PIM Ranges'!$AL30&lt;'PIM Ranges'!$AZ$14,"Q3",IF('PIM Ranges'!$AL30&lt;'PIM Ranges'!$BA$14,"Q4","Q5")))),IF('PIM Ranges'!$AK30='PIM Ranges'!$AW$15,IF('PIM Ranges'!$AL30&lt;'PIM Ranges'!$AX$15,"Q1",IF('PIM Ranges'!$AL30&lt;'PIM Ranges'!$AY$15,"Q2",IF('PIM Ranges'!$AL30&lt;'PIM Ranges'!$AZ$15,"Q3",IF('PIM Ranges'!$AL30&lt;'PIM Ranges'!$BA$15,"Q4","Q5")))),IF('PIM Ranges'!$AK30='PIM Ranges'!$AW$16,IF('PIM Ranges'!$AL30&lt;'PIM Ranges'!$AX$16,"Q1",IF('PIM Ranges'!$AL30&lt;'PIM Ranges'!$AY$16,"Q2",IF('PIM Ranges'!$AL30&lt;'PIM Ranges'!$AZ$16,"Q3",IF('PIM Ranges'!$AL30&lt;'PIM Ranges'!$BA$16,"Q4","Q5")))),IF('PIM Ranges'!$AK30='PIM Ranges'!$AW$17,IF('PIM Ranges'!$AL30&lt;'PIM Ranges'!$AX$17,"Q1",IF('PIM Ranges'!$AL30&lt;'PIM Ranges'!$AY$17,"Q2",IF('PIM Ranges'!$AL30&lt;'PIM Ranges'!$AZ$17,"Q3",IF('PIM Ranges'!$AL30&lt;'PIM Ranges'!$BA$17,"Q4","Q5")))),IF('PIM Ranges'!$AK30='PIM Ranges'!$AW$18,IF('PIM Ranges'!$AL30&lt;'PIM Ranges'!$AX$18,"Q1",IF('PIM Ranges'!$AL30&lt;'PIM Ranges'!$AY$18,"Q2",IF('PIM Ranges'!$AL30&lt;'PIM Ranges'!$AZ$18,"Q3",IF('PIM Ranges'!$AL30&lt;'PIM Ranges'!$BA$18,"Q4","Q5")))),IF('PIM Ranges'!$AK30='PIM Ranges'!$AW$19,IF('PIM Ranges'!$AL30&lt;'PIM Ranges'!$AX$19,"Q1",IF('PIM Ranges'!$AL30&lt;'PIM Ranges'!$AY$19,"Q2",IF('PIM Ranges'!$AL30&lt;'PIM Ranges'!$AZ$19,"Q3",IF('PIM Ranges'!$AL30&lt;'PIM Ranges'!$BA$19,"Q4","Q5")))),IF('PIM Ranges'!$AK30='PIM Ranges'!$AW$20,IF('PIM Ranges'!$AL30&lt;'PIM Ranges'!$AX$20,"Q1",IF('PIM Ranges'!$AL30&lt;'PIM Ranges'!$AY$20,"Q2",IF('PIM Ranges'!$AL30&lt;'PIM Ranges'!$AZ$20,"Q3",IF('PIM Ranges'!$AL30&lt;'PIM Ranges'!$BA$20,"Q4","Q5")))),IF('PIM Ranges'!$AK30='PIM Ranges'!$AW$21,IF('PIM Ranges'!$AL30&lt;'PIM Ranges'!$AX$21,"Q1",IF('PIM Ranges'!$AL30&lt;'PIM Ranges'!$AY$21,"Q2",IF('PIM Ranges'!$AL30&lt;'PIM Ranges'!$AZ$21,"Q3",IF('PIM Ranges'!$AL30&lt;'PIM Ranges'!$BA$21,"Q4","Q5")))),IF('PIM Ranges'!$AK30='PIM Ranges'!$AW$22,IF('PIM Ranges'!$AL30&lt;'PIM Ranges'!$AX$22,"Q1",IF('PIM Ranges'!$AL30&lt;'PIM Ranges'!$AY$22,"Q2",IF('PIM Ranges'!$AL30&lt;'PIM Ranges'!$AZ$22,"Q3",IF('PIM Ranges'!$AL30&lt;'PIM Ranges'!$BA$22,"Q4","Q5")))),IF('PIM Ranges'!$AK30='PIM Ranges'!$AW$23,IF('PIM Ranges'!$AL30&lt;'PIM Ranges'!$AX$23,"Q1",IF('PIM Ranges'!$AL30&lt;'PIM Ranges'!$AY$23,"Q2",IF('PIM Ranges'!$AL30&lt;'PIM Ranges'!$AZ$23,"Q3",IF('PIM Ranges'!$AL30&lt;'PIM Ranges'!$BA$23,"Q4","Q5")))),IF('PIM Ranges'!$AK30='PIM Ranges'!$AW$24,IF('PIM Ranges'!$AL30&lt;'PIM Ranges'!$AX$24,"Q1",IF('PIM Ranges'!$AL30&lt;'PIM Ranges'!$AY$24,"Q2",IF('PIM Ranges'!$AL30&lt;'PIM Ranges'!$AZ$24,"Q3",IF('PIM Ranges'!$AL30&lt;'PIM Ranges'!$BA$24,"Q4","Q5")))),IF('PIM Ranges'!$AK30='PIM Ranges'!$AW$25,IF('PIM Ranges'!$AL30&lt;'PIM Ranges'!$AX$25,"Q1",IF('PIM Ranges'!$AL30&lt;'PIM Ranges'!$AY$25,"Q2",IF('PIM Ranges'!$AL30&lt;'PIM Ranges'!$AZ$25,"Q3",IF('PIM Ranges'!$AL30&lt;'PIM Ranges'!$BA$25,"Q4","Q5")))),IF('PIM Ranges'!$AK30='PIM Ranges'!$AW$26,IF('PIM Ranges'!$AL30&lt;'PIM Ranges'!$AX$26,"Q1",IF('PIM Ranges'!$AL30&lt;'PIM Ranges'!$AY$26,"Q2",IF('PIM Ranges'!$AL30&lt;'PIM Ranges'!$AZ$26,"Q3",IF('PIM Ranges'!$AL30&lt;'PIM Ranges'!$BA$26,"Q4","Q5")))),IF('PIM Ranges'!$AK30='PIM Ranges'!$AW$27,IF('PIM Ranges'!$AL30&lt;'PIM Ranges'!$AX$27,"Q1",IF('PIM Ranges'!$AL30&lt;'PIM Ranges'!$AY$27,"Q2",IF('PIM Ranges'!$AL30&lt;'PIM Ranges'!$AZ$27,"Q3",IF('PIM Ranges'!$AL30&lt;'PIM Ranges'!$BA$27,"Q4","Q5")))),IF('PIM Ranges'!$AK30='PIM Ranges'!$AW$28,IF('PIM Ranges'!$AL30&lt;'PIM Ranges'!$AX$28,"Q1",IF('PIM Ranges'!$AL30&lt;'PIM Ranges'!$AY$28,"Q2",IF('PIM Ranges'!$AL30&lt;'PIM Ranges'!$AZ$28,"Q3",IF('PIM Ranges'!$AL30&lt;'PIM Ranges'!$BA$28,"Q4","Q5")))),IF('PIM Ranges'!$AK30='PIM Ranges'!$AW$29,IF('PIM Ranges'!$AL30&lt;'PIM Ranges'!$AX$29,"Q1",IF('PIM Ranges'!$AL30&lt;'PIM Ranges'!$AY$29,"Q2",IF('PIM Ranges'!$AL30&lt;'PIM Ranges'!$AZ$29,"Q3",IF('PIM Ranges'!$AL30&lt;'PIM Ranges'!$BA$29,"Q4","Q5")))),IF('PIM Ranges'!$AK30='PIM Ranges'!$AW$30,IF('PIM Ranges'!$AL30&lt;'PIM Ranges'!$AX$30,"Q1",IF('PIM Ranges'!$AL30&lt;'PIM Ranges'!$AY$30,"Q2",IF('PIM Ranges'!$AL30&lt;'PIM Ranges'!$AZ$30,"Q3",IF('PIM Ranges'!$AL30&lt;'PIM Ranges'!$BA$30,"Q4","Q5")))),IF('PIM Ranges'!$AK30='PIM Ranges'!$AW$31,IF('PIM Ranges'!$AL30&lt;'PIM Ranges'!$AX$31,"Q1",IF('PIM Ranges'!$AL30&lt;'PIM Ranges'!$AY$31,"Q2",IF('PIM Ranges'!$AL30&lt;'PIM Ranges'!$AZ$31,"Q3",IF('PIM Ranges'!$AL30&lt;'PIM Ranges'!$BA$31,"Q4","Q5")))),IF('PIM Ranges'!$AK30='PIM Ranges'!$AW$32,IF('PIM Ranges'!$AL30&lt;'PIM Ranges'!$AX$32,"Q1",IF('PIM Ranges'!$AL30&lt;'PIM Ranges'!$AY$32,"Q2",IF('PIM Ranges'!$AL30&lt;'PIM Ranges'!$AZ$32,"Q3",IF('PIM Ranges'!$AL30&lt;'PIM Ranges'!$BA$32,"Q4","Q5"))))))))))))))))))))))))))</f>
        <v>#DIV/0!</v>
      </c>
      <c r="AV30" s="500"/>
      <c r="AW30" s="52" t="s">
        <v>86</v>
      </c>
      <c r="AX30" s="501">
        <v>88</v>
      </c>
      <c r="AY30" s="501">
        <v>544</v>
      </c>
      <c r="AZ30" s="501">
        <v>2063</v>
      </c>
      <c r="BA30" s="501">
        <v>4981</v>
      </c>
      <c r="BD30" s="52" t="s">
        <v>86</v>
      </c>
      <c r="BE30" s="501">
        <v>151</v>
      </c>
      <c r="BF30" s="501">
        <v>808</v>
      </c>
      <c r="BG30" s="501">
        <v>4097</v>
      </c>
      <c r="BH30" s="501">
        <v>9886</v>
      </c>
    </row>
    <row r="31" spans="1:60" x14ac:dyDescent="0.25">
      <c r="A31" t="e">
        <f t="shared" si="13"/>
        <v>#DIV/0!</v>
      </c>
      <c r="B31">
        <v>22</v>
      </c>
      <c r="C31" t="s">
        <v>88</v>
      </c>
      <c r="D31" s="25">
        <f>'Multi-Customer'!C33</f>
        <v>0</v>
      </c>
      <c r="E31">
        <f>'Multi-Customer'!D33</f>
        <v>0</v>
      </c>
      <c r="F31">
        <f>'Multi-Customer'!E33</f>
        <v>0</v>
      </c>
      <c r="G31" s="328">
        <f>'Multi-Customer'!F33</f>
        <v>0</v>
      </c>
      <c r="H31" s="19">
        <f t="shared" si="14"/>
        <v>0</v>
      </c>
      <c r="I31" s="19">
        <f t="shared" si="15"/>
        <v>0</v>
      </c>
      <c r="J31" s="328"/>
      <c r="K31" s="328" t="str">
        <f>'PIM Model'!E29</f>
        <v>INCLUDE</v>
      </c>
      <c r="L31" s="328" t="e">
        <f t="shared" si="0"/>
        <v>#DIV/0!</v>
      </c>
      <c r="M31">
        <v>22</v>
      </c>
      <c r="N31" s="328" t="s">
        <v>88</v>
      </c>
      <c r="O31" s="328" t="e">
        <f t="shared" si="1"/>
        <v>#DIV/0!</v>
      </c>
      <c r="P31" s="328" t="e">
        <f t="shared" si="2"/>
        <v>#DIV/0!</v>
      </c>
      <c r="Q31" s="328" t="e">
        <f t="shared" si="3"/>
        <v>#DIV/0!</v>
      </c>
      <c r="R31" s="328" t="e">
        <f t="shared" si="4"/>
        <v>#DIV/0!</v>
      </c>
      <c r="S31" s="328">
        <f t="shared" si="16"/>
        <v>0</v>
      </c>
      <c r="T31" s="19">
        <f t="shared" si="17"/>
        <v>0</v>
      </c>
      <c r="U31" s="19"/>
      <c r="V31" s="2">
        <f>'PIM Model'!$C$29</f>
        <v>0</v>
      </c>
      <c r="W31" s="611" t="e">
        <f>'Multi-Customer'!M33</f>
        <v>#DIV/0!</v>
      </c>
      <c r="X31" s="19" t="e">
        <f t="shared" si="18"/>
        <v>#DIV/0!</v>
      </c>
      <c r="Y31" s="328" t="e">
        <f t="shared" si="19"/>
        <v>#DIV/0!</v>
      </c>
      <c r="Z31" s="328" t="e">
        <f t="shared" si="20"/>
        <v>#DIV/0!</v>
      </c>
      <c r="AA31" s="328" t="e">
        <f t="shared" si="21"/>
        <v>#DIV/0!</v>
      </c>
      <c r="AB31" s="612" t="e">
        <f t="shared" si="22"/>
        <v>#DIV/0!</v>
      </c>
      <c r="AC31" s="612" t="e">
        <f t="shared" si="23"/>
        <v>#DIV/0!</v>
      </c>
      <c r="AD31" s="328" t="e">
        <f t="shared" si="5"/>
        <v>#DIV/0!</v>
      </c>
      <c r="AE31" s="328"/>
      <c r="AF31" s="328" t="e">
        <f t="shared" si="24"/>
        <v>#DIV/0!</v>
      </c>
      <c r="AG31" s="39">
        <f>'PIM Model'!B29</f>
        <v>0</v>
      </c>
      <c r="AH31" s="468" t="e">
        <f t="shared" si="6"/>
        <v>#DIV/0!</v>
      </c>
      <c r="AI31" s="468" t="e">
        <f t="shared" si="25"/>
        <v>#DIV/0!</v>
      </c>
      <c r="AJ31">
        <v>22</v>
      </c>
      <c r="AK31" s="469" t="s">
        <v>88</v>
      </c>
      <c r="AL31" s="469" t="e">
        <f t="shared" si="7"/>
        <v>#DIV/0!</v>
      </c>
      <c r="AM31" s="469">
        <f t="shared" si="8"/>
        <v>0</v>
      </c>
      <c r="AN31" s="469">
        <f t="shared" si="9"/>
        <v>0</v>
      </c>
      <c r="AO31" s="470">
        <f t="shared" si="10"/>
        <v>0</v>
      </c>
      <c r="AP31" s="470">
        <f t="shared" si="11"/>
        <v>0</v>
      </c>
      <c r="AQ31" s="1" t="e">
        <f t="shared" si="12"/>
        <v>#DIV/0!</v>
      </c>
      <c r="AR31" s="1" t="e">
        <f>IF('PIM Ranges'!$AK31='PIM Ranges'!$AW$11,IF('PIM Ranges'!$AL31&lt;'PIM Ranges'!$AX$11,"Q1",IF('PIM Ranges'!$AL31&lt;'PIM Ranges'!$AY$11,"Q2",IF('PIM Ranges'!$AL31&lt;'PIM Ranges'!$AZ$11,"Q3",IF('PIM Ranges'!$AL31&lt;'PIM Ranges'!$BA$11,"Q4","Q5")))),IF('PIM Ranges'!$AK31='PIM Ranges'!$AW$12,IF('PIM Ranges'!$AL31&lt;'PIM Ranges'!$AX$12,"Q1",IF('PIM Ranges'!$AL31&lt;'PIM Ranges'!$AY$12,"Q2",IF('PIM Ranges'!$AL31&lt;'PIM Ranges'!$AZ$12,"Q3",IF('PIM Ranges'!$AL31&lt;'PIM Ranges'!$BA$12,"Q4","Q5")))),IF('PIM Ranges'!$AK31='PIM Ranges'!$AW$13,IF('PIM Ranges'!$AL31&lt;'PIM Ranges'!$AX$13,"Q1",IF('PIM Ranges'!$AL31&lt;'PIM Ranges'!$AY$13,"Q2",IF('PIM Ranges'!$AL31&lt;'PIM Ranges'!$AZ$13,"Q3",IF('PIM Ranges'!$AL31&lt;'PIM Ranges'!$BA$13,"Q4","Q5")))),IF('PIM Ranges'!$AK31='PIM Ranges'!$AW$14,IF('PIM Ranges'!$AL31&lt;'PIM Ranges'!$AX$14,"Q1",IF('PIM Ranges'!$AL31&lt;'PIM Ranges'!$AY$14,"Q2",IF('PIM Ranges'!$AL31&lt;'PIM Ranges'!$AZ$14,"Q3",IF('PIM Ranges'!$AL31&lt;'PIM Ranges'!$BA$14,"Q4","Q5")))),IF('PIM Ranges'!$AK31='PIM Ranges'!$AW$15,IF('PIM Ranges'!$AL31&lt;'PIM Ranges'!$AX$15,"Q1",IF('PIM Ranges'!$AL31&lt;'PIM Ranges'!$AY$15,"Q2",IF('PIM Ranges'!$AL31&lt;'PIM Ranges'!$AZ$15,"Q3",IF('PIM Ranges'!$AL31&lt;'PIM Ranges'!$BA$15,"Q4","Q5")))),IF('PIM Ranges'!$AK31='PIM Ranges'!$AW$16,IF('PIM Ranges'!$AL31&lt;'PIM Ranges'!$AX$16,"Q1",IF('PIM Ranges'!$AL31&lt;'PIM Ranges'!$AY$16,"Q2",IF('PIM Ranges'!$AL31&lt;'PIM Ranges'!$AZ$16,"Q3",IF('PIM Ranges'!$AL31&lt;'PIM Ranges'!$BA$16,"Q4","Q5")))),IF('PIM Ranges'!$AK31='PIM Ranges'!$AW$17,IF('PIM Ranges'!$AL31&lt;'PIM Ranges'!$AX$17,"Q1",IF('PIM Ranges'!$AL31&lt;'PIM Ranges'!$AY$17,"Q2",IF('PIM Ranges'!$AL31&lt;'PIM Ranges'!$AZ$17,"Q3",IF('PIM Ranges'!$AL31&lt;'PIM Ranges'!$BA$17,"Q4","Q5")))),IF('PIM Ranges'!$AK31='PIM Ranges'!$AW$18,IF('PIM Ranges'!$AL31&lt;'PIM Ranges'!$AX$18,"Q1",IF('PIM Ranges'!$AL31&lt;'PIM Ranges'!$AY$18,"Q2",IF('PIM Ranges'!$AL31&lt;'PIM Ranges'!$AZ$18,"Q3",IF('PIM Ranges'!$AL31&lt;'PIM Ranges'!$BA$18,"Q4","Q5")))),IF('PIM Ranges'!$AK31='PIM Ranges'!$AW$19,IF('PIM Ranges'!$AL31&lt;'PIM Ranges'!$AX$19,"Q1",IF('PIM Ranges'!$AL31&lt;'PIM Ranges'!$AY$19,"Q2",IF('PIM Ranges'!$AL31&lt;'PIM Ranges'!$AZ$19,"Q3",IF('PIM Ranges'!$AL31&lt;'PIM Ranges'!$BA$19,"Q4","Q5")))),IF('PIM Ranges'!$AK31='PIM Ranges'!$AW$20,IF('PIM Ranges'!$AL31&lt;'PIM Ranges'!$AX$20,"Q1",IF('PIM Ranges'!$AL31&lt;'PIM Ranges'!$AY$20,"Q2",IF('PIM Ranges'!$AL31&lt;'PIM Ranges'!$AZ$20,"Q3",IF('PIM Ranges'!$AL31&lt;'PIM Ranges'!$BA$20,"Q4","Q5")))),IF('PIM Ranges'!$AK31='PIM Ranges'!$AW$21,IF('PIM Ranges'!$AL31&lt;'PIM Ranges'!$AX$21,"Q1",IF('PIM Ranges'!$AL31&lt;'PIM Ranges'!$AY$21,"Q2",IF('PIM Ranges'!$AL31&lt;'PIM Ranges'!$AZ$21,"Q3",IF('PIM Ranges'!$AL31&lt;'PIM Ranges'!$BA$21,"Q4","Q5")))),IF('PIM Ranges'!$AK31='PIM Ranges'!$AW$22,IF('PIM Ranges'!$AL31&lt;'PIM Ranges'!$AX$22,"Q1",IF('PIM Ranges'!$AL31&lt;'PIM Ranges'!$AY$22,"Q2",IF('PIM Ranges'!$AL31&lt;'PIM Ranges'!$AZ$22,"Q3",IF('PIM Ranges'!$AL31&lt;'PIM Ranges'!$BA$22,"Q4","Q5")))),IF('PIM Ranges'!$AK31='PIM Ranges'!$AW$23,IF('PIM Ranges'!$AL31&lt;'PIM Ranges'!$AX$23,"Q1",IF('PIM Ranges'!$AL31&lt;'PIM Ranges'!$AY$23,"Q2",IF('PIM Ranges'!$AL31&lt;'PIM Ranges'!$AZ$23,"Q3",IF('PIM Ranges'!$AL31&lt;'PIM Ranges'!$BA$23,"Q4","Q5")))),IF('PIM Ranges'!$AK31='PIM Ranges'!$AW$24,IF('PIM Ranges'!$AL31&lt;'PIM Ranges'!$AX$24,"Q1",IF('PIM Ranges'!$AL31&lt;'PIM Ranges'!$AY$24,"Q2",IF('PIM Ranges'!$AL31&lt;'PIM Ranges'!$AZ$24,"Q3",IF('PIM Ranges'!$AL31&lt;'PIM Ranges'!$BA$24,"Q4","Q5")))),IF('PIM Ranges'!$AK31='PIM Ranges'!$AW$25,IF('PIM Ranges'!$AL31&lt;'PIM Ranges'!$AX$25,"Q1",IF('PIM Ranges'!$AL31&lt;'PIM Ranges'!$AY$25,"Q2",IF('PIM Ranges'!$AL31&lt;'PIM Ranges'!$AZ$25,"Q3",IF('PIM Ranges'!$AL31&lt;'PIM Ranges'!$BA$25,"Q4","Q5")))),IF('PIM Ranges'!$AK31='PIM Ranges'!$AW$26,IF('PIM Ranges'!$AL31&lt;'PIM Ranges'!$AX$26,"Q1",IF('PIM Ranges'!$AL31&lt;'PIM Ranges'!$AY$26,"Q2",IF('PIM Ranges'!$AL31&lt;'PIM Ranges'!$AZ$26,"Q3",IF('PIM Ranges'!$AL31&lt;'PIM Ranges'!$BA$26,"Q4","Q5")))),IF('PIM Ranges'!$AK31='PIM Ranges'!$AW$27,IF('PIM Ranges'!$AL31&lt;'PIM Ranges'!$AX$27,"Q1",IF('PIM Ranges'!$AL31&lt;'PIM Ranges'!$AY$27,"Q2",IF('PIM Ranges'!$AL31&lt;'PIM Ranges'!$AZ$27,"Q3",IF('PIM Ranges'!$AL31&lt;'PIM Ranges'!$BA$27,"Q4","Q5")))),IF('PIM Ranges'!$AK31='PIM Ranges'!$AW$28,IF('PIM Ranges'!$AL31&lt;'PIM Ranges'!$AX$28,"Q1",IF('PIM Ranges'!$AL31&lt;'PIM Ranges'!$AY$28,"Q2",IF('PIM Ranges'!$AL31&lt;'PIM Ranges'!$AZ$28,"Q3",IF('PIM Ranges'!$AL31&lt;'PIM Ranges'!$BA$28,"Q4","Q5")))),IF('PIM Ranges'!$AK31='PIM Ranges'!$AW$29,IF('PIM Ranges'!$AL31&lt;'PIM Ranges'!$AX$29,"Q1",IF('PIM Ranges'!$AL31&lt;'PIM Ranges'!$AY$29,"Q2",IF('PIM Ranges'!$AL31&lt;'PIM Ranges'!$AZ$29,"Q3",IF('PIM Ranges'!$AL31&lt;'PIM Ranges'!$BA$29,"Q4","Q5")))),IF('PIM Ranges'!$AK31='PIM Ranges'!$AW$30,IF('PIM Ranges'!$AL31&lt;'PIM Ranges'!$AX$30,"Q1",IF('PIM Ranges'!$AL31&lt;'PIM Ranges'!$AY$30,"Q2",IF('PIM Ranges'!$AL31&lt;'PIM Ranges'!$AZ$30,"Q3",IF('PIM Ranges'!$AL31&lt;'PIM Ranges'!$BA$30,"Q4","Q5")))),IF('PIM Ranges'!$AK31='PIM Ranges'!$AW$31,IF('PIM Ranges'!$AL31&lt;'PIM Ranges'!$AX$31,"Q1",IF('PIM Ranges'!$AL31&lt;'PIM Ranges'!$AY$31,"Q2",IF('PIM Ranges'!$AL31&lt;'PIM Ranges'!$AZ$31,"Q3",IF('PIM Ranges'!$AL31&lt;'PIM Ranges'!$BA$31,"Q4","Q5")))),IF('PIM Ranges'!$AK31='PIM Ranges'!$AW$32,IF('PIM Ranges'!$AL31&lt;'PIM Ranges'!$AX$32,"Q1",IF('PIM Ranges'!$AL31&lt;'PIM Ranges'!$AY$32,"Q2",IF('PIM Ranges'!$AL31&lt;'PIM Ranges'!$AZ$32,"Q3",IF('PIM Ranges'!$AL31&lt;'PIM Ranges'!$BA$32,"Q4","Q5"))))))))))))))))))))))))))</f>
        <v>#DIV/0!</v>
      </c>
      <c r="AV31" s="500"/>
      <c r="AW31" s="52" t="s">
        <v>88</v>
      </c>
      <c r="AX31" s="501">
        <v>6782</v>
      </c>
      <c r="AY31" s="501">
        <v>19966</v>
      </c>
      <c r="AZ31" s="501">
        <v>43486</v>
      </c>
      <c r="BA31" s="501">
        <v>97858</v>
      </c>
      <c r="BD31" s="52" t="s">
        <v>88</v>
      </c>
      <c r="BE31" s="501">
        <v>8688</v>
      </c>
      <c r="BF31" s="501">
        <v>30144</v>
      </c>
      <c r="BG31" s="501">
        <v>100469</v>
      </c>
      <c r="BH31" s="501">
        <v>234604</v>
      </c>
    </row>
    <row r="32" spans="1:60" x14ac:dyDescent="0.25">
      <c r="A32" t="e">
        <f t="shared" si="13"/>
        <v>#DIV/0!</v>
      </c>
      <c r="B32">
        <v>23</v>
      </c>
      <c r="C32" t="s">
        <v>87</v>
      </c>
      <c r="D32" s="25">
        <f>'Multi-Customer'!C34</f>
        <v>0</v>
      </c>
      <c r="E32">
        <f>'Multi-Customer'!D34</f>
        <v>0</v>
      </c>
      <c r="F32">
        <f>'Multi-Customer'!E34</f>
        <v>0</v>
      </c>
      <c r="G32" s="328">
        <f>'Multi-Customer'!F34</f>
        <v>0</v>
      </c>
      <c r="H32" s="19">
        <f t="shared" si="14"/>
        <v>0</v>
      </c>
      <c r="I32" s="19">
        <f t="shared" si="15"/>
        <v>0</v>
      </c>
      <c r="J32" s="328"/>
      <c r="K32" s="328" t="str">
        <f>'PIM Model'!E30</f>
        <v>INCLUDE</v>
      </c>
      <c r="L32" s="328" t="e">
        <f t="shared" si="0"/>
        <v>#DIV/0!</v>
      </c>
      <c r="M32">
        <v>23</v>
      </c>
      <c r="N32" s="328" t="s">
        <v>87</v>
      </c>
      <c r="O32" s="328" t="e">
        <f t="shared" si="1"/>
        <v>#DIV/0!</v>
      </c>
      <c r="P32" s="328" t="e">
        <f t="shared" si="2"/>
        <v>#DIV/0!</v>
      </c>
      <c r="Q32" s="328" t="e">
        <f t="shared" si="3"/>
        <v>#DIV/0!</v>
      </c>
      <c r="R32" s="328" t="e">
        <f t="shared" si="4"/>
        <v>#DIV/0!</v>
      </c>
      <c r="S32" s="328">
        <f t="shared" si="16"/>
        <v>0</v>
      </c>
      <c r="T32" s="19">
        <f t="shared" si="17"/>
        <v>0</v>
      </c>
      <c r="U32" s="19"/>
      <c r="V32" s="2">
        <f>'PIM Model'!$C$30</f>
        <v>0</v>
      </c>
      <c r="W32" s="611" t="e">
        <f>'Multi-Customer'!M34</f>
        <v>#DIV/0!</v>
      </c>
      <c r="X32" s="19" t="e">
        <f t="shared" si="18"/>
        <v>#DIV/0!</v>
      </c>
      <c r="Y32" s="328" t="e">
        <f t="shared" si="19"/>
        <v>#DIV/0!</v>
      </c>
      <c r="Z32" s="328" t="e">
        <f t="shared" si="20"/>
        <v>#DIV/0!</v>
      </c>
      <c r="AA32" s="328" t="e">
        <f t="shared" si="21"/>
        <v>#DIV/0!</v>
      </c>
      <c r="AB32" s="612" t="e">
        <f t="shared" si="22"/>
        <v>#DIV/0!</v>
      </c>
      <c r="AC32" s="612" t="e">
        <f t="shared" si="23"/>
        <v>#DIV/0!</v>
      </c>
      <c r="AD32" s="328" t="e">
        <f t="shared" si="5"/>
        <v>#DIV/0!</v>
      </c>
      <c r="AE32" s="328"/>
      <c r="AF32" s="328" t="e">
        <f t="shared" si="24"/>
        <v>#DIV/0!</v>
      </c>
      <c r="AG32" s="39">
        <f>'PIM Model'!B30</f>
        <v>0</v>
      </c>
      <c r="AH32" s="468" t="e">
        <f t="shared" si="6"/>
        <v>#DIV/0!</v>
      </c>
      <c r="AI32" s="468" t="e">
        <f t="shared" si="25"/>
        <v>#DIV/0!</v>
      </c>
      <c r="AJ32">
        <v>23</v>
      </c>
      <c r="AK32" s="469" t="s">
        <v>87</v>
      </c>
      <c r="AL32" s="469" t="e">
        <f t="shared" si="7"/>
        <v>#DIV/0!</v>
      </c>
      <c r="AM32" s="469">
        <f t="shared" si="8"/>
        <v>0</v>
      </c>
      <c r="AN32" s="469">
        <f t="shared" si="9"/>
        <v>0</v>
      </c>
      <c r="AO32" s="470">
        <f t="shared" si="10"/>
        <v>0</v>
      </c>
      <c r="AP32" s="470">
        <f t="shared" si="11"/>
        <v>0</v>
      </c>
      <c r="AQ32" s="1" t="e">
        <f>IF($AK32=$BD$12,IF($AL32&lt;$BE$12,"Q1",IF($AL32&lt;$BF$12,"Q2",IF($AL32&lt;$BG$12,"Q3",IF($AL32&lt;$BH$12,"Q4","Q5")))),IF($AK32=$BD$13,IF($AL32&lt;$BE$13,"Q1",IF($AL32&lt;$BF$13,"Q2",IF($AL32&lt;$BG$13,"Q3",IF($AL32&lt;$BH$13,"Q4","Q5")))),IF($AK32=$BD$14,IF($AL32&lt;$BE$14,"Q1",IF($AL32&lt;$BF$14,"Q2",IF($AL32&lt;$BG$14,"Q3",IF($AL32&lt;$BH$14,"Q4","Q5")))),IF($AK32=$BD$15,IF($AL32&lt;$BE$15,"Q1",IF($AL32&lt;$BF$15,"Q2",IF($AL32&lt;$BG$15,"Q3",IF($AL32&lt;$BH$15,"Q4","Q5")))),IF($AK32=$BD$16,IF($AL32&lt;$BE$16,"Q1",IF($AL32&lt;$BF$16,"Q2",IF($AL32&lt;$BG$16,"Q3",IF($AL32&lt;$BH$16,"Q4","Q5")))),IF($AK32=$BD$17,IF($AL32&lt;$BE$17,"Q1",IF($AL32&lt;$BF$17,"Q2",IF($AL32&lt;$BG$17,"Q3",IF($AL32&lt;$BH$17,"Q4","Q5")))),IF($AK32=$BD$18,IF($AL32&lt;$BE$18,"Q1",IF($AL32&lt;$BF$18,"Q2",IF($AL32&lt;$BG$18,"Q3",IF($AL32&lt;$BH$18,"Q4","Q5")))),IF($AK32=$BD$19,IF($AL32&lt;$BE$19,"Q1",IF($AL32&lt;$BF$19,"Q2",IF($AL32&lt;$BG$19,"Q3",IF($AL32&lt;$BH$19,"Q4","Q5")))),IF($AK32=$BD$20,IF($AL32&lt;$BE$20,"Q1",IF($AL32&lt;$BF$20,"Q2",IF($AL32&lt;$BG$20,"Q3",IF($AL32&lt;$BH$20,"Q4","Q5")))),IF($AK32=$BD$21,IF($AL32&lt;$BE$21,"Q1",IF($AL32&lt;$BF$21,"Q2",IF($AL32&lt;$BG$21,"Q3",IF($AL32&lt;$BH$21,"Q4","Q5")))),IF($AK32=$BD$22,IF($AL32&lt;$BE$22,"Q1",IF($AL32&lt;$BF$22,"Q2",IF($AL32&lt;$BG$22,"Q3",IF($AL32&lt;$BH$22,"Q4","Q5")))),IF($AK32=$BD$23,IF($AL32&lt;$BE$23,"Q1",IF($AL32&lt;$BF$23,"Q2",IF($AL32&lt;$BG$23,"Q3",IF($AL32&lt;$BH$23,"Q4","Q5")))),IF($AK32=$BD$24,IF($AL32&lt;$BE$24,"Q1",IF($AL32&lt;$BF$24,"Q2",IF($AL32&lt;$BG$24,"Q3",IF($AL32&lt;$BH$24,"Q4","Q5")))),IF($AK32=$BD$25,IF($AL32&lt;$BE$25,"Q1",IF($AL32&lt;$BF$25,"Q2",IF($AL32&lt;$BG$25,"Q3",IF($AL32&lt;$BH$25,"Q4","Q5")))),IF($AK32=$BD$26,IF($AL32&lt;$BE$26,"Q1",IF($AL32&lt;$BF$26,"Q2",IF($AL32&lt;$BG$26,"Q3",IF($AL32&lt;$BH$26,"Q4","Q5")))),IF($AK32=$BD$27,IF($AL32&lt;$BE$27,"Q1",IF($AL32&lt;$BF$27,"Q2",IF($AL32&lt;$BG$27,"Q3",IF($AL32&lt;$BH$27,"Q4","Q5")))),IF($AK32=$BD$28,IF($AL32&lt;$BE$28,"Q1",IF($AL32&lt;$BF$28,"Q2",IF($AL32&lt;$BG$28,"Q3",IF($AL32&lt;$BH$28,"Q4","Q5")))),IF($AK32=$BD$29,IF($AL32&lt;$BE$29,"Q1",IF($AL32&lt;$BF$29,"Q2",IF($AL32&lt;$BG$29,"Q3",IF($AL32&lt;$BH$29,"Q4","Q5")))),IF($AK32=$BD$30,IF($AL32&lt;$BE$30,"Q1",IF($AL32&lt;$BF$30,"Q2",IF($AL32&lt;$BG$30,"Q3",IF($AL32&lt;$BH$30,"Q4","Q5")))),IF($AK32=$BD$31,IF($AL32&lt;$BE$31,"Q1",IF($AL32&lt;$BF$31,"Q2",IF($AL32&lt;$BG$31,"Q3",IF($AL32&lt;$BH$31,"Q4","Q5")))),IF($AK32=$BD$32,IF($AL32&lt;$BE$32,"Q1",IF($AL32&lt;$BF$32,"Q2",IF($AL32&lt;$BG$32,"Q3",IF($AL32&lt;$BH$32,"Q4","Q5")))),IF($AK32=$BD$33,IF($AL32&lt;$BE$33,"Q1",IF($AL32&lt;$BF$33,"Q2",IF($AL32&lt;$BG$33,"Q3",IF($AL32&lt;$BH$33,"Q4","Q5"))))))))))))))))))))))))))</f>
        <v>#DIV/0!</v>
      </c>
      <c r="AR32" s="1" t="e">
        <f>IF('PIM Ranges'!$AK32='PIM Ranges'!$AW$11,IF('PIM Ranges'!$AL32&lt;'PIM Ranges'!$AX$11,"Q1",IF('PIM Ranges'!$AL32&lt;'PIM Ranges'!$AY$11,"Q2",IF('PIM Ranges'!$AL32&lt;'PIM Ranges'!$AZ$11,"Q3",IF('PIM Ranges'!$AL32&lt;'PIM Ranges'!$BA$11,"Q4","Q5")))),IF('PIM Ranges'!$AK32='PIM Ranges'!$AW$12,IF('PIM Ranges'!$AL32&lt;'PIM Ranges'!$AX$12,"Q1",IF('PIM Ranges'!$AL32&lt;'PIM Ranges'!$AY$12,"Q2",IF('PIM Ranges'!$AL32&lt;'PIM Ranges'!$AZ$12,"Q3",IF('PIM Ranges'!$AL32&lt;'PIM Ranges'!$BA$12,"Q4","Q5")))),IF('PIM Ranges'!$AK32='PIM Ranges'!$AW$13,IF('PIM Ranges'!$AL32&lt;'PIM Ranges'!$AX$13,"Q1",IF('PIM Ranges'!$AL32&lt;'PIM Ranges'!$AY$13,"Q2",IF('PIM Ranges'!$AL32&lt;'PIM Ranges'!$AZ$13,"Q3",IF('PIM Ranges'!$AL32&lt;'PIM Ranges'!$BA$13,"Q4","Q5")))),IF('PIM Ranges'!$AK32='PIM Ranges'!$AW$14,IF('PIM Ranges'!$AL32&lt;'PIM Ranges'!$AX$14,"Q1",IF('PIM Ranges'!$AL32&lt;'PIM Ranges'!$AY$14,"Q2",IF('PIM Ranges'!$AL32&lt;'PIM Ranges'!$AZ$14,"Q3",IF('PIM Ranges'!$AL32&lt;'PIM Ranges'!$BA$14,"Q4","Q5")))),IF('PIM Ranges'!$AK32='PIM Ranges'!$AW$15,IF('PIM Ranges'!$AL32&lt;'PIM Ranges'!$AX$15,"Q1",IF('PIM Ranges'!$AL32&lt;'PIM Ranges'!$AY$15,"Q2",IF('PIM Ranges'!$AL32&lt;'PIM Ranges'!$AZ$15,"Q3",IF('PIM Ranges'!$AL32&lt;'PIM Ranges'!$BA$15,"Q4","Q5")))),IF('PIM Ranges'!$AK32='PIM Ranges'!$AW$16,IF('PIM Ranges'!$AL32&lt;'PIM Ranges'!$AX$16,"Q1",IF('PIM Ranges'!$AL32&lt;'PIM Ranges'!$AY$16,"Q2",IF('PIM Ranges'!$AL32&lt;'PIM Ranges'!$AZ$16,"Q3",IF('PIM Ranges'!$AL32&lt;'PIM Ranges'!$BA$16,"Q4","Q5")))),IF('PIM Ranges'!$AK32='PIM Ranges'!$AW$17,IF('PIM Ranges'!$AL32&lt;'PIM Ranges'!$AX$17,"Q1",IF('PIM Ranges'!$AL32&lt;'PIM Ranges'!$AY$17,"Q2",IF('PIM Ranges'!$AL32&lt;'PIM Ranges'!$AZ$17,"Q3",IF('PIM Ranges'!$AL32&lt;'PIM Ranges'!$BA$17,"Q4","Q5")))),IF('PIM Ranges'!$AK32='PIM Ranges'!$AW$18,IF('PIM Ranges'!$AL32&lt;'PIM Ranges'!$AX$18,"Q1",IF('PIM Ranges'!$AL32&lt;'PIM Ranges'!$AY$18,"Q2",IF('PIM Ranges'!$AL32&lt;'PIM Ranges'!$AZ$18,"Q3",IF('PIM Ranges'!$AL32&lt;'PIM Ranges'!$BA$18,"Q4","Q5")))),IF('PIM Ranges'!$AK32='PIM Ranges'!$AW$19,IF('PIM Ranges'!$AL32&lt;'PIM Ranges'!$AX$19,"Q1",IF('PIM Ranges'!$AL32&lt;'PIM Ranges'!$AY$19,"Q2",IF('PIM Ranges'!$AL32&lt;'PIM Ranges'!$AZ$19,"Q3",IF('PIM Ranges'!$AL32&lt;'PIM Ranges'!$BA$19,"Q4","Q5")))),IF('PIM Ranges'!$AK32='PIM Ranges'!$AW$20,IF('PIM Ranges'!$AL32&lt;'PIM Ranges'!$AX$20,"Q1",IF('PIM Ranges'!$AL32&lt;'PIM Ranges'!$AY$20,"Q2",IF('PIM Ranges'!$AL32&lt;'PIM Ranges'!$AZ$20,"Q3",IF('PIM Ranges'!$AL32&lt;'PIM Ranges'!$BA$20,"Q4","Q5")))),IF('PIM Ranges'!$AK32='PIM Ranges'!$AW$21,IF('PIM Ranges'!$AL32&lt;'PIM Ranges'!$AX$21,"Q1",IF('PIM Ranges'!$AL32&lt;'PIM Ranges'!$AY$21,"Q2",IF('PIM Ranges'!$AL32&lt;'PIM Ranges'!$AZ$21,"Q3",IF('PIM Ranges'!$AL32&lt;'PIM Ranges'!$BA$21,"Q4","Q5")))),IF('PIM Ranges'!$AK32='PIM Ranges'!$AW$22,IF('PIM Ranges'!$AL32&lt;'PIM Ranges'!$AX$22,"Q1",IF('PIM Ranges'!$AL32&lt;'PIM Ranges'!$AY$22,"Q2",IF('PIM Ranges'!$AL32&lt;'PIM Ranges'!$AZ$22,"Q3",IF('PIM Ranges'!$AL32&lt;'PIM Ranges'!$BA$22,"Q4","Q5")))),IF('PIM Ranges'!$AK32='PIM Ranges'!$AW$23,IF('PIM Ranges'!$AL32&lt;'PIM Ranges'!$AX$23,"Q1",IF('PIM Ranges'!$AL32&lt;'PIM Ranges'!$AY$23,"Q2",IF('PIM Ranges'!$AL32&lt;'PIM Ranges'!$AZ$23,"Q3",IF('PIM Ranges'!$AL32&lt;'PIM Ranges'!$BA$23,"Q4","Q5")))),IF('PIM Ranges'!$AK32='PIM Ranges'!$AW$24,IF('PIM Ranges'!$AL32&lt;'PIM Ranges'!$AX$24,"Q1",IF('PIM Ranges'!$AL32&lt;'PIM Ranges'!$AY$24,"Q2",IF('PIM Ranges'!$AL32&lt;'PIM Ranges'!$AZ$24,"Q3",IF('PIM Ranges'!$AL32&lt;'PIM Ranges'!$BA$24,"Q4","Q5")))),IF('PIM Ranges'!$AK32='PIM Ranges'!$AW$25,IF('PIM Ranges'!$AL32&lt;'PIM Ranges'!$AX$25,"Q1",IF('PIM Ranges'!$AL32&lt;'PIM Ranges'!$AY$25,"Q2",IF('PIM Ranges'!$AL32&lt;'PIM Ranges'!$AZ$25,"Q3",IF('PIM Ranges'!$AL32&lt;'PIM Ranges'!$BA$25,"Q4","Q5")))),IF('PIM Ranges'!$AK32='PIM Ranges'!$AW$26,IF('PIM Ranges'!$AL32&lt;'PIM Ranges'!$AX$26,"Q1",IF('PIM Ranges'!$AL32&lt;'PIM Ranges'!$AY$26,"Q2",IF('PIM Ranges'!$AL32&lt;'PIM Ranges'!$AZ$26,"Q3",IF('PIM Ranges'!$AL32&lt;'PIM Ranges'!$BA$26,"Q4","Q5")))),IF('PIM Ranges'!$AK32='PIM Ranges'!$AW$27,IF('PIM Ranges'!$AL32&lt;'PIM Ranges'!$AX$27,"Q1",IF('PIM Ranges'!$AL32&lt;'PIM Ranges'!$AY$27,"Q2",IF('PIM Ranges'!$AL32&lt;'PIM Ranges'!$AZ$27,"Q3",IF('PIM Ranges'!$AL32&lt;'PIM Ranges'!$BA$27,"Q4","Q5")))),IF('PIM Ranges'!$AK32='PIM Ranges'!$AW$28,IF('PIM Ranges'!$AL32&lt;'PIM Ranges'!$AX$28,"Q1",IF('PIM Ranges'!$AL32&lt;'PIM Ranges'!$AY$28,"Q2",IF('PIM Ranges'!$AL32&lt;'PIM Ranges'!$AZ$28,"Q3",IF('PIM Ranges'!$AL32&lt;'PIM Ranges'!$BA$28,"Q4","Q5")))),IF('PIM Ranges'!$AK32='PIM Ranges'!$AW$29,IF('PIM Ranges'!$AL32&lt;'PIM Ranges'!$AX$29,"Q1",IF('PIM Ranges'!$AL32&lt;'PIM Ranges'!$AY$29,"Q2",IF('PIM Ranges'!$AL32&lt;'PIM Ranges'!$AZ$29,"Q3",IF('PIM Ranges'!$AL32&lt;'PIM Ranges'!$BA$29,"Q4","Q5")))),IF('PIM Ranges'!$AK32='PIM Ranges'!$AW$30,IF('PIM Ranges'!$AL32&lt;'PIM Ranges'!$AX$30,"Q1",IF('PIM Ranges'!$AL32&lt;'PIM Ranges'!$AY$30,"Q2",IF('PIM Ranges'!$AL32&lt;'PIM Ranges'!$AZ$30,"Q3",IF('PIM Ranges'!$AL32&lt;'PIM Ranges'!$BA$30,"Q4","Q5")))),IF('PIM Ranges'!$AK32='PIM Ranges'!$AW$31,IF('PIM Ranges'!$AL32&lt;'PIM Ranges'!$AX$31,"Q1",IF('PIM Ranges'!$AL32&lt;'PIM Ranges'!$AY$31,"Q2",IF('PIM Ranges'!$AL32&lt;'PIM Ranges'!$AZ$31,"Q3",IF('PIM Ranges'!$AL32&lt;'PIM Ranges'!$BA$31,"Q4","Q5")))),IF('PIM Ranges'!$AK32='PIM Ranges'!$AW$32,IF('PIM Ranges'!$AL32&lt;'PIM Ranges'!$AX$32,"Q1",IF('PIM Ranges'!$AL32&lt;'PIM Ranges'!$AY$32,"Q2",IF('PIM Ranges'!$AL32&lt;'PIM Ranges'!$AZ$32,"Q3",IF('PIM Ranges'!$AL32&lt;'PIM Ranges'!$BA$32,"Q4","Q5"))))))))))))))))))))))))))</f>
        <v>#DIV/0!</v>
      </c>
      <c r="AV32" s="500"/>
      <c r="AW32" s="52" t="s">
        <v>87</v>
      </c>
      <c r="AX32" s="501">
        <v>317</v>
      </c>
      <c r="AY32" s="501">
        <v>1177</v>
      </c>
      <c r="AZ32" s="501">
        <v>4361</v>
      </c>
      <c r="BA32" s="501">
        <v>10380</v>
      </c>
      <c r="BD32" s="52" t="s">
        <v>87</v>
      </c>
      <c r="BE32" s="501">
        <v>496</v>
      </c>
      <c r="BF32" s="501">
        <v>2401</v>
      </c>
      <c r="BG32" s="501">
        <v>10817</v>
      </c>
      <c r="BH32" s="501">
        <v>25725</v>
      </c>
    </row>
    <row r="33" spans="1:60" x14ac:dyDescent="0.25">
      <c r="A33" t="e">
        <f>SUM(A12:A32)</f>
        <v>#DIV/0!</v>
      </c>
      <c r="D33" s="25">
        <f>SUM(D$12:D$32)</f>
        <v>0</v>
      </c>
      <c r="E33">
        <f>SUM(E$12:E$32)</f>
        <v>0</v>
      </c>
      <c r="F33">
        <f>SUM(F$12:F$32)</f>
        <v>0</v>
      </c>
      <c r="G33">
        <f>SUM(G$12:G$32)</f>
        <v>0</v>
      </c>
      <c r="L33" s="328" t="e">
        <f>SUM(L12:L32)</f>
        <v>#DIV/0!</v>
      </c>
      <c r="O33" s="25" t="e">
        <f>SUM(O$12:O$32)</f>
        <v>#DIV/0!</v>
      </c>
      <c r="P33" t="e">
        <f>SUM(P$12:P$32)</f>
        <v>#DIV/0!</v>
      </c>
      <c r="Q33" t="e">
        <f>SUM(Q$12:Q$32)</f>
        <v>#DIV/0!</v>
      </c>
      <c r="R33" t="e">
        <f>SUM(R$12:R$32)</f>
        <v>#DIV/0!</v>
      </c>
      <c r="W33" s="328" t="e">
        <f>SUM($W$12:$W$32)</f>
        <v>#DIV/0!</v>
      </c>
      <c r="X33" s="328" t="e">
        <f>SUM(X12:X32)</f>
        <v>#DIV/0!</v>
      </c>
      <c r="Y33" s="328" t="e">
        <f>SUM(Y12:Y32)</f>
        <v>#DIV/0!</v>
      </c>
      <c r="Z33" s="328" t="e">
        <f>SUM($Z$12:$Z$32)</f>
        <v>#DIV/0!</v>
      </c>
      <c r="AA33" s="328" t="e">
        <f>SUM(AA12:AA32)</f>
        <v>#DIV/0!</v>
      </c>
      <c r="AB33" s="612" t="e">
        <f>SUM(AB12:AB32)</f>
        <v>#DIV/0!</v>
      </c>
      <c r="AC33" s="612" t="e">
        <f>SUM(AC12:AC32)</f>
        <v>#DIV/0!</v>
      </c>
      <c r="AD33" s="328" t="e">
        <f>SUM(AD12:AD32)</f>
        <v>#DIV/0!</v>
      </c>
      <c r="AF33" s="328" t="e">
        <f>SUM(AF12:AF32)</f>
        <v>#DIV/0!</v>
      </c>
      <c r="AH33" s="328" t="e">
        <f>SUM(AH12:AH32)</f>
        <v>#DIV/0!</v>
      </c>
      <c r="AI33" s="328" t="e">
        <f>SUM(AI12:AI32)</f>
        <v>#DIV/0!</v>
      </c>
      <c r="AL33" s="328" t="e">
        <f>SUM(AL12:AL32)</f>
        <v>#DIV/0!</v>
      </c>
      <c r="AM33" s="328">
        <f t="shared" ref="AM33:AN33" si="26">SUM(AM12:AM32)</f>
        <v>0</v>
      </c>
      <c r="AN33" s="328">
        <f t="shared" si="26"/>
        <v>0</v>
      </c>
      <c r="AV33" s="500"/>
      <c r="AW33" s="52" t="s">
        <v>255</v>
      </c>
      <c r="AX33" s="501">
        <v>3824</v>
      </c>
      <c r="AY33" s="501">
        <v>15819</v>
      </c>
      <c r="AZ33" s="501">
        <v>31421</v>
      </c>
      <c r="BA33" s="501">
        <v>38852</v>
      </c>
      <c r="BD33" s="52" t="s">
        <v>255</v>
      </c>
      <c r="BE33" s="501">
        <v>3824</v>
      </c>
      <c r="BF33" s="501">
        <v>15819</v>
      </c>
      <c r="BG33" s="501">
        <v>31421</v>
      </c>
      <c r="BH33" s="501">
        <v>38852</v>
      </c>
    </row>
    <row r="34" spans="1:60" x14ac:dyDescent="0.25">
      <c r="AV34" s="23"/>
      <c r="AW34" s="26"/>
      <c r="AX34" s="26"/>
      <c r="AY34" s="26"/>
      <c r="AZ34" s="26"/>
      <c r="BA34" s="26"/>
      <c r="BB34" s="26"/>
      <c r="BC34" s="26"/>
    </row>
    <row r="35" spans="1:60" x14ac:dyDescent="0.25">
      <c r="AV35" s="23"/>
      <c r="AW35" s="26"/>
      <c r="AX35" s="26"/>
      <c r="AY35" s="26"/>
      <c r="AZ35" s="26"/>
      <c r="BA35" s="26"/>
      <c r="BB35" s="26"/>
      <c r="BC35" s="26"/>
      <c r="BD35" s="26"/>
      <c r="BE35" s="57"/>
      <c r="BF35" s="26"/>
      <c r="BG35" s="26"/>
    </row>
    <row r="36" spans="1:60" x14ac:dyDescent="0.25">
      <c r="AV36" s="23"/>
      <c r="AW36" s="26"/>
      <c r="AX36" s="26"/>
      <c r="AY36" s="26"/>
      <c r="AZ36" s="26"/>
      <c r="BA36" s="26"/>
      <c r="BB36" s="26"/>
      <c r="BC36" s="26"/>
      <c r="BD36" s="26"/>
      <c r="BE36" s="26"/>
      <c r="BF36" s="26"/>
      <c r="BG36" s="26"/>
    </row>
    <row r="37" spans="1:60" x14ac:dyDescent="0.25">
      <c r="AV37" s="23"/>
      <c r="AW37" s="26"/>
      <c r="AX37" s="26"/>
      <c r="AY37" s="26"/>
      <c r="AZ37" s="26"/>
      <c r="BA37" s="26"/>
      <c r="BB37" s="26"/>
      <c r="BC37" s="26"/>
      <c r="BD37" s="26"/>
      <c r="BE37" s="26"/>
      <c r="BF37" s="26"/>
      <c r="BG37" s="26"/>
    </row>
    <row r="38" spans="1:60" x14ac:dyDescent="0.25">
      <c r="AV38" s="23"/>
      <c r="AW38" s="26"/>
      <c r="AX38" s="26"/>
      <c r="AY38" s="26"/>
      <c r="AZ38" s="26"/>
      <c r="BA38" s="26"/>
      <c r="BB38" s="26"/>
      <c r="BC38" s="26"/>
      <c r="BD38" s="26"/>
      <c r="BE38" s="26"/>
      <c r="BF38" s="26"/>
      <c r="BG38" s="26"/>
    </row>
    <row r="39" spans="1:60" x14ac:dyDescent="0.25">
      <c r="AV39" s="23"/>
      <c r="AW39" s="26"/>
      <c r="AX39" s="26"/>
      <c r="AY39" s="26"/>
      <c r="AZ39" s="26"/>
      <c r="BA39" s="26"/>
      <c r="BB39" s="26"/>
      <c r="BC39" s="26"/>
      <c r="BD39" s="26"/>
      <c r="BE39" s="26"/>
      <c r="BF39" s="26"/>
      <c r="BG39" s="26"/>
    </row>
    <row r="40" spans="1:60" x14ac:dyDescent="0.25">
      <c r="AV40" s="23"/>
      <c r="AW40" s="26"/>
      <c r="AX40" s="26"/>
      <c r="AY40" s="26"/>
      <c r="AZ40" s="26"/>
      <c r="BA40" s="26"/>
      <c r="BB40" s="26"/>
      <c r="BC40" s="26"/>
      <c r="BD40" s="26"/>
      <c r="BE40" s="26"/>
      <c r="BF40" s="26"/>
      <c r="BG40" s="26"/>
    </row>
    <row r="41" spans="1:60" x14ac:dyDescent="0.25">
      <c r="AV41" s="23"/>
      <c r="AW41" s="26"/>
      <c r="AX41" s="26"/>
      <c r="AY41" s="26"/>
      <c r="AZ41" s="26"/>
      <c r="BA41" s="26"/>
      <c r="BB41" s="26"/>
      <c r="BC41" s="26"/>
      <c r="BD41" s="26"/>
      <c r="BE41" s="26"/>
      <c r="BF41" s="26"/>
      <c r="BG41" s="26"/>
    </row>
    <row r="42" spans="1:60" x14ac:dyDescent="0.25">
      <c r="AV42" s="23"/>
      <c r="AW42" s="26"/>
      <c r="AX42" s="26"/>
      <c r="AY42" s="26"/>
      <c r="AZ42" s="26"/>
      <c r="BA42" s="26"/>
      <c r="BB42" s="26"/>
      <c r="BC42" s="26"/>
      <c r="BD42" s="26"/>
      <c r="BE42" s="26"/>
      <c r="BF42" s="26"/>
      <c r="BG42" s="26"/>
    </row>
    <row r="43" spans="1:60" x14ac:dyDescent="0.25">
      <c r="AV43" s="23"/>
      <c r="AW43" s="26"/>
      <c r="AX43" s="26"/>
      <c r="AY43" s="26"/>
      <c r="AZ43" s="26"/>
      <c r="BA43" s="26"/>
      <c r="BB43" s="26"/>
      <c r="BC43" s="26"/>
      <c r="BD43" s="26"/>
      <c r="BE43" s="26"/>
      <c r="BF43" s="26"/>
      <c r="BG43" s="26"/>
    </row>
    <row r="44" spans="1:60" x14ac:dyDescent="0.25">
      <c r="AV44" s="23"/>
      <c r="AW44" s="26"/>
      <c r="AX44" s="26"/>
      <c r="AY44" s="26"/>
      <c r="AZ44" s="26"/>
      <c r="BA44" s="26"/>
      <c r="BB44" s="26"/>
      <c r="BC44" s="26"/>
      <c r="BD44" s="26"/>
      <c r="BE44" s="26"/>
      <c r="BF44" s="26"/>
      <c r="BG44" s="26"/>
    </row>
    <row r="45" spans="1:60" x14ac:dyDescent="0.25">
      <c r="AV45" s="23"/>
      <c r="AW45" s="26"/>
      <c r="AX45" s="26"/>
      <c r="AY45" s="26"/>
      <c r="AZ45" s="26"/>
      <c r="BA45" s="26"/>
      <c r="BB45" s="26"/>
      <c r="BC45" s="26"/>
      <c r="BD45" s="26"/>
      <c r="BE45" s="26"/>
      <c r="BF45" s="26"/>
      <c r="BG45" s="26"/>
    </row>
    <row r="46" spans="1:60" x14ac:dyDescent="0.25">
      <c r="AV46" s="23"/>
      <c r="AW46" s="26"/>
      <c r="AX46" s="26"/>
      <c r="AY46" s="26"/>
      <c r="AZ46" s="26"/>
      <c r="BA46" s="26"/>
      <c r="BB46" s="26"/>
      <c r="BC46" s="26"/>
      <c r="BD46" s="26"/>
      <c r="BE46" s="26"/>
      <c r="BF46" s="26"/>
      <c r="BG46" s="26"/>
    </row>
    <row r="47" spans="1:60" x14ac:dyDescent="0.25">
      <c r="AV47" s="23"/>
      <c r="AW47" s="26"/>
      <c r="AX47" s="26"/>
      <c r="AY47" s="26"/>
      <c r="AZ47" s="26"/>
      <c r="BA47" s="26"/>
      <c r="BB47" s="26"/>
      <c r="BC47" s="26"/>
      <c r="BD47" s="26"/>
      <c r="BE47" s="26"/>
      <c r="BF47" s="26"/>
      <c r="BG47" s="26"/>
    </row>
    <row r="48" spans="1:60" x14ac:dyDescent="0.25">
      <c r="AV48" s="23"/>
      <c r="AW48" s="26"/>
      <c r="AX48" s="26"/>
      <c r="AY48" s="26"/>
      <c r="AZ48" s="26"/>
      <c r="BA48" s="26"/>
      <c r="BB48" s="26"/>
      <c r="BC48" s="26"/>
      <c r="BD48" s="26"/>
      <c r="BE48" s="26"/>
      <c r="BF48" s="26"/>
      <c r="BG48" s="26"/>
    </row>
    <row r="49" spans="47:59" x14ac:dyDescent="0.25">
      <c r="AV49" s="23"/>
      <c r="AW49" s="26"/>
      <c r="AX49" s="26"/>
      <c r="AY49" s="26"/>
      <c r="AZ49" s="26"/>
      <c r="BA49" s="26"/>
      <c r="BB49" s="26"/>
      <c r="BC49" s="26"/>
      <c r="BD49" s="26"/>
      <c r="BE49" s="26"/>
      <c r="BF49" s="26"/>
      <c r="BG49" s="26"/>
    </row>
    <row r="50" spans="47:59" x14ac:dyDescent="0.25">
      <c r="AV50" s="23"/>
      <c r="AW50" s="26"/>
      <c r="AX50" s="26"/>
      <c r="AY50" s="26"/>
      <c r="AZ50" s="26"/>
      <c r="BA50" s="26"/>
      <c r="BB50" s="26"/>
      <c r="BC50" s="26"/>
      <c r="BD50" s="26"/>
      <c r="BE50" s="26"/>
      <c r="BF50" s="26"/>
      <c r="BG50" s="26"/>
    </row>
    <row r="51" spans="47:59" x14ac:dyDescent="0.25">
      <c r="AV51" s="23"/>
      <c r="AW51" s="26"/>
      <c r="AX51" s="26"/>
      <c r="AY51" s="26"/>
      <c r="AZ51" s="26"/>
      <c r="BA51" s="26"/>
      <c r="BB51" s="26"/>
      <c r="BC51" s="26"/>
      <c r="BD51" s="26"/>
      <c r="BE51" s="26"/>
      <c r="BF51" s="26"/>
      <c r="BG51" s="26"/>
    </row>
    <row r="52" spans="47:59" x14ac:dyDescent="0.25">
      <c r="AV52" s="23"/>
      <c r="AW52" s="26"/>
      <c r="AX52" s="26"/>
      <c r="AY52" s="26"/>
      <c r="AZ52" s="26"/>
      <c r="BA52" s="26"/>
      <c r="BB52" s="26"/>
      <c r="BC52" s="26"/>
      <c r="BD52" s="26"/>
      <c r="BE52" s="26"/>
      <c r="BF52" s="26"/>
      <c r="BG52" s="26"/>
    </row>
    <row r="53" spans="47:59" x14ac:dyDescent="0.25">
      <c r="AV53" s="23"/>
      <c r="AW53" s="26"/>
      <c r="AX53" s="26"/>
      <c r="AY53" s="26"/>
      <c r="AZ53" s="26"/>
      <c r="BA53" s="26"/>
      <c r="BB53" s="26"/>
      <c r="BC53" s="26"/>
      <c r="BD53" s="26"/>
      <c r="BE53" s="26"/>
      <c r="BF53" s="26"/>
      <c r="BG53" s="26"/>
    </row>
    <row r="54" spans="47:59" x14ac:dyDescent="0.25">
      <c r="AV54" s="23"/>
      <c r="AW54" s="26"/>
      <c r="AX54" s="26"/>
      <c r="AY54" s="26"/>
      <c r="AZ54" s="26"/>
      <c r="BA54" s="26"/>
      <c r="BB54" s="26"/>
      <c r="BC54" s="26"/>
      <c r="BD54" s="26"/>
      <c r="BE54" s="26"/>
      <c r="BF54" s="26"/>
      <c r="BG54" s="26"/>
    </row>
    <row r="56" spans="47:59" ht="16.149999999999999" customHeight="1" x14ac:dyDescent="0.25"/>
    <row r="57" spans="47:59" x14ac:dyDescent="0.25">
      <c r="AY57" s="2"/>
      <c r="AZ57" s="2"/>
      <c r="BA57" s="2"/>
      <c r="BF57" s="2"/>
    </row>
    <row r="58" spans="47:59" x14ac:dyDescent="0.25">
      <c r="AU58" s="2"/>
      <c r="AV58" s="2"/>
      <c r="AW58" s="2"/>
      <c r="AX58" s="2"/>
      <c r="AY58" s="2"/>
      <c r="AZ58" s="2"/>
      <c r="BA58" s="2"/>
      <c r="BB58" s="2"/>
      <c r="BC58" s="2"/>
      <c r="BD58" s="2"/>
      <c r="BE58" s="2"/>
      <c r="BF58" s="2"/>
      <c r="BG58" s="2"/>
    </row>
    <row r="59" spans="47:59" x14ac:dyDescent="0.25">
      <c r="AU59" s="25"/>
      <c r="AV59" s="2"/>
      <c r="AW59" s="2"/>
      <c r="AX59" s="2"/>
      <c r="AY59" s="2"/>
      <c r="AZ59" s="2"/>
      <c r="BA59" s="2"/>
      <c r="BB59" s="2"/>
      <c r="BC59" s="2"/>
      <c r="BD59" s="2"/>
      <c r="BE59" s="2"/>
      <c r="BF59" s="2"/>
      <c r="BG59" s="2"/>
    </row>
    <row r="60" spans="47:59" x14ac:dyDescent="0.25">
      <c r="AU60" s="25"/>
      <c r="AV60" s="53"/>
      <c r="AW60" s="53"/>
      <c r="AX60" s="24"/>
      <c r="AY60" s="24"/>
      <c r="AZ60" s="24"/>
      <c r="BA60" s="24"/>
      <c r="BB60" s="24"/>
      <c r="BC60" s="24"/>
      <c r="BD60" s="24"/>
      <c r="BE60" s="24"/>
      <c r="BF60" s="24"/>
      <c r="BG60" s="24"/>
    </row>
    <row r="61" spans="47:59" x14ac:dyDescent="0.25">
      <c r="AU61" s="25"/>
      <c r="AV61" s="53"/>
      <c r="AW61" s="53"/>
      <c r="AX61" s="24"/>
      <c r="AY61" s="24"/>
      <c r="AZ61" s="24"/>
      <c r="BA61" s="24"/>
      <c r="BB61" s="24"/>
      <c r="BC61" s="24"/>
      <c r="BD61" s="24"/>
      <c r="BE61" s="24"/>
      <c r="BF61" s="24"/>
      <c r="BG61" s="24"/>
    </row>
    <row r="62" spans="47:59" x14ac:dyDescent="0.25">
      <c r="AU62" s="25"/>
      <c r="AV62" s="53"/>
      <c r="AW62" s="53"/>
      <c r="AX62" s="24"/>
      <c r="AY62" s="24"/>
      <c r="AZ62" s="24"/>
      <c r="BA62" s="24"/>
      <c r="BB62" s="24"/>
      <c r="BC62" s="24"/>
      <c r="BD62" s="24"/>
      <c r="BE62" s="24"/>
      <c r="BF62" s="24"/>
      <c r="BG62" s="24"/>
    </row>
    <row r="63" spans="47:59" x14ac:dyDescent="0.25">
      <c r="AU63" s="25"/>
      <c r="AV63" s="53"/>
      <c r="AW63" s="53"/>
      <c r="AX63" s="24"/>
      <c r="AY63" s="24"/>
      <c r="AZ63" s="24"/>
      <c r="BA63" s="24"/>
      <c r="BB63" s="24"/>
      <c r="BC63" s="24"/>
      <c r="BD63" s="24"/>
      <c r="BE63" s="24"/>
      <c r="BF63" s="24"/>
      <c r="BG63" s="24"/>
    </row>
    <row r="64" spans="47:59" x14ac:dyDescent="0.25">
      <c r="AU64" s="25"/>
      <c r="AV64" s="53"/>
      <c r="AW64" s="53"/>
      <c r="AX64" s="24"/>
      <c r="AY64" s="24"/>
      <c r="AZ64" s="24"/>
      <c r="BA64" s="24"/>
      <c r="BB64" s="24"/>
      <c r="BC64" s="24"/>
      <c r="BD64" s="24"/>
      <c r="BE64" s="24"/>
      <c r="BF64" s="24"/>
      <c r="BG64" s="24"/>
    </row>
    <row r="65" spans="47:59" x14ac:dyDescent="0.25">
      <c r="AU65" s="25"/>
      <c r="AV65" s="53"/>
      <c r="AW65" s="53"/>
      <c r="AX65" s="24"/>
      <c r="AY65" s="24"/>
      <c r="AZ65" s="24"/>
      <c r="BA65" s="24"/>
      <c r="BB65" s="24"/>
      <c r="BC65" s="24"/>
      <c r="BD65" s="24"/>
      <c r="BE65" s="24"/>
      <c r="BF65" s="24"/>
      <c r="BG65" s="24"/>
    </row>
    <row r="66" spans="47:59" x14ac:dyDescent="0.25">
      <c r="AU66" s="25"/>
      <c r="AV66" s="53"/>
      <c r="AW66" s="53"/>
      <c r="AX66" s="24"/>
      <c r="AY66" s="24"/>
      <c r="AZ66" s="24"/>
      <c r="BA66" s="24"/>
      <c r="BB66" s="24"/>
      <c r="BC66" s="24"/>
      <c r="BD66" s="24"/>
      <c r="BE66" s="24"/>
      <c r="BF66" s="24"/>
      <c r="BG66" s="24"/>
    </row>
    <row r="67" spans="47:59" x14ac:dyDescent="0.25">
      <c r="AV67" s="53"/>
      <c r="AW67" s="53"/>
      <c r="AX67" s="24"/>
      <c r="AY67" s="24"/>
      <c r="AZ67" s="24"/>
      <c r="BA67" s="24"/>
      <c r="BB67" s="24"/>
      <c r="BC67" s="24"/>
      <c r="BD67" s="24"/>
      <c r="BE67" s="24"/>
      <c r="BF67" s="24"/>
      <c r="BG67" s="24"/>
    </row>
  </sheetData>
  <mergeCells count="5">
    <mergeCell ref="BI5:BJ5"/>
    <mergeCell ref="BD10:BH10"/>
    <mergeCell ref="AW10:BA10"/>
    <mergeCell ref="AQ10:AR10"/>
    <mergeCell ref="AW5:AX5"/>
  </mergeCells>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4D3C8-FE08-4380-B614-B5597F8ED35D}">
  <sheetPr codeName="Sheet35">
    <tabColor rgb="FFFF0000"/>
    <pageSetUpPr fitToPage="1"/>
  </sheetPr>
  <dimension ref="A1:W84"/>
  <sheetViews>
    <sheetView showFormulas="1" zoomScaleNormal="100" workbookViewId="0">
      <selection activeCell="A48" sqref="A48"/>
    </sheetView>
  </sheetViews>
  <sheetFormatPr defaultColWidth="8.85546875" defaultRowHeight="15" x14ac:dyDescent="0.25"/>
  <cols>
    <col min="1" max="1" width="16.85546875" style="1074" bestFit="1" customWidth="1"/>
    <col min="2" max="2" width="23.5703125" style="1074" bestFit="1" customWidth="1"/>
    <col min="3" max="3" width="18.7109375" style="1074" customWidth="1"/>
    <col min="4" max="4" width="16.5703125" style="1074" bestFit="1" customWidth="1"/>
    <col min="5" max="5" width="1.7109375" style="285" customWidth="1"/>
    <col min="6" max="6" width="14.140625" style="1074" customWidth="1"/>
    <col min="7" max="7" width="11.5703125" style="1074" bestFit="1" customWidth="1"/>
    <col min="8" max="8" width="1.7109375" style="286" customWidth="1"/>
    <col min="9" max="9" width="8.140625" style="1074" customWidth="1"/>
    <col min="10" max="10" width="20.28515625" style="1074" bestFit="1" customWidth="1"/>
    <col min="11" max="11" width="20.7109375" style="1074" bestFit="1" customWidth="1"/>
    <col min="12" max="12" width="12.5703125" style="1074" customWidth="1"/>
    <col min="13" max="13" width="1.7109375" style="286" customWidth="1"/>
    <col min="14" max="14" width="9.5703125" style="1074" customWidth="1"/>
    <col min="15" max="15" width="13.7109375" style="1074" customWidth="1"/>
    <col min="16" max="17" width="14.7109375" style="1074" customWidth="1"/>
    <col min="18" max="18" width="1.7109375" style="286" customWidth="1"/>
    <col min="19" max="19" width="8.140625" style="1074" customWidth="1"/>
    <col min="20" max="20" width="15.85546875" style="1074" customWidth="1"/>
    <col min="21" max="21" width="12.140625" style="1074" bestFit="1" customWidth="1"/>
    <col min="22" max="22" width="14.7109375" style="1074" customWidth="1"/>
    <col min="23" max="23" width="1.7109375" style="286" customWidth="1"/>
    <col min="24" max="16384" width="8.85546875" style="1074"/>
  </cols>
  <sheetData>
    <row r="1" spans="1:23" ht="29.25" thickBot="1" x14ac:dyDescent="0.5">
      <c r="A1" s="1457" t="s">
        <v>799</v>
      </c>
      <c r="B1" s="1457"/>
      <c r="C1" s="1457"/>
      <c r="D1" s="1457"/>
      <c r="F1" s="1458" t="s">
        <v>728</v>
      </c>
      <c r="G1" s="1458"/>
      <c r="I1" s="1459" t="s">
        <v>798</v>
      </c>
      <c r="J1" s="1460"/>
      <c r="K1" s="1460"/>
      <c r="L1" s="1460"/>
      <c r="M1" s="1460"/>
      <c r="N1" s="1460"/>
      <c r="O1" s="1460"/>
      <c r="P1" s="1460"/>
      <c r="Q1" s="1460"/>
      <c r="R1" s="1460"/>
      <c r="S1" s="1460"/>
      <c r="T1" s="1460"/>
      <c r="U1" s="1460"/>
      <c r="V1" s="1461"/>
    </row>
    <row r="2" spans="1:23" x14ac:dyDescent="0.25">
      <c r="I2" s="334"/>
      <c r="J2" s="136"/>
      <c r="K2" s="136"/>
      <c r="L2" s="136"/>
      <c r="M2" s="136"/>
      <c r="N2" s="136"/>
      <c r="O2" s="136"/>
      <c r="P2" s="136"/>
      <c r="Q2" s="136"/>
      <c r="R2" s="136"/>
      <c r="S2" s="136"/>
      <c r="T2" s="136"/>
      <c r="U2" s="136"/>
      <c r="V2" s="337"/>
    </row>
    <row r="3" spans="1:23" x14ac:dyDescent="0.25">
      <c r="A3" s="1074" t="s">
        <v>245</v>
      </c>
      <c r="B3" s="1455">
        <f>Welcome!$D$4</f>
        <v>0</v>
      </c>
      <c r="C3" s="1455"/>
      <c r="I3" s="330">
        <v>1</v>
      </c>
      <c r="J3" s="1074" t="s">
        <v>754</v>
      </c>
      <c r="L3" s="1455" t="str">
        <f>"ALC "&amp;'Required Info to Submit'!$F$6</f>
        <v xml:space="preserve">ALC </v>
      </c>
      <c r="M3" s="1455"/>
      <c r="N3" s="1455"/>
      <c r="O3" s="1455"/>
      <c r="P3" s="1455"/>
      <c r="R3" s="1074"/>
      <c r="V3" s="139"/>
    </row>
    <row r="4" spans="1:23" ht="45" x14ac:dyDescent="0.25">
      <c r="A4" s="1074" t="s">
        <v>735</v>
      </c>
      <c r="B4" s="1454">
        <f>'Required Info to Submit'!$F$6</f>
        <v>0</v>
      </c>
      <c r="C4" s="1454"/>
      <c r="D4" s="1084" t="s">
        <v>889</v>
      </c>
      <c r="F4" s="249" t="s">
        <v>729</v>
      </c>
      <c r="G4" s="640">
        <f>Incentives!$H$9</f>
        <v>0</v>
      </c>
      <c r="H4" s="288"/>
      <c r="I4" s="330">
        <v>2</v>
      </c>
      <c r="J4" s="1074" t="s">
        <v>730</v>
      </c>
      <c r="L4" s="338">
        <f>'Required Info to Submit'!$F$14</f>
        <v>0</v>
      </c>
      <c r="M4" s="338"/>
      <c r="N4" s="338"/>
      <c r="O4" s="339">
        <v>3</v>
      </c>
      <c r="P4" s="1455" t="s">
        <v>732</v>
      </c>
      <c r="Q4" s="1455"/>
      <c r="R4" s="1455"/>
      <c r="S4" s="1456" t="e">
        <f>$L$4+(364*$G$5)+6</f>
        <v>#VALUE!</v>
      </c>
      <c r="T4" s="1456"/>
      <c r="U4" s="338"/>
      <c r="V4" s="139"/>
    </row>
    <row r="5" spans="1:23" x14ac:dyDescent="0.25">
      <c r="A5" s="1074" t="s">
        <v>1017</v>
      </c>
      <c r="B5" s="1462">
        <f>'Required Info to Submit'!$F$8</f>
        <v>0</v>
      </c>
      <c r="C5" s="1462"/>
      <c r="D5" s="1074" t="e">
        <f>G5*12</f>
        <v>#VALUE!</v>
      </c>
      <c r="F5" s="249" t="s">
        <v>731</v>
      </c>
      <c r="G5" s="287" t="str">
        <f>Welcome!$D$12</f>
        <v>Select Term</v>
      </c>
      <c r="H5" s="288"/>
      <c r="I5" s="1087"/>
      <c r="M5" s="1074"/>
      <c r="O5" s="1084"/>
      <c r="P5" s="1079"/>
      <c r="Q5" s="1079"/>
      <c r="R5" s="1079"/>
      <c r="S5" s="1079"/>
      <c r="T5" s="1079"/>
      <c r="V5" s="139"/>
    </row>
    <row r="6" spans="1:23" x14ac:dyDescent="0.25">
      <c r="A6" s="1074" t="s">
        <v>793</v>
      </c>
      <c r="B6" s="1463">
        <f>'Required Info to Submit'!$F$14</f>
        <v>0</v>
      </c>
      <c r="C6" s="1463"/>
      <c r="F6" s="1074" t="s">
        <v>733</v>
      </c>
      <c r="G6" s="734">
        <f>IF(L4&lt;43827,43827-L4+1,IF(L4&lt;43918,43918-L4+1,IF(L4&lt;44009,44009-L4+1,IF(L4&lt;44198,44198-L4+1,IF(L4&lt;44289,44289-L4+1,IF(L4&lt;44380,44380-L4+1,IF(L4&lt;44471,44471-L4+1,44562-L4+1)))))))/7</f>
        <v>6261.1428571428569</v>
      </c>
      <c r="H6" s="289"/>
      <c r="I6" s="330">
        <v>5</v>
      </c>
      <c r="J6" s="1074" t="s">
        <v>734</v>
      </c>
      <c r="L6" s="1079">
        <f>'MDA Worksheet'!$D$95</f>
        <v>0</v>
      </c>
      <c r="M6" s="1074"/>
      <c r="O6" s="339">
        <v>7</v>
      </c>
      <c r="P6" s="1455" t="s">
        <v>755</v>
      </c>
      <c r="Q6" s="1455"/>
      <c r="R6" s="1455"/>
      <c r="S6" s="1464">
        <f>-('Tracking &amp; Profitability'!$E$22)</f>
        <v>0</v>
      </c>
      <c r="T6" s="1464"/>
      <c r="U6" s="20"/>
      <c r="V6" s="139"/>
    </row>
    <row r="7" spans="1:23" x14ac:dyDescent="0.25">
      <c r="A7" s="1074" t="s">
        <v>794</v>
      </c>
      <c r="B7" s="1455">
        <f>'Required Info to Submit'!$F$10</f>
        <v>0</v>
      </c>
      <c r="C7" s="1455"/>
      <c r="F7" s="1084" t="str">
        <f>IF(Incentives!E15="Yes","VB","")</f>
        <v/>
      </c>
      <c r="G7" s="1084" t="str">
        <f>IF(Incentives!E57="YES","DS","")</f>
        <v/>
      </c>
      <c r="I7" s="330">
        <v>6</v>
      </c>
      <c r="J7" s="1074" t="s">
        <v>756</v>
      </c>
      <c r="L7" s="1455" t="str">
        <f>'MDA Worksheet'!$K$95</f>
        <v/>
      </c>
      <c r="M7" s="1455"/>
      <c r="N7" s="1455"/>
      <c r="O7" s="339">
        <v>8</v>
      </c>
      <c r="P7" s="1455" t="s">
        <v>869</v>
      </c>
      <c r="Q7" s="1455"/>
      <c r="R7" s="1455"/>
      <c r="S7" s="1455">
        <f>'Required Info to Submit'!$F$10</f>
        <v>0</v>
      </c>
      <c r="T7" s="1455"/>
      <c r="V7" s="139"/>
    </row>
    <row r="8" spans="1:23" x14ac:dyDescent="0.25">
      <c r="A8" s="1074" t="s">
        <v>795</v>
      </c>
      <c r="B8" s="1455">
        <f>'Required Info to Submit'!$F$9</f>
        <v>0</v>
      </c>
      <c r="C8" s="1455"/>
      <c r="F8" s="1084" t="str">
        <f>IF(Incentives!E85="Yes","EB","")</f>
        <v/>
      </c>
      <c r="G8" s="1084" t="str">
        <f>IF(Incentives!E113="Yes","SG","")</f>
        <v/>
      </c>
      <c r="I8" s="138"/>
      <c r="M8" s="1074"/>
      <c r="R8" s="1074"/>
      <c r="V8" s="139"/>
    </row>
    <row r="9" spans="1:23" x14ac:dyDescent="0.25">
      <c r="A9" s="1074" t="s">
        <v>654</v>
      </c>
      <c r="B9" s="1455">
        <f>'Required Info to Submit'!$F$12</f>
        <v>0</v>
      </c>
      <c r="C9" s="1455"/>
      <c r="F9" s="1084" t="str">
        <f>IF(Incentives!E121="Yes","EC","")</f>
        <v/>
      </c>
      <c r="G9" s="1084" t="str">
        <f>IF(Incentives!E199="Yes","CC","")</f>
        <v/>
      </c>
      <c r="I9" s="340" t="s">
        <v>871</v>
      </c>
      <c r="J9" s="1080" t="s">
        <v>925</v>
      </c>
      <c r="K9" s="290" t="s">
        <v>860</v>
      </c>
      <c r="L9" s="1080" t="s">
        <v>872</v>
      </c>
      <c r="M9" s="1080"/>
      <c r="N9" s="1080"/>
      <c r="O9" s="290" t="s">
        <v>873</v>
      </c>
      <c r="P9" s="1080"/>
      <c r="Q9" s="1081"/>
      <c r="R9" s="1074"/>
      <c r="V9" s="139"/>
    </row>
    <row r="10" spans="1:23" ht="15.75" thickBot="1" x14ac:dyDescent="0.3">
      <c r="A10" s="1074" t="s">
        <v>796</v>
      </c>
      <c r="B10" s="1455">
        <f>'Required Info to Submit'!$F$11</f>
        <v>0</v>
      </c>
      <c r="C10" s="1455"/>
      <c r="F10" s="1084" t="str">
        <f>IF(Incentives!E175="Yes","PP","")</f>
        <v/>
      </c>
      <c r="G10" s="1084" t="e">
        <f>IF(Incentives!#REF!="Yes","CBT","")</f>
        <v>#REF!</v>
      </c>
      <c r="I10" s="265"/>
      <c r="J10" s="266"/>
      <c r="K10" s="266"/>
      <c r="L10" s="266"/>
      <c r="M10" s="266"/>
      <c r="N10" s="266"/>
      <c r="O10" s="266"/>
      <c r="P10" s="266"/>
      <c r="Q10" s="266"/>
      <c r="R10" s="266"/>
      <c r="S10" s="266"/>
      <c r="T10" s="266"/>
      <c r="U10" s="266"/>
      <c r="V10" s="267"/>
    </row>
    <row r="11" spans="1:23" ht="16.5" thickBot="1" x14ac:dyDescent="0.3">
      <c r="B11" s="1471"/>
      <c r="C11" s="1471"/>
      <c r="F11" s="1084" t="str">
        <f>IF(Incentives!E187="Yes","Roll","")</f>
        <v/>
      </c>
      <c r="I11" s="1465" t="s">
        <v>736</v>
      </c>
      <c r="J11" s="1466"/>
      <c r="K11" s="1466"/>
      <c r="L11" s="1467"/>
      <c r="M11" s="293"/>
      <c r="N11" s="1465" t="s">
        <v>478</v>
      </c>
      <c r="O11" s="1466"/>
      <c r="P11" s="1466"/>
      <c r="Q11" s="1467"/>
      <c r="R11" s="293"/>
      <c r="S11" s="1465" t="s">
        <v>530</v>
      </c>
      <c r="T11" s="1466"/>
      <c r="U11" s="1466"/>
      <c r="V11" s="1467"/>
    </row>
    <row r="12" spans="1:23" ht="15.75" thickBot="1" x14ac:dyDescent="0.3">
      <c r="A12" s="1472" t="s">
        <v>736</v>
      </c>
      <c r="B12" s="1473"/>
      <c r="C12" s="1473"/>
      <c r="D12" s="1474"/>
      <c r="E12" s="831"/>
      <c r="F12" s="136"/>
      <c r="G12" s="136"/>
      <c r="H12" s="785"/>
      <c r="I12" s="1475" t="s">
        <v>737</v>
      </c>
      <c r="J12" s="1476"/>
      <c r="K12" s="1476"/>
      <c r="L12" s="1477"/>
      <c r="M12" s="293"/>
      <c r="N12" s="1475" t="s">
        <v>738</v>
      </c>
      <c r="O12" s="1476"/>
      <c r="P12" s="1476"/>
      <c r="Q12" s="1477"/>
      <c r="R12" s="293"/>
      <c r="S12" s="1475" t="s">
        <v>739</v>
      </c>
      <c r="T12" s="1476"/>
      <c r="U12" s="1476"/>
      <c r="V12" s="1477"/>
    </row>
    <row r="13" spans="1:23" x14ac:dyDescent="0.25">
      <c r="A13" s="294" t="s">
        <v>740</v>
      </c>
      <c r="B13" s="295">
        <f>$L$4</f>
        <v>0</v>
      </c>
      <c r="C13" s="296" t="s">
        <v>741</v>
      </c>
      <c r="D13" s="300" t="e">
        <f>$S$4</f>
        <v>#VALUE!</v>
      </c>
      <c r="E13" s="297"/>
      <c r="F13" s="296"/>
      <c r="G13" s="296"/>
      <c r="H13" s="298"/>
      <c r="I13" s="331" t="s">
        <v>742</v>
      </c>
      <c r="J13" s="295">
        <f>L4</f>
        <v>0</v>
      </c>
      <c r="K13" s="299" t="s">
        <v>743</v>
      </c>
      <c r="L13" s="300" t="e">
        <f>D13</f>
        <v>#VALUE!</v>
      </c>
      <c r="M13" s="298"/>
      <c r="N13" s="1086" t="s">
        <v>742</v>
      </c>
      <c r="O13" s="302">
        <f>$L$4</f>
        <v>0</v>
      </c>
      <c r="P13" s="1078" t="s">
        <v>743</v>
      </c>
      <c r="Q13" s="325" t="e">
        <f>$S$4</f>
        <v>#VALUE!</v>
      </c>
      <c r="R13" s="298"/>
      <c r="S13" s="138" t="s">
        <v>742</v>
      </c>
      <c r="T13" s="302">
        <f>$L$4</f>
        <v>0</v>
      </c>
      <c r="U13" s="1078" t="s">
        <v>743</v>
      </c>
      <c r="V13" s="325" t="e">
        <f>$S$4</f>
        <v>#VALUE!</v>
      </c>
      <c r="W13" s="288"/>
    </row>
    <row r="14" spans="1:23" ht="45" x14ac:dyDescent="0.25">
      <c r="A14" s="301" t="s">
        <v>873</v>
      </c>
      <c r="B14" s="302">
        <f>Incentives!$I$14</f>
        <v>0</v>
      </c>
      <c r="C14" s="249"/>
      <c r="D14" s="306"/>
      <c r="E14" s="303"/>
      <c r="F14" s="249"/>
      <c r="G14" s="249"/>
      <c r="H14" s="288"/>
      <c r="I14" s="332" t="s">
        <v>890</v>
      </c>
      <c r="J14" s="302">
        <f>Incentives!$I$14</f>
        <v>0</v>
      </c>
      <c r="K14" s="305" t="str">
        <f>IF(J14="Check","Check","Credit Memo")</f>
        <v>Credit Memo</v>
      </c>
      <c r="L14" s="641">
        <f>Incentives!$K$14</f>
        <v>0</v>
      </c>
      <c r="M14" s="288"/>
      <c r="N14" s="332" t="s">
        <v>891</v>
      </c>
      <c r="O14" s="302">
        <f>Incentives!$I$56</f>
        <v>0</v>
      </c>
      <c r="P14" s="305" t="str">
        <f>IF(O14="Check","Check","Credit Memo")</f>
        <v>Credit Memo</v>
      </c>
      <c r="Q14" s="641">
        <f>Incentives!$K$56</f>
        <v>0</v>
      </c>
      <c r="R14" s="288"/>
      <c r="S14" s="301" t="s">
        <v>891</v>
      </c>
      <c r="T14" s="302">
        <f>Incentives!$I$84</f>
        <v>0</v>
      </c>
      <c r="U14" s="305" t="str">
        <f>IF(T14="Check","Check","Credit Memo")</f>
        <v>Credit Memo</v>
      </c>
      <c r="V14" s="641">
        <f>Incentives!$K$84</f>
        <v>0</v>
      </c>
      <c r="W14" s="288"/>
    </row>
    <row r="15" spans="1:23" x14ac:dyDescent="0.25">
      <c r="A15" s="301" t="s">
        <v>1183</v>
      </c>
      <c r="B15" s="302">
        <f>Incentives!$G$14</f>
        <v>0</v>
      </c>
      <c r="C15" s="249"/>
      <c r="D15" s="306"/>
      <c r="E15" s="303"/>
      <c r="F15" s="249"/>
      <c r="G15" s="249"/>
      <c r="H15" s="288"/>
      <c r="I15" s="725" t="s">
        <v>1183</v>
      </c>
      <c r="J15" s="302">
        <f>B15</f>
        <v>0</v>
      </c>
      <c r="K15" s="305"/>
      <c r="L15" s="306"/>
      <c r="M15" s="288"/>
      <c r="N15" s="138"/>
      <c r="O15" s="1078" t="s">
        <v>885</v>
      </c>
      <c r="P15" s="1074" t="s">
        <v>886</v>
      </c>
      <c r="Q15" s="139"/>
      <c r="R15" s="288"/>
      <c r="S15" s="138"/>
      <c r="T15" s="1078" t="s">
        <v>885</v>
      </c>
      <c r="U15" s="1074" t="s">
        <v>886</v>
      </c>
      <c r="V15" s="139"/>
      <c r="W15" s="288"/>
    </row>
    <row r="16" spans="1:23" x14ac:dyDescent="0.25">
      <c r="A16" s="301"/>
      <c r="B16" s="302"/>
      <c r="C16" s="249"/>
      <c r="D16" s="306"/>
      <c r="E16" s="303"/>
      <c r="F16" s="249"/>
      <c r="G16" s="249"/>
      <c r="H16" s="288"/>
      <c r="I16" s="332"/>
      <c r="J16" s="1078" t="s">
        <v>884</v>
      </c>
      <c r="K16" s="304">
        <f>Incentives!$I$20</f>
        <v>0</v>
      </c>
      <c r="L16" s="306"/>
      <c r="M16" s="288"/>
      <c r="N16" s="725" t="s">
        <v>1183</v>
      </c>
      <c r="O16" s="1074">
        <f>B27</f>
        <v>0</v>
      </c>
      <c r="P16" s="305"/>
      <c r="Q16" s="306"/>
      <c r="R16" s="288"/>
      <c r="S16" s="725" t="s">
        <v>1183</v>
      </c>
      <c r="T16" s="1074">
        <f>B37</f>
        <v>0</v>
      </c>
      <c r="U16" s="305"/>
      <c r="V16" s="306"/>
      <c r="W16" s="288"/>
    </row>
    <row r="17" spans="1:23" x14ac:dyDescent="0.25">
      <c r="A17" s="138"/>
      <c r="D17" s="139"/>
      <c r="I17" s="138"/>
      <c r="J17" s="1078" t="s">
        <v>885</v>
      </c>
      <c r="K17" s="1074" t="s">
        <v>886</v>
      </c>
      <c r="L17" s="139"/>
      <c r="M17" s="307"/>
      <c r="N17" s="138"/>
      <c r="Q17" s="333"/>
      <c r="S17" s="138"/>
      <c r="V17" s="139"/>
    </row>
    <row r="18" spans="1:23" ht="30" x14ac:dyDescent="0.25">
      <c r="A18" s="308"/>
      <c r="B18" s="309" t="s">
        <v>744</v>
      </c>
      <c r="C18" s="309" t="s">
        <v>745</v>
      </c>
      <c r="D18" s="710" t="s">
        <v>746</v>
      </c>
      <c r="E18" s="310"/>
      <c r="F18" s="311"/>
      <c r="G18" s="311" t="s">
        <v>747</v>
      </c>
      <c r="H18" s="312"/>
      <c r="I18" s="725">
        <v>3</v>
      </c>
      <c r="J18" s="311"/>
      <c r="K18" s="726" t="s">
        <v>1052</v>
      </c>
      <c r="L18" s="727" t="s">
        <v>1053</v>
      </c>
      <c r="M18" s="312"/>
      <c r="N18" s="725">
        <v>3</v>
      </c>
      <c r="P18" s="726" t="s">
        <v>1052</v>
      </c>
      <c r="Q18" s="727" t="s">
        <v>1053</v>
      </c>
      <c r="R18" s="312"/>
      <c r="S18" s="725">
        <v>2</v>
      </c>
      <c r="U18" s="726" t="s">
        <v>1054</v>
      </c>
      <c r="V18" s="727" t="s">
        <v>1055</v>
      </c>
      <c r="W18" s="312"/>
    </row>
    <row r="19" spans="1:23" x14ac:dyDescent="0.25">
      <c r="A19" s="138"/>
      <c r="B19" s="1082">
        <v>0</v>
      </c>
      <c r="C19" s="349">
        <f>IF(ISERROR(B20-0.01),"",B20-0.01)</f>
        <v>-0.01</v>
      </c>
      <c r="D19" s="832">
        <f>Incentives!$K$17</f>
        <v>0</v>
      </c>
      <c r="E19" s="314"/>
      <c r="I19" s="1087" t="s">
        <v>1048</v>
      </c>
      <c r="K19" s="1074">
        <v>0</v>
      </c>
      <c r="L19" s="714">
        <f>D19</f>
        <v>0</v>
      </c>
      <c r="N19" s="1087" t="s">
        <v>1048</v>
      </c>
      <c r="P19" s="346">
        <f>B29</f>
        <v>0</v>
      </c>
      <c r="Q19" s="715">
        <f>D29</f>
        <v>0</v>
      </c>
      <c r="S19" s="1087" t="s">
        <v>1048</v>
      </c>
      <c r="U19" s="24">
        <f>B39</f>
        <v>0</v>
      </c>
      <c r="V19" s="715">
        <f>D39</f>
        <v>0</v>
      </c>
    </row>
    <row r="20" spans="1:23" x14ac:dyDescent="0.25">
      <c r="A20" s="138"/>
      <c r="B20" s="343">
        <f>ROUND(Incentives!$G$19,0)</f>
        <v>0</v>
      </c>
      <c r="C20" s="349" t="str">
        <f>IF(ISERROR(B21-0.01),"",B21-0.01)</f>
        <v/>
      </c>
      <c r="D20" s="832">
        <f>Incentives!$K$19</f>
        <v>0</v>
      </c>
      <c r="E20" s="314"/>
      <c r="F20" s="1074">
        <v>1</v>
      </c>
      <c r="G20" s="315">
        <f>Incentives!$E$20</f>
        <v>0</v>
      </c>
      <c r="H20" s="316"/>
      <c r="I20" s="1087" t="s">
        <v>1049</v>
      </c>
      <c r="J20" s="1074">
        <f>IF(AND($B$20=0, B21=0),"Flat Rate",0)</f>
        <v>0</v>
      </c>
      <c r="K20" s="1074" t="str">
        <f>IF($B$20=0,"",ROUND($B$20,0))</f>
        <v/>
      </c>
      <c r="L20" s="715">
        <f t="shared" ref="L20:L22" si="0">D20</f>
        <v>0</v>
      </c>
      <c r="N20" s="1087" t="s">
        <v>1049</v>
      </c>
      <c r="P20" s="347">
        <f>B30</f>
        <v>0</v>
      </c>
      <c r="Q20" s="715">
        <f>D30</f>
        <v>0</v>
      </c>
      <c r="S20" s="1087" t="s">
        <v>1049</v>
      </c>
      <c r="U20" s="24">
        <f>B40</f>
        <v>0</v>
      </c>
      <c r="V20" s="715">
        <f>D40</f>
        <v>0</v>
      </c>
    </row>
    <row r="21" spans="1:23" x14ac:dyDescent="0.25">
      <c r="A21" s="138"/>
      <c r="B21" s="343" t="str">
        <f>IF(D21=0,"",ROUND(Incentives!$G$20,0))</f>
        <v/>
      </c>
      <c r="C21" s="349" t="str">
        <f>IF(OR(ISERROR(B22-0.01),B22=0),"",B22-0.01)</f>
        <v/>
      </c>
      <c r="D21" s="832">
        <f>Incentives!$K$20</f>
        <v>0</v>
      </c>
      <c r="E21" s="314"/>
      <c r="F21" s="1074">
        <v>2</v>
      </c>
      <c r="G21" s="315">
        <f>Incentives!$E$21</f>
        <v>0</v>
      </c>
      <c r="H21" s="316"/>
      <c r="I21" s="1087" t="s">
        <v>1050</v>
      </c>
      <c r="K21" s="1074" t="str">
        <f>IF($B$21="","",ROUND($B$21,0))</f>
        <v/>
      </c>
      <c r="L21" s="715">
        <f t="shared" si="0"/>
        <v>0</v>
      </c>
      <c r="N21" s="1087" t="s">
        <v>1050</v>
      </c>
      <c r="P21" s="347">
        <f>B31</f>
        <v>0</v>
      </c>
      <c r="Q21" s="715">
        <f>D31</f>
        <v>0</v>
      </c>
      <c r="S21" s="1087" t="s">
        <v>1050</v>
      </c>
      <c r="U21" s="55">
        <f>B41</f>
        <v>0</v>
      </c>
      <c r="V21" s="714">
        <f>D41</f>
        <v>0</v>
      </c>
    </row>
    <row r="22" spans="1:23" ht="15.75" thickBot="1" x14ac:dyDescent="0.3">
      <c r="A22" s="265"/>
      <c r="B22" s="344" t="str">
        <f>IF(D22=0,"",Incentives!$G$21)</f>
        <v/>
      </c>
      <c r="C22" s="318">
        <v>999999.99</v>
      </c>
      <c r="D22" s="833">
        <f>Incentives!$K$21</f>
        <v>0</v>
      </c>
      <c r="E22" s="320"/>
      <c r="F22" s="266">
        <v>3</v>
      </c>
      <c r="G22" s="321">
        <f>Incentives!$E$23</f>
        <v>0</v>
      </c>
      <c r="H22" s="322"/>
      <c r="I22" s="1087" t="s">
        <v>1051</v>
      </c>
      <c r="J22" s="266"/>
      <c r="K22" s="266" t="str">
        <f>IF($B$22="","",ROUND($B$22,0))</f>
        <v/>
      </c>
      <c r="L22" s="793">
        <f t="shared" si="0"/>
        <v>0</v>
      </c>
      <c r="M22" s="323"/>
      <c r="N22" s="1087" t="s">
        <v>1051</v>
      </c>
      <c r="O22" s="266"/>
      <c r="P22" s="348">
        <f>B32</f>
        <v>0</v>
      </c>
      <c r="Q22" s="793">
        <f>D32</f>
        <v>0</v>
      </c>
      <c r="R22" s="323"/>
      <c r="S22" s="1087" t="s">
        <v>1051</v>
      </c>
      <c r="U22" s="55">
        <f>B42</f>
        <v>0</v>
      </c>
      <c r="V22" s="714">
        <f>D42</f>
        <v>0</v>
      </c>
    </row>
    <row r="23" spans="1:23" ht="16.5" thickBot="1" x14ac:dyDescent="0.3">
      <c r="E23" s="826"/>
      <c r="H23" s="785"/>
      <c r="I23" s="1465" t="s">
        <v>1174</v>
      </c>
      <c r="J23" s="1466"/>
      <c r="K23" s="1466"/>
      <c r="L23" s="1467"/>
      <c r="M23" s="784"/>
      <c r="N23" s="1468" t="s">
        <v>1175</v>
      </c>
      <c r="O23" s="1469"/>
      <c r="P23" s="1469"/>
      <c r="Q23" s="1470"/>
      <c r="R23" s="784"/>
      <c r="S23" s="1465" t="s">
        <v>1165</v>
      </c>
      <c r="T23" s="1466"/>
      <c r="U23" s="1466"/>
      <c r="V23" s="1467"/>
    </row>
    <row r="24" spans="1:23" ht="15.75" thickBot="1" x14ac:dyDescent="0.3">
      <c r="A24" s="1472" t="s">
        <v>478</v>
      </c>
      <c r="B24" s="1473"/>
      <c r="C24" s="1473"/>
      <c r="D24" s="1474"/>
      <c r="E24" s="292"/>
      <c r="F24" s="136"/>
      <c r="G24" s="136"/>
      <c r="H24" s="293"/>
      <c r="I24" s="1475" t="s">
        <v>748</v>
      </c>
      <c r="J24" s="1476"/>
      <c r="K24" s="1476"/>
      <c r="L24" s="1477"/>
      <c r="M24" s="784"/>
      <c r="N24" s="1478" t="s">
        <v>748</v>
      </c>
      <c r="O24" s="1479"/>
      <c r="P24" s="1479"/>
      <c r="Q24" s="1480"/>
      <c r="R24" s="784"/>
      <c r="S24" s="1475" t="s">
        <v>749</v>
      </c>
      <c r="T24" s="1476"/>
      <c r="U24" s="1476"/>
      <c r="V24" s="1477"/>
    </row>
    <row r="25" spans="1:23" x14ac:dyDescent="0.25">
      <c r="A25" s="301" t="s">
        <v>730</v>
      </c>
      <c r="B25" s="302">
        <f>$L$4</f>
        <v>0</v>
      </c>
      <c r="C25" s="249" t="s">
        <v>741</v>
      </c>
      <c r="D25" s="306" t="e">
        <f>$S$4</f>
        <v>#VALUE!</v>
      </c>
      <c r="I25" s="838" t="s">
        <v>742</v>
      </c>
      <c r="J25" s="295">
        <f>$L$4</f>
        <v>0</v>
      </c>
      <c r="K25" s="335" t="s">
        <v>743</v>
      </c>
      <c r="L25" s="336" t="e">
        <f>$S$4</f>
        <v>#VALUE!</v>
      </c>
      <c r="N25" s="138"/>
      <c r="Q25" s="139"/>
      <c r="S25" s="138" t="s">
        <v>742</v>
      </c>
      <c r="T25" s="302">
        <f>$L$4</f>
        <v>0</v>
      </c>
      <c r="U25" s="1078" t="s">
        <v>743</v>
      </c>
      <c r="V25" s="325" t="e">
        <f>$S$4</f>
        <v>#VALUE!</v>
      </c>
    </row>
    <row r="26" spans="1:23" ht="30" x14ac:dyDescent="0.25">
      <c r="A26" s="301" t="s">
        <v>873</v>
      </c>
      <c r="B26" s="302">
        <f>Incentives!$I$56</f>
        <v>0</v>
      </c>
      <c r="C26" s="249"/>
      <c r="D26" s="306"/>
      <c r="I26" s="1086"/>
      <c r="J26" s="1078" t="str">
        <f>IF(Incentives!$I$174="Check","Check","Credit Memo")</f>
        <v>Credit Memo</v>
      </c>
      <c r="K26" s="1074">
        <f>Incentives!$K$174</f>
        <v>0</v>
      </c>
      <c r="L26" s="325"/>
      <c r="N26" s="138"/>
      <c r="O26" s="703" t="s">
        <v>1158</v>
      </c>
      <c r="P26" s="703"/>
      <c r="Q26" s="774">
        <f>D62</f>
        <v>0</v>
      </c>
      <c r="S26" s="301" t="s">
        <v>891</v>
      </c>
      <c r="T26" s="302" t="e">
        <f>Incentives!#REF!</f>
        <v>#REF!</v>
      </c>
      <c r="U26" s="305" t="e">
        <f>IF($T$26="Check","Check","Credit Memo")</f>
        <v>#REF!</v>
      </c>
      <c r="V26" s="641" t="e">
        <f>Incentives!#REF!</f>
        <v>#REF!</v>
      </c>
    </row>
    <row r="27" spans="1:23" x14ac:dyDescent="0.25">
      <c r="A27" s="138" t="s">
        <v>1183</v>
      </c>
      <c r="B27" s="1074">
        <f>Incentives!$G$56</f>
        <v>0</v>
      </c>
      <c r="D27" s="139"/>
      <c r="I27" s="138"/>
      <c r="L27" s="139"/>
      <c r="N27" s="775" t="s">
        <v>1157</v>
      </c>
      <c r="O27" s="703" t="s">
        <v>742</v>
      </c>
      <c r="P27" s="703" t="s">
        <v>743</v>
      </c>
      <c r="Q27" s="776"/>
      <c r="S27" s="138"/>
      <c r="T27" s="1074" t="s">
        <v>870</v>
      </c>
      <c r="V27" s="139"/>
    </row>
    <row r="28" spans="1:23" ht="30" x14ac:dyDescent="0.25">
      <c r="A28" s="138"/>
      <c r="B28" s="309" t="s">
        <v>126</v>
      </c>
      <c r="C28" s="309" t="s">
        <v>128</v>
      </c>
      <c r="D28" s="710" t="s">
        <v>746</v>
      </c>
      <c r="E28" s="326"/>
      <c r="I28" s="138"/>
      <c r="L28" s="139"/>
      <c r="N28" s="777" t="s">
        <v>1160</v>
      </c>
      <c r="O28" s="1155">
        <f>L4</f>
        <v>0</v>
      </c>
      <c r="P28" s="1155">
        <f>O28+363</f>
        <v>363</v>
      </c>
      <c r="Q28" s="778" t="e">
        <f>$C$62/$B$62</f>
        <v>#VALUE!</v>
      </c>
      <c r="S28" s="138"/>
      <c r="V28" s="139"/>
    </row>
    <row r="29" spans="1:23" ht="30" x14ac:dyDescent="0.25">
      <c r="A29" s="138"/>
      <c r="B29" s="345">
        <v>0</v>
      </c>
      <c r="C29" s="349">
        <f>ROUND(IF(ISERROR(B30-0.01),"",B30-0.01),2)</f>
        <v>-0.01</v>
      </c>
      <c r="D29" s="713">
        <f>Incentives!$K$59</f>
        <v>0</v>
      </c>
      <c r="I29" s="330">
        <v>1</v>
      </c>
      <c r="J29" s="311" t="s">
        <v>751</v>
      </c>
      <c r="K29" s="772">
        <f>IF(B60="YES - Purchase Commitment",Incentives!$M$177,Incentives!$K$177)</f>
        <v>0</v>
      </c>
      <c r="L29" s="139"/>
      <c r="N29" s="777" t="s">
        <v>1161</v>
      </c>
      <c r="O29" s="1155">
        <f>P28+1</f>
        <v>364</v>
      </c>
      <c r="P29" s="1155">
        <f>O29+370</f>
        <v>734</v>
      </c>
      <c r="Q29" s="778" t="e">
        <f>$C$62/$B$62</f>
        <v>#VALUE!</v>
      </c>
      <c r="S29" s="330">
        <v>2</v>
      </c>
      <c r="T29" s="311" t="s">
        <v>751</v>
      </c>
      <c r="U29" s="772" t="e">
        <f>Incentives!#REF!</f>
        <v>#REF!</v>
      </c>
      <c r="V29" s="139"/>
    </row>
    <row r="30" spans="1:23" x14ac:dyDescent="0.25">
      <c r="A30" s="138"/>
      <c r="B30" s="343">
        <f>ROUND(Incentives!$G$61,0)</f>
        <v>0</v>
      </c>
      <c r="C30" s="349">
        <f t="shared" ref="C30:C31" si="1">ROUND(IF(ISERROR(B31-0.01),"",B31-0.01),2)</f>
        <v>-0.01</v>
      </c>
      <c r="D30" s="713">
        <f>Incentives!$K$61</f>
        <v>0</v>
      </c>
      <c r="I30" s="839" t="str">
        <f>IF($B$60="YES - Purchase Commitment",3,"")</f>
        <v/>
      </c>
      <c r="J30" s="311" t="str">
        <f>IF($B$60="YES - Purchase Commitment","Min Sales Required","")</f>
        <v/>
      </c>
      <c r="K30" s="773">
        <f>$G$4</f>
        <v>0</v>
      </c>
      <c r="L30" s="139" t="s">
        <v>874</v>
      </c>
      <c r="N30" s="777" t="s">
        <v>1162</v>
      </c>
      <c r="O30" s="1155">
        <f>P29+1</f>
        <v>735</v>
      </c>
      <c r="P30" s="1155">
        <f>O30+363</f>
        <v>1098</v>
      </c>
      <c r="Q30" s="778" t="e">
        <f>$C$62/$B$62</f>
        <v>#VALUE!</v>
      </c>
      <c r="S30" s="138"/>
      <c r="V30" s="139"/>
    </row>
    <row r="31" spans="1:23" x14ac:dyDescent="0.25">
      <c r="A31" s="138"/>
      <c r="B31" s="343">
        <f>ROUND(Incentives!$G$62,0)</f>
        <v>0</v>
      </c>
      <c r="C31" s="349">
        <f t="shared" si="1"/>
        <v>-0.01</v>
      </c>
      <c r="D31" s="713">
        <f>Incentives!$K$62</f>
        <v>0</v>
      </c>
      <c r="I31" s="839">
        <f>IF($B$60="YES - Purchase Commitment"," ",3)</f>
        <v>3</v>
      </c>
      <c r="J31" s="311" t="str">
        <f>IF($B$60="YES - Purchase Commitment"," ","Min Sales Required")</f>
        <v>Min Sales Required</v>
      </c>
      <c r="K31" s="773" t="e">
        <f>IF($B$60="YES - Purchase Commitment","",$G$4*$G$5)</f>
        <v>#VALUE!</v>
      </c>
      <c r="L31" s="641" t="s">
        <v>757</v>
      </c>
      <c r="N31" s="777" t="s">
        <v>1163</v>
      </c>
      <c r="O31" s="1155">
        <f>P30+1</f>
        <v>1099</v>
      </c>
      <c r="P31" s="1155">
        <f>O31+363</f>
        <v>1462</v>
      </c>
      <c r="Q31" s="778" t="e">
        <f>$C$62/$B$62</f>
        <v>#VALUE!</v>
      </c>
      <c r="S31" s="138"/>
      <c r="V31" s="139"/>
    </row>
    <row r="32" spans="1:23" ht="15.75" thickBot="1" x14ac:dyDescent="0.3">
      <c r="A32" s="265"/>
      <c r="B32" s="344">
        <f>ROUND(Incentives!$G$63,0)</f>
        <v>0</v>
      </c>
      <c r="C32" s="318">
        <v>999999.99</v>
      </c>
      <c r="D32" s="712">
        <f>Incentives!$K$63</f>
        <v>0</v>
      </c>
      <c r="E32" s="327"/>
      <c r="F32" s="266"/>
      <c r="G32" s="266"/>
      <c r="H32" s="323"/>
      <c r="I32" s="265"/>
      <c r="J32" s="266"/>
      <c r="K32" s="266"/>
      <c r="L32" s="267"/>
      <c r="N32" s="779" t="s">
        <v>1164</v>
      </c>
      <c r="O32" s="780">
        <f>P31+1</f>
        <v>1463</v>
      </c>
      <c r="P32" s="780">
        <f>O32+363</f>
        <v>1826</v>
      </c>
      <c r="Q32" s="781" t="e">
        <f>$C$62/$B$62</f>
        <v>#VALUE!</v>
      </c>
      <c r="S32" s="265"/>
      <c r="T32" s="266"/>
      <c r="U32" s="266"/>
      <c r="V32" s="267"/>
    </row>
    <row r="33" spans="1:22" ht="16.5" thickBot="1" x14ac:dyDescent="0.3">
      <c r="E33" s="826"/>
      <c r="H33" s="785"/>
      <c r="I33" s="1481" t="s">
        <v>750</v>
      </c>
      <c r="J33" s="1482"/>
      <c r="K33" s="1482"/>
      <c r="L33" s="1483"/>
      <c r="M33" s="785"/>
      <c r="N33" s="1484" t="s">
        <v>1058</v>
      </c>
      <c r="O33" s="1485"/>
      <c r="P33" s="1485"/>
      <c r="Q33" s="1486"/>
      <c r="R33" s="785"/>
      <c r="S33" s="1484" t="s">
        <v>1184</v>
      </c>
      <c r="T33" s="1485"/>
      <c r="U33" s="1485"/>
      <c r="V33" s="1486"/>
    </row>
    <row r="34" spans="1:22" ht="15.75" thickBot="1" x14ac:dyDescent="0.3">
      <c r="A34" s="1472" t="s">
        <v>530</v>
      </c>
      <c r="B34" s="1473"/>
      <c r="C34" s="1473"/>
      <c r="D34" s="1474"/>
      <c r="E34" s="292"/>
      <c r="F34" s="136"/>
      <c r="G34" s="136"/>
      <c r="H34" s="293"/>
      <c r="I34" s="1487" t="s">
        <v>753</v>
      </c>
      <c r="J34" s="1488"/>
      <c r="K34" s="1488"/>
      <c r="L34" s="1489"/>
      <c r="M34" s="785"/>
      <c r="N34" s="1490" t="s">
        <v>752</v>
      </c>
      <c r="O34" s="1491"/>
      <c r="P34" s="1491"/>
      <c r="Q34" s="1492"/>
      <c r="R34" s="785"/>
      <c r="S34" s="1475" t="s">
        <v>1190</v>
      </c>
      <c r="T34" s="1476"/>
      <c r="U34" s="1476"/>
      <c r="V34" s="1477"/>
    </row>
    <row r="35" spans="1:22" x14ac:dyDescent="0.25">
      <c r="A35" s="301" t="s">
        <v>730</v>
      </c>
      <c r="B35" s="302">
        <f>$L$4</f>
        <v>0</v>
      </c>
      <c r="C35" s="249" t="s">
        <v>741</v>
      </c>
      <c r="D35" s="306" t="e">
        <f>$S$4</f>
        <v>#VALUE!</v>
      </c>
      <c r="I35" s="334" t="s">
        <v>742</v>
      </c>
      <c r="J35" s="295">
        <f>$L$4</f>
        <v>0</v>
      </c>
      <c r="K35" s="335" t="s">
        <v>743</v>
      </c>
      <c r="L35" s="336" t="e">
        <f>$S$4</f>
        <v>#VALUE!</v>
      </c>
      <c r="N35" s="138" t="s">
        <v>1059</v>
      </c>
      <c r="O35" s="338">
        <f>$L$4</f>
        <v>0</v>
      </c>
      <c r="P35" s="1074" t="s">
        <v>743</v>
      </c>
      <c r="Q35" s="325" t="e">
        <f>$S$4</f>
        <v>#VALUE!</v>
      </c>
      <c r="S35" s="138" t="s">
        <v>801</v>
      </c>
      <c r="T35" s="338">
        <f>$L$4</f>
        <v>0</v>
      </c>
      <c r="U35" s="1078" t="s">
        <v>743</v>
      </c>
      <c r="V35" s="325" t="e">
        <f>$S$4</f>
        <v>#VALUE!</v>
      </c>
    </row>
    <row r="36" spans="1:22" ht="45" x14ac:dyDescent="0.25">
      <c r="A36" s="301" t="s">
        <v>892</v>
      </c>
      <c r="B36" s="302">
        <f>Incentives!$I$84</f>
        <v>0</v>
      </c>
      <c r="C36" s="249"/>
      <c r="D36" s="306"/>
      <c r="I36" s="301" t="s">
        <v>891</v>
      </c>
      <c r="J36" s="302">
        <f>Incentives!$I$120</f>
        <v>0</v>
      </c>
      <c r="K36" s="305" t="str">
        <f>IF(J36="Check","Check","Credit Memo")</f>
        <v>Credit Memo</v>
      </c>
      <c r="L36" s="641">
        <f>Incentives!$K$120</f>
        <v>0</v>
      </c>
      <c r="N36" s="301" t="s">
        <v>891</v>
      </c>
      <c r="O36" s="249">
        <f>$B$82</f>
        <v>0</v>
      </c>
      <c r="Q36" s="139"/>
      <c r="S36" s="301" t="s">
        <v>1186</v>
      </c>
      <c r="T36" s="249">
        <f>$B$46</f>
        <v>0</v>
      </c>
      <c r="V36" s="139"/>
    </row>
    <row r="37" spans="1:22" x14ac:dyDescent="0.25">
      <c r="A37" s="138" t="s">
        <v>1183</v>
      </c>
      <c r="B37" s="1074">
        <f>Incentives!$G$84</f>
        <v>0</v>
      </c>
      <c r="D37" s="139"/>
      <c r="I37" s="725" t="s">
        <v>1183</v>
      </c>
      <c r="J37" s="1074">
        <f>B54</f>
        <v>0</v>
      </c>
      <c r="L37" s="139"/>
      <c r="N37" s="138"/>
      <c r="Q37" s="139"/>
      <c r="S37" s="138" t="s">
        <v>1187</v>
      </c>
      <c r="T37" s="1074">
        <f>$B$47</f>
        <v>0</v>
      </c>
      <c r="V37" s="139"/>
    </row>
    <row r="38" spans="1:22" ht="30" x14ac:dyDescent="0.25">
      <c r="A38" s="138"/>
      <c r="B38" s="309" t="s">
        <v>126</v>
      </c>
      <c r="C38" s="309" t="s">
        <v>128</v>
      </c>
      <c r="D38" s="710" t="s">
        <v>521</v>
      </c>
      <c r="I38" s="725">
        <v>3</v>
      </c>
      <c r="J38" s="311" t="s">
        <v>1189</v>
      </c>
      <c r="K38" s="18">
        <f>D55</f>
        <v>0</v>
      </c>
      <c r="L38" s="139"/>
      <c r="N38" s="138"/>
      <c r="O38" s="1074" t="s">
        <v>751</v>
      </c>
      <c r="P38" s="22">
        <f>D84</f>
        <v>0</v>
      </c>
      <c r="Q38" s="139"/>
      <c r="S38" s="138"/>
      <c r="U38" s="1074" t="s">
        <v>1181</v>
      </c>
      <c r="V38" s="799">
        <f>$C$48</f>
        <v>0</v>
      </c>
    </row>
    <row r="39" spans="1:22" x14ac:dyDescent="0.25">
      <c r="A39" s="138"/>
      <c r="B39" s="708">
        <v>0</v>
      </c>
      <c r="C39" s="709">
        <f>IF(ISERROR(B40-0.01),"",(B40-0.0001))</f>
        <v>-1E-4</v>
      </c>
      <c r="D39" s="711">
        <v>0</v>
      </c>
      <c r="I39" s="725">
        <v>4</v>
      </c>
      <c r="J39" s="311" t="s">
        <v>1188</v>
      </c>
      <c r="K39" s="18">
        <f>$C$55</f>
        <v>0</v>
      </c>
      <c r="L39" s="139"/>
      <c r="N39" s="138"/>
      <c r="Q39" s="139"/>
      <c r="S39" s="138"/>
      <c r="U39" s="1074" t="s">
        <v>1182</v>
      </c>
      <c r="V39" s="714">
        <f>D48</f>
        <v>0</v>
      </c>
    </row>
    <row r="40" spans="1:22" ht="15.75" thickBot="1" x14ac:dyDescent="0.3">
      <c r="A40" s="138"/>
      <c r="B40" s="313">
        <f>Incentives!$G$89</f>
        <v>0</v>
      </c>
      <c r="C40" s="709" t="str">
        <f>IF(OR(ISERROR(B41-0.01),B41=0),"",(B41-0.0001))</f>
        <v/>
      </c>
      <c r="D40" s="713">
        <f>Incentives!$K$89</f>
        <v>0</v>
      </c>
      <c r="I40" s="265"/>
      <c r="J40" s="266"/>
      <c r="K40" s="266"/>
      <c r="L40" s="267"/>
      <c r="N40" s="265"/>
      <c r="O40" s="266"/>
      <c r="P40" s="266"/>
      <c r="Q40" s="267"/>
      <c r="S40" s="265"/>
      <c r="T40" s="266"/>
      <c r="U40" s="266"/>
      <c r="V40" s="267"/>
    </row>
    <row r="41" spans="1:22" ht="16.5" thickBot="1" x14ac:dyDescent="0.3">
      <c r="A41" s="138"/>
      <c r="B41" s="313">
        <f>Incentives!$G$90</f>
        <v>0</v>
      </c>
      <c r="C41" s="709" t="str">
        <f>IF(OR(ISERROR(B42-0.01),B42=0),"",(B42-0.0001))</f>
        <v/>
      </c>
      <c r="D41" s="713">
        <f>Incentives!$K$90</f>
        <v>0</v>
      </c>
      <c r="H41" s="823"/>
      <c r="N41" s="1465" t="s">
        <v>1228</v>
      </c>
      <c r="O41" s="1466"/>
      <c r="P41" s="1466"/>
      <c r="Q41" s="1467"/>
      <c r="S41" s="1465"/>
      <c r="T41" s="1466"/>
      <c r="U41" s="1466"/>
      <c r="V41" s="1467"/>
    </row>
    <row r="42" spans="1:22" ht="15.75" thickBot="1" x14ac:dyDescent="0.3">
      <c r="A42" s="265"/>
      <c r="B42" s="319">
        <f>Incentives!$G$91</f>
        <v>0</v>
      </c>
      <c r="C42" s="329">
        <v>1</v>
      </c>
      <c r="D42" s="712">
        <f>Incentives!$K$91</f>
        <v>0</v>
      </c>
      <c r="E42" s="327"/>
      <c r="N42" s="1475" t="s">
        <v>1229</v>
      </c>
      <c r="O42" s="1476"/>
      <c r="P42" s="1476"/>
      <c r="Q42" s="1477"/>
      <c r="S42" s="1475"/>
      <c r="T42" s="1476"/>
      <c r="U42" s="1476"/>
      <c r="V42" s="1477"/>
    </row>
    <row r="43" spans="1:22" ht="15.75" thickBot="1" x14ac:dyDescent="0.3">
      <c r="E43" s="826"/>
      <c r="F43" s="827"/>
      <c r="G43" s="829"/>
      <c r="H43" s="785"/>
      <c r="I43" s="782"/>
      <c r="J43" s="342" t="s">
        <v>734</v>
      </c>
      <c r="K43" s="783" t="s">
        <v>735</v>
      </c>
      <c r="L43" s="743"/>
      <c r="N43" s="838" t="s">
        <v>742</v>
      </c>
      <c r="O43" s="295">
        <f>$L$4</f>
        <v>0</v>
      </c>
      <c r="P43" s="335" t="s">
        <v>743</v>
      </c>
      <c r="Q43" s="336" t="e">
        <f>$S$4</f>
        <v>#VALUE!</v>
      </c>
      <c r="S43" s="838"/>
      <c r="T43" s="295"/>
      <c r="U43" s="335"/>
      <c r="V43" s="336"/>
    </row>
    <row r="44" spans="1:22" x14ac:dyDescent="0.25">
      <c r="A44" s="1472" t="s">
        <v>1184</v>
      </c>
      <c r="B44" s="1473"/>
      <c r="C44" s="1473"/>
      <c r="D44" s="1474"/>
      <c r="E44" s="292"/>
      <c r="I44" s="824">
        <v>1</v>
      </c>
      <c r="J44" s="271">
        <f>IFERROR('MDA Worksheet'!D95,"")</f>
        <v>0</v>
      </c>
      <c r="K44" s="698" t="str">
        <f>IFERROR('MDA Worksheet'!$K$95,"")</f>
        <v/>
      </c>
      <c r="N44" s="138"/>
      <c r="Q44" s="139"/>
      <c r="S44" s="138"/>
      <c r="V44" s="139"/>
    </row>
    <row r="45" spans="1:22" x14ac:dyDescent="0.25">
      <c r="A45" s="138" t="s">
        <v>740</v>
      </c>
      <c r="B45" s="302">
        <f>$L$4</f>
        <v>0</v>
      </c>
      <c r="D45" s="306" t="e">
        <f>$S$4</f>
        <v>#VALUE!</v>
      </c>
      <c r="I45" s="825">
        <v>2</v>
      </c>
      <c r="J45" s="272">
        <f>IFERROR('MDA Worksheet'!D96,"")</f>
        <v>0</v>
      </c>
      <c r="K45" s="1082" t="str">
        <f>IFERROR('MDA Worksheet'!K96,"")</f>
        <v/>
      </c>
      <c r="N45" s="138"/>
      <c r="O45" s="1074">
        <f>B68</f>
        <v>0</v>
      </c>
      <c r="Q45" s="139"/>
      <c r="S45" s="138"/>
      <c r="V45" s="139"/>
    </row>
    <row r="46" spans="1:22" x14ac:dyDescent="0.25">
      <c r="A46" s="806" t="s">
        <v>873</v>
      </c>
      <c r="B46" s="1074">
        <f>Incentives!$I$112</f>
        <v>0</v>
      </c>
      <c r="D46" s="139"/>
      <c r="I46" s="825">
        <v>3</v>
      </c>
      <c r="J46" s="272">
        <f>IFERROR('MDA Worksheet'!D97,"")</f>
        <v>0</v>
      </c>
      <c r="K46" s="1082" t="str">
        <f>IFERROR('MDA Worksheet'!K97,"")</f>
        <v/>
      </c>
      <c r="N46" s="138"/>
      <c r="Q46" s="139"/>
      <c r="S46" s="138"/>
      <c r="V46" s="139"/>
    </row>
    <row r="47" spans="1:22" ht="30" x14ac:dyDescent="0.25">
      <c r="A47" s="806" t="s">
        <v>1183</v>
      </c>
      <c r="B47" s="1074">
        <f>Incentives!$G$112</f>
        <v>0</v>
      </c>
      <c r="C47" s="743" t="s">
        <v>1181</v>
      </c>
      <c r="D47" s="807" t="s">
        <v>1182</v>
      </c>
      <c r="I47" s="825">
        <v>4</v>
      </c>
      <c r="J47" s="272">
        <f>IFERROR('MDA Worksheet'!D98,"")</f>
        <v>0</v>
      </c>
      <c r="K47" s="1082" t="str">
        <f>IFERROR('MDA Worksheet'!K98,"")</f>
        <v/>
      </c>
      <c r="N47" s="330">
        <v>1</v>
      </c>
      <c r="O47" s="311" t="s">
        <v>751</v>
      </c>
      <c r="P47" s="851">
        <f>B69</f>
        <v>0</v>
      </c>
      <c r="Q47" s="139"/>
      <c r="S47" s="1087"/>
      <c r="T47" s="311"/>
      <c r="U47" s="877"/>
      <c r="V47" s="139"/>
    </row>
    <row r="48" spans="1:22" x14ac:dyDescent="0.25">
      <c r="A48" s="138"/>
      <c r="C48" s="773">
        <f>Incentives!$G$115</f>
        <v>0</v>
      </c>
      <c r="D48" s="715">
        <f>Incentives!$I$115</f>
        <v>0</v>
      </c>
      <c r="I48" s="825">
        <v>5</v>
      </c>
      <c r="J48" s="272">
        <f>IFERROR('MDA Worksheet'!D99,"")</f>
        <v>0</v>
      </c>
      <c r="K48" s="1082" t="str">
        <f>IFERROR('MDA Worksheet'!K99,"")</f>
        <v/>
      </c>
      <c r="N48" s="839" t="str">
        <f>IF($B$60="YES - Purchase Commitment",3,"")</f>
        <v/>
      </c>
      <c r="O48" s="311" t="str">
        <f>IF($B$60="YES - Purchase Commitment","Min Sales Required","")</f>
        <v/>
      </c>
      <c r="P48" s="773">
        <f>$G$4</f>
        <v>0</v>
      </c>
      <c r="Q48" s="139" t="s">
        <v>874</v>
      </c>
      <c r="S48" s="839"/>
      <c r="T48" s="311"/>
      <c r="U48" s="878"/>
      <c r="V48" s="139"/>
    </row>
    <row r="49" spans="1:22" ht="30.75" thickBot="1" x14ac:dyDescent="0.3">
      <c r="A49" s="265"/>
      <c r="B49" s="266"/>
      <c r="C49" s="266"/>
      <c r="D49" s="267"/>
      <c r="E49" s="327"/>
      <c r="I49" s="825">
        <v>6</v>
      </c>
      <c r="J49" s="272">
        <f>IFERROR('MDA Worksheet'!D100,"")</f>
        <v>0</v>
      </c>
      <c r="K49" s="1082" t="str">
        <f>IFERROR('MDA Worksheet'!K100,"")</f>
        <v/>
      </c>
      <c r="N49" s="850">
        <f>IF($B$60="YES - Purchase Commitment"," ",3)</f>
        <v>3</v>
      </c>
      <c r="O49" s="311" t="str">
        <f>IF($B$60="YES - Purchase Commitment"," ","Min Sales Required")</f>
        <v>Min Sales Required</v>
      </c>
      <c r="P49" s="773" t="e">
        <f>$D$72</f>
        <v>#VALUE!</v>
      </c>
      <c r="Q49" s="641" t="s">
        <v>757</v>
      </c>
      <c r="S49" s="839"/>
      <c r="T49" s="311"/>
      <c r="U49" s="878"/>
      <c r="V49" s="641"/>
    </row>
    <row r="50" spans="1:22" ht="15.75" thickBot="1" x14ac:dyDescent="0.3">
      <c r="E50" s="826"/>
      <c r="F50" s="827"/>
      <c r="G50" s="829"/>
      <c r="H50" s="785"/>
      <c r="I50" s="825">
        <v>7</v>
      </c>
      <c r="J50" s="272">
        <f>IFERROR('MDA Worksheet'!D101,"")</f>
        <v>0</v>
      </c>
      <c r="K50" s="1082" t="str">
        <f>IFERROR('MDA Worksheet'!K101,"")</f>
        <v/>
      </c>
      <c r="N50" s="138"/>
      <c r="Q50" s="139"/>
      <c r="S50" s="138"/>
      <c r="V50" s="139"/>
    </row>
    <row r="51" spans="1:22" x14ac:dyDescent="0.25">
      <c r="A51" s="1472" t="s">
        <v>750</v>
      </c>
      <c r="B51" s="1473"/>
      <c r="C51" s="1473"/>
      <c r="D51" s="1474"/>
      <c r="E51" s="292"/>
      <c r="I51" s="825">
        <v>8</v>
      </c>
      <c r="J51" s="272">
        <f>IFERROR('MDA Worksheet'!D102,"")</f>
        <v>0</v>
      </c>
      <c r="K51" s="1082" t="str">
        <f>IFERROR('MDA Worksheet'!K102,"")</f>
        <v/>
      </c>
      <c r="N51" s="138" t="s">
        <v>1230</v>
      </c>
      <c r="O51" s="1493" t="str">
        <f>"Amount to be paid to the customer $ "&amp;TEXT(D69,"#,###,###.00")</f>
        <v>Amount to be paid to the customer $ .00</v>
      </c>
      <c r="P51" s="1493"/>
      <c r="Q51" s="1494"/>
      <c r="S51" s="138"/>
      <c r="T51" s="1156"/>
      <c r="U51" s="1156"/>
      <c r="V51" s="1157"/>
    </row>
    <row r="52" spans="1:22" x14ac:dyDescent="0.25">
      <c r="A52" s="301" t="s">
        <v>730</v>
      </c>
      <c r="B52" s="302">
        <f>$L$4</f>
        <v>0</v>
      </c>
      <c r="C52" s="249" t="s">
        <v>741</v>
      </c>
      <c r="D52" s="306" t="e">
        <f>$S$4</f>
        <v>#VALUE!</v>
      </c>
      <c r="I52" s="825">
        <v>9</v>
      </c>
      <c r="J52" s="272">
        <f>IFERROR('MDA Worksheet'!D103,"")</f>
        <v>0</v>
      </c>
      <c r="K52" s="1082" t="str">
        <f>IFERROR('MDA Worksheet'!K103,"")</f>
        <v/>
      </c>
      <c r="N52" s="138"/>
      <c r="O52" s="1493" t="str">
        <f>"Claw Back Amount $ "&amp;TEXT(D71,"#,###,###.00")</f>
        <v>Claw Back Amount $ .00</v>
      </c>
      <c r="P52" s="1493"/>
      <c r="Q52" s="1494"/>
      <c r="S52" s="138"/>
      <c r="T52" s="1156"/>
      <c r="U52" s="1156"/>
      <c r="V52" s="1157"/>
    </row>
    <row r="53" spans="1:22" ht="15.75" thickBot="1" x14ac:dyDescent="0.3">
      <c r="A53" s="138" t="s">
        <v>873</v>
      </c>
      <c r="B53" s="1074">
        <f>Incentives!$I$120</f>
        <v>0</v>
      </c>
      <c r="D53" s="139"/>
      <c r="I53" s="498">
        <v>10</v>
      </c>
      <c r="J53" s="274">
        <f>IFERROR('MDA Worksheet'!D104,"")</f>
        <v>0</v>
      </c>
      <c r="K53" s="1088" t="str">
        <f>IFERROR('MDA Worksheet'!K104,"")</f>
        <v/>
      </c>
      <c r="L53" s="266"/>
      <c r="M53" s="323"/>
      <c r="N53" s="265"/>
      <c r="O53" s="852"/>
      <c r="P53" s="852"/>
      <c r="Q53" s="853"/>
      <c r="R53" s="323"/>
      <c r="S53" s="265"/>
      <c r="T53" s="1158"/>
      <c r="U53" s="1158"/>
      <c r="V53" s="1159"/>
    </row>
    <row r="54" spans="1:22" x14ac:dyDescent="0.25">
      <c r="A54" s="138" t="s">
        <v>1183</v>
      </c>
      <c r="B54" s="1074">
        <f>Incentives!$G$120</f>
        <v>0</v>
      </c>
      <c r="C54" s="309" t="s">
        <v>521</v>
      </c>
      <c r="D54" s="805" t="s">
        <v>229</v>
      </c>
    </row>
    <row r="55" spans="1:22" ht="15.75" thickBot="1" x14ac:dyDescent="0.3">
      <c r="A55" s="265"/>
      <c r="B55" s="266"/>
      <c r="C55" s="795">
        <f>Incentives!$K$123</f>
        <v>0</v>
      </c>
      <c r="D55" s="712">
        <f>Incentives!$G$123</f>
        <v>0</v>
      </c>
    </row>
    <row r="56" spans="1:22" ht="15.75" thickBot="1" x14ac:dyDescent="0.3">
      <c r="E56" s="826"/>
      <c r="F56" s="827"/>
      <c r="G56" s="829"/>
      <c r="H56" s="785"/>
    </row>
    <row r="57" spans="1:22" x14ac:dyDescent="0.25">
      <c r="A57" s="1472" t="s">
        <v>1174</v>
      </c>
      <c r="B57" s="1473"/>
      <c r="C57" s="1473"/>
      <c r="D57" s="1474"/>
    </row>
    <row r="58" spans="1:22" x14ac:dyDescent="0.25">
      <c r="A58" s="301" t="s">
        <v>730</v>
      </c>
      <c r="B58" s="302">
        <f>$L$4</f>
        <v>0</v>
      </c>
      <c r="C58" s="249" t="s">
        <v>741</v>
      </c>
      <c r="D58" s="306" t="e">
        <f>$S$4</f>
        <v>#VALUE!</v>
      </c>
    </row>
    <row r="59" spans="1:22" x14ac:dyDescent="0.25">
      <c r="A59" s="138" t="s">
        <v>873</v>
      </c>
      <c r="B59" s="1074">
        <f>Incentives!$I$174</f>
        <v>0</v>
      </c>
      <c r="D59" s="139"/>
    </row>
    <row r="60" spans="1:22" x14ac:dyDescent="0.25">
      <c r="A60" s="138" t="s">
        <v>1137</v>
      </c>
      <c r="B60" s="1074">
        <f>Incentives!G174</f>
        <v>0</v>
      </c>
      <c r="D60" s="139"/>
    </row>
    <row r="61" spans="1:22" x14ac:dyDescent="0.25">
      <c r="A61" s="138"/>
      <c r="B61" s="844" t="s">
        <v>1226</v>
      </c>
      <c r="C61" s="844" t="s">
        <v>751</v>
      </c>
      <c r="D61" s="805" t="s">
        <v>797</v>
      </c>
    </row>
    <row r="62" spans="1:22" x14ac:dyDescent="0.25">
      <c r="A62" s="138"/>
      <c r="B62" s="843" t="str">
        <f>IF(B60="No","",Welcome!D12)</f>
        <v>Select Term</v>
      </c>
      <c r="C62" s="847">
        <f>IF($B$60="YES - Purchase Commitment",Incentives!$K$177/$G$5,Incentives!$K$177)</f>
        <v>0</v>
      </c>
      <c r="D62" s="848">
        <f>$G$4</f>
        <v>0</v>
      </c>
    </row>
    <row r="63" spans="1:22" x14ac:dyDescent="0.25">
      <c r="A63" s="138"/>
      <c r="C63" s="840"/>
      <c r="D63" s="849" t="s">
        <v>1227</v>
      </c>
    </row>
    <row r="64" spans="1:22" x14ac:dyDescent="0.25">
      <c r="A64" s="138"/>
      <c r="C64" s="840"/>
      <c r="D64" s="713" t="e">
        <f>Incentives!$K$177/(Incentives!$G$5*Incentives!$G$4)</f>
        <v>#VALUE!</v>
      </c>
    </row>
    <row r="65" spans="1:8" ht="15.75" thickBot="1" x14ac:dyDescent="0.3">
      <c r="A65" s="265"/>
      <c r="B65" s="266"/>
      <c r="C65" s="266"/>
      <c r="D65" s="267"/>
    </row>
    <row r="66" spans="1:8" ht="15.75" thickBot="1" x14ac:dyDescent="0.3">
      <c r="A66" s="1472" t="s">
        <v>1217</v>
      </c>
      <c r="B66" s="1473"/>
      <c r="C66" s="1473"/>
      <c r="D66" s="1474"/>
      <c r="E66" s="826"/>
      <c r="F66" s="827"/>
      <c r="G66" s="829"/>
      <c r="H66" s="785"/>
    </row>
    <row r="67" spans="1:8" x14ac:dyDescent="0.25">
      <c r="A67" s="294" t="s">
        <v>730</v>
      </c>
      <c r="B67" s="295">
        <f>$L$4</f>
        <v>0</v>
      </c>
      <c r="C67" s="296" t="s">
        <v>741</v>
      </c>
      <c r="D67" s="300" t="e">
        <f>$S$4</f>
        <v>#VALUE!</v>
      </c>
    </row>
    <row r="68" spans="1:8" x14ac:dyDescent="0.25">
      <c r="A68" s="138" t="s">
        <v>873</v>
      </c>
      <c r="B68" s="1082">
        <f>Incentives!$I$186</f>
        <v>0</v>
      </c>
      <c r="D68" s="139"/>
    </row>
    <row r="69" spans="1:8" x14ac:dyDescent="0.25">
      <c r="A69" s="1160" t="s">
        <v>1224</v>
      </c>
      <c r="B69" s="1161">
        <f>Incentives!$M$186</f>
        <v>0</v>
      </c>
      <c r="C69" s="844" t="s">
        <v>1220</v>
      </c>
      <c r="D69" s="841">
        <f>Incentives!$G$186</f>
        <v>0</v>
      </c>
    </row>
    <row r="70" spans="1:8" x14ac:dyDescent="0.25">
      <c r="A70" s="1160" t="s">
        <v>1221</v>
      </c>
      <c r="B70" s="1162">
        <f>Incentives!$G$190</f>
        <v>0</v>
      </c>
      <c r="C70" s="845" t="s">
        <v>793</v>
      </c>
      <c r="D70" s="1163">
        <f>Incentives!$I$190</f>
        <v>2</v>
      </c>
    </row>
    <row r="71" spans="1:8" x14ac:dyDescent="0.25">
      <c r="A71" s="1160" t="s">
        <v>1222</v>
      </c>
      <c r="B71" s="1164">
        <f>Incentives!$K$190</f>
        <v>0</v>
      </c>
      <c r="C71" s="845" t="s">
        <v>1223</v>
      </c>
      <c r="D71" s="841">
        <f>Incentives!$K$186</f>
        <v>0</v>
      </c>
    </row>
    <row r="72" spans="1:8" ht="15.75" thickBot="1" x14ac:dyDescent="0.3">
      <c r="A72" s="265"/>
      <c r="B72" s="266"/>
      <c r="C72" s="846" t="s">
        <v>1225</v>
      </c>
      <c r="D72" s="842" t="e">
        <f>Incentives!$G$5*Incentives!$G$4</f>
        <v>#VALUE!</v>
      </c>
    </row>
    <row r="73" spans="1:8" ht="15.75" thickBot="1" x14ac:dyDescent="0.3"/>
    <row r="74" spans="1:8" x14ac:dyDescent="0.25">
      <c r="A74" s="1472" t="e">
        <f>Incentives!#REF!</f>
        <v>#REF!</v>
      </c>
      <c r="B74" s="1473"/>
      <c r="C74" s="1473"/>
      <c r="D74" s="1473"/>
    </row>
    <row r="75" spans="1:8" x14ac:dyDescent="0.25">
      <c r="A75" s="301" t="s">
        <v>730</v>
      </c>
      <c r="B75" s="302">
        <f>$L$4</f>
        <v>0</v>
      </c>
      <c r="C75" s="249" t="s">
        <v>741</v>
      </c>
      <c r="D75" s="302" t="e">
        <f>$S$4</f>
        <v>#VALUE!</v>
      </c>
    </row>
    <row r="76" spans="1:8" x14ac:dyDescent="0.25">
      <c r="A76" s="138" t="s">
        <v>873</v>
      </c>
      <c r="B76" s="1074" t="e">
        <f>Incentives!#REF!</f>
        <v>#REF!</v>
      </c>
    </row>
    <row r="77" spans="1:8" x14ac:dyDescent="0.25">
      <c r="A77" s="138"/>
      <c r="C77" s="1082" t="s">
        <v>797</v>
      </c>
      <c r="D77" s="1082" t="s">
        <v>751</v>
      </c>
    </row>
    <row r="78" spans="1:8" ht="15.75" thickBot="1" x14ac:dyDescent="0.3">
      <c r="A78" s="265"/>
      <c r="B78" s="266"/>
      <c r="C78" s="341">
        <f>Incentives!$H$9</f>
        <v>0</v>
      </c>
      <c r="D78" s="317" t="e">
        <f>Incentives!#REF!</f>
        <v>#REF!</v>
      </c>
    </row>
    <row r="79" spans="1:8" ht="15.75" thickBot="1" x14ac:dyDescent="0.3"/>
    <row r="80" spans="1:8" ht="15.75" thickBot="1" x14ac:dyDescent="0.3">
      <c r="A80" s="1472" t="s">
        <v>1057</v>
      </c>
      <c r="B80" s="1473"/>
      <c r="C80" s="1473"/>
      <c r="D80" s="1474"/>
      <c r="E80" s="826"/>
      <c r="F80" s="827"/>
      <c r="G80" s="828"/>
      <c r="H80" s="830"/>
    </row>
    <row r="81" spans="1:4" x14ac:dyDescent="0.25">
      <c r="A81" s="138" t="s">
        <v>730</v>
      </c>
      <c r="C81" s="1074" t="s">
        <v>732</v>
      </c>
      <c r="D81" s="139"/>
    </row>
    <row r="82" spans="1:4" x14ac:dyDescent="0.25">
      <c r="A82" s="138" t="s">
        <v>892</v>
      </c>
      <c r="B82" s="1074">
        <f>Incentives!$I$198</f>
        <v>0</v>
      </c>
      <c r="D82" s="139"/>
    </row>
    <row r="83" spans="1:4" x14ac:dyDescent="0.25">
      <c r="A83" s="138"/>
      <c r="C83" s="1082"/>
      <c r="D83" s="1083" t="s">
        <v>751</v>
      </c>
    </row>
    <row r="84" spans="1:4" ht="15.75" thickBot="1" x14ac:dyDescent="0.3">
      <c r="A84" s="265"/>
      <c r="B84" s="266"/>
      <c r="C84" s="1088"/>
      <c r="D84" s="834">
        <f>Incentives!$G$201</f>
        <v>0</v>
      </c>
    </row>
  </sheetData>
  <mergeCells count="53">
    <mergeCell ref="A57:D57"/>
    <mergeCell ref="A66:D66"/>
    <mergeCell ref="A74:D74"/>
    <mergeCell ref="A80:D80"/>
    <mergeCell ref="N42:Q42"/>
    <mergeCell ref="S42:V42"/>
    <mergeCell ref="A44:D44"/>
    <mergeCell ref="A51:D51"/>
    <mergeCell ref="O51:Q51"/>
    <mergeCell ref="O52:Q52"/>
    <mergeCell ref="A34:D34"/>
    <mergeCell ref="I34:L34"/>
    <mergeCell ref="N34:Q34"/>
    <mergeCell ref="S34:V34"/>
    <mergeCell ref="N41:Q41"/>
    <mergeCell ref="S41:V41"/>
    <mergeCell ref="A24:D24"/>
    <mergeCell ref="I24:L24"/>
    <mergeCell ref="N24:Q24"/>
    <mergeCell ref="S24:V24"/>
    <mergeCell ref="I33:L33"/>
    <mergeCell ref="N33:Q33"/>
    <mergeCell ref="S33:V33"/>
    <mergeCell ref="I23:L23"/>
    <mergeCell ref="N23:Q23"/>
    <mergeCell ref="S23:V23"/>
    <mergeCell ref="B8:C8"/>
    <mergeCell ref="B9:C9"/>
    <mergeCell ref="B10:C10"/>
    <mergeCell ref="B11:C11"/>
    <mergeCell ref="I11:L11"/>
    <mergeCell ref="N11:Q11"/>
    <mergeCell ref="S11:V11"/>
    <mergeCell ref="A12:D12"/>
    <mergeCell ref="I12:L12"/>
    <mergeCell ref="N12:Q12"/>
    <mergeCell ref="S12:V12"/>
    <mergeCell ref="B5:C5"/>
    <mergeCell ref="B6:C6"/>
    <mergeCell ref="P6:R6"/>
    <mergeCell ref="S6:T6"/>
    <mergeCell ref="B7:C7"/>
    <mergeCell ref="L7:N7"/>
    <mergeCell ref="P7:R7"/>
    <mergeCell ref="S7:T7"/>
    <mergeCell ref="B4:C4"/>
    <mergeCell ref="P4:R4"/>
    <mergeCell ref="S4:T4"/>
    <mergeCell ref="A1:D1"/>
    <mergeCell ref="F1:G1"/>
    <mergeCell ref="I1:V1"/>
    <mergeCell ref="B3:C3"/>
    <mergeCell ref="L3:P3"/>
  </mergeCells>
  <conditionalFormatting sqref="I25:L26 K37:L37 I29:L31">
    <cfRule type="expression" dxfId="56" priority="16">
      <formula>$B$60="YES - Annual"</formula>
    </cfRule>
  </conditionalFormatting>
  <conditionalFormatting sqref="B60">
    <cfRule type="cellIs" dxfId="55" priority="19" operator="equal">
      <formula>"YES"</formula>
    </cfRule>
  </conditionalFormatting>
  <conditionalFormatting sqref="N23:Q23">
    <cfRule type="expression" dxfId="54" priority="15">
      <formula>$B$60="Yes"</formula>
    </cfRule>
  </conditionalFormatting>
  <conditionalFormatting sqref="B15 J15">
    <cfRule type="expression" dxfId="53" priority="22">
      <formula>$B$15="Annually"</formula>
    </cfRule>
  </conditionalFormatting>
  <conditionalFormatting sqref="B47">
    <cfRule type="expression" dxfId="52" priority="12">
      <formula>$B$47="Annually"</formula>
    </cfRule>
  </conditionalFormatting>
  <conditionalFormatting sqref="S36:V36">
    <cfRule type="expression" dxfId="51" priority="13">
      <formula>$T$36="Check"</formula>
    </cfRule>
  </conditionalFormatting>
  <conditionalFormatting sqref="B27">
    <cfRule type="cellIs" dxfId="50" priority="11" operator="equal">
      <formula>"Annually"</formula>
    </cfRule>
  </conditionalFormatting>
  <conditionalFormatting sqref="B37">
    <cfRule type="cellIs" dxfId="49" priority="21" operator="equal">
      <formula>"Annually"</formula>
    </cfRule>
  </conditionalFormatting>
  <conditionalFormatting sqref="B54">
    <cfRule type="cellIs" dxfId="48" priority="20" operator="equal">
      <formula>"Annually"</formula>
    </cfRule>
  </conditionalFormatting>
  <conditionalFormatting sqref="O16">
    <cfRule type="cellIs" dxfId="47" priority="10" operator="equal">
      <formula>"Annually"</formula>
    </cfRule>
  </conditionalFormatting>
  <conditionalFormatting sqref="T16">
    <cfRule type="cellIs" dxfId="46" priority="9" operator="equal">
      <formula>"Annually"</formula>
    </cfRule>
  </conditionalFormatting>
  <conditionalFormatting sqref="J37">
    <cfRule type="cellIs" dxfId="45" priority="18" operator="equal">
      <formula>"Annually"</formula>
    </cfRule>
  </conditionalFormatting>
  <conditionalFormatting sqref="T37">
    <cfRule type="expression" dxfId="44" priority="8">
      <formula>$B$47="Annually"</formula>
    </cfRule>
  </conditionalFormatting>
  <conditionalFormatting sqref="I30">
    <cfRule type="expression" dxfId="43" priority="7">
      <formula>$I$30=3</formula>
    </cfRule>
  </conditionalFormatting>
  <conditionalFormatting sqref="I31">
    <cfRule type="expression" dxfId="42" priority="6">
      <formula>$I$31=3</formula>
    </cfRule>
  </conditionalFormatting>
  <conditionalFormatting sqref="B62:B64">
    <cfRule type="expression" dxfId="41" priority="5">
      <formula>$B$60="YES - Annual"</formula>
    </cfRule>
    <cfRule type="expression" dxfId="40" priority="17">
      <formula>$B$60="No"</formula>
    </cfRule>
  </conditionalFormatting>
  <conditionalFormatting sqref="N32:Q32">
    <cfRule type="expression" dxfId="39" priority="14">
      <formula>$B$62=4</formula>
    </cfRule>
  </conditionalFormatting>
  <conditionalFormatting sqref="N31:Q32">
    <cfRule type="expression" dxfId="38" priority="23">
      <formula>$B$62=3</formula>
    </cfRule>
  </conditionalFormatting>
  <conditionalFormatting sqref="N30:Q32">
    <cfRule type="expression" dxfId="37" priority="24">
      <formula>$B$62=2</formula>
    </cfRule>
  </conditionalFormatting>
  <conditionalFormatting sqref="B61:B62">
    <cfRule type="expression" dxfId="36" priority="4">
      <formula>$B$60="NO"</formula>
    </cfRule>
  </conditionalFormatting>
  <conditionalFormatting sqref="B61">
    <cfRule type="expression" dxfId="35" priority="3">
      <formula>$B$60="YES - Annual"</formula>
    </cfRule>
  </conditionalFormatting>
  <conditionalFormatting sqref="D63:D64">
    <cfRule type="expression" dxfId="34" priority="2">
      <formula>$B$60&lt;&gt;"Yes - Purchase Commitment"</formula>
    </cfRule>
  </conditionalFormatting>
  <conditionalFormatting sqref="O45">
    <cfRule type="expression" dxfId="33" priority="1">
      <formula>$O$45="Check"</formula>
    </cfRule>
  </conditionalFormatting>
  <printOptions horizontalCentered="1"/>
  <pageMargins left="0.25" right="0.25" top="0.75" bottom="0.75" header="0.3" footer="0.3"/>
  <pageSetup scale="5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legacyDrawing r:id="rId2"/>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tabColor rgb="FFFF0000"/>
  </sheetPr>
  <dimension ref="A1:CN132"/>
  <sheetViews>
    <sheetView showGridLines="0" zoomScaleNormal="100" workbookViewId="0">
      <selection activeCell="D1" sqref="D1"/>
    </sheetView>
  </sheetViews>
  <sheetFormatPr defaultColWidth="1.85546875" defaultRowHeight="15" x14ac:dyDescent="0.25"/>
  <cols>
    <col min="2" max="2" width="1.85546875" customWidth="1"/>
    <col min="3" max="3" width="3" bestFit="1" customWidth="1"/>
    <col min="4" max="11" width="2.7109375" customWidth="1"/>
    <col min="15" max="15" width="2.140625" customWidth="1"/>
    <col min="24" max="24" width="2.5703125" customWidth="1"/>
    <col min="26" max="33" width="2.28515625" customWidth="1"/>
    <col min="34" max="34" width="3.7109375" customWidth="1"/>
    <col min="35" max="38" width="2.28515625" customWidth="1"/>
    <col min="48" max="56" width="3" customWidth="1"/>
    <col min="57" max="58" width="2" customWidth="1"/>
    <col min="59" max="61" width="1.85546875" customWidth="1"/>
    <col min="67" max="67" width="3.28515625" customWidth="1"/>
    <col min="68" max="68" width="18.5703125" customWidth="1"/>
    <col min="69" max="69" width="25.42578125" bestFit="1" customWidth="1"/>
    <col min="70" max="70" width="26.85546875" bestFit="1" customWidth="1"/>
    <col min="71" max="71" width="16" bestFit="1" customWidth="1"/>
    <col min="72" max="72" width="9.28515625" customWidth="1"/>
    <col min="73" max="73" width="10" bestFit="1" customWidth="1"/>
    <col min="74" max="88" width="14.42578125" customWidth="1"/>
  </cols>
  <sheetData>
    <row r="1" spans="2:68" x14ac:dyDescent="0.25">
      <c r="B1" s="334"/>
      <c r="C1" s="136"/>
      <c r="D1" s="136"/>
      <c r="E1" s="136"/>
      <c r="F1" s="136"/>
      <c r="G1" s="136"/>
      <c r="H1" s="136"/>
      <c r="I1" s="136"/>
      <c r="J1" s="136"/>
      <c r="K1" s="136"/>
      <c r="L1" s="136"/>
      <c r="M1" s="136"/>
      <c r="N1" s="136"/>
      <c r="O1" s="136"/>
      <c r="P1" s="136"/>
      <c r="Q1" s="136"/>
      <c r="R1" s="136"/>
      <c r="S1" s="136"/>
      <c r="T1" s="136"/>
      <c r="U1" s="136"/>
      <c r="V1" s="136"/>
      <c r="W1" s="136"/>
      <c r="X1" s="136"/>
      <c r="Y1" s="136"/>
      <c r="Z1" s="136"/>
      <c r="AA1" s="136"/>
      <c r="AB1" s="136"/>
      <c r="AC1" s="136"/>
      <c r="AD1" s="136"/>
      <c r="AE1" s="136"/>
      <c r="AF1" s="136"/>
      <c r="AG1" s="136"/>
      <c r="AH1" s="136"/>
      <c r="AI1" s="136"/>
      <c r="AJ1" s="136"/>
      <c r="AK1" s="136"/>
      <c r="AL1" s="136"/>
      <c r="AM1" s="136"/>
      <c r="AN1" s="136"/>
      <c r="AO1" s="136"/>
      <c r="AP1" s="136"/>
      <c r="AQ1" s="136"/>
      <c r="AR1" s="136"/>
      <c r="AS1" s="136"/>
      <c r="AT1" s="136"/>
      <c r="AU1" s="136"/>
      <c r="AV1" s="136"/>
      <c r="AW1" s="136"/>
      <c r="AX1" s="136"/>
      <c r="AY1" s="136"/>
      <c r="AZ1" s="136"/>
      <c r="BA1" s="136"/>
      <c r="BB1" s="136"/>
      <c r="BC1" s="136"/>
      <c r="BD1" s="136"/>
      <c r="BE1" s="136"/>
      <c r="BF1" s="337"/>
    </row>
    <row r="2" spans="2:68" ht="36" x14ac:dyDescent="0.55000000000000004">
      <c r="B2" s="1533" t="s">
        <v>722</v>
      </c>
      <c r="C2" s="1534"/>
      <c r="D2" s="1534"/>
      <c r="E2" s="1534"/>
      <c r="F2" s="1534"/>
      <c r="G2" s="1534"/>
      <c r="H2" s="1534"/>
      <c r="I2" s="1534"/>
      <c r="J2" s="1534"/>
      <c r="K2" s="1534"/>
      <c r="L2" s="1534"/>
      <c r="M2" s="1534"/>
      <c r="N2" s="1534"/>
      <c r="O2" s="1534"/>
      <c r="P2" s="1534"/>
      <c r="Q2" s="1534"/>
      <c r="R2" s="1534"/>
      <c r="S2" s="1534"/>
      <c r="T2" s="1534"/>
      <c r="U2" s="1534"/>
      <c r="V2" s="1534"/>
      <c r="W2" s="1534"/>
      <c r="X2" s="1534"/>
      <c r="Y2" s="1534"/>
      <c r="Z2" s="1534"/>
      <c r="AA2" s="1534"/>
      <c r="AB2" s="1534"/>
      <c r="AC2" s="1534"/>
      <c r="AD2" s="1534"/>
      <c r="AE2" s="1534"/>
      <c r="AF2" s="1534"/>
      <c r="AG2" s="1534"/>
      <c r="AH2" s="1534"/>
      <c r="AI2" s="1534"/>
      <c r="AJ2" s="1534"/>
      <c r="AK2" s="1534"/>
      <c r="AL2" s="1534"/>
      <c r="AM2" s="1534"/>
      <c r="AN2" s="1534"/>
      <c r="AO2" s="1534"/>
      <c r="AP2" s="1534"/>
      <c r="AQ2" s="1534"/>
      <c r="AR2" s="1534"/>
      <c r="AS2" s="1534"/>
      <c r="AT2" s="1534"/>
      <c r="AU2" s="1534"/>
      <c r="AV2" s="1534"/>
      <c r="AW2" s="1534"/>
      <c r="AX2" s="1534"/>
      <c r="AY2" s="1534"/>
      <c r="AZ2" s="1534"/>
      <c r="BA2" s="1534"/>
      <c r="BB2" s="1534"/>
      <c r="BC2" s="1534"/>
      <c r="BD2" s="1534"/>
      <c r="BE2" s="1534"/>
      <c r="BF2" s="1535"/>
    </row>
    <row r="3" spans="2:68" x14ac:dyDescent="0.25">
      <c r="B3" s="1536"/>
      <c r="C3" s="1537"/>
      <c r="D3" s="1537"/>
      <c r="E3" s="1537"/>
      <c r="F3" s="1537"/>
      <c r="G3" s="1537"/>
      <c r="H3" s="1537"/>
      <c r="I3" s="1537"/>
      <c r="J3" s="1537"/>
      <c r="K3" s="1537"/>
      <c r="L3" s="1537"/>
      <c r="M3" s="1537"/>
      <c r="N3" s="1537"/>
      <c r="O3" s="1537"/>
      <c r="P3" s="1537"/>
      <c r="Q3" s="1537"/>
      <c r="R3" s="1537"/>
      <c r="S3" s="1537"/>
      <c r="T3" s="1537"/>
      <c r="U3" s="1537"/>
      <c r="V3" s="1537"/>
      <c r="W3" s="1537"/>
      <c r="X3" s="1537"/>
      <c r="Y3" s="1537"/>
      <c r="Z3" s="1537"/>
      <c r="AA3" s="1537"/>
      <c r="AB3" s="1537"/>
      <c r="AC3" s="1537"/>
      <c r="AD3" s="1537"/>
      <c r="AE3" s="1537"/>
      <c r="AF3" s="1537"/>
      <c r="AG3" s="1537"/>
      <c r="AH3" s="1537"/>
      <c r="AI3" s="1537"/>
      <c r="AJ3" s="1537"/>
      <c r="AK3" s="1537"/>
      <c r="AL3" s="1537"/>
      <c r="AM3" s="1537"/>
      <c r="AN3" s="1537"/>
      <c r="AO3" s="1537"/>
      <c r="AP3" s="1537"/>
      <c r="AQ3" s="1537"/>
      <c r="AR3" s="1537"/>
      <c r="AS3" s="1537"/>
      <c r="AT3" s="1537"/>
      <c r="AU3" s="1537"/>
      <c r="AV3" s="1537"/>
      <c r="AW3" s="1537"/>
      <c r="AX3" s="1537"/>
      <c r="AY3" s="1537"/>
      <c r="AZ3" s="1537"/>
      <c r="BA3" s="1537"/>
      <c r="BB3" s="1537"/>
      <c r="BC3" s="1537"/>
      <c r="BD3" s="1537"/>
      <c r="BE3" s="1537"/>
      <c r="BF3" s="1538"/>
    </row>
    <row r="4" spans="2:68" x14ac:dyDescent="0.25">
      <c r="B4" s="138"/>
      <c r="BF4" s="139"/>
    </row>
    <row r="5" spans="2:68" x14ac:dyDescent="0.25">
      <c r="B5" s="138"/>
      <c r="BF5" s="139"/>
    </row>
    <row r="6" spans="2:68" x14ac:dyDescent="0.25">
      <c r="B6" s="138"/>
      <c r="BF6" s="139"/>
    </row>
    <row r="7" spans="2:68" x14ac:dyDescent="0.25">
      <c r="B7" s="138"/>
      <c r="BF7" s="139"/>
    </row>
    <row r="8" spans="2:68" ht="18.75" x14ac:dyDescent="0.3">
      <c r="B8" s="1495" t="s">
        <v>649</v>
      </c>
      <c r="C8" s="1496"/>
      <c r="D8" s="1496"/>
      <c r="E8" s="1496"/>
      <c r="F8" s="1496"/>
      <c r="G8" s="1496"/>
      <c r="H8" s="1496"/>
      <c r="I8" s="1496"/>
      <c r="J8" s="1496"/>
      <c r="K8" s="1496"/>
      <c r="L8" s="1496"/>
      <c r="M8" s="1496"/>
      <c r="N8" s="1496"/>
      <c r="O8" s="1496"/>
      <c r="P8" s="1496"/>
      <c r="Q8" s="1496"/>
      <c r="R8" s="1496"/>
      <c r="S8" s="1496"/>
      <c r="T8" s="1496"/>
      <c r="U8" s="1496"/>
      <c r="V8" s="1496"/>
      <c r="W8" s="1496"/>
      <c r="X8" s="1496"/>
      <c r="Y8" s="1496"/>
      <c r="Z8" s="1496"/>
      <c r="AA8" s="1496"/>
      <c r="AB8" s="1496"/>
      <c r="AC8" s="1496"/>
      <c r="AD8" s="1496"/>
      <c r="AE8" s="1496"/>
      <c r="AF8" s="1496"/>
      <c r="AG8" s="1496"/>
      <c r="AH8" s="1496"/>
      <c r="AI8" s="1496"/>
      <c r="AJ8" s="1496"/>
      <c r="AK8" s="1496"/>
      <c r="AL8" s="1496"/>
      <c r="AM8" s="1496"/>
      <c r="AN8" s="1496"/>
      <c r="AO8" s="1496"/>
      <c r="AP8" s="1496"/>
      <c r="AQ8" s="1496"/>
      <c r="AR8" s="1496"/>
      <c r="AS8" s="1496"/>
      <c r="AT8" s="1496"/>
      <c r="AU8" s="1496"/>
      <c r="AV8" s="1496"/>
      <c r="AW8" s="1496"/>
      <c r="AX8" s="1496"/>
      <c r="AY8" s="1496"/>
      <c r="AZ8" s="1496"/>
      <c r="BA8" s="1496"/>
      <c r="BB8" s="1496"/>
      <c r="BC8" s="1496"/>
      <c r="BD8" s="1496"/>
      <c r="BE8" s="1496"/>
      <c r="BF8" s="1497"/>
    </row>
    <row r="9" spans="2:68" x14ac:dyDescent="0.25">
      <c r="B9" s="678"/>
      <c r="C9" s="273"/>
      <c r="D9" s="273"/>
      <c r="E9" s="273"/>
      <c r="F9" s="273"/>
      <c r="G9" s="273"/>
      <c r="H9" s="273"/>
      <c r="I9" s="273"/>
      <c r="J9" s="273"/>
      <c r="K9" s="273"/>
      <c r="L9" s="273"/>
      <c r="M9" s="273"/>
      <c r="N9" s="273"/>
      <c r="O9" s="273"/>
      <c r="P9" s="273"/>
      <c r="Q9" s="273"/>
      <c r="R9" s="273"/>
      <c r="S9" s="273"/>
      <c r="T9" s="273"/>
      <c r="U9" s="273"/>
      <c r="V9" s="273"/>
      <c r="W9" s="273"/>
      <c r="X9" s="273"/>
      <c r="Y9" s="273"/>
      <c r="Z9" s="273"/>
      <c r="AA9" s="273"/>
      <c r="AB9" s="273"/>
      <c r="AC9" s="273"/>
      <c r="AD9" s="273"/>
      <c r="AE9" s="273"/>
      <c r="AF9" s="273"/>
      <c r="AG9" s="273"/>
      <c r="AH9" s="273"/>
      <c r="AI9" s="273"/>
      <c r="AJ9" s="273"/>
      <c r="AK9" s="273"/>
      <c r="AL9" s="270"/>
      <c r="AM9" s="270"/>
      <c r="AN9" s="270"/>
      <c r="AO9" s="270"/>
      <c r="AP9" s="270"/>
      <c r="AQ9" s="270"/>
      <c r="AR9" s="270"/>
      <c r="AS9" s="270"/>
      <c r="AT9" s="270"/>
      <c r="AU9" s="270"/>
      <c r="AV9" s="270"/>
      <c r="AW9" s="270"/>
      <c r="AX9" s="270"/>
      <c r="AY9" s="270"/>
      <c r="AZ9" s="270"/>
      <c r="BA9" s="270"/>
      <c r="BB9" s="270"/>
      <c r="BC9" s="273"/>
      <c r="BD9" s="273"/>
      <c r="BE9" s="273"/>
      <c r="BF9" s="679"/>
    </row>
    <row r="10" spans="2:68" x14ac:dyDescent="0.25">
      <c r="B10" s="1552" t="s">
        <v>881</v>
      </c>
      <c r="C10" s="1448"/>
      <c r="D10" s="1448"/>
      <c r="E10" s="1448"/>
      <c r="F10" s="1448"/>
      <c r="G10" s="1448"/>
      <c r="H10" s="1448"/>
      <c r="I10" s="1448"/>
      <c r="J10" s="1448"/>
      <c r="K10" s="1543">
        <f>'Tracking &amp; Profitability'!$H$5</f>
        <v>0</v>
      </c>
      <c r="L10" s="1543"/>
      <c r="M10" s="1543"/>
      <c r="N10" s="1543"/>
      <c r="O10" s="1543"/>
      <c r="P10" s="1543"/>
      <c r="Q10" s="1543"/>
      <c r="R10" s="1543"/>
      <c r="S10" s="1543"/>
      <c r="T10" s="1543"/>
      <c r="U10" s="1543"/>
      <c r="V10" s="1543"/>
      <c r="W10" s="1543"/>
      <c r="X10" s="1543"/>
      <c r="Y10" s="1543"/>
      <c r="Z10" s="1543"/>
      <c r="AA10" s="1543"/>
      <c r="AB10" s="1543"/>
      <c r="AC10" s="1543"/>
      <c r="AD10" s="1543"/>
      <c r="AE10" s="1543"/>
      <c r="AI10" s="1448" t="s">
        <v>721</v>
      </c>
      <c r="AJ10" s="1448"/>
      <c r="AK10" s="1448"/>
      <c r="AL10" s="1448"/>
      <c r="AM10" s="1448"/>
      <c r="AN10" s="1448"/>
      <c r="AO10" s="1448"/>
      <c r="AP10" s="1448"/>
      <c r="AQ10" s="1448"/>
      <c r="AR10" s="1448"/>
      <c r="AT10" s="1551"/>
      <c r="AU10" s="1551"/>
      <c r="AV10" s="1551"/>
      <c r="AW10" s="1551"/>
      <c r="AX10" s="1551"/>
      <c r="AY10" s="1551"/>
      <c r="AZ10" s="1551"/>
      <c r="BA10" s="1551"/>
      <c r="BB10" s="1551"/>
      <c r="BC10" s="1551"/>
      <c r="BD10" s="1551"/>
      <c r="BF10" s="139"/>
    </row>
    <row r="11" spans="2:68" x14ac:dyDescent="0.25">
      <c r="B11" s="138"/>
      <c r="AL11" s="2"/>
      <c r="AM11" s="2"/>
      <c r="AN11" s="2"/>
      <c r="AO11" s="2"/>
      <c r="AP11" s="2"/>
      <c r="AQ11" s="2"/>
      <c r="AR11" s="2"/>
      <c r="AS11" s="2"/>
      <c r="AT11" s="2"/>
      <c r="AU11" s="2"/>
      <c r="AV11" s="2"/>
      <c r="BF11" s="139"/>
    </row>
    <row r="12" spans="2:68" x14ac:dyDescent="0.25">
      <c r="B12" s="1545" t="s">
        <v>882</v>
      </c>
      <c r="C12" s="1542"/>
      <c r="D12" s="1542"/>
      <c r="E12" s="1542"/>
      <c r="F12" s="1542"/>
      <c r="G12" s="1542"/>
      <c r="H12" s="1542"/>
      <c r="I12" s="1542"/>
      <c r="J12" s="1542"/>
      <c r="K12" s="1553">
        <f>'Required Info to Submit'!$F$4</f>
        <v>0</v>
      </c>
      <c r="L12" s="1553"/>
      <c r="M12" s="1553"/>
      <c r="N12" s="1553"/>
      <c r="O12" s="1553"/>
      <c r="P12" s="1553"/>
      <c r="Q12" s="1553"/>
      <c r="R12" s="1553"/>
      <c r="S12" s="1553"/>
      <c r="T12" s="1553"/>
      <c r="U12" s="1553"/>
      <c r="V12" s="1553"/>
      <c r="W12" s="1553"/>
      <c r="X12" s="1553"/>
      <c r="Y12" s="1553"/>
      <c r="Z12" s="1553"/>
      <c r="AA12" s="1553"/>
      <c r="AB12" s="1553"/>
      <c r="AC12" s="1553"/>
      <c r="AD12" s="1553"/>
      <c r="AE12" s="1553"/>
      <c r="AL12" s="2"/>
      <c r="AM12" s="2"/>
      <c r="AN12" s="2"/>
      <c r="AO12" s="2"/>
      <c r="AP12" s="2"/>
      <c r="AQ12" s="2"/>
      <c r="AR12" s="2"/>
      <c r="AS12" s="2"/>
      <c r="AT12" s="2"/>
      <c r="AU12" s="2"/>
      <c r="AV12" s="2"/>
      <c r="BF12" s="139"/>
    </row>
    <row r="13" spans="2:68" x14ac:dyDescent="0.25">
      <c r="B13" s="138"/>
      <c r="J13" s="2"/>
      <c r="K13" s="2"/>
      <c r="L13" s="2"/>
      <c r="M13" s="2"/>
      <c r="N13" s="2"/>
      <c r="O13" s="2"/>
      <c r="P13" s="2"/>
      <c r="Q13" s="2"/>
      <c r="R13" s="2"/>
      <c r="S13" s="2"/>
      <c r="T13" s="2"/>
      <c r="U13" s="2"/>
      <c r="V13" s="2"/>
      <c r="W13" s="2"/>
      <c r="X13" s="2"/>
      <c r="Y13" s="2"/>
      <c r="Z13" s="2"/>
      <c r="AA13" s="2"/>
      <c r="AB13" s="2"/>
      <c r="AC13" s="2"/>
      <c r="AD13" s="2"/>
      <c r="AL13" s="2"/>
      <c r="AM13" s="2"/>
      <c r="AN13" s="2"/>
      <c r="AO13" s="2"/>
      <c r="AP13" s="2"/>
      <c r="AQ13" s="2"/>
      <c r="AR13" s="2"/>
      <c r="AS13" s="2"/>
      <c r="AT13" s="2"/>
      <c r="AU13" s="2"/>
      <c r="AV13" s="2"/>
      <c r="BF13" s="139"/>
    </row>
    <row r="14" spans="2:68" x14ac:dyDescent="0.25">
      <c r="B14" s="1545" t="s">
        <v>899</v>
      </c>
      <c r="C14" s="1542"/>
      <c r="D14" s="1542"/>
      <c r="E14" s="1542"/>
      <c r="F14" s="1542"/>
      <c r="G14" s="1542"/>
      <c r="H14" s="1542"/>
      <c r="I14" s="1542"/>
      <c r="J14" s="1542"/>
      <c r="K14" s="1542"/>
      <c r="L14" s="1542"/>
      <c r="M14" s="1542"/>
      <c r="N14" s="1542"/>
      <c r="O14" s="1542"/>
      <c r="P14" s="1542"/>
      <c r="Q14" s="1542"/>
      <c r="R14" s="1544">
        <f>'Required Info to Submit'!$F$6</f>
        <v>0</v>
      </c>
      <c r="S14" s="1544"/>
      <c r="T14" s="1544"/>
      <c r="U14" s="1544"/>
      <c r="V14" s="1544"/>
      <c r="W14" s="1544"/>
      <c r="X14" s="1544"/>
      <c r="Y14" s="1544"/>
      <c r="Z14" s="1544"/>
      <c r="AA14" s="1544"/>
      <c r="AB14" s="1544"/>
      <c r="AC14" s="1544"/>
      <c r="AD14" s="1544"/>
      <c r="AE14" s="1544"/>
      <c r="AF14" s="1544"/>
      <c r="AG14" s="1544"/>
      <c r="AH14" s="1544"/>
      <c r="AI14" s="1544"/>
      <c r="AJ14" s="1544"/>
      <c r="AK14" s="1544"/>
      <c r="AL14" s="1544"/>
      <c r="AM14" s="1544"/>
      <c r="AN14" s="1544"/>
      <c r="AO14" s="1544"/>
      <c r="AP14" s="1544"/>
      <c r="AQ14" s="1544"/>
      <c r="AR14" s="1544"/>
      <c r="AS14" s="1544"/>
      <c r="AT14" s="1544"/>
      <c r="AU14" s="1544"/>
      <c r="AV14" s="1544"/>
      <c r="AW14" s="1544"/>
      <c r="AX14" s="1544"/>
      <c r="AY14" s="1544"/>
      <c r="AZ14" s="1544"/>
      <c r="BA14" s="1544"/>
      <c r="BB14" s="1544"/>
      <c r="BC14" s="1544"/>
      <c r="BD14" s="1544"/>
      <c r="BF14" s="139"/>
    </row>
    <row r="15" spans="2:68" x14ac:dyDescent="0.25">
      <c r="B15" s="627"/>
      <c r="C15" s="135"/>
      <c r="D15" s="135"/>
      <c r="E15" s="135"/>
      <c r="F15" s="135"/>
      <c r="G15" s="135"/>
      <c r="H15" s="135"/>
      <c r="I15" s="135"/>
      <c r="J15" s="135"/>
      <c r="K15" s="135"/>
      <c r="L15" s="135"/>
      <c r="M15" s="135"/>
      <c r="N15" s="135"/>
      <c r="O15" s="135"/>
      <c r="P15" s="135"/>
      <c r="Q15" s="135"/>
      <c r="BF15" s="139"/>
    </row>
    <row r="16" spans="2:68" x14ac:dyDescent="0.25">
      <c r="B16" s="1545" t="s">
        <v>720</v>
      </c>
      <c r="C16" s="1542"/>
      <c r="D16" s="1542"/>
      <c r="E16" s="1542"/>
      <c r="F16" s="1542"/>
      <c r="G16" s="1542"/>
      <c r="H16" s="1542"/>
      <c r="I16" s="1542"/>
      <c r="J16" s="1542"/>
      <c r="K16" s="1542"/>
      <c r="L16" s="1542"/>
      <c r="M16" s="1542"/>
      <c r="N16" s="1542"/>
      <c r="O16" s="1542"/>
      <c r="P16" s="1542"/>
      <c r="Q16" s="1542"/>
      <c r="R16" s="1553" t="s">
        <v>241</v>
      </c>
      <c r="S16" s="1553"/>
      <c r="T16" s="1537" t="s">
        <v>650</v>
      </c>
      <c r="U16" s="1537"/>
      <c r="V16" s="1537"/>
      <c r="W16" s="1537"/>
      <c r="X16" s="1537"/>
      <c r="Y16" s="1537"/>
      <c r="Z16" s="1537"/>
      <c r="AA16" s="1537"/>
      <c r="AB16" s="1537"/>
      <c r="AC16" s="1537"/>
      <c r="AD16" s="1537"/>
      <c r="AE16" s="1537"/>
      <c r="AF16" s="1537"/>
      <c r="AG16" s="1537"/>
      <c r="AH16" s="1537"/>
      <c r="AI16" s="1537"/>
      <c r="AJ16" s="1537"/>
      <c r="AK16" s="1537"/>
      <c r="AL16" s="1537"/>
      <c r="AO16" s="1537"/>
      <c r="AP16" s="1537"/>
      <c r="BF16" s="139"/>
      <c r="BP16" s="275"/>
    </row>
    <row r="17" spans="2:68" x14ac:dyDescent="0.25">
      <c r="B17" s="627"/>
      <c r="C17" s="135"/>
      <c r="D17" s="135"/>
      <c r="E17" s="135"/>
      <c r="F17" s="135"/>
      <c r="G17" s="135"/>
      <c r="H17" s="135"/>
      <c r="I17" s="135"/>
      <c r="J17" s="135"/>
      <c r="K17" s="135"/>
      <c r="L17" s="135"/>
      <c r="M17" s="135"/>
      <c r="N17" s="135"/>
      <c r="O17" s="135"/>
      <c r="P17" s="135"/>
      <c r="Q17" s="135"/>
      <c r="BF17" s="139"/>
    </row>
    <row r="18" spans="2:68" x14ac:dyDescent="0.25">
      <c r="B18" s="1546" t="s">
        <v>875</v>
      </c>
      <c r="C18" s="1547"/>
      <c r="D18" s="1547"/>
      <c r="E18" s="1547"/>
      <c r="F18" s="1547"/>
      <c r="G18" s="1547"/>
      <c r="H18" s="1547"/>
      <c r="I18" s="1547"/>
      <c r="J18" s="1547"/>
      <c r="K18" s="1547"/>
      <c r="L18" s="1547"/>
      <c r="M18" s="1547"/>
      <c r="N18" s="1547"/>
      <c r="O18" s="1547"/>
      <c r="P18" s="1547"/>
      <c r="Q18" s="1547"/>
      <c r="R18" s="1543">
        <f>'Required Info to Submit'!$F$8</f>
        <v>0</v>
      </c>
      <c r="S18" s="1543"/>
      <c r="T18" s="1543"/>
      <c r="U18" s="1543"/>
      <c r="V18" s="1543"/>
      <c r="W18" s="1543"/>
      <c r="X18" s="1543"/>
      <c r="Y18" s="1543"/>
      <c r="Z18" s="1543"/>
      <c r="AA18" s="1543"/>
      <c r="AB18" s="1543"/>
      <c r="AC18" s="1543"/>
      <c r="AD18" s="1543"/>
      <c r="AE18" s="1543"/>
      <c r="AF18" s="1543"/>
      <c r="AG18" s="1543"/>
      <c r="AH18" s="1543"/>
      <c r="AI18" s="1543"/>
      <c r="AJ18" s="1543"/>
      <c r="AK18" s="1543"/>
      <c r="AL18" s="1543"/>
      <c r="AN18" s="1542" t="s">
        <v>877</v>
      </c>
      <c r="AO18" s="1542"/>
      <c r="AP18" s="1542"/>
      <c r="AQ18" s="1542"/>
      <c r="AR18" s="1542"/>
      <c r="AS18" s="1542"/>
      <c r="AT18" s="1542"/>
      <c r="AU18" s="1542"/>
      <c r="AV18" s="1543">
        <f>'Required Info to Submit'!F10</f>
        <v>0</v>
      </c>
      <c r="AW18" s="1543"/>
      <c r="AX18" s="1543"/>
      <c r="AY18" s="1543"/>
      <c r="AZ18" s="1543"/>
      <c r="BA18" s="1543"/>
      <c r="BB18" s="1543"/>
      <c r="BC18" s="1543"/>
      <c r="BD18" s="1543"/>
      <c r="BF18" s="139"/>
      <c r="BP18" s="275"/>
    </row>
    <row r="19" spans="2:68" x14ac:dyDescent="0.25">
      <c r="B19" s="627"/>
      <c r="C19" s="135"/>
      <c r="D19" s="135"/>
      <c r="E19" s="135"/>
      <c r="F19" s="135"/>
      <c r="G19" s="135"/>
      <c r="H19" s="135"/>
      <c r="I19" s="135"/>
      <c r="J19" s="135"/>
      <c r="K19" s="135"/>
      <c r="L19" s="135"/>
      <c r="M19" s="135"/>
      <c r="N19" s="135"/>
      <c r="O19" s="135"/>
      <c r="P19" s="135"/>
      <c r="Q19" s="135"/>
      <c r="AN19" s="135"/>
      <c r="AO19" s="135"/>
      <c r="AP19" s="135"/>
      <c r="AQ19" s="135"/>
      <c r="AR19" s="135"/>
      <c r="AS19" s="135"/>
      <c r="AT19" s="135"/>
      <c r="AU19" s="135"/>
      <c r="BF19" s="139"/>
    </row>
    <row r="20" spans="2:68" x14ac:dyDescent="0.25">
      <c r="B20" s="1545" t="s">
        <v>876</v>
      </c>
      <c r="C20" s="1542"/>
      <c r="D20" s="1542"/>
      <c r="E20" s="1542"/>
      <c r="F20" s="1542"/>
      <c r="G20" s="1542"/>
      <c r="H20" s="1542"/>
      <c r="I20" s="1542"/>
      <c r="J20" s="1542"/>
      <c r="K20" s="1542"/>
      <c r="L20" s="1542"/>
      <c r="M20" s="1542"/>
      <c r="N20" s="1542"/>
      <c r="O20" s="1542"/>
      <c r="P20" s="1542"/>
      <c r="Q20" s="1542"/>
      <c r="R20" s="1543">
        <f>'Required Info to Submit'!F9</f>
        <v>0</v>
      </c>
      <c r="S20" s="1543"/>
      <c r="T20" s="1543"/>
      <c r="U20" s="1543"/>
      <c r="V20" s="1543"/>
      <c r="W20" s="1543"/>
      <c r="X20" s="1543"/>
      <c r="Y20" s="1543"/>
      <c r="Z20" s="1543"/>
      <c r="AA20" s="1543"/>
      <c r="AB20" s="1543"/>
      <c r="AC20" s="1543"/>
      <c r="AD20" s="1543"/>
      <c r="AE20" s="1543"/>
      <c r="AF20" s="1543"/>
      <c r="AG20" s="1543"/>
      <c r="AH20" s="1543"/>
      <c r="AI20" s="1543"/>
      <c r="AJ20" s="1543"/>
      <c r="AK20" s="1543"/>
      <c r="AL20" s="1543"/>
      <c r="AN20" s="1542" t="s">
        <v>830</v>
      </c>
      <c r="AO20" s="1542"/>
      <c r="AP20" s="1542"/>
      <c r="AQ20" s="1542"/>
      <c r="AR20" s="1542"/>
      <c r="AS20" s="1542"/>
      <c r="AT20" s="1542"/>
      <c r="AU20" s="1542"/>
      <c r="AV20" s="1543">
        <f>'Required Info to Submit'!F11</f>
        <v>0</v>
      </c>
      <c r="AW20" s="1543"/>
      <c r="AX20" s="1543"/>
      <c r="AY20" s="1543"/>
      <c r="AZ20" s="1543"/>
      <c r="BA20" s="1543"/>
      <c r="BB20" s="1543"/>
      <c r="BC20" s="1543"/>
      <c r="BD20" s="1543"/>
      <c r="BF20" s="139"/>
      <c r="BP20" s="275"/>
    </row>
    <row r="21" spans="2:68" x14ac:dyDescent="0.25">
      <c r="B21" s="627"/>
      <c r="C21" s="135"/>
      <c r="D21" s="135"/>
      <c r="E21" s="135"/>
      <c r="F21" s="135"/>
      <c r="G21" s="135"/>
      <c r="H21" s="135"/>
      <c r="I21" s="135"/>
      <c r="J21" s="135"/>
      <c r="K21" s="135"/>
      <c r="L21" s="135"/>
      <c r="M21" s="135"/>
      <c r="N21" s="135"/>
      <c r="O21" s="135"/>
      <c r="P21" s="135"/>
      <c r="Q21" s="135"/>
      <c r="AN21" s="135"/>
      <c r="AO21" s="135"/>
      <c r="AP21" s="135"/>
      <c r="AQ21" s="135"/>
      <c r="AR21" s="135"/>
      <c r="AS21" s="135"/>
      <c r="AT21" s="135"/>
      <c r="AU21" s="135"/>
      <c r="BF21" s="139"/>
    </row>
    <row r="22" spans="2:68" x14ac:dyDescent="0.25">
      <c r="B22" s="1545" t="s">
        <v>878</v>
      </c>
      <c r="C22" s="1542"/>
      <c r="D22" s="1542"/>
      <c r="E22" s="1542"/>
      <c r="F22" s="1542"/>
      <c r="G22" s="1542"/>
      <c r="H22" s="1542"/>
      <c r="I22" s="1542"/>
      <c r="J22" s="1542"/>
      <c r="K22" s="1542"/>
      <c r="L22" s="1542"/>
      <c r="M22" s="1542"/>
      <c r="N22" s="1542"/>
      <c r="O22" s="1542"/>
      <c r="P22" s="1542"/>
      <c r="Q22" s="1542"/>
      <c r="R22" s="1543">
        <f>'Required Info to Submit'!F12</f>
        <v>0</v>
      </c>
      <c r="S22" s="1543"/>
      <c r="T22" s="1543"/>
      <c r="U22" s="1543"/>
      <c r="V22" s="1543"/>
      <c r="W22" s="1543"/>
      <c r="X22" s="1543"/>
      <c r="Y22" s="1543"/>
      <c r="Z22" s="1543"/>
      <c r="AA22" s="1543"/>
      <c r="AB22" s="1543"/>
      <c r="AC22" s="1543"/>
      <c r="AD22" s="1543"/>
      <c r="AE22" s="1543"/>
      <c r="AF22" s="1543"/>
      <c r="AG22" s="1543"/>
      <c r="AH22" s="1543"/>
      <c r="AI22" s="1543"/>
      <c r="AJ22" s="1543"/>
      <c r="AK22" s="1543"/>
      <c r="AL22" s="1543"/>
      <c r="AN22" s="1542"/>
      <c r="AO22" s="1542"/>
      <c r="AP22" s="1542"/>
      <c r="AQ22" s="1542"/>
      <c r="AR22" s="1542"/>
      <c r="AS22" s="1542"/>
      <c r="AT22" s="1542"/>
      <c r="AU22" s="1542"/>
      <c r="AV22" s="1549"/>
      <c r="AW22" s="1549"/>
      <c r="AX22" s="1549"/>
      <c r="AY22" s="1549"/>
      <c r="AZ22" s="1549"/>
      <c r="BA22" s="1549"/>
      <c r="BB22" s="1549"/>
      <c r="BC22" s="1549"/>
      <c r="BD22" s="1549"/>
      <c r="BF22" s="139"/>
      <c r="BP22" s="275"/>
    </row>
    <row r="23" spans="2:68" x14ac:dyDescent="0.25">
      <c r="B23" s="627"/>
      <c r="C23" s="135"/>
      <c r="D23" s="135"/>
      <c r="E23" s="135"/>
      <c r="F23" s="135"/>
      <c r="G23" s="135"/>
      <c r="H23" s="135"/>
      <c r="I23" s="135"/>
      <c r="J23" s="135"/>
      <c r="K23" s="135"/>
      <c r="L23" s="135"/>
      <c r="M23" s="135"/>
      <c r="N23" s="135"/>
      <c r="O23" s="135"/>
      <c r="P23" s="135"/>
      <c r="Q23" s="135"/>
      <c r="BF23" s="139"/>
    </row>
    <row r="24" spans="2:68" x14ac:dyDescent="0.25">
      <c r="B24" s="1545" t="s">
        <v>879</v>
      </c>
      <c r="C24" s="1542"/>
      <c r="D24" s="1542"/>
      <c r="E24" s="1542"/>
      <c r="F24" s="1542"/>
      <c r="G24" s="1542"/>
      <c r="H24" s="1542"/>
      <c r="I24" s="1542"/>
      <c r="J24" s="1542"/>
      <c r="K24" s="1542"/>
      <c r="L24" s="1542"/>
      <c r="M24" s="1542"/>
      <c r="N24" s="1542"/>
      <c r="O24" s="1542"/>
      <c r="P24" s="1542"/>
      <c r="Q24" s="1542"/>
      <c r="R24" s="1554">
        <f>'Required Info to Submit'!$F$14</f>
        <v>0</v>
      </c>
      <c r="S24" s="1554"/>
      <c r="T24" s="1554"/>
      <c r="U24" s="1554"/>
      <c r="V24" s="1554"/>
      <c r="W24" s="1554"/>
      <c r="X24" s="1554"/>
      <c r="Y24" s="1554"/>
      <c r="Z24" s="1554"/>
      <c r="AA24" s="1554"/>
      <c r="AB24" s="1554"/>
      <c r="AC24" s="1554"/>
      <c r="AN24" s="1448" t="s">
        <v>883</v>
      </c>
      <c r="AO24" s="1448"/>
      <c r="AP24" s="1448"/>
      <c r="AQ24" s="1448"/>
      <c r="AR24" s="1448"/>
      <c r="AS24" s="1448"/>
      <c r="AT24" s="1448"/>
      <c r="AU24" s="1448"/>
      <c r="AV24" s="1550" t="e">
        <f>#REF!</f>
        <v>#REF!</v>
      </c>
      <c r="AW24" s="1550"/>
      <c r="AX24" s="1550"/>
      <c r="AY24" s="1550"/>
      <c r="AZ24" s="1550"/>
      <c r="BA24" s="1550"/>
      <c r="BB24" s="1550"/>
      <c r="BC24" s="1550"/>
      <c r="BD24" s="1550"/>
      <c r="BF24" s="139"/>
    </row>
    <row r="25" spans="2:68" ht="17.25" x14ac:dyDescent="0.25">
      <c r="B25" s="138"/>
      <c r="C25" s="276"/>
      <c r="D25" s="276"/>
      <c r="E25" s="276"/>
      <c r="F25" s="276"/>
      <c r="G25" s="276"/>
      <c r="H25" s="1548" t="s">
        <v>719</v>
      </c>
      <c r="I25" s="1548"/>
      <c r="J25" s="1548"/>
      <c r="K25" s="1548"/>
      <c r="L25" s="1548"/>
      <c r="M25" s="1548"/>
      <c r="N25" s="1548"/>
      <c r="O25" s="1548"/>
      <c r="P25" s="1548"/>
      <c r="Q25" s="276"/>
      <c r="AN25" s="1548" t="s">
        <v>718</v>
      </c>
      <c r="AO25" s="1548"/>
      <c r="AP25" s="1548"/>
      <c r="AQ25" s="1548"/>
      <c r="AR25" s="1548"/>
      <c r="AS25" s="1548"/>
      <c r="AT25" s="1548"/>
      <c r="BF25" s="139"/>
    </row>
    <row r="26" spans="2:68" ht="18.75" x14ac:dyDescent="0.3">
      <c r="B26" s="1495" t="s">
        <v>655</v>
      </c>
      <c r="C26" s="1496"/>
      <c r="D26" s="1496"/>
      <c r="E26" s="1496"/>
      <c r="F26" s="1496"/>
      <c r="G26" s="1496"/>
      <c r="H26" s="1496"/>
      <c r="I26" s="1496"/>
      <c r="J26" s="1496"/>
      <c r="K26" s="1496"/>
      <c r="L26" s="1496"/>
      <c r="M26" s="1496"/>
      <c r="N26" s="1496"/>
      <c r="O26" s="1496"/>
      <c r="P26" s="1496"/>
      <c r="Q26" s="1496"/>
      <c r="R26" s="1496"/>
      <c r="S26" s="1496"/>
      <c r="T26" s="1496"/>
      <c r="U26" s="1496"/>
      <c r="V26" s="1496"/>
      <c r="W26" s="1496"/>
      <c r="X26" s="1496"/>
      <c r="Y26" s="1496"/>
      <c r="Z26" s="1496"/>
      <c r="AA26" s="1496"/>
      <c r="AB26" s="1496"/>
      <c r="AC26" s="1496"/>
      <c r="AD26" s="1496"/>
      <c r="AE26" s="1496"/>
      <c r="AF26" s="1496"/>
      <c r="AG26" s="1496"/>
      <c r="AH26" s="1496"/>
      <c r="AI26" s="1496"/>
      <c r="AJ26" s="1496"/>
      <c r="AK26" s="1496"/>
      <c r="AL26" s="1496"/>
      <c r="AM26" s="1496"/>
      <c r="AN26" s="1496"/>
      <c r="AO26" s="1496"/>
      <c r="AP26" s="1496"/>
      <c r="AQ26" s="1496"/>
      <c r="AR26" s="1496"/>
      <c r="AS26" s="1496"/>
      <c r="AT26" s="1496"/>
      <c r="AU26" s="1496"/>
      <c r="AV26" s="1496"/>
      <c r="AW26" s="1496"/>
      <c r="AX26" s="1496"/>
      <c r="AY26" s="1496"/>
      <c r="AZ26" s="1496"/>
      <c r="BA26" s="1496"/>
      <c r="BB26" s="1496"/>
      <c r="BC26" s="1496"/>
      <c r="BD26" s="1496"/>
      <c r="BE26" s="1496"/>
      <c r="BF26" s="1497"/>
      <c r="BP26" s="275"/>
    </row>
    <row r="27" spans="2:68" x14ac:dyDescent="0.25">
      <c r="B27" s="620"/>
      <c r="C27" s="270"/>
      <c r="D27" s="270"/>
      <c r="E27" s="270"/>
      <c r="F27" s="270"/>
      <c r="G27" s="270"/>
      <c r="H27" s="270"/>
      <c r="I27" s="270"/>
      <c r="J27" s="270"/>
      <c r="K27" s="270"/>
      <c r="L27" s="270"/>
      <c r="M27" s="270"/>
      <c r="N27" s="270"/>
      <c r="O27" s="270"/>
      <c r="P27" s="270"/>
      <c r="Q27" s="270"/>
      <c r="R27" s="270"/>
      <c r="S27" s="270"/>
      <c r="T27" s="270"/>
      <c r="U27" s="270"/>
      <c r="V27" s="270"/>
      <c r="W27" s="270"/>
      <c r="X27" s="270"/>
      <c r="Y27" s="270"/>
      <c r="Z27" s="270"/>
      <c r="AA27" s="270"/>
      <c r="AB27" s="270"/>
      <c r="AC27" s="270"/>
      <c r="AD27" s="270"/>
      <c r="AE27" s="270"/>
      <c r="AF27" s="270"/>
      <c r="AG27" s="270"/>
      <c r="AH27" s="270"/>
      <c r="AI27" s="270"/>
      <c r="AJ27" s="270"/>
      <c r="AK27" s="270"/>
      <c r="AL27" s="270"/>
      <c r="AM27" s="270"/>
      <c r="AN27" s="270"/>
      <c r="AO27" s="270"/>
      <c r="AP27" s="270"/>
      <c r="AQ27" s="270"/>
      <c r="AR27" s="270"/>
      <c r="AS27" s="270"/>
      <c r="AT27" s="270"/>
      <c r="AU27" s="270"/>
      <c r="AV27" s="270"/>
      <c r="AW27" s="270"/>
      <c r="AX27" s="270"/>
      <c r="AY27" s="270"/>
      <c r="AZ27" s="270"/>
      <c r="BA27" s="270"/>
      <c r="BB27" s="270"/>
      <c r="BC27" s="270"/>
      <c r="BD27" s="270"/>
      <c r="BE27" s="270"/>
      <c r="BF27" s="621"/>
    </row>
    <row r="28" spans="2:68" x14ac:dyDescent="0.25">
      <c r="B28" s="1558" t="s">
        <v>656</v>
      </c>
      <c r="C28" s="1559"/>
      <c r="D28" s="1559"/>
      <c r="E28" s="1559"/>
      <c r="F28" s="1559"/>
      <c r="G28" s="1559"/>
      <c r="H28" s="1559"/>
      <c r="I28" s="1559"/>
      <c r="J28" s="1559"/>
      <c r="K28" s="1559"/>
      <c r="L28" s="1559"/>
      <c r="M28" s="1559"/>
      <c r="N28" s="1559"/>
      <c r="O28" s="1559"/>
      <c r="P28" s="1559"/>
      <c r="Q28" s="1559"/>
      <c r="T28" s="1555">
        <f>'Tracking &amp; Profitability'!$E$6</f>
        <v>0</v>
      </c>
      <c r="U28" s="1555"/>
      <c r="V28" s="1555"/>
      <c r="W28" s="1555"/>
      <c r="X28" s="1555"/>
      <c r="Y28" s="1555"/>
      <c r="Z28" s="1555"/>
      <c r="AA28" s="1555"/>
      <c r="AB28" s="1555"/>
      <c r="AF28" t="s">
        <v>717</v>
      </c>
      <c r="AO28" s="1553">
        <v>5</v>
      </c>
      <c r="AP28" s="1553"/>
      <c r="AQ28" s="1553"/>
      <c r="AR28" s="1537" t="s">
        <v>657</v>
      </c>
      <c r="AS28" s="1537"/>
      <c r="AU28" s="1553">
        <v>5</v>
      </c>
      <c r="AV28" s="1553"/>
      <c r="AW28" s="1553"/>
      <c r="AX28" s="1537" t="s">
        <v>716</v>
      </c>
      <c r="AY28" s="1537"/>
      <c r="BA28" s="1553">
        <v>5</v>
      </c>
      <c r="BB28" s="1553"/>
      <c r="BC28" s="1553"/>
      <c r="BD28" s="1537" t="s">
        <v>658</v>
      </c>
      <c r="BE28" s="1537"/>
      <c r="BF28" s="139"/>
    </row>
    <row r="29" spans="2:68" ht="17.25" x14ac:dyDescent="0.25">
      <c r="B29" s="138"/>
      <c r="T29" s="135"/>
      <c r="U29" s="135"/>
      <c r="V29" s="135"/>
      <c r="W29" s="135"/>
      <c r="X29" s="135"/>
      <c r="Y29" s="135"/>
      <c r="Z29" s="135"/>
      <c r="AA29" s="135"/>
      <c r="AB29" s="135"/>
      <c r="AF29" s="1548" t="s">
        <v>715</v>
      </c>
      <c r="AG29" s="1548"/>
      <c r="AH29" s="1548"/>
      <c r="AI29" s="1548"/>
      <c r="AJ29" s="1548"/>
      <c r="AK29" s="1548"/>
      <c r="AL29" s="1548"/>
      <c r="AM29" s="1548"/>
      <c r="AN29" s="1548"/>
      <c r="AO29" s="1548"/>
      <c r="AP29" s="1548"/>
      <c r="AQ29" s="1548"/>
      <c r="AR29" s="1548"/>
      <c r="AS29" s="1548"/>
      <c r="AT29" s="1548"/>
      <c r="AU29" s="1548"/>
      <c r="AV29" s="1548"/>
      <c r="AW29" s="1548"/>
      <c r="AX29" s="1548"/>
      <c r="AY29" s="1548"/>
      <c r="AZ29" s="1548"/>
      <c r="BA29" s="1548"/>
      <c r="BB29" s="1548"/>
      <c r="BC29" s="1548"/>
      <c r="BD29" s="1548"/>
      <c r="BE29" s="1548"/>
      <c r="BF29" s="139"/>
    </row>
    <row r="30" spans="2:68" x14ac:dyDescent="0.25">
      <c r="B30" s="1552" t="s">
        <v>712</v>
      </c>
      <c r="C30" s="1448"/>
      <c r="D30" s="1448"/>
      <c r="E30" s="1448"/>
      <c r="F30" s="1448"/>
      <c r="G30" s="1448"/>
      <c r="H30" s="1448"/>
      <c r="I30" s="1448"/>
      <c r="J30" s="1448"/>
      <c r="K30" s="1448"/>
      <c r="L30" s="1448"/>
      <c r="M30" s="1448"/>
      <c r="N30" s="1448"/>
      <c r="O30" s="1448"/>
      <c r="P30" s="1448"/>
      <c r="Q30" s="1448"/>
      <c r="T30" s="1562">
        <v>1</v>
      </c>
      <c r="U30" s="1562"/>
      <c r="V30" s="1562"/>
      <c r="W30" s="1562"/>
      <c r="AF30" s="1455" t="s">
        <v>714</v>
      </c>
      <c r="AG30" s="1455"/>
      <c r="AH30" s="1455"/>
      <c r="AI30" s="1455"/>
      <c r="AJ30" s="1455"/>
      <c r="AK30" s="1455"/>
      <c r="AL30" s="1455"/>
      <c r="AM30" s="1455"/>
      <c r="AN30" s="1455"/>
      <c r="AO30" s="1455"/>
      <c r="AP30" s="1553" t="s">
        <v>1044</v>
      </c>
      <c r="AQ30" s="1553"/>
      <c r="AR30" s="1553"/>
      <c r="AT30" s="1455" t="s">
        <v>713</v>
      </c>
      <c r="AU30" s="1455"/>
      <c r="AV30" s="1455"/>
      <c r="AW30" s="1455"/>
      <c r="AX30" s="1455"/>
      <c r="AY30" s="1455"/>
      <c r="AZ30" s="1455"/>
      <c r="BA30" s="1455"/>
      <c r="BB30" s="1455"/>
      <c r="BC30" s="1455"/>
      <c r="BF30" s="139"/>
    </row>
    <row r="31" spans="2:68" x14ac:dyDescent="0.25">
      <c r="B31" s="138"/>
      <c r="BF31" s="139"/>
      <c r="BP31" s="275"/>
    </row>
    <row r="32" spans="2:68" x14ac:dyDescent="0.25">
      <c r="B32" s="1552" t="s">
        <v>709</v>
      </c>
      <c r="C32" s="1448"/>
      <c r="D32" s="1448"/>
      <c r="E32" s="1448"/>
      <c r="F32" s="1448"/>
      <c r="G32" s="1448"/>
      <c r="H32" s="1448"/>
      <c r="I32" s="1448"/>
      <c r="J32" s="1448"/>
      <c r="K32" s="1448"/>
      <c r="L32" s="1448"/>
      <c r="M32" s="1448"/>
      <c r="N32" s="1448"/>
      <c r="O32" s="1448"/>
      <c r="P32" s="1448"/>
      <c r="Q32" s="1448"/>
      <c r="T32" s="1556" t="s">
        <v>1018</v>
      </c>
      <c r="U32" s="1556"/>
      <c r="V32" s="1556"/>
      <c r="W32" s="1556"/>
      <c r="X32" s="1556"/>
      <c r="Y32" s="1556"/>
      <c r="Z32" s="1556"/>
      <c r="AA32" s="1556"/>
      <c r="AB32" s="1556"/>
      <c r="AC32" s="1556"/>
      <c r="AD32" s="1556"/>
      <c r="AE32" s="1556"/>
      <c r="AF32" s="1556"/>
      <c r="AG32" s="1556"/>
      <c r="AH32" s="1556"/>
      <c r="AI32" s="1556"/>
      <c r="AJ32" s="1556"/>
      <c r="AK32" s="1556"/>
      <c r="AL32" s="1556"/>
      <c r="AM32" s="1556"/>
      <c r="AN32" s="1556"/>
      <c r="AO32" s="1556"/>
      <c r="BF32" s="139"/>
    </row>
    <row r="33" spans="2:92" x14ac:dyDescent="0.25">
      <c r="B33" s="138"/>
      <c r="BF33" s="139"/>
    </row>
    <row r="34" spans="2:92" x14ac:dyDescent="0.25">
      <c r="B34" s="138"/>
      <c r="C34" s="83"/>
      <c r="D34" s="83"/>
      <c r="E34" s="83"/>
      <c r="F34" s="83"/>
      <c r="G34" s="83"/>
      <c r="H34" s="83"/>
      <c r="I34" s="1553"/>
      <c r="J34" s="1553"/>
      <c r="K34" s="1537" t="s">
        <v>485</v>
      </c>
      <c r="L34" s="1537"/>
      <c r="M34" s="1537"/>
      <c r="N34" s="1537"/>
      <c r="O34" s="1537"/>
      <c r="P34" s="1537"/>
      <c r="Q34" s="1537"/>
      <c r="R34" s="1553" t="s">
        <v>241</v>
      </c>
      <c r="S34" s="1553"/>
      <c r="T34" s="1537" t="s">
        <v>484</v>
      </c>
      <c r="U34" s="1537"/>
      <c r="V34" s="1537"/>
      <c r="W34" s="1537"/>
      <c r="X34" s="1553"/>
      <c r="Y34" s="1553"/>
      <c r="Z34" s="1537" t="s">
        <v>483</v>
      </c>
      <c r="AA34" s="1537"/>
      <c r="AB34" s="1537"/>
      <c r="AF34" t="s">
        <v>711</v>
      </c>
      <c r="AL34" s="1553">
        <v>5</v>
      </c>
      <c r="AM34" s="1553"/>
      <c r="AN34" s="1553"/>
      <c r="AO34" t="s">
        <v>710</v>
      </c>
      <c r="BF34" s="139"/>
    </row>
    <row r="35" spans="2:92" x14ac:dyDescent="0.25">
      <c r="B35" s="138"/>
      <c r="BF35" s="139"/>
      <c r="BP35" s="277"/>
      <c r="CN35" s="275"/>
    </row>
    <row r="36" spans="2:92" x14ac:dyDescent="0.25">
      <c r="B36" s="1558" t="s">
        <v>708</v>
      </c>
      <c r="C36" s="1559"/>
      <c r="D36" s="1559"/>
      <c r="E36" s="1559"/>
      <c r="F36" s="1559"/>
      <c r="G36" s="1559"/>
      <c r="H36" s="1559"/>
      <c r="I36" s="1559"/>
      <c r="J36" s="1559"/>
      <c r="K36" s="1559"/>
      <c r="L36" s="1559"/>
      <c r="M36" s="1559"/>
      <c r="N36" s="1559"/>
      <c r="O36" s="1559"/>
      <c r="P36" s="1559"/>
      <c r="Q36" s="1559"/>
      <c r="R36" s="1559"/>
      <c r="T36" s="1568" t="str">
        <f>IFERROR($T$28/('Tracking &amp; Profitability'!$E$7*52*Welcome!$D$14),"Error on A La Carte")</f>
        <v>Error on A La Carte</v>
      </c>
      <c r="U36" s="1568"/>
      <c r="V36" s="1568"/>
      <c r="W36" s="1568"/>
      <c r="X36" s="1568"/>
      <c r="Y36" s="1568"/>
      <c r="Z36" s="1568"/>
      <c r="AA36" s="1568"/>
      <c r="AB36" s="1568"/>
      <c r="AF36" s="1559" t="s">
        <v>480</v>
      </c>
      <c r="AG36" s="1559"/>
      <c r="AH36" s="1559"/>
      <c r="AI36" s="1559"/>
      <c r="AJ36" s="1559"/>
      <c r="AK36" s="1559"/>
      <c r="AL36" s="1559"/>
      <c r="AM36" s="1559"/>
      <c r="AN36" s="1559"/>
      <c r="AO36" s="1559"/>
      <c r="AP36" s="1559"/>
      <c r="AQ36" s="1559"/>
      <c r="AR36" s="1559"/>
      <c r="AS36" s="1559"/>
      <c r="AU36" s="1553" t="e">
        <f>ROUND(((1-(('PIM Model'!$G$15+'PIM Model'!$G$17+'PIM Model'!$G$18)/'PIM Model'!$G$31))*100),0)&amp;"%/"&amp;ROUND((('PIM Model'!$G$15+'PIM Model'!$G$17+'PIM Model'!$G$18)/'PIM Model'!$G$31*100),0)&amp;"%"</f>
        <v>#DIV/0!</v>
      </c>
      <c r="AV36" s="1553"/>
      <c r="AW36" s="1553"/>
      <c r="AX36" s="1553"/>
      <c r="AY36" s="1553"/>
      <c r="AZ36" s="1553"/>
      <c r="BF36" s="139"/>
    </row>
    <row r="37" spans="2:92" x14ac:dyDescent="0.25">
      <c r="B37" s="324"/>
      <c r="C37" s="83"/>
      <c r="D37" s="83"/>
      <c r="E37" s="83"/>
      <c r="F37" s="83"/>
      <c r="G37" s="83"/>
      <c r="H37" s="83"/>
      <c r="I37" s="83"/>
      <c r="J37" s="83"/>
      <c r="K37" s="83"/>
      <c r="L37" s="83"/>
      <c r="M37" s="83"/>
      <c r="N37" s="83"/>
      <c r="O37" s="83"/>
      <c r="P37" s="83"/>
      <c r="Q37" s="83"/>
      <c r="T37" s="278"/>
      <c r="U37" s="278"/>
      <c r="V37" s="278"/>
      <c r="W37" s="278"/>
      <c r="X37" s="278"/>
      <c r="Y37" s="278"/>
      <c r="Z37" s="278"/>
      <c r="AA37" s="278"/>
      <c r="AB37" s="278"/>
      <c r="AC37" s="278"/>
      <c r="AD37" s="278"/>
      <c r="AF37" s="2"/>
      <c r="AG37" s="2"/>
      <c r="AH37" s="2"/>
      <c r="AI37" s="2"/>
      <c r="AJ37" s="2"/>
      <c r="AK37" s="2"/>
      <c r="AL37" s="2"/>
      <c r="AM37" s="2"/>
      <c r="AN37" s="2"/>
      <c r="AO37" s="2"/>
      <c r="AP37" s="2"/>
      <c r="AQ37" s="2"/>
      <c r="AR37" s="2"/>
      <c r="AS37" s="2"/>
      <c r="AT37" s="2"/>
      <c r="AU37" s="2"/>
      <c r="AV37" s="2"/>
      <c r="AW37" s="2"/>
      <c r="AX37" s="2"/>
      <c r="AY37" s="2"/>
      <c r="BF37" s="139"/>
      <c r="BP37" s="277"/>
      <c r="CN37" s="275"/>
    </row>
    <row r="38" spans="2:92" x14ac:dyDescent="0.25">
      <c r="B38" s="1558" t="s">
        <v>706</v>
      </c>
      <c r="C38" s="1559"/>
      <c r="D38" s="1559"/>
      <c r="E38" s="1559"/>
      <c r="F38" s="1559"/>
      <c r="G38" s="1559"/>
      <c r="H38" s="1559"/>
      <c r="I38" s="1559"/>
      <c r="J38" s="1559"/>
      <c r="K38" s="1559"/>
      <c r="L38" s="1559"/>
      <c r="M38" s="1559"/>
      <c r="N38" s="1559"/>
      <c r="O38" s="1559"/>
      <c r="P38" s="1559"/>
      <c r="Q38" s="1559"/>
      <c r="R38" s="1559"/>
      <c r="T38" s="1569" t="str">
        <f>IFERROR('PIM Model'!$H$31/('PIM Model'!$E$6*52*Welcome!$D$14),"Error on A La Carte")</f>
        <v>Error on A La Carte</v>
      </c>
      <c r="U38" s="1569"/>
      <c r="V38" s="1569"/>
      <c r="W38" s="1569"/>
      <c r="X38" s="1569"/>
      <c r="Y38" s="1569"/>
      <c r="Z38" s="1569"/>
      <c r="AA38" s="1569"/>
      <c r="AB38" s="1569"/>
      <c r="AC38" s="278"/>
      <c r="AD38" s="278"/>
      <c r="AF38" s="1448" t="s">
        <v>659</v>
      </c>
      <c r="AG38" s="1448"/>
      <c r="AH38" s="1448"/>
      <c r="AI38" s="1448"/>
      <c r="AJ38" s="1448"/>
      <c r="AK38" s="1448"/>
      <c r="AL38" s="1448"/>
      <c r="AM38" s="1448"/>
      <c r="AN38" s="1448"/>
      <c r="AO38" s="1448"/>
      <c r="AP38" s="1448"/>
      <c r="AQ38" s="1448"/>
      <c r="AR38" s="1448"/>
      <c r="AS38" s="1448"/>
      <c r="AU38" s="1553">
        <f>COUNTIF('PIM Model'!$E$10:$E$30,"Include")</f>
        <v>21</v>
      </c>
      <c r="AV38" s="1553"/>
      <c r="AW38" s="1553"/>
      <c r="AX38" s="1553"/>
      <c r="AY38" s="1553"/>
      <c r="AZ38" s="1553"/>
      <c r="BF38" s="139"/>
    </row>
    <row r="39" spans="2:92" x14ac:dyDescent="0.25">
      <c r="B39" s="138"/>
      <c r="BF39" s="139"/>
    </row>
    <row r="40" spans="2:92" x14ac:dyDescent="0.25">
      <c r="B40" s="1558" t="s">
        <v>704</v>
      </c>
      <c r="C40" s="1559"/>
      <c r="D40" s="1559"/>
      <c r="E40" s="1559"/>
      <c r="F40" s="1559"/>
      <c r="G40" s="1559"/>
      <c r="H40" s="1559"/>
      <c r="I40" s="1559"/>
      <c r="J40" s="1559"/>
      <c r="K40" s="1559"/>
      <c r="L40" s="1559"/>
      <c r="M40" s="1559"/>
      <c r="N40" s="1559"/>
      <c r="O40" s="1559"/>
      <c r="P40" s="1559"/>
      <c r="Q40" s="1559"/>
      <c r="R40" s="1559"/>
      <c r="T40" s="1555">
        <f>IFERROR('PIM Model'!$G$31/'PIM Model'!$H$31,0)</f>
        <v>0</v>
      </c>
      <c r="U40" s="1555"/>
      <c r="V40" s="1555"/>
      <c r="W40" s="1555"/>
      <c r="X40" s="1555"/>
      <c r="Y40" s="1555"/>
      <c r="Z40" s="1555"/>
      <c r="AA40" s="1555"/>
      <c r="AB40" s="1555"/>
      <c r="AF40" s="1448" t="s">
        <v>707</v>
      </c>
      <c r="AG40" s="1448"/>
      <c r="AH40" s="1448"/>
      <c r="AI40" s="1448"/>
      <c r="AJ40" s="1448"/>
      <c r="AK40" s="1448"/>
      <c r="AL40" s="1448"/>
      <c r="AM40" s="1448"/>
      <c r="AN40" s="1448"/>
      <c r="AO40" s="1448"/>
      <c r="AP40" s="1448"/>
      <c r="AQ40" s="1448"/>
      <c r="AR40" s="1448"/>
      <c r="AS40" s="1448"/>
      <c r="AU40" s="1553">
        <f>$AO$28+$AU$28+$BA$28</f>
        <v>15</v>
      </c>
      <c r="AV40" s="1553"/>
      <c r="AW40" s="1553"/>
      <c r="BC40" s="1537"/>
      <c r="BD40" s="1537"/>
      <c r="BE40" s="1537"/>
      <c r="BF40" s="139"/>
    </row>
    <row r="41" spans="2:92" x14ac:dyDescent="0.25">
      <c r="B41" s="138"/>
      <c r="BF41" s="139"/>
      <c r="BP41" s="275"/>
      <c r="CN41" s="277"/>
    </row>
    <row r="42" spans="2:92" x14ac:dyDescent="0.25">
      <c r="B42" s="1552" t="s">
        <v>702</v>
      </c>
      <c r="C42" s="1448"/>
      <c r="D42" s="1448"/>
      <c r="E42" s="1448"/>
      <c r="F42" s="1448"/>
      <c r="G42" s="1448"/>
      <c r="H42" s="1448"/>
      <c r="I42" s="1448"/>
      <c r="J42" s="1448"/>
      <c r="K42" s="1448"/>
      <c r="L42" s="1448"/>
      <c r="M42" s="1448"/>
      <c r="N42" s="1448"/>
      <c r="O42" s="1448"/>
      <c r="P42" s="1448"/>
      <c r="Q42" s="1448"/>
      <c r="R42" s="1448"/>
      <c r="T42" s="1555" t="s">
        <v>758</v>
      </c>
      <c r="U42" s="1555"/>
      <c r="V42" s="1555"/>
      <c r="W42" s="1555"/>
      <c r="X42" s="1555"/>
      <c r="Y42" s="1555"/>
      <c r="Z42" s="1555"/>
      <c r="AA42" s="1555"/>
      <c r="AB42" s="1555"/>
      <c r="AF42" s="1448" t="s">
        <v>705</v>
      </c>
      <c r="AG42" s="1448"/>
      <c r="AH42" s="1448"/>
      <c r="AI42" s="1448"/>
      <c r="AJ42" s="1448"/>
      <c r="AK42" s="1448"/>
      <c r="AL42" s="1448"/>
      <c r="AM42" s="1448"/>
      <c r="AN42" s="1448"/>
      <c r="AO42" s="1448"/>
      <c r="AP42" s="1448"/>
      <c r="AQ42" s="1448"/>
      <c r="AR42" s="1448"/>
      <c r="AS42" s="1448"/>
      <c r="AU42" s="1553" t="s">
        <v>651</v>
      </c>
      <c r="AV42" s="1553"/>
      <c r="AW42" s="1553"/>
      <c r="BC42" s="1537"/>
      <c r="BD42" s="1537"/>
      <c r="BE42" s="1537"/>
      <c r="BF42" s="139"/>
    </row>
    <row r="43" spans="2:92" x14ac:dyDescent="0.25">
      <c r="B43" s="138"/>
      <c r="BF43" s="139"/>
      <c r="BP43" s="275"/>
      <c r="CN43" s="277"/>
    </row>
    <row r="44" spans="2:92" x14ac:dyDescent="0.25">
      <c r="B44" s="1558" t="s">
        <v>700</v>
      </c>
      <c r="C44" s="1559"/>
      <c r="D44" s="1559"/>
      <c r="E44" s="1559"/>
      <c r="F44" s="1559"/>
      <c r="G44" s="1559"/>
      <c r="H44" s="1559"/>
      <c r="I44" s="1559"/>
      <c r="J44" s="1559"/>
      <c r="K44" s="1559"/>
      <c r="L44" s="1559"/>
      <c r="M44" s="1559"/>
      <c r="N44" s="1559"/>
      <c r="O44" s="1559"/>
      <c r="P44" s="1559"/>
      <c r="Q44" s="1559"/>
      <c r="R44" s="1559"/>
      <c r="T44" s="1561">
        <f>'Tracking &amp; Profitability'!$E$7</f>
        <v>0</v>
      </c>
      <c r="U44" s="1561"/>
      <c r="V44" s="1561"/>
      <c r="W44" s="1561"/>
      <c r="X44" s="1561"/>
      <c r="Y44" s="1561"/>
      <c r="Z44" s="1561"/>
      <c r="AA44" s="1561"/>
      <c r="AB44" s="1561"/>
      <c r="AF44" s="1448" t="s">
        <v>703</v>
      </c>
      <c r="AG44" s="1448"/>
      <c r="AH44" s="1448"/>
      <c r="AI44" s="1448"/>
      <c r="AJ44" s="1448"/>
      <c r="AK44" s="1448"/>
      <c r="AL44" s="1448"/>
      <c r="AM44" s="1448"/>
      <c r="AN44" s="1448"/>
      <c r="AO44" s="1448"/>
      <c r="AP44" s="1448"/>
      <c r="AQ44" s="1448"/>
      <c r="AR44" s="1448"/>
      <c r="AS44" s="1448"/>
      <c r="AU44" s="1553" t="s">
        <v>651</v>
      </c>
      <c r="AV44" s="1553"/>
      <c r="AW44" s="1553"/>
      <c r="BC44" s="1537"/>
      <c r="BD44" s="1537"/>
      <c r="BE44" s="1537"/>
      <c r="BF44" s="139"/>
    </row>
    <row r="45" spans="2:92" x14ac:dyDescent="0.25">
      <c r="B45" s="138"/>
      <c r="BF45" s="139"/>
      <c r="CN45" s="277"/>
    </row>
    <row r="46" spans="2:92" x14ac:dyDescent="0.25">
      <c r="B46" s="1563" t="s">
        <v>660</v>
      </c>
      <c r="C46" s="1564"/>
      <c r="D46" s="1564"/>
      <c r="E46" s="1564"/>
      <c r="F46" s="1564"/>
      <c r="G46" s="1564"/>
      <c r="H46" s="1564"/>
      <c r="I46" s="1564"/>
      <c r="J46" s="1564"/>
      <c r="K46" s="1564"/>
      <c r="L46" s="1564"/>
      <c r="M46" s="1564"/>
      <c r="N46" s="1564"/>
      <c r="O46" s="1564"/>
      <c r="P46" s="1564"/>
      <c r="Q46" s="1564"/>
      <c r="R46" s="1564"/>
      <c r="T46" s="1543">
        <v>150</v>
      </c>
      <c r="U46" s="1543"/>
      <c r="V46" s="1543"/>
      <c r="W46" s="1543"/>
      <c r="X46" s="1543"/>
      <c r="Y46" s="1543"/>
      <c r="Z46" s="1543"/>
      <c r="AA46" s="1543"/>
      <c r="AB46" s="1543"/>
      <c r="AF46" s="1557" t="s">
        <v>701</v>
      </c>
      <c r="AG46" s="1557"/>
      <c r="AH46" s="1557"/>
      <c r="AI46" s="1557"/>
      <c r="AJ46" s="1557"/>
      <c r="AK46" s="1557"/>
      <c r="AL46" s="1557"/>
      <c r="AM46" s="1557"/>
      <c r="AN46" s="1557"/>
      <c r="AO46" s="1557"/>
      <c r="AP46" s="1557"/>
      <c r="AQ46" s="1557"/>
      <c r="AR46" s="1557"/>
      <c r="AS46" s="1557"/>
      <c r="AU46" s="1573">
        <v>0.3</v>
      </c>
      <c r="AV46" s="1573"/>
      <c r="AW46" s="1573"/>
      <c r="AX46" s="1573"/>
      <c r="AY46" s="1573"/>
      <c r="AZ46" s="1573"/>
      <c r="BF46" s="139"/>
    </row>
    <row r="47" spans="2:92" x14ac:dyDescent="0.25">
      <c r="B47" s="138"/>
      <c r="BF47" s="139"/>
      <c r="CN47" s="277"/>
    </row>
    <row r="48" spans="2:92" x14ac:dyDescent="0.25">
      <c r="B48" s="1558" t="s">
        <v>481</v>
      </c>
      <c r="C48" s="1559"/>
      <c r="D48" s="1559"/>
      <c r="E48" s="1559"/>
      <c r="F48" s="1559"/>
      <c r="G48" s="1559"/>
      <c r="H48" s="1559"/>
      <c r="I48" s="1559"/>
      <c r="J48" s="1559"/>
      <c r="K48" s="1559"/>
      <c r="L48" s="1559"/>
      <c r="M48" s="1559"/>
      <c r="N48" s="1559"/>
      <c r="O48" s="1559"/>
      <c r="P48" s="1559"/>
      <c r="Q48" s="1559"/>
      <c r="R48" s="1559"/>
      <c r="T48" s="1543">
        <f>$K$10</f>
        <v>0</v>
      </c>
      <c r="U48" s="1543"/>
      <c r="V48" s="1543"/>
      <c r="W48" s="1543"/>
      <c r="X48" s="1543"/>
      <c r="Y48" s="1543"/>
      <c r="Z48" s="1543"/>
      <c r="AA48" s="1543"/>
      <c r="AB48" s="1543"/>
      <c r="AF48" s="1557" t="s">
        <v>699</v>
      </c>
      <c r="AG48" s="1557"/>
      <c r="AH48" s="1557"/>
      <c r="AI48" s="1557"/>
      <c r="AJ48" s="1557"/>
      <c r="AK48" s="1557"/>
      <c r="AL48" s="1557"/>
      <c r="AM48" s="1557"/>
      <c r="AN48" s="1557"/>
      <c r="AO48" s="1557"/>
      <c r="AP48" s="1557"/>
      <c r="AQ48" s="1557"/>
      <c r="AR48" s="1557"/>
      <c r="AS48" s="1557"/>
      <c r="AU48" s="1577">
        <v>2.25</v>
      </c>
      <c r="AV48" s="1578"/>
      <c r="AW48" s="1578"/>
      <c r="AX48" s="1578"/>
      <c r="AY48" s="1578"/>
      <c r="AZ48" s="1578"/>
      <c r="BF48" s="139"/>
    </row>
    <row r="49" spans="2:92" x14ac:dyDescent="0.25">
      <c r="B49" s="138"/>
      <c r="BF49" s="139"/>
      <c r="CN49" s="277"/>
    </row>
    <row r="50" spans="2:92" x14ac:dyDescent="0.25">
      <c r="B50" s="1567" t="s">
        <v>698</v>
      </c>
      <c r="C50" s="1557"/>
      <c r="D50" s="1557"/>
      <c r="E50" s="1557"/>
      <c r="F50" s="1557"/>
      <c r="G50" s="1557"/>
      <c r="H50" s="1557"/>
      <c r="I50" s="1557"/>
      <c r="J50" s="1557"/>
      <c r="K50" s="1557"/>
      <c r="L50" s="1557"/>
      <c r="M50" s="1557"/>
      <c r="N50" s="1557"/>
      <c r="O50" s="1557"/>
      <c r="P50" s="1557"/>
      <c r="Q50" s="1557"/>
      <c r="R50" s="1557"/>
      <c r="T50" s="1565">
        <v>500</v>
      </c>
      <c r="U50" s="1565"/>
      <c r="V50" s="1565"/>
      <c r="W50" s="1565"/>
      <c r="X50" s="1565"/>
      <c r="Y50" s="1565"/>
      <c r="Z50" s="1448" t="s">
        <v>697</v>
      </c>
      <c r="AA50" s="1448"/>
      <c r="AB50" s="1448"/>
      <c r="AC50" s="1565">
        <v>35</v>
      </c>
      <c r="AD50" s="1565"/>
      <c r="AE50" s="1565"/>
      <c r="AF50" s="1565"/>
      <c r="AG50" s="1565"/>
      <c r="BF50" s="139"/>
    </row>
    <row r="51" spans="2:92" x14ac:dyDescent="0.25">
      <c r="B51" s="138"/>
      <c r="BF51" s="139"/>
      <c r="BP51" s="275"/>
      <c r="CN51" s="277"/>
    </row>
    <row r="52" spans="2:92" ht="15.75" thickBot="1" x14ac:dyDescent="0.3">
      <c r="B52" s="265"/>
      <c r="C52" s="266"/>
      <c r="D52" s="266"/>
      <c r="E52" s="266"/>
      <c r="F52" s="266"/>
      <c r="G52" s="266"/>
      <c r="H52" s="266"/>
      <c r="I52" s="266"/>
      <c r="J52" s="266"/>
      <c r="K52" s="266"/>
      <c r="L52" s="266"/>
      <c r="M52" s="266"/>
      <c r="N52" s="266"/>
      <c r="O52" s="266"/>
      <c r="P52" s="266"/>
      <c r="Q52" s="266"/>
      <c r="R52" s="266"/>
      <c r="S52" s="266"/>
      <c r="T52" s="266"/>
      <c r="U52" s="266"/>
      <c r="V52" s="266"/>
      <c r="W52" s="266"/>
      <c r="X52" s="266"/>
      <c r="Y52" s="266"/>
      <c r="Z52" s="266"/>
      <c r="AA52" s="266"/>
      <c r="AB52" s="266"/>
      <c r="AC52" s="266"/>
      <c r="AD52" s="266"/>
      <c r="AE52" s="266"/>
      <c r="AF52" s="266"/>
      <c r="AG52" s="266"/>
      <c r="AH52" s="266"/>
      <c r="AI52" s="266"/>
      <c r="AJ52" s="266"/>
      <c r="AK52" s="266"/>
      <c r="AL52" s="266"/>
      <c r="AM52" s="266"/>
      <c r="AN52" s="266"/>
      <c r="AO52" s="266"/>
      <c r="AP52" s="266"/>
      <c r="AQ52" s="266"/>
      <c r="AR52" s="266"/>
      <c r="AS52" s="266"/>
      <c r="AT52" s="266"/>
      <c r="AU52" s="266"/>
      <c r="AV52" s="266"/>
      <c r="AW52" s="266"/>
      <c r="AX52" s="266"/>
      <c r="AY52" s="266"/>
      <c r="AZ52" s="266"/>
      <c r="BA52" s="266"/>
      <c r="BB52" s="266"/>
      <c r="BC52" s="266"/>
      <c r="BD52" s="266"/>
      <c r="BE52" s="266"/>
      <c r="BF52" s="267"/>
    </row>
    <row r="53" spans="2:92" ht="18.75" x14ac:dyDescent="0.3">
      <c r="B53" s="1570" t="s">
        <v>681</v>
      </c>
      <c r="C53" s="1571"/>
      <c r="D53" s="1571"/>
      <c r="E53" s="1571"/>
      <c r="F53" s="1571"/>
      <c r="G53" s="1571"/>
      <c r="H53" s="1571"/>
      <c r="I53" s="1571"/>
      <c r="J53" s="1571"/>
      <c r="K53" s="1571"/>
      <c r="L53" s="1571"/>
      <c r="M53" s="1571"/>
      <c r="N53" s="1571"/>
      <c r="O53" s="1571"/>
      <c r="P53" s="1571"/>
      <c r="Q53" s="1571"/>
      <c r="R53" s="1571"/>
      <c r="S53" s="1571"/>
      <c r="T53" s="1571"/>
      <c r="U53" s="1571"/>
      <c r="V53" s="1571"/>
      <c r="W53" s="1571"/>
      <c r="X53" s="1571"/>
      <c r="Y53" s="1571"/>
      <c r="Z53" s="1571"/>
      <c r="AA53" s="1571"/>
      <c r="AB53" s="1571"/>
      <c r="AC53" s="1571"/>
      <c r="AD53" s="1571"/>
      <c r="AE53" s="1571"/>
      <c r="AF53" s="1571"/>
      <c r="AG53" s="1571"/>
      <c r="AH53" s="1571"/>
      <c r="AI53" s="1571"/>
      <c r="AJ53" s="1571"/>
      <c r="AK53" s="1571"/>
      <c r="AL53" s="1571"/>
      <c r="AM53" s="1571"/>
      <c r="AN53" s="1571"/>
      <c r="AO53" s="1571"/>
      <c r="AP53" s="1571"/>
      <c r="AQ53" s="1571"/>
      <c r="AR53" s="1571"/>
      <c r="AS53" s="1571"/>
      <c r="AT53" s="1571"/>
      <c r="AU53" s="1571"/>
      <c r="AV53" s="1571"/>
      <c r="AW53" s="1571"/>
      <c r="AX53" s="1571"/>
      <c r="AY53" s="1571"/>
      <c r="AZ53" s="1571"/>
      <c r="BA53" s="1571"/>
      <c r="BB53" s="1571"/>
      <c r="BC53" s="1571"/>
      <c r="BD53" s="1571"/>
      <c r="BE53" s="1571"/>
      <c r="BF53" s="1572"/>
    </row>
    <row r="54" spans="2:92" x14ac:dyDescent="0.25">
      <c r="B54" s="1574" t="s">
        <v>696</v>
      </c>
      <c r="C54" s="1575"/>
      <c r="D54" s="1575"/>
      <c r="E54" s="1575"/>
      <c r="F54" s="1575"/>
      <c r="G54" s="1575"/>
      <c r="H54" s="1575"/>
      <c r="I54" s="1575"/>
      <c r="J54" s="1575"/>
      <c r="K54" s="1575"/>
      <c r="L54" s="1575"/>
      <c r="M54" s="1575"/>
      <c r="N54" s="1575"/>
      <c r="O54" s="1575"/>
      <c r="P54" s="1575"/>
      <c r="Q54" s="1575"/>
      <c r="R54" s="1575"/>
      <c r="S54" s="1575"/>
      <c r="T54" s="1575"/>
      <c r="U54" s="1575"/>
      <c r="V54" s="1575"/>
      <c r="W54" s="1575"/>
      <c r="X54" s="1575"/>
      <c r="Y54" s="1575"/>
      <c r="Z54" s="1575"/>
      <c r="AA54" s="1575"/>
      <c r="AB54" s="1575"/>
      <c r="AC54" s="1575"/>
      <c r="AD54" s="1575"/>
      <c r="AE54" s="1575"/>
      <c r="AF54" s="1575"/>
      <c r="AG54" s="1575"/>
      <c r="AH54" s="1575"/>
      <c r="AI54" s="1575"/>
      <c r="AJ54" s="1575"/>
      <c r="AK54" s="1575"/>
      <c r="AL54" s="1575"/>
      <c r="AM54" s="1575"/>
      <c r="AN54" s="1575"/>
      <c r="AO54" s="1575"/>
      <c r="AP54" s="1575"/>
      <c r="AQ54" s="1575"/>
      <c r="AR54" s="1575"/>
      <c r="AS54" s="1575"/>
      <c r="AT54" s="1575"/>
      <c r="AU54" s="1575"/>
      <c r="AV54" s="1575"/>
      <c r="AW54" s="1575"/>
      <c r="AX54" s="1575"/>
      <c r="AY54" s="1575"/>
      <c r="AZ54" s="1575"/>
      <c r="BA54" s="1575"/>
      <c r="BB54" s="1575"/>
      <c r="BC54" s="1575"/>
      <c r="BD54" s="1575"/>
      <c r="BE54" s="1575"/>
      <c r="BF54" s="1576"/>
      <c r="BP54" s="275"/>
    </row>
    <row r="55" spans="2:92" x14ac:dyDescent="0.25">
      <c r="B55" s="138"/>
      <c r="AC55" s="280"/>
      <c r="AD55" s="280"/>
      <c r="AE55" s="280"/>
      <c r="AF55" s="280"/>
      <c r="AG55" s="280"/>
      <c r="AH55" s="280"/>
      <c r="AK55" s="1542"/>
      <c r="AL55" s="1542"/>
      <c r="AM55" s="1542"/>
      <c r="AN55" s="1542"/>
      <c r="AO55" s="1425"/>
      <c r="AP55" s="1425"/>
      <c r="AQ55" s="1425"/>
      <c r="AR55" s="135"/>
      <c r="AS55" s="135"/>
      <c r="AT55" s="1425"/>
      <c r="AU55" s="1425"/>
      <c r="AV55" s="1425"/>
      <c r="AW55" s="135"/>
      <c r="AX55" s="135"/>
      <c r="AY55" s="1425"/>
      <c r="AZ55" s="1425"/>
      <c r="BA55" s="1425"/>
      <c r="BB55" s="135"/>
      <c r="BC55" s="135"/>
      <c r="BD55" s="1425"/>
      <c r="BE55" s="1425"/>
      <c r="BF55" s="1560"/>
      <c r="BP55" s="281"/>
    </row>
    <row r="56" spans="2:92" x14ac:dyDescent="0.25">
      <c r="B56" s="138"/>
      <c r="C56" s="1455" t="s">
        <v>103</v>
      </c>
      <c r="D56" s="1455"/>
      <c r="E56" s="1455"/>
      <c r="F56" s="1455"/>
      <c r="G56" s="1455"/>
      <c r="H56" s="1455"/>
      <c r="I56" s="1455"/>
      <c r="J56" s="1455"/>
      <c r="K56" s="1455"/>
      <c r="L56" s="1455"/>
      <c r="M56" s="1455"/>
      <c r="N56" s="1455"/>
      <c r="O56" s="1455"/>
      <c r="P56" s="1455"/>
      <c r="Q56" s="1455"/>
      <c r="R56" s="1455"/>
      <c r="S56" s="1455"/>
      <c r="T56" s="1455"/>
      <c r="U56" s="1455"/>
      <c r="V56" s="1455"/>
      <c r="W56" s="1455"/>
      <c r="X56" s="1455"/>
      <c r="Y56" s="1455"/>
      <c r="Z56" s="1455"/>
      <c r="AC56" s="1553" t="str">
        <f>'PIM Model'!$AD$11</f>
        <v/>
      </c>
      <c r="AD56" s="1553"/>
      <c r="AE56" s="1553" t="str">
        <f>'PIM Model'!$D$11</f>
        <v>%</v>
      </c>
      <c r="AF56" s="1553"/>
      <c r="AG56" s="1553" t="str">
        <f>'PIM Model'!$D$11</f>
        <v>%</v>
      </c>
      <c r="AH56" s="1553"/>
      <c r="AI56" s="1537" t="str">
        <f>'PIM Model'!$D$11</f>
        <v>%</v>
      </c>
      <c r="AJ56" s="1537"/>
      <c r="AK56" s="135"/>
      <c r="AL56" s="135"/>
      <c r="AM56" s="135"/>
      <c r="AN56" s="135"/>
      <c r="AO56" s="1425"/>
      <c r="AP56" s="1425"/>
      <c r="AQ56" s="1425"/>
      <c r="AR56" s="135"/>
      <c r="AS56" s="135"/>
      <c r="AT56" s="1425"/>
      <c r="AU56" s="1425"/>
      <c r="AV56" s="1425"/>
      <c r="AW56" s="135"/>
      <c r="AX56" s="135"/>
      <c r="AY56" s="1425"/>
      <c r="AZ56" s="1425"/>
      <c r="BA56" s="1425"/>
      <c r="BB56" s="135"/>
      <c r="BC56" s="135"/>
      <c r="BD56" s="1425"/>
      <c r="BE56" s="1425"/>
      <c r="BF56" s="1560"/>
      <c r="BP56" s="275"/>
    </row>
    <row r="57" spans="2:92" x14ac:dyDescent="0.25">
      <c r="B57" s="138"/>
      <c r="C57" s="1455" t="s">
        <v>102</v>
      </c>
      <c r="D57" s="1455"/>
      <c r="E57" s="1455"/>
      <c r="F57" s="1455"/>
      <c r="G57" s="1455"/>
      <c r="H57" s="1455"/>
      <c r="I57" s="1455"/>
      <c r="J57" s="1455"/>
      <c r="K57" s="1455"/>
      <c r="L57" s="1455"/>
      <c r="M57" s="1455"/>
      <c r="N57" s="1455"/>
      <c r="O57" s="1455"/>
      <c r="P57" s="1455"/>
      <c r="Q57" s="1455"/>
      <c r="R57" s="1455"/>
      <c r="S57" s="1455"/>
      <c r="T57" s="1455"/>
      <c r="U57" s="1455"/>
      <c r="V57" s="1455"/>
      <c r="W57" s="1455"/>
      <c r="X57" s="1455"/>
      <c r="Y57" s="1455"/>
      <c r="Z57" s="1455"/>
      <c r="AC57" s="1540" t="str">
        <f>'PIM Model'!$AD$13</f>
        <v/>
      </c>
      <c r="AD57" s="1540"/>
      <c r="AE57" s="1540" t="str">
        <f>'PIM Model'!$D$13</f>
        <v>%</v>
      </c>
      <c r="AF57" s="1540"/>
      <c r="AG57" s="1540" t="str">
        <f>'PIM Model'!$D$13</f>
        <v>%</v>
      </c>
      <c r="AH57" s="1540"/>
      <c r="AI57" s="1537" t="str">
        <f>'PIM Model'!$D$13</f>
        <v>%</v>
      </c>
      <c r="AJ57" s="1537"/>
      <c r="AK57" s="135"/>
      <c r="AL57" s="135"/>
      <c r="AM57" s="135"/>
      <c r="AN57" s="135"/>
      <c r="AO57" s="135"/>
      <c r="AP57" s="135"/>
      <c r="AQ57" s="135"/>
      <c r="AR57" s="135"/>
      <c r="AS57" s="135"/>
      <c r="AT57" s="135"/>
      <c r="AU57" s="135"/>
      <c r="AV57" s="135"/>
      <c r="AW57" s="135"/>
      <c r="AX57" s="135"/>
      <c r="AY57" s="135"/>
      <c r="AZ57" s="135"/>
      <c r="BA57" s="135"/>
      <c r="BB57" s="135"/>
      <c r="BC57" s="135"/>
      <c r="BD57" s="135"/>
      <c r="BE57" s="135"/>
      <c r="BF57" s="628"/>
    </row>
    <row r="58" spans="2:92" x14ac:dyDescent="0.25">
      <c r="B58" s="138"/>
      <c r="C58" s="1455" t="s">
        <v>101</v>
      </c>
      <c r="D58" s="1455"/>
      <c r="E58" s="1455"/>
      <c r="F58" s="1455"/>
      <c r="G58" s="1455"/>
      <c r="H58" s="1455"/>
      <c r="I58" s="1455"/>
      <c r="J58" s="1455"/>
      <c r="K58" s="1455"/>
      <c r="L58" s="1455"/>
      <c r="M58" s="1455"/>
      <c r="N58" s="1455"/>
      <c r="O58" s="1455"/>
      <c r="P58" s="1455"/>
      <c r="Q58" s="1455"/>
      <c r="R58" s="1455"/>
      <c r="S58" s="1455"/>
      <c r="T58" s="1455"/>
      <c r="U58" s="1455"/>
      <c r="V58" s="1455"/>
      <c r="W58" s="1455"/>
      <c r="X58" s="1455"/>
      <c r="Y58" s="1455"/>
      <c r="Z58" s="1455"/>
      <c r="AC58" s="1540" t="str">
        <f>'PIM Model'!$AD$19</f>
        <v/>
      </c>
      <c r="AD58" s="1540"/>
      <c r="AE58" s="1540" t="str">
        <f>'PIM Model'!$D$19</f>
        <v>%</v>
      </c>
      <c r="AF58" s="1540"/>
      <c r="AG58" s="1540" t="str">
        <f>'PIM Model'!$D$19</f>
        <v>%</v>
      </c>
      <c r="AH58" s="1540"/>
      <c r="AI58" s="1537" t="str">
        <f>'PIM Model'!$D$19</f>
        <v>%</v>
      </c>
      <c r="AJ58" s="1537"/>
      <c r="AK58" s="135"/>
      <c r="AL58" s="135"/>
      <c r="AM58" s="135"/>
      <c r="AN58" s="135"/>
      <c r="AO58" s="135"/>
      <c r="AP58" s="135"/>
      <c r="AQ58" s="135"/>
      <c r="AR58" s="135"/>
      <c r="AS58" s="135"/>
      <c r="AT58" s="135"/>
      <c r="AU58" s="135"/>
      <c r="AV58" s="135"/>
      <c r="AW58" s="135"/>
      <c r="AX58" s="135"/>
      <c r="AY58" s="135"/>
      <c r="AZ58" s="135"/>
      <c r="BA58" s="135"/>
      <c r="BB58" s="135"/>
      <c r="BC58" s="135"/>
      <c r="BD58" s="135"/>
      <c r="BE58" s="135"/>
      <c r="BF58" s="628"/>
      <c r="BP58" s="275"/>
    </row>
    <row r="59" spans="2:92" x14ac:dyDescent="0.25">
      <c r="B59" s="138"/>
      <c r="C59" s="1455" t="s">
        <v>100</v>
      </c>
      <c r="D59" s="1455"/>
      <c r="E59" s="1455"/>
      <c r="F59" s="1455"/>
      <c r="G59" s="1455"/>
      <c r="H59" s="1455"/>
      <c r="I59" s="1455"/>
      <c r="J59" s="1455"/>
      <c r="K59" s="1455"/>
      <c r="L59" s="1455"/>
      <c r="M59" s="1455"/>
      <c r="N59" s="1455"/>
      <c r="O59" s="1455"/>
      <c r="P59" s="1455"/>
      <c r="Q59" s="1455"/>
      <c r="R59" s="1455"/>
      <c r="S59" s="1455"/>
      <c r="T59" s="1455"/>
      <c r="U59" s="1455"/>
      <c r="V59" s="1455"/>
      <c r="W59" s="1455"/>
      <c r="X59" s="1455"/>
      <c r="Y59" s="1455"/>
      <c r="Z59" s="1455"/>
      <c r="AC59" s="1540" t="str">
        <f>'PIM Model'!$AD$14</f>
        <v/>
      </c>
      <c r="AD59" s="1540"/>
      <c r="AE59" s="1540" t="str">
        <f>'PIM Model'!$D$14</f>
        <v>%</v>
      </c>
      <c r="AF59" s="1540"/>
      <c r="AG59" s="1540" t="str">
        <f>'PIM Model'!$D$14</f>
        <v>%</v>
      </c>
      <c r="AH59" s="1540"/>
      <c r="AI59" s="1537" t="str">
        <f>'PIM Model'!$D$14</f>
        <v>%</v>
      </c>
      <c r="AJ59" s="1537"/>
      <c r="AK59" s="135"/>
      <c r="AL59" s="135"/>
      <c r="AM59" s="135"/>
      <c r="AN59" s="135"/>
      <c r="AO59" s="135"/>
      <c r="AP59" s="135"/>
      <c r="AQ59" s="135"/>
      <c r="AR59" s="135"/>
      <c r="AS59" s="135"/>
      <c r="AT59" s="135"/>
      <c r="AU59" s="135"/>
      <c r="AV59" s="135"/>
      <c r="AW59" s="135"/>
      <c r="AX59" s="135"/>
      <c r="AY59" s="135"/>
      <c r="AZ59" s="135"/>
      <c r="BA59" s="135"/>
      <c r="BB59" s="135"/>
      <c r="BC59" s="135"/>
      <c r="BD59" s="135"/>
      <c r="BE59" s="135"/>
      <c r="BF59" s="628"/>
    </row>
    <row r="60" spans="2:92" x14ac:dyDescent="0.25">
      <c r="B60" s="138"/>
      <c r="C60" s="1455" t="s">
        <v>104</v>
      </c>
      <c r="D60" s="1455"/>
      <c r="E60" s="1455"/>
      <c r="F60" s="1455"/>
      <c r="G60" s="1455"/>
      <c r="H60" s="1455"/>
      <c r="I60" s="1455"/>
      <c r="J60" s="1455"/>
      <c r="K60" s="1455"/>
      <c r="L60" s="1455"/>
      <c r="M60" s="1455"/>
      <c r="N60" s="1455"/>
      <c r="O60" s="1455"/>
      <c r="P60" s="1455"/>
      <c r="Q60" s="1455"/>
      <c r="R60" s="1455"/>
      <c r="S60" s="1455"/>
      <c r="T60" s="1455"/>
      <c r="U60" s="1455"/>
      <c r="V60" s="1455"/>
      <c r="W60" s="1455"/>
      <c r="X60" s="1455"/>
      <c r="Y60" s="1455"/>
      <c r="Z60" s="1455"/>
      <c r="AC60" s="1540" t="str">
        <f>'PIM Model'!$AD$15</f>
        <v/>
      </c>
      <c r="AD60" s="1540"/>
      <c r="AE60" s="1540" t="str">
        <f>'PIM Model'!$D$15</f>
        <v>%</v>
      </c>
      <c r="AF60" s="1540"/>
      <c r="AG60" s="1540" t="str">
        <f>'PIM Model'!$D$15</f>
        <v>%</v>
      </c>
      <c r="AH60" s="1540"/>
      <c r="AI60" s="1537" t="str">
        <f>'PIM Model'!$D$15</f>
        <v>%</v>
      </c>
      <c r="AJ60" s="1537"/>
      <c r="AK60" s="135"/>
      <c r="AL60" s="135"/>
      <c r="AM60" s="135"/>
      <c r="AN60" s="135"/>
      <c r="AO60" s="135"/>
      <c r="AP60" s="135"/>
      <c r="AQ60" s="135"/>
      <c r="AR60" s="135"/>
      <c r="AS60" s="135"/>
      <c r="AT60" s="135"/>
      <c r="AU60" s="135"/>
      <c r="AV60" s="135"/>
      <c r="AW60" s="135"/>
      <c r="AX60" s="135"/>
      <c r="AY60" s="135"/>
      <c r="AZ60" s="135"/>
      <c r="BA60" s="135"/>
      <c r="BB60" s="135"/>
      <c r="BC60" s="135"/>
      <c r="BD60" s="135"/>
      <c r="BE60" s="135"/>
      <c r="BF60" s="628"/>
    </row>
    <row r="61" spans="2:92" x14ac:dyDescent="0.25">
      <c r="B61" s="138"/>
      <c r="C61" s="1455" t="s">
        <v>99</v>
      </c>
      <c r="D61" s="1455"/>
      <c r="E61" s="1455"/>
      <c r="F61" s="1455"/>
      <c r="G61" s="1455"/>
      <c r="H61" s="1455"/>
      <c r="I61" s="1455"/>
      <c r="J61" s="1455"/>
      <c r="K61" s="1455"/>
      <c r="L61" s="1455"/>
      <c r="M61" s="1455"/>
      <c r="N61" s="1455"/>
      <c r="O61" s="1455"/>
      <c r="P61" s="1455"/>
      <c r="Q61" s="1455"/>
      <c r="R61" s="1455"/>
      <c r="S61" s="1455"/>
      <c r="T61" s="1455"/>
      <c r="U61" s="1455"/>
      <c r="V61" s="1455"/>
      <c r="W61" s="1455"/>
      <c r="X61" s="1455"/>
      <c r="Y61" s="1455"/>
      <c r="Z61" s="1455"/>
      <c r="AC61" s="1540" t="str">
        <f>'PIM Model'!$AD$10</f>
        <v/>
      </c>
      <c r="AD61" s="1540"/>
      <c r="AE61" s="1540" t="str">
        <f>'PIM Model'!$D$10</f>
        <v>%</v>
      </c>
      <c r="AF61" s="1540"/>
      <c r="AG61" s="1540" t="str">
        <f>'PIM Model'!$D$10</f>
        <v>%</v>
      </c>
      <c r="AH61" s="1540"/>
      <c r="AI61" s="1537" t="str">
        <f>'PIM Model'!$D$10</f>
        <v>%</v>
      </c>
      <c r="AJ61" s="1537"/>
      <c r="AK61" s="135"/>
      <c r="AL61" s="135"/>
      <c r="AM61" s="135"/>
      <c r="AN61" s="135"/>
      <c r="AO61" s="135"/>
      <c r="AP61" s="135"/>
      <c r="AQ61" s="135"/>
      <c r="AR61" s="135"/>
      <c r="AS61" s="135"/>
      <c r="AT61" s="135"/>
      <c r="AU61" s="135"/>
      <c r="AV61" s="135"/>
      <c r="AW61" s="135"/>
      <c r="AX61" s="135"/>
      <c r="AY61" s="135"/>
      <c r="AZ61" s="135"/>
      <c r="BA61" s="135"/>
      <c r="BB61" s="135"/>
      <c r="BC61" s="135"/>
      <c r="BD61" s="135"/>
      <c r="BE61" s="135"/>
      <c r="BF61" s="628"/>
    </row>
    <row r="62" spans="2:92" x14ac:dyDescent="0.25">
      <c r="B62" s="138"/>
      <c r="C62" s="1381" t="s">
        <v>98</v>
      </c>
      <c r="D62" s="1381"/>
      <c r="E62" s="1381"/>
      <c r="F62" s="1381"/>
      <c r="G62" s="1381"/>
      <c r="H62" s="1381"/>
      <c r="I62" s="1381"/>
      <c r="J62" s="1381"/>
      <c r="K62" s="1381"/>
      <c r="L62" s="1381"/>
      <c r="M62" s="1381"/>
      <c r="N62" s="1381"/>
      <c r="O62" s="1381"/>
      <c r="P62" s="1381"/>
      <c r="Q62" s="1381"/>
      <c r="R62" s="1381"/>
      <c r="S62" s="1381"/>
      <c r="T62" s="1381"/>
      <c r="U62" s="1381"/>
      <c r="V62" s="1381"/>
      <c r="W62" s="1381"/>
      <c r="X62" s="1381"/>
      <c r="Y62" s="1381"/>
      <c r="Z62" s="1381"/>
      <c r="AC62" s="1540" t="str">
        <f>'PIM Model'!$AD$16</f>
        <v/>
      </c>
      <c r="AD62" s="1540"/>
      <c r="AE62" s="1540" t="str">
        <f>'PIM Model'!$D$16</f>
        <v>%</v>
      </c>
      <c r="AF62" s="1540"/>
      <c r="AG62" s="1540" t="str">
        <f>'PIM Model'!$D$16</f>
        <v>%</v>
      </c>
      <c r="AH62" s="1540"/>
      <c r="AI62" s="1537" t="str">
        <f>'PIM Model'!$D$16</f>
        <v>%</v>
      </c>
      <c r="AJ62" s="1537"/>
      <c r="AK62" s="135"/>
      <c r="AL62" s="135"/>
      <c r="AM62" s="135"/>
      <c r="AN62" s="135"/>
      <c r="AO62" s="135"/>
      <c r="AP62" s="135"/>
      <c r="AQ62" s="135"/>
      <c r="AR62" s="135"/>
      <c r="AS62" s="135"/>
      <c r="AT62" s="135"/>
      <c r="AU62" s="135"/>
      <c r="AV62" s="135"/>
      <c r="AW62" s="135"/>
      <c r="AX62" s="135"/>
      <c r="AY62" s="135"/>
      <c r="AZ62" s="135"/>
      <c r="BA62" s="135"/>
      <c r="BB62" s="135"/>
      <c r="BC62" s="135"/>
      <c r="BD62" s="135"/>
      <c r="BE62" s="135"/>
      <c r="BF62" s="628"/>
    </row>
    <row r="63" spans="2:92" x14ac:dyDescent="0.25">
      <c r="B63" s="138"/>
      <c r="C63" s="1381" t="s">
        <v>97</v>
      </c>
      <c r="D63" s="1381"/>
      <c r="E63" s="1381"/>
      <c r="F63" s="1381"/>
      <c r="G63" s="1381"/>
      <c r="H63" s="1381"/>
      <c r="I63" s="1381"/>
      <c r="J63" s="1381"/>
      <c r="K63" s="1381"/>
      <c r="L63" s="1381"/>
      <c r="M63" s="1381"/>
      <c r="N63" s="1381"/>
      <c r="O63" s="1381"/>
      <c r="P63" s="1381"/>
      <c r="Q63" s="1381"/>
      <c r="R63" s="1381"/>
      <c r="S63" s="1381"/>
      <c r="T63" s="1381"/>
      <c r="U63" s="1381"/>
      <c r="V63" s="1381"/>
      <c r="W63" s="1381"/>
      <c r="X63" s="1381"/>
      <c r="Y63" s="1381"/>
      <c r="Z63" s="1381"/>
      <c r="AC63" s="1540" t="str">
        <f>'PIM Model'!$AD$20</f>
        <v/>
      </c>
      <c r="AD63" s="1540"/>
      <c r="AE63" s="1540" t="str">
        <f>'PIM Model'!$D$20</f>
        <v>%</v>
      </c>
      <c r="AF63" s="1540"/>
      <c r="AG63" s="1540" t="str">
        <f>'PIM Model'!$D$20</f>
        <v>%</v>
      </c>
      <c r="AH63" s="1540"/>
      <c r="AI63" s="1537" t="str">
        <f>'PIM Model'!$D$20</f>
        <v>%</v>
      </c>
      <c r="AJ63" s="1537"/>
      <c r="AK63" s="135"/>
      <c r="AL63" s="135"/>
      <c r="AM63" s="135"/>
      <c r="AN63" s="135"/>
      <c r="AO63" s="135"/>
      <c r="AP63" s="135"/>
      <c r="AQ63" s="135"/>
      <c r="AR63" s="135"/>
      <c r="AS63" s="135"/>
      <c r="AT63" s="135"/>
      <c r="AU63" s="135"/>
      <c r="AV63" s="135"/>
      <c r="AW63" s="135"/>
      <c r="AX63" s="135"/>
      <c r="AY63" s="135"/>
      <c r="AZ63" s="135"/>
      <c r="BA63" s="135"/>
      <c r="BB63" s="135"/>
      <c r="BC63" s="135"/>
      <c r="BD63" s="135"/>
      <c r="BE63" s="135"/>
      <c r="BF63" s="628"/>
    </row>
    <row r="64" spans="2:92" x14ac:dyDescent="0.25">
      <c r="B64" s="138"/>
      <c r="C64" s="1381" t="s">
        <v>96</v>
      </c>
      <c r="D64" s="1381"/>
      <c r="E64" s="1381"/>
      <c r="F64" s="1381"/>
      <c r="G64" s="1381"/>
      <c r="H64" s="1381"/>
      <c r="I64" s="1381"/>
      <c r="J64" s="1381"/>
      <c r="K64" s="1381"/>
      <c r="L64" s="1381"/>
      <c r="M64" s="1381"/>
      <c r="N64" s="1381"/>
      <c r="O64" s="1381"/>
      <c r="P64" s="1381"/>
      <c r="Q64" s="1381"/>
      <c r="R64" s="1381"/>
      <c r="S64" s="1381"/>
      <c r="T64" s="1381"/>
      <c r="U64" s="1381"/>
      <c r="V64" s="1381"/>
      <c r="W64" s="1381"/>
      <c r="X64" s="1381"/>
      <c r="Y64" s="1381"/>
      <c r="Z64" s="1381"/>
      <c r="AC64" s="1540" t="str">
        <f>'PIM Model'!$AD$18</f>
        <v/>
      </c>
      <c r="AD64" s="1540"/>
      <c r="AE64" s="1540" t="str">
        <f>'PIM Model'!$D$18</f>
        <v>%</v>
      </c>
      <c r="AF64" s="1540"/>
      <c r="AG64" s="1540" t="str">
        <f>'PIM Model'!$D$18</f>
        <v>%</v>
      </c>
      <c r="AH64" s="1540"/>
      <c r="AI64" s="1537" t="str">
        <f>'PIM Model'!$D$18</f>
        <v>%</v>
      </c>
      <c r="AJ64" s="1537"/>
      <c r="AK64" s="135"/>
      <c r="AL64" s="135"/>
      <c r="AM64" s="135"/>
      <c r="AN64" s="135"/>
      <c r="AO64" s="135"/>
      <c r="AP64" s="135"/>
      <c r="AQ64" s="135"/>
      <c r="AR64" s="135"/>
      <c r="AS64" s="135"/>
      <c r="AT64" s="135"/>
      <c r="AU64" s="135"/>
      <c r="AV64" s="135"/>
      <c r="AW64" s="135"/>
      <c r="AX64" s="135"/>
      <c r="AY64" s="135"/>
      <c r="AZ64" s="135"/>
      <c r="BA64" s="135"/>
      <c r="BB64" s="135"/>
      <c r="BC64" s="135"/>
      <c r="BD64" s="135"/>
      <c r="BE64" s="135"/>
      <c r="BF64" s="628"/>
    </row>
    <row r="65" spans="2:70" x14ac:dyDescent="0.25">
      <c r="B65" s="138"/>
      <c r="C65" s="1381" t="s">
        <v>95</v>
      </c>
      <c r="D65" s="1381"/>
      <c r="E65" s="1381"/>
      <c r="F65" s="1381"/>
      <c r="G65" s="1381"/>
      <c r="H65" s="1381"/>
      <c r="I65" s="1381"/>
      <c r="J65" s="1381"/>
      <c r="K65" s="1381"/>
      <c r="L65" s="1381"/>
      <c r="M65" s="1381"/>
      <c r="N65" s="1381"/>
      <c r="O65" s="1381"/>
      <c r="P65" s="1381"/>
      <c r="Q65" s="1381"/>
      <c r="R65" s="1381"/>
      <c r="S65" s="1381"/>
      <c r="T65" s="1381"/>
      <c r="U65" s="1381"/>
      <c r="V65" s="1381"/>
      <c r="W65" s="1381"/>
      <c r="X65" s="1381"/>
      <c r="Y65" s="1381"/>
      <c r="Z65" s="1381"/>
      <c r="AC65" s="1540" t="str">
        <f>'PIM Model'!$AD$17</f>
        <v/>
      </c>
      <c r="AD65" s="1540"/>
      <c r="AE65" s="1540" t="str">
        <f>'PIM Model'!$D$17</f>
        <v>%</v>
      </c>
      <c r="AF65" s="1540"/>
      <c r="AG65" s="1540" t="str">
        <f>'PIM Model'!$D$17</f>
        <v>%</v>
      </c>
      <c r="AH65" s="1540"/>
      <c r="AI65" s="1537" t="str">
        <f>'PIM Model'!$D$17</f>
        <v>%</v>
      </c>
      <c r="AJ65" s="1537"/>
      <c r="AK65" s="135"/>
      <c r="AL65" s="135"/>
      <c r="AM65" s="135"/>
      <c r="AN65" s="135"/>
      <c r="AO65" s="135"/>
      <c r="AP65" s="135"/>
      <c r="AQ65" s="135"/>
      <c r="AR65" s="135"/>
      <c r="AS65" s="135"/>
      <c r="AT65" s="135"/>
      <c r="AU65" s="135"/>
      <c r="AV65" s="135"/>
      <c r="AW65" s="135"/>
      <c r="AX65" s="135"/>
      <c r="AY65" s="135"/>
      <c r="AZ65" s="135"/>
      <c r="BA65" s="135"/>
      <c r="BB65" s="135"/>
      <c r="BC65" s="135"/>
      <c r="BD65" s="135"/>
      <c r="BE65" s="135"/>
      <c r="BF65" s="628"/>
    </row>
    <row r="66" spans="2:70" x14ac:dyDescent="0.25">
      <c r="B66" s="138"/>
      <c r="C66" s="1381" t="s">
        <v>94</v>
      </c>
      <c r="D66" s="1381"/>
      <c r="E66" s="1381"/>
      <c r="F66" s="1381"/>
      <c r="G66" s="1381"/>
      <c r="H66" s="1381"/>
      <c r="I66" s="1381"/>
      <c r="J66" s="1381"/>
      <c r="K66" s="1381"/>
      <c r="L66" s="1381"/>
      <c r="M66" s="1381"/>
      <c r="N66" s="1381"/>
      <c r="O66" s="1381"/>
      <c r="P66" s="1381"/>
      <c r="Q66" s="1381"/>
      <c r="R66" s="1381"/>
      <c r="S66" s="1381"/>
      <c r="T66" s="1381"/>
      <c r="U66" s="1381"/>
      <c r="V66" s="1381"/>
      <c r="W66" s="1381"/>
      <c r="X66" s="1381"/>
      <c r="Y66" s="1381"/>
      <c r="Z66" s="1381"/>
      <c r="AC66" s="1540" t="str">
        <f>'PIM Model'!$AD$27</f>
        <v/>
      </c>
      <c r="AD66" s="1540"/>
      <c r="AE66" s="1540" t="str">
        <f>'PIM Model'!$D$27</f>
        <v>%</v>
      </c>
      <c r="AF66" s="1540"/>
      <c r="AG66" s="1540" t="str">
        <f>'PIM Model'!$D$27</f>
        <v>%</v>
      </c>
      <c r="AH66" s="1540"/>
      <c r="AI66" s="1537" t="str">
        <f>'PIM Model'!$D$27</f>
        <v>%</v>
      </c>
      <c r="AJ66" s="1537"/>
      <c r="AK66" s="135"/>
      <c r="AL66" s="135"/>
      <c r="AM66" s="135"/>
      <c r="AN66" s="135"/>
      <c r="AO66" s="135"/>
      <c r="AP66" s="135"/>
      <c r="AQ66" s="135"/>
      <c r="AR66" s="135"/>
      <c r="AS66" s="135"/>
      <c r="AT66" s="135"/>
      <c r="AU66" s="135"/>
      <c r="AV66" s="135"/>
      <c r="AW66" s="135"/>
      <c r="AX66" s="135"/>
      <c r="AY66" s="135"/>
      <c r="AZ66" s="135"/>
      <c r="BA66" s="135"/>
      <c r="BB66" s="135"/>
      <c r="BC66" s="135"/>
      <c r="BD66" s="135"/>
      <c r="BE66" s="135"/>
      <c r="BF66" s="628"/>
    </row>
    <row r="67" spans="2:70" x14ac:dyDescent="0.25">
      <c r="B67" s="138"/>
      <c r="E67" s="1537" t="s">
        <v>695</v>
      </c>
      <c r="F67" s="1537"/>
      <c r="G67" s="1537"/>
      <c r="H67" s="1537"/>
      <c r="I67" s="1537"/>
      <c r="J67" s="1537"/>
      <c r="K67" s="1537"/>
      <c r="M67" s="1541" t="s">
        <v>241</v>
      </c>
      <c r="N67" s="1541"/>
      <c r="O67" s="1541"/>
      <c r="P67" t="s">
        <v>651</v>
      </c>
      <c r="S67" s="1539"/>
      <c r="T67" s="1539"/>
      <c r="U67" s="1539"/>
      <c r="V67" s="1537" t="s">
        <v>653</v>
      </c>
      <c r="W67" s="1537"/>
      <c r="AJ67" s="135"/>
      <c r="AK67" s="135"/>
      <c r="AL67" s="135"/>
      <c r="AM67" s="135"/>
      <c r="AN67" s="135"/>
      <c r="AO67" s="135"/>
      <c r="AP67" s="135"/>
      <c r="AQ67" s="135"/>
      <c r="AR67" s="135"/>
      <c r="AS67" s="135"/>
      <c r="AT67" s="135"/>
      <c r="AU67" s="135"/>
      <c r="AV67" s="135"/>
      <c r="AW67" s="135"/>
      <c r="AX67" s="135"/>
      <c r="AY67" s="135"/>
      <c r="AZ67" s="135"/>
      <c r="BA67" s="135"/>
      <c r="BB67" s="135"/>
      <c r="BC67" s="135"/>
      <c r="BD67" s="135"/>
      <c r="BE67" s="135"/>
      <c r="BF67" s="628"/>
    </row>
    <row r="68" spans="2:70" x14ac:dyDescent="0.25">
      <c r="B68" s="138"/>
      <c r="C68" s="1381" t="s">
        <v>93</v>
      </c>
      <c r="D68" s="1381"/>
      <c r="E68" s="1381"/>
      <c r="F68" s="1381"/>
      <c r="G68" s="1381"/>
      <c r="H68" s="1381"/>
      <c r="I68" s="1381"/>
      <c r="J68" s="1381"/>
      <c r="K68" s="1381"/>
      <c r="L68" s="1381"/>
      <c r="M68" s="1381"/>
      <c r="N68" s="1381"/>
      <c r="O68" s="1381"/>
      <c r="P68" s="1381"/>
      <c r="Q68" s="1381"/>
      <c r="R68" s="1381"/>
      <c r="S68" s="1381"/>
      <c r="T68" s="1381"/>
      <c r="U68" s="1381"/>
      <c r="V68" s="1381"/>
      <c r="W68" s="1381"/>
      <c r="X68" s="1381"/>
      <c r="Y68" s="1381"/>
      <c r="Z68" s="1381"/>
      <c r="AC68" s="1540" t="str">
        <f>'PIM Model'!$AD$21</f>
        <v/>
      </c>
      <c r="AD68" s="1540"/>
      <c r="AE68" s="1540" t="str">
        <f>'PIM Model'!$D$21</f>
        <v>%</v>
      </c>
      <c r="AF68" s="1540"/>
      <c r="AG68" s="1540" t="str">
        <f>'PIM Model'!$D$21</f>
        <v>%</v>
      </c>
      <c r="AH68" s="1540"/>
      <c r="AI68" s="1537" t="str">
        <f>'PIM Model'!$D$21</f>
        <v>%</v>
      </c>
      <c r="AJ68" s="1537"/>
      <c r="AK68" s="135"/>
      <c r="AL68" s="135"/>
      <c r="AM68" s="135"/>
      <c r="AN68" s="135"/>
      <c r="AO68" s="135"/>
      <c r="AP68" s="135"/>
      <c r="AQ68" s="135"/>
      <c r="AR68" s="135"/>
      <c r="AS68" s="135"/>
      <c r="AT68" s="135"/>
      <c r="AU68" s="135"/>
      <c r="AV68" s="135"/>
      <c r="AW68" s="135"/>
      <c r="AX68" s="135"/>
      <c r="AY68" s="135"/>
      <c r="AZ68" s="135"/>
      <c r="BA68" s="135"/>
      <c r="BB68" s="135"/>
      <c r="BC68" s="135"/>
      <c r="BD68" s="135"/>
      <c r="BE68" s="135"/>
      <c r="BF68" s="628"/>
    </row>
    <row r="69" spans="2:70" x14ac:dyDescent="0.25">
      <c r="B69" s="138"/>
      <c r="C69" s="1381" t="s">
        <v>92</v>
      </c>
      <c r="D69" s="1381"/>
      <c r="E69" s="1381"/>
      <c r="F69" s="1381"/>
      <c r="G69" s="1381"/>
      <c r="H69" s="1381"/>
      <c r="I69" s="1381"/>
      <c r="J69" s="1381"/>
      <c r="K69" s="1381"/>
      <c r="L69" s="1381"/>
      <c r="M69" s="1381"/>
      <c r="N69" s="1381"/>
      <c r="O69" s="1381"/>
      <c r="P69" s="1381"/>
      <c r="Q69" s="1381"/>
      <c r="R69" s="1381"/>
      <c r="S69" s="1381"/>
      <c r="T69" s="1381"/>
      <c r="U69" s="1381"/>
      <c r="V69" s="1381"/>
      <c r="W69" s="1381"/>
      <c r="X69" s="1381"/>
      <c r="Y69" s="1381"/>
      <c r="Z69" s="1381"/>
      <c r="AC69" s="1540" t="str">
        <f>'PIM Model'!$AD$23</f>
        <v/>
      </c>
      <c r="AD69" s="1540"/>
      <c r="AE69" s="1540" t="str">
        <f>'PIM Model'!$D$23</f>
        <v>%</v>
      </c>
      <c r="AF69" s="1540"/>
      <c r="AG69" s="1540" t="str">
        <f>'PIM Model'!$D$23</f>
        <v>%</v>
      </c>
      <c r="AH69" s="1540"/>
      <c r="AI69" s="1537" t="str">
        <f>'PIM Model'!$D$23</f>
        <v>%</v>
      </c>
      <c r="AJ69" s="1537"/>
      <c r="AK69" s="135"/>
      <c r="AL69" s="135"/>
      <c r="AM69" s="135"/>
      <c r="AN69" s="135"/>
      <c r="AO69" s="135"/>
      <c r="AP69" s="135"/>
      <c r="AQ69" s="135"/>
      <c r="AR69" s="135"/>
      <c r="AS69" s="135"/>
      <c r="AT69" s="135"/>
      <c r="AU69" s="135"/>
      <c r="AV69" s="135"/>
      <c r="AW69" s="135"/>
      <c r="AX69" s="135"/>
      <c r="AY69" s="135"/>
      <c r="AZ69" s="135"/>
      <c r="BA69" s="135"/>
      <c r="BB69" s="135"/>
      <c r="BC69" s="135"/>
      <c r="BD69" s="135"/>
      <c r="BE69" s="135"/>
      <c r="BF69" s="628"/>
    </row>
    <row r="70" spans="2:70" x14ac:dyDescent="0.25">
      <c r="B70" s="138"/>
      <c r="C70" s="1381" t="s">
        <v>91</v>
      </c>
      <c r="D70" s="1381"/>
      <c r="E70" s="1381"/>
      <c r="F70" s="1381"/>
      <c r="G70" s="1381"/>
      <c r="H70" s="1381"/>
      <c r="I70" s="1381"/>
      <c r="J70" s="1381"/>
      <c r="K70" s="1381"/>
      <c r="L70" s="1381"/>
      <c r="M70" s="1381"/>
      <c r="N70" s="1381"/>
      <c r="O70" s="1381"/>
      <c r="P70" s="1381"/>
      <c r="Q70" s="1381"/>
      <c r="R70" s="1381"/>
      <c r="S70" s="1381"/>
      <c r="T70" s="1381"/>
      <c r="U70" s="1381"/>
      <c r="V70" s="1381"/>
      <c r="W70" s="1381"/>
      <c r="X70" s="1381"/>
      <c r="Y70" s="1381"/>
      <c r="Z70" s="1381"/>
      <c r="AC70" s="1540" t="str">
        <f>'PIM Model'!$AD$24</f>
        <v/>
      </c>
      <c r="AD70" s="1540"/>
      <c r="AE70" s="1540" t="str">
        <f>'PIM Model'!$D$24</f>
        <v>%</v>
      </c>
      <c r="AF70" s="1540"/>
      <c r="AG70" s="1540" t="str">
        <f>'PIM Model'!$D$24</f>
        <v>%</v>
      </c>
      <c r="AH70" s="1540"/>
      <c r="AI70" s="1537" t="str">
        <f>'PIM Model'!$D$24</f>
        <v>%</v>
      </c>
      <c r="AJ70" s="1537"/>
      <c r="AK70" s="135"/>
      <c r="AL70" s="135"/>
      <c r="AM70" s="135"/>
      <c r="AN70" s="135"/>
      <c r="AO70" s="1425"/>
      <c r="AP70" s="1425"/>
      <c r="AQ70" s="1425"/>
      <c r="AR70" s="135"/>
      <c r="AS70" s="135"/>
      <c r="AT70" s="1425"/>
      <c r="AU70" s="1425"/>
      <c r="AV70" s="1425"/>
      <c r="AW70" s="135"/>
      <c r="AX70" s="135"/>
      <c r="AY70" s="1425"/>
      <c r="AZ70" s="1425"/>
      <c r="BA70" s="1425"/>
      <c r="BB70" s="135"/>
      <c r="BC70" s="135"/>
      <c r="BD70" s="1425"/>
      <c r="BE70" s="1425"/>
      <c r="BF70" s="1560"/>
    </row>
    <row r="71" spans="2:70" x14ac:dyDescent="0.25">
      <c r="B71" s="138"/>
      <c r="C71" s="1381" t="s">
        <v>90</v>
      </c>
      <c r="D71" s="1381"/>
      <c r="E71" s="1381"/>
      <c r="F71" s="1381"/>
      <c r="G71" s="1381"/>
      <c r="H71" s="1381"/>
      <c r="I71" s="1381"/>
      <c r="J71" s="1381"/>
      <c r="K71" s="1381"/>
      <c r="L71" s="1381"/>
      <c r="M71" s="1381"/>
      <c r="N71" s="1381"/>
      <c r="O71" s="1381"/>
      <c r="P71" s="1381"/>
      <c r="Q71" s="1381"/>
      <c r="R71" s="1381"/>
      <c r="S71" s="1381"/>
      <c r="T71" s="1381"/>
      <c r="U71" s="1381"/>
      <c r="V71" s="1381"/>
      <c r="W71" s="1381"/>
      <c r="X71" s="1381"/>
      <c r="Y71" s="1381"/>
      <c r="Z71" s="1381"/>
      <c r="AC71" s="1540" t="str">
        <f>'PIM Model'!$AD$25</f>
        <v/>
      </c>
      <c r="AD71" s="1540"/>
      <c r="AE71" s="1540" t="str">
        <f>'PIM Model'!$D$25</f>
        <v>%</v>
      </c>
      <c r="AF71" s="1540"/>
      <c r="AG71" s="1540" t="str">
        <f>'PIM Model'!$D$25</f>
        <v>%</v>
      </c>
      <c r="AH71" s="1540"/>
      <c r="AI71" s="1537" t="str">
        <f>'PIM Model'!$D$25</f>
        <v>%</v>
      </c>
      <c r="AJ71" s="1537"/>
      <c r="AK71" s="135"/>
      <c r="AL71" s="135"/>
      <c r="AM71" s="135"/>
      <c r="AN71" s="135"/>
      <c r="AO71" s="1425"/>
      <c r="AP71" s="1425"/>
      <c r="AQ71" s="1425"/>
      <c r="AR71" s="135"/>
      <c r="AS71" s="135"/>
      <c r="AT71" s="1425"/>
      <c r="AU71" s="1425"/>
      <c r="AV71" s="1425"/>
      <c r="AW71" s="135"/>
      <c r="AX71" s="135"/>
      <c r="AY71" s="1425"/>
      <c r="AZ71" s="1425"/>
      <c r="BA71" s="1425"/>
      <c r="BB71" s="135"/>
      <c r="BC71" s="135"/>
      <c r="BD71" s="1425"/>
      <c r="BE71" s="1425"/>
      <c r="BF71" s="1560"/>
    </row>
    <row r="72" spans="2:70" x14ac:dyDescent="0.25">
      <c r="B72" s="138"/>
      <c r="C72" s="1381" t="s">
        <v>89</v>
      </c>
      <c r="D72" s="1381"/>
      <c r="E72" s="1381"/>
      <c r="F72" s="1381"/>
      <c r="G72" s="1381"/>
      <c r="H72" s="1381"/>
      <c r="I72" s="1381"/>
      <c r="J72" s="1381"/>
      <c r="K72" s="1381"/>
      <c r="L72" s="1381"/>
      <c r="M72" s="1381"/>
      <c r="N72" s="1381"/>
      <c r="O72" s="1381"/>
      <c r="P72" s="1381"/>
      <c r="Q72" s="1381"/>
      <c r="R72" s="1381"/>
      <c r="S72" s="1381"/>
      <c r="T72" s="1381"/>
      <c r="U72" s="1381"/>
      <c r="V72" s="1381"/>
      <c r="W72" s="1381"/>
      <c r="X72" s="1381"/>
      <c r="Y72" s="1381"/>
      <c r="Z72" s="1381"/>
      <c r="AC72" s="1540" t="str">
        <f>'PIM Model'!$AD$26</f>
        <v/>
      </c>
      <c r="AD72" s="1540"/>
      <c r="AE72" s="1540" t="str">
        <f>'PIM Model'!$D$26</f>
        <v>%</v>
      </c>
      <c r="AF72" s="1540"/>
      <c r="AG72" s="1540" t="str">
        <f>'PIM Model'!$D$26</f>
        <v>%</v>
      </c>
      <c r="AH72" s="1540"/>
      <c r="AI72" s="1537" t="str">
        <f>'PIM Model'!$D$26</f>
        <v>%</v>
      </c>
      <c r="AJ72" s="1537"/>
      <c r="AK72" s="135"/>
      <c r="AL72" s="135"/>
      <c r="AM72" s="135"/>
      <c r="AN72" s="135"/>
      <c r="AO72" s="1425"/>
      <c r="AP72" s="1425"/>
      <c r="AQ72" s="1425"/>
      <c r="AR72" s="135"/>
      <c r="AS72" s="135"/>
      <c r="AT72" s="1425"/>
      <c r="AU72" s="1425"/>
      <c r="AV72" s="1425"/>
      <c r="AW72" s="135"/>
      <c r="AX72" s="135"/>
      <c r="AY72" s="1425"/>
      <c r="AZ72" s="1425"/>
      <c r="BA72" s="1425"/>
      <c r="BB72" s="135"/>
      <c r="BC72" s="135"/>
      <c r="BD72" s="1425"/>
      <c r="BE72" s="1425"/>
      <c r="BF72" s="1560"/>
    </row>
    <row r="73" spans="2:70" x14ac:dyDescent="0.25">
      <c r="B73" s="138"/>
      <c r="C73" s="1381" t="s">
        <v>88</v>
      </c>
      <c r="D73" s="1381"/>
      <c r="E73" s="1381"/>
      <c r="F73" s="1381"/>
      <c r="G73" s="1381"/>
      <c r="H73" s="1381"/>
      <c r="I73" s="1381"/>
      <c r="J73" s="1381"/>
      <c r="K73" s="1381"/>
      <c r="L73" s="1381"/>
      <c r="M73" s="1381"/>
      <c r="N73" s="1381"/>
      <c r="O73" s="1381"/>
      <c r="P73" s="1381"/>
      <c r="Q73" s="1381"/>
      <c r="R73" s="1381"/>
      <c r="S73" s="1381"/>
      <c r="T73" s="1381"/>
      <c r="U73" s="1381"/>
      <c r="V73" s="1381"/>
      <c r="W73" s="1381"/>
      <c r="X73" s="1381"/>
      <c r="Y73" s="1381"/>
      <c r="Z73" s="1381"/>
      <c r="AC73" s="1540" t="str">
        <f>'PIM Model'!$AD$29</f>
        <v/>
      </c>
      <c r="AD73" s="1540"/>
      <c r="AE73" s="1540" t="str">
        <f>'PIM Model'!$D$29</f>
        <v>%</v>
      </c>
      <c r="AF73" s="1540"/>
      <c r="AG73" s="1540" t="str">
        <f>'PIM Model'!$D$29</f>
        <v>%</v>
      </c>
      <c r="AH73" s="1540"/>
      <c r="AI73" s="1537" t="str">
        <f>'PIM Model'!$D$29</f>
        <v>%</v>
      </c>
      <c r="AJ73" s="1537"/>
      <c r="AK73" s="135"/>
      <c r="AL73" s="135"/>
      <c r="AM73" s="135"/>
      <c r="AN73" s="135"/>
      <c r="AO73" s="1425"/>
      <c r="AP73" s="1425"/>
      <c r="AQ73" s="1425"/>
      <c r="AR73" s="135"/>
      <c r="AS73" s="135"/>
      <c r="AT73" s="1425"/>
      <c r="AU73" s="1425"/>
      <c r="AV73" s="1425"/>
      <c r="AW73" s="135"/>
      <c r="AX73" s="135"/>
      <c r="AY73" s="1425"/>
      <c r="AZ73" s="1425"/>
      <c r="BA73" s="1425"/>
      <c r="BB73" s="135"/>
      <c r="BC73" s="135"/>
      <c r="BD73" s="1425"/>
      <c r="BE73" s="1425"/>
      <c r="BF73" s="1560"/>
    </row>
    <row r="74" spans="2:70" x14ac:dyDescent="0.25">
      <c r="B74" s="138"/>
      <c r="C74" s="1381" t="s">
        <v>87</v>
      </c>
      <c r="D74" s="1381"/>
      <c r="E74" s="1381"/>
      <c r="F74" s="1381"/>
      <c r="G74" s="1381"/>
      <c r="H74" s="1381"/>
      <c r="I74" s="1381"/>
      <c r="J74" s="1381"/>
      <c r="K74" s="1381"/>
      <c r="L74" s="1381"/>
      <c r="M74" s="1381"/>
      <c r="N74" s="1381"/>
      <c r="O74" s="1381"/>
      <c r="P74" s="1381"/>
      <c r="Q74" s="1381"/>
      <c r="R74" s="1381"/>
      <c r="S74" s="1381"/>
      <c r="T74" s="1381"/>
      <c r="U74" s="1381"/>
      <c r="V74" s="1381"/>
      <c r="W74" s="1381"/>
      <c r="X74" s="1381"/>
      <c r="Y74" s="1381"/>
      <c r="Z74" s="1381"/>
      <c r="AC74" s="1540" t="str">
        <f>'PIM Model'!$AD$30</f>
        <v/>
      </c>
      <c r="AD74" s="1540"/>
      <c r="AE74" s="1540" t="str">
        <f>'PIM Model'!$D$30</f>
        <v>%</v>
      </c>
      <c r="AF74" s="1540"/>
      <c r="AG74" s="1540" t="str">
        <f>'PIM Model'!$D$30</f>
        <v>%</v>
      </c>
      <c r="AH74" s="1540"/>
      <c r="AI74" s="1537" t="str">
        <f>'PIM Model'!$D$30</f>
        <v>%</v>
      </c>
      <c r="AJ74" s="1537"/>
      <c r="AK74" s="135"/>
      <c r="AL74" s="135"/>
      <c r="AM74" s="135"/>
      <c r="AN74" s="135"/>
      <c r="AO74" s="1425"/>
      <c r="AP74" s="1425"/>
      <c r="AQ74" s="1425"/>
      <c r="AR74" s="135"/>
      <c r="AS74" s="135"/>
      <c r="AT74" s="1425"/>
      <c r="AU74" s="1425"/>
      <c r="AV74" s="1425"/>
      <c r="AW74" s="135"/>
      <c r="AX74" s="135"/>
      <c r="AY74" s="1425"/>
      <c r="AZ74" s="1425"/>
      <c r="BA74" s="1425"/>
      <c r="BB74" s="135"/>
      <c r="BC74" s="135"/>
      <c r="BD74" s="1425"/>
      <c r="BE74" s="1425"/>
      <c r="BF74" s="1560"/>
    </row>
    <row r="75" spans="2:70" x14ac:dyDescent="0.25">
      <c r="B75" s="138"/>
      <c r="C75" s="1381" t="s">
        <v>86</v>
      </c>
      <c r="D75" s="1381"/>
      <c r="E75" s="1381"/>
      <c r="F75" s="1381"/>
      <c r="G75" s="1381"/>
      <c r="H75" s="1381"/>
      <c r="I75" s="1381"/>
      <c r="J75" s="1381"/>
      <c r="K75" s="1381"/>
      <c r="L75" s="1381"/>
      <c r="M75" s="1381"/>
      <c r="N75" s="1381"/>
      <c r="O75" s="1381"/>
      <c r="P75" s="1381"/>
      <c r="Q75" s="1381"/>
      <c r="R75" s="1381"/>
      <c r="S75" s="1381"/>
      <c r="T75" s="1381"/>
      <c r="U75" s="1381"/>
      <c r="V75" s="1381"/>
      <c r="W75" s="1381"/>
      <c r="X75" s="1381"/>
      <c r="Y75" s="1381"/>
      <c r="Z75" s="1381"/>
      <c r="AC75" s="1540" t="str">
        <f>'PIM Model'!$AD$28</f>
        <v/>
      </c>
      <c r="AD75" s="1540"/>
      <c r="AE75" s="1540" t="str">
        <f>'PIM Model'!$D$28</f>
        <v>%</v>
      </c>
      <c r="AF75" s="1540"/>
      <c r="AG75" s="1540" t="str">
        <f>'PIM Model'!$D$28</f>
        <v>%</v>
      </c>
      <c r="AH75" s="1540"/>
      <c r="AI75" s="1537" t="str">
        <f>'PIM Model'!$D$28</f>
        <v>%</v>
      </c>
      <c r="AJ75" s="1537"/>
      <c r="BF75" s="139"/>
    </row>
    <row r="76" spans="2:70" x14ac:dyDescent="0.25">
      <c r="B76" s="138"/>
      <c r="C76" s="1381" t="s">
        <v>105</v>
      </c>
      <c r="D76" s="1381"/>
      <c r="E76" s="1381"/>
      <c r="F76" s="1381"/>
      <c r="G76" s="1381"/>
      <c r="H76" s="1381"/>
      <c r="I76" s="1381"/>
      <c r="J76" s="1381"/>
      <c r="K76" s="1381"/>
      <c r="L76" s="1381"/>
      <c r="M76" s="1381"/>
      <c r="N76" s="1381"/>
      <c r="O76" s="1381"/>
      <c r="P76" s="1381"/>
      <c r="Q76" s="1381"/>
      <c r="R76" s="1381"/>
      <c r="S76" s="1381"/>
      <c r="T76" s="1381"/>
      <c r="U76" s="1381"/>
      <c r="V76" s="1381"/>
      <c r="W76" s="1381"/>
      <c r="X76" s="1381"/>
      <c r="Y76" s="1381"/>
      <c r="Z76" s="1381"/>
      <c r="AC76" s="1540" t="str">
        <f>'PIM Model'!$AD$22</f>
        <v/>
      </c>
      <c r="AD76" s="1540"/>
      <c r="AE76" s="1540" t="str">
        <f>'PIM Model'!$D$22</f>
        <v>%</v>
      </c>
      <c r="AF76" s="1540"/>
      <c r="AG76" s="1540" t="str">
        <f>'PIM Model'!$D$22</f>
        <v>%</v>
      </c>
      <c r="AH76" s="1540"/>
      <c r="AI76" s="1537" t="str">
        <f>'PIM Model'!$D$22</f>
        <v>%</v>
      </c>
      <c r="AJ76" s="1537"/>
      <c r="BF76" s="139"/>
    </row>
    <row r="77" spans="2:70" x14ac:dyDescent="0.25">
      <c r="B77" s="680"/>
      <c r="C77" s="1566" t="s">
        <v>726</v>
      </c>
      <c r="D77" s="1566"/>
      <c r="E77" s="1566"/>
      <c r="F77" s="1566"/>
      <c r="G77" s="1566"/>
      <c r="H77" s="1566"/>
      <c r="I77" s="1566"/>
      <c r="J77" s="1566"/>
      <c r="K77" s="1566"/>
      <c r="L77" s="1566"/>
      <c r="M77" s="1566"/>
      <c r="N77" s="1566"/>
      <c r="O77" s="1566"/>
      <c r="P77" s="1566"/>
      <c r="Q77" s="1566"/>
      <c r="R77" s="1566"/>
      <c r="S77" s="1566"/>
      <c r="T77" s="1566"/>
      <c r="U77" s="1566"/>
      <c r="V77" s="1566"/>
      <c r="W77" s="1566"/>
      <c r="X77" s="1566"/>
      <c r="Y77" s="1566"/>
      <c r="Z77" s="1566"/>
      <c r="AC77" s="1540" t="str">
        <f>'PIM Model'!$AD$12</f>
        <v/>
      </c>
      <c r="AD77" s="1540"/>
      <c r="AE77" s="1540" t="str">
        <f>'PIM Model'!$D$12</f>
        <v>%</v>
      </c>
      <c r="AF77" s="1540"/>
      <c r="AG77" s="1540" t="str">
        <f>'PIM Model'!$D$12</f>
        <v>%</v>
      </c>
      <c r="AH77" s="1540"/>
      <c r="AI77" s="1537" t="str">
        <f>'PIM Model'!$D$12</f>
        <v>%</v>
      </c>
      <c r="AJ77" s="1537"/>
      <c r="BF77" s="139"/>
    </row>
    <row r="78" spans="2:70" x14ac:dyDescent="0.25">
      <c r="B78" s="138"/>
      <c r="C78" s="1566" t="s">
        <v>727</v>
      </c>
      <c r="D78" s="1566"/>
      <c r="E78" s="1566"/>
      <c r="F78" s="1566"/>
      <c r="G78" s="1566"/>
      <c r="H78" s="1566"/>
      <c r="I78" s="1566"/>
      <c r="J78" s="1566"/>
      <c r="K78" s="1566"/>
      <c r="L78" s="1566"/>
      <c r="M78" s="1566"/>
      <c r="N78" s="1566"/>
      <c r="O78" s="1566"/>
      <c r="P78" s="1566"/>
      <c r="Q78" s="1566"/>
      <c r="R78" s="1566"/>
      <c r="S78" s="1566"/>
      <c r="T78" s="1566"/>
      <c r="U78" s="1566"/>
      <c r="V78" s="1566"/>
      <c r="W78" s="1566"/>
      <c r="X78" s="1566"/>
      <c r="Y78" s="1566"/>
      <c r="Z78" s="1566"/>
      <c r="AC78" s="663"/>
      <c r="AD78" s="663"/>
      <c r="AE78" s="663"/>
      <c r="AF78" s="663"/>
      <c r="AG78" s="663"/>
      <c r="AH78" s="663"/>
      <c r="BF78" s="139"/>
      <c r="BR78" s="275"/>
    </row>
    <row r="79" spans="2:70" x14ac:dyDescent="0.25">
      <c r="B79" s="138"/>
      <c r="BF79" s="139"/>
    </row>
    <row r="80" spans="2:70" x14ac:dyDescent="0.25">
      <c r="B80" s="138"/>
      <c r="BF80" s="139"/>
    </row>
    <row r="81" spans="1:70" x14ac:dyDescent="0.25">
      <c r="B81" s="138"/>
      <c r="D81" s="1537" t="s">
        <v>694</v>
      </c>
      <c r="E81" s="1537"/>
      <c r="F81" s="1537"/>
      <c r="G81" s="1537"/>
      <c r="H81" s="1537"/>
      <c r="I81" s="1537"/>
      <c r="J81" s="1537"/>
      <c r="K81" s="1537"/>
      <c r="L81" s="1537"/>
      <c r="M81" s="1537"/>
      <c r="N81" s="1537"/>
      <c r="O81" s="1537"/>
      <c r="P81" s="1537"/>
      <c r="Q81" s="1537"/>
      <c r="R81" s="1537"/>
      <c r="S81" s="1537"/>
      <c r="T81" s="1537"/>
      <c r="U81" s="1537"/>
      <c r="V81" s="1537"/>
      <c r="W81" s="1537"/>
      <c r="X81" s="1537"/>
      <c r="Y81" s="1537"/>
      <c r="Z81" s="1537"/>
      <c r="AA81" s="1537"/>
      <c r="AB81" s="1537"/>
      <c r="AC81" s="1537"/>
      <c r="AD81" s="1537"/>
      <c r="AE81" s="1537"/>
      <c r="AF81" s="1537"/>
      <c r="AG81" s="1537"/>
      <c r="AH81" s="1537"/>
      <c r="AI81" s="1537"/>
      <c r="AJ81" s="1537"/>
      <c r="AK81" s="1537"/>
      <c r="AL81" s="1537"/>
      <c r="AM81" s="1537"/>
      <c r="AN81" s="1537"/>
      <c r="AO81" s="1537"/>
      <c r="AP81" s="1537"/>
      <c r="AQ81" s="1537"/>
      <c r="AR81" s="1537"/>
      <c r="AS81" s="1537"/>
      <c r="AT81" s="1537"/>
      <c r="AU81" s="1537"/>
      <c r="AV81" s="1537"/>
      <c r="AW81" s="1537"/>
      <c r="AX81" s="1537"/>
      <c r="AY81" s="1537"/>
      <c r="AZ81" s="1537"/>
      <c r="BA81" s="1537"/>
      <c r="BB81" s="1537"/>
      <c r="BC81" s="1537"/>
      <c r="BD81" s="1537"/>
      <c r="BF81" s="139"/>
    </row>
    <row r="82" spans="1:70" x14ac:dyDescent="0.25">
      <c r="B82" s="138"/>
      <c r="D82" s="1541" t="s">
        <v>241</v>
      </c>
      <c r="E82" s="1541"/>
      <c r="F82" s="1537" t="s">
        <v>693</v>
      </c>
      <c r="G82" s="1537"/>
      <c r="H82" s="1537"/>
      <c r="I82" s="1537"/>
      <c r="J82" s="1537"/>
      <c r="K82" s="1537"/>
      <c r="L82" s="1537"/>
      <c r="M82" s="1537"/>
      <c r="N82" s="1537"/>
      <c r="O82" s="1537"/>
      <c r="P82" s="1537"/>
      <c r="Q82" s="1537"/>
      <c r="R82" s="1537"/>
      <c r="S82" s="1537"/>
      <c r="T82" s="1537"/>
      <c r="U82" s="1537"/>
      <c r="V82" s="1537"/>
      <c r="W82" s="1537"/>
      <c r="X82" s="1537"/>
      <c r="Y82" s="1537"/>
      <c r="Z82" s="1537"/>
      <c r="AA82" s="1537"/>
      <c r="AB82" s="1537"/>
      <c r="AC82" s="1537"/>
      <c r="AD82" s="1537"/>
      <c r="AE82" s="1537"/>
      <c r="AF82" s="1537"/>
      <c r="AG82" s="1537"/>
      <c r="AH82" s="1537"/>
      <c r="AI82" s="1537"/>
      <c r="AJ82" s="1537"/>
      <c r="AK82" s="1537"/>
      <c r="AL82" s="1537"/>
      <c r="AM82" s="1537"/>
      <c r="AN82" s="1537"/>
      <c r="AO82" s="1537"/>
      <c r="AP82" s="1537"/>
      <c r="AQ82" s="1537"/>
      <c r="AR82" s="1537"/>
      <c r="AS82" s="1537"/>
      <c r="AT82" s="1537"/>
      <c r="AU82" s="1537"/>
      <c r="AV82" s="1537"/>
      <c r="AW82" s="1537"/>
      <c r="AX82" s="1537"/>
      <c r="AY82" s="1537"/>
      <c r="AZ82" s="1537"/>
      <c r="BA82" s="1537"/>
      <c r="BB82" s="1537"/>
      <c r="BC82" s="1537"/>
      <c r="BD82" s="1537"/>
      <c r="BF82" s="139"/>
    </row>
    <row r="83" spans="1:70" x14ac:dyDescent="0.25">
      <c r="B83" s="138"/>
      <c r="D83" s="1539"/>
      <c r="E83" s="1539"/>
      <c r="F83" s="1537" t="s">
        <v>692</v>
      </c>
      <c r="G83" s="1537"/>
      <c r="H83" s="1537"/>
      <c r="I83" s="1537"/>
      <c r="J83" s="1537"/>
      <c r="K83" s="1537"/>
      <c r="L83" s="1537"/>
      <c r="M83" s="1537"/>
      <c r="N83" s="1537"/>
      <c r="O83" s="1537"/>
      <c r="P83" s="1537"/>
      <c r="Q83" s="1537"/>
      <c r="R83" s="1537"/>
      <c r="S83" s="1537"/>
      <c r="T83" s="1537"/>
      <c r="U83" s="1537"/>
      <c r="V83" s="1537"/>
      <c r="W83" s="1537"/>
      <c r="X83" s="1537"/>
      <c r="Y83" s="1537"/>
      <c r="Z83" s="1537"/>
      <c r="AA83" s="1537"/>
      <c r="AB83" s="1537"/>
      <c r="AC83" s="1537"/>
      <c r="AD83" s="1537"/>
      <c r="AE83" s="1537"/>
      <c r="AF83" s="1537"/>
      <c r="AG83" s="1537"/>
      <c r="AH83" s="1537"/>
      <c r="AI83" s="1537"/>
      <c r="AJ83" s="1537"/>
      <c r="AK83" s="1537"/>
      <c r="AL83" s="1537"/>
      <c r="AM83" s="1537"/>
      <c r="AN83" s="1537"/>
      <c r="AO83" s="1537"/>
      <c r="AP83" s="1537"/>
      <c r="AQ83" s="1537"/>
      <c r="AR83" s="1537"/>
      <c r="AS83" s="1537"/>
      <c r="AT83" s="1537"/>
      <c r="AU83" s="1537"/>
      <c r="AV83" s="1537"/>
      <c r="AW83" s="1537"/>
      <c r="AX83" s="1537"/>
      <c r="AY83" s="1537"/>
      <c r="AZ83" s="1537"/>
      <c r="BA83" s="1537"/>
      <c r="BB83" s="1537"/>
      <c r="BC83" s="1537"/>
      <c r="BD83" s="1537"/>
      <c r="BF83" s="139"/>
    </row>
    <row r="84" spans="1:70" x14ac:dyDescent="0.25">
      <c r="A84" s="282"/>
      <c r="B84" s="138"/>
      <c r="D84" s="1539"/>
      <c r="E84" s="1539"/>
      <c r="F84" s="1537" t="s">
        <v>691</v>
      </c>
      <c r="G84" s="1537"/>
      <c r="H84" s="1537"/>
      <c r="I84" s="1537"/>
      <c r="J84" s="1537"/>
      <c r="K84" s="1537"/>
      <c r="L84" s="1537"/>
      <c r="M84" s="1537"/>
      <c r="N84" s="1537"/>
      <c r="O84" s="1537"/>
      <c r="P84" s="1537"/>
      <c r="Q84" s="1537"/>
      <c r="R84" s="1537"/>
      <c r="S84" s="1537"/>
      <c r="T84" s="1537"/>
      <c r="U84" s="1537"/>
      <c r="V84" s="1537"/>
      <c r="W84" s="1537"/>
      <c r="X84" s="1537"/>
      <c r="Y84" s="1537"/>
      <c r="Z84" s="1537"/>
      <c r="AA84" s="1537"/>
      <c r="AB84" s="1537"/>
      <c r="AC84" s="1537"/>
      <c r="AD84" s="1537"/>
      <c r="AE84" s="1537"/>
      <c r="AF84" s="1537"/>
      <c r="AG84" s="1537"/>
      <c r="AH84" s="1537"/>
      <c r="AI84" s="1537"/>
      <c r="AJ84" s="1537"/>
      <c r="AK84" s="1537"/>
      <c r="AL84" s="1537"/>
      <c r="AM84" s="1537"/>
      <c r="AN84" s="1537"/>
      <c r="AO84" s="1537"/>
      <c r="AP84" s="1537"/>
      <c r="AQ84" s="1537"/>
      <c r="AR84" s="1537"/>
      <c r="AS84" s="1537"/>
      <c r="AT84" s="1537"/>
      <c r="AU84" s="1537"/>
      <c r="AV84" s="1537"/>
      <c r="AW84" s="1537"/>
      <c r="AX84" s="1537"/>
      <c r="AY84" s="1537"/>
      <c r="AZ84" s="1537"/>
      <c r="BA84" s="1537"/>
      <c r="BB84" s="1537"/>
      <c r="BC84" s="1537"/>
      <c r="BD84" s="1537"/>
      <c r="BF84" s="139"/>
    </row>
    <row r="85" spans="1:70" x14ac:dyDescent="0.25">
      <c r="B85" s="138"/>
      <c r="BF85" s="139"/>
    </row>
    <row r="86" spans="1:70" x14ac:dyDescent="0.25">
      <c r="B86" s="138"/>
      <c r="D86" s="1537" t="s">
        <v>690</v>
      </c>
      <c r="E86" s="1537"/>
      <c r="F86" s="1537"/>
      <c r="G86" s="1537"/>
      <c r="H86" s="1537"/>
      <c r="I86" s="1537"/>
      <c r="J86" s="1537"/>
      <c r="K86" s="1537"/>
      <c r="L86" s="1537"/>
      <c r="M86" s="1537"/>
      <c r="N86" s="1537"/>
      <c r="O86" s="1537"/>
      <c r="P86" s="1537"/>
      <c r="Q86" s="1537"/>
      <c r="R86" s="1537"/>
      <c r="S86" s="1537"/>
      <c r="T86" s="1537"/>
      <c r="U86" s="1537"/>
      <c r="V86" s="1537"/>
      <c r="W86" s="1537"/>
      <c r="X86" s="1537"/>
      <c r="Y86" s="1537"/>
      <c r="Z86" s="1537"/>
      <c r="AA86" s="1537"/>
      <c r="AB86" s="1537"/>
      <c r="AC86" s="1537"/>
      <c r="AD86" s="1537"/>
      <c r="AE86" s="1537"/>
      <c r="AF86" s="1537"/>
      <c r="AG86" s="1537"/>
      <c r="AH86" s="1537"/>
      <c r="AI86" s="1537"/>
      <c r="AJ86" s="1537"/>
      <c r="AK86" s="1537"/>
      <c r="AL86" s="1537"/>
      <c r="AM86" s="1537"/>
      <c r="AN86" s="1537"/>
      <c r="AO86" s="1537"/>
      <c r="AP86" s="1537"/>
      <c r="AQ86" s="1537"/>
      <c r="AR86" s="1537"/>
      <c r="AS86" s="1537"/>
      <c r="AT86" s="1537"/>
      <c r="AU86" s="1537"/>
      <c r="AV86" s="1537"/>
      <c r="AW86" s="1537"/>
      <c r="AX86" s="1537"/>
      <c r="AY86" s="1537"/>
      <c r="AZ86" s="1537"/>
      <c r="BA86" s="1537"/>
      <c r="BB86" s="1537"/>
      <c r="BC86" s="1537"/>
      <c r="BD86" s="1537"/>
      <c r="BF86" s="139"/>
    </row>
    <row r="87" spans="1:70" x14ac:dyDescent="0.25">
      <c r="B87" s="138"/>
      <c r="D87" s="1541" t="s">
        <v>241</v>
      </c>
      <c r="E87" s="1541"/>
      <c r="F87" s="1537" t="s">
        <v>689</v>
      </c>
      <c r="G87" s="1537"/>
      <c r="H87" s="1537"/>
      <c r="I87" s="1537"/>
      <c r="J87" s="1537"/>
      <c r="K87" s="1537"/>
      <c r="L87" s="1537"/>
      <c r="M87" s="1537"/>
      <c r="N87" s="1537"/>
      <c r="O87" s="1537"/>
      <c r="P87" s="1537"/>
      <c r="Q87" s="1537"/>
      <c r="R87" s="1537"/>
      <c r="S87" s="1537"/>
      <c r="T87" s="1537"/>
      <c r="U87" s="1537"/>
      <c r="V87" s="1537"/>
      <c r="W87" s="1537"/>
      <c r="X87" s="1537"/>
      <c r="Y87" s="1537"/>
      <c r="Z87" s="1537"/>
      <c r="AA87" s="1537"/>
      <c r="AB87" s="1537"/>
      <c r="AC87" s="1537"/>
      <c r="AD87" s="1537"/>
      <c r="AE87" s="1537"/>
      <c r="AF87" s="1537"/>
      <c r="AG87" s="1537"/>
      <c r="AH87" s="1537"/>
      <c r="AI87" s="1537"/>
      <c r="AJ87" s="1537"/>
      <c r="AK87" s="1537"/>
      <c r="AL87" s="1537"/>
      <c r="AM87" s="1537"/>
      <c r="AN87" s="1537"/>
      <c r="AO87" s="1537"/>
      <c r="AP87" s="1537"/>
      <c r="AQ87" s="1537"/>
      <c r="AR87" s="1537"/>
      <c r="AS87" s="1537"/>
      <c r="AT87" s="1537"/>
      <c r="AU87" s="1537"/>
      <c r="AV87" s="1537"/>
      <c r="AW87" s="1537"/>
      <c r="AX87" s="1537"/>
      <c r="AY87" s="1537"/>
      <c r="AZ87" s="1537"/>
      <c r="BA87" s="1537"/>
      <c r="BB87" s="1537"/>
      <c r="BC87" s="1537"/>
      <c r="BD87" s="1537"/>
      <c r="BF87" s="139"/>
    </row>
    <row r="88" spans="1:70" x14ac:dyDescent="0.25">
      <c r="B88" s="138"/>
      <c r="D88" s="1539"/>
      <c r="E88" s="1539"/>
      <c r="F88" s="1537" t="s">
        <v>688</v>
      </c>
      <c r="G88" s="1537"/>
      <c r="H88" s="1537"/>
      <c r="I88" s="1537"/>
      <c r="J88" s="1537"/>
      <c r="K88" s="1537"/>
      <c r="L88" s="1537"/>
      <c r="M88" s="1537"/>
      <c r="N88" s="1537"/>
      <c r="O88" s="1537"/>
      <c r="P88" s="1537"/>
      <c r="Q88" s="1537"/>
      <c r="R88" s="1537"/>
      <c r="S88" s="1537"/>
      <c r="T88" s="1537"/>
      <c r="U88" s="1537"/>
      <c r="V88" s="1537"/>
      <c r="W88" s="1537"/>
      <c r="X88" s="1537"/>
      <c r="Y88" s="1537"/>
      <c r="Z88" s="1537"/>
      <c r="AA88" s="1537"/>
      <c r="AB88" s="1537"/>
      <c r="AC88" s="1537"/>
      <c r="AD88" s="1537"/>
      <c r="AE88" s="1537"/>
      <c r="AF88" s="1537"/>
      <c r="AG88" s="1537"/>
      <c r="AH88" s="1537"/>
      <c r="AI88" s="1537"/>
      <c r="AJ88" s="1537"/>
      <c r="AK88" s="1537"/>
      <c r="AL88" s="1537"/>
      <c r="AM88" s="1537"/>
      <c r="AN88" s="1537"/>
      <c r="AO88" s="1537"/>
      <c r="AP88" s="1537"/>
      <c r="AQ88" s="1537"/>
      <c r="AR88" s="1537"/>
      <c r="AS88" s="1537"/>
      <c r="AT88" s="1537"/>
      <c r="AU88" s="1537"/>
      <c r="AV88" s="1537"/>
      <c r="AW88" s="1537"/>
      <c r="AX88" s="1537"/>
      <c r="AY88" s="1537"/>
      <c r="AZ88" s="1537"/>
      <c r="BA88" s="1537"/>
      <c r="BB88" s="1537"/>
      <c r="BC88" s="1537"/>
      <c r="BD88" s="1537"/>
      <c r="BF88" s="139"/>
    </row>
    <row r="89" spans="1:70" x14ac:dyDescent="0.25">
      <c r="B89" s="138"/>
      <c r="D89" s="2"/>
      <c r="E89" s="2"/>
      <c r="F89" s="2"/>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c r="AJ89" s="2"/>
      <c r="AK89" s="2"/>
      <c r="AL89" s="2"/>
      <c r="AM89" s="2"/>
      <c r="AN89" s="2"/>
      <c r="AO89" s="2"/>
      <c r="AP89" s="2"/>
      <c r="AQ89" s="2"/>
      <c r="AR89" s="2"/>
      <c r="AS89" s="2"/>
      <c r="AT89" s="2"/>
      <c r="AU89" s="2"/>
      <c r="AV89" s="2"/>
      <c r="AW89" s="2"/>
      <c r="AX89" s="2"/>
      <c r="AY89" s="2"/>
      <c r="AZ89" s="2"/>
      <c r="BA89" s="2"/>
      <c r="BB89" s="2"/>
      <c r="BC89" s="2"/>
      <c r="BD89" s="2"/>
      <c r="BF89" s="139"/>
    </row>
    <row r="90" spans="1:70" x14ac:dyDescent="0.25">
      <c r="B90" s="681"/>
      <c r="C90" s="279"/>
      <c r="D90" s="279"/>
      <c r="E90" s="279"/>
      <c r="F90" s="279"/>
      <c r="G90" s="279"/>
      <c r="H90" s="279"/>
      <c r="I90" s="279"/>
      <c r="J90" s="279"/>
      <c r="K90" s="279"/>
      <c r="L90" s="279"/>
      <c r="M90" s="279"/>
      <c r="N90" s="279"/>
      <c r="O90" s="279"/>
      <c r="P90" s="279"/>
      <c r="Q90" s="279"/>
      <c r="R90" s="279"/>
      <c r="S90" s="279"/>
      <c r="T90" s="279"/>
      <c r="U90" s="279"/>
      <c r="V90" s="279"/>
      <c r="W90" s="279"/>
      <c r="X90" s="279"/>
      <c r="Y90" s="279"/>
      <c r="Z90" s="279"/>
      <c r="AA90" s="279"/>
      <c r="AB90" s="279"/>
      <c r="AC90" s="279"/>
      <c r="AD90" s="279"/>
      <c r="AE90" s="279"/>
      <c r="AF90" s="279"/>
      <c r="AG90" s="279"/>
      <c r="AH90" s="279"/>
      <c r="AI90" s="279"/>
      <c r="AJ90" s="279"/>
      <c r="AK90" s="279"/>
      <c r="AL90" s="279"/>
      <c r="AM90" s="279"/>
      <c r="AN90" s="279"/>
      <c r="AO90" s="279"/>
      <c r="AP90" s="279"/>
      <c r="AQ90" s="279"/>
      <c r="AR90" s="279"/>
      <c r="AS90" s="279"/>
      <c r="AT90" s="279"/>
      <c r="AU90" s="279"/>
      <c r="AV90" s="279"/>
      <c r="AW90" s="279"/>
      <c r="AX90" s="279"/>
      <c r="AY90" s="279"/>
      <c r="AZ90" s="279"/>
      <c r="BA90" s="279"/>
      <c r="BB90" s="279"/>
      <c r="BC90" s="279"/>
      <c r="BD90" s="279"/>
      <c r="BE90" s="279"/>
      <c r="BF90" s="662"/>
    </row>
    <row r="91" spans="1:70" x14ac:dyDescent="0.25">
      <c r="B91" s="138"/>
      <c r="BF91" s="139"/>
    </row>
    <row r="92" spans="1:70" ht="18.75" x14ac:dyDescent="0.3">
      <c r="B92" s="1495" t="s">
        <v>1007</v>
      </c>
      <c r="C92" s="1496"/>
      <c r="D92" s="1496"/>
      <c r="E92" s="1496"/>
      <c r="F92" s="1496"/>
      <c r="G92" s="1496"/>
      <c r="H92" s="1496"/>
      <c r="I92" s="1496"/>
      <c r="J92" s="1496"/>
      <c r="K92" s="1496"/>
      <c r="L92" s="1496"/>
      <c r="M92" s="1496"/>
      <c r="N92" s="1496"/>
      <c r="O92" s="1496"/>
      <c r="P92" s="1496"/>
      <c r="Q92" s="1496"/>
      <c r="R92" s="1496"/>
      <c r="S92" s="1496"/>
      <c r="T92" s="1496"/>
      <c r="U92" s="1496"/>
      <c r="V92" s="1496"/>
      <c r="W92" s="1496"/>
      <c r="X92" s="1496"/>
      <c r="Y92" s="1496"/>
      <c r="Z92" s="1496"/>
      <c r="AA92" s="1496"/>
      <c r="AB92" s="1496"/>
      <c r="AC92" s="1496"/>
      <c r="AD92" s="1496"/>
      <c r="AE92" s="1496"/>
      <c r="AF92" s="1496"/>
      <c r="AG92" s="1496"/>
      <c r="AH92" s="1496"/>
      <c r="AI92" s="1496"/>
      <c r="AJ92" s="1496"/>
      <c r="AK92" s="1496"/>
      <c r="AL92" s="1496"/>
      <c r="AM92" s="1496"/>
      <c r="AN92" s="1496"/>
      <c r="AO92" s="1496"/>
      <c r="AP92" s="1496"/>
      <c r="AQ92" s="1496"/>
      <c r="AR92" s="1496"/>
      <c r="AS92" s="1496"/>
      <c r="AT92" s="1496"/>
      <c r="AU92" s="1496"/>
      <c r="AV92" s="1496"/>
      <c r="AW92" s="1496"/>
      <c r="AX92" s="1496"/>
      <c r="AY92" s="1496"/>
      <c r="AZ92" s="1496"/>
      <c r="BA92" s="1496"/>
      <c r="BB92" s="1496"/>
      <c r="BC92" s="1496"/>
      <c r="BD92" s="1496"/>
      <c r="BE92" s="1496"/>
      <c r="BF92" s="1497"/>
    </row>
    <row r="93" spans="1:70" ht="15.75" thickBot="1" x14ac:dyDescent="0.3">
      <c r="B93" s="138"/>
      <c r="BF93" s="139"/>
      <c r="BR93" s="275"/>
    </row>
    <row r="94" spans="1:70" ht="15.75" thickBot="1" x14ac:dyDescent="0.3">
      <c r="B94" s="138"/>
      <c r="D94" s="1532" t="s">
        <v>734</v>
      </c>
      <c r="E94" s="1502"/>
      <c r="F94" s="1502"/>
      <c r="G94" s="1502"/>
      <c r="H94" s="1502"/>
      <c r="I94" s="1502"/>
      <c r="J94" s="1502"/>
      <c r="K94" s="1501" t="s">
        <v>735</v>
      </c>
      <c r="L94" s="1502"/>
      <c r="M94" s="1502"/>
      <c r="N94" s="1502"/>
      <c r="O94" s="1502"/>
      <c r="P94" s="1502"/>
      <c r="Q94" s="1502"/>
      <c r="R94" s="1502"/>
      <c r="S94" s="1502"/>
      <c r="T94" s="1502"/>
      <c r="U94" s="1501" t="s">
        <v>795</v>
      </c>
      <c r="V94" s="1502"/>
      <c r="W94" s="1502"/>
      <c r="X94" s="1502"/>
      <c r="Y94" s="1502"/>
      <c r="Z94" s="1502"/>
      <c r="AA94" s="1502"/>
      <c r="AB94" s="1502"/>
      <c r="AC94" s="1502"/>
      <c r="AD94" s="1502"/>
      <c r="AE94" s="1502"/>
      <c r="AF94" s="1502"/>
      <c r="AG94" s="1502"/>
      <c r="AH94" s="1502"/>
      <c r="AI94" s="1502"/>
      <c r="AJ94" s="1501" t="s">
        <v>800</v>
      </c>
      <c r="AK94" s="1502"/>
      <c r="AL94" s="1502"/>
      <c r="AM94" s="1502"/>
      <c r="AN94" s="1502"/>
      <c r="AO94" s="1502"/>
      <c r="AP94" s="1502"/>
      <c r="AQ94" s="1502"/>
      <c r="AR94" s="1502"/>
      <c r="AS94" s="1502"/>
      <c r="AT94" s="1503"/>
      <c r="AU94" s="1501" t="s">
        <v>801</v>
      </c>
      <c r="AV94" s="1502"/>
      <c r="AW94" s="1502"/>
      <c r="AX94" s="1503"/>
      <c r="AY94" s="1501" t="s">
        <v>845</v>
      </c>
      <c r="AZ94" s="1502"/>
      <c r="BA94" s="1502"/>
      <c r="BB94" s="1502"/>
      <c r="BC94" s="1513"/>
      <c r="BF94" s="139"/>
    </row>
    <row r="95" spans="1:70" x14ac:dyDescent="0.25">
      <c r="B95" s="138"/>
      <c r="C95" s="636">
        <v>1</v>
      </c>
      <c r="D95" s="1531">
        <f>'Customer Inputs'!$B$6</f>
        <v>0</v>
      </c>
      <c r="E95" s="1531"/>
      <c r="F95" s="1531"/>
      <c r="G95" s="1531"/>
      <c r="H95" s="1531"/>
      <c r="I95" s="1531"/>
      <c r="J95" s="1531"/>
      <c r="K95" s="1518" t="str">
        <f>IFERROR(IFERROR('Multi-Customer'!$BB$39,VLOOKUP($D95,'Required Info to Submit'!$E$23:$J$32,2,FALSE)),"")</f>
        <v/>
      </c>
      <c r="L95" s="1518"/>
      <c r="M95" s="1518"/>
      <c r="N95" s="1518"/>
      <c r="O95" s="1518"/>
      <c r="P95" s="1518"/>
      <c r="Q95" s="1518"/>
      <c r="R95" s="1518"/>
      <c r="S95" s="1518"/>
      <c r="T95" s="1518"/>
      <c r="U95" s="1518" t="str">
        <f>IFERROR(IFERROR('Multi-Customer'!$BB$41&amp;" "&amp;'Multi-Customer'!$BB$42,VLOOKUP($D95,'Required Info to Submit'!$E$23:$J$32,3,FALSE)),"")</f>
        <v/>
      </c>
      <c r="V95" s="1518"/>
      <c r="W95" s="1518"/>
      <c r="X95" s="1518"/>
      <c r="Y95" s="1518"/>
      <c r="Z95" s="1518"/>
      <c r="AA95" s="1518"/>
      <c r="AB95" s="1518"/>
      <c r="AC95" s="1518"/>
      <c r="AD95" s="1518"/>
      <c r="AE95" s="1518"/>
      <c r="AF95" s="1518"/>
      <c r="AG95" s="1518"/>
      <c r="AH95" s="1518"/>
      <c r="AI95" s="1518"/>
      <c r="AJ95" s="1525" t="str">
        <f>IFERROR(IFERROR('Multi-Customer'!$BB$43,VLOOKUP($D95,'Required Info to Submit'!$E$23:$J$32,4,FALSE)),"")</f>
        <v/>
      </c>
      <c r="AK95" s="1526"/>
      <c r="AL95" s="1526"/>
      <c r="AM95" s="1526"/>
      <c r="AN95" s="1526"/>
      <c r="AO95" s="1526"/>
      <c r="AP95" s="1526"/>
      <c r="AQ95" s="1526"/>
      <c r="AR95" s="1526"/>
      <c r="AS95" s="1526"/>
      <c r="AT95" s="1527"/>
      <c r="AU95" s="1498" t="str">
        <f>IFERROR(IFERROR('Multi-Customer'!$BB$44,VLOOKUP($D95,'Required Info to Submit'!$E$23:$J$32,5,FALSE)),"")</f>
        <v/>
      </c>
      <c r="AV95" s="1499"/>
      <c r="AW95" s="1499"/>
      <c r="AX95" s="1500"/>
      <c r="AY95" s="1510" t="str">
        <f>IFERROR(IFERROR('Multi-Customer'!$BB$45,VLOOKUP($D95,'Required Info to Submit'!$E$23:$J$32,6,FALSE)),"")</f>
        <v/>
      </c>
      <c r="AZ95" s="1511"/>
      <c r="BA95" s="1511"/>
      <c r="BB95" s="1511"/>
      <c r="BC95" s="1512"/>
      <c r="BF95" s="139"/>
    </row>
    <row r="96" spans="1:70" x14ac:dyDescent="0.25">
      <c r="B96" s="138"/>
      <c r="C96" s="637">
        <v>2</v>
      </c>
      <c r="D96" s="1530">
        <f>'Customer Inputs'!$B$7</f>
        <v>0</v>
      </c>
      <c r="E96" s="1530"/>
      <c r="F96" s="1530"/>
      <c r="G96" s="1530"/>
      <c r="H96" s="1530"/>
      <c r="I96" s="1530"/>
      <c r="J96" s="1530"/>
      <c r="K96" s="1517" t="str">
        <f>IFERROR(IFERROR('Multi-Customer'!$BY$39,VLOOKUP($D96,'Required Info to Submit'!$E$23:$J$32,2,FALSE)),"")</f>
        <v/>
      </c>
      <c r="L96" s="1517"/>
      <c r="M96" s="1517"/>
      <c r="N96" s="1517"/>
      <c r="O96" s="1517"/>
      <c r="P96" s="1517"/>
      <c r="Q96" s="1517"/>
      <c r="R96" s="1517"/>
      <c r="S96" s="1517"/>
      <c r="T96" s="1517"/>
      <c r="U96" s="1517" t="str">
        <f>IFERROR(IFERROR('Multi-Customer'!$BY$41&amp;" "&amp;'Multi-Customer'!$BY$42,VLOOKUP($D96,'Required Info to Submit'!$E$23:$J$32,3,FALSE)),"")</f>
        <v/>
      </c>
      <c r="V96" s="1517"/>
      <c r="W96" s="1517"/>
      <c r="X96" s="1517"/>
      <c r="Y96" s="1517"/>
      <c r="Z96" s="1517"/>
      <c r="AA96" s="1517"/>
      <c r="AB96" s="1517"/>
      <c r="AC96" s="1517"/>
      <c r="AD96" s="1517"/>
      <c r="AE96" s="1517"/>
      <c r="AF96" s="1517"/>
      <c r="AG96" s="1517"/>
      <c r="AH96" s="1517"/>
      <c r="AI96" s="1517"/>
      <c r="AJ96" s="1522" t="str">
        <f>IFERROR(IFERROR('Multi-Customer'!$BY$43,VLOOKUP($D96,'Required Info to Submit'!$E$23:$J$32,4,FALSE)),"")</f>
        <v/>
      </c>
      <c r="AK96" s="1523"/>
      <c r="AL96" s="1523"/>
      <c r="AM96" s="1523"/>
      <c r="AN96" s="1523"/>
      <c r="AO96" s="1523"/>
      <c r="AP96" s="1523"/>
      <c r="AQ96" s="1523"/>
      <c r="AR96" s="1523"/>
      <c r="AS96" s="1523"/>
      <c r="AT96" s="1524"/>
      <c r="AU96" s="1445" t="str">
        <f>IFERROR(IFERROR('Multi-Customer'!$BY$44,VLOOKUP($D96,'Required Info to Submit'!$E$23:$J$32,5,FALSE)),"")</f>
        <v/>
      </c>
      <c r="AV96" s="1446"/>
      <c r="AW96" s="1446"/>
      <c r="AX96" s="1447"/>
      <c r="AY96" s="1507" t="str">
        <f>IFERROR(IFERROR('Multi-Customer'!$BY$45,VLOOKUP($D96,'Required Info to Submit'!$E$23:$J$32,6,FALSE)),"")</f>
        <v/>
      </c>
      <c r="AZ96" s="1508"/>
      <c r="BA96" s="1508"/>
      <c r="BB96" s="1508"/>
      <c r="BC96" s="1509"/>
      <c r="BF96" s="139"/>
    </row>
    <row r="97" spans="2:58" x14ac:dyDescent="0.25">
      <c r="B97" s="138"/>
      <c r="C97" s="637">
        <v>3</v>
      </c>
      <c r="D97" s="1530">
        <f>'Customer Inputs'!$B$8</f>
        <v>0</v>
      </c>
      <c r="E97" s="1530"/>
      <c r="F97" s="1530"/>
      <c r="G97" s="1530"/>
      <c r="H97" s="1530"/>
      <c r="I97" s="1530"/>
      <c r="J97" s="1530"/>
      <c r="K97" s="1517" t="str">
        <f>IFERROR(IFERROR('Multi-Customer'!$CV$39,VLOOKUP($D97,'Required Info to Submit'!$E$23:$J$32,2,FALSE)),"")</f>
        <v/>
      </c>
      <c r="L97" s="1517"/>
      <c r="M97" s="1517"/>
      <c r="N97" s="1517"/>
      <c r="O97" s="1517"/>
      <c r="P97" s="1517"/>
      <c r="Q97" s="1517"/>
      <c r="R97" s="1517"/>
      <c r="S97" s="1517"/>
      <c r="T97" s="1517"/>
      <c r="U97" s="1517" t="str">
        <f>IFERROR(IFERROR('Multi-Customer'!$CV$41&amp;" "&amp;'Multi-Customer'!$CV$42,VLOOKUP($D97,'Required Info to Submit'!$E$23:$J$32,3,FALSE)),"")</f>
        <v/>
      </c>
      <c r="V97" s="1517"/>
      <c r="W97" s="1517"/>
      <c r="X97" s="1517"/>
      <c r="Y97" s="1517"/>
      <c r="Z97" s="1517"/>
      <c r="AA97" s="1517"/>
      <c r="AB97" s="1517"/>
      <c r="AC97" s="1517"/>
      <c r="AD97" s="1517"/>
      <c r="AE97" s="1517"/>
      <c r="AF97" s="1517"/>
      <c r="AG97" s="1517"/>
      <c r="AH97" s="1517"/>
      <c r="AI97" s="1517"/>
      <c r="AJ97" s="1522" t="str">
        <f>IFERROR(IFERROR('Multi-Customer'!$CV$43,VLOOKUP($D97,'Required Info to Submit'!$E$23:$J$32,4,FALSE)),"")</f>
        <v/>
      </c>
      <c r="AK97" s="1523"/>
      <c r="AL97" s="1523"/>
      <c r="AM97" s="1523"/>
      <c r="AN97" s="1523"/>
      <c r="AO97" s="1523"/>
      <c r="AP97" s="1523"/>
      <c r="AQ97" s="1523"/>
      <c r="AR97" s="1523"/>
      <c r="AS97" s="1523"/>
      <c r="AT97" s="1524"/>
      <c r="AU97" s="1445" t="str">
        <f>IFERROR(IFERROR('Multi-Customer'!$CV$44,VLOOKUP($D97,'Required Info to Submit'!$E$23:$J$32,5,FALSE)),"")</f>
        <v/>
      </c>
      <c r="AV97" s="1446"/>
      <c r="AW97" s="1446"/>
      <c r="AX97" s="1447"/>
      <c r="AY97" s="1507" t="str">
        <f>IFERROR(IFERROR('Multi-Customer'!$CV$45,VLOOKUP($D97,'Required Info to Submit'!$E$23:$J$32,6,FALSE)),"")</f>
        <v/>
      </c>
      <c r="AZ97" s="1508"/>
      <c r="BA97" s="1508"/>
      <c r="BB97" s="1508"/>
      <c r="BC97" s="1509"/>
      <c r="BF97" s="139"/>
    </row>
    <row r="98" spans="2:58" x14ac:dyDescent="0.25">
      <c r="B98" s="138"/>
      <c r="C98" s="637">
        <v>4</v>
      </c>
      <c r="D98" s="1530">
        <f>'Customer Inputs'!$B$9</f>
        <v>0</v>
      </c>
      <c r="E98" s="1530"/>
      <c r="F98" s="1530"/>
      <c r="G98" s="1530"/>
      <c r="H98" s="1530"/>
      <c r="I98" s="1530"/>
      <c r="J98" s="1530"/>
      <c r="K98" s="1517" t="str">
        <f>IFERROR(IFERROR('Multi-Customer'!$DS$39,VLOOKUP($D98,'Required Info to Submit'!$E$23:$J$32,2,FALSE)),"")</f>
        <v/>
      </c>
      <c r="L98" s="1517"/>
      <c r="M98" s="1517"/>
      <c r="N98" s="1517"/>
      <c r="O98" s="1517"/>
      <c r="P98" s="1517"/>
      <c r="Q98" s="1517"/>
      <c r="R98" s="1517"/>
      <c r="S98" s="1517"/>
      <c r="T98" s="1517"/>
      <c r="U98" s="1517" t="str">
        <f>IFERROR(IFERROR('Multi-Customer'!$DS$41&amp;" "&amp;'Multi-Customer'!$DS$42,VLOOKUP($D98,'Required Info to Submit'!$E$23:$J$32,3,FALSE)),"")</f>
        <v/>
      </c>
      <c r="V98" s="1517"/>
      <c r="W98" s="1517"/>
      <c r="X98" s="1517"/>
      <c r="Y98" s="1517"/>
      <c r="Z98" s="1517"/>
      <c r="AA98" s="1517"/>
      <c r="AB98" s="1517"/>
      <c r="AC98" s="1517"/>
      <c r="AD98" s="1517"/>
      <c r="AE98" s="1517"/>
      <c r="AF98" s="1517"/>
      <c r="AG98" s="1517"/>
      <c r="AH98" s="1517"/>
      <c r="AI98" s="1517"/>
      <c r="AJ98" s="1522" t="str">
        <f>IFERROR(IFERROR('Multi-Customer'!$DS$43,VLOOKUP($D98,'Required Info to Submit'!$E$23:$J$32,4,FALSE)),"")</f>
        <v/>
      </c>
      <c r="AK98" s="1523"/>
      <c r="AL98" s="1523"/>
      <c r="AM98" s="1523"/>
      <c r="AN98" s="1523"/>
      <c r="AO98" s="1523"/>
      <c r="AP98" s="1523"/>
      <c r="AQ98" s="1523"/>
      <c r="AR98" s="1523"/>
      <c r="AS98" s="1523"/>
      <c r="AT98" s="1524"/>
      <c r="AU98" s="1445" t="str">
        <f>IFERROR(IFERROR('Multi-Customer'!$DS$44,VLOOKUP($D98,'Required Info to Submit'!$E$23:$J$32,5,FALSE)),"")</f>
        <v/>
      </c>
      <c r="AV98" s="1446"/>
      <c r="AW98" s="1446"/>
      <c r="AX98" s="1447"/>
      <c r="AY98" s="1507" t="str">
        <f>IFERROR(IFERROR('Multi-Customer'!$DS$45,VLOOKUP($D98,'Required Info to Submit'!$E$23:$J$32,6,FALSE)),"")</f>
        <v/>
      </c>
      <c r="AZ98" s="1508"/>
      <c r="BA98" s="1508"/>
      <c r="BB98" s="1508"/>
      <c r="BC98" s="1509"/>
      <c r="BF98" s="139"/>
    </row>
    <row r="99" spans="2:58" x14ac:dyDescent="0.25">
      <c r="B99" s="138"/>
      <c r="C99" s="637">
        <v>5</v>
      </c>
      <c r="D99" s="1530">
        <f>'Customer Inputs'!$B$10</f>
        <v>0</v>
      </c>
      <c r="E99" s="1530"/>
      <c r="F99" s="1530"/>
      <c r="G99" s="1530"/>
      <c r="H99" s="1530"/>
      <c r="I99" s="1530"/>
      <c r="J99" s="1530"/>
      <c r="K99" s="1517" t="str">
        <f>IFERROR(IFERROR('Multi-Customer'!$EP$39,VLOOKUP($D99,'Required Info to Submit'!$E$23:$J$32,2,FALSE)),"")</f>
        <v/>
      </c>
      <c r="L99" s="1517"/>
      <c r="M99" s="1517"/>
      <c r="N99" s="1517"/>
      <c r="O99" s="1517"/>
      <c r="P99" s="1517"/>
      <c r="Q99" s="1517"/>
      <c r="R99" s="1517"/>
      <c r="S99" s="1517"/>
      <c r="T99" s="1517"/>
      <c r="U99" s="1517" t="str">
        <f>IFERROR(IFERROR('Multi-Customer'!$EP$41&amp;" "&amp;'Multi-Customer'!$EP$42,VLOOKUP($D99,'Required Info to Submit'!$E$23:$J$32,3,FALSE)),"")</f>
        <v/>
      </c>
      <c r="V99" s="1517"/>
      <c r="W99" s="1517"/>
      <c r="X99" s="1517"/>
      <c r="Y99" s="1517"/>
      <c r="Z99" s="1517"/>
      <c r="AA99" s="1517"/>
      <c r="AB99" s="1517"/>
      <c r="AC99" s="1517"/>
      <c r="AD99" s="1517"/>
      <c r="AE99" s="1517"/>
      <c r="AF99" s="1517"/>
      <c r="AG99" s="1517"/>
      <c r="AH99" s="1517"/>
      <c r="AI99" s="1517"/>
      <c r="AJ99" s="1522" t="str">
        <f>IFERROR(IFERROR('Multi-Customer'!$EP$43,VLOOKUP($D99,'Required Info to Submit'!$E$23:$J$32,4,FALSE)),"")</f>
        <v/>
      </c>
      <c r="AK99" s="1523"/>
      <c r="AL99" s="1523"/>
      <c r="AM99" s="1523"/>
      <c r="AN99" s="1523"/>
      <c r="AO99" s="1523"/>
      <c r="AP99" s="1523"/>
      <c r="AQ99" s="1523"/>
      <c r="AR99" s="1523"/>
      <c r="AS99" s="1523"/>
      <c r="AT99" s="1524"/>
      <c r="AU99" s="1445" t="str">
        <f>IFERROR(IFERROR('Multi-Customer'!$EP$44,VLOOKUP($D99,'Required Info to Submit'!$E$23:$J$32,5,FALSE)),"")</f>
        <v/>
      </c>
      <c r="AV99" s="1446"/>
      <c r="AW99" s="1446"/>
      <c r="AX99" s="1447"/>
      <c r="AY99" s="1507" t="str">
        <f>IFERROR(IFERROR('Multi-Customer'!$EP$45,VLOOKUP($D99,'Required Info to Submit'!$E$23:$J$32,6,FALSE)),"")</f>
        <v/>
      </c>
      <c r="AZ99" s="1508"/>
      <c r="BA99" s="1508"/>
      <c r="BB99" s="1508"/>
      <c r="BC99" s="1509"/>
      <c r="BF99" s="139"/>
    </row>
    <row r="100" spans="2:58" x14ac:dyDescent="0.25">
      <c r="B100" s="138"/>
      <c r="C100" s="637">
        <v>6</v>
      </c>
      <c r="D100" s="1530">
        <f>'Customer Inputs'!$B$11</f>
        <v>0</v>
      </c>
      <c r="E100" s="1530"/>
      <c r="F100" s="1530"/>
      <c r="G100" s="1530"/>
      <c r="H100" s="1530"/>
      <c r="I100" s="1530"/>
      <c r="J100" s="1530"/>
      <c r="K100" s="1517" t="str">
        <f>IFERROR(IFERROR('Multi-Customer'!$FM$39,VLOOKUP($D100,'Required Info to Submit'!$E$23:$J$32,2,FALSE)),"")</f>
        <v/>
      </c>
      <c r="L100" s="1517"/>
      <c r="M100" s="1517"/>
      <c r="N100" s="1517"/>
      <c r="O100" s="1517"/>
      <c r="P100" s="1517"/>
      <c r="Q100" s="1517"/>
      <c r="R100" s="1517"/>
      <c r="S100" s="1517"/>
      <c r="T100" s="1517"/>
      <c r="U100" s="1517" t="str">
        <f>IFERROR(IFERROR('Multi-Customer'!$FM$41&amp;" "&amp;'Multi-Customer'!$FM$42,VLOOKUP($D100,'Required Info to Submit'!$E$23:$J$32,3,FALSE)),"")</f>
        <v/>
      </c>
      <c r="V100" s="1517"/>
      <c r="W100" s="1517"/>
      <c r="X100" s="1517"/>
      <c r="Y100" s="1517"/>
      <c r="Z100" s="1517"/>
      <c r="AA100" s="1517"/>
      <c r="AB100" s="1517"/>
      <c r="AC100" s="1517"/>
      <c r="AD100" s="1517"/>
      <c r="AE100" s="1517"/>
      <c r="AF100" s="1517"/>
      <c r="AG100" s="1517"/>
      <c r="AH100" s="1517"/>
      <c r="AI100" s="1517"/>
      <c r="AJ100" s="1522" t="str">
        <f>IFERROR(IFERROR('Multi-Customer'!$FM$43,VLOOKUP($D100,'Required Info to Submit'!$E$23:$J$32,4,FALSE)),"")</f>
        <v/>
      </c>
      <c r="AK100" s="1523"/>
      <c r="AL100" s="1523"/>
      <c r="AM100" s="1523"/>
      <c r="AN100" s="1523"/>
      <c r="AO100" s="1523"/>
      <c r="AP100" s="1523"/>
      <c r="AQ100" s="1523"/>
      <c r="AR100" s="1523"/>
      <c r="AS100" s="1523"/>
      <c r="AT100" s="1524"/>
      <c r="AU100" s="1445" t="str">
        <f>IFERROR(IFERROR('Multi-Customer'!$FM$44,VLOOKUP($D100,'Required Info to Submit'!$E$23:$J$32,5,FALSE)),"")</f>
        <v/>
      </c>
      <c r="AV100" s="1446"/>
      <c r="AW100" s="1446"/>
      <c r="AX100" s="1447"/>
      <c r="AY100" s="1507" t="str">
        <f>IFERROR(IFERROR('Multi-Customer'!$FM$45,VLOOKUP($D100,'Required Info to Submit'!$E$23:$J$32,6,FALSE)),"")</f>
        <v/>
      </c>
      <c r="AZ100" s="1508"/>
      <c r="BA100" s="1508"/>
      <c r="BB100" s="1508"/>
      <c r="BC100" s="1509"/>
      <c r="BF100" s="139"/>
    </row>
    <row r="101" spans="2:58" x14ac:dyDescent="0.25">
      <c r="B101" s="138"/>
      <c r="C101" s="637">
        <v>7</v>
      </c>
      <c r="D101" s="1530">
        <f>'Customer Inputs'!$B$12</f>
        <v>0</v>
      </c>
      <c r="E101" s="1530"/>
      <c r="F101" s="1530"/>
      <c r="G101" s="1530"/>
      <c r="H101" s="1530"/>
      <c r="I101" s="1530"/>
      <c r="J101" s="1530"/>
      <c r="K101" s="1517" t="str">
        <f>IFERROR(IFERROR('Multi-Customer'!$GJ$39,VLOOKUP($D101,'Required Info to Submit'!$E$23:$J$32,2,FALSE)),"")</f>
        <v/>
      </c>
      <c r="L101" s="1517"/>
      <c r="M101" s="1517"/>
      <c r="N101" s="1517"/>
      <c r="O101" s="1517"/>
      <c r="P101" s="1517"/>
      <c r="Q101" s="1517"/>
      <c r="R101" s="1517"/>
      <c r="S101" s="1517"/>
      <c r="T101" s="1517"/>
      <c r="U101" s="1517" t="str">
        <f>IFERROR(IFERROR('Multi-Customer'!$GJ$41&amp;" "&amp;'Multi-Customer'!$GJ$42,VLOOKUP($D101,'Required Info to Submit'!$E$23:$J$32,3,FALSE)),"")</f>
        <v/>
      </c>
      <c r="V101" s="1517"/>
      <c r="W101" s="1517"/>
      <c r="X101" s="1517"/>
      <c r="Y101" s="1517"/>
      <c r="Z101" s="1517"/>
      <c r="AA101" s="1517"/>
      <c r="AB101" s="1517"/>
      <c r="AC101" s="1517"/>
      <c r="AD101" s="1517"/>
      <c r="AE101" s="1517"/>
      <c r="AF101" s="1517"/>
      <c r="AG101" s="1517"/>
      <c r="AH101" s="1517"/>
      <c r="AI101" s="1517"/>
      <c r="AJ101" s="1522" t="str">
        <f>IFERROR(IFERROR('Multi-Customer'!$GJ$43,VLOOKUP($D101,'Required Info to Submit'!$E$23:$J$32,4,FALSE)),"")</f>
        <v/>
      </c>
      <c r="AK101" s="1523"/>
      <c r="AL101" s="1523"/>
      <c r="AM101" s="1523"/>
      <c r="AN101" s="1523"/>
      <c r="AO101" s="1523"/>
      <c r="AP101" s="1523"/>
      <c r="AQ101" s="1523"/>
      <c r="AR101" s="1523"/>
      <c r="AS101" s="1523"/>
      <c r="AT101" s="1524"/>
      <c r="AU101" s="1445" t="str">
        <f>IFERROR(IFERROR('Multi-Customer'!$GJ$44,VLOOKUP($D101,'Required Info to Submit'!$E$23:$J$32,5,FALSE)),"")</f>
        <v/>
      </c>
      <c r="AV101" s="1446"/>
      <c r="AW101" s="1446"/>
      <c r="AX101" s="1447"/>
      <c r="AY101" s="1507" t="str">
        <f>IFERROR(IFERROR('Multi-Customer'!$GJ$45,VLOOKUP($D101,'Required Info to Submit'!$E$23:$J$32,6,FALSE)),"")</f>
        <v/>
      </c>
      <c r="AZ101" s="1508"/>
      <c r="BA101" s="1508"/>
      <c r="BB101" s="1508"/>
      <c r="BC101" s="1509"/>
      <c r="BF101" s="139"/>
    </row>
    <row r="102" spans="2:58" x14ac:dyDescent="0.25">
      <c r="B102" s="138"/>
      <c r="C102" s="637">
        <v>8</v>
      </c>
      <c r="D102" s="1530">
        <f>'Customer Inputs'!$B$13</f>
        <v>0</v>
      </c>
      <c r="E102" s="1530"/>
      <c r="F102" s="1530"/>
      <c r="G102" s="1530"/>
      <c r="H102" s="1530"/>
      <c r="I102" s="1530"/>
      <c r="J102" s="1530"/>
      <c r="K102" s="1517" t="str">
        <f>IFERROR(IFERROR('Multi-Customer'!$HG$39,VLOOKUP($D102,'Required Info to Submit'!$E$23:$J$32,2,FALSE)),"")</f>
        <v/>
      </c>
      <c r="L102" s="1517"/>
      <c r="M102" s="1517"/>
      <c r="N102" s="1517"/>
      <c r="O102" s="1517"/>
      <c r="P102" s="1517"/>
      <c r="Q102" s="1517"/>
      <c r="R102" s="1517"/>
      <c r="S102" s="1517"/>
      <c r="T102" s="1517"/>
      <c r="U102" s="1517" t="str">
        <f>IFERROR(IFERROR('Multi-Customer'!$HG$41&amp;" "&amp;'Multi-Customer'!$HG$42,VLOOKUP($D102,'Required Info to Submit'!$E$23:$J$32,3,FALSE)),"")</f>
        <v/>
      </c>
      <c r="V102" s="1517"/>
      <c r="W102" s="1517"/>
      <c r="X102" s="1517"/>
      <c r="Y102" s="1517"/>
      <c r="Z102" s="1517"/>
      <c r="AA102" s="1517"/>
      <c r="AB102" s="1517"/>
      <c r="AC102" s="1517"/>
      <c r="AD102" s="1517"/>
      <c r="AE102" s="1517"/>
      <c r="AF102" s="1517"/>
      <c r="AG102" s="1517"/>
      <c r="AH102" s="1517"/>
      <c r="AI102" s="1517"/>
      <c r="AJ102" s="1522" t="str">
        <f>IFERROR(IFERROR('Multi-Customer'!$HG$43,VLOOKUP($D102,'Required Info to Submit'!$E$23:$J$32,4,FALSE)),"")</f>
        <v/>
      </c>
      <c r="AK102" s="1523"/>
      <c r="AL102" s="1523"/>
      <c r="AM102" s="1523"/>
      <c r="AN102" s="1523"/>
      <c r="AO102" s="1523"/>
      <c r="AP102" s="1523"/>
      <c r="AQ102" s="1523"/>
      <c r="AR102" s="1523"/>
      <c r="AS102" s="1523"/>
      <c r="AT102" s="1524"/>
      <c r="AU102" s="1445" t="str">
        <f>IFERROR(IFERROR('Multi-Customer'!$HG$44,VLOOKUP($D102,'Required Info to Submit'!$E$23:$J$32,5,FALSE)),"")</f>
        <v/>
      </c>
      <c r="AV102" s="1446"/>
      <c r="AW102" s="1446"/>
      <c r="AX102" s="1447"/>
      <c r="AY102" s="1507" t="str">
        <f>IFERROR(IFERROR('Multi-Customer'!$HG$45,VLOOKUP($D102,'Required Info to Submit'!$E$23:$J$32,6,FALSE)),"")</f>
        <v/>
      </c>
      <c r="AZ102" s="1508"/>
      <c r="BA102" s="1508"/>
      <c r="BB102" s="1508"/>
      <c r="BC102" s="1509"/>
      <c r="BF102" s="139"/>
    </row>
    <row r="103" spans="2:58" x14ac:dyDescent="0.25">
      <c r="B103" s="138"/>
      <c r="C103" s="637">
        <v>9</v>
      </c>
      <c r="D103" s="1530">
        <f>'Customer Inputs'!$B$14</f>
        <v>0</v>
      </c>
      <c r="E103" s="1530"/>
      <c r="F103" s="1530"/>
      <c r="G103" s="1530"/>
      <c r="H103" s="1530"/>
      <c r="I103" s="1530"/>
      <c r="J103" s="1530"/>
      <c r="K103" s="1517" t="str">
        <f>IFERROR(IFERROR('Multi-Customer'!$ID$39,VLOOKUP($D103,'Required Info to Submit'!$E$23:$J$32,2,FALSE)),"")</f>
        <v/>
      </c>
      <c r="L103" s="1517"/>
      <c r="M103" s="1517"/>
      <c r="N103" s="1517"/>
      <c r="O103" s="1517"/>
      <c r="P103" s="1517"/>
      <c r="Q103" s="1517"/>
      <c r="R103" s="1517"/>
      <c r="S103" s="1517"/>
      <c r="T103" s="1517"/>
      <c r="U103" s="1517" t="str">
        <f>IFERROR(IFERROR('Multi-Customer'!$ID$41&amp;" "&amp;'Multi-Customer'!$ID$42,VLOOKUP($D103,'Required Info to Submit'!$E$23:$J$32,3,FALSE)),"")</f>
        <v/>
      </c>
      <c r="V103" s="1517"/>
      <c r="W103" s="1517"/>
      <c r="X103" s="1517"/>
      <c r="Y103" s="1517"/>
      <c r="Z103" s="1517"/>
      <c r="AA103" s="1517"/>
      <c r="AB103" s="1517"/>
      <c r="AC103" s="1517"/>
      <c r="AD103" s="1517"/>
      <c r="AE103" s="1517"/>
      <c r="AF103" s="1517"/>
      <c r="AG103" s="1517"/>
      <c r="AH103" s="1517"/>
      <c r="AI103" s="1517"/>
      <c r="AJ103" s="1522" t="str">
        <f>IFERROR(IFERROR('Multi-Customer'!$ID$43,VLOOKUP($D103,'Required Info to Submit'!$E$23:$J$32,4,FALSE)),"")</f>
        <v/>
      </c>
      <c r="AK103" s="1523"/>
      <c r="AL103" s="1523"/>
      <c r="AM103" s="1523"/>
      <c r="AN103" s="1523"/>
      <c r="AO103" s="1523"/>
      <c r="AP103" s="1523"/>
      <c r="AQ103" s="1523"/>
      <c r="AR103" s="1523"/>
      <c r="AS103" s="1523"/>
      <c r="AT103" s="1524"/>
      <c r="AU103" s="1445" t="str">
        <f>IFERROR(IFERROR('Multi-Customer'!$ID$44,VLOOKUP($D103,'Required Info to Submit'!$E$23:$J$32,5,FALSE)),"")</f>
        <v/>
      </c>
      <c r="AV103" s="1446"/>
      <c r="AW103" s="1446"/>
      <c r="AX103" s="1447"/>
      <c r="AY103" s="1507" t="str">
        <f>IFERROR(IFERROR('Multi-Customer'!$ID$45,VLOOKUP($D103,'Required Info to Submit'!$E$23:$J$32,6,FALSE)),"")</f>
        <v/>
      </c>
      <c r="AZ103" s="1508"/>
      <c r="BA103" s="1508"/>
      <c r="BB103" s="1508"/>
      <c r="BC103" s="1509"/>
      <c r="BF103" s="139"/>
    </row>
    <row r="104" spans="2:58" ht="15.75" thickBot="1" x14ac:dyDescent="0.3">
      <c r="B104" s="138"/>
      <c r="C104" s="638">
        <v>10</v>
      </c>
      <c r="D104" s="1529">
        <f>'Customer Inputs'!$B$15</f>
        <v>0</v>
      </c>
      <c r="E104" s="1529"/>
      <c r="F104" s="1529"/>
      <c r="G104" s="1529"/>
      <c r="H104" s="1529"/>
      <c r="I104" s="1529"/>
      <c r="J104" s="1529"/>
      <c r="K104" s="1528" t="str">
        <f>IFERROR(IFERROR('Multi-Customer'!$JA$39,VLOOKUP($D104,'Required Info to Submit'!$E$23:$J$32,2,FALSE)),"")</f>
        <v/>
      </c>
      <c r="L104" s="1528"/>
      <c r="M104" s="1528"/>
      <c r="N104" s="1528"/>
      <c r="O104" s="1528"/>
      <c r="P104" s="1528"/>
      <c r="Q104" s="1528"/>
      <c r="R104" s="1528"/>
      <c r="S104" s="1528"/>
      <c r="T104" s="1528"/>
      <c r="U104" s="1528" t="str">
        <f>IFERROR(IFERROR('Multi-Customer'!$JA$41&amp;" "&amp;'Multi-Customer'!$JA$42,VLOOKUP($D104,'Required Info to Submit'!$E$23:$J$32,3,FALSE)),"")</f>
        <v/>
      </c>
      <c r="V104" s="1528"/>
      <c r="W104" s="1528"/>
      <c r="X104" s="1528"/>
      <c r="Y104" s="1528"/>
      <c r="Z104" s="1528"/>
      <c r="AA104" s="1528"/>
      <c r="AB104" s="1528"/>
      <c r="AC104" s="1528"/>
      <c r="AD104" s="1528"/>
      <c r="AE104" s="1528"/>
      <c r="AF104" s="1528"/>
      <c r="AG104" s="1528"/>
      <c r="AH104" s="1528"/>
      <c r="AI104" s="1528"/>
      <c r="AJ104" s="1519" t="str">
        <f>IFERROR(IFERROR('Multi-Customer'!$JA$43,VLOOKUP($D104,'Required Info to Submit'!$E$23:$J$32,4,FALSE)),"")</f>
        <v/>
      </c>
      <c r="AK104" s="1520"/>
      <c r="AL104" s="1520"/>
      <c r="AM104" s="1520"/>
      <c r="AN104" s="1520"/>
      <c r="AO104" s="1520"/>
      <c r="AP104" s="1520"/>
      <c r="AQ104" s="1520"/>
      <c r="AR104" s="1520"/>
      <c r="AS104" s="1520"/>
      <c r="AT104" s="1521"/>
      <c r="AU104" s="1514" t="str">
        <f>IFERROR(IFERROR('Multi-Customer'!$JA$44,VLOOKUP($D104,'Required Info to Submit'!$E$23:$J$32,5,FALSE)),"")</f>
        <v/>
      </c>
      <c r="AV104" s="1515"/>
      <c r="AW104" s="1515"/>
      <c r="AX104" s="1516"/>
      <c r="AY104" s="1504" t="str">
        <f>IFERROR(IFERROR('Multi-Customer'!$JA$45,VLOOKUP($D104,'Required Info to Submit'!$E$23:$J$32,6,FALSE)),"")</f>
        <v/>
      </c>
      <c r="AZ104" s="1505"/>
      <c r="BA104" s="1505"/>
      <c r="BB104" s="1505"/>
      <c r="BC104" s="1506"/>
      <c r="BF104" s="139"/>
    </row>
    <row r="105" spans="2:58" x14ac:dyDescent="0.25">
      <c r="B105" s="138"/>
      <c r="BF105" s="139"/>
    </row>
    <row r="106" spans="2:58" x14ac:dyDescent="0.25">
      <c r="B106" s="138"/>
      <c r="BF106" s="139"/>
    </row>
    <row r="107" spans="2:58" ht="18.75" x14ac:dyDescent="0.3">
      <c r="B107" s="1495" t="s">
        <v>1015</v>
      </c>
      <c r="C107" s="1496"/>
      <c r="D107" s="1496"/>
      <c r="E107" s="1496"/>
      <c r="F107" s="1496"/>
      <c r="G107" s="1496"/>
      <c r="H107" s="1496"/>
      <c r="I107" s="1496"/>
      <c r="J107" s="1496"/>
      <c r="K107" s="1496"/>
      <c r="L107" s="1496"/>
      <c r="M107" s="1496"/>
      <c r="N107" s="1496"/>
      <c r="O107" s="1496"/>
      <c r="P107" s="1496"/>
      <c r="Q107" s="1496"/>
      <c r="R107" s="1496"/>
      <c r="S107" s="1496"/>
      <c r="T107" s="1496"/>
      <c r="U107" s="1496"/>
      <c r="V107" s="1496"/>
      <c r="W107" s="1496"/>
      <c r="X107" s="1496"/>
      <c r="Y107" s="1496"/>
      <c r="Z107" s="1496"/>
      <c r="AA107" s="1496"/>
      <c r="AB107" s="1496"/>
      <c r="AC107" s="1496"/>
      <c r="AD107" s="1496"/>
      <c r="AE107" s="1496"/>
      <c r="AF107" s="1496"/>
      <c r="AG107" s="1496"/>
      <c r="AH107" s="1496"/>
      <c r="AI107" s="1496"/>
      <c r="AJ107" s="1496"/>
      <c r="AK107" s="1496"/>
      <c r="AL107" s="1496"/>
      <c r="AM107" s="1496"/>
      <c r="AN107" s="1496"/>
      <c r="AO107" s="1496"/>
      <c r="AP107" s="1496"/>
      <c r="AQ107" s="1496"/>
      <c r="AR107" s="1496"/>
      <c r="AS107" s="1496"/>
      <c r="AT107" s="1496"/>
      <c r="AU107" s="1496"/>
      <c r="AV107" s="1496"/>
      <c r="AW107" s="1496"/>
      <c r="AX107" s="1496"/>
      <c r="AY107" s="1496"/>
      <c r="AZ107" s="1496"/>
      <c r="BA107" s="1496"/>
      <c r="BB107" s="1496"/>
      <c r="BC107" s="1496"/>
      <c r="BD107" s="1496"/>
      <c r="BE107" s="1496"/>
      <c r="BF107" s="1497"/>
    </row>
    <row r="108" spans="2:58" ht="15.75" thickBot="1" x14ac:dyDescent="0.3">
      <c r="B108" s="138"/>
      <c r="BF108" s="139"/>
    </row>
    <row r="109" spans="2:58" ht="29.45" customHeight="1" thickBot="1" x14ac:dyDescent="0.3">
      <c r="B109" s="682" t="s">
        <v>1008</v>
      </c>
      <c r="D109" s="249"/>
      <c r="E109" s="249"/>
      <c r="F109" s="249"/>
      <c r="G109" s="249"/>
      <c r="H109" s="249"/>
      <c r="I109" s="249"/>
      <c r="J109" s="249"/>
      <c r="K109" s="249"/>
      <c r="L109" s="249"/>
      <c r="M109" s="249"/>
      <c r="N109" s="249"/>
      <c r="O109" s="249"/>
      <c r="P109" s="249"/>
      <c r="Q109" s="249"/>
      <c r="R109" s="249"/>
      <c r="S109" s="249"/>
      <c r="T109" s="249"/>
      <c r="U109" s="1583" t="s">
        <v>1016</v>
      </c>
      <c r="V109" s="1584"/>
      <c r="W109" s="1584"/>
      <c r="X109" s="1584"/>
      <c r="Y109" s="1584"/>
      <c r="Z109" s="1584" t="s">
        <v>1009</v>
      </c>
      <c r="AA109" s="1584"/>
      <c r="AB109" s="1584"/>
      <c r="AC109" s="1584"/>
      <c r="AD109" s="1584"/>
      <c r="AE109" s="1584"/>
      <c r="AF109" s="1584" t="s">
        <v>1010</v>
      </c>
      <c r="AG109" s="1584"/>
      <c r="AH109" s="1584"/>
      <c r="AI109" s="1584"/>
      <c r="AJ109" s="1584"/>
      <c r="AK109" s="1584"/>
      <c r="AL109" s="1584"/>
      <c r="AM109" s="1584" t="s">
        <v>1013</v>
      </c>
      <c r="AN109" s="1584"/>
      <c r="AO109" s="1584"/>
      <c r="AP109" s="1584"/>
      <c r="AQ109" s="1584"/>
      <c r="AR109" s="1584"/>
      <c r="AS109" s="1610"/>
      <c r="AT109" s="249"/>
      <c r="AU109" s="249"/>
      <c r="AV109" s="249"/>
      <c r="AW109" s="249"/>
      <c r="AX109" s="249"/>
      <c r="AY109" s="249"/>
      <c r="AZ109" s="249"/>
      <c r="BA109" s="249"/>
      <c r="BB109" s="249"/>
      <c r="BC109" s="249"/>
      <c r="BD109" s="249"/>
      <c r="BE109" s="249"/>
      <c r="BF109" s="641"/>
    </row>
    <row r="110" spans="2:58" x14ac:dyDescent="0.25">
      <c r="B110" s="138"/>
      <c r="D110" s="1579" t="s">
        <v>99</v>
      </c>
      <c r="E110" s="1518"/>
      <c r="F110" s="1518"/>
      <c r="G110" s="1518"/>
      <c r="H110" s="1518"/>
      <c r="I110" s="1518"/>
      <c r="J110" s="1518"/>
      <c r="K110" s="1518"/>
      <c r="L110" s="1518"/>
      <c r="M110" s="1518"/>
      <c r="N110" s="1518"/>
      <c r="O110" s="1518"/>
      <c r="P110" s="1518"/>
      <c r="Q110" s="1518"/>
      <c r="R110" s="1518"/>
      <c r="S110" s="1518"/>
      <c r="T110" s="1580"/>
      <c r="U110" s="1588" t="str">
        <f>IF('PIM Model'!$B$10=0,"",'PIM Model'!$B$10)</f>
        <v/>
      </c>
      <c r="V110" s="1585"/>
      <c r="W110" s="1585"/>
      <c r="X110" s="1585"/>
      <c r="Y110" s="1585"/>
      <c r="Z110" s="1585" t="str">
        <f>'PIM Model'!$AF$10</f>
        <v/>
      </c>
      <c r="AA110" s="1585"/>
      <c r="AB110" s="1585"/>
      <c r="AC110" s="1585"/>
      <c r="AD110" s="1585"/>
      <c r="AE110" s="1585"/>
      <c r="AF110" s="1597" t="str">
        <f>'PIM Model'!$AG$10</f>
        <v/>
      </c>
      <c r="AG110" s="1598"/>
      <c r="AH110" s="1598"/>
      <c r="AI110" s="1598"/>
      <c r="AJ110" s="1598"/>
      <c r="AK110" s="1598"/>
      <c r="AL110" s="1599"/>
      <c r="AM110" s="1597" t="str">
        <f>'PIM Model'!$AH$10</f>
        <v/>
      </c>
      <c r="AN110" s="1598"/>
      <c r="AO110" s="1598"/>
      <c r="AP110" s="1598"/>
      <c r="AQ110" s="1598"/>
      <c r="AR110" s="1598"/>
      <c r="AS110" s="1611"/>
      <c r="BF110" s="139"/>
    </row>
    <row r="111" spans="2:58" x14ac:dyDescent="0.25">
      <c r="B111" s="138"/>
      <c r="D111" s="1581" t="s">
        <v>103</v>
      </c>
      <c r="E111" s="1517"/>
      <c r="F111" s="1517"/>
      <c r="G111" s="1517"/>
      <c r="H111" s="1517"/>
      <c r="I111" s="1517"/>
      <c r="J111" s="1517"/>
      <c r="K111" s="1517"/>
      <c r="L111" s="1517"/>
      <c r="M111" s="1517"/>
      <c r="N111" s="1517"/>
      <c r="O111" s="1517"/>
      <c r="P111" s="1517"/>
      <c r="Q111" s="1517"/>
      <c r="R111" s="1517"/>
      <c r="S111" s="1517"/>
      <c r="T111" s="1582"/>
      <c r="U111" s="1589" t="str">
        <f>IF('PIM Model'!$B$11=0,"",'PIM Model'!$B$11)</f>
        <v/>
      </c>
      <c r="V111" s="1444"/>
      <c r="W111" s="1444"/>
      <c r="X111" s="1444"/>
      <c r="Y111" s="1444"/>
      <c r="Z111" s="1444" t="str">
        <f>'PIM Model'!$AF$11</f>
        <v/>
      </c>
      <c r="AA111" s="1444"/>
      <c r="AB111" s="1444"/>
      <c r="AC111" s="1444"/>
      <c r="AD111" s="1444"/>
      <c r="AE111" s="1444"/>
      <c r="AF111" s="1507" t="str">
        <f>'PIM Model'!$AG$11</f>
        <v/>
      </c>
      <c r="AG111" s="1508"/>
      <c r="AH111" s="1508"/>
      <c r="AI111" s="1508"/>
      <c r="AJ111" s="1508"/>
      <c r="AK111" s="1508"/>
      <c r="AL111" s="1593"/>
      <c r="AM111" s="1507" t="str">
        <f>'PIM Model'!$AH$11</f>
        <v/>
      </c>
      <c r="AN111" s="1508"/>
      <c r="AO111" s="1508"/>
      <c r="AP111" s="1508"/>
      <c r="AQ111" s="1508"/>
      <c r="AR111" s="1508"/>
      <c r="AS111" s="1509"/>
      <c r="BF111" s="139"/>
    </row>
    <row r="112" spans="2:58" x14ac:dyDescent="0.25">
      <c r="B112" s="138"/>
      <c r="D112" s="1581" t="s">
        <v>1399</v>
      </c>
      <c r="E112" s="1517"/>
      <c r="F112" s="1517"/>
      <c r="G112" s="1517"/>
      <c r="H112" s="1517"/>
      <c r="I112" s="1517"/>
      <c r="J112" s="1517"/>
      <c r="K112" s="1517"/>
      <c r="L112" s="1517"/>
      <c r="M112" s="1517"/>
      <c r="N112" s="1517"/>
      <c r="O112" s="1517"/>
      <c r="P112" s="1517"/>
      <c r="Q112" s="1517"/>
      <c r="R112" s="1517"/>
      <c r="S112" s="1517"/>
      <c r="T112" s="1582"/>
      <c r="U112" s="1589" t="str">
        <f>IF('PIM Model'!$B$12=0,"",'PIM Model'!$B$12)</f>
        <v/>
      </c>
      <c r="V112" s="1444"/>
      <c r="W112" s="1444"/>
      <c r="X112" s="1444"/>
      <c r="Y112" s="1444"/>
      <c r="Z112" s="1444" t="str">
        <f>'PIM Model'!$AF$12</f>
        <v/>
      </c>
      <c r="AA112" s="1444"/>
      <c r="AB112" s="1444"/>
      <c r="AC112" s="1444"/>
      <c r="AD112" s="1444"/>
      <c r="AE112" s="1444"/>
      <c r="AF112" s="1507" t="str">
        <f>'PIM Model'!$AG$12</f>
        <v/>
      </c>
      <c r="AG112" s="1508"/>
      <c r="AH112" s="1508"/>
      <c r="AI112" s="1508"/>
      <c r="AJ112" s="1508"/>
      <c r="AK112" s="1508"/>
      <c r="AL112" s="1593"/>
      <c r="AM112" s="1507" t="str">
        <f>'PIM Model'!$AH$12</f>
        <v/>
      </c>
      <c r="AN112" s="1508"/>
      <c r="AO112" s="1508"/>
      <c r="AP112" s="1508"/>
      <c r="AQ112" s="1508"/>
      <c r="AR112" s="1508"/>
      <c r="AS112" s="1509"/>
      <c r="BF112" s="139"/>
    </row>
    <row r="113" spans="2:58" x14ac:dyDescent="0.25">
      <c r="B113" s="138"/>
      <c r="D113" s="1581" t="s">
        <v>102</v>
      </c>
      <c r="E113" s="1517"/>
      <c r="F113" s="1517"/>
      <c r="G113" s="1517"/>
      <c r="H113" s="1517"/>
      <c r="I113" s="1517"/>
      <c r="J113" s="1517"/>
      <c r="K113" s="1517"/>
      <c r="L113" s="1517"/>
      <c r="M113" s="1517"/>
      <c r="N113" s="1517"/>
      <c r="O113" s="1517"/>
      <c r="P113" s="1517"/>
      <c r="Q113" s="1517"/>
      <c r="R113" s="1517"/>
      <c r="S113" s="1517"/>
      <c r="T113" s="1582"/>
      <c r="U113" s="1589" t="str">
        <f>IF('PIM Model'!$B$13=0,"",'PIM Model'!$B$13)</f>
        <v/>
      </c>
      <c r="V113" s="1444"/>
      <c r="W113" s="1444"/>
      <c r="X113" s="1444"/>
      <c r="Y113" s="1444"/>
      <c r="Z113" s="1444" t="str">
        <f>'PIM Model'!$AF$13</f>
        <v/>
      </c>
      <c r="AA113" s="1444"/>
      <c r="AB113" s="1444"/>
      <c r="AC113" s="1444"/>
      <c r="AD113" s="1444"/>
      <c r="AE113" s="1444"/>
      <c r="AF113" s="1507" t="str">
        <f>'PIM Model'!$AG$13</f>
        <v/>
      </c>
      <c r="AG113" s="1508"/>
      <c r="AH113" s="1508"/>
      <c r="AI113" s="1508"/>
      <c r="AJ113" s="1508"/>
      <c r="AK113" s="1508"/>
      <c r="AL113" s="1593"/>
      <c r="AM113" s="1507" t="str">
        <f>'PIM Model'!$AH$13</f>
        <v/>
      </c>
      <c r="AN113" s="1508"/>
      <c r="AO113" s="1508"/>
      <c r="AP113" s="1508"/>
      <c r="AQ113" s="1508"/>
      <c r="AR113" s="1508"/>
      <c r="AS113" s="1509"/>
      <c r="BF113" s="139"/>
    </row>
    <row r="114" spans="2:58" x14ac:dyDescent="0.25">
      <c r="B114" s="138"/>
      <c r="D114" s="1581" t="s">
        <v>100</v>
      </c>
      <c r="E114" s="1517"/>
      <c r="F114" s="1517"/>
      <c r="G114" s="1517"/>
      <c r="H114" s="1517"/>
      <c r="I114" s="1517"/>
      <c r="J114" s="1517"/>
      <c r="K114" s="1517"/>
      <c r="L114" s="1517"/>
      <c r="M114" s="1517"/>
      <c r="N114" s="1517"/>
      <c r="O114" s="1517"/>
      <c r="P114" s="1517"/>
      <c r="Q114" s="1517"/>
      <c r="R114" s="1517"/>
      <c r="S114" s="1517"/>
      <c r="T114" s="1582"/>
      <c r="U114" s="1589" t="str">
        <f>IF('PIM Model'!$B$14=0,"",'PIM Model'!$B$14)</f>
        <v/>
      </c>
      <c r="V114" s="1444"/>
      <c r="W114" s="1444"/>
      <c r="X114" s="1444"/>
      <c r="Y114" s="1444"/>
      <c r="Z114" s="1444" t="str">
        <f>'PIM Model'!$AF$14</f>
        <v/>
      </c>
      <c r="AA114" s="1444"/>
      <c r="AB114" s="1444"/>
      <c r="AC114" s="1444"/>
      <c r="AD114" s="1444"/>
      <c r="AE114" s="1444"/>
      <c r="AF114" s="1507" t="str">
        <f>'PIM Model'!$AG$14</f>
        <v/>
      </c>
      <c r="AG114" s="1508"/>
      <c r="AH114" s="1508"/>
      <c r="AI114" s="1508"/>
      <c r="AJ114" s="1508"/>
      <c r="AK114" s="1508"/>
      <c r="AL114" s="1593"/>
      <c r="AM114" s="1507" t="str">
        <f>'PIM Model'!$AH$14</f>
        <v/>
      </c>
      <c r="AN114" s="1508"/>
      <c r="AO114" s="1508"/>
      <c r="AP114" s="1508"/>
      <c r="AQ114" s="1508"/>
      <c r="AR114" s="1508"/>
      <c r="AS114" s="1509"/>
      <c r="BF114" s="139"/>
    </row>
    <row r="115" spans="2:58" x14ac:dyDescent="0.25">
      <c r="B115" s="138"/>
      <c r="D115" s="1581" t="s">
        <v>104</v>
      </c>
      <c r="E115" s="1517"/>
      <c r="F115" s="1517"/>
      <c r="G115" s="1517"/>
      <c r="H115" s="1517"/>
      <c r="I115" s="1517"/>
      <c r="J115" s="1517"/>
      <c r="K115" s="1517"/>
      <c r="L115" s="1517"/>
      <c r="M115" s="1517"/>
      <c r="N115" s="1517"/>
      <c r="O115" s="1517"/>
      <c r="P115" s="1517"/>
      <c r="Q115" s="1517"/>
      <c r="R115" s="1517"/>
      <c r="S115" s="1517"/>
      <c r="T115" s="1582"/>
      <c r="U115" s="1589" t="str">
        <f>IF('PIM Model'!$B$15=0,"",'PIM Model'!$B$15)</f>
        <v/>
      </c>
      <c r="V115" s="1444"/>
      <c r="W115" s="1444"/>
      <c r="X115" s="1444"/>
      <c r="Y115" s="1444"/>
      <c r="Z115" s="1444" t="str">
        <f>'PIM Model'!$AF$15</f>
        <v/>
      </c>
      <c r="AA115" s="1444"/>
      <c r="AB115" s="1444"/>
      <c r="AC115" s="1444"/>
      <c r="AD115" s="1444"/>
      <c r="AE115" s="1444"/>
      <c r="AF115" s="1507" t="str">
        <f>'PIM Model'!$AG$15</f>
        <v/>
      </c>
      <c r="AG115" s="1508"/>
      <c r="AH115" s="1508"/>
      <c r="AI115" s="1508"/>
      <c r="AJ115" s="1508"/>
      <c r="AK115" s="1508"/>
      <c r="AL115" s="1593"/>
      <c r="AM115" s="1507" t="str">
        <f>'PIM Model'!$AH$15</f>
        <v/>
      </c>
      <c r="AN115" s="1508"/>
      <c r="AO115" s="1508"/>
      <c r="AP115" s="1508"/>
      <c r="AQ115" s="1508"/>
      <c r="AR115" s="1508"/>
      <c r="AS115" s="1509"/>
      <c r="BF115" s="139"/>
    </row>
    <row r="116" spans="2:58" x14ac:dyDescent="0.25">
      <c r="B116" s="138"/>
      <c r="D116" s="1581" t="s">
        <v>98</v>
      </c>
      <c r="E116" s="1517"/>
      <c r="F116" s="1517"/>
      <c r="G116" s="1517"/>
      <c r="H116" s="1517"/>
      <c r="I116" s="1517"/>
      <c r="J116" s="1517"/>
      <c r="K116" s="1517"/>
      <c r="L116" s="1517"/>
      <c r="M116" s="1517"/>
      <c r="N116" s="1517"/>
      <c r="O116" s="1517"/>
      <c r="P116" s="1517"/>
      <c r="Q116" s="1517"/>
      <c r="R116" s="1517"/>
      <c r="S116" s="1517"/>
      <c r="T116" s="1582"/>
      <c r="U116" s="1589" t="str">
        <f>IF('PIM Model'!$B$16=0,"",'PIM Model'!$B$16)</f>
        <v/>
      </c>
      <c r="V116" s="1444"/>
      <c r="W116" s="1444"/>
      <c r="X116" s="1444"/>
      <c r="Y116" s="1444"/>
      <c r="Z116" s="1444" t="str">
        <f>'PIM Model'!$AF$16</f>
        <v/>
      </c>
      <c r="AA116" s="1444"/>
      <c r="AB116" s="1444"/>
      <c r="AC116" s="1444"/>
      <c r="AD116" s="1444"/>
      <c r="AE116" s="1444"/>
      <c r="AF116" s="1507" t="str">
        <f>'PIM Model'!$AG$16</f>
        <v/>
      </c>
      <c r="AG116" s="1508"/>
      <c r="AH116" s="1508"/>
      <c r="AI116" s="1508"/>
      <c r="AJ116" s="1508"/>
      <c r="AK116" s="1508"/>
      <c r="AL116" s="1593"/>
      <c r="AM116" s="1507" t="str">
        <f>'PIM Model'!$AH$16</f>
        <v/>
      </c>
      <c r="AN116" s="1508"/>
      <c r="AO116" s="1508"/>
      <c r="AP116" s="1508"/>
      <c r="AQ116" s="1508"/>
      <c r="AR116" s="1508"/>
      <c r="AS116" s="1509"/>
      <c r="BF116" s="139"/>
    </row>
    <row r="117" spans="2:58" x14ac:dyDescent="0.25">
      <c r="B117" s="138"/>
      <c r="D117" s="1581" t="s">
        <v>95</v>
      </c>
      <c r="E117" s="1517"/>
      <c r="F117" s="1517"/>
      <c r="G117" s="1517"/>
      <c r="H117" s="1517"/>
      <c r="I117" s="1517"/>
      <c r="J117" s="1517"/>
      <c r="K117" s="1517"/>
      <c r="L117" s="1517"/>
      <c r="M117" s="1517"/>
      <c r="N117" s="1517"/>
      <c r="O117" s="1517"/>
      <c r="P117" s="1517"/>
      <c r="Q117" s="1517"/>
      <c r="R117" s="1517"/>
      <c r="S117" s="1517"/>
      <c r="T117" s="1582"/>
      <c r="U117" s="1589" t="str">
        <f>IF('PIM Model'!$B$17=0,"",'PIM Model'!$B$17)</f>
        <v/>
      </c>
      <c r="V117" s="1444"/>
      <c r="W117" s="1444"/>
      <c r="X117" s="1444"/>
      <c r="Y117" s="1444"/>
      <c r="Z117" s="1444" t="str">
        <f>'PIM Model'!$AF$17</f>
        <v/>
      </c>
      <c r="AA117" s="1444"/>
      <c r="AB117" s="1444"/>
      <c r="AC117" s="1444"/>
      <c r="AD117" s="1444"/>
      <c r="AE117" s="1444"/>
      <c r="AF117" s="1507" t="str">
        <f>'PIM Model'!$AG$17</f>
        <v/>
      </c>
      <c r="AG117" s="1508"/>
      <c r="AH117" s="1508"/>
      <c r="AI117" s="1508"/>
      <c r="AJ117" s="1508"/>
      <c r="AK117" s="1508"/>
      <c r="AL117" s="1593"/>
      <c r="AM117" s="1507" t="str">
        <f>'PIM Model'!$AH$17</f>
        <v/>
      </c>
      <c r="AN117" s="1508"/>
      <c r="AO117" s="1508"/>
      <c r="AP117" s="1508"/>
      <c r="AQ117" s="1508"/>
      <c r="AR117" s="1508"/>
      <c r="AS117" s="1509"/>
      <c r="BF117" s="139"/>
    </row>
    <row r="118" spans="2:58" x14ac:dyDescent="0.25">
      <c r="B118" s="138"/>
      <c r="D118" s="1581" t="s">
        <v>96</v>
      </c>
      <c r="E118" s="1517"/>
      <c r="F118" s="1517"/>
      <c r="G118" s="1517"/>
      <c r="H118" s="1517"/>
      <c r="I118" s="1517"/>
      <c r="J118" s="1517"/>
      <c r="K118" s="1517"/>
      <c r="L118" s="1517"/>
      <c r="M118" s="1517"/>
      <c r="N118" s="1517"/>
      <c r="O118" s="1517"/>
      <c r="P118" s="1517"/>
      <c r="Q118" s="1517"/>
      <c r="R118" s="1517"/>
      <c r="S118" s="1517"/>
      <c r="T118" s="1582"/>
      <c r="U118" s="1589" t="str">
        <f>IF('PIM Model'!$B$18=0,"",'PIM Model'!$B$18)</f>
        <v/>
      </c>
      <c r="V118" s="1444"/>
      <c r="W118" s="1444"/>
      <c r="X118" s="1444"/>
      <c r="Y118" s="1444"/>
      <c r="Z118" s="1444" t="str">
        <f>'PIM Model'!$AF$18</f>
        <v/>
      </c>
      <c r="AA118" s="1444"/>
      <c r="AB118" s="1444"/>
      <c r="AC118" s="1444"/>
      <c r="AD118" s="1444"/>
      <c r="AE118" s="1444"/>
      <c r="AF118" s="1507" t="str">
        <f>'PIM Model'!$AG$18</f>
        <v/>
      </c>
      <c r="AG118" s="1508"/>
      <c r="AH118" s="1508"/>
      <c r="AI118" s="1508"/>
      <c r="AJ118" s="1508"/>
      <c r="AK118" s="1508"/>
      <c r="AL118" s="1593"/>
      <c r="AM118" s="1507" t="str">
        <f>'PIM Model'!$AH$18</f>
        <v/>
      </c>
      <c r="AN118" s="1508"/>
      <c r="AO118" s="1508"/>
      <c r="AP118" s="1508"/>
      <c r="AQ118" s="1508"/>
      <c r="AR118" s="1508"/>
      <c r="AS118" s="1509"/>
      <c r="BF118" s="139"/>
    </row>
    <row r="119" spans="2:58" x14ac:dyDescent="0.25">
      <c r="B119" s="138"/>
      <c r="D119" s="1581" t="s">
        <v>101</v>
      </c>
      <c r="E119" s="1517"/>
      <c r="F119" s="1517"/>
      <c r="G119" s="1517"/>
      <c r="H119" s="1517"/>
      <c r="I119" s="1517"/>
      <c r="J119" s="1517"/>
      <c r="K119" s="1517"/>
      <c r="L119" s="1517"/>
      <c r="M119" s="1517"/>
      <c r="N119" s="1517"/>
      <c r="O119" s="1517"/>
      <c r="P119" s="1517"/>
      <c r="Q119" s="1517"/>
      <c r="R119" s="1517"/>
      <c r="S119" s="1517"/>
      <c r="T119" s="1582"/>
      <c r="U119" s="1589" t="str">
        <f>IF('PIM Model'!$B$19=0,"",'PIM Model'!$B$19)</f>
        <v/>
      </c>
      <c r="V119" s="1444"/>
      <c r="W119" s="1444"/>
      <c r="X119" s="1444"/>
      <c r="Y119" s="1444"/>
      <c r="Z119" s="1444" t="str">
        <f>'PIM Model'!$AF$19</f>
        <v/>
      </c>
      <c r="AA119" s="1444"/>
      <c r="AB119" s="1444"/>
      <c r="AC119" s="1444"/>
      <c r="AD119" s="1444"/>
      <c r="AE119" s="1444"/>
      <c r="AF119" s="1507" t="str">
        <f>'PIM Model'!$AG$19</f>
        <v/>
      </c>
      <c r="AG119" s="1508"/>
      <c r="AH119" s="1508"/>
      <c r="AI119" s="1508"/>
      <c r="AJ119" s="1508"/>
      <c r="AK119" s="1508"/>
      <c r="AL119" s="1593"/>
      <c r="AM119" s="1507" t="str">
        <f>'PIM Model'!$AH$19</f>
        <v/>
      </c>
      <c r="AN119" s="1508"/>
      <c r="AO119" s="1508"/>
      <c r="AP119" s="1508"/>
      <c r="AQ119" s="1508"/>
      <c r="AR119" s="1508"/>
      <c r="AS119" s="1509"/>
      <c r="BF119" s="139"/>
    </row>
    <row r="120" spans="2:58" x14ac:dyDescent="0.25">
      <c r="B120" s="138"/>
      <c r="D120" s="1581" t="s">
        <v>97</v>
      </c>
      <c r="E120" s="1517"/>
      <c r="F120" s="1517"/>
      <c r="G120" s="1517"/>
      <c r="H120" s="1517"/>
      <c r="I120" s="1517"/>
      <c r="J120" s="1517"/>
      <c r="K120" s="1517"/>
      <c r="L120" s="1517"/>
      <c r="M120" s="1517"/>
      <c r="N120" s="1517"/>
      <c r="O120" s="1517"/>
      <c r="P120" s="1517"/>
      <c r="Q120" s="1517"/>
      <c r="R120" s="1517"/>
      <c r="S120" s="1517"/>
      <c r="T120" s="1582"/>
      <c r="U120" s="1589" t="str">
        <f>IF('PIM Model'!$B$20=0,"",'PIM Model'!$B$20)</f>
        <v/>
      </c>
      <c r="V120" s="1444"/>
      <c r="W120" s="1444"/>
      <c r="X120" s="1444"/>
      <c r="Y120" s="1444"/>
      <c r="Z120" s="1444" t="str">
        <f>'PIM Model'!$AF$20</f>
        <v/>
      </c>
      <c r="AA120" s="1444"/>
      <c r="AB120" s="1444"/>
      <c r="AC120" s="1444"/>
      <c r="AD120" s="1444"/>
      <c r="AE120" s="1444"/>
      <c r="AF120" s="1507" t="str">
        <f>'PIM Model'!$AG$20</f>
        <v/>
      </c>
      <c r="AG120" s="1508"/>
      <c r="AH120" s="1508"/>
      <c r="AI120" s="1508"/>
      <c r="AJ120" s="1508"/>
      <c r="AK120" s="1508"/>
      <c r="AL120" s="1593"/>
      <c r="AM120" s="1507" t="str">
        <f>'PIM Model'!$AH$20</f>
        <v/>
      </c>
      <c r="AN120" s="1508"/>
      <c r="AO120" s="1508"/>
      <c r="AP120" s="1508"/>
      <c r="AQ120" s="1508"/>
      <c r="AR120" s="1508"/>
      <c r="AS120" s="1509"/>
      <c r="BF120" s="139"/>
    </row>
    <row r="121" spans="2:58" x14ac:dyDescent="0.25">
      <c r="B121" s="138"/>
      <c r="D121" s="1581" t="s">
        <v>93</v>
      </c>
      <c r="E121" s="1517"/>
      <c r="F121" s="1517"/>
      <c r="G121" s="1517"/>
      <c r="H121" s="1517"/>
      <c r="I121" s="1517"/>
      <c r="J121" s="1517"/>
      <c r="K121" s="1517"/>
      <c r="L121" s="1517"/>
      <c r="M121" s="1517"/>
      <c r="N121" s="1517"/>
      <c r="O121" s="1517"/>
      <c r="P121" s="1517"/>
      <c r="Q121" s="1517"/>
      <c r="R121" s="1517"/>
      <c r="S121" s="1517"/>
      <c r="T121" s="1582"/>
      <c r="U121" s="1589" t="str">
        <f>IF('PIM Model'!$B$21=0,"",'PIM Model'!$B$21)</f>
        <v/>
      </c>
      <c r="V121" s="1444"/>
      <c r="W121" s="1444"/>
      <c r="X121" s="1444"/>
      <c r="Y121" s="1444"/>
      <c r="Z121" s="1444" t="str">
        <f>'PIM Model'!$AF$21</f>
        <v/>
      </c>
      <c r="AA121" s="1444"/>
      <c r="AB121" s="1444"/>
      <c r="AC121" s="1444"/>
      <c r="AD121" s="1444"/>
      <c r="AE121" s="1444"/>
      <c r="AF121" s="1507" t="str">
        <f>'PIM Model'!$AG$21</f>
        <v/>
      </c>
      <c r="AG121" s="1508"/>
      <c r="AH121" s="1508"/>
      <c r="AI121" s="1508"/>
      <c r="AJ121" s="1508"/>
      <c r="AK121" s="1508"/>
      <c r="AL121" s="1593"/>
      <c r="AM121" s="1507" t="str">
        <f>'PIM Model'!$AH$21</f>
        <v/>
      </c>
      <c r="AN121" s="1508"/>
      <c r="AO121" s="1508"/>
      <c r="AP121" s="1508"/>
      <c r="AQ121" s="1508"/>
      <c r="AR121" s="1508"/>
      <c r="AS121" s="1509"/>
      <c r="BF121" s="139"/>
    </row>
    <row r="122" spans="2:58" x14ac:dyDescent="0.25">
      <c r="B122" s="138"/>
      <c r="D122" s="1581" t="s">
        <v>105</v>
      </c>
      <c r="E122" s="1517"/>
      <c r="F122" s="1517"/>
      <c r="G122" s="1517"/>
      <c r="H122" s="1517"/>
      <c r="I122" s="1517"/>
      <c r="J122" s="1517"/>
      <c r="K122" s="1517"/>
      <c r="L122" s="1517"/>
      <c r="M122" s="1517"/>
      <c r="N122" s="1517"/>
      <c r="O122" s="1517"/>
      <c r="P122" s="1517"/>
      <c r="Q122" s="1517"/>
      <c r="R122" s="1517"/>
      <c r="S122" s="1517"/>
      <c r="T122" s="1582"/>
      <c r="U122" s="1589" t="str">
        <f>IF('PIM Model'!$B$22=0,"",'PIM Model'!$B$22)</f>
        <v/>
      </c>
      <c r="V122" s="1444"/>
      <c r="W122" s="1444"/>
      <c r="X122" s="1444"/>
      <c r="Y122" s="1444"/>
      <c r="Z122" s="1444" t="str">
        <f>'PIM Model'!$AF$22</f>
        <v/>
      </c>
      <c r="AA122" s="1444"/>
      <c r="AB122" s="1444"/>
      <c r="AC122" s="1444"/>
      <c r="AD122" s="1444"/>
      <c r="AE122" s="1444"/>
      <c r="AF122" s="1507" t="str">
        <f>'PIM Model'!$AG$22</f>
        <v/>
      </c>
      <c r="AG122" s="1508"/>
      <c r="AH122" s="1508"/>
      <c r="AI122" s="1508"/>
      <c r="AJ122" s="1508"/>
      <c r="AK122" s="1508"/>
      <c r="AL122" s="1593"/>
      <c r="AM122" s="1507" t="str">
        <f>'PIM Model'!$AH$22</f>
        <v/>
      </c>
      <c r="AN122" s="1508"/>
      <c r="AO122" s="1508"/>
      <c r="AP122" s="1508"/>
      <c r="AQ122" s="1508"/>
      <c r="AR122" s="1508"/>
      <c r="AS122" s="1509"/>
      <c r="BF122" s="139"/>
    </row>
    <row r="123" spans="2:58" x14ac:dyDescent="0.25">
      <c r="B123" s="138"/>
      <c r="D123" s="1581" t="s">
        <v>92</v>
      </c>
      <c r="E123" s="1517"/>
      <c r="F123" s="1517"/>
      <c r="G123" s="1517"/>
      <c r="H123" s="1517"/>
      <c r="I123" s="1517"/>
      <c r="J123" s="1517"/>
      <c r="K123" s="1517"/>
      <c r="L123" s="1517"/>
      <c r="M123" s="1517"/>
      <c r="N123" s="1517"/>
      <c r="O123" s="1517"/>
      <c r="P123" s="1517"/>
      <c r="Q123" s="1517"/>
      <c r="R123" s="1517"/>
      <c r="S123" s="1517"/>
      <c r="T123" s="1582"/>
      <c r="U123" s="1589" t="str">
        <f>IF('PIM Model'!$B$23=0,"",'PIM Model'!$B$23)</f>
        <v/>
      </c>
      <c r="V123" s="1444"/>
      <c r="W123" s="1444"/>
      <c r="X123" s="1444"/>
      <c r="Y123" s="1444"/>
      <c r="Z123" s="1444" t="str">
        <f>'PIM Model'!$AF$23</f>
        <v/>
      </c>
      <c r="AA123" s="1444"/>
      <c r="AB123" s="1444"/>
      <c r="AC123" s="1444"/>
      <c r="AD123" s="1444"/>
      <c r="AE123" s="1444"/>
      <c r="AF123" s="1507" t="str">
        <f>'PIM Model'!$AG$23</f>
        <v/>
      </c>
      <c r="AG123" s="1508"/>
      <c r="AH123" s="1508"/>
      <c r="AI123" s="1508"/>
      <c r="AJ123" s="1508"/>
      <c r="AK123" s="1508"/>
      <c r="AL123" s="1593"/>
      <c r="AM123" s="1507" t="str">
        <f>'PIM Model'!$AH$23</f>
        <v/>
      </c>
      <c r="AN123" s="1508"/>
      <c r="AO123" s="1508"/>
      <c r="AP123" s="1508"/>
      <c r="AQ123" s="1508"/>
      <c r="AR123" s="1508"/>
      <c r="AS123" s="1509"/>
      <c r="BF123" s="139"/>
    </row>
    <row r="124" spans="2:58" x14ac:dyDescent="0.25">
      <c r="B124" s="138"/>
      <c r="D124" s="1581" t="s">
        <v>91</v>
      </c>
      <c r="E124" s="1517"/>
      <c r="F124" s="1517"/>
      <c r="G124" s="1517"/>
      <c r="H124" s="1517"/>
      <c r="I124" s="1517"/>
      <c r="J124" s="1517"/>
      <c r="K124" s="1517"/>
      <c r="L124" s="1517"/>
      <c r="M124" s="1517"/>
      <c r="N124" s="1517"/>
      <c r="O124" s="1517"/>
      <c r="P124" s="1517"/>
      <c r="Q124" s="1517"/>
      <c r="R124" s="1517"/>
      <c r="S124" s="1517"/>
      <c r="T124" s="1582"/>
      <c r="U124" s="1589" t="str">
        <f>IF('PIM Model'!$B$24=0,"",'PIM Model'!$B$24)</f>
        <v/>
      </c>
      <c r="V124" s="1444"/>
      <c r="W124" s="1444"/>
      <c r="X124" s="1444"/>
      <c r="Y124" s="1444"/>
      <c r="Z124" s="1444" t="str">
        <f>'PIM Model'!$AF$24</f>
        <v/>
      </c>
      <c r="AA124" s="1444"/>
      <c r="AB124" s="1444"/>
      <c r="AC124" s="1444"/>
      <c r="AD124" s="1444"/>
      <c r="AE124" s="1444"/>
      <c r="AF124" s="1507" t="str">
        <f>'PIM Model'!$AG$24</f>
        <v/>
      </c>
      <c r="AG124" s="1508"/>
      <c r="AH124" s="1508"/>
      <c r="AI124" s="1508"/>
      <c r="AJ124" s="1508"/>
      <c r="AK124" s="1508"/>
      <c r="AL124" s="1593"/>
      <c r="AM124" s="1507" t="str">
        <f>'PIM Model'!$AH$24</f>
        <v/>
      </c>
      <c r="AN124" s="1508"/>
      <c r="AO124" s="1508"/>
      <c r="AP124" s="1508"/>
      <c r="AQ124" s="1508"/>
      <c r="AR124" s="1508"/>
      <c r="AS124" s="1509"/>
      <c r="BF124" s="139"/>
    </row>
    <row r="125" spans="2:58" x14ac:dyDescent="0.25">
      <c r="B125" s="138"/>
      <c r="D125" s="1581" t="s">
        <v>90</v>
      </c>
      <c r="E125" s="1517"/>
      <c r="F125" s="1517"/>
      <c r="G125" s="1517"/>
      <c r="H125" s="1517"/>
      <c r="I125" s="1517"/>
      <c r="J125" s="1517"/>
      <c r="K125" s="1517"/>
      <c r="L125" s="1517"/>
      <c r="M125" s="1517"/>
      <c r="N125" s="1517"/>
      <c r="O125" s="1517"/>
      <c r="P125" s="1517"/>
      <c r="Q125" s="1517"/>
      <c r="R125" s="1517"/>
      <c r="S125" s="1517"/>
      <c r="T125" s="1582"/>
      <c r="U125" s="1589" t="str">
        <f>IF('PIM Model'!$B$25=0,"",'PIM Model'!$B$25)</f>
        <v/>
      </c>
      <c r="V125" s="1444"/>
      <c r="W125" s="1444"/>
      <c r="X125" s="1444"/>
      <c r="Y125" s="1444"/>
      <c r="Z125" s="1444" t="str">
        <f>'PIM Model'!$AF$25</f>
        <v/>
      </c>
      <c r="AA125" s="1444"/>
      <c r="AB125" s="1444"/>
      <c r="AC125" s="1444"/>
      <c r="AD125" s="1444"/>
      <c r="AE125" s="1444"/>
      <c r="AF125" s="1507" t="str">
        <f>'PIM Model'!$AG$25</f>
        <v/>
      </c>
      <c r="AG125" s="1508"/>
      <c r="AH125" s="1508"/>
      <c r="AI125" s="1508"/>
      <c r="AJ125" s="1508"/>
      <c r="AK125" s="1508"/>
      <c r="AL125" s="1593"/>
      <c r="AM125" s="1507" t="str">
        <f>'PIM Model'!$AH$25</f>
        <v/>
      </c>
      <c r="AN125" s="1508"/>
      <c r="AO125" s="1508"/>
      <c r="AP125" s="1508"/>
      <c r="AQ125" s="1508"/>
      <c r="AR125" s="1508"/>
      <c r="AS125" s="1509"/>
      <c r="BF125" s="139"/>
    </row>
    <row r="126" spans="2:58" x14ac:dyDescent="0.25">
      <c r="B126" s="138"/>
      <c r="D126" s="1581" t="s">
        <v>89</v>
      </c>
      <c r="E126" s="1517"/>
      <c r="F126" s="1517"/>
      <c r="G126" s="1517"/>
      <c r="H126" s="1517"/>
      <c r="I126" s="1517"/>
      <c r="J126" s="1517"/>
      <c r="K126" s="1517"/>
      <c r="L126" s="1517"/>
      <c r="M126" s="1517"/>
      <c r="N126" s="1517"/>
      <c r="O126" s="1517"/>
      <c r="P126" s="1517"/>
      <c r="Q126" s="1517"/>
      <c r="R126" s="1517"/>
      <c r="S126" s="1517"/>
      <c r="T126" s="1582"/>
      <c r="U126" s="1589" t="str">
        <f>IF('PIM Model'!$B$26=0,"",'PIM Model'!$B$26)</f>
        <v/>
      </c>
      <c r="V126" s="1444"/>
      <c r="W126" s="1444"/>
      <c r="X126" s="1444"/>
      <c r="Y126" s="1444"/>
      <c r="Z126" s="1444" t="str">
        <f>'PIM Model'!$AF$26</f>
        <v/>
      </c>
      <c r="AA126" s="1444"/>
      <c r="AB126" s="1444"/>
      <c r="AC126" s="1444"/>
      <c r="AD126" s="1444"/>
      <c r="AE126" s="1444"/>
      <c r="AF126" s="1507" t="str">
        <f>'PIM Model'!$AG$26</f>
        <v/>
      </c>
      <c r="AG126" s="1508"/>
      <c r="AH126" s="1508"/>
      <c r="AI126" s="1508"/>
      <c r="AJ126" s="1508"/>
      <c r="AK126" s="1508"/>
      <c r="AL126" s="1593"/>
      <c r="AM126" s="1507" t="str">
        <f>'PIM Model'!$AH$26</f>
        <v/>
      </c>
      <c r="AN126" s="1508"/>
      <c r="AO126" s="1508"/>
      <c r="AP126" s="1508"/>
      <c r="AQ126" s="1508"/>
      <c r="AR126" s="1508"/>
      <c r="AS126" s="1509"/>
      <c r="BF126" s="139"/>
    </row>
    <row r="127" spans="2:58" x14ac:dyDescent="0.25">
      <c r="B127" s="138"/>
      <c r="D127" s="1581" t="s">
        <v>94</v>
      </c>
      <c r="E127" s="1517"/>
      <c r="F127" s="1517"/>
      <c r="G127" s="1517"/>
      <c r="H127" s="1517"/>
      <c r="I127" s="1517"/>
      <c r="J127" s="1517"/>
      <c r="K127" s="1517"/>
      <c r="L127" s="1517"/>
      <c r="M127" s="1517"/>
      <c r="N127" s="1517"/>
      <c r="O127" s="1517"/>
      <c r="P127" s="1517"/>
      <c r="Q127" s="1517"/>
      <c r="R127" s="1517"/>
      <c r="S127" s="1517"/>
      <c r="T127" s="1582"/>
      <c r="U127" s="1589" t="str">
        <f>IF('PIM Model'!$B$27=0,"",'PIM Model'!$B$27)</f>
        <v/>
      </c>
      <c r="V127" s="1444"/>
      <c r="W127" s="1444"/>
      <c r="X127" s="1444"/>
      <c r="Y127" s="1444"/>
      <c r="Z127" s="1444" t="str">
        <f>'PIM Model'!$AF$27</f>
        <v/>
      </c>
      <c r="AA127" s="1444"/>
      <c r="AB127" s="1444"/>
      <c r="AC127" s="1444"/>
      <c r="AD127" s="1444"/>
      <c r="AE127" s="1444"/>
      <c r="AF127" s="1507" t="str">
        <f>'PIM Model'!$AG$27</f>
        <v/>
      </c>
      <c r="AG127" s="1508"/>
      <c r="AH127" s="1508"/>
      <c r="AI127" s="1508"/>
      <c r="AJ127" s="1508"/>
      <c r="AK127" s="1508"/>
      <c r="AL127" s="1593"/>
      <c r="AM127" s="1507" t="str">
        <f>'PIM Model'!$AH$27</f>
        <v/>
      </c>
      <c r="AN127" s="1508"/>
      <c r="AO127" s="1508"/>
      <c r="AP127" s="1508"/>
      <c r="AQ127" s="1508"/>
      <c r="AR127" s="1508"/>
      <c r="AS127" s="1509"/>
      <c r="BF127" s="139"/>
    </row>
    <row r="128" spans="2:58" x14ac:dyDescent="0.25">
      <c r="B128" s="138"/>
      <c r="D128" s="1581" t="s">
        <v>86</v>
      </c>
      <c r="E128" s="1517"/>
      <c r="F128" s="1517"/>
      <c r="G128" s="1517"/>
      <c r="H128" s="1517"/>
      <c r="I128" s="1517"/>
      <c r="J128" s="1517"/>
      <c r="K128" s="1517"/>
      <c r="L128" s="1517"/>
      <c r="M128" s="1517"/>
      <c r="N128" s="1517"/>
      <c r="O128" s="1517"/>
      <c r="P128" s="1517"/>
      <c r="Q128" s="1517"/>
      <c r="R128" s="1517"/>
      <c r="S128" s="1517"/>
      <c r="T128" s="1582"/>
      <c r="U128" s="1589" t="str">
        <f>IF('PIM Model'!$B$28=0,"",'PIM Model'!$B$28)</f>
        <v/>
      </c>
      <c r="V128" s="1444"/>
      <c r="W128" s="1444"/>
      <c r="X128" s="1444"/>
      <c r="Y128" s="1444"/>
      <c r="Z128" s="1444" t="str">
        <f>'PIM Model'!$AF$28</f>
        <v/>
      </c>
      <c r="AA128" s="1444"/>
      <c r="AB128" s="1444"/>
      <c r="AC128" s="1444"/>
      <c r="AD128" s="1444"/>
      <c r="AE128" s="1444"/>
      <c r="AF128" s="1507" t="str">
        <f>'PIM Model'!$AG$28</f>
        <v/>
      </c>
      <c r="AG128" s="1508"/>
      <c r="AH128" s="1508"/>
      <c r="AI128" s="1508"/>
      <c r="AJ128" s="1508"/>
      <c r="AK128" s="1508"/>
      <c r="AL128" s="1593"/>
      <c r="AM128" s="1507" t="str">
        <f>'PIM Model'!$AH$28</f>
        <v/>
      </c>
      <c r="AN128" s="1508"/>
      <c r="AO128" s="1508"/>
      <c r="AP128" s="1508"/>
      <c r="AQ128" s="1508"/>
      <c r="AR128" s="1508"/>
      <c r="AS128" s="1509"/>
      <c r="BF128" s="139"/>
    </row>
    <row r="129" spans="2:58" x14ac:dyDescent="0.25">
      <c r="B129" s="138"/>
      <c r="D129" s="1581" t="s">
        <v>88</v>
      </c>
      <c r="E129" s="1517"/>
      <c r="F129" s="1517"/>
      <c r="G129" s="1517"/>
      <c r="H129" s="1517"/>
      <c r="I129" s="1517"/>
      <c r="J129" s="1517"/>
      <c r="K129" s="1517"/>
      <c r="L129" s="1517"/>
      <c r="M129" s="1517"/>
      <c r="N129" s="1517"/>
      <c r="O129" s="1517"/>
      <c r="P129" s="1517"/>
      <c r="Q129" s="1517"/>
      <c r="R129" s="1517"/>
      <c r="S129" s="1517"/>
      <c r="T129" s="1582"/>
      <c r="U129" s="1589" t="str">
        <f>IF('PIM Model'!$B$29=0,"",'PIM Model'!$B$29)</f>
        <v/>
      </c>
      <c r="V129" s="1444"/>
      <c r="W129" s="1444"/>
      <c r="X129" s="1444"/>
      <c r="Y129" s="1444"/>
      <c r="Z129" s="1444" t="str">
        <f>'PIM Model'!$AF$29</f>
        <v/>
      </c>
      <c r="AA129" s="1444"/>
      <c r="AB129" s="1444"/>
      <c r="AC129" s="1444"/>
      <c r="AD129" s="1444"/>
      <c r="AE129" s="1444"/>
      <c r="AF129" s="1507" t="str">
        <f>'PIM Model'!$AG$29</f>
        <v/>
      </c>
      <c r="AG129" s="1508"/>
      <c r="AH129" s="1508"/>
      <c r="AI129" s="1508"/>
      <c r="AJ129" s="1508"/>
      <c r="AK129" s="1508"/>
      <c r="AL129" s="1593"/>
      <c r="AM129" s="1507" t="str">
        <f>'PIM Model'!$AH$29</f>
        <v/>
      </c>
      <c r="AN129" s="1508"/>
      <c r="AO129" s="1508"/>
      <c r="AP129" s="1508"/>
      <c r="AQ129" s="1508"/>
      <c r="AR129" s="1508"/>
      <c r="AS129" s="1509"/>
      <c r="BF129" s="139"/>
    </row>
    <row r="130" spans="2:58" ht="15.75" thickBot="1" x14ac:dyDescent="0.3">
      <c r="B130" s="138"/>
      <c r="D130" s="1590" t="s">
        <v>87</v>
      </c>
      <c r="E130" s="1591"/>
      <c r="F130" s="1591"/>
      <c r="G130" s="1591"/>
      <c r="H130" s="1591"/>
      <c r="I130" s="1591"/>
      <c r="J130" s="1591"/>
      <c r="K130" s="1591"/>
      <c r="L130" s="1591"/>
      <c r="M130" s="1591"/>
      <c r="N130" s="1591"/>
      <c r="O130" s="1591"/>
      <c r="P130" s="1591"/>
      <c r="Q130" s="1591"/>
      <c r="R130" s="1591"/>
      <c r="S130" s="1591"/>
      <c r="T130" s="1592"/>
      <c r="U130" s="1586" t="str">
        <f>IF('PIM Model'!$B$30=0,"",'PIM Model'!$B$30)</f>
        <v/>
      </c>
      <c r="V130" s="1587"/>
      <c r="W130" s="1587"/>
      <c r="X130" s="1587"/>
      <c r="Y130" s="1587"/>
      <c r="Z130" s="1587" t="str">
        <f>'PIM Model'!$AF$30</f>
        <v/>
      </c>
      <c r="AA130" s="1587"/>
      <c r="AB130" s="1587"/>
      <c r="AC130" s="1587"/>
      <c r="AD130" s="1587"/>
      <c r="AE130" s="1587"/>
      <c r="AF130" s="1594" t="str">
        <f>'PIM Model'!$AG$30</f>
        <v/>
      </c>
      <c r="AG130" s="1595"/>
      <c r="AH130" s="1595"/>
      <c r="AI130" s="1595"/>
      <c r="AJ130" s="1595"/>
      <c r="AK130" s="1595"/>
      <c r="AL130" s="1609"/>
      <c r="AM130" s="1594" t="str">
        <f>'PIM Model'!$AH$30</f>
        <v/>
      </c>
      <c r="AN130" s="1595"/>
      <c r="AO130" s="1595"/>
      <c r="AP130" s="1595"/>
      <c r="AQ130" s="1595"/>
      <c r="AR130" s="1595"/>
      <c r="AS130" s="1596"/>
      <c r="BF130" s="139"/>
    </row>
    <row r="131" spans="2:58" ht="16.5" thickTop="1" thickBot="1" x14ac:dyDescent="0.3">
      <c r="B131" s="138"/>
      <c r="D131" s="1600" t="s">
        <v>1014</v>
      </c>
      <c r="E131" s="1601"/>
      <c r="F131" s="1601"/>
      <c r="G131" s="1601"/>
      <c r="H131" s="1601"/>
      <c r="I131" s="1601"/>
      <c r="J131" s="1601"/>
      <c r="K131" s="1601"/>
      <c r="L131" s="1601"/>
      <c r="M131" s="1601"/>
      <c r="N131" s="1601"/>
      <c r="O131" s="1601"/>
      <c r="P131" s="1601"/>
      <c r="Q131" s="1601"/>
      <c r="R131" s="1601"/>
      <c r="S131" s="1601"/>
      <c r="T131" s="1602"/>
      <c r="U131" s="1603">
        <f>COUNT($U$110:$Y$130)</f>
        <v>0</v>
      </c>
      <c r="V131" s="1604"/>
      <c r="W131" s="1604"/>
      <c r="X131" s="1604"/>
      <c r="Y131" s="1604"/>
      <c r="Z131" s="1601">
        <f>COUNTIF($Z$110:$AE$130,"ABOVE")+COUNTIF($Z$110:$AE$130,"BELOW")</f>
        <v>0</v>
      </c>
      <c r="AA131" s="1601"/>
      <c r="AB131" s="1601"/>
      <c r="AC131" s="1601"/>
      <c r="AD131" s="1601"/>
      <c r="AE131" s="1601"/>
      <c r="AF131" s="1605"/>
      <c r="AG131" s="1606"/>
      <c r="AH131" s="1606"/>
      <c r="AI131" s="1606"/>
      <c r="AJ131" s="1606"/>
      <c r="AK131" s="1606"/>
      <c r="AL131" s="1607"/>
      <c r="AM131" s="1605"/>
      <c r="AN131" s="1606"/>
      <c r="AO131" s="1606"/>
      <c r="AP131" s="1606"/>
      <c r="AQ131" s="1606"/>
      <c r="AR131" s="1606"/>
      <c r="AS131" s="1608"/>
      <c r="BF131" s="139"/>
    </row>
    <row r="132" spans="2:58" ht="15.75" thickBot="1" x14ac:dyDescent="0.3">
      <c r="B132" s="265"/>
      <c r="C132" s="266"/>
      <c r="D132" s="266"/>
      <c r="E132" s="266"/>
      <c r="F132" s="266"/>
      <c r="G132" s="266"/>
      <c r="H132" s="266"/>
      <c r="I132" s="266"/>
      <c r="J132" s="266"/>
      <c r="K132" s="266"/>
      <c r="L132" s="266"/>
      <c r="M132" s="266"/>
      <c r="N132" s="266"/>
      <c r="O132" s="266"/>
      <c r="P132" s="266"/>
      <c r="Q132" s="266"/>
      <c r="R132" s="266"/>
      <c r="S132" s="266"/>
      <c r="T132" s="266"/>
      <c r="U132" s="266"/>
      <c r="V132" s="266"/>
      <c r="W132" s="266"/>
      <c r="X132" s="266"/>
      <c r="Y132" s="266"/>
      <c r="Z132" s="266"/>
      <c r="AA132" s="266"/>
      <c r="AB132" s="266"/>
      <c r="AC132" s="266"/>
      <c r="AD132" s="266"/>
      <c r="AE132" s="266"/>
      <c r="AF132" s="266"/>
      <c r="AG132" s="266"/>
      <c r="AH132" s="266"/>
      <c r="AI132" s="266"/>
      <c r="AJ132" s="266"/>
      <c r="AK132" s="266"/>
      <c r="AL132" s="266"/>
      <c r="AM132" s="266"/>
      <c r="AN132" s="266"/>
      <c r="AO132" s="266"/>
      <c r="AP132" s="266"/>
      <c r="AQ132" s="266"/>
      <c r="AR132" s="266"/>
      <c r="AS132" s="266"/>
      <c r="AT132" s="266"/>
      <c r="AU132" s="266"/>
      <c r="AV132" s="266"/>
      <c r="AW132" s="266"/>
      <c r="AX132" s="266"/>
      <c r="AY132" s="266"/>
      <c r="AZ132" s="266"/>
      <c r="BA132" s="266"/>
      <c r="BB132" s="266"/>
      <c r="BC132" s="266"/>
      <c r="BD132" s="266"/>
      <c r="BE132" s="266"/>
      <c r="BF132" s="267"/>
    </row>
  </sheetData>
  <mergeCells count="385">
    <mergeCell ref="D131:T131"/>
    <mergeCell ref="U131:Y131"/>
    <mergeCell ref="Z131:AE131"/>
    <mergeCell ref="AF131:AL131"/>
    <mergeCell ref="AM131:AS131"/>
    <mergeCell ref="AF130:AL130"/>
    <mergeCell ref="AM109:AS109"/>
    <mergeCell ref="AM110:AS110"/>
    <mergeCell ref="AM111:AS111"/>
    <mergeCell ref="AM112:AS112"/>
    <mergeCell ref="AM113:AS113"/>
    <mergeCell ref="AM114:AS114"/>
    <mergeCell ref="AM115:AS115"/>
    <mergeCell ref="AM116:AS116"/>
    <mergeCell ref="AM117:AS117"/>
    <mergeCell ref="AM118:AS118"/>
    <mergeCell ref="AM119:AS119"/>
    <mergeCell ref="AM120:AS120"/>
    <mergeCell ref="AM121:AS121"/>
    <mergeCell ref="AM122:AS122"/>
    <mergeCell ref="AM123:AS123"/>
    <mergeCell ref="AM124:AS124"/>
    <mergeCell ref="AM125:AS125"/>
    <mergeCell ref="AM126:AS126"/>
    <mergeCell ref="AM127:AS127"/>
    <mergeCell ref="AM128:AS128"/>
    <mergeCell ref="AM129:AS129"/>
    <mergeCell ref="AM130:AS130"/>
    <mergeCell ref="Z128:AE128"/>
    <mergeCell ref="Z129:AE129"/>
    <mergeCell ref="Z130:AE130"/>
    <mergeCell ref="AF109:AL109"/>
    <mergeCell ref="AF110:AL110"/>
    <mergeCell ref="AF111:AL111"/>
    <mergeCell ref="AF112:AL112"/>
    <mergeCell ref="AF113:AL113"/>
    <mergeCell ref="AF114:AL114"/>
    <mergeCell ref="AF115:AL115"/>
    <mergeCell ref="AF116:AL116"/>
    <mergeCell ref="AF117:AL117"/>
    <mergeCell ref="AF118:AL118"/>
    <mergeCell ref="AF119:AL119"/>
    <mergeCell ref="AF120:AL120"/>
    <mergeCell ref="AF121:AL121"/>
    <mergeCell ref="AF122:AL122"/>
    <mergeCell ref="AF123:AL123"/>
    <mergeCell ref="AF124:AL124"/>
    <mergeCell ref="AF125:AL125"/>
    <mergeCell ref="U129:Y129"/>
    <mergeCell ref="AF126:AL126"/>
    <mergeCell ref="AF127:AL127"/>
    <mergeCell ref="AF128:AL128"/>
    <mergeCell ref="AF129:AL129"/>
    <mergeCell ref="Z119:AE119"/>
    <mergeCell ref="Z120:AE120"/>
    <mergeCell ref="Z121:AE121"/>
    <mergeCell ref="Z122:AE122"/>
    <mergeCell ref="Z123:AE123"/>
    <mergeCell ref="Z124:AE124"/>
    <mergeCell ref="Z125:AE125"/>
    <mergeCell ref="Z126:AE126"/>
    <mergeCell ref="Z127:AE127"/>
    <mergeCell ref="D122:T122"/>
    <mergeCell ref="U121:Y121"/>
    <mergeCell ref="U122:Y122"/>
    <mergeCell ref="U123:Y123"/>
    <mergeCell ref="U124:Y124"/>
    <mergeCell ref="U125:Y125"/>
    <mergeCell ref="U126:Y126"/>
    <mergeCell ref="U127:Y127"/>
    <mergeCell ref="U128:Y128"/>
    <mergeCell ref="Z116:AE116"/>
    <mergeCell ref="Z117:AE117"/>
    <mergeCell ref="Z118:AE118"/>
    <mergeCell ref="U130:Y130"/>
    <mergeCell ref="D121:T121"/>
    <mergeCell ref="U110:Y110"/>
    <mergeCell ref="U111:Y111"/>
    <mergeCell ref="U112:Y112"/>
    <mergeCell ref="U113:Y113"/>
    <mergeCell ref="U114:Y114"/>
    <mergeCell ref="U115:Y115"/>
    <mergeCell ref="U116:Y116"/>
    <mergeCell ref="U117:Y117"/>
    <mergeCell ref="U118:Y118"/>
    <mergeCell ref="U119:Y119"/>
    <mergeCell ref="U120:Y120"/>
    <mergeCell ref="D130:T130"/>
    <mergeCell ref="D129:T129"/>
    <mergeCell ref="D128:T128"/>
    <mergeCell ref="D127:T127"/>
    <mergeCell ref="D126:T126"/>
    <mergeCell ref="D125:T125"/>
    <mergeCell ref="D124:T124"/>
    <mergeCell ref="D123:T123"/>
    <mergeCell ref="C59:Z59"/>
    <mergeCell ref="BD55:BF55"/>
    <mergeCell ref="AU48:AZ48"/>
    <mergeCell ref="C64:Z64"/>
    <mergeCell ref="AL34:AN34"/>
    <mergeCell ref="D110:T110"/>
    <mergeCell ref="D120:T120"/>
    <mergeCell ref="D119:T119"/>
    <mergeCell ref="D118:T118"/>
    <mergeCell ref="D117:T117"/>
    <mergeCell ref="D116:T116"/>
    <mergeCell ref="D115:T115"/>
    <mergeCell ref="D114:T114"/>
    <mergeCell ref="D113:T113"/>
    <mergeCell ref="D112:T112"/>
    <mergeCell ref="D111:T111"/>
    <mergeCell ref="U109:Y109"/>
    <mergeCell ref="Z109:AE109"/>
    <mergeCell ref="Z110:AE110"/>
    <mergeCell ref="Z111:AE111"/>
    <mergeCell ref="Z112:AE112"/>
    <mergeCell ref="Z113:AE113"/>
    <mergeCell ref="Z114:AE114"/>
    <mergeCell ref="Z115:AE115"/>
    <mergeCell ref="B50:R50"/>
    <mergeCell ref="AC50:AG50"/>
    <mergeCell ref="T36:AB36"/>
    <mergeCell ref="T38:AB38"/>
    <mergeCell ref="B53:BF53"/>
    <mergeCell ref="C58:Z58"/>
    <mergeCell ref="AU36:AZ36"/>
    <mergeCell ref="AU38:AZ38"/>
    <mergeCell ref="AU40:AW40"/>
    <mergeCell ref="AU46:AZ46"/>
    <mergeCell ref="B54:BF54"/>
    <mergeCell ref="AT56:AV56"/>
    <mergeCell ref="BD56:BF56"/>
    <mergeCell ref="BD72:BF72"/>
    <mergeCell ref="AY70:BA70"/>
    <mergeCell ref="BD70:BF70"/>
    <mergeCell ref="AY55:BA55"/>
    <mergeCell ref="C56:Z56"/>
    <mergeCell ref="AI62:AJ62"/>
    <mergeCell ref="AI63:AJ63"/>
    <mergeCell ref="AY73:BA73"/>
    <mergeCell ref="M67:O67"/>
    <mergeCell ref="S67:U67"/>
    <mergeCell ref="AI65:AJ65"/>
    <mergeCell ref="C63:Z63"/>
    <mergeCell ref="C60:Z60"/>
    <mergeCell ref="C61:Z61"/>
    <mergeCell ref="AC61:AH61"/>
    <mergeCell ref="AC62:AH62"/>
    <mergeCell ref="AC63:AH63"/>
    <mergeCell ref="AI60:AJ60"/>
    <mergeCell ref="AI61:AJ61"/>
    <mergeCell ref="AO55:AQ55"/>
    <mergeCell ref="AT55:AV55"/>
    <mergeCell ref="AK55:AN55"/>
    <mergeCell ref="AY56:BA56"/>
    <mergeCell ref="AC56:AH56"/>
    <mergeCell ref="D88:E88"/>
    <mergeCell ref="F87:BD87"/>
    <mergeCell ref="AC64:AH64"/>
    <mergeCell ref="AC68:AH68"/>
    <mergeCell ref="BD71:BF71"/>
    <mergeCell ref="AC69:AH69"/>
    <mergeCell ref="AC71:AH71"/>
    <mergeCell ref="AT70:AV70"/>
    <mergeCell ref="AC70:AH70"/>
    <mergeCell ref="AY72:BA72"/>
    <mergeCell ref="C72:Z72"/>
    <mergeCell ref="D87:E87"/>
    <mergeCell ref="F88:BD88"/>
    <mergeCell ref="AO74:AQ74"/>
    <mergeCell ref="AO71:AQ71"/>
    <mergeCell ref="AC66:AH66"/>
    <mergeCell ref="AC65:AH65"/>
    <mergeCell ref="AC72:AH72"/>
    <mergeCell ref="C70:Z70"/>
    <mergeCell ref="AO70:AQ70"/>
    <mergeCell ref="AO72:AQ72"/>
    <mergeCell ref="D86:BD86"/>
    <mergeCell ref="F83:BD83"/>
    <mergeCell ref="D81:BD81"/>
    <mergeCell ref="C78:Z78"/>
    <mergeCell ref="C62:Z62"/>
    <mergeCell ref="AY71:BA71"/>
    <mergeCell ref="C68:Z68"/>
    <mergeCell ref="AC60:AH60"/>
    <mergeCell ref="AY74:BA74"/>
    <mergeCell ref="AO73:AQ73"/>
    <mergeCell ref="AT73:AV73"/>
    <mergeCell ref="C74:Z74"/>
    <mergeCell ref="C69:Z69"/>
    <mergeCell ref="C73:Z73"/>
    <mergeCell ref="AT72:AV72"/>
    <mergeCell ref="AI74:AJ74"/>
    <mergeCell ref="AI75:AJ75"/>
    <mergeCell ref="AI76:AJ76"/>
    <mergeCell ref="AI77:AJ77"/>
    <mergeCell ref="AI64:AJ64"/>
    <mergeCell ref="C66:Z66"/>
    <mergeCell ref="C71:Z71"/>
    <mergeCell ref="AT74:AV74"/>
    <mergeCell ref="C77:Z77"/>
    <mergeCell ref="AI66:AJ66"/>
    <mergeCell ref="AI68:AJ68"/>
    <mergeCell ref="AI70:AJ70"/>
    <mergeCell ref="AI71:AJ71"/>
    <mergeCell ref="AI72:AJ72"/>
    <mergeCell ref="AI73:AJ73"/>
    <mergeCell ref="B46:R46"/>
    <mergeCell ref="AF44:AS44"/>
    <mergeCell ref="AF40:AS40"/>
    <mergeCell ref="AF42:AS42"/>
    <mergeCell ref="V67:W67"/>
    <mergeCell ref="E67:K67"/>
    <mergeCell ref="C65:Z65"/>
    <mergeCell ref="AO56:AQ56"/>
    <mergeCell ref="AI56:AJ56"/>
    <mergeCell ref="AI57:AJ57"/>
    <mergeCell ref="AI58:AJ58"/>
    <mergeCell ref="AI59:AJ59"/>
    <mergeCell ref="AC59:AH59"/>
    <mergeCell ref="AC57:AH57"/>
    <mergeCell ref="C57:Z57"/>
    <mergeCell ref="Z50:AB50"/>
    <mergeCell ref="T50:Y50"/>
    <mergeCell ref="T46:AB46"/>
    <mergeCell ref="T48:AB48"/>
    <mergeCell ref="B44:R44"/>
    <mergeCell ref="AF46:AS46"/>
    <mergeCell ref="AT71:AV71"/>
    <mergeCell ref="BD73:BF73"/>
    <mergeCell ref="BD74:BF74"/>
    <mergeCell ref="K12:AE12"/>
    <mergeCell ref="AO16:AP16"/>
    <mergeCell ref="R16:S16"/>
    <mergeCell ref="B16:Q16"/>
    <mergeCell ref="BC42:BE42"/>
    <mergeCell ref="BC44:BE44"/>
    <mergeCell ref="B40:R40"/>
    <mergeCell ref="B42:R42"/>
    <mergeCell ref="T42:AB42"/>
    <mergeCell ref="BA28:BC28"/>
    <mergeCell ref="AX28:AY28"/>
    <mergeCell ref="X34:Y34"/>
    <mergeCell ref="T44:AB44"/>
    <mergeCell ref="AU44:AW44"/>
    <mergeCell ref="T40:AB40"/>
    <mergeCell ref="AU42:AW42"/>
    <mergeCell ref="B28:Q28"/>
    <mergeCell ref="AF36:AS36"/>
    <mergeCell ref="T30:W30"/>
    <mergeCell ref="B32:Q32"/>
    <mergeCell ref="B30:Q30"/>
    <mergeCell ref="B26:BF26"/>
    <mergeCell ref="AI69:AJ69"/>
    <mergeCell ref="AF29:BE29"/>
    <mergeCell ref="AT30:BC30"/>
    <mergeCell ref="AF30:AO30"/>
    <mergeCell ref="AU28:AW28"/>
    <mergeCell ref="BD28:BE28"/>
    <mergeCell ref="AR28:AS28"/>
    <mergeCell ref="R24:AC24"/>
    <mergeCell ref="AO28:AQ28"/>
    <mergeCell ref="AP30:AR30"/>
    <mergeCell ref="T28:AB28"/>
    <mergeCell ref="T32:AO32"/>
    <mergeCell ref="I34:J34"/>
    <mergeCell ref="K34:Q34"/>
    <mergeCell ref="AF38:AS38"/>
    <mergeCell ref="T34:W34"/>
    <mergeCell ref="Z34:AB34"/>
    <mergeCell ref="AF48:AS48"/>
    <mergeCell ref="R34:S34"/>
    <mergeCell ref="B36:R36"/>
    <mergeCell ref="AC58:AH58"/>
    <mergeCell ref="B38:R38"/>
    <mergeCell ref="B48:R48"/>
    <mergeCell ref="B8:BF8"/>
    <mergeCell ref="R14:BD14"/>
    <mergeCell ref="B14:Q14"/>
    <mergeCell ref="B22:Q22"/>
    <mergeCell ref="R20:AL20"/>
    <mergeCell ref="B18:Q18"/>
    <mergeCell ref="B20:Q20"/>
    <mergeCell ref="AN25:AT25"/>
    <mergeCell ref="H25:P25"/>
    <mergeCell ref="R22:AL22"/>
    <mergeCell ref="AV20:BD20"/>
    <mergeCell ref="AV22:BD22"/>
    <mergeCell ref="AI10:AR10"/>
    <mergeCell ref="AV24:BD24"/>
    <mergeCell ref="B24:Q24"/>
    <mergeCell ref="AV18:BD18"/>
    <mergeCell ref="R18:AL18"/>
    <mergeCell ref="AT10:BD10"/>
    <mergeCell ref="B12:J12"/>
    <mergeCell ref="B10:J10"/>
    <mergeCell ref="T16:AL16"/>
    <mergeCell ref="AN18:AU18"/>
    <mergeCell ref="D98:J98"/>
    <mergeCell ref="D97:J97"/>
    <mergeCell ref="D96:J96"/>
    <mergeCell ref="D95:J95"/>
    <mergeCell ref="D94:J94"/>
    <mergeCell ref="B2:BF2"/>
    <mergeCell ref="B3:BF3"/>
    <mergeCell ref="F82:BD82"/>
    <mergeCell ref="C75:Z75"/>
    <mergeCell ref="C76:Z76"/>
    <mergeCell ref="D84:E84"/>
    <mergeCell ref="F84:BD84"/>
    <mergeCell ref="AC73:AH73"/>
    <mergeCell ref="AC74:AH74"/>
    <mergeCell ref="AC75:AH75"/>
    <mergeCell ref="AC76:AH76"/>
    <mergeCell ref="AC77:AH77"/>
    <mergeCell ref="D82:E82"/>
    <mergeCell ref="D83:E83"/>
    <mergeCell ref="AN20:AU20"/>
    <mergeCell ref="K10:AE10"/>
    <mergeCell ref="AN22:AU22"/>
    <mergeCell ref="AN24:AU24"/>
    <mergeCell ref="BC40:BE40"/>
    <mergeCell ref="K95:T95"/>
    <mergeCell ref="K94:T94"/>
    <mergeCell ref="B92:BF92"/>
    <mergeCell ref="K104:T104"/>
    <mergeCell ref="K103:T103"/>
    <mergeCell ref="K102:T102"/>
    <mergeCell ref="K101:T101"/>
    <mergeCell ref="K100:T100"/>
    <mergeCell ref="K99:T99"/>
    <mergeCell ref="K98:T98"/>
    <mergeCell ref="K97:T97"/>
    <mergeCell ref="K96:T96"/>
    <mergeCell ref="U104:AI104"/>
    <mergeCell ref="U103:AI103"/>
    <mergeCell ref="U102:AI102"/>
    <mergeCell ref="U101:AI101"/>
    <mergeCell ref="U100:AI100"/>
    <mergeCell ref="U99:AI99"/>
    <mergeCell ref="D104:J104"/>
    <mergeCell ref="D103:J103"/>
    <mergeCell ref="D102:J102"/>
    <mergeCell ref="D101:J101"/>
    <mergeCell ref="D100:J100"/>
    <mergeCell ref="D99:J99"/>
    <mergeCell ref="U97:AI97"/>
    <mergeCell ref="U96:AI96"/>
    <mergeCell ref="U95:AI95"/>
    <mergeCell ref="U94:AI94"/>
    <mergeCell ref="AJ104:AT104"/>
    <mergeCell ref="AJ103:AT103"/>
    <mergeCell ref="AJ102:AT102"/>
    <mergeCell ref="AJ101:AT101"/>
    <mergeCell ref="AJ100:AT100"/>
    <mergeCell ref="AJ99:AT99"/>
    <mergeCell ref="AJ98:AT98"/>
    <mergeCell ref="AJ97:AT97"/>
    <mergeCell ref="AJ96:AT96"/>
    <mergeCell ref="AJ95:AT95"/>
    <mergeCell ref="AJ94:AT94"/>
    <mergeCell ref="B107:BF107"/>
    <mergeCell ref="AU95:AX95"/>
    <mergeCell ref="AU94:AX94"/>
    <mergeCell ref="AY104:BC104"/>
    <mergeCell ref="AY103:BC103"/>
    <mergeCell ref="AY102:BC102"/>
    <mergeCell ref="AY101:BC101"/>
    <mergeCell ref="AY100:BC100"/>
    <mergeCell ref="AY99:BC99"/>
    <mergeCell ref="AY98:BC98"/>
    <mergeCell ref="AY97:BC97"/>
    <mergeCell ref="AY96:BC96"/>
    <mergeCell ref="AY95:BC95"/>
    <mergeCell ref="AY94:BC94"/>
    <mergeCell ref="AU104:AX104"/>
    <mergeCell ref="AU103:AX103"/>
    <mergeCell ref="AU102:AX102"/>
    <mergeCell ref="AU101:AX101"/>
    <mergeCell ref="AU100:AX100"/>
    <mergeCell ref="AU99:AX99"/>
    <mergeCell ref="AU98:AX98"/>
    <mergeCell ref="AU97:AX97"/>
    <mergeCell ref="AU96:AX96"/>
    <mergeCell ref="U98:AI98"/>
  </mergeCells>
  <conditionalFormatting sqref="U110:Y130">
    <cfRule type="notContainsBlanks" dxfId="32" priority="6">
      <formula>LEN(TRIM(U110))&gt;0</formula>
    </cfRule>
  </conditionalFormatting>
  <conditionalFormatting sqref="Z110:AE130">
    <cfRule type="containsText" dxfId="31" priority="4" operator="containsText" text="BELOW">
      <formula>NOT(ISERROR(SEARCH("BELOW",Z110)))</formula>
    </cfRule>
    <cfRule type="containsText" dxfId="30" priority="5" operator="containsText" text="ABOVE">
      <formula>NOT(ISERROR(SEARCH("ABOVE",Z110)))</formula>
    </cfRule>
  </conditionalFormatting>
  <printOptions horizontalCentered="1"/>
  <pageMargins left="0.25" right="0.25" top="0.75" bottom="0.75" header="0.3" footer="0.3"/>
  <pageSetup scale="69"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rowBreaks count="3" manualBreakCount="3">
    <brk id="25" min="1" max="57" man="1"/>
    <brk id="52" min="1" max="57" man="1"/>
    <brk id="91" min="1" max="57" man="1"/>
  </rowBreaks>
  <drawing r:id="rId2"/>
  <legacyDrawing r:id="rId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rgb="FFFF0000"/>
  </sheetPr>
  <dimension ref="A1:P87"/>
  <sheetViews>
    <sheetView zoomScaleNormal="100" workbookViewId="0">
      <selection activeCell="K2" sqref="K2"/>
    </sheetView>
  </sheetViews>
  <sheetFormatPr defaultColWidth="8.85546875" defaultRowHeight="15" x14ac:dyDescent="0.25"/>
  <cols>
    <col min="1" max="1" width="20.7109375" style="59" bestFit="1" customWidth="1"/>
    <col min="2" max="2" width="9" style="59" bestFit="1" customWidth="1"/>
    <col min="3" max="3" width="6.5703125" style="59" bestFit="1" customWidth="1"/>
    <col min="4" max="4" width="5.7109375" style="59" bestFit="1" customWidth="1"/>
    <col min="5" max="5" width="10.7109375" style="59" bestFit="1" customWidth="1"/>
    <col min="6" max="6" width="14.85546875" style="59" bestFit="1" customWidth="1"/>
    <col min="7" max="7" width="18.140625" style="59" bestFit="1" customWidth="1"/>
    <col min="8" max="8" width="16.85546875" style="59" bestFit="1" customWidth="1"/>
    <col min="9" max="9" width="4.7109375" style="59" bestFit="1" customWidth="1"/>
    <col min="10" max="10" width="18.5703125" style="59" bestFit="1" customWidth="1"/>
    <col min="11" max="11" width="19.85546875" style="59" bestFit="1" customWidth="1"/>
    <col min="12" max="12" width="16" style="59" bestFit="1" customWidth="1"/>
    <col min="13" max="16" width="19" style="59" bestFit="1" customWidth="1"/>
    <col min="17" max="16384" width="8.85546875" style="59"/>
  </cols>
  <sheetData>
    <row r="1" spans="1:16" x14ac:dyDescent="0.25">
      <c r="A1" s="60" t="s">
        <v>682</v>
      </c>
      <c r="B1" s="60" t="s">
        <v>681</v>
      </c>
      <c r="C1" s="60" t="s">
        <v>725</v>
      </c>
      <c r="D1" s="60" t="s">
        <v>680</v>
      </c>
      <c r="E1" s="60" t="s">
        <v>679</v>
      </c>
      <c r="F1" s="62" t="s">
        <v>678</v>
      </c>
      <c r="G1" s="62" t="s">
        <v>677</v>
      </c>
      <c r="H1" s="60" t="s">
        <v>676</v>
      </c>
      <c r="I1" s="60" t="s">
        <v>675</v>
      </c>
      <c r="J1" s="60" t="s">
        <v>674</v>
      </c>
      <c r="K1" s="61" t="s">
        <v>673</v>
      </c>
      <c r="L1" s="60" t="s">
        <v>672</v>
      </c>
      <c r="M1" s="60" t="s">
        <v>671</v>
      </c>
      <c r="N1" s="60" t="s">
        <v>670</v>
      </c>
      <c r="O1" s="60" t="s">
        <v>669</v>
      </c>
      <c r="P1" s="60" t="s">
        <v>668</v>
      </c>
    </row>
    <row r="2" spans="1:16" x14ac:dyDescent="0.25">
      <c r="A2" s="59">
        <v>15</v>
      </c>
      <c r="B2" s="59">
        <v>0</v>
      </c>
      <c r="C2" s="59">
        <v>0</v>
      </c>
      <c r="D2" s="59" t="s">
        <v>665</v>
      </c>
      <c r="E2" s="59" t="s">
        <v>664</v>
      </c>
      <c r="F2" s="71" t="str">
        <f>'PIM Model'!$AD$11</f>
        <v/>
      </c>
      <c r="G2" s="65" t="str">
        <f>F2</f>
        <v/>
      </c>
      <c r="H2" s="71" t="str">
        <f>IF('PIM Model'!$D$11="$/LB","#","%")</f>
        <v>%</v>
      </c>
      <c r="I2" s="68" t="s">
        <v>667</v>
      </c>
      <c r="J2">
        <f>'MDA Worksheet'!$AU$48</f>
        <v>2.25</v>
      </c>
      <c r="K2" s="937">
        <f>'MDA Worksheet'!$AU$46*100</f>
        <v>30</v>
      </c>
      <c r="L2" s="59" t="s">
        <v>482</v>
      </c>
    </row>
    <row r="3" spans="1:16" x14ac:dyDescent="0.25">
      <c r="A3" s="59">
        <v>15</v>
      </c>
      <c r="B3" s="59">
        <v>131</v>
      </c>
      <c r="C3" s="59">
        <v>0</v>
      </c>
      <c r="D3" s="59" t="s">
        <v>665</v>
      </c>
      <c r="E3" s="59" t="s">
        <v>664</v>
      </c>
      <c r="F3" s="71" t="str">
        <f>'PIM Model'!$AD$12</f>
        <v/>
      </c>
      <c r="G3" s="65" t="str">
        <f t="shared" ref="G3:G68" si="0">F3</f>
        <v/>
      </c>
      <c r="H3" s="71" t="str">
        <f>IF('PIM Model'!$D$12="$/LB","#","%")</f>
        <v>%</v>
      </c>
      <c r="I3" s="68" t="s">
        <v>667</v>
      </c>
      <c r="J3" s="918">
        <f>'MDA Worksheet'!$AU$48</f>
        <v>2.25</v>
      </c>
      <c r="K3" s="937">
        <f>'MDA Worksheet'!$AU$46*100</f>
        <v>30</v>
      </c>
      <c r="L3" s="59" t="s">
        <v>482</v>
      </c>
    </row>
    <row r="4" spans="1:16" x14ac:dyDescent="0.25">
      <c r="A4" s="59">
        <v>15</v>
      </c>
      <c r="B4" s="59">
        <v>254</v>
      </c>
      <c r="C4" s="59">
        <v>0</v>
      </c>
      <c r="D4" s="59" t="s">
        <v>665</v>
      </c>
      <c r="E4" s="59" t="s">
        <v>664</v>
      </c>
      <c r="F4" s="71" t="str">
        <f>'PIM Model'!$AD$12</f>
        <v/>
      </c>
      <c r="G4" s="65" t="str">
        <f t="shared" si="0"/>
        <v/>
      </c>
      <c r="H4" s="71" t="str">
        <f>IF('PIM Model'!$D$12="$/LB","#","%")</f>
        <v>%</v>
      </c>
      <c r="I4" s="68" t="s">
        <v>667</v>
      </c>
      <c r="J4" s="918">
        <f>'MDA Worksheet'!$AU$48</f>
        <v>2.25</v>
      </c>
      <c r="K4" s="937">
        <f>'MDA Worksheet'!$AU$46*100</f>
        <v>30</v>
      </c>
      <c r="L4" s="59" t="s">
        <v>482</v>
      </c>
    </row>
    <row r="5" spans="1:16" x14ac:dyDescent="0.25">
      <c r="A5" s="59">
        <v>15</v>
      </c>
      <c r="B5" s="59">
        <v>373</v>
      </c>
      <c r="C5" s="59">
        <v>0</v>
      </c>
      <c r="D5" s="59" t="s">
        <v>665</v>
      </c>
      <c r="E5" s="59" t="s">
        <v>664</v>
      </c>
      <c r="F5" s="71" t="str">
        <f>'PIM Model'!$AD$12</f>
        <v/>
      </c>
      <c r="G5" s="65" t="str">
        <f t="shared" si="0"/>
        <v/>
      </c>
      <c r="H5" s="71" t="str">
        <f>IF('PIM Model'!$D$12="$/LB","#","%")</f>
        <v>%</v>
      </c>
      <c r="I5" s="68" t="s">
        <v>667</v>
      </c>
      <c r="J5" s="918">
        <f>'MDA Worksheet'!$AU$48</f>
        <v>2.25</v>
      </c>
      <c r="K5" s="937">
        <f>'MDA Worksheet'!$AU$46*100</f>
        <v>30</v>
      </c>
      <c r="L5" s="59" t="s">
        <v>482</v>
      </c>
    </row>
    <row r="6" spans="1:16" x14ac:dyDescent="0.25">
      <c r="A6" s="59">
        <v>15</v>
      </c>
      <c r="B6" s="59">
        <v>132</v>
      </c>
      <c r="C6" s="59">
        <v>0</v>
      </c>
      <c r="D6" s="59" t="s">
        <v>665</v>
      </c>
      <c r="E6" s="59" t="s">
        <v>664</v>
      </c>
      <c r="F6" s="71" t="str">
        <f>'PIM Model'!$AD$12</f>
        <v/>
      </c>
      <c r="G6" s="65" t="str">
        <f t="shared" si="0"/>
        <v/>
      </c>
      <c r="H6" s="71" t="str">
        <f>IF('PIM Model'!$D$12="$/LB","#","%")</f>
        <v>%</v>
      </c>
      <c r="I6" s="68" t="s">
        <v>667</v>
      </c>
      <c r="J6" s="918">
        <f>'MDA Worksheet'!$AU$48</f>
        <v>2.25</v>
      </c>
      <c r="K6" s="937">
        <f>'MDA Worksheet'!$AU$46*100</f>
        <v>30</v>
      </c>
      <c r="L6" s="59" t="s">
        <v>482</v>
      </c>
    </row>
    <row r="7" spans="1:16" x14ac:dyDescent="0.25">
      <c r="A7" s="59">
        <v>15</v>
      </c>
      <c r="B7" s="59">
        <v>368</v>
      </c>
      <c r="C7" s="59">
        <v>0</v>
      </c>
      <c r="D7" s="59" t="s">
        <v>665</v>
      </c>
      <c r="E7" s="59" t="s">
        <v>664</v>
      </c>
      <c r="F7" s="71" t="str">
        <f>'PIM Model'!$AD$12</f>
        <v/>
      </c>
      <c r="G7" s="65" t="str">
        <f t="shared" si="0"/>
        <v/>
      </c>
      <c r="H7" s="71" t="str">
        <f>IF('PIM Model'!$D$12="$/LB","#","%")</f>
        <v>%</v>
      </c>
      <c r="I7" s="68" t="s">
        <v>667</v>
      </c>
      <c r="J7" s="918">
        <f>'MDA Worksheet'!$AU$48</f>
        <v>2.25</v>
      </c>
      <c r="K7" s="937">
        <f>'MDA Worksheet'!$AU$46*100</f>
        <v>30</v>
      </c>
      <c r="L7" s="59" t="s">
        <v>482</v>
      </c>
    </row>
    <row r="8" spans="1:16" x14ac:dyDescent="0.25">
      <c r="A8" s="59">
        <v>15</v>
      </c>
      <c r="B8" s="59">
        <v>369</v>
      </c>
      <c r="C8" s="59">
        <v>0</v>
      </c>
      <c r="D8" s="59" t="s">
        <v>665</v>
      </c>
      <c r="E8" s="59" t="s">
        <v>664</v>
      </c>
      <c r="F8" s="71" t="str">
        <f>'PIM Model'!$AD$12</f>
        <v/>
      </c>
      <c r="G8" s="65" t="str">
        <f t="shared" si="0"/>
        <v/>
      </c>
      <c r="H8" s="71" t="str">
        <f>IF('PIM Model'!$D$12="$/LB","#","%")</f>
        <v>%</v>
      </c>
      <c r="I8" s="68" t="s">
        <v>667</v>
      </c>
      <c r="J8" s="918">
        <f>'MDA Worksheet'!$AU$48</f>
        <v>2.25</v>
      </c>
      <c r="K8" s="937">
        <f>'MDA Worksheet'!$AU$46*100</f>
        <v>30</v>
      </c>
      <c r="L8" s="59" t="s">
        <v>482</v>
      </c>
    </row>
    <row r="9" spans="1:16" x14ac:dyDescent="0.25">
      <c r="A9" s="59">
        <v>15</v>
      </c>
      <c r="B9" s="59">
        <v>384</v>
      </c>
      <c r="C9" s="59">
        <v>0</v>
      </c>
      <c r="D9" s="59" t="s">
        <v>665</v>
      </c>
      <c r="E9" s="59" t="s">
        <v>664</v>
      </c>
      <c r="F9" s="71" t="str">
        <f>'PIM Model'!$AD$12</f>
        <v/>
      </c>
      <c r="G9" s="65" t="str">
        <f t="shared" si="0"/>
        <v/>
      </c>
      <c r="H9" s="71" t="str">
        <f>IF('PIM Model'!$D$12="$/LB","#","%")</f>
        <v>%</v>
      </c>
      <c r="I9" s="68" t="s">
        <v>667</v>
      </c>
      <c r="J9" s="918">
        <f>'MDA Worksheet'!$AU$48</f>
        <v>2.25</v>
      </c>
      <c r="K9" s="937">
        <f>'MDA Worksheet'!$AU$46*100</f>
        <v>30</v>
      </c>
      <c r="L9" s="59" t="s">
        <v>482</v>
      </c>
    </row>
    <row r="10" spans="1:16" x14ac:dyDescent="0.25">
      <c r="A10" s="59">
        <v>15</v>
      </c>
      <c r="B10" s="59">
        <v>381</v>
      </c>
      <c r="C10" s="59">
        <v>0</v>
      </c>
      <c r="D10" s="59" t="s">
        <v>665</v>
      </c>
      <c r="E10" s="59" t="s">
        <v>664</v>
      </c>
      <c r="F10" s="71" t="str">
        <f>'PIM Model'!$AD$12</f>
        <v/>
      </c>
      <c r="G10" s="65" t="str">
        <f t="shared" si="0"/>
        <v/>
      </c>
      <c r="H10" s="71" t="str">
        <f>IF('PIM Model'!$D$12="$/LB","#","%")</f>
        <v>%</v>
      </c>
      <c r="I10" s="68" t="s">
        <v>667</v>
      </c>
      <c r="J10" s="918">
        <f>'MDA Worksheet'!$AU$48</f>
        <v>2.25</v>
      </c>
      <c r="K10" s="937">
        <f>'MDA Worksheet'!$AU$46*100</f>
        <v>30</v>
      </c>
      <c r="L10" s="59" t="s">
        <v>482</v>
      </c>
    </row>
    <row r="11" spans="1:16" x14ac:dyDescent="0.25">
      <c r="A11" s="59">
        <v>15</v>
      </c>
      <c r="B11" s="59">
        <v>377</v>
      </c>
      <c r="C11" s="59">
        <v>0</v>
      </c>
      <c r="D11" s="59" t="s">
        <v>665</v>
      </c>
      <c r="E11" s="59" t="s">
        <v>664</v>
      </c>
      <c r="F11" s="71" t="str">
        <f>'PIM Model'!$AD$12</f>
        <v/>
      </c>
      <c r="G11" s="65" t="str">
        <f t="shared" si="0"/>
        <v/>
      </c>
      <c r="H11" s="71" t="str">
        <f>IF('PIM Model'!$D$12="$/LB","#","%")</f>
        <v>%</v>
      </c>
      <c r="I11" s="68" t="s">
        <v>667</v>
      </c>
      <c r="J11" s="918">
        <f>'MDA Worksheet'!$AU$48</f>
        <v>2.25</v>
      </c>
      <c r="K11" s="937">
        <f>'MDA Worksheet'!$AU$46*100</f>
        <v>30</v>
      </c>
      <c r="L11" s="59" t="s">
        <v>482</v>
      </c>
    </row>
    <row r="12" spans="1:16" x14ac:dyDescent="0.25">
      <c r="A12" s="59">
        <v>15</v>
      </c>
      <c r="B12" s="59">
        <v>388</v>
      </c>
      <c r="C12" s="59">
        <v>0</v>
      </c>
      <c r="D12" s="59" t="s">
        <v>665</v>
      </c>
      <c r="E12" s="59" t="s">
        <v>664</v>
      </c>
      <c r="F12" s="71" t="str">
        <f>'PIM Model'!$AD$12</f>
        <v/>
      </c>
      <c r="G12" s="65" t="str">
        <f t="shared" si="0"/>
        <v/>
      </c>
      <c r="H12" s="71" t="str">
        <f>IF('PIM Model'!$D$12="$/LB","#","%")</f>
        <v>%</v>
      </c>
      <c r="I12" s="68" t="s">
        <v>667</v>
      </c>
      <c r="J12" s="918">
        <f>'MDA Worksheet'!$AU$48</f>
        <v>2.25</v>
      </c>
      <c r="K12" s="937">
        <f>'MDA Worksheet'!$AU$46*100</f>
        <v>30</v>
      </c>
      <c r="L12" s="59" t="s">
        <v>482</v>
      </c>
    </row>
    <row r="13" spans="1:16" x14ac:dyDescent="0.25">
      <c r="A13" s="59">
        <v>16</v>
      </c>
      <c r="B13" s="59">
        <v>0</v>
      </c>
      <c r="C13" s="59">
        <v>0</v>
      </c>
      <c r="D13" s="59" t="s">
        <v>663</v>
      </c>
      <c r="E13" s="59" t="str">
        <f>IF('PRIME Headers'!$C$20="No","PWW","P07")</f>
        <v>P07</v>
      </c>
      <c r="F13" s="66" t="str">
        <f>'PIM Model'!$AD$13</f>
        <v/>
      </c>
      <c r="G13" s="65" t="str">
        <f t="shared" si="0"/>
        <v/>
      </c>
      <c r="H13" s="71" t="str">
        <f>'PIM Model'!$D$13</f>
        <v>%</v>
      </c>
      <c r="I13" s="68" t="s">
        <v>667</v>
      </c>
      <c r="J13" s="918">
        <f>'MDA Worksheet'!$AU$48</f>
        <v>2.25</v>
      </c>
      <c r="K13" s="937">
        <f>'MDA Worksheet'!$AU$46*100</f>
        <v>30</v>
      </c>
      <c r="L13" s="59" t="s">
        <v>482</v>
      </c>
    </row>
    <row r="14" spans="1:16" x14ac:dyDescent="0.25">
      <c r="A14" s="59">
        <v>16</v>
      </c>
      <c r="B14" s="59">
        <v>135</v>
      </c>
      <c r="C14" s="59">
        <v>0</v>
      </c>
      <c r="D14" s="59" t="s">
        <v>665</v>
      </c>
      <c r="E14" s="59" t="s">
        <v>664</v>
      </c>
      <c r="F14" s="66" t="str">
        <f>'PIM Model'!$AD$13</f>
        <v/>
      </c>
      <c r="G14" s="65" t="str">
        <f t="shared" si="0"/>
        <v/>
      </c>
      <c r="H14" s="71" t="str">
        <f>'PIM Model'!$D$13</f>
        <v>%</v>
      </c>
      <c r="I14" s="68" t="s">
        <v>667</v>
      </c>
      <c r="J14" s="918">
        <f>'MDA Worksheet'!$AU$48</f>
        <v>2.25</v>
      </c>
      <c r="K14" s="937">
        <f>'MDA Worksheet'!$AU$46*100</f>
        <v>30</v>
      </c>
      <c r="L14" s="59" t="s">
        <v>482</v>
      </c>
    </row>
    <row r="15" spans="1:16" x14ac:dyDescent="0.25">
      <c r="A15" s="59">
        <v>16</v>
      </c>
      <c r="B15" s="59">
        <v>136</v>
      </c>
      <c r="C15" s="59">
        <v>7626</v>
      </c>
      <c r="D15" s="59" t="s">
        <v>665</v>
      </c>
      <c r="E15" s="59" t="s">
        <v>664</v>
      </c>
      <c r="F15" s="66" t="str">
        <f>'PIM Model'!$AD$13</f>
        <v/>
      </c>
      <c r="G15" s="65" t="str">
        <f t="shared" si="0"/>
        <v/>
      </c>
      <c r="H15" s="71" t="str">
        <f>'PIM Model'!$D$13</f>
        <v>%</v>
      </c>
      <c r="I15" s="68" t="s">
        <v>667</v>
      </c>
      <c r="J15" s="918">
        <f>'MDA Worksheet'!$AU$48</f>
        <v>2.25</v>
      </c>
      <c r="K15" s="937">
        <f>'MDA Worksheet'!$AU$46*100</f>
        <v>30</v>
      </c>
      <c r="L15" s="59" t="s">
        <v>482</v>
      </c>
    </row>
    <row r="16" spans="1:16" x14ac:dyDescent="0.25">
      <c r="A16" s="59">
        <v>16</v>
      </c>
      <c r="B16" s="59">
        <v>136</v>
      </c>
      <c r="C16" s="59">
        <v>7627</v>
      </c>
      <c r="D16" s="59" t="s">
        <v>665</v>
      </c>
      <c r="E16" s="59" t="s">
        <v>664</v>
      </c>
      <c r="F16" s="66" t="str">
        <f>'PIM Model'!$AD$13</f>
        <v/>
      </c>
      <c r="G16" s="65" t="str">
        <f t="shared" si="0"/>
        <v/>
      </c>
      <c r="H16" s="71" t="str">
        <f>'PIM Model'!$D$13</f>
        <v>%</v>
      </c>
      <c r="I16" s="68" t="s">
        <v>667</v>
      </c>
      <c r="J16" s="918">
        <f>'MDA Worksheet'!$AU$48</f>
        <v>2.25</v>
      </c>
      <c r="K16" s="937">
        <f>'MDA Worksheet'!$AU$46*100</f>
        <v>30</v>
      </c>
      <c r="L16" s="59" t="s">
        <v>482</v>
      </c>
    </row>
    <row r="17" spans="1:12" x14ac:dyDescent="0.25">
      <c r="A17" s="59">
        <v>16</v>
      </c>
      <c r="B17" s="59">
        <v>136</v>
      </c>
      <c r="C17" s="59">
        <v>7628</v>
      </c>
      <c r="D17" s="59" t="s">
        <v>665</v>
      </c>
      <c r="E17" s="59" t="s">
        <v>664</v>
      </c>
      <c r="F17" s="66" t="str">
        <f>'PIM Model'!$AD$13</f>
        <v/>
      </c>
      <c r="G17" s="65" t="str">
        <f t="shared" si="0"/>
        <v/>
      </c>
      <c r="H17" s="71" t="str">
        <f>'PIM Model'!$D$13</f>
        <v>%</v>
      </c>
      <c r="I17" s="68" t="s">
        <v>667</v>
      </c>
      <c r="J17" s="918">
        <f>'MDA Worksheet'!$AU$48</f>
        <v>2.25</v>
      </c>
      <c r="K17" s="937">
        <f>'MDA Worksheet'!$AU$46*100</f>
        <v>30</v>
      </c>
      <c r="L17" s="59" t="s">
        <v>482</v>
      </c>
    </row>
    <row r="18" spans="1:12" x14ac:dyDescent="0.25">
      <c r="A18" s="59">
        <v>16</v>
      </c>
      <c r="B18" s="59">
        <v>136</v>
      </c>
      <c r="C18" s="59">
        <v>7629</v>
      </c>
      <c r="D18" s="59" t="s">
        <v>665</v>
      </c>
      <c r="E18" s="59" t="s">
        <v>664</v>
      </c>
      <c r="F18" s="66" t="str">
        <f>'PIM Model'!$AD$13</f>
        <v/>
      </c>
      <c r="G18" s="65" t="str">
        <f t="shared" si="0"/>
        <v/>
      </c>
      <c r="H18" s="71" t="str">
        <f>'PIM Model'!$D$13</f>
        <v>%</v>
      </c>
      <c r="I18" s="68" t="s">
        <v>667</v>
      </c>
      <c r="J18" s="918">
        <f>'MDA Worksheet'!$AU$48</f>
        <v>2.25</v>
      </c>
      <c r="K18" s="937">
        <f>'MDA Worksheet'!$AU$46*100</f>
        <v>30</v>
      </c>
      <c r="L18" s="59" t="s">
        <v>482</v>
      </c>
    </row>
    <row r="19" spans="1:12" x14ac:dyDescent="0.25">
      <c r="A19" s="59">
        <v>16</v>
      </c>
      <c r="B19" s="59">
        <v>136</v>
      </c>
      <c r="C19" s="59">
        <v>7643</v>
      </c>
      <c r="D19" s="59" t="s">
        <v>665</v>
      </c>
      <c r="E19" s="59" t="s">
        <v>664</v>
      </c>
      <c r="F19" s="66" t="str">
        <f>'PIM Model'!$AD$13</f>
        <v/>
      </c>
      <c r="G19" s="65" t="str">
        <f t="shared" si="0"/>
        <v/>
      </c>
      <c r="H19" s="71" t="str">
        <f>'PIM Model'!$D$13</f>
        <v>%</v>
      </c>
      <c r="I19" s="68" t="s">
        <v>667</v>
      </c>
      <c r="J19" s="918">
        <f>'MDA Worksheet'!$AU$48</f>
        <v>2.25</v>
      </c>
      <c r="K19" s="937">
        <f>'MDA Worksheet'!$AU$46*100</f>
        <v>30</v>
      </c>
      <c r="L19" s="59" t="s">
        <v>482</v>
      </c>
    </row>
    <row r="20" spans="1:12" x14ac:dyDescent="0.25">
      <c r="A20" s="59">
        <v>16</v>
      </c>
      <c r="B20" s="59">
        <v>136</v>
      </c>
      <c r="C20" s="59">
        <v>7644</v>
      </c>
      <c r="D20" s="59" t="s">
        <v>665</v>
      </c>
      <c r="E20" s="59" t="s">
        <v>664</v>
      </c>
      <c r="F20" s="66" t="str">
        <f>'PIM Model'!$AD$13</f>
        <v/>
      </c>
      <c r="G20" s="65" t="str">
        <f t="shared" si="0"/>
        <v/>
      </c>
      <c r="H20" s="71" t="str">
        <f>'PIM Model'!$D$13</f>
        <v>%</v>
      </c>
      <c r="I20" s="68" t="s">
        <v>667</v>
      </c>
      <c r="J20" s="918">
        <f>'MDA Worksheet'!$AU$48</f>
        <v>2.25</v>
      </c>
      <c r="K20" s="937">
        <f>'MDA Worksheet'!$AU$46*100</f>
        <v>30</v>
      </c>
      <c r="L20" s="59" t="s">
        <v>482</v>
      </c>
    </row>
    <row r="21" spans="1:12" x14ac:dyDescent="0.25">
      <c r="A21" s="59">
        <v>16</v>
      </c>
      <c r="B21" s="59">
        <v>136</v>
      </c>
      <c r="C21" s="59">
        <v>7645</v>
      </c>
      <c r="D21" s="59" t="s">
        <v>665</v>
      </c>
      <c r="E21" s="59" t="s">
        <v>664</v>
      </c>
      <c r="F21" s="66" t="str">
        <f>'PIM Model'!$AD$13</f>
        <v/>
      </c>
      <c r="G21" s="65" t="str">
        <f t="shared" si="0"/>
        <v/>
      </c>
      <c r="H21" s="71" t="str">
        <f>'PIM Model'!$D$13</f>
        <v>%</v>
      </c>
      <c r="I21" s="68" t="s">
        <v>667</v>
      </c>
      <c r="J21" s="918">
        <f>'MDA Worksheet'!$AU$48</f>
        <v>2.25</v>
      </c>
      <c r="K21" s="937">
        <f>'MDA Worksheet'!$AU$46*100</f>
        <v>30</v>
      </c>
      <c r="L21" s="59" t="s">
        <v>482</v>
      </c>
    </row>
    <row r="22" spans="1:12" x14ac:dyDescent="0.25">
      <c r="A22" s="59">
        <v>16</v>
      </c>
      <c r="B22" s="59">
        <v>136</v>
      </c>
      <c r="C22" s="59">
        <v>7646</v>
      </c>
      <c r="D22" s="59" t="s">
        <v>665</v>
      </c>
      <c r="E22" s="59" t="s">
        <v>664</v>
      </c>
      <c r="F22" s="66" t="str">
        <f>'PIM Model'!$AD$13</f>
        <v/>
      </c>
      <c r="G22" s="65" t="str">
        <f t="shared" si="0"/>
        <v/>
      </c>
      <c r="H22" s="71" t="str">
        <f>'PIM Model'!$D$13</f>
        <v>%</v>
      </c>
      <c r="I22" s="68" t="s">
        <v>667</v>
      </c>
      <c r="J22" s="918">
        <f>'MDA Worksheet'!$AU$48</f>
        <v>2.25</v>
      </c>
      <c r="K22" s="937">
        <f>'MDA Worksheet'!$AU$46*100</f>
        <v>30</v>
      </c>
      <c r="L22" s="59" t="s">
        <v>482</v>
      </c>
    </row>
    <row r="23" spans="1:12" x14ac:dyDescent="0.25">
      <c r="A23" s="59">
        <v>16</v>
      </c>
      <c r="B23" s="59">
        <v>136</v>
      </c>
      <c r="C23" s="59">
        <v>7647</v>
      </c>
      <c r="D23" s="59" t="s">
        <v>665</v>
      </c>
      <c r="E23" s="59" t="s">
        <v>664</v>
      </c>
      <c r="F23" s="66" t="str">
        <f>'PIM Model'!$AD$13</f>
        <v/>
      </c>
      <c r="G23" s="65" t="str">
        <f t="shared" si="0"/>
        <v/>
      </c>
      <c r="H23" s="71" t="str">
        <f>'PIM Model'!$D$13</f>
        <v>%</v>
      </c>
      <c r="I23" s="68" t="s">
        <v>667</v>
      </c>
      <c r="J23" s="918">
        <f>'MDA Worksheet'!$AU$48</f>
        <v>2.25</v>
      </c>
      <c r="K23" s="937">
        <f>'MDA Worksheet'!$AU$46*100</f>
        <v>30</v>
      </c>
      <c r="L23" s="59" t="s">
        <v>482</v>
      </c>
    </row>
    <row r="24" spans="1:12" x14ac:dyDescent="0.25">
      <c r="A24" s="59">
        <v>16</v>
      </c>
      <c r="B24" s="59">
        <v>136</v>
      </c>
      <c r="C24" s="59">
        <v>7648</v>
      </c>
      <c r="D24" s="59" t="s">
        <v>665</v>
      </c>
      <c r="E24" s="59" t="s">
        <v>664</v>
      </c>
      <c r="F24" s="66" t="str">
        <f>'PIM Model'!$AD$13</f>
        <v/>
      </c>
      <c r="G24" s="65" t="str">
        <f t="shared" si="0"/>
        <v/>
      </c>
      <c r="H24" s="71" t="str">
        <f>'PIM Model'!$D$13</f>
        <v>%</v>
      </c>
      <c r="I24" s="68" t="s">
        <v>667</v>
      </c>
      <c r="J24" s="918">
        <f>'MDA Worksheet'!$AU$48</f>
        <v>2.25</v>
      </c>
      <c r="K24" s="937">
        <f>'MDA Worksheet'!$AU$46*100</f>
        <v>30</v>
      </c>
      <c r="L24" s="59" t="s">
        <v>482</v>
      </c>
    </row>
    <row r="25" spans="1:12" x14ac:dyDescent="0.25">
      <c r="A25" s="59">
        <v>16</v>
      </c>
      <c r="B25" s="59">
        <v>136</v>
      </c>
      <c r="C25" s="59">
        <v>7649</v>
      </c>
      <c r="D25" s="59" t="s">
        <v>665</v>
      </c>
      <c r="E25" s="59" t="s">
        <v>664</v>
      </c>
      <c r="F25" s="66" t="str">
        <f>'PIM Model'!$AD$13</f>
        <v/>
      </c>
      <c r="G25" s="65" t="str">
        <f t="shared" si="0"/>
        <v/>
      </c>
      <c r="H25" s="71" t="str">
        <f>'PIM Model'!$D$13</f>
        <v>%</v>
      </c>
      <c r="I25" s="68" t="s">
        <v>667</v>
      </c>
      <c r="J25" s="918">
        <f>'MDA Worksheet'!$AU$48</f>
        <v>2.25</v>
      </c>
      <c r="K25" s="937">
        <f>'MDA Worksheet'!$AU$46*100</f>
        <v>30</v>
      </c>
      <c r="L25" s="59" t="s">
        <v>482</v>
      </c>
    </row>
    <row r="26" spans="1:12" x14ac:dyDescent="0.25">
      <c r="A26" s="59">
        <v>16</v>
      </c>
      <c r="B26" s="59">
        <v>136</v>
      </c>
      <c r="C26" s="59">
        <v>7738</v>
      </c>
      <c r="D26" s="59" t="s">
        <v>665</v>
      </c>
      <c r="E26" s="59" t="s">
        <v>664</v>
      </c>
      <c r="F26" s="66" t="str">
        <f>'PIM Model'!$AD$13</f>
        <v/>
      </c>
      <c r="G26" s="65" t="str">
        <f t="shared" si="0"/>
        <v/>
      </c>
      <c r="H26" s="71" t="str">
        <f>'PIM Model'!$D$13</f>
        <v>%</v>
      </c>
      <c r="I26" s="68" t="s">
        <v>667</v>
      </c>
      <c r="J26" s="918">
        <f>'MDA Worksheet'!$AU$48</f>
        <v>2.25</v>
      </c>
      <c r="K26" s="937">
        <f>'MDA Worksheet'!$AU$46*100</f>
        <v>30</v>
      </c>
      <c r="L26" s="59" t="s">
        <v>482</v>
      </c>
    </row>
    <row r="27" spans="1:12" x14ac:dyDescent="0.25">
      <c r="A27" s="59">
        <v>16</v>
      </c>
      <c r="B27" s="59">
        <v>136</v>
      </c>
      <c r="C27" s="59">
        <v>7739</v>
      </c>
      <c r="D27" s="59" t="s">
        <v>665</v>
      </c>
      <c r="E27" s="59" t="s">
        <v>664</v>
      </c>
      <c r="F27" s="66" t="str">
        <f>'PIM Model'!$AD$13</f>
        <v/>
      </c>
      <c r="G27" s="65" t="str">
        <f t="shared" si="0"/>
        <v/>
      </c>
      <c r="H27" s="71" t="str">
        <f>'PIM Model'!$D$13</f>
        <v>%</v>
      </c>
      <c r="I27" s="68" t="s">
        <v>667</v>
      </c>
      <c r="J27" s="918">
        <f>'MDA Worksheet'!$AU$48</f>
        <v>2.25</v>
      </c>
      <c r="K27" s="937">
        <f>'MDA Worksheet'!$AU$46*100</f>
        <v>30</v>
      </c>
      <c r="L27" s="59" t="s">
        <v>482</v>
      </c>
    </row>
    <row r="28" spans="1:12" x14ac:dyDescent="0.25">
      <c r="A28" s="59">
        <v>16</v>
      </c>
      <c r="B28" s="59">
        <v>136</v>
      </c>
      <c r="C28" s="59">
        <v>7744</v>
      </c>
      <c r="D28" s="59" t="s">
        <v>665</v>
      </c>
      <c r="E28" s="59" t="s">
        <v>664</v>
      </c>
      <c r="F28" s="66" t="str">
        <f>'PIM Model'!$AD$13</f>
        <v/>
      </c>
      <c r="G28" s="65" t="str">
        <f t="shared" si="0"/>
        <v/>
      </c>
      <c r="H28" s="71" t="str">
        <f>'PIM Model'!$D$13</f>
        <v>%</v>
      </c>
      <c r="I28" s="68" t="s">
        <v>667</v>
      </c>
      <c r="J28" s="918">
        <f>'MDA Worksheet'!$AU$48</f>
        <v>2.25</v>
      </c>
      <c r="K28" s="937">
        <f>'MDA Worksheet'!$AU$46*100</f>
        <v>30</v>
      </c>
      <c r="L28" s="59" t="s">
        <v>482</v>
      </c>
    </row>
    <row r="29" spans="1:12" x14ac:dyDescent="0.25">
      <c r="A29" s="59">
        <v>16</v>
      </c>
      <c r="B29" s="59">
        <v>136</v>
      </c>
      <c r="C29" s="59">
        <v>7745</v>
      </c>
      <c r="D29" s="59" t="s">
        <v>665</v>
      </c>
      <c r="E29" s="59" t="s">
        <v>664</v>
      </c>
      <c r="F29" s="66" t="str">
        <f>'PIM Model'!$AD$13</f>
        <v/>
      </c>
      <c r="G29" s="65" t="str">
        <f t="shared" si="0"/>
        <v/>
      </c>
      <c r="H29" s="71" t="str">
        <f>'PIM Model'!$D$13</f>
        <v>%</v>
      </c>
      <c r="I29" s="68" t="s">
        <v>667</v>
      </c>
      <c r="J29" s="918">
        <f>'MDA Worksheet'!$AU$48</f>
        <v>2.25</v>
      </c>
      <c r="K29" s="937">
        <f>'MDA Worksheet'!$AU$46*100</f>
        <v>30</v>
      </c>
      <c r="L29" s="59" t="s">
        <v>482</v>
      </c>
    </row>
    <row r="30" spans="1:12" x14ac:dyDescent="0.25">
      <c r="A30" s="59">
        <v>16</v>
      </c>
      <c r="B30" s="59">
        <v>136</v>
      </c>
      <c r="C30" s="59">
        <v>7746</v>
      </c>
      <c r="D30" s="59" t="s">
        <v>665</v>
      </c>
      <c r="E30" s="59" t="s">
        <v>664</v>
      </c>
      <c r="F30" s="66" t="str">
        <f>'PIM Model'!$AD$13</f>
        <v/>
      </c>
      <c r="G30" s="65" t="str">
        <f t="shared" si="0"/>
        <v/>
      </c>
      <c r="H30" s="71" t="str">
        <f>'PIM Model'!$D$13</f>
        <v>%</v>
      </c>
      <c r="I30" s="68" t="s">
        <v>667</v>
      </c>
      <c r="J30" s="918">
        <f>'MDA Worksheet'!$AU$48</f>
        <v>2.25</v>
      </c>
      <c r="K30" s="937">
        <f>'MDA Worksheet'!$AU$46*100</f>
        <v>30</v>
      </c>
      <c r="L30" s="59" t="s">
        <v>482</v>
      </c>
    </row>
    <row r="31" spans="1:12" x14ac:dyDescent="0.25">
      <c r="A31" s="59">
        <v>16</v>
      </c>
      <c r="B31" s="59">
        <v>136</v>
      </c>
      <c r="C31" s="59">
        <v>8216</v>
      </c>
      <c r="D31" s="59" t="s">
        <v>665</v>
      </c>
      <c r="E31" s="59" t="s">
        <v>664</v>
      </c>
      <c r="F31" s="66" t="str">
        <f>'PIM Model'!$AD$13</f>
        <v/>
      </c>
      <c r="G31" s="65" t="str">
        <f t="shared" ref="G31:G32" si="1">F31</f>
        <v/>
      </c>
      <c r="H31" s="71" t="str">
        <f>'PIM Model'!$D$13</f>
        <v>%</v>
      </c>
      <c r="I31" s="68" t="s">
        <v>667</v>
      </c>
      <c r="J31" s="918">
        <f>'MDA Worksheet'!$AU$48</f>
        <v>2.25</v>
      </c>
      <c r="K31" s="937">
        <f>'MDA Worksheet'!$AU$46*100</f>
        <v>30</v>
      </c>
      <c r="L31" s="59" t="s">
        <v>482</v>
      </c>
    </row>
    <row r="32" spans="1:12" x14ac:dyDescent="0.25">
      <c r="A32" s="59">
        <v>16</v>
      </c>
      <c r="B32" s="59">
        <v>136</v>
      </c>
      <c r="C32" s="59">
        <v>8219</v>
      </c>
      <c r="D32" s="59" t="s">
        <v>665</v>
      </c>
      <c r="E32" s="59" t="s">
        <v>664</v>
      </c>
      <c r="F32" s="66" t="str">
        <f>'PIM Model'!$AD$13</f>
        <v/>
      </c>
      <c r="G32" s="65" t="str">
        <f t="shared" si="1"/>
        <v/>
      </c>
      <c r="H32" s="71" t="str">
        <f>'PIM Model'!$D$13</f>
        <v>%</v>
      </c>
      <c r="I32" s="68" t="s">
        <v>667</v>
      </c>
      <c r="J32" s="918">
        <f>'MDA Worksheet'!$AU$48</f>
        <v>2.25</v>
      </c>
      <c r="K32" s="937">
        <f>'MDA Worksheet'!$AU$46*100</f>
        <v>30</v>
      </c>
      <c r="L32" s="59" t="s">
        <v>482</v>
      </c>
    </row>
    <row r="33" spans="1:12" x14ac:dyDescent="0.25">
      <c r="A33" s="59">
        <v>17</v>
      </c>
      <c r="B33" s="59">
        <v>0</v>
      </c>
      <c r="C33" s="59">
        <v>0</v>
      </c>
      <c r="D33" s="59" t="s">
        <v>663</v>
      </c>
      <c r="E33" s="59" t="str">
        <f>IF('PRIME Headers'!$C$20="No","PWW","P07")</f>
        <v>P07</v>
      </c>
      <c r="F33" s="66" t="str">
        <f>'PIM Model'!$AD$19</f>
        <v/>
      </c>
      <c r="G33" s="65" t="str">
        <f t="shared" si="0"/>
        <v/>
      </c>
      <c r="H33" s="71" t="str">
        <f>'PIM Model'!$D$19</f>
        <v>%</v>
      </c>
      <c r="I33" s="68" t="s">
        <v>667</v>
      </c>
      <c r="J33" s="918">
        <f>'MDA Worksheet'!$AU$48</f>
        <v>2.25</v>
      </c>
      <c r="K33" s="937">
        <f>'MDA Worksheet'!$AU$46*100</f>
        <v>30</v>
      </c>
      <c r="L33" s="59" t="s">
        <v>482</v>
      </c>
    </row>
    <row r="34" spans="1:12" x14ac:dyDescent="0.25">
      <c r="A34" s="59">
        <v>18</v>
      </c>
      <c r="B34" s="59">
        <v>0</v>
      </c>
      <c r="C34" s="59">
        <v>0</v>
      </c>
      <c r="D34" s="59" t="s">
        <v>665</v>
      </c>
      <c r="E34" s="59" t="s">
        <v>664</v>
      </c>
      <c r="F34" s="66" t="str">
        <f>'PIM Model'!$AD$14</f>
        <v/>
      </c>
      <c r="G34" s="65" t="str">
        <f t="shared" si="0"/>
        <v/>
      </c>
      <c r="H34" s="71" t="str">
        <f>'PIM Model'!$D$14</f>
        <v>%</v>
      </c>
      <c r="I34" s="68" t="s">
        <v>667</v>
      </c>
      <c r="J34" s="918">
        <f>'MDA Worksheet'!$AU$48</f>
        <v>2.25</v>
      </c>
      <c r="K34" s="937">
        <f>'MDA Worksheet'!$AU$46*100</f>
        <v>30</v>
      </c>
      <c r="L34" s="59" t="s">
        <v>482</v>
      </c>
    </row>
    <row r="35" spans="1:12" x14ac:dyDescent="0.25">
      <c r="A35" s="59">
        <v>19</v>
      </c>
      <c r="B35" s="59">
        <v>0</v>
      </c>
      <c r="C35" s="59">
        <v>0</v>
      </c>
      <c r="D35" s="59" t="s">
        <v>663</v>
      </c>
      <c r="E35" s="59" t="str">
        <f>IF('PRIME Headers'!$C$20="No","PWW","P07")</f>
        <v>P07</v>
      </c>
      <c r="F35" s="66" t="str">
        <f>'PIM Model'!$AD$15</f>
        <v/>
      </c>
      <c r="G35" s="65" t="str">
        <f t="shared" si="0"/>
        <v/>
      </c>
      <c r="H35" s="71" t="str">
        <f>'PIM Model'!$D$15</f>
        <v>%</v>
      </c>
      <c r="I35" s="68" t="s">
        <v>667</v>
      </c>
      <c r="J35" s="918">
        <f>'MDA Worksheet'!$AU$48</f>
        <v>2.25</v>
      </c>
      <c r="K35" s="937">
        <f>'MDA Worksheet'!$AU$46*100</f>
        <v>30</v>
      </c>
      <c r="L35" s="59" t="s">
        <v>482</v>
      </c>
    </row>
    <row r="36" spans="1:12" x14ac:dyDescent="0.25">
      <c r="A36" s="59">
        <v>20</v>
      </c>
      <c r="B36" s="59">
        <v>0</v>
      </c>
      <c r="C36" s="59">
        <v>0</v>
      </c>
      <c r="D36" s="59" t="s">
        <v>663</v>
      </c>
      <c r="E36" s="59" t="str">
        <f>IF('PRIME Headers'!$C$20="No","PWW","P07")</f>
        <v>P07</v>
      </c>
      <c r="F36" s="65" t="str">
        <f>'PIM Model'!$AD$10</f>
        <v/>
      </c>
      <c r="G36" s="65" t="str">
        <f t="shared" si="0"/>
        <v/>
      </c>
      <c r="H36" s="71" t="str">
        <f>'PIM Model'!$D$10</f>
        <v>%</v>
      </c>
      <c r="I36" s="68" t="s">
        <v>667</v>
      </c>
      <c r="J36" s="918">
        <f>'MDA Worksheet'!$AU$48</f>
        <v>2.25</v>
      </c>
      <c r="K36" s="937">
        <f>'MDA Worksheet'!$AU$46*100</f>
        <v>30</v>
      </c>
      <c r="L36" s="59" t="s">
        <v>482</v>
      </c>
    </row>
    <row r="37" spans="1:12" x14ac:dyDescent="0.25">
      <c r="A37" s="59">
        <v>21</v>
      </c>
      <c r="B37" s="59">
        <v>0</v>
      </c>
      <c r="C37" s="59">
        <v>0</v>
      </c>
      <c r="D37" s="59" t="s">
        <v>665</v>
      </c>
      <c r="E37" s="59" t="s">
        <v>664</v>
      </c>
      <c r="F37" s="66" t="str">
        <f>'PIM Model'!$AD$16</f>
        <v/>
      </c>
      <c r="G37" s="65" t="str">
        <f>F37</f>
        <v/>
      </c>
      <c r="H37" s="71" t="str">
        <f>'PIM Model'!$D$16</f>
        <v>%</v>
      </c>
      <c r="I37" s="68" t="s">
        <v>667</v>
      </c>
      <c r="J37" s="918">
        <f>'MDA Worksheet'!$AU$48</f>
        <v>2.25</v>
      </c>
      <c r="K37" s="937">
        <f>'MDA Worksheet'!$AU$46*100</f>
        <v>30</v>
      </c>
      <c r="L37" s="59" t="s">
        <v>482</v>
      </c>
    </row>
    <row r="38" spans="1:12" x14ac:dyDescent="0.25">
      <c r="A38" s="59">
        <v>21</v>
      </c>
      <c r="B38" s="59">
        <v>158</v>
      </c>
      <c r="C38" s="59">
        <v>1957</v>
      </c>
      <c r="D38" s="59" t="s">
        <v>663</v>
      </c>
      <c r="E38" s="59" t="str">
        <f>IF('PRIME Headers'!$C$20="No","PWW","P07")</f>
        <v>P07</v>
      </c>
      <c r="F38" s="66" t="str">
        <f>'PIM Model'!$AD$16</f>
        <v/>
      </c>
      <c r="G38" s="65" t="str">
        <f t="shared" si="0"/>
        <v/>
      </c>
      <c r="H38" s="71" t="str">
        <f>'PIM Model'!$D$16</f>
        <v>%</v>
      </c>
      <c r="I38" s="68" t="s">
        <v>667</v>
      </c>
      <c r="J38" s="918">
        <f>'MDA Worksheet'!$AU$48</f>
        <v>2.25</v>
      </c>
      <c r="K38" s="937">
        <f>'MDA Worksheet'!$AU$46*100</f>
        <v>30</v>
      </c>
      <c r="L38" s="59" t="s">
        <v>482</v>
      </c>
    </row>
    <row r="39" spans="1:12" x14ac:dyDescent="0.25">
      <c r="A39" s="59">
        <v>21</v>
      </c>
      <c r="B39" s="59">
        <v>158</v>
      </c>
      <c r="C39" s="59">
        <v>5800</v>
      </c>
      <c r="D39" s="59" t="s">
        <v>663</v>
      </c>
      <c r="E39" s="59" t="str">
        <f>IF('PRIME Headers'!$C$20="No","PWW","P07")</f>
        <v>P07</v>
      </c>
      <c r="F39" s="66" t="str">
        <f>'PIM Model'!$AD$16</f>
        <v/>
      </c>
      <c r="G39" s="65" t="str">
        <f t="shared" si="0"/>
        <v/>
      </c>
      <c r="H39" s="71" t="str">
        <f>'PIM Model'!$D$16</f>
        <v>%</v>
      </c>
      <c r="I39" s="68" t="s">
        <v>667</v>
      </c>
      <c r="J39" s="918">
        <f>'MDA Worksheet'!$AU$48</f>
        <v>2.25</v>
      </c>
      <c r="K39" s="937">
        <f>'MDA Worksheet'!$AU$46*100</f>
        <v>30</v>
      </c>
      <c r="L39" s="59" t="s">
        <v>482</v>
      </c>
    </row>
    <row r="40" spans="1:12" x14ac:dyDescent="0.25">
      <c r="A40" s="59">
        <v>21</v>
      </c>
      <c r="B40" s="59">
        <v>161</v>
      </c>
      <c r="C40" s="59">
        <v>0</v>
      </c>
      <c r="D40" s="59" t="s">
        <v>663</v>
      </c>
      <c r="E40" s="59" t="str">
        <f>IF('PRIME Headers'!$C$20="No","PWW","P07")</f>
        <v>P07</v>
      </c>
      <c r="F40" s="66" t="str">
        <f>'PIM Model'!$AD$16</f>
        <v/>
      </c>
      <c r="G40" s="65" t="str">
        <f t="shared" si="0"/>
        <v/>
      </c>
      <c r="H40" s="71" t="str">
        <f>'PIM Model'!$D$16</f>
        <v>%</v>
      </c>
      <c r="I40" s="68" t="s">
        <v>667</v>
      </c>
      <c r="J40" s="918">
        <f>'MDA Worksheet'!$AU$48</f>
        <v>2.25</v>
      </c>
      <c r="K40" s="937">
        <f>'MDA Worksheet'!$AU$46*100</f>
        <v>30</v>
      </c>
      <c r="L40" s="59" t="s">
        <v>482</v>
      </c>
    </row>
    <row r="41" spans="1:12" x14ac:dyDescent="0.25">
      <c r="A41" s="59">
        <v>21</v>
      </c>
      <c r="B41" s="59">
        <v>162</v>
      </c>
      <c r="C41" s="59">
        <v>1622</v>
      </c>
      <c r="D41" s="59" t="s">
        <v>663</v>
      </c>
      <c r="E41" s="59" t="str">
        <f>IF('PRIME Headers'!$C$20="No","PWW","P07")</f>
        <v>P07</v>
      </c>
      <c r="F41" s="66" t="str">
        <f>'PIM Model'!$AD$16</f>
        <v/>
      </c>
      <c r="G41" s="65" t="str">
        <f t="shared" si="0"/>
        <v/>
      </c>
      <c r="H41" s="71" t="str">
        <f>'PIM Model'!$D$16</f>
        <v>%</v>
      </c>
      <c r="I41" s="68" t="s">
        <v>667</v>
      </c>
      <c r="J41" s="918">
        <f>'MDA Worksheet'!$AU$48</f>
        <v>2.25</v>
      </c>
      <c r="K41" s="937">
        <f>'MDA Worksheet'!$AU$46*100</f>
        <v>30</v>
      </c>
      <c r="L41" s="59" t="s">
        <v>482</v>
      </c>
    </row>
    <row r="42" spans="1:12" x14ac:dyDescent="0.25">
      <c r="A42" s="59">
        <v>21</v>
      </c>
      <c r="B42" s="59">
        <v>162</v>
      </c>
      <c r="C42" s="59">
        <v>1623</v>
      </c>
      <c r="D42" s="59" t="s">
        <v>663</v>
      </c>
      <c r="E42" s="59" t="str">
        <f>IF('PRIME Headers'!$C$20="No","PWW","P07")</f>
        <v>P07</v>
      </c>
      <c r="F42" s="66" t="str">
        <f>'PIM Model'!$AD$16</f>
        <v/>
      </c>
      <c r="G42" s="65" t="str">
        <f t="shared" si="0"/>
        <v/>
      </c>
      <c r="H42" s="71" t="str">
        <f>'PIM Model'!$D$16</f>
        <v>%</v>
      </c>
      <c r="I42" s="68" t="s">
        <v>667</v>
      </c>
      <c r="J42" s="918">
        <f>'MDA Worksheet'!$AU$48</f>
        <v>2.25</v>
      </c>
      <c r="K42" s="937">
        <f>'MDA Worksheet'!$AU$46*100</f>
        <v>30</v>
      </c>
      <c r="L42" s="59" t="s">
        <v>482</v>
      </c>
    </row>
    <row r="43" spans="1:12" x14ac:dyDescent="0.25">
      <c r="A43" s="59">
        <v>21</v>
      </c>
      <c r="B43" s="59">
        <v>162</v>
      </c>
      <c r="C43" s="59">
        <v>3490</v>
      </c>
      <c r="D43" s="59" t="s">
        <v>663</v>
      </c>
      <c r="E43" s="59" t="str">
        <f>IF('PRIME Headers'!$C$20="No","PWW","P07")</f>
        <v>P07</v>
      </c>
      <c r="F43" s="66" t="str">
        <f>'PIM Model'!$AD$16</f>
        <v/>
      </c>
      <c r="G43" s="65" t="str">
        <f t="shared" si="0"/>
        <v/>
      </c>
      <c r="H43" s="71" t="str">
        <f>'PIM Model'!$D$16</f>
        <v>%</v>
      </c>
      <c r="I43" s="68" t="s">
        <v>667</v>
      </c>
      <c r="J43" s="918">
        <f>'MDA Worksheet'!$AU$48</f>
        <v>2.25</v>
      </c>
      <c r="K43" s="937">
        <f>'MDA Worksheet'!$AU$46*100</f>
        <v>30</v>
      </c>
      <c r="L43" s="59" t="s">
        <v>482</v>
      </c>
    </row>
    <row r="44" spans="1:12" x14ac:dyDescent="0.25">
      <c r="A44" s="59">
        <v>21</v>
      </c>
      <c r="B44" s="59">
        <v>162</v>
      </c>
      <c r="C44" s="59">
        <v>3500</v>
      </c>
      <c r="D44" s="59" t="s">
        <v>663</v>
      </c>
      <c r="E44" s="59" t="str">
        <f>IF('PRIME Headers'!$C$20="No","PWW","P07")</f>
        <v>P07</v>
      </c>
      <c r="F44" s="66" t="str">
        <f>'PIM Model'!$AD$16</f>
        <v/>
      </c>
      <c r="G44" s="65" t="str">
        <f t="shared" si="0"/>
        <v/>
      </c>
      <c r="H44" s="71" t="str">
        <f>'PIM Model'!$D$16</f>
        <v>%</v>
      </c>
      <c r="I44" s="68" t="s">
        <v>667</v>
      </c>
      <c r="J44" s="918">
        <f>'MDA Worksheet'!$AU$48</f>
        <v>2.25</v>
      </c>
      <c r="K44" s="937">
        <f>'MDA Worksheet'!$AU$46*100</f>
        <v>30</v>
      </c>
      <c r="L44" s="59" t="s">
        <v>482</v>
      </c>
    </row>
    <row r="45" spans="1:12" x14ac:dyDescent="0.25">
      <c r="A45" s="59">
        <v>21</v>
      </c>
      <c r="B45" s="59">
        <v>162</v>
      </c>
      <c r="C45" s="59">
        <v>7625</v>
      </c>
      <c r="D45" s="59" t="s">
        <v>663</v>
      </c>
      <c r="E45" s="59" t="str">
        <f>IF('PRIME Headers'!$C$20="No","PWW","P07")</f>
        <v>P07</v>
      </c>
      <c r="F45" s="66" t="str">
        <f>'PIM Model'!$AD$16</f>
        <v/>
      </c>
      <c r="G45" s="65" t="str">
        <f t="shared" si="0"/>
        <v/>
      </c>
      <c r="H45" s="71" t="str">
        <f>'PIM Model'!$D$16</f>
        <v>%</v>
      </c>
      <c r="I45" s="68" t="s">
        <v>667</v>
      </c>
      <c r="J45" s="918">
        <f>'MDA Worksheet'!$AU$48</f>
        <v>2.25</v>
      </c>
      <c r="K45" s="937">
        <f>'MDA Worksheet'!$AU$46*100</f>
        <v>30</v>
      </c>
      <c r="L45" s="59" t="s">
        <v>482</v>
      </c>
    </row>
    <row r="46" spans="1:12" x14ac:dyDescent="0.25">
      <c r="A46" s="59">
        <v>21</v>
      </c>
      <c r="B46" s="59">
        <v>162</v>
      </c>
      <c r="C46" s="59">
        <v>7636</v>
      </c>
      <c r="D46" s="59" t="s">
        <v>663</v>
      </c>
      <c r="E46" s="59" t="str">
        <f>IF('PRIME Headers'!$C$20="No","PWW","P07")</f>
        <v>P07</v>
      </c>
      <c r="F46" s="66" t="str">
        <f>'PIM Model'!$AD$16</f>
        <v/>
      </c>
      <c r="G46" s="65" t="str">
        <f t="shared" si="0"/>
        <v/>
      </c>
      <c r="H46" s="71" t="str">
        <f>'PIM Model'!$D$16</f>
        <v>%</v>
      </c>
      <c r="I46" s="68" t="s">
        <v>667</v>
      </c>
      <c r="J46" s="918">
        <f>'MDA Worksheet'!$AU$48</f>
        <v>2.25</v>
      </c>
      <c r="K46" s="937">
        <f>'MDA Worksheet'!$AU$46*100</f>
        <v>30</v>
      </c>
      <c r="L46" s="59" t="s">
        <v>482</v>
      </c>
    </row>
    <row r="47" spans="1:12" x14ac:dyDescent="0.25">
      <c r="A47" s="59">
        <v>22</v>
      </c>
      <c r="B47" s="59">
        <v>0</v>
      </c>
      <c r="C47" s="59">
        <v>0</v>
      </c>
      <c r="D47" s="59" t="s">
        <v>663</v>
      </c>
      <c r="E47" s="59" t="str">
        <f>IF('PRIME Headers'!$C$20="No","PWW","P07")</f>
        <v>P07</v>
      </c>
      <c r="F47" s="66" t="str">
        <f>'PIM Model'!$AD$20</f>
        <v/>
      </c>
      <c r="G47" s="65" t="str">
        <f t="shared" si="0"/>
        <v/>
      </c>
      <c r="H47" s="71" t="str">
        <f>'PIM Model'!$D$20</f>
        <v>%</v>
      </c>
      <c r="I47" s="68" t="s">
        <v>667</v>
      </c>
      <c r="J47" s="918">
        <f>'MDA Worksheet'!$AU$48</f>
        <v>2.25</v>
      </c>
      <c r="K47" s="937">
        <f>'MDA Worksheet'!$AU$46*100</f>
        <v>30</v>
      </c>
      <c r="L47" s="59" t="s">
        <v>482</v>
      </c>
    </row>
    <row r="48" spans="1:12" x14ac:dyDescent="0.25">
      <c r="A48" s="59">
        <v>22</v>
      </c>
      <c r="B48" s="59">
        <v>171</v>
      </c>
      <c r="C48" s="59">
        <v>1400</v>
      </c>
      <c r="D48" s="59" t="s">
        <v>665</v>
      </c>
      <c r="E48" s="59" t="s">
        <v>664</v>
      </c>
      <c r="F48" s="66" t="str">
        <f>'PIM Model'!$AD$20</f>
        <v/>
      </c>
      <c r="G48" s="65" t="str">
        <f t="shared" si="0"/>
        <v/>
      </c>
      <c r="H48" s="71" t="str">
        <f>'PIM Model'!$D$20</f>
        <v>%</v>
      </c>
      <c r="I48" s="68" t="s">
        <v>667</v>
      </c>
      <c r="J48" s="918">
        <f>'MDA Worksheet'!$AU$48</f>
        <v>2.25</v>
      </c>
      <c r="K48" s="937">
        <f>'MDA Worksheet'!$AU$46*100</f>
        <v>30</v>
      </c>
      <c r="L48" s="59" t="s">
        <v>482</v>
      </c>
    </row>
    <row r="49" spans="1:12" x14ac:dyDescent="0.25">
      <c r="A49" s="59">
        <v>22</v>
      </c>
      <c r="B49" s="59">
        <v>174</v>
      </c>
      <c r="C49" s="59">
        <v>1414</v>
      </c>
      <c r="D49" s="59" t="s">
        <v>665</v>
      </c>
      <c r="E49" s="59" t="s">
        <v>664</v>
      </c>
      <c r="F49" s="66" t="str">
        <f>'PIM Model'!$AD$20</f>
        <v/>
      </c>
      <c r="G49" s="65" t="str">
        <f t="shared" si="0"/>
        <v/>
      </c>
      <c r="H49" s="71" t="str">
        <f>'PIM Model'!$D$20</f>
        <v>%</v>
      </c>
      <c r="I49" s="68" t="s">
        <v>667</v>
      </c>
      <c r="J49" s="918">
        <f>'MDA Worksheet'!$AU$48</f>
        <v>2.25</v>
      </c>
      <c r="K49" s="937">
        <f>'MDA Worksheet'!$AU$46*100</f>
        <v>30</v>
      </c>
      <c r="L49" s="59" t="s">
        <v>482</v>
      </c>
    </row>
    <row r="50" spans="1:12" x14ac:dyDescent="0.25">
      <c r="A50" s="59">
        <v>22</v>
      </c>
      <c r="B50" s="59">
        <v>176</v>
      </c>
      <c r="C50" s="59">
        <v>0</v>
      </c>
      <c r="D50" s="59" t="s">
        <v>665</v>
      </c>
      <c r="E50" s="59" t="s">
        <v>664</v>
      </c>
      <c r="F50" s="66" t="str">
        <f>'PIM Model'!$AD$20</f>
        <v/>
      </c>
      <c r="G50" s="65" t="str">
        <f t="shared" si="0"/>
        <v/>
      </c>
      <c r="H50" s="71" t="str">
        <f>'PIM Model'!$D$20</f>
        <v>%</v>
      </c>
      <c r="I50" s="68" t="s">
        <v>667</v>
      </c>
      <c r="J50" s="918">
        <f>'MDA Worksheet'!$AU$48</f>
        <v>2.25</v>
      </c>
      <c r="K50" s="937">
        <f>'MDA Worksheet'!$AU$46*100</f>
        <v>30</v>
      </c>
      <c r="L50" s="59" t="s">
        <v>482</v>
      </c>
    </row>
    <row r="51" spans="1:12" x14ac:dyDescent="0.25">
      <c r="A51" s="59">
        <v>22</v>
      </c>
      <c r="B51" s="59">
        <v>177</v>
      </c>
      <c r="C51" s="59">
        <v>1886</v>
      </c>
      <c r="D51" s="59" t="s">
        <v>663</v>
      </c>
      <c r="E51" s="59" t="str">
        <f>IF('PRIME Headers'!$C$20="No","PWW","P07")</f>
        <v>P07</v>
      </c>
      <c r="F51" s="66" t="str">
        <f>'PIM Model'!$AD$20</f>
        <v/>
      </c>
      <c r="G51" s="65" t="str">
        <f t="shared" si="0"/>
        <v/>
      </c>
      <c r="H51" s="71" t="str">
        <f>'PIM Model'!$D$20</f>
        <v>%</v>
      </c>
      <c r="I51" s="68" t="s">
        <v>667</v>
      </c>
      <c r="J51" s="918">
        <f>'MDA Worksheet'!$AU$48</f>
        <v>2.25</v>
      </c>
      <c r="K51" s="70">
        <v>0</v>
      </c>
      <c r="L51" s="70" t="s">
        <v>242</v>
      </c>
    </row>
    <row r="52" spans="1:12" x14ac:dyDescent="0.25">
      <c r="A52" s="59">
        <v>22</v>
      </c>
      <c r="B52" s="59">
        <v>177</v>
      </c>
      <c r="C52" s="59">
        <v>1908</v>
      </c>
      <c r="D52" s="59" t="s">
        <v>663</v>
      </c>
      <c r="E52" s="59" t="str">
        <f>IF('PRIME Headers'!$C$20="No","PWW","P07")</f>
        <v>P07</v>
      </c>
      <c r="F52" s="66" t="str">
        <f>'PIM Model'!$AD$20</f>
        <v/>
      </c>
      <c r="G52" s="65" t="str">
        <f t="shared" si="0"/>
        <v/>
      </c>
      <c r="H52" s="71" t="str">
        <f>'PIM Model'!$D$20</f>
        <v>%</v>
      </c>
      <c r="I52" s="68" t="s">
        <v>667</v>
      </c>
      <c r="J52" s="918">
        <f>'MDA Worksheet'!$AU$48</f>
        <v>2.25</v>
      </c>
      <c r="K52" s="70">
        <v>0</v>
      </c>
      <c r="L52" s="70" t="s">
        <v>242</v>
      </c>
    </row>
    <row r="53" spans="1:12" x14ac:dyDescent="0.25">
      <c r="A53" s="59">
        <v>22</v>
      </c>
      <c r="B53" s="59">
        <v>177</v>
      </c>
      <c r="C53" s="59">
        <v>3340</v>
      </c>
      <c r="D53" s="59" t="s">
        <v>663</v>
      </c>
      <c r="E53" s="59" t="str">
        <f>IF('PRIME Headers'!$C$20="No","PWW","P07")</f>
        <v>P07</v>
      </c>
      <c r="F53" s="66" t="str">
        <f>'PIM Model'!$AD$20</f>
        <v/>
      </c>
      <c r="G53" s="65" t="str">
        <f t="shared" si="0"/>
        <v/>
      </c>
      <c r="H53" s="71" t="str">
        <f>'PIM Model'!$D$20</f>
        <v>%</v>
      </c>
      <c r="I53" s="68" t="s">
        <v>667</v>
      </c>
      <c r="J53" s="918">
        <f>'MDA Worksheet'!$AU$48</f>
        <v>2.25</v>
      </c>
      <c r="K53" s="70">
        <v>0</v>
      </c>
      <c r="L53" s="70" t="s">
        <v>242</v>
      </c>
    </row>
    <row r="54" spans="1:12" x14ac:dyDescent="0.25">
      <c r="A54" s="59">
        <v>22</v>
      </c>
      <c r="B54" s="59">
        <v>177</v>
      </c>
      <c r="C54" s="59">
        <v>3820</v>
      </c>
      <c r="D54" s="59" t="s">
        <v>663</v>
      </c>
      <c r="E54" s="59" t="str">
        <f>IF('PRIME Headers'!$C$20="No","PWW","P07")</f>
        <v>P07</v>
      </c>
      <c r="F54" s="66" t="str">
        <f>'PIM Model'!$AD$20</f>
        <v/>
      </c>
      <c r="G54" s="65" t="str">
        <f t="shared" si="0"/>
        <v/>
      </c>
      <c r="H54" s="71" t="str">
        <f>'PIM Model'!$D$20</f>
        <v>%</v>
      </c>
      <c r="I54" s="68" t="s">
        <v>667</v>
      </c>
      <c r="J54" s="918">
        <f>'MDA Worksheet'!$AU$48</f>
        <v>2.25</v>
      </c>
      <c r="K54" s="70">
        <v>0</v>
      </c>
      <c r="L54" s="70" t="s">
        <v>242</v>
      </c>
    </row>
    <row r="55" spans="1:12" x14ac:dyDescent="0.25">
      <c r="A55" s="59">
        <v>22</v>
      </c>
      <c r="B55" s="59">
        <v>177</v>
      </c>
      <c r="C55" s="59">
        <v>7733</v>
      </c>
      <c r="D55" s="59" t="s">
        <v>663</v>
      </c>
      <c r="E55" s="59" t="str">
        <f>IF('PRIME Headers'!$C$20="No","PWW","P07")</f>
        <v>P07</v>
      </c>
      <c r="F55" s="66" t="str">
        <f>'PIM Model'!$AD$20</f>
        <v/>
      </c>
      <c r="G55" s="65" t="str">
        <f t="shared" si="0"/>
        <v/>
      </c>
      <c r="H55" s="71" t="str">
        <f>'PIM Model'!$D$20</f>
        <v>%</v>
      </c>
      <c r="I55" s="68" t="s">
        <v>667</v>
      </c>
      <c r="J55" s="918">
        <f>'MDA Worksheet'!$AU$48</f>
        <v>2.25</v>
      </c>
      <c r="K55" s="70">
        <v>0</v>
      </c>
      <c r="L55" s="70" t="s">
        <v>242</v>
      </c>
    </row>
    <row r="56" spans="1:12" x14ac:dyDescent="0.25">
      <c r="A56" s="59">
        <v>22</v>
      </c>
      <c r="B56" s="59">
        <v>180</v>
      </c>
      <c r="C56" s="59">
        <v>0</v>
      </c>
      <c r="D56" s="59" t="s">
        <v>665</v>
      </c>
      <c r="E56" s="59" t="s">
        <v>664</v>
      </c>
      <c r="F56" s="66" t="str">
        <f>'PIM Model'!$AD$20</f>
        <v/>
      </c>
      <c r="G56" s="65" t="str">
        <f t="shared" si="0"/>
        <v/>
      </c>
      <c r="H56" s="71" t="str">
        <f>'PIM Model'!$D$20</f>
        <v>%</v>
      </c>
      <c r="I56" s="68" t="s">
        <v>667</v>
      </c>
      <c r="J56" s="918">
        <f>'MDA Worksheet'!$AU$48</f>
        <v>2.25</v>
      </c>
      <c r="K56" s="937">
        <f>'MDA Worksheet'!$AU$46*100</f>
        <v>30</v>
      </c>
      <c r="L56" s="59" t="s">
        <v>482</v>
      </c>
    </row>
    <row r="57" spans="1:12" x14ac:dyDescent="0.25">
      <c r="A57" s="59">
        <v>22</v>
      </c>
      <c r="B57" s="59">
        <v>232</v>
      </c>
      <c r="C57" s="59">
        <v>1727</v>
      </c>
      <c r="D57" s="59" t="s">
        <v>665</v>
      </c>
      <c r="E57" s="59" t="s">
        <v>664</v>
      </c>
      <c r="F57" s="66" t="str">
        <f>'PIM Model'!$AD$20</f>
        <v/>
      </c>
      <c r="G57" s="65" t="str">
        <f t="shared" si="0"/>
        <v/>
      </c>
      <c r="H57" s="71" t="str">
        <f>'PIM Model'!$D$20</f>
        <v>%</v>
      </c>
      <c r="I57" s="68" t="s">
        <v>667</v>
      </c>
      <c r="J57" s="918">
        <f>'MDA Worksheet'!$AU$48</f>
        <v>2.25</v>
      </c>
      <c r="K57" s="937">
        <f>'MDA Worksheet'!$AU$46*100</f>
        <v>30</v>
      </c>
      <c r="L57" s="59" t="s">
        <v>482</v>
      </c>
    </row>
    <row r="58" spans="1:12" x14ac:dyDescent="0.25">
      <c r="A58" s="59">
        <v>22</v>
      </c>
      <c r="B58" s="59">
        <v>235</v>
      </c>
      <c r="C58" s="59">
        <v>1728</v>
      </c>
      <c r="D58" s="59" t="s">
        <v>665</v>
      </c>
      <c r="E58" s="59" t="s">
        <v>664</v>
      </c>
      <c r="F58" s="66" t="str">
        <f>'PIM Model'!$AD$20</f>
        <v/>
      </c>
      <c r="G58" s="65" t="str">
        <f t="shared" si="0"/>
        <v/>
      </c>
      <c r="H58" s="71" t="str">
        <f>'PIM Model'!$D$20</f>
        <v>%</v>
      </c>
      <c r="I58" s="68" t="s">
        <v>667</v>
      </c>
      <c r="J58" s="918">
        <f>'MDA Worksheet'!$AU$48</f>
        <v>2.25</v>
      </c>
      <c r="K58" s="937">
        <f>'MDA Worksheet'!$AU$46*100</f>
        <v>30</v>
      </c>
      <c r="L58" s="59" t="s">
        <v>482</v>
      </c>
    </row>
    <row r="59" spans="1:12" x14ac:dyDescent="0.25">
      <c r="A59" s="59">
        <v>23</v>
      </c>
      <c r="B59" s="59">
        <v>0</v>
      </c>
      <c r="C59" s="59">
        <v>0</v>
      </c>
      <c r="D59" s="59" t="s">
        <v>663</v>
      </c>
      <c r="E59" s="59" t="str">
        <f>IF('PRIME Headers'!$C$20="No","PWW","P07")</f>
        <v>P07</v>
      </c>
      <c r="F59" s="66" t="str">
        <f>'PIM Model'!$AD$18</f>
        <v/>
      </c>
      <c r="G59" s="65" t="str">
        <f>F59</f>
        <v/>
      </c>
      <c r="H59" s="71" t="str">
        <f>'PIM Model'!$D$18</f>
        <v>%</v>
      </c>
      <c r="I59" s="68" t="s">
        <v>667</v>
      </c>
      <c r="J59" s="918">
        <f>'MDA Worksheet'!$AU$48</f>
        <v>2.25</v>
      </c>
      <c r="K59" s="937">
        <f>'MDA Worksheet'!$AU$46*100</f>
        <v>30</v>
      </c>
      <c r="L59" s="59" t="s">
        <v>482</v>
      </c>
    </row>
    <row r="60" spans="1:12" x14ac:dyDescent="0.25">
      <c r="A60" s="59">
        <v>24</v>
      </c>
      <c r="B60" s="59">
        <v>0</v>
      </c>
      <c r="C60" s="59">
        <v>0</v>
      </c>
      <c r="D60" s="59" t="s">
        <v>663</v>
      </c>
      <c r="E60" s="59" t="str">
        <f>IF('PRIME Headers'!$C$20="No","PWW","P07")</f>
        <v>P07</v>
      </c>
      <c r="F60" s="66" t="str">
        <f>'PIM Model'!$AD$17</f>
        <v/>
      </c>
      <c r="G60" s="65" t="str">
        <f t="shared" si="0"/>
        <v/>
      </c>
      <c r="H60" s="71" t="str">
        <f>'PIM Model'!$D$17</f>
        <v>%</v>
      </c>
      <c r="I60" s="68" t="s">
        <v>667</v>
      </c>
      <c r="J60" s="918">
        <f>'MDA Worksheet'!$AU$48</f>
        <v>2.25</v>
      </c>
      <c r="K60" s="937">
        <f>'MDA Worksheet'!$AU$46*100</f>
        <v>30</v>
      </c>
      <c r="L60" s="59" t="s">
        <v>482</v>
      </c>
    </row>
    <row r="61" spans="1:12" x14ac:dyDescent="0.25">
      <c r="A61" s="59">
        <v>25</v>
      </c>
      <c r="B61" s="59">
        <v>0</v>
      </c>
      <c r="C61" s="59">
        <v>0</v>
      </c>
      <c r="D61" s="59" t="s">
        <v>665</v>
      </c>
      <c r="E61" s="59" t="s">
        <v>666</v>
      </c>
      <c r="F61" s="66" t="str">
        <f>'PIM Model'!$AD$27</f>
        <v/>
      </c>
      <c r="G61" s="65" t="str">
        <f t="shared" si="0"/>
        <v/>
      </c>
      <c r="H61" s="71" t="str">
        <f>IF('PIM Model'!$D$27="$/CS","$","%")</f>
        <v>%</v>
      </c>
      <c r="I61" s="68" t="s">
        <v>667</v>
      </c>
      <c r="J61" s="918">
        <f>'MDA Worksheet'!$AU$48</f>
        <v>2.25</v>
      </c>
      <c r="K61" s="937">
        <f>'MDA Worksheet'!$AU$46*100</f>
        <v>30</v>
      </c>
      <c r="L61" s="59" t="s">
        <v>482</v>
      </c>
    </row>
    <row r="62" spans="1:12" x14ac:dyDescent="0.25">
      <c r="A62" s="59">
        <v>26</v>
      </c>
      <c r="B62" s="59">
        <v>0</v>
      </c>
      <c r="C62" s="59">
        <v>0</v>
      </c>
      <c r="D62" s="59" t="s">
        <v>663</v>
      </c>
      <c r="E62" s="59" t="str">
        <f>IF('PRIME Headers'!$C$20="No","PWW","P07")</f>
        <v>P07</v>
      </c>
      <c r="F62" s="66" t="str">
        <f>'PIM Model'!$AD$21</f>
        <v/>
      </c>
      <c r="G62" s="65" t="str">
        <f t="shared" si="0"/>
        <v/>
      </c>
      <c r="H62" s="71" t="str">
        <f>'PIM Model'!$D$21</f>
        <v>%</v>
      </c>
      <c r="I62" s="68" t="s">
        <v>667</v>
      </c>
      <c r="J62" s="918">
        <f>'MDA Worksheet'!$AU$48</f>
        <v>2.25</v>
      </c>
      <c r="K62" s="937">
        <f>'MDA Worksheet'!$AU$46*100</f>
        <v>30</v>
      </c>
      <c r="L62" s="59" t="s">
        <v>482</v>
      </c>
    </row>
    <row r="63" spans="1:12" x14ac:dyDescent="0.25">
      <c r="A63" s="59">
        <v>26</v>
      </c>
      <c r="B63" s="59">
        <v>310</v>
      </c>
      <c r="C63" s="59">
        <v>5390</v>
      </c>
      <c r="D63" s="59" t="s">
        <v>665</v>
      </c>
      <c r="E63" s="59" t="s">
        <v>664</v>
      </c>
      <c r="F63" s="66" t="str">
        <f>'PIM Model'!$AD$21</f>
        <v/>
      </c>
      <c r="G63" s="65" t="str">
        <f t="shared" si="0"/>
        <v/>
      </c>
      <c r="H63" s="71" t="str">
        <f>'PIM Model'!$D$22</f>
        <v>%</v>
      </c>
      <c r="I63" s="68" t="s">
        <v>667</v>
      </c>
      <c r="J63" s="918">
        <f>'MDA Worksheet'!$AU$48</f>
        <v>2.25</v>
      </c>
      <c r="K63" s="937">
        <f>'MDA Worksheet'!$AU$46*100</f>
        <v>30</v>
      </c>
      <c r="L63" s="59" t="s">
        <v>482</v>
      </c>
    </row>
    <row r="64" spans="1:12" x14ac:dyDescent="0.25">
      <c r="A64" s="59">
        <v>29</v>
      </c>
      <c r="B64" s="59">
        <v>0</v>
      </c>
      <c r="C64" s="59">
        <v>0</v>
      </c>
      <c r="D64" s="59" t="s">
        <v>665</v>
      </c>
      <c r="E64" s="59" t="s">
        <v>664</v>
      </c>
      <c r="F64" s="66" t="str">
        <f>'PIM Model'!$AD$23</f>
        <v/>
      </c>
      <c r="G64" s="65" t="str">
        <f t="shared" si="0"/>
        <v/>
      </c>
      <c r="H64" s="71" t="str">
        <f>'PIM Model'!$D$23</f>
        <v>%</v>
      </c>
      <c r="I64" s="68" t="s">
        <v>667</v>
      </c>
      <c r="J64" s="918">
        <f>'MDA Worksheet'!$AU$48</f>
        <v>2.25</v>
      </c>
      <c r="K64" s="937">
        <f>'MDA Worksheet'!$AU$46*100</f>
        <v>30</v>
      </c>
      <c r="L64" s="59" t="s">
        <v>482</v>
      </c>
    </row>
    <row r="65" spans="1:12" x14ac:dyDescent="0.25">
      <c r="A65" s="59">
        <v>30</v>
      </c>
      <c r="B65" s="59">
        <v>0</v>
      </c>
      <c r="C65" s="59">
        <v>0</v>
      </c>
      <c r="D65" s="59" t="s">
        <v>665</v>
      </c>
      <c r="E65" s="59" t="s">
        <v>664</v>
      </c>
      <c r="F65" s="66" t="str">
        <f>'PIM Model'!$AD$24</f>
        <v/>
      </c>
      <c r="G65" s="65" t="str">
        <f t="shared" si="0"/>
        <v/>
      </c>
      <c r="H65" s="71" t="str">
        <f>IF('PIM Model'!$D$24="$/LB","#","%")</f>
        <v>%</v>
      </c>
      <c r="I65" s="68" t="s">
        <v>667</v>
      </c>
      <c r="J65" s="918">
        <f>'MDA Worksheet'!$AU$48</f>
        <v>2.25</v>
      </c>
      <c r="K65" s="937">
        <f>'MDA Worksheet'!$AU$46*100</f>
        <v>30</v>
      </c>
      <c r="L65" s="59" t="s">
        <v>482</v>
      </c>
    </row>
    <row r="66" spans="1:12" x14ac:dyDescent="0.25">
      <c r="A66" s="59">
        <v>31</v>
      </c>
      <c r="B66" s="59">
        <v>0</v>
      </c>
      <c r="C66" s="59">
        <v>0</v>
      </c>
      <c r="D66" s="59" t="s">
        <v>665</v>
      </c>
      <c r="E66" s="59" t="s">
        <v>664</v>
      </c>
      <c r="F66" s="66" t="str">
        <f>'PIM Model'!$AD$25</f>
        <v/>
      </c>
      <c r="G66" s="65" t="str">
        <f t="shared" si="0"/>
        <v/>
      </c>
      <c r="H66" s="71" t="str">
        <f>IF('PIM Model'!$D$25="$/LB","#","%")</f>
        <v>%</v>
      </c>
      <c r="I66" s="68" t="s">
        <v>667</v>
      </c>
      <c r="J66" s="918">
        <f>'MDA Worksheet'!$AU$48</f>
        <v>2.25</v>
      </c>
      <c r="K66" s="937">
        <f>'MDA Worksheet'!$AU$46*100</f>
        <v>30</v>
      </c>
      <c r="L66" s="59" t="s">
        <v>482</v>
      </c>
    </row>
    <row r="67" spans="1:12" x14ac:dyDescent="0.25">
      <c r="A67" s="59">
        <v>32</v>
      </c>
      <c r="B67" s="59">
        <v>0</v>
      </c>
      <c r="C67" s="59">
        <v>0</v>
      </c>
      <c r="D67" s="59" t="s">
        <v>665</v>
      </c>
      <c r="E67" s="59" t="s">
        <v>664</v>
      </c>
      <c r="F67" s="66" t="str">
        <f>'PIM Model'!$AD$26</f>
        <v/>
      </c>
      <c r="G67" s="65" t="str">
        <f t="shared" si="0"/>
        <v/>
      </c>
      <c r="H67" s="71" t="str">
        <f>IF('PIM Model'!$D$26="$/LB","#","%")</f>
        <v>%</v>
      </c>
      <c r="I67" s="68" t="s">
        <v>667</v>
      </c>
      <c r="J67" s="918">
        <f>'MDA Worksheet'!$AU$48</f>
        <v>2.25</v>
      </c>
      <c r="K67" s="937">
        <f>'MDA Worksheet'!$AU$46*100</f>
        <v>30</v>
      </c>
      <c r="L67" s="59" t="s">
        <v>482</v>
      </c>
    </row>
    <row r="68" spans="1:12" x14ac:dyDescent="0.25">
      <c r="A68" s="59">
        <v>33</v>
      </c>
      <c r="B68" s="59">
        <v>0</v>
      </c>
      <c r="C68" s="59">
        <v>0</v>
      </c>
      <c r="D68" s="59" t="s">
        <v>665</v>
      </c>
      <c r="E68" s="59" t="s">
        <v>664</v>
      </c>
      <c r="F68" s="66" t="str">
        <f>'PIM Model'!$AD$29</f>
        <v/>
      </c>
      <c r="G68" s="65" t="str">
        <f t="shared" si="0"/>
        <v/>
      </c>
      <c r="H68" s="71" t="str">
        <f>IF('PIM Model'!$D$29="$/LB","#","%")</f>
        <v>%</v>
      </c>
      <c r="I68" s="68" t="s">
        <v>667</v>
      </c>
      <c r="J68" s="918">
        <f>'MDA Worksheet'!$AU$48</f>
        <v>2.25</v>
      </c>
      <c r="K68" s="937">
        <f>'MDA Worksheet'!$AU$46*100</f>
        <v>30</v>
      </c>
      <c r="L68" s="59" t="s">
        <v>482</v>
      </c>
    </row>
    <row r="69" spans="1:12" x14ac:dyDescent="0.25">
      <c r="A69" s="59">
        <v>34</v>
      </c>
      <c r="B69" s="59">
        <v>0</v>
      </c>
      <c r="C69" s="59">
        <v>0</v>
      </c>
      <c r="D69" s="59" t="s">
        <v>665</v>
      </c>
      <c r="E69" s="59" t="s">
        <v>664</v>
      </c>
      <c r="F69" s="66" t="str">
        <f>'PIM Model'!$AD$30</f>
        <v/>
      </c>
      <c r="G69" s="65" t="str">
        <f t="shared" ref="G69:G72" si="2">F69</f>
        <v/>
      </c>
      <c r="H69" s="71" t="str">
        <f>IF('PIM Model'!$D$30="$/LB","#","%")</f>
        <v>%</v>
      </c>
      <c r="I69" s="68" t="s">
        <v>667</v>
      </c>
      <c r="J69" s="918">
        <f>'MDA Worksheet'!$AU$48</f>
        <v>2.25</v>
      </c>
      <c r="K69" s="937">
        <f>'MDA Worksheet'!$AU$46*100</f>
        <v>30</v>
      </c>
      <c r="L69" s="59" t="s">
        <v>482</v>
      </c>
    </row>
    <row r="70" spans="1:12" x14ac:dyDescent="0.25">
      <c r="A70" s="59">
        <v>35</v>
      </c>
      <c r="B70" s="59">
        <v>0</v>
      </c>
      <c r="C70" s="59">
        <v>0</v>
      </c>
      <c r="D70" s="59" t="s">
        <v>665</v>
      </c>
      <c r="E70" s="59" t="s">
        <v>664</v>
      </c>
      <c r="F70" s="66" t="str">
        <f>'PIM Model'!$AD$28</f>
        <v/>
      </c>
      <c r="G70" s="65" t="str">
        <f t="shared" si="2"/>
        <v/>
      </c>
      <c r="H70" s="71" t="str">
        <f>'PIM Model'!$D$28</f>
        <v>%</v>
      </c>
      <c r="I70" s="68" t="s">
        <v>667</v>
      </c>
      <c r="J70" s="918">
        <f>'MDA Worksheet'!$AU$48</f>
        <v>2.25</v>
      </c>
      <c r="K70" s="937">
        <f>'MDA Worksheet'!$AU$46*100</f>
        <v>30</v>
      </c>
      <c r="L70" s="59" t="s">
        <v>482</v>
      </c>
    </row>
    <row r="71" spans="1:12" x14ac:dyDescent="0.25">
      <c r="A71" s="59">
        <v>35</v>
      </c>
      <c r="B71" s="59">
        <v>272</v>
      </c>
      <c r="C71" s="59">
        <v>3470</v>
      </c>
      <c r="D71" s="59" t="s">
        <v>663</v>
      </c>
      <c r="E71" s="59" t="str">
        <f>IF('PRIME Headers'!$C$20="No","PWW","P07")</f>
        <v>P07</v>
      </c>
      <c r="F71" s="66" t="str">
        <f>'PIM Model'!$AD$28</f>
        <v/>
      </c>
      <c r="G71" s="65" t="str">
        <f t="shared" ref="G71" si="3">F71</f>
        <v/>
      </c>
      <c r="H71" s="71" t="str">
        <f>'PIM Model'!$D$28</f>
        <v>%</v>
      </c>
      <c r="I71" s="68" t="s">
        <v>667</v>
      </c>
      <c r="J71" s="918">
        <f>'MDA Worksheet'!$AU$48</f>
        <v>2.25</v>
      </c>
      <c r="K71" s="937">
        <f>'MDA Worksheet'!$AU$46*100</f>
        <v>30</v>
      </c>
      <c r="L71" s="59" t="s">
        <v>482</v>
      </c>
    </row>
    <row r="72" spans="1:12" x14ac:dyDescent="0.25">
      <c r="A72" s="59">
        <v>37</v>
      </c>
      <c r="B72" s="59">
        <v>0</v>
      </c>
      <c r="C72" s="59">
        <v>0</v>
      </c>
      <c r="D72" s="59" t="s">
        <v>663</v>
      </c>
      <c r="E72" s="59" t="str">
        <f>IF('PRIME Headers'!$C$20="No","PWW","P07")</f>
        <v>P07</v>
      </c>
      <c r="F72" s="66" t="str">
        <f>'PIM Model'!$AD$22</f>
        <v/>
      </c>
      <c r="G72" s="65" t="str">
        <f t="shared" si="2"/>
        <v/>
      </c>
      <c r="H72" s="71" t="str">
        <f>IF('PIM Model'!$D$22="$/LB","#","%")</f>
        <v>%</v>
      </c>
      <c r="I72" s="68" t="s">
        <v>667</v>
      </c>
      <c r="J72" s="918">
        <f>'MDA Worksheet'!$AU$48</f>
        <v>2.25</v>
      </c>
      <c r="K72" s="937">
        <f>'MDA Worksheet'!$AU$46*100</f>
        <v>30</v>
      </c>
      <c r="L72" s="59" t="s">
        <v>482</v>
      </c>
    </row>
    <row r="73" spans="1:12" x14ac:dyDescent="0.25">
      <c r="A73" s="59">
        <v>996</v>
      </c>
      <c r="B73" s="59">
        <v>0</v>
      </c>
      <c r="C73" s="59">
        <v>0</v>
      </c>
      <c r="D73" s="59" t="s">
        <v>663</v>
      </c>
      <c r="E73" s="59" t="str">
        <f>IF('PRIME Headers'!$C$20="No","PWW","P07")</f>
        <v>P07</v>
      </c>
      <c r="F73" s="66" t="str">
        <f>IF(COUNTIF('PIM Model'!$E$10:$E$30,"Exclude"),"",'PIM Model'!$AD$20)</f>
        <v/>
      </c>
      <c r="G73" s="65" t="str">
        <f>F73</f>
        <v/>
      </c>
      <c r="H73" s="71" t="str">
        <f>'PIM Model'!$D$20</f>
        <v>%</v>
      </c>
      <c r="I73" s="68" t="s">
        <v>667</v>
      </c>
      <c r="J73" s="918">
        <f>'MDA Worksheet'!$AU$48</f>
        <v>2.25</v>
      </c>
      <c r="K73" s="937">
        <f>'MDA Worksheet'!$AU$46*100</f>
        <v>30</v>
      </c>
      <c r="L73" s="59" t="s">
        <v>482</v>
      </c>
    </row>
    <row r="74" spans="1:12" x14ac:dyDescent="0.25">
      <c r="A74" s="59">
        <v>997</v>
      </c>
      <c r="B74" s="59">
        <v>0</v>
      </c>
      <c r="C74" s="59">
        <v>0</v>
      </c>
      <c r="D74" s="59" t="s">
        <v>663</v>
      </c>
      <c r="E74" s="59" t="str">
        <f>IF('PRIME Headers'!$C$20="No","PWW","P07")</f>
        <v>P07</v>
      </c>
      <c r="F74" s="66" t="str">
        <f>IF(COUNTIF('PIM Model'!$E$10:$E$30,"Exclude"),"",'PIM Model'!$AD$21)</f>
        <v/>
      </c>
      <c r="G74" s="65" t="str">
        <f t="shared" ref="G74:G76" si="4">F74</f>
        <v/>
      </c>
      <c r="H74" s="71" t="str">
        <f>'PIM Model'!$D$21</f>
        <v>%</v>
      </c>
      <c r="I74" s="68" t="s">
        <v>667</v>
      </c>
      <c r="J74" s="918">
        <f>'MDA Worksheet'!$AU$48</f>
        <v>2.25</v>
      </c>
      <c r="K74" s="937">
        <f>'MDA Worksheet'!$AU$46*100</f>
        <v>30</v>
      </c>
      <c r="L74" s="59" t="s">
        <v>482</v>
      </c>
    </row>
    <row r="75" spans="1:12" x14ac:dyDescent="0.25">
      <c r="A75" s="59">
        <v>998</v>
      </c>
      <c r="B75" s="59">
        <v>0</v>
      </c>
      <c r="C75" s="59">
        <v>0</v>
      </c>
      <c r="D75" s="59" t="s">
        <v>663</v>
      </c>
      <c r="E75" s="59" t="str">
        <f>IF('PRIME Headers'!$C$20="No","PWW","P07")</f>
        <v>P07</v>
      </c>
      <c r="F75" s="66" t="str">
        <f>IF(COUNTIF('PIM Model'!$E$10:$E$30,"Exclude"),"",'PIM Model'!$AD$21)</f>
        <v/>
      </c>
      <c r="G75" s="65" t="str">
        <f t="shared" si="4"/>
        <v/>
      </c>
      <c r="H75" s="71" t="str">
        <f>'PIM Model'!$D$21</f>
        <v>%</v>
      </c>
      <c r="I75" s="68" t="s">
        <v>667</v>
      </c>
      <c r="J75" s="918">
        <f>'MDA Worksheet'!$AU$48</f>
        <v>2.25</v>
      </c>
      <c r="K75" s="937">
        <f>'MDA Worksheet'!$AU$46*100</f>
        <v>30</v>
      </c>
      <c r="L75" s="59" t="s">
        <v>482</v>
      </c>
    </row>
    <row r="76" spans="1:12" x14ac:dyDescent="0.25">
      <c r="A76" s="59">
        <v>999</v>
      </c>
      <c r="B76" s="59">
        <v>0</v>
      </c>
      <c r="C76" s="59">
        <v>0</v>
      </c>
      <c r="D76" s="59" t="s">
        <v>662</v>
      </c>
      <c r="E76" s="59" t="s">
        <v>661</v>
      </c>
      <c r="F76" s="66" t="str">
        <f>IF(COUNTIF('PIM Model'!$E$10:$E$30,"Exclude"),"",'PIM Model'!$AD$20)</f>
        <v/>
      </c>
      <c r="G76" s="65" t="str">
        <f t="shared" si="4"/>
        <v/>
      </c>
      <c r="H76" s="71" t="str">
        <f>'PIM Model'!$D$20</f>
        <v>%</v>
      </c>
      <c r="I76" s="68" t="s">
        <v>667</v>
      </c>
      <c r="J76" s="918">
        <f>'MDA Worksheet'!$AU$48</f>
        <v>2.25</v>
      </c>
      <c r="K76" s="937">
        <f>'MDA Worksheet'!$AU$46*100</f>
        <v>30</v>
      </c>
      <c r="L76" s="59" t="s">
        <v>482</v>
      </c>
    </row>
    <row r="84" spans="1:7" x14ac:dyDescent="0.25">
      <c r="A84"/>
      <c r="F84" s="66"/>
      <c r="G84" s="67"/>
    </row>
    <row r="85" spans="1:7" x14ac:dyDescent="0.25">
      <c r="A85"/>
      <c r="F85" s="66"/>
      <c r="G85" s="67"/>
    </row>
    <row r="86" spans="1:7" x14ac:dyDescent="0.25">
      <c r="A86"/>
      <c r="F86" s="66"/>
      <c r="G86" s="67"/>
    </row>
    <row r="87" spans="1:7" x14ac:dyDescent="0.25">
      <c r="A87"/>
      <c r="F87" s="66"/>
      <c r="G87" s="67"/>
    </row>
  </sheetData>
  <sheetProtection algorithmName="SHA-512" hashValue="guuuhmtcMndpOEvsURH/bOg3v0qMfINjUfc1bs3MM4Qgrn3P1hSjbAatH4uRam7qbyHF39NLrJw0/g29uF4XzA==" saltValue="6ePv7OvTF/K075bnpZpDdg==" spinCount="100000" sheet="1" objects="1" scenarios="1"/>
  <pageMargins left="0.25" right="0.25" top="0.75" bottom="0.75" header="0.3" footer="0.3"/>
  <pageSetup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ignoredErrors>
    <ignoredError sqref="H72" formula="1"/>
  </ignoredError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2">
    <tabColor theme="5"/>
  </sheetPr>
  <dimension ref="A1:AW92"/>
  <sheetViews>
    <sheetView workbookViewId="0">
      <selection activeCell="D2" sqref="D2"/>
    </sheetView>
  </sheetViews>
  <sheetFormatPr defaultRowHeight="15" x14ac:dyDescent="0.25"/>
  <cols>
    <col min="1" max="1" width="49.7109375" bestFit="1" customWidth="1"/>
    <col min="2" max="2" width="16.140625" customWidth="1"/>
    <col min="3" max="3" width="21.28515625" customWidth="1"/>
    <col min="4" max="4" width="13.85546875" customWidth="1"/>
    <col min="5" max="5" width="16.140625" customWidth="1"/>
    <col min="6" max="6" width="13.85546875" customWidth="1"/>
    <col min="7" max="7" width="16.85546875" customWidth="1"/>
    <col min="8" max="10" width="13.85546875" customWidth="1"/>
    <col min="11" max="11" width="20.140625" customWidth="1"/>
    <col min="12" max="22" width="13.85546875" customWidth="1"/>
    <col min="24" max="24" width="20.28515625" bestFit="1" customWidth="1"/>
    <col min="25" max="25" width="8" bestFit="1" customWidth="1"/>
  </cols>
  <sheetData>
    <row r="1" spans="1:49" x14ac:dyDescent="0.25">
      <c r="X1" s="24"/>
    </row>
    <row r="2" spans="1:49" ht="60" x14ac:dyDescent="0.25">
      <c r="A2" s="1" t="s">
        <v>256</v>
      </c>
      <c r="B2" s="1"/>
      <c r="C2" s="352" t="s">
        <v>99</v>
      </c>
      <c r="D2" s="352" t="s">
        <v>103</v>
      </c>
      <c r="E2" s="352" t="s">
        <v>1399</v>
      </c>
      <c r="F2" s="352" t="s">
        <v>102</v>
      </c>
      <c r="G2" s="352" t="s">
        <v>100</v>
      </c>
      <c r="H2" s="352" t="s">
        <v>104</v>
      </c>
      <c r="I2" s="352" t="s">
        <v>98</v>
      </c>
      <c r="J2" s="352" t="s">
        <v>95</v>
      </c>
      <c r="K2" s="352" t="s">
        <v>96</v>
      </c>
      <c r="L2" s="352" t="s">
        <v>101</v>
      </c>
      <c r="M2" s="352" t="s">
        <v>97</v>
      </c>
      <c r="N2" s="352" t="s">
        <v>93</v>
      </c>
      <c r="O2" s="352" t="s">
        <v>105</v>
      </c>
      <c r="P2" s="352" t="s">
        <v>92</v>
      </c>
      <c r="Q2" s="352" t="s">
        <v>91</v>
      </c>
      <c r="R2" s="352" t="s">
        <v>90</v>
      </c>
      <c r="S2" s="352" t="s">
        <v>89</v>
      </c>
      <c r="T2" s="352" t="s">
        <v>94</v>
      </c>
      <c r="U2" s="352" t="s">
        <v>86</v>
      </c>
      <c r="V2" s="352" t="s">
        <v>88</v>
      </c>
      <c r="W2" s="352" t="s">
        <v>87</v>
      </c>
      <c r="X2" s="352" t="s">
        <v>266</v>
      </c>
    </row>
    <row r="3" spans="1:49" x14ac:dyDescent="0.25">
      <c r="A3" s="1" t="s">
        <v>14</v>
      </c>
      <c r="B3" s="1"/>
      <c r="C3" s="45">
        <v>8.1000000000000003E-2</v>
      </c>
      <c r="D3" s="45">
        <v>4.1300000000000003E-2</v>
      </c>
      <c r="E3" s="45">
        <v>0.1036</v>
      </c>
      <c r="F3" s="45">
        <v>3.27E-2</v>
      </c>
      <c r="G3" s="45">
        <v>5.5199999999999999E-2</v>
      </c>
      <c r="H3" s="45">
        <v>1.43E-2</v>
      </c>
      <c r="I3" s="45">
        <v>6.1800000000000001E-2</v>
      </c>
      <c r="J3" s="45">
        <v>4.5199999999999997E-2</v>
      </c>
      <c r="K3" s="45">
        <v>1.1900000000000001E-2</v>
      </c>
      <c r="L3" s="45">
        <v>1.35E-2</v>
      </c>
      <c r="M3" s="45">
        <v>0.10629999999999995</v>
      </c>
      <c r="N3" s="45">
        <v>8.3699999999999997E-2</v>
      </c>
      <c r="O3" s="45">
        <v>3.1999999999999997E-3</v>
      </c>
      <c r="P3" s="45">
        <v>3.0099999999999998E-2</v>
      </c>
      <c r="Q3" s="45">
        <v>7.1099999999999997E-2</v>
      </c>
      <c r="R3" s="45">
        <v>0.10340000000000001</v>
      </c>
      <c r="S3" s="45">
        <v>1.55E-2</v>
      </c>
      <c r="T3" s="45">
        <v>4.6100000000000002E-2</v>
      </c>
      <c r="U3" s="45">
        <v>3.0000000000000001E-3</v>
      </c>
      <c r="V3" s="45">
        <v>7.4499999999999997E-2</v>
      </c>
      <c r="W3" s="45">
        <v>2.5999999999999999E-3</v>
      </c>
      <c r="X3" s="353">
        <v>1</v>
      </c>
      <c r="Y3" s="18"/>
      <c r="Z3" s="18"/>
      <c r="AA3" s="18"/>
      <c r="AB3" s="18"/>
      <c r="AC3" s="18"/>
      <c r="AD3" s="18"/>
      <c r="AE3" s="18"/>
      <c r="AF3" s="18"/>
      <c r="AG3" s="18"/>
      <c r="AH3" s="18"/>
      <c r="AI3" s="18"/>
      <c r="AJ3" s="18"/>
      <c r="AK3" s="18"/>
      <c r="AL3" s="18"/>
      <c r="AM3" s="18"/>
      <c r="AN3" s="18"/>
      <c r="AO3" s="18"/>
      <c r="AP3" s="18"/>
      <c r="AQ3" s="18"/>
      <c r="AR3" s="18"/>
      <c r="AS3" s="18"/>
      <c r="AT3" s="18"/>
      <c r="AU3" s="18"/>
      <c r="AV3" s="18"/>
      <c r="AW3" s="18"/>
    </row>
    <row r="4" spans="1:49" x14ac:dyDescent="0.25">
      <c r="A4" s="1" t="s">
        <v>62</v>
      </c>
      <c r="B4" s="1"/>
      <c r="C4" s="45">
        <v>4.8300000000000003E-2</v>
      </c>
      <c r="D4" s="45">
        <v>0.06</v>
      </c>
      <c r="E4" s="45">
        <v>7.17E-2</v>
      </c>
      <c r="F4" s="45">
        <v>3.4299999999999997E-2</v>
      </c>
      <c r="G4" s="45">
        <v>5.57E-2</v>
      </c>
      <c r="H4" s="45">
        <v>1.61E-2</v>
      </c>
      <c r="I4" s="45">
        <v>4.2599999999999999E-2</v>
      </c>
      <c r="J4" s="45">
        <v>4.7E-2</v>
      </c>
      <c r="K4" s="45">
        <v>7.4000000000000003E-3</v>
      </c>
      <c r="L4" s="45">
        <v>2.3400000000000001E-2</v>
      </c>
      <c r="M4" s="45">
        <v>0.10860000000000028</v>
      </c>
      <c r="N4" s="45">
        <v>7.9299999999999995E-2</v>
      </c>
      <c r="O4" s="45">
        <v>2.5000000000000001E-3</v>
      </c>
      <c r="P4" s="45">
        <v>3.4500000000000003E-2</v>
      </c>
      <c r="Q4" s="45">
        <v>6.1899999999999997E-2</v>
      </c>
      <c r="R4" s="45">
        <v>0.105</v>
      </c>
      <c r="S4" s="45">
        <v>7.4999999999999997E-3</v>
      </c>
      <c r="T4" s="45">
        <v>5.2499999999999998E-2</v>
      </c>
      <c r="U4" s="45">
        <v>1.5E-3</v>
      </c>
      <c r="V4" s="45">
        <v>0.13550000000000001</v>
      </c>
      <c r="W4" s="45">
        <v>4.7000000000000002E-3</v>
      </c>
      <c r="X4" s="353">
        <v>1</v>
      </c>
      <c r="Y4" s="18"/>
      <c r="Z4" s="18"/>
      <c r="AA4" s="18"/>
      <c r="AB4" s="18"/>
      <c r="AC4" s="18"/>
      <c r="AD4" s="18"/>
      <c r="AE4" s="18"/>
      <c r="AF4" s="18"/>
      <c r="AG4" s="18"/>
      <c r="AH4" s="18"/>
      <c r="AI4" s="18"/>
      <c r="AJ4" s="18"/>
      <c r="AK4" s="18"/>
      <c r="AL4" s="18"/>
      <c r="AM4" s="18"/>
      <c r="AN4" s="18"/>
      <c r="AO4" s="18"/>
      <c r="AP4" s="18"/>
      <c r="AQ4" s="18"/>
      <c r="AR4" s="18"/>
      <c r="AS4" s="18"/>
      <c r="AT4" s="18"/>
      <c r="AU4" s="18"/>
      <c r="AV4" s="18"/>
      <c r="AW4" s="18"/>
    </row>
    <row r="5" spans="1:49" x14ac:dyDescent="0.25">
      <c r="A5" s="1" t="s">
        <v>74</v>
      </c>
      <c r="B5" s="1"/>
      <c r="C5" s="45">
        <v>8.2500000000000004E-2</v>
      </c>
      <c r="D5" s="45">
        <v>2.41E-2</v>
      </c>
      <c r="E5" s="45">
        <v>3.6499999999999998E-2</v>
      </c>
      <c r="F5" s="45">
        <v>4.4299999999999999E-2</v>
      </c>
      <c r="G5" s="45">
        <v>6.4100000000000004E-2</v>
      </c>
      <c r="H5" s="45">
        <v>1.9599999999999999E-2</v>
      </c>
      <c r="I5" s="45">
        <v>8.9700000000000002E-2</v>
      </c>
      <c r="J5" s="45">
        <v>5.8099999999999999E-2</v>
      </c>
      <c r="K5" s="45">
        <v>2.3999999999999998E-3</v>
      </c>
      <c r="L5" s="45">
        <v>1.7600000000000001E-2</v>
      </c>
      <c r="M5" s="45">
        <v>0.15635000000000018</v>
      </c>
      <c r="N5" s="45">
        <v>9.4299999999999995E-2</v>
      </c>
      <c r="O5" s="45">
        <v>2.2000000000000001E-3</v>
      </c>
      <c r="P5" s="45">
        <v>2.7E-2</v>
      </c>
      <c r="Q5" s="45">
        <v>5.6000000000000001E-2</v>
      </c>
      <c r="R5" s="45">
        <v>0.12770000000000001</v>
      </c>
      <c r="S5" s="45">
        <v>1.46E-2</v>
      </c>
      <c r="T5" s="45">
        <v>4.1599999999999998E-2</v>
      </c>
      <c r="U5" s="45">
        <v>1.3500000000000001E-3</v>
      </c>
      <c r="V5" s="45">
        <v>3.7999999999999999E-2</v>
      </c>
      <c r="W5" s="45">
        <v>2E-3</v>
      </c>
      <c r="X5" s="353">
        <v>1</v>
      </c>
      <c r="Y5" s="18"/>
      <c r="Z5" s="18"/>
      <c r="AA5" s="18"/>
      <c r="AB5" s="18"/>
      <c r="AC5" s="18"/>
      <c r="AD5" s="18"/>
      <c r="AE5" s="18"/>
      <c r="AF5" s="18"/>
      <c r="AG5" s="18"/>
      <c r="AH5" s="18"/>
      <c r="AI5" s="18"/>
      <c r="AJ5" s="18"/>
      <c r="AK5" s="18"/>
      <c r="AL5" s="18"/>
      <c r="AM5" s="18"/>
      <c r="AN5" s="18"/>
      <c r="AO5" s="18"/>
      <c r="AP5" s="18"/>
      <c r="AQ5" s="18"/>
      <c r="AR5" s="18"/>
      <c r="AS5" s="18"/>
      <c r="AT5" s="18"/>
      <c r="AU5" s="18"/>
      <c r="AV5" s="18"/>
      <c r="AW5" s="18"/>
    </row>
    <row r="6" spans="1:49" x14ac:dyDescent="0.25">
      <c r="A6" s="1" t="s">
        <v>34</v>
      </c>
      <c r="B6" s="1"/>
      <c r="C6" s="45">
        <v>8.0399999999999999E-2</v>
      </c>
      <c r="D6" s="45">
        <v>3.8800000000000001E-2</v>
      </c>
      <c r="E6" s="45">
        <v>8.9899999999999994E-2</v>
      </c>
      <c r="F6" s="45">
        <v>3.2599999999999997E-2</v>
      </c>
      <c r="G6" s="45">
        <v>6.2E-2</v>
      </c>
      <c r="H6" s="45">
        <v>2.01E-2</v>
      </c>
      <c r="I6" s="45">
        <v>3.7600000000000001E-2</v>
      </c>
      <c r="J6" s="45">
        <v>5.3400000000000003E-2</v>
      </c>
      <c r="K6" s="45">
        <v>1.5299999999999999E-2</v>
      </c>
      <c r="L6" s="45">
        <v>1.1299999999999999E-2</v>
      </c>
      <c r="M6" s="45">
        <v>0.10069999999999972</v>
      </c>
      <c r="N6" s="45">
        <v>7.2300000000000003E-2</v>
      </c>
      <c r="O6" s="45">
        <v>3.0000000000000001E-3</v>
      </c>
      <c r="P6" s="45">
        <v>2.8500000000000001E-2</v>
      </c>
      <c r="Q6" s="45">
        <v>4.5400000000000003E-2</v>
      </c>
      <c r="R6" s="45">
        <v>0.1694</v>
      </c>
      <c r="S6" s="45">
        <v>8.8999999999999999E-3</v>
      </c>
      <c r="T6" s="45">
        <v>5.8000000000000003E-2</v>
      </c>
      <c r="U6" s="45">
        <v>1E-3</v>
      </c>
      <c r="V6" s="45">
        <v>6.8099999999999994E-2</v>
      </c>
      <c r="W6" s="45">
        <v>3.3E-3</v>
      </c>
      <c r="X6" s="353">
        <v>0.99999999999999989</v>
      </c>
      <c r="Y6" s="18"/>
      <c r="Z6" s="18"/>
      <c r="AA6" s="18"/>
      <c r="AB6" s="18"/>
      <c r="AC6" s="18"/>
      <c r="AD6" s="18"/>
      <c r="AE6" s="18"/>
      <c r="AF6" s="18"/>
      <c r="AG6" s="18"/>
      <c r="AH6" s="18"/>
      <c r="AI6" s="18"/>
      <c r="AJ6" s="18"/>
      <c r="AK6" s="18"/>
      <c r="AL6" s="18"/>
      <c r="AM6" s="18"/>
      <c r="AN6" s="18"/>
      <c r="AO6" s="18"/>
      <c r="AP6" s="18"/>
      <c r="AQ6" s="18"/>
      <c r="AR6" s="18"/>
      <c r="AS6" s="18"/>
      <c r="AT6" s="18"/>
      <c r="AU6" s="18"/>
      <c r="AV6" s="18"/>
      <c r="AW6" s="18"/>
    </row>
    <row r="7" spans="1:49" x14ac:dyDescent="0.25">
      <c r="A7" s="1" t="s">
        <v>0</v>
      </c>
      <c r="B7" s="1"/>
      <c r="C7" s="45">
        <v>4.6399999999999997E-2</v>
      </c>
      <c r="D7" s="45">
        <v>0.17730000000000001</v>
      </c>
      <c r="E7" s="45">
        <v>2.7699999999999999E-2</v>
      </c>
      <c r="F7" s="45">
        <v>2.7799999999999998E-2</v>
      </c>
      <c r="G7" s="45">
        <v>1.44E-2</v>
      </c>
      <c r="H7" s="45">
        <v>9.7999999999999997E-3</v>
      </c>
      <c r="I7" s="45">
        <v>2.24E-2</v>
      </c>
      <c r="J7" s="45">
        <v>8.3900000000000002E-2</v>
      </c>
      <c r="K7" s="45">
        <v>7.9000000000000008E-3</v>
      </c>
      <c r="L7" s="45">
        <v>2.2200000000000001E-2</v>
      </c>
      <c r="M7" s="45">
        <v>0.12330000000000024</v>
      </c>
      <c r="N7" s="45">
        <v>4.0099999999999997E-2</v>
      </c>
      <c r="O7" s="45">
        <v>2.3E-3</v>
      </c>
      <c r="P7" s="45">
        <v>1.83E-2</v>
      </c>
      <c r="Q7" s="45">
        <v>0.19289999999999999</v>
      </c>
      <c r="R7" s="45">
        <v>0.1009</v>
      </c>
      <c r="S7" s="45">
        <v>2.2599999999999999E-2</v>
      </c>
      <c r="T7" s="45">
        <v>0.03</v>
      </c>
      <c r="U7" s="45">
        <v>1.46E-2</v>
      </c>
      <c r="V7" s="45">
        <v>1.35E-2</v>
      </c>
      <c r="W7" s="45">
        <v>1.6999999999999999E-3</v>
      </c>
      <c r="X7" s="353">
        <v>1</v>
      </c>
      <c r="Y7" s="18"/>
      <c r="Z7" s="18"/>
      <c r="AA7" s="18"/>
      <c r="AB7" s="18"/>
      <c r="AC7" s="18"/>
      <c r="AD7" s="18"/>
      <c r="AE7" s="18"/>
      <c r="AF7" s="18"/>
      <c r="AG7" s="18"/>
      <c r="AH7" s="18"/>
      <c r="AI7" s="18"/>
      <c r="AJ7" s="18"/>
      <c r="AK7" s="18"/>
      <c r="AL7" s="18"/>
      <c r="AM7" s="18"/>
      <c r="AN7" s="18"/>
      <c r="AO7" s="18"/>
      <c r="AP7" s="18"/>
      <c r="AQ7" s="18"/>
      <c r="AR7" s="18"/>
      <c r="AS7" s="18"/>
      <c r="AT7" s="18"/>
      <c r="AU7" s="18"/>
      <c r="AV7" s="18"/>
      <c r="AW7" s="18"/>
    </row>
    <row r="8" spans="1:49" x14ac:dyDescent="0.25">
      <c r="A8" s="1" t="s">
        <v>69</v>
      </c>
      <c r="B8" s="1"/>
      <c r="C8" s="45">
        <v>5.4199999999999998E-2</v>
      </c>
      <c r="D8" s="45">
        <v>9.9000000000000008E-3</v>
      </c>
      <c r="E8" s="45">
        <v>1.7000000000000001E-2</v>
      </c>
      <c r="F8" s="45">
        <v>8.5800000000000001E-2</v>
      </c>
      <c r="G8" s="45">
        <v>3.2599999999999997E-2</v>
      </c>
      <c r="H8" s="45">
        <v>9.5999999999999992E-3</v>
      </c>
      <c r="I8" s="45">
        <v>0.1457</v>
      </c>
      <c r="J8" s="45">
        <v>0.1346</v>
      </c>
      <c r="K8" s="45">
        <v>1.03E-2</v>
      </c>
      <c r="L8" s="45">
        <v>7.3000000000000001E-3</v>
      </c>
      <c r="M8" s="45">
        <v>0.11985000000000007</v>
      </c>
      <c r="N8" s="45">
        <v>0.17269999999999999</v>
      </c>
      <c r="O8" s="45">
        <v>4.3999999999999994E-3</v>
      </c>
      <c r="P8" s="45">
        <v>9.7999999999999997E-3</v>
      </c>
      <c r="Q8" s="45">
        <v>3.1300000000000001E-2</v>
      </c>
      <c r="R8" s="45">
        <v>4.8000000000000001E-2</v>
      </c>
      <c r="S8" s="45">
        <v>1.15E-2</v>
      </c>
      <c r="T8" s="45">
        <v>8.3699999999999997E-2</v>
      </c>
      <c r="U8" s="45">
        <v>1.65E-3</v>
      </c>
      <c r="V8" s="45">
        <v>9.1000000000000004E-3</v>
      </c>
      <c r="W8" s="45">
        <v>1E-3</v>
      </c>
      <c r="X8" s="353">
        <v>0.99999999999999989</v>
      </c>
      <c r="Y8" s="18"/>
      <c r="Z8" s="18"/>
      <c r="AA8" s="18"/>
      <c r="AB8" s="18"/>
      <c r="AC8" s="18"/>
      <c r="AD8" s="18"/>
      <c r="AE8" s="18"/>
      <c r="AF8" s="18"/>
      <c r="AG8" s="18"/>
      <c r="AH8" s="18"/>
      <c r="AI8" s="18"/>
      <c r="AJ8" s="18"/>
      <c r="AK8" s="18"/>
      <c r="AL8" s="18"/>
      <c r="AM8" s="18"/>
      <c r="AN8" s="18"/>
      <c r="AO8" s="18"/>
      <c r="AP8" s="18"/>
      <c r="AQ8" s="18"/>
      <c r="AR8" s="18"/>
      <c r="AS8" s="18"/>
      <c r="AT8" s="18"/>
      <c r="AU8" s="18"/>
      <c r="AV8" s="18"/>
      <c r="AW8" s="18"/>
    </row>
    <row r="9" spans="1:49" x14ac:dyDescent="0.25">
      <c r="A9" s="1" t="s">
        <v>4</v>
      </c>
      <c r="B9" s="1"/>
      <c r="C9" s="45">
        <v>5.5300000000000002E-2</v>
      </c>
      <c r="D9" s="45">
        <v>3.8999999999999998E-3</v>
      </c>
      <c r="E9" s="45">
        <v>1.6199999999999999E-2</v>
      </c>
      <c r="F9" s="45">
        <v>2.93E-2</v>
      </c>
      <c r="G9" s="45">
        <v>2.81E-2</v>
      </c>
      <c r="H9" s="45">
        <v>9.4000000000000004E-3</v>
      </c>
      <c r="I9" s="45">
        <v>1.6299999999999999E-2</v>
      </c>
      <c r="J9" s="45">
        <v>8.72E-2</v>
      </c>
      <c r="K9" s="45">
        <v>7.3000000000000001E-3</v>
      </c>
      <c r="L9" s="45">
        <v>9.7000000000000003E-3</v>
      </c>
      <c r="M9" s="45">
        <v>0.1449000000000002</v>
      </c>
      <c r="N9" s="45">
        <v>4.9399999999999999E-2</v>
      </c>
      <c r="O9" s="45">
        <v>2.0999999999999999E-3</v>
      </c>
      <c r="P9" s="45">
        <v>4.1000000000000002E-2</v>
      </c>
      <c r="Q9" s="45">
        <v>1.52E-2</v>
      </c>
      <c r="R9" s="45">
        <v>0.41470000000000001</v>
      </c>
      <c r="S9" s="45">
        <v>1.9E-3</v>
      </c>
      <c r="T9" s="45">
        <v>5.2699999999999997E-2</v>
      </c>
      <c r="U9" s="45">
        <v>3.0000000000000001E-3</v>
      </c>
      <c r="V9" s="45">
        <v>1.14E-2</v>
      </c>
      <c r="W9" s="45">
        <v>1E-3</v>
      </c>
      <c r="X9" s="353">
        <v>0.99999999999999989</v>
      </c>
      <c r="Y9" s="18"/>
      <c r="Z9" s="18"/>
      <c r="AA9" s="18"/>
      <c r="AB9" s="18"/>
      <c r="AC9" s="18"/>
      <c r="AD9" s="18"/>
      <c r="AE9" s="18"/>
      <c r="AF9" s="18"/>
      <c r="AG9" s="18"/>
      <c r="AH9" s="18"/>
      <c r="AI9" s="18"/>
      <c r="AJ9" s="18"/>
      <c r="AK9" s="18"/>
      <c r="AL9" s="18"/>
      <c r="AM9" s="18"/>
      <c r="AN9" s="18"/>
      <c r="AO9" s="18"/>
      <c r="AP9" s="18"/>
      <c r="AQ9" s="18"/>
      <c r="AR9" s="18"/>
      <c r="AS9" s="18"/>
      <c r="AT9" s="18"/>
      <c r="AU9" s="18"/>
      <c r="AV9" s="18"/>
      <c r="AW9" s="18"/>
    </row>
    <row r="10" spans="1:49" x14ac:dyDescent="0.25">
      <c r="A10" s="1" t="s">
        <v>35</v>
      </c>
      <c r="B10" s="1"/>
      <c r="C10" s="45">
        <v>3.5999999999999997E-2</v>
      </c>
      <c r="D10" s="45">
        <v>6.9500000000000006E-2</v>
      </c>
      <c r="E10" s="45">
        <v>8.6599999999999996E-2</v>
      </c>
      <c r="F10" s="45">
        <v>9.5299999999999996E-2</v>
      </c>
      <c r="G10" s="45">
        <v>1.9900000000000001E-2</v>
      </c>
      <c r="H10" s="45">
        <v>1.3100000000000001E-2</v>
      </c>
      <c r="I10" s="45">
        <v>6.8000000000000005E-2</v>
      </c>
      <c r="J10" s="45">
        <v>6.7900000000000002E-2</v>
      </c>
      <c r="K10" s="45">
        <v>5.4999999999999997E-3</v>
      </c>
      <c r="L10" s="45">
        <v>7.9000000000000008E-3</v>
      </c>
      <c r="M10" s="45">
        <v>9.9100000000000091E-2</v>
      </c>
      <c r="N10" s="45">
        <v>7.3700000000000002E-2</v>
      </c>
      <c r="O10" s="45">
        <v>2E-3</v>
      </c>
      <c r="P10" s="45">
        <v>4.8399999999999999E-2</v>
      </c>
      <c r="Q10" s="45">
        <v>6.0499999999999998E-2</v>
      </c>
      <c r="R10" s="45">
        <v>0.12540000000000001</v>
      </c>
      <c r="S10" s="45">
        <v>3.5000000000000001E-3</v>
      </c>
      <c r="T10" s="45">
        <v>3.9699999999999999E-2</v>
      </c>
      <c r="U10" s="45">
        <v>1E-3</v>
      </c>
      <c r="V10" s="45">
        <v>7.5999999999999998E-2</v>
      </c>
      <c r="W10" s="45">
        <v>1E-3</v>
      </c>
      <c r="X10" s="353">
        <v>0.99999999999999989</v>
      </c>
      <c r="Y10" s="18"/>
      <c r="Z10" s="18"/>
      <c r="AA10" s="18"/>
      <c r="AB10" s="18"/>
      <c r="AC10" s="18"/>
      <c r="AD10" s="18"/>
      <c r="AE10" s="18"/>
      <c r="AF10" s="18"/>
      <c r="AG10" s="18"/>
      <c r="AH10" s="18"/>
      <c r="AI10" s="18"/>
      <c r="AJ10" s="18"/>
      <c r="AK10" s="18"/>
      <c r="AL10" s="18"/>
      <c r="AM10" s="18"/>
      <c r="AN10" s="18"/>
      <c r="AO10" s="18"/>
      <c r="AP10" s="18"/>
      <c r="AQ10" s="18"/>
      <c r="AR10" s="18"/>
      <c r="AS10" s="18"/>
      <c r="AT10" s="18"/>
      <c r="AU10" s="18"/>
      <c r="AV10" s="18"/>
      <c r="AW10" s="18"/>
    </row>
    <row r="11" spans="1:49" x14ac:dyDescent="0.25">
      <c r="A11" s="1" t="s">
        <v>6</v>
      </c>
      <c r="B11" s="1"/>
      <c r="C11" s="45">
        <v>8.1100000000000005E-2</v>
      </c>
      <c r="D11" s="45">
        <v>3.5200000000000002E-2</v>
      </c>
      <c r="E11" s="45">
        <v>9.9500000000000005E-2</v>
      </c>
      <c r="F11" s="45">
        <v>4.2500000000000003E-2</v>
      </c>
      <c r="G11" s="45">
        <v>4.4900000000000002E-2</v>
      </c>
      <c r="H11" s="45">
        <v>1.78E-2</v>
      </c>
      <c r="I11" s="45">
        <v>5.8799999999999998E-2</v>
      </c>
      <c r="J11" s="45">
        <v>5.7599999999999998E-2</v>
      </c>
      <c r="K11" s="45">
        <v>7.9000000000000008E-3</v>
      </c>
      <c r="L11" s="45">
        <v>1.5699999999999999E-2</v>
      </c>
      <c r="M11" s="45">
        <v>0.11489999999999999</v>
      </c>
      <c r="N11" s="45">
        <v>9.8900000000000002E-2</v>
      </c>
      <c r="O11" s="45">
        <v>3.1999999999999997E-3</v>
      </c>
      <c r="P11" s="45">
        <v>2.8500000000000001E-2</v>
      </c>
      <c r="Q11" s="45">
        <v>6.6500000000000004E-2</v>
      </c>
      <c r="R11" s="45">
        <v>0.1021</v>
      </c>
      <c r="S11" s="45">
        <v>1.61E-2</v>
      </c>
      <c r="T11" s="45">
        <v>5.2200000000000003E-2</v>
      </c>
      <c r="U11" s="45">
        <v>2.4000000000000002E-3</v>
      </c>
      <c r="V11" s="45">
        <v>5.0900000000000001E-2</v>
      </c>
      <c r="W11" s="45">
        <v>3.3E-3</v>
      </c>
      <c r="X11" s="353">
        <v>0.99999999999999989</v>
      </c>
      <c r="Y11" s="18"/>
      <c r="Z11" s="18"/>
      <c r="AA11" s="18"/>
      <c r="AB11" s="18"/>
      <c r="AC11" s="18"/>
      <c r="AD11" s="18"/>
      <c r="AE11" s="18"/>
      <c r="AF11" s="18"/>
      <c r="AG11" s="18"/>
      <c r="AH11" s="18"/>
      <c r="AI11" s="18"/>
      <c r="AJ11" s="18"/>
      <c r="AK11" s="18"/>
      <c r="AL11" s="18"/>
      <c r="AM11" s="18"/>
      <c r="AN11" s="18"/>
      <c r="AO11" s="18"/>
      <c r="AP11" s="18"/>
      <c r="AQ11" s="18"/>
      <c r="AR11" s="18"/>
      <c r="AS11" s="18"/>
      <c r="AT11" s="18"/>
      <c r="AU11" s="18"/>
      <c r="AV11" s="18"/>
      <c r="AW11" s="18"/>
    </row>
    <row r="12" spans="1:49" x14ac:dyDescent="0.25">
      <c r="A12" s="1" t="s">
        <v>257</v>
      </c>
      <c r="B12" s="1"/>
      <c r="C12" s="45">
        <v>6.7000000000000004E-2</v>
      </c>
      <c r="D12" s="45">
        <v>9.2999999999999992E-3</v>
      </c>
      <c r="E12" s="45">
        <v>6.4100000000000004E-2</v>
      </c>
      <c r="F12" s="45">
        <v>3.7199999999999997E-2</v>
      </c>
      <c r="G12" s="45">
        <v>6.1499999999999999E-2</v>
      </c>
      <c r="H12" s="45">
        <v>1.8200000000000001E-2</v>
      </c>
      <c r="I12" s="45">
        <v>7.0499999999999993E-2</v>
      </c>
      <c r="J12" s="45">
        <v>4.3099999999999999E-2</v>
      </c>
      <c r="K12" s="45">
        <v>7.7000000000000002E-3</v>
      </c>
      <c r="L12" s="45">
        <v>3.85E-2</v>
      </c>
      <c r="M12" s="45">
        <v>0.18390000000000006</v>
      </c>
      <c r="N12" s="45">
        <v>0.11269999999999999</v>
      </c>
      <c r="O12" s="45">
        <v>5.3E-3</v>
      </c>
      <c r="P12" s="45">
        <v>1.8200000000000001E-2</v>
      </c>
      <c r="Q12" s="45">
        <v>4.2900000000000001E-2</v>
      </c>
      <c r="R12" s="45">
        <v>0.12130000000000001</v>
      </c>
      <c r="S12" s="45">
        <v>3.3000000000000002E-2</v>
      </c>
      <c r="T12" s="45">
        <v>3.9E-2</v>
      </c>
      <c r="U12" s="45">
        <v>2.0999999999999999E-3</v>
      </c>
      <c r="V12" s="45">
        <v>2.1700000000000001E-2</v>
      </c>
      <c r="W12" s="45">
        <v>2.8E-3</v>
      </c>
      <c r="X12" s="353">
        <v>1</v>
      </c>
      <c r="Y12" s="18"/>
      <c r="Z12" s="18"/>
      <c r="AA12" s="18"/>
      <c r="AB12" s="18"/>
      <c r="AC12" s="18"/>
      <c r="AD12" s="18"/>
      <c r="AE12" s="18"/>
      <c r="AF12" s="18"/>
      <c r="AG12" s="18"/>
      <c r="AH12" s="18"/>
      <c r="AI12" s="18"/>
      <c r="AJ12" s="18"/>
      <c r="AK12" s="18"/>
      <c r="AL12" s="18"/>
      <c r="AM12" s="18"/>
      <c r="AN12" s="18"/>
      <c r="AO12" s="18"/>
      <c r="AP12" s="18"/>
      <c r="AQ12" s="18"/>
      <c r="AR12" s="18"/>
      <c r="AS12" s="18"/>
      <c r="AT12" s="18"/>
      <c r="AU12" s="18"/>
      <c r="AV12" s="18"/>
      <c r="AW12" s="18"/>
    </row>
    <row r="13" spans="1:49" x14ac:dyDescent="0.25">
      <c r="A13" s="1" t="s">
        <v>15</v>
      </c>
      <c r="B13" s="1"/>
      <c r="C13" s="45">
        <v>5.67E-2</v>
      </c>
      <c r="D13" s="45">
        <v>3.8600000000000002E-2</v>
      </c>
      <c r="E13" s="45">
        <v>6.5600000000000006E-2</v>
      </c>
      <c r="F13" s="45">
        <v>2.9899999999999999E-2</v>
      </c>
      <c r="G13" s="45">
        <v>5.3400000000000003E-2</v>
      </c>
      <c r="H13" s="45">
        <v>1.6799999999999999E-2</v>
      </c>
      <c r="I13" s="45">
        <v>5.1400000000000001E-2</v>
      </c>
      <c r="J13" s="45">
        <v>7.0000000000000007E-2</v>
      </c>
      <c r="K13" s="45">
        <v>1.0200000000000001E-2</v>
      </c>
      <c r="L13" s="45">
        <v>1.6500000000000001E-2</v>
      </c>
      <c r="M13" s="45">
        <v>9.4700000000000048E-2</v>
      </c>
      <c r="N13" s="45">
        <v>0.1089</v>
      </c>
      <c r="O13" s="45">
        <v>2.5000000000000001E-3</v>
      </c>
      <c r="P13" s="45">
        <v>3.9800000000000002E-2</v>
      </c>
      <c r="Q13" s="45">
        <v>3.5000000000000003E-2</v>
      </c>
      <c r="R13" s="45">
        <v>9.6199999999999994E-2</v>
      </c>
      <c r="S13" s="45">
        <v>7.7999999999999996E-3</v>
      </c>
      <c r="T13" s="45">
        <v>6.8000000000000005E-2</v>
      </c>
      <c r="U13" s="45">
        <v>1.5E-3</v>
      </c>
      <c r="V13" s="45">
        <v>6.2399999999999997E-2</v>
      </c>
      <c r="W13" s="45">
        <v>7.4099999999999999E-2</v>
      </c>
      <c r="X13" s="353">
        <v>1</v>
      </c>
      <c r="Y13" s="18"/>
      <c r="Z13" s="18"/>
      <c r="AA13" s="18"/>
      <c r="AB13" s="18"/>
      <c r="AC13" s="18"/>
      <c r="AD13" s="18"/>
      <c r="AE13" s="18"/>
      <c r="AF13" s="18"/>
      <c r="AG13" s="18"/>
      <c r="AH13" s="18"/>
      <c r="AI13" s="18"/>
      <c r="AJ13" s="18"/>
      <c r="AK13" s="18"/>
      <c r="AL13" s="18"/>
      <c r="AM13" s="18"/>
      <c r="AN13" s="18"/>
      <c r="AO13" s="18"/>
      <c r="AP13" s="18"/>
      <c r="AQ13" s="18"/>
      <c r="AR13" s="18"/>
      <c r="AS13" s="18"/>
      <c r="AT13" s="18"/>
      <c r="AU13" s="18"/>
      <c r="AV13" s="18"/>
      <c r="AW13" s="18"/>
    </row>
    <row r="14" spans="1:49" x14ac:dyDescent="0.25">
      <c r="A14" s="1" t="s">
        <v>45</v>
      </c>
      <c r="B14" s="1"/>
      <c r="C14" s="45">
        <v>5.6000000000000001E-2</v>
      </c>
      <c r="D14" s="45">
        <v>6.3E-3</v>
      </c>
      <c r="E14" s="45">
        <v>9.1200000000000003E-2</v>
      </c>
      <c r="F14" s="45">
        <v>1.52E-2</v>
      </c>
      <c r="G14" s="45">
        <v>8.6999999999999994E-3</v>
      </c>
      <c r="H14" s="45">
        <v>5.8999999999999999E-3</v>
      </c>
      <c r="I14" s="45">
        <v>0.37090000000000001</v>
      </c>
      <c r="J14" s="45">
        <v>7.22E-2</v>
      </c>
      <c r="K14" s="45">
        <v>3.0000000000000001E-3</v>
      </c>
      <c r="L14" s="45">
        <v>8.3999999999999995E-3</v>
      </c>
      <c r="M14" s="45">
        <v>0.14455000000000001</v>
      </c>
      <c r="N14" s="45">
        <v>8.72E-2</v>
      </c>
      <c r="O14" s="45">
        <v>2.5000000000000001E-3</v>
      </c>
      <c r="P14" s="45">
        <v>1.0500000000000001E-2</v>
      </c>
      <c r="Q14" s="45">
        <v>1.5900000000000001E-2</v>
      </c>
      <c r="R14" s="45">
        <v>4.2900000000000001E-2</v>
      </c>
      <c r="S14" s="45">
        <v>1.18E-2</v>
      </c>
      <c r="T14" s="45">
        <v>2.1100000000000001E-2</v>
      </c>
      <c r="U14" s="45">
        <v>1.9499999999999999E-3</v>
      </c>
      <c r="V14" s="45">
        <v>2.2800000000000001E-2</v>
      </c>
      <c r="W14" s="45">
        <v>1E-3</v>
      </c>
      <c r="X14" s="353">
        <v>1</v>
      </c>
      <c r="Y14" s="18"/>
      <c r="Z14" s="18"/>
      <c r="AA14" s="18"/>
      <c r="AB14" s="18"/>
      <c r="AC14" s="18"/>
      <c r="AD14" s="18"/>
      <c r="AE14" s="18"/>
      <c r="AF14" s="18"/>
      <c r="AG14" s="18"/>
      <c r="AH14" s="18"/>
      <c r="AI14" s="18"/>
      <c r="AJ14" s="18"/>
      <c r="AK14" s="18"/>
      <c r="AL14" s="18"/>
      <c r="AM14" s="18"/>
      <c r="AN14" s="18"/>
      <c r="AO14" s="18"/>
      <c r="AP14" s="18"/>
      <c r="AQ14" s="18"/>
      <c r="AR14" s="18"/>
      <c r="AS14" s="18"/>
      <c r="AT14" s="18"/>
      <c r="AU14" s="18"/>
      <c r="AV14" s="18"/>
      <c r="AW14" s="18"/>
    </row>
    <row r="15" spans="1:49" x14ac:dyDescent="0.25">
      <c r="A15" s="1" t="s">
        <v>258</v>
      </c>
      <c r="B15" s="1"/>
      <c r="C15" s="45">
        <v>7.8799999999999995E-2</v>
      </c>
      <c r="D15" s="45">
        <v>1.12E-2</v>
      </c>
      <c r="E15" s="45">
        <v>4.7500000000000001E-2</v>
      </c>
      <c r="F15" s="45">
        <v>4.3700000000000003E-2</v>
      </c>
      <c r="G15" s="45">
        <v>2.69E-2</v>
      </c>
      <c r="H15" s="45">
        <v>1.35E-2</v>
      </c>
      <c r="I15" s="45">
        <v>4.1399999999999999E-2</v>
      </c>
      <c r="J15" s="45">
        <v>0.1071</v>
      </c>
      <c r="K15" s="45">
        <v>8.8000000000000005E-3</v>
      </c>
      <c r="L15" s="45">
        <v>6.2E-2</v>
      </c>
      <c r="M15" s="45">
        <v>0.19440000000000007</v>
      </c>
      <c r="N15" s="45">
        <v>0.1578</v>
      </c>
      <c r="O15" s="45">
        <v>3.1999999999999997E-3</v>
      </c>
      <c r="P15" s="45">
        <v>1.2999999999999999E-2</v>
      </c>
      <c r="Q15" s="45">
        <v>3.2000000000000001E-2</v>
      </c>
      <c r="R15" s="45">
        <v>7.0400000000000004E-2</v>
      </c>
      <c r="S15" s="45">
        <v>2.87E-2</v>
      </c>
      <c r="T15" s="45">
        <v>4.5100000000000001E-2</v>
      </c>
      <c r="U15" s="45">
        <v>2.0999999999999999E-3</v>
      </c>
      <c r="V15" s="45">
        <v>1.14E-2</v>
      </c>
      <c r="W15" s="45">
        <v>1E-3</v>
      </c>
      <c r="X15" s="353">
        <v>0.99999999999999989</v>
      </c>
      <c r="Y15" s="18"/>
      <c r="Z15" s="18"/>
      <c r="AA15" s="18"/>
      <c r="AB15" s="18"/>
      <c r="AC15" s="18"/>
      <c r="AD15" s="18"/>
      <c r="AE15" s="18"/>
      <c r="AF15" s="18"/>
      <c r="AG15" s="18"/>
      <c r="AH15" s="18"/>
      <c r="AI15" s="18"/>
      <c r="AJ15" s="18"/>
      <c r="AK15" s="18"/>
      <c r="AL15" s="18"/>
      <c r="AM15" s="18"/>
      <c r="AN15" s="18"/>
      <c r="AO15" s="18"/>
      <c r="AP15" s="18"/>
      <c r="AQ15" s="18"/>
      <c r="AR15" s="18"/>
      <c r="AS15" s="18"/>
      <c r="AT15" s="18"/>
      <c r="AU15" s="18"/>
      <c r="AV15" s="18"/>
      <c r="AW15" s="18"/>
    </row>
    <row r="16" spans="1:49" x14ac:dyDescent="0.25">
      <c r="A16" s="1" t="s">
        <v>48</v>
      </c>
      <c r="B16" s="1"/>
      <c r="C16" s="45">
        <v>9.3299999999999994E-2</v>
      </c>
      <c r="D16" s="45">
        <v>1.78E-2</v>
      </c>
      <c r="E16" s="45">
        <v>0.14399999999999999</v>
      </c>
      <c r="F16" s="45">
        <v>5.45E-2</v>
      </c>
      <c r="G16" s="45">
        <v>6.0900000000000003E-2</v>
      </c>
      <c r="H16" s="45">
        <v>1.34E-2</v>
      </c>
      <c r="I16" s="45">
        <v>5.0900000000000001E-2</v>
      </c>
      <c r="J16" s="45">
        <v>8.7499999999999994E-2</v>
      </c>
      <c r="K16" s="45">
        <v>9.5999999999999992E-3</v>
      </c>
      <c r="L16" s="45">
        <v>5.7999999999999996E-3</v>
      </c>
      <c r="M16" s="45">
        <v>0.10080000000000007</v>
      </c>
      <c r="N16" s="45">
        <v>6.7199999999999996E-2</v>
      </c>
      <c r="O16" s="45">
        <v>8.3000000000000001E-3</v>
      </c>
      <c r="P16" s="45">
        <v>3.5299999999999998E-2</v>
      </c>
      <c r="Q16" s="45">
        <v>4.5900000000000003E-2</v>
      </c>
      <c r="R16" s="45">
        <v>7.8100000000000003E-2</v>
      </c>
      <c r="S16" s="45">
        <v>8.3000000000000001E-3</v>
      </c>
      <c r="T16" s="45">
        <v>6.0100000000000001E-2</v>
      </c>
      <c r="U16" s="45">
        <v>1.8E-3</v>
      </c>
      <c r="V16" s="45">
        <v>2.0799999999999999E-2</v>
      </c>
      <c r="W16" s="45">
        <v>3.5700000000000003E-2</v>
      </c>
      <c r="X16" s="353">
        <v>1.0000000000000002</v>
      </c>
      <c r="Y16" s="18"/>
      <c r="Z16" s="18"/>
      <c r="AA16" s="18"/>
      <c r="AB16" s="18"/>
      <c r="AC16" s="18"/>
      <c r="AD16" s="18"/>
      <c r="AE16" s="18"/>
      <c r="AF16" s="18"/>
      <c r="AG16" s="18"/>
      <c r="AH16" s="18"/>
      <c r="AI16" s="18"/>
      <c r="AJ16" s="18"/>
      <c r="AK16" s="18"/>
      <c r="AL16" s="18"/>
      <c r="AM16" s="18"/>
      <c r="AN16" s="18"/>
      <c r="AO16" s="18"/>
      <c r="AP16" s="18"/>
      <c r="AQ16" s="18"/>
      <c r="AR16" s="18"/>
      <c r="AS16" s="18"/>
      <c r="AT16" s="18"/>
      <c r="AU16" s="18"/>
      <c r="AV16" s="18"/>
      <c r="AW16" s="18"/>
    </row>
    <row r="17" spans="1:49" x14ac:dyDescent="0.25">
      <c r="A17" s="1" t="s">
        <v>259</v>
      </c>
      <c r="B17" s="1"/>
      <c r="C17" s="45">
        <v>5.4100000000000002E-2</v>
      </c>
      <c r="D17" s="45">
        <v>1.6899999999999998E-2</v>
      </c>
      <c r="E17" s="45">
        <v>5.4800000000000001E-2</v>
      </c>
      <c r="F17" s="45">
        <v>0.1016</v>
      </c>
      <c r="G17" s="45">
        <v>2.07E-2</v>
      </c>
      <c r="H17" s="45">
        <v>1.89E-2</v>
      </c>
      <c r="I17" s="45">
        <v>7.8700000000000006E-2</v>
      </c>
      <c r="J17" s="45">
        <v>5.5300000000000002E-2</v>
      </c>
      <c r="K17" s="45">
        <v>1.2699999999999999E-2</v>
      </c>
      <c r="L17" s="45">
        <v>4.3299999999999998E-2</v>
      </c>
      <c r="M17" s="45">
        <v>0.15809999999999999</v>
      </c>
      <c r="N17" s="45">
        <v>0.1239</v>
      </c>
      <c r="O17" s="45">
        <v>3.0000000000000001E-3</v>
      </c>
      <c r="P17" s="45">
        <v>1.04E-2</v>
      </c>
      <c r="Q17" s="45">
        <v>3.9399999999999998E-2</v>
      </c>
      <c r="R17" s="45">
        <v>7.7899999999999997E-2</v>
      </c>
      <c r="S17" s="45">
        <v>2.75E-2</v>
      </c>
      <c r="T17" s="45">
        <v>6.7900000000000002E-2</v>
      </c>
      <c r="U17" s="45">
        <v>5.8999999999999999E-3</v>
      </c>
      <c r="V17" s="45">
        <v>2.7799999999999998E-2</v>
      </c>
      <c r="W17" s="45">
        <v>1.1999999999999999E-3</v>
      </c>
      <c r="X17" s="353">
        <v>0.99999999999999989</v>
      </c>
      <c r="Y17" s="18"/>
      <c r="Z17" s="18"/>
      <c r="AA17" s="18"/>
      <c r="AB17" s="18"/>
      <c r="AC17" s="18"/>
      <c r="AD17" s="18"/>
      <c r="AE17" s="18"/>
      <c r="AF17" s="18"/>
      <c r="AG17" s="18"/>
      <c r="AH17" s="18"/>
      <c r="AI17" s="18"/>
      <c r="AJ17" s="18"/>
      <c r="AK17" s="18"/>
      <c r="AL17" s="18"/>
      <c r="AM17" s="18"/>
      <c r="AN17" s="18"/>
      <c r="AO17" s="18"/>
      <c r="AP17" s="18"/>
      <c r="AQ17" s="18"/>
      <c r="AR17" s="18"/>
      <c r="AS17" s="18"/>
      <c r="AT17" s="18"/>
      <c r="AU17" s="18"/>
      <c r="AV17" s="18"/>
      <c r="AW17" s="18"/>
    </row>
    <row r="18" spans="1:49" x14ac:dyDescent="0.25">
      <c r="A18" s="1" t="s">
        <v>260</v>
      </c>
      <c r="B18" s="1"/>
      <c r="C18" s="45">
        <v>7.5600000000000001E-2</v>
      </c>
      <c r="D18" s="45">
        <v>2.4199999999999999E-2</v>
      </c>
      <c r="E18" s="45">
        <v>5.8200000000000002E-2</v>
      </c>
      <c r="F18" s="45">
        <v>7.1999999999999995E-2</v>
      </c>
      <c r="G18" s="45">
        <v>3.8899999999999997E-2</v>
      </c>
      <c r="H18" s="45">
        <v>1.8800000000000001E-2</v>
      </c>
      <c r="I18" s="45">
        <v>6.8599999999999994E-2</v>
      </c>
      <c r="J18" s="45">
        <v>6.6699999999999995E-2</v>
      </c>
      <c r="K18" s="45">
        <v>1.54E-2</v>
      </c>
      <c r="L18" s="45">
        <v>1.6E-2</v>
      </c>
      <c r="M18" s="45">
        <v>0.13115000000000007</v>
      </c>
      <c r="N18" s="45">
        <v>9.8900000000000002E-2</v>
      </c>
      <c r="O18" s="45">
        <v>3.0000000000000001E-3</v>
      </c>
      <c r="P18" s="45">
        <v>2.2800000000000001E-2</v>
      </c>
      <c r="Q18" s="45">
        <v>6.3700000000000007E-2</v>
      </c>
      <c r="R18" s="45">
        <v>9.3799999999999994E-2</v>
      </c>
      <c r="S18" s="45">
        <v>2.7300000000000001E-2</v>
      </c>
      <c r="T18" s="45">
        <v>2.92E-2</v>
      </c>
      <c r="U18" s="45">
        <v>2.5499999999999997E-3</v>
      </c>
      <c r="V18" s="45">
        <v>6.8099999999999994E-2</v>
      </c>
      <c r="W18" s="45">
        <v>5.1000000000000004E-3</v>
      </c>
      <c r="X18" s="353">
        <v>1.0000000000000002</v>
      </c>
      <c r="Y18" s="18"/>
      <c r="Z18" s="18"/>
      <c r="AA18" s="18"/>
      <c r="AB18" s="18"/>
      <c r="AC18" s="18"/>
      <c r="AD18" s="18"/>
      <c r="AE18" s="18"/>
      <c r="AF18" s="18"/>
      <c r="AG18" s="18"/>
      <c r="AH18" s="18"/>
      <c r="AI18" s="18"/>
      <c r="AJ18" s="18"/>
      <c r="AK18" s="18"/>
      <c r="AL18" s="18"/>
      <c r="AM18" s="18"/>
      <c r="AN18" s="18"/>
      <c r="AO18" s="18"/>
      <c r="AP18" s="18"/>
      <c r="AQ18" s="18"/>
      <c r="AR18" s="18"/>
      <c r="AS18" s="18"/>
      <c r="AT18" s="18"/>
      <c r="AU18" s="18"/>
      <c r="AV18" s="18"/>
      <c r="AW18" s="18"/>
    </row>
    <row r="19" spans="1:49" x14ac:dyDescent="0.25">
      <c r="A19" s="1" t="s">
        <v>261</v>
      </c>
      <c r="B19" s="1"/>
      <c r="C19" s="45">
        <v>7.8799999999999995E-2</v>
      </c>
      <c r="D19" s="45">
        <v>3.6499999999999998E-2</v>
      </c>
      <c r="E19" s="45">
        <v>0.08</v>
      </c>
      <c r="F19" s="45">
        <v>3.1600000000000003E-2</v>
      </c>
      <c r="G19" s="45">
        <v>6.1499999999999999E-2</v>
      </c>
      <c r="H19" s="45">
        <v>2.1399999999999999E-2</v>
      </c>
      <c r="I19" s="45">
        <v>3.8899999999999997E-2</v>
      </c>
      <c r="J19" s="45">
        <v>5.74E-2</v>
      </c>
      <c r="K19" s="45">
        <v>2.1499999999999998E-2</v>
      </c>
      <c r="L19" s="45">
        <v>1.2200000000000001E-2</v>
      </c>
      <c r="M19" s="45">
        <v>0.10654999999999992</v>
      </c>
      <c r="N19" s="45">
        <v>7.3700000000000002E-2</v>
      </c>
      <c r="O19" s="45">
        <v>3.0000000000000001E-3</v>
      </c>
      <c r="P19" s="45">
        <v>3.1699999999999999E-2</v>
      </c>
      <c r="Q19" s="45">
        <v>5.21E-2</v>
      </c>
      <c r="R19" s="45">
        <v>0.1333</v>
      </c>
      <c r="S19" s="45">
        <v>8.8000000000000005E-3</v>
      </c>
      <c r="T19" s="45">
        <v>7.5300000000000006E-2</v>
      </c>
      <c r="U19" s="45">
        <v>7.5000000000000002E-4</v>
      </c>
      <c r="V19" s="45">
        <v>6.7100000000000007E-2</v>
      </c>
      <c r="W19" s="45">
        <v>7.9000000000000008E-3</v>
      </c>
      <c r="X19" s="353">
        <v>1</v>
      </c>
      <c r="Y19" s="18"/>
      <c r="Z19" s="18"/>
      <c r="AA19" s="18"/>
      <c r="AB19" s="18"/>
      <c r="AC19" s="18"/>
      <c r="AD19" s="18"/>
      <c r="AE19" s="18"/>
      <c r="AF19" s="18"/>
      <c r="AG19" s="18"/>
      <c r="AH19" s="18"/>
      <c r="AI19" s="18"/>
      <c r="AJ19" s="18"/>
      <c r="AK19" s="18"/>
      <c r="AL19" s="18"/>
      <c r="AM19" s="18"/>
      <c r="AN19" s="18"/>
      <c r="AO19" s="18"/>
      <c r="AP19" s="18"/>
      <c r="AQ19" s="18"/>
      <c r="AR19" s="18"/>
      <c r="AS19" s="18"/>
      <c r="AT19" s="18"/>
      <c r="AU19" s="18"/>
      <c r="AV19" s="18"/>
      <c r="AW19" s="18"/>
    </row>
    <row r="20" spans="1:49" x14ac:dyDescent="0.25">
      <c r="A20" s="1" t="s">
        <v>60</v>
      </c>
      <c r="B20" s="1"/>
      <c r="C20" s="45">
        <v>5.5899999999999998E-2</v>
      </c>
      <c r="D20" s="45">
        <v>7.8100000000000003E-2</v>
      </c>
      <c r="E20" s="45">
        <v>4.1200000000000001E-2</v>
      </c>
      <c r="F20" s="45">
        <v>1.83E-2</v>
      </c>
      <c r="G20" s="45">
        <v>3.44E-2</v>
      </c>
      <c r="H20" s="45">
        <v>1.6799999999999999E-2</v>
      </c>
      <c r="I20" s="45">
        <v>2.58E-2</v>
      </c>
      <c r="J20" s="45">
        <v>0.1075</v>
      </c>
      <c r="K20" s="45">
        <v>2.18E-2</v>
      </c>
      <c r="L20" s="45">
        <v>1.47E-2</v>
      </c>
      <c r="M20" s="45">
        <v>8.679999999999978E-2</v>
      </c>
      <c r="N20" s="45">
        <v>8.5300000000000001E-2</v>
      </c>
      <c r="O20" s="45">
        <v>2E-3</v>
      </c>
      <c r="P20" s="45">
        <v>3.3099999999999997E-2</v>
      </c>
      <c r="Q20" s="45">
        <v>4.8399999999999999E-2</v>
      </c>
      <c r="R20" s="45">
        <v>0.185</v>
      </c>
      <c r="S20" s="45">
        <v>1.03E-2</v>
      </c>
      <c r="T20" s="45">
        <v>5.3900000000000003E-2</v>
      </c>
      <c r="U20" s="45">
        <v>1E-3</v>
      </c>
      <c r="V20" s="45">
        <v>6.5500000000000003E-2</v>
      </c>
      <c r="W20" s="45">
        <v>1.4200000000000001E-2</v>
      </c>
      <c r="X20" s="353">
        <v>0.99999999999999989</v>
      </c>
      <c r="Y20" s="18"/>
      <c r="Z20" s="18"/>
      <c r="AA20" s="18"/>
      <c r="AB20" s="18"/>
      <c r="AC20" s="18"/>
      <c r="AD20" s="18"/>
      <c r="AE20" s="18"/>
      <c r="AF20" s="18"/>
      <c r="AG20" s="18"/>
      <c r="AH20" s="18"/>
      <c r="AI20" s="18"/>
      <c r="AJ20" s="18"/>
      <c r="AK20" s="18"/>
      <c r="AL20" s="18"/>
      <c r="AM20" s="18"/>
      <c r="AN20" s="18"/>
      <c r="AO20" s="18"/>
      <c r="AP20" s="18"/>
      <c r="AQ20" s="18"/>
      <c r="AR20" s="18"/>
      <c r="AS20" s="18"/>
      <c r="AT20" s="18"/>
      <c r="AU20" s="18"/>
      <c r="AV20" s="18"/>
      <c r="AW20" s="18"/>
    </row>
    <row r="21" spans="1:49" x14ac:dyDescent="0.25">
      <c r="A21" s="1" t="s">
        <v>20</v>
      </c>
      <c r="B21" s="1"/>
      <c r="C21" s="45">
        <v>2.2200000000000001E-2</v>
      </c>
      <c r="D21" s="45">
        <v>7.3499999999999996E-2</v>
      </c>
      <c r="E21" s="45">
        <v>0.1148</v>
      </c>
      <c r="F21" s="45">
        <v>5.4800000000000001E-2</v>
      </c>
      <c r="G21" s="45">
        <v>9.4500000000000001E-2</v>
      </c>
      <c r="H21" s="45">
        <v>1.61E-2</v>
      </c>
      <c r="I21" s="45">
        <v>3.44E-2</v>
      </c>
      <c r="J21" s="45">
        <v>8.7800000000000003E-2</v>
      </c>
      <c r="K21" s="45">
        <v>1.3299999999999999E-2</v>
      </c>
      <c r="L21" s="45">
        <v>4.3700000000000003E-2</v>
      </c>
      <c r="M21" s="45">
        <v>9.7600000000000117E-2</v>
      </c>
      <c r="N21" s="45">
        <v>6.2700000000000006E-2</v>
      </c>
      <c r="O21" s="45">
        <v>2.0999999999999999E-3</v>
      </c>
      <c r="P21" s="45">
        <v>3.2599999999999997E-2</v>
      </c>
      <c r="Q21" s="45">
        <v>2.9700000000000001E-2</v>
      </c>
      <c r="R21" s="45">
        <v>9.9400000000000002E-2</v>
      </c>
      <c r="S21" s="45">
        <v>4.8999999999999998E-3</v>
      </c>
      <c r="T21" s="45">
        <v>7.1499999999999994E-2</v>
      </c>
      <c r="U21" s="45">
        <v>1E-3</v>
      </c>
      <c r="V21" s="45">
        <v>4.24E-2</v>
      </c>
      <c r="W21" s="45">
        <v>1E-3</v>
      </c>
      <c r="X21" s="353">
        <v>1</v>
      </c>
      <c r="Y21" s="18"/>
      <c r="Z21" s="18"/>
      <c r="AA21" s="18"/>
      <c r="AB21" s="18"/>
      <c r="AC21" s="18"/>
      <c r="AD21" s="18"/>
      <c r="AE21" s="18"/>
      <c r="AF21" s="18"/>
      <c r="AG21" s="18"/>
      <c r="AH21" s="18"/>
      <c r="AI21" s="18"/>
      <c r="AJ21" s="18"/>
      <c r="AK21" s="18"/>
      <c r="AL21" s="18"/>
      <c r="AM21" s="18"/>
      <c r="AN21" s="18"/>
      <c r="AO21" s="18"/>
      <c r="AP21" s="18"/>
      <c r="AQ21" s="18"/>
      <c r="AR21" s="18"/>
      <c r="AS21" s="18"/>
      <c r="AT21" s="18"/>
      <c r="AU21" s="18"/>
      <c r="AV21" s="18"/>
      <c r="AW21" s="18"/>
    </row>
    <row r="22" spans="1:49" x14ac:dyDescent="0.25">
      <c r="A22" s="1" t="s">
        <v>262</v>
      </c>
      <c r="B22" s="1"/>
      <c r="C22" s="45">
        <v>7.5899999999999995E-2</v>
      </c>
      <c r="D22" s="45">
        <v>1.29E-2</v>
      </c>
      <c r="E22" s="45">
        <v>9.8100000000000007E-2</v>
      </c>
      <c r="F22" s="45">
        <v>4.0300000000000002E-2</v>
      </c>
      <c r="G22" s="45">
        <v>7.3800000000000004E-2</v>
      </c>
      <c r="H22" s="45">
        <v>3.0099999999999998E-2</v>
      </c>
      <c r="I22" s="45">
        <v>3.0700000000000002E-2</v>
      </c>
      <c r="J22" s="45">
        <v>4.9000000000000002E-2</v>
      </c>
      <c r="K22" s="45">
        <v>1.5E-3</v>
      </c>
      <c r="L22" s="45">
        <v>1.0800000000000001E-2</v>
      </c>
      <c r="M22" s="45">
        <v>0.10574999999999997</v>
      </c>
      <c r="N22" s="45">
        <v>7.9500000000000001E-2</v>
      </c>
      <c r="O22" s="45">
        <v>5.4000000000000003E-3</v>
      </c>
      <c r="P22" s="45">
        <v>2.6499999999999999E-2</v>
      </c>
      <c r="Q22" s="45">
        <v>3.6999999999999998E-2</v>
      </c>
      <c r="R22" s="45">
        <v>0.14319999999999999</v>
      </c>
      <c r="S22" s="45">
        <v>3.2000000000000002E-3</v>
      </c>
      <c r="T22" s="45">
        <v>0.1086</v>
      </c>
      <c r="U22" s="45">
        <v>2.5499999999999997E-3</v>
      </c>
      <c r="V22" s="45">
        <v>6.4199999999999993E-2</v>
      </c>
      <c r="W22" s="45">
        <v>1E-3</v>
      </c>
      <c r="X22" s="353">
        <v>1</v>
      </c>
      <c r="Y22" s="18"/>
      <c r="Z22" s="18"/>
      <c r="AA22" s="18"/>
      <c r="AB22" s="18"/>
      <c r="AC22" s="18"/>
      <c r="AD22" s="18"/>
      <c r="AE22" s="18"/>
      <c r="AF22" s="18"/>
      <c r="AG22" s="18"/>
      <c r="AH22" s="18"/>
      <c r="AI22" s="18"/>
      <c r="AJ22" s="18"/>
      <c r="AK22" s="18"/>
      <c r="AL22" s="18"/>
      <c r="AM22" s="18"/>
      <c r="AN22" s="18"/>
      <c r="AO22" s="18"/>
      <c r="AP22" s="18"/>
      <c r="AQ22" s="18"/>
      <c r="AR22" s="18"/>
      <c r="AS22" s="18"/>
      <c r="AT22" s="18"/>
      <c r="AU22" s="18"/>
      <c r="AV22" s="18"/>
      <c r="AW22" s="18"/>
    </row>
    <row r="23" spans="1:49" x14ac:dyDescent="0.25">
      <c r="A23" s="1" t="s">
        <v>263</v>
      </c>
      <c r="B23" s="1"/>
      <c r="C23" s="45">
        <v>5.7799999999999997E-2</v>
      </c>
      <c r="D23" s="45">
        <v>1.41E-2</v>
      </c>
      <c r="E23" s="45">
        <v>7.0000000000000007E-2</v>
      </c>
      <c r="F23" s="45">
        <v>4.1000000000000002E-2</v>
      </c>
      <c r="G23" s="45">
        <v>4.58E-2</v>
      </c>
      <c r="H23" s="45">
        <v>1.2500000000000001E-2</v>
      </c>
      <c r="I23" s="45">
        <v>5.4100000000000002E-2</v>
      </c>
      <c r="J23" s="45">
        <v>5.6000000000000001E-2</v>
      </c>
      <c r="K23" s="45">
        <v>1.3599999999999999E-2</v>
      </c>
      <c r="L23" s="45">
        <v>6.1699999999999998E-2</v>
      </c>
      <c r="M23" s="45">
        <v>0.1532</v>
      </c>
      <c r="N23" s="45">
        <v>0.1171</v>
      </c>
      <c r="O23" s="45">
        <v>2.8999999999999998E-3</v>
      </c>
      <c r="P23" s="45">
        <v>1.6199999999999999E-2</v>
      </c>
      <c r="Q23" s="45">
        <v>5.5300000000000002E-2</v>
      </c>
      <c r="R23" s="45">
        <v>0.1046</v>
      </c>
      <c r="S23" s="45">
        <v>3.1600000000000003E-2</v>
      </c>
      <c r="T23" s="45">
        <v>5.16E-2</v>
      </c>
      <c r="U23" s="45">
        <v>3.5999999999999999E-3</v>
      </c>
      <c r="V23" s="45">
        <v>3.4700000000000002E-2</v>
      </c>
      <c r="W23" s="45">
        <v>2.5999999999999999E-3</v>
      </c>
      <c r="X23" s="353">
        <v>1</v>
      </c>
      <c r="Y23" s="18"/>
      <c r="Z23" s="18"/>
      <c r="AA23" s="18"/>
      <c r="AB23" s="18"/>
      <c r="AC23" s="18"/>
      <c r="AD23" s="18"/>
      <c r="AE23" s="18"/>
      <c r="AF23" s="18"/>
      <c r="AG23" s="18"/>
      <c r="AH23" s="18"/>
      <c r="AI23" s="18"/>
      <c r="AJ23" s="18"/>
      <c r="AK23" s="18"/>
      <c r="AL23" s="18"/>
      <c r="AM23" s="18"/>
      <c r="AN23" s="18"/>
      <c r="AO23" s="18"/>
      <c r="AP23" s="18"/>
      <c r="AQ23" s="18"/>
      <c r="AR23" s="18"/>
      <c r="AS23" s="18"/>
      <c r="AT23" s="18"/>
      <c r="AU23" s="18"/>
      <c r="AV23" s="18"/>
      <c r="AW23" s="18"/>
    </row>
    <row r="24" spans="1:49" x14ac:dyDescent="0.25">
      <c r="A24" s="1" t="s">
        <v>36</v>
      </c>
      <c r="B24" s="1"/>
      <c r="C24" s="45">
        <v>6.7999999999999996E-3</v>
      </c>
      <c r="D24" s="45">
        <v>1.5599999999999999E-2</v>
      </c>
      <c r="E24" s="45">
        <v>0.1986</v>
      </c>
      <c r="F24" s="45">
        <v>4.24E-2</v>
      </c>
      <c r="G24" s="45">
        <v>3.3E-3</v>
      </c>
      <c r="H24" s="45">
        <v>1.1599999999999999E-2</v>
      </c>
      <c r="I24" s="45">
        <v>9.5999999999999992E-3</v>
      </c>
      <c r="J24" s="45">
        <v>0.11260000000000001</v>
      </c>
      <c r="K24" s="45">
        <v>5.4000000000000003E-3</v>
      </c>
      <c r="L24" s="45">
        <v>2.3999999999999998E-3</v>
      </c>
      <c r="M24" s="45">
        <v>0.10959999999999986</v>
      </c>
      <c r="N24" s="45">
        <v>0.02</v>
      </c>
      <c r="O24" s="45">
        <v>2.0999999999999999E-3</v>
      </c>
      <c r="P24" s="45">
        <v>1.2500000000000001E-2</v>
      </c>
      <c r="Q24" s="45">
        <v>4.8999999999999998E-3</v>
      </c>
      <c r="R24" s="45">
        <v>0.28660000000000002</v>
      </c>
      <c r="S24" s="45">
        <v>1.4E-3</v>
      </c>
      <c r="T24" s="45">
        <v>7.3999999999999996E-2</v>
      </c>
      <c r="U24" s="45">
        <v>1E-3</v>
      </c>
      <c r="V24" s="45">
        <v>7.7799999999999994E-2</v>
      </c>
      <c r="W24" s="45">
        <v>1.8E-3</v>
      </c>
      <c r="X24" s="353">
        <v>1</v>
      </c>
      <c r="Y24" s="18"/>
      <c r="Z24" s="18"/>
      <c r="AA24" s="18"/>
      <c r="AB24" s="18"/>
      <c r="AC24" s="18"/>
      <c r="AD24" s="18"/>
      <c r="AE24" s="18"/>
      <c r="AF24" s="18"/>
      <c r="AG24" s="18"/>
      <c r="AH24" s="18"/>
      <c r="AI24" s="18"/>
      <c r="AJ24" s="18"/>
      <c r="AK24" s="18"/>
      <c r="AL24" s="18"/>
      <c r="AM24" s="18"/>
      <c r="AN24" s="18"/>
      <c r="AO24" s="18"/>
      <c r="AP24" s="18"/>
      <c r="AQ24" s="18"/>
      <c r="AR24" s="18"/>
      <c r="AS24" s="18"/>
      <c r="AT24" s="18"/>
      <c r="AU24" s="18"/>
      <c r="AV24" s="18"/>
      <c r="AW24" s="18"/>
    </row>
    <row r="25" spans="1:49" x14ac:dyDescent="0.25">
      <c r="A25" s="1" t="s">
        <v>71</v>
      </c>
      <c r="B25" s="1"/>
      <c r="C25" s="45">
        <v>4.5900000000000003E-2</v>
      </c>
      <c r="D25" s="45">
        <v>6.1499999999999999E-2</v>
      </c>
      <c r="E25" s="45">
        <v>8.9700000000000002E-2</v>
      </c>
      <c r="F25" s="45">
        <v>2.3400000000000001E-2</v>
      </c>
      <c r="G25" s="45">
        <v>5.5E-2</v>
      </c>
      <c r="H25" s="45">
        <v>2.1899999999999999E-2</v>
      </c>
      <c r="I25" s="45">
        <v>4.5499999999999999E-2</v>
      </c>
      <c r="J25" s="45">
        <v>5.5899999999999998E-2</v>
      </c>
      <c r="K25" s="45">
        <v>3.7199999999999997E-2</v>
      </c>
      <c r="L25" s="45">
        <v>1.5900000000000001E-2</v>
      </c>
      <c r="M25" s="45">
        <v>0.10160000000000007</v>
      </c>
      <c r="N25" s="45">
        <v>7.9500000000000001E-2</v>
      </c>
      <c r="O25" s="45">
        <v>2.8999999999999998E-3</v>
      </c>
      <c r="P25" s="45">
        <v>3.2899999999999999E-2</v>
      </c>
      <c r="Q25" s="45">
        <v>3.0700000000000002E-2</v>
      </c>
      <c r="R25" s="45">
        <v>0.1022</v>
      </c>
      <c r="S25" s="45">
        <v>7.6E-3</v>
      </c>
      <c r="T25" s="45">
        <v>8.1000000000000003E-2</v>
      </c>
      <c r="U25" s="45">
        <v>1E-3</v>
      </c>
      <c r="V25" s="45">
        <v>6.88E-2</v>
      </c>
      <c r="W25" s="45">
        <v>3.9899999999999998E-2</v>
      </c>
      <c r="X25" s="353">
        <v>1</v>
      </c>
      <c r="Y25" s="18"/>
      <c r="Z25" s="18"/>
      <c r="AA25" s="18"/>
      <c r="AB25" s="18"/>
      <c r="AC25" s="18"/>
      <c r="AD25" s="18"/>
      <c r="AE25" s="18"/>
      <c r="AF25" s="18"/>
      <c r="AG25" s="18"/>
      <c r="AH25" s="18"/>
      <c r="AI25" s="18"/>
      <c r="AJ25" s="18"/>
      <c r="AK25" s="18"/>
      <c r="AL25" s="18"/>
      <c r="AM25" s="18"/>
      <c r="AN25" s="18"/>
      <c r="AO25" s="18"/>
      <c r="AP25" s="18"/>
      <c r="AQ25" s="18"/>
      <c r="AR25" s="18"/>
      <c r="AS25" s="18"/>
      <c r="AT25" s="18"/>
      <c r="AU25" s="18"/>
      <c r="AV25" s="18"/>
      <c r="AW25" s="18"/>
    </row>
    <row r="26" spans="1:49" x14ac:dyDescent="0.25">
      <c r="A26" s="1" t="s">
        <v>11</v>
      </c>
      <c r="B26" s="1"/>
      <c r="C26" s="45">
        <v>4.0099999999999997E-2</v>
      </c>
      <c r="D26" s="45">
        <v>1.4E-2</v>
      </c>
      <c r="E26" s="45">
        <v>5.3499999999999999E-2</v>
      </c>
      <c r="F26" s="45">
        <v>2.2100000000000002E-2</v>
      </c>
      <c r="G26" s="45">
        <v>0.1794</v>
      </c>
      <c r="H26" s="45">
        <v>1.2999999999999999E-2</v>
      </c>
      <c r="I26" s="45">
        <v>3.2099999999999997E-2</v>
      </c>
      <c r="J26" s="45">
        <v>7.3499999999999996E-2</v>
      </c>
      <c r="K26" s="45">
        <v>7.7999999999999996E-3</v>
      </c>
      <c r="L26" s="45">
        <v>2.6700000000000002E-2</v>
      </c>
      <c r="M26" s="45">
        <v>0.12039999999999998</v>
      </c>
      <c r="N26" s="45">
        <v>8.2199999999999995E-2</v>
      </c>
      <c r="O26" s="45">
        <v>2.5000000000000001E-3</v>
      </c>
      <c r="P26" s="45">
        <v>2.9600000000000001E-2</v>
      </c>
      <c r="Q26" s="45">
        <v>4.3700000000000003E-2</v>
      </c>
      <c r="R26" s="45">
        <v>0.1285</v>
      </c>
      <c r="S26" s="45">
        <v>3.73E-2</v>
      </c>
      <c r="T26" s="45">
        <v>5.3999999999999999E-2</v>
      </c>
      <c r="U26" s="45">
        <v>1E-3</v>
      </c>
      <c r="V26" s="45">
        <v>3.5299999999999998E-2</v>
      </c>
      <c r="W26" s="45">
        <v>3.3E-3</v>
      </c>
      <c r="X26" s="353">
        <v>0.99999999999999989</v>
      </c>
      <c r="Y26" s="18"/>
      <c r="Z26" s="18"/>
      <c r="AA26" s="18"/>
      <c r="AB26" s="18"/>
      <c r="AC26" s="18"/>
      <c r="AD26" s="18"/>
      <c r="AE26" s="18"/>
      <c r="AF26" s="18"/>
      <c r="AG26" s="18"/>
      <c r="AH26" s="18"/>
      <c r="AI26" s="18"/>
      <c r="AJ26" s="18"/>
      <c r="AK26" s="18"/>
      <c r="AL26" s="18"/>
      <c r="AM26" s="18"/>
      <c r="AN26" s="18"/>
      <c r="AO26" s="18"/>
      <c r="AP26" s="18"/>
      <c r="AQ26" s="18"/>
      <c r="AR26" s="18"/>
      <c r="AS26" s="18"/>
      <c r="AT26" s="18"/>
      <c r="AU26" s="18"/>
      <c r="AV26" s="18"/>
      <c r="AW26" s="18"/>
    </row>
    <row r="27" spans="1:49" x14ac:dyDescent="0.25">
      <c r="A27" s="1" t="s">
        <v>264</v>
      </c>
      <c r="B27" s="1"/>
      <c r="C27" s="45">
        <v>7.7499999999999999E-2</v>
      </c>
      <c r="D27" s="45">
        <v>2.7900000000000001E-2</v>
      </c>
      <c r="E27" s="45">
        <v>5.45E-2</v>
      </c>
      <c r="F27" s="45">
        <v>3.7999999999999999E-2</v>
      </c>
      <c r="G27" s="45">
        <v>4.7399999999999998E-2</v>
      </c>
      <c r="H27" s="45">
        <v>2.5899999999999999E-2</v>
      </c>
      <c r="I27" s="45">
        <v>3.6700000000000003E-2</v>
      </c>
      <c r="J27" s="45">
        <v>6.9699999999999998E-2</v>
      </c>
      <c r="K27" s="45">
        <v>1.61E-2</v>
      </c>
      <c r="L27" s="45">
        <v>1.3299999999999999E-2</v>
      </c>
      <c r="M27" s="45">
        <v>0.10560000000000001</v>
      </c>
      <c r="N27" s="45">
        <v>8.9099999999999999E-2</v>
      </c>
      <c r="O27" s="45">
        <v>2.8999999999999998E-3</v>
      </c>
      <c r="P27" s="45">
        <v>1.8800000000000001E-2</v>
      </c>
      <c r="Q27" s="45">
        <v>4.8500000000000001E-2</v>
      </c>
      <c r="R27" s="45">
        <v>0.1903</v>
      </c>
      <c r="S27" s="45">
        <v>9.4000000000000004E-3</v>
      </c>
      <c r="T27" s="45">
        <v>5.8099999999999999E-2</v>
      </c>
      <c r="U27" s="45">
        <v>3.3E-3</v>
      </c>
      <c r="V27" s="45">
        <v>6.1699999999999998E-2</v>
      </c>
      <c r="W27" s="45">
        <v>5.3E-3</v>
      </c>
      <c r="X27" s="353">
        <v>0.99999999999999989</v>
      </c>
      <c r="Y27" s="18"/>
      <c r="Z27" s="18"/>
      <c r="AA27" s="18"/>
      <c r="AB27" s="18"/>
      <c r="AC27" s="18"/>
      <c r="AD27" s="18"/>
      <c r="AE27" s="18"/>
      <c r="AF27" s="18"/>
      <c r="AG27" s="18"/>
      <c r="AH27" s="18"/>
      <c r="AI27" s="18"/>
      <c r="AJ27" s="18"/>
      <c r="AK27" s="18"/>
      <c r="AL27" s="18"/>
      <c r="AM27" s="18"/>
      <c r="AN27" s="18"/>
      <c r="AO27" s="18"/>
      <c r="AP27" s="18"/>
      <c r="AQ27" s="18"/>
      <c r="AR27" s="18"/>
      <c r="AS27" s="18"/>
      <c r="AT27" s="18"/>
      <c r="AU27" s="18"/>
      <c r="AV27" s="18"/>
      <c r="AW27" s="18"/>
    </row>
    <row r="28" spans="1:49" x14ac:dyDescent="0.25">
      <c r="A28" s="1" t="s">
        <v>265</v>
      </c>
      <c r="B28" s="1"/>
      <c r="C28" s="45">
        <v>8.5900000000000004E-2</v>
      </c>
      <c r="D28" s="45">
        <v>2.64E-2</v>
      </c>
      <c r="E28" s="45">
        <v>7.1199999999999999E-2</v>
      </c>
      <c r="F28" s="45">
        <v>1.2699999999999999E-2</v>
      </c>
      <c r="G28" s="45">
        <v>7.22E-2</v>
      </c>
      <c r="H28" s="45">
        <v>3.5000000000000001E-3</v>
      </c>
      <c r="I28" s="45">
        <v>3.8399999999999997E-2</v>
      </c>
      <c r="J28" s="45">
        <v>4.6100000000000002E-2</v>
      </c>
      <c r="K28" s="45">
        <v>4.7999999999999996E-3</v>
      </c>
      <c r="L28" s="45">
        <v>1.72E-2</v>
      </c>
      <c r="M28" s="45">
        <v>0.10229999999999989</v>
      </c>
      <c r="N28" s="45">
        <v>9.8000000000000004E-2</v>
      </c>
      <c r="O28" s="45">
        <v>2.5999999999999999E-3</v>
      </c>
      <c r="P28" s="45">
        <v>1.55E-2</v>
      </c>
      <c r="Q28" s="45">
        <v>5.9700000000000003E-2</v>
      </c>
      <c r="R28" s="45">
        <v>0.19650000000000001</v>
      </c>
      <c r="S28" s="45">
        <v>4.2999999999999997E-2</v>
      </c>
      <c r="T28" s="45">
        <v>6.0199999999999997E-2</v>
      </c>
      <c r="U28" s="45">
        <v>3.0999999999999999E-3</v>
      </c>
      <c r="V28" s="45">
        <v>3.8800000000000001E-2</v>
      </c>
      <c r="W28" s="45">
        <v>1.9E-3</v>
      </c>
      <c r="X28" s="353">
        <v>1</v>
      </c>
      <c r="Y28" s="18"/>
      <c r="Z28" s="18"/>
      <c r="AA28" s="18"/>
      <c r="AB28" s="18"/>
      <c r="AC28" s="18"/>
      <c r="AD28" s="18"/>
      <c r="AE28" s="18"/>
      <c r="AF28" s="18"/>
      <c r="AG28" s="18"/>
      <c r="AH28" s="18"/>
      <c r="AI28" s="18"/>
      <c r="AJ28" s="18"/>
      <c r="AK28" s="18"/>
      <c r="AL28" s="18"/>
      <c r="AM28" s="18"/>
      <c r="AN28" s="18"/>
      <c r="AO28" s="18"/>
      <c r="AP28" s="18"/>
      <c r="AQ28" s="18"/>
      <c r="AR28" s="18"/>
      <c r="AS28" s="18"/>
      <c r="AT28" s="18"/>
      <c r="AU28" s="18"/>
      <c r="AV28" s="18"/>
      <c r="AW28" s="18"/>
    </row>
    <row r="29" spans="1:49" x14ac:dyDescent="0.25">
      <c r="A29" s="1" t="s">
        <v>9</v>
      </c>
      <c r="B29" s="1"/>
      <c r="C29" s="45">
        <v>5.0500000000000003E-2</v>
      </c>
      <c r="D29" s="45">
        <v>2.5700000000000001E-2</v>
      </c>
      <c r="E29" s="45">
        <v>0.1205</v>
      </c>
      <c r="F29" s="45">
        <v>3.8399999999999997E-2</v>
      </c>
      <c r="G29" s="45">
        <v>7.5399999999999995E-2</v>
      </c>
      <c r="H29" s="45">
        <v>8.9999999999999993E-3</v>
      </c>
      <c r="I29" s="45">
        <v>1.9599999999999999E-2</v>
      </c>
      <c r="J29" s="45">
        <v>8.5400000000000004E-2</v>
      </c>
      <c r="K29" s="45">
        <v>4.8999999999999998E-3</v>
      </c>
      <c r="L29" s="45">
        <v>7.7999999999999996E-3</v>
      </c>
      <c r="M29" s="45">
        <v>0.10629999999999999</v>
      </c>
      <c r="N29" s="45">
        <v>0.1226</v>
      </c>
      <c r="O29" s="45">
        <v>2.7000000000000001E-3</v>
      </c>
      <c r="P29" s="45">
        <v>1.95E-2</v>
      </c>
      <c r="Q29" s="45">
        <v>5.5E-2</v>
      </c>
      <c r="R29" s="45">
        <v>0.1148</v>
      </c>
      <c r="S29" s="45">
        <v>3.09E-2</v>
      </c>
      <c r="T29" s="45">
        <v>9.2499999999999999E-2</v>
      </c>
      <c r="U29" s="45">
        <v>4.7999999999999996E-3</v>
      </c>
      <c r="V29" s="45">
        <v>1.03E-2</v>
      </c>
      <c r="W29" s="45">
        <v>3.3999999999999998E-3</v>
      </c>
      <c r="X29" s="353">
        <v>1.0000000000000002</v>
      </c>
      <c r="Y29" s="18"/>
      <c r="Z29" s="18"/>
      <c r="AA29" s="18"/>
      <c r="AB29" s="18"/>
      <c r="AC29" s="18"/>
      <c r="AD29" s="18"/>
      <c r="AE29" s="18"/>
      <c r="AF29" s="18"/>
      <c r="AG29" s="18"/>
      <c r="AH29" s="18"/>
      <c r="AI29" s="18"/>
      <c r="AJ29" s="18"/>
      <c r="AK29" s="18"/>
      <c r="AL29" s="18"/>
      <c r="AM29" s="18"/>
      <c r="AN29" s="18"/>
      <c r="AO29" s="18"/>
      <c r="AP29" s="18"/>
      <c r="AQ29" s="18"/>
      <c r="AR29" s="18"/>
      <c r="AS29" s="18"/>
      <c r="AT29" s="18"/>
      <c r="AU29" s="18"/>
      <c r="AV29" s="18"/>
      <c r="AW29" s="18"/>
    </row>
    <row r="30" spans="1:49" x14ac:dyDescent="0.25">
      <c r="A30" s="1" t="s">
        <v>38</v>
      </c>
      <c r="B30" s="1"/>
      <c r="C30" s="45">
        <v>4.5699999999999998E-2</v>
      </c>
      <c r="D30" s="45">
        <v>0.12970000000000001</v>
      </c>
      <c r="E30" s="45">
        <v>7.9000000000000001E-2</v>
      </c>
      <c r="F30" s="45">
        <v>2.7300000000000001E-2</v>
      </c>
      <c r="G30" s="45">
        <v>2.7300000000000001E-2</v>
      </c>
      <c r="H30" s="45">
        <v>1.61E-2</v>
      </c>
      <c r="I30" s="45">
        <v>4.5499999999999999E-2</v>
      </c>
      <c r="J30" s="45">
        <v>4.3499999999999997E-2</v>
      </c>
      <c r="K30" s="45">
        <v>1.2699999999999999E-2</v>
      </c>
      <c r="L30" s="45">
        <v>9.9000000000000008E-3</v>
      </c>
      <c r="M30" s="45">
        <v>9.6300000000000233E-2</v>
      </c>
      <c r="N30" s="45">
        <v>6.1600000000000002E-2</v>
      </c>
      <c r="O30" s="45">
        <v>2.2000000000000001E-3</v>
      </c>
      <c r="P30" s="45">
        <v>2.69E-2</v>
      </c>
      <c r="Q30" s="45">
        <v>3.09E-2</v>
      </c>
      <c r="R30" s="45">
        <v>5.0799999999999998E-2</v>
      </c>
      <c r="S30" s="45">
        <v>4.4999999999999997E-3</v>
      </c>
      <c r="T30" s="45">
        <v>6.5600000000000006E-2</v>
      </c>
      <c r="U30" s="45">
        <v>1.2999999999999999E-3</v>
      </c>
      <c r="V30" s="45">
        <v>0.21829999999999999</v>
      </c>
      <c r="W30" s="45">
        <v>4.8999999999999998E-3</v>
      </c>
      <c r="X30" s="353">
        <v>1</v>
      </c>
      <c r="Y30" s="18"/>
      <c r="Z30" s="18"/>
      <c r="AA30" s="18"/>
      <c r="AB30" s="18"/>
      <c r="AC30" s="18"/>
      <c r="AD30" s="18"/>
      <c r="AE30" s="18"/>
      <c r="AF30" s="18"/>
      <c r="AG30" s="18"/>
      <c r="AH30" s="18"/>
      <c r="AI30" s="18"/>
      <c r="AJ30" s="18"/>
      <c r="AK30" s="18"/>
      <c r="AL30" s="18"/>
      <c r="AM30" s="18"/>
      <c r="AN30" s="18"/>
      <c r="AO30" s="18"/>
      <c r="AP30" s="18"/>
      <c r="AQ30" s="18"/>
      <c r="AR30" s="18"/>
      <c r="AS30" s="18"/>
      <c r="AT30" s="18"/>
      <c r="AU30" s="18"/>
      <c r="AV30" s="18"/>
      <c r="AW30" s="18"/>
    </row>
    <row r="31" spans="1:49" x14ac:dyDescent="0.25">
      <c r="C31" s="22"/>
      <c r="D31" s="22"/>
      <c r="E31" s="22"/>
      <c r="F31" s="22"/>
      <c r="G31" s="22"/>
      <c r="H31" s="22"/>
      <c r="I31" s="22"/>
      <c r="J31" s="22"/>
      <c r="K31" s="22"/>
      <c r="L31" s="22"/>
      <c r="M31" s="22"/>
      <c r="N31" s="22"/>
      <c r="O31" s="22"/>
      <c r="P31" s="22"/>
      <c r="Q31" s="22"/>
      <c r="R31" s="22"/>
      <c r="S31" s="22"/>
      <c r="T31" s="22"/>
      <c r="U31" s="22"/>
      <c r="V31" s="22"/>
      <c r="W31" s="22"/>
    </row>
    <row r="32" spans="1:49" x14ac:dyDescent="0.25">
      <c r="A32" t="s">
        <v>503</v>
      </c>
    </row>
    <row r="33" spans="1:23" ht="30" x14ac:dyDescent="0.25">
      <c r="A33" t="s">
        <v>256</v>
      </c>
      <c r="C33" t="s">
        <v>99</v>
      </c>
      <c r="D33" s="21" t="s">
        <v>103</v>
      </c>
      <c r="E33" s="21" t="s">
        <v>1399</v>
      </c>
      <c r="F33" t="s">
        <v>102</v>
      </c>
      <c r="G33" t="s">
        <v>100</v>
      </c>
      <c r="H33" t="s">
        <v>104</v>
      </c>
      <c r="I33" t="s">
        <v>98</v>
      </c>
      <c r="J33" t="s">
        <v>95</v>
      </c>
      <c r="K33" t="s">
        <v>96</v>
      </c>
      <c r="L33" t="s">
        <v>101</v>
      </c>
      <c r="M33" t="s">
        <v>97</v>
      </c>
      <c r="N33" t="s">
        <v>93</v>
      </c>
      <c r="O33" t="s">
        <v>105</v>
      </c>
      <c r="P33" t="s">
        <v>92</v>
      </c>
      <c r="Q33" t="s">
        <v>91</v>
      </c>
      <c r="R33" t="s">
        <v>90</v>
      </c>
      <c r="S33" t="s">
        <v>89</v>
      </c>
      <c r="T33" t="s">
        <v>94</v>
      </c>
      <c r="U33" t="s">
        <v>86</v>
      </c>
      <c r="V33" t="s">
        <v>88</v>
      </c>
      <c r="W33" t="s">
        <v>87</v>
      </c>
    </row>
    <row r="34" spans="1:23" x14ac:dyDescent="0.25">
      <c r="A34" t="s">
        <v>14</v>
      </c>
      <c r="C34" s="20">
        <v>25.76812157415236</v>
      </c>
      <c r="D34" s="20">
        <v>196.29151422990526</v>
      </c>
      <c r="E34" s="20">
        <v>49.557368652850514</v>
      </c>
      <c r="F34" s="20">
        <v>40.106986179247912</v>
      </c>
      <c r="G34" s="20">
        <v>45.632281177271473</v>
      </c>
      <c r="H34" s="20">
        <v>51.708699942293087</v>
      </c>
      <c r="I34" s="20">
        <v>27.076716655344477</v>
      </c>
      <c r="J34" s="20">
        <v>34.519850111866063</v>
      </c>
      <c r="K34" s="20">
        <v>26.998002345190894</v>
      </c>
      <c r="L34" s="20">
        <v>30.535322049668299</v>
      </c>
      <c r="M34" s="20">
        <v>29.258450741331096</v>
      </c>
      <c r="N34" s="20">
        <v>30.85250736116652</v>
      </c>
      <c r="O34" s="20">
        <v>48.859291463552879</v>
      </c>
      <c r="P34" s="20">
        <v>27.561368063885816</v>
      </c>
      <c r="Q34" s="20">
        <v>59.591245231762379</v>
      </c>
      <c r="R34" s="20">
        <v>51.120726963562625</v>
      </c>
      <c r="S34" s="20">
        <v>29.261942096542729</v>
      </c>
      <c r="T34" s="20">
        <v>20.500725624850919</v>
      </c>
      <c r="U34" s="20">
        <v>25.475561694185611</v>
      </c>
      <c r="V34" s="20">
        <v>69.412532855495385</v>
      </c>
      <c r="W34" s="20">
        <v>89.410885793173392</v>
      </c>
    </row>
    <row r="35" spans="1:23" x14ac:dyDescent="0.25">
      <c r="A35" t="s">
        <v>62</v>
      </c>
      <c r="C35" s="20">
        <v>26.163411612295363</v>
      </c>
      <c r="D35" s="20">
        <v>181.93768337460511</v>
      </c>
      <c r="E35" s="20">
        <v>64.147914807012498</v>
      </c>
      <c r="F35" s="20">
        <v>43.275900306014712</v>
      </c>
      <c r="G35" s="20">
        <v>52.922898214879069</v>
      </c>
      <c r="H35" s="20">
        <v>51.687372643611873</v>
      </c>
      <c r="I35" s="20">
        <v>30.229518893712275</v>
      </c>
      <c r="J35" s="20">
        <v>33.569619149143428</v>
      </c>
      <c r="K35" s="20">
        <v>23.030523662968282</v>
      </c>
      <c r="L35" s="20">
        <v>27.757948336760094</v>
      </c>
      <c r="M35" s="20">
        <v>25.97523599735646</v>
      </c>
      <c r="N35" s="20">
        <v>28.230399642408976</v>
      </c>
      <c r="O35" s="20">
        <v>50.549810874704491</v>
      </c>
      <c r="P35" s="20">
        <v>26.170715190138647</v>
      </c>
      <c r="Q35" s="20">
        <v>60.714947015662879</v>
      </c>
      <c r="R35" s="20">
        <v>56.56998542409432</v>
      </c>
      <c r="S35" s="20">
        <v>32.043973290985257</v>
      </c>
      <c r="T35" s="20">
        <v>20.288456866006996</v>
      </c>
      <c r="U35" s="20">
        <v>20.95436254275268</v>
      </c>
      <c r="V35" s="20">
        <v>71.890055047934425</v>
      </c>
      <c r="W35" s="20">
        <v>100.64982742327456</v>
      </c>
    </row>
    <row r="36" spans="1:23" x14ac:dyDescent="0.25">
      <c r="A36" t="s">
        <v>74</v>
      </c>
      <c r="C36" s="20">
        <v>30.688309237271593</v>
      </c>
      <c r="D36" s="20">
        <v>128.67268606641562</v>
      </c>
      <c r="E36" s="20">
        <v>55.046649248635788</v>
      </c>
      <c r="F36" s="20">
        <v>25.055037022770868</v>
      </c>
      <c r="G36" s="20">
        <v>41.604341082800168</v>
      </c>
      <c r="H36" s="20">
        <v>58.218159030737418</v>
      </c>
      <c r="I36" s="20">
        <v>34.888594012854846</v>
      </c>
      <c r="J36" s="20">
        <v>37.267646683182399</v>
      </c>
      <c r="K36" s="20">
        <v>21.906348714419135</v>
      </c>
      <c r="L36" s="20">
        <v>33.05613394833594</v>
      </c>
      <c r="M36" s="20">
        <v>23.795213179976933</v>
      </c>
      <c r="N36" s="20">
        <v>34.521291289228742</v>
      </c>
      <c r="O36" s="20">
        <v>45.717033492822971</v>
      </c>
      <c r="P36" s="20">
        <v>36.671341233022318</v>
      </c>
      <c r="Q36" s="20">
        <v>54.977970723250181</v>
      </c>
      <c r="R36" s="20">
        <v>56.691242512536832</v>
      </c>
      <c r="S36" s="20">
        <v>32.751504704256853</v>
      </c>
      <c r="T36" s="20">
        <v>19.037365334087347</v>
      </c>
      <c r="U36" s="20">
        <v>38.585066211020923</v>
      </c>
      <c r="V36" s="20">
        <v>97.186690755971014</v>
      </c>
      <c r="W36" s="20">
        <v>118.24998819362457</v>
      </c>
    </row>
    <row r="37" spans="1:23" x14ac:dyDescent="0.25">
      <c r="A37" t="s">
        <v>34</v>
      </c>
      <c r="C37" s="20">
        <v>29.284781861160909</v>
      </c>
      <c r="D37" s="20">
        <v>159.31051849400603</v>
      </c>
      <c r="E37" s="20">
        <v>55.710542724142513</v>
      </c>
      <c r="F37" s="20">
        <v>35.938931195005743</v>
      </c>
      <c r="G37" s="20">
        <v>50.741324708540589</v>
      </c>
      <c r="H37" s="20">
        <v>55.488081771181264</v>
      </c>
      <c r="I37" s="20">
        <v>31.811663348472962</v>
      </c>
      <c r="J37" s="20">
        <v>33.244239984361414</v>
      </c>
      <c r="K37" s="20">
        <v>28.133063321596048</v>
      </c>
      <c r="L37" s="20">
        <v>28.866476378391607</v>
      </c>
      <c r="M37" s="20">
        <v>29.893682891633851</v>
      </c>
      <c r="N37" s="20">
        <v>31.025315154977477</v>
      </c>
      <c r="O37" s="20">
        <v>48.898638373121152</v>
      </c>
      <c r="P37" s="20">
        <v>26.056306025574926</v>
      </c>
      <c r="Q37" s="20">
        <v>59.184537418457609</v>
      </c>
      <c r="R37" s="20">
        <v>60.765979441373474</v>
      </c>
      <c r="S37" s="20">
        <v>34.325770501735043</v>
      </c>
      <c r="T37" s="20">
        <v>20.19813657436374</v>
      </c>
      <c r="U37" s="20">
        <v>27.241546708812105</v>
      </c>
      <c r="V37" s="20">
        <v>82.097151523798289</v>
      </c>
      <c r="W37" s="20">
        <v>96.441595387496619</v>
      </c>
    </row>
    <row r="38" spans="1:23" x14ac:dyDescent="0.25">
      <c r="A38" t="s">
        <v>0</v>
      </c>
      <c r="C38" s="20">
        <v>24.041220160094362</v>
      </c>
      <c r="D38" s="20">
        <v>192.83635297807592</v>
      </c>
      <c r="E38" s="20">
        <v>62.59690285427255</v>
      </c>
      <c r="F38" s="20">
        <v>38.682778977871251</v>
      </c>
      <c r="G38" s="20">
        <v>46.47585395504386</v>
      </c>
      <c r="H38" s="20">
        <v>46.020600683921529</v>
      </c>
      <c r="I38" s="20">
        <v>31.008131149233655</v>
      </c>
      <c r="J38" s="20">
        <v>31.090129528323196</v>
      </c>
      <c r="K38" s="20">
        <v>22.610523823208176</v>
      </c>
      <c r="L38" s="20">
        <v>26.35220483461795</v>
      </c>
      <c r="M38" s="20">
        <v>24.443736457044817</v>
      </c>
      <c r="N38" s="20">
        <v>26.974515272894404</v>
      </c>
      <c r="O38" s="20">
        <v>47.268633440514471</v>
      </c>
      <c r="P38" s="20">
        <v>26.087433897017654</v>
      </c>
      <c r="Q38" s="20">
        <v>80.204082510956454</v>
      </c>
      <c r="R38" s="20">
        <v>54.651386585085561</v>
      </c>
      <c r="S38" s="20">
        <v>44.803381247059036</v>
      </c>
      <c r="T38" s="20">
        <v>18.888674073978628</v>
      </c>
      <c r="U38" s="20">
        <v>25.866021788679046</v>
      </c>
      <c r="V38" s="20">
        <v>69.916134157745603</v>
      </c>
      <c r="W38" s="20">
        <v>99.960195116189766</v>
      </c>
    </row>
    <row r="39" spans="1:23" x14ac:dyDescent="0.25">
      <c r="A39" t="s">
        <v>69</v>
      </c>
      <c r="C39" s="20">
        <v>38.617709581592599</v>
      </c>
      <c r="D39" s="20">
        <v>154.00636863823931</v>
      </c>
      <c r="E39" s="20">
        <v>55.368257509575962</v>
      </c>
      <c r="F39" s="20">
        <v>24.135605976337683</v>
      </c>
      <c r="G39" s="20">
        <v>33.232654771244476</v>
      </c>
      <c r="H39" s="20">
        <v>52.355800602303702</v>
      </c>
      <c r="I39" s="20">
        <v>20.578283993801499</v>
      </c>
      <c r="J39" s="20">
        <v>37.313561345435794</v>
      </c>
      <c r="K39" s="20">
        <v>25.030643466381878</v>
      </c>
      <c r="L39" s="20">
        <v>30.290718095973137</v>
      </c>
      <c r="M39" s="20">
        <v>32.354423139073219</v>
      </c>
      <c r="N39" s="20">
        <v>33.26703347829757</v>
      </c>
      <c r="O39" s="20">
        <v>65.324445927903895</v>
      </c>
      <c r="P39" s="20">
        <v>32.316621135509884</v>
      </c>
      <c r="Q39" s="20">
        <v>54.07929246800024</v>
      </c>
      <c r="R39" s="20">
        <v>49.980762698700367</v>
      </c>
      <c r="S39" s="20">
        <v>30.351006449243695</v>
      </c>
      <c r="T39" s="20">
        <v>22.960792445453542</v>
      </c>
      <c r="U39" s="20">
        <v>31.365888044229443</v>
      </c>
      <c r="V39" s="20">
        <v>57.849193493557763</v>
      </c>
      <c r="W39" s="20">
        <v>106.16124260355029</v>
      </c>
    </row>
    <row r="40" spans="1:23" x14ac:dyDescent="0.25">
      <c r="A40" t="s">
        <v>4</v>
      </c>
      <c r="C40" s="20">
        <v>25.760576926821866</v>
      </c>
      <c r="D40" s="20">
        <v>81.411790425932907</v>
      </c>
      <c r="E40" s="20">
        <v>52.621083667517311</v>
      </c>
      <c r="F40" s="20">
        <v>52.758497319763315</v>
      </c>
      <c r="G40" s="20">
        <v>53.857403229120713</v>
      </c>
      <c r="H40" s="20">
        <v>44.693246132628644</v>
      </c>
      <c r="I40" s="20">
        <v>22.928421913196072</v>
      </c>
      <c r="J40" s="20">
        <v>31.076430469627756</v>
      </c>
      <c r="K40" s="20">
        <v>18.866875159339941</v>
      </c>
      <c r="L40" s="20">
        <v>26.644774484336544</v>
      </c>
      <c r="M40" s="20">
        <v>24.848134677068263</v>
      </c>
      <c r="N40" s="20">
        <v>27.961198214428578</v>
      </c>
      <c r="O40" s="20">
        <v>50.329780219780226</v>
      </c>
      <c r="P40" s="20">
        <v>23.961591002368177</v>
      </c>
      <c r="Q40" s="20">
        <v>59.762348959888527</v>
      </c>
      <c r="R40" s="20">
        <v>71.820624266316244</v>
      </c>
      <c r="S40" s="20">
        <v>32.640234299568725</v>
      </c>
      <c r="T40" s="20">
        <v>21.665764680745504</v>
      </c>
      <c r="U40" s="20">
        <v>26.129839607201312</v>
      </c>
      <c r="V40" s="20">
        <v>53.536790413652831</v>
      </c>
      <c r="W40" s="20">
        <v>92.341114520073688</v>
      </c>
    </row>
    <row r="41" spans="1:23" x14ac:dyDescent="0.25">
      <c r="A41" t="s">
        <v>35</v>
      </c>
      <c r="C41" s="20">
        <v>27.473071468557567</v>
      </c>
      <c r="D41" s="20">
        <v>214.85318695652174</v>
      </c>
      <c r="E41" s="20">
        <v>50.309277234636859</v>
      </c>
      <c r="F41" s="20">
        <v>43.008432992298665</v>
      </c>
      <c r="G41" s="20">
        <v>50.184226527375401</v>
      </c>
      <c r="H41" s="20">
        <v>36.032426075268816</v>
      </c>
      <c r="I41" s="20">
        <v>22.948816541630606</v>
      </c>
      <c r="J41" s="20">
        <v>32.171085812869343</v>
      </c>
      <c r="K41" s="20">
        <v>42.563870203199613</v>
      </c>
      <c r="L41" s="20">
        <v>31.721401196646624</v>
      </c>
      <c r="M41" s="20">
        <v>25.697628418539416</v>
      </c>
      <c r="N41" s="20">
        <v>29.135049093107614</v>
      </c>
      <c r="O41" s="20">
        <v>48.021494401352307</v>
      </c>
      <c r="P41" s="20">
        <v>21.165817324702076</v>
      </c>
      <c r="Q41" s="20">
        <v>42.215886367514081</v>
      </c>
      <c r="R41" s="20">
        <v>46.540456442831221</v>
      </c>
      <c r="S41" s="20">
        <v>28.459305555555552</v>
      </c>
      <c r="T41" s="20">
        <v>20.725166723902291</v>
      </c>
      <c r="U41" s="20">
        <v>41.25411764705882</v>
      </c>
      <c r="V41" s="20">
        <v>63.652256722044804</v>
      </c>
      <c r="W41" s="20">
        <v>163.98</v>
      </c>
    </row>
    <row r="42" spans="1:23" x14ac:dyDescent="0.25">
      <c r="A42" t="s">
        <v>6</v>
      </c>
      <c r="C42" s="20">
        <v>25.858858359509252</v>
      </c>
      <c r="D42" s="20">
        <v>166.83983485990146</v>
      </c>
      <c r="E42" s="20">
        <v>44.627923365151048</v>
      </c>
      <c r="F42" s="20">
        <v>35.141144907710697</v>
      </c>
      <c r="G42" s="20">
        <v>44.020819114956083</v>
      </c>
      <c r="H42" s="20">
        <v>53.247925071245859</v>
      </c>
      <c r="I42" s="20">
        <v>24.791470200269046</v>
      </c>
      <c r="J42" s="20">
        <v>32.406758357253871</v>
      </c>
      <c r="K42" s="20">
        <v>27.703157014005029</v>
      </c>
      <c r="L42" s="20">
        <v>28.503543306370229</v>
      </c>
      <c r="M42" s="20">
        <v>27.912765019056938</v>
      </c>
      <c r="N42" s="20">
        <v>27.270003318760946</v>
      </c>
      <c r="O42" s="20">
        <v>42.577735265906398</v>
      </c>
      <c r="P42" s="20">
        <v>26.089411593628604</v>
      </c>
      <c r="Q42" s="20">
        <v>58.684288865789348</v>
      </c>
      <c r="R42" s="20">
        <v>53.806713382269876</v>
      </c>
      <c r="S42" s="20">
        <v>26.24425654842662</v>
      </c>
      <c r="T42" s="20">
        <v>19.756266657122481</v>
      </c>
      <c r="U42" s="20">
        <v>22.973456482545902</v>
      </c>
      <c r="V42" s="20">
        <v>66.244731427602957</v>
      </c>
      <c r="W42" s="20">
        <v>93.351236294149189</v>
      </c>
    </row>
    <row r="43" spans="1:23" x14ac:dyDescent="0.25">
      <c r="A43" t="s">
        <v>257</v>
      </c>
      <c r="C43" s="20">
        <v>36.810727810938602</v>
      </c>
      <c r="D43" s="20">
        <v>152.18257996915756</v>
      </c>
      <c r="E43" s="20">
        <v>63.543409730978141</v>
      </c>
      <c r="F43" s="20">
        <v>16.70121222295279</v>
      </c>
      <c r="G43" s="20">
        <v>49.116948092354207</v>
      </c>
      <c r="H43" s="20">
        <v>68.190323710253097</v>
      </c>
      <c r="I43" s="20">
        <v>27.749055427480599</v>
      </c>
      <c r="J43" s="20">
        <v>34.299274217160331</v>
      </c>
      <c r="K43" s="20">
        <v>27.830789173253748</v>
      </c>
      <c r="L43" s="20">
        <v>31.690571874618154</v>
      </c>
      <c r="M43" s="20">
        <v>28.909841816922299</v>
      </c>
      <c r="N43" s="20">
        <v>31.693847654166838</v>
      </c>
      <c r="O43" s="20">
        <v>51.89098401754935</v>
      </c>
      <c r="P43" s="20">
        <v>32.282202764030252</v>
      </c>
      <c r="Q43" s="20">
        <v>60.820033636587254</v>
      </c>
      <c r="R43" s="20">
        <v>50.297074298192612</v>
      </c>
      <c r="S43" s="20">
        <v>30.892561530481103</v>
      </c>
      <c r="T43" s="20">
        <v>21.817291031728629</v>
      </c>
      <c r="U43" s="20">
        <v>27.110110642410838</v>
      </c>
      <c r="V43" s="20">
        <v>56.712565589374393</v>
      </c>
      <c r="W43" s="20">
        <v>74.547248871590156</v>
      </c>
    </row>
    <row r="44" spans="1:23" x14ac:dyDescent="0.25">
      <c r="A44" t="s">
        <v>15</v>
      </c>
      <c r="C44" s="20">
        <v>28.761598365011466</v>
      </c>
      <c r="D44" s="20">
        <v>205.87845406844698</v>
      </c>
      <c r="E44" s="20">
        <v>78.838465435453401</v>
      </c>
      <c r="F44" s="20">
        <v>28.935355570537585</v>
      </c>
      <c r="G44" s="20">
        <v>48.982388583889531</v>
      </c>
      <c r="H44" s="20">
        <v>50.744330814236676</v>
      </c>
      <c r="I44" s="20">
        <v>32.290380298792471</v>
      </c>
      <c r="J44" s="20">
        <v>39.094260103191132</v>
      </c>
      <c r="K44" s="20">
        <v>23.926522554501201</v>
      </c>
      <c r="L44" s="20">
        <v>30.058630560011419</v>
      </c>
      <c r="M44" s="20">
        <v>29.913555541148789</v>
      </c>
      <c r="N44" s="20">
        <v>34.415514301813488</v>
      </c>
      <c r="O44" s="20">
        <v>52.863024523160774</v>
      </c>
      <c r="P44" s="20">
        <v>32.933635157432398</v>
      </c>
      <c r="Q44" s="20">
        <v>56.066574431698065</v>
      </c>
      <c r="R44" s="20">
        <v>55.6849431802395</v>
      </c>
      <c r="S44" s="20">
        <v>31.083350396369479</v>
      </c>
      <c r="T44" s="20">
        <v>21.170591232791079</v>
      </c>
      <c r="U44" s="20">
        <v>31.960759601053802</v>
      </c>
      <c r="V44" s="20">
        <v>70.454689097481634</v>
      </c>
      <c r="W44" s="20">
        <v>107.56396858739137</v>
      </c>
    </row>
    <row r="45" spans="1:23" x14ac:dyDescent="0.25">
      <c r="A45" t="s">
        <v>45</v>
      </c>
      <c r="C45" s="20">
        <v>28.500568132478911</v>
      </c>
      <c r="D45" s="20">
        <v>162.30128542510124</v>
      </c>
      <c r="E45" s="20">
        <v>84.53035533347213</v>
      </c>
      <c r="F45" s="20">
        <v>15.212090204778972</v>
      </c>
      <c r="G45" s="20">
        <v>43.136244645261201</v>
      </c>
      <c r="H45" s="20">
        <v>42.171091835727218</v>
      </c>
      <c r="I45" s="20">
        <v>30.94102702267902</v>
      </c>
      <c r="J45" s="20">
        <v>39.01092903833861</v>
      </c>
      <c r="K45" s="20">
        <v>17.602419080423701</v>
      </c>
      <c r="L45" s="20">
        <v>43.491856196963973</v>
      </c>
      <c r="M45" s="20">
        <v>38.755869173188422</v>
      </c>
      <c r="N45" s="20">
        <v>41.707169768377085</v>
      </c>
      <c r="O45" s="20">
        <v>45.919612903225804</v>
      </c>
      <c r="P45" s="20">
        <v>27.250194529984736</v>
      </c>
      <c r="Q45" s="20">
        <v>49.218165881450652</v>
      </c>
      <c r="R45" s="20">
        <v>40.837004850444622</v>
      </c>
      <c r="S45" s="20">
        <v>30.661053979871919</v>
      </c>
      <c r="T45" s="20">
        <v>20.756203516868776</v>
      </c>
      <c r="U45" s="20">
        <v>28.155200697750324</v>
      </c>
      <c r="V45" s="20">
        <v>74.556957204191875</v>
      </c>
      <c r="W45" s="20">
        <v>60.734538461538463</v>
      </c>
    </row>
    <row r="46" spans="1:23" x14ac:dyDescent="0.25">
      <c r="A46" t="s">
        <v>258</v>
      </c>
      <c r="C46" s="20">
        <v>31.721757130941096</v>
      </c>
      <c r="D46" s="20">
        <v>129.73846049046318</v>
      </c>
      <c r="E46" s="20">
        <v>65.259580665813061</v>
      </c>
      <c r="F46" s="20">
        <v>24.163951741114186</v>
      </c>
      <c r="G46" s="20">
        <v>45.609383926300147</v>
      </c>
      <c r="H46" s="20">
        <v>66.128176506753533</v>
      </c>
      <c r="I46" s="20">
        <v>20.511749447874543</v>
      </c>
      <c r="J46" s="20">
        <v>40.906970486426957</v>
      </c>
      <c r="K46" s="20">
        <v>24.650074425306421</v>
      </c>
      <c r="L46" s="20">
        <v>30.804108073189539</v>
      </c>
      <c r="M46" s="20">
        <v>29.998554766390058</v>
      </c>
      <c r="N46" s="20">
        <v>26.987386956115213</v>
      </c>
      <c r="O46" s="20">
        <v>49.22099173553719</v>
      </c>
      <c r="P46" s="20">
        <v>24.396447877382762</v>
      </c>
      <c r="Q46" s="20">
        <v>47.191191784784493</v>
      </c>
      <c r="R46" s="20">
        <v>42.313922873123346</v>
      </c>
      <c r="S46" s="20">
        <v>26.839265377872454</v>
      </c>
      <c r="T46" s="20">
        <v>19.347693045773664</v>
      </c>
      <c r="U46" s="20">
        <v>23.043629166874776</v>
      </c>
      <c r="V46" s="20">
        <v>43.16568007734066</v>
      </c>
      <c r="W46" s="20">
        <v>73.74636363636364</v>
      </c>
    </row>
    <row r="47" spans="1:23" x14ac:dyDescent="0.25">
      <c r="A47" t="s">
        <v>48</v>
      </c>
      <c r="C47" s="20">
        <v>25.819564804479498</v>
      </c>
      <c r="D47" s="20">
        <v>150.0009162522328</v>
      </c>
      <c r="E47" s="20">
        <v>45.288671945385566</v>
      </c>
      <c r="F47" s="20">
        <v>46.998277920818666</v>
      </c>
      <c r="G47" s="20">
        <v>46.628331887633998</v>
      </c>
      <c r="H47" s="20">
        <v>46.632755211144698</v>
      </c>
      <c r="I47" s="20">
        <v>27.338029349035473</v>
      </c>
      <c r="J47" s="20">
        <v>32.250627502457839</v>
      </c>
      <c r="K47" s="20">
        <v>20.641803916783449</v>
      </c>
      <c r="L47" s="20">
        <v>28.950719187296642</v>
      </c>
      <c r="M47" s="20">
        <v>29.354121341925946</v>
      </c>
      <c r="N47" s="20">
        <v>32.427812874040001</v>
      </c>
      <c r="O47" s="20">
        <v>47.911398528510141</v>
      </c>
      <c r="P47" s="20">
        <v>32.687773285614803</v>
      </c>
      <c r="Q47" s="20">
        <v>64.235389542806303</v>
      </c>
      <c r="R47" s="20">
        <v>57.209624975317617</v>
      </c>
      <c r="S47" s="20">
        <v>31.100302175426325</v>
      </c>
      <c r="T47" s="20">
        <v>19.992728617909115</v>
      </c>
      <c r="U47" s="20">
        <v>23.652099034568675</v>
      </c>
      <c r="V47" s="20">
        <v>72.362867382735288</v>
      </c>
      <c r="W47" s="20">
        <v>87.226151755519936</v>
      </c>
    </row>
    <row r="48" spans="1:23" x14ac:dyDescent="0.25">
      <c r="A48" t="s">
        <v>259</v>
      </c>
      <c r="C48" s="20">
        <v>36.29444146639068</v>
      </c>
      <c r="D48" s="20">
        <v>94.986384209202924</v>
      </c>
      <c r="E48" s="20">
        <v>60.876342134853246</v>
      </c>
      <c r="F48" s="20">
        <v>34.669563310068845</v>
      </c>
      <c r="G48" s="20">
        <v>44.004497089754572</v>
      </c>
      <c r="H48" s="20">
        <v>76.579836566652133</v>
      </c>
      <c r="I48" s="20">
        <v>21.948452974129705</v>
      </c>
      <c r="J48" s="20">
        <v>32.803535324407129</v>
      </c>
      <c r="K48" s="20">
        <v>22.748497002326083</v>
      </c>
      <c r="L48" s="20">
        <v>34.509092193525738</v>
      </c>
      <c r="M48" s="20">
        <v>27.075188439122115</v>
      </c>
      <c r="N48" s="20">
        <v>30.326708272327004</v>
      </c>
      <c r="O48" s="20">
        <v>45.666350974930367</v>
      </c>
      <c r="P48" s="20">
        <v>25.877453500508054</v>
      </c>
      <c r="Q48" s="20">
        <v>47.056802473225112</v>
      </c>
      <c r="R48" s="20">
        <v>44.731560572765325</v>
      </c>
      <c r="S48" s="20">
        <v>29.438024188282604</v>
      </c>
      <c r="T48" s="20">
        <v>19.396681828889747</v>
      </c>
      <c r="U48" s="20">
        <v>27.999204295562148</v>
      </c>
      <c r="V48" s="20">
        <v>47.962200914851401</v>
      </c>
      <c r="W48" s="20">
        <v>59.879061371841154</v>
      </c>
    </row>
    <row r="49" spans="1:23" x14ac:dyDescent="0.25">
      <c r="A49" t="s">
        <v>260</v>
      </c>
      <c r="C49" s="20">
        <v>25.81211543235024</v>
      </c>
      <c r="D49" s="20">
        <v>184.26778650938246</v>
      </c>
      <c r="E49" s="20">
        <v>49.110475007237085</v>
      </c>
      <c r="F49" s="20">
        <v>17.714450960618787</v>
      </c>
      <c r="G49" s="20">
        <v>45.168118946244803</v>
      </c>
      <c r="H49" s="20">
        <v>59.313591383860548</v>
      </c>
      <c r="I49" s="20">
        <v>27.662775399208581</v>
      </c>
      <c r="J49" s="20">
        <v>34.921931683448847</v>
      </c>
      <c r="K49" s="20">
        <v>36.07429506329693</v>
      </c>
      <c r="L49" s="20">
        <v>27.878925408012616</v>
      </c>
      <c r="M49" s="20">
        <v>27.909424415355677</v>
      </c>
      <c r="N49" s="20">
        <v>31.876032737243126</v>
      </c>
      <c r="O49" s="20">
        <v>49.118785144501082</v>
      </c>
      <c r="P49" s="20">
        <v>27.119994103386599</v>
      </c>
      <c r="Q49" s="20">
        <v>56.242520684947465</v>
      </c>
      <c r="R49" s="20">
        <v>41.553402515212198</v>
      </c>
      <c r="S49" s="20">
        <v>29.188305705130126</v>
      </c>
      <c r="T49" s="20">
        <v>20.626938955090971</v>
      </c>
      <c r="U49" s="20">
        <v>26.180540150910595</v>
      </c>
      <c r="V49" s="20">
        <v>73.857757649179604</v>
      </c>
      <c r="W49" s="20">
        <v>79.065758311647187</v>
      </c>
    </row>
    <row r="50" spans="1:23" x14ac:dyDescent="0.25">
      <c r="A50" t="s">
        <v>261</v>
      </c>
      <c r="C50" s="20">
        <v>29.444267788744497</v>
      </c>
      <c r="D50" s="20">
        <v>146.33698845030094</v>
      </c>
      <c r="E50" s="20">
        <v>58.168459152386369</v>
      </c>
      <c r="F50" s="20">
        <v>27.482278379307612</v>
      </c>
      <c r="G50" s="20">
        <v>48.296778113414874</v>
      </c>
      <c r="H50" s="20">
        <v>52.756914724105769</v>
      </c>
      <c r="I50" s="20">
        <v>31.155029763574035</v>
      </c>
      <c r="J50" s="20">
        <v>35.422053469258316</v>
      </c>
      <c r="K50" s="20">
        <v>36.021242068094658</v>
      </c>
      <c r="L50" s="20">
        <v>29.637424115670608</v>
      </c>
      <c r="M50" s="20">
        <v>29.61257625386931</v>
      </c>
      <c r="N50" s="20">
        <v>31.237457327451125</v>
      </c>
      <c r="O50" s="20">
        <v>49.136316232127818</v>
      </c>
      <c r="P50" s="20">
        <v>28.048706517032524</v>
      </c>
      <c r="Q50" s="20">
        <v>58.888145085624338</v>
      </c>
      <c r="R50" s="20">
        <v>59.971758416975703</v>
      </c>
      <c r="S50" s="20">
        <v>33.134513765170311</v>
      </c>
      <c r="T50" s="20">
        <v>20.785127262184727</v>
      </c>
      <c r="U50" s="20">
        <v>27.809452383144958</v>
      </c>
      <c r="V50" s="20">
        <v>75.081846414901534</v>
      </c>
      <c r="W50" s="20">
        <v>94.577997866657739</v>
      </c>
    </row>
    <row r="51" spans="1:23" x14ac:dyDescent="0.25">
      <c r="A51" t="s">
        <v>60</v>
      </c>
      <c r="C51" s="20">
        <v>24.319657150788878</v>
      </c>
      <c r="D51" s="20">
        <v>203.3487485157919</v>
      </c>
      <c r="E51" s="20">
        <v>119.91559260928344</v>
      </c>
      <c r="F51" s="20">
        <v>31.217051549669449</v>
      </c>
      <c r="G51" s="20">
        <v>44.428941274421163</v>
      </c>
      <c r="H51" s="20">
        <v>53.844561755028458</v>
      </c>
      <c r="I51" s="20">
        <v>29.026591185213437</v>
      </c>
      <c r="J51" s="20">
        <v>36.726699300483666</v>
      </c>
      <c r="K51" s="20">
        <v>17.038086701210034</v>
      </c>
      <c r="L51" s="20">
        <v>32.615350998146013</v>
      </c>
      <c r="M51" s="20">
        <v>24.436694361706135</v>
      </c>
      <c r="N51" s="20">
        <v>30.807683098568514</v>
      </c>
      <c r="O51" s="20">
        <v>48.021494401352307</v>
      </c>
      <c r="P51" s="20">
        <v>23.289065347375011</v>
      </c>
      <c r="Q51" s="20">
        <v>66.385140064196079</v>
      </c>
      <c r="R51" s="20">
        <v>48.692709820054283</v>
      </c>
      <c r="S51" s="20">
        <v>44.491374541166593</v>
      </c>
      <c r="T51" s="20">
        <v>23.300823808657107</v>
      </c>
      <c r="U51" s="20">
        <v>46.046086956521734</v>
      </c>
      <c r="V51" s="20">
        <v>73.280402149223121</v>
      </c>
      <c r="W51" s="20">
        <v>130.26356725146198</v>
      </c>
    </row>
    <row r="52" spans="1:23" x14ac:dyDescent="0.25">
      <c r="A52" t="s">
        <v>20</v>
      </c>
      <c r="C52" s="20">
        <v>27.14795189034065</v>
      </c>
      <c r="D52" s="20">
        <v>185.9079118829253</v>
      </c>
      <c r="E52" s="20">
        <v>92.183255957808711</v>
      </c>
      <c r="F52" s="20">
        <v>39.47856435559374</v>
      </c>
      <c r="G52" s="20">
        <v>64.048552986871172</v>
      </c>
      <c r="H52" s="20">
        <v>42.310975016018155</v>
      </c>
      <c r="I52" s="20">
        <v>29.080593740383012</v>
      </c>
      <c r="J52" s="20">
        <v>34.824665092518096</v>
      </c>
      <c r="K52" s="20">
        <v>25.235044931294841</v>
      </c>
      <c r="L52" s="20">
        <v>24.409542169905656</v>
      </c>
      <c r="M52" s="20">
        <v>23.410559319027826</v>
      </c>
      <c r="N52" s="20">
        <v>22.557589255078948</v>
      </c>
      <c r="O52" s="20">
        <v>43.775321100917445</v>
      </c>
      <c r="P52" s="20">
        <v>24.923551767468346</v>
      </c>
      <c r="Q52" s="20">
        <v>59.391245864001611</v>
      </c>
      <c r="R52" s="20">
        <v>58.748526147010708</v>
      </c>
      <c r="S52" s="20">
        <v>30.351403348828963</v>
      </c>
      <c r="T52" s="20">
        <v>22.471417219310641</v>
      </c>
      <c r="U52" s="20">
        <v>20.776878773804</v>
      </c>
      <c r="V52" s="20">
        <v>61.383785946798064</v>
      </c>
      <c r="W52" s="20">
        <v>66.893262555279236</v>
      </c>
    </row>
    <row r="53" spans="1:23" x14ac:dyDescent="0.25">
      <c r="A53" t="s">
        <v>262</v>
      </c>
      <c r="C53" s="20">
        <v>26.451744000000001</v>
      </c>
      <c r="D53" s="20">
        <v>107.0749019607843</v>
      </c>
      <c r="E53" s="20">
        <v>48.268466494845363</v>
      </c>
      <c r="F53" s="20">
        <v>55.951053257122041</v>
      </c>
      <c r="G53" s="20">
        <v>45.403892448893018</v>
      </c>
      <c r="H53" s="20">
        <v>64.594236453201972</v>
      </c>
      <c r="I53" s="20">
        <v>30.331701015911861</v>
      </c>
      <c r="J53" s="20">
        <v>33.227456322039458</v>
      </c>
      <c r="K53" s="20">
        <v>6.9928651738522811</v>
      </c>
      <c r="L53" s="20">
        <v>26.830837127168596</v>
      </c>
      <c r="M53" s="20">
        <v>28.745498419576677</v>
      </c>
      <c r="N53" s="20">
        <v>22.829286687226606</v>
      </c>
      <c r="O53" s="20">
        <v>45.18</v>
      </c>
      <c r="P53" s="20">
        <v>20.774382236133309</v>
      </c>
      <c r="Q53" s="20">
        <v>50.217601246105922</v>
      </c>
      <c r="R53" s="20">
        <v>57.825004633920294</v>
      </c>
      <c r="S53" s="20">
        <v>30.098936170212767</v>
      </c>
      <c r="T53" s="20">
        <v>21.924382355957164</v>
      </c>
      <c r="U53" s="20">
        <v>25.94821428571429</v>
      </c>
      <c r="V53" s="20">
        <v>66.464156769596201</v>
      </c>
      <c r="W53" s="20">
        <v>94.481616363009607</v>
      </c>
    </row>
    <row r="54" spans="1:23" x14ac:dyDescent="0.25">
      <c r="A54" t="s">
        <v>263</v>
      </c>
      <c r="C54" s="20">
        <v>33.125224707046556</v>
      </c>
      <c r="D54" s="20">
        <v>150.73874992313</v>
      </c>
      <c r="E54" s="20">
        <v>60.202622846724815</v>
      </c>
      <c r="F54" s="20">
        <v>20.656326362159472</v>
      </c>
      <c r="G54" s="20">
        <v>46.494694725744203</v>
      </c>
      <c r="H54" s="20">
        <v>60.62716368117669</v>
      </c>
      <c r="I54" s="20">
        <v>21.786266589788557</v>
      </c>
      <c r="J54" s="20">
        <v>29.228171502413694</v>
      </c>
      <c r="K54" s="20">
        <v>28.521109834818471</v>
      </c>
      <c r="L54" s="20">
        <v>25.899659600285396</v>
      </c>
      <c r="M54" s="20">
        <v>26.304863906815225</v>
      </c>
      <c r="N54" s="20">
        <v>22.741024719944598</v>
      </c>
      <c r="O54" s="20">
        <v>47.62131769584574</v>
      </c>
      <c r="P54" s="20">
        <v>25.354107420350942</v>
      </c>
      <c r="Q54" s="20">
        <v>56.747400789290559</v>
      </c>
      <c r="R54" s="20">
        <v>42.452893542137467</v>
      </c>
      <c r="S54" s="20">
        <v>33.316363908598383</v>
      </c>
      <c r="T54" s="20">
        <v>21.575243222687508</v>
      </c>
      <c r="U54" s="20">
        <v>26.173527328222118</v>
      </c>
      <c r="V54" s="20">
        <v>48.242393499315845</v>
      </c>
      <c r="W54" s="20">
        <v>92.342769820916047</v>
      </c>
    </row>
    <row r="55" spans="1:23" x14ac:dyDescent="0.25">
      <c r="A55" t="s">
        <v>36</v>
      </c>
      <c r="C55" s="20">
        <v>33.36713905587105</v>
      </c>
      <c r="D55" s="20">
        <v>295.32865750101092</v>
      </c>
      <c r="E55" s="20">
        <v>148.72490252069122</v>
      </c>
      <c r="F55" s="20">
        <v>46.546286645889808</v>
      </c>
      <c r="G55" s="20">
        <v>48.886588417650451</v>
      </c>
      <c r="H55" s="20">
        <v>46.165575075689276</v>
      </c>
      <c r="I55" s="20">
        <v>36.395950538857214</v>
      </c>
      <c r="J55" s="20">
        <v>35.407199945506143</v>
      </c>
      <c r="K55" s="20">
        <v>26.945677196033749</v>
      </c>
      <c r="L55" s="20">
        <v>30.628679620219955</v>
      </c>
      <c r="M55" s="20">
        <v>27.235279278233751</v>
      </c>
      <c r="N55" s="20">
        <v>43.192569781463511</v>
      </c>
      <c r="O55" s="20">
        <v>50.1492</v>
      </c>
      <c r="P55" s="20">
        <v>27.486724531272461</v>
      </c>
      <c r="Q55" s="20">
        <v>58.958668723303283</v>
      </c>
      <c r="R55" s="20">
        <v>61.103600592778349</v>
      </c>
      <c r="S55" s="20">
        <v>32.329089642359499</v>
      </c>
      <c r="T55" s="20">
        <v>19.726079423780998</v>
      </c>
      <c r="U55" s="20">
        <v>22.145078485687904</v>
      </c>
      <c r="V55" s="20">
        <v>107.62884594064892</v>
      </c>
      <c r="W55" s="20">
        <v>98.20480662983428</v>
      </c>
    </row>
    <row r="56" spans="1:23" x14ac:dyDescent="0.25">
      <c r="A56" t="s">
        <v>71</v>
      </c>
      <c r="C56" s="20">
        <v>27.290477292965271</v>
      </c>
      <c r="D56" s="20">
        <v>197.25280274986773</v>
      </c>
      <c r="E56" s="20">
        <v>47.695495446513519</v>
      </c>
      <c r="F56" s="20">
        <v>28.587035161575411</v>
      </c>
      <c r="G56" s="20">
        <v>49.854641694462863</v>
      </c>
      <c r="H56" s="20">
        <v>65.31747090420771</v>
      </c>
      <c r="I56" s="20">
        <v>29.055172469249044</v>
      </c>
      <c r="J56" s="20">
        <v>39.530245815859338</v>
      </c>
      <c r="K56" s="20">
        <v>42.894643830271242</v>
      </c>
      <c r="L56" s="20">
        <v>35.306889647117615</v>
      </c>
      <c r="M56" s="20">
        <v>29.296462577644057</v>
      </c>
      <c r="N56" s="20">
        <v>33.02600469724787</v>
      </c>
      <c r="O56" s="20">
        <v>47.16756097560976</v>
      </c>
      <c r="P56" s="20">
        <v>32.324856546583874</v>
      </c>
      <c r="Q56" s="20">
        <v>56.08238033280832</v>
      </c>
      <c r="R56" s="20">
        <v>51.951725135073424</v>
      </c>
      <c r="S56" s="20">
        <v>34.512553173459878</v>
      </c>
      <c r="T56" s="20">
        <v>21.264003613187665</v>
      </c>
      <c r="U56" s="20">
        <v>26.989913793103451</v>
      </c>
      <c r="V56" s="20">
        <v>82.286821604688384</v>
      </c>
      <c r="W56" s="20">
        <v>110.29876916701204</v>
      </c>
    </row>
    <row r="57" spans="1:23" x14ac:dyDescent="0.25">
      <c r="A57" t="s">
        <v>11</v>
      </c>
      <c r="C57" s="20">
        <v>32.447207348864183</v>
      </c>
      <c r="D57" s="20">
        <v>172.32329575329447</v>
      </c>
      <c r="E57" s="20">
        <v>53.287473860663567</v>
      </c>
      <c r="F57" s="20">
        <v>31.450999525980432</v>
      </c>
      <c r="G57" s="20">
        <v>57.584471808033101</v>
      </c>
      <c r="H57" s="20">
        <v>48.518178930643366</v>
      </c>
      <c r="I57" s="20">
        <v>32.989786586563994</v>
      </c>
      <c r="J57" s="20">
        <v>27.425707211642251</v>
      </c>
      <c r="K57" s="20">
        <v>25.991884660598771</v>
      </c>
      <c r="L57" s="20">
        <v>28.882134586795893</v>
      </c>
      <c r="M57" s="20">
        <v>23.679698673382191</v>
      </c>
      <c r="N57" s="20">
        <v>31.612434289126849</v>
      </c>
      <c r="O57" s="20">
        <v>53.009068037292572</v>
      </c>
      <c r="P57" s="20">
        <v>31.089379045100163</v>
      </c>
      <c r="Q57" s="20">
        <v>44.560966804838763</v>
      </c>
      <c r="R57" s="20">
        <v>52.34770380353654</v>
      </c>
      <c r="S57" s="20">
        <v>43.920250706151002</v>
      </c>
      <c r="T57" s="20">
        <v>20.883825966340229</v>
      </c>
      <c r="U57" s="20">
        <v>24.910979618671917</v>
      </c>
      <c r="V57" s="20">
        <v>76.609668642362465</v>
      </c>
      <c r="W57" s="20">
        <v>97.881321239267521</v>
      </c>
    </row>
    <row r="58" spans="1:23" x14ac:dyDescent="0.25">
      <c r="A58" t="s">
        <v>264</v>
      </c>
      <c r="C58" s="20">
        <v>24.320147475982299</v>
      </c>
      <c r="D58" s="20">
        <v>113.62111760548999</v>
      </c>
      <c r="E58" s="20">
        <v>46.988661859447944</v>
      </c>
      <c r="F58" s="20">
        <v>31.809901371950662</v>
      </c>
      <c r="G58" s="20">
        <v>42.282223983673646</v>
      </c>
      <c r="H58" s="20">
        <v>42.060383366739131</v>
      </c>
      <c r="I58" s="20">
        <v>27.103344404797429</v>
      </c>
      <c r="J58" s="20">
        <v>34.716368360800189</v>
      </c>
      <c r="K58" s="20">
        <v>26.930546473372669</v>
      </c>
      <c r="L58" s="20">
        <v>28.96429739539812</v>
      </c>
      <c r="M58" s="20">
        <v>27.562281086585234</v>
      </c>
      <c r="N58" s="20">
        <v>27.478266817012045</v>
      </c>
      <c r="O58" s="20">
        <v>45.408198614318707</v>
      </c>
      <c r="P58" s="20">
        <v>27.305672870890124</v>
      </c>
      <c r="Q58" s="20">
        <v>68.659463413034217</v>
      </c>
      <c r="R58" s="20">
        <v>53.653644464187721</v>
      </c>
      <c r="S58" s="20">
        <v>35.599242026960923</v>
      </c>
      <c r="T58" s="20">
        <v>20.909321523441978</v>
      </c>
      <c r="U58" s="20">
        <v>27.699415924396749</v>
      </c>
      <c r="V58" s="20">
        <v>86.185085869099069</v>
      </c>
      <c r="W58" s="20">
        <v>154.0597575757576</v>
      </c>
    </row>
    <row r="59" spans="1:23" x14ac:dyDescent="0.25">
      <c r="A59" t="s">
        <v>265</v>
      </c>
      <c r="C59" s="20">
        <v>31.969417469760778</v>
      </c>
      <c r="D59" s="20">
        <v>200.52750038043632</v>
      </c>
      <c r="E59" s="20">
        <v>58.443055632641233</v>
      </c>
      <c r="F59" s="20">
        <v>30.902972158213501</v>
      </c>
      <c r="G59" s="20">
        <v>40.074554472812345</v>
      </c>
      <c r="H59" s="20">
        <v>48.441905850543932</v>
      </c>
      <c r="I59" s="20">
        <v>34.469863926537073</v>
      </c>
      <c r="J59" s="20">
        <v>30.739930750758159</v>
      </c>
      <c r="K59" s="20">
        <v>32.814586142334996</v>
      </c>
      <c r="L59" s="20">
        <v>32.591843186282013</v>
      </c>
      <c r="M59" s="20">
        <v>28.235422373665951</v>
      </c>
      <c r="N59" s="20">
        <v>31.390769252864054</v>
      </c>
      <c r="O59" s="20">
        <v>54.649013975155299</v>
      </c>
      <c r="P59" s="20">
        <v>31.799703816584906</v>
      </c>
      <c r="Q59" s="20">
        <v>52.193607322820341</v>
      </c>
      <c r="R59" s="20">
        <v>44.789056828060204</v>
      </c>
      <c r="S59" s="20">
        <v>33.267339053797272</v>
      </c>
      <c r="T59" s="20">
        <v>18.57797430918648</v>
      </c>
      <c r="U59" s="20">
        <v>27.181846175293824</v>
      </c>
      <c r="V59" s="20">
        <v>62.202435078671982</v>
      </c>
      <c r="W59" s="20">
        <v>74.100888401815169</v>
      </c>
    </row>
    <row r="60" spans="1:23" x14ac:dyDescent="0.25">
      <c r="A60" t="s">
        <v>9</v>
      </c>
      <c r="C60" s="20">
        <v>29.97775833446104</v>
      </c>
      <c r="D60" s="20">
        <v>98.013639165788362</v>
      </c>
      <c r="E60" s="20">
        <v>53.761155120455705</v>
      </c>
      <c r="F60" s="20">
        <v>41.42630136321241</v>
      </c>
      <c r="G60" s="20">
        <v>51.395068477308932</v>
      </c>
      <c r="H60" s="20">
        <v>39.026169239128016</v>
      </c>
      <c r="I60" s="20">
        <v>24.896187401156464</v>
      </c>
      <c r="J60" s="20">
        <v>35.891720992273868</v>
      </c>
      <c r="K60" s="20">
        <v>19.498857499442206</v>
      </c>
      <c r="L60" s="20">
        <v>30.764160764742748</v>
      </c>
      <c r="M60" s="20">
        <v>26.157935914391977</v>
      </c>
      <c r="N60" s="20">
        <v>24.221814123852948</v>
      </c>
      <c r="O60" s="20">
        <v>46.967930912936176</v>
      </c>
      <c r="P60" s="20">
        <v>28.835172456961555</v>
      </c>
      <c r="Q60" s="20">
        <v>53.545264822041823</v>
      </c>
      <c r="R60" s="20">
        <v>54.302916677037594</v>
      </c>
      <c r="S60" s="20">
        <v>32.397765729758227</v>
      </c>
      <c r="T60" s="20">
        <v>19.829384941184191</v>
      </c>
      <c r="U60" s="20">
        <v>34.043924703839679</v>
      </c>
      <c r="V60" s="20">
        <v>79.434325306661933</v>
      </c>
      <c r="W60" s="20">
        <v>104.81048390516979</v>
      </c>
    </row>
    <row r="61" spans="1:23" x14ac:dyDescent="0.25">
      <c r="A61" t="s">
        <v>38</v>
      </c>
      <c r="C61" s="20">
        <v>26.556170963500374</v>
      </c>
      <c r="D61" s="20">
        <v>273.71021783412442</v>
      </c>
      <c r="E61" s="20">
        <v>49.435269938116186</v>
      </c>
      <c r="F61" s="20">
        <v>38.472576914228256</v>
      </c>
      <c r="G61" s="20">
        <v>46.91731090852538</v>
      </c>
      <c r="H61" s="20">
        <v>55.991699435587996</v>
      </c>
      <c r="I61" s="20">
        <v>37.033238677845659</v>
      </c>
      <c r="J61" s="20">
        <v>35.228975607749994</v>
      </c>
      <c r="K61" s="20">
        <v>25.082298879668425</v>
      </c>
      <c r="L61" s="20">
        <v>31.612145723540603</v>
      </c>
      <c r="M61" s="20">
        <v>29.21793358474039</v>
      </c>
      <c r="N61" s="20">
        <v>32.533065660686958</v>
      </c>
      <c r="O61" s="20">
        <v>40.997031431897547</v>
      </c>
      <c r="P61" s="20">
        <v>27.618422375043924</v>
      </c>
      <c r="Q61" s="20">
        <v>62.804205855674105</v>
      </c>
      <c r="R61" s="20">
        <v>50.634526215790565</v>
      </c>
      <c r="S61" s="20">
        <v>32.044454825241395</v>
      </c>
      <c r="T61" s="20">
        <v>21.021210572715404</v>
      </c>
      <c r="U61" s="20">
        <v>23.710098825506403</v>
      </c>
      <c r="V61" s="20">
        <v>86.088907172238777</v>
      </c>
      <c r="W61" s="20">
        <v>147.21032756641185</v>
      </c>
    </row>
    <row r="62" spans="1:23" x14ac:dyDescent="0.25">
      <c r="C62" s="25">
        <f>AVERAGE(C34:C61)</f>
        <v>29.064071335798992</v>
      </c>
      <c r="D62" s="25">
        <f t="shared" ref="D62:W62" si="0">AVERAGE(D34:D61)</f>
        <v>167.84644052394768</v>
      </c>
      <c r="E62" s="25">
        <f t="shared" si="0"/>
        <v>63.375272562734494</v>
      </c>
      <c r="F62" s="25">
        <f t="shared" si="0"/>
        <v>33.802841566171914</v>
      </c>
      <c r="G62" s="25">
        <f t="shared" si="0"/>
        <v>47.392336973731496</v>
      </c>
      <c r="H62" s="25">
        <f t="shared" si="0"/>
        <v>52.816701871924671</v>
      </c>
      <c r="I62" s="25">
        <f t="shared" si="0"/>
        <v>28.500957604556913</v>
      </c>
      <c r="J62" s="25">
        <f t="shared" si="0"/>
        <v>34.439858720314184</v>
      </c>
      <c r="K62" s="25">
        <f t="shared" si="0"/>
        <v>25.867294725614034</v>
      </c>
      <c r="L62" s="25">
        <f t="shared" si="0"/>
        <v>30.330549680713997</v>
      </c>
      <c r="M62" s="25">
        <f t="shared" si="0"/>
        <v>27.856822563027613</v>
      </c>
      <c r="N62" s="25">
        <f t="shared" si="0"/>
        <v>30.439276824995627</v>
      </c>
      <c r="O62" s="25">
        <f t="shared" si="0"/>
        <v>48.650730880875969</v>
      </c>
      <c r="P62" s="25">
        <f t="shared" si="0"/>
        <v>27.767073271963746</v>
      </c>
      <c r="Q62" s="25">
        <f t="shared" si="0"/>
        <v>57.09569172573287</v>
      </c>
      <c r="R62" s="25">
        <f t="shared" si="0"/>
        <v>52.537481330665301</v>
      </c>
      <c r="S62" s="25">
        <f t="shared" si="0"/>
        <v>32.698125890661174</v>
      </c>
      <c r="T62" s="25">
        <f t="shared" si="0"/>
        <v>20.692795408149916</v>
      </c>
      <c r="U62" s="25">
        <f t="shared" si="0"/>
        <v>27.906529341768714</v>
      </c>
      <c r="V62" s="25">
        <f t="shared" si="0"/>
        <v>70.562390310970159</v>
      </c>
      <c r="W62" s="25">
        <f t="shared" si="0"/>
        <v>98.872669452500574</v>
      </c>
    </row>
    <row r="63" spans="1:23" x14ac:dyDescent="0.25">
      <c r="A63" t="s">
        <v>502</v>
      </c>
    </row>
    <row r="64" spans="1:23" ht="60" x14ac:dyDescent="0.25">
      <c r="A64" t="s">
        <v>256</v>
      </c>
      <c r="C64" s="21" t="s">
        <v>99</v>
      </c>
      <c r="D64" s="21" t="s">
        <v>103</v>
      </c>
      <c r="E64" s="21" t="s">
        <v>1399</v>
      </c>
      <c r="F64" s="21" t="s">
        <v>102</v>
      </c>
      <c r="G64" s="21" t="s">
        <v>100</v>
      </c>
      <c r="H64" s="21" t="s">
        <v>104</v>
      </c>
      <c r="I64" s="21" t="s">
        <v>98</v>
      </c>
      <c r="J64" s="21" t="s">
        <v>95</v>
      </c>
      <c r="K64" s="21" t="s">
        <v>96</v>
      </c>
      <c r="L64" s="21" t="s">
        <v>101</v>
      </c>
      <c r="M64" s="21" t="s">
        <v>97</v>
      </c>
      <c r="N64" s="21" t="s">
        <v>93</v>
      </c>
      <c r="O64" s="21" t="s">
        <v>105</v>
      </c>
      <c r="P64" s="21" t="s">
        <v>92</v>
      </c>
      <c r="Q64" s="21" t="s">
        <v>91</v>
      </c>
      <c r="R64" s="21" t="s">
        <v>90</v>
      </c>
      <c r="S64" s="21" t="s">
        <v>89</v>
      </c>
      <c r="T64" s="21" t="s">
        <v>94</v>
      </c>
      <c r="U64" s="21" t="s">
        <v>86</v>
      </c>
      <c r="V64" s="21" t="s">
        <v>88</v>
      </c>
      <c r="W64" s="21" t="s">
        <v>87</v>
      </c>
    </row>
    <row r="65" spans="1:23" x14ac:dyDescent="0.25">
      <c r="A65" t="s">
        <v>14</v>
      </c>
      <c r="C65">
        <v>1.1011821012366145</v>
      </c>
      <c r="D65">
        <v>6.5370492056464524</v>
      </c>
      <c r="E65">
        <v>2.7948891271002565</v>
      </c>
      <c r="F65">
        <v>1.4151745868793211</v>
      </c>
      <c r="G65">
        <v>2.8332859649718478</v>
      </c>
      <c r="H65">
        <v>1.7358480268450658</v>
      </c>
      <c r="I65">
        <v>1.1021081908716659</v>
      </c>
      <c r="J65">
        <v>2.7892446445961587</v>
      </c>
      <c r="K65">
        <v>4.5554471992937815</v>
      </c>
      <c r="L65">
        <v>0.88129230880244191</v>
      </c>
      <c r="M65">
        <v>1.2296828694790076</v>
      </c>
      <c r="N65">
        <v>1.7464048734900879</v>
      </c>
      <c r="O65">
        <v>4.4813982399564463</v>
      </c>
      <c r="P65">
        <v>0.86597540840959319</v>
      </c>
      <c r="Q65">
        <v>2.8608980716788932</v>
      </c>
      <c r="R65">
        <v>2.3493168434890279</v>
      </c>
      <c r="S65">
        <v>2.4740727831348623</v>
      </c>
      <c r="T65">
        <v>0.91503320098670782</v>
      </c>
      <c r="U65">
        <v>1.7447738070587109</v>
      </c>
      <c r="V65">
        <v>5.3501707154198002</v>
      </c>
      <c r="W65">
        <v>6.3528257975063234</v>
      </c>
    </row>
    <row r="66" spans="1:23" x14ac:dyDescent="0.25">
      <c r="A66" t="s">
        <v>62</v>
      </c>
      <c r="C66">
        <v>1.0064370993597906</v>
      </c>
      <c r="D66">
        <v>6.469742597172929</v>
      </c>
      <c r="E66">
        <v>2.8770285831378768</v>
      </c>
      <c r="F66">
        <v>1.4057033279149229</v>
      </c>
      <c r="G66">
        <v>2.5933324123244348</v>
      </c>
      <c r="H66">
        <v>1.7161463247528661</v>
      </c>
      <c r="I66">
        <v>1.1577497046654972</v>
      </c>
      <c r="J66">
        <v>2.771437988341253</v>
      </c>
      <c r="K66">
        <v>4.713760514667948</v>
      </c>
      <c r="L66">
        <v>0.7348795251773983</v>
      </c>
      <c r="M66">
        <v>0.99391915553412524</v>
      </c>
      <c r="N66">
        <v>1.3627543751529843</v>
      </c>
      <c r="O66">
        <v>4.7097134424351879</v>
      </c>
      <c r="P66">
        <v>0.78492793007852846</v>
      </c>
      <c r="Q66">
        <v>2.6774474900860681</v>
      </c>
      <c r="R66">
        <v>1.7362232177938337</v>
      </c>
      <c r="S66">
        <v>3.0423167386790757</v>
      </c>
      <c r="T66">
        <v>0.83819919842827317</v>
      </c>
      <c r="U66">
        <v>1.4684416365824307</v>
      </c>
      <c r="V66">
        <v>5.097153623872865</v>
      </c>
      <c r="W66">
        <v>7.4788910472494425</v>
      </c>
    </row>
    <row r="67" spans="1:23" x14ac:dyDescent="0.25">
      <c r="A67" t="s">
        <v>74</v>
      </c>
      <c r="C67">
        <v>1.3041498265989713</v>
      </c>
      <c r="D67">
        <v>5.5255962863811785</v>
      </c>
      <c r="E67">
        <v>3.1601430866809701</v>
      </c>
      <c r="F67">
        <v>1.0293287547245309</v>
      </c>
      <c r="G67">
        <v>3.0074828812572285</v>
      </c>
      <c r="H67">
        <v>2.4541326086578219</v>
      </c>
      <c r="I67">
        <v>1.4075021064870226</v>
      </c>
      <c r="J67">
        <v>2.6185386099171288</v>
      </c>
      <c r="K67">
        <v>5.3251674589929481</v>
      </c>
      <c r="L67">
        <v>1.116323187881386</v>
      </c>
      <c r="M67">
        <v>0.84270931525095882</v>
      </c>
      <c r="N67">
        <v>1.8377019057241546</v>
      </c>
      <c r="O67">
        <v>4.6666666666666679</v>
      </c>
      <c r="P67">
        <v>1.0859318420994435</v>
      </c>
      <c r="Q67">
        <v>3.4284434635307566</v>
      </c>
      <c r="R67">
        <v>2.3866646936313876</v>
      </c>
      <c r="S67">
        <v>3.0521437658143786</v>
      </c>
      <c r="T67">
        <v>1.2636159089729244</v>
      </c>
      <c r="U67">
        <v>3.3947192377710986</v>
      </c>
      <c r="V67">
        <v>7.4688649398519829</v>
      </c>
      <c r="W67">
        <v>9.83299822892082</v>
      </c>
    </row>
    <row r="68" spans="1:23" x14ac:dyDescent="0.25">
      <c r="A68" t="s">
        <v>34</v>
      </c>
      <c r="C68">
        <v>1.1392744142297102</v>
      </c>
      <c r="D68">
        <v>5.831686117496826</v>
      </c>
      <c r="E68">
        <v>2.8604144704456931</v>
      </c>
      <c r="F68">
        <v>1.3613507873211799</v>
      </c>
      <c r="G68">
        <v>2.6811397139121893</v>
      </c>
      <c r="H68">
        <v>2.0510707423737329</v>
      </c>
      <c r="I68">
        <v>1.268381990822282</v>
      </c>
      <c r="J68">
        <v>2.4621572354684269</v>
      </c>
      <c r="K68">
        <v>4.5857336471252035</v>
      </c>
      <c r="L68">
        <v>0.86914607052141601</v>
      </c>
      <c r="M68">
        <v>1.2154796172601032</v>
      </c>
      <c r="N68">
        <v>1.6878713067810225</v>
      </c>
      <c r="O68">
        <v>4.7158908301914337</v>
      </c>
      <c r="P68">
        <v>0.7955299635199653</v>
      </c>
      <c r="Q68">
        <v>2.9520672436986142</v>
      </c>
      <c r="R68">
        <v>2.1691772083032523</v>
      </c>
      <c r="S68">
        <v>2.9647749627166058</v>
      </c>
      <c r="T68">
        <v>1.0498288505885589</v>
      </c>
      <c r="U68">
        <v>2.0442697306315831</v>
      </c>
      <c r="V68">
        <v>5.8554585883735726</v>
      </c>
      <c r="W68">
        <v>6.3793517391555499</v>
      </c>
    </row>
    <row r="69" spans="1:23" x14ac:dyDescent="0.25">
      <c r="A69" t="s">
        <v>0</v>
      </c>
      <c r="C69">
        <v>0.91779406213011838</v>
      </c>
      <c r="D69">
        <v>2.838238449137469</v>
      </c>
      <c r="E69">
        <v>2.8829287162027195</v>
      </c>
      <c r="F69">
        <v>1.4201601593353261</v>
      </c>
      <c r="G69">
        <v>2.6080128476557851</v>
      </c>
      <c r="H69">
        <v>1.5928578563343809</v>
      </c>
      <c r="I69">
        <v>1.3008143990810532</v>
      </c>
      <c r="J69">
        <v>2.481324196189425</v>
      </c>
      <c r="K69">
        <v>3.0692044361190867</v>
      </c>
      <c r="L69">
        <v>0.64303101360139014</v>
      </c>
      <c r="M69">
        <v>0.93780426903230285</v>
      </c>
      <c r="N69">
        <v>1.2081889698930026</v>
      </c>
      <c r="O69">
        <v>4.5181078742783205</v>
      </c>
      <c r="P69">
        <v>0.78599754280847778</v>
      </c>
      <c r="Q69">
        <v>1.9391813563980442</v>
      </c>
      <c r="R69">
        <v>1.6220456406431891</v>
      </c>
      <c r="S69">
        <v>2.7232858116827776</v>
      </c>
      <c r="T69">
        <v>0.60759171360708941</v>
      </c>
      <c r="U69">
        <v>1.2139873526019114</v>
      </c>
      <c r="V69">
        <v>4.5783484050491579</v>
      </c>
      <c r="W69">
        <v>5.5714767110435544</v>
      </c>
    </row>
    <row r="70" spans="1:23" x14ac:dyDescent="0.25">
      <c r="A70" t="s">
        <v>69</v>
      </c>
      <c r="C70">
        <v>1.9080830647649087</v>
      </c>
      <c r="D70">
        <v>4.697275481995038</v>
      </c>
      <c r="E70">
        <v>3.1389398202556209</v>
      </c>
      <c r="F70">
        <v>1.2908085717771089</v>
      </c>
      <c r="G70">
        <v>3.16647679033185</v>
      </c>
      <c r="H70">
        <v>2.0975993593782287</v>
      </c>
      <c r="I70">
        <v>0.81874622491978077</v>
      </c>
      <c r="J70">
        <v>2.6616001999872423</v>
      </c>
      <c r="K70">
        <v>7.7703419454963445</v>
      </c>
      <c r="L70">
        <v>0.91803365788493996</v>
      </c>
      <c r="M70">
        <v>1.9020904021833811</v>
      </c>
      <c r="N70">
        <v>2.3827077136904391</v>
      </c>
      <c r="O70">
        <v>4.8463487472575393</v>
      </c>
      <c r="P70">
        <v>1.1448873349359636</v>
      </c>
      <c r="Q70">
        <v>3.55750997234738</v>
      </c>
      <c r="R70">
        <v>2.9988771901177076</v>
      </c>
      <c r="S70">
        <v>2.9094885662979739</v>
      </c>
      <c r="T70">
        <v>1.0246307472448746</v>
      </c>
      <c r="U70">
        <v>3.3505418573748709</v>
      </c>
      <c r="V70">
        <v>5.0976056590233014</v>
      </c>
      <c r="W70">
        <v>6.9904151487405271</v>
      </c>
    </row>
    <row r="71" spans="1:23" x14ac:dyDescent="0.25">
      <c r="A71" t="s">
        <v>4</v>
      </c>
      <c r="C71">
        <v>1.0163543878629258</v>
      </c>
      <c r="D71">
        <v>3.8973140287836006</v>
      </c>
      <c r="E71">
        <v>2.7934225028424886</v>
      </c>
      <c r="F71">
        <v>1.4074072603637591</v>
      </c>
      <c r="G71">
        <v>2.5244656448578993</v>
      </c>
      <c r="H71">
        <v>1.4613694544184392</v>
      </c>
      <c r="I71">
        <v>0.80979181654100174</v>
      </c>
      <c r="J71">
        <v>2.4867948915390725</v>
      </c>
      <c r="K71">
        <v>1.9981312039800025</v>
      </c>
      <c r="L71">
        <v>0.69836947717970255</v>
      </c>
      <c r="M71">
        <v>0.88670866200570775</v>
      </c>
      <c r="N71">
        <v>1.2859872127216003</v>
      </c>
      <c r="O71">
        <v>4.4142972801048641</v>
      </c>
      <c r="P71">
        <v>0.71369894381755816</v>
      </c>
      <c r="Q71">
        <v>3.386969803326024</v>
      </c>
      <c r="R71">
        <v>1.8712884830189158</v>
      </c>
      <c r="S71">
        <v>2.8297162886800429</v>
      </c>
      <c r="T71">
        <v>0.66672263764375672</v>
      </c>
      <c r="U71">
        <v>1.9072419930951272</v>
      </c>
      <c r="V71">
        <v>3.5108082811950787</v>
      </c>
      <c r="W71">
        <v>4.5716211466893899</v>
      </c>
    </row>
    <row r="72" spans="1:23" x14ac:dyDescent="0.25">
      <c r="A72" t="s">
        <v>35</v>
      </c>
      <c r="C72">
        <v>1.2577317324243862</v>
      </c>
      <c r="D72">
        <v>3.1617016318746334</v>
      </c>
      <c r="E72">
        <v>3.0179448258498978</v>
      </c>
      <c r="F72">
        <v>1.3026013220027219</v>
      </c>
      <c r="G72">
        <v>2.5251319093530089</v>
      </c>
      <c r="H72">
        <v>1.1571790912767803</v>
      </c>
      <c r="I72">
        <v>1.2469073426304333</v>
      </c>
      <c r="J72">
        <v>2.2064238686247277</v>
      </c>
      <c r="K72">
        <v>7.7733927434754939</v>
      </c>
      <c r="L72">
        <v>0.98105908759281224</v>
      </c>
      <c r="M72">
        <v>0.91034351405119829</v>
      </c>
      <c r="N72">
        <v>1.7264016056181504</v>
      </c>
      <c r="O72">
        <v>4.2583629131174074</v>
      </c>
      <c r="P72">
        <v>0.62592589359122586</v>
      </c>
      <c r="Q72">
        <v>1.5317145050724859</v>
      </c>
      <c r="R72">
        <v>1.6991190171188433</v>
      </c>
      <c r="S72">
        <v>2.6063103153158877</v>
      </c>
      <c r="T72">
        <v>1.0204225959367648</v>
      </c>
      <c r="U72">
        <v>2.956661045531197</v>
      </c>
      <c r="V72">
        <v>2.7361405832915304</v>
      </c>
      <c r="W72">
        <v>20.219482120838471</v>
      </c>
    </row>
    <row r="73" spans="1:23" x14ac:dyDescent="0.25">
      <c r="A73" t="s">
        <v>6</v>
      </c>
      <c r="C73">
        <v>0.97833356819002371</v>
      </c>
      <c r="D73">
        <v>6.0341325832781658</v>
      </c>
      <c r="E73">
        <v>2.6264041205663617</v>
      </c>
      <c r="F73">
        <v>1.2537949640962014</v>
      </c>
      <c r="G73">
        <v>2.6870112169337514</v>
      </c>
      <c r="H73">
        <v>1.7729724139572836</v>
      </c>
      <c r="I73">
        <v>1.0163600727566742</v>
      </c>
      <c r="J73">
        <v>2.4130002980680825</v>
      </c>
      <c r="K73">
        <v>4.3936437266543908</v>
      </c>
      <c r="L73">
        <v>0.83051109178169558</v>
      </c>
      <c r="M73">
        <v>1.2055771422773593</v>
      </c>
      <c r="N73">
        <v>1.5525040223738784</v>
      </c>
      <c r="O73">
        <v>3.6989816911434086</v>
      </c>
      <c r="P73">
        <v>0.79987435858719591</v>
      </c>
      <c r="Q73">
        <v>2.8844965180965429</v>
      </c>
      <c r="R73">
        <v>2.2730836495307711</v>
      </c>
      <c r="S73">
        <v>2.311885593815588</v>
      </c>
      <c r="T73">
        <v>0.87535279403783783</v>
      </c>
      <c r="U73">
        <v>1.4988160065565295</v>
      </c>
      <c r="V73">
        <v>5.6639346928671275</v>
      </c>
      <c r="W73">
        <v>4.8921664768697424</v>
      </c>
    </row>
    <row r="74" spans="1:23" x14ac:dyDescent="0.25">
      <c r="A74" t="s">
        <v>257</v>
      </c>
      <c r="C74">
        <v>1.7114184026797281</v>
      </c>
      <c r="D74">
        <v>5.3276106885644339</v>
      </c>
      <c r="E74">
        <v>2.9372901737894921</v>
      </c>
      <c r="F74">
        <v>0.75136618964248514</v>
      </c>
      <c r="G74">
        <v>2.7892312900440479</v>
      </c>
      <c r="H74">
        <v>2.7195064907789588</v>
      </c>
      <c r="I74">
        <v>1.3852850986695266</v>
      </c>
      <c r="J74">
        <v>2.9403678290679487</v>
      </c>
      <c r="K74">
        <v>5.1527240099940244</v>
      </c>
      <c r="L74">
        <v>0.94395408675881931</v>
      </c>
      <c r="M74">
        <v>1.7112375658708479</v>
      </c>
      <c r="N74">
        <v>2.0449899616852023</v>
      </c>
      <c r="O74">
        <v>5.127211941355915</v>
      </c>
      <c r="P74">
        <v>1.0828460505485604</v>
      </c>
      <c r="Q74">
        <v>2.7474904930529895</v>
      </c>
      <c r="R74">
        <v>2.2907296553542635</v>
      </c>
      <c r="S74">
        <v>2.7534034008925508</v>
      </c>
      <c r="T74">
        <v>1.0915037632938436</v>
      </c>
      <c r="U74">
        <v>1.9229054669549024</v>
      </c>
      <c r="V74">
        <v>5.0938925281421437</v>
      </c>
      <c r="W74">
        <v>5.1270816659976024</v>
      </c>
    </row>
    <row r="75" spans="1:23" x14ac:dyDescent="0.25">
      <c r="A75" t="s">
        <v>15</v>
      </c>
      <c r="C75">
        <v>1.2043823475257549</v>
      </c>
      <c r="D75">
        <v>6.9975000923643993</v>
      </c>
      <c r="E75">
        <v>3.3420372773652818</v>
      </c>
      <c r="F75">
        <v>1.1104348442984178</v>
      </c>
      <c r="G75">
        <v>3.209307509772986</v>
      </c>
      <c r="H75">
        <v>1.7413889899517279</v>
      </c>
      <c r="I75">
        <v>1.3695508397930802</v>
      </c>
      <c r="J75">
        <v>2.7502076245739668</v>
      </c>
      <c r="K75">
        <v>5.2702787387629124</v>
      </c>
      <c r="L75">
        <v>0.92693693012113065</v>
      </c>
      <c r="M75">
        <v>1.3041123385583424</v>
      </c>
      <c r="N75">
        <v>1.7180995804893888</v>
      </c>
      <c r="O75">
        <v>4.8005805019634638</v>
      </c>
      <c r="P75">
        <v>1.0078559731067349</v>
      </c>
      <c r="Q75">
        <v>2.7758007638816116</v>
      </c>
      <c r="R75">
        <v>1.8925489933300523</v>
      </c>
      <c r="S75">
        <v>2.9353183847792166</v>
      </c>
      <c r="T75">
        <v>1.0325678988357467</v>
      </c>
      <c r="U75">
        <v>1.8156893022427909</v>
      </c>
      <c r="V75">
        <v>6.1952644589485528</v>
      </c>
      <c r="W75">
        <v>2.9965169185084215</v>
      </c>
    </row>
    <row r="76" spans="1:23" x14ac:dyDescent="0.25">
      <c r="A76" t="s">
        <v>45</v>
      </c>
      <c r="C76">
        <v>1.2172473753365107</v>
      </c>
      <c r="D76">
        <v>6.8177928628887567</v>
      </c>
      <c r="E76">
        <v>3.0636742532897325</v>
      </c>
      <c r="F76">
        <v>0.5922911068537472</v>
      </c>
      <c r="G76">
        <v>2.6204945940124742</v>
      </c>
      <c r="H76">
        <v>2.400956232503288</v>
      </c>
      <c r="I76">
        <v>0.91101247580478406</v>
      </c>
      <c r="J76">
        <v>2.6933838891534689</v>
      </c>
      <c r="K76">
        <v>4.6304097599673124</v>
      </c>
      <c r="L76">
        <v>1.3451823930178739</v>
      </c>
      <c r="M76">
        <v>2.0412532168878763</v>
      </c>
      <c r="N76">
        <v>2.7890083570065176</v>
      </c>
      <c r="O76">
        <v>4.5044870577811524</v>
      </c>
      <c r="P76">
        <v>0.83751959283267918</v>
      </c>
      <c r="Q76">
        <v>4.1122724750282558</v>
      </c>
      <c r="R76">
        <v>2.8031607810114529</v>
      </c>
      <c r="S76">
        <v>2.9385337798000588</v>
      </c>
      <c r="T76">
        <v>0.98309424122441169</v>
      </c>
      <c r="U76">
        <v>2.08412213740458</v>
      </c>
      <c r="V76">
        <v>5.5313659215662305</v>
      </c>
      <c r="W76">
        <v>4.5117085714285716</v>
      </c>
    </row>
    <row r="77" spans="1:23" x14ac:dyDescent="0.25">
      <c r="A77" t="s">
        <v>258</v>
      </c>
      <c r="C77">
        <v>1.5145647264721671</v>
      </c>
      <c r="D77">
        <v>5.2770073324378348</v>
      </c>
      <c r="E77">
        <v>2.687124898872459</v>
      </c>
      <c r="F77">
        <v>1.0527132835267383</v>
      </c>
      <c r="G77">
        <v>2.6932527455628077</v>
      </c>
      <c r="H77">
        <v>1.9367272254091537</v>
      </c>
      <c r="I77">
        <v>1.1753533816913644</v>
      </c>
      <c r="J77">
        <v>3.7849729483010037</v>
      </c>
      <c r="K77">
        <v>7.0099142446025144</v>
      </c>
      <c r="L77">
        <v>0.84124240126076943</v>
      </c>
      <c r="M77">
        <v>1.6786000239358669</v>
      </c>
      <c r="N77">
        <v>1.2912068174920324</v>
      </c>
      <c r="O77">
        <v>4.942030669144982</v>
      </c>
      <c r="P77">
        <v>0.89126300332602093</v>
      </c>
      <c r="Q77">
        <v>2.7811319725432599</v>
      </c>
      <c r="R77">
        <v>2.5141917635626574</v>
      </c>
      <c r="S77">
        <v>2.3545805951721701</v>
      </c>
      <c r="T77">
        <v>0.96004734593849161</v>
      </c>
      <c r="U77">
        <v>1.4450633416458851</v>
      </c>
      <c r="V77">
        <v>4.0317602874505702</v>
      </c>
      <c r="W77">
        <v>4.6621264367816098</v>
      </c>
    </row>
    <row r="78" spans="1:23" x14ac:dyDescent="0.25">
      <c r="A78" t="s">
        <v>48</v>
      </c>
      <c r="C78">
        <v>1.0641230787108857</v>
      </c>
      <c r="D78">
        <v>3.5676613880762589</v>
      </c>
      <c r="E78">
        <v>2.5991439998519335</v>
      </c>
      <c r="F78">
        <v>1.3131786030169983</v>
      </c>
      <c r="G78">
        <v>2.7463254041212952</v>
      </c>
      <c r="H78">
        <v>1.7824308133942595</v>
      </c>
      <c r="I78">
        <v>1.1634983027161843</v>
      </c>
      <c r="J78">
        <v>2.2713117453836156</v>
      </c>
      <c r="K78">
        <v>5.0922743718752619</v>
      </c>
      <c r="L78">
        <v>0.95692118613538146</v>
      </c>
      <c r="M78">
        <v>1.2020578073414054</v>
      </c>
      <c r="N78">
        <v>1.734727664249395</v>
      </c>
      <c r="O78">
        <v>4.1901648772841664</v>
      </c>
      <c r="P78">
        <v>0.97841517430557012</v>
      </c>
      <c r="Q78">
        <v>3.7225128391593238</v>
      </c>
      <c r="R78">
        <v>2.3736751585101503</v>
      </c>
      <c r="S78">
        <v>2.8553323201375194</v>
      </c>
      <c r="T78">
        <v>0.72632325636274597</v>
      </c>
      <c r="U78">
        <v>1.7296566849584309</v>
      </c>
      <c r="V78">
        <v>5.1848394099849884</v>
      </c>
      <c r="W78">
        <v>8.0323586866958365</v>
      </c>
    </row>
    <row r="79" spans="1:23" x14ac:dyDescent="0.25">
      <c r="A79" t="s">
        <v>259</v>
      </c>
      <c r="C79">
        <v>1.8429310918730915</v>
      </c>
      <c r="D79">
        <v>5.1638587837619871</v>
      </c>
      <c r="E79">
        <v>3.0544695559956394</v>
      </c>
      <c r="F79">
        <v>1.6489444760788412</v>
      </c>
      <c r="G79">
        <v>2.7388841284607657</v>
      </c>
      <c r="H79">
        <v>2.7248060976283224</v>
      </c>
      <c r="I79">
        <v>1.1116397563224176</v>
      </c>
      <c r="J79">
        <v>3.0207272814594535</v>
      </c>
      <c r="K79">
        <v>5.381071714334654</v>
      </c>
      <c r="L79">
        <v>0.97972169531684117</v>
      </c>
      <c r="M79">
        <v>1.8312573896930084</v>
      </c>
      <c r="N79">
        <v>1.8696429688497298</v>
      </c>
      <c r="O79">
        <v>4.9991522839543832</v>
      </c>
      <c r="P79">
        <v>1.0651062175991639</v>
      </c>
      <c r="Q79">
        <v>3.0063376714986063</v>
      </c>
      <c r="R79">
        <v>2.8826158193463431</v>
      </c>
      <c r="S79">
        <v>2.7476295494778391</v>
      </c>
      <c r="T79">
        <v>0.97035315284884627</v>
      </c>
      <c r="U79">
        <v>1.9143268219910496</v>
      </c>
      <c r="V79">
        <v>4.6230937988583198</v>
      </c>
      <c r="W79">
        <v>4.3712412306362429</v>
      </c>
    </row>
    <row r="80" spans="1:23" x14ac:dyDescent="0.25">
      <c r="A80" t="s">
        <v>260</v>
      </c>
      <c r="C80">
        <v>1.115572364412418</v>
      </c>
      <c r="D80">
        <v>6.719175304849542</v>
      </c>
      <c r="E80">
        <v>3.1385112343834969</v>
      </c>
      <c r="F80">
        <v>0.80732926727525511</v>
      </c>
      <c r="G80">
        <v>2.6804173297471263</v>
      </c>
      <c r="H80">
        <v>2.2781291700932744</v>
      </c>
      <c r="I80">
        <v>1.2252517466195256</v>
      </c>
      <c r="J80">
        <v>2.6480284068351514</v>
      </c>
      <c r="K80">
        <v>5.1519516307344206</v>
      </c>
      <c r="L80">
        <v>0.78735016426077464</v>
      </c>
      <c r="M80">
        <v>1.4748218896040417</v>
      </c>
      <c r="N80">
        <v>1.8237987012880965</v>
      </c>
      <c r="O80">
        <v>4.645471908668525</v>
      </c>
      <c r="P80">
        <v>0.83923859276199919</v>
      </c>
      <c r="Q80">
        <v>2.7136972831473249</v>
      </c>
      <c r="R80">
        <v>2.3172823095058055</v>
      </c>
      <c r="S80">
        <v>2.6243702436741176</v>
      </c>
      <c r="T80">
        <v>1.1686741955048594</v>
      </c>
      <c r="U80">
        <v>1.8396635665666485</v>
      </c>
      <c r="V80">
        <v>5.4288261517512337</v>
      </c>
      <c r="W80">
        <v>2.8975034870641907</v>
      </c>
    </row>
    <row r="81" spans="1:23" x14ac:dyDescent="0.25">
      <c r="A81" t="s">
        <v>261</v>
      </c>
      <c r="C81">
        <v>1.2233220733848114</v>
      </c>
      <c r="D81">
        <v>5.7994021851904813</v>
      </c>
      <c r="E81">
        <v>2.963710449233258</v>
      </c>
      <c r="F81">
        <v>0.9944838741260712</v>
      </c>
      <c r="G81">
        <v>2.8964940253859632</v>
      </c>
      <c r="H81">
        <v>2.0540328215042263</v>
      </c>
      <c r="I81">
        <v>1.2404461672684504</v>
      </c>
      <c r="J81">
        <v>2.725036798587368</v>
      </c>
      <c r="K81">
        <v>6.3330094511885084</v>
      </c>
      <c r="L81">
        <v>0.89090153310810105</v>
      </c>
      <c r="M81">
        <v>1.3102443941917017</v>
      </c>
      <c r="N81">
        <v>1.8734967774112981</v>
      </c>
      <c r="O81">
        <v>4.6773675222707647</v>
      </c>
      <c r="P81">
        <v>0.85361497628588379</v>
      </c>
      <c r="Q81">
        <v>3.0802914229741019</v>
      </c>
      <c r="R81">
        <v>2.2174786981467705</v>
      </c>
      <c r="S81">
        <v>2.9108915488241602</v>
      </c>
      <c r="T81">
        <v>1.0168718711926215</v>
      </c>
      <c r="U81">
        <v>2.0278426047912248</v>
      </c>
      <c r="V81">
        <v>5.7776900855121935</v>
      </c>
      <c r="W81">
        <v>5.3941529955175316</v>
      </c>
    </row>
    <row r="82" spans="1:23" x14ac:dyDescent="0.25">
      <c r="A82" t="s">
        <v>60</v>
      </c>
      <c r="C82">
        <v>1.2781493313118493</v>
      </c>
      <c r="D82">
        <v>4.5652802414737135</v>
      </c>
      <c r="E82">
        <v>2.6826581405332024</v>
      </c>
      <c r="F82">
        <v>1.1990174877740889</v>
      </c>
      <c r="G82">
        <v>2.9243763204214601</v>
      </c>
      <c r="H82">
        <v>2.7057974500841957</v>
      </c>
      <c r="I82">
        <v>1.2077762900842479</v>
      </c>
      <c r="J82">
        <v>2.6092679505616556</v>
      </c>
      <c r="K82">
        <v>0.99061516485191181</v>
      </c>
      <c r="L82">
        <v>0.99145906446432774</v>
      </c>
      <c r="M82">
        <v>1.0584617122795996</v>
      </c>
      <c r="N82">
        <v>1.6885942682552295</v>
      </c>
      <c r="O82">
        <v>4.2583629131174074</v>
      </c>
      <c r="P82">
        <v>0.68530662285006128</v>
      </c>
      <c r="Q82">
        <v>1.9991549575734482</v>
      </c>
      <c r="R82">
        <v>1.1609797902819099</v>
      </c>
      <c r="S82">
        <v>3.8750394451233059</v>
      </c>
      <c r="T82">
        <v>1.4008976110790599</v>
      </c>
      <c r="U82">
        <v>2.8592332613390927</v>
      </c>
      <c r="V82">
        <v>6.2897958466687953</v>
      </c>
      <c r="W82">
        <v>6.5411311790003186</v>
      </c>
    </row>
    <row r="83" spans="1:23" x14ac:dyDescent="0.25">
      <c r="A83" t="s">
        <v>20</v>
      </c>
      <c r="C83">
        <v>0.96867832446086688</v>
      </c>
      <c r="D83">
        <v>4.4197441157427644</v>
      </c>
      <c r="E83">
        <v>2.5753181326971455</v>
      </c>
      <c r="F83">
        <v>1.3628833903092941</v>
      </c>
      <c r="G83">
        <v>2.1965587899783547</v>
      </c>
      <c r="H83">
        <v>1.5152491864158544</v>
      </c>
      <c r="I83">
        <v>1.08608946172045</v>
      </c>
      <c r="J83">
        <v>2.7107375664954647</v>
      </c>
      <c r="K83">
        <v>4.792729485278981</v>
      </c>
      <c r="L83">
        <v>0.63505536121314732</v>
      </c>
      <c r="M83">
        <v>0.94393776255432393</v>
      </c>
      <c r="N83">
        <v>0.92983576166720794</v>
      </c>
      <c r="O83">
        <v>4.3975024192433541</v>
      </c>
      <c r="P83">
        <v>0.7473158738802812</v>
      </c>
      <c r="Q83">
        <v>2.2772655120153344</v>
      </c>
      <c r="R83">
        <v>1.8582038364245705</v>
      </c>
      <c r="S83">
        <v>2.7319207224635482</v>
      </c>
      <c r="T83">
        <v>0.97442372868613469</v>
      </c>
      <c r="U83">
        <v>1.7697637762877416</v>
      </c>
      <c r="V83">
        <v>5.278594082523858</v>
      </c>
      <c r="W83">
        <v>5.590148578649762</v>
      </c>
    </row>
    <row r="84" spans="1:23" x14ac:dyDescent="0.25">
      <c r="A84" t="s">
        <v>262</v>
      </c>
      <c r="C84">
        <v>1.1816410549639054</v>
      </c>
      <c r="D84">
        <v>7.8045719920822645</v>
      </c>
      <c r="E84">
        <v>3.0130662119006058</v>
      </c>
      <c r="F84">
        <v>1.711792814629207</v>
      </c>
      <c r="G84">
        <v>2.7607609763632226</v>
      </c>
      <c r="H84">
        <v>3.1948673092479072</v>
      </c>
      <c r="I84">
        <v>1.0505898140375975</v>
      </c>
      <c r="J84">
        <v>2.7117158964283989</v>
      </c>
      <c r="K84">
        <v>0.59937854633882737</v>
      </c>
      <c r="L84">
        <v>0.73585535448570161</v>
      </c>
      <c r="M84">
        <v>1.3327084013214656</v>
      </c>
      <c r="N84">
        <v>1.6801295737104471</v>
      </c>
      <c r="O84">
        <v>4.7259414225941425</v>
      </c>
      <c r="P84">
        <v>0.59902437152894428</v>
      </c>
      <c r="Q84">
        <v>3.4984742864087783</v>
      </c>
      <c r="R84">
        <v>2.4678884313391221</v>
      </c>
      <c r="S84">
        <v>3.07699836867863</v>
      </c>
      <c r="T84">
        <v>1.2137896391675782</v>
      </c>
      <c r="U84">
        <v>1.8163750000000001</v>
      </c>
      <c r="V84">
        <v>6.6717715784453979</v>
      </c>
      <c r="W84">
        <v>4.6694990102161089</v>
      </c>
    </row>
    <row r="85" spans="1:23" x14ac:dyDescent="0.25">
      <c r="A85" t="s">
        <v>263</v>
      </c>
      <c r="C85">
        <v>1.4895125386486119</v>
      </c>
      <c r="D85">
        <v>5.3509326924673744</v>
      </c>
      <c r="E85">
        <v>2.4391041689358905</v>
      </c>
      <c r="F85">
        <v>0.92616227811166574</v>
      </c>
      <c r="G85">
        <v>2.8358839955005379</v>
      </c>
      <c r="H85">
        <v>2.2827016695441067</v>
      </c>
      <c r="I85">
        <v>1.1469333874933061</v>
      </c>
      <c r="J85">
        <v>2.9082741457308678</v>
      </c>
      <c r="K85">
        <v>5.7331293253854483</v>
      </c>
      <c r="L85">
        <v>0.82620483332593331</v>
      </c>
      <c r="M85">
        <v>1.717206692785844</v>
      </c>
      <c r="N85">
        <v>1.2164077501226449</v>
      </c>
      <c r="O85">
        <v>4.6174892112181993</v>
      </c>
      <c r="P85">
        <v>1.0655346476657792</v>
      </c>
      <c r="Q85">
        <v>2.5874110600828617</v>
      </c>
      <c r="R85">
        <v>2.1518333962480489</v>
      </c>
      <c r="S85">
        <v>2.6497342307273177</v>
      </c>
      <c r="T85">
        <v>1.1475773071468098</v>
      </c>
      <c r="U85">
        <v>1.9413094893294345</v>
      </c>
      <c r="V85">
        <v>3.7533647141715791</v>
      </c>
      <c r="W85">
        <v>6.2760463572298075</v>
      </c>
    </row>
    <row r="86" spans="1:23" x14ac:dyDescent="0.25">
      <c r="A86" t="s">
        <v>36</v>
      </c>
      <c r="C86">
        <v>1.4902275444923803</v>
      </c>
      <c r="D86">
        <v>5.6775043314083717</v>
      </c>
      <c r="E86">
        <v>3.8844410950393429</v>
      </c>
      <c r="F86">
        <v>1.4403012071078904</v>
      </c>
      <c r="G86">
        <v>3.2597758798646166</v>
      </c>
      <c r="H86">
        <v>1.6411535468717728</v>
      </c>
      <c r="I86">
        <v>1.475841886439742</v>
      </c>
      <c r="J86">
        <v>2.7257525861612719</v>
      </c>
      <c r="K86">
        <v>5.9665656536310898</v>
      </c>
      <c r="L86">
        <v>0.87639322624488647</v>
      </c>
      <c r="M86">
        <v>0.73921323316474286</v>
      </c>
      <c r="N86">
        <v>1.9905220024661685</v>
      </c>
      <c r="O86">
        <v>4.7406571799493307</v>
      </c>
      <c r="P86">
        <v>0.81290674635292415</v>
      </c>
      <c r="Q86">
        <v>2.7992941706945063</v>
      </c>
      <c r="R86">
        <v>1.5574176132139792</v>
      </c>
      <c r="S86">
        <v>3.0478027254165383</v>
      </c>
      <c r="T86">
        <v>0.9583966920474184</v>
      </c>
      <c r="U86">
        <v>1.1485761519946129</v>
      </c>
      <c r="V86">
        <v>6.0681768673309211</v>
      </c>
      <c r="W86">
        <v>5.1884411036172127</v>
      </c>
    </row>
    <row r="87" spans="1:23" x14ac:dyDescent="0.25">
      <c r="A87" t="s">
        <v>71</v>
      </c>
      <c r="C87">
        <v>1.1014120275383141</v>
      </c>
      <c r="D87">
        <v>7.3128602159813214</v>
      </c>
      <c r="E87">
        <v>3.1918549015622122</v>
      </c>
      <c r="F87">
        <v>1.187883311786448</v>
      </c>
      <c r="G87">
        <v>3.0361911706352416</v>
      </c>
      <c r="H87">
        <v>2.7384107675359988</v>
      </c>
      <c r="I87">
        <v>1.2631647052852446</v>
      </c>
      <c r="J87">
        <v>2.8613122410827825</v>
      </c>
      <c r="K87">
        <v>6.4268297511319536</v>
      </c>
      <c r="L87">
        <v>1.0485082672810351</v>
      </c>
      <c r="M87">
        <v>1.3091216514153523</v>
      </c>
      <c r="N87">
        <v>2.2003220674120012</v>
      </c>
      <c r="O87">
        <v>4.6329116956542578</v>
      </c>
      <c r="P87">
        <v>0.97093116967894133</v>
      </c>
      <c r="Q87">
        <v>2.9226726921773509</v>
      </c>
      <c r="R87">
        <v>2.4606824501475777</v>
      </c>
      <c r="S87">
        <v>2.899214922061681</v>
      </c>
      <c r="T87">
        <v>1.259763627714372</v>
      </c>
      <c r="U87">
        <v>1.9032401215805475</v>
      </c>
      <c r="V87">
        <v>6.2859190084643046</v>
      </c>
      <c r="W87">
        <v>4.3138062225241987</v>
      </c>
    </row>
    <row r="88" spans="1:23" x14ac:dyDescent="0.25">
      <c r="A88" t="s">
        <v>11</v>
      </c>
      <c r="C88">
        <v>1.5263508412198488</v>
      </c>
      <c r="D88">
        <v>7.4731206101815051</v>
      </c>
      <c r="E88">
        <v>3.1415453695873548</v>
      </c>
      <c r="F88">
        <v>1.1673753271010905</v>
      </c>
      <c r="G88">
        <v>2.432174848007258</v>
      </c>
      <c r="H88">
        <v>1.8042564472728719</v>
      </c>
      <c r="I88">
        <v>1.348032728953577</v>
      </c>
      <c r="J88">
        <v>1.5507042075886901</v>
      </c>
      <c r="K88">
        <v>4.6950493567840352</v>
      </c>
      <c r="L88">
        <v>0.79853589633129252</v>
      </c>
      <c r="M88">
        <v>0.80868501853601016</v>
      </c>
      <c r="N88">
        <v>1.6564367488248017</v>
      </c>
      <c r="O88">
        <v>4.5784969148606089</v>
      </c>
      <c r="P88">
        <v>1.0274246267691747</v>
      </c>
      <c r="Q88">
        <v>3.2480798098507742</v>
      </c>
      <c r="R88">
        <v>2.40714792095324</v>
      </c>
      <c r="S88">
        <v>2.8605711965138862</v>
      </c>
      <c r="T88">
        <v>1.1580002603176007</v>
      </c>
      <c r="U88">
        <v>1.6727337914870104</v>
      </c>
      <c r="V88">
        <v>6.1313627886825639</v>
      </c>
      <c r="W88">
        <v>4.0959724683058196</v>
      </c>
    </row>
    <row r="89" spans="1:23" x14ac:dyDescent="0.25">
      <c r="A89" t="s">
        <v>264</v>
      </c>
      <c r="C89">
        <v>0.95578076144283564</v>
      </c>
      <c r="D89">
        <v>6.915084906582714</v>
      </c>
      <c r="E89">
        <v>2.844375840028817</v>
      </c>
      <c r="F89">
        <v>1.3132133766299412</v>
      </c>
      <c r="G89">
        <v>2.6330107641035045</v>
      </c>
      <c r="H89">
        <v>1.2190476015925806</v>
      </c>
      <c r="I89">
        <v>1.090159259642457</v>
      </c>
      <c r="J89">
        <v>2.7564400250191632</v>
      </c>
      <c r="K89">
        <v>4.301347069528723</v>
      </c>
      <c r="L89">
        <v>0.77849657816347828</v>
      </c>
      <c r="M89">
        <v>1.1578376799354539</v>
      </c>
      <c r="N89">
        <v>1.5709173319747753</v>
      </c>
      <c r="O89">
        <v>4.3832261775249233</v>
      </c>
      <c r="P89">
        <v>0.89522612398525014</v>
      </c>
      <c r="Q89">
        <v>3.078676378735139</v>
      </c>
      <c r="R89">
        <v>2.3605791638229645</v>
      </c>
      <c r="S89">
        <v>2.9522611860595602</v>
      </c>
      <c r="T89">
        <v>1.1849190431364542</v>
      </c>
      <c r="U89">
        <v>1.68072590738423</v>
      </c>
      <c r="V89">
        <v>6.8075215286388406</v>
      </c>
      <c r="W89">
        <v>7.8675819312169137</v>
      </c>
    </row>
    <row r="90" spans="1:23" x14ac:dyDescent="0.25">
      <c r="A90" t="s">
        <v>265</v>
      </c>
      <c r="C90">
        <v>2.1512510591195371</v>
      </c>
      <c r="D90">
        <v>5.3644369450906852</v>
      </c>
      <c r="E90">
        <v>4.069752220698355</v>
      </c>
      <c r="F90">
        <v>1.1958227596594775</v>
      </c>
      <c r="G90">
        <v>3.9901350922372054</v>
      </c>
      <c r="H90">
        <v>2.4435715029202569</v>
      </c>
      <c r="I90">
        <v>1.6936525369679678</v>
      </c>
      <c r="J90">
        <v>3.2279305073559241</v>
      </c>
      <c r="K90">
        <v>7.2869784986492858</v>
      </c>
      <c r="L90">
        <v>0.97570073235422861</v>
      </c>
      <c r="M90">
        <v>1.5283941531608187</v>
      </c>
      <c r="N90">
        <v>2.1679534143120835</v>
      </c>
      <c r="O90">
        <v>4.8409955453828326</v>
      </c>
      <c r="P90">
        <v>1.0268857142032017</v>
      </c>
      <c r="Q90">
        <v>3.9334885195877836</v>
      </c>
      <c r="R90">
        <v>1.9121840474687253</v>
      </c>
      <c r="S90">
        <v>3.3695114467915275</v>
      </c>
      <c r="T90">
        <v>1.8359004527686256</v>
      </c>
      <c r="U90">
        <v>2.3867998590432076</v>
      </c>
      <c r="V90">
        <v>4.8178378644649582</v>
      </c>
      <c r="W90">
        <v>4.8000210280147275</v>
      </c>
    </row>
    <row r="91" spans="1:23" x14ac:dyDescent="0.25">
      <c r="A91" t="s">
        <v>9</v>
      </c>
      <c r="C91">
        <v>1.2271581615463141</v>
      </c>
      <c r="D91">
        <v>4.4475604774553386</v>
      </c>
      <c r="E91">
        <v>3.4982470485905779</v>
      </c>
      <c r="F91">
        <v>1.2944323285462451</v>
      </c>
      <c r="G91">
        <v>2.5727521773383755</v>
      </c>
      <c r="H91">
        <v>1.3085059061803039</v>
      </c>
      <c r="I91">
        <v>1.1582141128718588</v>
      </c>
      <c r="J91">
        <v>2.214342427134429</v>
      </c>
      <c r="K91">
        <v>5.9842153973771284</v>
      </c>
      <c r="L91">
        <v>1.0278356253800192</v>
      </c>
      <c r="M91">
        <v>1.3025910289882914</v>
      </c>
      <c r="N91">
        <v>1.2088187840851259</v>
      </c>
      <c r="O91">
        <v>3.1080995595646672</v>
      </c>
      <c r="P91">
        <v>0.88815187661603223</v>
      </c>
      <c r="Q91">
        <v>3.2616374759098083</v>
      </c>
      <c r="R91">
        <v>2.5056586334597672</v>
      </c>
      <c r="S91">
        <v>2.7155844991284956</v>
      </c>
      <c r="T91">
        <v>0.67155348413928317</v>
      </c>
      <c r="U91">
        <v>2.9305394850917779</v>
      </c>
      <c r="V91">
        <v>6.6894789180532221</v>
      </c>
      <c r="W91">
        <v>3.7517990620253348</v>
      </c>
    </row>
    <row r="92" spans="1:23" x14ac:dyDescent="0.25">
      <c r="A92" t="s">
        <v>38</v>
      </c>
      <c r="C92">
        <v>1.0458050664611112</v>
      </c>
      <c r="D92">
        <v>7.4674756520095613</v>
      </c>
      <c r="E92">
        <v>3.0501820829639361</v>
      </c>
      <c r="F92">
        <v>1.3398029257137118</v>
      </c>
      <c r="G92">
        <v>3.231608350228194</v>
      </c>
      <c r="H92">
        <v>1.8978470396032641</v>
      </c>
      <c r="I92">
        <v>1.4681184271941998</v>
      </c>
      <c r="J92">
        <v>2.8175639919044384</v>
      </c>
      <c r="K92">
        <v>2.8387918705835817</v>
      </c>
      <c r="L92">
        <v>0.94831059992405198</v>
      </c>
      <c r="M92">
        <v>1.2602103469226247</v>
      </c>
      <c r="N92">
        <v>1.7574094458902041</v>
      </c>
      <c r="O92">
        <v>2.5223051695278822</v>
      </c>
      <c r="P92">
        <v>0.87463446440794368</v>
      </c>
      <c r="Q92">
        <v>3.0374822399535155</v>
      </c>
      <c r="R92">
        <v>2.0453371293830012</v>
      </c>
      <c r="S92">
        <v>2.7889281617410298</v>
      </c>
      <c r="T92">
        <v>0.86467067811392617</v>
      </c>
      <c r="U92">
        <v>1.5417452676660306</v>
      </c>
      <c r="V92">
        <v>5.4476551547350658</v>
      </c>
      <c r="W92">
        <v>8.5947372959000585</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34">
    <tabColor rgb="FFFF0000"/>
  </sheetPr>
  <dimension ref="A1:F27"/>
  <sheetViews>
    <sheetView topLeftCell="A3" zoomScaleNormal="100" workbookViewId="0">
      <selection activeCell="C18" sqref="C18"/>
    </sheetView>
  </sheetViews>
  <sheetFormatPr defaultRowHeight="15" x14ac:dyDescent="0.25"/>
  <cols>
    <col min="1" max="1" width="2" customWidth="1"/>
    <col min="2" max="2" width="27.5703125" customWidth="1"/>
    <col min="3" max="3" width="22.85546875" style="83" bestFit="1" customWidth="1"/>
  </cols>
  <sheetData>
    <row r="1" spans="1:6" ht="15.75" thickBot="1" x14ac:dyDescent="0.3">
      <c r="A1" s="135"/>
      <c r="B1" s="135"/>
      <c r="C1" s="683"/>
      <c r="D1" s="135"/>
      <c r="E1" s="135"/>
      <c r="F1" s="135"/>
    </row>
    <row r="2" spans="1:6" ht="15.75" x14ac:dyDescent="0.25">
      <c r="A2" s="135"/>
      <c r="B2" s="1614" t="s">
        <v>1038</v>
      </c>
      <c r="C2" s="1615"/>
      <c r="D2" s="135"/>
      <c r="E2" s="135"/>
      <c r="F2" s="135"/>
    </row>
    <row r="3" spans="1:6" x14ac:dyDescent="0.25">
      <c r="A3" s="135"/>
      <c r="B3" s="627" t="s">
        <v>846</v>
      </c>
      <c r="C3" s="684" t="str">
        <f>IF(OR(Welcome!$D$8="PON Only",Welcome!$D$8="PON with Existing CIA",Welcome!$D$8="PON with New CIA"),"ALC PON "&amp;'MDA Worksheet'!$R$14,"ALCM "&amp;'MDA Worksheet'!$R$14)</f>
        <v>ALCM 0</v>
      </c>
      <c r="D3" s="135"/>
      <c r="E3" s="684"/>
      <c r="F3" s="135"/>
    </row>
    <row r="4" spans="1:6" x14ac:dyDescent="0.25">
      <c r="A4" s="135"/>
      <c r="B4" s="627" t="s">
        <v>849</v>
      </c>
      <c r="C4" s="685">
        <f>'Required Info to Submit'!$F$14</f>
        <v>0</v>
      </c>
      <c r="D4" s="135"/>
      <c r="E4" s="135"/>
      <c r="F4" s="135"/>
    </row>
    <row r="5" spans="1:6" x14ac:dyDescent="0.25">
      <c r="A5" s="135"/>
      <c r="B5" s="627" t="s">
        <v>850</v>
      </c>
      <c r="C5" s="684" t="s">
        <v>851</v>
      </c>
      <c r="D5" s="135"/>
      <c r="E5" s="135"/>
      <c r="F5" s="135"/>
    </row>
    <row r="6" spans="1:6" x14ac:dyDescent="0.25">
      <c r="A6" s="135"/>
      <c r="B6" s="1612" t="s">
        <v>854</v>
      </c>
      <c r="C6" s="1613"/>
      <c r="D6" s="135"/>
      <c r="E6" s="135"/>
      <c r="F6" s="135"/>
    </row>
    <row r="7" spans="1:6" x14ac:dyDescent="0.25">
      <c r="A7" s="135"/>
      <c r="B7" s="627" t="s">
        <v>847</v>
      </c>
      <c r="C7" s="684" t="s">
        <v>1185</v>
      </c>
      <c r="D7" s="135"/>
      <c r="E7" s="135"/>
      <c r="F7" s="135"/>
    </row>
    <row r="8" spans="1:6" x14ac:dyDescent="0.25">
      <c r="A8" s="135"/>
      <c r="B8" s="627" t="s">
        <v>848</v>
      </c>
      <c r="C8" s="684" t="s">
        <v>653</v>
      </c>
      <c r="D8" s="135"/>
      <c r="E8" s="135"/>
      <c r="F8" s="135"/>
    </row>
    <row r="9" spans="1:6" x14ac:dyDescent="0.25">
      <c r="A9" s="135"/>
      <c r="B9" s="627" t="s">
        <v>852</v>
      </c>
      <c r="C9" s="684">
        <f>'MDA Worksheet'!$K$10</f>
        <v>0</v>
      </c>
      <c r="D9" s="135"/>
      <c r="E9" s="135"/>
      <c r="F9" s="135"/>
    </row>
    <row r="10" spans="1:6" x14ac:dyDescent="0.25">
      <c r="A10" s="135"/>
      <c r="B10" s="627" t="s">
        <v>770</v>
      </c>
      <c r="C10" s="685">
        <f>'Required Info to Submit'!$F$14</f>
        <v>0</v>
      </c>
      <c r="D10" s="135"/>
      <c r="E10" s="135"/>
      <c r="F10" s="135"/>
    </row>
    <row r="11" spans="1:6" x14ac:dyDescent="0.25">
      <c r="A11" s="135"/>
      <c r="B11" s="627" t="s">
        <v>771</v>
      </c>
      <c r="C11" s="685" t="e">
        <f>IF(C20="NO",C10+370,'MDA Worksheet'!$AV$24)</f>
        <v>#REF!</v>
      </c>
      <c r="D11" s="135"/>
      <c r="E11" s="135"/>
      <c r="F11" s="135"/>
    </row>
    <row r="12" spans="1:6" x14ac:dyDescent="0.25">
      <c r="A12" s="135"/>
      <c r="B12" s="627" t="s">
        <v>853</v>
      </c>
      <c r="C12" s="684" t="s">
        <v>679</v>
      </c>
      <c r="D12" s="135"/>
      <c r="E12" s="135"/>
      <c r="F12" s="135"/>
    </row>
    <row r="13" spans="1:6" x14ac:dyDescent="0.25">
      <c r="A13" s="135"/>
      <c r="B13" s="1612" t="s">
        <v>855</v>
      </c>
      <c r="C13" s="1613"/>
      <c r="D13" s="135"/>
      <c r="E13" s="135"/>
      <c r="F13" s="135"/>
    </row>
    <row r="14" spans="1:6" x14ac:dyDescent="0.25">
      <c r="A14" s="135"/>
      <c r="B14" s="686" t="s">
        <v>856</v>
      </c>
      <c r="C14" s="684">
        <f>'MDA Worksheet'!$AU$48</f>
        <v>2.25</v>
      </c>
      <c r="D14" s="135"/>
      <c r="E14" s="135"/>
      <c r="F14" s="135"/>
    </row>
    <row r="15" spans="1:6" x14ac:dyDescent="0.25">
      <c r="A15" s="135"/>
      <c r="B15" s="686" t="s">
        <v>857</v>
      </c>
      <c r="C15" s="684" t="s">
        <v>858</v>
      </c>
      <c r="D15" s="135"/>
      <c r="E15" s="135"/>
      <c r="F15" s="135"/>
    </row>
    <row r="16" spans="1:6" x14ac:dyDescent="0.25">
      <c r="A16" s="135"/>
      <c r="B16" s="686" t="s">
        <v>859</v>
      </c>
      <c r="C16" s="684" t="s">
        <v>664</v>
      </c>
      <c r="D16" s="135"/>
      <c r="E16" s="135"/>
      <c r="F16" s="135"/>
    </row>
    <row r="17" spans="1:6" x14ac:dyDescent="0.25">
      <c r="A17" s="135"/>
      <c r="B17" s="686" t="s">
        <v>860</v>
      </c>
      <c r="C17" s="684" t="s">
        <v>861</v>
      </c>
      <c r="D17" s="135"/>
      <c r="E17" s="135"/>
      <c r="F17" s="135"/>
    </row>
    <row r="18" spans="1:6" x14ac:dyDescent="0.25">
      <c r="A18" s="135"/>
      <c r="B18" s="686" t="s">
        <v>862</v>
      </c>
      <c r="C18" s="938">
        <f>'MDA Worksheet'!AU46</f>
        <v>0.3</v>
      </c>
      <c r="D18" s="135"/>
      <c r="E18" s="135"/>
      <c r="F18" s="135"/>
    </row>
    <row r="19" spans="1:6" x14ac:dyDescent="0.25">
      <c r="A19" s="135"/>
      <c r="B19" s="686" t="s">
        <v>863</v>
      </c>
      <c r="C19" s="684" t="s">
        <v>482</v>
      </c>
      <c r="D19" s="135"/>
      <c r="E19" s="135"/>
      <c r="F19" s="135"/>
    </row>
    <row r="20" spans="1:6" x14ac:dyDescent="0.25">
      <c r="A20" s="135"/>
      <c r="B20" s="686" t="s">
        <v>864</v>
      </c>
      <c r="C20" s="684" t="str">
        <f>IF(OR(Welcome!$D$8="PON Only",Welcome!$D$8="PON with New CIA",Welcome!$D$8="PON with Existing CIA"),"NO","YES")</f>
        <v>YES</v>
      </c>
      <c r="D20" s="135"/>
      <c r="E20" s="135"/>
      <c r="F20" s="135"/>
    </row>
    <row r="21" spans="1:6" x14ac:dyDescent="0.25">
      <c r="A21" s="135"/>
      <c r="B21" s="686" t="s">
        <v>865</v>
      </c>
      <c r="C21" s="684" t="str">
        <f>IF($C$20="No","","Semi-Annually")</f>
        <v>Semi-Annually</v>
      </c>
      <c r="D21" s="135"/>
      <c r="E21" s="135"/>
      <c r="F21" s="135"/>
    </row>
    <row r="22" spans="1:6" x14ac:dyDescent="0.25">
      <c r="A22" s="135"/>
      <c r="B22" s="686" t="s">
        <v>866</v>
      </c>
      <c r="C22" s="687" t="str">
        <f>'MDA Worksheet'!$T$38</f>
        <v>Error on A La Carte</v>
      </c>
      <c r="D22" s="135"/>
      <c r="E22" s="135"/>
      <c r="F22" s="135"/>
    </row>
    <row r="23" spans="1:6" x14ac:dyDescent="0.25">
      <c r="A23" s="135"/>
      <c r="B23" s="686" t="s">
        <v>867</v>
      </c>
      <c r="C23" s="688" t="str">
        <f>'MDA Worksheet'!$T$36</f>
        <v>Error on A La Carte</v>
      </c>
      <c r="D23" s="135"/>
      <c r="E23" s="135"/>
      <c r="F23" s="135"/>
    </row>
    <row r="24" spans="1:6" ht="15.75" thickBot="1" x14ac:dyDescent="0.3">
      <c r="A24" s="135"/>
      <c r="B24" s="689" t="s">
        <v>868</v>
      </c>
      <c r="C24" s="690">
        <v>2</v>
      </c>
      <c r="D24" s="135"/>
      <c r="E24" s="135"/>
      <c r="F24" s="135"/>
    </row>
    <row r="25" spans="1:6" x14ac:dyDescent="0.25">
      <c r="A25" s="135"/>
      <c r="B25" s="135"/>
      <c r="C25" s="683"/>
      <c r="D25" s="135"/>
      <c r="E25" s="135"/>
      <c r="F25" s="135"/>
    </row>
    <row r="26" spans="1:6" x14ac:dyDescent="0.25">
      <c r="A26" s="135"/>
      <c r="B26" s="135"/>
      <c r="C26" s="683"/>
      <c r="D26" s="135"/>
      <c r="E26" s="135"/>
      <c r="F26" s="135"/>
    </row>
    <row r="27" spans="1:6" x14ac:dyDescent="0.25">
      <c r="A27" s="135"/>
      <c r="B27" s="135"/>
      <c r="C27" s="683"/>
      <c r="D27" s="135"/>
      <c r="E27" s="135"/>
      <c r="F27" s="135"/>
    </row>
  </sheetData>
  <sheetProtection algorithmName="SHA-512" hashValue="VzULP5Hk76uPWacVaFVG7mbiPhSXvznSRbVECJK9jKFX715fT2zH1egqXPqkpiqjT4x1AS7tUpbV9/l2w4S6Ow==" saltValue="bmB7KujTxk81AuVCE7H/Bg==" spinCount="100000" sheet="1" objects="1" scenarios="1"/>
  <mergeCells count="3">
    <mergeCell ref="B6:C6"/>
    <mergeCell ref="B13:C13"/>
    <mergeCell ref="B2:C2"/>
  </mergeCells>
  <printOptions horizontalCentered="1"/>
  <pageMargins left="0.25" right="0.25" top="0.75" bottom="0.75" header="0.3" footer="0.3"/>
  <pageSetup fitToHeight="0" orientation="landscape" errors="dash" r:id="rId1"/>
  <headerFooter differentOddEven="1" differentFirst="1" scaleWithDoc="0">
    <oddHeader>&amp;C&amp;F&amp;R&amp;D</oddHeader>
    <oddFooter>&amp;CWelcome | US Foods Confidential&amp;LClassification: &amp;"Microsoft Sans Serif,Bold"&amp;KEA4335Restricted&amp;"Microsoft Sans Serif,Regular"&amp;K000000 Contains PII: &amp;"Microsoft Sans Serif,Bold"No</oddFooter>
    <evenHeader>&amp;C&amp;F&amp;R&amp;D</evenHeader>
    <evenFooter>&amp;CWelcome | US Foods Confidential&amp;LClassification: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C14CBE-211E-4BD4-AE53-6967058507E9}">
  <sheetPr codeName="Sheet4">
    <tabColor theme="1"/>
  </sheetPr>
  <dimension ref="A1:E63"/>
  <sheetViews>
    <sheetView workbookViewId="0">
      <selection activeCell="A59" sqref="A59"/>
    </sheetView>
  </sheetViews>
  <sheetFormatPr defaultRowHeight="15" x14ac:dyDescent="0.25"/>
  <cols>
    <col min="1" max="1" width="4.7109375" bestFit="1" customWidth="1"/>
    <col min="2" max="2" width="16.5703125" style="787" bestFit="1" customWidth="1"/>
    <col min="3" max="3" width="28" style="787" bestFit="1" customWidth="1"/>
    <col min="4" max="4" width="10.85546875" bestFit="1" customWidth="1"/>
    <col min="5" max="5" width="15.85546875" bestFit="1" customWidth="1"/>
  </cols>
  <sheetData>
    <row r="1" spans="1:5" x14ac:dyDescent="0.25">
      <c r="A1" s="787" t="s">
        <v>1169</v>
      </c>
      <c r="B1" s="787" t="s">
        <v>1172</v>
      </c>
      <c r="C1" s="787" t="s">
        <v>1173</v>
      </c>
      <c r="D1" s="22" t="s">
        <v>1170</v>
      </c>
      <c r="E1" s="22" t="s">
        <v>1171</v>
      </c>
    </row>
    <row r="2" spans="1:5" x14ac:dyDescent="0.25">
      <c r="A2" s="787" t="s">
        <v>192</v>
      </c>
      <c r="B2" s="787">
        <v>2020</v>
      </c>
      <c r="C2" s="787" t="s">
        <v>893</v>
      </c>
      <c r="D2" s="22">
        <v>2.7739631938930701E-2</v>
      </c>
      <c r="E2" s="22">
        <v>2.7125016276518699E-2</v>
      </c>
    </row>
    <row r="3" spans="1:5" x14ac:dyDescent="0.25">
      <c r="A3" s="787" t="s">
        <v>191</v>
      </c>
      <c r="B3" s="787">
        <v>2180</v>
      </c>
      <c r="C3" s="787" t="s">
        <v>79</v>
      </c>
      <c r="D3" s="22">
        <v>2.8536064274713099E-2</v>
      </c>
      <c r="E3" s="22">
        <v>2.7125016276518699E-2</v>
      </c>
    </row>
    <row r="4" spans="1:5" x14ac:dyDescent="0.25">
      <c r="A4" s="787" t="s">
        <v>190</v>
      </c>
      <c r="B4" s="787">
        <v>2160</v>
      </c>
      <c r="C4" s="787" t="s">
        <v>28</v>
      </c>
      <c r="D4" s="22">
        <v>3.1885529773458002E-2</v>
      </c>
      <c r="E4" s="22">
        <v>2.7125016276518699E-2</v>
      </c>
    </row>
    <row r="5" spans="1:5" x14ac:dyDescent="0.25">
      <c r="A5" s="787" t="s">
        <v>189</v>
      </c>
      <c r="B5" s="787">
        <v>2110</v>
      </c>
      <c r="C5" s="787" t="s">
        <v>33</v>
      </c>
      <c r="D5" s="22">
        <v>2.82674148233787E-2</v>
      </c>
      <c r="E5" s="22">
        <v>2.7125016276518699E-2</v>
      </c>
    </row>
    <row r="6" spans="1:5" x14ac:dyDescent="0.25">
      <c r="A6" s="787" t="s">
        <v>188</v>
      </c>
      <c r="B6" s="787">
        <v>2165</v>
      </c>
      <c r="C6" s="787" t="s">
        <v>81</v>
      </c>
      <c r="D6" s="22">
        <v>2.7125016276518699E-2</v>
      </c>
      <c r="E6" s="22">
        <v>2.7125016276518699E-2</v>
      </c>
    </row>
    <row r="7" spans="1:5" x14ac:dyDescent="0.25">
      <c r="A7" s="787" t="s">
        <v>187</v>
      </c>
      <c r="B7" s="787">
        <v>2170</v>
      </c>
      <c r="C7" s="787" t="s">
        <v>122</v>
      </c>
      <c r="D7" s="22">
        <v>2.59925926894349E-2</v>
      </c>
      <c r="E7" s="22">
        <v>2.7125016276518699E-2</v>
      </c>
    </row>
    <row r="8" spans="1:5" x14ac:dyDescent="0.25">
      <c r="A8" s="787" t="s">
        <v>186</v>
      </c>
      <c r="B8" s="787">
        <v>2148</v>
      </c>
      <c r="C8" s="787" t="s">
        <v>64</v>
      </c>
      <c r="D8" s="22">
        <v>2.6095112304206601E-2</v>
      </c>
      <c r="E8" s="22">
        <v>2.7125016276518699E-2</v>
      </c>
    </row>
    <row r="9" spans="1:5" x14ac:dyDescent="0.25">
      <c r="A9" s="787" t="s">
        <v>185</v>
      </c>
      <c r="B9" s="787">
        <v>2190</v>
      </c>
      <c r="C9" s="787" t="s">
        <v>19</v>
      </c>
      <c r="D9" s="22">
        <v>2.81140048372523E-2</v>
      </c>
      <c r="E9" s="22">
        <v>2.7125016276518699E-2</v>
      </c>
    </row>
    <row r="10" spans="1:5" x14ac:dyDescent="0.25">
      <c r="A10" s="787" t="s">
        <v>184</v>
      </c>
      <c r="B10" s="787">
        <v>2116</v>
      </c>
      <c r="C10" s="787" t="s">
        <v>59</v>
      </c>
      <c r="D10" s="22">
        <v>2.9944763320575302E-2</v>
      </c>
      <c r="E10" s="22">
        <v>2.7125016276518699E-2</v>
      </c>
    </row>
    <row r="11" spans="1:5" x14ac:dyDescent="0.25">
      <c r="A11" s="787" t="s">
        <v>183</v>
      </c>
      <c r="B11" s="787">
        <v>248</v>
      </c>
      <c r="C11" s="787" t="s">
        <v>1060</v>
      </c>
      <c r="D11" s="22">
        <v>2.6464657930859201E-2</v>
      </c>
      <c r="E11" s="22">
        <v>2.7125016276518699E-2</v>
      </c>
    </row>
    <row r="12" spans="1:5" x14ac:dyDescent="0.25">
      <c r="A12" s="787" t="s">
        <v>181</v>
      </c>
      <c r="B12" s="787">
        <v>2350</v>
      </c>
      <c r="C12" s="787" t="s">
        <v>39</v>
      </c>
      <c r="D12" s="22">
        <v>2.9415639585766401E-2</v>
      </c>
      <c r="E12" s="22">
        <v>2.7125016276518699E-2</v>
      </c>
    </row>
    <row r="13" spans="1:5" x14ac:dyDescent="0.25">
      <c r="A13" s="787" t="s">
        <v>180</v>
      </c>
      <c r="B13" s="787">
        <v>2345</v>
      </c>
      <c r="C13" s="787" t="s">
        <v>894</v>
      </c>
      <c r="D13" s="22">
        <v>2.6962706679612598E-2</v>
      </c>
      <c r="E13" s="22">
        <v>2.7125016276518699E-2</v>
      </c>
    </row>
    <row r="14" spans="1:5" x14ac:dyDescent="0.25">
      <c r="A14" s="787" t="s">
        <v>179</v>
      </c>
      <c r="B14" s="787">
        <v>2330</v>
      </c>
      <c r="C14" s="787" t="s">
        <v>31</v>
      </c>
      <c r="D14" s="22">
        <v>2.6792509343913602E-2</v>
      </c>
      <c r="E14" s="22">
        <v>2.7125016276518699E-2</v>
      </c>
    </row>
    <row r="15" spans="1:5" x14ac:dyDescent="0.25">
      <c r="A15" s="787" t="s">
        <v>178</v>
      </c>
      <c r="B15" s="787">
        <v>2340</v>
      </c>
      <c r="C15" s="787" t="s">
        <v>895</v>
      </c>
      <c r="D15" s="22">
        <v>2.53908115053765E-2</v>
      </c>
      <c r="E15" s="22">
        <v>2.7125016276518699E-2</v>
      </c>
    </row>
    <row r="16" spans="1:5" x14ac:dyDescent="0.25">
      <c r="A16" s="787" t="s">
        <v>177</v>
      </c>
      <c r="B16" s="787">
        <v>4100</v>
      </c>
      <c r="C16" s="787" t="s">
        <v>52</v>
      </c>
      <c r="D16" s="22">
        <v>2.9901342297929501E-2</v>
      </c>
      <c r="E16" s="22">
        <v>2.7125016276518699E-2</v>
      </c>
    </row>
    <row r="17" spans="1:5" x14ac:dyDescent="0.25">
      <c r="A17" s="787" t="s">
        <v>1074</v>
      </c>
      <c r="B17" s="787">
        <v>2355</v>
      </c>
      <c r="C17" s="787" t="s">
        <v>1075</v>
      </c>
      <c r="D17" s="22">
        <v>3.4605844000615303E-2</v>
      </c>
      <c r="E17" s="22">
        <v>2.7125016276518699E-2</v>
      </c>
    </row>
    <row r="18" spans="1:5" x14ac:dyDescent="0.25">
      <c r="A18" s="787" t="s">
        <v>176</v>
      </c>
      <c r="B18" s="787">
        <v>1054</v>
      </c>
      <c r="C18" s="787" t="s">
        <v>46</v>
      </c>
      <c r="D18" s="22">
        <v>2.8511953382644999E-2</v>
      </c>
      <c r="E18" s="22">
        <v>2.7125016276518699E-2</v>
      </c>
    </row>
    <row r="19" spans="1:5" x14ac:dyDescent="0.25">
      <c r="A19" s="787" t="s">
        <v>175</v>
      </c>
      <c r="B19" s="787">
        <v>1103</v>
      </c>
      <c r="C19" s="787" t="s">
        <v>22</v>
      </c>
      <c r="D19" s="22">
        <v>3.0860519002866901E-2</v>
      </c>
      <c r="E19" s="22">
        <v>2.7125016276518699E-2</v>
      </c>
    </row>
    <row r="20" spans="1:5" x14ac:dyDescent="0.25">
      <c r="A20" s="787" t="s">
        <v>174</v>
      </c>
      <c r="B20" s="787">
        <v>2099</v>
      </c>
      <c r="C20" s="787" t="s">
        <v>58</v>
      </c>
      <c r="D20" s="22">
        <v>2.5143112075853E-2</v>
      </c>
      <c r="E20" s="22">
        <v>2.7125016276518699E-2</v>
      </c>
    </row>
    <row r="21" spans="1:5" x14ac:dyDescent="0.25">
      <c r="A21" s="787" t="s">
        <v>173</v>
      </c>
      <c r="B21" s="787">
        <v>1104</v>
      </c>
      <c r="C21" s="787" t="s">
        <v>43</v>
      </c>
      <c r="D21" s="22">
        <v>2.9510551954597099E-2</v>
      </c>
      <c r="E21" s="22">
        <v>2.7125016276518699E-2</v>
      </c>
    </row>
    <row r="22" spans="1:5" x14ac:dyDescent="0.25">
      <c r="A22" s="787" t="s">
        <v>172</v>
      </c>
      <c r="B22" s="787">
        <v>4120</v>
      </c>
      <c r="C22" s="787" t="s">
        <v>63</v>
      </c>
      <c r="D22" s="22">
        <v>2.78821251138664E-2</v>
      </c>
      <c r="E22" s="22">
        <v>2.7125016276518699E-2</v>
      </c>
    </row>
    <row r="23" spans="1:5" x14ac:dyDescent="0.25">
      <c r="A23" s="787" t="s">
        <v>171</v>
      </c>
      <c r="B23" s="787">
        <v>4118</v>
      </c>
      <c r="C23" s="787" t="s">
        <v>30</v>
      </c>
      <c r="D23" s="22">
        <v>2.7490429003036599E-2</v>
      </c>
      <c r="E23" s="22">
        <v>2.7125016276518699E-2</v>
      </c>
    </row>
    <row r="24" spans="1:5" x14ac:dyDescent="0.25">
      <c r="A24" s="787" t="s">
        <v>170</v>
      </c>
      <c r="B24" s="787">
        <v>4146</v>
      </c>
      <c r="C24" s="787" t="s">
        <v>54</v>
      </c>
      <c r="D24" s="22">
        <v>2.6943630265373199E-2</v>
      </c>
      <c r="E24" s="22">
        <v>2.7125016276518699E-2</v>
      </c>
    </row>
    <row r="25" spans="1:5" x14ac:dyDescent="0.25">
      <c r="A25" s="787" t="s">
        <v>169</v>
      </c>
      <c r="B25" s="787">
        <v>4140</v>
      </c>
      <c r="C25" s="787" t="s">
        <v>40</v>
      </c>
      <c r="D25" s="22">
        <v>2.67651154233217E-2</v>
      </c>
      <c r="E25" s="22">
        <v>2.7125016276518699E-2</v>
      </c>
    </row>
    <row r="26" spans="1:5" x14ac:dyDescent="0.25">
      <c r="A26" s="787" t="s">
        <v>168</v>
      </c>
      <c r="B26" s="787">
        <v>4117</v>
      </c>
      <c r="C26" s="787" t="s">
        <v>17</v>
      </c>
      <c r="D26" s="22">
        <v>2.6616857866198201E-2</v>
      </c>
      <c r="E26" s="22">
        <v>2.7125016276518699E-2</v>
      </c>
    </row>
    <row r="27" spans="1:5" x14ac:dyDescent="0.25">
      <c r="A27" s="787" t="s">
        <v>167</v>
      </c>
      <c r="B27" s="787">
        <v>4147</v>
      </c>
      <c r="C27" s="787" t="s">
        <v>1203</v>
      </c>
      <c r="D27" s="22">
        <v>2.9100000000000001E-2</v>
      </c>
      <c r="E27" s="22">
        <v>2.7125016276518699E-2</v>
      </c>
    </row>
    <row r="28" spans="1:5" x14ac:dyDescent="0.25">
      <c r="A28" s="787" t="s">
        <v>166</v>
      </c>
      <c r="B28" s="787">
        <v>4110</v>
      </c>
      <c r="C28" s="787" t="s">
        <v>73</v>
      </c>
      <c r="D28" s="22">
        <v>2.65128206477999E-2</v>
      </c>
      <c r="E28" s="22">
        <v>2.7125016276518699E-2</v>
      </c>
    </row>
    <row r="29" spans="1:5" x14ac:dyDescent="0.25">
      <c r="A29" s="787" t="s">
        <v>165</v>
      </c>
      <c r="B29" s="787">
        <v>4150</v>
      </c>
      <c r="C29" s="787" t="s">
        <v>55</v>
      </c>
      <c r="D29" s="22">
        <v>2.3355361617324301E-2</v>
      </c>
      <c r="E29" s="22">
        <v>2.7125016276518699E-2</v>
      </c>
    </row>
    <row r="30" spans="1:5" x14ac:dyDescent="0.25">
      <c r="A30" s="787" t="s">
        <v>164</v>
      </c>
      <c r="B30" s="787">
        <v>3190</v>
      </c>
      <c r="C30" s="787" t="s">
        <v>27</v>
      </c>
      <c r="D30" s="22">
        <v>2.8324561503501499E-2</v>
      </c>
      <c r="E30" s="22">
        <v>2.7125016276518699E-2</v>
      </c>
    </row>
    <row r="31" spans="1:5" x14ac:dyDescent="0.25">
      <c r="A31" s="787" t="s">
        <v>163</v>
      </c>
      <c r="B31" s="787">
        <v>2260</v>
      </c>
      <c r="C31" s="787" t="s">
        <v>10</v>
      </c>
      <c r="D31" s="22">
        <v>2.59598075038967E-2</v>
      </c>
      <c r="E31" s="22">
        <v>2.7125016276518699E-2</v>
      </c>
    </row>
    <row r="32" spans="1:5" x14ac:dyDescent="0.25">
      <c r="A32" s="787" t="s">
        <v>162</v>
      </c>
      <c r="B32" s="787">
        <v>2210</v>
      </c>
      <c r="C32" s="787" t="s">
        <v>121</v>
      </c>
      <c r="D32" s="22">
        <v>2.3893251208070801E-2</v>
      </c>
      <c r="E32" s="22">
        <v>2.7125016276518699E-2</v>
      </c>
    </row>
    <row r="33" spans="1:5" x14ac:dyDescent="0.25">
      <c r="A33" s="787" t="s">
        <v>161</v>
      </c>
      <c r="B33" s="787">
        <v>2240</v>
      </c>
      <c r="C33" s="787" t="s">
        <v>16</v>
      </c>
      <c r="D33" s="22">
        <v>2.74803575467139E-2</v>
      </c>
      <c r="E33" s="22">
        <v>2.7125016276518699E-2</v>
      </c>
    </row>
    <row r="34" spans="1:5" x14ac:dyDescent="0.25">
      <c r="A34" s="787" t="s">
        <v>160</v>
      </c>
      <c r="B34" s="787">
        <v>2220</v>
      </c>
      <c r="C34" s="787" t="s">
        <v>5</v>
      </c>
      <c r="D34" s="22">
        <v>2.5343147655549899E-2</v>
      </c>
      <c r="E34" s="22">
        <v>2.7125016276518699E-2</v>
      </c>
    </row>
    <row r="35" spans="1:5" x14ac:dyDescent="0.25">
      <c r="A35" s="787" t="s">
        <v>159</v>
      </c>
      <c r="B35" s="787">
        <v>2125</v>
      </c>
      <c r="C35" s="787" t="s">
        <v>21</v>
      </c>
      <c r="D35" s="22">
        <v>2.6682633749483799E-2</v>
      </c>
      <c r="E35" s="22">
        <v>2.7125016276518699E-2</v>
      </c>
    </row>
    <row r="36" spans="1:5" x14ac:dyDescent="0.25">
      <c r="A36" s="787" t="s">
        <v>158</v>
      </c>
      <c r="B36" s="787">
        <v>2230</v>
      </c>
      <c r="C36" s="787" t="s">
        <v>49</v>
      </c>
      <c r="D36" s="22">
        <v>2.67508594907159E-2</v>
      </c>
      <c r="E36" s="22">
        <v>2.7125016276518699E-2</v>
      </c>
    </row>
    <row r="37" spans="1:5" x14ac:dyDescent="0.25">
      <c r="A37" s="787" t="s">
        <v>157</v>
      </c>
      <c r="B37" s="787">
        <v>3055</v>
      </c>
      <c r="C37" s="787" t="s">
        <v>7</v>
      </c>
      <c r="D37" s="22">
        <v>2.2915815988E-2</v>
      </c>
      <c r="E37" s="22">
        <v>2.7125016276518699E-2</v>
      </c>
    </row>
    <row r="38" spans="1:5" x14ac:dyDescent="0.25">
      <c r="A38" s="787" t="s">
        <v>1076</v>
      </c>
      <c r="B38" s="787">
        <v>2365</v>
      </c>
      <c r="C38" s="787" t="s">
        <v>1077</v>
      </c>
      <c r="D38" s="22">
        <v>2.87892046246566E-2</v>
      </c>
      <c r="E38" s="22">
        <v>2.7125016276518699E-2</v>
      </c>
    </row>
    <row r="39" spans="1:5" x14ac:dyDescent="0.25">
      <c r="A39" s="787" t="s">
        <v>156</v>
      </c>
      <c r="B39" s="787">
        <v>2250</v>
      </c>
      <c r="C39" s="787" t="s">
        <v>32</v>
      </c>
      <c r="D39" s="22">
        <v>2.5661957357599401E-2</v>
      </c>
      <c r="E39" s="22">
        <v>2.7125016276518699E-2</v>
      </c>
    </row>
    <row r="40" spans="1:5" x14ac:dyDescent="0.25">
      <c r="A40" s="787" t="s">
        <v>155</v>
      </c>
      <c r="B40" s="787">
        <v>3051</v>
      </c>
      <c r="C40" s="787" t="s">
        <v>76</v>
      </c>
      <c r="D40" s="22">
        <v>2.9814972600597098E-2</v>
      </c>
      <c r="E40" s="22">
        <v>2.7125016276518699E-2</v>
      </c>
    </row>
    <row r="41" spans="1:5" x14ac:dyDescent="0.25">
      <c r="A41" s="787" t="s">
        <v>154</v>
      </c>
      <c r="B41" s="787">
        <v>2370</v>
      </c>
      <c r="C41" s="787" t="s">
        <v>77</v>
      </c>
      <c r="D41" s="22">
        <v>2.35030648067363E-2</v>
      </c>
      <c r="E41" s="22">
        <v>2.7125016276518699E-2</v>
      </c>
    </row>
    <row r="42" spans="1:5" x14ac:dyDescent="0.25">
      <c r="A42" s="787" t="s">
        <v>153</v>
      </c>
      <c r="B42" s="787">
        <v>2135</v>
      </c>
      <c r="C42" s="787" t="s">
        <v>25</v>
      </c>
      <c r="D42" s="22">
        <v>2.6421829910205499E-2</v>
      </c>
      <c r="E42" s="22">
        <v>2.7125016276518699E-2</v>
      </c>
    </row>
    <row r="43" spans="1:5" x14ac:dyDescent="0.25">
      <c r="A43" s="787" t="s">
        <v>152</v>
      </c>
      <c r="B43" s="787">
        <v>2270</v>
      </c>
      <c r="C43" s="787" t="s">
        <v>2</v>
      </c>
      <c r="D43" s="22">
        <v>2.3666354884089899E-2</v>
      </c>
      <c r="E43" s="22">
        <v>2.7125016276518699E-2</v>
      </c>
    </row>
    <row r="44" spans="1:5" x14ac:dyDescent="0.25">
      <c r="A44" s="787" t="s">
        <v>151</v>
      </c>
      <c r="B44" s="787">
        <v>3230</v>
      </c>
      <c r="C44" s="787" t="s">
        <v>37</v>
      </c>
      <c r="D44" s="22">
        <v>2.6730080332460899E-2</v>
      </c>
      <c r="E44" s="22">
        <v>2.7125016276518699E-2</v>
      </c>
    </row>
    <row r="45" spans="1:5" x14ac:dyDescent="0.25">
      <c r="A45" s="787" t="s">
        <v>150</v>
      </c>
      <c r="B45" s="787">
        <v>3170</v>
      </c>
      <c r="C45" s="787" t="s">
        <v>24</v>
      </c>
      <c r="D45" s="22">
        <v>2.7054357310372E-2</v>
      </c>
      <c r="E45" s="22">
        <v>2.7125016276518699E-2</v>
      </c>
    </row>
    <row r="46" spans="1:5" x14ac:dyDescent="0.25">
      <c r="A46" s="787" t="s">
        <v>149</v>
      </c>
      <c r="B46" s="787">
        <v>3120</v>
      </c>
      <c r="C46" s="787" t="s">
        <v>68</v>
      </c>
      <c r="D46" s="22">
        <v>2.6123399008142499E-2</v>
      </c>
      <c r="E46" s="22">
        <v>2.7125016276518699E-2</v>
      </c>
    </row>
    <row r="47" spans="1:5" x14ac:dyDescent="0.25">
      <c r="A47" s="787" t="s">
        <v>148</v>
      </c>
      <c r="B47" s="787">
        <v>3186</v>
      </c>
      <c r="C47" s="787" t="s">
        <v>65</v>
      </c>
      <c r="D47" s="22">
        <v>2.8135776475119102E-2</v>
      </c>
      <c r="E47" s="22">
        <v>2.7125016276518699E-2</v>
      </c>
    </row>
    <row r="48" spans="1:5" x14ac:dyDescent="0.25">
      <c r="A48" s="787" t="s">
        <v>147</v>
      </c>
      <c r="B48" s="787">
        <v>3160</v>
      </c>
      <c r="C48" s="787" t="s">
        <v>50</v>
      </c>
      <c r="D48" s="22">
        <v>2.8067018330258899E-2</v>
      </c>
      <c r="E48" s="22">
        <v>2.7125016276518699E-2</v>
      </c>
    </row>
    <row r="49" spans="1:5" x14ac:dyDescent="0.25">
      <c r="A49" s="787" t="s">
        <v>146</v>
      </c>
      <c r="B49" s="787">
        <v>3150</v>
      </c>
      <c r="C49" s="787" t="s">
        <v>26</v>
      </c>
      <c r="D49" s="22">
        <v>2.6046662387047999E-2</v>
      </c>
      <c r="E49" s="22">
        <v>2.7125016276518699E-2</v>
      </c>
    </row>
    <row r="50" spans="1:5" x14ac:dyDescent="0.25">
      <c r="A50" s="787" t="s">
        <v>145</v>
      </c>
      <c r="B50" s="787">
        <v>3126</v>
      </c>
      <c r="C50" s="787" t="s">
        <v>80</v>
      </c>
      <c r="D50" s="22">
        <v>2.4500408399063801E-2</v>
      </c>
      <c r="E50" s="22">
        <v>2.7125016276518699E-2</v>
      </c>
    </row>
    <row r="51" spans="1:5" x14ac:dyDescent="0.25">
      <c r="A51" s="787" t="s">
        <v>144</v>
      </c>
      <c r="B51" s="787">
        <v>3023</v>
      </c>
      <c r="C51" s="787" t="s">
        <v>42</v>
      </c>
      <c r="D51" s="22">
        <v>2.72264414110285E-2</v>
      </c>
      <c r="E51" s="22">
        <v>2.7125016276518699E-2</v>
      </c>
    </row>
    <row r="52" spans="1:5" x14ac:dyDescent="0.25">
      <c r="A52" s="787" t="s">
        <v>143</v>
      </c>
      <c r="B52" s="787">
        <v>2185</v>
      </c>
      <c r="C52" s="787" t="s">
        <v>53</v>
      </c>
      <c r="D52" s="22">
        <v>2.59344882196802E-2</v>
      </c>
      <c r="E52" s="22">
        <v>2.7125016276518699E-2</v>
      </c>
    </row>
    <row r="53" spans="1:5" x14ac:dyDescent="0.25">
      <c r="A53" s="787" t="s">
        <v>142</v>
      </c>
      <c r="B53" s="787">
        <v>1106</v>
      </c>
      <c r="C53" s="787" t="s">
        <v>67</v>
      </c>
      <c r="D53" s="22">
        <v>2.8050323067163201E-2</v>
      </c>
      <c r="E53" s="22">
        <v>2.7125016276518699E-2</v>
      </c>
    </row>
    <row r="54" spans="1:5" x14ac:dyDescent="0.25">
      <c r="A54" s="787" t="s">
        <v>141</v>
      </c>
      <c r="B54" s="787">
        <v>3135</v>
      </c>
      <c r="C54" s="787" t="s">
        <v>29</v>
      </c>
      <c r="D54" s="22">
        <v>2.16945751008298E-2</v>
      </c>
      <c r="E54" s="22">
        <v>2.7125016276518699E-2</v>
      </c>
    </row>
    <row r="55" spans="1:5" x14ac:dyDescent="0.25">
      <c r="A55" s="787" t="s">
        <v>375</v>
      </c>
      <c r="B55" s="787">
        <v>3139</v>
      </c>
      <c r="C55" s="787" t="s">
        <v>243</v>
      </c>
      <c r="D55" s="22">
        <v>2.8207940601015499E-2</v>
      </c>
      <c r="E55" s="22">
        <v>2.7125016276518699E-2</v>
      </c>
    </row>
    <row r="56" spans="1:5" x14ac:dyDescent="0.25">
      <c r="A56" s="787" t="s">
        <v>140</v>
      </c>
      <c r="B56" s="787">
        <v>3147</v>
      </c>
      <c r="C56" s="787" t="s">
        <v>51</v>
      </c>
      <c r="D56" s="22">
        <v>2.5867145176892099E-2</v>
      </c>
      <c r="E56" s="22">
        <v>2.7125016276518699E-2</v>
      </c>
    </row>
    <row r="57" spans="1:5" x14ac:dyDescent="0.25">
      <c r="A57" s="787" t="s">
        <v>139</v>
      </c>
      <c r="B57" s="787">
        <v>3210</v>
      </c>
      <c r="C57" s="787" t="s">
        <v>47</v>
      </c>
      <c r="D57" s="22">
        <v>2.74445239361195E-2</v>
      </c>
      <c r="E57" s="22">
        <v>2.7125016276518699E-2</v>
      </c>
    </row>
    <row r="58" spans="1:5" x14ac:dyDescent="0.25">
      <c r="A58" s="787" t="s">
        <v>138</v>
      </c>
      <c r="B58" s="787">
        <v>1933</v>
      </c>
      <c r="C58" s="787" t="s">
        <v>56</v>
      </c>
      <c r="D58" s="22">
        <v>2.4213377365114599E-2</v>
      </c>
      <c r="E58" s="22">
        <v>2.7125016276518699E-2</v>
      </c>
    </row>
    <row r="59" spans="1:5" x14ac:dyDescent="0.25">
      <c r="A59" s="787" t="s">
        <v>137</v>
      </c>
      <c r="B59" s="787">
        <v>2140</v>
      </c>
      <c r="C59" s="787" t="s">
        <v>12</v>
      </c>
      <c r="D59" s="22">
        <v>2.7858540698883199E-2</v>
      </c>
      <c r="E59" s="22">
        <v>2.7125016276518699E-2</v>
      </c>
    </row>
    <row r="60" spans="1:5" x14ac:dyDescent="0.25">
      <c r="A60" s="787" t="s">
        <v>136</v>
      </c>
      <c r="B60" s="787">
        <v>3103</v>
      </c>
      <c r="C60" s="787" t="s">
        <v>57</v>
      </c>
      <c r="D60" s="22">
        <v>2.4165289961531701E-2</v>
      </c>
      <c r="E60" s="22">
        <v>2.7125016276518699E-2</v>
      </c>
    </row>
    <row r="61" spans="1:5" x14ac:dyDescent="0.25">
      <c r="A61" s="787" t="s">
        <v>135</v>
      </c>
      <c r="B61" s="787">
        <v>2360</v>
      </c>
      <c r="C61" s="787" t="s">
        <v>72</v>
      </c>
      <c r="D61" s="22">
        <v>2.4943884894722299E-2</v>
      </c>
      <c r="E61" s="22">
        <v>2.7125016276518699E-2</v>
      </c>
    </row>
    <row r="62" spans="1:5" s="835" customFormat="1" x14ac:dyDescent="0.25">
      <c r="A62" s="835" t="s">
        <v>1201</v>
      </c>
      <c r="B62" s="835">
        <v>4170</v>
      </c>
      <c r="C62" s="835" t="s">
        <v>1202</v>
      </c>
      <c r="D62" s="22">
        <v>2.8799999999999999E-2</v>
      </c>
      <c r="E62" s="22">
        <v>2.7125016276518699E-2</v>
      </c>
    </row>
    <row r="63" spans="1:5" x14ac:dyDescent="0.25">
      <c r="A63" s="787" t="s">
        <v>133</v>
      </c>
      <c r="B63" s="787">
        <v>3220</v>
      </c>
      <c r="C63" s="787" t="s">
        <v>44</v>
      </c>
      <c r="D63" s="22">
        <v>2.5893581162679601E-2</v>
      </c>
      <c r="E63" s="22">
        <v>2.7125016276518699E-2</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7A5427-C464-47E4-A568-7445313E8E21}">
  <sheetPr codeName="Sheet14"/>
  <dimension ref="A1"/>
  <sheetViews>
    <sheetView workbookViewId="0"/>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D22CA8-D3DF-4DE3-A07B-D862BA1CFFBB}">
  <sheetPr codeName="Sheet25"/>
  <dimension ref="A1:BG515"/>
  <sheetViews>
    <sheetView workbookViewId="0"/>
  </sheetViews>
  <sheetFormatPr defaultRowHeight="15" x14ac:dyDescent="0.25"/>
  <cols>
    <col min="1" max="1" width="17.85546875" style="1175" customWidth="1"/>
    <col min="2" max="2" width="23.5703125" style="1175" customWidth="1"/>
    <col min="3" max="3" width="30.5703125" style="1175" customWidth="1"/>
    <col min="4" max="4" width="26.140625" style="1175" customWidth="1"/>
    <col min="5" max="5" width="42.28515625" style="1176" customWidth="1"/>
    <col min="6" max="6" width="24.5703125" style="80" customWidth="1"/>
    <col min="7" max="7" width="30.7109375" style="80" customWidth="1"/>
    <col min="8" max="8" width="28.5703125" style="80" customWidth="1"/>
    <col min="9" max="9" width="31.42578125" style="80" customWidth="1"/>
    <col min="10" max="10" width="21" style="80" customWidth="1"/>
    <col min="11" max="11" width="26" style="80" customWidth="1"/>
    <col min="12" max="12" width="30.28515625" style="80" customWidth="1"/>
    <col min="13" max="13" width="32.140625" style="80" customWidth="1"/>
    <col min="14" max="14" width="28.28515625" style="80" customWidth="1"/>
    <col min="15" max="15" width="21.42578125" style="80" customWidth="1"/>
    <col min="16" max="16" width="24.28515625" style="80" customWidth="1"/>
    <col min="17" max="17" width="22.85546875" style="80" customWidth="1"/>
    <col min="18" max="18" width="24.28515625" style="80" customWidth="1"/>
    <col min="19" max="19" width="23.5703125" style="80" customWidth="1"/>
    <col min="20" max="20" width="24.28515625" style="80" customWidth="1"/>
    <col min="21" max="21" width="24" style="80" customWidth="1"/>
    <col min="22" max="23" width="21" style="80" customWidth="1"/>
    <col min="24" max="24" width="28.28515625" style="80" customWidth="1"/>
    <col min="25" max="25" width="28" style="80" customWidth="1"/>
    <col min="26" max="26" width="34.140625" style="80" customWidth="1"/>
    <col min="27" max="27" width="28.5703125" style="80" customWidth="1"/>
    <col min="28" max="28" width="23.7109375" style="80" customWidth="1"/>
    <col min="29" max="29" width="26.7109375" style="80" customWidth="1"/>
    <col min="30" max="30" width="30" style="80" customWidth="1"/>
    <col min="31" max="59" width="9.140625" style="80"/>
  </cols>
  <sheetData>
    <row r="1" spans="1:5" ht="25.5" customHeight="1" x14ac:dyDescent="0.25">
      <c r="A1" s="1186" t="s">
        <v>1523</v>
      </c>
      <c r="B1" s="1186" t="s">
        <v>1524</v>
      </c>
      <c r="C1" s="1186" t="s">
        <v>725</v>
      </c>
      <c r="D1" s="1186" t="s">
        <v>1525</v>
      </c>
      <c r="E1" s="1181" t="s">
        <v>1526</v>
      </c>
    </row>
    <row r="2" spans="1:5" x14ac:dyDescent="0.25">
      <c r="A2" s="1187">
        <v>1</v>
      </c>
      <c r="B2" s="1179" t="s">
        <v>1527</v>
      </c>
      <c r="C2" s="1179" t="s">
        <v>1527</v>
      </c>
      <c r="D2" s="1179" t="s">
        <v>1528</v>
      </c>
      <c r="E2" s="1180" t="s">
        <v>1529</v>
      </c>
    </row>
    <row r="3" spans="1:5" x14ac:dyDescent="0.25">
      <c r="A3" s="1187">
        <v>2</v>
      </c>
      <c r="B3" s="1179" t="s">
        <v>1527</v>
      </c>
      <c r="C3" s="1179" t="s">
        <v>1527</v>
      </c>
      <c r="D3" s="1179" t="s">
        <v>1528</v>
      </c>
      <c r="E3" s="1180" t="s">
        <v>1530</v>
      </c>
    </row>
    <row r="4" spans="1:5" x14ac:dyDescent="0.25">
      <c r="A4" s="1187">
        <v>3</v>
      </c>
      <c r="B4" s="1179" t="s">
        <v>1531</v>
      </c>
      <c r="C4" s="1179" t="s">
        <v>1527</v>
      </c>
      <c r="D4" s="1179" t="s">
        <v>1528</v>
      </c>
      <c r="E4" s="1180" t="s">
        <v>1532</v>
      </c>
    </row>
    <row r="5" spans="1:5" x14ac:dyDescent="0.25">
      <c r="A5" s="1187">
        <v>4</v>
      </c>
      <c r="B5" s="1179" t="s">
        <v>1490</v>
      </c>
      <c r="C5" s="1179" t="s">
        <v>1533</v>
      </c>
      <c r="D5" s="1179" t="s">
        <v>1534</v>
      </c>
      <c r="E5" s="1182" t="s">
        <v>1519</v>
      </c>
    </row>
    <row r="6" spans="1:5" x14ac:dyDescent="0.25">
      <c r="A6" s="1187">
        <v>5</v>
      </c>
      <c r="B6" s="1179" t="s">
        <v>1490</v>
      </c>
      <c r="C6" s="1179" t="s">
        <v>1533</v>
      </c>
      <c r="D6" s="1179" t="s">
        <v>1535</v>
      </c>
      <c r="E6" s="1182" t="s">
        <v>1520</v>
      </c>
    </row>
    <row r="7" spans="1:5" x14ac:dyDescent="0.25">
      <c r="A7" s="1187">
        <v>6</v>
      </c>
      <c r="B7" s="1179" t="s">
        <v>1518</v>
      </c>
      <c r="C7" s="1179" t="s">
        <v>1533</v>
      </c>
      <c r="D7" s="1187" t="s">
        <v>1536</v>
      </c>
      <c r="E7" s="1180" t="s">
        <v>1537</v>
      </c>
    </row>
    <row r="8" spans="1:5" x14ac:dyDescent="0.25">
      <c r="A8" s="1187">
        <v>7</v>
      </c>
      <c r="B8" s="1179" t="s">
        <v>1518</v>
      </c>
      <c r="C8" s="1179" t="s">
        <v>1533</v>
      </c>
      <c r="D8" s="1187" t="s">
        <v>1536</v>
      </c>
      <c r="E8" s="1180" t="s">
        <v>1538</v>
      </c>
    </row>
    <row r="9" spans="1:5" ht="30" x14ac:dyDescent="0.25">
      <c r="A9" s="1187">
        <v>8</v>
      </c>
      <c r="B9" s="1179" t="s">
        <v>1467</v>
      </c>
      <c r="C9" s="1179" t="s">
        <v>1533</v>
      </c>
      <c r="D9" s="1179" t="s">
        <v>1484</v>
      </c>
      <c r="E9" s="1180" t="s">
        <v>1315</v>
      </c>
    </row>
    <row r="10" spans="1:5" ht="30" x14ac:dyDescent="0.25">
      <c r="A10" s="1187">
        <v>9</v>
      </c>
      <c r="B10" s="1179" t="s">
        <v>1467</v>
      </c>
      <c r="C10" s="1179" t="s">
        <v>1533</v>
      </c>
      <c r="D10" s="1179" t="s">
        <v>1484</v>
      </c>
      <c r="E10" s="1180" t="s">
        <v>1316</v>
      </c>
    </row>
    <row r="11" spans="1:5" x14ac:dyDescent="0.25">
      <c r="A11" s="1187">
        <v>10</v>
      </c>
      <c r="B11" s="1179" t="s">
        <v>1467</v>
      </c>
      <c r="C11" s="1179" t="s">
        <v>1533</v>
      </c>
      <c r="D11" s="1179" t="s">
        <v>1484</v>
      </c>
      <c r="E11" s="1180" t="s">
        <v>1320</v>
      </c>
    </row>
    <row r="12" spans="1:5" x14ac:dyDescent="0.25">
      <c r="A12" s="1187">
        <v>11</v>
      </c>
      <c r="B12" s="1179" t="s">
        <v>1467</v>
      </c>
      <c r="C12" s="1179" t="s">
        <v>1539</v>
      </c>
      <c r="D12" s="1179" t="s">
        <v>1484</v>
      </c>
      <c r="E12" s="1180" t="s">
        <v>1317</v>
      </c>
    </row>
    <row r="13" spans="1:5" x14ac:dyDescent="0.25">
      <c r="A13" s="1187">
        <v>12</v>
      </c>
      <c r="B13" s="1179" t="s">
        <v>1467</v>
      </c>
      <c r="C13" s="1179" t="s">
        <v>1539</v>
      </c>
      <c r="D13" s="1179" t="s">
        <v>1484</v>
      </c>
      <c r="E13" s="1180" t="s">
        <v>1328</v>
      </c>
    </row>
    <row r="14" spans="1:5" x14ac:dyDescent="0.25">
      <c r="A14" s="1187">
        <v>13</v>
      </c>
      <c r="B14" s="1179" t="s">
        <v>1467</v>
      </c>
      <c r="C14" s="1179" t="s">
        <v>1539</v>
      </c>
      <c r="D14" s="1179" t="s">
        <v>1484</v>
      </c>
      <c r="E14" s="1180" t="s">
        <v>1329</v>
      </c>
    </row>
    <row r="15" spans="1:5" x14ac:dyDescent="0.25">
      <c r="A15" s="1187">
        <v>14</v>
      </c>
      <c r="B15" s="1179" t="s">
        <v>1467</v>
      </c>
      <c r="C15" s="1179" t="s">
        <v>1539</v>
      </c>
      <c r="D15" s="1179" t="s">
        <v>1484</v>
      </c>
      <c r="E15" s="1180" t="s">
        <v>1331</v>
      </c>
    </row>
    <row r="16" spans="1:5" x14ac:dyDescent="0.25">
      <c r="A16" s="1187">
        <v>15</v>
      </c>
      <c r="B16" s="1179" t="s">
        <v>1467</v>
      </c>
      <c r="C16" s="1179" t="s">
        <v>1539</v>
      </c>
      <c r="D16" s="1179" t="s">
        <v>1484</v>
      </c>
      <c r="E16" s="1180" t="s">
        <v>1332</v>
      </c>
    </row>
    <row r="17" spans="1:5" ht="30" x14ac:dyDescent="0.25">
      <c r="A17" s="1187">
        <v>16</v>
      </c>
      <c r="B17" s="1179" t="s">
        <v>1467</v>
      </c>
      <c r="C17" s="1179" t="s">
        <v>1539</v>
      </c>
      <c r="D17" s="1179" t="s">
        <v>1484</v>
      </c>
      <c r="E17" s="1180" t="s">
        <v>1333</v>
      </c>
    </row>
    <row r="18" spans="1:5" x14ac:dyDescent="0.25">
      <c r="A18" s="1187">
        <v>17</v>
      </c>
      <c r="B18" s="1179" t="s">
        <v>1467</v>
      </c>
      <c r="C18" s="1179" t="s">
        <v>1539</v>
      </c>
      <c r="D18" s="1179" t="s">
        <v>1540</v>
      </c>
      <c r="E18" s="1180" t="s">
        <v>1321</v>
      </c>
    </row>
    <row r="19" spans="1:5" x14ac:dyDescent="0.25">
      <c r="A19" s="1187">
        <v>18</v>
      </c>
      <c r="B19" s="1179" t="s">
        <v>1467</v>
      </c>
      <c r="C19" s="1179" t="s">
        <v>1539</v>
      </c>
      <c r="D19" s="1179" t="s">
        <v>1540</v>
      </c>
      <c r="E19" s="1180" t="s">
        <v>1322</v>
      </c>
    </row>
    <row r="20" spans="1:5" x14ac:dyDescent="0.25">
      <c r="A20" s="1187">
        <v>19</v>
      </c>
      <c r="B20" s="1179" t="s">
        <v>1490</v>
      </c>
      <c r="C20" s="1179" t="s">
        <v>1539</v>
      </c>
      <c r="D20" s="1188" t="s">
        <v>1484</v>
      </c>
      <c r="E20" s="1182" t="s">
        <v>1521</v>
      </c>
    </row>
    <row r="21" spans="1:5" x14ac:dyDescent="0.25">
      <c r="A21" s="1187">
        <v>20</v>
      </c>
      <c r="B21" s="1179" t="s">
        <v>1490</v>
      </c>
      <c r="C21" s="1179" t="s">
        <v>1541</v>
      </c>
      <c r="D21" s="1189" t="s">
        <v>1542</v>
      </c>
      <c r="E21" s="1182" t="s">
        <v>1522</v>
      </c>
    </row>
    <row r="22" spans="1:5" x14ac:dyDescent="0.25">
      <c r="A22" s="1187">
        <v>21</v>
      </c>
      <c r="B22" s="1179" t="s">
        <v>1490</v>
      </c>
      <c r="C22" s="1179" t="s">
        <v>1541</v>
      </c>
      <c r="D22" s="1190" t="s">
        <v>1542</v>
      </c>
      <c r="E22" s="1182" t="s">
        <v>1543</v>
      </c>
    </row>
    <row r="23" spans="1:5" x14ac:dyDescent="0.25">
      <c r="A23" s="1187">
        <v>22</v>
      </c>
      <c r="B23" s="1179" t="s">
        <v>1490</v>
      </c>
      <c r="C23" s="1179" t="s">
        <v>1541</v>
      </c>
      <c r="D23" s="1190" t="s">
        <v>1542</v>
      </c>
      <c r="E23" s="1182" t="s">
        <v>657</v>
      </c>
    </row>
    <row r="24" spans="1:5" x14ac:dyDescent="0.25">
      <c r="A24" s="1187">
        <v>23</v>
      </c>
      <c r="B24" s="1179" t="s">
        <v>1490</v>
      </c>
      <c r="C24" s="1179" t="s">
        <v>1541</v>
      </c>
      <c r="D24" s="1190" t="s">
        <v>1542</v>
      </c>
      <c r="E24" s="1182" t="s">
        <v>1257</v>
      </c>
    </row>
    <row r="25" spans="1:5" x14ac:dyDescent="0.25">
      <c r="A25" s="1187">
        <v>24</v>
      </c>
      <c r="B25" s="1179" t="s">
        <v>1490</v>
      </c>
      <c r="C25" s="1179" t="s">
        <v>1541</v>
      </c>
      <c r="D25" s="1190" t="s">
        <v>1542</v>
      </c>
      <c r="E25" s="1182" t="s">
        <v>1258</v>
      </c>
    </row>
    <row r="26" spans="1:5" x14ac:dyDescent="0.25">
      <c r="A26" s="1187">
        <v>25</v>
      </c>
      <c r="B26" s="1179" t="s">
        <v>1490</v>
      </c>
      <c r="C26" s="1179" t="s">
        <v>1541</v>
      </c>
      <c r="D26" s="1190" t="s">
        <v>1542</v>
      </c>
      <c r="E26" s="1182" t="s">
        <v>1259</v>
      </c>
    </row>
    <row r="27" spans="1:5" x14ac:dyDescent="0.25">
      <c r="A27" s="1187">
        <v>26</v>
      </c>
      <c r="B27" s="1179" t="s">
        <v>1490</v>
      </c>
      <c r="C27" s="1179" t="s">
        <v>1544</v>
      </c>
      <c r="D27" s="1179" t="s">
        <v>1528</v>
      </c>
      <c r="E27" s="1182" t="s">
        <v>1591</v>
      </c>
    </row>
    <row r="28" spans="1:5" x14ac:dyDescent="0.25">
      <c r="A28" s="1187">
        <v>27</v>
      </c>
      <c r="B28" s="1179" t="s">
        <v>1518</v>
      </c>
      <c r="C28" s="1179" t="s">
        <v>1545</v>
      </c>
      <c r="D28" s="1187" t="s">
        <v>1528</v>
      </c>
      <c r="E28" s="1183" t="s">
        <v>734</v>
      </c>
    </row>
    <row r="29" spans="1:5" x14ac:dyDescent="0.25">
      <c r="A29" s="1187">
        <v>28</v>
      </c>
      <c r="B29" s="1179" t="s">
        <v>917</v>
      </c>
      <c r="C29" s="1179" t="s">
        <v>1545</v>
      </c>
      <c r="D29" s="1187" t="s">
        <v>1528</v>
      </c>
      <c r="E29" s="1180" t="s">
        <v>1283</v>
      </c>
    </row>
    <row r="30" spans="1:5" x14ac:dyDescent="0.25">
      <c r="A30" s="1187">
        <v>29</v>
      </c>
      <c r="B30" s="1179" t="s">
        <v>1518</v>
      </c>
      <c r="C30" s="1179" t="s">
        <v>1545</v>
      </c>
      <c r="D30" s="1187" t="s">
        <v>1528</v>
      </c>
      <c r="E30" s="1180" t="s">
        <v>794</v>
      </c>
    </row>
    <row r="31" spans="1:5" x14ac:dyDescent="0.25">
      <c r="A31" s="1187">
        <v>30</v>
      </c>
      <c r="B31" s="1179" t="s">
        <v>917</v>
      </c>
      <c r="C31" s="1179" t="s">
        <v>1545</v>
      </c>
      <c r="D31" s="1179" t="s">
        <v>1528</v>
      </c>
      <c r="E31" s="1184" t="s">
        <v>1365</v>
      </c>
    </row>
    <row r="32" spans="1:5" ht="30" x14ac:dyDescent="0.25">
      <c r="A32" s="1187">
        <v>31</v>
      </c>
      <c r="B32" s="1179" t="s">
        <v>917</v>
      </c>
      <c r="C32" s="1179" t="s">
        <v>1545</v>
      </c>
      <c r="D32" s="1179" t="s">
        <v>1528</v>
      </c>
      <c r="E32" s="1184" t="s">
        <v>1366</v>
      </c>
    </row>
    <row r="33" spans="1:5" x14ac:dyDescent="0.25">
      <c r="A33" s="1187">
        <v>32</v>
      </c>
      <c r="B33" s="1179" t="s">
        <v>917</v>
      </c>
      <c r="C33" s="1179" t="s">
        <v>1545</v>
      </c>
      <c r="D33" s="1179" t="s">
        <v>1528</v>
      </c>
      <c r="E33" s="1184" t="s">
        <v>1286</v>
      </c>
    </row>
    <row r="34" spans="1:5" x14ac:dyDescent="0.25">
      <c r="A34" s="1187">
        <v>33</v>
      </c>
      <c r="B34" s="1179" t="s">
        <v>917</v>
      </c>
      <c r="C34" s="1179" t="s">
        <v>1545</v>
      </c>
      <c r="D34" s="1179" t="s">
        <v>1528</v>
      </c>
      <c r="E34" s="1184" t="s">
        <v>1287</v>
      </c>
    </row>
    <row r="35" spans="1:5" x14ac:dyDescent="0.25">
      <c r="A35" s="1187">
        <v>34</v>
      </c>
      <c r="B35" s="1179" t="s">
        <v>917</v>
      </c>
      <c r="C35" s="1179" t="s">
        <v>1545</v>
      </c>
      <c r="D35" s="1179" t="s">
        <v>1528</v>
      </c>
      <c r="E35" s="1184" t="s">
        <v>1288</v>
      </c>
    </row>
    <row r="36" spans="1:5" x14ac:dyDescent="0.25">
      <c r="A36" s="1187">
        <v>35</v>
      </c>
      <c r="B36" s="1179" t="s">
        <v>917</v>
      </c>
      <c r="C36" s="1179" t="s">
        <v>1545</v>
      </c>
      <c r="D36" s="1179" t="s">
        <v>1528</v>
      </c>
      <c r="E36" s="1184" t="s">
        <v>1289</v>
      </c>
    </row>
    <row r="37" spans="1:5" x14ac:dyDescent="0.25">
      <c r="A37" s="1187">
        <v>36</v>
      </c>
      <c r="B37" s="1179" t="s">
        <v>917</v>
      </c>
      <c r="C37" s="1179" t="s">
        <v>1545</v>
      </c>
      <c r="D37" s="1179" t="s">
        <v>1528</v>
      </c>
      <c r="E37" s="1184" t="s">
        <v>1290</v>
      </c>
    </row>
    <row r="38" spans="1:5" x14ac:dyDescent="0.25">
      <c r="A38" s="1187">
        <v>37</v>
      </c>
      <c r="B38" s="1179" t="s">
        <v>917</v>
      </c>
      <c r="C38" s="1179" t="s">
        <v>1545</v>
      </c>
      <c r="D38" s="1179" t="s">
        <v>1528</v>
      </c>
      <c r="E38" s="1184" t="s">
        <v>1546</v>
      </c>
    </row>
    <row r="39" spans="1:5" x14ac:dyDescent="0.25">
      <c r="A39" s="1187">
        <v>38</v>
      </c>
      <c r="B39" s="1179" t="s">
        <v>917</v>
      </c>
      <c r="C39" s="1179" t="s">
        <v>1545</v>
      </c>
      <c r="D39" s="1179" t="s">
        <v>1528</v>
      </c>
      <c r="E39" s="1184" t="s">
        <v>1547</v>
      </c>
    </row>
    <row r="40" spans="1:5" x14ac:dyDescent="0.25">
      <c r="A40" s="1187">
        <v>39</v>
      </c>
      <c r="B40" s="1179" t="s">
        <v>1518</v>
      </c>
      <c r="C40" s="1179" t="s">
        <v>1545</v>
      </c>
      <c r="D40" s="1188" t="s">
        <v>1548</v>
      </c>
      <c r="E40" s="1180" t="s">
        <v>793</v>
      </c>
    </row>
    <row r="41" spans="1:5" x14ac:dyDescent="0.25">
      <c r="A41" s="1187">
        <v>40</v>
      </c>
      <c r="B41" s="1179" t="s">
        <v>1518</v>
      </c>
      <c r="C41" s="1179" t="s">
        <v>1545</v>
      </c>
      <c r="D41" s="1188" t="s">
        <v>1548</v>
      </c>
      <c r="E41" s="1180" t="s">
        <v>1280</v>
      </c>
    </row>
    <row r="42" spans="1:5" x14ac:dyDescent="0.25">
      <c r="A42" s="1187">
        <v>41</v>
      </c>
      <c r="B42" s="1179" t="s">
        <v>1518</v>
      </c>
      <c r="C42" s="1179" t="s">
        <v>1545</v>
      </c>
      <c r="D42" s="1179" t="s">
        <v>1528</v>
      </c>
      <c r="E42" s="1180" t="s">
        <v>1281</v>
      </c>
    </row>
    <row r="43" spans="1:5" x14ac:dyDescent="0.25">
      <c r="A43" s="1187">
        <v>42</v>
      </c>
      <c r="B43" s="1179" t="s">
        <v>1518</v>
      </c>
      <c r="C43" s="1179" t="s">
        <v>1545</v>
      </c>
      <c r="D43" s="1179" t="s">
        <v>1528</v>
      </c>
      <c r="E43" s="1180" t="s">
        <v>1483</v>
      </c>
    </row>
    <row r="44" spans="1:5" x14ac:dyDescent="0.25">
      <c r="A44" s="1187">
        <v>43</v>
      </c>
      <c r="B44" s="1179" t="s">
        <v>1518</v>
      </c>
      <c r="C44" s="1179" t="s">
        <v>1545</v>
      </c>
      <c r="D44" s="1179" t="s">
        <v>1528</v>
      </c>
      <c r="E44" s="1180" t="s">
        <v>1400</v>
      </c>
    </row>
    <row r="45" spans="1:5" x14ac:dyDescent="0.25">
      <c r="A45" s="1187">
        <v>44</v>
      </c>
      <c r="B45" s="1179" t="s">
        <v>1518</v>
      </c>
      <c r="C45" s="1179" t="s">
        <v>1545</v>
      </c>
      <c r="D45" s="1187" t="s">
        <v>1528</v>
      </c>
      <c r="E45" s="1180" t="s">
        <v>795</v>
      </c>
    </row>
    <row r="46" spans="1:5" x14ac:dyDescent="0.25">
      <c r="A46" s="1187">
        <v>45</v>
      </c>
      <c r="B46" s="1179" t="s">
        <v>1518</v>
      </c>
      <c r="C46" s="1179" t="s">
        <v>1545</v>
      </c>
      <c r="D46" s="1187" t="s">
        <v>1528</v>
      </c>
      <c r="E46" s="1180" t="s">
        <v>800</v>
      </c>
    </row>
    <row r="47" spans="1:5" x14ac:dyDescent="0.25">
      <c r="A47" s="1187">
        <v>46</v>
      </c>
      <c r="B47" s="1179" t="s">
        <v>1518</v>
      </c>
      <c r="C47" s="1179" t="s">
        <v>1545</v>
      </c>
      <c r="D47" s="1187" t="s">
        <v>1528</v>
      </c>
      <c r="E47" s="1180" t="s">
        <v>801</v>
      </c>
    </row>
    <row r="48" spans="1:5" x14ac:dyDescent="0.25">
      <c r="A48" s="1187">
        <v>47</v>
      </c>
      <c r="B48" s="1179" t="s">
        <v>1518</v>
      </c>
      <c r="C48" s="1179" t="s">
        <v>1545</v>
      </c>
      <c r="D48" s="1187" t="s">
        <v>1528</v>
      </c>
      <c r="E48" s="1180" t="s">
        <v>204</v>
      </c>
    </row>
    <row r="49" spans="1:5" x14ac:dyDescent="0.25">
      <c r="A49" s="1187">
        <v>48</v>
      </c>
      <c r="B49" s="1179" t="s">
        <v>1518</v>
      </c>
      <c r="C49" s="1179" t="s">
        <v>1549</v>
      </c>
      <c r="D49" s="1187" t="s">
        <v>1528</v>
      </c>
      <c r="E49" s="1183" t="s">
        <v>734</v>
      </c>
    </row>
    <row r="50" spans="1:5" x14ac:dyDescent="0.25">
      <c r="A50" s="1187">
        <v>49</v>
      </c>
      <c r="B50" s="1179" t="s">
        <v>917</v>
      </c>
      <c r="C50" s="1179" t="s">
        <v>1549</v>
      </c>
      <c r="D50" s="1187" t="s">
        <v>1528</v>
      </c>
      <c r="E50" s="1180" t="s">
        <v>1283</v>
      </c>
    </row>
    <row r="51" spans="1:5" x14ac:dyDescent="0.25">
      <c r="A51" s="1187">
        <v>50</v>
      </c>
      <c r="B51" s="1179" t="s">
        <v>1518</v>
      </c>
      <c r="C51" s="1179" t="s">
        <v>1549</v>
      </c>
      <c r="D51" s="1187" t="s">
        <v>1528</v>
      </c>
      <c r="E51" s="1180" t="s">
        <v>794</v>
      </c>
    </row>
    <row r="52" spans="1:5" x14ac:dyDescent="0.25">
      <c r="A52" s="1187">
        <v>51</v>
      </c>
      <c r="B52" s="1179" t="s">
        <v>917</v>
      </c>
      <c r="C52" s="1179" t="s">
        <v>1549</v>
      </c>
      <c r="D52" s="1179" t="s">
        <v>1528</v>
      </c>
      <c r="E52" s="1184" t="s">
        <v>1365</v>
      </c>
    </row>
    <row r="53" spans="1:5" ht="30" x14ac:dyDescent="0.25">
      <c r="A53" s="1187">
        <v>52</v>
      </c>
      <c r="B53" s="1179" t="s">
        <v>917</v>
      </c>
      <c r="C53" s="1179" t="s">
        <v>1549</v>
      </c>
      <c r="D53" s="1179" t="s">
        <v>1528</v>
      </c>
      <c r="E53" s="1184" t="s">
        <v>1366</v>
      </c>
    </row>
    <row r="54" spans="1:5" x14ac:dyDescent="0.25">
      <c r="A54" s="1187">
        <v>53</v>
      </c>
      <c r="B54" s="1179" t="s">
        <v>917</v>
      </c>
      <c r="C54" s="1179" t="s">
        <v>1549</v>
      </c>
      <c r="D54" s="1179" t="s">
        <v>1528</v>
      </c>
      <c r="E54" s="1184" t="s">
        <v>1286</v>
      </c>
    </row>
    <row r="55" spans="1:5" x14ac:dyDescent="0.25">
      <c r="A55" s="1187">
        <v>54</v>
      </c>
      <c r="B55" s="1179" t="s">
        <v>917</v>
      </c>
      <c r="C55" s="1179" t="s">
        <v>1549</v>
      </c>
      <c r="D55" s="1179" t="s">
        <v>1528</v>
      </c>
      <c r="E55" s="1184" t="s">
        <v>1287</v>
      </c>
    </row>
    <row r="56" spans="1:5" x14ac:dyDescent="0.25">
      <c r="A56" s="1187">
        <v>55</v>
      </c>
      <c r="B56" s="1179" t="s">
        <v>917</v>
      </c>
      <c r="C56" s="1179" t="s">
        <v>1549</v>
      </c>
      <c r="D56" s="1179" t="s">
        <v>1528</v>
      </c>
      <c r="E56" s="1184" t="s">
        <v>1288</v>
      </c>
    </row>
    <row r="57" spans="1:5" x14ac:dyDescent="0.25">
      <c r="A57" s="1187">
        <v>56</v>
      </c>
      <c r="B57" s="1179" t="s">
        <v>917</v>
      </c>
      <c r="C57" s="1179" t="s">
        <v>1549</v>
      </c>
      <c r="D57" s="1179" t="s">
        <v>1528</v>
      </c>
      <c r="E57" s="1184" t="s">
        <v>1289</v>
      </c>
    </row>
    <row r="58" spans="1:5" x14ac:dyDescent="0.25">
      <c r="A58" s="1187">
        <v>57</v>
      </c>
      <c r="B58" s="1179" t="s">
        <v>917</v>
      </c>
      <c r="C58" s="1179" t="s">
        <v>1549</v>
      </c>
      <c r="D58" s="1179" t="s">
        <v>1528</v>
      </c>
      <c r="E58" s="1184" t="s">
        <v>1290</v>
      </c>
    </row>
    <row r="59" spans="1:5" x14ac:dyDescent="0.25">
      <c r="A59" s="1187">
        <v>58</v>
      </c>
      <c r="B59" s="1179" t="s">
        <v>917</v>
      </c>
      <c r="C59" s="1179" t="s">
        <v>1549</v>
      </c>
      <c r="D59" s="1179" t="s">
        <v>1528</v>
      </c>
      <c r="E59" s="1184" t="s">
        <v>1546</v>
      </c>
    </row>
    <row r="60" spans="1:5" x14ac:dyDescent="0.25">
      <c r="A60" s="1187">
        <v>59</v>
      </c>
      <c r="B60" s="1179" t="s">
        <v>917</v>
      </c>
      <c r="C60" s="1179" t="s">
        <v>1549</v>
      </c>
      <c r="D60" s="1179" t="s">
        <v>1528</v>
      </c>
      <c r="E60" s="1184" t="s">
        <v>1547</v>
      </c>
    </row>
    <row r="61" spans="1:5" x14ac:dyDescent="0.25">
      <c r="A61" s="1187">
        <v>60</v>
      </c>
      <c r="B61" s="1179" t="s">
        <v>1518</v>
      </c>
      <c r="C61" s="1179" t="s">
        <v>1549</v>
      </c>
      <c r="D61" s="1179" t="s">
        <v>1548</v>
      </c>
      <c r="E61" s="1180" t="s">
        <v>793</v>
      </c>
    </row>
    <row r="62" spans="1:5" x14ac:dyDescent="0.25">
      <c r="A62" s="1187">
        <v>61</v>
      </c>
      <c r="B62" s="1179" t="s">
        <v>1518</v>
      </c>
      <c r="C62" s="1179" t="s">
        <v>1549</v>
      </c>
      <c r="D62" s="1179" t="s">
        <v>1548</v>
      </c>
      <c r="E62" s="1180" t="s">
        <v>1280</v>
      </c>
    </row>
    <row r="63" spans="1:5" x14ac:dyDescent="0.25">
      <c r="A63" s="1187">
        <v>62</v>
      </c>
      <c r="B63" s="1179" t="s">
        <v>1518</v>
      </c>
      <c r="C63" s="1179" t="s">
        <v>1549</v>
      </c>
      <c r="D63" s="1179" t="s">
        <v>1528</v>
      </c>
      <c r="E63" s="1180" t="s">
        <v>1281</v>
      </c>
    </row>
    <row r="64" spans="1:5" x14ac:dyDescent="0.25">
      <c r="A64" s="1187">
        <v>63</v>
      </c>
      <c r="B64" s="1179" t="s">
        <v>1518</v>
      </c>
      <c r="C64" s="1179" t="s">
        <v>1549</v>
      </c>
      <c r="D64" s="1179" t="s">
        <v>1528</v>
      </c>
      <c r="E64" s="1180" t="s">
        <v>1483</v>
      </c>
    </row>
    <row r="65" spans="1:5" x14ac:dyDescent="0.25">
      <c r="A65" s="1187">
        <v>64</v>
      </c>
      <c r="B65" s="1179" t="s">
        <v>1518</v>
      </c>
      <c r="C65" s="1179" t="s">
        <v>1549</v>
      </c>
      <c r="D65" s="1179" t="s">
        <v>1528</v>
      </c>
      <c r="E65" s="1180" t="s">
        <v>1400</v>
      </c>
    </row>
    <row r="66" spans="1:5" x14ac:dyDescent="0.25">
      <c r="A66" s="1187">
        <v>65</v>
      </c>
      <c r="B66" s="1179" t="s">
        <v>1518</v>
      </c>
      <c r="C66" s="1179" t="s">
        <v>1549</v>
      </c>
      <c r="D66" s="1187" t="s">
        <v>1528</v>
      </c>
      <c r="E66" s="1180" t="s">
        <v>795</v>
      </c>
    </row>
    <row r="67" spans="1:5" x14ac:dyDescent="0.25">
      <c r="A67" s="1187">
        <v>66</v>
      </c>
      <c r="B67" s="1179" t="s">
        <v>1518</v>
      </c>
      <c r="C67" s="1179" t="s">
        <v>1549</v>
      </c>
      <c r="D67" s="1187" t="s">
        <v>1528</v>
      </c>
      <c r="E67" s="1180" t="s">
        <v>800</v>
      </c>
    </row>
    <row r="68" spans="1:5" x14ac:dyDescent="0.25">
      <c r="A68" s="1187">
        <v>67</v>
      </c>
      <c r="B68" s="1179" t="s">
        <v>1518</v>
      </c>
      <c r="C68" s="1179" t="s">
        <v>1549</v>
      </c>
      <c r="D68" s="1187" t="s">
        <v>1528</v>
      </c>
      <c r="E68" s="1180" t="s">
        <v>801</v>
      </c>
    </row>
    <row r="69" spans="1:5" x14ac:dyDescent="0.25">
      <c r="A69" s="1187">
        <v>68</v>
      </c>
      <c r="B69" s="1179" t="s">
        <v>1518</v>
      </c>
      <c r="C69" s="1179" t="s">
        <v>1549</v>
      </c>
      <c r="D69" s="1187" t="s">
        <v>1528</v>
      </c>
      <c r="E69" s="1180" t="s">
        <v>204</v>
      </c>
    </row>
    <row r="70" spans="1:5" x14ac:dyDescent="0.25">
      <c r="A70" s="1187">
        <v>69</v>
      </c>
      <c r="B70" s="1179" t="s">
        <v>1518</v>
      </c>
      <c r="C70" s="1179" t="s">
        <v>1550</v>
      </c>
      <c r="D70" s="1187" t="s">
        <v>1548</v>
      </c>
      <c r="E70" s="1183" t="s">
        <v>734</v>
      </c>
    </row>
    <row r="71" spans="1:5" x14ac:dyDescent="0.25">
      <c r="A71" s="1187">
        <v>70</v>
      </c>
      <c r="B71" s="1179" t="s">
        <v>917</v>
      </c>
      <c r="C71" s="1179" t="s">
        <v>1550</v>
      </c>
      <c r="D71" s="1187" t="s">
        <v>1528</v>
      </c>
      <c r="E71" s="1180" t="s">
        <v>1283</v>
      </c>
    </row>
    <row r="72" spans="1:5" x14ac:dyDescent="0.25">
      <c r="A72" s="1187">
        <v>71</v>
      </c>
      <c r="B72" s="1179" t="s">
        <v>1518</v>
      </c>
      <c r="C72" s="1179" t="s">
        <v>1550</v>
      </c>
      <c r="D72" s="1187" t="s">
        <v>1528</v>
      </c>
      <c r="E72" s="1180" t="s">
        <v>794</v>
      </c>
    </row>
    <row r="73" spans="1:5" x14ac:dyDescent="0.25">
      <c r="A73" s="1187">
        <v>72</v>
      </c>
      <c r="B73" s="1179" t="s">
        <v>917</v>
      </c>
      <c r="C73" s="1179" t="s">
        <v>1550</v>
      </c>
      <c r="D73" s="1179" t="s">
        <v>1528</v>
      </c>
      <c r="E73" s="1184" t="s">
        <v>1365</v>
      </c>
    </row>
    <row r="74" spans="1:5" ht="30" x14ac:dyDescent="0.25">
      <c r="A74" s="1187">
        <v>73</v>
      </c>
      <c r="B74" s="1179" t="s">
        <v>917</v>
      </c>
      <c r="C74" s="1179" t="s">
        <v>1550</v>
      </c>
      <c r="D74" s="1179" t="s">
        <v>1528</v>
      </c>
      <c r="E74" s="1184" t="s">
        <v>1366</v>
      </c>
    </row>
    <row r="75" spans="1:5" x14ac:dyDescent="0.25">
      <c r="A75" s="1187">
        <v>74</v>
      </c>
      <c r="B75" s="1179" t="s">
        <v>917</v>
      </c>
      <c r="C75" s="1179" t="s">
        <v>1550</v>
      </c>
      <c r="D75" s="1179" t="s">
        <v>1528</v>
      </c>
      <c r="E75" s="1184" t="s">
        <v>1286</v>
      </c>
    </row>
    <row r="76" spans="1:5" x14ac:dyDescent="0.25">
      <c r="A76" s="1187">
        <v>75</v>
      </c>
      <c r="B76" s="1179" t="s">
        <v>917</v>
      </c>
      <c r="C76" s="1179" t="s">
        <v>1550</v>
      </c>
      <c r="D76" s="1179" t="s">
        <v>1528</v>
      </c>
      <c r="E76" s="1184" t="s">
        <v>1287</v>
      </c>
    </row>
    <row r="77" spans="1:5" x14ac:dyDescent="0.25">
      <c r="A77" s="1187">
        <v>76</v>
      </c>
      <c r="B77" s="1179" t="s">
        <v>917</v>
      </c>
      <c r="C77" s="1179" t="s">
        <v>1550</v>
      </c>
      <c r="D77" s="1179" t="s">
        <v>1528</v>
      </c>
      <c r="E77" s="1184" t="s">
        <v>1288</v>
      </c>
    </row>
    <row r="78" spans="1:5" x14ac:dyDescent="0.25">
      <c r="A78" s="1187">
        <v>77</v>
      </c>
      <c r="B78" s="1179" t="s">
        <v>917</v>
      </c>
      <c r="C78" s="1179" t="s">
        <v>1550</v>
      </c>
      <c r="D78" s="1179" t="s">
        <v>1528</v>
      </c>
      <c r="E78" s="1184" t="s">
        <v>1289</v>
      </c>
    </row>
    <row r="79" spans="1:5" x14ac:dyDescent="0.25">
      <c r="A79" s="1187">
        <v>78</v>
      </c>
      <c r="B79" s="1179" t="s">
        <v>917</v>
      </c>
      <c r="C79" s="1179" t="s">
        <v>1550</v>
      </c>
      <c r="D79" s="1179" t="s">
        <v>1528</v>
      </c>
      <c r="E79" s="1184" t="s">
        <v>1290</v>
      </c>
    </row>
    <row r="80" spans="1:5" x14ac:dyDescent="0.25">
      <c r="A80" s="1187">
        <v>79</v>
      </c>
      <c r="B80" s="1179" t="s">
        <v>917</v>
      </c>
      <c r="C80" s="1179" t="s">
        <v>1550</v>
      </c>
      <c r="D80" s="1179" t="s">
        <v>1528</v>
      </c>
      <c r="E80" s="1184" t="s">
        <v>1546</v>
      </c>
    </row>
    <row r="81" spans="1:5" x14ac:dyDescent="0.25">
      <c r="A81" s="1187">
        <v>80</v>
      </c>
      <c r="B81" s="1179" t="s">
        <v>917</v>
      </c>
      <c r="C81" s="1179" t="s">
        <v>1550</v>
      </c>
      <c r="D81" s="1179" t="s">
        <v>1528</v>
      </c>
      <c r="E81" s="1184" t="s">
        <v>1547</v>
      </c>
    </row>
    <row r="82" spans="1:5" x14ac:dyDescent="0.25">
      <c r="A82" s="1187">
        <v>81</v>
      </c>
      <c r="B82" s="1179" t="s">
        <v>1518</v>
      </c>
      <c r="C82" s="1179" t="s">
        <v>1550</v>
      </c>
      <c r="D82" s="1179" t="s">
        <v>1548</v>
      </c>
      <c r="E82" s="1180" t="s">
        <v>793</v>
      </c>
    </row>
    <row r="83" spans="1:5" x14ac:dyDescent="0.25">
      <c r="A83" s="1187">
        <v>82</v>
      </c>
      <c r="B83" s="1179" t="s">
        <v>1518</v>
      </c>
      <c r="C83" s="1179" t="s">
        <v>1550</v>
      </c>
      <c r="D83" s="1179" t="s">
        <v>1548</v>
      </c>
      <c r="E83" s="1180" t="s">
        <v>1280</v>
      </c>
    </row>
    <row r="84" spans="1:5" x14ac:dyDescent="0.25">
      <c r="A84" s="1187">
        <v>83</v>
      </c>
      <c r="B84" s="1179" t="s">
        <v>1518</v>
      </c>
      <c r="C84" s="1179" t="s">
        <v>1550</v>
      </c>
      <c r="D84" s="1179" t="s">
        <v>1528</v>
      </c>
      <c r="E84" s="1180" t="s">
        <v>1281</v>
      </c>
    </row>
    <row r="85" spans="1:5" x14ac:dyDescent="0.25">
      <c r="A85" s="1187">
        <v>84</v>
      </c>
      <c r="B85" s="1179" t="s">
        <v>1518</v>
      </c>
      <c r="C85" s="1179" t="s">
        <v>1550</v>
      </c>
      <c r="D85" s="1179" t="s">
        <v>1528</v>
      </c>
      <c r="E85" s="1180" t="s">
        <v>1483</v>
      </c>
    </row>
    <row r="86" spans="1:5" x14ac:dyDescent="0.25">
      <c r="A86" s="1187">
        <v>85</v>
      </c>
      <c r="B86" s="1179" t="s">
        <v>1518</v>
      </c>
      <c r="C86" s="1179" t="s">
        <v>1550</v>
      </c>
      <c r="D86" s="1179" t="s">
        <v>1528</v>
      </c>
      <c r="E86" s="1180" t="s">
        <v>1400</v>
      </c>
    </row>
    <row r="87" spans="1:5" x14ac:dyDescent="0.25">
      <c r="A87" s="1187">
        <v>86</v>
      </c>
      <c r="B87" s="1179" t="s">
        <v>1518</v>
      </c>
      <c r="C87" s="1179" t="s">
        <v>1550</v>
      </c>
      <c r="D87" s="1187" t="s">
        <v>1528</v>
      </c>
      <c r="E87" s="1180" t="s">
        <v>795</v>
      </c>
    </row>
    <row r="88" spans="1:5" x14ac:dyDescent="0.25">
      <c r="A88" s="1187">
        <v>87</v>
      </c>
      <c r="B88" s="1179" t="s">
        <v>1518</v>
      </c>
      <c r="C88" s="1179" t="s">
        <v>1550</v>
      </c>
      <c r="D88" s="1187" t="s">
        <v>1528</v>
      </c>
      <c r="E88" s="1180" t="s">
        <v>800</v>
      </c>
    </row>
    <row r="89" spans="1:5" x14ac:dyDescent="0.25">
      <c r="A89" s="1187">
        <v>88</v>
      </c>
      <c r="B89" s="1179" t="s">
        <v>1518</v>
      </c>
      <c r="C89" s="1179" t="s">
        <v>1550</v>
      </c>
      <c r="D89" s="1187" t="s">
        <v>1528</v>
      </c>
      <c r="E89" s="1180" t="s">
        <v>801</v>
      </c>
    </row>
    <row r="90" spans="1:5" x14ac:dyDescent="0.25">
      <c r="A90" s="1187">
        <v>89</v>
      </c>
      <c r="B90" s="1179" t="s">
        <v>1518</v>
      </c>
      <c r="C90" s="1179" t="s">
        <v>1550</v>
      </c>
      <c r="D90" s="1187" t="s">
        <v>1528</v>
      </c>
      <c r="E90" s="1180" t="s">
        <v>204</v>
      </c>
    </row>
    <row r="91" spans="1:5" x14ac:dyDescent="0.25">
      <c r="A91" s="1187">
        <v>90</v>
      </c>
      <c r="B91" s="1179" t="s">
        <v>1518</v>
      </c>
      <c r="C91" s="1179" t="s">
        <v>1551</v>
      </c>
      <c r="D91" s="1187" t="s">
        <v>1528</v>
      </c>
      <c r="E91" s="1183" t="s">
        <v>734</v>
      </c>
    </row>
    <row r="92" spans="1:5" x14ac:dyDescent="0.25">
      <c r="A92" s="1187">
        <v>91</v>
      </c>
      <c r="B92" s="1179" t="s">
        <v>917</v>
      </c>
      <c r="C92" s="1179" t="s">
        <v>1551</v>
      </c>
      <c r="D92" s="1187" t="s">
        <v>1528</v>
      </c>
      <c r="E92" s="1180" t="s">
        <v>1283</v>
      </c>
    </row>
    <row r="93" spans="1:5" x14ac:dyDescent="0.25">
      <c r="A93" s="1187">
        <v>92</v>
      </c>
      <c r="B93" s="1179" t="s">
        <v>1518</v>
      </c>
      <c r="C93" s="1179" t="s">
        <v>1551</v>
      </c>
      <c r="D93" s="1187" t="s">
        <v>1528</v>
      </c>
      <c r="E93" s="1180" t="s">
        <v>794</v>
      </c>
    </row>
    <row r="94" spans="1:5" x14ac:dyDescent="0.25">
      <c r="A94" s="1187">
        <v>93</v>
      </c>
      <c r="B94" s="1179" t="s">
        <v>917</v>
      </c>
      <c r="C94" s="1179" t="s">
        <v>1551</v>
      </c>
      <c r="D94" s="1179" t="s">
        <v>1528</v>
      </c>
      <c r="E94" s="1184" t="s">
        <v>1365</v>
      </c>
    </row>
    <row r="95" spans="1:5" ht="30" x14ac:dyDescent="0.25">
      <c r="A95" s="1187">
        <v>94</v>
      </c>
      <c r="B95" s="1179" t="s">
        <v>917</v>
      </c>
      <c r="C95" s="1179" t="s">
        <v>1551</v>
      </c>
      <c r="D95" s="1179" t="s">
        <v>1528</v>
      </c>
      <c r="E95" s="1184" t="s">
        <v>1366</v>
      </c>
    </row>
    <row r="96" spans="1:5" x14ac:dyDescent="0.25">
      <c r="A96" s="1187">
        <v>95</v>
      </c>
      <c r="B96" s="1179" t="s">
        <v>917</v>
      </c>
      <c r="C96" s="1179" t="s">
        <v>1551</v>
      </c>
      <c r="D96" s="1179" t="s">
        <v>1528</v>
      </c>
      <c r="E96" s="1184" t="s">
        <v>1286</v>
      </c>
    </row>
    <row r="97" spans="1:5" x14ac:dyDescent="0.25">
      <c r="A97" s="1187">
        <v>96</v>
      </c>
      <c r="B97" s="1179" t="s">
        <v>917</v>
      </c>
      <c r="C97" s="1179" t="s">
        <v>1551</v>
      </c>
      <c r="D97" s="1179" t="s">
        <v>1528</v>
      </c>
      <c r="E97" s="1184" t="s">
        <v>1287</v>
      </c>
    </row>
    <row r="98" spans="1:5" x14ac:dyDescent="0.25">
      <c r="A98" s="1187">
        <v>97</v>
      </c>
      <c r="B98" s="1179" t="s">
        <v>917</v>
      </c>
      <c r="C98" s="1179" t="s">
        <v>1551</v>
      </c>
      <c r="D98" s="1179" t="s">
        <v>1528</v>
      </c>
      <c r="E98" s="1184" t="s">
        <v>1288</v>
      </c>
    </row>
    <row r="99" spans="1:5" x14ac:dyDescent="0.25">
      <c r="A99" s="1187">
        <v>98</v>
      </c>
      <c r="B99" s="1179" t="s">
        <v>917</v>
      </c>
      <c r="C99" s="1179" t="s">
        <v>1551</v>
      </c>
      <c r="D99" s="1179" t="s">
        <v>1528</v>
      </c>
      <c r="E99" s="1184" t="s">
        <v>1289</v>
      </c>
    </row>
    <row r="100" spans="1:5" x14ac:dyDescent="0.25">
      <c r="A100" s="1187">
        <v>99</v>
      </c>
      <c r="B100" s="1179" t="s">
        <v>917</v>
      </c>
      <c r="C100" s="1179" t="s">
        <v>1551</v>
      </c>
      <c r="D100" s="1179" t="s">
        <v>1528</v>
      </c>
      <c r="E100" s="1184" t="s">
        <v>1290</v>
      </c>
    </row>
    <row r="101" spans="1:5" x14ac:dyDescent="0.25">
      <c r="A101" s="1187">
        <v>100</v>
      </c>
      <c r="B101" s="1179" t="s">
        <v>917</v>
      </c>
      <c r="C101" s="1179" t="s">
        <v>1551</v>
      </c>
      <c r="D101" s="1179" t="s">
        <v>1528</v>
      </c>
      <c r="E101" s="1184" t="s">
        <v>1546</v>
      </c>
    </row>
    <row r="102" spans="1:5" x14ac:dyDescent="0.25">
      <c r="A102" s="1187">
        <v>101</v>
      </c>
      <c r="B102" s="1179" t="s">
        <v>917</v>
      </c>
      <c r="C102" s="1179" t="s">
        <v>1551</v>
      </c>
      <c r="D102" s="1179" t="s">
        <v>1528</v>
      </c>
      <c r="E102" s="1184" t="s">
        <v>1547</v>
      </c>
    </row>
    <row r="103" spans="1:5" x14ac:dyDescent="0.25">
      <c r="A103" s="1187">
        <v>102</v>
      </c>
      <c r="B103" s="1179" t="s">
        <v>1518</v>
      </c>
      <c r="C103" s="1179" t="s">
        <v>1551</v>
      </c>
      <c r="D103" s="1188" t="s">
        <v>1548</v>
      </c>
      <c r="E103" s="1180" t="s">
        <v>793</v>
      </c>
    </row>
    <row r="104" spans="1:5" x14ac:dyDescent="0.25">
      <c r="A104" s="1187">
        <v>103</v>
      </c>
      <c r="B104" s="1179" t="s">
        <v>1518</v>
      </c>
      <c r="C104" s="1179" t="s">
        <v>1551</v>
      </c>
      <c r="D104" s="1188" t="s">
        <v>1548</v>
      </c>
      <c r="E104" s="1180" t="s">
        <v>1280</v>
      </c>
    </row>
    <row r="105" spans="1:5" x14ac:dyDescent="0.25">
      <c r="A105" s="1187">
        <v>104</v>
      </c>
      <c r="B105" s="1179" t="s">
        <v>1518</v>
      </c>
      <c r="C105" s="1179" t="s">
        <v>1551</v>
      </c>
      <c r="D105" s="1179" t="s">
        <v>1528</v>
      </c>
      <c r="E105" s="1180" t="s">
        <v>1281</v>
      </c>
    </row>
    <row r="106" spans="1:5" x14ac:dyDescent="0.25">
      <c r="A106" s="1187">
        <v>105</v>
      </c>
      <c r="B106" s="1179" t="s">
        <v>1518</v>
      </c>
      <c r="C106" s="1179" t="s">
        <v>1551</v>
      </c>
      <c r="D106" s="1179" t="s">
        <v>1528</v>
      </c>
      <c r="E106" s="1180" t="s">
        <v>1483</v>
      </c>
    </row>
    <row r="107" spans="1:5" x14ac:dyDescent="0.25">
      <c r="A107" s="1187">
        <v>106</v>
      </c>
      <c r="B107" s="1179" t="s">
        <v>1518</v>
      </c>
      <c r="C107" s="1179" t="s">
        <v>1551</v>
      </c>
      <c r="D107" s="1179" t="s">
        <v>1528</v>
      </c>
      <c r="E107" s="1180" t="s">
        <v>1400</v>
      </c>
    </row>
    <row r="108" spans="1:5" x14ac:dyDescent="0.25">
      <c r="A108" s="1187">
        <v>107</v>
      </c>
      <c r="B108" s="1179" t="s">
        <v>1518</v>
      </c>
      <c r="C108" s="1179" t="s">
        <v>1551</v>
      </c>
      <c r="D108" s="1187" t="s">
        <v>1528</v>
      </c>
      <c r="E108" s="1180" t="s">
        <v>795</v>
      </c>
    </row>
    <row r="109" spans="1:5" x14ac:dyDescent="0.25">
      <c r="A109" s="1187">
        <v>108</v>
      </c>
      <c r="B109" s="1179" t="s">
        <v>1518</v>
      </c>
      <c r="C109" s="1179" t="s">
        <v>1551</v>
      </c>
      <c r="D109" s="1187" t="s">
        <v>1528</v>
      </c>
      <c r="E109" s="1180" t="s">
        <v>800</v>
      </c>
    </row>
    <row r="110" spans="1:5" x14ac:dyDescent="0.25">
      <c r="A110" s="1187">
        <v>109</v>
      </c>
      <c r="B110" s="1179" t="s">
        <v>1518</v>
      </c>
      <c r="C110" s="1179" t="s">
        <v>1551</v>
      </c>
      <c r="D110" s="1187" t="s">
        <v>1528</v>
      </c>
      <c r="E110" s="1180" t="s">
        <v>801</v>
      </c>
    </row>
    <row r="111" spans="1:5" x14ac:dyDescent="0.25">
      <c r="A111" s="1187">
        <v>110</v>
      </c>
      <c r="B111" s="1179" t="s">
        <v>1518</v>
      </c>
      <c r="C111" s="1179" t="s">
        <v>1551</v>
      </c>
      <c r="D111" s="1187" t="s">
        <v>1528</v>
      </c>
      <c r="E111" s="1180" t="s">
        <v>204</v>
      </c>
    </row>
    <row r="112" spans="1:5" x14ac:dyDescent="0.25">
      <c r="A112" s="1187">
        <v>111</v>
      </c>
      <c r="B112" s="1179" t="s">
        <v>1518</v>
      </c>
      <c r="C112" s="1179" t="s">
        <v>1552</v>
      </c>
      <c r="D112" s="1187" t="s">
        <v>1528</v>
      </c>
      <c r="E112" s="1183" t="s">
        <v>734</v>
      </c>
    </row>
    <row r="113" spans="1:5" x14ac:dyDescent="0.25">
      <c r="A113" s="1187">
        <v>112</v>
      </c>
      <c r="B113" s="1179" t="s">
        <v>917</v>
      </c>
      <c r="C113" s="1179" t="s">
        <v>1552</v>
      </c>
      <c r="D113" s="1187" t="s">
        <v>1528</v>
      </c>
      <c r="E113" s="1180" t="s">
        <v>1283</v>
      </c>
    </row>
    <row r="114" spans="1:5" x14ac:dyDescent="0.25">
      <c r="A114" s="1187">
        <v>113</v>
      </c>
      <c r="B114" s="1179" t="s">
        <v>1518</v>
      </c>
      <c r="C114" s="1179" t="s">
        <v>1552</v>
      </c>
      <c r="D114" s="1187" t="s">
        <v>1528</v>
      </c>
      <c r="E114" s="1180" t="s">
        <v>794</v>
      </c>
    </row>
    <row r="115" spans="1:5" x14ac:dyDescent="0.25">
      <c r="A115" s="1187">
        <v>114</v>
      </c>
      <c r="B115" s="1179" t="s">
        <v>917</v>
      </c>
      <c r="C115" s="1179" t="s">
        <v>1552</v>
      </c>
      <c r="D115" s="1179" t="s">
        <v>1528</v>
      </c>
      <c r="E115" s="1184" t="s">
        <v>1365</v>
      </c>
    </row>
    <row r="116" spans="1:5" ht="30" x14ac:dyDescent="0.25">
      <c r="A116" s="1187">
        <v>115</v>
      </c>
      <c r="B116" s="1179" t="s">
        <v>917</v>
      </c>
      <c r="C116" s="1179" t="s">
        <v>1552</v>
      </c>
      <c r="D116" s="1179" t="s">
        <v>1528</v>
      </c>
      <c r="E116" s="1184" t="s">
        <v>1366</v>
      </c>
    </row>
    <row r="117" spans="1:5" x14ac:dyDescent="0.25">
      <c r="A117" s="1187">
        <v>116</v>
      </c>
      <c r="B117" s="1179" t="s">
        <v>917</v>
      </c>
      <c r="C117" s="1179" t="s">
        <v>1552</v>
      </c>
      <c r="D117" s="1179" t="s">
        <v>1528</v>
      </c>
      <c r="E117" s="1184" t="s">
        <v>1286</v>
      </c>
    </row>
    <row r="118" spans="1:5" x14ac:dyDescent="0.25">
      <c r="A118" s="1187">
        <v>117</v>
      </c>
      <c r="B118" s="1179" t="s">
        <v>917</v>
      </c>
      <c r="C118" s="1179" t="s">
        <v>1552</v>
      </c>
      <c r="D118" s="1179" t="s">
        <v>1528</v>
      </c>
      <c r="E118" s="1184" t="s">
        <v>1287</v>
      </c>
    </row>
    <row r="119" spans="1:5" x14ac:dyDescent="0.25">
      <c r="A119" s="1187">
        <v>118</v>
      </c>
      <c r="B119" s="1179" t="s">
        <v>917</v>
      </c>
      <c r="C119" s="1179" t="s">
        <v>1552</v>
      </c>
      <c r="D119" s="1179" t="s">
        <v>1528</v>
      </c>
      <c r="E119" s="1184" t="s">
        <v>1288</v>
      </c>
    </row>
    <row r="120" spans="1:5" x14ac:dyDescent="0.25">
      <c r="A120" s="1187">
        <v>119</v>
      </c>
      <c r="B120" s="1179" t="s">
        <v>917</v>
      </c>
      <c r="C120" s="1179" t="s">
        <v>1552</v>
      </c>
      <c r="D120" s="1179" t="s">
        <v>1528</v>
      </c>
      <c r="E120" s="1184" t="s">
        <v>1289</v>
      </c>
    </row>
    <row r="121" spans="1:5" x14ac:dyDescent="0.25">
      <c r="A121" s="1187">
        <v>120</v>
      </c>
      <c r="B121" s="1179" t="s">
        <v>917</v>
      </c>
      <c r="C121" s="1179" t="s">
        <v>1552</v>
      </c>
      <c r="D121" s="1179" t="s">
        <v>1528</v>
      </c>
      <c r="E121" s="1184" t="s">
        <v>1290</v>
      </c>
    </row>
    <row r="122" spans="1:5" x14ac:dyDescent="0.25">
      <c r="A122" s="1187">
        <v>121</v>
      </c>
      <c r="B122" s="1179" t="s">
        <v>917</v>
      </c>
      <c r="C122" s="1179" t="s">
        <v>1552</v>
      </c>
      <c r="D122" s="1179" t="s">
        <v>1528</v>
      </c>
      <c r="E122" s="1184" t="s">
        <v>1546</v>
      </c>
    </row>
    <row r="123" spans="1:5" x14ac:dyDescent="0.25">
      <c r="A123" s="1187">
        <v>122</v>
      </c>
      <c r="B123" s="1179" t="s">
        <v>917</v>
      </c>
      <c r="C123" s="1179" t="s">
        <v>1552</v>
      </c>
      <c r="D123" s="1179" t="s">
        <v>1528</v>
      </c>
      <c r="E123" s="1184" t="s">
        <v>1547</v>
      </c>
    </row>
    <row r="124" spans="1:5" x14ac:dyDescent="0.25">
      <c r="A124" s="1187">
        <v>123</v>
      </c>
      <c r="B124" s="1179" t="s">
        <v>1518</v>
      </c>
      <c r="C124" s="1179" t="s">
        <v>1552</v>
      </c>
      <c r="D124" s="1188" t="s">
        <v>1548</v>
      </c>
      <c r="E124" s="1180" t="s">
        <v>793</v>
      </c>
    </row>
    <row r="125" spans="1:5" x14ac:dyDescent="0.25">
      <c r="A125" s="1187">
        <v>124</v>
      </c>
      <c r="B125" s="1179" t="s">
        <v>1518</v>
      </c>
      <c r="C125" s="1179" t="s">
        <v>1552</v>
      </c>
      <c r="D125" s="1188" t="s">
        <v>1548</v>
      </c>
      <c r="E125" s="1180" t="s">
        <v>1280</v>
      </c>
    </row>
    <row r="126" spans="1:5" x14ac:dyDescent="0.25">
      <c r="A126" s="1187">
        <v>125</v>
      </c>
      <c r="B126" s="1179" t="s">
        <v>1518</v>
      </c>
      <c r="C126" s="1179" t="s">
        <v>1552</v>
      </c>
      <c r="D126" s="1179" t="s">
        <v>1528</v>
      </c>
      <c r="E126" s="1180" t="s">
        <v>1281</v>
      </c>
    </row>
    <row r="127" spans="1:5" x14ac:dyDescent="0.25">
      <c r="A127" s="1187">
        <v>126</v>
      </c>
      <c r="B127" s="1179" t="s">
        <v>1518</v>
      </c>
      <c r="C127" s="1179" t="s">
        <v>1552</v>
      </c>
      <c r="D127" s="1179" t="s">
        <v>1528</v>
      </c>
      <c r="E127" s="1180" t="s">
        <v>1483</v>
      </c>
    </row>
    <row r="128" spans="1:5" x14ac:dyDescent="0.25">
      <c r="A128" s="1187">
        <v>127</v>
      </c>
      <c r="B128" s="1179" t="s">
        <v>1518</v>
      </c>
      <c r="C128" s="1179" t="s">
        <v>1552</v>
      </c>
      <c r="D128" s="1179" t="s">
        <v>1528</v>
      </c>
      <c r="E128" s="1180" t="s">
        <v>1400</v>
      </c>
    </row>
    <row r="129" spans="1:5" x14ac:dyDescent="0.25">
      <c r="A129" s="1187">
        <v>128</v>
      </c>
      <c r="B129" s="1179" t="s">
        <v>1518</v>
      </c>
      <c r="C129" s="1179" t="s">
        <v>1552</v>
      </c>
      <c r="D129" s="1187" t="s">
        <v>1528</v>
      </c>
      <c r="E129" s="1180" t="s">
        <v>795</v>
      </c>
    </row>
    <row r="130" spans="1:5" x14ac:dyDescent="0.25">
      <c r="A130" s="1187">
        <v>129</v>
      </c>
      <c r="B130" s="1179" t="s">
        <v>1518</v>
      </c>
      <c r="C130" s="1179" t="s">
        <v>1552</v>
      </c>
      <c r="D130" s="1187" t="s">
        <v>1528</v>
      </c>
      <c r="E130" s="1180" t="s">
        <v>800</v>
      </c>
    </row>
    <row r="131" spans="1:5" x14ac:dyDescent="0.25">
      <c r="A131" s="1187">
        <v>130</v>
      </c>
      <c r="B131" s="1179" t="s">
        <v>1518</v>
      </c>
      <c r="C131" s="1179" t="s">
        <v>1552</v>
      </c>
      <c r="D131" s="1187" t="s">
        <v>1528</v>
      </c>
      <c r="E131" s="1180" t="s">
        <v>801</v>
      </c>
    </row>
    <row r="132" spans="1:5" x14ac:dyDescent="0.25">
      <c r="A132" s="1187">
        <v>131</v>
      </c>
      <c r="B132" s="1179" t="s">
        <v>1518</v>
      </c>
      <c r="C132" s="1179" t="s">
        <v>1552</v>
      </c>
      <c r="D132" s="1187" t="s">
        <v>1528</v>
      </c>
      <c r="E132" s="1180" t="s">
        <v>204</v>
      </c>
    </row>
    <row r="133" spans="1:5" x14ac:dyDescent="0.25">
      <c r="A133" s="1187">
        <v>132</v>
      </c>
      <c r="B133" s="1179" t="s">
        <v>1518</v>
      </c>
      <c r="C133" s="1179" t="s">
        <v>1553</v>
      </c>
      <c r="D133" s="1187" t="s">
        <v>1528</v>
      </c>
      <c r="E133" s="1183" t="s">
        <v>734</v>
      </c>
    </row>
    <row r="134" spans="1:5" x14ac:dyDescent="0.25">
      <c r="A134" s="1187">
        <v>133</v>
      </c>
      <c r="B134" s="1179" t="s">
        <v>917</v>
      </c>
      <c r="C134" s="1179" t="s">
        <v>1553</v>
      </c>
      <c r="D134" s="1187" t="s">
        <v>1528</v>
      </c>
      <c r="E134" s="1180" t="s">
        <v>1283</v>
      </c>
    </row>
    <row r="135" spans="1:5" x14ac:dyDescent="0.25">
      <c r="A135" s="1187">
        <v>134</v>
      </c>
      <c r="B135" s="1179" t="s">
        <v>1518</v>
      </c>
      <c r="C135" s="1179" t="s">
        <v>1553</v>
      </c>
      <c r="D135" s="1187" t="s">
        <v>1528</v>
      </c>
      <c r="E135" s="1180" t="s">
        <v>794</v>
      </c>
    </row>
    <row r="136" spans="1:5" x14ac:dyDescent="0.25">
      <c r="A136" s="1187">
        <v>135</v>
      </c>
      <c r="B136" s="1179" t="s">
        <v>917</v>
      </c>
      <c r="C136" s="1179" t="s">
        <v>1553</v>
      </c>
      <c r="D136" s="1179" t="s">
        <v>1528</v>
      </c>
      <c r="E136" s="1184" t="s">
        <v>1365</v>
      </c>
    </row>
    <row r="137" spans="1:5" ht="30" x14ac:dyDescent="0.25">
      <c r="A137" s="1187">
        <v>136</v>
      </c>
      <c r="B137" s="1179" t="s">
        <v>917</v>
      </c>
      <c r="C137" s="1179" t="s">
        <v>1553</v>
      </c>
      <c r="D137" s="1179" t="s">
        <v>1528</v>
      </c>
      <c r="E137" s="1184" t="s">
        <v>1366</v>
      </c>
    </row>
    <row r="138" spans="1:5" x14ac:dyDescent="0.25">
      <c r="A138" s="1187">
        <v>137</v>
      </c>
      <c r="B138" s="1179" t="s">
        <v>917</v>
      </c>
      <c r="C138" s="1179" t="s">
        <v>1553</v>
      </c>
      <c r="D138" s="1179" t="s">
        <v>1528</v>
      </c>
      <c r="E138" s="1184" t="s">
        <v>1286</v>
      </c>
    </row>
    <row r="139" spans="1:5" x14ac:dyDescent="0.25">
      <c r="A139" s="1187">
        <v>138</v>
      </c>
      <c r="B139" s="1179" t="s">
        <v>917</v>
      </c>
      <c r="C139" s="1179" t="s">
        <v>1553</v>
      </c>
      <c r="D139" s="1179" t="s">
        <v>1528</v>
      </c>
      <c r="E139" s="1184" t="s">
        <v>1287</v>
      </c>
    </row>
    <row r="140" spans="1:5" x14ac:dyDescent="0.25">
      <c r="A140" s="1187">
        <v>139</v>
      </c>
      <c r="B140" s="1179" t="s">
        <v>917</v>
      </c>
      <c r="C140" s="1179" t="s">
        <v>1553</v>
      </c>
      <c r="D140" s="1179" t="s">
        <v>1528</v>
      </c>
      <c r="E140" s="1184" t="s">
        <v>1288</v>
      </c>
    </row>
    <row r="141" spans="1:5" x14ac:dyDescent="0.25">
      <c r="A141" s="1187">
        <v>140</v>
      </c>
      <c r="B141" s="1179" t="s">
        <v>917</v>
      </c>
      <c r="C141" s="1179" t="s">
        <v>1553</v>
      </c>
      <c r="D141" s="1179" t="s">
        <v>1528</v>
      </c>
      <c r="E141" s="1184" t="s">
        <v>1289</v>
      </c>
    </row>
    <row r="142" spans="1:5" x14ac:dyDescent="0.25">
      <c r="A142" s="1187">
        <v>141</v>
      </c>
      <c r="B142" s="1179" t="s">
        <v>917</v>
      </c>
      <c r="C142" s="1179" t="s">
        <v>1553</v>
      </c>
      <c r="D142" s="1179" t="s">
        <v>1528</v>
      </c>
      <c r="E142" s="1184" t="s">
        <v>1290</v>
      </c>
    </row>
    <row r="143" spans="1:5" x14ac:dyDescent="0.25">
      <c r="A143" s="1187">
        <v>142</v>
      </c>
      <c r="B143" s="1179" t="s">
        <v>917</v>
      </c>
      <c r="C143" s="1179" t="s">
        <v>1553</v>
      </c>
      <c r="D143" s="1179" t="s">
        <v>1528</v>
      </c>
      <c r="E143" s="1184" t="s">
        <v>1546</v>
      </c>
    </row>
    <row r="144" spans="1:5" x14ac:dyDescent="0.25">
      <c r="A144" s="1187">
        <v>143</v>
      </c>
      <c r="B144" s="1179" t="s">
        <v>917</v>
      </c>
      <c r="C144" s="1179" t="s">
        <v>1553</v>
      </c>
      <c r="D144" s="1179" t="s">
        <v>1528</v>
      </c>
      <c r="E144" s="1184" t="s">
        <v>1547</v>
      </c>
    </row>
    <row r="145" spans="1:5" x14ac:dyDescent="0.25">
      <c r="A145" s="1187">
        <v>144</v>
      </c>
      <c r="B145" s="1179" t="s">
        <v>1518</v>
      </c>
      <c r="C145" s="1179" t="s">
        <v>1553</v>
      </c>
      <c r="D145" s="1179" t="s">
        <v>1548</v>
      </c>
      <c r="E145" s="1180" t="s">
        <v>793</v>
      </c>
    </row>
    <row r="146" spans="1:5" x14ac:dyDescent="0.25">
      <c r="A146" s="1187">
        <v>145</v>
      </c>
      <c r="B146" s="1179" t="s">
        <v>1518</v>
      </c>
      <c r="C146" s="1179" t="s">
        <v>1553</v>
      </c>
      <c r="D146" s="1179" t="s">
        <v>1548</v>
      </c>
      <c r="E146" s="1180" t="s">
        <v>1280</v>
      </c>
    </row>
    <row r="147" spans="1:5" x14ac:dyDescent="0.25">
      <c r="A147" s="1187">
        <v>146</v>
      </c>
      <c r="B147" s="1179" t="s">
        <v>1518</v>
      </c>
      <c r="C147" s="1179" t="s">
        <v>1553</v>
      </c>
      <c r="D147" s="1179" t="s">
        <v>1528</v>
      </c>
      <c r="E147" s="1180" t="s">
        <v>1281</v>
      </c>
    </row>
    <row r="148" spans="1:5" x14ac:dyDescent="0.25">
      <c r="A148" s="1187">
        <v>147</v>
      </c>
      <c r="B148" s="1179" t="s">
        <v>1518</v>
      </c>
      <c r="C148" s="1179" t="s">
        <v>1553</v>
      </c>
      <c r="D148" s="1179" t="s">
        <v>1528</v>
      </c>
      <c r="E148" s="1180" t="s">
        <v>1483</v>
      </c>
    </row>
    <row r="149" spans="1:5" x14ac:dyDescent="0.25">
      <c r="A149" s="1187">
        <v>148</v>
      </c>
      <c r="B149" s="1179" t="s">
        <v>1518</v>
      </c>
      <c r="C149" s="1179" t="s">
        <v>1553</v>
      </c>
      <c r="D149" s="1179" t="s">
        <v>1528</v>
      </c>
      <c r="E149" s="1180" t="s">
        <v>1400</v>
      </c>
    </row>
    <row r="150" spans="1:5" x14ac:dyDescent="0.25">
      <c r="A150" s="1187">
        <v>149</v>
      </c>
      <c r="B150" s="1179" t="s">
        <v>1518</v>
      </c>
      <c r="C150" s="1179" t="s">
        <v>1553</v>
      </c>
      <c r="D150" s="1187" t="s">
        <v>1528</v>
      </c>
      <c r="E150" s="1180" t="s">
        <v>795</v>
      </c>
    </row>
    <row r="151" spans="1:5" x14ac:dyDescent="0.25">
      <c r="A151" s="1187">
        <v>150</v>
      </c>
      <c r="B151" s="1179" t="s">
        <v>1518</v>
      </c>
      <c r="C151" s="1179" t="s">
        <v>1553</v>
      </c>
      <c r="D151" s="1187" t="s">
        <v>1528</v>
      </c>
      <c r="E151" s="1180" t="s">
        <v>800</v>
      </c>
    </row>
    <row r="152" spans="1:5" x14ac:dyDescent="0.25">
      <c r="A152" s="1187">
        <v>151</v>
      </c>
      <c r="B152" s="1179" t="s">
        <v>1518</v>
      </c>
      <c r="C152" s="1179" t="s">
        <v>1553</v>
      </c>
      <c r="D152" s="1187" t="s">
        <v>1528</v>
      </c>
      <c r="E152" s="1180" t="s">
        <v>801</v>
      </c>
    </row>
    <row r="153" spans="1:5" x14ac:dyDescent="0.25">
      <c r="A153" s="1187">
        <v>152</v>
      </c>
      <c r="B153" s="1179" t="s">
        <v>1518</v>
      </c>
      <c r="C153" s="1179" t="s">
        <v>1553</v>
      </c>
      <c r="D153" s="1187" t="s">
        <v>1528</v>
      </c>
      <c r="E153" s="1180" t="s">
        <v>204</v>
      </c>
    </row>
    <row r="154" spans="1:5" x14ac:dyDescent="0.25">
      <c r="A154" s="1187">
        <v>153</v>
      </c>
      <c r="B154" s="1179" t="s">
        <v>1518</v>
      </c>
      <c r="C154" s="1179" t="s">
        <v>1554</v>
      </c>
      <c r="D154" s="1187" t="s">
        <v>1528</v>
      </c>
      <c r="E154" s="1183" t="s">
        <v>734</v>
      </c>
    </row>
    <row r="155" spans="1:5" x14ac:dyDescent="0.25">
      <c r="A155" s="1187">
        <v>154</v>
      </c>
      <c r="B155" s="1179" t="s">
        <v>917</v>
      </c>
      <c r="C155" s="1179" t="s">
        <v>1554</v>
      </c>
      <c r="D155" s="1187" t="s">
        <v>1528</v>
      </c>
      <c r="E155" s="1180" t="s">
        <v>1283</v>
      </c>
    </row>
    <row r="156" spans="1:5" x14ac:dyDescent="0.25">
      <c r="A156" s="1187">
        <v>155</v>
      </c>
      <c r="B156" s="1179" t="s">
        <v>1518</v>
      </c>
      <c r="C156" s="1179" t="s">
        <v>1554</v>
      </c>
      <c r="D156" s="1187" t="s">
        <v>1528</v>
      </c>
      <c r="E156" s="1180" t="s">
        <v>794</v>
      </c>
    </row>
    <row r="157" spans="1:5" x14ac:dyDescent="0.25">
      <c r="A157" s="1187">
        <v>156</v>
      </c>
      <c r="B157" s="1179" t="s">
        <v>917</v>
      </c>
      <c r="C157" s="1179" t="s">
        <v>1554</v>
      </c>
      <c r="D157" s="1179" t="s">
        <v>1528</v>
      </c>
      <c r="E157" s="1184" t="s">
        <v>1365</v>
      </c>
    </row>
    <row r="158" spans="1:5" ht="30" x14ac:dyDescent="0.25">
      <c r="A158" s="1187">
        <v>157</v>
      </c>
      <c r="B158" s="1179" t="s">
        <v>917</v>
      </c>
      <c r="C158" s="1179" t="s">
        <v>1554</v>
      </c>
      <c r="D158" s="1179" t="s">
        <v>1528</v>
      </c>
      <c r="E158" s="1184" t="s">
        <v>1366</v>
      </c>
    </row>
    <row r="159" spans="1:5" x14ac:dyDescent="0.25">
      <c r="A159" s="1187">
        <v>158</v>
      </c>
      <c r="B159" s="1179" t="s">
        <v>917</v>
      </c>
      <c r="C159" s="1179" t="s">
        <v>1554</v>
      </c>
      <c r="D159" s="1179" t="s">
        <v>1528</v>
      </c>
      <c r="E159" s="1184" t="s">
        <v>1286</v>
      </c>
    </row>
    <row r="160" spans="1:5" x14ac:dyDescent="0.25">
      <c r="A160" s="1187">
        <v>159</v>
      </c>
      <c r="B160" s="1179" t="s">
        <v>917</v>
      </c>
      <c r="C160" s="1179" t="s">
        <v>1554</v>
      </c>
      <c r="D160" s="1179" t="s">
        <v>1528</v>
      </c>
      <c r="E160" s="1184" t="s">
        <v>1287</v>
      </c>
    </row>
    <row r="161" spans="1:5" x14ac:dyDescent="0.25">
      <c r="A161" s="1187">
        <v>160</v>
      </c>
      <c r="B161" s="1179" t="s">
        <v>917</v>
      </c>
      <c r="C161" s="1179" t="s">
        <v>1554</v>
      </c>
      <c r="D161" s="1179" t="s">
        <v>1528</v>
      </c>
      <c r="E161" s="1184" t="s">
        <v>1288</v>
      </c>
    </row>
    <row r="162" spans="1:5" x14ac:dyDescent="0.25">
      <c r="A162" s="1187">
        <v>161</v>
      </c>
      <c r="B162" s="1179" t="s">
        <v>917</v>
      </c>
      <c r="C162" s="1179" t="s">
        <v>1554</v>
      </c>
      <c r="D162" s="1179" t="s">
        <v>1528</v>
      </c>
      <c r="E162" s="1184" t="s">
        <v>1289</v>
      </c>
    </row>
    <row r="163" spans="1:5" x14ac:dyDescent="0.25">
      <c r="A163" s="1187">
        <v>162</v>
      </c>
      <c r="B163" s="1179" t="s">
        <v>917</v>
      </c>
      <c r="C163" s="1179" t="s">
        <v>1554</v>
      </c>
      <c r="D163" s="1179" t="s">
        <v>1528</v>
      </c>
      <c r="E163" s="1184" t="s">
        <v>1290</v>
      </c>
    </row>
    <row r="164" spans="1:5" x14ac:dyDescent="0.25">
      <c r="A164" s="1187">
        <v>163</v>
      </c>
      <c r="B164" s="1179" t="s">
        <v>917</v>
      </c>
      <c r="C164" s="1179" t="s">
        <v>1554</v>
      </c>
      <c r="D164" s="1179" t="s">
        <v>1528</v>
      </c>
      <c r="E164" s="1184" t="s">
        <v>1546</v>
      </c>
    </row>
    <row r="165" spans="1:5" x14ac:dyDescent="0.25">
      <c r="A165" s="1187">
        <v>164</v>
      </c>
      <c r="B165" s="1179" t="s">
        <v>917</v>
      </c>
      <c r="C165" s="1179" t="s">
        <v>1554</v>
      </c>
      <c r="D165" s="1179" t="s">
        <v>1528</v>
      </c>
      <c r="E165" s="1184" t="s">
        <v>1547</v>
      </c>
    </row>
    <row r="166" spans="1:5" x14ac:dyDescent="0.25">
      <c r="A166" s="1187">
        <v>165</v>
      </c>
      <c r="B166" s="1179" t="s">
        <v>1518</v>
      </c>
      <c r="C166" s="1179" t="s">
        <v>1554</v>
      </c>
      <c r="D166" s="1179" t="s">
        <v>1548</v>
      </c>
      <c r="E166" s="1180" t="s">
        <v>793</v>
      </c>
    </row>
    <row r="167" spans="1:5" x14ac:dyDescent="0.25">
      <c r="A167" s="1187">
        <v>166</v>
      </c>
      <c r="B167" s="1179" t="s">
        <v>1518</v>
      </c>
      <c r="C167" s="1179" t="s">
        <v>1554</v>
      </c>
      <c r="D167" s="1179" t="s">
        <v>1548</v>
      </c>
      <c r="E167" s="1180" t="s">
        <v>1280</v>
      </c>
    </row>
    <row r="168" spans="1:5" x14ac:dyDescent="0.25">
      <c r="A168" s="1187">
        <v>167</v>
      </c>
      <c r="B168" s="1179" t="s">
        <v>1518</v>
      </c>
      <c r="C168" s="1179" t="s">
        <v>1554</v>
      </c>
      <c r="D168" s="1179" t="s">
        <v>1528</v>
      </c>
      <c r="E168" s="1180" t="s">
        <v>1281</v>
      </c>
    </row>
    <row r="169" spans="1:5" x14ac:dyDescent="0.25">
      <c r="A169" s="1187">
        <v>168</v>
      </c>
      <c r="B169" s="1179" t="s">
        <v>1518</v>
      </c>
      <c r="C169" s="1179" t="s">
        <v>1554</v>
      </c>
      <c r="D169" s="1179" t="s">
        <v>1528</v>
      </c>
      <c r="E169" s="1180" t="s">
        <v>1483</v>
      </c>
    </row>
    <row r="170" spans="1:5" x14ac:dyDescent="0.25">
      <c r="A170" s="1187">
        <v>169</v>
      </c>
      <c r="B170" s="1179" t="s">
        <v>1518</v>
      </c>
      <c r="C170" s="1179" t="s">
        <v>1554</v>
      </c>
      <c r="D170" s="1179" t="s">
        <v>1528</v>
      </c>
      <c r="E170" s="1180" t="s">
        <v>1400</v>
      </c>
    </row>
    <row r="171" spans="1:5" x14ac:dyDescent="0.25">
      <c r="A171" s="1187">
        <v>170</v>
      </c>
      <c r="B171" s="1179" t="s">
        <v>1518</v>
      </c>
      <c r="C171" s="1179" t="s">
        <v>1554</v>
      </c>
      <c r="D171" s="1187" t="s">
        <v>1528</v>
      </c>
      <c r="E171" s="1180" t="s">
        <v>795</v>
      </c>
    </row>
    <row r="172" spans="1:5" x14ac:dyDescent="0.25">
      <c r="A172" s="1187">
        <v>171</v>
      </c>
      <c r="B172" s="1179" t="s">
        <v>1518</v>
      </c>
      <c r="C172" s="1179" t="s">
        <v>1554</v>
      </c>
      <c r="D172" s="1187" t="s">
        <v>1528</v>
      </c>
      <c r="E172" s="1180" t="s">
        <v>800</v>
      </c>
    </row>
    <row r="173" spans="1:5" x14ac:dyDescent="0.25">
      <c r="A173" s="1187">
        <v>172</v>
      </c>
      <c r="B173" s="1179" t="s">
        <v>1518</v>
      </c>
      <c r="C173" s="1179" t="s">
        <v>1554</v>
      </c>
      <c r="D173" s="1187" t="s">
        <v>1528</v>
      </c>
      <c r="E173" s="1180" t="s">
        <v>801</v>
      </c>
    </row>
    <row r="174" spans="1:5" x14ac:dyDescent="0.25">
      <c r="A174" s="1187">
        <v>173</v>
      </c>
      <c r="B174" s="1179" t="s">
        <v>1518</v>
      </c>
      <c r="C174" s="1179" t="s">
        <v>1554</v>
      </c>
      <c r="D174" s="1187" t="s">
        <v>1528</v>
      </c>
      <c r="E174" s="1180" t="s">
        <v>204</v>
      </c>
    </row>
    <row r="175" spans="1:5" x14ac:dyDescent="0.25">
      <c r="A175" s="1187">
        <v>174</v>
      </c>
      <c r="B175" s="1179" t="s">
        <v>1518</v>
      </c>
      <c r="C175" s="1179" t="s">
        <v>1555</v>
      </c>
      <c r="D175" s="1187" t="s">
        <v>1528</v>
      </c>
      <c r="E175" s="1183" t="s">
        <v>734</v>
      </c>
    </row>
    <row r="176" spans="1:5" x14ac:dyDescent="0.25">
      <c r="A176" s="1187">
        <v>175</v>
      </c>
      <c r="B176" s="1179" t="s">
        <v>917</v>
      </c>
      <c r="C176" s="1179" t="s">
        <v>1555</v>
      </c>
      <c r="D176" s="1187" t="s">
        <v>1528</v>
      </c>
      <c r="E176" s="1180" t="s">
        <v>1283</v>
      </c>
    </row>
    <row r="177" spans="1:5" x14ac:dyDescent="0.25">
      <c r="A177" s="1187">
        <v>176</v>
      </c>
      <c r="B177" s="1179" t="s">
        <v>1518</v>
      </c>
      <c r="C177" s="1179" t="s">
        <v>1555</v>
      </c>
      <c r="D177" s="1187" t="s">
        <v>1528</v>
      </c>
      <c r="E177" s="1180" t="s">
        <v>794</v>
      </c>
    </row>
    <row r="178" spans="1:5" x14ac:dyDescent="0.25">
      <c r="A178" s="1187">
        <v>177</v>
      </c>
      <c r="B178" s="1179" t="s">
        <v>917</v>
      </c>
      <c r="C178" s="1179" t="s">
        <v>1555</v>
      </c>
      <c r="D178" s="1179" t="s">
        <v>1528</v>
      </c>
      <c r="E178" s="1184" t="s">
        <v>1365</v>
      </c>
    </row>
    <row r="179" spans="1:5" ht="30" x14ac:dyDescent="0.25">
      <c r="A179" s="1187">
        <v>178</v>
      </c>
      <c r="B179" s="1179" t="s">
        <v>917</v>
      </c>
      <c r="C179" s="1179" t="s">
        <v>1555</v>
      </c>
      <c r="D179" s="1179" t="s">
        <v>1528</v>
      </c>
      <c r="E179" s="1184" t="s">
        <v>1366</v>
      </c>
    </row>
    <row r="180" spans="1:5" x14ac:dyDescent="0.25">
      <c r="A180" s="1187">
        <v>179</v>
      </c>
      <c r="B180" s="1179" t="s">
        <v>917</v>
      </c>
      <c r="C180" s="1179" t="s">
        <v>1555</v>
      </c>
      <c r="D180" s="1179" t="s">
        <v>1528</v>
      </c>
      <c r="E180" s="1184" t="s">
        <v>1286</v>
      </c>
    </row>
    <row r="181" spans="1:5" x14ac:dyDescent="0.25">
      <c r="A181" s="1187">
        <v>180</v>
      </c>
      <c r="B181" s="1179" t="s">
        <v>917</v>
      </c>
      <c r="C181" s="1179" t="s">
        <v>1555</v>
      </c>
      <c r="D181" s="1179" t="s">
        <v>1528</v>
      </c>
      <c r="E181" s="1184" t="s">
        <v>1287</v>
      </c>
    </row>
    <row r="182" spans="1:5" x14ac:dyDescent="0.25">
      <c r="A182" s="1187">
        <v>181</v>
      </c>
      <c r="B182" s="1179" t="s">
        <v>917</v>
      </c>
      <c r="C182" s="1179" t="s">
        <v>1555</v>
      </c>
      <c r="D182" s="1179" t="s">
        <v>1528</v>
      </c>
      <c r="E182" s="1184" t="s">
        <v>1288</v>
      </c>
    </row>
    <row r="183" spans="1:5" x14ac:dyDescent="0.25">
      <c r="A183" s="1187">
        <v>182</v>
      </c>
      <c r="B183" s="1179" t="s">
        <v>917</v>
      </c>
      <c r="C183" s="1179" t="s">
        <v>1555</v>
      </c>
      <c r="D183" s="1179" t="s">
        <v>1528</v>
      </c>
      <c r="E183" s="1184" t="s">
        <v>1289</v>
      </c>
    </row>
    <row r="184" spans="1:5" x14ac:dyDescent="0.25">
      <c r="A184" s="1187">
        <v>183</v>
      </c>
      <c r="B184" s="1179" t="s">
        <v>917</v>
      </c>
      <c r="C184" s="1179" t="s">
        <v>1555</v>
      </c>
      <c r="D184" s="1179" t="s">
        <v>1528</v>
      </c>
      <c r="E184" s="1184" t="s">
        <v>1290</v>
      </c>
    </row>
    <row r="185" spans="1:5" x14ac:dyDescent="0.25">
      <c r="A185" s="1187">
        <v>184</v>
      </c>
      <c r="B185" s="1179" t="s">
        <v>917</v>
      </c>
      <c r="C185" s="1179" t="s">
        <v>1555</v>
      </c>
      <c r="D185" s="1179" t="s">
        <v>1528</v>
      </c>
      <c r="E185" s="1184" t="s">
        <v>1546</v>
      </c>
    </row>
    <row r="186" spans="1:5" x14ac:dyDescent="0.25">
      <c r="A186" s="1187">
        <v>185</v>
      </c>
      <c r="B186" s="1179" t="s">
        <v>917</v>
      </c>
      <c r="C186" s="1179" t="s">
        <v>1555</v>
      </c>
      <c r="D186" s="1179" t="s">
        <v>1528</v>
      </c>
      <c r="E186" s="1184" t="s">
        <v>1547</v>
      </c>
    </row>
    <row r="187" spans="1:5" x14ac:dyDescent="0.25">
      <c r="A187" s="1187">
        <v>186</v>
      </c>
      <c r="B187" s="1179" t="s">
        <v>1518</v>
      </c>
      <c r="C187" s="1179" t="s">
        <v>1555</v>
      </c>
      <c r="D187" s="1179" t="s">
        <v>1548</v>
      </c>
      <c r="E187" s="1180" t="s">
        <v>793</v>
      </c>
    </row>
    <row r="188" spans="1:5" x14ac:dyDescent="0.25">
      <c r="A188" s="1187">
        <v>187</v>
      </c>
      <c r="B188" s="1179" t="s">
        <v>1518</v>
      </c>
      <c r="C188" s="1179" t="s">
        <v>1555</v>
      </c>
      <c r="D188" s="1179" t="s">
        <v>1548</v>
      </c>
      <c r="E188" s="1180" t="s">
        <v>1280</v>
      </c>
    </row>
    <row r="189" spans="1:5" x14ac:dyDescent="0.25">
      <c r="A189" s="1187">
        <v>188</v>
      </c>
      <c r="B189" s="1179" t="s">
        <v>1518</v>
      </c>
      <c r="C189" s="1179" t="s">
        <v>1555</v>
      </c>
      <c r="D189" s="1179" t="s">
        <v>1528</v>
      </c>
      <c r="E189" s="1180" t="s">
        <v>1281</v>
      </c>
    </row>
    <row r="190" spans="1:5" x14ac:dyDescent="0.25">
      <c r="A190" s="1187">
        <v>189</v>
      </c>
      <c r="B190" s="1179" t="s">
        <v>1518</v>
      </c>
      <c r="C190" s="1179" t="s">
        <v>1555</v>
      </c>
      <c r="D190" s="1179" t="s">
        <v>1528</v>
      </c>
      <c r="E190" s="1180" t="s">
        <v>1483</v>
      </c>
    </row>
    <row r="191" spans="1:5" x14ac:dyDescent="0.25">
      <c r="A191" s="1187">
        <v>190</v>
      </c>
      <c r="B191" s="1179" t="s">
        <v>1518</v>
      </c>
      <c r="C191" s="1179" t="s">
        <v>1555</v>
      </c>
      <c r="D191" s="1179" t="s">
        <v>1528</v>
      </c>
      <c r="E191" s="1180" t="s">
        <v>1400</v>
      </c>
    </row>
    <row r="192" spans="1:5" x14ac:dyDescent="0.25">
      <c r="A192" s="1187">
        <v>191</v>
      </c>
      <c r="B192" s="1179" t="s">
        <v>1518</v>
      </c>
      <c r="C192" s="1179" t="s">
        <v>1555</v>
      </c>
      <c r="D192" s="1187" t="s">
        <v>1528</v>
      </c>
      <c r="E192" s="1180" t="s">
        <v>795</v>
      </c>
    </row>
    <row r="193" spans="1:5" x14ac:dyDescent="0.25">
      <c r="A193" s="1187">
        <v>192</v>
      </c>
      <c r="B193" s="1179" t="s">
        <v>1518</v>
      </c>
      <c r="C193" s="1179" t="s">
        <v>1555</v>
      </c>
      <c r="D193" s="1187" t="s">
        <v>1528</v>
      </c>
      <c r="E193" s="1180" t="s">
        <v>800</v>
      </c>
    </row>
    <row r="194" spans="1:5" x14ac:dyDescent="0.25">
      <c r="A194" s="1187">
        <v>193</v>
      </c>
      <c r="B194" s="1179" t="s">
        <v>1518</v>
      </c>
      <c r="C194" s="1179" t="s">
        <v>1555</v>
      </c>
      <c r="D194" s="1187" t="s">
        <v>1528</v>
      </c>
      <c r="E194" s="1180" t="s">
        <v>801</v>
      </c>
    </row>
    <row r="195" spans="1:5" x14ac:dyDescent="0.25">
      <c r="A195" s="1187">
        <v>194</v>
      </c>
      <c r="B195" s="1179" t="s">
        <v>1518</v>
      </c>
      <c r="C195" s="1179" t="s">
        <v>1555</v>
      </c>
      <c r="D195" s="1187" t="s">
        <v>1528</v>
      </c>
      <c r="E195" s="1180" t="s">
        <v>204</v>
      </c>
    </row>
    <row r="196" spans="1:5" x14ac:dyDescent="0.25">
      <c r="A196" s="1187">
        <v>195</v>
      </c>
      <c r="B196" s="1179" t="s">
        <v>1518</v>
      </c>
      <c r="C196" s="1179" t="s">
        <v>1556</v>
      </c>
      <c r="D196" s="1187" t="s">
        <v>1528</v>
      </c>
      <c r="E196" s="1183" t="s">
        <v>734</v>
      </c>
    </row>
    <row r="197" spans="1:5" x14ac:dyDescent="0.25">
      <c r="A197" s="1187">
        <v>196</v>
      </c>
      <c r="B197" s="1179" t="s">
        <v>917</v>
      </c>
      <c r="C197" s="1179" t="s">
        <v>1556</v>
      </c>
      <c r="D197" s="1187" t="s">
        <v>1528</v>
      </c>
      <c r="E197" s="1180" t="s">
        <v>1283</v>
      </c>
    </row>
    <row r="198" spans="1:5" x14ac:dyDescent="0.25">
      <c r="A198" s="1187">
        <v>197</v>
      </c>
      <c r="B198" s="1179" t="s">
        <v>1518</v>
      </c>
      <c r="C198" s="1179" t="s">
        <v>1556</v>
      </c>
      <c r="D198" s="1187" t="s">
        <v>1528</v>
      </c>
      <c r="E198" s="1180" t="s">
        <v>794</v>
      </c>
    </row>
    <row r="199" spans="1:5" x14ac:dyDescent="0.25">
      <c r="A199" s="1187">
        <v>198</v>
      </c>
      <c r="B199" s="1179" t="s">
        <v>917</v>
      </c>
      <c r="C199" s="1179" t="s">
        <v>1556</v>
      </c>
      <c r="D199" s="1179" t="s">
        <v>1528</v>
      </c>
      <c r="E199" s="1184" t="s">
        <v>1365</v>
      </c>
    </row>
    <row r="200" spans="1:5" ht="30" x14ac:dyDescent="0.25">
      <c r="A200" s="1187">
        <v>199</v>
      </c>
      <c r="B200" s="1179" t="s">
        <v>917</v>
      </c>
      <c r="C200" s="1179" t="s">
        <v>1556</v>
      </c>
      <c r="D200" s="1179" t="s">
        <v>1528</v>
      </c>
      <c r="E200" s="1184" t="s">
        <v>1366</v>
      </c>
    </row>
    <row r="201" spans="1:5" x14ac:dyDescent="0.25">
      <c r="A201" s="1187">
        <v>200</v>
      </c>
      <c r="B201" s="1179" t="s">
        <v>917</v>
      </c>
      <c r="C201" s="1179" t="s">
        <v>1556</v>
      </c>
      <c r="D201" s="1179" t="s">
        <v>1528</v>
      </c>
      <c r="E201" s="1184" t="s">
        <v>1286</v>
      </c>
    </row>
    <row r="202" spans="1:5" x14ac:dyDescent="0.25">
      <c r="A202" s="1187">
        <v>201</v>
      </c>
      <c r="B202" s="1179" t="s">
        <v>917</v>
      </c>
      <c r="C202" s="1179" t="s">
        <v>1556</v>
      </c>
      <c r="D202" s="1179" t="s">
        <v>1528</v>
      </c>
      <c r="E202" s="1184" t="s">
        <v>1287</v>
      </c>
    </row>
    <row r="203" spans="1:5" x14ac:dyDescent="0.25">
      <c r="A203" s="1187">
        <v>202</v>
      </c>
      <c r="B203" s="1179" t="s">
        <v>917</v>
      </c>
      <c r="C203" s="1179" t="s">
        <v>1556</v>
      </c>
      <c r="D203" s="1179" t="s">
        <v>1528</v>
      </c>
      <c r="E203" s="1184" t="s">
        <v>1288</v>
      </c>
    </row>
    <row r="204" spans="1:5" x14ac:dyDescent="0.25">
      <c r="A204" s="1187">
        <v>203</v>
      </c>
      <c r="B204" s="1179" t="s">
        <v>917</v>
      </c>
      <c r="C204" s="1179" t="s">
        <v>1556</v>
      </c>
      <c r="D204" s="1179" t="s">
        <v>1528</v>
      </c>
      <c r="E204" s="1184" t="s">
        <v>1289</v>
      </c>
    </row>
    <row r="205" spans="1:5" x14ac:dyDescent="0.25">
      <c r="A205" s="1187">
        <v>204</v>
      </c>
      <c r="B205" s="1179" t="s">
        <v>917</v>
      </c>
      <c r="C205" s="1179" t="s">
        <v>1556</v>
      </c>
      <c r="D205" s="1179" t="s">
        <v>1528</v>
      </c>
      <c r="E205" s="1184" t="s">
        <v>1290</v>
      </c>
    </row>
    <row r="206" spans="1:5" x14ac:dyDescent="0.25">
      <c r="A206" s="1187">
        <v>205</v>
      </c>
      <c r="B206" s="1179" t="s">
        <v>917</v>
      </c>
      <c r="C206" s="1179" t="s">
        <v>1556</v>
      </c>
      <c r="D206" s="1179" t="s">
        <v>1528</v>
      </c>
      <c r="E206" s="1184" t="s">
        <v>1546</v>
      </c>
    </row>
    <row r="207" spans="1:5" x14ac:dyDescent="0.25">
      <c r="A207" s="1187">
        <v>206</v>
      </c>
      <c r="B207" s="1179" t="s">
        <v>917</v>
      </c>
      <c r="C207" s="1179" t="s">
        <v>1556</v>
      </c>
      <c r="D207" s="1179" t="s">
        <v>1528</v>
      </c>
      <c r="E207" s="1184" t="s">
        <v>1547</v>
      </c>
    </row>
    <row r="208" spans="1:5" x14ac:dyDescent="0.25">
      <c r="A208" s="1187">
        <v>207</v>
      </c>
      <c r="B208" s="1179" t="s">
        <v>1518</v>
      </c>
      <c r="C208" s="1179" t="s">
        <v>1556</v>
      </c>
      <c r="D208" s="1179" t="s">
        <v>1548</v>
      </c>
      <c r="E208" s="1180" t="s">
        <v>793</v>
      </c>
    </row>
    <row r="209" spans="1:5" x14ac:dyDescent="0.25">
      <c r="A209" s="1187">
        <v>208</v>
      </c>
      <c r="B209" s="1179" t="s">
        <v>1518</v>
      </c>
      <c r="C209" s="1179" t="s">
        <v>1556</v>
      </c>
      <c r="D209" s="1179" t="s">
        <v>1548</v>
      </c>
      <c r="E209" s="1180" t="s">
        <v>1280</v>
      </c>
    </row>
    <row r="210" spans="1:5" x14ac:dyDescent="0.25">
      <c r="A210" s="1187">
        <v>209</v>
      </c>
      <c r="B210" s="1179" t="s">
        <v>1518</v>
      </c>
      <c r="C210" s="1179" t="s">
        <v>1556</v>
      </c>
      <c r="D210" s="1179" t="s">
        <v>1528</v>
      </c>
      <c r="E210" s="1180" t="s">
        <v>1281</v>
      </c>
    </row>
    <row r="211" spans="1:5" x14ac:dyDescent="0.25">
      <c r="A211" s="1187">
        <v>210</v>
      </c>
      <c r="B211" s="1179" t="s">
        <v>1518</v>
      </c>
      <c r="C211" s="1179" t="s">
        <v>1556</v>
      </c>
      <c r="D211" s="1179" t="s">
        <v>1528</v>
      </c>
      <c r="E211" s="1180" t="s">
        <v>1483</v>
      </c>
    </row>
    <row r="212" spans="1:5" x14ac:dyDescent="0.25">
      <c r="A212" s="1187">
        <v>211</v>
      </c>
      <c r="B212" s="1179" t="s">
        <v>1518</v>
      </c>
      <c r="C212" s="1179" t="s">
        <v>1556</v>
      </c>
      <c r="D212" s="1179" t="s">
        <v>1528</v>
      </c>
      <c r="E212" s="1180" t="s">
        <v>1400</v>
      </c>
    </row>
    <row r="213" spans="1:5" x14ac:dyDescent="0.25">
      <c r="A213" s="1187">
        <v>212</v>
      </c>
      <c r="B213" s="1179" t="s">
        <v>1518</v>
      </c>
      <c r="C213" s="1179" t="s">
        <v>1556</v>
      </c>
      <c r="D213" s="1187" t="s">
        <v>1528</v>
      </c>
      <c r="E213" s="1180" t="s">
        <v>795</v>
      </c>
    </row>
    <row r="214" spans="1:5" x14ac:dyDescent="0.25">
      <c r="A214" s="1187">
        <v>213</v>
      </c>
      <c r="B214" s="1179" t="s">
        <v>1518</v>
      </c>
      <c r="C214" s="1179" t="s">
        <v>1556</v>
      </c>
      <c r="D214" s="1187" t="s">
        <v>1528</v>
      </c>
      <c r="E214" s="1180" t="s">
        <v>800</v>
      </c>
    </row>
    <row r="215" spans="1:5" x14ac:dyDescent="0.25">
      <c r="A215" s="1187">
        <v>214</v>
      </c>
      <c r="B215" s="1179" t="s">
        <v>1518</v>
      </c>
      <c r="C215" s="1179" t="s">
        <v>1556</v>
      </c>
      <c r="D215" s="1187" t="s">
        <v>1528</v>
      </c>
      <c r="E215" s="1180" t="s">
        <v>801</v>
      </c>
    </row>
    <row r="216" spans="1:5" x14ac:dyDescent="0.25">
      <c r="A216" s="1187">
        <v>215</v>
      </c>
      <c r="B216" s="1179" t="s">
        <v>1518</v>
      </c>
      <c r="C216" s="1179" t="s">
        <v>1556</v>
      </c>
      <c r="D216" s="1187" t="s">
        <v>1528</v>
      </c>
      <c r="E216" s="1180" t="s">
        <v>204</v>
      </c>
    </row>
    <row r="217" spans="1:5" x14ac:dyDescent="0.25">
      <c r="A217" s="1187">
        <v>216</v>
      </c>
      <c r="B217" s="1179" t="s">
        <v>1518</v>
      </c>
      <c r="C217" s="1179" t="s">
        <v>1557</v>
      </c>
      <c r="D217" s="1187" t="s">
        <v>1528</v>
      </c>
      <c r="E217" s="1183" t="s">
        <v>734</v>
      </c>
    </row>
    <row r="218" spans="1:5" x14ac:dyDescent="0.25">
      <c r="A218" s="1187">
        <v>217</v>
      </c>
      <c r="B218" s="1179" t="s">
        <v>917</v>
      </c>
      <c r="C218" s="1179" t="s">
        <v>1557</v>
      </c>
      <c r="D218" s="1187" t="s">
        <v>1528</v>
      </c>
      <c r="E218" s="1180" t="s">
        <v>1283</v>
      </c>
    </row>
    <row r="219" spans="1:5" x14ac:dyDescent="0.25">
      <c r="A219" s="1187">
        <v>218</v>
      </c>
      <c r="B219" s="1179" t="s">
        <v>1518</v>
      </c>
      <c r="C219" s="1179" t="s">
        <v>1557</v>
      </c>
      <c r="D219" s="1187" t="s">
        <v>1528</v>
      </c>
      <c r="E219" s="1180" t="s">
        <v>794</v>
      </c>
    </row>
    <row r="220" spans="1:5" x14ac:dyDescent="0.25">
      <c r="A220" s="1187">
        <v>219</v>
      </c>
      <c r="B220" s="1179" t="s">
        <v>917</v>
      </c>
      <c r="C220" s="1179" t="s">
        <v>1557</v>
      </c>
      <c r="D220" s="1179" t="s">
        <v>1528</v>
      </c>
      <c r="E220" s="1184" t="s">
        <v>1365</v>
      </c>
    </row>
    <row r="221" spans="1:5" ht="30" x14ac:dyDescent="0.25">
      <c r="A221" s="1187">
        <v>220</v>
      </c>
      <c r="B221" s="1179" t="s">
        <v>917</v>
      </c>
      <c r="C221" s="1179" t="s">
        <v>1557</v>
      </c>
      <c r="D221" s="1179" t="s">
        <v>1528</v>
      </c>
      <c r="E221" s="1184" t="s">
        <v>1366</v>
      </c>
    </row>
    <row r="222" spans="1:5" x14ac:dyDescent="0.25">
      <c r="A222" s="1187">
        <v>221</v>
      </c>
      <c r="B222" s="1179" t="s">
        <v>917</v>
      </c>
      <c r="C222" s="1179" t="s">
        <v>1557</v>
      </c>
      <c r="D222" s="1179" t="s">
        <v>1528</v>
      </c>
      <c r="E222" s="1184" t="s">
        <v>1286</v>
      </c>
    </row>
    <row r="223" spans="1:5" x14ac:dyDescent="0.25">
      <c r="A223" s="1187">
        <v>222</v>
      </c>
      <c r="B223" s="1179" t="s">
        <v>917</v>
      </c>
      <c r="C223" s="1179" t="s">
        <v>1557</v>
      </c>
      <c r="D223" s="1179" t="s">
        <v>1528</v>
      </c>
      <c r="E223" s="1184" t="s">
        <v>1287</v>
      </c>
    </row>
    <row r="224" spans="1:5" x14ac:dyDescent="0.25">
      <c r="A224" s="1187">
        <v>223</v>
      </c>
      <c r="B224" s="1179" t="s">
        <v>917</v>
      </c>
      <c r="C224" s="1179" t="s">
        <v>1557</v>
      </c>
      <c r="D224" s="1179" t="s">
        <v>1528</v>
      </c>
      <c r="E224" s="1184" t="s">
        <v>1288</v>
      </c>
    </row>
    <row r="225" spans="1:5" x14ac:dyDescent="0.25">
      <c r="A225" s="1187">
        <v>224</v>
      </c>
      <c r="B225" s="1179" t="s">
        <v>917</v>
      </c>
      <c r="C225" s="1179" t="s">
        <v>1557</v>
      </c>
      <c r="D225" s="1179" t="s">
        <v>1528</v>
      </c>
      <c r="E225" s="1184" t="s">
        <v>1289</v>
      </c>
    </row>
    <row r="226" spans="1:5" x14ac:dyDescent="0.25">
      <c r="A226" s="1187">
        <v>225</v>
      </c>
      <c r="B226" s="1179" t="s">
        <v>917</v>
      </c>
      <c r="C226" s="1179" t="s">
        <v>1557</v>
      </c>
      <c r="D226" s="1179" t="s">
        <v>1528</v>
      </c>
      <c r="E226" s="1184" t="s">
        <v>1290</v>
      </c>
    </row>
    <row r="227" spans="1:5" x14ac:dyDescent="0.25">
      <c r="A227" s="1187">
        <v>226</v>
      </c>
      <c r="B227" s="1179" t="s">
        <v>917</v>
      </c>
      <c r="C227" s="1179" t="s">
        <v>1557</v>
      </c>
      <c r="D227" s="1179" t="s">
        <v>1528</v>
      </c>
      <c r="E227" s="1184" t="s">
        <v>1546</v>
      </c>
    </row>
    <row r="228" spans="1:5" x14ac:dyDescent="0.25">
      <c r="A228" s="1187">
        <v>227</v>
      </c>
      <c r="B228" s="1179" t="s">
        <v>917</v>
      </c>
      <c r="C228" s="1179" t="s">
        <v>1557</v>
      </c>
      <c r="D228" s="1179" t="s">
        <v>1528</v>
      </c>
      <c r="E228" s="1184" t="s">
        <v>1547</v>
      </c>
    </row>
    <row r="229" spans="1:5" x14ac:dyDescent="0.25">
      <c r="A229" s="1187">
        <v>228</v>
      </c>
      <c r="B229" s="1179" t="s">
        <v>1518</v>
      </c>
      <c r="C229" s="1179" t="s">
        <v>1557</v>
      </c>
      <c r="D229" s="1179" t="s">
        <v>1548</v>
      </c>
      <c r="E229" s="1180" t="s">
        <v>793</v>
      </c>
    </row>
    <row r="230" spans="1:5" x14ac:dyDescent="0.25">
      <c r="A230" s="1187">
        <v>229</v>
      </c>
      <c r="B230" s="1179" t="s">
        <v>1518</v>
      </c>
      <c r="C230" s="1179" t="s">
        <v>1557</v>
      </c>
      <c r="D230" s="1179" t="s">
        <v>1548</v>
      </c>
      <c r="E230" s="1180" t="s">
        <v>1280</v>
      </c>
    </row>
    <row r="231" spans="1:5" x14ac:dyDescent="0.25">
      <c r="A231" s="1187">
        <v>230</v>
      </c>
      <c r="B231" s="1179" t="s">
        <v>1518</v>
      </c>
      <c r="C231" s="1179" t="s">
        <v>1557</v>
      </c>
      <c r="D231" s="1179" t="s">
        <v>1528</v>
      </c>
      <c r="E231" s="1180" t="s">
        <v>1281</v>
      </c>
    </row>
    <row r="232" spans="1:5" x14ac:dyDescent="0.25">
      <c r="A232" s="1187">
        <v>231</v>
      </c>
      <c r="B232" s="1179" t="s">
        <v>1518</v>
      </c>
      <c r="C232" s="1179" t="s">
        <v>1557</v>
      </c>
      <c r="D232" s="1179" t="s">
        <v>1528</v>
      </c>
      <c r="E232" s="1180" t="s">
        <v>1483</v>
      </c>
    </row>
    <row r="233" spans="1:5" x14ac:dyDescent="0.25">
      <c r="A233" s="1187">
        <v>232</v>
      </c>
      <c r="B233" s="1179" t="s">
        <v>1518</v>
      </c>
      <c r="C233" s="1179" t="s">
        <v>1557</v>
      </c>
      <c r="D233" s="1179" t="s">
        <v>1528</v>
      </c>
      <c r="E233" s="1180" t="s">
        <v>1400</v>
      </c>
    </row>
    <row r="234" spans="1:5" x14ac:dyDescent="0.25">
      <c r="A234" s="1187">
        <v>233</v>
      </c>
      <c r="B234" s="1179" t="s">
        <v>1518</v>
      </c>
      <c r="C234" s="1179" t="s">
        <v>1557</v>
      </c>
      <c r="D234" s="1187" t="s">
        <v>1528</v>
      </c>
      <c r="E234" s="1180" t="s">
        <v>795</v>
      </c>
    </row>
    <row r="235" spans="1:5" x14ac:dyDescent="0.25">
      <c r="A235" s="1187">
        <v>234</v>
      </c>
      <c r="B235" s="1179" t="s">
        <v>1518</v>
      </c>
      <c r="C235" s="1179" t="s">
        <v>1557</v>
      </c>
      <c r="D235" s="1187" t="s">
        <v>1528</v>
      </c>
      <c r="E235" s="1180" t="s">
        <v>800</v>
      </c>
    </row>
    <row r="236" spans="1:5" x14ac:dyDescent="0.25">
      <c r="A236" s="1187">
        <v>235</v>
      </c>
      <c r="B236" s="1179" t="s">
        <v>1518</v>
      </c>
      <c r="C236" s="1179" t="s">
        <v>1557</v>
      </c>
      <c r="D236" s="1187" t="s">
        <v>1528</v>
      </c>
      <c r="E236" s="1180" t="s">
        <v>801</v>
      </c>
    </row>
    <row r="237" spans="1:5" x14ac:dyDescent="0.25">
      <c r="A237" s="1187">
        <v>236</v>
      </c>
      <c r="B237" s="1179" t="s">
        <v>1518</v>
      </c>
      <c r="C237" s="1179" t="s">
        <v>1557</v>
      </c>
      <c r="D237" s="1187" t="s">
        <v>1528</v>
      </c>
      <c r="E237" s="1180" t="s">
        <v>204</v>
      </c>
    </row>
    <row r="238" spans="1:5" x14ac:dyDescent="0.25">
      <c r="A238" s="1187">
        <v>237</v>
      </c>
      <c r="B238" s="1179" t="s">
        <v>1382</v>
      </c>
      <c r="C238" s="1179" t="s">
        <v>1558</v>
      </c>
      <c r="D238" s="1187" t="s">
        <v>1559</v>
      </c>
      <c r="E238" s="1180" t="s">
        <v>1560</v>
      </c>
    </row>
    <row r="239" spans="1:5" x14ac:dyDescent="0.25">
      <c r="A239" s="1187">
        <v>238</v>
      </c>
      <c r="B239" s="1179" t="s">
        <v>1382</v>
      </c>
      <c r="C239" s="1179" t="s">
        <v>1558</v>
      </c>
      <c r="D239" s="1187" t="s">
        <v>1561</v>
      </c>
      <c r="E239" s="1180" t="s">
        <v>1494</v>
      </c>
    </row>
    <row r="240" spans="1:5" x14ac:dyDescent="0.25">
      <c r="A240" s="1187">
        <v>239</v>
      </c>
      <c r="B240" s="1179" t="s">
        <v>1382</v>
      </c>
      <c r="C240" s="1179" t="s">
        <v>1558</v>
      </c>
      <c r="D240" s="1179" t="s">
        <v>1562</v>
      </c>
      <c r="E240" s="1180" t="s">
        <v>1370</v>
      </c>
    </row>
    <row r="241" spans="1:5" x14ac:dyDescent="0.25">
      <c r="A241" s="1187">
        <v>240</v>
      </c>
      <c r="B241" s="1179" t="s">
        <v>1382</v>
      </c>
      <c r="C241" s="1179" t="s">
        <v>99</v>
      </c>
      <c r="D241" s="1179" t="s">
        <v>1563</v>
      </c>
      <c r="E241" s="1183" t="s">
        <v>1392</v>
      </c>
    </row>
    <row r="242" spans="1:5" x14ac:dyDescent="0.25">
      <c r="A242" s="1187">
        <v>241</v>
      </c>
      <c r="B242" s="1179" t="s">
        <v>1382</v>
      </c>
      <c r="C242" s="1179" t="s">
        <v>99</v>
      </c>
      <c r="D242" s="1179" t="s">
        <v>1528</v>
      </c>
      <c r="E242" s="1185" t="s">
        <v>254</v>
      </c>
    </row>
    <row r="243" spans="1:5" x14ac:dyDescent="0.25">
      <c r="A243" s="1187">
        <v>243</v>
      </c>
      <c r="B243" s="1179" t="s">
        <v>1382</v>
      </c>
      <c r="C243" s="1179" t="s">
        <v>99</v>
      </c>
      <c r="D243" s="1179" t="s">
        <v>1382</v>
      </c>
      <c r="E243" s="1185" t="s">
        <v>1348</v>
      </c>
    </row>
    <row r="244" spans="1:5" x14ac:dyDescent="0.25">
      <c r="A244" s="1187">
        <v>244</v>
      </c>
      <c r="B244" s="1179" t="s">
        <v>1382</v>
      </c>
      <c r="C244" s="1179" t="s">
        <v>99</v>
      </c>
      <c r="D244" s="1179" t="s">
        <v>1382</v>
      </c>
      <c r="E244" s="1185" t="s">
        <v>225</v>
      </c>
    </row>
    <row r="245" spans="1:5" x14ac:dyDescent="0.25">
      <c r="A245" s="1187">
        <v>245</v>
      </c>
      <c r="B245" s="1179" t="s">
        <v>208</v>
      </c>
      <c r="C245" s="1179" t="s">
        <v>99</v>
      </c>
      <c r="D245" s="1179" t="s">
        <v>1528</v>
      </c>
      <c r="E245" s="1184" t="s">
        <v>466</v>
      </c>
    </row>
    <row r="246" spans="1:5" x14ac:dyDescent="0.25">
      <c r="A246" s="1187">
        <v>246</v>
      </c>
      <c r="B246" s="1179" t="s">
        <v>1382</v>
      </c>
      <c r="C246" s="1179" t="s">
        <v>99</v>
      </c>
      <c r="D246" s="1179" t="s">
        <v>1382</v>
      </c>
      <c r="E246" s="1184" t="s">
        <v>1385</v>
      </c>
    </row>
    <row r="247" spans="1:5" x14ac:dyDescent="0.25">
      <c r="A247" s="1187">
        <v>247</v>
      </c>
      <c r="B247" s="1179" t="s">
        <v>1382</v>
      </c>
      <c r="C247" s="1179" t="s">
        <v>99</v>
      </c>
      <c r="D247" s="1179" t="s">
        <v>1528</v>
      </c>
      <c r="E247" s="1184" t="s">
        <v>1387</v>
      </c>
    </row>
    <row r="248" spans="1:5" x14ac:dyDescent="0.25">
      <c r="A248" s="1187">
        <v>248</v>
      </c>
      <c r="B248" s="1179" t="s">
        <v>1382</v>
      </c>
      <c r="C248" s="1179" t="s">
        <v>99</v>
      </c>
      <c r="D248" s="1179" t="s">
        <v>1528</v>
      </c>
      <c r="E248" s="1184" t="s">
        <v>1388</v>
      </c>
    </row>
    <row r="249" spans="1:5" x14ac:dyDescent="0.25">
      <c r="A249" s="1187">
        <v>249</v>
      </c>
      <c r="B249" s="1179" t="s">
        <v>1382</v>
      </c>
      <c r="C249" s="1179" t="s">
        <v>99</v>
      </c>
      <c r="D249" s="1179" t="s">
        <v>1564</v>
      </c>
      <c r="E249" s="1184" t="s">
        <v>1389</v>
      </c>
    </row>
    <row r="250" spans="1:5" x14ac:dyDescent="0.25">
      <c r="A250" s="1187">
        <v>250</v>
      </c>
      <c r="B250" s="1179" t="s">
        <v>1382</v>
      </c>
      <c r="C250" s="1179" t="s">
        <v>99</v>
      </c>
      <c r="D250" s="1179" t="s">
        <v>1528</v>
      </c>
      <c r="E250" s="1184" t="s">
        <v>1390</v>
      </c>
    </row>
    <row r="251" spans="1:5" x14ac:dyDescent="0.25">
      <c r="A251" s="1187">
        <v>251</v>
      </c>
      <c r="B251" s="1179" t="s">
        <v>1382</v>
      </c>
      <c r="C251" s="1179" t="s">
        <v>99</v>
      </c>
      <c r="D251" s="1179" t="s">
        <v>1564</v>
      </c>
      <c r="E251" s="1184" t="s">
        <v>1391</v>
      </c>
    </row>
    <row r="252" spans="1:5" x14ac:dyDescent="0.25">
      <c r="A252" s="1187">
        <v>252</v>
      </c>
      <c r="B252" s="1179" t="s">
        <v>1382</v>
      </c>
      <c r="C252" s="1179" t="s">
        <v>99</v>
      </c>
      <c r="D252" s="1179" t="s">
        <v>1564</v>
      </c>
      <c r="E252" s="1184" t="s">
        <v>1329</v>
      </c>
    </row>
    <row r="253" spans="1:5" x14ac:dyDescent="0.25">
      <c r="A253" s="1187">
        <v>253</v>
      </c>
      <c r="B253" s="1179" t="s">
        <v>1382</v>
      </c>
      <c r="C253" s="1179" t="s">
        <v>103</v>
      </c>
      <c r="D253" s="1179" t="s">
        <v>1563</v>
      </c>
      <c r="E253" s="1183" t="s">
        <v>1392</v>
      </c>
    </row>
    <row r="254" spans="1:5" x14ac:dyDescent="0.25">
      <c r="A254" s="1187">
        <v>254</v>
      </c>
      <c r="B254" s="1179" t="s">
        <v>1382</v>
      </c>
      <c r="C254" s="1179" t="s">
        <v>103</v>
      </c>
      <c r="D254" s="1179" t="s">
        <v>1528</v>
      </c>
      <c r="E254" s="1180" t="s">
        <v>254</v>
      </c>
    </row>
    <row r="255" spans="1:5" x14ac:dyDescent="0.25">
      <c r="A255" s="1187">
        <v>256</v>
      </c>
      <c r="B255" s="1179" t="s">
        <v>1382</v>
      </c>
      <c r="C255" s="1179" t="s">
        <v>103</v>
      </c>
      <c r="D255" s="1179" t="s">
        <v>1382</v>
      </c>
      <c r="E255" s="1185" t="s">
        <v>1348</v>
      </c>
    </row>
    <row r="256" spans="1:5" x14ac:dyDescent="0.25">
      <c r="A256" s="1187">
        <v>257</v>
      </c>
      <c r="B256" s="1179" t="s">
        <v>1382</v>
      </c>
      <c r="C256" s="1179" t="s">
        <v>103</v>
      </c>
      <c r="D256" s="1179" t="s">
        <v>1382</v>
      </c>
      <c r="E256" s="1185" t="s">
        <v>225</v>
      </c>
    </row>
    <row r="257" spans="1:5" x14ac:dyDescent="0.25">
      <c r="A257" s="1187">
        <v>258</v>
      </c>
      <c r="B257" s="1179" t="s">
        <v>208</v>
      </c>
      <c r="C257" s="1179" t="s">
        <v>103</v>
      </c>
      <c r="D257" s="1179" t="s">
        <v>1528</v>
      </c>
      <c r="E257" s="1184" t="s">
        <v>466</v>
      </c>
    </row>
    <row r="258" spans="1:5" x14ac:dyDescent="0.25">
      <c r="A258" s="1187">
        <v>259</v>
      </c>
      <c r="B258" s="1179" t="s">
        <v>1382</v>
      </c>
      <c r="C258" s="1179" t="s">
        <v>103</v>
      </c>
      <c r="D258" s="1179" t="s">
        <v>1382</v>
      </c>
      <c r="E258" s="1184" t="s">
        <v>1385</v>
      </c>
    </row>
    <row r="259" spans="1:5" x14ac:dyDescent="0.25">
      <c r="A259" s="1187">
        <v>260</v>
      </c>
      <c r="B259" s="1179" t="s">
        <v>1382</v>
      </c>
      <c r="C259" s="1179" t="s">
        <v>103</v>
      </c>
      <c r="D259" s="1179" t="s">
        <v>1528</v>
      </c>
      <c r="E259" s="1184" t="s">
        <v>1387</v>
      </c>
    </row>
    <row r="260" spans="1:5" x14ac:dyDescent="0.25">
      <c r="A260" s="1187">
        <v>261</v>
      </c>
      <c r="B260" s="1179" t="s">
        <v>1382</v>
      </c>
      <c r="C260" s="1179" t="s">
        <v>103</v>
      </c>
      <c r="D260" s="1179" t="s">
        <v>1528</v>
      </c>
      <c r="E260" s="1184" t="s">
        <v>1388</v>
      </c>
    </row>
    <row r="261" spans="1:5" x14ac:dyDescent="0.25">
      <c r="A261" s="1187">
        <v>262</v>
      </c>
      <c r="B261" s="1179" t="s">
        <v>1382</v>
      </c>
      <c r="C261" s="1179" t="s">
        <v>103</v>
      </c>
      <c r="D261" s="1179" t="s">
        <v>1564</v>
      </c>
      <c r="E261" s="1184" t="s">
        <v>1389</v>
      </c>
    </row>
    <row r="262" spans="1:5" x14ac:dyDescent="0.25">
      <c r="A262" s="1187">
        <v>263</v>
      </c>
      <c r="B262" s="1179" t="s">
        <v>1382</v>
      </c>
      <c r="C262" s="1179" t="s">
        <v>103</v>
      </c>
      <c r="D262" s="1179" t="s">
        <v>1564</v>
      </c>
      <c r="E262" s="1184" t="s">
        <v>1390</v>
      </c>
    </row>
    <row r="263" spans="1:5" x14ac:dyDescent="0.25">
      <c r="A263" s="1187">
        <v>264</v>
      </c>
      <c r="B263" s="1179" t="s">
        <v>1382</v>
      </c>
      <c r="C263" s="1179" t="s">
        <v>103</v>
      </c>
      <c r="D263" s="1179" t="s">
        <v>1564</v>
      </c>
      <c r="E263" s="1184" t="s">
        <v>1391</v>
      </c>
    </row>
    <row r="264" spans="1:5" x14ac:dyDescent="0.25">
      <c r="A264" s="1187">
        <v>265</v>
      </c>
      <c r="B264" s="1179" t="s">
        <v>1382</v>
      </c>
      <c r="C264" s="1179" t="s">
        <v>103</v>
      </c>
      <c r="D264" s="1179" t="s">
        <v>1564</v>
      </c>
      <c r="E264" s="1184" t="s">
        <v>1329</v>
      </c>
    </row>
    <row r="265" spans="1:5" x14ac:dyDescent="0.25">
      <c r="A265" s="1187">
        <v>266</v>
      </c>
      <c r="B265" s="1179" t="s">
        <v>1382</v>
      </c>
      <c r="C265" s="1179" t="s">
        <v>1399</v>
      </c>
      <c r="D265" s="1179" t="s">
        <v>1394</v>
      </c>
      <c r="E265" s="1183" t="s">
        <v>1392</v>
      </c>
    </row>
    <row r="266" spans="1:5" x14ac:dyDescent="0.25">
      <c r="A266" s="1187">
        <v>267</v>
      </c>
      <c r="B266" s="1179" t="s">
        <v>1382</v>
      </c>
      <c r="C266" s="1179" t="s">
        <v>1399</v>
      </c>
      <c r="D266" s="1179" t="s">
        <v>1528</v>
      </c>
      <c r="E266" s="1180" t="s">
        <v>254</v>
      </c>
    </row>
    <row r="267" spans="1:5" x14ac:dyDescent="0.25">
      <c r="A267" s="1187">
        <v>269</v>
      </c>
      <c r="B267" s="1179" t="s">
        <v>1382</v>
      </c>
      <c r="C267" s="1179" t="s">
        <v>1399</v>
      </c>
      <c r="D267" s="1179" t="s">
        <v>1382</v>
      </c>
      <c r="E267" s="1185" t="s">
        <v>1348</v>
      </c>
    </row>
    <row r="268" spans="1:5" x14ac:dyDescent="0.25">
      <c r="A268" s="1187">
        <v>270</v>
      </c>
      <c r="B268" s="1179" t="s">
        <v>1382</v>
      </c>
      <c r="C268" s="1179" t="s">
        <v>1399</v>
      </c>
      <c r="D268" s="1179" t="s">
        <v>1382</v>
      </c>
      <c r="E268" s="1185" t="s">
        <v>225</v>
      </c>
    </row>
    <row r="269" spans="1:5" x14ac:dyDescent="0.25">
      <c r="A269" s="1187">
        <v>271</v>
      </c>
      <c r="B269" s="1179" t="s">
        <v>208</v>
      </c>
      <c r="C269" s="1179" t="s">
        <v>1399</v>
      </c>
      <c r="D269" s="1179" t="s">
        <v>1528</v>
      </c>
      <c r="E269" s="1184" t="s">
        <v>466</v>
      </c>
    </row>
    <row r="270" spans="1:5" x14ac:dyDescent="0.25">
      <c r="A270" s="1187">
        <v>272</v>
      </c>
      <c r="B270" s="1179" t="s">
        <v>1382</v>
      </c>
      <c r="C270" s="1179" t="s">
        <v>1399</v>
      </c>
      <c r="D270" s="1179" t="s">
        <v>1382</v>
      </c>
      <c r="E270" s="1184" t="s">
        <v>1385</v>
      </c>
    </row>
    <row r="271" spans="1:5" x14ac:dyDescent="0.25">
      <c r="A271" s="1187">
        <v>273</v>
      </c>
      <c r="B271" s="1179" t="s">
        <v>1382</v>
      </c>
      <c r="C271" s="1179" t="s">
        <v>1399</v>
      </c>
      <c r="D271" s="1179" t="s">
        <v>1528</v>
      </c>
      <c r="E271" s="1184" t="s">
        <v>1387</v>
      </c>
    </row>
    <row r="272" spans="1:5" x14ac:dyDescent="0.25">
      <c r="A272" s="1187">
        <v>274</v>
      </c>
      <c r="B272" s="1179" t="s">
        <v>1382</v>
      </c>
      <c r="C272" s="1179" t="s">
        <v>1399</v>
      </c>
      <c r="D272" s="1179" t="s">
        <v>1528</v>
      </c>
      <c r="E272" s="1184" t="s">
        <v>1388</v>
      </c>
    </row>
    <row r="273" spans="1:5" x14ac:dyDescent="0.25">
      <c r="A273" s="1187">
        <v>275</v>
      </c>
      <c r="B273" s="1179" t="s">
        <v>1382</v>
      </c>
      <c r="C273" s="1179" t="s">
        <v>1399</v>
      </c>
      <c r="D273" s="1179" t="s">
        <v>1564</v>
      </c>
      <c r="E273" s="1184" t="s">
        <v>1389</v>
      </c>
    </row>
    <row r="274" spans="1:5" x14ac:dyDescent="0.25">
      <c r="A274" s="1187">
        <v>276</v>
      </c>
      <c r="B274" s="1179" t="s">
        <v>1382</v>
      </c>
      <c r="C274" s="1179" t="s">
        <v>1399</v>
      </c>
      <c r="D274" s="1179" t="s">
        <v>1528</v>
      </c>
      <c r="E274" s="1184" t="s">
        <v>1390</v>
      </c>
    </row>
    <row r="275" spans="1:5" x14ac:dyDescent="0.25">
      <c r="A275" s="1187">
        <v>277</v>
      </c>
      <c r="B275" s="1179" t="s">
        <v>1382</v>
      </c>
      <c r="C275" s="1179" t="s">
        <v>1399</v>
      </c>
      <c r="D275" s="1179" t="s">
        <v>1564</v>
      </c>
      <c r="E275" s="1184" t="s">
        <v>1391</v>
      </c>
    </row>
    <row r="276" spans="1:5" x14ac:dyDescent="0.25">
      <c r="A276" s="1187">
        <v>278</v>
      </c>
      <c r="B276" s="1179" t="s">
        <v>1382</v>
      </c>
      <c r="C276" s="1179" t="s">
        <v>1399</v>
      </c>
      <c r="D276" s="1179" t="s">
        <v>1564</v>
      </c>
      <c r="E276" s="1184" t="s">
        <v>1329</v>
      </c>
    </row>
    <row r="277" spans="1:5" x14ac:dyDescent="0.25">
      <c r="A277" s="1187">
        <v>396</v>
      </c>
      <c r="B277" s="1179" t="s">
        <v>1382</v>
      </c>
      <c r="C277" s="1179" t="s">
        <v>102</v>
      </c>
      <c r="D277" s="1179" t="s">
        <v>1563</v>
      </c>
      <c r="E277" s="1183" t="s">
        <v>1392</v>
      </c>
    </row>
    <row r="278" spans="1:5" x14ac:dyDescent="0.25">
      <c r="A278" s="1187">
        <v>397</v>
      </c>
      <c r="B278" s="1179" t="s">
        <v>1382</v>
      </c>
      <c r="C278" s="1179" t="s">
        <v>102</v>
      </c>
      <c r="D278" s="1179" t="s">
        <v>1528</v>
      </c>
      <c r="E278" s="1180" t="s">
        <v>254</v>
      </c>
    </row>
    <row r="279" spans="1:5" x14ac:dyDescent="0.25">
      <c r="A279" s="1187">
        <v>399</v>
      </c>
      <c r="B279" s="1179" t="s">
        <v>1382</v>
      </c>
      <c r="C279" s="1179" t="s">
        <v>102</v>
      </c>
      <c r="D279" s="1179" t="s">
        <v>1382</v>
      </c>
      <c r="E279" s="1185" t="s">
        <v>1348</v>
      </c>
    </row>
    <row r="280" spans="1:5" x14ac:dyDescent="0.25">
      <c r="A280" s="1187">
        <v>400</v>
      </c>
      <c r="B280" s="1179" t="s">
        <v>1382</v>
      </c>
      <c r="C280" s="1179" t="s">
        <v>102</v>
      </c>
      <c r="D280" s="1179" t="s">
        <v>1382</v>
      </c>
      <c r="E280" s="1185" t="s">
        <v>225</v>
      </c>
    </row>
    <row r="281" spans="1:5" x14ac:dyDescent="0.25">
      <c r="A281" s="1187">
        <v>401</v>
      </c>
      <c r="B281" s="1179" t="s">
        <v>208</v>
      </c>
      <c r="C281" s="1179" t="s">
        <v>102</v>
      </c>
      <c r="D281" s="1179" t="s">
        <v>1528</v>
      </c>
      <c r="E281" s="1184" t="s">
        <v>466</v>
      </c>
    </row>
    <row r="282" spans="1:5" x14ac:dyDescent="0.25">
      <c r="A282" s="1187">
        <v>402</v>
      </c>
      <c r="B282" s="1179" t="s">
        <v>1382</v>
      </c>
      <c r="C282" s="1179" t="s">
        <v>102</v>
      </c>
      <c r="D282" s="1179" t="s">
        <v>1382</v>
      </c>
      <c r="E282" s="1184" t="s">
        <v>1385</v>
      </c>
    </row>
    <row r="283" spans="1:5" x14ac:dyDescent="0.25">
      <c r="A283" s="1187">
        <v>403</v>
      </c>
      <c r="B283" s="1179" t="s">
        <v>1382</v>
      </c>
      <c r="C283" s="1179" t="s">
        <v>102</v>
      </c>
      <c r="D283" s="1179" t="s">
        <v>1528</v>
      </c>
      <c r="E283" s="1184" t="s">
        <v>1387</v>
      </c>
    </row>
    <row r="284" spans="1:5" x14ac:dyDescent="0.25">
      <c r="A284" s="1187">
        <v>404</v>
      </c>
      <c r="B284" s="1179" t="s">
        <v>1382</v>
      </c>
      <c r="C284" s="1179" t="s">
        <v>102</v>
      </c>
      <c r="D284" s="1179" t="s">
        <v>1528</v>
      </c>
      <c r="E284" s="1184" t="s">
        <v>1388</v>
      </c>
    </row>
    <row r="285" spans="1:5" x14ac:dyDescent="0.25">
      <c r="A285" s="1187">
        <v>405</v>
      </c>
      <c r="B285" s="1179" t="s">
        <v>1382</v>
      </c>
      <c r="C285" s="1179" t="s">
        <v>102</v>
      </c>
      <c r="D285" s="1179" t="s">
        <v>1564</v>
      </c>
      <c r="E285" s="1184" t="s">
        <v>1389</v>
      </c>
    </row>
    <row r="286" spans="1:5" x14ac:dyDescent="0.25">
      <c r="A286" s="1187">
        <v>406</v>
      </c>
      <c r="B286" s="1179" t="s">
        <v>1382</v>
      </c>
      <c r="C286" s="1179" t="s">
        <v>102</v>
      </c>
      <c r="D286" s="1179" t="s">
        <v>1528</v>
      </c>
      <c r="E286" s="1184" t="s">
        <v>1390</v>
      </c>
    </row>
    <row r="287" spans="1:5" x14ac:dyDescent="0.25">
      <c r="A287" s="1187">
        <v>407</v>
      </c>
      <c r="B287" s="1179" t="s">
        <v>1382</v>
      </c>
      <c r="C287" s="1179" t="s">
        <v>102</v>
      </c>
      <c r="D287" s="1179" t="s">
        <v>1564</v>
      </c>
      <c r="E287" s="1184" t="s">
        <v>1391</v>
      </c>
    </row>
    <row r="288" spans="1:5" x14ac:dyDescent="0.25">
      <c r="A288" s="1187">
        <v>408</v>
      </c>
      <c r="B288" s="1179" t="s">
        <v>1382</v>
      </c>
      <c r="C288" s="1179" t="s">
        <v>102</v>
      </c>
      <c r="D288" s="1179" t="s">
        <v>1564</v>
      </c>
      <c r="E288" s="1184" t="s">
        <v>1329</v>
      </c>
    </row>
    <row r="289" spans="1:5" x14ac:dyDescent="0.25">
      <c r="A289" s="1187">
        <v>409</v>
      </c>
      <c r="B289" s="1179" t="s">
        <v>1382</v>
      </c>
      <c r="C289" s="1179" t="s">
        <v>100</v>
      </c>
      <c r="D289" s="1179" t="s">
        <v>1563</v>
      </c>
      <c r="E289" s="1183" t="s">
        <v>1392</v>
      </c>
    </row>
    <row r="290" spans="1:5" x14ac:dyDescent="0.25">
      <c r="A290" s="1187">
        <v>410</v>
      </c>
      <c r="B290" s="1179" t="s">
        <v>1382</v>
      </c>
      <c r="C290" s="1179" t="s">
        <v>100</v>
      </c>
      <c r="D290" s="1179" t="s">
        <v>1528</v>
      </c>
      <c r="E290" s="1180" t="s">
        <v>254</v>
      </c>
    </row>
    <row r="291" spans="1:5" x14ac:dyDescent="0.25">
      <c r="A291" s="1187">
        <v>412</v>
      </c>
      <c r="B291" s="1179" t="s">
        <v>1382</v>
      </c>
      <c r="C291" s="1179" t="s">
        <v>100</v>
      </c>
      <c r="D291" s="1179" t="s">
        <v>1382</v>
      </c>
      <c r="E291" s="1185" t="s">
        <v>1348</v>
      </c>
    </row>
    <row r="292" spans="1:5" x14ac:dyDescent="0.25">
      <c r="A292" s="1187">
        <v>413</v>
      </c>
      <c r="B292" s="1179" t="s">
        <v>1382</v>
      </c>
      <c r="C292" s="1179" t="s">
        <v>100</v>
      </c>
      <c r="D292" s="1179" t="s">
        <v>1382</v>
      </c>
      <c r="E292" s="1185" t="s">
        <v>225</v>
      </c>
    </row>
    <row r="293" spans="1:5" x14ac:dyDescent="0.25">
      <c r="A293" s="1187">
        <v>414</v>
      </c>
      <c r="B293" s="1179" t="s">
        <v>208</v>
      </c>
      <c r="C293" s="1179" t="s">
        <v>100</v>
      </c>
      <c r="D293" s="1179" t="s">
        <v>1528</v>
      </c>
      <c r="E293" s="1184" t="s">
        <v>466</v>
      </c>
    </row>
    <row r="294" spans="1:5" x14ac:dyDescent="0.25">
      <c r="A294" s="1187">
        <v>415</v>
      </c>
      <c r="B294" s="1179" t="s">
        <v>1382</v>
      </c>
      <c r="C294" s="1179" t="s">
        <v>100</v>
      </c>
      <c r="D294" s="1179" t="s">
        <v>1382</v>
      </c>
      <c r="E294" s="1184" t="s">
        <v>1385</v>
      </c>
    </row>
    <row r="295" spans="1:5" x14ac:dyDescent="0.25">
      <c r="A295" s="1187">
        <v>416</v>
      </c>
      <c r="B295" s="1179" t="s">
        <v>1382</v>
      </c>
      <c r="C295" s="1179" t="s">
        <v>100</v>
      </c>
      <c r="D295" s="1179" t="s">
        <v>1528</v>
      </c>
      <c r="E295" s="1184" t="s">
        <v>1387</v>
      </c>
    </row>
    <row r="296" spans="1:5" x14ac:dyDescent="0.25">
      <c r="A296" s="1187">
        <v>417</v>
      </c>
      <c r="B296" s="1179" t="s">
        <v>1382</v>
      </c>
      <c r="C296" s="1179" t="s">
        <v>100</v>
      </c>
      <c r="D296" s="1179" t="s">
        <v>1528</v>
      </c>
      <c r="E296" s="1184" t="s">
        <v>1388</v>
      </c>
    </row>
    <row r="297" spans="1:5" x14ac:dyDescent="0.25">
      <c r="A297" s="1187">
        <v>418</v>
      </c>
      <c r="B297" s="1179" t="s">
        <v>1382</v>
      </c>
      <c r="C297" s="1179" t="s">
        <v>100</v>
      </c>
      <c r="D297" s="1179" t="s">
        <v>1564</v>
      </c>
      <c r="E297" s="1184" t="s">
        <v>1389</v>
      </c>
    </row>
    <row r="298" spans="1:5" x14ac:dyDescent="0.25">
      <c r="A298" s="1187">
        <v>419</v>
      </c>
      <c r="B298" s="1179" t="s">
        <v>1382</v>
      </c>
      <c r="C298" s="1179" t="s">
        <v>100</v>
      </c>
      <c r="D298" s="1179" t="s">
        <v>1528</v>
      </c>
      <c r="E298" s="1184" t="s">
        <v>1390</v>
      </c>
    </row>
    <row r="299" spans="1:5" x14ac:dyDescent="0.25">
      <c r="A299" s="1187">
        <v>420</v>
      </c>
      <c r="B299" s="1179" t="s">
        <v>1382</v>
      </c>
      <c r="C299" s="1179" t="s">
        <v>100</v>
      </c>
      <c r="D299" s="1179" t="s">
        <v>1564</v>
      </c>
      <c r="E299" s="1184" t="s">
        <v>1391</v>
      </c>
    </row>
    <row r="300" spans="1:5" x14ac:dyDescent="0.25">
      <c r="A300" s="1187">
        <v>421</v>
      </c>
      <c r="B300" s="1179" t="s">
        <v>1382</v>
      </c>
      <c r="C300" s="1179" t="s">
        <v>100</v>
      </c>
      <c r="D300" s="1179" t="s">
        <v>1564</v>
      </c>
      <c r="E300" s="1184" t="s">
        <v>1329</v>
      </c>
    </row>
    <row r="301" spans="1:5" x14ac:dyDescent="0.25">
      <c r="A301" s="1187">
        <v>422</v>
      </c>
      <c r="B301" s="1179" t="s">
        <v>1382</v>
      </c>
      <c r="C301" s="1179" t="s">
        <v>104</v>
      </c>
      <c r="D301" s="1179" t="s">
        <v>1563</v>
      </c>
      <c r="E301" s="1183" t="s">
        <v>1392</v>
      </c>
    </row>
    <row r="302" spans="1:5" x14ac:dyDescent="0.25">
      <c r="A302" s="1187">
        <v>423</v>
      </c>
      <c r="B302" s="1179" t="s">
        <v>1382</v>
      </c>
      <c r="C302" s="1179" t="s">
        <v>104</v>
      </c>
      <c r="D302" s="1179" t="s">
        <v>1528</v>
      </c>
      <c r="E302" s="1180" t="s">
        <v>254</v>
      </c>
    </row>
    <row r="303" spans="1:5" x14ac:dyDescent="0.25">
      <c r="A303" s="1187">
        <v>425</v>
      </c>
      <c r="B303" s="1179" t="s">
        <v>1382</v>
      </c>
      <c r="C303" s="1179" t="s">
        <v>104</v>
      </c>
      <c r="D303" s="1179" t="s">
        <v>1382</v>
      </c>
      <c r="E303" s="1185" t="s">
        <v>1348</v>
      </c>
    </row>
    <row r="304" spans="1:5" x14ac:dyDescent="0.25">
      <c r="A304" s="1187">
        <v>426</v>
      </c>
      <c r="B304" s="1179" t="s">
        <v>1382</v>
      </c>
      <c r="C304" s="1179" t="s">
        <v>104</v>
      </c>
      <c r="D304" s="1179" t="s">
        <v>1382</v>
      </c>
      <c r="E304" s="1185" t="s">
        <v>225</v>
      </c>
    </row>
    <row r="305" spans="1:5" x14ac:dyDescent="0.25">
      <c r="A305" s="1187">
        <v>427</v>
      </c>
      <c r="B305" s="1179" t="s">
        <v>208</v>
      </c>
      <c r="C305" s="1179" t="s">
        <v>104</v>
      </c>
      <c r="D305" s="1179" t="s">
        <v>1528</v>
      </c>
      <c r="E305" s="1184" t="s">
        <v>466</v>
      </c>
    </row>
    <row r="306" spans="1:5" x14ac:dyDescent="0.25">
      <c r="A306" s="1187">
        <v>428</v>
      </c>
      <c r="B306" s="1179" t="s">
        <v>1382</v>
      </c>
      <c r="C306" s="1179" t="s">
        <v>104</v>
      </c>
      <c r="D306" s="1179" t="s">
        <v>1382</v>
      </c>
      <c r="E306" s="1184" t="s">
        <v>1385</v>
      </c>
    </row>
    <row r="307" spans="1:5" x14ac:dyDescent="0.25">
      <c r="A307" s="1187">
        <v>429</v>
      </c>
      <c r="B307" s="1179" t="s">
        <v>1382</v>
      </c>
      <c r="C307" s="1179" t="s">
        <v>104</v>
      </c>
      <c r="D307" s="1179" t="s">
        <v>1528</v>
      </c>
      <c r="E307" s="1184" t="s">
        <v>1387</v>
      </c>
    </row>
    <row r="308" spans="1:5" x14ac:dyDescent="0.25">
      <c r="A308" s="1187">
        <v>430</v>
      </c>
      <c r="B308" s="1179" t="s">
        <v>1382</v>
      </c>
      <c r="C308" s="1179" t="s">
        <v>104</v>
      </c>
      <c r="D308" s="1179" t="s">
        <v>1528</v>
      </c>
      <c r="E308" s="1184" t="s">
        <v>1388</v>
      </c>
    </row>
    <row r="309" spans="1:5" x14ac:dyDescent="0.25">
      <c r="A309" s="1187">
        <v>431</v>
      </c>
      <c r="B309" s="1179" t="s">
        <v>1382</v>
      </c>
      <c r="C309" s="1179" t="s">
        <v>104</v>
      </c>
      <c r="D309" s="1179" t="s">
        <v>1564</v>
      </c>
      <c r="E309" s="1184" t="s">
        <v>1389</v>
      </c>
    </row>
    <row r="310" spans="1:5" x14ac:dyDescent="0.25">
      <c r="A310" s="1187">
        <v>432</v>
      </c>
      <c r="B310" s="1179" t="s">
        <v>1382</v>
      </c>
      <c r="C310" s="1179" t="s">
        <v>104</v>
      </c>
      <c r="D310" s="1179" t="s">
        <v>1528</v>
      </c>
      <c r="E310" s="1184" t="s">
        <v>1390</v>
      </c>
    </row>
    <row r="311" spans="1:5" x14ac:dyDescent="0.25">
      <c r="A311" s="1187">
        <v>433</v>
      </c>
      <c r="B311" s="1179" t="s">
        <v>1382</v>
      </c>
      <c r="C311" s="1179" t="s">
        <v>104</v>
      </c>
      <c r="D311" s="1179" t="s">
        <v>1564</v>
      </c>
      <c r="E311" s="1184" t="s">
        <v>1391</v>
      </c>
    </row>
    <row r="312" spans="1:5" x14ac:dyDescent="0.25">
      <c r="A312" s="1187">
        <v>434</v>
      </c>
      <c r="B312" s="1179" t="s">
        <v>1382</v>
      </c>
      <c r="C312" s="1179" t="s">
        <v>104</v>
      </c>
      <c r="D312" s="1179" t="s">
        <v>1564</v>
      </c>
      <c r="E312" s="1184" t="s">
        <v>1329</v>
      </c>
    </row>
    <row r="313" spans="1:5" x14ac:dyDescent="0.25">
      <c r="A313" s="1187">
        <v>435</v>
      </c>
      <c r="B313" s="1179" t="s">
        <v>1382</v>
      </c>
      <c r="C313" s="1179" t="s">
        <v>98</v>
      </c>
      <c r="D313" s="1179" t="s">
        <v>1563</v>
      </c>
      <c r="E313" s="1183" t="s">
        <v>1392</v>
      </c>
    </row>
    <row r="314" spans="1:5" x14ac:dyDescent="0.25">
      <c r="A314" s="1187">
        <v>436</v>
      </c>
      <c r="B314" s="1179" t="s">
        <v>1382</v>
      </c>
      <c r="C314" s="1179" t="s">
        <v>98</v>
      </c>
      <c r="D314" s="1179" t="s">
        <v>1528</v>
      </c>
      <c r="E314" s="1180" t="s">
        <v>254</v>
      </c>
    </row>
    <row r="315" spans="1:5" x14ac:dyDescent="0.25">
      <c r="A315" s="1187">
        <v>438</v>
      </c>
      <c r="B315" s="1179" t="s">
        <v>1382</v>
      </c>
      <c r="C315" s="1179" t="s">
        <v>98</v>
      </c>
      <c r="D315" s="1179" t="s">
        <v>1382</v>
      </c>
      <c r="E315" s="1185" t="s">
        <v>1348</v>
      </c>
    </row>
    <row r="316" spans="1:5" x14ac:dyDescent="0.25">
      <c r="A316" s="1187">
        <v>439</v>
      </c>
      <c r="B316" s="1179" t="s">
        <v>1382</v>
      </c>
      <c r="C316" s="1179" t="s">
        <v>98</v>
      </c>
      <c r="D316" s="1179" t="s">
        <v>1382</v>
      </c>
      <c r="E316" s="1185" t="s">
        <v>225</v>
      </c>
    </row>
    <row r="317" spans="1:5" x14ac:dyDescent="0.25">
      <c r="A317" s="1187">
        <v>440</v>
      </c>
      <c r="B317" s="1179" t="s">
        <v>208</v>
      </c>
      <c r="C317" s="1179" t="s">
        <v>98</v>
      </c>
      <c r="D317" s="1179" t="s">
        <v>1528</v>
      </c>
      <c r="E317" s="1184" t="s">
        <v>466</v>
      </c>
    </row>
    <row r="318" spans="1:5" x14ac:dyDescent="0.25">
      <c r="A318" s="1187">
        <v>441</v>
      </c>
      <c r="B318" s="1179" t="s">
        <v>1382</v>
      </c>
      <c r="C318" s="1179" t="s">
        <v>98</v>
      </c>
      <c r="D318" s="1179" t="s">
        <v>1382</v>
      </c>
      <c r="E318" s="1184" t="s">
        <v>1385</v>
      </c>
    </row>
    <row r="319" spans="1:5" x14ac:dyDescent="0.25">
      <c r="A319" s="1187">
        <v>442</v>
      </c>
      <c r="B319" s="1179" t="s">
        <v>1382</v>
      </c>
      <c r="C319" s="1179" t="s">
        <v>98</v>
      </c>
      <c r="D319" s="1179" t="s">
        <v>1528</v>
      </c>
      <c r="E319" s="1184" t="s">
        <v>1387</v>
      </c>
    </row>
    <row r="320" spans="1:5" x14ac:dyDescent="0.25">
      <c r="A320" s="1187">
        <v>443</v>
      </c>
      <c r="B320" s="1179" t="s">
        <v>1382</v>
      </c>
      <c r="C320" s="1179" t="s">
        <v>98</v>
      </c>
      <c r="D320" s="1179" t="s">
        <v>1528</v>
      </c>
      <c r="E320" s="1184" t="s">
        <v>1388</v>
      </c>
    </row>
    <row r="321" spans="1:5" x14ac:dyDescent="0.25">
      <c r="A321" s="1187">
        <v>444</v>
      </c>
      <c r="B321" s="1179" t="s">
        <v>1382</v>
      </c>
      <c r="C321" s="1179" t="s">
        <v>98</v>
      </c>
      <c r="D321" s="1179" t="s">
        <v>1564</v>
      </c>
      <c r="E321" s="1184" t="s">
        <v>1389</v>
      </c>
    </row>
    <row r="322" spans="1:5" x14ac:dyDescent="0.25">
      <c r="A322" s="1187">
        <v>445</v>
      </c>
      <c r="B322" s="1179" t="s">
        <v>1382</v>
      </c>
      <c r="C322" s="1179" t="s">
        <v>98</v>
      </c>
      <c r="D322" s="1179" t="s">
        <v>1528</v>
      </c>
      <c r="E322" s="1184" t="s">
        <v>1390</v>
      </c>
    </row>
    <row r="323" spans="1:5" x14ac:dyDescent="0.25">
      <c r="A323" s="1187">
        <v>446</v>
      </c>
      <c r="B323" s="1179" t="s">
        <v>1382</v>
      </c>
      <c r="C323" s="1179" t="s">
        <v>98</v>
      </c>
      <c r="D323" s="1179" t="s">
        <v>1564</v>
      </c>
      <c r="E323" s="1184" t="s">
        <v>1391</v>
      </c>
    </row>
    <row r="324" spans="1:5" x14ac:dyDescent="0.25">
      <c r="A324" s="1187">
        <v>447</v>
      </c>
      <c r="B324" s="1179" t="s">
        <v>1382</v>
      </c>
      <c r="C324" s="1179" t="s">
        <v>98</v>
      </c>
      <c r="D324" s="1179" t="s">
        <v>1564</v>
      </c>
      <c r="E324" s="1184" t="s">
        <v>1329</v>
      </c>
    </row>
    <row r="325" spans="1:5" x14ac:dyDescent="0.25">
      <c r="A325" s="1187">
        <v>448</v>
      </c>
      <c r="B325" s="1179" t="s">
        <v>1382</v>
      </c>
      <c r="C325" s="1179" t="s">
        <v>95</v>
      </c>
      <c r="D325" s="1179" t="s">
        <v>1563</v>
      </c>
      <c r="E325" s="1183" t="s">
        <v>1392</v>
      </c>
    </row>
    <row r="326" spans="1:5" x14ac:dyDescent="0.25">
      <c r="A326" s="1187">
        <v>449</v>
      </c>
      <c r="B326" s="1179" t="s">
        <v>1382</v>
      </c>
      <c r="C326" s="1179" t="s">
        <v>95</v>
      </c>
      <c r="D326" s="1179" t="s">
        <v>1528</v>
      </c>
      <c r="E326" s="1180" t="s">
        <v>254</v>
      </c>
    </row>
    <row r="327" spans="1:5" x14ac:dyDescent="0.25">
      <c r="A327" s="1187">
        <v>451</v>
      </c>
      <c r="B327" s="1179" t="s">
        <v>1382</v>
      </c>
      <c r="C327" s="1179" t="s">
        <v>95</v>
      </c>
      <c r="D327" s="1179" t="s">
        <v>1382</v>
      </c>
      <c r="E327" s="1185" t="s">
        <v>1348</v>
      </c>
    </row>
    <row r="328" spans="1:5" x14ac:dyDescent="0.25">
      <c r="A328" s="1187">
        <v>452</v>
      </c>
      <c r="B328" s="1179" t="s">
        <v>1382</v>
      </c>
      <c r="C328" s="1179" t="s">
        <v>95</v>
      </c>
      <c r="D328" s="1179" t="s">
        <v>1382</v>
      </c>
      <c r="E328" s="1185" t="s">
        <v>225</v>
      </c>
    </row>
    <row r="329" spans="1:5" x14ac:dyDescent="0.25">
      <c r="A329" s="1187">
        <v>453</v>
      </c>
      <c r="B329" s="1179" t="s">
        <v>208</v>
      </c>
      <c r="C329" s="1179" t="s">
        <v>95</v>
      </c>
      <c r="D329" s="1179" t="s">
        <v>1528</v>
      </c>
      <c r="E329" s="1184" t="s">
        <v>466</v>
      </c>
    </row>
    <row r="330" spans="1:5" x14ac:dyDescent="0.25">
      <c r="A330" s="1187">
        <v>454</v>
      </c>
      <c r="B330" s="1179" t="s">
        <v>1382</v>
      </c>
      <c r="C330" s="1179" t="s">
        <v>95</v>
      </c>
      <c r="D330" s="1179" t="s">
        <v>1382</v>
      </c>
      <c r="E330" s="1184" t="s">
        <v>1385</v>
      </c>
    </row>
    <row r="331" spans="1:5" x14ac:dyDescent="0.25">
      <c r="A331" s="1187">
        <v>455</v>
      </c>
      <c r="B331" s="1179" t="s">
        <v>1382</v>
      </c>
      <c r="C331" s="1179" t="s">
        <v>95</v>
      </c>
      <c r="D331" s="1179" t="s">
        <v>1528</v>
      </c>
      <c r="E331" s="1184" t="s">
        <v>1387</v>
      </c>
    </row>
    <row r="332" spans="1:5" x14ac:dyDescent="0.25">
      <c r="A332" s="1187">
        <v>456</v>
      </c>
      <c r="B332" s="1179" t="s">
        <v>1382</v>
      </c>
      <c r="C332" s="1179" t="s">
        <v>95</v>
      </c>
      <c r="D332" s="1179" t="s">
        <v>1528</v>
      </c>
      <c r="E332" s="1184" t="s">
        <v>1388</v>
      </c>
    </row>
    <row r="333" spans="1:5" x14ac:dyDescent="0.25">
      <c r="A333" s="1187">
        <v>457</v>
      </c>
      <c r="B333" s="1179" t="s">
        <v>1382</v>
      </c>
      <c r="C333" s="1179" t="s">
        <v>95</v>
      </c>
      <c r="D333" s="1179" t="s">
        <v>1564</v>
      </c>
      <c r="E333" s="1184" t="s">
        <v>1389</v>
      </c>
    </row>
    <row r="334" spans="1:5" x14ac:dyDescent="0.25">
      <c r="A334" s="1187">
        <v>458</v>
      </c>
      <c r="B334" s="1179" t="s">
        <v>1382</v>
      </c>
      <c r="C334" s="1179" t="s">
        <v>95</v>
      </c>
      <c r="D334" s="1179" t="s">
        <v>1528</v>
      </c>
      <c r="E334" s="1184" t="s">
        <v>1390</v>
      </c>
    </row>
    <row r="335" spans="1:5" x14ac:dyDescent="0.25">
      <c r="A335" s="1187">
        <v>459</v>
      </c>
      <c r="B335" s="1179" t="s">
        <v>1382</v>
      </c>
      <c r="C335" s="1179" t="s">
        <v>95</v>
      </c>
      <c r="D335" s="1179" t="s">
        <v>1564</v>
      </c>
      <c r="E335" s="1184" t="s">
        <v>1391</v>
      </c>
    </row>
    <row r="336" spans="1:5" x14ac:dyDescent="0.25">
      <c r="A336" s="1187">
        <v>460</v>
      </c>
      <c r="B336" s="1179" t="s">
        <v>1382</v>
      </c>
      <c r="C336" s="1179" t="s">
        <v>95</v>
      </c>
      <c r="D336" s="1179" t="s">
        <v>1564</v>
      </c>
      <c r="E336" s="1184" t="s">
        <v>1329</v>
      </c>
    </row>
    <row r="337" spans="1:5" x14ac:dyDescent="0.25">
      <c r="A337" s="1187">
        <v>461</v>
      </c>
      <c r="B337" s="1179" t="s">
        <v>1382</v>
      </c>
      <c r="C337" s="1179" t="s">
        <v>96</v>
      </c>
      <c r="D337" s="1179" t="s">
        <v>1563</v>
      </c>
      <c r="E337" s="1183" t="s">
        <v>1392</v>
      </c>
    </row>
    <row r="338" spans="1:5" x14ac:dyDescent="0.25">
      <c r="A338" s="1187">
        <v>462</v>
      </c>
      <c r="B338" s="1179" t="s">
        <v>1382</v>
      </c>
      <c r="C338" s="1179" t="s">
        <v>96</v>
      </c>
      <c r="D338" s="1179" t="s">
        <v>1528</v>
      </c>
      <c r="E338" s="1180" t="s">
        <v>254</v>
      </c>
    </row>
    <row r="339" spans="1:5" x14ac:dyDescent="0.25">
      <c r="A339" s="1187">
        <v>464</v>
      </c>
      <c r="B339" s="1179" t="s">
        <v>1382</v>
      </c>
      <c r="C339" s="1179" t="s">
        <v>96</v>
      </c>
      <c r="D339" s="1179" t="s">
        <v>1382</v>
      </c>
      <c r="E339" s="1185" t="s">
        <v>1348</v>
      </c>
    </row>
    <row r="340" spans="1:5" x14ac:dyDescent="0.25">
      <c r="A340" s="1187">
        <v>465</v>
      </c>
      <c r="B340" s="1179" t="s">
        <v>1382</v>
      </c>
      <c r="C340" s="1179" t="s">
        <v>96</v>
      </c>
      <c r="D340" s="1179" t="s">
        <v>1382</v>
      </c>
      <c r="E340" s="1185" t="s">
        <v>225</v>
      </c>
    </row>
    <row r="341" spans="1:5" x14ac:dyDescent="0.25">
      <c r="A341" s="1187">
        <v>466</v>
      </c>
      <c r="B341" s="1179" t="s">
        <v>208</v>
      </c>
      <c r="C341" s="1179" t="s">
        <v>96</v>
      </c>
      <c r="D341" s="1179" t="s">
        <v>1528</v>
      </c>
      <c r="E341" s="1184" t="s">
        <v>466</v>
      </c>
    </row>
    <row r="342" spans="1:5" x14ac:dyDescent="0.25">
      <c r="A342" s="1187">
        <v>467</v>
      </c>
      <c r="B342" s="1179" t="s">
        <v>1382</v>
      </c>
      <c r="C342" s="1179" t="s">
        <v>96</v>
      </c>
      <c r="D342" s="1179" t="s">
        <v>1382</v>
      </c>
      <c r="E342" s="1184" t="s">
        <v>1385</v>
      </c>
    </row>
    <row r="343" spans="1:5" x14ac:dyDescent="0.25">
      <c r="A343" s="1187">
        <v>468</v>
      </c>
      <c r="B343" s="1179" t="s">
        <v>1382</v>
      </c>
      <c r="C343" s="1179" t="s">
        <v>96</v>
      </c>
      <c r="D343" s="1179" t="s">
        <v>1528</v>
      </c>
      <c r="E343" s="1184" t="s">
        <v>1387</v>
      </c>
    </row>
    <row r="344" spans="1:5" x14ac:dyDescent="0.25">
      <c r="A344" s="1187">
        <v>469</v>
      </c>
      <c r="B344" s="1179" t="s">
        <v>1382</v>
      </c>
      <c r="C344" s="1179" t="s">
        <v>96</v>
      </c>
      <c r="D344" s="1179" t="s">
        <v>1528</v>
      </c>
      <c r="E344" s="1184" t="s">
        <v>1388</v>
      </c>
    </row>
    <row r="345" spans="1:5" x14ac:dyDescent="0.25">
      <c r="A345" s="1187">
        <v>470</v>
      </c>
      <c r="B345" s="1179" t="s">
        <v>1382</v>
      </c>
      <c r="C345" s="1179" t="s">
        <v>96</v>
      </c>
      <c r="D345" s="1179" t="s">
        <v>1564</v>
      </c>
      <c r="E345" s="1184" t="s">
        <v>1389</v>
      </c>
    </row>
    <row r="346" spans="1:5" x14ac:dyDescent="0.25">
      <c r="A346" s="1187">
        <v>471</v>
      </c>
      <c r="B346" s="1179" t="s">
        <v>1382</v>
      </c>
      <c r="C346" s="1179" t="s">
        <v>96</v>
      </c>
      <c r="D346" s="1179" t="s">
        <v>1528</v>
      </c>
      <c r="E346" s="1184" t="s">
        <v>1390</v>
      </c>
    </row>
    <row r="347" spans="1:5" x14ac:dyDescent="0.25">
      <c r="A347" s="1187">
        <v>472</v>
      </c>
      <c r="B347" s="1179" t="s">
        <v>1382</v>
      </c>
      <c r="C347" s="1179" t="s">
        <v>96</v>
      </c>
      <c r="D347" s="1179" t="s">
        <v>1564</v>
      </c>
      <c r="E347" s="1184" t="s">
        <v>1391</v>
      </c>
    </row>
    <row r="348" spans="1:5" x14ac:dyDescent="0.25">
      <c r="A348" s="1187">
        <v>473</v>
      </c>
      <c r="B348" s="1179" t="s">
        <v>1382</v>
      </c>
      <c r="C348" s="1179" t="s">
        <v>96</v>
      </c>
      <c r="D348" s="1179" t="s">
        <v>1564</v>
      </c>
      <c r="E348" s="1184" t="s">
        <v>1329</v>
      </c>
    </row>
    <row r="349" spans="1:5" x14ac:dyDescent="0.25">
      <c r="A349" s="1187">
        <v>474</v>
      </c>
      <c r="B349" s="1179" t="s">
        <v>1382</v>
      </c>
      <c r="C349" s="1179" t="s">
        <v>101</v>
      </c>
      <c r="D349" s="1179" t="s">
        <v>1563</v>
      </c>
      <c r="E349" s="1183" t="s">
        <v>1392</v>
      </c>
    </row>
    <row r="350" spans="1:5" x14ac:dyDescent="0.25">
      <c r="A350" s="1187">
        <v>475</v>
      </c>
      <c r="B350" s="1179" t="s">
        <v>1382</v>
      </c>
      <c r="C350" s="1179" t="s">
        <v>101</v>
      </c>
      <c r="D350" s="1179" t="s">
        <v>1528</v>
      </c>
      <c r="E350" s="1180" t="s">
        <v>254</v>
      </c>
    </row>
    <row r="351" spans="1:5" x14ac:dyDescent="0.25">
      <c r="A351" s="1187">
        <v>477</v>
      </c>
      <c r="B351" s="1179" t="s">
        <v>1382</v>
      </c>
      <c r="C351" s="1179" t="s">
        <v>101</v>
      </c>
      <c r="D351" s="1179" t="s">
        <v>1382</v>
      </c>
      <c r="E351" s="1185" t="s">
        <v>1348</v>
      </c>
    </row>
    <row r="352" spans="1:5" x14ac:dyDescent="0.25">
      <c r="A352" s="1187">
        <v>478</v>
      </c>
      <c r="B352" s="1179" t="s">
        <v>1382</v>
      </c>
      <c r="C352" s="1179" t="s">
        <v>101</v>
      </c>
      <c r="D352" s="1179" t="s">
        <v>1382</v>
      </c>
      <c r="E352" s="1185" t="s">
        <v>225</v>
      </c>
    </row>
    <row r="353" spans="1:5" x14ac:dyDescent="0.25">
      <c r="A353" s="1187">
        <v>479</v>
      </c>
      <c r="B353" s="1179" t="s">
        <v>208</v>
      </c>
      <c r="C353" s="1179" t="s">
        <v>101</v>
      </c>
      <c r="D353" s="1179" t="s">
        <v>1528</v>
      </c>
      <c r="E353" s="1184" t="s">
        <v>466</v>
      </c>
    </row>
    <row r="354" spans="1:5" x14ac:dyDescent="0.25">
      <c r="A354" s="1187">
        <v>480</v>
      </c>
      <c r="B354" s="1179" t="s">
        <v>1382</v>
      </c>
      <c r="C354" s="1179" t="s">
        <v>101</v>
      </c>
      <c r="D354" s="1179" t="s">
        <v>1382</v>
      </c>
      <c r="E354" s="1184" t="s">
        <v>1385</v>
      </c>
    </row>
    <row r="355" spans="1:5" x14ac:dyDescent="0.25">
      <c r="A355" s="1187">
        <v>481</v>
      </c>
      <c r="B355" s="1179" t="s">
        <v>1382</v>
      </c>
      <c r="C355" s="1179" t="s">
        <v>101</v>
      </c>
      <c r="D355" s="1179" t="s">
        <v>1528</v>
      </c>
      <c r="E355" s="1184" t="s">
        <v>1387</v>
      </c>
    </row>
    <row r="356" spans="1:5" x14ac:dyDescent="0.25">
      <c r="A356" s="1187">
        <v>482</v>
      </c>
      <c r="B356" s="1179" t="s">
        <v>1382</v>
      </c>
      <c r="C356" s="1179" t="s">
        <v>101</v>
      </c>
      <c r="D356" s="1179" t="s">
        <v>1528</v>
      </c>
      <c r="E356" s="1184" t="s">
        <v>1388</v>
      </c>
    </row>
    <row r="357" spans="1:5" x14ac:dyDescent="0.25">
      <c r="A357" s="1187">
        <v>483</v>
      </c>
      <c r="B357" s="1179" t="s">
        <v>1382</v>
      </c>
      <c r="C357" s="1179" t="s">
        <v>101</v>
      </c>
      <c r="D357" s="1179" t="s">
        <v>1564</v>
      </c>
      <c r="E357" s="1184" t="s">
        <v>1389</v>
      </c>
    </row>
    <row r="358" spans="1:5" x14ac:dyDescent="0.25">
      <c r="A358" s="1187">
        <v>484</v>
      </c>
      <c r="B358" s="1179" t="s">
        <v>1382</v>
      </c>
      <c r="C358" s="1179" t="s">
        <v>101</v>
      </c>
      <c r="D358" s="1179" t="s">
        <v>1528</v>
      </c>
      <c r="E358" s="1184" t="s">
        <v>1390</v>
      </c>
    </row>
    <row r="359" spans="1:5" x14ac:dyDescent="0.25">
      <c r="A359" s="1187">
        <v>485</v>
      </c>
      <c r="B359" s="1179" t="s">
        <v>1382</v>
      </c>
      <c r="C359" s="1179" t="s">
        <v>101</v>
      </c>
      <c r="D359" s="1179" t="s">
        <v>1564</v>
      </c>
      <c r="E359" s="1184" t="s">
        <v>1391</v>
      </c>
    </row>
    <row r="360" spans="1:5" x14ac:dyDescent="0.25">
      <c r="A360" s="1187">
        <v>486</v>
      </c>
      <c r="B360" s="1179" t="s">
        <v>1382</v>
      </c>
      <c r="C360" s="1179" t="s">
        <v>101</v>
      </c>
      <c r="D360" s="1179" t="s">
        <v>1564</v>
      </c>
      <c r="E360" s="1184" t="s">
        <v>1329</v>
      </c>
    </row>
    <row r="361" spans="1:5" x14ac:dyDescent="0.25">
      <c r="A361" s="1187">
        <v>487</v>
      </c>
      <c r="B361" s="1179" t="s">
        <v>1382</v>
      </c>
      <c r="C361" s="1179" t="s">
        <v>97</v>
      </c>
      <c r="D361" s="1179" t="s">
        <v>1563</v>
      </c>
      <c r="E361" s="1183" t="s">
        <v>1392</v>
      </c>
    </row>
    <row r="362" spans="1:5" x14ac:dyDescent="0.25">
      <c r="A362" s="1187">
        <v>488</v>
      </c>
      <c r="B362" s="1179" t="s">
        <v>1382</v>
      </c>
      <c r="C362" s="1179" t="s">
        <v>97</v>
      </c>
      <c r="D362" s="1179" t="s">
        <v>1528</v>
      </c>
      <c r="E362" s="1180" t="s">
        <v>254</v>
      </c>
    </row>
    <row r="363" spans="1:5" x14ac:dyDescent="0.25">
      <c r="A363" s="1187">
        <v>490</v>
      </c>
      <c r="B363" s="1179" t="s">
        <v>1382</v>
      </c>
      <c r="C363" s="1179" t="s">
        <v>97</v>
      </c>
      <c r="D363" s="1179" t="s">
        <v>1382</v>
      </c>
      <c r="E363" s="1185" t="s">
        <v>1348</v>
      </c>
    </row>
    <row r="364" spans="1:5" x14ac:dyDescent="0.25">
      <c r="A364" s="1187">
        <v>491</v>
      </c>
      <c r="B364" s="1179" t="s">
        <v>1382</v>
      </c>
      <c r="C364" s="1179" t="s">
        <v>97</v>
      </c>
      <c r="D364" s="1179" t="s">
        <v>1382</v>
      </c>
      <c r="E364" s="1185" t="s">
        <v>225</v>
      </c>
    </row>
    <row r="365" spans="1:5" x14ac:dyDescent="0.25">
      <c r="A365" s="1187">
        <v>492</v>
      </c>
      <c r="B365" s="1179" t="s">
        <v>208</v>
      </c>
      <c r="C365" s="1179" t="s">
        <v>97</v>
      </c>
      <c r="D365" s="1179" t="s">
        <v>1528</v>
      </c>
      <c r="E365" s="1184" t="s">
        <v>466</v>
      </c>
    </row>
    <row r="366" spans="1:5" x14ac:dyDescent="0.25">
      <c r="A366" s="1187">
        <v>493</v>
      </c>
      <c r="B366" s="1179" t="s">
        <v>1382</v>
      </c>
      <c r="C366" s="1179" t="s">
        <v>97</v>
      </c>
      <c r="D366" s="1179" t="s">
        <v>1382</v>
      </c>
      <c r="E366" s="1184" t="s">
        <v>1385</v>
      </c>
    </row>
    <row r="367" spans="1:5" x14ac:dyDescent="0.25">
      <c r="A367" s="1187">
        <v>494</v>
      </c>
      <c r="B367" s="1179" t="s">
        <v>1382</v>
      </c>
      <c r="C367" s="1179" t="s">
        <v>97</v>
      </c>
      <c r="D367" s="1179" t="s">
        <v>1528</v>
      </c>
      <c r="E367" s="1184" t="s">
        <v>1387</v>
      </c>
    </row>
    <row r="368" spans="1:5" x14ac:dyDescent="0.25">
      <c r="A368" s="1187">
        <v>495</v>
      </c>
      <c r="B368" s="1179" t="s">
        <v>1382</v>
      </c>
      <c r="C368" s="1179" t="s">
        <v>97</v>
      </c>
      <c r="D368" s="1179" t="s">
        <v>1528</v>
      </c>
      <c r="E368" s="1184" t="s">
        <v>1388</v>
      </c>
    </row>
    <row r="369" spans="1:5" x14ac:dyDescent="0.25">
      <c r="A369" s="1187">
        <v>496</v>
      </c>
      <c r="B369" s="1179" t="s">
        <v>1382</v>
      </c>
      <c r="C369" s="1179" t="s">
        <v>97</v>
      </c>
      <c r="D369" s="1179" t="s">
        <v>1564</v>
      </c>
      <c r="E369" s="1184" t="s">
        <v>1389</v>
      </c>
    </row>
    <row r="370" spans="1:5" x14ac:dyDescent="0.25">
      <c r="A370" s="1187">
        <v>497</v>
      </c>
      <c r="B370" s="1179" t="s">
        <v>1382</v>
      </c>
      <c r="C370" s="1179" t="s">
        <v>97</v>
      </c>
      <c r="D370" s="1179" t="s">
        <v>1528</v>
      </c>
      <c r="E370" s="1184" t="s">
        <v>1390</v>
      </c>
    </row>
    <row r="371" spans="1:5" x14ac:dyDescent="0.25">
      <c r="A371" s="1187">
        <v>498</v>
      </c>
      <c r="B371" s="1179" t="s">
        <v>1382</v>
      </c>
      <c r="C371" s="1179" t="s">
        <v>97</v>
      </c>
      <c r="D371" s="1179" t="s">
        <v>1564</v>
      </c>
      <c r="E371" s="1184" t="s">
        <v>1391</v>
      </c>
    </row>
    <row r="372" spans="1:5" x14ac:dyDescent="0.25">
      <c r="A372" s="1187">
        <v>499</v>
      </c>
      <c r="B372" s="1179" t="s">
        <v>1382</v>
      </c>
      <c r="C372" s="1179" t="s">
        <v>97</v>
      </c>
      <c r="D372" s="1179" t="s">
        <v>1564</v>
      </c>
      <c r="E372" s="1184" t="s">
        <v>1329</v>
      </c>
    </row>
    <row r="373" spans="1:5" x14ac:dyDescent="0.25">
      <c r="A373" s="1187">
        <v>500</v>
      </c>
      <c r="B373" s="1179" t="s">
        <v>1382</v>
      </c>
      <c r="C373" s="1179" t="s">
        <v>93</v>
      </c>
      <c r="D373" s="1179" t="s">
        <v>1563</v>
      </c>
      <c r="E373" s="1183" t="s">
        <v>1392</v>
      </c>
    </row>
    <row r="374" spans="1:5" x14ac:dyDescent="0.25">
      <c r="A374" s="1187">
        <v>501</v>
      </c>
      <c r="B374" s="1179" t="s">
        <v>1382</v>
      </c>
      <c r="C374" s="1179" t="s">
        <v>93</v>
      </c>
      <c r="D374" s="1179" t="s">
        <v>1528</v>
      </c>
      <c r="E374" s="1180" t="s">
        <v>254</v>
      </c>
    </row>
    <row r="375" spans="1:5" x14ac:dyDescent="0.25">
      <c r="A375" s="1187">
        <v>503</v>
      </c>
      <c r="B375" s="1179" t="s">
        <v>1382</v>
      </c>
      <c r="C375" s="1179" t="s">
        <v>93</v>
      </c>
      <c r="D375" s="1179" t="s">
        <v>1382</v>
      </c>
      <c r="E375" s="1185" t="s">
        <v>1348</v>
      </c>
    </row>
    <row r="376" spans="1:5" x14ac:dyDescent="0.25">
      <c r="A376" s="1187">
        <v>504</v>
      </c>
      <c r="B376" s="1179" t="s">
        <v>1382</v>
      </c>
      <c r="C376" s="1179" t="s">
        <v>93</v>
      </c>
      <c r="D376" s="1179" t="s">
        <v>1382</v>
      </c>
      <c r="E376" s="1185" t="s">
        <v>225</v>
      </c>
    </row>
    <row r="377" spans="1:5" x14ac:dyDescent="0.25">
      <c r="A377" s="1187">
        <v>505</v>
      </c>
      <c r="B377" s="1179" t="s">
        <v>208</v>
      </c>
      <c r="C377" s="1179" t="s">
        <v>93</v>
      </c>
      <c r="D377" s="1179" t="s">
        <v>1528</v>
      </c>
      <c r="E377" s="1184" t="s">
        <v>466</v>
      </c>
    </row>
    <row r="378" spans="1:5" x14ac:dyDescent="0.25">
      <c r="A378" s="1187">
        <v>506</v>
      </c>
      <c r="B378" s="1179" t="s">
        <v>1382</v>
      </c>
      <c r="C378" s="1179" t="s">
        <v>93</v>
      </c>
      <c r="D378" s="1179" t="s">
        <v>1382</v>
      </c>
      <c r="E378" s="1184" t="s">
        <v>1385</v>
      </c>
    </row>
    <row r="379" spans="1:5" x14ac:dyDescent="0.25">
      <c r="A379" s="1187">
        <v>507</v>
      </c>
      <c r="B379" s="1179" t="s">
        <v>1382</v>
      </c>
      <c r="C379" s="1179" t="s">
        <v>93</v>
      </c>
      <c r="D379" s="1179" t="s">
        <v>1528</v>
      </c>
      <c r="E379" s="1184" t="s">
        <v>1387</v>
      </c>
    </row>
    <row r="380" spans="1:5" x14ac:dyDescent="0.25">
      <c r="A380" s="1187">
        <v>508</v>
      </c>
      <c r="B380" s="1179" t="s">
        <v>1382</v>
      </c>
      <c r="C380" s="1179" t="s">
        <v>93</v>
      </c>
      <c r="D380" s="1179" t="s">
        <v>1528</v>
      </c>
      <c r="E380" s="1184" t="s">
        <v>1388</v>
      </c>
    </row>
    <row r="381" spans="1:5" x14ac:dyDescent="0.25">
      <c r="A381" s="1187">
        <v>509</v>
      </c>
      <c r="B381" s="1179" t="s">
        <v>1382</v>
      </c>
      <c r="C381" s="1179" t="s">
        <v>93</v>
      </c>
      <c r="D381" s="1179" t="s">
        <v>1564</v>
      </c>
      <c r="E381" s="1184" t="s">
        <v>1389</v>
      </c>
    </row>
    <row r="382" spans="1:5" x14ac:dyDescent="0.25">
      <c r="A382" s="1187">
        <v>510</v>
      </c>
      <c r="B382" s="1179" t="s">
        <v>1382</v>
      </c>
      <c r="C382" s="1179" t="s">
        <v>93</v>
      </c>
      <c r="D382" s="1179" t="s">
        <v>1528</v>
      </c>
      <c r="E382" s="1184" t="s">
        <v>1390</v>
      </c>
    </row>
    <row r="383" spans="1:5" x14ac:dyDescent="0.25">
      <c r="A383" s="1187">
        <v>511</v>
      </c>
      <c r="B383" s="1179" t="s">
        <v>1382</v>
      </c>
      <c r="C383" s="1179" t="s">
        <v>93</v>
      </c>
      <c r="D383" s="1179" t="s">
        <v>1564</v>
      </c>
      <c r="E383" s="1184" t="s">
        <v>1391</v>
      </c>
    </row>
    <row r="384" spans="1:5" x14ac:dyDescent="0.25">
      <c r="A384" s="1187">
        <v>512</v>
      </c>
      <c r="B384" s="1179" t="s">
        <v>1382</v>
      </c>
      <c r="C384" s="1179" t="s">
        <v>93</v>
      </c>
      <c r="D384" s="1179" t="s">
        <v>1564</v>
      </c>
      <c r="E384" s="1184" t="s">
        <v>1329</v>
      </c>
    </row>
    <row r="385" spans="1:5" x14ac:dyDescent="0.25">
      <c r="A385" s="1187">
        <v>513</v>
      </c>
      <c r="B385" s="1179" t="s">
        <v>1382</v>
      </c>
      <c r="C385" s="1179" t="s">
        <v>105</v>
      </c>
      <c r="D385" s="1179" t="s">
        <v>1563</v>
      </c>
      <c r="E385" s="1183" t="s">
        <v>1392</v>
      </c>
    </row>
    <row r="386" spans="1:5" x14ac:dyDescent="0.25">
      <c r="A386" s="1187">
        <v>514</v>
      </c>
      <c r="B386" s="1179" t="s">
        <v>1382</v>
      </c>
      <c r="C386" s="1179" t="s">
        <v>105</v>
      </c>
      <c r="D386" s="1179" t="s">
        <v>1528</v>
      </c>
      <c r="E386" s="1180" t="s">
        <v>254</v>
      </c>
    </row>
    <row r="387" spans="1:5" x14ac:dyDescent="0.25">
      <c r="A387" s="1187">
        <v>516</v>
      </c>
      <c r="B387" s="1179" t="s">
        <v>1382</v>
      </c>
      <c r="C387" s="1179" t="s">
        <v>105</v>
      </c>
      <c r="D387" s="1179" t="s">
        <v>1382</v>
      </c>
      <c r="E387" s="1185" t="s">
        <v>1348</v>
      </c>
    </row>
    <row r="388" spans="1:5" x14ac:dyDescent="0.25">
      <c r="A388" s="1187">
        <v>517</v>
      </c>
      <c r="B388" s="1179" t="s">
        <v>1382</v>
      </c>
      <c r="C388" s="1179" t="s">
        <v>105</v>
      </c>
      <c r="D388" s="1179" t="s">
        <v>1382</v>
      </c>
      <c r="E388" s="1185" t="s">
        <v>225</v>
      </c>
    </row>
    <row r="389" spans="1:5" x14ac:dyDescent="0.25">
      <c r="A389" s="1187">
        <v>518</v>
      </c>
      <c r="B389" s="1179" t="s">
        <v>208</v>
      </c>
      <c r="C389" s="1179" t="s">
        <v>105</v>
      </c>
      <c r="D389" s="1179" t="s">
        <v>1528</v>
      </c>
      <c r="E389" s="1184" t="s">
        <v>466</v>
      </c>
    </row>
    <row r="390" spans="1:5" x14ac:dyDescent="0.25">
      <c r="A390" s="1187">
        <v>519</v>
      </c>
      <c r="B390" s="1179" t="s">
        <v>1382</v>
      </c>
      <c r="C390" s="1179" t="s">
        <v>105</v>
      </c>
      <c r="D390" s="1179" t="s">
        <v>1382</v>
      </c>
      <c r="E390" s="1184" t="s">
        <v>1385</v>
      </c>
    </row>
    <row r="391" spans="1:5" x14ac:dyDescent="0.25">
      <c r="A391" s="1187">
        <v>520</v>
      </c>
      <c r="B391" s="1179" t="s">
        <v>1382</v>
      </c>
      <c r="C391" s="1179" t="s">
        <v>105</v>
      </c>
      <c r="D391" s="1179" t="s">
        <v>1528</v>
      </c>
      <c r="E391" s="1184" t="s">
        <v>1387</v>
      </c>
    </row>
    <row r="392" spans="1:5" x14ac:dyDescent="0.25">
      <c r="A392" s="1187">
        <v>521</v>
      </c>
      <c r="B392" s="1179" t="s">
        <v>1382</v>
      </c>
      <c r="C392" s="1179" t="s">
        <v>105</v>
      </c>
      <c r="D392" s="1179" t="s">
        <v>1528</v>
      </c>
      <c r="E392" s="1184" t="s">
        <v>1388</v>
      </c>
    </row>
    <row r="393" spans="1:5" x14ac:dyDescent="0.25">
      <c r="A393" s="1187">
        <v>522</v>
      </c>
      <c r="B393" s="1179" t="s">
        <v>1382</v>
      </c>
      <c r="C393" s="1179" t="s">
        <v>105</v>
      </c>
      <c r="D393" s="1179" t="s">
        <v>1564</v>
      </c>
      <c r="E393" s="1184" t="s">
        <v>1389</v>
      </c>
    </row>
    <row r="394" spans="1:5" x14ac:dyDescent="0.25">
      <c r="A394" s="1187">
        <v>523</v>
      </c>
      <c r="B394" s="1179" t="s">
        <v>1382</v>
      </c>
      <c r="C394" s="1179" t="s">
        <v>105</v>
      </c>
      <c r="D394" s="1179" t="s">
        <v>1528</v>
      </c>
      <c r="E394" s="1184" t="s">
        <v>1390</v>
      </c>
    </row>
    <row r="395" spans="1:5" x14ac:dyDescent="0.25">
      <c r="A395" s="1187">
        <v>524</v>
      </c>
      <c r="B395" s="1179" t="s">
        <v>1382</v>
      </c>
      <c r="C395" s="1179" t="s">
        <v>105</v>
      </c>
      <c r="D395" s="1179" t="s">
        <v>1564</v>
      </c>
      <c r="E395" s="1184" t="s">
        <v>1391</v>
      </c>
    </row>
    <row r="396" spans="1:5" x14ac:dyDescent="0.25">
      <c r="A396" s="1187">
        <v>525</v>
      </c>
      <c r="B396" s="1179" t="s">
        <v>1382</v>
      </c>
      <c r="C396" s="1179" t="s">
        <v>105</v>
      </c>
      <c r="D396" s="1179" t="s">
        <v>1564</v>
      </c>
      <c r="E396" s="1184" t="s">
        <v>1329</v>
      </c>
    </row>
    <row r="397" spans="1:5" x14ac:dyDescent="0.25">
      <c r="A397" s="1187">
        <v>526</v>
      </c>
      <c r="B397" s="1179" t="s">
        <v>1382</v>
      </c>
      <c r="C397" s="1179" t="s">
        <v>92</v>
      </c>
      <c r="D397" s="1179" t="s">
        <v>1563</v>
      </c>
      <c r="E397" s="1183" t="s">
        <v>1392</v>
      </c>
    </row>
    <row r="398" spans="1:5" x14ac:dyDescent="0.25">
      <c r="A398" s="1187">
        <v>527</v>
      </c>
      <c r="B398" s="1179" t="s">
        <v>1382</v>
      </c>
      <c r="C398" s="1179" t="s">
        <v>92</v>
      </c>
      <c r="D398" s="1179" t="s">
        <v>1528</v>
      </c>
      <c r="E398" s="1180" t="s">
        <v>254</v>
      </c>
    </row>
    <row r="399" spans="1:5" x14ac:dyDescent="0.25">
      <c r="A399" s="1187">
        <v>529</v>
      </c>
      <c r="B399" s="1179" t="s">
        <v>1382</v>
      </c>
      <c r="C399" s="1179" t="s">
        <v>92</v>
      </c>
      <c r="D399" s="1179" t="s">
        <v>1382</v>
      </c>
      <c r="E399" s="1185" t="s">
        <v>1348</v>
      </c>
    </row>
    <row r="400" spans="1:5" x14ac:dyDescent="0.25">
      <c r="A400" s="1187">
        <v>530</v>
      </c>
      <c r="B400" s="1179" t="s">
        <v>1382</v>
      </c>
      <c r="C400" s="1179" t="s">
        <v>92</v>
      </c>
      <c r="D400" s="1179" t="s">
        <v>1382</v>
      </c>
      <c r="E400" s="1185" t="s">
        <v>225</v>
      </c>
    </row>
    <row r="401" spans="1:5" x14ac:dyDescent="0.25">
      <c r="A401" s="1187">
        <v>531</v>
      </c>
      <c r="B401" s="1179" t="s">
        <v>208</v>
      </c>
      <c r="C401" s="1179" t="s">
        <v>92</v>
      </c>
      <c r="D401" s="1179" t="s">
        <v>1528</v>
      </c>
      <c r="E401" s="1184" t="s">
        <v>466</v>
      </c>
    </row>
    <row r="402" spans="1:5" x14ac:dyDescent="0.25">
      <c r="A402" s="1187">
        <v>532</v>
      </c>
      <c r="B402" s="1179" t="s">
        <v>1382</v>
      </c>
      <c r="C402" s="1179" t="s">
        <v>92</v>
      </c>
      <c r="D402" s="1179" t="s">
        <v>1382</v>
      </c>
      <c r="E402" s="1184" t="s">
        <v>1385</v>
      </c>
    </row>
    <row r="403" spans="1:5" x14ac:dyDescent="0.25">
      <c r="A403" s="1187">
        <v>533</v>
      </c>
      <c r="B403" s="1179" t="s">
        <v>1382</v>
      </c>
      <c r="C403" s="1179" t="s">
        <v>92</v>
      </c>
      <c r="D403" s="1179" t="s">
        <v>1528</v>
      </c>
      <c r="E403" s="1184" t="s">
        <v>1387</v>
      </c>
    </row>
    <row r="404" spans="1:5" x14ac:dyDescent="0.25">
      <c r="A404" s="1187">
        <v>534</v>
      </c>
      <c r="B404" s="1179" t="s">
        <v>1382</v>
      </c>
      <c r="C404" s="1179" t="s">
        <v>92</v>
      </c>
      <c r="D404" s="1179" t="s">
        <v>1528</v>
      </c>
      <c r="E404" s="1184" t="s">
        <v>1388</v>
      </c>
    </row>
    <row r="405" spans="1:5" x14ac:dyDescent="0.25">
      <c r="A405" s="1187">
        <v>535</v>
      </c>
      <c r="B405" s="1179" t="s">
        <v>1382</v>
      </c>
      <c r="C405" s="1179" t="s">
        <v>92</v>
      </c>
      <c r="D405" s="1179" t="s">
        <v>1564</v>
      </c>
      <c r="E405" s="1184" t="s">
        <v>1389</v>
      </c>
    </row>
    <row r="406" spans="1:5" x14ac:dyDescent="0.25">
      <c r="A406" s="1187">
        <v>536</v>
      </c>
      <c r="B406" s="1179" t="s">
        <v>1382</v>
      </c>
      <c r="C406" s="1179" t="s">
        <v>92</v>
      </c>
      <c r="D406" s="1179" t="s">
        <v>1528</v>
      </c>
      <c r="E406" s="1184" t="s">
        <v>1390</v>
      </c>
    </row>
    <row r="407" spans="1:5" x14ac:dyDescent="0.25">
      <c r="A407" s="1187">
        <v>537</v>
      </c>
      <c r="B407" s="1179" t="s">
        <v>1382</v>
      </c>
      <c r="C407" s="1179" t="s">
        <v>92</v>
      </c>
      <c r="D407" s="1179" t="s">
        <v>1564</v>
      </c>
      <c r="E407" s="1184" t="s">
        <v>1391</v>
      </c>
    </row>
    <row r="408" spans="1:5" x14ac:dyDescent="0.25">
      <c r="A408" s="1187">
        <v>538</v>
      </c>
      <c r="B408" s="1179" t="s">
        <v>1382</v>
      </c>
      <c r="C408" s="1179" t="s">
        <v>92</v>
      </c>
      <c r="D408" s="1179" t="s">
        <v>1564</v>
      </c>
      <c r="E408" s="1184" t="s">
        <v>1329</v>
      </c>
    </row>
    <row r="409" spans="1:5" x14ac:dyDescent="0.25">
      <c r="A409" s="1187">
        <v>539</v>
      </c>
      <c r="B409" s="1179" t="s">
        <v>1382</v>
      </c>
      <c r="C409" s="1179" t="s">
        <v>91</v>
      </c>
      <c r="D409" s="1179" t="s">
        <v>1563</v>
      </c>
      <c r="E409" s="1183" t="s">
        <v>1392</v>
      </c>
    </row>
    <row r="410" spans="1:5" x14ac:dyDescent="0.25">
      <c r="A410" s="1187">
        <v>540</v>
      </c>
      <c r="B410" s="1179" t="s">
        <v>1382</v>
      </c>
      <c r="C410" s="1179" t="s">
        <v>91</v>
      </c>
      <c r="D410" s="1179" t="s">
        <v>1528</v>
      </c>
      <c r="E410" s="1180" t="s">
        <v>254</v>
      </c>
    </row>
    <row r="411" spans="1:5" x14ac:dyDescent="0.25">
      <c r="A411" s="1187">
        <v>542</v>
      </c>
      <c r="B411" s="1179" t="s">
        <v>1382</v>
      </c>
      <c r="C411" s="1179" t="s">
        <v>91</v>
      </c>
      <c r="D411" s="1188" t="s">
        <v>1382</v>
      </c>
      <c r="E411" s="1185" t="s">
        <v>1348</v>
      </c>
    </row>
    <row r="412" spans="1:5" x14ac:dyDescent="0.25">
      <c r="A412" s="1187">
        <v>543</v>
      </c>
      <c r="B412" s="1179" t="s">
        <v>1382</v>
      </c>
      <c r="C412" s="1179" t="s">
        <v>91</v>
      </c>
      <c r="D412" s="1188" t="s">
        <v>1382</v>
      </c>
      <c r="E412" s="1185" t="s">
        <v>225</v>
      </c>
    </row>
    <row r="413" spans="1:5" x14ac:dyDescent="0.25">
      <c r="A413" s="1187">
        <v>544</v>
      </c>
      <c r="B413" s="1179" t="s">
        <v>208</v>
      </c>
      <c r="C413" s="1179" t="s">
        <v>91</v>
      </c>
      <c r="D413" s="1179" t="s">
        <v>1528</v>
      </c>
      <c r="E413" s="1184" t="s">
        <v>466</v>
      </c>
    </row>
    <row r="414" spans="1:5" x14ac:dyDescent="0.25">
      <c r="A414" s="1187">
        <v>545</v>
      </c>
      <c r="B414" s="1179" t="s">
        <v>1382</v>
      </c>
      <c r="C414" s="1179" t="s">
        <v>91</v>
      </c>
      <c r="D414" s="1179" t="s">
        <v>1382</v>
      </c>
      <c r="E414" s="1184" t="s">
        <v>1385</v>
      </c>
    </row>
    <row r="415" spans="1:5" x14ac:dyDescent="0.25">
      <c r="A415" s="1187">
        <v>546</v>
      </c>
      <c r="B415" s="1179" t="s">
        <v>1382</v>
      </c>
      <c r="C415" s="1179" t="s">
        <v>91</v>
      </c>
      <c r="D415" s="1179" t="s">
        <v>1528</v>
      </c>
      <c r="E415" s="1184" t="s">
        <v>1387</v>
      </c>
    </row>
    <row r="416" spans="1:5" x14ac:dyDescent="0.25">
      <c r="A416" s="1187">
        <v>547</v>
      </c>
      <c r="B416" s="1179" t="s">
        <v>1382</v>
      </c>
      <c r="C416" s="1179" t="s">
        <v>91</v>
      </c>
      <c r="D416" s="1179" t="s">
        <v>1528</v>
      </c>
      <c r="E416" s="1184" t="s">
        <v>1388</v>
      </c>
    </row>
    <row r="417" spans="1:5" x14ac:dyDescent="0.25">
      <c r="A417" s="1187">
        <v>548</v>
      </c>
      <c r="B417" s="1179" t="s">
        <v>1382</v>
      </c>
      <c r="C417" s="1179" t="s">
        <v>91</v>
      </c>
      <c r="D417" s="1179" t="s">
        <v>1564</v>
      </c>
      <c r="E417" s="1184" t="s">
        <v>1389</v>
      </c>
    </row>
    <row r="418" spans="1:5" x14ac:dyDescent="0.25">
      <c r="A418" s="1187">
        <v>549</v>
      </c>
      <c r="B418" s="1179" t="s">
        <v>1382</v>
      </c>
      <c r="C418" s="1179" t="s">
        <v>91</v>
      </c>
      <c r="D418" s="1179" t="s">
        <v>1528</v>
      </c>
      <c r="E418" s="1184" t="s">
        <v>1390</v>
      </c>
    </row>
    <row r="419" spans="1:5" x14ac:dyDescent="0.25">
      <c r="A419" s="1187">
        <v>550</v>
      </c>
      <c r="B419" s="1179" t="s">
        <v>1382</v>
      </c>
      <c r="C419" s="1179" t="s">
        <v>91</v>
      </c>
      <c r="D419" s="1179" t="s">
        <v>1564</v>
      </c>
      <c r="E419" s="1184" t="s">
        <v>1391</v>
      </c>
    </row>
    <row r="420" spans="1:5" x14ac:dyDescent="0.25">
      <c r="A420" s="1187">
        <v>551</v>
      </c>
      <c r="B420" s="1179" t="s">
        <v>1382</v>
      </c>
      <c r="C420" s="1179" t="s">
        <v>91</v>
      </c>
      <c r="D420" s="1179" t="s">
        <v>1564</v>
      </c>
      <c r="E420" s="1184" t="s">
        <v>1329</v>
      </c>
    </row>
    <row r="421" spans="1:5" x14ac:dyDescent="0.25">
      <c r="A421" s="1187">
        <v>552</v>
      </c>
      <c r="B421" s="1179" t="s">
        <v>1382</v>
      </c>
      <c r="C421" s="1179" t="s">
        <v>90</v>
      </c>
      <c r="D421" s="1179" t="s">
        <v>1563</v>
      </c>
      <c r="E421" s="1183" t="s">
        <v>1392</v>
      </c>
    </row>
    <row r="422" spans="1:5" x14ac:dyDescent="0.25">
      <c r="A422" s="1187">
        <v>553</v>
      </c>
      <c r="B422" s="1179" t="s">
        <v>1382</v>
      </c>
      <c r="C422" s="1179" t="s">
        <v>90</v>
      </c>
      <c r="D422" s="1179" t="s">
        <v>1528</v>
      </c>
      <c r="E422" s="1180" t="s">
        <v>254</v>
      </c>
    </row>
    <row r="423" spans="1:5" x14ac:dyDescent="0.25">
      <c r="A423" s="1187">
        <v>555</v>
      </c>
      <c r="B423" s="1179" t="s">
        <v>1382</v>
      </c>
      <c r="C423" s="1179" t="s">
        <v>90</v>
      </c>
      <c r="D423" s="1188" t="s">
        <v>1382</v>
      </c>
      <c r="E423" s="1185" t="s">
        <v>1348</v>
      </c>
    </row>
    <row r="424" spans="1:5" x14ac:dyDescent="0.25">
      <c r="A424" s="1187">
        <v>556</v>
      </c>
      <c r="B424" s="1179" t="s">
        <v>1382</v>
      </c>
      <c r="C424" s="1179" t="s">
        <v>90</v>
      </c>
      <c r="D424" s="1188" t="s">
        <v>1382</v>
      </c>
      <c r="E424" s="1185" t="s">
        <v>225</v>
      </c>
    </row>
    <row r="425" spans="1:5" x14ac:dyDescent="0.25">
      <c r="A425" s="1187">
        <v>557</v>
      </c>
      <c r="B425" s="1179" t="s">
        <v>208</v>
      </c>
      <c r="C425" s="1179" t="s">
        <v>90</v>
      </c>
      <c r="D425" s="1179" t="s">
        <v>1528</v>
      </c>
      <c r="E425" s="1184" t="s">
        <v>466</v>
      </c>
    </row>
    <row r="426" spans="1:5" x14ac:dyDescent="0.25">
      <c r="A426" s="1187">
        <v>558</v>
      </c>
      <c r="B426" s="1179" t="s">
        <v>1382</v>
      </c>
      <c r="C426" s="1179" t="s">
        <v>90</v>
      </c>
      <c r="D426" s="1179" t="s">
        <v>1382</v>
      </c>
      <c r="E426" s="1184" t="s">
        <v>1385</v>
      </c>
    </row>
    <row r="427" spans="1:5" x14ac:dyDescent="0.25">
      <c r="A427" s="1187">
        <v>559</v>
      </c>
      <c r="B427" s="1179" t="s">
        <v>1382</v>
      </c>
      <c r="C427" s="1179" t="s">
        <v>90</v>
      </c>
      <c r="D427" s="1179" t="s">
        <v>1528</v>
      </c>
      <c r="E427" s="1184" t="s">
        <v>1387</v>
      </c>
    </row>
    <row r="428" spans="1:5" x14ac:dyDescent="0.25">
      <c r="A428" s="1187">
        <v>560</v>
      </c>
      <c r="B428" s="1179" t="s">
        <v>1382</v>
      </c>
      <c r="C428" s="1179" t="s">
        <v>90</v>
      </c>
      <c r="D428" s="1179" t="s">
        <v>1528</v>
      </c>
      <c r="E428" s="1184" t="s">
        <v>1388</v>
      </c>
    </row>
    <row r="429" spans="1:5" x14ac:dyDescent="0.25">
      <c r="A429" s="1187">
        <v>561</v>
      </c>
      <c r="B429" s="1179" t="s">
        <v>1382</v>
      </c>
      <c r="C429" s="1179" t="s">
        <v>90</v>
      </c>
      <c r="D429" s="1179" t="s">
        <v>1564</v>
      </c>
      <c r="E429" s="1184" t="s">
        <v>1389</v>
      </c>
    </row>
    <row r="430" spans="1:5" x14ac:dyDescent="0.25">
      <c r="A430" s="1187">
        <v>562</v>
      </c>
      <c r="B430" s="1179" t="s">
        <v>1382</v>
      </c>
      <c r="C430" s="1179" t="s">
        <v>90</v>
      </c>
      <c r="D430" s="1179" t="s">
        <v>1528</v>
      </c>
      <c r="E430" s="1184" t="s">
        <v>1390</v>
      </c>
    </row>
    <row r="431" spans="1:5" x14ac:dyDescent="0.25">
      <c r="A431" s="1187">
        <v>563</v>
      </c>
      <c r="B431" s="1179" t="s">
        <v>1382</v>
      </c>
      <c r="C431" s="1179" t="s">
        <v>90</v>
      </c>
      <c r="D431" s="1179" t="s">
        <v>1564</v>
      </c>
      <c r="E431" s="1184" t="s">
        <v>1391</v>
      </c>
    </row>
    <row r="432" spans="1:5" x14ac:dyDescent="0.25">
      <c r="A432" s="1187">
        <v>564</v>
      </c>
      <c r="B432" s="1179" t="s">
        <v>1382</v>
      </c>
      <c r="C432" s="1179" t="s">
        <v>90</v>
      </c>
      <c r="D432" s="1179" t="s">
        <v>1564</v>
      </c>
      <c r="E432" s="1184" t="s">
        <v>1329</v>
      </c>
    </row>
    <row r="433" spans="1:5" x14ac:dyDescent="0.25">
      <c r="A433" s="1187">
        <v>565</v>
      </c>
      <c r="B433" s="1179" t="s">
        <v>1382</v>
      </c>
      <c r="C433" s="1179" t="s">
        <v>89</v>
      </c>
      <c r="D433" s="1179" t="s">
        <v>1563</v>
      </c>
      <c r="E433" s="1183" t="s">
        <v>1392</v>
      </c>
    </row>
    <row r="434" spans="1:5" x14ac:dyDescent="0.25">
      <c r="A434" s="1187">
        <v>566</v>
      </c>
      <c r="B434" s="1179" t="s">
        <v>1382</v>
      </c>
      <c r="C434" s="1179" t="s">
        <v>89</v>
      </c>
      <c r="D434" s="1179" t="s">
        <v>1528</v>
      </c>
      <c r="E434" s="1180" t="s">
        <v>254</v>
      </c>
    </row>
    <row r="435" spans="1:5" x14ac:dyDescent="0.25">
      <c r="A435" s="1187">
        <v>568</v>
      </c>
      <c r="B435" s="1179" t="s">
        <v>1382</v>
      </c>
      <c r="C435" s="1179" t="s">
        <v>89</v>
      </c>
      <c r="D435" s="1179" t="s">
        <v>1382</v>
      </c>
      <c r="E435" s="1185" t="s">
        <v>1348</v>
      </c>
    </row>
    <row r="436" spans="1:5" x14ac:dyDescent="0.25">
      <c r="A436" s="1187">
        <v>569</v>
      </c>
      <c r="B436" s="1179" t="s">
        <v>1382</v>
      </c>
      <c r="C436" s="1179" t="s">
        <v>89</v>
      </c>
      <c r="D436" s="1179" t="s">
        <v>1382</v>
      </c>
      <c r="E436" s="1185" t="s">
        <v>225</v>
      </c>
    </row>
    <row r="437" spans="1:5" x14ac:dyDescent="0.25">
      <c r="A437" s="1187">
        <v>570</v>
      </c>
      <c r="B437" s="1179" t="s">
        <v>208</v>
      </c>
      <c r="C437" s="1179" t="s">
        <v>89</v>
      </c>
      <c r="D437" s="1179" t="s">
        <v>1528</v>
      </c>
      <c r="E437" s="1184" t="s">
        <v>466</v>
      </c>
    </row>
    <row r="438" spans="1:5" x14ac:dyDescent="0.25">
      <c r="A438" s="1187">
        <v>571</v>
      </c>
      <c r="B438" s="1179" t="s">
        <v>1382</v>
      </c>
      <c r="C438" s="1179" t="s">
        <v>89</v>
      </c>
      <c r="D438" s="1179" t="s">
        <v>1382</v>
      </c>
      <c r="E438" s="1184" t="s">
        <v>1385</v>
      </c>
    </row>
    <row r="439" spans="1:5" x14ac:dyDescent="0.25">
      <c r="A439" s="1187">
        <v>572</v>
      </c>
      <c r="B439" s="1179" t="s">
        <v>1382</v>
      </c>
      <c r="C439" s="1179" t="s">
        <v>89</v>
      </c>
      <c r="D439" s="1179" t="s">
        <v>1528</v>
      </c>
      <c r="E439" s="1184" t="s">
        <v>1387</v>
      </c>
    </row>
    <row r="440" spans="1:5" x14ac:dyDescent="0.25">
      <c r="A440" s="1187">
        <v>573</v>
      </c>
      <c r="B440" s="1179" t="s">
        <v>1382</v>
      </c>
      <c r="C440" s="1179" t="s">
        <v>89</v>
      </c>
      <c r="D440" s="1179" t="s">
        <v>1528</v>
      </c>
      <c r="E440" s="1184" t="s">
        <v>1388</v>
      </c>
    </row>
    <row r="441" spans="1:5" x14ac:dyDescent="0.25">
      <c r="A441" s="1187">
        <v>574</v>
      </c>
      <c r="B441" s="1179" t="s">
        <v>1382</v>
      </c>
      <c r="C441" s="1179" t="s">
        <v>89</v>
      </c>
      <c r="D441" s="1179" t="s">
        <v>1564</v>
      </c>
      <c r="E441" s="1184" t="s">
        <v>1389</v>
      </c>
    </row>
    <row r="442" spans="1:5" x14ac:dyDescent="0.25">
      <c r="A442" s="1187">
        <v>575</v>
      </c>
      <c r="B442" s="1179" t="s">
        <v>1382</v>
      </c>
      <c r="C442" s="1179" t="s">
        <v>89</v>
      </c>
      <c r="D442" s="1179" t="s">
        <v>1528</v>
      </c>
      <c r="E442" s="1184" t="s">
        <v>1390</v>
      </c>
    </row>
    <row r="443" spans="1:5" x14ac:dyDescent="0.25">
      <c r="A443" s="1187">
        <v>576</v>
      </c>
      <c r="B443" s="1179" t="s">
        <v>1382</v>
      </c>
      <c r="C443" s="1179" t="s">
        <v>89</v>
      </c>
      <c r="D443" s="1179" t="s">
        <v>1564</v>
      </c>
      <c r="E443" s="1184" t="s">
        <v>1391</v>
      </c>
    </row>
    <row r="444" spans="1:5" x14ac:dyDescent="0.25">
      <c r="A444" s="1187">
        <v>577</v>
      </c>
      <c r="B444" s="1179" t="s">
        <v>1382</v>
      </c>
      <c r="C444" s="1179" t="s">
        <v>89</v>
      </c>
      <c r="D444" s="1179" t="s">
        <v>1564</v>
      </c>
      <c r="E444" s="1184" t="s">
        <v>1329</v>
      </c>
    </row>
    <row r="445" spans="1:5" x14ac:dyDescent="0.25">
      <c r="A445" s="1187">
        <v>578</v>
      </c>
      <c r="B445" s="1179" t="s">
        <v>1382</v>
      </c>
      <c r="C445" s="1179" t="s">
        <v>94</v>
      </c>
      <c r="D445" s="1179" t="s">
        <v>1563</v>
      </c>
      <c r="E445" s="1183" t="s">
        <v>1392</v>
      </c>
    </row>
    <row r="446" spans="1:5" x14ac:dyDescent="0.25">
      <c r="A446" s="1187">
        <v>579</v>
      </c>
      <c r="B446" s="1179" t="s">
        <v>1382</v>
      </c>
      <c r="C446" s="1179" t="s">
        <v>94</v>
      </c>
      <c r="D446" s="1179" t="s">
        <v>1528</v>
      </c>
      <c r="E446" s="1180" t="s">
        <v>254</v>
      </c>
    </row>
    <row r="447" spans="1:5" x14ac:dyDescent="0.25">
      <c r="A447" s="1187">
        <v>581</v>
      </c>
      <c r="B447" s="1179" t="s">
        <v>1382</v>
      </c>
      <c r="C447" s="1179" t="s">
        <v>94</v>
      </c>
      <c r="D447" s="1179" t="s">
        <v>1382</v>
      </c>
      <c r="E447" s="1185" t="s">
        <v>1348</v>
      </c>
    </row>
    <row r="448" spans="1:5" x14ac:dyDescent="0.25">
      <c r="A448" s="1187">
        <v>582</v>
      </c>
      <c r="B448" s="1179" t="s">
        <v>1382</v>
      </c>
      <c r="C448" s="1179" t="s">
        <v>94</v>
      </c>
      <c r="D448" s="1179" t="s">
        <v>1382</v>
      </c>
      <c r="E448" s="1185" t="s">
        <v>225</v>
      </c>
    </row>
    <row r="449" spans="1:5" x14ac:dyDescent="0.25">
      <c r="A449" s="1187">
        <v>583</v>
      </c>
      <c r="B449" s="1179" t="s">
        <v>208</v>
      </c>
      <c r="C449" s="1179" t="s">
        <v>94</v>
      </c>
      <c r="D449" s="1179" t="s">
        <v>1528</v>
      </c>
      <c r="E449" s="1184" t="s">
        <v>466</v>
      </c>
    </row>
    <row r="450" spans="1:5" x14ac:dyDescent="0.25">
      <c r="A450" s="1187">
        <v>584</v>
      </c>
      <c r="B450" s="1179" t="s">
        <v>1382</v>
      </c>
      <c r="C450" s="1179" t="s">
        <v>94</v>
      </c>
      <c r="D450" s="1179" t="s">
        <v>1382</v>
      </c>
      <c r="E450" s="1184" t="s">
        <v>1385</v>
      </c>
    </row>
    <row r="451" spans="1:5" x14ac:dyDescent="0.25">
      <c r="A451" s="1187">
        <v>585</v>
      </c>
      <c r="B451" s="1179" t="s">
        <v>1382</v>
      </c>
      <c r="C451" s="1179" t="s">
        <v>94</v>
      </c>
      <c r="D451" s="1179" t="s">
        <v>1528</v>
      </c>
      <c r="E451" s="1184" t="s">
        <v>1387</v>
      </c>
    </row>
    <row r="452" spans="1:5" x14ac:dyDescent="0.25">
      <c r="A452" s="1187">
        <v>586</v>
      </c>
      <c r="B452" s="1179" t="s">
        <v>1382</v>
      </c>
      <c r="C452" s="1179" t="s">
        <v>94</v>
      </c>
      <c r="D452" s="1179" t="s">
        <v>1528</v>
      </c>
      <c r="E452" s="1184" t="s">
        <v>1388</v>
      </c>
    </row>
    <row r="453" spans="1:5" x14ac:dyDescent="0.25">
      <c r="A453" s="1187">
        <v>587</v>
      </c>
      <c r="B453" s="1179" t="s">
        <v>1382</v>
      </c>
      <c r="C453" s="1179" t="s">
        <v>94</v>
      </c>
      <c r="D453" s="1179" t="s">
        <v>1564</v>
      </c>
      <c r="E453" s="1184" t="s">
        <v>1389</v>
      </c>
    </row>
    <row r="454" spans="1:5" x14ac:dyDescent="0.25">
      <c r="A454" s="1187">
        <v>588</v>
      </c>
      <c r="B454" s="1179" t="s">
        <v>1382</v>
      </c>
      <c r="C454" s="1179" t="s">
        <v>94</v>
      </c>
      <c r="D454" s="1179" t="s">
        <v>1528</v>
      </c>
      <c r="E454" s="1184" t="s">
        <v>1390</v>
      </c>
    </row>
    <row r="455" spans="1:5" x14ac:dyDescent="0.25">
      <c r="A455" s="1187">
        <v>589</v>
      </c>
      <c r="B455" s="1179" t="s">
        <v>1382</v>
      </c>
      <c r="C455" s="1179" t="s">
        <v>94</v>
      </c>
      <c r="D455" s="1179" t="s">
        <v>1564</v>
      </c>
      <c r="E455" s="1184" t="s">
        <v>1391</v>
      </c>
    </row>
    <row r="456" spans="1:5" x14ac:dyDescent="0.25">
      <c r="A456" s="1187">
        <v>590</v>
      </c>
      <c r="B456" s="1179" t="s">
        <v>1382</v>
      </c>
      <c r="C456" s="1179" t="s">
        <v>94</v>
      </c>
      <c r="D456" s="1179" t="s">
        <v>1564</v>
      </c>
      <c r="E456" s="1184" t="s">
        <v>1329</v>
      </c>
    </row>
    <row r="457" spans="1:5" x14ac:dyDescent="0.25">
      <c r="A457" s="1187">
        <v>591</v>
      </c>
      <c r="B457" s="1179" t="s">
        <v>1382</v>
      </c>
      <c r="C457" s="1179" t="s">
        <v>86</v>
      </c>
      <c r="D457" s="1179" t="s">
        <v>1563</v>
      </c>
      <c r="E457" s="1183" t="s">
        <v>1392</v>
      </c>
    </row>
    <row r="458" spans="1:5" x14ac:dyDescent="0.25">
      <c r="A458" s="1187">
        <v>592</v>
      </c>
      <c r="B458" s="1179" t="s">
        <v>1382</v>
      </c>
      <c r="C458" s="1179" t="s">
        <v>86</v>
      </c>
      <c r="D458" s="1179" t="s">
        <v>1528</v>
      </c>
      <c r="E458" s="1180" t="s">
        <v>254</v>
      </c>
    </row>
    <row r="459" spans="1:5" x14ac:dyDescent="0.25">
      <c r="A459" s="1187">
        <v>594</v>
      </c>
      <c r="B459" s="1179" t="s">
        <v>1382</v>
      </c>
      <c r="C459" s="1179" t="s">
        <v>86</v>
      </c>
      <c r="D459" s="1179" t="s">
        <v>1382</v>
      </c>
      <c r="E459" s="1185" t="s">
        <v>1348</v>
      </c>
    </row>
    <row r="460" spans="1:5" x14ac:dyDescent="0.25">
      <c r="A460" s="1187">
        <v>595</v>
      </c>
      <c r="B460" s="1179" t="s">
        <v>1382</v>
      </c>
      <c r="C460" s="1179" t="s">
        <v>86</v>
      </c>
      <c r="D460" s="1179" t="s">
        <v>1382</v>
      </c>
      <c r="E460" s="1185" t="s">
        <v>225</v>
      </c>
    </row>
    <row r="461" spans="1:5" x14ac:dyDescent="0.25">
      <c r="A461" s="1187">
        <v>596</v>
      </c>
      <c r="B461" s="1179" t="s">
        <v>208</v>
      </c>
      <c r="C461" s="1179" t="s">
        <v>86</v>
      </c>
      <c r="D461" s="1179" t="s">
        <v>1528</v>
      </c>
      <c r="E461" s="1184" t="s">
        <v>466</v>
      </c>
    </row>
    <row r="462" spans="1:5" x14ac:dyDescent="0.25">
      <c r="A462" s="1187">
        <v>597</v>
      </c>
      <c r="B462" s="1179" t="s">
        <v>1382</v>
      </c>
      <c r="C462" s="1179" t="s">
        <v>86</v>
      </c>
      <c r="D462" s="1179" t="s">
        <v>1382</v>
      </c>
      <c r="E462" s="1184" t="s">
        <v>1385</v>
      </c>
    </row>
    <row r="463" spans="1:5" x14ac:dyDescent="0.25">
      <c r="A463" s="1187">
        <v>598</v>
      </c>
      <c r="B463" s="1179" t="s">
        <v>1382</v>
      </c>
      <c r="C463" s="1179" t="s">
        <v>86</v>
      </c>
      <c r="D463" s="1179" t="s">
        <v>1528</v>
      </c>
      <c r="E463" s="1184" t="s">
        <v>1387</v>
      </c>
    </row>
    <row r="464" spans="1:5" x14ac:dyDescent="0.25">
      <c r="A464" s="1187">
        <v>599</v>
      </c>
      <c r="B464" s="1179" t="s">
        <v>1382</v>
      </c>
      <c r="C464" s="1179" t="s">
        <v>86</v>
      </c>
      <c r="D464" s="1179" t="s">
        <v>1528</v>
      </c>
      <c r="E464" s="1184" t="s">
        <v>1388</v>
      </c>
    </row>
    <row r="465" spans="1:5" x14ac:dyDescent="0.25">
      <c r="A465" s="1187">
        <v>600</v>
      </c>
      <c r="B465" s="1179" t="s">
        <v>1382</v>
      </c>
      <c r="C465" s="1179" t="s">
        <v>86</v>
      </c>
      <c r="D465" s="1179" t="s">
        <v>1564</v>
      </c>
      <c r="E465" s="1184" t="s">
        <v>1389</v>
      </c>
    </row>
    <row r="466" spans="1:5" x14ac:dyDescent="0.25">
      <c r="A466" s="1187">
        <v>601</v>
      </c>
      <c r="B466" s="1179" t="s">
        <v>1382</v>
      </c>
      <c r="C466" s="1179" t="s">
        <v>86</v>
      </c>
      <c r="D466" s="1179" t="s">
        <v>1528</v>
      </c>
      <c r="E466" s="1184" t="s">
        <v>1390</v>
      </c>
    </row>
    <row r="467" spans="1:5" x14ac:dyDescent="0.25">
      <c r="A467" s="1187">
        <v>602</v>
      </c>
      <c r="B467" s="1179" t="s">
        <v>1382</v>
      </c>
      <c r="C467" s="1179" t="s">
        <v>86</v>
      </c>
      <c r="D467" s="1179" t="s">
        <v>1564</v>
      </c>
      <c r="E467" s="1184" t="s">
        <v>1391</v>
      </c>
    </row>
    <row r="468" spans="1:5" x14ac:dyDescent="0.25">
      <c r="A468" s="1187">
        <v>603</v>
      </c>
      <c r="B468" s="1179" t="s">
        <v>1382</v>
      </c>
      <c r="C468" s="1179" t="s">
        <v>86</v>
      </c>
      <c r="D468" s="1179" t="s">
        <v>1564</v>
      </c>
      <c r="E468" s="1184" t="s">
        <v>1329</v>
      </c>
    </row>
    <row r="469" spans="1:5" x14ac:dyDescent="0.25">
      <c r="A469" s="1187">
        <v>604</v>
      </c>
      <c r="B469" s="1179" t="s">
        <v>1382</v>
      </c>
      <c r="C469" s="1179" t="s">
        <v>88</v>
      </c>
      <c r="D469" s="1179" t="s">
        <v>1563</v>
      </c>
      <c r="E469" s="1183" t="s">
        <v>1392</v>
      </c>
    </row>
    <row r="470" spans="1:5" x14ac:dyDescent="0.25">
      <c r="A470" s="1187">
        <v>605</v>
      </c>
      <c r="B470" s="1179" t="s">
        <v>1382</v>
      </c>
      <c r="C470" s="1179" t="s">
        <v>88</v>
      </c>
      <c r="D470" s="1179" t="s">
        <v>1528</v>
      </c>
      <c r="E470" s="1180" t="s">
        <v>254</v>
      </c>
    </row>
    <row r="471" spans="1:5" x14ac:dyDescent="0.25">
      <c r="A471" s="1187">
        <v>607</v>
      </c>
      <c r="B471" s="1179" t="s">
        <v>1382</v>
      </c>
      <c r="C471" s="1179" t="s">
        <v>88</v>
      </c>
      <c r="D471" s="1179" t="s">
        <v>1382</v>
      </c>
      <c r="E471" s="1185" t="s">
        <v>1348</v>
      </c>
    </row>
    <row r="472" spans="1:5" x14ac:dyDescent="0.25">
      <c r="A472" s="1187">
        <v>608</v>
      </c>
      <c r="B472" s="1179" t="s">
        <v>1382</v>
      </c>
      <c r="C472" s="1179" t="s">
        <v>88</v>
      </c>
      <c r="D472" s="1179" t="s">
        <v>1382</v>
      </c>
      <c r="E472" s="1185" t="s">
        <v>225</v>
      </c>
    </row>
    <row r="473" spans="1:5" x14ac:dyDescent="0.25">
      <c r="A473" s="1187">
        <v>609</v>
      </c>
      <c r="B473" s="1179" t="s">
        <v>208</v>
      </c>
      <c r="C473" s="1179" t="s">
        <v>88</v>
      </c>
      <c r="D473" s="1179" t="s">
        <v>1528</v>
      </c>
      <c r="E473" s="1184" t="s">
        <v>466</v>
      </c>
    </row>
    <row r="474" spans="1:5" x14ac:dyDescent="0.25">
      <c r="A474" s="1187">
        <v>610</v>
      </c>
      <c r="B474" s="1179" t="s">
        <v>1382</v>
      </c>
      <c r="C474" s="1179" t="s">
        <v>88</v>
      </c>
      <c r="D474" s="1179" t="s">
        <v>1382</v>
      </c>
      <c r="E474" s="1184" t="s">
        <v>1385</v>
      </c>
    </row>
    <row r="475" spans="1:5" x14ac:dyDescent="0.25">
      <c r="A475" s="1187">
        <v>611</v>
      </c>
      <c r="B475" s="1179" t="s">
        <v>1382</v>
      </c>
      <c r="C475" s="1179" t="s">
        <v>88</v>
      </c>
      <c r="D475" s="1179" t="s">
        <v>1528</v>
      </c>
      <c r="E475" s="1184" t="s">
        <v>1387</v>
      </c>
    </row>
    <row r="476" spans="1:5" x14ac:dyDescent="0.25">
      <c r="A476" s="1187">
        <v>612</v>
      </c>
      <c r="B476" s="1179" t="s">
        <v>1382</v>
      </c>
      <c r="C476" s="1179" t="s">
        <v>88</v>
      </c>
      <c r="D476" s="1179" t="s">
        <v>1528</v>
      </c>
      <c r="E476" s="1184" t="s">
        <v>1388</v>
      </c>
    </row>
    <row r="477" spans="1:5" x14ac:dyDescent="0.25">
      <c r="A477" s="1187">
        <v>613</v>
      </c>
      <c r="B477" s="1179" t="s">
        <v>1382</v>
      </c>
      <c r="C477" s="1179" t="s">
        <v>88</v>
      </c>
      <c r="D477" s="1179" t="s">
        <v>1564</v>
      </c>
      <c r="E477" s="1184" t="s">
        <v>1389</v>
      </c>
    </row>
    <row r="478" spans="1:5" x14ac:dyDescent="0.25">
      <c r="A478" s="1187">
        <v>614</v>
      </c>
      <c r="B478" s="1179" t="s">
        <v>1382</v>
      </c>
      <c r="C478" s="1179" t="s">
        <v>88</v>
      </c>
      <c r="D478" s="1179" t="s">
        <v>1528</v>
      </c>
      <c r="E478" s="1184" t="s">
        <v>1390</v>
      </c>
    </row>
    <row r="479" spans="1:5" x14ac:dyDescent="0.25">
      <c r="A479" s="1187">
        <v>615</v>
      </c>
      <c r="B479" s="1179" t="s">
        <v>1382</v>
      </c>
      <c r="C479" s="1179" t="s">
        <v>88</v>
      </c>
      <c r="D479" s="1179" t="s">
        <v>1564</v>
      </c>
      <c r="E479" s="1184" t="s">
        <v>1391</v>
      </c>
    </row>
    <row r="480" spans="1:5" x14ac:dyDescent="0.25">
      <c r="A480" s="1187">
        <v>616</v>
      </c>
      <c r="B480" s="1179" t="s">
        <v>1382</v>
      </c>
      <c r="C480" s="1179" t="s">
        <v>88</v>
      </c>
      <c r="D480" s="1179" t="s">
        <v>1564</v>
      </c>
      <c r="E480" s="1184" t="s">
        <v>1329</v>
      </c>
    </row>
    <row r="481" spans="1:5" x14ac:dyDescent="0.25">
      <c r="A481" s="1187">
        <v>617</v>
      </c>
      <c r="B481" s="1179" t="s">
        <v>1382</v>
      </c>
      <c r="C481" s="1179" t="s">
        <v>87</v>
      </c>
      <c r="D481" s="1179" t="s">
        <v>1563</v>
      </c>
      <c r="E481" s="1183" t="s">
        <v>1392</v>
      </c>
    </row>
    <row r="482" spans="1:5" x14ac:dyDescent="0.25">
      <c r="A482" s="1187">
        <v>618</v>
      </c>
      <c r="B482" s="1179" t="s">
        <v>1382</v>
      </c>
      <c r="C482" s="1179" t="s">
        <v>87</v>
      </c>
      <c r="D482" s="1179" t="s">
        <v>1528</v>
      </c>
      <c r="E482" s="1180" t="s">
        <v>254</v>
      </c>
    </row>
    <row r="483" spans="1:5" x14ac:dyDescent="0.25">
      <c r="A483" s="1187">
        <v>620</v>
      </c>
      <c r="B483" s="1179" t="s">
        <v>1382</v>
      </c>
      <c r="C483" s="1179" t="s">
        <v>87</v>
      </c>
      <c r="D483" s="1179" t="s">
        <v>1382</v>
      </c>
      <c r="E483" s="1185" t="s">
        <v>1348</v>
      </c>
    </row>
    <row r="484" spans="1:5" x14ac:dyDescent="0.25">
      <c r="A484" s="1187">
        <v>621</v>
      </c>
      <c r="B484" s="1179" t="s">
        <v>1382</v>
      </c>
      <c r="C484" s="1179" t="s">
        <v>87</v>
      </c>
      <c r="D484" s="1179" t="s">
        <v>1382</v>
      </c>
      <c r="E484" s="1185" t="s">
        <v>225</v>
      </c>
    </row>
    <row r="485" spans="1:5" x14ac:dyDescent="0.25">
      <c r="A485" s="1187">
        <v>622</v>
      </c>
      <c r="B485" s="1179" t="s">
        <v>208</v>
      </c>
      <c r="C485" s="1179" t="s">
        <v>87</v>
      </c>
      <c r="D485" s="1179" t="s">
        <v>1528</v>
      </c>
      <c r="E485" s="1184" t="s">
        <v>466</v>
      </c>
    </row>
    <row r="486" spans="1:5" x14ac:dyDescent="0.25">
      <c r="A486" s="1187">
        <v>623</v>
      </c>
      <c r="B486" s="1179" t="s">
        <v>1382</v>
      </c>
      <c r="C486" s="1179" t="s">
        <v>87</v>
      </c>
      <c r="D486" s="1179" t="s">
        <v>1382</v>
      </c>
      <c r="E486" s="1184" t="s">
        <v>1385</v>
      </c>
    </row>
    <row r="487" spans="1:5" x14ac:dyDescent="0.25">
      <c r="A487" s="1187">
        <v>624</v>
      </c>
      <c r="B487" s="1179" t="s">
        <v>1382</v>
      </c>
      <c r="C487" s="1179" t="s">
        <v>87</v>
      </c>
      <c r="D487" s="1179" t="s">
        <v>1528</v>
      </c>
      <c r="E487" s="1184" t="s">
        <v>1387</v>
      </c>
    </row>
    <row r="488" spans="1:5" x14ac:dyDescent="0.25">
      <c r="A488" s="1187">
        <v>625</v>
      </c>
      <c r="B488" s="1179" t="s">
        <v>1382</v>
      </c>
      <c r="C488" s="1179" t="s">
        <v>87</v>
      </c>
      <c r="D488" s="1179" t="s">
        <v>1528</v>
      </c>
      <c r="E488" s="1184" t="s">
        <v>1388</v>
      </c>
    </row>
    <row r="489" spans="1:5" x14ac:dyDescent="0.25">
      <c r="A489" s="1187">
        <v>626</v>
      </c>
      <c r="B489" s="1179" t="s">
        <v>1382</v>
      </c>
      <c r="C489" s="1179" t="s">
        <v>87</v>
      </c>
      <c r="D489" s="1179" t="s">
        <v>1564</v>
      </c>
      <c r="E489" s="1184" t="s">
        <v>1389</v>
      </c>
    </row>
    <row r="490" spans="1:5" x14ac:dyDescent="0.25">
      <c r="A490" s="1187">
        <v>627</v>
      </c>
      <c r="B490" s="1179" t="s">
        <v>1382</v>
      </c>
      <c r="C490" s="1179" t="s">
        <v>87</v>
      </c>
      <c r="D490" s="1179" t="s">
        <v>1528</v>
      </c>
      <c r="E490" s="1184" t="s">
        <v>1390</v>
      </c>
    </row>
    <row r="491" spans="1:5" x14ac:dyDescent="0.25">
      <c r="A491" s="1187">
        <v>628</v>
      </c>
      <c r="B491" s="1179" t="s">
        <v>1382</v>
      </c>
      <c r="C491" s="1179" t="s">
        <v>87</v>
      </c>
      <c r="D491" s="1179" t="s">
        <v>1564</v>
      </c>
      <c r="E491" s="1184" t="s">
        <v>1391</v>
      </c>
    </row>
    <row r="492" spans="1:5" x14ac:dyDescent="0.25">
      <c r="A492" s="1187">
        <v>629</v>
      </c>
      <c r="B492" s="1179" t="s">
        <v>1382</v>
      </c>
      <c r="C492" s="1179" t="s">
        <v>87</v>
      </c>
      <c r="D492" s="1179" t="s">
        <v>1564</v>
      </c>
      <c r="E492" s="1184" t="s">
        <v>1329</v>
      </c>
    </row>
    <row r="493" spans="1:5" x14ac:dyDescent="0.25">
      <c r="A493" s="1187">
        <v>630</v>
      </c>
      <c r="B493" s="1179" t="s">
        <v>1382</v>
      </c>
      <c r="C493" s="1179" t="s">
        <v>1367</v>
      </c>
      <c r="D493" s="1187" t="s">
        <v>1528</v>
      </c>
      <c r="E493" s="1180" t="s">
        <v>1378</v>
      </c>
    </row>
    <row r="494" spans="1:5" x14ac:dyDescent="0.25">
      <c r="A494" s="1187">
        <v>631</v>
      </c>
      <c r="B494" s="1179" t="s">
        <v>1382</v>
      </c>
      <c r="C494" s="1179" t="s">
        <v>1367</v>
      </c>
      <c r="D494" s="1187" t="s">
        <v>1528</v>
      </c>
      <c r="E494" s="1180" t="s">
        <v>1379</v>
      </c>
    </row>
    <row r="495" spans="1:5" x14ac:dyDescent="0.25">
      <c r="A495" s="1187">
        <v>632</v>
      </c>
      <c r="B495" s="1179" t="s">
        <v>1382</v>
      </c>
      <c r="C495" s="1179" t="s">
        <v>1367</v>
      </c>
      <c r="D495" s="1187" t="s">
        <v>1528</v>
      </c>
      <c r="E495" s="1180" t="s">
        <v>1373</v>
      </c>
    </row>
    <row r="496" spans="1:5" x14ac:dyDescent="0.25">
      <c r="A496" s="1187">
        <v>633</v>
      </c>
      <c r="B496" s="1179" t="s">
        <v>1518</v>
      </c>
      <c r="C496" s="1179" t="s">
        <v>1565</v>
      </c>
      <c r="D496" s="1179" t="s">
        <v>1528</v>
      </c>
      <c r="E496" s="1180" t="s">
        <v>1566</v>
      </c>
    </row>
    <row r="497" spans="1:5" x14ac:dyDescent="0.25">
      <c r="A497" s="1187">
        <v>634</v>
      </c>
      <c r="B497" s="1179" t="s">
        <v>1518</v>
      </c>
      <c r="C497" s="1179" t="s">
        <v>1567</v>
      </c>
      <c r="D497" s="1179" t="s">
        <v>1568</v>
      </c>
      <c r="E497" s="1180" t="s">
        <v>1567</v>
      </c>
    </row>
    <row r="498" spans="1:5" x14ac:dyDescent="0.25">
      <c r="A498" s="1187">
        <v>635</v>
      </c>
      <c r="B498" s="1179" t="s">
        <v>1518</v>
      </c>
      <c r="C498" s="1179" t="s">
        <v>1567</v>
      </c>
      <c r="D498" s="1179" t="s">
        <v>1568</v>
      </c>
      <c r="E498" s="1180" t="s">
        <v>1569</v>
      </c>
    </row>
    <row r="499" spans="1:5" x14ac:dyDescent="0.25">
      <c r="A499" s="1187">
        <v>636</v>
      </c>
      <c r="B499" s="1179" t="s">
        <v>1518</v>
      </c>
      <c r="C499" s="1179" t="s">
        <v>1567</v>
      </c>
      <c r="D499" s="1188" t="s">
        <v>1568</v>
      </c>
      <c r="E499" s="1180" t="s">
        <v>1570</v>
      </c>
    </row>
    <row r="500" spans="1:5" x14ac:dyDescent="0.25">
      <c r="A500" s="1187">
        <v>637</v>
      </c>
      <c r="B500" s="1179" t="s">
        <v>1518</v>
      </c>
      <c r="C500" s="1179" t="s">
        <v>1567</v>
      </c>
      <c r="D500" s="1179" t="s">
        <v>1568</v>
      </c>
      <c r="E500" s="1180" t="s">
        <v>1571</v>
      </c>
    </row>
    <row r="501" spans="1:5" x14ac:dyDescent="0.25">
      <c r="A501" s="1187">
        <v>638</v>
      </c>
      <c r="B501" s="1179" t="s">
        <v>1518</v>
      </c>
      <c r="C501" s="1179" t="s">
        <v>1567</v>
      </c>
      <c r="D501" s="1179" t="s">
        <v>1568</v>
      </c>
      <c r="E501" s="1180" t="s">
        <v>1572</v>
      </c>
    </row>
    <row r="502" spans="1:5" x14ac:dyDescent="0.25">
      <c r="A502" s="1187">
        <v>639</v>
      </c>
      <c r="B502" s="1179" t="s">
        <v>1518</v>
      </c>
      <c r="C502" s="1179" t="s">
        <v>1567</v>
      </c>
      <c r="D502" s="1188" t="s">
        <v>1568</v>
      </c>
      <c r="E502" s="1180" t="s">
        <v>1573</v>
      </c>
    </row>
    <row r="503" spans="1:5" x14ac:dyDescent="0.25">
      <c r="A503" s="1187">
        <v>640</v>
      </c>
      <c r="B503" s="1179" t="s">
        <v>1467</v>
      </c>
      <c r="C503" s="1179" t="s">
        <v>1558</v>
      </c>
      <c r="D503" s="1179" t="s">
        <v>1574</v>
      </c>
      <c r="E503" s="1180" t="s">
        <v>1575</v>
      </c>
    </row>
    <row r="504" spans="1:5" x14ac:dyDescent="0.25">
      <c r="A504" s="1187">
        <v>641</v>
      </c>
      <c r="B504" s="1179" t="s">
        <v>1467</v>
      </c>
      <c r="C504" s="1179" t="s">
        <v>1558</v>
      </c>
      <c r="D504" s="1179" t="s">
        <v>1574</v>
      </c>
      <c r="E504" s="1180" t="s">
        <v>1341</v>
      </c>
    </row>
    <row r="505" spans="1:5" x14ac:dyDescent="0.25">
      <c r="A505" s="1187">
        <v>642</v>
      </c>
      <c r="B505" s="1179" t="s">
        <v>1467</v>
      </c>
      <c r="C505" s="1179" t="s">
        <v>1558</v>
      </c>
      <c r="D505" s="1179" t="s">
        <v>1574</v>
      </c>
      <c r="E505" s="1180" t="s">
        <v>1342</v>
      </c>
    </row>
    <row r="506" spans="1:5" x14ac:dyDescent="0.25">
      <c r="A506" s="1187">
        <v>643</v>
      </c>
      <c r="B506" s="1179" t="s">
        <v>1467</v>
      </c>
      <c r="C506" s="1179" t="s">
        <v>1558</v>
      </c>
      <c r="D506" s="1179" t="s">
        <v>1576</v>
      </c>
      <c r="E506" s="1180" t="s">
        <v>1346</v>
      </c>
    </row>
    <row r="507" spans="1:5" x14ac:dyDescent="0.25">
      <c r="A507" s="1187">
        <v>644</v>
      </c>
      <c r="B507" s="1179" t="s">
        <v>1467</v>
      </c>
      <c r="C507" s="1179" t="s">
        <v>1558</v>
      </c>
      <c r="D507" s="1179" t="s">
        <v>1577</v>
      </c>
      <c r="E507" s="1180" t="s">
        <v>1343</v>
      </c>
    </row>
    <row r="508" spans="1:5" x14ac:dyDescent="0.25">
      <c r="A508" s="1187">
        <v>645</v>
      </c>
      <c r="B508" s="1179" t="s">
        <v>1382</v>
      </c>
      <c r="C508" s="1179" t="s">
        <v>1558</v>
      </c>
      <c r="D508" s="1191" t="s">
        <v>1578</v>
      </c>
      <c r="E508" s="1180" t="s">
        <v>1371</v>
      </c>
    </row>
    <row r="509" spans="1:5" x14ac:dyDescent="0.25">
      <c r="A509" s="1187">
        <v>646</v>
      </c>
      <c r="B509" s="1179" t="s">
        <v>1382</v>
      </c>
      <c r="C509" s="1179" t="s">
        <v>1558</v>
      </c>
      <c r="D509" s="1191" t="s">
        <v>1578</v>
      </c>
      <c r="E509" s="1180" t="s">
        <v>1579</v>
      </c>
    </row>
    <row r="510" spans="1:5" x14ac:dyDescent="0.25">
      <c r="A510" s="1187">
        <v>647</v>
      </c>
      <c r="B510" s="1179" t="s">
        <v>1467</v>
      </c>
      <c r="C510" s="1179" t="s">
        <v>1580</v>
      </c>
      <c r="D510" s="1179" t="s">
        <v>1534</v>
      </c>
      <c r="E510" s="1180" t="s">
        <v>1304</v>
      </c>
    </row>
    <row r="511" spans="1:5" x14ac:dyDescent="0.25">
      <c r="A511" s="1187">
        <v>648</v>
      </c>
      <c r="B511" s="1179" t="s">
        <v>1382</v>
      </c>
      <c r="C511" s="1179" t="s">
        <v>1580</v>
      </c>
      <c r="D511" s="1179" t="s">
        <v>1534</v>
      </c>
      <c r="E511" s="1180" t="s">
        <v>1374</v>
      </c>
    </row>
    <row r="512" spans="1:5" x14ac:dyDescent="0.25">
      <c r="A512" s="1187">
        <v>649</v>
      </c>
      <c r="B512" s="1179" t="s">
        <v>1382</v>
      </c>
      <c r="C512" s="1179" t="s">
        <v>1580</v>
      </c>
      <c r="D512" s="1179" t="s">
        <v>1534</v>
      </c>
      <c r="E512" s="1180" t="s">
        <v>1375</v>
      </c>
    </row>
    <row r="513" spans="1:5" x14ac:dyDescent="0.25">
      <c r="A513" s="1187">
        <v>650</v>
      </c>
      <c r="B513" s="1179" t="s">
        <v>1382</v>
      </c>
      <c r="C513" s="1179" t="s">
        <v>1580</v>
      </c>
      <c r="D513" s="1179" t="s">
        <v>1534</v>
      </c>
      <c r="E513" s="1180" t="s">
        <v>1581</v>
      </c>
    </row>
    <row r="514" spans="1:5" x14ac:dyDescent="0.25">
      <c r="A514" s="1187">
        <v>651</v>
      </c>
      <c r="B514" s="1179" t="s">
        <v>1382</v>
      </c>
      <c r="C514" s="1179" t="s">
        <v>1580</v>
      </c>
      <c r="D514" s="1179" t="s">
        <v>1534</v>
      </c>
      <c r="E514" s="1180" t="s">
        <v>1377</v>
      </c>
    </row>
    <row r="515" spans="1:5" x14ac:dyDescent="0.25">
      <c r="A515" s="1187">
        <v>652</v>
      </c>
      <c r="B515" s="1179" t="s">
        <v>129</v>
      </c>
      <c r="C515" s="1179" t="s">
        <v>1582</v>
      </c>
      <c r="D515" s="1179" t="s">
        <v>1528</v>
      </c>
      <c r="E515" s="1180" t="s">
        <v>1583</v>
      </c>
    </row>
  </sheetData>
  <sheetProtection algorithmName="SHA-512" hashValue="Wo6zs1QoMlNFKUHBx7dJunFPBUeolkk1EFDiEz/4AVfngI+64tEPNeya0I2q9CjelyQ/G/+oPng1lXPK2am9Eg==" saltValue="7doWZdkc5tf7JBU3eMQYVw==" spinCount="100000" sheet="1" objects="1" scenarios="1"/>
  <conditionalFormatting sqref="E242:E244 C242 C254:C264 C277:C495">
    <cfRule type="expression" dxfId="29" priority="26">
      <formula>$G242="EXCLUDE"</formula>
    </cfRule>
  </conditionalFormatting>
  <conditionalFormatting sqref="E255:E256">
    <cfRule type="expression" dxfId="28" priority="25">
      <formula>$G255="EXCLUDE"</formula>
    </cfRule>
  </conditionalFormatting>
  <conditionalFormatting sqref="E279:E280">
    <cfRule type="expression" dxfId="27" priority="24">
      <formula>$G279="EXCLUDE"</formula>
    </cfRule>
  </conditionalFormatting>
  <conditionalFormatting sqref="E291:E292">
    <cfRule type="expression" dxfId="26" priority="23">
      <formula>$G291="EXCLUDE"</formula>
    </cfRule>
  </conditionalFormatting>
  <conditionalFormatting sqref="E303:E304">
    <cfRule type="expression" dxfId="25" priority="22">
      <formula>$G303="EXCLUDE"</formula>
    </cfRule>
  </conditionalFormatting>
  <conditionalFormatting sqref="E315:E316">
    <cfRule type="expression" dxfId="24" priority="21">
      <formula>$G315="EXCLUDE"</formula>
    </cfRule>
  </conditionalFormatting>
  <conditionalFormatting sqref="E327:E328">
    <cfRule type="expression" dxfId="23" priority="20">
      <formula>$G327="EXCLUDE"</formula>
    </cfRule>
  </conditionalFormatting>
  <conditionalFormatting sqref="E339:E340">
    <cfRule type="expression" dxfId="22" priority="19">
      <formula>$G339="EXCLUDE"</formula>
    </cfRule>
  </conditionalFormatting>
  <conditionalFormatting sqref="E351:E352">
    <cfRule type="expression" dxfId="21" priority="18">
      <formula>$G351="EXCLUDE"</formula>
    </cfRule>
  </conditionalFormatting>
  <conditionalFormatting sqref="E363:E364">
    <cfRule type="expression" dxfId="20" priority="17">
      <formula>$G363="EXCLUDE"</formula>
    </cfRule>
  </conditionalFormatting>
  <conditionalFormatting sqref="E375:E376">
    <cfRule type="expression" dxfId="19" priority="16">
      <formula>$G375="EXCLUDE"</formula>
    </cfRule>
  </conditionalFormatting>
  <conditionalFormatting sqref="E7:E8">
    <cfRule type="expression" dxfId="18" priority="27">
      <formula>#REF!="EXCLUDE"</formula>
    </cfRule>
  </conditionalFormatting>
  <conditionalFormatting sqref="E497:E499">
    <cfRule type="expression" dxfId="17" priority="28">
      <formula>#REF!="EXCLUDE"</formula>
    </cfRule>
  </conditionalFormatting>
  <conditionalFormatting sqref="E496">
    <cfRule type="expression" dxfId="16" priority="29">
      <formula>#REF!="EXCLUDE"</formula>
    </cfRule>
  </conditionalFormatting>
  <conditionalFormatting sqref="E500:E502">
    <cfRule type="expression" dxfId="15" priority="30">
      <formula>#REF!="EXCLUDE"</formula>
    </cfRule>
  </conditionalFormatting>
  <conditionalFormatting sqref="E387:E388">
    <cfRule type="expression" dxfId="14" priority="15">
      <formula>$G387="EXCLUDE"</formula>
    </cfRule>
  </conditionalFormatting>
  <conditionalFormatting sqref="E399:E400">
    <cfRule type="expression" dxfId="13" priority="14">
      <formula>$G399="EXCLUDE"</formula>
    </cfRule>
  </conditionalFormatting>
  <conditionalFormatting sqref="E411:E412">
    <cfRule type="expression" dxfId="12" priority="13">
      <formula>$G411="EXCLUDE"</formula>
    </cfRule>
  </conditionalFormatting>
  <conditionalFormatting sqref="E423:E424">
    <cfRule type="expression" dxfId="11" priority="12">
      <formula>$G423="EXCLUDE"</formula>
    </cfRule>
  </conditionalFormatting>
  <conditionalFormatting sqref="E435:E436">
    <cfRule type="expression" dxfId="10" priority="11">
      <formula>$G435="EXCLUDE"</formula>
    </cfRule>
  </conditionalFormatting>
  <conditionalFormatting sqref="E447:E448">
    <cfRule type="expression" dxfId="9" priority="10">
      <formula>$G447="EXCLUDE"</formula>
    </cfRule>
  </conditionalFormatting>
  <conditionalFormatting sqref="E459:E460">
    <cfRule type="expression" dxfId="8" priority="9">
      <formula>$G459="EXCLUDE"</formula>
    </cfRule>
  </conditionalFormatting>
  <conditionalFormatting sqref="E471:E472">
    <cfRule type="expression" dxfId="7" priority="8">
      <formula>$G471="EXCLUDE"</formula>
    </cfRule>
  </conditionalFormatting>
  <conditionalFormatting sqref="E483:E484">
    <cfRule type="expression" dxfId="6" priority="7">
      <formula>$G483="EXCLUDE"</formula>
    </cfRule>
  </conditionalFormatting>
  <conditionalFormatting sqref="E267:E268">
    <cfRule type="expression" dxfId="5" priority="6">
      <formula>$G267="EXCLUDE"</formula>
    </cfRule>
  </conditionalFormatting>
  <conditionalFormatting sqref="C241">
    <cfRule type="expression" dxfId="4" priority="5">
      <formula>$G241="EXCLUDE"</formula>
    </cfRule>
  </conditionalFormatting>
  <conditionalFormatting sqref="C253">
    <cfRule type="expression" dxfId="3" priority="4">
      <formula>$G253="EXCLUDE"</formula>
    </cfRule>
  </conditionalFormatting>
  <conditionalFormatting sqref="C265">
    <cfRule type="expression" dxfId="2" priority="3">
      <formula>$G265="EXCLUDE"</formula>
    </cfRule>
  </conditionalFormatting>
  <conditionalFormatting sqref="C243:C252">
    <cfRule type="expression" dxfId="1" priority="2">
      <formula>$G243="EXCLUDE"</formula>
    </cfRule>
  </conditionalFormatting>
  <conditionalFormatting sqref="C266:C276">
    <cfRule type="expression" dxfId="0" priority="1">
      <formula>$G266="EXCLUDE"</formula>
    </cfRule>
  </conditionalFormatting>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C8AE9-AC7D-414E-8EE4-3F715B37116D}">
  <sheetPr codeName="Sheet2"/>
  <dimension ref="A1:B1"/>
  <sheetViews>
    <sheetView topLeftCell="A2" workbookViewId="0">
      <selection activeCell="E12" sqref="E12"/>
    </sheetView>
  </sheetViews>
  <sheetFormatPr defaultColWidth="9.140625" defaultRowHeight="15" x14ac:dyDescent="0.25"/>
  <cols>
    <col min="1" max="1" width="10.28515625" style="741" bestFit="1" customWidth="1"/>
    <col min="2" max="2" width="31.42578125" style="741" bestFit="1" customWidth="1"/>
    <col min="3" max="5" width="9.140625" style="741" customWidth="1"/>
    <col min="6" max="16384" width="9.140625" style="741"/>
  </cols>
  <sheetData>
    <row r="1" spans="1:2" x14ac:dyDescent="0.25">
      <c r="A1" s="743" t="s">
        <v>1067</v>
      </c>
      <c r="B1" s="743" t="s">
        <v>1066</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49457E-2732-44E2-91AC-7466178CA6C0}">
  <sheetPr codeName="Sheet3"/>
  <dimension ref="A1:D1"/>
  <sheetViews>
    <sheetView workbookViewId="0">
      <selection activeCell="O37" sqref="O37"/>
    </sheetView>
  </sheetViews>
  <sheetFormatPr defaultColWidth="9.140625" defaultRowHeight="15" x14ac:dyDescent="0.25"/>
  <cols>
    <col min="1" max="1" width="10.28515625" style="745" bestFit="1" customWidth="1"/>
    <col min="2" max="2" width="31.42578125" style="745" bestFit="1" customWidth="1"/>
    <col min="3" max="16384" width="9.140625" style="745"/>
  </cols>
  <sheetData>
    <row r="1" spans="1:4" x14ac:dyDescent="0.25">
      <c r="A1" s="743" t="s">
        <v>1067</v>
      </c>
      <c r="B1" s="743" t="s">
        <v>1066</v>
      </c>
      <c r="C1" s="745" t="s">
        <v>1062</v>
      </c>
      <c r="D1" s="745" t="s">
        <v>1063</v>
      </c>
    </row>
  </sheetData>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3">
    <pageSetUpPr fitToPage="1"/>
  </sheetPr>
  <dimension ref="A1:AD1"/>
  <sheetViews>
    <sheetView topLeftCell="V1" workbookViewId="0">
      <selection activeCell="AD1" sqref="AD1"/>
    </sheetView>
  </sheetViews>
  <sheetFormatPr defaultColWidth="9.140625" defaultRowHeight="15" x14ac:dyDescent="0.25"/>
  <cols>
    <col min="1" max="1" width="10.28515625" style="883" bestFit="1" customWidth="1"/>
    <col min="2" max="2" width="31.85546875" style="883" bestFit="1" customWidth="1"/>
    <col min="3" max="3" width="31.7109375" style="883" bestFit="1" customWidth="1"/>
    <col min="4" max="4" width="29.140625" style="883" bestFit="1" customWidth="1"/>
    <col min="5" max="5" width="16" style="883" bestFit="1" customWidth="1"/>
    <col min="6" max="7" width="53.28515625" style="883" bestFit="1" customWidth="1"/>
    <col min="8" max="8" width="42.42578125" style="883" bestFit="1" customWidth="1"/>
    <col min="9" max="9" width="10" style="883" bestFit="1" customWidth="1"/>
    <col min="10" max="10" width="6.7109375" style="883" bestFit="1" customWidth="1"/>
    <col min="11" max="11" width="14.7109375" style="883" bestFit="1" customWidth="1"/>
    <col min="12" max="12" width="15.85546875" style="883" bestFit="1" customWidth="1"/>
    <col min="13" max="13" width="18.85546875" style="883" bestFit="1" customWidth="1"/>
    <col min="14" max="14" width="24.42578125" style="883" bestFit="1" customWidth="1"/>
    <col min="15" max="15" width="10" style="883" bestFit="1" customWidth="1"/>
    <col min="16" max="16" width="27" style="883" bestFit="1" customWidth="1"/>
    <col min="17" max="17" width="29.140625" style="883" bestFit="1" customWidth="1"/>
    <col min="18" max="18" width="17" style="883" bestFit="1" customWidth="1"/>
    <col min="19" max="19" width="24.5703125" style="883" bestFit="1" customWidth="1"/>
    <col min="20" max="20" width="36.28515625" style="883" bestFit="1" customWidth="1"/>
    <col min="21" max="21" width="37.42578125" style="883" bestFit="1" customWidth="1"/>
    <col min="22" max="22" width="9" style="883" bestFit="1" customWidth="1"/>
    <col min="23" max="23" width="24.140625" style="883" bestFit="1" customWidth="1"/>
    <col min="24" max="24" width="6.28515625" style="883" bestFit="1" customWidth="1"/>
    <col min="25" max="25" width="28.5703125" style="883" bestFit="1" customWidth="1"/>
    <col min="26" max="26" width="23.85546875" style="883" bestFit="1" customWidth="1"/>
    <col min="27" max="27" width="16.42578125" style="883" bestFit="1" customWidth="1"/>
    <col min="28" max="28" width="10.5703125" style="883" bestFit="1" customWidth="1"/>
    <col min="29" max="29" width="27" style="883" bestFit="1" customWidth="1"/>
    <col min="30" max="30" width="36.7109375" style="883" customWidth="1"/>
    <col min="31" max="16384" width="9.140625" style="883"/>
  </cols>
  <sheetData>
    <row r="1" spans="1:30" x14ac:dyDescent="0.25">
      <c r="A1" s="743" t="s">
        <v>1067</v>
      </c>
      <c r="B1" s="743" t="s">
        <v>1066</v>
      </c>
      <c r="C1" s="743" t="s">
        <v>1087</v>
      </c>
      <c r="D1" s="743" t="s">
        <v>1088</v>
      </c>
      <c r="E1" s="743" t="s">
        <v>1089</v>
      </c>
      <c r="F1" s="743" t="s">
        <v>1090</v>
      </c>
      <c r="G1" s="743" t="s">
        <v>1091</v>
      </c>
      <c r="H1" s="743" t="s">
        <v>1092</v>
      </c>
      <c r="I1" s="743" t="s">
        <v>1086</v>
      </c>
      <c r="J1" s="743" t="s">
        <v>1093</v>
      </c>
      <c r="K1" s="743" t="s">
        <v>1094</v>
      </c>
      <c r="L1" s="743" t="s">
        <v>1095</v>
      </c>
      <c r="M1" s="743" t="s">
        <v>1096</v>
      </c>
      <c r="N1" s="743" t="s">
        <v>1097</v>
      </c>
      <c r="O1" s="743" t="s">
        <v>1098</v>
      </c>
      <c r="P1" s="743" t="s">
        <v>1099</v>
      </c>
      <c r="Q1" s="743" t="s">
        <v>1100</v>
      </c>
      <c r="R1" s="743" t="s">
        <v>1101</v>
      </c>
      <c r="S1" s="743" t="s">
        <v>1102</v>
      </c>
      <c r="T1" s="743" t="s">
        <v>1103</v>
      </c>
      <c r="U1" s="743" t="s">
        <v>1104</v>
      </c>
      <c r="V1" s="743" t="s">
        <v>399</v>
      </c>
      <c r="W1" s="743" t="s">
        <v>1084</v>
      </c>
      <c r="X1" s="743" t="s">
        <v>1105</v>
      </c>
      <c r="Y1" s="743" t="s">
        <v>1106</v>
      </c>
      <c r="Z1" s="743" t="s">
        <v>1107</v>
      </c>
      <c r="AA1" s="743" t="s">
        <v>1108</v>
      </c>
      <c r="AB1" s="743" t="s">
        <v>1061</v>
      </c>
      <c r="AC1" s="743" t="s">
        <v>1252</v>
      </c>
      <c r="AD1" s="743" t="s">
        <v>1456</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6"/>
  <dimension ref="A1:L1"/>
  <sheetViews>
    <sheetView workbookViewId="0">
      <selection activeCell="A2" sqref="A2"/>
    </sheetView>
  </sheetViews>
  <sheetFormatPr defaultColWidth="9.140625" defaultRowHeight="15" x14ac:dyDescent="0.25"/>
  <cols>
    <col min="1" max="1" width="31.42578125" style="741" bestFit="1" customWidth="1"/>
    <col min="2" max="2" width="10.28515625" style="741" bestFit="1" customWidth="1"/>
    <col min="3" max="3" width="33.42578125" style="741" bestFit="1" customWidth="1"/>
    <col min="4" max="4" width="32.28515625" style="741" bestFit="1" customWidth="1"/>
    <col min="5" max="5" width="36.85546875" style="741" bestFit="1" customWidth="1"/>
    <col min="6" max="6" width="14.5703125" style="741" bestFit="1" customWidth="1"/>
    <col min="7" max="7" width="17.5703125" style="741" customWidth="1"/>
    <col min="8" max="8" width="19.7109375" style="741" bestFit="1" customWidth="1"/>
    <col min="9" max="9" width="17.85546875" style="741" bestFit="1" customWidth="1"/>
    <col min="10" max="10" width="18.140625" style="741" bestFit="1" customWidth="1"/>
    <col min="11" max="11" width="21.85546875" style="741" bestFit="1" customWidth="1"/>
    <col min="12" max="12" width="19.7109375" style="741" bestFit="1" customWidth="1"/>
    <col min="13" max="16384" width="9.140625" style="741"/>
  </cols>
  <sheetData>
    <row r="1" spans="1:12" x14ac:dyDescent="0.25">
      <c r="A1" s="743" t="s">
        <v>1066</v>
      </c>
      <c r="B1" s="743" t="s">
        <v>1067</v>
      </c>
      <c r="C1" s="743" t="s">
        <v>1125</v>
      </c>
      <c r="D1" s="743" t="s">
        <v>1126</v>
      </c>
      <c r="E1" s="743" t="s">
        <v>1127</v>
      </c>
      <c r="F1" s="743" t="s">
        <v>1128</v>
      </c>
      <c r="G1" s="743" t="s">
        <v>1402</v>
      </c>
      <c r="H1" s="743" t="s">
        <v>1403</v>
      </c>
      <c r="I1" s="743" t="s">
        <v>1404</v>
      </c>
      <c r="J1" s="743" t="s">
        <v>1405</v>
      </c>
      <c r="K1" s="743" t="s">
        <v>1406</v>
      </c>
      <c r="L1" s="743" t="s">
        <v>1407</v>
      </c>
    </row>
  </sheetData>
  <sheetProtection selectLockedCells="1" selectUnlockedCells="1"/>
  <pageMargins left="0.7" right="0.7" top="0.75" bottom="0.75" header="0.3" footer="0.3"/>
  <pageSetup orientation="landscape"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45BEC-2399-4F8B-AA54-4210414AD8D7}">
  <sheetPr codeName="Sheet1"/>
  <dimension ref="A1:F1"/>
  <sheetViews>
    <sheetView workbookViewId="0"/>
  </sheetViews>
  <sheetFormatPr defaultColWidth="9.140625" defaultRowHeight="15" x14ac:dyDescent="0.25"/>
  <cols>
    <col min="1" max="1" width="10.28515625" style="741" bestFit="1" customWidth="1"/>
    <col min="2" max="2" width="31.85546875" style="741" bestFit="1" customWidth="1"/>
    <col min="3" max="3" width="30" style="741" bestFit="1" customWidth="1"/>
    <col min="4" max="4" width="19.85546875" style="741" bestFit="1" customWidth="1"/>
    <col min="5" max="5" width="4.140625" style="741" bestFit="1" customWidth="1"/>
    <col min="6" max="6" width="9.5703125" style="741" bestFit="1" customWidth="1"/>
    <col min="7" max="16384" width="9.140625" style="741"/>
  </cols>
  <sheetData>
    <row r="1" spans="1:6" x14ac:dyDescent="0.25">
      <c r="A1" s="743" t="s">
        <v>1067</v>
      </c>
      <c r="B1" s="743" t="s">
        <v>1066</v>
      </c>
      <c r="C1" s="743" t="s">
        <v>1083</v>
      </c>
      <c r="D1" s="743" t="s">
        <v>1084</v>
      </c>
      <c r="E1" s="743" t="s">
        <v>1085</v>
      </c>
      <c r="F1" s="743" t="s">
        <v>1086</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30"/>
  <dimension ref="A1:O28"/>
  <sheetViews>
    <sheetView workbookViewId="0">
      <selection activeCell="A2" sqref="A2"/>
    </sheetView>
  </sheetViews>
  <sheetFormatPr defaultColWidth="9.140625" defaultRowHeight="15" x14ac:dyDescent="0.25"/>
  <cols>
    <col min="1" max="1" width="10.5703125" style="741" bestFit="1" customWidth="1"/>
    <col min="2" max="2" width="40.28515625" style="741" bestFit="1" customWidth="1"/>
    <col min="3" max="3" width="15.140625" style="741" bestFit="1" customWidth="1"/>
    <col min="4" max="4" width="8.85546875" style="741" bestFit="1" customWidth="1"/>
    <col min="5" max="5" width="29.140625" style="741" bestFit="1" customWidth="1"/>
    <col min="6" max="6" width="18.85546875" style="741" bestFit="1" customWidth="1"/>
    <col min="7" max="7" width="18" style="741" bestFit="1" customWidth="1"/>
    <col min="8" max="8" width="31" style="741" bestFit="1" customWidth="1"/>
    <col min="9" max="9" width="32.5703125" style="741" bestFit="1" customWidth="1"/>
    <col min="10" max="10" width="27.140625" style="741" bestFit="1" customWidth="1"/>
    <col min="11" max="11" width="29.7109375" style="741" bestFit="1" customWidth="1"/>
    <col min="12" max="12" width="20.140625" style="741" bestFit="1" customWidth="1"/>
    <col min="13" max="13" width="20.5703125" style="741" bestFit="1" customWidth="1"/>
    <col min="14" max="15" width="22.140625" style="741" bestFit="1" customWidth="1"/>
    <col min="16" max="16384" width="9.140625" style="741"/>
  </cols>
  <sheetData>
    <row r="1" spans="1:15" x14ac:dyDescent="0.25">
      <c r="A1" s="743" t="s">
        <v>1061</v>
      </c>
      <c r="B1" s="743" t="s">
        <v>244</v>
      </c>
      <c r="C1" s="743" t="s">
        <v>1109</v>
      </c>
      <c r="D1" s="743" t="s">
        <v>1062</v>
      </c>
      <c r="E1" s="743" t="s">
        <v>1063</v>
      </c>
      <c r="F1" s="743" t="s">
        <v>1064</v>
      </c>
      <c r="G1" s="743" t="s">
        <v>1065</v>
      </c>
      <c r="H1" s="743" t="s">
        <v>1110</v>
      </c>
      <c r="I1" s="743" t="s">
        <v>1111</v>
      </c>
      <c r="J1" s="743" t="s">
        <v>1112</v>
      </c>
      <c r="K1" s="743" t="s">
        <v>1113</v>
      </c>
      <c r="L1" s="743" t="s">
        <v>1114</v>
      </c>
      <c r="M1" s="743" t="s">
        <v>1115</v>
      </c>
      <c r="N1" s="743" t="s">
        <v>1116</v>
      </c>
      <c r="O1" s="743" t="s">
        <v>1116</v>
      </c>
    </row>
    <row r="2" spans="1:15" x14ac:dyDescent="0.25">
      <c r="A2" s="875"/>
      <c r="B2" s="875"/>
      <c r="C2" s="875"/>
      <c r="D2" s="875"/>
      <c r="E2" s="875"/>
      <c r="F2" s="875"/>
      <c r="G2" s="875"/>
      <c r="H2" s="875"/>
      <c r="I2" s="875"/>
      <c r="J2" s="875"/>
      <c r="K2" s="875"/>
      <c r="L2" s="875"/>
      <c r="M2" s="875"/>
      <c r="N2" s="875"/>
      <c r="O2" s="875"/>
    </row>
    <row r="3" spans="1:15" x14ac:dyDescent="0.25">
      <c r="A3" s="875"/>
      <c r="B3" s="875"/>
      <c r="C3" s="875"/>
      <c r="D3" s="875"/>
      <c r="E3" s="875"/>
      <c r="F3" s="875"/>
      <c r="G3" s="875"/>
      <c r="H3" s="875"/>
      <c r="I3" s="875"/>
      <c r="J3" s="875"/>
      <c r="K3" s="875"/>
      <c r="L3" s="875"/>
      <c r="M3" s="875"/>
      <c r="N3" s="875"/>
      <c r="O3" s="875"/>
    </row>
    <row r="4" spans="1:15" x14ac:dyDescent="0.25">
      <c r="A4" s="875"/>
      <c r="B4" s="875"/>
      <c r="C4" s="875"/>
      <c r="D4" s="875"/>
      <c r="E4" s="875"/>
      <c r="F4" s="875"/>
      <c r="G4" s="875"/>
      <c r="H4" s="875"/>
      <c r="I4" s="875"/>
      <c r="J4" s="875"/>
      <c r="K4" s="875"/>
      <c r="L4" s="875"/>
      <c r="M4" s="875"/>
      <c r="N4" s="875"/>
      <c r="O4" s="875"/>
    </row>
    <row r="5" spans="1:15" x14ac:dyDescent="0.25">
      <c r="A5" s="875"/>
      <c r="B5" s="875"/>
      <c r="C5" s="875"/>
      <c r="D5" s="875"/>
      <c r="E5" s="875"/>
      <c r="F5" s="875"/>
      <c r="G5" s="875"/>
      <c r="H5" s="875"/>
      <c r="I5" s="875"/>
      <c r="J5" s="875"/>
      <c r="K5" s="875"/>
      <c r="L5" s="875"/>
      <c r="M5" s="875"/>
      <c r="N5" s="875"/>
      <c r="O5" s="875"/>
    </row>
    <row r="6" spans="1:15" x14ac:dyDescent="0.25">
      <c r="A6" s="875"/>
      <c r="B6" s="875"/>
      <c r="C6" s="875"/>
      <c r="D6" s="875"/>
      <c r="E6" s="875"/>
      <c r="F6" s="875"/>
      <c r="G6" s="875"/>
      <c r="H6" s="875"/>
      <c r="I6" s="875"/>
      <c r="J6" s="875"/>
      <c r="K6" s="875"/>
      <c r="L6" s="875"/>
      <c r="M6" s="875"/>
      <c r="N6" s="875"/>
      <c r="O6" s="875"/>
    </row>
    <row r="7" spans="1:15" x14ac:dyDescent="0.25">
      <c r="A7" s="875"/>
      <c r="B7" s="875"/>
      <c r="C7" s="875"/>
      <c r="D7" s="875"/>
      <c r="E7" s="875"/>
      <c r="F7" s="875"/>
      <c r="G7" s="875"/>
      <c r="H7" s="875"/>
      <c r="I7" s="875"/>
      <c r="J7" s="875"/>
      <c r="K7" s="875"/>
      <c r="L7" s="875"/>
      <c r="M7" s="875"/>
      <c r="N7" s="875"/>
      <c r="O7" s="875"/>
    </row>
    <row r="8" spans="1:15" x14ac:dyDescent="0.25">
      <c r="A8" s="875"/>
      <c r="B8" s="875"/>
      <c r="C8" s="875"/>
      <c r="D8" s="875"/>
      <c r="E8" s="875"/>
      <c r="F8" s="875"/>
      <c r="G8" s="875"/>
      <c r="H8" s="875"/>
      <c r="I8" s="875"/>
      <c r="J8" s="875"/>
      <c r="K8" s="875"/>
      <c r="L8" s="875"/>
      <c r="M8" s="875"/>
      <c r="N8" s="875"/>
      <c r="O8" s="875"/>
    </row>
    <row r="9" spans="1:15" x14ac:dyDescent="0.25">
      <c r="A9" s="875"/>
      <c r="B9" s="875"/>
      <c r="C9" s="875"/>
      <c r="D9" s="875"/>
      <c r="E9" s="875"/>
      <c r="F9" s="875"/>
      <c r="G9" s="875"/>
      <c r="H9" s="875"/>
      <c r="I9" s="875"/>
      <c r="J9" s="875"/>
      <c r="K9" s="875"/>
      <c r="L9" s="875"/>
      <c r="M9" s="875"/>
      <c r="N9" s="875"/>
      <c r="O9" s="875"/>
    </row>
    <row r="10" spans="1:15" x14ac:dyDescent="0.25">
      <c r="A10" s="875"/>
      <c r="B10" s="875"/>
      <c r="C10" s="875"/>
      <c r="D10" s="875"/>
      <c r="E10" s="875"/>
      <c r="F10" s="875"/>
      <c r="G10" s="875"/>
      <c r="H10" s="875"/>
      <c r="I10" s="875"/>
      <c r="J10" s="875"/>
      <c r="K10" s="875"/>
      <c r="L10" s="875"/>
      <c r="M10" s="875"/>
      <c r="N10" s="875"/>
      <c r="O10" s="875"/>
    </row>
    <row r="11" spans="1:15" x14ac:dyDescent="0.25">
      <c r="A11" s="875"/>
      <c r="B11" s="875"/>
      <c r="C11" s="875"/>
      <c r="D11" s="875"/>
      <c r="E11" s="875"/>
      <c r="F11" s="875"/>
      <c r="G11" s="875"/>
      <c r="H11" s="875"/>
      <c r="I11" s="875"/>
      <c r="J11" s="875"/>
      <c r="K11" s="875"/>
      <c r="L11" s="875"/>
      <c r="M11" s="875"/>
      <c r="N11" s="875"/>
      <c r="O11" s="875"/>
    </row>
    <row r="12" spans="1:15" x14ac:dyDescent="0.25">
      <c r="A12" s="875"/>
      <c r="B12" s="875"/>
      <c r="C12" s="875"/>
      <c r="D12" s="875"/>
      <c r="E12" s="875"/>
      <c r="F12" s="875"/>
      <c r="G12" s="875"/>
      <c r="H12" s="875"/>
      <c r="I12" s="875"/>
      <c r="J12" s="875"/>
      <c r="K12" s="875"/>
      <c r="L12" s="875"/>
      <c r="M12" s="875"/>
      <c r="N12" s="875"/>
      <c r="O12" s="875"/>
    </row>
    <row r="13" spans="1:15" x14ac:dyDescent="0.25">
      <c r="A13" s="875"/>
      <c r="B13" s="875"/>
      <c r="C13" s="875"/>
      <c r="D13" s="875"/>
      <c r="E13" s="875"/>
      <c r="F13" s="875"/>
      <c r="G13" s="875"/>
      <c r="H13" s="875"/>
      <c r="I13" s="875"/>
      <c r="J13" s="875"/>
      <c r="K13" s="875"/>
      <c r="L13" s="875"/>
      <c r="M13" s="875"/>
      <c r="N13" s="875"/>
      <c r="O13" s="875"/>
    </row>
    <row r="14" spans="1:15" x14ac:dyDescent="0.25">
      <c r="A14" s="875"/>
      <c r="B14" s="875"/>
      <c r="C14" s="875"/>
      <c r="D14" s="875"/>
      <c r="E14" s="875"/>
      <c r="F14" s="875"/>
      <c r="G14" s="875"/>
      <c r="H14" s="875"/>
      <c r="I14" s="875"/>
      <c r="J14" s="875"/>
      <c r="K14" s="875"/>
      <c r="L14" s="875"/>
      <c r="M14" s="875"/>
      <c r="N14" s="875"/>
      <c r="O14" s="875"/>
    </row>
    <row r="15" spans="1:15" x14ac:dyDescent="0.25">
      <c r="A15" s="875"/>
      <c r="B15" s="875"/>
      <c r="C15" s="875"/>
      <c r="D15" s="875"/>
      <c r="E15" s="875"/>
      <c r="F15" s="875"/>
      <c r="G15" s="875"/>
      <c r="H15" s="875"/>
      <c r="I15" s="875"/>
      <c r="J15" s="875"/>
      <c r="K15" s="875"/>
      <c r="L15" s="875"/>
      <c r="M15" s="875"/>
      <c r="N15" s="875"/>
      <c r="O15" s="875"/>
    </row>
    <row r="16" spans="1:15" x14ac:dyDescent="0.25">
      <c r="A16" s="875"/>
      <c r="B16" s="875"/>
      <c r="C16" s="875"/>
      <c r="D16" s="875"/>
      <c r="E16" s="875"/>
      <c r="F16" s="875"/>
      <c r="G16" s="875"/>
      <c r="H16" s="875"/>
      <c r="I16" s="875"/>
      <c r="J16" s="875"/>
      <c r="K16" s="875"/>
      <c r="L16" s="875"/>
      <c r="M16" s="875"/>
      <c r="N16" s="875"/>
      <c r="O16" s="875"/>
    </row>
    <row r="17" spans="1:15" x14ac:dyDescent="0.25">
      <c r="A17" s="875"/>
      <c r="B17" s="875"/>
      <c r="C17" s="875"/>
      <c r="D17" s="875"/>
      <c r="E17" s="875"/>
      <c r="F17" s="875"/>
      <c r="G17" s="875"/>
      <c r="H17" s="875"/>
      <c r="I17" s="875"/>
      <c r="J17" s="875"/>
      <c r="K17" s="875"/>
      <c r="L17" s="875"/>
      <c r="M17" s="875"/>
      <c r="N17" s="875"/>
      <c r="O17" s="875"/>
    </row>
    <row r="18" spans="1:15" x14ac:dyDescent="0.25">
      <c r="A18" s="875"/>
      <c r="B18" s="875"/>
      <c r="C18" s="875"/>
      <c r="D18" s="875"/>
      <c r="E18" s="875"/>
      <c r="F18" s="875"/>
      <c r="G18" s="875"/>
      <c r="H18" s="875"/>
      <c r="I18" s="875"/>
      <c r="J18" s="875"/>
      <c r="K18" s="875"/>
      <c r="L18" s="875"/>
      <c r="M18" s="875"/>
      <c r="N18" s="875"/>
      <c r="O18" s="875"/>
    </row>
    <row r="19" spans="1:15" x14ac:dyDescent="0.25">
      <c r="A19" s="875"/>
      <c r="B19" s="875"/>
      <c r="C19" s="875"/>
      <c r="D19" s="875"/>
      <c r="E19" s="875"/>
      <c r="F19" s="875"/>
      <c r="G19" s="875"/>
      <c r="H19" s="875"/>
      <c r="I19" s="875"/>
      <c r="J19" s="875"/>
      <c r="K19" s="875"/>
      <c r="L19" s="875"/>
      <c r="M19" s="875"/>
      <c r="N19" s="875"/>
      <c r="O19" s="875"/>
    </row>
    <row r="20" spans="1:15" x14ac:dyDescent="0.25">
      <c r="A20" s="875"/>
      <c r="B20" s="875"/>
      <c r="C20" s="875"/>
      <c r="D20" s="875"/>
      <c r="E20" s="875"/>
      <c r="F20" s="875"/>
      <c r="G20" s="875"/>
      <c r="H20" s="875"/>
      <c r="I20" s="875"/>
      <c r="J20" s="875"/>
      <c r="K20" s="875"/>
      <c r="L20" s="875"/>
      <c r="M20" s="875"/>
      <c r="N20" s="875"/>
      <c r="O20" s="875"/>
    </row>
    <row r="21" spans="1:15" x14ac:dyDescent="0.25">
      <c r="A21" s="875"/>
      <c r="B21" s="875"/>
      <c r="C21" s="875"/>
      <c r="D21" s="875"/>
      <c r="E21" s="875"/>
      <c r="F21" s="875"/>
      <c r="G21" s="875"/>
      <c r="H21" s="875"/>
      <c r="I21" s="875"/>
      <c r="J21" s="875"/>
      <c r="K21" s="875"/>
      <c r="L21" s="875"/>
      <c r="M21" s="875"/>
      <c r="N21" s="875"/>
      <c r="O21" s="875"/>
    </row>
    <row r="22" spans="1:15" x14ac:dyDescent="0.25">
      <c r="A22" s="875"/>
      <c r="B22" s="875"/>
      <c r="C22" s="875"/>
      <c r="D22" s="875"/>
      <c r="E22" s="875"/>
      <c r="F22" s="875"/>
      <c r="G22" s="875"/>
      <c r="H22" s="875"/>
      <c r="I22" s="875"/>
      <c r="J22" s="875"/>
      <c r="K22" s="875"/>
      <c r="L22" s="875"/>
      <c r="M22" s="875"/>
      <c r="N22" s="875"/>
      <c r="O22" s="875"/>
    </row>
    <row r="23" spans="1:15" x14ac:dyDescent="0.25">
      <c r="A23" s="875"/>
      <c r="B23" s="875"/>
      <c r="C23" s="875"/>
      <c r="D23" s="875"/>
      <c r="E23" s="875"/>
      <c r="F23" s="875"/>
      <c r="G23" s="875"/>
      <c r="H23" s="875"/>
      <c r="I23" s="875"/>
      <c r="J23" s="875"/>
      <c r="K23" s="875"/>
      <c r="L23" s="875"/>
      <c r="M23" s="875"/>
      <c r="N23" s="875"/>
      <c r="O23" s="875"/>
    </row>
    <row r="24" spans="1:15" x14ac:dyDescent="0.25">
      <c r="A24" s="875"/>
      <c r="B24" s="875"/>
      <c r="C24" s="875"/>
      <c r="D24" s="875"/>
      <c r="E24" s="875"/>
      <c r="F24" s="875"/>
      <c r="G24" s="875"/>
      <c r="H24" s="875"/>
      <c r="I24" s="875"/>
      <c r="J24" s="875"/>
      <c r="K24" s="875"/>
      <c r="L24" s="875"/>
      <c r="M24" s="875"/>
      <c r="N24" s="875"/>
      <c r="O24" s="875"/>
    </row>
    <row r="25" spans="1:15" x14ac:dyDescent="0.25">
      <c r="A25" s="875"/>
      <c r="B25" s="875"/>
      <c r="C25" s="875"/>
      <c r="D25" s="875"/>
      <c r="E25" s="875"/>
      <c r="F25" s="875"/>
      <c r="G25" s="875"/>
      <c r="H25" s="875"/>
      <c r="I25" s="875"/>
      <c r="J25" s="875"/>
      <c r="K25" s="875"/>
      <c r="L25" s="875"/>
      <c r="M25" s="875"/>
      <c r="N25" s="875"/>
      <c r="O25" s="875"/>
    </row>
    <row r="26" spans="1:15" x14ac:dyDescent="0.25">
      <c r="A26" s="875"/>
      <c r="B26" s="875"/>
      <c r="C26" s="875"/>
      <c r="D26" s="875"/>
      <c r="E26" s="875"/>
      <c r="F26" s="875"/>
      <c r="G26" s="875"/>
      <c r="H26" s="875"/>
      <c r="I26" s="875"/>
      <c r="J26" s="875"/>
      <c r="K26" s="875"/>
      <c r="L26" s="875"/>
      <c r="M26" s="875"/>
      <c r="N26" s="875"/>
      <c r="O26" s="875"/>
    </row>
    <row r="27" spans="1:15" x14ac:dyDescent="0.25">
      <c r="A27" s="875"/>
      <c r="B27" s="875"/>
      <c r="C27" s="875"/>
      <c r="D27" s="875"/>
      <c r="E27" s="875"/>
      <c r="F27" s="875"/>
      <c r="G27" s="875"/>
      <c r="H27" s="875"/>
      <c r="I27" s="875"/>
      <c r="J27" s="875"/>
      <c r="K27" s="875"/>
      <c r="L27" s="875"/>
      <c r="M27" s="875"/>
      <c r="N27" s="875"/>
      <c r="O27" s="875"/>
    </row>
    <row r="28" spans="1:15" x14ac:dyDescent="0.25">
      <c r="A28" s="875"/>
      <c r="B28" s="875"/>
      <c r="C28" s="875"/>
      <c r="D28" s="875"/>
      <c r="E28" s="875"/>
      <c r="F28" s="875"/>
      <c r="G28" s="875"/>
      <c r="H28" s="875"/>
      <c r="I28" s="875"/>
      <c r="J28" s="875"/>
      <c r="K28" s="875"/>
      <c r="L28" s="875"/>
      <c r="M28" s="875"/>
      <c r="N28" s="875"/>
      <c r="O28" s="875"/>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12"/>
  <dimension ref="A1:M1"/>
  <sheetViews>
    <sheetView workbookViewId="0">
      <selection activeCell="A2" sqref="A2"/>
    </sheetView>
  </sheetViews>
  <sheetFormatPr defaultColWidth="9.140625" defaultRowHeight="15" x14ac:dyDescent="0.25"/>
  <cols>
    <col min="1" max="1" width="18.85546875" style="741" bestFit="1" customWidth="1"/>
    <col min="2" max="2" width="10.5703125" style="741" bestFit="1" customWidth="1"/>
    <col min="3" max="3" width="8.85546875" style="741" bestFit="1" customWidth="1"/>
    <col min="4" max="4" width="9.140625" style="741"/>
    <col min="5" max="5" width="29.7109375" style="741" bestFit="1" customWidth="1"/>
    <col min="6" max="6" width="16.42578125" style="741" bestFit="1" customWidth="1"/>
    <col min="7" max="7" width="27.140625" style="741" bestFit="1" customWidth="1"/>
    <col min="8" max="8" width="35" style="741" bestFit="1" customWidth="1"/>
    <col min="9" max="9" width="38.42578125" style="741" bestFit="1" customWidth="1"/>
    <col min="10" max="10" width="33.85546875" style="741" bestFit="1" customWidth="1"/>
    <col min="11" max="11" width="26.140625" style="741" bestFit="1" customWidth="1"/>
    <col min="12" max="12" width="17.42578125" style="741" bestFit="1" customWidth="1"/>
    <col min="13" max="13" width="12" style="741" bestFit="1" customWidth="1"/>
    <col min="14" max="16384" width="9.140625" style="741"/>
  </cols>
  <sheetData>
    <row r="1" spans="1:13" x14ac:dyDescent="0.25">
      <c r="A1" s="743" t="s">
        <v>1064</v>
      </c>
      <c r="B1" s="743" t="s">
        <v>1061</v>
      </c>
      <c r="C1" s="743" t="s">
        <v>1062</v>
      </c>
      <c r="D1" s="743" t="s">
        <v>1068</v>
      </c>
      <c r="E1" s="743" t="s">
        <v>1113</v>
      </c>
      <c r="F1" s="743" t="s">
        <v>1117</v>
      </c>
      <c r="G1" s="743" t="s">
        <v>1112</v>
      </c>
      <c r="H1" s="743" t="s">
        <v>1129</v>
      </c>
      <c r="I1" s="743" t="s">
        <v>1130</v>
      </c>
      <c r="J1" s="743" t="s">
        <v>1131</v>
      </c>
      <c r="K1" s="743" t="s">
        <v>1069</v>
      </c>
      <c r="L1" s="743" t="s">
        <v>1070</v>
      </c>
      <c r="M1" s="743" t="s">
        <v>1071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heet29"/>
  <dimension ref="A1:F1"/>
  <sheetViews>
    <sheetView workbookViewId="0">
      <selection activeCell="E12" sqref="E12"/>
    </sheetView>
  </sheetViews>
  <sheetFormatPr defaultColWidth="9.140625" defaultRowHeight="15" x14ac:dyDescent="0.25"/>
  <cols>
    <col min="1" max="1" width="8.42578125" style="741" bestFit="1" customWidth="1"/>
    <col min="2" max="2" width="12.85546875" style="741" bestFit="1" customWidth="1"/>
    <col min="3" max="3" width="10.5703125" style="741" bestFit="1" customWidth="1"/>
    <col min="4" max="4" width="21.5703125" style="741" bestFit="1" customWidth="1"/>
    <col min="5" max="5" width="12.7109375" style="741" bestFit="1" customWidth="1"/>
    <col min="6" max="6" width="25.7109375" style="741" bestFit="1" customWidth="1"/>
    <col min="7" max="16384" width="9.140625" style="741"/>
  </cols>
  <sheetData>
    <row r="1" spans="1:6" x14ac:dyDescent="0.25">
      <c r="A1" s="743" t="s">
        <v>244</v>
      </c>
      <c r="B1" s="743" t="s">
        <v>1123</v>
      </c>
      <c r="C1" s="743" t="s">
        <v>1061</v>
      </c>
      <c r="D1" s="743" t="s">
        <v>1119</v>
      </c>
      <c r="E1" s="743" t="s">
        <v>1120</v>
      </c>
      <c r="F1" s="743"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8"/>
  <dimension ref="A1:F1"/>
  <sheetViews>
    <sheetView workbookViewId="0">
      <selection activeCell="A2" sqref="A2:F93"/>
    </sheetView>
  </sheetViews>
  <sheetFormatPr defaultColWidth="9.140625" defaultRowHeight="15" x14ac:dyDescent="0.25"/>
  <cols>
    <col min="1" max="1" width="8.42578125" style="741" bestFit="1" customWidth="1"/>
    <col min="2" max="2" width="12.85546875" style="741" bestFit="1" customWidth="1"/>
    <col min="3" max="3" width="10.5703125" style="741" bestFit="1" customWidth="1"/>
    <col min="4" max="4" width="21.5703125" style="741" bestFit="1" customWidth="1"/>
    <col min="5" max="5" width="12.7109375" style="741" bestFit="1" customWidth="1"/>
    <col min="6" max="6" width="25.7109375" style="741" bestFit="1" customWidth="1"/>
    <col min="7" max="16384" width="9.140625" style="741"/>
  </cols>
  <sheetData>
    <row r="1" spans="1:6" x14ac:dyDescent="0.25">
      <c r="A1" s="743" t="s">
        <v>244</v>
      </c>
      <c r="B1" s="743" t="s">
        <v>1122</v>
      </c>
      <c r="C1" s="743" t="s">
        <v>1061</v>
      </c>
      <c r="D1" s="743" t="s">
        <v>1119</v>
      </c>
      <c r="E1" s="743" t="s">
        <v>1120</v>
      </c>
      <c r="F1" s="743"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heet27"/>
  <dimension ref="A1:F1"/>
  <sheetViews>
    <sheetView workbookViewId="0">
      <selection activeCell="G12" sqref="G12"/>
    </sheetView>
  </sheetViews>
  <sheetFormatPr defaultColWidth="9.140625" defaultRowHeight="15" x14ac:dyDescent="0.25"/>
  <cols>
    <col min="1" max="1" width="8.42578125" style="741" bestFit="1" customWidth="1"/>
    <col min="2" max="2" width="12.85546875" style="741" bestFit="1" customWidth="1"/>
    <col min="3" max="3" width="10.5703125" style="741" bestFit="1" customWidth="1"/>
    <col min="4" max="4" width="21.5703125" style="741" bestFit="1" customWidth="1"/>
    <col min="5" max="5" width="12.7109375" style="741" bestFit="1" customWidth="1"/>
    <col min="6" max="6" width="25.7109375" style="741" bestFit="1" customWidth="1"/>
    <col min="7" max="16384" width="9.140625" style="741"/>
  </cols>
  <sheetData>
    <row r="1" spans="1:6" x14ac:dyDescent="0.25">
      <c r="A1" s="743" t="s">
        <v>244</v>
      </c>
      <c r="B1" s="743" t="s">
        <v>1118</v>
      </c>
      <c r="C1" s="743" t="s">
        <v>1061</v>
      </c>
      <c r="D1" s="743" t="s">
        <v>1119</v>
      </c>
      <c r="E1" s="743" t="s">
        <v>1120</v>
      </c>
      <c r="F1" s="743" t="s">
        <v>1121</v>
      </c>
    </row>
  </sheetData>
  <sheetProtection selectLockedCells="1" selectUnlockedCells="1"/>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3EFEFF-C083-468B-A222-E1E3A1C6B7D9}">
  <sheetPr codeName="Sheet18"/>
  <dimension ref="A1"/>
  <sheetViews>
    <sheetView workbookViewId="0">
      <selection activeCell="D20" sqref="D20"/>
    </sheetView>
  </sheetViews>
  <sheetFormatPr defaultRowHeight="15" x14ac:dyDescent="0.25"/>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9">
    <tabColor theme="5"/>
  </sheetPr>
  <dimension ref="A1:N111"/>
  <sheetViews>
    <sheetView workbookViewId="0">
      <selection activeCell="K21" sqref="K21"/>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B1" t="s">
        <v>254</v>
      </c>
      <c r="C1" s="2" t="s">
        <v>963</v>
      </c>
      <c r="D1" s="2" t="s">
        <v>216</v>
      </c>
      <c r="E1" s="2"/>
      <c r="F1" s="2" t="s">
        <v>215</v>
      </c>
      <c r="G1" s="2"/>
      <c r="H1" s="2" t="s">
        <v>202</v>
      </c>
    </row>
    <row r="2" spans="1:14" x14ac:dyDescent="0.25">
      <c r="A2" t="s">
        <v>269</v>
      </c>
      <c r="B2" t="s">
        <v>99</v>
      </c>
      <c r="C2" s="2" t="s">
        <v>212</v>
      </c>
      <c r="D2" s="24">
        <v>0.03</v>
      </c>
      <c r="E2" s="24">
        <v>0.08</v>
      </c>
      <c r="F2" s="24">
        <v>0.09</v>
      </c>
      <c r="G2" s="24">
        <v>0.11</v>
      </c>
      <c r="H2" s="24">
        <v>0.16</v>
      </c>
      <c r="J2" s="24"/>
      <c r="K2" s="24"/>
      <c r="L2" s="24"/>
      <c r="M2" s="24"/>
      <c r="N2" s="24"/>
    </row>
    <row r="3" spans="1:14" x14ac:dyDescent="0.25">
      <c r="A3" t="s">
        <v>270</v>
      </c>
      <c r="B3" t="s">
        <v>99</v>
      </c>
      <c r="C3" s="2" t="s">
        <v>213</v>
      </c>
      <c r="D3" s="24">
        <v>0.04</v>
      </c>
      <c r="E3" s="24">
        <v>0.08</v>
      </c>
      <c r="F3" s="24">
        <v>0.09</v>
      </c>
      <c r="G3" s="24">
        <v>0.11</v>
      </c>
      <c r="H3" s="24">
        <v>0.16</v>
      </c>
      <c r="J3" s="24"/>
      <c r="K3" s="24"/>
      <c r="L3" s="24"/>
      <c r="M3" s="24"/>
      <c r="N3" s="24"/>
    </row>
    <row r="4" spans="1:14" x14ac:dyDescent="0.25">
      <c r="A4" t="s">
        <v>271</v>
      </c>
      <c r="B4" t="s">
        <v>99</v>
      </c>
      <c r="C4" s="2" t="s">
        <v>214</v>
      </c>
      <c r="D4" s="24">
        <v>0.03</v>
      </c>
      <c r="E4" s="24">
        <v>7.0000000000000007E-2</v>
      </c>
      <c r="F4" s="24">
        <v>0.09</v>
      </c>
      <c r="G4" s="24">
        <v>0.1</v>
      </c>
      <c r="H4" s="24">
        <v>0.16</v>
      </c>
      <c r="J4" s="24"/>
      <c r="K4" s="24"/>
      <c r="L4" s="24"/>
      <c r="M4" s="24"/>
      <c r="N4" s="24"/>
    </row>
    <row r="5" spans="1:14" x14ac:dyDescent="0.25">
      <c r="A5" t="s">
        <v>272</v>
      </c>
      <c r="B5" t="s">
        <v>99</v>
      </c>
      <c r="C5" s="2" t="s">
        <v>267</v>
      </c>
      <c r="D5" s="24">
        <v>0.01</v>
      </c>
      <c r="E5" s="24">
        <v>7.0000000000000007E-2</v>
      </c>
      <c r="F5" s="24">
        <v>0.08</v>
      </c>
      <c r="G5" s="24">
        <v>0.11</v>
      </c>
      <c r="H5" s="24">
        <v>0.15</v>
      </c>
      <c r="J5" s="24"/>
      <c r="K5" s="24"/>
      <c r="L5" s="24"/>
      <c r="M5" s="24"/>
      <c r="N5" s="24"/>
    </row>
    <row r="6" spans="1:14" x14ac:dyDescent="0.25">
      <c r="A6" t="s">
        <v>273</v>
      </c>
      <c r="B6" t="s">
        <v>99</v>
      </c>
      <c r="C6" s="2" t="s">
        <v>268</v>
      </c>
      <c r="D6" s="24">
        <v>0.02</v>
      </c>
      <c r="E6" s="24">
        <v>0.06</v>
      </c>
      <c r="F6" s="24">
        <v>0.08</v>
      </c>
      <c r="G6" s="24">
        <v>0.09</v>
      </c>
      <c r="H6" s="24">
        <v>0.14000000000000001</v>
      </c>
      <c r="J6" s="24"/>
      <c r="K6" s="24"/>
      <c r="L6" s="24"/>
      <c r="M6" s="24"/>
      <c r="N6" s="24"/>
    </row>
    <row r="7" spans="1:14" x14ac:dyDescent="0.25">
      <c r="A7" t="s">
        <v>509</v>
      </c>
      <c r="B7" t="s">
        <v>507</v>
      </c>
      <c r="C7" s="2" t="s">
        <v>212</v>
      </c>
      <c r="D7" s="24">
        <v>0</v>
      </c>
      <c r="E7" s="24">
        <v>0.04</v>
      </c>
      <c r="F7" s="24">
        <v>7.0000000000000007E-2</v>
      </c>
      <c r="G7" s="24">
        <v>0.09</v>
      </c>
      <c r="H7" s="24">
        <v>0.16</v>
      </c>
      <c r="J7" s="24"/>
      <c r="K7" s="24"/>
      <c r="L7" s="24"/>
      <c r="M7" s="24"/>
      <c r="N7" s="24"/>
    </row>
    <row r="8" spans="1:14" x14ac:dyDescent="0.25">
      <c r="A8" t="s">
        <v>510</v>
      </c>
      <c r="B8" t="s">
        <v>507</v>
      </c>
      <c r="C8" s="2" t="s">
        <v>213</v>
      </c>
      <c r="D8" s="24">
        <v>0</v>
      </c>
      <c r="E8" s="24">
        <v>0.04</v>
      </c>
      <c r="F8" s="24">
        <v>0.06</v>
      </c>
      <c r="G8" s="24">
        <v>0.08</v>
      </c>
      <c r="H8" s="24">
        <v>0.15</v>
      </c>
      <c r="J8" s="24"/>
      <c r="K8" s="24"/>
      <c r="L8" s="24"/>
      <c r="M8" s="24"/>
      <c r="N8" s="24"/>
    </row>
    <row r="9" spans="1:14" x14ac:dyDescent="0.25">
      <c r="A9" t="s">
        <v>511</v>
      </c>
      <c r="B9" t="s">
        <v>507</v>
      </c>
      <c r="C9" s="2" t="s">
        <v>214</v>
      </c>
      <c r="D9" s="24">
        <v>0</v>
      </c>
      <c r="E9" s="24">
        <v>0.04</v>
      </c>
      <c r="F9" s="24">
        <v>0.06</v>
      </c>
      <c r="G9" s="24">
        <v>0.08</v>
      </c>
      <c r="H9" s="24">
        <v>0.14000000000000001</v>
      </c>
      <c r="J9" s="24"/>
      <c r="K9" s="24"/>
      <c r="L9" s="24"/>
      <c r="M9" s="24"/>
      <c r="N9" s="24"/>
    </row>
    <row r="10" spans="1:14" x14ac:dyDescent="0.25">
      <c r="A10" t="s">
        <v>512</v>
      </c>
      <c r="B10" t="s">
        <v>507</v>
      </c>
      <c r="C10" s="2" t="s">
        <v>267</v>
      </c>
      <c r="D10" s="24">
        <v>0</v>
      </c>
      <c r="E10" s="24">
        <v>0.04</v>
      </c>
      <c r="F10" s="24">
        <v>0.05</v>
      </c>
      <c r="G10" s="24">
        <v>7.0000000000000007E-2</v>
      </c>
      <c r="H10" s="24">
        <v>0.12</v>
      </c>
      <c r="J10" s="24"/>
      <c r="K10" s="24"/>
      <c r="L10" s="24"/>
      <c r="M10" s="24"/>
      <c r="N10" s="24"/>
    </row>
    <row r="11" spans="1:14" x14ac:dyDescent="0.25">
      <c r="A11" t="s">
        <v>513</v>
      </c>
      <c r="B11" t="s">
        <v>507</v>
      </c>
      <c r="C11" s="2" t="s">
        <v>268</v>
      </c>
      <c r="D11" s="24">
        <v>0</v>
      </c>
      <c r="E11" s="24">
        <v>0.03</v>
      </c>
      <c r="F11" s="24">
        <v>0.04</v>
      </c>
      <c r="G11" s="24">
        <v>0.06</v>
      </c>
      <c r="H11" s="24">
        <v>0.1</v>
      </c>
      <c r="J11" s="24"/>
      <c r="K11" s="24"/>
      <c r="L11" s="24"/>
      <c r="M11" s="24"/>
      <c r="N11" s="24"/>
    </row>
    <row r="12" spans="1:14" x14ac:dyDescent="0.25">
      <c r="A12" t="s">
        <v>514</v>
      </c>
      <c r="B12" t="s">
        <v>508</v>
      </c>
      <c r="C12" s="2" t="s">
        <v>212</v>
      </c>
      <c r="D12" s="24">
        <v>0</v>
      </c>
      <c r="E12" s="24">
        <v>0.05</v>
      </c>
      <c r="F12" s="24">
        <v>0.08</v>
      </c>
      <c r="G12" s="24">
        <v>0.09</v>
      </c>
      <c r="H12" s="24">
        <v>0.14000000000000001</v>
      </c>
      <c r="J12" s="24"/>
      <c r="K12" s="24"/>
      <c r="L12" s="24"/>
      <c r="M12" s="24"/>
      <c r="N12" s="24"/>
    </row>
    <row r="13" spans="1:14" x14ac:dyDescent="0.25">
      <c r="A13" t="s">
        <v>515</v>
      </c>
      <c r="B13" t="s">
        <v>508</v>
      </c>
      <c r="C13" s="2" t="s">
        <v>213</v>
      </c>
      <c r="D13" s="24">
        <v>0</v>
      </c>
      <c r="E13" s="24">
        <v>0.05</v>
      </c>
      <c r="F13" s="24">
        <v>7.0000000000000007E-2</v>
      </c>
      <c r="G13" s="24">
        <v>0.09</v>
      </c>
      <c r="H13" s="24">
        <v>0.14000000000000001</v>
      </c>
      <c r="J13" s="24"/>
      <c r="K13" s="24"/>
      <c r="L13" s="24"/>
      <c r="M13" s="24"/>
      <c r="N13" s="24"/>
    </row>
    <row r="14" spans="1:14" x14ac:dyDescent="0.25">
      <c r="A14" t="s">
        <v>516</v>
      </c>
      <c r="B14" t="s">
        <v>508</v>
      </c>
      <c r="C14" s="2" t="s">
        <v>214</v>
      </c>
      <c r="D14" s="24">
        <v>0</v>
      </c>
      <c r="E14" s="24">
        <v>0.05</v>
      </c>
      <c r="F14" s="24">
        <v>0.06</v>
      </c>
      <c r="G14" s="24">
        <v>0.08</v>
      </c>
      <c r="H14" s="24">
        <v>0.13</v>
      </c>
      <c r="J14" s="24"/>
      <c r="K14" s="24"/>
      <c r="L14" s="24"/>
      <c r="M14" s="24"/>
      <c r="N14" s="24"/>
    </row>
    <row r="15" spans="1:14" x14ac:dyDescent="0.25">
      <c r="A15" t="s">
        <v>517</v>
      </c>
      <c r="B15" t="s">
        <v>508</v>
      </c>
      <c r="C15" s="2" t="s">
        <v>267</v>
      </c>
      <c r="D15" s="55">
        <v>0</v>
      </c>
      <c r="E15" s="55">
        <v>0.04</v>
      </c>
      <c r="F15" s="55">
        <v>0.05</v>
      </c>
      <c r="G15" s="55">
        <v>7.0000000000000007E-2</v>
      </c>
      <c r="H15" s="55">
        <v>0.11</v>
      </c>
      <c r="J15" s="55"/>
      <c r="K15" s="55"/>
      <c r="L15" s="55"/>
      <c r="M15" s="55"/>
      <c r="N15" s="55"/>
    </row>
    <row r="16" spans="1:14" x14ac:dyDescent="0.25">
      <c r="A16" t="s">
        <v>518</v>
      </c>
      <c r="B16" t="s">
        <v>508</v>
      </c>
      <c r="C16" s="2" t="s">
        <v>268</v>
      </c>
      <c r="D16" s="55">
        <v>0</v>
      </c>
      <c r="E16" s="55">
        <v>0.04</v>
      </c>
      <c r="F16" s="55">
        <v>0.05</v>
      </c>
      <c r="G16" s="55">
        <v>7.0000000000000007E-2</v>
      </c>
      <c r="H16" s="55">
        <v>0.09</v>
      </c>
      <c r="J16" s="55"/>
      <c r="K16" s="55"/>
      <c r="L16" s="55"/>
      <c r="M16" s="55"/>
      <c r="N16" s="55"/>
    </row>
    <row r="17" spans="1:14" x14ac:dyDescent="0.25">
      <c r="A17" t="s">
        <v>274</v>
      </c>
      <c r="B17" t="s">
        <v>102</v>
      </c>
      <c r="C17" s="2" t="s">
        <v>212</v>
      </c>
      <c r="D17" s="24">
        <v>0.03</v>
      </c>
      <c r="E17" s="24">
        <v>0.09</v>
      </c>
      <c r="F17" s="24">
        <v>0.11</v>
      </c>
      <c r="G17" s="24">
        <v>0.13</v>
      </c>
      <c r="H17" s="24">
        <v>0.2</v>
      </c>
      <c r="J17" s="24"/>
      <c r="K17" s="24"/>
      <c r="L17" s="24"/>
      <c r="M17" s="24"/>
      <c r="N17" s="24"/>
    </row>
    <row r="18" spans="1:14" x14ac:dyDescent="0.25">
      <c r="A18" t="s">
        <v>275</v>
      </c>
      <c r="B18" t="s">
        <v>102</v>
      </c>
      <c r="C18" s="2" t="s">
        <v>213</v>
      </c>
      <c r="D18" s="24">
        <v>0.03</v>
      </c>
      <c r="E18" s="24">
        <v>0.08</v>
      </c>
      <c r="F18" s="24">
        <v>0.1</v>
      </c>
      <c r="G18" s="24">
        <v>0.12</v>
      </c>
      <c r="H18" s="24">
        <v>0.19</v>
      </c>
      <c r="J18" s="24"/>
      <c r="K18" s="24"/>
      <c r="L18" s="24"/>
      <c r="M18" s="24"/>
      <c r="N18" s="24"/>
    </row>
    <row r="19" spans="1:14" x14ac:dyDescent="0.25">
      <c r="A19" t="s">
        <v>276</v>
      </c>
      <c r="B19" t="s">
        <v>102</v>
      </c>
      <c r="C19" s="2" t="s">
        <v>214</v>
      </c>
      <c r="D19" s="24">
        <v>0.02</v>
      </c>
      <c r="E19" s="24">
        <v>7.0000000000000007E-2</v>
      </c>
      <c r="F19" s="24">
        <v>0.09</v>
      </c>
      <c r="G19" s="24">
        <v>0.11</v>
      </c>
      <c r="H19" s="24">
        <v>0.18</v>
      </c>
      <c r="J19" s="24"/>
      <c r="K19" s="24"/>
      <c r="L19" s="24"/>
      <c r="M19" s="24"/>
      <c r="N19" s="24"/>
    </row>
    <row r="20" spans="1:14" x14ac:dyDescent="0.25">
      <c r="A20" t="s">
        <v>277</v>
      </c>
      <c r="B20" t="s">
        <v>102</v>
      </c>
      <c r="C20" s="2" t="s">
        <v>267</v>
      </c>
      <c r="D20" s="24">
        <v>0.02</v>
      </c>
      <c r="E20" s="24">
        <v>0.06</v>
      </c>
      <c r="F20" s="24">
        <v>0.08</v>
      </c>
      <c r="G20" s="24">
        <v>0.1</v>
      </c>
      <c r="H20" s="24">
        <v>0.16</v>
      </c>
      <c r="J20" s="24"/>
      <c r="K20" s="24"/>
      <c r="L20" s="24"/>
      <c r="M20" s="24"/>
      <c r="N20" s="24"/>
    </row>
    <row r="21" spans="1:14" x14ac:dyDescent="0.25">
      <c r="A21" t="s">
        <v>278</v>
      </c>
      <c r="B21" t="s">
        <v>102</v>
      </c>
      <c r="C21" s="2" t="s">
        <v>268</v>
      </c>
      <c r="D21" s="24">
        <v>0.02</v>
      </c>
      <c r="E21" s="24">
        <v>0.05</v>
      </c>
      <c r="F21" s="24">
        <v>0.06</v>
      </c>
      <c r="G21" s="24">
        <v>0.09</v>
      </c>
      <c r="H21" s="24">
        <v>0.13</v>
      </c>
      <c r="J21" s="24"/>
      <c r="K21" s="24"/>
      <c r="L21" s="24"/>
      <c r="M21" s="24"/>
      <c r="N21" s="24"/>
    </row>
    <row r="22" spans="1:14" x14ac:dyDescent="0.25">
      <c r="A22" t="s">
        <v>279</v>
      </c>
      <c r="B22" t="s">
        <v>100</v>
      </c>
      <c r="C22" s="2" t="s">
        <v>212</v>
      </c>
      <c r="D22" s="24">
        <v>0.03</v>
      </c>
      <c r="E22" s="24">
        <v>0.09</v>
      </c>
      <c r="F22" s="24">
        <v>0.11</v>
      </c>
      <c r="G22" s="24">
        <v>0.14000000000000001</v>
      </c>
      <c r="H22" s="24">
        <v>0.21</v>
      </c>
      <c r="J22" s="24"/>
      <c r="K22" s="24"/>
      <c r="L22" s="24"/>
      <c r="M22" s="24"/>
      <c r="N22" s="24"/>
    </row>
    <row r="23" spans="1:14" x14ac:dyDescent="0.25">
      <c r="A23" t="s">
        <v>280</v>
      </c>
      <c r="B23" t="s">
        <v>100</v>
      </c>
      <c r="C23" s="2" t="s">
        <v>213</v>
      </c>
      <c r="D23" s="24">
        <v>0.03</v>
      </c>
      <c r="E23" s="24">
        <v>0.08</v>
      </c>
      <c r="F23" s="24">
        <v>0.1</v>
      </c>
      <c r="G23" s="24">
        <v>0.12</v>
      </c>
      <c r="H23" s="24">
        <v>0.17</v>
      </c>
      <c r="J23" s="24"/>
      <c r="K23" s="24"/>
      <c r="L23" s="24"/>
      <c r="M23" s="24"/>
      <c r="N23" s="24"/>
    </row>
    <row r="24" spans="1:14" x14ac:dyDescent="0.25">
      <c r="A24" t="s">
        <v>281</v>
      </c>
      <c r="B24" t="s">
        <v>100</v>
      </c>
      <c r="C24" s="2" t="s">
        <v>214</v>
      </c>
      <c r="D24" s="24">
        <v>0.03</v>
      </c>
      <c r="E24" s="24">
        <v>7.0000000000000007E-2</v>
      </c>
      <c r="F24" s="24">
        <v>0.09</v>
      </c>
      <c r="G24" s="24">
        <v>0.11</v>
      </c>
      <c r="H24" s="24">
        <v>0.16</v>
      </c>
      <c r="J24" s="24"/>
      <c r="K24" s="24"/>
      <c r="L24" s="24"/>
      <c r="M24" s="24"/>
      <c r="N24" s="24"/>
    </row>
    <row r="25" spans="1:14" x14ac:dyDescent="0.25">
      <c r="A25" t="s">
        <v>282</v>
      </c>
      <c r="B25" t="s">
        <v>100</v>
      </c>
      <c r="C25" s="2" t="s">
        <v>267</v>
      </c>
      <c r="D25" s="24">
        <v>0.02</v>
      </c>
      <c r="E25" s="24">
        <v>7.0000000000000007E-2</v>
      </c>
      <c r="F25" s="24">
        <v>0.08</v>
      </c>
      <c r="G25" s="24">
        <v>0.1</v>
      </c>
      <c r="H25" s="24">
        <v>0.15</v>
      </c>
      <c r="J25" s="24"/>
      <c r="K25" s="24"/>
      <c r="L25" s="24"/>
      <c r="M25" s="24"/>
      <c r="N25" s="24"/>
    </row>
    <row r="26" spans="1:14" x14ac:dyDescent="0.25">
      <c r="A26" t="s">
        <v>283</v>
      </c>
      <c r="B26" t="s">
        <v>100</v>
      </c>
      <c r="C26" s="2" t="s">
        <v>268</v>
      </c>
      <c r="D26" s="24">
        <v>0</v>
      </c>
      <c r="E26" s="24">
        <v>0.05</v>
      </c>
      <c r="F26" s="24">
        <v>7.0000000000000007E-2</v>
      </c>
      <c r="G26" s="24">
        <v>0.1</v>
      </c>
      <c r="H26" s="24">
        <v>0.16</v>
      </c>
      <c r="J26" s="24"/>
      <c r="K26" s="24"/>
      <c r="L26" s="24"/>
      <c r="M26" s="24"/>
      <c r="N26" s="24"/>
    </row>
    <row r="27" spans="1:14" x14ac:dyDescent="0.25">
      <c r="A27" t="s">
        <v>284</v>
      </c>
      <c r="B27" t="s">
        <v>104</v>
      </c>
      <c r="C27" s="2" t="s">
        <v>212</v>
      </c>
      <c r="D27" s="24">
        <v>0.04</v>
      </c>
      <c r="E27" s="24">
        <v>0.1</v>
      </c>
      <c r="F27" s="24">
        <v>0.12</v>
      </c>
      <c r="G27" s="24">
        <v>0.14000000000000001</v>
      </c>
      <c r="H27" s="24">
        <v>0.19</v>
      </c>
      <c r="J27" s="24"/>
      <c r="K27" s="24"/>
      <c r="L27" s="24"/>
      <c r="M27" s="24"/>
      <c r="N27" s="24"/>
    </row>
    <row r="28" spans="1:14" x14ac:dyDescent="0.25">
      <c r="A28" t="s">
        <v>285</v>
      </c>
      <c r="B28" t="s">
        <v>104</v>
      </c>
      <c r="C28" s="2" t="s">
        <v>213</v>
      </c>
      <c r="D28" s="24">
        <v>0.04</v>
      </c>
      <c r="E28" s="24">
        <v>0.1</v>
      </c>
      <c r="F28" s="24">
        <v>0.11</v>
      </c>
      <c r="G28" s="24">
        <v>0.14000000000000001</v>
      </c>
      <c r="H28" s="24">
        <v>0.2</v>
      </c>
      <c r="J28" s="24"/>
      <c r="K28" s="24"/>
      <c r="L28" s="24"/>
      <c r="M28" s="24"/>
      <c r="N28" s="24"/>
    </row>
    <row r="29" spans="1:14" x14ac:dyDescent="0.25">
      <c r="A29" t="s">
        <v>286</v>
      </c>
      <c r="B29" t="s">
        <v>104</v>
      </c>
      <c r="C29" s="2" t="s">
        <v>214</v>
      </c>
      <c r="D29" s="24">
        <v>0.05</v>
      </c>
      <c r="E29" s="24">
        <v>0.1</v>
      </c>
      <c r="F29" s="24">
        <v>0.11</v>
      </c>
      <c r="G29" s="24">
        <v>0.13</v>
      </c>
      <c r="H29" s="24">
        <v>0.17</v>
      </c>
      <c r="J29" s="24"/>
      <c r="K29" s="24"/>
      <c r="L29" s="24"/>
      <c r="M29" s="24"/>
      <c r="N29" s="24"/>
    </row>
    <row r="30" spans="1:14" x14ac:dyDescent="0.25">
      <c r="A30" t="s">
        <v>287</v>
      </c>
      <c r="B30" t="s">
        <v>104</v>
      </c>
      <c r="C30" s="2" t="s">
        <v>267</v>
      </c>
      <c r="D30" s="24">
        <v>0.06</v>
      </c>
      <c r="E30" s="24">
        <v>0.09</v>
      </c>
      <c r="F30" s="24">
        <v>0.11</v>
      </c>
      <c r="G30" s="24">
        <v>0.12</v>
      </c>
      <c r="H30" s="24">
        <v>0.16</v>
      </c>
      <c r="J30" s="24"/>
      <c r="K30" s="24"/>
      <c r="L30" s="24"/>
      <c r="M30" s="24"/>
      <c r="N30" s="24"/>
    </row>
    <row r="31" spans="1:14" x14ac:dyDescent="0.25">
      <c r="A31" t="s">
        <v>288</v>
      </c>
      <c r="B31" t="s">
        <v>104</v>
      </c>
      <c r="C31" s="2" t="s">
        <v>268</v>
      </c>
      <c r="D31" s="24">
        <v>7.0000000000000007E-2</v>
      </c>
      <c r="E31" s="24">
        <v>0.1</v>
      </c>
      <c r="F31" s="24">
        <v>0.11</v>
      </c>
      <c r="G31" s="24">
        <v>0.11</v>
      </c>
      <c r="H31" s="24">
        <v>0.14000000000000001</v>
      </c>
      <c r="J31" s="24"/>
      <c r="K31" s="24"/>
      <c r="L31" s="24"/>
      <c r="M31" s="24"/>
      <c r="N31" s="24"/>
    </row>
    <row r="32" spans="1:14" x14ac:dyDescent="0.25">
      <c r="A32" t="s">
        <v>289</v>
      </c>
      <c r="B32" t="s">
        <v>98</v>
      </c>
      <c r="C32" s="2" t="s">
        <v>212</v>
      </c>
      <c r="D32" s="24">
        <v>0.05</v>
      </c>
      <c r="E32" s="24">
        <v>0.08</v>
      </c>
      <c r="F32" s="24">
        <v>0.1</v>
      </c>
      <c r="G32" s="24">
        <v>0.12</v>
      </c>
      <c r="H32" s="24">
        <v>0.18</v>
      </c>
      <c r="J32" s="24"/>
      <c r="K32" s="24"/>
      <c r="L32" s="24"/>
      <c r="M32" s="24"/>
      <c r="N32" s="24"/>
    </row>
    <row r="33" spans="1:14" x14ac:dyDescent="0.25">
      <c r="A33" t="s">
        <v>290</v>
      </c>
      <c r="B33" t="s">
        <v>98</v>
      </c>
      <c r="C33" s="2" t="s">
        <v>213</v>
      </c>
      <c r="D33" s="24">
        <v>0.04</v>
      </c>
      <c r="E33" s="24">
        <v>0.08</v>
      </c>
      <c r="F33" s="24">
        <v>0.1</v>
      </c>
      <c r="G33" s="24">
        <v>0.11</v>
      </c>
      <c r="H33" s="24">
        <v>0.16</v>
      </c>
      <c r="J33" s="24"/>
      <c r="K33" s="24"/>
      <c r="L33" s="24"/>
      <c r="M33" s="24"/>
      <c r="N33" s="24"/>
    </row>
    <row r="34" spans="1:14" x14ac:dyDescent="0.25">
      <c r="A34" t="s">
        <v>291</v>
      </c>
      <c r="B34" t="s">
        <v>98</v>
      </c>
      <c r="C34" s="2" t="s">
        <v>214</v>
      </c>
      <c r="D34" s="24">
        <v>0.04</v>
      </c>
      <c r="E34" s="24">
        <v>0.08</v>
      </c>
      <c r="F34" s="24">
        <v>0.09</v>
      </c>
      <c r="G34" s="24">
        <v>0.11</v>
      </c>
      <c r="H34" s="24">
        <v>0.15</v>
      </c>
      <c r="J34" s="24"/>
      <c r="K34" s="24"/>
      <c r="L34" s="24"/>
      <c r="M34" s="24"/>
      <c r="N34" s="24"/>
    </row>
    <row r="35" spans="1:14" x14ac:dyDescent="0.25">
      <c r="A35" t="s">
        <v>292</v>
      </c>
      <c r="B35" t="s">
        <v>98</v>
      </c>
      <c r="C35" s="2" t="s">
        <v>267</v>
      </c>
      <c r="D35" s="24">
        <v>0.04</v>
      </c>
      <c r="E35" s="24">
        <v>0.08</v>
      </c>
      <c r="F35" s="24">
        <v>0.09</v>
      </c>
      <c r="G35" s="24">
        <v>0.11</v>
      </c>
      <c r="H35" s="24">
        <v>0.16</v>
      </c>
      <c r="J35" s="24"/>
      <c r="K35" s="24"/>
      <c r="L35" s="24"/>
      <c r="M35" s="24"/>
      <c r="N35" s="24"/>
    </row>
    <row r="36" spans="1:14" x14ac:dyDescent="0.25">
      <c r="A36" t="s">
        <v>293</v>
      </c>
      <c r="B36" t="s">
        <v>98</v>
      </c>
      <c r="C36" s="2" t="s">
        <v>268</v>
      </c>
      <c r="D36" s="24">
        <v>0.02</v>
      </c>
      <c r="E36" s="24">
        <v>0.06</v>
      </c>
      <c r="F36" s="24">
        <v>0.08</v>
      </c>
      <c r="G36" s="24">
        <v>0.1</v>
      </c>
      <c r="H36" s="24">
        <v>0.15</v>
      </c>
      <c r="J36" s="24"/>
      <c r="K36" s="24"/>
      <c r="L36" s="24"/>
      <c r="M36" s="24"/>
      <c r="N36" s="24"/>
    </row>
    <row r="37" spans="1:14" x14ac:dyDescent="0.25">
      <c r="A37" t="s">
        <v>294</v>
      </c>
      <c r="B37" t="s">
        <v>95</v>
      </c>
      <c r="C37" s="2" t="s">
        <v>212</v>
      </c>
      <c r="D37" s="24">
        <v>0.02</v>
      </c>
      <c r="E37" s="24">
        <v>0.08</v>
      </c>
      <c r="F37" s="24">
        <v>0.1</v>
      </c>
      <c r="G37" s="24">
        <v>0.13</v>
      </c>
      <c r="H37" s="24">
        <v>0.18</v>
      </c>
      <c r="J37" s="24"/>
      <c r="K37" s="24"/>
      <c r="L37" s="24"/>
      <c r="M37" s="24"/>
      <c r="N37" s="24"/>
    </row>
    <row r="38" spans="1:14" x14ac:dyDescent="0.25">
      <c r="A38" t="s">
        <v>295</v>
      </c>
      <c r="B38" t="s">
        <v>95</v>
      </c>
      <c r="C38" s="2" t="s">
        <v>213</v>
      </c>
      <c r="D38" s="24">
        <v>0.04</v>
      </c>
      <c r="E38" s="24">
        <v>0.08</v>
      </c>
      <c r="F38" s="24">
        <v>0.1</v>
      </c>
      <c r="G38" s="24">
        <v>0.12</v>
      </c>
      <c r="H38" s="24">
        <v>0.18</v>
      </c>
      <c r="J38" s="24"/>
      <c r="K38" s="24"/>
      <c r="L38" s="24"/>
      <c r="M38" s="24"/>
      <c r="N38" s="24"/>
    </row>
    <row r="39" spans="1:14" x14ac:dyDescent="0.25">
      <c r="A39" t="s">
        <v>296</v>
      </c>
      <c r="B39" t="s">
        <v>95</v>
      </c>
      <c r="C39" s="2" t="s">
        <v>214</v>
      </c>
      <c r="D39" s="24">
        <v>0.02</v>
      </c>
      <c r="E39" s="24">
        <v>0.08</v>
      </c>
      <c r="F39" s="24">
        <v>0.09</v>
      </c>
      <c r="G39" s="24">
        <v>0.12</v>
      </c>
      <c r="H39" s="24">
        <v>0.18</v>
      </c>
      <c r="J39" s="24"/>
      <c r="K39" s="24"/>
      <c r="L39" s="24"/>
      <c r="M39" s="24"/>
      <c r="N39" s="24"/>
    </row>
    <row r="40" spans="1:14" x14ac:dyDescent="0.25">
      <c r="A40" t="s">
        <v>297</v>
      </c>
      <c r="B40" t="s">
        <v>95</v>
      </c>
      <c r="C40" s="2" t="s">
        <v>267</v>
      </c>
      <c r="D40" s="24">
        <v>0.01</v>
      </c>
      <c r="E40" s="24">
        <v>7.0000000000000007E-2</v>
      </c>
      <c r="F40" s="24">
        <v>0.09</v>
      </c>
      <c r="G40" s="24">
        <v>0.11</v>
      </c>
      <c r="H40" s="24">
        <v>0.17</v>
      </c>
      <c r="J40" s="24"/>
      <c r="K40" s="24"/>
      <c r="L40" s="24"/>
      <c r="M40" s="24"/>
      <c r="N40" s="24"/>
    </row>
    <row r="41" spans="1:14" x14ac:dyDescent="0.25">
      <c r="A41" t="s">
        <v>298</v>
      </c>
      <c r="B41" t="s">
        <v>95</v>
      </c>
      <c r="C41" s="2" t="s">
        <v>268</v>
      </c>
      <c r="D41" s="24">
        <v>0.03</v>
      </c>
      <c r="E41" s="24">
        <v>7.0000000000000007E-2</v>
      </c>
      <c r="F41" s="24">
        <v>0.09</v>
      </c>
      <c r="G41" s="24">
        <v>0.11</v>
      </c>
      <c r="H41" s="24">
        <v>0.16</v>
      </c>
      <c r="J41" s="24"/>
      <c r="K41" s="24"/>
      <c r="L41" s="24"/>
      <c r="M41" s="24"/>
      <c r="N41" s="24"/>
    </row>
    <row r="42" spans="1:14" x14ac:dyDescent="0.25">
      <c r="A42" t="s">
        <v>299</v>
      </c>
      <c r="B42" t="s">
        <v>96</v>
      </c>
      <c r="C42" s="2" t="s">
        <v>212</v>
      </c>
      <c r="D42" s="24">
        <v>0.04</v>
      </c>
      <c r="E42" s="24">
        <v>0.1</v>
      </c>
      <c r="F42" s="24">
        <v>0.13</v>
      </c>
      <c r="G42" s="24">
        <v>0.16</v>
      </c>
      <c r="H42" s="24">
        <v>0.25</v>
      </c>
      <c r="J42" s="24"/>
      <c r="K42" s="24"/>
      <c r="L42" s="24"/>
      <c r="M42" s="24"/>
      <c r="N42" s="24"/>
    </row>
    <row r="43" spans="1:14" x14ac:dyDescent="0.25">
      <c r="A43" t="s">
        <v>300</v>
      </c>
      <c r="B43" t="s">
        <v>96</v>
      </c>
      <c r="C43" s="2" t="s">
        <v>213</v>
      </c>
      <c r="D43" s="24">
        <v>0.03</v>
      </c>
      <c r="E43" s="24">
        <v>0.11</v>
      </c>
      <c r="F43" s="24">
        <v>0.13</v>
      </c>
      <c r="G43" s="24">
        <v>0.16</v>
      </c>
      <c r="H43" s="24">
        <v>0.23</v>
      </c>
      <c r="J43" s="24"/>
      <c r="K43" s="24"/>
      <c r="L43" s="24"/>
      <c r="M43" s="24"/>
      <c r="N43" s="24"/>
    </row>
    <row r="44" spans="1:14" x14ac:dyDescent="0.25">
      <c r="A44" t="s">
        <v>301</v>
      </c>
      <c r="B44" t="s">
        <v>96</v>
      </c>
      <c r="C44" s="2" t="s">
        <v>214</v>
      </c>
      <c r="D44" s="24">
        <v>0.02</v>
      </c>
      <c r="E44" s="24">
        <v>0.09</v>
      </c>
      <c r="F44" s="24">
        <v>0.11</v>
      </c>
      <c r="G44" s="24">
        <v>0.14000000000000001</v>
      </c>
      <c r="H44" s="24">
        <v>0.2</v>
      </c>
      <c r="J44" s="24"/>
      <c r="K44" s="24"/>
      <c r="L44" s="24"/>
      <c r="M44" s="24"/>
      <c r="N44" s="24"/>
    </row>
    <row r="45" spans="1:14" x14ac:dyDescent="0.25">
      <c r="A45" t="s">
        <v>302</v>
      </c>
      <c r="B45" t="s">
        <v>96</v>
      </c>
      <c r="C45" s="2" t="s">
        <v>267</v>
      </c>
      <c r="D45" s="24">
        <v>0.03</v>
      </c>
      <c r="E45" s="24">
        <v>0.08</v>
      </c>
      <c r="F45" s="24">
        <v>0.11</v>
      </c>
      <c r="G45" s="24">
        <v>0.13</v>
      </c>
      <c r="H45" s="24">
        <v>0.2</v>
      </c>
      <c r="J45" s="24"/>
      <c r="K45" s="24"/>
      <c r="L45" s="24"/>
      <c r="M45" s="24"/>
      <c r="N45" s="24"/>
    </row>
    <row r="46" spans="1:14" x14ac:dyDescent="0.25">
      <c r="A46" t="s">
        <v>303</v>
      </c>
      <c r="B46" t="s">
        <v>96</v>
      </c>
      <c r="C46" s="2" t="s">
        <v>268</v>
      </c>
      <c r="D46" s="24">
        <v>0.03</v>
      </c>
      <c r="E46" s="24">
        <v>0.08</v>
      </c>
      <c r="F46" s="24">
        <v>0.11</v>
      </c>
      <c r="G46" s="24">
        <v>0.12</v>
      </c>
      <c r="H46" s="24">
        <v>0.19</v>
      </c>
      <c r="J46" s="24"/>
      <c r="K46" s="24"/>
      <c r="L46" s="24"/>
      <c r="M46" s="24"/>
      <c r="N46" s="24"/>
    </row>
    <row r="47" spans="1:14" x14ac:dyDescent="0.25">
      <c r="A47" t="s">
        <v>304</v>
      </c>
      <c r="B47" t="s">
        <v>101</v>
      </c>
      <c r="C47" s="2" t="s">
        <v>212</v>
      </c>
      <c r="D47" s="24">
        <v>0.04</v>
      </c>
      <c r="E47" s="24">
        <v>0.09</v>
      </c>
      <c r="F47" s="24">
        <v>0.1</v>
      </c>
      <c r="G47" s="24">
        <v>0.13</v>
      </c>
      <c r="H47" s="24">
        <v>0.18</v>
      </c>
      <c r="J47" s="24"/>
      <c r="K47" s="24"/>
      <c r="L47" s="24"/>
      <c r="M47" s="24"/>
      <c r="N47" s="24"/>
    </row>
    <row r="48" spans="1:14" x14ac:dyDescent="0.25">
      <c r="A48" t="s">
        <v>305</v>
      </c>
      <c r="B48" t="s">
        <v>101</v>
      </c>
      <c r="C48" s="2" t="s">
        <v>213</v>
      </c>
      <c r="D48" s="24">
        <v>0.04</v>
      </c>
      <c r="E48" s="24">
        <v>0.08</v>
      </c>
      <c r="F48" s="24">
        <v>0.1</v>
      </c>
      <c r="G48" s="24">
        <v>0.12</v>
      </c>
      <c r="H48" s="24">
        <v>0.18</v>
      </c>
      <c r="J48" s="24"/>
      <c r="K48" s="24"/>
      <c r="L48" s="24"/>
      <c r="M48" s="24"/>
      <c r="N48" s="24"/>
    </row>
    <row r="49" spans="1:14" x14ac:dyDescent="0.25">
      <c r="A49" t="s">
        <v>306</v>
      </c>
      <c r="B49" t="s">
        <v>101</v>
      </c>
      <c r="C49" s="2" t="s">
        <v>214</v>
      </c>
      <c r="D49" s="24">
        <v>0.04</v>
      </c>
      <c r="E49" s="24">
        <v>0.08</v>
      </c>
      <c r="F49" s="24">
        <v>0.09</v>
      </c>
      <c r="G49" s="24">
        <v>0.11</v>
      </c>
      <c r="H49" s="24">
        <v>0.15</v>
      </c>
      <c r="J49" s="24"/>
      <c r="K49" s="24"/>
      <c r="L49" s="24"/>
      <c r="M49" s="24"/>
      <c r="N49" s="24"/>
    </row>
    <row r="50" spans="1:14" x14ac:dyDescent="0.25">
      <c r="A50" t="s">
        <v>307</v>
      </c>
      <c r="B50" t="s">
        <v>101</v>
      </c>
      <c r="C50" s="2" t="s">
        <v>267</v>
      </c>
      <c r="D50" s="24">
        <v>0.04</v>
      </c>
      <c r="E50" s="24">
        <v>0.08</v>
      </c>
      <c r="F50" s="24">
        <v>0.09</v>
      </c>
      <c r="G50" s="24">
        <v>0.1</v>
      </c>
      <c r="H50" s="24">
        <v>0.15</v>
      </c>
      <c r="J50" s="24"/>
      <c r="K50" s="24"/>
      <c r="L50" s="24"/>
      <c r="M50" s="24"/>
      <c r="N50" s="24"/>
    </row>
    <row r="51" spans="1:14" x14ac:dyDescent="0.25">
      <c r="A51" t="s">
        <v>308</v>
      </c>
      <c r="B51" t="s">
        <v>101</v>
      </c>
      <c r="C51" s="2" t="s">
        <v>268</v>
      </c>
      <c r="D51" s="24">
        <v>0.03</v>
      </c>
      <c r="E51" s="24">
        <v>7.0000000000000007E-2</v>
      </c>
      <c r="F51" s="24">
        <v>0.08</v>
      </c>
      <c r="G51" s="24">
        <v>0.09</v>
      </c>
      <c r="H51" s="24">
        <v>0.13</v>
      </c>
      <c r="J51" s="24"/>
      <c r="K51" s="24"/>
      <c r="L51" s="24"/>
      <c r="M51" s="24"/>
      <c r="N51" s="24"/>
    </row>
    <row r="52" spans="1:14" x14ac:dyDescent="0.25">
      <c r="A52" t="s">
        <v>309</v>
      </c>
      <c r="B52" t="s">
        <v>97</v>
      </c>
      <c r="C52" s="2" t="s">
        <v>212</v>
      </c>
      <c r="D52" s="24">
        <v>0.04</v>
      </c>
      <c r="E52" s="24">
        <v>0.09</v>
      </c>
      <c r="F52" s="24">
        <v>0.1</v>
      </c>
      <c r="G52" s="24">
        <v>0.13</v>
      </c>
      <c r="H52" s="24">
        <v>0.17</v>
      </c>
      <c r="J52" s="24"/>
      <c r="K52" s="24"/>
      <c r="L52" s="24"/>
      <c r="M52" s="24"/>
      <c r="N52" s="24"/>
    </row>
    <row r="53" spans="1:14" x14ac:dyDescent="0.25">
      <c r="A53" t="s">
        <v>310</v>
      </c>
      <c r="B53" t="s">
        <v>97</v>
      </c>
      <c r="C53" s="2" t="s">
        <v>213</v>
      </c>
      <c r="D53" s="24">
        <v>0.05</v>
      </c>
      <c r="E53" s="24">
        <v>0.09</v>
      </c>
      <c r="F53" s="24">
        <v>0.1</v>
      </c>
      <c r="G53" s="24">
        <v>0.12</v>
      </c>
      <c r="H53" s="24">
        <v>0.16</v>
      </c>
      <c r="J53" s="24"/>
      <c r="K53" s="24"/>
      <c r="L53" s="24"/>
      <c r="M53" s="24"/>
      <c r="N53" s="24"/>
    </row>
    <row r="54" spans="1:14" x14ac:dyDescent="0.25">
      <c r="A54" t="s">
        <v>311</v>
      </c>
      <c r="B54" t="s">
        <v>97</v>
      </c>
      <c r="C54" s="2" t="s">
        <v>214</v>
      </c>
      <c r="D54" s="24">
        <v>0.04</v>
      </c>
      <c r="E54" s="24">
        <v>0.08</v>
      </c>
      <c r="F54" s="24">
        <v>0.1</v>
      </c>
      <c r="G54" s="24">
        <v>0.11</v>
      </c>
      <c r="H54" s="24">
        <v>0.16</v>
      </c>
      <c r="J54" s="24"/>
      <c r="K54" s="24"/>
      <c r="L54" s="24"/>
      <c r="M54" s="24"/>
      <c r="N54" s="24"/>
    </row>
    <row r="55" spans="1:14" x14ac:dyDescent="0.25">
      <c r="A55" t="s">
        <v>312</v>
      </c>
      <c r="B55" t="s">
        <v>97</v>
      </c>
      <c r="C55" s="2" t="s">
        <v>267</v>
      </c>
      <c r="D55" s="24">
        <v>0.02</v>
      </c>
      <c r="E55" s="24">
        <v>7.0000000000000007E-2</v>
      </c>
      <c r="F55" s="24">
        <v>0.09</v>
      </c>
      <c r="G55" s="24">
        <v>0.11</v>
      </c>
      <c r="H55" s="24">
        <v>0.16</v>
      </c>
      <c r="J55" s="24"/>
      <c r="K55" s="24"/>
      <c r="L55" s="24"/>
      <c r="M55" s="24"/>
      <c r="N55" s="24"/>
    </row>
    <row r="56" spans="1:14" x14ac:dyDescent="0.25">
      <c r="A56" t="s">
        <v>313</v>
      </c>
      <c r="B56" t="s">
        <v>97</v>
      </c>
      <c r="C56" s="2" t="s">
        <v>268</v>
      </c>
      <c r="D56" s="24">
        <v>0.03</v>
      </c>
      <c r="E56" s="24">
        <v>7.0000000000000007E-2</v>
      </c>
      <c r="F56" s="24">
        <v>0.08</v>
      </c>
      <c r="G56" s="24">
        <v>0.1</v>
      </c>
      <c r="H56" s="24">
        <v>0.15</v>
      </c>
      <c r="J56" s="24"/>
      <c r="K56" s="24"/>
      <c r="L56" s="24"/>
      <c r="M56" s="24"/>
      <c r="N56" s="24"/>
    </row>
    <row r="57" spans="1:14" x14ac:dyDescent="0.25">
      <c r="A57" t="s">
        <v>314</v>
      </c>
      <c r="B57" t="s">
        <v>93</v>
      </c>
      <c r="C57" s="2" t="s">
        <v>212</v>
      </c>
      <c r="D57" s="24">
        <v>0.04</v>
      </c>
      <c r="E57" s="24">
        <v>0.08</v>
      </c>
      <c r="F57" s="24">
        <v>0.1</v>
      </c>
      <c r="G57" s="24">
        <v>0.12</v>
      </c>
      <c r="H57" s="24">
        <v>0.17</v>
      </c>
      <c r="J57" s="24"/>
      <c r="K57" s="24"/>
      <c r="L57" s="24"/>
      <c r="M57" s="24"/>
      <c r="N57" s="24"/>
    </row>
    <row r="58" spans="1:14" x14ac:dyDescent="0.25">
      <c r="A58" t="s">
        <v>315</v>
      </c>
      <c r="B58" t="s">
        <v>93</v>
      </c>
      <c r="C58" s="2" t="s">
        <v>213</v>
      </c>
      <c r="D58" s="24">
        <v>0.04</v>
      </c>
      <c r="E58" s="24">
        <v>0.08</v>
      </c>
      <c r="F58" s="24">
        <v>0.1</v>
      </c>
      <c r="G58" s="24">
        <v>0.11</v>
      </c>
      <c r="H58" s="24">
        <v>0.15</v>
      </c>
      <c r="J58" s="24"/>
      <c r="K58" s="24"/>
      <c r="L58" s="24"/>
      <c r="M58" s="24"/>
      <c r="N58" s="24"/>
    </row>
    <row r="59" spans="1:14" x14ac:dyDescent="0.25">
      <c r="A59" t="s">
        <v>316</v>
      </c>
      <c r="B59" t="s">
        <v>93</v>
      </c>
      <c r="C59" s="2" t="s">
        <v>214</v>
      </c>
      <c r="D59" s="24">
        <v>0.05</v>
      </c>
      <c r="E59" s="24">
        <v>0.08</v>
      </c>
      <c r="F59" s="24">
        <v>0.09</v>
      </c>
      <c r="G59" s="24">
        <v>0.1</v>
      </c>
      <c r="H59" s="24">
        <v>0.14000000000000001</v>
      </c>
      <c r="J59" s="24"/>
      <c r="K59" s="24"/>
      <c r="L59" s="24"/>
      <c r="M59" s="24"/>
      <c r="N59" s="24"/>
    </row>
    <row r="60" spans="1:14" x14ac:dyDescent="0.25">
      <c r="A60" t="s">
        <v>317</v>
      </c>
      <c r="B60" t="s">
        <v>93</v>
      </c>
      <c r="C60" s="2" t="s">
        <v>267</v>
      </c>
      <c r="D60" s="24">
        <v>0.03</v>
      </c>
      <c r="E60" s="24">
        <v>7.0000000000000007E-2</v>
      </c>
      <c r="F60" s="24">
        <v>0.08</v>
      </c>
      <c r="G60" s="24">
        <v>0.1</v>
      </c>
      <c r="H60" s="24">
        <v>0.14000000000000001</v>
      </c>
      <c r="J60" s="24"/>
      <c r="K60" s="24"/>
      <c r="L60" s="24"/>
      <c r="M60" s="24"/>
      <c r="N60" s="24"/>
    </row>
    <row r="61" spans="1:14" x14ac:dyDescent="0.25">
      <c r="A61" t="s">
        <v>318</v>
      </c>
      <c r="B61" t="s">
        <v>93</v>
      </c>
      <c r="C61" s="2" t="s">
        <v>268</v>
      </c>
      <c r="D61" s="24">
        <v>0.02</v>
      </c>
      <c r="E61" s="24">
        <v>0.06</v>
      </c>
      <c r="F61" s="24">
        <v>0.08</v>
      </c>
      <c r="G61" s="24">
        <v>0.09</v>
      </c>
      <c r="H61" s="24">
        <v>0.14000000000000001</v>
      </c>
      <c r="J61" s="24"/>
      <c r="K61" s="24"/>
      <c r="L61" s="24"/>
      <c r="M61" s="24"/>
      <c r="N61" s="24"/>
    </row>
    <row r="62" spans="1:14" x14ac:dyDescent="0.25">
      <c r="A62" t="s">
        <v>319</v>
      </c>
      <c r="B62" t="s">
        <v>105</v>
      </c>
      <c r="C62" s="2" t="s">
        <v>212</v>
      </c>
      <c r="D62" s="24">
        <v>0.03</v>
      </c>
      <c r="E62" s="24">
        <v>7.0000000000000007E-2</v>
      </c>
      <c r="F62" s="24">
        <v>0.08</v>
      </c>
      <c r="G62" s="24">
        <v>0.11</v>
      </c>
      <c r="H62" s="24">
        <v>0.17</v>
      </c>
      <c r="J62" s="24"/>
      <c r="K62" s="24"/>
      <c r="L62" s="24"/>
      <c r="M62" s="24"/>
      <c r="N62" s="24"/>
    </row>
    <row r="63" spans="1:14" x14ac:dyDescent="0.25">
      <c r="A63" t="s">
        <v>320</v>
      </c>
      <c r="B63" t="s">
        <v>105</v>
      </c>
      <c r="C63" s="2" t="s">
        <v>213</v>
      </c>
      <c r="D63" s="24">
        <v>0.03</v>
      </c>
      <c r="E63" s="24">
        <v>0.06</v>
      </c>
      <c r="F63" s="24">
        <v>0.08</v>
      </c>
      <c r="G63" s="24">
        <v>0.1</v>
      </c>
      <c r="H63" s="24">
        <v>0.15</v>
      </c>
      <c r="J63" s="24"/>
      <c r="K63" s="24"/>
      <c r="L63" s="24"/>
      <c r="M63" s="24"/>
      <c r="N63" s="24"/>
    </row>
    <row r="64" spans="1:14" x14ac:dyDescent="0.25">
      <c r="A64" t="s">
        <v>321</v>
      </c>
      <c r="B64" t="s">
        <v>105</v>
      </c>
      <c r="C64" s="2" t="s">
        <v>214</v>
      </c>
      <c r="D64" s="24">
        <v>0.02</v>
      </c>
      <c r="E64" s="24">
        <v>0.06</v>
      </c>
      <c r="F64" s="24">
        <v>0.08</v>
      </c>
      <c r="G64" s="24">
        <v>0.1</v>
      </c>
      <c r="H64" s="24">
        <v>0.16</v>
      </c>
      <c r="J64" s="24"/>
      <c r="K64" s="24"/>
      <c r="L64" s="24"/>
      <c r="M64" s="24"/>
      <c r="N64" s="24"/>
    </row>
    <row r="65" spans="1:14" x14ac:dyDescent="0.25">
      <c r="A65" t="s">
        <v>322</v>
      </c>
      <c r="B65" t="s">
        <v>105</v>
      </c>
      <c r="C65" s="2" t="s">
        <v>267</v>
      </c>
      <c r="D65" s="24">
        <v>0.02</v>
      </c>
      <c r="E65" s="24">
        <v>0.05</v>
      </c>
      <c r="F65" s="24">
        <v>0.09</v>
      </c>
      <c r="G65" s="24">
        <v>0.1</v>
      </c>
      <c r="H65" s="24">
        <v>0.17</v>
      </c>
      <c r="J65" s="24"/>
      <c r="K65" s="24"/>
      <c r="L65" s="24"/>
      <c r="M65" s="24"/>
      <c r="N65" s="24"/>
    </row>
    <row r="66" spans="1:14" x14ac:dyDescent="0.25">
      <c r="A66" t="s">
        <v>323</v>
      </c>
      <c r="B66" t="s">
        <v>105</v>
      </c>
      <c r="C66" s="2" t="s">
        <v>268</v>
      </c>
      <c r="D66" s="24">
        <v>0.01</v>
      </c>
      <c r="E66" s="24">
        <v>0.06</v>
      </c>
      <c r="F66" s="24">
        <v>0.08</v>
      </c>
      <c r="G66" s="24">
        <v>0.1</v>
      </c>
      <c r="H66" s="24">
        <v>0.15</v>
      </c>
      <c r="J66" s="24"/>
      <c r="K66" s="24"/>
      <c r="L66" s="24"/>
      <c r="M66" s="24"/>
      <c r="N66" s="24"/>
    </row>
    <row r="67" spans="1:14" x14ac:dyDescent="0.25">
      <c r="A67" t="s">
        <v>324</v>
      </c>
      <c r="B67" t="s">
        <v>92</v>
      </c>
      <c r="C67" s="2" t="s">
        <v>212</v>
      </c>
      <c r="D67" s="24">
        <v>0.04</v>
      </c>
      <c r="E67" s="24">
        <v>0.08</v>
      </c>
      <c r="F67" s="24">
        <v>0.1</v>
      </c>
      <c r="G67" s="24">
        <v>0.12</v>
      </c>
      <c r="H67" s="24">
        <v>0.17</v>
      </c>
      <c r="J67" s="24"/>
      <c r="K67" s="24"/>
      <c r="L67" s="24"/>
      <c r="M67" s="24"/>
      <c r="N67" s="24"/>
    </row>
    <row r="68" spans="1:14" x14ac:dyDescent="0.25">
      <c r="A68" t="s">
        <v>325</v>
      </c>
      <c r="B68" t="s">
        <v>92</v>
      </c>
      <c r="C68" s="2" t="s">
        <v>213</v>
      </c>
      <c r="D68" s="24">
        <v>0.04</v>
      </c>
      <c r="E68" s="24">
        <v>0.08</v>
      </c>
      <c r="F68" s="24">
        <v>0.09</v>
      </c>
      <c r="G68" s="24">
        <v>0.11</v>
      </c>
      <c r="H68" s="24">
        <v>0.15</v>
      </c>
      <c r="J68" s="24"/>
      <c r="K68" s="24"/>
      <c r="L68" s="24"/>
      <c r="M68" s="24"/>
      <c r="N68" s="24"/>
    </row>
    <row r="69" spans="1:14" x14ac:dyDescent="0.25">
      <c r="A69" t="s">
        <v>326</v>
      </c>
      <c r="B69" t="s">
        <v>92</v>
      </c>
      <c r="C69" s="2" t="s">
        <v>214</v>
      </c>
      <c r="D69" s="24">
        <v>0.03</v>
      </c>
      <c r="E69" s="24">
        <v>7.0000000000000007E-2</v>
      </c>
      <c r="F69" s="24">
        <v>0.09</v>
      </c>
      <c r="G69" s="24">
        <v>0.1</v>
      </c>
      <c r="H69" s="24">
        <v>0.15</v>
      </c>
      <c r="J69" s="24"/>
      <c r="K69" s="24"/>
      <c r="L69" s="24"/>
      <c r="M69" s="24"/>
      <c r="N69" s="24"/>
    </row>
    <row r="70" spans="1:14" x14ac:dyDescent="0.25">
      <c r="A70" t="s">
        <v>327</v>
      </c>
      <c r="B70" t="s">
        <v>92</v>
      </c>
      <c r="C70" s="2" t="s">
        <v>267</v>
      </c>
      <c r="D70" s="24">
        <v>0.03</v>
      </c>
      <c r="E70" s="24">
        <v>0.08</v>
      </c>
      <c r="F70" s="24">
        <v>0.09</v>
      </c>
      <c r="G70" s="24">
        <v>0.1</v>
      </c>
      <c r="H70" s="24">
        <v>0.15</v>
      </c>
      <c r="J70" s="24"/>
      <c r="K70" s="24"/>
      <c r="L70" s="24"/>
      <c r="M70" s="24"/>
      <c r="N70" s="24"/>
    </row>
    <row r="71" spans="1:14" x14ac:dyDescent="0.25">
      <c r="A71" t="s">
        <v>328</v>
      </c>
      <c r="B71" t="s">
        <v>92</v>
      </c>
      <c r="C71" s="2" t="s">
        <v>268</v>
      </c>
      <c r="D71" s="24">
        <v>0.02</v>
      </c>
      <c r="E71" s="24">
        <v>0.06</v>
      </c>
      <c r="F71" s="24">
        <v>0.08</v>
      </c>
      <c r="G71" s="24">
        <v>0.09</v>
      </c>
      <c r="H71" s="24">
        <v>0.14000000000000001</v>
      </c>
      <c r="J71" s="24"/>
      <c r="K71" s="24"/>
      <c r="L71" s="24"/>
      <c r="M71" s="24"/>
      <c r="N71" s="24"/>
    </row>
    <row r="72" spans="1:14" x14ac:dyDescent="0.25">
      <c r="A72" t="s">
        <v>329</v>
      </c>
      <c r="B72" t="s">
        <v>91</v>
      </c>
      <c r="C72" s="2" t="s">
        <v>212</v>
      </c>
      <c r="D72" s="24">
        <v>0.01</v>
      </c>
      <c r="E72" s="24">
        <v>7.0000000000000007E-2</v>
      </c>
      <c r="F72" s="24">
        <v>0.08</v>
      </c>
      <c r="G72" s="24">
        <v>0.11</v>
      </c>
      <c r="H72" s="24">
        <v>0.17</v>
      </c>
      <c r="J72" s="24"/>
      <c r="K72" s="24"/>
      <c r="L72" s="24"/>
      <c r="M72" s="24"/>
      <c r="N72" s="24"/>
    </row>
    <row r="73" spans="1:14" x14ac:dyDescent="0.25">
      <c r="A73" t="s">
        <v>330</v>
      </c>
      <c r="B73" t="s">
        <v>91</v>
      </c>
      <c r="C73" s="2" t="s">
        <v>213</v>
      </c>
      <c r="D73" s="24">
        <v>0.03</v>
      </c>
      <c r="E73" s="24">
        <v>7.0000000000000007E-2</v>
      </c>
      <c r="F73" s="24">
        <v>0.09</v>
      </c>
      <c r="G73" s="24">
        <v>0.11</v>
      </c>
      <c r="H73" s="24">
        <v>0.15</v>
      </c>
      <c r="J73" s="24"/>
      <c r="K73" s="24"/>
      <c r="L73" s="24"/>
      <c r="M73" s="24"/>
      <c r="N73" s="24"/>
    </row>
    <row r="74" spans="1:14" x14ac:dyDescent="0.25">
      <c r="A74" t="s">
        <v>331</v>
      </c>
      <c r="B74" t="s">
        <v>91</v>
      </c>
      <c r="C74" s="2" t="s">
        <v>214</v>
      </c>
      <c r="D74" s="24">
        <v>0.03</v>
      </c>
      <c r="E74" s="24">
        <v>0.06</v>
      </c>
      <c r="F74" s="24">
        <v>0.08</v>
      </c>
      <c r="G74" s="24">
        <v>0.1</v>
      </c>
      <c r="H74" s="24">
        <v>0.15</v>
      </c>
      <c r="J74" s="24"/>
      <c r="K74" s="24"/>
      <c r="L74" s="24"/>
      <c r="M74" s="24"/>
      <c r="N74" s="24"/>
    </row>
    <row r="75" spans="1:14" x14ac:dyDescent="0.25">
      <c r="A75" t="s">
        <v>332</v>
      </c>
      <c r="B75" t="s">
        <v>91</v>
      </c>
      <c r="C75" s="2" t="s">
        <v>267</v>
      </c>
      <c r="D75" s="24">
        <v>0.02</v>
      </c>
      <c r="E75" s="24">
        <v>0.06</v>
      </c>
      <c r="F75" s="24">
        <v>7.0000000000000007E-2</v>
      </c>
      <c r="G75" s="24">
        <v>0.09</v>
      </c>
      <c r="H75" s="24">
        <v>0.14000000000000001</v>
      </c>
      <c r="J75" s="24"/>
      <c r="K75" s="24"/>
      <c r="L75" s="24"/>
      <c r="M75" s="24"/>
      <c r="N75" s="24"/>
    </row>
    <row r="76" spans="1:14" x14ac:dyDescent="0.25">
      <c r="A76" t="s">
        <v>333</v>
      </c>
      <c r="B76" t="s">
        <v>91</v>
      </c>
      <c r="C76" s="2" t="s">
        <v>268</v>
      </c>
      <c r="D76" s="24">
        <v>0.01</v>
      </c>
      <c r="E76" s="24">
        <v>0.04</v>
      </c>
      <c r="F76" s="24">
        <v>0.06</v>
      </c>
      <c r="G76" s="24">
        <v>0.08</v>
      </c>
      <c r="H76" s="24">
        <v>0.13</v>
      </c>
      <c r="J76" s="24"/>
      <c r="K76" s="24"/>
      <c r="L76" s="24"/>
      <c r="M76" s="24"/>
      <c r="N76" s="24"/>
    </row>
    <row r="77" spans="1:14" x14ac:dyDescent="0.25">
      <c r="A77" t="s">
        <v>334</v>
      </c>
      <c r="B77" t="s">
        <v>90</v>
      </c>
      <c r="C77" s="2" t="s">
        <v>212</v>
      </c>
      <c r="D77" s="24">
        <v>0.02</v>
      </c>
      <c r="E77" s="24">
        <v>0.06</v>
      </c>
      <c r="F77" s="24">
        <v>7.0000000000000007E-2</v>
      </c>
      <c r="G77" s="24">
        <v>0.09</v>
      </c>
      <c r="H77" s="24">
        <v>0.13</v>
      </c>
      <c r="J77" s="24"/>
      <c r="K77" s="24"/>
      <c r="L77" s="24"/>
      <c r="M77" s="24"/>
      <c r="N77" s="24"/>
    </row>
    <row r="78" spans="1:14" x14ac:dyDescent="0.25">
      <c r="A78" t="s">
        <v>335</v>
      </c>
      <c r="B78" t="s">
        <v>90</v>
      </c>
      <c r="C78" s="2" t="s">
        <v>213</v>
      </c>
      <c r="D78" s="24">
        <v>0.01</v>
      </c>
      <c r="E78" s="24">
        <v>0.05</v>
      </c>
      <c r="F78" s="24">
        <v>7.0000000000000007E-2</v>
      </c>
      <c r="G78" s="24">
        <v>0.08</v>
      </c>
      <c r="H78" s="24">
        <v>0.13</v>
      </c>
      <c r="J78" s="24"/>
      <c r="K78" s="24"/>
      <c r="L78" s="24"/>
      <c r="M78" s="24"/>
      <c r="N78" s="24"/>
    </row>
    <row r="79" spans="1:14" x14ac:dyDescent="0.25">
      <c r="A79" t="s">
        <v>336</v>
      </c>
      <c r="B79" t="s">
        <v>90</v>
      </c>
      <c r="C79" s="2" t="s">
        <v>214</v>
      </c>
      <c r="D79" s="24">
        <v>0.01</v>
      </c>
      <c r="E79" s="24">
        <v>0.05</v>
      </c>
      <c r="F79" s="24">
        <v>7.0000000000000007E-2</v>
      </c>
      <c r="G79" s="24">
        <v>0.08</v>
      </c>
      <c r="H79" s="24">
        <v>0.12</v>
      </c>
      <c r="J79" s="24"/>
      <c r="K79" s="24"/>
      <c r="L79" s="24"/>
      <c r="M79" s="24"/>
      <c r="N79" s="24"/>
    </row>
    <row r="80" spans="1:14" x14ac:dyDescent="0.25">
      <c r="A80" t="s">
        <v>337</v>
      </c>
      <c r="B80" t="s">
        <v>90</v>
      </c>
      <c r="C80" s="2" t="s">
        <v>267</v>
      </c>
      <c r="D80" s="24">
        <v>0.01</v>
      </c>
      <c r="E80" s="24">
        <v>0.04</v>
      </c>
      <c r="F80" s="24">
        <v>0.06</v>
      </c>
      <c r="G80" s="24">
        <v>7.0000000000000007E-2</v>
      </c>
      <c r="H80" s="24">
        <v>0.11</v>
      </c>
      <c r="J80" s="24"/>
      <c r="K80" s="24"/>
      <c r="L80" s="24"/>
      <c r="M80" s="24"/>
      <c r="N80" s="24"/>
    </row>
    <row r="81" spans="1:14" x14ac:dyDescent="0.25">
      <c r="A81" t="s">
        <v>338</v>
      </c>
      <c r="B81" t="s">
        <v>90</v>
      </c>
      <c r="C81" s="2" t="s">
        <v>268</v>
      </c>
      <c r="D81" s="24">
        <v>0</v>
      </c>
      <c r="E81" s="24">
        <v>0.04</v>
      </c>
      <c r="F81" s="24">
        <v>0.05</v>
      </c>
      <c r="G81" s="24">
        <v>7.0000000000000007E-2</v>
      </c>
      <c r="H81" s="24">
        <v>0.1</v>
      </c>
      <c r="J81" s="24"/>
      <c r="K81" s="24"/>
      <c r="L81" s="24"/>
      <c r="M81" s="24"/>
      <c r="N81" s="24"/>
    </row>
    <row r="82" spans="1:14" x14ac:dyDescent="0.25">
      <c r="A82" t="s">
        <v>339</v>
      </c>
      <c r="B82" t="s">
        <v>89</v>
      </c>
      <c r="C82" s="2" t="s">
        <v>212</v>
      </c>
      <c r="D82" s="24">
        <v>0.02</v>
      </c>
      <c r="E82" s="24">
        <v>7.0000000000000007E-2</v>
      </c>
      <c r="F82" s="24">
        <v>0.09</v>
      </c>
      <c r="G82" s="24">
        <v>0.11</v>
      </c>
      <c r="H82" s="24">
        <v>0.17</v>
      </c>
      <c r="J82" s="24"/>
      <c r="K82" s="24"/>
      <c r="L82" s="24"/>
      <c r="M82" s="24"/>
      <c r="N82" s="24"/>
    </row>
    <row r="83" spans="1:14" x14ac:dyDescent="0.25">
      <c r="A83" t="s">
        <v>340</v>
      </c>
      <c r="B83" t="s">
        <v>89</v>
      </c>
      <c r="C83" s="2" t="s">
        <v>213</v>
      </c>
      <c r="D83" s="24">
        <v>0.03</v>
      </c>
      <c r="E83" s="24">
        <v>7.0000000000000007E-2</v>
      </c>
      <c r="F83" s="24">
        <v>0.09</v>
      </c>
      <c r="G83" s="24">
        <v>0.1</v>
      </c>
      <c r="H83" s="24">
        <v>0.15</v>
      </c>
      <c r="J83" s="24"/>
      <c r="K83" s="24"/>
      <c r="L83" s="24"/>
      <c r="M83" s="24"/>
      <c r="N83" s="24"/>
    </row>
    <row r="84" spans="1:14" x14ac:dyDescent="0.25">
      <c r="A84" t="s">
        <v>341</v>
      </c>
      <c r="B84" t="s">
        <v>89</v>
      </c>
      <c r="C84" s="2" t="s">
        <v>214</v>
      </c>
      <c r="D84" s="24">
        <v>0.03</v>
      </c>
      <c r="E84" s="24">
        <v>0.06</v>
      </c>
      <c r="F84" s="24">
        <v>0.08</v>
      </c>
      <c r="G84" s="24">
        <v>0.1</v>
      </c>
      <c r="H84" s="24">
        <v>0.16</v>
      </c>
      <c r="J84" s="24"/>
      <c r="K84" s="24"/>
      <c r="L84" s="24"/>
      <c r="M84" s="24"/>
      <c r="N84" s="24"/>
    </row>
    <row r="85" spans="1:14" x14ac:dyDescent="0.25">
      <c r="A85" t="s">
        <v>342</v>
      </c>
      <c r="B85" t="s">
        <v>89</v>
      </c>
      <c r="C85" s="2" t="s">
        <v>267</v>
      </c>
      <c r="D85" s="24">
        <v>0.01</v>
      </c>
      <c r="E85" s="24">
        <v>0.06</v>
      </c>
      <c r="F85" s="24">
        <v>0.08</v>
      </c>
      <c r="G85" s="24">
        <v>0.09</v>
      </c>
      <c r="H85" s="24">
        <v>0.14000000000000001</v>
      </c>
      <c r="J85" s="24"/>
      <c r="K85" s="24"/>
      <c r="L85" s="24"/>
      <c r="M85" s="24"/>
      <c r="N85" s="24"/>
    </row>
    <row r="86" spans="1:14" x14ac:dyDescent="0.25">
      <c r="A86" t="s">
        <v>343</v>
      </c>
      <c r="B86" t="s">
        <v>89</v>
      </c>
      <c r="C86" s="2" t="s">
        <v>268</v>
      </c>
      <c r="D86" s="24">
        <v>0.01</v>
      </c>
      <c r="E86" s="24">
        <v>0.05</v>
      </c>
      <c r="F86" s="24">
        <v>7.0000000000000007E-2</v>
      </c>
      <c r="G86" s="24">
        <v>0.09</v>
      </c>
      <c r="H86" s="24">
        <v>0.14000000000000001</v>
      </c>
      <c r="J86" s="24"/>
      <c r="K86" s="24"/>
      <c r="L86" s="24"/>
      <c r="M86" s="24"/>
      <c r="N86" s="24"/>
    </row>
    <row r="87" spans="1:14" x14ac:dyDescent="0.25">
      <c r="A87" t="s">
        <v>344</v>
      </c>
      <c r="B87" t="s">
        <v>94</v>
      </c>
      <c r="C87" s="2" t="s">
        <v>212</v>
      </c>
      <c r="D87" s="24">
        <v>0.01</v>
      </c>
      <c r="E87" s="24">
        <v>0.09</v>
      </c>
      <c r="F87" s="24">
        <v>0.12</v>
      </c>
      <c r="G87" s="24">
        <v>0.15</v>
      </c>
      <c r="H87" s="24">
        <v>0.24</v>
      </c>
      <c r="J87" s="24"/>
      <c r="K87" s="24"/>
      <c r="L87" s="24"/>
      <c r="M87" s="24"/>
      <c r="N87" s="24"/>
    </row>
    <row r="88" spans="1:14" x14ac:dyDescent="0.25">
      <c r="A88" t="s">
        <v>345</v>
      </c>
      <c r="B88" t="s">
        <v>94</v>
      </c>
      <c r="C88" s="2" t="s">
        <v>213</v>
      </c>
      <c r="D88" s="24">
        <v>0.05</v>
      </c>
      <c r="E88" s="24">
        <v>0.11</v>
      </c>
      <c r="F88" s="24">
        <v>0.13</v>
      </c>
      <c r="G88" s="24">
        <v>0.15</v>
      </c>
      <c r="H88" s="24">
        <v>0.21</v>
      </c>
      <c r="J88" s="24"/>
      <c r="K88" s="24"/>
      <c r="L88" s="24"/>
      <c r="M88" s="24"/>
      <c r="N88" s="24"/>
    </row>
    <row r="89" spans="1:14" x14ac:dyDescent="0.25">
      <c r="A89" t="s">
        <v>346</v>
      </c>
      <c r="B89" t="s">
        <v>94</v>
      </c>
      <c r="C89" s="2" t="s">
        <v>214</v>
      </c>
      <c r="D89" s="24">
        <v>0.04</v>
      </c>
      <c r="E89" s="24">
        <v>0.1</v>
      </c>
      <c r="F89" s="24">
        <v>0.12</v>
      </c>
      <c r="G89" s="24">
        <v>0.15</v>
      </c>
      <c r="H89" s="24">
        <v>0.21</v>
      </c>
      <c r="J89" s="24"/>
      <c r="K89" s="24"/>
      <c r="L89" s="24"/>
      <c r="M89" s="24"/>
      <c r="N89" s="24"/>
    </row>
    <row r="90" spans="1:14" x14ac:dyDescent="0.25">
      <c r="A90" t="s">
        <v>347</v>
      </c>
      <c r="B90" t="s">
        <v>94</v>
      </c>
      <c r="C90" s="2" t="s">
        <v>267</v>
      </c>
      <c r="D90" s="24">
        <v>0.05</v>
      </c>
      <c r="E90" s="24">
        <v>0.1</v>
      </c>
      <c r="F90" s="24">
        <v>0.12</v>
      </c>
      <c r="G90" s="24">
        <v>0.14000000000000001</v>
      </c>
      <c r="H90" s="24">
        <v>0.2</v>
      </c>
      <c r="J90" s="24"/>
      <c r="K90" s="24"/>
      <c r="L90" s="24"/>
      <c r="M90" s="24"/>
      <c r="N90" s="24"/>
    </row>
    <row r="91" spans="1:14" x14ac:dyDescent="0.25">
      <c r="A91" t="s">
        <v>348</v>
      </c>
      <c r="B91" t="s">
        <v>94</v>
      </c>
      <c r="C91" s="2" t="s">
        <v>268</v>
      </c>
      <c r="D91" s="24">
        <v>0.02</v>
      </c>
      <c r="E91" s="24">
        <v>7.0000000000000007E-2</v>
      </c>
      <c r="F91" s="24">
        <v>0.08</v>
      </c>
      <c r="G91" s="24">
        <v>0.1</v>
      </c>
      <c r="H91" s="24">
        <v>0.13</v>
      </c>
      <c r="J91" s="24"/>
      <c r="K91" s="24"/>
      <c r="L91" s="24"/>
      <c r="M91" s="24"/>
      <c r="N91" s="24"/>
    </row>
    <row r="92" spans="1:14" x14ac:dyDescent="0.25">
      <c r="A92" t="s">
        <v>349</v>
      </c>
      <c r="B92" t="s">
        <v>86</v>
      </c>
      <c r="C92" s="2" t="s">
        <v>212</v>
      </c>
      <c r="D92" s="24">
        <v>0.05</v>
      </c>
      <c r="E92" s="24">
        <v>0.08</v>
      </c>
      <c r="F92" s="24">
        <v>0.1</v>
      </c>
      <c r="G92" s="24">
        <v>0.12</v>
      </c>
      <c r="H92" s="24">
        <v>0.17</v>
      </c>
      <c r="J92" s="24"/>
      <c r="K92" s="24"/>
      <c r="L92" s="24"/>
      <c r="M92" s="24"/>
      <c r="N92" s="24"/>
    </row>
    <row r="93" spans="1:14" x14ac:dyDescent="0.25">
      <c r="A93" t="s">
        <v>350</v>
      </c>
      <c r="B93" t="s">
        <v>86</v>
      </c>
      <c r="C93" s="2" t="s">
        <v>213</v>
      </c>
      <c r="D93" s="24">
        <v>0.03</v>
      </c>
      <c r="E93" s="24">
        <v>0.08</v>
      </c>
      <c r="F93" s="24">
        <v>0.1</v>
      </c>
      <c r="G93" s="24">
        <v>0.12</v>
      </c>
      <c r="H93" s="24">
        <v>0.17</v>
      </c>
      <c r="J93" s="24"/>
      <c r="K93" s="24"/>
      <c r="L93" s="24"/>
      <c r="M93" s="24"/>
      <c r="N93" s="24"/>
    </row>
    <row r="94" spans="1:14" x14ac:dyDescent="0.25">
      <c r="A94" t="s">
        <v>351</v>
      </c>
      <c r="B94" t="s">
        <v>86</v>
      </c>
      <c r="C94" s="2" t="s">
        <v>214</v>
      </c>
      <c r="D94" s="24">
        <v>0.03</v>
      </c>
      <c r="E94" s="24">
        <v>0.08</v>
      </c>
      <c r="F94" s="24">
        <v>0.1</v>
      </c>
      <c r="G94" s="24">
        <v>0.11</v>
      </c>
      <c r="H94" s="24">
        <v>0.16</v>
      </c>
      <c r="J94" s="24"/>
      <c r="K94" s="24"/>
      <c r="L94" s="24"/>
      <c r="M94" s="24"/>
      <c r="N94" s="24"/>
    </row>
    <row r="95" spans="1:14" x14ac:dyDescent="0.25">
      <c r="A95" t="s">
        <v>352</v>
      </c>
      <c r="B95" t="s">
        <v>86</v>
      </c>
      <c r="C95" s="2" t="s">
        <v>267</v>
      </c>
      <c r="D95" s="24">
        <v>0.02</v>
      </c>
      <c r="E95" s="24">
        <v>0.06</v>
      </c>
      <c r="F95" s="24">
        <v>0.08</v>
      </c>
      <c r="G95" s="24">
        <v>0.11</v>
      </c>
      <c r="H95" s="24">
        <v>0.18</v>
      </c>
      <c r="J95" s="24"/>
      <c r="K95" s="24"/>
      <c r="L95" s="24"/>
      <c r="M95" s="24"/>
      <c r="N95" s="24"/>
    </row>
    <row r="96" spans="1:14" x14ac:dyDescent="0.25">
      <c r="A96" t="s">
        <v>353</v>
      </c>
      <c r="B96" t="s">
        <v>86</v>
      </c>
      <c r="C96" s="2" t="s">
        <v>268</v>
      </c>
      <c r="D96" s="24">
        <v>0.02</v>
      </c>
      <c r="E96" s="24">
        <v>7.0000000000000007E-2</v>
      </c>
      <c r="F96" s="24">
        <v>0.08</v>
      </c>
      <c r="G96" s="24">
        <v>0.1</v>
      </c>
      <c r="H96" s="24">
        <v>0.13</v>
      </c>
      <c r="J96" s="24"/>
      <c r="K96" s="24"/>
      <c r="L96" s="24"/>
      <c r="M96" s="24"/>
      <c r="N96" s="24"/>
    </row>
    <row r="97" spans="1:14" x14ac:dyDescent="0.25">
      <c r="A97" t="s">
        <v>354</v>
      </c>
      <c r="B97" t="s">
        <v>88</v>
      </c>
      <c r="C97" s="2" t="s">
        <v>212</v>
      </c>
      <c r="D97" s="24">
        <v>0.01</v>
      </c>
      <c r="E97" s="24">
        <v>0.06</v>
      </c>
      <c r="F97" s="24">
        <v>0.08</v>
      </c>
      <c r="G97" s="24">
        <v>0.1</v>
      </c>
      <c r="H97" s="24">
        <v>0.15</v>
      </c>
      <c r="J97" s="24"/>
      <c r="K97" s="24"/>
      <c r="L97" s="24"/>
      <c r="M97" s="24"/>
      <c r="N97" s="24"/>
    </row>
    <row r="98" spans="1:14" x14ac:dyDescent="0.25">
      <c r="A98" t="s">
        <v>355</v>
      </c>
      <c r="B98" t="s">
        <v>88</v>
      </c>
      <c r="C98" s="2" t="s">
        <v>213</v>
      </c>
      <c r="D98" s="24">
        <v>0.01</v>
      </c>
      <c r="E98" s="24">
        <v>0.05</v>
      </c>
      <c r="F98" s="24">
        <v>7.0000000000000007E-2</v>
      </c>
      <c r="G98" s="24">
        <v>0.09</v>
      </c>
      <c r="H98" s="24">
        <v>0.14000000000000001</v>
      </c>
      <c r="J98" s="24"/>
      <c r="K98" s="24"/>
      <c r="L98" s="24"/>
      <c r="M98" s="24"/>
      <c r="N98" s="24"/>
    </row>
    <row r="99" spans="1:14" x14ac:dyDescent="0.25">
      <c r="A99" t="s">
        <v>356</v>
      </c>
      <c r="B99" t="s">
        <v>88</v>
      </c>
      <c r="C99" s="2" t="s">
        <v>214</v>
      </c>
      <c r="D99" s="24">
        <v>0.01</v>
      </c>
      <c r="E99" s="24">
        <v>0.05</v>
      </c>
      <c r="F99" s="24">
        <v>7.0000000000000007E-2</v>
      </c>
      <c r="G99" s="24">
        <v>0.08</v>
      </c>
      <c r="H99" s="24">
        <v>0.12</v>
      </c>
      <c r="J99" s="24"/>
      <c r="K99" s="24"/>
      <c r="L99" s="24"/>
      <c r="M99" s="24"/>
      <c r="N99" s="24"/>
    </row>
    <row r="100" spans="1:14" x14ac:dyDescent="0.25">
      <c r="A100" t="s">
        <v>357</v>
      </c>
      <c r="B100" t="s">
        <v>88</v>
      </c>
      <c r="C100" s="2" t="s">
        <v>267</v>
      </c>
      <c r="D100" s="24">
        <v>0.01</v>
      </c>
      <c r="E100" s="24">
        <v>0.05</v>
      </c>
      <c r="F100" s="24">
        <v>0.06</v>
      </c>
      <c r="G100" s="24">
        <v>0.08</v>
      </c>
      <c r="H100" s="24">
        <v>0.13</v>
      </c>
      <c r="J100" s="24"/>
      <c r="K100" s="24"/>
      <c r="L100" s="24"/>
      <c r="M100" s="24"/>
      <c r="N100" s="24"/>
    </row>
    <row r="101" spans="1:14" x14ac:dyDescent="0.25">
      <c r="A101" t="s">
        <v>358</v>
      </c>
      <c r="B101" t="s">
        <v>88</v>
      </c>
      <c r="C101" s="2" t="s">
        <v>268</v>
      </c>
      <c r="D101" s="24">
        <v>0</v>
      </c>
      <c r="E101" s="24">
        <v>0.03</v>
      </c>
      <c r="F101" s="24">
        <v>0.05</v>
      </c>
      <c r="G101" s="24">
        <v>7.0000000000000007E-2</v>
      </c>
      <c r="H101" s="24">
        <v>0.12</v>
      </c>
      <c r="J101" s="24"/>
      <c r="K101" s="24"/>
      <c r="L101" s="24"/>
      <c r="M101" s="24"/>
      <c r="N101" s="24"/>
    </row>
    <row r="102" spans="1:14" x14ac:dyDescent="0.25">
      <c r="A102" t="s">
        <v>359</v>
      </c>
      <c r="B102" t="s">
        <v>87</v>
      </c>
      <c r="C102" s="2" t="s">
        <v>212</v>
      </c>
      <c r="D102" s="24">
        <v>0</v>
      </c>
      <c r="E102" s="24">
        <v>0.06</v>
      </c>
      <c r="F102" s="24">
        <v>0.09</v>
      </c>
      <c r="G102" s="24">
        <v>0.1</v>
      </c>
      <c r="H102" s="24">
        <v>0.16</v>
      </c>
      <c r="J102" s="24"/>
      <c r="K102" s="24"/>
      <c r="L102" s="24"/>
      <c r="M102" s="24"/>
      <c r="N102" s="24"/>
    </row>
    <row r="103" spans="1:14" x14ac:dyDescent="0.25">
      <c r="A103" t="s">
        <v>360</v>
      </c>
      <c r="B103" t="s">
        <v>87</v>
      </c>
      <c r="C103" s="2" t="s">
        <v>213</v>
      </c>
      <c r="D103" s="24">
        <v>0.01</v>
      </c>
      <c r="E103" s="24">
        <v>0.06</v>
      </c>
      <c r="F103" s="24">
        <v>0.08</v>
      </c>
      <c r="G103" s="24">
        <v>0.1</v>
      </c>
      <c r="H103" s="24">
        <v>0.16</v>
      </c>
      <c r="J103" s="24"/>
      <c r="K103" s="24"/>
      <c r="L103" s="24"/>
      <c r="M103" s="24"/>
      <c r="N103" s="24"/>
    </row>
    <row r="104" spans="1:14" x14ac:dyDescent="0.25">
      <c r="A104" t="s">
        <v>361</v>
      </c>
      <c r="B104" t="s">
        <v>87</v>
      </c>
      <c r="C104" s="2" t="s">
        <v>214</v>
      </c>
      <c r="D104" s="24">
        <v>0.01</v>
      </c>
      <c r="E104" s="24">
        <v>0.05</v>
      </c>
      <c r="F104" s="24">
        <v>0.08</v>
      </c>
      <c r="G104" s="24">
        <v>0.1</v>
      </c>
      <c r="H104" s="24">
        <v>0.14000000000000001</v>
      </c>
      <c r="J104" s="24"/>
      <c r="K104" s="24"/>
      <c r="L104" s="24"/>
      <c r="M104" s="24"/>
      <c r="N104" s="24"/>
    </row>
    <row r="105" spans="1:14" x14ac:dyDescent="0.25">
      <c r="A105" t="s">
        <v>362</v>
      </c>
      <c r="B105" t="s">
        <v>87</v>
      </c>
      <c r="C105" s="2" t="s">
        <v>267</v>
      </c>
      <c r="D105" s="24">
        <v>0.01</v>
      </c>
      <c r="E105" s="24">
        <v>0.05</v>
      </c>
      <c r="F105" s="24">
        <v>7.0000000000000007E-2</v>
      </c>
      <c r="G105" s="24">
        <v>0.1</v>
      </c>
      <c r="H105" s="24">
        <v>0.15</v>
      </c>
      <c r="J105" s="24"/>
      <c r="K105" s="24"/>
      <c r="L105" s="24"/>
      <c r="M105" s="24"/>
      <c r="N105" s="24"/>
    </row>
    <row r="106" spans="1:14" x14ac:dyDescent="0.25">
      <c r="A106" t="s">
        <v>363</v>
      </c>
      <c r="B106" t="s">
        <v>87</v>
      </c>
      <c r="C106" s="2" t="s">
        <v>268</v>
      </c>
      <c r="D106" s="24">
        <v>0.01</v>
      </c>
      <c r="E106" s="24">
        <v>0.03</v>
      </c>
      <c r="F106" s="24">
        <v>7.0000000000000007E-2</v>
      </c>
      <c r="G106" s="24">
        <v>0.09</v>
      </c>
      <c r="H106" s="24">
        <v>0.17</v>
      </c>
      <c r="J106" s="24"/>
      <c r="K106" s="24"/>
      <c r="L106" s="24"/>
      <c r="M106" s="24"/>
      <c r="N106" s="24"/>
    </row>
    <row r="107" spans="1:14" x14ac:dyDescent="0.25">
      <c r="A107" t="s">
        <v>364</v>
      </c>
      <c r="B107" t="s">
        <v>255</v>
      </c>
      <c r="C107" s="2" t="s">
        <v>212</v>
      </c>
      <c r="D107" s="24"/>
      <c r="E107" s="24"/>
      <c r="F107" s="24"/>
      <c r="G107" s="24"/>
      <c r="H107" s="24"/>
    </row>
    <row r="108" spans="1:14" x14ac:dyDescent="0.25">
      <c r="A108" t="s">
        <v>365</v>
      </c>
      <c r="B108" t="s">
        <v>255</v>
      </c>
      <c r="C108" s="2" t="s">
        <v>213</v>
      </c>
      <c r="D108" s="24"/>
      <c r="E108" s="24"/>
      <c r="F108" s="24"/>
      <c r="G108" s="24"/>
      <c r="H108" s="24"/>
    </row>
    <row r="109" spans="1:14" x14ac:dyDescent="0.25">
      <c r="A109" t="s">
        <v>366</v>
      </c>
      <c r="B109" t="s">
        <v>255</v>
      </c>
      <c r="C109" s="2" t="s">
        <v>214</v>
      </c>
      <c r="D109" s="24"/>
      <c r="E109" s="24"/>
      <c r="F109" s="24"/>
      <c r="G109" s="24"/>
      <c r="H109" s="24"/>
    </row>
    <row r="110" spans="1:14" x14ac:dyDescent="0.25">
      <c r="A110" t="s">
        <v>367</v>
      </c>
      <c r="B110" t="s">
        <v>255</v>
      </c>
      <c r="C110" s="2" t="s">
        <v>267</v>
      </c>
      <c r="D110" s="24"/>
      <c r="E110" s="24"/>
      <c r="F110" s="24"/>
      <c r="G110" s="24"/>
      <c r="H110" s="24"/>
    </row>
    <row r="111" spans="1:14" x14ac:dyDescent="0.25">
      <c r="A111" t="s">
        <v>368</v>
      </c>
      <c r="B111" t="s">
        <v>255</v>
      </c>
      <c r="C111" s="2" t="s">
        <v>268</v>
      </c>
      <c r="D111" s="24"/>
      <c r="E111" s="24"/>
      <c r="F111" s="24"/>
      <c r="G111" s="24"/>
      <c r="H111"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1">
    <tabColor theme="5"/>
  </sheetPr>
  <dimension ref="A1:N106"/>
  <sheetViews>
    <sheetView workbookViewId="0">
      <selection activeCell="A12" sqref="A12"/>
    </sheetView>
  </sheetViews>
  <sheetFormatPr defaultRowHeight="15" x14ac:dyDescent="0.25"/>
  <cols>
    <col min="1" max="1" width="42.140625" bestFit="1" customWidth="1"/>
    <col min="2" max="2" width="39.7109375" bestFit="1" customWidth="1"/>
    <col min="3" max="3" width="10.7109375" style="2" bestFit="1" customWidth="1"/>
  </cols>
  <sheetData>
    <row r="1" spans="1:14" x14ac:dyDescent="0.25">
      <c r="A1" t="s">
        <v>244</v>
      </c>
      <c r="B1" t="s">
        <v>254</v>
      </c>
      <c r="C1" s="2" t="s">
        <v>963</v>
      </c>
      <c r="D1" s="2" t="s">
        <v>216</v>
      </c>
      <c r="E1" s="2"/>
      <c r="F1" s="2" t="s">
        <v>215</v>
      </c>
    </row>
    <row r="2" spans="1:14" x14ac:dyDescent="0.25">
      <c r="A2" t="s">
        <v>269</v>
      </c>
      <c r="B2" t="s">
        <v>99</v>
      </c>
      <c r="C2" s="2" t="s">
        <v>212</v>
      </c>
      <c r="D2" s="24">
        <v>0</v>
      </c>
      <c r="E2" s="24">
        <v>0.1</v>
      </c>
      <c r="F2" s="24">
        <v>0.14000000000000001</v>
      </c>
      <c r="G2" s="24"/>
      <c r="H2" s="24"/>
      <c r="I2" s="24"/>
      <c r="J2" s="24"/>
      <c r="L2" s="24"/>
      <c r="M2" s="24"/>
      <c r="N2" s="24"/>
    </row>
    <row r="3" spans="1:14" x14ac:dyDescent="0.25">
      <c r="A3" t="s">
        <v>270</v>
      </c>
      <c r="B3" t="s">
        <v>99</v>
      </c>
      <c r="C3" s="2" t="s">
        <v>213</v>
      </c>
      <c r="D3" s="24">
        <v>0</v>
      </c>
      <c r="E3" s="24">
        <v>0.08</v>
      </c>
      <c r="F3" s="24">
        <v>0.13</v>
      </c>
      <c r="G3" s="24"/>
      <c r="H3" s="24"/>
      <c r="I3" s="24"/>
      <c r="J3" s="24"/>
      <c r="L3" s="24"/>
      <c r="M3" s="24"/>
      <c r="N3" s="24"/>
    </row>
    <row r="4" spans="1:14" x14ac:dyDescent="0.25">
      <c r="A4" t="s">
        <v>271</v>
      </c>
      <c r="B4" t="s">
        <v>99</v>
      </c>
      <c r="C4" s="2" t="s">
        <v>214</v>
      </c>
      <c r="D4" s="24">
        <v>0</v>
      </c>
      <c r="E4" s="24">
        <v>0.08</v>
      </c>
      <c r="F4" s="24">
        <v>0.11</v>
      </c>
      <c r="G4" s="24"/>
      <c r="H4" s="24"/>
      <c r="I4" s="24"/>
      <c r="J4" s="24"/>
      <c r="L4" s="24"/>
      <c r="M4" s="24"/>
      <c r="N4" s="24"/>
    </row>
    <row r="5" spans="1:14" x14ac:dyDescent="0.25">
      <c r="A5" t="s">
        <v>272</v>
      </c>
      <c r="B5" t="s">
        <v>99</v>
      </c>
      <c r="C5" s="2" t="s">
        <v>267</v>
      </c>
      <c r="D5" s="24">
        <v>0</v>
      </c>
      <c r="E5" s="24">
        <v>7.0000000000000007E-2</v>
      </c>
      <c r="F5" s="24">
        <v>0.1</v>
      </c>
      <c r="G5" s="24"/>
      <c r="H5" s="24"/>
      <c r="I5" s="24"/>
      <c r="J5" s="24"/>
      <c r="L5" s="24"/>
      <c r="M5" s="24"/>
      <c r="N5" s="24"/>
    </row>
    <row r="6" spans="1:14" x14ac:dyDescent="0.25">
      <c r="A6" t="s">
        <v>273</v>
      </c>
      <c r="B6" t="s">
        <v>99</v>
      </c>
      <c r="C6" s="2" t="s">
        <v>268</v>
      </c>
      <c r="D6" s="24">
        <v>0</v>
      </c>
      <c r="E6" s="24">
        <v>0.06</v>
      </c>
      <c r="F6" s="24">
        <v>0.09</v>
      </c>
      <c r="G6" s="24"/>
      <c r="H6" s="24"/>
      <c r="I6" s="24"/>
      <c r="J6" s="24"/>
      <c r="L6" s="24"/>
      <c r="M6" s="24"/>
      <c r="N6" s="24"/>
    </row>
    <row r="7" spans="1:14" x14ac:dyDescent="0.25">
      <c r="A7" t="s">
        <v>1449</v>
      </c>
      <c r="B7" t="s">
        <v>103</v>
      </c>
      <c r="C7" s="2" t="s">
        <v>212</v>
      </c>
      <c r="D7" s="24">
        <v>0</v>
      </c>
      <c r="E7" s="24">
        <v>7.0000000000000007E-2</v>
      </c>
      <c r="F7" s="24">
        <v>0.1</v>
      </c>
      <c r="G7" s="24"/>
      <c r="H7" s="24"/>
      <c r="I7" s="24"/>
      <c r="J7" s="24"/>
      <c r="L7" s="24"/>
      <c r="M7" s="24"/>
      <c r="N7" s="24"/>
    </row>
    <row r="8" spans="1:14" x14ac:dyDescent="0.25">
      <c r="A8" t="s">
        <v>1445</v>
      </c>
      <c r="B8" t="s">
        <v>103</v>
      </c>
      <c r="C8" s="2" t="s">
        <v>213</v>
      </c>
      <c r="D8" s="24">
        <v>0</v>
      </c>
      <c r="E8" s="24">
        <v>7.0000000000000007E-2</v>
      </c>
      <c r="F8" s="24">
        <v>0.09</v>
      </c>
      <c r="G8" s="24"/>
      <c r="H8" s="24"/>
      <c r="I8" s="24"/>
      <c r="J8" s="24"/>
      <c r="L8" s="24"/>
      <c r="M8" s="24"/>
      <c r="N8" s="24"/>
    </row>
    <row r="9" spans="1:14" x14ac:dyDescent="0.25">
      <c r="A9" t="s">
        <v>1446</v>
      </c>
      <c r="B9" t="s">
        <v>103</v>
      </c>
      <c r="C9" s="2" t="s">
        <v>214</v>
      </c>
      <c r="D9" s="24">
        <v>0</v>
      </c>
      <c r="E9" s="24">
        <v>0.06</v>
      </c>
      <c r="F9" s="24">
        <v>0.08</v>
      </c>
      <c r="G9" s="24"/>
      <c r="H9" s="24"/>
      <c r="I9" s="24"/>
      <c r="J9" s="24"/>
      <c r="L9" s="24"/>
      <c r="M9" s="24"/>
      <c r="N9" s="24"/>
    </row>
    <row r="10" spans="1:14" x14ac:dyDescent="0.25">
      <c r="A10" t="s">
        <v>1447</v>
      </c>
      <c r="B10" t="s">
        <v>103</v>
      </c>
      <c r="C10" s="2" t="s">
        <v>267</v>
      </c>
      <c r="D10" s="24">
        <v>0</v>
      </c>
      <c r="E10" s="24">
        <v>0.05</v>
      </c>
      <c r="F10" s="24">
        <v>7.0000000000000007E-2</v>
      </c>
      <c r="G10" s="24"/>
      <c r="H10" s="24"/>
      <c r="I10" s="24"/>
      <c r="J10" s="24"/>
      <c r="L10" s="24"/>
      <c r="M10" s="24"/>
      <c r="N10" s="24"/>
    </row>
    <row r="11" spans="1:14" x14ac:dyDescent="0.25">
      <c r="A11" t="s">
        <v>1448</v>
      </c>
      <c r="B11" t="s">
        <v>103</v>
      </c>
      <c r="C11" s="2" t="s">
        <v>268</v>
      </c>
      <c r="D11" s="24">
        <v>0</v>
      </c>
      <c r="E11" s="24">
        <v>0.04</v>
      </c>
      <c r="F11" s="24">
        <v>0.06</v>
      </c>
      <c r="G11" s="24"/>
      <c r="H11" s="24"/>
      <c r="I11" s="24"/>
      <c r="J11" s="24"/>
      <c r="L11" s="24"/>
      <c r="M11" s="24"/>
      <c r="N11" s="24"/>
    </row>
    <row r="12" spans="1:14" x14ac:dyDescent="0.25">
      <c r="A12" t="s">
        <v>1454</v>
      </c>
      <c r="B12" t="s">
        <v>1399</v>
      </c>
      <c r="C12" s="2" t="s">
        <v>212</v>
      </c>
      <c r="D12" s="24">
        <v>0</v>
      </c>
      <c r="E12" s="24">
        <v>7.0000000000000007E-2</v>
      </c>
      <c r="F12" s="24">
        <v>0.09</v>
      </c>
      <c r="G12" s="24"/>
      <c r="H12" s="24"/>
      <c r="I12" s="24"/>
      <c r="J12" s="24"/>
      <c r="L12" s="24"/>
      <c r="M12" s="24"/>
      <c r="N12" s="24"/>
    </row>
    <row r="13" spans="1:14" x14ac:dyDescent="0.25">
      <c r="A13" t="s">
        <v>1450</v>
      </c>
      <c r="B13" t="s">
        <v>1399</v>
      </c>
      <c r="C13" s="2" t="s">
        <v>213</v>
      </c>
      <c r="D13" s="24">
        <v>0</v>
      </c>
      <c r="E13" s="24">
        <v>7.0000000000000007E-2</v>
      </c>
      <c r="F13" s="24">
        <v>0.08</v>
      </c>
      <c r="G13" s="24"/>
      <c r="H13" s="24"/>
      <c r="I13" s="24"/>
      <c r="J13" s="24"/>
      <c r="L13" s="24"/>
      <c r="M13" s="24"/>
      <c r="N13" s="24"/>
    </row>
    <row r="14" spans="1:14" x14ac:dyDescent="0.25">
      <c r="A14" t="s">
        <v>1451</v>
      </c>
      <c r="B14" t="s">
        <v>1399</v>
      </c>
      <c r="C14" s="2" t="s">
        <v>214</v>
      </c>
      <c r="D14" s="24">
        <v>0</v>
      </c>
      <c r="E14" s="24">
        <v>0.06</v>
      </c>
      <c r="F14" s="24">
        <v>7.0000000000000007E-2</v>
      </c>
      <c r="G14" s="24"/>
      <c r="H14" s="24"/>
      <c r="I14" s="24"/>
      <c r="J14" s="24"/>
      <c r="L14" s="24"/>
      <c r="M14" s="24"/>
      <c r="N14" s="24"/>
    </row>
    <row r="15" spans="1:14" x14ac:dyDescent="0.25">
      <c r="A15" t="s">
        <v>1452</v>
      </c>
      <c r="B15" t="s">
        <v>1399</v>
      </c>
      <c r="C15" s="2" t="s">
        <v>267</v>
      </c>
      <c r="D15" s="24">
        <v>0</v>
      </c>
      <c r="E15" s="24">
        <v>0.05</v>
      </c>
      <c r="F15" s="24">
        <v>0.06</v>
      </c>
      <c r="G15" s="24"/>
      <c r="H15" s="24"/>
      <c r="I15" s="24"/>
      <c r="J15" s="24"/>
      <c r="L15" s="24"/>
      <c r="M15" s="24"/>
      <c r="N15" s="24"/>
    </row>
    <row r="16" spans="1:14" x14ac:dyDescent="0.25">
      <c r="A16" t="s">
        <v>1453</v>
      </c>
      <c r="B16" t="s">
        <v>1399</v>
      </c>
      <c r="C16" s="2" t="s">
        <v>268</v>
      </c>
      <c r="D16" s="24">
        <v>0</v>
      </c>
      <c r="E16" s="24">
        <v>0.05</v>
      </c>
      <c r="F16" s="24">
        <v>0.05</v>
      </c>
      <c r="G16" s="24"/>
      <c r="H16" s="24"/>
      <c r="I16" s="24"/>
      <c r="J16" s="24"/>
      <c r="L16" s="24"/>
      <c r="M16" s="24"/>
      <c r="N16" s="24"/>
    </row>
    <row r="17" spans="1:14" x14ac:dyDescent="0.25">
      <c r="A17" t="s">
        <v>274</v>
      </c>
      <c r="B17" t="s">
        <v>102</v>
      </c>
      <c r="C17" s="2" t="s">
        <v>212</v>
      </c>
      <c r="D17" s="24">
        <v>0</v>
      </c>
      <c r="E17" s="24">
        <v>0.13</v>
      </c>
      <c r="F17" s="24">
        <v>0.18</v>
      </c>
      <c r="G17" s="24"/>
      <c r="H17" s="24"/>
      <c r="I17" s="24"/>
      <c r="J17" s="24"/>
      <c r="L17" s="24"/>
      <c r="M17" s="24"/>
      <c r="N17" s="24"/>
    </row>
    <row r="18" spans="1:14" x14ac:dyDescent="0.25">
      <c r="A18" t="s">
        <v>275</v>
      </c>
      <c r="B18" t="s">
        <v>102</v>
      </c>
      <c r="C18" s="2" t="s">
        <v>213</v>
      </c>
      <c r="D18" s="24">
        <v>0</v>
      </c>
      <c r="E18" s="24">
        <v>0.12</v>
      </c>
      <c r="F18" s="24">
        <v>0.17</v>
      </c>
      <c r="G18" s="24"/>
      <c r="H18" s="24"/>
      <c r="I18" s="24"/>
      <c r="J18" s="24"/>
      <c r="L18" s="24"/>
      <c r="M18" s="24"/>
      <c r="N18" s="24"/>
    </row>
    <row r="19" spans="1:14" x14ac:dyDescent="0.25">
      <c r="A19" t="s">
        <v>276</v>
      </c>
      <c r="B19" t="s">
        <v>102</v>
      </c>
      <c r="C19" s="2" t="s">
        <v>214</v>
      </c>
      <c r="D19" s="24">
        <v>0</v>
      </c>
      <c r="E19" s="24">
        <v>0.09</v>
      </c>
      <c r="F19" s="24">
        <v>0.13</v>
      </c>
      <c r="G19" s="24"/>
      <c r="H19" s="24"/>
      <c r="I19" s="24"/>
      <c r="J19" s="24"/>
      <c r="L19" s="24"/>
      <c r="M19" s="24"/>
      <c r="N19" s="24"/>
    </row>
    <row r="20" spans="1:14" x14ac:dyDescent="0.25">
      <c r="A20" t="s">
        <v>277</v>
      </c>
      <c r="B20" t="s">
        <v>102</v>
      </c>
      <c r="C20" s="2" t="s">
        <v>267</v>
      </c>
      <c r="D20" s="24">
        <v>0</v>
      </c>
      <c r="E20" s="24">
        <v>7.0000000000000007E-2</v>
      </c>
      <c r="F20" s="24">
        <v>0.11</v>
      </c>
      <c r="G20" s="24"/>
      <c r="H20" s="24"/>
      <c r="I20" s="24"/>
      <c r="J20" s="24"/>
      <c r="L20" s="24"/>
      <c r="M20" s="24"/>
      <c r="N20" s="24"/>
    </row>
    <row r="21" spans="1:14" x14ac:dyDescent="0.25">
      <c r="A21" t="s">
        <v>278</v>
      </c>
      <c r="B21" t="s">
        <v>102</v>
      </c>
      <c r="C21" s="2" t="s">
        <v>268</v>
      </c>
      <c r="D21" s="24">
        <v>0</v>
      </c>
      <c r="E21" s="24">
        <v>0.06</v>
      </c>
      <c r="F21" s="24">
        <v>0.09</v>
      </c>
      <c r="G21" s="24"/>
      <c r="H21" s="24"/>
      <c r="I21" s="24"/>
      <c r="J21" s="24"/>
      <c r="L21" s="24"/>
      <c r="M21" s="24"/>
      <c r="N21" s="24"/>
    </row>
    <row r="22" spans="1:14" x14ac:dyDescent="0.25">
      <c r="A22" t="s">
        <v>279</v>
      </c>
      <c r="B22" t="s">
        <v>100</v>
      </c>
      <c r="C22" s="2" t="s">
        <v>212</v>
      </c>
      <c r="D22" s="24">
        <v>0</v>
      </c>
      <c r="E22" s="24">
        <v>0.13</v>
      </c>
      <c r="F22" s="24">
        <v>0.18</v>
      </c>
      <c r="G22" s="24"/>
      <c r="H22" s="24"/>
      <c r="I22" s="24"/>
      <c r="J22" s="24"/>
      <c r="L22" s="24"/>
      <c r="M22" s="24"/>
      <c r="N22" s="24"/>
    </row>
    <row r="23" spans="1:14" x14ac:dyDescent="0.25">
      <c r="A23" t="s">
        <v>280</v>
      </c>
      <c r="B23" t="s">
        <v>100</v>
      </c>
      <c r="C23" s="2" t="s">
        <v>213</v>
      </c>
      <c r="D23" s="24">
        <v>0</v>
      </c>
      <c r="E23" s="24">
        <v>0.12</v>
      </c>
      <c r="F23" s="24">
        <v>0.17</v>
      </c>
      <c r="G23" s="24"/>
      <c r="H23" s="24"/>
      <c r="I23" s="24"/>
      <c r="J23" s="24"/>
      <c r="L23" s="24"/>
      <c r="M23" s="24"/>
      <c r="N23" s="24"/>
    </row>
    <row r="24" spans="1:14" x14ac:dyDescent="0.25">
      <c r="A24" t="s">
        <v>281</v>
      </c>
      <c r="B24" t="s">
        <v>100</v>
      </c>
      <c r="C24" s="2" t="s">
        <v>214</v>
      </c>
      <c r="D24" s="24">
        <v>0</v>
      </c>
      <c r="E24" s="24">
        <v>0.1</v>
      </c>
      <c r="F24" s="24">
        <v>0.16</v>
      </c>
      <c r="G24" s="24"/>
      <c r="H24" s="24"/>
      <c r="I24" s="24"/>
      <c r="J24" s="24"/>
      <c r="L24" s="24"/>
      <c r="M24" s="24"/>
      <c r="N24" s="24"/>
    </row>
    <row r="25" spans="1:14" x14ac:dyDescent="0.25">
      <c r="A25" t="s">
        <v>282</v>
      </c>
      <c r="B25" t="s">
        <v>100</v>
      </c>
      <c r="C25" s="2" t="s">
        <v>267</v>
      </c>
      <c r="D25" s="24">
        <v>0</v>
      </c>
      <c r="E25" s="24">
        <v>7.0000000000000007E-2</v>
      </c>
      <c r="F25" s="24">
        <v>0.11</v>
      </c>
      <c r="G25" s="24"/>
      <c r="H25" s="24"/>
      <c r="I25" s="24"/>
      <c r="J25" s="24"/>
      <c r="L25" s="24"/>
      <c r="M25" s="24"/>
      <c r="N25" s="24"/>
    </row>
    <row r="26" spans="1:14" x14ac:dyDescent="0.25">
      <c r="A26" t="s">
        <v>283</v>
      </c>
      <c r="B26" t="s">
        <v>100</v>
      </c>
      <c r="C26" s="2" t="s">
        <v>268</v>
      </c>
      <c r="D26" s="24">
        <v>0</v>
      </c>
      <c r="E26" s="24">
        <v>0.06</v>
      </c>
      <c r="F26" s="24">
        <v>0.08</v>
      </c>
      <c r="G26" s="24"/>
      <c r="H26" s="24"/>
      <c r="I26" s="24"/>
      <c r="J26" s="24"/>
      <c r="L26" s="24"/>
      <c r="M26" s="24"/>
      <c r="N26" s="24"/>
    </row>
    <row r="27" spans="1:14" x14ac:dyDescent="0.25">
      <c r="A27" t="s">
        <v>284</v>
      </c>
      <c r="B27" t="s">
        <v>104</v>
      </c>
      <c r="C27" s="2" t="s">
        <v>212</v>
      </c>
      <c r="D27" s="24">
        <v>0</v>
      </c>
      <c r="E27" s="24">
        <v>0.15</v>
      </c>
      <c r="F27" s="24">
        <v>0.18</v>
      </c>
      <c r="G27" s="24"/>
      <c r="H27" s="24"/>
      <c r="I27" s="24"/>
      <c r="J27" s="24"/>
      <c r="L27" s="24"/>
      <c r="M27" s="24"/>
      <c r="N27" s="24"/>
    </row>
    <row r="28" spans="1:14" x14ac:dyDescent="0.25">
      <c r="A28" t="s">
        <v>285</v>
      </c>
      <c r="B28" t="s">
        <v>104</v>
      </c>
      <c r="C28" s="2" t="s">
        <v>213</v>
      </c>
      <c r="D28" s="24">
        <v>0</v>
      </c>
      <c r="E28" s="24">
        <v>0.13</v>
      </c>
      <c r="F28" s="24">
        <v>0.18</v>
      </c>
      <c r="G28" s="24"/>
      <c r="H28" s="24"/>
      <c r="I28" s="24"/>
      <c r="J28" s="24"/>
      <c r="L28" s="24"/>
      <c r="M28" s="24"/>
      <c r="N28" s="24"/>
    </row>
    <row r="29" spans="1:14" x14ac:dyDescent="0.25">
      <c r="A29" t="s">
        <v>286</v>
      </c>
      <c r="B29" t="s">
        <v>104</v>
      </c>
      <c r="C29" s="2" t="s">
        <v>214</v>
      </c>
      <c r="D29" s="24">
        <v>0</v>
      </c>
      <c r="E29" s="24">
        <v>0.12</v>
      </c>
      <c r="F29" s="24">
        <v>0.16</v>
      </c>
      <c r="G29" s="24"/>
      <c r="H29" s="24"/>
      <c r="I29" s="24"/>
      <c r="J29" s="24"/>
      <c r="L29" s="24"/>
      <c r="M29" s="24"/>
      <c r="N29" s="24"/>
    </row>
    <row r="30" spans="1:14" x14ac:dyDescent="0.25">
      <c r="A30" t="s">
        <v>287</v>
      </c>
      <c r="B30" t="s">
        <v>104</v>
      </c>
      <c r="C30" s="2" t="s">
        <v>267</v>
      </c>
      <c r="D30" s="24">
        <v>0</v>
      </c>
      <c r="E30" s="24">
        <v>0.12</v>
      </c>
      <c r="F30" s="24">
        <v>0.15</v>
      </c>
      <c r="G30" s="24"/>
      <c r="H30" s="24"/>
      <c r="I30" s="24"/>
      <c r="J30" s="24"/>
      <c r="L30" s="24"/>
      <c r="M30" s="24"/>
      <c r="N30" s="24"/>
    </row>
    <row r="31" spans="1:14" x14ac:dyDescent="0.25">
      <c r="A31" t="s">
        <v>288</v>
      </c>
      <c r="B31" t="s">
        <v>104</v>
      </c>
      <c r="C31" s="2" t="s">
        <v>268</v>
      </c>
      <c r="D31" s="24">
        <v>0</v>
      </c>
      <c r="E31" s="24">
        <v>0.11</v>
      </c>
      <c r="F31" s="24">
        <v>0.12</v>
      </c>
      <c r="G31" s="24"/>
      <c r="H31" s="24"/>
      <c r="I31" s="24"/>
      <c r="J31" s="24"/>
      <c r="L31" s="24"/>
      <c r="M31" s="24"/>
      <c r="N31" s="24"/>
    </row>
    <row r="32" spans="1:14" x14ac:dyDescent="0.25">
      <c r="A32" t="s">
        <v>289</v>
      </c>
      <c r="B32" t="s">
        <v>98</v>
      </c>
      <c r="C32" s="2" t="s">
        <v>212</v>
      </c>
      <c r="D32" s="24">
        <v>0</v>
      </c>
      <c r="E32" s="24">
        <v>0.11</v>
      </c>
      <c r="F32" s="24">
        <v>0.17</v>
      </c>
      <c r="G32" s="24"/>
      <c r="H32" s="24"/>
      <c r="I32" s="24"/>
      <c r="J32" s="24"/>
      <c r="L32" s="24"/>
      <c r="M32" s="24"/>
      <c r="N32" s="24"/>
    </row>
    <row r="33" spans="1:14" x14ac:dyDescent="0.25">
      <c r="A33" t="s">
        <v>290</v>
      </c>
      <c r="B33" t="s">
        <v>98</v>
      </c>
      <c r="C33" s="2" t="s">
        <v>213</v>
      </c>
      <c r="D33" s="24">
        <v>0</v>
      </c>
      <c r="E33" s="24">
        <v>0.09</v>
      </c>
      <c r="F33" s="24">
        <v>0.14000000000000001</v>
      </c>
      <c r="G33" s="24"/>
      <c r="H33" s="24"/>
      <c r="I33" s="24"/>
      <c r="J33" s="24"/>
      <c r="L33" s="24"/>
      <c r="M33" s="24"/>
      <c r="N33" s="24"/>
    </row>
    <row r="34" spans="1:14" x14ac:dyDescent="0.25">
      <c r="A34" t="s">
        <v>291</v>
      </c>
      <c r="B34" t="s">
        <v>98</v>
      </c>
      <c r="C34" s="2" t="s">
        <v>214</v>
      </c>
      <c r="D34" s="24">
        <v>0</v>
      </c>
      <c r="E34" s="24">
        <v>0.09</v>
      </c>
      <c r="F34" s="24">
        <v>0.13</v>
      </c>
      <c r="G34" s="24"/>
      <c r="H34" s="24"/>
      <c r="I34" s="24"/>
      <c r="J34" s="24"/>
      <c r="L34" s="24"/>
      <c r="M34" s="24"/>
      <c r="N34" s="24"/>
    </row>
    <row r="35" spans="1:14" x14ac:dyDescent="0.25">
      <c r="A35" t="s">
        <v>292</v>
      </c>
      <c r="B35" t="s">
        <v>98</v>
      </c>
      <c r="C35" s="2" t="s">
        <v>267</v>
      </c>
      <c r="D35" s="24">
        <v>0</v>
      </c>
      <c r="E35" s="24">
        <v>0.08</v>
      </c>
      <c r="F35" s="24">
        <v>0.12</v>
      </c>
      <c r="G35" s="24"/>
      <c r="H35" s="24"/>
      <c r="I35" s="24"/>
      <c r="J35" s="24"/>
      <c r="L35" s="24"/>
      <c r="M35" s="24"/>
      <c r="N35" s="24"/>
    </row>
    <row r="36" spans="1:14" x14ac:dyDescent="0.25">
      <c r="A36" t="s">
        <v>293</v>
      </c>
      <c r="B36" t="s">
        <v>98</v>
      </c>
      <c r="C36" s="2" t="s">
        <v>268</v>
      </c>
      <c r="D36" s="24">
        <v>0</v>
      </c>
      <c r="E36" s="24">
        <v>0.08</v>
      </c>
      <c r="F36" s="24">
        <v>0.11</v>
      </c>
      <c r="G36" s="24"/>
      <c r="H36" s="24"/>
      <c r="I36" s="24"/>
      <c r="J36" s="24"/>
      <c r="L36" s="24"/>
      <c r="M36" s="24"/>
      <c r="N36" s="24"/>
    </row>
    <row r="37" spans="1:14" x14ac:dyDescent="0.25">
      <c r="A37" t="s">
        <v>294</v>
      </c>
      <c r="B37" t="s">
        <v>95</v>
      </c>
      <c r="C37" s="2" t="s">
        <v>212</v>
      </c>
      <c r="D37" s="24">
        <v>0</v>
      </c>
      <c r="E37" s="24">
        <v>7.0000000000000007E-2</v>
      </c>
      <c r="F37" s="24">
        <v>0.12</v>
      </c>
      <c r="G37" s="24"/>
      <c r="H37" s="24"/>
      <c r="I37" s="24"/>
      <c r="J37" s="24"/>
      <c r="L37" s="24"/>
      <c r="M37" s="24"/>
      <c r="N37" s="24"/>
    </row>
    <row r="38" spans="1:14" x14ac:dyDescent="0.25">
      <c r="A38" t="s">
        <v>295</v>
      </c>
      <c r="B38" t="s">
        <v>95</v>
      </c>
      <c r="C38" s="2" t="s">
        <v>213</v>
      </c>
      <c r="D38" s="24">
        <v>0</v>
      </c>
      <c r="E38" s="24">
        <v>0.06</v>
      </c>
      <c r="F38" s="24">
        <v>0.12</v>
      </c>
      <c r="G38" s="24"/>
      <c r="H38" s="24"/>
      <c r="I38" s="24"/>
      <c r="J38" s="24"/>
      <c r="L38" s="24"/>
      <c r="M38" s="24"/>
      <c r="N38" s="24"/>
    </row>
    <row r="39" spans="1:14" x14ac:dyDescent="0.25">
      <c r="A39" t="s">
        <v>296</v>
      </c>
      <c r="B39" t="s">
        <v>95</v>
      </c>
      <c r="C39" s="2" t="s">
        <v>214</v>
      </c>
      <c r="D39" s="24">
        <v>0</v>
      </c>
      <c r="E39" s="24">
        <v>0.06</v>
      </c>
      <c r="F39" s="24">
        <v>0.11</v>
      </c>
      <c r="G39" s="24"/>
      <c r="H39" s="24"/>
      <c r="I39" s="24"/>
      <c r="J39" s="24"/>
      <c r="L39" s="24"/>
      <c r="M39" s="24"/>
      <c r="N39" s="24"/>
    </row>
    <row r="40" spans="1:14" x14ac:dyDescent="0.25">
      <c r="A40" t="s">
        <v>297</v>
      </c>
      <c r="B40" t="s">
        <v>95</v>
      </c>
      <c r="C40" s="2" t="s">
        <v>267</v>
      </c>
      <c r="D40" s="24">
        <v>0</v>
      </c>
      <c r="E40" s="24">
        <v>0.06</v>
      </c>
      <c r="F40" s="24">
        <v>0.11</v>
      </c>
      <c r="G40" s="24"/>
      <c r="H40" s="24"/>
      <c r="I40" s="24"/>
      <c r="J40" s="24"/>
      <c r="L40" s="24"/>
      <c r="M40" s="24"/>
      <c r="N40" s="24"/>
    </row>
    <row r="41" spans="1:14" x14ac:dyDescent="0.25">
      <c r="A41" t="s">
        <v>298</v>
      </c>
      <c r="B41" t="s">
        <v>95</v>
      </c>
      <c r="C41" s="2" t="s">
        <v>268</v>
      </c>
      <c r="D41" s="24">
        <v>0</v>
      </c>
      <c r="E41" s="24">
        <v>0.06</v>
      </c>
      <c r="F41" s="24">
        <v>0.1</v>
      </c>
      <c r="G41" s="24"/>
      <c r="H41" s="24"/>
      <c r="I41" s="24"/>
      <c r="J41" s="24"/>
      <c r="L41" s="24"/>
      <c r="M41" s="24"/>
      <c r="N41" s="24"/>
    </row>
    <row r="42" spans="1:14" x14ac:dyDescent="0.25">
      <c r="A42" t="s">
        <v>299</v>
      </c>
      <c r="B42" t="s">
        <v>96</v>
      </c>
      <c r="C42" s="2" t="s">
        <v>212</v>
      </c>
      <c r="D42" s="24">
        <v>0</v>
      </c>
      <c r="E42" s="24">
        <v>0.13</v>
      </c>
      <c r="F42" s="24">
        <v>0.18</v>
      </c>
      <c r="G42" s="24"/>
      <c r="H42" s="24"/>
      <c r="I42" s="24"/>
      <c r="J42" s="24"/>
      <c r="L42" s="24"/>
      <c r="M42" s="24"/>
      <c r="N42" s="24"/>
    </row>
    <row r="43" spans="1:14" x14ac:dyDescent="0.25">
      <c r="A43" t="s">
        <v>300</v>
      </c>
      <c r="B43" t="s">
        <v>96</v>
      </c>
      <c r="C43" s="2" t="s">
        <v>213</v>
      </c>
      <c r="D43" s="24">
        <v>0</v>
      </c>
      <c r="E43" s="24">
        <v>0.12</v>
      </c>
      <c r="F43" s="24">
        <v>0.17</v>
      </c>
      <c r="G43" s="24"/>
      <c r="H43" s="24"/>
      <c r="I43" s="24"/>
      <c r="J43" s="24"/>
      <c r="L43" s="24"/>
      <c r="M43" s="24"/>
      <c r="N43" s="24"/>
    </row>
    <row r="44" spans="1:14" x14ac:dyDescent="0.25">
      <c r="A44" t="s">
        <v>301</v>
      </c>
      <c r="B44" t="s">
        <v>96</v>
      </c>
      <c r="C44" s="2" t="s">
        <v>214</v>
      </c>
      <c r="D44" s="24">
        <v>0</v>
      </c>
      <c r="E44" s="24">
        <v>0.12</v>
      </c>
      <c r="F44" s="24">
        <v>0.16</v>
      </c>
      <c r="G44" s="24"/>
      <c r="H44" s="24"/>
      <c r="I44" s="24"/>
      <c r="J44" s="24"/>
      <c r="L44" s="24"/>
      <c r="M44" s="24"/>
      <c r="N44" s="24"/>
    </row>
    <row r="45" spans="1:14" x14ac:dyDescent="0.25">
      <c r="A45" t="s">
        <v>302</v>
      </c>
      <c r="B45" t="s">
        <v>96</v>
      </c>
      <c r="C45" s="2" t="s">
        <v>267</v>
      </c>
      <c r="D45" s="24">
        <v>0</v>
      </c>
      <c r="E45" s="24">
        <v>0.11</v>
      </c>
      <c r="F45" s="24">
        <v>0.14000000000000001</v>
      </c>
      <c r="G45" s="24"/>
      <c r="H45" s="24"/>
      <c r="I45" s="24"/>
      <c r="J45" s="24"/>
      <c r="L45" s="24"/>
      <c r="M45" s="24"/>
      <c r="N45" s="24"/>
    </row>
    <row r="46" spans="1:14" x14ac:dyDescent="0.25">
      <c r="A46" t="s">
        <v>303</v>
      </c>
      <c r="B46" t="s">
        <v>96</v>
      </c>
      <c r="C46" s="2" t="s">
        <v>268</v>
      </c>
      <c r="D46" s="24">
        <v>0</v>
      </c>
      <c r="E46" s="24">
        <v>0.09</v>
      </c>
      <c r="F46" s="24">
        <v>0.13</v>
      </c>
      <c r="G46" s="24"/>
      <c r="H46" s="24"/>
      <c r="I46" s="24"/>
      <c r="J46" s="24"/>
      <c r="L46" s="24"/>
      <c r="M46" s="24"/>
      <c r="N46" s="24"/>
    </row>
    <row r="47" spans="1:14" x14ac:dyDescent="0.25">
      <c r="A47" t="s">
        <v>304</v>
      </c>
      <c r="B47" t="s">
        <v>101</v>
      </c>
      <c r="C47" s="2" t="s">
        <v>212</v>
      </c>
      <c r="D47" s="24">
        <v>0</v>
      </c>
      <c r="E47" s="24">
        <v>0.12</v>
      </c>
      <c r="F47" s="24">
        <v>0.18</v>
      </c>
      <c r="G47" s="24"/>
      <c r="H47" s="24"/>
      <c r="I47" s="24"/>
      <c r="J47" s="24"/>
      <c r="L47" s="24"/>
      <c r="M47" s="24"/>
      <c r="N47" s="24"/>
    </row>
    <row r="48" spans="1:14" x14ac:dyDescent="0.25">
      <c r="A48" t="s">
        <v>305</v>
      </c>
      <c r="B48" t="s">
        <v>101</v>
      </c>
      <c r="C48" s="2" t="s">
        <v>213</v>
      </c>
      <c r="D48" s="24">
        <v>0</v>
      </c>
      <c r="E48" s="24">
        <v>0.12</v>
      </c>
      <c r="F48" s="24">
        <v>0.17</v>
      </c>
      <c r="G48" s="24"/>
      <c r="H48" s="24"/>
      <c r="I48" s="24"/>
      <c r="J48" s="24"/>
      <c r="L48" s="24"/>
      <c r="M48" s="24"/>
      <c r="N48" s="24"/>
    </row>
    <row r="49" spans="1:14" x14ac:dyDescent="0.25">
      <c r="A49" t="s">
        <v>306</v>
      </c>
      <c r="B49" t="s">
        <v>101</v>
      </c>
      <c r="C49" s="2" t="s">
        <v>214</v>
      </c>
      <c r="D49" s="24">
        <v>0</v>
      </c>
      <c r="E49" s="24">
        <v>0.1</v>
      </c>
      <c r="F49" s="24">
        <v>0.15</v>
      </c>
      <c r="G49" s="24"/>
      <c r="H49" s="24"/>
      <c r="I49" s="24"/>
      <c r="J49" s="24"/>
      <c r="L49" s="24"/>
      <c r="M49" s="24"/>
      <c r="N49" s="24"/>
    </row>
    <row r="50" spans="1:14" x14ac:dyDescent="0.25">
      <c r="A50" t="s">
        <v>307</v>
      </c>
      <c r="B50" t="s">
        <v>101</v>
      </c>
      <c r="C50" s="2" t="s">
        <v>267</v>
      </c>
      <c r="D50" s="24">
        <v>0</v>
      </c>
      <c r="E50" s="24">
        <v>0.08</v>
      </c>
      <c r="F50" s="24">
        <v>0.12</v>
      </c>
      <c r="G50" s="24"/>
      <c r="H50" s="24"/>
      <c r="I50" s="24"/>
      <c r="J50" s="24"/>
      <c r="L50" s="24"/>
      <c r="M50" s="24"/>
      <c r="N50" s="24"/>
    </row>
    <row r="51" spans="1:14" x14ac:dyDescent="0.25">
      <c r="A51" t="s">
        <v>308</v>
      </c>
      <c r="B51" t="s">
        <v>101</v>
      </c>
      <c r="C51" s="2" t="s">
        <v>268</v>
      </c>
      <c r="D51" s="24">
        <v>0</v>
      </c>
      <c r="E51" s="24">
        <v>0.06</v>
      </c>
      <c r="F51" s="24">
        <v>0.09</v>
      </c>
      <c r="G51" s="24"/>
      <c r="H51" s="24"/>
      <c r="I51" s="24"/>
      <c r="J51" s="24"/>
      <c r="L51" s="24"/>
      <c r="M51" s="24"/>
      <c r="N51" s="24"/>
    </row>
    <row r="52" spans="1:14" x14ac:dyDescent="0.25">
      <c r="A52" t="s">
        <v>309</v>
      </c>
      <c r="B52" t="s">
        <v>97</v>
      </c>
      <c r="C52" s="2" t="s">
        <v>212</v>
      </c>
      <c r="D52" s="24">
        <v>0</v>
      </c>
      <c r="E52" s="24">
        <v>0.13</v>
      </c>
      <c r="F52" s="24">
        <v>0.17</v>
      </c>
      <c r="G52" s="24"/>
      <c r="H52" s="24"/>
      <c r="I52" s="24"/>
      <c r="J52" s="24"/>
      <c r="L52" s="24"/>
      <c r="M52" s="24"/>
      <c r="N52" s="24"/>
    </row>
    <row r="53" spans="1:14" x14ac:dyDescent="0.25">
      <c r="A53" t="s">
        <v>310</v>
      </c>
      <c r="B53" t="s">
        <v>97</v>
      </c>
      <c r="C53" s="2" t="s">
        <v>213</v>
      </c>
      <c r="D53" s="24">
        <v>0</v>
      </c>
      <c r="E53" s="24">
        <v>0.13</v>
      </c>
      <c r="F53" s="24">
        <v>0.17</v>
      </c>
      <c r="G53" s="24"/>
      <c r="H53" s="24"/>
      <c r="I53" s="24"/>
      <c r="J53" s="24"/>
      <c r="L53" s="24"/>
      <c r="M53" s="24"/>
      <c r="N53" s="24"/>
    </row>
    <row r="54" spans="1:14" x14ac:dyDescent="0.25">
      <c r="A54" t="s">
        <v>311</v>
      </c>
      <c r="B54" t="s">
        <v>97</v>
      </c>
      <c r="C54" s="2" t="s">
        <v>214</v>
      </c>
      <c r="D54" s="24">
        <v>0</v>
      </c>
      <c r="E54" s="24">
        <v>0.12</v>
      </c>
      <c r="F54" s="24">
        <v>0.16</v>
      </c>
      <c r="G54" s="24"/>
      <c r="H54" s="24"/>
      <c r="I54" s="24"/>
      <c r="J54" s="24"/>
      <c r="L54" s="24"/>
      <c r="M54" s="24"/>
      <c r="N54" s="24"/>
    </row>
    <row r="55" spans="1:14" x14ac:dyDescent="0.25">
      <c r="A55" t="s">
        <v>312</v>
      </c>
      <c r="B55" t="s">
        <v>97</v>
      </c>
      <c r="C55" s="2" t="s">
        <v>267</v>
      </c>
      <c r="D55" s="24">
        <v>0</v>
      </c>
      <c r="E55" s="24">
        <v>0.11</v>
      </c>
      <c r="F55" s="24">
        <v>0.15</v>
      </c>
      <c r="G55" s="24"/>
      <c r="H55" s="24"/>
      <c r="I55" s="24"/>
      <c r="J55" s="24"/>
      <c r="L55" s="24"/>
      <c r="M55" s="24"/>
      <c r="N55" s="24"/>
    </row>
    <row r="56" spans="1:14" x14ac:dyDescent="0.25">
      <c r="A56" t="s">
        <v>313</v>
      </c>
      <c r="B56" t="s">
        <v>97</v>
      </c>
      <c r="C56" s="2" t="s">
        <v>268</v>
      </c>
      <c r="D56" s="24">
        <v>0</v>
      </c>
      <c r="E56" s="24">
        <v>0.1</v>
      </c>
      <c r="F56" s="24">
        <v>0.13</v>
      </c>
      <c r="G56" s="24"/>
      <c r="H56" s="24"/>
      <c r="I56" s="24"/>
      <c r="J56" s="24"/>
      <c r="L56" s="24"/>
      <c r="M56" s="24"/>
      <c r="N56" s="24"/>
    </row>
    <row r="57" spans="1:14" x14ac:dyDescent="0.25">
      <c r="A57" t="s">
        <v>314</v>
      </c>
      <c r="B57" t="s">
        <v>93</v>
      </c>
      <c r="C57" s="2" t="s">
        <v>212</v>
      </c>
      <c r="D57" s="24">
        <v>0</v>
      </c>
      <c r="E57" s="24">
        <v>0.14000000000000001</v>
      </c>
      <c r="F57" s="24">
        <v>0.18</v>
      </c>
      <c r="G57" s="24"/>
      <c r="H57" s="24"/>
      <c r="I57" s="24"/>
      <c r="J57" s="24"/>
      <c r="L57" s="24"/>
      <c r="M57" s="24"/>
      <c r="N57" s="24"/>
    </row>
    <row r="58" spans="1:14" x14ac:dyDescent="0.25">
      <c r="A58" t="s">
        <v>315</v>
      </c>
      <c r="B58" t="s">
        <v>93</v>
      </c>
      <c r="C58" s="2" t="s">
        <v>213</v>
      </c>
      <c r="D58" s="24">
        <v>0</v>
      </c>
      <c r="E58" s="24">
        <v>0.13</v>
      </c>
      <c r="F58" s="24">
        <v>0.16</v>
      </c>
      <c r="G58" s="24"/>
      <c r="H58" s="24"/>
      <c r="I58" s="24"/>
      <c r="J58" s="24"/>
      <c r="L58" s="24"/>
      <c r="M58" s="24"/>
      <c r="N58" s="24"/>
    </row>
    <row r="59" spans="1:14" x14ac:dyDescent="0.25">
      <c r="A59" t="s">
        <v>316</v>
      </c>
      <c r="B59" t="s">
        <v>93</v>
      </c>
      <c r="C59" s="2" t="s">
        <v>214</v>
      </c>
      <c r="D59" s="24">
        <v>0</v>
      </c>
      <c r="E59" s="24">
        <v>0.12</v>
      </c>
      <c r="F59" s="24">
        <v>0.16</v>
      </c>
      <c r="G59" s="24"/>
      <c r="H59" s="24"/>
      <c r="I59" s="24"/>
      <c r="J59" s="24"/>
      <c r="L59" s="24"/>
      <c r="M59" s="24"/>
      <c r="N59" s="24"/>
    </row>
    <row r="60" spans="1:14" x14ac:dyDescent="0.25">
      <c r="A60" t="s">
        <v>317</v>
      </c>
      <c r="B60" t="s">
        <v>93</v>
      </c>
      <c r="C60" s="2" t="s">
        <v>267</v>
      </c>
      <c r="D60" s="24">
        <v>0</v>
      </c>
      <c r="E60" s="24">
        <v>0.11</v>
      </c>
      <c r="F60" s="24">
        <v>0.15</v>
      </c>
      <c r="G60" s="24"/>
      <c r="H60" s="24"/>
      <c r="I60" s="24"/>
      <c r="J60" s="24"/>
      <c r="L60" s="24"/>
      <c r="M60" s="24"/>
      <c r="N60" s="24"/>
    </row>
    <row r="61" spans="1:14" x14ac:dyDescent="0.25">
      <c r="A61" t="s">
        <v>318</v>
      </c>
      <c r="B61" t="s">
        <v>93</v>
      </c>
      <c r="C61" s="2" t="s">
        <v>268</v>
      </c>
      <c r="D61" s="24">
        <v>0</v>
      </c>
      <c r="E61" s="24">
        <v>0.09</v>
      </c>
      <c r="F61" s="24">
        <v>0.13</v>
      </c>
      <c r="G61" s="24"/>
      <c r="H61" s="24"/>
      <c r="I61" s="24"/>
      <c r="J61" s="24"/>
      <c r="L61" s="24"/>
      <c r="M61" s="24"/>
      <c r="N61" s="24"/>
    </row>
    <row r="62" spans="1:14" x14ac:dyDescent="0.25">
      <c r="A62" t="s">
        <v>319</v>
      </c>
      <c r="B62" t="s">
        <v>105</v>
      </c>
      <c r="C62" s="2" t="s">
        <v>212</v>
      </c>
      <c r="D62" s="24">
        <v>0</v>
      </c>
      <c r="E62" s="24">
        <v>0.13</v>
      </c>
      <c r="F62" s="24">
        <v>0.18</v>
      </c>
      <c r="G62" s="24"/>
      <c r="H62" s="24"/>
      <c r="I62" s="24"/>
      <c r="J62" s="24"/>
      <c r="L62" s="24"/>
      <c r="M62" s="24"/>
      <c r="N62" s="24"/>
    </row>
    <row r="63" spans="1:14" x14ac:dyDescent="0.25">
      <c r="A63" t="s">
        <v>320</v>
      </c>
      <c r="B63" t="s">
        <v>105</v>
      </c>
      <c r="C63" s="2" t="s">
        <v>213</v>
      </c>
      <c r="D63" s="24">
        <v>0</v>
      </c>
      <c r="E63" s="24">
        <v>0.12</v>
      </c>
      <c r="F63" s="24">
        <v>0.17</v>
      </c>
      <c r="G63" s="24"/>
      <c r="H63" s="24"/>
      <c r="I63" s="24"/>
      <c r="J63" s="24"/>
      <c r="L63" s="24"/>
      <c r="M63" s="24"/>
      <c r="N63" s="24"/>
    </row>
    <row r="64" spans="1:14" x14ac:dyDescent="0.25">
      <c r="A64" t="s">
        <v>321</v>
      </c>
      <c r="B64" t="s">
        <v>105</v>
      </c>
      <c r="C64" s="2" t="s">
        <v>214</v>
      </c>
      <c r="D64" s="24">
        <v>0</v>
      </c>
      <c r="E64" s="24">
        <v>0.11</v>
      </c>
      <c r="F64" s="24">
        <v>0.16</v>
      </c>
      <c r="G64" s="24"/>
      <c r="H64" s="24"/>
      <c r="I64" s="24"/>
      <c r="J64" s="24"/>
      <c r="L64" s="24"/>
      <c r="M64" s="24"/>
      <c r="N64" s="24"/>
    </row>
    <row r="65" spans="1:14" x14ac:dyDescent="0.25">
      <c r="A65" t="s">
        <v>322</v>
      </c>
      <c r="B65" t="s">
        <v>105</v>
      </c>
      <c r="C65" s="2" t="s">
        <v>267</v>
      </c>
      <c r="D65" s="24">
        <v>0</v>
      </c>
      <c r="E65" s="24">
        <v>0.1</v>
      </c>
      <c r="F65" s="24">
        <v>0.16</v>
      </c>
      <c r="G65" s="24"/>
      <c r="H65" s="24"/>
      <c r="I65" s="24"/>
      <c r="J65" s="24"/>
      <c r="L65" s="24"/>
      <c r="M65" s="24"/>
      <c r="N65" s="24"/>
    </row>
    <row r="66" spans="1:14" x14ac:dyDescent="0.25">
      <c r="A66" t="s">
        <v>323</v>
      </c>
      <c r="B66" t="s">
        <v>105</v>
      </c>
      <c r="C66" s="2" t="s">
        <v>268</v>
      </c>
      <c r="D66" s="24">
        <v>0</v>
      </c>
      <c r="E66" s="24">
        <v>0.09</v>
      </c>
      <c r="F66" s="24">
        <v>0.14000000000000001</v>
      </c>
      <c r="G66" s="24"/>
      <c r="H66" s="24"/>
      <c r="I66" s="24"/>
      <c r="J66" s="24"/>
      <c r="L66" s="24"/>
      <c r="M66" s="24"/>
      <c r="N66" s="24"/>
    </row>
    <row r="67" spans="1:14" x14ac:dyDescent="0.25">
      <c r="A67" t="s">
        <v>324</v>
      </c>
      <c r="B67" t="s">
        <v>92</v>
      </c>
      <c r="C67" s="2" t="s">
        <v>212</v>
      </c>
      <c r="D67" s="24">
        <v>0</v>
      </c>
      <c r="E67" s="24">
        <v>0.09</v>
      </c>
      <c r="F67" s="24">
        <v>0.13</v>
      </c>
      <c r="G67" s="24"/>
      <c r="H67" s="24"/>
      <c r="I67" s="24"/>
      <c r="J67" s="24"/>
      <c r="L67" s="24"/>
      <c r="M67" s="24"/>
      <c r="N67" s="24"/>
    </row>
    <row r="68" spans="1:14" x14ac:dyDescent="0.25">
      <c r="A68" t="s">
        <v>325</v>
      </c>
      <c r="B68" t="s">
        <v>92</v>
      </c>
      <c r="C68" s="2" t="s">
        <v>213</v>
      </c>
      <c r="D68" s="24">
        <v>0</v>
      </c>
      <c r="E68" s="24">
        <v>7.0000000000000007E-2</v>
      </c>
      <c r="F68" s="24">
        <v>0.12</v>
      </c>
      <c r="G68" s="24"/>
      <c r="H68" s="24"/>
      <c r="I68" s="24"/>
      <c r="J68" s="24"/>
      <c r="L68" s="24"/>
      <c r="M68" s="24"/>
      <c r="N68" s="24"/>
    </row>
    <row r="69" spans="1:14" x14ac:dyDescent="0.25">
      <c r="A69" t="s">
        <v>326</v>
      </c>
      <c r="B69" t="s">
        <v>92</v>
      </c>
      <c r="C69" s="2" t="s">
        <v>214</v>
      </c>
      <c r="D69" s="24">
        <v>0</v>
      </c>
      <c r="E69" s="24">
        <v>7.0000000000000007E-2</v>
      </c>
      <c r="F69" s="24">
        <v>0.11</v>
      </c>
      <c r="G69" s="24"/>
      <c r="H69" s="24"/>
      <c r="I69" s="24"/>
      <c r="J69" s="24"/>
      <c r="L69" s="24"/>
      <c r="M69" s="24"/>
      <c r="N69" s="24"/>
    </row>
    <row r="70" spans="1:14" x14ac:dyDescent="0.25">
      <c r="A70" t="s">
        <v>327</v>
      </c>
      <c r="B70" t="s">
        <v>92</v>
      </c>
      <c r="C70" s="2" t="s">
        <v>267</v>
      </c>
      <c r="D70" s="24">
        <v>0</v>
      </c>
      <c r="E70" s="24">
        <v>0.06</v>
      </c>
      <c r="F70" s="24">
        <v>0.11</v>
      </c>
      <c r="G70" s="24"/>
      <c r="H70" s="24"/>
      <c r="I70" s="24"/>
      <c r="J70" s="24"/>
      <c r="L70" s="24"/>
      <c r="M70" s="24"/>
      <c r="N70" s="24"/>
    </row>
    <row r="71" spans="1:14" x14ac:dyDescent="0.25">
      <c r="A71" t="s">
        <v>328</v>
      </c>
      <c r="B71" t="s">
        <v>92</v>
      </c>
      <c r="C71" s="2" t="s">
        <v>268</v>
      </c>
      <c r="D71" s="24">
        <v>0</v>
      </c>
      <c r="E71" s="24">
        <v>0.06</v>
      </c>
      <c r="F71" s="24">
        <v>0.1</v>
      </c>
      <c r="G71" s="24"/>
      <c r="H71" s="24"/>
      <c r="I71" s="24"/>
      <c r="J71" s="24"/>
      <c r="L71" s="24"/>
      <c r="M71" s="24"/>
      <c r="N71" s="24"/>
    </row>
    <row r="72" spans="1:14" x14ac:dyDescent="0.25">
      <c r="A72" t="s">
        <v>329</v>
      </c>
      <c r="B72" t="s">
        <v>91</v>
      </c>
      <c r="C72" s="2" t="s">
        <v>212</v>
      </c>
      <c r="D72" s="24">
        <v>0</v>
      </c>
      <c r="E72" s="24">
        <v>0.11</v>
      </c>
      <c r="F72" s="24">
        <v>0.16</v>
      </c>
      <c r="G72" s="24"/>
      <c r="H72" s="24"/>
      <c r="I72" s="24"/>
      <c r="J72" s="24"/>
      <c r="L72" s="24"/>
      <c r="M72" s="24"/>
      <c r="N72" s="24"/>
    </row>
    <row r="73" spans="1:14" x14ac:dyDescent="0.25">
      <c r="A73" t="s">
        <v>330</v>
      </c>
      <c r="B73" t="s">
        <v>91</v>
      </c>
      <c r="C73" s="2" t="s">
        <v>213</v>
      </c>
      <c r="D73" s="24">
        <v>0</v>
      </c>
      <c r="E73" s="24">
        <v>0.1</v>
      </c>
      <c r="F73" s="24">
        <v>0.15</v>
      </c>
      <c r="G73" s="24"/>
      <c r="H73" s="24"/>
      <c r="I73" s="24"/>
      <c r="J73" s="24"/>
      <c r="L73" s="24"/>
      <c r="M73" s="24"/>
      <c r="N73" s="24"/>
    </row>
    <row r="74" spans="1:14" x14ac:dyDescent="0.25">
      <c r="A74" t="s">
        <v>331</v>
      </c>
      <c r="B74" t="s">
        <v>91</v>
      </c>
      <c r="C74" s="2" t="s">
        <v>214</v>
      </c>
      <c r="D74" s="24">
        <v>0</v>
      </c>
      <c r="E74" s="24">
        <v>0.09</v>
      </c>
      <c r="F74" s="24">
        <v>0.14000000000000001</v>
      </c>
      <c r="G74" s="24"/>
      <c r="H74" s="24"/>
      <c r="I74" s="24"/>
      <c r="J74" s="24"/>
      <c r="L74" s="24"/>
      <c r="M74" s="24"/>
      <c r="N74" s="24"/>
    </row>
    <row r="75" spans="1:14" x14ac:dyDescent="0.25">
      <c r="A75" t="s">
        <v>332</v>
      </c>
      <c r="B75" t="s">
        <v>91</v>
      </c>
      <c r="C75" s="2" t="s">
        <v>267</v>
      </c>
      <c r="D75" s="24">
        <v>0</v>
      </c>
      <c r="E75" s="24">
        <v>0.09</v>
      </c>
      <c r="F75" s="24">
        <v>0.13</v>
      </c>
      <c r="G75" s="24"/>
      <c r="H75" s="24"/>
      <c r="I75" s="24"/>
      <c r="J75" s="24"/>
      <c r="L75" s="24"/>
      <c r="M75" s="24"/>
      <c r="N75" s="24"/>
    </row>
    <row r="76" spans="1:14" x14ac:dyDescent="0.25">
      <c r="A76" t="s">
        <v>333</v>
      </c>
      <c r="B76" t="s">
        <v>91</v>
      </c>
      <c r="C76" s="2" t="s">
        <v>268</v>
      </c>
      <c r="D76" s="24">
        <v>0</v>
      </c>
      <c r="E76" s="24">
        <v>7.0000000000000007E-2</v>
      </c>
      <c r="F76" s="24">
        <v>0.09</v>
      </c>
      <c r="G76" s="24"/>
      <c r="H76" s="24"/>
      <c r="I76" s="24"/>
      <c r="J76" s="24"/>
      <c r="L76" s="24"/>
      <c r="M76" s="24"/>
      <c r="N76" s="24"/>
    </row>
    <row r="77" spans="1:14" x14ac:dyDescent="0.25">
      <c r="A77" t="s">
        <v>334</v>
      </c>
      <c r="B77" t="s">
        <v>90</v>
      </c>
      <c r="C77" s="2" t="s">
        <v>212</v>
      </c>
      <c r="D77" s="24">
        <v>0</v>
      </c>
      <c r="E77" s="24">
        <v>0.08</v>
      </c>
      <c r="F77" s="24">
        <v>0.11</v>
      </c>
      <c r="G77" s="24"/>
      <c r="H77" s="24"/>
      <c r="I77" s="24"/>
      <c r="J77" s="24"/>
      <c r="L77" s="24"/>
      <c r="M77" s="24"/>
      <c r="N77" s="24"/>
    </row>
    <row r="78" spans="1:14" x14ac:dyDescent="0.25">
      <c r="A78" t="s">
        <v>335</v>
      </c>
      <c r="B78" t="s">
        <v>90</v>
      </c>
      <c r="C78" s="2" t="s">
        <v>213</v>
      </c>
      <c r="D78" s="24">
        <v>0</v>
      </c>
      <c r="E78" s="24">
        <v>7.0000000000000007E-2</v>
      </c>
      <c r="F78" s="24">
        <v>0.11</v>
      </c>
      <c r="G78" s="24"/>
      <c r="H78" s="24"/>
      <c r="I78" s="24"/>
      <c r="J78" s="24"/>
      <c r="L78" s="24"/>
      <c r="M78" s="24"/>
      <c r="N78" s="24"/>
    </row>
    <row r="79" spans="1:14" x14ac:dyDescent="0.25">
      <c r="A79" t="s">
        <v>336</v>
      </c>
      <c r="B79" t="s">
        <v>90</v>
      </c>
      <c r="C79" s="2" t="s">
        <v>214</v>
      </c>
      <c r="D79" s="24">
        <v>0</v>
      </c>
      <c r="E79" s="24">
        <v>7.0000000000000007E-2</v>
      </c>
      <c r="F79" s="24">
        <v>0.09</v>
      </c>
      <c r="G79" s="24"/>
      <c r="H79" s="24"/>
      <c r="I79" s="24"/>
      <c r="J79" s="24"/>
      <c r="L79" s="24"/>
      <c r="M79" s="24"/>
      <c r="N79" s="24"/>
    </row>
    <row r="80" spans="1:14" x14ac:dyDescent="0.25">
      <c r="A80" t="s">
        <v>337</v>
      </c>
      <c r="B80" t="s">
        <v>90</v>
      </c>
      <c r="C80" s="2" t="s">
        <v>267</v>
      </c>
      <c r="D80" s="24">
        <v>0</v>
      </c>
      <c r="E80" s="24">
        <v>0.06</v>
      </c>
      <c r="F80" s="24">
        <v>0.08</v>
      </c>
      <c r="G80" s="24"/>
      <c r="H80" s="24"/>
      <c r="I80" s="24"/>
      <c r="J80" s="24"/>
      <c r="L80" s="24"/>
      <c r="M80" s="24"/>
      <c r="N80" s="24"/>
    </row>
    <row r="81" spans="1:14" x14ac:dyDescent="0.25">
      <c r="A81" t="s">
        <v>338</v>
      </c>
      <c r="B81" t="s">
        <v>90</v>
      </c>
      <c r="C81" s="2" t="s">
        <v>268</v>
      </c>
      <c r="D81" s="24">
        <v>0</v>
      </c>
      <c r="E81" s="24">
        <v>0.04</v>
      </c>
      <c r="F81" s="24">
        <v>0.06</v>
      </c>
      <c r="G81" s="24"/>
      <c r="H81" s="24"/>
      <c r="I81" s="24"/>
      <c r="J81" s="24"/>
      <c r="L81" s="24"/>
      <c r="M81" s="24"/>
      <c r="N81" s="24"/>
    </row>
    <row r="82" spans="1:14" x14ac:dyDescent="0.25">
      <c r="A82" t="s">
        <v>339</v>
      </c>
      <c r="B82" t="s">
        <v>89</v>
      </c>
      <c r="C82" s="2" t="s">
        <v>212</v>
      </c>
      <c r="D82" s="24">
        <v>0</v>
      </c>
      <c r="E82" s="24">
        <v>0.12</v>
      </c>
      <c r="F82" s="24">
        <v>0.17</v>
      </c>
      <c r="G82" s="24"/>
      <c r="H82" s="24"/>
      <c r="I82" s="24"/>
      <c r="J82" s="24"/>
      <c r="L82" s="24"/>
      <c r="M82" s="24"/>
      <c r="N82" s="24"/>
    </row>
    <row r="83" spans="1:14" x14ac:dyDescent="0.25">
      <c r="A83" t="s">
        <v>340</v>
      </c>
      <c r="B83" t="s">
        <v>89</v>
      </c>
      <c r="C83" s="2" t="s">
        <v>213</v>
      </c>
      <c r="D83" s="24">
        <v>0</v>
      </c>
      <c r="E83" s="24">
        <v>0.12</v>
      </c>
      <c r="F83" s="24">
        <v>0.16</v>
      </c>
      <c r="G83" s="24"/>
      <c r="H83" s="24"/>
      <c r="I83" s="24"/>
      <c r="J83" s="24"/>
      <c r="L83" s="24"/>
      <c r="M83" s="24"/>
      <c r="N83" s="24"/>
    </row>
    <row r="84" spans="1:14" x14ac:dyDescent="0.25">
      <c r="A84" t="s">
        <v>341</v>
      </c>
      <c r="B84" t="s">
        <v>89</v>
      </c>
      <c r="C84" s="2" t="s">
        <v>214</v>
      </c>
      <c r="D84" s="24">
        <v>0</v>
      </c>
      <c r="E84" s="24">
        <v>0.11</v>
      </c>
      <c r="F84" s="24">
        <v>0.16</v>
      </c>
      <c r="G84" s="24"/>
      <c r="H84" s="24"/>
      <c r="I84" s="24"/>
      <c r="J84" s="24"/>
      <c r="L84" s="24"/>
      <c r="M84" s="24"/>
      <c r="N84" s="24"/>
    </row>
    <row r="85" spans="1:14" x14ac:dyDescent="0.25">
      <c r="A85" t="s">
        <v>342</v>
      </c>
      <c r="B85" t="s">
        <v>89</v>
      </c>
      <c r="C85" s="2" t="s">
        <v>267</v>
      </c>
      <c r="D85" s="24">
        <v>0</v>
      </c>
      <c r="E85" s="24">
        <v>0.11</v>
      </c>
      <c r="F85" s="24">
        <v>0.15</v>
      </c>
      <c r="G85" s="24"/>
      <c r="H85" s="24"/>
      <c r="I85" s="24"/>
      <c r="J85" s="24"/>
      <c r="L85" s="24"/>
      <c r="M85" s="24"/>
      <c r="N85" s="24"/>
    </row>
    <row r="86" spans="1:14" x14ac:dyDescent="0.25">
      <c r="A86" t="s">
        <v>343</v>
      </c>
      <c r="B86" t="s">
        <v>89</v>
      </c>
      <c r="C86" s="2" t="s">
        <v>268</v>
      </c>
      <c r="D86" s="24">
        <v>0</v>
      </c>
      <c r="E86" s="24">
        <v>0.1</v>
      </c>
      <c r="F86" s="24">
        <v>0.14000000000000001</v>
      </c>
      <c r="G86" s="24"/>
      <c r="H86" s="24"/>
      <c r="I86" s="24"/>
      <c r="J86" s="24"/>
      <c r="L86" s="24"/>
      <c r="M86" s="24"/>
      <c r="N86" s="24"/>
    </row>
    <row r="87" spans="1:14" x14ac:dyDescent="0.25">
      <c r="A87" t="s">
        <v>344</v>
      </c>
      <c r="B87" t="s">
        <v>94</v>
      </c>
      <c r="C87" s="2" t="s">
        <v>212</v>
      </c>
      <c r="D87" s="24">
        <v>0</v>
      </c>
      <c r="E87" s="24">
        <v>0.13</v>
      </c>
      <c r="F87" s="24">
        <v>0.16</v>
      </c>
      <c r="G87" s="24"/>
      <c r="H87" s="24"/>
      <c r="I87" s="24"/>
      <c r="J87" s="24"/>
      <c r="L87" s="24"/>
      <c r="M87" s="24"/>
      <c r="N87" s="24"/>
    </row>
    <row r="88" spans="1:14" x14ac:dyDescent="0.25">
      <c r="A88" t="s">
        <v>345</v>
      </c>
      <c r="B88" t="s">
        <v>94</v>
      </c>
      <c r="C88" s="2" t="s">
        <v>213</v>
      </c>
      <c r="D88" s="24">
        <v>0</v>
      </c>
      <c r="E88" s="24">
        <v>0.12</v>
      </c>
      <c r="F88" s="24">
        <v>0.15</v>
      </c>
      <c r="G88" s="24"/>
      <c r="H88" s="24"/>
      <c r="I88" s="24"/>
      <c r="J88" s="24"/>
      <c r="L88" s="24"/>
      <c r="M88" s="24"/>
      <c r="N88" s="24"/>
    </row>
    <row r="89" spans="1:14" x14ac:dyDescent="0.25">
      <c r="A89" t="s">
        <v>346</v>
      </c>
      <c r="B89" t="s">
        <v>94</v>
      </c>
      <c r="C89" s="2" t="s">
        <v>214</v>
      </c>
      <c r="D89" s="24">
        <v>0</v>
      </c>
      <c r="E89" s="24">
        <v>0.11</v>
      </c>
      <c r="F89" s="24">
        <v>0.13</v>
      </c>
      <c r="G89" s="24"/>
      <c r="H89" s="24"/>
      <c r="I89" s="24"/>
      <c r="J89" s="24"/>
      <c r="L89" s="24"/>
      <c r="M89" s="24"/>
      <c r="N89" s="24"/>
    </row>
    <row r="90" spans="1:14" x14ac:dyDescent="0.25">
      <c r="A90" t="s">
        <v>347</v>
      </c>
      <c r="B90" t="s">
        <v>94</v>
      </c>
      <c r="C90" s="2" t="s">
        <v>267</v>
      </c>
      <c r="D90" s="24">
        <v>0</v>
      </c>
      <c r="E90" s="24">
        <v>0.11</v>
      </c>
      <c r="F90" s="24">
        <v>0.13</v>
      </c>
      <c r="G90" s="24"/>
      <c r="H90" s="24"/>
      <c r="I90" s="24"/>
      <c r="J90" s="24"/>
      <c r="L90" s="24"/>
      <c r="M90" s="24"/>
      <c r="N90" s="24"/>
    </row>
    <row r="91" spans="1:14" x14ac:dyDescent="0.25">
      <c r="A91" t="s">
        <v>348</v>
      </c>
      <c r="B91" t="s">
        <v>94</v>
      </c>
      <c r="C91" s="2" t="s">
        <v>268</v>
      </c>
      <c r="D91" s="24">
        <v>0</v>
      </c>
      <c r="E91" s="24">
        <v>0.09</v>
      </c>
      <c r="F91" s="24">
        <v>0.12</v>
      </c>
      <c r="G91" s="24"/>
      <c r="H91" s="24"/>
      <c r="I91" s="24"/>
      <c r="J91" s="24"/>
      <c r="L91" s="24"/>
      <c r="M91" s="24"/>
      <c r="N91" s="24"/>
    </row>
    <row r="92" spans="1:14" x14ac:dyDescent="0.25">
      <c r="A92" t="s">
        <v>349</v>
      </c>
      <c r="B92" t="s">
        <v>86</v>
      </c>
      <c r="C92" s="2" t="s">
        <v>212</v>
      </c>
      <c r="D92" s="24">
        <v>0</v>
      </c>
      <c r="E92" s="24">
        <v>0.12</v>
      </c>
      <c r="F92" s="24">
        <v>0.17</v>
      </c>
      <c r="G92" s="24"/>
      <c r="H92" s="24"/>
      <c r="I92" s="24"/>
      <c r="J92" s="24"/>
      <c r="L92" s="24"/>
      <c r="M92" s="24"/>
      <c r="N92" s="24"/>
    </row>
    <row r="93" spans="1:14" x14ac:dyDescent="0.25">
      <c r="A93" t="s">
        <v>350</v>
      </c>
      <c r="B93" t="s">
        <v>86</v>
      </c>
      <c r="C93" s="2" t="s">
        <v>213</v>
      </c>
      <c r="D93" s="24">
        <v>0</v>
      </c>
      <c r="E93" s="24">
        <v>0.12</v>
      </c>
      <c r="F93" s="24">
        <v>0.16</v>
      </c>
      <c r="G93" s="24"/>
      <c r="H93" s="24"/>
      <c r="I93" s="24"/>
      <c r="J93" s="24"/>
      <c r="L93" s="24"/>
      <c r="M93" s="24"/>
      <c r="N93" s="24"/>
    </row>
    <row r="94" spans="1:14" x14ac:dyDescent="0.25">
      <c r="A94" t="s">
        <v>351</v>
      </c>
      <c r="B94" t="s">
        <v>86</v>
      </c>
      <c r="C94" s="2" t="s">
        <v>214</v>
      </c>
      <c r="D94" s="24">
        <v>0</v>
      </c>
      <c r="E94" s="24">
        <v>0.11</v>
      </c>
      <c r="F94" s="24">
        <v>0.16</v>
      </c>
      <c r="G94" s="24"/>
      <c r="H94" s="24"/>
      <c r="I94" s="24"/>
      <c r="J94" s="24"/>
      <c r="L94" s="24"/>
      <c r="M94" s="24"/>
      <c r="N94" s="24"/>
    </row>
    <row r="95" spans="1:14" x14ac:dyDescent="0.25">
      <c r="A95" t="s">
        <v>352</v>
      </c>
      <c r="B95" t="s">
        <v>86</v>
      </c>
      <c r="C95" s="2" t="s">
        <v>267</v>
      </c>
      <c r="D95" s="24">
        <v>0</v>
      </c>
      <c r="E95" s="24">
        <v>0.1</v>
      </c>
      <c r="F95" s="24">
        <v>0.15</v>
      </c>
      <c r="G95" s="24"/>
      <c r="H95" s="24"/>
      <c r="I95" s="24"/>
      <c r="J95" s="24"/>
      <c r="L95" s="24"/>
      <c r="M95" s="24"/>
      <c r="N95" s="24"/>
    </row>
    <row r="96" spans="1:14" x14ac:dyDescent="0.25">
      <c r="A96" t="s">
        <v>353</v>
      </c>
      <c r="B96" t="s">
        <v>86</v>
      </c>
      <c r="C96" s="2" t="s">
        <v>268</v>
      </c>
      <c r="D96" s="24">
        <v>0</v>
      </c>
      <c r="E96" s="24">
        <v>0.08</v>
      </c>
      <c r="F96" s="24">
        <v>0.13</v>
      </c>
      <c r="G96" s="24"/>
      <c r="H96" s="24"/>
      <c r="I96" s="24"/>
      <c r="J96" s="24"/>
      <c r="L96" s="24"/>
      <c r="M96" s="24"/>
      <c r="N96" s="24"/>
    </row>
    <row r="97" spans="1:14" x14ac:dyDescent="0.25">
      <c r="A97" t="s">
        <v>354</v>
      </c>
      <c r="B97" t="s">
        <v>88</v>
      </c>
      <c r="C97" s="2" t="s">
        <v>212</v>
      </c>
      <c r="D97" s="24">
        <v>0</v>
      </c>
      <c r="E97" s="24">
        <v>0.09</v>
      </c>
      <c r="F97" s="24">
        <v>0.13</v>
      </c>
      <c r="G97" s="24"/>
      <c r="H97" s="24"/>
      <c r="I97" s="24"/>
      <c r="J97" s="24"/>
      <c r="L97" s="24"/>
      <c r="M97" s="24"/>
      <c r="N97" s="24"/>
    </row>
    <row r="98" spans="1:14" x14ac:dyDescent="0.25">
      <c r="A98" t="s">
        <v>355</v>
      </c>
      <c r="B98" t="s">
        <v>88</v>
      </c>
      <c r="C98" s="2" t="s">
        <v>213</v>
      </c>
      <c r="D98" s="24">
        <v>0</v>
      </c>
      <c r="E98" s="24">
        <v>0.08</v>
      </c>
      <c r="F98" s="24">
        <v>0.11</v>
      </c>
      <c r="G98" s="24"/>
      <c r="H98" s="24"/>
      <c r="I98" s="24"/>
      <c r="J98" s="24"/>
      <c r="L98" s="24"/>
      <c r="M98" s="24"/>
      <c r="N98" s="24"/>
    </row>
    <row r="99" spans="1:14" x14ac:dyDescent="0.25">
      <c r="A99" t="s">
        <v>356</v>
      </c>
      <c r="B99" t="s">
        <v>88</v>
      </c>
      <c r="C99" s="2" t="s">
        <v>214</v>
      </c>
      <c r="D99" s="24">
        <v>0</v>
      </c>
      <c r="E99" s="24">
        <v>0.08</v>
      </c>
      <c r="F99" s="24">
        <v>0.11</v>
      </c>
      <c r="G99" s="24"/>
      <c r="H99" s="24"/>
      <c r="I99" s="24"/>
      <c r="J99" s="24"/>
      <c r="L99" s="24"/>
      <c r="M99" s="24"/>
      <c r="N99" s="24"/>
    </row>
    <row r="100" spans="1:14" x14ac:dyDescent="0.25">
      <c r="A100" t="s">
        <v>357</v>
      </c>
      <c r="B100" t="s">
        <v>88</v>
      </c>
      <c r="C100" s="2" t="s">
        <v>267</v>
      </c>
      <c r="D100" s="24">
        <v>0</v>
      </c>
      <c r="E100" s="24">
        <v>7.0000000000000007E-2</v>
      </c>
      <c r="F100" s="24">
        <v>0.09</v>
      </c>
      <c r="G100" s="24"/>
      <c r="H100" s="24"/>
      <c r="I100" s="24"/>
      <c r="J100" s="24"/>
      <c r="L100" s="24"/>
      <c r="M100" s="24"/>
      <c r="N100" s="24"/>
    </row>
    <row r="101" spans="1:14" x14ac:dyDescent="0.25">
      <c r="A101" t="s">
        <v>358</v>
      </c>
      <c r="B101" t="s">
        <v>88</v>
      </c>
      <c r="C101" s="2" t="s">
        <v>268</v>
      </c>
      <c r="D101" s="24">
        <v>0</v>
      </c>
      <c r="E101" s="24">
        <v>0.05</v>
      </c>
      <c r="F101" s="24">
        <v>7.0000000000000007E-2</v>
      </c>
      <c r="G101" s="24"/>
      <c r="H101" s="24"/>
      <c r="I101" s="24"/>
      <c r="J101" s="24"/>
      <c r="L101" s="24"/>
      <c r="M101" s="24"/>
      <c r="N101" s="24"/>
    </row>
    <row r="102" spans="1:14" x14ac:dyDescent="0.25">
      <c r="A102" t="s">
        <v>359</v>
      </c>
      <c r="B102" t="s">
        <v>87</v>
      </c>
      <c r="C102" s="2" t="s">
        <v>212</v>
      </c>
      <c r="D102" s="24">
        <v>0</v>
      </c>
      <c r="E102" s="24">
        <v>0.1</v>
      </c>
      <c r="F102" s="24">
        <v>0.11</v>
      </c>
      <c r="G102" s="24"/>
      <c r="H102" s="24"/>
      <c r="I102" s="24"/>
      <c r="J102" s="24"/>
      <c r="L102" s="24"/>
      <c r="M102" s="24"/>
      <c r="N102" s="24"/>
    </row>
    <row r="103" spans="1:14" x14ac:dyDescent="0.25">
      <c r="A103" t="s">
        <v>360</v>
      </c>
      <c r="B103" t="s">
        <v>87</v>
      </c>
      <c r="C103" s="2" t="s">
        <v>213</v>
      </c>
      <c r="D103" s="24">
        <v>0</v>
      </c>
      <c r="E103" s="24">
        <v>0.09</v>
      </c>
      <c r="F103" s="24">
        <v>0.11</v>
      </c>
      <c r="G103" s="24"/>
      <c r="H103" s="24"/>
      <c r="I103" s="24"/>
      <c r="J103" s="24"/>
      <c r="L103" s="24"/>
      <c r="M103" s="24"/>
      <c r="N103" s="24"/>
    </row>
    <row r="104" spans="1:14" x14ac:dyDescent="0.25">
      <c r="A104" t="s">
        <v>361</v>
      </c>
      <c r="B104" t="s">
        <v>87</v>
      </c>
      <c r="C104" s="2" t="s">
        <v>214</v>
      </c>
      <c r="D104" s="24">
        <v>0</v>
      </c>
      <c r="E104" s="24">
        <v>0.08</v>
      </c>
      <c r="F104" s="24">
        <v>0.1</v>
      </c>
      <c r="G104" s="24"/>
      <c r="H104" s="24"/>
      <c r="I104" s="24"/>
      <c r="J104" s="24"/>
      <c r="L104" s="24"/>
      <c r="M104" s="24"/>
      <c r="N104" s="24"/>
    </row>
    <row r="105" spans="1:14" x14ac:dyDescent="0.25">
      <c r="A105" t="s">
        <v>362</v>
      </c>
      <c r="B105" t="s">
        <v>87</v>
      </c>
      <c r="C105" s="2" t="s">
        <v>267</v>
      </c>
      <c r="D105" s="24">
        <v>0</v>
      </c>
      <c r="E105" s="24">
        <v>7.0000000000000007E-2</v>
      </c>
      <c r="F105" s="24">
        <v>0.09</v>
      </c>
      <c r="G105" s="24"/>
      <c r="H105" s="24"/>
      <c r="I105" s="24"/>
      <c r="J105" s="24"/>
      <c r="L105" s="24"/>
      <c r="M105" s="24"/>
      <c r="N105" s="24"/>
    </row>
    <row r="106" spans="1:14" x14ac:dyDescent="0.25">
      <c r="A106" t="s">
        <v>363</v>
      </c>
      <c r="B106" t="s">
        <v>87</v>
      </c>
      <c r="C106" s="2" t="s">
        <v>268</v>
      </c>
      <c r="D106" s="24">
        <v>0</v>
      </c>
      <c r="E106" s="24">
        <v>7.0000000000000007E-2</v>
      </c>
      <c r="F106" s="24">
        <v>0.08</v>
      </c>
      <c r="G106" s="24"/>
      <c r="H106" s="24"/>
      <c r="I106" s="24"/>
      <c r="J106" s="24"/>
      <c r="L106" s="24"/>
      <c r="M106" s="24"/>
      <c r="N106" s="24"/>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0">
    <tabColor rgb="FFFF6699"/>
  </sheetPr>
  <dimension ref="A1:AK1758"/>
  <sheetViews>
    <sheetView topLeftCell="Z1" workbookViewId="0">
      <selection activeCell="AK7" sqref="AK7"/>
    </sheetView>
  </sheetViews>
  <sheetFormatPr defaultRowHeight="15" x14ac:dyDescent="0.25"/>
  <cols>
    <col min="1" max="1" width="30.42578125" bestFit="1" customWidth="1"/>
    <col min="2" max="2" width="11.85546875" bestFit="1" customWidth="1"/>
    <col min="3" max="3" width="27.85546875" bestFit="1" customWidth="1"/>
    <col min="4" max="4" width="49.7109375" bestFit="1" customWidth="1"/>
    <col min="5" max="5" width="27.85546875" style="4" bestFit="1" customWidth="1"/>
    <col min="6" max="6" width="14.7109375" style="4" bestFit="1" customWidth="1"/>
    <col min="7" max="7" width="20" style="10" bestFit="1" customWidth="1"/>
    <col min="8" max="8" width="20" style="10" customWidth="1"/>
    <col min="9" max="9" width="19.5703125" style="10" bestFit="1" customWidth="1"/>
    <col min="10" max="10" width="10.28515625" style="10" customWidth="1"/>
    <col min="11" max="11" width="21.28515625" style="10" bestFit="1" customWidth="1"/>
    <col min="12" max="12" width="22.5703125" bestFit="1" customWidth="1"/>
    <col min="13" max="13" width="10.5703125" bestFit="1" customWidth="1"/>
    <col min="16" max="16" width="15.42578125" bestFit="1" customWidth="1"/>
    <col min="17" max="17" width="22.5703125" bestFit="1" customWidth="1"/>
    <col min="18" max="18" width="10" bestFit="1" customWidth="1"/>
    <col min="19" max="19" width="15.7109375" bestFit="1" customWidth="1"/>
    <col min="20" max="20" width="7.140625" bestFit="1" customWidth="1"/>
    <col min="21" max="21" width="13.140625" bestFit="1" customWidth="1"/>
    <col min="22" max="22" width="18.7109375" bestFit="1" customWidth="1"/>
    <col min="23" max="23" width="7.140625" bestFit="1" customWidth="1"/>
    <col min="24" max="24" width="13.140625" bestFit="1" customWidth="1"/>
    <col min="27" max="27" width="18.140625" bestFit="1" customWidth="1"/>
    <col min="28" max="28" width="18.85546875" customWidth="1"/>
    <col min="29" max="29" width="11.7109375" bestFit="1" customWidth="1"/>
    <col min="32" max="32" width="12.42578125" bestFit="1" customWidth="1"/>
    <col min="35" max="35" width="20.5703125" bestFit="1" customWidth="1"/>
  </cols>
  <sheetData>
    <row r="1" spans="1:37" x14ac:dyDescent="0.25">
      <c r="A1" t="s">
        <v>453</v>
      </c>
      <c r="B1" t="s">
        <v>123</v>
      </c>
      <c r="C1" t="s">
        <v>124</v>
      </c>
      <c r="D1" t="s">
        <v>458</v>
      </c>
      <c r="E1" s="3" t="s">
        <v>455</v>
      </c>
      <c r="F1" s="3" t="e">
        <f>IF(#REF!="NEW CUSTOMER","Select Drops/Wk","")</f>
        <v>#REF!</v>
      </c>
      <c r="G1" s="14" t="s">
        <v>203</v>
      </c>
      <c r="H1" s="14" t="str">
        <f>""</f>
        <v/>
      </c>
      <c r="I1" s="14" t="s">
        <v>203</v>
      </c>
      <c r="J1" s="14" t="str">
        <f>""</f>
        <v/>
      </c>
      <c r="K1" s="14" t="str">
        <f>""</f>
        <v/>
      </c>
      <c r="L1" t="s">
        <v>201</v>
      </c>
      <c r="M1" s="14" t="s">
        <v>211</v>
      </c>
      <c r="N1" s="14" t="s">
        <v>964</v>
      </c>
      <c r="O1" s="14" t="s">
        <v>529</v>
      </c>
      <c r="P1" t="s">
        <v>240</v>
      </c>
      <c r="Q1" t="s">
        <v>232</v>
      </c>
      <c r="R1" t="s">
        <v>459</v>
      </c>
      <c r="S1" t="s">
        <v>250</v>
      </c>
      <c r="T1" t="s">
        <v>251</v>
      </c>
      <c r="U1" t="s">
        <v>252</v>
      </c>
      <c r="V1" t="s">
        <v>253</v>
      </c>
      <c r="W1" t="s">
        <v>251</v>
      </c>
      <c r="X1" t="s">
        <v>252</v>
      </c>
      <c r="Z1" t="s">
        <v>454</v>
      </c>
      <c r="AA1" t="s">
        <v>457</v>
      </c>
      <c r="AB1" t="s">
        <v>456</v>
      </c>
      <c r="AD1" t="s">
        <v>499</v>
      </c>
      <c r="AE1" t="s">
        <v>500</v>
      </c>
      <c r="AF1" t="s">
        <v>519</v>
      </c>
      <c r="AH1" s="2"/>
      <c r="AI1" t="s">
        <v>1045</v>
      </c>
      <c r="AJ1" t="s">
        <v>1136</v>
      </c>
      <c r="AK1" t="s">
        <v>1292</v>
      </c>
    </row>
    <row r="2" spans="1:37" x14ac:dyDescent="0.25">
      <c r="A2" t="s">
        <v>432</v>
      </c>
      <c r="B2" t="s">
        <v>106</v>
      </c>
      <c r="C2" t="s">
        <v>1</v>
      </c>
      <c r="E2" t="s">
        <v>58</v>
      </c>
      <c r="F2" s="3">
        <v>1</v>
      </c>
      <c r="G2" s="14" t="s">
        <v>130</v>
      </c>
      <c r="H2" s="14" t="s">
        <v>219</v>
      </c>
      <c r="I2" s="14" t="s">
        <v>506</v>
      </c>
      <c r="J2" s="14">
        <v>0.01</v>
      </c>
      <c r="K2" s="14">
        <v>1.4999999999999999E-2</v>
      </c>
      <c r="L2" t="s">
        <v>206</v>
      </c>
      <c r="M2">
        <v>2</v>
      </c>
      <c r="N2" t="s">
        <v>999</v>
      </c>
      <c r="O2" s="2" t="s">
        <v>531</v>
      </c>
      <c r="P2" t="s">
        <v>233</v>
      </c>
      <c r="Q2">
        <v>0</v>
      </c>
      <c r="R2" t="s">
        <v>246</v>
      </c>
      <c r="S2" s="18">
        <v>4.3999999999999997E-2</v>
      </c>
      <c r="T2" s="18">
        <v>6.6000000000000003E-2</v>
      </c>
      <c r="U2" s="18">
        <v>0.14799999999999999</v>
      </c>
      <c r="V2" s="19">
        <v>0</v>
      </c>
      <c r="W2" s="19">
        <v>6.2E-4</v>
      </c>
      <c r="X2" s="19">
        <v>1.4030000000000001E-2</v>
      </c>
      <c r="Z2" t="s">
        <v>370</v>
      </c>
      <c r="AA2" s="26">
        <v>1</v>
      </c>
      <c r="AB2" s="879" t="s">
        <v>374</v>
      </c>
      <c r="AC2" t="s">
        <v>465</v>
      </c>
      <c r="AD2" t="s">
        <v>482</v>
      </c>
      <c r="AE2" t="s">
        <v>482</v>
      </c>
      <c r="AF2" s="39">
        <v>0.08</v>
      </c>
      <c r="AG2" t="s">
        <v>241</v>
      </c>
      <c r="AH2" s="2" t="s">
        <v>992</v>
      </c>
      <c r="AI2" t="s">
        <v>485</v>
      </c>
      <c r="AJ2" t="s">
        <v>653</v>
      </c>
      <c r="AK2" t="s">
        <v>1293</v>
      </c>
    </row>
    <row r="3" spans="1:37" x14ac:dyDescent="0.25">
      <c r="A3" t="s">
        <v>421</v>
      </c>
      <c r="B3" t="s">
        <v>23</v>
      </c>
      <c r="C3" t="s">
        <v>112</v>
      </c>
      <c r="D3" t="s">
        <v>14</v>
      </c>
      <c r="E3" t="s">
        <v>22</v>
      </c>
      <c r="F3" s="3">
        <v>2</v>
      </c>
      <c r="G3" s="14" t="s">
        <v>470</v>
      </c>
      <c r="H3" s="14" t="s">
        <v>470</v>
      </c>
      <c r="I3" s="14" t="s">
        <v>474</v>
      </c>
      <c r="J3" s="14">
        <v>0.01</v>
      </c>
      <c r="K3" s="14">
        <v>1.4999999999999999E-2</v>
      </c>
      <c r="L3" t="s">
        <v>207</v>
      </c>
      <c r="M3">
        <v>3</v>
      </c>
      <c r="P3" t="s">
        <v>234</v>
      </c>
      <c r="Q3">
        <v>4</v>
      </c>
      <c r="R3" t="s">
        <v>247</v>
      </c>
      <c r="S3" s="18">
        <v>7.9000000000000001E-2</v>
      </c>
      <c r="T3" s="18">
        <v>9.6000000000000002E-2</v>
      </c>
      <c r="U3" s="18">
        <v>0.161</v>
      </c>
      <c r="V3" s="19">
        <v>0</v>
      </c>
      <c r="W3" s="19">
        <v>2.3000000000000001E-4</v>
      </c>
      <c r="X3" s="19">
        <v>1.2120000000000001E-2</v>
      </c>
      <c r="Z3" t="s">
        <v>371</v>
      </c>
      <c r="AA3" s="26">
        <v>2</v>
      </c>
      <c r="AB3" s="880" t="s">
        <v>991</v>
      </c>
      <c r="AC3" t="s">
        <v>462</v>
      </c>
      <c r="AD3" t="s">
        <v>497</v>
      </c>
      <c r="AE3" t="s">
        <v>498</v>
      </c>
      <c r="AF3" s="58">
        <v>0.09</v>
      </c>
      <c r="AI3" t="s">
        <v>484</v>
      </c>
      <c r="AJ3" t="s">
        <v>651</v>
      </c>
      <c r="AK3" t="s">
        <v>1294</v>
      </c>
    </row>
    <row r="4" spans="1:37" x14ac:dyDescent="0.25">
      <c r="A4" t="s">
        <v>446</v>
      </c>
      <c r="B4" t="s">
        <v>13</v>
      </c>
      <c r="C4" t="s">
        <v>113</v>
      </c>
      <c r="D4" t="s">
        <v>62</v>
      </c>
      <c r="E4" t="s">
        <v>32</v>
      </c>
      <c r="F4" s="3">
        <v>3</v>
      </c>
      <c r="G4" s="14" t="s">
        <v>472</v>
      </c>
      <c r="H4" s="14" t="s">
        <v>470</v>
      </c>
      <c r="I4" s="14"/>
      <c r="J4" s="14"/>
      <c r="K4" s="14"/>
      <c r="M4">
        <v>4</v>
      </c>
      <c r="P4" t="s">
        <v>235</v>
      </c>
      <c r="Q4">
        <v>5</v>
      </c>
      <c r="R4" t="s">
        <v>248</v>
      </c>
      <c r="S4" s="18">
        <v>8.8999999999999996E-2</v>
      </c>
      <c r="T4" s="18">
        <v>0.106</v>
      </c>
      <c r="U4" s="18">
        <v>0.17299999999999999</v>
      </c>
      <c r="V4" s="19">
        <v>0</v>
      </c>
      <c r="W4" s="19">
        <v>0</v>
      </c>
      <c r="X4" s="19">
        <v>1.15E-2</v>
      </c>
      <c r="Z4" t="s">
        <v>372</v>
      </c>
      <c r="AA4" s="26">
        <v>3</v>
      </c>
      <c r="AB4" s="879" t="s">
        <v>1176</v>
      </c>
      <c r="AF4" s="58">
        <v>0.1</v>
      </c>
      <c r="AI4" t="s">
        <v>1249</v>
      </c>
      <c r="AK4" t="s">
        <v>1295</v>
      </c>
    </row>
    <row r="5" spans="1:37" x14ac:dyDescent="0.25">
      <c r="A5" t="s">
        <v>401</v>
      </c>
      <c r="B5" t="s">
        <v>3</v>
      </c>
      <c r="C5" t="s">
        <v>111</v>
      </c>
      <c r="D5" t="s">
        <v>74</v>
      </c>
      <c r="E5" t="s">
        <v>65</v>
      </c>
      <c r="F5" s="3">
        <v>4</v>
      </c>
      <c r="G5" s="14" t="s">
        <v>471</v>
      </c>
      <c r="H5" s="14" t="s">
        <v>470</v>
      </c>
      <c r="J5" s="14"/>
      <c r="K5" s="14"/>
      <c r="M5">
        <v>5</v>
      </c>
      <c r="P5" t="s">
        <v>236</v>
      </c>
      <c r="Q5">
        <v>6</v>
      </c>
      <c r="R5" t="s">
        <v>249</v>
      </c>
      <c r="S5" s="18">
        <v>9.2999999999999999E-2</v>
      </c>
      <c r="T5" s="18">
        <v>0.115</v>
      </c>
      <c r="U5" s="18">
        <v>0.191</v>
      </c>
      <c r="V5" s="19">
        <v>0</v>
      </c>
      <c r="W5" s="19">
        <v>0</v>
      </c>
      <c r="X5" s="19">
        <v>4.8500000000000001E-3</v>
      </c>
      <c r="Z5" t="s">
        <v>373</v>
      </c>
      <c r="AA5" s="26">
        <v>4</v>
      </c>
      <c r="AB5" s="879" t="s">
        <v>1250</v>
      </c>
      <c r="AF5" s="58">
        <v>0.11</v>
      </c>
      <c r="AK5" t="s">
        <v>1296</v>
      </c>
    </row>
    <row r="6" spans="1:37" x14ac:dyDescent="0.25">
      <c r="A6" t="s">
        <v>425</v>
      </c>
      <c r="B6" t="s">
        <v>8</v>
      </c>
      <c r="C6" t="s">
        <v>115</v>
      </c>
      <c r="D6" t="s">
        <v>34</v>
      </c>
      <c r="E6" t="s">
        <v>37</v>
      </c>
      <c r="F6" s="3">
        <v>5</v>
      </c>
      <c r="G6" s="14" t="s">
        <v>473</v>
      </c>
      <c r="H6" s="14" t="s">
        <v>470</v>
      </c>
      <c r="I6" s="14">
        <v>5</v>
      </c>
      <c r="J6" s="14"/>
      <c r="K6" s="14"/>
      <c r="P6" t="s">
        <v>237</v>
      </c>
      <c r="Q6">
        <v>7</v>
      </c>
      <c r="AA6" s="26">
        <v>5</v>
      </c>
      <c r="AB6" s="879" t="s">
        <v>1251</v>
      </c>
      <c r="AF6" s="58">
        <v>0.12</v>
      </c>
      <c r="AK6" t="s">
        <v>1297</v>
      </c>
    </row>
    <row r="7" spans="1:37" x14ac:dyDescent="0.25">
      <c r="A7" t="s">
        <v>416</v>
      </c>
      <c r="B7" t="s">
        <v>18</v>
      </c>
      <c r="D7" t="s">
        <v>0</v>
      </c>
      <c r="E7"/>
      <c r="G7" s="14" t="s">
        <v>132</v>
      </c>
      <c r="H7" s="14"/>
      <c r="I7" s="14">
        <v>6</v>
      </c>
      <c r="J7" s="14"/>
      <c r="K7" s="14"/>
      <c r="P7" t="s">
        <v>238</v>
      </c>
      <c r="Q7">
        <v>8</v>
      </c>
      <c r="AA7" s="26">
        <v>6</v>
      </c>
      <c r="AB7" s="882"/>
    </row>
    <row r="8" spans="1:37" x14ac:dyDescent="0.25">
      <c r="A8" t="s">
        <v>419</v>
      </c>
      <c r="D8" t="s">
        <v>69</v>
      </c>
      <c r="E8"/>
      <c r="G8" s="14"/>
      <c r="H8" s="14"/>
      <c r="I8" s="14">
        <v>7</v>
      </c>
      <c r="J8" s="14"/>
      <c r="K8" s="14"/>
      <c r="P8" t="s">
        <v>239</v>
      </c>
      <c r="Q8">
        <v>9</v>
      </c>
      <c r="AA8" s="26">
        <v>7</v>
      </c>
    </row>
    <row r="9" spans="1:37" x14ac:dyDescent="0.25">
      <c r="A9" t="s">
        <v>412</v>
      </c>
      <c r="D9" t="s">
        <v>4</v>
      </c>
      <c r="E9"/>
      <c r="I9" s="14">
        <v>8</v>
      </c>
      <c r="J9" s="14"/>
      <c r="K9" s="14"/>
      <c r="AA9" s="26">
        <v>8</v>
      </c>
    </row>
    <row r="10" spans="1:37" x14ac:dyDescent="0.25">
      <c r="A10" t="s">
        <v>451</v>
      </c>
      <c r="D10" t="s">
        <v>35</v>
      </c>
      <c r="E10"/>
      <c r="I10" s="14">
        <v>8</v>
      </c>
      <c r="J10" s="14"/>
      <c r="K10" s="14"/>
      <c r="AA10" s="26">
        <v>9</v>
      </c>
    </row>
    <row r="11" spans="1:37" x14ac:dyDescent="0.25">
      <c r="A11" t="s">
        <v>423</v>
      </c>
      <c r="D11" t="s">
        <v>6</v>
      </c>
      <c r="E11"/>
      <c r="I11" s="14">
        <v>9</v>
      </c>
      <c r="J11" s="42" t="s">
        <v>477</v>
      </c>
      <c r="K11" s="44">
        <f>'EB_CM (Back)'!$B$7</f>
        <v>0</v>
      </c>
      <c r="L11" s="42" t="s">
        <v>475</v>
      </c>
      <c r="M11" s="1" t="s">
        <v>476</v>
      </c>
      <c r="AA11" s="26">
        <v>10</v>
      </c>
    </row>
    <row r="12" spans="1:37" x14ac:dyDescent="0.25">
      <c r="A12" t="s">
        <v>436</v>
      </c>
      <c r="D12" t="s">
        <v>15</v>
      </c>
      <c r="E12"/>
      <c r="G12" s="14"/>
      <c r="H12" s="14"/>
      <c r="I12" s="14">
        <v>10</v>
      </c>
      <c r="J12" s="42"/>
      <c r="K12" s="46">
        <f>IF($K$11&lt;$L$17,$M$17,IF($K$11&lt;$L$16,$M$16,IF($K$11&lt;$L$15,$M$15,IF($K$11&lt;$L$14,$M$14,IF($K$11&lt;$L$13,$M$13,$M$12)))))</f>
        <v>2.5000000000000001E-3</v>
      </c>
      <c r="L12" s="42">
        <v>0.69099999999999995</v>
      </c>
      <c r="M12" s="45">
        <v>0.02</v>
      </c>
      <c r="AA12" s="26">
        <v>11</v>
      </c>
    </row>
    <row r="13" spans="1:37" x14ac:dyDescent="0.25">
      <c r="A13" t="s">
        <v>450</v>
      </c>
      <c r="C13" t="s">
        <v>114</v>
      </c>
      <c r="D13" t="s">
        <v>45</v>
      </c>
      <c r="E13"/>
      <c r="G13" s="14"/>
      <c r="H13" s="14"/>
      <c r="I13" s="14"/>
      <c r="J13" s="14"/>
      <c r="L13" s="42">
        <v>0.55000000000000004</v>
      </c>
      <c r="M13" s="45">
        <v>1.4999999999999999E-2</v>
      </c>
    </row>
    <row r="14" spans="1:37" x14ac:dyDescent="0.25">
      <c r="A14" t="s">
        <v>405</v>
      </c>
      <c r="C14" t="s">
        <v>116</v>
      </c>
      <c r="D14" t="s">
        <v>48</v>
      </c>
      <c r="E14" t="s">
        <v>42</v>
      </c>
      <c r="G14" s="14"/>
      <c r="H14" s="14"/>
      <c r="I14" s="14"/>
      <c r="J14" s="14" t="s">
        <v>486</v>
      </c>
      <c r="L14" s="42">
        <v>0.5</v>
      </c>
      <c r="M14" s="45">
        <v>1.2500000000000001E-2</v>
      </c>
    </row>
    <row r="15" spans="1:37" x14ac:dyDescent="0.25">
      <c r="A15" t="s">
        <v>447</v>
      </c>
      <c r="C15" t="s">
        <v>118</v>
      </c>
      <c r="D15" t="s">
        <v>60</v>
      </c>
      <c r="E15" t="s">
        <v>29</v>
      </c>
      <c r="G15" s="9"/>
      <c r="H15" s="9"/>
      <c r="I15" s="9"/>
      <c r="J15" s="9"/>
      <c r="L15" s="43">
        <v>0.43009999999999998</v>
      </c>
      <c r="M15" s="45">
        <v>0.01</v>
      </c>
    </row>
    <row r="16" spans="1:37" x14ac:dyDescent="0.25">
      <c r="A16" t="s">
        <v>411</v>
      </c>
      <c r="C16" t="s">
        <v>117</v>
      </c>
      <c r="D16" t="s">
        <v>20</v>
      </c>
      <c r="E16" t="s">
        <v>64</v>
      </c>
      <c r="G16" s="9"/>
      <c r="H16" s="9"/>
      <c r="I16" s="9"/>
      <c r="J16" s="9"/>
      <c r="L16" s="43">
        <v>0.30010000000000003</v>
      </c>
      <c r="M16" s="45">
        <v>5.0000000000000001E-3</v>
      </c>
    </row>
    <row r="17" spans="1:13" x14ac:dyDescent="0.25">
      <c r="A17" t="s">
        <v>414</v>
      </c>
      <c r="D17" t="s">
        <v>36</v>
      </c>
      <c r="E17" t="s">
        <v>19</v>
      </c>
      <c r="G17" s="9"/>
      <c r="H17" s="9"/>
      <c r="I17" s="9"/>
      <c r="J17" s="9"/>
      <c r="L17" s="43">
        <v>0.1</v>
      </c>
      <c r="M17" s="45">
        <v>2.5000000000000001E-3</v>
      </c>
    </row>
    <row r="18" spans="1:13" x14ac:dyDescent="0.25">
      <c r="A18" t="s">
        <v>404</v>
      </c>
      <c r="D18" t="s">
        <v>71</v>
      </c>
      <c r="E18" t="s">
        <v>121</v>
      </c>
      <c r="G18" s="9"/>
      <c r="H18" s="9"/>
      <c r="I18" s="9"/>
      <c r="J18" s="9"/>
      <c r="K18" s="9"/>
    </row>
    <row r="19" spans="1:13" x14ac:dyDescent="0.25">
      <c r="A19" t="s">
        <v>443</v>
      </c>
      <c r="D19" t="s">
        <v>11</v>
      </c>
      <c r="E19" t="s">
        <v>58</v>
      </c>
      <c r="G19" s="9"/>
      <c r="H19" s="9"/>
      <c r="I19" s="9"/>
      <c r="J19" s="43" t="s">
        <v>217</v>
      </c>
      <c r="K19" s="43" t="e">
        <f>#REF!/(#REF!*52)</f>
        <v>#REF!</v>
      </c>
      <c r="L19" s="1" t="s">
        <v>478</v>
      </c>
      <c r="M19" s="1" t="s">
        <v>479</v>
      </c>
    </row>
    <row r="20" spans="1:13" x14ac:dyDescent="0.25">
      <c r="A20" t="s">
        <v>427</v>
      </c>
      <c r="D20" t="s">
        <v>9</v>
      </c>
      <c r="E20" t="s">
        <v>22</v>
      </c>
      <c r="G20" s="9"/>
      <c r="H20" s="9"/>
      <c r="I20" s="9"/>
      <c r="J20" s="43"/>
      <c r="K20" s="43" t="e">
        <f>IF($K$19&lt;$L$24,$M$24,IF($K$19&lt;$L$23,$M$23,IF($K$19&lt;$L$22,$M$22,IF($K$19&lt;$L$21,$M$21,$M$20))))</f>
        <v>#REF!</v>
      </c>
      <c r="L20" s="1"/>
      <c r="M20" s="45">
        <v>1.4999999999999999E-2</v>
      </c>
    </row>
    <row r="21" spans="1:13" x14ac:dyDescent="0.25">
      <c r="A21" t="s">
        <v>439</v>
      </c>
      <c r="D21" t="s">
        <v>38</v>
      </c>
      <c r="E21" t="s">
        <v>43</v>
      </c>
      <c r="G21" s="9"/>
      <c r="H21" s="9"/>
      <c r="I21" s="9"/>
      <c r="J21" s="9"/>
      <c r="K21" s="9"/>
      <c r="L21" s="1">
        <v>3133.9311044776123</v>
      </c>
      <c r="M21" s="45">
        <v>0.01</v>
      </c>
    </row>
    <row r="22" spans="1:13" x14ac:dyDescent="0.25">
      <c r="A22" t="s">
        <v>409</v>
      </c>
      <c r="D22" t="s">
        <v>261</v>
      </c>
      <c r="E22" t="s">
        <v>10</v>
      </c>
      <c r="L22" s="1">
        <v>2118.2275862069</v>
      </c>
      <c r="M22" s="45">
        <v>7.4999999999999997E-3</v>
      </c>
    </row>
    <row r="23" spans="1:13" x14ac:dyDescent="0.25">
      <c r="A23" t="s">
        <v>429</v>
      </c>
      <c r="D23" t="s">
        <v>257</v>
      </c>
      <c r="E23" t="s">
        <v>55</v>
      </c>
      <c r="L23" s="1">
        <v>1484.5700242718401</v>
      </c>
      <c r="M23" s="45">
        <v>5.0000000000000001E-3</v>
      </c>
    </row>
    <row r="24" spans="1:13" x14ac:dyDescent="0.25">
      <c r="A24" t="s">
        <v>420</v>
      </c>
      <c r="D24" t="s">
        <v>258</v>
      </c>
      <c r="E24" t="s">
        <v>26</v>
      </c>
      <c r="L24" s="1">
        <v>968.90328358209001</v>
      </c>
      <c r="M24" s="45">
        <v>0</v>
      </c>
    </row>
    <row r="25" spans="1:13" ht="18.75" x14ac:dyDescent="0.3">
      <c r="A25" t="s">
        <v>445</v>
      </c>
      <c r="D25" t="s">
        <v>259</v>
      </c>
      <c r="E25" t="s">
        <v>50</v>
      </c>
      <c r="G25" s="11"/>
      <c r="H25" s="11"/>
      <c r="I25" s="11"/>
      <c r="J25" s="11"/>
      <c r="K25" s="11"/>
    </row>
    <row r="26" spans="1:13" x14ac:dyDescent="0.25">
      <c r="A26" t="s">
        <v>434</v>
      </c>
      <c r="D26" t="s">
        <v>260</v>
      </c>
      <c r="E26" t="s">
        <v>67</v>
      </c>
    </row>
    <row r="27" spans="1:13" x14ac:dyDescent="0.25">
      <c r="A27" t="s">
        <v>400</v>
      </c>
      <c r="D27" t="s">
        <v>262</v>
      </c>
      <c r="E27" t="s">
        <v>32</v>
      </c>
    </row>
    <row r="28" spans="1:13" x14ac:dyDescent="0.25">
      <c r="A28" t="s">
        <v>403</v>
      </c>
      <c r="D28" t="s">
        <v>263</v>
      </c>
      <c r="E28" t="s">
        <v>80</v>
      </c>
    </row>
    <row r="29" spans="1:13" x14ac:dyDescent="0.25">
      <c r="A29" t="s">
        <v>448</v>
      </c>
      <c r="D29" t="s">
        <v>264</v>
      </c>
      <c r="E29" t="s">
        <v>46</v>
      </c>
    </row>
    <row r="30" spans="1:13" x14ac:dyDescent="0.25">
      <c r="A30" t="s">
        <v>433</v>
      </c>
      <c r="D30" t="s">
        <v>265</v>
      </c>
      <c r="E30" t="s">
        <v>77</v>
      </c>
    </row>
    <row r="31" spans="1:13" x14ac:dyDescent="0.25">
      <c r="A31" t="s">
        <v>438</v>
      </c>
      <c r="E31" t="s">
        <v>65</v>
      </c>
    </row>
    <row r="32" spans="1:13" x14ac:dyDescent="0.25">
      <c r="A32" t="s">
        <v>428</v>
      </c>
      <c r="E32" t="s">
        <v>37</v>
      </c>
    </row>
    <row r="33" spans="1:5" x14ac:dyDescent="0.25">
      <c r="A33" t="s">
        <v>422</v>
      </c>
      <c r="D33" t="s">
        <v>261</v>
      </c>
      <c r="E33" t="s">
        <v>2</v>
      </c>
    </row>
    <row r="34" spans="1:5" x14ac:dyDescent="0.25">
      <c r="A34" t="s">
        <v>441</v>
      </c>
      <c r="D34" t="s">
        <v>257</v>
      </c>
      <c r="E34" t="s">
        <v>52</v>
      </c>
    </row>
    <row r="35" spans="1:5" x14ac:dyDescent="0.25">
      <c r="A35" t="s">
        <v>408</v>
      </c>
      <c r="D35" t="s">
        <v>258</v>
      </c>
      <c r="E35" t="s">
        <v>76</v>
      </c>
    </row>
    <row r="36" spans="1:5" x14ac:dyDescent="0.25">
      <c r="A36" t="s">
        <v>430</v>
      </c>
      <c r="D36" t="s">
        <v>259</v>
      </c>
      <c r="E36" t="s">
        <v>63</v>
      </c>
    </row>
    <row r="37" spans="1:5" x14ac:dyDescent="0.25">
      <c r="A37" t="s">
        <v>426</v>
      </c>
      <c r="D37" t="s">
        <v>260</v>
      </c>
      <c r="E37" t="s">
        <v>68</v>
      </c>
    </row>
    <row r="38" spans="1:5" x14ac:dyDescent="0.25">
      <c r="A38" t="s">
        <v>442</v>
      </c>
      <c r="D38" t="s">
        <v>262</v>
      </c>
      <c r="E38" t="s">
        <v>21</v>
      </c>
    </row>
    <row r="39" spans="1:5" x14ac:dyDescent="0.25">
      <c r="A39" t="s">
        <v>431</v>
      </c>
      <c r="D39" t="s">
        <v>263</v>
      </c>
      <c r="E39" t="s">
        <v>51</v>
      </c>
    </row>
    <row r="40" spans="1:5" x14ac:dyDescent="0.25">
      <c r="A40" t="s">
        <v>406</v>
      </c>
      <c r="D40" t="s">
        <v>264</v>
      </c>
      <c r="E40" t="s">
        <v>41</v>
      </c>
    </row>
    <row r="41" spans="1:5" x14ac:dyDescent="0.25">
      <c r="A41" t="s">
        <v>407</v>
      </c>
      <c r="D41" t="s">
        <v>265</v>
      </c>
      <c r="E41" t="s">
        <v>28</v>
      </c>
    </row>
    <row r="42" spans="1:5" x14ac:dyDescent="0.25">
      <c r="A42" t="s">
        <v>418</v>
      </c>
      <c r="E42" t="s">
        <v>39</v>
      </c>
    </row>
    <row r="43" spans="1:5" x14ac:dyDescent="0.25">
      <c r="A43" t="s">
        <v>437</v>
      </c>
      <c r="E43" t="s">
        <v>49</v>
      </c>
    </row>
    <row r="44" spans="1:5" x14ac:dyDescent="0.25">
      <c r="A44" t="s">
        <v>417</v>
      </c>
      <c r="E44" t="s">
        <v>243</v>
      </c>
    </row>
    <row r="45" spans="1:5" x14ac:dyDescent="0.25">
      <c r="A45" t="s">
        <v>413</v>
      </c>
      <c r="E45" t="s">
        <v>66</v>
      </c>
    </row>
    <row r="46" spans="1:5" x14ac:dyDescent="0.25">
      <c r="A46" t="s">
        <v>402</v>
      </c>
      <c r="E46" t="s">
        <v>70</v>
      </c>
    </row>
    <row r="47" spans="1:5" x14ac:dyDescent="0.25">
      <c r="A47" t="s">
        <v>452</v>
      </c>
      <c r="E47" t="s">
        <v>24</v>
      </c>
    </row>
    <row r="48" spans="1:5" x14ac:dyDescent="0.25">
      <c r="A48" t="s">
        <v>440</v>
      </c>
      <c r="E48" t="s">
        <v>72</v>
      </c>
    </row>
    <row r="49" spans="1:5" x14ac:dyDescent="0.25">
      <c r="A49" t="s">
        <v>444</v>
      </c>
      <c r="E49" t="s">
        <v>27</v>
      </c>
    </row>
    <row r="50" spans="1:5" x14ac:dyDescent="0.25">
      <c r="A50" t="s">
        <v>424</v>
      </c>
      <c r="E50" t="s">
        <v>59</v>
      </c>
    </row>
    <row r="51" spans="1:5" x14ac:dyDescent="0.25">
      <c r="A51" t="s">
        <v>415</v>
      </c>
      <c r="E51" t="s">
        <v>54</v>
      </c>
    </row>
    <row r="52" spans="1:5" x14ac:dyDescent="0.25">
      <c r="A52" t="s">
        <v>410</v>
      </c>
      <c r="E52" t="s">
        <v>122</v>
      </c>
    </row>
    <row r="53" spans="1:5" x14ac:dyDescent="0.25">
      <c r="A53" t="s">
        <v>435</v>
      </c>
      <c r="E53" t="s">
        <v>7</v>
      </c>
    </row>
    <row r="54" spans="1:5" x14ac:dyDescent="0.25">
      <c r="A54" t="s">
        <v>449</v>
      </c>
      <c r="E54" t="s">
        <v>16</v>
      </c>
    </row>
    <row r="55" spans="1:5" x14ac:dyDescent="0.25">
      <c r="E55" t="s">
        <v>73</v>
      </c>
    </row>
    <row r="56" spans="1:5" x14ac:dyDescent="0.25">
      <c r="E56" t="s">
        <v>25</v>
      </c>
    </row>
    <row r="57" spans="1:5" x14ac:dyDescent="0.25">
      <c r="E57" t="s">
        <v>47</v>
      </c>
    </row>
    <row r="58" spans="1:5" x14ac:dyDescent="0.25">
      <c r="E58" t="s">
        <v>30</v>
      </c>
    </row>
    <row r="59" spans="1:5" x14ac:dyDescent="0.25">
      <c r="E59" t="s">
        <v>40</v>
      </c>
    </row>
    <row r="60" spans="1:5" x14ac:dyDescent="0.25">
      <c r="E60" t="s">
        <v>17</v>
      </c>
    </row>
    <row r="61" spans="1:5" x14ac:dyDescent="0.25">
      <c r="E61" t="s">
        <v>75</v>
      </c>
    </row>
    <row r="62" spans="1:5" x14ac:dyDescent="0.25">
      <c r="E62" t="s">
        <v>61</v>
      </c>
    </row>
    <row r="63" spans="1:5" x14ac:dyDescent="0.25">
      <c r="E63" t="s">
        <v>44</v>
      </c>
    </row>
    <row r="64" spans="1:5" x14ac:dyDescent="0.25">
      <c r="E64" t="s">
        <v>31</v>
      </c>
    </row>
    <row r="65" spans="5:5" x14ac:dyDescent="0.25">
      <c r="E65" t="s">
        <v>57</v>
      </c>
    </row>
    <row r="66" spans="5:5" x14ac:dyDescent="0.25">
      <c r="E66" t="s">
        <v>78</v>
      </c>
    </row>
    <row r="67" spans="5:5" x14ac:dyDescent="0.25">
      <c r="E67" t="s">
        <v>81</v>
      </c>
    </row>
    <row r="68" spans="5:5" x14ac:dyDescent="0.25">
      <c r="E68" t="s">
        <v>79</v>
      </c>
    </row>
    <row r="69" spans="5:5" x14ac:dyDescent="0.25">
      <c r="E69" t="s">
        <v>53</v>
      </c>
    </row>
    <row r="70" spans="5:5" x14ac:dyDescent="0.25">
      <c r="E70"/>
    </row>
    <row r="71" spans="5:5" x14ac:dyDescent="0.25">
      <c r="E71"/>
    </row>
    <row r="72" spans="5:5" x14ac:dyDescent="0.25">
      <c r="E72"/>
    </row>
    <row r="73" spans="5:5" x14ac:dyDescent="0.25">
      <c r="E73"/>
    </row>
    <row r="74" spans="5:5" x14ac:dyDescent="0.25">
      <c r="E74"/>
    </row>
    <row r="75" spans="5:5" x14ac:dyDescent="0.25">
      <c r="E75"/>
    </row>
    <row r="76" spans="5:5" x14ac:dyDescent="0.25">
      <c r="E76"/>
    </row>
    <row r="77" spans="5:5" x14ac:dyDescent="0.25">
      <c r="E77"/>
    </row>
    <row r="78" spans="5:5" x14ac:dyDescent="0.25">
      <c r="E78"/>
    </row>
    <row r="79" spans="5:5" x14ac:dyDescent="0.25">
      <c r="E79"/>
    </row>
    <row r="80" spans="5:5" x14ac:dyDescent="0.25">
      <c r="E80"/>
    </row>
    <row r="81" spans="5:5" x14ac:dyDescent="0.25">
      <c r="E81"/>
    </row>
    <row r="82" spans="5:5" x14ac:dyDescent="0.25">
      <c r="E82"/>
    </row>
    <row r="83" spans="5:5" x14ac:dyDescent="0.25">
      <c r="E83"/>
    </row>
    <row r="84" spans="5:5" x14ac:dyDescent="0.25">
      <c r="E84"/>
    </row>
    <row r="85" spans="5:5" x14ac:dyDescent="0.25">
      <c r="E85"/>
    </row>
    <row r="86" spans="5:5" x14ac:dyDescent="0.25">
      <c r="E86"/>
    </row>
    <row r="87" spans="5:5" x14ac:dyDescent="0.25">
      <c r="E87"/>
    </row>
    <row r="88" spans="5:5" x14ac:dyDescent="0.25">
      <c r="E88"/>
    </row>
    <row r="89" spans="5:5" x14ac:dyDescent="0.25">
      <c r="E89"/>
    </row>
    <row r="90" spans="5:5" x14ac:dyDescent="0.25">
      <c r="E90"/>
    </row>
    <row r="91" spans="5:5" x14ac:dyDescent="0.25">
      <c r="E91"/>
    </row>
    <row r="92" spans="5:5" x14ac:dyDescent="0.25">
      <c r="E92"/>
    </row>
    <row r="93" spans="5:5" x14ac:dyDescent="0.25">
      <c r="E93"/>
    </row>
    <row r="94" spans="5:5" x14ac:dyDescent="0.25">
      <c r="E94"/>
    </row>
    <row r="95" spans="5:5" x14ac:dyDescent="0.25">
      <c r="E95"/>
    </row>
    <row r="96" spans="5:5" x14ac:dyDescent="0.25">
      <c r="E96"/>
    </row>
    <row r="97" spans="5:5" x14ac:dyDescent="0.25">
      <c r="E97"/>
    </row>
    <row r="98" spans="5:5" x14ac:dyDescent="0.25">
      <c r="E98"/>
    </row>
    <row r="99" spans="5:5" x14ac:dyDescent="0.25">
      <c r="E99"/>
    </row>
    <row r="100" spans="5:5" x14ac:dyDescent="0.25">
      <c r="E100"/>
    </row>
    <row r="101" spans="5:5" x14ac:dyDescent="0.25">
      <c r="E101"/>
    </row>
    <row r="102" spans="5:5" x14ac:dyDescent="0.25">
      <c r="E102"/>
    </row>
    <row r="103" spans="5:5" x14ac:dyDescent="0.25">
      <c r="E103"/>
    </row>
    <row r="104" spans="5:5" x14ac:dyDescent="0.25">
      <c r="E104"/>
    </row>
    <row r="105" spans="5:5" x14ac:dyDescent="0.25">
      <c r="E105"/>
    </row>
    <row r="106" spans="5:5" x14ac:dyDescent="0.25">
      <c r="E106"/>
    </row>
    <row r="107" spans="5:5" x14ac:dyDescent="0.25">
      <c r="E107"/>
    </row>
    <row r="108" spans="5:5" x14ac:dyDescent="0.25">
      <c r="E108"/>
    </row>
    <row r="109" spans="5:5" x14ac:dyDescent="0.25">
      <c r="E109"/>
    </row>
    <row r="110" spans="5:5" x14ac:dyDescent="0.25">
      <c r="E110"/>
    </row>
    <row r="111" spans="5:5" x14ac:dyDescent="0.25">
      <c r="E111"/>
    </row>
    <row r="112" spans="5:5" x14ac:dyDescent="0.25">
      <c r="E112"/>
    </row>
    <row r="113" spans="5:5" x14ac:dyDescent="0.25">
      <c r="E113"/>
    </row>
    <row r="114" spans="5:5" x14ac:dyDescent="0.25">
      <c r="E114"/>
    </row>
    <row r="115" spans="5:5" x14ac:dyDescent="0.25">
      <c r="E115"/>
    </row>
    <row r="116" spans="5:5" x14ac:dyDescent="0.25">
      <c r="E116"/>
    </row>
    <row r="117" spans="5:5" x14ac:dyDescent="0.25">
      <c r="E117"/>
    </row>
    <row r="118" spans="5:5" x14ac:dyDescent="0.25">
      <c r="E118"/>
    </row>
    <row r="119" spans="5:5" x14ac:dyDescent="0.25">
      <c r="E119"/>
    </row>
    <row r="120" spans="5:5" x14ac:dyDescent="0.25">
      <c r="E120"/>
    </row>
    <row r="121" spans="5:5" x14ac:dyDescent="0.25">
      <c r="E121"/>
    </row>
    <row r="122" spans="5:5" x14ac:dyDescent="0.25">
      <c r="E122"/>
    </row>
    <row r="123" spans="5:5" x14ac:dyDescent="0.25">
      <c r="E123"/>
    </row>
    <row r="124" spans="5:5" x14ac:dyDescent="0.25">
      <c r="E124"/>
    </row>
    <row r="125" spans="5:5" x14ac:dyDescent="0.25">
      <c r="E125"/>
    </row>
    <row r="126" spans="5:5" x14ac:dyDescent="0.25">
      <c r="E126"/>
    </row>
    <row r="127" spans="5:5" x14ac:dyDescent="0.25">
      <c r="E127"/>
    </row>
    <row r="128" spans="5:5" x14ac:dyDescent="0.25">
      <c r="E128"/>
    </row>
    <row r="129" spans="5:5" x14ac:dyDescent="0.25">
      <c r="E129"/>
    </row>
    <row r="130" spans="5:5" x14ac:dyDescent="0.25">
      <c r="E130"/>
    </row>
    <row r="131" spans="5:5" x14ac:dyDescent="0.25">
      <c r="E131"/>
    </row>
    <row r="132" spans="5:5" x14ac:dyDescent="0.25">
      <c r="E132"/>
    </row>
    <row r="133" spans="5:5" x14ac:dyDescent="0.25">
      <c r="E133"/>
    </row>
    <row r="134" spans="5:5" x14ac:dyDescent="0.25">
      <c r="E134"/>
    </row>
    <row r="135" spans="5:5" x14ac:dyDescent="0.25">
      <c r="E135"/>
    </row>
    <row r="136" spans="5:5" x14ac:dyDescent="0.25">
      <c r="E136"/>
    </row>
    <row r="137" spans="5:5" x14ac:dyDescent="0.25">
      <c r="E137"/>
    </row>
    <row r="138" spans="5:5" x14ac:dyDescent="0.25">
      <c r="E138"/>
    </row>
    <row r="139" spans="5:5" x14ac:dyDescent="0.25">
      <c r="E139"/>
    </row>
    <row r="140" spans="5:5" x14ac:dyDescent="0.25">
      <c r="E140"/>
    </row>
    <row r="141" spans="5:5" x14ac:dyDescent="0.25">
      <c r="E141"/>
    </row>
    <row r="142" spans="5:5" x14ac:dyDescent="0.25">
      <c r="E142"/>
    </row>
    <row r="143" spans="5:5" x14ac:dyDescent="0.25">
      <c r="E143"/>
    </row>
    <row r="144" spans="5:5" x14ac:dyDescent="0.25">
      <c r="E144"/>
    </row>
    <row r="145" spans="5:5" x14ac:dyDescent="0.25">
      <c r="E145"/>
    </row>
    <row r="146" spans="5:5" x14ac:dyDescent="0.25">
      <c r="E146"/>
    </row>
    <row r="147" spans="5:5" x14ac:dyDescent="0.25">
      <c r="E147"/>
    </row>
    <row r="148" spans="5:5" x14ac:dyDescent="0.25">
      <c r="E148"/>
    </row>
    <row r="149" spans="5:5" x14ac:dyDescent="0.25">
      <c r="E149"/>
    </row>
    <row r="150" spans="5:5" x14ac:dyDescent="0.25">
      <c r="E150"/>
    </row>
    <row r="151" spans="5:5" x14ac:dyDescent="0.25">
      <c r="E151"/>
    </row>
    <row r="152" spans="5:5" x14ac:dyDescent="0.25">
      <c r="E152"/>
    </row>
    <row r="153" spans="5:5" x14ac:dyDescent="0.25">
      <c r="E153"/>
    </row>
    <row r="154" spans="5:5" x14ac:dyDescent="0.25">
      <c r="E154"/>
    </row>
    <row r="155" spans="5:5" x14ac:dyDescent="0.25">
      <c r="E155"/>
    </row>
    <row r="156" spans="5:5" x14ac:dyDescent="0.25">
      <c r="E156"/>
    </row>
    <row r="157" spans="5:5" x14ac:dyDescent="0.25">
      <c r="E157"/>
    </row>
    <row r="158" spans="5:5" x14ac:dyDescent="0.25">
      <c r="E158"/>
    </row>
    <row r="159" spans="5:5" x14ac:dyDescent="0.25">
      <c r="E159"/>
    </row>
    <row r="160" spans="5:5" x14ac:dyDescent="0.25">
      <c r="E160"/>
    </row>
    <row r="161" spans="5:5" x14ac:dyDescent="0.25">
      <c r="E161"/>
    </row>
    <row r="162" spans="5:5" x14ac:dyDescent="0.25">
      <c r="E162"/>
    </row>
    <row r="163" spans="5:5" x14ac:dyDescent="0.25">
      <c r="E163"/>
    </row>
    <row r="164" spans="5:5" x14ac:dyDescent="0.25">
      <c r="E164"/>
    </row>
    <row r="165" spans="5:5" x14ac:dyDescent="0.25">
      <c r="E165"/>
    </row>
    <row r="166" spans="5:5" x14ac:dyDescent="0.25">
      <c r="E166"/>
    </row>
    <row r="167" spans="5:5" x14ac:dyDescent="0.25">
      <c r="E167"/>
    </row>
    <row r="168" spans="5:5" x14ac:dyDescent="0.25">
      <c r="E168"/>
    </row>
    <row r="169" spans="5:5" x14ac:dyDescent="0.25">
      <c r="E169"/>
    </row>
    <row r="170" spans="5:5" x14ac:dyDescent="0.25">
      <c r="E170"/>
    </row>
    <row r="171" spans="5:5" x14ac:dyDescent="0.25">
      <c r="E171"/>
    </row>
    <row r="172" spans="5:5" x14ac:dyDescent="0.25">
      <c r="E172"/>
    </row>
    <row r="173" spans="5:5" x14ac:dyDescent="0.25">
      <c r="E173"/>
    </row>
    <row r="174" spans="5:5" x14ac:dyDescent="0.25">
      <c r="E174"/>
    </row>
    <row r="175" spans="5:5" x14ac:dyDescent="0.25">
      <c r="E175"/>
    </row>
    <row r="176" spans="5:5" x14ac:dyDescent="0.25">
      <c r="E176"/>
    </row>
    <row r="177" spans="5:5" x14ac:dyDescent="0.25">
      <c r="E177"/>
    </row>
    <row r="178" spans="5:5" x14ac:dyDescent="0.25">
      <c r="E178"/>
    </row>
    <row r="179" spans="5:5" x14ac:dyDescent="0.25">
      <c r="E179"/>
    </row>
    <row r="180" spans="5:5" x14ac:dyDescent="0.25">
      <c r="E180"/>
    </row>
    <row r="181" spans="5:5" x14ac:dyDescent="0.25">
      <c r="E181"/>
    </row>
    <row r="182" spans="5:5" x14ac:dyDescent="0.25">
      <c r="E182"/>
    </row>
    <row r="183" spans="5:5" x14ac:dyDescent="0.25">
      <c r="E183"/>
    </row>
    <row r="184" spans="5:5" x14ac:dyDescent="0.25">
      <c r="E184"/>
    </row>
    <row r="185" spans="5:5" x14ac:dyDescent="0.25">
      <c r="E185"/>
    </row>
    <row r="186" spans="5:5" x14ac:dyDescent="0.25">
      <c r="E186"/>
    </row>
    <row r="187" spans="5:5" x14ac:dyDescent="0.25">
      <c r="E187"/>
    </row>
    <row r="188" spans="5:5" x14ac:dyDescent="0.25">
      <c r="E188"/>
    </row>
    <row r="189" spans="5:5" x14ac:dyDescent="0.25">
      <c r="E189"/>
    </row>
    <row r="190" spans="5:5" x14ac:dyDescent="0.25">
      <c r="E190"/>
    </row>
    <row r="191" spans="5:5" x14ac:dyDescent="0.25">
      <c r="E191"/>
    </row>
    <row r="192" spans="5:5" x14ac:dyDescent="0.25">
      <c r="E192"/>
    </row>
    <row r="193" spans="5:5" x14ac:dyDescent="0.25">
      <c r="E193"/>
    </row>
    <row r="194" spans="5:5" x14ac:dyDescent="0.25">
      <c r="E194"/>
    </row>
    <row r="195" spans="5:5" x14ac:dyDescent="0.25">
      <c r="E195"/>
    </row>
    <row r="196" spans="5:5" x14ac:dyDescent="0.25">
      <c r="E196"/>
    </row>
    <row r="197" spans="5:5" x14ac:dyDescent="0.25">
      <c r="E197"/>
    </row>
    <row r="198" spans="5:5" x14ac:dyDescent="0.25">
      <c r="E198"/>
    </row>
    <row r="199" spans="5:5" x14ac:dyDescent="0.25">
      <c r="E199"/>
    </row>
    <row r="200" spans="5:5" x14ac:dyDescent="0.25">
      <c r="E200"/>
    </row>
    <row r="201" spans="5:5" x14ac:dyDescent="0.25">
      <c r="E201"/>
    </row>
    <row r="202" spans="5:5" x14ac:dyDescent="0.25">
      <c r="E202"/>
    </row>
    <row r="203" spans="5:5" x14ac:dyDescent="0.25">
      <c r="E203"/>
    </row>
    <row r="204" spans="5:5" x14ac:dyDescent="0.25">
      <c r="E204"/>
    </row>
    <row r="205" spans="5:5" x14ac:dyDescent="0.25">
      <c r="E205"/>
    </row>
    <row r="206" spans="5:5" x14ac:dyDescent="0.25">
      <c r="E206"/>
    </row>
    <row r="207" spans="5:5" x14ac:dyDescent="0.25">
      <c r="E207"/>
    </row>
    <row r="208" spans="5:5" x14ac:dyDescent="0.25">
      <c r="E208"/>
    </row>
    <row r="209" spans="5:5" x14ac:dyDescent="0.25">
      <c r="E209"/>
    </row>
    <row r="210" spans="5:5" x14ac:dyDescent="0.25">
      <c r="E210"/>
    </row>
    <row r="211" spans="5:5" x14ac:dyDescent="0.25">
      <c r="E211"/>
    </row>
    <row r="212" spans="5:5" x14ac:dyDescent="0.25">
      <c r="E212"/>
    </row>
    <row r="213" spans="5:5" x14ac:dyDescent="0.25">
      <c r="E213"/>
    </row>
    <row r="214" spans="5:5" x14ac:dyDescent="0.25">
      <c r="E214"/>
    </row>
    <row r="215" spans="5:5" x14ac:dyDescent="0.25">
      <c r="E215"/>
    </row>
    <row r="216" spans="5:5" x14ac:dyDescent="0.25">
      <c r="E216"/>
    </row>
    <row r="217" spans="5:5" x14ac:dyDescent="0.25">
      <c r="E217"/>
    </row>
    <row r="218" spans="5:5" x14ac:dyDescent="0.25">
      <c r="E218"/>
    </row>
    <row r="219" spans="5:5" x14ac:dyDescent="0.25">
      <c r="E219"/>
    </row>
    <row r="220" spans="5:5" x14ac:dyDescent="0.25">
      <c r="E220"/>
    </row>
    <row r="221" spans="5:5" x14ac:dyDescent="0.25">
      <c r="E221"/>
    </row>
    <row r="222" spans="5:5" x14ac:dyDescent="0.25">
      <c r="E222"/>
    </row>
    <row r="223" spans="5:5" x14ac:dyDescent="0.25">
      <c r="E223"/>
    </row>
    <row r="224" spans="5:5" x14ac:dyDescent="0.25">
      <c r="E224"/>
    </row>
    <row r="225" spans="5:5" x14ac:dyDescent="0.25">
      <c r="E225"/>
    </row>
    <row r="226" spans="5:5" x14ac:dyDescent="0.25">
      <c r="E226"/>
    </row>
    <row r="227" spans="5:5" x14ac:dyDescent="0.25">
      <c r="E227"/>
    </row>
    <row r="228" spans="5:5" x14ac:dyDescent="0.25">
      <c r="E228"/>
    </row>
    <row r="229" spans="5:5" x14ac:dyDescent="0.25">
      <c r="E229"/>
    </row>
    <row r="230" spans="5:5" x14ac:dyDescent="0.25">
      <c r="E230"/>
    </row>
    <row r="231" spans="5:5" x14ac:dyDescent="0.25">
      <c r="E231"/>
    </row>
    <row r="232" spans="5:5" x14ac:dyDescent="0.25">
      <c r="E232"/>
    </row>
    <row r="233" spans="5:5" x14ac:dyDescent="0.25">
      <c r="E233"/>
    </row>
    <row r="234" spans="5:5" x14ac:dyDescent="0.25">
      <c r="E234"/>
    </row>
    <row r="235" spans="5:5" x14ac:dyDescent="0.25">
      <c r="E235"/>
    </row>
    <row r="236" spans="5:5" x14ac:dyDescent="0.25">
      <c r="E236"/>
    </row>
    <row r="237" spans="5:5" x14ac:dyDescent="0.25">
      <c r="E237"/>
    </row>
    <row r="238" spans="5:5" x14ac:dyDescent="0.25">
      <c r="E238"/>
    </row>
    <row r="239" spans="5:5" x14ac:dyDescent="0.25">
      <c r="E239"/>
    </row>
    <row r="240" spans="5:5" x14ac:dyDescent="0.25">
      <c r="E240"/>
    </row>
    <row r="241" spans="5:5" x14ac:dyDescent="0.25">
      <c r="E241"/>
    </row>
    <row r="242" spans="5:5" x14ac:dyDescent="0.25">
      <c r="E242"/>
    </row>
    <row r="243" spans="5:5" x14ac:dyDescent="0.25">
      <c r="E243"/>
    </row>
    <row r="244" spans="5:5" x14ac:dyDescent="0.25">
      <c r="E244"/>
    </row>
    <row r="245" spans="5:5" x14ac:dyDescent="0.25">
      <c r="E245"/>
    </row>
    <row r="246" spans="5:5" x14ac:dyDescent="0.25">
      <c r="E246"/>
    </row>
    <row r="247" spans="5:5" x14ac:dyDescent="0.25">
      <c r="E247"/>
    </row>
    <row r="248" spans="5:5" x14ac:dyDescent="0.25">
      <c r="E248"/>
    </row>
    <row r="249" spans="5:5" x14ac:dyDescent="0.25">
      <c r="E249"/>
    </row>
    <row r="250" spans="5:5" x14ac:dyDescent="0.25">
      <c r="E250"/>
    </row>
    <row r="251" spans="5:5" x14ac:dyDescent="0.25">
      <c r="E251"/>
    </row>
    <row r="252" spans="5:5" x14ac:dyDescent="0.25">
      <c r="E252"/>
    </row>
    <row r="253" spans="5:5" x14ac:dyDescent="0.25">
      <c r="E253"/>
    </row>
    <row r="254" spans="5:5" x14ac:dyDescent="0.25">
      <c r="E254"/>
    </row>
    <row r="255" spans="5:5" x14ac:dyDescent="0.25">
      <c r="E255"/>
    </row>
    <row r="256" spans="5:5" x14ac:dyDescent="0.25">
      <c r="E256"/>
    </row>
    <row r="257" spans="5:5" x14ac:dyDescent="0.25">
      <c r="E257"/>
    </row>
    <row r="258" spans="5:5" x14ac:dyDescent="0.25">
      <c r="E258"/>
    </row>
    <row r="259" spans="5:5" x14ac:dyDescent="0.25">
      <c r="E259"/>
    </row>
    <row r="260" spans="5:5" x14ac:dyDescent="0.25">
      <c r="E260"/>
    </row>
    <row r="261" spans="5:5" x14ac:dyDescent="0.25">
      <c r="E261"/>
    </row>
    <row r="262" spans="5:5" x14ac:dyDescent="0.25">
      <c r="E262"/>
    </row>
    <row r="263" spans="5:5" x14ac:dyDescent="0.25">
      <c r="E263"/>
    </row>
    <row r="264" spans="5:5" x14ac:dyDescent="0.25">
      <c r="E264"/>
    </row>
    <row r="265" spans="5:5" x14ac:dyDescent="0.25">
      <c r="E265"/>
    </row>
    <row r="266" spans="5:5" x14ac:dyDescent="0.25">
      <c r="E266"/>
    </row>
    <row r="267" spans="5:5" x14ac:dyDescent="0.25">
      <c r="E267"/>
    </row>
    <row r="268" spans="5:5" x14ac:dyDescent="0.25">
      <c r="E268"/>
    </row>
    <row r="269" spans="5:5" x14ac:dyDescent="0.25">
      <c r="E269"/>
    </row>
    <row r="270" spans="5:5" x14ac:dyDescent="0.25">
      <c r="E270"/>
    </row>
    <row r="271" spans="5:5" x14ac:dyDescent="0.25">
      <c r="E271"/>
    </row>
    <row r="272" spans="5:5" x14ac:dyDescent="0.25">
      <c r="E272"/>
    </row>
    <row r="273" spans="5:5" x14ac:dyDescent="0.25">
      <c r="E273"/>
    </row>
    <row r="274" spans="5:5" x14ac:dyDescent="0.25">
      <c r="E274"/>
    </row>
    <row r="275" spans="5:5" x14ac:dyDescent="0.25">
      <c r="E275"/>
    </row>
    <row r="276" spans="5:5" x14ac:dyDescent="0.25">
      <c r="E276"/>
    </row>
    <row r="277" spans="5:5" x14ac:dyDescent="0.25">
      <c r="E277"/>
    </row>
    <row r="278" spans="5:5" x14ac:dyDescent="0.25">
      <c r="E278"/>
    </row>
    <row r="279" spans="5:5" x14ac:dyDescent="0.25">
      <c r="E279"/>
    </row>
    <row r="280" spans="5:5" x14ac:dyDescent="0.25">
      <c r="E280"/>
    </row>
    <row r="281" spans="5:5" x14ac:dyDescent="0.25">
      <c r="E281"/>
    </row>
    <row r="282" spans="5:5" x14ac:dyDescent="0.25">
      <c r="E282"/>
    </row>
    <row r="283" spans="5:5" x14ac:dyDescent="0.25">
      <c r="E283"/>
    </row>
    <row r="284" spans="5:5" x14ac:dyDescent="0.25">
      <c r="E284"/>
    </row>
    <row r="285" spans="5:5" x14ac:dyDescent="0.25">
      <c r="E285"/>
    </row>
    <row r="286" spans="5:5" x14ac:dyDescent="0.25">
      <c r="E286"/>
    </row>
    <row r="287" spans="5:5" x14ac:dyDescent="0.25">
      <c r="E287"/>
    </row>
    <row r="288" spans="5:5" x14ac:dyDescent="0.25">
      <c r="E288"/>
    </row>
    <row r="289" spans="5:5" x14ac:dyDescent="0.25">
      <c r="E289"/>
    </row>
    <row r="290" spans="5:5" x14ac:dyDescent="0.25">
      <c r="E290"/>
    </row>
    <row r="291" spans="5:5" x14ac:dyDescent="0.25">
      <c r="E291"/>
    </row>
    <row r="292" spans="5:5" x14ac:dyDescent="0.25">
      <c r="E292"/>
    </row>
    <row r="293" spans="5:5" x14ac:dyDescent="0.25">
      <c r="E293"/>
    </row>
    <row r="294" spans="5:5" x14ac:dyDescent="0.25">
      <c r="E294"/>
    </row>
    <row r="295" spans="5:5" x14ac:dyDescent="0.25">
      <c r="E295"/>
    </row>
    <row r="296" spans="5:5" x14ac:dyDescent="0.25">
      <c r="E296"/>
    </row>
    <row r="297" spans="5:5" x14ac:dyDescent="0.25">
      <c r="E297"/>
    </row>
    <row r="298" spans="5:5" x14ac:dyDescent="0.25">
      <c r="E298"/>
    </row>
    <row r="299" spans="5:5" x14ac:dyDescent="0.25">
      <c r="E299"/>
    </row>
    <row r="300" spans="5:5" x14ac:dyDescent="0.25">
      <c r="E300"/>
    </row>
    <row r="301" spans="5:5" x14ac:dyDescent="0.25">
      <c r="E301"/>
    </row>
    <row r="302" spans="5:5" x14ac:dyDescent="0.25">
      <c r="E302"/>
    </row>
    <row r="303" spans="5:5" x14ac:dyDescent="0.25">
      <c r="E303"/>
    </row>
    <row r="304" spans="5:5" x14ac:dyDescent="0.25">
      <c r="E304"/>
    </row>
    <row r="305" spans="5:5" x14ac:dyDescent="0.25">
      <c r="E305"/>
    </row>
    <row r="306" spans="5:5" x14ac:dyDescent="0.25">
      <c r="E306"/>
    </row>
    <row r="307" spans="5:5" x14ac:dyDescent="0.25">
      <c r="E307"/>
    </row>
    <row r="308" spans="5:5" x14ac:dyDescent="0.25">
      <c r="E308"/>
    </row>
    <row r="309" spans="5:5" x14ac:dyDescent="0.25">
      <c r="E309"/>
    </row>
    <row r="310" spans="5:5" x14ac:dyDescent="0.25">
      <c r="E310"/>
    </row>
    <row r="311" spans="5:5" x14ac:dyDescent="0.25">
      <c r="E311"/>
    </row>
    <row r="312" spans="5:5" x14ac:dyDescent="0.25">
      <c r="E312"/>
    </row>
    <row r="313" spans="5:5" x14ac:dyDescent="0.25">
      <c r="E313"/>
    </row>
    <row r="314" spans="5:5" x14ac:dyDescent="0.25">
      <c r="E314"/>
    </row>
    <row r="315" spans="5:5" x14ac:dyDescent="0.25">
      <c r="E315"/>
    </row>
    <row r="316" spans="5:5" x14ac:dyDescent="0.25">
      <c r="E316"/>
    </row>
    <row r="317" spans="5:5" x14ac:dyDescent="0.25">
      <c r="E317"/>
    </row>
    <row r="318" spans="5:5" x14ac:dyDescent="0.25">
      <c r="E318"/>
    </row>
    <row r="319" spans="5:5" x14ac:dyDescent="0.25">
      <c r="E319"/>
    </row>
    <row r="320" spans="5:5" x14ac:dyDescent="0.25">
      <c r="E320"/>
    </row>
    <row r="321" spans="5:5" x14ac:dyDescent="0.25">
      <c r="E321"/>
    </row>
    <row r="322" spans="5:5" x14ac:dyDescent="0.25">
      <c r="E322"/>
    </row>
    <row r="323" spans="5:5" x14ac:dyDescent="0.25">
      <c r="E323"/>
    </row>
    <row r="324" spans="5:5" x14ac:dyDescent="0.25">
      <c r="E324"/>
    </row>
    <row r="325" spans="5:5" x14ac:dyDescent="0.25">
      <c r="E325"/>
    </row>
    <row r="326" spans="5:5" x14ac:dyDescent="0.25">
      <c r="E326"/>
    </row>
    <row r="327" spans="5:5" x14ac:dyDescent="0.25">
      <c r="E327"/>
    </row>
    <row r="328" spans="5:5" x14ac:dyDescent="0.25">
      <c r="E328"/>
    </row>
    <row r="329" spans="5:5" x14ac:dyDescent="0.25">
      <c r="E329"/>
    </row>
    <row r="330" spans="5:5" x14ac:dyDescent="0.25">
      <c r="E330"/>
    </row>
    <row r="331" spans="5:5" x14ac:dyDescent="0.25">
      <c r="E331"/>
    </row>
    <row r="332" spans="5:5" x14ac:dyDescent="0.25">
      <c r="E332"/>
    </row>
    <row r="333" spans="5:5" x14ac:dyDescent="0.25">
      <c r="E333"/>
    </row>
    <row r="334" spans="5:5" x14ac:dyDescent="0.25">
      <c r="E334"/>
    </row>
    <row r="335" spans="5:5" x14ac:dyDescent="0.25">
      <c r="E335"/>
    </row>
    <row r="336" spans="5:5" x14ac:dyDescent="0.25">
      <c r="E336"/>
    </row>
    <row r="337" spans="5:5" x14ac:dyDescent="0.25">
      <c r="E337"/>
    </row>
    <row r="338" spans="5:5" x14ac:dyDescent="0.25">
      <c r="E338"/>
    </row>
    <row r="339" spans="5:5" x14ac:dyDescent="0.25">
      <c r="E339"/>
    </row>
    <row r="340" spans="5:5" x14ac:dyDescent="0.25">
      <c r="E340"/>
    </row>
    <row r="341" spans="5:5" x14ac:dyDescent="0.25">
      <c r="E341"/>
    </row>
    <row r="342" spans="5:5" x14ac:dyDescent="0.25">
      <c r="E342"/>
    </row>
    <row r="343" spans="5:5" x14ac:dyDescent="0.25">
      <c r="E343"/>
    </row>
    <row r="344" spans="5:5" x14ac:dyDescent="0.25">
      <c r="E344"/>
    </row>
    <row r="345" spans="5:5" x14ac:dyDescent="0.25">
      <c r="E345"/>
    </row>
    <row r="346" spans="5:5" x14ac:dyDescent="0.25">
      <c r="E346"/>
    </row>
    <row r="347" spans="5:5" x14ac:dyDescent="0.25">
      <c r="E347"/>
    </row>
    <row r="348" spans="5:5" x14ac:dyDescent="0.25">
      <c r="E348"/>
    </row>
    <row r="349" spans="5:5" x14ac:dyDescent="0.25">
      <c r="E349"/>
    </row>
    <row r="350" spans="5:5" x14ac:dyDescent="0.25">
      <c r="E350"/>
    </row>
    <row r="351" spans="5:5" x14ac:dyDescent="0.25">
      <c r="E351"/>
    </row>
    <row r="352" spans="5:5" x14ac:dyDescent="0.25">
      <c r="E352"/>
    </row>
    <row r="353" spans="5:5" x14ac:dyDescent="0.25">
      <c r="E353"/>
    </row>
    <row r="354" spans="5:5" x14ac:dyDescent="0.25">
      <c r="E354"/>
    </row>
    <row r="355" spans="5:5" x14ac:dyDescent="0.25">
      <c r="E355"/>
    </row>
    <row r="356" spans="5:5" x14ac:dyDescent="0.25">
      <c r="E356"/>
    </row>
    <row r="357" spans="5:5" x14ac:dyDescent="0.25">
      <c r="E357"/>
    </row>
    <row r="358" spans="5:5" x14ac:dyDescent="0.25">
      <c r="E358"/>
    </row>
    <row r="359" spans="5:5" x14ac:dyDescent="0.25">
      <c r="E359"/>
    </row>
    <row r="360" spans="5:5" x14ac:dyDescent="0.25">
      <c r="E360"/>
    </row>
    <row r="361" spans="5:5" x14ac:dyDescent="0.25">
      <c r="E361"/>
    </row>
    <row r="362" spans="5:5" x14ac:dyDescent="0.25">
      <c r="E362"/>
    </row>
    <row r="363" spans="5:5" x14ac:dyDescent="0.25">
      <c r="E363"/>
    </row>
    <row r="364" spans="5:5" x14ac:dyDescent="0.25">
      <c r="E364"/>
    </row>
    <row r="365" spans="5:5" x14ac:dyDescent="0.25">
      <c r="E365"/>
    </row>
    <row r="366" spans="5:5" x14ac:dyDescent="0.25">
      <c r="E366"/>
    </row>
    <row r="367" spans="5:5" x14ac:dyDescent="0.25">
      <c r="E367"/>
    </row>
    <row r="368" spans="5:5" x14ac:dyDescent="0.25">
      <c r="E368"/>
    </row>
    <row r="369" spans="5:5" x14ac:dyDescent="0.25">
      <c r="E369"/>
    </row>
    <row r="370" spans="5:5" x14ac:dyDescent="0.25">
      <c r="E370"/>
    </row>
    <row r="371" spans="5:5" x14ac:dyDescent="0.25">
      <c r="E371"/>
    </row>
    <row r="372" spans="5:5" x14ac:dyDescent="0.25">
      <c r="E372"/>
    </row>
    <row r="373" spans="5:5" x14ac:dyDescent="0.25">
      <c r="E373"/>
    </row>
    <row r="374" spans="5:5" x14ac:dyDescent="0.25">
      <c r="E374"/>
    </row>
    <row r="375" spans="5:5" x14ac:dyDescent="0.25">
      <c r="E375"/>
    </row>
    <row r="376" spans="5:5" x14ac:dyDescent="0.25">
      <c r="E376"/>
    </row>
    <row r="377" spans="5:5" x14ac:dyDescent="0.25">
      <c r="E377"/>
    </row>
    <row r="378" spans="5:5" x14ac:dyDescent="0.25">
      <c r="E378"/>
    </row>
    <row r="379" spans="5:5" x14ac:dyDescent="0.25">
      <c r="E379"/>
    </row>
    <row r="380" spans="5:5" x14ac:dyDescent="0.25">
      <c r="E380"/>
    </row>
    <row r="381" spans="5:5" x14ac:dyDescent="0.25">
      <c r="E381"/>
    </row>
    <row r="382" spans="5:5" x14ac:dyDescent="0.25">
      <c r="E382"/>
    </row>
    <row r="383" spans="5:5" x14ac:dyDescent="0.25">
      <c r="E383"/>
    </row>
    <row r="384" spans="5:5" x14ac:dyDescent="0.25">
      <c r="E384"/>
    </row>
    <row r="385" spans="5:5" x14ac:dyDescent="0.25">
      <c r="E385"/>
    </row>
    <row r="386" spans="5:5" x14ac:dyDescent="0.25">
      <c r="E386"/>
    </row>
    <row r="387" spans="5:5" x14ac:dyDescent="0.25">
      <c r="E387"/>
    </row>
    <row r="388" spans="5:5" x14ac:dyDescent="0.25">
      <c r="E388"/>
    </row>
    <row r="389" spans="5:5" x14ac:dyDescent="0.25">
      <c r="E389"/>
    </row>
    <row r="390" spans="5:5" x14ac:dyDescent="0.25">
      <c r="E390"/>
    </row>
    <row r="391" spans="5:5" x14ac:dyDescent="0.25">
      <c r="E391"/>
    </row>
    <row r="392" spans="5:5" x14ac:dyDescent="0.25">
      <c r="E392"/>
    </row>
    <row r="393" spans="5:5" x14ac:dyDescent="0.25">
      <c r="E393"/>
    </row>
    <row r="394" spans="5:5" x14ac:dyDescent="0.25">
      <c r="E394"/>
    </row>
    <row r="395" spans="5:5" x14ac:dyDescent="0.25">
      <c r="E395"/>
    </row>
    <row r="396" spans="5:5" x14ac:dyDescent="0.25">
      <c r="E396"/>
    </row>
    <row r="397" spans="5:5" x14ac:dyDescent="0.25">
      <c r="E397"/>
    </row>
    <row r="398" spans="5:5" x14ac:dyDescent="0.25">
      <c r="E398"/>
    </row>
    <row r="399" spans="5:5" x14ac:dyDescent="0.25">
      <c r="E399"/>
    </row>
    <row r="400" spans="5:5" x14ac:dyDescent="0.25">
      <c r="E400"/>
    </row>
    <row r="401" spans="5:5" x14ac:dyDescent="0.25">
      <c r="E401"/>
    </row>
    <row r="402" spans="5:5" x14ac:dyDescent="0.25">
      <c r="E402"/>
    </row>
    <row r="403" spans="5:5" x14ac:dyDescent="0.25">
      <c r="E403"/>
    </row>
    <row r="404" spans="5:5" x14ac:dyDescent="0.25">
      <c r="E404"/>
    </row>
    <row r="405" spans="5:5" x14ac:dyDescent="0.25">
      <c r="E405"/>
    </row>
    <row r="406" spans="5:5" x14ac:dyDescent="0.25">
      <c r="E406"/>
    </row>
    <row r="407" spans="5:5" x14ac:dyDescent="0.25">
      <c r="E407"/>
    </row>
    <row r="408" spans="5:5" x14ac:dyDescent="0.25">
      <c r="E408"/>
    </row>
    <row r="409" spans="5:5" x14ac:dyDescent="0.25">
      <c r="E409"/>
    </row>
    <row r="410" spans="5:5" x14ac:dyDescent="0.25">
      <c r="E410"/>
    </row>
    <row r="411" spans="5:5" x14ac:dyDescent="0.25">
      <c r="E411"/>
    </row>
    <row r="412" spans="5:5" x14ac:dyDescent="0.25">
      <c r="E412"/>
    </row>
    <row r="413" spans="5:5" x14ac:dyDescent="0.25">
      <c r="E413"/>
    </row>
    <row r="414" spans="5:5" x14ac:dyDescent="0.25">
      <c r="E414"/>
    </row>
    <row r="415" spans="5:5" x14ac:dyDescent="0.25">
      <c r="E415"/>
    </row>
    <row r="416" spans="5:5" x14ac:dyDescent="0.25">
      <c r="E416"/>
    </row>
    <row r="417" spans="5:5" x14ac:dyDescent="0.25">
      <c r="E417"/>
    </row>
    <row r="418" spans="5:5" x14ac:dyDescent="0.25">
      <c r="E418"/>
    </row>
    <row r="419" spans="5:5" x14ac:dyDescent="0.25">
      <c r="E419"/>
    </row>
    <row r="420" spans="5:5" x14ac:dyDescent="0.25">
      <c r="E420"/>
    </row>
    <row r="421" spans="5:5" x14ac:dyDescent="0.25">
      <c r="E421"/>
    </row>
    <row r="422" spans="5:5" x14ac:dyDescent="0.25">
      <c r="E422"/>
    </row>
    <row r="423" spans="5:5" x14ac:dyDescent="0.25">
      <c r="E423"/>
    </row>
    <row r="424" spans="5:5" x14ac:dyDescent="0.25">
      <c r="E424"/>
    </row>
    <row r="425" spans="5:5" x14ac:dyDescent="0.25">
      <c r="E425"/>
    </row>
    <row r="426" spans="5:5" x14ac:dyDescent="0.25">
      <c r="E426"/>
    </row>
    <row r="427" spans="5:5" x14ac:dyDescent="0.25">
      <c r="E427"/>
    </row>
    <row r="428" spans="5:5" x14ac:dyDescent="0.25">
      <c r="E428"/>
    </row>
    <row r="429" spans="5:5" x14ac:dyDescent="0.25">
      <c r="E429"/>
    </row>
    <row r="430" spans="5:5" x14ac:dyDescent="0.25">
      <c r="E430"/>
    </row>
    <row r="431" spans="5:5" x14ac:dyDescent="0.25">
      <c r="E431"/>
    </row>
    <row r="432" spans="5:5" x14ac:dyDescent="0.25">
      <c r="E432"/>
    </row>
    <row r="433" spans="5:5" x14ac:dyDescent="0.25">
      <c r="E433"/>
    </row>
    <row r="434" spans="5:5" x14ac:dyDescent="0.25">
      <c r="E434"/>
    </row>
    <row r="435" spans="5:5" x14ac:dyDescent="0.25">
      <c r="E435"/>
    </row>
    <row r="436" spans="5:5" x14ac:dyDescent="0.25">
      <c r="E436"/>
    </row>
    <row r="437" spans="5:5" x14ac:dyDescent="0.25">
      <c r="E437"/>
    </row>
    <row r="438" spans="5:5" x14ac:dyDescent="0.25">
      <c r="E438"/>
    </row>
    <row r="439" spans="5:5" x14ac:dyDescent="0.25">
      <c r="E439"/>
    </row>
    <row r="440" spans="5:5" x14ac:dyDescent="0.25">
      <c r="E440"/>
    </row>
    <row r="441" spans="5:5" x14ac:dyDescent="0.25">
      <c r="E441"/>
    </row>
    <row r="442" spans="5:5" x14ac:dyDescent="0.25">
      <c r="E442"/>
    </row>
    <row r="443" spans="5:5" x14ac:dyDescent="0.25">
      <c r="E443"/>
    </row>
    <row r="444" spans="5:5" x14ac:dyDescent="0.25">
      <c r="E444"/>
    </row>
    <row r="445" spans="5:5" x14ac:dyDescent="0.25">
      <c r="E445"/>
    </row>
    <row r="446" spans="5:5" x14ac:dyDescent="0.25">
      <c r="E446"/>
    </row>
    <row r="447" spans="5:5" x14ac:dyDescent="0.25">
      <c r="E447"/>
    </row>
    <row r="448" spans="5:5" x14ac:dyDescent="0.25">
      <c r="E448"/>
    </row>
    <row r="449" spans="5:5" x14ac:dyDescent="0.25">
      <c r="E449"/>
    </row>
    <row r="450" spans="5:5" x14ac:dyDescent="0.25">
      <c r="E450"/>
    </row>
    <row r="451" spans="5:5" x14ac:dyDescent="0.25">
      <c r="E451"/>
    </row>
    <row r="452" spans="5:5" x14ac:dyDescent="0.25">
      <c r="E452"/>
    </row>
    <row r="453" spans="5:5" x14ac:dyDescent="0.25">
      <c r="E453"/>
    </row>
    <row r="454" spans="5:5" x14ac:dyDescent="0.25">
      <c r="E454"/>
    </row>
    <row r="455" spans="5:5" x14ac:dyDescent="0.25">
      <c r="E455"/>
    </row>
    <row r="456" spans="5:5" x14ac:dyDescent="0.25">
      <c r="E456"/>
    </row>
    <row r="457" spans="5:5" x14ac:dyDescent="0.25">
      <c r="E457"/>
    </row>
    <row r="458" spans="5:5" x14ac:dyDescent="0.25">
      <c r="E458"/>
    </row>
    <row r="459" spans="5:5" x14ac:dyDescent="0.25">
      <c r="E459"/>
    </row>
    <row r="460" spans="5:5" x14ac:dyDescent="0.25">
      <c r="E460"/>
    </row>
    <row r="461" spans="5:5" x14ac:dyDescent="0.25">
      <c r="E461"/>
    </row>
    <row r="462" spans="5:5" x14ac:dyDescent="0.25">
      <c r="E462"/>
    </row>
    <row r="463" spans="5:5" x14ac:dyDescent="0.25">
      <c r="E463"/>
    </row>
    <row r="464" spans="5:5" x14ac:dyDescent="0.25">
      <c r="E464"/>
    </row>
    <row r="465" spans="5:5" x14ac:dyDescent="0.25">
      <c r="E465"/>
    </row>
    <row r="466" spans="5:5" x14ac:dyDescent="0.25">
      <c r="E466"/>
    </row>
    <row r="467" spans="5:5" x14ac:dyDescent="0.25">
      <c r="E467"/>
    </row>
    <row r="468" spans="5:5" x14ac:dyDescent="0.25">
      <c r="E468"/>
    </row>
    <row r="469" spans="5:5" x14ac:dyDescent="0.25">
      <c r="E469"/>
    </row>
    <row r="470" spans="5:5" x14ac:dyDescent="0.25">
      <c r="E470"/>
    </row>
    <row r="471" spans="5:5" x14ac:dyDescent="0.25">
      <c r="E471"/>
    </row>
    <row r="472" spans="5:5" x14ac:dyDescent="0.25">
      <c r="E472"/>
    </row>
    <row r="473" spans="5:5" x14ac:dyDescent="0.25">
      <c r="E473"/>
    </row>
    <row r="474" spans="5:5" x14ac:dyDescent="0.25">
      <c r="E474"/>
    </row>
    <row r="475" spans="5:5" x14ac:dyDescent="0.25">
      <c r="E475"/>
    </row>
    <row r="476" spans="5:5" x14ac:dyDescent="0.25">
      <c r="E476"/>
    </row>
    <row r="477" spans="5:5" x14ac:dyDescent="0.25">
      <c r="E477"/>
    </row>
    <row r="478" spans="5:5" x14ac:dyDescent="0.25">
      <c r="E478"/>
    </row>
    <row r="479" spans="5:5" x14ac:dyDescent="0.25">
      <c r="E479"/>
    </row>
    <row r="480" spans="5:5" x14ac:dyDescent="0.25">
      <c r="E480"/>
    </row>
    <row r="481" spans="5:5" x14ac:dyDescent="0.25">
      <c r="E481"/>
    </row>
    <row r="482" spans="5:5" x14ac:dyDescent="0.25">
      <c r="E482"/>
    </row>
    <row r="483" spans="5:5" x14ac:dyDescent="0.25">
      <c r="E483"/>
    </row>
    <row r="484" spans="5:5" x14ac:dyDescent="0.25">
      <c r="E484"/>
    </row>
    <row r="485" spans="5:5" x14ac:dyDescent="0.25">
      <c r="E485"/>
    </row>
    <row r="486" spans="5:5" x14ac:dyDescent="0.25">
      <c r="E486"/>
    </row>
    <row r="487" spans="5:5" x14ac:dyDescent="0.25">
      <c r="E487"/>
    </row>
    <row r="488" spans="5:5" x14ac:dyDescent="0.25">
      <c r="E488"/>
    </row>
    <row r="489" spans="5:5" x14ac:dyDescent="0.25">
      <c r="E489"/>
    </row>
    <row r="490" spans="5:5" x14ac:dyDescent="0.25">
      <c r="E490"/>
    </row>
    <row r="491" spans="5:5" x14ac:dyDescent="0.25">
      <c r="E491"/>
    </row>
    <row r="492" spans="5:5" x14ac:dyDescent="0.25">
      <c r="E492"/>
    </row>
    <row r="493" spans="5:5" x14ac:dyDescent="0.25">
      <c r="E493"/>
    </row>
    <row r="494" spans="5:5" x14ac:dyDescent="0.25">
      <c r="E494"/>
    </row>
    <row r="495" spans="5:5" x14ac:dyDescent="0.25">
      <c r="E495"/>
    </row>
    <row r="496" spans="5:5" x14ac:dyDescent="0.25">
      <c r="E496"/>
    </row>
    <row r="497" spans="5:5" x14ac:dyDescent="0.25">
      <c r="E497"/>
    </row>
    <row r="498" spans="5:5" x14ac:dyDescent="0.25">
      <c r="E498"/>
    </row>
    <row r="499" spans="5:5" x14ac:dyDescent="0.25">
      <c r="E499"/>
    </row>
    <row r="500" spans="5:5" x14ac:dyDescent="0.25">
      <c r="E500"/>
    </row>
    <row r="501" spans="5:5" x14ac:dyDescent="0.25">
      <c r="E501"/>
    </row>
    <row r="502" spans="5:5" x14ac:dyDescent="0.25">
      <c r="E502"/>
    </row>
    <row r="503" spans="5:5" x14ac:dyDescent="0.25">
      <c r="E503"/>
    </row>
    <row r="504" spans="5:5" x14ac:dyDescent="0.25">
      <c r="E504"/>
    </row>
    <row r="505" spans="5:5" x14ac:dyDescent="0.25">
      <c r="E505"/>
    </row>
    <row r="506" spans="5:5" x14ac:dyDescent="0.25">
      <c r="E506"/>
    </row>
    <row r="507" spans="5:5" x14ac:dyDescent="0.25">
      <c r="E507"/>
    </row>
    <row r="508" spans="5:5" x14ac:dyDescent="0.25">
      <c r="E508"/>
    </row>
    <row r="509" spans="5:5" x14ac:dyDescent="0.25">
      <c r="E509"/>
    </row>
    <row r="510" spans="5:5" x14ac:dyDescent="0.25">
      <c r="E510"/>
    </row>
    <row r="511" spans="5:5" x14ac:dyDescent="0.25">
      <c r="E511"/>
    </row>
    <row r="512" spans="5:5" x14ac:dyDescent="0.25">
      <c r="E512"/>
    </row>
    <row r="513" spans="5:5" x14ac:dyDescent="0.25">
      <c r="E513"/>
    </row>
    <row r="514" spans="5:5" x14ac:dyDescent="0.25">
      <c r="E514"/>
    </row>
    <row r="515" spans="5:5" x14ac:dyDescent="0.25">
      <c r="E515"/>
    </row>
    <row r="516" spans="5:5" x14ac:dyDescent="0.25">
      <c r="E516"/>
    </row>
    <row r="517" spans="5:5" x14ac:dyDescent="0.25">
      <c r="E517"/>
    </row>
    <row r="518" spans="5:5" x14ac:dyDescent="0.25">
      <c r="E518"/>
    </row>
    <row r="519" spans="5:5" x14ac:dyDescent="0.25">
      <c r="E519"/>
    </row>
    <row r="520" spans="5:5" x14ac:dyDescent="0.25">
      <c r="E520"/>
    </row>
    <row r="521" spans="5:5" x14ac:dyDescent="0.25">
      <c r="E521"/>
    </row>
    <row r="522" spans="5:5" x14ac:dyDescent="0.25">
      <c r="E522"/>
    </row>
    <row r="523" spans="5:5" x14ac:dyDescent="0.25">
      <c r="E523"/>
    </row>
    <row r="524" spans="5:5" x14ac:dyDescent="0.25">
      <c r="E524"/>
    </row>
    <row r="525" spans="5:5" x14ac:dyDescent="0.25">
      <c r="E525"/>
    </row>
    <row r="526" spans="5:5" x14ac:dyDescent="0.25">
      <c r="E526"/>
    </row>
    <row r="527" spans="5:5" x14ac:dyDescent="0.25">
      <c r="E527"/>
    </row>
    <row r="528" spans="5:5" x14ac:dyDescent="0.25">
      <c r="E528"/>
    </row>
    <row r="529" spans="5:5" x14ac:dyDescent="0.25">
      <c r="E529"/>
    </row>
    <row r="530" spans="5:5" x14ac:dyDescent="0.25">
      <c r="E530"/>
    </row>
    <row r="531" spans="5:5" x14ac:dyDescent="0.25">
      <c r="E531"/>
    </row>
    <row r="532" spans="5:5" x14ac:dyDescent="0.25">
      <c r="E532"/>
    </row>
    <row r="533" spans="5:5" x14ac:dyDescent="0.25">
      <c r="E533"/>
    </row>
    <row r="534" spans="5:5" x14ac:dyDescent="0.25">
      <c r="E534"/>
    </row>
    <row r="535" spans="5:5" x14ac:dyDescent="0.25">
      <c r="E535"/>
    </row>
    <row r="536" spans="5:5" x14ac:dyDescent="0.25">
      <c r="E536"/>
    </row>
    <row r="537" spans="5:5" x14ac:dyDescent="0.25">
      <c r="E537"/>
    </row>
    <row r="538" spans="5:5" x14ac:dyDescent="0.25">
      <c r="E538"/>
    </row>
    <row r="539" spans="5:5" x14ac:dyDescent="0.25">
      <c r="E539"/>
    </row>
    <row r="540" spans="5:5" x14ac:dyDescent="0.25">
      <c r="E540"/>
    </row>
    <row r="541" spans="5:5" x14ac:dyDescent="0.25">
      <c r="E541"/>
    </row>
    <row r="542" spans="5:5" x14ac:dyDescent="0.25">
      <c r="E542"/>
    </row>
    <row r="543" spans="5:5" x14ac:dyDescent="0.25">
      <c r="E543"/>
    </row>
    <row r="544" spans="5:5" x14ac:dyDescent="0.25">
      <c r="E544"/>
    </row>
    <row r="545" spans="5:5" x14ac:dyDescent="0.25">
      <c r="E545"/>
    </row>
    <row r="546" spans="5:5" x14ac:dyDescent="0.25">
      <c r="E546"/>
    </row>
    <row r="547" spans="5:5" x14ac:dyDescent="0.25">
      <c r="E547"/>
    </row>
    <row r="548" spans="5:5" x14ac:dyDescent="0.25">
      <c r="E548"/>
    </row>
    <row r="549" spans="5:5" x14ac:dyDescent="0.25">
      <c r="E549"/>
    </row>
    <row r="550" spans="5:5" x14ac:dyDescent="0.25">
      <c r="E550"/>
    </row>
    <row r="551" spans="5:5" x14ac:dyDescent="0.25">
      <c r="E551"/>
    </row>
    <row r="552" spans="5:5" x14ac:dyDescent="0.25">
      <c r="E552"/>
    </row>
    <row r="553" spans="5:5" x14ac:dyDescent="0.25">
      <c r="E553"/>
    </row>
    <row r="554" spans="5:5" x14ac:dyDescent="0.25">
      <c r="E554"/>
    </row>
    <row r="555" spans="5:5" x14ac:dyDescent="0.25">
      <c r="E555"/>
    </row>
    <row r="556" spans="5:5" x14ac:dyDescent="0.25">
      <c r="E556"/>
    </row>
    <row r="557" spans="5:5" x14ac:dyDescent="0.25">
      <c r="E557"/>
    </row>
    <row r="558" spans="5:5" x14ac:dyDescent="0.25">
      <c r="E558"/>
    </row>
    <row r="559" spans="5:5" x14ac:dyDescent="0.25">
      <c r="E559"/>
    </row>
    <row r="560" spans="5:5" x14ac:dyDescent="0.25">
      <c r="E560"/>
    </row>
    <row r="561" spans="5:5" x14ac:dyDescent="0.25">
      <c r="E561"/>
    </row>
    <row r="562" spans="5:5" x14ac:dyDescent="0.25">
      <c r="E562"/>
    </row>
    <row r="563" spans="5:5" x14ac:dyDescent="0.25">
      <c r="E563"/>
    </row>
    <row r="564" spans="5:5" x14ac:dyDescent="0.25">
      <c r="E564"/>
    </row>
    <row r="565" spans="5:5" x14ac:dyDescent="0.25">
      <c r="E565"/>
    </row>
    <row r="566" spans="5:5" x14ac:dyDescent="0.25">
      <c r="E566"/>
    </row>
    <row r="567" spans="5:5" x14ac:dyDescent="0.25">
      <c r="E567"/>
    </row>
    <row r="568" spans="5:5" x14ac:dyDescent="0.25">
      <c r="E568"/>
    </row>
    <row r="569" spans="5:5" x14ac:dyDescent="0.25">
      <c r="E569"/>
    </row>
    <row r="570" spans="5:5" x14ac:dyDescent="0.25">
      <c r="E570"/>
    </row>
    <row r="571" spans="5:5" x14ac:dyDescent="0.25">
      <c r="E571"/>
    </row>
    <row r="572" spans="5:5" x14ac:dyDescent="0.25">
      <c r="E572"/>
    </row>
    <row r="573" spans="5:5" x14ac:dyDescent="0.25">
      <c r="E573"/>
    </row>
    <row r="574" spans="5:5" x14ac:dyDescent="0.25">
      <c r="E574"/>
    </row>
    <row r="575" spans="5:5" x14ac:dyDescent="0.25">
      <c r="E575"/>
    </row>
    <row r="576" spans="5:5" x14ac:dyDescent="0.25">
      <c r="E576"/>
    </row>
    <row r="577" spans="5:5" x14ac:dyDescent="0.25">
      <c r="E577"/>
    </row>
    <row r="578" spans="5:5" x14ac:dyDescent="0.25">
      <c r="E578"/>
    </row>
    <row r="579" spans="5:5" x14ac:dyDescent="0.25">
      <c r="E579"/>
    </row>
    <row r="580" spans="5:5" x14ac:dyDescent="0.25">
      <c r="E580"/>
    </row>
    <row r="581" spans="5:5" x14ac:dyDescent="0.25">
      <c r="E581"/>
    </row>
    <row r="582" spans="5:5" x14ac:dyDescent="0.25">
      <c r="E582"/>
    </row>
    <row r="583" spans="5:5" x14ac:dyDescent="0.25">
      <c r="E583"/>
    </row>
    <row r="584" spans="5:5" x14ac:dyDescent="0.25">
      <c r="E584"/>
    </row>
    <row r="585" spans="5:5" x14ac:dyDescent="0.25">
      <c r="E585"/>
    </row>
    <row r="586" spans="5:5" x14ac:dyDescent="0.25">
      <c r="E586"/>
    </row>
    <row r="587" spans="5:5" x14ac:dyDescent="0.25">
      <c r="E587"/>
    </row>
    <row r="588" spans="5:5" x14ac:dyDescent="0.25">
      <c r="E588"/>
    </row>
    <row r="589" spans="5:5" x14ac:dyDescent="0.25">
      <c r="E589"/>
    </row>
    <row r="590" spans="5:5" x14ac:dyDescent="0.25">
      <c r="E590"/>
    </row>
    <row r="591" spans="5:5" x14ac:dyDescent="0.25">
      <c r="E591"/>
    </row>
    <row r="592" spans="5:5" x14ac:dyDescent="0.25">
      <c r="E592"/>
    </row>
    <row r="593" spans="5:5" x14ac:dyDescent="0.25">
      <c r="E593"/>
    </row>
    <row r="594" spans="5:5" x14ac:dyDescent="0.25">
      <c r="E594"/>
    </row>
    <row r="595" spans="5:5" x14ac:dyDescent="0.25">
      <c r="E595"/>
    </row>
    <row r="596" spans="5:5" x14ac:dyDescent="0.25">
      <c r="E596"/>
    </row>
    <row r="597" spans="5:5" x14ac:dyDescent="0.25">
      <c r="E597"/>
    </row>
    <row r="598" spans="5:5" x14ac:dyDescent="0.25">
      <c r="E598"/>
    </row>
    <row r="599" spans="5:5" x14ac:dyDescent="0.25">
      <c r="E599"/>
    </row>
    <row r="600" spans="5:5" x14ac:dyDescent="0.25">
      <c r="E600"/>
    </row>
    <row r="601" spans="5:5" x14ac:dyDescent="0.25">
      <c r="E601"/>
    </row>
    <row r="602" spans="5:5" x14ac:dyDescent="0.25">
      <c r="E602"/>
    </row>
    <row r="603" spans="5:5" x14ac:dyDescent="0.25">
      <c r="E603"/>
    </row>
    <row r="604" spans="5:5" x14ac:dyDescent="0.25">
      <c r="E604"/>
    </row>
    <row r="605" spans="5:5" x14ac:dyDescent="0.25">
      <c r="E605"/>
    </row>
    <row r="606" spans="5:5" x14ac:dyDescent="0.25">
      <c r="E606"/>
    </row>
    <row r="607" spans="5:5" x14ac:dyDescent="0.25">
      <c r="E607"/>
    </row>
    <row r="608" spans="5:5" x14ac:dyDescent="0.25">
      <c r="E608"/>
    </row>
    <row r="609" spans="5:5" x14ac:dyDescent="0.25">
      <c r="E609"/>
    </row>
    <row r="610" spans="5:5" x14ac:dyDescent="0.25">
      <c r="E610"/>
    </row>
    <row r="611" spans="5:5" x14ac:dyDescent="0.25">
      <c r="E611"/>
    </row>
    <row r="612" spans="5:5" x14ac:dyDescent="0.25">
      <c r="E612"/>
    </row>
    <row r="613" spans="5:5" x14ac:dyDescent="0.25">
      <c r="E613"/>
    </row>
    <row r="614" spans="5:5" x14ac:dyDescent="0.25">
      <c r="E614"/>
    </row>
    <row r="615" spans="5:5" x14ac:dyDescent="0.25">
      <c r="E615"/>
    </row>
    <row r="616" spans="5:5" x14ac:dyDescent="0.25">
      <c r="E616"/>
    </row>
    <row r="617" spans="5:5" x14ac:dyDescent="0.25">
      <c r="E617"/>
    </row>
    <row r="618" spans="5:5" x14ac:dyDescent="0.25">
      <c r="E618"/>
    </row>
    <row r="619" spans="5:5" x14ac:dyDescent="0.25">
      <c r="E619"/>
    </row>
    <row r="620" spans="5:5" x14ac:dyDescent="0.25">
      <c r="E620"/>
    </row>
    <row r="621" spans="5:5" x14ac:dyDescent="0.25">
      <c r="E621"/>
    </row>
    <row r="622" spans="5:5" x14ac:dyDescent="0.25">
      <c r="E622"/>
    </row>
    <row r="623" spans="5:5" x14ac:dyDescent="0.25">
      <c r="E623"/>
    </row>
    <row r="624" spans="5:5" x14ac:dyDescent="0.25">
      <c r="E624"/>
    </row>
    <row r="625" spans="5:5" x14ac:dyDescent="0.25">
      <c r="E625"/>
    </row>
    <row r="626" spans="5:5" x14ac:dyDescent="0.25">
      <c r="E626"/>
    </row>
    <row r="627" spans="5:5" x14ac:dyDescent="0.25">
      <c r="E627"/>
    </row>
    <row r="628" spans="5:5" x14ac:dyDescent="0.25">
      <c r="E628"/>
    </row>
    <row r="629" spans="5:5" x14ac:dyDescent="0.25">
      <c r="E629"/>
    </row>
    <row r="630" spans="5:5" x14ac:dyDescent="0.25">
      <c r="E630"/>
    </row>
    <row r="631" spans="5:5" x14ac:dyDescent="0.25">
      <c r="E631"/>
    </row>
    <row r="632" spans="5:5" x14ac:dyDescent="0.25">
      <c r="E632"/>
    </row>
    <row r="633" spans="5:5" x14ac:dyDescent="0.25">
      <c r="E633"/>
    </row>
    <row r="634" spans="5:5" x14ac:dyDescent="0.25">
      <c r="E634"/>
    </row>
    <row r="635" spans="5:5" x14ac:dyDescent="0.25">
      <c r="E635"/>
    </row>
    <row r="636" spans="5:5" x14ac:dyDescent="0.25">
      <c r="E636"/>
    </row>
    <row r="637" spans="5:5" x14ac:dyDescent="0.25">
      <c r="E637"/>
    </row>
    <row r="638" spans="5:5" x14ac:dyDescent="0.25">
      <c r="E638"/>
    </row>
    <row r="639" spans="5:5" x14ac:dyDescent="0.25">
      <c r="E639"/>
    </row>
    <row r="640" spans="5:5" x14ac:dyDescent="0.25">
      <c r="E640"/>
    </row>
    <row r="641" spans="5:5" x14ac:dyDescent="0.25">
      <c r="E641"/>
    </row>
    <row r="642" spans="5:5" x14ac:dyDescent="0.25">
      <c r="E642"/>
    </row>
    <row r="643" spans="5:5" x14ac:dyDescent="0.25">
      <c r="E643"/>
    </row>
    <row r="644" spans="5:5" x14ac:dyDescent="0.25">
      <c r="E644"/>
    </row>
    <row r="645" spans="5:5" x14ac:dyDescent="0.25">
      <c r="E645"/>
    </row>
    <row r="646" spans="5:5" x14ac:dyDescent="0.25">
      <c r="E646"/>
    </row>
    <row r="647" spans="5:5" x14ac:dyDescent="0.25">
      <c r="E647"/>
    </row>
    <row r="648" spans="5:5" x14ac:dyDescent="0.25">
      <c r="E648"/>
    </row>
    <row r="649" spans="5:5" x14ac:dyDescent="0.25">
      <c r="E649"/>
    </row>
    <row r="650" spans="5:5" x14ac:dyDescent="0.25">
      <c r="E650"/>
    </row>
    <row r="651" spans="5:5" x14ac:dyDescent="0.25">
      <c r="E651"/>
    </row>
    <row r="652" spans="5:5" x14ac:dyDescent="0.25">
      <c r="E652"/>
    </row>
    <row r="653" spans="5:5" x14ac:dyDescent="0.25">
      <c r="E653"/>
    </row>
    <row r="654" spans="5:5" x14ac:dyDescent="0.25">
      <c r="E654"/>
    </row>
    <row r="655" spans="5:5" x14ac:dyDescent="0.25">
      <c r="E655"/>
    </row>
    <row r="656" spans="5:5" x14ac:dyDescent="0.25">
      <c r="E656"/>
    </row>
    <row r="657" spans="5:5" x14ac:dyDescent="0.25">
      <c r="E657"/>
    </row>
    <row r="658" spans="5:5" x14ac:dyDescent="0.25">
      <c r="E658"/>
    </row>
    <row r="659" spans="5:5" x14ac:dyDescent="0.25">
      <c r="E659"/>
    </row>
    <row r="660" spans="5:5" x14ac:dyDescent="0.25">
      <c r="E660"/>
    </row>
    <row r="661" spans="5:5" x14ac:dyDescent="0.25">
      <c r="E661"/>
    </row>
    <row r="662" spans="5:5" x14ac:dyDescent="0.25">
      <c r="E662"/>
    </row>
    <row r="663" spans="5:5" x14ac:dyDescent="0.25">
      <c r="E663"/>
    </row>
    <row r="664" spans="5:5" x14ac:dyDescent="0.25">
      <c r="E664"/>
    </row>
    <row r="665" spans="5:5" x14ac:dyDescent="0.25">
      <c r="E665"/>
    </row>
    <row r="666" spans="5:5" x14ac:dyDescent="0.25">
      <c r="E666"/>
    </row>
    <row r="667" spans="5:5" x14ac:dyDescent="0.25">
      <c r="E667"/>
    </row>
    <row r="668" spans="5:5" x14ac:dyDescent="0.25">
      <c r="E668"/>
    </row>
    <row r="669" spans="5:5" x14ac:dyDescent="0.25">
      <c r="E669"/>
    </row>
    <row r="670" spans="5:5" x14ac:dyDescent="0.25">
      <c r="E670"/>
    </row>
    <row r="671" spans="5:5" x14ac:dyDescent="0.25">
      <c r="E671"/>
    </row>
    <row r="672" spans="5:5" x14ac:dyDescent="0.25">
      <c r="E672"/>
    </row>
    <row r="673" spans="5:5" x14ac:dyDescent="0.25">
      <c r="E673"/>
    </row>
    <row r="674" spans="5:5" x14ac:dyDescent="0.25">
      <c r="E674"/>
    </row>
    <row r="675" spans="5:5" x14ac:dyDescent="0.25">
      <c r="E675"/>
    </row>
    <row r="676" spans="5:5" x14ac:dyDescent="0.25">
      <c r="E676"/>
    </row>
    <row r="677" spans="5:5" x14ac:dyDescent="0.25">
      <c r="E677"/>
    </row>
    <row r="678" spans="5:5" x14ac:dyDescent="0.25">
      <c r="E678"/>
    </row>
    <row r="679" spans="5:5" x14ac:dyDescent="0.25">
      <c r="E679"/>
    </row>
    <row r="680" spans="5:5" x14ac:dyDescent="0.25">
      <c r="E680"/>
    </row>
    <row r="681" spans="5:5" x14ac:dyDescent="0.25">
      <c r="E681"/>
    </row>
    <row r="682" spans="5:5" x14ac:dyDescent="0.25">
      <c r="E682"/>
    </row>
    <row r="683" spans="5:5" x14ac:dyDescent="0.25">
      <c r="E683"/>
    </row>
    <row r="684" spans="5:5" x14ac:dyDescent="0.25">
      <c r="E684"/>
    </row>
    <row r="685" spans="5:5" x14ac:dyDescent="0.25">
      <c r="E685"/>
    </row>
    <row r="686" spans="5:5" x14ac:dyDescent="0.25">
      <c r="E686"/>
    </row>
    <row r="687" spans="5:5" x14ac:dyDescent="0.25">
      <c r="E687"/>
    </row>
    <row r="688" spans="5:5" x14ac:dyDescent="0.25">
      <c r="E688"/>
    </row>
    <row r="689" spans="5:5" x14ac:dyDescent="0.25">
      <c r="E689"/>
    </row>
    <row r="690" spans="5:5" x14ac:dyDescent="0.25">
      <c r="E690"/>
    </row>
    <row r="691" spans="5:5" x14ac:dyDescent="0.25">
      <c r="E691"/>
    </row>
    <row r="692" spans="5:5" x14ac:dyDescent="0.25">
      <c r="E692"/>
    </row>
    <row r="693" spans="5:5" x14ac:dyDescent="0.25">
      <c r="E693"/>
    </row>
    <row r="694" spans="5:5" x14ac:dyDescent="0.25">
      <c r="E694"/>
    </row>
    <row r="695" spans="5:5" x14ac:dyDescent="0.25">
      <c r="E695"/>
    </row>
    <row r="696" spans="5:5" x14ac:dyDescent="0.25">
      <c r="E696"/>
    </row>
    <row r="697" spans="5:5" x14ac:dyDescent="0.25">
      <c r="E697"/>
    </row>
    <row r="698" spans="5:5" x14ac:dyDescent="0.25">
      <c r="E698"/>
    </row>
    <row r="699" spans="5:5" x14ac:dyDescent="0.25">
      <c r="E699"/>
    </row>
    <row r="700" spans="5:5" x14ac:dyDescent="0.25">
      <c r="E700"/>
    </row>
    <row r="701" spans="5:5" x14ac:dyDescent="0.25">
      <c r="E701"/>
    </row>
    <row r="702" spans="5:5" x14ac:dyDescent="0.25">
      <c r="E702"/>
    </row>
    <row r="703" spans="5:5" x14ac:dyDescent="0.25">
      <c r="E703"/>
    </row>
    <row r="704" spans="5:5" x14ac:dyDescent="0.25">
      <c r="E704"/>
    </row>
    <row r="705" spans="5:5" x14ac:dyDescent="0.25">
      <c r="E705"/>
    </row>
    <row r="706" spans="5:5" x14ac:dyDescent="0.25">
      <c r="E706"/>
    </row>
    <row r="707" spans="5:5" x14ac:dyDescent="0.25">
      <c r="E707"/>
    </row>
    <row r="708" spans="5:5" x14ac:dyDescent="0.25">
      <c r="E708"/>
    </row>
    <row r="709" spans="5:5" x14ac:dyDescent="0.25">
      <c r="E709"/>
    </row>
    <row r="710" spans="5:5" x14ac:dyDescent="0.25">
      <c r="E710"/>
    </row>
    <row r="711" spans="5:5" x14ac:dyDescent="0.25">
      <c r="E711"/>
    </row>
    <row r="712" spans="5:5" x14ac:dyDescent="0.25">
      <c r="E712"/>
    </row>
    <row r="713" spans="5:5" x14ac:dyDescent="0.25">
      <c r="E713"/>
    </row>
    <row r="714" spans="5:5" x14ac:dyDescent="0.25">
      <c r="E714"/>
    </row>
    <row r="715" spans="5:5" x14ac:dyDescent="0.25">
      <c r="E715"/>
    </row>
    <row r="716" spans="5:5" x14ac:dyDescent="0.25">
      <c r="E716"/>
    </row>
    <row r="717" spans="5:5" x14ac:dyDescent="0.25">
      <c r="E717"/>
    </row>
    <row r="718" spans="5:5" x14ac:dyDescent="0.25">
      <c r="E718"/>
    </row>
    <row r="719" spans="5:5" x14ac:dyDescent="0.25">
      <c r="E719"/>
    </row>
    <row r="720" spans="5:5" x14ac:dyDescent="0.25">
      <c r="E720"/>
    </row>
    <row r="721" spans="5:5" x14ac:dyDescent="0.25">
      <c r="E721"/>
    </row>
    <row r="722" spans="5:5" x14ac:dyDescent="0.25">
      <c r="E722"/>
    </row>
    <row r="723" spans="5:5" x14ac:dyDescent="0.25">
      <c r="E723"/>
    </row>
    <row r="724" spans="5:5" x14ac:dyDescent="0.25">
      <c r="E724"/>
    </row>
    <row r="725" spans="5:5" x14ac:dyDescent="0.25">
      <c r="E725"/>
    </row>
    <row r="726" spans="5:5" x14ac:dyDescent="0.25">
      <c r="E726"/>
    </row>
    <row r="727" spans="5:5" x14ac:dyDescent="0.25">
      <c r="E727"/>
    </row>
    <row r="728" spans="5:5" x14ac:dyDescent="0.25">
      <c r="E728"/>
    </row>
    <row r="729" spans="5:5" x14ac:dyDescent="0.25">
      <c r="E729"/>
    </row>
    <row r="730" spans="5:5" x14ac:dyDescent="0.25">
      <c r="E730"/>
    </row>
    <row r="731" spans="5:5" x14ac:dyDescent="0.25">
      <c r="E731"/>
    </row>
    <row r="732" spans="5:5" x14ac:dyDescent="0.25">
      <c r="E732"/>
    </row>
    <row r="733" spans="5:5" x14ac:dyDescent="0.25">
      <c r="E733"/>
    </row>
    <row r="734" spans="5:5" x14ac:dyDescent="0.25">
      <c r="E734"/>
    </row>
    <row r="735" spans="5:5" x14ac:dyDescent="0.25">
      <c r="E735"/>
    </row>
    <row r="736" spans="5:5" x14ac:dyDescent="0.25">
      <c r="E736"/>
    </row>
    <row r="737" spans="5:5" x14ac:dyDescent="0.25">
      <c r="E737"/>
    </row>
    <row r="738" spans="5:5" x14ac:dyDescent="0.25">
      <c r="E738"/>
    </row>
    <row r="739" spans="5:5" x14ac:dyDescent="0.25">
      <c r="E739"/>
    </row>
    <row r="740" spans="5:5" x14ac:dyDescent="0.25">
      <c r="E740"/>
    </row>
    <row r="741" spans="5:5" x14ac:dyDescent="0.25">
      <c r="E741"/>
    </row>
    <row r="742" spans="5:5" x14ac:dyDescent="0.25">
      <c r="E742"/>
    </row>
    <row r="743" spans="5:5" x14ac:dyDescent="0.25">
      <c r="E743"/>
    </row>
    <row r="744" spans="5:5" x14ac:dyDescent="0.25">
      <c r="E744"/>
    </row>
    <row r="745" spans="5:5" x14ac:dyDescent="0.25">
      <c r="E745"/>
    </row>
    <row r="746" spans="5:5" x14ac:dyDescent="0.25">
      <c r="E746"/>
    </row>
    <row r="747" spans="5:5" x14ac:dyDescent="0.25">
      <c r="E747"/>
    </row>
    <row r="748" spans="5:5" x14ac:dyDescent="0.25">
      <c r="E748"/>
    </row>
    <row r="749" spans="5:5" x14ac:dyDescent="0.25">
      <c r="E749"/>
    </row>
    <row r="750" spans="5:5" x14ac:dyDescent="0.25">
      <c r="E750"/>
    </row>
    <row r="751" spans="5:5" x14ac:dyDescent="0.25">
      <c r="E751"/>
    </row>
    <row r="752" spans="5:5" x14ac:dyDescent="0.25">
      <c r="E752"/>
    </row>
    <row r="753" spans="5:5" x14ac:dyDescent="0.25">
      <c r="E753"/>
    </row>
    <row r="754" spans="5:5" x14ac:dyDescent="0.25">
      <c r="E754"/>
    </row>
    <row r="755" spans="5:5" x14ac:dyDescent="0.25">
      <c r="E755"/>
    </row>
    <row r="756" spans="5:5" x14ac:dyDescent="0.25">
      <c r="E756"/>
    </row>
    <row r="757" spans="5:5" x14ac:dyDescent="0.25">
      <c r="E757"/>
    </row>
    <row r="758" spans="5:5" x14ac:dyDescent="0.25">
      <c r="E758"/>
    </row>
    <row r="759" spans="5:5" x14ac:dyDescent="0.25">
      <c r="E759"/>
    </row>
    <row r="760" spans="5:5" x14ac:dyDescent="0.25">
      <c r="E760"/>
    </row>
    <row r="761" spans="5:5" x14ac:dyDescent="0.25">
      <c r="E761"/>
    </row>
    <row r="762" spans="5:5" x14ac:dyDescent="0.25">
      <c r="E762"/>
    </row>
    <row r="763" spans="5:5" x14ac:dyDescent="0.25">
      <c r="E763"/>
    </row>
    <row r="764" spans="5:5" x14ac:dyDescent="0.25">
      <c r="E764"/>
    </row>
    <row r="765" spans="5:5" x14ac:dyDescent="0.25">
      <c r="E765"/>
    </row>
    <row r="766" spans="5:5" x14ac:dyDescent="0.25">
      <c r="E766"/>
    </row>
    <row r="767" spans="5:5" x14ac:dyDescent="0.25">
      <c r="E767"/>
    </row>
    <row r="768" spans="5:5" x14ac:dyDescent="0.25">
      <c r="E768"/>
    </row>
    <row r="769" spans="5:5" x14ac:dyDescent="0.25">
      <c r="E769"/>
    </row>
    <row r="770" spans="5:5" x14ac:dyDescent="0.25">
      <c r="E770"/>
    </row>
    <row r="771" spans="5:5" x14ac:dyDescent="0.25">
      <c r="E771"/>
    </row>
    <row r="772" spans="5:5" x14ac:dyDescent="0.25">
      <c r="E772"/>
    </row>
    <row r="773" spans="5:5" x14ac:dyDescent="0.25">
      <c r="E773"/>
    </row>
    <row r="774" spans="5:5" x14ac:dyDescent="0.25">
      <c r="E774"/>
    </row>
    <row r="775" spans="5:5" x14ac:dyDescent="0.25">
      <c r="E775"/>
    </row>
    <row r="776" spans="5:5" x14ac:dyDescent="0.25">
      <c r="E776"/>
    </row>
    <row r="777" spans="5:5" x14ac:dyDescent="0.25">
      <c r="E777"/>
    </row>
    <row r="778" spans="5:5" x14ac:dyDescent="0.25">
      <c r="E778"/>
    </row>
    <row r="779" spans="5:5" x14ac:dyDescent="0.25">
      <c r="E779"/>
    </row>
    <row r="780" spans="5:5" x14ac:dyDescent="0.25">
      <c r="E780"/>
    </row>
    <row r="781" spans="5:5" x14ac:dyDescent="0.25">
      <c r="E781"/>
    </row>
    <row r="782" spans="5:5" x14ac:dyDescent="0.25">
      <c r="E782"/>
    </row>
    <row r="783" spans="5:5" x14ac:dyDescent="0.25">
      <c r="E783"/>
    </row>
    <row r="784" spans="5:5" x14ac:dyDescent="0.25">
      <c r="E784"/>
    </row>
    <row r="785" spans="5:5" x14ac:dyDescent="0.25">
      <c r="E785"/>
    </row>
    <row r="786" spans="5:5" x14ac:dyDescent="0.25">
      <c r="E786"/>
    </row>
    <row r="787" spans="5:5" x14ac:dyDescent="0.25">
      <c r="E787"/>
    </row>
    <row r="788" spans="5:5" x14ac:dyDescent="0.25">
      <c r="E788"/>
    </row>
    <row r="789" spans="5:5" x14ac:dyDescent="0.25">
      <c r="E789"/>
    </row>
    <row r="790" spans="5:5" x14ac:dyDescent="0.25">
      <c r="E790"/>
    </row>
    <row r="791" spans="5:5" x14ac:dyDescent="0.25">
      <c r="E791"/>
    </row>
    <row r="792" spans="5:5" x14ac:dyDescent="0.25">
      <c r="E792"/>
    </row>
    <row r="793" spans="5:5" x14ac:dyDescent="0.25">
      <c r="E793"/>
    </row>
    <row r="794" spans="5:5" x14ac:dyDescent="0.25">
      <c r="E794"/>
    </row>
    <row r="795" spans="5:5" x14ac:dyDescent="0.25">
      <c r="E795"/>
    </row>
    <row r="796" spans="5:5" x14ac:dyDescent="0.25">
      <c r="E796"/>
    </row>
    <row r="797" spans="5:5" x14ac:dyDescent="0.25">
      <c r="E797"/>
    </row>
    <row r="798" spans="5:5" x14ac:dyDescent="0.25">
      <c r="E798"/>
    </row>
    <row r="799" spans="5:5" x14ac:dyDescent="0.25">
      <c r="E799"/>
    </row>
    <row r="800" spans="5:5" x14ac:dyDescent="0.25">
      <c r="E800"/>
    </row>
    <row r="801" spans="5:5" x14ac:dyDescent="0.25">
      <c r="E801"/>
    </row>
    <row r="802" spans="5:5" x14ac:dyDescent="0.25">
      <c r="E802"/>
    </row>
    <row r="803" spans="5:5" x14ac:dyDescent="0.25">
      <c r="E803"/>
    </row>
    <row r="804" spans="5:5" x14ac:dyDescent="0.25">
      <c r="E804"/>
    </row>
    <row r="805" spans="5:5" x14ac:dyDescent="0.25">
      <c r="E805"/>
    </row>
    <row r="806" spans="5:5" x14ac:dyDescent="0.25">
      <c r="E806"/>
    </row>
    <row r="807" spans="5:5" x14ac:dyDescent="0.25">
      <c r="E807"/>
    </row>
    <row r="808" spans="5:5" x14ac:dyDescent="0.25">
      <c r="E808"/>
    </row>
    <row r="809" spans="5:5" x14ac:dyDescent="0.25">
      <c r="E809"/>
    </row>
    <row r="810" spans="5:5" x14ac:dyDescent="0.25">
      <c r="E810"/>
    </row>
    <row r="811" spans="5:5" x14ac:dyDescent="0.25">
      <c r="E811"/>
    </row>
    <row r="812" spans="5:5" x14ac:dyDescent="0.25">
      <c r="E812"/>
    </row>
    <row r="813" spans="5:5" x14ac:dyDescent="0.25">
      <c r="E813"/>
    </row>
    <row r="814" spans="5:5" x14ac:dyDescent="0.25">
      <c r="E814"/>
    </row>
    <row r="815" spans="5:5" x14ac:dyDescent="0.25">
      <c r="E815"/>
    </row>
    <row r="816" spans="5:5" x14ac:dyDescent="0.25">
      <c r="E816"/>
    </row>
    <row r="817" spans="5:5" x14ac:dyDescent="0.25">
      <c r="E817"/>
    </row>
    <row r="818" spans="5:5" x14ac:dyDescent="0.25">
      <c r="E818"/>
    </row>
    <row r="819" spans="5:5" x14ac:dyDescent="0.25">
      <c r="E819"/>
    </row>
    <row r="820" spans="5:5" x14ac:dyDescent="0.25">
      <c r="E820"/>
    </row>
    <row r="821" spans="5:5" x14ac:dyDescent="0.25">
      <c r="E821"/>
    </row>
    <row r="822" spans="5:5" x14ac:dyDescent="0.25">
      <c r="E822"/>
    </row>
    <row r="823" spans="5:5" x14ac:dyDescent="0.25">
      <c r="E823"/>
    </row>
    <row r="824" spans="5:5" x14ac:dyDescent="0.25">
      <c r="E824"/>
    </row>
    <row r="825" spans="5:5" x14ac:dyDescent="0.25">
      <c r="E825"/>
    </row>
    <row r="826" spans="5:5" x14ac:dyDescent="0.25">
      <c r="E826"/>
    </row>
    <row r="827" spans="5:5" x14ac:dyDescent="0.25">
      <c r="E827"/>
    </row>
    <row r="828" spans="5:5" x14ac:dyDescent="0.25">
      <c r="E828"/>
    </row>
    <row r="829" spans="5:5" x14ac:dyDescent="0.25">
      <c r="E829"/>
    </row>
    <row r="830" spans="5:5" x14ac:dyDescent="0.25">
      <c r="E830"/>
    </row>
    <row r="831" spans="5:5" x14ac:dyDescent="0.25">
      <c r="E831"/>
    </row>
    <row r="832" spans="5:5" x14ac:dyDescent="0.25">
      <c r="E832"/>
    </row>
    <row r="833" spans="5:5" x14ac:dyDescent="0.25">
      <c r="E833"/>
    </row>
    <row r="834" spans="5:5" x14ac:dyDescent="0.25">
      <c r="E834"/>
    </row>
    <row r="835" spans="5:5" x14ac:dyDescent="0.25">
      <c r="E835"/>
    </row>
    <row r="836" spans="5:5" x14ac:dyDescent="0.25">
      <c r="E836"/>
    </row>
    <row r="837" spans="5:5" x14ac:dyDescent="0.25">
      <c r="E837"/>
    </row>
    <row r="838" spans="5:5" x14ac:dyDescent="0.25">
      <c r="E838"/>
    </row>
    <row r="839" spans="5:5" x14ac:dyDescent="0.25">
      <c r="E839"/>
    </row>
    <row r="840" spans="5:5" x14ac:dyDescent="0.25">
      <c r="E840"/>
    </row>
    <row r="841" spans="5:5" x14ac:dyDescent="0.25">
      <c r="E841"/>
    </row>
    <row r="842" spans="5:5" x14ac:dyDescent="0.25">
      <c r="E842"/>
    </row>
    <row r="843" spans="5:5" x14ac:dyDescent="0.25">
      <c r="E843"/>
    </row>
    <row r="844" spans="5:5" x14ac:dyDescent="0.25">
      <c r="E844"/>
    </row>
    <row r="845" spans="5:5" x14ac:dyDescent="0.25">
      <c r="E845"/>
    </row>
    <row r="846" spans="5:5" x14ac:dyDescent="0.25">
      <c r="E846"/>
    </row>
    <row r="847" spans="5:5" x14ac:dyDescent="0.25">
      <c r="E847"/>
    </row>
    <row r="848" spans="5:5" x14ac:dyDescent="0.25">
      <c r="E848"/>
    </row>
    <row r="849" spans="5:5" x14ac:dyDescent="0.25">
      <c r="E849"/>
    </row>
    <row r="850" spans="5:5" x14ac:dyDescent="0.25">
      <c r="E850"/>
    </row>
    <row r="851" spans="5:5" x14ac:dyDescent="0.25">
      <c r="E851"/>
    </row>
    <row r="852" spans="5:5" x14ac:dyDescent="0.25">
      <c r="E852"/>
    </row>
    <row r="853" spans="5:5" x14ac:dyDescent="0.25">
      <c r="E853"/>
    </row>
    <row r="854" spans="5:5" x14ac:dyDescent="0.25">
      <c r="E854"/>
    </row>
    <row r="855" spans="5:5" x14ac:dyDescent="0.25">
      <c r="E855"/>
    </row>
    <row r="856" spans="5:5" x14ac:dyDescent="0.25">
      <c r="E856"/>
    </row>
    <row r="857" spans="5:5" x14ac:dyDescent="0.25">
      <c r="E857"/>
    </row>
    <row r="858" spans="5:5" x14ac:dyDescent="0.25">
      <c r="E858"/>
    </row>
    <row r="859" spans="5:5" x14ac:dyDescent="0.25">
      <c r="E859"/>
    </row>
    <row r="860" spans="5:5" x14ac:dyDescent="0.25">
      <c r="E860"/>
    </row>
    <row r="861" spans="5:5" x14ac:dyDescent="0.25">
      <c r="E861"/>
    </row>
    <row r="862" spans="5:5" x14ac:dyDescent="0.25">
      <c r="E862"/>
    </row>
    <row r="863" spans="5:5" x14ac:dyDescent="0.25">
      <c r="E863"/>
    </row>
    <row r="864" spans="5:5" x14ac:dyDescent="0.25">
      <c r="E864"/>
    </row>
    <row r="865" spans="5:5" x14ac:dyDescent="0.25">
      <c r="E865"/>
    </row>
    <row r="866" spans="5:5" x14ac:dyDescent="0.25">
      <c r="E866"/>
    </row>
    <row r="867" spans="5:5" x14ac:dyDescent="0.25">
      <c r="E867"/>
    </row>
    <row r="868" spans="5:5" x14ac:dyDescent="0.25">
      <c r="E868"/>
    </row>
    <row r="869" spans="5:5" x14ac:dyDescent="0.25">
      <c r="E869"/>
    </row>
    <row r="870" spans="5:5" x14ac:dyDescent="0.25">
      <c r="E870"/>
    </row>
    <row r="871" spans="5:5" x14ac:dyDescent="0.25">
      <c r="E871"/>
    </row>
    <row r="872" spans="5:5" x14ac:dyDescent="0.25">
      <c r="E872"/>
    </row>
    <row r="873" spans="5:5" x14ac:dyDescent="0.25">
      <c r="E873"/>
    </row>
    <row r="874" spans="5:5" x14ac:dyDescent="0.25">
      <c r="E874"/>
    </row>
    <row r="875" spans="5:5" x14ac:dyDescent="0.25">
      <c r="E875"/>
    </row>
    <row r="876" spans="5:5" x14ac:dyDescent="0.25">
      <c r="E876"/>
    </row>
    <row r="877" spans="5:5" x14ac:dyDescent="0.25">
      <c r="E877"/>
    </row>
    <row r="878" spans="5:5" x14ac:dyDescent="0.25">
      <c r="E878"/>
    </row>
    <row r="879" spans="5:5" x14ac:dyDescent="0.25">
      <c r="E879"/>
    </row>
    <row r="880" spans="5:5" x14ac:dyDescent="0.25">
      <c r="E880"/>
    </row>
    <row r="881" spans="5:5" x14ac:dyDescent="0.25">
      <c r="E881"/>
    </row>
    <row r="882" spans="5:5" x14ac:dyDescent="0.25">
      <c r="E882"/>
    </row>
    <row r="883" spans="5:5" x14ac:dyDescent="0.25">
      <c r="E883"/>
    </row>
    <row r="884" spans="5:5" x14ac:dyDescent="0.25">
      <c r="E884"/>
    </row>
    <row r="885" spans="5:5" x14ac:dyDescent="0.25">
      <c r="E885"/>
    </row>
    <row r="886" spans="5:5" x14ac:dyDescent="0.25">
      <c r="E886"/>
    </row>
    <row r="887" spans="5:5" x14ac:dyDescent="0.25">
      <c r="E887"/>
    </row>
    <row r="888" spans="5:5" x14ac:dyDescent="0.25">
      <c r="E888"/>
    </row>
    <row r="889" spans="5:5" x14ac:dyDescent="0.25">
      <c r="E889"/>
    </row>
    <row r="890" spans="5:5" x14ac:dyDescent="0.25">
      <c r="E890"/>
    </row>
    <row r="891" spans="5:5" x14ac:dyDescent="0.25">
      <c r="E891"/>
    </row>
    <row r="892" spans="5:5" x14ac:dyDescent="0.25">
      <c r="E892"/>
    </row>
    <row r="893" spans="5:5" x14ac:dyDescent="0.25">
      <c r="E893"/>
    </row>
    <row r="894" spans="5:5" x14ac:dyDescent="0.25">
      <c r="E894"/>
    </row>
    <row r="895" spans="5:5" x14ac:dyDescent="0.25">
      <c r="E895"/>
    </row>
    <row r="896" spans="5:5" x14ac:dyDescent="0.25">
      <c r="E896"/>
    </row>
    <row r="897" spans="5:5" x14ac:dyDescent="0.25">
      <c r="E897"/>
    </row>
    <row r="898" spans="5:5" x14ac:dyDescent="0.25">
      <c r="E898"/>
    </row>
    <row r="899" spans="5:5" x14ac:dyDescent="0.25">
      <c r="E899"/>
    </row>
    <row r="900" spans="5:5" x14ac:dyDescent="0.25">
      <c r="E900"/>
    </row>
    <row r="901" spans="5:5" x14ac:dyDescent="0.25">
      <c r="E901"/>
    </row>
    <row r="902" spans="5:5" x14ac:dyDescent="0.25">
      <c r="E902"/>
    </row>
    <row r="903" spans="5:5" x14ac:dyDescent="0.25">
      <c r="E903"/>
    </row>
    <row r="904" spans="5:5" x14ac:dyDescent="0.25">
      <c r="E904"/>
    </row>
    <row r="905" spans="5:5" x14ac:dyDescent="0.25">
      <c r="E905"/>
    </row>
    <row r="906" spans="5:5" x14ac:dyDescent="0.25">
      <c r="E906"/>
    </row>
    <row r="907" spans="5:5" x14ac:dyDescent="0.25">
      <c r="E907"/>
    </row>
    <row r="908" spans="5:5" x14ac:dyDescent="0.25">
      <c r="E908"/>
    </row>
    <row r="909" spans="5:5" x14ac:dyDescent="0.25">
      <c r="E909"/>
    </row>
    <row r="910" spans="5:5" x14ac:dyDescent="0.25">
      <c r="E910"/>
    </row>
    <row r="911" spans="5:5" x14ac:dyDescent="0.25">
      <c r="E911"/>
    </row>
    <row r="912" spans="5:5" x14ac:dyDescent="0.25">
      <c r="E912"/>
    </row>
    <row r="913" spans="5:5" x14ac:dyDescent="0.25">
      <c r="E913"/>
    </row>
    <row r="914" spans="5:5" x14ac:dyDescent="0.25">
      <c r="E914"/>
    </row>
    <row r="915" spans="5:5" x14ac:dyDescent="0.25">
      <c r="E915"/>
    </row>
    <row r="916" spans="5:5" x14ac:dyDescent="0.25">
      <c r="E916"/>
    </row>
    <row r="917" spans="5:5" x14ac:dyDescent="0.25">
      <c r="E917"/>
    </row>
    <row r="918" spans="5:5" x14ac:dyDescent="0.25">
      <c r="E918"/>
    </row>
    <row r="919" spans="5:5" x14ac:dyDescent="0.25">
      <c r="E919"/>
    </row>
    <row r="920" spans="5:5" x14ac:dyDescent="0.25">
      <c r="E920"/>
    </row>
    <row r="921" spans="5:5" x14ac:dyDescent="0.25">
      <c r="E921"/>
    </row>
    <row r="922" spans="5:5" x14ac:dyDescent="0.25">
      <c r="E922"/>
    </row>
    <row r="923" spans="5:5" x14ac:dyDescent="0.25">
      <c r="E923"/>
    </row>
    <row r="924" spans="5:5" x14ac:dyDescent="0.25">
      <c r="E924"/>
    </row>
    <row r="925" spans="5:5" x14ac:dyDescent="0.25">
      <c r="E925"/>
    </row>
    <row r="926" spans="5:5" x14ac:dyDescent="0.25">
      <c r="E926"/>
    </row>
    <row r="927" spans="5:5" x14ac:dyDescent="0.25">
      <c r="E927"/>
    </row>
    <row r="928" spans="5:5" x14ac:dyDescent="0.25">
      <c r="E928"/>
    </row>
    <row r="929" spans="5:5" x14ac:dyDescent="0.25">
      <c r="E929"/>
    </row>
    <row r="930" spans="5:5" x14ac:dyDescent="0.25">
      <c r="E930"/>
    </row>
    <row r="931" spans="5:5" x14ac:dyDescent="0.25">
      <c r="E931"/>
    </row>
    <row r="932" spans="5:5" x14ac:dyDescent="0.25">
      <c r="E932"/>
    </row>
    <row r="933" spans="5:5" x14ac:dyDescent="0.25">
      <c r="E933"/>
    </row>
    <row r="934" spans="5:5" x14ac:dyDescent="0.25">
      <c r="E934"/>
    </row>
    <row r="935" spans="5:5" x14ac:dyDescent="0.25">
      <c r="E935"/>
    </row>
    <row r="936" spans="5:5" x14ac:dyDescent="0.25">
      <c r="E936"/>
    </row>
    <row r="937" spans="5:5" x14ac:dyDescent="0.25">
      <c r="E937"/>
    </row>
    <row r="938" spans="5:5" x14ac:dyDescent="0.25">
      <c r="E938"/>
    </row>
    <row r="939" spans="5:5" x14ac:dyDescent="0.25">
      <c r="E939"/>
    </row>
    <row r="940" spans="5:5" x14ac:dyDescent="0.25">
      <c r="E940"/>
    </row>
    <row r="941" spans="5:5" x14ac:dyDescent="0.25">
      <c r="E941"/>
    </row>
    <row r="942" spans="5:5" x14ac:dyDescent="0.25">
      <c r="E942"/>
    </row>
    <row r="943" spans="5:5" x14ac:dyDescent="0.25">
      <c r="E943"/>
    </row>
    <row r="944" spans="5:5" x14ac:dyDescent="0.25">
      <c r="E944"/>
    </row>
    <row r="945" spans="5:5" x14ac:dyDescent="0.25">
      <c r="E945"/>
    </row>
    <row r="946" spans="5:5" x14ac:dyDescent="0.25">
      <c r="E946"/>
    </row>
    <row r="947" spans="5:5" x14ac:dyDescent="0.25">
      <c r="E947"/>
    </row>
    <row r="948" spans="5:5" x14ac:dyDescent="0.25">
      <c r="E948"/>
    </row>
    <row r="949" spans="5:5" x14ac:dyDescent="0.25">
      <c r="E949"/>
    </row>
    <row r="950" spans="5:5" x14ac:dyDescent="0.25">
      <c r="E950"/>
    </row>
    <row r="951" spans="5:5" x14ac:dyDescent="0.25">
      <c r="E951"/>
    </row>
    <row r="952" spans="5:5" x14ac:dyDescent="0.25">
      <c r="E952"/>
    </row>
    <row r="953" spans="5:5" x14ac:dyDescent="0.25">
      <c r="E953"/>
    </row>
    <row r="954" spans="5:5" x14ac:dyDescent="0.25">
      <c r="E954"/>
    </row>
    <row r="955" spans="5:5" x14ac:dyDescent="0.25">
      <c r="E955"/>
    </row>
    <row r="956" spans="5:5" x14ac:dyDescent="0.25">
      <c r="E956"/>
    </row>
    <row r="957" spans="5:5" x14ac:dyDescent="0.25">
      <c r="E957"/>
    </row>
    <row r="958" spans="5:5" x14ac:dyDescent="0.25">
      <c r="E958"/>
    </row>
    <row r="959" spans="5:5" x14ac:dyDescent="0.25">
      <c r="E959"/>
    </row>
    <row r="960" spans="5:5" x14ac:dyDescent="0.25">
      <c r="E960"/>
    </row>
    <row r="961" spans="5:5" x14ac:dyDescent="0.25">
      <c r="E961"/>
    </row>
    <row r="962" spans="5:5" x14ac:dyDescent="0.25">
      <c r="E962"/>
    </row>
    <row r="963" spans="5:5" x14ac:dyDescent="0.25">
      <c r="E963"/>
    </row>
    <row r="964" spans="5:5" x14ac:dyDescent="0.25">
      <c r="E964"/>
    </row>
    <row r="965" spans="5:5" x14ac:dyDescent="0.25">
      <c r="E965"/>
    </row>
    <row r="966" spans="5:5" x14ac:dyDescent="0.25">
      <c r="E966"/>
    </row>
    <row r="967" spans="5:5" x14ac:dyDescent="0.25">
      <c r="E967"/>
    </row>
    <row r="968" spans="5:5" x14ac:dyDescent="0.25">
      <c r="E968"/>
    </row>
    <row r="969" spans="5:5" x14ac:dyDescent="0.25">
      <c r="E969"/>
    </row>
    <row r="970" spans="5:5" x14ac:dyDescent="0.25">
      <c r="E970"/>
    </row>
    <row r="971" spans="5:5" x14ac:dyDescent="0.25">
      <c r="E971"/>
    </row>
    <row r="972" spans="5:5" x14ac:dyDescent="0.25">
      <c r="E972"/>
    </row>
    <row r="973" spans="5:5" x14ac:dyDescent="0.25">
      <c r="E973"/>
    </row>
    <row r="974" spans="5:5" x14ac:dyDescent="0.25">
      <c r="E974"/>
    </row>
    <row r="975" spans="5:5" x14ac:dyDescent="0.25">
      <c r="E975"/>
    </row>
    <row r="976" spans="5:5" x14ac:dyDescent="0.25">
      <c r="E976"/>
    </row>
    <row r="977" spans="5:5" x14ac:dyDescent="0.25">
      <c r="E977"/>
    </row>
    <row r="978" spans="5:5" x14ac:dyDescent="0.25">
      <c r="E978"/>
    </row>
    <row r="979" spans="5:5" x14ac:dyDescent="0.25">
      <c r="E979"/>
    </row>
    <row r="980" spans="5:5" x14ac:dyDescent="0.25">
      <c r="E980"/>
    </row>
    <row r="981" spans="5:5" x14ac:dyDescent="0.25">
      <c r="E981"/>
    </row>
    <row r="982" spans="5:5" x14ac:dyDescent="0.25">
      <c r="E982"/>
    </row>
    <row r="983" spans="5:5" x14ac:dyDescent="0.25">
      <c r="E983"/>
    </row>
    <row r="984" spans="5:5" x14ac:dyDescent="0.25">
      <c r="E984"/>
    </row>
    <row r="985" spans="5:5" x14ac:dyDescent="0.25">
      <c r="E985"/>
    </row>
    <row r="986" spans="5:5" x14ac:dyDescent="0.25">
      <c r="E986"/>
    </row>
    <row r="987" spans="5:5" x14ac:dyDescent="0.25">
      <c r="E987"/>
    </row>
    <row r="988" spans="5:5" x14ac:dyDescent="0.25">
      <c r="E988"/>
    </row>
    <row r="989" spans="5:5" x14ac:dyDescent="0.25">
      <c r="E989"/>
    </row>
    <row r="990" spans="5:5" x14ac:dyDescent="0.25">
      <c r="E990"/>
    </row>
    <row r="991" spans="5:5" x14ac:dyDescent="0.25">
      <c r="E991"/>
    </row>
    <row r="992" spans="5:5" x14ac:dyDescent="0.25">
      <c r="E992"/>
    </row>
    <row r="993" spans="5:5" x14ac:dyDescent="0.25">
      <c r="E993"/>
    </row>
    <row r="994" spans="5:5" x14ac:dyDescent="0.25">
      <c r="E994"/>
    </row>
    <row r="995" spans="5:5" x14ac:dyDescent="0.25">
      <c r="E995"/>
    </row>
    <row r="996" spans="5:5" x14ac:dyDescent="0.25">
      <c r="E996"/>
    </row>
    <row r="997" spans="5:5" x14ac:dyDescent="0.25">
      <c r="E997"/>
    </row>
    <row r="998" spans="5:5" x14ac:dyDescent="0.25">
      <c r="E998"/>
    </row>
    <row r="999" spans="5:5" x14ac:dyDescent="0.25">
      <c r="E999"/>
    </row>
    <row r="1000" spans="5:5" x14ac:dyDescent="0.25">
      <c r="E1000"/>
    </row>
    <row r="1001" spans="5:5" x14ac:dyDescent="0.25">
      <c r="E1001"/>
    </row>
    <row r="1002" spans="5:5" x14ac:dyDescent="0.25">
      <c r="E1002"/>
    </row>
    <row r="1003" spans="5:5" x14ac:dyDescent="0.25">
      <c r="E1003"/>
    </row>
    <row r="1004" spans="5:5" x14ac:dyDescent="0.25">
      <c r="E1004"/>
    </row>
    <row r="1005" spans="5:5" x14ac:dyDescent="0.25">
      <c r="E1005"/>
    </row>
    <row r="1006" spans="5:5" x14ac:dyDescent="0.25">
      <c r="E1006"/>
    </row>
    <row r="1007" spans="5:5" x14ac:dyDescent="0.25">
      <c r="E1007"/>
    </row>
    <row r="1008" spans="5:5" x14ac:dyDescent="0.25">
      <c r="E1008"/>
    </row>
    <row r="1009" spans="5:5" x14ac:dyDescent="0.25">
      <c r="E1009"/>
    </row>
    <row r="1010" spans="5:5" x14ac:dyDescent="0.25">
      <c r="E1010"/>
    </row>
    <row r="1011" spans="5:5" x14ac:dyDescent="0.25">
      <c r="E1011"/>
    </row>
    <row r="1012" spans="5:5" x14ac:dyDescent="0.25">
      <c r="E1012"/>
    </row>
    <row r="1013" spans="5:5" x14ac:dyDescent="0.25">
      <c r="E1013"/>
    </row>
    <row r="1014" spans="5:5" x14ac:dyDescent="0.25">
      <c r="E1014"/>
    </row>
    <row r="1015" spans="5:5" x14ac:dyDescent="0.25">
      <c r="E1015"/>
    </row>
    <row r="1016" spans="5:5" x14ac:dyDescent="0.25">
      <c r="E1016"/>
    </row>
    <row r="1017" spans="5:5" x14ac:dyDescent="0.25">
      <c r="E1017"/>
    </row>
    <row r="1018" spans="5:5" x14ac:dyDescent="0.25">
      <c r="E1018"/>
    </row>
    <row r="1019" spans="5:5" x14ac:dyDescent="0.25">
      <c r="E1019"/>
    </row>
    <row r="1020" spans="5:5" x14ac:dyDescent="0.25">
      <c r="E1020"/>
    </row>
    <row r="1021" spans="5:5" x14ac:dyDescent="0.25">
      <c r="E1021"/>
    </row>
    <row r="1022" spans="5:5" x14ac:dyDescent="0.25">
      <c r="E1022"/>
    </row>
    <row r="1023" spans="5:5" x14ac:dyDescent="0.25">
      <c r="E1023"/>
    </row>
    <row r="1024" spans="5:5" x14ac:dyDescent="0.25">
      <c r="E1024"/>
    </row>
    <row r="1025" spans="5:5" x14ac:dyDescent="0.25">
      <c r="E1025"/>
    </row>
    <row r="1026" spans="5:5" x14ac:dyDescent="0.25">
      <c r="E1026"/>
    </row>
    <row r="1027" spans="5:5" x14ac:dyDescent="0.25">
      <c r="E1027"/>
    </row>
    <row r="1028" spans="5:5" x14ac:dyDescent="0.25">
      <c r="E1028"/>
    </row>
    <row r="1029" spans="5:5" x14ac:dyDescent="0.25">
      <c r="E1029"/>
    </row>
    <row r="1030" spans="5:5" x14ac:dyDescent="0.25">
      <c r="E1030"/>
    </row>
    <row r="1031" spans="5:5" x14ac:dyDescent="0.25">
      <c r="E1031"/>
    </row>
    <row r="1032" spans="5:5" x14ac:dyDescent="0.25">
      <c r="E1032"/>
    </row>
    <row r="1033" spans="5:5" x14ac:dyDescent="0.25">
      <c r="E1033"/>
    </row>
    <row r="1034" spans="5:5" x14ac:dyDescent="0.25">
      <c r="E1034"/>
    </row>
    <row r="1035" spans="5:5" x14ac:dyDescent="0.25">
      <c r="E1035"/>
    </row>
    <row r="1036" spans="5:5" x14ac:dyDescent="0.25">
      <c r="E1036"/>
    </row>
    <row r="1037" spans="5:5" x14ac:dyDescent="0.25">
      <c r="E1037"/>
    </row>
    <row r="1038" spans="5:5" x14ac:dyDescent="0.25">
      <c r="E1038"/>
    </row>
    <row r="1039" spans="5:5" x14ac:dyDescent="0.25">
      <c r="E1039"/>
    </row>
    <row r="1040" spans="5:5" x14ac:dyDescent="0.25">
      <c r="E1040"/>
    </row>
    <row r="1041" spans="5:5" x14ac:dyDescent="0.25">
      <c r="E1041"/>
    </row>
    <row r="1042" spans="5:5" x14ac:dyDescent="0.25">
      <c r="E1042"/>
    </row>
    <row r="1043" spans="5:5" x14ac:dyDescent="0.25">
      <c r="E1043"/>
    </row>
    <row r="1044" spans="5:5" x14ac:dyDescent="0.25">
      <c r="E1044"/>
    </row>
    <row r="1045" spans="5:5" x14ac:dyDescent="0.25">
      <c r="E1045"/>
    </row>
    <row r="1046" spans="5:5" x14ac:dyDescent="0.25">
      <c r="E1046"/>
    </row>
    <row r="1047" spans="5:5" x14ac:dyDescent="0.25">
      <c r="E1047"/>
    </row>
    <row r="1048" spans="5:5" x14ac:dyDescent="0.25">
      <c r="E1048"/>
    </row>
    <row r="1049" spans="5:5" x14ac:dyDescent="0.25">
      <c r="E1049"/>
    </row>
    <row r="1050" spans="5:5" x14ac:dyDescent="0.25">
      <c r="E1050"/>
    </row>
    <row r="1051" spans="5:5" x14ac:dyDescent="0.25">
      <c r="E1051"/>
    </row>
    <row r="1052" spans="5:5" x14ac:dyDescent="0.25">
      <c r="E1052"/>
    </row>
    <row r="1053" spans="5:5" x14ac:dyDescent="0.25">
      <c r="E1053"/>
    </row>
    <row r="1054" spans="5:5" x14ac:dyDescent="0.25">
      <c r="E1054"/>
    </row>
    <row r="1055" spans="5:5" x14ac:dyDescent="0.25">
      <c r="E1055"/>
    </row>
    <row r="1056" spans="5:5" x14ac:dyDescent="0.25">
      <c r="E1056"/>
    </row>
    <row r="1057" spans="5:5" x14ac:dyDescent="0.25">
      <c r="E1057"/>
    </row>
    <row r="1058" spans="5:5" x14ac:dyDescent="0.25">
      <c r="E1058"/>
    </row>
    <row r="1059" spans="5:5" x14ac:dyDescent="0.25">
      <c r="E1059"/>
    </row>
    <row r="1060" spans="5:5" x14ac:dyDescent="0.25">
      <c r="E1060"/>
    </row>
    <row r="1061" spans="5:5" x14ac:dyDescent="0.25">
      <c r="E1061"/>
    </row>
    <row r="1062" spans="5:5" x14ac:dyDescent="0.25">
      <c r="E1062"/>
    </row>
    <row r="1063" spans="5:5" x14ac:dyDescent="0.25">
      <c r="E1063"/>
    </row>
    <row r="1064" spans="5:5" x14ac:dyDescent="0.25">
      <c r="E1064"/>
    </row>
    <row r="1065" spans="5:5" x14ac:dyDescent="0.25">
      <c r="E1065"/>
    </row>
    <row r="1066" spans="5:5" x14ac:dyDescent="0.25">
      <c r="E1066"/>
    </row>
    <row r="1067" spans="5:5" x14ac:dyDescent="0.25">
      <c r="E1067"/>
    </row>
    <row r="1068" spans="5:5" x14ac:dyDescent="0.25">
      <c r="E1068"/>
    </row>
    <row r="1069" spans="5:5" x14ac:dyDescent="0.25">
      <c r="E1069"/>
    </row>
    <row r="1070" spans="5:5" x14ac:dyDescent="0.25">
      <c r="E1070"/>
    </row>
    <row r="1071" spans="5:5" x14ac:dyDescent="0.25">
      <c r="E1071"/>
    </row>
    <row r="1072" spans="5:5" x14ac:dyDescent="0.25">
      <c r="E1072"/>
    </row>
    <row r="1073" spans="5:5" x14ac:dyDescent="0.25">
      <c r="E1073"/>
    </row>
    <row r="1074" spans="5:5" x14ac:dyDescent="0.25">
      <c r="E1074"/>
    </row>
    <row r="1075" spans="5:5" x14ac:dyDescent="0.25">
      <c r="E1075"/>
    </row>
    <row r="1076" spans="5:5" x14ac:dyDescent="0.25">
      <c r="E1076"/>
    </row>
    <row r="1077" spans="5:5" x14ac:dyDescent="0.25">
      <c r="E1077"/>
    </row>
    <row r="1078" spans="5:5" x14ac:dyDescent="0.25">
      <c r="E1078"/>
    </row>
    <row r="1079" spans="5:5" x14ac:dyDescent="0.25">
      <c r="E1079"/>
    </row>
    <row r="1080" spans="5:5" x14ac:dyDescent="0.25">
      <c r="E1080"/>
    </row>
    <row r="1081" spans="5:5" x14ac:dyDescent="0.25">
      <c r="E1081"/>
    </row>
    <row r="1082" spans="5:5" x14ac:dyDescent="0.25">
      <c r="E1082"/>
    </row>
    <row r="1083" spans="5:5" x14ac:dyDescent="0.25">
      <c r="E1083"/>
    </row>
    <row r="1084" spans="5:5" x14ac:dyDescent="0.25">
      <c r="E1084"/>
    </row>
    <row r="1085" spans="5:5" x14ac:dyDescent="0.25">
      <c r="E1085"/>
    </row>
    <row r="1086" spans="5:5" x14ac:dyDescent="0.25">
      <c r="E1086"/>
    </row>
    <row r="1087" spans="5:5" x14ac:dyDescent="0.25">
      <c r="E1087"/>
    </row>
    <row r="1088" spans="5:5" x14ac:dyDescent="0.25">
      <c r="E1088"/>
    </row>
    <row r="1089" spans="5:5" x14ac:dyDescent="0.25">
      <c r="E1089"/>
    </row>
    <row r="1090" spans="5:5" x14ac:dyDescent="0.25">
      <c r="E1090"/>
    </row>
    <row r="1091" spans="5:5" x14ac:dyDescent="0.25">
      <c r="E1091"/>
    </row>
    <row r="1092" spans="5:5" x14ac:dyDescent="0.25">
      <c r="E1092"/>
    </row>
    <row r="1093" spans="5:5" x14ac:dyDescent="0.25">
      <c r="E1093"/>
    </row>
    <row r="1094" spans="5:5" x14ac:dyDescent="0.25">
      <c r="E1094"/>
    </row>
    <row r="1095" spans="5:5" x14ac:dyDescent="0.25">
      <c r="E1095"/>
    </row>
    <row r="1096" spans="5:5" x14ac:dyDescent="0.25">
      <c r="E1096"/>
    </row>
    <row r="1097" spans="5:5" x14ac:dyDescent="0.25">
      <c r="E1097"/>
    </row>
    <row r="1098" spans="5:5" x14ac:dyDescent="0.25">
      <c r="E1098"/>
    </row>
    <row r="1099" spans="5:5" x14ac:dyDescent="0.25">
      <c r="E1099"/>
    </row>
    <row r="1100" spans="5:5" x14ac:dyDescent="0.25">
      <c r="E1100"/>
    </row>
    <row r="1101" spans="5:5" x14ac:dyDescent="0.25">
      <c r="E1101"/>
    </row>
    <row r="1102" spans="5:5" x14ac:dyDescent="0.25">
      <c r="E1102"/>
    </row>
    <row r="1103" spans="5:5" x14ac:dyDescent="0.25">
      <c r="E1103"/>
    </row>
    <row r="1104" spans="5:5" x14ac:dyDescent="0.25">
      <c r="E1104"/>
    </row>
    <row r="1105" spans="5:5" x14ac:dyDescent="0.25">
      <c r="E1105"/>
    </row>
    <row r="1106" spans="5:5" x14ac:dyDescent="0.25">
      <c r="E1106"/>
    </row>
    <row r="1107" spans="5:5" x14ac:dyDescent="0.25">
      <c r="E1107"/>
    </row>
    <row r="1108" spans="5:5" x14ac:dyDescent="0.25">
      <c r="E1108"/>
    </row>
    <row r="1109" spans="5:5" x14ac:dyDescent="0.25">
      <c r="E1109"/>
    </row>
    <row r="1110" spans="5:5" x14ac:dyDescent="0.25">
      <c r="E1110"/>
    </row>
    <row r="1111" spans="5:5" x14ac:dyDescent="0.25">
      <c r="E1111"/>
    </row>
    <row r="1112" spans="5:5" x14ac:dyDescent="0.25">
      <c r="E1112"/>
    </row>
    <row r="1113" spans="5:5" x14ac:dyDescent="0.25">
      <c r="E1113"/>
    </row>
    <row r="1114" spans="5:5" x14ac:dyDescent="0.25">
      <c r="E1114"/>
    </row>
    <row r="1115" spans="5:5" x14ac:dyDescent="0.25">
      <c r="E1115"/>
    </row>
    <row r="1116" spans="5:5" x14ac:dyDescent="0.25">
      <c r="E1116"/>
    </row>
    <row r="1117" spans="5:5" x14ac:dyDescent="0.25">
      <c r="E1117"/>
    </row>
    <row r="1118" spans="5:5" x14ac:dyDescent="0.25">
      <c r="E1118"/>
    </row>
    <row r="1119" spans="5:5" x14ac:dyDescent="0.25">
      <c r="E1119"/>
    </row>
    <row r="1120" spans="5:5" x14ac:dyDescent="0.25">
      <c r="E1120"/>
    </row>
    <row r="1121" spans="5:5" x14ac:dyDescent="0.25">
      <c r="E1121"/>
    </row>
    <row r="1122" spans="5:5" x14ac:dyDescent="0.25">
      <c r="E1122"/>
    </row>
    <row r="1123" spans="5:5" x14ac:dyDescent="0.25">
      <c r="E1123"/>
    </row>
    <row r="1124" spans="5:5" x14ac:dyDescent="0.25">
      <c r="E1124"/>
    </row>
    <row r="1125" spans="5:5" x14ac:dyDescent="0.25">
      <c r="E1125"/>
    </row>
    <row r="1126" spans="5:5" x14ac:dyDescent="0.25">
      <c r="E1126"/>
    </row>
    <row r="1127" spans="5:5" x14ac:dyDescent="0.25">
      <c r="E1127"/>
    </row>
    <row r="1128" spans="5:5" x14ac:dyDescent="0.25">
      <c r="E1128"/>
    </row>
    <row r="1129" spans="5:5" x14ac:dyDescent="0.25">
      <c r="E1129"/>
    </row>
    <row r="1130" spans="5:5" x14ac:dyDescent="0.25">
      <c r="E1130"/>
    </row>
    <row r="1131" spans="5:5" x14ac:dyDescent="0.25">
      <c r="E1131"/>
    </row>
    <row r="1132" spans="5:5" x14ac:dyDescent="0.25">
      <c r="E1132"/>
    </row>
    <row r="1133" spans="5:5" x14ac:dyDescent="0.25">
      <c r="E1133"/>
    </row>
    <row r="1134" spans="5:5" x14ac:dyDescent="0.25">
      <c r="E1134"/>
    </row>
    <row r="1135" spans="5:5" x14ac:dyDescent="0.25">
      <c r="E1135"/>
    </row>
    <row r="1136" spans="5:5" x14ac:dyDescent="0.25">
      <c r="E1136"/>
    </row>
    <row r="1137" spans="5:5" x14ac:dyDescent="0.25">
      <c r="E1137"/>
    </row>
    <row r="1138" spans="5:5" x14ac:dyDescent="0.25">
      <c r="E1138"/>
    </row>
    <row r="1139" spans="5:5" x14ac:dyDescent="0.25">
      <c r="E1139"/>
    </row>
    <row r="1140" spans="5:5" x14ac:dyDescent="0.25">
      <c r="E1140"/>
    </row>
    <row r="1141" spans="5:5" x14ac:dyDescent="0.25">
      <c r="E1141"/>
    </row>
    <row r="1142" spans="5:5" x14ac:dyDescent="0.25">
      <c r="E1142"/>
    </row>
    <row r="1143" spans="5:5" x14ac:dyDescent="0.25">
      <c r="E1143"/>
    </row>
    <row r="1144" spans="5:5" x14ac:dyDescent="0.25">
      <c r="E1144"/>
    </row>
    <row r="1145" spans="5:5" x14ac:dyDescent="0.25">
      <c r="E1145"/>
    </row>
    <row r="1146" spans="5:5" x14ac:dyDescent="0.25">
      <c r="E1146"/>
    </row>
    <row r="1147" spans="5:5" x14ac:dyDescent="0.25">
      <c r="E1147"/>
    </row>
    <row r="1148" spans="5:5" x14ac:dyDescent="0.25">
      <c r="E1148"/>
    </row>
    <row r="1149" spans="5:5" x14ac:dyDescent="0.25">
      <c r="E1149"/>
    </row>
    <row r="1150" spans="5:5" x14ac:dyDescent="0.25">
      <c r="E1150"/>
    </row>
    <row r="1151" spans="5:5" x14ac:dyDescent="0.25">
      <c r="E1151"/>
    </row>
    <row r="1152" spans="5:5" x14ac:dyDescent="0.25">
      <c r="E1152"/>
    </row>
    <row r="1153" spans="5:5" x14ac:dyDescent="0.25">
      <c r="E1153"/>
    </row>
    <row r="1154" spans="5:5" x14ac:dyDescent="0.25">
      <c r="E1154"/>
    </row>
    <row r="1155" spans="5:5" x14ac:dyDescent="0.25">
      <c r="E1155"/>
    </row>
    <row r="1156" spans="5:5" x14ac:dyDescent="0.25">
      <c r="E1156"/>
    </row>
    <row r="1157" spans="5:5" x14ac:dyDescent="0.25">
      <c r="E1157"/>
    </row>
    <row r="1158" spans="5:5" x14ac:dyDescent="0.25">
      <c r="E1158"/>
    </row>
    <row r="1159" spans="5:5" x14ac:dyDescent="0.25">
      <c r="E1159"/>
    </row>
    <row r="1160" spans="5:5" x14ac:dyDescent="0.25">
      <c r="E1160"/>
    </row>
    <row r="1161" spans="5:5" x14ac:dyDescent="0.25">
      <c r="E1161"/>
    </row>
    <row r="1162" spans="5:5" x14ac:dyDescent="0.25">
      <c r="E1162"/>
    </row>
    <row r="1163" spans="5:5" x14ac:dyDescent="0.25">
      <c r="E1163"/>
    </row>
    <row r="1164" spans="5:5" x14ac:dyDescent="0.25">
      <c r="E1164"/>
    </row>
    <row r="1165" spans="5:5" x14ac:dyDescent="0.25">
      <c r="E1165"/>
    </row>
    <row r="1166" spans="5:5" x14ac:dyDescent="0.25">
      <c r="E1166"/>
    </row>
    <row r="1167" spans="5:5" x14ac:dyDescent="0.25">
      <c r="E1167"/>
    </row>
    <row r="1168" spans="5:5" x14ac:dyDescent="0.25">
      <c r="E1168"/>
    </row>
    <row r="1169" spans="5:5" x14ac:dyDescent="0.25">
      <c r="E1169"/>
    </row>
    <row r="1170" spans="5:5" x14ac:dyDescent="0.25">
      <c r="E1170"/>
    </row>
    <row r="1171" spans="5:5" x14ac:dyDescent="0.25">
      <c r="E1171"/>
    </row>
    <row r="1172" spans="5:5" x14ac:dyDescent="0.25">
      <c r="E1172"/>
    </row>
    <row r="1173" spans="5:5" x14ac:dyDescent="0.25">
      <c r="E1173"/>
    </row>
    <row r="1174" spans="5:5" x14ac:dyDescent="0.25">
      <c r="E1174"/>
    </row>
    <row r="1175" spans="5:5" x14ac:dyDescent="0.25">
      <c r="E1175"/>
    </row>
    <row r="1176" spans="5:5" x14ac:dyDescent="0.25">
      <c r="E1176"/>
    </row>
    <row r="1177" spans="5:5" x14ac:dyDescent="0.25">
      <c r="E1177"/>
    </row>
    <row r="1178" spans="5:5" x14ac:dyDescent="0.25">
      <c r="E1178"/>
    </row>
    <row r="1179" spans="5:5" x14ac:dyDescent="0.25">
      <c r="E1179"/>
    </row>
    <row r="1180" spans="5:5" x14ac:dyDescent="0.25">
      <c r="E1180"/>
    </row>
    <row r="1181" spans="5:5" x14ac:dyDescent="0.25">
      <c r="E1181"/>
    </row>
    <row r="1182" spans="5:5" x14ac:dyDescent="0.25">
      <c r="E1182"/>
    </row>
    <row r="1183" spans="5:5" x14ac:dyDescent="0.25">
      <c r="E1183"/>
    </row>
    <row r="1184" spans="5:5" x14ac:dyDescent="0.25">
      <c r="E1184"/>
    </row>
    <row r="1185" spans="5:5" x14ac:dyDescent="0.25">
      <c r="E1185"/>
    </row>
    <row r="1186" spans="5:5" x14ac:dyDescent="0.25">
      <c r="E1186"/>
    </row>
    <row r="1187" spans="5:5" x14ac:dyDescent="0.25">
      <c r="E1187"/>
    </row>
    <row r="1188" spans="5:5" x14ac:dyDescent="0.25">
      <c r="E1188"/>
    </row>
    <row r="1189" spans="5:5" x14ac:dyDescent="0.25">
      <c r="E1189"/>
    </row>
    <row r="1190" spans="5:5" x14ac:dyDescent="0.25">
      <c r="E1190"/>
    </row>
    <row r="1191" spans="5:5" x14ac:dyDescent="0.25">
      <c r="E1191"/>
    </row>
    <row r="1192" spans="5:5" x14ac:dyDescent="0.25">
      <c r="E1192"/>
    </row>
    <row r="1193" spans="5:5" x14ac:dyDescent="0.25">
      <c r="E1193"/>
    </row>
    <row r="1194" spans="5:5" x14ac:dyDescent="0.25">
      <c r="E1194"/>
    </row>
    <row r="1195" spans="5:5" x14ac:dyDescent="0.25">
      <c r="E1195"/>
    </row>
    <row r="1196" spans="5:5" x14ac:dyDescent="0.25">
      <c r="E1196"/>
    </row>
    <row r="1197" spans="5:5" x14ac:dyDescent="0.25">
      <c r="E1197"/>
    </row>
    <row r="1198" spans="5:5" x14ac:dyDescent="0.25">
      <c r="E1198"/>
    </row>
    <row r="1199" spans="5:5" x14ac:dyDescent="0.25">
      <c r="E1199"/>
    </row>
    <row r="1200" spans="5:5" x14ac:dyDescent="0.25">
      <c r="E1200"/>
    </row>
    <row r="1201" spans="5:5" x14ac:dyDescent="0.25">
      <c r="E1201"/>
    </row>
    <row r="1202" spans="5:5" x14ac:dyDescent="0.25">
      <c r="E1202"/>
    </row>
    <row r="1203" spans="5:5" x14ac:dyDescent="0.25">
      <c r="E1203"/>
    </row>
    <row r="1204" spans="5:5" x14ac:dyDescent="0.25">
      <c r="E1204"/>
    </row>
    <row r="1205" spans="5:5" x14ac:dyDescent="0.25">
      <c r="E1205"/>
    </row>
    <row r="1206" spans="5:5" x14ac:dyDescent="0.25">
      <c r="E1206"/>
    </row>
    <row r="1207" spans="5:5" x14ac:dyDescent="0.25">
      <c r="E1207"/>
    </row>
    <row r="1208" spans="5:5" x14ac:dyDescent="0.25">
      <c r="E1208"/>
    </row>
    <row r="1209" spans="5:5" x14ac:dyDescent="0.25">
      <c r="E1209"/>
    </row>
    <row r="1210" spans="5:5" x14ac:dyDescent="0.25">
      <c r="E1210"/>
    </row>
    <row r="1211" spans="5:5" x14ac:dyDescent="0.25">
      <c r="E1211"/>
    </row>
    <row r="1212" spans="5:5" x14ac:dyDescent="0.25">
      <c r="E1212"/>
    </row>
    <row r="1213" spans="5:5" x14ac:dyDescent="0.25">
      <c r="E1213"/>
    </row>
    <row r="1214" spans="5:5" x14ac:dyDescent="0.25">
      <c r="E1214"/>
    </row>
    <row r="1215" spans="5:5" x14ac:dyDescent="0.25">
      <c r="E1215"/>
    </row>
    <row r="1216" spans="5:5" x14ac:dyDescent="0.25">
      <c r="E1216"/>
    </row>
    <row r="1217" spans="5:5" x14ac:dyDescent="0.25">
      <c r="E1217"/>
    </row>
    <row r="1218" spans="5:5" x14ac:dyDescent="0.25">
      <c r="E1218"/>
    </row>
    <row r="1219" spans="5:5" x14ac:dyDescent="0.25">
      <c r="E1219"/>
    </row>
    <row r="1220" spans="5:5" x14ac:dyDescent="0.25">
      <c r="E1220"/>
    </row>
    <row r="1221" spans="5:5" x14ac:dyDescent="0.25">
      <c r="E1221"/>
    </row>
    <row r="1222" spans="5:5" x14ac:dyDescent="0.25">
      <c r="E1222"/>
    </row>
    <row r="1223" spans="5:5" x14ac:dyDescent="0.25">
      <c r="E1223"/>
    </row>
    <row r="1224" spans="5:5" x14ac:dyDescent="0.25">
      <c r="E1224"/>
    </row>
    <row r="1225" spans="5:5" x14ac:dyDescent="0.25">
      <c r="E1225"/>
    </row>
    <row r="1226" spans="5:5" x14ac:dyDescent="0.25">
      <c r="E1226"/>
    </row>
    <row r="1227" spans="5:5" x14ac:dyDescent="0.25">
      <c r="E1227"/>
    </row>
    <row r="1228" spans="5:5" x14ac:dyDescent="0.25">
      <c r="E1228"/>
    </row>
    <row r="1229" spans="5:5" x14ac:dyDescent="0.25">
      <c r="E1229"/>
    </row>
    <row r="1230" spans="5:5" x14ac:dyDescent="0.25">
      <c r="E1230"/>
    </row>
    <row r="1231" spans="5:5" x14ac:dyDescent="0.25">
      <c r="E1231"/>
    </row>
    <row r="1232" spans="5:5" x14ac:dyDescent="0.25">
      <c r="E1232"/>
    </row>
    <row r="1233" spans="5:5" x14ac:dyDescent="0.25">
      <c r="E1233"/>
    </row>
    <row r="1234" spans="5:5" x14ac:dyDescent="0.25">
      <c r="E1234"/>
    </row>
    <row r="1235" spans="5:5" x14ac:dyDescent="0.25">
      <c r="E1235"/>
    </row>
    <row r="1236" spans="5:5" x14ac:dyDescent="0.25">
      <c r="E1236"/>
    </row>
    <row r="1237" spans="5:5" x14ac:dyDescent="0.25">
      <c r="E1237"/>
    </row>
    <row r="1238" spans="5:5" x14ac:dyDescent="0.25">
      <c r="E1238"/>
    </row>
    <row r="1239" spans="5:5" x14ac:dyDescent="0.25">
      <c r="E1239"/>
    </row>
    <row r="1240" spans="5:5" x14ac:dyDescent="0.25">
      <c r="E1240"/>
    </row>
    <row r="1241" spans="5:5" x14ac:dyDescent="0.25">
      <c r="E1241"/>
    </row>
    <row r="1242" spans="5:5" x14ac:dyDescent="0.25">
      <c r="E1242"/>
    </row>
    <row r="1243" spans="5:5" x14ac:dyDescent="0.25">
      <c r="E1243"/>
    </row>
    <row r="1244" spans="5:5" x14ac:dyDescent="0.25">
      <c r="E1244"/>
    </row>
    <row r="1245" spans="5:5" x14ac:dyDescent="0.25">
      <c r="E1245"/>
    </row>
    <row r="1246" spans="5:5" x14ac:dyDescent="0.25">
      <c r="E1246"/>
    </row>
    <row r="1247" spans="5:5" x14ac:dyDescent="0.25">
      <c r="E1247"/>
    </row>
    <row r="1248" spans="5:5" x14ac:dyDescent="0.25">
      <c r="E1248"/>
    </row>
    <row r="1249" spans="5:5" x14ac:dyDescent="0.25">
      <c r="E1249"/>
    </row>
    <row r="1250" spans="5:5" x14ac:dyDescent="0.25">
      <c r="E1250"/>
    </row>
    <row r="1251" spans="5:5" x14ac:dyDescent="0.25">
      <c r="E1251"/>
    </row>
    <row r="1252" spans="5:5" x14ac:dyDescent="0.25">
      <c r="E1252"/>
    </row>
    <row r="1253" spans="5:5" x14ac:dyDescent="0.25">
      <c r="E1253"/>
    </row>
    <row r="1254" spans="5:5" x14ac:dyDescent="0.25">
      <c r="E1254"/>
    </row>
    <row r="1255" spans="5:5" x14ac:dyDescent="0.25">
      <c r="E1255"/>
    </row>
    <row r="1256" spans="5:5" x14ac:dyDescent="0.25">
      <c r="E1256"/>
    </row>
    <row r="1257" spans="5:5" x14ac:dyDescent="0.25">
      <c r="E1257"/>
    </row>
    <row r="1258" spans="5:5" x14ac:dyDescent="0.25">
      <c r="E1258"/>
    </row>
    <row r="1259" spans="5:5" x14ac:dyDescent="0.25">
      <c r="E1259"/>
    </row>
    <row r="1260" spans="5:5" x14ac:dyDescent="0.25">
      <c r="E1260"/>
    </row>
    <row r="1261" spans="5:5" x14ac:dyDescent="0.25">
      <c r="E1261"/>
    </row>
    <row r="1262" spans="5:5" x14ac:dyDescent="0.25">
      <c r="E1262"/>
    </row>
    <row r="1263" spans="5:5" x14ac:dyDescent="0.25">
      <c r="E1263"/>
    </row>
    <row r="1264" spans="5:5" x14ac:dyDescent="0.25">
      <c r="E1264"/>
    </row>
    <row r="1265" spans="5:5" x14ac:dyDescent="0.25">
      <c r="E1265"/>
    </row>
    <row r="1266" spans="5:5" x14ac:dyDescent="0.25">
      <c r="E1266"/>
    </row>
    <row r="1267" spans="5:5" x14ac:dyDescent="0.25">
      <c r="E1267"/>
    </row>
    <row r="1268" spans="5:5" x14ac:dyDescent="0.25">
      <c r="E1268"/>
    </row>
    <row r="1269" spans="5:5" x14ac:dyDescent="0.25">
      <c r="E1269"/>
    </row>
    <row r="1270" spans="5:5" x14ac:dyDescent="0.25">
      <c r="E1270"/>
    </row>
    <row r="1271" spans="5:5" x14ac:dyDescent="0.25">
      <c r="E1271"/>
    </row>
    <row r="1272" spans="5:5" x14ac:dyDescent="0.25">
      <c r="E1272"/>
    </row>
    <row r="1273" spans="5:5" x14ac:dyDescent="0.25">
      <c r="E1273"/>
    </row>
    <row r="1274" spans="5:5" x14ac:dyDescent="0.25">
      <c r="E1274"/>
    </row>
    <row r="1275" spans="5:5" x14ac:dyDescent="0.25">
      <c r="E1275"/>
    </row>
    <row r="1276" spans="5:5" x14ac:dyDescent="0.25">
      <c r="E1276"/>
    </row>
    <row r="1277" spans="5:5" x14ac:dyDescent="0.25">
      <c r="E1277"/>
    </row>
    <row r="1278" spans="5:5" x14ac:dyDescent="0.25">
      <c r="E1278"/>
    </row>
    <row r="1279" spans="5:5" x14ac:dyDescent="0.25">
      <c r="E1279"/>
    </row>
    <row r="1280" spans="5:5" x14ac:dyDescent="0.25">
      <c r="E1280"/>
    </row>
    <row r="1281" spans="5:5" x14ac:dyDescent="0.25">
      <c r="E1281"/>
    </row>
    <row r="1282" spans="5:5" x14ac:dyDescent="0.25">
      <c r="E1282"/>
    </row>
    <row r="1283" spans="5:5" x14ac:dyDescent="0.25">
      <c r="E1283"/>
    </row>
    <row r="1284" spans="5:5" x14ac:dyDescent="0.25">
      <c r="E1284"/>
    </row>
    <row r="1285" spans="5:5" x14ac:dyDescent="0.25">
      <c r="E1285"/>
    </row>
    <row r="1286" spans="5:5" x14ac:dyDescent="0.25">
      <c r="E1286"/>
    </row>
    <row r="1287" spans="5:5" x14ac:dyDescent="0.25">
      <c r="E1287"/>
    </row>
    <row r="1288" spans="5:5" x14ac:dyDescent="0.25">
      <c r="E1288"/>
    </row>
    <row r="1289" spans="5:5" x14ac:dyDescent="0.25">
      <c r="E1289"/>
    </row>
    <row r="1290" spans="5:5" x14ac:dyDescent="0.25">
      <c r="E1290"/>
    </row>
    <row r="1291" spans="5:5" x14ac:dyDescent="0.25">
      <c r="E1291"/>
    </row>
    <row r="1292" spans="5:5" x14ac:dyDescent="0.25">
      <c r="E1292"/>
    </row>
    <row r="1293" spans="5:5" x14ac:dyDescent="0.25">
      <c r="E1293"/>
    </row>
    <row r="1294" spans="5:5" x14ac:dyDescent="0.25">
      <c r="E1294"/>
    </row>
    <row r="1295" spans="5:5" x14ac:dyDescent="0.25">
      <c r="E1295"/>
    </row>
    <row r="1296" spans="5:5" x14ac:dyDescent="0.25">
      <c r="E1296"/>
    </row>
    <row r="1297" spans="5:5" x14ac:dyDescent="0.25">
      <c r="E1297"/>
    </row>
    <row r="1298" spans="5:5" x14ac:dyDescent="0.25">
      <c r="E1298"/>
    </row>
    <row r="1299" spans="5:5" x14ac:dyDescent="0.25">
      <c r="E1299"/>
    </row>
    <row r="1300" spans="5:5" x14ac:dyDescent="0.25">
      <c r="E1300"/>
    </row>
    <row r="1301" spans="5:5" x14ac:dyDescent="0.25">
      <c r="E1301"/>
    </row>
    <row r="1302" spans="5:5" x14ac:dyDescent="0.25">
      <c r="E1302"/>
    </row>
    <row r="1303" spans="5:5" x14ac:dyDescent="0.25">
      <c r="E1303"/>
    </row>
    <row r="1304" spans="5:5" x14ac:dyDescent="0.25">
      <c r="E1304"/>
    </row>
    <row r="1305" spans="5:5" x14ac:dyDescent="0.25">
      <c r="E1305"/>
    </row>
    <row r="1306" spans="5:5" x14ac:dyDescent="0.25">
      <c r="E1306"/>
    </row>
    <row r="1307" spans="5:5" x14ac:dyDescent="0.25">
      <c r="E1307"/>
    </row>
    <row r="1308" spans="5:5" x14ac:dyDescent="0.25">
      <c r="E1308"/>
    </row>
    <row r="1309" spans="5:5" x14ac:dyDescent="0.25">
      <c r="E1309"/>
    </row>
    <row r="1310" spans="5:5" x14ac:dyDescent="0.25">
      <c r="E1310"/>
    </row>
    <row r="1311" spans="5:5" x14ac:dyDescent="0.25">
      <c r="E1311"/>
    </row>
    <row r="1312" spans="5:5" x14ac:dyDescent="0.25">
      <c r="E1312"/>
    </row>
    <row r="1313" spans="5:5" x14ac:dyDescent="0.25">
      <c r="E1313"/>
    </row>
    <row r="1314" spans="5:5" x14ac:dyDescent="0.25">
      <c r="E1314"/>
    </row>
    <row r="1315" spans="5:5" x14ac:dyDescent="0.25">
      <c r="E1315"/>
    </row>
    <row r="1316" spans="5:5" x14ac:dyDescent="0.25">
      <c r="E1316"/>
    </row>
    <row r="1317" spans="5:5" x14ac:dyDescent="0.25">
      <c r="E1317"/>
    </row>
    <row r="1318" spans="5:5" x14ac:dyDescent="0.25">
      <c r="E1318"/>
    </row>
    <row r="1319" spans="5:5" x14ac:dyDescent="0.25">
      <c r="E1319"/>
    </row>
    <row r="1320" spans="5:5" x14ac:dyDescent="0.25">
      <c r="E1320"/>
    </row>
    <row r="1321" spans="5:5" x14ac:dyDescent="0.25">
      <c r="E1321"/>
    </row>
    <row r="1322" spans="5:5" x14ac:dyDescent="0.25">
      <c r="E1322"/>
    </row>
    <row r="1323" spans="5:5" x14ac:dyDescent="0.25">
      <c r="E1323"/>
    </row>
    <row r="1324" spans="5:5" x14ac:dyDescent="0.25">
      <c r="E1324"/>
    </row>
    <row r="1325" spans="5:5" x14ac:dyDescent="0.25">
      <c r="E1325"/>
    </row>
    <row r="1326" spans="5:5" x14ac:dyDescent="0.25">
      <c r="E1326"/>
    </row>
    <row r="1327" spans="5:5" x14ac:dyDescent="0.25">
      <c r="E1327"/>
    </row>
    <row r="1328" spans="5:5" x14ac:dyDescent="0.25">
      <c r="E1328"/>
    </row>
    <row r="1329" spans="5:5" x14ac:dyDescent="0.25">
      <c r="E1329"/>
    </row>
    <row r="1330" spans="5:5" x14ac:dyDescent="0.25">
      <c r="E1330"/>
    </row>
    <row r="1331" spans="5:5" x14ac:dyDescent="0.25">
      <c r="E1331"/>
    </row>
    <row r="1332" spans="5:5" x14ac:dyDescent="0.25">
      <c r="E1332"/>
    </row>
    <row r="1333" spans="5:5" x14ac:dyDescent="0.25">
      <c r="E1333"/>
    </row>
    <row r="1334" spans="5:5" x14ac:dyDescent="0.25">
      <c r="E1334"/>
    </row>
    <row r="1335" spans="5:5" x14ac:dyDescent="0.25">
      <c r="E1335"/>
    </row>
    <row r="1336" spans="5:5" x14ac:dyDescent="0.25">
      <c r="E1336"/>
    </row>
    <row r="1337" spans="5:5" x14ac:dyDescent="0.25">
      <c r="E1337"/>
    </row>
    <row r="1338" spans="5:5" x14ac:dyDescent="0.25">
      <c r="E1338"/>
    </row>
    <row r="1339" spans="5:5" x14ac:dyDescent="0.25">
      <c r="E1339"/>
    </row>
    <row r="1340" spans="5:5" x14ac:dyDescent="0.25">
      <c r="E1340"/>
    </row>
    <row r="1341" spans="5:5" x14ac:dyDescent="0.25">
      <c r="E1341"/>
    </row>
    <row r="1342" spans="5:5" x14ac:dyDescent="0.25">
      <c r="E1342"/>
    </row>
    <row r="1343" spans="5:5" x14ac:dyDescent="0.25">
      <c r="E1343"/>
    </row>
    <row r="1344" spans="5:5" x14ac:dyDescent="0.25">
      <c r="E1344"/>
    </row>
    <row r="1345" spans="5:5" x14ac:dyDescent="0.25">
      <c r="E1345"/>
    </row>
    <row r="1346" spans="5:5" x14ac:dyDescent="0.25">
      <c r="E1346"/>
    </row>
    <row r="1347" spans="5:5" x14ac:dyDescent="0.25">
      <c r="E1347"/>
    </row>
    <row r="1348" spans="5:5" x14ac:dyDescent="0.25">
      <c r="E1348"/>
    </row>
    <row r="1349" spans="5:5" x14ac:dyDescent="0.25">
      <c r="E1349"/>
    </row>
    <row r="1350" spans="5:5" x14ac:dyDescent="0.25">
      <c r="E1350"/>
    </row>
    <row r="1351" spans="5:5" x14ac:dyDescent="0.25">
      <c r="E1351"/>
    </row>
    <row r="1352" spans="5:5" x14ac:dyDescent="0.25">
      <c r="E1352"/>
    </row>
    <row r="1353" spans="5:5" x14ac:dyDescent="0.25">
      <c r="E1353"/>
    </row>
    <row r="1354" spans="5:5" x14ac:dyDescent="0.25">
      <c r="E1354"/>
    </row>
    <row r="1355" spans="5:5" x14ac:dyDescent="0.25">
      <c r="E1355"/>
    </row>
    <row r="1356" spans="5:5" x14ac:dyDescent="0.25">
      <c r="E1356"/>
    </row>
    <row r="1357" spans="5:5" x14ac:dyDescent="0.25">
      <c r="E1357"/>
    </row>
    <row r="1358" spans="5:5" x14ac:dyDescent="0.25">
      <c r="E1358"/>
    </row>
    <row r="1359" spans="5:5" x14ac:dyDescent="0.25">
      <c r="E1359"/>
    </row>
    <row r="1360" spans="5:5" x14ac:dyDescent="0.25">
      <c r="E1360"/>
    </row>
    <row r="1361" spans="5:5" x14ac:dyDescent="0.25">
      <c r="E1361"/>
    </row>
    <row r="1362" spans="5:5" x14ac:dyDescent="0.25">
      <c r="E1362"/>
    </row>
    <row r="1363" spans="5:5" x14ac:dyDescent="0.25">
      <c r="E1363"/>
    </row>
    <row r="1364" spans="5:5" x14ac:dyDescent="0.25">
      <c r="E1364"/>
    </row>
    <row r="1365" spans="5:5" x14ac:dyDescent="0.25">
      <c r="E1365"/>
    </row>
    <row r="1366" spans="5:5" x14ac:dyDescent="0.25">
      <c r="E1366"/>
    </row>
    <row r="1367" spans="5:5" x14ac:dyDescent="0.25">
      <c r="E1367"/>
    </row>
    <row r="1368" spans="5:5" x14ac:dyDescent="0.25">
      <c r="E1368"/>
    </row>
    <row r="1369" spans="5:5" x14ac:dyDescent="0.25">
      <c r="E1369"/>
    </row>
    <row r="1370" spans="5:5" x14ac:dyDescent="0.25">
      <c r="E1370"/>
    </row>
    <row r="1371" spans="5:5" x14ac:dyDescent="0.25">
      <c r="E1371"/>
    </row>
    <row r="1372" spans="5:5" x14ac:dyDescent="0.25">
      <c r="E1372"/>
    </row>
    <row r="1373" spans="5:5" x14ac:dyDescent="0.25">
      <c r="E1373"/>
    </row>
    <row r="1374" spans="5:5" x14ac:dyDescent="0.25">
      <c r="E1374"/>
    </row>
    <row r="1375" spans="5:5" x14ac:dyDescent="0.25">
      <c r="E1375"/>
    </row>
    <row r="1376" spans="5:5" x14ac:dyDescent="0.25">
      <c r="E1376"/>
    </row>
    <row r="1377" spans="5:5" x14ac:dyDescent="0.25">
      <c r="E1377"/>
    </row>
    <row r="1378" spans="5:5" x14ac:dyDescent="0.25">
      <c r="E1378"/>
    </row>
    <row r="1379" spans="5:5" x14ac:dyDescent="0.25">
      <c r="E1379"/>
    </row>
    <row r="1380" spans="5:5" x14ac:dyDescent="0.25">
      <c r="E1380"/>
    </row>
    <row r="1381" spans="5:5" x14ac:dyDescent="0.25">
      <c r="E1381"/>
    </row>
    <row r="1382" spans="5:5" x14ac:dyDescent="0.25">
      <c r="E1382"/>
    </row>
    <row r="1383" spans="5:5" x14ac:dyDescent="0.25">
      <c r="E1383"/>
    </row>
    <row r="1384" spans="5:5" x14ac:dyDescent="0.25">
      <c r="E1384"/>
    </row>
    <row r="1385" spans="5:5" x14ac:dyDescent="0.25">
      <c r="E1385"/>
    </row>
    <row r="1386" spans="5:5" x14ac:dyDescent="0.25">
      <c r="E1386"/>
    </row>
    <row r="1387" spans="5:5" x14ac:dyDescent="0.25">
      <c r="E1387"/>
    </row>
    <row r="1388" spans="5:5" x14ac:dyDescent="0.25">
      <c r="E1388"/>
    </row>
    <row r="1389" spans="5:5" x14ac:dyDescent="0.25">
      <c r="E1389"/>
    </row>
    <row r="1390" spans="5:5" x14ac:dyDescent="0.25">
      <c r="E1390"/>
    </row>
    <row r="1391" spans="5:5" x14ac:dyDescent="0.25">
      <c r="E1391"/>
    </row>
    <row r="1392" spans="5:5" x14ac:dyDescent="0.25">
      <c r="E1392"/>
    </row>
    <row r="1393" spans="5:5" x14ac:dyDescent="0.25">
      <c r="E1393"/>
    </row>
    <row r="1394" spans="5:5" x14ac:dyDescent="0.25">
      <c r="E1394"/>
    </row>
    <row r="1395" spans="5:5" x14ac:dyDescent="0.25">
      <c r="E1395"/>
    </row>
    <row r="1396" spans="5:5" x14ac:dyDescent="0.25">
      <c r="E1396"/>
    </row>
    <row r="1397" spans="5:5" x14ac:dyDescent="0.25">
      <c r="E1397"/>
    </row>
    <row r="1398" spans="5:5" x14ac:dyDescent="0.25">
      <c r="E1398"/>
    </row>
    <row r="1399" spans="5:5" x14ac:dyDescent="0.25">
      <c r="E1399"/>
    </row>
    <row r="1400" spans="5:5" x14ac:dyDescent="0.25">
      <c r="E1400"/>
    </row>
    <row r="1401" spans="5:5" x14ac:dyDescent="0.25">
      <c r="E1401"/>
    </row>
    <row r="1402" spans="5:5" x14ac:dyDescent="0.25">
      <c r="E1402"/>
    </row>
    <row r="1403" spans="5:5" x14ac:dyDescent="0.25">
      <c r="E1403"/>
    </row>
    <row r="1404" spans="5:5" x14ac:dyDescent="0.25">
      <c r="E1404"/>
    </row>
    <row r="1405" spans="5:5" x14ac:dyDescent="0.25">
      <c r="E1405"/>
    </row>
    <row r="1406" spans="5:5" x14ac:dyDescent="0.25">
      <c r="E1406"/>
    </row>
    <row r="1407" spans="5:5" x14ac:dyDescent="0.25">
      <c r="E1407"/>
    </row>
    <row r="1408" spans="5:5" x14ac:dyDescent="0.25">
      <c r="E1408"/>
    </row>
    <row r="1409" spans="5:5" x14ac:dyDescent="0.25">
      <c r="E1409"/>
    </row>
    <row r="1410" spans="5:5" x14ac:dyDescent="0.25">
      <c r="E1410"/>
    </row>
    <row r="1411" spans="5:5" x14ac:dyDescent="0.25">
      <c r="E1411"/>
    </row>
    <row r="1412" spans="5:5" x14ac:dyDescent="0.25">
      <c r="E1412"/>
    </row>
    <row r="1413" spans="5:5" x14ac:dyDescent="0.25">
      <c r="E1413"/>
    </row>
    <row r="1414" spans="5:5" x14ac:dyDescent="0.25">
      <c r="E1414"/>
    </row>
    <row r="1415" spans="5:5" x14ac:dyDescent="0.25">
      <c r="E1415"/>
    </row>
    <row r="1416" spans="5:5" x14ac:dyDescent="0.25">
      <c r="E1416"/>
    </row>
    <row r="1417" spans="5:5" x14ac:dyDescent="0.25">
      <c r="E1417"/>
    </row>
    <row r="1418" spans="5:5" x14ac:dyDescent="0.25">
      <c r="E1418"/>
    </row>
    <row r="1419" spans="5:5" x14ac:dyDescent="0.25">
      <c r="E1419"/>
    </row>
    <row r="1420" spans="5:5" x14ac:dyDescent="0.25">
      <c r="E1420"/>
    </row>
    <row r="1421" spans="5:5" x14ac:dyDescent="0.25">
      <c r="E1421"/>
    </row>
    <row r="1422" spans="5:5" x14ac:dyDescent="0.25">
      <c r="E1422"/>
    </row>
    <row r="1423" spans="5:5" x14ac:dyDescent="0.25">
      <c r="E1423"/>
    </row>
    <row r="1424" spans="5:5" x14ac:dyDescent="0.25">
      <c r="E1424"/>
    </row>
    <row r="1425" spans="5:5" x14ac:dyDescent="0.25">
      <c r="E1425"/>
    </row>
    <row r="1426" spans="5:5" x14ac:dyDescent="0.25">
      <c r="E1426"/>
    </row>
    <row r="1427" spans="5:5" x14ac:dyDescent="0.25">
      <c r="E1427"/>
    </row>
    <row r="1428" spans="5:5" x14ac:dyDescent="0.25">
      <c r="E1428"/>
    </row>
    <row r="1429" spans="5:5" x14ac:dyDescent="0.25">
      <c r="E1429"/>
    </row>
    <row r="1430" spans="5:5" x14ac:dyDescent="0.25">
      <c r="E1430"/>
    </row>
    <row r="1431" spans="5:5" x14ac:dyDescent="0.25">
      <c r="E1431"/>
    </row>
    <row r="1432" spans="5:5" x14ac:dyDescent="0.25">
      <c r="E1432"/>
    </row>
    <row r="1433" spans="5:5" x14ac:dyDescent="0.25">
      <c r="E1433"/>
    </row>
    <row r="1434" spans="5:5" x14ac:dyDescent="0.25">
      <c r="E1434"/>
    </row>
    <row r="1435" spans="5:5" x14ac:dyDescent="0.25">
      <c r="E1435"/>
    </row>
    <row r="1436" spans="5:5" x14ac:dyDescent="0.25">
      <c r="E1436"/>
    </row>
    <row r="1437" spans="5:5" x14ac:dyDescent="0.25">
      <c r="E1437"/>
    </row>
    <row r="1438" spans="5:5" x14ac:dyDescent="0.25">
      <c r="E1438"/>
    </row>
    <row r="1439" spans="5:5" x14ac:dyDescent="0.25">
      <c r="E1439"/>
    </row>
    <row r="1440" spans="5:5" x14ac:dyDescent="0.25">
      <c r="E1440"/>
    </row>
    <row r="1441" spans="5:5" x14ac:dyDescent="0.25">
      <c r="E1441"/>
    </row>
    <row r="1442" spans="5:5" x14ac:dyDescent="0.25">
      <c r="E1442"/>
    </row>
    <row r="1443" spans="5:5" x14ac:dyDescent="0.25">
      <c r="E1443"/>
    </row>
    <row r="1444" spans="5:5" x14ac:dyDescent="0.25">
      <c r="E1444"/>
    </row>
    <row r="1445" spans="5:5" x14ac:dyDescent="0.25">
      <c r="E1445"/>
    </row>
    <row r="1446" spans="5:5" x14ac:dyDescent="0.25">
      <c r="E1446"/>
    </row>
    <row r="1447" spans="5:5" x14ac:dyDescent="0.25">
      <c r="E1447"/>
    </row>
    <row r="1448" spans="5:5" x14ac:dyDescent="0.25">
      <c r="E1448"/>
    </row>
    <row r="1449" spans="5:5" x14ac:dyDescent="0.25">
      <c r="E1449"/>
    </row>
    <row r="1450" spans="5:5" x14ac:dyDescent="0.25">
      <c r="E1450"/>
    </row>
    <row r="1451" spans="5:5" x14ac:dyDescent="0.25">
      <c r="E1451"/>
    </row>
    <row r="1452" spans="5:5" x14ac:dyDescent="0.25">
      <c r="E1452"/>
    </row>
    <row r="1453" spans="5:5" x14ac:dyDescent="0.25">
      <c r="E1453"/>
    </row>
    <row r="1454" spans="5:5" x14ac:dyDescent="0.25">
      <c r="E1454"/>
    </row>
    <row r="1455" spans="5:5" x14ac:dyDescent="0.25">
      <c r="E1455"/>
    </row>
    <row r="1456" spans="5:5" x14ac:dyDescent="0.25">
      <c r="E1456"/>
    </row>
    <row r="1457" spans="5:5" x14ac:dyDescent="0.25">
      <c r="E1457"/>
    </row>
    <row r="1458" spans="5:5" x14ac:dyDescent="0.25">
      <c r="E1458"/>
    </row>
    <row r="1459" spans="5:5" x14ac:dyDescent="0.25">
      <c r="E1459"/>
    </row>
    <row r="1460" spans="5:5" x14ac:dyDescent="0.25">
      <c r="E1460"/>
    </row>
    <row r="1461" spans="5:5" x14ac:dyDescent="0.25">
      <c r="E1461"/>
    </row>
    <row r="1462" spans="5:5" x14ac:dyDescent="0.25">
      <c r="E1462"/>
    </row>
    <row r="1463" spans="5:5" x14ac:dyDescent="0.25">
      <c r="E1463"/>
    </row>
    <row r="1464" spans="5:5" x14ac:dyDescent="0.25">
      <c r="E1464"/>
    </row>
    <row r="1465" spans="5:5" x14ac:dyDescent="0.25">
      <c r="E1465"/>
    </row>
    <row r="1466" spans="5:5" x14ac:dyDescent="0.25">
      <c r="E1466"/>
    </row>
    <row r="1467" spans="5:5" x14ac:dyDescent="0.25">
      <c r="E1467"/>
    </row>
    <row r="1468" spans="5:5" x14ac:dyDescent="0.25">
      <c r="E1468"/>
    </row>
    <row r="1469" spans="5:5" x14ac:dyDescent="0.25">
      <c r="E1469"/>
    </row>
    <row r="1470" spans="5:5" x14ac:dyDescent="0.25">
      <c r="E1470"/>
    </row>
    <row r="1471" spans="5:5" x14ac:dyDescent="0.25">
      <c r="E1471"/>
    </row>
    <row r="1472" spans="5:5" x14ac:dyDescent="0.25">
      <c r="E1472"/>
    </row>
    <row r="1473" spans="5:5" x14ac:dyDescent="0.25">
      <c r="E1473"/>
    </row>
    <row r="1474" spans="5:5" x14ac:dyDescent="0.25">
      <c r="E1474"/>
    </row>
    <row r="1475" spans="5:5" x14ac:dyDescent="0.25">
      <c r="E1475"/>
    </row>
    <row r="1476" spans="5:5" x14ac:dyDescent="0.25">
      <c r="E1476"/>
    </row>
    <row r="1477" spans="5:5" x14ac:dyDescent="0.25">
      <c r="E1477"/>
    </row>
    <row r="1478" spans="5:5" x14ac:dyDescent="0.25">
      <c r="E1478"/>
    </row>
    <row r="1479" spans="5:5" x14ac:dyDescent="0.25">
      <c r="E1479"/>
    </row>
    <row r="1480" spans="5:5" x14ac:dyDescent="0.25">
      <c r="E1480"/>
    </row>
    <row r="1481" spans="5:5" x14ac:dyDescent="0.25">
      <c r="E1481"/>
    </row>
    <row r="1482" spans="5:5" x14ac:dyDescent="0.25">
      <c r="E1482"/>
    </row>
    <row r="1483" spans="5:5" x14ac:dyDescent="0.25">
      <c r="E1483"/>
    </row>
    <row r="1484" spans="5:5" x14ac:dyDescent="0.25">
      <c r="E1484"/>
    </row>
    <row r="1485" spans="5:5" x14ac:dyDescent="0.25">
      <c r="E1485"/>
    </row>
    <row r="1486" spans="5:5" x14ac:dyDescent="0.25">
      <c r="E1486"/>
    </row>
    <row r="1487" spans="5:5" x14ac:dyDescent="0.25">
      <c r="E1487"/>
    </row>
    <row r="1488" spans="5:5" x14ac:dyDescent="0.25">
      <c r="E1488"/>
    </row>
    <row r="1489" spans="5:5" x14ac:dyDescent="0.25">
      <c r="E1489"/>
    </row>
    <row r="1490" spans="5:5" x14ac:dyDescent="0.25">
      <c r="E1490"/>
    </row>
    <row r="1491" spans="5:5" x14ac:dyDescent="0.25">
      <c r="E1491"/>
    </row>
    <row r="1492" spans="5:5" x14ac:dyDescent="0.25">
      <c r="E1492"/>
    </row>
    <row r="1493" spans="5:5" x14ac:dyDescent="0.25">
      <c r="E1493"/>
    </row>
    <row r="1494" spans="5:5" x14ac:dyDescent="0.25">
      <c r="E1494"/>
    </row>
    <row r="1495" spans="5:5" x14ac:dyDescent="0.25">
      <c r="E1495"/>
    </row>
    <row r="1496" spans="5:5" x14ac:dyDescent="0.25">
      <c r="E1496"/>
    </row>
    <row r="1497" spans="5:5" x14ac:dyDescent="0.25">
      <c r="E1497"/>
    </row>
    <row r="1498" spans="5:5" x14ac:dyDescent="0.25">
      <c r="E1498"/>
    </row>
    <row r="1499" spans="5:5" x14ac:dyDescent="0.25">
      <c r="E1499"/>
    </row>
    <row r="1500" spans="5:5" x14ac:dyDescent="0.25">
      <c r="E1500"/>
    </row>
    <row r="1501" spans="5:5" x14ac:dyDescent="0.25">
      <c r="E1501"/>
    </row>
    <row r="1502" spans="5:5" x14ac:dyDescent="0.25">
      <c r="E1502"/>
    </row>
    <row r="1503" spans="5:5" x14ac:dyDescent="0.25">
      <c r="E1503"/>
    </row>
    <row r="1504" spans="5:5" x14ac:dyDescent="0.25">
      <c r="E1504"/>
    </row>
    <row r="1505" spans="5:5" x14ac:dyDescent="0.25">
      <c r="E1505"/>
    </row>
    <row r="1506" spans="5:5" x14ac:dyDescent="0.25">
      <c r="E1506"/>
    </row>
    <row r="1507" spans="5:5" x14ac:dyDescent="0.25">
      <c r="E1507"/>
    </row>
    <row r="1508" spans="5:5" x14ac:dyDescent="0.25">
      <c r="E1508"/>
    </row>
    <row r="1509" spans="5:5" x14ac:dyDescent="0.25">
      <c r="E1509"/>
    </row>
    <row r="1510" spans="5:5" x14ac:dyDescent="0.25">
      <c r="E1510"/>
    </row>
    <row r="1511" spans="5:5" x14ac:dyDescent="0.25">
      <c r="E1511"/>
    </row>
    <row r="1512" spans="5:5" x14ac:dyDescent="0.25">
      <c r="E1512"/>
    </row>
    <row r="1513" spans="5:5" x14ac:dyDescent="0.25">
      <c r="E1513"/>
    </row>
    <row r="1514" spans="5:5" x14ac:dyDescent="0.25">
      <c r="E1514"/>
    </row>
    <row r="1515" spans="5:5" x14ac:dyDescent="0.25">
      <c r="E1515"/>
    </row>
    <row r="1516" spans="5:5" x14ac:dyDescent="0.25">
      <c r="E1516"/>
    </row>
    <row r="1517" spans="5:5" x14ac:dyDescent="0.25">
      <c r="E1517"/>
    </row>
    <row r="1518" spans="5:5" x14ac:dyDescent="0.25">
      <c r="E1518"/>
    </row>
    <row r="1519" spans="5:5" x14ac:dyDescent="0.25">
      <c r="E1519"/>
    </row>
    <row r="1520" spans="5:5" x14ac:dyDescent="0.25">
      <c r="E1520"/>
    </row>
    <row r="1521" spans="5:5" x14ac:dyDescent="0.25">
      <c r="E1521"/>
    </row>
    <row r="1522" spans="5:5" x14ac:dyDescent="0.25">
      <c r="E1522"/>
    </row>
    <row r="1523" spans="5:5" x14ac:dyDescent="0.25">
      <c r="E1523"/>
    </row>
    <row r="1524" spans="5:5" x14ac:dyDescent="0.25">
      <c r="E1524"/>
    </row>
    <row r="1525" spans="5:5" x14ac:dyDescent="0.25">
      <c r="E1525"/>
    </row>
    <row r="1526" spans="5:5" x14ac:dyDescent="0.25">
      <c r="E1526"/>
    </row>
    <row r="1527" spans="5:5" x14ac:dyDescent="0.25">
      <c r="E1527"/>
    </row>
    <row r="1528" spans="5:5" x14ac:dyDescent="0.25">
      <c r="E1528"/>
    </row>
    <row r="1529" spans="5:5" x14ac:dyDescent="0.25">
      <c r="E1529"/>
    </row>
    <row r="1530" spans="5:5" x14ac:dyDescent="0.25">
      <c r="E1530"/>
    </row>
    <row r="1531" spans="5:5" x14ac:dyDescent="0.25">
      <c r="E1531"/>
    </row>
    <row r="1532" spans="5:5" x14ac:dyDescent="0.25">
      <c r="E1532"/>
    </row>
    <row r="1533" spans="5:5" x14ac:dyDescent="0.25">
      <c r="E1533"/>
    </row>
    <row r="1534" spans="5:5" x14ac:dyDescent="0.25">
      <c r="E1534"/>
    </row>
    <row r="1535" spans="5:5" x14ac:dyDescent="0.25">
      <c r="E1535"/>
    </row>
    <row r="1536" spans="5:5" x14ac:dyDescent="0.25">
      <c r="E1536"/>
    </row>
    <row r="1537" spans="5:5" x14ac:dyDescent="0.25">
      <c r="E1537"/>
    </row>
    <row r="1538" spans="5:5" x14ac:dyDescent="0.25">
      <c r="E1538"/>
    </row>
    <row r="1539" spans="5:5" x14ac:dyDescent="0.25">
      <c r="E1539"/>
    </row>
    <row r="1540" spans="5:5" x14ac:dyDescent="0.25">
      <c r="E1540"/>
    </row>
    <row r="1541" spans="5:5" x14ac:dyDescent="0.25">
      <c r="E1541"/>
    </row>
    <row r="1542" spans="5:5" x14ac:dyDescent="0.25">
      <c r="E1542"/>
    </row>
    <row r="1543" spans="5:5" x14ac:dyDescent="0.25">
      <c r="E1543"/>
    </row>
    <row r="1544" spans="5:5" x14ac:dyDescent="0.25">
      <c r="E1544"/>
    </row>
    <row r="1545" spans="5:5" x14ac:dyDescent="0.25">
      <c r="E1545"/>
    </row>
    <row r="1546" spans="5:5" x14ac:dyDescent="0.25">
      <c r="E1546"/>
    </row>
    <row r="1547" spans="5:5" x14ac:dyDescent="0.25">
      <c r="E1547"/>
    </row>
    <row r="1548" spans="5:5" x14ac:dyDescent="0.25">
      <c r="E1548"/>
    </row>
    <row r="1549" spans="5:5" x14ac:dyDescent="0.25">
      <c r="E1549"/>
    </row>
    <row r="1550" spans="5:5" x14ac:dyDescent="0.25">
      <c r="E1550"/>
    </row>
    <row r="1551" spans="5:5" x14ac:dyDescent="0.25">
      <c r="E1551"/>
    </row>
    <row r="1552" spans="5:5" x14ac:dyDescent="0.25">
      <c r="E1552"/>
    </row>
    <row r="1553" spans="5:5" x14ac:dyDescent="0.25">
      <c r="E1553"/>
    </row>
    <row r="1554" spans="5:5" x14ac:dyDescent="0.25">
      <c r="E1554"/>
    </row>
    <row r="1555" spans="5:5" x14ac:dyDescent="0.25">
      <c r="E1555"/>
    </row>
    <row r="1556" spans="5:5" x14ac:dyDescent="0.25">
      <c r="E1556"/>
    </row>
    <row r="1557" spans="5:5" x14ac:dyDescent="0.25">
      <c r="E1557"/>
    </row>
    <row r="1558" spans="5:5" x14ac:dyDescent="0.25">
      <c r="E1558"/>
    </row>
    <row r="1559" spans="5:5" x14ac:dyDescent="0.25">
      <c r="E1559"/>
    </row>
    <row r="1560" spans="5:5" x14ac:dyDescent="0.25">
      <c r="E1560"/>
    </row>
    <row r="1561" spans="5:5" x14ac:dyDescent="0.25">
      <c r="E1561"/>
    </row>
    <row r="1562" spans="5:5" x14ac:dyDescent="0.25">
      <c r="E1562"/>
    </row>
    <row r="1563" spans="5:5" x14ac:dyDescent="0.25">
      <c r="E1563"/>
    </row>
    <row r="1564" spans="5:5" x14ac:dyDescent="0.25">
      <c r="E1564"/>
    </row>
    <row r="1565" spans="5:5" x14ac:dyDescent="0.25">
      <c r="E1565"/>
    </row>
    <row r="1566" spans="5:5" x14ac:dyDescent="0.25">
      <c r="E1566"/>
    </row>
    <row r="1567" spans="5:5" x14ac:dyDescent="0.25">
      <c r="E1567"/>
    </row>
    <row r="1568" spans="5:5" x14ac:dyDescent="0.25">
      <c r="E1568"/>
    </row>
    <row r="1569" spans="5:5" x14ac:dyDescent="0.25">
      <c r="E1569"/>
    </row>
    <row r="1570" spans="5:5" x14ac:dyDescent="0.25">
      <c r="E1570"/>
    </row>
    <row r="1571" spans="5:5" x14ac:dyDescent="0.25">
      <c r="E1571"/>
    </row>
    <row r="1572" spans="5:5" x14ac:dyDescent="0.25">
      <c r="E1572"/>
    </row>
    <row r="1573" spans="5:5" x14ac:dyDescent="0.25">
      <c r="E1573"/>
    </row>
    <row r="1574" spans="5:5" x14ac:dyDescent="0.25">
      <c r="E1574"/>
    </row>
    <row r="1575" spans="5:5" x14ac:dyDescent="0.25">
      <c r="E1575"/>
    </row>
    <row r="1576" spans="5:5" x14ac:dyDescent="0.25">
      <c r="E1576"/>
    </row>
    <row r="1577" spans="5:5" x14ac:dyDescent="0.25">
      <c r="E1577"/>
    </row>
    <row r="1578" spans="5:5" x14ac:dyDescent="0.25">
      <c r="E1578"/>
    </row>
    <row r="1579" spans="5:5" x14ac:dyDescent="0.25">
      <c r="E1579"/>
    </row>
    <row r="1580" spans="5:5" x14ac:dyDescent="0.25">
      <c r="E1580"/>
    </row>
    <row r="1581" spans="5:5" x14ac:dyDescent="0.25">
      <c r="E1581"/>
    </row>
    <row r="1582" spans="5:5" x14ac:dyDescent="0.25">
      <c r="E1582"/>
    </row>
    <row r="1583" spans="5:5" x14ac:dyDescent="0.25">
      <c r="E1583"/>
    </row>
    <row r="1584" spans="5:5" x14ac:dyDescent="0.25">
      <c r="E1584"/>
    </row>
    <row r="1585" spans="5:5" x14ac:dyDescent="0.25">
      <c r="E1585"/>
    </row>
    <row r="1586" spans="5:5" x14ac:dyDescent="0.25">
      <c r="E1586"/>
    </row>
    <row r="1587" spans="5:5" x14ac:dyDescent="0.25">
      <c r="E1587"/>
    </row>
    <row r="1588" spans="5:5" x14ac:dyDescent="0.25">
      <c r="E1588"/>
    </row>
    <row r="1589" spans="5:5" x14ac:dyDescent="0.25">
      <c r="E1589"/>
    </row>
    <row r="1590" spans="5:5" x14ac:dyDescent="0.25">
      <c r="E1590"/>
    </row>
    <row r="1591" spans="5:5" x14ac:dyDescent="0.25">
      <c r="E1591"/>
    </row>
    <row r="1592" spans="5:5" x14ac:dyDescent="0.25">
      <c r="E1592"/>
    </row>
    <row r="1593" spans="5:5" x14ac:dyDescent="0.25">
      <c r="E1593"/>
    </row>
    <row r="1594" spans="5:5" x14ac:dyDescent="0.25">
      <c r="E1594"/>
    </row>
    <row r="1595" spans="5:5" x14ac:dyDescent="0.25">
      <c r="E1595"/>
    </row>
    <row r="1596" spans="5:5" x14ac:dyDescent="0.25">
      <c r="E1596"/>
    </row>
    <row r="1597" spans="5:5" x14ac:dyDescent="0.25">
      <c r="E1597"/>
    </row>
    <row r="1598" spans="5:5" x14ac:dyDescent="0.25">
      <c r="E1598"/>
    </row>
    <row r="1599" spans="5:5" x14ac:dyDescent="0.25">
      <c r="E1599"/>
    </row>
    <row r="1600" spans="5:5" x14ac:dyDescent="0.25">
      <c r="E1600"/>
    </row>
    <row r="1601" spans="5:5" x14ac:dyDescent="0.25">
      <c r="E1601"/>
    </row>
    <row r="1602" spans="5:5" x14ac:dyDescent="0.25">
      <c r="E1602"/>
    </row>
    <row r="1603" spans="5:5" x14ac:dyDescent="0.25">
      <c r="E1603"/>
    </row>
    <row r="1604" spans="5:5" x14ac:dyDescent="0.25">
      <c r="E1604"/>
    </row>
    <row r="1605" spans="5:5" x14ac:dyDescent="0.25">
      <c r="E1605"/>
    </row>
    <row r="1606" spans="5:5" x14ac:dyDescent="0.25">
      <c r="E1606"/>
    </row>
    <row r="1607" spans="5:5" x14ac:dyDescent="0.25">
      <c r="E1607"/>
    </row>
    <row r="1608" spans="5:5" x14ac:dyDescent="0.25">
      <c r="E1608"/>
    </row>
    <row r="1609" spans="5:5" x14ac:dyDescent="0.25">
      <c r="E1609"/>
    </row>
    <row r="1610" spans="5:5" x14ac:dyDescent="0.25">
      <c r="E1610"/>
    </row>
    <row r="1611" spans="5:5" x14ac:dyDescent="0.25">
      <c r="E1611"/>
    </row>
    <row r="1612" spans="5:5" x14ac:dyDescent="0.25">
      <c r="E1612"/>
    </row>
    <row r="1613" spans="5:5" x14ac:dyDescent="0.25">
      <c r="E1613"/>
    </row>
    <row r="1614" spans="5:5" x14ac:dyDescent="0.25">
      <c r="E1614"/>
    </row>
    <row r="1615" spans="5:5" x14ac:dyDescent="0.25">
      <c r="E1615"/>
    </row>
    <row r="1616" spans="5:5" x14ac:dyDescent="0.25">
      <c r="E1616"/>
    </row>
    <row r="1617" spans="5:5" x14ac:dyDescent="0.25">
      <c r="E1617"/>
    </row>
    <row r="1618" spans="5:5" x14ac:dyDescent="0.25">
      <c r="E1618"/>
    </row>
    <row r="1619" spans="5:5" x14ac:dyDescent="0.25">
      <c r="E1619"/>
    </row>
    <row r="1620" spans="5:5" x14ac:dyDescent="0.25">
      <c r="E1620"/>
    </row>
    <row r="1621" spans="5:5" x14ac:dyDescent="0.25">
      <c r="E1621"/>
    </row>
    <row r="1622" spans="5:5" x14ac:dyDescent="0.25">
      <c r="E1622"/>
    </row>
    <row r="1623" spans="5:5" x14ac:dyDescent="0.25">
      <c r="E1623"/>
    </row>
    <row r="1624" spans="5:5" x14ac:dyDescent="0.25">
      <c r="E1624"/>
    </row>
    <row r="1625" spans="5:5" x14ac:dyDescent="0.25">
      <c r="E1625"/>
    </row>
    <row r="1626" spans="5:5" x14ac:dyDescent="0.25">
      <c r="E1626"/>
    </row>
    <row r="1627" spans="5:5" x14ac:dyDescent="0.25">
      <c r="E1627"/>
    </row>
    <row r="1628" spans="5:5" x14ac:dyDescent="0.25">
      <c r="E1628"/>
    </row>
    <row r="1629" spans="5:5" x14ac:dyDescent="0.25">
      <c r="E1629"/>
    </row>
    <row r="1630" spans="5:5" x14ac:dyDescent="0.25">
      <c r="E1630"/>
    </row>
    <row r="1631" spans="5:5" x14ac:dyDescent="0.25">
      <c r="E1631"/>
    </row>
    <row r="1632" spans="5:5" x14ac:dyDescent="0.25">
      <c r="E1632"/>
    </row>
    <row r="1633" spans="5:5" x14ac:dyDescent="0.25">
      <c r="E1633"/>
    </row>
    <row r="1634" spans="5:5" x14ac:dyDescent="0.25">
      <c r="E1634"/>
    </row>
    <row r="1635" spans="5:5" x14ac:dyDescent="0.25">
      <c r="E1635"/>
    </row>
    <row r="1636" spans="5:5" x14ac:dyDescent="0.25">
      <c r="E1636"/>
    </row>
    <row r="1637" spans="5:5" x14ac:dyDescent="0.25">
      <c r="E1637"/>
    </row>
    <row r="1638" spans="5:5" x14ac:dyDescent="0.25">
      <c r="E1638"/>
    </row>
    <row r="1639" spans="5:5" x14ac:dyDescent="0.25">
      <c r="E1639"/>
    </row>
    <row r="1640" spans="5:5" x14ac:dyDescent="0.25">
      <c r="E1640"/>
    </row>
    <row r="1641" spans="5:5" x14ac:dyDescent="0.25">
      <c r="E1641"/>
    </row>
    <row r="1642" spans="5:5" x14ac:dyDescent="0.25">
      <c r="E1642"/>
    </row>
    <row r="1643" spans="5:5" x14ac:dyDescent="0.25">
      <c r="E1643"/>
    </row>
    <row r="1644" spans="5:5" x14ac:dyDescent="0.25">
      <c r="E1644"/>
    </row>
    <row r="1645" spans="5:5" x14ac:dyDescent="0.25">
      <c r="E1645"/>
    </row>
    <row r="1646" spans="5:5" x14ac:dyDescent="0.25">
      <c r="E1646"/>
    </row>
    <row r="1647" spans="5:5" x14ac:dyDescent="0.25">
      <c r="E1647"/>
    </row>
    <row r="1648" spans="5:5" x14ac:dyDescent="0.25">
      <c r="E1648"/>
    </row>
    <row r="1649" spans="5:5" x14ac:dyDescent="0.25">
      <c r="E1649"/>
    </row>
    <row r="1650" spans="5:5" x14ac:dyDescent="0.25">
      <c r="E1650"/>
    </row>
    <row r="1651" spans="5:5" x14ac:dyDescent="0.25">
      <c r="E1651"/>
    </row>
    <row r="1652" spans="5:5" x14ac:dyDescent="0.25">
      <c r="E1652"/>
    </row>
    <row r="1653" spans="5:5" x14ac:dyDescent="0.25">
      <c r="E1653"/>
    </row>
    <row r="1654" spans="5:5" x14ac:dyDescent="0.25">
      <c r="E1654"/>
    </row>
    <row r="1655" spans="5:5" x14ac:dyDescent="0.25">
      <c r="E1655"/>
    </row>
    <row r="1656" spans="5:5" x14ac:dyDescent="0.25">
      <c r="E1656"/>
    </row>
    <row r="1657" spans="5:5" x14ac:dyDescent="0.25">
      <c r="E1657"/>
    </row>
    <row r="1658" spans="5:5" x14ac:dyDescent="0.25">
      <c r="E1658"/>
    </row>
    <row r="1659" spans="5:5" x14ac:dyDescent="0.25">
      <c r="E1659"/>
    </row>
    <row r="1660" spans="5:5" x14ac:dyDescent="0.25">
      <c r="E1660"/>
    </row>
    <row r="1661" spans="5:5" x14ac:dyDescent="0.25">
      <c r="E1661"/>
    </row>
    <row r="1662" spans="5:5" x14ac:dyDescent="0.25">
      <c r="E1662"/>
    </row>
    <row r="1663" spans="5:5" x14ac:dyDescent="0.25">
      <c r="E1663"/>
    </row>
    <row r="1664" spans="5:5" x14ac:dyDescent="0.25">
      <c r="E1664"/>
    </row>
    <row r="1665" spans="5:5" x14ac:dyDescent="0.25">
      <c r="E1665"/>
    </row>
    <row r="1666" spans="5:5" x14ac:dyDescent="0.25">
      <c r="E1666"/>
    </row>
    <row r="1667" spans="5:5" x14ac:dyDescent="0.25">
      <c r="E1667"/>
    </row>
    <row r="1668" spans="5:5" x14ac:dyDescent="0.25">
      <c r="E1668"/>
    </row>
    <row r="1669" spans="5:5" x14ac:dyDescent="0.25">
      <c r="E1669"/>
    </row>
    <row r="1670" spans="5:5" x14ac:dyDescent="0.25">
      <c r="E1670"/>
    </row>
    <row r="1671" spans="5:5" x14ac:dyDescent="0.25">
      <c r="E1671"/>
    </row>
    <row r="1672" spans="5:5" x14ac:dyDescent="0.25">
      <c r="E1672"/>
    </row>
    <row r="1673" spans="5:5" x14ac:dyDescent="0.25">
      <c r="E1673"/>
    </row>
    <row r="1674" spans="5:5" x14ac:dyDescent="0.25">
      <c r="E1674"/>
    </row>
    <row r="1675" spans="5:5" x14ac:dyDescent="0.25">
      <c r="E1675"/>
    </row>
    <row r="1676" spans="5:5" x14ac:dyDescent="0.25">
      <c r="E1676"/>
    </row>
    <row r="1677" spans="5:5" x14ac:dyDescent="0.25">
      <c r="E1677"/>
    </row>
    <row r="1678" spans="5:5" x14ac:dyDescent="0.25">
      <c r="E1678"/>
    </row>
    <row r="1679" spans="5:5" x14ac:dyDescent="0.25">
      <c r="E1679"/>
    </row>
    <row r="1680" spans="5:5" x14ac:dyDescent="0.25">
      <c r="E1680"/>
    </row>
    <row r="1681" spans="5:5" x14ac:dyDescent="0.25">
      <c r="E1681"/>
    </row>
    <row r="1682" spans="5:5" x14ac:dyDescent="0.25">
      <c r="E1682"/>
    </row>
    <row r="1683" spans="5:5" x14ac:dyDescent="0.25">
      <c r="E1683"/>
    </row>
    <row r="1684" spans="5:5" x14ac:dyDescent="0.25">
      <c r="E1684"/>
    </row>
    <row r="1685" spans="5:5" x14ac:dyDescent="0.25">
      <c r="E1685"/>
    </row>
    <row r="1686" spans="5:5" x14ac:dyDescent="0.25">
      <c r="E1686"/>
    </row>
    <row r="1687" spans="5:5" x14ac:dyDescent="0.25">
      <c r="E1687"/>
    </row>
    <row r="1688" spans="5:5" x14ac:dyDescent="0.25">
      <c r="E1688"/>
    </row>
    <row r="1689" spans="5:5" x14ac:dyDescent="0.25">
      <c r="E1689"/>
    </row>
    <row r="1690" spans="5:5" x14ac:dyDescent="0.25">
      <c r="E1690"/>
    </row>
    <row r="1691" spans="5:5" x14ac:dyDescent="0.25">
      <c r="E1691"/>
    </row>
    <row r="1692" spans="5:5" x14ac:dyDescent="0.25">
      <c r="E1692"/>
    </row>
    <row r="1693" spans="5:5" x14ac:dyDescent="0.25">
      <c r="E1693"/>
    </row>
    <row r="1694" spans="5:5" x14ac:dyDescent="0.25">
      <c r="E1694"/>
    </row>
    <row r="1695" spans="5:5" x14ac:dyDescent="0.25">
      <c r="E1695"/>
    </row>
    <row r="1696" spans="5:5" x14ac:dyDescent="0.25">
      <c r="E1696"/>
    </row>
    <row r="1697" spans="5:5" x14ac:dyDescent="0.25">
      <c r="E1697"/>
    </row>
    <row r="1698" spans="5:5" x14ac:dyDescent="0.25">
      <c r="E1698"/>
    </row>
    <row r="1699" spans="5:5" x14ac:dyDescent="0.25">
      <c r="E1699"/>
    </row>
    <row r="1700" spans="5:5" x14ac:dyDescent="0.25">
      <c r="E1700"/>
    </row>
    <row r="1701" spans="5:5" x14ac:dyDescent="0.25">
      <c r="E1701"/>
    </row>
    <row r="1702" spans="5:5" x14ac:dyDescent="0.25">
      <c r="E1702"/>
    </row>
    <row r="1703" spans="5:5" x14ac:dyDescent="0.25">
      <c r="E1703"/>
    </row>
    <row r="1704" spans="5:5" x14ac:dyDescent="0.25">
      <c r="E1704"/>
    </row>
    <row r="1705" spans="5:5" x14ac:dyDescent="0.25">
      <c r="E1705"/>
    </row>
    <row r="1706" spans="5:5" x14ac:dyDescent="0.25">
      <c r="E1706"/>
    </row>
    <row r="1707" spans="5:5" x14ac:dyDescent="0.25">
      <c r="E1707"/>
    </row>
    <row r="1708" spans="5:5" x14ac:dyDescent="0.25">
      <c r="E1708"/>
    </row>
    <row r="1709" spans="5:5" x14ac:dyDescent="0.25">
      <c r="E1709"/>
    </row>
    <row r="1710" spans="5:5" x14ac:dyDescent="0.25">
      <c r="E1710"/>
    </row>
    <row r="1711" spans="5:5" x14ac:dyDescent="0.25">
      <c r="E1711"/>
    </row>
    <row r="1712" spans="5:5" x14ac:dyDescent="0.25">
      <c r="E1712"/>
    </row>
    <row r="1713" spans="5:5" x14ac:dyDescent="0.25">
      <c r="E1713"/>
    </row>
    <row r="1714" spans="5:5" x14ac:dyDescent="0.25">
      <c r="E1714"/>
    </row>
    <row r="1715" spans="5:5" x14ac:dyDescent="0.25">
      <c r="E1715"/>
    </row>
    <row r="1716" spans="5:5" x14ac:dyDescent="0.25">
      <c r="E1716"/>
    </row>
    <row r="1717" spans="5:5" x14ac:dyDescent="0.25">
      <c r="E1717"/>
    </row>
    <row r="1718" spans="5:5" x14ac:dyDescent="0.25">
      <c r="E1718"/>
    </row>
    <row r="1719" spans="5:5" x14ac:dyDescent="0.25">
      <c r="E1719"/>
    </row>
    <row r="1720" spans="5:5" x14ac:dyDescent="0.25">
      <c r="E1720"/>
    </row>
    <row r="1721" spans="5:5" x14ac:dyDescent="0.25">
      <c r="E1721"/>
    </row>
    <row r="1722" spans="5:5" x14ac:dyDescent="0.25">
      <c r="E1722"/>
    </row>
    <row r="1723" spans="5:5" x14ac:dyDescent="0.25">
      <c r="E1723"/>
    </row>
    <row r="1724" spans="5:5" x14ac:dyDescent="0.25">
      <c r="E1724"/>
    </row>
    <row r="1725" spans="5:5" x14ac:dyDescent="0.25">
      <c r="E1725"/>
    </row>
    <row r="1726" spans="5:5" x14ac:dyDescent="0.25">
      <c r="E1726"/>
    </row>
    <row r="1727" spans="5:5" x14ac:dyDescent="0.25">
      <c r="E1727"/>
    </row>
    <row r="1728" spans="5:5" x14ac:dyDescent="0.25">
      <c r="E1728"/>
    </row>
    <row r="1729" spans="5:5" x14ac:dyDescent="0.25">
      <c r="E1729"/>
    </row>
    <row r="1730" spans="5:5" x14ac:dyDescent="0.25">
      <c r="E1730"/>
    </row>
    <row r="1731" spans="5:5" x14ac:dyDescent="0.25">
      <c r="E1731"/>
    </row>
    <row r="1732" spans="5:5" x14ac:dyDescent="0.25">
      <c r="E1732"/>
    </row>
    <row r="1733" spans="5:5" x14ac:dyDescent="0.25">
      <c r="E1733"/>
    </row>
    <row r="1734" spans="5:5" x14ac:dyDescent="0.25">
      <c r="E1734"/>
    </row>
    <row r="1735" spans="5:5" x14ac:dyDescent="0.25">
      <c r="E1735"/>
    </row>
    <row r="1736" spans="5:5" x14ac:dyDescent="0.25">
      <c r="E1736"/>
    </row>
    <row r="1737" spans="5:5" x14ac:dyDescent="0.25">
      <c r="E1737"/>
    </row>
    <row r="1738" spans="5:5" x14ac:dyDescent="0.25">
      <c r="E1738"/>
    </row>
    <row r="1739" spans="5:5" x14ac:dyDescent="0.25">
      <c r="E1739"/>
    </row>
    <row r="1740" spans="5:5" x14ac:dyDescent="0.25">
      <c r="E1740"/>
    </row>
    <row r="1741" spans="5:5" x14ac:dyDescent="0.25">
      <c r="E1741"/>
    </row>
    <row r="1742" spans="5:5" x14ac:dyDescent="0.25">
      <c r="E1742"/>
    </row>
    <row r="1743" spans="5:5" x14ac:dyDescent="0.25">
      <c r="E1743"/>
    </row>
    <row r="1744" spans="5:5" x14ac:dyDescent="0.25">
      <c r="E1744"/>
    </row>
    <row r="1745" spans="5:5" x14ac:dyDescent="0.25">
      <c r="E1745"/>
    </row>
    <row r="1746" spans="5:5" x14ac:dyDescent="0.25">
      <c r="E1746"/>
    </row>
    <row r="1747" spans="5:5" x14ac:dyDescent="0.25">
      <c r="E1747"/>
    </row>
    <row r="1748" spans="5:5" x14ac:dyDescent="0.25">
      <c r="E1748"/>
    </row>
    <row r="1749" spans="5:5" x14ac:dyDescent="0.25">
      <c r="E1749"/>
    </row>
    <row r="1750" spans="5:5" x14ac:dyDescent="0.25">
      <c r="E1750"/>
    </row>
    <row r="1751" spans="5:5" x14ac:dyDescent="0.25">
      <c r="E1751"/>
    </row>
    <row r="1752" spans="5:5" x14ac:dyDescent="0.25">
      <c r="E1752"/>
    </row>
    <row r="1753" spans="5:5" x14ac:dyDescent="0.25">
      <c r="E1753"/>
    </row>
    <row r="1754" spans="5:5" x14ac:dyDescent="0.25">
      <c r="E1754"/>
    </row>
    <row r="1755" spans="5:5" x14ac:dyDescent="0.25">
      <c r="E1755"/>
    </row>
    <row r="1756" spans="5:5" x14ac:dyDescent="0.25">
      <c r="E1756"/>
    </row>
    <row r="1757" spans="5:5" x14ac:dyDescent="0.25">
      <c r="E1757"/>
    </row>
    <row r="1758" spans="5:5" x14ac:dyDescent="0.25">
      <c r="E1758"/>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heet31">
    <tabColor rgb="FF7030A0"/>
  </sheetPr>
  <dimension ref="A1:G76"/>
  <sheetViews>
    <sheetView workbookViewId="0">
      <selection activeCell="A3" sqref="A3"/>
    </sheetView>
  </sheetViews>
  <sheetFormatPr defaultRowHeight="15" x14ac:dyDescent="0.25"/>
  <cols>
    <col min="1" max="1" width="11.7109375" bestFit="1" customWidth="1"/>
    <col min="2" max="2" width="12.28515625" bestFit="1" customWidth="1"/>
    <col min="3" max="3" width="24.85546875" bestFit="1" customWidth="1"/>
    <col min="4" max="4" width="27.85546875" bestFit="1" customWidth="1"/>
    <col min="5" max="5" width="14.5703125" bestFit="1" customWidth="1"/>
    <col min="6" max="6" width="11.7109375" bestFit="1" customWidth="1"/>
    <col min="7" max="7" width="12.28515625" bestFit="1" customWidth="1"/>
  </cols>
  <sheetData>
    <row r="1" spans="1:7" ht="15.75" thickBot="1" x14ac:dyDescent="0.3">
      <c r="A1" s="28" t="s">
        <v>376</v>
      </c>
      <c r="B1" s="29" t="s">
        <v>85</v>
      </c>
      <c r="C1" s="28" t="s">
        <v>193</v>
      </c>
      <c r="D1" s="28" t="s">
        <v>84</v>
      </c>
      <c r="E1" s="28" t="s">
        <v>377</v>
      </c>
      <c r="F1" s="28" t="s">
        <v>376</v>
      </c>
      <c r="G1" s="29" t="s">
        <v>85</v>
      </c>
    </row>
    <row r="2" spans="1:7" x14ac:dyDescent="0.25">
      <c r="A2" s="1057" t="s">
        <v>137</v>
      </c>
      <c r="B2" s="1041" t="s">
        <v>13</v>
      </c>
      <c r="C2" s="1041" t="s">
        <v>381</v>
      </c>
      <c r="D2" s="1041" t="s">
        <v>12</v>
      </c>
      <c r="E2" s="1039">
        <v>2140</v>
      </c>
      <c r="F2" s="1039" t="s">
        <v>137</v>
      </c>
      <c r="G2" s="1041" t="s">
        <v>13</v>
      </c>
    </row>
    <row r="3" spans="1:7" x14ac:dyDescent="0.25">
      <c r="A3" s="1057" t="s">
        <v>138</v>
      </c>
      <c r="B3" s="1041" t="s">
        <v>18</v>
      </c>
      <c r="C3" s="1041" t="s">
        <v>1206</v>
      </c>
      <c r="D3" s="1041" t="s">
        <v>56</v>
      </c>
      <c r="E3" s="1039">
        <v>1933</v>
      </c>
      <c r="F3" s="1039" t="s">
        <v>138</v>
      </c>
      <c r="G3" s="1041" t="s">
        <v>18</v>
      </c>
    </row>
    <row r="4" spans="1:7" x14ac:dyDescent="0.25">
      <c r="A4" s="1057" t="s">
        <v>189</v>
      </c>
      <c r="B4" s="1041" t="s">
        <v>13</v>
      </c>
      <c r="C4" s="1041" t="s">
        <v>378</v>
      </c>
      <c r="D4" s="1041" t="s">
        <v>33</v>
      </c>
      <c r="E4" s="1039">
        <v>2110</v>
      </c>
      <c r="F4" s="1039" t="s">
        <v>189</v>
      </c>
      <c r="G4" s="1041" t="s">
        <v>13</v>
      </c>
    </row>
    <row r="5" spans="1:7" x14ac:dyDescent="0.25">
      <c r="A5" s="1057" t="s">
        <v>1191</v>
      </c>
      <c r="B5" s="1041" t="s">
        <v>18</v>
      </c>
      <c r="C5" s="1041" t="s">
        <v>1192</v>
      </c>
      <c r="D5" s="1041" t="s">
        <v>1192</v>
      </c>
      <c r="E5" s="1039">
        <v>4190</v>
      </c>
      <c r="F5" s="1039" t="s">
        <v>1191</v>
      </c>
      <c r="G5" s="1041" t="s">
        <v>18</v>
      </c>
    </row>
    <row r="6" spans="1:7" x14ac:dyDescent="0.25">
      <c r="A6" s="1057" t="s">
        <v>160</v>
      </c>
      <c r="B6" s="1041" t="s">
        <v>8</v>
      </c>
      <c r="C6" s="1041" t="s">
        <v>383</v>
      </c>
      <c r="D6" s="1041" t="s">
        <v>5</v>
      </c>
      <c r="E6" s="1039">
        <v>2220</v>
      </c>
      <c r="F6" s="1039" t="s">
        <v>160</v>
      </c>
      <c r="G6" s="1041" t="s">
        <v>8</v>
      </c>
    </row>
    <row r="7" spans="1:7" x14ac:dyDescent="0.25">
      <c r="A7" s="1057" t="s">
        <v>144</v>
      </c>
      <c r="B7" s="1041" t="s">
        <v>1436</v>
      </c>
      <c r="C7" s="1041" t="s">
        <v>384</v>
      </c>
      <c r="D7" s="1041" t="s">
        <v>42</v>
      </c>
      <c r="E7" s="1039">
        <v>3023</v>
      </c>
      <c r="F7" s="1039" t="s">
        <v>144</v>
      </c>
      <c r="G7" s="1041" t="s">
        <v>1436</v>
      </c>
    </row>
    <row r="8" spans="1:7" x14ac:dyDescent="0.25">
      <c r="A8" s="1057" t="s">
        <v>1193</v>
      </c>
      <c r="B8" s="1041" t="s">
        <v>18</v>
      </c>
      <c r="C8" s="1041" t="s">
        <v>392</v>
      </c>
      <c r="D8" s="1041" t="s">
        <v>1194</v>
      </c>
      <c r="E8" s="1039">
        <v>3310</v>
      </c>
      <c r="F8" s="1039" t="s">
        <v>1193</v>
      </c>
      <c r="G8" s="1041" t="s">
        <v>18</v>
      </c>
    </row>
    <row r="9" spans="1:7" x14ac:dyDescent="0.25">
      <c r="A9" s="1057" t="s">
        <v>180</v>
      </c>
      <c r="B9" s="1041" t="s">
        <v>1436</v>
      </c>
      <c r="C9" s="1041" t="s">
        <v>1072</v>
      </c>
      <c r="D9" s="1041" t="s">
        <v>894</v>
      </c>
      <c r="E9" s="1039">
        <v>2345</v>
      </c>
      <c r="F9" s="1039" t="s">
        <v>180</v>
      </c>
      <c r="G9" s="1041" t="s">
        <v>1436</v>
      </c>
    </row>
    <row r="10" spans="1:7" x14ac:dyDescent="0.25">
      <c r="A10" s="1057" t="s">
        <v>141</v>
      </c>
      <c r="B10" s="1041" t="s">
        <v>8</v>
      </c>
      <c r="C10" s="1041" t="s">
        <v>390</v>
      </c>
      <c r="D10" s="1041" t="s">
        <v>29</v>
      </c>
      <c r="E10" s="1039">
        <v>3135</v>
      </c>
      <c r="F10" s="1039" t="s">
        <v>141</v>
      </c>
      <c r="G10" s="1041" t="s">
        <v>8</v>
      </c>
    </row>
    <row r="11" spans="1:7" x14ac:dyDescent="0.25">
      <c r="A11" s="1057" t="s">
        <v>186</v>
      </c>
      <c r="B11" s="1041" t="s">
        <v>13</v>
      </c>
      <c r="C11" s="1041" t="s">
        <v>1078</v>
      </c>
      <c r="D11" s="1041" t="s">
        <v>64</v>
      </c>
      <c r="E11" s="1039">
        <v>2148</v>
      </c>
      <c r="F11" s="1039" t="s">
        <v>186</v>
      </c>
      <c r="G11" s="1041" t="s">
        <v>13</v>
      </c>
    </row>
    <row r="12" spans="1:7" x14ac:dyDescent="0.25">
      <c r="A12" s="1057" t="s">
        <v>185</v>
      </c>
      <c r="B12" s="1041" t="s">
        <v>13</v>
      </c>
      <c r="C12" s="1041" t="s">
        <v>381</v>
      </c>
      <c r="D12" s="1041" t="s">
        <v>19</v>
      </c>
      <c r="E12" s="1039">
        <v>2190</v>
      </c>
      <c r="F12" s="1039" t="s">
        <v>185</v>
      </c>
      <c r="G12" s="1041" t="s">
        <v>13</v>
      </c>
    </row>
    <row r="13" spans="1:7" x14ac:dyDescent="0.25">
      <c r="A13" s="1057" t="s">
        <v>162</v>
      </c>
      <c r="B13" s="1041" t="s">
        <v>8</v>
      </c>
      <c r="C13" s="1041" t="s">
        <v>391</v>
      </c>
      <c r="D13" s="1041" t="s">
        <v>121</v>
      </c>
      <c r="E13" s="1039">
        <v>2210</v>
      </c>
      <c r="F13" s="1039" t="s">
        <v>162</v>
      </c>
      <c r="G13" s="1041" t="s">
        <v>8</v>
      </c>
    </row>
    <row r="14" spans="1:7" x14ac:dyDescent="0.25">
      <c r="A14" s="1057" t="s">
        <v>174</v>
      </c>
      <c r="B14" s="1041" t="s">
        <v>1436</v>
      </c>
      <c r="C14" s="1041" t="s">
        <v>194</v>
      </c>
      <c r="D14" s="1041" t="s">
        <v>58</v>
      </c>
      <c r="E14" s="1039">
        <v>2099</v>
      </c>
      <c r="F14" s="1039" t="s">
        <v>174</v>
      </c>
      <c r="G14" s="1041" t="s">
        <v>1436</v>
      </c>
    </row>
    <row r="15" spans="1:7" x14ac:dyDescent="0.25">
      <c r="A15" s="1057" t="s">
        <v>175</v>
      </c>
      <c r="B15" s="1041" t="s">
        <v>13</v>
      </c>
      <c r="C15" s="1041" t="s">
        <v>195</v>
      </c>
      <c r="D15" s="1041" t="s">
        <v>22</v>
      </c>
      <c r="E15" s="1039">
        <v>1103</v>
      </c>
      <c r="F15" s="1039" t="s">
        <v>175</v>
      </c>
      <c r="G15" s="1041" t="s">
        <v>13</v>
      </c>
    </row>
    <row r="16" spans="1:7" x14ac:dyDescent="0.25">
      <c r="A16" s="1057" t="s">
        <v>173</v>
      </c>
      <c r="B16" s="1041" t="s">
        <v>13</v>
      </c>
      <c r="C16" s="1041" t="s">
        <v>196</v>
      </c>
      <c r="D16" s="1041" t="s">
        <v>43</v>
      </c>
      <c r="E16" s="1039">
        <v>1104</v>
      </c>
      <c r="F16" s="1039" t="s">
        <v>173</v>
      </c>
      <c r="G16" s="1041" t="s">
        <v>13</v>
      </c>
    </row>
    <row r="17" spans="1:7" x14ac:dyDescent="0.25">
      <c r="A17" s="1057" t="s">
        <v>163</v>
      </c>
      <c r="B17" s="1041" t="s">
        <v>8</v>
      </c>
      <c r="C17" s="1041" t="s">
        <v>389</v>
      </c>
      <c r="D17" s="1041" t="s">
        <v>10</v>
      </c>
      <c r="E17" s="1039">
        <v>2260</v>
      </c>
      <c r="F17" s="1039" t="s">
        <v>163</v>
      </c>
      <c r="G17" s="1041" t="s">
        <v>8</v>
      </c>
    </row>
    <row r="18" spans="1:7" x14ac:dyDescent="0.25">
      <c r="A18" s="1057" t="s">
        <v>192</v>
      </c>
      <c r="B18" s="1041" t="s">
        <v>13</v>
      </c>
      <c r="C18" s="1041" t="s">
        <v>61</v>
      </c>
      <c r="D18" s="1041" t="s">
        <v>893</v>
      </c>
      <c r="E18" s="1039">
        <v>2020</v>
      </c>
      <c r="F18" s="1039" t="s">
        <v>192</v>
      </c>
      <c r="G18" s="1041" t="s">
        <v>13</v>
      </c>
    </row>
    <row r="19" spans="1:7" x14ac:dyDescent="0.25">
      <c r="A19" s="1057" t="s">
        <v>165</v>
      </c>
      <c r="B19" s="1041" t="s">
        <v>18</v>
      </c>
      <c r="C19" s="1041" t="s">
        <v>395</v>
      </c>
      <c r="D19" s="1041" t="s">
        <v>55</v>
      </c>
      <c r="E19" s="1039">
        <v>4150</v>
      </c>
      <c r="F19" s="1039" t="s">
        <v>165</v>
      </c>
      <c r="G19" s="1041" t="s">
        <v>18</v>
      </c>
    </row>
    <row r="20" spans="1:7" x14ac:dyDescent="0.25">
      <c r="A20" s="1057" t="s">
        <v>146</v>
      </c>
      <c r="B20" s="1041" t="s">
        <v>1436</v>
      </c>
      <c r="C20" s="1041" t="s">
        <v>385</v>
      </c>
      <c r="D20" s="1041" t="s">
        <v>26</v>
      </c>
      <c r="E20" s="1039">
        <v>3150</v>
      </c>
      <c r="F20" s="1039" t="s">
        <v>146</v>
      </c>
      <c r="G20" s="1041" t="s">
        <v>1436</v>
      </c>
    </row>
    <row r="21" spans="1:7" x14ac:dyDescent="0.25">
      <c r="A21" s="1057" t="s">
        <v>1195</v>
      </c>
      <c r="B21" s="1041" t="s">
        <v>1436</v>
      </c>
      <c r="C21" s="1041" t="s">
        <v>394</v>
      </c>
      <c r="D21" s="1041" t="s">
        <v>1196</v>
      </c>
      <c r="E21" s="1039">
        <v>3340</v>
      </c>
      <c r="F21" s="1039" t="s">
        <v>1195</v>
      </c>
      <c r="G21" s="1041" t="s">
        <v>1436</v>
      </c>
    </row>
    <row r="22" spans="1:7" x14ac:dyDescent="0.25">
      <c r="A22" s="1057" t="s">
        <v>147</v>
      </c>
      <c r="B22" s="1041" t="s">
        <v>1436</v>
      </c>
      <c r="C22" s="1041" t="s">
        <v>394</v>
      </c>
      <c r="D22" s="1041" t="s">
        <v>1197</v>
      </c>
      <c r="E22" s="1039">
        <v>3160</v>
      </c>
      <c r="F22" s="1039" t="s">
        <v>147</v>
      </c>
      <c r="G22" s="1041" t="s">
        <v>1436</v>
      </c>
    </row>
    <row r="23" spans="1:7" x14ac:dyDescent="0.25">
      <c r="A23" s="1057" t="s">
        <v>142</v>
      </c>
      <c r="B23" s="1041" t="s">
        <v>13</v>
      </c>
      <c r="C23" s="1041" t="s">
        <v>196</v>
      </c>
      <c r="D23" s="1041" t="s">
        <v>67</v>
      </c>
      <c r="E23" s="1039">
        <v>1106</v>
      </c>
      <c r="F23" s="1039" t="s">
        <v>142</v>
      </c>
      <c r="G23" s="1041" t="s">
        <v>13</v>
      </c>
    </row>
    <row r="24" spans="1:7" x14ac:dyDescent="0.25">
      <c r="A24" s="1057" t="s">
        <v>1207</v>
      </c>
      <c r="B24" s="1041" t="s">
        <v>18</v>
      </c>
      <c r="C24" s="1041" t="s">
        <v>1208</v>
      </c>
      <c r="D24" s="1041" t="s">
        <v>1209</v>
      </c>
      <c r="E24" s="1039">
        <v>4175</v>
      </c>
      <c r="F24" s="1039" t="s">
        <v>1207</v>
      </c>
      <c r="G24" s="1041" t="s">
        <v>18</v>
      </c>
    </row>
    <row r="25" spans="1:7" x14ac:dyDescent="0.25">
      <c r="A25" s="1057" t="s">
        <v>156</v>
      </c>
      <c r="B25" s="1041" t="s">
        <v>8</v>
      </c>
      <c r="C25" s="1041" t="s">
        <v>391</v>
      </c>
      <c r="D25" s="1041" t="s">
        <v>32</v>
      </c>
      <c r="E25" s="1039">
        <v>2250</v>
      </c>
      <c r="F25" s="1039" t="s">
        <v>156</v>
      </c>
      <c r="G25" s="1041" t="s">
        <v>8</v>
      </c>
    </row>
    <row r="26" spans="1:7" x14ac:dyDescent="0.25">
      <c r="A26" s="1057" t="s">
        <v>178</v>
      </c>
      <c r="B26" s="1041" t="s">
        <v>1436</v>
      </c>
      <c r="C26" s="1041" t="s">
        <v>1072</v>
      </c>
      <c r="D26" s="1041" t="s">
        <v>895</v>
      </c>
      <c r="E26" s="1039">
        <v>2340</v>
      </c>
      <c r="F26" s="1039" t="s">
        <v>178</v>
      </c>
      <c r="G26" s="1041" t="s">
        <v>1436</v>
      </c>
    </row>
    <row r="27" spans="1:7" x14ac:dyDescent="0.25">
      <c r="A27" s="1057" t="s">
        <v>1076</v>
      </c>
      <c r="B27" s="1041" t="s">
        <v>1436</v>
      </c>
      <c r="C27" s="1041" t="s">
        <v>198</v>
      </c>
      <c r="D27" s="1041" t="s">
        <v>1077</v>
      </c>
      <c r="E27" s="1039">
        <v>2365</v>
      </c>
      <c r="F27" s="1039" t="s">
        <v>1076</v>
      </c>
      <c r="G27" s="1041" t="s">
        <v>1436</v>
      </c>
    </row>
    <row r="28" spans="1:7" x14ac:dyDescent="0.25">
      <c r="A28" s="1057" t="s">
        <v>145</v>
      </c>
      <c r="B28" s="1041" t="s">
        <v>1436</v>
      </c>
      <c r="C28" s="1041" t="s">
        <v>384</v>
      </c>
      <c r="D28" s="1041" t="s">
        <v>80</v>
      </c>
      <c r="E28" s="1039">
        <v>3126</v>
      </c>
      <c r="F28" s="1039" t="s">
        <v>145</v>
      </c>
      <c r="G28" s="1041" t="s">
        <v>1436</v>
      </c>
    </row>
    <row r="29" spans="1:7" x14ac:dyDescent="0.25">
      <c r="A29" s="1057" t="s">
        <v>176</v>
      </c>
      <c r="B29" s="1041" t="s">
        <v>13</v>
      </c>
      <c r="C29" s="1041" t="s">
        <v>195</v>
      </c>
      <c r="D29" s="1041" t="s">
        <v>46</v>
      </c>
      <c r="E29" s="1039">
        <v>1054</v>
      </c>
      <c r="F29" s="1039" t="s">
        <v>176</v>
      </c>
      <c r="G29" s="1041" t="s">
        <v>13</v>
      </c>
    </row>
    <row r="30" spans="1:7" x14ac:dyDescent="0.25">
      <c r="A30" s="1057" t="s">
        <v>154</v>
      </c>
      <c r="B30" s="1041" t="s">
        <v>1436</v>
      </c>
      <c r="C30" s="1041" t="s">
        <v>199</v>
      </c>
      <c r="D30" s="1041" t="s">
        <v>77</v>
      </c>
      <c r="E30" s="1039">
        <v>2370</v>
      </c>
      <c r="F30" s="1039" t="s">
        <v>154</v>
      </c>
      <c r="G30" s="1041" t="s">
        <v>1436</v>
      </c>
    </row>
    <row r="31" spans="1:7" x14ac:dyDescent="0.25">
      <c r="A31" s="1057" t="s">
        <v>148</v>
      </c>
      <c r="B31" s="1041" t="s">
        <v>8</v>
      </c>
      <c r="C31" s="1041" t="s">
        <v>382</v>
      </c>
      <c r="D31" s="1041" t="s">
        <v>65</v>
      </c>
      <c r="E31" s="1039">
        <v>3186</v>
      </c>
      <c r="F31" s="1039" t="s">
        <v>148</v>
      </c>
      <c r="G31" s="1041" t="s">
        <v>8</v>
      </c>
    </row>
    <row r="32" spans="1:7" x14ac:dyDescent="0.25">
      <c r="A32" s="1057" t="s">
        <v>151</v>
      </c>
      <c r="B32" s="1041" t="s">
        <v>1436</v>
      </c>
      <c r="C32" s="1041" t="s">
        <v>198</v>
      </c>
      <c r="D32" s="1041" t="s">
        <v>37</v>
      </c>
      <c r="E32" s="1039">
        <v>3230</v>
      </c>
      <c r="F32" s="1039" t="s">
        <v>151</v>
      </c>
      <c r="G32" s="1041" t="s">
        <v>1436</v>
      </c>
    </row>
    <row r="33" spans="1:7" x14ac:dyDescent="0.25">
      <c r="A33" s="1057" t="s">
        <v>152</v>
      </c>
      <c r="B33" s="1041" t="s">
        <v>8</v>
      </c>
      <c r="C33" s="1041" t="s">
        <v>383</v>
      </c>
      <c r="D33" s="1041" t="s">
        <v>2</v>
      </c>
      <c r="E33" s="1039">
        <v>2270</v>
      </c>
      <c r="F33" s="1039" t="s">
        <v>152</v>
      </c>
      <c r="G33" s="1041" t="s">
        <v>8</v>
      </c>
    </row>
    <row r="34" spans="1:7" x14ac:dyDescent="0.25">
      <c r="A34" s="1057" t="s">
        <v>177</v>
      </c>
      <c r="B34" s="1041" t="s">
        <v>18</v>
      </c>
      <c r="C34" s="1041" t="s">
        <v>396</v>
      </c>
      <c r="D34" s="1041" t="s">
        <v>52</v>
      </c>
      <c r="E34" s="1039">
        <v>4100</v>
      </c>
      <c r="F34" s="1039" t="s">
        <v>177</v>
      </c>
      <c r="G34" s="1041" t="s">
        <v>18</v>
      </c>
    </row>
    <row r="35" spans="1:7" x14ac:dyDescent="0.25">
      <c r="A35" s="1057" t="s">
        <v>155</v>
      </c>
      <c r="B35" s="1041" t="s">
        <v>8</v>
      </c>
      <c r="C35" s="1041" t="s">
        <v>1080</v>
      </c>
      <c r="D35" s="1041" t="s">
        <v>76</v>
      </c>
      <c r="E35" s="1039">
        <v>3051</v>
      </c>
      <c r="F35" s="1039" t="s">
        <v>155</v>
      </c>
      <c r="G35" s="1041" t="s">
        <v>8</v>
      </c>
    </row>
    <row r="36" spans="1:7" x14ac:dyDescent="0.25">
      <c r="A36" s="1057" t="s">
        <v>172</v>
      </c>
      <c r="B36" s="1041" t="s">
        <v>18</v>
      </c>
      <c r="C36" s="1041" t="s">
        <v>395</v>
      </c>
      <c r="D36" s="1041" t="s">
        <v>63</v>
      </c>
      <c r="E36" s="1039">
        <v>4120</v>
      </c>
      <c r="F36" s="1039" t="s">
        <v>172</v>
      </c>
      <c r="G36" s="1041" t="s">
        <v>18</v>
      </c>
    </row>
    <row r="37" spans="1:7" x14ac:dyDescent="0.25">
      <c r="A37" s="1057" t="s">
        <v>149</v>
      </c>
      <c r="B37" s="1041" t="s">
        <v>18</v>
      </c>
      <c r="C37" s="1041" t="s">
        <v>1206</v>
      </c>
      <c r="D37" s="1041" t="s">
        <v>68</v>
      </c>
      <c r="E37" s="1039">
        <v>3120</v>
      </c>
      <c r="F37" s="1039" t="s">
        <v>149</v>
      </c>
      <c r="G37" s="1041" t="s">
        <v>18</v>
      </c>
    </row>
    <row r="38" spans="1:7" x14ac:dyDescent="0.25">
      <c r="A38" s="1057" t="s">
        <v>159</v>
      </c>
      <c r="B38" s="1041" t="s">
        <v>13</v>
      </c>
      <c r="C38" s="1041" t="s">
        <v>387</v>
      </c>
      <c r="D38" s="1041" t="s">
        <v>21</v>
      </c>
      <c r="E38" s="1039">
        <v>2125</v>
      </c>
      <c r="F38" s="1039" t="s">
        <v>159</v>
      </c>
      <c r="G38" s="1041" t="s">
        <v>13</v>
      </c>
    </row>
    <row r="39" spans="1:7" x14ac:dyDescent="0.25">
      <c r="A39" s="1057" t="s">
        <v>140</v>
      </c>
      <c r="B39" s="1041" t="s">
        <v>8</v>
      </c>
      <c r="C39" s="1041" t="s">
        <v>1080</v>
      </c>
      <c r="D39" s="1041" t="s">
        <v>51</v>
      </c>
      <c r="E39" s="1039">
        <v>3147</v>
      </c>
      <c r="F39" s="1039" t="s">
        <v>140</v>
      </c>
      <c r="G39" s="1041" t="s">
        <v>8</v>
      </c>
    </row>
    <row r="40" spans="1:7" x14ac:dyDescent="0.25">
      <c r="A40" s="1057" t="s">
        <v>190</v>
      </c>
      <c r="B40" s="1041" t="s">
        <v>13</v>
      </c>
      <c r="C40" s="1041" t="s">
        <v>379</v>
      </c>
      <c r="D40" s="1041" t="s">
        <v>28</v>
      </c>
      <c r="E40" s="1039">
        <v>2160</v>
      </c>
      <c r="F40" s="1039" t="s">
        <v>190</v>
      </c>
      <c r="G40" s="1041" t="s">
        <v>13</v>
      </c>
    </row>
    <row r="41" spans="1:7" x14ac:dyDescent="0.25">
      <c r="A41" s="1057" t="s">
        <v>181</v>
      </c>
      <c r="B41" s="1041" t="s">
        <v>1436</v>
      </c>
      <c r="C41" s="1041" t="s">
        <v>199</v>
      </c>
      <c r="D41" s="1041" t="s">
        <v>39</v>
      </c>
      <c r="E41" s="1039">
        <v>2350</v>
      </c>
      <c r="F41" s="1039" t="s">
        <v>181</v>
      </c>
      <c r="G41" s="1041" t="s">
        <v>1436</v>
      </c>
    </row>
    <row r="42" spans="1:7" x14ac:dyDescent="0.25">
      <c r="A42" s="1057" t="s">
        <v>158</v>
      </c>
      <c r="B42" s="1041" t="s">
        <v>8</v>
      </c>
      <c r="C42" s="1041" t="s">
        <v>382</v>
      </c>
      <c r="D42" s="1041" t="s">
        <v>49</v>
      </c>
      <c r="E42" s="1039">
        <v>2230</v>
      </c>
      <c r="F42" s="1039" t="s">
        <v>158</v>
      </c>
      <c r="G42" s="1041" t="s">
        <v>8</v>
      </c>
    </row>
    <row r="43" spans="1:7" x14ac:dyDescent="0.25">
      <c r="A43" s="1057" t="s">
        <v>1081</v>
      </c>
      <c r="B43" s="1041" t="s">
        <v>8</v>
      </c>
      <c r="C43" s="1041" t="s">
        <v>382</v>
      </c>
      <c r="D43" s="1041" t="s">
        <v>1401</v>
      </c>
      <c r="E43" s="1039">
        <v>3040</v>
      </c>
      <c r="F43" s="1039" t="s">
        <v>1081</v>
      </c>
      <c r="G43" s="1041" t="s">
        <v>8</v>
      </c>
    </row>
    <row r="44" spans="1:7" x14ac:dyDescent="0.25">
      <c r="A44" s="1057" t="s">
        <v>375</v>
      </c>
      <c r="B44" s="1041" t="s">
        <v>8</v>
      </c>
      <c r="C44" s="1041" t="s">
        <v>383</v>
      </c>
      <c r="D44" s="1041" t="s">
        <v>243</v>
      </c>
      <c r="E44" s="1039">
        <v>3139</v>
      </c>
      <c r="F44" s="1039" t="s">
        <v>375</v>
      </c>
      <c r="G44" s="1041" t="s">
        <v>8</v>
      </c>
    </row>
    <row r="45" spans="1:7" x14ac:dyDescent="0.25">
      <c r="A45" s="1057" t="s">
        <v>150</v>
      </c>
      <c r="B45" s="1041" t="s">
        <v>1436</v>
      </c>
      <c r="C45" s="1041" t="s">
        <v>385</v>
      </c>
      <c r="D45" s="1041" t="s">
        <v>24</v>
      </c>
      <c r="E45" s="1039">
        <v>3170</v>
      </c>
      <c r="F45" s="1039" t="s">
        <v>150</v>
      </c>
      <c r="G45" s="1041" t="s">
        <v>1436</v>
      </c>
    </row>
    <row r="46" spans="1:7" x14ac:dyDescent="0.25">
      <c r="A46" s="1057" t="s">
        <v>135</v>
      </c>
      <c r="B46" s="1041" t="s">
        <v>1436</v>
      </c>
      <c r="C46" s="1041" t="s">
        <v>198</v>
      </c>
      <c r="D46" s="1041" t="s">
        <v>72</v>
      </c>
      <c r="E46" s="1039">
        <v>2360</v>
      </c>
      <c r="F46" s="1039" t="s">
        <v>135</v>
      </c>
      <c r="G46" s="1041" t="s">
        <v>1436</v>
      </c>
    </row>
    <row r="47" spans="1:7" x14ac:dyDescent="0.25">
      <c r="A47" s="1057" t="s">
        <v>164</v>
      </c>
      <c r="B47" s="1041" t="s">
        <v>13</v>
      </c>
      <c r="C47" s="1041" t="s">
        <v>378</v>
      </c>
      <c r="D47" s="1041" t="s">
        <v>27</v>
      </c>
      <c r="E47" s="1039">
        <v>3190</v>
      </c>
      <c r="F47" s="1039" t="s">
        <v>164</v>
      </c>
      <c r="G47" s="1041" t="s">
        <v>13</v>
      </c>
    </row>
    <row r="48" spans="1:7" x14ac:dyDescent="0.25">
      <c r="A48" s="1057" t="s">
        <v>184</v>
      </c>
      <c r="B48" s="1041" t="s">
        <v>13</v>
      </c>
      <c r="C48" s="1041" t="s">
        <v>378</v>
      </c>
      <c r="D48" s="1041" t="s">
        <v>59</v>
      </c>
      <c r="E48" s="1039">
        <v>2116</v>
      </c>
      <c r="F48" s="1039" t="s">
        <v>184</v>
      </c>
      <c r="G48" s="1041" t="s">
        <v>13</v>
      </c>
    </row>
    <row r="49" spans="1:7" x14ac:dyDescent="0.25">
      <c r="A49" s="1057" t="s">
        <v>170</v>
      </c>
      <c r="B49" s="1041" t="s">
        <v>18</v>
      </c>
      <c r="C49" s="1041" t="s">
        <v>396</v>
      </c>
      <c r="D49" s="1041" t="s">
        <v>54</v>
      </c>
      <c r="E49" s="1039">
        <v>4146</v>
      </c>
      <c r="F49" s="1039" t="s">
        <v>170</v>
      </c>
      <c r="G49" s="1041" t="s">
        <v>18</v>
      </c>
    </row>
    <row r="50" spans="1:7" x14ac:dyDescent="0.25">
      <c r="A50" s="1057" t="s">
        <v>1210</v>
      </c>
      <c r="B50" s="1041" t="s">
        <v>18</v>
      </c>
      <c r="C50" s="1041" t="s">
        <v>1208</v>
      </c>
      <c r="D50" s="1041" t="s">
        <v>1211</v>
      </c>
      <c r="E50" s="1039">
        <v>4135</v>
      </c>
      <c r="F50" s="1039" t="s">
        <v>1210</v>
      </c>
      <c r="G50" s="1041" t="s">
        <v>18</v>
      </c>
    </row>
    <row r="51" spans="1:7" x14ac:dyDescent="0.25">
      <c r="A51" s="1057" t="s">
        <v>187</v>
      </c>
      <c r="B51" s="1041" t="s">
        <v>13</v>
      </c>
      <c r="C51" s="1041" t="s">
        <v>379</v>
      </c>
      <c r="D51" s="1041" t="s">
        <v>122</v>
      </c>
      <c r="E51" s="1039">
        <v>2170</v>
      </c>
      <c r="F51" s="1039" t="s">
        <v>187</v>
      </c>
      <c r="G51" s="1041" t="s">
        <v>13</v>
      </c>
    </row>
    <row r="52" spans="1:7" x14ac:dyDescent="0.25">
      <c r="A52" s="1057" t="s">
        <v>157</v>
      </c>
      <c r="B52" s="1041" t="s">
        <v>8</v>
      </c>
      <c r="C52" s="1041" t="s">
        <v>388</v>
      </c>
      <c r="D52" s="1041" t="s">
        <v>7</v>
      </c>
      <c r="E52" s="1039">
        <v>3055</v>
      </c>
      <c r="F52" s="1039" t="s">
        <v>157</v>
      </c>
      <c r="G52" s="1041" t="s">
        <v>8</v>
      </c>
    </row>
    <row r="53" spans="1:7" x14ac:dyDescent="0.25">
      <c r="A53" s="1057" t="s">
        <v>1198</v>
      </c>
      <c r="B53" s="1041" t="s">
        <v>18</v>
      </c>
      <c r="C53" s="1041" t="s">
        <v>1199</v>
      </c>
      <c r="D53" s="1041" t="s">
        <v>1200</v>
      </c>
      <c r="E53" s="1039">
        <v>4210</v>
      </c>
      <c r="F53" s="1039" t="s">
        <v>1198</v>
      </c>
      <c r="G53" s="1041" t="s">
        <v>18</v>
      </c>
    </row>
    <row r="54" spans="1:7" x14ac:dyDescent="0.25">
      <c r="A54" s="1057" t="s">
        <v>161</v>
      </c>
      <c r="B54" s="1041" t="s">
        <v>8</v>
      </c>
      <c r="C54" s="1041" t="s">
        <v>386</v>
      </c>
      <c r="D54" s="1041" t="s">
        <v>16</v>
      </c>
      <c r="E54" s="1039">
        <v>2240</v>
      </c>
      <c r="F54" s="1039" t="s">
        <v>161</v>
      </c>
      <c r="G54" s="1041" t="s">
        <v>8</v>
      </c>
    </row>
    <row r="55" spans="1:7" x14ac:dyDescent="0.25">
      <c r="A55" s="1057" t="s">
        <v>166</v>
      </c>
      <c r="B55" s="1041" t="s">
        <v>18</v>
      </c>
      <c r="C55" s="1041" t="s">
        <v>393</v>
      </c>
      <c r="D55" s="1041" t="s">
        <v>73</v>
      </c>
      <c r="E55" s="1039">
        <v>4110</v>
      </c>
      <c r="F55" s="1039" t="s">
        <v>166</v>
      </c>
      <c r="G55" s="1041" t="s">
        <v>18</v>
      </c>
    </row>
    <row r="56" spans="1:7" x14ac:dyDescent="0.25">
      <c r="A56" s="1057" t="s">
        <v>153</v>
      </c>
      <c r="B56" s="1041" t="s">
        <v>8</v>
      </c>
      <c r="C56" s="1041" t="s">
        <v>1437</v>
      </c>
      <c r="D56" s="1041" t="s">
        <v>25</v>
      </c>
      <c r="E56" s="1039">
        <v>2135</v>
      </c>
      <c r="F56" s="1039" t="s">
        <v>153</v>
      </c>
      <c r="G56" s="1041" t="s">
        <v>8</v>
      </c>
    </row>
    <row r="57" spans="1:7" x14ac:dyDescent="0.25">
      <c r="A57" s="1057" t="s">
        <v>139</v>
      </c>
      <c r="B57" s="1041" t="s">
        <v>1436</v>
      </c>
      <c r="C57" s="1041" t="s">
        <v>197</v>
      </c>
      <c r="D57" s="1041" t="s">
        <v>47</v>
      </c>
      <c r="E57" s="1039">
        <v>3210</v>
      </c>
      <c r="F57" s="1039" t="s">
        <v>139</v>
      </c>
      <c r="G57" s="1041" t="s">
        <v>1436</v>
      </c>
    </row>
    <row r="58" spans="1:7" x14ac:dyDescent="0.25">
      <c r="A58" s="1057" t="s">
        <v>171</v>
      </c>
      <c r="B58" s="1041" t="s">
        <v>18</v>
      </c>
      <c r="C58" s="1041" t="s">
        <v>392</v>
      </c>
      <c r="D58" s="1041" t="s">
        <v>30</v>
      </c>
      <c r="E58" s="1039">
        <v>4118</v>
      </c>
      <c r="F58" s="1039" t="s">
        <v>171</v>
      </c>
      <c r="G58" s="1041" t="s">
        <v>18</v>
      </c>
    </row>
    <row r="59" spans="1:7" x14ac:dyDescent="0.25">
      <c r="A59" s="1057" t="s">
        <v>169</v>
      </c>
      <c r="B59" s="1041" t="s">
        <v>18</v>
      </c>
      <c r="C59" s="1041" t="s">
        <v>395</v>
      </c>
      <c r="D59" s="1041" t="s">
        <v>40</v>
      </c>
      <c r="E59" s="1039">
        <v>4140</v>
      </c>
      <c r="F59" s="1039" t="s">
        <v>169</v>
      </c>
      <c r="G59" s="1041" t="s">
        <v>18</v>
      </c>
    </row>
    <row r="60" spans="1:7" x14ac:dyDescent="0.25">
      <c r="A60" s="1057" t="s">
        <v>168</v>
      </c>
      <c r="B60" s="1041" t="s">
        <v>18</v>
      </c>
      <c r="C60" s="1041" t="s">
        <v>393</v>
      </c>
      <c r="D60" s="1041" t="s">
        <v>17</v>
      </c>
      <c r="E60" s="1039">
        <v>4117</v>
      </c>
      <c r="F60" s="1039" t="s">
        <v>168</v>
      </c>
      <c r="G60" s="1041" t="s">
        <v>18</v>
      </c>
    </row>
    <row r="61" spans="1:7" x14ac:dyDescent="0.25">
      <c r="A61" s="1057" t="s">
        <v>1201</v>
      </c>
      <c r="B61" s="1041" t="s">
        <v>18</v>
      </c>
      <c r="C61" s="1041" t="s">
        <v>75</v>
      </c>
      <c r="D61" s="1041" t="s">
        <v>1202</v>
      </c>
      <c r="E61" s="1039">
        <v>4170</v>
      </c>
      <c r="F61" s="1039" t="s">
        <v>1201</v>
      </c>
      <c r="G61" s="1041" t="s">
        <v>18</v>
      </c>
    </row>
    <row r="62" spans="1:7" x14ac:dyDescent="0.25">
      <c r="A62" s="1057" t="s">
        <v>167</v>
      </c>
      <c r="B62" s="1041" t="s">
        <v>18</v>
      </c>
      <c r="C62" s="1041" t="s">
        <v>75</v>
      </c>
      <c r="D62" s="1041" t="s">
        <v>1203</v>
      </c>
      <c r="E62" s="1039">
        <v>4147</v>
      </c>
      <c r="F62" s="1039" t="s">
        <v>167</v>
      </c>
      <c r="G62" s="1041" t="s">
        <v>18</v>
      </c>
    </row>
    <row r="63" spans="1:7" x14ac:dyDescent="0.25">
      <c r="A63" s="1057" t="s">
        <v>1204</v>
      </c>
      <c r="B63" s="1041" t="s">
        <v>18</v>
      </c>
      <c r="C63" s="1041" t="s">
        <v>1199</v>
      </c>
      <c r="D63" s="1041" t="s">
        <v>1205</v>
      </c>
      <c r="E63" s="1039">
        <v>4220</v>
      </c>
      <c r="F63" s="1039" t="s">
        <v>1204</v>
      </c>
      <c r="G63" s="1041" t="s">
        <v>18</v>
      </c>
    </row>
    <row r="64" spans="1:7" x14ac:dyDescent="0.25">
      <c r="A64" s="1057" t="s">
        <v>133</v>
      </c>
      <c r="B64" s="1041" t="s">
        <v>1436</v>
      </c>
      <c r="C64" s="1041" t="s">
        <v>197</v>
      </c>
      <c r="D64" s="1041" t="s">
        <v>44</v>
      </c>
      <c r="E64" s="1039">
        <v>3220</v>
      </c>
      <c r="F64" s="1039" t="s">
        <v>133</v>
      </c>
      <c r="G64" s="1041" t="s">
        <v>1436</v>
      </c>
    </row>
    <row r="65" spans="1:7" x14ac:dyDescent="0.25">
      <c r="A65" s="1057" t="s">
        <v>179</v>
      </c>
      <c r="B65" s="1041" t="s">
        <v>1436</v>
      </c>
      <c r="C65" s="1041" t="s">
        <v>194</v>
      </c>
      <c r="D65" s="1041" t="s">
        <v>31</v>
      </c>
      <c r="E65" s="1039">
        <v>2330</v>
      </c>
      <c r="F65" s="1039" t="s">
        <v>179</v>
      </c>
      <c r="G65" s="1041" t="s">
        <v>1436</v>
      </c>
    </row>
    <row r="66" spans="1:7" x14ac:dyDescent="0.25">
      <c r="A66" s="1057" t="s">
        <v>136</v>
      </c>
      <c r="B66" s="1041" t="s">
        <v>8</v>
      </c>
      <c r="C66" s="1041" t="s">
        <v>390</v>
      </c>
      <c r="D66" s="1041" t="s">
        <v>57</v>
      </c>
      <c r="E66" s="1039">
        <v>3103</v>
      </c>
      <c r="F66" s="1039" t="s">
        <v>136</v>
      </c>
      <c r="G66" s="1041" t="s">
        <v>8</v>
      </c>
    </row>
    <row r="67" spans="1:7" x14ac:dyDescent="0.25">
      <c r="A67" s="1057" t="s">
        <v>1212</v>
      </c>
      <c r="B67" s="1041" t="s">
        <v>18</v>
      </c>
      <c r="C67" s="1041" t="s">
        <v>1208</v>
      </c>
      <c r="D67" s="1041" t="s">
        <v>1213</v>
      </c>
      <c r="E67" s="1039">
        <v>4125</v>
      </c>
      <c r="F67" s="1039" t="s">
        <v>1212</v>
      </c>
      <c r="G67" s="1041" t="s">
        <v>18</v>
      </c>
    </row>
    <row r="68" spans="1:7" x14ac:dyDescent="0.25">
      <c r="A68" s="1057" t="s">
        <v>188</v>
      </c>
      <c r="B68" s="1041" t="s">
        <v>13</v>
      </c>
      <c r="C68" s="1041" t="s">
        <v>1437</v>
      </c>
      <c r="D68" s="1041" t="s">
        <v>81</v>
      </c>
      <c r="E68" s="1039">
        <v>2165</v>
      </c>
      <c r="F68" s="1039" t="s">
        <v>188</v>
      </c>
      <c r="G68" s="1041" t="s">
        <v>13</v>
      </c>
    </row>
    <row r="69" spans="1:7" x14ac:dyDescent="0.25">
      <c r="A69" s="1057" t="s">
        <v>143</v>
      </c>
      <c r="B69" s="1041" t="s">
        <v>13</v>
      </c>
      <c r="C69" s="1041" t="s">
        <v>1079</v>
      </c>
      <c r="D69" s="1041" t="s">
        <v>53</v>
      </c>
      <c r="E69" s="1039">
        <v>2185</v>
      </c>
      <c r="F69" s="1039" t="s">
        <v>143</v>
      </c>
      <c r="G69" s="1041" t="s">
        <v>13</v>
      </c>
    </row>
    <row r="70" spans="1:7" x14ac:dyDescent="0.25">
      <c r="A70" s="1057" t="s">
        <v>183</v>
      </c>
      <c r="B70" s="1041" t="s">
        <v>1436</v>
      </c>
      <c r="C70" s="1041" t="s">
        <v>194</v>
      </c>
      <c r="D70" s="1041" t="s">
        <v>1060</v>
      </c>
      <c r="E70" s="1039">
        <v>248</v>
      </c>
      <c r="F70" s="1039" t="s">
        <v>183</v>
      </c>
      <c r="G70" s="1041" t="s">
        <v>1436</v>
      </c>
    </row>
    <row r="71" spans="1:7" x14ac:dyDescent="0.25">
      <c r="A71" s="1057" t="s">
        <v>1082</v>
      </c>
      <c r="B71" s="1041" t="s">
        <v>13</v>
      </c>
      <c r="C71" s="1041" t="s">
        <v>1438</v>
      </c>
      <c r="D71" s="1041" t="s">
        <v>1439</v>
      </c>
      <c r="E71" s="1039">
        <v>2010</v>
      </c>
      <c r="F71" s="1039" t="s">
        <v>1082</v>
      </c>
      <c r="G71" s="1041" t="s">
        <v>13</v>
      </c>
    </row>
    <row r="72" spans="1:7" x14ac:dyDescent="0.25">
      <c r="A72" s="1057" t="s">
        <v>380</v>
      </c>
      <c r="B72" s="1041" t="s">
        <v>13</v>
      </c>
      <c r="C72" s="1041" t="s">
        <v>1438</v>
      </c>
      <c r="D72" s="1041" t="s">
        <v>1440</v>
      </c>
      <c r="E72" s="1039">
        <v>2030</v>
      </c>
      <c r="F72" s="1039" t="s">
        <v>380</v>
      </c>
      <c r="G72" s="1041" t="s">
        <v>13</v>
      </c>
    </row>
    <row r="73" spans="1:7" x14ac:dyDescent="0.25">
      <c r="A73" s="1057" t="s">
        <v>1073</v>
      </c>
      <c r="B73" s="1041" t="s">
        <v>1436</v>
      </c>
      <c r="C73" s="1041" t="s">
        <v>1438</v>
      </c>
      <c r="D73" s="1041" t="s">
        <v>1441</v>
      </c>
      <c r="E73" s="1039">
        <v>2375</v>
      </c>
      <c r="F73" s="1039" t="s">
        <v>1073</v>
      </c>
      <c r="G73" s="1041" t="s">
        <v>1436</v>
      </c>
    </row>
    <row r="74" spans="1:7" x14ac:dyDescent="0.25">
      <c r="A74" s="1057" t="s">
        <v>1074</v>
      </c>
      <c r="B74" s="1041" t="s">
        <v>1436</v>
      </c>
      <c r="C74" s="1041" t="s">
        <v>1438</v>
      </c>
      <c r="D74" s="1041" t="s">
        <v>1442</v>
      </c>
      <c r="E74" s="1039">
        <v>2355</v>
      </c>
      <c r="F74" s="1039" t="s">
        <v>1074</v>
      </c>
      <c r="G74" s="1041" t="s">
        <v>1436</v>
      </c>
    </row>
    <row r="75" spans="1:7" x14ac:dyDescent="0.25">
      <c r="A75" s="1057" t="s">
        <v>182</v>
      </c>
      <c r="B75" s="1041" t="s">
        <v>1436</v>
      </c>
      <c r="C75" s="1041" t="s">
        <v>1438</v>
      </c>
      <c r="D75" s="1041" t="s">
        <v>1443</v>
      </c>
      <c r="E75" s="1039">
        <v>2310</v>
      </c>
      <c r="F75" s="1039" t="s">
        <v>182</v>
      </c>
      <c r="G75" s="1041" t="s">
        <v>1436</v>
      </c>
    </row>
    <row r="76" spans="1:7" ht="15.75" thickBot="1" x14ac:dyDescent="0.3">
      <c r="A76" s="1058" t="s">
        <v>191</v>
      </c>
      <c r="B76" s="1042" t="s">
        <v>13</v>
      </c>
      <c r="C76" s="1042" t="s">
        <v>1438</v>
      </c>
      <c r="D76" s="1042" t="s">
        <v>1444</v>
      </c>
      <c r="E76" s="31">
        <v>2180</v>
      </c>
      <c r="F76" s="31" t="s">
        <v>191</v>
      </c>
      <c r="G76" s="1042" t="s">
        <v>13</v>
      </c>
    </row>
  </sheetData>
  <pageMargins left="0.7" right="0.7" top="0.75" bottom="0.75" header="0.3" footer="0.3"/>
  <pageSetup orientation="portrait" r:id="rId1"/>
  <headerFooter differentOddEven="1" differentFirst="1">
    <oddFooter>&amp;LClassification: &amp;"Microsoft Sans Serif,Bold"&amp;KEA4335Restricted&amp;"Microsoft Sans Serif,Regular"&amp;K000000 Contains PII: &amp;"Microsoft Sans Serif,Bold"No</oddFooter>
    <evenFooter>&amp;LClassification: &amp;"Microsoft Sans Serif,Bold"&amp;KEA4335Restricted&amp;"Microsoft Sans Serif,Regular"&amp;K000000 Contains PII: &amp;"Microsoft Sans Serif,Bold"No</evenFooter>
    <firstFooter>&amp;LClassification: &amp;"Microsoft Sans Serif,Bold"&amp;KEA4335Restricted&amp;"Microsoft Sans Serif,Regular"&amp;K000000 Contains PII: &amp;"Microsoft Sans Serif,Bold"No</first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SharedWithUsers xmlns="b867937b-c63d-4d4a-bfd0-acff1aa3cf92">
      <UserInfo>
        <DisplayName>Kleiman, Noah A</DisplayName>
        <AccountId>17</AccountId>
        <AccountType/>
      </UserInfo>
    </SharedWithUser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F51BDD057A98E4AA58101D97D065A06" ma:contentTypeVersion="13" ma:contentTypeDescription="Create a new document." ma:contentTypeScope="" ma:versionID="476137a8810be02ee121a8845b814d80">
  <xsd:schema xmlns:xsd="http://www.w3.org/2001/XMLSchema" xmlns:xs="http://www.w3.org/2001/XMLSchema" xmlns:p="http://schemas.microsoft.com/office/2006/metadata/properties" xmlns:ns2="ec4e0f00-b932-47d8-a2b6-8de0c738c35e" xmlns:ns3="b867937b-c63d-4d4a-bfd0-acff1aa3cf92" targetNamespace="http://schemas.microsoft.com/office/2006/metadata/properties" ma:root="true" ma:fieldsID="d56cab8816205c041e4d9a0129dac4ae" ns2:_="" ns3:_="">
    <xsd:import namespace="ec4e0f00-b932-47d8-a2b6-8de0c738c35e"/>
    <xsd:import namespace="b867937b-c63d-4d4a-bfd0-acff1aa3cf92"/>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2:MediaServiceLocation" minOccurs="0"/>
                <xsd:element ref="ns2:MediaServiceOCR" minOccurs="0"/>
                <xsd:element ref="ns3:SharedWithUsers" minOccurs="0"/>
                <xsd:element ref="ns3:SharedWithDetails" minOccurs="0"/>
                <xsd:element ref="ns2:MediaServiceEventHashCode" minOccurs="0"/>
                <xsd:element ref="ns2:MediaServiceGenerationTime" minOccurs="0"/>
                <xsd:element ref="ns2:MediaServiceAutoKeyPoints" minOccurs="0"/>
                <xsd:element ref="ns2:MediaServiceKeyPoints"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4e0f00-b932-47d8-a2b6-8de0c738c35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MediaServiceAutoTags" ma:internalName="MediaServiceAutoTags" ma:readOnly="true">
      <xsd:simpleType>
        <xsd:restriction base="dms:Text"/>
      </xsd:simpleType>
    </xsd:element>
    <xsd:element name="MediaServiceLocation" ma:index="12" nillable="true" ma:displayName="MediaServiceLocation" ma:internalName="MediaServiceLocation" ma:readOnly="true">
      <xsd:simpleType>
        <xsd:restriction base="dms:Text"/>
      </xsd:simpleType>
    </xsd:element>
    <xsd:element name="MediaServiceOCR" ma:index="13" nillable="true" ma:displayName="MediaServiceOCR" ma:internalName="MediaServiceOCR" ma:readOnly="true">
      <xsd:simpleType>
        <xsd:restriction base="dms:Note">
          <xsd:maxLength value="255"/>
        </xsd:restriction>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b867937b-c63d-4d4a-bfd0-acff1aa3cf92"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29F1842D-679D-49F2-9264-C4DA36BB1C57}">
  <ds:schemaRefs>
    <ds:schemaRef ds:uri="http://purl.org/dc/elements/1.1/"/>
    <ds:schemaRef ds:uri="http://schemas.microsoft.com/office/infopath/2007/PartnerControls"/>
    <ds:schemaRef ds:uri="http://purl.org/dc/dcmitype/"/>
    <ds:schemaRef ds:uri="716179ab-4cd5-4c78-8824-352fc1b9306c"/>
    <ds:schemaRef ds:uri="http://schemas.microsoft.com/office/2006/documentManagement/types"/>
    <ds:schemaRef ds:uri="http://purl.org/dc/terms/"/>
    <ds:schemaRef ds:uri="252c2097-f673-4bea-a55a-1cc1a310d5d7"/>
    <ds:schemaRef ds:uri="http://schemas.openxmlformats.org/package/2006/metadata/core-properties"/>
    <ds:schemaRef ds:uri="http://schemas.microsoft.com/office/2006/metadata/properties"/>
    <ds:schemaRef ds:uri="http://www.w3.org/XML/1998/namespace"/>
    <ds:schemaRef ds:uri="b867937b-c63d-4d4a-bfd0-acff1aa3cf92"/>
  </ds:schemaRefs>
</ds:datastoreItem>
</file>

<file path=customXml/itemProps2.xml><?xml version="1.0" encoding="utf-8"?>
<ds:datastoreItem xmlns:ds="http://schemas.openxmlformats.org/officeDocument/2006/customXml" ds:itemID="{46EC3AB8-1CB3-48B3-9854-EC0BA663952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4e0f00-b932-47d8-a2b6-8de0c738c35e"/>
    <ds:schemaRef ds:uri="b867937b-c63d-4d4a-bfd0-acff1aa3cf9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B154004-1900-4DBA-93D2-CDF74389684F}">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28</vt:i4>
      </vt:variant>
    </vt:vector>
  </HeadingPairs>
  <TitlesOfParts>
    <vt:vector size="56" baseType="lpstr">
      <vt:lpstr>EOA Form</vt:lpstr>
      <vt:lpstr>Welcome</vt:lpstr>
      <vt:lpstr>Customer Inputs</vt:lpstr>
      <vt:lpstr>PIM Model</vt:lpstr>
      <vt:lpstr>Incentives</vt:lpstr>
      <vt:lpstr>Variable Costs &amp; Income</vt:lpstr>
      <vt:lpstr>Tracking &amp; Profitability</vt:lpstr>
      <vt:lpstr>Required Info to Submit</vt:lpstr>
      <vt:lpstr>Mapping Sheet</vt:lpstr>
      <vt:lpstr>ALC Comparison</vt:lpstr>
      <vt:lpstr>Agreement Worksheet</vt:lpstr>
      <vt:lpstr>Pricing Schedule</vt:lpstr>
      <vt:lpstr>Incentive Setup</vt:lpstr>
      <vt:lpstr>MDA Worksheet</vt:lpstr>
      <vt:lpstr>PRIME Upload</vt:lpstr>
      <vt:lpstr>PRIME Headers</vt:lpstr>
      <vt:lpstr>Audit</vt:lpstr>
      <vt:lpstr>Modellable Customers</vt:lpstr>
      <vt:lpstr>HOS_Modellable Customers</vt:lpstr>
      <vt:lpstr>Existing Customers</vt:lpstr>
      <vt:lpstr>Existing Customer Variable Exp</vt:lpstr>
      <vt:lpstr>Customer Info</vt:lpstr>
      <vt:lpstr>Variable Selling</vt:lpstr>
      <vt:lpstr>Variable Div Avgs</vt:lpstr>
      <vt:lpstr>3zip</vt:lpstr>
      <vt:lpstr>4zip</vt:lpstr>
      <vt:lpstr>5zip</vt:lpstr>
      <vt:lpstr>Prospect Slot Assumptions</vt:lpstr>
      <vt:lpstr>'Existing Customers'!ExternalData_1</vt:lpstr>
      <vt:lpstr>'HOS_Modellable Customers'!ExternalData_1</vt:lpstr>
      <vt:lpstr>'Modellable Customers'!ExternalData_1</vt:lpstr>
      <vt:lpstr>'3zip'!ExternalData_2</vt:lpstr>
      <vt:lpstr>'4zip'!ExternalData_2</vt:lpstr>
      <vt:lpstr>'5zip'!ExternalData_2</vt:lpstr>
      <vt:lpstr>'Customer Info'!ExternalData_2</vt:lpstr>
      <vt:lpstr>'Existing Customer Variable Exp'!ExternalData_2</vt:lpstr>
      <vt:lpstr>'Variable Div Avgs'!ExternalData_2</vt:lpstr>
      <vt:lpstr>'Variable Selling'!ExternalData_2</vt:lpstr>
      <vt:lpstr>HOS</vt:lpstr>
      <vt:lpstr>IND</vt:lpstr>
      <vt:lpstr>'Customer Inputs'!Print_Area</vt:lpstr>
      <vt:lpstr>'Existing Customer Variable Exp'!Print_Area</vt:lpstr>
      <vt:lpstr>'Existing Customers'!Print_Area</vt:lpstr>
      <vt:lpstr>'HOS_Modellable Customers'!Print_Area</vt:lpstr>
      <vt:lpstr>'Incentive Setup'!Print_Area</vt:lpstr>
      <vt:lpstr>Incentives!Print_Area</vt:lpstr>
      <vt:lpstr>'MDA Worksheet'!Print_Area</vt:lpstr>
      <vt:lpstr>'Modellable Customers'!Print_Area</vt:lpstr>
      <vt:lpstr>'PIM Model'!Print_Area</vt:lpstr>
      <vt:lpstr>'PRIME Headers'!Print_Area</vt:lpstr>
      <vt:lpstr>'PRIME Upload'!Print_Area</vt:lpstr>
      <vt:lpstr>'Required Info to Submit'!Print_Area</vt:lpstr>
      <vt:lpstr>'Tracking &amp; Profitability'!Print_Area</vt:lpstr>
      <vt:lpstr>'Variable Costs &amp; Income'!Print_Area</vt:lpstr>
      <vt:lpstr>Welcome!Print_Area</vt:lpstr>
      <vt:lpstr>'MDA Worksheet'!Print_Titles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Kleiman, Noah A</dc:creator>
  <cp:lastModifiedBy>Prathima RM</cp:lastModifiedBy>
  <cp:lastPrinted>2019-08-09T13:48:53Z</cp:lastPrinted>
  <dcterms:created xsi:type="dcterms:W3CDTF">2017-05-14T21:09:52Z</dcterms:created>
  <dcterms:modified xsi:type="dcterms:W3CDTF">2022-01-04T12:47:12Z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0x010100EF51BDD057A98E4AA58101D97D065A06</vt:lpwstr>
  </property>
  <property fmtid="{D5CDD505-2E9C-101B-9397-08002B2CF9AE}" pid="3" name="TitusGUID">
    <vt:lpwstr>f59dd8c7-1b18-4545-bd84-62a7636ff062</vt:lpwstr>
  </property>
  <property fmtid="{D5CDD505-2E9C-101B-9397-08002B2CF9AE}" pid="4" name="Classification">
    <vt:lpwstr>LV_R3STR1CT3D</vt:lpwstr>
  </property>
  <property fmtid="{D5CDD505-2E9C-101B-9397-08002B2CF9AE}" pid="5" name="ContainsPII">
    <vt:lpwstr>No</vt:lpwstr>
  </property>
</Properties>
</file>