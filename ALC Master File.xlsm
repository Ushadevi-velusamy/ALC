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B020D53A-7DD9-4237-A508-6085A913D42A}" xr6:coauthVersionLast="45" xr6:coauthVersionMax="47" xr10:uidLastSave="{00000000-0000-0000-0000-000000000000}"/>
  <workbookProtection workbookAlgorithmName="SHA-512" workbookHashValue="gox/g7NpRUY2IjwERXeulHRLr8CYHdotgE8mXAkFSE4toDMUkwR/n5mQ1ruXaDkc2YtUvbRC0wWS6OiRNWvFuQ==" workbookSaltValue="wOANnmyY/4lDj83s/TiPqw==" workbookSpinCount="100000" lockStructure="1"/>
  <bookViews>
    <workbookView xWindow="-120" yWindow="-120" windowWidth="20730" windowHeight="11160" tabRatio="909" firstSheet="1" activeTab="7"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r:id="rId21"/>
    <sheet name="Existing Customers" sheetId="40" r:id="rId22"/>
    <sheet name="Existing Customer Variable Exp" sheetId="42" r:id="rId23"/>
    <sheet name="Customer Info" sheetId="77" r:id="rId24"/>
    <sheet name="Variable Selling" sheetId="30" r:id="rId25"/>
    <sheet name="Variable Div Avgs" sheetId="14" r:id="rId26"/>
    <sheet name="3zip" sheetId="50" r:id="rId27"/>
    <sheet name="4zip" sheetId="47" r:id="rId28"/>
    <sheet name="5zip" sheetId="37" r:id="rId29"/>
    <sheet name="Margin Quartiles" sheetId="34" state="veryHidden" r:id="rId30"/>
    <sheet name="IMargin Quartiles" sheetId="48" state="veryHidden" r:id="rId31"/>
    <sheet name="Lookups" sheetId="6" state="hidden" r:id="rId32"/>
    <sheet name="Market Geography" sheetId="38" state="veryHidden" r:id="rId33"/>
  </sheets>
  <externalReferences>
    <externalReference r:id="rId34"/>
  </externalReferences>
  <definedNames>
    <definedName name="_xlnm._FilterDatabase" localSheetId="26" hidden="1">'3zip'!$A$1:$F$2754</definedName>
    <definedName name="_xlnm._FilterDatabase" localSheetId="27" hidden="1">'4zip'!$A$1:$F$95</definedName>
    <definedName name="_xlnm._FilterDatabase" localSheetId="28"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0" hidden="1">'IMargin Quartiles'!$B$1:$C$106</definedName>
    <definedName name="_xlnm._FilterDatabase" localSheetId="31" hidden="1">Lookups!$E$1:$E$61</definedName>
    <definedName name="_xlnm._FilterDatabase" localSheetId="29"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1">'Existing Customers'!$A$1:$AC$12740</definedName>
    <definedName name="ExternalData_1" localSheetId="20">'HOS_Modellable Customers'!$A$1:$B$1053</definedName>
    <definedName name="ExternalData_1" localSheetId="19">'Modellable Customers'!$A$1:$B$916</definedName>
    <definedName name="ExternalData_2" localSheetId="26">'3zip'!$A$1:$F$30</definedName>
    <definedName name="ExternalData_2" localSheetId="27">'4zip'!$A$1:$F$93</definedName>
    <definedName name="ExternalData_2" localSheetId="28">'5zip'!$A$1:$F$374</definedName>
    <definedName name="ExternalData_2" localSheetId="23">'Customer Info'!$A$1:$F$6606</definedName>
    <definedName name="ExternalData_2" localSheetId="22">'Existing Customer Variable Exp'!$A$1:$F$1053</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Submit'!$C$2:$K$30</definedName>
    <definedName name="_xlnm.Print_Area" localSheetId="7">'Tracking &amp; Profitability'!$B$2:$O$36</definedName>
    <definedName name="_xlnm.Print_Area" localSheetId="6">'Variable Costs &amp; Income'!$B$2:$L$32</definedName>
    <definedName name="_xlnm.Print_Area" localSheetId="1">Welcome!$B$2:$E$25</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3" i="12" l="1"/>
  <c r="T1" i="12"/>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N49" i="64"/>
  <c r="O49" i="64"/>
  <c r="O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K36" i="70" s="1"/>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<sst xmlns="http://schemas.openxmlformats.org/spreadsheetml/2006/main" count="4402" uniqueCount="1329">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</sst>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9" fontId="21" fillId="3" borderId="3" xfId="3" applyNumberFormat="1" applyFont="1" applyFill="1" applyBorder="1" applyAlignment="1">
      <alignment horizontal="left"/>
    </xf>
    <xf numFmtId="176" fontId="4" fillId="0" borderId="9" xfId="1" applyNumberFormat="1" applyFont="1" applyBorder="1" applyAlignment="1">
      <alignment horizontal="center"/>
    </xf>
    <xf numFmtId="169" fontId="21" fillId="3" borderId="4" xfId="3" applyNumberFormat="1" applyFont="1" applyFill="1" applyBorder="1" applyAlignment="1">
      <alignment horizontal="left"/>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9" fontId="21" fillId="3" borderId="79" xfId="3" applyNumberFormat="1" applyFont="1" applyFill="1" applyBorder="1" applyAlignment="1">
      <alignment horizontal="left"/>
    </xf>
    <xf numFmtId="176"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5" fontId="0" fillId="7" borderId="9" xfId="0" applyNumberFormat="1" applyFill="1" applyBorder="1" applyAlignment="1" applyProtection="1">
      <alignment horizontal="center"/>
      <protection locked="0"/>
    </xf>
    <xf numFmtId="0" fontId="0" fillId="3" borderId="0" xfId="0" applyFill="1" applyAlignment="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8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9.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2" t="s">
        <v>790</v>
      </c>
      <c r="B1" s="1032"/>
      <c r="C1" s="1032"/>
      <c r="D1" s="1032"/>
      <c r="E1" s="1032"/>
    </row>
    <row r="2" spans="1:5" x14ac:dyDescent="0.25">
      <c r="A2" s="1032" t="s">
        <v>791</v>
      </c>
      <c r="B2" s="1032"/>
      <c r="C2" s="1032"/>
      <c r="D2" s="1032"/>
      <c r="E2" s="1032"/>
    </row>
    <row r="3" spans="1:5" x14ac:dyDescent="0.25">
      <c r="A3" s="77"/>
    </row>
    <row r="4" spans="1:5" ht="78" customHeight="1" x14ac:dyDescent="0.25">
      <c r="A4" s="1050" t="s">
        <v>792</v>
      </c>
      <c r="B4" s="1050"/>
      <c r="C4" s="1050"/>
      <c r="D4" s="1050"/>
      <c r="E4" s="1050"/>
    </row>
    <row r="5" spans="1:5" x14ac:dyDescent="0.25">
      <c r="A5" s="77"/>
    </row>
    <row r="6" spans="1:5" ht="31.5" customHeight="1" x14ac:dyDescent="0.25">
      <c r="A6" s="1049" t="s">
        <v>793</v>
      </c>
      <c r="B6" s="1049"/>
      <c r="C6" s="1049"/>
      <c r="D6" s="1049"/>
      <c r="E6" s="1049"/>
    </row>
    <row r="7" spans="1:5" ht="15.75" thickBot="1" x14ac:dyDescent="0.3">
      <c r="A7" s="78"/>
    </row>
    <row r="8" spans="1:5" ht="15" customHeight="1" x14ac:dyDescent="0.25">
      <c r="A8" s="1043" t="s">
        <v>794</v>
      </c>
      <c r="B8" s="1044"/>
      <c r="C8" s="1044"/>
      <c r="D8" s="1044"/>
      <c r="E8" s="1045"/>
    </row>
    <row r="9" spans="1:5" ht="15" customHeight="1" thickBot="1" x14ac:dyDescent="0.3">
      <c r="A9" s="1046" t="s">
        <v>795</v>
      </c>
      <c r="B9" s="1047"/>
      <c r="C9" s="1047"/>
      <c r="D9" s="1047"/>
      <c r="E9" s="1048"/>
    </row>
    <row r="10" spans="1:5" x14ac:dyDescent="0.25">
      <c r="A10" s="79"/>
      <c r="B10" s="1040"/>
      <c r="C10" s="1040"/>
      <c r="D10" s="83"/>
    </row>
    <row r="11" spans="1:5" ht="31.5" customHeight="1" thickBot="1" x14ac:dyDescent="0.3">
      <c r="A11" s="81" t="s">
        <v>796</v>
      </c>
      <c r="B11" s="1041" t="s">
        <v>797</v>
      </c>
      <c r="C11" s="1041"/>
      <c r="D11" s="83">
        <f>Welcome!$D$4</f>
        <v>0</v>
      </c>
    </row>
    <row r="12" spans="1:5" ht="15.75" thickBot="1" x14ac:dyDescent="0.3">
      <c r="A12" s="81" t="s">
        <v>798</v>
      </c>
      <c r="B12" s="1042">
        <f>'MDA Worksheet'!$R$18</f>
        <v>0</v>
      </c>
      <c r="C12" s="1042"/>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39"/>
      <c r="C17" s="1039"/>
      <c r="D17" s="1039"/>
      <c r="E17" s="1039"/>
    </row>
    <row r="18" spans="1:5" x14ac:dyDescent="0.25">
      <c r="A18" s="79"/>
      <c r="B18" s="122"/>
      <c r="C18" s="79"/>
      <c r="D18" s="122"/>
    </row>
    <row r="19" spans="1:5" ht="15.75" thickBot="1" x14ac:dyDescent="0.3">
      <c r="A19" s="81" t="s">
        <v>876</v>
      </c>
      <c r="B19" s="1039">
        <f>Welcome!$D$8</f>
        <v>0</v>
      </c>
      <c r="C19" s="1039"/>
      <c r="D19" s="1039"/>
      <c r="E19" s="1039"/>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0" customFormat="1" ht="15.75" thickBot="1" x14ac:dyDescent="0.3">
      <c r="A41" s="989"/>
    </row>
    <row r="42" spans="1:5" s="930" customFormat="1" ht="15.75" thickBot="1" x14ac:dyDescent="0.3">
      <c r="A42" s="1051" t="s">
        <v>1315</v>
      </c>
      <c r="B42" s="1052"/>
      <c r="C42" s="1052"/>
      <c r="D42" s="1052"/>
      <c r="E42" s="1053"/>
    </row>
    <row r="43" spans="1:5" s="930" customFormat="1" x14ac:dyDescent="0.25">
      <c r="A43" s="1060"/>
      <c r="B43" s="1061"/>
      <c r="C43" s="1061"/>
      <c r="D43" s="1061"/>
      <c r="E43" s="1062"/>
    </row>
    <row r="44" spans="1:5" s="930" customFormat="1" ht="15.75" thickBot="1" x14ac:dyDescent="0.3">
      <c r="A44" s="1063"/>
      <c r="B44" s="1064"/>
      <c r="C44" s="1064"/>
      <c r="D44" s="1064"/>
      <c r="E44" s="1065"/>
    </row>
    <row r="45" spans="1:5" s="930" customFormat="1" ht="15.75" thickBot="1" x14ac:dyDescent="0.3">
      <c r="A45" s="989"/>
    </row>
    <row r="46" spans="1:5" s="930" customFormat="1" ht="15.75" thickBot="1" x14ac:dyDescent="0.3">
      <c r="A46" s="1051" t="s">
        <v>1304</v>
      </c>
      <c r="B46" s="1052"/>
      <c r="C46" s="1052"/>
      <c r="D46" s="1052"/>
      <c r="E46" s="1053"/>
    </row>
    <row r="47" spans="1:5" s="930" customFormat="1" ht="15.75" x14ac:dyDescent="0.25">
      <c r="A47" s="990" t="s">
        <v>1305</v>
      </c>
      <c r="B47" s="991"/>
      <c r="C47" s="1002" t="s">
        <v>1306</v>
      </c>
      <c r="D47" s="992"/>
      <c r="E47" s="993"/>
    </row>
    <row r="48" spans="1:5" s="930" customFormat="1" ht="15" customHeight="1" x14ac:dyDescent="0.25">
      <c r="A48" s="990" t="s">
        <v>1307</v>
      </c>
      <c r="B48" s="991"/>
      <c r="C48" s="1003"/>
      <c r="D48" s="996" t="s">
        <v>1308</v>
      </c>
      <c r="E48" s="1004"/>
    </row>
    <row r="49" spans="1:5" s="930" customFormat="1" ht="15.75" x14ac:dyDescent="0.25">
      <c r="A49" s="990" t="s">
        <v>1309</v>
      </c>
      <c r="B49" s="991"/>
      <c r="C49" s="1003"/>
      <c r="D49" s="992" t="s">
        <v>1310</v>
      </c>
      <c r="E49" s="1004"/>
    </row>
    <row r="50" spans="1:5" s="930" customFormat="1" ht="15.75" x14ac:dyDescent="0.25">
      <c r="A50" s="990" t="s">
        <v>1311</v>
      </c>
      <c r="B50" s="991"/>
      <c r="C50" s="1003"/>
      <c r="D50" s="992"/>
      <c r="E50" s="993"/>
    </row>
    <row r="51" spans="1:5" s="930" customFormat="1" ht="15.75" x14ac:dyDescent="0.25">
      <c r="A51" s="990" t="s">
        <v>1312</v>
      </c>
      <c r="B51" s="991"/>
      <c r="C51" s="1003"/>
      <c r="D51" s="992" t="s">
        <v>1313</v>
      </c>
      <c r="E51" s="1004"/>
    </row>
    <row r="52" spans="1:5" s="930" customFormat="1" ht="15.75" x14ac:dyDescent="0.25">
      <c r="A52" s="990" t="s">
        <v>1314</v>
      </c>
      <c r="B52" s="991"/>
      <c r="C52" s="994"/>
      <c r="D52" s="991"/>
      <c r="E52" s="995"/>
    </row>
    <row r="53" spans="1:5" s="930" customFormat="1" x14ac:dyDescent="0.25">
      <c r="A53" s="1054"/>
      <c r="B53" s="1055"/>
      <c r="C53" s="1055"/>
      <c r="D53" s="1055"/>
      <c r="E53" s="1056"/>
    </row>
    <row r="54" spans="1:5" s="930" customFormat="1" ht="15.75" thickBot="1" x14ac:dyDescent="0.3">
      <c r="A54" s="1057"/>
      <c r="B54" s="1058"/>
      <c r="C54" s="1058"/>
      <c r="D54" s="1058"/>
      <c r="E54" s="1059"/>
    </row>
    <row r="55" spans="1:5" ht="15.75" thickBot="1" x14ac:dyDescent="0.3">
      <c r="A55" s="989"/>
      <c r="B55" s="930"/>
      <c r="C55" s="930"/>
      <c r="D55" s="930"/>
      <c r="E55" s="930"/>
    </row>
    <row r="56" spans="1:5" ht="30.75" customHeight="1" thickBot="1" x14ac:dyDescent="0.3">
      <c r="A56" s="1033" t="s">
        <v>806</v>
      </c>
      <c r="B56" s="1034"/>
      <c r="C56" s="1034"/>
      <c r="D56" s="1034"/>
      <c r="E56" s="1035"/>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6" t="s">
        <v>818</v>
      </c>
      <c r="B67" s="1037"/>
      <c r="C67" s="1037"/>
      <c r="D67" s="1037"/>
      <c r="E67" s="1038"/>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6" t="s">
        <v>1316</v>
      </c>
      <c r="B74" s="1027"/>
      <c r="C74" s="1027"/>
      <c r="D74" s="1027"/>
      <c r="E74" s="1028"/>
    </row>
    <row r="75" spans="1:5" ht="30.95" customHeight="1" thickBot="1" x14ac:dyDescent="0.3">
      <c r="A75" s="1000" t="s">
        <v>822</v>
      </c>
      <c r="B75" s="309"/>
      <c r="C75" s="997" t="s">
        <v>808</v>
      </c>
      <c r="D75" s="309"/>
    </row>
    <row r="76" spans="1:5" ht="30.95" customHeight="1" thickBot="1" x14ac:dyDescent="0.3">
      <c r="A76" s="1000" t="s">
        <v>1317</v>
      </c>
      <c r="B76" s="309"/>
      <c r="C76" s="997" t="s">
        <v>810</v>
      </c>
      <c r="D76" s="1001" t="s">
        <v>1318</v>
      </c>
    </row>
    <row r="77" spans="1:5" ht="15" customHeight="1" thickBot="1" x14ac:dyDescent="0.3">
      <c r="A77" s="998"/>
      <c r="B77" s="998"/>
      <c r="C77" s="999"/>
      <c r="D77" s="999"/>
      <c r="E77" s="999"/>
    </row>
    <row r="78" spans="1:5" ht="15.75" thickBot="1" x14ac:dyDescent="0.3">
      <c r="A78" s="1029" t="s">
        <v>821</v>
      </c>
      <c r="B78" s="1030"/>
      <c r="C78" s="1030"/>
      <c r="D78" s="1030"/>
      <c r="E78" s="1031"/>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29" t="s">
        <v>823</v>
      </c>
      <c r="B83" s="1030"/>
      <c r="C83" s="1030"/>
      <c r="D83" s="1030"/>
      <c r="E83" s="1031"/>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84" priority="7">
      <formula>NOT(ISBLANK(C48))</formula>
    </cfRule>
  </conditionalFormatting>
  <conditionalFormatting sqref="E48">
    <cfRule type="expression" dxfId="183" priority="6">
      <formula>NOT(ISBLANK(E48))</formula>
    </cfRule>
  </conditionalFormatting>
  <conditionalFormatting sqref="E49">
    <cfRule type="expression" dxfId="182" priority="5">
      <formula>NOT(ISBLANK(E49))</formula>
    </cfRule>
  </conditionalFormatting>
  <conditionalFormatting sqref="E51">
    <cfRule type="expression" dxfId="181" priority="4">
      <formula>NOT(ISBLANK(E51))</formula>
    </cfRule>
  </conditionalFormatting>
  <conditionalFormatting sqref="C49">
    <cfRule type="expression" dxfId="180" priority="3">
      <formula>NOT(ISBLANK(C49))</formula>
    </cfRule>
  </conditionalFormatting>
  <conditionalFormatting sqref="C50">
    <cfRule type="expression" dxfId="179" priority="2">
      <formula>NOT(ISBLANK(C50))</formula>
    </cfRule>
  </conditionalFormatting>
  <conditionalFormatting sqref="C51">
    <cfRule type="expression" dxfId="178"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zoomScale="110" zoomScaleNormal="110" workbookViewId="0">
      <selection activeCell="D14" sqref="D14"/>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66" t="s">
        <v>1283</v>
      </c>
      <c r="D3" s="1067"/>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f>'Existing Customers'!$L$2</f>
        <v>0</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1"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6"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1241</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8"/>
      <c r="D9" s="818"/>
      <c r="E9" s="384"/>
      <c r="F9" s="147"/>
      <c r="G9" s="140"/>
      <c r="H9" s="140"/>
      <c r="I9" s="140"/>
      <c r="J9" s="140"/>
      <c r="K9" s="140"/>
      <c r="L9" s="140"/>
      <c r="M9" s="140"/>
      <c r="N9" s="140"/>
      <c r="O9" s="140"/>
      <c r="P9" s="140"/>
      <c r="Q9" s="140"/>
      <c r="R9" s="140"/>
      <c r="S9" s="140"/>
      <c r="T9" s="140"/>
      <c r="U9" s="140" t="s">
        <v>1240</v>
      </c>
      <c r="V9" s="140">
        <f>D8</f>
        <v>0</v>
      </c>
      <c r="W9" s="140"/>
      <c r="X9" s="140"/>
      <c r="Y9" s="140"/>
    </row>
    <row r="10" spans="1:25" hidden="1" x14ac:dyDescent="0.25">
      <c r="A10" s="147"/>
      <c r="B10" s="402"/>
      <c r="C10" s="388" t="s">
        <v>1242</v>
      </c>
      <c r="D10" s="389" t="s">
        <v>681</v>
      </c>
      <c r="E10" s="384"/>
      <c r="F10" s="147"/>
      <c r="G10" s="140"/>
      <c r="H10" s="140"/>
      <c r="I10" s="140"/>
      <c r="J10" s="140"/>
      <c r="K10" s="140"/>
      <c r="L10" s="140"/>
      <c r="M10" s="140"/>
      <c r="N10" s="140"/>
      <c r="O10" s="140"/>
      <c r="P10" s="140"/>
      <c r="Q10" s="140"/>
      <c r="R10" s="140"/>
      <c r="S10" s="140"/>
      <c r="T10" s="140"/>
      <c r="U10" s="140" t="s">
        <v>1239</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1"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77" t="s">
        <v>1181</v>
      </c>
      <c r="C19" s="1078"/>
      <c r="D19" s="1078"/>
      <c r="E19" s="1079"/>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68"/>
      <c r="C20" s="1069"/>
      <c r="D20" s="1069"/>
      <c r="E20" s="1070"/>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71"/>
      <c r="C21" s="1072"/>
      <c r="D21" s="1072"/>
      <c r="E21" s="1073"/>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71"/>
      <c r="C22" s="1072"/>
      <c r="D22" s="1072"/>
      <c r="E22" s="1073"/>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71"/>
      <c r="C23" s="1072"/>
      <c r="D23" s="1072"/>
      <c r="E23" s="1073"/>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71"/>
      <c r="C24" s="1072"/>
      <c r="D24" s="1072"/>
      <c r="E24" s="1073"/>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74"/>
      <c r="C25" s="1075"/>
      <c r="D25" s="1075"/>
      <c r="E25" s="1076"/>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80" t="s">
        <v>1225</v>
      </c>
      <c r="C27" s="1081"/>
      <c r="D27" s="1081"/>
      <c r="E27" s="1082"/>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68"/>
      <c r="C28" s="1069"/>
      <c r="D28" s="1069"/>
      <c r="E28" s="1070"/>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71"/>
      <c r="C29" s="1072"/>
      <c r="D29" s="1072"/>
      <c r="E29" s="1073"/>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71"/>
      <c r="C30" s="1072"/>
      <c r="D30" s="1072"/>
      <c r="E30" s="1073"/>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71"/>
      <c r="C31" s="1072"/>
      <c r="D31" s="1072"/>
      <c r="E31" s="1073"/>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71"/>
      <c r="C32" s="1072"/>
      <c r="D32" s="1072"/>
      <c r="E32" s="1073"/>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74"/>
      <c r="C33" s="1075"/>
      <c r="D33" s="1075"/>
      <c r="E33" s="1076"/>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h43A92r5l+oOLEISuPhB4octqWfwqvTR2Le/8T/s0QjVpYQf/wzQ+cM6ch4zqfHce/Qlzhzs0SDWviahzI8LTA==" saltValue="cKQamZvoyoV285+U3mkDmQ==" spinCount="100000" sheet="1" objects="1" scenarios="1" selectLockedCells="1"/>
  <mergeCells count="5">
    <mergeCell ref="C3:D3"/>
    <mergeCell ref="B20:E25"/>
    <mergeCell ref="B19:E19"/>
    <mergeCell ref="B27:E27"/>
    <mergeCell ref="B28:E33"/>
  </mergeCells>
  <conditionalFormatting sqref="B27:E33">
    <cfRule type="expression" dxfId="177"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83" t="s">
        <v>959</v>
      </c>
      <c r="G2" s="1083"/>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7"/>
      <c r="G3" s="817"/>
      <c r="H3" s="817"/>
      <c r="I3" s="1096" t="str">
        <f>IF(AI4&gt;0,"HYBRID DEALS WITH HOSPITALITY AND INDEPENDENT RESTAURANT CUSTOMERS ARE CURRENTLY NOT ALLOWED IN ALC. PLEASE REMOVE THE CUSTOMER NUMBER!","")</f>
        <v/>
      </c>
      <c r="J3" s="1096"/>
      <c r="K3" s="1096"/>
      <c r="L3" s="818"/>
      <c r="M3" s="1084" t="str">
        <f>IF(COUNTIFS($M$6:$M$15,"&gt;0")&lt;$C$4,"Must Enter Expected Sales for All Locations","")</f>
        <v/>
      </c>
      <c r="N3" s="1084"/>
      <c r="O3" s="1084"/>
      <c r="P3" s="817"/>
      <c r="Q3" s="817"/>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9"/>
      <c r="G4" s="819"/>
      <c r="H4" s="819"/>
      <c r="I4" s="819"/>
      <c r="J4" s="819"/>
      <c r="K4" s="819"/>
      <c r="L4" s="1085" t="str">
        <f>IF(COUNTIFS($M$6:$M$15,"&gt;0")&lt;$C$4,"VVVVV","")</f>
        <v/>
      </c>
      <c r="M4" s="1085"/>
      <c r="N4" s="1085"/>
      <c r="O4" s="817"/>
      <c r="P4" s="817"/>
      <c r="Q4" s="820"/>
      <c r="R4" s="681"/>
      <c r="S4" s="140"/>
      <c r="T4" s="140"/>
      <c r="U4" s="140"/>
      <c r="V4" s="140"/>
      <c r="W4" s="140"/>
      <c r="Z4" s="2"/>
      <c r="AA4" s="140"/>
      <c r="AC4" s="140"/>
      <c r="AD4" s="140"/>
      <c r="AE4" s="140"/>
      <c r="AF4" s="483">
        <f>Welcome!D6</f>
        <v>0</v>
      </c>
      <c r="AG4" s="483"/>
      <c r="AH4" s="483"/>
      <c r="AI4" s="810">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6" t="s">
        <v>954</v>
      </c>
      <c r="I5" s="706" t="s">
        <v>1089</v>
      </c>
      <c r="J5" s="706" t="s">
        <v>951</v>
      </c>
      <c r="K5" s="706" t="s">
        <v>952</v>
      </c>
      <c r="L5" s="707" t="s">
        <v>955</v>
      </c>
      <c r="M5" s="827" t="s">
        <v>960</v>
      </c>
      <c r="N5" s="828" t="s">
        <v>1090</v>
      </c>
      <c r="O5" s="828" t="s">
        <v>938</v>
      </c>
      <c r="P5" s="828" t="s">
        <v>209</v>
      </c>
      <c r="Q5" s="829"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1" t="str">
        <f>IF($C$4&gt;=$C6,IF(SUMIF('Existing Customers'!$A:$A,'Customer Inputs'!$G6,'Existing Customers'!$Q:$Q)=0,"Enter Spend&gt;&gt;&gt;",ROUND(SUMIF('Existing Customers'!$A:$A,'Customer Inputs'!$G6,'Existing Customers'!$Q:$Q),0)),"")</f>
        <v/>
      </c>
      <c r="I6" s="812" t="str">
        <f>IF($F6="","",'Multi-Customer'!$AU47)</f>
        <v/>
      </c>
      <c r="J6" s="813" t="str">
        <f>IF($F6="","",IFERROR(VLOOKUP($G6,'Existing Customers'!$A:$F,6,FALSE),"Enter Menu Type&gt;&gt;"))</f>
        <v/>
      </c>
      <c r="K6" s="814" t="str">
        <f>IFERROR(IF($C$4&gt;=$C6,VLOOKUP($G6,'Existing Customers'!$A:$J,10,FALSE),""),"Enter Zip Code &gt;")</f>
        <v/>
      </c>
      <c r="L6" s="825" t="str">
        <f>IF($F6="","",'Multi-Customer'!$AU48)</f>
        <v/>
      </c>
      <c r="M6" s="832"/>
      <c r="N6" s="685"/>
      <c r="O6" s="833"/>
      <c r="P6" s="834"/>
      <c r="Q6" s="835"/>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8" t="str">
        <f>IFERROR(IF($C$4&gt;=$C7,VLOOKUP($G7,'Existing Customers'!$A:$J,10,FALSE),""),"Enter Zip Code &gt;")</f>
        <v/>
      </c>
      <c r="L7" s="826" t="str">
        <f>IF($F7="","",'Multi-Customer'!$BD48)</f>
        <v/>
      </c>
      <c r="M7" s="836"/>
      <c r="N7" s="686"/>
      <c r="O7" s="830"/>
      <c r="P7" s="831"/>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8" t="str">
        <f>IFERROR(IF($C$4&gt;=$C8,VLOOKUP($G8,'Existing Customers'!$A:$J,10,FALSE),""),"Enter Zip Code &gt;")</f>
        <v/>
      </c>
      <c r="L8" s="826" t="str">
        <f>IF($F8="","",'Multi-Customer'!$BM48)</f>
        <v/>
      </c>
      <c r="M8" s="836"/>
      <c r="N8" s="686"/>
      <c r="O8" s="830"/>
      <c r="P8" s="831"/>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8" t="str">
        <f>IFERROR(IF($C$4&gt;=$C9,VLOOKUP($G9,'Existing Customers'!$A:$J,10,FALSE),""),"Enter Zip Code &gt;")</f>
        <v/>
      </c>
      <c r="L9" s="826" t="str">
        <f>IF($F9="","",'Multi-Customer'!$BV48)</f>
        <v/>
      </c>
      <c r="M9" s="836"/>
      <c r="N9" s="686"/>
      <c r="O9" s="830"/>
      <c r="P9" s="831"/>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8" t="str">
        <f>IFERROR(IF($C$4&gt;=$C10,VLOOKUP($G10,'Existing Customers'!$A:$J,10,FALSE),""),"Enter Zip Code &gt;")</f>
        <v/>
      </c>
      <c r="L10" s="826" t="str">
        <f>IF($F10="","",'Multi-Customer'!$CE48)</f>
        <v/>
      </c>
      <c r="M10" s="836"/>
      <c r="N10" s="686"/>
      <c r="O10" s="830"/>
      <c r="P10" s="831"/>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8" t="str">
        <f>IFERROR(IF($C$4&gt;=$C11,VLOOKUP($G11,'Existing Customers'!$A:$J,10,FALSE),""),"Enter Zip Code &gt;")</f>
        <v/>
      </c>
      <c r="L11" s="826" t="str">
        <f>IF($F11="","",'Multi-Customer'!$CN48)</f>
        <v/>
      </c>
      <c r="M11" s="836"/>
      <c r="N11" s="686"/>
      <c r="O11" s="830"/>
      <c r="P11" s="831"/>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8" t="str">
        <f>IFERROR(IF($C$4&gt;=$C12,VLOOKUP($G12,'Existing Customers'!$A:$J,10,FALSE),""),"Enter Zip Code &gt;")</f>
        <v/>
      </c>
      <c r="L12" s="826" t="str">
        <f>IF($F12="","",'Multi-Customer'!$CW48)</f>
        <v/>
      </c>
      <c r="M12" s="836"/>
      <c r="N12" s="686"/>
      <c r="O12" s="830"/>
      <c r="P12" s="831"/>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8" t="str">
        <f>IFERROR(IF($C$4&gt;=$C13,VLOOKUP($G13,'Existing Customers'!$A:$J,10,FALSE),""),"Enter Zip Code &gt;")</f>
        <v/>
      </c>
      <c r="L13" s="826" t="str">
        <f>IF($F13="","",'Multi-Customer'!$DF48)</f>
        <v/>
      </c>
      <c r="M13" s="836"/>
      <c r="N13" s="686"/>
      <c r="O13" s="830"/>
      <c r="P13" s="831"/>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8" t="str">
        <f>IFERROR(IF($C$4&gt;=$C14,VLOOKUP($G14,'Existing Customers'!$A:$J,10,FALSE),""),"Enter Zip Code &gt;")</f>
        <v/>
      </c>
      <c r="L14" s="826" t="str">
        <f>IF($F14="","",'Multi-Customer'!$DO48)</f>
        <v/>
      </c>
      <c r="M14" s="836"/>
      <c r="N14" s="686"/>
      <c r="O14" s="830"/>
      <c r="P14" s="831"/>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5"/>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9" t="str">
        <f>IFERROR(IF($C$4&gt;=$C15,VLOOKUP($G15,'Existing Customers'!$A:$J,10,FALSE),""),"Enter Zip Code &gt;")</f>
        <v/>
      </c>
      <c r="L15" s="822" t="str">
        <f>IF($F15="","",'Multi-Customer'!$DX48)</f>
        <v/>
      </c>
      <c r="M15" s="837"/>
      <c r="N15" s="687"/>
      <c r="O15" s="838"/>
      <c r="P15" s="839"/>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7"/>
      <c r="G16" s="817"/>
      <c r="H16" s="821"/>
      <c r="I16" s="817"/>
      <c r="J16" s="817"/>
      <c r="K16" s="817"/>
      <c r="L16" s="817"/>
      <c r="M16" s="817"/>
      <c r="N16" s="817"/>
      <c r="O16" s="817"/>
      <c r="P16" s="817"/>
      <c r="Q16" s="817"/>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7"/>
      <c r="G17" s="1088" t="s">
        <v>958</v>
      </c>
      <c r="H17" s="1086">
        <f>SUM($H$6:$H$15)</f>
        <v>0</v>
      </c>
      <c r="I17" s="817"/>
      <c r="J17" s="817"/>
      <c r="K17" s="1090" t="s">
        <v>957</v>
      </c>
      <c r="L17" s="1091"/>
      <c r="M17" s="1086">
        <f>SUMIF($F$6:$F$15,"&gt;0",$M$6:$M$15)</f>
        <v>0</v>
      </c>
      <c r="N17" s="1094"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95"/>
      <c r="P17" s="817"/>
      <c r="Q17" s="817"/>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7"/>
      <c r="G18" s="1089"/>
      <c r="H18" s="1087"/>
      <c r="I18" s="817"/>
      <c r="J18" s="817"/>
      <c r="K18" s="1092"/>
      <c r="L18" s="1093"/>
      <c r="M18" s="1087"/>
      <c r="N18" s="1094"/>
      <c r="O18" s="1095"/>
      <c r="P18" s="817"/>
      <c r="Q18" s="817"/>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76" priority="13">
      <formula>$H6&lt;&gt;"Enter Spend&gt;&gt;&gt;"</formula>
    </cfRule>
  </conditionalFormatting>
  <conditionalFormatting sqref="G6:G15">
    <cfRule type="notContainsBlanks" dxfId="175" priority="10">
      <formula>LEN(TRIM(G6))&gt;0</formula>
    </cfRule>
    <cfRule type="expression" dxfId="174" priority="11">
      <formula>$F6&lt;&gt;""</formula>
    </cfRule>
  </conditionalFormatting>
  <conditionalFormatting sqref="L6:L15 I6:I15">
    <cfRule type="expression" dxfId="173" priority="9">
      <formula>N6&lt;&gt;""</formula>
    </cfRule>
  </conditionalFormatting>
  <conditionalFormatting sqref="M6:Q15">
    <cfRule type="expression" dxfId="172" priority="14">
      <formula>$F6=""</formula>
    </cfRule>
    <cfRule type="notContainsBlanks" dxfId="171" priority="15">
      <formula>LEN(TRIM(M6))&gt;0</formula>
    </cfRule>
  </conditionalFormatting>
  <conditionalFormatting sqref="P6:P15">
    <cfRule type="expression" dxfId="170" priority="7">
      <formula>$R6="Zip Code Not Serviced"</formula>
    </cfRule>
  </conditionalFormatting>
  <conditionalFormatting sqref="I3:K3">
    <cfRule type="expression" dxfId="169" priority="3">
      <formula>$AI$4&gt;0</formula>
    </cfRule>
  </conditionalFormatting>
  <conditionalFormatting sqref="H6:L15">
    <cfRule type="expression" dxfId="168" priority="2">
      <formula>$AI6="FLAG"</formula>
    </cfRule>
  </conditionalFormatting>
  <conditionalFormatting sqref="M6:Q15">
    <cfRule type="expression" dxfId="167"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4" zoomScale="80" zoomScaleNormal="80" zoomScaleSheetLayoutView="80" workbookViewId="0">
      <selection activeCell="I35" sqref="I35"/>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100" t="e">
        <f>VLOOKUP($H$4,'Market Geography'!$D:$G,4,FALSE)</f>
        <v>#N/A</v>
      </c>
      <c r="I3" s="1101"/>
      <c r="J3" s="1101"/>
      <c r="K3" s="1102"/>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7">
        <f>Welcome!$D$4</f>
        <v>0</v>
      </c>
      <c r="I4" s="1098"/>
      <c r="J4" s="1098"/>
      <c r="K4" s="1099"/>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7" t="str">
        <f>'Multi-Customer'!$M$47</f>
        <v>Enter Customer(s)</v>
      </c>
      <c r="I5" s="1098"/>
      <c r="J5" s="1098"/>
      <c r="K5" s="1099"/>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7" t="str">
        <f>'Multi-Customer'!$M$83</f>
        <v>MULTIPLE MENU TYPES</v>
      </c>
      <c r="I6" s="1098"/>
      <c r="J6" s="1098"/>
      <c r="K6" s="1099"/>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103" t="s">
        <v>211</v>
      </c>
      <c r="I7" s="1104"/>
      <c r="J7" s="1104"/>
      <c r="K7" s="1105"/>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3"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4"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4"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4"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4"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4"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4"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4"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4"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4"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4"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4"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08" t="s">
        <v>119</v>
      </c>
      <c r="H33" s="1109"/>
      <c r="I33" s="517" t="e">
        <f>IF($E$3="MDA",'PIM Ranges'!$AX$7,'PIM Ranges'!$BJ$7)</f>
        <v>#DIV/0!</v>
      </c>
      <c r="J33" s="140"/>
      <c r="K33" s="1110" t="str">
        <f>IF(COUNTIF($AB$10:$AB$30,"ERROR")&lt;1,"",IF(COUNTIF($AB$10:$AB$30,"ERROR")&lt;2,(COUNTIF($AB$10:$AB$30,"ERROR")&amp;" Margin Missing Above"),(COUNTIF($AB$10:$AB$30,"ERROR")&amp;" Margins Missing Above")))</f>
        <v/>
      </c>
      <c r="L33" s="111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06" t="s">
        <v>505</v>
      </c>
      <c r="H34" s="1107"/>
      <c r="I34" s="513">
        <f>J31</f>
        <v>0</v>
      </c>
      <c r="J34" s="140"/>
      <c r="K34" s="1110" t="str">
        <f>IF(COUNTIFS($L$10:$L$30,"X",$AF$10:$AF$30,"BELOW")&lt;1,"",IF(COUNTIFS($L$10:$L$30,"X",$AF$10:$AF$30,"BELOW")&lt;2,(COUNTIFS($L$10:$L$30,"X",$AF$10:$AF$30,"BELOW")&amp;" Margin Below Minimum"),(COUNTIFS($L$10:$L$30,"X",$AF$10:$AF$30,"BELOW")&amp;" Margins Below Minimum")))</f>
        <v/>
      </c>
      <c r="L34" s="111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06" t="s">
        <v>506</v>
      </c>
      <c r="H35" s="1107"/>
      <c r="I35" s="514" t="str">
        <f>IFERROR(I34/G31,"")</f>
        <v/>
      </c>
      <c r="K35" s="1110" t="str">
        <f>IF(COUNTIFS($L$10:$L$30,"X",$AF$10:$AF$30,"ABOVE")&lt;1,"",IF(COUNTIFS($L$10:$L$30,"X",$AF$10:$AF$30,"ABOVE")&lt;2,(COUNTIFS($L$10:$L$30,"X",$AF$10:$AF$30,"ABOVE")&amp;" Margin Above Maximum"),(COUNTIFS($L$10:$L$30,"X",$AF$10:$AF$30,"ABOVE")&amp;" Margins Above Maximum")))</f>
        <v/>
      </c>
      <c r="L35" s="111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06"/>
      <c r="H36" s="1107"/>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06" t="str">
        <f>IFERROR(IF(I35&gt;I33,"","Below Recommended TAGP: "),"")</f>
        <v/>
      </c>
      <c r="H37" s="1107"/>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06"/>
      <c r="H38" s="1107"/>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06" t="s">
        <v>507</v>
      </c>
      <c r="H39" s="1107"/>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11" t="s">
        <v>508</v>
      </c>
      <c r="H40" s="1112"/>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23"/>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23"/>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13"/>
      <c r="G52" s="1113"/>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13"/>
      <c r="G53" s="1113"/>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13"/>
      <c r="G54" s="1113"/>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da9mzVdxqj2/sM8a0QLdyKRBWQtDMnTV2QRO9I0U6sK/M5C6XaJnK8VDKVogbQQYYVZRMJa4luW/w203pbKV8g==" saltValue="ipGHqkbW8QjPZcRQNl654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66" priority="20">
      <formula>$D10&lt;&gt;"%"</formula>
    </cfRule>
  </conditionalFormatting>
  <conditionalFormatting sqref="B10:J30">
    <cfRule type="expression" dxfId="165" priority="14">
      <formula>$E10="EXCLUDE"</formula>
    </cfRule>
  </conditionalFormatting>
  <conditionalFormatting sqref="O8:O30">
    <cfRule type="expression" dxfId="164" priority="16">
      <formula>$E$3="Incentive Only"</formula>
    </cfRule>
  </conditionalFormatting>
  <conditionalFormatting sqref="Q8:Q30">
    <cfRule type="expression" dxfId="163" priority="15">
      <formula>$E$3="Incentive Only"</formula>
    </cfRule>
  </conditionalFormatting>
  <conditionalFormatting sqref="K9:K30">
    <cfRule type="expression" dxfId="162" priority="5">
      <formula>$E$3="Incentive Only"</formula>
    </cfRule>
  </conditionalFormatting>
  <conditionalFormatting sqref="L10:L30">
    <cfRule type="expression" dxfId="161" priority="6">
      <formula>$AF10="ABOVE"</formula>
    </cfRule>
  </conditionalFormatting>
  <conditionalFormatting sqref="I35">
    <cfRule type="expression" dxfId="160" priority="76">
      <formula>$K$36&gt;0</formula>
    </cfRule>
    <cfRule type="expression" dxfId="159" priority="77">
      <formula>$I$35&lt;$I$33</formula>
    </cfRule>
    <cfRule type="expression" dxfId="158" priority="78">
      <formula>$I$35&gt;$I$33</formula>
    </cfRule>
  </conditionalFormatting>
  <conditionalFormatting sqref="D10:D30">
    <cfRule type="expression" dxfId="157" priority="17">
      <formula>$E$3="Incentive Only"</formula>
    </cfRule>
  </conditionalFormatting>
  <conditionalFormatting sqref="K10:K30">
    <cfRule type="expression" dxfId="156" priority="4">
      <formula>$D10&lt;&gt;"%"</formula>
    </cfRule>
  </conditionalFormatting>
  <conditionalFormatting sqref="K27">
    <cfRule type="expression" dxfId="155" priority="2">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E72" sqref="E72"/>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100" t="e">
        <f>VLOOKUP($L$4,'Market Geography'!$D:$G,4,FALSE)</f>
        <v>#N/A</v>
      </c>
      <c r="M3" s="1101" t="e">
        <f>IF(#REF!="New Business",#REF!,#REF!)</f>
        <v>#REF!</v>
      </c>
      <c r="N3" s="1102"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7">
        <f>Welcome!$D$4</f>
        <v>0</v>
      </c>
      <c r="M4" s="1098"/>
      <c r="N4" s="1099"/>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7" t="str">
        <f>'Multi-Customer'!$M$47</f>
        <v>Enter Customer(s)</v>
      </c>
      <c r="M5" s="1098"/>
      <c r="N5" s="1099"/>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7" t="str">
        <f>'Multi-Customer'!$M$83</f>
        <v>MULTIPLE MENU TYPES</v>
      </c>
      <c r="M6" s="1098"/>
      <c r="N6" s="1099"/>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24" t="s">
        <v>211</v>
      </c>
      <c r="M7" s="1125"/>
      <c r="N7" s="1126"/>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4">
        <f>IFERROR('PIM Model'!$G$31,0)</f>
        <v>0</v>
      </c>
      <c r="I9" s="1115"/>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2">
        <f>IFERROR('PIM Model'!$G$32,0)</f>
        <v>0</v>
      </c>
      <c r="I10" s="1123"/>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6"/>
      <c r="H12" s="1117"/>
      <c r="I12" s="197"/>
      <c r="J12" s="1121"/>
      <c r="K12" s="1121"/>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1243</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1253</v>
      </c>
      <c r="H14" s="807"/>
      <c r="I14" s="434" t="s">
        <v>1094</v>
      </c>
      <c r="J14" s="151"/>
      <c r="K14" s="435" t="str">
        <f>IF(I14="Credit Memo","Individual Customers",IF(I14="Check","Corp Check | AP number needed",""))</f>
        <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70"/>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1">
        <v>0.01</v>
      </c>
      <c r="J18" s="1118" t="str">
        <f>IF($E$15="YES","**Tier 1 used for modeling purposes**","")</f>
        <v/>
      </c>
      <c r="K18" s="1119"/>
      <c r="L18" s="1120"/>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1">
        <v>1.4999999999999999E-2</v>
      </c>
      <c r="J19" s="151"/>
      <c r="K19" s="1128" t="str">
        <f>IF($I$21&gt;0,"**Warning: You have entered an incentive payout above the recommended 3%**","")</f>
        <v/>
      </c>
      <c r="L19" s="151"/>
      <c r="M19" s="1008"/>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1">
        <v>0.02</v>
      </c>
      <c r="J20" s="151"/>
      <c r="K20" s="1128"/>
      <c r="L20" s="151"/>
      <c r="M20" s="1008"/>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1243</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1253</v>
      </c>
      <c r="H25" s="711"/>
      <c r="I25" s="434" t="s">
        <v>1094</v>
      </c>
      <c r="J25" s="151"/>
      <c r="K25" s="435" t="str">
        <f>IF(I25="Credit Memo","Individual Customers",IF(I25="Check","Corp Check | AP number needed",""))</f>
        <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70">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1">
        <v>0.01</v>
      </c>
      <c r="J29" s="1118" t="str">
        <f>IF($E$26="YES","**Tier 1 used for modeling purposes**","")</f>
        <v/>
      </c>
      <c r="K29" s="1119"/>
      <c r="L29" s="1120"/>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1">
        <v>1.4999999999999999E-2</v>
      </c>
      <c r="J30" s="151"/>
      <c r="K30" s="1128" t="str">
        <f>IF($I$32&gt;0,"**Warning: You have entered an incentive payout above the recommended 3%**","")</f>
        <v/>
      </c>
      <c r="L30" s="151"/>
      <c r="M30" s="1008"/>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1">
        <v>0.02</v>
      </c>
      <c r="J31" s="44"/>
      <c r="K31" s="1128"/>
      <c r="L31" s="44"/>
      <c r="M31" s="1008"/>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1243</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1253</v>
      </c>
      <c r="H36" s="711"/>
      <c r="I36" s="434" t="s">
        <v>1094</v>
      </c>
      <c r="J36" s="151"/>
      <c r="K36" s="435" t="str">
        <f>IF(I36="Credit Memo","Individual Customers",IF(I36="Check","Corp Check | AP number needed",""))</f>
        <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70">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1">
        <v>0.01</v>
      </c>
      <c r="J40" s="1118" t="str">
        <f>IF($E$37="YES","**Tier 1 payout used for modeling purposes**","")</f>
        <v/>
      </c>
      <c r="K40" s="1119"/>
      <c r="L40" s="1120"/>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1">
        <v>1.4999999999999999E-2</v>
      </c>
      <c r="J41" s="260"/>
      <c r="K41" s="44"/>
      <c r="L41" s="201"/>
      <c r="M41" s="1008"/>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1">
        <v>0.02</v>
      </c>
      <c r="J42" s="260"/>
      <c r="K42" s="44"/>
      <c r="L42" s="201"/>
      <c r="M42" s="1008"/>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1243</v>
      </c>
      <c r="H46" s="201"/>
      <c r="I46" s="259" t="s">
        <v>923</v>
      </c>
      <c r="J46" s="44"/>
      <c r="K46" s="259" t="s">
        <v>904</v>
      </c>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1244</v>
      </c>
      <c r="E47" s="44"/>
      <c r="F47" s="151"/>
      <c r="G47" s="434" t="s">
        <v>1253</v>
      </c>
      <c r="H47" s="201"/>
      <c r="I47" s="434" t="s">
        <v>1094</v>
      </c>
      <c r="J47" s="151"/>
      <c r="K47" s="435" t="str">
        <f>IF(I47="Credit Memo","Individual Customers",IF(I47="Check","Corp Check | AP number needed",""))</f>
        <v/>
      </c>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1245</v>
      </c>
      <c r="H49" s="201"/>
      <c r="I49" s="259" t="s">
        <v>1246</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3">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1243</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1253</v>
      </c>
      <c r="H55" s="201"/>
      <c r="I55" s="434" t="s">
        <v>1094</v>
      </c>
      <c r="J55" s="151"/>
      <c r="K55" s="435" t="str">
        <f>IF(I55="Credit Memo","Individual Customers",IF(I55="Check","Corp Check | AP number needed",""))</f>
        <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1319</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0"/>
      <c r="H58" s="201"/>
      <c r="I58" s="693"/>
      <c r="J58" s="260"/>
      <c r="K58" s="950"/>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7" t="s">
        <v>556</v>
      </c>
      <c r="H63" s="201"/>
      <c r="I63" s="920" t="s">
        <v>1094</v>
      </c>
      <c r="J63" s="151"/>
      <c r="K63" s="435" t="str">
        <f>IF(I63="Credit Memo","Corp Credit Memo",IF(I63="Check","Corp Check | AP number needed",""))</f>
        <v/>
      </c>
      <c r="L63" s="201"/>
      <c r="M63" s="963"/>
      <c r="N63" s="275"/>
      <c r="O63" s="186"/>
      <c r="Q63" s="763"/>
    </row>
    <row r="64" spans="2:27" s="908" customFormat="1" x14ac:dyDescent="0.25">
      <c r="B64" s="185"/>
      <c r="C64" s="274"/>
      <c r="D64" s="204" t="s">
        <v>553</v>
      </c>
      <c r="E64" s="73" t="s">
        <v>556</v>
      </c>
      <c r="F64" s="151"/>
      <c r="G64" s="201"/>
      <c r="H64" s="201"/>
      <c r="I64" s="1131"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32"/>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32"/>
      <c r="J66" s="212"/>
      <c r="K66" s="949"/>
      <c r="L66" s="201"/>
      <c r="M66" s="213">
        <f>IFERROR(IF($E$64="YES",K66/$G$4,0),0)</f>
        <v>0</v>
      </c>
      <c r="N66" s="275"/>
      <c r="O66" s="186"/>
      <c r="Q66" s="913"/>
    </row>
    <row r="67" spans="2:17" s="183" customFormat="1" ht="11.45" customHeight="1" x14ac:dyDescent="0.25">
      <c r="B67" s="281"/>
      <c r="C67" s="215"/>
      <c r="D67" s="221"/>
      <c r="E67" s="221"/>
      <c r="F67" s="923"/>
      <c r="G67" s="923"/>
      <c r="H67" s="221"/>
      <c r="I67" s="1133"/>
      <c r="J67" s="221"/>
      <c r="K67" s="221"/>
      <c r="L67" s="221"/>
      <c r="M67" s="221"/>
      <c r="N67" s="282"/>
      <c r="O67" s="283"/>
    </row>
    <row r="68" spans="2:17" s="945" customFormat="1" ht="10.15" customHeight="1" x14ac:dyDescent="0.25">
      <c r="B68" s="185"/>
      <c r="C68" s="184"/>
      <c r="D68" s="184"/>
      <c r="E68" s="184"/>
      <c r="F68" s="227"/>
      <c r="G68" s="264"/>
      <c r="H68" s="184"/>
      <c r="I68" s="265"/>
      <c r="J68" s="231"/>
      <c r="K68" s="232"/>
      <c r="L68" s="184"/>
      <c r="M68" s="232"/>
      <c r="N68" s="278"/>
      <c r="O68" s="186"/>
      <c r="Q68" s="763"/>
    </row>
    <row r="69" spans="2:17" s="945" customFormat="1" ht="9" customHeight="1" x14ac:dyDescent="0.25">
      <c r="B69" s="185"/>
      <c r="C69" s="279"/>
      <c r="D69" s="194"/>
      <c r="E69" s="194"/>
      <c r="F69" s="235"/>
      <c r="G69" s="266"/>
      <c r="H69" s="194"/>
      <c r="I69" s="267"/>
      <c r="J69" s="238"/>
      <c r="K69" s="239"/>
      <c r="L69" s="194"/>
      <c r="M69" s="239"/>
      <c r="N69" s="280"/>
      <c r="O69" s="186"/>
      <c r="Q69" s="763"/>
    </row>
    <row r="70" spans="2:17" s="953" customFormat="1" ht="17.45" customHeight="1" x14ac:dyDescent="0.25">
      <c r="B70" s="185"/>
      <c r="C70" s="274"/>
      <c r="D70" s="1134" t="s">
        <v>1291</v>
      </c>
      <c r="E70" s="958"/>
      <c r="F70" s="957"/>
      <c r="G70" s="259" t="s">
        <v>1292</v>
      </c>
      <c r="H70" s="958"/>
      <c r="I70" s="259" t="s">
        <v>923</v>
      </c>
      <c r="J70" s="959"/>
      <c r="K70" s="259" t="s">
        <v>1290</v>
      </c>
      <c r="L70" s="958"/>
      <c r="M70" s="259" t="s">
        <v>1302</v>
      </c>
      <c r="N70" s="275"/>
      <c r="O70" s="186"/>
      <c r="Q70" s="763"/>
    </row>
    <row r="71" spans="2:17" s="953" customFormat="1" ht="17.45" customHeight="1" x14ac:dyDescent="0.25">
      <c r="B71" s="185"/>
      <c r="C71" s="274"/>
      <c r="D71" s="1135"/>
      <c r="E71" s="201"/>
      <c r="F71" s="957"/>
      <c r="G71" s="966"/>
      <c r="H71" s="958"/>
      <c r="I71" s="434" t="s">
        <v>1094</v>
      </c>
      <c r="J71" s="959"/>
      <c r="K71" s="966"/>
      <c r="L71" s="958"/>
      <c r="M71" s="213"/>
      <c r="N71" s="275"/>
      <c r="O71" s="186"/>
      <c r="Q71" s="763"/>
    </row>
    <row r="72" spans="2:17" s="953" customFormat="1" ht="14.45" customHeight="1" x14ac:dyDescent="0.25">
      <c r="B72" s="185"/>
      <c r="C72" s="274"/>
      <c r="D72" s="204" t="s">
        <v>553</v>
      </c>
      <c r="E72" s="73" t="s">
        <v>554</v>
      </c>
      <c r="F72" s="957"/>
      <c r="G72" s="960"/>
      <c r="H72" s="958"/>
      <c r="I72" s="267"/>
      <c r="J72" s="959"/>
      <c r="K72" s="239"/>
      <c r="L72" s="958"/>
      <c r="M72" s="1138" t="str">
        <f>IF($M$71&gt;=10000,"The amount entered is $10,000 or above. This model can be submitted but will require additional approved before the agreement can be generated. Business Context will need to be provided","")</f>
        <v/>
      </c>
      <c r="N72" s="1139"/>
      <c r="O72" s="186"/>
      <c r="Q72" s="763"/>
    </row>
    <row r="73" spans="2:17" s="945" customFormat="1" ht="34.5" customHeight="1" x14ac:dyDescent="0.25">
      <c r="B73" s="185"/>
      <c r="C73" s="274"/>
      <c r="D73" s="1137" t="s">
        <v>1320</v>
      </c>
      <c r="E73" s="1137"/>
      <c r="F73" s="957"/>
      <c r="G73" s="1136" t="s">
        <v>1321</v>
      </c>
      <c r="H73" s="1136"/>
      <c r="I73" s="1136"/>
      <c r="J73" s="1136"/>
      <c r="K73" s="1136"/>
      <c r="L73" s="201"/>
      <c r="M73" s="1138"/>
      <c r="N73" s="1139"/>
      <c r="O73" s="186"/>
      <c r="Q73" s="763"/>
    </row>
    <row r="74" spans="2:17" s="945" customFormat="1" ht="16.5" customHeight="1" x14ac:dyDescent="0.25">
      <c r="B74" s="185"/>
      <c r="C74" s="274"/>
      <c r="D74" s="201"/>
      <c r="E74" s="151"/>
      <c r="F74" s="921"/>
      <c r="G74" s="956" t="s">
        <v>1287</v>
      </c>
      <c r="H74" s="209"/>
      <c r="I74" s="6" t="s">
        <v>1288</v>
      </c>
      <c r="J74" s="201"/>
      <c r="K74" s="259" t="s">
        <v>1286</v>
      </c>
      <c r="L74" s="201"/>
      <c r="M74" s="6" t="s">
        <v>509</v>
      </c>
      <c r="N74" s="275"/>
      <c r="O74" s="186"/>
      <c r="Q74" s="763"/>
    </row>
    <row r="75" spans="2:17" s="945" customFormat="1" ht="18" customHeight="1" x14ac:dyDescent="0.25">
      <c r="B75" s="185"/>
      <c r="C75" s="274"/>
      <c r="D75" s="201"/>
      <c r="E75" s="201"/>
      <c r="F75" s="922" t="s">
        <v>1216</v>
      </c>
      <c r="G75" s="947"/>
      <c r="H75" s="212"/>
      <c r="I75" s="948"/>
      <c r="J75" s="201"/>
      <c r="K75" s="964"/>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7" t="s">
        <v>1254</v>
      </c>
      <c r="H80" s="201"/>
      <c r="I80" s="434" t="s">
        <v>1094</v>
      </c>
      <c r="J80" s="151"/>
      <c r="K80" s="435" t="str">
        <f>IF(I80="Credit Memo","Individual Customers",IF(I80="Check","Corp Check | AP number needed",""))</f>
        <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49">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27" t="s">
        <v>1227</v>
      </c>
      <c r="G87" s="1127"/>
      <c r="H87" s="151"/>
      <c r="I87" s="259" t="s">
        <v>923</v>
      </c>
      <c r="J87" s="151"/>
      <c r="K87" s="259" t="s">
        <v>904</v>
      </c>
      <c r="L87" s="151"/>
      <c r="M87" s="151"/>
      <c r="N87" s="790"/>
      <c r="O87" s="283"/>
    </row>
    <row r="88" spans="2:20" s="183" customFormat="1" ht="18" customHeight="1" x14ac:dyDescent="0.25">
      <c r="B88" s="281"/>
      <c r="C88" s="199"/>
      <c r="D88" s="257" t="s">
        <v>1106</v>
      </c>
      <c r="E88" s="151"/>
      <c r="F88" s="1127"/>
      <c r="G88" s="1127"/>
      <c r="H88" s="151"/>
      <c r="I88" s="434" t="s">
        <v>1094</v>
      </c>
      <c r="J88" s="151"/>
      <c r="K88" s="435" t="str">
        <f>IF(I88="Credit Memo","Individual Customers",IF(I88="Check","Corp Check | AP number needed",""))</f>
        <v/>
      </c>
      <c r="L88" s="151"/>
      <c r="M88" s="151"/>
      <c r="N88" s="790"/>
      <c r="O88" s="283"/>
    </row>
    <row r="89" spans="2:20" s="183" customFormat="1" x14ac:dyDescent="0.25">
      <c r="B89" s="281"/>
      <c r="C89" s="199"/>
      <c r="D89" s="204" t="s">
        <v>553</v>
      </c>
      <c r="E89" s="73" t="s">
        <v>556</v>
      </c>
      <c r="F89" s="1127"/>
      <c r="G89" s="1127"/>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1"/>
      <c r="H91" s="151"/>
      <c r="I91" s="151"/>
      <c r="J91" s="151"/>
      <c r="K91" s="241"/>
      <c r="L91" s="201"/>
      <c r="M91" s="213">
        <f>IFERROR(IF($E89="YES",$G$91*$H$10,0),0)</f>
        <v>0</v>
      </c>
      <c r="N91" s="790"/>
      <c r="O91" s="283"/>
    </row>
    <row r="92" spans="2:20" s="183" customFormat="1" ht="11.45" customHeight="1" x14ac:dyDescent="0.25">
      <c r="B92" s="281"/>
      <c r="C92" s="215"/>
      <c r="D92" s="221"/>
      <c r="E92" s="221"/>
      <c r="F92" s="221"/>
      <c r="G92" s="988"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29"/>
      <c r="D98" s="1129"/>
      <c r="I98" s="724"/>
      <c r="L98" s="5"/>
      <c r="M98" s="1130"/>
      <c r="N98" s="1130"/>
      <c r="P98"/>
    </row>
  </sheetData>
  <sheetProtection algorithmName="SHA-512" hashValue="pFELqsOMb2bmpp7wwt2sNhcYaouGiH+8cK3v8VLp/P5GUc9QIxroSb4tbSIV1FL8Gl14fOuqBfQD3APzeqppLg==" saltValue="erMPxbmoP3Yc/ozJsY7exg=="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53" priority="43">
      <formula>$M$97&gt;0</formula>
    </cfRule>
    <cfRule type="cellIs" dxfId="152" priority="65" operator="lessThan">
      <formula>$N$96</formula>
    </cfRule>
    <cfRule type="cellIs" dxfId="151" priority="66" operator="greaterThan">
      <formula>$N$96</formula>
    </cfRule>
  </conditionalFormatting>
  <conditionalFormatting sqref="G18:G20 I18:I20 I14">
    <cfRule type="expression" dxfId="150" priority="56">
      <formula>$E$15="YES"</formula>
    </cfRule>
  </conditionalFormatting>
  <conditionalFormatting sqref="I29:I31 I25 G29:G31">
    <cfRule type="expression" dxfId="149" priority="55">
      <formula>$E$26="YES"</formula>
    </cfRule>
  </conditionalFormatting>
  <conditionalFormatting sqref="K83 I80">
    <cfRule type="expression" dxfId="148" priority="53">
      <formula>$E$81="YES"</formula>
    </cfRule>
  </conditionalFormatting>
  <conditionalFormatting sqref="K58 I55">
    <cfRule type="expression" dxfId="147" priority="51">
      <formula>$E$56="YES"</formula>
    </cfRule>
  </conditionalFormatting>
  <conditionalFormatting sqref="I36 G40:G42 I39:I42">
    <cfRule type="expression" dxfId="146" priority="47">
      <formula>$E$37="YES"</formula>
    </cfRule>
  </conditionalFormatting>
  <conditionalFormatting sqref="G58">
    <cfRule type="expression" dxfId="145" priority="49">
      <formula>$E$56="YES"</formula>
    </cfRule>
  </conditionalFormatting>
  <conditionalFormatting sqref="I88">
    <cfRule type="expression" dxfId="144" priority="40">
      <formula>$E$89="YES"</formula>
    </cfRule>
  </conditionalFormatting>
  <conditionalFormatting sqref="G80">
    <cfRule type="expression" dxfId="143" priority="31">
      <formula>$E$81="YES"</formula>
    </cfRule>
  </conditionalFormatting>
  <conditionalFormatting sqref="G14">
    <cfRule type="expression" dxfId="142" priority="27">
      <formula>$E$15="YES"</formula>
    </cfRule>
  </conditionalFormatting>
  <conditionalFormatting sqref="G47 I47 G50 I50">
    <cfRule type="expression" dxfId="141" priority="24">
      <formula>$E$48="YES"</formula>
    </cfRule>
  </conditionalFormatting>
  <conditionalFormatting sqref="K66 I63">
    <cfRule type="expression" dxfId="140" priority="22">
      <formula>$E$64="YES"</formula>
    </cfRule>
  </conditionalFormatting>
  <conditionalFormatting sqref="G63">
    <cfRule type="expression" dxfId="139" priority="21">
      <formula>$E$64="YES"</formula>
    </cfRule>
  </conditionalFormatting>
  <conditionalFormatting sqref="G25">
    <cfRule type="expression" dxfId="138" priority="18">
      <formula>$E$26="YES"</formula>
    </cfRule>
  </conditionalFormatting>
  <conditionalFormatting sqref="G36">
    <cfRule type="expression" dxfId="137" priority="17">
      <formula>$E$37="YES"</formula>
    </cfRule>
  </conditionalFormatting>
  <conditionalFormatting sqref="G55">
    <cfRule type="expression" dxfId="136" priority="16">
      <formula>$E$56="YES"</formula>
    </cfRule>
  </conditionalFormatting>
  <conditionalFormatting sqref="G91">
    <cfRule type="expression" dxfId="135" priority="11">
      <formula>$E$89="YES"</formula>
    </cfRule>
  </conditionalFormatting>
  <conditionalFormatting sqref="K71 I71 G75 K75 I75">
    <cfRule type="expression" dxfId="134" priority="119">
      <formula>$E$72="YES"</formula>
    </cfRule>
  </conditionalFormatting>
  <conditionalFormatting sqref="G71">
    <cfRule type="expression" dxfId="133" priority="6">
      <formula>$E$72="YES"</formula>
    </cfRule>
  </conditionalFormatting>
  <conditionalFormatting sqref="I64">
    <cfRule type="expression" dxfId="132" priority="120">
      <formula>$K$66+$K$71&gt;=10000</formula>
    </cfRule>
  </conditionalFormatting>
  <conditionalFormatting sqref="M72">
    <cfRule type="expression" dxfId="13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10" t="s">
        <v>1324</v>
      </c>
      <c r="B1" t="s">
        <v>1322</v>
      </c>
      <c r="C1" t="s">
        <v>132</v>
      </c>
    </row>
    <row r="2" spans="1:3" x14ac:dyDescent="0.25">
      <c r="A2" t="s">
        <v>1106</v>
      </c>
      <c r="B2">
        <v>50</v>
      </c>
      <c r="C2" t="s">
        <v>1323</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42" t="s">
        <v>215</v>
      </c>
      <c r="D2" s="1142"/>
      <c r="E2" s="1142"/>
      <c r="F2" s="557"/>
      <c r="G2" s="179"/>
      <c r="H2" s="179"/>
      <c r="I2" s="179"/>
      <c r="J2" s="179"/>
      <c r="K2" s="179"/>
      <c r="L2" s="182"/>
    </row>
    <row r="3" spans="2:23" x14ac:dyDescent="0.25">
      <c r="B3" s="185"/>
      <c r="C3" s="1151" t="s">
        <v>381</v>
      </c>
      <c r="D3" s="1152"/>
      <c r="E3" s="425">
        <f>Welcome!$D$8</f>
        <v>0</v>
      </c>
      <c r="F3" s="429"/>
      <c r="G3" s="523" t="s">
        <v>110</v>
      </c>
      <c r="H3" s="1147" t="str">
        <f>IFERROR(VLOOKUP($H$4,'Market Geography'!$D:$G,4,FALSE),"Select Market")</f>
        <v>Select Market</v>
      </c>
      <c r="I3" s="1147"/>
      <c r="J3" s="1147"/>
      <c r="K3" s="1148"/>
      <c r="L3" s="186"/>
    </row>
    <row r="4" spans="2:23" x14ac:dyDescent="0.25">
      <c r="B4" s="185"/>
      <c r="C4" s="1153" t="s">
        <v>216</v>
      </c>
      <c r="D4" s="1154"/>
      <c r="E4" s="393">
        <f>Welcome!$D$12</f>
        <v>0</v>
      </c>
      <c r="F4" s="558"/>
      <c r="G4" s="524" t="s">
        <v>120</v>
      </c>
      <c r="H4" s="1149">
        <f>Welcome!$D$4</f>
        <v>0</v>
      </c>
      <c r="I4" s="1149"/>
      <c r="J4" s="1149"/>
      <c r="K4" s="1150"/>
      <c r="L4" s="186"/>
    </row>
    <row r="5" spans="2:23" x14ac:dyDescent="0.25">
      <c r="B5" s="185"/>
      <c r="C5" s="1153" t="s">
        <v>202</v>
      </c>
      <c r="D5" s="1154"/>
      <c r="E5" s="149">
        <f>'PIM Model'!$G$31</f>
        <v>0</v>
      </c>
      <c r="F5" s="559"/>
      <c r="G5" s="524" t="s">
        <v>107</v>
      </c>
      <c r="H5" s="1149" t="str">
        <f>'Multi-Customer'!$M$47</f>
        <v>Enter Customer(s)</v>
      </c>
      <c r="I5" s="1149"/>
      <c r="J5" s="1149"/>
      <c r="K5" s="1150"/>
      <c r="L5" s="186"/>
    </row>
    <row r="6" spans="2:23" x14ac:dyDescent="0.25">
      <c r="B6" s="185"/>
      <c r="C6" s="1153" t="s">
        <v>493</v>
      </c>
      <c r="D6" s="1154"/>
      <c r="E6" s="150">
        <f>'PIM Model'!$E$6</f>
        <v>0</v>
      </c>
      <c r="F6" s="429"/>
      <c r="G6" s="524" t="s">
        <v>410</v>
      </c>
      <c r="H6" s="1149" t="str">
        <f>'Multi-Customer'!$M$83</f>
        <v>MULTIPLE MENU TYPES</v>
      </c>
      <c r="I6" s="1149"/>
      <c r="J6" s="1149"/>
      <c r="K6" s="1150"/>
      <c r="L6" s="186"/>
      <c r="R6" s="560"/>
    </row>
    <row r="7" spans="2:23" ht="15.75" thickBot="1" x14ac:dyDescent="0.3">
      <c r="B7" s="185"/>
      <c r="C7" s="1159" t="s">
        <v>547</v>
      </c>
      <c r="D7" s="1160"/>
      <c r="E7" s="426">
        <f>IFERROR('PIM Ranges'!$AU$3,0)</f>
        <v>0</v>
      </c>
      <c r="F7" s="184"/>
      <c r="G7" s="525" t="s">
        <v>225</v>
      </c>
      <c r="H7" s="1157" t="s">
        <v>211</v>
      </c>
      <c r="I7" s="1157"/>
      <c r="J7" s="1157"/>
      <c r="K7" s="1158"/>
      <c r="L7" s="186"/>
      <c r="P7" s="184"/>
      <c r="Q7" s="159"/>
      <c r="R7" s="561"/>
      <c r="S7" s="140"/>
      <c r="T7" s="159"/>
      <c r="U7" s="184"/>
      <c r="V7" s="159"/>
      <c r="W7" s="184"/>
    </row>
    <row r="8" spans="2:23" ht="13.9" customHeight="1" x14ac:dyDescent="0.25">
      <c r="B8" s="185"/>
      <c r="D8" s="142"/>
      <c r="E8" s="1113"/>
      <c r="F8" s="1113"/>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45" t="s">
        <v>754</v>
      </c>
      <c r="J10" s="1145"/>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40" t="str">
        <f>IFERROR($E11/$E$5,"")</f>
        <v/>
      </c>
      <c r="J11" s="1140"/>
      <c r="K11" s="275"/>
      <c r="L11" s="186"/>
      <c r="R11" s="560"/>
    </row>
    <row r="12" spans="2:23" ht="36" customHeight="1" x14ac:dyDescent="0.25">
      <c r="B12" s="185"/>
      <c r="C12" s="274"/>
      <c r="D12" s="1141" t="s">
        <v>712</v>
      </c>
      <c r="E12" s="1141"/>
      <c r="F12" s="570"/>
      <c r="G12" s="571"/>
      <c r="H12" s="201"/>
      <c r="I12" s="572"/>
      <c r="J12" s="573"/>
      <c r="K12" s="275"/>
      <c r="L12" s="186"/>
    </row>
    <row r="13" spans="2:23" s="864" customFormat="1" ht="23.45" customHeight="1" x14ac:dyDescent="0.25">
      <c r="B13" s="185"/>
      <c r="C13" s="274"/>
      <c r="D13" s="567" t="s">
        <v>1228</v>
      </c>
      <c r="E13" s="568">
        <f>'Tracking &amp; Profitability'!E26*-1</f>
        <v>0</v>
      </c>
      <c r="F13" s="201"/>
      <c r="G13" s="569">
        <f>'Tracking &amp; Profitability'!G26*-1</f>
        <v>0</v>
      </c>
      <c r="H13" s="201"/>
      <c r="I13" s="1140" t="str">
        <f>IFERROR(E13/E5,"")</f>
        <v/>
      </c>
      <c r="J13" s="1140"/>
      <c r="K13" s="275"/>
      <c r="L13" s="186"/>
    </row>
    <row r="14" spans="2:23" s="864" customFormat="1" ht="36.6" customHeight="1" x14ac:dyDescent="0.25">
      <c r="B14" s="185"/>
      <c r="C14" s="274"/>
      <c r="D14" s="1141" t="s">
        <v>1229</v>
      </c>
      <c r="E14" s="1141"/>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40" t="str">
        <f>IFERROR($E15/$E$5,"")</f>
        <v/>
      </c>
      <c r="J15" s="1140"/>
      <c r="K15" s="275"/>
      <c r="L15" s="186"/>
    </row>
    <row r="16" spans="2:23" ht="26.45" customHeight="1" x14ac:dyDescent="0.25">
      <c r="B16" s="185"/>
      <c r="C16" s="274"/>
      <c r="D16" s="1155" t="s">
        <v>714</v>
      </c>
      <c r="E16" s="115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3" t="str">
        <f>IFERROR($E17/$E$5,"")</f>
        <v/>
      </c>
      <c r="J17" s="1143"/>
      <c r="K17" s="275"/>
      <c r="L17" s="186"/>
    </row>
    <row r="18" spans="2:12" ht="25.9" customHeight="1" thickTop="1" x14ac:dyDescent="0.25">
      <c r="B18" s="185"/>
      <c r="C18" s="274"/>
      <c r="D18" s="1155" t="s">
        <v>713</v>
      </c>
      <c r="E18" s="1156"/>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4" t="str">
        <f>IFERROR($E19/$E$5,"")</f>
        <v/>
      </c>
      <c r="J19" s="1144"/>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40" t="str">
        <f>IFERROR($E23/$E$5,"")</f>
        <v/>
      </c>
      <c r="J23" s="1140"/>
      <c r="K23" s="275"/>
      <c r="L23" s="186"/>
    </row>
    <row r="24" spans="2:12" ht="16.149999999999999" customHeight="1" x14ac:dyDescent="0.25">
      <c r="B24" s="185"/>
      <c r="C24" s="274"/>
      <c r="D24" s="1146" t="s">
        <v>971</v>
      </c>
      <c r="E24" s="1146"/>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45" t="s">
        <v>754</v>
      </c>
      <c r="J28" s="1145"/>
      <c r="K28" s="275"/>
      <c r="L28" s="186"/>
    </row>
    <row r="29" spans="2:12" ht="25.15" customHeight="1" x14ac:dyDescent="0.25">
      <c r="B29" s="185"/>
      <c r="C29" s="274"/>
      <c r="D29" s="583" t="s">
        <v>228</v>
      </c>
      <c r="E29" s="584">
        <f>IFERROR('EB_CM (Back)'!$I$47,0)</f>
        <v>0</v>
      </c>
      <c r="F29" s="201"/>
      <c r="G29" s="569">
        <f>IFERROR(E29/'PIM Model'!$H$31,0)</f>
        <v>0</v>
      </c>
      <c r="H29" s="201"/>
      <c r="I29" s="1140" t="str">
        <f>IFERROR($E29/$E$5,"")</f>
        <v/>
      </c>
      <c r="J29" s="1140"/>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40" t="str">
        <f>IFERROR($E30/$E$5,"")</f>
        <v/>
      </c>
      <c r="J30" s="1140"/>
      <c r="K30" s="275"/>
      <c r="L30" s="186"/>
    </row>
    <row r="31" spans="2:12" ht="27.6" customHeight="1" x14ac:dyDescent="0.25">
      <c r="B31" s="185"/>
      <c r="C31" s="589"/>
      <c r="D31" s="1155" t="s">
        <v>237</v>
      </c>
      <c r="E31" s="115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tabSelected="1" zoomScale="80" zoomScaleNormal="80" zoomScaleSheetLayoutView="100" workbookViewId="0">
      <selection activeCell="J13" sqref="J13"/>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544</v>
      </c>
      <c r="T1" s="763" t="str">
        <f>IF(AND(NOT(ISBLANK(Welcome!D8)),Welcome!$D$8 &lt;&gt; "CIA"),IF(COUNTBLANK('PIM Model'!K10:K30)&gt;0,"TRUE","FALSE"),"FALSE")</f>
        <v>FALSE</v>
      </c>
    </row>
    <row r="2" spans="1:27" ht="21" x14ac:dyDescent="0.25">
      <c r="B2" s="755"/>
      <c r="C2" s="592" t="s">
        <v>130</v>
      </c>
      <c r="D2" s="179"/>
      <c r="E2" s="592"/>
      <c r="F2" s="593"/>
      <c r="G2" s="181"/>
      <c r="H2" s="181"/>
      <c r="I2" s="181"/>
      <c r="J2" s="179"/>
      <c r="K2" s="179"/>
      <c r="L2" s="911"/>
      <c r="M2" s="181"/>
      <c r="N2" s="911"/>
      <c r="O2" s="594"/>
    </row>
    <row r="3" spans="1:27" ht="8.4499999999999993" customHeight="1" thickBot="1" x14ac:dyDescent="0.3">
      <c r="B3" s="185"/>
      <c r="D3" s="5"/>
      <c r="F3" s="184"/>
      <c r="G3" s="5"/>
      <c r="H3" s="5"/>
      <c r="I3" s="5"/>
      <c r="O3" s="283"/>
    </row>
    <row r="4" spans="1:27" ht="14.45" customHeight="1" x14ac:dyDescent="0.25">
      <c r="B4" s="185"/>
      <c r="C4" s="1151" t="s">
        <v>381</v>
      </c>
      <c r="D4" s="1152"/>
      <c r="E4" s="716">
        <f>Welcome!$D$8</f>
        <v>0</v>
      </c>
      <c r="F4" s="145"/>
      <c r="G4" s="523" t="s">
        <v>110</v>
      </c>
      <c r="H4" s="1147" t="str">
        <f>IFERROR(VLOOKUP($H$5,'Market Geography'!$D:$G,4,FALSE),"Select Market")</f>
        <v>Select Market</v>
      </c>
      <c r="I4" s="1147"/>
      <c r="J4" s="1147"/>
      <c r="K4" s="1148"/>
      <c r="L4" s="914"/>
      <c r="M4" s="916"/>
      <c r="N4" s="818"/>
      <c r="O4" s="595"/>
    </row>
    <row r="5" spans="1:27" x14ac:dyDescent="0.25">
      <c r="B5" s="185"/>
      <c r="C5" s="1153" t="s">
        <v>216</v>
      </c>
      <c r="D5" s="1154"/>
      <c r="E5" s="393">
        <f>Welcome!$D$12</f>
        <v>0</v>
      </c>
      <c r="F5" s="145"/>
      <c r="G5" s="524" t="s">
        <v>120</v>
      </c>
      <c r="H5" s="1149">
        <f>Welcome!$D$4</f>
        <v>0</v>
      </c>
      <c r="I5" s="1149"/>
      <c r="J5" s="1149"/>
      <c r="K5" s="1150"/>
      <c r="L5" s="914"/>
      <c r="M5" s="916"/>
      <c r="N5" s="818"/>
      <c r="O5" s="595"/>
    </row>
    <row r="6" spans="1:27" x14ac:dyDescent="0.25">
      <c r="B6" s="185"/>
      <c r="C6" s="1153" t="s">
        <v>202</v>
      </c>
      <c r="D6" s="1154"/>
      <c r="E6" s="394">
        <f>IFERROR('PIM Model'!$G$31,0)</f>
        <v>0</v>
      </c>
      <c r="F6" s="428"/>
      <c r="G6" s="524" t="s">
        <v>107</v>
      </c>
      <c r="H6" s="1149" t="str">
        <f>'Multi-Customer'!$M$47</f>
        <v>Enter Customer(s)</v>
      </c>
      <c r="I6" s="1149"/>
      <c r="J6" s="1149"/>
      <c r="K6" s="1150"/>
      <c r="L6" s="914"/>
      <c r="M6" s="916"/>
      <c r="N6" s="818"/>
      <c r="O6" s="595"/>
    </row>
    <row r="7" spans="1:27" x14ac:dyDescent="0.25">
      <c r="B7" s="185"/>
      <c r="C7" s="1153" t="s">
        <v>493</v>
      </c>
      <c r="D7" s="1154"/>
      <c r="E7" s="596">
        <f>IFERROR('Variable Costs (Back)'!$K$26,0)</f>
        <v>0</v>
      </c>
      <c r="F7" s="184"/>
      <c r="G7" s="524" t="s">
        <v>410</v>
      </c>
      <c r="H7" s="1149" t="str">
        <f>'Multi-Customer'!$M$83</f>
        <v>MULTIPLE MENU TYPES</v>
      </c>
      <c r="I7" s="1149"/>
      <c r="J7" s="1149"/>
      <c r="K7" s="1150"/>
      <c r="L7" s="914"/>
      <c r="M7" s="916"/>
      <c r="N7" s="818"/>
      <c r="O7" s="595"/>
    </row>
    <row r="8" spans="1:27" ht="15.75" thickBot="1" x14ac:dyDescent="0.3">
      <c r="B8" s="185"/>
      <c r="C8" s="1159" t="s">
        <v>547</v>
      </c>
      <c r="D8" s="1160"/>
      <c r="E8" s="426">
        <f>IFERROR('PIM Ranges'!$AU$3,0)</f>
        <v>0</v>
      </c>
      <c r="F8" s="429"/>
      <c r="G8" s="525" t="s">
        <v>225</v>
      </c>
      <c r="H8" s="1162" t="s">
        <v>211</v>
      </c>
      <c r="I8" s="1162"/>
      <c r="J8" s="1162"/>
      <c r="K8" s="1163"/>
      <c r="L8" s="915"/>
      <c r="M8" s="916"/>
      <c r="N8" s="818"/>
      <c r="O8" s="597"/>
    </row>
    <row r="9" spans="1:27" ht="8.4499999999999993" customHeight="1" x14ac:dyDescent="0.25">
      <c r="B9" s="185"/>
      <c r="D9" s="142"/>
      <c r="E9" s="715"/>
      <c r="F9" s="715"/>
      <c r="G9" s="715"/>
      <c r="H9" s="715"/>
      <c r="I9" s="715"/>
      <c r="O9" s="283"/>
    </row>
    <row r="10" spans="1:27" ht="7.9" customHeight="1" x14ac:dyDescent="0.25">
      <c r="B10" s="185"/>
      <c r="C10" s="279"/>
      <c r="D10" s="598"/>
      <c r="E10" s="194"/>
      <c r="F10" s="194"/>
      <c r="G10" s="194"/>
      <c r="H10" s="194"/>
      <c r="I10" s="194"/>
      <c r="J10" s="194"/>
      <c r="K10" s="198"/>
      <c r="L10"/>
      <c r="M10" s="912"/>
      <c r="N10" s="909"/>
      <c r="O10" s="186"/>
      <c r="P10" s="5"/>
    </row>
    <row r="11" spans="1:27" ht="18.600000000000001" customHeight="1" x14ac:dyDescent="0.25">
      <c r="B11" s="185"/>
      <c r="C11" s="274"/>
      <c r="D11" s="7"/>
      <c r="E11" s="6" t="s">
        <v>238</v>
      </c>
      <c r="F11" s="38"/>
      <c r="G11" s="207" t="s">
        <v>376</v>
      </c>
      <c r="H11" s="209"/>
      <c r="I11" s="201"/>
      <c r="J11" s="201"/>
      <c r="K11" s="203"/>
      <c r="L11"/>
      <c r="M11" s="1168" t="s">
        <v>1282</v>
      </c>
      <c r="N11" s="1168"/>
      <c r="O11" s="186"/>
      <c r="P11" s="5"/>
    </row>
    <row r="12" spans="1:27"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5"/>
      <c r="N12" s="1006"/>
      <c r="O12" s="186"/>
      <c r="P12" s="5"/>
    </row>
    <row r="13" spans="1:27" ht="21" customHeight="1" x14ac:dyDescent="0.25">
      <c r="B13" s="185"/>
      <c r="C13" s="274"/>
      <c r="D13" s="8" t="s">
        <v>504</v>
      </c>
      <c r="E13" s="12">
        <f>IFERROR('PIM Model'!$I$34,0)</f>
        <v>0</v>
      </c>
      <c r="F13" s="39"/>
      <c r="G13" s="599">
        <f>IFERROR(E13/'PIM Model'!$H$31,0)</f>
        <v>0</v>
      </c>
      <c r="H13" s="600"/>
      <c r="I13" s="601"/>
      <c r="J13" s="604" t="str">
        <f>IF(E13&gt;0,IF(J17=0,IF(T1="FALSE","Approve","Reject"),"Reject"),"")</f>
        <v/>
      </c>
      <c r="K13" s="603"/>
      <c r="L13"/>
      <c r="M13" s="1005"/>
      <c r="N13" s="1006"/>
      <c r="O13" s="186"/>
      <c r="P13" s="5"/>
    </row>
    <row r="14" spans="1:27" ht="7.15" customHeight="1" x14ac:dyDescent="0.25">
      <c r="B14" s="185"/>
      <c r="C14" s="274"/>
      <c r="D14" s="781"/>
      <c r="E14" s="782"/>
      <c r="F14" s="782"/>
      <c r="G14" s="775"/>
      <c r="H14" s="775"/>
      <c r="I14" s="776"/>
      <c r="J14" s="777"/>
      <c r="K14" s="603"/>
      <c r="L14"/>
      <c r="M14" s="912"/>
      <c r="N14" s="909"/>
      <c r="O14" s="186"/>
      <c r="P14" s="5"/>
    </row>
    <row r="15" spans="1:27" ht="21" customHeight="1" x14ac:dyDescent="0.25">
      <c r="B15" s="185"/>
      <c r="C15" s="274"/>
      <c r="D15" s="781"/>
      <c r="E15" s="6" t="s">
        <v>238</v>
      </c>
      <c r="F15" s="38"/>
      <c r="G15" s="130" t="s">
        <v>376</v>
      </c>
      <c r="H15" s="605"/>
      <c r="I15" s="207" t="s">
        <v>754</v>
      </c>
      <c r="J15" s="777"/>
      <c r="K15" s="603"/>
      <c r="L15"/>
      <c r="M15" s="912"/>
      <c r="N15" s="909"/>
      <c r="O15" s="186"/>
      <c r="P15" s="5"/>
      <c r="AA15" s="5" t="e">
        <f>Incentives!G91&gt;ROUNDUP((((VLOOKUP('Variable Selling'!$A$2,'CC MARKET EXPENSE'!$A:$D,4,0))*100)*50/100)/0.25,0)*0.25/100</f>
        <v>#N/A</v>
      </c>
    </row>
    <row r="16" spans="1:27"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7">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66" t="s">
        <v>1282</v>
      </c>
      <c r="N21" s="1167"/>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572" t="str">
        <f>IF(M22="Yes","Approve",IF(E22=0,"",IF(AND(Incentives!$E$89="YES",Welcome!D16="NO"),"Reject",IF(Incentives!M71&gt;=10000,"Caution",IF(F22&gt;0.05,"Reject",IF(Incentives!K66+K74&gt;=10000,"Caution",IF(Incentives!$G$91&gt;ROUNDUP((((VLOOKUP('Variable Selling'!$A$2,'CC MARKET EXPENSE'!$A:$D,4,0))*100)*50/100)/0.25,0)*0.25/100,"Reject","Approve")))))))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65" t="s">
        <v>237</v>
      </c>
      <c r="E32" s="1165"/>
      <c r="F32" s="1165"/>
      <c r="G32" s="1165"/>
      <c r="H32" s="614"/>
      <c r="I32" s="1164" t="str">
        <f>IF($I$33=0,IF($J$33=0,"","Customer EB % Missing"),IF($J$33=0,"Customer Drops/Wk Missing","Customer EB % &amp; Drops/Wk Missing"))</f>
        <v/>
      </c>
      <c r="J32" s="1164"/>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66" t="s">
        <v>1282</v>
      </c>
      <c r="N33" s="1167"/>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61"/>
      <c r="C37" s="1161"/>
      <c r="D37" s="1161"/>
      <c r="J37" s="1130"/>
      <c r="K37" s="1130"/>
      <c r="L37" s="1130"/>
      <c r="M37" s="1130"/>
      <c r="N37" s="1130"/>
      <c r="O37" s="1130"/>
    </row>
    <row r="38" spans="2:16" x14ac:dyDescent="0.25">
      <c r="O38" s="621"/>
    </row>
  </sheetData>
  <sheetProtection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27" priority="60" operator="containsText" text="Below Average">
      <formula>NOT(ISERROR(SEARCH("Below Average",I25)))</formula>
    </cfRule>
  </conditionalFormatting>
  <conditionalFormatting sqref="J34">
    <cfRule type="expression" dxfId="126" priority="42">
      <formula>$H$33&gt;0</formula>
    </cfRule>
    <cfRule type="containsText" dxfId="125" priority="46" operator="containsText" text="Reject">
      <formula>NOT(ISERROR(SEARCH("Reject",J34)))</formula>
    </cfRule>
    <cfRule type="expression" dxfId="124" priority="57">
      <formula>$M$34="Yes"</formula>
    </cfRule>
    <cfRule type="expression" dxfId="123" priority="58">
      <formula>J34="Approve"</formula>
    </cfRule>
  </conditionalFormatting>
  <conditionalFormatting sqref="J12">
    <cfRule type="expression" dxfId="122" priority="35">
      <formula>$M$12="yes"</formula>
    </cfRule>
    <cfRule type="containsText" dxfId="121" priority="51" operator="containsText" text="Spend">
      <formula>NOT(ISERROR(SEARCH("Spend",J12)))</formula>
    </cfRule>
    <cfRule type="containsText" dxfId="120" priority="55" operator="containsText" text="Approve">
      <formula>NOT(ISERROR(SEARCH("Approve",J12)))</formula>
    </cfRule>
  </conditionalFormatting>
  <conditionalFormatting sqref="J13:J16">
    <cfRule type="containsText" dxfId="119" priority="50" operator="containsText" text="Reject">
      <formula>NOT(ISERROR(SEARCH("Reject",J13)))</formula>
    </cfRule>
    <cfRule type="containsText" dxfId="118" priority="54" operator="containsText" text="Approve">
      <formula>NOT(ISERROR(SEARCH("Approve",J13)))</formula>
    </cfRule>
  </conditionalFormatting>
  <conditionalFormatting sqref="H34">
    <cfRule type="expression" dxfId="117" priority="116">
      <formula>#REF!="Approve"</formula>
    </cfRule>
  </conditionalFormatting>
  <conditionalFormatting sqref="E16">
    <cfRule type="cellIs" dxfId="116" priority="47" operator="notEqual">
      <formula>0</formula>
    </cfRule>
  </conditionalFormatting>
  <conditionalFormatting sqref="M33:N34">
    <cfRule type="expression" dxfId="115" priority="41">
      <formula>H34&lt;0</formula>
    </cfRule>
  </conditionalFormatting>
  <conditionalFormatting sqref="J13">
    <cfRule type="expression" dxfId="114" priority="32">
      <formula>$M$13="Yes"</formula>
    </cfRule>
  </conditionalFormatting>
  <conditionalFormatting sqref="M11:N11">
    <cfRule type="expression" dxfId="113" priority="26">
      <formula>OR($J$13="Reject",$J$13="")</formula>
    </cfRule>
    <cfRule type="expression" dxfId="112" priority="29">
      <formula>$J$12="Spend"</formula>
    </cfRule>
  </conditionalFormatting>
  <conditionalFormatting sqref="M12:N12">
    <cfRule type="expression" dxfId="111" priority="28">
      <formula>$J$12="spend"</formula>
    </cfRule>
  </conditionalFormatting>
  <conditionalFormatting sqref="M13:N13">
    <cfRule type="expression" dxfId="110" priority="27">
      <formula>OR($J$13="Reject",$J$13="")</formula>
    </cfRule>
  </conditionalFormatting>
  <conditionalFormatting sqref="M22">
    <cfRule type="containsText" dxfId="109" priority="23" operator="containsText" text="Caution">
      <formula>NOT(ISERROR(SEARCH("Caution",M22)))</formula>
    </cfRule>
  </conditionalFormatting>
  <conditionalFormatting sqref="N22">
    <cfRule type="containsText" dxfId="108" priority="21" operator="containsText" text="Caution">
      <formula>NOT(ISERROR(SEARCH("Caution",N22)))</formula>
    </cfRule>
  </conditionalFormatting>
  <conditionalFormatting sqref="J22">
    <cfRule type="expression" dxfId="107" priority="11">
      <formula>$I$22="**Missing Incentive Payment Method**"</formula>
    </cfRule>
    <cfRule type="containsText" dxfId="106" priority="12" operator="containsText" text="Reject">
      <formula>NOT(ISERROR(SEARCH("Reject",J22)))</formula>
    </cfRule>
    <cfRule type="containsText" dxfId="105" priority="13" operator="containsText" text="Caution">
      <formula>NOT(ISERROR(SEARCH("Caution",J22)))</formula>
    </cfRule>
    <cfRule type="expression" dxfId="104" priority="14">
      <formula>$M$22="Yes"</formula>
    </cfRule>
    <cfRule type="expression" dxfId="103" priority="15">
      <formula>$J$22="Approve"</formula>
    </cfRule>
  </conditionalFormatting>
  <dataValidations disablePrompts="1"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IF(AND(NOT(ISBLANK(Welcome!D8)),Welcome!$D$8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IF(AND(NOT(ISBLANK(Welcome!D8)),Welcome!$D$8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IF(AND(NOT(ISBLANK(Welcome!D8)),Welcome!$D$8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IF(AND(NOT(ISBLANK(Welcome!D8)),Welcome!$D$8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14" sqref="F14:G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71" t="s">
        <v>677</v>
      </c>
      <c r="D2" s="1172"/>
      <c r="E2" s="1172"/>
      <c r="F2" s="1172"/>
      <c r="G2" s="1172"/>
      <c r="H2" s="1172"/>
      <c r="I2" s="1172"/>
      <c r="J2" s="1172"/>
      <c r="K2" s="1173"/>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74"/>
      <c r="G4" s="1174"/>
      <c r="K4" s="675"/>
      <c r="O4" s="1" t="s">
        <v>497</v>
      </c>
    </row>
    <row r="5" spans="3:18" x14ac:dyDescent="0.25">
      <c r="C5" s="143"/>
      <c r="E5" s="440"/>
      <c r="K5" s="144"/>
    </row>
    <row r="6" spans="3:18" x14ac:dyDescent="0.25">
      <c r="C6" s="143"/>
      <c r="E6" s="142" t="s">
        <v>937</v>
      </c>
      <c r="F6" s="1174"/>
      <c r="G6" s="1174"/>
      <c r="K6" s="144"/>
    </row>
    <row r="7" spans="3:18" x14ac:dyDescent="0.25">
      <c r="C7" s="143"/>
      <c r="E7" s="142"/>
      <c r="K7" s="144"/>
    </row>
    <row r="8" spans="3:18" x14ac:dyDescent="0.25">
      <c r="C8" s="143"/>
      <c r="E8" s="142" t="s">
        <v>908</v>
      </c>
      <c r="F8" s="1174"/>
      <c r="G8" s="1174"/>
      <c r="K8" s="144"/>
    </row>
    <row r="9" spans="3:18" x14ac:dyDescent="0.25">
      <c r="C9" s="143"/>
      <c r="E9" s="142" t="s">
        <v>909</v>
      </c>
      <c r="F9" s="1174"/>
      <c r="G9" s="1174"/>
      <c r="K9" s="144"/>
    </row>
    <row r="10" spans="3:18" x14ac:dyDescent="0.25">
      <c r="C10" s="143"/>
      <c r="E10" s="142" t="s">
        <v>910</v>
      </c>
      <c r="F10" s="1174"/>
      <c r="G10" s="1174"/>
      <c r="K10" s="144"/>
    </row>
    <row r="11" spans="3:18" x14ac:dyDescent="0.25">
      <c r="C11" s="143"/>
      <c r="E11" s="142" t="s">
        <v>861</v>
      </c>
      <c r="F11" s="1174"/>
      <c r="G11" s="1174"/>
      <c r="K11" s="144"/>
    </row>
    <row r="12" spans="3:18" x14ac:dyDescent="0.25">
      <c r="C12" s="143"/>
      <c r="E12" s="142" t="s">
        <v>911</v>
      </c>
      <c r="F12" s="1174"/>
      <c r="G12" s="1174"/>
      <c r="K12" s="144"/>
    </row>
    <row r="13" spans="3:18" x14ac:dyDescent="0.25">
      <c r="C13" s="143"/>
      <c r="E13" s="142"/>
      <c r="F13" s="1176"/>
      <c r="G13" s="1176"/>
      <c r="K13" s="144"/>
    </row>
    <row r="14" spans="3:18" x14ac:dyDescent="0.25">
      <c r="C14" s="143"/>
      <c r="E14" s="142" t="s">
        <v>912</v>
      </c>
      <c r="F14" s="1175">
        <v>44332</v>
      </c>
      <c r="G14" s="1175"/>
      <c r="H14" s="688" t="s">
        <v>1053</v>
      </c>
      <c r="K14" s="144"/>
      <c r="L14" s="875">
        <f>WEEKDAY(F14,2)</f>
        <v>7</v>
      </c>
    </row>
    <row r="15" spans="3:18" ht="13.5" customHeight="1" x14ac:dyDescent="0.25">
      <c r="C15" s="143"/>
      <c r="K15" s="144"/>
    </row>
    <row r="16" spans="3:18" s="868" customFormat="1" ht="14.25" customHeight="1" x14ac:dyDescent="0.25">
      <c r="C16" s="143"/>
      <c r="E16" s="869" t="s">
        <v>1235</v>
      </c>
      <c r="F16" s="1169">
        <f>Welcome!D8</f>
        <v>0</v>
      </c>
      <c r="G16" s="1170"/>
      <c r="K16" s="144"/>
    </row>
    <row r="17" spans="1:12" s="868"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5" t="s">
        <v>113</v>
      </c>
    </row>
    <row r="2" spans="1:37" x14ac:dyDescent="0.2">
      <c r="I2" s="634"/>
      <c r="J2" s="1180"/>
      <c r="K2" s="1180"/>
      <c r="O2" s="634"/>
      <c r="P2" s="634"/>
      <c r="Q2" s="634"/>
      <c r="R2" s="634"/>
      <c r="S2" s="634"/>
      <c r="T2" s="634"/>
      <c r="U2" s="634"/>
      <c r="V2" s="634"/>
      <c r="W2" s="634"/>
      <c r="X2" s="634"/>
      <c r="Y2" s="634"/>
      <c r="Z2" s="634"/>
      <c r="AA2" s="634"/>
      <c r="AH2" s="146" t="s">
        <v>62</v>
      </c>
      <c r="AI2" s="146" t="s">
        <v>1</v>
      </c>
      <c r="AJ2" s="146" t="s">
        <v>62</v>
      </c>
      <c r="AK2" s="805" t="s">
        <v>113</v>
      </c>
    </row>
    <row r="3" spans="1:37" x14ac:dyDescent="0.2">
      <c r="I3" s="635" t="s">
        <v>962</v>
      </c>
      <c r="J3" s="1149" t="e">
        <f>VLOOKUP($J$4,'Market Geography'!$D:$G,4,FALSE)</f>
        <v>#N/A</v>
      </c>
      <c r="K3" s="1149"/>
      <c r="O3" s="634"/>
      <c r="P3" s="634"/>
      <c r="Q3" s="634"/>
      <c r="R3" s="634"/>
      <c r="S3" s="634"/>
      <c r="T3" s="634"/>
      <c r="U3" s="634"/>
      <c r="V3" s="634"/>
      <c r="W3" s="634"/>
      <c r="X3" s="634"/>
      <c r="Y3" s="634"/>
      <c r="Z3" s="634"/>
      <c r="AA3" s="634"/>
      <c r="AH3" s="146" t="s">
        <v>74</v>
      </c>
      <c r="AI3" s="146" t="s">
        <v>1</v>
      </c>
      <c r="AJ3" s="146" t="s">
        <v>74</v>
      </c>
      <c r="AK3" s="805" t="s">
        <v>113</v>
      </c>
    </row>
    <row r="4" spans="1:37" x14ac:dyDescent="0.2">
      <c r="I4" s="635" t="s">
        <v>963</v>
      </c>
      <c r="J4" s="1149">
        <f>Welcome!$D$4</f>
        <v>0</v>
      </c>
      <c r="K4" s="1149"/>
      <c r="L4" s="636"/>
      <c r="M4" s="636"/>
      <c r="O4" s="634"/>
      <c r="P4" s="634"/>
      <c r="Q4" s="634"/>
      <c r="R4" s="634"/>
      <c r="S4" s="634"/>
      <c r="T4" s="634"/>
      <c r="U4" s="634"/>
      <c r="V4" s="634"/>
      <c r="W4" s="634"/>
      <c r="X4" s="634"/>
      <c r="Y4" s="634"/>
      <c r="Z4" s="634"/>
      <c r="AA4" s="634"/>
      <c r="AC4" s="27"/>
      <c r="AH4" s="146" t="s">
        <v>34</v>
      </c>
      <c r="AI4" s="146" t="s">
        <v>1</v>
      </c>
      <c r="AJ4" s="146" t="s">
        <v>34</v>
      </c>
      <c r="AK4" s="805" t="s">
        <v>113</v>
      </c>
    </row>
    <row r="5" spans="1:37" x14ac:dyDescent="0.2">
      <c r="I5" s="635" t="s">
        <v>964</v>
      </c>
      <c r="J5" s="1181" t="e">
        <f>VLOOKUP($J$4,'Market Geography'!$D:$F,3,FALSE)</f>
        <v>#N/A</v>
      </c>
      <c r="K5" s="1181"/>
      <c r="O5" s="634"/>
      <c r="P5" s="634"/>
      <c r="Q5" s="634"/>
      <c r="R5" s="634"/>
      <c r="S5" s="634"/>
      <c r="T5" s="634"/>
      <c r="U5" s="634"/>
      <c r="V5" s="634"/>
      <c r="W5" s="634"/>
      <c r="X5" s="634"/>
      <c r="Y5" s="634"/>
      <c r="Z5" s="634"/>
      <c r="AA5" s="634"/>
      <c r="AH5" s="146" t="s">
        <v>0</v>
      </c>
      <c r="AI5" s="146" t="s">
        <v>1</v>
      </c>
      <c r="AJ5" s="146" t="s">
        <v>0</v>
      </c>
      <c r="AK5" s="805" t="s">
        <v>113</v>
      </c>
    </row>
    <row r="6" spans="1:37" x14ac:dyDescent="0.2">
      <c r="I6" s="637" t="s">
        <v>965</v>
      </c>
      <c r="J6" s="1149" t="s">
        <v>135</v>
      </c>
      <c r="K6" s="1149" t="s">
        <v>211</v>
      </c>
      <c r="O6" s="634"/>
      <c r="P6" s="634"/>
      <c r="Q6" s="634"/>
      <c r="R6" s="634"/>
      <c r="S6" s="634"/>
      <c r="T6" s="634"/>
      <c r="U6" s="634"/>
      <c r="V6" s="634"/>
      <c r="W6" s="634"/>
      <c r="X6" s="634"/>
      <c r="Y6" s="634"/>
      <c r="Z6" s="634"/>
      <c r="AA6" s="634"/>
      <c r="AH6" s="146" t="s">
        <v>69</v>
      </c>
      <c r="AI6" s="146" t="s">
        <v>1</v>
      </c>
      <c r="AJ6" s="146" t="s">
        <v>69</v>
      </c>
      <c r="AK6" s="805" t="s">
        <v>113</v>
      </c>
    </row>
    <row r="7" spans="1:37" x14ac:dyDescent="0.2">
      <c r="I7" s="637" t="s">
        <v>966</v>
      </c>
      <c r="J7" s="1149" t="str">
        <f>IF(Welcome!$D$8="MDA","C","N")</f>
        <v>N</v>
      </c>
      <c r="K7" s="1149" t="e">
        <f>IF(#REF!="MDA","C","N")</f>
        <v>#REF!</v>
      </c>
      <c r="O7" s="634"/>
      <c r="P7" s="634"/>
      <c r="Q7" s="634"/>
      <c r="R7" s="634"/>
      <c r="S7" s="634"/>
      <c r="T7" s="634"/>
      <c r="U7" s="634"/>
      <c r="V7" s="634"/>
      <c r="W7" s="634"/>
      <c r="X7" s="634"/>
      <c r="Y7" s="634"/>
      <c r="Z7" s="634"/>
      <c r="AA7" s="634"/>
      <c r="AB7" s="27"/>
      <c r="AC7" s="27"/>
      <c r="AH7" s="146" t="s">
        <v>4</v>
      </c>
      <c r="AI7" s="146" t="s">
        <v>1</v>
      </c>
      <c r="AJ7" s="146" t="s">
        <v>4</v>
      </c>
      <c r="AK7" s="805" t="s">
        <v>113</v>
      </c>
    </row>
    <row r="8" spans="1:37" x14ac:dyDescent="0.2">
      <c r="AH8" s="146" t="s">
        <v>35</v>
      </c>
      <c r="AI8" s="146" t="s">
        <v>1</v>
      </c>
      <c r="AJ8" s="146" t="s">
        <v>35</v>
      </c>
      <c r="AK8" s="805" t="s">
        <v>113</v>
      </c>
    </row>
    <row r="9" spans="1:37" x14ac:dyDescent="0.2">
      <c r="I9" s="638"/>
      <c r="AH9" s="146" t="s">
        <v>6</v>
      </c>
      <c r="AI9" s="146" t="s">
        <v>1</v>
      </c>
      <c r="AJ9" s="146" t="s">
        <v>6</v>
      </c>
      <c r="AK9" s="805"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5"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5"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5" t="s">
        <v>113</v>
      </c>
    </row>
    <row r="13" spans="1:37" x14ac:dyDescent="0.2">
      <c r="J13" s="623"/>
      <c r="N13" s="624"/>
      <c r="AD13" s="1177" t="s">
        <v>1022</v>
      </c>
      <c r="AE13" s="1178"/>
      <c r="AF13" s="1179"/>
      <c r="AH13" s="146" t="s">
        <v>60</v>
      </c>
      <c r="AI13" s="146" t="s">
        <v>1</v>
      </c>
      <c r="AJ13" s="146" t="s">
        <v>60</v>
      </c>
      <c r="AK13" s="805"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5"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5"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5"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5"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5"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5"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5"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83" t="s">
        <v>1067</v>
      </c>
      <c r="F1" s="1184"/>
      <c r="G1" s="1184"/>
      <c r="H1" s="1184"/>
      <c r="I1" s="1184"/>
      <c r="J1" s="1185"/>
      <c r="L1" s="1183" t="s">
        <v>1066</v>
      </c>
      <c r="M1" s="1185"/>
      <c r="Q1" s="1" t="s">
        <v>561</v>
      </c>
      <c r="R1" s="1" t="s">
        <v>560</v>
      </c>
    </row>
    <row r="2" spans="1:18" x14ac:dyDescent="0.25">
      <c r="E2" s="1">
        <v>0.1</v>
      </c>
      <c r="F2" s="54">
        <v>1.0999999999999999E-2</v>
      </c>
      <c r="G2" s="54">
        <v>2.7E-2</v>
      </c>
      <c r="H2" s="54">
        <v>3.2000000000000001E-2</v>
      </c>
      <c r="I2" s="54">
        <v>4.9000000000000002E-2</v>
      </c>
      <c r="J2" s="54">
        <v>6.4000000000000001E-2</v>
      </c>
      <c r="L2" s="866"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6"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6"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6"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6"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6"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6"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6"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6"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6"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6"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6"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6"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6"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6"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7" t="s">
        <v>1210</v>
      </c>
      <c r="M17" s="49">
        <v>8.0000000000000002E-3</v>
      </c>
      <c r="O17" s="1" t="s">
        <v>577</v>
      </c>
      <c r="P17" s="1" t="s">
        <v>274</v>
      </c>
      <c r="Q17" s="1" t="s">
        <v>34</v>
      </c>
      <c r="R17" s="54">
        <v>0.11700000000000001</v>
      </c>
    </row>
    <row r="18" spans="2:18" x14ac:dyDescent="0.25">
      <c r="L18" s="866" t="s">
        <v>1211</v>
      </c>
      <c r="M18" s="49">
        <v>8.5000000000000006E-3</v>
      </c>
      <c r="O18" s="1" t="s">
        <v>578</v>
      </c>
      <c r="P18" s="1" t="s">
        <v>218</v>
      </c>
      <c r="Q18" s="1" t="s">
        <v>0</v>
      </c>
      <c r="R18" s="54">
        <v>5.3999999999999999E-2</v>
      </c>
    </row>
    <row r="19" spans="2:18" x14ac:dyDescent="0.25">
      <c r="B19" t="s">
        <v>1073</v>
      </c>
      <c r="C19">
        <f>IF(Welcome!$D$14="Select # of Locations",0,Welcome!$D$14)</f>
        <v>0</v>
      </c>
      <c r="L19" s="866" t="s">
        <v>1212</v>
      </c>
      <c r="M19" s="49">
        <v>8.9999999999999993E-3</v>
      </c>
      <c r="O19" s="1" t="s">
        <v>579</v>
      </c>
      <c r="P19" s="1" t="s">
        <v>219</v>
      </c>
      <c r="Q19" s="1" t="s">
        <v>0</v>
      </c>
      <c r="R19" s="54">
        <v>8.7999999999999995E-2</v>
      </c>
    </row>
    <row r="20" spans="2:18" x14ac:dyDescent="0.25">
      <c r="B20">
        <f>'PIM Model'!$E$3</f>
        <v>0</v>
      </c>
      <c r="E20" s="1183" t="s">
        <v>1068</v>
      </c>
      <c r="F20" s="1184"/>
      <c r="G20" s="1185"/>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82" t="s">
        <v>113</v>
      </c>
      <c r="M22" s="1182"/>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83" t="s">
        <v>1066</v>
      </c>
      <c r="M23" s="1185"/>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3"/>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3"/>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3"/>
      <c r="L27" s="432" t="s">
        <v>1198</v>
      </c>
      <c r="M27" s="49">
        <f t="shared" si="0"/>
        <v>6.4999999999999988E-3</v>
      </c>
      <c r="O27" s="1" t="s">
        <v>587</v>
      </c>
      <c r="P27" s="1" t="s">
        <v>219</v>
      </c>
      <c r="Q27" s="1" t="s">
        <v>4</v>
      </c>
      <c r="R27" s="54">
        <v>9.2999999999999999E-2</v>
      </c>
    </row>
    <row r="28" spans="2:18" x14ac:dyDescent="0.25">
      <c r="C28" s="24">
        <f>IFERROR(IF($C$27&gt;$C$26,"Approved",C26-C27),0)</f>
        <v>0.08</v>
      </c>
      <c r="E28" s="1182" t="s">
        <v>1069</v>
      </c>
      <c r="F28" s="1182"/>
      <c r="G28" s="1182"/>
      <c r="K28" s="823"/>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3"/>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3"/>
      <c r="L30" s="841" t="s">
        <v>1201</v>
      </c>
      <c r="M30" s="842">
        <v>8.0000000000000002E-3</v>
      </c>
      <c r="O30" s="1" t="s">
        <v>590</v>
      </c>
      <c r="P30" s="1" t="s">
        <v>218</v>
      </c>
      <c r="Q30" s="1" t="s">
        <v>35</v>
      </c>
      <c r="R30" s="54">
        <v>8.6999999999999994E-2</v>
      </c>
    </row>
    <row r="31" spans="2:18" x14ac:dyDescent="0.25">
      <c r="E31" s="90" t="s">
        <v>1082</v>
      </c>
      <c r="F31" s="721">
        <v>4100</v>
      </c>
      <c r="G31" s="54">
        <v>8.3000000000000004E-2</v>
      </c>
      <c r="H31" s="24"/>
      <c r="K31" s="823"/>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3"/>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3"/>
      <c r="L33" s="432" t="s">
        <v>1204</v>
      </c>
      <c r="M33" s="49">
        <f t="shared" ref="M33:M42" si="1">M32+0.0005</f>
        <v>9.5000000000000015E-3</v>
      </c>
      <c r="O33" s="1" t="s">
        <v>593</v>
      </c>
      <c r="P33" s="1" t="s">
        <v>274</v>
      </c>
      <c r="Q33" s="1" t="s">
        <v>35</v>
      </c>
      <c r="R33" s="54">
        <v>0.11700000000000001</v>
      </c>
    </row>
    <row r="34" spans="1:18" ht="15.75" thickBot="1" x14ac:dyDescent="0.3">
      <c r="G34" s="24"/>
      <c r="H34" s="24"/>
      <c r="K34" s="823"/>
      <c r="L34" s="432" t="s">
        <v>1205</v>
      </c>
      <c r="M34" s="49">
        <f t="shared" si="1"/>
        <v>1.0000000000000002E-2</v>
      </c>
      <c r="O34" s="1" t="s">
        <v>594</v>
      </c>
      <c r="P34" s="1" t="s">
        <v>218</v>
      </c>
      <c r="Q34" s="1" t="s">
        <v>6</v>
      </c>
      <c r="R34" s="54">
        <v>0.06</v>
      </c>
    </row>
    <row r="35" spans="1:18" ht="15.75" thickBot="1" x14ac:dyDescent="0.3">
      <c r="A35" s="462" t="s">
        <v>989</v>
      </c>
      <c r="K35" s="823"/>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3"/>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3"/>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3"/>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3"/>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3"/>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3"/>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3"/>
      <c r="L42" s="824"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40"/>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86" t="s">
        <v>870</v>
      </c>
      <c r="O1" s="1186"/>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86" t="s">
        <v>871</v>
      </c>
      <c r="O5" s="1186"/>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86"/>
      <c r="O6" s="1186"/>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87"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87"/>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87"/>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88" t="s">
        <v>1007</v>
      </c>
      <c r="AX5" s="1189"/>
      <c r="AY5" s="540">
        <v>1757315</v>
      </c>
      <c r="AZ5" s="318" t="s">
        <v>220</v>
      </c>
      <c r="BA5" s="1" t="s">
        <v>220</v>
      </c>
      <c r="BB5" s="533">
        <v>3.2000000000000001E-2</v>
      </c>
      <c r="BC5" s="533">
        <v>6.9000000000000006E-2</v>
      </c>
      <c r="BD5" s="533">
        <v>8.2000000000000003E-2</v>
      </c>
      <c r="BE5" s="533">
        <v>9.6000000000000002E-2</v>
      </c>
      <c r="BF5" s="534">
        <v>0.13300000000000001</v>
      </c>
      <c r="BI5" s="1188" t="s">
        <v>1008</v>
      </c>
      <c r="BJ5" s="1189"/>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91" t="s">
        <v>1005</v>
      </c>
      <c r="AR10" s="1191"/>
      <c r="AW10" s="1190" t="s">
        <v>1003</v>
      </c>
      <c r="AX10" s="1190"/>
      <c r="AY10" s="1190"/>
      <c r="AZ10" s="1190"/>
      <c r="BA10" s="1190"/>
      <c r="BD10" s="1190" t="s">
        <v>1004</v>
      </c>
      <c r="BE10" s="1190"/>
      <c r="BF10" s="1190"/>
      <c r="BG10" s="1190"/>
      <c r="BH10" s="1190"/>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23" t="s">
        <v>830</v>
      </c>
      <c r="B1" s="1223"/>
      <c r="C1" s="1223"/>
      <c r="D1" s="1223"/>
      <c r="F1" s="1224" t="s">
        <v>759</v>
      </c>
      <c r="G1" s="1224"/>
      <c r="I1" s="1225" t="s">
        <v>829</v>
      </c>
      <c r="J1" s="1226"/>
      <c r="K1" s="1226"/>
      <c r="L1" s="1226"/>
      <c r="M1" s="1226"/>
      <c r="N1" s="1226"/>
      <c r="O1" s="1226"/>
      <c r="P1" s="1226"/>
      <c r="Q1" s="1226"/>
      <c r="R1" s="1226"/>
      <c r="S1" s="1226"/>
      <c r="T1" s="1226"/>
      <c r="U1" s="1226"/>
      <c r="V1" s="1227"/>
    </row>
    <row r="2" spans="1:23" x14ac:dyDescent="0.25">
      <c r="I2" s="362"/>
      <c r="J2" s="141"/>
      <c r="K2" s="141"/>
      <c r="L2" s="141"/>
      <c r="M2" s="141"/>
      <c r="N2" s="141"/>
      <c r="O2" s="141"/>
      <c r="P2" s="141"/>
      <c r="Q2" s="141"/>
      <c r="R2" s="141"/>
      <c r="S2" s="141"/>
      <c r="T2" s="141"/>
      <c r="U2" s="141"/>
      <c r="V2" s="365"/>
    </row>
    <row r="3" spans="1:23" x14ac:dyDescent="0.25">
      <c r="A3" t="s">
        <v>252</v>
      </c>
      <c r="B3" s="1197">
        <f>Welcome!$D$4</f>
        <v>0</v>
      </c>
      <c r="C3" s="1197"/>
      <c r="I3" s="357">
        <v>1</v>
      </c>
      <c r="J3" t="s">
        <v>785</v>
      </c>
      <c r="L3" s="1197" t="str">
        <f>"ALC "&amp;'Required Info to Submit'!$F$6</f>
        <v xml:space="preserve">ALC </v>
      </c>
      <c r="M3" s="1197"/>
      <c r="N3" s="1197"/>
      <c r="O3" s="1197"/>
      <c r="P3" s="1197"/>
      <c r="R3"/>
      <c r="V3" s="144"/>
    </row>
    <row r="4" spans="1:23" ht="45" x14ac:dyDescent="0.25">
      <c r="A4" t="s">
        <v>766</v>
      </c>
      <c r="B4" s="1228">
        <f>'Required Info to Submit'!$F$6</f>
        <v>0</v>
      </c>
      <c r="C4" s="1228"/>
      <c r="D4" s="2" t="s">
        <v>922</v>
      </c>
      <c r="F4" s="272" t="s">
        <v>760</v>
      </c>
      <c r="G4" s="694">
        <f>Incentives!$H$9</f>
        <v>0</v>
      </c>
      <c r="H4" s="314"/>
      <c r="I4" s="357">
        <v>2</v>
      </c>
      <c r="J4" t="s">
        <v>761</v>
      </c>
      <c r="L4" s="366">
        <f>'Required Info to Submit'!$F$14</f>
        <v>44332</v>
      </c>
      <c r="M4" s="366"/>
      <c r="N4" s="366"/>
      <c r="O4" s="367">
        <v>3</v>
      </c>
      <c r="P4" s="1197" t="s">
        <v>763</v>
      </c>
      <c r="Q4" s="1197"/>
      <c r="R4" s="1197"/>
      <c r="S4" s="1230">
        <f>$L$4+(364*$G$5)+6</f>
        <v>44338</v>
      </c>
      <c r="T4" s="1230"/>
      <c r="U4" s="366"/>
      <c r="V4" s="144"/>
    </row>
    <row r="5" spans="1:23" x14ac:dyDescent="0.25">
      <c r="A5" t="s">
        <v>1064</v>
      </c>
      <c r="B5" s="1232">
        <f>'Required Info to Submit'!$F$8</f>
        <v>0</v>
      </c>
      <c r="C5" s="1232"/>
      <c r="D5">
        <f>G5*12</f>
        <v>0</v>
      </c>
      <c r="F5" s="272" t="s">
        <v>762</v>
      </c>
      <c r="G5" s="313">
        <f>Welcome!$D$12</f>
        <v>0</v>
      </c>
      <c r="H5" s="314"/>
      <c r="I5" s="358"/>
      <c r="M5"/>
      <c r="O5" s="2"/>
      <c r="P5" s="304"/>
      <c r="Q5" s="304"/>
      <c r="R5" s="304"/>
      <c r="S5" s="304"/>
      <c r="T5" s="304"/>
      <c r="V5" s="144"/>
    </row>
    <row r="6" spans="1:23" x14ac:dyDescent="0.25">
      <c r="A6" t="s">
        <v>824</v>
      </c>
      <c r="B6" s="1229">
        <f>'Required Info to Submit'!$F$14</f>
        <v>44332</v>
      </c>
      <c r="C6" s="122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97" t="s">
        <v>786</v>
      </c>
      <c r="Q6" s="1197"/>
      <c r="R6" s="1197"/>
      <c r="S6" s="1231">
        <f>-('Tracking &amp; Profitability'!$E$22)</f>
        <v>0</v>
      </c>
      <c r="T6" s="1231"/>
      <c r="U6" s="20"/>
      <c r="V6" s="144"/>
    </row>
    <row r="7" spans="1:23" x14ac:dyDescent="0.25">
      <c r="A7" t="s">
        <v>825</v>
      </c>
      <c r="B7" s="1197">
        <f>'Required Info to Submit'!$F$10</f>
        <v>0</v>
      </c>
      <c r="C7" s="1197"/>
      <c r="F7" s="901" t="str">
        <f>IF(Incentives!E15="Yes","VB","")</f>
        <v/>
      </c>
      <c r="G7" s="901" t="str">
        <f>IF(Incentives!E26="YES","DS","")</f>
        <v/>
      </c>
      <c r="I7" s="357">
        <v>6</v>
      </c>
      <c r="J7" t="s">
        <v>787</v>
      </c>
      <c r="L7" s="1197" t="str">
        <f>'MDA Worksheet'!$K$95</f>
        <v/>
      </c>
      <c r="M7" s="1197"/>
      <c r="N7" s="1197"/>
      <c r="O7" s="367">
        <v>8</v>
      </c>
      <c r="P7" s="1197" t="s">
        <v>902</v>
      </c>
      <c r="Q7" s="1197"/>
      <c r="R7" s="1197"/>
      <c r="S7" s="1197">
        <f>'Required Info to Submit'!$F$10</f>
        <v>0</v>
      </c>
      <c r="T7" s="1197"/>
      <c r="V7" s="144"/>
    </row>
    <row r="8" spans="1:23" x14ac:dyDescent="0.25">
      <c r="A8" t="s">
        <v>826</v>
      </c>
      <c r="B8" s="1197">
        <f>'Required Info to Submit'!$F$9</f>
        <v>0</v>
      </c>
      <c r="C8" s="1197"/>
      <c r="F8" s="901" t="str">
        <f>IF(Incentives!E37="Yes","EB","")</f>
        <v/>
      </c>
      <c r="G8" s="901" t="str">
        <f>IF(Incentives!E48="Yes","SG","")</f>
        <v/>
      </c>
      <c r="I8" s="143"/>
      <c r="M8"/>
      <c r="R8"/>
      <c r="V8" s="144"/>
    </row>
    <row r="9" spans="1:23" x14ac:dyDescent="0.25">
      <c r="A9" t="s">
        <v>682</v>
      </c>
      <c r="B9" s="1197">
        <f>'Required Info to Submit'!$F$12</f>
        <v>0</v>
      </c>
      <c r="C9" s="119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97">
        <f>'Required Info to Submit'!$F$11</f>
        <v>0</v>
      </c>
      <c r="C10" s="119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222"/>
      <c r="C11" s="1222"/>
      <c r="F11" s="974" t="str">
        <f>IF(Incentives!E72="Yes","Roll","")</f>
        <v>Roll</v>
      </c>
      <c r="I11" s="1198" t="s">
        <v>767</v>
      </c>
      <c r="J11" s="1199"/>
      <c r="K11" s="1199"/>
      <c r="L11" s="1200"/>
      <c r="M11" s="320"/>
      <c r="N11" s="1198" t="s">
        <v>491</v>
      </c>
      <c r="O11" s="1199"/>
      <c r="P11" s="1199"/>
      <c r="Q11" s="1200"/>
      <c r="R11" s="320"/>
      <c r="S11" s="1198" t="s">
        <v>555</v>
      </c>
      <c r="T11" s="1199"/>
      <c r="U11" s="1199"/>
      <c r="V11" s="1200"/>
    </row>
    <row r="12" spans="1:23" ht="15.75" thickBot="1" x14ac:dyDescent="0.3">
      <c r="A12" s="1194" t="s">
        <v>767</v>
      </c>
      <c r="B12" s="1195"/>
      <c r="C12" s="1195"/>
      <c r="D12" s="1196"/>
      <c r="E12" s="940"/>
      <c r="F12" s="141"/>
      <c r="G12" s="141"/>
      <c r="H12" s="863"/>
      <c r="I12" s="1201" t="s">
        <v>768</v>
      </c>
      <c r="J12" s="1202"/>
      <c r="K12" s="1202"/>
      <c r="L12" s="1203"/>
      <c r="M12" s="320"/>
      <c r="N12" s="1201" t="s">
        <v>769</v>
      </c>
      <c r="O12" s="1202"/>
      <c r="P12" s="1202"/>
      <c r="Q12" s="1203"/>
      <c r="R12" s="320"/>
      <c r="S12" s="1201" t="s">
        <v>770</v>
      </c>
      <c r="T12" s="1202"/>
      <c r="U12" s="1202"/>
      <c r="V12" s="1203"/>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3" t="str">
        <f>Incentives!$I$14</f>
        <v>Select Payment Method</v>
      </c>
      <c r="C14" s="902"/>
      <c r="D14" s="333"/>
      <c r="E14" s="330"/>
      <c r="F14" s="272"/>
      <c r="G14" s="272"/>
      <c r="H14" s="314"/>
      <c r="I14" s="360" t="s">
        <v>924</v>
      </c>
      <c r="J14" s="329" t="str">
        <f>Incentives!$I$14</f>
        <v>Select Payment Method</v>
      </c>
      <c r="K14" s="332" t="str">
        <f>IF(J14="Check","Check","Credit Memo")</f>
        <v>Credit Memo</v>
      </c>
      <c r="L14" s="695" t="str">
        <f>Incentives!$K$14</f>
        <v/>
      </c>
      <c r="M14" s="314"/>
      <c r="N14" s="360" t="s">
        <v>925</v>
      </c>
      <c r="O14" s="329" t="str">
        <f>Incentives!$I$25</f>
        <v>Select Payment Method</v>
      </c>
      <c r="P14" s="332" t="str">
        <f>IF(O14="Check","Check","Credit Memo")</f>
        <v>Credit Memo</v>
      </c>
      <c r="Q14" s="695" t="str">
        <f>Incentives!$K$25</f>
        <v/>
      </c>
      <c r="R14" s="314"/>
      <c r="S14" s="328" t="s">
        <v>925</v>
      </c>
      <c r="T14" s="329" t="str">
        <f>Incentives!$I$36</f>
        <v>Select Payment Method</v>
      </c>
      <c r="U14" s="332" t="str">
        <f>IF(T14="Check","Check","Credit Memo")</f>
        <v>Credit Memo</v>
      </c>
      <c r="V14" s="695" t="str">
        <f>Incentives!$K$36</f>
        <v/>
      </c>
      <c r="W14" s="314"/>
    </row>
    <row r="15" spans="1:23" x14ac:dyDescent="0.25">
      <c r="A15" s="328" t="s">
        <v>1248</v>
      </c>
      <c r="B15" s="843" t="str">
        <f>Incentives!$G$14</f>
        <v>Quarterly</v>
      </c>
      <c r="C15" s="902"/>
      <c r="D15" s="333"/>
      <c r="E15" s="330"/>
      <c r="F15" s="272"/>
      <c r="G15" s="272"/>
      <c r="H15" s="314"/>
      <c r="I15" s="784" t="s">
        <v>1248</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3"/>
      <c r="C16" s="902"/>
      <c r="D16" s="333"/>
      <c r="E16" s="330"/>
      <c r="F16" s="272"/>
      <c r="G16" s="272"/>
      <c r="H16" s="314"/>
      <c r="I16" s="360"/>
      <c r="J16" s="88" t="s">
        <v>917</v>
      </c>
      <c r="K16" s="331">
        <f>Incentives!$I$18</f>
        <v>0.01</v>
      </c>
      <c r="L16" s="333"/>
      <c r="M16" s="314"/>
      <c r="N16" s="784" t="s">
        <v>1248</v>
      </c>
      <c r="O16" s="919" t="str">
        <f>B27</f>
        <v>Quarterly</v>
      </c>
      <c r="P16" s="332"/>
      <c r="Q16" s="333"/>
      <c r="R16" s="314"/>
      <c r="S16" s="784" t="s">
        <v>1248</v>
      </c>
      <c r="T16" s="919" t="str">
        <f>B37</f>
        <v>Quarterly</v>
      </c>
      <c r="U16" s="332"/>
      <c r="V16" s="333"/>
      <c r="W16" s="314"/>
    </row>
    <row r="17" spans="1:23" x14ac:dyDescent="0.25">
      <c r="A17" s="143"/>
      <c r="B17" s="818"/>
      <c r="C17" s="818"/>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7">
        <v>0</v>
      </c>
      <c r="C19" s="377">
        <f>IF(ISERROR(B20-0.01),"",B20-0.01)</f>
        <v>-0.01</v>
      </c>
      <c r="D19" s="941">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1">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1">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2">
        <f>Incentives!$I$20</f>
        <v>0.02</v>
      </c>
      <c r="E22" s="347"/>
      <c r="F22" s="292">
        <v>3</v>
      </c>
      <c r="G22" s="348">
        <f>Incentives!$E$20</f>
        <v>0</v>
      </c>
      <c r="H22" s="349"/>
      <c r="I22" s="358" t="s">
        <v>1100</v>
      </c>
      <c r="J22" s="292"/>
      <c r="K22" s="292">
        <f>IF($B$22="","",ROUND($B$22,0))</f>
        <v>0</v>
      </c>
      <c r="L22" s="872">
        <f t="shared" si="0"/>
        <v>0.02</v>
      </c>
      <c r="M22" s="350"/>
      <c r="N22" s="358" t="s">
        <v>1100</v>
      </c>
      <c r="O22" s="292"/>
      <c r="P22" s="376">
        <f>B32</f>
        <v>0</v>
      </c>
      <c r="Q22" s="872">
        <f>D32</f>
        <v>0.02</v>
      </c>
      <c r="R22" s="350"/>
      <c r="S22" s="358" t="s">
        <v>1100</v>
      </c>
      <c r="U22" s="59">
        <f>B42</f>
        <v>0</v>
      </c>
      <c r="V22" s="773">
        <f>D42</f>
        <v>0.02</v>
      </c>
    </row>
    <row r="23" spans="1:23" ht="16.5" thickBot="1" x14ac:dyDescent="0.3">
      <c r="E23" s="935"/>
      <c r="H23" s="863"/>
      <c r="I23" s="1198" t="s">
        <v>1236</v>
      </c>
      <c r="J23" s="1199"/>
      <c r="K23" s="1199"/>
      <c r="L23" s="1200"/>
      <c r="M23" s="862"/>
      <c r="N23" s="1213" t="s">
        <v>1237</v>
      </c>
      <c r="O23" s="1214"/>
      <c r="P23" s="1214"/>
      <c r="Q23" s="1215"/>
      <c r="R23" s="862"/>
      <c r="S23" s="1198" t="s">
        <v>1223</v>
      </c>
      <c r="T23" s="1199"/>
      <c r="U23" s="1199"/>
      <c r="V23" s="1200"/>
    </row>
    <row r="24" spans="1:23" ht="15.75" thickBot="1" x14ac:dyDescent="0.3">
      <c r="A24" s="1194" t="s">
        <v>491</v>
      </c>
      <c r="B24" s="1195"/>
      <c r="C24" s="1195"/>
      <c r="D24" s="1196"/>
      <c r="E24" s="319"/>
      <c r="F24" s="141"/>
      <c r="G24" s="141"/>
      <c r="H24" s="320"/>
      <c r="I24" s="1201" t="s">
        <v>779</v>
      </c>
      <c r="J24" s="1202"/>
      <c r="K24" s="1202"/>
      <c r="L24" s="1203"/>
      <c r="M24" s="862"/>
      <c r="N24" s="1219" t="s">
        <v>779</v>
      </c>
      <c r="O24" s="1220"/>
      <c r="P24" s="1220"/>
      <c r="Q24" s="1221"/>
      <c r="R24" s="862"/>
      <c r="S24" s="1201" t="s">
        <v>780</v>
      </c>
      <c r="T24" s="1202"/>
      <c r="U24" s="1202"/>
      <c r="V24" s="1203"/>
    </row>
    <row r="25" spans="1:23" x14ac:dyDescent="0.25">
      <c r="A25" s="328" t="s">
        <v>761</v>
      </c>
      <c r="B25" s="843">
        <f>$L$4</f>
        <v>44332</v>
      </c>
      <c r="C25" s="902" t="s">
        <v>772</v>
      </c>
      <c r="D25" s="333">
        <f>$S$4</f>
        <v>44338</v>
      </c>
      <c r="I25" s="961" t="s">
        <v>773</v>
      </c>
      <c r="J25" s="322">
        <f>$L$4</f>
        <v>44332</v>
      </c>
      <c r="K25" s="363" t="s">
        <v>774</v>
      </c>
      <c r="L25" s="364">
        <f>$S$4</f>
        <v>44338</v>
      </c>
      <c r="N25" s="143"/>
      <c r="O25" s="818"/>
      <c r="P25" s="818"/>
      <c r="Q25" s="144"/>
      <c r="S25" s="143" t="s">
        <v>773</v>
      </c>
      <c r="T25" s="843">
        <f>$L$4</f>
        <v>44332</v>
      </c>
      <c r="U25" s="845" t="s">
        <v>774</v>
      </c>
      <c r="V25" s="352">
        <f>$S$4</f>
        <v>44338</v>
      </c>
    </row>
    <row r="26" spans="1:23" ht="30" x14ac:dyDescent="0.25">
      <c r="A26" s="328" t="s">
        <v>906</v>
      </c>
      <c r="B26" s="843" t="str">
        <f>Incentives!$I$25</f>
        <v>Select Payment Method</v>
      </c>
      <c r="C26" s="902"/>
      <c r="D26" s="333"/>
      <c r="I26" s="955"/>
      <c r="J26" s="845" t="str">
        <f>IF(Incentives!$I$63="Check","Check","Credit Memo")</f>
        <v>Credit Memo</v>
      </c>
      <c r="K26" s="818" t="str">
        <f>Incentives!$K$63</f>
        <v/>
      </c>
      <c r="L26" s="352"/>
      <c r="N26" s="143"/>
      <c r="O26" s="849" t="s">
        <v>1215</v>
      </c>
      <c r="P26" s="849"/>
      <c r="Q26" s="850">
        <f>D62</f>
        <v>0</v>
      </c>
      <c r="S26" s="328" t="s">
        <v>925</v>
      </c>
      <c r="T26" s="843" t="str">
        <f>Incentives!$I$80</f>
        <v>Select Payment Method</v>
      </c>
      <c r="U26" s="844" t="str">
        <f>IF($T$26="Check","Check","Credit Memo")</f>
        <v>Credit Memo</v>
      </c>
      <c r="V26" s="695" t="str">
        <f>Incentives!$K$80</f>
        <v/>
      </c>
    </row>
    <row r="27" spans="1:23" x14ac:dyDescent="0.25">
      <c r="A27" s="143" t="s">
        <v>1248</v>
      </c>
      <c r="B27" s="818" t="str">
        <f>Incentives!$G$25</f>
        <v>Quarterly</v>
      </c>
      <c r="C27" s="818"/>
      <c r="D27" s="144"/>
      <c r="I27" s="143"/>
      <c r="J27" s="818"/>
      <c r="K27" s="818"/>
      <c r="L27" s="144"/>
      <c r="N27" s="851" t="s">
        <v>1214</v>
      </c>
      <c r="O27" s="849" t="s">
        <v>773</v>
      </c>
      <c r="P27" s="849" t="s">
        <v>774</v>
      </c>
      <c r="Q27" s="852"/>
      <c r="S27" s="143"/>
      <c r="T27" s="818" t="s">
        <v>903</v>
      </c>
      <c r="U27" s="818"/>
      <c r="V27" s="144"/>
    </row>
    <row r="28" spans="1:23" ht="30" x14ac:dyDescent="0.25">
      <c r="A28" s="143"/>
      <c r="B28" s="336" t="s">
        <v>127</v>
      </c>
      <c r="C28" s="336" t="s">
        <v>129</v>
      </c>
      <c r="D28" s="769" t="s">
        <v>777</v>
      </c>
      <c r="E28" s="353"/>
      <c r="I28" s="143"/>
      <c r="J28" s="818"/>
      <c r="K28" s="818"/>
      <c r="L28" s="144"/>
      <c r="N28" s="853" t="s">
        <v>1218</v>
      </c>
      <c r="O28" s="854">
        <f>L4</f>
        <v>44332</v>
      </c>
      <c r="P28" s="854">
        <f>O28+363</f>
        <v>44695</v>
      </c>
      <c r="Q28" s="855" t="e">
        <f>$C$62/$B$62</f>
        <v>#VALUE!</v>
      </c>
      <c r="S28" s="143"/>
      <c r="T28" s="818"/>
      <c r="U28" s="818"/>
      <c r="V28" s="144"/>
    </row>
    <row r="29" spans="1:23" ht="30" x14ac:dyDescent="0.25">
      <c r="A29" s="143"/>
      <c r="B29" s="373">
        <v>0</v>
      </c>
      <c r="C29" s="377">
        <f>ROUND(IF(ISERROR(B30-0.01),"",B30-0.01),2)</f>
        <v>-0.01</v>
      </c>
      <c r="D29" s="772">
        <f>Incentives!$I$28</f>
        <v>0</v>
      </c>
      <c r="I29" s="357">
        <v>1</v>
      </c>
      <c r="J29" s="846" t="s">
        <v>782</v>
      </c>
      <c r="K29" s="847">
        <f>IF(B60="YES - Purchase Commitment",Incentives!$M$66,Incentives!$K$66)</f>
        <v>0</v>
      </c>
      <c r="L29" s="144"/>
      <c r="N29" s="853" t="s">
        <v>1219</v>
      </c>
      <c r="O29" s="854">
        <f>P28+1</f>
        <v>44696</v>
      </c>
      <c r="P29" s="854">
        <f>O29+370</f>
        <v>45066</v>
      </c>
      <c r="Q29" s="855" t="e">
        <f>$C$62/$B$62</f>
        <v>#VALUE!</v>
      </c>
      <c r="S29" s="357">
        <v>2</v>
      </c>
      <c r="T29" s="846" t="s">
        <v>782</v>
      </c>
      <c r="U29" s="847">
        <f>Incentives!$K$83</f>
        <v>3</v>
      </c>
      <c r="V29" s="144"/>
    </row>
    <row r="30" spans="1:23" x14ac:dyDescent="0.25">
      <c r="A30" s="143"/>
      <c r="B30" s="371">
        <f>ROUND(Incentives!$G$29,0)</f>
        <v>0</v>
      </c>
      <c r="C30" s="377">
        <f t="shared" ref="C30:C31" si="1">ROUND(IF(ISERROR(B31-0.01),"",B31-0.01),2)</f>
        <v>-0.01</v>
      </c>
      <c r="D30" s="772">
        <f>Incentives!$I$29</f>
        <v>0.01</v>
      </c>
      <c r="I30" s="962" t="str">
        <f>IF($B$60="YES - Purchase Commitment",3,"")</f>
        <v/>
      </c>
      <c r="J30" s="846" t="str">
        <f>IF($B$60="YES - Purchase Commitment","Min Sales Required","")</f>
        <v/>
      </c>
      <c r="K30" s="848">
        <f>$G$4</f>
        <v>0</v>
      </c>
      <c r="L30" s="144" t="s">
        <v>907</v>
      </c>
      <c r="N30" s="853" t="s">
        <v>1220</v>
      </c>
      <c r="O30" s="854">
        <f>P29+1</f>
        <v>45067</v>
      </c>
      <c r="P30" s="854">
        <f>O30+363</f>
        <v>45430</v>
      </c>
      <c r="Q30" s="855" t="e">
        <f>$C$62/$B$62</f>
        <v>#VALUE!</v>
      </c>
      <c r="S30" s="143"/>
      <c r="T30" s="818"/>
      <c r="U30" s="818"/>
      <c r="V30" s="144"/>
    </row>
    <row r="31" spans="1:23" x14ac:dyDescent="0.25">
      <c r="A31" s="143"/>
      <c r="B31" s="371">
        <f>ROUND(Incentives!$G$30,0)</f>
        <v>0</v>
      </c>
      <c r="C31" s="377">
        <f t="shared" si="1"/>
        <v>-0.01</v>
      </c>
      <c r="D31" s="772">
        <f>Incentives!$I$30</f>
        <v>1.4999999999999999E-2</v>
      </c>
      <c r="I31" s="962">
        <f>IF($B$60="YES - Purchase Commitment"," ",3)</f>
        <v>3</v>
      </c>
      <c r="J31" s="846" t="str">
        <f>IF($B$60="YES - Purchase Commitment"," ","Min Sales Required")</f>
        <v>Min Sales Required</v>
      </c>
      <c r="K31" s="848">
        <f>IF($B$60="YES - Purchase Commitment","",$G$4*$G$5)</f>
        <v>0</v>
      </c>
      <c r="L31" s="695" t="s">
        <v>788</v>
      </c>
      <c r="N31" s="853" t="s">
        <v>1221</v>
      </c>
      <c r="O31" s="854">
        <f>P30+1</f>
        <v>45431</v>
      </c>
      <c r="P31" s="854">
        <f>O31+363</f>
        <v>45794</v>
      </c>
      <c r="Q31" s="855" t="e">
        <f>$C$62/$B$62</f>
        <v>#VALUE!</v>
      </c>
      <c r="S31" s="143"/>
      <c r="T31" s="818"/>
      <c r="U31" s="818"/>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6" t="s">
        <v>1222</v>
      </c>
      <c r="O32" s="857">
        <f>P31+1</f>
        <v>45795</v>
      </c>
      <c r="P32" s="857">
        <f>O32+363</f>
        <v>46158</v>
      </c>
      <c r="Q32" s="858" t="e">
        <f>$C$62/$B$62</f>
        <v>#VALUE!</v>
      </c>
      <c r="S32" s="291"/>
      <c r="T32" s="292"/>
      <c r="U32" s="292"/>
      <c r="V32" s="293"/>
    </row>
    <row r="33" spans="1:22" ht="16.5" thickBot="1" x14ac:dyDescent="0.3">
      <c r="E33" s="935"/>
      <c r="H33" s="863"/>
      <c r="I33" s="1216" t="s">
        <v>781</v>
      </c>
      <c r="J33" s="1217"/>
      <c r="K33" s="1217"/>
      <c r="L33" s="1218"/>
      <c r="M33" s="863"/>
      <c r="N33" s="1207" t="s">
        <v>1109</v>
      </c>
      <c r="O33" s="1208"/>
      <c r="P33" s="1208"/>
      <c r="Q33" s="1209"/>
      <c r="R33" s="863"/>
      <c r="S33" s="1207" t="s">
        <v>1249</v>
      </c>
      <c r="T33" s="1208"/>
      <c r="U33" s="1208"/>
      <c r="V33" s="1209"/>
    </row>
    <row r="34" spans="1:22" ht="15.75" thickBot="1" x14ac:dyDescent="0.3">
      <c r="A34" s="1194" t="s">
        <v>555</v>
      </c>
      <c r="B34" s="1195"/>
      <c r="C34" s="1195"/>
      <c r="D34" s="1196"/>
      <c r="E34" s="319"/>
      <c r="F34" s="141"/>
      <c r="G34" s="141"/>
      <c r="H34" s="320"/>
      <c r="I34" s="1204" t="s">
        <v>784</v>
      </c>
      <c r="J34" s="1205"/>
      <c r="K34" s="1205"/>
      <c r="L34" s="1206"/>
      <c r="M34" s="863"/>
      <c r="N34" s="1210" t="s">
        <v>783</v>
      </c>
      <c r="O34" s="1211"/>
      <c r="P34" s="1211"/>
      <c r="Q34" s="1212"/>
      <c r="R34" s="863"/>
      <c r="S34" s="1201" t="s">
        <v>1257</v>
      </c>
      <c r="T34" s="1202"/>
      <c r="U34" s="1202"/>
      <c r="V34" s="1203"/>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3" t="str">
        <f>Incentives!$I$55</f>
        <v>Select Payment Method</v>
      </c>
      <c r="K36" s="844" t="str">
        <f>IF(J36="Check","Check","Credit Memo")</f>
        <v>Credit Memo</v>
      </c>
      <c r="L36" s="695" t="str">
        <f>Incentives!$K$55</f>
        <v/>
      </c>
      <c r="N36" s="328" t="s">
        <v>925</v>
      </c>
      <c r="O36" s="272" t="str">
        <f>$B$82</f>
        <v>Select Payment Method</v>
      </c>
      <c r="Q36" s="144"/>
      <c r="S36" s="891" t="s">
        <v>1251</v>
      </c>
      <c r="T36" s="892" t="str">
        <f>$B$46</f>
        <v>Select Payment Method</v>
      </c>
      <c r="U36" s="883"/>
      <c r="V36" s="884"/>
    </row>
    <row r="37" spans="1:22" x14ac:dyDescent="0.25">
      <c r="A37" s="882" t="s">
        <v>1248</v>
      </c>
      <c r="B37" s="930" t="str">
        <f>Incentives!$G$36</f>
        <v>Quarterly</v>
      </c>
      <c r="D37" s="144"/>
      <c r="I37" s="784" t="s">
        <v>1248</v>
      </c>
      <c r="J37" s="919" t="str">
        <f>B54</f>
        <v>Quarterly</v>
      </c>
      <c r="K37" s="818"/>
      <c r="L37" s="144"/>
      <c r="N37" s="143"/>
      <c r="Q37" s="144"/>
      <c r="S37" s="882" t="s">
        <v>1252</v>
      </c>
      <c r="T37" s="883" t="str">
        <f>$B$47</f>
        <v>Quarterly</v>
      </c>
      <c r="U37" s="883"/>
      <c r="V37" s="884"/>
    </row>
    <row r="38" spans="1:22" ht="30" x14ac:dyDescent="0.25">
      <c r="A38" s="143"/>
      <c r="B38" s="336" t="s">
        <v>127</v>
      </c>
      <c r="C38" s="336" t="s">
        <v>129</v>
      </c>
      <c r="D38" s="769" t="s">
        <v>543</v>
      </c>
      <c r="I38" s="784">
        <v>3</v>
      </c>
      <c r="J38" s="846" t="s">
        <v>1256</v>
      </c>
      <c r="K38" s="874">
        <f>D55</f>
        <v>0</v>
      </c>
      <c r="L38" s="144"/>
      <c r="N38" s="143"/>
      <c r="O38" t="s">
        <v>782</v>
      </c>
      <c r="P38" s="22">
        <f>D84</f>
        <v>0</v>
      </c>
      <c r="Q38" s="144"/>
      <c r="S38" s="882"/>
      <c r="T38" s="883"/>
      <c r="U38" s="883" t="s">
        <v>1245</v>
      </c>
      <c r="V38" s="894">
        <f>$C$48</f>
        <v>0</v>
      </c>
    </row>
    <row r="39" spans="1:22" x14ac:dyDescent="0.25">
      <c r="A39" s="143"/>
      <c r="B39" s="767">
        <v>0</v>
      </c>
      <c r="C39" s="768">
        <f>IF(ISERROR(B40-0.01),"",(B40-0.0001))</f>
        <v>-1E-4</v>
      </c>
      <c r="D39" s="770">
        <v>0</v>
      </c>
      <c r="I39" s="784">
        <v>4</v>
      </c>
      <c r="J39" s="846" t="s">
        <v>1255</v>
      </c>
      <c r="K39" s="874">
        <f>$C$55</f>
        <v>0</v>
      </c>
      <c r="L39" s="144"/>
      <c r="N39" s="143"/>
      <c r="Q39" s="144"/>
      <c r="S39" s="882"/>
      <c r="T39" s="883"/>
      <c r="U39" s="883" t="s">
        <v>1247</v>
      </c>
      <c r="V39" s="893">
        <f>D48</f>
        <v>0</v>
      </c>
    </row>
    <row r="40" spans="1:22" ht="15.75" thickBot="1" x14ac:dyDescent="0.3">
      <c r="A40" s="143"/>
      <c r="B40" s="340">
        <f>Incentives!$G$40</f>
        <v>0</v>
      </c>
      <c r="C40" s="768" t="str">
        <f>IF(OR(ISERROR(B41-0.01),B41=0),"",(B41-0.0001))</f>
        <v/>
      </c>
      <c r="D40" s="772">
        <f>Incentives!$I$40</f>
        <v>0.01</v>
      </c>
      <c r="F40" s="926"/>
      <c r="G40" s="926"/>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6"/>
      <c r="G41" s="926"/>
      <c r="H41" s="931"/>
      <c r="I41" s="818"/>
      <c r="N41" s="1198" t="s">
        <v>1300</v>
      </c>
      <c r="O41" s="1199"/>
      <c r="P41" s="1199"/>
      <c r="Q41" s="1200"/>
      <c r="S41" s="1198"/>
      <c r="T41" s="1199"/>
      <c r="U41" s="1199"/>
      <c r="V41" s="1200"/>
    </row>
    <row r="42" spans="1:22" ht="15.75" thickBot="1" x14ac:dyDescent="0.3">
      <c r="A42" s="291"/>
      <c r="B42" s="346">
        <f>Incentives!$G$42</f>
        <v>0</v>
      </c>
      <c r="C42" s="356">
        <v>1</v>
      </c>
      <c r="D42" s="771">
        <f>Incentives!$I$42</f>
        <v>0.02</v>
      </c>
      <c r="E42" s="354"/>
      <c r="F42" s="818"/>
      <c r="G42" s="818"/>
      <c r="H42" s="932"/>
      <c r="I42" s="818"/>
      <c r="N42" s="1201" t="s">
        <v>1301</v>
      </c>
      <c r="O42" s="1202"/>
      <c r="P42" s="1202"/>
      <c r="Q42" s="1203"/>
      <c r="R42" s="983"/>
      <c r="S42" s="1201"/>
      <c r="T42" s="1202"/>
      <c r="U42" s="1202"/>
      <c r="V42" s="1203"/>
    </row>
    <row r="43" spans="1:22" ht="15.75" thickBot="1" x14ac:dyDescent="0.3">
      <c r="E43" s="935"/>
      <c r="F43" s="936"/>
      <c r="G43" s="938"/>
      <c r="H43" s="863"/>
      <c r="I43" s="859"/>
      <c r="J43" s="370" t="s">
        <v>765</v>
      </c>
      <c r="K43" s="860" t="s">
        <v>766</v>
      </c>
      <c r="L43" s="861"/>
      <c r="N43" s="961" t="s">
        <v>773</v>
      </c>
      <c r="O43" s="322">
        <f>$L$4</f>
        <v>44332</v>
      </c>
      <c r="P43" s="363" t="s">
        <v>774</v>
      </c>
      <c r="Q43" s="364">
        <f>$S$4</f>
        <v>44338</v>
      </c>
      <c r="S43" s="961"/>
      <c r="T43" s="322"/>
      <c r="U43" s="363"/>
      <c r="V43" s="364"/>
    </row>
    <row r="44" spans="1:22" x14ac:dyDescent="0.25">
      <c r="A44" s="1194" t="s">
        <v>1249</v>
      </c>
      <c r="B44" s="1195"/>
      <c r="C44" s="1195"/>
      <c r="D44" s="1196"/>
      <c r="E44" s="319"/>
      <c r="F44" s="818"/>
      <c r="G44" s="818"/>
      <c r="I44" s="933">
        <v>1</v>
      </c>
      <c r="J44" s="297">
        <f>IFERROR('MDA Worksheet'!D95,"")</f>
        <v>0</v>
      </c>
      <c r="K44" s="757" t="str">
        <f>IFERROR('MDA Worksheet'!$K$95,"")</f>
        <v/>
      </c>
      <c r="N44" s="143"/>
      <c r="O44" s="818"/>
      <c r="P44" s="818"/>
      <c r="Q44" s="144"/>
      <c r="S44" s="143"/>
      <c r="T44" s="818"/>
      <c r="U44" s="818"/>
      <c r="V44" s="144"/>
    </row>
    <row r="45" spans="1:22" x14ac:dyDescent="0.25">
      <c r="A45" s="143" t="s">
        <v>771</v>
      </c>
      <c r="B45" s="843">
        <f>$L$4</f>
        <v>44332</v>
      </c>
      <c r="C45" s="818"/>
      <c r="D45" s="333">
        <f>$S$4</f>
        <v>44338</v>
      </c>
      <c r="I45" s="934">
        <v>2</v>
      </c>
      <c r="J45" s="298">
        <f>IFERROR('MDA Worksheet'!D96,"")</f>
        <v>0</v>
      </c>
      <c r="K45" s="1" t="str">
        <f>IFERROR('MDA Worksheet'!K96,"")</f>
        <v/>
      </c>
      <c r="N45" s="143"/>
      <c r="O45" s="818" t="str">
        <f>B68</f>
        <v>Select Payment Method</v>
      </c>
      <c r="P45" s="818"/>
      <c r="Q45" s="144"/>
      <c r="S45" s="143"/>
      <c r="T45" s="818"/>
      <c r="U45" s="818"/>
      <c r="V45" s="144"/>
    </row>
    <row r="46" spans="1:22" x14ac:dyDescent="0.25">
      <c r="A46" s="905" t="s">
        <v>906</v>
      </c>
      <c r="B46" s="818" t="str">
        <f>Incentives!$I$47</f>
        <v>Select Payment Method</v>
      </c>
      <c r="C46" s="818"/>
      <c r="D46" s="144"/>
      <c r="I46" s="934">
        <v>3</v>
      </c>
      <c r="J46" s="298">
        <f>IFERROR('MDA Worksheet'!D97,"")</f>
        <v>0</v>
      </c>
      <c r="K46" s="1" t="str">
        <f>IFERROR('MDA Worksheet'!K97,"")</f>
        <v/>
      </c>
      <c r="N46" s="143"/>
      <c r="O46" s="818"/>
      <c r="P46" s="818"/>
      <c r="Q46" s="144"/>
      <c r="S46" s="143"/>
      <c r="T46" s="818"/>
      <c r="U46" s="818"/>
      <c r="V46" s="144"/>
    </row>
    <row r="47" spans="1:22" ht="30" x14ac:dyDescent="0.25">
      <c r="A47" s="905" t="s">
        <v>1248</v>
      </c>
      <c r="B47" s="818" t="str">
        <f>Incentives!$G$47</f>
        <v>Quarterly</v>
      </c>
      <c r="C47" s="906" t="s">
        <v>1245</v>
      </c>
      <c r="D47" s="907" t="s">
        <v>1247</v>
      </c>
      <c r="F47" s="926"/>
      <c r="G47" s="926"/>
      <c r="H47" s="932"/>
      <c r="I47" s="934">
        <v>4</v>
      </c>
      <c r="J47" s="298">
        <f>IFERROR('MDA Worksheet'!D98,"")</f>
        <v>0</v>
      </c>
      <c r="K47" s="1" t="str">
        <f>IFERROR('MDA Worksheet'!K98,"")</f>
        <v/>
      </c>
      <c r="N47" s="357">
        <v>1</v>
      </c>
      <c r="O47" s="846" t="s">
        <v>782</v>
      </c>
      <c r="P47" s="985">
        <f>B69</f>
        <v>0</v>
      </c>
      <c r="Q47" s="144"/>
      <c r="S47" s="1011"/>
      <c r="T47" s="1012"/>
      <c r="U47" s="1013"/>
      <c r="V47" s="884"/>
    </row>
    <row r="48" spans="1:22" x14ac:dyDescent="0.25">
      <c r="A48" s="143"/>
      <c r="B48" s="818"/>
      <c r="C48" s="848">
        <f>Incentives!$G$50</f>
        <v>0</v>
      </c>
      <c r="D48" s="774">
        <f>Incentives!$I$50</f>
        <v>0</v>
      </c>
      <c r="H48" s="932"/>
      <c r="I48" s="934">
        <v>5</v>
      </c>
      <c r="J48" s="298">
        <f>IFERROR('MDA Worksheet'!D99,"")</f>
        <v>0</v>
      </c>
      <c r="K48" s="1" t="str">
        <f>IFERROR('MDA Worksheet'!K99,"")</f>
        <v/>
      </c>
      <c r="N48" s="962" t="str">
        <f>IF($B$60="YES - Purchase Commitment",3,"")</f>
        <v/>
      </c>
      <c r="O48" s="846" t="str">
        <f>IF($B$60="YES - Purchase Commitment","Min Sales Required","")</f>
        <v/>
      </c>
      <c r="P48" s="848">
        <f>$G$4</f>
        <v>0</v>
      </c>
      <c r="Q48" s="144" t="s">
        <v>907</v>
      </c>
      <c r="S48" s="1014"/>
      <c r="T48" s="1012"/>
      <c r="U48" s="1015"/>
      <c r="V48" s="884"/>
    </row>
    <row r="49" spans="1:23" ht="30.75" thickBot="1" x14ac:dyDescent="0.3">
      <c r="A49" s="291"/>
      <c r="B49" s="292"/>
      <c r="C49" s="292"/>
      <c r="D49" s="293"/>
      <c r="E49" s="354"/>
      <c r="F49" s="818"/>
      <c r="G49" s="818"/>
      <c r="H49" s="932"/>
      <c r="I49" s="934">
        <v>6</v>
      </c>
      <c r="J49" s="298">
        <f>IFERROR('MDA Worksheet'!D100,"")</f>
        <v>0</v>
      </c>
      <c r="K49" s="1" t="str">
        <f>IFERROR('MDA Worksheet'!K100,"")</f>
        <v/>
      </c>
      <c r="N49" s="984">
        <f>IF($B$60="YES - Purchase Commitment"," ",3)</f>
        <v>3</v>
      </c>
      <c r="O49" s="846" t="str">
        <f>IF($B$60="YES - Purchase Commitment"," ","Min Sales Required")</f>
        <v>Min Sales Required</v>
      </c>
      <c r="P49" s="848">
        <f>$D$72</f>
        <v>0</v>
      </c>
      <c r="Q49" s="695" t="s">
        <v>788</v>
      </c>
      <c r="S49" s="1014"/>
      <c r="T49" s="1012"/>
      <c r="U49" s="1015"/>
      <c r="V49" s="1016"/>
    </row>
    <row r="50" spans="1:23" ht="15.75" thickBot="1" x14ac:dyDescent="0.3">
      <c r="A50" s="900"/>
      <c r="B50" s="900"/>
      <c r="C50" s="900"/>
      <c r="D50" s="900"/>
      <c r="E50" s="935"/>
      <c r="F50" s="936"/>
      <c r="G50" s="938"/>
      <c r="H50" s="863"/>
      <c r="I50" s="934">
        <v>7</v>
      </c>
      <c r="J50" s="298">
        <f>IFERROR('MDA Worksheet'!D101,"")</f>
        <v>0</v>
      </c>
      <c r="K50" s="1" t="str">
        <f>IFERROR('MDA Worksheet'!K101,"")</f>
        <v/>
      </c>
      <c r="N50" s="143"/>
      <c r="O50" s="818"/>
      <c r="P50" s="818"/>
      <c r="Q50" s="144"/>
      <c r="S50" s="882"/>
      <c r="T50" s="883"/>
      <c r="U50" s="883"/>
      <c r="V50" s="884"/>
    </row>
    <row r="51" spans="1:23" x14ac:dyDescent="0.25">
      <c r="A51" s="1194" t="s">
        <v>781</v>
      </c>
      <c r="B51" s="1195"/>
      <c r="C51" s="1195"/>
      <c r="D51" s="1196"/>
      <c r="E51" s="319"/>
      <c r="F51" s="818"/>
      <c r="G51" s="818"/>
      <c r="I51" s="934">
        <v>8</v>
      </c>
      <c r="J51" s="298">
        <f>IFERROR('MDA Worksheet'!D102,"")</f>
        <v>0</v>
      </c>
      <c r="K51" s="1" t="str">
        <f>IFERROR('MDA Worksheet'!K102,"")</f>
        <v/>
      </c>
      <c r="N51" s="143" t="s">
        <v>1303</v>
      </c>
      <c r="O51" s="1192" t="str">
        <f>"Amount to be paid to the customer $ "&amp;TEXT(D69,"#,###,###.00")</f>
        <v>Amount to be paid to the customer $ .00</v>
      </c>
      <c r="P51" s="1192"/>
      <c r="Q51" s="1193"/>
      <c r="S51" s="882"/>
      <c r="T51" s="1017"/>
      <c r="U51" s="1017"/>
      <c r="V51" s="1018"/>
    </row>
    <row r="52" spans="1:23" x14ac:dyDescent="0.25">
      <c r="A52" s="328" t="s">
        <v>761</v>
      </c>
      <c r="B52" s="843">
        <f>$L$4</f>
        <v>44332</v>
      </c>
      <c r="C52" s="902" t="s">
        <v>772</v>
      </c>
      <c r="D52" s="333">
        <f>$S$4</f>
        <v>44338</v>
      </c>
      <c r="E52" s="904"/>
      <c r="I52" s="934">
        <v>9</v>
      </c>
      <c r="J52" s="298">
        <f>IFERROR('MDA Worksheet'!D103,"")</f>
        <v>0</v>
      </c>
      <c r="K52" s="1" t="str">
        <f>IFERROR('MDA Worksheet'!K103,"")</f>
        <v/>
      </c>
      <c r="N52" s="143"/>
      <c r="O52" s="1192" t="str">
        <f>"Claw Back Amount $ "&amp;TEXT(D71,"#,###,###.00")</f>
        <v>Claw Back Amount $ .00</v>
      </c>
      <c r="P52" s="1192"/>
      <c r="Q52" s="1193"/>
      <c r="S52" s="882"/>
      <c r="T52" s="1017"/>
      <c r="U52" s="1017"/>
      <c r="V52" s="1018"/>
    </row>
    <row r="53" spans="1:23" ht="15.75" thickBot="1" x14ac:dyDescent="0.3">
      <c r="A53" s="143" t="s">
        <v>906</v>
      </c>
      <c r="B53" s="818" t="str">
        <f>Incentives!$I$55</f>
        <v>Select Payment Method</v>
      </c>
      <c r="C53" s="818"/>
      <c r="D53" s="144"/>
      <c r="H53" s="932"/>
      <c r="I53" s="541">
        <v>10</v>
      </c>
      <c r="J53" s="300">
        <f>IFERROR('MDA Worksheet'!D104,"")</f>
        <v>0</v>
      </c>
      <c r="K53" s="36" t="str">
        <f>IFERROR('MDA Worksheet'!K104,"")</f>
        <v/>
      </c>
      <c r="L53" s="292"/>
      <c r="M53" s="350"/>
      <c r="N53" s="291"/>
      <c r="O53" s="986"/>
      <c r="P53" s="986"/>
      <c r="Q53" s="987"/>
      <c r="R53" s="350"/>
      <c r="S53" s="885"/>
      <c r="T53" s="1019"/>
      <c r="U53" s="1019"/>
      <c r="V53" s="1020"/>
    </row>
    <row r="54" spans="1:23" x14ac:dyDescent="0.25">
      <c r="A54" s="143" t="s">
        <v>1248</v>
      </c>
      <c r="B54" s="919" t="str">
        <f>Incentives!$G$55</f>
        <v>Quarterly</v>
      </c>
      <c r="C54" s="336" t="s">
        <v>543</v>
      </c>
      <c r="D54" s="903" t="s">
        <v>236</v>
      </c>
      <c r="H54" s="932"/>
    </row>
    <row r="55" spans="1:23" ht="15.75" thickBot="1" x14ac:dyDescent="0.3">
      <c r="A55" s="291"/>
      <c r="B55" s="292"/>
      <c r="C55" s="876">
        <f>Incentives!$K$58</f>
        <v>0</v>
      </c>
      <c r="D55" s="771">
        <f>Incentives!$G$58</f>
        <v>0</v>
      </c>
      <c r="F55" s="818"/>
      <c r="G55" s="818"/>
      <c r="H55" s="932"/>
    </row>
    <row r="56" spans="1:23" ht="15.75" thickBot="1" x14ac:dyDescent="0.3">
      <c r="E56" s="935"/>
      <c r="F56" s="936"/>
      <c r="G56" s="938"/>
      <c r="H56" s="863"/>
    </row>
    <row r="57" spans="1:23" x14ac:dyDescent="0.25">
      <c r="A57" s="1194" t="s">
        <v>1236</v>
      </c>
      <c r="B57" s="1195"/>
      <c r="C57" s="1195"/>
      <c r="D57" s="1196"/>
      <c r="F57" s="818"/>
      <c r="G57" s="818"/>
    </row>
    <row r="58" spans="1:23" x14ac:dyDescent="0.25">
      <c r="A58" s="328" t="s">
        <v>761</v>
      </c>
      <c r="B58" s="843">
        <f>$L$4</f>
        <v>44332</v>
      </c>
      <c r="C58" s="902" t="s">
        <v>772</v>
      </c>
      <c r="D58" s="333">
        <f>$S$4</f>
        <v>44338</v>
      </c>
      <c r="E58" s="904"/>
    </row>
    <row r="59" spans="1:23" x14ac:dyDescent="0.25">
      <c r="A59" s="143" t="s">
        <v>906</v>
      </c>
      <c r="B59" s="818" t="str">
        <f>Incentives!$I$63</f>
        <v>Select Payment Method</v>
      </c>
      <c r="C59" s="818"/>
      <c r="D59" s="144"/>
      <c r="H59" s="932"/>
    </row>
    <row r="60" spans="1:23" x14ac:dyDescent="0.25">
      <c r="A60" s="143" t="s">
        <v>1194</v>
      </c>
      <c r="B60" s="818" t="str">
        <f>Incentives!G63</f>
        <v>NO</v>
      </c>
      <c r="C60" s="818"/>
      <c r="D60" s="144"/>
    </row>
    <row r="61" spans="1:23" x14ac:dyDescent="0.25">
      <c r="A61" s="143"/>
      <c r="B61" s="975" t="s">
        <v>1298</v>
      </c>
      <c r="C61" s="975" t="s">
        <v>782</v>
      </c>
      <c r="D61" s="903" t="s">
        <v>828</v>
      </c>
      <c r="F61" s="818"/>
      <c r="G61" s="818"/>
    </row>
    <row r="62" spans="1:23" s="952" customFormat="1" x14ac:dyDescent="0.25">
      <c r="A62" s="882"/>
      <c r="B62" s="973" t="str">
        <f>IF(B60="No","",Welcome!D12)</f>
        <v/>
      </c>
      <c r="C62" s="980">
        <f>IF($B$60="YES - Purchase Commitment",Incentives!$K$66/$G$5,Incentives!$K$66)</f>
        <v>0</v>
      </c>
      <c r="D62" s="981">
        <f>$G$4</f>
        <v>0</v>
      </c>
      <c r="E62" s="311"/>
      <c r="F62" s="818"/>
      <c r="G62" s="818"/>
      <c r="H62" s="312"/>
      <c r="M62" s="312"/>
      <c r="R62" s="312"/>
      <c r="W62" s="312"/>
    </row>
    <row r="63" spans="1:23" s="952" customFormat="1" x14ac:dyDescent="0.25">
      <c r="A63" s="882"/>
      <c r="B63" s="883"/>
      <c r="C63" s="965"/>
      <c r="D63" s="982" t="s">
        <v>1299</v>
      </c>
      <c r="E63" s="311"/>
      <c r="F63" s="818"/>
      <c r="G63" s="818"/>
      <c r="H63" s="312"/>
      <c r="M63" s="312"/>
      <c r="R63" s="312"/>
      <c r="W63" s="312"/>
    </row>
    <row r="64" spans="1:23" s="952" customFormat="1" x14ac:dyDescent="0.25">
      <c r="A64" s="882"/>
      <c r="B64" s="883"/>
      <c r="C64" s="965"/>
      <c r="D64" s="772" t="e">
        <f>Incentives!$K$66/(Incentives!$G$5*Incentives!$G$4)</f>
        <v>#DIV/0!</v>
      </c>
      <c r="E64" s="311"/>
      <c r="F64" s="818"/>
      <c r="G64" s="818"/>
      <c r="H64" s="312"/>
      <c r="M64" s="312"/>
      <c r="R64" s="312"/>
      <c r="W64" s="312"/>
    </row>
    <row r="65" spans="1:23" ht="15.75" thickBot="1" x14ac:dyDescent="0.3">
      <c r="A65" s="291"/>
      <c r="B65" s="292"/>
      <c r="C65" s="292"/>
      <c r="D65" s="293"/>
      <c r="F65" s="818"/>
      <c r="G65" s="818"/>
      <c r="I65" s="952"/>
    </row>
    <row r="66" spans="1:23" s="946" customFormat="1" ht="15.75" thickBot="1" x14ac:dyDescent="0.3">
      <c r="A66" s="1194" t="s">
        <v>1285</v>
      </c>
      <c r="B66" s="1195"/>
      <c r="C66" s="1195"/>
      <c r="D66" s="1196"/>
      <c r="E66" s="935"/>
      <c r="F66" s="936"/>
      <c r="G66" s="938"/>
      <c r="H66" s="863"/>
      <c r="I66"/>
      <c r="M66" s="312"/>
      <c r="R66" s="312"/>
      <c r="W66" s="312"/>
    </row>
    <row r="67" spans="1:23" s="946" customFormat="1" x14ac:dyDescent="0.25">
      <c r="A67" s="321" t="s">
        <v>761</v>
      </c>
      <c r="B67" s="322">
        <f>$L$4</f>
        <v>44332</v>
      </c>
      <c r="C67" s="323" t="s">
        <v>772</v>
      </c>
      <c r="D67" s="327">
        <f>$S$4</f>
        <v>44338</v>
      </c>
      <c r="E67" s="904"/>
      <c r="F67" s="818"/>
      <c r="G67" s="818"/>
      <c r="H67" s="932"/>
      <c r="M67" s="312"/>
      <c r="R67" s="312"/>
      <c r="W67" s="312"/>
    </row>
    <row r="68" spans="1:23" s="946" customFormat="1" x14ac:dyDescent="0.25">
      <c r="A68" s="143" t="s">
        <v>906</v>
      </c>
      <c r="B68" s="954" t="str">
        <f>Incentives!$I$71</f>
        <v>Select Payment Method</v>
      </c>
      <c r="C68" s="818"/>
      <c r="D68" s="144"/>
      <c r="E68" s="904"/>
      <c r="F68" s="818"/>
      <c r="G68" s="818"/>
      <c r="H68" s="932"/>
      <c r="M68" s="312"/>
      <c r="R68" s="312"/>
      <c r="W68" s="312"/>
    </row>
    <row r="69" spans="1:23" s="946" customFormat="1" x14ac:dyDescent="0.25">
      <c r="A69" s="976" t="s">
        <v>1296</v>
      </c>
      <c r="B69" s="967">
        <f>Incentives!$M$71</f>
        <v>0</v>
      </c>
      <c r="C69" s="977" t="s">
        <v>1292</v>
      </c>
      <c r="D69" s="970">
        <f>Incentives!$G$71</f>
        <v>0</v>
      </c>
      <c r="E69" s="904"/>
      <c r="F69" s="818"/>
      <c r="G69" s="818"/>
      <c r="H69" s="932"/>
      <c r="M69" s="312"/>
      <c r="R69" s="312"/>
      <c r="W69" s="312"/>
    </row>
    <row r="70" spans="1:23" s="946" customFormat="1" x14ac:dyDescent="0.25">
      <c r="A70" s="976" t="s">
        <v>1293</v>
      </c>
      <c r="B70" s="968">
        <f>Incentives!$G$75</f>
        <v>0</v>
      </c>
      <c r="C70" s="978" t="s">
        <v>824</v>
      </c>
      <c r="D70" s="971">
        <f>Incentives!$I$75</f>
        <v>0</v>
      </c>
      <c r="E70" s="904"/>
      <c r="F70" s="818"/>
      <c r="G70" s="818"/>
      <c r="H70" s="932"/>
      <c r="M70" s="312"/>
      <c r="R70" s="312"/>
      <c r="W70" s="312"/>
    </row>
    <row r="71" spans="1:23" s="952" customFormat="1" x14ac:dyDescent="0.25">
      <c r="A71" s="976" t="s">
        <v>1294</v>
      </c>
      <c r="B71" s="969">
        <f>Incentives!$K$75</f>
        <v>0</v>
      </c>
      <c r="C71" s="978" t="s">
        <v>1295</v>
      </c>
      <c r="D71" s="970">
        <f>Incentives!$K$71</f>
        <v>0</v>
      </c>
      <c r="E71" s="904"/>
      <c r="F71" s="818"/>
      <c r="G71" s="818"/>
      <c r="H71" s="932"/>
      <c r="M71" s="312"/>
      <c r="R71" s="312"/>
      <c r="W71" s="312"/>
    </row>
    <row r="72" spans="1:23" s="946" customFormat="1" ht="15.75" thickBot="1" x14ac:dyDescent="0.3">
      <c r="A72" s="291"/>
      <c r="B72" s="292"/>
      <c r="C72" s="979" t="s">
        <v>1297</v>
      </c>
      <c r="D72" s="972">
        <f>Incentives!$G$5*Incentives!$G$4</f>
        <v>0</v>
      </c>
      <c r="E72" s="904"/>
      <c r="F72" s="818"/>
      <c r="G72" s="818"/>
      <c r="H72" s="932"/>
      <c r="M72" s="312"/>
      <c r="R72" s="312"/>
      <c r="W72" s="312"/>
    </row>
    <row r="73" spans="1:23" ht="15.75" thickBot="1" x14ac:dyDescent="0.3">
      <c r="A73" s="946"/>
      <c r="B73" s="946"/>
      <c r="C73" s="946"/>
      <c r="D73" s="946"/>
      <c r="E73" s="904"/>
      <c r="F73" s="818"/>
      <c r="G73" s="818"/>
      <c r="H73" s="932"/>
      <c r="I73" s="946"/>
    </row>
    <row r="74" spans="1:23" x14ac:dyDescent="0.25">
      <c r="A74" s="1194" t="str">
        <f>Incentives!G80</f>
        <v>CHECK Business Tools (General)</v>
      </c>
      <c r="B74" s="1195"/>
      <c r="C74" s="1195"/>
      <c r="D74" s="1195"/>
      <c r="E74" s="904"/>
      <c r="F74" s="818"/>
      <c r="G74" s="818"/>
      <c r="H74" s="932"/>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194" t="s">
        <v>1106</v>
      </c>
      <c r="B80" s="1195"/>
      <c r="C80" s="1195"/>
      <c r="D80" s="1196"/>
      <c r="E80" s="935"/>
      <c r="F80" s="936"/>
      <c r="G80" s="937"/>
      <c r="H80" s="939"/>
    </row>
    <row r="81" spans="1:4" x14ac:dyDescent="0.25">
      <c r="A81" s="143" t="s">
        <v>761</v>
      </c>
      <c r="B81" s="818"/>
      <c r="C81" s="818" t="s">
        <v>763</v>
      </c>
      <c r="D81" s="144"/>
    </row>
    <row r="82" spans="1:4" x14ac:dyDescent="0.25">
      <c r="A82" s="143" t="s">
        <v>926</v>
      </c>
      <c r="B82" s="818" t="str">
        <f>Incentives!$I$88</f>
        <v>Select Payment Method</v>
      </c>
      <c r="C82" s="818"/>
      <c r="D82" s="144"/>
    </row>
    <row r="83" spans="1:4" x14ac:dyDescent="0.25">
      <c r="A83" s="143"/>
      <c r="B83" s="818"/>
      <c r="C83" s="927"/>
      <c r="D83" s="929" t="s">
        <v>782</v>
      </c>
    </row>
    <row r="84" spans="1:4" ht="15.75" thickBot="1" x14ac:dyDescent="0.3">
      <c r="A84" s="291"/>
      <c r="B84" s="292"/>
      <c r="C84" s="928"/>
      <c r="D84" s="943">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271" t="s">
        <v>750</v>
      </c>
      <c r="C2" s="1272"/>
      <c r="D2" s="1272"/>
      <c r="E2" s="1272"/>
      <c r="F2" s="1272"/>
      <c r="G2" s="1272"/>
      <c r="H2" s="1272"/>
      <c r="I2" s="1272"/>
      <c r="J2" s="1272"/>
      <c r="K2" s="1272"/>
      <c r="L2" s="1272"/>
      <c r="M2" s="1272"/>
      <c r="N2" s="1272"/>
      <c r="O2" s="1272"/>
      <c r="P2" s="1272"/>
      <c r="Q2" s="1272"/>
      <c r="R2" s="1272"/>
      <c r="S2" s="1272"/>
      <c r="T2" s="1272"/>
      <c r="U2" s="1272"/>
      <c r="V2" s="1272"/>
      <c r="W2" s="1272"/>
      <c r="X2" s="1272"/>
      <c r="Y2" s="1272"/>
      <c r="Z2" s="1272"/>
      <c r="AA2" s="1272"/>
      <c r="AB2" s="1272"/>
      <c r="AC2" s="1272"/>
      <c r="AD2" s="1272"/>
      <c r="AE2" s="1272"/>
      <c r="AF2" s="1272"/>
      <c r="AG2" s="1272"/>
      <c r="AH2" s="1272"/>
      <c r="AI2" s="1272"/>
      <c r="AJ2" s="1272"/>
      <c r="AK2" s="1272"/>
      <c r="AL2" s="1272"/>
      <c r="AM2" s="1272"/>
      <c r="AN2" s="1272"/>
      <c r="AO2" s="1272"/>
      <c r="AP2" s="1272"/>
      <c r="AQ2" s="1272"/>
      <c r="AR2" s="1272"/>
      <c r="AS2" s="1272"/>
      <c r="AT2" s="1272"/>
      <c r="AU2" s="1272"/>
      <c r="AV2" s="1272"/>
      <c r="AW2" s="1272"/>
      <c r="AX2" s="1272"/>
      <c r="AY2" s="1272"/>
      <c r="AZ2" s="1272"/>
      <c r="BA2" s="1272"/>
      <c r="BB2" s="1272"/>
      <c r="BC2" s="1272"/>
      <c r="BD2" s="1272"/>
      <c r="BE2" s="1272"/>
      <c r="BF2" s="1273"/>
    </row>
    <row r="3" spans="2:68" x14ac:dyDescent="0.25">
      <c r="B3" s="1274"/>
      <c r="C3" s="1275"/>
      <c r="D3" s="1275"/>
      <c r="E3" s="1275"/>
      <c r="F3" s="1275"/>
      <c r="G3" s="1275"/>
      <c r="H3" s="1275"/>
      <c r="I3" s="1275"/>
      <c r="J3" s="1275"/>
      <c r="K3" s="1275"/>
      <c r="L3" s="1275"/>
      <c r="M3" s="1275"/>
      <c r="N3" s="1275"/>
      <c r="O3" s="1275"/>
      <c r="P3" s="1275"/>
      <c r="Q3" s="1275"/>
      <c r="R3" s="1275"/>
      <c r="S3" s="1275"/>
      <c r="T3" s="1275"/>
      <c r="U3" s="1275"/>
      <c r="V3" s="1275"/>
      <c r="W3" s="1275"/>
      <c r="X3" s="1275"/>
      <c r="Y3" s="1275"/>
      <c r="Z3" s="1275"/>
      <c r="AA3" s="1275"/>
      <c r="AB3" s="1275"/>
      <c r="AC3" s="1275"/>
      <c r="AD3" s="1275"/>
      <c r="AE3" s="1275"/>
      <c r="AF3" s="1275"/>
      <c r="AG3" s="1275"/>
      <c r="AH3" s="1275"/>
      <c r="AI3" s="1275"/>
      <c r="AJ3" s="1275"/>
      <c r="AK3" s="1275"/>
      <c r="AL3" s="1275"/>
      <c r="AM3" s="1275"/>
      <c r="AN3" s="1275"/>
      <c r="AO3" s="1275"/>
      <c r="AP3" s="1275"/>
      <c r="AQ3" s="1275"/>
      <c r="AR3" s="1275"/>
      <c r="AS3" s="1275"/>
      <c r="AT3" s="1275"/>
      <c r="AU3" s="1275"/>
      <c r="AV3" s="1275"/>
      <c r="AW3" s="1275"/>
      <c r="AX3" s="1275"/>
      <c r="AY3" s="1275"/>
      <c r="AZ3" s="1275"/>
      <c r="BA3" s="1275"/>
      <c r="BB3" s="1275"/>
      <c r="BC3" s="1275"/>
      <c r="BD3" s="1275"/>
      <c r="BE3" s="1275"/>
      <c r="BF3" s="1276"/>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33" t="s">
        <v>677</v>
      </c>
      <c r="C8" s="1234"/>
      <c r="D8" s="1234"/>
      <c r="E8" s="1234"/>
      <c r="F8" s="1234"/>
      <c r="G8" s="1234"/>
      <c r="H8" s="1234"/>
      <c r="I8" s="1234"/>
      <c r="J8" s="1234"/>
      <c r="K8" s="1234"/>
      <c r="L8" s="1234"/>
      <c r="M8" s="1234"/>
      <c r="N8" s="1234"/>
      <c r="O8" s="1234"/>
      <c r="P8" s="1234"/>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90" t="s">
        <v>914</v>
      </c>
      <c r="C10" s="1186"/>
      <c r="D10" s="1186"/>
      <c r="E10" s="1186"/>
      <c r="F10" s="1186"/>
      <c r="G10" s="1186"/>
      <c r="H10" s="1186"/>
      <c r="I10" s="1186"/>
      <c r="J10" s="1186"/>
      <c r="K10" s="1281">
        <f>'Tracking &amp; Profitability'!$H$5</f>
        <v>0</v>
      </c>
      <c r="L10" s="1281"/>
      <c r="M10" s="1281"/>
      <c r="N10" s="1281"/>
      <c r="O10" s="1281"/>
      <c r="P10" s="1281"/>
      <c r="Q10" s="1281"/>
      <c r="R10" s="1281"/>
      <c r="S10" s="1281"/>
      <c r="T10" s="1281"/>
      <c r="U10" s="1281"/>
      <c r="V10" s="1281"/>
      <c r="W10" s="1281"/>
      <c r="X10" s="1281"/>
      <c r="Y10" s="1281"/>
      <c r="Z10" s="1281"/>
      <c r="AA10" s="1281"/>
      <c r="AB10" s="1281"/>
      <c r="AC10" s="1281"/>
      <c r="AD10" s="1281"/>
      <c r="AE10" s="1281"/>
      <c r="AI10" s="1186" t="s">
        <v>749</v>
      </c>
      <c r="AJ10" s="1186"/>
      <c r="AK10" s="1186"/>
      <c r="AL10" s="1186"/>
      <c r="AM10" s="1186"/>
      <c r="AN10" s="1186"/>
      <c r="AO10" s="1186"/>
      <c r="AP10" s="1186"/>
      <c r="AQ10" s="1186"/>
      <c r="AR10" s="1186"/>
      <c r="AT10" s="1289"/>
      <c r="AU10" s="1289"/>
      <c r="AV10" s="1289"/>
      <c r="AW10" s="1289"/>
      <c r="AX10" s="1289"/>
      <c r="AY10" s="1289"/>
      <c r="AZ10" s="1289"/>
      <c r="BA10" s="1289"/>
      <c r="BB10" s="1289"/>
      <c r="BC10" s="1289"/>
      <c r="BD10" s="1289"/>
      <c r="BF10" s="144"/>
    </row>
    <row r="11" spans="2:68" x14ac:dyDescent="0.25">
      <c r="B11" s="143"/>
      <c r="AL11" s="2"/>
      <c r="AM11" s="2"/>
      <c r="AN11" s="2"/>
      <c r="AO11" s="2"/>
      <c r="AP11" s="2"/>
      <c r="AQ11" s="2"/>
      <c r="AR11" s="2"/>
      <c r="AS11" s="2"/>
      <c r="AT11" s="2"/>
      <c r="AU11" s="2"/>
      <c r="AV11" s="2"/>
      <c r="BF11" s="144"/>
    </row>
    <row r="12" spans="2:68" x14ac:dyDescent="0.25">
      <c r="B12" s="1283" t="s">
        <v>915</v>
      </c>
      <c r="C12" s="1280"/>
      <c r="D12" s="1280"/>
      <c r="E12" s="1280"/>
      <c r="F12" s="1280"/>
      <c r="G12" s="1280"/>
      <c r="H12" s="1280"/>
      <c r="I12" s="1280"/>
      <c r="J12" s="1280"/>
      <c r="K12" s="1291">
        <f>'Required Info to Submit'!$F$4</f>
        <v>0</v>
      </c>
      <c r="L12" s="1291"/>
      <c r="M12" s="1291"/>
      <c r="N12" s="1291"/>
      <c r="O12" s="1291"/>
      <c r="P12" s="1291"/>
      <c r="Q12" s="1291"/>
      <c r="R12" s="1291"/>
      <c r="S12" s="1291"/>
      <c r="T12" s="1291"/>
      <c r="U12" s="1291"/>
      <c r="V12" s="1291"/>
      <c r="W12" s="1291"/>
      <c r="X12" s="1291"/>
      <c r="Y12" s="1291"/>
      <c r="Z12" s="1291"/>
      <c r="AA12" s="1291"/>
      <c r="AB12" s="1291"/>
      <c r="AC12" s="1291"/>
      <c r="AD12" s="1291"/>
      <c r="AE12" s="1291"/>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3" t="s">
        <v>937</v>
      </c>
      <c r="C14" s="1280"/>
      <c r="D14" s="1280"/>
      <c r="E14" s="1280"/>
      <c r="F14" s="1280"/>
      <c r="G14" s="1280"/>
      <c r="H14" s="1280"/>
      <c r="I14" s="1280"/>
      <c r="J14" s="1280"/>
      <c r="K14" s="1280"/>
      <c r="L14" s="1280"/>
      <c r="M14" s="1280"/>
      <c r="N14" s="1280"/>
      <c r="O14" s="1280"/>
      <c r="P14" s="1280"/>
      <c r="Q14" s="1280"/>
      <c r="R14" s="1282">
        <f>'Required Info to Submit'!$F$6</f>
        <v>0</v>
      </c>
      <c r="S14" s="1282"/>
      <c r="T14" s="1282"/>
      <c r="U14" s="1282"/>
      <c r="V14" s="1282"/>
      <c r="W14" s="1282"/>
      <c r="X14" s="1282"/>
      <c r="Y14" s="1282"/>
      <c r="Z14" s="1282"/>
      <c r="AA14" s="1282"/>
      <c r="AB14" s="1282"/>
      <c r="AC14" s="1282"/>
      <c r="AD14" s="1282"/>
      <c r="AE14" s="1282"/>
      <c r="AF14" s="1282"/>
      <c r="AG14" s="1282"/>
      <c r="AH14" s="1282"/>
      <c r="AI14" s="1282"/>
      <c r="AJ14" s="1282"/>
      <c r="AK14" s="1282"/>
      <c r="AL14" s="1282"/>
      <c r="AM14" s="1282"/>
      <c r="AN14" s="1282"/>
      <c r="AO14" s="1282"/>
      <c r="AP14" s="1282"/>
      <c r="AQ14" s="1282"/>
      <c r="AR14" s="1282"/>
      <c r="AS14" s="1282"/>
      <c r="AT14" s="1282"/>
      <c r="AU14" s="1282"/>
      <c r="AV14" s="1282"/>
      <c r="AW14" s="1282"/>
      <c r="AX14" s="1282"/>
      <c r="AY14" s="1282"/>
      <c r="AZ14" s="1282"/>
      <c r="BA14" s="1282"/>
      <c r="BB14" s="1282"/>
      <c r="BC14" s="1282"/>
      <c r="BD14" s="1282"/>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3" t="s">
        <v>748</v>
      </c>
      <c r="C16" s="1280"/>
      <c r="D16" s="1280"/>
      <c r="E16" s="1280"/>
      <c r="F16" s="1280"/>
      <c r="G16" s="1280"/>
      <c r="H16" s="1280"/>
      <c r="I16" s="1280"/>
      <c r="J16" s="1280"/>
      <c r="K16" s="1280"/>
      <c r="L16" s="1280"/>
      <c r="M16" s="1280"/>
      <c r="N16" s="1280"/>
      <c r="O16" s="1280"/>
      <c r="P16" s="1280"/>
      <c r="Q16" s="1280"/>
      <c r="R16" s="1291" t="s">
        <v>248</v>
      </c>
      <c r="S16" s="1291"/>
      <c r="T16" s="1275" t="s">
        <v>678</v>
      </c>
      <c r="U16" s="1275"/>
      <c r="V16" s="1275"/>
      <c r="W16" s="1275"/>
      <c r="X16" s="1275"/>
      <c r="Y16" s="1275"/>
      <c r="Z16" s="1275"/>
      <c r="AA16" s="1275"/>
      <c r="AB16" s="1275"/>
      <c r="AC16" s="1275"/>
      <c r="AD16" s="1275"/>
      <c r="AE16" s="1275"/>
      <c r="AF16" s="1275"/>
      <c r="AG16" s="1275"/>
      <c r="AH16" s="1275"/>
      <c r="AI16" s="1275"/>
      <c r="AJ16" s="1275"/>
      <c r="AK16" s="1275"/>
      <c r="AL16" s="1275"/>
      <c r="AO16" s="1275"/>
      <c r="AP16" s="1275"/>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284" t="s">
        <v>908</v>
      </c>
      <c r="C18" s="1285"/>
      <c r="D18" s="1285"/>
      <c r="E18" s="1285"/>
      <c r="F18" s="1285"/>
      <c r="G18" s="1285"/>
      <c r="H18" s="1285"/>
      <c r="I18" s="1285"/>
      <c r="J18" s="1285"/>
      <c r="K18" s="1285"/>
      <c r="L18" s="1285"/>
      <c r="M18" s="1285"/>
      <c r="N18" s="1285"/>
      <c r="O18" s="1285"/>
      <c r="P18" s="1285"/>
      <c r="Q18" s="1285"/>
      <c r="R18" s="1281">
        <f>'Required Info to Submit'!$F$8</f>
        <v>0</v>
      </c>
      <c r="S18" s="1281"/>
      <c r="T18" s="1281"/>
      <c r="U18" s="1281"/>
      <c r="V18" s="1281"/>
      <c r="W18" s="1281"/>
      <c r="X18" s="1281"/>
      <c r="Y18" s="1281"/>
      <c r="Z18" s="1281"/>
      <c r="AA18" s="1281"/>
      <c r="AB18" s="1281"/>
      <c r="AC18" s="1281"/>
      <c r="AD18" s="1281"/>
      <c r="AE18" s="1281"/>
      <c r="AF18" s="1281"/>
      <c r="AG18" s="1281"/>
      <c r="AH18" s="1281"/>
      <c r="AI18" s="1281"/>
      <c r="AJ18" s="1281"/>
      <c r="AK18" s="1281"/>
      <c r="AL18" s="1281"/>
      <c r="AN18" s="1280" t="s">
        <v>910</v>
      </c>
      <c r="AO18" s="1280"/>
      <c r="AP18" s="1280"/>
      <c r="AQ18" s="1280"/>
      <c r="AR18" s="1280"/>
      <c r="AS18" s="1280"/>
      <c r="AT18" s="1280"/>
      <c r="AU18" s="1280"/>
      <c r="AV18" s="1281">
        <f>'Required Info to Submit'!F10</f>
        <v>0</v>
      </c>
      <c r="AW18" s="1281"/>
      <c r="AX18" s="1281"/>
      <c r="AY18" s="1281"/>
      <c r="AZ18" s="1281"/>
      <c r="BA18" s="1281"/>
      <c r="BB18" s="1281"/>
      <c r="BC18" s="1281"/>
      <c r="BD18" s="1281"/>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3" t="s">
        <v>909</v>
      </c>
      <c r="C20" s="1280"/>
      <c r="D20" s="1280"/>
      <c r="E20" s="1280"/>
      <c r="F20" s="1280"/>
      <c r="G20" s="1280"/>
      <c r="H20" s="1280"/>
      <c r="I20" s="1280"/>
      <c r="J20" s="1280"/>
      <c r="K20" s="1280"/>
      <c r="L20" s="1280"/>
      <c r="M20" s="1280"/>
      <c r="N20" s="1280"/>
      <c r="O20" s="1280"/>
      <c r="P20" s="1280"/>
      <c r="Q20" s="1280"/>
      <c r="R20" s="1281">
        <f>'Required Info to Submit'!F9</f>
        <v>0</v>
      </c>
      <c r="S20" s="1281"/>
      <c r="T20" s="1281"/>
      <c r="U20" s="1281"/>
      <c r="V20" s="1281"/>
      <c r="W20" s="1281"/>
      <c r="X20" s="1281"/>
      <c r="Y20" s="1281"/>
      <c r="Z20" s="1281"/>
      <c r="AA20" s="1281"/>
      <c r="AB20" s="1281"/>
      <c r="AC20" s="1281"/>
      <c r="AD20" s="1281"/>
      <c r="AE20" s="1281"/>
      <c r="AF20" s="1281"/>
      <c r="AG20" s="1281"/>
      <c r="AH20" s="1281"/>
      <c r="AI20" s="1281"/>
      <c r="AJ20" s="1281"/>
      <c r="AK20" s="1281"/>
      <c r="AL20" s="1281"/>
      <c r="AN20" s="1280" t="s">
        <v>861</v>
      </c>
      <c r="AO20" s="1280"/>
      <c r="AP20" s="1280"/>
      <c r="AQ20" s="1280"/>
      <c r="AR20" s="1280"/>
      <c r="AS20" s="1280"/>
      <c r="AT20" s="1280"/>
      <c r="AU20" s="1280"/>
      <c r="AV20" s="1281">
        <f>'Required Info to Submit'!F11</f>
        <v>0</v>
      </c>
      <c r="AW20" s="1281"/>
      <c r="AX20" s="1281"/>
      <c r="AY20" s="1281"/>
      <c r="AZ20" s="1281"/>
      <c r="BA20" s="1281"/>
      <c r="BB20" s="1281"/>
      <c r="BC20" s="1281"/>
      <c r="BD20" s="1281"/>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3" t="s">
        <v>911</v>
      </c>
      <c r="C22" s="1280"/>
      <c r="D22" s="1280"/>
      <c r="E22" s="1280"/>
      <c r="F22" s="1280"/>
      <c r="G22" s="1280"/>
      <c r="H22" s="1280"/>
      <c r="I22" s="1280"/>
      <c r="J22" s="1280"/>
      <c r="K22" s="1280"/>
      <c r="L22" s="1280"/>
      <c r="M22" s="1280"/>
      <c r="N22" s="1280"/>
      <c r="O22" s="1280"/>
      <c r="P22" s="1280"/>
      <c r="Q22" s="1280"/>
      <c r="R22" s="1281">
        <f>'Required Info to Submit'!F12</f>
        <v>0</v>
      </c>
      <c r="S22" s="1281"/>
      <c r="T22" s="1281"/>
      <c r="U22" s="1281"/>
      <c r="V22" s="1281"/>
      <c r="W22" s="1281"/>
      <c r="X22" s="1281"/>
      <c r="Y22" s="1281"/>
      <c r="Z22" s="1281"/>
      <c r="AA22" s="1281"/>
      <c r="AB22" s="1281"/>
      <c r="AC22" s="1281"/>
      <c r="AD22" s="1281"/>
      <c r="AE22" s="1281"/>
      <c r="AF22" s="1281"/>
      <c r="AG22" s="1281"/>
      <c r="AH22" s="1281"/>
      <c r="AI22" s="1281"/>
      <c r="AJ22" s="1281"/>
      <c r="AK22" s="1281"/>
      <c r="AL22" s="1281"/>
      <c r="AN22" s="1280"/>
      <c r="AO22" s="1280"/>
      <c r="AP22" s="1280"/>
      <c r="AQ22" s="1280"/>
      <c r="AR22" s="1280"/>
      <c r="AS22" s="1280"/>
      <c r="AT22" s="1280"/>
      <c r="AU22" s="1280"/>
      <c r="AV22" s="1287"/>
      <c r="AW22" s="1287"/>
      <c r="AX22" s="1287"/>
      <c r="AY22" s="1287"/>
      <c r="AZ22" s="1287"/>
      <c r="BA22" s="1287"/>
      <c r="BB22" s="1287"/>
      <c r="BC22" s="1287"/>
      <c r="BD22" s="1287"/>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3" t="s">
        <v>912</v>
      </c>
      <c r="C24" s="1280"/>
      <c r="D24" s="1280"/>
      <c r="E24" s="1280"/>
      <c r="F24" s="1280"/>
      <c r="G24" s="1280"/>
      <c r="H24" s="1280"/>
      <c r="I24" s="1280"/>
      <c r="J24" s="1280"/>
      <c r="K24" s="1280"/>
      <c r="L24" s="1280"/>
      <c r="M24" s="1280"/>
      <c r="N24" s="1280"/>
      <c r="O24" s="1280"/>
      <c r="P24" s="1280"/>
      <c r="Q24" s="1280"/>
      <c r="R24" s="1292">
        <f>'Required Info to Submit'!$F$14</f>
        <v>44332</v>
      </c>
      <c r="S24" s="1292"/>
      <c r="T24" s="1292"/>
      <c r="U24" s="1292"/>
      <c r="V24" s="1292"/>
      <c r="W24" s="1292"/>
      <c r="X24" s="1292"/>
      <c r="Y24" s="1292"/>
      <c r="Z24" s="1292"/>
      <c r="AA24" s="1292"/>
      <c r="AB24" s="1292"/>
      <c r="AC24" s="1292"/>
      <c r="AN24" s="1186" t="s">
        <v>916</v>
      </c>
      <c r="AO24" s="1186"/>
      <c r="AP24" s="1186"/>
      <c r="AQ24" s="1186"/>
      <c r="AR24" s="1186"/>
      <c r="AS24" s="1186"/>
      <c r="AT24" s="1186"/>
      <c r="AU24" s="1186"/>
      <c r="AV24" s="1288">
        <f>'Incentive Setup'!$S$4</f>
        <v>44338</v>
      </c>
      <c r="AW24" s="1288"/>
      <c r="AX24" s="1288"/>
      <c r="AY24" s="1288"/>
      <c r="AZ24" s="1288"/>
      <c r="BA24" s="1288"/>
      <c r="BB24" s="1288"/>
      <c r="BC24" s="1288"/>
      <c r="BD24" s="1288"/>
      <c r="BF24" s="144"/>
    </row>
    <row r="25" spans="2:68" ht="17.25" x14ac:dyDescent="0.25">
      <c r="B25" s="143"/>
      <c r="C25" s="302"/>
      <c r="D25" s="302"/>
      <c r="E25" s="302"/>
      <c r="F25" s="302"/>
      <c r="G25" s="302"/>
      <c r="H25" s="1286" t="s">
        <v>747</v>
      </c>
      <c r="I25" s="1286"/>
      <c r="J25" s="1286"/>
      <c r="K25" s="1286"/>
      <c r="L25" s="1286"/>
      <c r="M25" s="1286"/>
      <c r="N25" s="1286"/>
      <c r="O25" s="1286"/>
      <c r="P25" s="1286"/>
      <c r="Q25" s="302"/>
      <c r="AN25" s="1286" t="s">
        <v>746</v>
      </c>
      <c r="AO25" s="1286"/>
      <c r="AP25" s="1286"/>
      <c r="AQ25" s="1286"/>
      <c r="AR25" s="1286"/>
      <c r="AS25" s="1286"/>
      <c r="AT25" s="1286"/>
      <c r="BF25" s="144"/>
    </row>
    <row r="26" spans="2:68" ht="18.75" x14ac:dyDescent="0.3">
      <c r="B26" s="1233" t="s">
        <v>683</v>
      </c>
      <c r="C26" s="1234"/>
      <c r="D26" s="1234"/>
      <c r="E26" s="1234"/>
      <c r="F26" s="1234"/>
      <c r="G26" s="1234"/>
      <c r="H26" s="1234"/>
      <c r="I26" s="1234"/>
      <c r="J26" s="1234"/>
      <c r="K26" s="1234"/>
      <c r="L26" s="1234"/>
      <c r="M26" s="1234"/>
      <c r="N26" s="1234"/>
      <c r="O26" s="1234"/>
      <c r="P26" s="1234"/>
      <c r="Q26" s="1234"/>
      <c r="R26" s="1234"/>
      <c r="S26" s="1234"/>
      <c r="T26" s="1234"/>
      <c r="U26" s="1234"/>
      <c r="V26" s="1234"/>
      <c r="W26" s="1234"/>
      <c r="X26" s="1234"/>
      <c r="Y26" s="1234"/>
      <c r="Z26" s="1234"/>
      <c r="AA26" s="1234"/>
      <c r="AB26" s="1234"/>
      <c r="AC26" s="1234"/>
      <c r="AD26" s="1234"/>
      <c r="AE26" s="1234"/>
      <c r="AF26" s="1234"/>
      <c r="AG26" s="1234"/>
      <c r="AH26" s="1234"/>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96" t="s">
        <v>684</v>
      </c>
      <c r="C28" s="1297"/>
      <c r="D28" s="1297"/>
      <c r="E28" s="1297"/>
      <c r="F28" s="1297"/>
      <c r="G28" s="1297"/>
      <c r="H28" s="1297"/>
      <c r="I28" s="1297"/>
      <c r="J28" s="1297"/>
      <c r="K28" s="1297"/>
      <c r="L28" s="1297"/>
      <c r="M28" s="1297"/>
      <c r="N28" s="1297"/>
      <c r="O28" s="1297"/>
      <c r="P28" s="1297"/>
      <c r="Q28" s="1297"/>
      <c r="T28" s="1293">
        <f>'Tracking &amp; Profitability'!$E$6</f>
        <v>0</v>
      </c>
      <c r="U28" s="1293"/>
      <c r="V28" s="1293"/>
      <c r="W28" s="1293"/>
      <c r="X28" s="1293"/>
      <c r="Y28" s="1293"/>
      <c r="Z28" s="1293"/>
      <c r="AA28" s="1293"/>
      <c r="AB28" s="1293"/>
      <c r="AF28" t="s">
        <v>745</v>
      </c>
      <c r="AO28" s="1291">
        <v>5</v>
      </c>
      <c r="AP28" s="1291"/>
      <c r="AQ28" s="1291"/>
      <c r="AR28" s="1275" t="s">
        <v>685</v>
      </c>
      <c r="AS28" s="1275"/>
      <c r="AU28" s="1291">
        <v>5</v>
      </c>
      <c r="AV28" s="1291"/>
      <c r="AW28" s="1291"/>
      <c r="AX28" s="1275" t="s">
        <v>744</v>
      </c>
      <c r="AY28" s="1275"/>
      <c r="BA28" s="1291">
        <v>5</v>
      </c>
      <c r="BB28" s="1291"/>
      <c r="BC28" s="1291"/>
      <c r="BD28" s="1275" t="s">
        <v>686</v>
      </c>
      <c r="BE28" s="1275"/>
      <c r="BF28" s="144"/>
    </row>
    <row r="29" spans="2:68" ht="17.25" x14ac:dyDescent="0.25">
      <c r="B29" s="143"/>
      <c r="T29" s="140"/>
      <c r="U29" s="140"/>
      <c r="V29" s="140"/>
      <c r="W29" s="140"/>
      <c r="X29" s="140"/>
      <c r="Y29" s="140"/>
      <c r="Z29" s="140"/>
      <c r="AA29" s="140"/>
      <c r="AB29" s="140"/>
      <c r="AF29" s="1286" t="s">
        <v>743</v>
      </c>
      <c r="AG29" s="1286"/>
      <c r="AH29" s="1286"/>
      <c r="AI29" s="1286"/>
      <c r="AJ29" s="1286"/>
      <c r="AK29" s="1286"/>
      <c r="AL29" s="1286"/>
      <c r="AM29" s="1286"/>
      <c r="AN29" s="1286"/>
      <c r="AO29" s="1286"/>
      <c r="AP29" s="1286"/>
      <c r="AQ29" s="1286"/>
      <c r="AR29" s="1286"/>
      <c r="AS29" s="1286"/>
      <c r="AT29" s="1286"/>
      <c r="AU29" s="1286"/>
      <c r="AV29" s="1286"/>
      <c r="AW29" s="1286"/>
      <c r="AX29" s="1286"/>
      <c r="AY29" s="1286"/>
      <c r="AZ29" s="1286"/>
      <c r="BA29" s="1286"/>
      <c r="BB29" s="1286"/>
      <c r="BC29" s="1286"/>
      <c r="BD29" s="1286"/>
      <c r="BE29" s="1286"/>
      <c r="BF29" s="144"/>
    </row>
    <row r="30" spans="2:68" x14ac:dyDescent="0.25">
      <c r="B30" s="1290" t="s">
        <v>740</v>
      </c>
      <c r="C30" s="1186"/>
      <c r="D30" s="1186"/>
      <c r="E30" s="1186"/>
      <c r="F30" s="1186"/>
      <c r="G30" s="1186"/>
      <c r="H30" s="1186"/>
      <c r="I30" s="1186"/>
      <c r="J30" s="1186"/>
      <c r="K30" s="1186"/>
      <c r="L30" s="1186"/>
      <c r="M30" s="1186"/>
      <c r="N30" s="1186"/>
      <c r="O30" s="1186"/>
      <c r="P30" s="1186"/>
      <c r="Q30" s="1186"/>
      <c r="T30" s="1300">
        <v>1</v>
      </c>
      <c r="U30" s="1300"/>
      <c r="V30" s="1300"/>
      <c r="W30" s="1300"/>
      <c r="AF30" s="1197" t="s">
        <v>742</v>
      </c>
      <c r="AG30" s="1197"/>
      <c r="AH30" s="1197"/>
      <c r="AI30" s="1197"/>
      <c r="AJ30" s="1197"/>
      <c r="AK30" s="1197"/>
      <c r="AL30" s="1197"/>
      <c r="AM30" s="1197"/>
      <c r="AN30" s="1197"/>
      <c r="AO30" s="1197"/>
      <c r="AP30" s="1291" t="s">
        <v>1093</v>
      </c>
      <c r="AQ30" s="1291"/>
      <c r="AR30" s="1291"/>
      <c r="AT30" s="1197" t="s">
        <v>741</v>
      </c>
      <c r="AU30" s="1197"/>
      <c r="AV30" s="1197"/>
      <c r="AW30" s="1197"/>
      <c r="AX30" s="1197"/>
      <c r="AY30" s="1197"/>
      <c r="AZ30" s="1197"/>
      <c r="BA30" s="1197"/>
      <c r="BB30" s="1197"/>
      <c r="BC30" s="1197"/>
      <c r="BF30" s="144"/>
    </row>
    <row r="31" spans="2:68" x14ac:dyDescent="0.25">
      <c r="B31" s="143"/>
      <c r="BF31" s="144"/>
      <c r="BP31" s="301"/>
    </row>
    <row r="32" spans="2:68" x14ac:dyDescent="0.25">
      <c r="B32" s="1290" t="s">
        <v>737</v>
      </c>
      <c r="C32" s="1186"/>
      <c r="D32" s="1186"/>
      <c r="E32" s="1186"/>
      <c r="F32" s="1186"/>
      <c r="G32" s="1186"/>
      <c r="H32" s="1186"/>
      <c r="I32" s="1186"/>
      <c r="J32" s="1186"/>
      <c r="K32" s="1186"/>
      <c r="L32" s="1186"/>
      <c r="M32" s="1186"/>
      <c r="N32" s="1186"/>
      <c r="O32" s="1186"/>
      <c r="P32" s="1186"/>
      <c r="Q32" s="1186"/>
      <c r="T32" s="1294" t="s">
        <v>1065</v>
      </c>
      <c r="U32" s="1294"/>
      <c r="V32" s="1294"/>
      <c r="W32" s="1294"/>
      <c r="X32" s="1294"/>
      <c r="Y32" s="1294"/>
      <c r="Z32" s="1294"/>
      <c r="AA32" s="1294"/>
      <c r="AB32" s="1294"/>
      <c r="AC32" s="1294"/>
      <c r="AD32" s="1294"/>
      <c r="AE32" s="1294"/>
      <c r="AF32" s="1294"/>
      <c r="AG32" s="1294"/>
      <c r="AH32" s="1294"/>
      <c r="AI32" s="1294"/>
      <c r="AJ32" s="1294"/>
      <c r="AK32" s="1294"/>
      <c r="AL32" s="1294"/>
      <c r="AM32" s="1294"/>
      <c r="AN32" s="1294"/>
      <c r="AO32" s="1294"/>
      <c r="BF32" s="144"/>
    </row>
    <row r="33" spans="2:92" x14ac:dyDescent="0.25">
      <c r="B33" s="143"/>
      <c r="BF33" s="144"/>
    </row>
    <row r="34" spans="2:92" x14ac:dyDescent="0.25">
      <c r="B34" s="143"/>
      <c r="C34" s="88"/>
      <c r="D34" s="88"/>
      <c r="E34" s="88"/>
      <c r="F34" s="88"/>
      <c r="G34" s="88"/>
      <c r="H34" s="88"/>
      <c r="I34" s="1291"/>
      <c r="J34" s="1291"/>
      <c r="K34" s="1275" t="s">
        <v>499</v>
      </c>
      <c r="L34" s="1275"/>
      <c r="M34" s="1275"/>
      <c r="N34" s="1275"/>
      <c r="O34" s="1275"/>
      <c r="P34" s="1275"/>
      <c r="Q34" s="1275"/>
      <c r="R34" s="1291" t="s">
        <v>248</v>
      </c>
      <c r="S34" s="1291"/>
      <c r="T34" s="1275" t="s">
        <v>498</v>
      </c>
      <c r="U34" s="1275"/>
      <c r="V34" s="1275"/>
      <c r="W34" s="1275"/>
      <c r="X34" s="1291"/>
      <c r="Y34" s="1291"/>
      <c r="Z34" s="1275" t="s">
        <v>497</v>
      </c>
      <c r="AA34" s="1275"/>
      <c r="AB34" s="1275"/>
      <c r="AF34" t="s">
        <v>739</v>
      </c>
      <c r="AL34" s="1291">
        <v>5</v>
      </c>
      <c r="AM34" s="1291"/>
      <c r="AN34" s="1291"/>
      <c r="AO34" t="s">
        <v>738</v>
      </c>
      <c r="BF34" s="144"/>
    </row>
    <row r="35" spans="2:92" x14ac:dyDescent="0.25">
      <c r="B35" s="143"/>
      <c r="BF35" s="144"/>
      <c r="BP35" s="303"/>
      <c r="CN35" s="301"/>
    </row>
    <row r="36" spans="2:92" x14ac:dyDescent="0.25">
      <c r="B36" s="1296" t="s">
        <v>736</v>
      </c>
      <c r="C36" s="1297"/>
      <c r="D36" s="1297"/>
      <c r="E36" s="1297"/>
      <c r="F36" s="1297"/>
      <c r="G36" s="1297"/>
      <c r="H36" s="1297"/>
      <c r="I36" s="1297"/>
      <c r="J36" s="1297"/>
      <c r="K36" s="1297"/>
      <c r="L36" s="1297"/>
      <c r="M36" s="1297"/>
      <c r="N36" s="1297"/>
      <c r="O36" s="1297"/>
      <c r="P36" s="1297"/>
      <c r="Q36" s="1297"/>
      <c r="R36" s="1297"/>
      <c r="T36" s="1306" t="str">
        <f>IFERROR($T$28/('Tracking &amp; Profitability'!$E$7*52*Welcome!$D$14),"Error on A La Carte")</f>
        <v>Error on A La Carte</v>
      </c>
      <c r="U36" s="1306"/>
      <c r="V36" s="1306"/>
      <c r="W36" s="1306"/>
      <c r="X36" s="1306"/>
      <c r="Y36" s="1306"/>
      <c r="Z36" s="1306"/>
      <c r="AA36" s="1306"/>
      <c r="AB36" s="1306"/>
      <c r="AF36" s="1297" t="s">
        <v>494</v>
      </c>
      <c r="AG36" s="1297"/>
      <c r="AH36" s="1297"/>
      <c r="AI36" s="1297"/>
      <c r="AJ36" s="1297"/>
      <c r="AK36" s="1297"/>
      <c r="AL36" s="1297"/>
      <c r="AM36" s="1297"/>
      <c r="AN36" s="1297"/>
      <c r="AO36" s="1297"/>
      <c r="AP36" s="1297"/>
      <c r="AQ36" s="1297"/>
      <c r="AR36" s="1297"/>
      <c r="AS36" s="1297"/>
      <c r="AU36" s="1291" t="e">
        <f>ROUND(((1-(('PIM Model'!$G$15+'PIM Model'!$G$17+'PIM Model'!$G$18)/'PIM Model'!$G$31))*100),0)&amp;"%/"&amp;ROUND((('PIM Model'!$G$15+'PIM Model'!$G$17+'PIM Model'!$G$18)/'PIM Model'!$G$31*100),0)&amp;"%"</f>
        <v>#DIV/0!</v>
      </c>
      <c r="AV36" s="1291"/>
      <c r="AW36" s="1291"/>
      <c r="AX36" s="1291"/>
      <c r="AY36" s="1291"/>
      <c r="AZ36" s="1291"/>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96" t="s">
        <v>734</v>
      </c>
      <c r="C38" s="1297"/>
      <c r="D38" s="1297"/>
      <c r="E38" s="1297"/>
      <c r="F38" s="1297"/>
      <c r="G38" s="1297"/>
      <c r="H38" s="1297"/>
      <c r="I38" s="1297"/>
      <c r="J38" s="1297"/>
      <c r="K38" s="1297"/>
      <c r="L38" s="1297"/>
      <c r="M38" s="1297"/>
      <c r="N38" s="1297"/>
      <c r="O38" s="1297"/>
      <c r="P38" s="1297"/>
      <c r="Q38" s="1297"/>
      <c r="R38" s="1297"/>
      <c r="T38" s="1307" t="str">
        <f>IFERROR('PIM Model'!$H$31/('PIM Model'!$E$6*52*Welcome!$D$14),"Error on A La Carte")</f>
        <v>Error on A La Carte</v>
      </c>
      <c r="U38" s="1307"/>
      <c r="V38" s="1307"/>
      <c r="W38" s="1307"/>
      <c r="X38" s="1307"/>
      <c r="Y38" s="1307"/>
      <c r="Z38" s="1307"/>
      <c r="AA38" s="1307"/>
      <c r="AB38" s="1307"/>
      <c r="AC38" s="304"/>
      <c r="AD38" s="304"/>
      <c r="AF38" s="1186" t="s">
        <v>687</v>
      </c>
      <c r="AG38" s="1186"/>
      <c r="AH38" s="1186"/>
      <c r="AI38" s="1186"/>
      <c r="AJ38" s="1186"/>
      <c r="AK38" s="1186"/>
      <c r="AL38" s="1186"/>
      <c r="AM38" s="1186"/>
      <c r="AN38" s="1186"/>
      <c r="AO38" s="1186"/>
      <c r="AP38" s="1186"/>
      <c r="AQ38" s="1186"/>
      <c r="AR38" s="1186"/>
      <c r="AS38" s="1186"/>
      <c r="AU38" s="1291">
        <f>COUNTIF('PIM Model'!$E$10:$E$30,"Include")</f>
        <v>21</v>
      </c>
      <c r="AV38" s="1291"/>
      <c r="AW38" s="1291"/>
      <c r="AX38" s="1291"/>
      <c r="AY38" s="1291"/>
      <c r="AZ38" s="1291"/>
      <c r="BF38" s="144"/>
    </row>
    <row r="39" spans="2:92" x14ac:dyDescent="0.25">
      <c r="B39" s="143"/>
      <c r="BF39" s="144"/>
    </row>
    <row r="40" spans="2:92" x14ac:dyDescent="0.25">
      <c r="B40" s="1296" t="s">
        <v>732</v>
      </c>
      <c r="C40" s="1297"/>
      <c r="D40" s="1297"/>
      <c r="E40" s="1297"/>
      <c r="F40" s="1297"/>
      <c r="G40" s="1297"/>
      <c r="H40" s="1297"/>
      <c r="I40" s="1297"/>
      <c r="J40" s="1297"/>
      <c r="K40" s="1297"/>
      <c r="L40" s="1297"/>
      <c r="M40" s="1297"/>
      <c r="N40" s="1297"/>
      <c r="O40" s="1297"/>
      <c r="P40" s="1297"/>
      <c r="Q40" s="1297"/>
      <c r="R40" s="1297"/>
      <c r="T40" s="1293">
        <f>IFERROR('PIM Model'!$G$31/'PIM Model'!$H$31,0)</f>
        <v>0</v>
      </c>
      <c r="U40" s="1293"/>
      <c r="V40" s="1293"/>
      <c r="W40" s="1293"/>
      <c r="X40" s="1293"/>
      <c r="Y40" s="1293"/>
      <c r="Z40" s="1293"/>
      <c r="AA40" s="1293"/>
      <c r="AB40" s="1293"/>
      <c r="AF40" s="1186" t="s">
        <v>735</v>
      </c>
      <c r="AG40" s="1186"/>
      <c r="AH40" s="1186"/>
      <c r="AI40" s="1186"/>
      <c r="AJ40" s="1186"/>
      <c r="AK40" s="1186"/>
      <c r="AL40" s="1186"/>
      <c r="AM40" s="1186"/>
      <c r="AN40" s="1186"/>
      <c r="AO40" s="1186"/>
      <c r="AP40" s="1186"/>
      <c r="AQ40" s="1186"/>
      <c r="AR40" s="1186"/>
      <c r="AS40" s="1186"/>
      <c r="AU40" s="1291">
        <f>$AO$28+$AU$28+$BA$28</f>
        <v>15</v>
      </c>
      <c r="AV40" s="1291"/>
      <c r="AW40" s="1291"/>
      <c r="BC40" s="1275"/>
      <c r="BD40" s="1275"/>
      <c r="BE40" s="1275"/>
      <c r="BF40" s="144"/>
    </row>
    <row r="41" spans="2:92" x14ac:dyDescent="0.25">
      <c r="B41" s="143"/>
      <c r="BF41" s="144"/>
      <c r="BP41" s="301"/>
      <c r="CN41" s="303"/>
    </row>
    <row r="42" spans="2:92" x14ac:dyDescent="0.25">
      <c r="B42" s="1290" t="s">
        <v>730</v>
      </c>
      <c r="C42" s="1186"/>
      <c r="D42" s="1186"/>
      <c r="E42" s="1186"/>
      <c r="F42" s="1186"/>
      <c r="G42" s="1186"/>
      <c r="H42" s="1186"/>
      <c r="I42" s="1186"/>
      <c r="J42" s="1186"/>
      <c r="K42" s="1186"/>
      <c r="L42" s="1186"/>
      <c r="M42" s="1186"/>
      <c r="N42" s="1186"/>
      <c r="O42" s="1186"/>
      <c r="P42" s="1186"/>
      <c r="Q42" s="1186"/>
      <c r="R42" s="1186"/>
      <c r="T42" s="1293" t="s">
        <v>789</v>
      </c>
      <c r="U42" s="1293"/>
      <c r="V42" s="1293"/>
      <c r="W42" s="1293"/>
      <c r="X42" s="1293"/>
      <c r="Y42" s="1293"/>
      <c r="Z42" s="1293"/>
      <c r="AA42" s="1293"/>
      <c r="AB42" s="1293"/>
      <c r="AF42" s="1186" t="s">
        <v>733</v>
      </c>
      <c r="AG42" s="1186"/>
      <c r="AH42" s="1186"/>
      <c r="AI42" s="1186"/>
      <c r="AJ42" s="1186"/>
      <c r="AK42" s="1186"/>
      <c r="AL42" s="1186"/>
      <c r="AM42" s="1186"/>
      <c r="AN42" s="1186"/>
      <c r="AO42" s="1186"/>
      <c r="AP42" s="1186"/>
      <c r="AQ42" s="1186"/>
      <c r="AR42" s="1186"/>
      <c r="AS42" s="1186"/>
      <c r="AU42" s="1291" t="s">
        <v>679</v>
      </c>
      <c r="AV42" s="1291"/>
      <c r="AW42" s="1291"/>
      <c r="BC42" s="1275"/>
      <c r="BD42" s="1275"/>
      <c r="BE42" s="1275"/>
      <c r="BF42" s="144"/>
    </row>
    <row r="43" spans="2:92" x14ac:dyDescent="0.25">
      <c r="B43" s="143"/>
      <c r="BF43" s="144"/>
      <c r="BP43" s="301"/>
      <c r="CN43" s="303"/>
    </row>
    <row r="44" spans="2:92" x14ac:dyDescent="0.25">
      <c r="B44" s="1296" t="s">
        <v>728</v>
      </c>
      <c r="C44" s="1297"/>
      <c r="D44" s="1297"/>
      <c r="E44" s="1297"/>
      <c r="F44" s="1297"/>
      <c r="G44" s="1297"/>
      <c r="H44" s="1297"/>
      <c r="I44" s="1297"/>
      <c r="J44" s="1297"/>
      <c r="K44" s="1297"/>
      <c r="L44" s="1297"/>
      <c r="M44" s="1297"/>
      <c r="N44" s="1297"/>
      <c r="O44" s="1297"/>
      <c r="P44" s="1297"/>
      <c r="Q44" s="1297"/>
      <c r="R44" s="1297"/>
      <c r="T44" s="1299">
        <f>'Tracking &amp; Profitability'!$E$7</f>
        <v>0</v>
      </c>
      <c r="U44" s="1299"/>
      <c r="V44" s="1299"/>
      <c r="W44" s="1299"/>
      <c r="X44" s="1299"/>
      <c r="Y44" s="1299"/>
      <c r="Z44" s="1299"/>
      <c r="AA44" s="1299"/>
      <c r="AB44" s="1299"/>
      <c r="AF44" s="1186" t="s">
        <v>731</v>
      </c>
      <c r="AG44" s="1186"/>
      <c r="AH44" s="1186"/>
      <c r="AI44" s="1186"/>
      <c r="AJ44" s="1186"/>
      <c r="AK44" s="1186"/>
      <c r="AL44" s="1186"/>
      <c r="AM44" s="1186"/>
      <c r="AN44" s="1186"/>
      <c r="AO44" s="1186"/>
      <c r="AP44" s="1186"/>
      <c r="AQ44" s="1186"/>
      <c r="AR44" s="1186"/>
      <c r="AS44" s="1186"/>
      <c r="AU44" s="1291" t="s">
        <v>679</v>
      </c>
      <c r="AV44" s="1291"/>
      <c r="AW44" s="1291"/>
      <c r="BC44" s="1275"/>
      <c r="BD44" s="1275"/>
      <c r="BE44" s="1275"/>
      <c r="BF44" s="144"/>
    </row>
    <row r="45" spans="2:92" x14ac:dyDescent="0.25">
      <c r="B45" s="143"/>
      <c r="BF45" s="144"/>
      <c r="CN45" s="303"/>
    </row>
    <row r="46" spans="2:92" x14ac:dyDescent="0.25">
      <c r="B46" s="1301" t="s">
        <v>688</v>
      </c>
      <c r="C46" s="1302"/>
      <c r="D46" s="1302"/>
      <c r="E46" s="1302"/>
      <c r="F46" s="1302"/>
      <c r="G46" s="1302"/>
      <c r="H46" s="1302"/>
      <c r="I46" s="1302"/>
      <c r="J46" s="1302"/>
      <c r="K46" s="1302"/>
      <c r="L46" s="1302"/>
      <c r="M46" s="1302"/>
      <c r="N46" s="1302"/>
      <c r="O46" s="1302"/>
      <c r="P46" s="1302"/>
      <c r="Q46" s="1302"/>
      <c r="R46" s="1302"/>
      <c r="T46" s="1281">
        <v>150</v>
      </c>
      <c r="U46" s="1281"/>
      <c r="V46" s="1281"/>
      <c r="W46" s="1281"/>
      <c r="X46" s="1281"/>
      <c r="Y46" s="1281"/>
      <c r="Z46" s="1281"/>
      <c r="AA46" s="1281"/>
      <c r="AB46" s="1281"/>
      <c r="AF46" s="1295" t="s">
        <v>729</v>
      </c>
      <c r="AG46" s="1295"/>
      <c r="AH46" s="1295"/>
      <c r="AI46" s="1295"/>
      <c r="AJ46" s="1295"/>
      <c r="AK46" s="1295"/>
      <c r="AL46" s="1295"/>
      <c r="AM46" s="1295"/>
      <c r="AN46" s="1295"/>
      <c r="AO46" s="1295"/>
      <c r="AP46" s="1295"/>
      <c r="AQ46" s="1295"/>
      <c r="AR46" s="1295"/>
      <c r="AS46" s="1295"/>
      <c r="AU46" s="1311">
        <v>0.25</v>
      </c>
      <c r="AV46" s="1311"/>
      <c r="AW46" s="1311"/>
      <c r="AX46" s="1311"/>
      <c r="AY46" s="1311"/>
      <c r="AZ46" s="1311"/>
      <c r="BF46" s="144"/>
    </row>
    <row r="47" spans="2:92" x14ac:dyDescent="0.25">
      <c r="B47" s="143"/>
      <c r="BF47" s="144"/>
      <c r="CN47" s="303"/>
    </row>
    <row r="48" spans="2:92" x14ac:dyDescent="0.25">
      <c r="B48" s="1296" t="s">
        <v>495</v>
      </c>
      <c r="C48" s="1297"/>
      <c r="D48" s="1297"/>
      <c r="E48" s="1297"/>
      <c r="F48" s="1297"/>
      <c r="G48" s="1297"/>
      <c r="H48" s="1297"/>
      <c r="I48" s="1297"/>
      <c r="J48" s="1297"/>
      <c r="K48" s="1297"/>
      <c r="L48" s="1297"/>
      <c r="M48" s="1297"/>
      <c r="N48" s="1297"/>
      <c r="O48" s="1297"/>
      <c r="P48" s="1297"/>
      <c r="Q48" s="1297"/>
      <c r="R48" s="1297"/>
      <c r="T48" s="1281">
        <f>$K$10</f>
        <v>0</v>
      </c>
      <c r="U48" s="1281"/>
      <c r="V48" s="1281"/>
      <c r="W48" s="1281"/>
      <c r="X48" s="1281"/>
      <c r="Y48" s="1281"/>
      <c r="Z48" s="1281"/>
      <c r="AA48" s="1281"/>
      <c r="AB48" s="1281"/>
      <c r="AF48" s="1295" t="s">
        <v>727</v>
      </c>
      <c r="AG48" s="1295"/>
      <c r="AH48" s="1295"/>
      <c r="AI48" s="1295"/>
      <c r="AJ48" s="1295"/>
      <c r="AK48" s="1295"/>
      <c r="AL48" s="1295"/>
      <c r="AM48" s="1295"/>
      <c r="AN48" s="1295"/>
      <c r="AO48" s="1295"/>
      <c r="AP48" s="1295"/>
      <c r="AQ48" s="1295"/>
      <c r="AR48" s="1295"/>
      <c r="AS48" s="1295"/>
      <c r="AU48" s="1315">
        <v>1.75</v>
      </c>
      <c r="AV48" s="1316"/>
      <c r="AW48" s="1316"/>
      <c r="AX48" s="1316"/>
      <c r="AY48" s="1316"/>
      <c r="AZ48" s="1316"/>
      <c r="BF48" s="144"/>
    </row>
    <row r="49" spans="2:92" x14ac:dyDescent="0.25">
      <c r="B49" s="143"/>
      <c r="BF49" s="144"/>
      <c r="CN49" s="303"/>
    </row>
    <row r="50" spans="2:92" x14ac:dyDescent="0.25">
      <c r="B50" s="1305" t="s">
        <v>726</v>
      </c>
      <c r="C50" s="1295"/>
      <c r="D50" s="1295"/>
      <c r="E50" s="1295"/>
      <c r="F50" s="1295"/>
      <c r="G50" s="1295"/>
      <c r="H50" s="1295"/>
      <c r="I50" s="1295"/>
      <c r="J50" s="1295"/>
      <c r="K50" s="1295"/>
      <c r="L50" s="1295"/>
      <c r="M50" s="1295"/>
      <c r="N50" s="1295"/>
      <c r="O50" s="1295"/>
      <c r="P50" s="1295"/>
      <c r="Q50" s="1295"/>
      <c r="R50" s="1295"/>
      <c r="T50" s="1303">
        <v>500</v>
      </c>
      <c r="U50" s="1303"/>
      <c r="V50" s="1303"/>
      <c r="W50" s="1303"/>
      <c r="X50" s="1303"/>
      <c r="Y50" s="1303"/>
      <c r="Z50" s="1186" t="s">
        <v>725</v>
      </c>
      <c r="AA50" s="1186"/>
      <c r="AB50" s="1186"/>
      <c r="AC50" s="1303">
        <v>25</v>
      </c>
      <c r="AD50" s="1303"/>
      <c r="AE50" s="1303"/>
      <c r="AF50" s="1303"/>
      <c r="AG50" s="1303"/>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08" t="s">
        <v>709</v>
      </c>
      <c r="C53" s="1309"/>
      <c r="D53" s="1309"/>
      <c r="E53" s="1309"/>
      <c r="F53" s="1309"/>
      <c r="G53" s="1309"/>
      <c r="H53" s="1309"/>
      <c r="I53" s="1309"/>
      <c r="J53" s="1309"/>
      <c r="K53" s="1309"/>
      <c r="L53" s="1309"/>
      <c r="M53" s="1309"/>
      <c r="N53" s="1309"/>
      <c r="O53" s="1309"/>
      <c r="P53" s="1309"/>
      <c r="Q53" s="1309"/>
      <c r="R53" s="1309"/>
      <c r="S53" s="1309"/>
      <c r="T53" s="1309"/>
      <c r="U53" s="1309"/>
      <c r="V53" s="1309"/>
      <c r="W53" s="1309"/>
      <c r="X53" s="1309"/>
      <c r="Y53" s="1309"/>
      <c r="Z53" s="1309"/>
      <c r="AA53" s="1309"/>
      <c r="AB53" s="1309"/>
      <c r="AC53" s="1309"/>
      <c r="AD53" s="1309"/>
      <c r="AE53" s="1309"/>
      <c r="AF53" s="1309"/>
      <c r="AG53" s="1309"/>
      <c r="AH53" s="1309"/>
      <c r="AI53" s="1309"/>
      <c r="AJ53" s="1309"/>
      <c r="AK53" s="1309"/>
      <c r="AL53" s="1309"/>
      <c r="AM53" s="1309"/>
      <c r="AN53" s="1309"/>
      <c r="AO53" s="1309"/>
      <c r="AP53" s="1309"/>
      <c r="AQ53" s="1309"/>
      <c r="AR53" s="1309"/>
      <c r="AS53" s="1309"/>
      <c r="AT53" s="1309"/>
      <c r="AU53" s="1309"/>
      <c r="AV53" s="1309"/>
      <c r="AW53" s="1309"/>
      <c r="AX53" s="1309"/>
      <c r="AY53" s="1309"/>
      <c r="AZ53" s="1309"/>
      <c r="BA53" s="1309"/>
      <c r="BB53" s="1309"/>
      <c r="BC53" s="1309"/>
      <c r="BD53" s="1309"/>
      <c r="BE53" s="1309"/>
      <c r="BF53" s="1310"/>
    </row>
    <row r="54" spans="2:92" x14ac:dyDescent="0.25">
      <c r="B54" s="1312" t="s">
        <v>724</v>
      </c>
      <c r="C54" s="1313"/>
      <c r="D54" s="1313"/>
      <c r="E54" s="1313"/>
      <c r="F54" s="1313"/>
      <c r="G54" s="1313"/>
      <c r="H54" s="1313"/>
      <c r="I54" s="1313"/>
      <c r="J54" s="1313"/>
      <c r="K54" s="1313"/>
      <c r="L54" s="1313"/>
      <c r="M54" s="1313"/>
      <c r="N54" s="1313"/>
      <c r="O54" s="1313"/>
      <c r="P54" s="1313"/>
      <c r="Q54" s="1313"/>
      <c r="R54" s="1313"/>
      <c r="S54" s="1313"/>
      <c r="T54" s="1313"/>
      <c r="U54" s="1313"/>
      <c r="V54" s="1313"/>
      <c r="W54" s="1313"/>
      <c r="X54" s="1313"/>
      <c r="Y54" s="1313"/>
      <c r="Z54" s="1313"/>
      <c r="AA54" s="1313"/>
      <c r="AB54" s="1313"/>
      <c r="AC54" s="1313"/>
      <c r="AD54" s="1313"/>
      <c r="AE54" s="1313"/>
      <c r="AF54" s="1313"/>
      <c r="AG54" s="1313"/>
      <c r="AH54" s="1313"/>
      <c r="AI54" s="1313"/>
      <c r="AJ54" s="1313"/>
      <c r="AK54" s="1313"/>
      <c r="AL54" s="1313"/>
      <c r="AM54" s="1313"/>
      <c r="AN54" s="1313"/>
      <c r="AO54" s="1313"/>
      <c r="AP54" s="1313"/>
      <c r="AQ54" s="1313"/>
      <c r="AR54" s="1313"/>
      <c r="AS54" s="1313"/>
      <c r="AT54" s="1313"/>
      <c r="AU54" s="1313"/>
      <c r="AV54" s="1313"/>
      <c r="AW54" s="1313"/>
      <c r="AX54" s="1313"/>
      <c r="AY54" s="1313"/>
      <c r="AZ54" s="1313"/>
      <c r="BA54" s="1313"/>
      <c r="BB54" s="1313"/>
      <c r="BC54" s="1313"/>
      <c r="BD54" s="1313"/>
      <c r="BE54" s="1313"/>
      <c r="BF54" s="1314"/>
      <c r="BP54" s="301"/>
    </row>
    <row r="55" spans="2:92" x14ac:dyDescent="0.25">
      <c r="B55" s="143"/>
      <c r="AC55" s="306"/>
      <c r="AD55" s="306"/>
      <c r="AE55" s="306"/>
      <c r="AF55" s="306"/>
      <c r="AG55" s="306"/>
      <c r="AH55" s="306"/>
      <c r="AK55" s="1280"/>
      <c r="AL55" s="1280"/>
      <c r="AM55" s="1280"/>
      <c r="AN55" s="1280"/>
      <c r="AO55" s="1176"/>
      <c r="AP55" s="1176"/>
      <c r="AQ55" s="1176"/>
      <c r="AR55" s="140"/>
      <c r="AS55" s="140"/>
      <c r="AT55" s="1176"/>
      <c r="AU55" s="1176"/>
      <c r="AV55" s="1176"/>
      <c r="AW55" s="140"/>
      <c r="AX55" s="140"/>
      <c r="AY55" s="1176"/>
      <c r="AZ55" s="1176"/>
      <c r="BA55" s="1176"/>
      <c r="BB55" s="140"/>
      <c r="BC55" s="140"/>
      <c r="BD55" s="1176"/>
      <c r="BE55" s="1176"/>
      <c r="BF55" s="1298"/>
      <c r="BP55" s="307"/>
    </row>
    <row r="56" spans="2:92" x14ac:dyDescent="0.25">
      <c r="B56" s="143"/>
      <c r="C56" s="1197" t="s">
        <v>103</v>
      </c>
      <c r="D56" s="1197"/>
      <c r="E56" s="1197"/>
      <c r="F56" s="1197"/>
      <c r="G56" s="1197"/>
      <c r="H56" s="1197"/>
      <c r="I56" s="1197"/>
      <c r="J56" s="1197"/>
      <c r="K56" s="1197"/>
      <c r="L56" s="1197"/>
      <c r="M56" s="1197"/>
      <c r="N56" s="1197"/>
      <c r="O56" s="1197"/>
      <c r="P56" s="1197"/>
      <c r="Q56" s="1197"/>
      <c r="R56" s="1197"/>
      <c r="S56" s="1197"/>
      <c r="T56" s="1197"/>
      <c r="U56" s="1197"/>
      <c r="V56" s="1197"/>
      <c r="W56" s="1197"/>
      <c r="X56" s="1197"/>
      <c r="Y56" s="1197"/>
      <c r="Z56" s="1197"/>
      <c r="AC56" s="1291" t="str">
        <f>'PIM Model'!$AD$11</f>
        <v/>
      </c>
      <c r="AD56" s="1291"/>
      <c r="AE56" s="1291" t="str">
        <f>'PIM Model'!$D$11</f>
        <v>%</v>
      </c>
      <c r="AF56" s="1291"/>
      <c r="AG56" s="1291" t="str">
        <f>'PIM Model'!$D$11</f>
        <v>%</v>
      </c>
      <c r="AH56" s="1291"/>
      <c r="AI56" s="1275" t="str">
        <f>'PIM Model'!$D$11</f>
        <v>%</v>
      </c>
      <c r="AJ56" s="1275"/>
      <c r="AK56" s="140"/>
      <c r="AL56" s="140"/>
      <c r="AM56" s="140"/>
      <c r="AN56" s="140"/>
      <c r="AO56" s="1176"/>
      <c r="AP56" s="1176"/>
      <c r="AQ56" s="1176"/>
      <c r="AR56" s="140"/>
      <c r="AS56" s="140"/>
      <c r="AT56" s="1176"/>
      <c r="AU56" s="1176"/>
      <c r="AV56" s="1176"/>
      <c r="AW56" s="140"/>
      <c r="AX56" s="140"/>
      <c r="AY56" s="1176"/>
      <c r="AZ56" s="1176"/>
      <c r="BA56" s="1176"/>
      <c r="BB56" s="140"/>
      <c r="BC56" s="140"/>
      <c r="BD56" s="1176"/>
      <c r="BE56" s="1176"/>
      <c r="BF56" s="1298"/>
      <c r="BP56" s="301"/>
    </row>
    <row r="57" spans="2:92" x14ac:dyDescent="0.25">
      <c r="B57" s="143"/>
      <c r="C57" s="1197" t="s">
        <v>102</v>
      </c>
      <c r="D57" s="1197"/>
      <c r="E57" s="1197"/>
      <c r="F57" s="1197"/>
      <c r="G57" s="1197"/>
      <c r="H57" s="1197"/>
      <c r="I57" s="1197"/>
      <c r="J57" s="1197"/>
      <c r="K57" s="1197"/>
      <c r="L57" s="1197"/>
      <c r="M57" s="1197"/>
      <c r="N57" s="1197"/>
      <c r="O57" s="1197"/>
      <c r="P57" s="1197"/>
      <c r="Q57" s="1197"/>
      <c r="R57" s="1197"/>
      <c r="S57" s="1197"/>
      <c r="T57" s="1197"/>
      <c r="U57" s="1197"/>
      <c r="V57" s="1197"/>
      <c r="W57" s="1197"/>
      <c r="X57" s="1197"/>
      <c r="Y57" s="1197"/>
      <c r="Z57" s="1197"/>
      <c r="AC57" s="1278" t="str">
        <f>'PIM Model'!$AD$13</f>
        <v/>
      </c>
      <c r="AD57" s="1278"/>
      <c r="AE57" s="1278" t="str">
        <f>'PIM Model'!$D$13</f>
        <v>%</v>
      </c>
      <c r="AF57" s="1278"/>
      <c r="AG57" s="1278" t="str">
        <f>'PIM Model'!$D$13</f>
        <v>%</v>
      </c>
      <c r="AH57" s="1278"/>
      <c r="AI57" s="1275" t="str">
        <f>'PIM Model'!$D$13</f>
        <v>%</v>
      </c>
      <c r="AJ57" s="1275"/>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97" t="s">
        <v>101</v>
      </c>
      <c r="D58" s="1197"/>
      <c r="E58" s="1197"/>
      <c r="F58" s="1197"/>
      <c r="G58" s="1197"/>
      <c r="H58" s="1197"/>
      <c r="I58" s="1197"/>
      <c r="J58" s="1197"/>
      <c r="K58" s="1197"/>
      <c r="L58" s="1197"/>
      <c r="M58" s="1197"/>
      <c r="N58" s="1197"/>
      <c r="O58" s="1197"/>
      <c r="P58" s="1197"/>
      <c r="Q58" s="1197"/>
      <c r="R58" s="1197"/>
      <c r="S58" s="1197"/>
      <c r="T58" s="1197"/>
      <c r="U58" s="1197"/>
      <c r="V58" s="1197"/>
      <c r="W58" s="1197"/>
      <c r="X58" s="1197"/>
      <c r="Y58" s="1197"/>
      <c r="Z58" s="1197"/>
      <c r="AC58" s="1278" t="str">
        <f>'PIM Model'!$AD$19</f>
        <v/>
      </c>
      <c r="AD58" s="1278"/>
      <c r="AE58" s="1278" t="str">
        <f>'PIM Model'!$D$19</f>
        <v>%</v>
      </c>
      <c r="AF58" s="1278"/>
      <c r="AG58" s="1278" t="str">
        <f>'PIM Model'!$D$19</f>
        <v>%</v>
      </c>
      <c r="AH58" s="1278"/>
      <c r="AI58" s="1275" t="str">
        <f>'PIM Model'!$D$19</f>
        <v>%</v>
      </c>
      <c r="AJ58" s="1275"/>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97" t="s">
        <v>100</v>
      </c>
      <c r="D59" s="1197"/>
      <c r="E59" s="1197"/>
      <c r="F59" s="1197"/>
      <c r="G59" s="1197"/>
      <c r="H59" s="1197"/>
      <c r="I59" s="1197"/>
      <c r="J59" s="1197"/>
      <c r="K59" s="1197"/>
      <c r="L59" s="1197"/>
      <c r="M59" s="1197"/>
      <c r="N59" s="1197"/>
      <c r="O59" s="1197"/>
      <c r="P59" s="1197"/>
      <c r="Q59" s="1197"/>
      <c r="R59" s="1197"/>
      <c r="S59" s="1197"/>
      <c r="T59" s="1197"/>
      <c r="U59" s="1197"/>
      <c r="V59" s="1197"/>
      <c r="W59" s="1197"/>
      <c r="X59" s="1197"/>
      <c r="Y59" s="1197"/>
      <c r="Z59" s="1197"/>
      <c r="AC59" s="1278" t="str">
        <f>'PIM Model'!$AD$14</f>
        <v/>
      </c>
      <c r="AD59" s="1278"/>
      <c r="AE59" s="1278" t="str">
        <f>'PIM Model'!$D$14</f>
        <v>%</v>
      </c>
      <c r="AF59" s="1278"/>
      <c r="AG59" s="1278" t="str">
        <f>'PIM Model'!$D$14</f>
        <v>%</v>
      </c>
      <c r="AH59" s="1278"/>
      <c r="AI59" s="1275" t="str">
        <f>'PIM Model'!$D$14</f>
        <v>%</v>
      </c>
      <c r="AJ59" s="1275"/>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97" t="s">
        <v>104</v>
      </c>
      <c r="D60" s="1197"/>
      <c r="E60" s="1197"/>
      <c r="F60" s="1197"/>
      <c r="G60" s="1197"/>
      <c r="H60" s="1197"/>
      <c r="I60" s="1197"/>
      <c r="J60" s="1197"/>
      <c r="K60" s="1197"/>
      <c r="L60" s="1197"/>
      <c r="M60" s="1197"/>
      <c r="N60" s="1197"/>
      <c r="O60" s="1197"/>
      <c r="P60" s="1197"/>
      <c r="Q60" s="1197"/>
      <c r="R60" s="1197"/>
      <c r="S60" s="1197"/>
      <c r="T60" s="1197"/>
      <c r="U60" s="1197"/>
      <c r="V60" s="1197"/>
      <c r="W60" s="1197"/>
      <c r="X60" s="1197"/>
      <c r="Y60" s="1197"/>
      <c r="Z60" s="1197"/>
      <c r="AC60" s="1278" t="str">
        <f>'PIM Model'!$AD$15</f>
        <v/>
      </c>
      <c r="AD60" s="1278"/>
      <c r="AE60" s="1278" t="str">
        <f>'PIM Model'!$D$15</f>
        <v>%</v>
      </c>
      <c r="AF60" s="1278"/>
      <c r="AG60" s="1278" t="str">
        <f>'PIM Model'!$D$15</f>
        <v>%</v>
      </c>
      <c r="AH60" s="1278"/>
      <c r="AI60" s="1275" t="str">
        <f>'PIM Model'!$D$15</f>
        <v>%</v>
      </c>
      <c r="AJ60" s="1275"/>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97" t="s">
        <v>99</v>
      </c>
      <c r="D61" s="1197"/>
      <c r="E61" s="1197"/>
      <c r="F61" s="1197"/>
      <c r="G61" s="1197"/>
      <c r="H61" s="1197"/>
      <c r="I61" s="1197"/>
      <c r="J61" s="1197"/>
      <c r="K61" s="1197"/>
      <c r="L61" s="1197"/>
      <c r="M61" s="1197"/>
      <c r="N61" s="1197"/>
      <c r="O61" s="1197"/>
      <c r="P61" s="1197"/>
      <c r="Q61" s="1197"/>
      <c r="R61" s="1197"/>
      <c r="S61" s="1197"/>
      <c r="T61" s="1197"/>
      <c r="U61" s="1197"/>
      <c r="V61" s="1197"/>
      <c r="W61" s="1197"/>
      <c r="X61" s="1197"/>
      <c r="Y61" s="1197"/>
      <c r="Z61" s="1197"/>
      <c r="AC61" s="1278" t="str">
        <f>'PIM Model'!$AD$10</f>
        <v/>
      </c>
      <c r="AD61" s="1278"/>
      <c r="AE61" s="1278" t="str">
        <f>'PIM Model'!$D$10</f>
        <v>%</v>
      </c>
      <c r="AF61" s="1278"/>
      <c r="AG61" s="1278" t="str">
        <f>'PIM Model'!$D$10</f>
        <v>%</v>
      </c>
      <c r="AH61" s="1278"/>
      <c r="AI61" s="1275" t="str">
        <f>'PIM Model'!$D$10</f>
        <v>%</v>
      </c>
      <c r="AJ61" s="1275"/>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29" t="s">
        <v>98</v>
      </c>
      <c r="D62" s="1129"/>
      <c r="E62" s="1129"/>
      <c r="F62" s="1129"/>
      <c r="G62" s="1129"/>
      <c r="H62" s="1129"/>
      <c r="I62" s="1129"/>
      <c r="J62" s="1129"/>
      <c r="K62" s="1129"/>
      <c r="L62" s="1129"/>
      <c r="M62" s="1129"/>
      <c r="N62" s="1129"/>
      <c r="O62" s="1129"/>
      <c r="P62" s="1129"/>
      <c r="Q62" s="1129"/>
      <c r="R62" s="1129"/>
      <c r="S62" s="1129"/>
      <c r="T62" s="1129"/>
      <c r="U62" s="1129"/>
      <c r="V62" s="1129"/>
      <c r="W62" s="1129"/>
      <c r="X62" s="1129"/>
      <c r="Y62" s="1129"/>
      <c r="Z62" s="1129"/>
      <c r="AC62" s="1278" t="str">
        <f>'PIM Model'!$AD$16</f>
        <v/>
      </c>
      <c r="AD62" s="1278"/>
      <c r="AE62" s="1278" t="str">
        <f>'PIM Model'!$D$16</f>
        <v>%</v>
      </c>
      <c r="AF62" s="1278"/>
      <c r="AG62" s="1278" t="str">
        <f>'PIM Model'!$D$16</f>
        <v>%</v>
      </c>
      <c r="AH62" s="1278"/>
      <c r="AI62" s="1275" t="str">
        <f>'PIM Model'!$D$16</f>
        <v>%</v>
      </c>
      <c r="AJ62" s="1275"/>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29" t="s">
        <v>97</v>
      </c>
      <c r="D63" s="1129"/>
      <c r="E63" s="1129"/>
      <c r="F63" s="1129"/>
      <c r="G63" s="1129"/>
      <c r="H63" s="1129"/>
      <c r="I63" s="1129"/>
      <c r="J63" s="1129"/>
      <c r="K63" s="1129"/>
      <c r="L63" s="1129"/>
      <c r="M63" s="1129"/>
      <c r="N63" s="1129"/>
      <c r="O63" s="1129"/>
      <c r="P63" s="1129"/>
      <c r="Q63" s="1129"/>
      <c r="R63" s="1129"/>
      <c r="S63" s="1129"/>
      <c r="T63" s="1129"/>
      <c r="U63" s="1129"/>
      <c r="V63" s="1129"/>
      <c r="W63" s="1129"/>
      <c r="X63" s="1129"/>
      <c r="Y63" s="1129"/>
      <c r="Z63" s="1129"/>
      <c r="AC63" s="1278" t="str">
        <f>'PIM Model'!$AD$20</f>
        <v/>
      </c>
      <c r="AD63" s="1278"/>
      <c r="AE63" s="1278" t="str">
        <f>'PIM Model'!$D$20</f>
        <v>%</v>
      </c>
      <c r="AF63" s="1278"/>
      <c r="AG63" s="1278" t="str">
        <f>'PIM Model'!$D$20</f>
        <v>%</v>
      </c>
      <c r="AH63" s="1278"/>
      <c r="AI63" s="1275" t="str">
        <f>'PIM Model'!$D$20</f>
        <v>%</v>
      </c>
      <c r="AJ63" s="1275"/>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29" t="s">
        <v>96</v>
      </c>
      <c r="D64" s="1129"/>
      <c r="E64" s="1129"/>
      <c r="F64" s="1129"/>
      <c r="G64" s="1129"/>
      <c r="H64" s="1129"/>
      <c r="I64" s="1129"/>
      <c r="J64" s="1129"/>
      <c r="K64" s="1129"/>
      <c r="L64" s="1129"/>
      <c r="M64" s="1129"/>
      <c r="N64" s="1129"/>
      <c r="O64" s="1129"/>
      <c r="P64" s="1129"/>
      <c r="Q64" s="1129"/>
      <c r="R64" s="1129"/>
      <c r="S64" s="1129"/>
      <c r="T64" s="1129"/>
      <c r="U64" s="1129"/>
      <c r="V64" s="1129"/>
      <c r="W64" s="1129"/>
      <c r="X64" s="1129"/>
      <c r="Y64" s="1129"/>
      <c r="Z64" s="1129"/>
      <c r="AC64" s="1278" t="str">
        <f>'PIM Model'!$AD$18</f>
        <v/>
      </c>
      <c r="AD64" s="1278"/>
      <c r="AE64" s="1278" t="str">
        <f>'PIM Model'!$D$18</f>
        <v>%</v>
      </c>
      <c r="AF64" s="1278"/>
      <c r="AG64" s="1278" t="str">
        <f>'PIM Model'!$D$18</f>
        <v>%</v>
      </c>
      <c r="AH64" s="1278"/>
      <c r="AI64" s="1275" t="str">
        <f>'PIM Model'!$D$18</f>
        <v>%</v>
      </c>
      <c r="AJ64" s="1275"/>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29" t="s">
        <v>95</v>
      </c>
      <c r="D65" s="1129"/>
      <c r="E65" s="1129"/>
      <c r="F65" s="1129"/>
      <c r="G65" s="1129"/>
      <c r="H65" s="1129"/>
      <c r="I65" s="1129"/>
      <c r="J65" s="1129"/>
      <c r="K65" s="1129"/>
      <c r="L65" s="1129"/>
      <c r="M65" s="1129"/>
      <c r="N65" s="1129"/>
      <c r="O65" s="1129"/>
      <c r="P65" s="1129"/>
      <c r="Q65" s="1129"/>
      <c r="R65" s="1129"/>
      <c r="S65" s="1129"/>
      <c r="T65" s="1129"/>
      <c r="U65" s="1129"/>
      <c r="V65" s="1129"/>
      <c r="W65" s="1129"/>
      <c r="X65" s="1129"/>
      <c r="Y65" s="1129"/>
      <c r="Z65" s="1129"/>
      <c r="AC65" s="1278" t="str">
        <f>'PIM Model'!$AD$17</f>
        <v/>
      </c>
      <c r="AD65" s="1278"/>
      <c r="AE65" s="1278" t="str">
        <f>'PIM Model'!$D$17</f>
        <v>%</v>
      </c>
      <c r="AF65" s="1278"/>
      <c r="AG65" s="1278" t="str">
        <f>'PIM Model'!$D$17</f>
        <v>%</v>
      </c>
      <c r="AH65" s="1278"/>
      <c r="AI65" s="1275" t="str">
        <f>'PIM Model'!$D$17</f>
        <v>%</v>
      </c>
      <c r="AJ65" s="1275"/>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29" t="s">
        <v>94</v>
      </c>
      <c r="D66" s="1129"/>
      <c r="E66" s="1129"/>
      <c r="F66" s="1129"/>
      <c r="G66" s="1129"/>
      <c r="H66" s="1129"/>
      <c r="I66" s="1129"/>
      <c r="J66" s="1129"/>
      <c r="K66" s="1129"/>
      <c r="L66" s="1129"/>
      <c r="M66" s="1129"/>
      <c r="N66" s="1129"/>
      <c r="O66" s="1129"/>
      <c r="P66" s="1129"/>
      <c r="Q66" s="1129"/>
      <c r="R66" s="1129"/>
      <c r="S66" s="1129"/>
      <c r="T66" s="1129"/>
      <c r="U66" s="1129"/>
      <c r="V66" s="1129"/>
      <c r="W66" s="1129"/>
      <c r="X66" s="1129"/>
      <c r="Y66" s="1129"/>
      <c r="Z66" s="1129"/>
      <c r="AC66" s="1278" t="str">
        <f>'PIM Model'!$AD$27</f>
        <v/>
      </c>
      <c r="AD66" s="1278"/>
      <c r="AE66" s="1278" t="str">
        <f>'PIM Model'!$D$27</f>
        <v>%</v>
      </c>
      <c r="AF66" s="1278"/>
      <c r="AG66" s="1278" t="str">
        <f>'PIM Model'!$D$27</f>
        <v>%</v>
      </c>
      <c r="AH66" s="1278"/>
      <c r="AI66" s="1275" t="str">
        <f>'PIM Model'!$D$27</f>
        <v>%</v>
      </c>
      <c r="AJ66" s="1275"/>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5" t="s">
        <v>723</v>
      </c>
      <c r="F67" s="1275"/>
      <c r="G67" s="1275"/>
      <c r="H67" s="1275"/>
      <c r="I67" s="1275"/>
      <c r="J67" s="1275"/>
      <c r="K67" s="1275"/>
      <c r="M67" s="1279" t="s">
        <v>248</v>
      </c>
      <c r="N67" s="1279"/>
      <c r="O67" s="1279"/>
      <c r="P67" t="s">
        <v>679</v>
      </c>
      <c r="S67" s="1277"/>
      <c r="T67" s="1277"/>
      <c r="U67" s="1277"/>
      <c r="V67" s="1275" t="s">
        <v>681</v>
      </c>
      <c r="W67" s="1275"/>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29" t="s">
        <v>93</v>
      </c>
      <c r="D68" s="1129"/>
      <c r="E68" s="1129"/>
      <c r="F68" s="1129"/>
      <c r="G68" s="1129"/>
      <c r="H68" s="1129"/>
      <c r="I68" s="1129"/>
      <c r="J68" s="1129"/>
      <c r="K68" s="1129"/>
      <c r="L68" s="1129"/>
      <c r="M68" s="1129"/>
      <c r="N68" s="1129"/>
      <c r="O68" s="1129"/>
      <c r="P68" s="1129"/>
      <c r="Q68" s="1129"/>
      <c r="R68" s="1129"/>
      <c r="S68" s="1129"/>
      <c r="T68" s="1129"/>
      <c r="U68" s="1129"/>
      <c r="V68" s="1129"/>
      <c r="W68" s="1129"/>
      <c r="X68" s="1129"/>
      <c r="Y68" s="1129"/>
      <c r="Z68" s="1129"/>
      <c r="AC68" s="1278" t="str">
        <f>'PIM Model'!$AD$21</f>
        <v/>
      </c>
      <c r="AD68" s="1278"/>
      <c r="AE68" s="1278" t="str">
        <f>'PIM Model'!$D$21</f>
        <v>%</v>
      </c>
      <c r="AF68" s="1278"/>
      <c r="AG68" s="1278" t="str">
        <f>'PIM Model'!$D$21</f>
        <v>%</v>
      </c>
      <c r="AH68" s="1278"/>
      <c r="AI68" s="1275" t="str">
        <f>'PIM Model'!$D$21</f>
        <v>%</v>
      </c>
      <c r="AJ68" s="1275"/>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29" t="s">
        <v>92</v>
      </c>
      <c r="D69" s="1129"/>
      <c r="E69" s="1129"/>
      <c r="F69" s="1129"/>
      <c r="G69" s="1129"/>
      <c r="H69" s="1129"/>
      <c r="I69" s="1129"/>
      <c r="J69" s="1129"/>
      <c r="K69" s="1129"/>
      <c r="L69" s="1129"/>
      <c r="M69" s="1129"/>
      <c r="N69" s="1129"/>
      <c r="O69" s="1129"/>
      <c r="P69" s="1129"/>
      <c r="Q69" s="1129"/>
      <c r="R69" s="1129"/>
      <c r="S69" s="1129"/>
      <c r="T69" s="1129"/>
      <c r="U69" s="1129"/>
      <c r="V69" s="1129"/>
      <c r="W69" s="1129"/>
      <c r="X69" s="1129"/>
      <c r="Y69" s="1129"/>
      <c r="Z69" s="1129"/>
      <c r="AC69" s="1278" t="str">
        <f>'PIM Model'!$AD$23</f>
        <v/>
      </c>
      <c r="AD69" s="1278"/>
      <c r="AE69" s="1278" t="str">
        <f>'PIM Model'!$D$23</f>
        <v>%</v>
      </c>
      <c r="AF69" s="1278"/>
      <c r="AG69" s="1278" t="str">
        <f>'PIM Model'!$D$23</f>
        <v>%</v>
      </c>
      <c r="AH69" s="1278"/>
      <c r="AI69" s="1275" t="str">
        <f>'PIM Model'!$D$23</f>
        <v>%</v>
      </c>
      <c r="AJ69" s="1275"/>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29" t="s">
        <v>91</v>
      </c>
      <c r="D70" s="1129"/>
      <c r="E70" s="1129"/>
      <c r="F70" s="1129"/>
      <c r="G70" s="1129"/>
      <c r="H70" s="1129"/>
      <c r="I70" s="1129"/>
      <c r="J70" s="1129"/>
      <c r="K70" s="1129"/>
      <c r="L70" s="1129"/>
      <c r="M70" s="1129"/>
      <c r="N70" s="1129"/>
      <c r="O70" s="1129"/>
      <c r="P70" s="1129"/>
      <c r="Q70" s="1129"/>
      <c r="R70" s="1129"/>
      <c r="S70" s="1129"/>
      <c r="T70" s="1129"/>
      <c r="U70" s="1129"/>
      <c r="V70" s="1129"/>
      <c r="W70" s="1129"/>
      <c r="X70" s="1129"/>
      <c r="Y70" s="1129"/>
      <c r="Z70" s="1129"/>
      <c r="AC70" s="1278" t="str">
        <f>'PIM Model'!$AD$24</f>
        <v/>
      </c>
      <c r="AD70" s="1278"/>
      <c r="AE70" s="1278" t="str">
        <f>'PIM Model'!$D$24</f>
        <v>%</v>
      </c>
      <c r="AF70" s="1278"/>
      <c r="AG70" s="1278" t="str">
        <f>'PIM Model'!$D$24</f>
        <v>%</v>
      </c>
      <c r="AH70" s="1278"/>
      <c r="AI70" s="1275" t="str">
        <f>'PIM Model'!$D$24</f>
        <v>%</v>
      </c>
      <c r="AJ70" s="1275"/>
      <c r="AK70" s="140"/>
      <c r="AL70" s="140"/>
      <c r="AM70" s="140"/>
      <c r="AN70" s="140"/>
      <c r="AO70" s="1176"/>
      <c r="AP70" s="1176"/>
      <c r="AQ70" s="1176"/>
      <c r="AR70" s="140"/>
      <c r="AS70" s="140"/>
      <c r="AT70" s="1176"/>
      <c r="AU70" s="1176"/>
      <c r="AV70" s="1176"/>
      <c r="AW70" s="140"/>
      <c r="AX70" s="140"/>
      <c r="AY70" s="1176"/>
      <c r="AZ70" s="1176"/>
      <c r="BA70" s="1176"/>
      <c r="BB70" s="140"/>
      <c r="BC70" s="140"/>
      <c r="BD70" s="1176"/>
      <c r="BE70" s="1176"/>
      <c r="BF70" s="1298"/>
    </row>
    <row r="71" spans="2:70" x14ac:dyDescent="0.25">
      <c r="B71" s="143"/>
      <c r="C71" s="1129" t="s">
        <v>90</v>
      </c>
      <c r="D71" s="1129"/>
      <c r="E71" s="1129"/>
      <c r="F71" s="1129"/>
      <c r="G71" s="1129"/>
      <c r="H71" s="1129"/>
      <c r="I71" s="1129"/>
      <c r="J71" s="1129"/>
      <c r="K71" s="1129"/>
      <c r="L71" s="1129"/>
      <c r="M71" s="1129"/>
      <c r="N71" s="1129"/>
      <c r="O71" s="1129"/>
      <c r="P71" s="1129"/>
      <c r="Q71" s="1129"/>
      <c r="R71" s="1129"/>
      <c r="S71" s="1129"/>
      <c r="T71" s="1129"/>
      <c r="U71" s="1129"/>
      <c r="V71" s="1129"/>
      <c r="W71" s="1129"/>
      <c r="X71" s="1129"/>
      <c r="Y71" s="1129"/>
      <c r="Z71" s="1129"/>
      <c r="AC71" s="1278" t="str">
        <f>'PIM Model'!$AD$25</f>
        <v/>
      </c>
      <c r="AD71" s="1278"/>
      <c r="AE71" s="1278" t="str">
        <f>'PIM Model'!$D$25</f>
        <v>%</v>
      </c>
      <c r="AF71" s="1278"/>
      <c r="AG71" s="1278" t="str">
        <f>'PIM Model'!$D$25</f>
        <v>%</v>
      </c>
      <c r="AH71" s="1278"/>
      <c r="AI71" s="1275" t="str">
        <f>'PIM Model'!$D$25</f>
        <v>%</v>
      </c>
      <c r="AJ71" s="1275"/>
      <c r="AK71" s="140"/>
      <c r="AL71" s="140"/>
      <c r="AM71" s="140"/>
      <c r="AN71" s="140"/>
      <c r="AO71" s="1176"/>
      <c r="AP71" s="1176"/>
      <c r="AQ71" s="1176"/>
      <c r="AR71" s="140"/>
      <c r="AS71" s="140"/>
      <c r="AT71" s="1176"/>
      <c r="AU71" s="1176"/>
      <c r="AV71" s="1176"/>
      <c r="AW71" s="140"/>
      <c r="AX71" s="140"/>
      <c r="AY71" s="1176"/>
      <c r="AZ71" s="1176"/>
      <c r="BA71" s="1176"/>
      <c r="BB71" s="140"/>
      <c r="BC71" s="140"/>
      <c r="BD71" s="1176"/>
      <c r="BE71" s="1176"/>
      <c r="BF71" s="1298"/>
    </row>
    <row r="72" spans="2:70" x14ac:dyDescent="0.25">
      <c r="B72" s="143"/>
      <c r="C72" s="1129" t="s">
        <v>89</v>
      </c>
      <c r="D72" s="1129"/>
      <c r="E72" s="1129"/>
      <c r="F72" s="1129"/>
      <c r="G72" s="1129"/>
      <c r="H72" s="1129"/>
      <c r="I72" s="1129"/>
      <c r="J72" s="1129"/>
      <c r="K72" s="1129"/>
      <c r="L72" s="1129"/>
      <c r="M72" s="1129"/>
      <c r="N72" s="1129"/>
      <c r="O72" s="1129"/>
      <c r="P72" s="1129"/>
      <c r="Q72" s="1129"/>
      <c r="R72" s="1129"/>
      <c r="S72" s="1129"/>
      <c r="T72" s="1129"/>
      <c r="U72" s="1129"/>
      <c r="V72" s="1129"/>
      <c r="W72" s="1129"/>
      <c r="X72" s="1129"/>
      <c r="Y72" s="1129"/>
      <c r="Z72" s="1129"/>
      <c r="AC72" s="1278" t="str">
        <f>'PIM Model'!$AD$26</f>
        <v/>
      </c>
      <c r="AD72" s="1278"/>
      <c r="AE72" s="1278" t="str">
        <f>'PIM Model'!$D$26</f>
        <v>%</v>
      </c>
      <c r="AF72" s="1278"/>
      <c r="AG72" s="1278" t="str">
        <f>'PIM Model'!$D$26</f>
        <v>%</v>
      </c>
      <c r="AH72" s="1278"/>
      <c r="AI72" s="1275" t="str">
        <f>'PIM Model'!$D$26</f>
        <v>%</v>
      </c>
      <c r="AJ72" s="1275"/>
      <c r="AK72" s="140"/>
      <c r="AL72" s="140"/>
      <c r="AM72" s="140"/>
      <c r="AN72" s="140"/>
      <c r="AO72" s="1176"/>
      <c r="AP72" s="1176"/>
      <c r="AQ72" s="1176"/>
      <c r="AR72" s="140"/>
      <c r="AS72" s="140"/>
      <c r="AT72" s="1176"/>
      <c r="AU72" s="1176"/>
      <c r="AV72" s="1176"/>
      <c r="AW72" s="140"/>
      <c r="AX72" s="140"/>
      <c r="AY72" s="1176"/>
      <c r="AZ72" s="1176"/>
      <c r="BA72" s="1176"/>
      <c r="BB72" s="140"/>
      <c r="BC72" s="140"/>
      <c r="BD72" s="1176"/>
      <c r="BE72" s="1176"/>
      <c r="BF72" s="1298"/>
    </row>
    <row r="73" spans="2:70" x14ac:dyDescent="0.25">
      <c r="B73" s="143"/>
      <c r="C73" s="1129" t="s">
        <v>88</v>
      </c>
      <c r="D73" s="1129"/>
      <c r="E73" s="1129"/>
      <c r="F73" s="1129"/>
      <c r="G73" s="1129"/>
      <c r="H73" s="1129"/>
      <c r="I73" s="1129"/>
      <c r="J73" s="1129"/>
      <c r="K73" s="1129"/>
      <c r="L73" s="1129"/>
      <c r="M73" s="1129"/>
      <c r="N73" s="1129"/>
      <c r="O73" s="1129"/>
      <c r="P73" s="1129"/>
      <c r="Q73" s="1129"/>
      <c r="R73" s="1129"/>
      <c r="S73" s="1129"/>
      <c r="T73" s="1129"/>
      <c r="U73" s="1129"/>
      <c r="V73" s="1129"/>
      <c r="W73" s="1129"/>
      <c r="X73" s="1129"/>
      <c r="Y73" s="1129"/>
      <c r="Z73" s="1129"/>
      <c r="AC73" s="1278" t="str">
        <f>'PIM Model'!$AD$29</f>
        <v/>
      </c>
      <c r="AD73" s="1278"/>
      <c r="AE73" s="1278" t="str">
        <f>'PIM Model'!$D$29</f>
        <v>%</v>
      </c>
      <c r="AF73" s="1278"/>
      <c r="AG73" s="1278" t="str">
        <f>'PIM Model'!$D$29</f>
        <v>%</v>
      </c>
      <c r="AH73" s="1278"/>
      <c r="AI73" s="1275" t="str">
        <f>'PIM Model'!$D$29</f>
        <v>%</v>
      </c>
      <c r="AJ73" s="1275"/>
      <c r="AK73" s="140"/>
      <c r="AL73" s="140"/>
      <c r="AM73" s="140"/>
      <c r="AN73" s="140"/>
      <c r="AO73" s="1176"/>
      <c r="AP73" s="1176"/>
      <c r="AQ73" s="1176"/>
      <c r="AR73" s="140"/>
      <c r="AS73" s="140"/>
      <c r="AT73" s="1176"/>
      <c r="AU73" s="1176"/>
      <c r="AV73" s="1176"/>
      <c r="AW73" s="140"/>
      <c r="AX73" s="140"/>
      <c r="AY73" s="1176"/>
      <c r="AZ73" s="1176"/>
      <c r="BA73" s="1176"/>
      <c r="BB73" s="140"/>
      <c r="BC73" s="140"/>
      <c r="BD73" s="1176"/>
      <c r="BE73" s="1176"/>
      <c r="BF73" s="1298"/>
    </row>
    <row r="74" spans="2:70" x14ac:dyDescent="0.25">
      <c r="B74" s="143"/>
      <c r="C74" s="1129" t="s">
        <v>87</v>
      </c>
      <c r="D74" s="1129"/>
      <c r="E74" s="1129"/>
      <c r="F74" s="1129"/>
      <c r="G74" s="1129"/>
      <c r="H74" s="1129"/>
      <c r="I74" s="1129"/>
      <c r="J74" s="1129"/>
      <c r="K74" s="1129"/>
      <c r="L74" s="1129"/>
      <c r="M74" s="1129"/>
      <c r="N74" s="1129"/>
      <c r="O74" s="1129"/>
      <c r="P74" s="1129"/>
      <c r="Q74" s="1129"/>
      <c r="R74" s="1129"/>
      <c r="S74" s="1129"/>
      <c r="T74" s="1129"/>
      <c r="U74" s="1129"/>
      <c r="V74" s="1129"/>
      <c r="W74" s="1129"/>
      <c r="X74" s="1129"/>
      <c r="Y74" s="1129"/>
      <c r="Z74" s="1129"/>
      <c r="AC74" s="1278" t="str">
        <f>'PIM Model'!$AD$30</f>
        <v/>
      </c>
      <c r="AD74" s="1278"/>
      <c r="AE74" s="1278" t="str">
        <f>'PIM Model'!$D$30</f>
        <v>%</v>
      </c>
      <c r="AF74" s="1278"/>
      <c r="AG74" s="1278" t="str">
        <f>'PIM Model'!$D$30</f>
        <v>%</v>
      </c>
      <c r="AH74" s="1278"/>
      <c r="AI74" s="1275" t="str">
        <f>'PIM Model'!$D$30</f>
        <v>%</v>
      </c>
      <c r="AJ74" s="1275"/>
      <c r="AK74" s="140"/>
      <c r="AL74" s="140"/>
      <c r="AM74" s="140"/>
      <c r="AN74" s="140"/>
      <c r="AO74" s="1176"/>
      <c r="AP74" s="1176"/>
      <c r="AQ74" s="1176"/>
      <c r="AR74" s="140"/>
      <c r="AS74" s="140"/>
      <c r="AT74" s="1176"/>
      <c r="AU74" s="1176"/>
      <c r="AV74" s="1176"/>
      <c r="AW74" s="140"/>
      <c r="AX74" s="140"/>
      <c r="AY74" s="1176"/>
      <c r="AZ74" s="1176"/>
      <c r="BA74" s="1176"/>
      <c r="BB74" s="140"/>
      <c r="BC74" s="140"/>
      <c r="BD74" s="1176"/>
      <c r="BE74" s="1176"/>
      <c r="BF74" s="1298"/>
    </row>
    <row r="75" spans="2:70" x14ac:dyDescent="0.25">
      <c r="B75" s="143"/>
      <c r="C75" s="1129" t="s">
        <v>86</v>
      </c>
      <c r="D75" s="1129"/>
      <c r="E75" s="1129"/>
      <c r="F75" s="1129"/>
      <c r="G75" s="1129"/>
      <c r="H75" s="1129"/>
      <c r="I75" s="1129"/>
      <c r="J75" s="1129"/>
      <c r="K75" s="1129"/>
      <c r="L75" s="1129"/>
      <c r="M75" s="1129"/>
      <c r="N75" s="1129"/>
      <c r="O75" s="1129"/>
      <c r="P75" s="1129"/>
      <c r="Q75" s="1129"/>
      <c r="R75" s="1129"/>
      <c r="S75" s="1129"/>
      <c r="T75" s="1129"/>
      <c r="U75" s="1129"/>
      <c r="V75" s="1129"/>
      <c r="W75" s="1129"/>
      <c r="X75" s="1129"/>
      <c r="Y75" s="1129"/>
      <c r="Z75" s="1129"/>
      <c r="AC75" s="1278" t="str">
        <f>'PIM Model'!$AD$28</f>
        <v/>
      </c>
      <c r="AD75" s="1278"/>
      <c r="AE75" s="1278" t="str">
        <f>'PIM Model'!$D$28</f>
        <v>%</v>
      </c>
      <c r="AF75" s="1278"/>
      <c r="AG75" s="1278" t="str">
        <f>'PIM Model'!$D$28</f>
        <v>%</v>
      </c>
      <c r="AH75" s="1278"/>
      <c r="AI75" s="1275" t="str">
        <f>'PIM Model'!$D$28</f>
        <v>%</v>
      </c>
      <c r="AJ75" s="1275"/>
      <c r="BF75" s="144"/>
    </row>
    <row r="76" spans="2:70" x14ac:dyDescent="0.25">
      <c r="B76" s="143"/>
      <c r="C76" s="1129" t="s">
        <v>105</v>
      </c>
      <c r="D76" s="1129"/>
      <c r="E76" s="1129"/>
      <c r="F76" s="1129"/>
      <c r="G76" s="1129"/>
      <c r="H76" s="1129"/>
      <c r="I76" s="1129"/>
      <c r="J76" s="1129"/>
      <c r="K76" s="1129"/>
      <c r="L76" s="1129"/>
      <c r="M76" s="1129"/>
      <c r="N76" s="1129"/>
      <c r="O76" s="1129"/>
      <c r="P76" s="1129"/>
      <c r="Q76" s="1129"/>
      <c r="R76" s="1129"/>
      <c r="S76" s="1129"/>
      <c r="T76" s="1129"/>
      <c r="U76" s="1129"/>
      <c r="V76" s="1129"/>
      <c r="W76" s="1129"/>
      <c r="X76" s="1129"/>
      <c r="Y76" s="1129"/>
      <c r="Z76" s="1129"/>
      <c r="AC76" s="1278" t="str">
        <f>'PIM Model'!$AD$22</f>
        <v/>
      </c>
      <c r="AD76" s="1278"/>
      <c r="AE76" s="1278" t="str">
        <f>'PIM Model'!$D$22</f>
        <v>%</v>
      </c>
      <c r="AF76" s="1278"/>
      <c r="AG76" s="1278" t="str">
        <f>'PIM Model'!$D$22</f>
        <v>%</v>
      </c>
      <c r="AH76" s="1278"/>
      <c r="AI76" s="1275" t="str">
        <f>'PIM Model'!$D$22</f>
        <v>%</v>
      </c>
      <c r="AJ76" s="1275"/>
      <c r="BF76" s="144"/>
    </row>
    <row r="77" spans="2:70" x14ac:dyDescent="0.25">
      <c r="B77" s="738"/>
      <c r="C77" s="1304" t="s">
        <v>757</v>
      </c>
      <c r="D77" s="1304"/>
      <c r="E77" s="1304"/>
      <c r="F77" s="1304"/>
      <c r="G77" s="1304"/>
      <c r="H77" s="1304"/>
      <c r="I77" s="1304"/>
      <c r="J77" s="1304"/>
      <c r="K77" s="1304"/>
      <c r="L77" s="1304"/>
      <c r="M77" s="1304"/>
      <c r="N77" s="1304"/>
      <c r="O77" s="1304"/>
      <c r="P77" s="1304"/>
      <c r="Q77" s="1304"/>
      <c r="R77" s="1304"/>
      <c r="S77" s="1304"/>
      <c r="T77" s="1304"/>
      <c r="U77" s="1304"/>
      <c r="V77" s="1304"/>
      <c r="W77" s="1304"/>
      <c r="X77" s="1304"/>
      <c r="Y77" s="1304"/>
      <c r="Z77" s="1304"/>
      <c r="AC77" s="1278" t="str">
        <f>'PIM Model'!$AD$12</f>
        <v/>
      </c>
      <c r="AD77" s="1278"/>
      <c r="AE77" s="1278" t="str">
        <f>'PIM Model'!$D$12</f>
        <v>%</v>
      </c>
      <c r="AF77" s="1278"/>
      <c r="AG77" s="1278" t="str">
        <f>'PIM Model'!$D$12</f>
        <v>%</v>
      </c>
      <c r="AH77" s="1278"/>
      <c r="AI77" s="1275" t="str">
        <f>'PIM Model'!$D$12</f>
        <v>%</v>
      </c>
      <c r="AJ77" s="1275"/>
      <c r="BF77" s="144"/>
    </row>
    <row r="78" spans="2:70" x14ac:dyDescent="0.25">
      <c r="B78" s="143"/>
      <c r="C78" s="1304" t="s">
        <v>758</v>
      </c>
      <c r="D78" s="1304"/>
      <c r="E78" s="1304"/>
      <c r="F78" s="1304"/>
      <c r="G78" s="1304"/>
      <c r="H78" s="1304"/>
      <c r="I78" s="1304"/>
      <c r="J78" s="1304"/>
      <c r="K78" s="1304"/>
      <c r="L78" s="1304"/>
      <c r="M78" s="1304"/>
      <c r="N78" s="1304"/>
      <c r="O78" s="1304"/>
      <c r="P78" s="1304"/>
      <c r="Q78" s="1304"/>
      <c r="R78" s="1304"/>
      <c r="S78" s="1304"/>
      <c r="T78" s="1304"/>
      <c r="U78" s="1304"/>
      <c r="V78" s="1304"/>
      <c r="W78" s="1304"/>
      <c r="X78" s="1304"/>
      <c r="Y78" s="1304"/>
      <c r="Z78" s="1304"/>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5" t="s">
        <v>722</v>
      </c>
      <c r="E81" s="1275"/>
      <c r="F81" s="1275"/>
      <c r="G81" s="1275"/>
      <c r="H81" s="1275"/>
      <c r="I81" s="1275"/>
      <c r="J81" s="1275"/>
      <c r="K81" s="1275"/>
      <c r="L81" s="1275"/>
      <c r="M81" s="1275"/>
      <c r="N81" s="1275"/>
      <c r="O81" s="1275"/>
      <c r="P81" s="1275"/>
      <c r="Q81" s="1275"/>
      <c r="R81" s="1275"/>
      <c r="S81" s="1275"/>
      <c r="T81" s="1275"/>
      <c r="U81" s="1275"/>
      <c r="V81" s="1275"/>
      <c r="W81" s="1275"/>
      <c r="X81" s="1275"/>
      <c r="Y81" s="1275"/>
      <c r="Z81" s="1275"/>
      <c r="AA81" s="1275"/>
      <c r="AB81" s="1275"/>
      <c r="AC81" s="1275"/>
      <c r="AD81" s="1275"/>
      <c r="AE81" s="1275"/>
      <c r="AF81" s="1275"/>
      <c r="AG81" s="1275"/>
      <c r="AH81" s="1275"/>
      <c r="AI81" s="1275"/>
      <c r="AJ81" s="1275"/>
      <c r="AK81" s="1275"/>
      <c r="AL81" s="1275"/>
      <c r="AM81" s="1275"/>
      <c r="AN81" s="1275"/>
      <c r="AO81" s="1275"/>
      <c r="AP81" s="1275"/>
      <c r="AQ81" s="1275"/>
      <c r="AR81" s="1275"/>
      <c r="AS81" s="1275"/>
      <c r="AT81" s="1275"/>
      <c r="AU81" s="1275"/>
      <c r="AV81" s="1275"/>
      <c r="AW81" s="1275"/>
      <c r="AX81" s="1275"/>
      <c r="AY81" s="1275"/>
      <c r="AZ81" s="1275"/>
      <c r="BA81" s="1275"/>
      <c r="BB81" s="1275"/>
      <c r="BC81" s="1275"/>
      <c r="BD81" s="1275"/>
      <c r="BF81" s="144"/>
    </row>
    <row r="82" spans="1:70" x14ac:dyDescent="0.25">
      <c r="B82" s="143"/>
      <c r="D82" s="1279" t="s">
        <v>248</v>
      </c>
      <c r="E82" s="1279"/>
      <c r="F82" s="1275" t="s">
        <v>721</v>
      </c>
      <c r="G82" s="1275"/>
      <c r="H82" s="1275"/>
      <c r="I82" s="1275"/>
      <c r="J82" s="1275"/>
      <c r="K82" s="1275"/>
      <c r="L82" s="1275"/>
      <c r="M82" s="1275"/>
      <c r="N82" s="1275"/>
      <c r="O82" s="1275"/>
      <c r="P82" s="1275"/>
      <c r="Q82" s="1275"/>
      <c r="R82" s="1275"/>
      <c r="S82" s="1275"/>
      <c r="T82" s="1275"/>
      <c r="U82" s="1275"/>
      <c r="V82" s="1275"/>
      <c r="W82" s="1275"/>
      <c r="X82" s="1275"/>
      <c r="Y82" s="1275"/>
      <c r="Z82" s="1275"/>
      <c r="AA82" s="1275"/>
      <c r="AB82" s="1275"/>
      <c r="AC82" s="1275"/>
      <c r="AD82" s="1275"/>
      <c r="AE82" s="1275"/>
      <c r="AF82" s="1275"/>
      <c r="AG82" s="1275"/>
      <c r="AH82" s="1275"/>
      <c r="AI82" s="1275"/>
      <c r="AJ82" s="1275"/>
      <c r="AK82" s="1275"/>
      <c r="AL82" s="1275"/>
      <c r="AM82" s="1275"/>
      <c r="AN82" s="1275"/>
      <c r="AO82" s="1275"/>
      <c r="AP82" s="1275"/>
      <c r="AQ82" s="1275"/>
      <c r="AR82" s="1275"/>
      <c r="AS82" s="1275"/>
      <c r="AT82" s="1275"/>
      <c r="AU82" s="1275"/>
      <c r="AV82" s="1275"/>
      <c r="AW82" s="1275"/>
      <c r="AX82" s="1275"/>
      <c r="AY82" s="1275"/>
      <c r="AZ82" s="1275"/>
      <c r="BA82" s="1275"/>
      <c r="BB82" s="1275"/>
      <c r="BC82" s="1275"/>
      <c r="BD82" s="1275"/>
      <c r="BF82" s="144"/>
    </row>
    <row r="83" spans="1:70" x14ac:dyDescent="0.25">
      <c r="B83" s="143"/>
      <c r="D83" s="1277"/>
      <c r="E83" s="1277"/>
      <c r="F83" s="1275" t="s">
        <v>720</v>
      </c>
      <c r="G83" s="1275"/>
      <c r="H83" s="1275"/>
      <c r="I83" s="1275"/>
      <c r="J83" s="1275"/>
      <c r="K83" s="1275"/>
      <c r="L83" s="1275"/>
      <c r="M83" s="1275"/>
      <c r="N83" s="1275"/>
      <c r="O83" s="1275"/>
      <c r="P83" s="1275"/>
      <c r="Q83" s="1275"/>
      <c r="R83" s="1275"/>
      <c r="S83" s="1275"/>
      <c r="T83" s="1275"/>
      <c r="U83" s="1275"/>
      <c r="V83" s="1275"/>
      <c r="W83" s="1275"/>
      <c r="X83" s="1275"/>
      <c r="Y83" s="1275"/>
      <c r="Z83" s="1275"/>
      <c r="AA83" s="1275"/>
      <c r="AB83" s="1275"/>
      <c r="AC83" s="1275"/>
      <c r="AD83" s="1275"/>
      <c r="AE83" s="1275"/>
      <c r="AF83" s="1275"/>
      <c r="AG83" s="1275"/>
      <c r="AH83" s="1275"/>
      <c r="AI83" s="1275"/>
      <c r="AJ83" s="1275"/>
      <c r="AK83" s="1275"/>
      <c r="AL83" s="1275"/>
      <c r="AM83" s="1275"/>
      <c r="AN83" s="1275"/>
      <c r="AO83" s="1275"/>
      <c r="AP83" s="1275"/>
      <c r="AQ83" s="1275"/>
      <c r="AR83" s="1275"/>
      <c r="AS83" s="1275"/>
      <c r="AT83" s="1275"/>
      <c r="AU83" s="1275"/>
      <c r="AV83" s="1275"/>
      <c r="AW83" s="1275"/>
      <c r="AX83" s="1275"/>
      <c r="AY83" s="1275"/>
      <c r="AZ83" s="1275"/>
      <c r="BA83" s="1275"/>
      <c r="BB83" s="1275"/>
      <c r="BC83" s="1275"/>
      <c r="BD83" s="1275"/>
      <c r="BF83" s="144"/>
    </row>
    <row r="84" spans="1:70" x14ac:dyDescent="0.25">
      <c r="A84" s="308"/>
      <c r="B84" s="143"/>
      <c r="D84" s="1277"/>
      <c r="E84" s="1277"/>
      <c r="F84" s="1275" t="s">
        <v>719</v>
      </c>
      <c r="G84" s="1275"/>
      <c r="H84" s="1275"/>
      <c r="I84" s="1275"/>
      <c r="J84" s="1275"/>
      <c r="K84" s="1275"/>
      <c r="L84" s="1275"/>
      <c r="M84" s="1275"/>
      <c r="N84" s="1275"/>
      <c r="O84" s="1275"/>
      <c r="P84" s="1275"/>
      <c r="Q84" s="1275"/>
      <c r="R84" s="1275"/>
      <c r="S84" s="1275"/>
      <c r="T84" s="1275"/>
      <c r="U84" s="1275"/>
      <c r="V84" s="1275"/>
      <c r="W84" s="1275"/>
      <c r="X84" s="1275"/>
      <c r="Y84" s="1275"/>
      <c r="Z84" s="1275"/>
      <c r="AA84" s="1275"/>
      <c r="AB84" s="1275"/>
      <c r="AC84" s="1275"/>
      <c r="AD84" s="1275"/>
      <c r="AE84" s="1275"/>
      <c r="AF84" s="1275"/>
      <c r="AG84" s="1275"/>
      <c r="AH84" s="1275"/>
      <c r="AI84" s="1275"/>
      <c r="AJ84" s="1275"/>
      <c r="AK84" s="1275"/>
      <c r="AL84" s="1275"/>
      <c r="AM84" s="1275"/>
      <c r="AN84" s="1275"/>
      <c r="AO84" s="1275"/>
      <c r="AP84" s="1275"/>
      <c r="AQ84" s="1275"/>
      <c r="AR84" s="1275"/>
      <c r="AS84" s="1275"/>
      <c r="AT84" s="1275"/>
      <c r="AU84" s="1275"/>
      <c r="AV84" s="1275"/>
      <c r="AW84" s="1275"/>
      <c r="AX84" s="1275"/>
      <c r="AY84" s="1275"/>
      <c r="AZ84" s="1275"/>
      <c r="BA84" s="1275"/>
      <c r="BB84" s="1275"/>
      <c r="BC84" s="1275"/>
      <c r="BD84" s="1275"/>
      <c r="BF84" s="144"/>
    </row>
    <row r="85" spans="1:70" x14ac:dyDescent="0.25">
      <c r="B85" s="143"/>
      <c r="BF85" s="144"/>
    </row>
    <row r="86" spans="1:70" x14ac:dyDescent="0.25">
      <c r="B86" s="143"/>
      <c r="D86" s="1275" t="s">
        <v>718</v>
      </c>
      <c r="E86" s="1275"/>
      <c r="F86" s="1275"/>
      <c r="G86" s="1275"/>
      <c r="H86" s="1275"/>
      <c r="I86" s="1275"/>
      <c r="J86" s="1275"/>
      <c r="K86" s="1275"/>
      <c r="L86" s="1275"/>
      <c r="M86" s="1275"/>
      <c r="N86" s="1275"/>
      <c r="O86" s="1275"/>
      <c r="P86" s="1275"/>
      <c r="Q86" s="1275"/>
      <c r="R86" s="1275"/>
      <c r="S86" s="1275"/>
      <c r="T86" s="1275"/>
      <c r="U86" s="1275"/>
      <c r="V86" s="1275"/>
      <c r="W86" s="1275"/>
      <c r="X86" s="1275"/>
      <c r="Y86" s="1275"/>
      <c r="Z86" s="1275"/>
      <c r="AA86" s="1275"/>
      <c r="AB86" s="1275"/>
      <c r="AC86" s="1275"/>
      <c r="AD86" s="1275"/>
      <c r="AE86" s="1275"/>
      <c r="AF86" s="1275"/>
      <c r="AG86" s="1275"/>
      <c r="AH86" s="1275"/>
      <c r="AI86" s="1275"/>
      <c r="AJ86" s="1275"/>
      <c r="AK86" s="1275"/>
      <c r="AL86" s="1275"/>
      <c r="AM86" s="1275"/>
      <c r="AN86" s="1275"/>
      <c r="AO86" s="1275"/>
      <c r="AP86" s="1275"/>
      <c r="AQ86" s="1275"/>
      <c r="AR86" s="1275"/>
      <c r="AS86" s="1275"/>
      <c r="AT86" s="1275"/>
      <c r="AU86" s="1275"/>
      <c r="AV86" s="1275"/>
      <c r="AW86" s="1275"/>
      <c r="AX86" s="1275"/>
      <c r="AY86" s="1275"/>
      <c r="AZ86" s="1275"/>
      <c r="BA86" s="1275"/>
      <c r="BB86" s="1275"/>
      <c r="BC86" s="1275"/>
      <c r="BD86" s="1275"/>
      <c r="BF86" s="144"/>
    </row>
    <row r="87" spans="1:70" x14ac:dyDescent="0.25">
      <c r="B87" s="143"/>
      <c r="D87" s="1279" t="s">
        <v>248</v>
      </c>
      <c r="E87" s="1279"/>
      <c r="F87" s="1275" t="s">
        <v>717</v>
      </c>
      <c r="G87" s="1275"/>
      <c r="H87" s="1275"/>
      <c r="I87" s="1275"/>
      <c r="J87" s="1275"/>
      <c r="K87" s="1275"/>
      <c r="L87" s="1275"/>
      <c r="M87" s="1275"/>
      <c r="N87" s="1275"/>
      <c r="O87" s="1275"/>
      <c r="P87" s="1275"/>
      <c r="Q87" s="1275"/>
      <c r="R87" s="1275"/>
      <c r="S87" s="1275"/>
      <c r="T87" s="1275"/>
      <c r="U87" s="1275"/>
      <c r="V87" s="1275"/>
      <c r="W87" s="1275"/>
      <c r="X87" s="1275"/>
      <c r="Y87" s="1275"/>
      <c r="Z87" s="1275"/>
      <c r="AA87" s="1275"/>
      <c r="AB87" s="1275"/>
      <c r="AC87" s="1275"/>
      <c r="AD87" s="1275"/>
      <c r="AE87" s="1275"/>
      <c r="AF87" s="1275"/>
      <c r="AG87" s="1275"/>
      <c r="AH87" s="1275"/>
      <c r="AI87" s="1275"/>
      <c r="AJ87" s="1275"/>
      <c r="AK87" s="1275"/>
      <c r="AL87" s="1275"/>
      <c r="AM87" s="1275"/>
      <c r="AN87" s="1275"/>
      <c r="AO87" s="1275"/>
      <c r="AP87" s="1275"/>
      <c r="AQ87" s="1275"/>
      <c r="AR87" s="1275"/>
      <c r="AS87" s="1275"/>
      <c r="AT87" s="1275"/>
      <c r="AU87" s="1275"/>
      <c r="AV87" s="1275"/>
      <c r="AW87" s="1275"/>
      <c r="AX87" s="1275"/>
      <c r="AY87" s="1275"/>
      <c r="AZ87" s="1275"/>
      <c r="BA87" s="1275"/>
      <c r="BB87" s="1275"/>
      <c r="BC87" s="1275"/>
      <c r="BD87" s="1275"/>
      <c r="BF87" s="144"/>
    </row>
    <row r="88" spans="1:70" x14ac:dyDescent="0.25">
      <c r="B88" s="143"/>
      <c r="D88" s="1277"/>
      <c r="E88" s="1277"/>
      <c r="F88" s="1275" t="s">
        <v>716</v>
      </c>
      <c r="G88" s="1275"/>
      <c r="H88" s="1275"/>
      <c r="I88" s="1275"/>
      <c r="J88" s="1275"/>
      <c r="K88" s="1275"/>
      <c r="L88" s="1275"/>
      <c r="M88" s="1275"/>
      <c r="N88" s="1275"/>
      <c r="O88" s="1275"/>
      <c r="P88" s="1275"/>
      <c r="Q88" s="1275"/>
      <c r="R88" s="1275"/>
      <c r="S88" s="1275"/>
      <c r="T88" s="1275"/>
      <c r="U88" s="1275"/>
      <c r="V88" s="1275"/>
      <c r="W88" s="1275"/>
      <c r="X88" s="1275"/>
      <c r="Y88" s="1275"/>
      <c r="Z88" s="1275"/>
      <c r="AA88" s="1275"/>
      <c r="AB88" s="1275"/>
      <c r="AC88" s="1275"/>
      <c r="AD88" s="1275"/>
      <c r="AE88" s="1275"/>
      <c r="AF88" s="1275"/>
      <c r="AG88" s="1275"/>
      <c r="AH88" s="1275"/>
      <c r="AI88" s="1275"/>
      <c r="AJ88" s="1275"/>
      <c r="AK88" s="1275"/>
      <c r="AL88" s="1275"/>
      <c r="AM88" s="1275"/>
      <c r="AN88" s="1275"/>
      <c r="AO88" s="1275"/>
      <c r="AP88" s="1275"/>
      <c r="AQ88" s="1275"/>
      <c r="AR88" s="1275"/>
      <c r="AS88" s="1275"/>
      <c r="AT88" s="1275"/>
      <c r="AU88" s="1275"/>
      <c r="AV88" s="1275"/>
      <c r="AW88" s="1275"/>
      <c r="AX88" s="1275"/>
      <c r="AY88" s="1275"/>
      <c r="AZ88" s="1275"/>
      <c r="BA88" s="1275"/>
      <c r="BB88" s="1275"/>
      <c r="BC88" s="1275"/>
      <c r="BD88" s="1275"/>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33" t="s">
        <v>1054</v>
      </c>
      <c r="C92" s="1234"/>
      <c r="D92" s="1234"/>
      <c r="E92" s="1234"/>
      <c r="F92" s="1234"/>
      <c r="G92" s="1234"/>
      <c r="H92" s="1234"/>
      <c r="I92" s="1234"/>
      <c r="J92" s="1234"/>
      <c r="K92" s="1234"/>
      <c r="L92" s="1234"/>
      <c r="M92" s="1234"/>
      <c r="N92" s="1234"/>
      <c r="O92" s="1234"/>
      <c r="P92" s="1234"/>
      <c r="Q92" s="1234"/>
      <c r="R92" s="1234"/>
      <c r="S92" s="1234"/>
      <c r="T92" s="1234"/>
      <c r="U92" s="1234"/>
      <c r="V92" s="1234"/>
      <c r="W92" s="1234"/>
      <c r="X92" s="1234"/>
      <c r="Y92" s="1234"/>
      <c r="Z92" s="1234"/>
      <c r="AA92" s="1234"/>
      <c r="AB92" s="1234"/>
      <c r="AC92" s="1234"/>
      <c r="AD92" s="1234"/>
      <c r="AE92" s="1234"/>
      <c r="AF92" s="1234"/>
      <c r="AG92" s="1234"/>
      <c r="AH92" s="1234"/>
      <c r="AI92" s="123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5"/>
    </row>
    <row r="93" spans="1:70" ht="15.75" thickBot="1" x14ac:dyDescent="0.3">
      <c r="B93" s="143"/>
      <c r="BF93" s="144"/>
      <c r="BR93" s="301"/>
    </row>
    <row r="94" spans="1:70" ht="15.75" thickBot="1" x14ac:dyDescent="0.3">
      <c r="B94" s="143"/>
      <c r="D94" s="1270" t="s">
        <v>765</v>
      </c>
      <c r="E94" s="1240"/>
      <c r="F94" s="1240"/>
      <c r="G94" s="1240"/>
      <c r="H94" s="1240"/>
      <c r="I94" s="1240"/>
      <c r="J94" s="1240"/>
      <c r="K94" s="1239" t="s">
        <v>766</v>
      </c>
      <c r="L94" s="1240"/>
      <c r="M94" s="1240"/>
      <c r="N94" s="1240"/>
      <c r="O94" s="1240"/>
      <c r="P94" s="1240"/>
      <c r="Q94" s="1240"/>
      <c r="R94" s="1240"/>
      <c r="S94" s="1240"/>
      <c r="T94" s="1240"/>
      <c r="U94" s="1239" t="s">
        <v>826</v>
      </c>
      <c r="V94" s="1240"/>
      <c r="W94" s="1240"/>
      <c r="X94" s="1240"/>
      <c r="Y94" s="1240"/>
      <c r="Z94" s="1240"/>
      <c r="AA94" s="1240"/>
      <c r="AB94" s="1240"/>
      <c r="AC94" s="1240"/>
      <c r="AD94" s="1240"/>
      <c r="AE94" s="1240"/>
      <c r="AF94" s="1240"/>
      <c r="AG94" s="1240"/>
      <c r="AH94" s="1240"/>
      <c r="AI94" s="1240"/>
      <c r="AJ94" s="1239" t="s">
        <v>831</v>
      </c>
      <c r="AK94" s="1240"/>
      <c r="AL94" s="1240"/>
      <c r="AM94" s="1240"/>
      <c r="AN94" s="1240"/>
      <c r="AO94" s="1240"/>
      <c r="AP94" s="1240"/>
      <c r="AQ94" s="1240"/>
      <c r="AR94" s="1240"/>
      <c r="AS94" s="1240"/>
      <c r="AT94" s="1241"/>
      <c r="AU94" s="1239" t="s">
        <v>832</v>
      </c>
      <c r="AV94" s="1240"/>
      <c r="AW94" s="1240"/>
      <c r="AX94" s="1241"/>
      <c r="AY94" s="1239" t="s">
        <v>878</v>
      </c>
      <c r="AZ94" s="1240"/>
      <c r="BA94" s="1240"/>
      <c r="BB94" s="1240"/>
      <c r="BC94" s="1251"/>
      <c r="BF94" s="144"/>
    </row>
    <row r="95" spans="1:70" x14ac:dyDescent="0.25">
      <c r="B95" s="143"/>
      <c r="C95" s="689">
        <v>1</v>
      </c>
      <c r="D95" s="1269">
        <f>'Customer Inputs'!$B$6</f>
        <v>0</v>
      </c>
      <c r="E95" s="1269"/>
      <c r="F95" s="1269"/>
      <c r="G95" s="1269"/>
      <c r="H95" s="1269"/>
      <c r="I95" s="1269"/>
      <c r="J95" s="1269"/>
      <c r="K95" s="1256" t="str">
        <f>IFERROR(IFERROR('Multi-Customer'!$AU$37,VLOOKUP($D95,'Required Info to Submit'!$E$20:$J$29,2,FALSE)),"")</f>
        <v/>
      </c>
      <c r="L95" s="1256"/>
      <c r="M95" s="1256"/>
      <c r="N95" s="1256"/>
      <c r="O95" s="1256"/>
      <c r="P95" s="1256"/>
      <c r="Q95" s="1256"/>
      <c r="R95" s="1256"/>
      <c r="S95" s="1256"/>
      <c r="T95" s="1256"/>
      <c r="U95" s="1256" t="str">
        <f>IFERROR(IFERROR('Multi-Customer'!$AU$39&amp;" "&amp;'Multi-Customer'!$AU$40,VLOOKUP($D95,'Required Info to Submit'!$E$20:$J$29,3,FALSE)),"")</f>
        <v/>
      </c>
      <c r="V95" s="1256"/>
      <c r="W95" s="1256"/>
      <c r="X95" s="1256"/>
      <c r="Y95" s="1256"/>
      <c r="Z95" s="1256"/>
      <c r="AA95" s="1256"/>
      <c r="AB95" s="1256"/>
      <c r="AC95" s="1256"/>
      <c r="AD95" s="1256"/>
      <c r="AE95" s="1256"/>
      <c r="AF95" s="1256"/>
      <c r="AG95" s="1256"/>
      <c r="AH95" s="1256"/>
      <c r="AI95" s="1256"/>
      <c r="AJ95" s="1263" t="str">
        <f>IFERROR(IFERROR('Multi-Customer'!$AU$41,VLOOKUP($D95,'Required Info to Submit'!$E$20:$J$29,4,FALSE)),"")</f>
        <v/>
      </c>
      <c r="AK95" s="1264"/>
      <c r="AL95" s="1264"/>
      <c r="AM95" s="1264"/>
      <c r="AN95" s="1264"/>
      <c r="AO95" s="1264"/>
      <c r="AP95" s="1264"/>
      <c r="AQ95" s="1264"/>
      <c r="AR95" s="1264"/>
      <c r="AS95" s="1264"/>
      <c r="AT95" s="1265"/>
      <c r="AU95" s="1236" t="str">
        <f>IFERROR(IFERROR('Multi-Customer'!$AU$42,VLOOKUP($D95,'Required Info to Submit'!$E$20:$J$29,5,FALSE)),"")</f>
        <v/>
      </c>
      <c r="AV95" s="1237"/>
      <c r="AW95" s="1237"/>
      <c r="AX95" s="1238"/>
      <c r="AY95" s="1248" t="str">
        <f>IFERROR(IFERROR('Multi-Customer'!$AU$43,VLOOKUP($D95,'Required Info to Submit'!$E$20:$J$29,6,FALSE)),"")</f>
        <v/>
      </c>
      <c r="AZ95" s="1249"/>
      <c r="BA95" s="1249"/>
      <c r="BB95" s="1249"/>
      <c r="BC95" s="1250"/>
      <c r="BF95" s="144"/>
    </row>
    <row r="96" spans="1:70" x14ac:dyDescent="0.25">
      <c r="B96" s="143"/>
      <c r="C96" s="690">
        <v>2</v>
      </c>
      <c r="D96" s="1268">
        <f>'Customer Inputs'!$B$7</f>
        <v>0</v>
      </c>
      <c r="E96" s="1268"/>
      <c r="F96" s="1268"/>
      <c r="G96" s="1268"/>
      <c r="H96" s="1268"/>
      <c r="I96" s="1268"/>
      <c r="J96" s="1268"/>
      <c r="K96" s="1255" t="str">
        <f>IFERROR(IFERROR('Multi-Customer'!$BD$37,VLOOKUP($D96,'Required Info to Submit'!$E$20:$J$29,2,FALSE)),"")</f>
        <v/>
      </c>
      <c r="L96" s="1255"/>
      <c r="M96" s="1255"/>
      <c r="N96" s="1255"/>
      <c r="O96" s="1255"/>
      <c r="P96" s="1255"/>
      <c r="Q96" s="1255"/>
      <c r="R96" s="1255"/>
      <c r="S96" s="1255"/>
      <c r="T96" s="1255"/>
      <c r="U96" s="1255" t="str">
        <f>IFERROR(IFERROR('Multi-Customer'!$BD$39&amp;" "&amp;'Multi-Customer'!$BD$40,VLOOKUP($D96,'Required Info to Submit'!$E$20:$J$29,3,FALSE)),"")</f>
        <v/>
      </c>
      <c r="V96" s="1255"/>
      <c r="W96" s="1255"/>
      <c r="X96" s="1255"/>
      <c r="Y96" s="1255"/>
      <c r="Z96" s="1255"/>
      <c r="AA96" s="1255"/>
      <c r="AB96" s="1255"/>
      <c r="AC96" s="1255"/>
      <c r="AD96" s="1255"/>
      <c r="AE96" s="1255"/>
      <c r="AF96" s="1255"/>
      <c r="AG96" s="1255"/>
      <c r="AH96" s="1255"/>
      <c r="AI96" s="1255"/>
      <c r="AJ96" s="1260" t="str">
        <f>IFERROR(IFERROR('Multi-Customer'!$BD$41,VLOOKUP($D96,'Required Info to Submit'!$E$20:$J$29,4,FALSE)),"")</f>
        <v/>
      </c>
      <c r="AK96" s="1261"/>
      <c r="AL96" s="1261"/>
      <c r="AM96" s="1261"/>
      <c r="AN96" s="1261"/>
      <c r="AO96" s="1261"/>
      <c r="AP96" s="1261"/>
      <c r="AQ96" s="1261"/>
      <c r="AR96" s="1261"/>
      <c r="AS96" s="1261"/>
      <c r="AT96" s="1262"/>
      <c r="AU96" s="1183" t="str">
        <f>IFERROR(IFERROR('Multi-Customer'!$BD$42,VLOOKUP($D96,'Required Info to Submit'!$E$20:$J$29,5,FALSE)),"")</f>
        <v/>
      </c>
      <c r="AV96" s="1184"/>
      <c r="AW96" s="1184"/>
      <c r="AX96" s="1185"/>
      <c r="AY96" s="1245" t="str">
        <f>IFERROR(IFERROR('Multi-Customer'!$BD$43,VLOOKUP($D96,'Required Info to Submit'!$E$20:$J$29,6,FALSE)),"")</f>
        <v/>
      </c>
      <c r="AZ96" s="1246"/>
      <c r="BA96" s="1246"/>
      <c r="BB96" s="1246"/>
      <c r="BC96" s="1247"/>
      <c r="BF96" s="144"/>
    </row>
    <row r="97" spans="2:58" x14ac:dyDescent="0.25">
      <c r="B97" s="143"/>
      <c r="C97" s="690">
        <v>3</v>
      </c>
      <c r="D97" s="1268">
        <f>'Customer Inputs'!$B$8</f>
        <v>0</v>
      </c>
      <c r="E97" s="1268"/>
      <c r="F97" s="1268"/>
      <c r="G97" s="1268"/>
      <c r="H97" s="1268"/>
      <c r="I97" s="1268"/>
      <c r="J97" s="1268"/>
      <c r="K97" s="1255" t="str">
        <f>IFERROR(IFERROR('Multi-Customer'!$BM$37,VLOOKUP($D97,'Required Info to Submit'!$E$20:$J$29,2,FALSE)),"")</f>
        <v/>
      </c>
      <c r="L97" s="1255"/>
      <c r="M97" s="1255"/>
      <c r="N97" s="1255"/>
      <c r="O97" s="1255"/>
      <c r="P97" s="1255"/>
      <c r="Q97" s="1255"/>
      <c r="R97" s="1255"/>
      <c r="S97" s="1255"/>
      <c r="T97" s="1255"/>
      <c r="U97" s="1255" t="str">
        <f>IFERROR(IFERROR('Multi-Customer'!$BM$39&amp;" "&amp;'Multi-Customer'!$BM$40,VLOOKUP($D97,'Required Info to Submit'!$E$20:$J$29,3,FALSE)),"")</f>
        <v/>
      </c>
      <c r="V97" s="1255"/>
      <c r="W97" s="1255"/>
      <c r="X97" s="1255"/>
      <c r="Y97" s="1255"/>
      <c r="Z97" s="1255"/>
      <c r="AA97" s="1255"/>
      <c r="AB97" s="1255"/>
      <c r="AC97" s="1255"/>
      <c r="AD97" s="1255"/>
      <c r="AE97" s="1255"/>
      <c r="AF97" s="1255"/>
      <c r="AG97" s="1255"/>
      <c r="AH97" s="1255"/>
      <c r="AI97" s="1255"/>
      <c r="AJ97" s="1260" t="str">
        <f>IFERROR(IFERROR('Multi-Customer'!$BM$41,VLOOKUP($D97,'Required Info to Submit'!$E$20:$J$29,4,FALSE)),"")</f>
        <v/>
      </c>
      <c r="AK97" s="1261"/>
      <c r="AL97" s="1261"/>
      <c r="AM97" s="1261"/>
      <c r="AN97" s="1261"/>
      <c r="AO97" s="1261"/>
      <c r="AP97" s="1261"/>
      <c r="AQ97" s="1261"/>
      <c r="AR97" s="1261"/>
      <c r="AS97" s="1261"/>
      <c r="AT97" s="1262"/>
      <c r="AU97" s="1183" t="str">
        <f>IFERROR(IFERROR('Multi-Customer'!$BM$42,VLOOKUP($D97,'Required Info to Submit'!$E$20:$J$29,5,FALSE)),"")</f>
        <v/>
      </c>
      <c r="AV97" s="1184"/>
      <c r="AW97" s="1184"/>
      <c r="AX97" s="1185"/>
      <c r="AY97" s="1245" t="str">
        <f>IFERROR(IFERROR('Multi-Customer'!$BM$43,VLOOKUP($D97,'Required Info to Submit'!$E$20:$J$29,6,FALSE)),"")</f>
        <v/>
      </c>
      <c r="AZ97" s="1246"/>
      <c r="BA97" s="1246"/>
      <c r="BB97" s="1246"/>
      <c r="BC97" s="1247"/>
      <c r="BF97" s="144"/>
    </row>
    <row r="98" spans="2:58" x14ac:dyDescent="0.25">
      <c r="B98" s="143"/>
      <c r="C98" s="690">
        <v>4</v>
      </c>
      <c r="D98" s="1268">
        <f>'Customer Inputs'!$B$9</f>
        <v>0</v>
      </c>
      <c r="E98" s="1268"/>
      <c r="F98" s="1268"/>
      <c r="G98" s="1268"/>
      <c r="H98" s="1268"/>
      <c r="I98" s="1268"/>
      <c r="J98" s="1268"/>
      <c r="K98" s="1255" t="str">
        <f>IFERROR(IFERROR('Multi-Customer'!$BV$37,VLOOKUP($D98,'Required Info to Submit'!$E$20:$J$29,2,FALSE)),"")</f>
        <v/>
      </c>
      <c r="L98" s="1255"/>
      <c r="M98" s="1255"/>
      <c r="N98" s="1255"/>
      <c r="O98" s="1255"/>
      <c r="P98" s="1255"/>
      <c r="Q98" s="1255"/>
      <c r="R98" s="1255"/>
      <c r="S98" s="1255"/>
      <c r="T98" s="1255"/>
      <c r="U98" s="1255" t="str">
        <f>IFERROR(IFERROR('Multi-Customer'!$BV$39&amp;" "&amp;'Multi-Customer'!$BV$40,VLOOKUP($D98,'Required Info to Submit'!$E$20:$J$29,3,FALSE)),"")</f>
        <v/>
      </c>
      <c r="V98" s="1255"/>
      <c r="W98" s="1255"/>
      <c r="X98" s="1255"/>
      <c r="Y98" s="1255"/>
      <c r="Z98" s="1255"/>
      <c r="AA98" s="1255"/>
      <c r="AB98" s="1255"/>
      <c r="AC98" s="1255"/>
      <c r="AD98" s="1255"/>
      <c r="AE98" s="1255"/>
      <c r="AF98" s="1255"/>
      <c r="AG98" s="1255"/>
      <c r="AH98" s="1255"/>
      <c r="AI98" s="1255"/>
      <c r="AJ98" s="1260" t="str">
        <f>IFERROR(IFERROR('Multi-Customer'!$BV$41,VLOOKUP($D98,'Required Info to Submit'!$E$20:$J$29,4,FALSE)),"")</f>
        <v/>
      </c>
      <c r="AK98" s="1261"/>
      <c r="AL98" s="1261"/>
      <c r="AM98" s="1261"/>
      <c r="AN98" s="1261"/>
      <c r="AO98" s="1261"/>
      <c r="AP98" s="1261"/>
      <c r="AQ98" s="1261"/>
      <c r="AR98" s="1261"/>
      <c r="AS98" s="1261"/>
      <c r="AT98" s="1262"/>
      <c r="AU98" s="1183" t="str">
        <f>IFERROR(IFERROR('Multi-Customer'!$BV$42,VLOOKUP($D98,'Required Info to Submit'!$E$20:$J$29,5,FALSE)),"")</f>
        <v/>
      </c>
      <c r="AV98" s="1184"/>
      <c r="AW98" s="1184"/>
      <c r="AX98" s="1185"/>
      <c r="AY98" s="1245" t="str">
        <f>IFERROR(IFERROR('Multi-Customer'!$BV$43,VLOOKUP($D98,'Required Info to Submit'!$E$20:$J$29,6,FALSE)),"")</f>
        <v/>
      </c>
      <c r="AZ98" s="1246"/>
      <c r="BA98" s="1246"/>
      <c r="BB98" s="1246"/>
      <c r="BC98" s="1247"/>
      <c r="BF98" s="144"/>
    </row>
    <row r="99" spans="2:58" x14ac:dyDescent="0.25">
      <c r="B99" s="143"/>
      <c r="C99" s="690">
        <v>5</v>
      </c>
      <c r="D99" s="1268">
        <f>'Customer Inputs'!$B$10</f>
        <v>0</v>
      </c>
      <c r="E99" s="1268"/>
      <c r="F99" s="1268"/>
      <c r="G99" s="1268"/>
      <c r="H99" s="1268"/>
      <c r="I99" s="1268"/>
      <c r="J99" s="1268"/>
      <c r="K99" s="1255" t="str">
        <f>IFERROR(IFERROR('Multi-Customer'!$CE$37,VLOOKUP($D99,'Required Info to Submit'!$E$20:$J$29,2,FALSE)),"")</f>
        <v/>
      </c>
      <c r="L99" s="1255"/>
      <c r="M99" s="1255"/>
      <c r="N99" s="1255"/>
      <c r="O99" s="1255"/>
      <c r="P99" s="1255"/>
      <c r="Q99" s="1255"/>
      <c r="R99" s="1255"/>
      <c r="S99" s="1255"/>
      <c r="T99" s="1255"/>
      <c r="U99" s="1255" t="str">
        <f>IFERROR(IFERROR('Multi-Customer'!$CE$39&amp;" "&amp;'Multi-Customer'!$CE$40,VLOOKUP($D99,'Required Info to Submit'!$E$20:$J$29,3,FALSE)),"")</f>
        <v/>
      </c>
      <c r="V99" s="1255"/>
      <c r="W99" s="1255"/>
      <c r="X99" s="1255"/>
      <c r="Y99" s="1255"/>
      <c r="Z99" s="1255"/>
      <c r="AA99" s="1255"/>
      <c r="AB99" s="1255"/>
      <c r="AC99" s="1255"/>
      <c r="AD99" s="1255"/>
      <c r="AE99" s="1255"/>
      <c r="AF99" s="1255"/>
      <c r="AG99" s="1255"/>
      <c r="AH99" s="1255"/>
      <c r="AI99" s="1255"/>
      <c r="AJ99" s="1260" t="str">
        <f>IFERROR(IFERROR('Multi-Customer'!$CE$41,VLOOKUP($D99,'Required Info to Submit'!$E$20:$J$29,4,FALSE)),"")</f>
        <v/>
      </c>
      <c r="AK99" s="1261"/>
      <c r="AL99" s="1261"/>
      <c r="AM99" s="1261"/>
      <c r="AN99" s="1261"/>
      <c r="AO99" s="1261"/>
      <c r="AP99" s="1261"/>
      <c r="AQ99" s="1261"/>
      <c r="AR99" s="1261"/>
      <c r="AS99" s="1261"/>
      <c r="AT99" s="1262"/>
      <c r="AU99" s="1183" t="str">
        <f>IFERROR(IFERROR('Multi-Customer'!$CE$42,VLOOKUP($D99,'Required Info to Submit'!$E$20:$J$29,5,FALSE)),"")</f>
        <v/>
      </c>
      <c r="AV99" s="1184"/>
      <c r="AW99" s="1184"/>
      <c r="AX99" s="1185"/>
      <c r="AY99" s="1245" t="str">
        <f>IFERROR(IFERROR('Multi-Customer'!$CE$43,VLOOKUP($D99,'Required Info to Submit'!$E$20:$J$29,6,FALSE)),"")</f>
        <v/>
      </c>
      <c r="AZ99" s="1246"/>
      <c r="BA99" s="1246"/>
      <c r="BB99" s="1246"/>
      <c r="BC99" s="1247"/>
      <c r="BF99" s="144"/>
    </row>
    <row r="100" spans="2:58" x14ac:dyDescent="0.25">
      <c r="B100" s="143"/>
      <c r="C100" s="690">
        <v>6</v>
      </c>
      <c r="D100" s="1268">
        <f>'Customer Inputs'!$B$11</f>
        <v>0</v>
      </c>
      <c r="E100" s="1268"/>
      <c r="F100" s="1268"/>
      <c r="G100" s="1268"/>
      <c r="H100" s="1268"/>
      <c r="I100" s="1268"/>
      <c r="J100" s="1268"/>
      <c r="K100" s="1255" t="str">
        <f>IFERROR(IFERROR('Multi-Customer'!$CN$37,VLOOKUP($D100,'Required Info to Submit'!$E$20:$J$29,2,FALSE)),"")</f>
        <v/>
      </c>
      <c r="L100" s="1255"/>
      <c r="M100" s="1255"/>
      <c r="N100" s="1255"/>
      <c r="O100" s="1255"/>
      <c r="P100" s="1255"/>
      <c r="Q100" s="1255"/>
      <c r="R100" s="1255"/>
      <c r="S100" s="1255"/>
      <c r="T100" s="1255"/>
      <c r="U100" s="1255" t="str">
        <f>IFERROR(IFERROR('Multi-Customer'!$CN$39&amp;" "&amp;'Multi-Customer'!$CN$40,VLOOKUP($D100,'Required Info to Submit'!$E$20:$J$29,3,FALSE)),"")</f>
        <v/>
      </c>
      <c r="V100" s="1255"/>
      <c r="W100" s="1255"/>
      <c r="X100" s="1255"/>
      <c r="Y100" s="1255"/>
      <c r="Z100" s="1255"/>
      <c r="AA100" s="1255"/>
      <c r="AB100" s="1255"/>
      <c r="AC100" s="1255"/>
      <c r="AD100" s="1255"/>
      <c r="AE100" s="1255"/>
      <c r="AF100" s="1255"/>
      <c r="AG100" s="1255"/>
      <c r="AH100" s="1255"/>
      <c r="AI100" s="1255"/>
      <c r="AJ100" s="1260" t="str">
        <f>IFERROR(IFERROR('Multi-Customer'!$CN$41,VLOOKUP($D100,'Required Info to Submit'!$E$20:$J$29,4,FALSE)),"")</f>
        <v/>
      </c>
      <c r="AK100" s="1261"/>
      <c r="AL100" s="1261"/>
      <c r="AM100" s="1261"/>
      <c r="AN100" s="1261"/>
      <c r="AO100" s="1261"/>
      <c r="AP100" s="1261"/>
      <c r="AQ100" s="1261"/>
      <c r="AR100" s="1261"/>
      <c r="AS100" s="1261"/>
      <c r="AT100" s="1262"/>
      <c r="AU100" s="1183" t="str">
        <f>IFERROR(IFERROR('Multi-Customer'!$CN$42,VLOOKUP($D100,'Required Info to Submit'!$E$20:$J$29,5,FALSE)),"")</f>
        <v/>
      </c>
      <c r="AV100" s="1184"/>
      <c r="AW100" s="1184"/>
      <c r="AX100" s="1185"/>
      <c r="AY100" s="1245" t="str">
        <f>IFERROR(IFERROR('Multi-Customer'!$CN$43,VLOOKUP($D100,'Required Info to Submit'!$E$20:$J$29,6,FALSE)),"")</f>
        <v/>
      </c>
      <c r="AZ100" s="1246"/>
      <c r="BA100" s="1246"/>
      <c r="BB100" s="1246"/>
      <c r="BC100" s="1247"/>
      <c r="BF100" s="144"/>
    </row>
    <row r="101" spans="2:58" x14ac:dyDescent="0.25">
      <c r="B101" s="143"/>
      <c r="C101" s="690">
        <v>7</v>
      </c>
      <c r="D101" s="1268">
        <f>'Customer Inputs'!$B$12</f>
        <v>0</v>
      </c>
      <c r="E101" s="1268"/>
      <c r="F101" s="1268"/>
      <c r="G101" s="1268"/>
      <c r="H101" s="1268"/>
      <c r="I101" s="1268"/>
      <c r="J101" s="1268"/>
      <c r="K101" s="1255" t="str">
        <f>IFERROR(IFERROR('Multi-Customer'!$CW$37,VLOOKUP($D101,'Required Info to Submit'!$E$20:$J$29,2,FALSE)),"")</f>
        <v/>
      </c>
      <c r="L101" s="1255"/>
      <c r="M101" s="1255"/>
      <c r="N101" s="1255"/>
      <c r="O101" s="1255"/>
      <c r="P101" s="1255"/>
      <c r="Q101" s="1255"/>
      <c r="R101" s="1255"/>
      <c r="S101" s="1255"/>
      <c r="T101" s="1255"/>
      <c r="U101" s="1255" t="str">
        <f>IFERROR(IFERROR('Multi-Customer'!$CW$39&amp;" "&amp;'Multi-Customer'!$CW$40,VLOOKUP($D101,'Required Info to Submit'!$E$20:$J$29,3,FALSE)),"")</f>
        <v/>
      </c>
      <c r="V101" s="1255"/>
      <c r="W101" s="1255"/>
      <c r="X101" s="1255"/>
      <c r="Y101" s="1255"/>
      <c r="Z101" s="1255"/>
      <c r="AA101" s="1255"/>
      <c r="AB101" s="1255"/>
      <c r="AC101" s="1255"/>
      <c r="AD101" s="1255"/>
      <c r="AE101" s="1255"/>
      <c r="AF101" s="1255"/>
      <c r="AG101" s="1255"/>
      <c r="AH101" s="1255"/>
      <c r="AI101" s="1255"/>
      <c r="AJ101" s="1260" t="str">
        <f>IFERROR(IFERROR('Multi-Customer'!$CW$41,VLOOKUP($D101,'Required Info to Submit'!$E$20:$J$29,4,FALSE)),"")</f>
        <v/>
      </c>
      <c r="AK101" s="1261"/>
      <c r="AL101" s="1261"/>
      <c r="AM101" s="1261"/>
      <c r="AN101" s="1261"/>
      <c r="AO101" s="1261"/>
      <c r="AP101" s="1261"/>
      <c r="AQ101" s="1261"/>
      <c r="AR101" s="1261"/>
      <c r="AS101" s="1261"/>
      <c r="AT101" s="1262"/>
      <c r="AU101" s="1183" t="str">
        <f>IFERROR(IFERROR('Multi-Customer'!$CW$42,VLOOKUP($D101,'Required Info to Submit'!$E$20:$J$29,5,FALSE)),"")</f>
        <v/>
      </c>
      <c r="AV101" s="1184"/>
      <c r="AW101" s="1184"/>
      <c r="AX101" s="1185"/>
      <c r="AY101" s="1245" t="str">
        <f>IFERROR(IFERROR('Multi-Customer'!$CW$43,VLOOKUP($D101,'Required Info to Submit'!$E$20:$J$29,6,FALSE)),"")</f>
        <v/>
      </c>
      <c r="AZ101" s="1246"/>
      <c r="BA101" s="1246"/>
      <c r="BB101" s="1246"/>
      <c r="BC101" s="1247"/>
      <c r="BF101" s="144"/>
    </row>
    <row r="102" spans="2:58" x14ac:dyDescent="0.25">
      <c r="B102" s="143"/>
      <c r="C102" s="690">
        <v>8</v>
      </c>
      <c r="D102" s="1268">
        <f>'Customer Inputs'!$B$13</f>
        <v>0</v>
      </c>
      <c r="E102" s="1268"/>
      <c r="F102" s="1268"/>
      <c r="G102" s="1268"/>
      <c r="H102" s="1268"/>
      <c r="I102" s="1268"/>
      <c r="J102" s="1268"/>
      <c r="K102" s="1255" t="str">
        <f>IFERROR(IFERROR('Multi-Customer'!$DF$37,VLOOKUP($D102,'Required Info to Submit'!$E$20:$J$29,2,FALSE)),"")</f>
        <v/>
      </c>
      <c r="L102" s="1255"/>
      <c r="M102" s="1255"/>
      <c r="N102" s="1255"/>
      <c r="O102" s="1255"/>
      <c r="P102" s="1255"/>
      <c r="Q102" s="1255"/>
      <c r="R102" s="1255"/>
      <c r="S102" s="1255"/>
      <c r="T102" s="1255"/>
      <c r="U102" s="1255" t="str">
        <f>IFERROR(IFERROR('Multi-Customer'!$DF$39&amp;" "&amp;'Multi-Customer'!$DF$40,VLOOKUP($D102,'Required Info to Submit'!$E$20:$J$29,3,FALSE)),"")</f>
        <v/>
      </c>
      <c r="V102" s="1255"/>
      <c r="W102" s="1255"/>
      <c r="X102" s="1255"/>
      <c r="Y102" s="1255"/>
      <c r="Z102" s="1255"/>
      <c r="AA102" s="1255"/>
      <c r="AB102" s="1255"/>
      <c r="AC102" s="1255"/>
      <c r="AD102" s="1255"/>
      <c r="AE102" s="1255"/>
      <c r="AF102" s="1255"/>
      <c r="AG102" s="1255"/>
      <c r="AH102" s="1255"/>
      <c r="AI102" s="1255"/>
      <c r="AJ102" s="1260" t="str">
        <f>IFERROR(IFERROR('Multi-Customer'!$DF$41,VLOOKUP($D102,'Required Info to Submit'!$E$20:$J$29,4,FALSE)),"")</f>
        <v/>
      </c>
      <c r="AK102" s="1261"/>
      <c r="AL102" s="1261"/>
      <c r="AM102" s="1261"/>
      <c r="AN102" s="1261"/>
      <c r="AO102" s="1261"/>
      <c r="AP102" s="1261"/>
      <c r="AQ102" s="1261"/>
      <c r="AR102" s="1261"/>
      <c r="AS102" s="1261"/>
      <c r="AT102" s="1262"/>
      <c r="AU102" s="1183" t="str">
        <f>IFERROR(IFERROR('Multi-Customer'!$DF$42,VLOOKUP($D102,'Required Info to Submit'!$E$20:$J$29,5,FALSE)),"")</f>
        <v/>
      </c>
      <c r="AV102" s="1184"/>
      <c r="AW102" s="1184"/>
      <c r="AX102" s="1185"/>
      <c r="AY102" s="1245" t="str">
        <f>IFERROR(IFERROR('Multi-Customer'!$DF$43,VLOOKUP($D102,'Required Info to Submit'!$E$20:$J$29,6,FALSE)),"")</f>
        <v/>
      </c>
      <c r="AZ102" s="1246"/>
      <c r="BA102" s="1246"/>
      <c r="BB102" s="1246"/>
      <c r="BC102" s="1247"/>
      <c r="BF102" s="144"/>
    </row>
    <row r="103" spans="2:58" x14ac:dyDescent="0.25">
      <c r="B103" s="143"/>
      <c r="C103" s="690">
        <v>9</v>
      </c>
      <c r="D103" s="1268">
        <f>'Customer Inputs'!$B$14</f>
        <v>0</v>
      </c>
      <c r="E103" s="1268"/>
      <c r="F103" s="1268"/>
      <c r="G103" s="1268"/>
      <c r="H103" s="1268"/>
      <c r="I103" s="1268"/>
      <c r="J103" s="1268"/>
      <c r="K103" s="1255" t="str">
        <f>IFERROR(IFERROR('Multi-Customer'!$DO$37,VLOOKUP($D103,'Required Info to Submit'!$E$20:$J$29,2,FALSE)),"")</f>
        <v/>
      </c>
      <c r="L103" s="1255"/>
      <c r="M103" s="1255"/>
      <c r="N103" s="1255"/>
      <c r="O103" s="1255"/>
      <c r="P103" s="1255"/>
      <c r="Q103" s="1255"/>
      <c r="R103" s="1255"/>
      <c r="S103" s="1255"/>
      <c r="T103" s="1255"/>
      <c r="U103" s="1255" t="str">
        <f>IFERROR(IFERROR('Multi-Customer'!$DO$39&amp;" "&amp;'Multi-Customer'!$DO$40,VLOOKUP($D103,'Required Info to Submit'!$E$20:$J$29,3,FALSE)),"")</f>
        <v/>
      </c>
      <c r="V103" s="1255"/>
      <c r="W103" s="1255"/>
      <c r="X103" s="1255"/>
      <c r="Y103" s="1255"/>
      <c r="Z103" s="1255"/>
      <c r="AA103" s="1255"/>
      <c r="AB103" s="1255"/>
      <c r="AC103" s="1255"/>
      <c r="AD103" s="1255"/>
      <c r="AE103" s="1255"/>
      <c r="AF103" s="1255"/>
      <c r="AG103" s="1255"/>
      <c r="AH103" s="1255"/>
      <c r="AI103" s="1255"/>
      <c r="AJ103" s="1260" t="str">
        <f>IFERROR(IFERROR('Multi-Customer'!$DO$41,VLOOKUP($D103,'Required Info to Submit'!$E$20:$J$29,4,FALSE)),"")</f>
        <v/>
      </c>
      <c r="AK103" s="1261"/>
      <c r="AL103" s="1261"/>
      <c r="AM103" s="1261"/>
      <c r="AN103" s="1261"/>
      <c r="AO103" s="1261"/>
      <c r="AP103" s="1261"/>
      <c r="AQ103" s="1261"/>
      <c r="AR103" s="1261"/>
      <c r="AS103" s="1261"/>
      <c r="AT103" s="1262"/>
      <c r="AU103" s="1183" t="str">
        <f>IFERROR(IFERROR('Multi-Customer'!$DO$42,VLOOKUP($D103,'Required Info to Submit'!$E$20:$J$29,5,FALSE)),"")</f>
        <v/>
      </c>
      <c r="AV103" s="1184"/>
      <c r="AW103" s="1184"/>
      <c r="AX103" s="1185"/>
      <c r="AY103" s="1245" t="str">
        <f>IFERROR(IFERROR('Multi-Customer'!$DO$43,VLOOKUP($D103,'Required Info to Submit'!$E$20:$J$29,6,FALSE)),"")</f>
        <v/>
      </c>
      <c r="AZ103" s="1246"/>
      <c r="BA103" s="1246"/>
      <c r="BB103" s="1246"/>
      <c r="BC103" s="1247"/>
      <c r="BF103" s="144"/>
    </row>
    <row r="104" spans="2:58" ht="15.75" thickBot="1" x14ac:dyDescent="0.3">
      <c r="B104" s="143"/>
      <c r="C104" s="691">
        <v>10</v>
      </c>
      <c r="D104" s="1267">
        <f>'Customer Inputs'!$B$15</f>
        <v>0</v>
      </c>
      <c r="E104" s="1267"/>
      <c r="F104" s="1267"/>
      <c r="G104" s="1267"/>
      <c r="H104" s="1267"/>
      <c r="I104" s="1267"/>
      <c r="J104" s="1267"/>
      <c r="K104" s="1266" t="str">
        <f>IFERROR(IFERROR('Multi-Customer'!$DX$37,VLOOKUP($D104,'Required Info to Submit'!$E$20:$J$29,2,FALSE)),"")</f>
        <v/>
      </c>
      <c r="L104" s="1266"/>
      <c r="M104" s="1266"/>
      <c r="N104" s="1266"/>
      <c r="O104" s="1266"/>
      <c r="P104" s="1266"/>
      <c r="Q104" s="1266"/>
      <c r="R104" s="1266"/>
      <c r="S104" s="1266"/>
      <c r="T104" s="1266"/>
      <c r="U104" s="1266" t="str">
        <f>IFERROR(IFERROR('Multi-Customer'!$DX$39&amp;" "&amp;'Multi-Customer'!$DX$40,VLOOKUP($D104,'Required Info to Submit'!$E$20:$J$29,3,FALSE)),"")</f>
        <v/>
      </c>
      <c r="V104" s="1266"/>
      <c r="W104" s="1266"/>
      <c r="X104" s="1266"/>
      <c r="Y104" s="1266"/>
      <c r="Z104" s="1266"/>
      <c r="AA104" s="1266"/>
      <c r="AB104" s="1266"/>
      <c r="AC104" s="1266"/>
      <c r="AD104" s="1266"/>
      <c r="AE104" s="1266"/>
      <c r="AF104" s="1266"/>
      <c r="AG104" s="1266"/>
      <c r="AH104" s="1266"/>
      <c r="AI104" s="1266"/>
      <c r="AJ104" s="1257" t="str">
        <f>IFERROR(IFERROR('Multi-Customer'!$DX$41,VLOOKUP($D104,'Required Info to Submit'!$E$20:$J$29,4,FALSE)),"")</f>
        <v/>
      </c>
      <c r="AK104" s="1258"/>
      <c r="AL104" s="1258"/>
      <c r="AM104" s="1258"/>
      <c r="AN104" s="1258"/>
      <c r="AO104" s="1258"/>
      <c r="AP104" s="1258"/>
      <c r="AQ104" s="1258"/>
      <c r="AR104" s="1258"/>
      <c r="AS104" s="1258"/>
      <c r="AT104" s="1259"/>
      <c r="AU104" s="1252" t="str">
        <f>IFERROR(IFERROR('Multi-Customer'!$DX$42,VLOOKUP($D104,'Required Info to Submit'!$E$20:$J$29,5,FALSE)),"")</f>
        <v/>
      </c>
      <c r="AV104" s="1253"/>
      <c r="AW104" s="1253"/>
      <c r="AX104" s="1254"/>
      <c r="AY104" s="1242" t="str">
        <f>IFERROR(IFERROR('Multi-Customer'!$DX$43,VLOOKUP($D104,'Required Info to Submit'!$E$20:$J$29,6,FALSE)),"")</f>
        <v/>
      </c>
      <c r="AZ104" s="1243"/>
      <c r="BA104" s="1243"/>
      <c r="BB104" s="1243"/>
      <c r="BC104" s="1244"/>
      <c r="BF104" s="144"/>
    </row>
    <row r="105" spans="2:58" x14ac:dyDescent="0.25">
      <c r="B105" s="143"/>
      <c r="BF105" s="144"/>
    </row>
    <row r="106" spans="2:58" x14ac:dyDescent="0.25">
      <c r="B106" s="143"/>
      <c r="BF106" s="144"/>
    </row>
    <row r="107" spans="2:58" ht="18.75" x14ac:dyDescent="0.3">
      <c r="B107" s="1233" t="s">
        <v>1062</v>
      </c>
      <c r="C107" s="1234"/>
      <c r="D107" s="1234"/>
      <c r="E107" s="1234"/>
      <c r="F107" s="1234"/>
      <c r="G107" s="1234"/>
      <c r="H107" s="1234"/>
      <c r="I107" s="1234"/>
      <c r="J107" s="1234"/>
      <c r="K107" s="1234"/>
      <c r="L107" s="1234"/>
      <c r="M107" s="1234"/>
      <c r="N107" s="1234"/>
      <c r="O107" s="1234"/>
      <c r="P107" s="1234"/>
      <c r="Q107" s="1234"/>
      <c r="R107" s="1234"/>
      <c r="S107" s="1234"/>
      <c r="T107" s="1234"/>
      <c r="U107" s="1234"/>
      <c r="V107" s="1234"/>
      <c r="W107" s="1234"/>
      <c r="X107" s="1234"/>
      <c r="Y107" s="1234"/>
      <c r="Z107" s="1234"/>
      <c r="AA107" s="1234"/>
      <c r="AB107" s="1234"/>
      <c r="AC107" s="1234"/>
      <c r="AD107" s="1234"/>
      <c r="AE107" s="1234"/>
      <c r="AF107" s="1234"/>
      <c r="AG107" s="1234"/>
      <c r="AH107" s="1234"/>
      <c r="AI107" s="1234"/>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321" t="s">
        <v>1063</v>
      </c>
      <c r="V109" s="1322"/>
      <c r="W109" s="1322"/>
      <c r="X109" s="1322"/>
      <c r="Y109" s="1322"/>
      <c r="Z109" s="1322" t="s">
        <v>1056</v>
      </c>
      <c r="AA109" s="1322"/>
      <c r="AB109" s="1322"/>
      <c r="AC109" s="1322"/>
      <c r="AD109" s="1322"/>
      <c r="AE109" s="1322"/>
      <c r="AF109" s="1322" t="s">
        <v>1057</v>
      </c>
      <c r="AG109" s="1322"/>
      <c r="AH109" s="1322"/>
      <c r="AI109" s="1322"/>
      <c r="AJ109" s="1322"/>
      <c r="AK109" s="1322"/>
      <c r="AL109" s="1322"/>
      <c r="AM109" s="1322" t="s">
        <v>1060</v>
      </c>
      <c r="AN109" s="1322"/>
      <c r="AO109" s="1322"/>
      <c r="AP109" s="1322"/>
      <c r="AQ109" s="1322"/>
      <c r="AR109" s="1322"/>
      <c r="AS109" s="1348"/>
      <c r="AT109" s="272"/>
      <c r="AU109" s="272"/>
      <c r="AV109" s="272"/>
      <c r="AW109" s="272"/>
      <c r="AX109" s="272"/>
      <c r="AY109" s="272"/>
      <c r="AZ109" s="272"/>
      <c r="BA109" s="272"/>
      <c r="BB109" s="272"/>
      <c r="BC109" s="272"/>
      <c r="BD109" s="272"/>
      <c r="BE109" s="272"/>
      <c r="BF109" s="695"/>
    </row>
    <row r="110" spans="2:58" x14ac:dyDescent="0.25">
      <c r="B110" s="143"/>
      <c r="D110" s="1317" t="s">
        <v>99</v>
      </c>
      <c r="E110" s="1256"/>
      <c r="F110" s="1256"/>
      <c r="G110" s="1256"/>
      <c r="H110" s="1256"/>
      <c r="I110" s="1256"/>
      <c r="J110" s="1256"/>
      <c r="K110" s="1256"/>
      <c r="L110" s="1256"/>
      <c r="M110" s="1256"/>
      <c r="N110" s="1256"/>
      <c r="O110" s="1256"/>
      <c r="P110" s="1256"/>
      <c r="Q110" s="1256"/>
      <c r="R110" s="1256"/>
      <c r="S110" s="1256"/>
      <c r="T110" s="1318"/>
      <c r="U110" s="1326" t="str">
        <f>IF('PIM Model'!$B$10=0,"",'PIM Model'!$B$10)</f>
        <v/>
      </c>
      <c r="V110" s="1323"/>
      <c r="W110" s="1323"/>
      <c r="X110" s="1323"/>
      <c r="Y110" s="1323"/>
      <c r="Z110" s="1323" t="str">
        <f>'PIM Model'!$AF$10</f>
        <v/>
      </c>
      <c r="AA110" s="1323"/>
      <c r="AB110" s="1323"/>
      <c r="AC110" s="1323"/>
      <c r="AD110" s="1323"/>
      <c r="AE110" s="1323"/>
      <c r="AF110" s="1335" t="str">
        <f>'PIM Model'!$AG$10</f>
        <v/>
      </c>
      <c r="AG110" s="1336"/>
      <c r="AH110" s="1336"/>
      <c r="AI110" s="1336"/>
      <c r="AJ110" s="1336"/>
      <c r="AK110" s="1336"/>
      <c r="AL110" s="1337"/>
      <c r="AM110" s="1335" t="str">
        <f>'PIM Model'!$AH$10</f>
        <v/>
      </c>
      <c r="AN110" s="1336"/>
      <c r="AO110" s="1336"/>
      <c r="AP110" s="1336"/>
      <c r="AQ110" s="1336"/>
      <c r="AR110" s="1336"/>
      <c r="AS110" s="1349"/>
      <c r="BF110" s="144"/>
    </row>
    <row r="111" spans="2:58" x14ac:dyDescent="0.25">
      <c r="B111" s="143"/>
      <c r="D111" s="1319" t="s">
        <v>529</v>
      </c>
      <c r="E111" s="1255"/>
      <c r="F111" s="1255"/>
      <c r="G111" s="1255"/>
      <c r="H111" s="1255"/>
      <c r="I111" s="1255"/>
      <c r="J111" s="1255"/>
      <c r="K111" s="1255"/>
      <c r="L111" s="1255"/>
      <c r="M111" s="1255"/>
      <c r="N111" s="1255"/>
      <c r="O111" s="1255"/>
      <c r="P111" s="1255"/>
      <c r="Q111" s="1255"/>
      <c r="R111" s="1255"/>
      <c r="S111" s="1255"/>
      <c r="T111" s="1320"/>
      <c r="U111" s="1327" t="str">
        <f>IF('PIM Model'!$B$11=0,"",'PIM Model'!$B$11)</f>
        <v/>
      </c>
      <c r="V111" s="1182"/>
      <c r="W111" s="1182"/>
      <c r="X111" s="1182"/>
      <c r="Y111" s="1182"/>
      <c r="Z111" s="1182" t="str">
        <f>'PIM Model'!$AF$11</f>
        <v/>
      </c>
      <c r="AA111" s="1182"/>
      <c r="AB111" s="1182"/>
      <c r="AC111" s="1182"/>
      <c r="AD111" s="1182"/>
      <c r="AE111" s="1182"/>
      <c r="AF111" s="1245" t="str">
        <f>'PIM Model'!$AG$11</f>
        <v/>
      </c>
      <c r="AG111" s="1246"/>
      <c r="AH111" s="1246"/>
      <c r="AI111" s="1246"/>
      <c r="AJ111" s="1246"/>
      <c r="AK111" s="1246"/>
      <c r="AL111" s="1331"/>
      <c r="AM111" s="1245" t="str">
        <f>'PIM Model'!$AH$11</f>
        <v/>
      </c>
      <c r="AN111" s="1246"/>
      <c r="AO111" s="1246"/>
      <c r="AP111" s="1246"/>
      <c r="AQ111" s="1246"/>
      <c r="AR111" s="1246"/>
      <c r="AS111" s="1247"/>
      <c r="BF111" s="144"/>
    </row>
    <row r="112" spans="2:58" x14ac:dyDescent="0.25">
      <c r="B112" s="143"/>
      <c r="D112" s="1319" t="s">
        <v>530</v>
      </c>
      <c r="E112" s="1255"/>
      <c r="F112" s="1255"/>
      <c r="G112" s="1255"/>
      <c r="H112" s="1255"/>
      <c r="I112" s="1255"/>
      <c r="J112" s="1255"/>
      <c r="K112" s="1255"/>
      <c r="L112" s="1255"/>
      <c r="M112" s="1255"/>
      <c r="N112" s="1255"/>
      <c r="O112" s="1255"/>
      <c r="P112" s="1255"/>
      <c r="Q112" s="1255"/>
      <c r="R112" s="1255"/>
      <c r="S112" s="1255"/>
      <c r="T112" s="1320"/>
      <c r="U112" s="1327" t="str">
        <f>IF('PIM Model'!$B$12=0,"",'PIM Model'!$B$12)</f>
        <v/>
      </c>
      <c r="V112" s="1182"/>
      <c r="W112" s="1182"/>
      <c r="X112" s="1182"/>
      <c r="Y112" s="1182"/>
      <c r="Z112" s="1182" t="str">
        <f>'PIM Model'!$AF$12</f>
        <v/>
      </c>
      <c r="AA112" s="1182"/>
      <c r="AB112" s="1182"/>
      <c r="AC112" s="1182"/>
      <c r="AD112" s="1182"/>
      <c r="AE112" s="1182"/>
      <c r="AF112" s="1245" t="str">
        <f>'PIM Model'!$AG$12</f>
        <v/>
      </c>
      <c r="AG112" s="1246"/>
      <c r="AH112" s="1246"/>
      <c r="AI112" s="1246"/>
      <c r="AJ112" s="1246"/>
      <c r="AK112" s="1246"/>
      <c r="AL112" s="1331"/>
      <c r="AM112" s="1245" t="str">
        <f>'PIM Model'!$AH$12</f>
        <v/>
      </c>
      <c r="AN112" s="1246"/>
      <c r="AO112" s="1246"/>
      <c r="AP112" s="1246"/>
      <c r="AQ112" s="1246"/>
      <c r="AR112" s="1246"/>
      <c r="AS112" s="1247"/>
      <c r="BF112" s="144"/>
    </row>
    <row r="113" spans="2:58" x14ac:dyDescent="0.25">
      <c r="B113" s="143"/>
      <c r="D113" s="1319" t="s">
        <v>102</v>
      </c>
      <c r="E113" s="1255"/>
      <c r="F113" s="1255"/>
      <c r="G113" s="1255"/>
      <c r="H113" s="1255"/>
      <c r="I113" s="1255"/>
      <c r="J113" s="1255"/>
      <c r="K113" s="1255"/>
      <c r="L113" s="1255"/>
      <c r="M113" s="1255"/>
      <c r="N113" s="1255"/>
      <c r="O113" s="1255"/>
      <c r="P113" s="1255"/>
      <c r="Q113" s="1255"/>
      <c r="R113" s="1255"/>
      <c r="S113" s="1255"/>
      <c r="T113" s="1320"/>
      <c r="U113" s="1327" t="str">
        <f>IF('PIM Model'!$B$13=0,"",'PIM Model'!$B$13)</f>
        <v/>
      </c>
      <c r="V113" s="1182"/>
      <c r="W113" s="1182"/>
      <c r="X113" s="1182"/>
      <c r="Y113" s="1182"/>
      <c r="Z113" s="1182" t="str">
        <f>'PIM Model'!$AF$13</f>
        <v/>
      </c>
      <c r="AA113" s="1182"/>
      <c r="AB113" s="1182"/>
      <c r="AC113" s="1182"/>
      <c r="AD113" s="1182"/>
      <c r="AE113" s="1182"/>
      <c r="AF113" s="1245" t="str">
        <f>'PIM Model'!$AG$13</f>
        <v/>
      </c>
      <c r="AG113" s="1246"/>
      <c r="AH113" s="1246"/>
      <c r="AI113" s="1246"/>
      <c r="AJ113" s="1246"/>
      <c r="AK113" s="1246"/>
      <c r="AL113" s="1331"/>
      <c r="AM113" s="1245" t="str">
        <f>'PIM Model'!$AH$13</f>
        <v/>
      </c>
      <c r="AN113" s="1246"/>
      <c r="AO113" s="1246"/>
      <c r="AP113" s="1246"/>
      <c r="AQ113" s="1246"/>
      <c r="AR113" s="1246"/>
      <c r="AS113" s="1247"/>
      <c r="BF113" s="144"/>
    </row>
    <row r="114" spans="2:58" x14ac:dyDescent="0.25">
      <c r="B114" s="143"/>
      <c r="D114" s="1319" t="s">
        <v>100</v>
      </c>
      <c r="E114" s="1255"/>
      <c r="F114" s="1255"/>
      <c r="G114" s="1255"/>
      <c r="H114" s="1255"/>
      <c r="I114" s="1255"/>
      <c r="J114" s="1255"/>
      <c r="K114" s="1255"/>
      <c r="L114" s="1255"/>
      <c r="M114" s="1255"/>
      <c r="N114" s="1255"/>
      <c r="O114" s="1255"/>
      <c r="P114" s="1255"/>
      <c r="Q114" s="1255"/>
      <c r="R114" s="1255"/>
      <c r="S114" s="1255"/>
      <c r="T114" s="1320"/>
      <c r="U114" s="1327" t="str">
        <f>IF('PIM Model'!$B$14=0,"",'PIM Model'!$B$14)</f>
        <v/>
      </c>
      <c r="V114" s="1182"/>
      <c r="W114" s="1182"/>
      <c r="X114" s="1182"/>
      <c r="Y114" s="1182"/>
      <c r="Z114" s="1182" t="str">
        <f>'PIM Model'!$AF$14</f>
        <v/>
      </c>
      <c r="AA114" s="1182"/>
      <c r="AB114" s="1182"/>
      <c r="AC114" s="1182"/>
      <c r="AD114" s="1182"/>
      <c r="AE114" s="1182"/>
      <c r="AF114" s="1245" t="str">
        <f>'PIM Model'!$AG$14</f>
        <v/>
      </c>
      <c r="AG114" s="1246"/>
      <c r="AH114" s="1246"/>
      <c r="AI114" s="1246"/>
      <c r="AJ114" s="1246"/>
      <c r="AK114" s="1246"/>
      <c r="AL114" s="1331"/>
      <c r="AM114" s="1245" t="str">
        <f>'PIM Model'!$AH$14</f>
        <v/>
      </c>
      <c r="AN114" s="1246"/>
      <c r="AO114" s="1246"/>
      <c r="AP114" s="1246"/>
      <c r="AQ114" s="1246"/>
      <c r="AR114" s="1246"/>
      <c r="AS114" s="1247"/>
      <c r="BF114" s="144"/>
    </row>
    <row r="115" spans="2:58" x14ac:dyDescent="0.25">
      <c r="B115" s="143"/>
      <c r="D115" s="1319" t="s">
        <v>104</v>
      </c>
      <c r="E115" s="1255"/>
      <c r="F115" s="1255"/>
      <c r="G115" s="1255"/>
      <c r="H115" s="1255"/>
      <c r="I115" s="1255"/>
      <c r="J115" s="1255"/>
      <c r="K115" s="1255"/>
      <c r="L115" s="1255"/>
      <c r="M115" s="1255"/>
      <c r="N115" s="1255"/>
      <c r="O115" s="1255"/>
      <c r="P115" s="1255"/>
      <c r="Q115" s="1255"/>
      <c r="R115" s="1255"/>
      <c r="S115" s="1255"/>
      <c r="T115" s="1320"/>
      <c r="U115" s="1327" t="str">
        <f>IF('PIM Model'!$B$15=0,"",'PIM Model'!$B$15)</f>
        <v/>
      </c>
      <c r="V115" s="1182"/>
      <c r="W115" s="1182"/>
      <c r="X115" s="1182"/>
      <c r="Y115" s="1182"/>
      <c r="Z115" s="1182" t="str">
        <f>'PIM Model'!$AF$15</f>
        <v/>
      </c>
      <c r="AA115" s="1182"/>
      <c r="AB115" s="1182"/>
      <c r="AC115" s="1182"/>
      <c r="AD115" s="1182"/>
      <c r="AE115" s="1182"/>
      <c r="AF115" s="1245" t="str">
        <f>'PIM Model'!$AG$15</f>
        <v/>
      </c>
      <c r="AG115" s="1246"/>
      <c r="AH115" s="1246"/>
      <c r="AI115" s="1246"/>
      <c r="AJ115" s="1246"/>
      <c r="AK115" s="1246"/>
      <c r="AL115" s="1331"/>
      <c r="AM115" s="1245" t="str">
        <f>'PIM Model'!$AH$15</f>
        <v/>
      </c>
      <c r="AN115" s="1246"/>
      <c r="AO115" s="1246"/>
      <c r="AP115" s="1246"/>
      <c r="AQ115" s="1246"/>
      <c r="AR115" s="1246"/>
      <c r="AS115" s="1247"/>
      <c r="BF115" s="144"/>
    </row>
    <row r="116" spans="2:58" x14ac:dyDescent="0.25">
      <c r="B116" s="143"/>
      <c r="D116" s="1319" t="s">
        <v>98</v>
      </c>
      <c r="E116" s="1255"/>
      <c r="F116" s="1255"/>
      <c r="G116" s="1255"/>
      <c r="H116" s="1255"/>
      <c r="I116" s="1255"/>
      <c r="J116" s="1255"/>
      <c r="K116" s="1255"/>
      <c r="L116" s="1255"/>
      <c r="M116" s="1255"/>
      <c r="N116" s="1255"/>
      <c r="O116" s="1255"/>
      <c r="P116" s="1255"/>
      <c r="Q116" s="1255"/>
      <c r="R116" s="1255"/>
      <c r="S116" s="1255"/>
      <c r="T116" s="1320"/>
      <c r="U116" s="1327" t="str">
        <f>IF('PIM Model'!$B$16=0,"",'PIM Model'!$B$16)</f>
        <v/>
      </c>
      <c r="V116" s="1182"/>
      <c r="W116" s="1182"/>
      <c r="X116" s="1182"/>
      <c r="Y116" s="1182"/>
      <c r="Z116" s="1182" t="str">
        <f>'PIM Model'!$AF$16</f>
        <v/>
      </c>
      <c r="AA116" s="1182"/>
      <c r="AB116" s="1182"/>
      <c r="AC116" s="1182"/>
      <c r="AD116" s="1182"/>
      <c r="AE116" s="1182"/>
      <c r="AF116" s="1245" t="str">
        <f>'PIM Model'!$AG$16</f>
        <v/>
      </c>
      <c r="AG116" s="1246"/>
      <c r="AH116" s="1246"/>
      <c r="AI116" s="1246"/>
      <c r="AJ116" s="1246"/>
      <c r="AK116" s="1246"/>
      <c r="AL116" s="1331"/>
      <c r="AM116" s="1245" t="str">
        <f>'PIM Model'!$AH$16</f>
        <v/>
      </c>
      <c r="AN116" s="1246"/>
      <c r="AO116" s="1246"/>
      <c r="AP116" s="1246"/>
      <c r="AQ116" s="1246"/>
      <c r="AR116" s="1246"/>
      <c r="AS116" s="1247"/>
      <c r="BF116" s="144"/>
    </row>
    <row r="117" spans="2:58" x14ac:dyDescent="0.25">
      <c r="B117" s="143"/>
      <c r="D117" s="1319" t="s">
        <v>95</v>
      </c>
      <c r="E117" s="1255"/>
      <c r="F117" s="1255"/>
      <c r="G117" s="1255"/>
      <c r="H117" s="1255"/>
      <c r="I117" s="1255"/>
      <c r="J117" s="1255"/>
      <c r="K117" s="1255"/>
      <c r="L117" s="1255"/>
      <c r="M117" s="1255"/>
      <c r="N117" s="1255"/>
      <c r="O117" s="1255"/>
      <c r="P117" s="1255"/>
      <c r="Q117" s="1255"/>
      <c r="R117" s="1255"/>
      <c r="S117" s="1255"/>
      <c r="T117" s="1320"/>
      <c r="U117" s="1327" t="str">
        <f>IF('PIM Model'!$B$17=0,"",'PIM Model'!$B$17)</f>
        <v/>
      </c>
      <c r="V117" s="1182"/>
      <c r="W117" s="1182"/>
      <c r="X117" s="1182"/>
      <c r="Y117" s="1182"/>
      <c r="Z117" s="1182" t="str">
        <f>'PIM Model'!$AF$17</f>
        <v/>
      </c>
      <c r="AA117" s="1182"/>
      <c r="AB117" s="1182"/>
      <c r="AC117" s="1182"/>
      <c r="AD117" s="1182"/>
      <c r="AE117" s="1182"/>
      <c r="AF117" s="1245" t="str">
        <f>'PIM Model'!$AG$17</f>
        <v/>
      </c>
      <c r="AG117" s="1246"/>
      <c r="AH117" s="1246"/>
      <c r="AI117" s="1246"/>
      <c r="AJ117" s="1246"/>
      <c r="AK117" s="1246"/>
      <c r="AL117" s="1331"/>
      <c r="AM117" s="1245" t="str">
        <f>'PIM Model'!$AH$17</f>
        <v/>
      </c>
      <c r="AN117" s="1246"/>
      <c r="AO117" s="1246"/>
      <c r="AP117" s="1246"/>
      <c r="AQ117" s="1246"/>
      <c r="AR117" s="1246"/>
      <c r="AS117" s="1247"/>
      <c r="BF117" s="144"/>
    </row>
    <row r="118" spans="2:58" x14ac:dyDescent="0.25">
      <c r="B118" s="143"/>
      <c r="D118" s="1319" t="s">
        <v>96</v>
      </c>
      <c r="E118" s="1255"/>
      <c r="F118" s="1255"/>
      <c r="G118" s="1255"/>
      <c r="H118" s="1255"/>
      <c r="I118" s="1255"/>
      <c r="J118" s="1255"/>
      <c r="K118" s="1255"/>
      <c r="L118" s="1255"/>
      <c r="M118" s="1255"/>
      <c r="N118" s="1255"/>
      <c r="O118" s="1255"/>
      <c r="P118" s="1255"/>
      <c r="Q118" s="1255"/>
      <c r="R118" s="1255"/>
      <c r="S118" s="1255"/>
      <c r="T118" s="1320"/>
      <c r="U118" s="1327" t="str">
        <f>IF('PIM Model'!$B$18=0,"",'PIM Model'!$B$18)</f>
        <v/>
      </c>
      <c r="V118" s="1182"/>
      <c r="W118" s="1182"/>
      <c r="X118" s="1182"/>
      <c r="Y118" s="1182"/>
      <c r="Z118" s="1182" t="str">
        <f>'PIM Model'!$AF$18</f>
        <v/>
      </c>
      <c r="AA118" s="1182"/>
      <c r="AB118" s="1182"/>
      <c r="AC118" s="1182"/>
      <c r="AD118" s="1182"/>
      <c r="AE118" s="1182"/>
      <c r="AF118" s="1245" t="str">
        <f>'PIM Model'!$AG$18</f>
        <v/>
      </c>
      <c r="AG118" s="1246"/>
      <c r="AH118" s="1246"/>
      <c r="AI118" s="1246"/>
      <c r="AJ118" s="1246"/>
      <c r="AK118" s="1246"/>
      <c r="AL118" s="1331"/>
      <c r="AM118" s="1245" t="str">
        <f>'PIM Model'!$AH$18</f>
        <v/>
      </c>
      <c r="AN118" s="1246"/>
      <c r="AO118" s="1246"/>
      <c r="AP118" s="1246"/>
      <c r="AQ118" s="1246"/>
      <c r="AR118" s="1246"/>
      <c r="AS118" s="1247"/>
      <c r="BF118" s="144"/>
    </row>
    <row r="119" spans="2:58" x14ac:dyDescent="0.25">
      <c r="B119" s="143"/>
      <c r="D119" s="1319" t="s">
        <v>101</v>
      </c>
      <c r="E119" s="1255"/>
      <c r="F119" s="1255"/>
      <c r="G119" s="1255"/>
      <c r="H119" s="1255"/>
      <c r="I119" s="1255"/>
      <c r="J119" s="1255"/>
      <c r="K119" s="1255"/>
      <c r="L119" s="1255"/>
      <c r="M119" s="1255"/>
      <c r="N119" s="1255"/>
      <c r="O119" s="1255"/>
      <c r="P119" s="1255"/>
      <c r="Q119" s="1255"/>
      <c r="R119" s="1255"/>
      <c r="S119" s="1255"/>
      <c r="T119" s="1320"/>
      <c r="U119" s="1327" t="str">
        <f>IF('PIM Model'!$B$19=0,"",'PIM Model'!$B$19)</f>
        <v/>
      </c>
      <c r="V119" s="1182"/>
      <c r="W119" s="1182"/>
      <c r="X119" s="1182"/>
      <c r="Y119" s="1182"/>
      <c r="Z119" s="1182" t="str">
        <f>'PIM Model'!$AF$19</f>
        <v/>
      </c>
      <c r="AA119" s="1182"/>
      <c r="AB119" s="1182"/>
      <c r="AC119" s="1182"/>
      <c r="AD119" s="1182"/>
      <c r="AE119" s="1182"/>
      <c r="AF119" s="1245" t="str">
        <f>'PIM Model'!$AG$19</f>
        <v/>
      </c>
      <c r="AG119" s="1246"/>
      <c r="AH119" s="1246"/>
      <c r="AI119" s="1246"/>
      <c r="AJ119" s="1246"/>
      <c r="AK119" s="1246"/>
      <c r="AL119" s="1331"/>
      <c r="AM119" s="1245" t="str">
        <f>'PIM Model'!$AH$19</f>
        <v/>
      </c>
      <c r="AN119" s="1246"/>
      <c r="AO119" s="1246"/>
      <c r="AP119" s="1246"/>
      <c r="AQ119" s="1246"/>
      <c r="AR119" s="1246"/>
      <c r="AS119" s="1247"/>
      <c r="BF119" s="144"/>
    </row>
    <row r="120" spans="2:58" x14ac:dyDescent="0.25">
      <c r="B120" s="143"/>
      <c r="D120" s="1319" t="s">
        <v>97</v>
      </c>
      <c r="E120" s="1255"/>
      <c r="F120" s="1255"/>
      <c r="G120" s="1255"/>
      <c r="H120" s="1255"/>
      <c r="I120" s="1255"/>
      <c r="J120" s="1255"/>
      <c r="K120" s="1255"/>
      <c r="L120" s="1255"/>
      <c r="M120" s="1255"/>
      <c r="N120" s="1255"/>
      <c r="O120" s="1255"/>
      <c r="P120" s="1255"/>
      <c r="Q120" s="1255"/>
      <c r="R120" s="1255"/>
      <c r="S120" s="1255"/>
      <c r="T120" s="1320"/>
      <c r="U120" s="1327" t="str">
        <f>IF('PIM Model'!$B$20=0,"",'PIM Model'!$B$20)</f>
        <v/>
      </c>
      <c r="V120" s="1182"/>
      <c r="W120" s="1182"/>
      <c r="X120" s="1182"/>
      <c r="Y120" s="1182"/>
      <c r="Z120" s="1182" t="str">
        <f>'PIM Model'!$AF$20</f>
        <v/>
      </c>
      <c r="AA120" s="1182"/>
      <c r="AB120" s="1182"/>
      <c r="AC120" s="1182"/>
      <c r="AD120" s="1182"/>
      <c r="AE120" s="1182"/>
      <c r="AF120" s="1245" t="str">
        <f>'PIM Model'!$AG$20</f>
        <v/>
      </c>
      <c r="AG120" s="1246"/>
      <c r="AH120" s="1246"/>
      <c r="AI120" s="1246"/>
      <c r="AJ120" s="1246"/>
      <c r="AK120" s="1246"/>
      <c r="AL120" s="1331"/>
      <c r="AM120" s="1245" t="str">
        <f>'PIM Model'!$AH$20</f>
        <v/>
      </c>
      <c r="AN120" s="1246"/>
      <c r="AO120" s="1246"/>
      <c r="AP120" s="1246"/>
      <c r="AQ120" s="1246"/>
      <c r="AR120" s="1246"/>
      <c r="AS120" s="1247"/>
      <c r="BF120" s="144"/>
    </row>
    <row r="121" spans="2:58" x14ac:dyDescent="0.25">
      <c r="B121" s="143"/>
      <c r="D121" s="1319" t="s">
        <v>93</v>
      </c>
      <c r="E121" s="1255"/>
      <c r="F121" s="1255"/>
      <c r="G121" s="1255"/>
      <c r="H121" s="1255"/>
      <c r="I121" s="1255"/>
      <c r="J121" s="1255"/>
      <c r="K121" s="1255"/>
      <c r="L121" s="1255"/>
      <c r="M121" s="1255"/>
      <c r="N121" s="1255"/>
      <c r="O121" s="1255"/>
      <c r="P121" s="1255"/>
      <c r="Q121" s="1255"/>
      <c r="R121" s="1255"/>
      <c r="S121" s="1255"/>
      <c r="T121" s="1320"/>
      <c r="U121" s="1327" t="str">
        <f>IF('PIM Model'!$B$21=0,"",'PIM Model'!$B$21)</f>
        <v/>
      </c>
      <c r="V121" s="1182"/>
      <c r="W121" s="1182"/>
      <c r="X121" s="1182"/>
      <c r="Y121" s="1182"/>
      <c r="Z121" s="1182" t="str">
        <f>'PIM Model'!$AF$21</f>
        <v/>
      </c>
      <c r="AA121" s="1182"/>
      <c r="AB121" s="1182"/>
      <c r="AC121" s="1182"/>
      <c r="AD121" s="1182"/>
      <c r="AE121" s="1182"/>
      <c r="AF121" s="1245" t="str">
        <f>'PIM Model'!$AG$21</f>
        <v/>
      </c>
      <c r="AG121" s="1246"/>
      <c r="AH121" s="1246"/>
      <c r="AI121" s="1246"/>
      <c r="AJ121" s="1246"/>
      <c r="AK121" s="1246"/>
      <c r="AL121" s="1331"/>
      <c r="AM121" s="1245" t="str">
        <f>'PIM Model'!$AH$21</f>
        <v/>
      </c>
      <c r="AN121" s="1246"/>
      <c r="AO121" s="1246"/>
      <c r="AP121" s="1246"/>
      <c r="AQ121" s="1246"/>
      <c r="AR121" s="1246"/>
      <c r="AS121" s="1247"/>
      <c r="BF121" s="144"/>
    </row>
    <row r="122" spans="2:58" x14ac:dyDescent="0.25">
      <c r="B122" s="143"/>
      <c r="D122" s="1319" t="s">
        <v>105</v>
      </c>
      <c r="E122" s="1255"/>
      <c r="F122" s="1255"/>
      <c r="G122" s="1255"/>
      <c r="H122" s="1255"/>
      <c r="I122" s="1255"/>
      <c r="J122" s="1255"/>
      <c r="K122" s="1255"/>
      <c r="L122" s="1255"/>
      <c r="M122" s="1255"/>
      <c r="N122" s="1255"/>
      <c r="O122" s="1255"/>
      <c r="P122" s="1255"/>
      <c r="Q122" s="1255"/>
      <c r="R122" s="1255"/>
      <c r="S122" s="1255"/>
      <c r="T122" s="1320"/>
      <c r="U122" s="1327" t="str">
        <f>IF('PIM Model'!$B$22=0,"",'PIM Model'!$B$22)</f>
        <v/>
      </c>
      <c r="V122" s="1182"/>
      <c r="W122" s="1182"/>
      <c r="X122" s="1182"/>
      <c r="Y122" s="1182"/>
      <c r="Z122" s="1182" t="str">
        <f>'PIM Model'!$AF$22</f>
        <v/>
      </c>
      <c r="AA122" s="1182"/>
      <c r="AB122" s="1182"/>
      <c r="AC122" s="1182"/>
      <c r="AD122" s="1182"/>
      <c r="AE122" s="1182"/>
      <c r="AF122" s="1245" t="str">
        <f>'PIM Model'!$AG$22</f>
        <v/>
      </c>
      <c r="AG122" s="1246"/>
      <c r="AH122" s="1246"/>
      <c r="AI122" s="1246"/>
      <c r="AJ122" s="1246"/>
      <c r="AK122" s="1246"/>
      <c r="AL122" s="1331"/>
      <c r="AM122" s="1245" t="str">
        <f>'PIM Model'!$AH$22</f>
        <v/>
      </c>
      <c r="AN122" s="1246"/>
      <c r="AO122" s="1246"/>
      <c r="AP122" s="1246"/>
      <c r="AQ122" s="1246"/>
      <c r="AR122" s="1246"/>
      <c r="AS122" s="1247"/>
      <c r="BF122" s="144"/>
    </row>
    <row r="123" spans="2:58" x14ac:dyDescent="0.25">
      <c r="B123" s="143"/>
      <c r="D123" s="1319" t="s">
        <v>92</v>
      </c>
      <c r="E123" s="1255"/>
      <c r="F123" s="1255"/>
      <c r="G123" s="1255"/>
      <c r="H123" s="1255"/>
      <c r="I123" s="1255"/>
      <c r="J123" s="1255"/>
      <c r="K123" s="1255"/>
      <c r="L123" s="1255"/>
      <c r="M123" s="1255"/>
      <c r="N123" s="1255"/>
      <c r="O123" s="1255"/>
      <c r="P123" s="1255"/>
      <c r="Q123" s="1255"/>
      <c r="R123" s="1255"/>
      <c r="S123" s="1255"/>
      <c r="T123" s="1320"/>
      <c r="U123" s="1327" t="str">
        <f>IF('PIM Model'!$B$23=0,"",'PIM Model'!$B$23)</f>
        <v/>
      </c>
      <c r="V123" s="1182"/>
      <c r="W123" s="1182"/>
      <c r="X123" s="1182"/>
      <c r="Y123" s="1182"/>
      <c r="Z123" s="1182" t="str">
        <f>'PIM Model'!$AF$23</f>
        <v/>
      </c>
      <c r="AA123" s="1182"/>
      <c r="AB123" s="1182"/>
      <c r="AC123" s="1182"/>
      <c r="AD123" s="1182"/>
      <c r="AE123" s="1182"/>
      <c r="AF123" s="1245" t="str">
        <f>'PIM Model'!$AG$23</f>
        <v/>
      </c>
      <c r="AG123" s="1246"/>
      <c r="AH123" s="1246"/>
      <c r="AI123" s="1246"/>
      <c r="AJ123" s="1246"/>
      <c r="AK123" s="1246"/>
      <c r="AL123" s="1331"/>
      <c r="AM123" s="1245" t="str">
        <f>'PIM Model'!$AH$23</f>
        <v/>
      </c>
      <c r="AN123" s="1246"/>
      <c r="AO123" s="1246"/>
      <c r="AP123" s="1246"/>
      <c r="AQ123" s="1246"/>
      <c r="AR123" s="1246"/>
      <c r="AS123" s="1247"/>
      <c r="BF123" s="144"/>
    </row>
    <row r="124" spans="2:58" x14ac:dyDescent="0.25">
      <c r="B124" s="143"/>
      <c r="D124" s="1319" t="s">
        <v>91</v>
      </c>
      <c r="E124" s="1255"/>
      <c r="F124" s="1255"/>
      <c r="G124" s="1255"/>
      <c r="H124" s="1255"/>
      <c r="I124" s="1255"/>
      <c r="J124" s="1255"/>
      <c r="K124" s="1255"/>
      <c r="L124" s="1255"/>
      <c r="M124" s="1255"/>
      <c r="N124" s="1255"/>
      <c r="O124" s="1255"/>
      <c r="P124" s="1255"/>
      <c r="Q124" s="1255"/>
      <c r="R124" s="1255"/>
      <c r="S124" s="1255"/>
      <c r="T124" s="1320"/>
      <c r="U124" s="1327" t="str">
        <f>IF('PIM Model'!$B$24=0,"",'PIM Model'!$B$24)</f>
        <v/>
      </c>
      <c r="V124" s="1182"/>
      <c r="W124" s="1182"/>
      <c r="X124" s="1182"/>
      <c r="Y124" s="1182"/>
      <c r="Z124" s="1182" t="str">
        <f>'PIM Model'!$AF$24</f>
        <v/>
      </c>
      <c r="AA124" s="1182"/>
      <c r="AB124" s="1182"/>
      <c r="AC124" s="1182"/>
      <c r="AD124" s="1182"/>
      <c r="AE124" s="1182"/>
      <c r="AF124" s="1245" t="str">
        <f>'PIM Model'!$AG$24</f>
        <v/>
      </c>
      <c r="AG124" s="1246"/>
      <c r="AH124" s="1246"/>
      <c r="AI124" s="1246"/>
      <c r="AJ124" s="1246"/>
      <c r="AK124" s="1246"/>
      <c r="AL124" s="1331"/>
      <c r="AM124" s="1245" t="str">
        <f>'PIM Model'!$AH$24</f>
        <v/>
      </c>
      <c r="AN124" s="1246"/>
      <c r="AO124" s="1246"/>
      <c r="AP124" s="1246"/>
      <c r="AQ124" s="1246"/>
      <c r="AR124" s="1246"/>
      <c r="AS124" s="1247"/>
      <c r="BF124" s="144"/>
    </row>
    <row r="125" spans="2:58" x14ac:dyDescent="0.25">
      <c r="B125" s="143"/>
      <c r="D125" s="1319" t="s">
        <v>90</v>
      </c>
      <c r="E125" s="1255"/>
      <c r="F125" s="1255"/>
      <c r="G125" s="1255"/>
      <c r="H125" s="1255"/>
      <c r="I125" s="1255"/>
      <c r="J125" s="1255"/>
      <c r="K125" s="1255"/>
      <c r="L125" s="1255"/>
      <c r="M125" s="1255"/>
      <c r="N125" s="1255"/>
      <c r="O125" s="1255"/>
      <c r="P125" s="1255"/>
      <c r="Q125" s="1255"/>
      <c r="R125" s="1255"/>
      <c r="S125" s="1255"/>
      <c r="T125" s="1320"/>
      <c r="U125" s="1327" t="str">
        <f>IF('PIM Model'!$B$25=0,"",'PIM Model'!$B$25)</f>
        <v/>
      </c>
      <c r="V125" s="1182"/>
      <c r="W125" s="1182"/>
      <c r="X125" s="1182"/>
      <c r="Y125" s="1182"/>
      <c r="Z125" s="1182" t="str">
        <f>'PIM Model'!$AF$25</f>
        <v/>
      </c>
      <c r="AA125" s="1182"/>
      <c r="AB125" s="1182"/>
      <c r="AC125" s="1182"/>
      <c r="AD125" s="1182"/>
      <c r="AE125" s="1182"/>
      <c r="AF125" s="1245" t="str">
        <f>'PIM Model'!$AG$25</f>
        <v/>
      </c>
      <c r="AG125" s="1246"/>
      <c r="AH125" s="1246"/>
      <c r="AI125" s="1246"/>
      <c r="AJ125" s="1246"/>
      <c r="AK125" s="1246"/>
      <c r="AL125" s="1331"/>
      <c r="AM125" s="1245" t="str">
        <f>'PIM Model'!$AH$25</f>
        <v/>
      </c>
      <c r="AN125" s="1246"/>
      <c r="AO125" s="1246"/>
      <c r="AP125" s="1246"/>
      <c r="AQ125" s="1246"/>
      <c r="AR125" s="1246"/>
      <c r="AS125" s="1247"/>
      <c r="BF125" s="144"/>
    </row>
    <row r="126" spans="2:58" x14ac:dyDescent="0.25">
      <c r="B126" s="143"/>
      <c r="D126" s="1319" t="s">
        <v>89</v>
      </c>
      <c r="E126" s="1255"/>
      <c r="F126" s="1255"/>
      <c r="G126" s="1255"/>
      <c r="H126" s="1255"/>
      <c r="I126" s="1255"/>
      <c r="J126" s="1255"/>
      <c r="K126" s="1255"/>
      <c r="L126" s="1255"/>
      <c r="M126" s="1255"/>
      <c r="N126" s="1255"/>
      <c r="O126" s="1255"/>
      <c r="P126" s="1255"/>
      <c r="Q126" s="1255"/>
      <c r="R126" s="1255"/>
      <c r="S126" s="1255"/>
      <c r="T126" s="1320"/>
      <c r="U126" s="1327" t="str">
        <f>IF('PIM Model'!$B$26=0,"",'PIM Model'!$B$26)</f>
        <v/>
      </c>
      <c r="V126" s="1182"/>
      <c r="W126" s="1182"/>
      <c r="X126" s="1182"/>
      <c r="Y126" s="1182"/>
      <c r="Z126" s="1182" t="str">
        <f>'PIM Model'!$AF$26</f>
        <v/>
      </c>
      <c r="AA126" s="1182"/>
      <c r="AB126" s="1182"/>
      <c r="AC126" s="1182"/>
      <c r="AD126" s="1182"/>
      <c r="AE126" s="1182"/>
      <c r="AF126" s="1245" t="str">
        <f>'PIM Model'!$AG$26</f>
        <v/>
      </c>
      <c r="AG126" s="1246"/>
      <c r="AH126" s="1246"/>
      <c r="AI126" s="1246"/>
      <c r="AJ126" s="1246"/>
      <c r="AK126" s="1246"/>
      <c r="AL126" s="1331"/>
      <c r="AM126" s="1245" t="str">
        <f>'PIM Model'!$AH$26</f>
        <v/>
      </c>
      <c r="AN126" s="1246"/>
      <c r="AO126" s="1246"/>
      <c r="AP126" s="1246"/>
      <c r="AQ126" s="1246"/>
      <c r="AR126" s="1246"/>
      <c r="AS126" s="1247"/>
      <c r="BF126" s="144"/>
    </row>
    <row r="127" spans="2:58" x14ac:dyDescent="0.25">
      <c r="B127" s="143"/>
      <c r="D127" s="1319" t="s">
        <v>94</v>
      </c>
      <c r="E127" s="1255"/>
      <c r="F127" s="1255"/>
      <c r="G127" s="1255"/>
      <c r="H127" s="1255"/>
      <c r="I127" s="1255"/>
      <c r="J127" s="1255"/>
      <c r="K127" s="1255"/>
      <c r="L127" s="1255"/>
      <c r="M127" s="1255"/>
      <c r="N127" s="1255"/>
      <c r="O127" s="1255"/>
      <c r="P127" s="1255"/>
      <c r="Q127" s="1255"/>
      <c r="R127" s="1255"/>
      <c r="S127" s="1255"/>
      <c r="T127" s="1320"/>
      <c r="U127" s="1327" t="str">
        <f>IF('PIM Model'!$B$27=0,"",'PIM Model'!$B$27)</f>
        <v/>
      </c>
      <c r="V127" s="1182"/>
      <c r="W127" s="1182"/>
      <c r="X127" s="1182"/>
      <c r="Y127" s="1182"/>
      <c r="Z127" s="1182" t="str">
        <f>'PIM Model'!$AF$27</f>
        <v/>
      </c>
      <c r="AA127" s="1182"/>
      <c r="AB127" s="1182"/>
      <c r="AC127" s="1182"/>
      <c r="AD127" s="1182"/>
      <c r="AE127" s="1182"/>
      <c r="AF127" s="1245" t="str">
        <f>'PIM Model'!$AG$27</f>
        <v/>
      </c>
      <c r="AG127" s="1246"/>
      <c r="AH127" s="1246"/>
      <c r="AI127" s="1246"/>
      <c r="AJ127" s="1246"/>
      <c r="AK127" s="1246"/>
      <c r="AL127" s="1331"/>
      <c r="AM127" s="1245" t="str">
        <f>'PIM Model'!$AH$27</f>
        <v/>
      </c>
      <c r="AN127" s="1246"/>
      <c r="AO127" s="1246"/>
      <c r="AP127" s="1246"/>
      <c r="AQ127" s="1246"/>
      <c r="AR127" s="1246"/>
      <c r="AS127" s="1247"/>
      <c r="BF127" s="144"/>
    </row>
    <row r="128" spans="2:58" x14ac:dyDescent="0.25">
      <c r="B128" s="143"/>
      <c r="D128" s="1319" t="s">
        <v>86</v>
      </c>
      <c r="E128" s="1255"/>
      <c r="F128" s="1255"/>
      <c r="G128" s="1255"/>
      <c r="H128" s="1255"/>
      <c r="I128" s="1255"/>
      <c r="J128" s="1255"/>
      <c r="K128" s="1255"/>
      <c r="L128" s="1255"/>
      <c r="M128" s="1255"/>
      <c r="N128" s="1255"/>
      <c r="O128" s="1255"/>
      <c r="P128" s="1255"/>
      <c r="Q128" s="1255"/>
      <c r="R128" s="1255"/>
      <c r="S128" s="1255"/>
      <c r="T128" s="1320"/>
      <c r="U128" s="1327" t="str">
        <f>IF('PIM Model'!$B$28=0,"",'PIM Model'!$B$28)</f>
        <v/>
      </c>
      <c r="V128" s="1182"/>
      <c r="W128" s="1182"/>
      <c r="X128" s="1182"/>
      <c r="Y128" s="1182"/>
      <c r="Z128" s="1182" t="str">
        <f>'PIM Model'!$AF$28</f>
        <v/>
      </c>
      <c r="AA128" s="1182"/>
      <c r="AB128" s="1182"/>
      <c r="AC128" s="1182"/>
      <c r="AD128" s="1182"/>
      <c r="AE128" s="1182"/>
      <c r="AF128" s="1245" t="str">
        <f>'PIM Model'!$AG$28</f>
        <v/>
      </c>
      <c r="AG128" s="1246"/>
      <c r="AH128" s="1246"/>
      <c r="AI128" s="1246"/>
      <c r="AJ128" s="1246"/>
      <c r="AK128" s="1246"/>
      <c r="AL128" s="1331"/>
      <c r="AM128" s="1245" t="str">
        <f>'PIM Model'!$AH$28</f>
        <v/>
      </c>
      <c r="AN128" s="1246"/>
      <c r="AO128" s="1246"/>
      <c r="AP128" s="1246"/>
      <c r="AQ128" s="1246"/>
      <c r="AR128" s="1246"/>
      <c r="AS128" s="1247"/>
      <c r="BF128" s="144"/>
    </row>
    <row r="129" spans="2:58" x14ac:dyDescent="0.25">
      <c r="B129" s="143"/>
      <c r="D129" s="1319" t="s">
        <v>88</v>
      </c>
      <c r="E129" s="1255"/>
      <c r="F129" s="1255"/>
      <c r="G129" s="1255"/>
      <c r="H129" s="1255"/>
      <c r="I129" s="1255"/>
      <c r="J129" s="1255"/>
      <c r="K129" s="1255"/>
      <c r="L129" s="1255"/>
      <c r="M129" s="1255"/>
      <c r="N129" s="1255"/>
      <c r="O129" s="1255"/>
      <c r="P129" s="1255"/>
      <c r="Q129" s="1255"/>
      <c r="R129" s="1255"/>
      <c r="S129" s="1255"/>
      <c r="T129" s="1320"/>
      <c r="U129" s="1327" t="str">
        <f>IF('PIM Model'!$B$29=0,"",'PIM Model'!$B$29)</f>
        <v/>
      </c>
      <c r="V129" s="1182"/>
      <c r="W129" s="1182"/>
      <c r="X129" s="1182"/>
      <c r="Y129" s="1182"/>
      <c r="Z129" s="1182" t="str">
        <f>'PIM Model'!$AF$29</f>
        <v/>
      </c>
      <c r="AA129" s="1182"/>
      <c r="AB129" s="1182"/>
      <c r="AC129" s="1182"/>
      <c r="AD129" s="1182"/>
      <c r="AE129" s="1182"/>
      <c r="AF129" s="1245" t="str">
        <f>'PIM Model'!$AG$29</f>
        <v/>
      </c>
      <c r="AG129" s="1246"/>
      <c r="AH129" s="1246"/>
      <c r="AI129" s="1246"/>
      <c r="AJ129" s="1246"/>
      <c r="AK129" s="1246"/>
      <c r="AL129" s="1331"/>
      <c r="AM129" s="1245" t="str">
        <f>'PIM Model'!$AH$29</f>
        <v/>
      </c>
      <c r="AN129" s="1246"/>
      <c r="AO129" s="1246"/>
      <c r="AP129" s="1246"/>
      <c r="AQ129" s="1246"/>
      <c r="AR129" s="1246"/>
      <c r="AS129" s="1247"/>
      <c r="BF129" s="144"/>
    </row>
    <row r="130" spans="2:58" ht="15.75" thickBot="1" x14ac:dyDescent="0.3">
      <c r="B130" s="143"/>
      <c r="D130" s="1328" t="s">
        <v>87</v>
      </c>
      <c r="E130" s="1329"/>
      <c r="F130" s="1329"/>
      <c r="G130" s="1329"/>
      <c r="H130" s="1329"/>
      <c r="I130" s="1329"/>
      <c r="J130" s="1329"/>
      <c r="K130" s="1329"/>
      <c r="L130" s="1329"/>
      <c r="M130" s="1329"/>
      <c r="N130" s="1329"/>
      <c r="O130" s="1329"/>
      <c r="P130" s="1329"/>
      <c r="Q130" s="1329"/>
      <c r="R130" s="1329"/>
      <c r="S130" s="1329"/>
      <c r="T130" s="1330"/>
      <c r="U130" s="1324" t="str">
        <f>IF('PIM Model'!$B$30=0,"",'PIM Model'!$B$30)</f>
        <v/>
      </c>
      <c r="V130" s="1325"/>
      <c r="W130" s="1325"/>
      <c r="X130" s="1325"/>
      <c r="Y130" s="1325"/>
      <c r="Z130" s="1325" t="str">
        <f>'PIM Model'!$AF$30</f>
        <v/>
      </c>
      <c r="AA130" s="1325"/>
      <c r="AB130" s="1325"/>
      <c r="AC130" s="1325"/>
      <c r="AD130" s="1325"/>
      <c r="AE130" s="1325"/>
      <c r="AF130" s="1332" t="str">
        <f>'PIM Model'!$AG$30</f>
        <v/>
      </c>
      <c r="AG130" s="1333"/>
      <c r="AH130" s="1333"/>
      <c r="AI130" s="1333"/>
      <c r="AJ130" s="1333"/>
      <c r="AK130" s="1333"/>
      <c r="AL130" s="1347"/>
      <c r="AM130" s="1332" t="str">
        <f>'PIM Model'!$AH$30</f>
        <v/>
      </c>
      <c r="AN130" s="1333"/>
      <c r="AO130" s="1333"/>
      <c r="AP130" s="1333"/>
      <c r="AQ130" s="1333"/>
      <c r="AR130" s="1333"/>
      <c r="AS130" s="1334"/>
      <c r="BF130" s="144"/>
    </row>
    <row r="131" spans="2:58" ht="16.5" thickTop="1" thickBot="1" x14ac:dyDescent="0.3">
      <c r="B131" s="143"/>
      <c r="D131" s="1338" t="s">
        <v>1061</v>
      </c>
      <c r="E131" s="1339"/>
      <c r="F131" s="1339"/>
      <c r="G131" s="1339"/>
      <c r="H131" s="1339"/>
      <c r="I131" s="1339"/>
      <c r="J131" s="1339"/>
      <c r="K131" s="1339"/>
      <c r="L131" s="1339"/>
      <c r="M131" s="1339"/>
      <c r="N131" s="1339"/>
      <c r="O131" s="1339"/>
      <c r="P131" s="1339"/>
      <c r="Q131" s="1339"/>
      <c r="R131" s="1339"/>
      <c r="S131" s="1339"/>
      <c r="T131" s="1340"/>
      <c r="U131" s="1341">
        <f>COUNT($U$110:$Y$130)</f>
        <v>0</v>
      </c>
      <c r="V131" s="1342"/>
      <c r="W131" s="1342"/>
      <c r="X131" s="1342"/>
      <c r="Y131" s="1342"/>
      <c r="Z131" s="1339">
        <f>COUNTIF($Z$110:$AE$130,"ABOVE")+COUNTIF($Z$110:$AE$130,"BELOW")</f>
        <v>0</v>
      </c>
      <c r="AA131" s="1339"/>
      <c r="AB131" s="1339"/>
      <c r="AC131" s="1339"/>
      <c r="AD131" s="1339"/>
      <c r="AE131" s="1339"/>
      <c r="AF131" s="1343"/>
      <c r="AG131" s="1344"/>
      <c r="AH131" s="1344"/>
      <c r="AI131" s="1344"/>
      <c r="AJ131" s="1344"/>
      <c r="AK131" s="1344"/>
      <c r="AL131" s="1345"/>
      <c r="AM131" s="1343"/>
      <c r="AN131" s="1344"/>
      <c r="AO131" s="1344"/>
      <c r="AP131" s="1344"/>
      <c r="AQ131" s="1344"/>
      <c r="AR131" s="1344"/>
      <c r="AS131" s="1346"/>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52" t="s">
        <v>1085</v>
      </c>
      <c r="C2" s="135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50" t="s">
        <v>887</v>
      </c>
      <c r="C6" s="1351"/>
      <c r="D6" s="140"/>
      <c r="E6" s="140"/>
      <c r="F6" s="140"/>
    </row>
    <row r="7" spans="1:6" x14ac:dyDescent="0.25">
      <c r="A7" s="140"/>
      <c r="B7" s="680" t="s">
        <v>880</v>
      </c>
      <c r="C7" s="742" t="s">
        <v>1250</v>
      </c>
      <c r="D7" s="140"/>
      <c r="E7" s="140"/>
      <c r="F7" s="140"/>
    </row>
    <row r="8" spans="1:6" x14ac:dyDescent="0.25">
      <c r="A8" s="140"/>
      <c r="B8" s="680" t="s">
        <v>881</v>
      </c>
      <c r="C8" s="742" t="s">
        <v>681</v>
      </c>
      <c r="D8" s="140"/>
      <c r="E8" s="140"/>
      <c r="F8" s="140"/>
    </row>
    <row r="9" spans="1:6" x14ac:dyDescent="0.25">
      <c r="A9" s="140"/>
      <c r="B9" s="680" t="s">
        <v>885</v>
      </c>
      <c r="C9" s="742">
        <f>'MDA Worksheet'!$K$10</f>
        <v>0</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50" t="s">
        <v>888</v>
      </c>
      <c r="C13" s="135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65" bestFit="1" customWidth="1"/>
    <col min="3" max="3" width="28" style="865" bestFit="1" customWidth="1"/>
    <col min="4" max="4" width="10.85546875" bestFit="1" customWidth="1"/>
    <col min="5" max="5" width="15.85546875" bestFit="1" customWidth="1"/>
  </cols>
  <sheetData>
    <row r="1" spans="1:5" x14ac:dyDescent="0.25">
      <c r="A1" s="865" t="s">
        <v>1230</v>
      </c>
      <c r="B1" s="865" t="s">
        <v>1233</v>
      </c>
      <c r="C1" s="865" t="s">
        <v>1234</v>
      </c>
      <c r="D1" s="22" t="s">
        <v>1231</v>
      </c>
      <c r="E1" s="22" t="s">
        <v>1232</v>
      </c>
    </row>
    <row r="2" spans="1:5" x14ac:dyDescent="0.25">
      <c r="A2" s="865" t="s">
        <v>193</v>
      </c>
      <c r="B2" s="865">
        <v>2020</v>
      </c>
      <c r="C2" s="865" t="s">
        <v>927</v>
      </c>
      <c r="D2" s="22">
        <v>2.7739631938930701E-2</v>
      </c>
      <c r="E2" s="22">
        <v>2.7125016276518699E-2</v>
      </c>
    </row>
    <row r="3" spans="1:5" x14ac:dyDescent="0.25">
      <c r="A3" s="865" t="s">
        <v>192</v>
      </c>
      <c r="B3" s="865">
        <v>2180</v>
      </c>
      <c r="C3" s="865" t="s">
        <v>79</v>
      </c>
      <c r="D3" s="22">
        <v>2.8536064274713099E-2</v>
      </c>
      <c r="E3" s="22">
        <v>2.7125016276518699E-2</v>
      </c>
    </row>
    <row r="4" spans="1:5" x14ac:dyDescent="0.25">
      <c r="A4" s="865" t="s">
        <v>191</v>
      </c>
      <c r="B4" s="865">
        <v>2160</v>
      </c>
      <c r="C4" s="865" t="s">
        <v>28</v>
      </c>
      <c r="D4" s="22">
        <v>3.1885529773458002E-2</v>
      </c>
      <c r="E4" s="22">
        <v>2.7125016276518699E-2</v>
      </c>
    </row>
    <row r="5" spans="1:5" x14ac:dyDescent="0.25">
      <c r="A5" s="865" t="s">
        <v>190</v>
      </c>
      <c r="B5" s="865">
        <v>2110</v>
      </c>
      <c r="C5" s="865" t="s">
        <v>33</v>
      </c>
      <c r="D5" s="22">
        <v>2.82674148233787E-2</v>
      </c>
      <c r="E5" s="22">
        <v>2.7125016276518699E-2</v>
      </c>
    </row>
    <row r="6" spans="1:5" x14ac:dyDescent="0.25">
      <c r="A6" s="865" t="s">
        <v>189</v>
      </c>
      <c r="B6" s="865">
        <v>2165</v>
      </c>
      <c r="C6" s="865" t="s">
        <v>81</v>
      </c>
      <c r="D6" s="22">
        <v>2.7125016276518699E-2</v>
      </c>
      <c r="E6" s="22">
        <v>2.7125016276518699E-2</v>
      </c>
    </row>
    <row r="7" spans="1:5" x14ac:dyDescent="0.25">
      <c r="A7" s="865" t="s">
        <v>188</v>
      </c>
      <c r="B7" s="865">
        <v>2170</v>
      </c>
      <c r="C7" s="865" t="s">
        <v>122</v>
      </c>
      <c r="D7" s="22">
        <v>2.59925926894349E-2</v>
      </c>
      <c r="E7" s="22">
        <v>2.7125016276518699E-2</v>
      </c>
    </row>
    <row r="8" spans="1:5" x14ac:dyDescent="0.25">
      <c r="A8" s="865" t="s">
        <v>187</v>
      </c>
      <c r="B8" s="865">
        <v>2148</v>
      </c>
      <c r="C8" s="865" t="s">
        <v>64</v>
      </c>
      <c r="D8" s="22">
        <v>2.6095112304206601E-2</v>
      </c>
      <c r="E8" s="22">
        <v>2.7125016276518699E-2</v>
      </c>
    </row>
    <row r="9" spans="1:5" x14ac:dyDescent="0.25">
      <c r="A9" s="865" t="s">
        <v>186</v>
      </c>
      <c r="B9" s="865">
        <v>2190</v>
      </c>
      <c r="C9" s="865" t="s">
        <v>19</v>
      </c>
      <c r="D9" s="22">
        <v>2.81140048372523E-2</v>
      </c>
      <c r="E9" s="22">
        <v>2.7125016276518699E-2</v>
      </c>
    </row>
    <row r="10" spans="1:5" x14ac:dyDescent="0.25">
      <c r="A10" s="865" t="s">
        <v>185</v>
      </c>
      <c r="B10" s="865">
        <v>2116</v>
      </c>
      <c r="C10" s="865" t="s">
        <v>59</v>
      </c>
      <c r="D10" s="22">
        <v>2.9944763320575302E-2</v>
      </c>
      <c r="E10" s="22">
        <v>2.7125016276518699E-2</v>
      </c>
    </row>
    <row r="11" spans="1:5" x14ac:dyDescent="0.25">
      <c r="A11" s="865" t="s">
        <v>184</v>
      </c>
      <c r="B11" s="865">
        <v>248</v>
      </c>
      <c r="C11" s="865" t="s">
        <v>1111</v>
      </c>
      <c r="D11" s="22">
        <v>2.6464657930859201E-2</v>
      </c>
      <c r="E11" s="22">
        <v>2.7125016276518699E-2</v>
      </c>
    </row>
    <row r="12" spans="1:5" x14ac:dyDescent="0.25">
      <c r="A12" s="865" t="s">
        <v>182</v>
      </c>
      <c r="B12" s="865">
        <v>2350</v>
      </c>
      <c r="C12" s="865" t="s">
        <v>39</v>
      </c>
      <c r="D12" s="22">
        <v>2.9415639585766401E-2</v>
      </c>
      <c r="E12" s="22">
        <v>2.7125016276518699E-2</v>
      </c>
    </row>
    <row r="13" spans="1:5" x14ac:dyDescent="0.25">
      <c r="A13" s="865" t="s">
        <v>181</v>
      </c>
      <c r="B13" s="865">
        <v>2345</v>
      </c>
      <c r="C13" s="865" t="s">
        <v>928</v>
      </c>
      <c r="D13" s="22">
        <v>2.6962706679612598E-2</v>
      </c>
      <c r="E13" s="22">
        <v>2.7125016276518699E-2</v>
      </c>
    </row>
    <row r="14" spans="1:5" x14ac:dyDescent="0.25">
      <c r="A14" s="865" t="s">
        <v>180</v>
      </c>
      <c r="B14" s="865">
        <v>2330</v>
      </c>
      <c r="C14" s="865" t="s">
        <v>31</v>
      </c>
      <c r="D14" s="22">
        <v>2.6792509343913602E-2</v>
      </c>
      <c r="E14" s="22">
        <v>2.7125016276518699E-2</v>
      </c>
    </row>
    <row r="15" spans="1:5" x14ac:dyDescent="0.25">
      <c r="A15" s="865" t="s">
        <v>179</v>
      </c>
      <c r="B15" s="865">
        <v>2340</v>
      </c>
      <c r="C15" s="865" t="s">
        <v>929</v>
      </c>
      <c r="D15" s="22">
        <v>2.53908115053765E-2</v>
      </c>
      <c r="E15" s="22">
        <v>2.7125016276518699E-2</v>
      </c>
    </row>
    <row r="16" spans="1:5" x14ac:dyDescent="0.25">
      <c r="A16" s="865" t="s">
        <v>178</v>
      </c>
      <c r="B16" s="865">
        <v>4100</v>
      </c>
      <c r="C16" s="865" t="s">
        <v>52</v>
      </c>
      <c r="D16" s="22">
        <v>2.9901342297929501E-2</v>
      </c>
      <c r="E16" s="22">
        <v>2.7125016276518699E-2</v>
      </c>
    </row>
    <row r="17" spans="1:5" x14ac:dyDescent="0.25">
      <c r="A17" s="865" t="s">
        <v>1126</v>
      </c>
      <c r="B17" s="865">
        <v>2355</v>
      </c>
      <c r="C17" s="865" t="s">
        <v>1127</v>
      </c>
      <c r="D17" s="22">
        <v>3.4605844000615303E-2</v>
      </c>
      <c r="E17" s="22">
        <v>2.7125016276518699E-2</v>
      </c>
    </row>
    <row r="18" spans="1:5" x14ac:dyDescent="0.25">
      <c r="A18" s="865" t="s">
        <v>177</v>
      </c>
      <c r="B18" s="865">
        <v>1054</v>
      </c>
      <c r="C18" s="865" t="s">
        <v>46</v>
      </c>
      <c r="D18" s="22">
        <v>2.8511953382644999E-2</v>
      </c>
      <c r="E18" s="22">
        <v>2.7125016276518699E-2</v>
      </c>
    </row>
    <row r="19" spans="1:5" x14ac:dyDescent="0.25">
      <c r="A19" s="865" t="s">
        <v>176</v>
      </c>
      <c r="B19" s="865">
        <v>1103</v>
      </c>
      <c r="C19" s="865" t="s">
        <v>22</v>
      </c>
      <c r="D19" s="22">
        <v>3.0860519002866901E-2</v>
      </c>
      <c r="E19" s="22">
        <v>2.7125016276518699E-2</v>
      </c>
    </row>
    <row r="20" spans="1:5" x14ac:dyDescent="0.25">
      <c r="A20" s="865" t="s">
        <v>175</v>
      </c>
      <c r="B20" s="865">
        <v>2099</v>
      </c>
      <c r="C20" s="865" t="s">
        <v>58</v>
      </c>
      <c r="D20" s="22">
        <v>2.5143112075853E-2</v>
      </c>
      <c r="E20" s="22">
        <v>2.7125016276518699E-2</v>
      </c>
    </row>
    <row r="21" spans="1:5" x14ac:dyDescent="0.25">
      <c r="A21" s="865" t="s">
        <v>174</v>
      </c>
      <c r="B21" s="865">
        <v>1104</v>
      </c>
      <c r="C21" s="865" t="s">
        <v>43</v>
      </c>
      <c r="D21" s="22">
        <v>2.9510551954597099E-2</v>
      </c>
      <c r="E21" s="22">
        <v>2.7125016276518699E-2</v>
      </c>
    </row>
    <row r="22" spans="1:5" x14ac:dyDescent="0.25">
      <c r="A22" s="865" t="s">
        <v>173</v>
      </c>
      <c r="B22" s="865">
        <v>4120</v>
      </c>
      <c r="C22" s="865" t="s">
        <v>63</v>
      </c>
      <c r="D22" s="22">
        <v>2.78821251138664E-2</v>
      </c>
      <c r="E22" s="22">
        <v>2.7125016276518699E-2</v>
      </c>
    </row>
    <row r="23" spans="1:5" x14ac:dyDescent="0.25">
      <c r="A23" s="865" t="s">
        <v>172</v>
      </c>
      <c r="B23" s="865">
        <v>4118</v>
      </c>
      <c r="C23" s="865" t="s">
        <v>30</v>
      </c>
      <c r="D23" s="22">
        <v>2.7490429003036599E-2</v>
      </c>
      <c r="E23" s="22">
        <v>2.7125016276518699E-2</v>
      </c>
    </row>
    <row r="24" spans="1:5" x14ac:dyDescent="0.25">
      <c r="A24" s="865" t="s">
        <v>171</v>
      </c>
      <c r="B24" s="865">
        <v>4146</v>
      </c>
      <c r="C24" s="865" t="s">
        <v>54</v>
      </c>
      <c r="D24" s="22">
        <v>2.6943630265373199E-2</v>
      </c>
      <c r="E24" s="22">
        <v>2.7125016276518699E-2</v>
      </c>
    </row>
    <row r="25" spans="1:5" x14ac:dyDescent="0.25">
      <c r="A25" s="865" t="s">
        <v>170</v>
      </c>
      <c r="B25" s="865">
        <v>4140</v>
      </c>
      <c r="C25" s="865" t="s">
        <v>40</v>
      </c>
      <c r="D25" s="22">
        <v>2.67651154233217E-2</v>
      </c>
      <c r="E25" s="22">
        <v>2.7125016276518699E-2</v>
      </c>
    </row>
    <row r="26" spans="1:5" x14ac:dyDescent="0.25">
      <c r="A26" s="865" t="s">
        <v>169</v>
      </c>
      <c r="B26" s="865">
        <v>4117</v>
      </c>
      <c r="C26" s="865" t="s">
        <v>17</v>
      </c>
      <c r="D26" s="22">
        <v>2.6616857866198201E-2</v>
      </c>
      <c r="E26" s="22">
        <v>2.7125016276518699E-2</v>
      </c>
    </row>
    <row r="27" spans="1:5" x14ac:dyDescent="0.25">
      <c r="A27" s="865" t="s">
        <v>168</v>
      </c>
      <c r="B27" s="865">
        <v>4147</v>
      </c>
      <c r="C27" s="865" t="s">
        <v>1271</v>
      </c>
      <c r="D27" s="22">
        <v>2.9100000000000001E-2</v>
      </c>
      <c r="E27" s="22">
        <v>2.7125016276518699E-2</v>
      </c>
    </row>
    <row r="28" spans="1:5" x14ac:dyDescent="0.25">
      <c r="A28" s="865" t="s">
        <v>167</v>
      </c>
      <c r="B28" s="865">
        <v>4110</v>
      </c>
      <c r="C28" s="865" t="s">
        <v>73</v>
      </c>
      <c r="D28" s="22">
        <v>2.65128206477999E-2</v>
      </c>
      <c r="E28" s="22">
        <v>2.7125016276518699E-2</v>
      </c>
    </row>
    <row r="29" spans="1:5" x14ac:dyDescent="0.25">
      <c r="A29" s="865" t="s">
        <v>166</v>
      </c>
      <c r="B29" s="865">
        <v>4150</v>
      </c>
      <c r="C29" s="865" t="s">
        <v>55</v>
      </c>
      <c r="D29" s="22">
        <v>2.3355361617324301E-2</v>
      </c>
      <c r="E29" s="22">
        <v>2.7125016276518699E-2</v>
      </c>
    </row>
    <row r="30" spans="1:5" x14ac:dyDescent="0.25">
      <c r="A30" s="865" t="s">
        <v>165</v>
      </c>
      <c r="B30" s="865">
        <v>3190</v>
      </c>
      <c r="C30" s="865" t="s">
        <v>27</v>
      </c>
      <c r="D30" s="22">
        <v>2.8324561503501499E-2</v>
      </c>
      <c r="E30" s="22">
        <v>2.7125016276518699E-2</v>
      </c>
    </row>
    <row r="31" spans="1:5" x14ac:dyDescent="0.25">
      <c r="A31" s="865" t="s">
        <v>164</v>
      </c>
      <c r="B31" s="865">
        <v>2260</v>
      </c>
      <c r="C31" s="865" t="s">
        <v>10</v>
      </c>
      <c r="D31" s="22">
        <v>2.59598075038967E-2</v>
      </c>
      <c r="E31" s="22">
        <v>2.7125016276518699E-2</v>
      </c>
    </row>
    <row r="32" spans="1:5" x14ac:dyDescent="0.25">
      <c r="A32" s="865" t="s">
        <v>163</v>
      </c>
      <c r="B32" s="865">
        <v>2210</v>
      </c>
      <c r="C32" s="865" t="s">
        <v>121</v>
      </c>
      <c r="D32" s="22">
        <v>2.3893251208070801E-2</v>
      </c>
      <c r="E32" s="22">
        <v>2.7125016276518699E-2</v>
      </c>
    </row>
    <row r="33" spans="1:5" x14ac:dyDescent="0.25">
      <c r="A33" s="865" t="s">
        <v>162</v>
      </c>
      <c r="B33" s="865">
        <v>2240</v>
      </c>
      <c r="C33" s="865" t="s">
        <v>16</v>
      </c>
      <c r="D33" s="22">
        <v>2.74803575467139E-2</v>
      </c>
      <c r="E33" s="22">
        <v>2.7125016276518699E-2</v>
      </c>
    </row>
    <row r="34" spans="1:5" x14ac:dyDescent="0.25">
      <c r="A34" s="865" t="s">
        <v>161</v>
      </c>
      <c r="B34" s="865">
        <v>2220</v>
      </c>
      <c r="C34" s="865" t="s">
        <v>5</v>
      </c>
      <c r="D34" s="22">
        <v>2.5343147655549899E-2</v>
      </c>
      <c r="E34" s="22">
        <v>2.7125016276518699E-2</v>
      </c>
    </row>
    <row r="35" spans="1:5" x14ac:dyDescent="0.25">
      <c r="A35" s="865" t="s">
        <v>160</v>
      </c>
      <c r="B35" s="865">
        <v>2125</v>
      </c>
      <c r="C35" s="865" t="s">
        <v>21</v>
      </c>
      <c r="D35" s="22">
        <v>2.6682633749483799E-2</v>
      </c>
      <c r="E35" s="22">
        <v>2.7125016276518699E-2</v>
      </c>
    </row>
    <row r="36" spans="1:5" x14ac:dyDescent="0.25">
      <c r="A36" s="865" t="s">
        <v>159</v>
      </c>
      <c r="B36" s="865">
        <v>2230</v>
      </c>
      <c r="C36" s="865" t="s">
        <v>49</v>
      </c>
      <c r="D36" s="22">
        <v>2.67508594907159E-2</v>
      </c>
      <c r="E36" s="22">
        <v>2.7125016276518699E-2</v>
      </c>
    </row>
    <row r="37" spans="1:5" x14ac:dyDescent="0.25">
      <c r="A37" s="865" t="s">
        <v>158</v>
      </c>
      <c r="B37" s="865">
        <v>3055</v>
      </c>
      <c r="C37" s="865" t="s">
        <v>7</v>
      </c>
      <c r="D37" s="22">
        <v>2.2915815988E-2</v>
      </c>
      <c r="E37" s="22">
        <v>2.7125016276518699E-2</v>
      </c>
    </row>
    <row r="38" spans="1:5" x14ac:dyDescent="0.25">
      <c r="A38" s="865" t="s">
        <v>1128</v>
      </c>
      <c r="B38" s="865">
        <v>2365</v>
      </c>
      <c r="C38" s="865" t="s">
        <v>1129</v>
      </c>
      <c r="D38" s="22">
        <v>2.87892046246566E-2</v>
      </c>
      <c r="E38" s="22">
        <v>2.7125016276518699E-2</v>
      </c>
    </row>
    <row r="39" spans="1:5" x14ac:dyDescent="0.25">
      <c r="A39" s="865" t="s">
        <v>157</v>
      </c>
      <c r="B39" s="865">
        <v>2250</v>
      </c>
      <c r="C39" s="865" t="s">
        <v>32</v>
      </c>
      <c r="D39" s="22">
        <v>2.5661957357599401E-2</v>
      </c>
      <c r="E39" s="22">
        <v>2.7125016276518699E-2</v>
      </c>
    </row>
    <row r="40" spans="1:5" x14ac:dyDescent="0.25">
      <c r="A40" s="865" t="s">
        <v>156</v>
      </c>
      <c r="B40" s="865">
        <v>3051</v>
      </c>
      <c r="C40" s="865" t="s">
        <v>76</v>
      </c>
      <c r="D40" s="22">
        <v>2.9814972600597098E-2</v>
      </c>
      <c r="E40" s="22">
        <v>2.7125016276518699E-2</v>
      </c>
    </row>
    <row r="41" spans="1:5" x14ac:dyDescent="0.25">
      <c r="A41" s="865" t="s">
        <v>155</v>
      </c>
      <c r="B41" s="865">
        <v>2370</v>
      </c>
      <c r="C41" s="865" t="s">
        <v>77</v>
      </c>
      <c r="D41" s="22">
        <v>2.35030648067363E-2</v>
      </c>
      <c r="E41" s="22">
        <v>2.7125016276518699E-2</v>
      </c>
    </row>
    <row r="42" spans="1:5" x14ac:dyDescent="0.25">
      <c r="A42" s="865" t="s">
        <v>154</v>
      </c>
      <c r="B42" s="865">
        <v>2135</v>
      </c>
      <c r="C42" s="865" t="s">
        <v>25</v>
      </c>
      <c r="D42" s="22">
        <v>2.6421829910205499E-2</v>
      </c>
      <c r="E42" s="22">
        <v>2.7125016276518699E-2</v>
      </c>
    </row>
    <row r="43" spans="1:5" x14ac:dyDescent="0.25">
      <c r="A43" s="865" t="s">
        <v>153</v>
      </c>
      <c r="B43" s="865">
        <v>2270</v>
      </c>
      <c r="C43" s="865" t="s">
        <v>2</v>
      </c>
      <c r="D43" s="22">
        <v>2.3666354884089899E-2</v>
      </c>
      <c r="E43" s="22">
        <v>2.7125016276518699E-2</v>
      </c>
    </row>
    <row r="44" spans="1:5" x14ac:dyDescent="0.25">
      <c r="A44" s="865" t="s">
        <v>152</v>
      </c>
      <c r="B44" s="865">
        <v>3230</v>
      </c>
      <c r="C44" s="865" t="s">
        <v>37</v>
      </c>
      <c r="D44" s="22">
        <v>2.6730080332460899E-2</v>
      </c>
      <c r="E44" s="22">
        <v>2.7125016276518699E-2</v>
      </c>
    </row>
    <row r="45" spans="1:5" x14ac:dyDescent="0.25">
      <c r="A45" s="865" t="s">
        <v>151</v>
      </c>
      <c r="B45" s="865">
        <v>3170</v>
      </c>
      <c r="C45" s="865" t="s">
        <v>24</v>
      </c>
      <c r="D45" s="22">
        <v>2.7054357310372E-2</v>
      </c>
      <c r="E45" s="22">
        <v>2.7125016276518699E-2</v>
      </c>
    </row>
    <row r="46" spans="1:5" x14ac:dyDescent="0.25">
      <c r="A46" s="865" t="s">
        <v>150</v>
      </c>
      <c r="B46" s="865">
        <v>3120</v>
      </c>
      <c r="C46" s="865" t="s">
        <v>68</v>
      </c>
      <c r="D46" s="22">
        <v>2.6123399008142499E-2</v>
      </c>
      <c r="E46" s="22">
        <v>2.7125016276518699E-2</v>
      </c>
    </row>
    <row r="47" spans="1:5" x14ac:dyDescent="0.25">
      <c r="A47" s="865" t="s">
        <v>149</v>
      </c>
      <c r="B47" s="865">
        <v>3186</v>
      </c>
      <c r="C47" s="865" t="s">
        <v>65</v>
      </c>
      <c r="D47" s="22">
        <v>2.8135776475119102E-2</v>
      </c>
      <c r="E47" s="22">
        <v>2.7125016276518699E-2</v>
      </c>
    </row>
    <row r="48" spans="1:5" x14ac:dyDescent="0.25">
      <c r="A48" s="865" t="s">
        <v>148</v>
      </c>
      <c r="B48" s="865">
        <v>3160</v>
      </c>
      <c r="C48" s="865" t="s">
        <v>50</v>
      </c>
      <c r="D48" s="22">
        <v>2.8067018330258899E-2</v>
      </c>
      <c r="E48" s="22">
        <v>2.7125016276518699E-2</v>
      </c>
    </row>
    <row r="49" spans="1:5" x14ac:dyDescent="0.25">
      <c r="A49" s="865" t="s">
        <v>147</v>
      </c>
      <c r="B49" s="865">
        <v>3150</v>
      </c>
      <c r="C49" s="865" t="s">
        <v>26</v>
      </c>
      <c r="D49" s="22">
        <v>2.6046662387047999E-2</v>
      </c>
      <c r="E49" s="22">
        <v>2.7125016276518699E-2</v>
      </c>
    </row>
    <row r="50" spans="1:5" x14ac:dyDescent="0.25">
      <c r="A50" s="865" t="s">
        <v>146</v>
      </c>
      <c r="B50" s="865">
        <v>3126</v>
      </c>
      <c r="C50" s="865" t="s">
        <v>80</v>
      </c>
      <c r="D50" s="22">
        <v>2.4500408399063801E-2</v>
      </c>
      <c r="E50" s="22">
        <v>2.7125016276518699E-2</v>
      </c>
    </row>
    <row r="51" spans="1:5" x14ac:dyDescent="0.25">
      <c r="A51" s="865" t="s">
        <v>145</v>
      </c>
      <c r="B51" s="865">
        <v>3023</v>
      </c>
      <c r="C51" s="865" t="s">
        <v>42</v>
      </c>
      <c r="D51" s="22">
        <v>2.72264414110285E-2</v>
      </c>
      <c r="E51" s="22">
        <v>2.7125016276518699E-2</v>
      </c>
    </row>
    <row r="52" spans="1:5" x14ac:dyDescent="0.25">
      <c r="A52" s="865" t="s">
        <v>144</v>
      </c>
      <c r="B52" s="865">
        <v>2185</v>
      </c>
      <c r="C52" s="865" t="s">
        <v>53</v>
      </c>
      <c r="D52" s="22">
        <v>2.59344882196802E-2</v>
      </c>
      <c r="E52" s="22">
        <v>2.7125016276518699E-2</v>
      </c>
    </row>
    <row r="53" spans="1:5" x14ac:dyDescent="0.25">
      <c r="A53" s="865" t="s">
        <v>143</v>
      </c>
      <c r="B53" s="865">
        <v>1106</v>
      </c>
      <c r="C53" s="865" t="s">
        <v>67</v>
      </c>
      <c r="D53" s="22">
        <v>2.8050323067163201E-2</v>
      </c>
      <c r="E53" s="22">
        <v>2.7125016276518699E-2</v>
      </c>
    </row>
    <row r="54" spans="1:5" x14ac:dyDescent="0.25">
      <c r="A54" s="865" t="s">
        <v>142</v>
      </c>
      <c r="B54" s="865">
        <v>3135</v>
      </c>
      <c r="C54" s="865" t="s">
        <v>29</v>
      </c>
      <c r="D54" s="22">
        <v>2.16945751008298E-2</v>
      </c>
      <c r="E54" s="22">
        <v>2.7125016276518699E-2</v>
      </c>
    </row>
    <row r="55" spans="1:5" x14ac:dyDescent="0.25">
      <c r="A55" s="865" t="s">
        <v>385</v>
      </c>
      <c r="B55" s="865">
        <v>3139</v>
      </c>
      <c r="C55" s="865" t="s">
        <v>250</v>
      </c>
      <c r="D55" s="22">
        <v>2.8207940601015499E-2</v>
      </c>
      <c r="E55" s="22">
        <v>2.7125016276518699E-2</v>
      </c>
    </row>
    <row r="56" spans="1:5" x14ac:dyDescent="0.25">
      <c r="A56" s="865" t="s">
        <v>141</v>
      </c>
      <c r="B56" s="865">
        <v>3147</v>
      </c>
      <c r="C56" s="865" t="s">
        <v>51</v>
      </c>
      <c r="D56" s="22">
        <v>2.5867145176892099E-2</v>
      </c>
      <c r="E56" s="22">
        <v>2.7125016276518699E-2</v>
      </c>
    </row>
    <row r="57" spans="1:5" x14ac:dyDescent="0.25">
      <c r="A57" s="865" t="s">
        <v>140</v>
      </c>
      <c r="B57" s="865">
        <v>3210</v>
      </c>
      <c r="C57" s="865" t="s">
        <v>47</v>
      </c>
      <c r="D57" s="22">
        <v>2.74445239361195E-2</v>
      </c>
      <c r="E57" s="22">
        <v>2.7125016276518699E-2</v>
      </c>
    </row>
    <row r="58" spans="1:5" x14ac:dyDescent="0.25">
      <c r="A58" s="865" t="s">
        <v>139</v>
      </c>
      <c r="B58" s="865">
        <v>1933</v>
      </c>
      <c r="C58" s="865" t="s">
        <v>56</v>
      </c>
      <c r="D58" s="22">
        <v>2.4213377365114599E-2</v>
      </c>
      <c r="E58" s="22">
        <v>2.7125016276518699E-2</v>
      </c>
    </row>
    <row r="59" spans="1:5" x14ac:dyDescent="0.25">
      <c r="A59" s="865" t="s">
        <v>138</v>
      </c>
      <c r="B59" s="865">
        <v>2140</v>
      </c>
      <c r="C59" s="865" t="s">
        <v>12</v>
      </c>
      <c r="D59" s="22">
        <v>2.7858540698883199E-2</v>
      </c>
      <c r="E59" s="22">
        <v>2.7125016276518699E-2</v>
      </c>
    </row>
    <row r="60" spans="1:5" x14ac:dyDescent="0.25">
      <c r="A60" s="865" t="s">
        <v>137</v>
      </c>
      <c r="B60" s="865">
        <v>3103</v>
      </c>
      <c r="C60" s="865" t="s">
        <v>57</v>
      </c>
      <c r="D60" s="22">
        <v>2.4165289961531701E-2</v>
      </c>
      <c r="E60" s="22">
        <v>2.7125016276518699E-2</v>
      </c>
    </row>
    <row r="61" spans="1:5" x14ac:dyDescent="0.25">
      <c r="A61" s="865" t="s">
        <v>136</v>
      </c>
      <c r="B61" s="865">
        <v>2360</v>
      </c>
      <c r="C61" s="865" t="s">
        <v>72</v>
      </c>
      <c r="D61" s="22">
        <v>2.4943884894722299E-2</v>
      </c>
      <c r="E61" s="22">
        <v>2.7125016276518699E-2</v>
      </c>
    </row>
    <row r="62" spans="1:5" s="944" customFormat="1" x14ac:dyDescent="0.25">
      <c r="A62" s="944" t="s">
        <v>1269</v>
      </c>
      <c r="B62" s="944">
        <v>4170</v>
      </c>
      <c r="C62" s="944" t="s">
        <v>1270</v>
      </c>
      <c r="D62" s="22">
        <v>2.8799999999999999E-2</v>
      </c>
      <c r="E62" s="22">
        <v>2.7125016276518699E-2</v>
      </c>
    </row>
    <row r="63" spans="1:5" x14ac:dyDescent="0.25">
      <c r="A63" s="865" t="s">
        <v>134</v>
      </c>
      <c r="B63" s="865">
        <v>3220</v>
      </c>
      <c r="C63" s="865" t="s">
        <v>44</v>
      </c>
      <c r="D63" s="22">
        <v>2.5893581162679601E-2</v>
      </c>
      <c r="E63" s="22">
        <v>2.7125016276518699E-2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800" bestFit="1" customWidth="1"/>
    <col min="2" max="2" width="31.42578125" style="800" bestFit="1" customWidth="1"/>
    <col min="3" max="16384" width="9.140625" style="800"/>
  </cols>
  <sheetData>
    <row r="1" spans="1:2" x14ac:dyDescent="0.25">
      <c r="A1" s="802" t="s">
        <v>1118</v>
      </c>
      <c r="B1" s="802" t="s">
        <v>1117</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6" bestFit="1" customWidth="1"/>
    <col min="2" max="2" width="31.42578125" style="806" bestFit="1" customWidth="1"/>
    <col min="3" max="16384" width="9.140625" style="806"/>
  </cols>
  <sheetData>
    <row r="1" spans="1:4" x14ac:dyDescent="0.25">
      <c r="A1" s="802" t="s">
        <v>1118</v>
      </c>
      <c r="B1" s="802" t="s">
        <v>1117</v>
      </c>
      <c r="C1" s="806" t="s">
        <v>1113</v>
      </c>
      <c r="D1" s="806" t="s">
        <v>1114</v>
      </c>
    </row>
  </sheetData>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RowHeight="15" x14ac:dyDescent="0.25"/>
  <cols>
    <col min="1" max="1" width="10.28515625" style="1025" bestFit="1" customWidth="1"/>
    <col min="2" max="2" width="31.85546875" style="1025" bestFit="1" customWidth="1"/>
    <col min="3" max="3" width="31.7109375" style="1025" bestFit="1" customWidth="1"/>
    <col min="4" max="4" width="29.140625" style="1025" bestFit="1" customWidth="1"/>
    <col min="5" max="5" width="16" style="1025" bestFit="1" customWidth="1"/>
    <col min="6" max="7" width="53.28515625" style="1025" bestFit="1" customWidth="1"/>
    <col min="8" max="8" width="42.42578125" style="1025" bestFit="1" customWidth="1"/>
    <col min="9" max="9" width="10" style="1025" bestFit="1" customWidth="1"/>
    <col min="10" max="10" width="6.7109375" style="1025" bestFit="1" customWidth="1"/>
    <col min="11" max="11" width="14.7109375" style="1025" bestFit="1" customWidth="1"/>
    <col min="12" max="12" width="15.85546875" style="1025" bestFit="1" customWidth="1"/>
    <col min="13" max="13" width="18.85546875" style="1025" bestFit="1" customWidth="1"/>
    <col min="14" max="14" width="24.42578125" style="1025" bestFit="1" customWidth="1"/>
    <col min="15" max="15" width="10" style="1025" bestFit="1" customWidth="1"/>
    <col min="16" max="16" width="27" style="1025" bestFit="1" customWidth="1"/>
    <col min="17" max="17" width="29.140625" style="1025" bestFit="1" customWidth="1"/>
    <col min="18" max="18" width="17" style="1025" bestFit="1" customWidth="1"/>
    <col min="19" max="19" width="24.5703125" style="1025" bestFit="1" customWidth="1"/>
    <col min="20" max="20" width="36.28515625" style="1025" bestFit="1" customWidth="1"/>
    <col min="21" max="21" width="37.42578125" style="1025" bestFit="1" customWidth="1"/>
    <col min="22" max="22" width="9" style="1025" bestFit="1" customWidth="1"/>
    <col min="23" max="23" width="24.140625" style="1025" bestFit="1" customWidth="1"/>
    <col min="24" max="24" width="6.28515625" style="1025" bestFit="1" customWidth="1"/>
    <col min="25" max="25" width="28.5703125" style="1025" bestFit="1" customWidth="1"/>
    <col min="26" max="26" width="23.85546875" style="1025" bestFit="1" customWidth="1"/>
    <col min="27" max="27" width="16.42578125" style="1025" bestFit="1" customWidth="1"/>
    <col min="28" max="28" width="10.5703125" style="1025" bestFit="1" customWidth="1"/>
    <col min="29" max="29" width="27" style="1025" bestFit="1" customWidth="1"/>
    <col min="30" max="16384" width="9.140625" style="1025"/>
  </cols>
  <sheetData>
    <row r="1" spans="1:29" x14ac:dyDescent="0.25">
      <c r="A1" s="802" t="s">
        <v>1118</v>
      </c>
      <c r="B1" s="802" t="s">
        <v>1117</v>
      </c>
      <c r="C1" s="802" t="s">
        <v>1142</v>
      </c>
      <c r="D1" s="802" t="s">
        <v>1143</v>
      </c>
      <c r="E1" s="802" t="s">
        <v>1144</v>
      </c>
      <c r="F1" s="802" t="s">
        <v>1145</v>
      </c>
      <c r="G1" s="802" t="s">
        <v>1146</v>
      </c>
      <c r="H1" s="802" t="s">
        <v>1147</v>
      </c>
      <c r="I1" s="802" t="s">
        <v>1141</v>
      </c>
      <c r="J1" s="802" t="s">
        <v>1148</v>
      </c>
      <c r="K1" s="802" t="s">
        <v>1149</v>
      </c>
      <c r="L1" s="802" t="s">
        <v>1150</v>
      </c>
      <c r="M1" s="802" t="s">
        <v>1151</v>
      </c>
      <c r="N1" s="802" t="s">
        <v>1152</v>
      </c>
      <c r="O1" s="802" t="s">
        <v>1153</v>
      </c>
      <c r="P1" s="802" t="s">
        <v>1154</v>
      </c>
      <c r="Q1" s="802" t="s">
        <v>1155</v>
      </c>
      <c r="R1" s="802" t="s">
        <v>1156</v>
      </c>
      <c r="S1" s="802" t="s">
        <v>1157</v>
      </c>
      <c r="T1" s="802" t="s">
        <v>1158</v>
      </c>
      <c r="U1" s="802" t="s">
        <v>1159</v>
      </c>
      <c r="V1" s="802" t="s">
        <v>412</v>
      </c>
      <c r="W1" s="802" t="s">
        <v>1139</v>
      </c>
      <c r="X1" s="802" t="s">
        <v>1160</v>
      </c>
      <c r="Y1" s="802" t="s">
        <v>1161</v>
      </c>
      <c r="Z1" s="802" t="s">
        <v>1162</v>
      </c>
      <c r="AA1" s="802" t="s">
        <v>1163</v>
      </c>
      <c r="AB1" s="802" t="s">
        <v>1112</v>
      </c>
      <c r="AC1" s="802" t="s">
        <v>1328</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0" bestFit="1" customWidth="1"/>
    <col min="2" max="2" width="10.28515625" style="800" bestFit="1" customWidth="1"/>
    <col min="3" max="3" width="33.42578125" style="800" bestFit="1" customWidth="1"/>
    <col min="4" max="4" width="32.28515625" style="800" bestFit="1" customWidth="1"/>
    <col min="5" max="5" width="36.85546875" style="800" bestFit="1" customWidth="1"/>
    <col min="6" max="6" width="14.5703125" style="800" bestFit="1" customWidth="1"/>
    <col min="7" max="16384" width="9.140625" style="800"/>
  </cols>
  <sheetData>
    <row r="1" spans="1:6" x14ac:dyDescent="0.25">
      <c r="A1" s="802" t="s">
        <v>1117</v>
      </c>
      <c r="B1" s="802" t="s">
        <v>1118</v>
      </c>
      <c r="C1" s="802" t="s">
        <v>1182</v>
      </c>
      <c r="D1" s="802" t="s">
        <v>1183</v>
      </c>
      <c r="E1" s="802" t="s">
        <v>1184</v>
      </c>
      <c r="F1" s="802" t="s">
        <v>1185</v>
      </c>
    </row>
  </sheetData>
  <sheetProtection selectLockedCells="1" selectUnlockedCells="1"/>
  <pageMargins left="0.7" right="0.7" top="0.75" bottom="0.75" header="0.3" footer="0.3"/>
  <pageSetup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0" bestFit="1" customWidth="1"/>
    <col min="2" max="2" width="31.85546875" style="800" bestFit="1" customWidth="1"/>
    <col min="3" max="3" width="30" style="800" bestFit="1" customWidth="1"/>
    <col min="4" max="4" width="19.85546875" style="800" bestFit="1" customWidth="1"/>
    <col min="5" max="5" width="4.140625" style="800" bestFit="1" customWidth="1"/>
    <col min="6" max="6" width="9.5703125" style="800" bestFit="1" customWidth="1"/>
    <col min="7" max="16384" width="9.140625" style="800"/>
  </cols>
  <sheetData>
    <row r="1" spans="1:6" x14ac:dyDescent="0.25">
      <c r="A1" s="802" t="s">
        <v>1118</v>
      </c>
      <c r="B1" s="802" t="s">
        <v>1117</v>
      </c>
      <c r="C1" s="802" t="s">
        <v>1138</v>
      </c>
      <c r="D1" s="802" t="s">
        <v>1139</v>
      </c>
      <c r="E1" s="802" t="s">
        <v>1140</v>
      </c>
      <c r="F1" s="802" t="s">
        <v>1141</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800" bestFit="1" customWidth="1"/>
    <col min="2" max="2" width="40.28515625" style="800" bestFit="1" customWidth="1"/>
    <col min="3" max="3" width="15.140625" style="800" bestFit="1" customWidth="1"/>
    <col min="4" max="4" width="8.85546875" style="800" bestFit="1" customWidth="1"/>
    <col min="5" max="5" width="29.140625" style="800" bestFit="1" customWidth="1"/>
    <col min="6" max="6" width="18.85546875" style="800" bestFit="1" customWidth="1"/>
    <col min="7" max="7" width="18" style="800" bestFit="1" customWidth="1"/>
    <col min="8" max="8" width="31" style="800" bestFit="1" customWidth="1"/>
    <col min="9" max="9" width="32.5703125" style="800" bestFit="1" customWidth="1"/>
    <col min="10" max="10" width="27.140625" style="800" bestFit="1" customWidth="1"/>
    <col min="11" max="11" width="29.7109375" style="800" bestFit="1" customWidth="1"/>
    <col min="12" max="12" width="20.140625" style="800" bestFit="1" customWidth="1"/>
    <col min="13" max="13" width="20.5703125" style="800" bestFit="1" customWidth="1"/>
    <col min="14" max="15" width="22.140625" style="800" bestFit="1" customWidth="1"/>
    <col min="16" max="16384" width="9.140625" style="800"/>
  </cols>
  <sheetData>
    <row r="1" spans="1:15" x14ac:dyDescent="0.25">
      <c r="A1" s="802" t="s">
        <v>1112</v>
      </c>
      <c r="B1" s="802" t="s">
        <v>251</v>
      </c>
      <c r="C1" s="802" t="s">
        <v>1164</v>
      </c>
      <c r="D1" s="802" t="s">
        <v>1113</v>
      </c>
      <c r="E1" s="802" t="s">
        <v>1114</v>
      </c>
      <c r="F1" s="802" t="s">
        <v>1115</v>
      </c>
      <c r="G1" s="802" t="s">
        <v>1116</v>
      </c>
      <c r="H1" s="802" t="s">
        <v>1165</v>
      </c>
      <c r="I1" s="802" t="s">
        <v>1166</v>
      </c>
      <c r="J1" s="802" t="s">
        <v>1167</v>
      </c>
      <c r="K1" s="802" t="s">
        <v>1168</v>
      </c>
      <c r="L1" s="802" t="s">
        <v>1169</v>
      </c>
      <c r="M1" s="802" t="s">
        <v>1170</v>
      </c>
      <c r="N1" s="802" t="s">
        <v>1171</v>
      </c>
      <c r="O1" s="802" t="s">
        <v>1171</v>
      </c>
    </row>
    <row r="2" spans="1:15" x14ac:dyDescent="0.25">
      <c r="A2" s="1009"/>
      <c r="B2" s="1009"/>
      <c r="C2" s="1009"/>
      <c r="D2" s="1009"/>
      <c r="E2" s="1009"/>
      <c r="F2" s="1009"/>
      <c r="G2" s="1009"/>
      <c r="H2" s="1009"/>
      <c r="I2" s="1009"/>
      <c r="J2" s="1009"/>
      <c r="K2" s="1009"/>
      <c r="L2" s="1009"/>
      <c r="M2" s="1009"/>
      <c r="N2" s="1009"/>
      <c r="O2" s="1009"/>
    </row>
    <row r="3" spans="1:15" x14ac:dyDescent="0.25">
      <c r="A3" s="1009"/>
      <c r="B3" s="1009"/>
      <c r="C3" s="1009"/>
      <c r="D3" s="1009"/>
      <c r="E3" s="1009"/>
      <c r="F3" s="1009"/>
      <c r="G3" s="1009"/>
      <c r="H3" s="1009"/>
      <c r="I3" s="1009"/>
      <c r="J3" s="1009"/>
      <c r="K3" s="1009"/>
      <c r="L3" s="1009"/>
      <c r="M3" s="1009"/>
      <c r="N3" s="1009"/>
      <c r="O3" s="1009"/>
    </row>
    <row r="4" spans="1:15" x14ac:dyDescent="0.25">
      <c r="A4" s="1009"/>
      <c r="B4" s="1009"/>
      <c r="C4" s="1009"/>
      <c r="D4" s="1009"/>
      <c r="E4" s="1009"/>
      <c r="F4" s="1009"/>
      <c r="G4" s="1009"/>
      <c r="H4" s="1009"/>
      <c r="I4" s="1009"/>
      <c r="J4" s="1009"/>
      <c r="K4" s="1009"/>
      <c r="L4" s="1009"/>
      <c r="M4" s="1009"/>
      <c r="N4" s="1009"/>
      <c r="O4" s="1009"/>
    </row>
    <row r="5" spans="1:15" x14ac:dyDescent="0.25">
      <c r="A5" s="1009"/>
      <c r="B5" s="1009"/>
      <c r="C5" s="1009"/>
      <c r="D5" s="1009"/>
      <c r="E5" s="1009"/>
      <c r="F5" s="1009"/>
      <c r="G5" s="1009"/>
      <c r="H5" s="1009"/>
      <c r="I5" s="1009"/>
      <c r="J5" s="1009"/>
      <c r="K5" s="1009"/>
      <c r="L5" s="1009"/>
      <c r="M5" s="1009"/>
      <c r="N5" s="1009"/>
      <c r="O5" s="1009"/>
    </row>
    <row r="6" spans="1:15" x14ac:dyDescent="0.25">
      <c r="A6" s="1009"/>
      <c r="B6" s="1009"/>
      <c r="C6" s="1009"/>
      <c r="D6" s="1009"/>
      <c r="E6" s="1009"/>
      <c r="F6" s="1009"/>
      <c r="G6" s="1009"/>
      <c r="H6" s="1009"/>
      <c r="I6" s="1009"/>
      <c r="J6" s="1009"/>
      <c r="K6" s="1009"/>
      <c r="L6" s="1009"/>
      <c r="M6" s="1009"/>
      <c r="N6" s="1009"/>
      <c r="O6" s="1009"/>
    </row>
    <row r="7" spans="1:15" x14ac:dyDescent="0.25">
      <c r="A7" s="1009"/>
      <c r="B7" s="1009"/>
      <c r="C7" s="1009"/>
      <c r="D7" s="1009"/>
      <c r="E7" s="1009"/>
      <c r="F7" s="1009"/>
      <c r="G7" s="1009"/>
      <c r="H7" s="1009"/>
      <c r="I7" s="1009"/>
      <c r="J7" s="1009"/>
      <c r="K7" s="1009"/>
      <c r="L7" s="1009"/>
      <c r="M7" s="1009"/>
      <c r="N7" s="1009"/>
      <c r="O7" s="1009"/>
    </row>
    <row r="8" spans="1:15" x14ac:dyDescent="0.25">
      <c r="A8" s="1009"/>
      <c r="B8" s="1009"/>
      <c r="C8" s="1009"/>
      <c r="D8" s="1009"/>
      <c r="E8" s="1009"/>
      <c r="F8" s="1009"/>
      <c r="G8" s="1009"/>
      <c r="H8" s="1009"/>
      <c r="I8" s="1009"/>
      <c r="J8" s="1009"/>
      <c r="K8" s="1009"/>
      <c r="L8" s="1009"/>
      <c r="M8" s="1009"/>
      <c r="N8" s="1009"/>
      <c r="O8" s="1009"/>
    </row>
    <row r="9" spans="1:15" x14ac:dyDescent="0.25">
      <c r="A9" s="1009"/>
      <c r="B9" s="1009"/>
      <c r="C9" s="1009"/>
      <c r="D9" s="1009"/>
      <c r="E9" s="1009"/>
      <c r="F9" s="1009"/>
      <c r="G9" s="1009"/>
      <c r="H9" s="1009"/>
      <c r="I9" s="1009"/>
      <c r="J9" s="1009"/>
      <c r="K9" s="1009"/>
      <c r="L9" s="1009"/>
      <c r="M9" s="1009"/>
      <c r="N9" s="1009"/>
      <c r="O9" s="1009"/>
    </row>
    <row r="10" spans="1:15" x14ac:dyDescent="0.25">
      <c r="A10" s="1009"/>
      <c r="B10" s="1009"/>
      <c r="C10" s="1009"/>
      <c r="D10" s="1009"/>
      <c r="E10" s="1009"/>
      <c r="F10" s="1009"/>
      <c r="G10" s="1009"/>
      <c r="H10" s="1009"/>
      <c r="I10" s="1009"/>
      <c r="J10" s="1009"/>
      <c r="K10" s="1009"/>
      <c r="L10" s="1009"/>
      <c r="M10" s="1009"/>
      <c r="N10" s="1009"/>
      <c r="O10" s="1009"/>
    </row>
    <row r="11" spans="1:15" x14ac:dyDescent="0.25">
      <c r="A11" s="1009"/>
      <c r="B11" s="1009"/>
      <c r="C11" s="1009"/>
      <c r="D11" s="1009"/>
      <c r="E11" s="1009"/>
      <c r="F11" s="1009"/>
      <c r="G11" s="1009"/>
      <c r="H11" s="1009"/>
      <c r="I11" s="1009"/>
      <c r="J11" s="1009"/>
      <c r="K11" s="1009"/>
      <c r="L11" s="1009"/>
      <c r="M11" s="1009"/>
      <c r="N11" s="1009"/>
      <c r="O11" s="1009"/>
    </row>
    <row r="12" spans="1:15" x14ac:dyDescent="0.25">
      <c r="A12" s="1009"/>
      <c r="B12" s="1009"/>
      <c r="C12" s="1009"/>
      <c r="D12" s="1009"/>
      <c r="E12" s="1009"/>
      <c r="F12" s="1009"/>
      <c r="G12" s="1009"/>
      <c r="H12" s="1009"/>
      <c r="I12" s="1009"/>
      <c r="J12" s="1009"/>
      <c r="K12" s="1009"/>
      <c r="L12" s="1009"/>
      <c r="M12" s="1009"/>
      <c r="N12" s="1009"/>
      <c r="O12" s="1009"/>
    </row>
    <row r="13" spans="1:15" x14ac:dyDescent="0.25">
      <c r="A13" s="1009"/>
      <c r="B13" s="1009"/>
      <c r="C13" s="1009"/>
      <c r="D13" s="1009"/>
      <c r="E13" s="1009"/>
      <c r="F13" s="1009"/>
      <c r="G13" s="1009"/>
      <c r="H13" s="1009"/>
      <c r="I13" s="1009"/>
      <c r="J13" s="1009"/>
      <c r="K13" s="1009"/>
      <c r="L13" s="1009"/>
      <c r="M13" s="1009"/>
      <c r="N13" s="1009"/>
      <c r="O13" s="1009"/>
    </row>
    <row r="14" spans="1:15" x14ac:dyDescent="0.25">
      <c r="A14" s="1009"/>
      <c r="B14" s="1009"/>
      <c r="C14" s="1009"/>
      <c r="D14" s="1009"/>
      <c r="E14" s="1009"/>
      <c r="F14" s="1009"/>
      <c r="G14" s="1009"/>
      <c r="H14" s="1009"/>
      <c r="I14" s="1009"/>
      <c r="J14" s="1009"/>
      <c r="K14" s="1009"/>
      <c r="L14" s="1009"/>
      <c r="M14" s="1009"/>
      <c r="N14" s="1009"/>
      <c r="O14" s="1009"/>
    </row>
    <row r="15" spans="1:15" x14ac:dyDescent="0.25">
      <c r="A15" s="1009"/>
      <c r="B15" s="1009"/>
      <c r="C15" s="1009"/>
      <c r="D15" s="1009"/>
      <c r="E15" s="1009"/>
      <c r="F15" s="1009"/>
      <c r="G15" s="1009"/>
      <c r="H15" s="1009"/>
      <c r="I15" s="1009"/>
      <c r="J15" s="1009"/>
      <c r="K15" s="1009"/>
      <c r="L15" s="1009"/>
      <c r="M15" s="1009"/>
      <c r="N15" s="1009"/>
      <c r="O15" s="1009"/>
    </row>
    <row r="16" spans="1:15" x14ac:dyDescent="0.25">
      <c r="A16" s="1009"/>
      <c r="B16" s="1009"/>
      <c r="C16" s="1009"/>
      <c r="D16" s="1009"/>
      <c r="E16" s="1009"/>
      <c r="F16" s="1009"/>
      <c r="G16" s="1009"/>
      <c r="H16" s="1009"/>
      <c r="I16" s="1009"/>
      <c r="J16" s="1009"/>
      <c r="K16" s="1009"/>
      <c r="L16" s="1009"/>
      <c r="M16" s="1009"/>
      <c r="N16" s="1009"/>
      <c r="O16" s="1009"/>
    </row>
    <row r="17" spans="1:15" x14ac:dyDescent="0.25">
      <c r="A17" s="1009"/>
      <c r="B17" s="1009"/>
      <c r="C17" s="1009"/>
      <c r="D17" s="1009"/>
      <c r="E17" s="1009"/>
      <c r="F17" s="1009"/>
      <c r="G17" s="1009"/>
      <c r="H17" s="1009"/>
      <c r="I17" s="1009"/>
      <c r="J17" s="1009"/>
      <c r="K17" s="1009"/>
      <c r="L17" s="1009"/>
      <c r="M17" s="1009"/>
      <c r="N17" s="1009"/>
      <c r="O17" s="1009"/>
    </row>
    <row r="18" spans="1:15" x14ac:dyDescent="0.25">
      <c r="A18" s="1009"/>
      <c r="B18" s="1009"/>
      <c r="C18" s="1009"/>
      <c r="D18" s="1009"/>
      <c r="E18" s="1009"/>
      <c r="F18" s="1009"/>
      <c r="G18" s="1009"/>
      <c r="H18" s="1009"/>
      <c r="I18" s="1009"/>
      <c r="J18" s="1009"/>
      <c r="K18" s="1009"/>
      <c r="L18" s="1009"/>
      <c r="M18" s="1009"/>
      <c r="N18" s="1009"/>
      <c r="O18" s="1009"/>
    </row>
    <row r="19" spans="1:15" x14ac:dyDescent="0.25">
      <c r="A19" s="1009"/>
      <c r="B19" s="1009"/>
      <c r="C19" s="1009"/>
      <c r="D19" s="1009"/>
      <c r="E19" s="1009"/>
      <c r="F19" s="1009"/>
      <c r="G19" s="1009"/>
      <c r="H19" s="1009"/>
      <c r="I19" s="1009"/>
      <c r="J19" s="1009"/>
      <c r="K19" s="1009"/>
      <c r="L19" s="1009"/>
      <c r="M19" s="1009"/>
      <c r="N19" s="1009"/>
      <c r="O19" s="1009"/>
    </row>
    <row r="20" spans="1:15" x14ac:dyDescent="0.25">
      <c r="A20" s="1009"/>
      <c r="B20" s="1009"/>
      <c r="C20" s="1009"/>
      <c r="D20" s="1009"/>
      <c r="E20" s="1009"/>
      <c r="F20" s="1009"/>
      <c r="G20" s="1009"/>
      <c r="H20" s="1009"/>
      <c r="I20" s="1009"/>
      <c r="J20" s="1009"/>
      <c r="K20" s="1009"/>
      <c r="L20" s="1009"/>
      <c r="M20" s="1009"/>
      <c r="N20" s="1009"/>
      <c r="O20" s="1009"/>
    </row>
    <row r="21" spans="1:15" x14ac:dyDescent="0.25">
      <c r="A21" s="1009"/>
      <c r="B21" s="1009"/>
      <c r="C21" s="1009"/>
      <c r="D21" s="1009"/>
      <c r="E21" s="1009"/>
      <c r="F21" s="1009"/>
      <c r="G21" s="1009"/>
      <c r="H21" s="1009"/>
      <c r="I21" s="1009"/>
      <c r="J21" s="1009"/>
      <c r="K21" s="1009"/>
      <c r="L21" s="1009"/>
      <c r="M21" s="1009"/>
      <c r="N21" s="1009"/>
      <c r="O21" s="1009"/>
    </row>
    <row r="22" spans="1:15" x14ac:dyDescent="0.25">
      <c r="A22" s="1009"/>
      <c r="B22" s="1009"/>
      <c r="C22" s="1009"/>
      <c r="D22" s="1009"/>
      <c r="E22" s="1009"/>
      <c r="F22" s="1009"/>
      <c r="G22" s="1009"/>
      <c r="H22" s="1009"/>
      <c r="I22" s="1009"/>
      <c r="J22" s="1009"/>
      <c r="K22" s="1009"/>
      <c r="L22" s="1009"/>
      <c r="M22" s="1009"/>
      <c r="N22" s="1009"/>
      <c r="O22" s="1009"/>
    </row>
    <row r="23" spans="1:15" x14ac:dyDescent="0.25">
      <c r="A23" s="1009"/>
      <c r="B23" s="1009"/>
      <c r="C23" s="1009"/>
      <c r="D23" s="1009"/>
      <c r="E23" s="1009"/>
      <c r="F23" s="1009"/>
      <c r="G23" s="1009"/>
      <c r="H23" s="1009"/>
      <c r="I23" s="1009"/>
      <c r="J23" s="1009"/>
      <c r="K23" s="1009"/>
      <c r="L23" s="1009"/>
      <c r="M23" s="1009"/>
      <c r="N23" s="1009"/>
      <c r="O23" s="1009"/>
    </row>
    <row r="24" spans="1:15" x14ac:dyDescent="0.25">
      <c r="A24" s="1009"/>
      <c r="B24" s="1009"/>
      <c r="C24" s="1009"/>
      <c r="D24" s="1009"/>
      <c r="E24" s="1009"/>
      <c r="F24" s="1009"/>
      <c r="G24" s="1009"/>
      <c r="H24" s="1009"/>
      <c r="I24" s="1009"/>
      <c r="J24" s="1009"/>
      <c r="K24" s="1009"/>
      <c r="L24" s="1009"/>
      <c r="M24" s="1009"/>
      <c r="N24" s="1009"/>
      <c r="O24" s="1009"/>
    </row>
    <row r="25" spans="1:15" x14ac:dyDescent="0.25">
      <c r="A25" s="1009"/>
      <c r="B25" s="1009"/>
      <c r="C25" s="1009"/>
      <c r="D25" s="1009"/>
      <c r="E25" s="1009"/>
      <c r="F25" s="1009"/>
      <c r="G25" s="1009"/>
      <c r="H25" s="1009"/>
      <c r="I25" s="1009"/>
      <c r="J25" s="1009"/>
      <c r="K25" s="1009"/>
      <c r="L25" s="1009"/>
      <c r="M25" s="1009"/>
      <c r="N25" s="1009"/>
      <c r="O25" s="1009"/>
    </row>
    <row r="26" spans="1:15" x14ac:dyDescent="0.25">
      <c r="A26" s="1009"/>
      <c r="B26" s="1009"/>
      <c r="C26" s="1009"/>
      <c r="D26" s="1009"/>
      <c r="E26" s="1009"/>
      <c r="F26" s="1009"/>
      <c r="G26" s="1009"/>
      <c r="H26" s="1009"/>
      <c r="I26" s="1009"/>
      <c r="J26" s="1009"/>
      <c r="K26" s="1009"/>
      <c r="L26" s="1009"/>
      <c r="M26" s="1009"/>
      <c r="N26" s="1009"/>
      <c r="O26" s="1009"/>
    </row>
    <row r="27" spans="1:15" x14ac:dyDescent="0.25">
      <c r="A27" s="1009"/>
      <c r="B27" s="1009"/>
      <c r="C27" s="1009"/>
      <c r="D27" s="1009"/>
      <c r="E27" s="1009"/>
      <c r="F27" s="1009"/>
      <c r="G27" s="1009"/>
      <c r="H27" s="1009"/>
      <c r="I27" s="1009"/>
      <c r="J27" s="1009"/>
      <c r="K27" s="1009"/>
      <c r="L27" s="1009"/>
      <c r="M27" s="1009"/>
      <c r="N27" s="1009"/>
      <c r="O27" s="1009"/>
    </row>
    <row r="28" spans="1:15" x14ac:dyDescent="0.25">
      <c r="A28" s="1009"/>
      <c r="B28" s="1009"/>
      <c r="C28" s="1009"/>
      <c r="D28" s="1009"/>
      <c r="E28" s="1009"/>
      <c r="F28" s="1009"/>
      <c r="G28" s="1009"/>
      <c r="H28" s="1009"/>
      <c r="I28" s="1009"/>
      <c r="J28" s="1009"/>
      <c r="K28" s="1009"/>
      <c r="L28" s="1009"/>
      <c r="M28" s="1009"/>
      <c r="N28" s="1009"/>
      <c r="O28" s="1009"/>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0" bestFit="1" customWidth="1"/>
    <col min="2" max="2" width="10.5703125" style="800" bestFit="1" customWidth="1"/>
    <col min="3" max="3" width="8.85546875" style="800" bestFit="1" customWidth="1"/>
    <col min="4" max="4" width="9.140625" style="800"/>
    <col min="5" max="5" width="29.7109375" style="800" bestFit="1" customWidth="1"/>
    <col min="6" max="6" width="16.42578125" style="800" bestFit="1" customWidth="1"/>
    <col min="7" max="7" width="27.140625" style="800" bestFit="1" customWidth="1"/>
    <col min="8" max="8" width="35" style="800" bestFit="1" customWidth="1"/>
    <col min="9" max="9" width="38.42578125" style="800" bestFit="1" customWidth="1"/>
    <col min="10" max="10" width="33.85546875" style="800" bestFit="1" customWidth="1"/>
    <col min="11" max="11" width="26.140625" style="800" bestFit="1" customWidth="1"/>
    <col min="12" max="12" width="17.42578125" style="800" bestFit="1" customWidth="1"/>
    <col min="13" max="13" width="12" style="800" bestFit="1" customWidth="1"/>
    <col min="14" max="16384" width="9.140625" style="800"/>
  </cols>
  <sheetData>
    <row r="1" spans="1:13" x14ac:dyDescent="0.25">
      <c r="A1" s="802" t="s">
        <v>1115</v>
      </c>
      <c r="B1" s="802" t="s">
        <v>1112</v>
      </c>
      <c r="C1" s="802" t="s">
        <v>1113</v>
      </c>
      <c r="D1" s="802" t="s">
        <v>1119</v>
      </c>
      <c r="E1" s="802" t="s">
        <v>1168</v>
      </c>
      <c r="F1" s="802" t="s">
        <v>1172</v>
      </c>
      <c r="G1" s="802" t="s">
        <v>1167</v>
      </c>
      <c r="H1" s="802" t="s">
        <v>1186</v>
      </c>
      <c r="I1" s="802" t="s">
        <v>1187</v>
      </c>
      <c r="J1" s="802" t="s">
        <v>1188</v>
      </c>
      <c r="K1" s="802" t="s">
        <v>1120</v>
      </c>
      <c r="L1" s="802" t="s">
        <v>1121</v>
      </c>
      <c r="M1" s="802" t="s">
        <v>1122</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1178</v>
      </c>
      <c r="C1" s="802" t="s">
        <v>1112</v>
      </c>
      <c r="D1" s="802" t="s">
        <v>1174</v>
      </c>
      <c r="E1" s="802" t="s">
        <v>1175</v>
      </c>
      <c r="F1" s="802" t="s">
        <v>1176</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1177</v>
      </c>
      <c r="C1" s="802" t="s">
        <v>1112</v>
      </c>
      <c r="D1" s="802" t="s">
        <v>1174</v>
      </c>
      <c r="E1" s="802" t="s">
        <v>1175</v>
      </c>
      <c r="F1" s="802" t="s">
        <v>1176</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1173</v>
      </c>
      <c r="C1" s="802" t="s">
        <v>1112</v>
      </c>
      <c r="D1" s="802" t="s">
        <v>1174</v>
      </c>
      <c r="E1" s="802" t="s">
        <v>1175</v>
      </c>
      <c r="F1" s="802" t="s">
        <v>1176</v>
      </c>
    </row>
  </sheetData>
  <sheetProtection selectLockedCells="1" selectUnlockedCells="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B10" sqref="AB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s="1021"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1022" t="s">
        <v>1038</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1021" t="s">
        <v>1238</v>
      </c>
      <c r="AF4" s="62">
        <v>0.1</v>
      </c>
      <c r="AI4" t="s">
        <v>1325</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1021" t="s">
        <v>1326</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B6" s="1021" t="s">
        <v>1327</v>
      </c>
      <c r="AF6" s="62">
        <v>0.12</v>
      </c>
    </row>
    <row r="7" spans="1:36" x14ac:dyDescent="0.25">
      <c r="A7" t="s">
        <v>429</v>
      </c>
      <c r="B7" t="s">
        <v>18</v>
      </c>
      <c r="D7" t="s">
        <v>0</v>
      </c>
      <c r="E7"/>
      <c r="G7" s="14" t="s">
        <v>133</v>
      </c>
      <c r="H7" s="14"/>
      <c r="I7" s="14">
        <v>6</v>
      </c>
      <c r="J7" s="14"/>
      <c r="K7" s="14"/>
      <c r="P7" t="s">
        <v>245</v>
      </c>
      <c r="Q7">
        <v>8</v>
      </c>
      <c r="AA7" s="26">
        <v>6</v>
      </c>
      <c r="AB7" s="1024"/>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1258</v>
      </c>
      <c r="B33" s="33" t="s">
        <v>1259</v>
      </c>
      <c r="C33" s="1" t="s">
        <v>1260</v>
      </c>
      <c r="D33" s="1" t="s">
        <v>1260</v>
      </c>
      <c r="E33" s="15">
        <v>4190</v>
      </c>
      <c r="F33" s="15" t="s">
        <v>1258</v>
      </c>
      <c r="G33" s="33" t="s">
        <v>1259</v>
      </c>
    </row>
    <row r="34" spans="1:7" x14ac:dyDescent="0.25">
      <c r="A34" s="15" t="s">
        <v>1261</v>
      </c>
      <c r="B34" s="33" t="s">
        <v>1259</v>
      </c>
      <c r="C34" s="1" t="s">
        <v>403</v>
      </c>
      <c r="D34" s="1" t="s">
        <v>1262</v>
      </c>
      <c r="E34" s="15">
        <v>3310</v>
      </c>
      <c r="F34" s="15" t="s">
        <v>1261</v>
      </c>
      <c r="G34" s="33" t="s">
        <v>1259</v>
      </c>
    </row>
    <row r="35" spans="1:7" x14ac:dyDescent="0.25">
      <c r="A35" s="15" t="s">
        <v>1263</v>
      </c>
      <c r="B35" s="33" t="s">
        <v>1259</v>
      </c>
      <c r="C35" s="1" t="s">
        <v>405</v>
      </c>
      <c r="D35" s="1" t="s">
        <v>1264</v>
      </c>
      <c r="E35" s="15">
        <v>3340</v>
      </c>
      <c r="F35" s="15" t="s">
        <v>1263</v>
      </c>
      <c r="G35" s="33" t="s">
        <v>1259</v>
      </c>
    </row>
    <row r="36" spans="1:7" x14ac:dyDescent="0.25">
      <c r="A36" s="15" t="s">
        <v>148</v>
      </c>
      <c r="B36" s="33" t="s">
        <v>1259</v>
      </c>
      <c r="C36" s="1" t="s">
        <v>405</v>
      </c>
      <c r="D36" s="1" t="s">
        <v>1265</v>
      </c>
      <c r="E36" s="15">
        <v>3160</v>
      </c>
      <c r="F36" s="15" t="s">
        <v>148</v>
      </c>
      <c r="G36" s="33" t="s">
        <v>1259</v>
      </c>
    </row>
    <row r="37" spans="1:7" x14ac:dyDescent="0.25">
      <c r="A37" s="15" t="s">
        <v>1266</v>
      </c>
      <c r="B37" s="33" t="s">
        <v>1259</v>
      </c>
      <c r="C37" s="1" t="s">
        <v>1267</v>
      </c>
      <c r="D37" s="1" t="s">
        <v>1268</v>
      </c>
      <c r="E37" s="15">
        <v>4210</v>
      </c>
      <c r="F37" s="15" t="s">
        <v>1266</v>
      </c>
      <c r="G37" s="33" t="s">
        <v>1259</v>
      </c>
    </row>
    <row r="38" spans="1:7" x14ac:dyDescent="0.25">
      <c r="A38" s="15" t="s">
        <v>172</v>
      </c>
      <c r="B38" s="33" t="s">
        <v>1259</v>
      </c>
      <c r="C38" s="1" t="s">
        <v>403</v>
      </c>
      <c r="D38" s="1" t="s">
        <v>30</v>
      </c>
      <c r="E38" s="15">
        <v>4118</v>
      </c>
      <c r="F38" s="15" t="s">
        <v>172</v>
      </c>
      <c r="G38" s="33" t="s">
        <v>1259</v>
      </c>
    </row>
    <row r="39" spans="1:7" x14ac:dyDescent="0.25">
      <c r="A39" s="15" t="s">
        <v>1269</v>
      </c>
      <c r="B39" s="33" t="s">
        <v>1259</v>
      </c>
      <c r="C39" s="1" t="s">
        <v>75</v>
      </c>
      <c r="D39" s="1" t="s">
        <v>1270</v>
      </c>
      <c r="E39" s="15">
        <v>4170</v>
      </c>
      <c r="F39" s="15" t="s">
        <v>1269</v>
      </c>
      <c r="G39" s="33" t="s">
        <v>1259</v>
      </c>
    </row>
    <row r="40" spans="1:7" x14ac:dyDescent="0.25">
      <c r="A40" s="15" t="s">
        <v>168</v>
      </c>
      <c r="B40" s="33" t="s">
        <v>1259</v>
      </c>
      <c r="C40" s="1" t="s">
        <v>75</v>
      </c>
      <c r="D40" s="1" t="s">
        <v>1271</v>
      </c>
      <c r="E40" s="15">
        <v>4147</v>
      </c>
      <c r="F40" s="15" t="s">
        <v>168</v>
      </c>
      <c r="G40" s="33" t="s">
        <v>1259</v>
      </c>
    </row>
    <row r="41" spans="1:7" x14ac:dyDescent="0.25">
      <c r="A41" s="15" t="s">
        <v>1272</v>
      </c>
      <c r="B41" s="33" t="s">
        <v>1259</v>
      </c>
      <c r="C41" s="1" t="s">
        <v>1267</v>
      </c>
      <c r="D41" s="1" t="s">
        <v>1273</v>
      </c>
      <c r="E41" s="15">
        <v>4220</v>
      </c>
      <c r="F41" s="15" t="s">
        <v>1272</v>
      </c>
      <c r="G41" s="33" t="s">
        <v>1259</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1274</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1275</v>
      </c>
      <c r="B67" t="s">
        <v>18</v>
      </c>
      <c r="C67" t="s">
        <v>1276</v>
      </c>
      <c r="D67" t="s">
        <v>1277</v>
      </c>
      <c r="E67">
        <v>4175</v>
      </c>
      <c r="F67" t="s">
        <v>1275</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1274</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1278</v>
      </c>
      <c r="B72" t="s">
        <v>18</v>
      </c>
      <c r="C72" t="s">
        <v>1276</v>
      </c>
      <c r="D72" t="s">
        <v>1279</v>
      </c>
      <c r="E72">
        <v>4135</v>
      </c>
      <c r="F72" t="s">
        <v>1278</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1280</v>
      </c>
      <c r="B76" t="s">
        <v>18</v>
      </c>
      <c r="C76" t="s">
        <v>1276</v>
      </c>
      <c r="D76" t="s">
        <v>1281</v>
      </c>
      <c r="E76">
        <v>4125</v>
      </c>
      <c r="F76" t="s">
        <v>1280</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26</vt:i4>
      </vt:variant>
    </vt:vector>
  </HeadingPairs>
  <TitlesOfParts>
    <vt:vector size="49"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2021-09-08T14:11:39Z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