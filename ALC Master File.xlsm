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75A65B5-040B-40E8-9196-830E21F69FEE}" xr6:coauthVersionLast="45" xr6:coauthVersionMax="46" xr10:uidLastSave="{00000000-0000-0000-0000-000000000000}"/>
  <bookViews>
    <workbookView xWindow="-120" yWindow="-120" windowWidth="20730" windowHeight="11160" tabRatio="909" firstSheet="1" activeTab="24"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64"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Incentives!$B$2:$O$97</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Y14" i="72" a="1"/>
  <c r="AY14" i="72" s="1"/>
  <c r="IZ34" i="72" a="1"/>
  <c r="IZ34" i="72" s="1"/>
  <c r="ID34" i="72" a="1"/>
  <c r="ID34" i="72" s="1"/>
  <c r="HH34" i="72" a="1"/>
  <c r="HH34" i="72" s="1"/>
  <c r="GL34" i="72"/>
  <c r="GL34" i="72" a="1"/>
  <c r="FP34" i="72" a="1"/>
  <c r="FP34" i="72" s="1"/>
  <c r="ET34" i="72" a="1"/>
  <c r="ET34" i="72" s="1"/>
  <c r="DX34" i="72" a="1"/>
  <c r="DX34" i="72" s="1"/>
  <c r="DB34" i="72" a="1"/>
  <c r="DB34" i="72" s="1"/>
  <c r="CF34" i="72" a="1"/>
  <c r="CF34" i="72" s="1"/>
  <c r="BJ34" i="72" a="1"/>
  <c r="BJ34" i="72" s="1"/>
  <c r="IZ33" i="72" a="1"/>
  <c r="IZ33" i="72" s="1"/>
  <c r="ID33" i="72" a="1"/>
  <c r="ID33" i="72" s="1"/>
  <c r="HH33" i="72" a="1"/>
  <c r="HH33" i="72" s="1"/>
  <c r="GL33" i="72" a="1"/>
  <c r="GL33" i="72" s="1"/>
  <c r="FP33" i="72" a="1"/>
  <c r="FP33" i="72" s="1"/>
  <c r="ET33" i="72" a="1"/>
  <c r="ET33" i="72" s="1"/>
  <c r="DX33" i="72" a="1"/>
  <c r="DX33" i="72" s="1"/>
  <c r="DB33" i="72" a="1"/>
  <c r="DB33" i="72" s="1"/>
  <c r="CF33" i="72"/>
  <c r="CF33" i="72" a="1"/>
  <c r="BJ33" i="72"/>
  <c r="BJ33" i="72" a="1"/>
  <c r="IZ32" i="72" a="1"/>
  <c r="IZ32" i="72" s="1"/>
  <c r="ID32" i="72"/>
  <c r="ID32" i="72" a="1"/>
  <c r="HH32" i="72"/>
  <c r="HH32" i="72" a="1"/>
  <c r="GL32" i="72" a="1"/>
  <c r="GL32" i="72" s="1"/>
  <c r="FP32" i="72" a="1"/>
  <c r="FP32" i="72" s="1"/>
  <c r="ET32" i="72" a="1"/>
  <c r="ET32" i="72" s="1"/>
  <c r="DX32" i="72"/>
  <c r="DX32" i="72" a="1"/>
  <c r="DB32" i="72" a="1"/>
  <c r="DB32" i="72" s="1"/>
  <c r="CF32" i="72" a="1"/>
  <c r="CF32" i="72" s="1"/>
  <c r="BJ32" i="72" a="1"/>
  <c r="BJ32" i="72" s="1"/>
  <c r="IZ31" i="72" a="1"/>
  <c r="IZ31" i="72" s="1"/>
  <c r="ID31" i="72" a="1"/>
  <c r="ID31" i="72" s="1"/>
  <c r="HH31" i="72" a="1"/>
  <c r="HH31" i="72" s="1"/>
  <c r="GL31" i="72" a="1"/>
  <c r="GL31" i="72" s="1"/>
  <c r="FP31" i="72" a="1"/>
  <c r="FP31" i="72" s="1"/>
  <c r="ET31" i="72" a="1"/>
  <c r="ET31" i="72" s="1"/>
  <c r="DX31" i="72"/>
  <c r="DX31" i="72" a="1"/>
  <c r="DB31" i="72" a="1"/>
  <c r="DB31" i="72" s="1"/>
  <c r="CF31" i="72"/>
  <c r="CF31" i="72" a="1"/>
  <c r="BJ31" i="72" a="1"/>
  <c r="BJ31" i="72" s="1"/>
  <c r="IZ30" i="72"/>
  <c r="IZ30" i="72" a="1"/>
  <c r="ID30" i="72" a="1"/>
  <c r="ID30" i="72" s="1"/>
  <c r="HH30" i="72"/>
  <c r="HH30" i="72" a="1"/>
  <c r="GL30" i="72" a="1"/>
  <c r="GL30" i="72" s="1"/>
  <c r="FP30" i="72" a="1"/>
  <c r="FP30" i="72" s="1"/>
  <c r="ET30" i="72" a="1"/>
  <c r="ET30" i="72" s="1"/>
  <c r="DX30" i="72"/>
  <c r="DX30" i="72" a="1"/>
  <c r="DB30" i="72" a="1"/>
  <c r="DB30" i="72" s="1"/>
  <c r="CF30" i="72" a="1"/>
  <c r="CF30" i="72" s="1"/>
  <c r="BJ30" i="72" a="1"/>
  <c r="BJ30" i="72" s="1"/>
  <c r="IZ29" i="72" a="1"/>
  <c r="IZ29" i="72" s="1"/>
  <c r="ID29" i="72" a="1"/>
  <c r="ID29" i="72" s="1"/>
  <c r="HH29" i="72"/>
  <c r="HH29" i="72" a="1"/>
  <c r="GL29" i="72" a="1"/>
  <c r="GL29" i="72" s="1"/>
  <c r="FP29" i="72" a="1"/>
  <c r="FP29" i="72" s="1"/>
  <c r="ET29" i="72" a="1"/>
  <c r="ET29" i="72" s="1"/>
  <c r="DX29" i="72"/>
  <c r="DX29" i="72" a="1"/>
  <c r="DB29" i="72" a="1"/>
  <c r="DB29" i="72" s="1"/>
  <c r="CF29" i="72" a="1"/>
  <c r="CF29" i="72" s="1"/>
  <c r="BJ29" i="72"/>
  <c r="BJ29" i="72" a="1"/>
  <c r="IZ28" i="72" a="1"/>
  <c r="IZ28" i="72" s="1"/>
  <c r="ID28" i="72"/>
  <c r="ID28" i="72" a="1"/>
  <c r="HH28" i="72" a="1"/>
  <c r="HH28" i="72" s="1"/>
  <c r="GL28" i="72" a="1"/>
  <c r="GL28" i="72" s="1"/>
  <c r="FP28" i="72" a="1"/>
  <c r="FP28" i="72" s="1"/>
  <c r="ET28" i="72" a="1"/>
  <c r="ET28" i="72" s="1"/>
  <c r="DX28" i="72" a="1"/>
  <c r="DX28" i="72" s="1"/>
  <c r="DB28" i="72" a="1"/>
  <c r="DB28" i="72" s="1"/>
  <c r="CF28" i="72" a="1"/>
  <c r="CF28" i="72" s="1"/>
  <c r="BJ28" i="72" a="1"/>
  <c r="BJ28" i="72" s="1"/>
  <c r="IZ27" i="72" a="1"/>
  <c r="IZ27" i="72" s="1"/>
  <c r="ID27" i="72" a="1"/>
  <c r="ID27" i="72" s="1"/>
  <c r="HH27" i="72" a="1"/>
  <c r="HH27" i="72" s="1"/>
  <c r="GL27" i="72" a="1"/>
  <c r="GL27" i="72" s="1"/>
  <c r="FP27" i="72"/>
  <c r="FP27" i="72" a="1"/>
  <c r="ET27" i="72" a="1"/>
  <c r="ET27" i="72" s="1"/>
  <c r="DX27" i="72" a="1"/>
  <c r="DX27" i="72" s="1"/>
  <c r="DB27" i="72" a="1"/>
  <c r="DB27" i="72" s="1"/>
  <c r="CF27" i="72" a="1"/>
  <c r="CF27" i="72" s="1"/>
  <c r="BJ27" i="72" a="1"/>
  <c r="BJ27" i="72" s="1"/>
  <c r="IZ26" i="72" a="1"/>
  <c r="IZ26" i="72" s="1"/>
  <c r="ID26" i="72" a="1"/>
  <c r="ID26" i="72" s="1"/>
  <c r="HH26" i="72" a="1"/>
  <c r="HH26" i="72" s="1"/>
  <c r="GL26" i="72"/>
  <c r="GL26" i="72" a="1"/>
  <c r="FP26" i="72"/>
  <c r="FP26" i="72" a="1"/>
  <c r="ET26" i="72"/>
  <c r="ET26" i="72" a="1"/>
  <c r="DX26" i="72" a="1"/>
  <c r="DX26" i="72" s="1"/>
  <c r="DB26" i="72" a="1"/>
  <c r="DB26" i="72" s="1"/>
  <c r="CF26" i="72"/>
  <c r="CF26" i="72" a="1"/>
  <c r="BJ26" i="72" a="1"/>
  <c r="BJ26" i="72" s="1"/>
  <c r="IZ25" i="72" a="1"/>
  <c r="IZ25" i="72" s="1"/>
  <c r="ID25" i="72"/>
  <c r="ID25" i="72" a="1"/>
  <c r="HH25" i="72" a="1"/>
  <c r="HH25" i="72" s="1"/>
  <c r="GL25" i="72" a="1"/>
  <c r="GL25" i="72" s="1"/>
  <c r="FP25" i="72" a="1"/>
  <c r="FP25" i="72" s="1"/>
  <c r="ET25" i="72" a="1"/>
  <c r="ET25" i="72" s="1"/>
  <c r="DX25" i="72"/>
  <c r="DX25" i="72" a="1"/>
  <c r="DB25" i="72" a="1"/>
  <c r="DB25" i="72" s="1"/>
  <c r="CF25" i="72" a="1"/>
  <c r="CF25" i="72" s="1"/>
  <c r="BJ25" i="72" a="1"/>
  <c r="BJ25" i="72" s="1"/>
  <c r="IZ24" i="72"/>
  <c r="IZ24" i="72" a="1"/>
  <c r="ID24" i="72" a="1"/>
  <c r="ID24" i="72" s="1"/>
  <c r="HH24" i="72" a="1"/>
  <c r="HH24" i="72" s="1"/>
  <c r="GL24" i="72" a="1"/>
  <c r="GL24" i="72" s="1"/>
  <c r="FP24" i="72"/>
  <c r="FP24" i="72" a="1"/>
  <c r="ET24" i="72" a="1"/>
  <c r="ET24" i="72" s="1"/>
  <c r="DX24" i="72" a="1"/>
  <c r="DX24" i="72" s="1"/>
  <c r="DB24" i="72" a="1"/>
  <c r="DB24" i="72" s="1"/>
  <c r="CF24" i="72"/>
  <c r="CF24" i="72" a="1"/>
  <c r="BJ24" i="72" a="1"/>
  <c r="BJ24" i="72" s="1"/>
  <c r="IZ23" i="72"/>
  <c r="IZ23" i="72" a="1"/>
  <c r="ID23" i="72" a="1"/>
  <c r="ID23" i="72" s="1"/>
  <c r="HH23" i="72" a="1"/>
  <c r="HH23" i="72" s="1"/>
  <c r="GL23" i="72"/>
  <c r="GL23" i="72" a="1"/>
  <c r="FP23" i="72" a="1"/>
  <c r="FP23" i="72" s="1"/>
  <c r="ET23" i="72" a="1"/>
  <c r="ET23" i="72" s="1"/>
  <c r="DX23" i="72" a="1"/>
  <c r="DX23" i="72" s="1"/>
  <c r="DB23" i="72"/>
  <c r="DB23" i="72" a="1"/>
  <c r="CF23" i="72" a="1"/>
  <c r="CF23" i="72" s="1"/>
  <c r="BJ23" i="72" a="1"/>
  <c r="BJ23" i="72" s="1"/>
  <c r="IZ22" i="72" a="1"/>
  <c r="IZ22" i="72" s="1"/>
  <c r="ID22" i="72" a="1"/>
  <c r="ID22" i="72" s="1"/>
  <c r="HH22" i="72" a="1"/>
  <c r="HH22" i="72" s="1"/>
  <c r="GL22" i="72"/>
  <c r="GL22" i="72" a="1"/>
  <c r="FP22" i="72" a="1"/>
  <c r="FP22" i="72" s="1"/>
  <c r="ET22" i="72"/>
  <c r="ET22" i="72" a="1"/>
  <c r="DX22" i="72" a="1"/>
  <c r="DX22" i="72" s="1"/>
  <c r="DB22" i="72"/>
  <c r="DB22" i="72" a="1"/>
  <c r="CF22" i="72" a="1"/>
  <c r="CF22" i="72" s="1"/>
  <c r="BJ22" i="72"/>
  <c r="BJ22" i="72" a="1"/>
  <c r="IZ21" i="72" a="1"/>
  <c r="IZ21" i="72" s="1"/>
  <c r="ID21" i="72"/>
  <c r="ID21" i="72" a="1"/>
  <c r="HH21" i="72" a="1"/>
  <c r="HH21" i="72" s="1"/>
  <c r="GL21" i="72"/>
  <c r="GL21" i="72" a="1"/>
  <c r="FP21" i="72" a="1"/>
  <c r="FP21" i="72" s="1"/>
  <c r="ET21" i="72" a="1"/>
  <c r="ET21" i="72" s="1"/>
  <c r="DX21" i="72" a="1"/>
  <c r="DX21" i="72" s="1"/>
  <c r="DB21" i="72" a="1"/>
  <c r="DB21" i="72" s="1"/>
  <c r="CF21" i="72" a="1"/>
  <c r="CF21" i="72" s="1"/>
  <c r="BJ21" i="72"/>
  <c r="BJ21" i="72" a="1"/>
  <c r="IZ20" i="72"/>
  <c r="IZ20" i="72" a="1"/>
  <c r="ID20" i="72" a="1"/>
  <c r="ID20" i="72" s="1"/>
  <c r="HH20" i="72" a="1"/>
  <c r="HH20" i="72" s="1"/>
  <c r="GL20" i="72" a="1"/>
  <c r="GL20" i="72" s="1"/>
  <c r="FP20" i="72"/>
  <c r="FP20" i="72" a="1"/>
  <c r="ET20" i="72" a="1"/>
  <c r="ET20" i="72" s="1"/>
  <c r="DX20" i="72" a="1"/>
  <c r="DX20" i="72" s="1"/>
  <c r="DB20" i="72" a="1"/>
  <c r="DB20" i="72" s="1"/>
  <c r="CF20" i="72" a="1"/>
  <c r="CF20" i="72" s="1"/>
  <c r="BJ20" i="72" a="1"/>
  <c r="BJ20" i="72" s="1"/>
  <c r="IZ19" i="72" a="1"/>
  <c r="IZ19" i="72" s="1"/>
  <c r="ID19" i="72" a="1"/>
  <c r="ID19" i="72" s="1"/>
  <c r="HH19" i="72" a="1"/>
  <c r="HH19" i="72" s="1"/>
  <c r="GL19" i="72" a="1"/>
  <c r="GL19" i="72" s="1"/>
  <c r="FP19" i="72" a="1"/>
  <c r="FP19" i="72" s="1"/>
  <c r="ET19" i="72" a="1"/>
  <c r="ET19" i="72" s="1"/>
  <c r="DX19" i="72" a="1"/>
  <c r="DX19" i="72" s="1"/>
  <c r="DB19" i="72"/>
  <c r="DB19" i="72" a="1"/>
  <c r="CF19" i="72" a="1"/>
  <c r="CF19" i="72" s="1"/>
  <c r="BJ19" i="72" a="1"/>
  <c r="BJ19" i="72" s="1"/>
  <c r="IZ18" i="72" a="1"/>
  <c r="IZ18" i="72" s="1"/>
  <c r="ID18" i="72" a="1"/>
  <c r="ID18" i="72" s="1"/>
  <c r="HH18" i="72"/>
  <c r="HH18" i="72" a="1"/>
  <c r="GL18" i="72" a="1"/>
  <c r="GL18" i="72" s="1"/>
  <c r="FP18" i="72" a="1"/>
  <c r="FP18" i="72" s="1"/>
  <c r="ET18" i="72" a="1"/>
  <c r="ET18" i="72" s="1"/>
  <c r="DX18" i="72" a="1"/>
  <c r="DX18" i="72" s="1"/>
  <c r="DB18" i="72" a="1"/>
  <c r="DB18" i="72" s="1"/>
  <c r="CF18" i="72" a="1"/>
  <c r="CF18" i="72" s="1"/>
  <c r="BJ18" i="72" a="1"/>
  <c r="BJ18" i="72" s="1"/>
  <c r="IZ17" i="72" a="1"/>
  <c r="IZ17" i="72" s="1"/>
  <c r="ID17" i="72" a="1"/>
  <c r="ID17" i="72" s="1"/>
  <c r="HH17" i="72" a="1"/>
  <c r="HH17" i="72" s="1"/>
  <c r="GL17" i="72"/>
  <c r="GL17" i="72" a="1"/>
  <c r="FP17" i="72"/>
  <c r="FP17" i="72" a="1"/>
  <c r="ET17" i="72"/>
  <c r="ET17" i="72" a="1"/>
  <c r="DX17" i="72" a="1"/>
  <c r="DX17" i="72" s="1"/>
  <c r="DB17" i="72"/>
  <c r="DB17" i="72" a="1"/>
  <c r="CF17" i="72"/>
  <c r="CF17" i="72" a="1"/>
  <c r="BJ17" i="72" a="1"/>
  <c r="BJ17" i="72" s="1"/>
  <c r="IZ16" i="72" a="1"/>
  <c r="IZ16" i="72" s="1"/>
  <c r="ID16" i="72" a="1"/>
  <c r="ID16" i="72" s="1"/>
  <c r="HH16" i="72" a="1"/>
  <c r="HH16" i="72" s="1"/>
  <c r="GL16" i="72" a="1"/>
  <c r="GL16" i="72" s="1"/>
  <c r="FP16" i="72" a="1"/>
  <c r="FP16" i="72" s="1"/>
  <c r="ET16" i="72" a="1"/>
  <c r="ET16" i="72" s="1"/>
  <c r="DX16" i="72"/>
  <c r="DX16" i="72" a="1"/>
  <c r="DB16" i="72" a="1"/>
  <c r="DB16" i="72" s="1"/>
  <c r="CF16" i="72" a="1"/>
  <c r="CF16" i="72" s="1"/>
  <c r="BJ16" i="72" a="1"/>
  <c r="BJ16" i="72" s="1"/>
  <c r="IZ15" i="72" a="1"/>
  <c r="IZ15" i="72" s="1"/>
  <c r="ID15" i="72" a="1"/>
  <c r="ID15" i="72" s="1"/>
  <c r="HH15" i="72" a="1"/>
  <c r="HH15" i="72" s="1"/>
  <c r="GL15" i="72" a="1"/>
  <c r="GL15" i="72" s="1"/>
  <c r="FP15" i="72" a="1"/>
  <c r="FP15" i="72" s="1"/>
  <c r="ET15" i="72"/>
  <c r="ET15" i="72" a="1"/>
  <c r="DX15" i="72" a="1"/>
  <c r="DX15" i="72" s="1"/>
  <c r="DB15" i="72" a="1"/>
  <c r="DB15" i="72" s="1"/>
  <c r="CF15" i="72"/>
  <c r="CF15" i="72" a="1"/>
  <c r="BJ15" i="72" a="1"/>
  <c r="BJ15" i="72" s="1"/>
  <c r="IZ14" i="72" a="1"/>
  <c r="IZ14" i="72" s="1"/>
  <c r="ID14" i="72" a="1"/>
  <c r="ID14" i="72" s="1"/>
  <c r="HH14" i="72" a="1"/>
  <c r="HH14" i="72" s="1"/>
  <c r="GL14" i="72" a="1"/>
  <c r="GL14" i="72" s="1"/>
  <c r="FP14" i="72" a="1"/>
  <c r="FP14" i="72" s="1"/>
  <c r="ET14" i="72" a="1"/>
  <c r="ET14" i="72" s="1"/>
  <c r="DX14" i="72" a="1"/>
  <c r="DX14" i="72" s="1"/>
  <c r="DB14" i="72"/>
  <c r="DB14" i="72" a="1"/>
  <c r="CF14" i="72" a="1"/>
  <c r="CF14" i="72" s="1"/>
  <c r="BJ14" i="72" a="1"/>
  <c r="BJ14" i="72" s="1"/>
  <c r="IY15" i="72"/>
  <c r="IY16" i="72"/>
  <c r="IY17" i="72"/>
  <c r="IY18" i="72"/>
  <c r="IY19" i="72"/>
  <c r="IY20" i="72"/>
  <c r="IY21" i="72"/>
  <c r="IY22" i="72"/>
  <c r="IY23" i="72"/>
  <c r="IY24" i="72"/>
  <c r="IY25" i="72"/>
  <c r="IY26" i="72"/>
  <c r="IY27" i="72"/>
  <c r="IY28" i="72"/>
  <c r="IY29" i="72"/>
  <c r="IY30" i="72"/>
  <c r="IY31" i="72"/>
  <c r="IY32" i="72"/>
  <c r="IY33" i="72"/>
  <c r="IY34" i="72"/>
  <c r="IY14" i="72"/>
  <c r="IC15" i="72"/>
  <c r="IC16" i="72"/>
  <c r="IC17" i="72"/>
  <c r="IC18" i="72"/>
  <c r="IC19" i="72"/>
  <c r="IC20" i="72"/>
  <c r="IC21" i="72"/>
  <c r="IC22" i="72"/>
  <c r="IC23" i="72"/>
  <c r="IC24" i="72"/>
  <c r="IC25" i="72"/>
  <c r="IC26" i="72"/>
  <c r="IC27" i="72"/>
  <c r="IC28" i="72"/>
  <c r="IC29" i="72"/>
  <c r="IC30" i="72"/>
  <c r="IC31" i="72"/>
  <c r="IC32" i="72"/>
  <c r="IC33" i="72"/>
  <c r="IC34" i="72"/>
  <c r="IC14" i="72"/>
  <c r="HG15" i="72"/>
  <c r="HG16" i="72"/>
  <c r="HG17" i="72"/>
  <c r="HG18" i="72"/>
  <c r="HG19" i="72"/>
  <c r="HG20" i="72"/>
  <c r="HG21" i="72"/>
  <c r="HG22" i="72"/>
  <c r="HG23" i="72"/>
  <c r="HG24" i="72"/>
  <c r="HG25" i="72"/>
  <c r="HG26" i="72"/>
  <c r="HG27" i="72"/>
  <c r="HG28" i="72"/>
  <c r="HG29" i="72"/>
  <c r="HG30" i="72"/>
  <c r="HG31" i="72"/>
  <c r="HG32" i="72"/>
  <c r="HG33" i="72"/>
  <c r="HG34" i="72"/>
  <c r="HG14" i="72"/>
  <c r="GK15" i="72"/>
  <c r="GK16" i="72"/>
  <c r="GK17" i="72"/>
  <c r="GK18" i="72"/>
  <c r="GK19" i="72"/>
  <c r="GK20" i="72"/>
  <c r="GK21" i="72"/>
  <c r="GK22" i="72"/>
  <c r="GK23" i="72"/>
  <c r="GK24" i="72"/>
  <c r="GK25" i="72"/>
  <c r="GK26" i="72"/>
  <c r="GK27" i="72"/>
  <c r="GK28" i="72"/>
  <c r="GK29" i="72"/>
  <c r="GK30" i="72"/>
  <c r="GK31" i="72"/>
  <c r="GK32" i="72"/>
  <c r="GK33" i="72"/>
  <c r="GK34" i="72"/>
  <c r="GK14" i="72"/>
  <c r="FO15" i="72"/>
  <c r="FO16" i="72"/>
  <c r="FO17" i="72"/>
  <c r="FO18" i="72"/>
  <c r="FO19" i="72"/>
  <c r="FO20" i="72"/>
  <c r="FO21" i="72"/>
  <c r="FO22" i="72"/>
  <c r="FO23" i="72"/>
  <c r="FO24" i="72"/>
  <c r="FO25" i="72"/>
  <c r="FO26" i="72"/>
  <c r="FO27" i="72"/>
  <c r="FO28" i="72"/>
  <c r="FO29" i="72"/>
  <c r="FO30" i="72"/>
  <c r="FO31" i="72"/>
  <c r="FO32" i="72"/>
  <c r="FO33" i="72"/>
  <c r="FO34" i="72"/>
  <c r="FO14" i="72"/>
  <c r="ES15" i="72"/>
  <c r="ES16" i="72"/>
  <c r="ES17" i="72"/>
  <c r="ES18" i="72"/>
  <c r="ES19" i="72"/>
  <c r="ES20" i="72"/>
  <c r="ES21" i="72"/>
  <c r="ES22" i="72"/>
  <c r="ES23" i="72"/>
  <c r="ES24" i="72"/>
  <c r="ES25" i="72"/>
  <c r="ES26" i="72"/>
  <c r="ES27" i="72"/>
  <c r="ES28" i="72"/>
  <c r="ES29" i="72"/>
  <c r="ES30" i="72"/>
  <c r="ES31" i="72"/>
  <c r="ES32" i="72"/>
  <c r="ES33" i="72"/>
  <c r="ES34" i="72"/>
  <c r="ES14" i="72"/>
  <c r="DW15" i="72"/>
  <c r="DW16" i="72"/>
  <c r="DW17" i="72"/>
  <c r="DW18" i="72"/>
  <c r="DW19" i="72"/>
  <c r="DW20" i="72"/>
  <c r="DW21" i="72"/>
  <c r="DW22" i="72"/>
  <c r="DW23" i="72"/>
  <c r="DW24" i="72"/>
  <c r="DW25" i="72"/>
  <c r="DW26" i="72"/>
  <c r="DW27" i="72"/>
  <c r="DW28" i="72"/>
  <c r="DW29" i="72"/>
  <c r="DW30" i="72"/>
  <c r="DW31" i="72"/>
  <c r="DW32" i="72"/>
  <c r="DW33" i="72"/>
  <c r="DW34" i="72"/>
  <c r="DW14" i="72"/>
  <c r="DA15" i="72"/>
  <c r="DA16" i="72"/>
  <c r="DA17" i="72"/>
  <c r="DA18" i="72"/>
  <c r="DA19" i="72"/>
  <c r="DA20" i="72"/>
  <c r="DA21" i="72"/>
  <c r="DA22" i="72"/>
  <c r="DA23" i="72"/>
  <c r="DA24" i="72"/>
  <c r="DA25" i="72"/>
  <c r="DA26" i="72"/>
  <c r="DA27" i="72"/>
  <c r="DA28" i="72"/>
  <c r="DA29" i="72"/>
  <c r="DA30" i="72"/>
  <c r="DA31" i="72"/>
  <c r="DA32" i="72"/>
  <c r="DA33" i="72"/>
  <c r="DA34" i="72"/>
  <c r="DA14" i="72"/>
  <c r="CE15" i="72"/>
  <c r="CE16" i="72"/>
  <c r="CE17" i="72"/>
  <c r="CE18" i="72"/>
  <c r="CE19" i="72"/>
  <c r="CE20" i="72"/>
  <c r="CE21" i="72"/>
  <c r="CE22" i="72"/>
  <c r="CE23" i="72"/>
  <c r="CE24" i="72"/>
  <c r="CE25" i="72"/>
  <c r="CE26" i="72"/>
  <c r="CE27" i="72"/>
  <c r="CE28" i="72"/>
  <c r="CE29" i="72"/>
  <c r="CE30" i="72"/>
  <c r="CE31" i="72"/>
  <c r="CE32" i="72"/>
  <c r="CE33" i="72"/>
  <c r="CE34" i="72"/>
  <c r="CE14" i="72"/>
  <c r="BI15" i="72"/>
  <c r="BI16" i="72"/>
  <c r="BI17" i="72"/>
  <c r="BI18" i="72"/>
  <c r="BI19" i="72"/>
  <c r="BI20" i="72"/>
  <c r="BI21" i="72"/>
  <c r="BI22" i="72"/>
  <c r="BI23" i="72"/>
  <c r="BI24" i="72"/>
  <c r="BI25" i="72"/>
  <c r="BI26" i="72"/>
  <c r="BI27" i="72"/>
  <c r="BI28" i="72"/>
  <c r="BI29" i="72"/>
  <c r="BI30" i="72"/>
  <c r="BI31" i="72"/>
  <c r="BI32" i="72"/>
  <c r="BI33" i="72"/>
  <c r="BI34" i="72"/>
  <c r="BI14" i="72"/>
  <c r="IR2" i="72"/>
  <c r="IU30" i="72"/>
  <c r="IV27" i="72"/>
  <c r="IU22" i="72"/>
  <c r="IV19" i="72"/>
  <c r="IU19" i="72"/>
  <c r="IV16" i="72"/>
  <c r="IU14" i="72"/>
  <c r="IR12" i="72"/>
  <c r="IQ12" i="72"/>
  <c r="IR1" i="72"/>
  <c r="HV2" i="72"/>
  <c r="HZ32" i="72" s="1"/>
  <c r="HY33" i="72"/>
  <c r="HZ30" i="72"/>
  <c r="HY30" i="72"/>
  <c r="HZ27" i="72"/>
  <c r="HY25" i="72"/>
  <c r="HZ22" i="72"/>
  <c r="HY22" i="72"/>
  <c r="HZ19" i="72"/>
  <c r="HY17" i="72"/>
  <c r="HY16" i="72"/>
  <c r="HZ14" i="72"/>
  <c r="HY14" i="72"/>
  <c r="IB12" i="72"/>
  <c r="HW12" i="72"/>
  <c r="HV12" i="72"/>
  <c r="GZ2" i="72"/>
  <c r="HD34" i="72" s="1"/>
  <c r="HD33" i="72"/>
  <c r="HD32" i="72"/>
  <c r="HC32" i="72"/>
  <c r="HC31" i="72"/>
  <c r="HC30" i="72"/>
  <c r="HD29" i="72"/>
  <c r="HD28" i="72"/>
  <c r="HC28" i="72"/>
  <c r="HD27" i="72"/>
  <c r="HC27" i="72"/>
  <c r="HD25" i="72"/>
  <c r="HD24" i="72"/>
  <c r="HC24" i="72"/>
  <c r="HD23" i="72"/>
  <c r="HC23" i="72"/>
  <c r="HC22" i="72"/>
  <c r="HD21" i="72"/>
  <c r="HD20" i="72"/>
  <c r="HC20" i="72"/>
  <c r="HD19" i="72"/>
  <c r="HC19" i="72"/>
  <c r="HC18" i="72"/>
  <c r="HD17" i="72"/>
  <c r="HD16" i="72"/>
  <c r="HC16" i="72"/>
  <c r="HD15" i="72"/>
  <c r="HC15" i="72"/>
  <c r="HC14" i="72"/>
  <c r="HF12" i="72"/>
  <c r="HD12" i="72"/>
  <c r="HC12" i="72"/>
  <c r="HB12" i="72"/>
  <c r="GZ12" i="72"/>
  <c r="GY12" i="72"/>
  <c r="GD2" i="72"/>
  <c r="GG32" i="72" s="1"/>
  <c r="GH34" i="72"/>
  <c r="GG34" i="72"/>
  <c r="GH33" i="72"/>
  <c r="GG33" i="72"/>
  <c r="GH32" i="72"/>
  <c r="GH31" i="72"/>
  <c r="GG31" i="72"/>
  <c r="GH30" i="72"/>
  <c r="GG30" i="72"/>
  <c r="GH29" i="72"/>
  <c r="GG29" i="72"/>
  <c r="GH28" i="72"/>
  <c r="GG28" i="72"/>
  <c r="GH27" i="72"/>
  <c r="GG27" i="72"/>
  <c r="GH26" i="72"/>
  <c r="GG26" i="72"/>
  <c r="GH25" i="72"/>
  <c r="GG25" i="72"/>
  <c r="GH24" i="72"/>
  <c r="GG24" i="72"/>
  <c r="GH23" i="72"/>
  <c r="GG23" i="72"/>
  <c r="GH22" i="72"/>
  <c r="GG22" i="72"/>
  <c r="GH21" i="72"/>
  <c r="GG21" i="72"/>
  <c r="GH20" i="72"/>
  <c r="GG20" i="72"/>
  <c r="GH19" i="72"/>
  <c r="GG19" i="72"/>
  <c r="GH18" i="72"/>
  <c r="GG18" i="72"/>
  <c r="GH17" i="72"/>
  <c r="GG17" i="72"/>
  <c r="GH16" i="72"/>
  <c r="GG16" i="72"/>
  <c r="GH15" i="72"/>
  <c r="GG15" i="72"/>
  <c r="GH14" i="72"/>
  <c r="GG14" i="72"/>
  <c r="GJ12" i="72"/>
  <c r="GI12" i="72"/>
  <c r="GH12" i="72"/>
  <c r="GG12" i="72"/>
  <c r="GF12" i="72"/>
  <c r="GE12" i="72"/>
  <c r="GD12" i="72"/>
  <c r="GC12" i="72"/>
  <c r="FH2" i="72"/>
  <c r="FL34" i="72"/>
  <c r="FK34" i="72"/>
  <c r="FL33" i="72"/>
  <c r="FK33" i="72"/>
  <c r="FL32" i="72"/>
  <c r="FK32" i="72"/>
  <c r="FL31" i="72"/>
  <c r="FK31" i="72"/>
  <c r="FL30" i="72"/>
  <c r="FK30" i="72"/>
  <c r="FL29" i="72"/>
  <c r="FK29" i="72"/>
  <c r="FL28" i="72"/>
  <c r="FK28" i="72"/>
  <c r="FL27" i="72"/>
  <c r="FK27" i="72"/>
  <c r="FL26" i="72"/>
  <c r="FK26" i="72"/>
  <c r="FL25" i="72"/>
  <c r="FK25" i="72"/>
  <c r="FL24" i="72"/>
  <c r="FK24" i="72"/>
  <c r="FL23" i="72"/>
  <c r="FK23" i="72"/>
  <c r="FL22" i="72"/>
  <c r="FK22" i="72"/>
  <c r="FL21" i="72"/>
  <c r="FK21" i="72"/>
  <c r="FL20" i="72"/>
  <c r="FK20" i="72"/>
  <c r="FL19" i="72"/>
  <c r="FK19" i="72"/>
  <c r="FL18" i="72"/>
  <c r="FK18" i="72"/>
  <c r="FL17" i="72"/>
  <c r="FK17" i="72"/>
  <c r="FL16" i="72"/>
  <c r="FK16" i="72"/>
  <c r="FL15" i="72"/>
  <c r="FK15" i="72"/>
  <c r="FL14" i="72"/>
  <c r="FK14" i="72"/>
  <c r="FN12" i="72"/>
  <c r="FM12" i="72"/>
  <c r="FL12" i="72"/>
  <c r="FK12" i="72"/>
  <c r="FJ12" i="72"/>
  <c r="FI12" i="72"/>
  <c r="FH12" i="72"/>
  <c r="FG12" i="72"/>
  <c r="EL2" i="72"/>
  <c r="DS34" i="72"/>
  <c r="EO33" i="72"/>
  <c r="EP31" i="72"/>
  <c r="DS31" i="72"/>
  <c r="EO30" i="72"/>
  <c r="DS30" i="72"/>
  <c r="EP29" i="72"/>
  <c r="DS29" i="72"/>
  <c r="EP28" i="72"/>
  <c r="EO28" i="72"/>
  <c r="EP27" i="72"/>
  <c r="DS27" i="72"/>
  <c r="EO26" i="72"/>
  <c r="DS26" i="72"/>
  <c r="EO25" i="72"/>
  <c r="EP24" i="72"/>
  <c r="DS24" i="72"/>
  <c r="EP23" i="72"/>
  <c r="DS23" i="72"/>
  <c r="EP22" i="72"/>
  <c r="EO22" i="72"/>
  <c r="DS22" i="72"/>
  <c r="EP21" i="72"/>
  <c r="EO21" i="72"/>
  <c r="DS21" i="72"/>
  <c r="EP20" i="72"/>
  <c r="EO20" i="72"/>
  <c r="DS20" i="72"/>
  <c r="EP19" i="72"/>
  <c r="EO19" i="72"/>
  <c r="DS19" i="72"/>
  <c r="EP18" i="72"/>
  <c r="EO18" i="72"/>
  <c r="DS18" i="72"/>
  <c r="EP17" i="72"/>
  <c r="EO17" i="72"/>
  <c r="DS17" i="72"/>
  <c r="EP16" i="72"/>
  <c r="EO16" i="72"/>
  <c r="DS16" i="72"/>
  <c r="EP15" i="72"/>
  <c r="EO15" i="72"/>
  <c r="DS15" i="72"/>
  <c r="EP14" i="72"/>
  <c r="EO14" i="72"/>
  <c r="DS14" i="72"/>
  <c r="ER12" i="72"/>
  <c r="EQ12" i="72"/>
  <c r="EP12" i="72"/>
  <c r="EO12" i="72"/>
  <c r="EN12" i="72"/>
  <c r="EM12" i="72"/>
  <c r="EL12" i="72"/>
  <c r="EK12" i="72"/>
  <c r="DP2" i="72"/>
  <c r="DT34" i="72" s="1"/>
  <c r="DT33" i="72"/>
  <c r="DT32" i="72"/>
  <c r="DT31" i="72"/>
  <c r="DT30" i="72"/>
  <c r="DT26" i="72"/>
  <c r="DT25" i="72"/>
  <c r="DT23" i="72"/>
  <c r="DT22" i="72"/>
  <c r="DT21" i="72"/>
  <c r="DT19" i="72"/>
  <c r="DT18" i="72"/>
  <c r="DT17" i="72"/>
  <c r="DT16" i="72"/>
  <c r="DT15" i="72"/>
  <c r="DT14" i="72"/>
  <c r="DV12" i="72"/>
  <c r="DU12" i="72"/>
  <c r="DS12" i="72"/>
  <c r="DR12" i="72"/>
  <c r="DQ12" i="72"/>
  <c r="CT2" i="72"/>
  <c r="CX34" i="72"/>
  <c r="CW34" i="72"/>
  <c r="CX33" i="72"/>
  <c r="CW33" i="72"/>
  <c r="CX32" i="72"/>
  <c r="CW32" i="72"/>
  <c r="CX31" i="72"/>
  <c r="CW31" i="72"/>
  <c r="CX30" i="72"/>
  <c r="CW30" i="72"/>
  <c r="CX29" i="72"/>
  <c r="CW29" i="72"/>
  <c r="CX28" i="72"/>
  <c r="CW28" i="72"/>
  <c r="CX27" i="72"/>
  <c r="CW27" i="72"/>
  <c r="CX26" i="72"/>
  <c r="CW26" i="72"/>
  <c r="CX25" i="72"/>
  <c r="CW25" i="72"/>
  <c r="CX24" i="72"/>
  <c r="CW24" i="72"/>
  <c r="CX23" i="72"/>
  <c r="CW23" i="72"/>
  <c r="CX22" i="72"/>
  <c r="CW22" i="72"/>
  <c r="CX21" i="72"/>
  <c r="CW21" i="72"/>
  <c r="CX20" i="72"/>
  <c r="CW20" i="72"/>
  <c r="CX19" i="72"/>
  <c r="CW19" i="72"/>
  <c r="CX18" i="72"/>
  <c r="CW18" i="72"/>
  <c r="CX17" i="72"/>
  <c r="CW17" i="72"/>
  <c r="CX16" i="72"/>
  <c r="CW16" i="72"/>
  <c r="CX15" i="72"/>
  <c r="CW15" i="72"/>
  <c r="CX14" i="72"/>
  <c r="CW14" i="72"/>
  <c r="CZ12" i="72"/>
  <c r="CY12" i="72"/>
  <c r="CX12" i="72"/>
  <c r="CW12" i="72"/>
  <c r="CV12" i="72"/>
  <c r="CU12" i="72"/>
  <c r="CT12" i="72"/>
  <c r="CS12" i="72"/>
  <c r="BX2" i="72"/>
  <c r="CB34" i="72" s="1"/>
  <c r="CA33" i="72"/>
  <c r="CB32" i="72"/>
  <c r="CA32" i="72"/>
  <c r="CB30" i="72"/>
  <c r="CA30" i="72"/>
  <c r="CB29" i="72"/>
  <c r="CA29" i="72"/>
  <c r="CB28" i="72"/>
  <c r="CA28" i="72"/>
  <c r="CB27" i="72"/>
  <c r="CA27" i="72"/>
  <c r="CB26" i="72"/>
  <c r="CA26" i="72"/>
  <c r="CB25" i="72"/>
  <c r="CA25" i="72"/>
  <c r="CB24" i="72"/>
  <c r="CA24" i="72"/>
  <c r="CB23" i="72"/>
  <c r="CA23" i="72"/>
  <c r="CB22" i="72"/>
  <c r="CA22" i="72"/>
  <c r="CB21" i="72"/>
  <c r="CA21" i="72"/>
  <c r="CB20" i="72"/>
  <c r="CA20" i="72"/>
  <c r="CB19" i="72"/>
  <c r="CA19" i="72"/>
  <c r="CB18" i="72"/>
  <c r="CA18" i="72"/>
  <c r="CB17" i="72"/>
  <c r="CA17" i="72"/>
  <c r="CB16" i="72"/>
  <c r="CA16" i="72"/>
  <c r="CB15" i="72"/>
  <c r="CA15" i="72"/>
  <c r="CB14" i="72"/>
  <c r="CA14" i="72"/>
  <c r="CD12" i="72"/>
  <c r="CC12" i="72"/>
  <c r="CB12" i="72"/>
  <c r="CA12" i="72"/>
  <c r="BZ12" i="72"/>
  <c r="BY12" i="72"/>
  <c r="BX12" i="72"/>
  <c r="BW12" i="72"/>
  <c r="BB2" i="72"/>
  <c r="BE34" i="72"/>
  <c r="BF33" i="72"/>
  <c r="BE33" i="72"/>
  <c r="BF31" i="72"/>
  <c r="BE31" i="72"/>
  <c r="BE30" i="72"/>
  <c r="BF29" i="72"/>
  <c r="BE29" i="72"/>
  <c r="BF28" i="72"/>
  <c r="BE28" i="72"/>
  <c r="BF27" i="72"/>
  <c r="BF26" i="72"/>
  <c r="BE26" i="72"/>
  <c r="BF25" i="72"/>
  <c r="BE25" i="72"/>
  <c r="BF23" i="72"/>
  <c r="BE23" i="72"/>
  <c r="BE22" i="72"/>
  <c r="BE21" i="72"/>
  <c r="BE20" i="72"/>
  <c r="BF19" i="72"/>
  <c r="BE19" i="72"/>
  <c r="BE18" i="72"/>
  <c r="BE17" i="72"/>
  <c r="BF16" i="72"/>
  <c r="BF15" i="72"/>
  <c r="BH12" i="72"/>
  <c r="BF12" i="72"/>
  <c r="BE12" i="72"/>
  <c r="BD12" i="72"/>
  <c r="BB12" i="72"/>
  <c r="BA12" i="72"/>
  <c r="HV1" i="72"/>
  <c r="GZ1" i="72"/>
  <c r="GD1" i="72"/>
  <c r="FH1" i="72"/>
  <c r="EL1" i="72"/>
  <c r="DP1" i="72"/>
  <c r="CT1" i="72"/>
  <c r="BX1" i="72"/>
  <c r="BB1" i="72"/>
  <c r="IS12" i="72" l="1"/>
  <c r="IV14" i="72"/>
  <c r="IU17" i="72"/>
  <c r="IV22" i="72"/>
  <c r="IU25" i="72"/>
  <c r="IV30" i="72"/>
  <c r="IU33" i="72"/>
  <c r="IT12" i="72"/>
  <c r="IV17" i="72"/>
  <c r="IU20" i="72"/>
  <c r="IV25" i="72"/>
  <c r="IU28" i="72"/>
  <c r="IV33" i="72"/>
  <c r="IV28" i="72"/>
  <c r="IU12" i="72"/>
  <c r="IV20" i="72"/>
  <c r="IV12" i="72"/>
  <c r="IV15" i="72"/>
  <c r="IV23" i="72"/>
  <c r="IU26" i="72"/>
  <c r="IU34" i="72"/>
  <c r="IW12" i="72"/>
  <c r="IV18" i="72"/>
  <c r="IU21" i="72"/>
  <c r="IV26" i="72"/>
  <c r="IU29" i="72"/>
  <c r="IV34" i="72"/>
  <c r="IU15" i="72"/>
  <c r="IU23" i="72"/>
  <c r="IU31" i="72"/>
  <c r="IU18" i="72"/>
  <c r="IV31" i="72"/>
  <c r="IX12" i="72"/>
  <c r="IU16" i="72"/>
  <c r="IV21" i="72"/>
  <c r="IU24" i="72"/>
  <c r="IV29" i="72"/>
  <c r="IU32" i="72"/>
  <c r="IV24" i="72"/>
  <c r="IU27" i="72"/>
  <c r="IV32" i="72"/>
  <c r="HX12" i="72"/>
  <c r="HZ17" i="72"/>
  <c r="HY20" i="72"/>
  <c r="HZ25" i="72"/>
  <c r="HY28" i="72"/>
  <c r="HZ33" i="72"/>
  <c r="HY12" i="72"/>
  <c r="HY15" i="72"/>
  <c r="HZ20" i="72"/>
  <c r="HY23" i="72"/>
  <c r="HZ28" i="72"/>
  <c r="HY31" i="72"/>
  <c r="HZ12" i="72"/>
  <c r="HZ15" i="72"/>
  <c r="HY18" i="72"/>
  <c r="HZ23" i="72"/>
  <c r="HY26" i="72"/>
  <c r="HZ31" i="72"/>
  <c r="HY34" i="72"/>
  <c r="IA12" i="72"/>
  <c r="HZ18" i="72"/>
  <c r="HY21" i="72"/>
  <c r="HZ26" i="72"/>
  <c r="HY29" i="72"/>
  <c r="HZ34" i="72"/>
  <c r="HZ21" i="72"/>
  <c r="HY24" i="72"/>
  <c r="HZ29" i="72"/>
  <c r="HY32" i="72"/>
  <c r="HU12" i="72"/>
  <c r="HZ16" i="72"/>
  <c r="HY19" i="72"/>
  <c r="HZ24" i="72"/>
  <c r="HY27" i="72"/>
  <c r="HA12" i="72"/>
  <c r="HD14" i="72"/>
  <c r="HC17" i="72"/>
  <c r="HD22" i="72"/>
  <c r="HC25" i="72"/>
  <c r="HD30" i="72"/>
  <c r="HC33" i="72"/>
  <c r="HC26" i="72"/>
  <c r="HD31" i="72"/>
  <c r="HC34" i="72"/>
  <c r="HE12" i="72"/>
  <c r="HD18" i="72"/>
  <c r="HC21" i="72"/>
  <c r="HD26" i="72"/>
  <c r="HC29" i="72"/>
  <c r="EP33" i="72"/>
  <c r="EP25" i="72"/>
  <c r="EO27" i="72"/>
  <c r="EO32" i="72"/>
  <c r="EP32" i="72"/>
  <c r="EO34" i="72"/>
  <c r="EO24" i="72"/>
  <c r="EO31" i="72"/>
  <c r="DS33" i="72"/>
  <c r="EP34" i="72"/>
  <c r="EO23" i="72"/>
  <c r="DS25" i="72"/>
  <c r="EP26" i="72"/>
  <c r="DS28" i="72"/>
  <c r="EO29" i="72"/>
  <c r="EP30" i="72"/>
  <c r="DS32" i="72"/>
  <c r="DT12" i="72"/>
  <c r="DT28" i="72"/>
  <c r="DO12" i="72"/>
  <c r="DT20" i="72"/>
  <c r="DT24" i="72"/>
  <c r="DT29" i="72"/>
  <c r="DP12" i="72"/>
  <c r="DT27" i="72"/>
  <c r="CB33" i="72"/>
  <c r="CA31" i="72"/>
  <c r="CB31" i="72"/>
  <c r="CA34" i="72"/>
  <c r="BG12" i="72"/>
  <c r="BE15" i="72"/>
  <c r="BF17" i="72"/>
  <c r="BF21" i="72"/>
  <c r="BE14" i="72"/>
  <c r="BF18" i="72"/>
  <c r="BF20" i="72"/>
  <c r="BF22" i="72"/>
  <c r="BE24" i="72"/>
  <c r="BF30" i="72"/>
  <c r="BE32" i="72"/>
  <c r="BF34" i="72"/>
  <c r="BC12" i="72"/>
  <c r="BF14" i="72"/>
  <c r="BE16" i="72"/>
  <c r="BF24" i="72"/>
  <c r="BE27" i="72"/>
  <c r="BF32"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J36" i="43" s="1"/>
  <c r="J37" i="43" s="1"/>
  <c r="J38" i="43" s="1"/>
  <c r="J39" i="43" s="1"/>
  <c r="J40" i="43" s="1"/>
  <c r="J41" i="43" s="1"/>
  <c r="J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BW5" i="72" s="1"/>
  <c r="IQ3" i="72"/>
  <c r="HU3" i="72"/>
  <c r="GY3" i="72"/>
  <c r="GC3" i="72"/>
  <c r="FG3" i="72"/>
  <c r="EK3" i="72"/>
  <c r="DO3" i="72"/>
  <c r="CS3" i="72"/>
  <c r="BW3" i="72"/>
  <c r="BA3" i="72"/>
  <c r="IQ6" i="72"/>
  <c r="HU6" i="72"/>
  <c r="GY6" i="72"/>
  <c r="GC6" i="72"/>
  <c r="FG6" i="72"/>
  <c r="EK6" i="72"/>
  <c r="DO6" i="72"/>
  <c r="CS6" i="72"/>
  <c r="BW6" i="72"/>
  <c r="BA6" i="72"/>
  <c r="BA5" i="72" s="1"/>
  <c r="IQ1" i="72"/>
  <c r="IQ5" i="72" s="1"/>
  <c r="HU1" i="72"/>
  <c r="HU5" i="72" s="1"/>
  <c r="GY1" i="72"/>
  <c r="GY5" i="72" s="1"/>
  <c r="GC1" i="72"/>
  <c r="GC5" i="72" s="1"/>
  <c r="FG1" i="72"/>
  <c r="FG5" i="72" s="1"/>
  <c r="EK1" i="72"/>
  <c r="EK5" i="72" s="1"/>
  <c r="DO1" i="72"/>
  <c r="DO5" i="72" s="1"/>
  <c r="CS1" i="72"/>
  <c r="CS5" i="72" s="1"/>
  <c r="H3" i="70"/>
  <c r="JA26" i="72" l="1"/>
  <c r="JA30" i="72"/>
  <c r="JA20" i="72"/>
  <c r="JA15" i="72"/>
  <c r="JA25" i="72"/>
  <c r="JA19" i="72"/>
  <c r="JA17" i="72"/>
  <c r="JA18" i="72"/>
  <c r="JA16" i="72"/>
  <c r="JA21" i="72"/>
  <c r="JA32" i="72"/>
  <c r="JA14" i="72"/>
  <c r="JA24" i="72"/>
  <c r="JA28" i="72"/>
  <c r="IE33" i="72"/>
  <c r="IE30" i="72"/>
  <c r="IE24" i="72"/>
  <c r="IE20" i="72"/>
  <c r="IE34" i="72"/>
  <c r="IE25" i="72"/>
  <c r="IE14" i="72"/>
  <c r="IE26" i="72"/>
  <c r="IE31" i="72"/>
  <c r="IE17" i="72"/>
  <c r="IE21" i="72"/>
  <c r="IE18" i="72"/>
  <c r="IE16" i="72"/>
  <c r="IE28" i="72"/>
  <c r="HI22" i="72"/>
  <c r="HI14" i="72"/>
  <c r="HI31" i="72"/>
  <c r="HI33" i="72"/>
  <c r="HI16" i="72"/>
  <c r="HI23" i="72"/>
  <c r="HI32" i="72"/>
  <c r="HI17" i="72"/>
  <c r="HI29" i="72"/>
  <c r="HI15" i="72"/>
  <c r="HI19" i="72"/>
  <c r="HI18" i="72"/>
  <c r="HI30" i="72"/>
  <c r="HI21" i="72"/>
  <c r="GM14" i="72"/>
  <c r="GM33" i="72"/>
  <c r="GM16" i="72"/>
  <c r="GM22" i="72"/>
  <c r="GM31" i="72"/>
  <c r="GM25" i="72"/>
  <c r="GM17" i="72"/>
  <c r="GM32" i="72"/>
  <c r="GM21" i="72"/>
  <c r="GM19" i="72"/>
  <c r="GM20" i="72"/>
  <c r="GM27" i="72"/>
  <c r="FQ16" i="72"/>
  <c r="FQ26" i="72"/>
  <c r="FQ28" i="72"/>
  <c r="FQ22" i="72"/>
  <c r="FQ25" i="72"/>
  <c r="FQ23" i="72"/>
  <c r="FQ15" i="72"/>
  <c r="FQ17" i="72"/>
  <c r="FQ33" i="72"/>
  <c r="FQ30" i="72"/>
  <c r="FQ14" i="72"/>
  <c r="FQ32" i="72"/>
  <c r="FQ31" i="72"/>
  <c r="FQ29" i="72"/>
  <c r="EU15" i="72"/>
  <c r="EU23" i="72"/>
  <c r="EU24" i="72"/>
  <c r="EU16" i="72"/>
  <c r="EU28" i="72"/>
  <c r="EU27" i="72"/>
  <c r="EU33" i="72"/>
  <c r="EU19" i="72"/>
  <c r="EU26" i="72"/>
  <c r="EU30" i="72"/>
  <c r="EU34" i="72"/>
  <c r="EU22" i="72"/>
  <c r="EU20" i="72"/>
  <c r="EU25" i="72"/>
  <c r="EU17" i="72"/>
  <c r="EU18" i="72"/>
  <c r="EU14" i="72"/>
  <c r="DY26" i="72"/>
  <c r="DY18" i="72"/>
  <c r="DY19" i="72"/>
  <c r="DY28" i="72"/>
  <c r="DY27" i="72"/>
  <c r="DY32" i="72"/>
  <c r="DY16" i="72"/>
  <c r="DY31" i="72"/>
  <c r="DY17" i="72"/>
  <c r="DY30" i="72"/>
  <c r="DY22" i="72"/>
  <c r="DY14" i="72"/>
  <c r="DY33" i="72"/>
  <c r="DY25" i="72"/>
  <c r="DY24" i="72"/>
  <c r="DC32" i="72"/>
  <c r="DC18" i="72"/>
  <c r="DC16" i="72"/>
  <c r="DC22" i="72"/>
  <c r="DC24" i="72"/>
  <c r="DC17" i="72"/>
  <c r="DC33" i="72"/>
  <c r="DC26" i="72"/>
  <c r="DC23" i="72"/>
  <c r="DC27" i="72"/>
  <c r="DC28" i="72"/>
  <c r="DC21" i="72"/>
  <c r="DC14" i="72"/>
  <c r="DC30" i="72"/>
  <c r="DC29" i="72"/>
  <c r="CG33" i="72"/>
  <c r="CG30" i="72"/>
  <c r="CG18" i="72"/>
  <c r="CG23" i="72"/>
  <c r="CG20" i="72"/>
  <c r="CG24" i="72"/>
  <c r="CG25" i="72"/>
  <c r="CG22" i="72"/>
  <c r="CG14" i="72"/>
  <c r="CG29" i="72"/>
  <c r="CG26" i="72"/>
  <c r="CG15" i="72"/>
  <c r="CG31" i="72"/>
  <c r="CG28" i="72"/>
  <c r="CG27" i="72"/>
  <c r="BK18" i="72"/>
  <c r="BK27" i="72"/>
  <c r="BK21" i="72"/>
  <c r="BK33" i="72"/>
  <c r="BK26" i="72"/>
  <c r="BK19" i="72"/>
  <c r="BK16" i="72"/>
  <c r="BK32" i="72"/>
  <c r="BK25" i="72"/>
  <c r="BK30" i="72"/>
  <c r="BK23" i="72"/>
  <c r="BK20" i="72"/>
  <c r="BK14" i="72"/>
  <c r="BK29" i="72"/>
  <c r="BK17" i="72"/>
  <c r="BK34" i="72"/>
  <c r="BK31" i="72"/>
  <c r="JA33" i="72"/>
  <c r="DC25" i="72"/>
  <c r="DC15" i="72"/>
  <c r="DC31" i="72"/>
  <c r="DC20" i="72"/>
  <c r="DC34" i="72"/>
  <c r="DY34" i="72"/>
  <c r="DY21" i="72"/>
  <c r="DY15" i="72"/>
  <c r="DY20" i="72"/>
  <c r="DY23" i="72"/>
  <c r="DY29" i="72"/>
  <c r="EU31" i="72"/>
  <c r="EU21" i="72"/>
  <c r="EU29" i="72"/>
  <c r="EU32" i="72"/>
  <c r="FQ21" i="72"/>
  <c r="FQ19" i="72"/>
  <c r="FQ24" i="72"/>
  <c r="FQ34" i="72"/>
  <c r="FQ20" i="72"/>
  <c r="FQ18" i="72"/>
  <c r="FQ27" i="72"/>
  <c r="HI24" i="72"/>
  <c r="HI27" i="72"/>
  <c r="HI25" i="72"/>
  <c r="HI20" i="72"/>
  <c r="HI28" i="72"/>
  <c r="HI26" i="72"/>
  <c r="HI34" i="72"/>
  <c r="BK28" i="72"/>
  <c r="BK24" i="72"/>
  <c r="GM23" i="72"/>
  <c r="GM28" i="72"/>
  <c r="GM18" i="72"/>
  <c r="GM26" i="72"/>
  <c r="GM34" i="72"/>
  <c r="GM24" i="72"/>
  <c r="GM29" i="72"/>
  <c r="GM30" i="72"/>
  <c r="GM15" i="72"/>
  <c r="IE32" i="72"/>
  <c r="IE19" i="72"/>
  <c r="IE22" i="72"/>
  <c r="IE15" i="72"/>
  <c r="IE27" i="72"/>
  <c r="IE29" i="72"/>
  <c r="IE23" i="72"/>
  <c r="CG21" i="72"/>
  <c r="CG34" i="72"/>
  <c r="JA34" i="72"/>
  <c r="JA29" i="72"/>
  <c r="JA27" i="72"/>
  <c r="JA22" i="72"/>
  <c r="JA23" i="72"/>
  <c r="JA31" i="72"/>
  <c r="DC19" i="72"/>
  <c r="CG17"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CO19" i="72" l="1" a="1"/>
  <c r="CO19" i="72" s="1"/>
  <c r="CL19" i="72" a="1"/>
  <c r="CL19" i="72" s="1"/>
  <c r="CK19" i="72" a="1"/>
  <c r="CK19" i="72" s="1"/>
  <c r="CJ19" i="72" a="1"/>
  <c r="CJ19" i="72" s="1"/>
  <c r="CI19" i="72" a="1"/>
  <c r="CI19" i="72" s="1"/>
  <c r="CH19" i="72" a="1"/>
  <c r="CH19" i="72" s="1"/>
  <c r="CN19" i="72" a="1"/>
  <c r="CN19" i="72" s="1"/>
  <c r="CM19" i="72" a="1"/>
  <c r="CM19" i="72" s="1"/>
  <c r="BU19" i="72" a="1"/>
  <c r="BU19" i="72" s="1"/>
  <c r="JI27" i="72" a="1"/>
  <c r="JI27" i="72" s="1"/>
  <c r="JD27" i="72" a="1"/>
  <c r="JD27" i="72" s="1"/>
  <c r="JG27" i="72" a="1"/>
  <c r="JG27" i="72" s="1"/>
  <c r="JB27" i="72" a="1"/>
  <c r="JB27" i="72" s="1"/>
  <c r="JF27" i="72" a="1"/>
  <c r="JF27" i="72" s="1"/>
  <c r="JH27" i="72" a="1"/>
  <c r="JH27" i="72" s="1"/>
  <c r="JE27" i="72" a="1"/>
  <c r="JE27" i="72" s="1"/>
  <c r="JC27" i="72" a="1"/>
  <c r="JC27" i="72" s="1"/>
  <c r="IO27" i="72" a="1"/>
  <c r="IO27" i="72" s="1"/>
  <c r="IG15" i="72" a="1"/>
  <c r="IG15" i="72" s="1"/>
  <c r="IK15" i="72" a="1"/>
  <c r="IK15" i="72" s="1"/>
  <c r="IF15" i="72" a="1"/>
  <c r="IF15" i="72" s="1"/>
  <c r="IJ15" i="72" a="1"/>
  <c r="IJ15" i="72" s="1"/>
  <c r="II15" i="72" a="1"/>
  <c r="II15" i="72" s="1"/>
  <c r="IM15" i="72" a="1"/>
  <c r="IM15" i="72" s="1"/>
  <c r="IH15" i="72" a="1"/>
  <c r="IH15" i="72" s="1"/>
  <c r="IL15" i="72" a="1"/>
  <c r="IL15" i="72" s="1"/>
  <c r="GU34" i="72" a="1"/>
  <c r="GU34" i="72" s="1"/>
  <c r="GQ34" i="72" a="1"/>
  <c r="GQ34" i="72" s="1"/>
  <c r="GR34" i="72" a="1"/>
  <c r="GR34" i="72" s="1"/>
  <c r="GA34" i="72" a="1"/>
  <c r="GA34" i="72" s="1"/>
  <c r="GP34" i="72" a="1"/>
  <c r="GP34" i="72" s="1"/>
  <c r="GO34" i="72" a="1"/>
  <c r="GO34" i="72" s="1"/>
  <c r="GT34" i="72" a="1"/>
  <c r="GT34" i="72" s="1"/>
  <c r="GN34" i="72" a="1"/>
  <c r="GN34" i="72" s="1"/>
  <c r="GS34" i="72" a="1"/>
  <c r="GS34" i="72" s="1"/>
  <c r="HP26" i="72" a="1"/>
  <c r="HP26" i="72" s="1"/>
  <c r="HK26" i="72" a="1"/>
  <c r="HK26" i="72" s="1"/>
  <c r="HO26" i="72" a="1"/>
  <c r="HO26" i="72" s="1"/>
  <c r="HJ26" i="72" a="1"/>
  <c r="HJ26" i="72" s="1"/>
  <c r="HN26" i="72" a="1"/>
  <c r="HN26" i="72" s="1"/>
  <c r="HM26" i="72" a="1"/>
  <c r="HM26" i="72" s="1"/>
  <c r="GW26" i="72" a="1"/>
  <c r="GW26" i="72" s="1"/>
  <c r="HQ26" i="72" a="1"/>
  <c r="HQ26" i="72" s="1"/>
  <c r="HL26" i="72" a="1"/>
  <c r="HL26" i="72" s="1"/>
  <c r="FX20" i="72" a="1"/>
  <c r="FX20" i="72" s="1"/>
  <c r="FS20" i="72" a="1"/>
  <c r="FS20" i="72" s="1"/>
  <c r="FR20" i="72" a="1"/>
  <c r="FR20" i="72" s="1"/>
  <c r="FV20" i="72" a="1"/>
  <c r="FV20" i="72" s="1"/>
  <c r="FE20" i="72" a="1"/>
  <c r="FE20" i="72" s="1"/>
  <c r="FU20" i="72" a="1"/>
  <c r="FU20" i="72" s="1"/>
  <c r="FY20" i="72" a="1"/>
  <c r="FY20" i="72" s="1"/>
  <c r="FW20" i="72" a="1"/>
  <c r="FW20" i="72" s="1"/>
  <c r="FT20" i="72" a="1"/>
  <c r="FT20" i="72" s="1"/>
  <c r="EW31" i="72" a="1"/>
  <c r="EW31" i="72" s="1"/>
  <c r="FA31" i="72" a="1"/>
  <c r="FA31" i="72" s="1"/>
  <c r="EZ31" i="72" a="1"/>
  <c r="EZ31" i="72" s="1"/>
  <c r="EY31" i="72" a="1"/>
  <c r="EY31" i="72" s="1"/>
  <c r="EI31" i="72" a="1"/>
  <c r="EI31" i="72" s="1"/>
  <c r="EV31" i="72" a="1"/>
  <c r="EV31" i="72" s="1"/>
  <c r="FC31" i="72" a="1"/>
  <c r="FC31" i="72" s="1"/>
  <c r="FB31" i="72" a="1"/>
  <c r="FB31" i="72" s="1"/>
  <c r="EX31" i="72" a="1"/>
  <c r="EX31" i="72" s="1"/>
  <c r="CQ20" i="72" a="1"/>
  <c r="CQ20" i="72" s="1"/>
  <c r="DJ20" i="72" a="1"/>
  <c r="DJ20" i="72" s="1"/>
  <c r="DI20" i="72" a="1"/>
  <c r="DI20" i="72" s="1"/>
  <c r="DD20" i="72" a="1"/>
  <c r="DD20" i="72" s="1"/>
  <c r="DH20" i="72" a="1"/>
  <c r="DH20" i="72" s="1"/>
  <c r="DG20" i="72" a="1"/>
  <c r="DG20" i="72" s="1"/>
  <c r="DF20" i="72" a="1"/>
  <c r="DF20" i="72" s="1"/>
  <c r="DE20" i="72" a="1"/>
  <c r="DE20" i="72" s="1"/>
  <c r="DK20" i="72" a="1"/>
  <c r="DK20" i="72" s="1"/>
  <c r="BS29" i="72" a="1"/>
  <c r="BS29" i="72" s="1"/>
  <c r="BO29" i="72" a="1"/>
  <c r="BO29" i="72" s="1"/>
  <c r="BR29" i="72" a="1"/>
  <c r="BR29" i="72" s="1"/>
  <c r="BN29" i="72" a="1"/>
  <c r="BN29" i="72" s="1"/>
  <c r="AY29" i="72" a="1"/>
  <c r="AY29" i="72" s="1"/>
  <c r="BM29" i="72" a="1"/>
  <c r="BM29" i="72" s="1"/>
  <c r="BL29" i="72" a="1"/>
  <c r="BL29" i="72" s="1"/>
  <c r="BQ29" i="72" a="1"/>
  <c r="BQ29" i="72" s="1"/>
  <c r="BP29" i="72" a="1"/>
  <c r="BP29" i="72" s="1"/>
  <c r="BQ19" i="72" a="1"/>
  <c r="BQ19" i="72" s="1"/>
  <c r="BM19" i="72" a="1"/>
  <c r="BM19" i="72" s="1"/>
  <c r="BL19" i="72" a="1"/>
  <c r="BL19" i="72" s="1"/>
  <c r="BS19" i="72" a="1"/>
  <c r="BS19" i="72" s="1"/>
  <c r="BR19" i="72" a="1"/>
  <c r="BR19" i="72" s="1"/>
  <c r="BP19" i="72" a="1"/>
  <c r="BP19" i="72" s="1"/>
  <c r="AY19" i="72" a="1"/>
  <c r="AY19" i="72" s="1"/>
  <c r="BO19" i="72" a="1"/>
  <c r="BO19" i="72" s="1"/>
  <c r="BN19" i="72" a="1"/>
  <c r="BN19" i="72" s="1"/>
  <c r="CK31" i="72" a="1"/>
  <c r="CK31" i="72" s="1"/>
  <c r="CJ31" i="72" a="1"/>
  <c r="CJ31" i="72" s="1"/>
  <c r="CO31" i="72" a="1"/>
  <c r="CO31" i="72" s="1"/>
  <c r="CH31" i="72" a="1"/>
  <c r="CH31" i="72" s="1"/>
  <c r="CN31" i="72" a="1"/>
  <c r="CN31" i="72" s="1"/>
  <c r="CM31" i="72" a="1"/>
  <c r="CM31" i="72" s="1"/>
  <c r="BU31" i="72" a="1"/>
  <c r="BU31" i="72" s="1"/>
  <c r="CL31" i="72" a="1"/>
  <c r="CL31" i="72" s="1"/>
  <c r="CI31" i="72" a="1"/>
  <c r="CI31" i="72" s="1"/>
  <c r="CH20" i="72" a="1"/>
  <c r="CH20" i="72" s="1"/>
  <c r="CM20" i="72" a="1"/>
  <c r="CM20" i="72" s="1"/>
  <c r="CL20" i="72" a="1"/>
  <c r="CL20" i="72" s="1"/>
  <c r="CK20" i="72" a="1"/>
  <c r="CK20" i="72" s="1"/>
  <c r="CJ20" i="72" a="1"/>
  <c r="CJ20" i="72" s="1"/>
  <c r="CI20" i="72" a="1"/>
  <c r="CI20" i="72" s="1"/>
  <c r="CO20" i="72" a="1"/>
  <c r="CO20" i="72" s="1"/>
  <c r="BU20" i="72" a="1"/>
  <c r="BU20" i="72" s="1"/>
  <c r="CN20" i="72" a="1"/>
  <c r="CN20" i="72" s="1"/>
  <c r="DH21" i="72" a="1"/>
  <c r="DH21" i="72" s="1"/>
  <c r="DD21" i="72" a="1"/>
  <c r="DD21" i="72" s="1"/>
  <c r="DJ21" i="72" a="1"/>
  <c r="DJ21" i="72" s="1"/>
  <c r="DE21" i="72" a="1"/>
  <c r="DE21" i="72" s="1"/>
  <c r="DK21" i="72" a="1"/>
  <c r="DK21" i="72" s="1"/>
  <c r="DI21" i="72" a="1"/>
  <c r="DI21" i="72" s="1"/>
  <c r="DG21" i="72" a="1"/>
  <c r="DG21" i="72" s="1"/>
  <c r="DF21" i="72" a="1"/>
  <c r="DF21" i="72" s="1"/>
  <c r="CQ21" i="72" a="1"/>
  <c r="CQ21" i="72" s="1"/>
  <c r="DF22" i="72" a="1"/>
  <c r="DF22" i="72" s="1"/>
  <c r="DJ22" i="72" a="1"/>
  <c r="DJ22" i="72" s="1"/>
  <c r="DE22" i="72" a="1"/>
  <c r="DE22" i="72" s="1"/>
  <c r="DI22" i="72" a="1"/>
  <c r="DI22" i="72" s="1"/>
  <c r="DD22" i="72" a="1"/>
  <c r="DD22" i="72" s="1"/>
  <c r="CQ22" i="72" a="1"/>
  <c r="CQ22" i="72" s="1"/>
  <c r="DK22" i="72" a="1"/>
  <c r="DK22" i="72" s="1"/>
  <c r="DH22" i="72" a="1"/>
  <c r="DH22" i="72" s="1"/>
  <c r="DG22" i="72" a="1"/>
  <c r="DG22" i="72" s="1"/>
  <c r="EA22" i="72" a="1"/>
  <c r="EA22" i="72" s="1"/>
  <c r="EE22" i="72" a="1"/>
  <c r="EE22" i="72" s="1"/>
  <c r="DZ22" i="72" a="1"/>
  <c r="DZ22" i="72" s="1"/>
  <c r="ED22" i="72" a="1"/>
  <c r="ED22" i="72" s="1"/>
  <c r="EC22" i="72" a="1"/>
  <c r="EC22" i="72" s="1"/>
  <c r="DM22" i="72" a="1"/>
  <c r="DM22" i="72" s="1"/>
  <c r="EB22" i="72" a="1"/>
  <c r="EB22" i="72" s="1"/>
  <c r="EG22" i="72" a="1"/>
  <c r="EG22" i="72" s="1"/>
  <c r="EF22" i="72" a="1"/>
  <c r="EF22" i="72" s="1"/>
  <c r="EG19" i="72" a="1"/>
  <c r="EG19" i="72" s="1"/>
  <c r="EC19" i="72" a="1"/>
  <c r="EC19" i="72" s="1"/>
  <c r="EF19" i="72" a="1"/>
  <c r="EF19" i="72" s="1"/>
  <c r="DM19" i="72" a="1"/>
  <c r="DM19" i="72" s="1"/>
  <c r="EE19" i="72" a="1"/>
  <c r="EE19" i="72" s="1"/>
  <c r="ED19" i="72" a="1"/>
  <c r="ED19" i="72" s="1"/>
  <c r="EB19" i="72" a="1"/>
  <c r="EB19" i="72" s="1"/>
  <c r="EA19" i="72" a="1"/>
  <c r="EA19" i="72" s="1"/>
  <c r="DZ19" i="72" a="1"/>
  <c r="DZ19" i="72" s="1"/>
  <c r="FA22" i="72" a="1"/>
  <c r="FA22" i="72" s="1"/>
  <c r="EV22" i="72" a="1"/>
  <c r="EV22" i="72" s="1"/>
  <c r="EZ22" i="72" a="1"/>
  <c r="EZ22" i="72" s="1"/>
  <c r="EY22" i="72" a="1"/>
  <c r="EY22" i="72" s="1"/>
  <c r="FC22" i="72" a="1"/>
  <c r="FC22" i="72" s="1"/>
  <c r="EI22" i="72" a="1"/>
  <c r="EI22" i="72" s="1"/>
  <c r="EX22" i="72" a="1"/>
  <c r="EX22" i="72" s="1"/>
  <c r="FB22" i="72" a="1"/>
  <c r="FB22" i="72" s="1"/>
  <c r="EW22" i="72" a="1"/>
  <c r="EW22" i="72" s="1"/>
  <c r="FA16" i="72" a="1"/>
  <c r="FA16" i="72" s="1"/>
  <c r="EV16" i="72" a="1"/>
  <c r="EV16" i="72" s="1"/>
  <c r="EZ16" i="72" a="1"/>
  <c r="EZ16" i="72" s="1"/>
  <c r="EY16" i="72" a="1"/>
  <c r="EY16" i="72" s="1"/>
  <c r="FC16" i="72" a="1"/>
  <c r="FC16" i="72" s="1"/>
  <c r="EI16" i="72" a="1"/>
  <c r="EI16" i="72" s="1"/>
  <c r="EX16" i="72" a="1"/>
  <c r="EX16" i="72" s="1"/>
  <c r="FB16" i="72" a="1"/>
  <c r="FB16" i="72" s="1"/>
  <c r="EW16" i="72" a="1"/>
  <c r="EW16" i="72" s="1"/>
  <c r="FV30" i="72" a="1"/>
  <c r="FV30" i="72" s="1"/>
  <c r="FR30" i="72" a="1"/>
  <c r="FR30" i="72" s="1"/>
  <c r="FX30" i="72" a="1"/>
  <c r="FX30" i="72" s="1"/>
  <c r="FW30" i="72" a="1"/>
  <c r="FW30" i="72" s="1"/>
  <c r="FY30" i="72" a="1"/>
  <c r="FY30" i="72" s="1"/>
  <c r="FT30" i="72" a="1"/>
  <c r="FT30" i="72" s="1"/>
  <c r="FS30" i="72" a="1"/>
  <c r="FS30" i="72" s="1"/>
  <c r="FU30" i="72" a="1"/>
  <c r="FU30" i="72" s="1"/>
  <c r="FE30" i="72" a="1"/>
  <c r="FE30" i="72" s="1"/>
  <c r="FU26" i="72" a="1"/>
  <c r="FU26" i="72" s="1"/>
  <c r="FE26" i="72" a="1"/>
  <c r="FE26" i="72" s="1"/>
  <c r="FY26" i="72" a="1"/>
  <c r="FY26" i="72" s="1"/>
  <c r="FT26" i="72" a="1"/>
  <c r="FT26" i="72" s="1"/>
  <c r="FX26" i="72" a="1"/>
  <c r="FX26" i="72" s="1"/>
  <c r="FS26" i="72" a="1"/>
  <c r="FS26" i="72" s="1"/>
  <c r="FW26" i="72" a="1"/>
  <c r="FW26" i="72" s="1"/>
  <c r="FR26" i="72" a="1"/>
  <c r="FR26" i="72" s="1"/>
  <c r="FV26" i="72" a="1"/>
  <c r="FV26" i="72" s="1"/>
  <c r="GO25" i="72" a="1"/>
  <c r="GO25" i="72" s="1"/>
  <c r="GS25" i="72" a="1"/>
  <c r="GS25" i="72" s="1"/>
  <c r="GN25" i="72" a="1"/>
  <c r="GN25" i="72" s="1"/>
  <c r="GR25" i="72" a="1"/>
  <c r="GR25" i="72" s="1"/>
  <c r="GQ25" i="72" a="1"/>
  <c r="GQ25" i="72" s="1"/>
  <c r="GU25" i="72" a="1"/>
  <c r="GU25" i="72" s="1"/>
  <c r="GA25" i="72" a="1"/>
  <c r="GA25" i="72" s="1"/>
  <c r="GP25" i="72" a="1"/>
  <c r="GP25" i="72" s="1"/>
  <c r="GT25" i="72" a="1"/>
  <c r="GT25" i="72" s="1"/>
  <c r="GW18" i="72" a="1"/>
  <c r="GW18" i="72" s="1"/>
  <c r="HN18" i="72" a="1"/>
  <c r="HN18" i="72" s="1"/>
  <c r="HM18" i="72" a="1"/>
  <c r="HM18" i="72" s="1"/>
  <c r="HL18" i="72" a="1"/>
  <c r="HL18" i="72" s="1"/>
  <c r="HK18" i="72" a="1"/>
  <c r="HK18" i="72" s="1"/>
  <c r="HQ18" i="72" a="1"/>
  <c r="HQ18" i="72" s="1"/>
  <c r="HP18" i="72" a="1"/>
  <c r="HP18" i="72" s="1"/>
  <c r="HJ18" i="72" a="1"/>
  <c r="HJ18" i="72" s="1"/>
  <c r="HO18" i="72" a="1"/>
  <c r="HO18" i="72" s="1"/>
  <c r="HL33" i="72" a="1"/>
  <c r="HL33" i="72" s="1"/>
  <c r="HQ33" i="72" a="1"/>
  <c r="HQ33" i="72" s="1"/>
  <c r="HN33" i="72" a="1"/>
  <c r="HN33" i="72" s="1"/>
  <c r="GW33" i="72" a="1"/>
  <c r="GW33" i="72" s="1"/>
  <c r="HM33" i="72" a="1"/>
  <c r="HM33" i="72" s="1"/>
  <c r="HP33" i="72" a="1"/>
  <c r="HP33" i="72" s="1"/>
  <c r="HO33" i="72" a="1"/>
  <c r="HO33" i="72" s="1"/>
  <c r="HK33" i="72" a="1"/>
  <c r="HK33" i="72" s="1"/>
  <c r="HJ33" i="72" a="1"/>
  <c r="HJ33" i="72" s="1"/>
  <c r="IJ17" i="72" a="1"/>
  <c r="IJ17" i="72" s="1"/>
  <c r="II17" i="72" a="1"/>
  <c r="II17" i="72" s="1"/>
  <c r="IM17" i="72" a="1"/>
  <c r="IM17" i="72" s="1"/>
  <c r="IH17" i="72" a="1"/>
  <c r="IH17" i="72" s="1"/>
  <c r="IL17" i="72" a="1"/>
  <c r="IL17" i="72" s="1"/>
  <c r="IG17" i="72" a="1"/>
  <c r="IG17" i="72" s="1"/>
  <c r="IK17" i="72" a="1"/>
  <c r="IK17" i="72" s="1"/>
  <c r="IF17" i="72" a="1"/>
  <c r="IF17" i="72" s="1"/>
  <c r="IL30" i="72" a="1"/>
  <c r="IL30" i="72" s="1"/>
  <c r="IG30" i="72" a="1"/>
  <c r="IG30" i="72" s="1"/>
  <c r="IF30" i="72" a="1"/>
  <c r="IF30" i="72" s="1"/>
  <c r="II30" i="72" a="1"/>
  <c r="II30" i="72" s="1"/>
  <c r="IH30" i="72" a="1"/>
  <c r="IH30" i="72" s="1"/>
  <c r="IM30" i="72" a="1"/>
  <c r="IM30" i="72" s="1"/>
  <c r="IK30" i="72" a="1"/>
  <c r="IK30" i="72" s="1"/>
  <c r="IJ30" i="72" a="1"/>
  <c r="IJ30" i="72" s="1"/>
  <c r="JE18" i="72" a="1"/>
  <c r="JE18" i="72" s="1"/>
  <c r="JD18" i="72" a="1"/>
  <c r="JD18" i="72" s="1"/>
  <c r="JC18" i="72" a="1"/>
  <c r="JC18" i="72" s="1"/>
  <c r="JI18" i="72" a="1"/>
  <c r="JI18" i="72" s="1"/>
  <c r="JB18" i="72" a="1"/>
  <c r="JB18" i="72" s="1"/>
  <c r="JH18" i="72" a="1"/>
  <c r="JH18" i="72" s="1"/>
  <c r="JG18" i="72" a="1"/>
  <c r="JG18" i="72" s="1"/>
  <c r="IO18" i="72" a="1"/>
  <c r="IO18" i="72" s="1"/>
  <c r="JF18" i="72" a="1"/>
  <c r="JF18" i="72" s="1"/>
  <c r="CM32" i="72" a="1"/>
  <c r="CM32" i="72" s="1"/>
  <c r="CK32" i="72" a="1"/>
  <c r="CK32" i="72" s="1"/>
  <c r="BU32" i="72" a="1"/>
  <c r="BU32" i="72" s="1"/>
  <c r="CO32" i="72" a="1"/>
  <c r="CO32" i="72" s="1"/>
  <c r="CJ32" i="72" a="1"/>
  <c r="CJ32" i="72" s="1"/>
  <c r="CI32" i="72" a="1"/>
  <c r="CI32" i="72" s="1"/>
  <c r="CN32" i="72" a="1"/>
  <c r="CN32" i="72" s="1"/>
  <c r="CH32" i="72" a="1"/>
  <c r="CH32" i="72" s="1"/>
  <c r="CL32" i="72" a="1"/>
  <c r="CL32" i="72" s="1"/>
  <c r="JF29" i="72" a="1"/>
  <c r="JF29" i="72" s="1"/>
  <c r="JB29" i="72" a="1"/>
  <c r="JB29" i="72" s="1"/>
  <c r="JI29" i="72" a="1"/>
  <c r="JI29" i="72" s="1"/>
  <c r="JD29" i="72" a="1"/>
  <c r="JD29" i="72" s="1"/>
  <c r="JC29" i="72" a="1"/>
  <c r="JC29" i="72" s="1"/>
  <c r="JH29" i="72" a="1"/>
  <c r="JH29" i="72" s="1"/>
  <c r="JG29" i="72" a="1"/>
  <c r="JG29" i="72" s="1"/>
  <c r="JE29" i="72" a="1"/>
  <c r="JE29" i="72" s="1"/>
  <c r="IO29" i="72" a="1"/>
  <c r="IO29" i="72" s="1"/>
  <c r="II22" i="72" a="1"/>
  <c r="II22" i="72" s="1"/>
  <c r="IM22" i="72" a="1"/>
  <c r="IM22" i="72" s="1"/>
  <c r="IH22" i="72" a="1"/>
  <c r="IH22" i="72" s="1"/>
  <c r="IL22" i="72" a="1"/>
  <c r="IL22" i="72" s="1"/>
  <c r="IG22" i="72" a="1"/>
  <c r="IG22" i="72" s="1"/>
  <c r="IK22" i="72" a="1"/>
  <c r="IK22" i="72" s="1"/>
  <c r="IF22" i="72" a="1"/>
  <c r="IF22" i="72" s="1"/>
  <c r="IJ22" i="72" a="1"/>
  <c r="IJ22" i="72" s="1"/>
  <c r="GU26" i="72" a="1"/>
  <c r="GU26" i="72" s="1"/>
  <c r="GA26" i="72" a="1"/>
  <c r="GA26" i="72" s="1"/>
  <c r="GP26" i="72" a="1"/>
  <c r="GP26" i="72" s="1"/>
  <c r="GT26" i="72" a="1"/>
  <c r="GT26" i="72" s="1"/>
  <c r="GO26" i="72" a="1"/>
  <c r="GO26" i="72" s="1"/>
  <c r="GS26" i="72" a="1"/>
  <c r="GS26" i="72" s="1"/>
  <c r="GN26" i="72" a="1"/>
  <c r="GN26" i="72" s="1"/>
  <c r="GR26" i="72" a="1"/>
  <c r="GR26" i="72" s="1"/>
  <c r="GQ26" i="72" a="1"/>
  <c r="GQ26" i="72" s="1"/>
  <c r="HQ28" i="72" a="1"/>
  <c r="HQ28" i="72" s="1"/>
  <c r="HM28" i="72" a="1"/>
  <c r="HM28" i="72" s="1"/>
  <c r="HL28" i="72" a="1"/>
  <c r="HL28" i="72" s="1"/>
  <c r="HK28" i="72" a="1"/>
  <c r="HK28" i="72" s="1"/>
  <c r="HP28" i="72" a="1"/>
  <c r="HP28" i="72" s="1"/>
  <c r="HJ28" i="72" a="1"/>
  <c r="HJ28" i="72" s="1"/>
  <c r="HO28" i="72" a="1"/>
  <c r="HO28" i="72" s="1"/>
  <c r="HN28" i="72" a="1"/>
  <c r="HN28" i="72" s="1"/>
  <c r="GW28" i="72" a="1"/>
  <c r="GW28" i="72" s="1"/>
  <c r="FU34" i="72" a="1"/>
  <c r="FU34" i="72" s="1"/>
  <c r="FE34" i="72" a="1"/>
  <c r="FE34" i="72" s="1"/>
  <c r="FY34" i="72" a="1"/>
  <c r="FY34" i="72" s="1"/>
  <c r="FT34" i="72" a="1"/>
  <c r="FT34" i="72" s="1"/>
  <c r="FX34" i="72" a="1"/>
  <c r="FX34" i="72" s="1"/>
  <c r="FS34" i="72" a="1"/>
  <c r="FS34" i="72" s="1"/>
  <c r="FR34" i="72" a="1"/>
  <c r="FR34" i="72" s="1"/>
  <c r="FW34" i="72" a="1"/>
  <c r="FW34" i="72" s="1"/>
  <c r="FV34" i="72" a="1"/>
  <c r="FV34" i="72" s="1"/>
  <c r="EC29" i="72" a="1"/>
  <c r="EC29" i="72" s="1"/>
  <c r="EG29" i="72" a="1"/>
  <c r="EG29" i="72" s="1"/>
  <c r="DM29" i="72" a="1"/>
  <c r="DM29" i="72" s="1"/>
  <c r="EB29" i="72" a="1"/>
  <c r="EB29" i="72" s="1"/>
  <c r="EE29" i="72" a="1"/>
  <c r="EE29" i="72" s="1"/>
  <c r="DZ29" i="72" a="1"/>
  <c r="DZ29" i="72" s="1"/>
  <c r="EF29" i="72" a="1"/>
  <c r="EF29" i="72" s="1"/>
  <c r="ED29" i="72" a="1"/>
  <c r="ED29" i="72" s="1"/>
  <c r="EA29" i="72" a="1"/>
  <c r="EA29" i="72" s="1"/>
  <c r="DG31" i="72" a="1"/>
  <c r="DG31" i="72" s="1"/>
  <c r="CQ31" i="72" a="1"/>
  <c r="CQ31" i="72" s="1"/>
  <c r="DK31" i="72" a="1"/>
  <c r="DK31" i="72" s="1"/>
  <c r="DF31" i="72" a="1"/>
  <c r="DF31" i="72" s="1"/>
  <c r="DE31" i="72" a="1"/>
  <c r="DE31" i="72" s="1"/>
  <c r="DH31" i="72" a="1"/>
  <c r="DH31" i="72" s="1"/>
  <c r="DD31" i="72" a="1"/>
  <c r="DD31" i="72" s="1"/>
  <c r="DJ31" i="72" a="1"/>
  <c r="DJ31" i="72" s="1"/>
  <c r="DI31" i="72" a="1"/>
  <c r="DI31" i="72" s="1"/>
  <c r="BQ14" i="72" a="1"/>
  <c r="BQ14" i="72" s="1"/>
  <c r="BP14" i="72" a="1"/>
  <c r="BP14" i="72" s="1"/>
  <c r="BN14" i="72" a="1"/>
  <c r="BN14" i="72" s="1"/>
  <c r="BO14" i="72" a="1"/>
  <c r="BO14" i="72" s="1"/>
  <c r="BS14" i="72" a="1"/>
  <c r="BS14" i="72" s="1"/>
  <c r="BR14" i="72" a="1"/>
  <c r="BR14" i="72" s="1"/>
  <c r="BM14" i="72" a="1"/>
  <c r="BM14" i="72" s="1"/>
  <c r="BL14" i="72" a="1"/>
  <c r="BL14" i="72" s="1"/>
  <c r="BO26" i="72" a="1"/>
  <c r="BO26" i="72" s="1"/>
  <c r="BS26" i="72" a="1"/>
  <c r="BS26" i="72" s="1"/>
  <c r="AY26" i="72" a="1"/>
  <c r="AY26" i="72" s="1"/>
  <c r="BN26" i="72" a="1"/>
  <c r="BN26" i="72" s="1"/>
  <c r="BR26" i="72" a="1"/>
  <c r="BR26" i="72" s="1"/>
  <c r="BM26" i="72" a="1"/>
  <c r="BM26" i="72" s="1"/>
  <c r="BQ26" i="72" a="1"/>
  <c r="BQ26" i="72" s="1"/>
  <c r="BL26" i="72" a="1"/>
  <c r="BL26" i="72" s="1"/>
  <c r="BP26" i="72" a="1"/>
  <c r="BP26" i="72" s="1"/>
  <c r="CN15" i="72" a="1"/>
  <c r="CN15" i="72" s="1"/>
  <c r="CI15" i="72" a="1"/>
  <c r="CI15" i="72" s="1"/>
  <c r="CM15" i="72" a="1"/>
  <c r="CM15" i="72" s="1"/>
  <c r="CH15" i="72" a="1"/>
  <c r="CH15" i="72" s="1"/>
  <c r="CK15" i="72" a="1"/>
  <c r="CK15" i="72" s="1"/>
  <c r="CO15" i="72" a="1"/>
  <c r="CO15" i="72" s="1"/>
  <c r="BU15" i="72" a="1"/>
  <c r="BU15" i="72" s="1"/>
  <c r="CJ15" i="72" a="1"/>
  <c r="CJ15" i="72" s="1"/>
  <c r="CL15" i="72" a="1"/>
  <c r="CL15" i="72" s="1"/>
  <c r="CM23" i="72" a="1"/>
  <c r="CM23" i="72" s="1"/>
  <c r="CH23" i="72" a="1"/>
  <c r="CH23" i="72" s="1"/>
  <c r="CL23" i="72" a="1"/>
  <c r="CL23" i="72" s="1"/>
  <c r="CK23" i="72" a="1"/>
  <c r="CK23" i="72" s="1"/>
  <c r="CO23" i="72" a="1"/>
  <c r="CO23" i="72" s="1"/>
  <c r="BU23" i="72" a="1"/>
  <c r="BU23" i="72" s="1"/>
  <c r="CJ23" i="72" a="1"/>
  <c r="CJ23" i="72" s="1"/>
  <c r="CN23" i="72" a="1"/>
  <c r="CN23" i="72" s="1"/>
  <c r="CI23" i="72" a="1"/>
  <c r="CI23" i="72" s="1"/>
  <c r="DH28" i="72" a="1"/>
  <c r="DH28" i="72" s="1"/>
  <c r="DK28" i="72" a="1"/>
  <c r="DK28" i="72" s="1"/>
  <c r="DF28" i="72" a="1"/>
  <c r="DF28" i="72" s="1"/>
  <c r="DE28" i="72" a="1"/>
  <c r="DE28" i="72" s="1"/>
  <c r="DJ28" i="72" a="1"/>
  <c r="DJ28" i="72" s="1"/>
  <c r="DI28" i="72" a="1"/>
  <c r="DI28" i="72" s="1"/>
  <c r="DD28" i="72" a="1"/>
  <c r="DD28" i="72" s="1"/>
  <c r="DG28" i="72" a="1"/>
  <c r="DG28" i="72" s="1"/>
  <c r="CQ28" i="72" a="1"/>
  <c r="CQ28" i="72" s="1"/>
  <c r="DF16" i="72" a="1"/>
  <c r="DF16" i="72" s="1"/>
  <c r="DJ16" i="72" a="1"/>
  <c r="DJ16" i="72" s="1"/>
  <c r="DE16" i="72" a="1"/>
  <c r="DE16" i="72" s="1"/>
  <c r="DI16" i="72" a="1"/>
  <c r="DI16" i="72" s="1"/>
  <c r="DD16" i="72" a="1"/>
  <c r="DD16" i="72" s="1"/>
  <c r="DH16" i="72" a="1"/>
  <c r="DH16" i="72" s="1"/>
  <c r="DG16" i="72" a="1"/>
  <c r="DG16" i="72" s="1"/>
  <c r="DK16" i="72" a="1"/>
  <c r="DK16" i="72" s="1"/>
  <c r="CQ16" i="72" a="1"/>
  <c r="CQ16" i="72" s="1"/>
  <c r="ED30" i="72" a="1"/>
  <c r="ED30" i="72" s="1"/>
  <c r="DZ30" i="72" a="1"/>
  <c r="DZ30" i="72" s="1"/>
  <c r="EC30" i="72" a="1"/>
  <c r="EC30" i="72" s="1"/>
  <c r="DM30" i="72" a="1"/>
  <c r="DM30" i="72" s="1"/>
  <c r="EA30" i="72" a="1"/>
  <c r="EA30" i="72" s="1"/>
  <c r="EF30" i="72" a="1"/>
  <c r="EF30" i="72" s="1"/>
  <c r="EE30" i="72" a="1"/>
  <c r="EE30" i="72" s="1"/>
  <c r="EG30" i="72" a="1"/>
  <c r="EG30" i="72" s="1"/>
  <c r="EB30" i="72" a="1"/>
  <c r="EB30" i="72" s="1"/>
  <c r="EF18" i="72" a="1"/>
  <c r="EF18" i="72" s="1"/>
  <c r="EA18" i="72" a="1"/>
  <c r="EA18" i="72" s="1"/>
  <c r="EG18" i="72" a="1"/>
  <c r="EG18" i="72" s="1"/>
  <c r="DZ18" i="72" a="1"/>
  <c r="DZ18" i="72" s="1"/>
  <c r="EE18" i="72" a="1"/>
  <c r="EE18" i="72" s="1"/>
  <c r="ED18" i="72" a="1"/>
  <c r="ED18" i="72" s="1"/>
  <c r="DM18" i="72" a="1"/>
  <c r="DM18" i="72" s="1"/>
  <c r="EC18" i="72" a="1"/>
  <c r="EC18" i="72" s="1"/>
  <c r="EB18" i="72" a="1"/>
  <c r="EB18" i="72" s="1"/>
  <c r="EY34" i="72" a="1"/>
  <c r="EY34" i="72" s="1"/>
  <c r="EX34" i="72" a="1"/>
  <c r="EX34" i="72" s="1"/>
  <c r="FC34" i="72" a="1"/>
  <c r="FC34" i="72" s="1"/>
  <c r="EW34" i="72" a="1"/>
  <c r="EW34" i="72" s="1"/>
  <c r="FB34" i="72" a="1"/>
  <c r="FB34" i="72" s="1"/>
  <c r="FA34" i="72" a="1"/>
  <c r="FA34" i="72" s="1"/>
  <c r="EV34" i="72" a="1"/>
  <c r="EV34" i="72" s="1"/>
  <c r="EZ34" i="72" a="1"/>
  <c r="EZ34" i="72" s="1"/>
  <c r="EI34" i="72" a="1"/>
  <c r="EI34" i="72" s="1"/>
  <c r="EW24" i="72" a="1"/>
  <c r="EW24" i="72" s="1"/>
  <c r="EZ24" i="72" a="1"/>
  <c r="EZ24" i="72" s="1"/>
  <c r="FC24" i="72" a="1"/>
  <c r="FC24" i="72" s="1"/>
  <c r="EX24" i="72" a="1"/>
  <c r="EX24" i="72" s="1"/>
  <c r="EV24" i="72" a="1"/>
  <c r="EV24" i="72" s="1"/>
  <c r="FB24" i="72" a="1"/>
  <c r="FB24" i="72" s="1"/>
  <c r="EI24" i="72" a="1"/>
  <c r="EI24" i="72" s="1"/>
  <c r="FA24" i="72" a="1"/>
  <c r="FA24" i="72" s="1"/>
  <c r="EY24" i="72" a="1"/>
  <c r="EY24" i="72" s="1"/>
  <c r="FX33" i="72" a="1"/>
  <c r="FX33" i="72" s="1"/>
  <c r="FS33" i="72" a="1"/>
  <c r="FS33" i="72" s="1"/>
  <c r="FU33" i="72" a="1"/>
  <c r="FU33" i="72" s="1"/>
  <c r="FT33" i="72" a="1"/>
  <c r="FT33" i="72" s="1"/>
  <c r="FY33" i="72" a="1"/>
  <c r="FY33" i="72" s="1"/>
  <c r="FW33" i="72" a="1"/>
  <c r="FW33" i="72" s="1"/>
  <c r="FV33" i="72" a="1"/>
  <c r="FV33" i="72" s="1"/>
  <c r="FR33" i="72" a="1"/>
  <c r="FR33" i="72" s="1"/>
  <c r="FE33" i="72" a="1"/>
  <c r="FE33" i="72" s="1"/>
  <c r="FV16" i="72" a="1"/>
  <c r="FV16" i="72" s="1"/>
  <c r="FU16" i="72" a="1"/>
  <c r="FU16" i="72" s="1"/>
  <c r="FY16" i="72" a="1"/>
  <c r="FY16" i="72" s="1"/>
  <c r="FE16" i="72" a="1"/>
  <c r="FE16" i="72" s="1"/>
  <c r="FT16" i="72" a="1"/>
  <c r="FT16" i="72" s="1"/>
  <c r="FX16" i="72" a="1"/>
  <c r="FX16" i="72" s="1"/>
  <c r="FS16" i="72" a="1"/>
  <c r="FS16" i="72" s="1"/>
  <c r="FW16" i="72" a="1"/>
  <c r="FW16" i="72" s="1"/>
  <c r="FR16" i="72" a="1"/>
  <c r="FR16" i="72" s="1"/>
  <c r="GR31" i="72" a="1"/>
  <c r="GR31" i="72" s="1"/>
  <c r="GS31" i="72" a="1"/>
  <c r="GS31" i="72" s="1"/>
  <c r="GN31" i="72" a="1"/>
  <c r="GN31" i="72" s="1"/>
  <c r="GA31" i="72" a="1"/>
  <c r="GA31" i="72" s="1"/>
  <c r="GQ31" i="72" a="1"/>
  <c r="GQ31" i="72" s="1"/>
  <c r="GP31" i="72" a="1"/>
  <c r="GP31" i="72" s="1"/>
  <c r="GU31" i="72" a="1"/>
  <c r="GU31" i="72" s="1"/>
  <c r="GT31" i="72" a="1"/>
  <c r="GT31" i="72" s="1"/>
  <c r="GO31" i="72" a="1"/>
  <c r="GO31" i="72" s="1"/>
  <c r="HQ19" i="72" a="1"/>
  <c r="HQ19" i="72" s="1"/>
  <c r="HP19" i="72" a="1"/>
  <c r="HP19" i="72" s="1"/>
  <c r="GW19" i="72" a="1"/>
  <c r="GW19" i="72" s="1"/>
  <c r="HO19" i="72" a="1"/>
  <c r="HO19" i="72" s="1"/>
  <c r="HN19" i="72" a="1"/>
  <c r="HN19" i="72" s="1"/>
  <c r="HM19" i="72" a="1"/>
  <c r="HM19" i="72" s="1"/>
  <c r="HL19" i="72" a="1"/>
  <c r="HL19" i="72" s="1"/>
  <c r="HK19" i="72" a="1"/>
  <c r="HK19" i="72" s="1"/>
  <c r="HJ19" i="72" a="1"/>
  <c r="HJ19" i="72" s="1"/>
  <c r="HM31" i="72" a="1"/>
  <c r="HM31" i="72" s="1"/>
  <c r="HP31" i="72" a="1"/>
  <c r="HP31" i="72" s="1"/>
  <c r="HK31" i="72" a="1"/>
  <c r="HK31" i="72" s="1"/>
  <c r="HJ31" i="72" a="1"/>
  <c r="HJ31" i="72" s="1"/>
  <c r="HO31" i="72" a="1"/>
  <c r="HO31" i="72" s="1"/>
  <c r="HN31" i="72" a="1"/>
  <c r="HN31" i="72" s="1"/>
  <c r="GW31" i="72" a="1"/>
  <c r="GW31" i="72" s="1"/>
  <c r="HQ31" i="72" a="1"/>
  <c r="HQ31" i="72" s="1"/>
  <c r="HL31" i="72" a="1"/>
  <c r="HL31" i="72" s="1"/>
  <c r="II31" i="72" a="1"/>
  <c r="II31" i="72" s="1"/>
  <c r="IM31" i="72" a="1"/>
  <c r="IM31" i="72" s="1"/>
  <c r="IH31" i="72" a="1"/>
  <c r="IH31" i="72" s="1"/>
  <c r="IL31" i="72" a="1"/>
  <c r="IL31" i="72" s="1"/>
  <c r="IG31" i="72" a="1"/>
  <c r="IG31" i="72" s="1"/>
  <c r="IK31" i="72" a="1"/>
  <c r="IK31" i="72" s="1"/>
  <c r="IF31" i="72" a="1"/>
  <c r="IF31" i="72" s="1"/>
  <c r="IJ31" i="72" a="1"/>
  <c r="IJ31" i="72" s="1"/>
  <c r="IJ33" i="72" a="1"/>
  <c r="IJ33" i="72" s="1"/>
  <c r="IH33" i="72" a="1"/>
  <c r="IH33" i="72" s="1"/>
  <c r="IL33" i="72" a="1"/>
  <c r="IL33" i="72" s="1"/>
  <c r="IK33" i="72" a="1"/>
  <c r="IK33" i="72" s="1"/>
  <c r="IF33" i="72" a="1"/>
  <c r="IF33" i="72" s="1"/>
  <c r="IM33" i="72" a="1"/>
  <c r="IM33" i="72" s="1"/>
  <c r="II33" i="72" a="1"/>
  <c r="II33" i="72" s="1"/>
  <c r="IG33" i="72" a="1"/>
  <c r="IG33" i="72" s="1"/>
  <c r="JE17" i="72" a="1"/>
  <c r="JE17" i="72" s="1"/>
  <c r="JI17" i="72" a="1"/>
  <c r="JI17" i="72" s="1"/>
  <c r="IO17" i="72" a="1"/>
  <c r="IO17" i="72" s="1"/>
  <c r="JD17" i="72" a="1"/>
  <c r="JD17" i="72" s="1"/>
  <c r="JH17" i="72" a="1"/>
  <c r="JH17" i="72" s="1"/>
  <c r="JC17" i="72" a="1"/>
  <c r="JC17" i="72" s="1"/>
  <c r="JG17" i="72" a="1"/>
  <c r="JG17" i="72" s="1"/>
  <c r="JB17" i="72" a="1"/>
  <c r="JB17" i="72" s="1"/>
  <c r="JF17" i="72" a="1"/>
  <c r="JF17" i="72" s="1"/>
  <c r="CK16" i="72" a="1"/>
  <c r="CK16" i="72" s="1"/>
  <c r="CO16" i="72" a="1"/>
  <c r="CO16" i="72" s="1"/>
  <c r="BU16" i="72" a="1"/>
  <c r="BU16" i="72" s="1"/>
  <c r="CJ16" i="72" a="1"/>
  <c r="CJ16" i="72" s="1"/>
  <c r="CN16" i="72" a="1"/>
  <c r="CN16" i="72" s="1"/>
  <c r="CI16" i="72" a="1"/>
  <c r="CI16" i="72" s="1"/>
  <c r="CM16" i="72" a="1"/>
  <c r="CM16" i="72" s="1"/>
  <c r="CH16" i="72" a="1"/>
  <c r="CH16" i="72" s="1"/>
  <c r="CL16" i="72" a="1"/>
  <c r="CL16" i="72" s="1"/>
  <c r="JH34" i="72" a="1"/>
  <c r="JH34" i="72" s="1"/>
  <c r="JD34" i="72" a="1"/>
  <c r="JD34" i="72" s="1"/>
  <c r="IO34" i="72" a="1"/>
  <c r="IO34" i="72" s="1"/>
  <c r="JC34" i="72" a="1"/>
  <c r="JC34" i="72" s="1"/>
  <c r="JI34" i="72" a="1"/>
  <c r="JI34" i="72" s="1"/>
  <c r="JB34" i="72" a="1"/>
  <c r="JB34" i="72" s="1"/>
  <c r="JG34" i="72" a="1"/>
  <c r="JG34" i="72" s="1"/>
  <c r="JF34" i="72" a="1"/>
  <c r="JF34" i="72" s="1"/>
  <c r="JE34" i="72" a="1"/>
  <c r="JE34" i="72" s="1"/>
  <c r="IL19" i="72" a="1"/>
  <c r="IL19" i="72" s="1"/>
  <c r="IH19" i="72" a="1"/>
  <c r="IH19" i="72" s="1"/>
  <c r="IM19" i="72" a="1"/>
  <c r="IM19" i="72" s="1"/>
  <c r="IK19" i="72" a="1"/>
  <c r="IK19" i="72" s="1"/>
  <c r="IJ19" i="72" a="1"/>
  <c r="IJ19" i="72" s="1"/>
  <c r="II19" i="72" a="1"/>
  <c r="II19" i="72" s="1"/>
  <c r="IG19" i="72" a="1"/>
  <c r="IG19" i="72" s="1"/>
  <c r="IF19" i="72" a="1"/>
  <c r="IF19" i="72" s="1"/>
  <c r="GU18" i="72" a="1"/>
  <c r="GU18" i="72" s="1"/>
  <c r="GO18" i="72" a="1"/>
  <c r="GO18" i="72" s="1"/>
  <c r="GT18" i="72" a="1"/>
  <c r="GT18" i="72" s="1"/>
  <c r="GN18" i="72" a="1"/>
  <c r="GN18" i="72" s="1"/>
  <c r="GS18" i="72" a="1"/>
  <c r="GS18" i="72" s="1"/>
  <c r="GR18" i="72" a="1"/>
  <c r="GR18" i="72" s="1"/>
  <c r="GA18" i="72" a="1"/>
  <c r="GA18" i="72" s="1"/>
  <c r="GQ18" i="72" a="1"/>
  <c r="GQ18" i="72" s="1"/>
  <c r="GP18" i="72" a="1"/>
  <c r="GP18" i="72" s="1"/>
  <c r="HO20" i="72" a="1"/>
  <c r="HO20" i="72" s="1"/>
  <c r="HK20" i="72" a="1"/>
  <c r="HK20" i="72" s="1"/>
  <c r="HM20" i="72" a="1"/>
  <c r="HM20" i="72" s="1"/>
  <c r="HQ20" i="72" a="1"/>
  <c r="HQ20" i="72" s="1"/>
  <c r="GW20" i="72" a="1"/>
  <c r="GW20" i="72" s="1"/>
  <c r="HP20" i="72" a="1"/>
  <c r="HP20" i="72" s="1"/>
  <c r="HN20" i="72" a="1"/>
  <c r="HN20" i="72" s="1"/>
  <c r="HL20" i="72" a="1"/>
  <c r="HL20" i="72" s="1"/>
  <c r="HJ20" i="72" a="1"/>
  <c r="HJ20" i="72" s="1"/>
  <c r="FW24" i="72" a="1"/>
  <c r="FW24" i="72" s="1"/>
  <c r="FR24" i="72" a="1"/>
  <c r="FR24" i="72" s="1"/>
  <c r="FU24" i="72" a="1"/>
  <c r="FU24" i="72" s="1"/>
  <c r="FY24" i="72" a="1"/>
  <c r="FY24" i="72" s="1"/>
  <c r="FE24" i="72" a="1"/>
  <c r="FE24" i="72" s="1"/>
  <c r="FX24" i="72" a="1"/>
  <c r="FX24" i="72" s="1"/>
  <c r="FV24" i="72" a="1"/>
  <c r="FV24" i="72" s="1"/>
  <c r="FT24" i="72" a="1"/>
  <c r="FT24" i="72" s="1"/>
  <c r="FS24" i="72" a="1"/>
  <c r="FS24" i="72" s="1"/>
  <c r="EC23" i="72" a="1"/>
  <c r="EC23" i="72" s="1"/>
  <c r="EG23" i="72" a="1"/>
  <c r="EG23" i="72" s="1"/>
  <c r="DM23" i="72" a="1"/>
  <c r="DM23" i="72" s="1"/>
  <c r="EB23" i="72" a="1"/>
  <c r="EB23" i="72" s="1"/>
  <c r="EF23" i="72" a="1"/>
  <c r="EF23" i="72" s="1"/>
  <c r="EA23" i="72" a="1"/>
  <c r="EA23" i="72" s="1"/>
  <c r="EE23" i="72" a="1"/>
  <c r="EE23" i="72" s="1"/>
  <c r="DZ23" i="72" a="1"/>
  <c r="DZ23" i="72" s="1"/>
  <c r="ED23" i="72" a="1"/>
  <c r="ED23" i="72" s="1"/>
  <c r="DI15" i="72" a="1"/>
  <c r="DI15" i="72" s="1"/>
  <c r="DD15" i="72" a="1"/>
  <c r="DD15" i="72" s="1"/>
  <c r="DH15" i="72" a="1"/>
  <c r="DH15" i="72" s="1"/>
  <c r="DG15" i="72" a="1"/>
  <c r="DG15" i="72" s="1"/>
  <c r="CQ15" i="72" a="1"/>
  <c r="CQ15" i="72" s="1"/>
  <c r="DK15" i="72" a="1"/>
  <c r="DK15" i="72" s="1"/>
  <c r="DF15" i="72" a="1"/>
  <c r="DF15" i="72" s="1"/>
  <c r="DJ15" i="72" a="1"/>
  <c r="DJ15" i="72" s="1"/>
  <c r="DE15" i="72" a="1"/>
  <c r="DE15" i="72" s="1"/>
  <c r="BN20" i="72" a="1"/>
  <c r="BN20" i="72" s="1"/>
  <c r="BP20" i="72" a="1"/>
  <c r="BP20" i="72" s="1"/>
  <c r="AY20" i="72" a="1"/>
  <c r="AY20" i="72" s="1"/>
  <c r="BQ20" i="72" a="1"/>
  <c r="BQ20" i="72" s="1"/>
  <c r="BO20" i="72" a="1"/>
  <c r="BO20" i="72" s="1"/>
  <c r="BM20" i="72" a="1"/>
  <c r="BM20" i="72" s="1"/>
  <c r="BL20" i="72" a="1"/>
  <c r="BL20" i="72" s="1"/>
  <c r="BS20" i="72" a="1"/>
  <c r="BS20" i="72" s="1"/>
  <c r="BR20" i="72" a="1"/>
  <c r="BR20" i="72" s="1"/>
  <c r="BS33" i="72" a="1"/>
  <c r="BS33" i="72" s="1"/>
  <c r="AY33" i="72" a="1"/>
  <c r="AY33" i="72" s="1"/>
  <c r="BN33" i="72" a="1"/>
  <c r="BN33" i="72" s="1"/>
  <c r="BO33" i="72" a="1"/>
  <c r="BO33" i="72" s="1"/>
  <c r="BQ33" i="72" a="1"/>
  <c r="BQ33" i="72" s="1"/>
  <c r="BP33" i="72" a="1"/>
  <c r="BP33" i="72" s="1"/>
  <c r="BM33" i="72" a="1"/>
  <c r="BM33" i="72" s="1"/>
  <c r="BL33" i="72" a="1"/>
  <c r="BL33" i="72" s="1"/>
  <c r="BR33" i="72" a="1"/>
  <c r="BR33" i="72" s="1"/>
  <c r="CO26" i="72" a="1"/>
  <c r="CO26" i="72" s="1"/>
  <c r="CJ26" i="72" a="1"/>
  <c r="CJ26" i="72" s="1"/>
  <c r="CN26" i="72" a="1"/>
  <c r="CN26" i="72" s="1"/>
  <c r="CI26" i="72" a="1"/>
  <c r="CI26" i="72" s="1"/>
  <c r="CM26" i="72" a="1"/>
  <c r="CM26" i="72" s="1"/>
  <c r="CH26" i="72" a="1"/>
  <c r="CH26" i="72" s="1"/>
  <c r="CL26" i="72" a="1"/>
  <c r="CL26" i="72" s="1"/>
  <c r="CK26" i="72" a="1"/>
  <c r="CK26" i="72" s="1"/>
  <c r="BU26" i="72" a="1"/>
  <c r="BU26" i="72" s="1"/>
  <c r="CN18" i="72" a="1"/>
  <c r="CN18" i="72" s="1"/>
  <c r="CI18" i="72" a="1"/>
  <c r="CI18" i="72" s="1"/>
  <c r="CM18" i="72" a="1"/>
  <c r="CM18" i="72" s="1"/>
  <c r="CH18" i="72" a="1"/>
  <c r="CH18" i="72" s="1"/>
  <c r="CL18" i="72" a="1"/>
  <c r="CL18" i="72" s="1"/>
  <c r="CK18" i="72" a="1"/>
  <c r="CK18" i="72" s="1"/>
  <c r="CO18" i="72" a="1"/>
  <c r="CO18" i="72" s="1"/>
  <c r="BU18" i="72" a="1"/>
  <c r="BU18" i="72" s="1"/>
  <c r="CJ18" i="72" a="1"/>
  <c r="CJ18" i="72" s="1"/>
  <c r="DG27" i="72" a="1"/>
  <c r="DG27" i="72" s="1"/>
  <c r="DK27" i="72" a="1"/>
  <c r="DK27" i="72" s="1"/>
  <c r="CQ27" i="72" a="1"/>
  <c r="CQ27" i="72" s="1"/>
  <c r="DF27" i="72" a="1"/>
  <c r="DF27" i="72" s="1"/>
  <c r="DJ27" i="72" a="1"/>
  <c r="DJ27" i="72" s="1"/>
  <c r="DE27" i="72" a="1"/>
  <c r="DE27" i="72" s="1"/>
  <c r="DI27" i="72" a="1"/>
  <c r="DI27" i="72" s="1"/>
  <c r="DD27" i="72" a="1"/>
  <c r="DD27" i="72" s="1"/>
  <c r="DH27" i="72" a="1"/>
  <c r="DH27" i="72" s="1"/>
  <c r="DI18" i="72" a="1"/>
  <c r="DI18" i="72" s="1"/>
  <c r="DD18" i="72" a="1"/>
  <c r="DD18" i="72" s="1"/>
  <c r="DH18" i="72" a="1"/>
  <c r="DH18" i="72" s="1"/>
  <c r="DG18" i="72" a="1"/>
  <c r="DG18" i="72" s="1"/>
  <c r="DK18" i="72" a="1"/>
  <c r="DK18" i="72" s="1"/>
  <c r="CQ18" i="72" a="1"/>
  <c r="CQ18" i="72" s="1"/>
  <c r="DF18" i="72" a="1"/>
  <c r="DF18" i="72" s="1"/>
  <c r="DJ18" i="72" a="1"/>
  <c r="DJ18" i="72" s="1"/>
  <c r="DE18" i="72" a="1"/>
  <c r="DE18" i="72" s="1"/>
  <c r="EC17" i="72" a="1"/>
  <c r="EC17" i="72" s="1"/>
  <c r="DM17" i="72" a="1"/>
  <c r="DM17" i="72" s="1"/>
  <c r="EG17" i="72" a="1"/>
  <c r="EG17" i="72" s="1"/>
  <c r="EB17" i="72" a="1"/>
  <c r="EB17" i="72" s="1"/>
  <c r="EF17" i="72" a="1"/>
  <c r="EF17" i="72" s="1"/>
  <c r="EA17" i="72" a="1"/>
  <c r="EA17" i="72" s="1"/>
  <c r="EE17" i="72" a="1"/>
  <c r="EE17" i="72" s="1"/>
  <c r="DZ17" i="72" a="1"/>
  <c r="DZ17" i="72" s="1"/>
  <c r="ED17" i="72" a="1"/>
  <c r="ED17" i="72" s="1"/>
  <c r="EE26" i="72" a="1"/>
  <c r="EE26" i="72" s="1"/>
  <c r="DZ26" i="72" a="1"/>
  <c r="DZ26" i="72" s="1"/>
  <c r="ED26" i="72" a="1"/>
  <c r="ED26" i="72" s="1"/>
  <c r="EC26" i="72" a="1"/>
  <c r="EC26" i="72" s="1"/>
  <c r="DM26" i="72" a="1"/>
  <c r="DM26" i="72" s="1"/>
  <c r="EG26" i="72" a="1"/>
  <c r="EG26" i="72" s="1"/>
  <c r="EB26" i="72" a="1"/>
  <c r="EB26" i="72" s="1"/>
  <c r="EF26" i="72" a="1"/>
  <c r="EF26" i="72" s="1"/>
  <c r="EA26" i="72" a="1"/>
  <c r="EA26" i="72" s="1"/>
  <c r="FB30" i="72" a="1"/>
  <c r="FB30" i="72" s="1"/>
  <c r="EX30" i="72" a="1"/>
  <c r="EX30" i="72" s="1"/>
  <c r="EI30" i="72" a="1"/>
  <c r="EI30" i="72" s="1"/>
  <c r="FA30" i="72" a="1"/>
  <c r="FA30" i="72" s="1"/>
  <c r="EV30" i="72" a="1"/>
  <c r="EV30" i="72" s="1"/>
  <c r="EZ30" i="72" a="1"/>
  <c r="EZ30" i="72" s="1"/>
  <c r="EY30" i="72" a="1"/>
  <c r="EY30" i="72" s="1"/>
  <c r="FC30" i="72" a="1"/>
  <c r="FC30" i="72" s="1"/>
  <c r="EW30" i="72" a="1"/>
  <c r="EW30" i="72" s="1"/>
  <c r="FC23" i="72" a="1"/>
  <c r="FC23" i="72" s="1"/>
  <c r="EI23" i="72" a="1"/>
  <c r="EI23" i="72" s="1"/>
  <c r="EX23" i="72" a="1"/>
  <c r="EX23" i="72" s="1"/>
  <c r="FB23" i="72" a="1"/>
  <c r="FB23" i="72" s="1"/>
  <c r="EW23" i="72" a="1"/>
  <c r="EW23" i="72" s="1"/>
  <c r="FA23" i="72" a="1"/>
  <c r="FA23" i="72" s="1"/>
  <c r="EV23" i="72" a="1"/>
  <c r="EV23" i="72" s="1"/>
  <c r="EZ23" i="72" a="1"/>
  <c r="EZ23" i="72" s="1"/>
  <c r="EY23" i="72" a="1"/>
  <c r="EY23" i="72" s="1"/>
  <c r="FS17" i="72" a="1"/>
  <c r="FS17" i="72" s="1"/>
  <c r="FW17" i="72" a="1"/>
  <c r="FW17" i="72" s="1"/>
  <c r="FR17" i="72" a="1"/>
  <c r="FR17" i="72" s="1"/>
  <c r="FV17" i="72" a="1"/>
  <c r="FV17" i="72" s="1"/>
  <c r="FU17" i="72" a="1"/>
  <c r="FU17" i="72" s="1"/>
  <c r="FE17" i="72" a="1"/>
  <c r="FE17" i="72" s="1"/>
  <c r="FY17" i="72" a="1"/>
  <c r="FY17" i="72" s="1"/>
  <c r="FT17" i="72" a="1"/>
  <c r="FT17" i="72" s="1"/>
  <c r="FX17" i="72" a="1"/>
  <c r="FX17" i="72" s="1"/>
  <c r="GR27" i="72" a="1"/>
  <c r="GR27" i="72" s="1"/>
  <c r="GT27" i="72" a="1"/>
  <c r="GT27" i="72" s="1"/>
  <c r="GO27" i="72" a="1"/>
  <c r="GO27" i="72" s="1"/>
  <c r="GS27" i="72" a="1"/>
  <c r="GS27" i="72" s="1"/>
  <c r="GQ27" i="72" a="1"/>
  <c r="GQ27" i="72" s="1"/>
  <c r="GP27" i="72" a="1"/>
  <c r="GP27" i="72" s="1"/>
  <c r="GN27" i="72" a="1"/>
  <c r="GN27" i="72" s="1"/>
  <c r="GU27" i="72" a="1"/>
  <c r="GU27" i="72" s="1"/>
  <c r="GA27" i="72" a="1"/>
  <c r="GA27" i="72" s="1"/>
  <c r="GQ22" i="72" a="1"/>
  <c r="GQ22" i="72" s="1"/>
  <c r="GU22" i="72" a="1"/>
  <c r="GU22" i="72" s="1"/>
  <c r="GA22" i="72" a="1"/>
  <c r="GA22" i="72" s="1"/>
  <c r="GP22" i="72" a="1"/>
  <c r="GP22" i="72" s="1"/>
  <c r="GT22" i="72" a="1"/>
  <c r="GT22" i="72" s="1"/>
  <c r="GO22" i="72" a="1"/>
  <c r="GO22" i="72" s="1"/>
  <c r="GS22" i="72" a="1"/>
  <c r="GS22" i="72" s="1"/>
  <c r="GN22" i="72" a="1"/>
  <c r="GN22" i="72" s="1"/>
  <c r="GR22" i="72" a="1"/>
  <c r="GR22" i="72" s="1"/>
  <c r="HK15" i="72" a="1"/>
  <c r="HK15" i="72" s="1"/>
  <c r="HO15" i="72" a="1"/>
  <c r="HO15" i="72" s="1"/>
  <c r="HJ15" i="72" a="1"/>
  <c r="HJ15" i="72" s="1"/>
  <c r="HN15" i="72" a="1"/>
  <c r="HN15" i="72" s="1"/>
  <c r="HM15" i="72" a="1"/>
  <c r="HM15" i="72" s="1"/>
  <c r="HQ15" i="72" a="1"/>
  <c r="HQ15" i="72" s="1"/>
  <c r="GW15" i="72" a="1"/>
  <c r="GW15" i="72" s="1"/>
  <c r="HL15" i="72" a="1"/>
  <c r="HL15" i="72" s="1"/>
  <c r="HP15" i="72" a="1"/>
  <c r="HP15" i="72" s="1"/>
  <c r="HN14" i="72" a="1"/>
  <c r="HN14" i="72" s="1"/>
  <c r="HM14" i="72" a="1"/>
  <c r="HM14" i="72" s="1"/>
  <c r="HQ14" i="72" a="1"/>
  <c r="HQ14" i="72" s="1"/>
  <c r="GW14" i="72" a="1"/>
  <c r="GW14" i="72" s="1"/>
  <c r="HP14" i="72" a="1"/>
  <c r="HP14" i="72" s="1"/>
  <c r="HK14" i="72" a="1"/>
  <c r="HK14" i="72" s="1"/>
  <c r="HO14" i="72" a="1"/>
  <c r="HO14" i="72" s="1"/>
  <c r="HJ14" i="72" a="1"/>
  <c r="HJ14" i="72" s="1"/>
  <c r="HL14" i="72" a="1"/>
  <c r="HL14" i="72" s="1"/>
  <c r="IH26" i="72" a="1"/>
  <c r="IH26" i="72" s="1"/>
  <c r="IL26" i="72" a="1"/>
  <c r="IL26" i="72" s="1"/>
  <c r="IG26" i="72" a="1"/>
  <c r="IG26" i="72" s="1"/>
  <c r="IK26" i="72" a="1"/>
  <c r="IK26" i="72" s="1"/>
  <c r="IF26" i="72" a="1"/>
  <c r="IF26" i="72" s="1"/>
  <c r="IJ26" i="72" a="1"/>
  <c r="IJ26" i="72" s="1"/>
  <c r="II26" i="72" a="1"/>
  <c r="II26" i="72" s="1"/>
  <c r="IM26" i="72" a="1"/>
  <c r="IM26" i="72" s="1"/>
  <c r="JG28" i="72" a="1"/>
  <c r="JG28" i="72" s="1"/>
  <c r="JC28" i="72" a="1"/>
  <c r="JC28" i="72" s="1"/>
  <c r="JF28" i="72" a="1"/>
  <c r="JF28" i="72" s="1"/>
  <c r="JB28" i="72" a="1"/>
  <c r="JB28" i="72" s="1"/>
  <c r="JE28" i="72" a="1"/>
  <c r="JE28" i="72" s="1"/>
  <c r="JD28" i="72" a="1"/>
  <c r="JD28" i="72" s="1"/>
  <c r="JI28" i="72" a="1"/>
  <c r="JI28" i="72" s="1"/>
  <c r="JH28" i="72" a="1"/>
  <c r="JH28" i="72" s="1"/>
  <c r="IO28" i="72" a="1"/>
  <c r="IO28" i="72" s="1"/>
  <c r="JF19" i="72" a="1"/>
  <c r="JF19" i="72" s="1"/>
  <c r="JG19" i="72" a="1"/>
  <c r="JG19" i="72" s="1"/>
  <c r="JE19" i="72" a="1"/>
  <c r="JE19" i="72" s="1"/>
  <c r="JD19" i="72" a="1"/>
  <c r="JD19" i="72" s="1"/>
  <c r="JC19" i="72" a="1"/>
  <c r="JC19" i="72" s="1"/>
  <c r="JB19" i="72" a="1"/>
  <c r="JB19" i="72" s="1"/>
  <c r="JI19" i="72" a="1"/>
  <c r="JI19" i="72" s="1"/>
  <c r="JH19" i="72" a="1"/>
  <c r="JH19" i="72" s="1"/>
  <c r="IO19" i="72" a="1"/>
  <c r="IO19" i="72" s="1"/>
  <c r="CH17" i="72" a="1"/>
  <c r="CH17" i="72" s="1"/>
  <c r="CL17" i="72" a="1"/>
  <c r="CL17" i="72" s="1"/>
  <c r="CK17" i="72" a="1"/>
  <c r="CK17" i="72" s="1"/>
  <c r="BU17" i="72" a="1"/>
  <c r="BU17" i="72" s="1"/>
  <c r="CO17" i="72" a="1"/>
  <c r="CO17" i="72" s="1"/>
  <c r="CJ17" i="72" a="1"/>
  <c r="CJ17" i="72" s="1"/>
  <c r="CN17" i="72" a="1"/>
  <c r="CN17" i="72" s="1"/>
  <c r="CI17" i="72" a="1"/>
  <c r="CI17" i="72" s="1"/>
  <c r="CM17" i="72" a="1"/>
  <c r="CM17" i="72" s="1"/>
  <c r="CN34" i="72" a="1"/>
  <c r="CN34" i="72" s="1"/>
  <c r="CI34" i="72" a="1"/>
  <c r="CI34" i="72" s="1"/>
  <c r="CH34" i="72" a="1"/>
  <c r="CH34" i="72" s="1"/>
  <c r="CM34" i="72" a="1"/>
  <c r="CM34" i="72" s="1"/>
  <c r="CL34" i="72" a="1"/>
  <c r="CL34" i="72" s="1"/>
  <c r="CO34" i="72" a="1"/>
  <c r="CO34" i="72" s="1"/>
  <c r="CJ34" i="72" a="1"/>
  <c r="CJ34" i="72" s="1"/>
  <c r="CK34" i="72" a="1"/>
  <c r="CK34" i="72" s="1"/>
  <c r="BU34" i="72" a="1"/>
  <c r="BU34" i="72" s="1"/>
  <c r="IK32" i="72" a="1"/>
  <c r="IK32" i="72" s="1"/>
  <c r="IF32" i="72" a="1"/>
  <c r="IF32" i="72" s="1"/>
  <c r="IJ32" i="72" a="1"/>
  <c r="IJ32" i="72" s="1"/>
  <c r="II32" i="72" a="1"/>
  <c r="II32" i="72" s="1"/>
  <c r="IH32" i="72" a="1"/>
  <c r="IH32" i="72" s="1"/>
  <c r="IM32" i="72" a="1"/>
  <c r="IM32" i="72" s="1"/>
  <c r="IG32" i="72" a="1"/>
  <c r="IG32" i="72" s="1"/>
  <c r="IL32" i="72" a="1"/>
  <c r="IL32" i="72" s="1"/>
  <c r="GO28" i="72" a="1"/>
  <c r="GO28" i="72" s="1"/>
  <c r="GT28" i="72" a="1"/>
  <c r="GT28" i="72" s="1"/>
  <c r="GS28" i="72" a="1"/>
  <c r="GS28" i="72" s="1"/>
  <c r="GN28" i="72" a="1"/>
  <c r="GN28" i="72" s="1"/>
  <c r="GR28" i="72" a="1"/>
  <c r="GR28" i="72" s="1"/>
  <c r="GQ28" i="72" a="1"/>
  <c r="GQ28" i="72" s="1"/>
  <c r="GA28" i="72" a="1"/>
  <c r="GA28" i="72" s="1"/>
  <c r="GU28" i="72" a="1"/>
  <c r="GU28" i="72" s="1"/>
  <c r="GP28" i="72" a="1"/>
  <c r="GP28"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U19" i="72" a="1"/>
  <c r="FU19" i="72" s="1"/>
  <c r="FT19" i="72" a="1"/>
  <c r="FT19" i="72" s="1"/>
  <c r="FS19" i="72" a="1"/>
  <c r="FS19" i="72" s="1"/>
  <c r="FR19" i="72" a="1"/>
  <c r="FR19" i="72" s="1"/>
  <c r="FY19" i="72" a="1"/>
  <c r="FY19" i="72" s="1"/>
  <c r="FX19" i="72" a="1"/>
  <c r="FX19" i="72" s="1"/>
  <c r="FE19" i="72" a="1"/>
  <c r="FE19" i="72" s="1"/>
  <c r="FW19" i="72" a="1"/>
  <c r="FW19" i="72" s="1"/>
  <c r="FV19" i="72" a="1"/>
  <c r="FV19" i="72" s="1"/>
  <c r="ED20" i="72" a="1"/>
  <c r="ED20" i="72" s="1"/>
  <c r="EF20" i="72" a="1"/>
  <c r="EF20" i="72" s="1"/>
  <c r="EA20" i="72" a="1"/>
  <c r="EA20" i="72" s="1"/>
  <c r="DZ20" i="72" a="1"/>
  <c r="DZ20" i="72" s="1"/>
  <c r="EE20" i="72" a="1"/>
  <c r="EE20" i="72" s="1"/>
  <c r="EC20" i="72" a="1"/>
  <c r="EC20" i="72" s="1"/>
  <c r="EB20" i="72" a="1"/>
  <c r="EB20" i="72" s="1"/>
  <c r="DM20" i="72" a="1"/>
  <c r="DM20" i="72" s="1"/>
  <c r="EG20" i="72" a="1"/>
  <c r="EG20" i="72" s="1"/>
  <c r="DD25" i="72" a="1"/>
  <c r="DD25" i="72" s="1"/>
  <c r="DH25" i="72" a="1"/>
  <c r="DH25" i="72" s="1"/>
  <c r="DG25" i="72" a="1"/>
  <c r="DG25" i="72" s="1"/>
  <c r="DK25" i="72" a="1"/>
  <c r="DK25" i="72" s="1"/>
  <c r="CQ25" i="72" a="1"/>
  <c r="CQ25" i="72" s="1"/>
  <c r="DF25" i="72" a="1"/>
  <c r="DF25" i="72" s="1"/>
  <c r="DE25" i="72" a="1"/>
  <c r="DE25" i="72" s="1"/>
  <c r="DI25" i="72" a="1"/>
  <c r="DI25" i="72" s="1"/>
  <c r="DJ25" i="72" a="1"/>
  <c r="DJ25" i="72" s="1"/>
  <c r="BR23" i="72" a="1"/>
  <c r="BR23" i="72" s="1"/>
  <c r="BM23" i="72" a="1"/>
  <c r="BM23" i="72" s="1"/>
  <c r="BQ23" i="72" a="1"/>
  <c r="BQ23" i="72" s="1"/>
  <c r="BL23" i="72" a="1"/>
  <c r="BL23" i="72" s="1"/>
  <c r="BP23" i="72" a="1"/>
  <c r="BP23" i="72" s="1"/>
  <c r="BO23" i="72" a="1"/>
  <c r="BO23" i="72" s="1"/>
  <c r="BS23" i="72" a="1"/>
  <c r="BS23" i="72" s="1"/>
  <c r="AY23" i="72" a="1"/>
  <c r="AY23" i="72" s="1"/>
  <c r="BN23" i="72" a="1"/>
  <c r="BN23" i="72" s="1"/>
  <c r="BP21" i="72" a="1"/>
  <c r="BP21" i="72" s="1"/>
  <c r="BL21" i="72" a="1"/>
  <c r="BL21" i="72" s="1"/>
  <c r="BQ21" i="72" a="1"/>
  <c r="BQ21" i="72" s="1"/>
  <c r="BR21" i="72" a="1"/>
  <c r="BR21" i="72" s="1"/>
  <c r="BO21" i="72" a="1"/>
  <c r="BO21" i="72" s="1"/>
  <c r="BN21" i="72" a="1"/>
  <c r="BN21" i="72" s="1"/>
  <c r="BM21" i="72" a="1"/>
  <c r="BM21" i="72" s="1"/>
  <c r="AY21" i="72" a="1"/>
  <c r="AY21" i="72" s="1"/>
  <c r="BS21" i="72" a="1"/>
  <c r="BS21" i="72" s="1"/>
  <c r="CM29" i="72" a="1"/>
  <c r="CM29" i="72" s="1"/>
  <c r="CI29" i="72" a="1"/>
  <c r="CI29" i="72" s="1"/>
  <c r="CL29" i="72" a="1"/>
  <c r="CL29" i="72" s="1"/>
  <c r="CH29" i="72" a="1"/>
  <c r="CH29" i="72" s="1"/>
  <c r="CO29" i="72" a="1"/>
  <c r="CO29" i="72" s="1"/>
  <c r="CN29" i="72" a="1"/>
  <c r="CN29" i="72" s="1"/>
  <c r="BU29" i="72" a="1"/>
  <c r="BU29" i="72" s="1"/>
  <c r="CK29" i="72" a="1"/>
  <c r="CK29" i="72" s="1"/>
  <c r="CJ29" i="72" a="1"/>
  <c r="CJ29" i="72" s="1"/>
  <c r="CL30" i="72" a="1"/>
  <c r="CL30" i="72" s="1"/>
  <c r="CH30" i="72" a="1"/>
  <c r="CH30" i="72" s="1"/>
  <c r="CK30" i="72" a="1"/>
  <c r="CK30" i="72" s="1"/>
  <c r="BU30" i="72" a="1"/>
  <c r="BU30" i="72" s="1"/>
  <c r="CO30" i="72" a="1"/>
  <c r="CO30" i="72" s="1"/>
  <c r="CJ30" i="72" a="1"/>
  <c r="CJ30" i="72" s="1"/>
  <c r="CI30" i="72" a="1"/>
  <c r="CI30" i="72" s="1"/>
  <c r="CM30" i="72" a="1"/>
  <c r="CM30" i="72" s="1"/>
  <c r="CN30" i="72" a="1"/>
  <c r="CN30" i="72" s="1"/>
  <c r="DH23" i="72" a="1"/>
  <c r="DH23" i="72" s="1"/>
  <c r="DG23" i="72" a="1"/>
  <c r="DG23" i="72" s="1"/>
  <c r="DK23" i="72" a="1"/>
  <c r="DK23" i="72" s="1"/>
  <c r="CQ23" i="72" a="1"/>
  <c r="CQ23" i="72" s="1"/>
  <c r="DF23" i="72" a="1"/>
  <c r="DF23" i="72" s="1"/>
  <c r="DJ23" i="72" a="1"/>
  <c r="DJ23" i="72" s="1"/>
  <c r="DE23" i="72" a="1"/>
  <c r="DE23" i="72" s="1"/>
  <c r="DI23" i="72" a="1"/>
  <c r="DI23" i="72" s="1"/>
  <c r="DD23" i="72" a="1"/>
  <c r="DD23" i="72" s="1"/>
  <c r="DD32" i="72" a="1"/>
  <c r="DD32" i="72" s="1"/>
  <c r="DI32" i="72" a="1"/>
  <c r="DI32" i="72" s="1"/>
  <c r="DH32" i="72" a="1"/>
  <c r="DH32" i="72" s="1"/>
  <c r="DG32" i="72" a="1"/>
  <c r="DG32" i="72" s="1"/>
  <c r="CQ32" i="72" a="1"/>
  <c r="CQ32" i="72" s="1"/>
  <c r="DK32" i="72" a="1"/>
  <c r="DK32" i="72" s="1"/>
  <c r="DF32" i="72" a="1"/>
  <c r="DF32" i="72" s="1"/>
  <c r="DJ32" i="72" a="1"/>
  <c r="DJ32" i="72" s="1"/>
  <c r="DE32" i="72" a="1"/>
  <c r="DE32" i="72" s="1"/>
  <c r="EB31" i="72" a="1"/>
  <c r="EB31" i="72" s="1"/>
  <c r="EF31" i="72" a="1"/>
  <c r="EF31" i="72" s="1"/>
  <c r="EE31" i="72" a="1"/>
  <c r="EE31" i="72" s="1"/>
  <c r="DZ31" i="72" a="1"/>
  <c r="DZ31" i="72" s="1"/>
  <c r="EA31" i="72" a="1"/>
  <c r="EA31" i="72" s="1"/>
  <c r="EG31" i="72" a="1"/>
  <c r="EG31" i="72" s="1"/>
  <c r="DM31" i="72" a="1"/>
  <c r="DM31" i="72" s="1"/>
  <c r="ED31" i="72" a="1"/>
  <c r="ED31" i="72" s="1"/>
  <c r="EC31" i="72" a="1"/>
  <c r="EC31" i="72" s="1"/>
  <c r="EX14" i="72" a="1"/>
  <c r="EX14" i="72" s="1"/>
  <c r="FB14" i="72" a="1"/>
  <c r="FB14" i="72" s="1"/>
  <c r="EW14" i="72" a="1"/>
  <c r="EW14" i="72" s="1"/>
  <c r="EV14" i="72" a="1"/>
  <c r="EV14" i="72" s="1"/>
  <c r="FA14" i="72" a="1"/>
  <c r="FA14" i="72" s="1"/>
  <c r="EZ14" i="72" a="1"/>
  <c r="EZ14" i="72" s="1"/>
  <c r="EY14" i="72" a="1"/>
  <c r="EY14" i="72" s="1"/>
  <c r="FC14" i="72" a="1"/>
  <c r="FC14" i="72" s="1"/>
  <c r="EI14" i="72" a="1"/>
  <c r="EI14" i="72" s="1"/>
  <c r="EZ26" i="72" a="1"/>
  <c r="EZ26" i="72" s="1"/>
  <c r="EY26" i="72" a="1"/>
  <c r="EY26" i="72" s="1"/>
  <c r="FC26" i="72" a="1"/>
  <c r="FC26" i="72" s="1"/>
  <c r="EI26" i="72" a="1"/>
  <c r="EI26" i="72" s="1"/>
  <c r="EX26" i="72" a="1"/>
  <c r="EX26" i="72" s="1"/>
  <c r="FB26" i="72" a="1"/>
  <c r="FB26" i="72" s="1"/>
  <c r="EW26" i="72" a="1"/>
  <c r="EW26" i="72" s="1"/>
  <c r="FA26" i="72" a="1"/>
  <c r="FA26" i="72" s="1"/>
  <c r="EV26" i="72" a="1"/>
  <c r="EV26" i="72" s="1"/>
  <c r="EY15" i="72" a="1"/>
  <c r="EY15" i="72" s="1"/>
  <c r="EI15" i="72" a="1"/>
  <c r="EI15" i="72" s="1"/>
  <c r="FC15" i="72" a="1"/>
  <c r="FC15" i="72" s="1"/>
  <c r="EX15" i="72" a="1"/>
  <c r="EX15" i="72" s="1"/>
  <c r="FB15" i="72" a="1"/>
  <c r="FB15" i="72" s="1"/>
  <c r="EW15" i="72" a="1"/>
  <c r="EW15" i="72" s="1"/>
  <c r="FA15" i="72" a="1"/>
  <c r="FA15" i="72" s="1"/>
  <c r="EV15" i="72" a="1"/>
  <c r="EV15" i="72" s="1"/>
  <c r="EZ15" i="72" a="1"/>
  <c r="EZ15" i="72" s="1"/>
  <c r="FY15" i="72" a="1"/>
  <c r="FY15" i="72" s="1"/>
  <c r="FE15" i="72" a="1"/>
  <c r="FE15" i="72" s="1"/>
  <c r="FT15" i="72" a="1"/>
  <c r="FT15" i="72" s="1"/>
  <c r="FX15" i="72" a="1"/>
  <c r="FX15" i="72" s="1"/>
  <c r="FS15" i="72" a="1"/>
  <c r="FS15" i="72" s="1"/>
  <c r="FW15" i="72" a="1"/>
  <c r="FW15" i="72" s="1"/>
  <c r="FR15" i="72" a="1"/>
  <c r="FR15" i="72" s="1"/>
  <c r="FV15" i="72" a="1"/>
  <c r="FV15" i="72" s="1"/>
  <c r="FU15" i="72" a="1"/>
  <c r="FU15" i="72" s="1"/>
  <c r="GU20" i="72" a="1"/>
  <c r="GU20" i="72" s="1"/>
  <c r="GQ20" i="72" a="1"/>
  <c r="GQ20" i="72" s="1"/>
  <c r="GA20" i="72" a="1"/>
  <c r="GA20" i="72" s="1"/>
  <c r="GS20" i="72" a="1"/>
  <c r="GS20" i="72" s="1"/>
  <c r="GO20" i="72" a="1"/>
  <c r="GO20" i="72" s="1"/>
  <c r="GN20" i="72" a="1"/>
  <c r="GN20" i="72" s="1"/>
  <c r="GT20" i="72" a="1"/>
  <c r="GT20" i="72" s="1"/>
  <c r="GR20" i="72" a="1"/>
  <c r="GR20" i="72" s="1"/>
  <c r="GP20" i="72" a="1"/>
  <c r="GP20" i="72" s="1"/>
  <c r="GQ16" i="72" a="1"/>
  <c r="GQ16" i="72" s="1"/>
  <c r="GU16" i="72" a="1"/>
  <c r="GU16" i="72" s="1"/>
  <c r="GA16" i="72" a="1"/>
  <c r="GA16" i="72" s="1"/>
  <c r="GP16" i="72" a="1"/>
  <c r="GP16" i="72" s="1"/>
  <c r="GT16" i="72" a="1"/>
  <c r="GT16" i="72" s="1"/>
  <c r="GO16" i="72" a="1"/>
  <c r="GO16" i="72" s="1"/>
  <c r="GS16" i="72" a="1"/>
  <c r="GS16" i="72" s="1"/>
  <c r="GN16" i="72" a="1"/>
  <c r="GN16" i="72" s="1"/>
  <c r="GR16" i="72" a="1"/>
  <c r="GR16" i="72" s="1"/>
  <c r="HQ29" i="72" a="1"/>
  <c r="HQ29" i="72" s="1"/>
  <c r="HM29" i="72" a="1"/>
  <c r="HM29" i="72" s="1"/>
  <c r="HO29" i="72" a="1"/>
  <c r="HO29" i="72" s="1"/>
  <c r="HN29" i="72" a="1"/>
  <c r="HN29" i="72" s="1"/>
  <c r="GW29" i="72" a="1"/>
  <c r="GW29" i="72" s="1"/>
  <c r="HP29" i="72" a="1"/>
  <c r="HP29" i="72" s="1"/>
  <c r="HK29" i="72" a="1"/>
  <c r="HK29" i="72" s="1"/>
  <c r="HJ29" i="72" a="1"/>
  <c r="HJ29" i="72" s="1"/>
  <c r="HL29" i="72" a="1"/>
  <c r="HL29" i="72" s="1"/>
  <c r="HM22" i="72" a="1"/>
  <c r="HM22" i="72" s="1"/>
  <c r="GW22" i="72" a="1"/>
  <c r="GW22" i="72" s="1"/>
  <c r="HQ22" i="72" a="1"/>
  <c r="HQ22" i="72" s="1"/>
  <c r="HL22" i="72" a="1"/>
  <c r="HL22" i="72" s="1"/>
  <c r="HP22" i="72" a="1"/>
  <c r="HP22" i="72" s="1"/>
  <c r="HK22" i="72" a="1"/>
  <c r="HK22" i="72" s="1"/>
  <c r="HO22" i="72" a="1"/>
  <c r="HO22" i="72" s="1"/>
  <c r="HJ22" i="72" a="1"/>
  <c r="HJ22" i="72" s="1"/>
  <c r="HN22" i="72" a="1"/>
  <c r="HN22" i="72" s="1"/>
  <c r="IJ14" i="72" a="1"/>
  <c r="IJ14" i="72" s="1"/>
  <c r="II14" i="72" a="1"/>
  <c r="II14" i="72" s="1"/>
  <c r="IL14" i="72" a="1"/>
  <c r="IL14" i="72" s="1"/>
  <c r="IG14" i="72" a="1"/>
  <c r="IG14" i="72" s="1"/>
  <c r="IK14" i="72" a="1"/>
  <c r="IK14" i="72" s="1"/>
  <c r="IF14" i="72" a="1"/>
  <c r="IF14" i="72" s="1"/>
  <c r="IM14" i="72" a="1"/>
  <c r="IM14" i="72" s="1"/>
  <c r="IH14" i="72" a="1"/>
  <c r="IH14" i="72" s="1"/>
  <c r="JI24" i="72" a="1"/>
  <c r="JI24" i="72" s="1"/>
  <c r="IO24" i="72" a="1"/>
  <c r="IO24" i="72" s="1"/>
  <c r="JD24" i="72" a="1"/>
  <c r="JD24" i="72" s="1"/>
  <c r="JH24" i="72" a="1"/>
  <c r="JH24" i="72" s="1"/>
  <c r="JC24" i="72" a="1"/>
  <c r="JC24" i="72" s="1"/>
  <c r="JG24" i="72" a="1"/>
  <c r="JG24" i="72" s="1"/>
  <c r="JB24" i="72" a="1"/>
  <c r="JB24" i="72" s="1"/>
  <c r="JE24" i="72" a="1"/>
  <c r="JE24" i="72" s="1"/>
  <c r="JF24" i="72" a="1"/>
  <c r="JF24" i="72" s="1"/>
  <c r="JF25" i="72" a="1"/>
  <c r="JF25" i="72" s="1"/>
  <c r="JE25" i="72" a="1"/>
  <c r="JE25" i="72" s="1"/>
  <c r="IO25" i="72" a="1"/>
  <c r="IO25" i="72" s="1"/>
  <c r="JI25" i="72" a="1"/>
  <c r="JI25" i="72" s="1"/>
  <c r="JD25" i="72" a="1"/>
  <c r="JD25" i="72" s="1"/>
  <c r="JH25" i="72" a="1"/>
  <c r="JH25" i="72" s="1"/>
  <c r="JC25" i="72" a="1"/>
  <c r="JC25" i="72" s="1"/>
  <c r="JG25" i="72" a="1"/>
  <c r="JG25" i="72" s="1"/>
  <c r="JB25" i="72" a="1"/>
  <c r="JB25" i="72" s="1"/>
  <c r="DE19" i="72" a="1"/>
  <c r="DE19" i="72" s="1"/>
  <c r="DF19" i="72" a="1"/>
  <c r="DF19" i="72" s="1"/>
  <c r="DD19" i="72" a="1"/>
  <c r="DD19" i="72" s="1"/>
  <c r="DK19" i="72" a="1"/>
  <c r="DK19" i="72" s="1"/>
  <c r="DJ19" i="72" a="1"/>
  <c r="DJ19" i="72" s="1"/>
  <c r="DI19" i="72" a="1"/>
  <c r="DI19" i="72" s="1"/>
  <c r="DH19" i="72" a="1"/>
  <c r="DH19" i="72" s="1"/>
  <c r="CQ19" i="72" a="1"/>
  <c r="CQ19" i="72" s="1"/>
  <c r="DG19" i="72" a="1"/>
  <c r="DG19" i="72" s="1"/>
  <c r="CN21" i="72" a="1"/>
  <c r="CN21" i="72" s="1"/>
  <c r="CJ21" i="72" a="1"/>
  <c r="CJ21" i="72" s="1"/>
  <c r="BU21" i="72" a="1"/>
  <c r="BU21" i="72" s="1"/>
  <c r="CM21" i="72" a="1"/>
  <c r="CM21" i="72" s="1"/>
  <c r="CH21" i="72" a="1"/>
  <c r="CH21" i="72" s="1"/>
  <c r="CO21" i="72" a="1"/>
  <c r="CO21" i="72" s="1"/>
  <c r="CL21" i="72" a="1"/>
  <c r="CL21" i="72" s="1"/>
  <c r="CK21" i="72" a="1"/>
  <c r="CK21" i="72" s="1"/>
  <c r="CI21" i="72" a="1"/>
  <c r="CI21" i="72" s="1"/>
  <c r="GT15" i="72" a="1"/>
  <c r="GT15" i="72" s="1"/>
  <c r="GO15" i="72" a="1"/>
  <c r="GO15" i="72" s="1"/>
  <c r="GS15" i="72" a="1"/>
  <c r="GS15" i="72" s="1"/>
  <c r="GN15" i="72" a="1"/>
  <c r="GN15" i="72" s="1"/>
  <c r="GR15" i="72" a="1"/>
  <c r="GR15" i="72" s="1"/>
  <c r="GQ15" i="72" a="1"/>
  <c r="GQ15" i="72" s="1"/>
  <c r="GA15" i="72" a="1"/>
  <c r="GA15" i="72" s="1"/>
  <c r="GU15" i="72" a="1"/>
  <c r="GU15" i="72" s="1"/>
  <c r="GP15" i="72" a="1"/>
  <c r="GP15" i="72" s="1"/>
  <c r="GT23" i="72" a="1"/>
  <c r="GT23" i="72" s="1"/>
  <c r="GS23" i="72" a="1"/>
  <c r="GS23" i="72" s="1"/>
  <c r="GN23" i="72" a="1"/>
  <c r="GN23" i="72" s="1"/>
  <c r="GR23" i="72" a="1"/>
  <c r="GR23" i="72" s="1"/>
  <c r="GQ23" i="72" a="1"/>
  <c r="GQ23" i="72" s="1"/>
  <c r="GA23" i="72" a="1"/>
  <c r="GA23" i="72" s="1"/>
  <c r="GU23" i="72" a="1"/>
  <c r="GU23" i="72" s="1"/>
  <c r="GP23" i="72" a="1"/>
  <c r="GP23" i="72" s="1"/>
  <c r="GO23" i="72" a="1"/>
  <c r="GO23" i="72" s="1"/>
  <c r="HO27" i="72" a="1"/>
  <c r="HO27" i="72" s="1"/>
  <c r="HQ27" i="72" a="1"/>
  <c r="HQ27" i="72" s="1"/>
  <c r="HJ27" i="72" a="1"/>
  <c r="HJ27" i="72" s="1"/>
  <c r="HM27" i="72" a="1"/>
  <c r="HM27" i="72" s="1"/>
  <c r="HL27" i="72" a="1"/>
  <c r="HL27" i="72" s="1"/>
  <c r="HK27" i="72" a="1"/>
  <c r="HK27" i="72" s="1"/>
  <c r="GW27" i="72" a="1"/>
  <c r="GW27" i="72" s="1"/>
  <c r="HP27" i="72" a="1"/>
  <c r="HP27" i="72" s="1"/>
  <c r="HN27" i="72" a="1"/>
  <c r="HN27" i="72" s="1"/>
  <c r="FX21" i="72" a="1"/>
  <c r="FX21" i="72" s="1"/>
  <c r="FT21" i="72" a="1"/>
  <c r="FT21" i="72" s="1"/>
  <c r="FE21" i="72" a="1"/>
  <c r="FE21" i="72" s="1"/>
  <c r="FU21" i="72" a="1"/>
  <c r="FU21" i="72" s="1"/>
  <c r="FS21" i="72" a="1"/>
  <c r="FS21" i="72" s="1"/>
  <c r="FR21" i="72" a="1"/>
  <c r="FR21" i="72" s="1"/>
  <c r="FY21" i="72" a="1"/>
  <c r="FY21" i="72" s="1"/>
  <c r="FW21" i="72" a="1"/>
  <c r="FW21" i="72" s="1"/>
  <c r="FV21" i="72" a="1"/>
  <c r="FV21" i="72" s="1"/>
  <c r="ED15" i="72" a="1"/>
  <c r="ED15" i="72" s="1"/>
  <c r="EC15" i="72" a="1"/>
  <c r="EC15" i="72" s="1"/>
  <c r="EG15" i="72" a="1"/>
  <c r="EG15" i="72" s="1"/>
  <c r="DM15" i="72" a="1"/>
  <c r="DM15" i="72" s="1"/>
  <c r="EB15" i="72" a="1"/>
  <c r="EB15" i="72" s="1"/>
  <c r="EF15" i="72" a="1"/>
  <c r="EF15" i="72" s="1"/>
  <c r="EA15" i="72" a="1"/>
  <c r="EA15" i="72" s="1"/>
  <c r="EE15" i="72" a="1"/>
  <c r="EE15" i="72" s="1"/>
  <c r="DZ15" i="72" a="1"/>
  <c r="DZ15" i="72" s="1"/>
  <c r="JG33" i="72" a="1"/>
  <c r="JG33" i="72" s="1"/>
  <c r="JF33" i="72" a="1"/>
  <c r="JF33" i="72" s="1"/>
  <c r="JH33" i="72" a="1"/>
  <c r="JH33" i="72" s="1"/>
  <c r="JC33" i="72" a="1"/>
  <c r="JC33" i="72" s="1"/>
  <c r="JB33" i="72" a="1"/>
  <c r="JB33" i="72" s="1"/>
  <c r="JE33" i="72" a="1"/>
  <c r="JE33" i="72" s="1"/>
  <c r="JD33" i="72" a="1"/>
  <c r="JD33" i="72" s="1"/>
  <c r="IO33" i="72" a="1"/>
  <c r="IO33" i="72" s="1"/>
  <c r="JI33" i="72" a="1"/>
  <c r="JI33" i="72" s="1"/>
  <c r="BR30" i="72" a="1"/>
  <c r="BR30" i="72" s="1"/>
  <c r="BN30" i="72" a="1"/>
  <c r="BN30" i="72" s="1"/>
  <c r="AY30" i="72" a="1"/>
  <c r="AY30" i="72" s="1"/>
  <c r="BS30" i="72" a="1"/>
  <c r="BS30" i="72" s="1"/>
  <c r="BM30" i="72" a="1"/>
  <c r="BM30" i="72" s="1"/>
  <c r="BP30" i="72" a="1"/>
  <c r="BP30" i="72" s="1"/>
  <c r="BO30" i="72" a="1"/>
  <c r="BO30" i="72" s="1"/>
  <c r="BQ30" i="72" a="1"/>
  <c r="BQ30" i="72" s="1"/>
  <c r="BL30" i="72" a="1"/>
  <c r="BL30" i="72" s="1"/>
  <c r="BL27" i="72" a="1"/>
  <c r="BL27" i="72" s="1"/>
  <c r="BP27" i="72" a="1"/>
  <c r="BP27" i="72" s="1"/>
  <c r="BO27" i="72" a="1"/>
  <c r="BO27" i="72" s="1"/>
  <c r="BS27" i="72" a="1"/>
  <c r="BS27" i="72" s="1"/>
  <c r="AY27" i="72" a="1"/>
  <c r="AY27" i="72" s="1"/>
  <c r="BN27" i="72" a="1"/>
  <c r="BN27" i="72" s="1"/>
  <c r="BR27" i="72" a="1"/>
  <c r="BR27" i="72" s="1"/>
  <c r="BM27" i="72" a="1"/>
  <c r="BM27" i="72" s="1"/>
  <c r="BQ27" i="72" a="1"/>
  <c r="BQ27" i="72" s="1"/>
  <c r="CH14" i="72" a="1"/>
  <c r="CH14" i="72" s="1"/>
  <c r="CL14" i="72" a="1"/>
  <c r="CL14" i="72" s="1"/>
  <c r="CO14" i="72" a="1"/>
  <c r="CO14" i="72" s="1"/>
  <c r="BU14" i="72" a="1"/>
  <c r="BU14" i="72" s="1"/>
  <c r="CK14" i="72" a="1"/>
  <c r="CK14" i="72" s="1"/>
  <c r="CI14" i="72" a="1"/>
  <c r="CI14" i="72" s="1"/>
  <c r="CJ14" i="72" a="1"/>
  <c r="CJ14" i="72" s="1"/>
  <c r="CN14" i="72" a="1"/>
  <c r="CN14" i="72" s="1"/>
  <c r="CM14" i="72" a="1"/>
  <c r="CM14" i="72" s="1"/>
  <c r="CN33" i="72" a="1"/>
  <c r="CN33" i="72" s="1"/>
  <c r="CI33" i="72" a="1"/>
  <c r="CI33" i="72" s="1"/>
  <c r="CK33" i="72" a="1"/>
  <c r="CK33" i="72" s="1"/>
  <c r="BU33" i="72" a="1"/>
  <c r="BU33" i="72" s="1"/>
  <c r="CO33" i="72" a="1"/>
  <c r="CO33" i="72" s="1"/>
  <c r="CJ33" i="72" a="1"/>
  <c r="CJ33" i="72" s="1"/>
  <c r="CM33" i="72" a="1"/>
  <c r="CM33" i="72" s="1"/>
  <c r="CL33" i="72" a="1"/>
  <c r="CL33" i="72" s="1"/>
  <c r="CH33" i="72" a="1"/>
  <c r="CH33" i="72" s="1"/>
  <c r="DJ26" i="72" a="1"/>
  <c r="DJ26" i="72" s="1"/>
  <c r="DE26" i="72" a="1"/>
  <c r="DE26" i="72" s="1"/>
  <c r="DI26" i="72" a="1"/>
  <c r="DI26" i="72" s="1"/>
  <c r="DD26" i="72" a="1"/>
  <c r="DD26" i="72" s="1"/>
  <c r="DH26" i="72" a="1"/>
  <c r="DH26" i="72" s="1"/>
  <c r="DG26" i="72" a="1"/>
  <c r="DG26" i="72" s="1"/>
  <c r="DK26" i="72" a="1"/>
  <c r="DK26" i="72" s="1"/>
  <c r="CQ26" i="72" a="1"/>
  <c r="CQ26" i="72" s="1"/>
  <c r="DF26" i="72" a="1"/>
  <c r="DF26" i="72" s="1"/>
  <c r="EB24" i="72" a="1"/>
  <c r="EB24" i="72" s="1"/>
  <c r="EE24" i="72" a="1"/>
  <c r="EE24" i="72" s="1"/>
  <c r="DZ24" i="72" a="1"/>
  <c r="DZ24" i="72" s="1"/>
  <c r="EC24" i="72" a="1"/>
  <c r="EC24" i="72" s="1"/>
  <c r="EA24" i="72" a="1"/>
  <c r="EA24" i="72" s="1"/>
  <c r="EG24" i="72" a="1"/>
  <c r="EG24" i="72" s="1"/>
  <c r="EF24" i="72" a="1"/>
  <c r="EF24" i="72" s="1"/>
  <c r="DM24" i="72" a="1"/>
  <c r="DM24" i="72" s="1"/>
  <c r="ED24" i="72" a="1"/>
  <c r="ED24" i="72" s="1"/>
  <c r="EF16" i="72" a="1"/>
  <c r="EF16" i="72" s="1"/>
  <c r="EA16" i="72" a="1"/>
  <c r="EA16" i="72" s="1"/>
  <c r="EE16" i="72" a="1"/>
  <c r="EE16" i="72" s="1"/>
  <c r="DZ16" i="72" a="1"/>
  <c r="DZ16" i="72" s="1"/>
  <c r="ED16" i="72" a="1"/>
  <c r="ED16" i="72" s="1"/>
  <c r="EC16" i="72" a="1"/>
  <c r="EC16" i="72" s="1"/>
  <c r="EG16" i="72" a="1"/>
  <c r="EG16" i="72" s="1"/>
  <c r="DM16" i="72" a="1"/>
  <c r="DM16" i="72" s="1"/>
  <c r="EB16" i="72" a="1"/>
  <c r="EB16" i="72" s="1"/>
  <c r="EY18" i="72" a="1"/>
  <c r="EY18" i="72" s="1"/>
  <c r="EX18" i="72" a="1"/>
  <c r="EX18" i="72" s="1"/>
  <c r="FC18" i="72" a="1"/>
  <c r="FC18" i="72" s="1"/>
  <c r="EW18" i="72" a="1"/>
  <c r="EW18" i="72" s="1"/>
  <c r="FB18" i="72" a="1"/>
  <c r="FB18" i="72" s="1"/>
  <c r="EV18" i="72" a="1"/>
  <c r="EV18" i="72" s="1"/>
  <c r="FA18" i="72" a="1"/>
  <c r="FA18" i="72" s="1"/>
  <c r="EZ18" i="72" a="1"/>
  <c r="EZ18" i="72" s="1"/>
  <c r="EI18" i="72" a="1"/>
  <c r="EI18" i="72" s="1"/>
  <c r="FA19" i="72" a="1"/>
  <c r="FA19" i="72" s="1"/>
  <c r="FB19" i="72" a="1"/>
  <c r="FB19" i="72" s="1"/>
  <c r="EZ19" i="72" a="1"/>
  <c r="EZ19" i="72" s="1"/>
  <c r="EY19" i="72" a="1"/>
  <c r="EY19" i="72" s="1"/>
  <c r="EX19" i="72" a="1"/>
  <c r="EX19" i="72" s="1"/>
  <c r="EW19" i="72" a="1"/>
  <c r="EW19" i="72" s="1"/>
  <c r="EV19" i="72" a="1"/>
  <c r="EV19" i="72" s="1"/>
  <c r="FC19" i="72" a="1"/>
  <c r="FC19" i="72" s="1"/>
  <c r="EI19" i="72" a="1"/>
  <c r="EI19" i="72" s="1"/>
  <c r="FX29" i="72" a="1"/>
  <c r="FX29" i="72" s="1"/>
  <c r="FS29" i="72" a="1"/>
  <c r="FS29" i="72" s="1"/>
  <c r="FW29" i="72" a="1"/>
  <c r="FW29" i="72" s="1"/>
  <c r="FR29" i="72" a="1"/>
  <c r="FR29" i="72" s="1"/>
  <c r="FU29" i="72" a="1"/>
  <c r="FU29" i="72" s="1"/>
  <c r="FY29" i="72" a="1"/>
  <c r="FY29" i="72" s="1"/>
  <c r="FE29" i="72" a="1"/>
  <c r="FE29" i="72" s="1"/>
  <c r="FT29" i="72" a="1"/>
  <c r="FT29" i="72" s="1"/>
  <c r="FV29" i="72" a="1"/>
  <c r="FV29" i="72" s="1"/>
  <c r="FX23" i="72" a="1"/>
  <c r="FX23" i="72" s="1"/>
  <c r="FS23" i="72" a="1"/>
  <c r="FS23" i="72" s="1"/>
  <c r="FW23" i="72" a="1"/>
  <c r="FW23" i="72" s="1"/>
  <c r="FR23" i="72" a="1"/>
  <c r="FR23" i="72" s="1"/>
  <c r="FV23" i="72" a="1"/>
  <c r="FV23" i="72" s="1"/>
  <c r="FU23" i="72" a="1"/>
  <c r="FU23" i="72" s="1"/>
  <c r="FY23" i="72" a="1"/>
  <c r="FY23" i="72" s="1"/>
  <c r="FE23" i="72" a="1"/>
  <c r="FE23" i="72" s="1"/>
  <c r="FT23" i="72" a="1"/>
  <c r="FT23" i="72" s="1"/>
  <c r="GO19" i="72" a="1"/>
  <c r="GO19" i="72" s="1"/>
  <c r="GS19" i="72" a="1"/>
  <c r="GS19" i="72" s="1"/>
  <c r="GP19" i="72" a="1"/>
  <c r="GP19" i="72" s="1"/>
  <c r="GN19" i="72" a="1"/>
  <c r="GN19" i="72" s="1"/>
  <c r="GU19" i="72" a="1"/>
  <c r="GU19" i="72" s="1"/>
  <c r="GA19" i="72" a="1"/>
  <c r="GA19" i="72" s="1"/>
  <c r="GT19" i="72" a="1"/>
  <c r="GT19" i="72" s="1"/>
  <c r="GR19" i="72" a="1"/>
  <c r="GR19" i="72" s="1"/>
  <c r="GQ19" i="72" a="1"/>
  <c r="GQ19" i="72" s="1"/>
  <c r="GU33" i="72" a="1"/>
  <c r="GU33" i="72" s="1"/>
  <c r="GP33" i="72" a="1"/>
  <c r="GP33" i="72" s="1"/>
  <c r="GO33" i="72" a="1"/>
  <c r="GO33" i="72" s="1"/>
  <c r="GS33" i="72" a="1"/>
  <c r="GS33" i="72" s="1"/>
  <c r="GQ33" i="72" a="1"/>
  <c r="GQ33" i="72" s="1"/>
  <c r="GA33" i="72" a="1"/>
  <c r="GA33" i="72" s="1"/>
  <c r="GT33" i="72" a="1"/>
  <c r="GT33" i="72" s="1"/>
  <c r="GR33" i="72" a="1"/>
  <c r="GR33" i="72" s="1"/>
  <c r="GN33" i="72" a="1"/>
  <c r="GN33" i="72" s="1"/>
  <c r="HN17" i="72" a="1"/>
  <c r="HN17" i="72" s="1"/>
  <c r="HM17" i="72" a="1"/>
  <c r="HM17" i="72" s="1"/>
  <c r="GW17" i="72" a="1"/>
  <c r="GW17" i="72" s="1"/>
  <c r="HQ17" i="72" a="1"/>
  <c r="HQ17" i="72" s="1"/>
  <c r="HL17" i="72" a="1"/>
  <c r="HL17" i="72" s="1"/>
  <c r="HP17" i="72" a="1"/>
  <c r="HP17" i="72" s="1"/>
  <c r="HK17" i="72" a="1"/>
  <c r="HK17" i="72" s="1"/>
  <c r="HO17" i="72" a="1"/>
  <c r="HO17" i="72" s="1"/>
  <c r="HJ17" i="72" a="1"/>
  <c r="HJ17" i="72" s="1"/>
  <c r="IM28" i="72" a="1"/>
  <c r="IM28" i="72" s="1"/>
  <c r="II28" i="72" a="1"/>
  <c r="II28" i="72" s="1"/>
  <c r="IL28" i="72" a="1"/>
  <c r="IL28" i="72" s="1"/>
  <c r="IH28" i="72" a="1"/>
  <c r="IH28" i="72" s="1"/>
  <c r="IK28" i="72" a="1"/>
  <c r="IK28" i="72" s="1"/>
  <c r="IJ28" i="72" a="1"/>
  <c r="IJ28" i="72" s="1"/>
  <c r="IG28" i="72" a="1"/>
  <c r="IG28" i="72" s="1"/>
  <c r="IF28" i="72" a="1"/>
  <c r="IF28" i="72" s="1"/>
  <c r="IK25" i="72" a="1"/>
  <c r="IK25" i="72" s="1"/>
  <c r="IF25" i="72" a="1"/>
  <c r="IF25" i="72" s="1"/>
  <c r="IJ25" i="72" a="1"/>
  <c r="IJ25" i="72" s="1"/>
  <c r="II25" i="72" a="1"/>
  <c r="II25" i="72" s="1"/>
  <c r="IM25" i="72" a="1"/>
  <c r="IM25" i="72" s="1"/>
  <c r="IH25" i="72" a="1"/>
  <c r="IH25" i="72" s="1"/>
  <c r="IL25" i="72" a="1"/>
  <c r="IL25" i="72" s="1"/>
  <c r="IG25" i="72" a="1"/>
  <c r="IG25" i="72" s="1"/>
  <c r="JE14" i="72" a="1"/>
  <c r="JE14" i="72" s="1"/>
  <c r="JI14" i="72" a="1"/>
  <c r="JI14" i="72" s="1"/>
  <c r="IO14" i="72" a="1"/>
  <c r="IO14" i="72" s="1"/>
  <c r="JD14" i="72" a="1"/>
  <c r="JD14" i="72" s="1"/>
  <c r="JC14" i="72" a="1"/>
  <c r="JC14" i="72" s="1"/>
  <c r="JG14" i="72" a="1"/>
  <c r="JG14" i="72" s="1"/>
  <c r="JB14" i="72" a="1"/>
  <c r="JB14" i="72" s="1"/>
  <c r="JF14" i="72" a="1"/>
  <c r="JF14" i="72" s="1"/>
  <c r="JH14" i="72" a="1"/>
  <c r="JH14" i="72" s="1"/>
  <c r="JB15" i="72" a="1"/>
  <c r="JB15" i="72" s="1"/>
  <c r="JF15" i="72" a="1"/>
  <c r="JF15" i="72" s="1"/>
  <c r="JE15" i="72" a="1"/>
  <c r="JE15" i="72" s="1"/>
  <c r="JI15" i="72" a="1"/>
  <c r="JI15" i="72" s="1"/>
  <c r="IO15" i="72" a="1"/>
  <c r="IO15" i="72" s="1"/>
  <c r="JD15" i="72" a="1"/>
  <c r="JD15" i="72" s="1"/>
  <c r="JH15" i="72" a="1"/>
  <c r="JH15" i="72" s="1"/>
  <c r="JC15" i="72" a="1"/>
  <c r="JC15" i="72" s="1"/>
  <c r="JG15" i="72" a="1"/>
  <c r="JG15" i="72" s="1"/>
  <c r="JI31" i="72" a="1"/>
  <c r="JI31" i="72" s="1"/>
  <c r="IO31" i="72" a="1"/>
  <c r="IO31" i="72" s="1"/>
  <c r="JF31" i="72" a="1"/>
  <c r="JF31" i="72" s="1"/>
  <c r="JE31" i="72" a="1"/>
  <c r="JE31" i="72" s="1"/>
  <c r="JD31" i="72" a="1"/>
  <c r="JD31" i="72" s="1"/>
  <c r="JC31" i="72" a="1"/>
  <c r="JC31" i="72" s="1"/>
  <c r="JH31" i="72" a="1"/>
  <c r="JH31" i="72" s="1"/>
  <c r="JG31" i="72" a="1"/>
  <c r="JG31" i="72" s="1"/>
  <c r="JB31" i="72" a="1"/>
  <c r="JB31" i="72" s="1"/>
  <c r="IL23" i="72" a="1"/>
  <c r="IL23" i="72" s="1"/>
  <c r="II23" i="72" a="1"/>
  <c r="II23" i="72" s="1"/>
  <c r="IJ23" i="72" a="1"/>
  <c r="IJ23" i="72" s="1"/>
  <c r="IH23" i="72" a="1"/>
  <c r="IH23" i="72" s="1"/>
  <c r="IG23" i="72" a="1"/>
  <c r="IG23" i="72" s="1"/>
  <c r="IM23" i="72" a="1"/>
  <c r="IM23" i="72" s="1"/>
  <c r="IF23" i="72" a="1"/>
  <c r="IF23" i="72" s="1"/>
  <c r="IK23" i="72" a="1"/>
  <c r="IK23" i="72" s="1"/>
  <c r="GU30" i="72" a="1"/>
  <c r="GU30" i="72" s="1"/>
  <c r="GQ30" i="72" a="1"/>
  <c r="GQ30" i="72" s="1"/>
  <c r="GT30" i="72" a="1"/>
  <c r="GT30" i="72" s="1"/>
  <c r="GP30" i="72" a="1"/>
  <c r="GP30" i="72" s="1"/>
  <c r="GA30" i="72" a="1"/>
  <c r="GA30" i="72" s="1"/>
  <c r="GO30" i="72" a="1"/>
  <c r="GO30" i="72" s="1"/>
  <c r="GN30" i="72" a="1"/>
  <c r="GN30" i="72" s="1"/>
  <c r="GS30" i="72" a="1"/>
  <c r="GS30" i="72" s="1"/>
  <c r="GR30" i="72" a="1"/>
  <c r="GR30" i="72" s="1"/>
  <c r="BL24" i="72" a="1"/>
  <c r="BL24" i="72" s="1"/>
  <c r="BO24" i="72" a="1"/>
  <c r="BO24" i="72" s="1"/>
  <c r="AY24" i="72" a="1"/>
  <c r="AY24" i="72" s="1"/>
  <c r="BM24" i="72" a="1"/>
  <c r="BM24" i="72" s="1"/>
  <c r="BQ24" i="72" a="1"/>
  <c r="BQ24" i="72" s="1"/>
  <c r="BP24" i="72" a="1"/>
  <c r="BP24" i="72" s="1"/>
  <c r="BN24" i="72" a="1"/>
  <c r="BN24" i="72" s="1"/>
  <c r="BS24" i="72" a="1"/>
  <c r="BS24" i="72" s="1"/>
  <c r="BR24" i="72" a="1"/>
  <c r="BR24" i="72" s="1"/>
  <c r="HM24" i="72" a="1"/>
  <c r="HM24" i="72" s="1"/>
  <c r="HQ24" i="72" a="1"/>
  <c r="HQ24" i="72" s="1"/>
  <c r="GW24" i="72" a="1"/>
  <c r="GW24" i="72" s="1"/>
  <c r="HL24" i="72" a="1"/>
  <c r="HL24" i="72" s="1"/>
  <c r="HP24" i="72" a="1"/>
  <c r="HP24" i="72" s="1"/>
  <c r="HK24" i="72" a="1"/>
  <c r="HK24" i="72" s="1"/>
  <c r="HN24" i="72" a="1"/>
  <c r="HN24" i="72" s="1"/>
  <c r="HO24" i="72" a="1"/>
  <c r="HO24" i="72" s="1"/>
  <c r="HJ24" i="72" a="1"/>
  <c r="HJ24" i="72" s="1"/>
  <c r="FC32" i="72" a="1"/>
  <c r="FC32" i="72" s="1"/>
  <c r="EI32" i="72" a="1"/>
  <c r="EI32" i="72" s="1"/>
  <c r="FA32" i="72" a="1"/>
  <c r="FA32" i="72" s="1"/>
  <c r="EV32" i="72" a="1"/>
  <c r="EV32" i="72" s="1"/>
  <c r="EZ32" i="72" a="1"/>
  <c r="EZ32" i="72" s="1"/>
  <c r="EY32" i="72" a="1"/>
  <c r="EY32" i="72" s="1"/>
  <c r="EX32" i="72" a="1"/>
  <c r="EX32" i="72" s="1"/>
  <c r="FB32" i="72" a="1"/>
  <c r="FB32" i="72" s="1"/>
  <c r="EW32" i="72" a="1"/>
  <c r="EW32" i="72" s="1"/>
  <c r="EF21" i="72" a="1"/>
  <c r="EF21" i="72" s="1"/>
  <c r="EB21" i="72" a="1"/>
  <c r="EB21" i="72" s="1"/>
  <c r="DM21" i="72" a="1"/>
  <c r="DM21" i="72" s="1"/>
  <c r="EG21" i="72" a="1"/>
  <c r="EG21" i="72" s="1"/>
  <c r="EA21" i="72" a="1"/>
  <c r="EA21" i="72" s="1"/>
  <c r="DZ21" i="72" a="1"/>
  <c r="DZ21" i="72" s="1"/>
  <c r="EE21" i="72" a="1"/>
  <c r="EE21" i="72" s="1"/>
  <c r="ED21" i="72" a="1"/>
  <c r="ED21" i="72" s="1"/>
  <c r="EC21" i="72" a="1"/>
  <c r="EC21" i="72" s="1"/>
  <c r="BL31" i="72" a="1"/>
  <c r="BL31" i="72" s="1"/>
  <c r="BP31" i="72" a="1"/>
  <c r="BP31" i="72" s="1"/>
  <c r="BO31" i="72" a="1"/>
  <c r="BO31" i="72" s="1"/>
  <c r="AY31" i="72" a="1"/>
  <c r="AY31" i="72" s="1"/>
  <c r="BN31" i="72" a="1"/>
  <c r="BN31" i="72" s="1"/>
  <c r="BM31" i="72" a="1"/>
  <c r="BM31" i="72" s="1"/>
  <c r="BS31" i="72" a="1"/>
  <c r="BS31" i="72" s="1"/>
  <c r="BR31" i="72" a="1"/>
  <c r="BR31" i="72" s="1"/>
  <c r="BQ31" i="72" a="1"/>
  <c r="BQ31" i="72" s="1"/>
  <c r="BR25" i="72" a="1"/>
  <c r="BR25" i="72" s="1"/>
  <c r="BM25" i="72" a="1"/>
  <c r="BM25" i="72" s="1"/>
  <c r="BQ25" i="72" a="1"/>
  <c r="BQ25" i="72" s="1"/>
  <c r="BL25" i="72" a="1"/>
  <c r="BL25" i="72" s="1"/>
  <c r="BP25" i="72" a="1"/>
  <c r="BP25" i="72" s="1"/>
  <c r="BS25" i="72" a="1"/>
  <c r="BS25" i="72" s="1"/>
  <c r="AY25" i="72" a="1"/>
  <c r="AY25" i="72" s="1"/>
  <c r="BN25" i="72" a="1"/>
  <c r="BN25" i="72" s="1"/>
  <c r="BO25" i="72" a="1"/>
  <c r="BO25" i="72" s="1"/>
  <c r="BS18" i="72" a="1"/>
  <c r="BS18" i="72" s="1"/>
  <c r="AY18" i="72" a="1"/>
  <c r="AY18" i="72" s="1"/>
  <c r="BN18" i="72" a="1"/>
  <c r="BN18" i="72" s="1"/>
  <c r="BR18" i="72" a="1"/>
  <c r="BR18" i="72" s="1"/>
  <c r="BM18" i="72" a="1"/>
  <c r="BM18" i="72" s="1"/>
  <c r="BQ18" i="72" a="1"/>
  <c r="BQ18" i="72" s="1"/>
  <c r="BL18" i="72" a="1"/>
  <c r="BL18" i="72" s="1"/>
  <c r="BP18" i="72" a="1"/>
  <c r="BP18" i="72" s="1"/>
  <c r="BO18" i="72" a="1"/>
  <c r="BO18" i="72" s="1"/>
  <c r="CK22" i="72" a="1"/>
  <c r="CK22" i="72" s="1"/>
  <c r="BU22" i="72" a="1"/>
  <c r="BU22" i="72" s="1"/>
  <c r="CO22" i="72" a="1"/>
  <c r="CO22" i="72" s="1"/>
  <c r="CJ22" i="72" a="1"/>
  <c r="CJ22" i="72" s="1"/>
  <c r="CN22" i="72" a="1"/>
  <c r="CN22" i="72" s="1"/>
  <c r="CI22" i="72" a="1"/>
  <c r="CI22" i="72" s="1"/>
  <c r="CH22" i="72" a="1"/>
  <c r="CH22" i="72" s="1"/>
  <c r="CM22" i="72" a="1"/>
  <c r="CM22" i="72" s="1"/>
  <c r="CL22" i="72" a="1"/>
  <c r="CL22" i="72" s="1"/>
  <c r="DH29" i="72" a="1"/>
  <c r="DH29" i="72" s="1"/>
  <c r="DG29" i="72" a="1"/>
  <c r="DG29" i="72" s="1"/>
  <c r="CQ29" i="72" a="1"/>
  <c r="CQ29" i="72" s="1"/>
  <c r="DE29" i="72" a="1"/>
  <c r="DE29" i="72" s="1"/>
  <c r="DJ29" i="72" a="1"/>
  <c r="DJ29" i="72" s="1"/>
  <c r="DI29" i="72" a="1"/>
  <c r="DI29" i="72" s="1"/>
  <c r="DF29" i="72" a="1"/>
  <c r="DF29" i="72" s="1"/>
  <c r="DD29" i="72" a="1"/>
  <c r="DD29" i="72" s="1"/>
  <c r="DK29" i="72" a="1"/>
  <c r="DK29" i="72" s="1"/>
  <c r="DE33" i="72" a="1"/>
  <c r="DE33" i="72" s="1"/>
  <c r="DI33" i="72" a="1"/>
  <c r="DI33" i="72" s="1"/>
  <c r="DD33" i="72" a="1"/>
  <c r="DD33" i="72" s="1"/>
  <c r="DK33" i="72" a="1"/>
  <c r="DK33" i="72" s="1"/>
  <c r="CQ33" i="72" a="1"/>
  <c r="CQ33" i="72" s="1"/>
  <c r="DF33" i="72" a="1"/>
  <c r="DF33" i="72" s="1"/>
  <c r="DJ33" i="72" a="1"/>
  <c r="DJ33" i="72" s="1"/>
  <c r="DH33" i="72" a="1"/>
  <c r="DH33" i="72" s="1"/>
  <c r="DG33" i="72" a="1"/>
  <c r="DG33" i="72" s="1"/>
  <c r="EC25" i="72" a="1"/>
  <c r="EC25" i="72" s="1"/>
  <c r="EG25" i="72" a="1"/>
  <c r="EG25" i="72" s="1"/>
  <c r="DM25" i="72" a="1"/>
  <c r="DM25" i="72" s="1"/>
  <c r="EB25" i="72" a="1"/>
  <c r="EB25" i="72" s="1"/>
  <c r="EF25" i="72" a="1"/>
  <c r="EF25" i="72" s="1"/>
  <c r="EA25" i="72" a="1"/>
  <c r="EA25" i="72" s="1"/>
  <c r="DZ25" i="72" a="1"/>
  <c r="DZ25" i="72" s="1"/>
  <c r="ED25" i="72" a="1"/>
  <c r="ED25" i="72" s="1"/>
  <c r="EE25" i="72" a="1"/>
  <c r="EE25" i="72" s="1"/>
  <c r="EE32" i="72" a="1"/>
  <c r="EE32" i="72" s="1"/>
  <c r="DZ32" i="72" a="1"/>
  <c r="DZ32" i="72" s="1"/>
  <c r="ED32" i="72" a="1"/>
  <c r="ED32" i="72" s="1"/>
  <c r="EC32" i="72" a="1"/>
  <c r="EC32" i="72" s="1"/>
  <c r="DM32" i="72" a="1"/>
  <c r="DM32" i="72" s="1"/>
  <c r="EG32" i="72" a="1"/>
  <c r="EG32" i="72" s="1"/>
  <c r="EB32" i="72" a="1"/>
  <c r="EB32" i="72" s="1"/>
  <c r="EA32" i="72" a="1"/>
  <c r="EA32" i="72" s="1"/>
  <c r="EF32" i="72" a="1"/>
  <c r="EF32" i="72" s="1"/>
  <c r="EX17" i="72" a="1"/>
  <c r="EX17" i="72" s="1"/>
  <c r="FB17" i="72" a="1"/>
  <c r="FB17" i="72" s="1"/>
  <c r="EW17" i="72" a="1"/>
  <c r="EW17" i="72" s="1"/>
  <c r="FA17" i="72" a="1"/>
  <c r="FA17" i="72" s="1"/>
  <c r="EV17" i="72" a="1"/>
  <c r="EV17" i="72" s="1"/>
  <c r="EZ17" i="72" a="1"/>
  <c r="EZ17" i="72" s="1"/>
  <c r="EY17" i="72" a="1"/>
  <c r="EY17" i="72" s="1"/>
  <c r="FC17" i="72" a="1"/>
  <c r="FC17" i="72" s="1"/>
  <c r="EI17" i="72" a="1"/>
  <c r="EI17" i="72" s="1"/>
  <c r="FB33" i="72" a="1"/>
  <c r="FB33" i="72" s="1"/>
  <c r="EV33" i="72" a="1"/>
  <c r="EV33" i="72" s="1"/>
  <c r="FA33" i="72" a="1"/>
  <c r="FA33" i="72" s="1"/>
  <c r="FC33" i="72" a="1"/>
  <c r="FC33" i="72" s="1"/>
  <c r="EX33" i="72" a="1"/>
  <c r="EX33" i="72" s="1"/>
  <c r="EW33" i="72" a="1"/>
  <c r="EW33" i="72" s="1"/>
  <c r="EY33" i="72" a="1"/>
  <c r="EY33" i="72" s="1"/>
  <c r="EI33" i="72" a="1"/>
  <c r="EI33" i="72" s="1"/>
  <c r="EZ33" i="72" a="1"/>
  <c r="EZ33" i="72" s="1"/>
  <c r="FW31" i="72" a="1"/>
  <c r="FW31" i="72" s="1"/>
  <c r="FR31" i="72" a="1"/>
  <c r="FR31" i="72" s="1"/>
  <c r="FV31" i="72" a="1"/>
  <c r="FV31" i="72" s="1"/>
  <c r="FU31" i="72" a="1"/>
  <c r="FU31" i="72" s="1"/>
  <c r="FE31" i="72" a="1"/>
  <c r="FE31" i="72" s="1"/>
  <c r="FY31" i="72" a="1"/>
  <c r="FY31" i="72" s="1"/>
  <c r="FT31" i="72" a="1"/>
  <c r="FT31" i="72" s="1"/>
  <c r="FX31" i="72" a="1"/>
  <c r="FX31" i="72" s="1"/>
  <c r="FS31" i="72" a="1"/>
  <c r="FS31" i="72" s="1"/>
  <c r="FT25" i="72" a="1"/>
  <c r="FT25" i="72" s="1"/>
  <c r="FX25" i="72" a="1"/>
  <c r="FX25" i="72" s="1"/>
  <c r="FS25" i="72" a="1"/>
  <c r="FS25" i="72" s="1"/>
  <c r="FW25" i="72" a="1"/>
  <c r="FW25" i="72" s="1"/>
  <c r="FR25" i="72" a="1"/>
  <c r="FR25" i="72" s="1"/>
  <c r="FV25" i="72" a="1"/>
  <c r="FV25" i="72" s="1"/>
  <c r="FU25" i="72" a="1"/>
  <c r="FU25" i="72" s="1"/>
  <c r="FY25" i="72" a="1"/>
  <c r="FY25" i="72" s="1"/>
  <c r="FE25" i="72" a="1"/>
  <c r="FE25" i="72" s="1"/>
  <c r="GR21" i="72" a="1"/>
  <c r="GR21" i="72" s="1"/>
  <c r="GN21" i="72" a="1"/>
  <c r="GN21" i="72" s="1"/>
  <c r="GU21" i="72" a="1"/>
  <c r="GU21" i="72" s="1"/>
  <c r="GQ21" i="72" a="1"/>
  <c r="GQ21" i="72" s="1"/>
  <c r="GT21" i="72" a="1"/>
  <c r="GT21" i="72" s="1"/>
  <c r="GA21" i="72" a="1"/>
  <c r="GA21" i="72" s="1"/>
  <c r="GP21" i="72" a="1"/>
  <c r="GP21" i="72" s="1"/>
  <c r="GO21" i="72" a="1"/>
  <c r="GO21" i="72" s="1"/>
  <c r="GS21" i="72" a="1"/>
  <c r="GS21" i="72" s="1"/>
  <c r="GN14" i="72" a="1"/>
  <c r="GN14" i="72" s="1"/>
  <c r="GR14" i="72" a="1"/>
  <c r="GR14" i="72" s="1"/>
  <c r="GU14" i="72" a="1"/>
  <c r="GU14" i="72" s="1"/>
  <c r="GA14" i="72" a="1"/>
  <c r="GA14" i="72" s="1"/>
  <c r="GP14" i="72" a="1"/>
  <c r="GP14" i="72" s="1"/>
  <c r="GT14" i="72" a="1"/>
  <c r="GT14" i="72" s="1"/>
  <c r="GO14" i="72" a="1"/>
  <c r="GO14" i="72" s="1"/>
  <c r="GS14" i="72" a="1"/>
  <c r="GS14" i="72" s="1"/>
  <c r="GQ14" i="72" a="1"/>
  <c r="GQ14" i="72" s="1"/>
  <c r="HJ32" i="72" a="1"/>
  <c r="HJ32" i="72" s="1"/>
  <c r="HL32" i="72" a="1"/>
  <c r="HL32" i="72" s="1"/>
  <c r="HQ32" i="72" a="1"/>
  <c r="HQ32" i="72" s="1"/>
  <c r="HK32" i="72" a="1"/>
  <c r="HK32" i="72" s="1"/>
  <c r="HP32" i="72" a="1"/>
  <c r="HP32" i="72" s="1"/>
  <c r="HO32" i="72" a="1"/>
  <c r="HO32" i="72" s="1"/>
  <c r="HN32" i="72" a="1"/>
  <c r="HN32" i="72" s="1"/>
  <c r="HM32" i="72" a="1"/>
  <c r="HM32" i="72" s="1"/>
  <c r="GW32" i="72" a="1"/>
  <c r="GW32" i="72" s="1"/>
  <c r="IM16" i="72" a="1"/>
  <c r="IM16" i="72" s="1"/>
  <c r="IH16" i="72" a="1"/>
  <c r="IH16" i="72" s="1"/>
  <c r="IL16" i="72" a="1"/>
  <c r="IL16" i="72" s="1"/>
  <c r="IG16" i="72" a="1"/>
  <c r="IG16" i="72" s="1"/>
  <c r="IK16" i="72" a="1"/>
  <c r="IK16" i="72" s="1"/>
  <c r="IF16" i="72" a="1"/>
  <c r="IF16" i="72" s="1"/>
  <c r="IJ16" i="72" a="1"/>
  <c r="IJ16" i="72" s="1"/>
  <c r="II16" i="72" a="1"/>
  <c r="II16" i="72" s="1"/>
  <c r="IJ34" i="72" a="1"/>
  <c r="IJ34" i="72" s="1"/>
  <c r="IF34" i="72" a="1"/>
  <c r="IF34" i="72" s="1"/>
  <c r="IK34" i="72" a="1"/>
  <c r="IK34" i="72" s="1"/>
  <c r="II34" i="72" a="1"/>
  <c r="II34" i="72" s="1"/>
  <c r="IH34" i="72" a="1"/>
  <c r="IH34" i="72" s="1"/>
  <c r="IM34" i="72" a="1"/>
  <c r="IM34" i="72" s="1"/>
  <c r="IG34" i="72" a="1"/>
  <c r="IG34" i="72" s="1"/>
  <c r="IL34" i="72" a="1"/>
  <c r="IL34" i="72" s="1"/>
  <c r="JE32" i="72" a="1"/>
  <c r="JE32" i="72" s="1"/>
  <c r="IO32" i="72" a="1"/>
  <c r="IO32" i="72" s="1"/>
  <c r="JF32" i="72" a="1"/>
  <c r="JF32" i="72" s="1"/>
  <c r="JI32" i="72" a="1"/>
  <c r="JI32" i="72" s="1"/>
  <c r="JH32" i="72" a="1"/>
  <c r="JH32" i="72" s="1"/>
  <c r="JB32" i="72" a="1"/>
  <c r="JB32" i="72" s="1"/>
  <c r="JG32" i="72" a="1"/>
  <c r="JG32" i="72" s="1"/>
  <c r="JD32" i="72" a="1"/>
  <c r="JD32" i="72" s="1"/>
  <c r="JC32" i="72" a="1"/>
  <c r="JC32" i="72" s="1"/>
  <c r="JH20" i="72" a="1"/>
  <c r="JH20" i="72" s="1"/>
  <c r="JD20" i="72" a="1"/>
  <c r="JD20" i="72" s="1"/>
  <c r="IO20" i="72" a="1"/>
  <c r="IO20" i="72" s="1"/>
  <c r="JC20" i="72" a="1"/>
  <c r="JC20" i="72" s="1"/>
  <c r="JI20" i="72" a="1"/>
  <c r="JI20" i="72" s="1"/>
  <c r="JG20" i="72" a="1"/>
  <c r="JG20" i="72" s="1"/>
  <c r="JF20" i="72" a="1"/>
  <c r="JF20" i="72" s="1"/>
  <c r="JE20" i="72" a="1"/>
  <c r="JE20" i="72" s="1"/>
  <c r="JB20" i="72" a="1"/>
  <c r="JB20" i="72" s="1"/>
  <c r="BS15" i="72" a="1"/>
  <c r="BS15" i="72" s="1"/>
  <c r="BN15" i="72" a="1"/>
  <c r="BN15" i="72" s="1"/>
  <c r="BR15" i="72" a="1"/>
  <c r="BR15" i="72" s="1"/>
  <c r="BM15" i="72" a="1"/>
  <c r="BM15" i="72" s="1"/>
  <c r="BL15" i="72" a="1"/>
  <c r="BL15" i="72" s="1"/>
  <c r="BP15" i="72" a="1"/>
  <c r="BP15" i="72" s="1"/>
  <c r="BO15" i="72" a="1"/>
  <c r="BO15" i="72" s="1"/>
  <c r="AY15" i="72" a="1"/>
  <c r="AY15" i="72" s="1"/>
  <c r="BQ15" i="72" a="1"/>
  <c r="BQ15" i="72" s="1"/>
  <c r="JC23" i="72" a="1"/>
  <c r="JC23" i="72" s="1"/>
  <c r="JD23" i="72" a="1"/>
  <c r="JD23" i="72" s="1"/>
  <c r="JB23" i="72" a="1"/>
  <c r="JB23" i="72" s="1"/>
  <c r="JI23" i="72" a="1"/>
  <c r="JI23" i="72" s="1"/>
  <c r="JH23" i="72" a="1"/>
  <c r="JH23" i="72" s="1"/>
  <c r="JG23" i="72" a="1"/>
  <c r="JG23" i="72" s="1"/>
  <c r="JF23" i="72" a="1"/>
  <c r="JF23" i="72" s="1"/>
  <c r="IO23" i="72" a="1"/>
  <c r="IO23" i="72" s="1"/>
  <c r="JE23" i="72" a="1"/>
  <c r="JE23" i="72" s="1"/>
  <c r="IL29" i="72" a="1"/>
  <c r="IL29" i="72" s="1"/>
  <c r="IH29" i="72" a="1"/>
  <c r="IH29" i="72" s="1"/>
  <c r="IG29" i="72" a="1"/>
  <c r="IG29" i="72" s="1"/>
  <c r="IK29" i="72" a="1"/>
  <c r="IK29" i="72" s="1"/>
  <c r="IF29" i="72" a="1"/>
  <c r="IF29" i="72" s="1"/>
  <c r="II29" i="72" a="1"/>
  <c r="II29" i="72" s="1"/>
  <c r="IM29" i="72" a="1"/>
  <c r="IM29" i="72" s="1"/>
  <c r="IJ29" i="72" a="1"/>
  <c r="IJ29" i="72" s="1"/>
  <c r="GS29" i="72" a="1"/>
  <c r="GS29" i="72" s="1"/>
  <c r="GN29" i="72" a="1"/>
  <c r="GN29" i="72" s="1"/>
  <c r="GR29" i="72" a="1"/>
  <c r="GR29" i="72" s="1"/>
  <c r="GU29" i="72" a="1"/>
  <c r="GU29" i="72" s="1"/>
  <c r="GP29" i="72" a="1"/>
  <c r="GP29" i="72" s="1"/>
  <c r="GT29" i="72" a="1"/>
  <c r="GT29" i="72" s="1"/>
  <c r="GO29" i="72" a="1"/>
  <c r="GO29" i="72" s="1"/>
  <c r="GQ29" i="72" a="1"/>
  <c r="GQ29" i="72" s="1"/>
  <c r="GA29" i="72" a="1"/>
  <c r="GA29" i="72" s="1"/>
  <c r="BR28" i="72" a="1"/>
  <c r="BR28" i="72" s="1"/>
  <c r="BQ28" i="72" a="1"/>
  <c r="BQ28" i="72" s="1"/>
  <c r="BL28" i="72" a="1"/>
  <c r="BL28" i="72" s="1"/>
  <c r="BO28" i="72" a="1"/>
  <c r="BO28" i="72" s="1"/>
  <c r="AY28" i="72" a="1"/>
  <c r="AY28" i="72" s="1"/>
  <c r="BS28" i="72" a="1"/>
  <c r="BS28" i="72" s="1"/>
  <c r="BP28" i="72" a="1"/>
  <c r="BP28" i="72" s="1"/>
  <c r="BN28" i="72" a="1"/>
  <c r="BN28" i="72" s="1"/>
  <c r="BM28" i="72" a="1"/>
  <c r="BM28" i="72" s="1"/>
  <c r="FR27" i="72" a="1"/>
  <c r="FR27" i="72" s="1"/>
  <c r="FV27" i="72" a="1"/>
  <c r="FV27" i="72" s="1"/>
  <c r="FS27" i="72" a="1"/>
  <c r="FS27" i="72" s="1"/>
  <c r="FY27" i="72" a="1"/>
  <c r="FY27" i="72" s="1"/>
  <c r="FX27" i="72" a="1"/>
  <c r="FX27" i="72" s="1"/>
  <c r="FW27" i="72" a="1"/>
  <c r="FW27" i="72" s="1"/>
  <c r="FE27" i="72" a="1"/>
  <c r="FE27" i="72" s="1"/>
  <c r="FU27" i="72" a="1"/>
  <c r="FU27" i="72" s="1"/>
  <c r="FT27" i="72" a="1"/>
  <c r="FT27" i="72" s="1"/>
  <c r="FC29" i="72" a="1"/>
  <c r="FC29" i="72" s="1"/>
  <c r="EX29" i="72" a="1"/>
  <c r="EX29" i="72" s="1"/>
  <c r="FB29" i="72" a="1"/>
  <c r="FB29" i="72" s="1"/>
  <c r="EW29" i="72" a="1"/>
  <c r="EW29" i="72" s="1"/>
  <c r="EZ29" i="72" a="1"/>
  <c r="EZ29" i="72" s="1"/>
  <c r="EY29" i="72" a="1"/>
  <c r="EY29" i="72" s="1"/>
  <c r="EI29" i="72" a="1"/>
  <c r="EI29" i="72" s="1"/>
  <c r="FA29" i="72" a="1"/>
  <c r="FA29" i="72" s="1"/>
  <c r="EV29" i="72" a="1"/>
  <c r="EV29" i="72" s="1"/>
  <c r="EG34" i="72" a="1"/>
  <c r="EG34" i="72" s="1"/>
  <c r="EB34" i="72" a="1"/>
  <c r="EB34" i="72" s="1"/>
  <c r="EF34" i="72" a="1"/>
  <c r="EF34" i="72" s="1"/>
  <c r="EA34" i="72" a="1"/>
  <c r="EA34" i="72" s="1"/>
  <c r="DZ34" i="72" a="1"/>
  <c r="DZ34" i="72" s="1"/>
  <c r="EE34" i="72" a="1"/>
  <c r="EE34" i="72" s="1"/>
  <c r="ED34" i="72" a="1"/>
  <c r="ED34" i="72" s="1"/>
  <c r="EC34" i="72" a="1"/>
  <c r="EC34" i="72" s="1"/>
  <c r="DM34" i="72" a="1"/>
  <c r="DM34" i="72" s="1"/>
  <c r="BQ34" i="72" a="1"/>
  <c r="BQ34" i="72" s="1"/>
  <c r="BL34" i="72" a="1"/>
  <c r="BL34" i="72" s="1"/>
  <c r="AY34" i="72" a="1"/>
  <c r="AY34" i="72" s="1"/>
  <c r="BN34" i="72" a="1"/>
  <c r="BN34" i="72" s="1"/>
  <c r="BS34" i="72" a="1"/>
  <c r="BS34" i="72" s="1"/>
  <c r="BM34" i="72" a="1"/>
  <c r="BM34" i="72" s="1"/>
  <c r="BR34" i="72" a="1"/>
  <c r="BR34" i="72" s="1"/>
  <c r="BP34" i="72" a="1"/>
  <c r="BP34" i="72" s="1"/>
  <c r="BO34" i="72" a="1"/>
  <c r="BO34" i="72" s="1"/>
  <c r="BR32" i="72" a="1"/>
  <c r="BR32" i="72" s="1"/>
  <c r="BO32" i="72" a="1"/>
  <c r="BO32" i="72" s="1"/>
  <c r="AY32" i="72" a="1"/>
  <c r="AY32" i="72" s="1"/>
  <c r="BS32" i="72" a="1"/>
  <c r="BS32" i="72" s="1"/>
  <c r="BN32" i="72" a="1"/>
  <c r="BN32" i="72" s="1"/>
  <c r="BM32" i="72" a="1"/>
  <c r="BM32" i="72" s="1"/>
  <c r="BQ32" i="72" a="1"/>
  <c r="BQ32" i="72" s="1"/>
  <c r="BL32" i="72" a="1"/>
  <c r="BL32" i="72" s="1"/>
  <c r="BP32" i="72" a="1"/>
  <c r="BP32" i="72" s="1"/>
  <c r="CL27" i="72" a="1"/>
  <c r="CL27" i="72" s="1"/>
  <c r="CK27" i="72" a="1"/>
  <c r="CK27" i="72" s="1"/>
  <c r="CO27" i="72" a="1"/>
  <c r="CO27" i="72" s="1"/>
  <c r="BU27" i="72" a="1"/>
  <c r="BU27" i="72" s="1"/>
  <c r="CJ27" i="72" a="1"/>
  <c r="CJ27" i="72" s="1"/>
  <c r="CN27" i="72" a="1"/>
  <c r="CN27" i="72" s="1"/>
  <c r="CI27" i="72" a="1"/>
  <c r="CI27" i="72" s="1"/>
  <c r="CM27" i="72" a="1"/>
  <c r="CM27" i="72" s="1"/>
  <c r="CH27" i="72" a="1"/>
  <c r="CH27" i="72" s="1"/>
  <c r="CM25" i="72" a="1"/>
  <c r="CM25" i="72" s="1"/>
  <c r="CH25" i="72" a="1"/>
  <c r="CH25" i="72" s="1"/>
  <c r="CL25" i="72" a="1"/>
  <c r="CL25" i="72" s="1"/>
  <c r="CK25" i="72" a="1"/>
  <c r="CK25" i="72" s="1"/>
  <c r="CJ25" i="72" a="1"/>
  <c r="CJ25" i="72" s="1"/>
  <c r="CN25" i="72" a="1"/>
  <c r="CN25" i="72" s="1"/>
  <c r="CI25" i="72" a="1"/>
  <c r="CI25" i="72" s="1"/>
  <c r="BU25" i="72" a="1"/>
  <c r="BU25" i="72" s="1"/>
  <c r="CO25" i="72" a="1"/>
  <c r="CO25" i="72" s="1"/>
  <c r="DJ30" i="72" a="1"/>
  <c r="DJ30" i="72" s="1"/>
  <c r="DF30" i="72" a="1"/>
  <c r="DF30" i="72" s="1"/>
  <c r="CQ30" i="72" a="1"/>
  <c r="CQ30" i="72" s="1"/>
  <c r="DH30" i="72" a="1"/>
  <c r="DH30" i="72" s="1"/>
  <c r="DG30" i="72" a="1"/>
  <c r="DG30" i="72" s="1"/>
  <c r="DK30" i="72" a="1"/>
  <c r="DK30" i="72" s="1"/>
  <c r="DI30" i="72" a="1"/>
  <c r="DI30" i="72" s="1"/>
  <c r="DD30" i="72" a="1"/>
  <c r="DD30" i="72" s="1"/>
  <c r="DE30" i="72" a="1"/>
  <c r="DE30" i="72" s="1"/>
  <c r="DG17" i="72" a="1"/>
  <c r="DG17" i="72" s="1"/>
  <c r="DK17" i="72" a="1"/>
  <c r="DK17" i="72" s="1"/>
  <c r="CQ17" i="72" a="1"/>
  <c r="CQ17" i="72" s="1"/>
  <c r="DF17" i="72" a="1"/>
  <c r="DF17" i="72" s="1"/>
  <c r="DJ17" i="72" a="1"/>
  <c r="DJ17" i="72" s="1"/>
  <c r="DE17" i="72" a="1"/>
  <c r="DE17" i="72" s="1"/>
  <c r="DI17" i="72" a="1"/>
  <c r="DI17" i="72" s="1"/>
  <c r="DD17" i="72" a="1"/>
  <c r="DD17" i="72" s="1"/>
  <c r="DH17" i="72" a="1"/>
  <c r="DH17" i="72" s="1"/>
  <c r="EE33" i="72" a="1"/>
  <c r="EE33" i="72" s="1"/>
  <c r="DZ33" i="72" a="1"/>
  <c r="DZ33" i="72" s="1"/>
  <c r="EG33" i="72" a="1"/>
  <c r="EG33" i="72" s="1"/>
  <c r="EF33" i="72" a="1"/>
  <c r="EF33" i="72" s="1"/>
  <c r="EA33" i="72" a="1"/>
  <c r="EA33" i="72" s="1"/>
  <c r="DM33" i="72" a="1"/>
  <c r="DM33" i="72" s="1"/>
  <c r="ED33" i="72" a="1"/>
  <c r="ED33" i="72" s="1"/>
  <c r="EC33" i="72" a="1"/>
  <c r="EC33" i="72" s="1"/>
  <c r="EB33" i="72" a="1"/>
  <c r="EB33" i="72" s="1"/>
  <c r="ED27" i="72" a="1"/>
  <c r="ED27" i="72" s="1"/>
  <c r="EB27" i="72" a="1"/>
  <c r="EB27" i="72" s="1"/>
  <c r="EG27" i="72" a="1"/>
  <c r="EG27" i="72" s="1"/>
  <c r="EA27" i="72" a="1"/>
  <c r="EA27" i="72" s="1"/>
  <c r="EF27" i="72" a="1"/>
  <c r="EF27" i="72" s="1"/>
  <c r="DZ27" i="72" a="1"/>
  <c r="DZ27" i="72" s="1"/>
  <c r="EE27" i="72" a="1"/>
  <c r="EE27" i="72" s="1"/>
  <c r="EC27" i="72" a="1"/>
  <c r="EC27" i="72" s="1"/>
  <c r="DM27" i="72" a="1"/>
  <c r="DM27" i="72" s="1"/>
  <c r="FC25" i="72" a="1"/>
  <c r="FC25" i="72" s="1"/>
  <c r="EI25" i="72" a="1"/>
  <c r="EI25" i="72" s="1"/>
  <c r="EX25" i="72" a="1"/>
  <c r="EX25" i="72" s="1"/>
  <c r="FB25" i="72" a="1"/>
  <c r="FB25" i="72" s="1"/>
  <c r="EW25" i="72" a="1"/>
  <c r="EW25" i="72" s="1"/>
  <c r="FA25" i="72" a="1"/>
  <c r="FA25" i="72" s="1"/>
  <c r="EZ25" i="72" a="1"/>
  <c r="EZ25" i="72" s="1"/>
  <c r="EY25" i="72" a="1"/>
  <c r="EY25" i="72" s="1"/>
  <c r="EV25" i="72" a="1"/>
  <c r="EV25" i="72" s="1"/>
  <c r="FA27" i="72" a="1"/>
  <c r="FA27" i="72" s="1"/>
  <c r="EZ27" i="72" a="1"/>
  <c r="EZ27" i="72" s="1"/>
  <c r="EI27" i="72" a="1"/>
  <c r="EI27" i="72" s="1"/>
  <c r="EY27" i="72" a="1"/>
  <c r="EY27" i="72" s="1"/>
  <c r="EX27" i="72" a="1"/>
  <c r="EX27" i="72" s="1"/>
  <c r="FC27" i="72" a="1"/>
  <c r="FC27" i="72" s="1"/>
  <c r="EW27" i="72" a="1"/>
  <c r="EW27" i="72" s="1"/>
  <c r="FB27" i="72" a="1"/>
  <c r="FB27" i="72" s="1"/>
  <c r="EV27" i="72" a="1"/>
  <c r="EV27" i="72" s="1"/>
  <c r="FT32" i="72" a="1"/>
  <c r="FT32" i="72" s="1"/>
  <c r="FX32" i="72" a="1"/>
  <c r="FX32" i="72" s="1"/>
  <c r="FW32" i="72" a="1"/>
  <c r="FW32" i="72" s="1"/>
  <c r="FR32" i="72" a="1"/>
  <c r="FR32" i="72" s="1"/>
  <c r="FV32" i="72" a="1"/>
  <c r="FV32" i="72" s="1"/>
  <c r="FU32" i="72" a="1"/>
  <c r="FU32" i="72" s="1"/>
  <c r="FE32" i="72" a="1"/>
  <c r="FE32" i="72" s="1"/>
  <c r="FY32" i="72" a="1"/>
  <c r="FY32" i="72" s="1"/>
  <c r="FS32" i="72" a="1"/>
  <c r="FS32" i="72" s="1"/>
  <c r="FV22" i="72" a="1"/>
  <c r="FV22" i="72" s="1"/>
  <c r="FU22" i="72" a="1"/>
  <c r="FU22" i="72" s="1"/>
  <c r="FE22" i="72" a="1"/>
  <c r="FE22" i="72" s="1"/>
  <c r="FY22" i="72" a="1"/>
  <c r="FY22" i="72" s="1"/>
  <c r="FT22" i="72" a="1"/>
  <c r="FT22" i="72" s="1"/>
  <c r="FX22" i="72" a="1"/>
  <c r="FX22" i="72" s="1"/>
  <c r="FS22" i="72" a="1"/>
  <c r="FS22" i="72" s="1"/>
  <c r="FW22" i="72" a="1"/>
  <c r="FW22" i="72" s="1"/>
  <c r="FR22" i="72" a="1"/>
  <c r="FR22" i="72" s="1"/>
  <c r="GO32" i="72" a="1"/>
  <c r="GO32" i="72" s="1"/>
  <c r="GT32" i="72" a="1"/>
  <c r="GT32" i="72" s="1"/>
  <c r="GS32" i="72" a="1"/>
  <c r="GS32" i="72" s="1"/>
  <c r="GN32" i="72" a="1"/>
  <c r="GN32" i="72" s="1"/>
  <c r="GR32" i="72" a="1"/>
  <c r="GR32" i="72" s="1"/>
  <c r="GQ32" i="72" a="1"/>
  <c r="GQ32" i="72" s="1"/>
  <c r="GA32" i="72" a="1"/>
  <c r="GA32" i="72" s="1"/>
  <c r="GU32" i="72" a="1"/>
  <c r="GU32" i="72" s="1"/>
  <c r="GP32" i="72" a="1"/>
  <c r="GP32" i="72" s="1"/>
  <c r="HP21" i="72" a="1"/>
  <c r="HP21" i="72" s="1"/>
  <c r="HL21" i="72" a="1"/>
  <c r="HL21" i="72" s="1"/>
  <c r="GW21" i="72" a="1"/>
  <c r="GW21" i="72" s="1"/>
  <c r="HO21" i="72" a="1"/>
  <c r="HO21" i="72" s="1"/>
  <c r="HK21" i="72" a="1"/>
  <c r="HK21" i="72" s="1"/>
  <c r="HM21" i="72" a="1"/>
  <c r="HM21" i="72" s="1"/>
  <c r="HQ21" i="72" a="1"/>
  <c r="HQ21" i="72" s="1"/>
  <c r="HJ21" i="72" a="1"/>
  <c r="HJ21" i="72" s="1"/>
  <c r="HN21" i="72" a="1"/>
  <c r="HN21" i="72" s="1"/>
  <c r="HP23" i="72" a="1"/>
  <c r="HP23" i="72" s="1"/>
  <c r="HQ23" i="72" a="1"/>
  <c r="HQ23" i="72" s="1"/>
  <c r="GW23" i="72" a="1"/>
  <c r="GW23" i="72" s="1"/>
  <c r="HK23" i="72" a="1"/>
  <c r="HK23" i="72" s="1"/>
  <c r="HJ23" i="72" a="1"/>
  <c r="HJ23" i="72" s="1"/>
  <c r="HO23" i="72" a="1"/>
  <c r="HO23" i="72" s="1"/>
  <c r="HN23" i="72" a="1"/>
  <c r="HN23" i="72" s="1"/>
  <c r="HM23" i="72" a="1"/>
  <c r="HM23" i="72" s="1"/>
  <c r="HL23" i="72" a="1"/>
  <c r="HL23" i="72" s="1"/>
  <c r="IK18" i="72" a="1"/>
  <c r="IK18" i="72" s="1"/>
  <c r="IM18" i="72" a="1"/>
  <c r="IM18" i="72" s="1"/>
  <c r="IG18" i="72" a="1"/>
  <c r="IG18" i="72" s="1"/>
  <c r="IF18" i="72" a="1"/>
  <c r="IF18" i="72" s="1"/>
  <c r="IL18" i="72" a="1"/>
  <c r="IL18" i="72" s="1"/>
  <c r="IJ18" i="72" a="1"/>
  <c r="IJ18" i="72" s="1"/>
  <c r="II18" i="72" a="1"/>
  <c r="II18" i="72" s="1"/>
  <c r="IH18" i="72" a="1"/>
  <c r="IH18" i="72" s="1"/>
  <c r="IJ20" i="72" a="1"/>
  <c r="IJ20" i="72" s="1"/>
  <c r="IF20" i="72" a="1"/>
  <c r="IF20" i="72" s="1"/>
  <c r="II20" i="72" a="1"/>
  <c r="II20" i="72" s="1"/>
  <c r="IM20" i="72" a="1"/>
  <c r="IM20" i="72" s="1"/>
  <c r="IL20" i="72" a="1"/>
  <c r="IL20" i="72" s="1"/>
  <c r="IK20" i="72" a="1"/>
  <c r="IK20" i="72" s="1"/>
  <c r="IH20" i="72" a="1"/>
  <c r="IH20" i="72" s="1"/>
  <c r="IG20" i="72" a="1"/>
  <c r="IG20" i="72" s="1"/>
  <c r="JB21" i="72" a="1"/>
  <c r="JB21" i="72" s="1"/>
  <c r="JF21" i="72" a="1"/>
  <c r="JF21" i="72" s="1"/>
  <c r="JE21" i="72" a="1"/>
  <c r="JE21" i="72" s="1"/>
  <c r="IO21" i="72" a="1"/>
  <c r="IO21" i="72" s="1"/>
  <c r="JH21" i="72" a="1"/>
  <c r="JH21" i="72" s="1"/>
  <c r="JG21" i="72" a="1"/>
  <c r="JG21" i="72" s="1"/>
  <c r="JD21" i="72" a="1"/>
  <c r="JD21" i="72" s="1"/>
  <c r="JC21" i="72" a="1"/>
  <c r="JC21" i="72" s="1"/>
  <c r="JI21" i="72" a="1"/>
  <c r="JI21" i="72" s="1"/>
  <c r="JC30" i="72" a="1"/>
  <c r="JC30" i="72" s="1"/>
  <c r="JG30" i="72" a="1"/>
  <c r="JG30" i="72" s="1"/>
  <c r="JB30" i="72" a="1"/>
  <c r="JB30" i="72" s="1"/>
  <c r="JH30" i="72" a="1"/>
  <c r="JH30" i="72" s="1"/>
  <c r="JF30" i="72" a="1"/>
  <c r="JF30" i="72" s="1"/>
  <c r="IO30" i="72" a="1"/>
  <c r="IO30" i="72" s="1"/>
  <c r="JE30" i="72" a="1"/>
  <c r="JE30" i="72" s="1"/>
  <c r="JD30" i="72" a="1"/>
  <c r="JD30" i="72" s="1"/>
  <c r="JI30" i="72" a="1"/>
  <c r="JI30" i="72" s="1"/>
  <c r="BO22" i="72" a="1"/>
  <c r="BO22" i="72" s="1"/>
  <c r="BS22" i="72" a="1"/>
  <c r="BS22" i="72" s="1"/>
  <c r="AY22" i="72" a="1"/>
  <c r="AY22" i="72" s="1"/>
  <c r="BN22" i="72" a="1"/>
  <c r="BN22" i="72" s="1"/>
  <c r="BM22" i="72" a="1"/>
  <c r="BM22" i="72" s="1"/>
  <c r="BQ22" i="72" a="1"/>
  <c r="BQ22" i="72" s="1"/>
  <c r="BP22" i="72" a="1"/>
  <c r="BP22" i="72" s="1"/>
  <c r="BL22" i="72" a="1"/>
  <c r="BL22" i="72" s="1"/>
  <c r="BR22" i="72" a="1"/>
  <c r="BR22" i="72" s="1"/>
  <c r="JD22" i="72" a="1"/>
  <c r="JD22" i="72" s="1"/>
  <c r="JH22" i="72" a="1"/>
  <c r="JH22" i="72" s="1"/>
  <c r="JC22" i="72" a="1"/>
  <c r="JC22" i="72" s="1"/>
  <c r="JG22" i="72" a="1"/>
  <c r="JG22" i="72" s="1"/>
  <c r="JB22" i="72" a="1"/>
  <c r="JB22" i="72" s="1"/>
  <c r="JF22" i="72" a="1"/>
  <c r="JF22" i="72" s="1"/>
  <c r="JE22" i="72" a="1"/>
  <c r="JE22" i="72" s="1"/>
  <c r="JI22" i="72" a="1"/>
  <c r="JI22" i="72" s="1"/>
  <c r="IO22" i="72" a="1"/>
  <c r="IO22" i="72" s="1"/>
  <c r="IG27" i="72" a="1"/>
  <c r="IG27" i="72" s="1"/>
  <c r="II27" i="72" a="1"/>
  <c r="II27" i="72" s="1"/>
  <c r="IM27" i="72" a="1"/>
  <c r="IM27" i="72" s="1"/>
  <c r="IH27" i="72" a="1"/>
  <c r="IH27" i="72" s="1"/>
  <c r="IJ27" i="72" a="1"/>
  <c r="IJ27" i="72" s="1"/>
  <c r="IF27" i="72" a="1"/>
  <c r="IF27" i="72" s="1"/>
  <c r="IL27" i="72" a="1"/>
  <c r="IL27" i="72" s="1"/>
  <c r="IK27" i="72" a="1"/>
  <c r="IK27" i="72" s="1"/>
  <c r="GR24" i="72" a="1"/>
  <c r="GR24" i="72" s="1"/>
  <c r="GQ24" i="72" a="1"/>
  <c r="GQ24" i="72" s="1"/>
  <c r="GA24" i="72" a="1"/>
  <c r="GA24" i="72" s="1"/>
  <c r="GU24" i="72" a="1"/>
  <c r="GU24" i="72" s="1"/>
  <c r="GP24" i="72" a="1"/>
  <c r="GP24" i="72" s="1"/>
  <c r="GT24" i="72" a="1"/>
  <c r="GT24" i="72" s="1"/>
  <c r="GS24" i="72" a="1"/>
  <c r="GS24" i="72" s="1"/>
  <c r="GO24" i="72" a="1"/>
  <c r="GO24" i="72" s="1"/>
  <c r="GN24" i="72" a="1"/>
  <c r="GN24" i="72" s="1"/>
  <c r="HO34" i="72" a="1"/>
  <c r="HO34" i="72" s="1"/>
  <c r="HK34" i="72" a="1"/>
  <c r="HK34" i="72" s="1"/>
  <c r="HQ34" i="72" a="1"/>
  <c r="HQ34" i="72" s="1"/>
  <c r="HJ34" i="72" a="1"/>
  <c r="HJ34" i="72" s="1"/>
  <c r="HP34" i="72" a="1"/>
  <c r="HP34" i="72" s="1"/>
  <c r="HN34" i="72" a="1"/>
  <c r="HN34" i="72" s="1"/>
  <c r="GW34" i="72" a="1"/>
  <c r="GW34" i="72" s="1"/>
  <c r="HM34" i="72" a="1"/>
  <c r="HM34" i="72" s="1"/>
  <c r="HL34" i="72" a="1"/>
  <c r="HL34" i="72" s="1"/>
  <c r="FT18" i="72" a="1"/>
  <c r="FT18" i="72" s="1"/>
  <c r="FW18" i="72" a="1"/>
  <c r="FW18" i="72" s="1"/>
  <c r="FV18" i="72" a="1"/>
  <c r="FV18" i="72" s="1"/>
  <c r="FE18" i="72" a="1"/>
  <c r="FE18" i="72" s="1"/>
  <c r="FU18" i="72" a="1"/>
  <c r="FU18" i="72" s="1"/>
  <c r="FS18" i="72" a="1"/>
  <c r="FS18" i="72" s="1"/>
  <c r="FY18" i="72" a="1"/>
  <c r="FY18" i="72" s="1"/>
  <c r="FX18" i="72" a="1"/>
  <c r="FX18" i="72" s="1"/>
  <c r="FR18" i="72" a="1"/>
  <c r="FR18" i="72" s="1"/>
  <c r="EZ21" i="72" a="1"/>
  <c r="EZ21" i="72" s="1"/>
  <c r="EV21" i="72" a="1"/>
  <c r="EV21" i="72" s="1"/>
  <c r="FC21" i="72" a="1"/>
  <c r="FC21" i="72" s="1"/>
  <c r="EX21" i="72" a="1"/>
  <c r="EX21" i="72" s="1"/>
  <c r="EW21" i="72" a="1"/>
  <c r="EW21" i="72" s="1"/>
  <c r="EI21" i="72" a="1"/>
  <c r="EI21" i="72" s="1"/>
  <c r="FB21" i="72" a="1"/>
  <c r="FB21" i="72" s="1"/>
  <c r="FA21" i="72" a="1"/>
  <c r="FA21" i="72" s="1"/>
  <c r="EY21" i="72" a="1"/>
  <c r="EY21" i="72" s="1"/>
  <c r="DK34" i="72" a="1"/>
  <c r="DK34" i="72" s="1"/>
  <c r="DE34" i="72" a="1"/>
  <c r="DE34" i="72" s="1"/>
  <c r="DJ34" i="72" a="1"/>
  <c r="DJ34" i="72" s="1"/>
  <c r="DI34" i="72" a="1"/>
  <c r="DI34" i="72" s="1"/>
  <c r="DD34" i="72" a="1"/>
  <c r="DD34" i="72" s="1"/>
  <c r="DH34" i="72" a="1"/>
  <c r="DH34" i="72" s="1"/>
  <c r="CQ34" i="72" a="1"/>
  <c r="CQ34" i="72" s="1"/>
  <c r="DG34" i="72" a="1"/>
  <c r="DG34" i="72" s="1"/>
  <c r="DF34" i="72" a="1"/>
  <c r="DF34" i="72" s="1"/>
  <c r="BM17" i="72" a="1"/>
  <c r="BM17" i="72" s="1"/>
  <c r="BQ17" i="72" a="1"/>
  <c r="BQ17" i="72" s="1"/>
  <c r="BL17" i="72" a="1"/>
  <c r="BL17" i="72" s="1"/>
  <c r="BP17" i="72" a="1"/>
  <c r="BP17" i="72" s="1"/>
  <c r="BO17" i="72" a="1"/>
  <c r="BO17" i="72" s="1"/>
  <c r="BS17" i="72" a="1"/>
  <c r="BS17" i="72" s="1"/>
  <c r="AY17" i="72" a="1"/>
  <c r="AY17" i="72" s="1"/>
  <c r="BN17" i="72" a="1"/>
  <c r="BN17" i="72" s="1"/>
  <c r="BR17" i="72" a="1"/>
  <c r="BR17" i="72" s="1"/>
  <c r="BP16" i="72" a="1"/>
  <c r="BP16" i="72" s="1"/>
  <c r="BO16" i="72" a="1"/>
  <c r="BO16" i="72" s="1"/>
  <c r="BS16" i="72" a="1"/>
  <c r="BS16" i="72" s="1"/>
  <c r="AY16" i="72" a="1"/>
  <c r="AY16" i="72" s="1"/>
  <c r="BN16" i="72" a="1"/>
  <c r="BN16" i="72" s="1"/>
  <c r="BR16" i="72" a="1"/>
  <c r="BR16" i="72" s="1"/>
  <c r="BM16" i="72" a="1"/>
  <c r="BM16" i="72" s="1"/>
  <c r="BQ16" i="72" a="1"/>
  <c r="BQ16" i="72" s="1"/>
  <c r="BL16" i="72" a="1"/>
  <c r="BL16" i="72" s="1"/>
  <c r="CK28" i="72" a="1"/>
  <c r="CK28" i="72" s="1"/>
  <c r="BU28" i="72" a="1"/>
  <c r="BU28" i="72" s="1"/>
  <c r="CI28" i="72" a="1"/>
  <c r="CI28" i="72" s="1"/>
  <c r="CN28" i="72" a="1"/>
  <c r="CN28" i="72" s="1"/>
  <c r="CM28" i="72" a="1"/>
  <c r="CM28" i="72" s="1"/>
  <c r="CH28" i="72" a="1"/>
  <c r="CH28" i="72" s="1"/>
  <c r="CL28" i="72" a="1"/>
  <c r="CL28" i="72" s="1"/>
  <c r="CO28" i="72" a="1"/>
  <c r="CO28" i="72" s="1"/>
  <c r="CJ28" i="72" a="1"/>
  <c r="CJ28" i="72" s="1"/>
  <c r="CJ24" i="72" a="1"/>
  <c r="CJ24" i="72" s="1"/>
  <c r="CM24" i="72" a="1"/>
  <c r="CM24" i="72" s="1"/>
  <c r="CH24" i="72" a="1"/>
  <c r="CH24" i="72" s="1"/>
  <c r="CI24" i="72" a="1"/>
  <c r="CI24" i="72" s="1"/>
  <c r="CO24" i="72" a="1"/>
  <c r="CO24" i="72" s="1"/>
  <c r="CN24" i="72" a="1"/>
  <c r="CN24" i="72" s="1"/>
  <c r="CL24" i="72" a="1"/>
  <c r="CL24" i="72" s="1"/>
  <c r="BU24" i="72" a="1"/>
  <c r="BU24" i="72" s="1"/>
  <c r="CK24" i="72" a="1"/>
  <c r="CK24" i="72" s="1"/>
  <c r="DG14" i="72" a="1"/>
  <c r="DG14" i="72" s="1"/>
  <c r="DF14" i="72" a="1"/>
  <c r="DF14" i="72" s="1"/>
  <c r="DK14" i="72" a="1"/>
  <c r="DK14" i="72" s="1"/>
  <c r="CQ14" i="72" a="1"/>
  <c r="CQ14" i="72" s="1"/>
  <c r="DD14" i="72" a="1"/>
  <c r="DD14" i="72" s="1"/>
  <c r="DJ14" i="72" a="1"/>
  <c r="DJ14" i="72" s="1"/>
  <c r="DE14" i="72" a="1"/>
  <c r="DE14" i="72" s="1"/>
  <c r="DI14" i="72" a="1"/>
  <c r="DI14" i="72" s="1"/>
  <c r="DH14" i="72" a="1"/>
  <c r="DH14" i="72" s="1"/>
  <c r="DG24" i="72" a="1"/>
  <c r="DG24" i="72" s="1"/>
  <c r="CQ24" i="72" a="1"/>
  <c r="CQ24" i="72" s="1"/>
  <c r="DE24" i="72" a="1"/>
  <c r="DE24" i="72" s="1"/>
  <c r="DH24" i="72" a="1"/>
  <c r="DH24" i="72" s="1"/>
  <c r="DJ24" i="72" a="1"/>
  <c r="DJ24" i="72" s="1"/>
  <c r="DI24" i="72" a="1"/>
  <c r="DI24" i="72" s="1"/>
  <c r="DF24" i="72" a="1"/>
  <c r="DF24" i="72" s="1"/>
  <c r="DK24" i="72" a="1"/>
  <c r="DK24" i="72" s="1"/>
  <c r="DD24" i="72" a="1"/>
  <c r="DD24" i="72" s="1"/>
  <c r="EG14" i="72" a="1"/>
  <c r="EG14" i="72" s="1"/>
  <c r="DM14" i="72" a="1"/>
  <c r="DM14" i="72" s="1"/>
  <c r="EB14" i="72" a="1"/>
  <c r="EB14" i="72" s="1"/>
  <c r="EA14" i="72" a="1"/>
  <c r="EA14" i="72" s="1"/>
  <c r="EF14" i="72" a="1"/>
  <c r="EF14" i="72" s="1"/>
  <c r="EE14" i="72" a="1"/>
  <c r="EE14" i="72" s="1"/>
  <c r="DZ14" i="72" a="1"/>
  <c r="DZ14" i="72" s="1"/>
  <c r="ED14" i="72" a="1"/>
  <c r="ED14" i="72" s="1"/>
  <c r="EC14" i="72" a="1"/>
  <c r="EC14" i="72" s="1"/>
  <c r="EG28" i="72" a="1"/>
  <c r="EG28" i="72" s="1"/>
  <c r="EB28" i="72" a="1"/>
  <c r="EB28" i="72" s="1"/>
  <c r="EA28" i="72" a="1"/>
  <c r="EA28" i="72" s="1"/>
  <c r="EF28" i="72" a="1"/>
  <c r="EF28" i="72" s="1"/>
  <c r="EE28" i="72" a="1"/>
  <c r="EE28" i="72" s="1"/>
  <c r="DZ28" i="72" a="1"/>
  <c r="DZ28" i="72" s="1"/>
  <c r="ED28" i="72" a="1"/>
  <c r="ED28" i="72" s="1"/>
  <c r="EC28" i="72" a="1"/>
  <c r="EC28" i="72" s="1"/>
  <c r="DM28" i="72" a="1"/>
  <c r="DM28" i="72" s="1"/>
  <c r="DO28" i="72" s="1"/>
  <c r="DU28" i="72" s="1"/>
  <c r="EX20" i="72" a="1"/>
  <c r="EX20" i="72" s="1"/>
  <c r="FC20" i="72" a="1"/>
  <c r="FC20" i="72" s="1"/>
  <c r="EW20" i="72" a="1"/>
  <c r="EW20" i="72" s="1"/>
  <c r="FB20" i="72" a="1"/>
  <c r="FB20" i="72" s="1"/>
  <c r="FA20" i="72" a="1"/>
  <c r="FA20" i="72" s="1"/>
  <c r="EZ20" i="72" a="1"/>
  <c r="EZ20" i="72" s="1"/>
  <c r="EY20" i="72" a="1"/>
  <c r="EY20" i="72" s="1"/>
  <c r="EV20" i="72" a="1"/>
  <c r="EV20" i="72" s="1"/>
  <c r="EI20" i="72" a="1"/>
  <c r="EI20" i="72" s="1"/>
  <c r="FA28" i="72" a="1"/>
  <c r="FA28" i="72" s="1"/>
  <c r="EV28" i="72" a="1"/>
  <c r="EV28" i="72" s="1"/>
  <c r="EY28" i="72" a="1"/>
  <c r="EY28" i="72" s="1"/>
  <c r="EI28" i="72" a="1"/>
  <c r="EI28" i="72" s="1"/>
  <c r="FC28" i="72" a="1"/>
  <c r="FC28" i="72" s="1"/>
  <c r="EX28" i="72" a="1"/>
  <c r="EX28" i="72" s="1"/>
  <c r="EW28" i="72" a="1"/>
  <c r="EW28" i="72" s="1"/>
  <c r="FB28" i="72" a="1"/>
  <c r="FB28" i="72" s="1"/>
  <c r="EZ28" i="72" a="1"/>
  <c r="EZ28" i="72" s="1"/>
  <c r="FS14" i="72" a="1"/>
  <c r="FS14" i="72" s="1"/>
  <c r="FW14" i="72" a="1"/>
  <c r="FW14" i="72" s="1"/>
  <c r="FR14" i="72" a="1"/>
  <c r="FR14" i="72" s="1"/>
  <c r="FU14" i="72" a="1"/>
  <c r="FU14" i="72" s="1"/>
  <c r="FY14" i="72" a="1"/>
  <c r="FY14" i="72" s="1"/>
  <c r="FE14" i="72" a="1"/>
  <c r="FE14" i="72" s="1"/>
  <c r="FG14" i="72" s="1"/>
  <c r="FM14" i="72" s="1"/>
  <c r="FT14" i="72" a="1"/>
  <c r="FT14" i="72" s="1"/>
  <c r="FX14" i="72" a="1"/>
  <c r="FX14" i="72" s="1"/>
  <c r="FV14" i="72" a="1"/>
  <c r="FV14" i="72" s="1"/>
  <c r="FX28" i="72" a="1"/>
  <c r="FX28" i="72" s="1"/>
  <c r="FW28" i="72" a="1"/>
  <c r="FW28" i="72" s="1"/>
  <c r="FR28" i="72" a="1"/>
  <c r="FR28" i="72" s="1"/>
  <c r="FV28" i="72" a="1"/>
  <c r="FV28" i="72" s="1"/>
  <c r="FU28" i="72" a="1"/>
  <c r="FU28" i="72" s="1"/>
  <c r="FE28" i="72" a="1"/>
  <c r="FE28" i="72" s="1"/>
  <c r="FY28" i="72" a="1"/>
  <c r="FY28" i="72" s="1"/>
  <c r="FT28" i="72" a="1"/>
  <c r="FT28" i="72" s="1"/>
  <c r="FS28" i="72" a="1"/>
  <c r="FS28" i="72" s="1"/>
  <c r="GS17" i="72" a="1"/>
  <c r="GS17" i="72" s="1"/>
  <c r="GN17" i="72" a="1"/>
  <c r="GN17" i="72" s="1"/>
  <c r="GR17" i="72" a="1"/>
  <c r="GR17" i="72" s="1"/>
  <c r="GQ17" i="72" a="1"/>
  <c r="GQ17" i="72" s="1"/>
  <c r="GU17" i="72" a="1"/>
  <c r="GU17" i="72" s="1"/>
  <c r="GA17" i="72" a="1"/>
  <c r="GA17" i="72" s="1"/>
  <c r="GP17" i="72" a="1"/>
  <c r="GP17" i="72" s="1"/>
  <c r="GT17" i="72" a="1"/>
  <c r="GT17" i="72" s="1"/>
  <c r="GO17" i="72" a="1"/>
  <c r="GO17" i="72" s="1"/>
  <c r="HP30" i="72" a="1"/>
  <c r="HP30" i="72" s="1"/>
  <c r="HK30" i="72" a="1"/>
  <c r="HK30" i="72" s="1"/>
  <c r="HJ30" i="72" a="1"/>
  <c r="HJ30" i="72" s="1"/>
  <c r="HN30" i="72" a="1"/>
  <c r="HN30" i="72" s="1"/>
  <c r="GW30" i="72" a="1"/>
  <c r="GW30" i="72" s="1"/>
  <c r="GY30" i="72" s="1"/>
  <c r="HM30" i="72" a="1"/>
  <c r="HM30" i="72" s="1"/>
  <c r="HL30" i="72" a="1"/>
  <c r="HL30" i="72" s="1"/>
  <c r="HQ30" i="72" a="1"/>
  <c r="HQ30" i="72" s="1"/>
  <c r="HO30" i="72" a="1"/>
  <c r="HO30" i="72" s="1"/>
  <c r="HQ16" i="72" a="1"/>
  <c r="HQ16" i="72" s="1"/>
  <c r="GW16" i="72" a="1"/>
  <c r="GW16" i="72" s="1"/>
  <c r="HL16" i="72" a="1"/>
  <c r="HL16" i="72" s="1"/>
  <c r="HP16" i="72" a="1"/>
  <c r="HP16" i="72" s="1"/>
  <c r="HK16" i="72" a="1"/>
  <c r="HK16" i="72" s="1"/>
  <c r="HO16" i="72" a="1"/>
  <c r="HO16" i="72" s="1"/>
  <c r="HJ16" i="72" a="1"/>
  <c r="HJ16" i="72" s="1"/>
  <c r="HN16" i="72" a="1"/>
  <c r="HN16" i="72" s="1"/>
  <c r="HM16" i="72" a="1"/>
  <c r="HM16" i="72" s="1"/>
  <c r="IK21" i="72" a="1"/>
  <c r="IK21" i="72" s="1"/>
  <c r="IG21" i="72" a="1"/>
  <c r="IG21" i="72" s="1"/>
  <c r="IJ21" i="72" a="1"/>
  <c r="IJ21" i="72" s="1"/>
  <c r="IF21" i="72" a="1"/>
  <c r="IF21" i="72" s="1"/>
  <c r="IM21" i="72" a="1"/>
  <c r="IM21" i="72" s="1"/>
  <c r="II21" i="72" a="1"/>
  <c r="II21" i="72" s="1"/>
  <c r="IH21" i="72" a="1"/>
  <c r="IH21" i="72" s="1"/>
  <c r="IL21" i="72" a="1"/>
  <c r="IL21" i="72" s="1"/>
  <c r="II24" i="72" a="1"/>
  <c r="II24" i="72" s="1"/>
  <c r="IM24" i="72" a="1"/>
  <c r="IM24" i="72" s="1"/>
  <c r="IH24" i="72" a="1"/>
  <c r="IH24" i="72" s="1"/>
  <c r="IL24" i="72" a="1"/>
  <c r="IL24" i="72" s="1"/>
  <c r="IG24" i="72" a="1"/>
  <c r="IG24" i="72" s="1"/>
  <c r="IF24" i="72" a="1"/>
  <c r="IF24" i="72" s="1"/>
  <c r="IJ24" i="72" a="1"/>
  <c r="IJ24" i="72" s="1"/>
  <c r="IK24" i="72" a="1"/>
  <c r="IK24" i="72" s="1"/>
  <c r="JH16" i="72" a="1"/>
  <c r="JH16" i="72" s="1"/>
  <c r="JC16" i="72" a="1"/>
  <c r="JC16" i="72" s="1"/>
  <c r="JG16" i="72" a="1"/>
  <c r="JG16" i="72" s="1"/>
  <c r="JB16" i="72" a="1"/>
  <c r="JB16" i="72" s="1"/>
  <c r="JF16" i="72" a="1"/>
  <c r="JF16" i="72" s="1"/>
  <c r="JE16" i="72" a="1"/>
  <c r="JE16" i="72" s="1"/>
  <c r="IO16" i="72" a="1"/>
  <c r="IO16" i="72" s="1"/>
  <c r="JI16" i="72" a="1"/>
  <c r="JI16" i="72" s="1"/>
  <c r="JD16" i="72" a="1"/>
  <c r="JD16" i="72" s="1"/>
  <c r="JC26" i="72" a="1"/>
  <c r="JC26" i="72" s="1"/>
  <c r="JG26" i="72" a="1"/>
  <c r="JG26" i="72" s="1"/>
  <c r="JB26" i="72" a="1"/>
  <c r="JB26" i="72" s="1"/>
  <c r="JF26" i="72" a="1"/>
  <c r="JF26" i="72" s="1"/>
  <c r="JE26" i="72" a="1"/>
  <c r="JE26" i="72" s="1"/>
  <c r="JI26" i="72" a="1"/>
  <c r="JI26" i="72" s="1"/>
  <c r="IO26" i="72" a="1"/>
  <c r="IO26" i="72" s="1"/>
  <c r="IQ26" i="72" s="1"/>
  <c r="JD26" i="72" a="1"/>
  <c r="JD26" i="72" s="1"/>
  <c r="JH26" i="72" a="1"/>
  <c r="JH26" i="72" s="1"/>
  <c r="IQ16" i="72"/>
  <c r="IW16" i="72" s="1"/>
  <c r="BA14" i="72"/>
  <c r="BA15" i="72"/>
  <c r="BW30" i="72"/>
  <c r="CS24" i="72"/>
  <c r="CY24" i="72" s="1"/>
  <c r="IQ24" i="72"/>
  <c r="IQ15" i="72"/>
  <c r="IW15" i="72" s="1"/>
  <c r="BW23" i="72"/>
  <c r="CC23" i="72" s="1"/>
  <c r="GC27" i="72"/>
  <c r="GI27" i="72" s="1"/>
  <c r="GC14" i="72"/>
  <c r="GC20" i="72"/>
  <c r="GI20" i="72" s="1"/>
  <c r="BA27" i="72"/>
  <c r="BG27" i="72" s="1"/>
  <c r="GY15" i="72"/>
  <c r="GY27" i="72"/>
  <c r="HE27" i="72" s="1"/>
  <c r="FG33" i="72"/>
  <c r="FM33" i="72" s="1"/>
  <c r="FG34" i="72"/>
  <c r="FM34" i="72" s="1"/>
  <c r="FG15" i="72"/>
  <c r="FM15" i="72" s="1"/>
  <c r="EK25" i="72"/>
  <c r="EQ25" i="72" s="1"/>
  <c r="EQ24" i="72"/>
  <c r="EK24" i="72"/>
  <c r="DO31" i="72"/>
  <c r="DV31" i="72" s="1"/>
  <c r="DU31" i="72"/>
  <c r="DO17" i="72"/>
  <c r="DO27" i="72"/>
  <c r="CS28" i="72"/>
  <c r="CS15" i="72"/>
  <c r="CZ15" i="72" s="1"/>
  <c r="IQ30" i="72"/>
  <c r="IW30" i="72" s="1"/>
  <c r="BA22" i="72"/>
  <c r="BW27" i="72"/>
  <c r="CC27" i="72" s="1"/>
  <c r="CS29" i="72"/>
  <c r="CZ29" i="72" s="1"/>
  <c r="IQ31" i="72"/>
  <c r="IW31" i="72" s="1"/>
  <c r="IQ27" i="72"/>
  <c r="IW27" i="72" s="1"/>
  <c r="BW25" i="72"/>
  <c r="GC32" i="72"/>
  <c r="GI32" i="72" s="1"/>
  <c r="GC16" i="72"/>
  <c r="GI16" i="72" s="1"/>
  <c r="GC33" i="72"/>
  <c r="GY31" i="72"/>
  <c r="GY28" i="72"/>
  <c r="HE28" i="72" s="1"/>
  <c r="GY24" i="72"/>
  <c r="FG28" i="72"/>
  <c r="FG24" i="72"/>
  <c r="FM24" i="72" s="1"/>
  <c r="FG31" i="72"/>
  <c r="EK22" i="72"/>
  <c r="EQ22" i="72" s="1"/>
  <c r="EK21" i="72"/>
  <c r="EQ21" i="72" s="1"/>
  <c r="DO29" i="72"/>
  <c r="DO24" i="72"/>
  <c r="DV24" i="72" s="1"/>
  <c r="DO19" i="72"/>
  <c r="CS26" i="72"/>
  <c r="CY26" i="72" s="1"/>
  <c r="CS25" i="72"/>
  <c r="CZ25" i="72" s="1"/>
  <c r="BA18" i="72"/>
  <c r="BA30" i="72"/>
  <c r="BW28" i="72"/>
  <c r="CS21" i="72"/>
  <c r="CZ21" i="72" s="1"/>
  <c r="IQ28" i="72"/>
  <c r="IW28" i="72" s="1"/>
  <c r="IQ19" i="72"/>
  <c r="IW19" i="72" s="1"/>
  <c r="BW29" i="72"/>
  <c r="CC29" i="72" s="1"/>
  <c r="GC29" i="72"/>
  <c r="GC34" i="72"/>
  <c r="GI34" i="72" s="1"/>
  <c r="BA20" i="72"/>
  <c r="BG20" i="72" s="1"/>
  <c r="GY34" i="72"/>
  <c r="HE34" i="72" s="1"/>
  <c r="GY33" i="72"/>
  <c r="HE33" i="72" s="1"/>
  <c r="GY17" i="72"/>
  <c r="HE17" i="72" s="1"/>
  <c r="FG25" i="72"/>
  <c r="FM25" i="72" s="1"/>
  <c r="FG29" i="72"/>
  <c r="FG23" i="72"/>
  <c r="FM23" i="72" s="1"/>
  <c r="EK14" i="72"/>
  <c r="EQ14" i="72" s="1"/>
  <c r="EK26" i="72"/>
  <c r="DO20" i="72"/>
  <c r="DV20" i="72" s="1"/>
  <c r="DO32" i="72"/>
  <c r="DU32" i="72" s="1"/>
  <c r="CS14" i="72"/>
  <c r="CY14" i="72" s="1"/>
  <c r="BA33" i="72"/>
  <c r="BA19" i="72"/>
  <c r="BW32" i="72"/>
  <c r="CS27" i="72"/>
  <c r="CY27" i="72" s="1"/>
  <c r="IQ18" i="72"/>
  <c r="IW18" i="72" s="1"/>
  <c r="IQ29" i="72"/>
  <c r="IW29" i="72" s="1"/>
  <c r="BW34" i="72"/>
  <c r="CC34" i="72" s="1"/>
  <c r="GC17" i="72"/>
  <c r="GI17" i="72" s="1"/>
  <c r="GC26" i="72"/>
  <c r="BA32" i="72"/>
  <c r="BH32" i="72" s="1"/>
  <c r="GY18" i="72"/>
  <c r="GY14" i="72"/>
  <c r="FG18" i="72"/>
  <c r="FG26" i="72"/>
  <c r="EK33" i="72"/>
  <c r="EK27" i="72"/>
  <c r="EK28" i="72"/>
  <c r="ER28" i="72" s="1"/>
  <c r="DO33" i="72"/>
  <c r="DO15" i="72"/>
  <c r="DV15" i="72" s="1"/>
  <c r="DO34" i="72"/>
  <c r="CS20" i="72"/>
  <c r="CZ20" i="72" s="1"/>
  <c r="IQ17" i="72"/>
  <c r="IW17" i="72" s="1"/>
  <c r="BA25" i="72"/>
  <c r="BA16" i="72"/>
  <c r="BW14" i="72"/>
  <c r="CS30" i="72"/>
  <c r="CZ30" i="72" s="1"/>
  <c r="IQ23" i="72"/>
  <c r="IQ21" i="72"/>
  <c r="BW20" i="72"/>
  <c r="GC22" i="72"/>
  <c r="GC18" i="72"/>
  <c r="BA21" i="72"/>
  <c r="BG21" i="72" s="1"/>
  <c r="BH21" i="72"/>
  <c r="GY29" i="72"/>
  <c r="GY32" i="72"/>
  <c r="HE32" i="72" s="1"/>
  <c r="GY19" i="72"/>
  <c r="HE19" i="72" s="1"/>
  <c r="FG20" i="72"/>
  <c r="EK17" i="72"/>
  <c r="EK32" i="72"/>
  <c r="EK31" i="72"/>
  <c r="EQ31" i="72" s="1"/>
  <c r="DO26" i="72"/>
  <c r="DO25" i="72"/>
  <c r="DO16" i="72"/>
  <c r="DV16" i="72" s="1"/>
  <c r="CS18" i="72"/>
  <c r="BA31" i="72"/>
  <c r="BW26" i="72"/>
  <c r="CC26" i="72" s="1"/>
  <c r="BW16" i="72"/>
  <c r="CC16" i="72" s="1"/>
  <c r="CS19" i="72"/>
  <c r="CY19" i="72" s="1"/>
  <c r="IQ20" i="72"/>
  <c r="IW20" i="72" s="1"/>
  <c r="IQ34" i="72"/>
  <c r="BW21" i="72"/>
  <c r="GC15" i="72"/>
  <c r="GI15" i="72" s="1"/>
  <c r="GC19" i="72"/>
  <c r="GC31" i="72"/>
  <c r="GI31" i="72" s="1"/>
  <c r="BA24" i="72"/>
  <c r="BG24" i="72" s="1"/>
  <c r="GY21" i="72"/>
  <c r="HE21" i="72" s="1"/>
  <c r="GY20" i="72"/>
  <c r="GY16" i="72"/>
  <c r="FG17" i="72"/>
  <c r="FM17" i="72" s="1"/>
  <c r="FG19" i="72"/>
  <c r="FM19" i="72" s="1"/>
  <c r="EK30" i="72"/>
  <c r="EK29" i="72"/>
  <c r="EQ29" i="72" s="1"/>
  <c r="EK16" i="72"/>
  <c r="EQ16" i="72" s="1"/>
  <c r="DO14" i="72"/>
  <c r="DO21" i="72"/>
  <c r="CS34" i="72"/>
  <c r="CS16" i="72"/>
  <c r="IQ33" i="72"/>
  <c r="IW33" i="72" s="1"/>
  <c r="BA29" i="72"/>
  <c r="BA17" i="72"/>
  <c r="BW15" i="72"/>
  <c r="BW33" i="72"/>
  <c r="CS17" i="72"/>
  <c r="CZ17" i="72" s="1"/>
  <c r="IQ25" i="72"/>
  <c r="BW31" i="72"/>
  <c r="BW18" i="72"/>
  <c r="GC25" i="72"/>
  <c r="GI25" i="72" s="1"/>
  <c r="GC24" i="72"/>
  <c r="GC28" i="72"/>
  <c r="BA28" i="72"/>
  <c r="BH28" i="72" s="1"/>
  <c r="HE26" i="72"/>
  <c r="GY26" i="72"/>
  <c r="GY25" i="72"/>
  <c r="HE25" i="72" s="1"/>
  <c r="FG22" i="72"/>
  <c r="FM22" i="72" s="1"/>
  <c r="FG30" i="72"/>
  <c r="FM30" i="72" s="1"/>
  <c r="FG16" i="72"/>
  <c r="FM16" i="72" s="1"/>
  <c r="EK15" i="72"/>
  <c r="EK34" i="72"/>
  <c r="EK18" i="72"/>
  <c r="DO30" i="72"/>
  <c r="DU30" i="72" s="1"/>
  <c r="DO22" i="72"/>
  <c r="DU22" i="72" s="1"/>
  <c r="CS32" i="72"/>
  <c r="CZ32" i="72" s="1"/>
  <c r="CS31" i="72"/>
  <c r="CZ31" i="72" s="1"/>
  <c r="IQ14" i="72"/>
  <c r="BA23" i="72"/>
  <c r="BA26" i="72"/>
  <c r="BW19" i="72"/>
  <c r="CC19" i="72" s="1"/>
  <c r="BW17" i="72"/>
  <c r="CC17" i="72" s="1"/>
  <c r="CS23" i="72"/>
  <c r="IQ22" i="72"/>
  <c r="IW22" i="72" s="1"/>
  <c r="BW22" i="72"/>
  <c r="BW24" i="72"/>
  <c r="CC24" i="72" s="1"/>
  <c r="GC30" i="72"/>
  <c r="GI30" i="72" s="1"/>
  <c r="GC21" i="72"/>
  <c r="GI21" i="72" s="1"/>
  <c r="GC23" i="72"/>
  <c r="GY23" i="72"/>
  <c r="GY22" i="72"/>
  <c r="FG27" i="72"/>
  <c r="FG32" i="72"/>
  <c r="FM32" i="72" s="1"/>
  <c r="FG21" i="72"/>
  <c r="EK23" i="72"/>
  <c r="EQ23" i="72" s="1"/>
  <c r="EK19" i="72"/>
  <c r="EK20" i="72"/>
  <c r="ER20" i="72" s="1"/>
  <c r="DO23" i="72"/>
  <c r="DU23" i="72" s="1"/>
  <c r="DU18" i="72"/>
  <c r="DO18" i="72"/>
  <c r="CS22" i="72"/>
  <c r="CY22" i="72" s="1"/>
  <c r="CS33" i="72"/>
  <c r="CZ33" i="72" s="1"/>
  <c r="IQ32" i="72"/>
  <c r="IW32" i="72" s="1"/>
  <c r="BA34" i="72"/>
  <c r="BG34" i="72" s="1"/>
  <c r="HS21" i="72" a="1"/>
  <c r="HS21" i="72" s="1"/>
  <c r="HU21" i="72" s="1"/>
  <c r="HS20" i="72" a="1"/>
  <c r="HS20" i="72" s="1"/>
  <c r="HU20" i="72" s="1"/>
  <c r="HS18" i="72" a="1"/>
  <c r="HS18" i="72" s="1"/>
  <c r="HU18" i="72" s="1"/>
  <c r="HS17" i="72" a="1"/>
  <c r="HS17" i="72" s="1"/>
  <c r="HU17" i="72" s="1"/>
  <c r="HS23" i="72" a="1"/>
  <c r="HS23" i="72" s="1"/>
  <c r="HU23" i="72" s="1"/>
  <c r="HS31" i="72" a="1"/>
  <c r="HS31" i="72" s="1"/>
  <c r="HU31" i="72" s="1"/>
  <c r="HS22" i="72" a="1"/>
  <c r="HS22" i="72" s="1"/>
  <c r="HU22" i="72" s="1"/>
  <c r="HS28" i="72" a="1"/>
  <c r="HS28" i="72" s="1"/>
  <c r="HU28" i="72" s="1"/>
  <c r="HS33" i="72" a="1"/>
  <c r="HS33" i="72" s="1"/>
  <c r="HU33" i="72" s="1"/>
  <c r="HS19" i="72" a="1"/>
  <c r="HS19" i="72" s="1"/>
  <c r="HU19" i="72" s="1"/>
  <c r="HS34" i="72" a="1"/>
  <c r="HS34" i="72" s="1"/>
  <c r="HU34" i="72" s="1"/>
  <c r="HS25" i="72" a="1"/>
  <c r="HS25" i="72" s="1"/>
  <c r="HU25" i="72" s="1"/>
  <c r="HS14" i="72" a="1"/>
  <c r="HS14" i="72" s="1"/>
  <c r="HU14" i="72" s="1"/>
  <c r="HS16" i="72" a="1"/>
  <c r="HS16" i="72" s="1"/>
  <c r="HU16" i="72" s="1"/>
  <c r="HS30" i="72" a="1"/>
  <c r="HS30" i="72" s="1"/>
  <c r="HU30" i="72" s="1"/>
  <c r="HS32" i="72" a="1"/>
  <c r="HS32" i="72" s="1"/>
  <c r="HU32" i="72" s="1"/>
  <c r="HS29" i="72" a="1"/>
  <c r="HS29" i="72" s="1"/>
  <c r="HU29" i="72" s="1"/>
  <c r="HS27" i="72" a="1"/>
  <c r="HS27" i="72" s="1"/>
  <c r="HU27" i="72" s="1"/>
  <c r="HS24" i="72" a="1"/>
  <c r="HS24" i="72" s="1"/>
  <c r="HU24" i="72" s="1"/>
  <c r="HS26" i="72" a="1"/>
  <c r="HS26" i="72" s="1"/>
  <c r="HU26" i="72" s="1"/>
  <c r="HS15" i="72" a="1"/>
  <c r="HS15" i="72" s="1"/>
  <c r="HU15"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Y6" i="75"/>
  <c r="Z6" i="75"/>
  <c r="I15" i="36" s="1"/>
  <c r="G15" i="36" s="1"/>
  <c r="EK2" i="72"/>
  <c r="Z10" i="75"/>
  <c r="I19" i="36" s="1"/>
  <c r="Y10" i="75"/>
  <c r="HU2" i="72"/>
  <c r="Z14" i="75"/>
  <c r="I23" i="36" s="1"/>
  <c r="Y14" i="75"/>
  <c r="T38" i="72"/>
  <c r="CZ22" i="72" l="1"/>
  <c r="CY31" i="72"/>
  <c r="DV30" i="72"/>
  <c r="BH34" i="72"/>
  <c r="CY32" i="72"/>
  <c r="DV22" i="72"/>
  <c r="CY30" i="72"/>
  <c r="DU24" i="72"/>
  <c r="ER23" i="72"/>
  <c r="DU15" i="72"/>
  <c r="CY29" i="72"/>
  <c r="BH20" i="72"/>
  <c r="BG28" i="72"/>
  <c r="CY15" i="72"/>
  <c r="BD14" i="72"/>
  <c r="BH14" i="72"/>
  <c r="BB14" i="72"/>
  <c r="BC14" i="72" s="1"/>
  <c r="BG14" i="72"/>
  <c r="EQ20" i="72"/>
  <c r="DU20" i="72"/>
  <c r="BG32" i="72"/>
  <c r="IX33" i="72"/>
  <c r="IR33" i="72"/>
  <c r="IS33" i="72" s="1"/>
  <c r="IT33" i="72"/>
  <c r="IW21" i="72"/>
  <c r="IX16" i="72"/>
  <c r="IT16" i="72"/>
  <c r="IR16" i="72"/>
  <c r="IS16" i="72" s="1"/>
  <c r="IX19" i="72"/>
  <c r="IR19" i="72"/>
  <c r="IS19" i="72" s="1"/>
  <c r="IT19" i="72"/>
  <c r="IX27" i="72"/>
  <c r="IT27" i="72"/>
  <c r="IR27" i="72"/>
  <c r="IS27" i="72" s="1"/>
  <c r="IX29" i="72"/>
  <c r="IT29" i="72"/>
  <c r="IR29" i="72"/>
  <c r="IS29" i="72" s="1"/>
  <c r="IX22" i="72"/>
  <c r="IT22" i="72"/>
  <c r="IR22" i="72"/>
  <c r="IS22" i="72" s="1"/>
  <c r="IW25" i="72"/>
  <c r="IW34" i="72"/>
  <c r="IW23" i="72"/>
  <c r="IX17" i="72"/>
  <c r="IT17" i="72"/>
  <c r="IR17" i="72"/>
  <c r="IS17" i="72" s="1"/>
  <c r="IW24" i="72"/>
  <c r="IX32" i="72"/>
  <c r="IT32" i="72"/>
  <c r="IR32" i="72"/>
  <c r="IS32" i="72" s="1"/>
  <c r="IX20" i="72"/>
  <c r="IT20" i="72"/>
  <c r="IR20" i="72"/>
  <c r="IS20" i="72" s="1"/>
  <c r="IX31" i="72"/>
  <c r="IT31" i="72"/>
  <c r="IR31" i="72"/>
  <c r="IS31" i="72" s="1"/>
  <c r="IX24" i="72"/>
  <c r="IR24" i="72"/>
  <c r="IS24" i="72" s="1"/>
  <c r="IT24" i="72"/>
  <c r="IX21" i="72"/>
  <c r="IT21" i="72"/>
  <c r="IR21" i="72"/>
  <c r="IS21" i="72" s="1"/>
  <c r="IX34" i="72"/>
  <c r="IT34" i="72"/>
  <c r="IR34" i="72"/>
  <c r="IS34" i="72" s="1"/>
  <c r="IX26" i="72"/>
  <c r="IR26" i="72"/>
  <c r="IS26" i="72" s="1"/>
  <c r="IT26" i="72"/>
  <c r="IX25" i="72"/>
  <c r="IR25" i="72"/>
  <c r="IS25" i="72" s="1"/>
  <c r="IT25" i="72"/>
  <c r="IW26" i="72"/>
  <c r="IX23" i="72"/>
  <c r="IT23" i="72"/>
  <c r="IR23" i="72"/>
  <c r="IS23" i="72" s="1"/>
  <c r="IX18" i="72"/>
  <c r="IR18" i="72"/>
  <c r="IS18" i="72" s="1"/>
  <c r="IT18" i="72"/>
  <c r="IX28" i="72"/>
  <c r="IT28" i="72"/>
  <c r="IR28" i="72"/>
  <c r="IS28" i="72" s="1"/>
  <c r="IX30" i="72"/>
  <c r="IT30" i="72"/>
  <c r="IR30" i="72"/>
  <c r="IS30" i="72" s="1"/>
  <c r="IX15" i="72"/>
  <c r="IT15" i="72"/>
  <c r="IR15" i="72"/>
  <c r="IS15" i="72" s="1"/>
  <c r="IW14" i="72"/>
  <c r="IX14" i="72"/>
  <c r="IR14" i="72"/>
  <c r="IS14" i="72" s="1"/>
  <c r="IT14" i="72"/>
  <c r="IB25" i="72"/>
  <c r="HV25" i="72"/>
  <c r="HW25" i="72" s="1"/>
  <c r="HX25" i="72"/>
  <c r="IB17" i="72"/>
  <c r="HX17" i="72"/>
  <c r="HV17" i="72"/>
  <c r="HW17" i="72" s="1"/>
  <c r="IA21" i="72"/>
  <c r="IB24" i="72"/>
  <c r="HV24" i="72"/>
  <c r="HW24" i="72" s="1"/>
  <c r="HX24" i="72"/>
  <c r="IB34" i="72"/>
  <c r="HX34" i="72"/>
  <c r="HV34" i="72"/>
  <c r="HW34" i="72" s="1"/>
  <c r="IB18" i="72"/>
  <c r="HV18" i="72"/>
  <c r="HW18" i="72" s="1"/>
  <c r="HX18" i="72"/>
  <c r="IA20" i="72"/>
  <c r="IA24" i="72"/>
  <c r="IA27" i="72"/>
  <c r="IA19" i="72"/>
  <c r="IA28" i="72"/>
  <c r="IB27" i="72"/>
  <c r="HV27" i="72"/>
  <c r="HW27" i="72" s="1"/>
  <c r="HX27" i="72"/>
  <c r="IB19" i="72"/>
  <c r="HV19" i="72"/>
  <c r="HW19" i="72" s="1"/>
  <c r="HX19" i="72"/>
  <c r="IB20" i="72"/>
  <c r="HV20" i="72"/>
  <c r="HW20" i="72" s="1"/>
  <c r="HX20" i="72"/>
  <c r="IA29" i="72"/>
  <c r="IA16" i="72"/>
  <c r="IB29" i="72"/>
  <c r="HV29" i="72"/>
  <c r="HW29" i="72" s="1"/>
  <c r="HX29" i="72"/>
  <c r="IB33" i="72"/>
  <c r="HV33" i="72"/>
  <c r="HW33" i="72" s="1"/>
  <c r="HX33" i="72"/>
  <c r="IB21" i="72"/>
  <c r="HV21" i="72"/>
  <c r="HW21" i="72" s="1"/>
  <c r="HX21" i="72"/>
  <c r="IA17" i="72"/>
  <c r="IA23" i="72"/>
  <c r="IB32" i="72"/>
  <c r="HV32" i="72"/>
  <c r="HW32" i="72" s="1"/>
  <c r="HX32" i="72"/>
  <c r="IB28" i="72"/>
  <c r="HV28" i="72"/>
  <c r="HW28" i="72" s="1"/>
  <c r="HX28" i="72"/>
  <c r="IA32" i="72"/>
  <c r="IA25" i="72"/>
  <c r="IA31" i="72"/>
  <c r="IB26" i="72"/>
  <c r="HV26" i="72"/>
  <c r="HW26" i="72" s="1"/>
  <c r="HX26" i="72"/>
  <c r="IB30" i="72"/>
  <c r="HV30" i="72"/>
  <c r="HW30" i="72" s="1"/>
  <c r="HX30" i="72"/>
  <c r="IB22" i="72"/>
  <c r="HX22" i="72"/>
  <c r="HV22" i="72"/>
  <c r="HW22" i="72" s="1"/>
  <c r="IB16" i="72"/>
  <c r="HX16" i="72"/>
  <c r="HV16" i="72"/>
  <c r="HW16" i="72" s="1"/>
  <c r="IB31" i="72"/>
  <c r="HV31" i="72"/>
  <c r="HW31" i="72" s="1"/>
  <c r="HX31" i="72"/>
  <c r="IA26" i="72"/>
  <c r="IA30" i="72"/>
  <c r="IA34" i="72"/>
  <c r="IB15" i="72"/>
  <c r="HV15" i="72"/>
  <c r="HW15" i="72" s="1"/>
  <c r="HX15" i="72"/>
  <c r="IB23" i="72"/>
  <c r="HX23" i="72"/>
  <c r="HV23" i="72"/>
  <c r="HW23" i="72" s="1"/>
  <c r="IA18" i="72"/>
  <c r="IA15" i="72"/>
  <c r="IA33" i="72"/>
  <c r="IA22" i="72"/>
  <c r="IB14" i="72"/>
  <c r="HV14" i="72"/>
  <c r="HW14" i="72" s="1"/>
  <c r="HX14" i="72"/>
  <c r="IA14" i="72"/>
  <c r="HF23" i="72"/>
  <c r="GZ23" i="72"/>
  <c r="HA23" i="72" s="1"/>
  <c r="HB23" i="72"/>
  <c r="HF20" i="72"/>
  <c r="GZ20" i="72"/>
  <c r="HA20" i="72" s="1"/>
  <c r="HB20" i="72"/>
  <c r="HF18" i="72"/>
  <c r="HB18" i="72"/>
  <c r="GZ18" i="72"/>
  <c r="HA18" i="72" s="1"/>
  <c r="HF17" i="72"/>
  <c r="HB17" i="72"/>
  <c r="GZ17" i="72"/>
  <c r="HA17" i="72" s="1"/>
  <c r="HE31" i="72"/>
  <c r="HF21" i="72"/>
  <c r="GZ21" i="72"/>
  <c r="HA21" i="72" s="1"/>
  <c r="HB21" i="72"/>
  <c r="HF33" i="72"/>
  <c r="HB33" i="72"/>
  <c r="GZ33" i="72"/>
  <c r="HA33" i="72" s="1"/>
  <c r="HE24" i="72"/>
  <c r="HF32" i="72"/>
  <c r="HB32" i="72"/>
  <c r="GZ32" i="72"/>
  <c r="HA32" i="72" s="1"/>
  <c r="HE30" i="72"/>
  <c r="HF15" i="72"/>
  <c r="GZ15" i="72"/>
  <c r="HA15" i="72" s="1"/>
  <c r="HB15" i="72"/>
  <c r="HE22" i="72"/>
  <c r="HE16" i="72"/>
  <c r="HE18" i="72"/>
  <c r="HF34" i="72"/>
  <c r="HB34" i="72"/>
  <c r="GZ34" i="72"/>
  <c r="HA34" i="72" s="1"/>
  <c r="HF27" i="72"/>
  <c r="HB27" i="72"/>
  <c r="GZ27" i="72"/>
  <c r="HA27" i="72" s="1"/>
  <c r="HE15" i="72"/>
  <c r="HE23" i="72"/>
  <c r="HF25" i="72"/>
  <c r="HB25" i="72"/>
  <c r="GZ25" i="72"/>
  <c r="HA25" i="72" s="1"/>
  <c r="HF16" i="72"/>
  <c r="GZ16" i="72"/>
  <c r="HA16" i="72" s="1"/>
  <c r="HB16" i="72"/>
  <c r="HF19" i="72"/>
  <c r="GZ19" i="72"/>
  <c r="HA19" i="72" s="1"/>
  <c r="HB19" i="72"/>
  <c r="HF24" i="72"/>
  <c r="HB24" i="72"/>
  <c r="GZ24" i="72"/>
  <c r="HA24" i="72" s="1"/>
  <c r="HF28" i="72"/>
  <c r="HB28" i="72"/>
  <c r="GZ28" i="72"/>
  <c r="HA28" i="72" s="1"/>
  <c r="HF22" i="72"/>
  <c r="GZ22" i="72"/>
  <c r="HA22" i="72" s="1"/>
  <c r="HB22" i="72"/>
  <c r="HF26" i="72"/>
  <c r="GZ26" i="72"/>
  <c r="HA26" i="72" s="1"/>
  <c r="HB26" i="72"/>
  <c r="HE20" i="72"/>
  <c r="HF31" i="72"/>
  <c r="HB31" i="72"/>
  <c r="GZ31" i="72"/>
  <c r="HA31" i="72" s="1"/>
  <c r="HF29" i="72"/>
  <c r="GZ29" i="72"/>
  <c r="HA29" i="72" s="1"/>
  <c r="HB29" i="72"/>
  <c r="HF30" i="72"/>
  <c r="GZ30" i="72"/>
  <c r="HA30" i="72" s="1"/>
  <c r="HB30" i="72"/>
  <c r="HE29" i="72"/>
  <c r="HE14" i="72"/>
  <c r="HF14" i="72"/>
  <c r="GZ14" i="72"/>
  <c r="HA14" i="72" s="1"/>
  <c r="HB14" i="72"/>
  <c r="GJ21" i="72"/>
  <c r="GF21" i="72"/>
  <c r="GD21" i="72"/>
  <c r="GE21" i="72" s="1"/>
  <c r="GI24" i="72"/>
  <c r="GJ25" i="72"/>
  <c r="GD25" i="72"/>
  <c r="GE25" i="72" s="1"/>
  <c r="GF25" i="72"/>
  <c r="GI19" i="72"/>
  <c r="GJ15" i="72"/>
  <c r="GD15" i="72"/>
  <c r="GE15" i="72" s="1"/>
  <c r="GF15" i="72"/>
  <c r="GJ26" i="72"/>
  <c r="GF26" i="72"/>
  <c r="GD26" i="72"/>
  <c r="GE26" i="72" s="1"/>
  <c r="GJ27" i="72"/>
  <c r="GF27" i="72"/>
  <c r="GD27" i="72"/>
  <c r="GE27" i="72" s="1"/>
  <c r="GJ30" i="72"/>
  <c r="GF30" i="72"/>
  <c r="GD30" i="72"/>
  <c r="GE30" i="72" s="1"/>
  <c r="GJ18" i="72"/>
  <c r="GF18" i="72"/>
  <c r="GD18" i="72"/>
  <c r="GE18" i="72" s="1"/>
  <c r="GJ29" i="72"/>
  <c r="GF29" i="72"/>
  <c r="GD29" i="72"/>
  <c r="GE29" i="72" s="1"/>
  <c r="GJ28" i="72"/>
  <c r="GF28" i="72"/>
  <c r="GD28" i="72"/>
  <c r="GE28" i="72" s="1"/>
  <c r="GI28" i="72"/>
  <c r="GJ24" i="72"/>
  <c r="GD24" i="72"/>
  <c r="GE24" i="72" s="1"/>
  <c r="GF24" i="72"/>
  <c r="GI33" i="72"/>
  <c r="GJ23" i="72"/>
  <c r="GD23" i="72"/>
  <c r="GE23" i="72" s="1"/>
  <c r="GF23" i="72"/>
  <c r="GI26" i="72"/>
  <c r="GJ31" i="72"/>
  <c r="GD31" i="72"/>
  <c r="GE31" i="72" s="1"/>
  <c r="GF31" i="72"/>
  <c r="GI22" i="72"/>
  <c r="GJ17" i="72"/>
  <c r="GD17" i="72"/>
  <c r="GE17" i="72" s="1"/>
  <c r="GF17" i="72"/>
  <c r="GJ16" i="72"/>
  <c r="GD16" i="72"/>
  <c r="GE16" i="72" s="1"/>
  <c r="GF16" i="72"/>
  <c r="GJ32" i="72"/>
  <c r="GD32" i="72"/>
  <c r="GE32" i="72" s="1"/>
  <c r="GF32" i="72"/>
  <c r="GI23" i="72"/>
  <c r="GJ19" i="72"/>
  <c r="GF19" i="72"/>
  <c r="GD19" i="72"/>
  <c r="GE19" i="72" s="1"/>
  <c r="GI18" i="72"/>
  <c r="GI29" i="72"/>
  <c r="GJ20" i="72"/>
  <c r="GF20" i="72"/>
  <c r="GD20" i="72"/>
  <c r="GE20" i="72" s="1"/>
  <c r="GJ22" i="72"/>
  <c r="GF22" i="72"/>
  <c r="GD22" i="72"/>
  <c r="GE22" i="72" s="1"/>
  <c r="GJ34" i="72"/>
  <c r="GD34" i="72"/>
  <c r="GE34" i="72" s="1"/>
  <c r="GF34" i="72"/>
  <c r="GJ33" i="72"/>
  <c r="GD33" i="72"/>
  <c r="GE33" i="72" s="1"/>
  <c r="GF33" i="72"/>
  <c r="GJ14" i="72"/>
  <c r="GD14" i="72"/>
  <c r="GE14" i="72" s="1"/>
  <c r="GF14" i="72"/>
  <c r="GI14" i="72"/>
  <c r="FM21" i="72"/>
  <c r="FN32" i="72"/>
  <c r="FH32" i="72"/>
  <c r="FI32" i="72" s="1"/>
  <c r="FJ32" i="72"/>
  <c r="FM27" i="72"/>
  <c r="FM20" i="72"/>
  <c r="FN16" i="72"/>
  <c r="FH16" i="72"/>
  <c r="FI16" i="72" s="1"/>
  <c r="FJ16" i="72"/>
  <c r="FN30" i="72"/>
  <c r="FJ30" i="72"/>
  <c r="FH30" i="72"/>
  <c r="FI30" i="72" s="1"/>
  <c r="FN22" i="72"/>
  <c r="FH22" i="72"/>
  <c r="FI22" i="72" s="1"/>
  <c r="FJ22" i="72"/>
  <c r="FN31" i="72"/>
  <c r="FH31" i="72"/>
  <c r="FI31" i="72" s="1"/>
  <c r="FJ31" i="72"/>
  <c r="FN26" i="72"/>
  <c r="FH26" i="72"/>
  <c r="FI26" i="72" s="1"/>
  <c r="FJ26" i="72"/>
  <c r="FN29" i="72"/>
  <c r="FJ29" i="72"/>
  <c r="FH29" i="72"/>
  <c r="FI29" i="72" s="1"/>
  <c r="FM31" i="72"/>
  <c r="FN24" i="72"/>
  <c r="FH24" i="72"/>
  <c r="FI24" i="72" s="1"/>
  <c r="FJ24" i="72"/>
  <c r="FN33" i="72"/>
  <c r="FH33" i="72"/>
  <c r="FI33" i="72" s="1"/>
  <c r="FJ33" i="72"/>
  <c r="FN18" i="72"/>
  <c r="FJ18" i="72"/>
  <c r="FH18" i="72"/>
  <c r="FI18" i="72" s="1"/>
  <c r="FN21" i="72"/>
  <c r="FJ21" i="72"/>
  <c r="FH21" i="72"/>
  <c r="FI21" i="72" s="1"/>
  <c r="FN28" i="72"/>
  <c r="FJ28" i="72"/>
  <c r="FH28" i="72"/>
  <c r="FI28" i="72" s="1"/>
  <c r="FN19" i="72"/>
  <c r="FJ19" i="72"/>
  <c r="FH19" i="72"/>
  <c r="FI19" i="72" s="1"/>
  <c r="FN20" i="72"/>
  <c r="FJ20" i="72"/>
  <c r="FH20" i="72"/>
  <c r="FI20" i="72" s="1"/>
  <c r="FM26" i="72"/>
  <c r="FN23" i="72"/>
  <c r="FH23" i="72"/>
  <c r="FI23" i="72" s="1"/>
  <c r="FJ23" i="72"/>
  <c r="FN15" i="72"/>
  <c r="FH15" i="72"/>
  <c r="FI15" i="72" s="1"/>
  <c r="FJ15" i="72"/>
  <c r="FN34" i="72"/>
  <c r="FJ34" i="72"/>
  <c r="FH34" i="72"/>
  <c r="FI34" i="72" s="1"/>
  <c r="FN27" i="72"/>
  <c r="FJ27" i="72"/>
  <c r="FH27" i="72"/>
  <c r="FI27" i="72" s="1"/>
  <c r="FM18" i="72"/>
  <c r="FM29" i="72"/>
  <c r="FN25" i="72"/>
  <c r="FJ25" i="72"/>
  <c r="FH25" i="72"/>
  <c r="FI25" i="72" s="1"/>
  <c r="FN17" i="72"/>
  <c r="FJ17" i="72"/>
  <c r="FH17" i="72"/>
  <c r="FI17" i="72" s="1"/>
  <c r="FM28" i="72"/>
  <c r="FN14" i="72"/>
  <c r="FJ14" i="72"/>
  <c r="FH14" i="72"/>
  <c r="FI14" i="72" s="1"/>
  <c r="EQ30" i="72"/>
  <c r="EN30" i="72"/>
  <c r="EL30" i="72"/>
  <c r="EM30" i="72" s="1"/>
  <c r="EN27" i="72"/>
  <c r="EL27" i="72"/>
  <c r="EM27" i="72" s="1"/>
  <c r="ER26" i="72"/>
  <c r="EL26" i="72"/>
  <c r="EM26" i="72" s="1"/>
  <c r="EN26" i="72"/>
  <c r="EQ18" i="72"/>
  <c r="EQ34" i="72"/>
  <c r="EN29" i="72"/>
  <c r="EL29" i="72"/>
  <c r="EM29" i="72" s="1"/>
  <c r="ER33" i="72"/>
  <c r="EL33" i="72"/>
  <c r="EM33" i="72" s="1"/>
  <c r="EN33" i="72"/>
  <c r="EL31" i="72"/>
  <c r="EM31" i="72" s="1"/>
  <c r="EN31" i="72"/>
  <c r="EN28" i="72"/>
  <c r="EL28" i="72"/>
  <c r="EM28" i="72" s="1"/>
  <c r="EQ26" i="72"/>
  <c r="ER22" i="72"/>
  <c r="ER24" i="72"/>
  <c r="EN24" i="72"/>
  <c r="EL24" i="72"/>
  <c r="EM24" i="72" s="1"/>
  <c r="EL15" i="72"/>
  <c r="EM15" i="72" s="1"/>
  <c r="EN15" i="72"/>
  <c r="ER32" i="72"/>
  <c r="EL32" i="72"/>
  <c r="EM32" i="72" s="1"/>
  <c r="EN32" i="72"/>
  <c r="ER17" i="72"/>
  <c r="EL17" i="72"/>
  <c r="EM17" i="72" s="1"/>
  <c r="EN17" i="72"/>
  <c r="ER18" i="72"/>
  <c r="EN18" i="72"/>
  <c r="EL18" i="72"/>
  <c r="EM18" i="72" s="1"/>
  <c r="ER34" i="72"/>
  <c r="EL34" i="72"/>
  <c r="EM34" i="72" s="1"/>
  <c r="EN34" i="72"/>
  <c r="ER15" i="72"/>
  <c r="ER27" i="72"/>
  <c r="ER21" i="72"/>
  <c r="EL22" i="72"/>
  <c r="EM22" i="72" s="1"/>
  <c r="EN22" i="72"/>
  <c r="EN19" i="72"/>
  <c r="EL19" i="72"/>
  <c r="EM19" i="72" s="1"/>
  <c r="EQ32" i="72"/>
  <c r="EQ19" i="72"/>
  <c r="EQ15" i="72"/>
  <c r="ER29" i="72"/>
  <c r="ER30" i="72"/>
  <c r="EQ28" i="72"/>
  <c r="EQ27" i="72"/>
  <c r="EQ33" i="72"/>
  <c r="EL21" i="72"/>
  <c r="EM21" i="72" s="1"/>
  <c r="EN21" i="72"/>
  <c r="EN20" i="72"/>
  <c r="EL20" i="72"/>
  <c r="EM20" i="72" s="1"/>
  <c r="ER19" i="72"/>
  <c r="EL23" i="72"/>
  <c r="EM23" i="72" s="1"/>
  <c r="EN23" i="72"/>
  <c r="ER16" i="72"/>
  <c r="EL16" i="72"/>
  <c r="EM16" i="72" s="1"/>
  <c r="EN16" i="72"/>
  <c r="ER31" i="72"/>
  <c r="EQ17" i="72"/>
  <c r="ER25" i="72"/>
  <c r="EL25" i="72"/>
  <c r="EM25" i="72" s="1"/>
  <c r="EN25" i="72"/>
  <c r="ER14" i="72"/>
  <c r="EL14" i="72"/>
  <c r="EM14" i="72" s="1"/>
  <c r="EN14" i="72"/>
  <c r="DV28" i="72"/>
  <c r="DP28" i="72"/>
  <c r="DQ28" i="72" s="1"/>
  <c r="DR28" i="72"/>
  <c r="DV23" i="72"/>
  <c r="DV26" i="72"/>
  <c r="DP26" i="72"/>
  <c r="DQ26" i="72" s="1"/>
  <c r="DR26" i="72"/>
  <c r="DU33" i="72"/>
  <c r="DP29" i="72"/>
  <c r="DQ29" i="72" s="1"/>
  <c r="DR29" i="72"/>
  <c r="DV17" i="72"/>
  <c r="DV18" i="72"/>
  <c r="DP18" i="72"/>
  <c r="DQ18" i="72" s="1"/>
  <c r="DR18" i="72"/>
  <c r="DP32" i="72"/>
  <c r="DQ32" i="72" s="1"/>
  <c r="DR32" i="72"/>
  <c r="DP30" i="72"/>
  <c r="DQ30" i="72" s="1"/>
  <c r="DR30" i="72"/>
  <c r="DU21" i="72"/>
  <c r="DU16" i="72"/>
  <c r="DU26" i="72"/>
  <c r="DR15" i="72"/>
  <c r="DP15" i="72"/>
  <c r="DQ15" i="72" s="1"/>
  <c r="DV32" i="72"/>
  <c r="DP20" i="72"/>
  <c r="DQ20" i="72" s="1"/>
  <c r="DR20" i="72"/>
  <c r="DU19" i="72"/>
  <c r="DP24" i="72"/>
  <c r="DQ24" i="72" s="1"/>
  <c r="DR24" i="72"/>
  <c r="DV29" i="72"/>
  <c r="DU17" i="72"/>
  <c r="DR17" i="72"/>
  <c r="DP17" i="72"/>
  <c r="DQ17" i="72" s="1"/>
  <c r="DR23" i="72"/>
  <c r="DP23" i="72"/>
  <c r="DQ23" i="72" s="1"/>
  <c r="DP22" i="72"/>
  <c r="DQ22" i="72" s="1"/>
  <c r="DR22" i="72"/>
  <c r="DP16" i="72"/>
  <c r="DQ16" i="72" s="1"/>
  <c r="DR16" i="72"/>
  <c r="DU34" i="72"/>
  <c r="DV33" i="72"/>
  <c r="DV19" i="72"/>
  <c r="DP19" i="72"/>
  <c r="DQ19" i="72" s="1"/>
  <c r="DR19" i="72"/>
  <c r="DU27" i="72"/>
  <c r="DP31" i="72"/>
  <c r="DQ31" i="72" s="1"/>
  <c r="DR31" i="72"/>
  <c r="DV21" i="72"/>
  <c r="DV25" i="72"/>
  <c r="DP33" i="72"/>
  <c r="DQ33" i="72" s="1"/>
  <c r="DR33" i="72"/>
  <c r="DP21" i="72"/>
  <c r="DQ21" i="72" s="1"/>
  <c r="DR21" i="72"/>
  <c r="DV27" i="72"/>
  <c r="DR27" i="72"/>
  <c r="DP27" i="72"/>
  <c r="DQ27" i="72" s="1"/>
  <c r="DU25" i="72"/>
  <c r="DR25" i="72"/>
  <c r="DP25" i="72"/>
  <c r="DQ25" i="72" s="1"/>
  <c r="DV34" i="72"/>
  <c r="DR34" i="72"/>
  <c r="DP34" i="72"/>
  <c r="DQ34" i="72" s="1"/>
  <c r="DU29" i="72"/>
  <c r="DR14" i="72"/>
  <c r="DP14" i="72"/>
  <c r="DQ14" i="72" s="1"/>
  <c r="DU14" i="72"/>
  <c r="DV14" i="72"/>
  <c r="CZ19" i="72"/>
  <c r="CT19" i="72"/>
  <c r="CV19" i="72"/>
  <c r="CV30" i="72"/>
  <c r="CT30" i="72"/>
  <c r="CT21" i="72"/>
  <c r="CV21" i="72"/>
  <c r="CY25" i="72"/>
  <c r="CT25" i="72"/>
  <c r="CV25" i="72"/>
  <c r="CT29" i="72"/>
  <c r="CV29" i="72"/>
  <c r="CV15" i="72"/>
  <c r="CT15" i="72"/>
  <c r="CZ16" i="72"/>
  <c r="CY20" i="72"/>
  <c r="CT20" i="72"/>
  <c r="CV20" i="72"/>
  <c r="CZ27" i="72"/>
  <c r="CT27" i="72"/>
  <c r="CV27" i="72"/>
  <c r="CZ24" i="72"/>
  <c r="CY33" i="72"/>
  <c r="CV33" i="72"/>
  <c r="CT33" i="72"/>
  <c r="CY34" i="72"/>
  <c r="CY18" i="72"/>
  <c r="CZ28" i="72"/>
  <c r="CY23" i="72"/>
  <c r="CV23" i="72"/>
  <c r="CT23" i="72"/>
  <c r="CT16" i="72"/>
  <c r="CV16" i="72"/>
  <c r="CZ26" i="72"/>
  <c r="CT26" i="72"/>
  <c r="CV26" i="72"/>
  <c r="CV22" i="72"/>
  <c r="CT22" i="72"/>
  <c r="CV31" i="72"/>
  <c r="CT31" i="72"/>
  <c r="CT32" i="72"/>
  <c r="CV32" i="72"/>
  <c r="CZ23" i="72"/>
  <c r="CY17" i="72"/>
  <c r="CT17" i="72"/>
  <c r="CV17" i="72"/>
  <c r="CZ34" i="72"/>
  <c r="CV34" i="72"/>
  <c r="CT34" i="72"/>
  <c r="CZ18" i="72"/>
  <c r="CV18" i="72"/>
  <c r="CT18" i="72"/>
  <c r="CY28" i="72"/>
  <c r="CV28" i="72"/>
  <c r="CT28" i="72"/>
  <c r="CY16" i="72"/>
  <c r="CY21" i="72"/>
  <c r="CT24" i="72"/>
  <c r="CV24" i="72"/>
  <c r="CZ14" i="72"/>
  <c r="CV14" i="72"/>
  <c r="CT14" i="72"/>
  <c r="CD24" i="72"/>
  <c r="BZ24" i="72"/>
  <c r="BX24" i="72"/>
  <c r="BY24" i="72" s="1"/>
  <c r="CC18" i="72"/>
  <c r="CC21" i="72"/>
  <c r="CC20" i="72"/>
  <c r="CD29" i="72"/>
  <c r="BZ29" i="72"/>
  <c r="BX29" i="72"/>
  <c r="BY29" i="72" s="1"/>
  <c r="CC28" i="72"/>
  <c r="CC30" i="72"/>
  <c r="CD21" i="72"/>
  <c r="BX21" i="72"/>
  <c r="BY21" i="72" s="1"/>
  <c r="BZ21" i="72"/>
  <c r="CC32" i="72"/>
  <c r="CD22" i="72"/>
  <c r="BZ22" i="72"/>
  <c r="BX22" i="72"/>
  <c r="BY22" i="72" s="1"/>
  <c r="CD26" i="72"/>
  <c r="BX26" i="72"/>
  <c r="BY26" i="72" s="1"/>
  <c r="BZ26" i="72"/>
  <c r="CD34" i="72"/>
  <c r="BX34" i="72"/>
  <c r="BY34" i="72" s="1"/>
  <c r="BZ34" i="72"/>
  <c r="CD32" i="72"/>
  <c r="BZ32" i="72"/>
  <c r="BX32" i="72"/>
  <c r="BY32" i="72" s="1"/>
  <c r="CD28" i="72"/>
  <c r="BX28" i="72"/>
  <c r="BY28" i="72" s="1"/>
  <c r="BZ28" i="72"/>
  <c r="CD31" i="72"/>
  <c r="BZ31" i="72"/>
  <c r="BX31" i="72"/>
  <c r="BY31" i="72" s="1"/>
  <c r="CC25" i="72"/>
  <c r="CD33" i="72"/>
  <c r="BX33" i="72"/>
  <c r="BY33" i="72" s="1"/>
  <c r="BZ33" i="72"/>
  <c r="CD15" i="72"/>
  <c r="BZ15" i="72"/>
  <c r="BX15" i="72"/>
  <c r="BY15" i="72" s="1"/>
  <c r="CD20" i="72"/>
  <c r="BZ20" i="72"/>
  <c r="BX20" i="72"/>
  <c r="BY20" i="72" s="1"/>
  <c r="CD30" i="72"/>
  <c r="BZ30" i="72"/>
  <c r="BX30" i="72"/>
  <c r="BY30" i="72" s="1"/>
  <c r="CD17" i="72"/>
  <c r="BZ17" i="72"/>
  <c r="BX17" i="72"/>
  <c r="BY17" i="72" s="1"/>
  <c r="CD19" i="72"/>
  <c r="BX19" i="72"/>
  <c r="BY19" i="72" s="1"/>
  <c r="BZ19" i="72"/>
  <c r="CD18" i="72"/>
  <c r="BZ18" i="72"/>
  <c r="BX18" i="72"/>
  <c r="BY18" i="72" s="1"/>
  <c r="CC15" i="72"/>
  <c r="CC22" i="72"/>
  <c r="CC33" i="72"/>
  <c r="CD27" i="72"/>
  <c r="BX27" i="72"/>
  <c r="BY27" i="72" s="1"/>
  <c r="BZ27" i="72"/>
  <c r="CD23" i="72"/>
  <c r="BZ23" i="72"/>
  <c r="BX23" i="72"/>
  <c r="BY23" i="72" s="1"/>
  <c r="CC31" i="72"/>
  <c r="CD16" i="72"/>
  <c r="BX16" i="72"/>
  <c r="BY16" i="72" s="1"/>
  <c r="BZ16" i="72"/>
  <c r="CD25" i="72"/>
  <c r="BZ25" i="72"/>
  <c r="BX25" i="72"/>
  <c r="BY25" i="72" s="1"/>
  <c r="CC14" i="72"/>
  <c r="CD14" i="72"/>
  <c r="BX14" i="72"/>
  <c r="BY14" i="72" s="1"/>
  <c r="BZ14" i="72"/>
  <c r="BH26" i="72"/>
  <c r="BB26" i="72"/>
  <c r="BC26" i="72" s="1"/>
  <c r="BD26" i="72"/>
  <c r="BD34" i="72"/>
  <c r="BB34" i="72"/>
  <c r="BC34" i="72" s="1"/>
  <c r="BH23" i="72"/>
  <c r="BH17" i="72"/>
  <c r="BD17" i="72"/>
  <c r="BB17" i="72"/>
  <c r="BC17" i="72" s="1"/>
  <c r="BG19" i="72"/>
  <c r="BH27" i="72"/>
  <c r="BD27" i="72"/>
  <c r="BB27" i="72"/>
  <c r="BC27" i="72" s="1"/>
  <c r="BB33" i="72"/>
  <c r="BC33" i="72" s="1"/>
  <c r="BD33" i="72"/>
  <c r="BG22" i="72"/>
  <c r="BH24" i="72"/>
  <c r="BB24" i="72"/>
  <c r="BC24" i="72" s="1"/>
  <c r="BD24" i="72"/>
  <c r="BG30" i="72"/>
  <c r="BH22" i="72"/>
  <c r="BB23" i="72"/>
  <c r="BC23" i="72" s="1"/>
  <c r="BD23" i="72"/>
  <c r="BB29" i="72"/>
  <c r="BC29" i="72" s="1"/>
  <c r="BD29" i="72"/>
  <c r="BH31" i="72"/>
  <c r="BB31" i="72"/>
  <c r="BC31" i="72" s="1"/>
  <c r="BD31" i="72"/>
  <c r="BG16" i="72"/>
  <c r="BH19" i="72"/>
  <c r="BB19" i="72"/>
  <c r="BC19" i="72" s="1"/>
  <c r="BD19" i="72"/>
  <c r="BD20" i="72"/>
  <c r="BB20" i="72"/>
  <c r="BC20" i="72" s="1"/>
  <c r="BG18" i="72"/>
  <c r="BG15" i="72"/>
  <c r="BD15" i="72"/>
  <c r="BB15" i="72"/>
  <c r="BC15" i="72" s="1"/>
  <c r="BG17" i="72"/>
  <c r="BG33" i="72"/>
  <c r="BG26" i="72"/>
  <c r="BB21" i="72"/>
  <c r="BC21" i="72" s="1"/>
  <c r="BD21" i="72"/>
  <c r="BH16" i="72"/>
  <c r="BG25" i="72"/>
  <c r="BD32" i="72"/>
  <c r="BB32" i="72"/>
  <c r="BC32" i="72" s="1"/>
  <c r="BG23" i="72"/>
  <c r="BB28" i="72"/>
  <c r="BD28" i="72"/>
  <c r="BG29" i="72"/>
  <c r="BG31" i="72"/>
  <c r="BH25" i="72"/>
  <c r="BD25" i="72"/>
  <c r="BB25" i="72"/>
  <c r="BC25" i="72" s="1"/>
  <c r="BH30" i="72"/>
  <c r="BD30" i="72"/>
  <c r="BB30" i="72"/>
  <c r="BC30" i="72" s="1"/>
  <c r="BB22" i="72"/>
  <c r="BC22" i="72" s="1"/>
  <c r="BD22" i="72"/>
  <c r="BH15" i="72"/>
  <c r="BH29" i="72"/>
  <c r="BB16" i="72"/>
  <c r="BC16" i="72" s="1"/>
  <c r="BD16" i="72"/>
  <c r="BH33" i="72"/>
  <c r="BH18" i="72"/>
  <c r="BD18" i="72"/>
  <c r="BB18" i="72"/>
  <c r="BC18" i="72" s="1"/>
  <c r="D15" i="36"/>
  <c r="S15" i="36" s="1"/>
  <c r="AB37" i="72"/>
  <c r="EK50" i="72"/>
  <c r="O10" i="75" s="1"/>
  <c r="CS50" i="72"/>
  <c r="O8" i="75" s="1"/>
  <c r="GC50" i="72"/>
  <c r="O12" i="75" s="1"/>
  <c r="FG50" i="72"/>
  <c r="O11" i="75" s="1"/>
  <c r="AA11" i="75" s="1"/>
  <c r="HU50" i="72"/>
  <c r="DO50" i="72"/>
  <c r="O9" i="75" s="1"/>
  <c r="CA35" i="72"/>
  <c r="CB35" i="72"/>
  <c r="BW35" i="72"/>
  <c r="BA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CU23" i="72" l="1"/>
  <c r="CU24" i="72"/>
  <c r="CU26" i="72"/>
  <c r="BC28" i="72"/>
  <c r="CU31" i="72"/>
  <c r="CU25" i="72"/>
  <c r="CU29" i="72"/>
  <c r="CU16" i="72"/>
  <c r="CU21" i="72"/>
  <c r="CU14" i="72"/>
  <c r="CU15" i="72"/>
  <c r="CU34" i="72"/>
  <c r="CU19" i="72"/>
  <c r="CU28" i="72"/>
  <c r="CU32" i="72"/>
  <c r="CU30" i="72"/>
  <c r="CU22" i="72"/>
  <c r="CU20" i="72"/>
  <c r="CU18" i="72"/>
  <c r="CU33" i="72"/>
  <c r="CU17" i="72"/>
  <c r="CU27" i="72"/>
  <c r="R15" i="36"/>
  <c r="Z37" i="72"/>
  <c r="H22" i="72"/>
  <c r="H14" i="72"/>
  <c r="H28" i="72"/>
  <c r="H25" i="72"/>
  <c r="H19" i="72"/>
  <c r="H23" i="72"/>
  <c r="H33" i="72"/>
  <c r="H26" i="72"/>
  <c r="H16" i="72"/>
  <c r="H32" i="72"/>
  <c r="H30" i="72"/>
  <c r="H15" i="72"/>
  <c r="H27" i="72"/>
  <c r="H20" i="72"/>
  <c r="H31" i="72"/>
  <c r="H29" i="72"/>
  <c r="H21" i="72"/>
  <c r="H17" i="72"/>
  <c r="H18" i="72"/>
  <c r="H34" i="72"/>
  <c r="H24" i="72"/>
  <c r="BX35" i="72"/>
  <c r="BY35" i="72"/>
  <c r="BZ35" i="72"/>
  <c r="EO35" i="72"/>
  <c r="BA35" i="72"/>
  <c r="HU35" i="72"/>
  <c r="EK35" i="72"/>
  <c r="CS35" i="72"/>
  <c r="FL35" i="72"/>
  <c r="GH35" i="72"/>
  <c r="IQ35" i="72"/>
  <c r="IU35" i="72"/>
  <c r="BF35" i="72"/>
  <c r="HZ35" i="72"/>
  <c r="CX35" i="72"/>
  <c r="FG35" i="72"/>
  <c r="BE35" i="72"/>
  <c r="FK35" i="72"/>
  <c r="GG35" i="72"/>
  <c r="GY35" i="72"/>
  <c r="HD35" i="72"/>
  <c r="HY35" i="72"/>
  <c r="CW35" i="72"/>
  <c r="GC35" i="72"/>
  <c r="DO35" i="72"/>
  <c r="IV35" i="72"/>
  <c r="HC35" i="72"/>
  <c r="DS35" i="72"/>
  <c r="DT35" i="72"/>
  <c r="EP35" i="72"/>
  <c r="X8" i="75"/>
  <c r="X7" i="75"/>
  <c r="K16" i="36" s="1"/>
  <c r="W16" i="36" s="1"/>
  <c r="Q89" i="54"/>
  <c r="M97" i="54" s="1"/>
  <c r="M95" i="54" s="1"/>
  <c r="K18" i="36"/>
  <c r="W18" i="36" s="1"/>
  <c r="AB14" i="75"/>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AH39" i="72" l="1"/>
  <c r="AH38" i="72"/>
  <c r="AH37" i="72" s="1"/>
  <c r="BG35" i="72"/>
  <c r="BA9" i="72" s="1"/>
  <c r="D37" i="43" s="1"/>
  <c r="IB35" i="72"/>
  <c r="HU10" i="72" s="1"/>
  <c r="E45" i="43" s="1"/>
  <c r="G45" i="43" s="1"/>
  <c r="FN35" i="72"/>
  <c r="FG10" i="72" s="1"/>
  <c r="E42" i="43" s="1"/>
  <c r="G42" i="43" s="1"/>
  <c r="BH35" i="72"/>
  <c r="BA10" i="72" s="1"/>
  <c r="E37" i="43" s="1"/>
  <c r="EM35" i="72"/>
  <c r="GZ35" i="72"/>
  <c r="DR35" i="72"/>
  <c r="FJ35" i="72"/>
  <c r="HF35" i="72"/>
  <c r="GY10" i="72" s="1"/>
  <c r="E44" i="43" s="1"/>
  <c r="IW35" i="72"/>
  <c r="IQ9" i="72" s="1"/>
  <c r="D46" i="43" s="1"/>
  <c r="IX35" i="72"/>
  <c r="IQ10" i="72" s="1"/>
  <c r="E46" i="43" s="1"/>
  <c r="HE35" i="72"/>
  <c r="GY9" i="72" s="1"/>
  <c r="D44" i="43" s="1"/>
  <c r="CV35" i="72"/>
  <c r="CY35" i="72"/>
  <c r="CS9" i="72" s="1"/>
  <c r="D39" i="43" s="1"/>
  <c r="EN35" i="72"/>
  <c r="CZ35" i="72"/>
  <c r="CS10" i="72" s="1"/>
  <c r="E39" i="43" s="1"/>
  <c r="GJ35" i="72"/>
  <c r="GC10" i="72" s="1"/>
  <c r="E43" i="43" s="1"/>
  <c r="IT35" i="72"/>
  <c r="HA35" i="72"/>
  <c r="DV35" i="72"/>
  <c r="DO10" i="72" s="1"/>
  <c r="E40" i="43" s="1"/>
  <c r="GE35" i="72"/>
  <c r="ER35" i="72"/>
  <c r="EK10" i="72" s="1"/>
  <c r="E41" i="43" s="1"/>
  <c r="FI35" i="72"/>
  <c r="GI35" i="72"/>
  <c r="GC9" i="72" s="1"/>
  <c r="D43" i="43" s="1"/>
  <c r="DU35" i="72"/>
  <c r="DO9" i="72" s="1"/>
  <c r="D40" i="43" s="1"/>
  <c r="HX35" i="72"/>
  <c r="IA35" i="72"/>
  <c r="HU9" i="72" s="1"/>
  <c r="D45" i="43" s="1"/>
  <c r="IR35" i="72"/>
  <c r="IS35" i="72"/>
  <c r="EL35" i="72"/>
  <c r="FM35" i="72"/>
  <c r="FG9" i="72" s="1"/>
  <c r="D42" i="43" s="1"/>
  <c r="CT35" i="72"/>
  <c r="CU35" i="72"/>
  <c r="BB35" i="72"/>
  <c r="BC35" i="72"/>
  <c r="EQ35" i="72"/>
  <c r="EK9" i="72" s="1"/>
  <c r="D41" i="43" s="1"/>
  <c r="BD35" i="72"/>
  <c r="GD35" i="72"/>
  <c r="HB35" i="72"/>
  <c r="HV35" i="72"/>
  <c r="HW35" i="72"/>
  <c r="GF35" i="72"/>
  <c r="FH35" i="72"/>
  <c r="DP35" i="72"/>
  <c r="DQ35" i="72"/>
  <c r="CD35" i="72"/>
  <c r="BW10" i="72" s="1"/>
  <c r="E38" i="43" s="1"/>
  <c r="CC35" i="72"/>
  <c r="BW9" i="72" s="1"/>
  <c r="D38" i="43" s="1"/>
  <c r="X16" i="75"/>
  <c r="K17" i="36"/>
  <c r="K25" i="36" s="1"/>
  <c r="I22" i="12"/>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AH40" i="72" l="1"/>
  <c r="W10" i="76"/>
  <c r="B4" i="43"/>
  <c r="B5" i="43"/>
  <c r="D30" i="76"/>
  <c r="L32" i="72"/>
  <c r="J32" i="72"/>
  <c r="P28" i="70" s="1"/>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AQ15" i="72" s="1"/>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F45" i="43"/>
  <c r="F42" i="43"/>
  <c r="K26" i="36"/>
  <c r="G6" i="54" s="1"/>
  <c r="W17" i="36"/>
  <c r="G46" i="43"/>
  <c r="G37" i="43"/>
  <c r="O16" i="36"/>
  <c r="F37" i="43"/>
  <c r="AB7" i="75"/>
  <c r="F46" i="43"/>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E34" i="72"/>
  <c r="F32" i="76" s="1"/>
  <c r="D34" i="72"/>
  <c r="E32" i="76" s="1"/>
  <c r="E18" i="72"/>
  <c r="F16" i="76" s="1"/>
  <c r="D18" i="72"/>
  <c r="E16" i="76" s="1"/>
  <c r="E32" i="72"/>
  <c r="F30" i="76" s="1"/>
  <c r="D32" i="72"/>
  <c r="E30" i="76" s="1"/>
  <c r="W31" i="72"/>
  <c r="E21" i="72"/>
  <c r="F19" i="76" s="1"/>
  <c r="D21" i="72"/>
  <c r="E19" i="76" s="1"/>
  <c r="D14" i="72"/>
  <c r="E12" i="76" s="1"/>
  <c r="E22" i="72"/>
  <c r="F20" i="76" s="1"/>
  <c r="D22" i="72"/>
  <c r="E20" i="76" s="1"/>
  <c r="E25" i="72"/>
  <c r="F23" i="76" s="1"/>
  <c r="D25" i="72"/>
  <c r="E23" i="76" s="1"/>
  <c r="E17" i="72"/>
  <c r="F15" i="76" s="1"/>
  <c r="D17" i="72"/>
  <c r="E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E27" i="72"/>
  <c r="F25" i="76" s="1"/>
  <c r="D27" i="72"/>
  <c r="E25" i="76" s="1"/>
  <c r="E20" i="72"/>
  <c r="F18" i="76" s="1"/>
  <c r="D20" i="72"/>
  <c r="E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15" i="76" l="1"/>
  <c r="H27" i="76"/>
  <c r="H30" i="76"/>
  <c r="H18" i="76"/>
  <c r="H28" i="76"/>
  <c r="H23" i="76"/>
  <c r="H7" i="12"/>
  <c r="L6" i="54"/>
  <c r="H6" i="70"/>
  <c r="H6" i="11"/>
  <c r="H21" i="76"/>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F38" i="43"/>
  <c r="G38" i="43"/>
  <c r="AB12" i="75"/>
  <c r="AB10" i="75"/>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26" i="76" l="1"/>
  <c r="L26" i="76" s="1"/>
  <c r="AH26" i="76" s="1"/>
  <c r="A15" i="76"/>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G43" i="43"/>
  <c r="F41" i="43"/>
  <c r="G41" i="43"/>
  <c r="F40" i="43"/>
  <c r="G40" i="43"/>
  <c r="AF24" i="36"/>
  <c r="AF18" i="36"/>
  <c r="F43" i="43"/>
  <c r="AB8" i="75"/>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G44" i="43"/>
  <c r="G39" i="43"/>
  <c r="F39" i="43"/>
  <c r="F44" i="43"/>
  <c r="AB16" i="75"/>
  <c r="AU3" i="76" s="1"/>
  <c r="AE25" i="36"/>
  <c r="E11" i="11" s="1"/>
  <c r="AF25" i="36"/>
  <c r="E15" i="11" s="1"/>
  <c r="R35" i="72"/>
  <c r="C10" i="69"/>
  <c r="C4" i="69"/>
  <c r="P32" i="76" l="1"/>
  <c r="O13" i="76"/>
  <c r="T13" i="76" s="1"/>
  <c r="P20" i="76"/>
  <c r="P30" i="76"/>
  <c r="O16" i="76"/>
  <c r="O19" i="76"/>
  <c r="Q14" i="76"/>
  <c r="O22" i="76"/>
  <c r="Q17" i="76"/>
  <c r="Q27" i="76"/>
  <c r="P17" i="76"/>
  <c r="P26" i="76"/>
  <c r="O25" i="76"/>
  <c r="O28" i="76"/>
  <c r="Q23" i="76"/>
  <c r="Q28" i="76"/>
  <c r="Q22" i="76"/>
  <c r="R19" i="76"/>
  <c r="O14" i="76"/>
  <c r="Q20" i="76"/>
  <c r="P25" i="76"/>
  <c r="P16" i="76"/>
  <c r="O23" i="76"/>
  <c r="Y23" i="76" s="1"/>
  <c r="AA23" i="76" s="1"/>
  <c r="O26" i="76"/>
  <c r="R12" i="76"/>
  <c r="R33" i="76" s="1"/>
  <c r="Q12" i="76"/>
  <c r="Q33" i="76" s="1"/>
  <c r="R32" i="76"/>
  <c r="R28" i="76"/>
  <c r="O24" i="76"/>
  <c r="Q21" i="76"/>
  <c r="O20" i="76"/>
  <c r="P28" i="76"/>
  <c r="P21" i="76"/>
  <c r="Q31" i="76"/>
  <c r="Q25" i="76"/>
  <c r="Q19" i="76"/>
  <c r="O31" i="76"/>
  <c r="Y31" i="76" s="1"/>
  <c r="AA31" i="76" s="1"/>
  <c r="O21" i="76"/>
  <c r="Q16" i="76"/>
  <c r="P23" i="76"/>
  <c r="O18" i="76"/>
  <c r="P12" i="76"/>
  <c r="P33" i="76" s="1"/>
  <c r="P29" i="76"/>
  <c r="R22" i="76"/>
  <c r="R27" i="76"/>
  <c r="R16" i="76"/>
  <c r="R15" i="76"/>
  <c r="O30" i="76"/>
  <c r="P18" i="76"/>
  <c r="O27" i="76"/>
  <c r="O29" i="76"/>
  <c r="S29" i="76" s="1"/>
  <c r="R21" i="76"/>
  <c r="R30" i="76"/>
  <c r="R26" i="76"/>
  <c r="Q30" i="76"/>
  <c r="Q24" i="76"/>
  <c r="P19" i="76"/>
  <c r="P14" i="76"/>
  <c r="Q26" i="76"/>
  <c r="P31" i="76"/>
  <c r="P24" i="76"/>
  <c r="P22" i="76"/>
  <c r="P13" i="76"/>
  <c r="O17" i="76"/>
  <c r="Q13" i="76"/>
  <c r="O32" i="76"/>
  <c r="O15" i="76"/>
  <c r="Q15" i="76"/>
  <c r="P15" i="76"/>
  <c r="Q32" i="76"/>
  <c r="Q18" i="76"/>
  <c r="P27" i="76"/>
  <c r="Q29" i="76"/>
  <c r="R24" i="76"/>
  <c r="R29" i="76"/>
  <c r="T29" i="76" s="1"/>
  <c r="R25" i="76"/>
  <c r="R18" i="76"/>
  <c r="R31" i="76"/>
  <c r="R23" i="76"/>
  <c r="T23" i="76" s="1"/>
  <c r="O12" i="76"/>
  <c r="R17" i="76"/>
  <c r="R20" i="76"/>
  <c r="R14" i="76"/>
  <c r="T14" i="76" s="1"/>
  <c r="H33" i="12"/>
  <c r="G47" i="43"/>
  <c r="E17" i="12" s="1"/>
  <c r="B26" i="65" s="1"/>
  <c r="F47" i="43"/>
  <c r="E29" i="11" s="1"/>
  <c r="C35" i="72"/>
  <c r="D35" i="72"/>
  <c r="S13" i="76" l="1"/>
  <c r="AO13" i="76" s="1"/>
  <c r="S20" i="76"/>
  <c r="AO20" i="76" s="1"/>
  <c r="T28" i="76"/>
  <c r="AP28" i="76" s="1"/>
  <c r="T19" i="76"/>
  <c r="AP19" i="76" s="1"/>
  <c r="S26" i="76"/>
  <c r="AO26" i="76" s="1"/>
  <c r="T16" i="76"/>
  <c r="AP16" i="76" s="1"/>
  <c r="S16" i="76"/>
  <c r="AO16" i="76" s="1"/>
  <c r="S25" i="76"/>
  <c r="AO25" i="76" s="1"/>
  <c r="S22" i="76"/>
  <c r="AO22" i="76" s="1"/>
  <c r="S19" i="76"/>
  <c r="AO19" i="76" s="1"/>
  <c r="S18" i="76"/>
  <c r="AO18" i="76" s="1"/>
  <c r="T25" i="76"/>
  <c r="AP25" i="76" s="1"/>
  <c r="T24" i="76"/>
  <c r="AP24" i="76" s="1"/>
  <c r="S32" i="76"/>
  <c r="AO32" i="76" s="1"/>
  <c r="T26" i="76"/>
  <c r="AP26" i="76" s="1"/>
  <c r="T22" i="76"/>
  <c r="AP22" i="76" s="1"/>
  <c r="T15" i="76"/>
  <c r="AP15" i="76" s="1"/>
  <c r="S14" i="76"/>
  <c r="AO14" i="76" s="1"/>
  <c r="S17" i="76"/>
  <c r="AO17" i="76" s="1"/>
  <c r="S28" i="76"/>
  <c r="AO28" i="76" s="1"/>
  <c r="S31" i="76"/>
  <c r="AO31" i="76" s="1"/>
  <c r="S23" i="76"/>
  <c r="AO23" i="76" s="1"/>
  <c r="S21" i="76"/>
  <c r="AO21" i="76" s="1"/>
  <c r="S12" i="76"/>
  <c r="AO12" i="76" s="1"/>
  <c r="S27" i="76"/>
  <c r="AO27" i="76" s="1"/>
  <c r="T20" i="76"/>
  <c r="AP20" i="76" s="1"/>
  <c r="T32" i="76"/>
  <c r="AP32" i="76" s="1"/>
  <c r="T21" i="76"/>
  <c r="AP21" i="76" s="1"/>
  <c r="T30" i="76"/>
  <c r="AP30" i="76" s="1"/>
  <c r="T12" i="76"/>
  <c r="AP12" i="76" s="1"/>
  <c r="S30" i="76"/>
  <c r="AO30" i="76" s="1"/>
  <c r="S15" i="76"/>
  <c r="AO15" i="76" s="1"/>
  <c r="O33" i="76"/>
  <c r="T17" i="76"/>
  <c r="AP17" i="76" s="1"/>
  <c r="T27" i="76"/>
  <c r="AP27" i="76" s="1"/>
  <c r="T18" i="76"/>
  <c r="AP18" i="76" s="1"/>
  <c r="S24" i="76"/>
  <c r="AO24" i="76" s="1"/>
  <c r="T31" i="76"/>
  <c r="AP31" i="76" s="1"/>
  <c r="N35" i="72"/>
  <c r="K35" i="72"/>
  <c r="J35" i="72"/>
  <c r="I35" i="72"/>
  <c r="E23" i="11"/>
  <c r="Z23" i="76"/>
  <c r="Z31" i="76"/>
  <c r="AP23" i="76"/>
  <c r="AP14" i="76"/>
  <c r="AP13" i="76"/>
  <c r="AO29" i="76"/>
  <c r="AP29"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1" s="1"/>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<sst xmlns="http://schemas.openxmlformats.org/spreadsheetml/2006/main" count="5306" uniqueCount="1600">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</sst>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1" fontId="26" fillId="0" borderId="0" xfId="0" quotePrefix="1" applyNumberFormat="1" applyFont="1"/>
    <xf numFmtId="1" fontId="26" fillId="0" borderId="0" xfId="0" applyNumberFormat="1" applyFont="1"/>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5" t="s">
        <v>779</v>
      </c>
      <c r="B1" s="1195"/>
      <c r="C1" s="1195"/>
      <c r="D1" s="1195"/>
      <c r="E1" s="1195"/>
    </row>
    <row r="2" spans="1:5" x14ac:dyDescent="0.25">
      <c r="A2" s="1195" t="s">
        <v>780</v>
      </c>
      <c r="B2" s="1195"/>
      <c r="C2" s="1195"/>
      <c r="D2" s="1195"/>
      <c r="E2" s="1195"/>
    </row>
    <row r="3" spans="1:5" x14ac:dyDescent="0.25">
      <c r="A3" s="74"/>
    </row>
    <row r="4" spans="1:5" ht="78" customHeight="1" x14ac:dyDescent="0.25">
      <c r="A4" s="1213" t="s">
        <v>781</v>
      </c>
      <c r="B4" s="1213"/>
      <c r="C4" s="1213"/>
      <c r="D4" s="1213"/>
      <c r="E4" s="1213"/>
    </row>
    <row r="5" spans="1:5" x14ac:dyDescent="0.25">
      <c r="A5" s="74"/>
    </row>
    <row r="6" spans="1:5" ht="31.5" customHeight="1" x14ac:dyDescent="0.25">
      <c r="A6" s="1212" t="s">
        <v>782</v>
      </c>
      <c r="B6" s="1212"/>
      <c r="C6" s="1212"/>
      <c r="D6" s="1212"/>
      <c r="E6" s="1212"/>
    </row>
    <row r="7" spans="1:5" ht="15.75" thickBot="1" x14ac:dyDescent="0.3">
      <c r="A7" s="75"/>
    </row>
    <row r="8" spans="1:5" ht="15" customHeight="1" x14ac:dyDescent="0.25">
      <c r="A8" s="1206" t="s">
        <v>783</v>
      </c>
      <c r="B8" s="1207"/>
      <c r="C8" s="1207"/>
      <c r="D8" s="1207"/>
      <c r="E8" s="1208"/>
    </row>
    <row r="9" spans="1:5" ht="15" customHeight="1" thickBot="1" x14ac:dyDescent="0.3">
      <c r="A9" s="1209" t="s">
        <v>784</v>
      </c>
      <c r="B9" s="1210"/>
      <c r="C9" s="1210"/>
      <c r="D9" s="1210"/>
      <c r="E9" s="1211"/>
    </row>
    <row r="10" spans="1:5" x14ac:dyDescent="0.25">
      <c r="A10" s="76"/>
      <c r="B10" s="1203"/>
      <c r="C10" s="1203"/>
      <c r="D10" s="80"/>
    </row>
    <row r="11" spans="1:5" ht="31.5" customHeight="1" thickBot="1" x14ac:dyDescent="0.3">
      <c r="A11" s="78" t="s">
        <v>785</v>
      </c>
      <c r="B11" s="1204" t="s">
        <v>786</v>
      </c>
      <c r="C11" s="1204"/>
      <c r="D11" s="80">
        <f>Welcome!$D$4</f>
        <v>0</v>
      </c>
    </row>
    <row r="12" spans="1:5" ht="15.75" thickBot="1" x14ac:dyDescent="0.3">
      <c r="A12" s="78" t="s">
        <v>787</v>
      </c>
      <c r="B12" s="1205">
        <f>'MDA Worksheet'!$R$18</f>
        <v>0</v>
      </c>
      <c r="C12" s="1205"/>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2"/>
      <c r="C17" s="1202"/>
      <c r="D17" s="1202"/>
      <c r="E17" s="1202"/>
    </row>
    <row r="18" spans="1:5" x14ac:dyDescent="0.25">
      <c r="A18" s="76"/>
      <c r="B18" s="119"/>
      <c r="C18" s="76"/>
      <c r="D18" s="119"/>
    </row>
    <row r="19" spans="1:5" ht="15.75" thickBot="1" x14ac:dyDescent="0.3">
      <c r="A19" s="78" t="s">
        <v>863</v>
      </c>
      <c r="B19" s="1202">
        <f>Welcome!$D$8</f>
        <v>0</v>
      </c>
      <c r="C19" s="1202"/>
      <c r="D19" s="1202"/>
      <c r="E19" s="1202"/>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214" t="s">
        <v>1282</v>
      </c>
      <c r="B42" s="1215"/>
      <c r="C42" s="1215"/>
      <c r="D42" s="1215"/>
      <c r="E42" s="1216"/>
    </row>
    <row r="43" spans="1:5" s="900" customFormat="1" x14ac:dyDescent="0.25">
      <c r="A43" s="1183"/>
      <c r="B43" s="1184"/>
      <c r="C43" s="1184"/>
      <c r="D43" s="1184"/>
      <c r="E43" s="1185"/>
    </row>
    <row r="44" spans="1:5" s="900" customFormat="1" ht="15.75" thickBot="1" x14ac:dyDescent="0.3">
      <c r="A44" s="1186"/>
      <c r="B44" s="1187"/>
      <c r="C44" s="1187"/>
      <c r="D44" s="1187"/>
      <c r="E44" s="1188"/>
    </row>
    <row r="45" spans="1:5" s="900" customFormat="1" ht="15.75" thickBot="1" x14ac:dyDescent="0.3">
      <c r="A45" s="958"/>
    </row>
    <row r="46" spans="1:5" s="900" customFormat="1" ht="15.75" thickBot="1" x14ac:dyDescent="0.3">
      <c r="A46" s="1214" t="s">
        <v>1271</v>
      </c>
      <c r="B46" s="1215"/>
      <c r="C46" s="1215"/>
      <c r="D46" s="1215"/>
      <c r="E46" s="1216"/>
    </row>
    <row r="47" spans="1:5" s="900" customFormat="1" ht="15.75" x14ac:dyDescent="0.25">
      <c r="A47" s="959" t="s">
        <v>1272</v>
      </c>
      <c r="B47" s="960"/>
      <c r="C47" s="971" t="s">
        <v>1273</v>
      </c>
      <c r="D47" s="961"/>
      <c r="E47" s="962"/>
    </row>
    <row r="48" spans="1:5" s="900" customFormat="1" ht="15" customHeight="1" x14ac:dyDescent="0.25">
      <c r="A48" s="959" t="s">
        <v>1274</v>
      </c>
      <c r="B48" s="960"/>
      <c r="C48" s="972"/>
      <c r="D48" s="965" t="s">
        <v>1275</v>
      </c>
      <c r="E48" s="973"/>
    </row>
    <row r="49" spans="1:5" s="900" customFormat="1" ht="15.75" x14ac:dyDescent="0.25">
      <c r="A49" s="959" t="s">
        <v>1276</v>
      </c>
      <c r="B49" s="960"/>
      <c r="C49" s="972"/>
      <c r="D49" s="961" t="s">
        <v>1277</v>
      </c>
      <c r="E49" s="973"/>
    </row>
    <row r="50" spans="1:5" s="900" customFormat="1" ht="15.75" x14ac:dyDescent="0.25">
      <c r="A50" s="959" t="s">
        <v>1278</v>
      </c>
      <c r="B50" s="960"/>
      <c r="C50" s="972"/>
      <c r="D50" s="961"/>
      <c r="E50" s="962"/>
    </row>
    <row r="51" spans="1:5" s="900" customFormat="1" ht="15.75" x14ac:dyDescent="0.25">
      <c r="A51" s="959" t="s">
        <v>1279</v>
      </c>
      <c r="B51" s="960"/>
      <c r="C51" s="972"/>
      <c r="D51" s="961" t="s">
        <v>1280</v>
      </c>
      <c r="E51" s="973"/>
    </row>
    <row r="52" spans="1:5" s="900" customFormat="1" ht="15.75" x14ac:dyDescent="0.25">
      <c r="A52" s="959" t="s">
        <v>1281</v>
      </c>
      <c r="B52" s="960"/>
      <c r="C52" s="963"/>
      <c r="D52" s="960"/>
      <c r="E52" s="964"/>
    </row>
    <row r="53" spans="1:5" s="900" customFormat="1" x14ac:dyDescent="0.25">
      <c r="A53" s="1217"/>
      <c r="B53" s="1218"/>
      <c r="C53" s="1218"/>
      <c r="D53" s="1218"/>
      <c r="E53" s="1219"/>
    </row>
    <row r="54" spans="1:5" s="900" customFormat="1" ht="15.75" thickBot="1" x14ac:dyDescent="0.3">
      <c r="A54" s="1220"/>
      <c r="B54" s="1221"/>
      <c r="C54" s="1221"/>
      <c r="D54" s="1221"/>
      <c r="E54" s="1222"/>
    </row>
    <row r="55" spans="1:5" ht="15.75" thickBot="1" x14ac:dyDescent="0.3">
      <c r="A55" s="958"/>
      <c r="B55" s="900"/>
      <c r="C55" s="900"/>
      <c r="D55" s="900"/>
      <c r="E55" s="900"/>
    </row>
    <row r="56" spans="1:5" ht="30.75" customHeight="1" thickBot="1" x14ac:dyDescent="0.3">
      <c r="A56" s="1196" t="s">
        <v>795</v>
      </c>
      <c r="B56" s="1197"/>
      <c r="C56" s="1197"/>
      <c r="D56" s="1197"/>
      <c r="E56" s="1198"/>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99" t="s">
        <v>807</v>
      </c>
      <c r="B67" s="1200"/>
      <c r="C67" s="1200"/>
      <c r="D67" s="1200"/>
      <c r="E67" s="1201"/>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89" t="s">
        <v>1283</v>
      </c>
      <c r="B74" s="1190"/>
      <c r="C74" s="1190"/>
      <c r="D74" s="1190"/>
      <c r="E74" s="1191"/>
    </row>
    <row r="75" spans="1:5" ht="30.95" customHeight="1" thickBot="1" x14ac:dyDescent="0.3">
      <c r="A75" s="969" t="s">
        <v>811</v>
      </c>
      <c r="B75" s="305"/>
      <c r="C75" s="966" t="s">
        <v>797</v>
      </c>
      <c r="D75" s="305"/>
    </row>
    <row r="76" spans="1:5" ht="30.95" customHeight="1" thickBot="1" x14ac:dyDescent="0.3">
      <c r="A76" s="969" t="s">
        <v>1284</v>
      </c>
      <c r="B76" s="305"/>
      <c r="C76" s="966" t="s">
        <v>799</v>
      </c>
      <c r="D76" s="970" t="s">
        <v>1285</v>
      </c>
    </row>
    <row r="77" spans="1:5" ht="15" customHeight="1" thickBot="1" x14ac:dyDescent="0.3">
      <c r="A77" s="967"/>
      <c r="B77" s="967"/>
      <c r="C77" s="968"/>
      <c r="D77" s="968"/>
      <c r="E77" s="968"/>
    </row>
    <row r="78" spans="1:5" ht="15.75" thickBot="1" x14ac:dyDescent="0.3">
      <c r="A78" s="1192" t="s">
        <v>810</v>
      </c>
      <c r="B78" s="1193"/>
      <c r="C78" s="1193"/>
      <c r="D78" s="1193"/>
      <c r="E78" s="1194"/>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2" t="s">
        <v>812</v>
      </c>
      <c r="B83" s="1193"/>
      <c r="C83" s="1193"/>
      <c r="D83" s="1193"/>
      <c r="E83" s="1194"/>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1017</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23" t="s">
        <v>1250</v>
      </c>
      <c r="D3" s="1224"/>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1296</v>
      </c>
      <c r="D6" s="996" t="s">
        <v>1297</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1298</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1209</v>
      </c>
      <c r="Z9" s="137">
        <f>D8</f>
        <v>0</v>
      </c>
      <c r="AA9" s="137"/>
      <c r="AB9" s="137"/>
      <c r="AC9" s="137"/>
    </row>
    <row r="10" spans="1:29" hidden="1" x14ac:dyDescent="0.25">
      <c r="A10" s="144"/>
      <c r="B10" s="398"/>
      <c r="C10" s="384" t="s">
        <v>1210</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1208</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1299</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1195</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1300</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1301</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1302</v>
      </c>
      <c r="F25" s="1004" t="s">
        <v>1303</v>
      </c>
      <c r="G25" s="1003" t="s">
        <v>269</v>
      </c>
      <c r="H25" s="1002" t="s">
        <v>1304</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34" t="s">
        <v>1305</v>
      </c>
      <c r="C29" s="1235"/>
      <c r="D29" s="1235"/>
      <c r="E29" s="1235"/>
      <c r="F29" s="1235"/>
      <c r="G29" s="1235"/>
      <c r="H29" s="1235"/>
      <c r="I29" s="1236"/>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25"/>
      <c r="C30" s="1226"/>
      <c r="D30" s="1226"/>
      <c r="E30" s="1226"/>
      <c r="F30" s="1226"/>
      <c r="G30" s="1226"/>
      <c r="H30" s="1226"/>
      <c r="I30" s="1227"/>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8"/>
      <c r="C31" s="1229"/>
      <c r="D31" s="1229"/>
      <c r="E31" s="1229"/>
      <c r="F31" s="1229"/>
      <c r="G31" s="1229"/>
      <c r="H31" s="1229"/>
      <c r="I31" s="1230"/>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8"/>
      <c r="C32" s="1229"/>
      <c r="D32" s="1229"/>
      <c r="E32" s="1229"/>
      <c r="F32" s="1229"/>
      <c r="G32" s="1229"/>
      <c r="H32" s="1229"/>
      <c r="I32" s="1230"/>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8"/>
      <c r="C33" s="1229"/>
      <c r="D33" s="1229"/>
      <c r="E33" s="1229"/>
      <c r="F33" s="1229"/>
      <c r="G33" s="1229"/>
      <c r="H33" s="1229"/>
      <c r="I33" s="1230"/>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8"/>
      <c r="C34" s="1229"/>
      <c r="D34" s="1229"/>
      <c r="E34" s="1229"/>
      <c r="F34" s="1229"/>
      <c r="G34" s="1229"/>
      <c r="H34" s="1229"/>
      <c r="I34" s="1230"/>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31"/>
      <c r="C35" s="1232"/>
      <c r="D35" s="1232"/>
      <c r="E35" s="1232"/>
      <c r="F35" s="1232"/>
      <c r="G35" s="1232"/>
      <c r="H35" s="1232"/>
      <c r="I35" s="1233"/>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37" t="s">
        <v>1196</v>
      </c>
      <c r="C37" s="1238"/>
      <c r="D37" s="1238"/>
      <c r="E37" s="1238"/>
      <c r="F37" s="1238"/>
      <c r="G37" s="1238"/>
      <c r="H37" s="1238"/>
      <c r="I37" s="1239"/>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25"/>
      <c r="C38" s="1226"/>
      <c r="D38" s="1226"/>
      <c r="E38" s="1226"/>
      <c r="F38" s="1226"/>
      <c r="G38" s="1226"/>
      <c r="H38" s="1226"/>
      <c r="I38" s="1227"/>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8"/>
      <c r="C39" s="1229"/>
      <c r="D39" s="1229"/>
      <c r="E39" s="1229"/>
      <c r="F39" s="1229"/>
      <c r="G39" s="1229"/>
      <c r="H39" s="1229"/>
      <c r="I39" s="1230"/>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8"/>
      <c r="C40" s="1229"/>
      <c r="D40" s="1229"/>
      <c r="E40" s="1229"/>
      <c r="F40" s="1229"/>
      <c r="G40" s="1229"/>
      <c r="H40" s="1229"/>
      <c r="I40" s="1230"/>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8"/>
      <c r="C41" s="1229"/>
      <c r="D41" s="1229"/>
      <c r="E41" s="1229"/>
      <c r="F41" s="1229"/>
      <c r="G41" s="1229"/>
      <c r="H41" s="1229"/>
      <c r="I41" s="1230"/>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8"/>
      <c r="C42" s="1229"/>
      <c r="D42" s="1229"/>
      <c r="E42" s="1229"/>
      <c r="F42" s="1229"/>
      <c r="G42" s="1229"/>
      <c r="H42" s="1229"/>
      <c r="I42" s="1230"/>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31"/>
      <c r="C43" s="1232"/>
      <c r="D43" s="1232"/>
      <c r="E43" s="1232"/>
      <c r="F43" s="1232"/>
      <c r="G43" s="1232"/>
      <c r="H43" s="1232"/>
      <c r="I43" s="1233"/>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40" t="s">
        <v>942</v>
      </c>
      <c r="G2" s="1240"/>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45"/>
      <c r="M3" s="1245"/>
      <c r="N3" s="1245"/>
      <c r="O3" s="791"/>
      <c r="P3" s="1241" t="str">
        <f>IF(COUNTIFS($P$6:$P$15,"&gt;0")&lt;$C$4,"Must Enter Expected Sales for All Locations","")</f>
        <v/>
      </c>
      <c r="Q3" s="1241"/>
      <c r="R3" s="1241"/>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42" t="str">
        <f>IF(COUNTIFS($P$6:$P$15,"&gt;0")&lt;$C$4,"VVVVV","")</f>
        <v/>
      </c>
      <c r="P4" s="1242"/>
      <c r="Q4" s="1242"/>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1461</v>
      </c>
      <c r="BA4" s="137" t="s">
        <v>1462</v>
      </c>
      <c r="BB4" s="137" t="s">
        <v>1463</v>
      </c>
      <c r="BC4" s="137"/>
      <c r="BD4" s="137" t="s">
        <v>1464</v>
      </c>
    </row>
    <row r="5" spans="1:56" ht="49.5" customHeight="1" thickBot="1" x14ac:dyDescent="0.3">
      <c r="E5" s="663"/>
      <c r="F5" s="733" t="s">
        <v>1067</v>
      </c>
      <c r="G5" s="1067" t="s">
        <v>754</v>
      </c>
      <c r="H5" s="1066" t="s">
        <v>1328</v>
      </c>
      <c r="I5" s="1067" t="s">
        <v>1410</v>
      </c>
      <c r="J5" s="688" t="s">
        <v>1411</v>
      </c>
      <c r="K5" s="1018" t="s">
        <v>940</v>
      </c>
      <c r="L5" s="689" t="s">
        <v>1329</v>
      </c>
      <c r="M5" s="689" t="s">
        <v>1336</v>
      </c>
      <c r="N5" s="689" t="s">
        <v>938</v>
      </c>
      <c r="O5" s="690" t="s">
        <v>1330</v>
      </c>
      <c r="P5" s="800" t="s">
        <v>1331</v>
      </c>
      <c r="Q5" s="801" t="s">
        <v>1332</v>
      </c>
      <c r="R5" s="801" t="s">
        <v>1333</v>
      </c>
      <c r="S5" s="801" t="s">
        <v>205</v>
      </c>
      <c r="T5" s="1022" t="s">
        <v>1334</v>
      </c>
      <c r="U5" s="1023" t="s">
        <v>1335</v>
      </c>
      <c r="V5" s="1027" t="s">
        <v>1501</v>
      </c>
      <c r="W5" s="664"/>
      <c r="X5" s="659" t="s">
        <v>467</v>
      </c>
      <c r="Y5" s="53" t="s">
        <v>941</v>
      </c>
      <c r="Z5" s="53" t="s">
        <v>205</v>
      </c>
      <c r="AA5" s="53" t="s">
        <v>518</v>
      </c>
      <c r="AB5" s="137"/>
      <c r="AC5" t="s">
        <v>957</v>
      </c>
      <c r="AD5">
        <f>MAX(AD6:AD15)</f>
        <v>0</v>
      </c>
      <c r="AE5" s="2"/>
      <c r="AF5" s="137"/>
      <c r="AH5" s="137"/>
      <c r="AI5" s="137"/>
      <c r="AJ5" s="137"/>
      <c r="AK5" s="137" t="s">
        <v>1160</v>
      </c>
      <c r="AL5" s="137" t="s">
        <v>1161</v>
      </c>
      <c r="AM5" s="137" t="s">
        <v>1162</v>
      </c>
      <c r="AN5" s="137" t="s">
        <v>1163</v>
      </c>
      <c r="AO5" s="137"/>
      <c r="AP5" s="137"/>
      <c r="AQ5" s="137"/>
      <c r="AR5" s="137"/>
      <c r="AS5" s="1138" t="s">
        <v>1448</v>
      </c>
      <c r="AT5" s="1138" t="s">
        <v>1454</v>
      </c>
      <c r="AU5" s="1138" t="s">
        <v>1455</v>
      </c>
      <c r="AV5" s="1138" t="s">
        <v>1465</v>
      </c>
      <c r="AW5" s="1138" t="s">
        <v>1466</v>
      </c>
      <c r="AX5" s="1138" t="s">
        <v>1450</v>
      </c>
      <c r="AY5" s="1138" t="s">
        <v>1453</v>
      </c>
      <c r="AZ5" s="1138" t="s">
        <v>1456</v>
      </c>
      <c r="BA5" s="1139" t="s">
        <v>1457</v>
      </c>
      <c r="BB5" s="1139" t="s">
        <v>1458</v>
      </c>
      <c r="BC5" s="1140" t="s">
        <v>1459</v>
      </c>
      <c r="BD5" s="1140" t="s">
        <v>1460</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1184</v>
      </c>
      <c r="H17" s="1107" t="s">
        <v>1184</v>
      </c>
      <c r="I17" s="1243">
        <f>SUM($I$6:$I$15)</f>
        <v>0</v>
      </c>
      <c r="J17" s="1246" t="s">
        <v>1442</v>
      </c>
      <c r="K17" s="1248">
        <f>SUM($K$6:$K$15)</f>
        <v>0</v>
      </c>
      <c r="L17" s="1246" t="s">
        <v>1443</v>
      </c>
      <c r="M17" s="790"/>
      <c r="N17" s="790"/>
      <c r="O17" s="790"/>
      <c r="P17" s="1243">
        <f>SUMIF($F$6:$F$15,"&gt;0",$P$6:$P$15)</f>
        <v>0</v>
      </c>
      <c r="Q17" s="1250" t="s">
        <v>1444</v>
      </c>
      <c r="R17" s="1108"/>
      <c r="S17" s="790"/>
      <c r="T17" s="790"/>
      <c r="U17" s="790"/>
      <c r="V17" s="790"/>
      <c r="W17" s="664"/>
      <c r="X17" s="137"/>
      <c r="Y17" s="137"/>
      <c r="Z17" s="137"/>
      <c r="AA17" s="137"/>
      <c r="AB17" s="137" t="s">
        <v>1082</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44"/>
      <c r="J18" s="1247"/>
      <c r="K18" s="1249"/>
      <c r="L18" s="1247"/>
      <c r="M18" s="790"/>
      <c r="N18" s="790"/>
      <c r="O18" s="790"/>
      <c r="P18" s="1244"/>
      <c r="Q18" s="1251"/>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1298</v>
      </c>
      <c r="E3" s="420">
        <f>Welcome!$D$8</f>
        <v>0</v>
      </c>
      <c r="F3" s="142"/>
      <c r="G3" s="512" t="s">
        <v>110</v>
      </c>
      <c r="H3" s="1255" t="e">
        <f>VLOOKUP($H$4,'Market Geography'!$D:$G,4,FALSE)</f>
        <v>#N/A</v>
      </c>
      <c r="I3" s="1256"/>
      <c r="J3" s="1256"/>
      <c r="K3" s="1257"/>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1299</v>
      </c>
      <c r="E4" s="389" t="str">
        <f>Welcome!$D$12</f>
        <v>Select Term</v>
      </c>
      <c r="F4" s="142"/>
      <c r="G4" s="513" t="s">
        <v>901</v>
      </c>
      <c r="H4" s="1252">
        <f>Welcome!$D$4</f>
        <v>0</v>
      </c>
      <c r="I4" s="1253"/>
      <c r="J4" s="1253"/>
      <c r="K4" s="1254"/>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1306</v>
      </c>
      <c r="E5" s="146">
        <f>$G$31</f>
        <v>0</v>
      </c>
      <c r="F5" s="142"/>
      <c r="G5" s="513" t="s">
        <v>107</v>
      </c>
      <c r="H5" s="1252" t="str">
        <f>'Multi-Customer'!$S$49</f>
        <v>Enter Customer(s)</v>
      </c>
      <c r="I5" s="1253"/>
      <c r="J5" s="1253"/>
      <c r="K5" s="1254"/>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1307</v>
      </c>
      <c r="E6" s="147">
        <f>IFERROR('Variable Costs (Back)'!$K$26,0)</f>
        <v>0</v>
      </c>
      <c r="F6" s="142"/>
      <c r="G6" s="513" t="s">
        <v>1316</v>
      </c>
      <c r="H6" s="1252" t="str">
        <f>'Multi-Customer'!$AH$40</f>
        <v>Enter Customer(s)</v>
      </c>
      <c r="I6" s="1253"/>
      <c r="J6" s="1253"/>
      <c r="K6" s="1254"/>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1308</v>
      </c>
      <c r="E7" s="421">
        <f>IFERROR('PIM Ranges'!$AU$3,0)</f>
        <v>0</v>
      </c>
      <c r="F7" s="142"/>
      <c r="G7" s="514" t="s">
        <v>1309</v>
      </c>
      <c r="H7" s="1258" t="s">
        <v>207</v>
      </c>
      <c r="I7" s="1259"/>
      <c r="J7" s="1259"/>
      <c r="K7" s="1260"/>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1031</v>
      </c>
      <c r="D9" s="536" t="s">
        <v>1393</v>
      </c>
      <c r="E9" s="414" t="s">
        <v>472</v>
      </c>
      <c r="F9" s="151" t="s">
        <v>1441</v>
      </c>
      <c r="G9" s="152" t="s">
        <v>402</v>
      </c>
      <c r="H9" s="153" t="s">
        <v>83</v>
      </c>
      <c r="I9" s="154" t="s">
        <v>1394</v>
      </c>
      <c r="J9" s="151" t="s">
        <v>1395</v>
      </c>
      <c r="K9" s="155" t="s">
        <v>228</v>
      </c>
      <c r="L9" s="156"/>
      <c r="M9" s="157" t="s">
        <v>982</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1037</v>
      </c>
      <c r="AG9" s="142" t="s">
        <v>1038</v>
      </c>
      <c r="AH9" s="142" t="s">
        <v>494</v>
      </c>
      <c r="AI9" s="142"/>
      <c r="AJ9" s="142"/>
      <c r="AK9" s="142"/>
      <c r="AL9" s="142"/>
      <c r="AM9" s="142"/>
    </row>
    <row r="10" spans="1:39" ht="17.25" x14ac:dyDescent="0.25">
      <c r="A10" s="142"/>
      <c r="B10" s="636">
        <v>0</v>
      </c>
      <c r="C10" s="642"/>
      <c r="D10" s="1010" t="s">
        <v>489</v>
      </c>
      <c r="E10" s="637" t="s">
        <v>990</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990</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990</v>
      </c>
      <c r="F12" s="1097" t="s">
        <v>1445</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990</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990</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990</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990</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990</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990</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990</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990</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990</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990</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990</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990</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990</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990</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990</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990</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990</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990</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63" t="s">
        <v>119</v>
      </c>
      <c r="H33" s="1264"/>
      <c r="I33" s="506" t="e">
        <f>IF($E$3="MDA",'PIM Ranges'!$AX$7,'PIM Ranges'!$BJ$7)</f>
        <v>#DIV/0!</v>
      </c>
      <c r="J33" s="137"/>
      <c r="K33" s="1265" t="str">
        <f>IF(COUNTIF($AB$10:$AB$30,"ERROR")&lt;1,"",IF(COUNTIF($AB$10:$AB$30,"ERROR")&lt;2,(COUNTIF($AB$10:$AB$30,"ERROR")&amp;" Margin Missing Above"),(COUNTIF($AB$10:$AB$30,"ERROR")&amp;" Margins Missing Above")))</f>
        <v/>
      </c>
      <c r="L33" s="1265"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61" t="s">
        <v>498</v>
      </c>
      <c r="H34" s="1262"/>
      <c r="I34" s="502">
        <f>J31</f>
        <v>0</v>
      </c>
      <c r="J34" s="137"/>
      <c r="K34" s="1265" t="str">
        <f>IF(COUNTIFS($L$10:$L$30,"X",$AF$10:$AF$30,"BELOW")&lt;1,"",IF(COUNTIFS($L$10:$L$30,"X",$AF$10:$AF$30,"BELOW")&lt;2,(COUNTIFS($L$10:$L$30,"X",$AF$10:$AF$30,"BELOW")&amp;" Margin Below Minimum"),(COUNTIFS($L$10:$L$30,"X",$AF$10:$AF$30,"BELOW")&amp;" Margins Below Minimum")))</f>
        <v/>
      </c>
      <c r="L34" s="1265"/>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61" t="s">
        <v>1396</v>
      </c>
      <c r="H35" s="1262"/>
      <c r="I35" s="503" t="str">
        <f>IFERROR(I34/G31,"")</f>
        <v/>
      </c>
      <c r="K35" s="1265" t="str">
        <f>IF(COUNTIFS($L$10:$L$30,"X",$AF$10:$AF$30,"ABOVE")&lt;1,"",IF(COUNTIFS($L$10:$L$30,"X",$AF$10:$AF$30,"ABOVE")&lt;2,(COUNTIFS($L$10:$L$30,"X",$AF$10:$AF$30,"ABOVE")&amp;" Margin Above Maximum"),(COUNTIFS($L$10:$L$30,"X",$AF$10:$AF$30,"ABOVE")&amp;" Margins Above Maximum")))</f>
        <v/>
      </c>
      <c r="L35" s="1265"/>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61"/>
      <c r="H36" s="1262"/>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61" t="str">
        <f>IFERROR(IF(I35&gt;I33,"","Below Recommended TAGP: "),"")</f>
        <v/>
      </c>
      <c r="H37" s="1262"/>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61"/>
      <c r="H38" s="1262"/>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61" t="s">
        <v>1397</v>
      </c>
      <c r="H39" s="1262"/>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66" t="s">
        <v>499</v>
      </c>
      <c r="H40" s="1267"/>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8"/>
      <c r="G52" s="1268"/>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8"/>
      <c r="G53" s="1268"/>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8"/>
      <c r="G54" s="1268"/>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981</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5" t="e">
        <f>VLOOKUP($L$4,'Market Geography'!$D:$G,4,FALSE)</f>
        <v>#N/A</v>
      </c>
      <c r="M3" s="1256" t="e">
        <f>IF(#REF!="New Business",#REF!,#REF!)</f>
        <v>#REF!</v>
      </c>
      <c r="N3" s="1257"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2">
        <f>Welcome!$D$4</f>
        <v>0</v>
      </c>
      <c r="M4" s="1253"/>
      <c r="N4" s="1254"/>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2" t="str">
        <f>'Multi-Customer'!$S$49</f>
        <v>Enter Customer(s)</v>
      </c>
      <c r="M5" s="1253"/>
      <c r="N5" s="1254"/>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2" t="str">
        <f>'Multi-Customer'!$AH$40</f>
        <v>Enter Customer(s)</v>
      </c>
      <c r="M6" s="1253"/>
      <c r="N6" s="1254"/>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9" t="s">
        <v>207</v>
      </c>
      <c r="M7" s="1280"/>
      <c r="N7" s="1281"/>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9">
        <f>IFERROR('PIM Model'!$G$31,0)</f>
        <v>0</v>
      </c>
      <c r="I9" s="1270"/>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77">
        <f>IFERROR('PIM Model'!$G$32,0)</f>
        <v>0</v>
      </c>
      <c r="I10" s="1278"/>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1"/>
      <c r="H12" s="1272"/>
      <c r="I12" s="193"/>
      <c r="J12" s="1276"/>
      <c r="K12" s="1276"/>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1211</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1221</v>
      </c>
      <c r="H14" s="784"/>
      <c r="I14" s="429" t="s">
        <v>1071</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73" t="str">
        <f>IF($E$15="YES","**Tier 1 used for modeling purposes**","")</f>
        <v/>
      </c>
      <c r="K18" s="1274"/>
      <c r="L18" s="1275"/>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83"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83"/>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1211</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1221</v>
      </c>
      <c r="H25" s="692"/>
      <c r="I25" s="429" t="s">
        <v>1071</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73" t="str">
        <f>IF($E$26="YES","**Tier 1 used for modeling purposes**","")</f>
        <v/>
      </c>
      <c r="K29" s="1274"/>
      <c r="L29" s="1275"/>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83"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83"/>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1211</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1221</v>
      </c>
      <c r="H36" s="692"/>
      <c r="I36" s="429" t="s">
        <v>1071</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1072</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73" t="str">
        <f>IF($E$37="YES","**Tier 1 payout used for modeling purposes**","")</f>
        <v/>
      </c>
      <c r="K40" s="1274"/>
      <c r="L40" s="1275"/>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1211</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1212</v>
      </c>
      <c r="E47" s="41"/>
      <c r="F47" s="148"/>
      <c r="G47" s="429" t="s">
        <v>1221</v>
      </c>
      <c r="H47" s="197"/>
      <c r="I47" s="429" t="s">
        <v>1071</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1213</v>
      </c>
      <c r="H49" s="197"/>
      <c r="I49" s="255" t="s">
        <v>1214</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1211</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1221</v>
      </c>
      <c r="H55" s="197"/>
      <c r="I55" s="429" t="s">
        <v>1071</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1286</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1256</v>
      </c>
      <c r="H62" s="197"/>
      <c r="I62" s="255" t="s">
        <v>910</v>
      </c>
      <c r="J62" s="41"/>
      <c r="K62" s="255" t="s">
        <v>891</v>
      </c>
      <c r="L62" s="197"/>
      <c r="M62" s="197"/>
      <c r="N62" s="271"/>
      <c r="O62" s="182"/>
      <c r="Q62" s="742"/>
    </row>
    <row r="63" spans="2:27" s="878" customFormat="1" ht="18.75" x14ac:dyDescent="0.25">
      <c r="B63" s="181"/>
      <c r="C63" s="270"/>
      <c r="D63" s="253" t="s">
        <v>1251</v>
      </c>
      <c r="E63" s="197"/>
      <c r="F63" s="207"/>
      <c r="G63" s="917" t="s">
        <v>546</v>
      </c>
      <c r="H63" s="197"/>
      <c r="I63" s="890" t="s">
        <v>1071</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86"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87"/>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87"/>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8"/>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9" t="s">
        <v>1258</v>
      </c>
      <c r="E70" s="927"/>
      <c r="F70" s="926"/>
      <c r="G70" s="255" t="s">
        <v>1259</v>
      </c>
      <c r="H70" s="927"/>
      <c r="I70" s="255" t="s">
        <v>910</v>
      </c>
      <c r="J70" s="928"/>
      <c r="K70" s="255" t="s">
        <v>1257</v>
      </c>
      <c r="L70" s="927"/>
      <c r="M70" s="255" t="s">
        <v>1269</v>
      </c>
      <c r="N70" s="271"/>
      <c r="O70" s="182"/>
      <c r="Q70" s="742"/>
    </row>
    <row r="71" spans="2:17" s="922" customFormat="1" ht="17.45" customHeight="1" x14ac:dyDescent="0.25">
      <c r="B71" s="181"/>
      <c r="C71" s="270"/>
      <c r="D71" s="1290"/>
      <c r="E71" s="197"/>
      <c r="F71" s="926"/>
      <c r="G71" s="935"/>
      <c r="H71" s="927"/>
      <c r="I71" s="429" t="s">
        <v>1071</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93" t="str">
        <f>IF($M$71&gt;=10000,"The amount entered is $10,000 or above. This model can be submitted but will require additional approved before the agreement can be generated. Business Context will need to be provided","")</f>
        <v/>
      </c>
      <c r="N72" s="1294"/>
      <c r="O72" s="182"/>
      <c r="Q72" s="742"/>
    </row>
    <row r="73" spans="2:17" s="915" customFormat="1" ht="34.5" customHeight="1" x14ac:dyDescent="0.25">
      <c r="B73" s="181"/>
      <c r="C73" s="270"/>
      <c r="D73" s="1292" t="s">
        <v>1287</v>
      </c>
      <c r="E73" s="1292"/>
      <c r="F73" s="926"/>
      <c r="G73" s="1291" t="s">
        <v>1288</v>
      </c>
      <c r="H73" s="1291"/>
      <c r="I73" s="1291"/>
      <c r="J73" s="1291"/>
      <c r="K73" s="1291"/>
      <c r="L73" s="197"/>
      <c r="M73" s="1293"/>
      <c r="N73" s="1294"/>
      <c r="O73" s="182"/>
      <c r="Q73" s="742"/>
    </row>
    <row r="74" spans="2:17" s="915" customFormat="1" ht="16.5" customHeight="1" x14ac:dyDescent="0.25">
      <c r="B74" s="181"/>
      <c r="C74" s="270"/>
      <c r="D74" s="197"/>
      <c r="E74" s="148"/>
      <c r="F74" s="891"/>
      <c r="G74" s="925" t="s">
        <v>1254</v>
      </c>
      <c r="H74" s="205"/>
      <c r="I74" s="6" t="s">
        <v>1255</v>
      </c>
      <c r="J74" s="197"/>
      <c r="K74" s="255" t="s">
        <v>1253</v>
      </c>
      <c r="L74" s="197"/>
      <c r="M74" s="6" t="s">
        <v>500</v>
      </c>
      <c r="N74" s="271"/>
      <c r="O74" s="182"/>
      <c r="Q74" s="742"/>
    </row>
    <row r="75" spans="2:17" s="915" customFormat="1" ht="18" customHeight="1" x14ac:dyDescent="0.25">
      <c r="B75" s="181"/>
      <c r="C75" s="270"/>
      <c r="D75" s="197"/>
      <c r="E75" s="197"/>
      <c r="F75" s="892" t="s">
        <v>1187</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1188</v>
      </c>
      <c r="H79" s="197"/>
      <c r="I79" s="255" t="s">
        <v>910</v>
      </c>
      <c r="J79" s="41"/>
      <c r="K79" s="255" t="s">
        <v>891</v>
      </c>
      <c r="L79" s="197"/>
      <c r="M79" s="237"/>
      <c r="N79" s="271"/>
      <c r="O79" s="182"/>
      <c r="Q79" s="742"/>
    </row>
    <row r="80" spans="2:17" s="5" customFormat="1" ht="18.75" x14ac:dyDescent="0.25">
      <c r="B80" s="181"/>
      <c r="C80" s="270"/>
      <c r="D80" s="253" t="s">
        <v>1187</v>
      </c>
      <c r="E80" s="197"/>
      <c r="F80" s="207"/>
      <c r="G80" s="917" t="s">
        <v>1222</v>
      </c>
      <c r="H80" s="197"/>
      <c r="I80" s="429" t="s">
        <v>1071</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1187</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82" t="s">
        <v>1198</v>
      </c>
      <c r="G87" s="1282"/>
      <c r="H87" s="148"/>
      <c r="I87" s="255" t="s">
        <v>910</v>
      </c>
      <c r="J87" s="148"/>
      <c r="K87" s="255" t="s">
        <v>891</v>
      </c>
      <c r="L87" s="148"/>
      <c r="M87" s="148"/>
      <c r="N87" s="769"/>
      <c r="O87" s="279"/>
    </row>
    <row r="88" spans="2:20" s="179" customFormat="1" ht="18" customHeight="1" x14ac:dyDescent="0.25">
      <c r="B88" s="277"/>
      <c r="C88" s="195"/>
      <c r="D88" s="253" t="s">
        <v>1083</v>
      </c>
      <c r="E88" s="148"/>
      <c r="F88" s="1282"/>
      <c r="G88" s="1282"/>
      <c r="H88" s="148"/>
      <c r="I88" s="429" t="s">
        <v>1071</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82"/>
      <c r="G89" s="1282"/>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1085</v>
      </c>
      <c r="H90" s="148"/>
      <c r="I90" s="148"/>
      <c r="J90" s="148"/>
      <c r="K90" s="518"/>
      <c r="L90" s="197"/>
      <c r="M90" s="6" t="s">
        <v>500</v>
      </c>
      <c r="N90" s="769"/>
      <c r="O90" s="279"/>
    </row>
    <row r="91" spans="2:20" s="179" customFormat="1" ht="18" customHeight="1" x14ac:dyDescent="0.25">
      <c r="B91" s="277"/>
      <c r="C91" s="195"/>
      <c r="D91" s="148"/>
      <c r="E91" s="744"/>
      <c r="F91" s="207" t="s">
        <v>1084</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84"/>
      <c r="D98" s="1284"/>
      <c r="I98" s="704"/>
      <c r="L98" s="5"/>
      <c r="M98" s="1285"/>
      <c r="N98" s="1285"/>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1291</v>
      </c>
      <c r="B1" t="s">
        <v>1289</v>
      </c>
      <c r="C1" t="s">
        <v>131</v>
      </c>
    </row>
    <row r="2" spans="1:3" x14ac:dyDescent="0.25">
      <c r="A2" t="s">
        <v>1083</v>
      </c>
      <c r="B2">
        <v>50</v>
      </c>
      <c r="C2" t="s">
        <v>1290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95" t="s">
        <v>211</v>
      </c>
      <c r="D2" s="1295"/>
      <c r="E2" s="1295"/>
      <c r="F2" s="545"/>
      <c r="G2" s="175"/>
      <c r="H2" s="175"/>
      <c r="I2" s="175"/>
      <c r="J2" s="175"/>
      <c r="K2" s="175"/>
      <c r="L2" s="178"/>
    </row>
    <row r="3" spans="2:23" x14ac:dyDescent="0.25">
      <c r="B3" s="181"/>
      <c r="C3" s="1304" t="s">
        <v>1298</v>
      </c>
      <c r="D3" s="1305"/>
      <c r="E3" s="420">
        <f>Welcome!$D$8</f>
        <v>0</v>
      </c>
      <c r="F3" s="424"/>
      <c r="G3" s="512" t="s">
        <v>110</v>
      </c>
      <c r="H3" s="1300" t="str">
        <f>IFERROR(VLOOKUP($H$4,'Market Geography'!$D:$G,4,FALSE),"Select Market")</f>
        <v>Select Market</v>
      </c>
      <c r="I3" s="1300"/>
      <c r="J3" s="1300"/>
      <c r="K3" s="1301"/>
      <c r="L3" s="182"/>
    </row>
    <row r="4" spans="2:23" x14ac:dyDescent="0.25">
      <c r="B4" s="181"/>
      <c r="C4" s="1306" t="s">
        <v>1299</v>
      </c>
      <c r="D4" s="1307"/>
      <c r="E4" s="389" t="str">
        <f>Welcome!$D$12</f>
        <v>Select Term</v>
      </c>
      <c r="F4" s="546"/>
      <c r="G4" s="513" t="s">
        <v>901</v>
      </c>
      <c r="H4" s="1302">
        <f>Welcome!$D$4</f>
        <v>0</v>
      </c>
      <c r="I4" s="1302"/>
      <c r="J4" s="1302"/>
      <c r="K4" s="1303"/>
      <c r="L4" s="182"/>
    </row>
    <row r="5" spans="2:23" x14ac:dyDescent="0.25">
      <c r="B5" s="181"/>
      <c r="C5" s="1306" t="s">
        <v>1306</v>
      </c>
      <c r="D5" s="1307"/>
      <c r="E5" s="146">
        <f>'PIM Model'!$G$31</f>
        <v>0</v>
      </c>
      <c r="F5" s="547"/>
      <c r="G5" s="513" t="s">
        <v>107</v>
      </c>
      <c r="H5" s="1302" t="str">
        <f>'Multi-Customer'!$S$49</f>
        <v>Enter Customer(s)</v>
      </c>
      <c r="I5" s="1302"/>
      <c r="J5" s="1302"/>
      <c r="K5" s="1303"/>
      <c r="L5" s="182"/>
    </row>
    <row r="6" spans="2:23" x14ac:dyDescent="0.25">
      <c r="B6" s="181"/>
      <c r="C6" s="1306" t="s">
        <v>1307</v>
      </c>
      <c r="D6" s="1307"/>
      <c r="E6" s="147">
        <f>'PIM Model'!$E$6</f>
        <v>0</v>
      </c>
      <c r="F6" s="424"/>
      <c r="G6" s="513" t="s">
        <v>1316</v>
      </c>
      <c r="H6" s="1302" t="str">
        <f>IF('Multi-Customer'!$AH$40 = "MULTIPLE MENU TYPES","MULTIPLE TYPES",'Multi-Customer'!$AH$40)</f>
        <v>Enter Customer(s)</v>
      </c>
      <c r="I6" s="1302"/>
      <c r="J6" s="1302"/>
      <c r="K6" s="1303"/>
      <c r="L6" s="182"/>
      <c r="R6" s="548"/>
    </row>
    <row r="7" spans="2:23" ht="15.75" thickBot="1" x14ac:dyDescent="0.3">
      <c r="B7" s="181"/>
      <c r="C7" s="1311" t="s">
        <v>1308</v>
      </c>
      <c r="D7" s="1312"/>
      <c r="E7" s="421">
        <f>IFERROR('PIM Ranges'!$AU$3,0)</f>
        <v>0</v>
      </c>
      <c r="F7" s="180"/>
      <c r="G7" s="514" t="s">
        <v>1309</v>
      </c>
      <c r="H7" s="1309" t="s">
        <v>207</v>
      </c>
      <c r="I7" s="1309"/>
      <c r="J7" s="1309"/>
      <c r="K7" s="1310"/>
      <c r="L7" s="182"/>
      <c r="P7" s="180"/>
      <c r="Q7" s="156"/>
      <c r="R7" s="549"/>
      <c r="S7" s="137"/>
      <c r="T7" s="156"/>
      <c r="U7" s="180"/>
      <c r="V7" s="156"/>
      <c r="W7" s="180"/>
    </row>
    <row r="8" spans="2:23" ht="13.9" customHeight="1" x14ac:dyDescent="0.25">
      <c r="B8" s="181"/>
      <c r="D8" s="139"/>
      <c r="E8" s="1268"/>
      <c r="F8" s="1268"/>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1310</v>
      </c>
      <c r="F10" s="197"/>
      <c r="G10" s="695" t="s">
        <v>1311</v>
      </c>
      <c r="H10" s="197"/>
      <c r="I10" s="1298" t="s">
        <v>906</v>
      </c>
      <c r="J10" s="1298"/>
      <c r="K10" s="271"/>
      <c r="L10" s="182"/>
      <c r="P10" s="180"/>
      <c r="Q10" s="180"/>
      <c r="R10" s="554"/>
      <c r="S10" s="180"/>
      <c r="T10" s="180"/>
      <c r="U10" s="180"/>
      <c r="V10" s="180"/>
      <c r="W10" s="180"/>
    </row>
    <row r="11" spans="2:23" ht="23.45" customHeight="1" x14ac:dyDescent="0.25">
      <c r="B11" s="181"/>
      <c r="C11" s="270"/>
      <c r="D11" s="555" t="s">
        <v>1312</v>
      </c>
      <c r="E11" s="556">
        <f>'Variable Costs (Back)'!$AE$25</f>
        <v>0</v>
      </c>
      <c r="F11" s="197"/>
      <c r="G11" s="557">
        <f>IFERROR(E11/'PIM Model'!$H$31,0)</f>
        <v>0</v>
      </c>
      <c r="H11" s="197"/>
      <c r="I11" s="1296" t="str">
        <f>IFERROR($E11/$E$5,"")</f>
        <v/>
      </c>
      <c r="J11" s="1296"/>
      <c r="K11" s="271"/>
      <c r="L11" s="182"/>
      <c r="R11" s="548"/>
    </row>
    <row r="12" spans="2:23" ht="36" customHeight="1" x14ac:dyDescent="0.25">
      <c r="B12" s="181"/>
      <c r="C12" s="270"/>
      <c r="D12" s="1313" t="s">
        <v>702</v>
      </c>
      <c r="E12" s="1313"/>
      <c r="F12" s="558"/>
      <c r="G12" s="559"/>
      <c r="H12" s="197"/>
      <c r="I12" s="560"/>
      <c r="J12" s="561"/>
      <c r="K12" s="271"/>
      <c r="L12" s="182"/>
    </row>
    <row r="13" spans="2:23" s="835" customFormat="1" ht="23.45" customHeight="1" x14ac:dyDescent="0.25">
      <c r="B13" s="181"/>
      <c r="C13" s="270"/>
      <c r="D13" s="555" t="s">
        <v>1314</v>
      </c>
      <c r="E13" s="556">
        <f>'Tracking &amp; Profitability'!E26*-1</f>
        <v>0</v>
      </c>
      <c r="F13" s="197"/>
      <c r="G13" s="557">
        <f>'Tracking &amp; Profitability'!G26*-1</f>
        <v>0</v>
      </c>
      <c r="H13" s="197"/>
      <c r="I13" s="1296" t="str">
        <f>IFERROR(E13/E5,"")</f>
        <v/>
      </c>
      <c r="J13" s="1296"/>
      <c r="K13" s="271"/>
      <c r="L13" s="182"/>
    </row>
    <row r="14" spans="2:23" s="835" customFormat="1" ht="36.6" customHeight="1" x14ac:dyDescent="0.25">
      <c r="B14" s="181"/>
      <c r="C14" s="270"/>
      <c r="D14" s="1313" t="s">
        <v>1199</v>
      </c>
      <c r="E14" s="1313"/>
      <c r="F14" s="558"/>
      <c r="G14" s="559"/>
      <c r="H14" s="197"/>
      <c r="I14" s="560"/>
      <c r="J14" s="561"/>
      <c r="K14" s="271"/>
      <c r="L14" s="182"/>
    </row>
    <row r="15" spans="2:23" ht="23.45" customHeight="1" x14ac:dyDescent="0.25">
      <c r="B15" s="181"/>
      <c r="C15" s="270"/>
      <c r="D15" s="555" t="s">
        <v>1313</v>
      </c>
      <c r="E15" s="556">
        <f>'Variable Costs (Back)'!$AF$25</f>
        <v>0</v>
      </c>
      <c r="F15" s="197"/>
      <c r="G15" s="557">
        <f>IFERROR(E15/'PIM Model'!$H$31,0)</f>
        <v>0</v>
      </c>
      <c r="H15" s="197"/>
      <c r="I15" s="1296" t="str">
        <f>IFERROR($E15/$E$5,"")</f>
        <v/>
      </c>
      <c r="J15" s="1296"/>
      <c r="K15" s="271"/>
      <c r="L15" s="182"/>
    </row>
    <row r="16" spans="2:23" ht="26.45" customHeight="1" x14ac:dyDescent="0.25">
      <c r="B16" s="181"/>
      <c r="C16" s="270"/>
      <c r="D16" s="1308" t="s">
        <v>704</v>
      </c>
      <c r="E16" s="1308"/>
      <c r="F16" s="558"/>
      <c r="G16" s="559"/>
      <c r="H16" s="197"/>
      <c r="I16" s="560"/>
      <c r="J16" s="561"/>
      <c r="K16" s="271"/>
      <c r="L16" s="182"/>
    </row>
    <row r="17" spans="2:12" ht="23.45" customHeight="1" x14ac:dyDescent="0.25">
      <c r="B17" s="181"/>
      <c r="C17" s="270"/>
      <c r="D17" s="555" t="s">
        <v>1315</v>
      </c>
      <c r="E17" s="556">
        <f>'Variable Costs (Back)'!$AD$25</f>
        <v>0</v>
      </c>
      <c r="F17" s="197"/>
      <c r="G17" s="557">
        <f>IFERROR(E17/'PIM Model'!$H$31,0)</f>
        <v>0</v>
      </c>
      <c r="H17" s="197"/>
      <c r="I17" s="1296" t="str">
        <f>IFERROR($E17/$E$5,"")</f>
        <v/>
      </c>
      <c r="J17" s="1296"/>
      <c r="K17" s="271"/>
      <c r="L17" s="182"/>
    </row>
    <row r="18" spans="2:12" ht="25.9" customHeight="1" x14ac:dyDescent="0.25">
      <c r="B18" s="181"/>
      <c r="C18" s="270"/>
      <c r="D18" s="1308" t="s">
        <v>703</v>
      </c>
      <c r="E18" s="1314"/>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97" t="str">
        <f>IFERROR($E19/$E$5,"")</f>
        <v/>
      </c>
      <c r="J19" s="1297"/>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970</v>
      </c>
      <c r="E23" s="570">
        <f>IFERROR('EB_CM (Back)'!$G$47,0)</f>
        <v>0</v>
      </c>
      <c r="F23" s="197"/>
      <c r="G23" s="571">
        <f>IFERROR(E23/'PIM Model'!$H$31,0)</f>
        <v>0</v>
      </c>
      <c r="H23" s="197"/>
      <c r="I23" s="1296" t="str">
        <f>IFERROR($E23/$E$5,"")</f>
        <v/>
      </c>
      <c r="J23" s="1296"/>
      <c r="K23" s="271"/>
      <c r="L23" s="182"/>
    </row>
    <row r="24" spans="2:12" ht="16.149999999999999" customHeight="1" x14ac:dyDescent="0.25">
      <c r="B24" s="181"/>
      <c r="C24" s="270"/>
      <c r="D24" s="1299" t="s">
        <v>953</v>
      </c>
      <c r="E24" s="1299"/>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1310</v>
      </c>
      <c r="F28" s="197"/>
      <c r="G28" s="695" t="s">
        <v>1311</v>
      </c>
      <c r="H28" s="197"/>
      <c r="I28" s="1298" t="s">
        <v>906</v>
      </c>
      <c r="J28" s="1298"/>
      <c r="K28" s="271"/>
      <c r="L28" s="182"/>
    </row>
    <row r="29" spans="2:12" ht="25.15" customHeight="1" x14ac:dyDescent="0.25">
      <c r="B29" s="181"/>
      <c r="C29" s="270"/>
      <c r="D29" s="569" t="s">
        <v>224</v>
      </c>
      <c r="E29" s="570">
        <f>IFERROR('EB_CM (Back)'!$F$47,0)</f>
        <v>0</v>
      </c>
      <c r="F29" s="197"/>
      <c r="G29" s="557">
        <f>IFERROR(E29/'PIM Model'!$H$31,0)</f>
        <v>0</v>
      </c>
      <c r="H29" s="197"/>
      <c r="I29" s="1296" t="str">
        <f>IFERROR($E29/$E$5,"")</f>
        <v/>
      </c>
      <c r="J29" s="1296"/>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6" t="str">
        <f>IFERROR($E30/$E$5,"")</f>
        <v/>
      </c>
      <c r="J30" s="1296"/>
      <c r="K30" s="271"/>
      <c r="L30" s="182"/>
    </row>
    <row r="31" spans="2:12" ht="27.6" customHeight="1" x14ac:dyDescent="0.25">
      <c r="B31" s="181"/>
      <c r="C31" s="575"/>
      <c r="D31" s="1308" t="s">
        <v>233</v>
      </c>
      <c r="E31" s="1308"/>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1407</v>
      </c>
      <c r="E34" s="1062" t="s">
        <v>269</v>
      </c>
      <c r="F34" s="197"/>
      <c r="G34" s="1062" t="s">
        <v>1311</v>
      </c>
      <c r="H34" s="197"/>
      <c r="I34" s="1063"/>
      <c r="J34" s="1063"/>
      <c r="K34" s="271"/>
      <c r="L34" s="182"/>
    </row>
    <row r="35" spans="2:12" s="1061" customFormat="1" ht="23.25" customHeight="1" x14ac:dyDescent="0.25">
      <c r="B35" s="181"/>
      <c r="C35" s="270"/>
      <c r="D35" s="569" t="s">
        <v>1408</v>
      </c>
      <c r="E35" s="1073">
        <f>IFERROR('Customer Inputs'!BA16,0)</f>
        <v>0</v>
      </c>
      <c r="F35" s="197"/>
      <c r="G35" s="1063"/>
      <c r="H35" s="197"/>
      <c r="I35" s="1063"/>
      <c r="J35" s="1063"/>
      <c r="K35" s="271"/>
      <c r="L35" s="182"/>
    </row>
    <row r="36" spans="2:12" s="1061" customFormat="1" ht="22.5" customHeight="1" x14ac:dyDescent="0.25">
      <c r="B36" s="181"/>
      <c r="C36" s="270"/>
      <c r="D36" s="569" t="s">
        <v>1409</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08"/>
      <c r="E37" s="1308"/>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2JlRU5Q//51PJUeXKOSfjeljkASBuivDN8NocpT9qJQvNnWEDI9gRybWiphDsBKhRoAEqV0Hi4gy6V65J3rdFg==" saltValue="9clxfoGeTGz76E6dnB6Mu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4" t="s">
        <v>1298</v>
      </c>
      <c r="D4" s="1305"/>
      <c r="E4" s="697">
        <f>Welcome!$D$8</f>
        <v>0</v>
      </c>
      <c r="F4" s="142"/>
      <c r="G4" s="512" t="s">
        <v>110</v>
      </c>
      <c r="H4" s="1255" t="str">
        <f>IFERROR(VLOOKUP($H$5,'Market Geography'!$D:$G,4,FALSE),"Select Market")</f>
        <v>Select Market</v>
      </c>
      <c r="I4" s="1256"/>
      <c r="J4" s="1257"/>
      <c r="K4" s="1053"/>
      <c r="L4" s="1053"/>
      <c r="M4" s="1053"/>
      <c r="N4" s="1053"/>
      <c r="O4" s="1053"/>
      <c r="P4" s="884"/>
      <c r="Q4" s="886"/>
      <c r="R4" s="791"/>
      <c r="S4" s="581"/>
    </row>
    <row r="5" spans="1:31" x14ac:dyDescent="0.25">
      <c r="B5" s="181"/>
      <c r="C5" s="1306" t="s">
        <v>1299</v>
      </c>
      <c r="D5" s="1307"/>
      <c r="E5" s="389" t="str">
        <f>Welcome!$D$12</f>
        <v>Select Term</v>
      </c>
      <c r="F5" s="142"/>
      <c r="G5" s="513" t="s">
        <v>901</v>
      </c>
      <c r="H5" s="1252">
        <f>Welcome!$D$4</f>
        <v>0</v>
      </c>
      <c r="I5" s="1253"/>
      <c r="J5" s="1254"/>
      <c r="K5" s="1053"/>
      <c r="L5" s="1053"/>
      <c r="M5" s="1053"/>
      <c r="N5" s="1053"/>
      <c r="O5" s="1053"/>
      <c r="P5" s="884"/>
      <c r="Q5" s="886"/>
      <c r="R5" s="791"/>
      <c r="S5" s="581"/>
    </row>
    <row r="6" spans="1:31" x14ac:dyDescent="0.25">
      <c r="B6" s="181"/>
      <c r="C6" s="1306" t="s">
        <v>1306</v>
      </c>
      <c r="D6" s="1307"/>
      <c r="E6" s="390">
        <f>IFERROR('PIM Model'!$G$31,0)</f>
        <v>0</v>
      </c>
      <c r="F6" s="423"/>
      <c r="G6" s="513" t="s">
        <v>107</v>
      </c>
      <c r="H6" s="1252" t="str">
        <f>'Multi-Customer'!$S$49</f>
        <v>Enter Customer(s)</v>
      </c>
      <c r="I6" s="1253"/>
      <c r="J6" s="1254"/>
      <c r="K6" s="1053"/>
      <c r="L6" s="1053"/>
      <c r="M6" s="1053"/>
      <c r="N6" s="1053"/>
      <c r="O6" s="1053"/>
      <c r="P6" s="884"/>
      <c r="Q6" s="886"/>
      <c r="R6" s="791"/>
      <c r="S6" s="581"/>
    </row>
    <row r="7" spans="1:31" x14ac:dyDescent="0.25">
      <c r="B7" s="181"/>
      <c r="C7" s="1306" t="s">
        <v>1307</v>
      </c>
      <c r="D7" s="1307"/>
      <c r="E7" s="582">
        <f>IFERROR('Variable Costs (Back)'!$K$26,0)</f>
        <v>0</v>
      </c>
      <c r="F7" s="180"/>
      <c r="G7" s="513" t="s">
        <v>1316</v>
      </c>
      <c r="H7" s="1252" t="str">
        <f>'Multi-Customer'!$AH$40</f>
        <v>Enter Customer(s)</v>
      </c>
      <c r="I7" s="1253"/>
      <c r="J7" s="1254"/>
      <c r="K7" s="1053"/>
      <c r="L7" s="1053"/>
      <c r="M7" s="1053"/>
      <c r="N7" s="1053"/>
      <c r="O7" s="1053"/>
      <c r="P7" s="884"/>
      <c r="Q7" s="886"/>
      <c r="R7" s="791"/>
      <c r="S7" s="581"/>
    </row>
    <row r="8" spans="1:31" ht="15.75" thickBot="1" x14ac:dyDescent="0.3">
      <c r="B8" s="181"/>
      <c r="C8" s="1311" t="s">
        <v>1308</v>
      </c>
      <c r="D8" s="1312"/>
      <c r="E8" s="421">
        <f>IFERROR('PIM Ranges'!$AU$3,0)</f>
        <v>0</v>
      </c>
      <c r="F8" s="424"/>
      <c r="G8" s="514" t="s">
        <v>1309</v>
      </c>
      <c r="H8" s="1279" t="s">
        <v>207</v>
      </c>
      <c r="I8" s="1280"/>
      <c r="J8" s="1281"/>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1310</v>
      </c>
      <c r="F11" s="35"/>
      <c r="G11" s="203" t="s">
        <v>1311</v>
      </c>
      <c r="H11" s="205"/>
      <c r="I11" s="197"/>
      <c r="J11" s="197"/>
      <c r="K11" s="197"/>
      <c r="L11" s="197"/>
      <c r="M11" s="197"/>
      <c r="N11" s="197"/>
      <c r="O11" s="199"/>
      <c r="P11"/>
      <c r="Q11" s="1320" t="s">
        <v>1249</v>
      </c>
      <c r="R11" s="1320"/>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1310</v>
      </c>
      <c r="F15" s="35"/>
      <c r="G15" s="127" t="s">
        <v>1311</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1073</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1398</v>
      </c>
      <c r="E17" s="12">
        <f>IFERROR('EB_CM (Back)'!$G$47*-1,0)-E16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1310</v>
      </c>
      <c r="F19" s="35"/>
      <c r="G19" s="203" t="s">
        <v>1311</v>
      </c>
      <c r="H19" s="591"/>
      <c r="I19" s="203" t="s">
        <v>906</v>
      </c>
      <c r="J19" s="593"/>
      <c r="K19" s="587"/>
      <c r="L19" s="587"/>
      <c r="M19" s="587"/>
      <c r="N19" s="593"/>
      <c r="O19" s="592"/>
      <c r="P19"/>
      <c r="Q19" s="882"/>
      <c r="R19" s="879"/>
      <c r="S19" s="182"/>
      <c r="T19" s="5"/>
    </row>
    <row r="20" spans="2:20" ht="21.6" customHeight="1" x14ac:dyDescent="0.25">
      <c r="B20" s="181"/>
      <c r="C20" s="270"/>
      <c r="D20" s="8" t="s">
        <v>973</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15" t="s">
        <v>1249</v>
      </c>
      <c r="R21" s="1316"/>
      <c r="S21" s="182"/>
      <c r="T21" s="5"/>
    </row>
    <row r="22" spans="2:20" ht="24" customHeight="1" x14ac:dyDescent="0.25">
      <c r="B22" s="181"/>
      <c r="C22" s="270"/>
      <c r="D22" s="16" t="s">
        <v>1399</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1400</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1401</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1197</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1313</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1315</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9" t="s">
        <v>233</v>
      </c>
      <c r="E32" s="1319"/>
      <c r="F32" s="1319"/>
      <c r="G32" s="1319"/>
      <c r="H32" s="600"/>
      <c r="I32" s="1318" t="str">
        <f>IF($I$33=0,IF($N$33=0,"","Customer EB % Missing"),IF($N$33=0,"Customer Drops/Wk Missing","Customer EB % &amp; Drops/Wk Missing"))</f>
        <v>Customer Drops/Wk Missing</v>
      </c>
      <c r="J32" s="1318"/>
      <c r="K32" s="1318"/>
      <c r="L32" s="1318"/>
      <c r="M32" s="1318"/>
      <c r="N32" s="1318"/>
      <c r="O32" s="199"/>
      <c r="P32"/>
      <c r="Q32" s="882"/>
      <c r="R32" s="879"/>
      <c r="S32" s="182"/>
      <c r="T32" s="5"/>
    </row>
    <row r="33" spans="2:20" ht="36.75" customHeight="1" x14ac:dyDescent="0.25">
      <c r="B33" s="181"/>
      <c r="C33" s="270"/>
      <c r="D33" s="7"/>
      <c r="E33" s="1054" t="s">
        <v>1310</v>
      </c>
      <c r="F33" s="591"/>
      <c r="G33" s="1055" t="s">
        <v>1311</v>
      </c>
      <c r="H33" s="766" t="e">
        <f>I33+N33</f>
        <v>#VALUE!</v>
      </c>
      <c r="I33" s="1055" t="s">
        <v>906</v>
      </c>
      <c r="J33" s="197"/>
      <c r="K33" s="1055" t="s">
        <v>1403</v>
      </c>
      <c r="L33" s="197"/>
      <c r="M33" s="1056" t="s">
        <v>1404</v>
      </c>
      <c r="N33" s="561">
        <f>'Customer Inputs'!$AA$16</f>
        <v>0</v>
      </c>
      <c r="O33" s="199"/>
      <c r="P33"/>
      <c r="Q33" s="1075"/>
      <c r="R33" s="1074"/>
      <c r="S33" s="182"/>
      <c r="T33" s="5"/>
    </row>
    <row r="34" spans="2:20" ht="24" customHeight="1" x14ac:dyDescent="0.25">
      <c r="B34" s="181"/>
      <c r="C34" s="270"/>
      <c r="D34" s="8" t="s">
        <v>1402</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1405</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15" t="s">
        <v>1249</v>
      </c>
      <c r="R37" s="1316"/>
      <c r="S37" s="182"/>
    </row>
    <row r="38" spans="2:20" s="1053" customFormat="1" ht="24" customHeight="1" x14ac:dyDescent="0.25">
      <c r="B38" s="181"/>
      <c r="C38" s="270"/>
      <c r="D38" s="8" t="s">
        <v>1406</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17"/>
      <c r="C41" s="1317"/>
      <c r="D41" s="1317"/>
      <c r="N41" s="1285"/>
      <c r="O41" s="1285"/>
      <c r="P41" s="1285"/>
      <c r="Q41" s="1285"/>
      <c r="R41" s="1285"/>
      <c r="S41" s="1285"/>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23" t="s">
        <v>667</v>
      </c>
      <c r="D2" s="1324"/>
      <c r="E2" s="1324"/>
      <c r="F2" s="1324"/>
      <c r="G2" s="1324"/>
      <c r="H2" s="1324"/>
      <c r="I2" s="1324"/>
      <c r="J2" s="1324"/>
      <c r="K2" s="1324"/>
      <c r="L2" s="1324"/>
      <c r="M2" s="1324"/>
      <c r="N2" s="1324"/>
      <c r="O2" s="1324"/>
      <c r="P2" s="1325"/>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26"/>
      <c r="G4" s="1326"/>
      <c r="P4" s="658"/>
      <c r="T4" s="1" t="s">
        <v>490</v>
      </c>
    </row>
    <row r="5" spans="3:23" x14ac:dyDescent="0.25">
      <c r="C5" s="140"/>
      <c r="E5" s="435"/>
      <c r="P5" s="141"/>
    </row>
    <row r="6" spans="3:23" x14ac:dyDescent="0.25">
      <c r="C6" s="140"/>
      <c r="E6" s="139" t="s">
        <v>1317</v>
      </c>
      <c r="F6" s="1326"/>
      <c r="G6" s="1326"/>
      <c r="P6" s="141"/>
    </row>
    <row r="7" spans="3:23" x14ac:dyDescent="0.25">
      <c r="C7" s="140"/>
      <c r="E7" s="139"/>
      <c r="P7" s="141"/>
    </row>
    <row r="8" spans="3:23" x14ac:dyDescent="0.25">
      <c r="C8" s="140"/>
      <c r="E8" s="139" t="s">
        <v>1318</v>
      </c>
      <c r="F8" s="1326"/>
      <c r="G8" s="1326"/>
      <c r="P8" s="141"/>
    </row>
    <row r="9" spans="3:23" x14ac:dyDescent="0.25">
      <c r="C9" s="140"/>
      <c r="E9" s="139" t="s">
        <v>1319</v>
      </c>
      <c r="F9" s="1326"/>
      <c r="G9" s="1326"/>
      <c r="P9" s="141"/>
    </row>
    <row r="10" spans="3:23" x14ac:dyDescent="0.25">
      <c r="C10" s="140"/>
      <c r="E10" s="139" t="s">
        <v>897</v>
      </c>
      <c r="F10" s="1326"/>
      <c r="G10" s="1326"/>
      <c r="P10" s="141"/>
    </row>
    <row r="11" spans="3:23" x14ac:dyDescent="0.25">
      <c r="C11" s="140"/>
      <c r="E11" s="139" t="s">
        <v>850</v>
      </c>
      <c r="F11" s="1326"/>
      <c r="G11" s="1326"/>
      <c r="P11" s="141"/>
    </row>
    <row r="12" spans="3:23" x14ac:dyDescent="0.25">
      <c r="C12" s="140"/>
      <c r="E12" s="139" t="s">
        <v>1320</v>
      </c>
      <c r="F12" s="1326"/>
      <c r="G12" s="1326"/>
      <c r="P12" s="141"/>
    </row>
    <row r="13" spans="3:23" x14ac:dyDescent="0.25">
      <c r="C13" s="140"/>
      <c r="E13" s="139"/>
      <c r="F13" s="1328"/>
      <c r="G13" s="1328"/>
      <c r="P13" s="141"/>
    </row>
    <row r="14" spans="3:23" x14ac:dyDescent="0.25">
      <c r="C14" s="140"/>
      <c r="E14" s="139" t="s">
        <v>1321</v>
      </c>
      <c r="F14" s="1327"/>
      <c r="G14" s="1327"/>
      <c r="H14" s="671"/>
      <c r="P14" s="141"/>
      <c r="Q14" s="845">
        <f>WEEKDAY(F14,2)</f>
        <v>6</v>
      </c>
    </row>
    <row r="15" spans="3:23" s="1012" customFormat="1" ht="13.5" customHeight="1" x14ac:dyDescent="0.25">
      <c r="C15" s="140"/>
      <c r="F15" s="55" t="s">
        <v>1032</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1322</v>
      </c>
      <c r="F17" s="1329" t="str">
        <f>IF(F14="","",F14+(363*IF(OR(Welcome!D12="Select Term",Welcome!D12=""),0,Welcome!D12))+6)</f>
        <v/>
      </c>
      <c r="G17" s="1329"/>
      <c r="O17" s="1074"/>
      <c r="P17" s="141"/>
    </row>
    <row r="18" spans="1:17" ht="13.5" customHeight="1" x14ac:dyDescent="0.25">
      <c r="C18" s="140"/>
      <c r="P18" s="141"/>
    </row>
    <row r="19" spans="1:17" s="839" customFormat="1" ht="14.25" customHeight="1" x14ac:dyDescent="0.25">
      <c r="C19" s="140"/>
      <c r="E19" s="139" t="s">
        <v>1323</v>
      </c>
      <c r="F19" s="1321">
        <f>Welcome!D8</f>
        <v>0</v>
      </c>
      <c r="G19" s="1322"/>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1152</v>
      </c>
      <c r="P21" s="141"/>
    </row>
    <row r="22" spans="1:17" ht="44.25" customHeight="1" thickBot="1" x14ac:dyDescent="0.3">
      <c r="C22" s="140"/>
      <c r="E22" s="1013" t="s">
        <v>1324</v>
      </c>
      <c r="F22" s="436" t="s">
        <v>814</v>
      </c>
      <c r="G22" s="436" t="s">
        <v>815</v>
      </c>
      <c r="H22" s="436" t="s">
        <v>820</v>
      </c>
      <c r="I22" s="436" t="s">
        <v>821</v>
      </c>
      <c r="J22" s="436" t="s">
        <v>205</v>
      </c>
      <c r="K22" s="436" t="s">
        <v>813</v>
      </c>
      <c r="L22" s="436" t="s">
        <v>1325</v>
      </c>
      <c r="M22" s="1013" t="s">
        <v>1326</v>
      </c>
      <c r="N22" s="1013" t="s">
        <v>1327</v>
      </c>
      <c r="O22" s="1013" t="s">
        <v>1446</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30" t="s">
        <v>1503</v>
      </c>
      <c r="B1" s="1330"/>
      <c r="C1" s="1330"/>
      <c r="D1" s="1330"/>
      <c r="E1" s="1330"/>
      <c r="F1" s="1330" t="s">
        <v>1504</v>
      </c>
      <c r="G1" s="1330"/>
      <c r="H1" s="1330"/>
      <c r="I1" s="1330" t="s">
        <v>1505</v>
      </c>
      <c r="J1" s="1330"/>
      <c r="K1" s="1330"/>
      <c r="L1" s="1330" t="s">
        <v>1506</v>
      </c>
      <c r="M1" s="1330"/>
      <c r="N1" s="1330"/>
    </row>
    <row r="2" spans="1:14" x14ac:dyDescent="0.25">
      <c r="A2" s="1175" t="s">
        <v>1507</v>
      </c>
      <c r="B2" s="1175" t="s">
        <v>1508</v>
      </c>
      <c r="C2" s="1175" t="s">
        <v>1509</v>
      </c>
      <c r="D2" s="1175" t="s">
        <v>131</v>
      </c>
      <c r="E2" s="1175" t="s">
        <v>1510</v>
      </c>
      <c r="F2" s="1175" t="s">
        <v>1507</v>
      </c>
      <c r="G2" s="1175" t="s">
        <v>1511</v>
      </c>
      <c r="H2" s="1175" t="s">
        <v>1510</v>
      </c>
      <c r="I2" s="1176" t="s">
        <v>1507</v>
      </c>
      <c r="J2" s="1176" t="s">
        <v>1511</v>
      </c>
      <c r="K2" s="1176" t="s">
        <v>1510</v>
      </c>
      <c r="L2" s="1176" t="s">
        <v>1507</v>
      </c>
      <c r="M2" s="1176" t="s">
        <v>1511</v>
      </c>
      <c r="N2" s="1176" t="s">
        <v>1510</v>
      </c>
    </row>
    <row r="3" spans="1:14" x14ac:dyDescent="0.25">
      <c r="A3" s="1177" t="s">
        <v>381</v>
      </c>
      <c r="B3" s="1177" t="s">
        <v>1512</v>
      </c>
      <c r="C3" s="1177" t="s">
        <v>1513</v>
      </c>
      <c r="D3" s="1177" t="s">
        <v>1514</v>
      </c>
      <c r="E3" s="1177" t="s">
        <v>1515</v>
      </c>
      <c r="F3" s="1177" t="s">
        <v>1516</v>
      </c>
      <c r="G3" s="1177" t="s">
        <v>1517</v>
      </c>
      <c r="H3" s="1177" t="s">
        <v>1518</v>
      </c>
      <c r="I3" s="1182"/>
      <c r="J3" s="1182"/>
      <c r="K3" s="1182"/>
      <c r="L3" s="1182"/>
      <c r="M3" s="1182"/>
      <c r="N3" s="1182"/>
    </row>
    <row r="4" spans="1:14" x14ac:dyDescent="0.25">
      <c r="A4" s="1177" t="s">
        <v>1346</v>
      </c>
      <c r="B4" s="1177" t="s">
        <v>1062</v>
      </c>
      <c r="C4" s="1177" t="s">
        <v>1063</v>
      </c>
      <c r="D4" s="1177" t="s">
        <v>1514</v>
      </c>
      <c r="E4" s="1177" t="s">
        <v>1515</v>
      </c>
      <c r="F4" s="1178" t="s">
        <v>1346</v>
      </c>
      <c r="G4" s="1177" t="s">
        <v>1519</v>
      </c>
      <c r="H4" s="1177" t="s">
        <v>1518</v>
      </c>
      <c r="I4" s="1182"/>
      <c r="J4" s="1182"/>
      <c r="K4" s="1182"/>
      <c r="L4" s="1182"/>
      <c r="M4" s="1182"/>
      <c r="N4" s="1182"/>
    </row>
    <row r="5" spans="1:14" x14ac:dyDescent="0.25">
      <c r="A5" s="1179" t="s">
        <v>1324</v>
      </c>
      <c r="B5" s="1177" t="s">
        <v>1520</v>
      </c>
      <c r="C5" s="1177" t="s">
        <v>1521</v>
      </c>
      <c r="D5" s="1177" t="s">
        <v>1522</v>
      </c>
      <c r="E5" s="1177" t="s">
        <v>1523</v>
      </c>
      <c r="F5" s="1179" t="s">
        <v>1324</v>
      </c>
      <c r="G5" s="1177" t="s">
        <v>1521</v>
      </c>
      <c r="H5" s="1177" t="s">
        <v>1524</v>
      </c>
      <c r="I5" s="1182"/>
      <c r="J5" s="1182"/>
      <c r="K5" s="1182"/>
      <c r="L5" s="1182"/>
      <c r="M5" s="1182"/>
      <c r="N5" s="1182"/>
    </row>
    <row r="6" spans="1:14" x14ac:dyDescent="0.25">
      <c r="A6" s="1179" t="s">
        <v>813</v>
      </c>
      <c r="B6" s="1177" t="s">
        <v>1525</v>
      </c>
      <c r="C6" s="1177" t="s">
        <v>1526</v>
      </c>
      <c r="D6" s="1177" t="s">
        <v>1522</v>
      </c>
      <c r="E6" s="1177" t="s">
        <v>1523</v>
      </c>
      <c r="F6" s="1179" t="s">
        <v>813</v>
      </c>
      <c r="G6" s="1177" t="s">
        <v>1527</v>
      </c>
      <c r="H6" s="1177" t="s">
        <v>1524</v>
      </c>
      <c r="I6" s="1182"/>
      <c r="J6" s="1182"/>
      <c r="K6" s="1182"/>
      <c r="L6" s="1182"/>
      <c r="M6" s="1182"/>
      <c r="N6" s="1182"/>
    </row>
    <row r="7" spans="1:14" x14ac:dyDescent="0.25">
      <c r="A7" s="1179" t="s">
        <v>1325</v>
      </c>
      <c r="B7" s="1177" t="s">
        <v>1528</v>
      </c>
      <c r="C7" s="1177" t="s">
        <v>134</v>
      </c>
      <c r="D7" s="1177" t="s">
        <v>1522</v>
      </c>
      <c r="E7" s="1177" t="s">
        <v>1523</v>
      </c>
      <c r="F7" s="1179" t="s">
        <v>1325</v>
      </c>
      <c r="G7" s="1177" t="s">
        <v>1529</v>
      </c>
      <c r="H7" s="1177" t="s">
        <v>1524</v>
      </c>
      <c r="I7" s="1182"/>
      <c r="J7" s="1182"/>
      <c r="K7" s="1182"/>
      <c r="L7" s="1182"/>
      <c r="M7" s="1182"/>
      <c r="N7" s="1182"/>
    </row>
    <row r="8" spans="1:14" x14ac:dyDescent="0.25">
      <c r="A8" s="1179" t="s">
        <v>1326</v>
      </c>
      <c r="B8" s="1177" t="s">
        <v>1530</v>
      </c>
      <c r="C8" s="1177" t="s">
        <v>681</v>
      </c>
      <c r="D8" s="1177" t="s">
        <v>1522</v>
      </c>
      <c r="E8" s="1177" t="s">
        <v>1523</v>
      </c>
      <c r="F8" s="1179" t="s">
        <v>1326</v>
      </c>
      <c r="G8" s="1177" t="s">
        <v>1531</v>
      </c>
      <c r="H8" s="1177" t="s">
        <v>1524</v>
      </c>
      <c r="I8" s="1182"/>
      <c r="J8" s="1182"/>
      <c r="K8" s="1182"/>
      <c r="L8" s="1182"/>
      <c r="M8" s="1182"/>
      <c r="N8" s="1182"/>
    </row>
    <row r="9" spans="1:14" x14ac:dyDescent="0.25">
      <c r="A9" s="1179" t="s">
        <v>1413</v>
      </c>
      <c r="B9" s="1177" t="s">
        <v>1512</v>
      </c>
      <c r="C9" s="1177" t="s">
        <v>1513</v>
      </c>
      <c r="D9" s="1177" t="s">
        <v>1514</v>
      </c>
      <c r="E9" s="1177" t="s">
        <v>1428</v>
      </c>
      <c r="F9" s="1179" t="s">
        <v>1413</v>
      </c>
      <c r="G9" s="1177" t="s">
        <v>1532</v>
      </c>
      <c r="H9" s="1177" t="s">
        <v>1524</v>
      </c>
      <c r="I9" s="1182"/>
      <c r="J9" s="1182"/>
      <c r="K9" s="1182"/>
      <c r="L9" s="1182"/>
      <c r="M9" s="1182"/>
      <c r="N9" s="1182"/>
    </row>
    <row r="10" spans="1:14" x14ac:dyDescent="0.25">
      <c r="A10" s="1179" t="s">
        <v>1446</v>
      </c>
      <c r="B10" s="1177" t="s">
        <v>1533</v>
      </c>
      <c r="C10" s="1177" t="s">
        <v>1534</v>
      </c>
      <c r="D10" s="1177" t="s">
        <v>1522</v>
      </c>
      <c r="E10" s="1177" t="s">
        <v>1523</v>
      </c>
      <c r="F10" s="1179" t="s">
        <v>1446</v>
      </c>
      <c r="G10" s="1177" t="s">
        <v>1535</v>
      </c>
      <c r="H10" s="1177" t="s">
        <v>1524</v>
      </c>
      <c r="I10" s="1182"/>
      <c r="J10" s="1182"/>
      <c r="K10" s="1182"/>
      <c r="L10" s="1182"/>
      <c r="M10" s="1182"/>
      <c r="N10" s="1182"/>
    </row>
    <row r="11" spans="1:14" x14ac:dyDescent="0.25">
      <c r="A11" s="1179" t="s">
        <v>1536</v>
      </c>
      <c r="B11" s="1177" t="s">
        <v>1537</v>
      </c>
      <c r="C11" s="1177" t="s">
        <v>245</v>
      </c>
      <c r="D11" s="1177" t="s">
        <v>1522</v>
      </c>
      <c r="E11" s="1177" t="s">
        <v>1523</v>
      </c>
      <c r="F11" s="1179" t="s">
        <v>1536</v>
      </c>
      <c r="G11" s="1177" t="s">
        <v>1526</v>
      </c>
      <c r="H11" s="1177" t="s">
        <v>1524</v>
      </c>
      <c r="I11" s="1182"/>
      <c r="J11" s="1182"/>
      <c r="K11" s="1182"/>
      <c r="L11" s="1182"/>
      <c r="M11" s="1182"/>
      <c r="N11" s="1182"/>
    </row>
    <row r="12" spans="1:14" ht="30" x14ac:dyDescent="0.25">
      <c r="A12" s="1180" t="s">
        <v>1360</v>
      </c>
      <c r="B12" s="1180" t="s">
        <v>1538</v>
      </c>
      <c r="C12" s="1180" t="s">
        <v>1539</v>
      </c>
      <c r="D12" s="1180" t="s">
        <v>1514</v>
      </c>
      <c r="E12" s="1180" t="s">
        <v>1515</v>
      </c>
      <c r="F12" s="1180" t="s">
        <v>1360</v>
      </c>
      <c r="G12" s="1180" t="s">
        <v>1517</v>
      </c>
      <c r="H12" s="1180" t="s">
        <v>1540</v>
      </c>
      <c r="I12" s="1182"/>
      <c r="J12" s="1182"/>
      <c r="K12" s="1182"/>
      <c r="L12" s="1182"/>
      <c r="M12" s="1182"/>
      <c r="N12" s="1182"/>
    </row>
    <row r="13" spans="1:14" x14ac:dyDescent="0.25">
      <c r="A13" s="1180" t="s">
        <v>1334</v>
      </c>
      <c r="B13" s="1180" t="s">
        <v>1541</v>
      </c>
      <c r="C13" s="1180" t="s">
        <v>1542</v>
      </c>
      <c r="D13" s="1180" t="s">
        <v>1514</v>
      </c>
      <c r="E13" s="1180" t="s">
        <v>129</v>
      </c>
      <c r="F13" s="1180" t="s">
        <v>1543</v>
      </c>
      <c r="G13" s="1180" t="s">
        <v>1519</v>
      </c>
      <c r="H13" s="1180" t="s">
        <v>1540</v>
      </c>
      <c r="I13" s="1182"/>
      <c r="J13" s="1182"/>
      <c r="K13" s="1182"/>
      <c r="L13" s="1182"/>
      <c r="M13" s="1182"/>
      <c r="N13" s="1182"/>
    </row>
    <row r="14" spans="1:14" x14ac:dyDescent="0.25">
      <c r="A14" s="1180" t="s">
        <v>1350</v>
      </c>
      <c r="B14" s="1180" t="s">
        <v>1544</v>
      </c>
      <c r="C14" s="1180" t="s">
        <v>1545</v>
      </c>
      <c r="D14" s="1180" t="s">
        <v>1514</v>
      </c>
      <c r="E14" s="1180" t="s">
        <v>1515</v>
      </c>
      <c r="F14" s="1180" t="s">
        <v>1350</v>
      </c>
      <c r="G14" s="1180" t="s">
        <v>1546</v>
      </c>
      <c r="H14" s="1180" t="s">
        <v>1540</v>
      </c>
      <c r="I14" s="1182"/>
      <c r="J14" s="1182"/>
      <c r="K14" s="1182"/>
      <c r="L14" s="1182"/>
      <c r="M14" s="1182"/>
      <c r="N14" s="1182"/>
    </row>
    <row r="15" spans="1:14" x14ac:dyDescent="0.25">
      <c r="A15" s="1180" t="s">
        <v>1351</v>
      </c>
      <c r="B15" s="1180" t="s">
        <v>1547</v>
      </c>
      <c r="C15" s="1180" t="s">
        <v>1548</v>
      </c>
      <c r="D15" s="1180" t="s">
        <v>1514</v>
      </c>
      <c r="E15" s="1180" t="s">
        <v>1515</v>
      </c>
      <c r="F15" s="1180" t="s">
        <v>1351</v>
      </c>
      <c r="G15" s="1181" t="s">
        <v>680</v>
      </c>
      <c r="H15" s="1180" t="s">
        <v>1540</v>
      </c>
      <c r="I15" s="1182"/>
      <c r="J15" s="1182"/>
      <c r="K15" s="1182"/>
      <c r="L15" s="1182"/>
      <c r="M15" s="1182"/>
      <c r="N15" s="1182"/>
    </row>
    <row r="16" spans="1:14" x14ac:dyDescent="0.25">
      <c r="A16" s="1180" t="s">
        <v>1352</v>
      </c>
      <c r="B16" s="1180" t="s">
        <v>1549</v>
      </c>
      <c r="C16" s="1180" t="s">
        <v>1550</v>
      </c>
      <c r="D16" s="1180" t="s">
        <v>1514</v>
      </c>
      <c r="E16" s="1180" t="s">
        <v>1515</v>
      </c>
      <c r="F16" s="1180" t="s">
        <v>1352</v>
      </c>
      <c r="G16" s="1180" t="s">
        <v>1521</v>
      </c>
      <c r="H16" s="1180" t="s">
        <v>1540</v>
      </c>
      <c r="I16" s="1182"/>
      <c r="J16" s="1182"/>
      <c r="K16" s="1182"/>
      <c r="L16" s="1182"/>
      <c r="M16" s="1182"/>
      <c r="N16" s="1182"/>
    </row>
    <row r="17" spans="1:14" x14ac:dyDescent="0.25">
      <c r="A17" s="1180" t="s">
        <v>1332</v>
      </c>
      <c r="B17" s="1180" t="s">
        <v>1551</v>
      </c>
      <c r="C17" s="1180" t="s">
        <v>1552</v>
      </c>
      <c r="D17" s="1180" t="s">
        <v>1514</v>
      </c>
      <c r="E17" s="1180" t="s">
        <v>129</v>
      </c>
      <c r="F17" s="1180" t="s">
        <v>1332</v>
      </c>
      <c r="G17" s="1180" t="s">
        <v>1527</v>
      </c>
      <c r="H17" s="1180" t="s">
        <v>1540</v>
      </c>
      <c r="I17" s="1182"/>
      <c r="J17" s="1182"/>
      <c r="K17" s="1182"/>
      <c r="L17" s="1182"/>
      <c r="M17" s="1182"/>
      <c r="N17" s="1182"/>
    </row>
    <row r="18" spans="1:14" ht="30" x14ac:dyDescent="0.25">
      <c r="A18" s="1180" t="s">
        <v>1361</v>
      </c>
      <c r="B18" s="1180" t="s">
        <v>1553</v>
      </c>
      <c r="C18" s="1180" t="s">
        <v>1554</v>
      </c>
      <c r="D18" s="1180" t="s">
        <v>1514</v>
      </c>
      <c r="E18" s="1180" t="s">
        <v>1515</v>
      </c>
      <c r="F18" s="1180" t="s">
        <v>1361</v>
      </c>
      <c r="G18" s="1180" t="s">
        <v>1529</v>
      </c>
      <c r="H18" s="1180" t="s">
        <v>1540</v>
      </c>
      <c r="I18" s="1182"/>
      <c r="J18" s="1182"/>
      <c r="K18" s="1182"/>
      <c r="L18" s="1182"/>
      <c r="M18" s="1182"/>
      <c r="N18" s="1182"/>
    </row>
    <row r="19" spans="1:14" x14ac:dyDescent="0.25">
      <c r="A19" s="1180" t="s">
        <v>1363</v>
      </c>
      <c r="B19" s="1180" t="s">
        <v>1555</v>
      </c>
      <c r="C19" s="1180" t="s">
        <v>1556</v>
      </c>
      <c r="D19" s="1180" t="s">
        <v>1514</v>
      </c>
      <c r="E19" s="1180" t="s">
        <v>1515</v>
      </c>
      <c r="F19" s="1180" t="s">
        <v>1363</v>
      </c>
      <c r="G19" s="1180" t="s">
        <v>1531</v>
      </c>
      <c r="H19" s="1180" t="s">
        <v>1540</v>
      </c>
      <c r="I19" s="1182"/>
      <c r="J19" s="1182"/>
      <c r="K19" s="1182"/>
      <c r="L19" s="1182"/>
      <c r="M19" s="1182"/>
      <c r="N19" s="1182"/>
    </row>
    <row r="20" spans="1:14" x14ac:dyDescent="0.25">
      <c r="A20" s="1180" t="s">
        <v>1364</v>
      </c>
      <c r="B20" s="1180" t="s">
        <v>1557</v>
      </c>
      <c r="C20" s="1180" t="s">
        <v>1558</v>
      </c>
      <c r="D20" s="1180" t="s">
        <v>1514</v>
      </c>
      <c r="E20" s="1180" t="s">
        <v>1515</v>
      </c>
      <c r="F20" s="1180" t="s">
        <v>1364</v>
      </c>
      <c r="G20" s="1180" t="s">
        <v>1532</v>
      </c>
      <c r="H20" s="1180" t="s">
        <v>1540</v>
      </c>
      <c r="I20" s="1182"/>
      <c r="J20" s="1182"/>
      <c r="K20" s="1182"/>
      <c r="L20" s="1182"/>
      <c r="M20" s="1182"/>
      <c r="N20" s="1182"/>
    </row>
    <row r="21" spans="1:14" x14ac:dyDescent="0.25">
      <c r="A21" s="1180" t="s">
        <v>1373</v>
      </c>
      <c r="B21" s="1180" t="s">
        <v>1559</v>
      </c>
      <c r="C21" s="1180" t="s">
        <v>1560</v>
      </c>
      <c r="D21" s="1180" t="s">
        <v>1514</v>
      </c>
      <c r="E21" s="1180" t="s">
        <v>1515</v>
      </c>
      <c r="F21" s="1180" t="s">
        <v>1373</v>
      </c>
      <c r="G21" s="1180" t="s">
        <v>1535</v>
      </c>
      <c r="H21" s="1180" t="s">
        <v>1540</v>
      </c>
      <c r="I21" s="1182"/>
      <c r="J21" s="1182"/>
      <c r="K21" s="1182"/>
      <c r="L21" s="1182"/>
      <c r="M21" s="1182"/>
      <c r="N21" s="1182"/>
    </row>
    <row r="22" spans="1:14" x14ac:dyDescent="0.25">
      <c r="A22" s="1180" t="s">
        <v>1374</v>
      </c>
      <c r="B22" s="1180" t="s">
        <v>1561</v>
      </c>
      <c r="C22" s="1180" t="s">
        <v>1562</v>
      </c>
      <c r="D22" s="1180" t="s">
        <v>1514</v>
      </c>
      <c r="E22" s="1180" t="s">
        <v>1515</v>
      </c>
      <c r="F22" s="1180" t="s">
        <v>1374</v>
      </c>
      <c r="G22" s="1180" t="s">
        <v>1526</v>
      </c>
      <c r="H22" s="1180" t="s">
        <v>1540</v>
      </c>
      <c r="I22" s="1182"/>
      <c r="J22" s="1182"/>
      <c r="K22" s="1182"/>
      <c r="L22" s="1182"/>
      <c r="M22" s="1182"/>
      <c r="N22" s="1182"/>
    </row>
    <row r="23" spans="1:14" x14ac:dyDescent="0.25">
      <c r="A23" s="1180" t="s">
        <v>1563</v>
      </c>
      <c r="B23" s="1180" t="s">
        <v>1564</v>
      </c>
      <c r="C23" s="1180" t="s">
        <v>1565</v>
      </c>
      <c r="D23" s="1180" t="s">
        <v>1514</v>
      </c>
      <c r="E23" s="1180" t="s">
        <v>1515</v>
      </c>
      <c r="F23" s="1180" t="s">
        <v>1563</v>
      </c>
      <c r="G23" s="1180" t="s">
        <v>134</v>
      </c>
      <c r="H23" s="1180" t="s">
        <v>1540</v>
      </c>
      <c r="I23" s="1182"/>
      <c r="J23" s="1182"/>
      <c r="K23" s="1182"/>
      <c r="L23" s="1182"/>
      <c r="M23" s="1182"/>
      <c r="N23" s="1182"/>
    </row>
    <row r="24" spans="1:14" ht="30" x14ac:dyDescent="0.25">
      <c r="A24" s="1180" t="s">
        <v>1566</v>
      </c>
      <c r="B24" s="1180" t="s">
        <v>1567</v>
      </c>
      <c r="C24" s="1180" t="s">
        <v>1568</v>
      </c>
      <c r="D24" s="1180" t="s">
        <v>1514</v>
      </c>
      <c r="E24" s="1180" t="s">
        <v>1515</v>
      </c>
      <c r="F24" s="1180" t="s">
        <v>1569</v>
      </c>
      <c r="G24" s="1180" t="s">
        <v>681</v>
      </c>
      <c r="H24" s="1180" t="s">
        <v>1540</v>
      </c>
      <c r="I24" s="1182"/>
      <c r="J24" s="1182"/>
      <c r="K24" s="1182"/>
      <c r="L24" s="1182"/>
      <c r="M24" s="1182"/>
      <c r="N24" s="1182"/>
    </row>
    <row r="25" spans="1:14" ht="30" x14ac:dyDescent="0.25">
      <c r="A25" s="1180" t="s">
        <v>1378</v>
      </c>
      <c r="B25" s="1180" t="s">
        <v>1570</v>
      </c>
      <c r="C25" s="1180" t="s">
        <v>1570</v>
      </c>
      <c r="D25" s="1180" t="s">
        <v>1514</v>
      </c>
      <c r="E25" s="1180" t="s">
        <v>1515</v>
      </c>
      <c r="F25" s="1180" t="s">
        <v>1378</v>
      </c>
      <c r="G25" s="1180" t="s">
        <v>245</v>
      </c>
      <c r="H25" s="1180" t="s">
        <v>1540</v>
      </c>
      <c r="I25" s="1182"/>
      <c r="J25" s="1182"/>
      <c r="K25" s="1182"/>
      <c r="L25" s="1182"/>
      <c r="M25" s="1182"/>
      <c r="N25" s="1182"/>
    </row>
    <row r="26" spans="1:14" x14ac:dyDescent="0.25">
      <c r="A26" s="1180" t="s">
        <v>1365</v>
      </c>
      <c r="B26" s="1180" t="s">
        <v>1571</v>
      </c>
      <c r="C26" s="1180" t="s">
        <v>1572</v>
      </c>
      <c r="D26" s="1180" t="s">
        <v>1514</v>
      </c>
      <c r="E26" s="1180" t="s">
        <v>1515</v>
      </c>
      <c r="F26" s="1180" t="s">
        <v>1365</v>
      </c>
      <c r="G26" s="1180" t="s">
        <v>1534</v>
      </c>
      <c r="H26" s="1180" t="s">
        <v>1540</v>
      </c>
      <c r="I26" s="1182"/>
      <c r="J26" s="1182"/>
      <c r="K26" s="1182"/>
      <c r="L26" s="1182"/>
      <c r="M26" s="1182"/>
      <c r="N26" s="1182"/>
    </row>
    <row r="27" spans="1:14" x14ac:dyDescent="0.25">
      <c r="A27" s="1180" t="s">
        <v>1379</v>
      </c>
      <c r="B27" s="1180" t="s">
        <v>1573</v>
      </c>
      <c r="C27" s="1180" t="s">
        <v>1574</v>
      </c>
      <c r="D27" s="1180" t="s">
        <v>1514</v>
      </c>
      <c r="E27" s="1180" t="s">
        <v>1515</v>
      </c>
      <c r="F27" s="1180" t="s">
        <v>1379</v>
      </c>
      <c r="G27" s="1180" t="s">
        <v>1575</v>
      </c>
      <c r="H27" s="1180" t="s">
        <v>1540</v>
      </c>
      <c r="I27" s="1182"/>
      <c r="J27" s="1182"/>
      <c r="K27" s="1182"/>
      <c r="L27" s="1182"/>
      <c r="M27" s="1182"/>
      <c r="N27" s="1182"/>
    </row>
    <row r="28" spans="1:14" x14ac:dyDescent="0.25">
      <c r="A28" s="1180" t="s">
        <v>1576</v>
      </c>
      <c r="B28" s="1180" t="s">
        <v>1577</v>
      </c>
      <c r="C28" s="1180" t="s">
        <v>1578</v>
      </c>
      <c r="D28" s="1180" t="s">
        <v>1514</v>
      </c>
      <c r="E28" s="1180" t="s">
        <v>1579</v>
      </c>
      <c r="F28" s="1180" t="s">
        <v>1580</v>
      </c>
      <c r="G28" s="1180" t="s">
        <v>1581</v>
      </c>
      <c r="H28" s="1180" t="s">
        <v>1540</v>
      </c>
      <c r="I28" s="1182"/>
      <c r="J28" s="1182"/>
      <c r="K28" s="1182"/>
      <c r="L28" s="1182"/>
      <c r="M28" s="1182"/>
      <c r="N28" s="1182"/>
    </row>
    <row r="29" spans="1:14" x14ac:dyDescent="0.25">
      <c r="A29" s="1180" t="s">
        <v>248</v>
      </c>
      <c r="B29" s="1180" t="s">
        <v>1582</v>
      </c>
      <c r="C29" s="1180" t="s">
        <v>1583</v>
      </c>
      <c r="D29" s="1180" t="s">
        <v>1514</v>
      </c>
      <c r="E29" s="1180" t="s">
        <v>1579</v>
      </c>
      <c r="F29" s="1180" t="s">
        <v>84</v>
      </c>
      <c r="G29" s="1180" t="s">
        <v>1517</v>
      </c>
      <c r="H29" s="1180" t="s">
        <v>1584</v>
      </c>
      <c r="I29" s="1182"/>
      <c r="J29" s="1182"/>
      <c r="K29" s="1182"/>
      <c r="L29" s="1182"/>
      <c r="M29" s="1182"/>
      <c r="N29" s="1182"/>
    </row>
    <row r="30" spans="1:14" x14ac:dyDescent="0.25">
      <c r="A30" s="1180" t="s">
        <v>269</v>
      </c>
      <c r="B30" s="1180" t="s">
        <v>1585</v>
      </c>
      <c r="C30" s="1180" t="s">
        <v>1586</v>
      </c>
      <c r="D30" s="1180" t="s">
        <v>1514</v>
      </c>
      <c r="E30" s="1180" t="s">
        <v>1579</v>
      </c>
      <c r="F30" s="1180" t="s">
        <v>269</v>
      </c>
      <c r="G30" s="1180" t="s">
        <v>1519</v>
      </c>
      <c r="H30" s="1180" t="s">
        <v>1584</v>
      </c>
      <c r="I30" s="1182"/>
      <c r="J30" s="1182"/>
      <c r="K30" s="1182"/>
      <c r="L30" s="1182"/>
      <c r="M30" s="1182"/>
      <c r="N30" s="1182"/>
    </row>
    <row r="31" spans="1:14" x14ac:dyDescent="0.25">
      <c r="A31" s="1180" t="s">
        <v>675</v>
      </c>
      <c r="B31" s="1180" t="s">
        <v>1587</v>
      </c>
      <c r="C31" s="1180" t="s">
        <v>1588</v>
      </c>
      <c r="D31" s="1180" t="s">
        <v>1514</v>
      </c>
      <c r="E31" s="1180" t="s">
        <v>1579</v>
      </c>
      <c r="F31" s="1180" t="s">
        <v>675</v>
      </c>
      <c r="G31" s="1180" t="s">
        <v>1546</v>
      </c>
      <c r="H31" s="1180" t="s">
        <v>1584</v>
      </c>
      <c r="I31" s="1182"/>
      <c r="J31" s="1182"/>
      <c r="K31" s="1182"/>
      <c r="L31" s="1182"/>
      <c r="M31" s="1182"/>
      <c r="N31" s="1182"/>
    </row>
    <row r="32" spans="1:14" x14ac:dyDescent="0.25">
      <c r="A32" s="1180" t="s">
        <v>1302</v>
      </c>
      <c r="B32" s="1180" t="s">
        <v>1589</v>
      </c>
      <c r="C32" s="1180" t="s">
        <v>1590</v>
      </c>
      <c r="D32" s="1180" t="s">
        <v>1514</v>
      </c>
      <c r="E32" s="1180" t="s">
        <v>1579</v>
      </c>
      <c r="F32" s="1180" t="s">
        <v>1302</v>
      </c>
      <c r="G32" s="1180" t="s">
        <v>680</v>
      </c>
      <c r="H32" s="1180" t="s">
        <v>1584</v>
      </c>
      <c r="I32" s="1182"/>
      <c r="J32" s="1182"/>
      <c r="K32" s="1182"/>
      <c r="L32" s="1182"/>
      <c r="M32" s="1182"/>
      <c r="N32" s="1182"/>
    </row>
    <row r="33" spans="1:14" x14ac:dyDescent="0.25">
      <c r="A33" s="1180" t="s">
        <v>1303</v>
      </c>
      <c r="B33" s="1180" t="s">
        <v>1591</v>
      </c>
      <c r="C33" s="1180" t="s">
        <v>1592</v>
      </c>
      <c r="D33" s="1180" t="s">
        <v>1514</v>
      </c>
      <c r="E33" s="1180" t="s">
        <v>1579</v>
      </c>
      <c r="F33" s="1180" t="s">
        <v>1303</v>
      </c>
      <c r="G33" s="1180" t="s">
        <v>1521</v>
      </c>
      <c r="H33" s="1180" t="s">
        <v>1584</v>
      </c>
      <c r="I33" s="1182"/>
      <c r="J33" s="1182"/>
      <c r="K33" s="1182"/>
      <c r="L33" s="1182"/>
      <c r="M33" s="1182"/>
      <c r="N33" s="1182"/>
    </row>
    <row r="34" spans="1:14" x14ac:dyDescent="0.25">
      <c r="A34" s="1180" t="s">
        <v>1304</v>
      </c>
      <c r="B34" s="1180" t="s">
        <v>1593</v>
      </c>
      <c r="C34" s="1180" t="s">
        <v>1594</v>
      </c>
      <c r="D34" s="1180" t="s">
        <v>1514</v>
      </c>
      <c r="E34" s="1180" t="s">
        <v>1579</v>
      </c>
      <c r="F34" s="1180" t="s">
        <v>1304</v>
      </c>
      <c r="G34" s="1180" t="s">
        <v>1527</v>
      </c>
      <c r="H34" s="1180" t="s">
        <v>1584</v>
      </c>
      <c r="I34" s="1182"/>
      <c r="J34" s="1182"/>
      <c r="K34" s="1182"/>
      <c r="L34" s="1182"/>
      <c r="M34" s="1182"/>
      <c r="N34" s="1182"/>
    </row>
    <row r="35" spans="1:14" x14ac:dyDescent="0.25">
      <c r="A35" s="1180" t="s">
        <v>1414</v>
      </c>
      <c r="B35" s="1180" t="s">
        <v>1062</v>
      </c>
      <c r="C35" s="1180" t="s">
        <v>1063</v>
      </c>
      <c r="D35" s="1180" t="s">
        <v>1514</v>
      </c>
      <c r="E35" s="1180" t="s">
        <v>1428</v>
      </c>
      <c r="F35" s="1180" t="s">
        <v>1414</v>
      </c>
      <c r="G35" s="1180" t="s">
        <v>1517</v>
      </c>
      <c r="H35" s="1180" t="s">
        <v>1412</v>
      </c>
      <c r="I35" s="1182"/>
      <c r="J35" s="1182"/>
      <c r="K35" s="1182"/>
      <c r="L35" s="1182"/>
      <c r="M35" s="1182"/>
      <c r="N35" s="1182"/>
    </row>
    <row r="36" spans="1:14" x14ac:dyDescent="0.25">
      <c r="A36" s="1180" t="s">
        <v>1595</v>
      </c>
      <c r="B36" s="1180" t="s">
        <v>1596</v>
      </c>
      <c r="C36" s="1180" t="s">
        <v>1597</v>
      </c>
      <c r="D36" s="1180" t="s">
        <v>1514</v>
      </c>
      <c r="E36" s="1180" t="s">
        <v>1428</v>
      </c>
      <c r="F36" s="1180" t="s">
        <v>1595</v>
      </c>
      <c r="G36" s="1180" t="s">
        <v>1519</v>
      </c>
      <c r="H36" s="1180" t="s">
        <v>1412</v>
      </c>
      <c r="I36" s="1182"/>
      <c r="J36" s="1182"/>
      <c r="K36" s="1182"/>
      <c r="L36" s="1182"/>
      <c r="M36" s="1182"/>
      <c r="N36" s="1182"/>
    </row>
    <row r="37" spans="1:14" x14ac:dyDescent="0.25">
      <c r="A37" s="1180" t="s">
        <v>1416</v>
      </c>
      <c r="B37" s="1177" t="s">
        <v>1598</v>
      </c>
      <c r="C37" s="1177" t="s">
        <v>1599</v>
      </c>
      <c r="D37" s="1180" t="s">
        <v>1514</v>
      </c>
      <c r="E37" s="1180" t="s">
        <v>1428</v>
      </c>
      <c r="F37" s="1180" t="s">
        <v>1416</v>
      </c>
      <c r="G37" s="1180" t="s">
        <v>1546</v>
      </c>
      <c r="H37" s="1180" t="s">
        <v>1412</v>
      </c>
      <c r="I37" s="1182"/>
      <c r="J37" s="1182"/>
      <c r="K37" s="1182"/>
      <c r="L37" s="1182"/>
      <c r="M37" s="1182"/>
      <c r="N37" s="1182"/>
    </row>
    <row r="38" spans="1:14" x14ac:dyDescent="0.25">
      <c r="A38" s="993"/>
      <c r="B38" s="993"/>
      <c r="C38" s="993"/>
      <c r="D38" s="993"/>
      <c r="E38" s="993"/>
      <c r="F38" s="993"/>
      <c r="G38" s="993"/>
      <c r="H38" s="993"/>
      <c r="I38" s="993"/>
      <c r="J38" s="993"/>
      <c r="K38" s="993"/>
      <c r="L38" s="993"/>
      <c r="M38" s="993"/>
      <c r="N38" s="993"/>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31" t="s">
        <v>1343</v>
      </c>
      <c r="C2" s="1332"/>
      <c r="D2" s="1332"/>
      <c r="E2" s="1332"/>
      <c r="F2" s="1332"/>
      <c r="G2" s="1332"/>
      <c r="H2" s="1332"/>
      <c r="I2" s="1333"/>
      <c r="J2" s="1036"/>
      <c r="K2" s="1036"/>
      <c r="L2" s="1036"/>
      <c r="M2" s="1334" t="s">
        <v>1344</v>
      </c>
      <c r="N2" s="1334"/>
      <c r="O2" s="1334"/>
      <c r="P2" s="1036"/>
      <c r="Q2" s="1036"/>
      <c r="R2" s="1036"/>
      <c r="S2" s="1028"/>
    </row>
    <row r="3" spans="1:19" x14ac:dyDescent="0.25">
      <c r="A3" s="1036"/>
      <c r="B3" s="1117"/>
      <c r="C3" s="1076"/>
      <c r="D3" s="1076"/>
      <c r="E3" s="1076"/>
      <c r="F3" s="1076"/>
      <c r="G3" s="1076"/>
      <c r="H3" s="1076"/>
      <c r="I3" s="1118"/>
      <c r="J3" s="1036"/>
      <c r="K3" s="1036"/>
      <c r="L3" s="1036"/>
      <c r="M3" s="1037" t="s">
        <v>1345</v>
      </c>
      <c r="N3" s="1037">
        <v>500</v>
      </c>
      <c r="O3" s="1037">
        <v>25</v>
      </c>
      <c r="P3" s="1036"/>
      <c r="Q3" s="1036" t="s">
        <v>1345</v>
      </c>
      <c r="R3" s="1036"/>
      <c r="S3" s="1028"/>
    </row>
    <row r="4" spans="1:19" ht="25.5" x14ac:dyDescent="0.25">
      <c r="A4" s="1036"/>
      <c r="B4" s="1119" t="s">
        <v>381</v>
      </c>
      <c r="C4" s="1120" t="s">
        <v>1346</v>
      </c>
      <c r="D4" s="1120" t="s">
        <v>1347</v>
      </c>
      <c r="E4" s="1120" t="s">
        <v>1348</v>
      </c>
      <c r="F4" s="1120" t="s">
        <v>1349</v>
      </c>
      <c r="G4" s="1121" t="s">
        <v>1350</v>
      </c>
      <c r="H4" s="1121" t="s">
        <v>1351</v>
      </c>
      <c r="I4" s="1122" t="s">
        <v>1352</v>
      </c>
      <c r="J4" s="1036"/>
      <c r="K4" s="1036"/>
      <c r="L4" s="1036"/>
      <c r="M4" s="1037" t="s">
        <v>1353</v>
      </c>
      <c r="N4" s="1037">
        <v>500</v>
      </c>
      <c r="O4" s="1037">
        <v>35</v>
      </c>
      <c r="P4" s="1036"/>
      <c r="Q4" s="1036" t="s">
        <v>1353</v>
      </c>
      <c r="R4" s="1036"/>
      <c r="S4" s="1028"/>
    </row>
    <row r="5" spans="1:19" ht="15.75" thickBot="1" x14ac:dyDescent="0.3">
      <c r="A5" s="1036"/>
      <c r="B5" s="1038">
        <f>'Existing Customers'!$AB$2</f>
        <v>0</v>
      </c>
      <c r="C5" s="1030" t="s">
        <v>669</v>
      </c>
      <c r="D5" s="1030" t="s">
        <v>1354</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1355</v>
      </c>
      <c r="N5" s="1037">
        <v>500</v>
      </c>
      <c r="O5" s="1037">
        <v>50</v>
      </c>
      <c r="P5" s="1036"/>
      <c r="Q5" s="1036" t="s">
        <v>1355</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1356</v>
      </c>
      <c r="R6" s="1036"/>
      <c r="S6" s="1028"/>
    </row>
    <row r="7" spans="1:19" ht="15.75" thickBot="1" x14ac:dyDescent="0.3">
      <c r="A7" s="1036"/>
      <c r="B7" s="1331" t="s">
        <v>1357</v>
      </c>
      <c r="C7" s="1332"/>
      <c r="D7" s="1332"/>
      <c r="E7" s="1332"/>
      <c r="F7" s="1332"/>
      <c r="G7" s="1332"/>
      <c r="H7" s="1332"/>
      <c r="I7" s="1333"/>
      <c r="J7" s="1036"/>
      <c r="K7" s="1036"/>
      <c r="L7" s="1036"/>
      <c r="M7" s="1037" t="s">
        <v>1356</v>
      </c>
      <c r="N7" s="1037">
        <v>600</v>
      </c>
      <c r="O7" s="1037">
        <v>35</v>
      </c>
      <c r="P7" s="1036"/>
      <c r="Q7" s="1036" t="s">
        <v>1358</v>
      </c>
      <c r="R7" s="1036"/>
      <c r="S7" s="1028"/>
    </row>
    <row r="8" spans="1:19" x14ac:dyDescent="0.25">
      <c r="A8" s="1036"/>
      <c r="B8" s="1123"/>
      <c r="C8" s="1124"/>
      <c r="D8" s="1124"/>
      <c r="E8" s="1124"/>
      <c r="F8" s="1124"/>
      <c r="G8" s="1124"/>
      <c r="H8" s="1124"/>
      <c r="I8" s="1125"/>
      <c r="J8" s="1036"/>
      <c r="K8" s="1036"/>
      <c r="L8" s="1036"/>
      <c r="M8" s="1037" t="s">
        <v>1358</v>
      </c>
      <c r="N8" s="1037">
        <v>600</v>
      </c>
      <c r="O8" s="1037">
        <v>50</v>
      </c>
      <c r="P8" s="1036"/>
      <c r="Q8" s="1036" t="s">
        <v>1359</v>
      </c>
      <c r="R8" s="1036"/>
      <c r="S8" s="1028"/>
    </row>
    <row r="9" spans="1:19" ht="65.25" customHeight="1" x14ac:dyDescent="0.25">
      <c r="A9" s="1036"/>
      <c r="B9" s="1126" t="s">
        <v>1360</v>
      </c>
      <c r="C9" s="1120" t="s">
        <v>1361</v>
      </c>
      <c r="D9" s="1120" t="s">
        <v>1362</v>
      </c>
      <c r="E9" s="1120" t="s">
        <v>1363</v>
      </c>
      <c r="F9" s="1120" t="s">
        <v>1364</v>
      </c>
      <c r="G9" s="1120" t="s">
        <v>1365</v>
      </c>
      <c r="H9" s="1120" t="s">
        <v>1366</v>
      </c>
      <c r="I9" s="1127" t="s">
        <v>1367</v>
      </c>
      <c r="J9" s="1036"/>
      <c r="K9" s="1036"/>
      <c r="L9" s="1036"/>
      <c r="M9" s="1037" t="s">
        <v>1359</v>
      </c>
      <c r="N9" s="1037">
        <v>750</v>
      </c>
      <c r="O9" s="1037">
        <v>35</v>
      </c>
      <c r="P9" s="1036"/>
      <c r="Q9" s="1036" t="s">
        <v>1359</v>
      </c>
      <c r="R9" s="1036"/>
      <c r="S9" s="1028"/>
    </row>
    <row r="10" spans="1:19" x14ac:dyDescent="0.25">
      <c r="A10" s="1036"/>
      <c r="B10" s="1043">
        <v>85</v>
      </c>
      <c r="C10" s="1044">
        <v>500</v>
      </c>
      <c r="D10" s="1045" t="s">
        <v>1353</v>
      </c>
      <c r="E10" s="1041">
        <f>VLOOKUP($D$10,$M$3:$O$17,2,FALSE)</f>
        <v>500</v>
      </c>
      <c r="F10" s="1041">
        <f>VLOOKUP($D$10,$M$3:$O$17,3,FALSE)</f>
        <v>35</v>
      </c>
      <c r="G10" s="1045"/>
      <c r="H10" s="1045" t="s">
        <v>669</v>
      </c>
      <c r="I10" s="1046" t="s">
        <v>1368</v>
      </c>
      <c r="J10" s="1036"/>
      <c r="K10" s="1036"/>
      <c r="L10" s="1036"/>
      <c r="M10" s="1037" t="s">
        <v>1369</v>
      </c>
      <c r="N10" s="1037">
        <v>750</v>
      </c>
      <c r="O10" s="1037">
        <v>50</v>
      </c>
      <c r="P10" s="1036"/>
      <c r="Q10" s="1036" t="s">
        <v>1370</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1371</v>
      </c>
      <c r="R11" s="1036"/>
      <c r="S11" s="1028"/>
    </row>
    <row r="12" spans="1:19" ht="48.75" customHeight="1" x14ac:dyDescent="0.25">
      <c r="A12" s="1036"/>
      <c r="B12" s="1126" t="s">
        <v>1372</v>
      </c>
      <c r="C12" s="1120" t="s">
        <v>1373</v>
      </c>
      <c r="D12" s="1120" t="s">
        <v>1374</v>
      </c>
      <c r="E12" s="1120" t="s">
        <v>1375</v>
      </c>
      <c r="F12" s="1120" t="s">
        <v>1376</v>
      </c>
      <c r="G12" s="1120" t="s">
        <v>1377</v>
      </c>
      <c r="H12" s="1120" t="s">
        <v>1378</v>
      </c>
      <c r="I12" s="1127" t="s">
        <v>1379</v>
      </c>
      <c r="J12" s="1036"/>
      <c r="K12" s="1036"/>
      <c r="L12" s="1036"/>
      <c r="M12" s="1037" t="s">
        <v>1370</v>
      </c>
      <c r="N12" s="1037">
        <v>1000</v>
      </c>
      <c r="O12" s="1037">
        <v>35</v>
      </c>
      <c r="P12" s="1036"/>
      <c r="Q12" s="1036" t="s">
        <v>1380</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1381</v>
      </c>
      <c r="J13" s="1036"/>
      <c r="K13" s="1036"/>
      <c r="L13" s="1036"/>
      <c r="M13" s="1037" t="s">
        <v>1371</v>
      </c>
      <c r="N13" s="1037">
        <v>1000</v>
      </c>
      <c r="O13" s="1037">
        <v>50</v>
      </c>
      <c r="P13" s="1036"/>
      <c r="Q13" s="1036" t="s">
        <v>1382</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1383</v>
      </c>
      <c r="R14" s="1036"/>
      <c r="S14" s="1028"/>
    </row>
    <row r="15" spans="1:19" ht="15.75" thickBot="1" x14ac:dyDescent="0.3">
      <c r="A15" s="1036"/>
      <c r="B15" s="1335" t="s">
        <v>1384</v>
      </c>
      <c r="C15" s="1336"/>
      <c r="D15" s="1336"/>
      <c r="E15" s="1336"/>
      <c r="F15" s="1336"/>
      <c r="G15" s="1337"/>
      <c r="H15" s="704"/>
      <c r="I15" s="704"/>
      <c r="J15" s="1036"/>
      <c r="K15" s="1036"/>
      <c r="L15" s="1036"/>
      <c r="M15" s="1037" t="s">
        <v>1385</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1382</v>
      </c>
      <c r="N16" s="1037">
        <v>1500</v>
      </c>
      <c r="O16" s="1037">
        <v>50</v>
      </c>
      <c r="P16" s="1036"/>
      <c r="Q16" s="1036"/>
      <c r="R16" s="1036"/>
      <c r="S16" s="1028"/>
    </row>
    <row r="17" spans="1:19" ht="51" customHeight="1" x14ac:dyDescent="0.25">
      <c r="A17" s="1036"/>
      <c r="B17" s="1130" t="s">
        <v>1390</v>
      </c>
      <c r="C17" s="1131" t="s">
        <v>1386</v>
      </c>
      <c r="D17" s="1131" t="s">
        <v>1387</v>
      </c>
      <c r="E17" s="1131" t="s">
        <v>1391</v>
      </c>
      <c r="F17" s="1132" t="s">
        <v>1388</v>
      </c>
      <c r="G17" s="1122" t="s">
        <v>1392</v>
      </c>
      <c r="H17" s="704"/>
      <c r="I17" s="704"/>
      <c r="J17" s="1036"/>
      <c r="K17" s="1036"/>
      <c r="L17" s="1036"/>
      <c r="M17" s="1037" t="s">
        <v>1383</v>
      </c>
      <c r="N17" s="1037">
        <v>5000</v>
      </c>
      <c r="O17" s="1037">
        <v>100</v>
      </c>
      <c r="P17" s="1036"/>
      <c r="Q17" s="1036"/>
      <c r="R17" s="1036"/>
      <c r="S17" s="1028"/>
    </row>
    <row r="18" spans="1:19" ht="19.5" customHeight="1" thickBot="1" x14ac:dyDescent="0.3">
      <c r="A18" s="1036"/>
      <c r="B18" s="1033">
        <v>13</v>
      </c>
      <c r="C18" s="1032" t="s">
        <v>685</v>
      </c>
      <c r="D18" s="1034">
        <v>25</v>
      </c>
      <c r="E18" s="1032" t="s">
        <v>1389</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38" t="s">
        <v>1412</v>
      </c>
      <c r="C2" s="1332"/>
      <c r="D2" s="1332"/>
      <c r="E2" s="1332"/>
      <c r="F2" s="1332"/>
      <c r="G2" s="1332"/>
      <c r="H2" s="1332"/>
      <c r="I2" s="1332"/>
      <c r="J2" s="1332"/>
      <c r="K2" s="1332"/>
      <c r="L2" s="1332"/>
      <c r="M2" s="1332"/>
      <c r="N2" s="1333"/>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1413</v>
      </c>
      <c r="C4" s="1078" t="s">
        <v>1414</v>
      </c>
      <c r="D4" s="1078" t="s">
        <v>1415</v>
      </c>
      <c r="E4" s="1078" t="s">
        <v>1416</v>
      </c>
      <c r="F4" s="1078" t="s">
        <v>1417</v>
      </c>
      <c r="G4" s="1078" t="s">
        <v>1418</v>
      </c>
      <c r="H4" s="1078" t="s">
        <v>1419</v>
      </c>
      <c r="I4" s="1078" t="s">
        <v>1420</v>
      </c>
      <c r="J4" s="1078" t="s">
        <v>1421</v>
      </c>
      <c r="K4" s="1078" t="s">
        <v>1422</v>
      </c>
      <c r="L4" s="1078" t="s">
        <v>1423</v>
      </c>
      <c r="M4" s="1079" t="s">
        <v>1424</v>
      </c>
      <c r="N4" s="1080" t="s">
        <v>1425</v>
      </c>
      <c r="O4" s="704"/>
      <c r="U4" s="1109" t="e">
        <f>MATCH("Yes",K11:K30,0)</f>
        <v>#N/A</v>
      </c>
    </row>
    <row r="5" spans="1:21" ht="15.75" thickBot="1" x14ac:dyDescent="0.3">
      <c r="A5" s="704"/>
      <c r="B5" s="1038">
        <v>1</v>
      </c>
      <c r="C5" s="1030"/>
      <c r="D5" s="1030" t="s">
        <v>685</v>
      </c>
      <c r="E5" s="1030" t="s">
        <v>1426</v>
      </c>
      <c r="F5" s="1030" t="s">
        <v>1427</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9" t="s">
        <v>1428</v>
      </c>
      <c r="C8" s="1332"/>
      <c r="D8" s="1332"/>
      <c r="E8" s="1332"/>
      <c r="F8" s="1332"/>
      <c r="G8" s="1332"/>
      <c r="H8" s="1332"/>
      <c r="I8" s="1332"/>
      <c r="J8" s="1332"/>
      <c r="K8" s="1332"/>
      <c r="L8" s="1332"/>
      <c r="M8" s="1332"/>
      <c r="N8" s="1333"/>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1413</v>
      </c>
      <c r="C10" s="1079" t="s">
        <v>1429</v>
      </c>
      <c r="D10" s="1079" t="s">
        <v>1430</v>
      </c>
      <c r="E10" s="1079" t="s">
        <v>1431</v>
      </c>
      <c r="F10" s="1086" t="s">
        <v>1432</v>
      </c>
      <c r="G10" s="1086" t="s">
        <v>1433</v>
      </c>
      <c r="H10" s="1079" t="s">
        <v>1393</v>
      </c>
      <c r="I10" s="1079" t="s">
        <v>1434</v>
      </c>
      <c r="J10" s="1079" t="s">
        <v>1435</v>
      </c>
      <c r="K10" s="1079" t="s">
        <v>1436</v>
      </c>
      <c r="L10" s="1079" t="s">
        <v>1437</v>
      </c>
      <c r="M10" s="1079" t="s">
        <v>1374</v>
      </c>
      <c r="N10" s="1080" t="s">
        <v>1438</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1439</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9" t="s">
        <v>1440</v>
      </c>
      <c r="C32" s="1340"/>
      <c r="D32" s="1340"/>
      <c r="E32" s="1340"/>
      <c r="F32" s="1340"/>
      <c r="G32" s="1340"/>
      <c r="H32" s="1340"/>
      <c r="I32" s="1340"/>
      <c r="J32" s="1340"/>
      <c r="K32" s="1340"/>
      <c r="L32" s="1340"/>
      <c r="M32" s="1340"/>
      <c r="N32" s="1341"/>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1413</v>
      </c>
      <c r="C34" s="1079" t="s">
        <v>1429</v>
      </c>
      <c r="D34" s="1079" t="s">
        <v>1430</v>
      </c>
      <c r="E34" s="1079" t="s">
        <v>1431</v>
      </c>
      <c r="F34" s="1086" t="s">
        <v>1432</v>
      </c>
      <c r="G34" s="1086" t="s">
        <v>1433</v>
      </c>
      <c r="H34" s="1079" t="s">
        <v>1393</v>
      </c>
      <c r="I34" s="1079" t="s">
        <v>1434</v>
      </c>
      <c r="J34" s="1079" t="s">
        <v>1435</v>
      </c>
      <c r="K34" s="1079" t="s">
        <v>1436</v>
      </c>
      <c r="L34" s="1079" t="s">
        <v>1437</v>
      </c>
      <c r="M34" s="1079" t="s">
        <v>1374</v>
      </c>
      <c r="N34" s="1080" t="s">
        <v>1438</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1445</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1445</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1445</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1445</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1445</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1445</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1445</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1445</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1445</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1445</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1439</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8" sqref="AA18"/>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45"/>
      <c r="K2" s="1345"/>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302" t="e">
        <f>VLOOKUP($J$4,'Market Geography'!$D:$G,4,FALSE)</f>
        <v>#N/A</v>
      </c>
      <c r="K3" s="1302"/>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302">
        <f>Welcome!$D$4</f>
        <v>0</v>
      </c>
      <c r="K4" s="1302"/>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46" t="e">
        <f>VLOOKUP($J$4,'Market Geography'!$D:$F,3,FALSE)</f>
        <v>#N/A</v>
      </c>
      <c r="K5" s="1346"/>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302" t="s">
        <v>134</v>
      </c>
      <c r="K6" s="1302"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302" t="str">
        <f>IF(Welcome!$D$8="MDA","C","N")</f>
        <v>N</v>
      </c>
      <c r="K7" s="1302"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42" t="s">
        <v>1001</v>
      </c>
      <c r="AE13" s="1343"/>
      <c r="AF13" s="1344"/>
      <c r="AH13" s="143" t="s">
        <v>60</v>
      </c>
      <c r="AI13" s="143" t="s">
        <v>1</v>
      </c>
      <c r="AJ13" s="143" t="s">
        <v>60</v>
      </c>
      <c r="AK13" s="782" t="s">
        <v>113</v>
      </c>
    </row>
    <row r="14" spans="1:37" ht="38.25" x14ac:dyDescent="0.2">
      <c r="A14" s="143" t="s">
        <v>1066</v>
      </c>
      <c r="B14" s="615" t="s">
        <v>925</v>
      </c>
      <c r="C14" s="615" t="s">
        <v>943</v>
      </c>
      <c r="D14" s="616" t="s">
        <v>992</v>
      </c>
      <c r="E14" s="616" t="s">
        <v>1000</v>
      </c>
      <c r="F14" s="618" t="s">
        <v>1007</v>
      </c>
      <c r="G14" s="617" t="s">
        <v>1002</v>
      </c>
      <c r="H14" s="617" t="s">
        <v>1003</v>
      </c>
      <c r="I14" s="617" t="s">
        <v>205</v>
      </c>
      <c r="J14" s="617" t="s">
        <v>402</v>
      </c>
      <c r="K14" s="617" t="s">
        <v>206</v>
      </c>
      <c r="L14" s="617" t="s">
        <v>1004</v>
      </c>
      <c r="M14" s="617" t="s">
        <v>1065</v>
      </c>
      <c r="N14" s="619" t="s">
        <v>1010</v>
      </c>
      <c r="O14" s="618" t="s">
        <v>1011</v>
      </c>
      <c r="P14" s="618" t="s">
        <v>1012</v>
      </c>
      <c r="Q14" s="616" t="s">
        <v>1005</v>
      </c>
      <c r="R14" s="616" t="s">
        <v>1006</v>
      </c>
      <c r="S14" s="616" t="s">
        <v>1015</v>
      </c>
      <c r="T14" s="616" t="s">
        <v>993</v>
      </c>
      <c r="U14" s="616" t="s">
        <v>994</v>
      </c>
      <c r="V14" s="616" t="s">
        <v>995</v>
      </c>
      <c r="W14" s="627" t="s">
        <v>1013</v>
      </c>
      <c r="X14" s="627" t="s">
        <v>1014</v>
      </c>
      <c r="Y14" s="627" t="s">
        <v>1016</v>
      </c>
      <c r="Z14" s="617" t="s">
        <v>1008</v>
      </c>
      <c r="AA14" s="617" t="s">
        <v>1009</v>
      </c>
      <c r="AB14" s="617"/>
      <c r="AC14" s="629" t="s">
        <v>851</v>
      </c>
      <c r="AD14" s="630" t="s">
        <v>852</v>
      </c>
      <c r="AE14" s="630" t="s">
        <v>853</v>
      </c>
      <c r="AF14" s="630" t="s">
        <v>854</v>
      </c>
      <c r="AG14" s="630" t="s">
        <v>1040</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974</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48" t="s">
        <v>1046</v>
      </c>
      <c r="F1" s="1349"/>
      <c r="G1" s="1349"/>
      <c r="H1" s="1349"/>
      <c r="I1" s="1349"/>
      <c r="J1" s="1350"/>
      <c r="L1" s="1348" t="s">
        <v>1045</v>
      </c>
      <c r="M1" s="1350"/>
      <c r="Q1" s="1" t="s">
        <v>551</v>
      </c>
      <c r="R1" s="1" t="s">
        <v>550</v>
      </c>
    </row>
    <row r="2" spans="1:18" x14ac:dyDescent="0.25">
      <c r="E2" s="1">
        <v>0.1</v>
      </c>
      <c r="F2" s="51">
        <v>1.0999999999999999E-2</v>
      </c>
      <c r="G2" s="51">
        <v>2.7E-2</v>
      </c>
      <c r="H2" s="51">
        <v>3.2000000000000001E-2</v>
      </c>
      <c r="I2" s="51">
        <v>4.9000000000000002E-2</v>
      </c>
      <c r="J2" s="51">
        <v>6.4000000000000001E-2</v>
      </c>
      <c r="L2" s="837" t="s">
        <v>1166</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1167</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1168</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1169</v>
      </c>
      <c r="M5" s="46">
        <v>2E-3</v>
      </c>
      <c r="O5" s="1" t="s">
        <v>555</v>
      </c>
      <c r="P5" s="1" t="s">
        <v>270</v>
      </c>
      <c r="Q5" s="1" t="s">
        <v>14</v>
      </c>
      <c r="R5" s="51">
        <v>0.14499999999999999</v>
      </c>
    </row>
    <row r="6" spans="1:18" x14ac:dyDescent="0.25">
      <c r="A6" s="85" t="s">
        <v>962</v>
      </c>
      <c r="B6" t="str">
        <f>IF(B7&lt;0.25,"Q1",IF(B7&lt;0.5,"Q2",IF(B7&lt;0.75,"Q3","Q4")))</f>
        <v>Q1</v>
      </c>
      <c r="E6" s="1">
        <v>0.3</v>
      </c>
      <c r="F6" s="51">
        <v>3.2000000000000001E-2</v>
      </c>
      <c r="G6" s="51">
        <v>6.5000000000000002E-2</v>
      </c>
      <c r="H6" s="51">
        <v>7.6999999999999999E-2</v>
      </c>
      <c r="I6" s="51">
        <v>9.5000000000000001E-2</v>
      </c>
      <c r="J6" s="51">
        <v>0.12</v>
      </c>
      <c r="L6" s="837" t="s">
        <v>1170</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1171</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1172</v>
      </c>
      <c r="M8" s="46">
        <v>3.5000000000000001E-3</v>
      </c>
      <c r="O8" s="1" t="s">
        <v>558</v>
      </c>
      <c r="P8" s="1" t="s">
        <v>216</v>
      </c>
      <c r="Q8" s="1" t="s">
        <v>62</v>
      </c>
      <c r="R8" s="51">
        <v>0.106</v>
      </c>
    </row>
    <row r="9" spans="1:18" x14ac:dyDescent="0.25">
      <c r="A9" s="85" t="s">
        <v>963</v>
      </c>
      <c r="B9" t="str">
        <f>IF($B$4="Multiple Menu Types",B6&amp;B5,B6&amp;B4)</f>
        <v>Q1Enter Customer(s)</v>
      </c>
      <c r="E9" s="1">
        <v>0.45</v>
      </c>
      <c r="F9" s="51">
        <v>5.6000000000000001E-2</v>
      </c>
      <c r="G9" s="51">
        <v>8.6999999999999994E-2</v>
      </c>
      <c r="H9" s="51">
        <v>0.10100000000000001</v>
      </c>
      <c r="I9" s="51">
        <v>0.12</v>
      </c>
      <c r="J9" s="51">
        <v>0.16700000000000001</v>
      </c>
      <c r="L9" s="837" t="s">
        <v>1173</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1174</v>
      </c>
      <c r="M10" s="46">
        <v>4.4999999999999997E-3</v>
      </c>
      <c r="O10" s="1" t="s">
        <v>560</v>
      </c>
      <c r="P10" s="1" t="s">
        <v>214</v>
      </c>
      <c r="Q10" s="1" t="s">
        <v>74</v>
      </c>
      <c r="R10" s="51">
        <v>7.1999999999999995E-2</v>
      </c>
    </row>
    <row r="11" spans="1:18" x14ac:dyDescent="0.25">
      <c r="A11" s="85" t="s">
        <v>964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1175</v>
      </c>
      <c r="M11" s="46">
        <v>5.0000000000000001E-3</v>
      </c>
      <c r="O11" s="1" t="s">
        <v>561</v>
      </c>
      <c r="P11" s="1" t="s">
        <v>215</v>
      </c>
      <c r="Q11" s="1" t="s">
        <v>74</v>
      </c>
      <c r="R11" s="51">
        <v>0.109</v>
      </c>
    </row>
    <row r="12" spans="1:18" x14ac:dyDescent="0.25">
      <c r="A12" s="85" t="s">
        <v>965</v>
      </c>
      <c r="B12">
        <f>IFERROR(VLOOKUP($B$9,$O:$R,4,FALSE),0)</f>
        <v>0</v>
      </c>
      <c r="E12" s="1">
        <v>0.6</v>
      </c>
      <c r="F12" s="51">
        <v>6.6000000000000003E-2</v>
      </c>
      <c r="G12" s="51">
        <v>0.10299999999999999</v>
      </c>
      <c r="H12" s="51">
        <v>0.11899999999999999</v>
      </c>
      <c r="I12" s="51">
        <v>0.13700000000000001</v>
      </c>
      <c r="J12" s="51">
        <v>0.184</v>
      </c>
      <c r="L12" s="837" t="s">
        <v>1176</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1177</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1178</v>
      </c>
      <c r="M14" s="46">
        <v>6.4999999999999997E-3</v>
      </c>
      <c r="O14" s="1" t="s">
        <v>564</v>
      </c>
      <c r="P14" s="1" t="s">
        <v>214</v>
      </c>
      <c r="Q14" s="1" t="s">
        <v>34</v>
      </c>
      <c r="R14" s="51">
        <v>6.2E-2</v>
      </c>
    </row>
    <row r="15" spans="1:18" x14ac:dyDescent="0.25">
      <c r="A15" s="85" t="s">
        <v>966</v>
      </c>
      <c r="B15" s="38">
        <f>B12*B14</f>
        <v>0</v>
      </c>
      <c r="E15" s="1">
        <v>0.75</v>
      </c>
      <c r="F15" s="51">
        <v>7.8E-2</v>
      </c>
      <c r="G15" s="51">
        <v>0.108</v>
      </c>
      <c r="H15" s="51">
        <v>0.128</v>
      </c>
      <c r="I15" s="51">
        <v>0.154</v>
      </c>
      <c r="J15" s="51">
        <v>0.21</v>
      </c>
      <c r="L15" s="837" t="s">
        <v>1179</v>
      </c>
      <c r="M15" s="46">
        <v>7.0000000000000001E-3</v>
      </c>
      <c r="O15" s="1" t="s">
        <v>565</v>
      </c>
      <c r="P15" s="1" t="s">
        <v>215</v>
      </c>
      <c r="Q15" s="1" t="s">
        <v>34</v>
      </c>
      <c r="R15" s="51">
        <v>0.10199999999999999</v>
      </c>
    </row>
    <row r="16" spans="1:18" x14ac:dyDescent="0.25">
      <c r="A16" s="85" t="s">
        <v>964</v>
      </c>
      <c r="B16">
        <f>B14*B11</f>
        <v>0</v>
      </c>
      <c r="E16" s="1">
        <v>0.8</v>
      </c>
      <c r="F16" s="51">
        <v>9.7000000000000003E-2</v>
      </c>
      <c r="G16" s="51">
        <v>0.13200000000000001</v>
      </c>
      <c r="H16" s="51">
        <v>0.129</v>
      </c>
      <c r="I16" s="51">
        <v>0.156</v>
      </c>
      <c r="J16" s="51">
        <v>0.17</v>
      </c>
      <c r="L16" s="837" t="s">
        <v>1180</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1181</v>
      </c>
      <c r="M17" s="46">
        <v>8.0000000000000002E-3</v>
      </c>
      <c r="O17" s="1" t="s">
        <v>567</v>
      </c>
      <c r="P17" s="1" t="s">
        <v>270</v>
      </c>
      <c r="Q17" s="1" t="s">
        <v>34</v>
      </c>
      <c r="R17" s="51">
        <v>0.11700000000000001</v>
      </c>
    </row>
    <row r="18" spans="2:18" x14ac:dyDescent="0.25">
      <c r="L18" s="837" t="s">
        <v>1182</v>
      </c>
      <c r="M18" s="46">
        <v>8.5000000000000006E-3</v>
      </c>
      <c r="O18" s="1" t="s">
        <v>568</v>
      </c>
      <c r="P18" s="1" t="s">
        <v>214</v>
      </c>
      <c r="Q18" s="1" t="s">
        <v>0</v>
      </c>
      <c r="R18" s="51">
        <v>5.3999999999999999E-2</v>
      </c>
    </row>
    <row r="19" spans="2:18" x14ac:dyDescent="0.25">
      <c r="B19" t="s">
        <v>1052</v>
      </c>
      <c r="C19">
        <f>IF(Welcome!$D$14="Select # of Locations",0,Welcome!$D$14)</f>
        <v>0</v>
      </c>
      <c r="L19" s="837" t="s">
        <v>1183</v>
      </c>
      <c r="M19" s="46">
        <v>8.9999999999999993E-3</v>
      </c>
      <c r="O19" s="1" t="s">
        <v>569</v>
      </c>
      <c r="P19" s="1" t="s">
        <v>215</v>
      </c>
      <c r="Q19" s="1" t="s">
        <v>0</v>
      </c>
      <c r="R19" s="51">
        <v>8.7999999999999995E-2</v>
      </c>
    </row>
    <row r="20" spans="2:18" x14ac:dyDescent="0.25">
      <c r="B20">
        <f>'PIM Model'!$E$3</f>
        <v>0</v>
      </c>
      <c r="E20" s="1348" t="s">
        <v>1047</v>
      </c>
      <c r="F20" s="1349"/>
      <c r="G20" s="1350"/>
      <c r="L20" s="1"/>
      <c r="M20" s="46">
        <v>9.4999999999999998E-3</v>
      </c>
      <c r="O20" s="1" t="s">
        <v>570</v>
      </c>
      <c r="P20" s="1" t="s">
        <v>216</v>
      </c>
      <c r="Q20" s="1" t="s">
        <v>0</v>
      </c>
      <c r="R20" s="51">
        <v>0.112</v>
      </c>
    </row>
    <row r="21" spans="2:18" x14ac:dyDescent="0.25">
      <c r="B21" t="s">
        <v>495</v>
      </c>
      <c r="C21" s="38">
        <f>'PIM Model'!$G$31</f>
        <v>0</v>
      </c>
      <c r="E21" s="87" t="s">
        <v>1054</v>
      </c>
      <c r="F21" s="702">
        <v>2600</v>
      </c>
      <c r="G21" s="51">
        <v>5.6000000000000001E-2</v>
      </c>
      <c r="H21" s="24"/>
      <c r="O21" s="1" t="s">
        <v>571</v>
      </c>
      <c r="P21" s="1" t="s">
        <v>270</v>
      </c>
      <c r="Q21" s="1" t="s">
        <v>0</v>
      </c>
      <c r="R21" s="51">
        <v>0.112</v>
      </c>
    </row>
    <row r="22" spans="2:18" x14ac:dyDescent="0.25">
      <c r="B22" t="s">
        <v>496</v>
      </c>
      <c r="C22" s="38">
        <f>$C$21/52</f>
        <v>0</v>
      </c>
      <c r="D22" t="s">
        <v>1069</v>
      </c>
      <c r="E22" s="87" t="s">
        <v>1055</v>
      </c>
      <c r="F22" s="702">
        <v>4600</v>
      </c>
      <c r="G22" s="51">
        <v>6.3E-2</v>
      </c>
      <c r="H22" s="24"/>
      <c r="L22" s="1347" t="s">
        <v>113</v>
      </c>
      <c r="M22" s="1347"/>
      <c r="O22" s="1" t="s">
        <v>572</v>
      </c>
      <c r="P22" s="1" t="s">
        <v>214</v>
      </c>
      <c r="Q22" s="1" t="s">
        <v>69</v>
      </c>
      <c r="R22" s="51">
        <v>7.6999999999999999E-2</v>
      </c>
    </row>
    <row r="23" spans="2:18" x14ac:dyDescent="0.25">
      <c r="B23" t="s">
        <v>1053</v>
      </c>
      <c r="C23" s="38" t="e">
        <f>$C$22/C19</f>
        <v>#DIV/0!</v>
      </c>
      <c r="E23" s="87" t="s">
        <v>1056</v>
      </c>
      <c r="F23" s="702">
        <v>8300</v>
      </c>
      <c r="G23" s="51">
        <v>5.2999999999999999E-2</v>
      </c>
      <c r="H23" s="24"/>
      <c r="L23" s="1348" t="s">
        <v>1045</v>
      </c>
      <c r="M23" s="1350"/>
      <c r="O23" s="1" t="s">
        <v>573</v>
      </c>
      <c r="P23" s="1" t="s">
        <v>215</v>
      </c>
      <c r="Q23" s="1" t="s">
        <v>69</v>
      </c>
      <c r="R23" s="51">
        <v>0.122</v>
      </c>
    </row>
    <row r="24" spans="2:18" x14ac:dyDescent="0.25">
      <c r="B24" t="s">
        <v>1049</v>
      </c>
      <c r="C24" s="24">
        <v>0.08</v>
      </c>
      <c r="D24" s="24" t="e">
        <f>IF($C$23&lt;$F$21,$G$21,IF($C$23&lt;$F$22,$G$22,IF($C$23&lt;$F$23,$G$23,IF($C$23&lt;$F$24,$G$24,$G$25))))</f>
        <v>#DIV/0!</v>
      </c>
      <c r="E24" s="87" t="s">
        <v>1057</v>
      </c>
      <c r="F24" s="702">
        <v>17000</v>
      </c>
      <c r="G24" s="51">
        <v>7.2999999999999995E-2</v>
      </c>
      <c r="H24" s="24"/>
      <c r="L24" s="427" t="s">
        <v>1166</v>
      </c>
      <c r="M24" s="46">
        <f t="shared" ref="M24:M29" si="0">M25-0.0005</f>
        <v>4.9999999999999975E-3</v>
      </c>
      <c r="O24" s="1" t="s">
        <v>574</v>
      </c>
      <c r="P24" s="1" t="s">
        <v>216</v>
      </c>
      <c r="Q24" s="1" t="s">
        <v>69</v>
      </c>
      <c r="R24" s="51">
        <v>0.151</v>
      </c>
    </row>
    <row r="25" spans="2:18" x14ac:dyDescent="0.25">
      <c r="B25" t="s">
        <v>1050</v>
      </c>
      <c r="C25" s="24">
        <v>0.08</v>
      </c>
      <c r="D25" s="24" t="e">
        <f>IF($C$23&lt;$F$29,$G$29,IF($C$23&lt;$F$30,$G$30,IF($C$23&lt;$F$31,$G$31,IF($C$23&lt;$F$32,$G$32,$G$33))))</f>
        <v>#DIV/0!</v>
      </c>
      <c r="E25" s="87" t="s">
        <v>1058</v>
      </c>
      <c r="F25" s="702"/>
      <c r="G25" s="51">
        <v>6.0999999999999999E-2</v>
      </c>
      <c r="H25" s="24"/>
      <c r="K25" s="796"/>
      <c r="L25" s="427" t="s">
        <v>1167</v>
      </c>
      <c r="M25" s="46">
        <f t="shared" si="0"/>
        <v>5.4999999999999979E-3</v>
      </c>
      <c r="O25" s="1" t="s">
        <v>575</v>
      </c>
      <c r="P25" s="1" t="s">
        <v>270</v>
      </c>
      <c r="Q25" s="1" t="s">
        <v>69</v>
      </c>
      <c r="R25" s="51">
        <v>0.151</v>
      </c>
    </row>
    <row r="26" spans="2:18" x14ac:dyDescent="0.25">
      <c r="B26" t="s">
        <v>1051</v>
      </c>
      <c r="C26" s="24">
        <f>IF($B$20="MDA",$C$24,$C$25)</f>
        <v>0.08</v>
      </c>
      <c r="E26" s="85"/>
      <c r="G26" s="24"/>
      <c r="H26" s="24"/>
      <c r="K26" s="796"/>
      <c r="L26" s="427" t="s">
        <v>1168</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1169</v>
      </c>
      <c r="M27" s="46">
        <f t="shared" si="0"/>
        <v>6.4999999999999988E-3</v>
      </c>
      <c r="O27" s="1" t="s">
        <v>577</v>
      </c>
      <c r="P27" s="1" t="s">
        <v>215</v>
      </c>
      <c r="Q27" s="1" t="s">
        <v>4</v>
      </c>
      <c r="R27" s="51">
        <v>9.2999999999999999E-2</v>
      </c>
    </row>
    <row r="28" spans="2:18" x14ac:dyDescent="0.25">
      <c r="C28" s="24">
        <f>IFERROR(IF($C$27&gt;$C$26,"Approved",C26-C27),0)</f>
        <v>0.08</v>
      </c>
      <c r="E28" s="1347" t="s">
        <v>1048</v>
      </c>
      <c r="F28" s="1347"/>
      <c r="G28" s="1347"/>
      <c r="K28" s="796"/>
      <c r="L28" s="427" t="s">
        <v>1170</v>
      </c>
      <c r="M28" s="46">
        <f t="shared" si="0"/>
        <v>6.9999999999999993E-3</v>
      </c>
      <c r="O28" s="1" t="s">
        <v>578</v>
      </c>
      <c r="P28" s="1" t="s">
        <v>216</v>
      </c>
      <c r="Q28" s="1" t="s">
        <v>4</v>
      </c>
      <c r="R28" s="51">
        <v>0.11600000000000001</v>
      </c>
    </row>
    <row r="29" spans="2:18" x14ac:dyDescent="0.25">
      <c r="E29" s="87" t="s">
        <v>1059</v>
      </c>
      <c r="F29" s="702">
        <v>1500</v>
      </c>
      <c r="G29" s="51">
        <v>8.3000000000000004E-2</v>
      </c>
      <c r="H29" s="24"/>
      <c r="K29" s="796"/>
      <c r="L29" s="427" t="s">
        <v>1171</v>
      </c>
      <c r="M29" s="46">
        <f t="shared" si="0"/>
        <v>7.4999999999999997E-3</v>
      </c>
      <c r="O29" s="1" t="s">
        <v>579</v>
      </c>
      <c r="P29" s="1" t="s">
        <v>270</v>
      </c>
      <c r="Q29" s="1" t="s">
        <v>4</v>
      </c>
      <c r="R29" s="51">
        <v>0.11600000000000001</v>
      </c>
    </row>
    <row r="30" spans="2:18" x14ac:dyDescent="0.25">
      <c r="E30" s="87" t="s">
        <v>1060</v>
      </c>
      <c r="F30" s="702">
        <v>2400</v>
      </c>
      <c r="G30" s="51">
        <v>8.3000000000000004E-2</v>
      </c>
      <c r="H30" s="24"/>
      <c r="K30" s="796"/>
      <c r="L30" s="812" t="s">
        <v>1172</v>
      </c>
      <c r="M30" s="813">
        <v>8.0000000000000002E-3</v>
      </c>
      <c r="O30" s="1" t="s">
        <v>580</v>
      </c>
      <c r="P30" s="1" t="s">
        <v>214</v>
      </c>
      <c r="Q30" s="1" t="s">
        <v>35</v>
      </c>
      <c r="R30" s="51">
        <v>8.6999999999999994E-2</v>
      </c>
    </row>
    <row r="31" spans="2:18" x14ac:dyDescent="0.25">
      <c r="E31" s="87" t="s">
        <v>1061</v>
      </c>
      <c r="F31" s="702">
        <v>4100</v>
      </c>
      <c r="G31" s="51">
        <v>8.3000000000000004E-2</v>
      </c>
      <c r="H31" s="24"/>
      <c r="K31" s="796"/>
      <c r="L31" s="427" t="s">
        <v>1173</v>
      </c>
      <c r="M31" s="46">
        <f>M30+0.0005</f>
        <v>8.5000000000000006E-3</v>
      </c>
      <c r="O31" s="1" t="s">
        <v>581</v>
      </c>
      <c r="P31" s="1" t="s">
        <v>215</v>
      </c>
      <c r="Q31" s="1" t="s">
        <v>35</v>
      </c>
      <c r="R31" s="51">
        <v>8.6999999999999994E-2</v>
      </c>
    </row>
    <row r="32" spans="2:18" x14ac:dyDescent="0.25">
      <c r="E32" s="87" t="s">
        <v>1062</v>
      </c>
      <c r="F32" s="702">
        <v>8000</v>
      </c>
      <c r="G32" s="51">
        <v>8.2000000000000003E-2</v>
      </c>
      <c r="H32" s="24"/>
      <c r="K32" s="796"/>
      <c r="L32" s="427" t="s">
        <v>1174</v>
      </c>
      <c r="M32" s="46">
        <f>M31+0.0005</f>
        <v>9.0000000000000011E-3</v>
      </c>
      <c r="O32" s="1" t="s">
        <v>582</v>
      </c>
      <c r="P32" s="1" t="s">
        <v>216</v>
      </c>
      <c r="Q32" s="1" t="s">
        <v>35</v>
      </c>
      <c r="R32" s="51">
        <v>0.11700000000000001</v>
      </c>
    </row>
    <row r="33" spans="1:18" x14ac:dyDescent="0.25">
      <c r="E33" s="87" t="s">
        <v>1063</v>
      </c>
      <c r="F33" s="702"/>
      <c r="G33" s="51">
        <v>7.9000000000000001E-2</v>
      </c>
      <c r="H33" s="24"/>
      <c r="K33" s="796"/>
      <c r="L33" s="427" t="s">
        <v>1175</v>
      </c>
      <c r="M33" s="46">
        <f t="shared" ref="J33:M42" si="1">M32+0.0005</f>
        <v>9.5000000000000015E-3</v>
      </c>
      <c r="O33" s="1" t="s">
        <v>583</v>
      </c>
      <c r="P33" s="1" t="s">
        <v>270</v>
      </c>
      <c r="Q33" s="1" t="s">
        <v>35</v>
      </c>
      <c r="R33" s="51">
        <v>0.11700000000000001</v>
      </c>
    </row>
    <row r="34" spans="1:18" ht="15.75" thickBot="1" x14ac:dyDescent="0.3">
      <c r="G34" s="24"/>
      <c r="H34" s="24"/>
      <c r="K34" s="796"/>
      <c r="L34" s="427" t="s">
        <v>1176</v>
      </c>
      <c r="M34" s="46">
        <f t="shared" si="1"/>
        <v>1.0000000000000002E-2</v>
      </c>
      <c r="O34" s="1" t="s">
        <v>584</v>
      </c>
      <c r="P34" s="1" t="s">
        <v>214</v>
      </c>
      <c r="Q34" s="1" t="s">
        <v>6</v>
      </c>
      <c r="R34" s="51">
        <v>0.06</v>
      </c>
    </row>
    <row r="35" spans="1:18" ht="15.75" thickBot="1" x14ac:dyDescent="0.3">
      <c r="A35" s="456" t="s">
        <v>969</v>
      </c>
      <c r="K35" s="796"/>
      <c r="L35" s="427" t="s">
        <v>1177</v>
      </c>
      <c r="M35" s="46">
        <f t="shared" si="1"/>
        <v>1.0500000000000002E-2</v>
      </c>
      <c r="O35" s="1" t="s">
        <v>585</v>
      </c>
      <c r="P35" s="1" t="s">
        <v>215</v>
      </c>
      <c r="Q35" s="1" t="s">
        <v>6</v>
      </c>
      <c r="R35" s="51">
        <v>0.106</v>
      </c>
    </row>
    <row r="36" spans="1:18" ht="15.75" thickBot="1" x14ac:dyDescent="0.3">
      <c r="A36" s="452" t="s">
        <v>959</v>
      </c>
      <c r="B36" s="449" t="s">
        <v>925</v>
      </c>
      <c r="C36" s="446" t="s">
        <v>466</v>
      </c>
      <c r="D36" s="446" t="s">
        <v>961</v>
      </c>
      <c r="E36" s="447" t="s">
        <v>967</v>
      </c>
      <c r="F36" s="448" t="s">
        <v>960</v>
      </c>
      <c r="G36" s="447" t="s">
        <v>968</v>
      </c>
      <c r="H36" s="796"/>
      <c r="I36" s="427" t="s">
        <v>1178</v>
      </c>
      <c r="J36" s="46">
        <f>M35+0.0005</f>
        <v>1.1000000000000003E-2</v>
      </c>
      <c r="L36" s="1" t="s">
        <v>586</v>
      </c>
      <c r="M36" s="1" t="s">
        <v>216</v>
      </c>
      <c r="N36" s="1" t="s">
        <v>6</v>
      </c>
      <c r="O36" s="51">
        <v>0.12</v>
      </c>
    </row>
    <row r="37" spans="1:18" x14ac:dyDescent="0.25">
      <c r="A37" s="453">
        <v>1</v>
      </c>
      <c r="B37" s="450" t="str">
        <f>'Customer Inputs'!Y6</f>
        <v/>
      </c>
      <c r="C37" s="30">
        <f>'Customer Inputs'!P6</f>
        <v>0</v>
      </c>
      <c r="D37" s="443">
        <f>'Multi-Customer'!$BA$9</f>
        <v>0</v>
      </c>
      <c r="E37" s="1170">
        <f>'Multi-Customer'!$BA$10</f>
        <v>0</v>
      </c>
      <c r="F37" s="444">
        <f>D37*C37</f>
        <v>0</v>
      </c>
      <c r="G37" s="445">
        <f>E37*C37</f>
        <v>0</v>
      </c>
      <c r="H37" s="796"/>
      <c r="I37" s="427" t="s">
        <v>1179</v>
      </c>
      <c r="J37" s="46">
        <f t="shared" si="1"/>
        <v>1.1500000000000003E-2</v>
      </c>
      <c r="L37" s="1" t="s">
        <v>587</v>
      </c>
      <c r="M37" s="1" t="s">
        <v>270</v>
      </c>
      <c r="N37" s="1" t="s">
        <v>6</v>
      </c>
      <c r="O37" s="51">
        <v>0.17</v>
      </c>
    </row>
    <row r="38" spans="1:18" x14ac:dyDescent="0.25">
      <c r="A38" s="454">
        <v>2</v>
      </c>
      <c r="B38" s="314" t="str">
        <f>'Customer Inputs'!Y7</f>
        <v/>
      </c>
      <c r="C38" s="1">
        <f>'Customer Inputs'!P7</f>
        <v>0</v>
      </c>
      <c r="D38" s="438">
        <f>'Multi-Customer'!$BW$9</f>
        <v>0</v>
      </c>
      <c r="E38" s="438">
        <f>'Multi-Customer'!$BW$10</f>
        <v>0</v>
      </c>
      <c r="F38" s="439">
        <f>D38*C38</f>
        <v>0</v>
      </c>
      <c r="G38" s="440">
        <f>E38*C38</f>
        <v>0</v>
      </c>
      <c r="H38" s="796"/>
      <c r="I38" s="427" t="s">
        <v>1180</v>
      </c>
      <c r="J38" s="46">
        <f t="shared" si="1"/>
        <v>1.2000000000000004E-2</v>
      </c>
      <c r="L38" s="1" t="s">
        <v>588</v>
      </c>
      <c r="M38" s="1" t="s">
        <v>214</v>
      </c>
      <c r="N38" s="1" t="s">
        <v>260</v>
      </c>
      <c r="O38" s="51">
        <v>5.9000000000000004E-2</v>
      </c>
    </row>
    <row r="39" spans="1:18" x14ac:dyDescent="0.25">
      <c r="A39" s="454">
        <v>3</v>
      </c>
      <c r="B39" s="314" t="str">
        <f>'Customer Inputs'!Y8</f>
        <v/>
      </c>
      <c r="C39" s="1">
        <f>'Customer Inputs'!P8</f>
        <v>0</v>
      </c>
      <c r="D39" s="438">
        <f>'Multi-Customer'!$CS$9</f>
        <v>0</v>
      </c>
      <c r="E39" s="1170">
        <f>'Multi-Customer'!$CS$10</f>
        <v>0</v>
      </c>
      <c r="F39" s="439">
        <f>D39*C39</f>
        <v>0</v>
      </c>
      <c r="G39" s="440">
        <f>E39*C39</f>
        <v>0</v>
      </c>
      <c r="H39" s="796"/>
      <c r="I39" s="428" t="s">
        <v>1181</v>
      </c>
      <c r="J39" s="46">
        <f t="shared" si="1"/>
        <v>1.2500000000000004E-2</v>
      </c>
      <c r="L39" s="1" t="s">
        <v>589</v>
      </c>
      <c r="M39" s="1" t="s">
        <v>215</v>
      </c>
      <c r="N39" s="1" t="s">
        <v>260</v>
      </c>
      <c r="O39" s="51">
        <v>9.9000000000000005E-2</v>
      </c>
    </row>
    <row r="40" spans="1:18" x14ac:dyDescent="0.25">
      <c r="A40" s="454">
        <v>4</v>
      </c>
      <c r="B40" s="314" t="str">
        <f>'Customer Inputs'!Y9</f>
        <v/>
      </c>
      <c r="C40" s="1">
        <f>'Customer Inputs'!P9</f>
        <v>0</v>
      </c>
      <c r="D40" s="438">
        <f>'Multi-Customer'!$DO$9</f>
        <v>0</v>
      </c>
      <c r="E40" s="1170">
        <f>'Multi-Customer'!$DO$10</f>
        <v>0</v>
      </c>
      <c r="F40" s="439">
        <f>D40*C40</f>
        <v>0</v>
      </c>
      <c r="G40" s="440">
        <f>E40*C40</f>
        <v>0</v>
      </c>
      <c r="H40" s="796"/>
      <c r="I40" s="427" t="s">
        <v>1182</v>
      </c>
      <c r="J40" s="46">
        <f t="shared" si="1"/>
        <v>1.3000000000000005E-2</v>
      </c>
      <c r="L40" s="1" t="s">
        <v>590</v>
      </c>
      <c r="M40" s="1" t="s">
        <v>216</v>
      </c>
      <c r="N40" s="1" t="s">
        <v>260</v>
      </c>
      <c r="O40" s="51">
        <v>0.11900000000000001</v>
      </c>
    </row>
    <row r="41" spans="1:18" x14ac:dyDescent="0.25">
      <c r="A41" s="454">
        <v>5</v>
      </c>
      <c r="B41" s="314" t="str">
        <f>'Customer Inputs'!Y10</f>
        <v/>
      </c>
      <c r="C41" s="1">
        <f>'Customer Inputs'!P10</f>
        <v>0</v>
      </c>
      <c r="D41" s="438">
        <f>'Multi-Customer'!$EK$9</f>
        <v>0</v>
      </c>
      <c r="E41" s="1170">
        <f>'Multi-Customer'!$EK$10</f>
        <v>0</v>
      </c>
      <c r="F41" s="439">
        <f>D41*C41</f>
        <v>0</v>
      </c>
      <c r="G41" s="440">
        <f>E41*C41</f>
        <v>0</v>
      </c>
      <c r="H41" s="796"/>
      <c r="I41" s="427" t="s">
        <v>1183</v>
      </c>
      <c r="J41" s="46">
        <f t="shared" si="1"/>
        <v>1.3500000000000005E-2</v>
      </c>
      <c r="L41" s="1" t="s">
        <v>591</v>
      </c>
      <c r="M41" s="1" t="s">
        <v>270</v>
      </c>
      <c r="N41" s="1" t="s">
        <v>260</v>
      </c>
      <c r="O41" s="51">
        <v>0.15</v>
      </c>
    </row>
    <row r="42" spans="1:18" x14ac:dyDescent="0.25">
      <c r="A42" s="454">
        <v>6</v>
      </c>
      <c r="B42" s="314" t="str">
        <f>'Customer Inputs'!Y11</f>
        <v/>
      </c>
      <c r="C42" s="1">
        <f>'Customer Inputs'!P11</f>
        <v>0</v>
      </c>
      <c r="D42" s="438">
        <f>'Multi-Customer'!$FG$9</f>
        <v>0</v>
      </c>
      <c r="E42" s="1170">
        <f>'Multi-Customer'!$FG$10</f>
        <v>0</v>
      </c>
      <c r="F42" s="439">
        <f>D42*C42</f>
        <v>0</v>
      </c>
      <c r="G42" s="440">
        <f>E42*C42</f>
        <v>0</v>
      </c>
      <c r="H42" s="796"/>
      <c r="I42" s="797" t="s">
        <v>1184</v>
      </c>
      <c r="J42" s="46">
        <f t="shared" si="1"/>
        <v>1.4000000000000005E-2</v>
      </c>
      <c r="L42" s="1" t="s">
        <v>592</v>
      </c>
      <c r="M42" s="1" t="s">
        <v>214</v>
      </c>
      <c r="N42" s="1" t="s">
        <v>15</v>
      </c>
      <c r="O42" s="51">
        <v>4.5999999999999999E-2</v>
      </c>
    </row>
    <row r="43" spans="1:18" x14ac:dyDescent="0.25">
      <c r="A43" s="454">
        <v>7</v>
      </c>
      <c r="B43" s="314" t="str">
        <f>'Customer Inputs'!Y12</f>
        <v/>
      </c>
      <c r="C43" s="1">
        <f>'Customer Inputs'!P12</f>
        <v>0</v>
      </c>
      <c r="D43" s="438">
        <f>'Multi-Customer'!$GC$9</f>
        <v>0</v>
      </c>
      <c r="E43" s="1170">
        <f>'Multi-Customer'!$GC$10</f>
        <v>0</v>
      </c>
      <c r="F43" s="439">
        <f>D43*C43</f>
        <v>0</v>
      </c>
      <c r="G43" s="440">
        <f>E43*C43</f>
        <v>0</v>
      </c>
      <c r="L43" s="1" t="s">
        <v>593</v>
      </c>
      <c r="M43" s="1" t="s">
        <v>215</v>
      </c>
      <c r="N43" s="1" t="s">
        <v>15</v>
      </c>
      <c r="O43" s="51">
        <v>0.109</v>
      </c>
    </row>
    <row r="44" spans="1:18" x14ac:dyDescent="0.25">
      <c r="A44" s="454">
        <v>8</v>
      </c>
      <c r="B44" s="314" t="str">
        <f>'Customer Inputs'!Y13</f>
        <v/>
      </c>
      <c r="C44" s="1">
        <f>'Customer Inputs'!P13</f>
        <v>0</v>
      </c>
      <c r="D44" s="438">
        <f>'Multi-Customer'!$GY$9</f>
        <v>0</v>
      </c>
      <c r="E44" s="1170">
        <f>'Multi-Customer'!$GY$10</f>
        <v>0</v>
      </c>
      <c r="F44" s="439">
        <f>D44*C44</f>
        <v>0</v>
      </c>
      <c r="G44" s="440">
        <f>E44*C44</f>
        <v>0</v>
      </c>
      <c r="L44" s="1" t="s">
        <v>594</v>
      </c>
      <c r="M44" s="1" t="s">
        <v>216</v>
      </c>
      <c r="N44" s="1" t="s">
        <v>15</v>
      </c>
      <c r="O44" s="51">
        <v>0.11600000000000001</v>
      </c>
    </row>
    <row r="45" spans="1:18" x14ac:dyDescent="0.25">
      <c r="A45" s="454">
        <v>9</v>
      </c>
      <c r="B45" s="314" t="str">
        <f>'Customer Inputs'!Y14</f>
        <v/>
      </c>
      <c r="C45" s="1">
        <f>'Customer Inputs'!P14</f>
        <v>0</v>
      </c>
      <c r="D45" s="438">
        <f>'Multi-Customer'!$HU$9</f>
        <v>0</v>
      </c>
      <c r="E45" s="1170">
        <f>'Multi-Customer'!$HU$10</f>
        <v>0</v>
      </c>
      <c r="F45" s="439">
        <f>D45*C45</f>
        <v>0</v>
      </c>
      <c r="G45" s="440">
        <f>E45*C45</f>
        <v>0</v>
      </c>
      <c r="L45" s="1" t="s">
        <v>595</v>
      </c>
      <c r="M45" s="1" t="s">
        <v>270</v>
      </c>
      <c r="N45" s="1" t="s">
        <v>15</v>
      </c>
      <c r="O45" s="51">
        <v>0.11600000000000001</v>
      </c>
    </row>
    <row r="46" spans="1:18" ht="15.75" thickBot="1" x14ac:dyDescent="0.3">
      <c r="A46" s="455">
        <v>10</v>
      </c>
      <c r="B46" s="451" t="str">
        <f>'Customer Inputs'!Y15</f>
        <v/>
      </c>
      <c r="C46" s="33">
        <f>'Customer Inputs'!P15</f>
        <v>0</v>
      </c>
      <c r="D46" s="352">
        <f>'Multi-Customer'!$IQ$9</f>
        <v>0</v>
      </c>
      <c r="E46" s="1170">
        <f>'Multi-Customer'!$IQ$10</f>
        <v>0</v>
      </c>
      <c r="F46" s="441">
        <f>D46*C46</f>
        <v>0</v>
      </c>
      <c r="G46" s="442">
        <f>E46*C46</f>
        <v>0</v>
      </c>
      <c r="L46" s="1" t="s">
        <v>596</v>
      </c>
      <c r="M46" s="1" t="s">
        <v>214</v>
      </c>
      <c r="N46" s="1" t="s">
        <v>45</v>
      </c>
      <c r="O46" s="51">
        <v>5.1999999999999998E-2</v>
      </c>
    </row>
    <row r="47" spans="1:18" ht="15.75" thickBot="1" x14ac:dyDescent="0.3">
      <c r="F47" s="457">
        <f>SUM(F37:F46)</f>
        <v>0</v>
      </c>
      <c r="G47" s="458">
        <f>SUM(G37:G46)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X1" zoomScale="90" zoomScaleNormal="90" workbookViewId="0">
      <selection activeCell="BM14" sqref="BM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51" t="s">
        <v>857</v>
      </c>
      <c r="U1" s="1351"/>
      <c r="V1">
        <f>COUNTIF($AZ$1:$IQ$1,"New Location")</f>
        <v>0</v>
      </c>
      <c r="AW1" s="741" t="e">
        <f>VLOOKUP('Existing Customers'!AB2,'Market Geography'!A:B,2,0)</f>
        <v>#N/A</v>
      </c>
      <c r="AZ1" s="87" t="s">
        <v>822</v>
      </c>
      <c r="BA1" s="88">
        <f>'Customer Inputs'!$G$6</f>
        <v>0</v>
      </c>
      <c r="BB1" s="741" t="e">
        <f>_xlfn.CONCAT($AW$1,"_",IF(NOT(ISBLANK('Customer Inputs'!$H$6)),'Customer Inputs'!$H$6,""),"_",IF(AND(NOT(ISBLANK('Customer Inputs'!$G$6)),'Customer Inputs'!$G$6&lt;&gt;"New"),IF('Customer Inputs'!$M$6&lt;&gt;"Enter Menu Type&gt;&gt;",IF('Customer Inputs'!$R$6=0,'Customer Inputs'!$M$6,'Customer Inputs'!$R$6),'Customer Inputs'!$R$6),""))</f>
        <v>#N/A</v>
      </c>
      <c r="BV1" s="87" t="s">
        <v>823</v>
      </c>
      <c r="BW1" s="88">
        <f>'Customer Inputs'!$G$7</f>
        <v>0</v>
      </c>
      <c r="BX1" s="741" t="e">
        <f>_xlfn.CONCAT($AW$1,"_",IF(NOT(ISBLANK('Customer Inputs'!$H$7)),'Customer Inputs'!$H$7,""),"_",IF(AND(NOT(ISBLANK('Customer Inputs'!$G$7)),'Customer Inputs'!$G$7&lt;&gt;"New"),IF('Customer Inputs'!$M$7&lt;&gt;"Enter Menu Type&gt;&gt;",IF('Customer Inputs'!$R$7=0,'Customer Inputs'!$M$7,'Customer Inputs'!$R$7),'Customer Inputs'!$R$7),""))</f>
        <v>#N/A</v>
      </c>
      <c r="CR1" s="87" t="s">
        <v>824</v>
      </c>
      <c r="CS1" s="88">
        <f>'Customer Inputs'!$G$8</f>
        <v>0</v>
      </c>
      <c r="CT1" s="741" t="e">
        <f>_xlfn.CONCAT($AW$1,"_",IF(NOT(ISBLANK('Customer Inputs'!$H$8)),'Customer Inputs'!$H$8,""),"_",IF(AND(NOT(ISBLANK('Customer Inputs'!$G$8)),'Customer Inputs'!$G$8&lt;&gt;"New"),IF('Customer Inputs'!$M$8&lt;&gt;"Enter Menu Type&gt;&gt;",IF('Customer Inputs'!$R$8=0,'Customer Inputs'!$M$8,'Customer Inputs'!$R$8),'Customer Inputs'!$R$8),""))</f>
        <v>#N/A</v>
      </c>
      <c r="DN1" s="87" t="s">
        <v>825</v>
      </c>
      <c r="DO1" s="392">
        <f>'Customer Inputs'!$G$9</f>
        <v>0</v>
      </c>
      <c r="DP1" s="741" t="e">
        <f>_xlfn.CONCAT($AW$1,"_",IF(NOT(ISBLANK('Customer Inputs'!$H$9)),'Customer Inputs'!$H$9,""),"_",IF(AND(NOT(ISBLANK('Customer Inputs'!$G$9)),'Customer Inputs'!$G$9&lt;&gt;"New"),IF('Customer Inputs'!$M$9&lt;&gt;"Enter Menu Type&gt;&gt;",IF('Customer Inputs'!$R$9=0,'Customer Inputs'!$M$9,'Customer Inputs'!$R$9),'Customer Inputs'!$R$9),""))</f>
        <v>#N/A</v>
      </c>
      <c r="EJ1" s="87" t="s">
        <v>826</v>
      </c>
      <c r="EK1" s="88">
        <f>'Customer Inputs'!$G$10</f>
        <v>0</v>
      </c>
      <c r="EL1" s="741" t="e">
        <f>_xlfn.CONCAT($AW$1,"_",IF(NOT(ISBLANK('Customer Inputs'!$H$10)),'Customer Inputs'!$H$10,""),"_",IF(AND(NOT(ISBLANK('Customer Inputs'!$G$10)),'Customer Inputs'!$G$10&lt;&gt;"New"),IF('Customer Inputs'!$M$10&lt;&gt;"Enter Menu Type&gt;&gt;",IF('Customer Inputs'!$R$10=0,'Customer Inputs'!$M$10,'Customer Inputs'!$R$10),'Customer Inputs'!$R$10),""))</f>
        <v>#N/A</v>
      </c>
      <c r="FF1" s="87" t="s">
        <v>827</v>
      </c>
      <c r="FG1" s="88">
        <f>'Customer Inputs'!$G$11</f>
        <v>0</v>
      </c>
      <c r="FH1" s="741" t="e">
        <f>_xlfn.CONCAT($AW$1,"_",IF(NOT(ISBLANK('Customer Inputs'!$H$11)),'Customer Inputs'!$H$11,""),"_",IF(AND(NOT(ISBLANK('Customer Inputs'!$G$11)),'Customer Inputs'!$G$11&lt;&gt;"New"),IF('Customer Inputs'!$M$11&lt;&gt;"Enter Menu Type&gt;&gt;",IF('Customer Inputs'!$R$11=0,'Customer Inputs'!$M$11,'Customer Inputs'!$R$11),'Customer Inputs'!$R$11),""))</f>
        <v>#N/A</v>
      </c>
      <c r="GB1" s="87" t="s">
        <v>828</v>
      </c>
      <c r="GC1" s="88">
        <f>'Customer Inputs'!$G$12</f>
        <v>0</v>
      </c>
      <c r="GD1" s="741" t="e">
        <f>_xlfn.CONCAT($AW$1,"_",IF(NOT(ISBLANK('Customer Inputs'!$H$12)),'Customer Inputs'!$H$12,""),"_",IF(AND(NOT(ISBLANK('Customer Inputs'!$G$12)),'Customer Inputs'!$G$12&lt;&gt;"New"),IF('Customer Inputs'!$M$12&lt;&gt;"Enter Menu Type&gt;&gt;",IF('Customer Inputs'!$R$12=0,'Customer Inputs'!$M$12,'Customer Inputs'!$R$12),'Customer Inputs'!$R$12),""))</f>
        <v>#N/A</v>
      </c>
      <c r="GX1" s="87" t="s">
        <v>829</v>
      </c>
      <c r="GY1" s="88">
        <f>'Customer Inputs'!$G$13</f>
        <v>0</v>
      </c>
      <c r="GZ1" s="741" t="e">
        <f>_xlfn.CONCAT($AW$1,"_",IF(NOT(ISBLANK('Customer Inputs'!$H$13)),'Customer Inputs'!$H$13,""),"_",IF(AND(NOT(ISBLANK('Customer Inputs'!$G$13)),'Customer Inputs'!$G$13&lt;&gt;"New"),IF('Customer Inputs'!$M$13&lt;&gt;"Enter Menu Type&gt;&gt;",IF('Customer Inputs'!$R$13=0,'Customer Inputs'!$M$13,'Customer Inputs'!$R$13),'Customer Inputs'!$R$13),""))</f>
        <v>#N/A</v>
      </c>
      <c r="HT1" s="87" t="s">
        <v>830</v>
      </c>
      <c r="HU1" s="88">
        <f>'Customer Inputs'!$G$14</f>
        <v>0</v>
      </c>
      <c r="HV1" s="741" t="e">
        <f>_xlfn.CONCAT($AW$1,"_",IF(NOT(ISBLANK('Customer Inputs'!$H$14)),'Customer Inputs'!$H$14,""),"_",IF(AND(NOT(ISBLANK('Customer Inputs'!$G$14)),'Customer Inputs'!$G$14&lt;&gt;"New"),IF('Customer Inputs'!$M$14&lt;&gt;"Enter Menu Type&gt;&gt;",IF('Customer Inputs'!$R$14=0,'Customer Inputs'!$M$14,'Customer Inputs'!$R$14),'Customer Inputs'!$R$14),""))</f>
        <v>#N/A</v>
      </c>
      <c r="IP1" s="87" t="s">
        <v>831</v>
      </c>
      <c r="IQ1" s="88">
        <f>'Customer Inputs'!$G$15</f>
        <v>0</v>
      </c>
      <c r="IR1" s="741" t="e">
        <f>_xlfn.CONCAT($AW$1,"_",IF(NOT(ISBLANK('Customer Inputs'!$H$15)),'Customer Inputs'!$H$15,""),"_",IF(AND(NOT(ISBLANK('Customer Inputs'!$G$15)),'Customer Inputs'!$G$15&lt;&gt;"New"),IF('Customer Inputs'!$M$15&lt;&gt;"Enter Menu Type&gt;&gt;",IF('Customer Inputs'!$R$15=0,'Customer Inputs'!$M$15,'Customer Inputs'!$R$15),'Customer Inputs'!$R$15),""))</f>
        <v>#N/A</v>
      </c>
    </row>
    <row r="2" spans="2:286" x14ac:dyDescent="0.25">
      <c r="T2" s="85"/>
      <c r="U2" s="85"/>
      <c r="AZ2" s="85" t="s">
        <v>927</v>
      </c>
      <c r="BA2" s="88" t="str">
        <f>'Customer Inputs'!$K$6</f>
        <v/>
      </c>
      <c r="BB2" s="1519">
        <f>'Customer Inputs'!$U$6</f>
        <v>0</v>
      </c>
      <c r="BV2" s="85" t="s">
        <v>927</v>
      </c>
      <c r="BW2" s="88" t="str">
        <f>'Customer Inputs'!$K$7</f>
        <v/>
      </c>
      <c r="BX2" s="1520">
        <f>'Customer Inputs'!$U$7</f>
        <v>0</v>
      </c>
      <c r="CR2" s="85" t="s">
        <v>927</v>
      </c>
      <c r="CS2" s="88" t="str">
        <f>'Customer Inputs'!$K$8</f>
        <v/>
      </c>
      <c r="CT2" s="1520">
        <f>'Customer Inputs'!$U$8</f>
        <v>0</v>
      </c>
      <c r="DN2" s="85" t="s">
        <v>927</v>
      </c>
      <c r="DO2" s="88" t="str">
        <f>'Customer Inputs'!$K$9</f>
        <v/>
      </c>
      <c r="DP2" s="1520">
        <f>'Customer Inputs'!$U$9</f>
        <v>0</v>
      </c>
      <c r="EJ2" s="85" t="s">
        <v>927</v>
      </c>
      <c r="EK2" s="88" t="str">
        <f>'Customer Inputs'!$K$10</f>
        <v/>
      </c>
      <c r="EL2" s="1520">
        <f>'Customer Inputs'!$U$10</f>
        <v>0</v>
      </c>
      <c r="FF2" s="85" t="s">
        <v>927</v>
      </c>
      <c r="FG2" s="88" t="str">
        <f>'Customer Inputs'!$K$11</f>
        <v/>
      </c>
      <c r="FH2" s="1520">
        <f>'Customer Inputs'!$U$11</f>
        <v>0</v>
      </c>
      <c r="GB2" s="85" t="s">
        <v>927</v>
      </c>
      <c r="GC2" s="88" t="str">
        <f>'Customer Inputs'!$K$12</f>
        <v/>
      </c>
      <c r="GD2" s="1520">
        <f>'Customer Inputs'!$U$12</f>
        <v>0</v>
      </c>
      <c r="GX2" s="85" t="s">
        <v>927</v>
      </c>
      <c r="GY2" s="88" t="str">
        <f>'Customer Inputs'!$K$13</f>
        <v/>
      </c>
      <c r="GZ2" s="1520">
        <f>'Customer Inputs'!$U$13</f>
        <v>0</v>
      </c>
      <c r="HT2" s="85" t="s">
        <v>927</v>
      </c>
      <c r="HU2" s="88" t="str">
        <f>'Customer Inputs'!$K$14</f>
        <v/>
      </c>
      <c r="HV2" s="1520">
        <f>'Customer Inputs'!$U$14</f>
        <v>0</v>
      </c>
      <c r="IP2" s="85" t="s">
        <v>927</v>
      </c>
      <c r="IQ2" s="88" t="str">
        <f>'Customer Inputs'!$K$15</f>
        <v/>
      </c>
      <c r="IR2" s="1519">
        <f>'Customer Inputs'!$U$15</f>
        <v>0</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51" t="s">
        <v>858</v>
      </c>
      <c r="U5" s="1351"/>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51"/>
      <c r="U6" s="1351"/>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1481</v>
      </c>
      <c r="BA10" s="395">
        <f>IFERROR($BH$35/$BA$35,0)</f>
        <v>0</v>
      </c>
      <c r="BV10" s="1151" t="s">
        <v>1481</v>
      </c>
      <c r="BW10" s="395">
        <f>IFERROR($CD$35/$BW$35,0)</f>
        <v>0</v>
      </c>
      <c r="CR10" s="1151" t="s">
        <v>1481</v>
      </c>
      <c r="CS10" s="395">
        <f>IFERROR($CZ$35/$CS$35,0)</f>
        <v>0</v>
      </c>
      <c r="DN10" s="1151" t="s">
        <v>1481</v>
      </c>
      <c r="DO10" s="395">
        <f>IFERROR($DV$35/$DO$35,0)</f>
        <v>0</v>
      </c>
      <c r="EJ10" s="1151" t="s">
        <v>1481</v>
      </c>
      <c r="EK10" s="395">
        <f>IFERROR($ER$35/$EK$35,0)</f>
        <v>0</v>
      </c>
      <c r="FF10" s="1151" t="s">
        <v>1481</v>
      </c>
      <c r="FG10" s="395">
        <f>IFERROR($FN$35/$FG$35,0)</f>
        <v>0</v>
      </c>
      <c r="GB10" s="1151" t="s">
        <v>1481</v>
      </c>
      <c r="GC10" s="395">
        <f>IFERROR($GJ$35/$GC$35,0)</f>
        <v>0</v>
      </c>
      <c r="GX10" s="1151" t="s">
        <v>1481</v>
      </c>
      <c r="GY10" s="395">
        <f>IFERROR($HF$35/$GY$35,0)</f>
        <v>0</v>
      </c>
      <c r="HT10" s="1151" t="s">
        <v>1481</v>
      </c>
      <c r="HU10" s="395">
        <f>IFERROR($IB$35/$HU$35,0)</f>
        <v>0</v>
      </c>
      <c r="IP10" s="1151" t="s">
        <v>1481</v>
      </c>
      <c r="IQ10" s="395">
        <f>IFERROR($IX$35/$IQ$35,0)</f>
        <v>0</v>
      </c>
    </row>
    <row r="11" spans="2:286" ht="15.75" thickBot="1" x14ac:dyDescent="0.3">
      <c r="S11" s="85" t="s">
        <v>842</v>
      </c>
      <c r="U11" t="s">
        <v>972</v>
      </c>
      <c r="V11" s="24">
        <f>IFERROR(V35/U35,0)</f>
        <v>0</v>
      </c>
      <c r="AC11" t="s">
        <v>975</v>
      </c>
      <c r="AH11" t="s">
        <v>1029</v>
      </c>
      <c r="AU11" s="1352" t="s">
        <v>1030</v>
      </c>
      <c r="JK11" t="s">
        <v>1026</v>
      </c>
      <c r="JT11" t="s">
        <v>1027</v>
      </c>
    </row>
    <row r="12" spans="2:286" ht="13.9" customHeight="1" thickBot="1" x14ac:dyDescent="0.3">
      <c r="C12" t="s">
        <v>976</v>
      </c>
      <c r="S12" s="85"/>
      <c r="AB12" s="473" t="s">
        <v>934</v>
      </c>
      <c r="AC12" s="474" t="s">
        <v>935</v>
      </c>
      <c r="AD12" s="475" t="s">
        <v>936</v>
      </c>
      <c r="AE12" s="476"/>
      <c r="AF12" s="476"/>
      <c r="AI12" s="473" t="s">
        <v>1028</v>
      </c>
      <c r="AJ12" s="476"/>
      <c r="AK12" s="476"/>
      <c r="AU12" s="1352"/>
      <c r="AZ12" s="85"/>
      <c r="BA12" s="1166" t="str">
        <f>IF(AND($BA$2="Enter Spend&gt;&gt;&gt;",BB2="PROSPECT"),"Spec"&amp;"Sales","Exist"&amp;"Sales")</f>
        <v>ExistSales</v>
      </c>
      <c r="BB12" s="410" t="str">
        <f>IF(AND($BA$2="Enter Spend&gt;&gt;&gt;",BB2="PROSPECT"),"Spec"&amp;"Cases","Exist"&amp;"Cases")</f>
        <v>ExistCases</v>
      </c>
      <c r="BC12" s="410" t="str">
        <f>IF(AND($BA$2="Enter Spend&gt;&gt;&gt;",BB2="PROSPECT"),"Spec"&amp;"Ebcases","Exist"&amp;"Ebcases")</f>
        <v>ExistEbcases</v>
      </c>
      <c r="BD12" s="410" t="str">
        <f>IF(AND($BA$2="Enter Spend&gt;&gt;&gt;",BB2="PROSPECT"),"Spec"&amp;"Weight","Exist"&amp;"Weight")</f>
        <v>ExistWeight</v>
      </c>
      <c r="BE12" s="410" t="str">
        <f>IF(AND($BA$2="Enter Spend&gt;&gt;&gt;",BB2="PROSPECT"),"Spec"&amp;"TAGP","Exist"&amp;"TAGP")</f>
        <v>ExistTAGP</v>
      </c>
      <c r="BF12" s="411" t="str">
        <f>IF(AND($BA$2="Enter Spend&gt;&gt;&gt;",BB2="PROSPECT"),"Spec"&amp;"TGP","Exist"&amp;"TGP")</f>
        <v>ExistTGP</v>
      </c>
      <c r="BG12" s="411" t="str">
        <f>IF(AND($BA$2="Enter Spend&gt;&gt;&gt;",BB2="PROSPECT"),"Spec"&amp;"PA $","Exist"&amp;"PA $")</f>
        <v>ExistPA $</v>
      </c>
      <c r="BH12" s="411" t="str">
        <f>IF(AND($BA$2="Enter Spend&gt;&gt;&gt;",BB2="PROSPECT"),"Spec"&amp;"SFD $","Exist"&amp;"SFD $")</f>
        <v>ExistSFD $</v>
      </c>
      <c r="BI12" s="404"/>
      <c r="BJ12" s="404"/>
      <c r="BK12" s="404"/>
      <c r="BL12" s="404"/>
      <c r="BM12" s="404"/>
      <c r="BN12" s="404"/>
      <c r="BO12" s="404"/>
      <c r="BP12" s="404"/>
      <c r="BQ12" s="404"/>
      <c r="BR12" s="404"/>
      <c r="BS12" s="404"/>
      <c r="BT12" s="404"/>
      <c r="BU12" s="404"/>
      <c r="BV12" s="404"/>
      <c r="BW12" s="410" t="str">
        <f>IF(AND($BW$2="Enter Spend&gt;&gt;&gt;",BX2="PROSPECT"),"Spec"&amp;"Sales","Exist"&amp;"Sales")</f>
        <v>ExistSales</v>
      </c>
      <c r="BX12" s="410" t="str">
        <f>IF(AND($BW$2="Enter Spend&gt;&gt;&gt;",BX2="PROSPECT"),"Spec"&amp;"Cases","Exist"&amp;"Cases")</f>
        <v>ExistCases</v>
      </c>
      <c r="BY12" s="410" t="str">
        <f>IF(AND($BW$2="Enter Spend&gt;&gt;&gt;",BX2="PROSPECT"),"Spec"&amp;"Ebcases","Exist"&amp;"Ebcases")</f>
        <v>ExistEbcases</v>
      </c>
      <c r="BZ12" s="410" t="str">
        <f>IF(AND($BW$2="Enter Spend&gt;&gt;&gt;",BX2="PROSPECT"),"Spec"&amp;"Weight","Exist"&amp;"Weight")</f>
        <v>ExistWeight</v>
      </c>
      <c r="CA12" s="410" t="str">
        <f>IF(AND($BW$2="Enter Spend&gt;&gt;&gt;",BX2="PROSPECT"),"Spec"&amp;"TAGP","Exist"&amp;"TAGP")</f>
        <v>ExistTAGP</v>
      </c>
      <c r="CB12" s="410" t="str">
        <f>IF(AND($BW$2="Enter Spend&gt;&gt;&gt;",BX2="PROSPECT"),"Spec"&amp;"TGP","Exist"&amp;"TGP")</f>
        <v>ExistTGP</v>
      </c>
      <c r="CC12" s="410" t="str">
        <f>IF(AND($BW$2="Enter Spend&gt;&gt;&gt;",BX2="PROSPECT"),"Spec"&amp;"PA $","Exist"&amp;"PA $")</f>
        <v>ExistPA $</v>
      </c>
      <c r="CD12" s="410" t="str">
        <f>IF(AND($BW$2="Enter Spend&gt;&gt;&gt;",BX2="PROSPECT"),"Spec"&amp;"SFD $","Exist"&amp;"SFD $")</f>
        <v>ExistSFD $</v>
      </c>
      <c r="CE12" s="404"/>
      <c r="CF12" s="404"/>
      <c r="CG12" s="404"/>
      <c r="CH12" s="404"/>
      <c r="CI12" s="404"/>
      <c r="CJ12" s="404"/>
      <c r="CK12" s="404"/>
      <c r="CL12" s="404"/>
      <c r="CM12" s="404"/>
      <c r="CN12" s="404"/>
      <c r="CO12" s="404"/>
      <c r="CP12" s="404"/>
      <c r="CQ12" s="404"/>
      <c r="CR12" s="404"/>
      <c r="CS12" s="409" t="str">
        <f>IF(AND($CS$2="Enter Spend&gt;&gt;&gt;",CT2="PROSPECT"),"Spec"&amp;"Sales","Exist"&amp;"Sales")</f>
        <v>ExistSales</v>
      </c>
      <c r="CT12" s="410" t="str">
        <f>IF(AND($CS$2="Enter Spend&gt;&gt;&gt;",CT2="PROSPECT"),"Spec"&amp;"Cases","Exist"&amp;"Cases")</f>
        <v>ExistCases</v>
      </c>
      <c r="CU12" s="410" t="str">
        <f>IF(AND($CS$2="Enter Spend&gt;&gt;&gt;",CT2="PROSPECT"),"Spec"&amp;"Ebcases","Exist"&amp;"Ebcases")</f>
        <v>ExistEbcases</v>
      </c>
      <c r="CV12" s="410" t="str">
        <f>IF(AND($CS$2="Enter Spend&gt;&gt;&gt;",CT2="PROSPECT"),"Spec"&amp;"Weight","Exist"&amp;"Weight")</f>
        <v>ExistWeight</v>
      </c>
      <c r="CW12" s="410" t="str">
        <f>IF(AND($CS$2="Enter Spend&gt;&gt;&gt;",CT2="PROSPECT"),"Spec"&amp;"TAGP","Exist"&amp;"TAGP")</f>
        <v>ExistTAGP</v>
      </c>
      <c r="CX12" s="411" t="str">
        <f>IF(AND($CS$2="Enter Spend&gt;&gt;&gt;",CT2="PROSPECT"),"Spec"&amp;"TGP","Exist"&amp;"TGP")</f>
        <v>ExistTGP</v>
      </c>
      <c r="CY12" s="411" t="str">
        <f>IF(AND($CS$2="Enter Spend&gt;&gt;&gt;",CT2="PROSPECT"),"Spec"&amp;"PA $","Exist"&amp;"PA $")</f>
        <v>ExistPA $</v>
      </c>
      <c r="CZ12" s="411" t="str">
        <f>IF(AND($CS$2="Enter Spend&gt;&gt;&gt;",CT2="PROSPECT"),"Spec"&amp;"SFD $","Exist"&amp;"SFD $")</f>
        <v>ExistSFD $</v>
      </c>
      <c r="DA12" s="404"/>
      <c r="DB12" s="404"/>
      <c r="DC12" s="404"/>
      <c r="DD12" s="404"/>
      <c r="DE12" s="404"/>
      <c r="DF12" s="404"/>
      <c r="DG12" s="404"/>
      <c r="DH12" s="404"/>
      <c r="DI12" s="404"/>
      <c r="DJ12" s="404"/>
      <c r="DK12" s="404"/>
      <c r="DL12" s="404"/>
      <c r="DM12" s="404"/>
      <c r="DN12" s="404"/>
      <c r="DO12" s="409" t="str">
        <f>IF(AND($DO$2="Enter Spend&gt;&gt;&gt;",DP2="PROSPECT"),"Spec"&amp;"Sales","Exist"&amp;"Sales")</f>
        <v>ExistSales</v>
      </c>
      <c r="DP12" s="410" t="str">
        <f>IF(AND($DO$2="Enter Spend&gt;&gt;&gt;",DP2="PROSPECT"),"Spec"&amp;"Cases","Exist"&amp;"Cases")</f>
        <v>ExistCases</v>
      </c>
      <c r="DQ12" s="410" t="str">
        <f>IF(AND($DO$2="Enter Spend&gt;&gt;&gt;",DP2="PROSPECT"),"Spec"&amp;"Ebcases","Exist"&amp;"Ebcases")</f>
        <v>ExistEbcases</v>
      </c>
      <c r="DR12" s="410" t="str">
        <f>IF(AND($DO$2="Enter Spend&gt;&gt;&gt;",DP2="PROSPECT"),"Spec"&amp;"Weight","Exist"&amp;"Weight")</f>
        <v>ExistWeight</v>
      </c>
      <c r="DS12" s="410" t="str">
        <f>IF(AND($DO$2="Enter Spend&gt;&gt;&gt;",DP2="PROSPECT"),"Spec"&amp;"TAGP","Exist"&amp;"TAGP")</f>
        <v>ExistTAGP</v>
      </c>
      <c r="DT12" s="411" t="str">
        <f>IF(AND($DO$2="Enter Spend&gt;&gt;&gt;",DP2="PROSPECT"),"Spec"&amp;"TGP","Exist"&amp;"TGP")</f>
        <v>ExistTGP</v>
      </c>
      <c r="DU12" s="411" t="str">
        <f>IF(AND($DO$2="Enter Spend&gt;&gt;&gt;",DP2="PROSPECT"),"Spec"&amp;"PA $","Exist"&amp;"PA $")</f>
        <v>ExistPA $</v>
      </c>
      <c r="DV12" s="411" t="str">
        <f>IF(AND($DO$2="Enter Spend&gt;&gt;&gt;",DP2="PROSPECT"),"Spec"&amp;"SFD $","Exist"&amp;"SFD $")</f>
        <v>ExistSFD $</v>
      </c>
      <c r="DW12" s="404"/>
      <c r="DX12" s="404"/>
      <c r="DY12" s="404"/>
      <c r="DZ12" s="404"/>
      <c r="EA12" s="404"/>
      <c r="EB12" s="404"/>
      <c r="EC12" s="404"/>
      <c r="ED12" s="404"/>
      <c r="EE12" s="404"/>
      <c r="EF12" s="404"/>
      <c r="EG12" s="404"/>
      <c r="EH12" s="404"/>
      <c r="EI12" s="404"/>
      <c r="EJ12" s="404"/>
      <c r="EK12" s="409" t="str">
        <f>IF(AND($EK$2="Enter Spend&gt;&gt;&gt;",EL2="PROSPECT"),"Spec"&amp;"Sales","Exist"&amp;"Sales")</f>
        <v>ExistSales</v>
      </c>
      <c r="EL12" s="410" t="str">
        <f>IF(AND($EK$2="Enter Spend&gt;&gt;&gt;",EL2="PROSPECT"),"Spec"&amp;"Cases","Exist"&amp;"Cases")</f>
        <v>ExistCases</v>
      </c>
      <c r="EM12" s="410" t="str">
        <f>IF(AND($EK$2="Enter Spend&gt;&gt;&gt;",EL2="PROSPECT"),"Spec"&amp;"Ebcases","Exist"&amp;"Ebcases")</f>
        <v>ExistEbcases</v>
      </c>
      <c r="EN12" s="410" t="str">
        <f>IF(AND($EK$2="Enter Spend&gt;&gt;&gt;",EL2="PROSPECT"),"Spec"&amp;"Weight","Exist"&amp;"Weight")</f>
        <v>ExistWeight</v>
      </c>
      <c r="EO12" s="410" t="str">
        <f>IF(AND($EK$2="Enter Spend&gt;&gt;&gt;",EL2="PROSPECT"),"Spec"&amp;"TAGP","Exist"&amp;"TAGP")</f>
        <v>ExistTAGP</v>
      </c>
      <c r="EP12" s="411" t="str">
        <f>IF(AND($EK$2="Enter Spend&gt;&gt;&gt;",EL2="PROSPECT"),"Spec"&amp;"TGP","Exist"&amp;"TGP")</f>
        <v>ExistTGP</v>
      </c>
      <c r="EQ12" s="411" t="str">
        <f>IF(AND($EK$2="Enter Spend&gt;&gt;&gt;",EL2="PROSPECT"),"Spec"&amp;"PA $","Exist"&amp;"PA $")</f>
        <v>ExistPA $</v>
      </c>
      <c r="ER12" s="411" t="str">
        <f>IF(AND($EK$2="Enter Spend&gt;&gt;&gt;",EL2="PROSPECT"),"Spec"&amp;"SFD $","Exist"&amp;"SFD $")</f>
        <v>ExistSFD $</v>
      </c>
      <c r="ES12" s="404"/>
      <c r="ET12" s="404"/>
      <c r="EU12" s="404"/>
      <c r="EV12" s="404"/>
      <c r="EW12" s="404"/>
      <c r="EX12" s="404"/>
      <c r="EY12" s="404"/>
      <c r="EZ12" s="404"/>
      <c r="FA12" s="404"/>
      <c r="FB12" s="404"/>
      <c r="FC12" s="404"/>
      <c r="FD12" s="404"/>
      <c r="FE12" s="404"/>
      <c r="FF12" s="404"/>
      <c r="FG12" s="409" t="str">
        <f>IF(AND($FG$2="Enter Spend&gt;&gt;&gt;",FH2="PROSPECT"),"Spec"&amp;"Sales","Exist"&amp;"Sales")</f>
        <v>ExistSales</v>
      </c>
      <c r="FH12" s="410" t="str">
        <f>IF(AND($FG$2="Enter Spend&gt;&gt;&gt;",FH2="PROSPECT"),"Spec"&amp;"Cases","Exist"&amp;"Cases")</f>
        <v>ExistCases</v>
      </c>
      <c r="FI12" s="410" t="str">
        <f>IF(AND($FG$2="Enter Spend&gt;&gt;&gt;",FH2="PROSPECT"),"Spec"&amp;"Ebcases","Exist"&amp;"Ebcases")</f>
        <v>ExistEbcases</v>
      </c>
      <c r="FJ12" s="410" t="str">
        <f>IF(AND($FG$2="Enter Spend&gt;&gt;&gt;",FH2="PROSPECT"),"Spec"&amp;"Weight","Exist"&amp;"Weight")</f>
        <v>ExistWeight</v>
      </c>
      <c r="FK12" s="410" t="str">
        <f>IF(AND($FG$2="Enter Spend&gt;&gt;&gt;",FH2="PROSPECT"),"Spec"&amp;"TAGP","Exist"&amp;"TAGP")</f>
        <v>ExistTAGP</v>
      </c>
      <c r="FL12" s="411" t="str">
        <f>IF(AND($FG$2="Enter Spend&gt;&gt;&gt;",FH2="PROSPECT"),"Spec"&amp;"TGP","Exist"&amp;"TGP")</f>
        <v>ExistTGP</v>
      </c>
      <c r="FM12" s="411" t="str">
        <f>IF(AND($FG$2="Enter Spend&gt;&gt;&gt;",FH2="PROSPECT"),"Spec"&amp;"PA $","Exist"&amp;"PA $")</f>
        <v>ExistPA $</v>
      </c>
      <c r="FN12" s="411" t="str">
        <f>IF(AND($FG$2="Enter Spend&gt;&gt;&gt;",FH2="PROSPECT"),"Spec"&amp;"SFD $","Exist"&amp;"SFD $")</f>
        <v>ExistSFD $</v>
      </c>
      <c r="FO12" s="404"/>
      <c r="FP12" s="404"/>
      <c r="FQ12" s="404"/>
      <c r="FR12" s="404"/>
      <c r="FS12" s="404"/>
      <c r="FT12" s="404"/>
      <c r="FU12" s="404"/>
      <c r="FV12" s="404"/>
      <c r="FW12" s="404"/>
      <c r="FX12" s="404"/>
      <c r="FY12" s="404"/>
      <c r="FZ12" s="404"/>
      <c r="GA12" s="404"/>
      <c r="GB12" s="404"/>
      <c r="GC12" s="409" t="str">
        <f>IF(AND($GC$2="Enter Spend&gt;&gt;&gt;",GD2="PROSPECT"),"Spec"&amp;"Sales","Exist"&amp;"Sales")</f>
        <v>ExistSales</v>
      </c>
      <c r="GD12" s="410" t="str">
        <f>IF(AND($GC$2="Enter Spend&gt;&gt;&gt;",GD2="PROSPECT"),"Spec"&amp;"Cases","Exist"&amp;"Cases")</f>
        <v>ExistCases</v>
      </c>
      <c r="GE12" s="410" t="str">
        <f>IF(AND($GC$2="Enter Spend&gt;&gt;&gt;",GD2="PROSPECT"),"Spec"&amp;"Ebcases","Exist"&amp;"Ebcases")</f>
        <v>ExistEbcases</v>
      </c>
      <c r="GF12" s="410" t="str">
        <f>IF(AND($GC$2="Enter Spend&gt;&gt;&gt;",GD2="PROSPECT"),"Spec"&amp;"Weight","Exist"&amp;"Weight")</f>
        <v>ExistWeight</v>
      </c>
      <c r="GG12" s="410" t="str">
        <f>IF(AND($GC$2="Enter Spend&gt;&gt;&gt;",GD2="PROSPECT"),"Spec"&amp;"TAGP","Exist"&amp;"TAGP")</f>
        <v>ExistTAGP</v>
      </c>
      <c r="GH12" s="411" t="str">
        <f>IF(AND($GC$2="Enter Spend&gt;&gt;&gt;",GD2="PROSPECT"),"Spec"&amp;"TGP","Exist"&amp;"TGP")</f>
        <v>ExistTGP</v>
      </c>
      <c r="GI12" s="411" t="str">
        <f>IF(AND($GC$2="Enter Spend&gt;&gt;&gt;",GD2="PROSPECT"),"Spec"&amp;"PA $","Exist"&amp;"PA $")</f>
        <v>ExistPA $</v>
      </c>
      <c r="GJ12" s="411" t="str">
        <f>IF(AND($GC$2="Enter Spend&gt;&gt;&gt;",GD2="PROSPECT"),"Spec"&amp;"SFD $","Exist"&amp;"SFD $")</f>
        <v>ExistSFD $</v>
      </c>
      <c r="GK12" s="404"/>
      <c r="GL12" s="404"/>
      <c r="GM12" s="404"/>
      <c r="GN12" s="404"/>
      <c r="GO12" s="404"/>
      <c r="GP12" s="404"/>
      <c r="GQ12" s="404"/>
      <c r="GR12" s="404"/>
      <c r="GS12" s="404"/>
      <c r="GT12" s="404"/>
      <c r="GU12" s="404"/>
      <c r="GV12" s="404"/>
      <c r="GW12" s="404"/>
      <c r="GX12" s="404"/>
      <c r="GY12" s="409" t="str">
        <f>IF(AND($GY$2="Enter Spend&gt;&gt;&gt;",GZ2="PROSPECT"),"Spec"&amp;"Sales","Exist"&amp;"Sales")</f>
        <v>ExistSales</v>
      </c>
      <c r="GZ12" s="410" t="str">
        <f>IF(AND($GY$2="Enter Spend&gt;&gt;&gt;",GZ2="PROSPECT"),"Spec"&amp;"Cases","Exist"&amp;"Cases")</f>
        <v>ExistCases</v>
      </c>
      <c r="HA12" s="410" t="str">
        <f>IF(AND($GY$2="Enter Spend&gt;&gt;&gt;",GZ2="PROSPECT"),"Spec"&amp;"Ebcases","Exist"&amp;"Ebcases")</f>
        <v>ExistEbcases</v>
      </c>
      <c r="HB12" s="410" t="str">
        <f>IF(AND($GY$2="Enter Spend&gt;&gt;&gt;",GZ2="PROSPECT"),"Spec"&amp;"Weight","Exist"&amp;"Weight")</f>
        <v>ExistWeight</v>
      </c>
      <c r="HC12" s="410" t="str">
        <f>IF(AND($GY$2="Enter Spend&gt;&gt;&gt;",GZ2="PROSPECT"),"Spec"&amp;"TAGP","Exist"&amp;"TAGP")</f>
        <v>ExistTAGP</v>
      </c>
      <c r="HD12" s="411" t="str">
        <f>IF(AND($GY$2="Enter Spend&gt;&gt;&gt;",GZ2="PROSPECT"),"Spec"&amp;"TGP","Exist"&amp;"TGP")</f>
        <v>ExistTGP</v>
      </c>
      <c r="HE12" s="411" t="str">
        <f>IF(AND($GY$2="Enter Spend&gt;&gt;&gt;",GZ2="PROSPECT"),"Spec"&amp;"PA $","Exist"&amp;"PA $")</f>
        <v>ExistPA $</v>
      </c>
      <c r="HF12" s="411" t="str">
        <f>IF(AND($GY$2="Enter Spend&gt;&gt;&gt;",GZ2="PROSPECT"),"Spec"&amp;"SFD $","Exist"&amp;"SFD $")</f>
        <v>ExistSFD $</v>
      </c>
      <c r="HG12" s="404"/>
      <c r="HH12" s="404"/>
      <c r="HI12" s="404"/>
      <c r="HJ12" s="404"/>
      <c r="HK12" s="404"/>
      <c r="HL12" s="404"/>
      <c r="HM12" s="404"/>
      <c r="HN12" s="404"/>
      <c r="HO12" s="404"/>
      <c r="HP12" s="404"/>
      <c r="HQ12" s="404"/>
      <c r="HR12" s="404"/>
      <c r="HS12" s="404"/>
      <c r="HT12" s="404"/>
      <c r="HU12" s="409" t="str">
        <f>IF(AND($HU$2="Enter Spend&gt;&gt;&gt;",HV2="PROSPECT"),"Spec"&amp;"Sales","Exist"&amp;"Sales")</f>
        <v>ExistSales</v>
      </c>
      <c r="HV12" s="410" t="str">
        <f>IF(AND($HU$2="Enter Spend&gt;&gt;&gt;",HV2="PROSPECT"),"Spec"&amp;"Cases","Exist"&amp;"Cases")</f>
        <v>ExistCases</v>
      </c>
      <c r="HW12" s="410" t="str">
        <f>IF(AND($HU$2="Enter Spend&gt;&gt;&gt;",HV2="PROSPECT"),"Spec"&amp;"Ebcases","Exist"&amp;"Ebcases")</f>
        <v>ExistEbcases</v>
      </c>
      <c r="HX12" s="410" t="str">
        <f>IF(AND($HU$2="Enter Spend&gt;&gt;&gt;",HV2="PROSPECT"),"Spec"&amp;"Weight","Exist"&amp;"Weight")</f>
        <v>ExistWeight</v>
      </c>
      <c r="HY12" s="410" t="str">
        <f>IF(AND($HU$2="Enter Spend&gt;&gt;&gt;",HV2="PROSPECT"),"Spec"&amp;"TAGP","Exist"&amp;"TAGP")</f>
        <v>ExistTAGP</v>
      </c>
      <c r="HZ12" s="411" t="str">
        <f>IF(AND($HU$2="Enter Spend&gt;&gt;&gt;",HV2="PROSPECT"),"Spec"&amp;"TGP","Exist"&amp;"TGP")</f>
        <v>ExistTGP</v>
      </c>
      <c r="IA12" s="411" t="str">
        <f>IF(AND($HU$2="Enter Spend&gt;&gt;&gt;",HV2="PROSPECT"),"Spec"&amp;"PA $","Exist"&amp;"PA $")</f>
        <v>ExistPA $</v>
      </c>
      <c r="IB12" s="411" t="str">
        <f>IF(AND($HU$2="Enter Spend&gt;&gt;&gt;",HV2="PROSPECT"),"Spec"&amp;"SFD $","Exist"&amp;"SFD $")</f>
        <v>ExistSFD $</v>
      </c>
      <c r="IC12" s="404"/>
      <c r="ID12" s="404"/>
      <c r="IE12" s="404"/>
      <c r="IF12" s="404"/>
      <c r="IG12" s="404"/>
      <c r="IH12" s="404"/>
      <c r="II12" s="404"/>
      <c r="IJ12" s="404"/>
      <c r="IK12" s="404"/>
      <c r="IL12" s="404"/>
      <c r="IM12" s="404"/>
      <c r="IN12" s="404"/>
      <c r="IO12" s="404"/>
      <c r="IP12" s="404"/>
      <c r="IQ12" s="409" t="str">
        <f>IF(AND($IQ$2="Enter Spend&gt;&gt;&gt;",IR2="PROSPECT"),"Spec"&amp;"Sales","Exist"&amp;"Sales")</f>
        <v>ExistSales</v>
      </c>
      <c r="IR12" s="410" t="str">
        <f>IF(AND($IQ$2="Enter Spend&gt;&gt;&gt;",IR2="PROSPECT"),"Spec"&amp;"Cases","Exist"&amp;"Cases")</f>
        <v>ExistCases</v>
      </c>
      <c r="IS12" s="410" t="str">
        <f>IF(AND($IQ$2="Enter Spend&gt;&gt;&gt;",IR2="PROSPECT"),"Spec"&amp;"Ebcases","Exist"&amp;"Ebcases")</f>
        <v>ExistEbcases</v>
      </c>
      <c r="IT12" s="410" t="str">
        <f>IF(AND($IQ$2="Enter Spend&gt;&gt;&gt;",IR2="PROSPECT"),"Spec"&amp;"Weight","Exist"&amp;"Weight")</f>
        <v>ExistWeight</v>
      </c>
      <c r="IU12" s="410" t="str">
        <f>IF(AND($IQ$2="Enter Spend&gt;&gt;&gt;",IR2="PROSPECT"),"Spec"&amp;"TAGP","Exist"&amp;"TAGP")</f>
        <v>ExistTAGP</v>
      </c>
      <c r="IV12" s="411" t="str">
        <f>IF(AND($IQ$2="Enter Spend&gt;&gt;&gt;",IR2="PROSPECT"),"Spec"&amp;"TGP","Exist"&amp;"TGP")</f>
        <v>ExistTGP</v>
      </c>
      <c r="IW12" s="411" t="str">
        <f>IF(AND($IQ$2="Enter Spend&gt;&gt;&gt;",IR2="PROSPECT"),"Spec"&amp;"PA $","Exist"&amp;"PA $")</f>
        <v>ExistPA $</v>
      </c>
      <c r="IX12" s="411" t="str">
        <f>IF(AND($IQ$2="Enter Spend&gt;&gt;&gt;",IR2="PROSPECT"),"Spec"&amp;"SFD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1469</v>
      </c>
      <c r="K13" s="477" t="s">
        <v>203</v>
      </c>
      <c r="L13" s="477" t="s">
        <v>1470</v>
      </c>
      <c r="M13" s="477" t="s">
        <v>1471</v>
      </c>
      <c r="N13" s="1156" t="s">
        <v>1472</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1017</v>
      </c>
      <c r="AQ13" s="511"/>
      <c r="AR13" s="511" t="s">
        <v>1068</v>
      </c>
      <c r="AS13" s="394"/>
      <c r="AT13" s="394"/>
      <c r="AU13" s="1352"/>
      <c r="AV13" s="394"/>
      <c r="AW13" s="394"/>
      <c r="AX13" s="394"/>
      <c r="AY13" s="64" t="s">
        <v>930</v>
      </c>
      <c r="AZ13" s="90" t="s">
        <v>108</v>
      </c>
      <c r="BA13" s="91" t="s">
        <v>82</v>
      </c>
      <c r="BB13" s="92" t="s">
        <v>83</v>
      </c>
      <c r="BC13" s="92" t="s">
        <v>404</v>
      </c>
      <c r="BD13" s="92" t="s">
        <v>508</v>
      </c>
      <c r="BE13" s="401" t="s">
        <v>405</v>
      </c>
      <c r="BF13" s="93" t="s">
        <v>200</v>
      </c>
      <c r="BG13" s="93" t="s">
        <v>960</v>
      </c>
      <c r="BH13" s="1162" t="s">
        <v>1473</v>
      </c>
      <c r="BI13" s="93" t="s">
        <v>1474</v>
      </c>
      <c r="BJ13" s="93" t="s">
        <v>1475</v>
      </c>
      <c r="BK13" s="93" t="s">
        <v>1476</v>
      </c>
      <c r="BL13" s="93" t="s">
        <v>1477</v>
      </c>
      <c r="BM13" s="1167" t="s">
        <v>1478</v>
      </c>
      <c r="BN13" s="1167" t="s">
        <v>218</v>
      </c>
      <c r="BO13" s="93" t="s">
        <v>1469</v>
      </c>
      <c r="BP13" s="93" t="s">
        <v>203</v>
      </c>
      <c r="BQ13" s="1167" t="s">
        <v>1479</v>
      </c>
      <c r="BR13" s="1167" t="s">
        <v>1480</v>
      </c>
      <c r="BS13" s="1167" t="s">
        <v>1472</v>
      </c>
      <c r="BT13" s="394"/>
      <c r="BU13" s="64" t="s">
        <v>930</v>
      </c>
      <c r="BV13" s="90" t="s">
        <v>108</v>
      </c>
      <c r="BW13" s="91" t="s">
        <v>82</v>
      </c>
      <c r="BX13" s="92" t="s">
        <v>83</v>
      </c>
      <c r="BY13" s="92" t="s">
        <v>404</v>
      </c>
      <c r="BZ13" s="92" t="s">
        <v>508</v>
      </c>
      <c r="CA13" s="93" t="s">
        <v>405</v>
      </c>
      <c r="CB13" s="93" t="s">
        <v>200</v>
      </c>
      <c r="CC13" s="93" t="s">
        <v>960</v>
      </c>
      <c r="CD13" s="1162" t="s">
        <v>1473</v>
      </c>
      <c r="CE13" s="93" t="s">
        <v>1474</v>
      </c>
      <c r="CF13" s="93" t="s">
        <v>1475</v>
      </c>
      <c r="CG13" s="93" t="s">
        <v>1476</v>
      </c>
      <c r="CH13" s="1167" t="s">
        <v>1477</v>
      </c>
      <c r="CI13" s="1167" t="s">
        <v>1478</v>
      </c>
      <c r="CJ13" s="93" t="s">
        <v>218</v>
      </c>
      <c r="CK13" s="93" t="s">
        <v>1469</v>
      </c>
      <c r="CL13" s="93" t="s">
        <v>203</v>
      </c>
      <c r="CM13" s="1167" t="s">
        <v>1479</v>
      </c>
      <c r="CN13" s="1167" t="s">
        <v>1480</v>
      </c>
      <c r="CO13" s="1167" t="s">
        <v>1472</v>
      </c>
      <c r="CP13" s="394"/>
      <c r="CQ13" s="64" t="s">
        <v>930</v>
      </c>
      <c r="CR13" s="90" t="s">
        <v>108</v>
      </c>
      <c r="CS13" s="91" t="s">
        <v>82</v>
      </c>
      <c r="CT13" s="92" t="s">
        <v>83</v>
      </c>
      <c r="CU13" s="92" t="s">
        <v>404</v>
      </c>
      <c r="CV13" s="92" t="s">
        <v>508</v>
      </c>
      <c r="CW13" s="93" t="s">
        <v>405</v>
      </c>
      <c r="CX13" s="93" t="s">
        <v>200</v>
      </c>
      <c r="CY13" s="93" t="s">
        <v>960</v>
      </c>
      <c r="CZ13" s="93" t="s">
        <v>1473</v>
      </c>
      <c r="DA13" s="93" t="s">
        <v>1474</v>
      </c>
      <c r="DB13" s="93" t="s">
        <v>1475</v>
      </c>
      <c r="DC13" s="93" t="s">
        <v>1476</v>
      </c>
      <c r="DD13" s="1167" t="s">
        <v>1477</v>
      </c>
      <c r="DE13" s="1167" t="s">
        <v>1478</v>
      </c>
      <c r="DF13" s="93" t="s">
        <v>218</v>
      </c>
      <c r="DG13" s="93" t="s">
        <v>1469</v>
      </c>
      <c r="DH13" s="93" t="s">
        <v>203</v>
      </c>
      <c r="DI13" s="1167" t="s">
        <v>1479</v>
      </c>
      <c r="DJ13" s="1167" t="s">
        <v>1480</v>
      </c>
      <c r="DK13" s="1167" t="s">
        <v>1472</v>
      </c>
      <c r="DL13" s="394"/>
      <c r="DM13" s="64" t="s">
        <v>930</v>
      </c>
      <c r="DN13" s="90" t="s">
        <v>108</v>
      </c>
      <c r="DO13" s="91" t="s">
        <v>82</v>
      </c>
      <c r="DP13" s="92" t="s">
        <v>83</v>
      </c>
      <c r="DQ13" s="92" t="s">
        <v>404</v>
      </c>
      <c r="DR13" s="92" t="s">
        <v>508</v>
      </c>
      <c r="DS13" s="93" t="s">
        <v>405</v>
      </c>
      <c r="DT13" s="93" t="s">
        <v>200</v>
      </c>
      <c r="DU13" s="93" t="s">
        <v>960</v>
      </c>
      <c r="DV13" s="93" t="s">
        <v>1473</v>
      </c>
      <c r="DW13" s="93" t="s">
        <v>1474</v>
      </c>
      <c r="DX13" s="93" t="s">
        <v>1475</v>
      </c>
      <c r="DY13" s="93" t="s">
        <v>1476</v>
      </c>
      <c r="DZ13" s="1167" t="s">
        <v>1477</v>
      </c>
      <c r="EA13" s="1167" t="s">
        <v>1478</v>
      </c>
      <c r="EB13" s="93" t="s">
        <v>218</v>
      </c>
      <c r="EC13" s="93" t="s">
        <v>1469</v>
      </c>
      <c r="ED13" s="93" t="s">
        <v>203</v>
      </c>
      <c r="EE13" s="1167" t="s">
        <v>1479</v>
      </c>
      <c r="EF13" s="1167" t="s">
        <v>1480</v>
      </c>
      <c r="EG13" s="1167" t="s">
        <v>1472</v>
      </c>
      <c r="EH13" s="394"/>
      <c r="EI13" s="64" t="s">
        <v>930</v>
      </c>
      <c r="EJ13" s="90" t="s">
        <v>108</v>
      </c>
      <c r="EK13" s="91" t="s">
        <v>82</v>
      </c>
      <c r="EL13" s="92" t="s">
        <v>83</v>
      </c>
      <c r="EM13" s="92" t="s">
        <v>404</v>
      </c>
      <c r="EN13" s="92" t="s">
        <v>508</v>
      </c>
      <c r="EO13" s="93" t="s">
        <v>405</v>
      </c>
      <c r="EP13" s="93" t="s">
        <v>200</v>
      </c>
      <c r="EQ13" s="93" t="s">
        <v>960</v>
      </c>
      <c r="ER13" s="93" t="s">
        <v>1473</v>
      </c>
      <c r="ES13" s="93" t="s">
        <v>1474</v>
      </c>
      <c r="ET13" s="93" t="s">
        <v>1475</v>
      </c>
      <c r="EU13" s="93" t="s">
        <v>1476</v>
      </c>
      <c r="EV13" s="1167" t="s">
        <v>1477</v>
      </c>
      <c r="EW13" s="1167" t="s">
        <v>1478</v>
      </c>
      <c r="EX13" s="93" t="s">
        <v>218</v>
      </c>
      <c r="EY13" s="93" t="s">
        <v>1469</v>
      </c>
      <c r="EZ13" s="93" t="s">
        <v>203</v>
      </c>
      <c r="FA13" s="1167" t="s">
        <v>1479</v>
      </c>
      <c r="FB13" s="1167" t="s">
        <v>1480</v>
      </c>
      <c r="FC13" s="1167" t="s">
        <v>1472</v>
      </c>
      <c r="FD13" s="394"/>
      <c r="FE13" s="64" t="s">
        <v>930</v>
      </c>
      <c r="FF13" s="90" t="s">
        <v>108</v>
      </c>
      <c r="FG13" s="91" t="s">
        <v>82</v>
      </c>
      <c r="FH13" s="92" t="s">
        <v>83</v>
      </c>
      <c r="FI13" s="92" t="s">
        <v>404</v>
      </c>
      <c r="FJ13" s="92" t="s">
        <v>508</v>
      </c>
      <c r="FK13" s="93" t="s">
        <v>405</v>
      </c>
      <c r="FL13" s="93" t="s">
        <v>200</v>
      </c>
      <c r="FM13" s="93" t="s">
        <v>960</v>
      </c>
      <c r="FN13" s="93" t="s">
        <v>1473</v>
      </c>
      <c r="FO13" s="93" t="s">
        <v>1474</v>
      </c>
      <c r="FP13" s="93" t="s">
        <v>1475</v>
      </c>
      <c r="FQ13" s="93" t="s">
        <v>1476</v>
      </c>
      <c r="FR13" s="1167" t="s">
        <v>1477</v>
      </c>
      <c r="FS13" s="1167" t="s">
        <v>1478</v>
      </c>
      <c r="FT13" s="93" t="s">
        <v>218</v>
      </c>
      <c r="FU13" s="93" t="s">
        <v>1469</v>
      </c>
      <c r="FV13" s="93" t="s">
        <v>203</v>
      </c>
      <c r="FW13" s="1167" t="s">
        <v>1479</v>
      </c>
      <c r="FX13" s="1167" t="s">
        <v>1480</v>
      </c>
      <c r="FY13" s="1167" t="s">
        <v>1472</v>
      </c>
      <c r="FZ13" s="394"/>
      <c r="GA13" s="64" t="s">
        <v>930</v>
      </c>
      <c r="GB13" s="90" t="s">
        <v>108</v>
      </c>
      <c r="GC13" s="91" t="s">
        <v>82</v>
      </c>
      <c r="GD13" s="92" t="s">
        <v>83</v>
      </c>
      <c r="GE13" s="92" t="s">
        <v>404</v>
      </c>
      <c r="GF13" s="92" t="s">
        <v>508</v>
      </c>
      <c r="GG13" s="93" t="s">
        <v>405</v>
      </c>
      <c r="GH13" s="93" t="s">
        <v>200</v>
      </c>
      <c r="GI13" s="93" t="s">
        <v>960</v>
      </c>
      <c r="GJ13" s="93" t="s">
        <v>1473</v>
      </c>
      <c r="GK13" s="93" t="s">
        <v>1474</v>
      </c>
      <c r="GL13" s="93" t="s">
        <v>1475</v>
      </c>
      <c r="GM13" s="93" t="s">
        <v>1476</v>
      </c>
      <c r="GN13" s="1167" t="s">
        <v>1477</v>
      </c>
      <c r="GO13" s="1167" t="s">
        <v>1478</v>
      </c>
      <c r="GP13" s="93" t="s">
        <v>218</v>
      </c>
      <c r="GQ13" s="93" t="s">
        <v>1469</v>
      </c>
      <c r="GR13" s="93" t="s">
        <v>203</v>
      </c>
      <c r="GS13" s="1167" t="s">
        <v>1479</v>
      </c>
      <c r="GT13" s="1167" t="s">
        <v>1480</v>
      </c>
      <c r="GU13" s="1167" t="s">
        <v>1472</v>
      </c>
      <c r="GV13" s="394"/>
      <c r="GW13" s="64" t="s">
        <v>930</v>
      </c>
      <c r="GX13" s="90" t="s">
        <v>108</v>
      </c>
      <c r="GY13" s="91" t="s">
        <v>82</v>
      </c>
      <c r="GZ13" s="92" t="s">
        <v>83</v>
      </c>
      <c r="HA13" s="92" t="s">
        <v>404</v>
      </c>
      <c r="HB13" s="92" t="s">
        <v>508</v>
      </c>
      <c r="HC13" s="93" t="s">
        <v>405</v>
      </c>
      <c r="HD13" s="93" t="s">
        <v>200</v>
      </c>
      <c r="HE13" s="93" t="s">
        <v>960</v>
      </c>
      <c r="HF13" s="93" t="s">
        <v>1473</v>
      </c>
      <c r="HG13" s="93" t="s">
        <v>1474</v>
      </c>
      <c r="HH13" s="93" t="s">
        <v>1475</v>
      </c>
      <c r="HI13" s="93" t="s">
        <v>1476</v>
      </c>
      <c r="HJ13" s="1167" t="s">
        <v>1477</v>
      </c>
      <c r="HK13" s="1167" t="s">
        <v>1478</v>
      </c>
      <c r="HL13" s="93" t="s">
        <v>218</v>
      </c>
      <c r="HM13" s="93" t="s">
        <v>1469</v>
      </c>
      <c r="HN13" s="93" t="s">
        <v>203</v>
      </c>
      <c r="HO13" s="1167" t="s">
        <v>1479</v>
      </c>
      <c r="HP13" s="1167" t="s">
        <v>1480</v>
      </c>
      <c r="HQ13" s="1167" t="s">
        <v>1472</v>
      </c>
      <c r="HR13" s="394"/>
      <c r="HS13" s="64" t="s">
        <v>930</v>
      </c>
      <c r="HT13" s="90" t="s">
        <v>108</v>
      </c>
      <c r="HU13" s="91" t="s">
        <v>82</v>
      </c>
      <c r="HV13" s="92" t="s">
        <v>83</v>
      </c>
      <c r="HW13" s="92" t="s">
        <v>404</v>
      </c>
      <c r="HX13" s="92" t="s">
        <v>508</v>
      </c>
      <c r="HY13" s="401" t="s">
        <v>405</v>
      </c>
      <c r="HZ13" s="93" t="s">
        <v>200</v>
      </c>
      <c r="IA13" s="93" t="s">
        <v>960</v>
      </c>
      <c r="IB13" s="93" t="s">
        <v>1473</v>
      </c>
      <c r="IC13" s="93" t="s">
        <v>1474</v>
      </c>
      <c r="ID13" s="93" t="s">
        <v>1475</v>
      </c>
      <c r="IE13" s="93" t="s">
        <v>1476</v>
      </c>
      <c r="IF13" s="1167" t="s">
        <v>1477</v>
      </c>
      <c r="IG13" s="1167" t="s">
        <v>1478</v>
      </c>
      <c r="IH13" s="93" t="s">
        <v>218</v>
      </c>
      <c r="II13" s="93" t="s">
        <v>1469</v>
      </c>
      <c r="IJ13" s="93" t="s">
        <v>203</v>
      </c>
      <c r="IK13" s="1167" t="s">
        <v>1479</v>
      </c>
      <c r="IL13" s="1167" t="s">
        <v>1480</v>
      </c>
      <c r="IM13" s="1167" t="s">
        <v>1472</v>
      </c>
      <c r="IN13" s="394"/>
      <c r="IO13" s="64" t="s">
        <v>930</v>
      </c>
      <c r="IP13" s="90" t="s">
        <v>108</v>
      </c>
      <c r="IQ13" s="405" t="s">
        <v>82</v>
      </c>
      <c r="IR13" s="406" t="s">
        <v>83</v>
      </c>
      <c r="IS13" s="406" t="s">
        <v>404</v>
      </c>
      <c r="IT13" s="406" t="s">
        <v>508</v>
      </c>
      <c r="IU13" s="407" t="s">
        <v>405</v>
      </c>
      <c r="IV13" s="408" t="s">
        <v>200</v>
      </c>
      <c r="IW13" s="93" t="s">
        <v>960</v>
      </c>
      <c r="IX13" s="93" t="s">
        <v>1473</v>
      </c>
      <c r="IY13" s="93" t="s">
        <v>1474</v>
      </c>
      <c r="IZ13" s="93" t="s">
        <v>1475</v>
      </c>
      <c r="JA13" s="93" t="s">
        <v>1476</v>
      </c>
      <c r="JB13" s="1167" t="s">
        <v>1477</v>
      </c>
      <c r="JC13" s="1167" t="s">
        <v>1478</v>
      </c>
      <c r="JD13" s="93" t="s">
        <v>218</v>
      </c>
      <c r="JE13" s="93" t="s">
        <v>1469</v>
      </c>
      <c r="JF13" s="93" t="s">
        <v>203</v>
      </c>
      <c r="JG13" s="1167" t="s">
        <v>1479</v>
      </c>
      <c r="JH13" s="1167" t="s">
        <v>1480</v>
      </c>
      <c r="JI13" s="1167" t="s">
        <v>1472</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Table'!$A$1:$AC$10000,MATCH(1,('Margin Guidence Table'!$A$1:$A$10000=$BI14)*('Margin Guidence Table'!$H$1:$H$10000&lt;=ROUND($BA$3,0))*('Margin Guidence Table'!$G$1:$G$10000&gt;=ROUND($BA$3,0)),0),MATCH("PCT_SALES",'Margin Guidence Table'!$A$1:$AC$1,0)),INDEX('Margin Guidence Table'!$A$1:$AC$10000,MATCH(1,('Margin Guidence Table'!$A$1:$A$10000=$BI14)*('Margin Guidence Table'!$H$1:$H$10000&lt;=ROUND($BA$3,0))*('Margin Guidence Table'!$G$1:$G$10000&gt;=ROUND($BA$3,0)),0),MATCH("DEFAULT_PCT_SALES",'Margin Guidence Table'!$A$1:$AC$1,0))),0)</f>
        <v>0</v>
      </c>
      <c r="AZ14" s="102" t="s">
        <v>99</v>
      </c>
      <c r="BA14" s="94">
        <f>IFERROR(IF(AND($BA$2&lt;&gt;"Enter Spend&gt;&gt;&gt;",BB2="EXISTING"),SUMIFS('Existing Customers'!$Q:$Q,'Existing Customers'!$A:$A,$BA$1,'Existing Customers'!$H:$H,$AZ14)*$BA$4,$BA$3*$AY14),0)</f>
        <v>0</v>
      </c>
      <c r="BB14" s="95">
        <f>IFERROR(IF(AND($BA$2&lt;&gt;"Enter Spend&gt;&gt;&gt;",BB2="EXISTING"),SUMIFS('Existing Customers'!$N:$N,'Existing Customers'!$A:$A,$BA$1,'Existing Customers'!$H:$H,$AZ14)*$BA$4,$BA14/$BL14),0)</f>
        <v>0</v>
      </c>
      <c r="BC14" s="95">
        <f>IFERROR(IF(AND($BA$2&lt;&gt;"Enter Spend&gt;&gt;&gt;",BB2="EXISTING"),SUMIFS('Existing Customers'!$O:$O,'Existing Customers'!$H:$H,$AZ14,'Existing Customers'!$A:$A,$BA$1)*$BA$4,$BB14*$BA$8),0)</f>
        <v>0</v>
      </c>
      <c r="BD14" s="95">
        <f>IFERROR(IF(AND($BA$2&lt;&gt;"Enter Spend&gt;&gt;&gt;",BB2="EXISTING"),SUMIFS('Existing Customers'!$P:$P,'Existing Customers'!$A:$A,$BA$1,'Existing Customers'!$H:$H,$AZ14)*$BA$4,$BA14/$BM14),0)</f>
        <v>0</v>
      </c>
      <c r="BE14" s="402">
        <f>IFERROR(IF(AND($BA$2&lt;&gt;"Enter Spend&gt;&gt;&gt;",BB2="EXISTING"),SUMIFS('Existing Customers'!$V:$V,'Existing Customers'!$H:$H,$AZ14,'Existing Customers'!$A:$A,$BA$1)*$BA$4,0),0)</f>
        <v>0</v>
      </c>
      <c r="BF14" s="96">
        <f>IFERROR(IF(AND($BA$2&lt;&gt;"Enter Spend&gt;&gt;&gt;",BB2="EXISTING"),SUMIFS('Existing Customers'!$R:$R,'Existing Customers'!$H:$H,$AZ14,'Existing Customers'!$A:$A,$BA$1)*$BA$4,0),0)</f>
        <v>0</v>
      </c>
      <c r="BG14" s="96">
        <f>IFERROR(IF(AND($BA$2&lt;&gt;"Enter Spend&gt;&gt;&gt;",BB2="EXISTING"),SUMIFS('Existing Customers'!$S:$S,'Existing Customers'!$H:$H,$AZ14,'Existing Customers'!$A:$A,$BA$1),BQ14*BA14),0)</f>
        <v>0</v>
      </c>
      <c r="BH14" s="96">
        <f>IFERROR(IF(AND($BA$2&lt;&gt;"Enter Spend&gt;&gt;&gt;",BB2="EXISTING"),SUMIFS('Existing Customers'!$U:$U,'Existing Customers'!$H:$H,$AZ14,'Existing Customers'!$A:$A,$BA$1),BR14*BA14),0)</f>
        <v>0</v>
      </c>
      <c r="BI14" s="1163" t="e">
        <f>_xlfn.CONCAT($BB$1,"_",AZ14)</f>
        <v>#N/A</v>
      </c>
      <c r="BJ14" s="1164">
        <f t="array" ref="BJ14">IFERROR(INDEX('Margin Guidence Table'!$A$1:$AD$30000,MATCH(1,('Margin Guidence Table'!$A$1:$A$10000=$BI14)*('Margin Guidence Table'!$H$1:$H$10000&lt;=ROUND($BA$3,0))*('Margin Guidence Table'!$G$1:$G$10000&gt;=ROUND($BA$3,0)),0),MATCH("DATA_POINTS",'Margin Guidence Table'!$A$1:$AC$1,0)),0)</f>
        <v>0</v>
      </c>
      <c r="BK14" s="1161" t="str">
        <f>IF(BJ14&gt;15,"SEGMENT","DEFAULT")</f>
        <v>DEFAULT</v>
      </c>
      <c r="BL14" s="1161">
        <f t="array" ref="BL14">IFERROR(IF($BK14="SEGMENT",INDEX('Margin Guidence Table'!$A$1:$AC$10000,MATCH(1,('Margin Guidence Table'!$A$1:$A$10000=$BI14)*('Margin Guidence Table'!$H$1:$H$10000&lt;=ROUND($BA$3,0))*('Margin Guidence Table'!$G$1:$G$10000&gt;=ROUND($BA$3,0)),0),MATCH("SALES_CASE",'Margin Guidence Table'!$A$1:$AC$1,0)),INDEX('Margin Guidence Table'!$A$1:$AC$10000,MATCH(1,('Margin Guidence Table'!$A$1:$A$10000=$BI14)*('Margin Guidence Table'!$H$1:$H$10000&lt;=ROUND($BA$3,0))*('Margin Guidence Table'!$G$1:$G$10000&gt;=ROUND($BA$3,0)),0),MATCH("DEFAULT_SALES_CASE",'Margin Guidence Table'!$A$1:$AC$1,0))),0)</f>
        <v>0</v>
      </c>
      <c r="BM14" s="1161">
        <f t="array" ref="BM14">IFERROR(IF($BK14="SEGMENT",INDEX('Margin Guidence Table'!$A$1:$AC$10000,MATCH(1,('Margin Guidence Table'!$A$1:$A$10000=$BI14)*('Margin Guidence Table'!$H$1:$H$10000&lt;=ROUND($BA$3,0))*('Margin Guidence Table'!$G$1:$G$10000&gt;=ROUND($BA$3,0)),0),MATCH("SALES_LBS",'Margin Guidence Table'!$A$1:$AC$1,0)),INDEX('Margin Guidence Table'!$A$1:$AC$10000,MATCH(1,('Margin Guidence Table'!$A$1:$A$10000=$BI14)*('Margin Guidence Table'!$H$1:$H$10000&lt;=ROUND($BA$3,0))*('Margin Guidence Table'!$G$1:$G$10000&gt;=ROUND($BA$3,0)),0),MATCH("DEFAULT_SALES_LBS",'Margin Guidence Table'!$A$1:$AC$1,0))),0)</f>
        <v>0</v>
      </c>
      <c r="BN14" s="1165">
        <f t="array" ref="BN14">IFERROR(IF($BK14="SEGMENT",INDEX('Margin Guidence Table'!$A$1:$AC$10000,MATCH(1,('Margin Guidence Table'!$A$1:$A$10000=$BI14)*('Margin Guidence Table'!$H$1:$H$10000&lt;=ROUND($BA$3,0))*('Margin Guidence Table'!$G$1:$G$10000&gt;=ROUND($BA$3,0)),0),MATCH("MDA_MIN_MARGIN_GUIDENCE",'Margin Guidence Table'!$A$1:$AC$1,0)),INDEX('Margin Guidence Table'!$A$1:$AC$10000,MATCH(1,('Margin Guidence Table'!$A$1:$A$10000=$BI14)*('Margin Guidence Table'!$H$1:$H$10000&lt;=ROUND($BA$3,0))*('Margin Guidence Table'!$G$1:$G$10000&gt;=ROUND($BA$3,0)),0),MATCH("DEFAULT_MDA_MIN_MARGIN_GUIDENCE",'Margin Guidence Table'!$A$1:$AC$1,0))),0)</f>
        <v>0</v>
      </c>
      <c r="BO14" s="1165">
        <f t="array" ref="BO14">IFERROR(IF($BK14="SEGMENT",INDEX('Margin Guidence Table'!$A$1:$AC$10000,MATCH(1,('Margin Guidence Table'!$A$1:$A$10000=$BI14)*('Margin Guidence Table'!$H$1:$H$10000&lt;=ROUND($BA$3,0))*('Margin Guidence Table'!$G$1:$G$10000&gt;=ROUND($BA$3,0)),0),MATCH("MDA_MEDIAN_MARGIN_GUIDENCE",'Margin Guidence Table'!$A$1:$AC$1,0)),INDEX('Margin Guidence Table'!$A$1:$AC$10000,MATCH(1,('Margin Guidence Table'!$A$1:$A$10000=$BI14)*('Margin Guidence Table'!$H$1:$H$10000&lt;=ROUND($BA$3,0))*('Margin Guidence Table'!$G$1:$G$10000&gt;=ROUND($BA$3,0)),0),MATCH("DEFAULT_MDA_MEDIAN_MARGIN_GUIDENCE",'Margin Guidence Table'!$A$1:$AC$1,0))),0)</f>
        <v>0</v>
      </c>
      <c r="BP14" s="1165">
        <f t="array" ref="BP14">IFERROR(IF($BK14="SEGMENT",INDEX('Margin Guidence Table'!$A$1:$AC$10000,MATCH(1,('Margin Guidence Table'!$A$1:$A$10000=$BI14)*('Margin Guidence Table'!$H$1:$H$10000&lt;=ROUND($BA$3,0))*('Margin Guidence Table'!$G$1:$G$10000&gt;=ROUND($BA$3,0)),0),MATCH("MDA_MAX_MARGIN_GUIDENCE",'Margin Guidence Table'!$A$1:$AC$1,0)),INDEX('Margin Guidence Table'!$A$1:$AC$10000,MATCH(1,('Margin Guidence Table'!$A$1:$A$10000=$BI14)*('Margin Guidence Table'!$H$1:$H$10000&lt;=ROUND($BA$3,0))*('Margin Guidence Table'!$G$1:$G$10000&gt;=ROUND($BA$3,0)),0),MATCH("DEFAULT_MDA_MAX_MARGIN_GUIDENCE",'Margin Guidence Table'!$A$1:$AC$1,0))),0)</f>
        <v>0</v>
      </c>
      <c r="BQ14" s="1165">
        <f t="array" ref="BQ14">IFERROR(IF($BK14="SEGMENT",INDEX('Margin Guidence Table'!$A$1:$AC$10000,MATCH(1,('Margin Guidence Table'!$A$1:$A$10000=$BI14)*('Margin Guidence Table'!$H$1:$H$10000&lt;=ROUND($BA$3,0))*('Margin Guidence Table'!$G$1:$G$10000&gt;=ROUND($BA$3,0)),0),MATCH("PA_PCT_SALES",'Margin Guidence Table'!$A$1:$AC$1,0)),INDEX('Margin Guidence Table'!$A$1:$AC$10000,MATCH(1,('Margin Guidence Table'!$A$1:$A$10000=$BI14)*('Margin Guidence Table'!$H$1:$H$10000&lt;=ROUND($BA$3,0))*('Margin Guidence Table'!$G$1:$G$10000&gt;=ROUND($BA$3,0)),0),MATCH("DEFAULT_PA_PCT_SALES",'Margin Guidence Table'!$A$1:$AC$1,0))),0)</f>
        <v>0</v>
      </c>
      <c r="BR14" s="1165">
        <f t="array" ref="BR14">IFERROR(IF($BK14="SEGMENT",INDEX('Margin Guidence Table'!$A$1:$AC$10000,MATCH(1,('Margin Guidence Table'!$A$1:$A$10000=$BI14)*('Margin Guidence Table'!$H$1:$H$10000&lt;=ROUND($BA$3,0))*('Margin Guidence Table'!$G$1:$G$10000&gt;=ROUND($BA$3,0)),0),MATCH("SELF_FUND_PCT_SALES",'Margin Guidence Table'!$A$1:$AC$1,0)),INDEX('Margin Guidence Table'!$A$1:$AC$10000,MATCH(1,('Margin Guidence Table'!$A$1:$A$10000=$BI14)*('Margin Guidence Table'!$H$1:$H$10000&lt;=ROUND($BA$3,0))*('Margin Guidence Table'!$G$1:$G$10000&gt;=ROUND($BA$3,0)),0),MATCH("DEFAULT_SELF_FUND_PCT_SALES",'Margin Guidence Table'!$A$1:$AC$1,0))),0)</f>
        <v>0</v>
      </c>
      <c r="BS14" s="1165">
        <f t="array" ref="BS14">IFERROR(IF($BK14="SEGMENT",INDEX('Margin Guidence Table'!$A$1:$AC$10000,MATCH(1,('Margin Guidence Table'!$A$1:$A$10000=$BI14)*('Margin Guidence Table'!$H$1:$H$10000&lt;=ROUND($BA$3,0))*('Margin Guidence Table'!$G$1:$G$10000&gt;=ROUND($BA$3,0)),0),MATCH("CIA_MEDIAN_MARGIN_GUIDENCE",'Margin Guidence Table'!$A$1:$AC$1,0)),INDEX('Margin Guidence Table'!$A$1:$AC$10000,MATCH(1,('Margin Guidence Table'!$A$1:$A$10000=$BI14)*('Margin Guidence Table'!$H$1:$H$10000&lt;=ROUND($BA$3,0))*('Margin Guidence Table'!$G$1:$G$10000&gt;=ROUND($BA$3,0)),0),MATCH("DEFAULT_CIA_MEDIAN_MARGIN_GUIDENCE",'Margin Guidence Table'!$A$1:$AC$1,0))),0)</f>
        <v>0</v>
      </c>
      <c r="BT14" s="129"/>
      <c r="BU14" s="18">
        <f t="array" ref="BU14">IFERROR(IF($CG14="SEGMENT",INDEX('Margin Guidence Table'!$A$1:$AC$10000,MATCH(1,('Margin Guidence Table'!$A$1:$A$10000=$CE14)*('Margin Guidence Table'!$H$1:$H$10000&lt;=ROUND($BW$3,0))*('Margin Guidence Table'!$G$1:$G$10000&gt;=ROUND($BW$3,0)),0),MATCH("PCT_SALES",'Margin Guidence Table'!$A$1:$AC$1,0)),INDEX('Margin Guidence Table'!$A$1:$AC$10000,MATCH(1,('Margin Guidence Table'!$A$1:$A$10000=$CE14)*('Margin Guidence Table'!$H$1:$H$10000&lt;=ROUND($BW$3,0))*('Margin Guidence Table'!$G$1:$G$10000&gt;=ROUND($BW$3,0)),0),MATCH("DEFAULT_PCT_SALES",'Margin Guidence Table'!$A$1:$AC$1,0))),0)</f>
        <v>0</v>
      </c>
      <c r="BV14" s="102" t="s">
        <v>99</v>
      </c>
      <c r="BW14" s="94">
        <f>IFERROR(IF(AND($BW$2&lt;&gt;"Enter Spend&gt;&gt;&gt;",BX2="EXISTING"),SUMIFS('Existing Customers'!$Q:$Q,'Existing Customers'!$A:$A,$BW$1,'Existing Customers'!$H:$H,$BV14)*$BW$4,$BW$3*$BU14),0)</f>
        <v>0</v>
      </c>
      <c r="BX14" s="89">
        <f>IFERROR(IF(AND($BW$2&lt;&gt;"Enter Spend&gt;&gt;&gt;",BX2="EXISTING"),SUMIFS('Existing Customers'!$N:$N,'Existing Customers'!$A:$A,$BW$1,'Existing Customers'!$H:$H,$BV14)*$BW$4,$BW14/$CH14),0)</f>
        <v>0</v>
      </c>
      <c r="BY14" s="95">
        <f>IFERROR(IF(AND($BW$2&lt;&gt;"Enter Spend&gt;&gt;&gt;",BX2="EXISTING"),SUMIFS('Existing Customers'!$O:$O,'Existing Customers'!$H:$H,$BV14,'Existing Customers'!$A:$A,$BW$1)*$BW$4,$BX14*$BW$8),0)</f>
        <v>0</v>
      </c>
      <c r="BZ14" s="95">
        <f>IFERROR(IF(AND($BW$2&lt;&gt;"Enter Spend&gt;&gt;&gt;",BX2="EXISTING"),SUMIFS('Existing Customers'!$P:$P,'Existing Customers'!$A:$A,$BW$1,'Existing Customers'!$H:$H,$BV14)*$BW$4,$BW14/$CI14),0)</f>
        <v>0</v>
      </c>
      <c r="CA14" s="96">
        <f>IFERROR(IF(AND($BW$2&lt;&gt;"Enter Spend&gt;&gt;&gt;",BX2="EXISTING"),SUMIFS('Existing Customers'!$V:$V,'Existing Customers'!$H:$H,$BV14,'Existing Customers'!$A:$A,$BW$1)*$BW$4,0),0)</f>
        <v>0</v>
      </c>
      <c r="CB14" s="96">
        <f>IFERROR(IF(AND($BW$2&lt;&gt;"Enter Spend&gt;&gt;&gt;",BX2="EXISTING"),SUMIFS('Existing Customers'!$R:$R,'Existing Customers'!$H:$H,$BV14,'Existing Customers'!$A:$A,$BW$1)*$BW$4,0),0)</f>
        <v>0</v>
      </c>
      <c r="CC14" s="1161">
        <f>IFERROR(IF(AND($BW$2&lt;&gt;"Enter Spend&gt;&gt;&gt;",BX2="EXISTING"),SUMIFS('Existing Customers'!$S:$S,'Existing Customers'!$H:$H,$BV14,'Existing Customers'!$A:$A,$BW$1),CM14*BW14),0)</f>
        <v>0</v>
      </c>
      <c r="CD14" s="1161">
        <f>IFERROR(IF(AND($BW$2&lt;&gt;"Enter Spend&gt;&gt;&gt;",BX2="EXISTING"),SUMIFS('Existing Customers'!$U:$U,'Existing Customers'!$H:$H,$BV14,'Existing Customers'!$A:$A,$BW$1),CN14*BW14),0)</f>
        <v>0</v>
      </c>
      <c r="CE14" s="1164" t="e">
        <f>_xlfn.CONCAT($BX$1,"_",BV14)</f>
        <v>#N/A</v>
      </c>
      <c r="CF14" s="1164">
        <f t="array" ref="CF14">IFERROR(INDEX('Margin Guidence Table'!$A$1:$AD$30000,MATCH(1,('Margin Guidence Table'!$A$1:$A$10000=$CE14)*('Margin Guidence Table'!$H$1:$H$10000&lt;=ROUND($BW$3,0))*('Margin Guidence Table'!$G$1:$G$10000&gt;=ROUND($BW$3,0)),0),MATCH("DATA_POINTS",'Margin Guidence Table'!$A$1:$AC$1,0)),0)</f>
        <v>0</v>
      </c>
      <c r="CG14" s="1161" t="str">
        <f>IF(CF14&gt;15,"SEGMENT","DEFAULT")</f>
        <v>DEFAULT</v>
      </c>
      <c r="CH14" s="1161">
        <f t="array" ref="CH14">IFERROR(IF($CG14="SEGMENT",INDEX('Margin Guidence Table'!$A$1:$AC$10000,MATCH(1,('Margin Guidence Table'!$A$1:$A$10000=$CE14)*('Margin Guidence Table'!$H$1:$H$10000&lt;=ROUND($BW$3,0))*('Margin Guidence Table'!$G$1:$G$10000&gt;=ROUND($BW$3,0)),0),MATCH("SALES_CASE",'Margin Guidence Table'!$A$1:$AC$1,0)),INDEX('Margin Guidence Table'!$A$1:$AC$10000,MATCH(1,('Margin Guidence Table'!$A$1:$A$10000=$CE14)*('Margin Guidence Table'!$H$1:$H$10000&lt;=ROUND($BW$3,0))*('Margin Guidence Table'!$G$1:$G$10000&gt;=ROUND($BW$3,0)),0),MATCH("DEFAULT_SALES_CASE",'Margin Guidence Table'!$A$1:$AC$1,0))),0)</f>
        <v>0</v>
      </c>
      <c r="CI14" s="1161">
        <f t="array" ref="CI14">IFERROR(IF($CG14="SEGMENT",INDEX('Margin Guidence Table'!$A$1:$AC$10000,MATCH(1,('Margin Guidence Table'!$A$1:$A$10000=$CE14)*('Margin Guidence Table'!$H$1:$H$10000&lt;=ROUND($BW$3,0))*('Margin Guidence Table'!$G$1:$G$10000&gt;=ROUND($BW$3,0)),0),MATCH("SALES_LBS",'Margin Guidence Table'!$A$1:$AC$1,0)),INDEX('Margin Guidence Table'!$A$1:$AC$10000,MATCH(1,('Margin Guidence Table'!$A$1:$A$10000=$CE14)*('Margin Guidence Table'!$H$1:$H$10000&lt;=ROUND($BW$3,0))*('Margin Guidence Table'!$G$1:$G$10000&gt;=ROUND($BW$3,0)),0),MATCH("DEFAULT_SALES_LBS",'Margin Guidence Table'!$A$1:$AC$1,0))),0)</f>
        <v>0</v>
      </c>
      <c r="CJ14" s="1165">
        <f t="array" ref="CJ14">IFERROR(IF($CG14="SEGMENT",INDEX('Margin Guidence Table'!$A$1:$AC$10000,MATCH(1,('Margin Guidence Table'!$A$1:$A$10000=$CE14)*('Margin Guidence Table'!$H$1:$H$10000&lt;=ROUND($BW$3,0))*('Margin Guidence Table'!$G$1:$G$10000&gt;=ROUND($BW$3,0)),0),MATCH("MDA_MIN_MARGIN_GUIDENCE",'Margin Guidence Table'!$A$1:$AC$1,0)),INDEX('Margin Guidence Table'!$A$1:$AC$10000,MATCH(1,('Margin Guidence Table'!$A$1:$A$10000=$CE14)*('Margin Guidence Table'!$H$1:$H$10000&lt;=ROUND($BW$3,0))*('Margin Guidence Table'!$G$1:$G$10000&gt;=ROUND($BW$3,0)),0),MATCH("DEFAULT_MDA_MIN_MARGIN_GUIDENCE",'Margin Guidence Table'!$A$1:$AC$1,0))),0)</f>
        <v>0</v>
      </c>
      <c r="CK14" s="1165">
        <f t="array" ref="CK14">IFERROR(IF($CG14="SEGMENT",INDEX('Margin Guidence Table'!$A$1:$AC$10000,MATCH(1,('Margin Guidence Table'!$A$1:$A$10000=$CE14)*('Margin Guidence Table'!$H$1:$H$10000&lt;=ROUND($BW$3,0))*('Margin Guidence Table'!$G$1:$G$10000&gt;=ROUND($BW$3,0)),0),MATCH("MDA_MEDIAN_MARGIN_GUIDENCE",'Margin Guidence Table'!$A$1:$AC$1,0)),INDEX('Margin Guidence Table'!$A$1:$AC$10000,MATCH(1,('Margin Guidence Table'!$A$1:$A$10000=$CE14)*('Margin Guidence Table'!$H$1:$H$10000&lt;=ROUND($BW$3,0))*('Margin Guidence Table'!$G$1:$G$10000&gt;=ROUND($BW$3,0)),0),MATCH("DEFAULT_MDA_MEDIAN_MARGIN_GUIDENCE",'Margin Guidence Table'!$A$1:$AC$1,0))),0)</f>
        <v>0</v>
      </c>
      <c r="CL14" s="1165">
        <f t="array" ref="CL14">IFERROR(IF($CG14="SEGMENT",INDEX('Margin Guidence Table'!$A$1:$AC$10000,MATCH(1,('Margin Guidence Table'!$A$1:$A$10000=$CE14)*('Margin Guidence Table'!$H$1:$H$10000&lt;=ROUND($BW$3,0))*('Margin Guidence Table'!$G$1:$G$10000&gt;=ROUND($BW$3,0)),0),MATCH("MDA_MAX_MARGIN_GUIDENCE",'Margin Guidence Table'!$A$1:$AC$1,0)),INDEX('Margin Guidence Table'!$A$1:$AC$10000,MATCH(1,('Margin Guidence Table'!$A$1:$A$10000=$CE14)*('Margin Guidence Table'!$H$1:$H$10000&lt;=ROUND($BW$3,0))*('Margin Guidence Table'!$G$1:$G$10000&gt;=ROUND($BW$3,0)),0),MATCH("DEFAULT_MDA_MAX_MARGIN_GUIDENCE",'Margin Guidence Table'!$A$1:$AC$1,0))),0)</f>
        <v>0</v>
      </c>
      <c r="CM14" s="1165">
        <f t="array" ref="CM14">IFERROR(IF($CG14="SEGMENT",INDEX('Margin Guidence Table'!$A$1:$AC$10000,MATCH(1,('Margin Guidence Table'!$A$1:$A$10000=$CE14)*('Margin Guidence Table'!$H$1:$H$10000&lt;=ROUND($BW$3,0))*('Margin Guidence Table'!$G$1:$G$10000&gt;=ROUND($BW$3,0)),0),MATCH("PA_PCT_SALES",'Margin Guidence Table'!$A$1:$AC$1,0)),INDEX('Margin Guidence Table'!$A$1:$AC$10000,MATCH(1,('Margin Guidence Table'!$A$1:$A$10000=$CE14)*('Margin Guidence Table'!$H$1:$H$10000&lt;=ROUND($BW$3,0))*('Margin Guidence Table'!$G$1:$G$10000&gt;=ROUND($BW$3,0)),0),MATCH("DEFAULT_PA_PCT_SALES",'Margin Guidence Table'!$A$1:$AC$1,0))),0)</f>
        <v>0</v>
      </c>
      <c r="CN14" s="1165">
        <f t="array" ref="CN14">IFERROR(IF($CG14="SEGMENT",INDEX('Margin Guidence Table'!$A$1:$AC$10000,MATCH(1,('Margin Guidence Table'!$A$1:$A$10000=$CE14)*('Margin Guidence Table'!$H$1:$H$10000&lt;=ROUND($BW$3,0))*('Margin Guidence Table'!$G$1:$G$10000&gt;=ROUND($BW$3,0)),0),MATCH("SELF_FUND_PCT_SALES",'Margin Guidence Table'!$A$1:$AC$1,0)),INDEX('Margin Guidence Table'!$A$1:$AC$10000,MATCH(1,('Margin Guidence Table'!$A$1:$A$10000=$CE14)*('Margin Guidence Table'!$H$1:$H$10000&lt;=ROUND($BW$3,0))*('Margin Guidence Table'!$G$1:$G$10000&gt;=ROUND($BW$3,0)),0),MATCH("DEFAULT_SELF_FUND_PCT_SALES",'Margin Guidence Table'!$A$1:$AC$1,0))),0)</f>
        <v>0</v>
      </c>
      <c r="CO14" s="1165">
        <f t="array" ref="CO14">IFERROR(IF($CG14="SEGMENT",INDEX('Margin Guidence Table'!$A$1:$AC$10000,MATCH(1,('Margin Guidence Table'!$A$1:$A$10000=$CE14)*('Margin Guidence Table'!$H$1:$H$10000&lt;=ROUND($BW$3,0))*('Margin Guidence Table'!$G$1:$G$10000&gt;=ROUND($BW$3,0)),0),MATCH("CIA_MEDIAN_MARGIN_GUIDENCE",'Margin Guidence Table'!$A$1:$AC$1,0)),INDEX('Margin Guidence Table'!$A$1:$AC$10000,MATCH(1,('Margin Guidence Table'!$A$1:$A$10000=$CE14)*('Margin Guidence Table'!$H$1:$H$10000&lt;=ROUND($BW$3,0))*('Margin Guidence Table'!$G$1:$G$10000&gt;=ROUND($BW$3,0)),0),MATCH("DEFAULT_CIA_MEDIAN_MARGIN_GUIDENCE",'Margin Guidence Table'!$A$1:$AC$1,0))),0)</f>
        <v>0</v>
      </c>
      <c r="CP14" s="129"/>
      <c r="CQ14" s="18">
        <f t="array" ref="CQ14">IFERROR(IF($DC14="SEGMENT",INDEX('Margin Guidence Table'!$A$1:$AC$10000,MATCH(1,('Margin Guidence Table'!$A$1:$A$10000=$DA14)*('Margin Guidence Table'!$H$1:$H$10000&lt;=ROUND($CS$3,0))*('Margin Guidence Table'!$G$1:$G$10000&gt;=ROUND($CS$3,0)),0),MATCH("PCT_SALES",'Margin Guidence Table'!$A$1:$AC$1,0)),INDEX('Margin Guidence Table'!$A$1:$AC$10000,MATCH(1,('Margin Guidence Table'!$A$1:$A$10000=$DA14)*('Margin Guidence Table'!$H$1:$H$10000&lt;=ROUND($CS$3,0))*('Margin Guidence Table'!$G$1:$G$10000&gt;=ROUND($CS$3,0)),0),MATCH("DEFAULT_PCT_SALES",'Margin Guidence Table'!$A$1:$AC$1,0))),0)</f>
        <v>0</v>
      </c>
      <c r="CR14" s="102" t="s">
        <v>99</v>
      </c>
      <c r="CS14" s="94">
        <f>IFERROR(IF(AND($CS$2&lt;&gt;"Enter Spend&gt;&gt;&gt;",CT2="EXISTING"),SUMIFS('Existing Customers'!$Q:$Q,'Existing Customers'!$A:$A,$CS$1,'Existing Customers'!$H:$H,$CR14)*$CS$4,$CS$3*$CQ14),0)</f>
        <v>0</v>
      </c>
      <c r="CT14" s="89">
        <f>IFERROR(IF(AND($CS$2&lt;&gt;"Enter Spend&gt;&gt;&gt;",CT2="EXISTING"),SUMIFS('Existing Customers'!$N:$N,'Existing Customers'!$A:$A,$CS$1,'Existing Customers'!$H:$H,$CR14)*$CS$4,$CS14/$DD14),0)</f>
        <v>0</v>
      </c>
      <c r="CU14" s="95">
        <f>IFERROR(IF(AND($CS$2&lt;&gt;"Enter Spend&gt;&gt;&gt;",BB28="EXISTING"),SUMIFS('Existing Customers'!$O:$O,'Existing Customers'!$H:$H,$CR14,'Existing Customers'!$A:$A,$CS$1)*$CS$4,$CT14*$CS$8),0)</f>
        <v>0</v>
      </c>
      <c r="CV14" s="95">
        <f>IFERROR(IF(AND($CS$2&lt;&gt;"Enter Spend&gt;&gt;&gt;",CT2="EXISTING"),SUMIFS('Existing Customers'!$P:$P,'Existing Customers'!$A:$A,$CS$1,'Existing Customers'!$H:$H,$CR14)*$CS$4,$CS14/$DE14),0)</f>
        <v>0</v>
      </c>
      <c r="CW14" s="96">
        <f>IFERROR(IF(AND($CS$2&lt;&gt;"Enter Spend&gt;&gt;&gt;",CT2="EXISTING"),SUMIFS('Existing Customers'!$V:$V,'Existing Customers'!$H:$H,$CR14,'Existing Customers'!$A:$A,$CS$1)*$CS$4,0),0)</f>
        <v>0</v>
      </c>
      <c r="CX14" s="96">
        <f>IFERROR(IF(AND($CS$2&lt;&gt;"Enter Spend&gt;&gt;&gt;",CT2="EXISTING"),SUMIFS('Existing Customers'!$R:$R,'Existing Customers'!$H:$H,$CR14,'Existing Customers'!$A:$A,$CS$1)*$CS$4,0),0)</f>
        <v>0</v>
      </c>
      <c r="CY14" s="1161">
        <f>IFERROR(IF(AND($CS$2&lt;&gt;"Enter Spend&gt;&gt;&gt;",CT2="EXISTING"),SUMIFS('Existing Customers'!$S:$S,'Existing Customers'!$H:$H,$CR14,'Existing Customers'!$A:$A,$CS$1),DI14*CS14),0)</f>
        <v>0</v>
      </c>
      <c r="CZ14" s="1161">
        <f>IFERROR(IF(AND($CS$2&lt;&gt;"Enter Spend&gt;&gt;&gt;",CT2="EXISTING"),SUMIFS('Existing Customers'!$U:$U,'Existing Customers'!$H:$H,$CR14,'Existing Customers'!$A:$A,$CS$1),DJ14*CS14),0)</f>
        <v>0</v>
      </c>
      <c r="DA14" s="1164" t="e">
        <f>_xlfn.CONCAT($CT$1,"_",CR14)</f>
        <v>#N/A</v>
      </c>
      <c r="DB14" s="1164">
        <f t="array" ref="DB14">IFERROR(INDEX('Margin Guidence Table'!$A$1:$AD$30000,MATCH(1,('Margin Guidence Table'!$A$1:$A$10000=DA14)*('Margin Guidence Table'!$H$1:$H$10000&lt;=ROUND($CS$3,0))*('Margin Guidence Table'!$G$1:$G$10000&gt;=ROUND($CS$3,0)),0),MATCH("DATA_POINTS",'Margin Guidence Table'!$A$1:$AC$1,0)),0)</f>
        <v>0</v>
      </c>
      <c r="DC14" s="1161" t="str">
        <f>IF(DB14&gt;15,"SEGMENT","DEFAULT")</f>
        <v>DEFAULT</v>
      </c>
      <c r="DD14" s="1161">
        <f t="array" ref="DD14">IFERROR(IF($DC14="SEGMENT",INDEX('Margin Guidence Table'!$A$1:$AC$10000,MATCH(1,('Margin Guidence Table'!$A$1:$A$10000=DA14)*('Margin Guidence Table'!$H$1:$H$10000&lt;=ROUND($CS$3,0))*('Margin Guidence Table'!$G$1:$G$10000&gt;=ROUND($CS$3,0)),0),MATCH("SALES_CASE",'Margin Guidence Table'!$A$1:$AC$1,0)),INDEX('Margin Guidence Table'!$A$1:$AC$10000,MATCH(1,('Margin Guidence Table'!$A$1:$A$10000=DA14)*('Margin Guidence Table'!$H$1:$H$10000&lt;=ROUND($CS$3,0))*('Margin Guidence Table'!$G$1:$G$10000&gt;=ROUND($CS$3,0)),0),MATCH("DEFAULT_SALES_CASE",'Margin Guidence Table'!$A$1:$AC$1,0))),0)</f>
        <v>0</v>
      </c>
      <c r="DE14" s="1161">
        <f t="array" ref="DE14">IFERROR(IF($DC14="SEGMENT",INDEX('Margin Guidence Table'!$A$1:$AC$10000,MATCH(1,('Margin Guidence Table'!$A$1:$A$10000=DA14)*('Margin Guidence Table'!$H$1:$H$10000&lt;=ROUND($CS$3,0))*('Margin Guidence Table'!$G$1:$G$10000&gt;=ROUND($CS$3,0)),0),MATCH("SALES_LBS",'Margin Guidence Table'!$A$1:$AC$1,0)),INDEX('Margin Guidence Table'!$A$1:$AC$10000,MATCH(1,('Margin Guidence Table'!$A$1:$A$10000=DA14)*('Margin Guidence Table'!$H$1:$H$10000&lt;=ROUND($CS$3,0))*('Margin Guidence Table'!$G$1:$G$10000&gt;=ROUND($CS$3,0)),0),MATCH("DEFAULT_SALES_LBS",'Margin Guidence Table'!$A$1:$AC$1,0))),0)</f>
        <v>0</v>
      </c>
      <c r="DF14" s="1165">
        <f t="array" ref="DF14">IFERROR(IF($DC14="SEGMENT",INDEX('Margin Guidence Table'!$A$1:$AC$10000,MATCH(1,('Margin Guidence Table'!$A$1:$A$10000=DA14)*('Margin Guidence Table'!$H$1:$H$10000&lt;=ROUND($CS$3,0))*('Margin Guidence Table'!$G$1:$G$10000&gt;=ROUND($CS$3,0)),0),MATCH("MDA_MIN_MARGIN_GUIDENCE",'Margin Guidence Table'!$A$1:$AC$1,0)),INDEX('Margin Guidence Table'!$A$1:$AC$10000,MATCH(1,('Margin Guidence Table'!$A$1:$A$10000=DA14)*('Margin Guidence Table'!$H$1:$H$10000&lt;=ROUND($CS$3,0))*('Margin Guidence Table'!$G$1:$G$10000&gt;=ROUND($CS$3,0)),0),MATCH("DEFAULT_MDA_MIN_MARGIN_GUIDENCE",'Margin Guidence Table'!$A$1:$AC$1,0))),0)</f>
        <v>0</v>
      </c>
      <c r="DG14" s="1165">
        <f t="array" ref="DG14">IFERROR(IF($DC14="SEGMENT",INDEX('Margin Guidence Table'!$A$1:$AC$10000,MATCH(1,('Margin Guidence Table'!$A$1:$A$10000=DA14)*('Margin Guidence Table'!$H$1:$H$10000&lt;=ROUND($CS$3,0))*('Margin Guidence Table'!$G$1:$G$10000&gt;=ROUND($CS$3,0)),0),MATCH("MDA_MEDIAN_MARGIN_GUIDENCE",'Margin Guidence Table'!$A$1:$AC$1,0)),INDEX('Margin Guidence Table'!$A$1:$AC$10000,MATCH(1,('Margin Guidence Table'!$A$1:$A$10000=DA14)*('Margin Guidence Table'!$H$1:$H$10000&lt;=ROUND($CS$3,0))*('Margin Guidence Table'!$G$1:$G$10000&gt;=ROUND($CS$3,0)),0),MATCH("DEFAULT_MDA_MEDIAN_MARGIN_GUIDENCE",'Margin Guidence Table'!$A$1:$AC$1,0))),0)</f>
        <v>0</v>
      </c>
      <c r="DH14" s="1165">
        <f t="array" ref="DH14">IFERROR(IF($DC14="SEGMENT",INDEX('Margin Guidence Table'!$A$1:$AC$10000,MATCH(1,('Margin Guidence Table'!$A$1:$A$10000=DA14)*('Margin Guidence Table'!$H$1:$H$10000&lt;=ROUND($CS$3,0))*('Margin Guidence Table'!$G$1:$G$10000&gt;=ROUND($CS$3,0)),0),MATCH("MDA_MAX_MARGIN_GUIDENCE",'Margin Guidence Table'!$A$1:$AC$1,0)),INDEX('Margin Guidence Table'!$A$1:$AC$10000,MATCH(1,('Margin Guidence Table'!$A$1:$A$10000=DA14)*('Margin Guidence Table'!$H$1:$H$10000&lt;=ROUND($CS$3,0))*('Margin Guidence Table'!$G$1:$G$10000&gt;=ROUND($CS$3,0)),0),MATCH("DEFAULT_MDA_MAX_MARGIN_GUIDENCE",'Margin Guidence Table'!$A$1:$AC$1,0))),0)</f>
        <v>0</v>
      </c>
      <c r="DI14" s="1165">
        <f t="array" ref="DI14">IFERROR(IF($DC14="SEGMENT",INDEX('Margin Guidence Table'!$A$1:$AC$10000,MATCH(1,('Margin Guidence Table'!$A$1:$A$10000=DA14)*('Margin Guidence Table'!$H$1:$H$10000&lt;=ROUND($CS$3,0))*('Margin Guidence Table'!$G$1:$G$10000&gt;=ROUND($CS$3,0)),0),MATCH("PA_PCT_SALES",'Margin Guidence Table'!$A$1:$AC$1,0)),INDEX('Margin Guidence Table'!$A$1:$AC$10000,MATCH(1,('Margin Guidence Table'!$A$1:$A$10000=DA14)*('Margin Guidence Table'!$H$1:$H$10000&lt;=ROUND($CS$3,0))*('Margin Guidence Table'!$G$1:$G$10000&gt;=ROUND($CS$3,0)),0),MATCH("DEFAULT_PA_PCT_SALES",'Margin Guidence Table'!$A$1:$AC$1,0))),0)</f>
        <v>0</v>
      </c>
      <c r="DJ14" s="1165">
        <f t="array" ref="DJ14">IFERROR(IF($DC14="SEGMENT",INDEX('Margin Guidence Table'!$A$1:$AC$10000,MATCH(1,('Margin Guidence Table'!$A$1:$A$10000=DA14)*('Margin Guidence Table'!$H$1:$H$10000&lt;=ROUND($CS$3,0))*('Margin Guidence Table'!$G$1:$G$10000&gt;=ROUND($CS$3,0)),0),MATCH("SELF_FUND_PCT_SALES",'Margin Guidence Table'!$A$1:$AC$1,0)),INDEX('Margin Guidence Table'!$A$1:$AC$10000,MATCH(1,('Margin Guidence Table'!$A$1:$A$10000=DA14)*('Margin Guidence Table'!$H$1:$H$10000&lt;=ROUND($CS$3,0))*('Margin Guidence Table'!$G$1:$G$10000&gt;=ROUND($CS$3,0)),0),MATCH("DEFAULT_SELF_FUND_PCT_SALES",'Margin Guidence Table'!$A$1:$AC$1,0))),0)</f>
        <v>0</v>
      </c>
      <c r="DK14" s="1165">
        <f t="array" ref="DK14">IFERROR(IF($DC14="SEGMENT",INDEX('Margin Guidence Table'!$A$1:$AC$10000,MATCH(1,('Margin Guidence Table'!$A$1:$A$10000=DA14)*('Margin Guidence Table'!$H$1:$H$10000&lt;=ROUND($CS$3,0))*('Margin Guidence Table'!$G$1:$G$10000&gt;=ROUND($CS$3,0)),0),MATCH("CIA_MEDIAN_MARGIN_GUIDENCE",'Margin Guidence Table'!$A$1:$AC$1,0)),INDEX('Margin Guidence Table'!$A$1:$AC$10000,MATCH(1,('Margin Guidence Table'!$A$1:$A$10000=DA14)*('Margin Guidence Table'!$H$1:$H$10000&lt;=ROUND($CS$3,0))*('Margin Guidence Table'!$G$1:$G$10000&gt;=ROUND($CS$3,0)),0),MATCH("DEFAULT_CIA_MEDIAN_MARGIN_GUIDENCE",'Margin Guidence Table'!$A$1:$AC$1,0))),0)</f>
        <v>0</v>
      </c>
      <c r="DL14" s="129"/>
      <c r="DM14" s="18">
        <f t="array" ref="DM14">IFERROR(IF($DY14="SEGMENT",INDEX('Margin Guidence Table'!$A$1:$AC$10000,MATCH(1,('Margin Guidence Table'!$A$1:$A$10000=$DW14)*('Margin Guidence Table'!$H$1:$H$10000&lt;=ROUND($DO$3,0))*('Margin Guidence Table'!$G$1:$G$10000&gt;=ROUND($DO$3,0)),0),MATCH("PCT_SALES",'Margin Guidence Table'!$A$1:$AC$1,0)),INDEX('Margin Guidence Table'!$A$1:$AC$10000,MATCH(1,('Margin Guidence Table'!$A$1:$A$10000=$DW14)*('Margin Guidence Table'!$H$1:$H$10000&lt;=ROUND($DO$3,0))*('Margin Guidence Table'!$G$1:$G$10000&gt;=ROUND($DO$3,0)),0),MATCH("DEFAULT_PCT_SALES",'Margin Guidence Table'!$A$1:$AC$1,0))),0)</f>
        <v>0</v>
      </c>
      <c r="DN14" s="102" t="s">
        <v>99</v>
      </c>
      <c r="DO14" s="94">
        <f>IFERROR(IF(AND($DO$2&lt;&gt;"Enter Spend&gt;&gt;&gt;",DP2="EXISTING"),SUMIFS('Existing Customers'!$Q:$Q,'Existing Customers'!$A:$A,$DO$1,'Existing Customers'!$H:$H,$DN14)*$DO$4,$DO$3*$DM14),0)</f>
        <v>0</v>
      </c>
      <c r="DP14" s="89">
        <f>IFERROR(IF(AND($DO$2&lt;&gt;"Enter Spend&gt;&gt;&gt;",DP2="EXISTING"),SUMIFS('Existing Customers'!$N:$N,'Existing Customers'!$A:$A,$DO$1,'Existing Customers'!$H:$H,$DN14)*$DO$4,$DO14/$DZ14),0)</f>
        <v>0</v>
      </c>
      <c r="DQ14" s="95">
        <f>IFERROR(IF(AND($DO$2&lt;&gt;"Enter Spend&gt;&gt;&gt;",DP2="EXISTING"),SUMIFS('Existing Customers'!$O:$O,'Existing Customers'!$H:$H,$DN14,'Existing Customers'!$A:$A,$DO$1)*$DO$4,$DP14*$DO$8),0)</f>
        <v>0</v>
      </c>
      <c r="DR14" s="95">
        <f>IFERROR(IF(AND($DO$2&lt;&gt;"Enter Spend&gt;&gt;&gt;",DP2="EXISTING"),SUMIFS('Existing Customers'!$P:$P,'Existing Customers'!$A:$A,$DO$1,'Existing Customers'!$H:$H,$DN14)*$DO$4,$DO14/$EA14),0)</f>
        <v>0</v>
      </c>
      <c r="DS14" s="96">
        <f>IFERROR(IF(AND($DO$2&lt;&gt;"Enter Spend&gt;&gt;&gt;",EL2="EXISTING"),SUMIFS('Existing Customers'!$V:$V,'Existing Customers'!$H:$H,$DN14,'Existing Customers'!$A:$A,$DO$1)*$DO$4,0),0)</f>
        <v>0</v>
      </c>
      <c r="DT14" s="96">
        <f>IFERROR(IF(AND($DO$2&lt;&gt;"Enter Spend&gt;&gt;&gt;",DP2="EXISTING"),SUMIFS('Existing Customers'!$R:$R,'Existing Customers'!$H:$H,$DN14,'Existing Customers'!$A:$A,$DO$1)*$DO$4,0),0)</f>
        <v>0</v>
      </c>
      <c r="DU14" s="1161">
        <f>IFERROR(IF(AND($DO$2&lt;&gt;"Enter Spend&gt;&gt;&gt;",DP2="EXISTING"),SUMIFS('Existing Customers'!$S:$S,'Existing Customers'!$H:$H,$DP14,'Existing Customers'!$A:$A,$DO$1),EE14*DO14),0)</f>
        <v>0</v>
      </c>
      <c r="DV14" s="1161">
        <f>IFERROR(IF(AND($DO$2&lt;&gt;"Enter Spend&gt;&gt;&gt;",DP2="EXISTING"),SUMIFS('Existing Customers'!$U:$U,'Existing Customers'!$H:$H,$DN14,'Existing Customers'!$A:$A,$DO$1),EF14*DO14),0)</f>
        <v>0</v>
      </c>
      <c r="DW14" s="1164" t="e">
        <f>_xlfn.CONCAT($DP$1,"_",DN14)</f>
        <v>#N/A</v>
      </c>
      <c r="DX14" s="1164">
        <f t="array" ref="DX14">IFERROR(INDEX('Margin Guidence Table'!$A$1:$AD$30000,MATCH(1,('Margin Guidence Table'!$A$1:$A$10000=DW14)*('Margin Guidence Table'!$H$1:$H$10000&lt;=ROUND($DO$3,0))*('Margin Guidence Table'!$G$1:$G$10000&gt;=ROUND($DO$3,0)),0),MATCH("DATA_POINTS",'Margin Guidence Table'!$A$1:$AC$1,0)),0)</f>
        <v>0</v>
      </c>
      <c r="DY14" s="1161" t="str">
        <f>IF(DX14&gt;15,"SEGMENT","DEFAULT")</f>
        <v>DEFAULT</v>
      </c>
      <c r="DZ14" s="1161">
        <f t="array" ref="DZ14">IFERROR(IF($DY14="SEGMENT",INDEX('Margin Guidence Table'!$A$1:$AC$10000,MATCH(1,('Margin Guidence Table'!$A$1:$A$10000=DW14)*('Margin Guidence Table'!$H$1:$H$10000&lt;=ROUND($DO$3,0))*('Margin Guidence Table'!$G$1:$G$10000&gt;=ROUND($DO$3,0)),0),MATCH("SALES_CASE",'Margin Guidence Table'!$A$1:$AC$1,0)),INDEX('Margin Guidence Table'!$A$1:$AC$10000,MATCH(1,('Margin Guidence Table'!$A$1:$A$10000=DW14)*('Margin Guidence Table'!$H$1:$H$10000&lt;=ROUND($DO$3,0))*('Margin Guidence Table'!$G$1:$G$10000&gt;=ROUND($DO$3,0)),0),MATCH("DEFAULT_SALES_CASE",'Margin Guidence Table'!$A$1:$AC$1,0))),0)</f>
        <v>0</v>
      </c>
      <c r="EA14" s="1161">
        <f t="array" ref="EA14">IFERROR(IF($DY14="SEGMENT",INDEX('Margin Guidence Table'!$A$1:$AC$10000,MATCH(1,('Margin Guidence Table'!$A$1:$A$10000=DW14)*('Margin Guidence Table'!$H$1:$H$10000&lt;=ROUND($DO$3,0))*('Margin Guidence Table'!$G$1:$G$10000&gt;=ROUND($DO$3,0)),0),MATCH("SALES_LBS",'Margin Guidence Table'!$A$1:$AC$1,0)),INDEX('Margin Guidence Table'!$A$1:$AC$10000,MATCH(1,('Margin Guidence Table'!$A$1:$A$10000=DW14)*('Margin Guidence Table'!$H$1:$H$10000&lt;=ROUND($DO$3,0))*('Margin Guidence Table'!$G$1:$G$10000&gt;=ROUND($DO$3,0)),0),MATCH("DEFAULT_SALES_LBS",'Margin Guidence Table'!$A$1:$AC$1,0))),0)</f>
        <v>0</v>
      </c>
      <c r="EB14" s="1165">
        <f t="array" ref="EB14">IFERROR(IF($DY14="SEGMENT",INDEX('Margin Guidence Table'!$A$1:$AC$10000,MATCH(1,('Margin Guidence Table'!$A$1:$A$10000=DW14)*('Margin Guidence Table'!$H$1:$H$10000&lt;=ROUND($DO$3,0))*('Margin Guidence Table'!$G$1:$G$10000&gt;=ROUND($DO$3,0)),0),MATCH("MDA_MIN_MARGIN_GUIDENCE",'Margin Guidence Table'!$A$1:$AC$1,0)),INDEX('Margin Guidence Table'!$A$1:$AC$10000,MATCH(1,('Margin Guidence Table'!$A$1:$A$10000=DW14)*('Margin Guidence Table'!$H$1:$H$10000&lt;=ROUND($DO$3,0))*('Margin Guidence Table'!$G$1:$G$10000&gt;=ROUND($DO$3,0)),0),MATCH("DEFAULT_MDA_MIN_MARGIN_GUIDENCE",'Margin Guidence Table'!$A$1:$AC$1,0))),0)</f>
        <v>0</v>
      </c>
      <c r="EC14" s="1165">
        <f t="array" ref="EC14">IFERROR(IF($DY14="SEGMENT",INDEX('Margin Guidence Table'!$A$1:$AC$10000,MATCH(1,('Margin Guidence Table'!$A$1:$A$10000=DW14)*('Margin Guidence Table'!$H$1:$H$10000&lt;=ROUND($DO$3,0))*('Margin Guidence Table'!$G$1:$G$10000&gt;=ROUND($DO$3,0)),0),MATCH("MDA_MEDIAN_MARGIN_GUIDENCE",'Margin Guidence Table'!$A$1:$AC$1,0)),INDEX('Margin Guidence Table'!$A$1:$AC$10000,MATCH(1,('Margin Guidence Table'!$A$1:$A$10000=DW14)*('Margin Guidence Table'!$H$1:$H$10000&lt;=ROUND($DO$3,0))*('Margin Guidence Table'!$G$1:$G$10000&gt;=ROUND($DO$3,0)),0),MATCH("DEFAULT_MDA_MEDIAN_MARGIN_GUIDENCE",'Margin Guidence Table'!$A$1:$AC$1,0))),0)</f>
        <v>0</v>
      </c>
      <c r="ED14" s="1165">
        <f t="array" ref="ED14">IFERROR(IF($DY14="SEGMENT",INDEX('Margin Guidence Table'!$A$1:$AC$10000,MATCH(1,('Margin Guidence Table'!$A$1:$A$10000=DW14)*('Margin Guidence Table'!$H$1:$H$10000&lt;=ROUND($DO$3,0))*('Margin Guidence Table'!$G$1:$G$10000&gt;=ROUND($DO$3,0)),0),MATCH("MDA_MAX_MARGIN_GUIDENCE",'Margin Guidence Table'!$A$1:$AC$1,0)),INDEX('Margin Guidence Table'!$A$1:$AC$10000,MATCH(1,('Margin Guidence Table'!$A$1:$A$10000=DW14)*('Margin Guidence Table'!$H$1:$H$10000&lt;=ROUND($DO$3,0))*('Margin Guidence Table'!$G$1:$G$10000&gt;=ROUND($DO$3,0)),0),MATCH("DEFAULT_MDA_MAX_MARGIN_GUIDENCE",'Margin Guidence Table'!$A$1:$AC$1,0))),0)</f>
        <v>0</v>
      </c>
      <c r="EE14" s="1165">
        <f t="array" ref="EE14">IFERROR(IF($DY14="SEGMENT",INDEX('Margin Guidence Table'!$A$1:$AC$10000,MATCH(1,('Margin Guidence Table'!$A$1:$A$10000=DW14)*('Margin Guidence Table'!$H$1:$H$10000&lt;=ROUND($DO$3,0))*('Margin Guidence Table'!$G$1:$G$10000&gt;=ROUND($DO$3,0)),0),MATCH("PA_PCT_SALES",'Margin Guidence Table'!$A$1:$AC$1,0)),INDEX('Margin Guidence Table'!$A$1:$AC$10000,MATCH(1,('Margin Guidence Table'!$A$1:$A$10000=DW14)*('Margin Guidence Table'!$H$1:$H$10000&lt;=ROUND($DO$3,0))*('Margin Guidence Table'!$G$1:$G$10000&gt;=ROUND($DO$3,0)),0),MATCH("DEFAULT_PA_PCT_SALES",'Margin Guidence Table'!$A$1:$AC$1,0))),0)</f>
        <v>0</v>
      </c>
      <c r="EF14" s="1165">
        <f t="array" ref="EF14">IFERROR(IF($DY14="SEGMENT",INDEX('Margin Guidence Table'!$A$1:$AC$10000,MATCH(1,('Margin Guidence Table'!$A$1:$A$10000=DW14)*('Margin Guidence Table'!$H$1:$H$10000&lt;=ROUND($DO$3,0))*('Margin Guidence Table'!$G$1:$G$10000&gt;=ROUND($DO$3,0)),0),MATCH("SELF_FUND_PCT_SALES",'Margin Guidence Table'!$A$1:$AC$1,0)),INDEX('Margin Guidence Table'!$A$1:$AC$10000,MATCH(1,('Margin Guidence Table'!$A$1:$A$10000=DW14)*('Margin Guidence Table'!$H$1:$H$10000&lt;=ROUND($DO$3,0))*('Margin Guidence Table'!$G$1:$G$10000&gt;=ROUND($DO$3,0)),0),MATCH("DEFAULT_SELF_FUND_PCT_SALES",'Margin Guidence Table'!$A$1:$AC$1,0))),0)</f>
        <v>0</v>
      </c>
      <c r="EG14" s="1165">
        <f t="array" ref="EG14">IFERROR(IF($DY14="SEGMENT",INDEX('Margin Guidence Table'!$A$1:$AC$10000,MATCH(1,('Margin Guidence Table'!$A$1:$A$10000=DW14)*('Margin Guidence Table'!$H$1:$H$10000&lt;=ROUND($DO$3,0))*('Margin Guidence Table'!$G$1:$G$10000&gt;=ROUND($DO$3,0)),0),MATCH("CIA_MEDIAN_MARGIN_GUIDENCE",'Margin Guidence Table'!$A$1:$AC$1,0)),INDEX('Margin Guidence Table'!$A$1:$AC$10000,MATCH(1,('Margin Guidence Table'!$A$1:$A$10000=DW14)*('Margin Guidence Table'!$H$1:$H$10000&lt;=ROUND($DO$3,0))*('Margin Guidence Table'!$G$1:$G$10000&gt;=ROUND($DO$3,0)),0),MATCH("DEFAULT_CIA_MEDIAN_MARGIN_GUIDENCE",'Margin Guidence Table'!$A$1:$AC$1,0))),0)</f>
        <v>0</v>
      </c>
      <c r="EH14" s="129"/>
      <c r="EI14" s="18">
        <f t="array" ref="EI14">IFERROR(IF($EU14="SEGMENT",INDEX('Margin Guidence Table'!$A$1:$AC$10000,MATCH(1,('Margin Guidence Table'!$A$1:$A$10000=$ES14)*('Margin Guidence Table'!$H$1:$H$10000&lt;=ROUND($EK$3,0))*('Margin Guidence Table'!$G$1:$G$10000&gt;=ROUND($EK$3,0)),0),MATCH("PCT_SALES",'Margin Guidence Table'!$A$1:$AC$1,0)),INDEX('Margin Guidence Table'!$A$1:$AC$10000,MATCH(1,('Margin Guidence Table'!$A$1:$A$10000=$ES14)*('Margin Guidence Table'!$H$1:$H$10000&lt;=ROUND($EK$3,0))*('Margin Guidence Table'!$G$1:$G$10000&gt;=ROUND($EK$3,0)),0),MATCH("DEFAULT_PCT_SALES",'Margin Guidence Table'!$A$1:$AC$1,0))),0)</f>
        <v>0</v>
      </c>
      <c r="EJ14" s="102" t="s">
        <v>99</v>
      </c>
      <c r="EK14" s="94">
        <f>IFERROR(IF(AND($EK$2&lt;&gt;"Enter Spend&gt;&gt;&gt;",EL2="EXISTING"),SUMIFS('Existing Customers'!$Q:$Q,'Existing Customers'!$A:$A,$EK$1,'Existing Customers'!$H:$H,$EJ14)*$EK$4,$EK$3*$EI14),0)</f>
        <v>0</v>
      </c>
      <c r="EL14" s="89">
        <f>IFERROR(IF(AND($EK$2&lt;&gt;"Enter Spend&gt;&gt;&gt;",EL2="EXISTING"),SUMIFS('Existing Customers'!$N:$N,'Existing Customers'!$A:$A,$EK$1,'Existing Customers'!$H:$H,$EJ14)*$EK$4,$EK14/$EV14),0)</f>
        <v>0</v>
      </c>
      <c r="EM14" s="95">
        <f>IFERROR(IF(AND($EK$2&lt;&gt;"Enter Spend&gt;&gt;&gt;",EL2="EXISTING"),SUMIFS('Existing Customers'!$O:$O,'Existing Customers'!$H:$H,$EJ14,'Existing Customers'!$A:$A,$EK$1)*$EK$4,$EL14*$EK$8),0)</f>
        <v>0</v>
      </c>
      <c r="EN14" s="95">
        <f>IFERROR(IF(AND($EK$2&lt;&gt;"Enter Spend&gt;&gt;&gt;",EL2="EXISTING"),SUMIFS('Existing Customers'!$P:$P,'Existing Customers'!$A:$A,$EK$1,'Existing Customers'!$H:$H,$EJ14)*$EK$4,$EK14/$EW14),0)</f>
        <v>0</v>
      </c>
      <c r="EO14" s="96">
        <f>IFERROR(IF(AND($EK$2&lt;&gt;"Enter Spend&gt;&gt;&gt;",EL2="EXISTING"),SUMIFS('Existing Customers'!$V:$V,'Existing Customers'!$H:$H,$EJ14,'Existing Customers'!$A:$A,$EK$1)*$EK$4,0),0)</f>
        <v>0</v>
      </c>
      <c r="EP14" s="96">
        <f>IFERROR(IF(AND($EK$2&lt;&gt;"Enter Spend&gt;&gt;&gt;",EL2="EXISTING"),SUMIFS('Existing Customers'!$R:$R,'Existing Customers'!$H:$H,$EJ14,'Existing Customers'!$A:$A,$EK$1)*$EK$4,0),0)</f>
        <v>0</v>
      </c>
      <c r="EQ14" s="1161">
        <f>IFERROR(IF(AND($EK$2&lt;&gt;"Enter Spend&gt;&gt;&gt;",EL2="EXISTING"),SUMIFS('Existing Customers'!$S:$S,'Existing Customers'!$H:$H,$EJ14,'Existing Customers'!$A:$A,$EK$1),FA14*EK14),0)</f>
        <v>0</v>
      </c>
      <c r="ER14" s="1161">
        <f>IFERROR(IF(AND($EK$2&lt;&gt;"Enter Spend&gt;&gt;&gt;",EL2="EXISTING"),SUMIFS('Existing Customers'!$U:$U,'Existing Customers'!$H:$H,$EJ14,'Existing Customers'!$A:$A,$EK$1),FB14*EK14),0)</f>
        <v>0</v>
      </c>
      <c r="ES14" s="1164" t="e">
        <f>_xlfn.CONCAT($EL$1,"_",EJ14)</f>
        <v>#N/A</v>
      </c>
      <c r="ET14" s="1164">
        <f t="array" ref="ET14">IFERROR(INDEX('Margin Guidence Table'!$A$1:$AD$30000,MATCH(1,('Margin Guidence Table'!$A$1:$A$10000=ES14)*('Margin Guidence Table'!$H$1:$H$10000&lt;=ROUND($EK$3,0))*('Margin Guidence Table'!$G$1:$G$10000&gt;=ROUND($EK$3,0)),0),MATCH("DATA_POINTS",'Margin Guidence Table'!$A$1:$AC$1,0)),0)</f>
        <v>0</v>
      </c>
      <c r="EU14" s="1161" t="str">
        <f>IF(ET14&gt;15,"SEGMENT","DEFAULT")</f>
        <v>DEFAULT</v>
      </c>
      <c r="EV14" s="1161">
        <f t="array" ref="EV14">IFERROR(IF($EU14="SEGMENT",INDEX('Margin Guidence Table'!$A$1:$AC$10000,MATCH(1,('Margin Guidence Table'!$A$1:$A$10000=ES14)*('Margin Guidence Table'!$H$1:$H$10000&lt;=ROUND($EK$3,0))*('Margin Guidence Table'!$G$1:$G$10000&gt;=ROUND($EK$3,0)),0),MATCH("SALES_CASE",'Margin Guidence Table'!$A$1:$AC$1,0)),INDEX('Margin Guidence Table'!$A$1:$AC$10000,MATCH(1,('Margin Guidence Table'!$A$1:$A$10000=ES14)*('Margin Guidence Table'!$H$1:$H$10000&lt;=ROUND($EK$3,0))*('Margin Guidence Table'!$G$1:$G$10000&gt;=ROUND($EK$3,0)),0),MATCH("DEFAULT_SALES_CASE",'Margin Guidence Table'!$A$1:$AC$1,0))),0)</f>
        <v>0</v>
      </c>
      <c r="EW14" s="1161" cm="1">
        <f t="array" ref="EW14">IFERROR(IF($EU14="SEGMENT",INDEX('Margin Guidence Table'!$A$1:$AC$10000,MATCH(1,('Margin Guidence Table'!$A$1:$A$10000=ES14)*('Margin Guidence Table'!$H$1:$H$10000&lt;=ROUND($EK$3,0))*('Margin Guidence Table'!$G$1:$G$10000&gt;=ROUND($EK$3,0)),0),MATCH("SALES_LBS",'Margin Guidence Table'!$A$1:$AC$1,0)),INDEX('Margin Guidence Table'!$A$1:$AC$10000,MATCH(1,('Margin Guidence Table'!$A$1:$A$10000=ES14)*('Margin Guidence Table'!$H$1:$H$10000&lt;=ROUND($EK$3,0))*('Margin Guidence Table'!$G$1:$G$10000&gt;=ROUND($EK$3,0)),0),MATCH("DEFAULT_SALES_LBS",'Margin Guidence Table'!$A$1:$AC$1,0))),0)</f>
        <v>0</v>
      </c>
      <c r="EX14" s="1165">
        <f t="array" ref="EX14">IFERROR(IF($EU14="SEGMENT",INDEX('Margin Guidence Table'!$A$1:$AC$10000,MATCH(1,('Margin Guidence Table'!$A$1:$A$10000=ES14)*('Margin Guidence Table'!$H$1:$H$10000&lt;=ROUND($EK$3,0))*('Margin Guidence Table'!$G$1:$G$10000&gt;=ROUND($EK$3,0)),0),MATCH("MDA_MIN_MARGIN_GUIDENCE",'Margin Guidence Table'!$A$1:$AC$1,0)),INDEX('Margin Guidence Table'!$A$1:$AC$10000,MATCH(1,('Margin Guidence Table'!$A$1:$A$10000=ES14)*('Margin Guidence Table'!$H$1:$H$10000&lt;=ROUND($EK$3,0))*('Margin Guidence Table'!$G$1:$G$10000&gt;=ROUND($EK$3,0)),0),MATCH("DEFAULT_MDA_MIN_MARGIN_GUIDENCE",'Margin Guidence Table'!$A$1:$AC$1,0))),0)</f>
        <v>0</v>
      </c>
      <c r="EY14" s="1165">
        <f t="array" ref="EY14">IFERROR(IF($EU14="SEGMENT",INDEX('Margin Guidence Table'!$A$1:$AC$10000,MATCH(1,('Margin Guidence Table'!$A$1:$A$10000=ES14)*('Margin Guidence Table'!$H$1:$H$10000&lt;=ROUND($EK$3,0))*('Margin Guidence Table'!$G$1:$G$10000&gt;=ROUND($EK$3,0)),0),MATCH("MDA_MEDIAN_MARGIN_GUIDENCE",'Margin Guidence Table'!$A$1:$AC$1,0)),INDEX('Margin Guidence Table'!$A$1:$AC$10000,MATCH(1,('Margin Guidence Table'!$A$1:$A$10000=ES14)*('Margin Guidence Table'!$H$1:$H$10000&lt;=ROUND($EK$3,0))*('Margin Guidence Table'!$G$1:$G$10000&gt;=ROUND($EK$3,0)),0),MATCH("DEFAULT_MDA_MEDIAN_MARGIN_GUIDENCE",'Margin Guidence Table'!$A$1:$AC$1,0))),0)</f>
        <v>0</v>
      </c>
      <c r="EZ14" s="1165">
        <f t="array" ref="EZ14">IFERROR(IF($EU14="SEGMENT",INDEX('Margin Guidence Table'!$A$1:$AC$10000,MATCH(1,('Margin Guidence Table'!$A$1:$A$10000=ES14)*('Margin Guidence Table'!$H$1:$H$10000&lt;=ROUND($EK$3,0))*('Margin Guidence Table'!$G$1:$G$10000&gt;=ROUND($EK$3,0)),0),MATCH("MDA_MAX_MARGIN_GUIDENCE",'Margin Guidence Table'!$A$1:$AC$1,0)),INDEX('Margin Guidence Table'!$A$1:$AC$10000,MATCH(1,('Margin Guidence Table'!$A$1:$A$10000=ES14)*('Margin Guidence Table'!$H$1:$H$10000&lt;=ROUND($EK$3,0))*('Margin Guidence Table'!$G$1:$G$10000&gt;=ROUND($EK$3,0)),0),MATCH("DEFAULT_MDA_MAX_MARGIN_GUIDENCE",'Margin Guidence Table'!$A$1:$AC$1,0))),0)</f>
        <v>0</v>
      </c>
      <c r="FA14" s="1165">
        <f t="array" ref="FA14">IFERROR(IF($EU14="SEGMENT",INDEX('Margin Guidence Table'!$A$1:$AC$10000,MATCH(1,('Margin Guidence Table'!$A$1:$A$10000=ES14)*('Margin Guidence Table'!$H$1:$H$10000&lt;=ROUND($EK$3,0))*('Margin Guidence Table'!$G$1:$G$10000&gt;=ROUND($EK$3,0)),0),MATCH("PA_PCT_SALES",'Margin Guidence Table'!$A$1:$AC$1,0)),INDEX('Margin Guidence Table'!$A$1:$AC$10000,MATCH(1,('Margin Guidence Table'!$A$1:$A$10000=ES14)*('Margin Guidence Table'!$H$1:$H$10000&lt;=ROUND($EK$3,0))*('Margin Guidence Table'!$G$1:$G$10000&gt;=ROUND($EK$3,0)),0),MATCH("DEFAULT_PA_PCT_SALES",'Margin Guidence Table'!$A$1:$AC$1,0))),0)</f>
        <v>0</v>
      </c>
      <c r="FB14" s="1165">
        <f t="array" ref="FB14">IFERROR(IF($EU14="SEGMENT",INDEX('Margin Guidence Table'!$A$1:$AC$10000,MATCH(1,('Margin Guidence Table'!$A$1:$A$10000=ES14)*('Margin Guidence Table'!$H$1:$H$10000&lt;=ROUND($EK$3,0))*('Margin Guidence Table'!$G$1:$G$10000&gt;=ROUND($EK$3,0)),0),MATCH("SELF_FUND_PCT_SALES",'Margin Guidence Table'!$A$1:$AC$1,0)),INDEX('Margin Guidence Table'!$A$1:$AC$10000,MATCH(1,('Margin Guidence Table'!$A$1:$A$10000=ES14)*('Margin Guidence Table'!$H$1:$H$10000&lt;=ROUND($EK$3,0))*('Margin Guidence Table'!$G$1:$G$10000&gt;=ROUND($EK$3,0)),0),MATCH("DEFAULT_SELF_FUND_PCT_SALES",'Margin Guidence Table'!$A$1:$AC$1,0))),0)</f>
        <v>0</v>
      </c>
      <c r="FC14" s="1165">
        <f t="array" ref="FC14">IFERROR(IF($EU14="SEGMENT",INDEX('Margin Guidence Table'!$A$1:$AC$10000,MATCH(1,('Margin Guidence Table'!$A$1:$A$10000=ES14)*('Margin Guidence Table'!$H$1:$H$10000&lt;=ROUND($EK$3,0))*('Margin Guidence Table'!$G$1:$G$10000&gt;=ROUND($EK$3,0)),0),MATCH("CIA_MEDIAN_MARGIN_GUIDENCE",'Margin Guidence Table'!$A$1:$AC$1,0)),INDEX('Margin Guidence Table'!$A$1:$AC$10000,MATCH(1,('Margin Guidence Table'!$A$1:$A$10000=ES14)*('Margin Guidence Table'!$H$1:$H$10000&lt;=ROUND($EK$3,0))*('Margin Guidence Table'!$G$1:$G$10000&gt;=ROUND($EK$3,0)),0),MATCH("DEFAULT_CIA_MEDIAN_MARGIN_GUIDENCE",'Margin Guidence Table'!$A$1:$AC$1,0))),0)</f>
        <v>0</v>
      </c>
      <c r="FD14" s="129"/>
      <c r="FE14" s="18">
        <f t="array" ref="FE14">IFERROR(IF($FQ14="SEGMENT",INDEX('Margin Guidence Table'!$A$1:$AC$10000,MATCH(1,('Margin Guidence Table'!$A$1:$A$10000=$FO14)*('Margin Guidence Table'!$H$1:$H$10000&lt;=ROUND($FG$3,0))*('Margin Guidence Table'!$G$1:$G$10000&gt;=ROUND($FG$3,0)),0),MATCH("PCT_SALES",'Margin Guidence Table'!$A$1:$AC$1,0)),INDEX('Margin Guidence Table'!$A$1:$AC$10000,MATCH(1,('Margin Guidence Table'!$A$1:$A$10000=$FO14)*('Margin Guidence Table'!$H$1:$H$10000&lt;=ROUND($FG$3,0))*('Margin Guidence Table'!$G$1:$G$10000&gt;=ROUND($FG$3,0)),0),MATCH("DEFAULT_PCT_SALES",'Margin Guidence Table'!$A$1:$AC$1,0))),0)</f>
        <v>0</v>
      </c>
      <c r="FF14" s="102" t="s">
        <v>99</v>
      </c>
      <c r="FG14" s="94">
        <f>IFERROR(IF(AND($FG$2&lt;&gt;"Enter Spend&gt;&gt;&gt;",FH2="EXISTING"),SUMIFS('Existing Customers'!$Q:$Q,'Existing Customers'!$A:$A,$FG$1,'Existing Customers'!$H:$H,$FF14)*$FG$4,$FG$3*$FE14),0)</f>
        <v>0</v>
      </c>
      <c r="FH14" s="89">
        <f>IFERROR(IF(AND($FG$2&lt;&gt;"Enter Spend&gt;&gt;&gt;",FH2="EXISTING"),SUMIFS('Existing Customers'!$N:$N,'Existing Customers'!$A:$A,$FG$1,'Existing Customers'!$H:$H,$FF14)*$FG$4,$FG14/$FR14),0)</f>
        <v>0</v>
      </c>
      <c r="FI14" s="95">
        <f>IFERROR(IF(AND($FG$2&lt;&gt;"Enter Spend&gt;&gt;&gt;",FH2="EXISTING"),SUMIFS('Existing Customers'!$O:$O,'Existing Customers'!$H:$H,$FF14,'Existing Customers'!$A:$A,$FG$1)*$FG$4,$FH14*$FG$8),0)</f>
        <v>0</v>
      </c>
      <c r="FJ14" s="95">
        <f>IFERROR(IF(AND($FG$2&lt;&gt;"Enter Spend&gt;&gt;&gt;",FH2="EXISTING"),SUMIFS('Existing Customers'!$P:$P,'Existing Customers'!$A:$A,$FG$1,'Existing Customers'!$H:$H,$FF14)*$FG$4,$FG14/$FS14),0)</f>
        <v>0</v>
      </c>
      <c r="FK14" s="96">
        <f>IFERROR(IF(AND($FG$2&lt;&gt;"Enter Spend&gt;&gt;&gt;",FH2="EXISTING"),SUMIFS('Existing Customers'!$V:$V,'Existing Customers'!$H:$H,$FF14,'Existing Customers'!$A:$A,$FG$1)*$FG$4,0),0)</f>
        <v>0</v>
      </c>
      <c r="FL14" s="96">
        <f>IFERROR(IF(AND($FG$2&lt;&gt;"Enter Spend&gt;&gt;&gt;",FH2="EXISTING"),SUMIFS('Existing Customers'!$R:$R,'Existing Customers'!$H:$H,$FF14,'Existing Customers'!$A:$A,$FG$1)*$FG$4,0),0)</f>
        <v>0</v>
      </c>
      <c r="FM14" s="1161">
        <f>IFERROR(IF(AND($FG$2&lt;&gt;"Enter Spend&gt;&gt;&gt;",FH2="EXISTING"),SUMIFS('Existing Customers'!$S:$S,'Existing Customers'!$H:$H,$FF14,'Existing Customers'!$A:$A,$FG$1),FW14*FG14),0)</f>
        <v>0</v>
      </c>
      <c r="FN14" s="1161">
        <f>IFERROR(IF(AND($FG$2&lt;&gt;"Enter Spend&gt;&gt;&gt;",FH2="EXISTING"),SUMIFS('Existing Customers'!$U:$U,'Existing Customers'!$H:$H,$FF14,'Existing Customers'!$A:$A,$FG$1),FX14*FG14),0)</f>
        <v>0</v>
      </c>
      <c r="FO14" s="1164" t="e">
        <f>_xlfn.CONCAT($FH$1,"_",FF14)</f>
        <v>#N/A</v>
      </c>
      <c r="FP14" s="1164">
        <f t="array" ref="FP14">IFERROR(INDEX('Margin Guidence Table'!$A$1:$AD$30000,MATCH(1,('Margin Guidence Table'!$A$1:$A$10000=FO14)*('Margin Guidence Table'!$H$1:$H$10000&lt;=ROUND($FG$3,0))*('Margin Guidence Table'!$G$1:$G$10000&gt;=ROUND($FG$3,0)),0),MATCH("DATA_POINTS",'Margin Guidence Table'!$A$1:$AC$1,0)),0)</f>
        <v>0</v>
      </c>
      <c r="FQ14" s="1161" t="str">
        <f>IF(FP14&gt;15,"SEGMENT","DEFAULT")</f>
        <v>DEFAULT</v>
      </c>
      <c r="FR14" s="1161">
        <f t="array" ref="FR14">IFERROR(IF($FQ14="SEGMENT",INDEX('Margin Guidence Table'!$A$1:$AC$10000,MATCH(1,('Margin Guidence Table'!$A$1:$A$10000=FO14)*('Margin Guidence Table'!$H$1:$H$10000&lt;=ROUND($FG$3,0))*('Margin Guidence Table'!$G$1:$G$10000&gt;=ROUND($FG$3,0)),0),MATCH("SALES_CASE",'Margin Guidence Table'!$A$1:$AC$1,0)),INDEX('Margin Guidence Table'!$A$1:$AC$10000,MATCH(1,('Margin Guidence Table'!$A$1:$A$10000=FO14)*('Margin Guidence Table'!$H$1:$H$10000&lt;=ROUND($FG$3,0))*('Margin Guidence Table'!$G$1:$G$10000&gt;=ROUND($FG$3,0)),0),MATCH("DEFAULT_SALES_CASE",'Margin Guidence Table'!$A$1:$AC$1,0))),0)</f>
        <v>0</v>
      </c>
      <c r="FS14" s="1161">
        <f t="array" ref="FS14">IFERROR(IF($FQ14="SEGMENT",INDEX('Margin Guidence Table'!$A$1:$AC$10000,MATCH(1,('Margin Guidence Table'!$A$1:$A$10000=FO14)*('Margin Guidence Table'!$H$1:$H$10000&lt;=ROUND($FG$3,0))*('Margin Guidence Table'!$G$1:$G$10000&gt;=ROUND($FG$3,0)),0),MATCH("SALES_LBS",'Margin Guidence Table'!$A$1:$AC$1,0)),INDEX('Margin Guidence Table'!$A$1:$AC$10000,MATCH(1,('Margin Guidence Table'!$A$1:$A$10000=FO14)*('Margin Guidence Table'!$H$1:$H$10000&lt;=ROUND($FG$3,0))*('Margin Guidence Table'!$G$1:$G$10000&gt;=ROUND($FG$3,0)),0),MATCH("DEFAULT_SALES_LBS",'Margin Guidence Table'!$A$1:$AC$1,0))),0)</f>
        <v>0</v>
      </c>
      <c r="FT14" s="1165">
        <f t="array" ref="FT14">IFERROR(IF($FQ14="SEGMENT",INDEX('Margin Guidence Table'!$A$1:$AC$10000,MATCH(1,('Margin Guidence Table'!$A$1:$A$10000=FO14)*('Margin Guidence Table'!$H$1:$H$10000&lt;=ROUND($FG$3,0))*('Margin Guidence Table'!$G$1:$G$10000&gt;=ROUND($FG$3,0)),0),MATCH("MDA_MIN_MARGIN_GUIDENCE",'Margin Guidence Table'!$A$1:$AC$1,0)),INDEX('Margin Guidence Table'!$A$1:$AC$10000,MATCH(1,('Margin Guidence Table'!$A$1:$A$10000=FO14)*('Margin Guidence Table'!$H$1:$H$10000&lt;=ROUND($FG$3,0))*('Margin Guidence Table'!$G$1:$G$10000&gt;=ROUND($FG$3,0)),0),MATCH("DEFAULT_MDA_MIN_MARGIN_GUIDENCE",'Margin Guidence Table'!$A$1:$AC$1,0))),0)</f>
        <v>0</v>
      </c>
      <c r="FU14" s="1165">
        <f t="array" ref="FU14">IFERROR(IF($FQ14="SEGMENT",INDEX('Margin Guidence Table'!$A$1:$AC$10000,MATCH(1,('Margin Guidence Table'!$A$1:$A$10000=FO14)*('Margin Guidence Table'!$H$1:$H$10000&lt;=ROUND($FG$3,0))*('Margin Guidence Table'!$G$1:$G$10000&gt;=ROUND($FG$3,0)),0),MATCH("MDA_MEDIAN_MARGIN_GUIDENCE",'Margin Guidence Table'!$A$1:$AC$1,0)),INDEX('Margin Guidence Table'!$A$1:$AC$10000,MATCH(1,('Margin Guidence Table'!$A$1:$A$10000=FO14)*('Margin Guidence Table'!$H$1:$H$10000&lt;=ROUND($FG$3,0))*('Margin Guidence Table'!$G$1:$G$10000&gt;=ROUND($FG$3,0)),0),MATCH("DEFAULT_MDA_MEDIAN_MARGIN_GUIDENCE",'Margin Guidence Table'!$A$1:$AC$1,0))),0)</f>
        <v>0</v>
      </c>
      <c r="FV14" s="1165">
        <f t="array" ref="FV14">IFERROR(IF($FQ14="SEGMENT",INDEX('Margin Guidence Table'!$A$1:$AC$10000,MATCH(1,('Margin Guidence Table'!$A$1:$A$10000=FO14)*('Margin Guidence Table'!$H$1:$H$10000&lt;=ROUND($FG$3,0))*('Margin Guidence Table'!$G$1:$G$10000&gt;=ROUND($FG$3,0)),0),MATCH("MDA_MAX_MARGIN_GUIDENCE",'Margin Guidence Table'!$A$1:$AC$1,0)),INDEX('Margin Guidence Table'!$A$1:$AC$10000,MATCH(1,('Margin Guidence Table'!$A$1:$A$10000=FO14)*('Margin Guidence Table'!$H$1:$H$10000&lt;=ROUND($FG$3,0))*('Margin Guidence Table'!$G$1:$G$10000&gt;=ROUND($FG$3,0)),0),MATCH("DEFAULT_MDA_MAX_MARGIN_GUIDENCE",'Margin Guidence Table'!$A$1:$AC$1,0))),0)</f>
        <v>0</v>
      </c>
      <c r="FW14" s="1165">
        <f t="array" ref="FW14">IFERROR(IF($FQ14="SEGMENT",INDEX('Margin Guidence Table'!$A$1:$AC$10000,MATCH(1,('Margin Guidence Table'!$A$1:$A$10000=FO14)*('Margin Guidence Table'!$H$1:$H$10000&lt;=ROUND($FG$3,0))*('Margin Guidence Table'!$G$1:$G$10000&gt;=ROUND($FG$3,0)),0),MATCH("PA_PCT_SALES",'Margin Guidence Table'!$A$1:$AC$1,0)),INDEX('Margin Guidence Table'!$A$1:$AC$10000,MATCH(1,('Margin Guidence Table'!$A$1:$A$10000=FO14)*('Margin Guidence Table'!$H$1:$H$10000&lt;=ROUND($FG$3,0))*('Margin Guidence Table'!$G$1:$G$10000&gt;=ROUND($FG$3,0)),0),MATCH("DEFAULT_PA_PCT_SALES",'Margin Guidence Table'!$A$1:$AC$1,0))),0)</f>
        <v>0</v>
      </c>
      <c r="FX14" s="1165">
        <f t="array" ref="FX14">IFERROR(IF($FQ14="SEGMENT",INDEX('Margin Guidence Table'!$A$1:$AC$10000,MATCH(1,('Margin Guidence Table'!$A$1:$A$10000=FO14)*('Margin Guidence Table'!$H$1:$H$10000&lt;=ROUND($FG$3,0))*('Margin Guidence Table'!$G$1:$G$10000&gt;=ROUND($FG$3,0)),0),MATCH("SELF_FUND_PCT_SALES",'Margin Guidence Table'!$A$1:$AC$1,0)),INDEX('Margin Guidence Table'!$A$1:$AC$10000,MATCH(1,('Margin Guidence Table'!$A$1:$A$10000=FO14)*('Margin Guidence Table'!$H$1:$H$10000&lt;=ROUND($FG$3,0))*('Margin Guidence Table'!$G$1:$G$10000&gt;=ROUND($FG$3,0)),0),MATCH("DEFAULT_SELF_FUND_PCT_SALES",'Margin Guidence Table'!$A$1:$AC$1,0))),0)</f>
        <v>0</v>
      </c>
      <c r="FY14" s="1165">
        <f t="array" ref="FY14">IFERROR(IF($FQ14="SEGMENT",INDEX('Margin Guidence Table'!$A$1:$AC$10000,MATCH(1,('Margin Guidence Table'!$A$1:$A$10000=FO14)*('Margin Guidence Table'!$H$1:$H$10000&lt;=ROUND($FG$3,0))*('Margin Guidence Table'!$G$1:$G$10000&gt;=ROUND($FG$3,0)),0),MATCH("CIA_MEDIAN_MARGIN_GUIDENCE",'Margin Guidence Table'!$A$1:$AC$1,0)),INDEX('Margin Guidence Table'!$A$1:$AC$10000,MATCH(1,('Margin Guidence Table'!$A$1:$A$10000=FO14)*('Margin Guidence Table'!$H$1:$H$10000&lt;=ROUND($FG$3,0))*('Margin Guidence Table'!$G$1:$G$10000&gt;=ROUND($FG$3,0)),0),MATCH("DEFAULT_CIA_MEDIAN_MARGIN_GUIDENCE",'Margin Guidence Table'!$A$1:$AC$1,0))),0)</f>
        <v>0</v>
      </c>
      <c r="FZ14" s="129"/>
      <c r="GA14" s="18">
        <f t="array" ref="GA14">IFERROR(IF($GM14="SEGMENT",INDEX('Margin Guidence Table'!$A$1:$AC$10000,MATCH(1,('Margin Guidence Table'!$A$1:$A$10000=$GK14)*('Margin Guidence Table'!$H$1:$H$10000&lt;=ROUND($GC$3,0))*('Margin Guidence Table'!$G$1:$G$10000&gt;=ROUND($GC$3,0)),0),MATCH("PCT_SALES",'Margin Guidence Table'!$A$1:$AC$1,0)),INDEX('Margin Guidence Table'!$A$1:$AC$10000,MATCH(1,('Margin Guidence Table'!$A$1:$A$10000=$GK14)*('Margin Guidence Table'!$H$1:$H$10000&lt;=ROUND($GC$3,0))*('Margin Guidence Table'!$G$1:$G$10000&gt;=ROUND($GC$3,0)),0),MATCH("DEFAULT_PCT_SALES",'Margin Guidence Table'!$A$1:$AC$1,0))),0)</f>
        <v>0</v>
      </c>
      <c r="GB14" s="102" t="s">
        <v>99</v>
      </c>
      <c r="GC14" s="94">
        <f>IFERROR(IF(AND($GC$2&lt;&gt;"Enter Spend&gt;&gt;&gt;",GD2="EXISTING"),SUMIFS('Existing Customers'!$Q:$Q,'Existing Customers'!$A:$A,$GC$1,'Existing Customers'!$H:$H,$GB14)*$GC$4,$GC$3*$GA14),0)</f>
        <v>0</v>
      </c>
      <c r="GD14" s="89">
        <f>IFERROR(IF(AND($GC$2&lt;&gt;"Enter Spend&gt;&gt;&gt;",GD2="EXISTING"),SUMIFS('Existing Customers'!$N:$N,'Existing Customers'!$A:$A,$GC$1,'Existing Customers'!$H:$H,$GB14)*$GC$4,$GC14/$GN14),0)</f>
        <v>0</v>
      </c>
      <c r="GE14" s="95">
        <f>IFERROR(IF(AND($GC$2&lt;&gt;"Enter Spend&gt;&gt;&gt;",GD2="EXISTING"),SUMIFS('Existing Customers'!$O:$O,'Existing Customers'!$H:$H,$GB14,'Existing Customers'!$A:$A,$GC$1)*$GC$4,$GD14*$GC$8),0)</f>
        <v>0</v>
      </c>
      <c r="GF14" s="95">
        <f>IFERROR(IF(AND($GC$2&lt;&gt;"Enter Spend&gt;&gt;&gt;",GD2="EXISTING"),SUMIFS('Existing Customers'!$P:$P,'Existing Customers'!$A:$A,$GC$1,'Existing Customers'!$H:$H,$GB14)*$GC$4,$GC14/$GO14),0)</f>
        <v>0</v>
      </c>
      <c r="GG14" s="96">
        <f>IFERROR(IF(AND($GC$2&lt;&gt;"Enter Spend&gt;&gt;&gt;",GD2="EXISTING"),SUMIFS('Existing Customers'!$V:$V,'Existing Customers'!$H:$H,$GB14,'Existing Customers'!$A:$A,$GC$1)*$GC$4,0),0)</f>
        <v>0</v>
      </c>
      <c r="GH14" s="96">
        <f>IFERROR(IF(AND($GC$2&lt;&gt;"Enter Spend&gt;&gt;&gt;",GD2="EXISTING"),SUMIFS('Existing Customers'!$R:$R,'Existing Customers'!$H:$H,$GB14,'Existing Customers'!$A:$A,$GC$1)*$GC$4,0),0)</f>
        <v>0</v>
      </c>
      <c r="GI14" s="1161">
        <f>IFERROR(IF(AND($GC$2&lt;&gt;"Enter Spend&gt;&gt;&gt;",GD2="EXISTING"),SUMIFS('Existing Customers'!$S:$S,'Existing Customers'!$H:$H,$GB14,'Existing Customers'!$A:$A,$GC$1),GS14*GC14),0)</f>
        <v>0</v>
      </c>
      <c r="GJ14" s="1161">
        <f>IFERROR(IF(AND($GC$2&lt;&gt;"Enter Spend&gt;&gt;&gt;",GD2="EXISTING"),SUMIFS('Existing Customers'!$U:$U,'Existing Customers'!$H:$H,$GB14,'Existing Customers'!$A:$A,$GC$1),GT14*GC14),0)</f>
        <v>0</v>
      </c>
      <c r="GK14" s="1164" t="e">
        <f>_xlfn.CONCAT($GD$1,"_",GB14)</f>
        <v>#N/A</v>
      </c>
      <c r="GL14" s="1164">
        <f t="array" ref="GL14">IFERROR(INDEX('Margin Guidence Table'!$A$1:$AD$30000,MATCH(1,('Margin Guidence Table'!$A$1:$A$10000=GK14)*('Margin Guidence Table'!$H$1:$H$10000&lt;=ROUND($GC$3,0))*('Margin Guidence Table'!$G$1:$G$10000&gt;=ROUND($GC$3,0)),0),MATCH("DATA_POINTS",'Margin Guidence Table'!$A$1:$AC$1,0)),0)</f>
        <v>0</v>
      </c>
      <c r="GM14" s="1161" t="str">
        <f>IF(GL14&gt;15,"SEGMENT","DEFAULT")</f>
        <v>DEFAULT</v>
      </c>
      <c r="GN14" s="1161">
        <f t="array" ref="GN14">IFERROR(IF($GM14="SEGMENT",INDEX('Margin Guidence Table'!$A$1:$AC$10000,MATCH(1,('Margin Guidence Table'!$A$1:$A$10000=GK14)*('Margin Guidence Table'!$H$1:$H$10000&lt;=ROUND($GC$3,0))*('Margin Guidence Table'!$G$1:$G$10000&gt;=ROUND($GC$3,0)),0),MATCH("SALES_CASE",'Margin Guidence Table'!$A$1:$AC$1,0)),INDEX('Margin Guidence Table'!$A$1:$AC$10000,MATCH(1,('Margin Guidence Table'!$A$1:$A$10000=GK14)*('Margin Guidence Table'!$H$1:$H$10000&lt;=ROUND($GC$3,0))*('Margin Guidence Table'!$G$1:$G$10000&gt;=ROUND($GC$3,0)),0),MATCH("DEFAULT_SALES_CASE",'Margin Guidence Table'!$A$1:$AC$1,0))),0)</f>
        <v>0</v>
      </c>
      <c r="GO14" s="1161">
        <f t="array" ref="GO14">IFERROR(IF($GM14="SEGMENT",INDEX('Margin Guidence Table'!$A$1:$AC$10000,MATCH(1,('Margin Guidence Table'!$A$1:$A$10000=GK14)*('Margin Guidence Table'!$H$1:$H$10000&lt;=ROUND($GC$3,0))*('Margin Guidence Table'!$G$1:$G$10000&gt;=ROUND($GC$3,0)),0),MATCH("SALES_LBS",'Margin Guidence Table'!$A$1:$AC$1,0)),INDEX('Margin Guidence Table'!$A$1:$AC$10000,MATCH(1,('Margin Guidence Table'!$A$1:$A$10000=GK14)*('Margin Guidence Table'!$H$1:$H$10000&lt;=ROUND($GC$3,0))*('Margin Guidence Table'!$G$1:$G$10000&gt;=ROUND($GC$3,0)),0),MATCH("DEFAULT_SALES_LBS",'Margin Guidence Table'!$A$1:$AC$1,0))),0)</f>
        <v>0</v>
      </c>
      <c r="GP14" s="1165">
        <f t="array" ref="GP14">IFERROR(IF($GM14="SEGMENT",INDEX('Margin Guidence Table'!$A$1:$AC$10000,MATCH(1,('Margin Guidence Table'!$A$1:$A$10000=GK14)*('Margin Guidence Table'!$H$1:$H$10000&lt;=ROUND($GC$3,0))*('Margin Guidence Table'!$G$1:$G$10000&gt;=ROUND($GC$3,0)),0),MATCH("MDA_MIN_MARGIN_GUIDENCE",'Margin Guidence Table'!$A$1:$AC$1,0)),INDEX('Margin Guidence Table'!$A$1:$AC$10000,MATCH(1,('Margin Guidence Table'!$A$1:$A$10000=GK14)*('Margin Guidence Table'!$H$1:$H$10000&lt;=ROUND($GC$3,0))*('Margin Guidence Table'!$G$1:$G$10000&gt;=ROUND($GC$3,0)),0),MATCH("DEFAULT_MDA_MIN_MARGIN_GUIDENCE",'Margin Guidence Table'!$A$1:$AC$1,0))),0)</f>
        <v>0</v>
      </c>
      <c r="GQ14" s="1165">
        <f t="array" ref="GQ14">IFERROR(IF($GM14="SEGMENT",INDEX('Margin Guidence Table'!$A$1:$AC$10000,MATCH(1,('Margin Guidence Table'!$A$1:$A$10000=GK14)*('Margin Guidence Table'!$H$1:$H$10000&lt;=ROUND($GC$3,0))*('Margin Guidence Table'!$G$1:$G$10000&gt;=ROUND($GC$3,0)),0),MATCH("MDA_MEDIAN_MARGIN_GUIDENCE",'Margin Guidence Table'!$A$1:$AC$1,0)),INDEX('Margin Guidence Table'!$A$1:$AC$10000,MATCH(1,('Margin Guidence Table'!$A$1:$A$10000=GK14)*('Margin Guidence Table'!$H$1:$H$10000&lt;=ROUND($GC$3,0))*('Margin Guidence Table'!$G$1:$G$10000&gt;=ROUND($GC$3,0)),0),MATCH("DEFAULT_MDA_MEDIAN_MARGIN_GUIDENCE",'Margin Guidence Table'!$A$1:$AC$1,0))),0)</f>
        <v>0</v>
      </c>
      <c r="GR14" s="1165">
        <f t="array" ref="GR14">IFERROR(IF($GM14="SEGMENT",INDEX('Margin Guidence Table'!$A$1:$AC$10000,MATCH(1,('Margin Guidence Table'!$A$1:$A$10000=GK14)*('Margin Guidence Table'!$H$1:$H$10000&lt;=ROUND($GC$3,0))*('Margin Guidence Table'!$G$1:$G$10000&gt;=ROUND($GC$3,0)),0),MATCH("MDA_MAX_MARGIN_GUIDENCE",'Margin Guidence Table'!$A$1:$AC$1,0)),INDEX('Margin Guidence Table'!$A$1:$AC$10000,MATCH(1,('Margin Guidence Table'!$A$1:$A$10000=GK14)*('Margin Guidence Table'!$H$1:$H$10000&lt;=ROUND($GC$3,0))*('Margin Guidence Table'!$G$1:$G$10000&gt;=ROUND($GC$3,0)),0),MATCH("DEFAULT_MDA_MAX_MARGIN_GUIDENCE",'Margin Guidence Table'!$A$1:$AC$1,0))),0)</f>
        <v>0</v>
      </c>
      <c r="GS14" s="1165">
        <f t="array" ref="GS14">IFERROR(IF($GM14="SEGMENT",INDEX('Margin Guidence Table'!$A$1:$AC$10000,MATCH(1,('Margin Guidence Table'!$A$1:$A$10000=GK14)*('Margin Guidence Table'!$H$1:$H$10000&lt;=ROUND($GC$3,0))*('Margin Guidence Table'!$G$1:$G$10000&gt;=ROUND($GC$3,0)),0),MATCH("PA_PCT_SALES",'Margin Guidence Table'!$A$1:$AC$1,0)),INDEX('Margin Guidence Table'!$A$1:$AC$10000,MATCH(1,('Margin Guidence Table'!$A$1:$A$10000=GK14)*('Margin Guidence Table'!$H$1:$H$10000&lt;=ROUND($GC$3,0))*('Margin Guidence Table'!$G$1:$G$10000&gt;=ROUND($GC$3,0)),0),MATCH("DEFAULT_PA_PCT_SALES",'Margin Guidence Table'!$A$1:$AC$1,0))),0)</f>
        <v>0</v>
      </c>
      <c r="GT14" s="1165">
        <f t="array" ref="GT14">IFERROR(IF($GM14="SEGMENT",INDEX('Margin Guidence Table'!$A$1:$AC$10000,MATCH(1,('Margin Guidence Table'!$A$1:$A$10000=GK14)*('Margin Guidence Table'!$H$1:$H$10000&lt;=ROUND($GC$3,0))*('Margin Guidence Table'!$G$1:$G$10000&gt;=ROUND($GC$3,0)),0),MATCH("SELF_FUND_PCT_SALES",'Margin Guidence Table'!$A$1:$AC$1,0)),INDEX('Margin Guidence Table'!$A$1:$AC$10000,MATCH(1,('Margin Guidence Table'!$A$1:$A$10000=GK14)*('Margin Guidence Table'!$H$1:$H$10000&lt;=ROUND($GC$3,0))*('Margin Guidence Table'!$G$1:$G$10000&gt;=ROUND($GC$3,0)),0),MATCH("DEFAULT_SELF_FUND_PCT_SALES",'Margin Guidence Table'!$A$1:$AC$1,0))),0)</f>
        <v>0</v>
      </c>
      <c r="GU14" s="1165">
        <f t="array" ref="GU14">IFERROR(IF($GM14="SEGMENT",INDEX('Margin Guidence Table'!$A$1:$AC$10000,MATCH(1,('Margin Guidence Table'!$A$1:$A$10000=GK14)*('Margin Guidence Table'!$H$1:$H$10000&lt;=ROUND($GC$3,0))*('Margin Guidence Table'!$G$1:$G$10000&gt;=ROUND($GC$3,0)),0),MATCH("CIA_MEDIAN_MARGIN_GUIDENCE",'Margin Guidence Table'!$A$1:$AC$1,0)),INDEX('Margin Guidence Table'!$A$1:$AC$10000,MATCH(1,('Margin Guidence Table'!$A$1:$A$10000=GK14)*('Margin Guidence Table'!$H$1:$H$10000&lt;=ROUND($GC$3,0))*('Margin Guidence Table'!$G$1:$G$10000&gt;=ROUND($GC$3,0)),0),MATCH("DEFAULT_CIA_MEDIAN_MARGIN_GUIDENCE",'Margin Guidence Table'!$A$1:$AC$1,0))),0)</f>
        <v>0</v>
      </c>
      <c r="GV14" s="129"/>
      <c r="GW14" s="18">
        <f t="array" ref="GW14">IFERROR(IF($HI14="SEGMENT",INDEX('Margin Guidence Table'!$A$1:$AC$10000,MATCH(1,('Margin Guidence Table'!$A$1:$A$10000=$HG14)*('Margin Guidence Table'!$H$1:$H$10000&lt;=ROUND($GY$3,0))*('Margin Guidence Table'!$G$1:$G$10000&gt;=ROUND($GY$3,0)),0),MATCH("PCT_SALES",'Margin Guidence Table'!$A$1:$AC$1,0)),INDEX('Margin Guidence Table'!$A$1:$AC$10000,MATCH(1,('Margin Guidence Table'!$A$1:$A$10000=$HG14)*('Margin Guidence Table'!$H$1:$H$10000&lt;=ROUND($GY$3,0))*('Margin Guidence Table'!$G$1:$G$10000&gt;=ROUND($GY$3,0)),0),MATCH("DEFAULT_PCT_SALES",'Margin Guidence Table'!$A$1:$AC$1,0))),0)</f>
        <v>0</v>
      </c>
      <c r="GX14" s="102" t="s">
        <v>99</v>
      </c>
      <c r="GY14" s="94">
        <f>IFERROR(IF(AND($GY$2&lt;&gt;"Enter Spend&gt;&gt;&gt;",GZ2="EXISTING"),SUMIFS('Existing Customers'!$Q:$Q,'Existing Customers'!$A:$A,$GY$1,'Existing Customers'!$H:$H,$GX14)*$GY$4,$GY$3*$GW14),0)</f>
        <v>0</v>
      </c>
      <c r="GZ14" s="89">
        <f>IFERROR(IF(AND($GY$2&lt;&gt;"Enter Spend&gt;&gt;&gt;",GZ2="EXISTING"),SUMIFS('Existing Customers'!$N:$N,'Existing Customers'!$A:$A,$GY$1,'Existing Customers'!$H:$H,$GX14)*$GY$4,$GY14/$HJ14),0)</f>
        <v>0</v>
      </c>
      <c r="HA14" s="95">
        <f>IFERROR(IF(AND($GY$2&lt;&gt;"Enter Spend&gt;&gt;&gt;",GZ2="EXISTING"),SUMIFS('Existing Customers'!$O:$O,'Existing Customers'!$H:$H,$GX14,'Existing Customers'!$A:$A,$GY$1)*$GY$4,$GZ14*$GY$8),0)</f>
        <v>0</v>
      </c>
      <c r="HB14" s="95">
        <f>IFERROR(IF(AND($GY$2&lt;&gt;"Enter Spend&gt;&gt;&gt;",GZ2="EXISTING"),SUMIFS('Existing Customers'!$P:$P,'Existing Customers'!$A:$A,$GY$1,'Existing Customers'!$H:$H,$GX14)*$GY$4,$GY14/$HK14),0)</f>
        <v>0</v>
      </c>
      <c r="HC14" s="96">
        <f>IFERROR(IF(AND($GY$2&lt;&gt;"Enter Spend&gt;&gt;&gt;",GZ2="EXISTING"),SUMIFS('Existing Customers'!$V:$V,'Existing Customers'!$H:$H,$GX14,'Existing Customers'!$A:$A,$GY$1)*$GY$4,0),0)</f>
        <v>0</v>
      </c>
      <c r="HD14" s="96">
        <f>IFERROR(IF(AND($GY$2&lt;&gt;"Enter Spend&gt;&gt;&gt;",GZ2="EXISTING"),SUMIFS('Existing Customers'!$R:$R,'Existing Customers'!$H:$H,$GX14,'Existing Customers'!$A:$A,$GY$1)*$GY$4,0),0)</f>
        <v>0</v>
      </c>
      <c r="HE14" s="1161">
        <f>IFERROR(IF(AND($GY$2&lt;&gt;"Enter Spend&gt;&gt;&gt;",GZ2="EXISTING"),SUMIFS('Existing Customers'!$S:$S,'Existing Customers'!$H:$H,$GX14,'Existing Customers'!$A:$A,$GY$1),HO14*GY14),0)</f>
        <v>0</v>
      </c>
      <c r="HF14" s="1161">
        <f>IFERROR(IF(AND($GY$2&lt;&gt;"Enter Spend&gt;&gt;&gt;",GZ2="EXISTING"),SUMIFS('Existing Customers'!$U:$U,'Existing Customers'!$H:$H,$GX14,'Existing Customers'!$A:$A,$GY$1),HP14*GY14),0)</f>
        <v>0</v>
      </c>
      <c r="HG14" s="1164" t="e">
        <f>_xlfn.CONCAT($GZ$1,"_",GX14)</f>
        <v>#N/A</v>
      </c>
      <c r="HH14" s="1164">
        <f t="array" ref="HH14">IFERROR(INDEX('Margin Guidence Table'!$A$1:$AD$30000,MATCH(1,('Margin Guidence Table'!$A$1:$A$10000=HG14)*('Margin Guidence Table'!$H$1:$H$10000&lt;=ROUND($GY$3,0))*('Margin Guidence Table'!$G$1:$G$10000&gt;=ROUND($GY$3,0)),0),MATCH("DATA_POINTS",'Margin Guidence Table'!$A$1:$AC$1,0)),0)</f>
        <v>0</v>
      </c>
      <c r="HI14" s="1161" t="str">
        <f>IF(HH14&gt;15,"SEGMENT","DEFAULT")</f>
        <v>DEFAULT</v>
      </c>
      <c r="HJ14" s="1161">
        <f t="array" ref="HJ14">IFERROR(IF($HI14="SEGMENT",INDEX('Margin Guidence Table'!$A$1:$AC$10000,MATCH(1,('Margin Guidence Table'!$A$1:$A$10000=HG14)*('Margin Guidence Table'!$H$1:$H$10000&lt;=ROUND($GY$3,0))*('Margin Guidence Table'!$G$1:$G$10000&gt;=ROUND($GY$3,0)),0),MATCH("SALES_CASE",'Margin Guidence Table'!$A$1:$AC$1,0)),INDEX('Margin Guidence Table'!$A$1:$AC$10000,MATCH(1,('Margin Guidence Table'!$A$1:$A$10000=HG14)*('Margin Guidence Table'!$H$1:$H$10000&lt;=ROUND($GY$3,0))*('Margin Guidence Table'!$G$1:$G$10000&gt;=ROUND($GY$3,0)),0),MATCH("DEFAULT_SALES_CASE",'Margin Guidence Table'!$A$1:$AC$1,0))),0)</f>
        <v>0</v>
      </c>
      <c r="HK14" s="1161">
        <f t="array" ref="HK14">IFERROR(IF($HI14="SEGMENT",INDEX('Margin Guidence Table'!$A$1:$AC$10000,MATCH(1,('Margin Guidence Table'!$A$1:$A$10000=HG14)*('Margin Guidence Table'!$H$1:$H$10000&lt;=ROUND($GY$3,0))*('Margin Guidence Table'!$G$1:$G$10000&gt;=ROUND($GY$3,0)),0),MATCH("SALES_LBS",'Margin Guidence Table'!$A$1:$AC$1,0)),INDEX('Margin Guidence Table'!$A$1:$AC$10000,MATCH(1,('Margin Guidence Table'!$A$1:$A$10000=HG14)*('Margin Guidence Table'!$H$1:$H$10000&lt;=ROUND($GY$3,0))*('Margin Guidence Table'!$G$1:$G$10000&gt;=ROUND($GY$3,0)),0),MATCH("DEFAULT_SALES_LBS",'Margin Guidence Table'!$A$1:$AC$1,0))),0)</f>
        <v>0</v>
      </c>
      <c r="HL14" s="1165">
        <f t="array" ref="HL14">IFERROR(IF($HI14="SEGMENT",INDEX('Margin Guidence Table'!$A$1:$AC$10000,MATCH(1,('Margin Guidence Table'!$A$1:$A$10000=HG14)*('Margin Guidence Table'!$H$1:$H$10000&lt;=ROUND($GY$3,0))*('Margin Guidence Table'!$G$1:$G$10000&gt;=ROUND($GY$3,0)),0),MATCH("MDA_MIN_MARGIN_GUIDENCE",'Margin Guidence Table'!$A$1:$AC$1,0)),INDEX('Margin Guidence Table'!$A$1:$AC$10000,MATCH(1,('Margin Guidence Table'!$A$1:$A$10000=HG14)*('Margin Guidence Table'!$H$1:$H$10000&lt;=ROUND($GY$3,0))*('Margin Guidence Table'!$G$1:$G$10000&gt;=ROUND($GY$3,0)),0),MATCH("DEFAULT_MDA_MIN_MARGIN_GUIDENCE",'Margin Guidence Table'!$A$1:$AC$1,0))),0)</f>
        <v>0</v>
      </c>
      <c r="HM14" s="1165">
        <f t="array" ref="HM14">IFERROR(IF($HI14="SEGMENT",INDEX('Margin Guidence Table'!$A$1:$AC$10000,MATCH(1,('Margin Guidence Table'!$A$1:$A$10000=HG14)*('Margin Guidence Table'!$H$1:$H$10000&lt;=ROUND($GY$3,0))*('Margin Guidence Table'!$G$1:$G$10000&gt;=ROUND($GY$3,0)),0),MATCH("MDA_MEDIAN_MARGIN_GUIDENCE",'Margin Guidence Table'!$A$1:$AC$1,0)),INDEX('Margin Guidence Table'!$A$1:$AC$10000,MATCH(1,('Margin Guidence Table'!$A$1:$A$10000=HG14)*('Margin Guidence Table'!$H$1:$H$10000&lt;=ROUND($GY$3,0))*('Margin Guidence Table'!$G$1:$G$10000&gt;=ROUND($GY$3,0)),0),MATCH("DEFAULT_MDA_MEDIAN_MARGIN_GUIDENCE",'Margin Guidence Table'!$A$1:$AC$1,0))),0)</f>
        <v>0</v>
      </c>
      <c r="HN14" s="1165">
        <f t="array" ref="HN14">IFERROR(IF($HI14="SEGMENT",INDEX('Margin Guidence Table'!$A$1:$AC$10000,MATCH(1,('Margin Guidence Table'!$A$1:$A$10000=HG14)*('Margin Guidence Table'!$H$1:$H$10000&lt;=ROUND($GY$3,0))*('Margin Guidence Table'!$G$1:$G$10000&gt;=ROUND($GY$3,0)),0),MATCH("MDA_MAX_MARGIN_GUIDENCE",'Margin Guidence Table'!$A$1:$AC$1,0)),INDEX('Margin Guidence Table'!$A$1:$AC$10000,MATCH(1,('Margin Guidence Table'!$A$1:$A$10000=HG14)*('Margin Guidence Table'!$H$1:$H$10000&lt;=ROUND($GY$3,0))*('Margin Guidence Table'!$G$1:$G$10000&gt;=ROUND($GY$3,0)),0),MATCH("DEFAULT_MDA_MAX_MARGIN_GUIDENCE",'Margin Guidence Table'!$A$1:$AC$1,0))),0)</f>
        <v>0</v>
      </c>
      <c r="HO14" s="1165">
        <f t="array" ref="HO14">IFERROR(IF($HI14="SEGMENT",INDEX('Margin Guidence Table'!$A$1:$AC$10000,MATCH(1,('Margin Guidence Table'!$A$1:$A$10000=HG14)*('Margin Guidence Table'!$H$1:$H$10000&lt;=ROUND($GY$3,0))*('Margin Guidence Table'!$G$1:$G$10000&gt;=ROUND($GY$3,0)),0),MATCH("PA_PCT_SALES",'Margin Guidence Table'!$A$1:$AC$1,0)),INDEX('Margin Guidence Table'!$A$1:$AC$10000,MATCH(1,('Margin Guidence Table'!$A$1:$A$10000=HG14)*('Margin Guidence Table'!$H$1:$H$10000&lt;=ROUND($GY$3,0))*('Margin Guidence Table'!$G$1:$G$10000&gt;=ROUND($GY$3,0)),0),MATCH("DEFAULT_PA_PCT_SALES",'Margin Guidence Table'!$A$1:$AC$1,0))),0)</f>
        <v>0</v>
      </c>
      <c r="HP14" s="1165">
        <f t="array" ref="HP14">IFERROR(IF($HI14="SEGMENT",INDEX('Margin Guidence Table'!$A$1:$AC$10000,MATCH(1,('Margin Guidence Table'!$A$1:$A$10000=HG14)*('Margin Guidence Table'!$H$1:$H$10000&lt;=ROUND($GY$3,0))*('Margin Guidence Table'!$G$1:$G$10000&gt;=ROUND($GY$3,0)),0),MATCH("SELF_FUND_PCT_SALES",'Margin Guidence Table'!$A$1:$AC$1,0)),INDEX('Margin Guidence Table'!$A$1:$AC$10000,MATCH(1,('Margin Guidence Table'!$A$1:$A$10000=HG14)*('Margin Guidence Table'!$H$1:$H$10000&lt;=ROUND($GY$3,0))*('Margin Guidence Table'!$G$1:$G$10000&gt;=ROUND($GY$3,0)),0),MATCH("DEFAULT_SELF_FUND_PCT_SALES",'Margin Guidence Table'!$A$1:$AC$1,0))),0)</f>
        <v>0</v>
      </c>
      <c r="HQ14" s="1165">
        <f t="array" ref="HQ14">IFERROR(IF($HI14="SEGMENT",INDEX('Margin Guidence Table'!$A$1:$AC$10000,MATCH(1,('Margin Guidence Table'!$A$1:$A$10000=HG14)*('Margin Guidence Table'!$H$1:$H$10000&lt;=ROUND($GY$3,0))*('Margin Guidence Table'!$G$1:$G$10000&gt;=ROUND($GY$3,0)),0),MATCH("CIA_MEDIAN_MARGIN_GUIDENCE",'Margin Guidence Table'!$A$1:$AC$1,0)),INDEX('Margin Guidence Table'!$A$1:$AC$10000,MATCH(1,('Margin Guidence Table'!$A$1:$A$10000=HG14)*('Margin Guidence Table'!$H$1:$H$10000&lt;=ROUND($GY$3,0))*('Margin Guidence Table'!$G$1:$G$10000&gt;=ROUND($GY$3,0)),0),MATCH("DEFAULT_CIA_MEDIAN_MARGIN_GUIDENCE",'Margin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Spend&gt;&gt;&gt;",HV2="EXISTING"),SUMIFS('Existing Customers'!$Q:$Q,'Existing Customers'!$A:$A,$HU$1,'Existing Customers'!$H:$H,$HT14)*$HU$4,$HU$3*$HS14),0)</f>
        <v>0</v>
      </c>
      <c r="HV14" s="89">
        <f>IFERROR(IF(AND($HU$2&lt;&gt;"Enter Spend&gt;&gt;&gt;",HV2="EXISTING"),SUMIFS('Existing Customers'!$N:$N,'Existing Customers'!$A:$A,$HU$1,'Existing Customers'!$H:$H,$HT14)*$HU$4,$HU14/$IF14),0)</f>
        <v>0</v>
      </c>
      <c r="HW14" s="95">
        <f>IFERROR(IF(AND($HU$2&lt;&gt;"Enter Spend&gt;&gt;&gt;",HV2="EXISTING"),SUMIFS('Existing Customers'!$O:$O,'Existing Customers'!$H:$H,$HT14,'Existing Customers'!$A:$A,$HU$1)*$HU$4,$HV14*$HU$8),0)</f>
        <v>0</v>
      </c>
      <c r="HX14" s="95">
        <f>IFERROR(IF(AND($HU$2&lt;&gt;"Enter Spend&gt;&gt;&gt;",HV2="EXISTING"),SUMIFS('Existing Customers'!$P:$P,'Existing Customers'!$A:$A,$HU$1,'Existing Customers'!$H:$H,$HT14)*$HU$4,$HU14/$IG14),0)</f>
        <v>0</v>
      </c>
      <c r="HY14" s="402">
        <f>IFERROR(IF(AND($HU$2&lt;&gt;"Enter Spend&gt;&gt;&gt;",HV2="EXISTING"),SUMIFS('Existing Customers'!$V:$V,'Existing Customers'!$H:$H,$HT14,'Existing Customers'!$A:$A,$HU$1)*$HU$4,0),0)</f>
        <v>0</v>
      </c>
      <c r="HZ14" s="96">
        <f>IFERROR(IF(AND($HU$2&lt;&gt;"Enter Spend&gt;&gt;&gt;",HV2="EXISTING"),SUMIFS('Existing Customers'!$R:$R,'Existing Customers'!$H:$H,$HT14,'Existing Customers'!$A:$A,$HU$1)*$HU$4,0),0)</f>
        <v>0</v>
      </c>
      <c r="IA14" s="1161">
        <f>IFERROR(IF(AND($HU$2&lt;&gt;"Enter Spend&gt;&gt;&gt;",HV2="EXISTING"),SUMIFS('Existing Customers'!$S:$S,'Existing Customers'!$H:$H,$HT14,'Existing Customers'!$A:$A,$HU$1),IK14*HU14),0)</f>
        <v>0</v>
      </c>
      <c r="IB14" s="1161">
        <f>IFERROR(IF(AND($HU$2&lt;&gt;"Enter Spend&gt;&gt;&gt;",HV2="EXISTING"),SUMIFS('Existing Customers'!$U:$U,'Existing Customers'!$H:$H,$HT14,'Existing Customers'!$A:$A,$HU$1),IL14*HU14),0)</f>
        <v>0</v>
      </c>
      <c r="IC14" s="1164" t="e">
        <f>_xlfn.CONCAT($HV$1,"_",HT14)</f>
        <v>#N/A</v>
      </c>
      <c r="ID14" s="1164">
        <f t="array" ref="ID14">IFERROR(INDEX('Margin Guidence Table'!$A$1:$AD$30000,MATCH(1,('Margin Guidence Table'!$A$1:$A$10000=IC14)*('Margin Guidence Table'!$H$1:$H$10000&lt;=ROUND($HU$3,0))*('Margin Guidence Table'!$G$1:$G$10000&gt;=ROUND($HU$3,0)),0),MATCH("DATA_POINTS",'Margin Guidence Table'!$A$1:$AC$1,0)),0)</f>
        <v>0</v>
      </c>
      <c r="IE14" s="1161" t="str">
        <f>IF(ID14&gt;15,"SEGMENT","DEFAULT")</f>
        <v>DEFAULT</v>
      </c>
      <c r="IF14" s="1161">
        <f t="array" ref="IF14">IFERROR(IF($IE14="SEGMENT",INDEX('Margin Guidence Table'!$A$1:$AC$10000,MATCH(1,('Margin Guidence Table'!$A$1:$A$10000=IC14)*('Margin Guidence Table'!$H$1:$H$10000&lt;=ROUND($HU$3,0))*('Margin Guidence Table'!$G$1:$G$10000&gt;=ROUND($HU$3,0)),0),MATCH("SALES_CASE",'Margin Guidence Table'!$A$1:$AC$1,0)),INDEX('Margin Guidence Table'!$A$1:$AC$10000,MATCH(1,('Margin Guidence Table'!$A$1:$A$10000=IC14)*('Margin Guidence Table'!$H$1:$H$10000&lt;=ROUND($HU$3,0))*('Margin Guidence Table'!$G$1:$G$10000&gt;=ROUND($HU$3,0)),0),MATCH("DEFAULT_SALES_CASE",'Margin Guidence Table'!$A$1:$AC$1,0))),0)</f>
        <v>0</v>
      </c>
      <c r="IG14" s="1161">
        <f t="array" ref="IG14">IFERROR(IF($IE14="SEGMENT",INDEX('Margin Guidence Table'!$A$1:$AC$10000,MATCH(1,('Margin Guidence Table'!$A$1:$A$10000=IC14)*('Margin Guidence Table'!$H$1:$H$10000&lt;=ROUND($HU$3,0))*('Margin Guidence Table'!$G$1:$G$10000&gt;=ROUND($HU$3,0)),0),MATCH("SALES_LBS",'Margin Guidence Table'!$A$1:$AC$1,0)),INDEX('Margin Guidence Table'!$A$1:$AC$10000,MATCH(1,('Margin Guidence Table'!$A$1:$A$10000=IC14)*('Margin Guidence Table'!$H$1:$H$10000&lt;=ROUND($HU$3,0))*('Margin Guidence Table'!$G$1:$G$10000&gt;=ROUND($HU$3,0)),0),MATCH("DEFAULT_SALES_LBS",'Margin Guidence Table'!$A$1:$AC$1,0))),0)</f>
        <v>0</v>
      </c>
      <c r="IH14" s="1165">
        <f t="array" ref="IH14">IFERROR(IF($IE14="SEGMENT",INDEX('Margin Guidence Table'!$A$1:$AC$10000,MATCH(1,('Margin Guidence Table'!$A$1:$A$10000=IC14)*('Margin Guidence Table'!$H$1:$H$10000&lt;=ROUND($HU$3,0))*('Margin Guidence Table'!$G$1:$G$10000&gt;=ROUND($HU$3,0)),0),MATCH("MDA_MIN_MARGIN_GUIDENCE",'Margin Guidence Table'!$A$1:$AC$1,0)),INDEX('Margin Guidence Table'!$A$1:$AC$10000,MATCH(1,('Margin Guidence Table'!$A$1:$A$10000=IC14)*('Margin Guidence Table'!$H$1:$H$10000&lt;=ROUND($HU$3,0))*('Margin Guidence Table'!$G$1:$G$10000&gt;=ROUND($HU$3,0)),0),MATCH("DEFAULT_MDA_MIN_MARGIN_GUIDENCE",'Margin Guidence Table'!$A$1:$AC$1,0))),0)</f>
        <v>0</v>
      </c>
      <c r="II14" s="1165">
        <f t="array" ref="II14">IFERROR(IF($IE14="SEGMENT",INDEX('Margin Guidence Table'!$A$1:$AC$10000,MATCH(1,('Margin Guidence Table'!$A$1:$A$10000=IC14)*('Margin Guidence Table'!$H$1:$H$10000&lt;=ROUND($HU$3,0))*('Margin Guidence Table'!$G$1:$G$10000&gt;=ROUND($HU$3,0)),0),MATCH("MDA_MEDIAN_MARGIN_GUIDENCE",'Margin Guidence Table'!$A$1:$AC$1,0)),INDEX('Margin Guidence Table'!$A$1:$AC$10000,MATCH(1,('Margin Guidence Table'!$A$1:$A$10000=IC14)*('Margin Guidence Table'!$H$1:$H$10000&lt;=ROUND($HU$3,0))*('Margin Guidence Table'!$G$1:$G$10000&gt;=ROUND($HU$3,0)),0),MATCH("DEFAULT_MDA_MEDIAN_MARGIN_GUIDENCE",'Margin Guidence Table'!$A$1:$AC$1,0))),0)</f>
        <v>0</v>
      </c>
      <c r="IJ14" s="1165">
        <f t="array" ref="IJ14">IFERROR(IF($IE14="SEGMENT",INDEX('Margin Guidence Table'!$A$1:$AC$10000,MATCH(1,('Margin Guidence Table'!$A$1:$A$10000=IC14)*('Margin Guidence Table'!$H$1:$H$10000&lt;=ROUND($HU$3,0))*('Margin Guidence Table'!$G$1:$G$10000&gt;=ROUND($HU$3,0)),0),MATCH("MDA_MAX_MARGIN_GUIDENCE",'Margin Guidence Table'!$A$1:$AC$1,0)),INDEX('Margin Guidence Table'!$A$1:$AC$10000,MATCH(1,('Margin Guidence Table'!$A$1:$A$10000=IC14)*('Margin Guidence Table'!$H$1:$H$10000&lt;=ROUND($HU$3,0))*('Margin Guidence Table'!$G$1:$G$10000&gt;=ROUND($HU$3,0)),0),MATCH("DEFAULT_MDA_MAX_MARGIN_GUIDENCE",'Margin Guidence Table'!$A$1:$AC$1,0))),0)</f>
        <v>0</v>
      </c>
      <c r="IK14" s="1165">
        <f t="array" ref="IK14">IFERROR(IF($IE14="SEGMENT",INDEX('Margin Guidence Table'!$A$1:$AC$10000,MATCH(1,('Margin Guidence Table'!$A$1:$A$10000=IC14)*('Margin Guidence Table'!$H$1:$H$10000&lt;=ROUND($HU$3,0))*('Margin Guidence Table'!$G$1:$G$10000&gt;=ROUND($HU$3,0)),0),MATCH("PA_PCT_SALES",'Margin Guidence Table'!$A$1:$AC$1,0)),INDEX('Margin Guidence Table'!$A$1:$AC$10000,MATCH(1,('Margin Guidence Table'!$A$1:$A$10000=IC14)*('Margin Guidence Table'!$H$1:$H$10000&lt;=ROUND($HU$3,0))*('Margin Guidence Table'!$G$1:$G$10000&gt;=ROUND($HU$3,0)),0),MATCH("DEFAULT_PA_PCT_SALES",'Margin Guidence Table'!$A$1:$AC$1,0))),0)</f>
        <v>0</v>
      </c>
      <c r="IL14" s="1165">
        <f t="array" ref="IL14">IFERROR(IF($IE14="SEGMENT",INDEX('Margin Guidence Table'!$A$1:$AC$10000,MATCH(1,('Margin Guidence Table'!$A$1:$A$10000=IC14)*('Margin Guidence Table'!$H$1:$H$10000&lt;=ROUND($HU$3,0))*('Margin Guidence Table'!$G$1:$G$10000&gt;=ROUND($HU$3,0)),0),MATCH("SELF_FUND_PCT_SALES",'Margin Guidence Table'!$A$1:$AC$1,0)),INDEX('Margin Guidence Table'!$A$1:$AC$10000,MATCH(1,('Margin Guidence Table'!$A$1:$A$10000=IC14)*('Margin Guidence Table'!$H$1:$H$10000&lt;=ROUND($HU$3,0))*('Margin Guidence Table'!$G$1:$G$10000&gt;=ROUND($HU$3,0)),0),MATCH("DEFAULT_SELF_FUND_PCT_SALES",'Margin Guidence Table'!$A$1:$AC$1,0))),0)</f>
        <v>0</v>
      </c>
      <c r="IM14" s="1165">
        <f t="array" ref="IM14">IFERROR(IF($IE14="SEGMENT",INDEX('Margin Guidence Table'!$A$1:$AC$10000,MATCH(1,('Margin Guidence Table'!$A$1:$A$10000=IC14)*('Margin Guidence Table'!$H$1:$H$10000&lt;=ROUND($HU$3,0))*('Margin Guidence Table'!$G$1:$G$10000&gt;=ROUND($HU$3,0)),0),MATCH("CIA_MEDIAN_MARGIN_GUIDENCE",'Margin Guidence Table'!$A$1:$AC$1,0)),INDEX('Margin Guidence Table'!$A$1:$AC$10000,MATCH(1,('Margin Guidence Table'!$A$1:$A$10000=IC14)*('Margin Guidence Table'!$H$1:$H$10000&lt;=ROUND($HU$3,0))*('Margin Guidence Table'!$G$1:$G$10000&gt;=ROUND($HU$3,0)),0),MATCH("DEFAULT_CIA_MEDIAN_MARGIN_GUIDENCE",'Margin Guidence Table'!$A$1:$AC$1,0))),0)</f>
        <v>0</v>
      </c>
      <c r="IN14" s="129"/>
      <c r="IO14" s="18">
        <f t="array" ref="IO14">IFERROR(IF($JA14="SEGMENT",INDEX('Margin Guidence Table'!$A$1:$AC$10000,MATCH(1,('Margin Guidence Table'!$A$1:$A$10000=$IY14)*('Margin Guidence Table'!$H$1:$H$10000&lt;=ROUND($IQ$3,0))*('Margin Guidence Table'!$G$1:$G$10000&gt;=ROUND($IQ$3,0)),0),MATCH("PCT_SALES",'Margin Guidence Table'!$A$1:$AC$1,0)),INDEX('Margin Guidence Table'!$A$1:$AC$10000,MATCH(1,('Margin Guidence Table'!$A$1:$A$10000=$IY14)*('Margin Guidence Table'!$H$1:$H$10000&lt;=ROUND($IQ$3,0))*('Margin Guidence Table'!$G$1:$G$10000&gt;=ROUND($IQ$3,0)),0),MATCH("DEFAULT_PCT_SALES",'Margin Guidence Table'!$A$1:$AC$1,0))),0)</f>
        <v>0</v>
      </c>
      <c r="IP14" s="102" t="s">
        <v>99</v>
      </c>
      <c r="IQ14" s="94">
        <f>IFERROR(IF(AND($IQ$2&lt;&gt;"Enter Spend&gt;&gt;&gt;",IR2="EXISTING"),SUMIFS('Existing Customers'!$Q:$Q,'Existing Customers'!$A:$A,$IQ$1,'Existing Customers'!$H:$H,$IP14)*$IQ$4,$IQ$3*$IO14),0)</f>
        <v>0</v>
      </c>
      <c r="IR14" s="89">
        <f>IFERROR(IF(AND($IQ$2&lt;&gt;"Enter Spend&gt;&gt;&gt;",IR2="EXISTING"),SUMIFS('Existing Customers'!$N:$N,'Existing Customers'!$A:$A,$IQ$1,'Existing Customers'!$H:$H,$IP14)*$IQ$4,$IQ14/$JB14),0)</f>
        <v>0</v>
      </c>
      <c r="IS14" s="95">
        <f>IFERROR(IF(AND($IQ$2&lt;&gt;"Enter Spend&gt;&gt;&gt;",IR2="EXISTING"),SUMIFS('Existing Customers'!$O:$O,'Existing Customers'!$H:$H,$IP14,'Existing Customers'!$A:$A,$IQ$1)*$IQ$4,$IR14*$IQ$8),0)</f>
        <v>0</v>
      </c>
      <c r="IT14" s="95">
        <f>IFERROR(IF(AND($IQ$2&lt;&gt;"Enter Spend&gt;&gt;&gt;",IR2="EXISTING"),SUMIFS('Existing Customers'!$P:$P,'Existing Customers'!$A:$A,$IQ$1,'Existing Customers'!$H:$H,$IP14)*$IQ$4,$IQ14/$JC14),0)</f>
        <v>0</v>
      </c>
      <c r="IU14" s="402">
        <f>IFERROR(IF(AND($IQ$2&lt;&gt;"Enter Spend&gt;&gt;&gt;",IR2="EXISTING"),SUMIFS('Existing Customers'!$V:$V,'Existing Customers'!$H:$H,$IP14,'Existing Customers'!$A:$A,$IQ$1)*$IQ$4,0),0)</f>
        <v>0</v>
      </c>
      <c r="IV14" s="96">
        <f>IFERROR(IF(AND($IQ$2&lt;&gt;"Enter Spend&gt;&gt;&gt;",IR2="EXISTING"),SUMIFS('Existing Customers'!$R:$R,'Existing Customers'!$H:$H,$IP14,'Existing Customers'!$A:$A,$IQ$1)*$IQ$4,0),0)</f>
        <v>0</v>
      </c>
      <c r="IW14" s="1161">
        <f>IFERROR(IF(AND($IQ$2&lt;&gt;"Enter Spend&gt;&gt;&gt;",IR2="EXISTING"),SUMIFS('Existing Customers'!$S:$S,'Existing Customers'!$H:$H,$IP14,'Existing Customers'!$A:$A,$IQ$1),JG14*IQ14),0)</f>
        <v>0</v>
      </c>
      <c r="IX14" s="1161">
        <f>IFERROR(IF(AND($IQ$2&lt;&gt;"Enter Spend&gt;&gt;&gt;",IR2="EXISTING"),SUMIFS('Existing Customers'!$U:$U,'Existing Customers'!$H:$H,$IP14,'Existing Customers'!$A:$A,$IQ$1),JH14*IQ14),0)</f>
        <v>0</v>
      </c>
      <c r="IY14" s="1164" t="e">
        <f>_xlfn.CONCAT($IR$1,"_",IP14)</f>
        <v>#N/A</v>
      </c>
      <c r="IZ14" s="1164">
        <f t="array" ref="IZ14">IFERROR(INDEX('Margin Guidence Table'!$A$1:$AD$30000,MATCH(1,('Margin Guidence Table'!$A$1:$A$10000=IY14)*('Margin Guidence Table'!$H$1:$H$10000&lt;=ROUND($IQ$3,0))*('Margin Guidence Table'!$G$1:$G$10000&gt;=ROUND($IQ$3,0)),0),MATCH("DATA_POINTS",'Margin Guidence Table'!$A$1:$AC$1,0)),0)</f>
        <v>0</v>
      </c>
      <c r="JA14" s="1161" t="str">
        <f>IF(IZ14&gt;15,"SEGMENT","DEFAULT")</f>
        <v>DEFAULT</v>
      </c>
      <c r="JB14" s="1161">
        <f t="array" ref="JB14">IFERROR(IF($JA14="SEGMENT",INDEX('Margin Guidence Table'!$A$1:$AC$10000,MATCH(1,('Margin Guidence Table'!$A$1:$A$10000=IY14)*('Margin Guidence Table'!$H$1:$H$10000&lt;=ROUND($IQ$3,0))*('Margin Guidence Table'!$G$1:$G$10000&gt;=ROUND($IQ$3,0)),0),MATCH("SALES_CASE",'Margin Guidence Table'!$A$1:$AC$1,0)),INDEX('Margin Guidence Table'!$A$1:$AC$10000,MATCH(1,('Margin Guidence Table'!$A$1:$A$10000=IY14)*('Margin Guidence Table'!$H$1:$H$10000&lt;=ROUND($IQ$3,0))*('Margin Guidence Table'!$G$1:$G$10000&gt;=ROUND($IQ$3,0)),0),MATCH("DEFAULT_SALES_CASE",'Margin Guidence Table'!$A$1:$AC$1,0))),0)</f>
        <v>0</v>
      </c>
      <c r="JC14" s="1161">
        <f t="array" ref="JC14">IFERROR(IF($JA14="SEGMENT",INDEX('Margin Guidence Table'!$A$1:$AC$10000,MATCH(1,('Margin Guidence Table'!$A$1:$A$10000=IY14)*('Margin Guidence Table'!$H$1:$H$10000&lt;=ROUND($IQ$3,0))*('Margin Guidence Table'!$G$1:$G$10000&gt;=ROUND($IQ$3,0)),0),MATCH("SALES_LBS",'Margin Guidence Table'!$A$1:$AC$1,0)),INDEX('Margin Guidence Table'!$A$1:$AC$10000,MATCH(1,('Margin Guidence Table'!$A$1:$A$10000=IY14)*('Margin Guidence Table'!$H$1:$H$10000&lt;=ROUND($IQ$3,0))*('Margin Guidence Table'!$G$1:$G$10000&gt;=ROUND($IQ$3,0)),0),MATCH("DEFAULT_SALES_LBS",'Margin Guidence Table'!$A$1:$AC$1,0))),0)</f>
        <v>0</v>
      </c>
      <c r="JD14" s="1165">
        <f t="array" ref="JD14">IFERROR(IF($JA14="SEGMENT",INDEX('Margin Guidence Table'!$A$1:$AC$10000,MATCH(1,('Margin Guidence Table'!$A$1:$A$10000=IY14)*('Margin Guidence Table'!$H$1:$H$10000&lt;=ROUND($IQ$3,0))*('Margin Guidence Table'!$G$1:$G$10000&gt;=ROUND($IQ$3,0)),0),MATCH("MDA_MIN_MARGIN_GUIDENCE",'Margin Guidence Table'!$A$1:$AC$1,0)),INDEX('Margin Guidence Table'!$A$1:$AC$10000,MATCH(1,('Margin Guidence Table'!$A$1:$A$10000=IY14)*('Margin Guidence Table'!$H$1:$H$10000&lt;=ROUND($IQ$3,0))*('Margin Guidence Table'!$G$1:$G$10000&gt;=ROUND($IQ$3,0)),0),MATCH("DEFAULT_MDA_MIN_MARGIN_GUIDENCE",'Margin Guidence Table'!$A$1:$AC$1,0))),0)</f>
        <v>0</v>
      </c>
      <c r="JE14" s="1165">
        <f t="array" ref="JE14">IFERROR(IF($JA14="SEGMENT",INDEX('Margin Guidence Table'!$A$1:$AC$10000,MATCH(1,('Margin Guidence Table'!$A$1:$A$10000=IY14)*('Margin Guidence Table'!$H$1:$H$10000&lt;=ROUND($IQ$3,0))*('Margin Guidence Table'!$G$1:$G$10000&gt;=ROUND($IQ$3,0)),0),MATCH("MDA_MEDIAN_MARGIN_GUIDENCE",'Margin Guidence Table'!$A$1:$AC$1,0)),INDEX('Margin Guidence Table'!$A$1:$AC$10000,MATCH(1,('Margin Guidence Table'!$A$1:$A$10000=IY14)*('Margin Guidence Table'!$H$1:$H$10000&lt;=ROUND($IQ$3,0))*('Margin Guidence Table'!$G$1:$G$10000&gt;=ROUND($IQ$3,0)),0),MATCH("DEFAULT_MDA_MEDIAN_MARGIN_GUIDENCE",'Margin Guidence Table'!$A$1:$AC$1,0))),0)</f>
        <v>0</v>
      </c>
      <c r="JF14" s="1165">
        <f t="array" ref="JF14">IFERROR(IF($JA14="SEGMENT",INDEX('Margin Guidence Table'!$A$1:$AC$10000,MATCH(1,('Margin Guidence Table'!$A$1:$A$10000=IY14)*('Margin Guidence Table'!$H$1:$H$10000&lt;=ROUND($IQ$3,0))*('Margin Guidence Table'!$G$1:$G$10000&gt;=ROUND($IQ$3,0)),0),MATCH("MDA_MAX_MARGIN_GUIDENCE",'Margin Guidence Table'!$A$1:$AC$1,0)),INDEX('Margin Guidence Table'!$A$1:$AC$10000,MATCH(1,('Margin Guidence Table'!$A$1:$A$10000=IY14)*('Margin Guidence Table'!$H$1:$H$10000&lt;=ROUND($IQ$3,0))*('Margin Guidence Table'!$G$1:$G$10000&gt;=ROUND($IQ$3,0)),0),MATCH("DEFAULT_MDA_MAX_MARGIN_GUIDENCE",'Margin Guidence Table'!$A$1:$AC$1,0))),0)</f>
        <v>0</v>
      </c>
      <c r="JG14" s="1165">
        <f t="array" ref="JG14">IFERROR(IF($JA14="SEGMENT",INDEX('Margin Guidence Table'!$A$1:$AC$10000,MATCH(1,('Margin Guidence Table'!$A$1:$A$10000=IY14)*('Margin Guidence Table'!$H$1:$H$10000&lt;=ROUND($IQ$3,0))*('Margin Guidence Table'!$G$1:$G$10000&gt;=ROUND($IQ$3,0)),0),MATCH("PA_PCT_SALES",'Margin Guidence Table'!$A$1:$AC$1,0)),INDEX('Margin Guidence Table'!$A$1:$AC$10000,MATCH(1,('Margin Guidence Table'!$A$1:$A$10000=IY14)*('Margin Guidence Table'!$H$1:$H$10000&lt;=ROUND($IQ$3,0))*('Margin Guidence Table'!$G$1:$G$10000&gt;=ROUND($IQ$3,0)),0),MATCH("DEFAULT_PA_PCT_SALES",'Margin Guidence Table'!$A$1:$AC$1,0))),0)</f>
        <v>0</v>
      </c>
      <c r="JH14" s="1165">
        <f t="array" ref="JH14">IFERROR(IF($JA14="SEGMENT",INDEX('Margin Guidence Table'!$A$1:$AC$10000,MATCH(1,('Margin Guidence Table'!$A$1:$A$10000=IY14)*('Margin Guidence Table'!$H$1:$H$10000&lt;=ROUND($IQ$3,0))*('Margin Guidence Table'!$G$1:$G$10000&gt;=ROUND($IQ$3,0)),0),MATCH("SELF_FUND_PCT_SALES",'Margin Guidence Table'!$A$1:$AC$1,0)),INDEX('Margin Guidence Table'!$A$1:$AC$10000,MATCH(1,('Margin Guidence Table'!$A$1:$A$10000=IY14)*('Margin Guidence Table'!$H$1:$H$10000&lt;=ROUND($IQ$3,0))*('Margin Guidence Table'!$G$1:$G$10000&gt;=ROUND($IQ$3,0)),0),MATCH("DEFAULT_SELF_FUND_PCT_SALES",'Margin Guidence Table'!$A$1:$AC$1,0))),0)</f>
        <v>0</v>
      </c>
      <c r="JI14" s="1165">
        <f t="array" ref="JI14">IFERROR(IF($JA14="SEGMENT",INDEX('Margin Guidence Table'!$A$1:$AC$10000,MATCH(1,('Margin Guidence Table'!$A$1:$A$10000=IY14)*('Margin Guidence Table'!$H$1:$H$10000&lt;=ROUND($IQ$3,0))*('Margin Guidence Table'!$G$1:$G$10000&gt;=ROUND($IQ$3,0)),0),MATCH("CIA_MEDIAN_MARGIN_GUIDENCE",'Margin Guidence Table'!$A$1:$AC$1,0)),INDEX('Margin Guidence Table'!$A$1:$AC$10000,MATCH(1,('Margin Guidence Table'!$A$1:$A$10000=IY14)*('Margin Guidence Table'!$H$1:$H$10000&lt;=ROUND($IQ$3,0))*('Margin Guidence Table'!$G$1:$G$10000&gt;=ROUND($IQ$3,0)),0),MATCH("DEFAULT_CIA_MEDIAN_MARGIN_GUIDENCE",'Margin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Table'!$A$1:$AC$10000,MATCH(1,('Margin Guidence Table'!$A$1:$A$10000=$BI15)*('Margin Guidence Table'!$H$1:$H$10000&lt;=ROUND($BA$3,0))*('Margin Guidence Table'!$G$1:$G$10000&gt;=ROUND($BA$3,0)),0),MATCH("PCT_SALES",'Margin Guidence Table'!$A$1:$AC$1,0)),INDEX('Margin Guidence Table'!$A$1:$AC$10000,MATCH(1,('Margin Guidence Table'!$A$1:$A$10000=$BI15)*('Margin Guidence Table'!$H$1:$H$10000&lt;=ROUND($BA$3,0))*('Margin Guidence Table'!$G$1:$G$10000&gt;=ROUND($BA$3,0)),0),MATCH("DEFAULT_PCT_SALES",'Margin Guidence Table'!$A$1:$AC$1,0))),0)</f>
        <v>0</v>
      </c>
      <c r="AZ15" s="102" t="s">
        <v>103</v>
      </c>
      <c r="BA15" s="94">
        <f>IFERROR(IF(AND($BA$2&lt;&gt;"Enter Spend&gt;&gt;&gt;",BB2="EXISTING"),SUMIFS('Existing Customers'!$Q:$Q,'Existing Customers'!$A:$A,$BA$1,'Existing Customers'!$H:$H,$AZ15)*$BA$4,$BA$3*$AY15),0)</f>
        <v>0</v>
      </c>
      <c r="BB15" s="95">
        <f>IFERROR(IF(AND($BA$2&lt;&gt;"Enter Spend&gt;&gt;&gt;",BB2="EXISTING"),SUMIFS('Existing Customers'!$N:$N,'Existing Customers'!$A:$A,$BA$1,'Existing Customers'!$H:$H,$AZ15)*$BA$4,$BA15/$BL15),0)</f>
        <v>0</v>
      </c>
      <c r="BC15" s="95">
        <f>IFERROR(IF(AND($BA$2&lt;&gt;"Enter Spend&gt;&gt;&gt;",BB2="EXISTING"),SUMIFS('Existing Customers'!$O:$O,'Existing Customers'!$H:$H,$AZ15,'Existing Customers'!$A:$A,$BA$1)*$BA$4,$BB15*$BA$8),0)</f>
        <v>0</v>
      </c>
      <c r="BD15" s="95">
        <f>IFERROR(IF(AND($BA$2&lt;&gt;"Enter Spend&gt;&gt;&gt;",BB2="EXISTING"),SUMIFS('Existing Customers'!$P:$P,'Existing Customers'!$A:$A,$BA$1,'Existing Customers'!$H:$H,$AZ15)*$BA$4,$BA15/$BM15),0)</f>
        <v>0</v>
      </c>
      <c r="BE15" s="402">
        <f>IFERROR(IF(AND($BA$2&lt;&gt;"Enter Spend&gt;&gt;&gt;",BB2="EXISTING"),SUMIFS('Existing Customers'!$V:$V,'Existing Customers'!$H:$H,$AZ15,'Existing Customers'!$A:$A,$BA$1)*$BA$4,0),0)</f>
        <v>0</v>
      </c>
      <c r="BF15" s="96">
        <f>IFERROR(IF(AND($BA$2&lt;&gt;"Enter Spend&gt;&gt;&gt;",BB2="EXISTING"),SUMIFS('Existing Customers'!$R:$R,'Existing Customers'!$H:$H,$AZ15,'Existing Customers'!$A:$A,$BA$1)*$BA$4,0),0)</f>
        <v>0</v>
      </c>
      <c r="BG15" s="96">
        <f>IFERROR(IF(AND($BA$2&lt;&gt;"Enter Spend&gt;&gt;&gt;",BB2="EXISTING"),SUMIFS('Existing Customers'!$S:$S,'Existing Customers'!$H:$H,$AZ15,'Existing Customers'!$A:$A,$BA$1),BQ15*BA15),0)</f>
        <v>0</v>
      </c>
      <c r="BH15" s="96">
        <f>IFERROR(IF(AND($BA$2&lt;&gt;"Enter Spend&gt;&gt;&gt;",BB2="EXISTING"),SUMIFS('Existing Customers'!$U:$U,'Existing Customers'!$H:$H,$AZ15,'Existing Customers'!$A:$A,$BA$1),BR15*BA15),0)</f>
        <v>0</v>
      </c>
      <c r="BI15" s="1163" t="e">
        <f t="shared" ref="BI15:BI34" si="24">_xlfn.CONCAT($BB$1,"_",AZ15)</f>
        <v>#N/A</v>
      </c>
      <c r="BJ15" s="1164">
        <f t="array" ref="BJ15">IFERROR(INDEX('Margin Guidence Table'!$A$1:$AD$30000,MATCH(1,('Margin Guidence Table'!$A$1:$A$10000=$BI15)*('Margin Guidence Table'!$H$1:$H$10000&lt;=ROUND($BA$3,0))*('Margin Guidence Table'!$G$1:$G$10000&gt;=ROUND($BA$3,0)),0),MATCH("DATA_POINTS",'Margin Guidence Table'!$A$1:$AC$1,0)),0)</f>
        <v>0</v>
      </c>
      <c r="BK15" s="1161" t="str">
        <f t="shared" ref="BK15:BK34" si="25">IF(BJ15&gt;15,"SEGMENT","DEFAULT")</f>
        <v>DEFAULT</v>
      </c>
      <c r="BL15" s="1161">
        <f t="array" ref="BL15">IFERROR(IF($BK15="SEGMENT",INDEX('Margin Guidence Table'!$A$1:$AC$10000,MATCH(1,('Margin Guidence Table'!$A$1:$A$10000=$BI15)*('Margin Guidence Table'!$H$1:$H$10000&lt;=ROUND($BA$3,0))*('Margin Guidence Table'!$G$1:$G$10000&gt;=ROUND($BA$3,0)),0),MATCH("SALES_CASE",'Margin Guidence Table'!$A$1:$AC$1,0)),INDEX('Margin Guidence Table'!$A$1:$AC$10000,MATCH(1,('Margin Guidence Table'!$A$1:$A$10000=$BI15)*('Margin Guidence Table'!$H$1:$H$10000&lt;=ROUND($BA$3,0))*('Margin Guidence Table'!$G$1:$G$10000&gt;=ROUND($BA$3,0)),0),MATCH("DEFAULT_SALES_CASE",'Margin Guidence Table'!$A$1:$AC$1,0))),0)</f>
        <v>0</v>
      </c>
      <c r="BM15" s="1161">
        <f t="array" ref="BM15">IFERROR(IF($BK15="SEGMENT",INDEX('Margin Guidence Table'!$A$1:$AC$10000,MATCH(1,('Margin Guidence Table'!$A$1:$A$10000=$BI15)*('Margin Guidence Table'!$H$1:$H$10000&lt;=ROUND($BA$3,0))*('Margin Guidence Table'!$G$1:$G$10000&gt;=ROUND($BA$3,0)),0),MATCH("SALES_LBS",'Margin Guidence Table'!$A$1:$AC$1,0)),INDEX('Margin Guidence Table'!$A$1:$AC$10000,MATCH(1,('Margin Guidence Table'!$A$1:$A$10000=$BI15)*('Margin Guidence Table'!$H$1:$H$10000&lt;=ROUND($BA$3,0))*('Margin Guidence Table'!$G$1:$G$10000&gt;=ROUND($BA$3,0)),0),MATCH("DEFAULT_SALES_LBS",'Margin Guidence Table'!$A$1:$AC$1,0))),0)</f>
        <v>0</v>
      </c>
      <c r="BN15" s="1165">
        <f t="array" ref="BN15">IFERROR(IF($BK15="SEGMENT",INDEX('Margin Guidence Table'!$A$1:$AC$10000,MATCH(1,('Margin Guidence Table'!$A$1:$A$10000=$BI15)*('Margin Guidence Table'!$H$1:$H$10000&lt;=ROUND($BA$3,0))*('Margin Guidence Table'!$G$1:$G$10000&gt;=ROUND($BA$3,0)),0),MATCH("MDA_MIN_MARGIN_GUIDENCE",'Margin Guidence Table'!$A$1:$AC$1,0)),INDEX('Margin Guidence Table'!$A$1:$AC$10000,MATCH(1,('Margin Guidence Table'!$A$1:$A$10000=$BI15)*('Margin Guidence Table'!$H$1:$H$10000&lt;=ROUND($BA$3,0))*('Margin Guidence Table'!$G$1:$G$10000&gt;=ROUND($BA$3,0)),0),MATCH("DEFAULT_MDA_MIN_MARGIN_GUIDENCE",'Margin Guidence Table'!$A$1:$AC$1,0))),0)</f>
        <v>0</v>
      </c>
      <c r="BO15" s="1165">
        <f t="array" ref="BO15">IFERROR(IF($BK15="SEGMENT",INDEX('Margin Guidence Table'!$A$1:$AC$10000,MATCH(1,('Margin Guidence Table'!$A$1:$A$10000=$BI15)*('Margin Guidence Table'!$H$1:$H$10000&lt;=ROUND($BA$3,0))*('Margin Guidence Table'!$G$1:$G$10000&gt;=ROUND($BA$3,0)),0),MATCH("MDA_MEDIAN_MARGIN_GUIDENCE",'Margin Guidence Table'!$A$1:$AC$1,0)),INDEX('Margin Guidence Table'!$A$1:$AC$10000,MATCH(1,('Margin Guidence Table'!$A$1:$A$10000=$BI15)*('Margin Guidence Table'!$H$1:$H$10000&lt;=ROUND($BA$3,0))*('Margin Guidence Table'!$G$1:$G$10000&gt;=ROUND($BA$3,0)),0),MATCH("DEFAULT_MDA_MEDIAN_MARGIN_GUIDENCE",'Margin Guidence Table'!$A$1:$AC$1,0))),0)</f>
        <v>0</v>
      </c>
      <c r="BP15" s="1165">
        <f t="array" ref="BP15">IFERROR(IF($BK15="SEGMENT",INDEX('Margin Guidence Table'!$A$1:$AC$10000,MATCH(1,('Margin Guidence Table'!$A$1:$A$10000=$BI15)*('Margin Guidence Table'!$H$1:$H$10000&lt;=ROUND($BA$3,0))*('Margin Guidence Table'!$G$1:$G$10000&gt;=ROUND($BA$3,0)),0),MATCH("MDA_MAX_MARGIN_GUIDENCE",'Margin Guidence Table'!$A$1:$AC$1,0)),INDEX('Margin Guidence Table'!$A$1:$AC$10000,MATCH(1,('Margin Guidence Table'!$A$1:$A$10000=$BI15)*('Margin Guidence Table'!$H$1:$H$10000&lt;=ROUND($BA$3,0))*('Margin Guidence Table'!$G$1:$G$10000&gt;=ROUND($BA$3,0)),0),MATCH("DEFAULT_MDA_MAX_MARGIN_GUIDENCE",'Margin Guidence Table'!$A$1:$AC$1,0))),0)</f>
        <v>0</v>
      </c>
      <c r="BQ15" s="1165">
        <f t="array" ref="BQ15">IFERROR(IF($BK15="SEGMENT",INDEX('Margin Guidence Table'!$A$1:$AC$10000,MATCH(1,('Margin Guidence Table'!$A$1:$A$10000=$BI15)*('Margin Guidence Table'!$H$1:$H$10000&lt;=ROUND($BA$3,0))*('Margin Guidence Table'!$G$1:$G$10000&gt;=ROUND($BA$3,0)),0),MATCH("PA_PCT_SALES",'Margin Guidence Table'!$A$1:$AC$1,0)),INDEX('Margin Guidence Table'!$A$1:$AC$10000,MATCH(1,('Margin Guidence Table'!$A$1:$A$10000=$BI15)*('Margin Guidence Table'!$H$1:$H$10000&lt;=ROUND($BA$3,0))*('Margin Guidence Table'!$G$1:$G$10000&gt;=ROUND($BA$3,0)),0),MATCH("DEFAULT_PA_PCT_SALES",'Margin Guidence Table'!$A$1:$AC$1,0))),0)</f>
        <v>0</v>
      </c>
      <c r="BR15" s="1165">
        <f t="array" ref="BR15">IFERROR(IF($BK15="SEGMENT",INDEX('Margin Guidence Table'!$A$1:$AC$10000,MATCH(1,('Margin Guidence Table'!$A$1:$A$10000=$BI15)*('Margin Guidence Table'!$H$1:$H$10000&lt;=ROUND($BA$3,0))*('Margin Guidence Table'!$G$1:$G$10000&gt;=ROUND($BA$3,0)),0),MATCH("SELF_FUND_PCT_SALES",'Margin Guidence Table'!$A$1:$AC$1,0)),INDEX('Margin Guidence Table'!$A$1:$AC$10000,MATCH(1,('Margin Guidence Table'!$A$1:$A$10000=$BI15)*('Margin Guidence Table'!$H$1:$H$10000&lt;=ROUND($BA$3,0))*('Margin Guidence Table'!$G$1:$G$10000&gt;=ROUND($BA$3,0)),0),MATCH("DEFAULT_SELF_FUND_PCT_SALES",'Margin Guidence Table'!$A$1:$AC$1,0))),0)</f>
        <v>0</v>
      </c>
      <c r="BS15" s="1165">
        <f t="array" ref="BS15">IFERROR(IF($BK15="SEGMENT",INDEX('Margin Guidence Table'!$A$1:$AC$10000,MATCH(1,('Margin Guidence Table'!$A$1:$A$10000=$BI15)*('Margin Guidence Table'!$H$1:$H$10000&lt;=ROUND($BA$3,0))*('Margin Guidence Table'!$G$1:$G$10000&gt;=ROUND($BA$3,0)),0),MATCH("CIA_MEDIAN_MARGIN_GUIDENCE",'Margin Guidence Table'!$A$1:$AC$1,0)),INDEX('Margin Guidence Table'!$A$1:$AC$10000,MATCH(1,('Margin Guidence Table'!$A$1:$A$10000=$BI15)*('Margin Guidence Table'!$H$1:$H$10000&lt;=ROUND($BA$3,0))*('Margin Guidence Table'!$G$1:$G$10000&gt;=ROUND($BA$3,0)),0),MATCH("DEFAULT_CIA_MEDIAN_MARGIN_GUIDENCE",'Margin Guidence Table'!$A$1:$AC$1,0))),0)</f>
        <v>0</v>
      </c>
      <c r="BT15" s="129"/>
      <c r="BU15" s="18">
        <f t="array" ref="BU15">IFERROR(IF($CG15="SEGMENT",INDEX('Margin Guidence Table'!$A$1:$AC$10000,MATCH(1,('Margin Guidence Table'!$A$1:$A$10000=$CE15)*('Margin Guidence Table'!$H$1:$H$10000&lt;=ROUND($BW$3,0))*('Margin Guidence Table'!$G$1:$G$10000&gt;=ROUND($BW$3,0)),0),MATCH("PCT_SALES",'Margin Guidence Table'!$A$1:$AC$1,0)),INDEX('Margin Guidence Table'!$A$1:$AC$10000,MATCH(1,('Margin Guidence Table'!$A$1:$A$10000=$CE15)*('Margin Guidence Table'!$H$1:$H$10000&lt;=ROUND($BW$3,0))*('Margin Guidence Table'!$G$1:$G$10000&gt;=ROUND($BW$3,0)),0),MATCH("DEFAULT_PCT_SALES",'Margin Guidence Table'!$A$1:$AC$1,0))),0)</f>
        <v>0</v>
      </c>
      <c r="BV15" s="102" t="s">
        <v>103</v>
      </c>
      <c r="BW15" s="94">
        <f>IFERROR(IF(AND($BW$2&lt;&gt;"Enter Spend&gt;&gt;&gt;",BX2="EXISTING"),SUMIFS('Existing Customers'!$Q:$Q,'Existing Customers'!$A:$A,$BW$1,'Existing Customers'!$H:$H,$BV15)*$BW$4,$BW$3*$BU15),0)</f>
        <v>0</v>
      </c>
      <c r="BX15" s="89">
        <f>IFERROR(IF(AND($BW$2&lt;&gt;"Enter Spend&gt;&gt;&gt;",BX2="EXISTING"),SUMIFS('Existing Customers'!$N:$N,'Existing Customers'!$A:$A,$BW$1,'Existing Customers'!$H:$H,$BV15)*$BW$4,$BW15/$CH15),0)</f>
        <v>0</v>
      </c>
      <c r="BY15" s="95">
        <f>IFERROR(IF(AND($BW$2&lt;&gt;"Enter Spend&gt;&gt;&gt;",BX2="EXISTING"),SUMIFS('Existing Customers'!$O:$O,'Existing Customers'!$H:$H,$BV15,'Existing Customers'!$A:$A,$BW$1)*$BW$4,$BX15*$BW$8),0)</f>
        <v>0</v>
      </c>
      <c r="BZ15" s="95">
        <f>IFERROR(IF(AND($BW$2&lt;&gt;"Enter Spend&gt;&gt;&gt;",BX2="EXISTING"),SUMIFS('Existing Customers'!$P:$P,'Existing Customers'!$A:$A,$BW$1,'Existing Customers'!$H:$H,$BV15)*$BW$4,$BW15/$CI15),0)</f>
        <v>0</v>
      </c>
      <c r="CA15" s="96">
        <f>IFERROR(IF(AND($BW$2&lt;&gt;"Enter Spend&gt;&gt;&gt;",BX2="EXISTING"),SUMIFS('Existing Customers'!$V:$V,'Existing Customers'!$H:$H,$BV15,'Existing Customers'!$A:$A,$BW$1)*$BW$4,0),0)</f>
        <v>0</v>
      </c>
      <c r="CB15" s="96">
        <f>IFERROR(IF(AND($BW$2&lt;&gt;"Enter Spend&gt;&gt;&gt;",BX2="EXISTING"),SUMIFS('Existing Customers'!$R:$R,'Existing Customers'!$H:$H,$BV15,'Existing Customers'!$A:$A,$BW$1)*$BW$4,0),0)</f>
        <v>0</v>
      </c>
      <c r="CC15" s="1161">
        <f>IFERROR(IF(AND($BW$2&lt;&gt;"Enter Spend&gt;&gt;&gt;",BX2="EXISTING"),SUMIFS('Existing Customers'!$S:$S,'Existing Customers'!$H:$H,$BV15,'Existing Customers'!$A:$A,$BW$1),CM15*BW15),0)</f>
        <v>0</v>
      </c>
      <c r="CD15" s="1161">
        <f>IFERROR(IF(AND($BW$2&lt;&gt;"Enter Spend&gt;&gt;&gt;",BX2="EXISTING"),SUMIFS('Existing Customers'!$U:$U,'Existing Customers'!$H:$H,$BV15,'Existing Customers'!$A:$A,$BW$1),CN15*BW15),0)</f>
        <v>0</v>
      </c>
      <c r="CE15" s="1164" t="e">
        <f t="shared" ref="CE15:CE34" si="26">_xlfn.CONCAT($BX$1,"_",BV15)</f>
        <v>#N/A</v>
      </c>
      <c r="CF15" s="1164">
        <f t="array" ref="CF15">IFERROR(INDEX('Margin Guidence Table'!$A$1:$AD$30000,MATCH(1,('Margin Guidence Table'!$A$1:$A$10000=$CE15)*('Margin Guidence Table'!$H$1:$H$10000&lt;=ROUND($BW$3,0))*('Margin Guidence Table'!$G$1:$G$10000&gt;=ROUND($BW$3,0)),0),MATCH("DATA_POINTS",'Margin Guidence Table'!$A$1:$AC$1,0)),0)</f>
        <v>0</v>
      </c>
      <c r="CG15" s="1161" t="str">
        <f t="shared" ref="CG15:CG34" si="27">IF(CF15&gt;15,"SEGMENT","DEFAULT")</f>
        <v>DEFAULT</v>
      </c>
      <c r="CH15" s="1161">
        <f t="array" ref="CH15">IFERROR(IF($CG15="SEGMENT",INDEX('Margin Guidence Table'!$A$1:$AC$10000,MATCH(1,('Margin Guidence Table'!$A$1:$A$10000=$CE15)*('Margin Guidence Table'!$H$1:$H$10000&lt;=ROUND($BW$3,0))*('Margin Guidence Table'!$G$1:$G$10000&gt;=ROUND($BW$3,0)),0),MATCH("SALES_CASE",'Margin Guidence Table'!$A$1:$AC$1,0)),INDEX('Margin Guidence Table'!$A$1:$AC$10000,MATCH(1,('Margin Guidence Table'!$A$1:$A$10000=$CE15)*('Margin Guidence Table'!$H$1:$H$10000&lt;=ROUND($BW$3,0))*('Margin Guidence Table'!$G$1:$G$10000&gt;=ROUND($BW$3,0)),0),MATCH("DEFAULT_SALES_CASE",'Margin Guidence Table'!$A$1:$AC$1,0))),0)</f>
        <v>0</v>
      </c>
      <c r="CI15" s="1161">
        <f t="array" ref="CI15">IFERROR(IF($CG15="SEGMENT",INDEX('Margin Guidence Table'!$A$1:$AC$10000,MATCH(1,('Margin Guidence Table'!$A$1:$A$10000=$CE15)*('Margin Guidence Table'!$H$1:$H$10000&lt;=ROUND($BW$3,0))*('Margin Guidence Table'!$G$1:$G$10000&gt;=ROUND($BW$3,0)),0),MATCH("SALES_LBS",'Margin Guidence Table'!$A$1:$AC$1,0)),INDEX('Margin Guidence Table'!$A$1:$AC$10000,MATCH(1,('Margin Guidence Table'!$A$1:$A$10000=$CE15)*('Margin Guidence Table'!$H$1:$H$10000&lt;=ROUND($BW$3,0))*('Margin Guidence Table'!$G$1:$G$10000&gt;=ROUND($BW$3,0)),0),MATCH("DEFAULT_SALES_LBS",'Margin Guidence Table'!$A$1:$AC$1,0))),0)</f>
        <v>0</v>
      </c>
      <c r="CJ15" s="1165">
        <f t="array" ref="CJ15">IFERROR(IF($CG15="SEGMENT",INDEX('Margin Guidence Table'!$A$1:$AC$10000,MATCH(1,('Margin Guidence Table'!$A$1:$A$10000=$CE15)*('Margin Guidence Table'!$H$1:$H$10000&lt;=ROUND($BW$3,0))*('Margin Guidence Table'!$G$1:$G$10000&gt;=ROUND($BW$3,0)),0),MATCH("MDA_MIN_MARGIN_GUIDENCE",'Margin Guidence Table'!$A$1:$AC$1,0)),INDEX('Margin Guidence Table'!$A$1:$AC$10000,MATCH(1,('Margin Guidence Table'!$A$1:$A$10000=$CE15)*('Margin Guidence Table'!$H$1:$H$10000&lt;=ROUND($BW$3,0))*('Margin Guidence Table'!$G$1:$G$10000&gt;=ROUND($BW$3,0)),0),MATCH("DEFAULT_MDA_MIN_MARGIN_GUIDENCE",'Margin Guidence Table'!$A$1:$AC$1,0))),0)</f>
        <v>0</v>
      </c>
      <c r="CK15" s="1165">
        <f t="array" ref="CK15">IFERROR(IF($CG15="SEGMENT",INDEX('Margin Guidence Table'!$A$1:$AC$10000,MATCH(1,('Margin Guidence Table'!$A$1:$A$10000=$CE15)*('Margin Guidence Table'!$H$1:$H$10000&lt;=ROUND($BW$3,0))*('Margin Guidence Table'!$G$1:$G$10000&gt;=ROUND($BW$3,0)),0),MATCH("MDA_MEDIAN_MARGIN_GUIDENCE",'Margin Guidence Table'!$A$1:$AC$1,0)),INDEX('Margin Guidence Table'!$A$1:$AC$10000,MATCH(1,('Margin Guidence Table'!$A$1:$A$10000=$CE15)*('Margin Guidence Table'!$H$1:$H$10000&lt;=ROUND($BW$3,0))*('Margin Guidence Table'!$G$1:$G$10000&gt;=ROUND($BW$3,0)),0),MATCH("DEFAULT_MDA_MEDIAN_MARGIN_GUIDENCE",'Margin Guidence Table'!$A$1:$AC$1,0))),0)</f>
        <v>0</v>
      </c>
      <c r="CL15" s="1165">
        <f t="array" ref="CL15">IFERROR(IF($CG15="SEGMENT",INDEX('Margin Guidence Table'!$A$1:$AC$10000,MATCH(1,('Margin Guidence Table'!$A$1:$A$10000=$CE15)*('Margin Guidence Table'!$H$1:$H$10000&lt;=ROUND($BW$3,0))*('Margin Guidence Table'!$G$1:$G$10000&gt;=ROUND($BW$3,0)),0),MATCH("MDA_MAX_MARGIN_GUIDENCE",'Margin Guidence Table'!$A$1:$AC$1,0)),INDEX('Margin Guidence Table'!$A$1:$AC$10000,MATCH(1,('Margin Guidence Table'!$A$1:$A$10000=$CE15)*('Margin Guidence Table'!$H$1:$H$10000&lt;=ROUND($BW$3,0))*('Margin Guidence Table'!$G$1:$G$10000&gt;=ROUND($BW$3,0)),0),MATCH("DEFAULT_MDA_MAX_MARGIN_GUIDENCE",'Margin Guidence Table'!$A$1:$AC$1,0))),0)</f>
        <v>0</v>
      </c>
      <c r="CM15" s="1165">
        <f t="array" ref="CM15">IFERROR(IF($CG15="SEGMENT",INDEX('Margin Guidence Table'!$A$1:$AC$10000,MATCH(1,('Margin Guidence Table'!$A$1:$A$10000=$CE15)*('Margin Guidence Table'!$H$1:$H$10000&lt;=ROUND($BW$3,0))*('Margin Guidence Table'!$G$1:$G$10000&gt;=ROUND($BW$3,0)),0),MATCH("PA_PCT_SALES",'Margin Guidence Table'!$A$1:$AC$1,0)),INDEX('Margin Guidence Table'!$A$1:$AC$10000,MATCH(1,('Margin Guidence Table'!$A$1:$A$10000=$CE15)*('Margin Guidence Table'!$H$1:$H$10000&lt;=ROUND($BW$3,0))*('Margin Guidence Table'!$G$1:$G$10000&gt;=ROUND($BW$3,0)),0),MATCH("DEFAULT_PA_PCT_SALES",'Margin Guidence Table'!$A$1:$AC$1,0))),0)</f>
        <v>0</v>
      </c>
      <c r="CN15" s="1165">
        <f t="array" ref="CN15">IFERROR(IF($CG15="SEGMENT",INDEX('Margin Guidence Table'!$A$1:$AC$10000,MATCH(1,('Margin Guidence Table'!$A$1:$A$10000=$CE15)*('Margin Guidence Table'!$H$1:$H$10000&lt;=ROUND($BW$3,0))*('Margin Guidence Table'!$G$1:$G$10000&gt;=ROUND($BW$3,0)),0),MATCH("SELF_FUND_PCT_SALES",'Margin Guidence Table'!$A$1:$AC$1,0)),INDEX('Margin Guidence Table'!$A$1:$AC$10000,MATCH(1,('Margin Guidence Table'!$A$1:$A$10000=$CE15)*('Margin Guidence Table'!$H$1:$H$10000&lt;=ROUND($BW$3,0))*('Margin Guidence Table'!$G$1:$G$10000&gt;=ROUND($BW$3,0)),0),MATCH("DEFAULT_SELF_FUND_PCT_SALES",'Margin Guidence Table'!$A$1:$AC$1,0))),0)</f>
        <v>0</v>
      </c>
      <c r="CO15" s="1165">
        <f t="array" ref="CO15">IFERROR(IF($CG15="SEGMENT",INDEX('Margin Guidence Table'!$A$1:$AC$10000,MATCH(1,('Margin Guidence Table'!$A$1:$A$10000=$CE15)*('Margin Guidence Table'!$H$1:$H$10000&lt;=ROUND($BW$3,0))*('Margin Guidence Table'!$G$1:$G$10000&gt;=ROUND($BW$3,0)),0),MATCH("CIA_MEDIAN_MARGIN_GUIDENCE",'Margin Guidence Table'!$A$1:$AC$1,0)),INDEX('Margin Guidence Table'!$A$1:$AC$10000,MATCH(1,('Margin Guidence Table'!$A$1:$A$10000=$CE15)*('Margin Guidence Table'!$H$1:$H$10000&lt;=ROUND($BW$3,0))*('Margin Guidence Table'!$G$1:$G$10000&gt;=ROUND($BW$3,0)),0),MATCH("DEFAULT_CIA_MEDIAN_MARGIN_GUIDENCE",'Margin Guidence Table'!$A$1:$AC$1,0))),0)</f>
        <v>0</v>
      </c>
      <c r="CP15" s="129"/>
      <c r="CQ15" s="18">
        <f t="array" ref="CQ15">IFERROR(IF($DC15="SEGMENT",INDEX('Margin Guidence Table'!$A$1:$AC$10000,MATCH(1,('Margin Guidence Table'!$A$1:$A$10000=$DA15)*('Margin Guidence Table'!$H$1:$H$10000&lt;=ROUND($CS$3,0))*('Margin Guidence Table'!$G$1:$G$10000&gt;=ROUND($CS$3,0)),0),MATCH("PCT_SALES",'Margin Guidence Table'!$A$1:$AC$1,0)),INDEX('Margin Guidence Table'!$A$1:$AC$10000,MATCH(1,('Margin Guidence Table'!$A$1:$A$10000=$DA15)*('Margin Guidence Table'!$H$1:$H$10000&lt;=ROUND($CS$3,0))*('Margin Guidence Table'!$G$1:$G$10000&gt;=ROUND($CS$3,0)),0),MATCH("DEFAULT_PCT_SALES",'Margin Guidence Table'!$A$1:$AC$1,0))),0)</f>
        <v>0</v>
      </c>
      <c r="CR15" s="102" t="s">
        <v>103</v>
      </c>
      <c r="CS15" s="94">
        <f>IFERROR(IF(AND($CS$2&lt;&gt;"Enter Spend&gt;&gt;&gt;",CT2="EXISTING"),SUMIFS('Existing Customers'!$Q:$Q,'Existing Customers'!$A:$A,$CS$1,'Existing Customers'!$H:$H,$CR15)*$CS$4,$CS$3*$CQ15),0)</f>
        <v>0</v>
      </c>
      <c r="CT15" s="89">
        <f>IFERROR(IF(AND($CS$2&lt;&gt;"Enter Spend&gt;&gt;&gt;",CT2="EXISTING"),SUMIFS('Existing Customers'!$N:$N,'Existing Customers'!$A:$A,$CS$1,'Existing Customers'!$H:$H,$CR15)*$CS$4,$CS15/$DD15),0)</f>
        <v>0</v>
      </c>
      <c r="CU15" s="95">
        <f>IFERROR(IF(AND($CS$2&lt;&gt;"Enter Spend&gt;&gt;&gt;",BB28="EXISTING"),SUMIFS('Existing Customers'!$O:$O,'Existing Customers'!$H:$H,$CR15,'Existing Customers'!$A:$A,$CS$1)*$CS$4,$CT15*$CS$8),0)</f>
        <v>0</v>
      </c>
      <c r="CV15" s="95">
        <f>IFERROR(IF(AND($CS$2&lt;&gt;"Enter Spend&gt;&gt;&gt;",CT2="EXISTING"),SUMIFS('Existing Customers'!$P:$P,'Existing Customers'!$A:$A,$CS$1,'Existing Customers'!$H:$H,$CR15)*$CS$4,$CS15/$DE15),0)</f>
        <v>0</v>
      </c>
      <c r="CW15" s="96">
        <f>IFERROR(IF(AND($CS$2&lt;&gt;"Enter Spend&gt;&gt;&gt;",CT2="EXISTING"),SUMIFS('Existing Customers'!$V:$V,'Existing Customers'!$H:$H,$CR15,'Existing Customers'!$A:$A,$CS$1)*$CS$4,0),0)</f>
        <v>0</v>
      </c>
      <c r="CX15" s="96">
        <f>IFERROR(IF(AND($CS$2&lt;&gt;"Enter Spend&gt;&gt;&gt;",CT2="EXISTING"),SUMIFS('Existing Customers'!$R:$R,'Existing Customers'!$H:$H,$AZ15,'Existing Customers'!$A:$A,$CS$1)*$CS$4,0),0)</f>
        <v>0</v>
      </c>
      <c r="CY15" s="1161">
        <f>IFERROR(IF(AND($CS$2&lt;&gt;"Enter Spend&gt;&gt;&gt;",CT2="EXISTING"),SUMIFS('Existing Customers'!$S:$S,'Existing Customers'!$H:$H,$CR15,'Existing Customers'!$A:$A,$CS$1),DI15*CS15),0)</f>
        <v>0</v>
      </c>
      <c r="CZ15" s="1161">
        <f>IFERROR(IF(AND($CS$2&lt;&gt;"Enter Spend&gt;&gt;&gt;",CT2="EXISTING"),SUMIFS('Existing Customers'!$U:$U,'Existing Customers'!$H:$H,$CR15,'Existing Customers'!$A:$A,$CS$1),DJ15*CS15),0)</f>
        <v>0</v>
      </c>
      <c r="DA15" s="1164" t="e">
        <f t="shared" ref="DA15:DA34" si="28">_xlfn.CONCAT($CT$1,"_",CR15)</f>
        <v>#N/A</v>
      </c>
      <c r="DB15" s="1164">
        <f t="array" ref="DB15">IFERROR(INDEX('Margin Guidence Table'!$A$1:$AD$30000,MATCH(1,('Margin Guidence Table'!$A$1:$A$10000=DA15)*('Margin Guidence Table'!$H$1:$H$10000&lt;=ROUND($CS$3,0))*('Margin Guidence Table'!$G$1:$G$10000&gt;=ROUND($CS$3,0)),0),MATCH("DATA_POINTS",'Margin Guidence Table'!$A$1:$AC$1,0)),0)</f>
        <v>0</v>
      </c>
      <c r="DC15" s="1161" t="str">
        <f t="shared" ref="DC15:DC34" si="29">IF(DB15&gt;15,"SEGMENT","DEFAULT")</f>
        <v>DEFAULT</v>
      </c>
      <c r="DD15" s="1161">
        <f t="array" ref="DD15">IFERROR(IF($DC15="SEGMENT",INDEX('Margin Guidence Table'!$A$1:$AC$10000,MATCH(1,('Margin Guidence Table'!$A$1:$A$10000=DA15)*('Margin Guidence Table'!$H$1:$H$10000&lt;=ROUND($CS$3,0))*('Margin Guidence Table'!$G$1:$G$10000&gt;=ROUND($CS$3,0)),0),MATCH("SALES_CASE",'Margin Guidence Table'!$A$1:$AC$1,0)),INDEX('Margin Guidence Table'!$A$1:$AC$10000,MATCH(1,('Margin Guidence Table'!$A$1:$A$10000=DA15)*('Margin Guidence Table'!$H$1:$H$10000&lt;=ROUND($CS$3,0))*('Margin Guidence Table'!$G$1:$G$10000&gt;=ROUND($CS$3,0)),0),MATCH("DEFAULT_SALES_CASE",'Margin Guidence Table'!$A$1:$AC$1,0))),0)</f>
        <v>0</v>
      </c>
      <c r="DE15" s="1161">
        <f t="array" ref="DE15">IFERROR(IF($DC15="SEGMENT",INDEX('Margin Guidence Table'!$A$1:$AC$10000,MATCH(1,('Margin Guidence Table'!$A$1:$A$10000=DA15)*('Margin Guidence Table'!$H$1:$H$10000&lt;=ROUND($CS$3,0))*('Margin Guidence Table'!$G$1:$G$10000&gt;=ROUND($CS$3,0)),0),MATCH("SALES_LBS",'Margin Guidence Table'!$A$1:$AC$1,0)),INDEX('Margin Guidence Table'!$A$1:$AC$10000,MATCH(1,('Margin Guidence Table'!$A$1:$A$10000=DA15)*('Margin Guidence Table'!$H$1:$H$10000&lt;=ROUND($CS$3,0))*('Margin Guidence Table'!$G$1:$G$10000&gt;=ROUND($CS$3,0)),0),MATCH("DEFAULT_SALES_LBS",'Margin Guidence Table'!$A$1:$AC$1,0))),0)</f>
        <v>0</v>
      </c>
      <c r="DF15" s="1165">
        <f t="array" ref="DF15">IFERROR(IF($DC15="SEGMENT",INDEX('Margin Guidence Table'!$A$1:$AC$10000,MATCH(1,('Margin Guidence Table'!$A$1:$A$10000=DA15)*('Margin Guidence Table'!$H$1:$H$10000&lt;=ROUND($CS$3,0))*('Margin Guidence Table'!$G$1:$G$10000&gt;=ROUND($CS$3,0)),0),MATCH("MDA_MIN_MARGIN_GUIDENCE",'Margin Guidence Table'!$A$1:$AC$1,0)),INDEX('Margin Guidence Table'!$A$1:$AC$10000,MATCH(1,('Margin Guidence Table'!$A$1:$A$10000=DA15)*('Margin Guidence Table'!$H$1:$H$10000&lt;=ROUND($CS$3,0))*('Margin Guidence Table'!$G$1:$G$10000&gt;=ROUND($CS$3,0)),0),MATCH("DEFAULT_MDA_MIN_MARGIN_GUIDENCE",'Margin Guidence Table'!$A$1:$AC$1,0))),0)</f>
        <v>0</v>
      </c>
      <c r="DG15" s="1165">
        <f t="array" ref="DG15">IFERROR(IF($DC15="SEGMENT",INDEX('Margin Guidence Table'!$A$1:$AC$10000,MATCH(1,('Margin Guidence Table'!$A$1:$A$10000=DA15)*('Margin Guidence Table'!$H$1:$H$10000&lt;=ROUND($CS$3,0))*('Margin Guidence Table'!$G$1:$G$10000&gt;=ROUND($CS$3,0)),0),MATCH("MDA_MEDIAN_MARGIN_GUIDENCE",'Margin Guidence Table'!$A$1:$AC$1,0)),INDEX('Margin Guidence Table'!$A$1:$AC$10000,MATCH(1,('Margin Guidence Table'!$A$1:$A$10000=DA15)*('Margin Guidence Table'!$H$1:$H$10000&lt;=ROUND($CS$3,0))*('Margin Guidence Table'!$G$1:$G$10000&gt;=ROUND($CS$3,0)),0),MATCH("DEFAULT_MDA_MEDIAN_MARGIN_GUIDENCE",'Margin Guidence Table'!$A$1:$AC$1,0))),0)</f>
        <v>0</v>
      </c>
      <c r="DH15" s="1165">
        <f t="array" ref="DH15">IFERROR(IF($DC15="SEGMENT",INDEX('Margin Guidence Table'!$A$1:$AC$10000,MATCH(1,('Margin Guidence Table'!$A$1:$A$10000=DA15)*('Margin Guidence Table'!$H$1:$H$10000&lt;=ROUND($CS$3,0))*('Margin Guidence Table'!$G$1:$G$10000&gt;=ROUND($CS$3,0)),0),MATCH("MDA_MAX_MARGIN_GUIDENCE",'Margin Guidence Table'!$A$1:$AC$1,0)),INDEX('Margin Guidence Table'!$A$1:$AC$10000,MATCH(1,('Margin Guidence Table'!$A$1:$A$10000=DA15)*('Margin Guidence Table'!$H$1:$H$10000&lt;=ROUND($CS$3,0))*('Margin Guidence Table'!$G$1:$G$10000&gt;=ROUND($CS$3,0)),0),MATCH("DEFAULT_MDA_MAX_MARGIN_GUIDENCE",'Margin Guidence Table'!$A$1:$AC$1,0))),0)</f>
        <v>0</v>
      </c>
      <c r="DI15" s="1165">
        <f t="array" ref="DI15">IFERROR(IF($DC15="SEGMENT",INDEX('Margin Guidence Table'!$A$1:$AC$10000,MATCH(1,('Margin Guidence Table'!$A$1:$A$10000=DA15)*('Margin Guidence Table'!$H$1:$H$10000&lt;=ROUND($CS$3,0))*('Margin Guidence Table'!$G$1:$G$10000&gt;=ROUND($CS$3,0)),0),MATCH("PA_PCT_SALES",'Margin Guidence Table'!$A$1:$AC$1,0)),INDEX('Margin Guidence Table'!$A$1:$AC$10000,MATCH(1,('Margin Guidence Table'!$A$1:$A$10000=DA15)*('Margin Guidence Table'!$H$1:$H$10000&lt;=ROUND($CS$3,0))*('Margin Guidence Table'!$G$1:$G$10000&gt;=ROUND($CS$3,0)),0),MATCH("DEFAULT_PA_PCT_SALES",'Margin Guidence Table'!$A$1:$AC$1,0))),0)</f>
        <v>0</v>
      </c>
      <c r="DJ15" s="1165">
        <f t="array" ref="DJ15">IFERROR(IF($DC15="SEGMENT",INDEX('Margin Guidence Table'!$A$1:$AC$10000,MATCH(1,('Margin Guidence Table'!$A$1:$A$10000=DA15)*('Margin Guidence Table'!$H$1:$H$10000&lt;=ROUND($CS$3,0))*('Margin Guidence Table'!$G$1:$G$10000&gt;=ROUND($CS$3,0)),0),MATCH("SELF_FUND_PCT_SALES",'Margin Guidence Table'!$A$1:$AC$1,0)),INDEX('Margin Guidence Table'!$A$1:$AC$10000,MATCH(1,('Margin Guidence Table'!$A$1:$A$10000=DA15)*('Margin Guidence Table'!$H$1:$H$10000&lt;=ROUND($CS$3,0))*('Margin Guidence Table'!$G$1:$G$10000&gt;=ROUND($CS$3,0)),0),MATCH("DEFAULT_SELF_FUND_PCT_SALES",'Margin Guidence Table'!$A$1:$AC$1,0))),0)</f>
        <v>0</v>
      </c>
      <c r="DK15" s="1165">
        <f t="array" ref="DK15">IFERROR(IF($DC15="SEGMENT",INDEX('Margin Guidence Table'!$A$1:$AC$10000,MATCH(1,('Margin Guidence Table'!$A$1:$A$10000=DA15)*('Margin Guidence Table'!$H$1:$H$10000&lt;=ROUND($CS$3,0))*('Margin Guidence Table'!$G$1:$G$10000&gt;=ROUND($CS$3,0)),0),MATCH("CIA_MEDIAN_MARGIN_GUIDENCE",'Margin Guidence Table'!$A$1:$AC$1,0)),INDEX('Margin Guidence Table'!$A$1:$AC$10000,MATCH(1,('Margin Guidence Table'!$A$1:$A$10000=DA15)*('Margin Guidence Table'!$H$1:$H$10000&lt;=ROUND($CS$3,0))*('Margin Guidence Table'!$G$1:$G$10000&gt;=ROUND($CS$3,0)),0),MATCH("DEFAULT_CIA_MEDIAN_MARGIN_GUIDENCE",'Margin Guidence Table'!$A$1:$AC$1,0))),0)</f>
        <v>0</v>
      </c>
      <c r="DL15" s="129"/>
      <c r="DM15" s="18">
        <f t="array" ref="DM15">IFERROR(IF($DY15="SEGMENT",INDEX('Margin Guidence Table'!$A$1:$AC$10000,MATCH(1,('Margin Guidence Table'!$A$1:$A$10000=$DW15)*('Margin Guidence Table'!$H$1:$H$10000&lt;=ROUND($DO$3,0))*('Margin Guidence Table'!$G$1:$G$10000&gt;=ROUND($DO$3,0)),0),MATCH("PCT_SALES",'Margin Guidence Table'!$A$1:$AC$1,0)),INDEX('Margin Guidence Table'!$A$1:$AC$10000,MATCH(1,('Margin Guidence Table'!$A$1:$A$10000=$DW15)*('Margin Guidence Table'!$H$1:$H$10000&lt;=ROUND($DO$3,0))*('Margin Guidence Table'!$G$1:$G$10000&gt;=ROUND($DO$3,0)),0),MATCH("DEFAULT_PCT_SALES",'Margin Guidence Table'!$A$1:$AC$1,0))),0)</f>
        <v>0</v>
      </c>
      <c r="DN15" s="102" t="s">
        <v>103</v>
      </c>
      <c r="DO15" s="94">
        <f>IFERROR(IF(AND($DO$2&lt;&gt;"Enter Spend&gt;&gt;&gt;",DP2="EXISTING"),SUMIFS('Existing Customers'!$Q:$Q,'Existing Customers'!$A:$A,$DO$1,'Existing Customers'!$H:$H,$DN15)*$DO$4,$DO$3*$DM15),0)</f>
        <v>0</v>
      </c>
      <c r="DP15" s="89">
        <f>IFERROR(IF(AND($DO$2&lt;&gt;"Enter Spend&gt;&gt;&gt;",DP2="EXISTING"),SUMIFS('Existing Customers'!$N:$N,'Existing Customers'!$A:$A,$DO$1,'Existing Customers'!$H:$H,$DN15)*$DO$4,$DO15/$DZ15),0)</f>
        <v>0</v>
      </c>
      <c r="DQ15" s="95">
        <f>IFERROR(IF(AND($DO$2&lt;&gt;"Enter Spend&gt;&gt;&gt;",DP2="EXISTING"),SUMIFS('Existing Customers'!$O:$O,'Existing Customers'!$H:$H,$DN15,'Existing Customers'!$A:$A,$DO$1)*$DO$4,$DP15*$DO$8),0)</f>
        <v>0</v>
      </c>
      <c r="DR15" s="95">
        <f>IFERROR(IF(AND($DO$2&lt;&gt;"Enter Spend&gt;&gt;&gt;",DP2="EXISTING"),SUMIFS('Existing Customers'!$P:$P,'Existing Customers'!$A:$A,$DO$1,'Existing Customers'!$H:$H,$DN15)*$DO$4,$DO15/$EA15),0)</f>
        <v>0</v>
      </c>
      <c r="DS15" s="96">
        <f>IFERROR(IF(AND($DO$2&lt;&gt;"Enter Spend&gt;&gt;&gt;",EL2="EXISTING"),SUMIFS('Existing Customers'!$V:$V,'Existing Customers'!$H:$H,$DN15,'Existing Customers'!$A:$A,$DO$1)*$DO$4,0),0)</f>
        <v>0</v>
      </c>
      <c r="DT15" s="96">
        <f>IFERROR(IF(AND($DO$2&lt;&gt;"Enter Spend&gt;&gt;&gt;",DP2="EXISTING"),SUMIFS('Existing Customers'!$R:$R,'Existing Customers'!$H:$H,$DN15,'Existing Customers'!$A:$A,$DO$1)*$DO$4,0),0)</f>
        <v>0</v>
      </c>
      <c r="DU15" s="1161">
        <f>IFERROR(IF(AND($DO$2&lt;&gt;"Enter Spend&gt;&gt;&gt;",DP2="EXISTING"),SUMIFS('Existing Customers'!$S:$S,'Existing Customers'!$H:$H,$DP15,'Existing Customers'!$A:$A,$DO$1),EE15*DO15),0)</f>
        <v>0</v>
      </c>
      <c r="DV15" s="1161">
        <f>IFERROR(IF(AND($DO$2&lt;&gt;"Enter Spend&gt;&gt;&gt;",DP2="EXISTING"),SUMIFS('Existing Customers'!$U:$U,'Existing Customers'!$H:$H,$DN15,'Existing Customers'!$A:$A,$DO$1),EF15*DO15),0)</f>
        <v>0</v>
      </c>
      <c r="DW15" s="1164" t="e">
        <f t="shared" ref="DW15:DW34" si="30">_xlfn.CONCAT($DP$1,"_",DN15)</f>
        <v>#N/A</v>
      </c>
      <c r="DX15" s="1164">
        <f t="array" ref="DX15">IFERROR(INDEX('Margin Guidence Table'!$A$1:$AD$30000,MATCH(1,('Margin Guidence Table'!$A$1:$A$10000=DW15)*('Margin Guidence Table'!$H$1:$H$10000&lt;=ROUND($DO$3,0))*('Margin Guidence Table'!$G$1:$G$10000&gt;=ROUND($DO$3,0)),0),MATCH("DATA_POINTS",'Margin Guidence Table'!$A$1:$AC$1,0)),0)</f>
        <v>0</v>
      </c>
      <c r="DY15" s="1161" t="str">
        <f t="shared" ref="DY15:DY34" si="31">IF(DX15&gt;15,"SEGMENT","DEFAULT")</f>
        <v>DEFAULT</v>
      </c>
      <c r="DZ15" s="1161">
        <f t="array" ref="DZ15">IFERROR(IF($DY15="SEGMENT",INDEX('Margin Guidence Table'!$A$1:$AC$10000,MATCH(1,('Margin Guidence Table'!$A$1:$A$10000=DW15)*('Margin Guidence Table'!$H$1:$H$10000&lt;=ROUND($DO$3,0))*('Margin Guidence Table'!$G$1:$G$10000&gt;=ROUND($DO$3,0)),0),MATCH("SALES_CASE",'Margin Guidence Table'!$A$1:$AC$1,0)),INDEX('Margin Guidence Table'!$A$1:$AC$10000,MATCH(1,('Margin Guidence Table'!$A$1:$A$10000=DW15)*('Margin Guidence Table'!$H$1:$H$10000&lt;=ROUND($DO$3,0))*('Margin Guidence Table'!$G$1:$G$10000&gt;=ROUND($DO$3,0)),0),MATCH("DEFAULT_SALES_CASE",'Margin Guidence Table'!$A$1:$AC$1,0))),0)</f>
        <v>0</v>
      </c>
      <c r="EA15" s="1161">
        <f t="array" ref="EA15">IFERROR(IF($DY15="SEGMENT",INDEX('Margin Guidence Table'!$A$1:$AC$10000,MATCH(1,('Margin Guidence Table'!$A$1:$A$10000=DW15)*('Margin Guidence Table'!$H$1:$H$10000&lt;=ROUND($DO$3,0))*('Margin Guidence Table'!$G$1:$G$10000&gt;=ROUND($DO$3,0)),0),MATCH("SALES_LBS",'Margin Guidence Table'!$A$1:$AC$1,0)),INDEX('Margin Guidence Table'!$A$1:$AC$10000,MATCH(1,('Margin Guidence Table'!$A$1:$A$10000=DW15)*('Margin Guidence Table'!$H$1:$H$10000&lt;=ROUND($DO$3,0))*('Margin Guidence Table'!$G$1:$G$10000&gt;=ROUND($DO$3,0)),0),MATCH("DEFAULT_SALES_LBS",'Margin Guidence Table'!$A$1:$AC$1,0))),0)</f>
        <v>0</v>
      </c>
      <c r="EB15" s="1165">
        <f t="array" ref="EB15">IFERROR(IF($DY15="SEGMENT",INDEX('Margin Guidence Table'!$A$1:$AC$10000,MATCH(1,('Margin Guidence Table'!$A$1:$A$10000=DW15)*('Margin Guidence Table'!$H$1:$H$10000&lt;=ROUND($DO$3,0))*('Margin Guidence Table'!$G$1:$G$10000&gt;=ROUND($DO$3,0)),0),MATCH("MDA_MIN_MARGIN_GUIDENCE",'Margin Guidence Table'!$A$1:$AC$1,0)),INDEX('Margin Guidence Table'!$A$1:$AC$10000,MATCH(1,('Margin Guidence Table'!$A$1:$A$10000=DW15)*('Margin Guidence Table'!$H$1:$H$10000&lt;=ROUND($DO$3,0))*('Margin Guidence Table'!$G$1:$G$10000&gt;=ROUND($DO$3,0)),0),MATCH("DEFAULT_MDA_MIN_MARGIN_GUIDENCE",'Margin Guidence Table'!$A$1:$AC$1,0))),0)</f>
        <v>0</v>
      </c>
      <c r="EC15" s="1165">
        <f t="array" ref="EC15">IFERROR(IF($DY15="SEGMENT",INDEX('Margin Guidence Table'!$A$1:$AC$10000,MATCH(1,('Margin Guidence Table'!$A$1:$A$10000=DW15)*('Margin Guidence Table'!$H$1:$H$10000&lt;=ROUND($DO$3,0))*('Margin Guidence Table'!$G$1:$G$10000&gt;=ROUND($DO$3,0)),0),MATCH("MDA_MEDIAN_MARGIN_GUIDENCE",'Margin Guidence Table'!$A$1:$AC$1,0)),INDEX('Margin Guidence Table'!$A$1:$AC$10000,MATCH(1,('Margin Guidence Table'!$A$1:$A$10000=DW15)*('Margin Guidence Table'!$H$1:$H$10000&lt;=ROUND($DO$3,0))*('Margin Guidence Table'!$G$1:$G$10000&gt;=ROUND($DO$3,0)),0),MATCH("DEFAULT_MDA_MEDIAN_MARGIN_GUIDENCE",'Margin Guidence Table'!$A$1:$AC$1,0))),0)</f>
        <v>0</v>
      </c>
      <c r="ED15" s="1165">
        <f t="array" ref="ED15">IFERROR(IF($DY15="SEGMENT",INDEX('Margin Guidence Table'!$A$1:$AC$10000,MATCH(1,('Margin Guidence Table'!$A$1:$A$10000=DW15)*('Margin Guidence Table'!$H$1:$H$10000&lt;=ROUND($DO$3,0))*('Margin Guidence Table'!$G$1:$G$10000&gt;=ROUND($DO$3,0)),0),MATCH("MDA_MAX_MARGIN_GUIDENCE",'Margin Guidence Table'!$A$1:$AC$1,0)),INDEX('Margin Guidence Table'!$A$1:$AC$10000,MATCH(1,('Margin Guidence Table'!$A$1:$A$10000=DW15)*('Margin Guidence Table'!$H$1:$H$10000&lt;=ROUND($DO$3,0))*('Margin Guidence Table'!$G$1:$G$10000&gt;=ROUND($DO$3,0)),0),MATCH("DEFAULT_MDA_MAX_MARGIN_GUIDENCE",'Margin Guidence Table'!$A$1:$AC$1,0))),0)</f>
        <v>0</v>
      </c>
      <c r="EE15" s="1165">
        <f t="array" ref="EE15">IFERROR(IF($DY15="SEGMENT",INDEX('Margin Guidence Table'!$A$1:$AC$10000,MATCH(1,('Margin Guidence Table'!$A$1:$A$10000=DW15)*('Margin Guidence Table'!$H$1:$H$10000&lt;=ROUND($DO$3,0))*('Margin Guidence Table'!$G$1:$G$10000&gt;=ROUND($DO$3,0)),0),MATCH("PA_PCT_SALES",'Margin Guidence Table'!$A$1:$AC$1,0)),INDEX('Margin Guidence Table'!$A$1:$AC$10000,MATCH(1,('Margin Guidence Table'!$A$1:$A$10000=DW15)*('Margin Guidence Table'!$H$1:$H$10000&lt;=ROUND($DO$3,0))*('Margin Guidence Table'!$G$1:$G$10000&gt;=ROUND($DO$3,0)),0),MATCH("DEFAULT_PA_PCT_SALES",'Margin Guidence Table'!$A$1:$AC$1,0))),0)</f>
        <v>0</v>
      </c>
      <c r="EF15" s="1165">
        <f t="array" ref="EF15">IFERROR(IF($DY15="SEGMENT",INDEX('Margin Guidence Table'!$A$1:$AC$10000,MATCH(1,('Margin Guidence Table'!$A$1:$A$10000=DW15)*('Margin Guidence Table'!$H$1:$H$10000&lt;=ROUND($DO$3,0))*('Margin Guidence Table'!$G$1:$G$10000&gt;=ROUND($DO$3,0)),0),MATCH("SELF_FUND_PCT_SALES",'Margin Guidence Table'!$A$1:$AC$1,0)),INDEX('Margin Guidence Table'!$A$1:$AC$10000,MATCH(1,('Margin Guidence Table'!$A$1:$A$10000=DW15)*('Margin Guidence Table'!$H$1:$H$10000&lt;=ROUND($DO$3,0))*('Margin Guidence Table'!$G$1:$G$10000&gt;=ROUND($DO$3,0)),0),MATCH("DEFAULT_SELF_FUND_PCT_SALES",'Margin Guidence Table'!$A$1:$AC$1,0))),0)</f>
        <v>0</v>
      </c>
      <c r="EG15" s="1165">
        <f t="array" ref="EG15">IFERROR(IF($DY15="SEGMENT",INDEX('Margin Guidence Table'!$A$1:$AC$10000,MATCH(1,('Margin Guidence Table'!$A$1:$A$10000=DW15)*('Margin Guidence Table'!$H$1:$H$10000&lt;=ROUND($DO$3,0))*('Margin Guidence Table'!$G$1:$G$10000&gt;=ROUND($DO$3,0)),0),MATCH("CIA_MEDIAN_MARGIN_GUIDENCE",'Margin Guidence Table'!$A$1:$AC$1,0)),INDEX('Margin Guidence Table'!$A$1:$AC$10000,MATCH(1,('Margin Guidence Table'!$A$1:$A$10000=DW15)*('Margin Guidence Table'!$H$1:$H$10000&lt;=ROUND($DO$3,0))*('Margin Guidence Table'!$G$1:$G$10000&gt;=ROUND($DO$3,0)),0),MATCH("DEFAULT_CIA_MEDIAN_MARGIN_GUIDENCE",'Margin Guidence Table'!$A$1:$AC$1,0))),0)</f>
        <v>0</v>
      </c>
      <c r="EH15" s="129"/>
      <c r="EI15" s="18">
        <f t="array" ref="EI15">IFERROR(IF($EU15="SEGMENT",INDEX('Margin Guidence Table'!$A$1:$AC$10000,MATCH(1,('Margin Guidence Table'!$A$1:$A$10000=$ES15)*('Margin Guidence Table'!$H$1:$H$10000&lt;=ROUND($EK$3,0))*('Margin Guidence Table'!$G$1:$G$10000&gt;=ROUND($EK$3,0)),0),MATCH("PCT_SALES",'Margin Guidence Table'!$A$1:$AC$1,0)),INDEX('Margin Guidence Table'!$A$1:$AC$10000,MATCH(1,('Margin Guidence Table'!$A$1:$A$10000=$ES15)*('Margin Guidence Table'!$H$1:$H$10000&lt;=ROUND($EK$3,0))*('Margin Guidence Table'!$G$1:$G$10000&gt;=ROUND($EK$3,0)),0),MATCH("DEFAULT_PCT_SALES",'Margin Guidence Table'!$A$1:$AC$1,0))),0)</f>
        <v>0</v>
      </c>
      <c r="EJ15" s="102" t="s">
        <v>103</v>
      </c>
      <c r="EK15" s="94">
        <f>IFERROR(IF(AND($EK$2&lt;&gt;"Enter Spend&gt;&gt;&gt;",EL2="EXISTING"),SUMIFS('Existing Customers'!$Q:$Q,'Existing Customers'!$A:$A,$EK$1,'Existing Customers'!$H:$H,$EJ15)*$EK$4,$EK$3*$EI15),0)</f>
        <v>0</v>
      </c>
      <c r="EL15" s="89">
        <f>IFERROR(IF(AND($EK$2&lt;&gt;"Enter Spend&gt;&gt;&gt;",EL2="EXISTING"),SUMIFS('Existing Customers'!$N:$N,'Existing Customers'!$A:$A,$EK$1,'Existing Customers'!$H:$H,$EJ15)*$EK$4,$EK15/$EV15),0)</f>
        <v>0</v>
      </c>
      <c r="EM15" s="95">
        <f>IFERROR(IF(AND($EK$2&lt;&gt;"Enter Spend&gt;&gt;&gt;",EL2="EXISTING"),SUMIFS('Existing Customers'!$O:$O,'Existing Customers'!$H:$H,$EJ15,'Existing Customers'!$A:$A,$EK$1)*$EK$4,$EL15*$EK$8),0)</f>
        <v>0</v>
      </c>
      <c r="EN15" s="95">
        <f>IFERROR(IF(AND($EK$2&lt;&gt;"Enter Spend&gt;&gt;&gt;",EL2="EXISTING"),SUMIFS('Existing Customers'!$P:$P,'Existing Customers'!$A:$A,$EK$1,'Existing Customers'!$H:$H,$EJ15)*$EK$4,$EK15/$EW15),0)</f>
        <v>0</v>
      </c>
      <c r="EO15" s="96">
        <f>IFERROR(IF(AND($EK$2&lt;&gt;"Enter Spend&gt;&gt;&gt;",EL2="EXISTING"),SUMIFS('Existing Customers'!$V:$V,'Existing Customers'!$H:$H,$EJ15,'Existing Customers'!$A:$A,$EK$1)*$EK$4,0),0)</f>
        <v>0</v>
      </c>
      <c r="EP15" s="96">
        <f>IFERROR(IF(AND($EK$2&lt;&gt;"Enter Spend&gt;&gt;&gt;",EL2="EXISTING"),SUMIFS('Existing Customers'!$R:$R,'Existing Customers'!$H:$H,$EJ15,'Existing Customers'!$A:$A,$EK$1)*$EK$4,0),0)</f>
        <v>0</v>
      </c>
      <c r="EQ15" s="1161">
        <f>IFERROR(IF(AND($EK$2&lt;&gt;"Enter Spend&gt;&gt;&gt;",EL2="EXISTING"),SUMIFS('Existing Customers'!$S:$S,'Existing Customers'!$H:$H,$EJ15,'Existing Customers'!$A:$A,$EK$1),FA15*EK15),0)</f>
        <v>0</v>
      </c>
      <c r="ER15" s="1161">
        <f>IFERROR(IF(AND($EK$2&lt;&gt;"Enter Spend&gt;&gt;&gt;",EL2="EXISTING"),SUMIFS('Existing Customers'!$U:$U,'Existing Customers'!$H:$H,$EJ15,'Existing Customers'!$A:$A,$EK$1),FB15*EK15),0)</f>
        <v>0</v>
      </c>
      <c r="ES15" s="1164" t="e">
        <f t="shared" ref="ES15:ES34" si="32">_xlfn.CONCAT($EL$1,"_",EJ15)</f>
        <v>#N/A</v>
      </c>
      <c r="ET15" s="1164">
        <f t="array" ref="ET15">IFERROR(INDEX('Margin Guidence Table'!$A$1:$AD$30000,MATCH(1,('Margin Guidence Table'!$A$1:$A$10000=ES15)*('Margin Guidence Table'!$H$1:$H$10000&lt;=ROUND($EK$3,0))*('Margin Guidence Table'!$G$1:$G$10000&gt;=ROUND($EK$3,0)),0),MATCH("DATA_POINTS",'Margin Guidence Table'!$A$1:$AC$1,0)),0)</f>
        <v>0</v>
      </c>
      <c r="EU15" s="1161" t="str">
        <f t="shared" ref="EU15:EU34" si="33">IF(ET15&gt;15,"SEGMENT","DEFAULT")</f>
        <v>DEFAULT</v>
      </c>
      <c r="EV15" s="1161">
        <f t="array" ref="EV15">IFERROR(IF($EU15="SEGMENT",INDEX('Margin Guidence Table'!$A$1:$AC$10000,MATCH(1,('Margin Guidence Table'!$A$1:$A$10000=ES15)*('Margin Guidence Table'!$H$1:$H$10000&lt;=ROUND($EK$3,0))*('Margin Guidence Table'!$G$1:$G$10000&gt;=ROUND($EK$3,0)),0),MATCH("SALES_CASE",'Margin Guidence Table'!$A$1:$AC$1,0)),INDEX('Margin Guidence Table'!$A$1:$AC$10000,MATCH(1,('Margin Guidence Table'!$A$1:$A$10000=ES15)*('Margin Guidence Table'!$H$1:$H$10000&lt;=ROUND($EK$3,0))*('Margin Guidence Table'!$G$1:$G$10000&gt;=ROUND($EK$3,0)),0),MATCH("DEFAULT_SALES_CASE",'Margin Guidence Table'!$A$1:$AC$1,0))),0)</f>
        <v>0</v>
      </c>
      <c r="EW15" s="1161" cm="1">
        <f t="array" ref="EW15">IFERROR(IF($EU15="SEGMENT",INDEX('Margin Guidence Table'!$A$1:$AC$10000,MATCH(1,('Margin Guidence Table'!$A$1:$A$10000=ES15)*('Margin Guidence Table'!$H$1:$H$10000&lt;=ROUND($EK$3,0))*('Margin Guidence Table'!$G$1:$G$10000&gt;=ROUND($EK$3,0)),0),MATCH("SALES_LBS",'Margin Guidence Table'!$A$1:$AC$1,0)),INDEX('Margin Guidence Table'!$A$1:$AC$10000,MATCH(1,('Margin Guidence Table'!$A$1:$A$10000=ES15)*('Margin Guidence Table'!$H$1:$H$10000&lt;=ROUND($EK$3,0))*('Margin Guidence Table'!$G$1:$G$10000&gt;=ROUND($EK$3,0)),0),MATCH("DEFAULT_SALES_LBS",'Margin Guidence Table'!$A$1:$AC$1,0))),0)</f>
        <v>0</v>
      </c>
      <c r="EX15" s="1165">
        <f t="array" ref="EX15">IFERROR(IF($EU15="SEGMENT",INDEX('Margin Guidence Table'!$A$1:$AC$10000,MATCH(1,('Margin Guidence Table'!$A$1:$A$10000=ES15)*('Margin Guidence Table'!$H$1:$H$10000&lt;=ROUND($EK$3,0))*('Margin Guidence Table'!$G$1:$G$10000&gt;=ROUND($EK$3,0)),0),MATCH("MDA_MIN_MARGIN_GUIDENCE",'Margin Guidence Table'!$A$1:$AC$1,0)),INDEX('Margin Guidence Table'!$A$1:$AC$10000,MATCH(1,('Margin Guidence Table'!$A$1:$A$10000=ES15)*('Margin Guidence Table'!$H$1:$H$10000&lt;=ROUND($EK$3,0))*('Margin Guidence Table'!$G$1:$G$10000&gt;=ROUND($EK$3,0)),0),MATCH("DEFAULT_MDA_MIN_MARGIN_GUIDENCE",'Margin Guidence Table'!$A$1:$AC$1,0))),0)</f>
        <v>0</v>
      </c>
      <c r="EY15" s="1165">
        <f t="array" ref="EY15">IFERROR(IF($EU15="SEGMENT",INDEX('Margin Guidence Table'!$A$1:$AC$10000,MATCH(1,('Margin Guidence Table'!$A$1:$A$10000=ES15)*('Margin Guidence Table'!$H$1:$H$10000&lt;=ROUND($EK$3,0))*('Margin Guidence Table'!$G$1:$G$10000&gt;=ROUND($EK$3,0)),0),MATCH("MDA_MEDIAN_MARGIN_GUIDENCE",'Margin Guidence Table'!$A$1:$AC$1,0)),INDEX('Margin Guidence Table'!$A$1:$AC$10000,MATCH(1,('Margin Guidence Table'!$A$1:$A$10000=ES15)*('Margin Guidence Table'!$H$1:$H$10000&lt;=ROUND($EK$3,0))*('Margin Guidence Table'!$G$1:$G$10000&gt;=ROUND($EK$3,0)),0),MATCH("DEFAULT_MDA_MEDIAN_MARGIN_GUIDENCE",'Margin Guidence Table'!$A$1:$AC$1,0))),0)</f>
        <v>0</v>
      </c>
      <c r="EZ15" s="1165">
        <f t="array" ref="EZ15">IFERROR(IF($EU15="SEGMENT",INDEX('Margin Guidence Table'!$A$1:$AC$10000,MATCH(1,('Margin Guidence Table'!$A$1:$A$10000=ES15)*('Margin Guidence Table'!$H$1:$H$10000&lt;=ROUND($EK$3,0))*('Margin Guidence Table'!$G$1:$G$10000&gt;=ROUND($EK$3,0)),0),MATCH("MDA_MAX_MARGIN_GUIDENCE",'Margin Guidence Table'!$A$1:$AC$1,0)),INDEX('Margin Guidence Table'!$A$1:$AC$10000,MATCH(1,('Margin Guidence Table'!$A$1:$A$10000=ES15)*('Margin Guidence Table'!$H$1:$H$10000&lt;=ROUND($EK$3,0))*('Margin Guidence Table'!$G$1:$G$10000&gt;=ROUND($EK$3,0)),0),MATCH("DEFAULT_MDA_MAX_MARGIN_GUIDENCE",'Margin Guidence Table'!$A$1:$AC$1,0))),0)</f>
        <v>0</v>
      </c>
      <c r="FA15" s="1165">
        <f t="array" ref="FA15">IFERROR(IF($EU15="SEGMENT",INDEX('Margin Guidence Table'!$A$1:$AC$10000,MATCH(1,('Margin Guidence Table'!$A$1:$A$10000=ES15)*('Margin Guidence Table'!$H$1:$H$10000&lt;=ROUND($EK$3,0))*('Margin Guidence Table'!$G$1:$G$10000&gt;=ROUND($EK$3,0)),0),MATCH("PA_PCT_SALES",'Margin Guidence Table'!$A$1:$AC$1,0)),INDEX('Margin Guidence Table'!$A$1:$AC$10000,MATCH(1,('Margin Guidence Table'!$A$1:$A$10000=ES15)*('Margin Guidence Table'!$H$1:$H$10000&lt;=ROUND($EK$3,0))*('Margin Guidence Table'!$G$1:$G$10000&gt;=ROUND($EK$3,0)),0),MATCH("DEFAULT_PA_PCT_SALES",'Margin Guidence Table'!$A$1:$AC$1,0))),0)</f>
        <v>0</v>
      </c>
      <c r="FB15" s="1165">
        <f t="array" ref="FB15">IFERROR(IF($EU15="SEGMENT",INDEX('Margin Guidence Table'!$A$1:$AC$10000,MATCH(1,('Margin Guidence Table'!$A$1:$A$10000=ES15)*('Margin Guidence Table'!$H$1:$H$10000&lt;=ROUND($EK$3,0))*('Margin Guidence Table'!$G$1:$G$10000&gt;=ROUND($EK$3,0)),0),MATCH("SELF_FUND_PCT_SALES",'Margin Guidence Table'!$A$1:$AC$1,0)),INDEX('Margin Guidence Table'!$A$1:$AC$10000,MATCH(1,('Margin Guidence Table'!$A$1:$A$10000=ES15)*('Margin Guidence Table'!$H$1:$H$10000&lt;=ROUND($EK$3,0))*('Margin Guidence Table'!$G$1:$G$10000&gt;=ROUND($EK$3,0)),0),MATCH("DEFAULT_SELF_FUND_PCT_SALES",'Margin Guidence Table'!$A$1:$AC$1,0))),0)</f>
        <v>0</v>
      </c>
      <c r="FC15" s="1165">
        <f t="array" ref="FC15">IFERROR(IF($EU15="SEGMENT",INDEX('Margin Guidence Table'!$A$1:$AC$10000,MATCH(1,('Margin Guidence Table'!$A$1:$A$10000=ES15)*('Margin Guidence Table'!$H$1:$H$10000&lt;=ROUND($EK$3,0))*('Margin Guidence Table'!$G$1:$G$10000&gt;=ROUND($EK$3,0)),0),MATCH("CIA_MEDIAN_MARGIN_GUIDENCE",'Margin Guidence Table'!$A$1:$AC$1,0)),INDEX('Margin Guidence Table'!$A$1:$AC$10000,MATCH(1,('Margin Guidence Table'!$A$1:$A$10000=ES15)*('Margin Guidence Table'!$H$1:$H$10000&lt;=ROUND($EK$3,0))*('Margin Guidence Table'!$G$1:$G$10000&gt;=ROUND($EK$3,0)),0),MATCH("DEFAULT_CIA_MEDIAN_MARGIN_GUIDENCE",'Margin Guidence Table'!$A$1:$AC$1,0))),0)</f>
        <v>0</v>
      </c>
      <c r="FD15" s="129"/>
      <c r="FE15" s="18">
        <f t="array" ref="FE15">IFERROR(IF($FQ15="SEGMENT",INDEX('Margin Guidence Table'!$A$1:$AC$10000,MATCH(1,('Margin Guidence Table'!$A$1:$A$10000=$FO15)*('Margin Guidence Table'!$H$1:$H$10000&lt;=ROUND($FG$3,0))*('Margin Guidence Table'!$G$1:$G$10000&gt;=ROUND($FG$3,0)),0),MATCH("PCT_SALES",'Margin Guidence Table'!$A$1:$AC$1,0)),INDEX('Margin Guidence Table'!$A$1:$AC$10000,MATCH(1,('Margin Guidence Table'!$A$1:$A$10000=$FO15)*('Margin Guidence Table'!$H$1:$H$10000&lt;=ROUND($FG$3,0))*('Margin Guidence Table'!$G$1:$G$10000&gt;=ROUND($FG$3,0)),0),MATCH("DEFAULT_PCT_SALES",'Margin Guidence Table'!$A$1:$AC$1,0))),0)</f>
        <v>0</v>
      </c>
      <c r="FF15" s="102" t="s">
        <v>103</v>
      </c>
      <c r="FG15" s="94">
        <f>IFERROR(IF(AND($FG$2&lt;&gt;"Enter Spend&gt;&gt;&gt;",FH2="EXISTING"),SUMIFS('Existing Customers'!$Q:$Q,'Existing Customers'!$A:$A,$FG$1,'Existing Customers'!$H:$H,$FF15)*$FG$4,$FG$3*$FE15),0)</f>
        <v>0</v>
      </c>
      <c r="FH15" s="89">
        <f>IFERROR(IF(AND($FG$2&lt;&gt;"Enter Spend&gt;&gt;&gt;",FH2="EXISTING"),SUMIFS('Existing Customers'!$N:$N,'Existing Customers'!$A:$A,$FG$1,'Existing Customers'!$H:$H,$FF15)*$FG$4,$FG15/$FR15),0)</f>
        <v>0</v>
      </c>
      <c r="FI15" s="95">
        <f>IFERROR(IF(AND($FG$2&lt;&gt;"Enter Spend&gt;&gt;&gt;",FH2="EXISTING"),SUMIFS('Existing Customers'!$O:$O,'Existing Customers'!$H:$H,$FF15,'Existing Customers'!$A:$A,$FG$1)*$FG$4,$FH15*$FG$8),0)</f>
        <v>0</v>
      </c>
      <c r="FJ15" s="95">
        <f>IFERROR(IF(AND($FG$2&lt;&gt;"Enter Spend&gt;&gt;&gt;",FH2="EXISTING"),SUMIFS('Existing Customers'!$P:$P,'Existing Customers'!$A:$A,$FG$1,'Existing Customers'!$H:$H,$FF15)*$FG$4,$FG15/$FS15),0)</f>
        <v>0</v>
      </c>
      <c r="FK15" s="96">
        <f>IFERROR(IF(AND($FG$2&lt;&gt;"Enter Spend&gt;&gt;&gt;",FH2="EXISTING"),SUMIFS('Existing Customers'!$V:$V,'Existing Customers'!$H:$H,$FF15,'Existing Customers'!$A:$A,$FG$1)*$FG$4,0),0)</f>
        <v>0</v>
      </c>
      <c r="FL15" s="96">
        <f>IFERROR(IF(AND($FG$2&lt;&gt;"Enter Spend&gt;&gt;&gt;",FH2="EXISTING"),SUMIFS('Existing Customers'!$R:$R,'Existing Customers'!$H:$H,$FF15,'Existing Customers'!$A:$A,$FG$1)*$FG$4,0),0)</f>
        <v>0</v>
      </c>
      <c r="FM15" s="1161">
        <f>IFERROR(IF(AND($FG$2&lt;&gt;"Enter Spend&gt;&gt;&gt;",FH2="EXISTING"),SUMIFS('Existing Customers'!$S:$S,'Existing Customers'!$H:$H,$FF15,'Existing Customers'!$A:$A,$FG$1),FW15*FG15),0)</f>
        <v>0</v>
      </c>
      <c r="FN15" s="1161">
        <f>IFERROR(IF(AND($FG$2&lt;&gt;"Enter Spend&gt;&gt;&gt;",FH2="EXISTING"),SUMIFS('Existing Customers'!$U:$U,'Existing Customers'!$H:$H,$FF15,'Existing Customers'!$A:$A,$FG$1),FX15*FG15),0)</f>
        <v>0</v>
      </c>
      <c r="FO15" s="1164" t="e">
        <f t="shared" ref="FO15:FO34" si="34">_xlfn.CONCAT($FH$1,"_",FF15)</f>
        <v>#N/A</v>
      </c>
      <c r="FP15" s="1164">
        <f t="array" ref="FP15">IFERROR(INDEX('Margin Guidence Table'!$A$1:$AD$30000,MATCH(1,('Margin Guidence Table'!$A$1:$A$10000=FO15)*('Margin Guidence Table'!$H$1:$H$10000&lt;=ROUND($FG$3,0))*('Margin Guidence Table'!$G$1:$G$10000&gt;=ROUND($FG$3,0)),0),MATCH("DATA_POINTS",'Margin Guidence Table'!$A$1:$AC$1,0)),0)</f>
        <v>0</v>
      </c>
      <c r="FQ15" s="1161" t="str">
        <f t="shared" ref="FQ15:FQ34" si="35">IF(FP15&gt;15,"SEGMENT","DEFAULT")</f>
        <v>DEFAULT</v>
      </c>
      <c r="FR15" s="1161">
        <f t="array" ref="FR15">IFERROR(IF($FQ15="SEGMENT",INDEX('Margin Guidence Table'!$A$1:$AC$10000,MATCH(1,('Margin Guidence Table'!$A$1:$A$10000=FO15)*('Margin Guidence Table'!$H$1:$H$10000&lt;=ROUND($FG$3,0))*('Margin Guidence Table'!$G$1:$G$10000&gt;=ROUND($FG$3,0)),0),MATCH("SALES_CASE",'Margin Guidence Table'!$A$1:$AC$1,0)),INDEX('Margin Guidence Table'!$A$1:$AC$10000,MATCH(1,('Margin Guidence Table'!$A$1:$A$10000=FO15)*('Margin Guidence Table'!$H$1:$H$10000&lt;=ROUND($FG$3,0))*('Margin Guidence Table'!$G$1:$G$10000&gt;=ROUND($FG$3,0)),0),MATCH("DEFAULT_SALES_CASE",'Margin Guidence Table'!$A$1:$AC$1,0))),0)</f>
        <v>0</v>
      </c>
      <c r="FS15" s="1161">
        <f t="array" ref="FS15">IFERROR(IF($FQ15="SEGMENT",INDEX('Margin Guidence Table'!$A$1:$AC$10000,MATCH(1,('Margin Guidence Table'!$A$1:$A$10000=FO15)*('Margin Guidence Table'!$H$1:$H$10000&lt;=ROUND($FG$3,0))*('Margin Guidence Table'!$G$1:$G$10000&gt;=ROUND($FG$3,0)),0),MATCH("SALES_LBS",'Margin Guidence Table'!$A$1:$AC$1,0)),INDEX('Margin Guidence Table'!$A$1:$AC$10000,MATCH(1,('Margin Guidence Table'!$A$1:$A$10000=FO15)*('Margin Guidence Table'!$H$1:$H$10000&lt;=ROUND($FG$3,0))*('Margin Guidence Table'!$G$1:$G$10000&gt;=ROUND($FG$3,0)),0),MATCH("DEFAULT_SALES_LBS",'Margin Guidence Table'!$A$1:$AC$1,0))),0)</f>
        <v>0</v>
      </c>
      <c r="FT15" s="1165">
        <f t="array" ref="FT15">IFERROR(IF($FQ15="SEGMENT",INDEX('Margin Guidence Table'!$A$1:$AC$10000,MATCH(1,('Margin Guidence Table'!$A$1:$A$10000=FO15)*('Margin Guidence Table'!$H$1:$H$10000&lt;=ROUND($FG$3,0))*('Margin Guidence Table'!$G$1:$G$10000&gt;=ROUND($FG$3,0)),0),MATCH("MDA_MIN_MARGIN_GUIDENCE",'Margin Guidence Table'!$A$1:$AC$1,0)),INDEX('Margin Guidence Table'!$A$1:$AC$10000,MATCH(1,('Margin Guidence Table'!$A$1:$A$10000=FO15)*('Margin Guidence Table'!$H$1:$H$10000&lt;=ROUND($FG$3,0))*('Margin Guidence Table'!$G$1:$G$10000&gt;=ROUND($FG$3,0)),0),MATCH("DEFAULT_MDA_MIN_MARGIN_GUIDENCE",'Margin Guidence Table'!$A$1:$AC$1,0))),0)</f>
        <v>0</v>
      </c>
      <c r="FU15" s="1165">
        <f t="array" ref="FU15">IFERROR(IF($FQ15="SEGMENT",INDEX('Margin Guidence Table'!$A$1:$AC$10000,MATCH(1,('Margin Guidence Table'!$A$1:$A$10000=FO15)*('Margin Guidence Table'!$H$1:$H$10000&lt;=ROUND($FG$3,0))*('Margin Guidence Table'!$G$1:$G$10000&gt;=ROUND($FG$3,0)),0),MATCH("MDA_MEDIAN_MARGIN_GUIDENCE",'Margin Guidence Table'!$A$1:$AC$1,0)),INDEX('Margin Guidence Table'!$A$1:$AC$10000,MATCH(1,('Margin Guidence Table'!$A$1:$A$10000=FO15)*('Margin Guidence Table'!$H$1:$H$10000&lt;=ROUND($FG$3,0))*('Margin Guidence Table'!$G$1:$G$10000&gt;=ROUND($FG$3,0)),0),MATCH("DEFAULT_MDA_MEDIAN_MARGIN_GUIDENCE",'Margin Guidence Table'!$A$1:$AC$1,0))),0)</f>
        <v>0</v>
      </c>
      <c r="FV15" s="1165">
        <f t="array" ref="FV15">IFERROR(IF($FQ15="SEGMENT",INDEX('Margin Guidence Table'!$A$1:$AC$10000,MATCH(1,('Margin Guidence Table'!$A$1:$A$10000=FO15)*('Margin Guidence Table'!$H$1:$H$10000&lt;=ROUND($FG$3,0))*('Margin Guidence Table'!$G$1:$G$10000&gt;=ROUND($FG$3,0)),0),MATCH("MDA_MAX_MARGIN_GUIDENCE",'Margin Guidence Table'!$A$1:$AC$1,0)),INDEX('Margin Guidence Table'!$A$1:$AC$10000,MATCH(1,('Margin Guidence Table'!$A$1:$A$10000=FO15)*('Margin Guidence Table'!$H$1:$H$10000&lt;=ROUND($FG$3,0))*('Margin Guidence Table'!$G$1:$G$10000&gt;=ROUND($FG$3,0)),0),MATCH("DEFAULT_MDA_MAX_MARGIN_GUIDENCE",'Margin Guidence Table'!$A$1:$AC$1,0))),0)</f>
        <v>0</v>
      </c>
      <c r="FW15" s="1165">
        <f t="array" ref="FW15">IFERROR(IF($FQ15="SEGMENT",INDEX('Margin Guidence Table'!$A$1:$AC$10000,MATCH(1,('Margin Guidence Table'!$A$1:$A$10000=FO15)*('Margin Guidence Table'!$H$1:$H$10000&lt;=ROUND($FG$3,0))*('Margin Guidence Table'!$G$1:$G$10000&gt;=ROUND($FG$3,0)),0),MATCH("PA_PCT_SALES",'Margin Guidence Table'!$A$1:$AC$1,0)),INDEX('Margin Guidence Table'!$A$1:$AC$10000,MATCH(1,('Margin Guidence Table'!$A$1:$A$10000=FO15)*('Margin Guidence Table'!$H$1:$H$10000&lt;=ROUND($FG$3,0))*('Margin Guidence Table'!$G$1:$G$10000&gt;=ROUND($FG$3,0)),0),MATCH("DEFAULT_PA_PCT_SALES",'Margin Guidence Table'!$A$1:$AC$1,0))),0)</f>
        <v>0</v>
      </c>
      <c r="FX15" s="1165">
        <f t="array" ref="FX15">IFERROR(IF($FQ15="SEGMENT",INDEX('Margin Guidence Table'!$A$1:$AC$10000,MATCH(1,('Margin Guidence Table'!$A$1:$A$10000=FO15)*('Margin Guidence Table'!$H$1:$H$10000&lt;=ROUND($FG$3,0))*('Margin Guidence Table'!$G$1:$G$10000&gt;=ROUND($FG$3,0)),0),MATCH("SELF_FUND_PCT_SALES",'Margin Guidence Table'!$A$1:$AC$1,0)),INDEX('Margin Guidence Table'!$A$1:$AC$10000,MATCH(1,('Margin Guidence Table'!$A$1:$A$10000=FO15)*('Margin Guidence Table'!$H$1:$H$10000&lt;=ROUND($FG$3,0))*('Margin Guidence Table'!$G$1:$G$10000&gt;=ROUND($FG$3,0)),0),MATCH("DEFAULT_SELF_FUND_PCT_SALES",'Margin Guidence Table'!$A$1:$AC$1,0))),0)</f>
        <v>0</v>
      </c>
      <c r="FY15" s="1165">
        <f t="array" ref="FY15">IFERROR(IF($FQ15="SEGMENT",INDEX('Margin Guidence Table'!$A$1:$AC$10000,MATCH(1,('Margin Guidence Table'!$A$1:$A$10000=FO15)*('Margin Guidence Table'!$H$1:$H$10000&lt;=ROUND($FG$3,0))*('Margin Guidence Table'!$G$1:$G$10000&gt;=ROUND($FG$3,0)),0),MATCH("CIA_MEDIAN_MARGIN_GUIDENCE",'Margin Guidence Table'!$A$1:$AC$1,0)),INDEX('Margin Guidence Table'!$A$1:$AC$10000,MATCH(1,('Margin Guidence Table'!$A$1:$A$10000=FO15)*('Margin Guidence Table'!$H$1:$H$10000&lt;=ROUND($FG$3,0))*('Margin Guidence Table'!$G$1:$G$10000&gt;=ROUND($FG$3,0)),0),MATCH("DEFAULT_CIA_MEDIAN_MARGIN_GUIDENCE",'Margin Guidence Table'!$A$1:$AC$1,0))),0)</f>
        <v>0</v>
      </c>
      <c r="FZ15" s="129"/>
      <c r="GA15" s="18">
        <f t="array" ref="GA15">IFERROR(IF($GM15="SEGMENT",INDEX('Margin Guidence Table'!$A$1:$AC$10000,MATCH(1,('Margin Guidence Table'!$A$1:$A$10000=$GK15)*('Margin Guidence Table'!$H$1:$H$10000&lt;=ROUND($GC$3,0))*('Margin Guidence Table'!$G$1:$G$10000&gt;=ROUND($GC$3,0)),0),MATCH("PCT_SALES",'Margin Guidence Table'!$A$1:$AC$1,0)),INDEX('Margin Guidence Table'!$A$1:$AC$10000,MATCH(1,('Margin Guidence Table'!$A$1:$A$10000=$GK15)*('Margin Guidence Table'!$H$1:$H$10000&lt;=ROUND($GC$3,0))*('Margin Guidence Table'!$G$1:$G$10000&gt;=ROUND($GC$3,0)),0),MATCH("DEFAULT_PCT_SALES",'Margin Guidence Table'!$A$1:$AC$1,0))),0)</f>
        <v>0</v>
      </c>
      <c r="GB15" s="102" t="s">
        <v>103</v>
      </c>
      <c r="GC15" s="94">
        <f>IFERROR(IF(AND($GC$2&lt;&gt;"Enter Spend&gt;&gt;&gt;",GD2="EXISTING"),SUMIFS('Existing Customers'!$Q:$Q,'Existing Customers'!$A:$A,$GC$1,'Existing Customers'!$H:$H,$GB15)*$GC$4,$GC$3*$GA15),0)</f>
        <v>0</v>
      </c>
      <c r="GD15" s="89">
        <f>IFERROR(IF(AND($GC$2&lt;&gt;"Enter Spend&gt;&gt;&gt;",GD2="EXISTING"),SUMIFS('Existing Customers'!$N:$N,'Existing Customers'!$A:$A,$GC$1,'Existing Customers'!$H:$H,$GB15)*$GC$4,$GC15/$GN15),0)</f>
        <v>0</v>
      </c>
      <c r="GE15" s="95">
        <f>IFERROR(IF(AND($GC$2&lt;&gt;"Enter Spend&gt;&gt;&gt;",GD2="EXISTING"),SUMIFS('Existing Customers'!$O:$O,'Existing Customers'!$H:$H,$GB15,'Existing Customers'!$A:$A,$GC$1)*$GC$4,$GD15*$GC$8),0)</f>
        <v>0</v>
      </c>
      <c r="GF15" s="95">
        <f>IFERROR(IF(AND($GC$2&lt;&gt;"Enter Spend&gt;&gt;&gt;",GD2="EXISTING"),SUMIFS('Existing Customers'!$P:$P,'Existing Customers'!$A:$A,$GC$1,'Existing Customers'!$H:$H,$GB15)*$GC$4,$GC15/$GO15),0)</f>
        <v>0</v>
      </c>
      <c r="GG15" s="96">
        <f>IFERROR(IF(AND($GC$2&lt;&gt;"Enter Spend&gt;&gt;&gt;",GD2="EXISTING"),SUMIFS('Existing Customers'!$V:$V,'Existing Customers'!$H:$H,$GB15,'Existing Customers'!$A:$A,$GC$1)*$GC$4,0),0)</f>
        <v>0</v>
      </c>
      <c r="GH15" s="96">
        <f>IFERROR(IF(AND($GC$2&lt;&gt;"Enter Spend&gt;&gt;&gt;",GD2="EXISTING"),SUMIFS('Existing Customers'!$R:$R,'Existing Customers'!$H:$H,$GB15,'Existing Customers'!$A:$A,$GC$1)*$GC$4,0),0)</f>
        <v>0</v>
      </c>
      <c r="GI15" s="1161">
        <f>IFERROR(IF(AND($GC$2&lt;&gt;"Enter Spend&gt;&gt;&gt;",GD2="EXISTING"),SUMIFS('Existing Customers'!$S:$S,'Existing Customers'!$H:$H,$GB15,'Existing Customers'!$A:$A,$GC$1),GS15*GC15),0)</f>
        <v>0</v>
      </c>
      <c r="GJ15" s="1161">
        <f>IFERROR(IF(AND($GC$2&lt;&gt;"Enter Spend&gt;&gt;&gt;",GD2="EXISTING"),SUMIFS('Existing Customers'!$U:$U,'Existing Customers'!$H:$H,$GB15,'Existing Customers'!$A:$A,$GC$1),GT15*GC15),0)</f>
        <v>0</v>
      </c>
      <c r="GK15" s="1164" t="e">
        <f t="shared" ref="GK15:GK34" si="36">_xlfn.CONCAT($GD$1,"_",GB15)</f>
        <v>#N/A</v>
      </c>
      <c r="GL15" s="1164">
        <f t="array" ref="GL15">IFERROR(INDEX('Margin Guidence Table'!$A$1:$AD$30000,MATCH(1,('Margin Guidence Table'!$A$1:$A$10000=GK15)*('Margin Guidence Table'!$H$1:$H$10000&lt;=ROUND($GC$3,0))*('Margin Guidence Table'!$G$1:$G$10000&gt;=ROUND($GC$3,0)),0),MATCH("DATA_POINTS",'Margin Guidence Table'!$A$1:$AC$1,0)),0)</f>
        <v>0</v>
      </c>
      <c r="GM15" s="1161" t="str">
        <f t="shared" ref="GM15:GM34" si="37">IF(GL15&gt;15,"SEGMENT","DEFAULT")</f>
        <v>DEFAULT</v>
      </c>
      <c r="GN15" s="1161">
        <f t="array" ref="GN15">IFERROR(IF($GM15="SEGMENT",INDEX('Margin Guidence Table'!$A$1:$AC$10000,MATCH(1,('Margin Guidence Table'!$A$1:$A$10000=GK15)*('Margin Guidence Table'!$H$1:$H$10000&lt;=ROUND($GC$3,0))*('Margin Guidence Table'!$G$1:$G$10000&gt;=ROUND($GC$3,0)),0),MATCH("SALES_CASE",'Margin Guidence Table'!$A$1:$AC$1,0)),INDEX('Margin Guidence Table'!$A$1:$AC$10000,MATCH(1,('Margin Guidence Table'!$A$1:$A$10000=GK15)*('Margin Guidence Table'!$H$1:$H$10000&lt;=ROUND($GC$3,0))*('Margin Guidence Table'!$G$1:$G$10000&gt;=ROUND($GC$3,0)),0),MATCH("DEFAULT_SALES_CASE",'Margin Guidence Table'!$A$1:$AC$1,0))),0)</f>
        <v>0</v>
      </c>
      <c r="GO15" s="1161">
        <f t="array" ref="GO15">IFERROR(IF($GM15="SEGMENT",INDEX('Margin Guidence Table'!$A$1:$AC$10000,MATCH(1,('Margin Guidence Table'!$A$1:$A$10000=GK15)*('Margin Guidence Table'!$H$1:$H$10000&lt;=ROUND($GC$3,0))*('Margin Guidence Table'!$G$1:$G$10000&gt;=ROUND($GC$3,0)),0),MATCH("SALES_LBS",'Margin Guidence Table'!$A$1:$AC$1,0)),INDEX('Margin Guidence Table'!$A$1:$AC$10000,MATCH(1,('Margin Guidence Table'!$A$1:$A$10000=GK15)*('Margin Guidence Table'!$H$1:$H$10000&lt;=ROUND($GC$3,0))*('Margin Guidence Table'!$G$1:$G$10000&gt;=ROUND($GC$3,0)),0),MATCH("DEFAULT_SALES_LBS",'Margin Guidence Table'!$A$1:$AC$1,0))),0)</f>
        <v>0</v>
      </c>
      <c r="GP15" s="1165">
        <f t="array" ref="GP15">IFERROR(IF($GM15="SEGMENT",INDEX('Margin Guidence Table'!$A$1:$AC$10000,MATCH(1,('Margin Guidence Table'!$A$1:$A$10000=GK15)*('Margin Guidence Table'!$H$1:$H$10000&lt;=ROUND($GC$3,0))*('Margin Guidence Table'!$G$1:$G$10000&gt;=ROUND($GC$3,0)),0),MATCH("MDA_MIN_MARGIN_GUIDENCE",'Margin Guidence Table'!$A$1:$AC$1,0)),INDEX('Margin Guidence Table'!$A$1:$AC$10000,MATCH(1,('Margin Guidence Table'!$A$1:$A$10000=GK15)*('Margin Guidence Table'!$H$1:$H$10000&lt;=ROUND($GC$3,0))*('Margin Guidence Table'!$G$1:$G$10000&gt;=ROUND($GC$3,0)),0),MATCH("DEFAULT_MDA_MIN_MARGIN_GUIDENCE",'Margin Guidence Table'!$A$1:$AC$1,0))),0)</f>
        <v>0</v>
      </c>
      <c r="GQ15" s="1165">
        <f t="array" ref="GQ15">IFERROR(IF($GM15="SEGMENT",INDEX('Margin Guidence Table'!$A$1:$AC$10000,MATCH(1,('Margin Guidence Table'!$A$1:$A$10000=GK15)*('Margin Guidence Table'!$H$1:$H$10000&lt;=ROUND($GC$3,0))*('Margin Guidence Table'!$G$1:$G$10000&gt;=ROUND($GC$3,0)),0),MATCH("MDA_MEDIAN_MARGIN_GUIDENCE",'Margin Guidence Table'!$A$1:$AC$1,0)),INDEX('Margin Guidence Table'!$A$1:$AC$10000,MATCH(1,('Margin Guidence Table'!$A$1:$A$10000=GK15)*('Margin Guidence Table'!$H$1:$H$10000&lt;=ROUND($GC$3,0))*('Margin Guidence Table'!$G$1:$G$10000&gt;=ROUND($GC$3,0)),0),MATCH("DEFAULT_MDA_MEDIAN_MARGIN_GUIDENCE",'Margin Guidence Table'!$A$1:$AC$1,0))),0)</f>
        <v>0</v>
      </c>
      <c r="GR15" s="1165">
        <f t="array" ref="GR15">IFERROR(IF($GM15="SEGMENT",INDEX('Margin Guidence Table'!$A$1:$AC$10000,MATCH(1,('Margin Guidence Table'!$A$1:$A$10000=GK15)*('Margin Guidence Table'!$H$1:$H$10000&lt;=ROUND($GC$3,0))*('Margin Guidence Table'!$G$1:$G$10000&gt;=ROUND($GC$3,0)),0),MATCH("MDA_MAX_MARGIN_GUIDENCE",'Margin Guidence Table'!$A$1:$AC$1,0)),INDEX('Margin Guidence Table'!$A$1:$AC$10000,MATCH(1,('Margin Guidence Table'!$A$1:$A$10000=GK15)*('Margin Guidence Table'!$H$1:$H$10000&lt;=ROUND($GC$3,0))*('Margin Guidence Table'!$G$1:$G$10000&gt;=ROUND($GC$3,0)),0),MATCH("DEFAULT_MDA_MAX_MARGIN_GUIDENCE",'Margin Guidence Table'!$A$1:$AC$1,0))),0)</f>
        <v>0</v>
      </c>
      <c r="GS15" s="1165">
        <f t="array" ref="GS15">IFERROR(IF($GM15="SEGMENT",INDEX('Margin Guidence Table'!$A$1:$AC$10000,MATCH(1,('Margin Guidence Table'!$A$1:$A$10000=GK15)*('Margin Guidence Table'!$H$1:$H$10000&lt;=ROUND($GC$3,0))*('Margin Guidence Table'!$G$1:$G$10000&gt;=ROUND($GC$3,0)),0),MATCH("PA_PCT_SALES",'Margin Guidence Table'!$A$1:$AC$1,0)),INDEX('Margin Guidence Table'!$A$1:$AC$10000,MATCH(1,('Margin Guidence Table'!$A$1:$A$10000=GK15)*('Margin Guidence Table'!$H$1:$H$10000&lt;=ROUND($GC$3,0))*('Margin Guidence Table'!$G$1:$G$10000&gt;=ROUND($GC$3,0)),0),MATCH("DEFAULT_PA_PCT_SALES",'Margin Guidence Table'!$A$1:$AC$1,0))),0)</f>
        <v>0</v>
      </c>
      <c r="GT15" s="1165">
        <f t="array" ref="GT15">IFERROR(IF($GM15="SEGMENT",INDEX('Margin Guidence Table'!$A$1:$AC$10000,MATCH(1,('Margin Guidence Table'!$A$1:$A$10000=GK15)*('Margin Guidence Table'!$H$1:$H$10000&lt;=ROUND($GC$3,0))*('Margin Guidence Table'!$G$1:$G$10000&gt;=ROUND($GC$3,0)),0),MATCH("SELF_FUND_PCT_SALES",'Margin Guidence Table'!$A$1:$AC$1,0)),INDEX('Margin Guidence Table'!$A$1:$AC$10000,MATCH(1,('Margin Guidence Table'!$A$1:$A$10000=GK15)*('Margin Guidence Table'!$H$1:$H$10000&lt;=ROUND($GC$3,0))*('Margin Guidence Table'!$G$1:$G$10000&gt;=ROUND($GC$3,0)),0),MATCH("DEFAULT_SELF_FUND_PCT_SALES",'Margin Guidence Table'!$A$1:$AC$1,0))),0)</f>
        <v>0</v>
      </c>
      <c r="GU15" s="1165">
        <f t="array" ref="GU15">IFERROR(IF($GM15="SEGMENT",INDEX('Margin Guidence Table'!$A$1:$AC$10000,MATCH(1,('Margin Guidence Table'!$A$1:$A$10000=GK15)*('Margin Guidence Table'!$H$1:$H$10000&lt;=ROUND($GC$3,0))*('Margin Guidence Table'!$G$1:$G$10000&gt;=ROUND($GC$3,0)),0),MATCH("CIA_MEDIAN_MARGIN_GUIDENCE",'Margin Guidence Table'!$A$1:$AC$1,0)),INDEX('Margin Guidence Table'!$A$1:$AC$10000,MATCH(1,('Margin Guidence Table'!$A$1:$A$10000=GK15)*('Margin Guidence Table'!$H$1:$H$10000&lt;=ROUND($GC$3,0))*('Margin Guidence Table'!$G$1:$G$10000&gt;=ROUND($GC$3,0)),0),MATCH("DEFAULT_CIA_MEDIAN_MARGIN_GUIDENCE",'Margin Guidence Table'!$A$1:$AC$1,0))),0)</f>
        <v>0</v>
      </c>
      <c r="GV15" s="129"/>
      <c r="GW15" s="18">
        <f t="array" ref="GW15">IFERROR(IF($HI15="SEGMENT",INDEX('Margin Guidence Table'!$A$1:$AC$10000,MATCH(1,('Margin Guidence Table'!$A$1:$A$10000=$HG15)*('Margin Guidence Table'!$H$1:$H$10000&lt;=ROUND($GY$3,0))*('Margin Guidence Table'!$G$1:$G$10000&gt;=ROUND($GY$3,0)),0),MATCH("PCT_SALES",'Margin Guidence Table'!$A$1:$AC$1,0)),INDEX('Margin Guidence Table'!$A$1:$AC$10000,MATCH(1,('Margin Guidence Table'!$A$1:$A$10000=$HG15)*('Margin Guidence Table'!$H$1:$H$10000&lt;=ROUND($GY$3,0))*('Margin Guidence Table'!$G$1:$G$10000&gt;=ROUND($GY$3,0)),0),MATCH("DEFAULT_PCT_SALES",'Margin Guidence Table'!$A$1:$AC$1,0))),0)</f>
        <v>0</v>
      </c>
      <c r="GX15" s="102" t="s">
        <v>103</v>
      </c>
      <c r="GY15" s="94">
        <f>IFERROR(IF(AND($GY$2&lt;&gt;"Enter Spend&gt;&gt;&gt;",GZ2="EXISTING"),SUMIFS('Existing Customers'!$Q:$Q,'Existing Customers'!$A:$A,$GY$1,'Existing Customers'!$H:$H,$GX15)*$GY$4,$GY$3*$GW15),0)</f>
        <v>0</v>
      </c>
      <c r="GZ15" s="89">
        <f>IFERROR(IF(AND($GY$2&lt;&gt;"Enter Spend&gt;&gt;&gt;",GZ2="EXISTING"),SUMIFS('Existing Customers'!$N:$N,'Existing Customers'!$A:$A,$GY$1,'Existing Customers'!$H:$H,$GX15)*$GY$4,$GY15/$HJ15),0)</f>
        <v>0</v>
      </c>
      <c r="HA15" s="95">
        <f>IFERROR(IF(AND($GY$2&lt;&gt;"Enter Spend&gt;&gt;&gt;",GZ2="EXISTING"),SUMIFS('Existing Customers'!$O:$O,'Existing Customers'!$H:$H,$GX15,'Existing Customers'!$A:$A,$GY$1)*$GY$4,$GZ15*$GY$8),0)</f>
        <v>0</v>
      </c>
      <c r="HB15" s="95">
        <f>IFERROR(IF(AND($GY$2&lt;&gt;"Enter Spend&gt;&gt;&gt;",GZ2="EXISTING"),SUMIFS('Existing Customers'!$P:$P,'Existing Customers'!$A:$A,$GY$1,'Existing Customers'!$H:$H,$GX15)*$GY$4,$GY15/$HK15),0)</f>
        <v>0</v>
      </c>
      <c r="HC15" s="96">
        <f>IFERROR(IF(AND($GY$2&lt;&gt;"Enter Spend&gt;&gt;&gt;",GZ2="EXISTING"),SUMIFS('Existing Customers'!$V:$V,'Existing Customers'!$H:$H,$GX15,'Existing Customers'!$A:$A,$GY$1)*$GY$4,0),0)</f>
        <v>0</v>
      </c>
      <c r="HD15" s="96">
        <f>IFERROR(IF(AND($GY$2&lt;&gt;"Enter Spend&gt;&gt;&gt;",GZ2="EXISTING"),SUMIFS('Existing Customers'!$R:$R,'Existing Customers'!$H:$H,$GX15,'Existing Customers'!$A:$A,$GY$1)*$GY$4,0),0)</f>
        <v>0</v>
      </c>
      <c r="HE15" s="1161">
        <f>IFERROR(IF(AND($GY$2&lt;&gt;"Enter Spend&gt;&gt;&gt;",GZ2="EXISTING"),SUMIFS('Existing Customers'!$S:$S,'Existing Customers'!$H:$H,$GX15,'Existing Customers'!$A:$A,$GY$1),HO15*GY15),0)</f>
        <v>0</v>
      </c>
      <c r="HF15" s="1161">
        <f>IFERROR(IF(AND($GY$2&lt;&gt;"Enter Spend&gt;&gt;&gt;",GZ2="EXISTING"),SUMIFS('Existing Customers'!$U:$U,'Existing Customers'!$H:$H,$GX15,'Existing Customers'!$A:$A,$GY$1),HP15*GY15),0)</f>
        <v>0</v>
      </c>
      <c r="HG15" s="1164" t="e">
        <f t="shared" ref="HG15:HG34" si="38">_xlfn.CONCAT($GZ$1,"_",GX15)</f>
        <v>#N/A</v>
      </c>
      <c r="HH15" s="1164">
        <f t="array" ref="HH15">IFERROR(INDEX('Margin Guidence Table'!$A$1:$AD$30000,MATCH(1,('Margin Guidence Table'!$A$1:$A$10000=HG15)*('Margin Guidence Table'!$H$1:$H$10000&lt;=ROUND($GY$3,0))*('Margin Guidence Table'!$G$1:$G$10000&gt;=ROUND($GY$3,0)),0),MATCH("DATA_POINTS",'Margin Guidence Table'!$A$1:$AC$1,0)),0)</f>
        <v>0</v>
      </c>
      <c r="HI15" s="1161" t="str">
        <f t="shared" ref="HI15:HI34" si="39">IF(HH15&gt;15,"SEGMENT","DEFAULT")</f>
        <v>DEFAULT</v>
      </c>
      <c r="HJ15" s="1161">
        <f t="array" ref="HJ15">IFERROR(IF($HI15="SEGMENT",INDEX('Margin Guidence Table'!$A$1:$AC$10000,MATCH(1,('Margin Guidence Table'!$A$1:$A$10000=HG15)*('Margin Guidence Table'!$H$1:$H$10000&lt;=ROUND($GY$3,0))*('Margin Guidence Table'!$G$1:$G$10000&gt;=ROUND($GY$3,0)),0),MATCH("SALES_CASE",'Margin Guidence Table'!$A$1:$AC$1,0)),INDEX('Margin Guidence Table'!$A$1:$AC$10000,MATCH(1,('Margin Guidence Table'!$A$1:$A$10000=HG15)*('Margin Guidence Table'!$H$1:$H$10000&lt;=ROUND($GY$3,0))*('Margin Guidence Table'!$G$1:$G$10000&gt;=ROUND($GY$3,0)),0),MATCH("DEFAULT_SALES_CASE",'Margin Guidence Table'!$A$1:$AC$1,0))),0)</f>
        <v>0</v>
      </c>
      <c r="HK15" s="1161">
        <f t="array" ref="HK15">IFERROR(IF($HI15="SEGMENT",INDEX('Margin Guidence Table'!$A$1:$AC$10000,MATCH(1,('Margin Guidence Table'!$A$1:$A$10000=HG15)*('Margin Guidence Table'!$H$1:$H$10000&lt;=ROUND($GY$3,0))*('Margin Guidence Table'!$G$1:$G$10000&gt;=ROUND($GY$3,0)),0),MATCH("SALES_LBS",'Margin Guidence Table'!$A$1:$AC$1,0)),INDEX('Margin Guidence Table'!$A$1:$AC$10000,MATCH(1,('Margin Guidence Table'!$A$1:$A$10000=HG15)*('Margin Guidence Table'!$H$1:$H$10000&lt;=ROUND($GY$3,0))*('Margin Guidence Table'!$G$1:$G$10000&gt;=ROUND($GY$3,0)),0),MATCH("DEFAULT_SALES_LBS",'Margin Guidence Table'!$A$1:$AC$1,0))),0)</f>
        <v>0</v>
      </c>
      <c r="HL15" s="1165">
        <f t="array" ref="HL15">IFERROR(IF($HI15="SEGMENT",INDEX('Margin Guidence Table'!$A$1:$AC$10000,MATCH(1,('Margin Guidence Table'!$A$1:$A$10000=HG15)*('Margin Guidence Table'!$H$1:$H$10000&lt;=ROUND($GY$3,0))*('Margin Guidence Table'!$G$1:$G$10000&gt;=ROUND($GY$3,0)),0),MATCH("MDA_MIN_MARGIN_GUIDENCE",'Margin Guidence Table'!$A$1:$AC$1,0)),INDEX('Margin Guidence Table'!$A$1:$AC$10000,MATCH(1,('Margin Guidence Table'!$A$1:$A$10000=HG15)*('Margin Guidence Table'!$H$1:$H$10000&lt;=ROUND($GY$3,0))*('Margin Guidence Table'!$G$1:$G$10000&gt;=ROUND($GY$3,0)),0),MATCH("DEFAULT_MDA_MIN_MARGIN_GUIDENCE",'Margin Guidence Table'!$A$1:$AC$1,0))),0)</f>
        <v>0</v>
      </c>
      <c r="HM15" s="1165">
        <f t="array" ref="HM15">IFERROR(IF($HI15="SEGMENT",INDEX('Margin Guidence Table'!$A$1:$AC$10000,MATCH(1,('Margin Guidence Table'!$A$1:$A$10000=HG15)*('Margin Guidence Table'!$H$1:$H$10000&lt;=ROUND($GY$3,0))*('Margin Guidence Table'!$G$1:$G$10000&gt;=ROUND($GY$3,0)),0),MATCH("MDA_MEDIAN_MARGIN_GUIDENCE",'Margin Guidence Table'!$A$1:$AC$1,0)),INDEX('Margin Guidence Table'!$A$1:$AC$10000,MATCH(1,('Margin Guidence Table'!$A$1:$A$10000=HG15)*('Margin Guidence Table'!$H$1:$H$10000&lt;=ROUND($GY$3,0))*('Margin Guidence Table'!$G$1:$G$10000&gt;=ROUND($GY$3,0)),0),MATCH("DEFAULT_MDA_MEDIAN_MARGIN_GUIDENCE",'Margin Guidence Table'!$A$1:$AC$1,0))),0)</f>
        <v>0</v>
      </c>
      <c r="HN15" s="1165">
        <f t="array" ref="HN15">IFERROR(IF($HI15="SEGMENT",INDEX('Margin Guidence Table'!$A$1:$AC$10000,MATCH(1,('Margin Guidence Table'!$A$1:$A$10000=HG15)*('Margin Guidence Table'!$H$1:$H$10000&lt;=ROUND($GY$3,0))*('Margin Guidence Table'!$G$1:$G$10000&gt;=ROUND($GY$3,0)),0),MATCH("MDA_MAX_MARGIN_GUIDENCE",'Margin Guidence Table'!$A$1:$AC$1,0)),INDEX('Margin Guidence Table'!$A$1:$AC$10000,MATCH(1,('Margin Guidence Table'!$A$1:$A$10000=HG15)*('Margin Guidence Table'!$H$1:$H$10000&lt;=ROUND($GY$3,0))*('Margin Guidence Table'!$G$1:$G$10000&gt;=ROUND($GY$3,0)),0),MATCH("DEFAULT_MDA_MAX_MARGIN_GUIDENCE",'Margin Guidence Table'!$A$1:$AC$1,0))),0)</f>
        <v>0</v>
      </c>
      <c r="HO15" s="1165">
        <f t="array" ref="HO15">IFERROR(IF($HI15="SEGMENT",INDEX('Margin Guidence Table'!$A$1:$AC$10000,MATCH(1,('Margin Guidence Table'!$A$1:$A$10000=HG15)*('Margin Guidence Table'!$H$1:$H$10000&lt;=ROUND($GY$3,0))*('Margin Guidence Table'!$G$1:$G$10000&gt;=ROUND($GY$3,0)),0),MATCH("PA_PCT_SALES",'Margin Guidence Table'!$A$1:$AC$1,0)),INDEX('Margin Guidence Table'!$A$1:$AC$10000,MATCH(1,('Margin Guidence Table'!$A$1:$A$10000=HG15)*('Margin Guidence Table'!$H$1:$H$10000&lt;=ROUND($GY$3,0))*('Margin Guidence Table'!$G$1:$G$10000&gt;=ROUND($GY$3,0)),0),MATCH("DEFAULT_PA_PCT_SALES",'Margin Guidence Table'!$A$1:$AC$1,0))),0)</f>
        <v>0</v>
      </c>
      <c r="HP15" s="1165">
        <f t="array" ref="HP15">IFERROR(IF($HI15="SEGMENT",INDEX('Margin Guidence Table'!$A$1:$AC$10000,MATCH(1,('Margin Guidence Table'!$A$1:$A$10000=HG15)*('Margin Guidence Table'!$H$1:$H$10000&lt;=ROUND($GY$3,0))*('Margin Guidence Table'!$G$1:$G$10000&gt;=ROUND($GY$3,0)),0),MATCH("SELF_FUND_PCT_SALES",'Margin Guidence Table'!$A$1:$AC$1,0)),INDEX('Margin Guidence Table'!$A$1:$AC$10000,MATCH(1,('Margin Guidence Table'!$A$1:$A$10000=HG15)*('Margin Guidence Table'!$H$1:$H$10000&lt;=ROUND($GY$3,0))*('Margin Guidence Table'!$G$1:$G$10000&gt;=ROUND($GY$3,0)),0),MATCH("DEFAULT_SELF_FUND_PCT_SALES",'Margin Guidence Table'!$A$1:$AC$1,0))),0)</f>
        <v>0</v>
      </c>
      <c r="HQ15" s="1165">
        <f t="array" ref="HQ15">IFERROR(IF($HI15="SEGMENT",INDEX('Margin Guidence Table'!$A$1:$AC$10000,MATCH(1,('Margin Guidence Table'!$A$1:$A$10000=HG15)*('Margin Guidence Table'!$H$1:$H$10000&lt;=ROUND($GY$3,0))*('Margin Guidence Table'!$G$1:$G$10000&gt;=ROUND($GY$3,0)),0),MATCH("CIA_MEDIAN_MARGIN_GUIDENCE",'Margin Guidence Table'!$A$1:$AC$1,0)),INDEX('Margin Guidence Table'!$A$1:$AC$10000,MATCH(1,('Margin Guidence Table'!$A$1:$A$10000=HG15)*('Margin Guidence Table'!$H$1:$H$10000&lt;=ROUND($GY$3,0))*('Margin Guidence Table'!$G$1:$G$10000&gt;=ROUND($GY$3,0)),0),MATCH("DEFAULT_CIA_MEDIAN_MARGIN_GUIDENCE",'Margin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Spend&gt;&gt;&gt;",HV2="EXISTING"),SUMIFS('Existing Customers'!$Q:$Q,'Existing Customers'!$A:$A,$HU$1,'Existing Customers'!$H:$H,$HT15)*$HU$4,$HU$3*$HS15),0)</f>
        <v>0</v>
      </c>
      <c r="HV15" s="89">
        <f>IFERROR(IF(AND($HU$2&lt;&gt;"Enter Spend&gt;&gt;&gt;",HV2="EXISTING"),SUMIFS('Existing Customers'!$N:$N,'Existing Customers'!$A:$A,$HU$1,'Existing Customers'!$H:$H,$HT15)*$HU$4,$HU15/$IF15),0)</f>
        <v>0</v>
      </c>
      <c r="HW15" s="95">
        <f>IFERROR(IF(AND($HU$2&lt;&gt;"Enter Spend&gt;&gt;&gt;",HV2="EXISTING"),SUMIFS('Existing Customers'!$O:$O,'Existing Customers'!$H:$H,$HT15,'Existing Customers'!$A:$A,$HU$1)*$HU$4,$HV15*$HU$8),0)</f>
        <v>0</v>
      </c>
      <c r="HX15" s="95">
        <f>IFERROR(IF(AND($HU$2&lt;&gt;"Enter Spend&gt;&gt;&gt;",HV2="EXISTING"),SUMIFS('Existing Customers'!$P:$P,'Existing Customers'!$A:$A,$HU$1,'Existing Customers'!$H:$H,$HT15)*$HU$4,$HU15/$IG15),0)</f>
        <v>0</v>
      </c>
      <c r="HY15" s="402">
        <f>IFERROR(IF(AND($HU$2&lt;&gt;"Enter Spend&gt;&gt;&gt;",HV2="EXISTING"),SUMIFS('Existing Customers'!$V:$V,'Existing Customers'!$H:$H,$HT15,'Existing Customers'!$A:$A,$HU$1)*$HU$4,0),0)</f>
        <v>0</v>
      </c>
      <c r="HZ15" s="96">
        <f>IFERROR(IF(AND($HU$2&lt;&gt;"Enter Spend&gt;&gt;&gt;",HV2="EXISTING"),SUMIFS('Existing Customers'!$R:$R,'Existing Customers'!$H:$H,$HT15,'Existing Customers'!$A:$A,$HU$1)*$HU$4,0),0)</f>
        <v>0</v>
      </c>
      <c r="IA15" s="1161">
        <f>IFERROR(IF(AND($HU$2&lt;&gt;"Enter Spend&gt;&gt;&gt;",HV2="EXISTING"),SUMIFS('Existing Customers'!$S:$S,'Existing Customers'!$H:$H,$HT15,'Existing Customers'!$A:$A,$HU$1),IK15*HU15),0)</f>
        <v>0</v>
      </c>
      <c r="IB15" s="1161">
        <f>IFERROR(IF(AND($HU$2&lt;&gt;"Enter Spend&gt;&gt;&gt;",HV2="EXISTING"),SUMIFS('Existing Customers'!$U:$U,'Existing Customers'!$H:$H,$HT15,'Existing Customers'!$A:$A,$HU$1),IL15*HU15),0)</f>
        <v>0</v>
      </c>
      <c r="IC15" s="1164" t="e">
        <f t="shared" ref="IC15:IC34" si="40">_xlfn.CONCAT($HV$1,"_",HT15)</f>
        <v>#N/A</v>
      </c>
      <c r="ID15" s="1164">
        <f t="array" ref="ID15">IFERROR(INDEX('Margin Guidence Table'!$A$1:$AD$30000,MATCH(1,('Margin Guidence Table'!$A$1:$A$10000=IC15)*('Margin Guidence Table'!$H$1:$H$10000&lt;=ROUND($HU$3,0))*('Margin Guidence Table'!$G$1:$G$10000&gt;=ROUND($HU$3,0)),0),MATCH("DATA_POINTS",'Margin Guidence Table'!$A$1:$AC$1,0)),0)</f>
        <v>0</v>
      </c>
      <c r="IE15" s="1161" t="str">
        <f t="shared" ref="IE15:IE34" si="41">IF(ID15&gt;15,"SEGMENT","DEFAULT")</f>
        <v>DEFAULT</v>
      </c>
      <c r="IF15" s="1161">
        <f t="array" ref="IF15">IFERROR(IF($IE15="SEGMENT",INDEX('Margin Guidence Table'!$A$1:$AC$10000,MATCH(1,('Margin Guidence Table'!$A$1:$A$10000=IC15)*('Margin Guidence Table'!$H$1:$H$10000&lt;=ROUND($HU$3,0))*('Margin Guidence Table'!$G$1:$G$10000&gt;=ROUND($HU$3,0)),0),MATCH("SALES_CASE",'Margin Guidence Table'!$A$1:$AC$1,0)),INDEX('Margin Guidence Table'!$A$1:$AC$10000,MATCH(1,('Margin Guidence Table'!$A$1:$A$10000=IC15)*('Margin Guidence Table'!$H$1:$H$10000&lt;=ROUND($HU$3,0))*('Margin Guidence Table'!$G$1:$G$10000&gt;=ROUND($HU$3,0)),0),MATCH("DEFAULT_SALES_CASE",'Margin Guidence Table'!$A$1:$AC$1,0))),0)</f>
        <v>0</v>
      </c>
      <c r="IG15" s="1161">
        <f t="array" ref="IG15">IFERROR(IF($IE15="SEGMENT",INDEX('Margin Guidence Table'!$A$1:$AC$10000,MATCH(1,('Margin Guidence Table'!$A$1:$A$10000=IC15)*('Margin Guidence Table'!$H$1:$H$10000&lt;=ROUND($HU$3,0))*('Margin Guidence Table'!$G$1:$G$10000&gt;=ROUND($HU$3,0)),0),MATCH("SALES_LBS",'Margin Guidence Table'!$A$1:$AC$1,0)),INDEX('Margin Guidence Table'!$A$1:$AC$10000,MATCH(1,('Margin Guidence Table'!$A$1:$A$10000=IC15)*('Margin Guidence Table'!$H$1:$H$10000&lt;=ROUND($HU$3,0))*('Margin Guidence Table'!$G$1:$G$10000&gt;=ROUND($HU$3,0)),0),MATCH("DEFAULT_SALES_LBS",'Margin Guidence Table'!$A$1:$AC$1,0))),0)</f>
        <v>0</v>
      </c>
      <c r="IH15" s="1165">
        <f t="array" ref="IH15">IFERROR(IF($IE15="SEGMENT",INDEX('Margin Guidence Table'!$A$1:$AC$10000,MATCH(1,('Margin Guidence Table'!$A$1:$A$10000=IC15)*('Margin Guidence Table'!$H$1:$H$10000&lt;=ROUND($HU$3,0))*('Margin Guidence Table'!$G$1:$G$10000&gt;=ROUND($HU$3,0)),0),MATCH("MDA_MIN_MARGIN_GUIDENCE",'Margin Guidence Table'!$A$1:$AC$1,0)),INDEX('Margin Guidence Table'!$A$1:$AC$10000,MATCH(1,('Margin Guidence Table'!$A$1:$A$10000=IC15)*('Margin Guidence Table'!$H$1:$H$10000&lt;=ROUND($HU$3,0))*('Margin Guidence Table'!$G$1:$G$10000&gt;=ROUND($HU$3,0)),0),MATCH("DEFAULT_MDA_MIN_MARGIN_GUIDENCE",'Margin Guidence Table'!$A$1:$AC$1,0))),0)</f>
        <v>0</v>
      </c>
      <c r="II15" s="1165">
        <f t="array" ref="II15">IFERROR(IF($IE15="SEGMENT",INDEX('Margin Guidence Table'!$A$1:$AC$10000,MATCH(1,('Margin Guidence Table'!$A$1:$A$10000=IC15)*('Margin Guidence Table'!$H$1:$H$10000&lt;=ROUND($HU$3,0))*('Margin Guidence Table'!$G$1:$G$10000&gt;=ROUND($HU$3,0)),0),MATCH("MDA_MEDIAN_MARGIN_GUIDENCE",'Margin Guidence Table'!$A$1:$AC$1,0)),INDEX('Margin Guidence Table'!$A$1:$AC$10000,MATCH(1,('Margin Guidence Table'!$A$1:$A$10000=IC15)*('Margin Guidence Table'!$H$1:$H$10000&lt;=ROUND($HU$3,0))*('Margin Guidence Table'!$G$1:$G$10000&gt;=ROUND($HU$3,0)),0),MATCH("DEFAULT_MDA_MEDIAN_MARGIN_GUIDENCE",'Margin Guidence Table'!$A$1:$AC$1,0))),0)</f>
        <v>0</v>
      </c>
      <c r="IJ15" s="1165">
        <f t="array" ref="IJ15">IFERROR(IF($IE15="SEGMENT",INDEX('Margin Guidence Table'!$A$1:$AC$10000,MATCH(1,('Margin Guidence Table'!$A$1:$A$10000=IC15)*('Margin Guidence Table'!$H$1:$H$10000&lt;=ROUND($HU$3,0))*('Margin Guidence Table'!$G$1:$G$10000&gt;=ROUND($HU$3,0)),0),MATCH("MDA_MAX_MARGIN_GUIDENCE",'Margin Guidence Table'!$A$1:$AC$1,0)),INDEX('Margin Guidence Table'!$A$1:$AC$10000,MATCH(1,('Margin Guidence Table'!$A$1:$A$10000=IC15)*('Margin Guidence Table'!$H$1:$H$10000&lt;=ROUND($HU$3,0))*('Margin Guidence Table'!$G$1:$G$10000&gt;=ROUND($HU$3,0)),0),MATCH("DEFAULT_MDA_MAX_MARGIN_GUIDENCE",'Margin Guidence Table'!$A$1:$AC$1,0))),0)</f>
        <v>0</v>
      </c>
      <c r="IK15" s="1165">
        <f t="array" ref="IK15">IFERROR(IF($IE15="SEGMENT",INDEX('Margin Guidence Table'!$A$1:$AC$10000,MATCH(1,('Margin Guidence Table'!$A$1:$A$10000=IC15)*('Margin Guidence Table'!$H$1:$H$10000&lt;=ROUND($HU$3,0))*('Margin Guidence Table'!$G$1:$G$10000&gt;=ROUND($HU$3,0)),0),MATCH("PA_PCT_SALES",'Margin Guidence Table'!$A$1:$AC$1,0)),INDEX('Margin Guidence Table'!$A$1:$AC$10000,MATCH(1,('Margin Guidence Table'!$A$1:$A$10000=IC15)*('Margin Guidence Table'!$H$1:$H$10000&lt;=ROUND($HU$3,0))*('Margin Guidence Table'!$G$1:$G$10000&gt;=ROUND($HU$3,0)),0),MATCH("DEFAULT_PA_PCT_SALES",'Margin Guidence Table'!$A$1:$AC$1,0))),0)</f>
        <v>0</v>
      </c>
      <c r="IL15" s="1165">
        <f t="array" ref="IL15">IFERROR(IF($IE15="SEGMENT",INDEX('Margin Guidence Table'!$A$1:$AC$10000,MATCH(1,('Margin Guidence Table'!$A$1:$A$10000=IC15)*('Margin Guidence Table'!$H$1:$H$10000&lt;=ROUND($HU$3,0))*('Margin Guidence Table'!$G$1:$G$10000&gt;=ROUND($HU$3,0)),0),MATCH("SELF_FUND_PCT_SALES",'Margin Guidence Table'!$A$1:$AC$1,0)),INDEX('Margin Guidence Table'!$A$1:$AC$10000,MATCH(1,('Margin Guidence Table'!$A$1:$A$10000=IC15)*('Margin Guidence Table'!$H$1:$H$10000&lt;=ROUND($HU$3,0))*('Margin Guidence Table'!$G$1:$G$10000&gt;=ROUND($HU$3,0)),0),MATCH("DEFAULT_SELF_FUND_PCT_SALES",'Margin Guidence Table'!$A$1:$AC$1,0))),0)</f>
        <v>0</v>
      </c>
      <c r="IM15" s="1165">
        <f t="array" ref="IM15">IFERROR(IF($IE15="SEGMENT",INDEX('Margin Guidence Table'!$A$1:$AC$10000,MATCH(1,('Margin Guidence Table'!$A$1:$A$10000=IC15)*('Margin Guidence Table'!$H$1:$H$10000&lt;=ROUND($HU$3,0))*('Margin Guidence Table'!$G$1:$G$10000&gt;=ROUND($HU$3,0)),0),MATCH("CIA_MEDIAN_MARGIN_GUIDENCE",'Margin Guidence Table'!$A$1:$AC$1,0)),INDEX('Margin Guidence Table'!$A$1:$AC$10000,MATCH(1,('Margin Guidence Table'!$A$1:$A$10000=IC15)*('Margin Guidence Table'!$H$1:$H$10000&lt;=ROUND($HU$3,0))*('Margin Guidence Table'!$G$1:$G$10000&gt;=ROUND($HU$3,0)),0),MATCH("DEFAULT_CIA_MEDIAN_MARGIN_GUIDENCE",'Margin Guidence Table'!$A$1:$AC$1,0))),0)</f>
        <v>0</v>
      </c>
      <c r="IN15" s="129"/>
      <c r="IO15" s="18">
        <f t="array" ref="IO15">IFERROR(IF($JA15="SEGMENT",INDEX('Margin Guidence Table'!$A$1:$AC$10000,MATCH(1,('Margin Guidence Table'!$A$1:$A$10000=$IY15)*('Margin Guidence Table'!$H$1:$H$10000&lt;=ROUND($IQ$3,0))*('Margin Guidence Table'!$G$1:$G$10000&gt;=ROUND($IQ$3,0)),0),MATCH("PCT_SALES",'Margin Guidence Table'!$A$1:$AC$1,0)),INDEX('Margin Guidence Table'!$A$1:$AC$10000,MATCH(1,('Margin Guidence Table'!$A$1:$A$10000=$IY15)*('Margin Guidence Table'!$H$1:$H$10000&lt;=ROUND($IQ$3,0))*('Margin Guidence Table'!$G$1:$G$10000&gt;=ROUND($IQ$3,0)),0),MATCH("DEFAULT_PCT_SALES",'Margin Guidence Table'!$A$1:$AC$1,0))),0)</f>
        <v>0</v>
      </c>
      <c r="IP15" s="102" t="s">
        <v>103</v>
      </c>
      <c r="IQ15" s="94">
        <f>IFERROR(IF(AND($IQ$2&lt;&gt;"Enter Spend&gt;&gt;&gt;",IR2="EXISTING"),SUMIFS('Existing Customers'!$Q:$Q,'Existing Customers'!$A:$A,$IQ$1,'Existing Customers'!$H:$H,$IP15)*$IQ$4,$IQ$3*$IO15),0)</f>
        <v>0</v>
      </c>
      <c r="IR15" s="89">
        <f>IFERROR(IF(AND($IQ$2&lt;&gt;"Enter Spend&gt;&gt;&gt;",IR2="EXISTING"),SUMIFS('Existing Customers'!$N:$N,'Existing Customers'!$A:$A,$IQ$1,'Existing Customers'!$H:$H,$IP15)*$IQ$4,$IQ15/$JB15),0)</f>
        <v>0</v>
      </c>
      <c r="IS15" s="95">
        <f>IFERROR(IF(AND($IQ$2&lt;&gt;"Enter Spend&gt;&gt;&gt;",IR2="EXISTING"),SUMIFS('Existing Customers'!$O:$O,'Existing Customers'!$H:$H,$IP15,'Existing Customers'!$A:$A,$IQ$1)*$IQ$4,$IR15*$IQ$8),0)</f>
        <v>0</v>
      </c>
      <c r="IT15" s="95">
        <f>IFERROR(IF(AND($IQ$2&lt;&gt;"Enter Spend&gt;&gt;&gt;",IR2="EXISTING"),SUMIFS('Existing Customers'!$P:$P,'Existing Customers'!$A:$A,$IQ$1,'Existing Customers'!$H:$H,$IP15)*$IQ$4,$IQ15/$JC15),0)</f>
        <v>0</v>
      </c>
      <c r="IU15" s="402">
        <f>IFERROR(IF(AND($IQ$2&lt;&gt;"Enter Spend&gt;&gt;&gt;",IR2="EXISTING"),SUMIFS('Existing Customers'!$V:$V,'Existing Customers'!$H:$H,$IP15,'Existing Customers'!$A:$A,$IQ$1)*$IQ$4,0),0)</f>
        <v>0</v>
      </c>
      <c r="IV15" s="96">
        <f>IFERROR(IF(AND($IQ$2&lt;&gt;"Enter Spend&gt;&gt;&gt;",IR2="EXISTING"),SUMIFS('Existing Customers'!$R:$R,'Existing Customers'!$H:$H,$IP15,'Existing Customers'!$A:$A,$IQ$1)*$IQ$4,0),0)</f>
        <v>0</v>
      </c>
      <c r="IW15" s="1161">
        <f>IFERROR(IF(AND($IQ$2&lt;&gt;"Enter Spend&gt;&gt;&gt;",IR2="EXISTING"),SUMIFS('Existing Customers'!$S:$S,'Existing Customers'!$H:$H,$IP15,'Existing Customers'!$A:$A,$IQ$1),JG15*IQ15),0)</f>
        <v>0</v>
      </c>
      <c r="IX15" s="1161">
        <f>IFERROR(IF(AND($IQ$2&lt;&gt;"Enter Spend&gt;&gt;&gt;",IR2="EXISTING"),SUMIFS('Existing Customers'!$U:$U,'Existing Customers'!$H:$H,$IP15,'Existing Customers'!$A:$A,$IQ$1),JH15*IQ15),0)</f>
        <v>0</v>
      </c>
      <c r="IY15" s="1164" t="e">
        <f t="shared" ref="IY15:IY34" si="42">_xlfn.CONCAT($IR$1,"_",IP15)</f>
        <v>#N/A</v>
      </c>
      <c r="IZ15" s="1164">
        <f t="array" ref="IZ15">IFERROR(INDEX('Margin Guidence Table'!$A$1:$AD$30000,MATCH(1,('Margin Guidence Table'!$A$1:$A$10000=IY15)*('Margin Guidence Table'!$H$1:$H$10000&lt;=ROUND($IQ$3,0))*('Margin Guidence Table'!$G$1:$G$10000&gt;=ROUND($IQ$3,0)),0),MATCH("DATA_POINTS",'Margin Guidence Table'!$A$1:$AC$1,0)),0)</f>
        <v>0</v>
      </c>
      <c r="JA15" s="1161" t="str">
        <f t="shared" ref="JA15:JA34" si="43">IF(IZ15&gt;15,"SEGMENT","DEFAULT")</f>
        <v>DEFAULT</v>
      </c>
      <c r="JB15" s="1161">
        <f t="array" ref="JB15">IFERROR(IF($JA15="SEGMENT",INDEX('Margin Guidence Table'!$A$1:$AC$10000,MATCH(1,('Margin Guidence Table'!$A$1:$A$10000=IY15)*('Margin Guidence Table'!$H$1:$H$10000&lt;=ROUND($IQ$3,0))*('Margin Guidence Table'!$G$1:$G$10000&gt;=ROUND($IQ$3,0)),0),MATCH("SALES_CASE",'Margin Guidence Table'!$A$1:$AC$1,0)),INDEX('Margin Guidence Table'!$A$1:$AC$10000,MATCH(1,('Margin Guidence Table'!$A$1:$A$10000=IY15)*('Margin Guidence Table'!$H$1:$H$10000&lt;=ROUND($IQ$3,0))*('Margin Guidence Table'!$G$1:$G$10000&gt;=ROUND($IQ$3,0)),0),MATCH("DEFAULT_SALES_CASE",'Margin Guidence Table'!$A$1:$AC$1,0))),0)</f>
        <v>0</v>
      </c>
      <c r="JC15" s="1161">
        <f t="array" ref="JC15">IFERROR(IF($JA15="SEGMENT",INDEX('Margin Guidence Table'!$A$1:$AC$10000,MATCH(1,('Margin Guidence Table'!$A$1:$A$10000=IY15)*('Margin Guidence Table'!$H$1:$H$10000&lt;=ROUND($IQ$3,0))*('Margin Guidence Table'!$G$1:$G$10000&gt;=ROUND($IQ$3,0)),0),MATCH("SALES_LBS",'Margin Guidence Table'!$A$1:$AC$1,0)),INDEX('Margin Guidence Table'!$A$1:$AC$10000,MATCH(1,('Margin Guidence Table'!$A$1:$A$10000=IY15)*('Margin Guidence Table'!$H$1:$H$10000&lt;=ROUND($IQ$3,0))*('Margin Guidence Table'!$G$1:$G$10000&gt;=ROUND($IQ$3,0)),0),MATCH("DEFAULT_SALES_LBS",'Margin Guidence Table'!$A$1:$AC$1,0))),0)</f>
        <v>0</v>
      </c>
      <c r="JD15" s="1165">
        <f t="array" ref="JD15">IFERROR(IF($JA15="SEGMENT",INDEX('Margin Guidence Table'!$A$1:$AC$10000,MATCH(1,('Margin Guidence Table'!$A$1:$A$10000=IY15)*('Margin Guidence Table'!$H$1:$H$10000&lt;=ROUND($IQ$3,0))*('Margin Guidence Table'!$G$1:$G$10000&gt;=ROUND($IQ$3,0)),0),MATCH("MDA_MIN_MARGIN_GUIDENCE",'Margin Guidence Table'!$A$1:$AC$1,0)),INDEX('Margin Guidence Table'!$A$1:$AC$10000,MATCH(1,('Margin Guidence Table'!$A$1:$A$10000=IY15)*('Margin Guidence Table'!$H$1:$H$10000&lt;=ROUND($IQ$3,0))*('Margin Guidence Table'!$G$1:$G$10000&gt;=ROUND($IQ$3,0)),0),MATCH("DEFAULT_MDA_MIN_MARGIN_GUIDENCE",'Margin Guidence Table'!$A$1:$AC$1,0))),0)</f>
        <v>0</v>
      </c>
      <c r="JE15" s="1165">
        <f t="array" ref="JE15">IFERROR(IF($JA15="SEGMENT",INDEX('Margin Guidence Table'!$A$1:$AC$10000,MATCH(1,('Margin Guidence Table'!$A$1:$A$10000=IY15)*('Margin Guidence Table'!$H$1:$H$10000&lt;=ROUND($IQ$3,0))*('Margin Guidence Table'!$G$1:$G$10000&gt;=ROUND($IQ$3,0)),0),MATCH("MDA_MEDIAN_MARGIN_GUIDENCE",'Margin Guidence Table'!$A$1:$AC$1,0)),INDEX('Margin Guidence Table'!$A$1:$AC$10000,MATCH(1,('Margin Guidence Table'!$A$1:$A$10000=IY15)*('Margin Guidence Table'!$H$1:$H$10000&lt;=ROUND($IQ$3,0))*('Margin Guidence Table'!$G$1:$G$10000&gt;=ROUND($IQ$3,0)),0),MATCH("DEFAULT_MDA_MEDIAN_MARGIN_GUIDENCE",'Margin Guidence Table'!$A$1:$AC$1,0))),0)</f>
        <v>0</v>
      </c>
      <c r="JF15" s="1165">
        <f t="array" ref="JF15">IFERROR(IF($JA15="SEGMENT",INDEX('Margin Guidence Table'!$A$1:$AC$10000,MATCH(1,('Margin Guidence Table'!$A$1:$A$10000=IY15)*('Margin Guidence Table'!$H$1:$H$10000&lt;=ROUND($IQ$3,0))*('Margin Guidence Table'!$G$1:$G$10000&gt;=ROUND($IQ$3,0)),0),MATCH("MDA_MAX_MARGIN_GUIDENCE",'Margin Guidence Table'!$A$1:$AC$1,0)),INDEX('Margin Guidence Table'!$A$1:$AC$10000,MATCH(1,('Margin Guidence Table'!$A$1:$A$10000=IY15)*('Margin Guidence Table'!$H$1:$H$10000&lt;=ROUND($IQ$3,0))*('Margin Guidence Table'!$G$1:$G$10000&gt;=ROUND($IQ$3,0)),0),MATCH("DEFAULT_MDA_MAX_MARGIN_GUIDENCE",'Margin Guidence Table'!$A$1:$AC$1,0))),0)</f>
        <v>0</v>
      </c>
      <c r="JG15" s="1165">
        <f t="array" ref="JG15">IFERROR(IF($JA15="SEGMENT",INDEX('Margin Guidence Table'!$A$1:$AC$10000,MATCH(1,('Margin Guidence Table'!$A$1:$A$10000=IY15)*('Margin Guidence Table'!$H$1:$H$10000&lt;=ROUND($IQ$3,0))*('Margin Guidence Table'!$G$1:$G$10000&gt;=ROUND($IQ$3,0)),0),MATCH("PA_PCT_SALES",'Margin Guidence Table'!$A$1:$AC$1,0)),INDEX('Margin Guidence Table'!$A$1:$AC$10000,MATCH(1,('Margin Guidence Table'!$A$1:$A$10000=IY15)*('Margin Guidence Table'!$H$1:$H$10000&lt;=ROUND($IQ$3,0))*('Margin Guidence Table'!$G$1:$G$10000&gt;=ROUND($IQ$3,0)),0),MATCH("DEFAULT_PA_PCT_SALES",'Margin Guidence Table'!$A$1:$AC$1,0))),0)</f>
        <v>0</v>
      </c>
      <c r="JH15" s="1165">
        <f t="array" ref="JH15">IFERROR(IF($JA15="SEGMENT",INDEX('Margin Guidence Table'!$A$1:$AC$10000,MATCH(1,('Margin Guidence Table'!$A$1:$A$10000=IY15)*('Margin Guidence Table'!$H$1:$H$10000&lt;=ROUND($IQ$3,0))*('Margin Guidence Table'!$G$1:$G$10000&gt;=ROUND($IQ$3,0)),0),MATCH("SELF_FUND_PCT_SALES",'Margin Guidence Table'!$A$1:$AC$1,0)),INDEX('Margin Guidence Table'!$A$1:$AC$10000,MATCH(1,('Margin Guidence Table'!$A$1:$A$10000=IY15)*('Margin Guidence Table'!$H$1:$H$10000&lt;=ROUND($IQ$3,0))*('Margin Guidence Table'!$G$1:$G$10000&gt;=ROUND($IQ$3,0)),0),MATCH("DEFAULT_SELF_FUND_PCT_SALES",'Margin Guidence Table'!$A$1:$AC$1,0))),0)</f>
        <v>0</v>
      </c>
      <c r="JI15" s="1165">
        <f t="array" ref="JI15">IFERROR(IF($JA15="SEGMENT",INDEX('Margin Guidence Table'!$A$1:$AC$10000,MATCH(1,('Margin Guidence Table'!$A$1:$A$10000=IY15)*('Margin Guidence Table'!$H$1:$H$10000&lt;=ROUND($IQ$3,0))*('Margin Guidence Table'!$G$1:$G$10000&gt;=ROUND($IQ$3,0)),0),MATCH("CIA_MEDIAN_MARGIN_GUIDENCE",'Margin Guidence Table'!$A$1:$AC$1,0)),INDEX('Margin Guidence Table'!$A$1:$AC$10000,MATCH(1,('Margin Guidence Table'!$A$1:$A$10000=IY15)*('Margin Guidence Table'!$H$1:$H$10000&lt;=ROUND($IQ$3,0))*('Margin Guidence Table'!$G$1:$G$10000&gt;=ROUND($IQ$3,0)),0),MATCH("DEFAULT_CIA_MEDIAN_MARGIN_GUIDENCE",'Margin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1445</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1445</v>
      </c>
      <c r="T16" s="97">
        <f t="shared" si="18"/>
        <v>0</v>
      </c>
      <c r="U16" s="89">
        <f t="shared" si="3"/>
        <v>0</v>
      </c>
      <c r="V16" s="89">
        <f t="shared" si="4"/>
        <v>0</v>
      </c>
      <c r="W16" s="89">
        <f t="shared" si="5"/>
        <v>0</v>
      </c>
      <c r="X16" s="114">
        <f t="shared" si="6"/>
        <v>0</v>
      </c>
      <c r="Y16" s="117">
        <f t="shared" si="19"/>
        <v>0</v>
      </c>
      <c r="Z16" s="400"/>
      <c r="AA16" s="102" t="s">
        <v>1445</v>
      </c>
      <c r="AB16" s="484">
        <f t="shared" si="7"/>
        <v>0</v>
      </c>
      <c r="AC16" s="485">
        <f t="shared" si="7"/>
        <v>0</v>
      </c>
      <c r="AD16" s="485">
        <f t="shared" si="7"/>
        <v>0</v>
      </c>
      <c r="AE16" s="486">
        <f t="shared" si="20"/>
        <v>0</v>
      </c>
      <c r="AF16" s="487">
        <f t="shared" si="21"/>
        <v>0</v>
      </c>
      <c r="AG16" s="400"/>
      <c r="AH16" s="102" t="s">
        <v>1445</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44">IF($AR16="AVG",IFERROR((AC16+AJ16)/(AB16+AI16),AQ16),(AC16+AJ16)/(AB16+AI16))</f>
        <v>#DIV/0!</v>
      </c>
      <c r="AV16" s="400"/>
      <c r="AW16" s="400"/>
      <c r="AX16" s="108">
        <v>5</v>
      </c>
      <c r="AY16" s="18">
        <f t="array" ref="AY16">IFERROR(IF($BK16="SEGMENT",INDEX('Margin Guidence Table'!$A$1:$AC$10000,MATCH(1,('Margin Guidence Table'!$A$1:$A$10000=$BI16)*('Margin Guidence Table'!$H$1:$H$10000&lt;=ROUND($BA$3,0))*('Margin Guidence Table'!$G$1:$G$10000&gt;=ROUND($BA$3,0)),0),MATCH("PCT_SALES",'Margin Guidence Table'!$A$1:$AC$1,0)),INDEX('Margin Guidence Table'!$A$1:$AC$10000,MATCH(1,('Margin Guidence Table'!$A$1:$A$10000=$BI16)*('Margin Guidence Table'!$H$1:$H$10000&lt;=ROUND($BA$3,0))*('Margin Guidence Table'!$G$1:$G$10000&gt;=ROUND($BA$3,0)),0),MATCH("DEFAULT_PCT_SALES",'Margin Guidence Table'!$A$1:$AC$1,0))),0)</f>
        <v>0</v>
      </c>
      <c r="AZ16" s="102" t="s">
        <v>1445</v>
      </c>
      <c r="BA16" s="94">
        <f>IFERROR(IF(AND($BA$2&lt;&gt;"Enter Spend&gt;&gt;&gt;",BB2="EXISTING"),SUMIFS('Existing Customers'!$Q:$Q,'Existing Customers'!$A:$A,$BA$1,'Existing Customers'!$H:$H,$AZ16)*$BA$4,$BA$3*$AY16),0)</f>
        <v>0</v>
      </c>
      <c r="BB16" s="95">
        <f>IFERROR(IF(AND($BA$2&lt;&gt;"Enter Spend&gt;&gt;&gt;",BB2="EXISTING"),SUMIFS('Existing Customers'!$N:$N,'Existing Customers'!$A:$A,$BA$1,'Existing Customers'!$H:$H,$AZ16)*$BA$4,$BA16/$BL16),0)</f>
        <v>0</v>
      </c>
      <c r="BC16" s="95">
        <f>IFERROR(IF(AND($BA$2&lt;&gt;"Enter Spend&gt;&gt;&gt;",BB2="EXISTING"),SUMIFS('Existing Customers'!$O:$O,'Existing Customers'!$H:$H,$AZ16,'Existing Customers'!$A:$A,$BA$1)*$BA$4,$BB16*$BA$8),0)</f>
        <v>0</v>
      </c>
      <c r="BD16" s="95">
        <f>IFERROR(IF(AND($BA$2&lt;&gt;"Enter Spend&gt;&gt;&gt;",BB2="EXISTING"),SUMIFS('Existing Customers'!$P:$P,'Existing Customers'!$A:$A,$BA$1,'Existing Customers'!$H:$H,$AZ16)*$BA$4,$BA16/$BM16),0)</f>
        <v>0</v>
      </c>
      <c r="BE16" s="402">
        <f>IFERROR(IF(AND($BA$2&lt;&gt;"Enter Spend&gt;&gt;&gt;",BB2="EXISTING"),SUMIFS('Existing Customers'!$V:$V,'Existing Customers'!$H:$H,$AZ16,'Existing Customers'!$A:$A,$BA$1)*$BA$4,0),0)</f>
        <v>0</v>
      </c>
      <c r="BF16" s="96">
        <f>IFERROR(IF(AND($BA$2&lt;&gt;"Enter Spend&gt;&gt;&gt;",BB2="EXISTING"),SUMIFS('Existing Customers'!$R:$R,'Existing Customers'!$H:$H,$AZ16,'Existing Customers'!$A:$A,$BA$1)*$BA$4,0),0)</f>
        <v>0</v>
      </c>
      <c r="BG16" s="96">
        <f>IFERROR(IF(AND($BA$2&lt;&gt;"Enter Spend&gt;&gt;&gt;",BB2="EXISTING"),SUMIFS('Existing Customers'!$S:$S,'Existing Customers'!$H:$H,$AZ16,'Existing Customers'!$A:$A,$BA$1),BQ16*BA16),0)</f>
        <v>0</v>
      </c>
      <c r="BH16" s="96">
        <f>IFERROR(IF(AND($BA$2&lt;&gt;"Enter Spend&gt;&gt;&gt;",BB2="EXISTING"),SUMIFS('Existing Customers'!$U:$U,'Existing Customers'!$H:$H,$AZ16,'Existing Customers'!$A:$A,$BA$1),BR16*BA16),0)</f>
        <v>0</v>
      </c>
      <c r="BI16" s="1163" t="e">
        <f t="shared" si="24"/>
        <v>#N/A</v>
      </c>
      <c r="BJ16" s="1164">
        <f t="array" ref="BJ16">IFERROR(INDEX('Margin Guidence Table'!$A$1:$AD$30000,MATCH(1,('Margin Guidence Table'!$A$1:$A$10000=$BI16)*('Margin Guidence Table'!$H$1:$H$10000&lt;=ROUND($BA$3,0))*('Margin Guidence Table'!$G$1:$G$10000&gt;=ROUND($BA$3,0)),0),MATCH("DATA_POINTS",'Margin Guidence Table'!$A$1:$AC$1,0)),0)</f>
        <v>0</v>
      </c>
      <c r="BK16" s="1161" t="str">
        <f t="shared" si="25"/>
        <v>DEFAULT</v>
      </c>
      <c r="BL16" s="1161">
        <f t="array" ref="BL16">IFERROR(IF($BK16="SEGMENT",INDEX('Margin Guidence Table'!$A$1:$AC$10000,MATCH(1,('Margin Guidence Table'!$A$1:$A$10000=$BI16)*('Margin Guidence Table'!$H$1:$H$10000&lt;=ROUND($BA$3,0))*('Margin Guidence Table'!$G$1:$G$10000&gt;=ROUND($BA$3,0)),0),MATCH("SALES_CASE",'Margin Guidence Table'!$A$1:$AC$1,0)),INDEX('Margin Guidence Table'!$A$1:$AC$10000,MATCH(1,('Margin Guidence Table'!$A$1:$A$10000=$BI16)*('Margin Guidence Table'!$H$1:$H$10000&lt;=ROUND($BA$3,0))*('Margin Guidence Table'!$G$1:$G$10000&gt;=ROUND($BA$3,0)),0),MATCH("DEFAULT_SALES_CASE",'Margin Guidence Table'!$A$1:$AC$1,0))),0)</f>
        <v>0</v>
      </c>
      <c r="BM16" s="1161">
        <f t="array" ref="BM16">IFERROR(IF($BK16="SEGMENT",INDEX('Margin Guidence Table'!$A$1:$AC$10000,MATCH(1,('Margin Guidence Table'!$A$1:$A$10000=$BI16)*('Margin Guidence Table'!$H$1:$H$10000&lt;=ROUND($BA$3,0))*('Margin Guidence Table'!$G$1:$G$10000&gt;=ROUND($BA$3,0)),0),MATCH("SALES_LBS",'Margin Guidence Table'!$A$1:$AC$1,0)),INDEX('Margin Guidence Table'!$A$1:$AC$10000,MATCH(1,('Margin Guidence Table'!$A$1:$A$10000=$BI16)*('Margin Guidence Table'!$H$1:$H$10000&lt;=ROUND($BA$3,0))*('Margin Guidence Table'!$G$1:$G$10000&gt;=ROUND($BA$3,0)),0),MATCH("DEFAULT_SALES_LBS",'Margin Guidence Table'!$A$1:$AC$1,0))),0)</f>
        <v>0</v>
      </c>
      <c r="BN16" s="1165">
        <f t="array" ref="BN16">IFERROR(IF($BK16="SEGMENT",INDEX('Margin Guidence Table'!$A$1:$AC$10000,MATCH(1,('Margin Guidence Table'!$A$1:$A$10000=$BI16)*('Margin Guidence Table'!$H$1:$H$10000&lt;=ROUND($BA$3,0))*('Margin Guidence Table'!$G$1:$G$10000&gt;=ROUND($BA$3,0)),0),MATCH("MDA_MIN_MARGIN_GUIDENCE",'Margin Guidence Table'!$A$1:$AC$1,0)),INDEX('Margin Guidence Table'!$A$1:$AC$10000,MATCH(1,('Margin Guidence Table'!$A$1:$A$10000=$BI16)*('Margin Guidence Table'!$H$1:$H$10000&lt;=ROUND($BA$3,0))*('Margin Guidence Table'!$G$1:$G$10000&gt;=ROUND($BA$3,0)),0),MATCH("DEFAULT_MDA_MIN_MARGIN_GUIDENCE",'Margin Guidence Table'!$A$1:$AC$1,0))),0)</f>
        <v>0</v>
      </c>
      <c r="BO16" s="1165">
        <f t="array" ref="BO16">IFERROR(IF($BK16="SEGMENT",INDEX('Margin Guidence Table'!$A$1:$AC$10000,MATCH(1,('Margin Guidence Table'!$A$1:$A$10000=$BI16)*('Margin Guidence Table'!$H$1:$H$10000&lt;=ROUND($BA$3,0))*('Margin Guidence Table'!$G$1:$G$10000&gt;=ROUND($BA$3,0)),0),MATCH("MDA_MEDIAN_MARGIN_GUIDENCE",'Margin Guidence Table'!$A$1:$AC$1,0)),INDEX('Margin Guidence Table'!$A$1:$AC$10000,MATCH(1,('Margin Guidence Table'!$A$1:$A$10000=$BI16)*('Margin Guidence Table'!$H$1:$H$10000&lt;=ROUND($BA$3,0))*('Margin Guidence Table'!$G$1:$G$10000&gt;=ROUND($BA$3,0)),0),MATCH("DEFAULT_MDA_MEDIAN_MARGIN_GUIDENCE",'Margin Guidence Table'!$A$1:$AC$1,0))),0)</f>
        <v>0</v>
      </c>
      <c r="BP16" s="1165">
        <f t="array" ref="BP16">IFERROR(IF($BK16="SEGMENT",INDEX('Margin Guidence Table'!$A$1:$AC$10000,MATCH(1,('Margin Guidence Table'!$A$1:$A$10000=$BI16)*('Margin Guidence Table'!$H$1:$H$10000&lt;=ROUND($BA$3,0))*('Margin Guidence Table'!$G$1:$G$10000&gt;=ROUND($BA$3,0)),0),MATCH("MDA_MAX_MARGIN_GUIDENCE",'Margin Guidence Table'!$A$1:$AC$1,0)),INDEX('Margin Guidence Table'!$A$1:$AC$10000,MATCH(1,('Margin Guidence Table'!$A$1:$A$10000=$BI16)*('Margin Guidence Table'!$H$1:$H$10000&lt;=ROUND($BA$3,0))*('Margin Guidence Table'!$G$1:$G$10000&gt;=ROUND($BA$3,0)),0),MATCH("DEFAULT_MDA_MAX_MARGIN_GUIDENCE",'Margin Guidence Table'!$A$1:$AC$1,0))),0)</f>
        <v>0</v>
      </c>
      <c r="BQ16" s="1165">
        <f t="array" ref="BQ16">IFERROR(IF($BK16="SEGMENT",INDEX('Margin Guidence Table'!$A$1:$AC$10000,MATCH(1,('Margin Guidence Table'!$A$1:$A$10000=$BI16)*('Margin Guidence Table'!$H$1:$H$10000&lt;=ROUND($BA$3,0))*('Margin Guidence Table'!$G$1:$G$10000&gt;=ROUND($BA$3,0)),0),MATCH("PA_PCT_SALES",'Margin Guidence Table'!$A$1:$AC$1,0)),INDEX('Margin Guidence Table'!$A$1:$AC$10000,MATCH(1,('Margin Guidence Table'!$A$1:$A$10000=$BI16)*('Margin Guidence Table'!$H$1:$H$10000&lt;=ROUND($BA$3,0))*('Margin Guidence Table'!$G$1:$G$10000&gt;=ROUND($BA$3,0)),0),MATCH("DEFAULT_PA_PCT_SALES",'Margin Guidence Table'!$A$1:$AC$1,0))),0)</f>
        <v>0</v>
      </c>
      <c r="BR16" s="1165">
        <f t="array" ref="BR16">IFERROR(IF($BK16="SEGMENT",INDEX('Margin Guidence Table'!$A$1:$AC$10000,MATCH(1,('Margin Guidence Table'!$A$1:$A$10000=$BI16)*('Margin Guidence Table'!$H$1:$H$10000&lt;=ROUND($BA$3,0))*('Margin Guidence Table'!$G$1:$G$10000&gt;=ROUND($BA$3,0)),0),MATCH("SELF_FUND_PCT_SALES",'Margin Guidence Table'!$A$1:$AC$1,0)),INDEX('Margin Guidence Table'!$A$1:$AC$10000,MATCH(1,('Margin Guidence Table'!$A$1:$A$10000=$BI16)*('Margin Guidence Table'!$H$1:$H$10000&lt;=ROUND($BA$3,0))*('Margin Guidence Table'!$G$1:$G$10000&gt;=ROUND($BA$3,0)),0),MATCH("DEFAULT_SELF_FUND_PCT_SALES",'Margin Guidence Table'!$A$1:$AC$1,0))),0)</f>
        <v>0</v>
      </c>
      <c r="BS16" s="1165">
        <f t="array" ref="BS16">IFERROR(IF($BK16="SEGMENT",INDEX('Margin Guidence Table'!$A$1:$AC$10000,MATCH(1,('Margin Guidence Table'!$A$1:$A$10000=$BI16)*('Margin Guidence Table'!$H$1:$H$10000&lt;=ROUND($BA$3,0))*('Margin Guidence Table'!$G$1:$G$10000&gt;=ROUND($BA$3,0)),0),MATCH("CIA_MEDIAN_MARGIN_GUIDENCE",'Margin Guidence Table'!$A$1:$AC$1,0)),INDEX('Margin Guidence Table'!$A$1:$AC$10000,MATCH(1,('Margin Guidence Table'!$A$1:$A$10000=$BI16)*('Margin Guidence Table'!$H$1:$H$10000&lt;=ROUND($BA$3,0))*('Margin Guidence Table'!$G$1:$G$10000&gt;=ROUND($BA$3,0)),0),MATCH("DEFAULT_CIA_MEDIAN_MARGIN_GUIDENCE",'Margin Guidence Table'!$A$1:$AC$1,0))),0)</f>
        <v>0</v>
      </c>
      <c r="BT16" s="129"/>
      <c r="BU16" s="18">
        <f t="array" ref="BU16">IFERROR(IF($CG16="SEGMENT",INDEX('Margin Guidence Table'!$A$1:$AC$10000,MATCH(1,('Margin Guidence Table'!$A$1:$A$10000=$CE16)*('Margin Guidence Table'!$H$1:$H$10000&lt;=ROUND($BW$3,0))*('Margin Guidence Table'!$G$1:$G$10000&gt;=ROUND($BW$3,0)),0),MATCH("PCT_SALES",'Margin Guidence Table'!$A$1:$AC$1,0)),INDEX('Margin Guidence Table'!$A$1:$AC$10000,MATCH(1,('Margin Guidence Table'!$A$1:$A$10000=$CE16)*('Margin Guidence Table'!$H$1:$H$10000&lt;=ROUND($BW$3,0))*('Margin Guidence Table'!$G$1:$G$10000&gt;=ROUND($BW$3,0)),0),MATCH("DEFAULT_PCT_SALES",'Margin Guidence Table'!$A$1:$AC$1,0))),0)</f>
        <v>0</v>
      </c>
      <c r="BV16" s="102" t="s">
        <v>1445</v>
      </c>
      <c r="BW16" s="94">
        <f>IFERROR(IF(AND($BW$2&lt;&gt;"Enter Spend&gt;&gt;&gt;",BX2="EXISTING"),SUMIFS('Existing Customers'!$Q:$Q,'Existing Customers'!$A:$A,$BW$1,'Existing Customers'!$H:$H,$BV16)*$BW$4,$BW$3*$BU16),0)</f>
        <v>0</v>
      </c>
      <c r="BX16" s="89">
        <f>IFERROR(IF(AND($BW$2&lt;&gt;"Enter Spend&gt;&gt;&gt;",BX2="EXISTING"),SUMIFS('Existing Customers'!$N:$N,'Existing Customers'!$A:$A,$BW$1,'Existing Customers'!$H:$H,$BV16)*$BW$4,$BW16/$CH16),0)</f>
        <v>0</v>
      </c>
      <c r="BY16" s="95">
        <f>IFERROR(IF(AND($BW$2&lt;&gt;"Enter Spend&gt;&gt;&gt;",BX2="EXISTING"),SUMIFS('Existing Customers'!$O:$O,'Existing Customers'!$H:$H,$BV16,'Existing Customers'!$A:$A,$BW$1)*$BW$4,$BX16*$BW$8),0)</f>
        <v>0</v>
      </c>
      <c r="BZ16" s="95">
        <f>IFERROR(IF(AND($BW$2&lt;&gt;"Enter Spend&gt;&gt;&gt;",BX2="EXISTING"),SUMIFS('Existing Customers'!$P:$P,'Existing Customers'!$A:$A,$BW$1,'Existing Customers'!$H:$H,$BV16)*$BW$4,$BW16/$CI16),0)</f>
        <v>0</v>
      </c>
      <c r="CA16" s="96">
        <f>IFERROR(IF(AND($BW$2&lt;&gt;"Enter Spend&gt;&gt;&gt;",BX2="EXISTING"),SUMIFS('Existing Customers'!$V:$V,'Existing Customers'!$H:$H,$BV16,'Existing Customers'!$A:$A,$BW$1)*$BW$4,0),0)</f>
        <v>0</v>
      </c>
      <c r="CB16" s="96">
        <f>IFERROR(IF(AND($BW$2&lt;&gt;"Enter Spend&gt;&gt;&gt;",BX2="EXISTING"),SUMIFS('Existing Customers'!$R:$R,'Existing Customers'!$H:$H,$BV16,'Existing Customers'!$A:$A,$BW$1)*$BW$4,0),0)</f>
        <v>0</v>
      </c>
      <c r="CC16" s="1161">
        <f>IFERROR(IF(AND($BW$2&lt;&gt;"Enter Spend&gt;&gt;&gt;",BX2="EXISTING"),SUMIFS('Existing Customers'!$S:$S,'Existing Customers'!$H:$H,$BV16,'Existing Customers'!$A:$A,$BW$1),CM16*BW16),0)</f>
        <v>0</v>
      </c>
      <c r="CD16" s="1161">
        <f>IFERROR(IF(AND($BW$2&lt;&gt;"Enter Spend&gt;&gt;&gt;",BX2="EXISTING"),SUMIFS('Existing Customers'!$U:$U,'Existing Customers'!$H:$H,$BV16,'Existing Customers'!$A:$A,$BW$1),CN16*BW16),0)</f>
        <v>0</v>
      </c>
      <c r="CE16" s="1164" t="e">
        <f t="shared" si="26"/>
        <v>#N/A</v>
      </c>
      <c r="CF16" s="1164">
        <f t="array" ref="CF16">IFERROR(INDEX('Margin Guidence Table'!$A$1:$AD$30000,MATCH(1,('Margin Guidence Table'!$A$1:$A$10000=$CE16)*('Margin Guidence Table'!$H$1:$H$10000&lt;=ROUND($BW$3,0))*('Margin Guidence Table'!$G$1:$G$10000&gt;=ROUND($BW$3,0)),0),MATCH("DATA_POINTS",'Margin Guidence Table'!$A$1:$AC$1,0)),0)</f>
        <v>0</v>
      </c>
      <c r="CG16" s="1161" t="str">
        <f t="shared" si="27"/>
        <v>DEFAULT</v>
      </c>
      <c r="CH16" s="1161">
        <f t="array" ref="CH16">IFERROR(IF($CG16="SEGMENT",INDEX('Margin Guidence Table'!$A$1:$AC$10000,MATCH(1,('Margin Guidence Table'!$A$1:$A$10000=$CE16)*('Margin Guidence Table'!$H$1:$H$10000&lt;=ROUND($BW$3,0))*('Margin Guidence Table'!$G$1:$G$10000&gt;=ROUND($BW$3,0)),0),MATCH("SALES_CASE",'Margin Guidence Table'!$A$1:$AC$1,0)),INDEX('Margin Guidence Table'!$A$1:$AC$10000,MATCH(1,('Margin Guidence Table'!$A$1:$A$10000=$CE16)*('Margin Guidence Table'!$H$1:$H$10000&lt;=ROUND($BW$3,0))*('Margin Guidence Table'!$G$1:$G$10000&gt;=ROUND($BW$3,0)),0),MATCH("DEFAULT_SALES_CASE",'Margin Guidence Table'!$A$1:$AC$1,0))),0)</f>
        <v>0</v>
      </c>
      <c r="CI16" s="1161">
        <f t="array" ref="CI16">IFERROR(IF($CG16="SEGMENT",INDEX('Margin Guidence Table'!$A$1:$AC$10000,MATCH(1,('Margin Guidence Table'!$A$1:$A$10000=$CE16)*('Margin Guidence Table'!$H$1:$H$10000&lt;=ROUND($BW$3,0))*('Margin Guidence Table'!$G$1:$G$10000&gt;=ROUND($BW$3,0)),0),MATCH("SALES_LBS",'Margin Guidence Table'!$A$1:$AC$1,0)),INDEX('Margin Guidence Table'!$A$1:$AC$10000,MATCH(1,('Margin Guidence Table'!$A$1:$A$10000=$CE16)*('Margin Guidence Table'!$H$1:$H$10000&lt;=ROUND($BW$3,0))*('Margin Guidence Table'!$G$1:$G$10000&gt;=ROUND($BW$3,0)),0),MATCH("DEFAULT_SALES_LBS",'Margin Guidence Table'!$A$1:$AC$1,0))),0)</f>
        <v>0</v>
      </c>
      <c r="CJ16" s="1165">
        <f t="array" ref="CJ16">IFERROR(IF($CG16="SEGMENT",INDEX('Margin Guidence Table'!$A$1:$AC$10000,MATCH(1,('Margin Guidence Table'!$A$1:$A$10000=$CE16)*('Margin Guidence Table'!$H$1:$H$10000&lt;=ROUND($BW$3,0))*('Margin Guidence Table'!$G$1:$G$10000&gt;=ROUND($BW$3,0)),0),MATCH("MDA_MIN_MARGIN_GUIDENCE",'Margin Guidence Table'!$A$1:$AC$1,0)),INDEX('Margin Guidence Table'!$A$1:$AC$10000,MATCH(1,('Margin Guidence Table'!$A$1:$A$10000=$CE16)*('Margin Guidence Table'!$H$1:$H$10000&lt;=ROUND($BW$3,0))*('Margin Guidence Table'!$G$1:$G$10000&gt;=ROUND($BW$3,0)),0),MATCH("DEFAULT_MDA_MIN_MARGIN_GUIDENCE",'Margin Guidence Table'!$A$1:$AC$1,0))),0)</f>
        <v>0</v>
      </c>
      <c r="CK16" s="1165">
        <f t="array" ref="CK16">IFERROR(IF($CG16="SEGMENT",INDEX('Margin Guidence Table'!$A$1:$AC$10000,MATCH(1,('Margin Guidence Table'!$A$1:$A$10000=$CE16)*('Margin Guidence Table'!$H$1:$H$10000&lt;=ROUND($BW$3,0))*('Margin Guidence Table'!$G$1:$G$10000&gt;=ROUND($BW$3,0)),0),MATCH("MDA_MEDIAN_MARGIN_GUIDENCE",'Margin Guidence Table'!$A$1:$AC$1,0)),INDEX('Margin Guidence Table'!$A$1:$AC$10000,MATCH(1,('Margin Guidence Table'!$A$1:$A$10000=$CE16)*('Margin Guidence Table'!$H$1:$H$10000&lt;=ROUND($BW$3,0))*('Margin Guidence Table'!$G$1:$G$10000&gt;=ROUND($BW$3,0)),0),MATCH("DEFAULT_MDA_MEDIAN_MARGIN_GUIDENCE",'Margin Guidence Table'!$A$1:$AC$1,0))),0)</f>
        <v>0</v>
      </c>
      <c r="CL16" s="1165">
        <f t="array" ref="CL16">IFERROR(IF($CG16="SEGMENT",INDEX('Margin Guidence Table'!$A$1:$AC$10000,MATCH(1,('Margin Guidence Table'!$A$1:$A$10000=$CE16)*('Margin Guidence Table'!$H$1:$H$10000&lt;=ROUND($BW$3,0))*('Margin Guidence Table'!$G$1:$G$10000&gt;=ROUND($BW$3,0)),0),MATCH("MDA_MAX_MARGIN_GUIDENCE",'Margin Guidence Table'!$A$1:$AC$1,0)),INDEX('Margin Guidence Table'!$A$1:$AC$10000,MATCH(1,('Margin Guidence Table'!$A$1:$A$10000=$CE16)*('Margin Guidence Table'!$H$1:$H$10000&lt;=ROUND($BW$3,0))*('Margin Guidence Table'!$G$1:$G$10000&gt;=ROUND($BW$3,0)),0),MATCH("DEFAULT_MDA_MAX_MARGIN_GUIDENCE",'Margin Guidence Table'!$A$1:$AC$1,0))),0)</f>
        <v>0</v>
      </c>
      <c r="CM16" s="1165">
        <f t="array" ref="CM16">IFERROR(IF($CG16="SEGMENT",INDEX('Margin Guidence Table'!$A$1:$AC$10000,MATCH(1,('Margin Guidence Table'!$A$1:$A$10000=$CE16)*('Margin Guidence Table'!$H$1:$H$10000&lt;=ROUND($BW$3,0))*('Margin Guidence Table'!$G$1:$G$10000&gt;=ROUND($BW$3,0)),0),MATCH("PA_PCT_SALES",'Margin Guidence Table'!$A$1:$AC$1,0)),INDEX('Margin Guidence Table'!$A$1:$AC$10000,MATCH(1,('Margin Guidence Table'!$A$1:$A$10000=$CE16)*('Margin Guidence Table'!$H$1:$H$10000&lt;=ROUND($BW$3,0))*('Margin Guidence Table'!$G$1:$G$10000&gt;=ROUND($BW$3,0)),0),MATCH("DEFAULT_PA_PCT_SALES",'Margin Guidence Table'!$A$1:$AC$1,0))),0)</f>
        <v>0</v>
      </c>
      <c r="CN16" s="1165">
        <f t="array" ref="CN16">IFERROR(IF($CG16="SEGMENT",INDEX('Margin Guidence Table'!$A$1:$AC$10000,MATCH(1,('Margin Guidence Table'!$A$1:$A$10000=$CE16)*('Margin Guidence Table'!$H$1:$H$10000&lt;=ROUND($BW$3,0))*('Margin Guidence Table'!$G$1:$G$10000&gt;=ROUND($BW$3,0)),0),MATCH("SELF_FUND_PCT_SALES",'Margin Guidence Table'!$A$1:$AC$1,0)),INDEX('Margin Guidence Table'!$A$1:$AC$10000,MATCH(1,('Margin Guidence Table'!$A$1:$A$10000=$CE16)*('Margin Guidence Table'!$H$1:$H$10000&lt;=ROUND($BW$3,0))*('Margin Guidence Table'!$G$1:$G$10000&gt;=ROUND($BW$3,0)),0),MATCH("DEFAULT_SELF_FUND_PCT_SALES",'Margin Guidence Table'!$A$1:$AC$1,0))),0)</f>
        <v>0</v>
      </c>
      <c r="CO16" s="1165">
        <f t="array" ref="CO16">IFERROR(IF($CG16="SEGMENT",INDEX('Margin Guidence Table'!$A$1:$AC$10000,MATCH(1,('Margin Guidence Table'!$A$1:$A$10000=$CE16)*('Margin Guidence Table'!$H$1:$H$10000&lt;=ROUND($BW$3,0))*('Margin Guidence Table'!$G$1:$G$10000&gt;=ROUND($BW$3,0)),0),MATCH("CIA_MEDIAN_MARGIN_GUIDENCE",'Margin Guidence Table'!$A$1:$AC$1,0)),INDEX('Margin Guidence Table'!$A$1:$AC$10000,MATCH(1,('Margin Guidence Table'!$A$1:$A$10000=$CE16)*('Margin Guidence Table'!$H$1:$H$10000&lt;=ROUND($BW$3,0))*('Margin Guidence Table'!$G$1:$G$10000&gt;=ROUND($BW$3,0)),0),MATCH("DEFAULT_CIA_MEDIAN_MARGIN_GUIDENCE",'Margin Guidence Table'!$A$1:$AC$1,0))),0)</f>
        <v>0</v>
      </c>
      <c r="CP16" s="129"/>
      <c r="CQ16" s="18">
        <f t="array" ref="CQ16">IFERROR(IF($DC16="SEGMENT",INDEX('Margin Guidence Table'!$A$1:$AC$10000,MATCH(1,('Margin Guidence Table'!$A$1:$A$10000=$DA16)*('Margin Guidence Table'!$H$1:$H$10000&lt;=ROUND($CS$3,0))*('Margin Guidence Table'!$G$1:$G$10000&gt;=ROUND($CS$3,0)),0),MATCH("PCT_SALES",'Margin Guidence Table'!$A$1:$AC$1,0)),INDEX('Margin Guidence Table'!$A$1:$AC$10000,MATCH(1,('Margin Guidence Table'!$A$1:$A$10000=$DA16)*('Margin Guidence Table'!$H$1:$H$10000&lt;=ROUND($CS$3,0))*('Margin Guidence Table'!$G$1:$G$10000&gt;=ROUND($CS$3,0)),0),MATCH("DEFAULT_PCT_SALES",'Margin Guidence Table'!$A$1:$AC$1,0))),0)</f>
        <v>0</v>
      </c>
      <c r="CR16" s="102" t="s">
        <v>1445</v>
      </c>
      <c r="CS16" s="94">
        <f>IFERROR(IF(AND($CS$2&lt;&gt;"Enter Spend&gt;&gt;&gt;",CT2="EXISTING"),SUMIFS('Existing Customers'!$Q:$Q,'Existing Customers'!$A:$A,$CS$1,'Existing Customers'!$H:$H,$CR16)*$CS$4,$CS$3*$CQ16),0)</f>
        <v>0</v>
      </c>
      <c r="CT16" s="89">
        <f>IFERROR(IF(AND($CS$2&lt;&gt;"Enter Spend&gt;&gt;&gt;",CT2="EXISTING"),SUMIFS('Existing Customers'!$N:$N,'Existing Customers'!$A:$A,$CS$1,'Existing Customers'!$H:$H,$CR16)*$CS$4,$CS16/$DD16),0)</f>
        <v>0</v>
      </c>
      <c r="CU16" s="95">
        <f>IFERROR(IF(AND($CS$2&lt;&gt;"Enter Spend&gt;&gt;&gt;",BB28="EXISTING"),SUMIFS('Existing Customers'!$O:$O,'Existing Customers'!$H:$H,$CR16,'Existing Customers'!$A:$A,$CS$1)*$CS$4,$CT16*$CS$8),0)</f>
        <v>0</v>
      </c>
      <c r="CV16" s="95">
        <f>IFERROR(IF(AND($CS$2&lt;&gt;"Enter Spend&gt;&gt;&gt;",CT2="EXISTING"),SUMIFS('Existing Customers'!$P:$P,'Existing Customers'!$A:$A,$CS$1,'Existing Customers'!$H:$H,$CR16)*$CS$4,$CS16/$DE16),0)</f>
        <v>0</v>
      </c>
      <c r="CW16" s="96">
        <f>IFERROR(IF(AND($CS$2&lt;&gt;"Enter Spend&gt;&gt;&gt;",CT2="EXISTING"),SUMIFS('Existing Customers'!$V:$V,'Existing Customers'!$H:$H,$CR16,'Existing Customers'!$A:$A,$CS$1)*$CS$4,0),0)</f>
        <v>0</v>
      </c>
      <c r="CX16" s="96">
        <f>IFERROR(IF(AND($CS$2&lt;&gt;"Enter Spend&gt;&gt;&gt;",CT2="EXISTING"),SUMIFS('Existing Customers'!$R:$R,'Existing Customers'!$H:$H,$AZ16,'Existing Customers'!$A:$A,$CS$1)*$CS$4,0),0)</f>
        <v>0</v>
      </c>
      <c r="CY16" s="1161">
        <f>IFERROR(IF(AND($CS$2&lt;&gt;"Enter Spend&gt;&gt;&gt;",CT2="EXISTING"),SUMIFS('Existing Customers'!$S:$S,'Existing Customers'!$H:$H,$CR16,'Existing Customers'!$A:$A,$CS$1),DI16*CS16),0)</f>
        <v>0</v>
      </c>
      <c r="CZ16" s="1161">
        <f>IFERROR(IF(AND($CS$2&lt;&gt;"Enter Spend&gt;&gt;&gt;",CT2="EXISTING"),SUMIFS('Existing Customers'!$U:$U,'Existing Customers'!$H:$H,$CR16,'Existing Customers'!$A:$A,$CS$1),DJ16*CS16),0)</f>
        <v>0</v>
      </c>
      <c r="DA16" s="1164" t="e">
        <f t="shared" si="28"/>
        <v>#N/A</v>
      </c>
      <c r="DB16" s="1164">
        <f t="array" ref="DB16">IFERROR(INDEX('Margin Guidence Table'!$A$1:$AD$30000,MATCH(1,('Margin Guidence Table'!$A$1:$A$10000=DA16)*('Margin Guidence Table'!$H$1:$H$10000&lt;=ROUND($CS$3,0))*('Margin Guidence Table'!$G$1:$G$10000&gt;=ROUND($CS$3,0)),0),MATCH("DATA_POINTS",'Margin Guidence Table'!$A$1:$AC$1,0)),0)</f>
        <v>0</v>
      </c>
      <c r="DC16" s="1161" t="str">
        <f t="shared" si="29"/>
        <v>DEFAULT</v>
      </c>
      <c r="DD16" s="1161">
        <f t="array" ref="DD16">IFERROR(IF($DC16="SEGMENT",INDEX('Margin Guidence Table'!$A$1:$AC$10000,MATCH(1,('Margin Guidence Table'!$A$1:$A$10000=DA16)*('Margin Guidence Table'!$H$1:$H$10000&lt;=ROUND($CS$3,0))*('Margin Guidence Table'!$G$1:$G$10000&gt;=ROUND($CS$3,0)),0),MATCH("SALES_CASE",'Margin Guidence Table'!$A$1:$AC$1,0)),INDEX('Margin Guidence Table'!$A$1:$AC$10000,MATCH(1,('Margin Guidence Table'!$A$1:$A$10000=DA16)*('Margin Guidence Table'!$H$1:$H$10000&lt;=ROUND($CS$3,0))*('Margin Guidence Table'!$G$1:$G$10000&gt;=ROUND($CS$3,0)),0),MATCH("DEFAULT_SALES_CASE",'Margin Guidence Table'!$A$1:$AC$1,0))),0)</f>
        <v>0</v>
      </c>
      <c r="DE16" s="1161">
        <f t="array" ref="DE16">IFERROR(IF($DC16="SEGMENT",INDEX('Margin Guidence Table'!$A$1:$AC$10000,MATCH(1,('Margin Guidence Table'!$A$1:$A$10000=DA16)*('Margin Guidence Table'!$H$1:$H$10000&lt;=ROUND($CS$3,0))*('Margin Guidence Table'!$G$1:$G$10000&gt;=ROUND($CS$3,0)),0),MATCH("SALES_LBS",'Margin Guidence Table'!$A$1:$AC$1,0)),INDEX('Margin Guidence Table'!$A$1:$AC$10000,MATCH(1,('Margin Guidence Table'!$A$1:$A$10000=DA16)*('Margin Guidence Table'!$H$1:$H$10000&lt;=ROUND($CS$3,0))*('Margin Guidence Table'!$G$1:$G$10000&gt;=ROUND($CS$3,0)),0),MATCH("DEFAULT_SALES_LBS",'Margin Guidence Table'!$A$1:$AC$1,0))),0)</f>
        <v>0</v>
      </c>
      <c r="DF16" s="1165">
        <f t="array" ref="DF16">IFERROR(IF($DC16="SEGMENT",INDEX('Margin Guidence Table'!$A$1:$AC$10000,MATCH(1,('Margin Guidence Table'!$A$1:$A$10000=DA16)*('Margin Guidence Table'!$H$1:$H$10000&lt;=ROUND($CS$3,0))*('Margin Guidence Table'!$G$1:$G$10000&gt;=ROUND($CS$3,0)),0),MATCH("MDA_MIN_MARGIN_GUIDENCE",'Margin Guidence Table'!$A$1:$AC$1,0)),INDEX('Margin Guidence Table'!$A$1:$AC$10000,MATCH(1,('Margin Guidence Table'!$A$1:$A$10000=DA16)*('Margin Guidence Table'!$H$1:$H$10000&lt;=ROUND($CS$3,0))*('Margin Guidence Table'!$G$1:$G$10000&gt;=ROUND($CS$3,0)),0),MATCH("DEFAULT_MDA_MIN_MARGIN_GUIDENCE",'Margin Guidence Table'!$A$1:$AC$1,0))),0)</f>
        <v>0</v>
      </c>
      <c r="DG16" s="1165">
        <f t="array" ref="DG16">IFERROR(IF($DC16="SEGMENT",INDEX('Margin Guidence Table'!$A$1:$AC$10000,MATCH(1,('Margin Guidence Table'!$A$1:$A$10000=DA16)*('Margin Guidence Table'!$H$1:$H$10000&lt;=ROUND($CS$3,0))*('Margin Guidence Table'!$G$1:$G$10000&gt;=ROUND($CS$3,0)),0),MATCH("MDA_MEDIAN_MARGIN_GUIDENCE",'Margin Guidence Table'!$A$1:$AC$1,0)),INDEX('Margin Guidence Table'!$A$1:$AC$10000,MATCH(1,('Margin Guidence Table'!$A$1:$A$10000=DA16)*('Margin Guidence Table'!$H$1:$H$10000&lt;=ROUND($CS$3,0))*('Margin Guidence Table'!$G$1:$G$10000&gt;=ROUND($CS$3,0)),0),MATCH("DEFAULT_MDA_MEDIAN_MARGIN_GUIDENCE",'Margin Guidence Table'!$A$1:$AC$1,0))),0)</f>
        <v>0</v>
      </c>
      <c r="DH16" s="1165">
        <f t="array" ref="DH16">IFERROR(IF($DC16="SEGMENT",INDEX('Margin Guidence Table'!$A$1:$AC$10000,MATCH(1,('Margin Guidence Table'!$A$1:$A$10000=DA16)*('Margin Guidence Table'!$H$1:$H$10000&lt;=ROUND($CS$3,0))*('Margin Guidence Table'!$G$1:$G$10000&gt;=ROUND($CS$3,0)),0),MATCH("MDA_MAX_MARGIN_GUIDENCE",'Margin Guidence Table'!$A$1:$AC$1,0)),INDEX('Margin Guidence Table'!$A$1:$AC$10000,MATCH(1,('Margin Guidence Table'!$A$1:$A$10000=DA16)*('Margin Guidence Table'!$H$1:$H$10000&lt;=ROUND($CS$3,0))*('Margin Guidence Table'!$G$1:$G$10000&gt;=ROUND($CS$3,0)),0),MATCH("DEFAULT_MDA_MAX_MARGIN_GUIDENCE",'Margin Guidence Table'!$A$1:$AC$1,0))),0)</f>
        <v>0</v>
      </c>
      <c r="DI16" s="1165">
        <f t="array" ref="DI16">IFERROR(IF($DC16="SEGMENT",INDEX('Margin Guidence Table'!$A$1:$AC$10000,MATCH(1,('Margin Guidence Table'!$A$1:$A$10000=DA16)*('Margin Guidence Table'!$H$1:$H$10000&lt;=ROUND($CS$3,0))*('Margin Guidence Table'!$G$1:$G$10000&gt;=ROUND($CS$3,0)),0),MATCH("PA_PCT_SALES",'Margin Guidence Table'!$A$1:$AC$1,0)),INDEX('Margin Guidence Table'!$A$1:$AC$10000,MATCH(1,('Margin Guidence Table'!$A$1:$A$10000=DA16)*('Margin Guidence Table'!$H$1:$H$10000&lt;=ROUND($CS$3,0))*('Margin Guidence Table'!$G$1:$G$10000&gt;=ROUND($CS$3,0)),0),MATCH("DEFAULT_PA_PCT_SALES",'Margin Guidence Table'!$A$1:$AC$1,0))),0)</f>
        <v>0</v>
      </c>
      <c r="DJ16" s="1165">
        <f t="array" ref="DJ16">IFERROR(IF($DC16="SEGMENT",INDEX('Margin Guidence Table'!$A$1:$AC$10000,MATCH(1,('Margin Guidence Table'!$A$1:$A$10000=DA16)*('Margin Guidence Table'!$H$1:$H$10000&lt;=ROUND($CS$3,0))*('Margin Guidence Table'!$G$1:$G$10000&gt;=ROUND($CS$3,0)),0),MATCH("SELF_FUND_PCT_SALES",'Margin Guidence Table'!$A$1:$AC$1,0)),INDEX('Margin Guidence Table'!$A$1:$AC$10000,MATCH(1,('Margin Guidence Table'!$A$1:$A$10000=DA16)*('Margin Guidence Table'!$H$1:$H$10000&lt;=ROUND($CS$3,0))*('Margin Guidence Table'!$G$1:$G$10000&gt;=ROUND($CS$3,0)),0),MATCH("DEFAULT_SELF_FUND_PCT_SALES",'Margin Guidence Table'!$A$1:$AC$1,0))),0)</f>
        <v>0</v>
      </c>
      <c r="DK16" s="1165">
        <f t="array" ref="DK16">IFERROR(IF($DC16="SEGMENT",INDEX('Margin Guidence Table'!$A$1:$AC$10000,MATCH(1,('Margin Guidence Table'!$A$1:$A$10000=DA16)*('Margin Guidence Table'!$H$1:$H$10000&lt;=ROUND($CS$3,0))*('Margin Guidence Table'!$G$1:$G$10000&gt;=ROUND($CS$3,0)),0),MATCH("CIA_MEDIAN_MARGIN_GUIDENCE",'Margin Guidence Table'!$A$1:$AC$1,0)),INDEX('Margin Guidence Table'!$A$1:$AC$10000,MATCH(1,('Margin Guidence Table'!$A$1:$A$10000=DA16)*('Margin Guidence Table'!$H$1:$H$10000&lt;=ROUND($CS$3,0))*('Margin Guidence Table'!$G$1:$G$10000&gt;=ROUND($CS$3,0)),0),MATCH("DEFAULT_CIA_MEDIAN_MARGIN_GUIDENCE",'Margin Guidence Table'!$A$1:$AC$1,0))),0)</f>
        <v>0</v>
      </c>
      <c r="DL16" s="129"/>
      <c r="DM16" s="18">
        <f t="array" ref="DM16">IFERROR(IF($DY16="SEGMENT",INDEX('Margin Guidence Table'!$A$1:$AC$10000,MATCH(1,('Margin Guidence Table'!$A$1:$A$10000=$DW16)*('Margin Guidence Table'!$H$1:$H$10000&lt;=ROUND($DO$3,0))*('Margin Guidence Table'!$G$1:$G$10000&gt;=ROUND($DO$3,0)),0),MATCH("PCT_SALES",'Margin Guidence Table'!$A$1:$AC$1,0)),INDEX('Margin Guidence Table'!$A$1:$AC$10000,MATCH(1,('Margin Guidence Table'!$A$1:$A$10000=$DW16)*('Margin Guidence Table'!$H$1:$H$10000&lt;=ROUND($DO$3,0))*('Margin Guidence Table'!$G$1:$G$10000&gt;=ROUND($DO$3,0)),0),MATCH("DEFAULT_PCT_SALES",'Margin Guidence Table'!$A$1:$AC$1,0))),0)</f>
        <v>0</v>
      </c>
      <c r="DN16" s="102" t="s">
        <v>1445</v>
      </c>
      <c r="DO16" s="94">
        <f>IFERROR(IF(AND($DO$2&lt;&gt;"Enter Spend&gt;&gt;&gt;",DP2="EXISTING"),SUMIFS('Existing Customers'!$Q:$Q,'Existing Customers'!$A:$A,$DO$1,'Existing Customers'!$H:$H,$DN16)*$DO$4,$DO$3*$DM16),0)</f>
        <v>0</v>
      </c>
      <c r="DP16" s="89">
        <f>IFERROR(IF(AND($DO$2&lt;&gt;"Enter Spend&gt;&gt;&gt;",DP2="EXISTING"),SUMIFS('Existing Customers'!$N:$N,'Existing Customers'!$A:$A,$DO$1,'Existing Customers'!$H:$H,$DN16)*$DO$4,$DO16/$DZ16),0)</f>
        <v>0</v>
      </c>
      <c r="DQ16" s="95">
        <f>IFERROR(IF(AND($DO$2&lt;&gt;"Enter Spend&gt;&gt;&gt;",DP2="EXISTING"),SUMIFS('Existing Customers'!$O:$O,'Existing Customers'!$H:$H,$DN16,'Existing Customers'!$A:$A,$DO$1)*$DO$4,$DP16*$DO$8),0)</f>
        <v>0</v>
      </c>
      <c r="DR16" s="95">
        <f>IFERROR(IF(AND($DO$2&lt;&gt;"Enter Spend&gt;&gt;&gt;",DP2="EXISTING"),SUMIFS('Existing Customers'!$P:$P,'Existing Customers'!$A:$A,$DO$1,'Existing Customers'!$H:$H,$DN16)*$DO$4,$DO16/$EA16),0)</f>
        <v>0</v>
      </c>
      <c r="DS16" s="96">
        <f>IFERROR(IF(AND($DO$2&lt;&gt;"Enter Spend&gt;&gt;&gt;",EL2="EXISTING"),SUMIFS('Existing Customers'!$V:$V,'Existing Customers'!$H:$H,$DN16,'Existing Customers'!$A:$A,$DO$1)*$DO$4,0),0)</f>
        <v>0</v>
      </c>
      <c r="DT16" s="96">
        <f>IFERROR(IF(AND($DO$2&lt;&gt;"Enter Spend&gt;&gt;&gt;",DP2="EXISTING"),SUMIFS('Existing Customers'!$R:$R,'Existing Customers'!$H:$H,$DN16,'Existing Customers'!$A:$A,$DO$1)*$DO$4,0),0)</f>
        <v>0</v>
      </c>
      <c r="DU16" s="1161">
        <f>IFERROR(IF(AND($DO$2&lt;&gt;"Enter Spend&gt;&gt;&gt;",DP2="EXISTING"),SUMIFS('Existing Customers'!$S:$S,'Existing Customers'!$H:$H,$DP16,'Existing Customers'!$A:$A,$DO$1),EE16*DO16),0)</f>
        <v>0</v>
      </c>
      <c r="DV16" s="1161">
        <f>IFERROR(IF(AND($DO$2&lt;&gt;"Enter Spend&gt;&gt;&gt;",DP2="EXISTING"),SUMIFS('Existing Customers'!$U:$U,'Existing Customers'!$H:$H,$DN16,'Existing Customers'!$A:$A,$DO$1),EF16*DO16),0)</f>
        <v>0</v>
      </c>
      <c r="DW16" s="1164" t="e">
        <f t="shared" si="30"/>
        <v>#N/A</v>
      </c>
      <c r="DX16" s="1164">
        <f t="array" ref="DX16">IFERROR(INDEX('Margin Guidence Table'!$A$1:$AD$30000,MATCH(1,('Margin Guidence Table'!$A$1:$A$10000=DW16)*('Margin Guidence Table'!$H$1:$H$10000&lt;=ROUND($DO$3,0))*('Margin Guidence Table'!$G$1:$G$10000&gt;=ROUND($DO$3,0)),0),MATCH("DATA_POINTS",'Margin Guidence Table'!$A$1:$AC$1,0)),0)</f>
        <v>0</v>
      </c>
      <c r="DY16" s="1161" t="str">
        <f t="shared" si="31"/>
        <v>DEFAULT</v>
      </c>
      <c r="DZ16" s="1161">
        <f t="array" ref="DZ16">IFERROR(IF($DY16="SEGMENT",INDEX('Margin Guidence Table'!$A$1:$AC$10000,MATCH(1,('Margin Guidence Table'!$A$1:$A$10000=DW16)*('Margin Guidence Table'!$H$1:$H$10000&lt;=ROUND($DO$3,0))*('Margin Guidence Table'!$G$1:$G$10000&gt;=ROUND($DO$3,0)),0),MATCH("SALES_CASE",'Margin Guidence Table'!$A$1:$AC$1,0)),INDEX('Margin Guidence Table'!$A$1:$AC$10000,MATCH(1,('Margin Guidence Table'!$A$1:$A$10000=DW16)*('Margin Guidence Table'!$H$1:$H$10000&lt;=ROUND($DO$3,0))*('Margin Guidence Table'!$G$1:$G$10000&gt;=ROUND($DO$3,0)),0),MATCH("DEFAULT_SALES_CASE",'Margin Guidence Table'!$A$1:$AC$1,0))),0)</f>
        <v>0</v>
      </c>
      <c r="EA16" s="1161">
        <f t="array" ref="EA16">IFERROR(IF($DY16="SEGMENT",INDEX('Margin Guidence Table'!$A$1:$AC$10000,MATCH(1,('Margin Guidence Table'!$A$1:$A$10000=DW16)*('Margin Guidence Table'!$H$1:$H$10000&lt;=ROUND($DO$3,0))*('Margin Guidence Table'!$G$1:$G$10000&gt;=ROUND($DO$3,0)),0),MATCH("SALES_LBS",'Margin Guidence Table'!$A$1:$AC$1,0)),INDEX('Margin Guidence Table'!$A$1:$AC$10000,MATCH(1,('Margin Guidence Table'!$A$1:$A$10000=DW16)*('Margin Guidence Table'!$H$1:$H$10000&lt;=ROUND($DO$3,0))*('Margin Guidence Table'!$G$1:$G$10000&gt;=ROUND($DO$3,0)),0),MATCH("DEFAULT_SALES_LBS",'Margin Guidence Table'!$A$1:$AC$1,0))),0)</f>
        <v>0</v>
      </c>
      <c r="EB16" s="1165">
        <f t="array" ref="EB16">IFERROR(IF($DY16="SEGMENT",INDEX('Margin Guidence Table'!$A$1:$AC$10000,MATCH(1,('Margin Guidence Table'!$A$1:$A$10000=DW16)*('Margin Guidence Table'!$H$1:$H$10000&lt;=ROUND($DO$3,0))*('Margin Guidence Table'!$G$1:$G$10000&gt;=ROUND($DO$3,0)),0),MATCH("MDA_MIN_MARGIN_GUIDENCE",'Margin Guidence Table'!$A$1:$AC$1,0)),INDEX('Margin Guidence Table'!$A$1:$AC$10000,MATCH(1,('Margin Guidence Table'!$A$1:$A$10000=DW16)*('Margin Guidence Table'!$H$1:$H$10000&lt;=ROUND($DO$3,0))*('Margin Guidence Table'!$G$1:$G$10000&gt;=ROUND($DO$3,0)),0),MATCH("DEFAULT_MDA_MIN_MARGIN_GUIDENCE",'Margin Guidence Table'!$A$1:$AC$1,0))),0)</f>
        <v>0</v>
      </c>
      <c r="EC16" s="1165">
        <f t="array" ref="EC16">IFERROR(IF($DY16="SEGMENT",INDEX('Margin Guidence Table'!$A$1:$AC$10000,MATCH(1,('Margin Guidence Table'!$A$1:$A$10000=DW16)*('Margin Guidence Table'!$H$1:$H$10000&lt;=ROUND($DO$3,0))*('Margin Guidence Table'!$G$1:$G$10000&gt;=ROUND($DO$3,0)),0),MATCH("MDA_MEDIAN_MARGIN_GUIDENCE",'Margin Guidence Table'!$A$1:$AC$1,0)),INDEX('Margin Guidence Table'!$A$1:$AC$10000,MATCH(1,('Margin Guidence Table'!$A$1:$A$10000=DW16)*('Margin Guidence Table'!$H$1:$H$10000&lt;=ROUND($DO$3,0))*('Margin Guidence Table'!$G$1:$G$10000&gt;=ROUND($DO$3,0)),0),MATCH("DEFAULT_MDA_MEDIAN_MARGIN_GUIDENCE",'Margin Guidence Table'!$A$1:$AC$1,0))),0)</f>
        <v>0</v>
      </c>
      <c r="ED16" s="1165">
        <f t="array" ref="ED16">IFERROR(IF($DY16="SEGMENT",INDEX('Margin Guidence Table'!$A$1:$AC$10000,MATCH(1,('Margin Guidence Table'!$A$1:$A$10000=DW16)*('Margin Guidence Table'!$H$1:$H$10000&lt;=ROUND($DO$3,0))*('Margin Guidence Table'!$G$1:$G$10000&gt;=ROUND($DO$3,0)),0),MATCH("MDA_MAX_MARGIN_GUIDENCE",'Margin Guidence Table'!$A$1:$AC$1,0)),INDEX('Margin Guidence Table'!$A$1:$AC$10000,MATCH(1,('Margin Guidence Table'!$A$1:$A$10000=DW16)*('Margin Guidence Table'!$H$1:$H$10000&lt;=ROUND($DO$3,0))*('Margin Guidence Table'!$G$1:$G$10000&gt;=ROUND($DO$3,0)),0),MATCH("DEFAULT_MDA_MAX_MARGIN_GUIDENCE",'Margin Guidence Table'!$A$1:$AC$1,0))),0)</f>
        <v>0</v>
      </c>
      <c r="EE16" s="1165">
        <f t="array" ref="EE16">IFERROR(IF($DY16="SEGMENT",INDEX('Margin Guidence Table'!$A$1:$AC$10000,MATCH(1,('Margin Guidence Table'!$A$1:$A$10000=DW16)*('Margin Guidence Table'!$H$1:$H$10000&lt;=ROUND($DO$3,0))*('Margin Guidence Table'!$G$1:$G$10000&gt;=ROUND($DO$3,0)),0),MATCH("PA_PCT_SALES",'Margin Guidence Table'!$A$1:$AC$1,0)),INDEX('Margin Guidence Table'!$A$1:$AC$10000,MATCH(1,('Margin Guidence Table'!$A$1:$A$10000=DW16)*('Margin Guidence Table'!$H$1:$H$10000&lt;=ROUND($DO$3,0))*('Margin Guidence Table'!$G$1:$G$10000&gt;=ROUND($DO$3,0)),0),MATCH("DEFAULT_PA_PCT_SALES",'Margin Guidence Table'!$A$1:$AC$1,0))),0)</f>
        <v>0</v>
      </c>
      <c r="EF16" s="1165">
        <f t="array" ref="EF16">IFERROR(IF($DY16="SEGMENT",INDEX('Margin Guidence Table'!$A$1:$AC$10000,MATCH(1,('Margin Guidence Table'!$A$1:$A$10000=DW16)*('Margin Guidence Table'!$H$1:$H$10000&lt;=ROUND($DO$3,0))*('Margin Guidence Table'!$G$1:$G$10000&gt;=ROUND($DO$3,0)),0),MATCH("SELF_FUND_PCT_SALES",'Margin Guidence Table'!$A$1:$AC$1,0)),INDEX('Margin Guidence Table'!$A$1:$AC$10000,MATCH(1,('Margin Guidence Table'!$A$1:$A$10000=DW16)*('Margin Guidence Table'!$H$1:$H$10000&lt;=ROUND($DO$3,0))*('Margin Guidence Table'!$G$1:$G$10000&gt;=ROUND($DO$3,0)),0),MATCH("DEFAULT_SELF_FUND_PCT_SALES",'Margin Guidence Table'!$A$1:$AC$1,0))),0)</f>
        <v>0</v>
      </c>
      <c r="EG16" s="1165">
        <f t="array" ref="EG16">IFERROR(IF($DY16="SEGMENT",INDEX('Margin Guidence Table'!$A$1:$AC$10000,MATCH(1,('Margin Guidence Table'!$A$1:$A$10000=DW16)*('Margin Guidence Table'!$H$1:$H$10000&lt;=ROUND($DO$3,0))*('Margin Guidence Table'!$G$1:$G$10000&gt;=ROUND($DO$3,0)),0),MATCH("CIA_MEDIAN_MARGIN_GUIDENCE",'Margin Guidence Table'!$A$1:$AC$1,0)),INDEX('Margin Guidence Table'!$A$1:$AC$10000,MATCH(1,('Margin Guidence Table'!$A$1:$A$10000=DW16)*('Margin Guidence Table'!$H$1:$H$10000&lt;=ROUND($DO$3,0))*('Margin Guidence Table'!$G$1:$G$10000&gt;=ROUND($DO$3,0)),0),MATCH("DEFAULT_CIA_MEDIAN_MARGIN_GUIDENCE",'Margin Guidence Table'!$A$1:$AC$1,0))),0)</f>
        <v>0</v>
      </c>
      <c r="EH16" s="129"/>
      <c r="EI16" s="18">
        <f t="array" ref="EI16">IFERROR(IF($EU16="SEGMENT",INDEX('Margin Guidence Table'!$A$1:$AC$10000,MATCH(1,('Margin Guidence Table'!$A$1:$A$10000=$ES16)*('Margin Guidence Table'!$H$1:$H$10000&lt;=ROUND($EK$3,0))*('Margin Guidence Table'!$G$1:$G$10000&gt;=ROUND($EK$3,0)),0),MATCH("PCT_SALES",'Margin Guidence Table'!$A$1:$AC$1,0)),INDEX('Margin Guidence Table'!$A$1:$AC$10000,MATCH(1,('Margin Guidence Table'!$A$1:$A$10000=$ES16)*('Margin Guidence Table'!$H$1:$H$10000&lt;=ROUND($EK$3,0))*('Margin Guidence Table'!$G$1:$G$10000&gt;=ROUND($EK$3,0)),0),MATCH("DEFAULT_PCT_SALES",'Margin Guidence Table'!$A$1:$AC$1,0))),0)</f>
        <v>0</v>
      </c>
      <c r="EJ16" s="102" t="s">
        <v>1445</v>
      </c>
      <c r="EK16" s="94">
        <f>IFERROR(IF(AND($EK$2&lt;&gt;"Enter Spend&gt;&gt;&gt;",EL2="EXISTING"),SUMIFS('Existing Customers'!$Q:$Q,'Existing Customers'!$A:$A,$EK$1,'Existing Customers'!$H:$H,$EJ16)*$EK$4,$EK$3*$EI16),0)</f>
        <v>0</v>
      </c>
      <c r="EL16" s="89">
        <f>IFERROR(IF(AND($EK$2&lt;&gt;"Enter Spend&gt;&gt;&gt;",EL2="EXISTING"),SUMIFS('Existing Customers'!$N:$N,'Existing Customers'!$A:$A,$EK$1,'Existing Customers'!$H:$H,$EJ16)*$EK$4,$EK16/$EV16),0)</f>
        <v>0</v>
      </c>
      <c r="EM16" s="95">
        <f>IFERROR(IF(AND($EK$2&lt;&gt;"Enter Spend&gt;&gt;&gt;",EL2="EXISTING"),SUMIFS('Existing Customers'!$O:$O,'Existing Customers'!$H:$H,$EJ16,'Existing Customers'!$A:$A,$EK$1)*$EK$4,$EL16*$EK$8),0)</f>
        <v>0</v>
      </c>
      <c r="EN16" s="95">
        <f>IFERROR(IF(AND($EK$2&lt;&gt;"Enter Spend&gt;&gt;&gt;",EL2="EXISTING"),SUMIFS('Existing Customers'!$P:$P,'Existing Customers'!$A:$A,$EK$1,'Existing Customers'!$H:$H,$EJ16)*$EK$4,$EK16/$EW16),0)</f>
        <v>0</v>
      </c>
      <c r="EO16" s="96">
        <f>IFERROR(IF(AND($EK$2&lt;&gt;"Enter Spend&gt;&gt;&gt;",EL2="EXISTING"),SUMIFS('Existing Customers'!$V:$V,'Existing Customers'!$H:$H,$EJ16,'Existing Customers'!$A:$A,$EK$1)*$EK$4,0),0)</f>
        <v>0</v>
      </c>
      <c r="EP16" s="96">
        <f>IFERROR(IF(AND($EK$2&lt;&gt;"Enter Spend&gt;&gt;&gt;",EL2="EXISTING"),SUMIFS('Existing Customers'!$R:$R,'Existing Customers'!$H:$H,$EJ16,'Existing Customers'!$A:$A,$EK$1)*$EK$4,0),0)</f>
        <v>0</v>
      </c>
      <c r="EQ16" s="1161">
        <f>IFERROR(IF(AND($EK$2&lt;&gt;"Enter Spend&gt;&gt;&gt;",EL2="EXISTING"),SUMIFS('Existing Customers'!$S:$S,'Existing Customers'!$H:$H,$EJ16,'Existing Customers'!$A:$A,$EK$1),FA16*EK16),0)</f>
        <v>0</v>
      </c>
      <c r="ER16" s="1161">
        <f>IFERROR(IF(AND($EK$2&lt;&gt;"Enter Spend&gt;&gt;&gt;",EL2="EXISTING"),SUMIFS('Existing Customers'!$U:$U,'Existing Customers'!$H:$H,$EJ16,'Existing Customers'!$A:$A,$EK$1),FB16*EK16),0)</f>
        <v>0</v>
      </c>
      <c r="ES16" s="1164" t="e">
        <f t="shared" si="32"/>
        <v>#N/A</v>
      </c>
      <c r="ET16" s="1164">
        <f t="array" ref="ET16">IFERROR(INDEX('Margin Guidence Table'!$A$1:$AD$30000,MATCH(1,('Margin Guidence Table'!$A$1:$A$10000=ES16)*('Margin Guidence Table'!$H$1:$H$10000&lt;=ROUND($EK$3,0))*('Margin Guidence Table'!$G$1:$G$10000&gt;=ROUND($EK$3,0)),0),MATCH("DATA_POINTS",'Margin Guidence Table'!$A$1:$AC$1,0)),0)</f>
        <v>0</v>
      </c>
      <c r="EU16" s="1161" t="str">
        <f t="shared" si="33"/>
        <v>DEFAULT</v>
      </c>
      <c r="EV16" s="1161">
        <f t="array" ref="EV16">IFERROR(IF($EU16="SEGMENT",INDEX('Margin Guidence Table'!$A$1:$AC$10000,MATCH(1,('Margin Guidence Table'!$A$1:$A$10000=ES16)*('Margin Guidence Table'!$H$1:$H$10000&lt;=ROUND($EK$3,0))*('Margin Guidence Table'!$G$1:$G$10000&gt;=ROUND($EK$3,0)),0),MATCH("SALES_CASE",'Margin Guidence Table'!$A$1:$AC$1,0)),INDEX('Margin Guidence Table'!$A$1:$AC$10000,MATCH(1,('Margin Guidence Table'!$A$1:$A$10000=ES16)*('Margin Guidence Table'!$H$1:$H$10000&lt;=ROUND($EK$3,0))*('Margin Guidence Table'!$G$1:$G$10000&gt;=ROUND($EK$3,0)),0),MATCH("DEFAULT_SALES_CASE",'Margin Guidence Table'!$A$1:$AC$1,0))),0)</f>
        <v>0</v>
      </c>
      <c r="EW16" s="1161" cm="1">
        <f t="array" ref="EW16">IFERROR(IF($EU16="SEGMENT",INDEX('Margin Guidence Table'!$A$1:$AC$10000,MATCH(1,('Margin Guidence Table'!$A$1:$A$10000=ES16)*('Margin Guidence Table'!$H$1:$H$10000&lt;=ROUND($EK$3,0))*('Margin Guidence Table'!$G$1:$G$10000&gt;=ROUND($EK$3,0)),0),MATCH("SALES_LBS",'Margin Guidence Table'!$A$1:$AC$1,0)),INDEX('Margin Guidence Table'!$A$1:$AC$10000,MATCH(1,('Margin Guidence Table'!$A$1:$A$10000=ES16)*('Margin Guidence Table'!$H$1:$H$10000&lt;=ROUND($EK$3,0))*('Margin Guidence Table'!$G$1:$G$10000&gt;=ROUND($EK$3,0)),0),MATCH("DEFAULT_SALES_LBS",'Margin Guidence Table'!$A$1:$AC$1,0))),0)</f>
        <v>0</v>
      </c>
      <c r="EX16" s="1165">
        <f t="array" ref="EX16">IFERROR(IF($EU16="SEGMENT",INDEX('Margin Guidence Table'!$A$1:$AC$10000,MATCH(1,('Margin Guidence Table'!$A$1:$A$10000=ES16)*('Margin Guidence Table'!$H$1:$H$10000&lt;=ROUND($EK$3,0))*('Margin Guidence Table'!$G$1:$G$10000&gt;=ROUND($EK$3,0)),0),MATCH("MDA_MIN_MARGIN_GUIDENCE",'Margin Guidence Table'!$A$1:$AC$1,0)),INDEX('Margin Guidence Table'!$A$1:$AC$10000,MATCH(1,('Margin Guidence Table'!$A$1:$A$10000=ES16)*('Margin Guidence Table'!$H$1:$H$10000&lt;=ROUND($EK$3,0))*('Margin Guidence Table'!$G$1:$G$10000&gt;=ROUND($EK$3,0)),0),MATCH("DEFAULT_MDA_MIN_MARGIN_GUIDENCE",'Margin Guidence Table'!$A$1:$AC$1,0))),0)</f>
        <v>0</v>
      </c>
      <c r="EY16" s="1165">
        <f t="array" ref="EY16">IFERROR(IF($EU16="SEGMENT",INDEX('Margin Guidence Table'!$A$1:$AC$10000,MATCH(1,('Margin Guidence Table'!$A$1:$A$10000=ES16)*('Margin Guidence Table'!$H$1:$H$10000&lt;=ROUND($EK$3,0))*('Margin Guidence Table'!$G$1:$G$10000&gt;=ROUND($EK$3,0)),0),MATCH("MDA_MEDIAN_MARGIN_GUIDENCE",'Margin Guidence Table'!$A$1:$AC$1,0)),INDEX('Margin Guidence Table'!$A$1:$AC$10000,MATCH(1,('Margin Guidence Table'!$A$1:$A$10000=ES16)*('Margin Guidence Table'!$H$1:$H$10000&lt;=ROUND($EK$3,0))*('Margin Guidence Table'!$G$1:$G$10000&gt;=ROUND($EK$3,0)),0),MATCH("DEFAULT_MDA_MEDIAN_MARGIN_GUIDENCE",'Margin Guidence Table'!$A$1:$AC$1,0))),0)</f>
        <v>0</v>
      </c>
      <c r="EZ16" s="1165">
        <f t="array" ref="EZ16">IFERROR(IF($EU16="SEGMENT",INDEX('Margin Guidence Table'!$A$1:$AC$10000,MATCH(1,('Margin Guidence Table'!$A$1:$A$10000=ES16)*('Margin Guidence Table'!$H$1:$H$10000&lt;=ROUND($EK$3,0))*('Margin Guidence Table'!$G$1:$G$10000&gt;=ROUND($EK$3,0)),0),MATCH("MDA_MAX_MARGIN_GUIDENCE",'Margin Guidence Table'!$A$1:$AC$1,0)),INDEX('Margin Guidence Table'!$A$1:$AC$10000,MATCH(1,('Margin Guidence Table'!$A$1:$A$10000=ES16)*('Margin Guidence Table'!$H$1:$H$10000&lt;=ROUND($EK$3,0))*('Margin Guidence Table'!$G$1:$G$10000&gt;=ROUND($EK$3,0)),0),MATCH("DEFAULT_MDA_MAX_MARGIN_GUIDENCE",'Margin Guidence Table'!$A$1:$AC$1,0))),0)</f>
        <v>0</v>
      </c>
      <c r="FA16" s="1165">
        <f t="array" ref="FA16">IFERROR(IF($EU16="SEGMENT",INDEX('Margin Guidence Table'!$A$1:$AC$10000,MATCH(1,('Margin Guidence Table'!$A$1:$A$10000=ES16)*('Margin Guidence Table'!$H$1:$H$10000&lt;=ROUND($EK$3,0))*('Margin Guidence Table'!$G$1:$G$10000&gt;=ROUND($EK$3,0)),0),MATCH("PA_PCT_SALES",'Margin Guidence Table'!$A$1:$AC$1,0)),INDEX('Margin Guidence Table'!$A$1:$AC$10000,MATCH(1,('Margin Guidence Table'!$A$1:$A$10000=ES16)*('Margin Guidence Table'!$H$1:$H$10000&lt;=ROUND($EK$3,0))*('Margin Guidence Table'!$G$1:$G$10000&gt;=ROUND($EK$3,0)),0),MATCH("DEFAULT_PA_PCT_SALES",'Margin Guidence Table'!$A$1:$AC$1,0))),0)</f>
        <v>0</v>
      </c>
      <c r="FB16" s="1165">
        <f t="array" ref="FB16">IFERROR(IF($EU16="SEGMENT",INDEX('Margin Guidence Table'!$A$1:$AC$10000,MATCH(1,('Margin Guidence Table'!$A$1:$A$10000=ES16)*('Margin Guidence Table'!$H$1:$H$10000&lt;=ROUND($EK$3,0))*('Margin Guidence Table'!$G$1:$G$10000&gt;=ROUND($EK$3,0)),0),MATCH("SELF_FUND_PCT_SALES",'Margin Guidence Table'!$A$1:$AC$1,0)),INDEX('Margin Guidence Table'!$A$1:$AC$10000,MATCH(1,('Margin Guidence Table'!$A$1:$A$10000=ES16)*('Margin Guidence Table'!$H$1:$H$10000&lt;=ROUND($EK$3,0))*('Margin Guidence Table'!$G$1:$G$10000&gt;=ROUND($EK$3,0)),0),MATCH("DEFAULT_SELF_FUND_PCT_SALES",'Margin Guidence Table'!$A$1:$AC$1,0))),0)</f>
        <v>0</v>
      </c>
      <c r="FC16" s="1165">
        <f t="array" ref="FC16">IFERROR(IF($EU16="SEGMENT",INDEX('Margin Guidence Table'!$A$1:$AC$10000,MATCH(1,('Margin Guidence Table'!$A$1:$A$10000=ES16)*('Margin Guidence Table'!$H$1:$H$10000&lt;=ROUND($EK$3,0))*('Margin Guidence Table'!$G$1:$G$10000&gt;=ROUND($EK$3,0)),0),MATCH("CIA_MEDIAN_MARGIN_GUIDENCE",'Margin Guidence Table'!$A$1:$AC$1,0)),INDEX('Margin Guidence Table'!$A$1:$AC$10000,MATCH(1,('Margin Guidence Table'!$A$1:$A$10000=ES16)*('Margin Guidence Table'!$H$1:$H$10000&lt;=ROUND($EK$3,0))*('Margin Guidence Table'!$G$1:$G$10000&gt;=ROUND($EK$3,0)),0),MATCH("DEFAULT_CIA_MEDIAN_MARGIN_GUIDENCE",'Margin Guidence Table'!$A$1:$AC$1,0))),0)</f>
        <v>0</v>
      </c>
      <c r="FD16" s="129"/>
      <c r="FE16" s="18">
        <f t="array" ref="FE16">IFERROR(IF($FQ16="SEGMENT",INDEX('Margin Guidence Table'!$A$1:$AC$10000,MATCH(1,('Margin Guidence Table'!$A$1:$A$10000=$FO16)*('Margin Guidence Table'!$H$1:$H$10000&lt;=ROUND($FG$3,0))*('Margin Guidence Table'!$G$1:$G$10000&gt;=ROUND($FG$3,0)),0),MATCH("PCT_SALES",'Margin Guidence Table'!$A$1:$AC$1,0)),INDEX('Margin Guidence Table'!$A$1:$AC$10000,MATCH(1,('Margin Guidence Table'!$A$1:$A$10000=$FO16)*('Margin Guidence Table'!$H$1:$H$10000&lt;=ROUND($FG$3,0))*('Margin Guidence Table'!$G$1:$G$10000&gt;=ROUND($FG$3,0)),0),MATCH("DEFAULT_PCT_SALES",'Margin Guidence Table'!$A$1:$AC$1,0))),0)</f>
        <v>0</v>
      </c>
      <c r="FF16" s="102" t="s">
        <v>1445</v>
      </c>
      <c r="FG16" s="94">
        <f>IFERROR(IF(AND($FG$2&lt;&gt;"Enter Spend&gt;&gt;&gt;",FH2="EXISTING"),SUMIFS('Existing Customers'!$Q:$Q,'Existing Customers'!$A:$A,$FG$1,'Existing Customers'!$H:$H,$FF16)*$FG$4,$FG$3*$FE16),0)</f>
        <v>0</v>
      </c>
      <c r="FH16" s="89">
        <f>IFERROR(IF(AND($FG$2&lt;&gt;"Enter Spend&gt;&gt;&gt;",FH2="EXISTING"),SUMIFS('Existing Customers'!$N:$N,'Existing Customers'!$A:$A,$FG$1,'Existing Customers'!$H:$H,$FF16)*$FG$4,$FG16/$FR16),0)</f>
        <v>0</v>
      </c>
      <c r="FI16" s="95">
        <f>IFERROR(IF(AND($FG$2&lt;&gt;"Enter Spend&gt;&gt;&gt;",FH2="EXISTING"),SUMIFS('Existing Customers'!$O:$O,'Existing Customers'!$H:$H,$FF16,'Existing Customers'!$A:$A,$FG$1)*$FG$4,$FH16*$FG$8),0)</f>
        <v>0</v>
      </c>
      <c r="FJ16" s="95">
        <f>IFERROR(IF(AND($FG$2&lt;&gt;"Enter Spend&gt;&gt;&gt;",FH2="EXISTING"),SUMIFS('Existing Customers'!$P:$P,'Existing Customers'!$A:$A,$FG$1,'Existing Customers'!$H:$H,$FF16)*$FG$4,$FG16/$FS16),0)</f>
        <v>0</v>
      </c>
      <c r="FK16" s="96">
        <f>IFERROR(IF(AND($FG$2&lt;&gt;"Enter Spend&gt;&gt;&gt;",FH2="EXISTING"),SUMIFS('Existing Customers'!$V:$V,'Existing Customers'!$H:$H,$FF16,'Existing Customers'!$A:$A,$FG$1)*$FG$4,0),0)</f>
        <v>0</v>
      </c>
      <c r="FL16" s="96">
        <f>IFERROR(IF(AND($FG$2&lt;&gt;"Enter Spend&gt;&gt;&gt;",FH2="EXISTING"),SUMIFS('Existing Customers'!$R:$R,'Existing Customers'!$H:$H,$FF16,'Existing Customers'!$A:$A,$FG$1)*$FG$4,0),0)</f>
        <v>0</v>
      </c>
      <c r="FM16" s="1161">
        <f>IFERROR(IF(AND($FG$2&lt;&gt;"Enter Spend&gt;&gt;&gt;",FH2="EXISTING"),SUMIFS('Existing Customers'!$S:$S,'Existing Customers'!$H:$H,$FF16,'Existing Customers'!$A:$A,$FG$1),FW16*FG16),0)</f>
        <v>0</v>
      </c>
      <c r="FN16" s="1161">
        <f>IFERROR(IF(AND($FG$2&lt;&gt;"Enter Spend&gt;&gt;&gt;",FH2="EXISTING"),SUMIFS('Existing Customers'!$U:$U,'Existing Customers'!$H:$H,$FF16,'Existing Customers'!$A:$A,$FG$1),FX16*FG16),0)</f>
        <v>0</v>
      </c>
      <c r="FO16" s="1164" t="e">
        <f t="shared" si="34"/>
        <v>#N/A</v>
      </c>
      <c r="FP16" s="1164">
        <f t="array" ref="FP16">IFERROR(INDEX('Margin Guidence Table'!$A$1:$AD$30000,MATCH(1,('Margin Guidence Table'!$A$1:$A$10000=FO16)*('Margin Guidence Table'!$H$1:$H$10000&lt;=ROUND($FG$3,0))*('Margin Guidence Table'!$G$1:$G$10000&gt;=ROUND($FG$3,0)),0),MATCH("DATA_POINTS",'Margin Guidence Table'!$A$1:$AC$1,0)),0)</f>
        <v>0</v>
      </c>
      <c r="FQ16" s="1161" t="str">
        <f t="shared" si="35"/>
        <v>DEFAULT</v>
      </c>
      <c r="FR16" s="1161">
        <f t="array" ref="FR16">IFERROR(IF($FQ16="SEGMENT",INDEX('Margin Guidence Table'!$A$1:$AC$10000,MATCH(1,('Margin Guidence Table'!$A$1:$A$10000=FO16)*('Margin Guidence Table'!$H$1:$H$10000&lt;=ROUND($FG$3,0))*('Margin Guidence Table'!$G$1:$G$10000&gt;=ROUND($FG$3,0)),0),MATCH("SALES_CASE",'Margin Guidence Table'!$A$1:$AC$1,0)),INDEX('Margin Guidence Table'!$A$1:$AC$10000,MATCH(1,('Margin Guidence Table'!$A$1:$A$10000=FO16)*('Margin Guidence Table'!$H$1:$H$10000&lt;=ROUND($FG$3,0))*('Margin Guidence Table'!$G$1:$G$10000&gt;=ROUND($FG$3,0)),0),MATCH("DEFAULT_SALES_CASE",'Margin Guidence Table'!$A$1:$AC$1,0))),0)</f>
        <v>0</v>
      </c>
      <c r="FS16" s="1161">
        <f t="array" ref="FS16">IFERROR(IF($FQ16="SEGMENT",INDEX('Margin Guidence Table'!$A$1:$AC$10000,MATCH(1,('Margin Guidence Table'!$A$1:$A$10000=FO16)*('Margin Guidence Table'!$H$1:$H$10000&lt;=ROUND($FG$3,0))*('Margin Guidence Table'!$G$1:$G$10000&gt;=ROUND($FG$3,0)),0),MATCH("SALES_LBS",'Margin Guidence Table'!$A$1:$AC$1,0)),INDEX('Margin Guidence Table'!$A$1:$AC$10000,MATCH(1,('Margin Guidence Table'!$A$1:$A$10000=FO16)*('Margin Guidence Table'!$H$1:$H$10000&lt;=ROUND($FG$3,0))*('Margin Guidence Table'!$G$1:$G$10000&gt;=ROUND($FG$3,0)),0),MATCH("DEFAULT_SALES_LBS",'Margin Guidence Table'!$A$1:$AC$1,0))),0)</f>
        <v>0</v>
      </c>
      <c r="FT16" s="1165">
        <f t="array" ref="FT16">IFERROR(IF($FQ16="SEGMENT",INDEX('Margin Guidence Table'!$A$1:$AC$10000,MATCH(1,('Margin Guidence Table'!$A$1:$A$10000=FO16)*('Margin Guidence Table'!$H$1:$H$10000&lt;=ROUND($FG$3,0))*('Margin Guidence Table'!$G$1:$G$10000&gt;=ROUND($FG$3,0)),0),MATCH("MDA_MIN_MARGIN_GUIDENCE",'Margin Guidence Table'!$A$1:$AC$1,0)),INDEX('Margin Guidence Table'!$A$1:$AC$10000,MATCH(1,('Margin Guidence Table'!$A$1:$A$10000=FO16)*('Margin Guidence Table'!$H$1:$H$10000&lt;=ROUND($FG$3,0))*('Margin Guidence Table'!$G$1:$G$10000&gt;=ROUND($FG$3,0)),0),MATCH("DEFAULT_MDA_MIN_MARGIN_GUIDENCE",'Margin Guidence Table'!$A$1:$AC$1,0))),0)</f>
        <v>0</v>
      </c>
      <c r="FU16" s="1165">
        <f t="array" ref="FU16">IFERROR(IF($FQ16="SEGMENT",INDEX('Margin Guidence Table'!$A$1:$AC$10000,MATCH(1,('Margin Guidence Table'!$A$1:$A$10000=FO16)*('Margin Guidence Table'!$H$1:$H$10000&lt;=ROUND($FG$3,0))*('Margin Guidence Table'!$G$1:$G$10000&gt;=ROUND($FG$3,0)),0),MATCH("MDA_MEDIAN_MARGIN_GUIDENCE",'Margin Guidence Table'!$A$1:$AC$1,0)),INDEX('Margin Guidence Table'!$A$1:$AC$10000,MATCH(1,('Margin Guidence Table'!$A$1:$A$10000=FO16)*('Margin Guidence Table'!$H$1:$H$10000&lt;=ROUND($FG$3,0))*('Margin Guidence Table'!$G$1:$G$10000&gt;=ROUND($FG$3,0)),0),MATCH("DEFAULT_MDA_MEDIAN_MARGIN_GUIDENCE",'Margin Guidence Table'!$A$1:$AC$1,0))),0)</f>
        <v>0</v>
      </c>
      <c r="FV16" s="1165">
        <f t="array" ref="FV16">IFERROR(IF($FQ16="SEGMENT",INDEX('Margin Guidence Table'!$A$1:$AC$10000,MATCH(1,('Margin Guidence Table'!$A$1:$A$10000=FO16)*('Margin Guidence Table'!$H$1:$H$10000&lt;=ROUND($FG$3,0))*('Margin Guidence Table'!$G$1:$G$10000&gt;=ROUND($FG$3,0)),0),MATCH("MDA_MAX_MARGIN_GUIDENCE",'Margin Guidence Table'!$A$1:$AC$1,0)),INDEX('Margin Guidence Table'!$A$1:$AC$10000,MATCH(1,('Margin Guidence Table'!$A$1:$A$10000=FO16)*('Margin Guidence Table'!$H$1:$H$10000&lt;=ROUND($FG$3,0))*('Margin Guidence Table'!$G$1:$G$10000&gt;=ROUND($FG$3,0)),0),MATCH("DEFAULT_MDA_MAX_MARGIN_GUIDENCE",'Margin Guidence Table'!$A$1:$AC$1,0))),0)</f>
        <v>0</v>
      </c>
      <c r="FW16" s="1165">
        <f t="array" ref="FW16">IFERROR(IF($FQ16="SEGMENT",INDEX('Margin Guidence Table'!$A$1:$AC$10000,MATCH(1,('Margin Guidence Table'!$A$1:$A$10000=FO16)*('Margin Guidence Table'!$H$1:$H$10000&lt;=ROUND($FG$3,0))*('Margin Guidence Table'!$G$1:$G$10000&gt;=ROUND($FG$3,0)),0),MATCH("PA_PCT_SALES",'Margin Guidence Table'!$A$1:$AC$1,0)),INDEX('Margin Guidence Table'!$A$1:$AC$10000,MATCH(1,('Margin Guidence Table'!$A$1:$A$10000=FO16)*('Margin Guidence Table'!$H$1:$H$10000&lt;=ROUND($FG$3,0))*('Margin Guidence Table'!$G$1:$G$10000&gt;=ROUND($FG$3,0)),0),MATCH("DEFAULT_PA_PCT_SALES",'Margin Guidence Table'!$A$1:$AC$1,0))),0)</f>
        <v>0</v>
      </c>
      <c r="FX16" s="1165">
        <f t="array" ref="FX16">IFERROR(IF($FQ16="SEGMENT",INDEX('Margin Guidence Table'!$A$1:$AC$10000,MATCH(1,('Margin Guidence Table'!$A$1:$A$10000=FO16)*('Margin Guidence Table'!$H$1:$H$10000&lt;=ROUND($FG$3,0))*('Margin Guidence Table'!$G$1:$G$10000&gt;=ROUND($FG$3,0)),0),MATCH("SELF_FUND_PCT_SALES",'Margin Guidence Table'!$A$1:$AC$1,0)),INDEX('Margin Guidence Table'!$A$1:$AC$10000,MATCH(1,('Margin Guidence Table'!$A$1:$A$10000=FO16)*('Margin Guidence Table'!$H$1:$H$10000&lt;=ROUND($FG$3,0))*('Margin Guidence Table'!$G$1:$G$10000&gt;=ROUND($FG$3,0)),0),MATCH("DEFAULT_SELF_FUND_PCT_SALES",'Margin Guidence Table'!$A$1:$AC$1,0))),0)</f>
        <v>0</v>
      </c>
      <c r="FY16" s="1165">
        <f t="array" ref="FY16">IFERROR(IF($FQ16="SEGMENT",INDEX('Margin Guidence Table'!$A$1:$AC$10000,MATCH(1,('Margin Guidence Table'!$A$1:$A$10000=FO16)*('Margin Guidence Table'!$H$1:$H$10000&lt;=ROUND($FG$3,0))*('Margin Guidence Table'!$G$1:$G$10000&gt;=ROUND($FG$3,0)),0),MATCH("CIA_MEDIAN_MARGIN_GUIDENCE",'Margin Guidence Table'!$A$1:$AC$1,0)),INDEX('Margin Guidence Table'!$A$1:$AC$10000,MATCH(1,('Margin Guidence Table'!$A$1:$A$10000=FO16)*('Margin Guidence Table'!$H$1:$H$10000&lt;=ROUND($FG$3,0))*('Margin Guidence Table'!$G$1:$G$10000&gt;=ROUND($FG$3,0)),0),MATCH("DEFAULT_CIA_MEDIAN_MARGIN_GUIDENCE",'Margin Guidence Table'!$A$1:$AC$1,0))),0)</f>
        <v>0</v>
      </c>
      <c r="FZ16" s="129"/>
      <c r="GA16" s="18">
        <f t="array" ref="GA16">IFERROR(IF($GM16="SEGMENT",INDEX('Margin Guidence Table'!$A$1:$AC$10000,MATCH(1,('Margin Guidence Table'!$A$1:$A$10000=$GK16)*('Margin Guidence Table'!$H$1:$H$10000&lt;=ROUND($GC$3,0))*('Margin Guidence Table'!$G$1:$G$10000&gt;=ROUND($GC$3,0)),0),MATCH("PCT_SALES",'Margin Guidence Table'!$A$1:$AC$1,0)),INDEX('Margin Guidence Table'!$A$1:$AC$10000,MATCH(1,('Margin Guidence Table'!$A$1:$A$10000=$GK16)*('Margin Guidence Table'!$H$1:$H$10000&lt;=ROUND($GC$3,0))*('Margin Guidence Table'!$G$1:$G$10000&gt;=ROUND($GC$3,0)),0),MATCH("DEFAULT_PCT_SALES",'Margin Guidence Table'!$A$1:$AC$1,0))),0)</f>
        <v>0</v>
      </c>
      <c r="GB16" s="102" t="s">
        <v>1445</v>
      </c>
      <c r="GC16" s="94">
        <f>IFERROR(IF(AND($GC$2&lt;&gt;"Enter Spend&gt;&gt;&gt;",GD2="EXISTING"),SUMIFS('Existing Customers'!$Q:$Q,'Existing Customers'!$A:$A,$GC$1,'Existing Customers'!$H:$H,$GB16)*$GC$4,$GC$3*$GA16),0)</f>
        <v>0</v>
      </c>
      <c r="GD16" s="89">
        <f>IFERROR(IF(AND($GC$2&lt;&gt;"Enter Spend&gt;&gt;&gt;",GD2="EXISTING"),SUMIFS('Existing Customers'!$N:$N,'Existing Customers'!$A:$A,$GC$1,'Existing Customers'!$H:$H,$GB16)*$GC$4,$GC16/$GN16),0)</f>
        <v>0</v>
      </c>
      <c r="GE16" s="95">
        <f>IFERROR(IF(AND($GC$2&lt;&gt;"Enter Spend&gt;&gt;&gt;",GD2="EXISTING"),SUMIFS('Existing Customers'!$O:$O,'Existing Customers'!$H:$H,$GB16,'Existing Customers'!$A:$A,$GC$1)*$GC$4,$GD16*$GC$8),0)</f>
        <v>0</v>
      </c>
      <c r="GF16" s="95">
        <f>IFERROR(IF(AND($GC$2&lt;&gt;"Enter Spend&gt;&gt;&gt;",GD2="EXISTING"),SUMIFS('Existing Customers'!$P:$P,'Existing Customers'!$A:$A,$GC$1,'Existing Customers'!$H:$H,$GB16)*$GC$4,$GC16/$GO16),0)</f>
        <v>0</v>
      </c>
      <c r="GG16" s="96">
        <f>IFERROR(IF(AND($GC$2&lt;&gt;"Enter Spend&gt;&gt;&gt;",GD2="EXISTING"),SUMIFS('Existing Customers'!$V:$V,'Existing Customers'!$H:$H,$GB16,'Existing Customers'!$A:$A,$GC$1)*$GC$4,0),0)</f>
        <v>0</v>
      </c>
      <c r="GH16" s="96">
        <f>IFERROR(IF(AND($GC$2&lt;&gt;"Enter Spend&gt;&gt;&gt;",GD2="EXISTING"),SUMIFS('Existing Customers'!$R:$R,'Existing Customers'!$H:$H,$GB16,'Existing Customers'!$A:$A,$GC$1)*$GC$4,0),0)</f>
        <v>0</v>
      </c>
      <c r="GI16" s="1161">
        <f>IFERROR(IF(AND($GC$2&lt;&gt;"Enter Spend&gt;&gt;&gt;",GD2="EXISTING"),SUMIFS('Existing Customers'!$S:$S,'Existing Customers'!$H:$H,$GB16,'Existing Customers'!$A:$A,$GC$1),GS16*GC16),0)</f>
        <v>0</v>
      </c>
      <c r="GJ16" s="1161">
        <f>IFERROR(IF(AND($GC$2&lt;&gt;"Enter Spend&gt;&gt;&gt;",GD2="EXISTING"),SUMIFS('Existing Customers'!$U:$U,'Existing Customers'!$H:$H,$GB16,'Existing Customers'!$A:$A,$GC$1),GT16*GC16),0)</f>
        <v>0</v>
      </c>
      <c r="GK16" s="1164" t="e">
        <f t="shared" si="36"/>
        <v>#N/A</v>
      </c>
      <c r="GL16" s="1164">
        <f t="array" ref="GL16">IFERROR(INDEX('Margin Guidence Table'!$A$1:$AD$30000,MATCH(1,('Margin Guidence Table'!$A$1:$A$10000=GK16)*('Margin Guidence Table'!$H$1:$H$10000&lt;=ROUND($GC$3,0))*('Margin Guidence Table'!$G$1:$G$10000&gt;=ROUND($GC$3,0)),0),MATCH("DATA_POINTS",'Margin Guidence Table'!$A$1:$AC$1,0)),0)</f>
        <v>0</v>
      </c>
      <c r="GM16" s="1161" t="str">
        <f t="shared" si="37"/>
        <v>DEFAULT</v>
      </c>
      <c r="GN16" s="1161">
        <f t="array" ref="GN16">IFERROR(IF($GM16="SEGMENT",INDEX('Margin Guidence Table'!$A$1:$AC$10000,MATCH(1,('Margin Guidence Table'!$A$1:$A$10000=GK16)*('Margin Guidence Table'!$H$1:$H$10000&lt;=ROUND($GC$3,0))*('Margin Guidence Table'!$G$1:$G$10000&gt;=ROUND($GC$3,0)),0),MATCH("SALES_CASE",'Margin Guidence Table'!$A$1:$AC$1,0)),INDEX('Margin Guidence Table'!$A$1:$AC$10000,MATCH(1,('Margin Guidence Table'!$A$1:$A$10000=GK16)*('Margin Guidence Table'!$H$1:$H$10000&lt;=ROUND($GC$3,0))*('Margin Guidence Table'!$G$1:$G$10000&gt;=ROUND($GC$3,0)),0),MATCH("DEFAULT_SALES_CASE",'Margin Guidence Table'!$A$1:$AC$1,0))),0)</f>
        <v>0</v>
      </c>
      <c r="GO16" s="1161">
        <f t="array" ref="GO16">IFERROR(IF($GM16="SEGMENT",INDEX('Margin Guidence Table'!$A$1:$AC$10000,MATCH(1,('Margin Guidence Table'!$A$1:$A$10000=GK16)*('Margin Guidence Table'!$H$1:$H$10000&lt;=ROUND($GC$3,0))*('Margin Guidence Table'!$G$1:$G$10000&gt;=ROUND($GC$3,0)),0),MATCH("SALES_LBS",'Margin Guidence Table'!$A$1:$AC$1,0)),INDEX('Margin Guidence Table'!$A$1:$AC$10000,MATCH(1,('Margin Guidence Table'!$A$1:$A$10000=GK16)*('Margin Guidence Table'!$H$1:$H$10000&lt;=ROUND($GC$3,0))*('Margin Guidence Table'!$G$1:$G$10000&gt;=ROUND($GC$3,0)),0),MATCH("DEFAULT_SALES_LBS",'Margin Guidence Table'!$A$1:$AC$1,0))),0)</f>
        <v>0</v>
      </c>
      <c r="GP16" s="1165">
        <f t="array" ref="GP16">IFERROR(IF($GM16="SEGMENT",INDEX('Margin Guidence Table'!$A$1:$AC$10000,MATCH(1,('Margin Guidence Table'!$A$1:$A$10000=GK16)*('Margin Guidence Table'!$H$1:$H$10000&lt;=ROUND($GC$3,0))*('Margin Guidence Table'!$G$1:$G$10000&gt;=ROUND($GC$3,0)),0),MATCH("MDA_MIN_MARGIN_GUIDENCE",'Margin Guidence Table'!$A$1:$AC$1,0)),INDEX('Margin Guidence Table'!$A$1:$AC$10000,MATCH(1,('Margin Guidence Table'!$A$1:$A$10000=GK16)*('Margin Guidence Table'!$H$1:$H$10000&lt;=ROUND($GC$3,0))*('Margin Guidence Table'!$G$1:$G$10000&gt;=ROUND($GC$3,0)),0),MATCH("DEFAULT_MDA_MIN_MARGIN_GUIDENCE",'Margin Guidence Table'!$A$1:$AC$1,0))),0)</f>
        <v>0</v>
      </c>
      <c r="GQ16" s="1165">
        <f t="array" ref="GQ16">IFERROR(IF($GM16="SEGMENT",INDEX('Margin Guidence Table'!$A$1:$AC$10000,MATCH(1,('Margin Guidence Table'!$A$1:$A$10000=GK16)*('Margin Guidence Table'!$H$1:$H$10000&lt;=ROUND($GC$3,0))*('Margin Guidence Table'!$G$1:$G$10000&gt;=ROUND($GC$3,0)),0),MATCH("MDA_MEDIAN_MARGIN_GUIDENCE",'Margin Guidence Table'!$A$1:$AC$1,0)),INDEX('Margin Guidence Table'!$A$1:$AC$10000,MATCH(1,('Margin Guidence Table'!$A$1:$A$10000=GK16)*('Margin Guidence Table'!$H$1:$H$10000&lt;=ROUND($GC$3,0))*('Margin Guidence Table'!$G$1:$G$10000&gt;=ROUND($GC$3,0)),0),MATCH("DEFAULT_MDA_MEDIAN_MARGIN_GUIDENCE",'Margin Guidence Table'!$A$1:$AC$1,0))),0)</f>
        <v>0</v>
      </c>
      <c r="GR16" s="1165">
        <f t="array" ref="GR16">IFERROR(IF($GM16="SEGMENT",INDEX('Margin Guidence Table'!$A$1:$AC$10000,MATCH(1,('Margin Guidence Table'!$A$1:$A$10000=GK16)*('Margin Guidence Table'!$H$1:$H$10000&lt;=ROUND($GC$3,0))*('Margin Guidence Table'!$G$1:$G$10000&gt;=ROUND($GC$3,0)),0),MATCH("MDA_MAX_MARGIN_GUIDENCE",'Margin Guidence Table'!$A$1:$AC$1,0)),INDEX('Margin Guidence Table'!$A$1:$AC$10000,MATCH(1,('Margin Guidence Table'!$A$1:$A$10000=GK16)*('Margin Guidence Table'!$H$1:$H$10000&lt;=ROUND($GC$3,0))*('Margin Guidence Table'!$G$1:$G$10000&gt;=ROUND($GC$3,0)),0),MATCH("DEFAULT_MDA_MAX_MARGIN_GUIDENCE",'Margin Guidence Table'!$A$1:$AC$1,0))),0)</f>
        <v>0</v>
      </c>
      <c r="GS16" s="1165">
        <f t="array" ref="GS16">IFERROR(IF($GM16="SEGMENT",INDEX('Margin Guidence Table'!$A$1:$AC$10000,MATCH(1,('Margin Guidence Table'!$A$1:$A$10000=GK16)*('Margin Guidence Table'!$H$1:$H$10000&lt;=ROUND($GC$3,0))*('Margin Guidence Table'!$G$1:$G$10000&gt;=ROUND($GC$3,0)),0),MATCH("PA_PCT_SALES",'Margin Guidence Table'!$A$1:$AC$1,0)),INDEX('Margin Guidence Table'!$A$1:$AC$10000,MATCH(1,('Margin Guidence Table'!$A$1:$A$10000=GK16)*('Margin Guidence Table'!$H$1:$H$10000&lt;=ROUND($GC$3,0))*('Margin Guidence Table'!$G$1:$G$10000&gt;=ROUND($GC$3,0)),0),MATCH("DEFAULT_PA_PCT_SALES",'Margin Guidence Table'!$A$1:$AC$1,0))),0)</f>
        <v>0</v>
      </c>
      <c r="GT16" s="1165">
        <f t="array" ref="GT16">IFERROR(IF($GM16="SEGMENT",INDEX('Margin Guidence Table'!$A$1:$AC$10000,MATCH(1,('Margin Guidence Table'!$A$1:$A$10000=GK16)*('Margin Guidence Table'!$H$1:$H$10000&lt;=ROUND($GC$3,0))*('Margin Guidence Table'!$G$1:$G$10000&gt;=ROUND($GC$3,0)),0),MATCH("SELF_FUND_PCT_SALES",'Margin Guidence Table'!$A$1:$AC$1,0)),INDEX('Margin Guidence Table'!$A$1:$AC$10000,MATCH(1,('Margin Guidence Table'!$A$1:$A$10000=GK16)*('Margin Guidence Table'!$H$1:$H$10000&lt;=ROUND($GC$3,0))*('Margin Guidence Table'!$G$1:$G$10000&gt;=ROUND($GC$3,0)),0),MATCH("DEFAULT_SELF_FUND_PCT_SALES",'Margin Guidence Table'!$A$1:$AC$1,0))),0)</f>
        <v>0</v>
      </c>
      <c r="GU16" s="1165">
        <f t="array" ref="GU16">IFERROR(IF($GM16="SEGMENT",INDEX('Margin Guidence Table'!$A$1:$AC$10000,MATCH(1,('Margin Guidence Table'!$A$1:$A$10000=GK16)*('Margin Guidence Table'!$H$1:$H$10000&lt;=ROUND($GC$3,0))*('Margin Guidence Table'!$G$1:$G$10000&gt;=ROUND($GC$3,0)),0),MATCH("CIA_MEDIAN_MARGIN_GUIDENCE",'Margin Guidence Table'!$A$1:$AC$1,0)),INDEX('Margin Guidence Table'!$A$1:$AC$10000,MATCH(1,('Margin Guidence Table'!$A$1:$A$10000=GK16)*('Margin Guidence Table'!$H$1:$H$10000&lt;=ROUND($GC$3,0))*('Margin Guidence Table'!$G$1:$G$10000&gt;=ROUND($GC$3,0)),0),MATCH("DEFAULT_CIA_MEDIAN_MARGIN_GUIDENCE",'Margin Guidence Table'!$A$1:$AC$1,0))),0)</f>
        <v>0</v>
      </c>
      <c r="GV16" s="129"/>
      <c r="GW16" s="18">
        <f t="array" ref="GW16">IFERROR(IF($HI16="SEGMENT",INDEX('Margin Guidence Table'!$A$1:$AC$10000,MATCH(1,('Margin Guidence Table'!$A$1:$A$10000=$HG16)*('Margin Guidence Table'!$H$1:$H$10000&lt;=ROUND($GY$3,0))*('Margin Guidence Table'!$G$1:$G$10000&gt;=ROUND($GY$3,0)),0),MATCH("PCT_SALES",'Margin Guidence Table'!$A$1:$AC$1,0)),INDEX('Margin Guidence Table'!$A$1:$AC$10000,MATCH(1,('Margin Guidence Table'!$A$1:$A$10000=$HG16)*('Margin Guidence Table'!$H$1:$H$10000&lt;=ROUND($GY$3,0))*('Margin Guidence Table'!$G$1:$G$10000&gt;=ROUND($GY$3,0)),0),MATCH("DEFAULT_PCT_SALES",'Margin Guidence Table'!$A$1:$AC$1,0))),0)</f>
        <v>0</v>
      </c>
      <c r="GX16" s="102" t="s">
        <v>1445</v>
      </c>
      <c r="GY16" s="94">
        <f>IFERROR(IF(AND($GY$2&lt;&gt;"Enter Spend&gt;&gt;&gt;",GZ2="EXISTING"),SUMIFS('Existing Customers'!$Q:$Q,'Existing Customers'!$A:$A,$GY$1,'Existing Customers'!$H:$H,$GX16)*$GY$4,$GY$3*$GW16),0)</f>
        <v>0</v>
      </c>
      <c r="GZ16" s="89">
        <f>IFERROR(IF(AND($GY$2&lt;&gt;"Enter Spend&gt;&gt;&gt;",GZ2="EXISTING"),SUMIFS('Existing Customers'!$N:$N,'Existing Customers'!$A:$A,$GY$1,'Existing Customers'!$H:$H,$GX16)*$GY$4,$GY16/$HJ16),0)</f>
        <v>0</v>
      </c>
      <c r="HA16" s="95">
        <f>IFERROR(IF(AND($GY$2&lt;&gt;"Enter Spend&gt;&gt;&gt;",GZ2="EXISTING"),SUMIFS('Existing Customers'!$O:$O,'Existing Customers'!$H:$H,$GX16,'Existing Customers'!$A:$A,$GY$1)*$GY$4,$GZ16*$GY$8),0)</f>
        <v>0</v>
      </c>
      <c r="HB16" s="95">
        <f>IFERROR(IF(AND($GY$2&lt;&gt;"Enter Spend&gt;&gt;&gt;",GZ2="EXISTING"),SUMIFS('Existing Customers'!$P:$P,'Existing Customers'!$A:$A,$GY$1,'Existing Customers'!$H:$H,$GX16)*$GY$4,$GY16/$HK16),0)</f>
        <v>0</v>
      </c>
      <c r="HC16" s="96">
        <f>IFERROR(IF(AND($GY$2&lt;&gt;"Enter Spend&gt;&gt;&gt;",GZ2="EXISTING"),SUMIFS('Existing Customers'!$V:$V,'Existing Customers'!$H:$H,$GX16,'Existing Customers'!$A:$A,$GY$1)*$GY$4,0),0)</f>
        <v>0</v>
      </c>
      <c r="HD16" s="96">
        <f>IFERROR(IF(AND($GY$2&lt;&gt;"Enter Spend&gt;&gt;&gt;",GZ2="EXISTING"),SUMIFS('Existing Customers'!$R:$R,'Existing Customers'!$H:$H,$GX16,'Existing Customers'!$A:$A,$GY$1)*$GY$4,0),0)</f>
        <v>0</v>
      </c>
      <c r="HE16" s="1161">
        <f>IFERROR(IF(AND($GY$2&lt;&gt;"Enter Spend&gt;&gt;&gt;",GZ2="EXISTING"),SUMIFS('Existing Customers'!$S:$S,'Existing Customers'!$H:$H,$GX16,'Existing Customers'!$A:$A,$GY$1),HO16*GY16),0)</f>
        <v>0</v>
      </c>
      <c r="HF16" s="1161">
        <f>IFERROR(IF(AND($GY$2&lt;&gt;"Enter Spend&gt;&gt;&gt;",GZ2="EXISTING"),SUMIFS('Existing Customers'!$U:$U,'Existing Customers'!$H:$H,$GX16,'Existing Customers'!$A:$A,$GY$1),HP16*GY16),0)</f>
        <v>0</v>
      </c>
      <c r="HG16" s="1164" t="e">
        <f t="shared" si="38"/>
        <v>#N/A</v>
      </c>
      <c r="HH16" s="1164">
        <f t="array" ref="HH16">IFERROR(INDEX('Margin Guidence Table'!$A$1:$AD$30000,MATCH(1,('Margin Guidence Table'!$A$1:$A$10000=HG16)*('Margin Guidence Table'!$H$1:$H$10000&lt;=ROUND($GY$3,0))*('Margin Guidence Table'!$G$1:$G$10000&gt;=ROUND($GY$3,0)),0),MATCH("DATA_POINTS",'Margin Guidence Table'!$A$1:$AC$1,0)),0)</f>
        <v>0</v>
      </c>
      <c r="HI16" s="1161" t="str">
        <f t="shared" si="39"/>
        <v>DEFAULT</v>
      </c>
      <c r="HJ16" s="1161">
        <f t="array" ref="HJ16">IFERROR(IF($HI16="SEGMENT",INDEX('Margin Guidence Table'!$A$1:$AC$10000,MATCH(1,('Margin Guidence Table'!$A$1:$A$10000=HG16)*('Margin Guidence Table'!$H$1:$H$10000&lt;=ROUND($GY$3,0))*('Margin Guidence Table'!$G$1:$G$10000&gt;=ROUND($GY$3,0)),0),MATCH("SALES_CASE",'Margin Guidence Table'!$A$1:$AC$1,0)),INDEX('Margin Guidence Table'!$A$1:$AC$10000,MATCH(1,('Margin Guidence Table'!$A$1:$A$10000=HG16)*('Margin Guidence Table'!$H$1:$H$10000&lt;=ROUND($GY$3,0))*('Margin Guidence Table'!$G$1:$G$10000&gt;=ROUND($GY$3,0)),0),MATCH("DEFAULT_SALES_CASE",'Margin Guidence Table'!$A$1:$AC$1,0))),0)</f>
        <v>0</v>
      </c>
      <c r="HK16" s="1161">
        <f t="array" ref="HK16">IFERROR(IF($HI16="SEGMENT",INDEX('Margin Guidence Table'!$A$1:$AC$10000,MATCH(1,('Margin Guidence Table'!$A$1:$A$10000=HG16)*('Margin Guidence Table'!$H$1:$H$10000&lt;=ROUND($GY$3,0))*('Margin Guidence Table'!$G$1:$G$10000&gt;=ROUND($GY$3,0)),0),MATCH("SALES_LBS",'Margin Guidence Table'!$A$1:$AC$1,0)),INDEX('Margin Guidence Table'!$A$1:$AC$10000,MATCH(1,('Margin Guidence Table'!$A$1:$A$10000=HG16)*('Margin Guidence Table'!$H$1:$H$10000&lt;=ROUND($GY$3,0))*('Margin Guidence Table'!$G$1:$G$10000&gt;=ROUND($GY$3,0)),0),MATCH("DEFAULT_SALES_LBS",'Margin Guidence Table'!$A$1:$AC$1,0))),0)</f>
        <v>0</v>
      </c>
      <c r="HL16" s="1165">
        <f t="array" ref="HL16">IFERROR(IF($HI16="SEGMENT",INDEX('Margin Guidence Table'!$A$1:$AC$10000,MATCH(1,('Margin Guidence Table'!$A$1:$A$10000=HG16)*('Margin Guidence Table'!$H$1:$H$10000&lt;=ROUND($GY$3,0))*('Margin Guidence Table'!$G$1:$G$10000&gt;=ROUND($GY$3,0)),0),MATCH("MDA_MIN_MARGIN_GUIDENCE",'Margin Guidence Table'!$A$1:$AC$1,0)),INDEX('Margin Guidence Table'!$A$1:$AC$10000,MATCH(1,('Margin Guidence Table'!$A$1:$A$10000=HG16)*('Margin Guidence Table'!$H$1:$H$10000&lt;=ROUND($GY$3,0))*('Margin Guidence Table'!$G$1:$G$10000&gt;=ROUND($GY$3,0)),0),MATCH("DEFAULT_MDA_MIN_MARGIN_GUIDENCE",'Margin Guidence Table'!$A$1:$AC$1,0))),0)</f>
        <v>0</v>
      </c>
      <c r="HM16" s="1165">
        <f t="array" ref="HM16">IFERROR(IF($HI16="SEGMENT",INDEX('Margin Guidence Table'!$A$1:$AC$10000,MATCH(1,('Margin Guidence Table'!$A$1:$A$10000=HG16)*('Margin Guidence Table'!$H$1:$H$10000&lt;=ROUND($GY$3,0))*('Margin Guidence Table'!$G$1:$G$10000&gt;=ROUND($GY$3,0)),0),MATCH("MDA_MEDIAN_MARGIN_GUIDENCE",'Margin Guidence Table'!$A$1:$AC$1,0)),INDEX('Margin Guidence Table'!$A$1:$AC$10000,MATCH(1,('Margin Guidence Table'!$A$1:$A$10000=HG16)*('Margin Guidence Table'!$H$1:$H$10000&lt;=ROUND($GY$3,0))*('Margin Guidence Table'!$G$1:$G$10000&gt;=ROUND($GY$3,0)),0),MATCH("DEFAULT_MDA_MEDIAN_MARGIN_GUIDENCE",'Margin Guidence Table'!$A$1:$AC$1,0))),0)</f>
        <v>0</v>
      </c>
      <c r="HN16" s="1165">
        <f t="array" ref="HN16">IFERROR(IF($HI16="SEGMENT",INDEX('Margin Guidence Table'!$A$1:$AC$10000,MATCH(1,('Margin Guidence Table'!$A$1:$A$10000=HG16)*('Margin Guidence Table'!$H$1:$H$10000&lt;=ROUND($GY$3,0))*('Margin Guidence Table'!$G$1:$G$10000&gt;=ROUND($GY$3,0)),0),MATCH("MDA_MAX_MARGIN_GUIDENCE",'Margin Guidence Table'!$A$1:$AC$1,0)),INDEX('Margin Guidence Table'!$A$1:$AC$10000,MATCH(1,('Margin Guidence Table'!$A$1:$A$10000=HG16)*('Margin Guidence Table'!$H$1:$H$10000&lt;=ROUND($GY$3,0))*('Margin Guidence Table'!$G$1:$G$10000&gt;=ROUND($GY$3,0)),0),MATCH("DEFAULT_MDA_MAX_MARGIN_GUIDENCE",'Margin Guidence Table'!$A$1:$AC$1,0))),0)</f>
        <v>0</v>
      </c>
      <c r="HO16" s="1165">
        <f t="array" ref="HO16">IFERROR(IF($HI16="SEGMENT",INDEX('Margin Guidence Table'!$A$1:$AC$10000,MATCH(1,('Margin Guidence Table'!$A$1:$A$10000=HG16)*('Margin Guidence Table'!$H$1:$H$10000&lt;=ROUND($GY$3,0))*('Margin Guidence Table'!$G$1:$G$10000&gt;=ROUND($GY$3,0)),0),MATCH("PA_PCT_SALES",'Margin Guidence Table'!$A$1:$AC$1,0)),INDEX('Margin Guidence Table'!$A$1:$AC$10000,MATCH(1,('Margin Guidence Table'!$A$1:$A$10000=HG16)*('Margin Guidence Table'!$H$1:$H$10000&lt;=ROUND($GY$3,0))*('Margin Guidence Table'!$G$1:$G$10000&gt;=ROUND($GY$3,0)),0),MATCH("DEFAULT_PA_PCT_SALES",'Margin Guidence Table'!$A$1:$AC$1,0))),0)</f>
        <v>0</v>
      </c>
      <c r="HP16" s="1165">
        <f t="array" ref="HP16">IFERROR(IF($HI16="SEGMENT",INDEX('Margin Guidence Table'!$A$1:$AC$10000,MATCH(1,('Margin Guidence Table'!$A$1:$A$10000=HG16)*('Margin Guidence Table'!$H$1:$H$10000&lt;=ROUND($GY$3,0))*('Margin Guidence Table'!$G$1:$G$10000&gt;=ROUND($GY$3,0)),0),MATCH("SELF_FUND_PCT_SALES",'Margin Guidence Table'!$A$1:$AC$1,0)),INDEX('Margin Guidence Table'!$A$1:$AC$10000,MATCH(1,('Margin Guidence Table'!$A$1:$A$10000=HG16)*('Margin Guidence Table'!$H$1:$H$10000&lt;=ROUND($GY$3,0))*('Margin Guidence Table'!$G$1:$G$10000&gt;=ROUND($GY$3,0)),0),MATCH("DEFAULT_SELF_FUND_PCT_SALES",'Margin Guidence Table'!$A$1:$AC$1,0))),0)</f>
        <v>0</v>
      </c>
      <c r="HQ16" s="1165">
        <f t="array" ref="HQ16">IFERROR(IF($HI16="SEGMENT",INDEX('Margin Guidence Table'!$A$1:$AC$10000,MATCH(1,('Margin Guidence Table'!$A$1:$A$10000=HG16)*('Margin Guidence Table'!$H$1:$H$10000&lt;=ROUND($GY$3,0))*('Margin Guidence Table'!$G$1:$G$10000&gt;=ROUND($GY$3,0)),0),MATCH("CIA_MEDIAN_MARGIN_GUIDENCE",'Margin Guidence Table'!$A$1:$AC$1,0)),INDEX('Margin Guidence Table'!$A$1:$AC$10000,MATCH(1,('Margin Guidence Table'!$A$1:$A$10000=HG16)*('Margin Guidence Table'!$H$1:$H$10000&lt;=ROUND($GY$3,0))*('Margin Guidence Table'!$G$1:$G$10000&gt;=ROUND($GY$3,0)),0),MATCH("DEFAULT_CIA_MEDIAN_MARGIN_GUIDENCE",'Margin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1445</v>
      </c>
      <c r="HU16" s="94">
        <f>IFERROR(IF(AND($HU$2&lt;&gt;"Enter Spend&gt;&gt;&gt;",HV2="EXISTING"),SUMIFS('Existing Customers'!$Q:$Q,'Existing Customers'!$A:$A,$HU$1,'Existing Customers'!$H:$H,$HT16)*$HU$4,$HU$3*$HS16),0)</f>
        <v>0</v>
      </c>
      <c r="HV16" s="89">
        <f>IFERROR(IF(AND($HU$2&lt;&gt;"Enter Spend&gt;&gt;&gt;",HV2="EXISTING"),SUMIFS('Existing Customers'!$N:$N,'Existing Customers'!$A:$A,$HU$1,'Existing Customers'!$H:$H,$HT16)*$HU$4,$HU16/$IF16),0)</f>
        <v>0</v>
      </c>
      <c r="HW16" s="95">
        <f>IFERROR(IF(AND($HU$2&lt;&gt;"Enter Spend&gt;&gt;&gt;",HV2="EXISTING"),SUMIFS('Existing Customers'!$O:$O,'Existing Customers'!$H:$H,$HT16,'Existing Customers'!$A:$A,$HU$1)*$HU$4,$HV16*$HU$8),0)</f>
        <v>0</v>
      </c>
      <c r="HX16" s="95">
        <f>IFERROR(IF(AND($HU$2&lt;&gt;"Enter Spend&gt;&gt;&gt;",HV2="EXISTING"),SUMIFS('Existing Customers'!$P:$P,'Existing Customers'!$A:$A,$HU$1,'Existing Customers'!$H:$H,$HT16)*$HU$4,$HU16/$IG16),0)</f>
        <v>0</v>
      </c>
      <c r="HY16" s="402">
        <f>IFERROR(IF(AND($HU$2&lt;&gt;"Enter Spend&gt;&gt;&gt;",HV2="EXISTING"),SUMIFS('Existing Customers'!$V:$V,'Existing Customers'!$H:$H,$HT16,'Existing Customers'!$A:$A,$HU$1)*$HU$4,0),0)</f>
        <v>0</v>
      </c>
      <c r="HZ16" s="96">
        <f>IFERROR(IF(AND($HU$2&lt;&gt;"Enter Spend&gt;&gt;&gt;",HV2="EXISTING"),SUMIFS('Existing Customers'!$R:$R,'Existing Customers'!$H:$H,$HT16,'Existing Customers'!$A:$A,$HU$1)*$HU$4,0),0)</f>
        <v>0</v>
      </c>
      <c r="IA16" s="1161">
        <f>IFERROR(IF(AND($HU$2&lt;&gt;"Enter Spend&gt;&gt;&gt;",HV2="EXISTING"),SUMIFS('Existing Customers'!$S:$S,'Existing Customers'!$H:$H,$HT16,'Existing Customers'!$A:$A,$HU$1),IK16*HU16),0)</f>
        <v>0</v>
      </c>
      <c r="IB16" s="1161">
        <f>IFERROR(IF(AND($HU$2&lt;&gt;"Enter Spend&gt;&gt;&gt;",HV2="EXISTING"),SUMIFS('Existing Customers'!$U:$U,'Existing Customers'!$H:$H,$HT16,'Existing Customers'!$A:$A,$HU$1),IL16*HU16),0)</f>
        <v>0</v>
      </c>
      <c r="IC16" s="1164" t="e">
        <f t="shared" si="40"/>
        <v>#N/A</v>
      </c>
      <c r="ID16" s="1164">
        <f t="array" ref="ID16">IFERROR(INDEX('Margin Guidence Table'!$A$1:$AD$30000,MATCH(1,('Margin Guidence Table'!$A$1:$A$10000=IC16)*('Margin Guidence Table'!$H$1:$H$10000&lt;=ROUND($HU$3,0))*('Margin Guidence Table'!$G$1:$G$10000&gt;=ROUND($HU$3,0)),0),MATCH("DATA_POINTS",'Margin Guidence Table'!$A$1:$AC$1,0)),0)</f>
        <v>0</v>
      </c>
      <c r="IE16" s="1161" t="str">
        <f t="shared" si="41"/>
        <v>DEFAULT</v>
      </c>
      <c r="IF16" s="1161">
        <f t="array" ref="IF16">IFERROR(IF($IE16="SEGMENT",INDEX('Margin Guidence Table'!$A$1:$AC$10000,MATCH(1,('Margin Guidence Table'!$A$1:$A$10000=IC16)*('Margin Guidence Table'!$H$1:$H$10000&lt;=ROUND($HU$3,0))*('Margin Guidence Table'!$G$1:$G$10000&gt;=ROUND($HU$3,0)),0),MATCH("SALES_CASE",'Margin Guidence Table'!$A$1:$AC$1,0)),INDEX('Margin Guidence Table'!$A$1:$AC$10000,MATCH(1,('Margin Guidence Table'!$A$1:$A$10000=IC16)*('Margin Guidence Table'!$H$1:$H$10000&lt;=ROUND($HU$3,0))*('Margin Guidence Table'!$G$1:$G$10000&gt;=ROUND($HU$3,0)),0),MATCH("DEFAULT_SALES_CASE",'Margin Guidence Table'!$A$1:$AC$1,0))),0)</f>
        <v>0</v>
      </c>
      <c r="IG16" s="1161">
        <f t="array" ref="IG16">IFERROR(IF($IE16="SEGMENT",INDEX('Margin Guidence Table'!$A$1:$AC$10000,MATCH(1,('Margin Guidence Table'!$A$1:$A$10000=IC16)*('Margin Guidence Table'!$H$1:$H$10000&lt;=ROUND($HU$3,0))*('Margin Guidence Table'!$G$1:$G$10000&gt;=ROUND($HU$3,0)),0),MATCH("SALES_LBS",'Margin Guidence Table'!$A$1:$AC$1,0)),INDEX('Margin Guidence Table'!$A$1:$AC$10000,MATCH(1,('Margin Guidence Table'!$A$1:$A$10000=IC16)*('Margin Guidence Table'!$H$1:$H$10000&lt;=ROUND($HU$3,0))*('Margin Guidence Table'!$G$1:$G$10000&gt;=ROUND($HU$3,0)),0),MATCH("DEFAULT_SALES_LBS",'Margin Guidence Table'!$A$1:$AC$1,0))),0)</f>
        <v>0</v>
      </c>
      <c r="IH16" s="1165">
        <f t="array" ref="IH16">IFERROR(IF($IE16="SEGMENT",INDEX('Margin Guidence Table'!$A$1:$AC$10000,MATCH(1,('Margin Guidence Table'!$A$1:$A$10000=IC16)*('Margin Guidence Table'!$H$1:$H$10000&lt;=ROUND($HU$3,0))*('Margin Guidence Table'!$G$1:$G$10000&gt;=ROUND($HU$3,0)),0),MATCH("MDA_MIN_MARGIN_GUIDENCE",'Margin Guidence Table'!$A$1:$AC$1,0)),INDEX('Margin Guidence Table'!$A$1:$AC$10000,MATCH(1,('Margin Guidence Table'!$A$1:$A$10000=IC16)*('Margin Guidence Table'!$H$1:$H$10000&lt;=ROUND($HU$3,0))*('Margin Guidence Table'!$G$1:$G$10000&gt;=ROUND($HU$3,0)),0),MATCH("DEFAULT_MDA_MIN_MARGIN_GUIDENCE",'Margin Guidence Table'!$A$1:$AC$1,0))),0)</f>
        <v>0</v>
      </c>
      <c r="II16" s="1165">
        <f t="array" ref="II16">IFERROR(IF($IE16="SEGMENT",INDEX('Margin Guidence Table'!$A$1:$AC$10000,MATCH(1,('Margin Guidence Table'!$A$1:$A$10000=IC16)*('Margin Guidence Table'!$H$1:$H$10000&lt;=ROUND($HU$3,0))*('Margin Guidence Table'!$G$1:$G$10000&gt;=ROUND($HU$3,0)),0),MATCH("MDA_MEDIAN_MARGIN_GUIDENCE",'Margin Guidence Table'!$A$1:$AC$1,0)),INDEX('Margin Guidence Table'!$A$1:$AC$10000,MATCH(1,('Margin Guidence Table'!$A$1:$A$10000=IC16)*('Margin Guidence Table'!$H$1:$H$10000&lt;=ROUND($HU$3,0))*('Margin Guidence Table'!$G$1:$G$10000&gt;=ROUND($HU$3,0)),0),MATCH("DEFAULT_MDA_MEDIAN_MARGIN_GUIDENCE",'Margin Guidence Table'!$A$1:$AC$1,0))),0)</f>
        <v>0</v>
      </c>
      <c r="IJ16" s="1165">
        <f t="array" ref="IJ16">IFERROR(IF($IE16="SEGMENT",INDEX('Margin Guidence Table'!$A$1:$AC$10000,MATCH(1,('Margin Guidence Table'!$A$1:$A$10000=IC16)*('Margin Guidence Table'!$H$1:$H$10000&lt;=ROUND($HU$3,0))*('Margin Guidence Table'!$G$1:$G$10000&gt;=ROUND($HU$3,0)),0),MATCH("MDA_MAX_MARGIN_GUIDENCE",'Margin Guidence Table'!$A$1:$AC$1,0)),INDEX('Margin Guidence Table'!$A$1:$AC$10000,MATCH(1,('Margin Guidence Table'!$A$1:$A$10000=IC16)*('Margin Guidence Table'!$H$1:$H$10000&lt;=ROUND($HU$3,0))*('Margin Guidence Table'!$G$1:$G$10000&gt;=ROUND($HU$3,0)),0),MATCH("DEFAULT_MDA_MAX_MARGIN_GUIDENCE",'Margin Guidence Table'!$A$1:$AC$1,0))),0)</f>
        <v>0</v>
      </c>
      <c r="IK16" s="1165">
        <f t="array" ref="IK16">IFERROR(IF($IE16="SEGMENT",INDEX('Margin Guidence Table'!$A$1:$AC$10000,MATCH(1,('Margin Guidence Table'!$A$1:$A$10000=IC16)*('Margin Guidence Table'!$H$1:$H$10000&lt;=ROUND($HU$3,0))*('Margin Guidence Table'!$G$1:$G$10000&gt;=ROUND($HU$3,0)),0),MATCH("PA_PCT_SALES",'Margin Guidence Table'!$A$1:$AC$1,0)),INDEX('Margin Guidence Table'!$A$1:$AC$10000,MATCH(1,('Margin Guidence Table'!$A$1:$A$10000=IC16)*('Margin Guidence Table'!$H$1:$H$10000&lt;=ROUND($HU$3,0))*('Margin Guidence Table'!$G$1:$G$10000&gt;=ROUND($HU$3,0)),0),MATCH("DEFAULT_PA_PCT_SALES",'Margin Guidence Table'!$A$1:$AC$1,0))),0)</f>
        <v>0</v>
      </c>
      <c r="IL16" s="1165">
        <f t="array" ref="IL16">IFERROR(IF($IE16="SEGMENT",INDEX('Margin Guidence Table'!$A$1:$AC$10000,MATCH(1,('Margin Guidence Table'!$A$1:$A$10000=IC16)*('Margin Guidence Table'!$H$1:$H$10000&lt;=ROUND($HU$3,0))*('Margin Guidence Table'!$G$1:$G$10000&gt;=ROUND($HU$3,0)),0),MATCH("SELF_FUND_PCT_SALES",'Margin Guidence Table'!$A$1:$AC$1,0)),INDEX('Margin Guidence Table'!$A$1:$AC$10000,MATCH(1,('Margin Guidence Table'!$A$1:$A$10000=IC16)*('Margin Guidence Table'!$H$1:$H$10000&lt;=ROUND($HU$3,0))*('Margin Guidence Table'!$G$1:$G$10000&gt;=ROUND($HU$3,0)),0),MATCH("DEFAULT_SELF_FUND_PCT_SALES",'Margin Guidence Table'!$A$1:$AC$1,0))),0)</f>
        <v>0</v>
      </c>
      <c r="IM16" s="1165">
        <f t="array" ref="IM16">IFERROR(IF($IE16="SEGMENT",INDEX('Margin Guidence Table'!$A$1:$AC$10000,MATCH(1,('Margin Guidence Table'!$A$1:$A$10000=IC16)*('Margin Guidence Table'!$H$1:$H$10000&lt;=ROUND($HU$3,0))*('Margin Guidence Table'!$G$1:$G$10000&gt;=ROUND($HU$3,0)),0),MATCH("CIA_MEDIAN_MARGIN_GUIDENCE",'Margin Guidence Table'!$A$1:$AC$1,0)),INDEX('Margin Guidence Table'!$A$1:$AC$10000,MATCH(1,('Margin Guidence Table'!$A$1:$A$10000=IC16)*('Margin Guidence Table'!$H$1:$H$10000&lt;=ROUND($HU$3,0))*('Margin Guidence Table'!$G$1:$G$10000&gt;=ROUND($HU$3,0)),0),MATCH("DEFAULT_CIA_MEDIAN_MARGIN_GUIDENCE",'Margin Guidence Table'!$A$1:$AC$1,0))),0)</f>
        <v>0</v>
      </c>
      <c r="IN16" s="129"/>
      <c r="IO16" s="18">
        <f t="array" ref="IO16">IFERROR(IF($JA16="SEGMENT",INDEX('Margin Guidence Table'!$A$1:$AC$10000,MATCH(1,('Margin Guidence Table'!$A$1:$A$10000=$IY16)*('Margin Guidence Table'!$H$1:$H$10000&lt;=ROUND($IQ$3,0))*('Margin Guidence Table'!$G$1:$G$10000&gt;=ROUND($IQ$3,0)),0),MATCH("PCT_SALES",'Margin Guidence Table'!$A$1:$AC$1,0)),INDEX('Margin Guidence Table'!$A$1:$AC$10000,MATCH(1,('Margin Guidence Table'!$A$1:$A$10000=$IY16)*('Margin Guidence Table'!$H$1:$H$10000&lt;=ROUND($IQ$3,0))*('Margin Guidence Table'!$G$1:$G$10000&gt;=ROUND($IQ$3,0)),0),MATCH("DEFAULT_PCT_SALES",'Margin Guidence Table'!$A$1:$AC$1,0))),0)</f>
        <v>0</v>
      </c>
      <c r="IP16" s="102" t="s">
        <v>1445</v>
      </c>
      <c r="IQ16" s="94">
        <f>IFERROR(IF(AND($IQ$2&lt;&gt;"Enter Spend&gt;&gt;&gt;",IR2="EXISTING"),SUMIFS('Existing Customers'!$Q:$Q,'Existing Customers'!$A:$A,$IQ$1,'Existing Customers'!$H:$H,$IP16)*$IQ$4,$IQ$3*$IO16),0)</f>
        <v>0</v>
      </c>
      <c r="IR16" s="89">
        <f>IFERROR(IF(AND($IQ$2&lt;&gt;"Enter Spend&gt;&gt;&gt;",IR2="EXISTING"),SUMIFS('Existing Customers'!$N:$N,'Existing Customers'!$A:$A,$IQ$1,'Existing Customers'!$H:$H,$IP16)*$IQ$4,$IQ16/$JB16),0)</f>
        <v>0</v>
      </c>
      <c r="IS16" s="95">
        <f>IFERROR(IF(AND($IQ$2&lt;&gt;"Enter Spend&gt;&gt;&gt;",IR2="EXISTING"),SUMIFS('Existing Customers'!$O:$O,'Existing Customers'!$H:$H,$IP16,'Existing Customers'!$A:$A,$IQ$1)*$IQ$4,$IR16*$IQ$8),0)</f>
        <v>0</v>
      </c>
      <c r="IT16" s="95">
        <f>IFERROR(IF(AND($IQ$2&lt;&gt;"Enter Spend&gt;&gt;&gt;",IR2="EXISTING"),SUMIFS('Existing Customers'!$P:$P,'Existing Customers'!$A:$A,$IQ$1,'Existing Customers'!$H:$H,$IP16)*$IQ$4,$IQ16/$JC16),0)</f>
        <v>0</v>
      </c>
      <c r="IU16" s="402">
        <f>IFERROR(IF(AND($IQ$2&lt;&gt;"Enter Spend&gt;&gt;&gt;",IR2="EXISTING"),SUMIFS('Existing Customers'!$V:$V,'Existing Customers'!$H:$H,$IP16,'Existing Customers'!$A:$A,$IQ$1)*$IQ$4,0),0)</f>
        <v>0</v>
      </c>
      <c r="IV16" s="96">
        <f>IFERROR(IF(AND($IQ$2&lt;&gt;"Enter Spend&gt;&gt;&gt;",IR2="EXISTING"),SUMIFS('Existing Customers'!$R:$R,'Existing Customers'!$H:$H,$IP16,'Existing Customers'!$A:$A,$IQ$1)*$IQ$4,0),0)</f>
        <v>0</v>
      </c>
      <c r="IW16" s="1161">
        <f>IFERROR(IF(AND($IQ$2&lt;&gt;"Enter Spend&gt;&gt;&gt;",IR2="EXISTING"),SUMIFS('Existing Customers'!$S:$S,'Existing Customers'!$H:$H,$IP16,'Existing Customers'!$A:$A,$IQ$1),JG16*IQ16),0)</f>
        <v>0</v>
      </c>
      <c r="IX16" s="1161">
        <f>IFERROR(IF(AND($IQ$2&lt;&gt;"Enter Spend&gt;&gt;&gt;",IR2="EXISTING"),SUMIFS('Existing Customers'!$U:$U,'Existing Customers'!$H:$H,$IP16,'Existing Customers'!$A:$A,$IQ$1),JH16*IQ16),0)</f>
        <v>0</v>
      </c>
      <c r="IY16" s="1164" t="e">
        <f t="shared" si="42"/>
        <v>#N/A</v>
      </c>
      <c r="IZ16" s="1164">
        <f t="array" ref="IZ16">IFERROR(INDEX('Margin Guidence Table'!$A$1:$AD$30000,MATCH(1,('Margin Guidence Table'!$A$1:$A$10000=IY16)*('Margin Guidence Table'!$H$1:$H$10000&lt;=ROUND($IQ$3,0))*('Margin Guidence Table'!$G$1:$G$10000&gt;=ROUND($IQ$3,0)),0),MATCH("DATA_POINTS",'Margin Guidence Table'!$A$1:$AC$1,0)),0)</f>
        <v>0</v>
      </c>
      <c r="JA16" s="1161" t="str">
        <f t="shared" si="43"/>
        <v>DEFAULT</v>
      </c>
      <c r="JB16" s="1161">
        <f t="array" ref="JB16">IFERROR(IF($JA16="SEGMENT",INDEX('Margin Guidence Table'!$A$1:$AC$10000,MATCH(1,('Margin Guidence Table'!$A$1:$A$10000=IY16)*('Margin Guidence Table'!$H$1:$H$10000&lt;=ROUND($IQ$3,0))*('Margin Guidence Table'!$G$1:$G$10000&gt;=ROUND($IQ$3,0)),0),MATCH("SALES_CASE",'Margin Guidence Table'!$A$1:$AC$1,0)),INDEX('Margin Guidence Table'!$A$1:$AC$10000,MATCH(1,('Margin Guidence Table'!$A$1:$A$10000=IY16)*('Margin Guidence Table'!$H$1:$H$10000&lt;=ROUND($IQ$3,0))*('Margin Guidence Table'!$G$1:$G$10000&gt;=ROUND($IQ$3,0)),0),MATCH("DEFAULT_SALES_CASE",'Margin Guidence Table'!$A$1:$AC$1,0))),0)</f>
        <v>0</v>
      </c>
      <c r="JC16" s="1161">
        <f t="array" ref="JC16">IFERROR(IF($JA16="SEGMENT",INDEX('Margin Guidence Table'!$A$1:$AC$10000,MATCH(1,('Margin Guidence Table'!$A$1:$A$10000=IY16)*('Margin Guidence Table'!$H$1:$H$10000&lt;=ROUND($IQ$3,0))*('Margin Guidence Table'!$G$1:$G$10000&gt;=ROUND($IQ$3,0)),0),MATCH("SALES_LBS",'Margin Guidence Table'!$A$1:$AC$1,0)),INDEX('Margin Guidence Table'!$A$1:$AC$10000,MATCH(1,('Margin Guidence Table'!$A$1:$A$10000=IY16)*('Margin Guidence Table'!$H$1:$H$10000&lt;=ROUND($IQ$3,0))*('Margin Guidence Table'!$G$1:$G$10000&gt;=ROUND($IQ$3,0)),0),MATCH("DEFAULT_SALES_LBS",'Margin Guidence Table'!$A$1:$AC$1,0))),0)</f>
        <v>0</v>
      </c>
      <c r="JD16" s="1165">
        <f t="array" ref="JD16">IFERROR(IF($JA16="SEGMENT",INDEX('Margin Guidence Table'!$A$1:$AC$10000,MATCH(1,('Margin Guidence Table'!$A$1:$A$10000=IY16)*('Margin Guidence Table'!$H$1:$H$10000&lt;=ROUND($IQ$3,0))*('Margin Guidence Table'!$G$1:$G$10000&gt;=ROUND($IQ$3,0)),0),MATCH("MDA_MIN_MARGIN_GUIDENCE",'Margin Guidence Table'!$A$1:$AC$1,0)),INDEX('Margin Guidence Table'!$A$1:$AC$10000,MATCH(1,('Margin Guidence Table'!$A$1:$A$10000=IY16)*('Margin Guidence Table'!$H$1:$H$10000&lt;=ROUND($IQ$3,0))*('Margin Guidence Table'!$G$1:$G$10000&gt;=ROUND($IQ$3,0)),0),MATCH("DEFAULT_MDA_MIN_MARGIN_GUIDENCE",'Margin Guidence Table'!$A$1:$AC$1,0))),0)</f>
        <v>0</v>
      </c>
      <c r="JE16" s="1165">
        <f t="array" ref="JE16">IFERROR(IF($JA16="SEGMENT",INDEX('Margin Guidence Table'!$A$1:$AC$10000,MATCH(1,('Margin Guidence Table'!$A$1:$A$10000=IY16)*('Margin Guidence Table'!$H$1:$H$10000&lt;=ROUND($IQ$3,0))*('Margin Guidence Table'!$G$1:$G$10000&gt;=ROUND($IQ$3,0)),0),MATCH("MDA_MEDIAN_MARGIN_GUIDENCE",'Margin Guidence Table'!$A$1:$AC$1,0)),INDEX('Margin Guidence Table'!$A$1:$AC$10000,MATCH(1,('Margin Guidence Table'!$A$1:$A$10000=IY16)*('Margin Guidence Table'!$H$1:$H$10000&lt;=ROUND($IQ$3,0))*('Margin Guidence Table'!$G$1:$G$10000&gt;=ROUND($IQ$3,0)),0),MATCH("DEFAULT_MDA_MEDIAN_MARGIN_GUIDENCE",'Margin Guidence Table'!$A$1:$AC$1,0))),0)</f>
        <v>0</v>
      </c>
      <c r="JF16" s="1165">
        <f t="array" ref="JF16">IFERROR(IF($JA16="SEGMENT",INDEX('Margin Guidence Table'!$A$1:$AC$10000,MATCH(1,('Margin Guidence Table'!$A$1:$A$10000=IY16)*('Margin Guidence Table'!$H$1:$H$10000&lt;=ROUND($IQ$3,0))*('Margin Guidence Table'!$G$1:$G$10000&gt;=ROUND($IQ$3,0)),0),MATCH("MDA_MAX_MARGIN_GUIDENCE",'Margin Guidence Table'!$A$1:$AC$1,0)),INDEX('Margin Guidence Table'!$A$1:$AC$10000,MATCH(1,('Margin Guidence Table'!$A$1:$A$10000=IY16)*('Margin Guidence Table'!$H$1:$H$10000&lt;=ROUND($IQ$3,0))*('Margin Guidence Table'!$G$1:$G$10000&gt;=ROUND($IQ$3,0)),0),MATCH("DEFAULT_MDA_MAX_MARGIN_GUIDENCE",'Margin Guidence Table'!$A$1:$AC$1,0))),0)</f>
        <v>0</v>
      </c>
      <c r="JG16" s="1165">
        <f t="array" ref="JG16">IFERROR(IF($JA16="SEGMENT",INDEX('Margin Guidence Table'!$A$1:$AC$10000,MATCH(1,('Margin Guidence Table'!$A$1:$A$10000=IY16)*('Margin Guidence Table'!$H$1:$H$10000&lt;=ROUND($IQ$3,0))*('Margin Guidence Table'!$G$1:$G$10000&gt;=ROUND($IQ$3,0)),0),MATCH("PA_PCT_SALES",'Margin Guidence Table'!$A$1:$AC$1,0)),INDEX('Margin Guidence Table'!$A$1:$AC$10000,MATCH(1,('Margin Guidence Table'!$A$1:$A$10000=IY16)*('Margin Guidence Table'!$H$1:$H$10000&lt;=ROUND($IQ$3,0))*('Margin Guidence Table'!$G$1:$G$10000&gt;=ROUND($IQ$3,0)),0),MATCH("DEFAULT_PA_PCT_SALES",'Margin Guidence Table'!$A$1:$AC$1,0))),0)</f>
        <v>0</v>
      </c>
      <c r="JH16" s="1165">
        <f t="array" ref="JH16">IFERROR(IF($JA16="SEGMENT",INDEX('Margin Guidence Table'!$A$1:$AC$10000,MATCH(1,('Margin Guidence Table'!$A$1:$A$10000=IY16)*('Margin Guidence Table'!$H$1:$H$10000&lt;=ROUND($IQ$3,0))*('Margin Guidence Table'!$G$1:$G$10000&gt;=ROUND($IQ$3,0)),0),MATCH("SELF_FUND_PCT_SALES",'Margin Guidence Table'!$A$1:$AC$1,0)),INDEX('Margin Guidence Table'!$A$1:$AC$10000,MATCH(1,('Margin Guidence Table'!$A$1:$A$10000=IY16)*('Margin Guidence Table'!$H$1:$H$10000&lt;=ROUND($IQ$3,0))*('Margin Guidence Table'!$G$1:$G$10000&gt;=ROUND($IQ$3,0)),0),MATCH("DEFAULT_SELF_FUND_PCT_SALES",'Margin Guidence Table'!$A$1:$AC$1,0))),0)</f>
        <v>0</v>
      </c>
      <c r="JI16" s="1165">
        <f t="array" ref="JI16">IFERROR(IF($JA16="SEGMENT",INDEX('Margin Guidence Table'!$A$1:$AC$10000,MATCH(1,('Margin Guidence Table'!$A$1:$A$10000=IY16)*('Margin Guidence Table'!$H$1:$H$10000&lt;=ROUND($IQ$3,0))*('Margin Guidence Table'!$G$1:$G$10000&gt;=ROUND($IQ$3,0)),0),MATCH("CIA_MEDIAN_MARGIN_GUIDENCE",'Margin Guidence Table'!$A$1:$AC$1,0)),INDEX('Margin Guidence Table'!$A$1:$AC$10000,MATCH(1,('Margin Guidence Table'!$A$1:$A$10000=IY16)*('Margin Guidence Table'!$H$1:$H$10000&lt;=ROUND($IQ$3,0))*('Margin Guidence Table'!$G$1:$G$10000&gt;=ROUND($IQ$3,0)),0),MATCH("DEFAULT_CIA_MEDIAN_MARGIN_GUIDENCE",'Margin Guidence Table'!$A$1:$AC$1,0))),0)</f>
        <v>0</v>
      </c>
      <c r="JK16" s="102" t="s">
        <v>1445</v>
      </c>
      <c r="JL16" s="97"/>
      <c r="JM16" s="89"/>
      <c r="JN16" s="89"/>
      <c r="JO16" s="89"/>
      <c r="JP16" s="114"/>
      <c r="JQ16" s="98"/>
      <c r="JR16" s="129"/>
      <c r="JT16" s="102" t="s">
        <v>1445</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44"/>
        <v>#DIV/0!</v>
      </c>
      <c r="AV17" s="400"/>
      <c r="AW17" s="400"/>
      <c r="AX17" s="108">
        <v>6</v>
      </c>
      <c r="AY17" s="18">
        <f t="array" ref="AY17">IFERROR(IF($BK17="SEGMENT",INDEX('Margin Guidence Table'!$A$1:$AC$10000,MATCH(1,('Margin Guidence Table'!$A$1:$A$10000=$BI17)*('Margin Guidence Table'!$H$1:$H$10000&lt;=ROUND($BA$3,0))*('Margin Guidence Table'!$G$1:$G$10000&gt;=ROUND($BA$3,0)),0),MATCH("PCT_SALES",'Margin Guidence Table'!$A$1:$AC$1,0)),INDEX('Margin Guidence Table'!$A$1:$AC$10000,MATCH(1,('Margin Guidence Table'!$A$1:$A$10000=$BI17)*('Margin Guidence Table'!$H$1:$H$10000&lt;=ROUND($BA$3,0))*('Margin Guidence Table'!$G$1:$G$10000&gt;=ROUND($BA$3,0)),0),MATCH("DEFAULT_PCT_SALES",'Margin Guidence Table'!$A$1:$AC$1,0))),0)</f>
        <v>0</v>
      </c>
      <c r="AZ17" s="102" t="s">
        <v>102</v>
      </c>
      <c r="BA17" s="94">
        <f>IFERROR(IF(AND($BA$2&lt;&gt;"Enter Spend&gt;&gt;&gt;",BB2="EXISTING"),SUMIFS('Existing Customers'!$Q:$Q,'Existing Customers'!$A:$A,$BA$1,'Existing Customers'!$H:$H,$AZ17)*$BA$4,$BA$3*$AY17),0)</f>
        <v>0</v>
      </c>
      <c r="BB17" s="95">
        <f>IFERROR(IF(AND($BA$2&lt;&gt;"Enter Spend&gt;&gt;&gt;",BB2="EXISTING"),SUMIFS('Existing Customers'!$N:$N,'Existing Customers'!$A:$A,$BA$1,'Existing Customers'!$H:$H,$AZ17)*$BA$4,$BA17/$BL17),0)</f>
        <v>0</v>
      </c>
      <c r="BC17" s="95">
        <f>IFERROR(IF(AND($BA$2&lt;&gt;"Enter Spend&gt;&gt;&gt;",BB2="EXISTING"),SUMIFS('Existing Customers'!$O:$O,'Existing Customers'!$H:$H,$AZ17,'Existing Customers'!$A:$A,$BA$1)*$BA$4,$BB17*$BA$8),0)</f>
        <v>0</v>
      </c>
      <c r="BD17" s="95">
        <f>IFERROR(IF(AND($BA$2&lt;&gt;"Enter Spend&gt;&gt;&gt;",BB2="EXISTING"),SUMIFS('Existing Customers'!$P:$P,'Existing Customers'!$A:$A,$BA$1,'Existing Customers'!$H:$H,$AZ17)*$BA$4,$BA17/$BM17),0)</f>
        <v>0</v>
      </c>
      <c r="BE17" s="402">
        <f>IFERROR(IF(AND($BA$2&lt;&gt;"Enter Spend&gt;&gt;&gt;",BB2="EXISTING"),SUMIFS('Existing Customers'!$V:$V,'Existing Customers'!$H:$H,$AZ17,'Existing Customers'!$A:$A,$BA$1)*$BA$4,0),0)</f>
        <v>0</v>
      </c>
      <c r="BF17" s="96">
        <f>IFERROR(IF(AND($BA$2&lt;&gt;"Enter Spend&gt;&gt;&gt;",BB2="EXISTING"),SUMIFS('Existing Customers'!$R:$R,'Existing Customers'!$H:$H,$AZ17,'Existing Customers'!$A:$A,$BA$1)*$BA$4,0),0)</f>
        <v>0</v>
      </c>
      <c r="BG17" s="96">
        <f>IFERROR(IF(AND($BA$2&lt;&gt;"Enter Spend&gt;&gt;&gt;",BB2="EXISTING"),SUMIFS('Existing Customers'!$S:$S,'Existing Customers'!$H:$H,$AZ17,'Existing Customers'!$A:$A,$BA$1),BQ17*BA17),0)</f>
        <v>0</v>
      </c>
      <c r="BH17" s="96">
        <f>IFERROR(IF(AND($BA$2&lt;&gt;"Enter Spend&gt;&gt;&gt;",BB2="EXISTING"),SUMIFS('Existing Customers'!$U:$U,'Existing Customers'!$H:$H,$AZ17,'Existing Customers'!$A:$A,$BA$1),BR17*BA17),0)</f>
        <v>0</v>
      </c>
      <c r="BI17" s="1163" t="e">
        <f t="shared" si="24"/>
        <v>#N/A</v>
      </c>
      <c r="BJ17" s="1164">
        <f t="array" ref="BJ17">IFERROR(INDEX('Margin Guidence Table'!$A$1:$AD$30000,MATCH(1,('Margin Guidence Table'!$A$1:$A$10000=$BI17)*('Margin Guidence Table'!$H$1:$H$10000&lt;=ROUND($BA$3,0))*('Margin Guidence Table'!$G$1:$G$10000&gt;=ROUND($BA$3,0)),0),MATCH("DATA_POINTS",'Margin Guidence Table'!$A$1:$AC$1,0)),0)</f>
        <v>0</v>
      </c>
      <c r="BK17" s="1161" t="str">
        <f t="shared" si="25"/>
        <v>DEFAULT</v>
      </c>
      <c r="BL17" s="1161">
        <f t="array" ref="BL17">IFERROR(IF($BK17="SEGMENT",INDEX('Margin Guidence Table'!$A$1:$AC$10000,MATCH(1,('Margin Guidence Table'!$A$1:$A$10000=$BI17)*('Margin Guidence Table'!$H$1:$H$10000&lt;=ROUND($BA$3,0))*('Margin Guidence Table'!$G$1:$G$10000&gt;=ROUND($BA$3,0)),0),MATCH("SALES_CASE",'Margin Guidence Table'!$A$1:$AC$1,0)),INDEX('Margin Guidence Table'!$A$1:$AC$10000,MATCH(1,('Margin Guidence Table'!$A$1:$A$10000=$BI17)*('Margin Guidence Table'!$H$1:$H$10000&lt;=ROUND($BA$3,0))*('Margin Guidence Table'!$G$1:$G$10000&gt;=ROUND($BA$3,0)),0),MATCH("DEFAULT_SALES_CASE",'Margin Guidence Table'!$A$1:$AC$1,0))),0)</f>
        <v>0</v>
      </c>
      <c r="BM17" s="1161">
        <f t="array" ref="BM17">IFERROR(IF($BK17="SEGMENT",INDEX('Margin Guidence Table'!$A$1:$AC$10000,MATCH(1,('Margin Guidence Table'!$A$1:$A$10000=$BI17)*('Margin Guidence Table'!$H$1:$H$10000&lt;=ROUND($BA$3,0))*('Margin Guidence Table'!$G$1:$G$10000&gt;=ROUND($BA$3,0)),0),MATCH("SALES_LBS",'Margin Guidence Table'!$A$1:$AC$1,0)),INDEX('Margin Guidence Table'!$A$1:$AC$10000,MATCH(1,('Margin Guidence Table'!$A$1:$A$10000=$BI17)*('Margin Guidence Table'!$H$1:$H$10000&lt;=ROUND($BA$3,0))*('Margin Guidence Table'!$G$1:$G$10000&gt;=ROUND($BA$3,0)),0),MATCH("DEFAULT_SALES_LBS",'Margin Guidence Table'!$A$1:$AC$1,0))),0)</f>
        <v>0</v>
      </c>
      <c r="BN17" s="1165">
        <f t="array" ref="BN17">IFERROR(IF($BK17="SEGMENT",INDEX('Margin Guidence Table'!$A$1:$AC$10000,MATCH(1,('Margin Guidence Table'!$A$1:$A$10000=$BI17)*('Margin Guidence Table'!$H$1:$H$10000&lt;=ROUND($BA$3,0))*('Margin Guidence Table'!$G$1:$G$10000&gt;=ROUND($BA$3,0)),0),MATCH("MDA_MIN_MARGIN_GUIDENCE",'Margin Guidence Table'!$A$1:$AC$1,0)),INDEX('Margin Guidence Table'!$A$1:$AC$10000,MATCH(1,('Margin Guidence Table'!$A$1:$A$10000=$BI17)*('Margin Guidence Table'!$H$1:$H$10000&lt;=ROUND($BA$3,0))*('Margin Guidence Table'!$G$1:$G$10000&gt;=ROUND($BA$3,0)),0),MATCH("DEFAULT_MDA_MIN_MARGIN_GUIDENCE",'Margin Guidence Table'!$A$1:$AC$1,0))),0)</f>
        <v>0</v>
      </c>
      <c r="BO17" s="1165">
        <f t="array" ref="BO17">IFERROR(IF($BK17="SEGMENT",INDEX('Margin Guidence Table'!$A$1:$AC$10000,MATCH(1,('Margin Guidence Table'!$A$1:$A$10000=$BI17)*('Margin Guidence Table'!$H$1:$H$10000&lt;=ROUND($BA$3,0))*('Margin Guidence Table'!$G$1:$G$10000&gt;=ROUND($BA$3,0)),0),MATCH("MDA_MEDIAN_MARGIN_GUIDENCE",'Margin Guidence Table'!$A$1:$AC$1,0)),INDEX('Margin Guidence Table'!$A$1:$AC$10000,MATCH(1,('Margin Guidence Table'!$A$1:$A$10000=$BI17)*('Margin Guidence Table'!$H$1:$H$10000&lt;=ROUND($BA$3,0))*('Margin Guidence Table'!$G$1:$G$10000&gt;=ROUND($BA$3,0)),0),MATCH("DEFAULT_MDA_MEDIAN_MARGIN_GUIDENCE",'Margin Guidence Table'!$A$1:$AC$1,0))),0)</f>
        <v>0</v>
      </c>
      <c r="BP17" s="1165">
        <f t="array" ref="BP17">IFERROR(IF($BK17="SEGMENT",INDEX('Margin Guidence Table'!$A$1:$AC$10000,MATCH(1,('Margin Guidence Table'!$A$1:$A$10000=$BI17)*('Margin Guidence Table'!$H$1:$H$10000&lt;=ROUND($BA$3,0))*('Margin Guidence Table'!$G$1:$G$10000&gt;=ROUND($BA$3,0)),0),MATCH("MDA_MAX_MARGIN_GUIDENCE",'Margin Guidence Table'!$A$1:$AC$1,0)),INDEX('Margin Guidence Table'!$A$1:$AC$10000,MATCH(1,('Margin Guidence Table'!$A$1:$A$10000=$BI17)*('Margin Guidence Table'!$H$1:$H$10000&lt;=ROUND($BA$3,0))*('Margin Guidence Table'!$G$1:$G$10000&gt;=ROUND($BA$3,0)),0),MATCH("DEFAULT_MDA_MAX_MARGIN_GUIDENCE",'Margin Guidence Table'!$A$1:$AC$1,0))),0)</f>
        <v>0</v>
      </c>
      <c r="BQ17" s="1165">
        <f t="array" ref="BQ17">IFERROR(IF($BK17="SEGMENT",INDEX('Margin Guidence Table'!$A$1:$AC$10000,MATCH(1,('Margin Guidence Table'!$A$1:$A$10000=$BI17)*('Margin Guidence Table'!$H$1:$H$10000&lt;=ROUND($BA$3,0))*('Margin Guidence Table'!$G$1:$G$10000&gt;=ROUND($BA$3,0)),0),MATCH("PA_PCT_SALES",'Margin Guidence Table'!$A$1:$AC$1,0)),INDEX('Margin Guidence Table'!$A$1:$AC$10000,MATCH(1,('Margin Guidence Table'!$A$1:$A$10000=$BI17)*('Margin Guidence Table'!$H$1:$H$10000&lt;=ROUND($BA$3,0))*('Margin Guidence Table'!$G$1:$G$10000&gt;=ROUND($BA$3,0)),0),MATCH("DEFAULT_PA_PCT_SALES",'Margin Guidence Table'!$A$1:$AC$1,0))),0)</f>
        <v>0</v>
      </c>
      <c r="BR17" s="1165">
        <f t="array" ref="BR17">IFERROR(IF($BK17="SEGMENT",INDEX('Margin Guidence Table'!$A$1:$AC$10000,MATCH(1,('Margin Guidence Table'!$A$1:$A$10000=$BI17)*('Margin Guidence Table'!$H$1:$H$10000&lt;=ROUND($BA$3,0))*('Margin Guidence Table'!$G$1:$G$10000&gt;=ROUND($BA$3,0)),0),MATCH("SELF_FUND_PCT_SALES",'Margin Guidence Table'!$A$1:$AC$1,0)),INDEX('Margin Guidence Table'!$A$1:$AC$10000,MATCH(1,('Margin Guidence Table'!$A$1:$A$10000=$BI17)*('Margin Guidence Table'!$H$1:$H$10000&lt;=ROUND($BA$3,0))*('Margin Guidence Table'!$G$1:$G$10000&gt;=ROUND($BA$3,0)),0),MATCH("DEFAULT_SELF_FUND_PCT_SALES",'Margin Guidence Table'!$A$1:$AC$1,0))),0)</f>
        <v>0</v>
      </c>
      <c r="BS17" s="1165">
        <f t="array" ref="BS17">IFERROR(IF($BK17="SEGMENT",INDEX('Margin Guidence Table'!$A$1:$AC$10000,MATCH(1,('Margin Guidence Table'!$A$1:$A$10000=$BI17)*('Margin Guidence Table'!$H$1:$H$10000&lt;=ROUND($BA$3,0))*('Margin Guidence Table'!$G$1:$G$10000&gt;=ROUND($BA$3,0)),0),MATCH("CIA_MEDIAN_MARGIN_GUIDENCE",'Margin Guidence Table'!$A$1:$AC$1,0)),INDEX('Margin Guidence Table'!$A$1:$AC$10000,MATCH(1,('Margin Guidence Table'!$A$1:$A$10000=$BI17)*('Margin Guidence Table'!$H$1:$H$10000&lt;=ROUND($BA$3,0))*('Margin Guidence Table'!$G$1:$G$10000&gt;=ROUND($BA$3,0)),0),MATCH("DEFAULT_CIA_MEDIAN_MARGIN_GUIDENCE",'Margin Guidence Table'!$A$1:$AC$1,0))),0)</f>
        <v>0</v>
      </c>
      <c r="BT17" s="129"/>
      <c r="BU17" s="18">
        <f t="array" ref="BU17">IFERROR(IF($CG17="SEGMENT",INDEX('Margin Guidence Table'!$A$1:$AC$10000,MATCH(1,('Margin Guidence Table'!$A$1:$A$10000=$CE17)*('Margin Guidence Table'!$H$1:$H$10000&lt;=ROUND($BW$3,0))*('Margin Guidence Table'!$G$1:$G$10000&gt;=ROUND($BW$3,0)),0),MATCH("PCT_SALES",'Margin Guidence Table'!$A$1:$AC$1,0)),INDEX('Margin Guidence Table'!$A$1:$AC$10000,MATCH(1,('Margin Guidence Table'!$A$1:$A$10000=$CE17)*('Margin Guidence Table'!$H$1:$H$10000&lt;=ROUND($BW$3,0))*('Margin Guidence Table'!$G$1:$G$10000&gt;=ROUND($BW$3,0)),0),MATCH("DEFAULT_PCT_SALES",'Margin Guidence Table'!$A$1:$AC$1,0))),0)</f>
        <v>0</v>
      </c>
      <c r="BV17" s="102" t="s">
        <v>102</v>
      </c>
      <c r="BW17" s="94">
        <f>IFERROR(IF(AND($BW$2&lt;&gt;"Enter Spend&gt;&gt;&gt;",BX2="EXISTING"),SUMIFS('Existing Customers'!$Q:$Q,'Existing Customers'!$A:$A,$BW$1,'Existing Customers'!$H:$H,$BV17)*$BW$4,$BW$3*$BU17),0)</f>
        <v>0</v>
      </c>
      <c r="BX17" s="89">
        <f>IFERROR(IF(AND($BW$2&lt;&gt;"Enter Spend&gt;&gt;&gt;",BX2="EXISTING"),SUMIFS('Existing Customers'!$N:$N,'Existing Customers'!$A:$A,$BW$1,'Existing Customers'!$H:$H,$BV17)*$BW$4,$BW17/$CH17),0)</f>
        <v>0</v>
      </c>
      <c r="BY17" s="95">
        <f>IFERROR(IF(AND($BW$2&lt;&gt;"Enter Spend&gt;&gt;&gt;",BX2="EXISTING"),SUMIFS('Existing Customers'!$O:$O,'Existing Customers'!$H:$H,$BV17,'Existing Customers'!$A:$A,$BW$1)*$BW$4,$BX17*$BW$8),0)</f>
        <v>0</v>
      </c>
      <c r="BZ17" s="95">
        <f>IFERROR(IF(AND($BW$2&lt;&gt;"Enter Spend&gt;&gt;&gt;",BX2="EXISTING"),SUMIFS('Existing Customers'!$P:$P,'Existing Customers'!$A:$A,$BW$1,'Existing Customers'!$H:$H,$BV17)*$BW$4,$BW17/$CI17),0)</f>
        <v>0</v>
      </c>
      <c r="CA17" s="96">
        <f>IFERROR(IF(AND($BW$2&lt;&gt;"Enter Spend&gt;&gt;&gt;",BX2="EXISTING"),SUMIFS('Existing Customers'!$V:$V,'Existing Customers'!$H:$H,$BV17,'Existing Customers'!$A:$A,$BW$1)*$BW$4,0),0)</f>
        <v>0</v>
      </c>
      <c r="CB17" s="96">
        <f>IFERROR(IF(AND($BW$2&lt;&gt;"Enter Spend&gt;&gt;&gt;",BX2="EXISTING"),SUMIFS('Existing Customers'!$R:$R,'Existing Customers'!$H:$H,$BV17,'Existing Customers'!$A:$A,$BW$1)*$BW$4,0),0)</f>
        <v>0</v>
      </c>
      <c r="CC17" s="1161">
        <f>IFERROR(IF(AND($BW$2&lt;&gt;"Enter Spend&gt;&gt;&gt;",BX2="EXISTING"),SUMIFS('Existing Customers'!$S:$S,'Existing Customers'!$H:$H,$BV17,'Existing Customers'!$A:$A,$BW$1),CM17*BW17),0)</f>
        <v>0</v>
      </c>
      <c r="CD17" s="1161">
        <f>IFERROR(IF(AND($BW$2&lt;&gt;"Enter Spend&gt;&gt;&gt;",BX2="EXISTING"),SUMIFS('Existing Customers'!$U:$U,'Existing Customers'!$H:$H,$BV17,'Existing Customers'!$A:$A,$BW$1),CN17*BW17),0)</f>
        <v>0</v>
      </c>
      <c r="CE17" s="1164" t="e">
        <f t="shared" si="26"/>
        <v>#N/A</v>
      </c>
      <c r="CF17" s="1164">
        <f t="array" ref="CF17">IFERROR(INDEX('Margin Guidence Table'!$A$1:$AD$30000,MATCH(1,('Margin Guidence Table'!$A$1:$A$10000=$CE17)*('Margin Guidence Table'!$H$1:$H$10000&lt;=ROUND($BW$3,0))*('Margin Guidence Table'!$G$1:$G$10000&gt;=ROUND($BW$3,0)),0),MATCH("DATA_POINTS",'Margin Guidence Table'!$A$1:$AC$1,0)),0)</f>
        <v>0</v>
      </c>
      <c r="CG17" s="1161" t="str">
        <f t="shared" si="27"/>
        <v>DEFAULT</v>
      </c>
      <c r="CH17" s="1161">
        <f t="array" ref="CH17">IFERROR(IF($CG17="SEGMENT",INDEX('Margin Guidence Table'!$A$1:$AC$10000,MATCH(1,('Margin Guidence Table'!$A$1:$A$10000=$CE17)*('Margin Guidence Table'!$H$1:$H$10000&lt;=ROUND($BW$3,0))*('Margin Guidence Table'!$G$1:$G$10000&gt;=ROUND($BW$3,0)),0),MATCH("SALES_CASE",'Margin Guidence Table'!$A$1:$AC$1,0)),INDEX('Margin Guidence Table'!$A$1:$AC$10000,MATCH(1,('Margin Guidence Table'!$A$1:$A$10000=$CE17)*('Margin Guidence Table'!$H$1:$H$10000&lt;=ROUND($BW$3,0))*('Margin Guidence Table'!$G$1:$G$10000&gt;=ROUND($BW$3,0)),0),MATCH("DEFAULT_SALES_CASE",'Margin Guidence Table'!$A$1:$AC$1,0))),0)</f>
        <v>0</v>
      </c>
      <c r="CI17" s="1161">
        <f t="array" ref="CI17">IFERROR(IF($CG17="SEGMENT",INDEX('Margin Guidence Table'!$A$1:$AC$10000,MATCH(1,('Margin Guidence Table'!$A$1:$A$10000=$CE17)*('Margin Guidence Table'!$H$1:$H$10000&lt;=ROUND($BW$3,0))*('Margin Guidence Table'!$G$1:$G$10000&gt;=ROUND($BW$3,0)),0),MATCH("SALES_LBS",'Margin Guidence Table'!$A$1:$AC$1,0)),INDEX('Margin Guidence Table'!$A$1:$AC$10000,MATCH(1,('Margin Guidence Table'!$A$1:$A$10000=$CE17)*('Margin Guidence Table'!$H$1:$H$10000&lt;=ROUND($BW$3,0))*('Margin Guidence Table'!$G$1:$G$10000&gt;=ROUND($BW$3,0)),0),MATCH("DEFAULT_SALES_LBS",'Margin Guidence Table'!$A$1:$AC$1,0))),0)</f>
        <v>0</v>
      </c>
      <c r="CJ17" s="1165">
        <f t="array" ref="CJ17">IFERROR(IF($CG17="SEGMENT",INDEX('Margin Guidence Table'!$A$1:$AC$10000,MATCH(1,('Margin Guidence Table'!$A$1:$A$10000=$CE17)*('Margin Guidence Table'!$H$1:$H$10000&lt;=ROUND($BW$3,0))*('Margin Guidence Table'!$G$1:$G$10000&gt;=ROUND($BW$3,0)),0),MATCH("MDA_MIN_MARGIN_GUIDENCE",'Margin Guidence Table'!$A$1:$AC$1,0)),INDEX('Margin Guidence Table'!$A$1:$AC$10000,MATCH(1,('Margin Guidence Table'!$A$1:$A$10000=$CE17)*('Margin Guidence Table'!$H$1:$H$10000&lt;=ROUND($BW$3,0))*('Margin Guidence Table'!$G$1:$G$10000&gt;=ROUND($BW$3,0)),0),MATCH("DEFAULT_MDA_MIN_MARGIN_GUIDENCE",'Margin Guidence Table'!$A$1:$AC$1,0))),0)</f>
        <v>0</v>
      </c>
      <c r="CK17" s="1165">
        <f t="array" ref="CK17">IFERROR(IF($CG17="SEGMENT",INDEX('Margin Guidence Table'!$A$1:$AC$10000,MATCH(1,('Margin Guidence Table'!$A$1:$A$10000=$CE17)*('Margin Guidence Table'!$H$1:$H$10000&lt;=ROUND($BW$3,0))*('Margin Guidence Table'!$G$1:$G$10000&gt;=ROUND($BW$3,0)),0),MATCH("MDA_MEDIAN_MARGIN_GUIDENCE",'Margin Guidence Table'!$A$1:$AC$1,0)),INDEX('Margin Guidence Table'!$A$1:$AC$10000,MATCH(1,('Margin Guidence Table'!$A$1:$A$10000=$CE17)*('Margin Guidence Table'!$H$1:$H$10000&lt;=ROUND($BW$3,0))*('Margin Guidence Table'!$G$1:$G$10000&gt;=ROUND($BW$3,0)),0),MATCH("DEFAULT_MDA_MEDIAN_MARGIN_GUIDENCE",'Margin Guidence Table'!$A$1:$AC$1,0))),0)</f>
        <v>0</v>
      </c>
      <c r="CL17" s="1165">
        <f t="array" ref="CL17">IFERROR(IF($CG17="SEGMENT",INDEX('Margin Guidence Table'!$A$1:$AC$10000,MATCH(1,('Margin Guidence Table'!$A$1:$A$10000=$CE17)*('Margin Guidence Table'!$H$1:$H$10000&lt;=ROUND($BW$3,0))*('Margin Guidence Table'!$G$1:$G$10000&gt;=ROUND($BW$3,0)),0),MATCH("MDA_MAX_MARGIN_GUIDENCE",'Margin Guidence Table'!$A$1:$AC$1,0)),INDEX('Margin Guidence Table'!$A$1:$AC$10000,MATCH(1,('Margin Guidence Table'!$A$1:$A$10000=$CE17)*('Margin Guidence Table'!$H$1:$H$10000&lt;=ROUND($BW$3,0))*('Margin Guidence Table'!$G$1:$G$10000&gt;=ROUND($BW$3,0)),0),MATCH("DEFAULT_MDA_MAX_MARGIN_GUIDENCE",'Margin Guidence Table'!$A$1:$AC$1,0))),0)</f>
        <v>0</v>
      </c>
      <c r="CM17" s="1165">
        <f t="array" ref="CM17">IFERROR(IF($CG17="SEGMENT",INDEX('Margin Guidence Table'!$A$1:$AC$10000,MATCH(1,('Margin Guidence Table'!$A$1:$A$10000=$CE17)*('Margin Guidence Table'!$H$1:$H$10000&lt;=ROUND($BW$3,0))*('Margin Guidence Table'!$G$1:$G$10000&gt;=ROUND($BW$3,0)),0),MATCH("PA_PCT_SALES",'Margin Guidence Table'!$A$1:$AC$1,0)),INDEX('Margin Guidence Table'!$A$1:$AC$10000,MATCH(1,('Margin Guidence Table'!$A$1:$A$10000=$CE17)*('Margin Guidence Table'!$H$1:$H$10000&lt;=ROUND($BW$3,0))*('Margin Guidence Table'!$G$1:$G$10000&gt;=ROUND($BW$3,0)),0),MATCH("DEFAULT_PA_PCT_SALES",'Margin Guidence Table'!$A$1:$AC$1,0))),0)</f>
        <v>0</v>
      </c>
      <c r="CN17" s="1165">
        <f t="array" ref="CN17">IFERROR(IF($CG17="SEGMENT",INDEX('Margin Guidence Table'!$A$1:$AC$10000,MATCH(1,('Margin Guidence Table'!$A$1:$A$10000=$CE17)*('Margin Guidence Table'!$H$1:$H$10000&lt;=ROUND($BW$3,0))*('Margin Guidence Table'!$G$1:$G$10000&gt;=ROUND($BW$3,0)),0),MATCH("SELF_FUND_PCT_SALES",'Margin Guidence Table'!$A$1:$AC$1,0)),INDEX('Margin Guidence Table'!$A$1:$AC$10000,MATCH(1,('Margin Guidence Table'!$A$1:$A$10000=$CE17)*('Margin Guidence Table'!$H$1:$H$10000&lt;=ROUND($BW$3,0))*('Margin Guidence Table'!$G$1:$G$10000&gt;=ROUND($BW$3,0)),0),MATCH("DEFAULT_SELF_FUND_PCT_SALES",'Margin Guidence Table'!$A$1:$AC$1,0))),0)</f>
        <v>0</v>
      </c>
      <c r="CO17" s="1165">
        <f t="array" ref="CO17">IFERROR(IF($CG17="SEGMENT",INDEX('Margin Guidence Table'!$A$1:$AC$10000,MATCH(1,('Margin Guidence Table'!$A$1:$A$10000=$CE17)*('Margin Guidence Table'!$H$1:$H$10000&lt;=ROUND($BW$3,0))*('Margin Guidence Table'!$G$1:$G$10000&gt;=ROUND($BW$3,0)),0),MATCH("CIA_MEDIAN_MARGIN_GUIDENCE",'Margin Guidence Table'!$A$1:$AC$1,0)),INDEX('Margin Guidence Table'!$A$1:$AC$10000,MATCH(1,('Margin Guidence Table'!$A$1:$A$10000=$CE17)*('Margin Guidence Table'!$H$1:$H$10000&lt;=ROUND($BW$3,0))*('Margin Guidence Table'!$G$1:$G$10000&gt;=ROUND($BW$3,0)),0),MATCH("DEFAULT_CIA_MEDIAN_MARGIN_GUIDENCE",'Margin Guidence Table'!$A$1:$AC$1,0))),0)</f>
        <v>0</v>
      </c>
      <c r="CP17" s="129"/>
      <c r="CQ17" s="18">
        <f t="array" ref="CQ17">IFERROR(IF($DC17="SEGMENT",INDEX('Margin Guidence Table'!$A$1:$AC$10000,MATCH(1,('Margin Guidence Table'!$A$1:$A$10000=$DA17)*('Margin Guidence Table'!$H$1:$H$10000&lt;=ROUND($CS$3,0))*('Margin Guidence Table'!$G$1:$G$10000&gt;=ROUND($CS$3,0)),0),MATCH("PCT_SALES",'Margin Guidence Table'!$A$1:$AC$1,0)),INDEX('Margin Guidence Table'!$A$1:$AC$10000,MATCH(1,('Margin Guidence Table'!$A$1:$A$10000=$DA17)*('Margin Guidence Table'!$H$1:$H$10000&lt;=ROUND($CS$3,0))*('Margin Guidence Table'!$G$1:$G$10000&gt;=ROUND($CS$3,0)),0),MATCH("DEFAULT_PCT_SALES",'Margin Guidence Table'!$A$1:$AC$1,0))),0)</f>
        <v>0</v>
      </c>
      <c r="CR17" s="102" t="s">
        <v>102</v>
      </c>
      <c r="CS17" s="94">
        <f>IFERROR(IF(AND($CS$2&lt;&gt;"Enter Spend&gt;&gt;&gt;",CT2="EXISTING"),SUMIFS('Existing Customers'!$Q:$Q,'Existing Customers'!$A:$A,$CS$1,'Existing Customers'!$H:$H,$CR17)*$CS$4,$CS$3*$CQ17),0)</f>
        <v>0</v>
      </c>
      <c r="CT17" s="89">
        <f>IFERROR(IF(AND($CS$2&lt;&gt;"Enter Spend&gt;&gt;&gt;",CT2="EXISTING"),SUMIFS('Existing Customers'!$N:$N,'Existing Customers'!$A:$A,$CS$1,'Existing Customers'!$H:$H,$CR17)*$CS$4,$CS17/$DD17),0)</f>
        <v>0</v>
      </c>
      <c r="CU17" s="95">
        <f>IFERROR(IF(AND($CS$2&lt;&gt;"Enter Spend&gt;&gt;&gt;",BB28="EXISTING"),SUMIFS('Existing Customers'!$O:$O,'Existing Customers'!$H:$H,$CR17,'Existing Customers'!$A:$A,$CS$1)*$CS$4,$CT17*$CS$8),0)</f>
        <v>0</v>
      </c>
      <c r="CV17" s="95">
        <f>IFERROR(IF(AND($CS$2&lt;&gt;"Enter Spend&gt;&gt;&gt;",CT2="EXISTING"),SUMIFS('Existing Customers'!$P:$P,'Existing Customers'!$A:$A,$CS$1,'Existing Customers'!$H:$H,$CR17)*$CS$4,$CS17/$DE17),0)</f>
        <v>0</v>
      </c>
      <c r="CW17" s="96">
        <f>IFERROR(IF(AND($CS$2&lt;&gt;"Enter Spend&gt;&gt;&gt;",CT2="EXISTING"),SUMIFS('Existing Customers'!$V:$V,'Existing Customers'!$H:$H,$CR17,'Existing Customers'!$A:$A,$CS$1)*$CS$4,0),0)</f>
        <v>0</v>
      </c>
      <c r="CX17" s="96">
        <f>IFERROR(IF(AND($CS$2&lt;&gt;"Enter Spend&gt;&gt;&gt;",CT2="EXISTING"),SUMIFS('Existing Customers'!$R:$R,'Existing Customers'!$H:$H,$AZ17,'Existing Customers'!$A:$A,$CS$1)*$CS$4,0),0)</f>
        <v>0</v>
      </c>
      <c r="CY17" s="1161">
        <f>IFERROR(IF(AND($CS$2&lt;&gt;"Enter Spend&gt;&gt;&gt;",CT2="EXISTING"),SUMIFS('Existing Customers'!$S:$S,'Existing Customers'!$H:$H,$CR17,'Existing Customers'!$A:$A,$CS$1),DI17*CS17),0)</f>
        <v>0</v>
      </c>
      <c r="CZ17" s="1161">
        <f>IFERROR(IF(AND($CS$2&lt;&gt;"Enter Spend&gt;&gt;&gt;",CT2="EXISTING"),SUMIFS('Existing Customers'!$U:$U,'Existing Customers'!$H:$H,$CR17,'Existing Customers'!$A:$A,$CS$1),DJ17*CS17),0)</f>
        <v>0</v>
      </c>
      <c r="DA17" s="1164" t="e">
        <f t="shared" si="28"/>
        <v>#N/A</v>
      </c>
      <c r="DB17" s="1164">
        <f t="array" ref="DB17">IFERROR(INDEX('Margin Guidence Table'!$A$1:$AD$30000,MATCH(1,('Margin Guidence Table'!$A$1:$A$10000=DA17)*('Margin Guidence Table'!$H$1:$H$10000&lt;=ROUND($CS$3,0))*('Margin Guidence Table'!$G$1:$G$10000&gt;=ROUND($CS$3,0)),0),MATCH("DATA_POINTS",'Margin Guidence Table'!$A$1:$AC$1,0)),0)</f>
        <v>0</v>
      </c>
      <c r="DC17" s="1161" t="str">
        <f t="shared" si="29"/>
        <v>DEFAULT</v>
      </c>
      <c r="DD17" s="1161">
        <f t="array" ref="DD17">IFERROR(IF($DC17="SEGMENT",INDEX('Margin Guidence Table'!$A$1:$AC$10000,MATCH(1,('Margin Guidence Table'!$A$1:$A$10000=DA17)*('Margin Guidence Table'!$H$1:$H$10000&lt;=ROUND($CS$3,0))*('Margin Guidence Table'!$G$1:$G$10000&gt;=ROUND($CS$3,0)),0),MATCH("SALES_CASE",'Margin Guidence Table'!$A$1:$AC$1,0)),INDEX('Margin Guidence Table'!$A$1:$AC$10000,MATCH(1,('Margin Guidence Table'!$A$1:$A$10000=DA17)*('Margin Guidence Table'!$H$1:$H$10000&lt;=ROUND($CS$3,0))*('Margin Guidence Table'!$G$1:$G$10000&gt;=ROUND($CS$3,0)),0),MATCH("DEFAULT_SALES_CASE",'Margin Guidence Table'!$A$1:$AC$1,0))),0)</f>
        <v>0</v>
      </c>
      <c r="DE17" s="1161">
        <f t="array" ref="DE17">IFERROR(IF($DC17="SEGMENT",INDEX('Margin Guidence Table'!$A$1:$AC$10000,MATCH(1,('Margin Guidence Table'!$A$1:$A$10000=DA17)*('Margin Guidence Table'!$H$1:$H$10000&lt;=ROUND($CS$3,0))*('Margin Guidence Table'!$G$1:$G$10000&gt;=ROUND($CS$3,0)),0),MATCH("SALES_LBS",'Margin Guidence Table'!$A$1:$AC$1,0)),INDEX('Margin Guidence Table'!$A$1:$AC$10000,MATCH(1,('Margin Guidence Table'!$A$1:$A$10000=DA17)*('Margin Guidence Table'!$H$1:$H$10000&lt;=ROUND($CS$3,0))*('Margin Guidence Table'!$G$1:$G$10000&gt;=ROUND($CS$3,0)),0),MATCH("DEFAULT_SALES_LBS",'Margin Guidence Table'!$A$1:$AC$1,0))),0)</f>
        <v>0</v>
      </c>
      <c r="DF17" s="1165">
        <f t="array" ref="DF17">IFERROR(IF($DC17="SEGMENT",INDEX('Margin Guidence Table'!$A$1:$AC$10000,MATCH(1,('Margin Guidence Table'!$A$1:$A$10000=DA17)*('Margin Guidence Table'!$H$1:$H$10000&lt;=ROUND($CS$3,0))*('Margin Guidence Table'!$G$1:$G$10000&gt;=ROUND($CS$3,0)),0),MATCH("MDA_MIN_MARGIN_GUIDENCE",'Margin Guidence Table'!$A$1:$AC$1,0)),INDEX('Margin Guidence Table'!$A$1:$AC$10000,MATCH(1,('Margin Guidence Table'!$A$1:$A$10000=DA17)*('Margin Guidence Table'!$H$1:$H$10000&lt;=ROUND($CS$3,0))*('Margin Guidence Table'!$G$1:$G$10000&gt;=ROUND($CS$3,0)),0),MATCH("DEFAULT_MDA_MIN_MARGIN_GUIDENCE",'Margin Guidence Table'!$A$1:$AC$1,0))),0)</f>
        <v>0</v>
      </c>
      <c r="DG17" s="1165">
        <f t="array" ref="DG17">IFERROR(IF($DC17="SEGMENT",INDEX('Margin Guidence Table'!$A$1:$AC$10000,MATCH(1,('Margin Guidence Table'!$A$1:$A$10000=DA17)*('Margin Guidence Table'!$H$1:$H$10000&lt;=ROUND($CS$3,0))*('Margin Guidence Table'!$G$1:$G$10000&gt;=ROUND($CS$3,0)),0),MATCH("MDA_MEDIAN_MARGIN_GUIDENCE",'Margin Guidence Table'!$A$1:$AC$1,0)),INDEX('Margin Guidence Table'!$A$1:$AC$10000,MATCH(1,('Margin Guidence Table'!$A$1:$A$10000=DA17)*('Margin Guidence Table'!$H$1:$H$10000&lt;=ROUND($CS$3,0))*('Margin Guidence Table'!$G$1:$G$10000&gt;=ROUND($CS$3,0)),0),MATCH("DEFAULT_MDA_MEDIAN_MARGIN_GUIDENCE",'Margin Guidence Table'!$A$1:$AC$1,0))),0)</f>
        <v>0</v>
      </c>
      <c r="DH17" s="1165">
        <f t="array" ref="DH17">IFERROR(IF($DC17="SEGMENT",INDEX('Margin Guidence Table'!$A$1:$AC$10000,MATCH(1,('Margin Guidence Table'!$A$1:$A$10000=DA17)*('Margin Guidence Table'!$H$1:$H$10000&lt;=ROUND($CS$3,0))*('Margin Guidence Table'!$G$1:$G$10000&gt;=ROUND($CS$3,0)),0),MATCH("MDA_MAX_MARGIN_GUIDENCE",'Margin Guidence Table'!$A$1:$AC$1,0)),INDEX('Margin Guidence Table'!$A$1:$AC$10000,MATCH(1,('Margin Guidence Table'!$A$1:$A$10000=DA17)*('Margin Guidence Table'!$H$1:$H$10000&lt;=ROUND($CS$3,0))*('Margin Guidence Table'!$G$1:$G$10000&gt;=ROUND($CS$3,0)),0),MATCH("DEFAULT_MDA_MAX_MARGIN_GUIDENCE",'Margin Guidence Table'!$A$1:$AC$1,0))),0)</f>
        <v>0</v>
      </c>
      <c r="DI17" s="1165">
        <f t="array" ref="DI17">IFERROR(IF($DC17="SEGMENT",INDEX('Margin Guidence Table'!$A$1:$AC$10000,MATCH(1,('Margin Guidence Table'!$A$1:$A$10000=DA17)*('Margin Guidence Table'!$H$1:$H$10000&lt;=ROUND($CS$3,0))*('Margin Guidence Table'!$G$1:$G$10000&gt;=ROUND($CS$3,0)),0),MATCH("PA_PCT_SALES",'Margin Guidence Table'!$A$1:$AC$1,0)),INDEX('Margin Guidence Table'!$A$1:$AC$10000,MATCH(1,('Margin Guidence Table'!$A$1:$A$10000=DA17)*('Margin Guidence Table'!$H$1:$H$10000&lt;=ROUND($CS$3,0))*('Margin Guidence Table'!$G$1:$G$10000&gt;=ROUND($CS$3,0)),0),MATCH("DEFAULT_PA_PCT_SALES",'Margin Guidence Table'!$A$1:$AC$1,0))),0)</f>
        <v>0</v>
      </c>
      <c r="DJ17" s="1165">
        <f t="array" ref="DJ17">IFERROR(IF($DC17="SEGMENT",INDEX('Margin Guidence Table'!$A$1:$AC$10000,MATCH(1,('Margin Guidence Table'!$A$1:$A$10000=DA17)*('Margin Guidence Table'!$H$1:$H$10000&lt;=ROUND($CS$3,0))*('Margin Guidence Table'!$G$1:$G$10000&gt;=ROUND($CS$3,0)),0),MATCH("SELF_FUND_PCT_SALES",'Margin Guidence Table'!$A$1:$AC$1,0)),INDEX('Margin Guidence Table'!$A$1:$AC$10000,MATCH(1,('Margin Guidence Table'!$A$1:$A$10000=DA17)*('Margin Guidence Table'!$H$1:$H$10000&lt;=ROUND($CS$3,0))*('Margin Guidence Table'!$G$1:$G$10000&gt;=ROUND($CS$3,0)),0),MATCH("DEFAULT_SELF_FUND_PCT_SALES",'Margin Guidence Table'!$A$1:$AC$1,0))),0)</f>
        <v>0</v>
      </c>
      <c r="DK17" s="1165">
        <f t="array" ref="DK17">IFERROR(IF($DC17="SEGMENT",INDEX('Margin Guidence Table'!$A$1:$AC$10000,MATCH(1,('Margin Guidence Table'!$A$1:$A$10000=DA17)*('Margin Guidence Table'!$H$1:$H$10000&lt;=ROUND($CS$3,0))*('Margin Guidence Table'!$G$1:$G$10000&gt;=ROUND($CS$3,0)),0),MATCH("CIA_MEDIAN_MARGIN_GUIDENCE",'Margin Guidence Table'!$A$1:$AC$1,0)),INDEX('Margin Guidence Table'!$A$1:$AC$10000,MATCH(1,('Margin Guidence Table'!$A$1:$A$10000=DA17)*('Margin Guidence Table'!$H$1:$H$10000&lt;=ROUND($CS$3,0))*('Margin Guidence Table'!$G$1:$G$10000&gt;=ROUND($CS$3,0)),0),MATCH("DEFAULT_CIA_MEDIAN_MARGIN_GUIDENCE",'Margin Guidence Table'!$A$1:$AC$1,0))),0)</f>
        <v>0</v>
      </c>
      <c r="DL17" s="129"/>
      <c r="DM17" s="18">
        <f t="array" ref="DM17">IFERROR(IF($DY17="SEGMENT",INDEX('Margin Guidence Table'!$A$1:$AC$10000,MATCH(1,('Margin Guidence Table'!$A$1:$A$10000=$DW17)*('Margin Guidence Table'!$H$1:$H$10000&lt;=ROUND($DO$3,0))*('Margin Guidence Table'!$G$1:$G$10000&gt;=ROUND($DO$3,0)),0),MATCH("PCT_SALES",'Margin Guidence Table'!$A$1:$AC$1,0)),INDEX('Margin Guidence Table'!$A$1:$AC$10000,MATCH(1,('Margin Guidence Table'!$A$1:$A$10000=$DW17)*('Margin Guidence Table'!$H$1:$H$10000&lt;=ROUND($DO$3,0))*('Margin Guidence Table'!$G$1:$G$10000&gt;=ROUND($DO$3,0)),0),MATCH("DEFAULT_PCT_SALES",'Margin Guidence Table'!$A$1:$AC$1,0))),0)</f>
        <v>0</v>
      </c>
      <c r="DN17" s="102" t="s">
        <v>102</v>
      </c>
      <c r="DO17" s="94">
        <f>IFERROR(IF(AND($DO$2&lt;&gt;"Enter Spend&gt;&gt;&gt;",DP2="EXISTING"),SUMIFS('Existing Customers'!$Q:$Q,'Existing Customers'!$A:$A,$DO$1,'Existing Customers'!$H:$H,$DN17)*$DO$4,$DO$3*$DM17),0)</f>
        <v>0</v>
      </c>
      <c r="DP17" s="89">
        <f>IFERROR(IF(AND($DO$2&lt;&gt;"Enter Spend&gt;&gt;&gt;",DP2="EXISTING"),SUMIFS('Existing Customers'!$N:$N,'Existing Customers'!$A:$A,$DO$1,'Existing Customers'!$H:$H,$DN17)*$DO$4,$DO17/$DZ17),0)</f>
        <v>0</v>
      </c>
      <c r="DQ17" s="95">
        <f>IFERROR(IF(AND($DO$2&lt;&gt;"Enter Spend&gt;&gt;&gt;",DP2="EXISTING"),SUMIFS('Existing Customers'!$O:$O,'Existing Customers'!$H:$H,$DN17,'Existing Customers'!$A:$A,$DO$1)*$DO$4,$DP17*$DO$8),0)</f>
        <v>0</v>
      </c>
      <c r="DR17" s="95">
        <f>IFERROR(IF(AND($DO$2&lt;&gt;"Enter Spend&gt;&gt;&gt;",DP2="EXISTING"),SUMIFS('Existing Customers'!$P:$P,'Existing Customers'!$A:$A,$DO$1,'Existing Customers'!$H:$H,$DN17)*$DO$4,$DO17/$EA17),0)</f>
        <v>0</v>
      </c>
      <c r="DS17" s="96">
        <f>IFERROR(IF(AND($DO$2&lt;&gt;"Enter Spend&gt;&gt;&gt;",EL2="EXISTING"),SUMIFS('Existing Customers'!$V:$V,'Existing Customers'!$H:$H,$DN17,'Existing Customers'!$A:$A,$DO$1)*$DO$4,0),0)</f>
        <v>0</v>
      </c>
      <c r="DT17" s="96">
        <f>IFERROR(IF(AND($DO$2&lt;&gt;"Enter Spend&gt;&gt;&gt;",DP2="EXISTING"),SUMIFS('Existing Customers'!$R:$R,'Existing Customers'!$H:$H,$DN17,'Existing Customers'!$A:$A,$DO$1)*$DO$4,0),0)</f>
        <v>0</v>
      </c>
      <c r="DU17" s="1161">
        <f>IFERROR(IF(AND($DO$2&lt;&gt;"Enter Spend&gt;&gt;&gt;",DP2="EXISTING"),SUMIFS('Existing Customers'!$S:$S,'Existing Customers'!$H:$H,$DP17,'Existing Customers'!$A:$A,$DO$1),EE17*DO17),0)</f>
        <v>0</v>
      </c>
      <c r="DV17" s="1161">
        <f>IFERROR(IF(AND($DO$2&lt;&gt;"Enter Spend&gt;&gt;&gt;",DP2="EXISTING"),SUMIFS('Existing Customers'!$U:$U,'Existing Customers'!$H:$H,$DN17,'Existing Customers'!$A:$A,$DO$1),EF17*DO17),0)</f>
        <v>0</v>
      </c>
      <c r="DW17" s="1164" t="e">
        <f t="shared" si="30"/>
        <v>#N/A</v>
      </c>
      <c r="DX17" s="1164">
        <f t="array" ref="DX17">IFERROR(INDEX('Margin Guidence Table'!$A$1:$AD$30000,MATCH(1,('Margin Guidence Table'!$A$1:$A$10000=DW17)*('Margin Guidence Table'!$H$1:$H$10000&lt;=ROUND($DO$3,0))*('Margin Guidence Table'!$G$1:$G$10000&gt;=ROUND($DO$3,0)),0),MATCH("DATA_POINTS",'Margin Guidence Table'!$A$1:$AC$1,0)),0)</f>
        <v>0</v>
      </c>
      <c r="DY17" s="1161" t="str">
        <f t="shared" si="31"/>
        <v>DEFAULT</v>
      </c>
      <c r="DZ17" s="1161">
        <f t="array" ref="DZ17">IFERROR(IF($DY17="SEGMENT",INDEX('Margin Guidence Table'!$A$1:$AC$10000,MATCH(1,('Margin Guidence Table'!$A$1:$A$10000=DW17)*('Margin Guidence Table'!$H$1:$H$10000&lt;=ROUND($DO$3,0))*('Margin Guidence Table'!$G$1:$G$10000&gt;=ROUND($DO$3,0)),0),MATCH("SALES_CASE",'Margin Guidence Table'!$A$1:$AC$1,0)),INDEX('Margin Guidence Table'!$A$1:$AC$10000,MATCH(1,('Margin Guidence Table'!$A$1:$A$10000=DW17)*('Margin Guidence Table'!$H$1:$H$10000&lt;=ROUND($DO$3,0))*('Margin Guidence Table'!$G$1:$G$10000&gt;=ROUND($DO$3,0)),0),MATCH("DEFAULT_SALES_CASE",'Margin Guidence Table'!$A$1:$AC$1,0))),0)</f>
        <v>0</v>
      </c>
      <c r="EA17" s="1161">
        <f t="array" ref="EA17">IFERROR(IF($DY17="SEGMENT",INDEX('Margin Guidence Table'!$A$1:$AC$10000,MATCH(1,('Margin Guidence Table'!$A$1:$A$10000=DW17)*('Margin Guidence Table'!$H$1:$H$10000&lt;=ROUND($DO$3,0))*('Margin Guidence Table'!$G$1:$G$10000&gt;=ROUND($DO$3,0)),0),MATCH("SALES_LBS",'Margin Guidence Table'!$A$1:$AC$1,0)),INDEX('Margin Guidence Table'!$A$1:$AC$10000,MATCH(1,('Margin Guidence Table'!$A$1:$A$10000=DW17)*('Margin Guidence Table'!$H$1:$H$10000&lt;=ROUND($DO$3,0))*('Margin Guidence Table'!$G$1:$G$10000&gt;=ROUND($DO$3,0)),0),MATCH("DEFAULT_SALES_LBS",'Margin Guidence Table'!$A$1:$AC$1,0))),0)</f>
        <v>0</v>
      </c>
      <c r="EB17" s="1165">
        <f t="array" ref="EB17">IFERROR(IF($DY17="SEGMENT",INDEX('Margin Guidence Table'!$A$1:$AC$10000,MATCH(1,('Margin Guidence Table'!$A$1:$A$10000=DW17)*('Margin Guidence Table'!$H$1:$H$10000&lt;=ROUND($DO$3,0))*('Margin Guidence Table'!$G$1:$G$10000&gt;=ROUND($DO$3,0)),0),MATCH("MDA_MIN_MARGIN_GUIDENCE",'Margin Guidence Table'!$A$1:$AC$1,0)),INDEX('Margin Guidence Table'!$A$1:$AC$10000,MATCH(1,('Margin Guidence Table'!$A$1:$A$10000=DW17)*('Margin Guidence Table'!$H$1:$H$10000&lt;=ROUND($DO$3,0))*('Margin Guidence Table'!$G$1:$G$10000&gt;=ROUND($DO$3,0)),0),MATCH("DEFAULT_MDA_MIN_MARGIN_GUIDENCE",'Margin Guidence Table'!$A$1:$AC$1,0))),0)</f>
        <v>0</v>
      </c>
      <c r="EC17" s="1165">
        <f t="array" ref="EC17">IFERROR(IF($DY17="SEGMENT",INDEX('Margin Guidence Table'!$A$1:$AC$10000,MATCH(1,('Margin Guidence Table'!$A$1:$A$10000=DW17)*('Margin Guidence Table'!$H$1:$H$10000&lt;=ROUND($DO$3,0))*('Margin Guidence Table'!$G$1:$G$10000&gt;=ROUND($DO$3,0)),0),MATCH("MDA_MEDIAN_MARGIN_GUIDENCE",'Margin Guidence Table'!$A$1:$AC$1,0)),INDEX('Margin Guidence Table'!$A$1:$AC$10000,MATCH(1,('Margin Guidence Table'!$A$1:$A$10000=DW17)*('Margin Guidence Table'!$H$1:$H$10000&lt;=ROUND($DO$3,0))*('Margin Guidence Table'!$G$1:$G$10000&gt;=ROUND($DO$3,0)),0),MATCH("DEFAULT_MDA_MEDIAN_MARGIN_GUIDENCE",'Margin Guidence Table'!$A$1:$AC$1,0))),0)</f>
        <v>0</v>
      </c>
      <c r="ED17" s="1165">
        <f t="array" ref="ED17">IFERROR(IF($DY17="SEGMENT",INDEX('Margin Guidence Table'!$A$1:$AC$10000,MATCH(1,('Margin Guidence Table'!$A$1:$A$10000=DW17)*('Margin Guidence Table'!$H$1:$H$10000&lt;=ROUND($DO$3,0))*('Margin Guidence Table'!$G$1:$G$10000&gt;=ROUND($DO$3,0)),0),MATCH("MDA_MAX_MARGIN_GUIDENCE",'Margin Guidence Table'!$A$1:$AC$1,0)),INDEX('Margin Guidence Table'!$A$1:$AC$10000,MATCH(1,('Margin Guidence Table'!$A$1:$A$10000=DW17)*('Margin Guidence Table'!$H$1:$H$10000&lt;=ROUND($DO$3,0))*('Margin Guidence Table'!$G$1:$G$10000&gt;=ROUND($DO$3,0)),0),MATCH("DEFAULT_MDA_MAX_MARGIN_GUIDENCE",'Margin Guidence Table'!$A$1:$AC$1,0))),0)</f>
        <v>0</v>
      </c>
      <c r="EE17" s="1165">
        <f t="array" ref="EE17">IFERROR(IF($DY17="SEGMENT",INDEX('Margin Guidence Table'!$A$1:$AC$10000,MATCH(1,('Margin Guidence Table'!$A$1:$A$10000=DW17)*('Margin Guidence Table'!$H$1:$H$10000&lt;=ROUND($DO$3,0))*('Margin Guidence Table'!$G$1:$G$10000&gt;=ROUND($DO$3,0)),0),MATCH("PA_PCT_SALES",'Margin Guidence Table'!$A$1:$AC$1,0)),INDEX('Margin Guidence Table'!$A$1:$AC$10000,MATCH(1,('Margin Guidence Table'!$A$1:$A$10000=DW17)*('Margin Guidence Table'!$H$1:$H$10000&lt;=ROUND($DO$3,0))*('Margin Guidence Table'!$G$1:$G$10000&gt;=ROUND($DO$3,0)),0),MATCH("DEFAULT_PA_PCT_SALES",'Margin Guidence Table'!$A$1:$AC$1,0))),0)</f>
        <v>0</v>
      </c>
      <c r="EF17" s="1165">
        <f t="array" ref="EF17">IFERROR(IF($DY17="SEGMENT",INDEX('Margin Guidence Table'!$A$1:$AC$10000,MATCH(1,('Margin Guidence Table'!$A$1:$A$10000=DW17)*('Margin Guidence Table'!$H$1:$H$10000&lt;=ROUND($DO$3,0))*('Margin Guidence Table'!$G$1:$G$10000&gt;=ROUND($DO$3,0)),0),MATCH("SELF_FUND_PCT_SALES",'Margin Guidence Table'!$A$1:$AC$1,0)),INDEX('Margin Guidence Table'!$A$1:$AC$10000,MATCH(1,('Margin Guidence Table'!$A$1:$A$10000=DW17)*('Margin Guidence Table'!$H$1:$H$10000&lt;=ROUND($DO$3,0))*('Margin Guidence Table'!$G$1:$G$10000&gt;=ROUND($DO$3,0)),0),MATCH("DEFAULT_SELF_FUND_PCT_SALES",'Margin Guidence Table'!$A$1:$AC$1,0))),0)</f>
        <v>0</v>
      </c>
      <c r="EG17" s="1165">
        <f t="array" ref="EG17">IFERROR(IF($DY17="SEGMENT",INDEX('Margin Guidence Table'!$A$1:$AC$10000,MATCH(1,('Margin Guidence Table'!$A$1:$A$10000=DW17)*('Margin Guidence Table'!$H$1:$H$10000&lt;=ROUND($DO$3,0))*('Margin Guidence Table'!$G$1:$G$10000&gt;=ROUND($DO$3,0)),0),MATCH("CIA_MEDIAN_MARGIN_GUIDENCE",'Margin Guidence Table'!$A$1:$AC$1,0)),INDEX('Margin Guidence Table'!$A$1:$AC$10000,MATCH(1,('Margin Guidence Table'!$A$1:$A$10000=DW17)*('Margin Guidence Table'!$H$1:$H$10000&lt;=ROUND($DO$3,0))*('Margin Guidence Table'!$G$1:$G$10000&gt;=ROUND($DO$3,0)),0),MATCH("DEFAULT_CIA_MEDIAN_MARGIN_GUIDENCE",'Margin Guidence Table'!$A$1:$AC$1,0))),0)</f>
        <v>0</v>
      </c>
      <c r="EH17" s="129"/>
      <c r="EI17" s="18">
        <f t="array" ref="EI17">IFERROR(IF($EU17="SEGMENT",INDEX('Margin Guidence Table'!$A$1:$AC$10000,MATCH(1,('Margin Guidence Table'!$A$1:$A$10000=$ES17)*('Margin Guidence Table'!$H$1:$H$10000&lt;=ROUND($EK$3,0))*('Margin Guidence Table'!$G$1:$G$10000&gt;=ROUND($EK$3,0)),0),MATCH("PCT_SALES",'Margin Guidence Table'!$A$1:$AC$1,0)),INDEX('Margin Guidence Table'!$A$1:$AC$10000,MATCH(1,('Margin Guidence Table'!$A$1:$A$10000=$ES17)*('Margin Guidence Table'!$H$1:$H$10000&lt;=ROUND($EK$3,0))*('Margin Guidence Table'!$G$1:$G$10000&gt;=ROUND($EK$3,0)),0),MATCH("DEFAULT_PCT_SALES",'Margin Guidence Table'!$A$1:$AC$1,0))),0)</f>
        <v>0</v>
      </c>
      <c r="EJ17" s="102" t="s">
        <v>102</v>
      </c>
      <c r="EK17" s="94">
        <f>IFERROR(IF(AND($EK$2&lt;&gt;"Enter Spend&gt;&gt;&gt;",EL2="EXISTING"),SUMIFS('Existing Customers'!$Q:$Q,'Existing Customers'!$A:$A,$EK$1,'Existing Customers'!$H:$H,$EJ17)*$EK$4,$EK$3*$EI17),0)</f>
        <v>0</v>
      </c>
      <c r="EL17" s="89">
        <f>IFERROR(IF(AND($EK$2&lt;&gt;"Enter Spend&gt;&gt;&gt;",EL2="EXISTING"),SUMIFS('Existing Customers'!$N:$N,'Existing Customers'!$A:$A,$EK$1,'Existing Customers'!$H:$H,$EJ17)*$EK$4,$EK17/$EV17),0)</f>
        <v>0</v>
      </c>
      <c r="EM17" s="95">
        <f>IFERROR(IF(AND($EK$2&lt;&gt;"Enter Spend&gt;&gt;&gt;",EL2="EXISTING"),SUMIFS('Existing Customers'!$O:$O,'Existing Customers'!$H:$H,$EJ17,'Existing Customers'!$A:$A,$EK$1)*$EK$4,$EL17*$EK$8),0)</f>
        <v>0</v>
      </c>
      <c r="EN17" s="95">
        <f>IFERROR(IF(AND($EK$2&lt;&gt;"Enter Spend&gt;&gt;&gt;",EL2="EXISTING"),SUMIFS('Existing Customers'!$P:$P,'Existing Customers'!$A:$A,$EK$1,'Existing Customers'!$H:$H,$EJ17)*$EK$4,$EK17/$EW17),0)</f>
        <v>0</v>
      </c>
      <c r="EO17" s="96">
        <f>IFERROR(IF(AND($EK$2&lt;&gt;"Enter Spend&gt;&gt;&gt;",EL2="EXISTING"),SUMIFS('Existing Customers'!$V:$V,'Existing Customers'!$H:$H,$EJ17,'Existing Customers'!$A:$A,$EK$1)*$EK$4,0),0)</f>
        <v>0</v>
      </c>
      <c r="EP17" s="96">
        <f>IFERROR(IF(AND($EK$2&lt;&gt;"Enter Spend&gt;&gt;&gt;",EL2="EXISTING"),SUMIFS('Existing Customers'!$R:$R,'Existing Customers'!$H:$H,$EJ17,'Existing Customers'!$A:$A,$EK$1)*$EK$4,0),0)</f>
        <v>0</v>
      </c>
      <c r="EQ17" s="1161">
        <f>IFERROR(IF(AND($EK$2&lt;&gt;"Enter Spend&gt;&gt;&gt;",EL2="EXISTING"),SUMIFS('Existing Customers'!$S:$S,'Existing Customers'!$H:$H,$EJ17,'Existing Customers'!$A:$A,$EK$1),FA17*EK17),0)</f>
        <v>0</v>
      </c>
      <c r="ER17" s="1161">
        <f>IFERROR(IF(AND($EK$2&lt;&gt;"Enter Spend&gt;&gt;&gt;",EL2="EXISTING"),SUMIFS('Existing Customers'!$U:$U,'Existing Customers'!$H:$H,$EJ17,'Existing Customers'!$A:$A,$EK$1),FB17*EK17),0)</f>
        <v>0</v>
      </c>
      <c r="ES17" s="1164" t="e">
        <f t="shared" si="32"/>
        <v>#N/A</v>
      </c>
      <c r="ET17" s="1164">
        <f t="array" ref="ET17">IFERROR(INDEX('Margin Guidence Table'!$A$1:$AD$30000,MATCH(1,('Margin Guidence Table'!$A$1:$A$10000=ES17)*('Margin Guidence Table'!$H$1:$H$10000&lt;=ROUND($EK$3,0))*('Margin Guidence Table'!$G$1:$G$10000&gt;=ROUND($EK$3,0)),0),MATCH("DATA_POINTS",'Margin Guidence Table'!$A$1:$AC$1,0)),0)</f>
        <v>0</v>
      </c>
      <c r="EU17" s="1161" t="str">
        <f t="shared" si="33"/>
        <v>DEFAULT</v>
      </c>
      <c r="EV17" s="1161">
        <f t="array" ref="EV17">IFERROR(IF($EU17="SEGMENT",INDEX('Margin Guidence Table'!$A$1:$AC$10000,MATCH(1,('Margin Guidence Table'!$A$1:$A$10000=ES17)*('Margin Guidence Table'!$H$1:$H$10000&lt;=ROUND($EK$3,0))*('Margin Guidence Table'!$G$1:$G$10000&gt;=ROUND($EK$3,0)),0),MATCH("SALES_CASE",'Margin Guidence Table'!$A$1:$AC$1,0)),INDEX('Margin Guidence Table'!$A$1:$AC$10000,MATCH(1,('Margin Guidence Table'!$A$1:$A$10000=ES17)*('Margin Guidence Table'!$H$1:$H$10000&lt;=ROUND($EK$3,0))*('Margin Guidence Table'!$G$1:$G$10000&gt;=ROUND($EK$3,0)),0),MATCH("DEFAULT_SALES_CASE",'Margin Guidence Table'!$A$1:$AC$1,0))),0)</f>
        <v>0</v>
      </c>
      <c r="EW17" s="1161" cm="1">
        <f t="array" ref="EW17">IFERROR(IF($EU17="SEGMENT",INDEX('Margin Guidence Table'!$A$1:$AC$10000,MATCH(1,('Margin Guidence Table'!$A$1:$A$10000=ES17)*('Margin Guidence Table'!$H$1:$H$10000&lt;=ROUND($EK$3,0))*('Margin Guidence Table'!$G$1:$G$10000&gt;=ROUND($EK$3,0)),0),MATCH("SALES_LBS",'Margin Guidence Table'!$A$1:$AC$1,0)),INDEX('Margin Guidence Table'!$A$1:$AC$10000,MATCH(1,('Margin Guidence Table'!$A$1:$A$10000=ES17)*('Margin Guidence Table'!$H$1:$H$10000&lt;=ROUND($EK$3,0))*('Margin Guidence Table'!$G$1:$G$10000&gt;=ROUND($EK$3,0)),0),MATCH("DEFAULT_SALES_LBS",'Margin Guidence Table'!$A$1:$AC$1,0))),0)</f>
        <v>0</v>
      </c>
      <c r="EX17" s="1165">
        <f t="array" ref="EX17">IFERROR(IF($EU17="SEGMENT",INDEX('Margin Guidence Table'!$A$1:$AC$10000,MATCH(1,('Margin Guidence Table'!$A$1:$A$10000=ES17)*('Margin Guidence Table'!$H$1:$H$10000&lt;=ROUND($EK$3,0))*('Margin Guidence Table'!$G$1:$G$10000&gt;=ROUND($EK$3,0)),0),MATCH("MDA_MIN_MARGIN_GUIDENCE",'Margin Guidence Table'!$A$1:$AC$1,0)),INDEX('Margin Guidence Table'!$A$1:$AC$10000,MATCH(1,('Margin Guidence Table'!$A$1:$A$10000=ES17)*('Margin Guidence Table'!$H$1:$H$10000&lt;=ROUND($EK$3,0))*('Margin Guidence Table'!$G$1:$G$10000&gt;=ROUND($EK$3,0)),0),MATCH("DEFAULT_MDA_MIN_MARGIN_GUIDENCE",'Margin Guidence Table'!$A$1:$AC$1,0))),0)</f>
        <v>0</v>
      </c>
      <c r="EY17" s="1165">
        <f t="array" ref="EY17">IFERROR(IF($EU17="SEGMENT",INDEX('Margin Guidence Table'!$A$1:$AC$10000,MATCH(1,('Margin Guidence Table'!$A$1:$A$10000=ES17)*('Margin Guidence Table'!$H$1:$H$10000&lt;=ROUND($EK$3,0))*('Margin Guidence Table'!$G$1:$G$10000&gt;=ROUND($EK$3,0)),0),MATCH("MDA_MEDIAN_MARGIN_GUIDENCE",'Margin Guidence Table'!$A$1:$AC$1,0)),INDEX('Margin Guidence Table'!$A$1:$AC$10000,MATCH(1,('Margin Guidence Table'!$A$1:$A$10000=ES17)*('Margin Guidence Table'!$H$1:$H$10000&lt;=ROUND($EK$3,0))*('Margin Guidence Table'!$G$1:$G$10000&gt;=ROUND($EK$3,0)),0),MATCH("DEFAULT_MDA_MEDIAN_MARGIN_GUIDENCE",'Margin Guidence Table'!$A$1:$AC$1,0))),0)</f>
        <v>0</v>
      </c>
      <c r="EZ17" s="1165">
        <f t="array" ref="EZ17">IFERROR(IF($EU17="SEGMENT",INDEX('Margin Guidence Table'!$A$1:$AC$10000,MATCH(1,('Margin Guidence Table'!$A$1:$A$10000=ES17)*('Margin Guidence Table'!$H$1:$H$10000&lt;=ROUND($EK$3,0))*('Margin Guidence Table'!$G$1:$G$10000&gt;=ROUND($EK$3,0)),0),MATCH("MDA_MAX_MARGIN_GUIDENCE",'Margin Guidence Table'!$A$1:$AC$1,0)),INDEX('Margin Guidence Table'!$A$1:$AC$10000,MATCH(1,('Margin Guidence Table'!$A$1:$A$10000=ES17)*('Margin Guidence Table'!$H$1:$H$10000&lt;=ROUND($EK$3,0))*('Margin Guidence Table'!$G$1:$G$10000&gt;=ROUND($EK$3,0)),0),MATCH("DEFAULT_MDA_MAX_MARGIN_GUIDENCE",'Margin Guidence Table'!$A$1:$AC$1,0))),0)</f>
        <v>0</v>
      </c>
      <c r="FA17" s="1165">
        <f t="array" ref="FA17">IFERROR(IF($EU17="SEGMENT",INDEX('Margin Guidence Table'!$A$1:$AC$10000,MATCH(1,('Margin Guidence Table'!$A$1:$A$10000=ES17)*('Margin Guidence Table'!$H$1:$H$10000&lt;=ROUND($EK$3,0))*('Margin Guidence Table'!$G$1:$G$10000&gt;=ROUND($EK$3,0)),0),MATCH("PA_PCT_SALES",'Margin Guidence Table'!$A$1:$AC$1,0)),INDEX('Margin Guidence Table'!$A$1:$AC$10000,MATCH(1,('Margin Guidence Table'!$A$1:$A$10000=ES17)*('Margin Guidence Table'!$H$1:$H$10000&lt;=ROUND($EK$3,0))*('Margin Guidence Table'!$G$1:$G$10000&gt;=ROUND($EK$3,0)),0),MATCH("DEFAULT_PA_PCT_SALES",'Margin Guidence Table'!$A$1:$AC$1,0))),0)</f>
        <v>0</v>
      </c>
      <c r="FB17" s="1165">
        <f t="array" ref="FB17">IFERROR(IF($EU17="SEGMENT",INDEX('Margin Guidence Table'!$A$1:$AC$10000,MATCH(1,('Margin Guidence Table'!$A$1:$A$10000=ES17)*('Margin Guidence Table'!$H$1:$H$10000&lt;=ROUND($EK$3,0))*('Margin Guidence Table'!$G$1:$G$10000&gt;=ROUND($EK$3,0)),0),MATCH("SELF_FUND_PCT_SALES",'Margin Guidence Table'!$A$1:$AC$1,0)),INDEX('Margin Guidence Table'!$A$1:$AC$10000,MATCH(1,('Margin Guidence Table'!$A$1:$A$10000=ES17)*('Margin Guidence Table'!$H$1:$H$10000&lt;=ROUND($EK$3,0))*('Margin Guidence Table'!$G$1:$G$10000&gt;=ROUND($EK$3,0)),0),MATCH("DEFAULT_SELF_FUND_PCT_SALES",'Margin Guidence Table'!$A$1:$AC$1,0))),0)</f>
        <v>0</v>
      </c>
      <c r="FC17" s="1165">
        <f t="array" ref="FC17">IFERROR(IF($EU17="SEGMENT",INDEX('Margin Guidence Table'!$A$1:$AC$10000,MATCH(1,('Margin Guidence Table'!$A$1:$A$10000=ES17)*('Margin Guidence Table'!$H$1:$H$10000&lt;=ROUND($EK$3,0))*('Margin Guidence Table'!$G$1:$G$10000&gt;=ROUND($EK$3,0)),0),MATCH("CIA_MEDIAN_MARGIN_GUIDENCE",'Margin Guidence Table'!$A$1:$AC$1,0)),INDEX('Margin Guidence Table'!$A$1:$AC$10000,MATCH(1,('Margin Guidence Table'!$A$1:$A$10000=ES17)*('Margin Guidence Table'!$H$1:$H$10000&lt;=ROUND($EK$3,0))*('Margin Guidence Table'!$G$1:$G$10000&gt;=ROUND($EK$3,0)),0),MATCH("DEFAULT_CIA_MEDIAN_MARGIN_GUIDENCE",'Margin Guidence Table'!$A$1:$AC$1,0))),0)</f>
        <v>0</v>
      </c>
      <c r="FD17" s="129"/>
      <c r="FE17" s="18">
        <f t="array" ref="FE17">IFERROR(IF($FQ17="SEGMENT",INDEX('Margin Guidence Table'!$A$1:$AC$10000,MATCH(1,('Margin Guidence Table'!$A$1:$A$10000=$FO17)*('Margin Guidence Table'!$H$1:$H$10000&lt;=ROUND($FG$3,0))*('Margin Guidence Table'!$G$1:$G$10000&gt;=ROUND($FG$3,0)),0),MATCH("PCT_SALES",'Margin Guidence Table'!$A$1:$AC$1,0)),INDEX('Margin Guidence Table'!$A$1:$AC$10000,MATCH(1,('Margin Guidence Table'!$A$1:$A$10000=$FO17)*('Margin Guidence Table'!$H$1:$H$10000&lt;=ROUND($FG$3,0))*('Margin Guidence Table'!$G$1:$G$10000&gt;=ROUND($FG$3,0)),0),MATCH("DEFAULT_PCT_SALES",'Margin Guidence Table'!$A$1:$AC$1,0))),0)</f>
        <v>0</v>
      </c>
      <c r="FF17" s="102" t="s">
        <v>102</v>
      </c>
      <c r="FG17" s="94">
        <f>IFERROR(IF(AND($FG$2&lt;&gt;"Enter Spend&gt;&gt;&gt;",FH2="EXISTING"),SUMIFS('Existing Customers'!$Q:$Q,'Existing Customers'!$A:$A,$FG$1,'Existing Customers'!$H:$H,$FF17)*$FG$4,$FG$3*$FE17),0)</f>
        <v>0</v>
      </c>
      <c r="FH17" s="89">
        <f>IFERROR(IF(AND($FG$2&lt;&gt;"Enter Spend&gt;&gt;&gt;",FH2="EXISTING"),SUMIFS('Existing Customers'!$N:$N,'Existing Customers'!$A:$A,$FG$1,'Existing Customers'!$H:$H,$FF17)*$FG$4,$FG17/$FR17),0)</f>
        <v>0</v>
      </c>
      <c r="FI17" s="95">
        <f>IFERROR(IF(AND($FG$2&lt;&gt;"Enter Spend&gt;&gt;&gt;",FH2="EXISTING"),SUMIFS('Existing Customers'!$O:$O,'Existing Customers'!$H:$H,$FF17,'Existing Customers'!$A:$A,$FG$1)*$FG$4,$FH17*$FG$8),0)</f>
        <v>0</v>
      </c>
      <c r="FJ17" s="95">
        <f>IFERROR(IF(AND($FG$2&lt;&gt;"Enter Spend&gt;&gt;&gt;",FH2="EXISTING"),SUMIFS('Existing Customers'!$P:$P,'Existing Customers'!$A:$A,$FG$1,'Existing Customers'!$H:$H,$FF17)*$FG$4,$FG17/$FS17),0)</f>
        <v>0</v>
      </c>
      <c r="FK17" s="96">
        <f>IFERROR(IF(AND($FG$2&lt;&gt;"Enter Spend&gt;&gt;&gt;",FH2="EXISTING"),SUMIFS('Existing Customers'!$V:$V,'Existing Customers'!$H:$H,$FF17,'Existing Customers'!$A:$A,$FG$1)*$FG$4,0),0)</f>
        <v>0</v>
      </c>
      <c r="FL17" s="96">
        <f>IFERROR(IF(AND($FG$2&lt;&gt;"Enter Spend&gt;&gt;&gt;",FH2="EXISTING"),SUMIFS('Existing Customers'!$R:$R,'Existing Customers'!$H:$H,$FF17,'Existing Customers'!$A:$A,$FG$1)*$FG$4,0),0)</f>
        <v>0</v>
      </c>
      <c r="FM17" s="1161">
        <f>IFERROR(IF(AND($FG$2&lt;&gt;"Enter Spend&gt;&gt;&gt;",FH2="EXISTING"),SUMIFS('Existing Customers'!$S:$S,'Existing Customers'!$H:$H,$FF17,'Existing Customers'!$A:$A,$FG$1),FW17*FG17),0)</f>
        <v>0</v>
      </c>
      <c r="FN17" s="1161">
        <f>IFERROR(IF(AND($FG$2&lt;&gt;"Enter Spend&gt;&gt;&gt;",FH2="EXISTING"),SUMIFS('Existing Customers'!$U:$U,'Existing Customers'!$H:$H,$FF17,'Existing Customers'!$A:$A,$FG$1),FX17*FG17),0)</f>
        <v>0</v>
      </c>
      <c r="FO17" s="1164" t="e">
        <f t="shared" si="34"/>
        <v>#N/A</v>
      </c>
      <c r="FP17" s="1164">
        <f t="array" ref="FP17">IFERROR(INDEX('Margin Guidence Table'!$A$1:$AD$30000,MATCH(1,('Margin Guidence Table'!$A$1:$A$10000=FO17)*('Margin Guidence Table'!$H$1:$H$10000&lt;=ROUND($FG$3,0))*('Margin Guidence Table'!$G$1:$G$10000&gt;=ROUND($FG$3,0)),0),MATCH("DATA_POINTS",'Margin Guidence Table'!$A$1:$AC$1,0)),0)</f>
        <v>0</v>
      </c>
      <c r="FQ17" s="1161" t="str">
        <f t="shared" si="35"/>
        <v>DEFAULT</v>
      </c>
      <c r="FR17" s="1161">
        <f t="array" ref="FR17">IFERROR(IF($FQ17="SEGMENT",INDEX('Margin Guidence Table'!$A$1:$AC$10000,MATCH(1,('Margin Guidence Table'!$A$1:$A$10000=FO17)*('Margin Guidence Table'!$H$1:$H$10000&lt;=ROUND($FG$3,0))*('Margin Guidence Table'!$G$1:$G$10000&gt;=ROUND($FG$3,0)),0),MATCH("SALES_CASE",'Margin Guidence Table'!$A$1:$AC$1,0)),INDEX('Margin Guidence Table'!$A$1:$AC$10000,MATCH(1,('Margin Guidence Table'!$A$1:$A$10000=FO17)*('Margin Guidence Table'!$H$1:$H$10000&lt;=ROUND($FG$3,0))*('Margin Guidence Table'!$G$1:$G$10000&gt;=ROUND($FG$3,0)),0),MATCH("DEFAULT_SALES_CASE",'Margin Guidence Table'!$A$1:$AC$1,0))),0)</f>
        <v>0</v>
      </c>
      <c r="FS17" s="1161">
        <f t="array" ref="FS17">IFERROR(IF($FQ17="SEGMENT",INDEX('Margin Guidence Table'!$A$1:$AC$10000,MATCH(1,('Margin Guidence Table'!$A$1:$A$10000=FO17)*('Margin Guidence Table'!$H$1:$H$10000&lt;=ROUND($FG$3,0))*('Margin Guidence Table'!$G$1:$G$10000&gt;=ROUND($FG$3,0)),0),MATCH("SALES_LBS",'Margin Guidence Table'!$A$1:$AC$1,0)),INDEX('Margin Guidence Table'!$A$1:$AC$10000,MATCH(1,('Margin Guidence Table'!$A$1:$A$10000=FO17)*('Margin Guidence Table'!$H$1:$H$10000&lt;=ROUND($FG$3,0))*('Margin Guidence Table'!$G$1:$G$10000&gt;=ROUND($FG$3,0)),0),MATCH("DEFAULT_SALES_LBS",'Margin Guidence Table'!$A$1:$AC$1,0))),0)</f>
        <v>0</v>
      </c>
      <c r="FT17" s="1165">
        <f t="array" ref="FT17">IFERROR(IF($FQ17="SEGMENT",INDEX('Margin Guidence Table'!$A$1:$AC$10000,MATCH(1,('Margin Guidence Table'!$A$1:$A$10000=FO17)*('Margin Guidence Table'!$H$1:$H$10000&lt;=ROUND($FG$3,0))*('Margin Guidence Table'!$G$1:$G$10000&gt;=ROUND($FG$3,0)),0),MATCH("MDA_MIN_MARGIN_GUIDENCE",'Margin Guidence Table'!$A$1:$AC$1,0)),INDEX('Margin Guidence Table'!$A$1:$AC$10000,MATCH(1,('Margin Guidence Table'!$A$1:$A$10000=FO17)*('Margin Guidence Table'!$H$1:$H$10000&lt;=ROUND($FG$3,0))*('Margin Guidence Table'!$G$1:$G$10000&gt;=ROUND($FG$3,0)),0),MATCH("DEFAULT_MDA_MIN_MARGIN_GUIDENCE",'Margin Guidence Table'!$A$1:$AC$1,0))),0)</f>
        <v>0</v>
      </c>
      <c r="FU17" s="1165">
        <f t="array" ref="FU17">IFERROR(IF($FQ17="SEGMENT",INDEX('Margin Guidence Table'!$A$1:$AC$10000,MATCH(1,('Margin Guidence Table'!$A$1:$A$10000=FO17)*('Margin Guidence Table'!$H$1:$H$10000&lt;=ROUND($FG$3,0))*('Margin Guidence Table'!$G$1:$G$10000&gt;=ROUND($FG$3,0)),0),MATCH("MDA_MEDIAN_MARGIN_GUIDENCE",'Margin Guidence Table'!$A$1:$AC$1,0)),INDEX('Margin Guidence Table'!$A$1:$AC$10000,MATCH(1,('Margin Guidence Table'!$A$1:$A$10000=FO17)*('Margin Guidence Table'!$H$1:$H$10000&lt;=ROUND($FG$3,0))*('Margin Guidence Table'!$G$1:$G$10000&gt;=ROUND($FG$3,0)),0),MATCH("DEFAULT_MDA_MEDIAN_MARGIN_GUIDENCE",'Margin Guidence Table'!$A$1:$AC$1,0))),0)</f>
        <v>0</v>
      </c>
      <c r="FV17" s="1165">
        <f t="array" ref="FV17">IFERROR(IF($FQ17="SEGMENT",INDEX('Margin Guidence Table'!$A$1:$AC$10000,MATCH(1,('Margin Guidence Table'!$A$1:$A$10000=FO17)*('Margin Guidence Table'!$H$1:$H$10000&lt;=ROUND($FG$3,0))*('Margin Guidence Table'!$G$1:$G$10000&gt;=ROUND($FG$3,0)),0),MATCH("MDA_MAX_MARGIN_GUIDENCE",'Margin Guidence Table'!$A$1:$AC$1,0)),INDEX('Margin Guidence Table'!$A$1:$AC$10000,MATCH(1,('Margin Guidence Table'!$A$1:$A$10000=FO17)*('Margin Guidence Table'!$H$1:$H$10000&lt;=ROUND($FG$3,0))*('Margin Guidence Table'!$G$1:$G$10000&gt;=ROUND($FG$3,0)),0),MATCH("DEFAULT_MDA_MAX_MARGIN_GUIDENCE",'Margin Guidence Table'!$A$1:$AC$1,0))),0)</f>
        <v>0</v>
      </c>
      <c r="FW17" s="1165">
        <f t="array" ref="FW17">IFERROR(IF($FQ17="SEGMENT",INDEX('Margin Guidence Table'!$A$1:$AC$10000,MATCH(1,('Margin Guidence Table'!$A$1:$A$10000=FO17)*('Margin Guidence Table'!$H$1:$H$10000&lt;=ROUND($FG$3,0))*('Margin Guidence Table'!$G$1:$G$10000&gt;=ROUND($FG$3,0)),0),MATCH("PA_PCT_SALES",'Margin Guidence Table'!$A$1:$AC$1,0)),INDEX('Margin Guidence Table'!$A$1:$AC$10000,MATCH(1,('Margin Guidence Table'!$A$1:$A$10000=FO17)*('Margin Guidence Table'!$H$1:$H$10000&lt;=ROUND($FG$3,0))*('Margin Guidence Table'!$G$1:$G$10000&gt;=ROUND($FG$3,0)),0),MATCH("DEFAULT_PA_PCT_SALES",'Margin Guidence Table'!$A$1:$AC$1,0))),0)</f>
        <v>0</v>
      </c>
      <c r="FX17" s="1165">
        <f t="array" ref="FX17">IFERROR(IF($FQ17="SEGMENT",INDEX('Margin Guidence Table'!$A$1:$AC$10000,MATCH(1,('Margin Guidence Table'!$A$1:$A$10000=FO17)*('Margin Guidence Table'!$H$1:$H$10000&lt;=ROUND($FG$3,0))*('Margin Guidence Table'!$G$1:$G$10000&gt;=ROUND($FG$3,0)),0),MATCH("SELF_FUND_PCT_SALES",'Margin Guidence Table'!$A$1:$AC$1,0)),INDEX('Margin Guidence Table'!$A$1:$AC$10000,MATCH(1,('Margin Guidence Table'!$A$1:$A$10000=FO17)*('Margin Guidence Table'!$H$1:$H$10000&lt;=ROUND($FG$3,0))*('Margin Guidence Table'!$G$1:$G$10000&gt;=ROUND($FG$3,0)),0),MATCH("DEFAULT_SELF_FUND_PCT_SALES",'Margin Guidence Table'!$A$1:$AC$1,0))),0)</f>
        <v>0</v>
      </c>
      <c r="FY17" s="1165">
        <f t="array" ref="FY17">IFERROR(IF($FQ17="SEGMENT",INDEX('Margin Guidence Table'!$A$1:$AC$10000,MATCH(1,('Margin Guidence Table'!$A$1:$A$10000=FO17)*('Margin Guidence Table'!$H$1:$H$10000&lt;=ROUND($FG$3,0))*('Margin Guidence Table'!$G$1:$G$10000&gt;=ROUND($FG$3,0)),0),MATCH("CIA_MEDIAN_MARGIN_GUIDENCE",'Margin Guidence Table'!$A$1:$AC$1,0)),INDEX('Margin Guidence Table'!$A$1:$AC$10000,MATCH(1,('Margin Guidence Table'!$A$1:$A$10000=FO17)*('Margin Guidence Table'!$H$1:$H$10000&lt;=ROUND($FG$3,0))*('Margin Guidence Table'!$G$1:$G$10000&gt;=ROUND($FG$3,0)),0),MATCH("DEFAULT_CIA_MEDIAN_MARGIN_GUIDENCE",'Margin Guidence Table'!$A$1:$AC$1,0))),0)</f>
        <v>0</v>
      </c>
      <c r="FZ17" s="129"/>
      <c r="GA17" s="18">
        <f t="array" ref="GA17">IFERROR(IF($GM17="SEGMENT",INDEX('Margin Guidence Table'!$A$1:$AC$10000,MATCH(1,('Margin Guidence Table'!$A$1:$A$10000=$GK17)*('Margin Guidence Table'!$H$1:$H$10000&lt;=ROUND($GC$3,0))*('Margin Guidence Table'!$G$1:$G$10000&gt;=ROUND($GC$3,0)),0),MATCH("PCT_SALES",'Margin Guidence Table'!$A$1:$AC$1,0)),INDEX('Margin Guidence Table'!$A$1:$AC$10000,MATCH(1,('Margin Guidence Table'!$A$1:$A$10000=$GK17)*('Margin Guidence Table'!$H$1:$H$10000&lt;=ROUND($GC$3,0))*('Margin Guidence Table'!$G$1:$G$10000&gt;=ROUND($GC$3,0)),0),MATCH("DEFAULT_PCT_SALES",'Margin Guidence Table'!$A$1:$AC$1,0))),0)</f>
        <v>0</v>
      </c>
      <c r="GB17" s="102" t="s">
        <v>102</v>
      </c>
      <c r="GC17" s="94">
        <f>IFERROR(IF(AND($GC$2&lt;&gt;"Enter Spend&gt;&gt;&gt;",GD2="EXISTING"),SUMIFS('Existing Customers'!$Q:$Q,'Existing Customers'!$A:$A,$GC$1,'Existing Customers'!$H:$H,$GB17)*$GC$4,$GC$3*$GA17),0)</f>
        <v>0</v>
      </c>
      <c r="GD17" s="89">
        <f>IFERROR(IF(AND($GC$2&lt;&gt;"Enter Spend&gt;&gt;&gt;",GD2="EXISTING"),SUMIFS('Existing Customers'!$N:$N,'Existing Customers'!$A:$A,$GC$1,'Existing Customers'!$H:$H,$GB17)*$GC$4,$GC17/$GN17),0)</f>
        <v>0</v>
      </c>
      <c r="GE17" s="95">
        <f>IFERROR(IF(AND($GC$2&lt;&gt;"Enter Spend&gt;&gt;&gt;",GD2="EXISTING"),SUMIFS('Existing Customers'!$O:$O,'Existing Customers'!$H:$H,$GB17,'Existing Customers'!$A:$A,$GC$1)*$GC$4,$GD17*$GC$8),0)</f>
        <v>0</v>
      </c>
      <c r="GF17" s="95">
        <f>IFERROR(IF(AND($GC$2&lt;&gt;"Enter Spend&gt;&gt;&gt;",GD2="EXISTING"),SUMIFS('Existing Customers'!$P:$P,'Existing Customers'!$A:$A,$GC$1,'Existing Customers'!$H:$H,$GB17)*$GC$4,$GC17/$GO17),0)</f>
        <v>0</v>
      </c>
      <c r="GG17" s="96">
        <f>IFERROR(IF(AND($GC$2&lt;&gt;"Enter Spend&gt;&gt;&gt;",GD2="EXISTING"),SUMIFS('Existing Customers'!$V:$V,'Existing Customers'!$H:$H,$GB17,'Existing Customers'!$A:$A,$GC$1)*$GC$4,0),0)</f>
        <v>0</v>
      </c>
      <c r="GH17" s="96">
        <f>IFERROR(IF(AND($GC$2&lt;&gt;"Enter Spend&gt;&gt;&gt;",GD2="EXISTING"),SUMIFS('Existing Customers'!$R:$R,'Existing Customers'!$H:$H,$GB17,'Existing Customers'!$A:$A,$GC$1)*$GC$4,0),0)</f>
        <v>0</v>
      </c>
      <c r="GI17" s="1161">
        <f>IFERROR(IF(AND($GC$2&lt;&gt;"Enter Spend&gt;&gt;&gt;",GD2="EXISTING"),SUMIFS('Existing Customers'!$S:$S,'Existing Customers'!$H:$H,$GB17,'Existing Customers'!$A:$A,$GC$1),GS17*GC17),0)</f>
        <v>0</v>
      </c>
      <c r="GJ17" s="1161">
        <f>IFERROR(IF(AND($GC$2&lt;&gt;"Enter Spend&gt;&gt;&gt;",GD2="EXISTING"),SUMIFS('Existing Customers'!$U:$U,'Existing Customers'!$H:$H,$GB17,'Existing Customers'!$A:$A,$GC$1),GT17*GC17),0)</f>
        <v>0</v>
      </c>
      <c r="GK17" s="1164" t="e">
        <f t="shared" si="36"/>
        <v>#N/A</v>
      </c>
      <c r="GL17" s="1164">
        <f t="array" ref="GL17">IFERROR(INDEX('Margin Guidence Table'!$A$1:$AD$30000,MATCH(1,('Margin Guidence Table'!$A$1:$A$10000=GK17)*('Margin Guidence Table'!$H$1:$H$10000&lt;=ROUND($GC$3,0))*('Margin Guidence Table'!$G$1:$G$10000&gt;=ROUND($GC$3,0)),0),MATCH("DATA_POINTS",'Margin Guidence Table'!$A$1:$AC$1,0)),0)</f>
        <v>0</v>
      </c>
      <c r="GM17" s="1161" t="str">
        <f t="shared" si="37"/>
        <v>DEFAULT</v>
      </c>
      <c r="GN17" s="1161">
        <f t="array" ref="GN17">IFERROR(IF($GM17="SEGMENT",INDEX('Margin Guidence Table'!$A$1:$AC$10000,MATCH(1,('Margin Guidence Table'!$A$1:$A$10000=GK17)*('Margin Guidence Table'!$H$1:$H$10000&lt;=ROUND($GC$3,0))*('Margin Guidence Table'!$G$1:$G$10000&gt;=ROUND($GC$3,0)),0),MATCH("SALES_CASE",'Margin Guidence Table'!$A$1:$AC$1,0)),INDEX('Margin Guidence Table'!$A$1:$AC$10000,MATCH(1,('Margin Guidence Table'!$A$1:$A$10000=GK17)*('Margin Guidence Table'!$H$1:$H$10000&lt;=ROUND($GC$3,0))*('Margin Guidence Table'!$G$1:$G$10000&gt;=ROUND($GC$3,0)),0),MATCH("DEFAULT_SALES_CASE",'Margin Guidence Table'!$A$1:$AC$1,0))),0)</f>
        <v>0</v>
      </c>
      <c r="GO17" s="1161">
        <f t="array" ref="GO17">IFERROR(IF($GM17="SEGMENT",INDEX('Margin Guidence Table'!$A$1:$AC$10000,MATCH(1,('Margin Guidence Table'!$A$1:$A$10000=GK17)*('Margin Guidence Table'!$H$1:$H$10000&lt;=ROUND($GC$3,0))*('Margin Guidence Table'!$G$1:$G$10000&gt;=ROUND($GC$3,0)),0),MATCH("SALES_LBS",'Margin Guidence Table'!$A$1:$AC$1,0)),INDEX('Margin Guidence Table'!$A$1:$AC$10000,MATCH(1,('Margin Guidence Table'!$A$1:$A$10000=GK17)*('Margin Guidence Table'!$H$1:$H$10000&lt;=ROUND($GC$3,0))*('Margin Guidence Table'!$G$1:$G$10000&gt;=ROUND($GC$3,0)),0),MATCH("DEFAULT_SALES_LBS",'Margin Guidence Table'!$A$1:$AC$1,0))),0)</f>
        <v>0</v>
      </c>
      <c r="GP17" s="1165">
        <f t="array" ref="GP17">IFERROR(IF($GM17="SEGMENT",INDEX('Margin Guidence Table'!$A$1:$AC$10000,MATCH(1,('Margin Guidence Table'!$A$1:$A$10000=GK17)*('Margin Guidence Table'!$H$1:$H$10000&lt;=ROUND($GC$3,0))*('Margin Guidence Table'!$G$1:$G$10000&gt;=ROUND($GC$3,0)),0),MATCH("MDA_MIN_MARGIN_GUIDENCE",'Margin Guidence Table'!$A$1:$AC$1,0)),INDEX('Margin Guidence Table'!$A$1:$AC$10000,MATCH(1,('Margin Guidence Table'!$A$1:$A$10000=GK17)*('Margin Guidence Table'!$H$1:$H$10000&lt;=ROUND($GC$3,0))*('Margin Guidence Table'!$G$1:$G$10000&gt;=ROUND($GC$3,0)),0),MATCH("DEFAULT_MDA_MIN_MARGIN_GUIDENCE",'Margin Guidence Table'!$A$1:$AC$1,0))),0)</f>
        <v>0</v>
      </c>
      <c r="GQ17" s="1165">
        <f t="array" ref="GQ17">IFERROR(IF($GM17="SEGMENT",INDEX('Margin Guidence Table'!$A$1:$AC$10000,MATCH(1,('Margin Guidence Table'!$A$1:$A$10000=GK17)*('Margin Guidence Table'!$H$1:$H$10000&lt;=ROUND($GC$3,0))*('Margin Guidence Table'!$G$1:$G$10000&gt;=ROUND($GC$3,0)),0),MATCH("MDA_MEDIAN_MARGIN_GUIDENCE",'Margin Guidence Table'!$A$1:$AC$1,0)),INDEX('Margin Guidence Table'!$A$1:$AC$10000,MATCH(1,('Margin Guidence Table'!$A$1:$A$10000=GK17)*('Margin Guidence Table'!$H$1:$H$10000&lt;=ROUND($GC$3,0))*('Margin Guidence Table'!$G$1:$G$10000&gt;=ROUND($GC$3,0)),0),MATCH("DEFAULT_MDA_MEDIAN_MARGIN_GUIDENCE",'Margin Guidence Table'!$A$1:$AC$1,0))),0)</f>
        <v>0</v>
      </c>
      <c r="GR17" s="1165">
        <f t="array" ref="GR17">IFERROR(IF($GM17="SEGMENT",INDEX('Margin Guidence Table'!$A$1:$AC$10000,MATCH(1,('Margin Guidence Table'!$A$1:$A$10000=GK17)*('Margin Guidence Table'!$H$1:$H$10000&lt;=ROUND($GC$3,0))*('Margin Guidence Table'!$G$1:$G$10000&gt;=ROUND($GC$3,0)),0),MATCH("MDA_MAX_MARGIN_GUIDENCE",'Margin Guidence Table'!$A$1:$AC$1,0)),INDEX('Margin Guidence Table'!$A$1:$AC$10000,MATCH(1,('Margin Guidence Table'!$A$1:$A$10000=GK17)*('Margin Guidence Table'!$H$1:$H$10000&lt;=ROUND($GC$3,0))*('Margin Guidence Table'!$G$1:$G$10000&gt;=ROUND($GC$3,0)),0),MATCH("DEFAULT_MDA_MAX_MARGIN_GUIDENCE",'Margin Guidence Table'!$A$1:$AC$1,0))),0)</f>
        <v>0</v>
      </c>
      <c r="GS17" s="1165">
        <f t="array" ref="GS17">IFERROR(IF($GM17="SEGMENT",INDEX('Margin Guidence Table'!$A$1:$AC$10000,MATCH(1,('Margin Guidence Table'!$A$1:$A$10000=GK17)*('Margin Guidence Table'!$H$1:$H$10000&lt;=ROUND($GC$3,0))*('Margin Guidence Table'!$G$1:$G$10000&gt;=ROUND($GC$3,0)),0),MATCH("PA_PCT_SALES",'Margin Guidence Table'!$A$1:$AC$1,0)),INDEX('Margin Guidence Table'!$A$1:$AC$10000,MATCH(1,('Margin Guidence Table'!$A$1:$A$10000=GK17)*('Margin Guidence Table'!$H$1:$H$10000&lt;=ROUND($GC$3,0))*('Margin Guidence Table'!$G$1:$G$10000&gt;=ROUND($GC$3,0)),0),MATCH("DEFAULT_PA_PCT_SALES",'Margin Guidence Table'!$A$1:$AC$1,0))),0)</f>
        <v>0</v>
      </c>
      <c r="GT17" s="1165">
        <f t="array" ref="GT17">IFERROR(IF($GM17="SEGMENT",INDEX('Margin Guidence Table'!$A$1:$AC$10000,MATCH(1,('Margin Guidence Table'!$A$1:$A$10000=GK17)*('Margin Guidence Table'!$H$1:$H$10000&lt;=ROUND($GC$3,0))*('Margin Guidence Table'!$G$1:$G$10000&gt;=ROUND($GC$3,0)),0),MATCH("SELF_FUND_PCT_SALES",'Margin Guidence Table'!$A$1:$AC$1,0)),INDEX('Margin Guidence Table'!$A$1:$AC$10000,MATCH(1,('Margin Guidence Table'!$A$1:$A$10000=GK17)*('Margin Guidence Table'!$H$1:$H$10000&lt;=ROUND($GC$3,0))*('Margin Guidence Table'!$G$1:$G$10000&gt;=ROUND($GC$3,0)),0),MATCH("DEFAULT_SELF_FUND_PCT_SALES",'Margin Guidence Table'!$A$1:$AC$1,0))),0)</f>
        <v>0</v>
      </c>
      <c r="GU17" s="1165">
        <f t="array" ref="GU17">IFERROR(IF($GM17="SEGMENT",INDEX('Margin Guidence Table'!$A$1:$AC$10000,MATCH(1,('Margin Guidence Table'!$A$1:$A$10000=GK17)*('Margin Guidence Table'!$H$1:$H$10000&lt;=ROUND($GC$3,0))*('Margin Guidence Table'!$G$1:$G$10000&gt;=ROUND($GC$3,0)),0),MATCH("CIA_MEDIAN_MARGIN_GUIDENCE",'Margin Guidence Table'!$A$1:$AC$1,0)),INDEX('Margin Guidence Table'!$A$1:$AC$10000,MATCH(1,('Margin Guidence Table'!$A$1:$A$10000=GK17)*('Margin Guidence Table'!$H$1:$H$10000&lt;=ROUND($GC$3,0))*('Margin Guidence Table'!$G$1:$G$10000&gt;=ROUND($GC$3,0)),0),MATCH("DEFAULT_CIA_MEDIAN_MARGIN_GUIDENCE",'Margin Guidence Table'!$A$1:$AC$1,0))),0)</f>
        <v>0</v>
      </c>
      <c r="GV17" s="129"/>
      <c r="GW17" s="18">
        <f t="array" ref="GW17">IFERROR(IF($HI17="SEGMENT",INDEX('Margin Guidence Table'!$A$1:$AC$10000,MATCH(1,('Margin Guidence Table'!$A$1:$A$10000=$HG17)*('Margin Guidence Table'!$H$1:$H$10000&lt;=ROUND($GY$3,0))*('Margin Guidence Table'!$G$1:$G$10000&gt;=ROUND($GY$3,0)),0),MATCH("PCT_SALES",'Margin Guidence Table'!$A$1:$AC$1,0)),INDEX('Margin Guidence Table'!$A$1:$AC$10000,MATCH(1,('Margin Guidence Table'!$A$1:$A$10000=$HG17)*('Margin Guidence Table'!$H$1:$H$10000&lt;=ROUND($GY$3,0))*('Margin Guidence Table'!$G$1:$G$10000&gt;=ROUND($GY$3,0)),0),MATCH("DEFAULT_PCT_SALES",'Margin Guidence Table'!$A$1:$AC$1,0))),0)</f>
        <v>0</v>
      </c>
      <c r="GX17" s="102" t="s">
        <v>102</v>
      </c>
      <c r="GY17" s="94">
        <f>IFERROR(IF(AND($GY$2&lt;&gt;"Enter Spend&gt;&gt;&gt;",GZ2="EXISTING"),SUMIFS('Existing Customers'!$Q:$Q,'Existing Customers'!$A:$A,$GY$1,'Existing Customers'!$H:$H,$GX17)*$GY$4,$GY$3*$GW17),0)</f>
        <v>0</v>
      </c>
      <c r="GZ17" s="89">
        <f>IFERROR(IF(AND($GY$2&lt;&gt;"Enter Spend&gt;&gt;&gt;",GZ2="EXISTING"),SUMIFS('Existing Customers'!$N:$N,'Existing Customers'!$A:$A,$GY$1,'Existing Customers'!$H:$H,$GX17)*$GY$4,$GY17/$HJ17),0)</f>
        <v>0</v>
      </c>
      <c r="HA17" s="95">
        <f>IFERROR(IF(AND($GY$2&lt;&gt;"Enter Spend&gt;&gt;&gt;",GZ2="EXISTING"),SUMIFS('Existing Customers'!$O:$O,'Existing Customers'!$H:$H,$GX17,'Existing Customers'!$A:$A,$GY$1)*$GY$4,$GZ17*$GY$8),0)</f>
        <v>0</v>
      </c>
      <c r="HB17" s="95">
        <f>IFERROR(IF(AND($GY$2&lt;&gt;"Enter Spend&gt;&gt;&gt;",GZ2="EXISTING"),SUMIFS('Existing Customers'!$P:$P,'Existing Customers'!$A:$A,$GY$1,'Existing Customers'!$H:$H,$GX17)*$GY$4,$GY17/$HK17),0)</f>
        <v>0</v>
      </c>
      <c r="HC17" s="96">
        <f>IFERROR(IF(AND($GY$2&lt;&gt;"Enter Spend&gt;&gt;&gt;",GZ2="EXISTING"),SUMIFS('Existing Customers'!$V:$V,'Existing Customers'!$H:$H,$GX17,'Existing Customers'!$A:$A,$GY$1)*$GY$4,0),0)</f>
        <v>0</v>
      </c>
      <c r="HD17" s="96">
        <f>IFERROR(IF(AND($GY$2&lt;&gt;"Enter Spend&gt;&gt;&gt;",GZ2="EXISTING"),SUMIFS('Existing Customers'!$R:$R,'Existing Customers'!$H:$H,$GX17,'Existing Customers'!$A:$A,$GY$1)*$GY$4,0),0)</f>
        <v>0</v>
      </c>
      <c r="HE17" s="1161">
        <f>IFERROR(IF(AND($GY$2&lt;&gt;"Enter Spend&gt;&gt;&gt;",GZ2="EXISTING"),SUMIFS('Existing Customers'!$S:$S,'Existing Customers'!$H:$H,$GX17,'Existing Customers'!$A:$A,$GY$1),HO17*GY17),0)</f>
        <v>0</v>
      </c>
      <c r="HF17" s="1161">
        <f>IFERROR(IF(AND($GY$2&lt;&gt;"Enter Spend&gt;&gt;&gt;",GZ2="EXISTING"),SUMIFS('Existing Customers'!$U:$U,'Existing Customers'!$H:$H,$GX17,'Existing Customers'!$A:$A,$GY$1),HP17*GY17),0)</f>
        <v>0</v>
      </c>
      <c r="HG17" s="1164" t="e">
        <f t="shared" si="38"/>
        <v>#N/A</v>
      </c>
      <c r="HH17" s="1164">
        <f t="array" ref="HH17">IFERROR(INDEX('Margin Guidence Table'!$A$1:$AD$30000,MATCH(1,('Margin Guidence Table'!$A$1:$A$10000=HG17)*('Margin Guidence Table'!$H$1:$H$10000&lt;=ROUND($GY$3,0))*('Margin Guidence Table'!$G$1:$G$10000&gt;=ROUND($GY$3,0)),0),MATCH("DATA_POINTS",'Margin Guidence Table'!$A$1:$AC$1,0)),0)</f>
        <v>0</v>
      </c>
      <c r="HI17" s="1161" t="str">
        <f t="shared" si="39"/>
        <v>DEFAULT</v>
      </c>
      <c r="HJ17" s="1161">
        <f t="array" ref="HJ17">IFERROR(IF($HI17="SEGMENT",INDEX('Margin Guidence Table'!$A$1:$AC$10000,MATCH(1,('Margin Guidence Table'!$A$1:$A$10000=HG17)*('Margin Guidence Table'!$H$1:$H$10000&lt;=ROUND($GY$3,0))*('Margin Guidence Table'!$G$1:$G$10000&gt;=ROUND($GY$3,0)),0),MATCH("SALES_CASE",'Margin Guidence Table'!$A$1:$AC$1,0)),INDEX('Margin Guidence Table'!$A$1:$AC$10000,MATCH(1,('Margin Guidence Table'!$A$1:$A$10000=HG17)*('Margin Guidence Table'!$H$1:$H$10000&lt;=ROUND($GY$3,0))*('Margin Guidence Table'!$G$1:$G$10000&gt;=ROUND($GY$3,0)),0),MATCH("DEFAULT_SALES_CASE",'Margin Guidence Table'!$A$1:$AC$1,0))),0)</f>
        <v>0</v>
      </c>
      <c r="HK17" s="1161">
        <f t="array" ref="HK17">IFERROR(IF($HI17="SEGMENT",INDEX('Margin Guidence Table'!$A$1:$AC$10000,MATCH(1,('Margin Guidence Table'!$A$1:$A$10000=HG17)*('Margin Guidence Table'!$H$1:$H$10000&lt;=ROUND($GY$3,0))*('Margin Guidence Table'!$G$1:$G$10000&gt;=ROUND($GY$3,0)),0),MATCH("SALES_LBS",'Margin Guidence Table'!$A$1:$AC$1,0)),INDEX('Margin Guidence Table'!$A$1:$AC$10000,MATCH(1,('Margin Guidence Table'!$A$1:$A$10000=HG17)*('Margin Guidence Table'!$H$1:$H$10000&lt;=ROUND($GY$3,0))*('Margin Guidence Table'!$G$1:$G$10000&gt;=ROUND($GY$3,0)),0),MATCH("DEFAULT_SALES_LBS",'Margin Guidence Table'!$A$1:$AC$1,0))),0)</f>
        <v>0</v>
      </c>
      <c r="HL17" s="1165">
        <f t="array" ref="HL17">IFERROR(IF($HI17="SEGMENT",INDEX('Margin Guidence Table'!$A$1:$AC$10000,MATCH(1,('Margin Guidence Table'!$A$1:$A$10000=HG17)*('Margin Guidence Table'!$H$1:$H$10000&lt;=ROUND($GY$3,0))*('Margin Guidence Table'!$G$1:$G$10000&gt;=ROUND($GY$3,0)),0),MATCH("MDA_MIN_MARGIN_GUIDENCE",'Margin Guidence Table'!$A$1:$AC$1,0)),INDEX('Margin Guidence Table'!$A$1:$AC$10000,MATCH(1,('Margin Guidence Table'!$A$1:$A$10000=HG17)*('Margin Guidence Table'!$H$1:$H$10000&lt;=ROUND($GY$3,0))*('Margin Guidence Table'!$G$1:$G$10000&gt;=ROUND($GY$3,0)),0),MATCH("DEFAULT_MDA_MIN_MARGIN_GUIDENCE",'Margin Guidence Table'!$A$1:$AC$1,0))),0)</f>
        <v>0</v>
      </c>
      <c r="HM17" s="1165">
        <f t="array" ref="HM17">IFERROR(IF($HI17="SEGMENT",INDEX('Margin Guidence Table'!$A$1:$AC$10000,MATCH(1,('Margin Guidence Table'!$A$1:$A$10000=HG17)*('Margin Guidence Table'!$H$1:$H$10000&lt;=ROUND($GY$3,0))*('Margin Guidence Table'!$G$1:$G$10000&gt;=ROUND($GY$3,0)),0),MATCH("MDA_MEDIAN_MARGIN_GUIDENCE",'Margin Guidence Table'!$A$1:$AC$1,0)),INDEX('Margin Guidence Table'!$A$1:$AC$10000,MATCH(1,('Margin Guidence Table'!$A$1:$A$10000=HG17)*('Margin Guidence Table'!$H$1:$H$10000&lt;=ROUND($GY$3,0))*('Margin Guidence Table'!$G$1:$G$10000&gt;=ROUND($GY$3,0)),0),MATCH("DEFAULT_MDA_MEDIAN_MARGIN_GUIDENCE",'Margin Guidence Table'!$A$1:$AC$1,0))),0)</f>
        <v>0</v>
      </c>
      <c r="HN17" s="1165">
        <f t="array" ref="HN17">IFERROR(IF($HI17="SEGMENT",INDEX('Margin Guidence Table'!$A$1:$AC$10000,MATCH(1,('Margin Guidence Table'!$A$1:$A$10000=HG17)*('Margin Guidence Table'!$H$1:$H$10000&lt;=ROUND($GY$3,0))*('Margin Guidence Table'!$G$1:$G$10000&gt;=ROUND($GY$3,0)),0),MATCH("MDA_MAX_MARGIN_GUIDENCE",'Margin Guidence Table'!$A$1:$AC$1,0)),INDEX('Margin Guidence Table'!$A$1:$AC$10000,MATCH(1,('Margin Guidence Table'!$A$1:$A$10000=HG17)*('Margin Guidence Table'!$H$1:$H$10000&lt;=ROUND($GY$3,0))*('Margin Guidence Table'!$G$1:$G$10000&gt;=ROUND($GY$3,0)),0),MATCH("DEFAULT_MDA_MAX_MARGIN_GUIDENCE",'Margin Guidence Table'!$A$1:$AC$1,0))),0)</f>
        <v>0</v>
      </c>
      <c r="HO17" s="1165">
        <f t="array" ref="HO17">IFERROR(IF($HI17="SEGMENT",INDEX('Margin Guidence Table'!$A$1:$AC$10000,MATCH(1,('Margin Guidence Table'!$A$1:$A$10000=HG17)*('Margin Guidence Table'!$H$1:$H$10000&lt;=ROUND($GY$3,0))*('Margin Guidence Table'!$G$1:$G$10000&gt;=ROUND($GY$3,0)),0),MATCH("PA_PCT_SALES",'Margin Guidence Table'!$A$1:$AC$1,0)),INDEX('Margin Guidence Table'!$A$1:$AC$10000,MATCH(1,('Margin Guidence Table'!$A$1:$A$10000=HG17)*('Margin Guidence Table'!$H$1:$H$10000&lt;=ROUND($GY$3,0))*('Margin Guidence Table'!$G$1:$G$10000&gt;=ROUND($GY$3,0)),0),MATCH("DEFAULT_PA_PCT_SALES",'Margin Guidence Table'!$A$1:$AC$1,0))),0)</f>
        <v>0</v>
      </c>
      <c r="HP17" s="1165">
        <f t="array" ref="HP17">IFERROR(IF($HI17="SEGMENT",INDEX('Margin Guidence Table'!$A$1:$AC$10000,MATCH(1,('Margin Guidence Table'!$A$1:$A$10000=HG17)*('Margin Guidence Table'!$H$1:$H$10000&lt;=ROUND($GY$3,0))*('Margin Guidence Table'!$G$1:$G$10000&gt;=ROUND($GY$3,0)),0),MATCH("SELF_FUND_PCT_SALES",'Margin Guidence Table'!$A$1:$AC$1,0)),INDEX('Margin Guidence Table'!$A$1:$AC$10000,MATCH(1,('Margin Guidence Table'!$A$1:$A$10000=HG17)*('Margin Guidence Table'!$H$1:$H$10000&lt;=ROUND($GY$3,0))*('Margin Guidence Table'!$G$1:$G$10000&gt;=ROUND($GY$3,0)),0),MATCH("DEFAULT_SELF_FUND_PCT_SALES",'Margin Guidence Table'!$A$1:$AC$1,0))),0)</f>
        <v>0</v>
      </c>
      <c r="HQ17" s="1165">
        <f t="array" ref="HQ17">IFERROR(IF($HI17="SEGMENT",INDEX('Margin Guidence Table'!$A$1:$AC$10000,MATCH(1,('Margin Guidence Table'!$A$1:$A$10000=HG17)*('Margin Guidence Table'!$H$1:$H$10000&lt;=ROUND($GY$3,0))*('Margin Guidence Table'!$G$1:$G$10000&gt;=ROUND($GY$3,0)),0),MATCH("CIA_MEDIAN_MARGIN_GUIDENCE",'Margin Guidence Table'!$A$1:$AC$1,0)),INDEX('Margin Guidence Table'!$A$1:$AC$10000,MATCH(1,('Margin Guidence Table'!$A$1:$A$10000=HG17)*('Margin Guidence Table'!$H$1:$H$10000&lt;=ROUND($GY$3,0))*('Margin Guidence Table'!$G$1:$G$10000&gt;=ROUND($GY$3,0)),0),MATCH("DEFAULT_CIA_MEDIAN_MARGIN_GUIDENCE",'Margin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Spend&gt;&gt;&gt;",HV2="EXISTING"),SUMIFS('Existing Customers'!$Q:$Q,'Existing Customers'!$A:$A,$HU$1,'Existing Customers'!$H:$H,$HT17)*$HU$4,$HU$3*$HS17),0)</f>
        <v>0</v>
      </c>
      <c r="HV17" s="89">
        <f>IFERROR(IF(AND($HU$2&lt;&gt;"Enter Spend&gt;&gt;&gt;",HV2="EXISTING"),SUMIFS('Existing Customers'!$N:$N,'Existing Customers'!$A:$A,$HU$1,'Existing Customers'!$H:$H,$HT17)*$HU$4,$HU17/$IF17),0)</f>
        <v>0</v>
      </c>
      <c r="HW17" s="95">
        <f>IFERROR(IF(AND($HU$2&lt;&gt;"Enter Spend&gt;&gt;&gt;",HV2="EXISTING"),SUMIFS('Existing Customers'!$O:$O,'Existing Customers'!$H:$H,$HT17,'Existing Customers'!$A:$A,$HU$1)*$HU$4,$HV17*$HU$8),0)</f>
        <v>0</v>
      </c>
      <c r="HX17" s="95">
        <f>IFERROR(IF(AND($HU$2&lt;&gt;"Enter Spend&gt;&gt;&gt;",HV2="EXISTING"),SUMIFS('Existing Customers'!$P:$P,'Existing Customers'!$A:$A,$HU$1,'Existing Customers'!$H:$H,$HT17)*$HU$4,$HU17/$IG17),0)</f>
        <v>0</v>
      </c>
      <c r="HY17" s="402">
        <f>IFERROR(IF(AND($HU$2&lt;&gt;"Enter Spend&gt;&gt;&gt;",HV2="EXISTING"),SUMIFS('Existing Customers'!$V:$V,'Existing Customers'!$H:$H,$HT17,'Existing Customers'!$A:$A,$HU$1)*$HU$4,0),0)</f>
        <v>0</v>
      </c>
      <c r="HZ17" s="96">
        <f>IFERROR(IF(AND($HU$2&lt;&gt;"Enter Spend&gt;&gt;&gt;",HV2="EXISTING"),SUMIFS('Existing Customers'!$R:$R,'Existing Customers'!$H:$H,$HT17,'Existing Customers'!$A:$A,$HU$1)*$HU$4,0),0)</f>
        <v>0</v>
      </c>
      <c r="IA17" s="1161">
        <f>IFERROR(IF(AND($HU$2&lt;&gt;"Enter Spend&gt;&gt;&gt;",HV2="EXISTING"),SUMIFS('Existing Customers'!$S:$S,'Existing Customers'!$H:$H,$HT17,'Existing Customers'!$A:$A,$HU$1),IK17*HU17),0)</f>
        <v>0</v>
      </c>
      <c r="IB17" s="1161">
        <f>IFERROR(IF(AND($HU$2&lt;&gt;"Enter Spend&gt;&gt;&gt;",HV2="EXISTING"),SUMIFS('Existing Customers'!$U:$U,'Existing Customers'!$H:$H,$HT17,'Existing Customers'!$A:$A,$HU$1),IL17*HU17),0)</f>
        <v>0</v>
      </c>
      <c r="IC17" s="1164" t="e">
        <f t="shared" si="40"/>
        <v>#N/A</v>
      </c>
      <c r="ID17" s="1164">
        <f t="array" ref="ID17">IFERROR(INDEX('Margin Guidence Table'!$A$1:$AD$30000,MATCH(1,('Margin Guidence Table'!$A$1:$A$10000=IC17)*('Margin Guidence Table'!$H$1:$H$10000&lt;=ROUND($HU$3,0))*('Margin Guidence Table'!$G$1:$G$10000&gt;=ROUND($HU$3,0)),0),MATCH("DATA_POINTS",'Margin Guidence Table'!$A$1:$AC$1,0)),0)</f>
        <v>0</v>
      </c>
      <c r="IE17" s="1161" t="str">
        <f t="shared" si="41"/>
        <v>DEFAULT</v>
      </c>
      <c r="IF17" s="1161">
        <f t="array" ref="IF17">IFERROR(IF($IE17="SEGMENT",INDEX('Margin Guidence Table'!$A$1:$AC$10000,MATCH(1,('Margin Guidence Table'!$A$1:$A$10000=IC17)*('Margin Guidence Table'!$H$1:$H$10000&lt;=ROUND($HU$3,0))*('Margin Guidence Table'!$G$1:$G$10000&gt;=ROUND($HU$3,0)),0),MATCH("SALES_CASE",'Margin Guidence Table'!$A$1:$AC$1,0)),INDEX('Margin Guidence Table'!$A$1:$AC$10000,MATCH(1,('Margin Guidence Table'!$A$1:$A$10000=IC17)*('Margin Guidence Table'!$H$1:$H$10000&lt;=ROUND($HU$3,0))*('Margin Guidence Table'!$G$1:$G$10000&gt;=ROUND($HU$3,0)),0),MATCH("DEFAULT_SALES_CASE",'Margin Guidence Table'!$A$1:$AC$1,0))),0)</f>
        <v>0</v>
      </c>
      <c r="IG17" s="1161">
        <f t="array" ref="IG17">IFERROR(IF($IE17="SEGMENT",INDEX('Margin Guidence Table'!$A$1:$AC$10000,MATCH(1,('Margin Guidence Table'!$A$1:$A$10000=IC17)*('Margin Guidence Table'!$H$1:$H$10000&lt;=ROUND($HU$3,0))*('Margin Guidence Table'!$G$1:$G$10000&gt;=ROUND($HU$3,0)),0),MATCH("SALES_LBS",'Margin Guidence Table'!$A$1:$AC$1,0)),INDEX('Margin Guidence Table'!$A$1:$AC$10000,MATCH(1,('Margin Guidence Table'!$A$1:$A$10000=IC17)*('Margin Guidence Table'!$H$1:$H$10000&lt;=ROUND($HU$3,0))*('Margin Guidence Table'!$G$1:$G$10000&gt;=ROUND($HU$3,0)),0),MATCH("DEFAULT_SALES_LBS",'Margin Guidence Table'!$A$1:$AC$1,0))),0)</f>
        <v>0</v>
      </c>
      <c r="IH17" s="1165">
        <f t="array" ref="IH17">IFERROR(IF($IE17="SEGMENT",INDEX('Margin Guidence Table'!$A$1:$AC$10000,MATCH(1,('Margin Guidence Table'!$A$1:$A$10000=IC17)*('Margin Guidence Table'!$H$1:$H$10000&lt;=ROUND($HU$3,0))*('Margin Guidence Table'!$G$1:$G$10000&gt;=ROUND($HU$3,0)),0),MATCH("MDA_MIN_MARGIN_GUIDENCE",'Margin Guidence Table'!$A$1:$AC$1,0)),INDEX('Margin Guidence Table'!$A$1:$AC$10000,MATCH(1,('Margin Guidence Table'!$A$1:$A$10000=IC17)*('Margin Guidence Table'!$H$1:$H$10000&lt;=ROUND($HU$3,0))*('Margin Guidence Table'!$G$1:$G$10000&gt;=ROUND($HU$3,0)),0),MATCH("DEFAULT_MDA_MIN_MARGIN_GUIDENCE",'Margin Guidence Table'!$A$1:$AC$1,0))),0)</f>
        <v>0</v>
      </c>
      <c r="II17" s="1165">
        <f t="array" ref="II17">IFERROR(IF($IE17="SEGMENT",INDEX('Margin Guidence Table'!$A$1:$AC$10000,MATCH(1,('Margin Guidence Table'!$A$1:$A$10000=IC17)*('Margin Guidence Table'!$H$1:$H$10000&lt;=ROUND($HU$3,0))*('Margin Guidence Table'!$G$1:$G$10000&gt;=ROUND($HU$3,0)),0),MATCH("MDA_MEDIAN_MARGIN_GUIDENCE",'Margin Guidence Table'!$A$1:$AC$1,0)),INDEX('Margin Guidence Table'!$A$1:$AC$10000,MATCH(1,('Margin Guidence Table'!$A$1:$A$10000=IC17)*('Margin Guidence Table'!$H$1:$H$10000&lt;=ROUND($HU$3,0))*('Margin Guidence Table'!$G$1:$G$10000&gt;=ROUND($HU$3,0)),0),MATCH("DEFAULT_MDA_MEDIAN_MARGIN_GUIDENCE",'Margin Guidence Table'!$A$1:$AC$1,0))),0)</f>
        <v>0</v>
      </c>
      <c r="IJ17" s="1165">
        <f t="array" ref="IJ17">IFERROR(IF($IE17="SEGMENT",INDEX('Margin Guidence Table'!$A$1:$AC$10000,MATCH(1,('Margin Guidence Table'!$A$1:$A$10000=IC17)*('Margin Guidence Table'!$H$1:$H$10000&lt;=ROUND($HU$3,0))*('Margin Guidence Table'!$G$1:$G$10000&gt;=ROUND($HU$3,0)),0),MATCH("MDA_MAX_MARGIN_GUIDENCE",'Margin Guidence Table'!$A$1:$AC$1,0)),INDEX('Margin Guidence Table'!$A$1:$AC$10000,MATCH(1,('Margin Guidence Table'!$A$1:$A$10000=IC17)*('Margin Guidence Table'!$H$1:$H$10000&lt;=ROUND($HU$3,0))*('Margin Guidence Table'!$G$1:$G$10000&gt;=ROUND($HU$3,0)),0),MATCH("DEFAULT_MDA_MAX_MARGIN_GUIDENCE",'Margin Guidence Table'!$A$1:$AC$1,0))),0)</f>
        <v>0</v>
      </c>
      <c r="IK17" s="1165">
        <f t="array" ref="IK17">IFERROR(IF($IE17="SEGMENT",INDEX('Margin Guidence Table'!$A$1:$AC$10000,MATCH(1,('Margin Guidence Table'!$A$1:$A$10000=IC17)*('Margin Guidence Table'!$H$1:$H$10000&lt;=ROUND($HU$3,0))*('Margin Guidence Table'!$G$1:$G$10000&gt;=ROUND($HU$3,0)),0),MATCH("PA_PCT_SALES",'Margin Guidence Table'!$A$1:$AC$1,0)),INDEX('Margin Guidence Table'!$A$1:$AC$10000,MATCH(1,('Margin Guidence Table'!$A$1:$A$10000=IC17)*('Margin Guidence Table'!$H$1:$H$10000&lt;=ROUND($HU$3,0))*('Margin Guidence Table'!$G$1:$G$10000&gt;=ROUND($HU$3,0)),0),MATCH("DEFAULT_PA_PCT_SALES",'Margin Guidence Table'!$A$1:$AC$1,0))),0)</f>
        <v>0</v>
      </c>
      <c r="IL17" s="1165">
        <f t="array" ref="IL17">IFERROR(IF($IE17="SEGMENT",INDEX('Margin Guidence Table'!$A$1:$AC$10000,MATCH(1,('Margin Guidence Table'!$A$1:$A$10000=IC17)*('Margin Guidence Table'!$H$1:$H$10000&lt;=ROUND($HU$3,0))*('Margin Guidence Table'!$G$1:$G$10000&gt;=ROUND($HU$3,0)),0),MATCH("SELF_FUND_PCT_SALES",'Margin Guidence Table'!$A$1:$AC$1,0)),INDEX('Margin Guidence Table'!$A$1:$AC$10000,MATCH(1,('Margin Guidence Table'!$A$1:$A$10000=IC17)*('Margin Guidence Table'!$H$1:$H$10000&lt;=ROUND($HU$3,0))*('Margin Guidence Table'!$G$1:$G$10000&gt;=ROUND($HU$3,0)),0),MATCH("DEFAULT_SELF_FUND_PCT_SALES",'Margin Guidence Table'!$A$1:$AC$1,0))),0)</f>
        <v>0</v>
      </c>
      <c r="IM17" s="1165">
        <f t="array" ref="IM17">IFERROR(IF($IE17="SEGMENT",INDEX('Margin Guidence Table'!$A$1:$AC$10000,MATCH(1,('Margin Guidence Table'!$A$1:$A$10000=IC17)*('Margin Guidence Table'!$H$1:$H$10000&lt;=ROUND($HU$3,0))*('Margin Guidence Table'!$G$1:$G$10000&gt;=ROUND($HU$3,0)),0),MATCH("CIA_MEDIAN_MARGIN_GUIDENCE",'Margin Guidence Table'!$A$1:$AC$1,0)),INDEX('Margin Guidence Table'!$A$1:$AC$10000,MATCH(1,('Margin Guidence Table'!$A$1:$A$10000=IC17)*('Margin Guidence Table'!$H$1:$H$10000&lt;=ROUND($HU$3,0))*('Margin Guidence Table'!$G$1:$G$10000&gt;=ROUND($HU$3,0)),0),MATCH("DEFAULT_CIA_MEDIAN_MARGIN_GUIDENCE",'Margin Guidence Table'!$A$1:$AC$1,0))),0)</f>
        <v>0</v>
      </c>
      <c r="IN17" s="129"/>
      <c r="IO17" s="18">
        <f t="array" ref="IO17">IFERROR(IF($JA17="SEGMENT",INDEX('Margin Guidence Table'!$A$1:$AC$10000,MATCH(1,('Margin Guidence Table'!$A$1:$A$10000=$IY17)*('Margin Guidence Table'!$H$1:$H$10000&lt;=ROUND($IQ$3,0))*('Margin Guidence Table'!$G$1:$G$10000&gt;=ROUND($IQ$3,0)),0),MATCH("PCT_SALES",'Margin Guidence Table'!$A$1:$AC$1,0)),INDEX('Margin Guidence Table'!$A$1:$AC$10000,MATCH(1,('Margin Guidence Table'!$A$1:$A$10000=$IY17)*('Margin Guidence Table'!$H$1:$H$10000&lt;=ROUND($IQ$3,0))*('Margin Guidence Table'!$G$1:$G$10000&gt;=ROUND($IQ$3,0)),0),MATCH("DEFAULT_PCT_SALES",'Margin Guidence Table'!$A$1:$AC$1,0))),0)</f>
        <v>0</v>
      </c>
      <c r="IP17" s="102" t="s">
        <v>102</v>
      </c>
      <c r="IQ17" s="94">
        <f>IFERROR(IF(AND($IQ$2&lt;&gt;"Enter Spend&gt;&gt;&gt;",IR2="EXISTING"),SUMIFS('Existing Customers'!$Q:$Q,'Existing Customers'!$A:$A,$IQ$1,'Existing Customers'!$H:$H,$IP17)*$IQ$4,$IQ$3*$IO17),0)</f>
        <v>0</v>
      </c>
      <c r="IR17" s="89">
        <f>IFERROR(IF(AND($IQ$2&lt;&gt;"Enter Spend&gt;&gt;&gt;",IR2="EXISTING"),SUMIFS('Existing Customers'!$N:$N,'Existing Customers'!$A:$A,$IQ$1,'Existing Customers'!$H:$H,$IP17)*$IQ$4,$IQ17/$JB17),0)</f>
        <v>0</v>
      </c>
      <c r="IS17" s="95">
        <f>IFERROR(IF(AND($IQ$2&lt;&gt;"Enter Spend&gt;&gt;&gt;",IR2="EXISTING"),SUMIFS('Existing Customers'!$O:$O,'Existing Customers'!$H:$H,$IP17,'Existing Customers'!$A:$A,$IQ$1)*$IQ$4,$IR17*$IQ$8),0)</f>
        <v>0</v>
      </c>
      <c r="IT17" s="95">
        <f>IFERROR(IF(AND($IQ$2&lt;&gt;"Enter Spend&gt;&gt;&gt;",IR2="EXISTING"),SUMIFS('Existing Customers'!$P:$P,'Existing Customers'!$A:$A,$IQ$1,'Existing Customers'!$H:$H,$IP17)*$IQ$4,$IQ17/$JC17),0)</f>
        <v>0</v>
      </c>
      <c r="IU17" s="402">
        <f>IFERROR(IF(AND($IQ$2&lt;&gt;"Enter Spend&gt;&gt;&gt;",IR2="EXISTING"),SUMIFS('Existing Customers'!$V:$V,'Existing Customers'!$H:$H,$IP17,'Existing Customers'!$A:$A,$IQ$1)*$IQ$4,0),0)</f>
        <v>0</v>
      </c>
      <c r="IV17" s="96">
        <f>IFERROR(IF(AND($IQ$2&lt;&gt;"Enter Spend&gt;&gt;&gt;",IR2="EXISTING"),SUMIFS('Existing Customers'!$R:$R,'Existing Customers'!$H:$H,$IP17,'Existing Customers'!$A:$A,$IQ$1)*$IQ$4,0),0)</f>
        <v>0</v>
      </c>
      <c r="IW17" s="1161">
        <f>IFERROR(IF(AND($IQ$2&lt;&gt;"Enter Spend&gt;&gt;&gt;",IR2="EXISTING"),SUMIFS('Existing Customers'!$S:$S,'Existing Customers'!$H:$H,$IP17,'Existing Customers'!$A:$A,$IQ$1),JG17*IQ17),0)</f>
        <v>0</v>
      </c>
      <c r="IX17" s="1161">
        <f>IFERROR(IF(AND($IQ$2&lt;&gt;"Enter Spend&gt;&gt;&gt;",IR2="EXISTING"),SUMIFS('Existing Customers'!$U:$U,'Existing Customers'!$H:$H,$IP17,'Existing Customers'!$A:$A,$IQ$1),JH17*IQ17),0)</f>
        <v>0</v>
      </c>
      <c r="IY17" s="1164" t="e">
        <f t="shared" si="42"/>
        <v>#N/A</v>
      </c>
      <c r="IZ17" s="1164">
        <f t="array" ref="IZ17">IFERROR(INDEX('Margin Guidence Table'!$A$1:$AD$30000,MATCH(1,('Margin Guidence Table'!$A$1:$A$10000=IY17)*('Margin Guidence Table'!$H$1:$H$10000&lt;=ROUND($IQ$3,0))*('Margin Guidence Table'!$G$1:$G$10000&gt;=ROUND($IQ$3,0)),0),MATCH("DATA_POINTS",'Margin Guidence Table'!$A$1:$AC$1,0)),0)</f>
        <v>0</v>
      </c>
      <c r="JA17" s="1161" t="str">
        <f t="shared" si="43"/>
        <v>DEFAULT</v>
      </c>
      <c r="JB17" s="1161">
        <f t="array" ref="JB17">IFERROR(IF($JA17="SEGMENT",INDEX('Margin Guidence Table'!$A$1:$AC$10000,MATCH(1,('Margin Guidence Table'!$A$1:$A$10000=IY17)*('Margin Guidence Table'!$H$1:$H$10000&lt;=ROUND($IQ$3,0))*('Margin Guidence Table'!$G$1:$G$10000&gt;=ROUND($IQ$3,0)),0),MATCH("SALES_CASE",'Margin Guidence Table'!$A$1:$AC$1,0)),INDEX('Margin Guidence Table'!$A$1:$AC$10000,MATCH(1,('Margin Guidence Table'!$A$1:$A$10000=IY17)*('Margin Guidence Table'!$H$1:$H$10000&lt;=ROUND($IQ$3,0))*('Margin Guidence Table'!$G$1:$G$10000&gt;=ROUND($IQ$3,0)),0),MATCH("DEFAULT_SALES_CASE",'Margin Guidence Table'!$A$1:$AC$1,0))),0)</f>
        <v>0</v>
      </c>
      <c r="JC17" s="1161">
        <f t="array" ref="JC17">IFERROR(IF($JA17="SEGMENT",INDEX('Margin Guidence Table'!$A$1:$AC$10000,MATCH(1,('Margin Guidence Table'!$A$1:$A$10000=IY17)*('Margin Guidence Table'!$H$1:$H$10000&lt;=ROUND($IQ$3,0))*('Margin Guidence Table'!$G$1:$G$10000&gt;=ROUND($IQ$3,0)),0),MATCH("SALES_LBS",'Margin Guidence Table'!$A$1:$AC$1,0)),INDEX('Margin Guidence Table'!$A$1:$AC$10000,MATCH(1,('Margin Guidence Table'!$A$1:$A$10000=IY17)*('Margin Guidence Table'!$H$1:$H$10000&lt;=ROUND($IQ$3,0))*('Margin Guidence Table'!$G$1:$G$10000&gt;=ROUND($IQ$3,0)),0),MATCH("DEFAULT_SALES_LBS",'Margin Guidence Table'!$A$1:$AC$1,0))),0)</f>
        <v>0</v>
      </c>
      <c r="JD17" s="1165">
        <f t="array" ref="JD17">IFERROR(IF($JA17="SEGMENT",INDEX('Margin Guidence Table'!$A$1:$AC$10000,MATCH(1,('Margin Guidence Table'!$A$1:$A$10000=IY17)*('Margin Guidence Table'!$H$1:$H$10000&lt;=ROUND($IQ$3,0))*('Margin Guidence Table'!$G$1:$G$10000&gt;=ROUND($IQ$3,0)),0),MATCH("MDA_MIN_MARGIN_GUIDENCE",'Margin Guidence Table'!$A$1:$AC$1,0)),INDEX('Margin Guidence Table'!$A$1:$AC$10000,MATCH(1,('Margin Guidence Table'!$A$1:$A$10000=IY17)*('Margin Guidence Table'!$H$1:$H$10000&lt;=ROUND($IQ$3,0))*('Margin Guidence Table'!$G$1:$G$10000&gt;=ROUND($IQ$3,0)),0),MATCH("DEFAULT_MDA_MIN_MARGIN_GUIDENCE",'Margin Guidence Table'!$A$1:$AC$1,0))),0)</f>
        <v>0</v>
      </c>
      <c r="JE17" s="1165">
        <f t="array" ref="JE17">IFERROR(IF($JA17="SEGMENT",INDEX('Margin Guidence Table'!$A$1:$AC$10000,MATCH(1,('Margin Guidence Table'!$A$1:$A$10000=IY17)*('Margin Guidence Table'!$H$1:$H$10000&lt;=ROUND($IQ$3,0))*('Margin Guidence Table'!$G$1:$G$10000&gt;=ROUND($IQ$3,0)),0),MATCH("MDA_MEDIAN_MARGIN_GUIDENCE",'Margin Guidence Table'!$A$1:$AC$1,0)),INDEX('Margin Guidence Table'!$A$1:$AC$10000,MATCH(1,('Margin Guidence Table'!$A$1:$A$10000=IY17)*('Margin Guidence Table'!$H$1:$H$10000&lt;=ROUND($IQ$3,0))*('Margin Guidence Table'!$G$1:$G$10000&gt;=ROUND($IQ$3,0)),0),MATCH("DEFAULT_MDA_MEDIAN_MARGIN_GUIDENCE",'Margin Guidence Table'!$A$1:$AC$1,0))),0)</f>
        <v>0</v>
      </c>
      <c r="JF17" s="1165">
        <f t="array" ref="JF17">IFERROR(IF($JA17="SEGMENT",INDEX('Margin Guidence Table'!$A$1:$AC$10000,MATCH(1,('Margin Guidence Table'!$A$1:$A$10000=IY17)*('Margin Guidence Table'!$H$1:$H$10000&lt;=ROUND($IQ$3,0))*('Margin Guidence Table'!$G$1:$G$10000&gt;=ROUND($IQ$3,0)),0),MATCH("MDA_MAX_MARGIN_GUIDENCE",'Margin Guidence Table'!$A$1:$AC$1,0)),INDEX('Margin Guidence Table'!$A$1:$AC$10000,MATCH(1,('Margin Guidence Table'!$A$1:$A$10000=IY17)*('Margin Guidence Table'!$H$1:$H$10000&lt;=ROUND($IQ$3,0))*('Margin Guidence Table'!$G$1:$G$10000&gt;=ROUND($IQ$3,0)),0),MATCH("DEFAULT_MDA_MAX_MARGIN_GUIDENCE",'Margin Guidence Table'!$A$1:$AC$1,0))),0)</f>
        <v>0</v>
      </c>
      <c r="JG17" s="1165">
        <f t="array" ref="JG17">IFERROR(IF($JA17="SEGMENT",INDEX('Margin Guidence Table'!$A$1:$AC$10000,MATCH(1,('Margin Guidence Table'!$A$1:$A$10000=IY17)*('Margin Guidence Table'!$H$1:$H$10000&lt;=ROUND($IQ$3,0))*('Margin Guidence Table'!$G$1:$G$10000&gt;=ROUND($IQ$3,0)),0),MATCH("PA_PCT_SALES",'Margin Guidence Table'!$A$1:$AC$1,0)),INDEX('Margin Guidence Table'!$A$1:$AC$10000,MATCH(1,('Margin Guidence Table'!$A$1:$A$10000=IY17)*('Margin Guidence Table'!$H$1:$H$10000&lt;=ROUND($IQ$3,0))*('Margin Guidence Table'!$G$1:$G$10000&gt;=ROUND($IQ$3,0)),0),MATCH("DEFAULT_PA_PCT_SALES",'Margin Guidence Table'!$A$1:$AC$1,0))),0)</f>
        <v>0</v>
      </c>
      <c r="JH17" s="1165">
        <f t="array" ref="JH17">IFERROR(IF($JA17="SEGMENT",INDEX('Margin Guidence Table'!$A$1:$AC$10000,MATCH(1,('Margin Guidence Table'!$A$1:$A$10000=IY17)*('Margin Guidence Table'!$H$1:$H$10000&lt;=ROUND($IQ$3,0))*('Margin Guidence Table'!$G$1:$G$10000&gt;=ROUND($IQ$3,0)),0),MATCH("SELF_FUND_PCT_SALES",'Margin Guidence Table'!$A$1:$AC$1,0)),INDEX('Margin Guidence Table'!$A$1:$AC$10000,MATCH(1,('Margin Guidence Table'!$A$1:$A$10000=IY17)*('Margin Guidence Table'!$H$1:$H$10000&lt;=ROUND($IQ$3,0))*('Margin Guidence Table'!$G$1:$G$10000&gt;=ROUND($IQ$3,0)),0),MATCH("DEFAULT_SELF_FUND_PCT_SALES",'Margin Guidence Table'!$A$1:$AC$1,0))),0)</f>
        <v>0</v>
      </c>
      <c r="JI17" s="1165">
        <f t="array" ref="JI17">IFERROR(IF($JA17="SEGMENT",INDEX('Margin Guidence Table'!$A$1:$AC$10000,MATCH(1,('Margin Guidence Table'!$A$1:$A$10000=IY17)*('Margin Guidence Table'!$H$1:$H$10000&lt;=ROUND($IQ$3,0))*('Margin Guidence Table'!$G$1:$G$10000&gt;=ROUND($IQ$3,0)),0),MATCH("CIA_MEDIAN_MARGIN_GUIDENCE",'Margin Guidence Table'!$A$1:$AC$1,0)),INDEX('Margin Guidence Table'!$A$1:$AC$10000,MATCH(1,('Margin Guidence Table'!$A$1:$A$10000=IY17)*('Margin Guidence Table'!$H$1:$H$10000&lt;=ROUND($IQ$3,0))*('Margin Guidence Table'!$G$1:$G$10000&gt;=ROUND($IQ$3,0)),0),MATCH("DEFAULT_CIA_MEDIAN_MARGIN_GUIDENCE",'Margin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44"/>
        <v>#DIV/0!</v>
      </c>
      <c r="AV18" s="400"/>
      <c r="AW18" s="400"/>
      <c r="AX18" s="108">
        <v>7</v>
      </c>
      <c r="AY18" s="18">
        <f t="array" ref="AY18">IFERROR(IF($BK18="SEGMENT",INDEX('Margin Guidence Table'!$A$1:$AC$10000,MATCH(1,('Margin Guidence Table'!$A$1:$A$10000=$BI18)*('Margin Guidence Table'!$H$1:$H$10000&lt;=ROUND($BA$3,0))*('Margin Guidence Table'!$G$1:$G$10000&gt;=ROUND($BA$3,0)),0),MATCH("PCT_SALES",'Margin Guidence Table'!$A$1:$AC$1,0)),INDEX('Margin Guidence Table'!$A$1:$AC$10000,MATCH(1,('Margin Guidence Table'!$A$1:$A$10000=$BI18)*('Margin Guidence Table'!$H$1:$H$10000&lt;=ROUND($BA$3,0))*('Margin Guidence Table'!$G$1:$G$10000&gt;=ROUND($BA$3,0)),0),MATCH("DEFAULT_PCT_SALES",'Margin Guidence Table'!$A$1:$AC$1,0))),0)</f>
        <v>0</v>
      </c>
      <c r="AZ18" s="102" t="s">
        <v>100</v>
      </c>
      <c r="BA18" s="94">
        <f>IFERROR(IF(AND($BA$2&lt;&gt;"Enter Spend&gt;&gt;&gt;",BB2="EXISTING"),SUMIFS('Existing Customers'!$Q:$Q,'Existing Customers'!$A:$A,$BA$1,'Existing Customers'!$H:$H,$AZ18)*$BA$4,$BA$3*$AY18),0)</f>
        <v>0</v>
      </c>
      <c r="BB18" s="95">
        <f>IFERROR(IF(AND($BA$2&lt;&gt;"Enter Spend&gt;&gt;&gt;",BB2="EXISTING"),SUMIFS('Existing Customers'!$N:$N,'Existing Customers'!$A:$A,$BA$1,'Existing Customers'!$H:$H,$AZ18)*$BA$4,$BA18/$BL18),0)</f>
        <v>0</v>
      </c>
      <c r="BC18" s="95">
        <f>IFERROR(IF(AND($BA$2&lt;&gt;"Enter Spend&gt;&gt;&gt;",BB2="EXISTING"),SUMIFS('Existing Customers'!$O:$O,'Existing Customers'!$H:$H,$AZ18,'Existing Customers'!$A:$A,$BA$1)*$BA$4,$BB18*$BA$8),0)</f>
        <v>0</v>
      </c>
      <c r="BD18" s="95">
        <f>IFERROR(IF(AND($BA$2&lt;&gt;"Enter Spend&gt;&gt;&gt;",BB2="EXISTING"),SUMIFS('Existing Customers'!$P:$P,'Existing Customers'!$A:$A,$BA$1,'Existing Customers'!$H:$H,$AZ18)*$BA$4,$BA18/$BM18),0)</f>
        <v>0</v>
      </c>
      <c r="BE18" s="402">
        <f>IFERROR(IF(AND($BA$2&lt;&gt;"Enter Spend&gt;&gt;&gt;",BB2="EXISTING"),SUMIFS('Existing Customers'!$V:$V,'Existing Customers'!$H:$H,$AZ18,'Existing Customers'!$A:$A,$BA$1)*$BA$4,0),0)</f>
        <v>0</v>
      </c>
      <c r="BF18" s="96">
        <f>IFERROR(IF(AND($BA$2&lt;&gt;"Enter Spend&gt;&gt;&gt;",BB2="EXISTING"),SUMIFS('Existing Customers'!$R:$R,'Existing Customers'!$H:$H,$AZ18,'Existing Customers'!$A:$A,$BA$1)*$BA$4,0),0)</f>
        <v>0</v>
      </c>
      <c r="BG18" s="96">
        <f>IFERROR(IF(AND($BA$2&lt;&gt;"Enter Spend&gt;&gt;&gt;",BB2="EXISTING"),SUMIFS('Existing Customers'!$S:$S,'Existing Customers'!$H:$H,$AZ18,'Existing Customers'!$A:$A,$BA$1),BQ18*BA18),0)</f>
        <v>0</v>
      </c>
      <c r="BH18" s="96">
        <f>IFERROR(IF(AND($BA$2&lt;&gt;"Enter Spend&gt;&gt;&gt;",BB2="EXISTING"),SUMIFS('Existing Customers'!$U:$U,'Existing Customers'!$H:$H,$AZ18,'Existing Customers'!$A:$A,$BA$1),BR18*BA18),0)</f>
        <v>0</v>
      </c>
      <c r="BI18" s="1163" t="e">
        <f t="shared" si="24"/>
        <v>#N/A</v>
      </c>
      <c r="BJ18" s="1164">
        <f t="array" ref="BJ18">IFERROR(INDEX('Margin Guidence Table'!$A$1:$AD$30000,MATCH(1,('Margin Guidence Table'!$A$1:$A$10000=$BI18)*('Margin Guidence Table'!$H$1:$H$10000&lt;=ROUND($BA$3,0))*('Margin Guidence Table'!$G$1:$G$10000&gt;=ROUND($BA$3,0)),0),MATCH("DATA_POINTS",'Margin Guidence Table'!$A$1:$AC$1,0)),0)</f>
        <v>0</v>
      </c>
      <c r="BK18" s="1161" t="str">
        <f t="shared" si="25"/>
        <v>DEFAULT</v>
      </c>
      <c r="BL18" s="1161">
        <f t="array" ref="BL18">IFERROR(IF($BK18="SEGMENT",INDEX('Margin Guidence Table'!$A$1:$AC$10000,MATCH(1,('Margin Guidence Table'!$A$1:$A$10000=$BI18)*('Margin Guidence Table'!$H$1:$H$10000&lt;=ROUND($BA$3,0))*('Margin Guidence Table'!$G$1:$G$10000&gt;=ROUND($BA$3,0)),0),MATCH("SALES_CASE",'Margin Guidence Table'!$A$1:$AC$1,0)),INDEX('Margin Guidence Table'!$A$1:$AC$10000,MATCH(1,('Margin Guidence Table'!$A$1:$A$10000=$BI18)*('Margin Guidence Table'!$H$1:$H$10000&lt;=ROUND($BA$3,0))*('Margin Guidence Table'!$G$1:$G$10000&gt;=ROUND($BA$3,0)),0),MATCH("DEFAULT_SALES_CASE",'Margin Guidence Table'!$A$1:$AC$1,0))),0)</f>
        <v>0</v>
      </c>
      <c r="BM18" s="1161">
        <f t="array" ref="BM18">IFERROR(IF($BK18="SEGMENT",INDEX('Margin Guidence Table'!$A$1:$AC$10000,MATCH(1,('Margin Guidence Table'!$A$1:$A$10000=$BI18)*('Margin Guidence Table'!$H$1:$H$10000&lt;=ROUND($BA$3,0))*('Margin Guidence Table'!$G$1:$G$10000&gt;=ROUND($BA$3,0)),0),MATCH("SALES_LBS",'Margin Guidence Table'!$A$1:$AC$1,0)),INDEX('Margin Guidence Table'!$A$1:$AC$10000,MATCH(1,('Margin Guidence Table'!$A$1:$A$10000=$BI18)*('Margin Guidence Table'!$H$1:$H$10000&lt;=ROUND($BA$3,0))*('Margin Guidence Table'!$G$1:$G$10000&gt;=ROUND($BA$3,0)),0),MATCH("DEFAULT_SALES_LBS",'Margin Guidence Table'!$A$1:$AC$1,0))),0)</f>
        <v>0</v>
      </c>
      <c r="BN18" s="1165">
        <f t="array" ref="BN18">IFERROR(IF($BK18="SEGMENT",INDEX('Margin Guidence Table'!$A$1:$AC$10000,MATCH(1,('Margin Guidence Table'!$A$1:$A$10000=$BI18)*('Margin Guidence Table'!$H$1:$H$10000&lt;=ROUND($BA$3,0))*('Margin Guidence Table'!$G$1:$G$10000&gt;=ROUND($BA$3,0)),0),MATCH("MDA_MIN_MARGIN_GUIDENCE",'Margin Guidence Table'!$A$1:$AC$1,0)),INDEX('Margin Guidence Table'!$A$1:$AC$10000,MATCH(1,('Margin Guidence Table'!$A$1:$A$10000=$BI18)*('Margin Guidence Table'!$H$1:$H$10000&lt;=ROUND($BA$3,0))*('Margin Guidence Table'!$G$1:$G$10000&gt;=ROUND($BA$3,0)),0),MATCH("DEFAULT_MDA_MIN_MARGIN_GUIDENCE",'Margin Guidence Table'!$A$1:$AC$1,0))),0)</f>
        <v>0</v>
      </c>
      <c r="BO18" s="1165">
        <f t="array" ref="BO18">IFERROR(IF($BK18="SEGMENT",INDEX('Margin Guidence Table'!$A$1:$AC$10000,MATCH(1,('Margin Guidence Table'!$A$1:$A$10000=$BI18)*('Margin Guidence Table'!$H$1:$H$10000&lt;=ROUND($BA$3,0))*('Margin Guidence Table'!$G$1:$G$10000&gt;=ROUND($BA$3,0)),0),MATCH("MDA_MEDIAN_MARGIN_GUIDENCE",'Margin Guidence Table'!$A$1:$AC$1,0)),INDEX('Margin Guidence Table'!$A$1:$AC$10000,MATCH(1,('Margin Guidence Table'!$A$1:$A$10000=$BI18)*('Margin Guidence Table'!$H$1:$H$10000&lt;=ROUND($BA$3,0))*('Margin Guidence Table'!$G$1:$G$10000&gt;=ROUND($BA$3,0)),0),MATCH("DEFAULT_MDA_MEDIAN_MARGIN_GUIDENCE",'Margin Guidence Table'!$A$1:$AC$1,0))),0)</f>
        <v>0</v>
      </c>
      <c r="BP18" s="1165">
        <f t="array" ref="BP18">IFERROR(IF($BK18="SEGMENT",INDEX('Margin Guidence Table'!$A$1:$AC$10000,MATCH(1,('Margin Guidence Table'!$A$1:$A$10000=$BI18)*('Margin Guidence Table'!$H$1:$H$10000&lt;=ROUND($BA$3,0))*('Margin Guidence Table'!$G$1:$G$10000&gt;=ROUND($BA$3,0)),0),MATCH("MDA_MAX_MARGIN_GUIDENCE",'Margin Guidence Table'!$A$1:$AC$1,0)),INDEX('Margin Guidence Table'!$A$1:$AC$10000,MATCH(1,('Margin Guidence Table'!$A$1:$A$10000=$BI18)*('Margin Guidence Table'!$H$1:$H$10000&lt;=ROUND($BA$3,0))*('Margin Guidence Table'!$G$1:$G$10000&gt;=ROUND($BA$3,0)),0),MATCH("DEFAULT_MDA_MAX_MARGIN_GUIDENCE",'Margin Guidence Table'!$A$1:$AC$1,0))),0)</f>
        <v>0</v>
      </c>
      <c r="BQ18" s="1165">
        <f t="array" ref="BQ18">IFERROR(IF($BK18="SEGMENT",INDEX('Margin Guidence Table'!$A$1:$AC$10000,MATCH(1,('Margin Guidence Table'!$A$1:$A$10000=$BI18)*('Margin Guidence Table'!$H$1:$H$10000&lt;=ROUND($BA$3,0))*('Margin Guidence Table'!$G$1:$G$10000&gt;=ROUND($BA$3,0)),0),MATCH("PA_PCT_SALES",'Margin Guidence Table'!$A$1:$AC$1,0)),INDEX('Margin Guidence Table'!$A$1:$AC$10000,MATCH(1,('Margin Guidence Table'!$A$1:$A$10000=$BI18)*('Margin Guidence Table'!$H$1:$H$10000&lt;=ROUND($BA$3,0))*('Margin Guidence Table'!$G$1:$G$10000&gt;=ROUND($BA$3,0)),0),MATCH("DEFAULT_PA_PCT_SALES",'Margin Guidence Table'!$A$1:$AC$1,0))),0)</f>
        <v>0</v>
      </c>
      <c r="BR18" s="1165">
        <f t="array" ref="BR18">IFERROR(IF($BK18="SEGMENT",INDEX('Margin Guidence Table'!$A$1:$AC$10000,MATCH(1,('Margin Guidence Table'!$A$1:$A$10000=$BI18)*('Margin Guidence Table'!$H$1:$H$10000&lt;=ROUND($BA$3,0))*('Margin Guidence Table'!$G$1:$G$10000&gt;=ROUND($BA$3,0)),0),MATCH("SELF_FUND_PCT_SALES",'Margin Guidence Table'!$A$1:$AC$1,0)),INDEX('Margin Guidence Table'!$A$1:$AC$10000,MATCH(1,('Margin Guidence Table'!$A$1:$A$10000=$BI18)*('Margin Guidence Table'!$H$1:$H$10000&lt;=ROUND($BA$3,0))*('Margin Guidence Table'!$G$1:$G$10000&gt;=ROUND($BA$3,0)),0),MATCH("DEFAULT_SELF_FUND_PCT_SALES",'Margin Guidence Table'!$A$1:$AC$1,0))),0)</f>
        <v>0</v>
      </c>
      <c r="BS18" s="1165">
        <f t="array" ref="BS18">IFERROR(IF($BK18="SEGMENT",INDEX('Margin Guidence Table'!$A$1:$AC$10000,MATCH(1,('Margin Guidence Table'!$A$1:$A$10000=$BI18)*('Margin Guidence Table'!$H$1:$H$10000&lt;=ROUND($BA$3,0))*('Margin Guidence Table'!$G$1:$G$10000&gt;=ROUND($BA$3,0)),0),MATCH("CIA_MEDIAN_MARGIN_GUIDENCE",'Margin Guidence Table'!$A$1:$AC$1,0)),INDEX('Margin Guidence Table'!$A$1:$AC$10000,MATCH(1,('Margin Guidence Table'!$A$1:$A$10000=$BI18)*('Margin Guidence Table'!$H$1:$H$10000&lt;=ROUND($BA$3,0))*('Margin Guidence Table'!$G$1:$G$10000&gt;=ROUND($BA$3,0)),0),MATCH("DEFAULT_CIA_MEDIAN_MARGIN_GUIDENCE",'Margin Guidence Table'!$A$1:$AC$1,0))),0)</f>
        <v>0</v>
      </c>
      <c r="BT18" s="129"/>
      <c r="BU18" s="18">
        <f t="array" ref="BU18">IFERROR(IF($CG18="SEGMENT",INDEX('Margin Guidence Table'!$A$1:$AC$10000,MATCH(1,('Margin Guidence Table'!$A$1:$A$10000=$CE18)*('Margin Guidence Table'!$H$1:$H$10000&lt;=ROUND($BW$3,0))*('Margin Guidence Table'!$G$1:$G$10000&gt;=ROUND($BW$3,0)),0),MATCH("PCT_SALES",'Margin Guidence Table'!$A$1:$AC$1,0)),INDEX('Margin Guidence Table'!$A$1:$AC$10000,MATCH(1,('Margin Guidence Table'!$A$1:$A$10000=$CE18)*('Margin Guidence Table'!$H$1:$H$10000&lt;=ROUND($BW$3,0))*('Margin Guidence Table'!$G$1:$G$10000&gt;=ROUND($BW$3,0)),0),MATCH("DEFAULT_PCT_SALES",'Margin Guidence Table'!$A$1:$AC$1,0))),0)</f>
        <v>0</v>
      </c>
      <c r="BV18" s="102" t="s">
        <v>100</v>
      </c>
      <c r="BW18" s="94">
        <f>IFERROR(IF(AND($BW$2&lt;&gt;"Enter Spend&gt;&gt;&gt;",BX2="EXISTING"),SUMIFS('Existing Customers'!$Q:$Q,'Existing Customers'!$A:$A,$BW$1,'Existing Customers'!$H:$H,$BV18)*$BW$4,$BW$3*$BU18),0)</f>
        <v>0</v>
      </c>
      <c r="BX18" s="89">
        <f>IFERROR(IF(AND($BW$2&lt;&gt;"Enter Spend&gt;&gt;&gt;",BX2="EXISTING"),SUMIFS('Existing Customers'!$N:$N,'Existing Customers'!$A:$A,$BW$1,'Existing Customers'!$H:$H,$BV18)*$BW$4,$BW18/$CH18),0)</f>
        <v>0</v>
      </c>
      <c r="BY18" s="95">
        <f>IFERROR(IF(AND($BW$2&lt;&gt;"Enter Spend&gt;&gt;&gt;",BX2="EXISTING"),SUMIFS('Existing Customers'!$O:$O,'Existing Customers'!$H:$H,$BV18,'Existing Customers'!$A:$A,$BW$1)*$BW$4,$BX18*$BW$8),0)</f>
        <v>0</v>
      </c>
      <c r="BZ18" s="95">
        <f>IFERROR(IF(AND($BW$2&lt;&gt;"Enter Spend&gt;&gt;&gt;",BX2="EXISTING"),SUMIFS('Existing Customers'!$P:$P,'Existing Customers'!$A:$A,$BW$1,'Existing Customers'!$H:$H,$BV18)*$BW$4,$BW18/$CI18),0)</f>
        <v>0</v>
      </c>
      <c r="CA18" s="96">
        <f>IFERROR(IF(AND($BW$2&lt;&gt;"Enter Spend&gt;&gt;&gt;",BX2="EXISTING"),SUMIFS('Existing Customers'!$V:$V,'Existing Customers'!$H:$H,$BV18,'Existing Customers'!$A:$A,$BW$1)*$BW$4,0),0)</f>
        <v>0</v>
      </c>
      <c r="CB18" s="96">
        <f>IFERROR(IF(AND($BW$2&lt;&gt;"Enter Spend&gt;&gt;&gt;",BX2="EXISTING"),SUMIFS('Existing Customers'!$R:$R,'Existing Customers'!$H:$H,$BV18,'Existing Customers'!$A:$A,$BW$1)*$BW$4,0),0)</f>
        <v>0</v>
      </c>
      <c r="CC18" s="1161">
        <f>IFERROR(IF(AND($BW$2&lt;&gt;"Enter Spend&gt;&gt;&gt;",BX2="EXISTING"),SUMIFS('Existing Customers'!$S:$S,'Existing Customers'!$H:$H,$BV18,'Existing Customers'!$A:$A,$BW$1),CM18*BW18),0)</f>
        <v>0</v>
      </c>
      <c r="CD18" s="1161">
        <f>IFERROR(IF(AND($BW$2&lt;&gt;"Enter Spend&gt;&gt;&gt;",BX2="EXISTING"),SUMIFS('Existing Customers'!$U:$U,'Existing Customers'!$H:$H,$BV18,'Existing Customers'!$A:$A,$BW$1),CN18*BW18),0)</f>
        <v>0</v>
      </c>
      <c r="CE18" s="1164" t="e">
        <f t="shared" si="26"/>
        <v>#N/A</v>
      </c>
      <c r="CF18" s="1164">
        <f t="array" ref="CF18">IFERROR(INDEX('Margin Guidence Table'!$A$1:$AD$30000,MATCH(1,('Margin Guidence Table'!$A$1:$A$10000=$CE18)*('Margin Guidence Table'!$H$1:$H$10000&lt;=ROUND($BW$3,0))*('Margin Guidence Table'!$G$1:$G$10000&gt;=ROUND($BW$3,0)),0),MATCH("DATA_POINTS",'Margin Guidence Table'!$A$1:$AC$1,0)),0)</f>
        <v>0</v>
      </c>
      <c r="CG18" s="1161" t="str">
        <f t="shared" si="27"/>
        <v>DEFAULT</v>
      </c>
      <c r="CH18" s="1161">
        <f t="array" ref="CH18">IFERROR(IF($CG18="SEGMENT",INDEX('Margin Guidence Table'!$A$1:$AC$10000,MATCH(1,('Margin Guidence Table'!$A$1:$A$10000=$CE18)*('Margin Guidence Table'!$H$1:$H$10000&lt;=ROUND($BW$3,0))*('Margin Guidence Table'!$G$1:$G$10000&gt;=ROUND($BW$3,0)),0),MATCH("SALES_CASE",'Margin Guidence Table'!$A$1:$AC$1,0)),INDEX('Margin Guidence Table'!$A$1:$AC$10000,MATCH(1,('Margin Guidence Table'!$A$1:$A$10000=$CE18)*('Margin Guidence Table'!$H$1:$H$10000&lt;=ROUND($BW$3,0))*('Margin Guidence Table'!$G$1:$G$10000&gt;=ROUND($BW$3,0)),0),MATCH("DEFAULT_SALES_CASE",'Margin Guidence Table'!$A$1:$AC$1,0))),0)</f>
        <v>0</v>
      </c>
      <c r="CI18" s="1161">
        <f t="array" ref="CI18">IFERROR(IF($CG18="SEGMENT",INDEX('Margin Guidence Table'!$A$1:$AC$10000,MATCH(1,('Margin Guidence Table'!$A$1:$A$10000=$CE18)*('Margin Guidence Table'!$H$1:$H$10000&lt;=ROUND($BW$3,0))*('Margin Guidence Table'!$G$1:$G$10000&gt;=ROUND($BW$3,0)),0),MATCH("SALES_LBS",'Margin Guidence Table'!$A$1:$AC$1,0)),INDEX('Margin Guidence Table'!$A$1:$AC$10000,MATCH(1,('Margin Guidence Table'!$A$1:$A$10000=$CE18)*('Margin Guidence Table'!$H$1:$H$10000&lt;=ROUND($BW$3,0))*('Margin Guidence Table'!$G$1:$G$10000&gt;=ROUND($BW$3,0)),0),MATCH("DEFAULT_SALES_LBS",'Margin Guidence Table'!$A$1:$AC$1,0))),0)</f>
        <v>0</v>
      </c>
      <c r="CJ18" s="1165">
        <f t="array" ref="CJ18">IFERROR(IF($CG18="SEGMENT",INDEX('Margin Guidence Table'!$A$1:$AC$10000,MATCH(1,('Margin Guidence Table'!$A$1:$A$10000=$CE18)*('Margin Guidence Table'!$H$1:$H$10000&lt;=ROUND($BW$3,0))*('Margin Guidence Table'!$G$1:$G$10000&gt;=ROUND($BW$3,0)),0),MATCH("MDA_MIN_MARGIN_GUIDENCE",'Margin Guidence Table'!$A$1:$AC$1,0)),INDEX('Margin Guidence Table'!$A$1:$AC$10000,MATCH(1,('Margin Guidence Table'!$A$1:$A$10000=$CE18)*('Margin Guidence Table'!$H$1:$H$10000&lt;=ROUND($BW$3,0))*('Margin Guidence Table'!$G$1:$G$10000&gt;=ROUND($BW$3,0)),0),MATCH("DEFAULT_MDA_MIN_MARGIN_GUIDENCE",'Margin Guidence Table'!$A$1:$AC$1,0))),0)</f>
        <v>0</v>
      </c>
      <c r="CK18" s="1165">
        <f t="array" ref="CK18">IFERROR(IF($CG18="SEGMENT",INDEX('Margin Guidence Table'!$A$1:$AC$10000,MATCH(1,('Margin Guidence Table'!$A$1:$A$10000=$CE18)*('Margin Guidence Table'!$H$1:$H$10000&lt;=ROUND($BW$3,0))*('Margin Guidence Table'!$G$1:$G$10000&gt;=ROUND($BW$3,0)),0),MATCH("MDA_MEDIAN_MARGIN_GUIDENCE",'Margin Guidence Table'!$A$1:$AC$1,0)),INDEX('Margin Guidence Table'!$A$1:$AC$10000,MATCH(1,('Margin Guidence Table'!$A$1:$A$10000=$CE18)*('Margin Guidence Table'!$H$1:$H$10000&lt;=ROUND($BW$3,0))*('Margin Guidence Table'!$G$1:$G$10000&gt;=ROUND($BW$3,0)),0),MATCH("DEFAULT_MDA_MEDIAN_MARGIN_GUIDENCE",'Margin Guidence Table'!$A$1:$AC$1,0))),0)</f>
        <v>0</v>
      </c>
      <c r="CL18" s="1165">
        <f t="array" ref="CL18">IFERROR(IF($CG18="SEGMENT",INDEX('Margin Guidence Table'!$A$1:$AC$10000,MATCH(1,('Margin Guidence Table'!$A$1:$A$10000=$CE18)*('Margin Guidence Table'!$H$1:$H$10000&lt;=ROUND($BW$3,0))*('Margin Guidence Table'!$G$1:$G$10000&gt;=ROUND($BW$3,0)),0),MATCH("MDA_MAX_MARGIN_GUIDENCE",'Margin Guidence Table'!$A$1:$AC$1,0)),INDEX('Margin Guidence Table'!$A$1:$AC$10000,MATCH(1,('Margin Guidence Table'!$A$1:$A$10000=$CE18)*('Margin Guidence Table'!$H$1:$H$10000&lt;=ROUND($BW$3,0))*('Margin Guidence Table'!$G$1:$G$10000&gt;=ROUND($BW$3,0)),0),MATCH("DEFAULT_MDA_MAX_MARGIN_GUIDENCE",'Margin Guidence Table'!$A$1:$AC$1,0))),0)</f>
        <v>0</v>
      </c>
      <c r="CM18" s="1165">
        <f t="array" ref="CM18">IFERROR(IF($CG18="SEGMENT",INDEX('Margin Guidence Table'!$A$1:$AC$10000,MATCH(1,('Margin Guidence Table'!$A$1:$A$10000=$CE18)*('Margin Guidence Table'!$H$1:$H$10000&lt;=ROUND($BW$3,0))*('Margin Guidence Table'!$G$1:$G$10000&gt;=ROUND($BW$3,0)),0),MATCH("PA_PCT_SALES",'Margin Guidence Table'!$A$1:$AC$1,0)),INDEX('Margin Guidence Table'!$A$1:$AC$10000,MATCH(1,('Margin Guidence Table'!$A$1:$A$10000=$CE18)*('Margin Guidence Table'!$H$1:$H$10000&lt;=ROUND($BW$3,0))*('Margin Guidence Table'!$G$1:$G$10000&gt;=ROUND($BW$3,0)),0),MATCH("DEFAULT_PA_PCT_SALES",'Margin Guidence Table'!$A$1:$AC$1,0))),0)</f>
        <v>0</v>
      </c>
      <c r="CN18" s="1165">
        <f t="array" ref="CN18">IFERROR(IF($CG18="SEGMENT",INDEX('Margin Guidence Table'!$A$1:$AC$10000,MATCH(1,('Margin Guidence Table'!$A$1:$A$10000=$CE18)*('Margin Guidence Table'!$H$1:$H$10000&lt;=ROUND($BW$3,0))*('Margin Guidence Table'!$G$1:$G$10000&gt;=ROUND($BW$3,0)),0),MATCH("SELF_FUND_PCT_SALES",'Margin Guidence Table'!$A$1:$AC$1,0)),INDEX('Margin Guidence Table'!$A$1:$AC$10000,MATCH(1,('Margin Guidence Table'!$A$1:$A$10000=$CE18)*('Margin Guidence Table'!$H$1:$H$10000&lt;=ROUND($BW$3,0))*('Margin Guidence Table'!$G$1:$G$10000&gt;=ROUND($BW$3,0)),0),MATCH("DEFAULT_SELF_FUND_PCT_SALES",'Margin Guidence Table'!$A$1:$AC$1,0))),0)</f>
        <v>0</v>
      </c>
      <c r="CO18" s="1165">
        <f t="array" ref="CO18">IFERROR(IF($CG18="SEGMENT",INDEX('Margin Guidence Table'!$A$1:$AC$10000,MATCH(1,('Margin Guidence Table'!$A$1:$A$10000=$CE18)*('Margin Guidence Table'!$H$1:$H$10000&lt;=ROUND($BW$3,0))*('Margin Guidence Table'!$G$1:$G$10000&gt;=ROUND($BW$3,0)),0),MATCH("CIA_MEDIAN_MARGIN_GUIDENCE",'Margin Guidence Table'!$A$1:$AC$1,0)),INDEX('Margin Guidence Table'!$A$1:$AC$10000,MATCH(1,('Margin Guidence Table'!$A$1:$A$10000=$CE18)*('Margin Guidence Table'!$H$1:$H$10000&lt;=ROUND($BW$3,0))*('Margin Guidence Table'!$G$1:$G$10000&gt;=ROUND($BW$3,0)),0),MATCH("DEFAULT_CIA_MEDIAN_MARGIN_GUIDENCE",'Margin Guidence Table'!$A$1:$AC$1,0))),0)</f>
        <v>0</v>
      </c>
      <c r="CP18" s="129"/>
      <c r="CQ18" s="18">
        <f t="array" ref="CQ18">IFERROR(IF($DC18="SEGMENT",INDEX('Margin Guidence Table'!$A$1:$AC$10000,MATCH(1,('Margin Guidence Table'!$A$1:$A$10000=$DA18)*('Margin Guidence Table'!$H$1:$H$10000&lt;=ROUND($CS$3,0))*('Margin Guidence Table'!$G$1:$G$10000&gt;=ROUND($CS$3,0)),0),MATCH("PCT_SALES",'Margin Guidence Table'!$A$1:$AC$1,0)),INDEX('Margin Guidence Table'!$A$1:$AC$10000,MATCH(1,('Margin Guidence Table'!$A$1:$A$10000=$DA18)*('Margin Guidence Table'!$H$1:$H$10000&lt;=ROUND($CS$3,0))*('Margin Guidence Table'!$G$1:$G$10000&gt;=ROUND($CS$3,0)),0),MATCH("DEFAULT_PCT_SALES",'Margin Guidence Table'!$A$1:$AC$1,0))),0)</f>
        <v>0</v>
      </c>
      <c r="CR18" s="102" t="s">
        <v>100</v>
      </c>
      <c r="CS18" s="94">
        <f>IFERROR(IF(AND($CS$2&lt;&gt;"Enter Spend&gt;&gt;&gt;",CT2="EXISTING"),SUMIFS('Existing Customers'!$Q:$Q,'Existing Customers'!$A:$A,$CS$1,'Existing Customers'!$H:$H,$CR18)*$CS$4,$CS$3*$CQ18),0)</f>
        <v>0</v>
      </c>
      <c r="CT18" s="89">
        <f>IFERROR(IF(AND($CS$2&lt;&gt;"Enter Spend&gt;&gt;&gt;",CT2="EXISTING"),SUMIFS('Existing Customers'!$N:$N,'Existing Customers'!$A:$A,$CS$1,'Existing Customers'!$H:$H,$CR18)*$CS$4,$CS18/$DD18),0)</f>
        <v>0</v>
      </c>
      <c r="CU18" s="95">
        <f>IFERROR(IF(AND($CS$2&lt;&gt;"Enter Spend&gt;&gt;&gt;",BB28="EXISTING"),SUMIFS('Existing Customers'!$O:$O,'Existing Customers'!$H:$H,$CR18,'Existing Customers'!$A:$A,$CS$1)*$CS$4,$CT18*$CS$8),0)</f>
        <v>0</v>
      </c>
      <c r="CV18" s="95">
        <f>IFERROR(IF(AND($CS$2&lt;&gt;"Enter Spend&gt;&gt;&gt;",CT2="EXISTING"),SUMIFS('Existing Customers'!$P:$P,'Existing Customers'!$A:$A,$CS$1,'Existing Customers'!$H:$H,$CR18)*$CS$4,$CS18/$DE18),0)</f>
        <v>0</v>
      </c>
      <c r="CW18" s="96">
        <f>IFERROR(IF(AND($CS$2&lt;&gt;"Enter Spend&gt;&gt;&gt;",CT2="EXISTING"),SUMIFS('Existing Customers'!$V:$V,'Existing Customers'!$H:$H,$CR18,'Existing Customers'!$A:$A,$CS$1)*$CS$4,0),0)</f>
        <v>0</v>
      </c>
      <c r="CX18" s="96">
        <f>IFERROR(IF(AND($CS$2&lt;&gt;"Enter Spend&gt;&gt;&gt;",CT2="EXISTING"),SUMIFS('Existing Customers'!$R:$R,'Existing Customers'!$H:$H,$AZ18,'Existing Customers'!$A:$A,$CS$1)*$CS$4,0),0)</f>
        <v>0</v>
      </c>
      <c r="CY18" s="1161">
        <f>IFERROR(IF(AND($CS$2&lt;&gt;"Enter Spend&gt;&gt;&gt;",CT2="EXISTING"),SUMIFS('Existing Customers'!$S:$S,'Existing Customers'!$H:$H,$CR18,'Existing Customers'!$A:$A,$CS$1),DI18*CS18),0)</f>
        <v>0</v>
      </c>
      <c r="CZ18" s="1161">
        <f>IFERROR(IF(AND($CS$2&lt;&gt;"Enter Spend&gt;&gt;&gt;",CT2="EXISTING"),SUMIFS('Existing Customers'!$U:$U,'Existing Customers'!$H:$H,$CR18,'Existing Customers'!$A:$A,$CS$1),DJ18*CS18),0)</f>
        <v>0</v>
      </c>
      <c r="DA18" s="1164" t="e">
        <f t="shared" si="28"/>
        <v>#N/A</v>
      </c>
      <c r="DB18" s="1164">
        <f t="array" ref="DB18">IFERROR(INDEX('Margin Guidence Table'!$A$1:$AD$30000,MATCH(1,('Margin Guidence Table'!$A$1:$A$10000=DA18)*('Margin Guidence Table'!$H$1:$H$10000&lt;=ROUND($CS$3,0))*('Margin Guidence Table'!$G$1:$G$10000&gt;=ROUND($CS$3,0)),0),MATCH("DATA_POINTS",'Margin Guidence Table'!$A$1:$AC$1,0)),0)</f>
        <v>0</v>
      </c>
      <c r="DC18" s="1161" t="str">
        <f t="shared" si="29"/>
        <v>DEFAULT</v>
      </c>
      <c r="DD18" s="1161">
        <f t="array" ref="DD18">IFERROR(IF($DC18="SEGMENT",INDEX('Margin Guidence Table'!$A$1:$AC$10000,MATCH(1,('Margin Guidence Table'!$A$1:$A$10000=DA18)*('Margin Guidence Table'!$H$1:$H$10000&lt;=ROUND($CS$3,0))*('Margin Guidence Table'!$G$1:$G$10000&gt;=ROUND($CS$3,0)),0),MATCH("SALES_CASE",'Margin Guidence Table'!$A$1:$AC$1,0)),INDEX('Margin Guidence Table'!$A$1:$AC$10000,MATCH(1,('Margin Guidence Table'!$A$1:$A$10000=DA18)*('Margin Guidence Table'!$H$1:$H$10000&lt;=ROUND($CS$3,0))*('Margin Guidence Table'!$G$1:$G$10000&gt;=ROUND($CS$3,0)),0),MATCH("DEFAULT_SALES_CASE",'Margin Guidence Table'!$A$1:$AC$1,0))),0)</f>
        <v>0</v>
      </c>
      <c r="DE18" s="1161">
        <f t="array" ref="DE18">IFERROR(IF($DC18="SEGMENT",INDEX('Margin Guidence Table'!$A$1:$AC$10000,MATCH(1,('Margin Guidence Table'!$A$1:$A$10000=DA18)*('Margin Guidence Table'!$H$1:$H$10000&lt;=ROUND($CS$3,0))*('Margin Guidence Table'!$G$1:$G$10000&gt;=ROUND($CS$3,0)),0),MATCH("SALES_LBS",'Margin Guidence Table'!$A$1:$AC$1,0)),INDEX('Margin Guidence Table'!$A$1:$AC$10000,MATCH(1,('Margin Guidence Table'!$A$1:$A$10000=DA18)*('Margin Guidence Table'!$H$1:$H$10000&lt;=ROUND($CS$3,0))*('Margin Guidence Table'!$G$1:$G$10000&gt;=ROUND($CS$3,0)),0),MATCH("DEFAULT_SALES_LBS",'Margin Guidence Table'!$A$1:$AC$1,0))),0)</f>
        <v>0</v>
      </c>
      <c r="DF18" s="1165">
        <f t="array" ref="DF18">IFERROR(IF($DC18="SEGMENT",INDEX('Margin Guidence Table'!$A$1:$AC$10000,MATCH(1,('Margin Guidence Table'!$A$1:$A$10000=DA18)*('Margin Guidence Table'!$H$1:$H$10000&lt;=ROUND($CS$3,0))*('Margin Guidence Table'!$G$1:$G$10000&gt;=ROUND($CS$3,0)),0),MATCH("MDA_MIN_MARGIN_GUIDENCE",'Margin Guidence Table'!$A$1:$AC$1,0)),INDEX('Margin Guidence Table'!$A$1:$AC$10000,MATCH(1,('Margin Guidence Table'!$A$1:$A$10000=DA18)*('Margin Guidence Table'!$H$1:$H$10000&lt;=ROUND($CS$3,0))*('Margin Guidence Table'!$G$1:$G$10000&gt;=ROUND($CS$3,0)),0),MATCH("DEFAULT_MDA_MIN_MARGIN_GUIDENCE",'Margin Guidence Table'!$A$1:$AC$1,0))),0)</f>
        <v>0</v>
      </c>
      <c r="DG18" s="1165">
        <f t="array" ref="DG18">IFERROR(IF($DC18="SEGMENT",INDEX('Margin Guidence Table'!$A$1:$AC$10000,MATCH(1,('Margin Guidence Table'!$A$1:$A$10000=DA18)*('Margin Guidence Table'!$H$1:$H$10000&lt;=ROUND($CS$3,0))*('Margin Guidence Table'!$G$1:$G$10000&gt;=ROUND($CS$3,0)),0),MATCH("MDA_MEDIAN_MARGIN_GUIDENCE",'Margin Guidence Table'!$A$1:$AC$1,0)),INDEX('Margin Guidence Table'!$A$1:$AC$10000,MATCH(1,('Margin Guidence Table'!$A$1:$A$10000=DA18)*('Margin Guidence Table'!$H$1:$H$10000&lt;=ROUND($CS$3,0))*('Margin Guidence Table'!$G$1:$G$10000&gt;=ROUND($CS$3,0)),0),MATCH("DEFAULT_MDA_MEDIAN_MARGIN_GUIDENCE",'Margin Guidence Table'!$A$1:$AC$1,0))),0)</f>
        <v>0</v>
      </c>
      <c r="DH18" s="1165">
        <f t="array" ref="DH18">IFERROR(IF($DC18="SEGMENT",INDEX('Margin Guidence Table'!$A$1:$AC$10000,MATCH(1,('Margin Guidence Table'!$A$1:$A$10000=DA18)*('Margin Guidence Table'!$H$1:$H$10000&lt;=ROUND($CS$3,0))*('Margin Guidence Table'!$G$1:$G$10000&gt;=ROUND($CS$3,0)),0),MATCH("MDA_MAX_MARGIN_GUIDENCE",'Margin Guidence Table'!$A$1:$AC$1,0)),INDEX('Margin Guidence Table'!$A$1:$AC$10000,MATCH(1,('Margin Guidence Table'!$A$1:$A$10000=DA18)*('Margin Guidence Table'!$H$1:$H$10000&lt;=ROUND($CS$3,0))*('Margin Guidence Table'!$G$1:$G$10000&gt;=ROUND($CS$3,0)),0),MATCH("DEFAULT_MDA_MAX_MARGIN_GUIDENCE",'Margin Guidence Table'!$A$1:$AC$1,0))),0)</f>
        <v>0</v>
      </c>
      <c r="DI18" s="1165">
        <f t="array" ref="DI18">IFERROR(IF($DC18="SEGMENT",INDEX('Margin Guidence Table'!$A$1:$AC$10000,MATCH(1,('Margin Guidence Table'!$A$1:$A$10000=DA18)*('Margin Guidence Table'!$H$1:$H$10000&lt;=ROUND($CS$3,0))*('Margin Guidence Table'!$G$1:$G$10000&gt;=ROUND($CS$3,0)),0),MATCH("PA_PCT_SALES",'Margin Guidence Table'!$A$1:$AC$1,0)),INDEX('Margin Guidence Table'!$A$1:$AC$10000,MATCH(1,('Margin Guidence Table'!$A$1:$A$10000=DA18)*('Margin Guidence Table'!$H$1:$H$10000&lt;=ROUND($CS$3,0))*('Margin Guidence Table'!$G$1:$G$10000&gt;=ROUND($CS$3,0)),0),MATCH("DEFAULT_PA_PCT_SALES",'Margin Guidence Table'!$A$1:$AC$1,0))),0)</f>
        <v>0</v>
      </c>
      <c r="DJ18" s="1165">
        <f t="array" ref="DJ18">IFERROR(IF($DC18="SEGMENT",INDEX('Margin Guidence Table'!$A$1:$AC$10000,MATCH(1,('Margin Guidence Table'!$A$1:$A$10000=DA18)*('Margin Guidence Table'!$H$1:$H$10000&lt;=ROUND($CS$3,0))*('Margin Guidence Table'!$G$1:$G$10000&gt;=ROUND($CS$3,0)),0),MATCH("SELF_FUND_PCT_SALES",'Margin Guidence Table'!$A$1:$AC$1,0)),INDEX('Margin Guidence Table'!$A$1:$AC$10000,MATCH(1,('Margin Guidence Table'!$A$1:$A$10000=DA18)*('Margin Guidence Table'!$H$1:$H$10000&lt;=ROUND($CS$3,0))*('Margin Guidence Table'!$G$1:$G$10000&gt;=ROUND($CS$3,0)),0),MATCH("DEFAULT_SELF_FUND_PCT_SALES",'Margin Guidence Table'!$A$1:$AC$1,0))),0)</f>
        <v>0</v>
      </c>
      <c r="DK18" s="1165">
        <f t="array" ref="DK18">IFERROR(IF($DC18="SEGMENT",INDEX('Margin Guidence Table'!$A$1:$AC$10000,MATCH(1,('Margin Guidence Table'!$A$1:$A$10000=DA18)*('Margin Guidence Table'!$H$1:$H$10000&lt;=ROUND($CS$3,0))*('Margin Guidence Table'!$G$1:$G$10000&gt;=ROUND($CS$3,0)),0),MATCH("CIA_MEDIAN_MARGIN_GUIDENCE",'Margin Guidence Table'!$A$1:$AC$1,0)),INDEX('Margin Guidence Table'!$A$1:$AC$10000,MATCH(1,('Margin Guidence Table'!$A$1:$A$10000=DA18)*('Margin Guidence Table'!$H$1:$H$10000&lt;=ROUND($CS$3,0))*('Margin Guidence Table'!$G$1:$G$10000&gt;=ROUND($CS$3,0)),0),MATCH("DEFAULT_CIA_MEDIAN_MARGIN_GUIDENCE",'Margin Guidence Table'!$A$1:$AC$1,0))),0)</f>
        <v>0</v>
      </c>
      <c r="DL18" s="129"/>
      <c r="DM18" s="18">
        <f t="array" ref="DM18">IFERROR(IF($DY18="SEGMENT",INDEX('Margin Guidence Table'!$A$1:$AC$10000,MATCH(1,('Margin Guidence Table'!$A$1:$A$10000=$DW18)*('Margin Guidence Table'!$H$1:$H$10000&lt;=ROUND($DO$3,0))*('Margin Guidence Table'!$G$1:$G$10000&gt;=ROUND($DO$3,0)),0),MATCH("PCT_SALES",'Margin Guidence Table'!$A$1:$AC$1,0)),INDEX('Margin Guidence Table'!$A$1:$AC$10000,MATCH(1,('Margin Guidence Table'!$A$1:$A$10000=$DW18)*('Margin Guidence Table'!$H$1:$H$10000&lt;=ROUND($DO$3,0))*('Margin Guidence Table'!$G$1:$G$10000&gt;=ROUND($DO$3,0)),0),MATCH("DEFAULT_PCT_SALES",'Margin Guidence Table'!$A$1:$AC$1,0))),0)</f>
        <v>0</v>
      </c>
      <c r="DN18" s="102" t="s">
        <v>100</v>
      </c>
      <c r="DO18" s="94">
        <f>IFERROR(IF(AND($DO$2&lt;&gt;"Enter Spend&gt;&gt;&gt;",DP2="EXISTING"),SUMIFS('Existing Customers'!$Q:$Q,'Existing Customers'!$A:$A,$DO$1,'Existing Customers'!$H:$H,$DN18)*$DO$4,$DO$3*$DM18),0)</f>
        <v>0</v>
      </c>
      <c r="DP18" s="89">
        <f>IFERROR(IF(AND($DO$2&lt;&gt;"Enter Spend&gt;&gt;&gt;",DP2="EXISTING"),SUMIFS('Existing Customers'!$N:$N,'Existing Customers'!$A:$A,$DO$1,'Existing Customers'!$H:$H,$DN18)*$DO$4,$DO18/$DZ18),0)</f>
        <v>0</v>
      </c>
      <c r="DQ18" s="95">
        <f>IFERROR(IF(AND($DO$2&lt;&gt;"Enter Spend&gt;&gt;&gt;",DP2="EXISTING"),SUMIFS('Existing Customers'!$O:$O,'Existing Customers'!$H:$H,$DN18,'Existing Customers'!$A:$A,$DO$1)*$DO$4,$DP18*$DO$8),0)</f>
        <v>0</v>
      </c>
      <c r="DR18" s="95">
        <f>IFERROR(IF(AND($DO$2&lt;&gt;"Enter Spend&gt;&gt;&gt;",DP2="EXISTING"),SUMIFS('Existing Customers'!$P:$P,'Existing Customers'!$A:$A,$DO$1,'Existing Customers'!$H:$H,$DN18)*$DO$4,$DO18/$EA18),0)</f>
        <v>0</v>
      </c>
      <c r="DS18" s="96">
        <f>IFERROR(IF(AND($DO$2&lt;&gt;"Enter Spend&gt;&gt;&gt;",EL2="EXISTING"),SUMIFS('Existing Customers'!$V:$V,'Existing Customers'!$H:$H,$DN18,'Existing Customers'!$A:$A,$DO$1)*$DO$4,0),0)</f>
        <v>0</v>
      </c>
      <c r="DT18" s="96">
        <f>IFERROR(IF(AND($DO$2&lt;&gt;"Enter Spend&gt;&gt;&gt;",DP2="EXISTING"),SUMIFS('Existing Customers'!$R:$R,'Existing Customers'!$H:$H,$DN18,'Existing Customers'!$A:$A,$DO$1)*$DO$4,0),0)</f>
        <v>0</v>
      </c>
      <c r="DU18" s="1161">
        <f>IFERROR(IF(AND($DO$2&lt;&gt;"Enter Spend&gt;&gt;&gt;",DP2="EXISTING"),SUMIFS('Existing Customers'!$S:$S,'Existing Customers'!$H:$H,$DP18,'Existing Customers'!$A:$A,$DO$1),EE18*DO18),0)</f>
        <v>0</v>
      </c>
      <c r="DV18" s="1161">
        <f>IFERROR(IF(AND($DO$2&lt;&gt;"Enter Spend&gt;&gt;&gt;",DP2="EXISTING"),SUMIFS('Existing Customers'!$U:$U,'Existing Customers'!$H:$H,$DN18,'Existing Customers'!$A:$A,$DO$1),EF18*DO18),0)</f>
        <v>0</v>
      </c>
      <c r="DW18" s="1164" t="e">
        <f t="shared" si="30"/>
        <v>#N/A</v>
      </c>
      <c r="DX18" s="1164">
        <f t="array" ref="DX18">IFERROR(INDEX('Margin Guidence Table'!$A$1:$AD$30000,MATCH(1,('Margin Guidence Table'!$A$1:$A$10000=DW18)*('Margin Guidence Table'!$H$1:$H$10000&lt;=ROUND($DO$3,0))*('Margin Guidence Table'!$G$1:$G$10000&gt;=ROUND($DO$3,0)),0),MATCH("DATA_POINTS",'Margin Guidence Table'!$A$1:$AC$1,0)),0)</f>
        <v>0</v>
      </c>
      <c r="DY18" s="1161" t="str">
        <f t="shared" si="31"/>
        <v>DEFAULT</v>
      </c>
      <c r="DZ18" s="1161">
        <f t="array" ref="DZ18">IFERROR(IF($DY18="SEGMENT",INDEX('Margin Guidence Table'!$A$1:$AC$10000,MATCH(1,('Margin Guidence Table'!$A$1:$A$10000=DW18)*('Margin Guidence Table'!$H$1:$H$10000&lt;=ROUND($DO$3,0))*('Margin Guidence Table'!$G$1:$G$10000&gt;=ROUND($DO$3,0)),0),MATCH("SALES_CASE",'Margin Guidence Table'!$A$1:$AC$1,0)),INDEX('Margin Guidence Table'!$A$1:$AC$10000,MATCH(1,('Margin Guidence Table'!$A$1:$A$10000=DW18)*('Margin Guidence Table'!$H$1:$H$10000&lt;=ROUND($DO$3,0))*('Margin Guidence Table'!$G$1:$G$10000&gt;=ROUND($DO$3,0)),0),MATCH("DEFAULT_SALES_CASE",'Margin Guidence Table'!$A$1:$AC$1,0))),0)</f>
        <v>0</v>
      </c>
      <c r="EA18" s="1161">
        <f t="array" ref="EA18">IFERROR(IF($DY18="SEGMENT",INDEX('Margin Guidence Table'!$A$1:$AC$10000,MATCH(1,('Margin Guidence Table'!$A$1:$A$10000=DW18)*('Margin Guidence Table'!$H$1:$H$10000&lt;=ROUND($DO$3,0))*('Margin Guidence Table'!$G$1:$G$10000&gt;=ROUND($DO$3,0)),0),MATCH("SALES_LBS",'Margin Guidence Table'!$A$1:$AC$1,0)),INDEX('Margin Guidence Table'!$A$1:$AC$10000,MATCH(1,('Margin Guidence Table'!$A$1:$A$10000=DW18)*('Margin Guidence Table'!$H$1:$H$10000&lt;=ROUND($DO$3,0))*('Margin Guidence Table'!$G$1:$G$10000&gt;=ROUND($DO$3,0)),0),MATCH("DEFAULT_SALES_LBS",'Margin Guidence Table'!$A$1:$AC$1,0))),0)</f>
        <v>0</v>
      </c>
      <c r="EB18" s="1165">
        <f t="array" ref="EB18">IFERROR(IF($DY18="SEGMENT",INDEX('Margin Guidence Table'!$A$1:$AC$10000,MATCH(1,('Margin Guidence Table'!$A$1:$A$10000=DW18)*('Margin Guidence Table'!$H$1:$H$10000&lt;=ROUND($DO$3,0))*('Margin Guidence Table'!$G$1:$G$10000&gt;=ROUND($DO$3,0)),0),MATCH("MDA_MIN_MARGIN_GUIDENCE",'Margin Guidence Table'!$A$1:$AC$1,0)),INDEX('Margin Guidence Table'!$A$1:$AC$10000,MATCH(1,('Margin Guidence Table'!$A$1:$A$10000=DW18)*('Margin Guidence Table'!$H$1:$H$10000&lt;=ROUND($DO$3,0))*('Margin Guidence Table'!$G$1:$G$10000&gt;=ROUND($DO$3,0)),0),MATCH("DEFAULT_MDA_MIN_MARGIN_GUIDENCE",'Margin Guidence Table'!$A$1:$AC$1,0))),0)</f>
        <v>0</v>
      </c>
      <c r="EC18" s="1165">
        <f t="array" ref="EC18">IFERROR(IF($DY18="SEGMENT",INDEX('Margin Guidence Table'!$A$1:$AC$10000,MATCH(1,('Margin Guidence Table'!$A$1:$A$10000=DW18)*('Margin Guidence Table'!$H$1:$H$10000&lt;=ROUND($DO$3,0))*('Margin Guidence Table'!$G$1:$G$10000&gt;=ROUND($DO$3,0)),0),MATCH("MDA_MEDIAN_MARGIN_GUIDENCE",'Margin Guidence Table'!$A$1:$AC$1,0)),INDEX('Margin Guidence Table'!$A$1:$AC$10000,MATCH(1,('Margin Guidence Table'!$A$1:$A$10000=DW18)*('Margin Guidence Table'!$H$1:$H$10000&lt;=ROUND($DO$3,0))*('Margin Guidence Table'!$G$1:$G$10000&gt;=ROUND($DO$3,0)),0),MATCH("DEFAULT_MDA_MEDIAN_MARGIN_GUIDENCE",'Margin Guidence Table'!$A$1:$AC$1,0))),0)</f>
        <v>0</v>
      </c>
      <c r="ED18" s="1165">
        <f t="array" ref="ED18">IFERROR(IF($DY18="SEGMENT",INDEX('Margin Guidence Table'!$A$1:$AC$10000,MATCH(1,('Margin Guidence Table'!$A$1:$A$10000=DW18)*('Margin Guidence Table'!$H$1:$H$10000&lt;=ROUND($DO$3,0))*('Margin Guidence Table'!$G$1:$G$10000&gt;=ROUND($DO$3,0)),0),MATCH("MDA_MAX_MARGIN_GUIDENCE",'Margin Guidence Table'!$A$1:$AC$1,0)),INDEX('Margin Guidence Table'!$A$1:$AC$10000,MATCH(1,('Margin Guidence Table'!$A$1:$A$10000=DW18)*('Margin Guidence Table'!$H$1:$H$10000&lt;=ROUND($DO$3,0))*('Margin Guidence Table'!$G$1:$G$10000&gt;=ROUND($DO$3,0)),0),MATCH("DEFAULT_MDA_MAX_MARGIN_GUIDENCE",'Margin Guidence Table'!$A$1:$AC$1,0))),0)</f>
        <v>0</v>
      </c>
      <c r="EE18" s="1165">
        <f t="array" ref="EE18">IFERROR(IF($DY18="SEGMENT",INDEX('Margin Guidence Table'!$A$1:$AC$10000,MATCH(1,('Margin Guidence Table'!$A$1:$A$10000=DW18)*('Margin Guidence Table'!$H$1:$H$10000&lt;=ROUND($DO$3,0))*('Margin Guidence Table'!$G$1:$G$10000&gt;=ROUND($DO$3,0)),0),MATCH("PA_PCT_SALES",'Margin Guidence Table'!$A$1:$AC$1,0)),INDEX('Margin Guidence Table'!$A$1:$AC$10000,MATCH(1,('Margin Guidence Table'!$A$1:$A$10000=DW18)*('Margin Guidence Table'!$H$1:$H$10000&lt;=ROUND($DO$3,0))*('Margin Guidence Table'!$G$1:$G$10000&gt;=ROUND($DO$3,0)),0),MATCH("DEFAULT_PA_PCT_SALES",'Margin Guidence Table'!$A$1:$AC$1,0))),0)</f>
        <v>0</v>
      </c>
      <c r="EF18" s="1165">
        <f t="array" ref="EF18">IFERROR(IF($DY18="SEGMENT",INDEX('Margin Guidence Table'!$A$1:$AC$10000,MATCH(1,('Margin Guidence Table'!$A$1:$A$10000=DW18)*('Margin Guidence Table'!$H$1:$H$10000&lt;=ROUND($DO$3,0))*('Margin Guidence Table'!$G$1:$G$10000&gt;=ROUND($DO$3,0)),0),MATCH("SELF_FUND_PCT_SALES",'Margin Guidence Table'!$A$1:$AC$1,0)),INDEX('Margin Guidence Table'!$A$1:$AC$10000,MATCH(1,('Margin Guidence Table'!$A$1:$A$10000=DW18)*('Margin Guidence Table'!$H$1:$H$10000&lt;=ROUND($DO$3,0))*('Margin Guidence Table'!$G$1:$G$10000&gt;=ROUND($DO$3,0)),0),MATCH("DEFAULT_SELF_FUND_PCT_SALES",'Margin Guidence Table'!$A$1:$AC$1,0))),0)</f>
        <v>0</v>
      </c>
      <c r="EG18" s="1165">
        <f t="array" ref="EG18">IFERROR(IF($DY18="SEGMENT",INDEX('Margin Guidence Table'!$A$1:$AC$10000,MATCH(1,('Margin Guidence Table'!$A$1:$A$10000=DW18)*('Margin Guidence Table'!$H$1:$H$10000&lt;=ROUND($DO$3,0))*('Margin Guidence Table'!$G$1:$G$10000&gt;=ROUND($DO$3,0)),0),MATCH("CIA_MEDIAN_MARGIN_GUIDENCE",'Margin Guidence Table'!$A$1:$AC$1,0)),INDEX('Margin Guidence Table'!$A$1:$AC$10000,MATCH(1,('Margin Guidence Table'!$A$1:$A$10000=DW18)*('Margin Guidence Table'!$H$1:$H$10000&lt;=ROUND($DO$3,0))*('Margin Guidence Table'!$G$1:$G$10000&gt;=ROUND($DO$3,0)),0),MATCH("DEFAULT_CIA_MEDIAN_MARGIN_GUIDENCE",'Margin Guidence Table'!$A$1:$AC$1,0))),0)</f>
        <v>0</v>
      </c>
      <c r="EH18" s="129"/>
      <c r="EI18" s="18">
        <f t="array" ref="EI18">IFERROR(IF($EU18="SEGMENT",INDEX('Margin Guidence Table'!$A$1:$AC$10000,MATCH(1,('Margin Guidence Table'!$A$1:$A$10000=$ES18)*('Margin Guidence Table'!$H$1:$H$10000&lt;=ROUND($EK$3,0))*('Margin Guidence Table'!$G$1:$G$10000&gt;=ROUND($EK$3,0)),0),MATCH("PCT_SALES",'Margin Guidence Table'!$A$1:$AC$1,0)),INDEX('Margin Guidence Table'!$A$1:$AC$10000,MATCH(1,('Margin Guidence Table'!$A$1:$A$10000=$ES18)*('Margin Guidence Table'!$H$1:$H$10000&lt;=ROUND($EK$3,0))*('Margin Guidence Table'!$G$1:$G$10000&gt;=ROUND($EK$3,0)),0),MATCH("DEFAULT_PCT_SALES",'Margin Guidence Table'!$A$1:$AC$1,0))),0)</f>
        <v>0</v>
      </c>
      <c r="EJ18" s="102" t="s">
        <v>100</v>
      </c>
      <c r="EK18" s="94">
        <f>IFERROR(IF(AND($EK$2&lt;&gt;"Enter Spend&gt;&gt;&gt;",EL2="EXISTING"),SUMIFS('Existing Customers'!$Q:$Q,'Existing Customers'!$A:$A,$EK$1,'Existing Customers'!$H:$H,$EJ18)*$EK$4,$EK$3*$EI18),0)</f>
        <v>0</v>
      </c>
      <c r="EL18" s="89">
        <f>IFERROR(IF(AND($EK$2&lt;&gt;"Enter Spend&gt;&gt;&gt;",EL2="EXISTING"),SUMIFS('Existing Customers'!$N:$N,'Existing Customers'!$A:$A,$EK$1,'Existing Customers'!$H:$H,$EJ18)*$EK$4,$EK18/$EV18),0)</f>
        <v>0</v>
      </c>
      <c r="EM18" s="95">
        <f>IFERROR(IF(AND($EK$2&lt;&gt;"Enter Spend&gt;&gt;&gt;",EL2="EXISTING"),SUMIFS('Existing Customers'!$O:$O,'Existing Customers'!$H:$H,$EJ18,'Existing Customers'!$A:$A,$EK$1)*$EK$4,$EL18*$EK$8),0)</f>
        <v>0</v>
      </c>
      <c r="EN18" s="95">
        <f>IFERROR(IF(AND($EK$2&lt;&gt;"Enter Spend&gt;&gt;&gt;",EL2="EXISTING"),SUMIFS('Existing Customers'!$P:$P,'Existing Customers'!$A:$A,$EK$1,'Existing Customers'!$H:$H,$EJ18)*$EK$4,$EK18/$EW18),0)</f>
        <v>0</v>
      </c>
      <c r="EO18" s="96">
        <f>IFERROR(IF(AND($EK$2&lt;&gt;"Enter Spend&gt;&gt;&gt;",EL2="EXISTING"),SUMIFS('Existing Customers'!$V:$V,'Existing Customers'!$H:$H,$EJ18,'Existing Customers'!$A:$A,$EK$1)*$EK$4,0),0)</f>
        <v>0</v>
      </c>
      <c r="EP18" s="96">
        <f>IFERROR(IF(AND($EK$2&lt;&gt;"Enter Spend&gt;&gt;&gt;",EL2="EXISTING"),SUMIFS('Existing Customers'!$R:$R,'Existing Customers'!$H:$H,$EJ18,'Existing Customers'!$A:$A,$EK$1)*$EK$4,0),0)</f>
        <v>0</v>
      </c>
      <c r="EQ18" s="1161">
        <f>IFERROR(IF(AND($EK$2&lt;&gt;"Enter Spend&gt;&gt;&gt;",EL2="EXISTING"),SUMIFS('Existing Customers'!$S:$S,'Existing Customers'!$H:$H,$EJ18,'Existing Customers'!$A:$A,$EK$1),FA18*EK18),0)</f>
        <v>0</v>
      </c>
      <c r="ER18" s="1161">
        <f>IFERROR(IF(AND($EK$2&lt;&gt;"Enter Spend&gt;&gt;&gt;",EL2="EXISTING"),SUMIFS('Existing Customers'!$U:$U,'Existing Customers'!$H:$H,$EJ18,'Existing Customers'!$A:$A,$EK$1),FB18*EK18),0)</f>
        <v>0</v>
      </c>
      <c r="ES18" s="1164" t="e">
        <f t="shared" si="32"/>
        <v>#N/A</v>
      </c>
      <c r="ET18" s="1164">
        <f t="array" ref="ET18">IFERROR(INDEX('Margin Guidence Table'!$A$1:$AD$30000,MATCH(1,('Margin Guidence Table'!$A$1:$A$10000=ES18)*('Margin Guidence Table'!$H$1:$H$10000&lt;=ROUND($EK$3,0))*('Margin Guidence Table'!$G$1:$G$10000&gt;=ROUND($EK$3,0)),0),MATCH("DATA_POINTS",'Margin Guidence Table'!$A$1:$AC$1,0)),0)</f>
        <v>0</v>
      </c>
      <c r="EU18" s="1161" t="str">
        <f t="shared" si="33"/>
        <v>DEFAULT</v>
      </c>
      <c r="EV18" s="1161">
        <f t="array" ref="EV18">IFERROR(IF($EU18="SEGMENT",INDEX('Margin Guidence Table'!$A$1:$AC$10000,MATCH(1,('Margin Guidence Table'!$A$1:$A$10000=ES18)*('Margin Guidence Table'!$H$1:$H$10000&lt;=ROUND($EK$3,0))*('Margin Guidence Table'!$G$1:$G$10000&gt;=ROUND($EK$3,0)),0),MATCH("SALES_CASE",'Margin Guidence Table'!$A$1:$AC$1,0)),INDEX('Margin Guidence Table'!$A$1:$AC$10000,MATCH(1,('Margin Guidence Table'!$A$1:$A$10000=ES18)*('Margin Guidence Table'!$H$1:$H$10000&lt;=ROUND($EK$3,0))*('Margin Guidence Table'!$G$1:$G$10000&gt;=ROUND($EK$3,0)),0),MATCH("DEFAULT_SALES_CASE",'Margin Guidence Table'!$A$1:$AC$1,0))),0)</f>
        <v>0</v>
      </c>
      <c r="EW18" s="1161" cm="1">
        <f t="array" ref="EW18">IFERROR(IF($EU18="SEGMENT",INDEX('Margin Guidence Table'!$A$1:$AC$10000,MATCH(1,('Margin Guidence Table'!$A$1:$A$10000=ES18)*('Margin Guidence Table'!$H$1:$H$10000&lt;=ROUND($EK$3,0))*('Margin Guidence Table'!$G$1:$G$10000&gt;=ROUND($EK$3,0)),0),MATCH("SALES_LBS",'Margin Guidence Table'!$A$1:$AC$1,0)),INDEX('Margin Guidence Table'!$A$1:$AC$10000,MATCH(1,('Margin Guidence Table'!$A$1:$A$10000=ES18)*('Margin Guidence Table'!$H$1:$H$10000&lt;=ROUND($EK$3,0))*('Margin Guidence Table'!$G$1:$G$10000&gt;=ROUND($EK$3,0)),0),MATCH("DEFAULT_SALES_LBS",'Margin Guidence Table'!$A$1:$AC$1,0))),0)</f>
        <v>0</v>
      </c>
      <c r="EX18" s="1165">
        <f t="array" ref="EX18">IFERROR(IF($EU18="SEGMENT",INDEX('Margin Guidence Table'!$A$1:$AC$10000,MATCH(1,('Margin Guidence Table'!$A$1:$A$10000=ES18)*('Margin Guidence Table'!$H$1:$H$10000&lt;=ROUND($EK$3,0))*('Margin Guidence Table'!$G$1:$G$10000&gt;=ROUND($EK$3,0)),0),MATCH("MDA_MIN_MARGIN_GUIDENCE",'Margin Guidence Table'!$A$1:$AC$1,0)),INDEX('Margin Guidence Table'!$A$1:$AC$10000,MATCH(1,('Margin Guidence Table'!$A$1:$A$10000=ES18)*('Margin Guidence Table'!$H$1:$H$10000&lt;=ROUND($EK$3,0))*('Margin Guidence Table'!$G$1:$G$10000&gt;=ROUND($EK$3,0)),0),MATCH("DEFAULT_MDA_MIN_MARGIN_GUIDENCE",'Margin Guidence Table'!$A$1:$AC$1,0))),0)</f>
        <v>0</v>
      </c>
      <c r="EY18" s="1165">
        <f t="array" ref="EY18">IFERROR(IF($EU18="SEGMENT",INDEX('Margin Guidence Table'!$A$1:$AC$10000,MATCH(1,('Margin Guidence Table'!$A$1:$A$10000=ES18)*('Margin Guidence Table'!$H$1:$H$10000&lt;=ROUND($EK$3,0))*('Margin Guidence Table'!$G$1:$G$10000&gt;=ROUND($EK$3,0)),0),MATCH("MDA_MEDIAN_MARGIN_GUIDENCE",'Margin Guidence Table'!$A$1:$AC$1,0)),INDEX('Margin Guidence Table'!$A$1:$AC$10000,MATCH(1,('Margin Guidence Table'!$A$1:$A$10000=ES18)*('Margin Guidence Table'!$H$1:$H$10000&lt;=ROUND($EK$3,0))*('Margin Guidence Table'!$G$1:$G$10000&gt;=ROUND($EK$3,0)),0),MATCH("DEFAULT_MDA_MEDIAN_MARGIN_GUIDENCE",'Margin Guidence Table'!$A$1:$AC$1,0))),0)</f>
        <v>0</v>
      </c>
      <c r="EZ18" s="1165">
        <f t="array" ref="EZ18">IFERROR(IF($EU18="SEGMENT",INDEX('Margin Guidence Table'!$A$1:$AC$10000,MATCH(1,('Margin Guidence Table'!$A$1:$A$10000=ES18)*('Margin Guidence Table'!$H$1:$H$10000&lt;=ROUND($EK$3,0))*('Margin Guidence Table'!$G$1:$G$10000&gt;=ROUND($EK$3,0)),0),MATCH("MDA_MAX_MARGIN_GUIDENCE",'Margin Guidence Table'!$A$1:$AC$1,0)),INDEX('Margin Guidence Table'!$A$1:$AC$10000,MATCH(1,('Margin Guidence Table'!$A$1:$A$10000=ES18)*('Margin Guidence Table'!$H$1:$H$10000&lt;=ROUND($EK$3,0))*('Margin Guidence Table'!$G$1:$G$10000&gt;=ROUND($EK$3,0)),0),MATCH("DEFAULT_MDA_MAX_MARGIN_GUIDENCE",'Margin Guidence Table'!$A$1:$AC$1,0))),0)</f>
        <v>0</v>
      </c>
      <c r="FA18" s="1165">
        <f t="array" ref="FA18">IFERROR(IF($EU18="SEGMENT",INDEX('Margin Guidence Table'!$A$1:$AC$10000,MATCH(1,('Margin Guidence Table'!$A$1:$A$10000=ES18)*('Margin Guidence Table'!$H$1:$H$10000&lt;=ROUND($EK$3,0))*('Margin Guidence Table'!$G$1:$G$10000&gt;=ROUND($EK$3,0)),0),MATCH("PA_PCT_SALES",'Margin Guidence Table'!$A$1:$AC$1,0)),INDEX('Margin Guidence Table'!$A$1:$AC$10000,MATCH(1,('Margin Guidence Table'!$A$1:$A$10000=ES18)*('Margin Guidence Table'!$H$1:$H$10000&lt;=ROUND($EK$3,0))*('Margin Guidence Table'!$G$1:$G$10000&gt;=ROUND($EK$3,0)),0),MATCH("DEFAULT_PA_PCT_SALES",'Margin Guidence Table'!$A$1:$AC$1,0))),0)</f>
        <v>0</v>
      </c>
      <c r="FB18" s="1165">
        <f t="array" ref="FB18">IFERROR(IF($EU18="SEGMENT",INDEX('Margin Guidence Table'!$A$1:$AC$10000,MATCH(1,('Margin Guidence Table'!$A$1:$A$10000=ES18)*('Margin Guidence Table'!$H$1:$H$10000&lt;=ROUND($EK$3,0))*('Margin Guidence Table'!$G$1:$G$10000&gt;=ROUND($EK$3,0)),0),MATCH("SELF_FUND_PCT_SALES",'Margin Guidence Table'!$A$1:$AC$1,0)),INDEX('Margin Guidence Table'!$A$1:$AC$10000,MATCH(1,('Margin Guidence Table'!$A$1:$A$10000=ES18)*('Margin Guidence Table'!$H$1:$H$10000&lt;=ROUND($EK$3,0))*('Margin Guidence Table'!$G$1:$G$10000&gt;=ROUND($EK$3,0)),0),MATCH("DEFAULT_SELF_FUND_PCT_SALES",'Margin Guidence Table'!$A$1:$AC$1,0))),0)</f>
        <v>0</v>
      </c>
      <c r="FC18" s="1165">
        <f t="array" ref="FC18">IFERROR(IF($EU18="SEGMENT",INDEX('Margin Guidence Table'!$A$1:$AC$10000,MATCH(1,('Margin Guidence Table'!$A$1:$A$10000=ES18)*('Margin Guidence Table'!$H$1:$H$10000&lt;=ROUND($EK$3,0))*('Margin Guidence Table'!$G$1:$G$10000&gt;=ROUND($EK$3,0)),0),MATCH("CIA_MEDIAN_MARGIN_GUIDENCE",'Margin Guidence Table'!$A$1:$AC$1,0)),INDEX('Margin Guidence Table'!$A$1:$AC$10000,MATCH(1,('Margin Guidence Table'!$A$1:$A$10000=ES18)*('Margin Guidence Table'!$H$1:$H$10000&lt;=ROUND($EK$3,0))*('Margin Guidence Table'!$G$1:$G$10000&gt;=ROUND($EK$3,0)),0),MATCH("DEFAULT_CIA_MEDIAN_MARGIN_GUIDENCE",'Margin Guidence Table'!$A$1:$AC$1,0))),0)</f>
        <v>0</v>
      </c>
      <c r="FD18" s="129"/>
      <c r="FE18" s="18">
        <f t="array" ref="FE18">IFERROR(IF($FQ18="SEGMENT",INDEX('Margin Guidence Table'!$A$1:$AC$10000,MATCH(1,('Margin Guidence Table'!$A$1:$A$10000=$FO18)*('Margin Guidence Table'!$H$1:$H$10000&lt;=ROUND($FG$3,0))*('Margin Guidence Table'!$G$1:$G$10000&gt;=ROUND($FG$3,0)),0),MATCH("PCT_SALES",'Margin Guidence Table'!$A$1:$AC$1,0)),INDEX('Margin Guidence Table'!$A$1:$AC$10000,MATCH(1,('Margin Guidence Table'!$A$1:$A$10000=$FO18)*('Margin Guidence Table'!$H$1:$H$10000&lt;=ROUND($FG$3,0))*('Margin Guidence Table'!$G$1:$G$10000&gt;=ROUND($FG$3,0)),0),MATCH("DEFAULT_PCT_SALES",'Margin Guidence Table'!$A$1:$AC$1,0))),0)</f>
        <v>0</v>
      </c>
      <c r="FF18" s="102" t="s">
        <v>100</v>
      </c>
      <c r="FG18" s="94">
        <f>IFERROR(IF(AND($FG$2&lt;&gt;"Enter Spend&gt;&gt;&gt;",FH2="EXISTING"),SUMIFS('Existing Customers'!$Q:$Q,'Existing Customers'!$A:$A,$FG$1,'Existing Customers'!$H:$H,$FF18)*$FG$4,$FG$3*$FE18),0)</f>
        <v>0</v>
      </c>
      <c r="FH18" s="89">
        <f>IFERROR(IF(AND($FG$2&lt;&gt;"Enter Spend&gt;&gt;&gt;",FH2="EXISTING"),SUMIFS('Existing Customers'!$N:$N,'Existing Customers'!$A:$A,$FG$1,'Existing Customers'!$H:$H,$FF18)*$FG$4,$FG18/$FR18),0)</f>
        <v>0</v>
      </c>
      <c r="FI18" s="95">
        <f>IFERROR(IF(AND($FG$2&lt;&gt;"Enter Spend&gt;&gt;&gt;",FH2="EXISTING"),SUMIFS('Existing Customers'!$O:$O,'Existing Customers'!$H:$H,$FF18,'Existing Customers'!$A:$A,$FG$1)*$FG$4,$FH18*$FG$8),0)</f>
        <v>0</v>
      </c>
      <c r="FJ18" s="95">
        <f>IFERROR(IF(AND($FG$2&lt;&gt;"Enter Spend&gt;&gt;&gt;",FH2="EXISTING"),SUMIFS('Existing Customers'!$P:$P,'Existing Customers'!$A:$A,$FG$1,'Existing Customers'!$H:$H,$FF18)*$FG$4,$FG18/$FS18),0)</f>
        <v>0</v>
      </c>
      <c r="FK18" s="96">
        <f>IFERROR(IF(AND($FG$2&lt;&gt;"Enter Spend&gt;&gt;&gt;",FH2="EXISTING"),SUMIFS('Existing Customers'!$V:$V,'Existing Customers'!$H:$H,$FF18,'Existing Customers'!$A:$A,$FG$1)*$FG$4,0),0)</f>
        <v>0</v>
      </c>
      <c r="FL18" s="96">
        <f>IFERROR(IF(AND($FG$2&lt;&gt;"Enter Spend&gt;&gt;&gt;",FH2="EXISTING"),SUMIFS('Existing Customers'!$R:$R,'Existing Customers'!$H:$H,$FF18,'Existing Customers'!$A:$A,$FG$1)*$FG$4,0),0)</f>
        <v>0</v>
      </c>
      <c r="FM18" s="1161">
        <f>IFERROR(IF(AND($FG$2&lt;&gt;"Enter Spend&gt;&gt;&gt;",FH2="EXISTING"),SUMIFS('Existing Customers'!$S:$S,'Existing Customers'!$H:$H,$FF18,'Existing Customers'!$A:$A,$FG$1),FW18*FG18),0)</f>
        <v>0</v>
      </c>
      <c r="FN18" s="1161">
        <f>IFERROR(IF(AND($FG$2&lt;&gt;"Enter Spend&gt;&gt;&gt;",FH2="EXISTING"),SUMIFS('Existing Customers'!$U:$U,'Existing Customers'!$H:$H,$FF18,'Existing Customers'!$A:$A,$FG$1),FX18*FG18),0)</f>
        <v>0</v>
      </c>
      <c r="FO18" s="1164" t="e">
        <f t="shared" si="34"/>
        <v>#N/A</v>
      </c>
      <c r="FP18" s="1164">
        <f t="array" ref="FP18">IFERROR(INDEX('Margin Guidence Table'!$A$1:$AD$30000,MATCH(1,('Margin Guidence Table'!$A$1:$A$10000=FO18)*('Margin Guidence Table'!$H$1:$H$10000&lt;=ROUND($FG$3,0))*('Margin Guidence Table'!$G$1:$G$10000&gt;=ROUND($FG$3,0)),0),MATCH("DATA_POINTS",'Margin Guidence Table'!$A$1:$AC$1,0)),0)</f>
        <v>0</v>
      </c>
      <c r="FQ18" s="1161" t="str">
        <f t="shared" si="35"/>
        <v>DEFAULT</v>
      </c>
      <c r="FR18" s="1161">
        <f t="array" ref="FR18">IFERROR(IF($FQ18="SEGMENT",INDEX('Margin Guidence Table'!$A$1:$AC$10000,MATCH(1,('Margin Guidence Table'!$A$1:$A$10000=FO18)*('Margin Guidence Table'!$H$1:$H$10000&lt;=ROUND($FG$3,0))*('Margin Guidence Table'!$G$1:$G$10000&gt;=ROUND($FG$3,0)),0),MATCH("SALES_CASE",'Margin Guidence Table'!$A$1:$AC$1,0)),INDEX('Margin Guidence Table'!$A$1:$AC$10000,MATCH(1,('Margin Guidence Table'!$A$1:$A$10000=FO18)*('Margin Guidence Table'!$H$1:$H$10000&lt;=ROUND($FG$3,0))*('Margin Guidence Table'!$G$1:$G$10000&gt;=ROUND($FG$3,0)),0),MATCH("DEFAULT_SALES_CASE",'Margin Guidence Table'!$A$1:$AC$1,0))),0)</f>
        <v>0</v>
      </c>
      <c r="FS18" s="1161">
        <f t="array" ref="FS18">IFERROR(IF($FQ18="SEGMENT",INDEX('Margin Guidence Table'!$A$1:$AC$10000,MATCH(1,('Margin Guidence Table'!$A$1:$A$10000=FO18)*('Margin Guidence Table'!$H$1:$H$10000&lt;=ROUND($FG$3,0))*('Margin Guidence Table'!$G$1:$G$10000&gt;=ROUND($FG$3,0)),0),MATCH("SALES_LBS",'Margin Guidence Table'!$A$1:$AC$1,0)),INDEX('Margin Guidence Table'!$A$1:$AC$10000,MATCH(1,('Margin Guidence Table'!$A$1:$A$10000=FO18)*('Margin Guidence Table'!$H$1:$H$10000&lt;=ROUND($FG$3,0))*('Margin Guidence Table'!$G$1:$G$10000&gt;=ROUND($FG$3,0)),0),MATCH("DEFAULT_SALES_LBS",'Margin Guidence Table'!$A$1:$AC$1,0))),0)</f>
        <v>0</v>
      </c>
      <c r="FT18" s="1165">
        <f t="array" ref="FT18">IFERROR(IF($FQ18="SEGMENT",INDEX('Margin Guidence Table'!$A$1:$AC$10000,MATCH(1,('Margin Guidence Table'!$A$1:$A$10000=FO18)*('Margin Guidence Table'!$H$1:$H$10000&lt;=ROUND($FG$3,0))*('Margin Guidence Table'!$G$1:$G$10000&gt;=ROUND($FG$3,0)),0),MATCH("MDA_MIN_MARGIN_GUIDENCE",'Margin Guidence Table'!$A$1:$AC$1,0)),INDEX('Margin Guidence Table'!$A$1:$AC$10000,MATCH(1,('Margin Guidence Table'!$A$1:$A$10000=FO18)*('Margin Guidence Table'!$H$1:$H$10000&lt;=ROUND($FG$3,0))*('Margin Guidence Table'!$G$1:$G$10000&gt;=ROUND($FG$3,0)),0),MATCH("DEFAULT_MDA_MIN_MARGIN_GUIDENCE",'Margin Guidence Table'!$A$1:$AC$1,0))),0)</f>
        <v>0</v>
      </c>
      <c r="FU18" s="1165">
        <f t="array" ref="FU18">IFERROR(IF($FQ18="SEGMENT",INDEX('Margin Guidence Table'!$A$1:$AC$10000,MATCH(1,('Margin Guidence Table'!$A$1:$A$10000=FO18)*('Margin Guidence Table'!$H$1:$H$10000&lt;=ROUND($FG$3,0))*('Margin Guidence Table'!$G$1:$G$10000&gt;=ROUND($FG$3,0)),0),MATCH("MDA_MEDIAN_MARGIN_GUIDENCE",'Margin Guidence Table'!$A$1:$AC$1,0)),INDEX('Margin Guidence Table'!$A$1:$AC$10000,MATCH(1,('Margin Guidence Table'!$A$1:$A$10000=FO18)*('Margin Guidence Table'!$H$1:$H$10000&lt;=ROUND($FG$3,0))*('Margin Guidence Table'!$G$1:$G$10000&gt;=ROUND($FG$3,0)),0),MATCH("DEFAULT_MDA_MEDIAN_MARGIN_GUIDENCE",'Margin Guidence Table'!$A$1:$AC$1,0))),0)</f>
        <v>0</v>
      </c>
      <c r="FV18" s="1165">
        <f t="array" ref="FV18">IFERROR(IF($FQ18="SEGMENT",INDEX('Margin Guidence Table'!$A$1:$AC$10000,MATCH(1,('Margin Guidence Table'!$A$1:$A$10000=FO18)*('Margin Guidence Table'!$H$1:$H$10000&lt;=ROUND($FG$3,0))*('Margin Guidence Table'!$G$1:$G$10000&gt;=ROUND($FG$3,0)),0),MATCH("MDA_MAX_MARGIN_GUIDENCE",'Margin Guidence Table'!$A$1:$AC$1,0)),INDEX('Margin Guidence Table'!$A$1:$AC$10000,MATCH(1,('Margin Guidence Table'!$A$1:$A$10000=FO18)*('Margin Guidence Table'!$H$1:$H$10000&lt;=ROUND($FG$3,0))*('Margin Guidence Table'!$G$1:$G$10000&gt;=ROUND($FG$3,0)),0),MATCH("DEFAULT_MDA_MAX_MARGIN_GUIDENCE",'Margin Guidence Table'!$A$1:$AC$1,0))),0)</f>
        <v>0</v>
      </c>
      <c r="FW18" s="1165">
        <f t="array" ref="FW18">IFERROR(IF($FQ18="SEGMENT",INDEX('Margin Guidence Table'!$A$1:$AC$10000,MATCH(1,('Margin Guidence Table'!$A$1:$A$10000=FO18)*('Margin Guidence Table'!$H$1:$H$10000&lt;=ROUND($FG$3,0))*('Margin Guidence Table'!$G$1:$G$10000&gt;=ROUND($FG$3,0)),0),MATCH("PA_PCT_SALES",'Margin Guidence Table'!$A$1:$AC$1,0)),INDEX('Margin Guidence Table'!$A$1:$AC$10000,MATCH(1,('Margin Guidence Table'!$A$1:$A$10000=FO18)*('Margin Guidence Table'!$H$1:$H$10000&lt;=ROUND($FG$3,0))*('Margin Guidence Table'!$G$1:$G$10000&gt;=ROUND($FG$3,0)),0),MATCH("DEFAULT_PA_PCT_SALES",'Margin Guidence Table'!$A$1:$AC$1,0))),0)</f>
        <v>0</v>
      </c>
      <c r="FX18" s="1165">
        <f t="array" ref="FX18">IFERROR(IF($FQ18="SEGMENT",INDEX('Margin Guidence Table'!$A$1:$AC$10000,MATCH(1,('Margin Guidence Table'!$A$1:$A$10000=FO18)*('Margin Guidence Table'!$H$1:$H$10000&lt;=ROUND($FG$3,0))*('Margin Guidence Table'!$G$1:$G$10000&gt;=ROUND($FG$3,0)),0),MATCH("SELF_FUND_PCT_SALES",'Margin Guidence Table'!$A$1:$AC$1,0)),INDEX('Margin Guidence Table'!$A$1:$AC$10000,MATCH(1,('Margin Guidence Table'!$A$1:$A$10000=FO18)*('Margin Guidence Table'!$H$1:$H$10000&lt;=ROUND($FG$3,0))*('Margin Guidence Table'!$G$1:$G$10000&gt;=ROUND($FG$3,0)),0),MATCH("DEFAULT_SELF_FUND_PCT_SALES",'Margin Guidence Table'!$A$1:$AC$1,0))),0)</f>
        <v>0</v>
      </c>
      <c r="FY18" s="1165">
        <f t="array" ref="FY18">IFERROR(IF($FQ18="SEGMENT",INDEX('Margin Guidence Table'!$A$1:$AC$10000,MATCH(1,('Margin Guidence Table'!$A$1:$A$10000=FO18)*('Margin Guidence Table'!$H$1:$H$10000&lt;=ROUND($FG$3,0))*('Margin Guidence Table'!$G$1:$G$10000&gt;=ROUND($FG$3,0)),0),MATCH("CIA_MEDIAN_MARGIN_GUIDENCE",'Margin Guidence Table'!$A$1:$AC$1,0)),INDEX('Margin Guidence Table'!$A$1:$AC$10000,MATCH(1,('Margin Guidence Table'!$A$1:$A$10000=FO18)*('Margin Guidence Table'!$H$1:$H$10000&lt;=ROUND($FG$3,0))*('Margin Guidence Table'!$G$1:$G$10000&gt;=ROUND($FG$3,0)),0),MATCH("DEFAULT_CIA_MEDIAN_MARGIN_GUIDENCE",'Margin Guidence Table'!$A$1:$AC$1,0))),0)</f>
        <v>0</v>
      </c>
      <c r="FZ18" s="129"/>
      <c r="GA18" s="18">
        <f t="array" ref="GA18">IFERROR(IF($GM18="SEGMENT",INDEX('Margin Guidence Table'!$A$1:$AC$10000,MATCH(1,('Margin Guidence Table'!$A$1:$A$10000=$GK18)*('Margin Guidence Table'!$H$1:$H$10000&lt;=ROUND($GC$3,0))*('Margin Guidence Table'!$G$1:$G$10000&gt;=ROUND($GC$3,0)),0),MATCH("PCT_SALES",'Margin Guidence Table'!$A$1:$AC$1,0)),INDEX('Margin Guidence Table'!$A$1:$AC$10000,MATCH(1,('Margin Guidence Table'!$A$1:$A$10000=$GK18)*('Margin Guidence Table'!$H$1:$H$10000&lt;=ROUND($GC$3,0))*('Margin Guidence Table'!$G$1:$G$10000&gt;=ROUND($GC$3,0)),0),MATCH("DEFAULT_PCT_SALES",'Margin Guidence Table'!$A$1:$AC$1,0))),0)</f>
        <v>0</v>
      </c>
      <c r="GB18" s="102" t="s">
        <v>100</v>
      </c>
      <c r="GC18" s="94">
        <f>IFERROR(IF(AND($GC$2&lt;&gt;"Enter Spend&gt;&gt;&gt;",GD2="EXISTING"),SUMIFS('Existing Customers'!$Q:$Q,'Existing Customers'!$A:$A,$GC$1,'Existing Customers'!$H:$H,$GB18)*$GC$4,$GC$3*$GA18),0)</f>
        <v>0</v>
      </c>
      <c r="GD18" s="89">
        <f>IFERROR(IF(AND($GC$2&lt;&gt;"Enter Spend&gt;&gt;&gt;",GD2="EXISTING"),SUMIFS('Existing Customers'!$N:$N,'Existing Customers'!$A:$A,$GC$1,'Existing Customers'!$H:$H,$GB18)*$GC$4,$GC18/$GN18),0)</f>
        <v>0</v>
      </c>
      <c r="GE18" s="95">
        <f>IFERROR(IF(AND($GC$2&lt;&gt;"Enter Spend&gt;&gt;&gt;",GD2="EXISTING"),SUMIFS('Existing Customers'!$O:$O,'Existing Customers'!$H:$H,$GB18,'Existing Customers'!$A:$A,$GC$1)*$GC$4,$GD18*$GC$8),0)</f>
        <v>0</v>
      </c>
      <c r="GF18" s="95">
        <f>IFERROR(IF(AND($GC$2&lt;&gt;"Enter Spend&gt;&gt;&gt;",GD2="EXISTING"),SUMIFS('Existing Customers'!$P:$P,'Existing Customers'!$A:$A,$GC$1,'Existing Customers'!$H:$H,$GB18)*$GC$4,$GC18/$GO18),0)</f>
        <v>0</v>
      </c>
      <c r="GG18" s="96">
        <f>IFERROR(IF(AND($GC$2&lt;&gt;"Enter Spend&gt;&gt;&gt;",GD2="EXISTING"),SUMIFS('Existing Customers'!$V:$V,'Existing Customers'!$H:$H,$GB18,'Existing Customers'!$A:$A,$GC$1)*$GC$4,0),0)</f>
        <v>0</v>
      </c>
      <c r="GH18" s="96">
        <f>IFERROR(IF(AND($GC$2&lt;&gt;"Enter Spend&gt;&gt;&gt;",GD2="EXISTING"),SUMIFS('Existing Customers'!$R:$R,'Existing Customers'!$H:$H,$GB18,'Existing Customers'!$A:$A,$GC$1)*$GC$4,0),0)</f>
        <v>0</v>
      </c>
      <c r="GI18" s="1161">
        <f>IFERROR(IF(AND($GC$2&lt;&gt;"Enter Spend&gt;&gt;&gt;",GD2="EXISTING"),SUMIFS('Existing Customers'!$S:$S,'Existing Customers'!$H:$H,$GB18,'Existing Customers'!$A:$A,$GC$1),GS18*GC18),0)</f>
        <v>0</v>
      </c>
      <c r="GJ18" s="1161">
        <f>IFERROR(IF(AND($GC$2&lt;&gt;"Enter Spend&gt;&gt;&gt;",GD2="EXISTING"),SUMIFS('Existing Customers'!$U:$U,'Existing Customers'!$H:$H,$GB18,'Existing Customers'!$A:$A,$GC$1),GT18*GC18),0)</f>
        <v>0</v>
      </c>
      <c r="GK18" s="1164" t="e">
        <f t="shared" si="36"/>
        <v>#N/A</v>
      </c>
      <c r="GL18" s="1164">
        <f t="array" ref="GL18">IFERROR(INDEX('Margin Guidence Table'!$A$1:$AD$30000,MATCH(1,('Margin Guidence Table'!$A$1:$A$10000=GK18)*('Margin Guidence Table'!$H$1:$H$10000&lt;=ROUND($GC$3,0))*('Margin Guidence Table'!$G$1:$G$10000&gt;=ROUND($GC$3,0)),0),MATCH("DATA_POINTS",'Margin Guidence Table'!$A$1:$AC$1,0)),0)</f>
        <v>0</v>
      </c>
      <c r="GM18" s="1161" t="str">
        <f t="shared" si="37"/>
        <v>DEFAULT</v>
      </c>
      <c r="GN18" s="1161">
        <f t="array" ref="GN18">IFERROR(IF($GM18="SEGMENT",INDEX('Margin Guidence Table'!$A$1:$AC$10000,MATCH(1,('Margin Guidence Table'!$A$1:$A$10000=GK18)*('Margin Guidence Table'!$H$1:$H$10000&lt;=ROUND($GC$3,0))*('Margin Guidence Table'!$G$1:$G$10000&gt;=ROUND($GC$3,0)),0),MATCH("SALES_CASE",'Margin Guidence Table'!$A$1:$AC$1,0)),INDEX('Margin Guidence Table'!$A$1:$AC$10000,MATCH(1,('Margin Guidence Table'!$A$1:$A$10000=GK18)*('Margin Guidence Table'!$H$1:$H$10000&lt;=ROUND($GC$3,0))*('Margin Guidence Table'!$G$1:$G$10000&gt;=ROUND($GC$3,0)),0),MATCH("DEFAULT_SALES_CASE",'Margin Guidence Table'!$A$1:$AC$1,0))),0)</f>
        <v>0</v>
      </c>
      <c r="GO18" s="1161">
        <f t="array" ref="GO18">IFERROR(IF($GM18="SEGMENT",INDEX('Margin Guidence Table'!$A$1:$AC$10000,MATCH(1,('Margin Guidence Table'!$A$1:$A$10000=GK18)*('Margin Guidence Table'!$H$1:$H$10000&lt;=ROUND($GC$3,0))*('Margin Guidence Table'!$G$1:$G$10000&gt;=ROUND($GC$3,0)),0),MATCH("SALES_LBS",'Margin Guidence Table'!$A$1:$AC$1,0)),INDEX('Margin Guidence Table'!$A$1:$AC$10000,MATCH(1,('Margin Guidence Table'!$A$1:$A$10000=GK18)*('Margin Guidence Table'!$H$1:$H$10000&lt;=ROUND($GC$3,0))*('Margin Guidence Table'!$G$1:$G$10000&gt;=ROUND($GC$3,0)),0),MATCH("DEFAULT_SALES_LBS",'Margin Guidence Table'!$A$1:$AC$1,0))),0)</f>
        <v>0</v>
      </c>
      <c r="GP18" s="1165">
        <f t="array" ref="GP18">IFERROR(IF($GM18="SEGMENT",INDEX('Margin Guidence Table'!$A$1:$AC$10000,MATCH(1,('Margin Guidence Table'!$A$1:$A$10000=GK18)*('Margin Guidence Table'!$H$1:$H$10000&lt;=ROUND($GC$3,0))*('Margin Guidence Table'!$G$1:$G$10000&gt;=ROUND($GC$3,0)),0),MATCH("MDA_MIN_MARGIN_GUIDENCE",'Margin Guidence Table'!$A$1:$AC$1,0)),INDEX('Margin Guidence Table'!$A$1:$AC$10000,MATCH(1,('Margin Guidence Table'!$A$1:$A$10000=GK18)*('Margin Guidence Table'!$H$1:$H$10000&lt;=ROUND($GC$3,0))*('Margin Guidence Table'!$G$1:$G$10000&gt;=ROUND($GC$3,0)),0),MATCH("DEFAULT_MDA_MIN_MARGIN_GUIDENCE",'Margin Guidence Table'!$A$1:$AC$1,0))),0)</f>
        <v>0</v>
      </c>
      <c r="GQ18" s="1165">
        <f t="array" ref="GQ18">IFERROR(IF($GM18="SEGMENT",INDEX('Margin Guidence Table'!$A$1:$AC$10000,MATCH(1,('Margin Guidence Table'!$A$1:$A$10000=GK18)*('Margin Guidence Table'!$H$1:$H$10000&lt;=ROUND($GC$3,0))*('Margin Guidence Table'!$G$1:$G$10000&gt;=ROUND($GC$3,0)),0),MATCH("MDA_MEDIAN_MARGIN_GUIDENCE",'Margin Guidence Table'!$A$1:$AC$1,0)),INDEX('Margin Guidence Table'!$A$1:$AC$10000,MATCH(1,('Margin Guidence Table'!$A$1:$A$10000=GK18)*('Margin Guidence Table'!$H$1:$H$10000&lt;=ROUND($GC$3,0))*('Margin Guidence Table'!$G$1:$G$10000&gt;=ROUND($GC$3,0)),0),MATCH("DEFAULT_MDA_MEDIAN_MARGIN_GUIDENCE",'Margin Guidence Table'!$A$1:$AC$1,0))),0)</f>
        <v>0</v>
      </c>
      <c r="GR18" s="1165">
        <f t="array" ref="GR18">IFERROR(IF($GM18="SEGMENT",INDEX('Margin Guidence Table'!$A$1:$AC$10000,MATCH(1,('Margin Guidence Table'!$A$1:$A$10000=GK18)*('Margin Guidence Table'!$H$1:$H$10000&lt;=ROUND($GC$3,0))*('Margin Guidence Table'!$G$1:$G$10000&gt;=ROUND($GC$3,0)),0),MATCH("MDA_MAX_MARGIN_GUIDENCE",'Margin Guidence Table'!$A$1:$AC$1,0)),INDEX('Margin Guidence Table'!$A$1:$AC$10000,MATCH(1,('Margin Guidence Table'!$A$1:$A$10000=GK18)*('Margin Guidence Table'!$H$1:$H$10000&lt;=ROUND($GC$3,0))*('Margin Guidence Table'!$G$1:$G$10000&gt;=ROUND($GC$3,0)),0),MATCH("DEFAULT_MDA_MAX_MARGIN_GUIDENCE",'Margin Guidence Table'!$A$1:$AC$1,0))),0)</f>
        <v>0</v>
      </c>
      <c r="GS18" s="1165">
        <f t="array" ref="GS18">IFERROR(IF($GM18="SEGMENT",INDEX('Margin Guidence Table'!$A$1:$AC$10000,MATCH(1,('Margin Guidence Table'!$A$1:$A$10000=GK18)*('Margin Guidence Table'!$H$1:$H$10000&lt;=ROUND($GC$3,0))*('Margin Guidence Table'!$G$1:$G$10000&gt;=ROUND($GC$3,0)),0),MATCH("PA_PCT_SALES",'Margin Guidence Table'!$A$1:$AC$1,0)),INDEX('Margin Guidence Table'!$A$1:$AC$10000,MATCH(1,('Margin Guidence Table'!$A$1:$A$10000=GK18)*('Margin Guidence Table'!$H$1:$H$10000&lt;=ROUND($GC$3,0))*('Margin Guidence Table'!$G$1:$G$10000&gt;=ROUND($GC$3,0)),0),MATCH("DEFAULT_PA_PCT_SALES",'Margin Guidence Table'!$A$1:$AC$1,0))),0)</f>
        <v>0</v>
      </c>
      <c r="GT18" s="1165">
        <f t="array" ref="GT18">IFERROR(IF($GM18="SEGMENT",INDEX('Margin Guidence Table'!$A$1:$AC$10000,MATCH(1,('Margin Guidence Table'!$A$1:$A$10000=GK18)*('Margin Guidence Table'!$H$1:$H$10000&lt;=ROUND($GC$3,0))*('Margin Guidence Table'!$G$1:$G$10000&gt;=ROUND($GC$3,0)),0),MATCH("SELF_FUND_PCT_SALES",'Margin Guidence Table'!$A$1:$AC$1,0)),INDEX('Margin Guidence Table'!$A$1:$AC$10000,MATCH(1,('Margin Guidence Table'!$A$1:$A$10000=GK18)*('Margin Guidence Table'!$H$1:$H$10000&lt;=ROUND($GC$3,0))*('Margin Guidence Table'!$G$1:$G$10000&gt;=ROUND($GC$3,0)),0),MATCH("DEFAULT_SELF_FUND_PCT_SALES",'Margin Guidence Table'!$A$1:$AC$1,0))),0)</f>
        <v>0</v>
      </c>
      <c r="GU18" s="1165">
        <f t="array" ref="GU18">IFERROR(IF($GM18="SEGMENT",INDEX('Margin Guidence Table'!$A$1:$AC$10000,MATCH(1,('Margin Guidence Table'!$A$1:$A$10000=GK18)*('Margin Guidence Table'!$H$1:$H$10000&lt;=ROUND($GC$3,0))*('Margin Guidence Table'!$G$1:$G$10000&gt;=ROUND($GC$3,0)),0),MATCH("CIA_MEDIAN_MARGIN_GUIDENCE",'Margin Guidence Table'!$A$1:$AC$1,0)),INDEX('Margin Guidence Table'!$A$1:$AC$10000,MATCH(1,('Margin Guidence Table'!$A$1:$A$10000=GK18)*('Margin Guidence Table'!$H$1:$H$10000&lt;=ROUND($GC$3,0))*('Margin Guidence Table'!$G$1:$G$10000&gt;=ROUND($GC$3,0)),0),MATCH("DEFAULT_CIA_MEDIAN_MARGIN_GUIDENCE",'Margin Guidence Table'!$A$1:$AC$1,0))),0)</f>
        <v>0</v>
      </c>
      <c r="GV18" s="129"/>
      <c r="GW18" s="18">
        <f t="array" ref="GW18">IFERROR(IF($HI18="SEGMENT",INDEX('Margin Guidence Table'!$A$1:$AC$10000,MATCH(1,('Margin Guidence Table'!$A$1:$A$10000=$HG18)*('Margin Guidence Table'!$H$1:$H$10000&lt;=ROUND($GY$3,0))*('Margin Guidence Table'!$G$1:$G$10000&gt;=ROUND($GY$3,0)),0),MATCH("PCT_SALES",'Margin Guidence Table'!$A$1:$AC$1,0)),INDEX('Margin Guidence Table'!$A$1:$AC$10000,MATCH(1,('Margin Guidence Table'!$A$1:$A$10000=$HG18)*('Margin Guidence Table'!$H$1:$H$10000&lt;=ROUND($GY$3,0))*('Margin Guidence Table'!$G$1:$G$10000&gt;=ROUND($GY$3,0)),0),MATCH("DEFAULT_PCT_SALES",'Margin Guidence Table'!$A$1:$AC$1,0))),0)</f>
        <v>0</v>
      </c>
      <c r="GX18" s="102" t="s">
        <v>100</v>
      </c>
      <c r="GY18" s="94">
        <f>IFERROR(IF(AND($GY$2&lt;&gt;"Enter Spend&gt;&gt;&gt;",GZ2="EXISTING"),SUMIFS('Existing Customers'!$Q:$Q,'Existing Customers'!$A:$A,$GY$1,'Existing Customers'!$H:$H,$GX18)*$GY$4,$GY$3*$GW18),0)</f>
        <v>0</v>
      </c>
      <c r="GZ18" s="89">
        <f>IFERROR(IF(AND($GY$2&lt;&gt;"Enter Spend&gt;&gt;&gt;",GZ2="EXISTING"),SUMIFS('Existing Customers'!$N:$N,'Existing Customers'!$A:$A,$GY$1,'Existing Customers'!$H:$H,$GX18)*$GY$4,$GY18/$HJ18),0)</f>
        <v>0</v>
      </c>
      <c r="HA18" s="95">
        <f>IFERROR(IF(AND($GY$2&lt;&gt;"Enter Spend&gt;&gt;&gt;",GZ2="EXISTING"),SUMIFS('Existing Customers'!$O:$O,'Existing Customers'!$H:$H,$GX18,'Existing Customers'!$A:$A,$GY$1)*$GY$4,$GZ18*$GY$8),0)</f>
        <v>0</v>
      </c>
      <c r="HB18" s="95">
        <f>IFERROR(IF(AND($GY$2&lt;&gt;"Enter Spend&gt;&gt;&gt;",GZ2="EXISTING"),SUMIFS('Existing Customers'!$P:$P,'Existing Customers'!$A:$A,$GY$1,'Existing Customers'!$H:$H,$GX18)*$GY$4,$GY18/$HK18),0)</f>
        <v>0</v>
      </c>
      <c r="HC18" s="96">
        <f>IFERROR(IF(AND($GY$2&lt;&gt;"Enter Spend&gt;&gt;&gt;",GZ2="EXISTING"),SUMIFS('Existing Customers'!$V:$V,'Existing Customers'!$H:$H,$GX18,'Existing Customers'!$A:$A,$GY$1)*$GY$4,0),0)</f>
        <v>0</v>
      </c>
      <c r="HD18" s="96">
        <f>IFERROR(IF(AND($GY$2&lt;&gt;"Enter Spend&gt;&gt;&gt;",GZ2="EXISTING"),SUMIFS('Existing Customers'!$R:$R,'Existing Customers'!$H:$H,$GX18,'Existing Customers'!$A:$A,$GY$1)*$GY$4,0),0)</f>
        <v>0</v>
      </c>
      <c r="HE18" s="1161">
        <f>IFERROR(IF(AND($GY$2&lt;&gt;"Enter Spend&gt;&gt;&gt;",GZ2="EXISTING"),SUMIFS('Existing Customers'!$S:$S,'Existing Customers'!$H:$H,$GX18,'Existing Customers'!$A:$A,$GY$1),HO18*GY18),0)</f>
        <v>0</v>
      </c>
      <c r="HF18" s="1161">
        <f>IFERROR(IF(AND($GY$2&lt;&gt;"Enter Spend&gt;&gt;&gt;",GZ2="EXISTING"),SUMIFS('Existing Customers'!$U:$U,'Existing Customers'!$H:$H,$GX18,'Existing Customers'!$A:$A,$GY$1),HP18*GY18),0)</f>
        <v>0</v>
      </c>
      <c r="HG18" s="1164" t="e">
        <f t="shared" si="38"/>
        <v>#N/A</v>
      </c>
      <c r="HH18" s="1164">
        <f t="array" ref="HH18">IFERROR(INDEX('Margin Guidence Table'!$A$1:$AD$30000,MATCH(1,('Margin Guidence Table'!$A$1:$A$10000=HG18)*('Margin Guidence Table'!$H$1:$H$10000&lt;=ROUND($GY$3,0))*('Margin Guidence Table'!$G$1:$G$10000&gt;=ROUND($GY$3,0)),0),MATCH("DATA_POINTS",'Margin Guidence Table'!$A$1:$AC$1,0)),0)</f>
        <v>0</v>
      </c>
      <c r="HI18" s="1161" t="str">
        <f t="shared" si="39"/>
        <v>DEFAULT</v>
      </c>
      <c r="HJ18" s="1161">
        <f t="array" ref="HJ18">IFERROR(IF($HI18="SEGMENT",INDEX('Margin Guidence Table'!$A$1:$AC$10000,MATCH(1,('Margin Guidence Table'!$A$1:$A$10000=HG18)*('Margin Guidence Table'!$H$1:$H$10000&lt;=ROUND($GY$3,0))*('Margin Guidence Table'!$G$1:$G$10000&gt;=ROUND($GY$3,0)),0),MATCH("SALES_CASE",'Margin Guidence Table'!$A$1:$AC$1,0)),INDEX('Margin Guidence Table'!$A$1:$AC$10000,MATCH(1,('Margin Guidence Table'!$A$1:$A$10000=HG18)*('Margin Guidence Table'!$H$1:$H$10000&lt;=ROUND($GY$3,0))*('Margin Guidence Table'!$G$1:$G$10000&gt;=ROUND($GY$3,0)),0),MATCH("DEFAULT_SALES_CASE",'Margin Guidence Table'!$A$1:$AC$1,0))),0)</f>
        <v>0</v>
      </c>
      <c r="HK18" s="1161">
        <f t="array" ref="HK18">IFERROR(IF($HI18="SEGMENT",INDEX('Margin Guidence Table'!$A$1:$AC$10000,MATCH(1,('Margin Guidence Table'!$A$1:$A$10000=HG18)*('Margin Guidence Table'!$H$1:$H$10000&lt;=ROUND($GY$3,0))*('Margin Guidence Table'!$G$1:$G$10000&gt;=ROUND($GY$3,0)),0),MATCH("SALES_LBS",'Margin Guidence Table'!$A$1:$AC$1,0)),INDEX('Margin Guidence Table'!$A$1:$AC$10000,MATCH(1,('Margin Guidence Table'!$A$1:$A$10000=HG18)*('Margin Guidence Table'!$H$1:$H$10000&lt;=ROUND($GY$3,0))*('Margin Guidence Table'!$G$1:$G$10000&gt;=ROUND($GY$3,0)),0),MATCH("DEFAULT_SALES_LBS",'Margin Guidence Table'!$A$1:$AC$1,0))),0)</f>
        <v>0</v>
      </c>
      <c r="HL18" s="1165">
        <f t="array" ref="HL18">IFERROR(IF($HI18="SEGMENT",INDEX('Margin Guidence Table'!$A$1:$AC$10000,MATCH(1,('Margin Guidence Table'!$A$1:$A$10000=HG18)*('Margin Guidence Table'!$H$1:$H$10000&lt;=ROUND($GY$3,0))*('Margin Guidence Table'!$G$1:$G$10000&gt;=ROUND($GY$3,0)),0),MATCH("MDA_MIN_MARGIN_GUIDENCE",'Margin Guidence Table'!$A$1:$AC$1,0)),INDEX('Margin Guidence Table'!$A$1:$AC$10000,MATCH(1,('Margin Guidence Table'!$A$1:$A$10000=HG18)*('Margin Guidence Table'!$H$1:$H$10000&lt;=ROUND($GY$3,0))*('Margin Guidence Table'!$G$1:$G$10000&gt;=ROUND($GY$3,0)),0),MATCH("DEFAULT_MDA_MIN_MARGIN_GUIDENCE",'Margin Guidence Table'!$A$1:$AC$1,0))),0)</f>
        <v>0</v>
      </c>
      <c r="HM18" s="1165">
        <f t="array" ref="HM18">IFERROR(IF($HI18="SEGMENT",INDEX('Margin Guidence Table'!$A$1:$AC$10000,MATCH(1,('Margin Guidence Table'!$A$1:$A$10000=HG18)*('Margin Guidence Table'!$H$1:$H$10000&lt;=ROUND($GY$3,0))*('Margin Guidence Table'!$G$1:$G$10000&gt;=ROUND($GY$3,0)),0),MATCH("MDA_MEDIAN_MARGIN_GUIDENCE",'Margin Guidence Table'!$A$1:$AC$1,0)),INDEX('Margin Guidence Table'!$A$1:$AC$10000,MATCH(1,('Margin Guidence Table'!$A$1:$A$10000=HG18)*('Margin Guidence Table'!$H$1:$H$10000&lt;=ROUND($GY$3,0))*('Margin Guidence Table'!$G$1:$G$10000&gt;=ROUND($GY$3,0)),0),MATCH("DEFAULT_MDA_MEDIAN_MARGIN_GUIDENCE",'Margin Guidence Table'!$A$1:$AC$1,0))),0)</f>
        <v>0</v>
      </c>
      <c r="HN18" s="1165">
        <f t="array" ref="HN18">IFERROR(IF($HI18="SEGMENT",INDEX('Margin Guidence Table'!$A$1:$AC$10000,MATCH(1,('Margin Guidence Table'!$A$1:$A$10000=HG18)*('Margin Guidence Table'!$H$1:$H$10000&lt;=ROUND($GY$3,0))*('Margin Guidence Table'!$G$1:$G$10000&gt;=ROUND($GY$3,0)),0),MATCH("MDA_MAX_MARGIN_GUIDENCE",'Margin Guidence Table'!$A$1:$AC$1,0)),INDEX('Margin Guidence Table'!$A$1:$AC$10000,MATCH(1,('Margin Guidence Table'!$A$1:$A$10000=HG18)*('Margin Guidence Table'!$H$1:$H$10000&lt;=ROUND($GY$3,0))*('Margin Guidence Table'!$G$1:$G$10000&gt;=ROUND($GY$3,0)),0),MATCH("DEFAULT_MDA_MAX_MARGIN_GUIDENCE",'Margin Guidence Table'!$A$1:$AC$1,0))),0)</f>
        <v>0</v>
      </c>
      <c r="HO18" s="1165">
        <f t="array" ref="HO18">IFERROR(IF($HI18="SEGMENT",INDEX('Margin Guidence Table'!$A$1:$AC$10000,MATCH(1,('Margin Guidence Table'!$A$1:$A$10000=HG18)*('Margin Guidence Table'!$H$1:$H$10000&lt;=ROUND($GY$3,0))*('Margin Guidence Table'!$G$1:$G$10000&gt;=ROUND($GY$3,0)),0),MATCH("PA_PCT_SALES",'Margin Guidence Table'!$A$1:$AC$1,0)),INDEX('Margin Guidence Table'!$A$1:$AC$10000,MATCH(1,('Margin Guidence Table'!$A$1:$A$10000=HG18)*('Margin Guidence Table'!$H$1:$H$10000&lt;=ROUND($GY$3,0))*('Margin Guidence Table'!$G$1:$G$10000&gt;=ROUND($GY$3,0)),0),MATCH("DEFAULT_PA_PCT_SALES",'Margin Guidence Table'!$A$1:$AC$1,0))),0)</f>
        <v>0</v>
      </c>
      <c r="HP18" s="1165">
        <f t="array" ref="HP18">IFERROR(IF($HI18="SEGMENT",INDEX('Margin Guidence Table'!$A$1:$AC$10000,MATCH(1,('Margin Guidence Table'!$A$1:$A$10000=HG18)*('Margin Guidence Table'!$H$1:$H$10000&lt;=ROUND($GY$3,0))*('Margin Guidence Table'!$G$1:$G$10000&gt;=ROUND($GY$3,0)),0),MATCH("SELF_FUND_PCT_SALES",'Margin Guidence Table'!$A$1:$AC$1,0)),INDEX('Margin Guidence Table'!$A$1:$AC$10000,MATCH(1,('Margin Guidence Table'!$A$1:$A$10000=HG18)*('Margin Guidence Table'!$H$1:$H$10000&lt;=ROUND($GY$3,0))*('Margin Guidence Table'!$G$1:$G$10000&gt;=ROUND($GY$3,0)),0),MATCH("DEFAULT_SELF_FUND_PCT_SALES",'Margin Guidence Table'!$A$1:$AC$1,0))),0)</f>
        <v>0</v>
      </c>
      <c r="HQ18" s="1165">
        <f t="array" ref="HQ18">IFERROR(IF($HI18="SEGMENT",INDEX('Margin Guidence Table'!$A$1:$AC$10000,MATCH(1,('Margin Guidence Table'!$A$1:$A$10000=HG18)*('Margin Guidence Table'!$H$1:$H$10000&lt;=ROUND($GY$3,0))*('Margin Guidence Table'!$G$1:$G$10000&gt;=ROUND($GY$3,0)),0),MATCH("CIA_MEDIAN_MARGIN_GUIDENCE",'Margin Guidence Table'!$A$1:$AC$1,0)),INDEX('Margin Guidence Table'!$A$1:$AC$10000,MATCH(1,('Margin Guidence Table'!$A$1:$A$10000=HG18)*('Margin Guidence Table'!$H$1:$H$10000&lt;=ROUND($GY$3,0))*('Margin Guidence Table'!$G$1:$G$10000&gt;=ROUND($GY$3,0)),0),MATCH("DEFAULT_CIA_MEDIAN_MARGIN_GUIDENCE",'Margin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Spend&gt;&gt;&gt;",HV2="EXISTING"),SUMIFS('Existing Customers'!$Q:$Q,'Existing Customers'!$A:$A,$HU$1,'Existing Customers'!$H:$H,$HT18)*$HU$4,$HU$3*$HS18),0)</f>
        <v>0</v>
      </c>
      <c r="HV18" s="89">
        <f>IFERROR(IF(AND($HU$2&lt;&gt;"Enter Spend&gt;&gt;&gt;",HV2="EXISTING"),SUMIFS('Existing Customers'!$N:$N,'Existing Customers'!$A:$A,$HU$1,'Existing Customers'!$H:$H,$HT18)*$HU$4,$HU18/$IF18),0)</f>
        <v>0</v>
      </c>
      <c r="HW18" s="95">
        <f>IFERROR(IF(AND($HU$2&lt;&gt;"Enter Spend&gt;&gt;&gt;",HV2="EXISTING"),SUMIFS('Existing Customers'!$O:$O,'Existing Customers'!$H:$H,$HT18,'Existing Customers'!$A:$A,$HU$1)*$HU$4,$HV18*$HU$8),0)</f>
        <v>0</v>
      </c>
      <c r="HX18" s="95">
        <f>IFERROR(IF(AND($HU$2&lt;&gt;"Enter Spend&gt;&gt;&gt;",HV2="EXISTING"),SUMIFS('Existing Customers'!$P:$P,'Existing Customers'!$A:$A,$HU$1,'Existing Customers'!$H:$H,$HT18)*$HU$4,$HU18/$IG18),0)</f>
        <v>0</v>
      </c>
      <c r="HY18" s="402">
        <f>IFERROR(IF(AND($HU$2&lt;&gt;"Enter Spend&gt;&gt;&gt;",HV2="EXISTING"),SUMIFS('Existing Customers'!$V:$V,'Existing Customers'!$H:$H,$HT18,'Existing Customers'!$A:$A,$HU$1)*$HU$4,0),0)</f>
        <v>0</v>
      </c>
      <c r="HZ18" s="96">
        <f>IFERROR(IF(AND($HU$2&lt;&gt;"Enter Spend&gt;&gt;&gt;",HV2="EXISTING"),SUMIFS('Existing Customers'!$R:$R,'Existing Customers'!$H:$H,$HT18,'Existing Customers'!$A:$A,$HU$1)*$HU$4,0),0)</f>
        <v>0</v>
      </c>
      <c r="IA18" s="1161">
        <f>IFERROR(IF(AND($HU$2&lt;&gt;"Enter Spend&gt;&gt;&gt;",HV2="EXISTING"),SUMIFS('Existing Customers'!$S:$S,'Existing Customers'!$H:$H,$HT18,'Existing Customers'!$A:$A,$HU$1),IK18*HU18),0)</f>
        <v>0</v>
      </c>
      <c r="IB18" s="1161">
        <f>IFERROR(IF(AND($HU$2&lt;&gt;"Enter Spend&gt;&gt;&gt;",HV2="EXISTING"),SUMIFS('Existing Customers'!$U:$U,'Existing Customers'!$H:$H,$HT18,'Existing Customers'!$A:$A,$HU$1),IL18*HU18),0)</f>
        <v>0</v>
      </c>
      <c r="IC18" s="1164" t="e">
        <f t="shared" si="40"/>
        <v>#N/A</v>
      </c>
      <c r="ID18" s="1164">
        <f t="array" ref="ID18">IFERROR(INDEX('Margin Guidence Table'!$A$1:$AD$30000,MATCH(1,('Margin Guidence Table'!$A$1:$A$10000=IC18)*('Margin Guidence Table'!$H$1:$H$10000&lt;=ROUND($HU$3,0))*('Margin Guidence Table'!$G$1:$G$10000&gt;=ROUND($HU$3,0)),0),MATCH("DATA_POINTS",'Margin Guidence Table'!$A$1:$AC$1,0)),0)</f>
        <v>0</v>
      </c>
      <c r="IE18" s="1161" t="str">
        <f t="shared" si="41"/>
        <v>DEFAULT</v>
      </c>
      <c r="IF18" s="1161">
        <f t="array" ref="IF18">IFERROR(IF($IE18="SEGMENT",INDEX('Margin Guidence Table'!$A$1:$AC$10000,MATCH(1,('Margin Guidence Table'!$A$1:$A$10000=IC18)*('Margin Guidence Table'!$H$1:$H$10000&lt;=ROUND($HU$3,0))*('Margin Guidence Table'!$G$1:$G$10000&gt;=ROUND($HU$3,0)),0),MATCH("SALES_CASE",'Margin Guidence Table'!$A$1:$AC$1,0)),INDEX('Margin Guidence Table'!$A$1:$AC$10000,MATCH(1,('Margin Guidence Table'!$A$1:$A$10000=IC18)*('Margin Guidence Table'!$H$1:$H$10000&lt;=ROUND($HU$3,0))*('Margin Guidence Table'!$G$1:$G$10000&gt;=ROUND($HU$3,0)),0),MATCH("DEFAULT_SALES_CASE",'Margin Guidence Table'!$A$1:$AC$1,0))),0)</f>
        <v>0</v>
      </c>
      <c r="IG18" s="1161">
        <f t="array" ref="IG18">IFERROR(IF($IE18="SEGMENT",INDEX('Margin Guidence Table'!$A$1:$AC$10000,MATCH(1,('Margin Guidence Table'!$A$1:$A$10000=IC18)*('Margin Guidence Table'!$H$1:$H$10000&lt;=ROUND($HU$3,0))*('Margin Guidence Table'!$G$1:$G$10000&gt;=ROUND($HU$3,0)),0),MATCH("SALES_LBS",'Margin Guidence Table'!$A$1:$AC$1,0)),INDEX('Margin Guidence Table'!$A$1:$AC$10000,MATCH(1,('Margin Guidence Table'!$A$1:$A$10000=IC18)*('Margin Guidence Table'!$H$1:$H$10000&lt;=ROUND($HU$3,0))*('Margin Guidence Table'!$G$1:$G$10000&gt;=ROUND($HU$3,0)),0),MATCH("DEFAULT_SALES_LBS",'Margin Guidence Table'!$A$1:$AC$1,0))),0)</f>
        <v>0</v>
      </c>
      <c r="IH18" s="1165">
        <f t="array" ref="IH18">IFERROR(IF($IE18="SEGMENT",INDEX('Margin Guidence Table'!$A$1:$AC$10000,MATCH(1,('Margin Guidence Table'!$A$1:$A$10000=IC18)*('Margin Guidence Table'!$H$1:$H$10000&lt;=ROUND($HU$3,0))*('Margin Guidence Table'!$G$1:$G$10000&gt;=ROUND($HU$3,0)),0),MATCH("MDA_MIN_MARGIN_GUIDENCE",'Margin Guidence Table'!$A$1:$AC$1,0)),INDEX('Margin Guidence Table'!$A$1:$AC$10000,MATCH(1,('Margin Guidence Table'!$A$1:$A$10000=IC18)*('Margin Guidence Table'!$H$1:$H$10000&lt;=ROUND($HU$3,0))*('Margin Guidence Table'!$G$1:$G$10000&gt;=ROUND($HU$3,0)),0),MATCH("DEFAULT_MDA_MIN_MARGIN_GUIDENCE",'Margin Guidence Table'!$A$1:$AC$1,0))),0)</f>
        <v>0</v>
      </c>
      <c r="II18" s="1165">
        <f t="array" ref="II18">IFERROR(IF($IE18="SEGMENT",INDEX('Margin Guidence Table'!$A$1:$AC$10000,MATCH(1,('Margin Guidence Table'!$A$1:$A$10000=IC18)*('Margin Guidence Table'!$H$1:$H$10000&lt;=ROUND($HU$3,0))*('Margin Guidence Table'!$G$1:$G$10000&gt;=ROUND($HU$3,0)),0),MATCH("MDA_MEDIAN_MARGIN_GUIDENCE",'Margin Guidence Table'!$A$1:$AC$1,0)),INDEX('Margin Guidence Table'!$A$1:$AC$10000,MATCH(1,('Margin Guidence Table'!$A$1:$A$10000=IC18)*('Margin Guidence Table'!$H$1:$H$10000&lt;=ROUND($HU$3,0))*('Margin Guidence Table'!$G$1:$G$10000&gt;=ROUND($HU$3,0)),0),MATCH("DEFAULT_MDA_MEDIAN_MARGIN_GUIDENCE",'Margin Guidence Table'!$A$1:$AC$1,0))),0)</f>
        <v>0</v>
      </c>
      <c r="IJ18" s="1165">
        <f t="array" ref="IJ18">IFERROR(IF($IE18="SEGMENT",INDEX('Margin Guidence Table'!$A$1:$AC$10000,MATCH(1,('Margin Guidence Table'!$A$1:$A$10000=IC18)*('Margin Guidence Table'!$H$1:$H$10000&lt;=ROUND($HU$3,0))*('Margin Guidence Table'!$G$1:$G$10000&gt;=ROUND($HU$3,0)),0),MATCH("MDA_MAX_MARGIN_GUIDENCE",'Margin Guidence Table'!$A$1:$AC$1,0)),INDEX('Margin Guidence Table'!$A$1:$AC$10000,MATCH(1,('Margin Guidence Table'!$A$1:$A$10000=IC18)*('Margin Guidence Table'!$H$1:$H$10000&lt;=ROUND($HU$3,0))*('Margin Guidence Table'!$G$1:$G$10000&gt;=ROUND($HU$3,0)),0),MATCH("DEFAULT_MDA_MAX_MARGIN_GUIDENCE",'Margin Guidence Table'!$A$1:$AC$1,0))),0)</f>
        <v>0</v>
      </c>
      <c r="IK18" s="1165">
        <f t="array" ref="IK18">IFERROR(IF($IE18="SEGMENT",INDEX('Margin Guidence Table'!$A$1:$AC$10000,MATCH(1,('Margin Guidence Table'!$A$1:$A$10000=IC18)*('Margin Guidence Table'!$H$1:$H$10000&lt;=ROUND($HU$3,0))*('Margin Guidence Table'!$G$1:$G$10000&gt;=ROUND($HU$3,0)),0),MATCH("PA_PCT_SALES",'Margin Guidence Table'!$A$1:$AC$1,0)),INDEX('Margin Guidence Table'!$A$1:$AC$10000,MATCH(1,('Margin Guidence Table'!$A$1:$A$10000=IC18)*('Margin Guidence Table'!$H$1:$H$10000&lt;=ROUND($HU$3,0))*('Margin Guidence Table'!$G$1:$G$10000&gt;=ROUND($HU$3,0)),0),MATCH("DEFAULT_PA_PCT_SALES",'Margin Guidence Table'!$A$1:$AC$1,0))),0)</f>
        <v>0</v>
      </c>
      <c r="IL18" s="1165">
        <f t="array" ref="IL18">IFERROR(IF($IE18="SEGMENT",INDEX('Margin Guidence Table'!$A$1:$AC$10000,MATCH(1,('Margin Guidence Table'!$A$1:$A$10000=IC18)*('Margin Guidence Table'!$H$1:$H$10000&lt;=ROUND($HU$3,0))*('Margin Guidence Table'!$G$1:$G$10000&gt;=ROUND($HU$3,0)),0),MATCH("SELF_FUND_PCT_SALES",'Margin Guidence Table'!$A$1:$AC$1,0)),INDEX('Margin Guidence Table'!$A$1:$AC$10000,MATCH(1,('Margin Guidence Table'!$A$1:$A$10000=IC18)*('Margin Guidence Table'!$H$1:$H$10000&lt;=ROUND($HU$3,0))*('Margin Guidence Table'!$G$1:$G$10000&gt;=ROUND($HU$3,0)),0),MATCH("DEFAULT_SELF_FUND_PCT_SALES",'Margin Guidence Table'!$A$1:$AC$1,0))),0)</f>
        <v>0</v>
      </c>
      <c r="IM18" s="1165">
        <f t="array" ref="IM18">IFERROR(IF($IE18="SEGMENT",INDEX('Margin Guidence Table'!$A$1:$AC$10000,MATCH(1,('Margin Guidence Table'!$A$1:$A$10000=IC18)*('Margin Guidence Table'!$H$1:$H$10000&lt;=ROUND($HU$3,0))*('Margin Guidence Table'!$G$1:$G$10000&gt;=ROUND($HU$3,0)),0),MATCH("CIA_MEDIAN_MARGIN_GUIDENCE",'Margin Guidence Table'!$A$1:$AC$1,0)),INDEX('Margin Guidence Table'!$A$1:$AC$10000,MATCH(1,('Margin Guidence Table'!$A$1:$A$10000=IC18)*('Margin Guidence Table'!$H$1:$H$10000&lt;=ROUND($HU$3,0))*('Margin Guidence Table'!$G$1:$G$10000&gt;=ROUND($HU$3,0)),0),MATCH("DEFAULT_CIA_MEDIAN_MARGIN_GUIDENCE",'Margin Guidence Table'!$A$1:$AC$1,0))),0)</f>
        <v>0</v>
      </c>
      <c r="IN18" s="129"/>
      <c r="IO18" s="18">
        <f t="array" ref="IO18">IFERROR(IF($JA18="SEGMENT",INDEX('Margin Guidence Table'!$A$1:$AC$10000,MATCH(1,('Margin Guidence Table'!$A$1:$A$10000=$IY18)*('Margin Guidence Table'!$H$1:$H$10000&lt;=ROUND($IQ$3,0))*('Margin Guidence Table'!$G$1:$G$10000&gt;=ROUND($IQ$3,0)),0),MATCH("PCT_SALES",'Margin Guidence Table'!$A$1:$AC$1,0)),INDEX('Margin Guidence Table'!$A$1:$AC$10000,MATCH(1,('Margin Guidence Table'!$A$1:$A$10000=$IY18)*('Margin Guidence Table'!$H$1:$H$10000&lt;=ROUND($IQ$3,0))*('Margin Guidence Table'!$G$1:$G$10000&gt;=ROUND($IQ$3,0)),0),MATCH("DEFAULT_PCT_SALES",'Margin Guidence Table'!$A$1:$AC$1,0))),0)</f>
        <v>0</v>
      </c>
      <c r="IP18" s="102" t="s">
        <v>100</v>
      </c>
      <c r="IQ18" s="94">
        <f>IFERROR(IF(AND($IQ$2&lt;&gt;"Enter Spend&gt;&gt;&gt;",IR2="EXISTING"),SUMIFS('Existing Customers'!$Q:$Q,'Existing Customers'!$A:$A,$IQ$1,'Existing Customers'!$H:$H,$IP18)*$IQ$4,$IQ$3*$IO18),0)</f>
        <v>0</v>
      </c>
      <c r="IR18" s="89">
        <f>IFERROR(IF(AND($IQ$2&lt;&gt;"Enter Spend&gt;&gt;&gt;",IR2="EXISTING"),SUMIFS('Existing Customers'!$N:$N,'Existing Customers'!$A:$A,$IQ$1,'Existing Customers'!$H:$H,$IP18)*$IQ$4,$IQ18/$JB18),0)</f>
        <v>0</v>
      </c>
      <c r="IS18" s="95">
        <f>IFERROR(IF(AND($IQ$2&lt;&gt;"Enter Spend&gt;&gt;&gt;",IR2="EXISTING"),SUMIFS('Existing Customers'!$O:$O,'Existing Customers'!$H:$H,$IP18,'Existing Customers'!$A:$A,$IQ$1)*$IQ$4,$IR18*$IQ$8),0)</f>
        <v>0</v>
      </c>
      <c r="IT18" s="95">
        <f>IFERROR(IF(AND($IQ$2&lt;&gt;"Enter Spend&gt;&gt;&gt;",IR2="EXISTING"),SUMIFS('Existing Customers'!$P:$P,'Existing Customers'!$A:$A,$IQ$1,'Existing Customers'!$H:$H,$IP18)*$IQ$4,$IQ18/$JC18),0)</f>
        <v>0</v>
      </c>
      <c r="IU18" s="402">
        <f>IFERROR(IF(AND($IQ$2&lt;&gt;"Enter Spend&gt;&gt;&gt;",IR2="EXISTING"),SUMIFS('Existing Customers'!$V:$V,'Existing Customers'!$H:$H,$IP18,'Existing Customers'!$A:$A,$IQ$1)*$IQ$4,0),0)</f>
        <v>0</v>
      </c>
      <c r="IV18" s="96">
        <f>IFERROR(IF(AND($IQ$2&lt;&gt;"Enter Spend&gt;&gt;&gt;",IR2="EXISTING"),SUMIFS('Existing Customers'!$R:$R,'Existing Customers'!$H:$H,$IP18,'Existing Customers'!$A:$A,$IQ$1)*$IQ$4,0),0)</f>
        <v>0</v>
      </c>
      <c r="IW18" s="1161">
        <f>IFERROR(IF(AND($IQ$2&lt;&gt;"Enter Spend&gt;&gt;&gt;",IR2="EXISTING"),SUMIFS('Existing Customers'!$S:$S,'Existing Customers'!$H:$H,$IP18,'Existing Customers'!$A:$A,$IQ$1),JG18*IQ18),0)</f>
        <v>0</v>
      </c>
      <c r="IX18" s="1161">
        <f>IFERROR(IF(AND($IQ$2&lt;&gt;"Enter Spend&gt;&gt;&gt;",IR2="EXISTING"),SUMIFS('Existing Customers'!$U:$U,'Existing Customers'!$H:$H,$IP18,'Existing Customers'!$A:$A,$IQ$1),JH18*IQ18),0)</f>
        <v>0</v>
      </c>
      <c r="IY18" s="1164" t="e">
        <f t="shared" si="42"/>
        <v>#N/A</v>
      </c>
      <c r="IZ18" s="1164">
        <f t="array" ref="IZ18">IFERROR(INDEX('Margin Guidence Table'!$A$1:$AD$30000,MATCH(1,('Margin Guidence Table'!$A$1:$A$10000=IY18)*('Margin Guidence Table'!$H$1:$H$10000&lt;=ROUND($IQ$3,0))*('Margin Guidence Table'!$G$1:$G$10000&gt;=ROUND($IQ$3,0)),0),MATCH("DATA_POINTS",'Margin Guidence Table'!$A$1:$AC$1,0)),0)</f>
        <v>0</v>
      </c>
      <c r="JA18" s="1161" t="str">
        <f t="shared" si="43"/>
        <v>DEFAULT</v>
      </c>
      <c r="JB18" s="1161">
        <f t="array" ref="JB18">IFERROR(IF($JA18="SEGMENT",INDEX('Margin Guidence Table'!$A$1:$AC$10000,MATCH(1,('Margin Guidence Table'!$A$1:$A$10000=IY18)*('Margin Guidence Table'!$H$1:$H$10000&lt;=ROUND($IQ$3,0))*('Margin Guidence Table'!$G$1:$G$10000&gt;=ROUND($IQ$3,0)),0),MATCH("SALES_CASE",'Margin Guidence Table'!$A$1:$AC$1,0)),INDEX('Margin Guidence Table'!$A$1:$AC$10000,MATCH(1,('Margin Guidence Table'!$A$1:$A$10000=IY18)*('Margin Guidence Table'!$H$1:$H$10000&lt;=ROUND($IQ$3,0))*('Margin Guidence Table'!$G$1:$G$10000&gt;=ROUND($IQ$3,0)),0),MATCH("DEFAULT_SALES_CASE",'Margin Guidence Table'!$A$1:$AC$1,0))),0)</f>
        <v>0</v>
      </c>
      <c r="JC18" s="1161">
        <f t="array" ref="JC18">IFERROR(IF($JA18="SEGMENT",INDEX('Margin Guidence Table'!$A$1:$AC$10000,MATCH(1,('Margin Guidence Table'!$A$1:$A$10000=IY18)*('Margin Guidence Table'!$H$1:$H$10000&lt;=ROUND($IQ$3,0))*('Margin Guidence Table'!$G$1:$G$10000&gt;=ROUND($IQ$3,0)),0),MATCH("SALES_LBS",'Margin Guidence Table'!$A$1:$AC$1,0)),INDEX('Margin Guidence Table'!$A$1:$AC$10000,MATCH(1,('Margin Guidence Table'!$A$1:$A$10000=IY18)*('Margin Guidence Table'!$H$1:$H$10000&lt;=ROUND($IQ$3,0))*('Margin Guidence Table'!$G$1:$G$10000&gt;=ROUND($IQ$3,0)),0),MATCH("DEFAULT_SALES_LBS",'Margin Guidence Table'!$A$1:$AC$1,0))),0)</f>
        <v>0</v>
      </c>
      <c r="JD18" s="1165">
        <f t="array" ref="JD18">IFERROR(IF($JA18="SEGMENT",INDEX('Margin Guidence Table'!$A$1:$AC$10000,MATCH(1,('Margin Guidence Table'!$A$1:$A$10000=IY18)*('Margin Guidence Table'!$H$1:$H$10000&lt;=ROUND($IQ$3,0))*('Margin Guidence Table'!$G$1:$G$10000&gt;=ROUND($IQ$3,0)),0),MATCH("MDA_MIN_MARGIN_GUIDENCE",'Margin Guidence Table'!$A$1:$AC$1,0)),INDEX('Margin Guidence Table'!$A$1:$AC$10000,MATCH(1,('Margin Guidence Table'!$A$1:$A$10000=IY18)*('Margin Guidence Table'!$H$1:$H$10000&lt;=ROUND($IQ$3,0))*('Margin Guidence Table'!$G$1:$G$10000&gt;=ROUND($IQ$3,0)),0),MATCH("DEFAULT_MDA_MIN_MARGIN_GUIDENCE",'Margin Guidence Table'!$A$1:$AC$1,0))),0)</f>
        <v>0</v>
      </c>
      <c r="JE18" s="1165">
        <f t="array" ref="JE18">IFERROR(IF($JA18="SEGMENT",INDEX('Margin Guidence Table'!$A$1:$AC$10000,MATCH(1,('Margin Guidence Table'!$A$1:$A$10000=IY18)*('Margin Guidence Table'!$H$1:$H$10000&lt;=ROUND($IQ$3,0))*('Margin Guidence Table'!$G$1:$G$10000&gt;=ROUND($IQ$3,0)),0),MATCH("MDA_MEDIAN_MARGIN_GUIDENCE",'Margin Guidence Table'!$A$1:$AC$1,0)),INDEX('Margin Guidence Table'!$A$1:$AC$10000,MATCH(1,('Margin Guidence Table'!$A$1:$A$10000=IY18)*('Margin Guidence Table'!$H$1:$H$10000&lt;=ROUND($IQ$3,0))*('Margin Guidence Table'!$G$1:$G$10000&gt;=ROUND($IQ$3,0)),0),MATCH("DEFAULT_MDA_MEDIAN_MARGIN_GUIDENCE",'Margin Guidence Table'!$A$1:$AC$1,0))),0)</f>
        <v>0</v>
      </c>
      <c r="JF18" s="1165">
        <f t="array" ref="JF18">IFERROR(IF($JA18="SEGMENT",INDEX('Margin Guidence Table'!$A$1:$AC$10000,MATCH(1,('Margin Guidence Table'!$A$1:$A$10000=IY18)*('Margin Guidence Table'!$H$1:$H$10000&lt;=ROUND($IQ$3,0))*('Margin Guidence Table'!$G$1:$G$10000&gt;=ROUND($IQ$3,0)),0),MATCH("MDA_MAX_MARGIN_GUIDENCE",'Margin Guidence Table'!$A$1:$AC$1,0)),INDEX('Margin Guidence Table'!$A$1:$AC$10000,MATCH(1,('Margin Guidence Table'!$A$1:$A$10000=IY18)*('Margin Guidence Table'!$H$1:$H$10000&lt;=ROUND($IQ$3,0))*('Margin Guidence Table'!$G$1:$G$10000&gt;=ROUND($IQ$3,0)),0),MATCH("DEFAULT_MDA_MAX_MARGIN_GUIDENCE",'Margin Guidence Table'!$A$1:$AC$1,0))),0)</f>
        <v>0</v>
      </c>
      <c r="JG18" s="1165">
        <f t="array" ref="JG18">IFERROR(IF($JA18="SEGMENT",INDEX('Margin Guidence Table'!$A$1:$AC$10000,MATCH(1,('Margin Guidence Table'!$A$1:$A$10000=IY18)*('Margin Guidence Table'!$H$1:$H$10000&lt;=ROUND($IQ$3,0))*('Margin Guidence Table'!$G$1:$G$10000&gt;=ROUND($IQ$3,0)),0),MATCH("PA_PCT_SALES",'Margin Guidence Table'!$A$1:$AC$1,0)),INDEX('Margin Guidence Table'!$A$1:$AC$10000,MATCH(1,('Margin Guidence Table'!$A$1:$A$10000=IY18)*('Margin Guidence Table'!$H$1:$H$10000&lt;=ROUND($IQ$3,0))*('Margin Guidence Table'!$G$1:$G$10000&gt;=ROUND($IQ$3,0)),0),MATCH("DEFAULT_PA_PCT_SALES",'Margin Guidence Table'!$A$1:$AC$1,0))),0)</f>
        <v>0</v>
      </c>
      <c r="JH18" s="1165">
        <f t="array" ref="JH18">IFERROR(IF($JA18="SEGMENT",INDEX('Margin Guidence Table'!$A$1:$AC$10000,MATCH(1,('Margin Guidence Table'!$A$1:$A$10000=IY18)*('Margin Guidence Table'!$H$1:$H$10000&lt;=ROUND($IQ$3,0))*('Margin Guidence Table'!$G$1:$G$10000&gt;=ROUND($IQ$3,0)),0),MATCH("SELF_FUND_PCT_SALES",'Margin Guidence Table'!$A$1:$AC$1,0)),INDEX('Margin Guidence Table'!$A$1:$AC$10000,MATCH(1,('Margin Guidence Table'!$A$1:$A$10000=IY18)*('Margin Guidence Table'!$H$1:$H$10000&lt;=ROUND($IQ$3,0))*('Margin Guidence Table'!$G$1:$G$10000&gt;=ROUND($IQ$3,0)),0),MATCH("DEFAULT_SELF_FUND_PCT_SALES",'Margin Guidence Table'!$A$1:$AC$1,0))),0)</f>
        <v>0</v>
      </c>
      <c r="JI18" s="1165">
        <f t="array" ref="JI18">IFERROR(IF($JA18="SEGMENT",INDEX('Margin Guidence Table'!$A$1:$AC$10000,MATCH(1,('Margin Guidence Table'!$A$1:$A$10000=IY18)*('Margin Guidence Table'!$H$1:$H$10000&lt;=ROUND($IQ$3,0))*('Margin Guidence Table'!$G$1:$G$10000&gt;=ROUND($IQ$3,0)),0),MATCH("CIA_MEDIAN_MARGIN_GUIDENCE",'Margin Guidence Table'!$A$1:$AC$1,0)),INDEX('Margin Guidence Table'!$A$1:$AC$10000,MATCH(1,('Margin Guidence Table'!$A$1:$A$10000=IY18)*('Margin Guidence Table'!$H$1:$H$10000&lt;=ROUND($IQ$3,0))*('Margin Guidence Table'!$G$1:$G$10000&gt;=ROUND($IQ$3,0)),0),MATCH("DEFAULT_CIA_MEDIAN_MARGIN_GUIDENCE",'Margin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44"/>
        <v>#DIV/0!</v>
      </c>
      <c r="AV19" s="400"/>
      <c r="AW19" s="400"/>
      <c r="AX19" s="108">
        <v>8</v>
      </c>
      <c r="AY19" s="18">
        <f t="array" ref="AY19">IFERROR(IF($BK19="SEGMENT",INDEX('Margin Guidence Table'!$A$1:$AC$10000,MATCH(1,('Margin Guidence Table'!$A$1:$A$10000=$BI19)*('Margin Guidence Table'!$H$1:$H$10000&lt;=ROUND($BA$3,0))*('Margin Guidence Table'!$G$1:$G$10000&gt;=ROUND($BA$3,0)),0),MATCH("PCT_SALES",'Margin Guidence Table'!$A$1:$AC$1,0)),INDEX('Margin Guidence Table'!$A$1:$AC$10000,MATCH(1,('Margin Guidence Table'!$A$1:$A$10000=$BI19)*('Margin Guidence Table'!$H$1:$H$10000&lt;=ROUND($BA$3,0))*('Margin Guidence Table'!$G$1:$G$10000&gt;=ROUND($BA$3,0)),0),MATCH("DEFAULT_PCT_SALES",'Margin Guidence Table'!$A$1:$AC$1,0))),0)</f>
        <v>0</v>
      </c>
      <c r="AZ19" s="102" t="s">
        <v>104</v>
      </c>
      <c r="BA19" s="94">
        <f>IFERROR(IF(AND($BA$2&lt;&gt;"Enter Spend&gt;&gt;&gt;",BB2="EXISTING"),SUMIFS('Existing Customers'!$Q:$Q,'Existing Customers'!$A:$A,$BA$1,'Existing Customers'!$H:$H,$AZ19)*$BA$4,$BA$3*$AY19),0)</f>
        <v>0</v>
      </c>
      <c r="BB19" s="95">
        <f>IFERROR(IF(AND($BA$2&lt;&gt;"Enter Spend&gt;&gt;&gt;",BB2="EXISTING"),SUMIFS('Existing Customers'!$N:$N,'Existing Customers'!$A:$A,$BA$1,'Existing Customers'!$H:$H,$AZ19)*$BA$4,$BA19/$BL19),0)</f>
        <v>0</v>
      </c>
      <c r="BC19" s="95">
        <f>IFERROR(IF(AND($BA$2&lt;&gt;"Enter Spend&gt;&gt;&gt;",BB2="EXISTING"),SUMIFS('Existing Customers'!$O:$O,'Existing Customers'!$H:$H,$AZ19,'Existing Customers'!$A:$A,$BA$1)*$BA$4,$BB19*$BA$8),0)</f>
        <v>0</v>
      </c>
      <c r="BD19" s="95">
        <f>IFERROR(IF(AND($BA$2&lt;&gt;"Enter Spend&gt;&gt;&gt;",BB2="EXISTING"),SUMIFS('Existing Customers'!$P:$P,'Existing Customers'!$A:$A,$BA$1,'Existing Customers'!$H:$H,$AZ19)*$BA$4,$BA19/$BM19),0)</f>
        <v>0</v>
      </c>
      <c r="BE19" s="402">
        <f>IFERROR(IF(AND($BA$2&lt;&gt;"Enter Spend&gt;&gt;&gt;",BB2="EXISTING"),SUMIFS('Existing Customers'!$V:$V,'Existing Customers'!$H:$H,$AZ19,'Existing Customers'!$A:$A,$BA$1)*$BA$4,0),0)</f>
        <v>0</v>
      </c>
      <c r="BF19" s="96">
        <f>IFERROR(IF(AND($BA$2&lt;&gt;"Enter Spend&gt;&gt;&gt;",BB2="EXISTING"),SUMIFS('Existing Customers'!$R:$R,'Existing Customers'!$H:$H,$AZ19,'Existing Customers'!$A:$A,$BA$1)*$BA$4,0),0)</f>
        <v>0</v>
      </c>
      <c r="BG19" s="96">
        <f>IFERROR(IF(AND($BA$2&lt;&gt;"Enter Spend&gt;&gt;&gt;",BB2="EXISTING"),SUMIFS('Existing Customers'!$S:$S,'Existing Customers'!$H:$H,$AZ19,'Existing Customers'!$A:$A,$BA$1),BQ19*BA19),0)</f>
        <v>0</v>
      </c>
      <c r="BH19" s="96">
        <f>IFERROR(IF(AND($BA$2&lt;&gt;"Enter Spend&gt;&gt;&gt;",BB2="EXISTING"),SUMIFS('Existing Customers'!$U:$U,'Existing Customers'!$H:$H,$AZ19,'Existing Customers'!$A:$A,$BA$1),BR19*BA19),0)</f>
        <v>0</v>
      </c>
      <c r="BI19" s="1163" t="e">
        <f t="shared" si="24"/>
        <v>#N/A</v>
      </c>
      <c r="BJ19" s="1164">
        <f t="array" ref="BJ19">IFERROR(INDEX('Margin Guidence Table'!$A$1:$AD$30000,MATCH(1,('Margin Guidence Table'!$A$1:$A$10000=$BI19)*('Margin Guidence Table'!$H$1:$H$10000&lt;=ROUND($BA$3,0))*('Margin Guidence Table'!$G$1:$G$10000&gt;=ROUND($BA$3,0)),0),MATCH("DATA_POINTS",'Margin Guidence Table'!$A$1:$AC$1,0)),0)</f>
        <v>0</v>
      </c>
      <c r="BK19" s="1161" t="str">
        <f t="shared" si="25"/>
        <v>DEFAULT</v>
      </c>
      <c r="BL19" s="1161">
        <f t="array" ref="BL19">IFERROR(IF($BK19="SEGMENT",INDEX('Margin Guidence Table'!$A$1:$AC$10000,MATCH(1,('Margin Guidence Table'!$A$1:$A$10000=$BI19)*('Margin Guidence Table'!$H$1:$H$10000&lt;=ROUND($BA$3,0))*('Margin Guidence Table'!$G$1:$G$10000&gt;=ROUND($BA$3,0)),0),MATCH("SALES_CASE",'Margin Guidence Table'!$A$1:$AC$1,0)),INDEX('Margin Guidence Table'!$A$1:$AC$10000,MATCH(1,('Margin Guidence Table'!$A$1:$A$10000=$BI19)*('Margin Guidence Table'!$H$1:$H$10000&lt;=ROUND($BA$3,0))*('Margin Guidence Table'!$G$1:$G$10000&gt;=ROUND($BA$3,0)),0),MATCH("DEFAULT_SALES_CASE",'Margin Guidence Table'!$A$1:$AC$1,0))),0)</f>
        <v>0</v>
      </c>
      <c r="BM19" s="1161">
        <f t="array" ref="BM19">IFERROR(IF($BK19="SEGMENT",INDEX('Margin Guidence Table'!$A$1:$AC$10000,MATCH(1,('Margin Guidence Table'!$A$1:$A$10000=$BI19)*('Margin Guidence Table'!$H$1:$H$10000&lt;=ROUND($BA$3,0))*('Margin Guidence Table'!$G$1:$G$10000&gt;=ROUND($BA$3,0)),0),MATCH("SALES_LBS",'Margin Guidence Table'!$A$1:$AC$1,0)),INDEX('Margin Guidence Table'!$A$1:$AC$10000,MATCH(1,('Margin Guidence Table'!$A$1:$A$10000=$BI19)*('Margin Guidence Table'!$H$1:$H$10000&lt;=ROUND($BA$3,0))*('Margin Guidence Table'!$G$1:$G$10000&gt;=ROUND($BA$3,0)),0),MATCH("DEFAULT_SALES_LBS",'Margin Guidence Table'!$A$1:$AC$1,0))),0)</f>
        <v>0</v>
      </c>
      <c r="BN19" s="1165">
        <f t="array" ref="BN19">IFERROR(IF($BK19="SEGMENT",INDEX('Margin Guidence Table'!$A$1:$AC$10000,MATCH(1,('Margin Guidence Table'!$A$1:$A$10000=$BI19)*('Margin Guidence Table'!$H$1:$H$10000&lt;=ROUND($BA$3,0))*('Margin Guidence Table'!$G$1:$G$10000&gt;=ROUND($BA$3,0)),0),MATCH("MDA_MIN_MARGIN_GUIDENCE",'Margin Guidence Table'!$A$1:$AC$1,0)),INDEX('Margin Guidence Table'!$A$1:$AC$10000,MATCH(1,('Margin Guidence Table'!$A$1:$A$10000=$BI19)*('Margin Guidence Table'!$H$1:$H$10000&lt;=ROUND($BA$3,0))*('Margin Guidence Table'!$G$1:$G$10000&gt;=ROUND($BA$3,0)),0),MATCH("DEFAULT_MDA_MIN_MARGIN_GUIDENCE",'Margin Guidence Table'!$A$1:$AC$1,0))),0)</f>
        <v>0</v>
      </c>
      <c r="BO19" s="1165">
        <f t="array" ref="BO19">IFERROR(IF($BK19="SEGMENT",INDEX('Margin Guidence Table'!$A$1:$AC$10000,MATCH(1,('Margin Guidence Table'!$A$1:$A$10000=$BI19)*('Margin Guidence Table'!$H$1:$H$10000&lt;=ROUND($BA$3,0))*('Margin Guidence Table'!$G$1:$G$10000&gt;=ROUND($BA$3,0)),0),MATCH("MDA_MEDIAN_MARGIN_GUIDENCE",'Margin Guidence Table'!$A$1:$AC$1,0)),INDEX('Margin Guidence Table'!$A$1:$AC$10000,MATCH(1,('Margin Guidence Table'!$A$1:$A$10000=$BI19)*('Margin Guidence Table'!$H$1:$H$10000&lt;=ROUND($BA$3,0))*('Margin Guidence Table'!$G$1:$G$10000&gt;=ROUND($BA$3,0)),0),MATCH("DEFAULT_MDA_MEDIAN_MARGIN_GUIDENCE",'Margin Guidence Table'!$A$1:$AC$1,0))),0)</f>
        <v>0</v>
      </c>
      <c r="BP19" s="1165">
        <f t="array" ref="BP19">IFERROR(IF($BK19="SEGMENT",INDEX('Margin Guidence Table'!$A$1:$AC$10000,MATCH(1,('Margin Guidence Table'!$A$1:$A$10000=$BI19)*('Margin Guidence Table'!$H$1:$H$10000&lt;=ROUND($BA$3,0))*('Margin Guidence Table'!$G$1:$G$10000&gt;=ROUND($BA$3,0)),0),MATCH("MDA_MAX_MARGIN_GUIDENCE",'Margin Guidence Table'!$A$1:$AC$1,0)),INDEX('Margin Guidence Table'!$A$1:$AC$10000,MATCH(1,('Margin Guidence Table'!$A$1:$A$10000=$BI19)*('Margin Guidence Table'!$H$1:$H$10000&lt;=ROUND($BA$3,0))*('Margin Guidence Table'!$G$1:$G$10000&gt;=ROUND($BA$3,0)),0),MATCH("DEFAULT_MDA_MAX_MARGIN_GUIDENCE",'Margin Guidence Table'!$A$1:$AC$1,0))),0)</f>
        <v>0</v>
      </c>
      <c r="BQ19" s="1165">
        <f t="array" ref="BQ19">IFERROR(IF($BK19="SEGMENT",INDEX('Margin Guidence Table'!$A$1:$AC$10000,MATCH(1,('Margin Guidence Table'!$A$1:$A$10000=$BI19)*('Margin Guidence Table'!$H$1:$H$10000&lt;=ROUND($BA$3,0))*('Margin Guidence Table'!$G$1:$G$10000&gt;=ROUND($BA$3,0)),0),MATCH("PA_PCT_SALES",'Margin Guidence Table'!$A$1:$AC$1,0)),INDEX('Margin Guidence Table'!$A$1:$AC$10000,MATCH(1,('Margin Guidence Table'!$A$1:$A$10000=$BI19)*('Margin Guidence Table'!$H$1:$H$10000&lt;=ROUND($BA$3,0))*('Margin Guidence Table'!$G$1:$G$10000&gt;=ROUND($BA$3,0)),0),MATCH("DEFAULT_PA_PCT_SALES",'Margin Guidence Table'!$A$1:$AC$1,0))),0)</f>
        <v>0</v>
      </c>
      <c r="BR19" s="1165">
        <f t="array" ref="BR19">IFERROR(IF($BK19="SEGMENT",INDEX('Margin Guidence Table'!$A$1:$AC$10000,MATCH(1,('Margin Guidence Table'!$A$1:$A$10000=$BI19)*('Margin Guidence Table'!$H$1:$H$10000&lt;=ROUND($BA$3,0))*('Margin Guidence Table'!$G$1:$G$10000&gt;=ROUND($BA$3,0)),0),MATCH("SELF_FUND_PCT_SALES",'Margin Guidence Table'!$A$1:$AC$1,0)),INDEX('Margin Guidence Table'!$A$1:$AC$10000,MATCH(1,('Margin Guidence Table'!$A$1:$A$10000=$BI19)*('Margin Guidence Table'!$H$1:$H$10000&lt;=ROUND($BA$3,0))*('Margin Guidence Table'!$G$1:$G$10000&gt;=ROUND($BA$3,0)),0),MATCH("DEFAULT_SELF_FUND_PCT_SALES",'Margin Guidence Table'!$A$1:$AC$1,0))),0)</f>
        <v>0</v>
      </c>
      <c r="BS19" s="1165">
        <f t="array" ref="BS19">IFERROR(IF($BK19="SEGMENT",INDEX('Margin Guidence Table'!$A$1:$AC$10000,MATCH(1,('Margin Guidence Table'!$A$1:$A$10000=$BI19)*('Margin Guidence Table'!$H$1:$H$10000&lt;=ROUND($BA$3,0))*('Margin Guidence Table'!$G$1:$G$10000&gt;=ROUND($BA$3,0)),0),MATCH("CIA_MEDIAN_MARGIN_GUIDENCE",'Margin Guidence Table'!$A$1:$AC$1,0)),INDEX('Margin Guidence Table'!$A$1:$AC$10000,MATCH(1,('Margin Guidence Table'!$A$1:$A$10000=$BI19)*('Margin Guidence Table'!$H$1:$H$10000&lt;=ROUND($BA$3,0))*('Margin Guidence Table'!$G$1:$G$10000&gt;=ROUND($BA$3,0)),0),MATCH("DEFAULT_CIA_MEDIAN_MARGIN_GUIDENCE",'Margin Guidence Table'!$A$1:$AC$1,0))),0)</f>
        <v>0</v>
      </c>
      <c r="BT19" s="129"/>
      <c r="BU19" s="18">
        <f t="array" ref="BU19">IFERROR(IF($CG19="SEGMENT",INDEX('Margin Guidence Table'!$A$1:$AC$10000,MATCH(1,('Margin Guidence Table'!$A$1:$A$10000=$CE19)*('Margin Guidence Table'!$H$1:$H$10000&lt;=ROUND($BW$3,0))*('Margin Guidence Table'!$G$1:$G$10000&gt;=ROUND($BW$3,0)),0),MATCH("PCT_SALES",'Margin Guidence Table'!$A$1:$AC$1,0)),INDEX('Margin Guidence Table'!$A$1:$AC$10000,MATCH(1,('Margin Guidence Table'!$A$1:$A$10000=$CE19)*('Margin Guidence Table'!$H$1:$H$10000&lt;=ROUND($BW$3,0))*('Margin Guidence Table'!$G$1:$G$10000&gt;=ROUND($BW$3,0)),0),MATCH("DEFAULT_PCT_SALES",'Margin Guidence Table'!$A$1:$AC$1,0))),0)</f>
        <v>0</v>
      </c>
      <c r="BV19" s="102" t="s">
        <v>104</v>
      </c>
      <c r="BW19" s="94">
        <f>IFERROR(IF(AND($BW$2&lt;&gt;"Enter Spend&gt;&gt;&gt;",BX2="EXISTING"),SUMIFS('Existing Customers'!$Q:$Q,'Existing Customers'!$A:$A,$BW$1,'Existing Customers'!$H:$H,$BV19)*$BW$4,$BW$3*$BU19),0)</f>
        <v>0</v>
      </c>
      <c r="BX19" s="89">
        <f>IFERROR(IF(AND($BW$2&lt;&gt;"Enter Spend&gt;&gt;&gt;",BX2="EXISTING"),SUMIFS('Existing Customers'!$N:$N,'Existing Customers'!$A:$A,$BW$1,'Existing Customers'!$H:$H,$BV19)*$BW$4,$BW19/$CH19),0)</f>
        <v>0</v>
      </c>
      <c r="BY19" s="95">
        <f>IFERROR(IF(AND($BW$2&lt;&gt;"Enter Spend&gt;&gt;&gt;",BX2="EXISTING"),SUMIFS('Existing Customers'!$O:$O,'Existing Customers'!$H:$H,$BV19,'Existing Customers'!$A:$A,$BW$1)*$BW$4,$BX19*$BW$8),0)</f>
        <v>0</v>
      </c>
      <c r="BZ19" s="95">
        <f>IFERROR(IF(AND($BW$2&lt;&gt;"Enter Spend&gt;&gt;&gt;",BX2="EXISTING"),SUMIFS('Existing Customers'!$P:$P,'Existing Customers'!$A:$A,$BW$1,'Existing Customers'!$H:$H,$BV19)*$BW$4,$BW19/$CI19),0)</f>
        <v>0</v>
      </c>
      <c r="CA19" s="96">
        <f>IFERROR(IF(AND($BW$2&lt;&gt;"Enter Spend&gt;&gt;&gt;",BX2="EXISTING"),SUMIFS('Existing Customers'!$V:$V,'Existing Customers'!$H:$H,$BV19,'Existing Customers'!$A:$A,$BW$1)*$BW$4,0),0)</f>
        <v>0</v>
      </c>
      <c r="CB19" s="96">
        <f>IFERROR(IF(AND($BW$2&lt;&gt;"Enter Spend&gt;&gt;&gt;",BX2="EXISTING"),SUMIFS('Existing Customers'!$R:$R,'Existing Customers'!$H:$H,$BV19,'Existing Customers'!$A:$A,$BW$1)*$BW$4,0),0)</f>
        <v>0</v>
      </c>
      <c r="CC19" s="1161">
        <f>IFERROR(IF(AND($BW$2&lt;&gt;"Enter Spend&gt;&gt;&gt;",BX2="EXISTING"),SUMIFS('Existing Customers'!$S:$S,'Existing Customers'!$H:$H,$BV19,'Existing Customers'!$A:$A,$BW$1),CM19*BW19),0)</f>
        <v>0</v>
      </c>
      <c r="CD19" s="1161">
        <f>IFERROR(IF(AND($BW$2&lt;&gt;"Enter Spend&gt;&gt;&gt;",BX2="EXISTING"),SUMIFS('Existing Customers'!$U:$U,'Existing Customers'!$H:$H,$BV19,'Existing Customers'!$A:$A,$BW$1),CN19*BW19),0)</f>
        <v>0</v>
      </c>
      <c r="CE19" s="1164" t="e">
        <f t="shared" si="26"/>
        <v>#N/A</v>
      </c>
      <c r="CF19" s="1164">
        <f t="array" ref="CF19">IFERROR(INDEX('Margin Guidence Table'!$A$1:$AD$30000,MATCH(1,('Margin Guidence Table'!$A$1:$A$10000=$CE19)*('Margin Guidence Table'!$H$1:$H$10000&lt;=ROUND($BW$3,0))*('Margin Guidence Table'!$G$1:$G$10000&gt;=ROUND($BW$3,0)),0),MATCH("DATA_POINTS",'Margin Guidence Table'!$A$1:$AC$1,0)),0)</f>
        <v>0</v>
      </c>
      <c r="CG19" s="1161" t="str">
        <f t="shared" si="27"/>
        <v>DEFAULT</v>
      </c>
      <c r="CH19" s="1161">
        <f t="array" ref="CH19">IFERROR(IF($CG19="SEGMENT",INDEX('Margin Guidence Table'!$A$1:$AC$10000,MATCH(1,('Margin Guidence Table'!$A$1:$A$10000=$CE19)*('Margin Guidence Table'!$H$1:$H$10000&lt;=ROUND($BW$3,0))*('Margin Guidence Table'!$G$1:$G$10000&gt;=ROUND($BW$3,0)),0),MATCH("SALES_CASE",'Margin Guidence Table'!$A$1:$AC$1,0)),INDEX('Margin Guidence Table'!$A$1:$AC$10000,MATCH(1,('Margin Guidence Table'!$A$1:$A$10000=$CE19)*('Margin Guidence Table'!$H$1:$H$10000&lt;=ROUND($BW$3,0))*('Margin Guidence Table'!$G$1:$G$10000&gt;=ROUND($BW$3,0)),0),MATCH("DEFAULT_SALES_CASE",'Margin Guidence Table'!$A$1:$AC$1,0))),0)</f>
        <v>0</v>
      </c>
      <c r="CI19" s="1161">
        <f t="array" ref="CI19">IFERROR(IF($CG19="SEGMENT",INDEX('Margin Guidence Table'!$A$1:$AC$10000,MATCH(1,('Margin Guidence Table'!$A$1:$A$10000=$CE19)*('Margin Guidence Table'!$H$1:$H$10000&lt;=ROUND($BW$3,0))*('Margin Guidence Table'!$G$1:$G$10000&gt;=ROUND($BW$3,0)),0),MATCH("SALES_LBS",'Margin Guidence Table'!$A$1:$AC$1,0)),INDEX('Margin Guidence Table'!$A$1:$AC$10000,MATCH(1,('Margin Guidence Table'!$A$1:$A$10000=$CE19)*('Margin Guidence Table'!$H$1:$H$10000&lt;=ROUND($BW$3,0))*('Margin Guidence Table'!$G$1:$G$10000&gt;=ROUND($BW$3,0)),0),MATCH("DEFAULT_SALES_LBS",'Margin Guidence Table'!$A$1:$AC$1,0))),0)</f>
        <v>0</v>
      </c>
      <c r="CJ19" s="1165">
        <f t="array" ref="CJ19">IFERROR(IF($CG19="SEGMENT",INDEX('Margin Guidence Table'!$A$1:$AC$10000,MATCH(1,('Margin Guidence Table'!$A$1:$A$10000=$CE19)*('Margin Guidence Table'!$H$1:$H$10000&lt;=ROUND($BW$3,0))*('Margin Guidence Table'!$G$1:$G$10000&gt;=ROUND($BW$3,0)),0),MATCH("MDA_MIN_MARGIN_GUIDENCE",'Margin Guidence Table'!$A$1:$AC$1,0)),INDEX('Margin Guidence Table'!$A$1:$AC$10000,MATCH(1,('Margin Guidence Table'!$A$1:$A$10000=$CE19)*('Margin Guidence Table'!$H$1:$H$10000&lt;=ROUND($BW$3,0))*('Margin Guidence Table'!$G$1:$G$10000&gt;=ROUND($BW$3,0)),0),MATCH("DEFAULT_MDA_MIN_MARGIN_GUIDENCE",'Margin Guidence Table'!$A$1:$AC$1,0))),0)</f>
        <v>0</v>
      </c>
      <c r="CK19" s="1165">
        <f t="array" ref="CK19">IFERROR(IF($CG19="SEGMENT",INDEX('Margin Guidence Table'!$A$1:$AC$10000,MATCH(1,('Margin Guidence Table'!$A$1:$A$10000=$CE19)*('Margin Guidence Table'!$H$1:$H$10000&lt;=ROUND($BW$3,0))*('Margin Guidence Table'!$G$1:$G$10000&gt;=ROUND($BW$3,0)),0),MATCH("MDA_MEDIAN_MARGIN_GUIDENCE",'Margin Guidence Table'!$A$1:$AC$1,0)),INDEX('Margin Guidence Table'!$A$1:$AC$10000,MATCH(1,('Margin Guidence Table'!$A$1:$A$10000=$CE19)*('Margin Guidence Table'!$H$1:$H$10000&lt;=ROUND($BW$3,0))*('Margin Guidence Table'!$G$1:$G$10000&gt;=ROUND($BW$3,0)),0),MATCH("DEFAULT_MDA_MEDIAN_MARGIN_GUIDENCE",'Margin Guidence Table'!$A$1:$AC$1,0))),0)</f>
        <v>0</v>
      </c>
      <c r="CL19" s="1165">
        <f t="array" ref="CL19">IFERROR(IF($CG19="SEGMENT",INDEX('Margin Guidence Table'!$A$1:$AC$10000,MATCH(1,('Margin Guidence Table'!$A$1:$A$10000=$CE19)*('Margin Guidence Table'!$H$1:$H$10000&lt;=ROUND($BW$3,0))*('Margin Guidence Table'!$G$1:$G$10000&gt;=ROUND($BW$3,0)),0),MATCH("MDA_MAX_MARGIN_GUIDENCE",'Margin Guidence Table'!$A$1:$AC$1,0)),INDEX('Margin Guidence Table'!$A$1:$AC$10000,MATCH(1,('Margin Guidence Table'!$A$1:$A$10000=$CE19)*('Margin Guidence Table'!$H$1:$H$10000&lt;=ROUND($BW$3,0))*('Margin Guidence Table'!$G$1:$G$10000&gt;=ROUND($BW$3,0)),0),MATCH("DEFAULT_MDA_MAX_MARGIN_GUIDENCE",'Margin Guidence Table'!$A$1:$AC$1,0))),0)</f>
        <v>0</v>
      </c>
      <c r="CM19" s="1165">
        <f t="array" ref="CM19">IFERROR(IF($CG19="SEGMENT",INDEX('Margin Guidence Table'!$A$1:$AC$10000,MATCH(1,('Margin Guidence Table'!$A$1:$A$10000=$CE19)*('Margin Guidence Table'!$H$1:$H$10000&lt;=ROUND($BW$3,0))*('Margin Guidence Table'!$G$1:$G$10000&gt;=ROUND($BW$3,0)),0),MATCH("PA_PCT_SALES",'Margin Guidence Table'!$A$1:$AC$1,0)),INDEX('Margin Guidence Table'!$A$1:$AC$10000,MATCH(1,('Margin Guidence Table'!$A$1:$A$10000=$CE19)*('Margin Guidence Table'!$H$1:$H$10000&lt;=ROUND($BW$3,0))*('Margin Guidence Table'!$G$1:$G$10000&gt;=ROUND($BW$3,0)),0),MATCH("DEFAULT_PA_PCT_SALES",'Margin Guidence Table'!$A$1:$AC$1,0))),0)</f>
        <v>0</v>
      </c>
      <c r="CN19" s="1165">
        <f t="array" ref="CN19">IFERROR(IF($CG19="SEGMENT",INDEX('Margin Guidence Table'!$A$1:$AC$10000,MATCH(1,('Margin Guidence Table'!$A$1:$A$10000=$CE19)*('Margin Guidence Table'!$H$1:$H$10000&lt;=ROUND($BW$3,0))*('Margin Guidence Table'!$G$1:$G$10000&gt;=ROUND($BW$3,0)),0),MATCH("SELF_FUND_PCT_SALES",'Margin Guidence Table'!$A$1:$AC$1,0)),INDEX('Margin Guidence Table'!$A$1:$AC$10000,MATCH(1,('Margin Guidence Table'!$A$1:$A$10000=$CE19)*('Margin Guidence Table'!$H$1:$H$10000&lt;=ROUND($BW$3,0))*('Margin Guidence Table'!$G$1:$G$10000&gt;=ROUND($BW$3,0)),0),MATCH("DEFAULT_SELF_FUND_PCT_SALES",'Margin Guidence Table'!$A$1:$AC$1,0))),0)</f>
        <v>0</v>
      </c>
      <c r="CO19" s="1165">
        <f t="array" ref="CO19">IFERROR(IF($CG19="SEGMENT",INDEX('Margin Guidence Table'!$A$1:$AC$10000,MATCH(1,('Margin Guidence Table'!$A$1:$A$10000=$CE19)*('Margin Guidence Table'!$H$1:$H$10000&lt;=ROUND($BW$3,0))*('Margin Guidence Table'!$G$1:$G$10000&gt;=ROUND($BW$3,0)),0),MATCH("CIA_MEDIAN_MARGIN_GUIDENCE",'Margin Guidence Table'!$A$1:$AC$1,0)),INDEX('Margin Guidence Table'!$A$1:$AC$10000,MATCH(1,('Margin Guidence Table'!$A$1:$A$10000=$CE19)*('Margin Guidence Table'!$H$1:$H$10000&lt;=ROUND($BW$3,0))*('Margin Guidence Table'!$G$1:$G$10000&gt;=ROUND($BW$3,0)),0),MATCH("DEFAULT_CIA_MEDIAN_MARGIN_GUIDENCE",'Margin Guidence Table'!$A$1:$AC$1,0))),0)</f>
        <v>0</v>
      </c>
      <c r="CP19" s="129"/>
      <c r="CQ19" s="18">
        <f t="array" ref="CQ19">IFERROR(IF($DC19="SEGMENT",INDEX('Margin Guidence Table'!$A$1:$AC$10000,MATCH(1,('Margin Guidence Table'!$A$1:$A$10000=$DA19)*('Margin Guidence Table'!$H$1:$H$10000&lt;=ROUND($CS$3,0))*('Margin Guidence Table'!$G$1:$G$10000&gt;=ROUND($CS$3,0)),0),MATCH("PCT_SALES",'Margin Guidence Table'!$A$1:$AC$1,0)),INDEX('Margin Guidence Table'!$A$1:$AC$10000,MATCH(1,('Margin Guidence Table'!$A$1:$A$10000=$DA19)*('Margin Guidence Table'!$H$1:$H$10000&lt;=ROUND($CS$3,0))*('Margin Guidence Table'!$G$1:$G$10000&gt;=ROUND($CS$3,0)),0),MATCH("DEFAULT_PCT_SALES",'Margin Guidence Table'!$A$1:$AC$1,0))),0)</f>
        <v>0</v>
      </c>
      <c r="CR19" s="102" t="s">
        <v>104</v>
      </c>
      <c r="CS19" s="94">
        <f>IFERROR(IF(AND($CS$2&lt;&gt;"Enter Spend&gt;&gt;&gt;",CT2="EXISTING"),SUMIFS('Existing Customers'!$Q:$Q,'Existing Customers'!$A:$A,$CS$1,'Existing Customers'!$H:$H,$CR19)*$CS$4,$CS$3*$CQ19),0)</f>
        <v>0</v>
      </c>
      <c r="CT19" s="89">
        <f>IFERROR(IF(AND($CS$2&lt;&gt;"Enter Spend&gt;&gt;&gt;",CT2="EXISTING"),SUMIFS('Existing Customers'!$N:$N,'Existing Customers'!$A:$A,$CS$1,'Existing Customers'!$H:$H,$CR19)*$CS$4,$CS19/$DD19),0)</f>
        <v>0</v>
      </c>
      <c r="CU19" s="95">
        <f>IFERROR(IF(AND($CS$2&lt;&gt;"Enter Spend&gt;&gt;&gt;",BB28="EXISTING"),SUMIFS('Existing Customers'!$O:$O,'Existing Customers'!$H:$H,$CR19,'Existing Customers'!$A:$A,$CS$1)*$CS$4,$CT19*$CS$8),0)</f>
        <v>0</v>
      </c>
      <c r="CV19" s="95">
        <f>IFERROR(IF(AND($CS$2&lt;&gt;"Enter Spend&gt;&gt;&gt;",CT2="EXISTING"),SUMIFS('Existing Customers'!$P:$P,'Existing Customers'!$A:$A,$CS$1,'Existing Customers'!$H:$H,$CR19)*$CS$4,$CS19/$DE19),0)</f>
        <v>0</v>
      </c>
      <c r="CW19" s="96">
        <f>IFERROR(IF(AND($CS$2&lt;&gt;"Enter Spend&gt;&gt;&gt;",CT2="EXISTING"),SUMIFS('Existing Customers'!$V:$V,'Existing Customers'!$H:$H,$CR19,'Existing Customers'!$A:$A,$CS$1)*$CS$4,0),0)</f>
        <v>0</v>
      </c>
      <c r="CX19" s="96">
        <f>IFERROR(IF(AND($CS$2&lt;&gt;"Enter Spend&gt;&gt;&gt;",CT2="EXISTING"),SUMIFS('Existing Customers'!$R:$R,'Existing Customers'!$H:$H,$AZ19,'Existing Customers'!$A:$A,$CS$1)*$CS$4,0),0)</f>
        <v>0</v>
      </c>
      <c r="CY19" s="1161">
        <f>IFERROR(IF(AND($CS$2&lt;&gt;"Enter Spend&gt;&gt;&gt;",CT2="EXISTING"),SUMIFS('Existing Customers'!$S:$S,'Existing Customers'!$H:$H,$CR19,'Existing Customers'!$A:$A,$CS$1),DI19*CS19),0)</f>
        <v>0</v>
      </c>
      <c r="CZ19" s="1161">
        <f>IFERROR(IF(AND($CS$2&lt;&gt;"Enter Spend&gt;&gt;&gt;",CT2="EXISTING"),SUMIFS('Existing Customers'!$U:$U,'Existing Customers'!$H:$H,$CR19,'Existing Customers'!$A:$A,$CS$1),DJ19*CS19),0)</f>
        <v>0</v>
      </c>
      <c r="DA19" s="1164" t="e">
        <f t="shared" si="28"/>
        <v>#N/A</v>
      </c>
      <c r="DB19" s="1164">
        <f t="array" ref="DB19">IFERROR(INDEX('Margin Guidence Table'!$A$1:$AD$30000,MATCH(1,('Margin Guidence Table'!$A$1:$A$10000=DA19)*('Margin Guidence Table'!$H$1:$H$10000&lt;=ROUND($CS$3,0))*('Margin Guidence Table'!$G$1:$G$10000&gt;=ROUND($CS$3,0)),0),MATCH("DATA_POINTS",'Margin Guidence Table'!$A$1:$AC$1,0)),0)</f>
        <v>0</v>
      </c>
      <c r="DC19" s="1161" t="str">
        <f t="shared" si="29"/>
        <v>DEFAULT</v>
      </c>
      <c r="DD19" s="1161">
        <f t="array" ref="DD19">IFERROR(IF($DC19="SEGMENT",INDEX('Margin Guidence Table'!$A$1:$AC$10000,MATCH(1,('Margin Guidence Table'!$A$1:$A$10000=DA19)*('Margin Guidence Table'!$H$1:$H$10000&lt;=ROUND($CS$3,0))*('Margin Guidence Table'!$G$1:$G$10000&gt;=ROUND($CS$3,0)),0),MATCH("SALES_CASE",'Margin Guidence Table'!$A$1:$AC$1,0)),INDEX('Margin Guidence Table'!$A$1:$AC$10000,MATCH(1,('Margin Guidence Table'!$A$1:$A$10000=DA19)*('Margin Guidence Table'!$H$1:$H$10000&lt;=ROUND($CS$3,0))*('Margin Guidence Table'!$G$1:$G$10000&gt;=ROUND($CS$3,0)),0),MATCH("DEFAULT_SALES_CASE",'Margin Guidence Table'!$A$1:$AC$1,0))),0)</f>
        <v>0</v>
      </c>
      <c r="DE19" s="1161">
        <f t="array" ref="DE19">IFERROR(IF($DC19="SEGMENT",INDEX('Margin Guidence Table'!$A$1:$AC$10000,MATCH(1,('Margin Guidence Table'!$A$1:$A$10000=DA19)*('Margin Guidence Table'!$H$1:$H$10000&lt;=ROUND($CS$3,0))*('Margin Guidence Table'!$G$1:$G$10000&gt;=ROUND($CS$3,0)),0),MATCH("SALES_LBS",'Margin Guidence Table'!$A$1:$AC$1,0)),INDEX('Margin Guidence Table'!$A$1:$AC$10000,MATCH(1,('Margin Guidence Table'!$A$1:$A$10000=DA19)*('Margin Guidence Table'!$H$1:$H$10000&lt;=ROUND($CS$3,0))*('Margin Guidence Table'!$G$1:$G$10000&gt;=ROUND($CS$3,0)),0),MATCH("DEFAULT_SALES_LBS",'Margin Guidence Table'!$A$1:$AC$1,0))),0)</f>
        <v>0</v>
      </c>
      <c r="DF19" s="1165">
        <f t="array" ref="DF19">IFERROR(IF($DC19="SEGMENT",INDEX('Margin Guidence Table'!$A$1:$AC$10000,MATCH(1,('Margin Guidence Table'!$A$1:$A$10000=DA19)*('Margin Guidence Table'!$H$1:$H$10000&lt;=ROUND($CS$3,0))*('Margin Guidence Table'!$G$1:$G$10000&gt;=ROUND($CS$3,0)),0),MATCH("MDA_MIN_MARGIN_GUIDENCE",'Margin Guidence Table'!$A$1:$AC$1,0)),INDEX('Margin Guidence Table'!$A$1:$AC$10000,MATCH(1,('Margin Guidence Table'!$A$1:$A$10000=DA19)*('Margin Guidence Table'!$H$1:$H$10000&lt;=ROUND($CS$3,0))*('Margin Guidence Table'!$G$1:$G$10000&gt;=ROUND($CS$3,0)),0),MATCH("DEFAULT_MDA_MIN_MARGIN_GUIDENCE",'Margin Guidence Table'!$A$1:$AC$1,0))),0)</f>
        <v>0</v>
      </c>
      <c r="DG19" s="1165">
        <f t="array" ref="DG19">IFERROR(IF($DC19="SEGMENT",INDEX('Margin Guidence Table'!$A$1:$AC$10000,MATCH(1,('Margin Guidence Table'!$A$1:$A$10000=DA19)*('Margin Guidence Table'!$H$1:$H$10000&lt;=ROUND($CS$3,0))*('Margin Guidence Table'!$G$1:$G$10000&gt;=ROUND($CS$3,0)),0),MATCH("MDA_MEDIAN_MARGIN_GUIDENCE",'Margin Guidence Table'!$A$1:$AC$1,0)),INDEX('Margin Guidence Table'!$A$1:$AC$10000,MATCH(1,('Margin Guidence Table'!$A$1:$A$10000=DA19)*('Margin Guidence Table'!$H$1:$H$10000&lt;=ROUND($CS$3,0))*('Margin Guidence Table'!$G$1:$G$10000&gt;=ROUND($CS$3,0)),0),MATCH("DEFAULT_MDA_MEDIAN_MARGIN_GUIDENCE",'Margin Guidence Table'!$A$1:$AC$1,0))),0)</f>
        <v>0</v>
      </c>
      <c r="DH19" s="1165">
        <f t="array" ref="DH19">IFERROR(IF($DC19="SEGMENT",INDEX('Margin Guidence Table'!$A$1:$AC$10000,MATCH(1,('Margin Guidence Table'!$A$1:$A$10000=DA19)*('Margin Guidence Table'!$H$1:$H$10000&lt;=ROUND($CS$3,0))*('Margin Guidence Table'!$G$1:$G$10000&gt;=ROUND($CS$3,0)),0),MATCH("MDA_MAX_MARGIN_GUIDENCE",'Margin Guidence Table'!$A$1:$AC$1,0)),INDEX('Margin Guidence Table'!$A$1:$AC$10000,MATCH(1,('Margin Guidence Table'!$A$1:$A$10000=DA19)*('Margin Guidence Table'!$H$1:$H$10000&lt;=ROUND($CS$3,0))*('Margin Guidence Table'!$G$1:$G$10000&gt;=ROUND($CS$3,0)),0),MATCH("DEFAULT_MDA_MAX_MARGIN_GUIDENCE",'Margin Guidence Table'!$A$1:$AC$1,0))),0)</f>
        <v>0</v>
      </c>
      <c r="DI19" s="1165">
        <f t="array" ref="DI19">IFERROR(IF($DC19="SEGMENT",INDEX('Margin Guidence Table'!$A$1:$AC$10000,MATCH(1,('Margin Guidence Table'!$A$1:$A$10000=DA19)*('Margin Guidence Table'!$H$1:$H$10000&lt;=ROUND($CS$3,0))*('Margin Guidence Table'!$G$1:$G$10000&gt;=ROUND($CS$3,0)),0),MATCH("PA_PCT_SALES",'Margin Guidence Table'!$A$1:$AC$1,0)),INDEX('Margin Guidence Table'!$A$1:$AC$10000,MATCH(1,('Margin Guidence Table'!$A$1:$A$10000=DA19)*('Margin Guidence Table'!$H$1:$H$10000&lt;=ROUND($CS$3,0))*('Margin Guidence Table'!$G$1:$G$10000&gt;=ROUND($CS$3,0)),0),MATCH("DEFAULT_PA_PCT_SALES",'Margin Guidence Table'!$A$1:$AC$1,0))),0)</f>
        <v>0</v>
      </c>
      <c r="DJ19" s="1165">
        <f t="array" ref="DJ19">IFERROR(IF($DC19="SEGMENT",INDEX('Margin Guidence Table'!$A$1:$AC$10000,MATCH(1,('Margin Guidence Table'!$A$1:$A$10000=DA19)*('Margin Guidence Table'!$H$1:$H$10000&lt;=ROUND($CS$3,0))*('Margin Guidence Table'!$G$1:$G$10000&gt;=ROUND($CS$3,0)),0),MATCH("SELF_FUND_PCT_SALES",'Margin Guidence Table'!$A$1:$AC$1,0)),INDEX('Margin Guidence Table'!$A$1:$AC$10000,MATCH(1,('Margin Guidence Table'!$A$1:$A$10000=DA19)*('Margin Guidence Table'!$H$1:$H$10000&lt;=ROUND($CS$3,0))*('Margin Guidence Table'!$G$1:$G$10000&gt;=ROUND($CS$3,0)),0),MATCH("DEFAULT_SELF_FUND_PCT_SALES",'Margin Guidence Table'!$A$1:$AC$1,0))),0)</f>
        <v>0</v>
      </c>
      <c r="DK19" s="1165">
        <f t="array" ref="DK19">IFERROR(IF($DC19="SEGMENT",INDEX('Margin Guidence Table'!$A$1:$AC$10000,MATCH(1,('Margin Guidence Table'!$A$1:$A$10000=DA19)*('Margin Guidence Table'!$H$1:$H$10000&lt;=ROUND($CS$3,0))*('Margin Guidence Table'!$G$1:$G$10000&gt;=ROUND($CS$3,0)),0),MATCH("CIA_MEDIAN_MARGIN_GUIDENCE",'Margin Guidence Table'!$A$1:$AC$1,0)),INDEX('Margin Guidence Table'!$A$1:$AC$10000,MATCH(1,('Margin Guidence Table'!$A$1:$A$10000=DA19)*('Margin Guidence Table'!$H$1:$H$10000&lt;=ROUND($CS$3,0))*('Margin Guidence Table'!$G$1:$G$10000&gt;=ROUND($CS$3,0)),0),MATCH("DEFAULT_CIA_MEDIAN_MARGIN_GUIDENCE",'Margin Guidence Table'!$A$1:$AC$1,0))),0)</f>
        <v>0</v>
      </c>
      <c r="DL19" s="129"/>
      <c r="DM19" s="18">
        <f t="array" ref="DM19">IFERROR(IF($DY19="SEGMENT",INDEX('Margin Guidence Table'!$A$1:$AC$10000,MATCH(1,('Margin Guidence Table'!$A$1:$A$10000=$DW19)*('Margin Guidence Table'!$H$1:$H$10000&lt;=ROUND($DO$3,0))*('Margin Guidence Table'!$G$1:$G$10000&gt;=ROUND($DO$3,0)),0),MATCH("PCT_SALES",'Margin Guidence Table'!$A$1:$AC$1,0)),INDEX('Margin Guidence Table'!$A$1:$AC$10000,MATCH(1,('Margin Guidence Table'!$A$1:$A$10000=$DW19)*('Margin Guidence Table'!$H$1:$H$10000&lt;=ROUND($DO$3,0))*('Margin Guidence Table'!$G$1:$G$10000&gt;=ROUND($DO$3,0)),0),MATCH("DEFAULT_PCT_SALES",'Margin Guidence Table'!$A$1:$AC$1,0))),0)</f>
        <v>0</v>
      </c>
      <c r="DN19" s="102" t="s">
        <v>104</v>
      </c>
      <c r="DO19" s="94">
        <f>IFERROR(IF(AND($DO$2&lt;&gt;"Enter Spend&gt;&gt;&gt;",DP2="EXISTING"),SUMIFS('Existing Customers'!$Q:$Q,'Existing Customers'!$A:$A,$DO$1,'Existing Customers'!$H:$H,$DN19)*$DO$4,$DO$3*$DM19),0)</f>
        <v>0</v>
      </c>
      <c r="DP19" s="89">
        <f>IFERROR(IF(AND($DO$2&lt;&gt;"Enter Spend&gt;&gt;&gt;",DP2="EXISTING"),SUMIFS('Existing Customers'!$N:$N,'Existing Customers'!$A:$A,$DO$1,'Existing Customers'!$H:$H,$DN19)*$DO$4,$DO19/$DZ19),0)</f>
        <v>0</v>
      </c>
      <c r="DQ19" s="95">
        <f>IFERROR(IF(AND($DO$2&lt;&gt;"Enter Spend&gt;&gt;&gt;",DP2="EXISTING"),SUMIFS('Existing Customers'!$O:$O,'Existing Customers'!$H:$H,$DN19,'Existing Customers'!$A:$A,$DO$1)*$DO$4,$DP19*$DO$8),0)</f>
        <v>0</v>
      </c>
      <c r="DR19" s="95">
        <f>IFERROR(IF(AND($DO$2&lt;&gt;"Enter Spend&gt;&gt;&gt;",DP2="EXISTING"),SUMIFS('Existing Customers'!$P:$P,'Existing Customers'!$A:$A,$DO$1,'Existing Customers'!$H:$H,$DN19)*$DO$4,$DO19/$EA19),0)</f>
        <v>0</v>
      </c>
      <c r="DS19" s="96">
        <f>IFERROR(IF(AND($DO$2&lt;&gt;"Enter Spend&gt;&gt;&gt;",EL2="EXISTING"),SUMIFS('Existing Customers'!$V:$V,'Existing Customers'!$H:$H,$DN19,'Existing Customers'!$A:$A,$DO$1)*$DO$4,0),0)</f>
        <v>0</v>
      </c>
      <c r="DT19" s="96">
        <f>IFERROR(IF(AND($DO$2&lt;&gt;"Enter Spend&gt;&gt;&gt;",DP2="EXISTING"),SUMIFS('Existing Customers'!$R:$R,'Existing Customers'!$H:$H,$DN19,'Existing Customers'!$A:$A,$DO$1)*$DO$4,0),0)</f>
        <v>0</v>
      </c>
      <c r="DU19" s="1161">
        <f>IFERROR(IF(AND($DO$2&lt;&gt;"Enter Spend&gt;&gt;&gt;",DP2="EXISTING"),SUMIFS('Existing Customers'!$S:$S,'Existing Customers'!$H:$H,$DP19,'Existing Customers'!$A:$A,$DO$1),EE19*DO19),0)</f>
        <v>0</v>
      </c>
      <c r="DV19" s="1161">
        <f>IFERROR(IF(AND($DO$2&lt;&gt;"Enter Spend&gt;&gt;&gt;",DP2="EXISTING"),SUMIFS('Existing Customers'!$U:$U,'Existing Customers'!$H:$H,$DN19,'Existing Customers'!$A:$A,$DO$1),EF19*DO19),0)</f>
        <v>0</v>
      </c>
      <c r="DW19" s="1164" t="e">
        <f t="shared" si="30"/>
        <v>#N/A</v>
      </c>
      <c r="DX19" s="1164">
        <f t="array" ref="DX19">IFERROR(INDEX('Margin Guidence Table'!$A$1:$AD$30000,MATCH(1,('Margin Guidence Table'!$A$1:$A$10000=DW19)*('Margin Guidence Table'!$H$1:$H$10000&lt;=ROUND($DO$3,0))*('Margin Guidence Table'!$G$1:$G$10000&gt;=ROUND($DO$3,0)),0),MATCH("DATA_POINTS",'Margin Guidence Table'!$A$1:$AC$1,0)),0)</f>
        <v>0</v>
      </c>
      <c r="DY19" s="1161" t="str">
        <f t="shared" si="31"/>
        <v>DEFAULT</v>
      </c>
      <c r="DZ19" s="1161">
        <f t="array" ref="DZ19">IFERROR(IF($DY19="SEGMENT",INDEX('Margin Guidence Table'!$A$1:$AC$10000,MATCH(1,('Margin Guidence Table'!$A$1:$A$10000=DW19)*('Margin Guidence Table'!$H$1:$H$10000&lt;=ROUND($DO$3,0))*('Margin Guidence Table'!$G$1:$G$10000&gt;=ROUND($DO$3,0)),0),MATCH("SALES_CASE",'Margin Guidence Table'!$A$1:$AC$1,0)),INDEX('Margin Guidence Table'!$A$1:$AC$10000,MATCH(1,('Margin Guidence Table'!$A$1:$A$10000=DW19)*('Margin Guidence Table'!$H$1:$H$10000&lt;=ROUND($DO$3,0))*('Margin Guidence Table'!$G$1:$G$10000&gt;=ROUND($DO$3,0)),0),MATCH("DEFAULT_SALES_CASE",'Margin Guidence Table'!$A$1:$AC$1,0))),0)</f>
        <v>0</v>
      </c>
      <c r="EA19" s="1161">
        <f t="array" ref="EA19">IFERROR(IF($DY19="SEGMENT",INDEX('Margin Guidence Table'!$A$1:$AC$10000,MATCH(1,('Margin Guidence Table'!$A$1:$A$10000=DW19)*('Margin Guidence Table'!$H$1:$H$10000&lt;=ROUND($DO$3,0))*('Margin Guidence Table'!$G$1:$G$10000&gt;=ROUND($DO$3,0)),0),MATCH("SALES_LBS",'Margin Guidence Table'!$A$1:$AC$1,0)),INDEX('Margin Guidence Table'!$A$1:$AC$10000,MATCH(1,('Margin Guidence Table'!$A$1:$A$10000=DW19)*('Margin Guidence Table'!$H$1:$H$10000&lt;=ROUND($DO$3,0))*('Margin Guidence Table'!$G$1:$G$10000&gt;=ROUND($DO$3,0)),0),MATCH("DEFAULT_SALES_LBS",'Margin Guidence Table'!$A$1:$AC$1,0))),0)</f>
        <v>0</v>
      </c>
      <c r="EB19" s="1165">
        <f t="array" ref="EB19">IFERROR(IF($DY19="SEGMENT",INDEX('Margin Guidence Table'!$A$1:$AC$10000,MATCH(1,('Margin Guidence Table'!$A$1:$A$10000=DW19)*('Margin Guidence Table'!$H$1:$H$10000&lt;=ROUND($DO$3,0))*('Margin Guidence Table'!$G$1:$G$10000&gt;=ROUND($DO$3,0)),0),MATCH("MDA_MIN_MARGIN_GUIDENCE",'Margin Guidence Table'!$A$1:$AC$1,0)),INDEX('Margin Guidence Table'!$A$1:$AC$10000,MATCH(1,('Margin Guidence Table'!$A$1:$A$10000=DW19)*('Margin Guidence Table'!$H$1:$H$10000&lt;=ROUND($DO$3,0))*('Margin Guidence Table'!$G$1:$G$10000&gt;=ROUND($DO$3,0)),0),MATCH("DEFAULT_MDA_MIN_MARGIN_GUIDENCE",'Margin Guidence Table'!$A$1:$AC$1,0))),0)</f>
        <v>0</v>
      </c>
      <c r="EC19" s="1165">
        <f t="array" ref="EC19">IFERROR(IF($DY19="SEGMENT",INDEX('Margin Guidence Table'!$A$1:$AC$10000,MATCH(1,('Margin Guidence Table'!$A$1:$A$10000=DW19)*('Margin Guidence Table'!$H$1:$H$10000&lt;=ROUND($DO$3,0))*('Margin Guidence Table'!$G$1:$G$10000&gt;=ROUND($DO$3,0)),0),MATCH("MDA_MEDIAN_MARGIN_GUIDENCE",'Margin Guidence Table'!$A$1:$AC$1,0)),INDEX('Margin Guidence Table'!$A$1:$AC$10000,MATCH(1,('Margin Guidence Table'!$A$1:$A$10000=DW19)*('Margin Guidence Table'!$H$1:$H$10000&lt;=ROUND($DO$3,0))*('Margin Guidence Table'!$G$1:$G$10000&gt;=ROUND($DO$3,0)),0),MATCH("DEFAULT_MDA_MEDIAN_MARGIN_GUIDENCE",'Margin Guidence Table'!$A$1:$AC$1,0))),0)</f>
        <v>0</v>
      </c>
      <c r="ED19" s="1165">
        <f t="array" ref="ED19">IFERROR(IF($DY19="SEGMENT",INDEX('Margin Guidence Table'!$A$1:$AC$10000,MATCH(1,('Margin Guidence Table'!$A$1:$A$10000=DW19)*('Margin Guidence Table'!$H$1:$H$10000&lt;=ROUND($DO$3,0))*('Margin Guidence Table'!$G$1:$G$10000&gt;=ROUND($DO$3,0)),0),MATCH("MDA_MAX_MARGIN_GUIDENCE",'Margin Guidence Table'!$A$1:$AC$1,0)),INDEX('Margin Guidence Table'!$A$1:$AC$10000,MATCH(1,('Margin Guidence Table'!$A$1:$A$10000=DW19)*('Margin Guidence Table'!$H$1:$H$10000&lt;=ROUND($DO$3,0))*('Margin Guidence Table'!$G$1:$G$10000&gt;=ROUND($DO$3,0)),0),MATCH("DEFAULT_MDA_MAX_MARGIN_GUIDENCE",'Margin Guidence Table'!$A$1:$AC$1,0))),0)</f>
        <v>0</v>
      </c>
      <c r="EE19" s="1165">
        <f t="array" ref="EE19">IFERROR(IF($DY19="SEGMENT",INDEX('Margin Guidence Table'!$A$1:$AC$10000,MATCH(1,('Margin Guidence Table'!$A$1:$A$10000=DW19)*('Margin Guidence Table'!$H$1:$H$10000&lt;=ROUND($DO$3,0))*('Margin Guidence Table'!$G$1:$G$10000&gt;=ROUND($DO$3,0)),0),MATCH("PA_PCT_SALES",'Margin Guidence Table'!$A$1:$AC$1,0)),INDEX('Margin Guidence Table'!$A$1:$AC$10000,MATCH(1,('Margin Guidence Table'!$A$1:$A$10000=DW19)*('Margin Guidence Table'!$H$1:$H$10000&lt;=ROUND($DO$3,0))*('Margin Guidence Table'!$G$1:$G$10000&gt;=ROUND($DO$3,0)),0),MATCH("DEFAULT_PA_PCT_SALES",'Margin Guidence Table'!$A$1:$AC$1,0))),0)</f>
        <v>0</v>
      </c>
      <c r="EF19" s="1165">
        <f t="array" ref="EF19">IFERROR(IF($DY19="SEGMENT",INDEX('Margin Guidence Table'!$A$1:$AC$10000,MATCH(1,('Margin Guidence Table'!$A$1:$A$10000=DW19)*('Margin Guidence Table'!$H$1:$H$10000&lt;=ROUND($DO$3,0))*('Margin Guidence Table'!$G$1:$G$10000&gt;=ROUND($DO$3,0)),0),MATCH("SELF_FUND_PCT_SALES",'Margin Guidence Table'!$A$1:$AC$1,0)),INDEX('Margin Guidence Table'!$A$1:$AC$10000,MATCH(1,('Margin Guidence Table'!$A$1:$A$10000=DW19)*('Margin Guidence Table'!$H$1:$H$10000&lt;=ROUND($DO$3,0))*('Margin Guidence Table'!$G$1:$G$10000&gt;=ROUND($DO$3,0)),0),MATCH("DEFAULT_SELF_FUND_PCT_SALES",'Margin Guidence Table'!$A$1:$AC$1,0))),0)</f>
        <v>0</v>
      </c>
      <c r="EG19" s="1165">
        <f t="array" ref="EG19">IFERROR(IF($DY19="SEGMENT",INDEX('Margin Guidence Table'!$A$1:$AC$10000,MATCH(1,('Margin Guidence Table'!$A$1:$A$10000=DW19)*('Margin Guidence Table'!$H$1:$H$10000&lt;=ROUND($DO$3,0))*('Margin Guidence Table'!$G$1:$G$10000&gt;=ROUND($DO$3,0)),0),MATCH("CIA_MEDIAN_MARGIN_GUIDENCE",'Margin Guidence Table'!$A$1:$AC$1,0)),INDEX('Margin Guidence Table'!$A$1:$AC$10000,MATCH(1,('Margin Guidence Table'!$A$1:$A$10000=DW19)*('Margin Guidence Table'!$H$1:$H$10000&lt;=ROUND($DO$3,0))*('Margin Guidence Table'!$G$1:$G$10000&gt;=ROUND($DO$3,0)),0),MATCH("DEFAULT_CIA_MEDIAN_MARGIN_GUIDENCE",'Margin Guidence Table'!$A$1:$AC$1,0))),0)</f>
        <v>0</v>
      </c>
      <c r="EH19" s="129"/>
      <c r="EI19" s="18">
        <f t="array" ref="EI19">IFERROR(IF($EU19="SEGMENT",INDEX('Margin Guidence Table'!$A$1:$AC$10000,MATCH(1,('Margin Guidence Table'!$A$1:$A$10000=$ES19)*('Margin Guidence Table'!$H$1:$H$10000&lt;=ROUND($EK$3,0))*('Margin Guidence Table'!$G$1:$G$10000&gt;=ROUND($EK$3,0)),0),MATCH("PCT_SALES",'Margin Guidence Table'!$A$1:$AC$1,0)),INDEX('Margin Guidence Table'!$A$1:$AC$10000,MATCH(1,('Margin Guidence Table'!$A$1:$A$10000=$ES19)*('Margin Guidence Table'!$H$1:$H$10000&lt;=ROUND($EK$3,0))*('Margin Guidence Table'!$G$1:$G$10000&gt;=ROUND($EK$3,0)),0),MATCH("DEFAULT_PCT_SALES",'Margin Guidence Table'!$A$1:$AC$1,0))),0)</f>
        <v>0</v>
      </c>
      <c r="EJ19" s="102" t="s">
        <v>104</v>
      </c>
      <c r="EK19" s="94">
        <f>IFERROR(IF(AND($EK$2&lt;&gt;"Enter Spend&gt;&gt;&gt;",EL2="EXISTING"),SUMIFS('Existing Customers'!$Q:$Q,'Existing Customers'!$A:$A,$EK$1,'Existing Customers'!$H:$H,$EJ19)*$EK$4,$EK$3*$EI19),0)</f>
        <v>0</v>
      </c>
      <c r="EL19" s="89">
        <f>IFERROR(IF(AND($EK$2&lt;&gt;"Enter Spend&gt;&gt;&gt;",EL2="EXISTING"),SUMIFS('Existing Customers'!$N:$N,'Existing Customers'!$A:$A,$EK$1,'Existing Customers'!$H:$H,$EJ19)*$EK$4,$EK19/$EV19),0)</f>
        <v>0</v>
      </c>
      <c r="EM19" s="95">
        <f>IFERROR(IF(AND($EK$2&lt;&gt;"Enter Spend&gt;&gt;&gt;",EL2="EXISTING"),SUMIFS('Existing Customers'!$O:$O,'Existing Customers'!$H:$H,$EJ19,'Existing Customers'!$A:$A,$EK$1)*$EK$4,$EL19*$EK$8),0)</f>
        <v>0</v>
      </c>
      <c r="EN19" s="95">
        <f>IFERROR(IF(AND($EK$2&lt;&gt;"Enter Spend&gt;&gt;&gt;",EL2="EXISTING"),SUMIFS('Existing Customers'!$P:$P,'Existing Customers'!$A:$A,$EK$1,'Existing Customers'!$H:$H,$EJ19)*$EK$4,$EK19/$EW19),0)</f>
        <v>0</v>
      </c>
      <c r="EO19" s="96">
        <f>IFERROR(IF(AND($EK$2&lt;&gt;"Enter Spend&gt;&gt;&gt;",EL2="EXISTING"),SUMIFS('Existing Customers'!$V:$V,'Existing Customers'!$H:$H,$EJ19,'Existing Customers'!$A:$A,$EK$1)*$EK$4,0),0)</f>
        <v>0</v>
      </c>
      <c r="EP19" s="96">
        <f>IFERROR(IF(AND($EK$2&lt;&gt;"Enter Spend&gt;&gt;&gt;",EL2="EXISTING"),SUMIFS('Existing Customers'!$R:$R,'Existing Customers'!$H:$H,$EJ19,'Existing Customers'!$A:$A,$EK$1)*$EK$4,0),0)</f>
        <v>0</v>
      </c>
      <c r="EQ19" s="1161">
        <f>IFERROR(IF(AND($EK$2&lt;&gt;"Enter Spend&gt;&gt;&gt;",EL2="EXISTING"),SUMIFS('Existing Customers'!$S:$S,'Existing Customers'!$H:$H,$EJ19,'Existing Customers'!$A:$A,$EK$1),FA19*EK19),0)</f>
        <v>0</v>
      </c>
      <c r="ER19" s="1161">
        <f>IFERROR(IF(AND($EK$2&lt;&gt;"Enter Spend&gt;&gt;&gt;",EL2="EXISTING"),SUMIFS('Existing Customers'!$U:$U,'Existing Customers'!$H:$H,$EJ19,'Existing Customers'!$A:$A,$EK$1),FB19*EK19),0)</f>
        <v>0</v>
      </c>
      <c r="ES19" s="1164" t="e">
        <f t="shared" si="32"/>
        <v>#N/A</v>
      </c>
      <c r="ET19" s="1164">
        <f t="array" ref="ET19">IFERROR(INDEX('Margin Guidence Table'!$A$1:$AD$30000,MATCH(1,('Margin Guidence Table'!$A$1:$A$10000=ES19)*('Margin Guidence Table'!$H$1:$H$10000&lt;=ROUND($EK$3,0))*('Margin Guidence Table'!$G$1:$G$10000&gt;=ROUND($EK$3,0)),0),MATCH("DATA_POINTS",'Margin Guidence Table'!$A$1:$AC$1,0)),0)</f>
        <v>0</v>
      </c>
      <c r="EU19" s="1161" t="str">
        <f t="shared" si="33"/>
        <v>DEFAULT</v>
      </c>
      <c r="EV19" s="1161">
        <f t="array" ref="EV19">IFERROR(IF($EU19="SEGMENT",INDEX('Margin Guidence Table'!$A$1:$AC$10000,MATCH(1,('Margin Guidence Table'!$A$1:$A$10000=ES19)*('Margin Guidence Table'!$H$1:$H$10000&lt;=ROUND($EK$3,0))*('Margin Guidence Table'!$G$1:$G$10000&gt;=ROUND($EK$3,0)),0),MATCH("SALES_CASE",'Margin Guidence Table'!$A$1:$AC$1,0)),INDEX('Margin Guidence Table'!$A$1:$AC$10000,MATCH(1,('Margin Guidence Table'!$A$1:$A$10000=ES19)*('Margin Guidence Table'!$H$1:$H$10000&lt;=ROUND($EK$3,0))*('Margin Guidence Table'!$G$1:$G$10000&gt;=ROUND($EK$3,0)),0),MATCH("DEFAULT_SALES_CASE",'Margin Guidence Table'!$A$1:$AC$1,0))),0)</f>
        <v>0</v>
      </c>
      <c r="EW19" s="1161" cm="1">
        <f t="array" ref="EW19">IFERROR(IF($EU19="SEGMENT",INDEX('Margin Guidence Table'!$A$1:$AC$10000,MATCH(1,('Margin Guidence Table'!$A$1:$A$10000=ES19)*('Margin Guidence Table'!$H$1:$H$10000&lt;=ROUND($EK$3,0))*('Margin Guidence Table'!$G$1:$G$10000&gt;=ROUND($EK$3,0)),0),MATCH("SALES_LBS",'Margin Guidence Table'!$A$1:$AC$1,0)),INDEX('Margin Guidence Table'!$A$1:$AC$10000,MATCH(1,('Margin Guidence Table'!$A$1:$A$10000=ES19)*('Margin Guidence Table'!$H$1:$H$10000&lt;=ROUND($EK$3,0))*('Margin Guidence Table'!$G$1:$G$10000&gt;=ROUND($EK$3,0)),0),MATCH("DEFAULT_SALES_LBS",'Margin Guidence Table'!$A$1:$AC$1,0))),0)</f>
        <v>0</v>
      </c>
      <c r="EX19" s="1165">
        <f t="array" ref="EX19">IFERROR(IF($EU19="SEGMENT",INDEX('Margin Guidence Table'!$A$1:$AC$10000,MATCH(1,('Margin Guidence Table'!$A$1:$A$10000=ES19)*('Margin Guidence Table'!$H$1:$H$10000&lt;=ROUND($EK$3,0))*('Margin Guidence Table'!$G$1:$G$10000&gt;=ROUND($EK$3,0)),0),MATCH("MDA_MIN_MARGIN_GUIDENCE",'Margin Guidence Table'!$A$1:$AC$1,0)),INDEX('Margin Guidence Table'!$A$1:$AC$10000,MATCH(1,('Margin Guidence Table'!$A$1:$A$10000=ES19)*('Margin Guidence Table'!$H$1:$H$10000&lt;=ROUND($EK$3,0))*('Margin Guidence Table'!$G$1:$G$10000&gt;=ROUND($EK$3,0)),0),MATCH("DEFAULT_MDA_MIN_MARGIN_GUIDENCE",'Margin Guidence Table'!$A$1:$AC$1,0))),0)</f>
        <v>0</v>
      </c>
      <c r="EY19" s="1165">
        <f t="array" ref="EY19">IFERROR(IF($EU19="SEGMENT",INDEX('Margin Guidence Table'!$A$1:$AC$10000,MATCH(1,('Margin Guidence Table'!$A$1:$A$10000=ES19)*('Margin Guidence Table'!$H$1:$H$10000&lt;=ROUND($EK$3,0))*('Margin Guidence Table'!$G$1:$G$10000&gt;=ROUND($EK$3,0)),0),MATCH("MDA_MEDIAN_MARGIN_GUIDENCE",'Margin Guidence Table'!$A$1:$AC$1,0)),INDEX('Margin Guidence Table'!$A$1:$AC$10000,MATCH(1,('Margin Guidence Table'!$A$1:$A$10000=ES19)*('Margin Guidence Table'!$H$1:$H$10000&lt;=ROUND($EK$3,0))*('Margin Guidence Table'!$G$1:$G$10000&gt;=ROUND($EK$3,0)),0),MATCH("DEFAULT_MDA_MEDIAN_MARGIN_GUIDENCE",'Margin Guidence Table'!$A$1:$AC$1,0))),0)</f>
        <v>0</v>
      </c>
      <c r="EZ19" s="1165">
        <f t="array" ref="EZ19">IFERROR(IF($EU19="SEGMENT",INDEX('Margin Guidence Table'!$A$1:$AC$10000,MATCH(1,('Margin Guidence Table'!$A$1:$A$10000=ES19)*('Margin Guidence Table'!$H$1:$H$10000&lt;=ROUND($EK$3,0))*('Margin Guidence Table'!$G$1:$G$10000&gt;=ROUND($EK$3,0)),0),MATCH("MDA_MAX_MARGIN_GUIDENCE",'Margin Guidence Table'!$A$1:$AC$1,0)),INDEX('Margin Guidence Table'!$A$1:$AC$10000,MATCH(1,('Margin Guidence Table'!$A$1:$A$10000=ES19)*('Margin Guidence Table'!$H$1:$H$10000&lt;=ROUND($EK$3,0))*('Margin Guidence Table'!$G$1:$G$10000&gt;=ROUND($EK$3,0)),0),MATCH("DEFAULT_MDA_MAX_MARGIN_GUIDENCE",'Margin Guidence Table'!$A$1:$AC$1,0))),0)</f>
        <v>0</v>
      </c>
      <c r="FA19" s="1165">
        <f t="array" ref="FA19">IFERROR(IF($EU19="SEGMENT",INDEX('Margin Guidence Table'!$A$1:$AC$10000,MATCH(1,('Margin Guidence Table'!$A$1:$A$10000=ES19)*('Margin Guidence Table'!$H$1:$H$10000&lt;=ROUND($EK$3,0))*('Margin Guidence Table'!$G$1:$G$10000&gt;=ROUND($EK$3,0)),0),MATCH("PA_PCT_SALES",'Margin Guidence Table'!$A$1:$AC$1,0)),INDEX('Margin Guidence Table'!$A$1:$AC$10000,MATCH(1,('Margin Guidence Table'!$A$1:$A$10000=ES19)*('Margin Guidence Table'!$H$1:$H$10000&lt;=ROUND($EK$3,0))*('Margin Guidence Table'!$G$1:$G$10000&gt;=ROUND($EK$3,0)),0),MATCH("DEFAULT_PA_PCT_SALES",'Margin Guidence Table'!$A$1:$AC$1,0))),0)</f>
        <v>0</v>
      </c>
      <c r="FB19" s="1165">
        <f t="array" ref="FB19">IFERROR(IF($EU19="SEGMENT",INDEX('Margin Guidence Table'!$A$1:$AC$10000,MATCH(1,('Margin Guidence Table'!$A$1:$A$10000=ES19)*('Margin Guidence Table'!$H$1:$H$10000&lt;=ROUND($EK$3,0))*('Margin Guidence Table'!$G$1:$G$10000&gt;=ROUND($EK$3,0)),0),MATCH("SELF_FUND_PCT_SALES",'Margin Guidence Table'!$A$1:$AC$1,0)),INDEX('Margin Guidence Table'!$A$1:$AC$10000,MATCH(1,('Margin Guidence Table'!$A$1:$A$10000=ES19)*('Margin Guidence Table'!$H$1:$H$10000&lt;=ROUND($EK$3,0))*('Margin Guidence Table'!$G$1:$G$10000&gt;=ROUND($EK$3,0)),0),MATCH("DEFAULT_SELF_FUND_PCT_SALES",'Margin Guidence Table'!$A$1:$AC$1,0))),0)</f>
        <v>0</v>
      </c>
      <c r="FC19" s="1165">
        <f t="array" ref="FC19">IFERROR(IF($EU19="SEGMENT",INDEX('Margin Guidence Table'!$A$1:$AC$10000,MATCH(1,('Margin Guidence Table'!$A$1:$A$10000=ES19)*('Margin Guidence Table'!$H$1:$H$10000&lt;=ROUND($EK$3,0))*('Margin Guidence Table'!$G$1:$G$10000&gt;=ROUND($EK$3,0)),0),MATCH("CIA_MEDIAN_MARGIN_GUIDENCE",'Margin Guidence Table'!$A$1:$AC$1,0)),INDEX('Margin Guidence Table'!$A$1:$AC$10000,MATCH(1,('Margin Guidence Table'!$A$1:$A$10000=ES19)*('Margin Guidence Table'!$H$1:$H$10000&lt;=ROUND($EK$3,0))*('Margin Guidence Table'!$G$1:$G$10000&gt;=ROUND($EK$3,0)),0),MATCH("DEFAULT_CIA_MEDIAN_MARGIN_GUIDENCE",'Margin Guidence Table'!$A$1:$AC$1,0))),0)</f>
        <v>0</v>
      </c>
      <c r="FD19" s="129"/>
      <c r="FE19" s="18">
        <f t="array" ref="FE19">IFERROR(IF($FQ19="SEGMENT",INDEX('Margin Guidence Table'!$A$1:$AC$10000,MATCH(1,('Margin Guidence Table'!$A$1:$A$10000=$FO19)*('Margin Guidence Table'!$H$1:$H$10000&lt;=ROUND($FG$3,0))*('Margin Guidence Table'!$G$1:$G$10000&gt;=ROUND($FG$3,0)),0),MATCH("PCT_SALES",'Margin Guidence Table'!$A$1:$AC$1,0)),INDEX('Margin Guidence Table'!$A$1:$AC$10000,MATCH(1,('Margin Guidence Table'!$A$1:$A$10000=$FO19)*('Margin Guidence Table'!$H$1:$H$10000&lt;=ROUND($FG$3,0))*('Margin Guidence Table'!$G$1:$G$10000&gt;=ROUND($FG$3,0)),0),MATCH("DEFAULT_PCT_SALES",'Margin Guidence Table'!$A$1:$AC$1,0))),0)</f>
        <v>0</v>
      </c>
      <c r="FF19" s="102" t="s">
        <v>104</v>
      </c>
      <c r="FG19" s="94">
        <f>IFERROR(IF(AND($FG$2&lt;&gt;"Enter Spend&gt;&gt;&gt;",FH2="EXISTING"),SUMIFS('Existing Customers'!$Q:$Q,'Existing Customers'!$A:$A,$FG$1,'Existing Customers'!$H:$H,$FF19)*$FG$4,$FG$3*$FE19),0)</f>
        <v>0</v>
      </c>
      <c r="FH19" s="89">
        <f>IFERROR(IF(AND($FG$2&lt;&gt;"Enter Spend&gt;&gt;&gt;",FH2="EXISTING"),SUMIFS('Existing Customers'!$N:$N,'Existing Customers'!$A:$A,$FG$1,'Existing Customers'!$H:$H,$FF19)*$FG$4,$FG19/$FR19),0)</f>
        <v>0</v>
      </c>
      <c r="FI19" s="95">
        <f>IFERROR(IF(AND($FG$2&lt;&gt;"Enter Spend&gt;&gt;&gt;",FH2="EXISTING"),SUMIFS('Existing Customers'!$O:$O,'Existing Customers'!$H:$H,$FF19,'Existing Customers'!$A:$A,$FG$1)*$FG$4,$FH19*$FG$8),0)</f>
        <v>0</v>
      </c>
      <c r="FJ19" s="95">
        <f>IFERROR(IF(AND($FG$2&lt;&gt;"Enter Spend&gt;&gt;&gt;",FH2="EXISTING"),SUMIFS('Existing Customers'!$P:$P,'Existing Customers'!$A:$A,$FG$1,'Existing Customers'!$H:$H,$FF19)*$FG$4,$FG19/$FS19),0)</f>
        <v>0</v>
      </c>
      <c r="FK19" s="96">
        <f>IFERROR(IF(AND($FG$2&lt;&gt;"Enter Spend&gt;&gt;&gt;",FH2="EXISTING"),SUMIFS('Existing Customers'!$V:$V,'Existing Customers'!$H:$H,$FF19,'Existing Customers'!$A:$A,$FG$1)*$FG$4,0),0)</f>
        <v>0</v>
      </c>
      <c r="FL19" s="96">
        <f>IFERROR(IF(AND($FG$2&lt;&gt;"Enter Spend&gt;&gt;&gt;",FH2="EXISTING"),SUMIFS('Existing Customers'!$R:$R,'Existing Customers'!$H:$H,$FF19,'Existing Customers'!$A:$A,$FG$1)*$FG$4,0),0)</f>
        <v>0</v>
      </c>
      <c r="FM19" s="1161">
        <f>IFERROR(IF(AND($FG$2&lt;&gt;"Enter Spend&gt;&gt;&gt;",FH2="EXISTING"),SUMIFS('Existing Customers'!$S:$S,'Existing Customers'!$H:$H,$FF19,'Existing Customers'!$A:$A,$FG$1),FW19*FG19),0)</f>
        <v>0</v>
      </c>
      <c r="FN19" s="1161">
        <f>IFERROR(IF(AND($FG$2&lt;&gt;"Enter Spend&gt;&gt;&gt;",FH2="EXISTING"),SUMIFS('Existing Customers'!$U:$U,'Existing Customers'!$H:$H,$FF19,'Existing Customers'!$A:$A,$FG$1),FX19*FG19),0)</f>
        <v>0</v>
      </c>
      <c r="FO19" s="1164" t="e">
        <f t="shared" si="34"/>
        <v>#N/A</v>
      </c>
      <c r="FP19" s="1164">
        <f t="array" ref="FP19">IFERROR(INDEX('Margin Guidence Table'!$A$1:$AD$30000,MATCH(1,('Margin Guidence Table'!$A$1:$A$10000=FO19)*('Margin Guidence Table'!$H$1:$H$10000&lt;=ROUND($FG$3,0))*('Margin Guidence Table'!$G$1:$G$10000&gt;=ROUND($FG$3,0)),0),MATCH("DATA_POINTS",'Margin Guidence Table'!$A$1:$AC$1,0)),0)</f>
        <v>0</v>
      </c>
      <c r="FQ19" s="1161" t="str">
        <f t="shared" si="35"/>
        <v>DEFAULT</v>
      </c>
      <c r="FR19" s="1161">
        <f t="array" ref="FR19">IFERROR(IF($FQ19="SEGMENT",INDEX('Margin Guidence Table'!$A$1:$AC$10000,MATCH(1,('Margin Guidence Table'!$A$1:$A$10000=FO19)*('Margin Guidence Table'!$H$1:$H$10000&lt;=ROUND($FG$3,0))*('Margin Guidence Table'!$G$1:$G$10000&gt;=ROUND($FG$3,0)),0),MATCH("SALES_CASE",'Margin Guidence Table'!$A$1:$AC$1,0)),INDEX('Margin Guidence Table'!$A$1:$AC$10000,MATCH(1,('Margin Guidence Table'!$A$1:$A$10000=FO19)*('Margin Guidence Table'!$H$1:$H$10000&lt;=ROUND($FG$3,0))*('Margin Guidence Table'!$G$1:$G$10000&gt;=ROUND($FG$3,0)),0),MATCH("DEFAULT_SALES_CASE",'Margin Guidence Table'!$A$1:$AC$1,0))),0)</f>
        <v>0</v>
      </c>
      <c r="FS19" s="1161">
        <f t="array" ref="FS19">IFERROR(IF($FQ19="SEGMENT",INDEX('Margin Guidence Table'!$A$1:$AC$10000,MATCH(1,('Margin Guidence Table'!$A$1:$A$10000=FO19)*('Margin Guidence Table'!$H$1:$H$10000&lt;=ROUND($FG$3,0))*('Margin Guidence Table'!$G$1:$G$10000&gt;=ROUND($FG$3,0)),0),MATCH("SALES_LBS",'Margin Guidence Table'!$A$1:$AC$1,0)),INDEX('Margin Guidence Table'!$A$1:$AC$10000,MATCH(1,('Margin Guidence Table'!$A$1:$A$10000=FO19)*('Margin Guidence Table'!$H$1:$H$10000&lt;=ROUND($FG$3,0))*('Margin Guidence Table'!$G$1:$G$10000&gt;=ROUND($FG$3,0)),0),MATCH("DEFAULT_SALES_LBS",'Margin Guidence Table'!$A$1:$AC$1,0))),0)</f>
        <v>0</v>
      </c>
      <c r="FT19" s="1165">
        <f t="array" ref="FT19">IFERROR(IF($FQ19="SEGMENT",INDEX('Margin Guidence Table'!$A$1:$AC$10000,MATCH(1,('Margin Guidence Table'!$A$1:$A$10000=FO19)*('Margin Guidence Table'!$H$1:$H$10000&lt;=ROUND($FG$3,0))*('Margin Guidence Table'!$G$1:$G$10000&gt;=ROUND($FG$3,0)),0),MATCH("MDA_MIN_MARGIN_GUIDENCE",'Margin Guidence Table'!$A$1:$AC$1,0)),INDEX('Margin Guidence Table'!$A$1:$AC$10000,MATCH(1,('Margin Guidence Table'!$A$1:$A$10000=FO19)*('Margin Guidence Table'!$H$1:$H$10000&lt;=ROUND($FG$3,0))*('Margin Guidence Table'!$G$1:$G$10000&gt;=ROUND($FG$3,0)),0),MATCH("DEFAULT_MDA_MIN_MARGIN_GUIDENCE",'Margin Guidence Table'!$A$1:$AC$1,0))),0)</f>
        <v>0</v>
      </c>
      <c r="FU19" s="1165">
        <f t="array" ref="FU19">IFERROR(IF($FQ19="SEGMENT",INDEX('Margin Guidence Table'!$A$1:$AC$10000,MATCH(1,('Margin Guidence Table'!$A$1:$A$10000=FO19)*('Margin Guidence Table'!$H$1:$H$10000&lt;=ROUND($FG$3,0))*('Margin Guidence Table'!$G$1:$G$10000&gt;=ROUND($FG$3,0)),0),MATCH("MDA_MEDIAN_MARGIN_GUIDENCE",'Margin Guidence Table'!$A$1:$AC$1,0)),INDEX('Margin Guidence Table'!$A$1:$AC$10000,MATCH(1,('Margin Guidence Table'!$A$1:$A$10000=FO19)*('Margin Guidence Table'!$H$1:$H$10000&lt;=ROUND($FG$3,0))*('Margin Guidence Table'!$G$1:$G$10000&gt;=ROUND($FG$3,0)),0),MATCH("DEFAULT_MDA_MEDIAN_MARGIN_GUIDENCE",'Margin Guidence Table'!$A$1:$AC$1,0))),0)</f>
        <v>0</v>
      </c>
      <c r="FV19" s="1165">
        <f t="array" ref="FV19">IFERROR(IF($FQ19="SEGMENT",INDEX('Margin Guidence Table'!$A$1:$AC$10000,MATCH(1,('Margin Guidence Table'!$A$1:$A$10000=FO19)*('Margin Guidence Table'!$H$1:$H$10000&lt;=ROUND($FG$3,0))*('Margin Guidence Table'!$G$1:$G$10000&gt;=ROUND($FG$3,0)),0),MATCH("MDA_MAX_MARGIN_GUIDENCE",'Margin Guidence Table'!$A$1:$AC$1,0)),INDEX('Margin Guidence Table'!$A$1:$AC$10000,MATCH(1,('Margin Guidence Table'!$A$1:$A$10000=FO19)*('Margin Guidence Table'!$H$1:$H$10000&lt;=ROUND($FG$3,0))*('Margin Guidence Table'!$G$1:$G$10000&gt;=ROUND($FG$3,0)),0),MATCH("DEFAULT_MDA_MAX_MARGIN_GUIDENCE",'Margin Guidence Table'!$A$1:$AC$1,0))),0)</f>
        <v>0</v>
      </c>
      <c r="FW19" s="1165">
        <f t="array" ref="FW19">IFERROR(IF($FQ19="SEGMENT",INDEX('Margin Guidence Table'!$A$1:$AC$10000,MATCH(1,('Margin Guidence Table'!$A$1:$A$10000=FO19)*('Margin Guidence Table'!$H$1:$H$10000&lt;=ROUND($FG$3,0))*('Margin Guidence Table'!$G$1:$G$10000&gt;=ROUND($FG$3,0)),0),MATCH("PA_PCT_SALES",'Margin Guidence Table'!$A$1:$AC$1,0)),INDEX('Margin Guidence Table'!$A$1:$AC$10000,MATCH(1,('Margin Guidence Table'!$A$1:$A$10000=FO19)*('Margin Guidence Table'!$H$1:$H$10000&lt;=ROUND($FG$3,0))*('Margin Guidence Table'!$G$1:$G$10000&gt;=ROUND($FG$3,0)),0),MATCH("DEFAULT_PA_PCT_SALES",'Margin Guidence Table'!$A$1:$AC$1,0))),0)</f>
        <v>0</v>
      </c>
      <c r="FX19" s="1165">
        <f t="array" ref="FX19">IFERROR(IF($FQ19="SEGMENT",INDEX('Margin Guidence Table'!$A$1:$AC$10000,MATCH(1,('Margin Guidence Table'!$A$1:$A$10000=FO19)*('Margin Guidence Table'!$H$1:$H$10000&lt;=ROUND($FG$3,0))*('Margin Guidence Table'!$G$1:$G$10000&gt;=ROUND($FG$3,0)),0),MATCH("SELF_FUND_PCT_SALES",'Margin Guidence Table'!$A$1:$AC$1,0)),INDEX('Margin Guidence Table'!$A$1:$AC$10000,MATCH(1,('Margin Guidence Table'!$A$1:$A$10000=FO19)*('Margin Guidence Table'!$H$1:$H$10000&lt;=ROUND($FG$3,0))*('Margin Guidence Table'!$G$1:$G$10000&gt;=ROUND($FG$3,0)),0),MATCH("DEFAULT_SELF_FUND_PCT_SALES",'Margin Guidence Table'!$A$1:$AC$1,0))),0)</f>
        <v>0</v>
      </c>
      <c r="FY19" s="1165">
        <f t="array" ref="FY19">IFERROR(IF($FQ19="SEGMENT",INDEX('Margin Guidence Table'!$A$1:$AC$10000,MATCH(1,('Margin Guidence Table'!$A$1:$A$10000=FO19)*('Margin Guidence Table'!$H$1:$H$10000&lt;=ROUND($FG$3,0))*('Margin Guidence Table'!$G$1:$G$10000&gt;=ROUND($FG$3,0)),0),MATCH("CIA_MEDIAN_MARGIN_GUIDENCE",'Margin Guidence Table'!$A$1:$AC$1,0)),INDEX('Margin Guidence Table'!$A$1:$AC$10000,MATCH(1,('Margin Guidence Table'!$A$1:$A$10000=FO19)*('Margin Guidence Table'!$H$1:$H$10000&lt;=ROUND($FG$3,0))*('Margin Guidence Table'!$G$1:$G$10000&gt;=ROUND($FG$3,0)),0),MATCH("DEFAULT_CIA_MEDIAN_MARGIN_GUIDENCE",'Margin Guidence Table'!$A$1:$AC$1,0))),0)</f>
        <v>0</v>
      </c>
      <c r="FZ19" s="129"/>
      <c r="GA19" s="18">
        <f t="array" ref="GA19">IFERROR(IF($GM19="SEGMENT",INDEX('Margin Guidence Table'!$A$1:$AC$10000,MATCH(1,('Margin Guidence Table'!$A$1:$A$10000=$GK19)*('Margin Guidence Table'!$H$1:$H$10000&lt;=ROUND($GC$3,0))*('Margin Guidence Table'!$G$1:$G$10000&gt;=ROUND($GC$3,0)),0),MATCH("PCT_SALES",'Margin Guidence Table'!$A$1:$AC$1,0)),INDEX('Margin Guidence Table'!$A$1:$AC$10000,MATCH(1,('Margin Guidence Table'!$A$1:$A$10000=$GK19)*('Margin Guidence Table'!$H$1:$H$10000&lt;=ROUND($GC$3,0))*('Margin Guidence Table'!$G$1:$G$10000&gt;=ROUND($GC$3,0)),0),MATCH("DEFAULT_PCT_SALES",'Margin Guidence Table'!$A$1:$AC$1,0))),0)</f>
        <v>0</v>
      </c>
      <c r="GB19" s="102" t="s">
        <v>104</v>
      </c>
      <c r="GC19" s="94">
        <f>IFERROR(IF(AND($GC$2&lt;&gt;"Enter Spend&gt;&gt;&gt;",GD2="EXISTING"),SUMIFS('Existing Customers'!$Q:$Q,'Existing Customers'!$A:$A,$GC$1,'Existing Customers'!$H:$H,$GB19)*$GC$4,$GC$3*$GA19),0)</f>
        <v>0</v>
      </c>
      <c r="GD19" s="89">
        <f>IFERROR(IF(AND($GC$2&lt;&gt;"Enter Spend&gt;&gt;&gt;",GD2="EXISTING"),SUMIFS('Existing Customers'!$N:$N,'Existing Customers'!$A:$A,$GC$1,'Existing Customers'!$H:$H,$GB19)*$GC$4,$GC19/$GN19),0)</f>
        <v>0</v>
      </c>
      <c r="GE19" s="95">
        <f>IFERROR(IF(AND($GC$2&lt;&gt;"Enter Spend&gt;&gt;&gt;",GD2="EXISTING"),SUMIFS('Existing Customers'!$O:$O,'Existing Customers'!$H:$H,$GB19,'Existing Customers'!$A:$A,$GC$1)*$GC$4,$GD19*$GC$8),0)</f>
        <v>0</v>
      </c>
      <c r="GF19" s="95">
        <f>IFERROR(IF(AND($GC$2&lt;&gt;"Enter Spend&gt;&gt;&gt;",GD2="EXISTING"),SUMIFS('Existing Customers'!$P:$P,'Existing Customers'!$A:$A,$GC$1,'Existing Customers'!$H:$H,$GB19)*$GC$4,$GC19/$GO19),0)</f>
        <v>0</v>
      </c>
      <c r="GG19" s="96">
        <f>IFERROR(IF(AND($GC$2&lt;&gt;"Enter Spend&gt;&gt;&gt;",GD2="EXISTING"),SUMIFS('Existing Customers'!$V:$V,'Existing Customers'!$H:$H,$GB19,'Existing Customers'!$A:$A,$GC$1)*$GC$4,0),0)</f>
        <v>0</v>
      </c>
      <c r="GH19" s="96">
        <f>IFERROR(IF(AND($GC$2&lt;&gt;"Enter Spend&gt;&gt;&gt;",GD2="EXISTING"),SUMIFS('Existing Customers'!$R:$R,'Existing Customers'!$H:$H,$GB19,'Existing Customers'!$A:$A,$GC$1)*$GC$4,0),0)</f>
        <v>0</v>
      </c>
      <c r="GI19" s="1161">
        <f>IFERROR(IF(AND($GC$2&lt;&gt;"Enter Spend&gt;&gt;&gt;",GD2="EXISTING"),SUMIFS('Existing Customers'!$S:$S,'Existing Customers'!$H:$H,$GB19,'Existing Customers'!$A:$A,$GC$1),GS19*GC19),0)</f>
        <v>0</v>
      </c>
      <c r="GJ19" s="1161">
        <f>IFERROR(IF(AND($GC$2&lt;&gt;"Enter Spend&gt;&gt;&gt;",GD2="EXISTING"),SUMIFS('Existing Customers'!$U:$U,'Existing Customers'!$H:$H,$GB19,'Existing Customers'!$A:$A,$GC$1),GT19*GC19),0)</f>
        <v>0</v>
      </c>
      <c r="GK19" s="1164" t="e">
        <f t="shared" si="36"/>
        <v>#N/A</v>
      </c>
      <c r="GL19" s="1164">
        <f t="array" ref="GL19">IFERROR(INDEX('Margin Guidence Table'!$A$1:$AD$30000,MATCH(1,('Margin Guidence Table'!$A$1:$A$10000=GK19)*('Margin Guidence Table'!$H$1:$H$10000&lt;=ROUND($GC$3,0))*('Margin Guidence Table'!$G$1:$G$10000&gt;=ROUND($GC$3,0)),0),MATCH("DATA_POINTS",'Margin Guidence Table'!$A$1:$AC$1,0)),0)</f>
        <v>0</v>
      </c>
      <c r="GM19" s="1161" t="str">
        <f t="shared" si="37"/>
        <v>DEFAULT</v>
      </c>
      <c r="GN19" s="1161">
        <f t="array" ref="GN19">IFERROR(IF($GM19="SEGMENT",INDEX('Margin Guidence Table'!$A$1:$AC$10000,MATCH(1,('Margin Guidence Table'!$A$1:$A$10000=GK19)*('Margin Guidence Table'!$H$1:$H$10000&lt;=ROUND($GC$3,0))*('Margin Guidence Table'!$G$1:$G$10000&gt;=ROUND($GC$3,0)),0),MATCH("SALES_CASE",'Margin Guidence Table'!$A$1:$AC$1,0)),INDEX('Margin Guidence Table'!$A$1:$AC$10000,MATCH(1,('Margin Guidence Table'!$A$1:$A$10000=GK19)*('Margin Guidence Table'!$H$1:$H$10000&lt;=ROUND($GC$3,0))*('Margin Guidence Table'!$G$1:$G$10000&gt;=ROUND($GC$3,0)),0),MATCH("DEFAULT_SALES_CASE",'Margin Guidence Table'!$A$1:$AC$1,0))),0)</f>
        <v>0</v>
      </c>
      <c r="GO19" s="1161">
        <f t="array" ref="GO19">IFERROR(IF($GM19="SEGMENT",INDEX('Margin Guidence Table'!$A$1:$AC$10000,MATCH(1,('Margin Guidence Table'!$A$1:$A$10000=GK19)*('Margin Guidence Table'!$H$1:$H$10000&lt;=ROUND($GC$3,0))*('Margin Guidence Table'!$G$1:$G$10000&gt;=ROUND($GC$3,0)),0),MATCH("SALES_LBS",'Margin Guidence Table'!$A$1:$AC$1,0)),INDEX('Margin Guidence Table'!$A$1:$AC$10000,MATCH(1,('Margin Guidence Table'!$A$1:$A$10000=GK19)*('Margin Guidence Table'!$H$1:$H$10000&lt;=ROUND($GC$3,0))*('Margin Guidence Table'!$G$1:$G$10000&gt;=ROUND($GC$3,0)),0),MATCH("DEFAULT_SALES_LBS",'Margin Guidence Table'!$A$1:$AC$1,0))),0)</f>
        <v>0</v>
      </c>
      <c r="GP19" s="1165">
        <f t="array" ref="GP19">IFERROR(IF($GM19="SEGMENT",INDEX('Margin Guidence Table'!$A$1:$AC$10000,MATCH(1,('Margin Guidence Table'!$A$1:$A$10000=GK19)*('Margin Guidence Table'!$H$1:$H$10000&lt;=ROUND($GC$3,0))*('Margin Guidence Table'!$G$1:$G$10000&gt;=ROUND($GC$3,0)),0),MATCH("MDA_MIN_MARGIN_GUIDENCE",'Margin Guidence Table'!$A$1:$AC$1,0)),INDEX('Margin Guidence Table'!$A$1:$AC$10000,MATCH(1,('Margin Guidence Table'!$A$1:$A$10000=GK19)*('Margin Guidence Table'!$H$1:$H$10000&lt;=ROUND($GC$3,0))*('Margin Guidence Table'!$G$1:$G$10000&gt;=ROUND($GC$3,0)),0),MATCH("DEFAULT_MDA_MIN_MARGIN_GUIDENCE",'Margin Guidence Table'!$A$1:$AC$1,0))),0)</f>
        <v>0</v>
      </c>
      <c r="GQ19" s="1165">
        <f t="array" ref="GQ19">IFERROR(IF($GM19="SEGMENT",INDEX('Margin Guidence Table'!$A$1:$AC$10000,MATCH(1,('Margin Guidence Table'!$A$1:$A$10000=GK19)*('Margin Guidence Table'!$H$1:$H$10000&lt;=ROUND($GC$3,0))*('Margin Guidence Table'!$G$1:$G$10000&gt;=ROUND($GC$3,0)),0),MATCH("MDA_MEDIAN_MARGIN_GUIDENCE",'Margin Guidence Table'!$A$1:$AC$1,0)),INDEX('Margin Guidence Table'!$A$1:$AC$10000,MATCH(1,('Margin Guidence Table'!$A$1:$A$10000=GK19)*('Margin Guidence Table'!$H$1:$H$10000&lt;=ROUND($GC$3,0))*('Margin Guidence Table'!$G$1:$G$10000&gt;=ROUND($GC$3,0)),0),MATCH("DEFAULT_MDA_MEDIAN_MARGIN_GUIDENCE",'Margin Guidence Table'!$A$1:$AC$1,0))),0)</f>
        <v>0</v>
      </c>
      <c r="GR19" s="1165">
        <f t="array" ref="GR19">IFERROR(IF($GM19="SEGMENT",INDEX('Margin Guidence Table'!$A$1:$AC$10000,MATCH(1,('Margin Guidence Table'!$A$1:$A$10000=GK19)*('Margin Guidence Table'!$H$1:$H$10000&lt;=ROUND($GC$3,0))*('Margin Guidence Table'!$G$1:$G$10000&gt;=ROUND($GC$3,0)),0),MATCH("MDA_MAX_MARGIN_GUIDENCE",'Margin Guidence Table'!$A$1:$AC$1,0)),INDEX('Margin Guidence Table'!$A$1:$AC$10000,MATCH(1,('Margin Guidence Table'!$A$1:$A$10000=GK19)*('Margin Guidence Table'!$H$1:$H$10000&lt;=ROUND($GC$3,0))*('Margin Guidence Table'!$G$1:$G$10000&gt;=ROUND($GC$3,0)),0),MATCH("DEFAULT_MDA_MAX_MARGIN_GUIDENCE",'Margin Guidence Table'!$A$1:$AC$1,0))),0)</f>
        <v>0</v>
      </c>
      <c r="GS19" s="1165">
        <f t="array" ref="GS19">IFERROR(IF($GM19="SEGMENT",INDEX('Margin Guidence Table'!$A$1:$AC$10000,MATCH(1,('Margin Guidence Table'!$A$1:$A$10000=GK19)*('Margin Guidence Table'!$H$1:$H$10000&lt;=ROUND($GC$3,0))*('Margin Guidence Table'!$G$1:$G$10000&gt;=ROUND($GC$3,0)),0),MATCH("PA_PCT_SALES",'Margin Guidence Table'!$A$1:$AC$1,0)),INDEX('Margin Guidence Table'!$A$1:$AC$10000,MATCH(1,('Margin Guidence Table'!$A$1:$A$10000=GK19)*('Margin Guidence Table'!$H$1:$H$10000&lt;=ROUND($GC$3,0))*('Margin Guidence Table'!$G$1:$G$10000&gt;=ROUND($GC$3,0)),0),MATCH("DEFAULT_PA_PCT_SALES",'Margin Guidence Table'!$A$1:$AC$1,0))),0)</f>
        <v>0</v>
      </c>
      <c r="GT19" s="1165">
        <f t="array" ref="GT19">IFERROR(IF($GM19="SEGMENT",INDEX('Margin Guidence Table'!$A$1:$AC$10000,MATCH(1,('Margin Guidence Table'!$A$1:$A$10000=GK19)*('Margin Guidence Table'!$H$1:$H$10000&lt;=ROUND($GC$3,0))*('Margin Guidence Table'!$G$1:$G$10000&gt;=ROUND($GC$3,0)),0),MATCH("SELF_FUND_PCT_SALES",'Margin Guidence Table'!$A$1:$AC$1,0)),INDEX('Margin Guidence Table'!$A$1:$AC$10000,MATCH(1,('Margin Guidence Table'!$A$1:$A$10000=GK19)*('Margin Guidence Table'!$H$1:$H$10000&lt;=ROUND($GC$3,0))*('Margin Guidence Table'!$G$1:$G$10000&gt;=ROUND($GC$3,0)),0),MATCH("DEFAULT_SELF_FUND_PCT_SALES",'Margin Guidence Table'!$A$1:$AC$1,0))),0)</f>
        <v>0</v>
      </c>
      <c r="GU19" s="1165">
        <f t="array" ref="GU19">IFERROR(IF($GM19="SEGMENT",INDEX('Margin Guidence Table'!$A$1:$AC$10000,MATCH(1,('Margin Guidence Table'!$A$1:$A$10000=GK19)*('Margin Guidence Table'!$H$1:$H$10000&lt;=ROUND($GC$3,0))*('Margin Guidence Table'!$G$1:$G$10000&gt;=ROUND($GC$3,0)),0),MATCH("CIA_MEDIAN_MARGIN_GUIDENCE",'Margin Guidence Table'!$A$1:$AC$1,0)),INDEX('Margin Guidence Table'!$A$1:$AC$10000,MATCH(1,('Margin Guidence Table'!$A$1:$A$10000=GK19)*('Margin Guidence Table'!$H$1:$H$10000&lt;=ROUND($GC$3,0))*('Margin Guidence Table'!$G$1:$G$10000&gt;=ROUND($GC$3,0)),0),MATCH("DEFAULT_CIA_MEDIAN_MARGIN_GUIDENCE",'Margin Guidence Table'!$A$1:$AC$1,0))),0)</f>
        <v>0</v>
      </c>
      <c r="GV19" s="129"/>
      <c r="GW19" s="18">
        <f t="array" ref="GW19">IFERROR(IF($HI19="SEGMENT",INDEX('Margin Guidence Table'!$A$1:$AC$10000,MATCH(1,('Margin Guidence Table'!$A$1:$A$10000=$HG19)*('Margin Guidence Table'!$H$1:$H$10000&lt;=ROUND($GY$3,0))*('Margin Guidence Table'!$G$1:$G$10000&gt;=ROUND($GY$3,0)),0),MATCH("PCT_SALES",'Margin Guidence Table'!$A$1:$AC$1,0)),INDEX('Margin Guidence Table'!$A$1:$AC$10000,MATCH(1,('Margin Guidence Table'!$A$1:$A$10000=$HG19)*('Margin Guidence Table'!$H$1:$H$10000&lt;=ROUND($GY$3,0))*('Margin Guidence Table'!$G$1:$G$10000&gt;=ROUND($GY$3,0)),0),MATCH("DEFAULT_PCT_SALES",'Margin Guidence Table'!$A$1:$AC$1,0))),0)</f>
        <v>0</v>
      </c>
      <c r="GX19" s="102" t="s">
        <v>104</v>
      </c>
      <c r="GY19" s="94">
        <f>IFERROR(IF(AND($GY$2&lt;&gt;"Enter Spend&gt;&gt;&gt;",GZ2="EXISTING"),SUMIFS('Existing Customers'!$Q:$Q,'Existing Customers'!$A:$A,$GY$1,'Existing Customers'!$H:$H,$GX19)*$GY$4,$GY$3*$GW19),0)</f>
        <v>0</v>
      </c>
      <c r="GZ19" s="89">
        <f>IFERROR(IF(AND($GY$2&lt;&gt;"Enter Spend&gt;&gt;&gt;",GZ2="EXISTING"),SUMIFS('Existing Customers'!$N:$N,'Existing Customers'!$A:$A,$GY$1,'Existing Customers'!$H:$H,$GX19)*$GY$4,$GY19/$HJ19),0)</f>
        <v>0</v>
      </c>
      <c r="HA19" s="95">
        <f>IFERROR(IF(AND($GY$2&lt;&gt;"Enter Spend&gt;&gt;&gt;",GZ2="EXISTING"),SUMIFS('Existing Customers'!$O:$O,'Existing Customers'!$H:$H,$GX19,'Existing Customers'!$A:$A,$GY$1)*$GY$4,$GZ19*$GY$8),0)</f>
        <v>0</v>
      </c>
      <c r="HB19" s="95">
        <f>IFERROR(IF(AND($GY$2&lt;&gt;"Enter Spend&gt;&gt;&gt;",GZ2="EXISTING"),SUMIFS('Existing Customers'!$P:$P,'Existing Customers'!$A:$A,$GY$1,'Existing Customers'!$H:$H,$GX19)*$GY$4,$GY19/$HK19),0)</f>
        <v>0</v>
      </c>
      <c r="HC19" s="96">
        <f>IFERROR(IF(AND($GY$2&lt;&gt;"Enter Spend&gt;&gt;&gt;",GZ2="EXISTING"),SUMIFS('Existing Customers'!$V:$V,'Existing Customers'!$H:$H,$GX19,'Existing Customers'!$A:$A,$GY$1)*$GY$4,0),0)</f>
        <v>0</v>
      </c>
      <c r="HD19" s="96">
        <f>IFERROR(IF(AND($GY$2&lt;&gt;"Enter Spend&gt;&gt;&gt;",GZ2="EXISTING"),SUMIFS('Existing Customers'!$R:$R,'Existing Customers'!$H:$H,$GX19,'Existing Customers'!$A:$A,$GY$1)*$GY$4,0),0)</f>
        <v>0</v>
      </c>
      <c r="HE19" s="1161">
        <f>IFERROR(IF(AND($GY$2&lt;&gt;"Enter Spend&gt;&gt;&gt;",GZ2="EXISTING"),SUMIFS('Existing Customers'!$S:$S,'Existing Customers'!$H:$H,$GX19,'Existing Customers'!$A:$A,$GY$1),HO19*GY19),0)</f>
        <v>0</v>
      </c>
      <c r="HF19" s="1161">
        <f>IFERROR(IF(AND($GY$2&lt;&gt;"Enter Spend&gt;&gt;&gt;",GZ2="EXISTING"),SUMIFS('Existing Customers'!$U:$U,'Existing Customers'!$H:$H,$GX19,'Existing Customers'!$A:$A,$GY$1),HP19*GY19),0)</f>
        <v>0</v>
      </c>
      <c r="HG19" s="1164" t="e">
        <f t="shared" si="38"/>
        <v>#N/A</v>
      </c>
      <c r="HH19" s="1164">
        <f t="array" ref="HH19">IFERROR(INDEX('Margin Guidence Table'!$A$1:$AD$30000,MATCH(1,('Margin Guidence Table'!$A$1:$A$10000=HG19)*('Margin Guidence Table'!$H$1:$H$10000&lt;=ROUND($GY$3,0))*('Margin Guidence Table'!$G$1:$G$10000&gt;=ROUND($GY$3,0)),0),MATCH("DATA_POINTS",'Margin Guidence Table'!$A$1:$AC$1,0)),0)</f>
        <v>0</v>
      </c>
      <c r="HI19" s="1161" t="str">
        <f t="shared" si="39"/>
        <v>DEFAULT</v>
      </c>
      <c r="HJ19" s="1161">
        <f t="array" ref="HJ19">IFERROR(IF($HI19="SEGMENT",INDEX('Margin Guidence Table'!$A$1:$AC$10000,MATCH(1,('Margin Guidence Table'!$A$1:$A$10000=HG19)*('Margin Guidence Table'!$H$1:$H$10000&lt;=ROUND($GY$3,0))*('Margin Guidence Table'!$G$1:$G$10000&gt;=ROUND($GY$3,0)),0),MATCH("SALES_CASE",'Margin Guidence Table'!$A$1:$AC$1,0)),INDEX('Margin Guidence Table'!$A$1:$AC$10000,MATCH(1,('Margin Guidence Table'!$A$1:$A$10000=HG19)*('Margin Guidence Table'!$H$1:$H$10000&lt;=ROUND($GY$3,0))*('Margin Guidence Table'!$G$1:$G$10000&gt;=ROUND($GY$3,0)),0),MATCH("DEFAULT_SALES_CASE",'Margin Guidence Table'!$A$1:$AC$1,0))),0)</f>
        <v>0</v>
      </c>
      <c r="HK19" s="1161">
        <f t="array" ref="HK19">IFERROR(IF($HI19="SEGMENT",INDEX('Margin Guidence Table'!$A$1:$AC$10000,MATCH(1,('Margin Guidence Table'!$A$1:$A$10000=HG19)*('Margin Guidence Table'!$H$1:$H$10000&lt;=ROUND($GY$3,0))*('Margin Guidence Table'!$G$1:$G$10000&gt;=ROUND($GY$3,0)),0),MATCH("SALES_LBS",'Margin Guidence Table'!$A$1:$AC$1,0)),INDEX('Margin Guidence Table'!$A$1:$AC$10000,MATCH(1,('Margin Guidence Table'!$A$1:$A$10000=HG19)*('Margin Guidence Table'!$H$1:$H$10000&lt;=ROUND($GY$3,0))*('Margin Guidence Table'!$G$1:$G$10000&gt;=ROUND($GY$3,0)),0),MATCH("DEFAULT_SALES_LBS",'Margin Guidence Table'!$A$1:$AC$1,0))),0)</f>
        <v>0</v>
      </c>
      <c r="HL19" s="1165">
        <f t="array" ref="HL19">IFERROR(IF($HI19="SEGMENT",INDEX('Margin Guidence Table'!$A$1:$AC$10000,MATCH(1,('Margin Guidence Table'!$A$1:$A$10000=HG19)*('Margin Guidence Table'!$H$1:$H$10000&lt;=ROUND($GY$3,0))*('Margin Guidence Table'!$G$1:$G$10000&gt;=ROUND($GY$3,0)),0),MATCH("MDA_MIN_MARGIN_GUIDENCE",'Margin Guidence Table'!$A$1:$AC$1,0)),INDEX('Margin Guidence Table'!$A$1:$AC$10000,MATCH(1,('Margin Guidence Table'!$A$1:$A$10000=HG19)*('Margin Guidence Table'!$H$1:$H$10000&lt;=ROUND($GY$3,0))*('Margin Guidence Table'!$G$1:$G$10000&gt;=ROUND($GY$3,0)),0),MATCH("DEFAULT_MDA_MIN_MARGIN_GUIDENCE",'Margin Guidence Table'!$A$1:$AC$1,0))),0)</f>
        <v>0</v>
      </c>
      <c r="HM19" s="1165">
        <f t="array" ref="HM19">IFERROR(IF($HI19="SEGMENT",INDEX('Margin Guidence Table'!$A$1:$AC$10000,MATCH(1,('Margin Guidence Table'!$A$1:$A$10000=HG19)*('Margin Guidence Table'!$H$1:$H$10000&lt;=ROUND($GY$3,0))*('Margin Guidence Table'!$G$1:$G$10000&gt;=ROUND($GY$3,0)),0),MATCH("MDA_MEDIAN_MARGIN_GUIDENCE",'Margin Guidence Table'!$A$1:$AC$1,0)),INDEX('Margin Guidence Table'!$A$1:$AC$10000,MATCH(1,('Margin Guidence Table'!$A$1:$A$10000=HG19)*('Margin Guidence Table'!$H$1:$H$10000&lt;=ROUND($GY$3,0))*('Margin Guidence Table'!$G$1:$G$10000&gt;=ROUND($GY$3,0)),0),MATCH("DEFAULT_MDA_MEDIAN_MARGIN_GUIDENCE",'Margin Guidence Table'!$A$1:$AC$1,0))),0)</f>
        <v>0</v>
      </c>
      <c r="HN19" s="1165">
        <f t="array" ref="HN19">IFERROR(IF($HI19="SEGMENT",INDEX('Margin Guidence Table'!$A$1:$AC$10000,MATCH(1,('Margin Guidence Table'!$A$1:$A$10000=HG19)*('Margin Guidence Table'!$H$1:$H$10000&lt;=ROUND($GY$3,0))*('Margin Guidence Table'!$G$1:$G$10000&gt;=ROUND($GY$3,0)),0),MATCH("MDA_MAX_MARGIN_GUIDENCE",'Margin Guidence Table'!$A$1:$AC$1,0)),INDEX('Margin Guidence Table'!$A$1:$AC$10000,MATCH(1,('Margin Guidence Table'!$A$1:$A$10000=HG19)*('Margin Guidence Table'!$H$1:$H$10000&lt;=ROUND($GY$3,0))*('Margin Guidence Table'!$G$1:$G$10000&gt;=ROUND($GY$3,0)),0),MATCH("DEFAULT_MDA_MAX_MARGIN_GUIDENCE",'Margin Guidence Table'!$A$1:$AC$1,0))),0)</f>
        <v>0</v>
      </c>
      <c r="HO19" s="1165">
        <f t="array" ref="HO19">IFERROR(IF($HI19="SEGMENT",INDEX('Margin Guidence Table'!$A$1:$AC$10000,MATCH(1,('Margin Guidence Table'!$A$1:$A$10000=HG19)*('Margin Guidence Table'!$H$1:$H$10000&lt;=ROUND($GY$3,0))*('Margin Guidence Table'!$G$1:$G$10000&gt;=ROUND($GY$3,0)),0),MATCH("PA_PCT_SALES",'Margin Guidence Table'!$A$1:$AC$1,0)),INDEX('Margin Guidence Table'!$A$1:$AC$10000,MATCH(1,('Margin Guidence Table'!$A$1:$A$10000=HG19)*('Margin Guidence Table'!$H$1:$H$10000&lt;=ROUND($GY$3,0))*('Margin Guidence Table'!$G$1:$G$10000&gt;=ROUND($GY$3,0)),0),MATCH("DEFAULT_PA_PCT_SALES",'Margin Guidence Table'!$A$1:$AC$1,0))),0)</f>
        <v>0</v>
      </c>
      <c r="HP19" s="1165">
        <f t="array" ref="HP19">IFERROR(IF($HI19="SEGMENT",INDEX('Margin Guidence Table'!$A$1:$AC$10000,MATCH(1,('Margin Guidence Table'!$A$1:$A$10000=HG19)*('Margin Guidence Table'!$H$1:$H$10000&lt;=ROUND($GY$3,0))*('Margin Guidence Table'!$G$1:$G$10000&gt;=ROUND($GY$3,0)),0),MATCH("SELF_FUND_PCT_SALES",'Margin Guidence Table'!$A$1:$AC$1,0)),INDEX('Margin Guidence Table'!$A$1:$AC$10000,MATCH(1,('Margin Guidence Table'!$A$1:$A$10000=HG19)*('Margin Guidence Table'!$H$1:$H$10000&lt;=ROUND($GY$3,0))*('Margin Guidence Table'!$G$1:$G$10000&gt;=ROUND($GY$3,0)),0),MATCH("DEFAULT_SELF_FUND_PCT_SALES",'Margin Guidence Table'!$A$1:$AC$1,0))),0)</f>
        <v>0</v>
      </c>
      <c r="HQ19" s="1165">
        <f t="array" ref="HQ19">IFERROR(IF($HI19="SEGMENT",INDEX('Margin Guidence Table'!$A$1:$AC$10000,MATCH(1,('Margin Guidence Table'!$A$1:$A$10000=HG19)*('Margin Guidence Table'!$H$1:$H$10000&lt;=ROUND($GY$3,0))*('Margin Guidence Table'!$G$1:$G$10000&gt;=ROUND($GY$3,0)),0),MATCH("CIA_MEDIAN_MARGIN_GUIDENCE",'Margin Guidence Table'!$A$1:$AC$1,0)),INDEX('Margin Guidence Table'!$A$1:$AC$10000,MATCH(1,('Margin Guidence Table'!$A$1:$A$10000=HG19)*('Margin Guidence Table'!$H$1:$H$10000&lt;=ROUND($GY$3,0))*('Margin Guidence Table'!$G$1:$G$10000&gt;=ROUND($GY$3,0)),0),MATCH("DEFAULT_CIA_MEDIAN_MARGIN_GUIDENCE",'Margin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Spend&gt;&gt;&gt;",HV2="EXISTING"),SUMIFS('Existing Customers'!$Q:$Q,'Existing Customers'!$A:$A,$HU$1,'Existing Customers'!$H:$H,$HT19)*$HU$4,$HU$3*$HS19),0)</f>
        <v>0</v>
      </c>
      <c r="HV19" s="89">
        <f>IFERROR(IF(AND($HU$2&lt;&gt;"Enter Spend&gt;&gt;&gt;",HV2="EXISTING"),SUMIFS('Existing Customers'!$N:$N,'Existing Customers'!$A:$A,$HU$1,'Existing Customers'!$H:$H,$HT19)*$HU$4,$HU19/$IF19),0)</f>
        <v>0</v>
      </c>
      <c r="HW19" s="95">
        <f>IFERROR(IF(AND($HU$2&lt;&gt;"Enter Spend&gt;&gt;&gt;",HV2="EXISTING"),SUMIFS('Existing Customers'!$O:$O,'Existing Customers'!$H:$H,$HT19,'Existing Customers'!$A:$A,$HU$1)*$HU$4,$HV19*$HU$8),0)</f>
        <v>0</v>
      </c>
      <c r="HX19" s="95">
        <f>IFERROR(IF(AND($HU$2&lt;&gt;"Enter Spend&gt;&gt;&gt;",HV2="EXISTING"),SUMIFS('Existing Customers'!$P:$P,'Existing Customers'!$A:$A,$HU$1,'Existing Customers'!$H:$H,$HT19)*$HU$4,$HU19/$IG19),0)</f>
        <v>0</v>
      </c>
      <c r="HY19" s="402">
        <f>IFERROR(IF(AND($HU$2&lt;&gt;"Enter Spend&gt;&gt;&gt;",HV2="EXISTING"),SUMIFS('Existing Customers'!$V:$V,'Existing Customers'!$H:$H,$HT19,'Existing Customers'!$A:$A,$HU$1)*$HU$4,0),0)</f>
        <v>0</v>
      </c>
      <c r="HZ19" s="96">
        <f>IFERROR(IF(AND($HU$2&lt;&gt;"Enter Spend&gt;&gt;&gt;",HV2="EXISTING"),SUMIFS('Existing Customers'!$R:$R,'Existing Customers'!$H:$H,$HT19,'Existing Customers'!$A:$A,$HU$1)*$HU$4,0),0)</f>
        <v>0</v>
      </c>
      <c r="IA19" s="1161">
        <f>IFERROR(IF(AND($HU$2&lt;&gt;"Enter Spend&gt;&gt;&gt;",HV2="EXISTING"),SUMIFS('Existing Customers'!$S:$S,'Existing Customers'!$H:$H,$HT19,'Existing Customers'!$A:$A,$HU$1),IK19*HU19),0)</f>
        <v>0</v>
      </c>
      <c r="IB19" s="1161">
        <f>IFERROR(IF(AND($HU$2&lt;&gt;"Enter Spend&gt;&gt;&gt;",HV2="EXISTING"),SUMIFS('Existing Customers'!$U:$U,'Existing Customers'!$H:$H,$HT19,'Existing Customers'!$A:$A,$HU$1),IL19*HU19),0)</f>
        <v>0</v>
      </c>
      <c r="IC19" s="1164" t="e">
        <f t="shared" si="40"/>
        <v>#N/A</v>
      </c>
      <c r="ID19" s="1164">
        <f t="array" ref="ID19">IFERROR(INDEX('Margin Guidence Table'!$A$1:$AD$30000,MATCH(1,('Margin Guidence Table'!$A$1:$A$10000=IC19)*('Margin Guidence Table'!$H$1:$H$10000&lt;=ROUND($HU$3,0))*('Margin Guidence Table'!$G$1:$G$10000&gt;=ROUND($HU$3,0)),0),MATCH("DATA_POINTS",'Margin Guidence Table'!$A$1:$AC$1,0)),0)</f>
        <v>0</v>
      </c>
      <c r="IE19" s="1161" t="str">
        <f t="shared" si="41"/>
        <v>DEFAULT</v>
      </c>
      <c r="IF19" s="1161">
        <f t="array" ref="IF19">IFERROR(IF($IE19="SEGMENT",INDEX('Margin Guidence Table'!$A$1:$AC$10000,MATCH(1,('Margin Guidence Table'!$A$1:$A$10000=IC19)*('Margin Guidence Table'!$H$1:$H$10000&lt;=ROUND($HU$3,0))*('Margin Guidence Table'!$G$1:$G$10000&gt;=ROUND($HU$3,0)),0),MATCH("SALES_CASE",'Margin Guidence Table'!$A$1:$AC$1,0)),INDEX('Margin Guidence Table'!$A$1:$AC$10000,MATCH(1,('Margin Guidence Table'!$A$1:$A$10000=IC19)*('Margin Guidence Table'!$H$1:$H$10000&lt;=ROUND($HU$3,0))*('Margin Guidence Table'!$G$1:$G$10000&gt;=ROUND($HU$3,0)),0),MATCH("DEFAULT_SALES_CASE",'Margin Guidence Table'!$A$1:$AC$1,0))),0)</f>
        <v>0</v>
      </c>
      <c r="IG19" s="1161">
        <f t="array" ref="IG19">IFERROR(IF($IE19="SEGMENT",INDEX('Margin Guidence Table'!$A$1:$AC$10000,MATCH(1,('Margin Guidence Table'!$A$1:$A$10000=IC19)*('Margin Guidence Table'!$H$1:$H$10000&lt;=ROUND($HU$3,0))*('Margin Guidence Table'!$G$1:$G$10000&gt;=ROUND($HU$3,0)),0),MATCH("SALES_LBS",'Margin Guidence Table'!$A$1:$AC$1,0)),INDEX('Margin Guidence Table'!$A$1:$AC$10000,MATCH(1,('Margin Guidence Table'!$A$1:$A$10000=IC19)*('Margin Guidence Table'!$H$1:$H$10000&lt;=ROUND($HU$3,0))*('Margin Guidence Table'!$G$1:$G$10000&gt;=ROUND($HU$3,0)),0),MATCH("DEFAULT_SALES_LBS",'Margin Guidence Table'!$A$1:$AC$1,0))),0)</f>
        <v>0</v>
      </c>
      <c r="IH19" s="1165">
        <f t="array" ref="IH19">IFERROR(IF($IE19="SEGMENT",INDEX('Margin Guidence Table'!$A$1:$AC$10000,MATCH(1,('Margin Guidence Table'!$A$1:$A$10000=IC19)*('Margin Guidence Table'!$H$1:$H$10000&lt;=ROUND($HU$3,0))*('Margin Guidence Table'!$G$1:$G$10000&gt;=ROUND($HU$3,0)),0),MATCH("MDA_MIN_MARGIN_GUIDENCE",'Margin Guidence Table'!$A$1:$AC$1,0)),INDEX('Margin Guidence Table'!$A$1:$AC$10000,MATCH(1,('Margin Guidence Table'!$A$1:$A$10000=IC19)*('Margin Guidence Table'!$H$1:$H$10000&lt;=ROUND($HU$3,0))*('Margin Guidence Table'!$G$1:$G$10000&gt;=ROUND($HU$3,0)),0),MATCH("DEFAULT_MDA_MIN_MARGIN_GUIDENCE",'Margin Guidence Table'!$A$1:$AC$1,0))),0)</f>
        <v>0</v>
      </c>
      <c r="II19" s="1165">
        <f t="array" ref="II19">IFERROR(IF($IE19="SEGMENT",INDEX('Margin Guidence Table'!$A$1:$AC$10000,MATCH(1,('Margin Guidence Table'!$A$1:$A$10000=IC19)*('Margin Guidence Table'!$H$1:$H$10000&lt;=ROUND($HU$3,0))*('Margin Guidence Table'!$G$1:$G$10000&gt;=ROUND($HU$3,0)),0),MATCH("MDA_MEDIAN_MARGIN_GUIDENCE",'Margin Guidence Table'!$A$1:$AC$1,0)),INDEX('Margin Guidence Table'!$A$1:$AC$10000,MATCH(1,('Margin Guidence Table'!$A$1:$A$10000=IC19)*('Margin Guidence Table'!$H$1:$H$10000&lt;=ROUND($HU$3,0))*('Margin Guidence Table'!$G$1:$G$10000&gt;=ROUND($HU$3,0)),0),MATCH("DEFAULT_MDA_MEDIAN_MARGIN_GUIDENCE",'Margin Guidence Table'!$A$1:$AC$1,0))),0)</f>
        <v>0</v>
      </c>
      <c r="IJ19" s="1165">
        <f t="array" ref="IJ19">IFERROR(IF($IE19="SEGMENT",INDEX('Margin Guidence Table'!$A$1:$AC$10000,MATCH(1,('Margin Guidence Table'!$A$1:$A$10000=IC19)*('Margin Guidence Table'!$H$1:$H$10000&lt;=ROUND($HU$3,0))*('Margin Guidence Table'!$G$1:$G$10000&gt;=ROUND($HU$3,0)),0),MATCH("MDA_MAX_MARGIN_GUIDENCE",'Margin Guidence Table'!$A$1:$AC$1,0)),INDEX('Margin Guidence Table'!$A$1:$AC$10000,MATCH(1,('Margin Guidence Table'!$A$1:$A$10000=IC19)*('Margin Guidence Table'!$H$1:$H$10000&lt;=ROUND($HU$3,0))*('Margin Guidence Table'!$G$1:$G$10000&gt;=ROUND($HU$3,0)),0),MATCH("DEFAULT_MDA_MAX_MARGIN_GUIDENCE",'Margin Guidence Table'!$A$1:$AC$1,0))),0)</f>
        <v>0</v>
      </c>
      <c r="IK19" s="1165">
        <f t="array" ref="IK19">IFERROR(IF($IE19="SEGMENT",INDEX('Margin Guidence Table'!$A$1:$AC$10000,MATCH(1,('Margin Guidence Table'!$A$1:$A$10000=IC19)*('Margin Guidence Table'!$H$1:$H$10000&lt;=ROUND($HU$3,0))*('Margin Guidence Table'!$G$1:$G$10000&gt;=ROUND($HU$3,0)),0),MATCH("PA_PCT_SALES",'Margin Guidence Table'!$A$1:$AC$1,0)),INDEX('Margin Guidence Table'!$A$1:$AC$10000,MATCH(1,('Margin Guidence Table'!$A$1:$A$10000=IC19)*('Margin Guidence Table'!$H$1:$H$10000&lt;=ROUND($HU$3,0))*('Margin Guidence Table'!$G$1:$G$10000&gt;=ROUND($HU$3,0)),0),MATCH("DEFAULT_PA_PCT_SALES",'Margin Guidence Table'!$A$1:$AC$1,0))),0)</f>
        <v>0</v>
      </c>
      <c r="IL19" s="1165">
        <f t="array" ref="IL19">IFERROR(IF($IE19="SEGMENT",INDEX('Margin Guidence Table'!$A$1:$AC$10000,MATCH(1,('Margin Guidence Table'!$A$1:$A$10000=IC19)*('Margin Guidence Table'!$H$1:$H$10000&lt;=ROUND($HU$3,0))*('Margin Guidence Table'!$G$1:$G$10000&gt;=ROUND($HU$3,0)),0),MATCH("SELF_FUND_PCT_SALES",'Margin Guidence Table'!$A$1:$AC$1,0)),INDEX('Margin Guidence Table'!$A$1:$AC$10000,MATCH(1,('Margin Guidence Table'!$A$1:$A$10000=IC19)*('Margin Guidence Table'!$H$1:$H$10000&lt;=ROUND($HU$3,0))*('Margin Guidence Table'!$G$1:$G$10000&gt;=ROUND($HU$3,0)),0),MATCH("DEFAULT_SELF_FUND_PCT_SALES",'Margin Guidence Table'!$A$1:$AC$1,0))),0)</f>
        <v>0</v>
      </c>
      <c r="IM19" s="1165">
        <f t="array" ref="IM19">IFERROR(IF($IE19="SEGMENT",INDEX('Margin Guidence Table'!$A$1:$AC$10000,MATCH(1,('Margin Guidence Table'!$A$1:$A$10000=IC19)*('Margin Guidence Table'!$H$1:$H$10000&lt;=ROUND($HU$3,0))*('Margin Guidence Table'!$G$1:$G$10000&gt;=ROUND($HU$3,0)),0),MATCH("CIA_MEDIAN_MARGIN_GUIDENCE",'Margin Guidence Table'!$A$1:$AC$1,0)),INDEX('Margin Guidence Table'!$A$1:$AC$10000,MATCH(1,('Margin Guidence Table'!$A$1:$A$10000=IC19)*('Margin Guidence Table'!$H$1:$H$10000&lt;=ROUND($HU$3,0))*('Margin Guidence Table'!$G$1:$G$10000&gt;=ROUND($HU$3,0)),0),MATCH("DEFAULT_CIA_MEDIAN_MARGIN_GUIDENCE",'Margin Guidence Table'!$A$1:$AC$1,0))),0)</f>
        <v>0</v>
      </c>
      <c r="IN19" s="129"/>
      <c r="IO19" s="18">
        <f t="array" ref="IO19">IFERROR(IF($JA19="SEGMENT",INDEX('Margin Guidence Table'!$A$1:$AC$10000,MATCH(1,('Margin Guidence Table'!$A$1:$A$10000=$IY19)*('Margin Guidence Table'!$H$1:$H$10000&lt;=ROUND($IQ$3,0))*('Margin Guidence Table'!$G$1:$G$10000&gt;=ROUND($IQ$3,0)),0),MATCH("PCT_SALES",'Margin Guidence Table'!$A$1:$AC$1,0)),INDEX('Margin Guidence Table'!$A$1:$AC$10000,MATCH(1,('Margin Guidence Table'!$A$1:$A$10000=$IY19)*('Margin Guidence Table'!$H$1:$H$10000&lt;=ROUND($IQ$3,0))*('Margin Guidence Table'!$G$1:$G$10000&gt;=ROUND($IQ$3,0)),0),MATCH("DEFAULT_PCT_SALES",'Margin Guidence Table'!$A$1:$AC$1,0))),0)</f>
        <v>0</v>
      </c>
      <c r="IP19" s="102" t="s">
        <v>104</v>
      </c>
      <c r="IQ19" s="94">
        <f>IFERROR(IF(AND($IQ$2&lt;&gt;"Enter Spend&gt;&gt;&gt;",IR2="EXISTING"),SUMIFS('Existing Customers'!$Q:$Q,'Existing Customers'!$A:$A,$IQ$1,'Existing Customers'!$H:$H,$IP19)*$IQ$4,$IQ$3*$IO19),0)</f>
        <v>0</v>
      </c>
      <c r="IR19" s="89">
        <f>IFERROR(IF(AND($IQ$2&lt;&gt;"Enter Spend&gt;&gt;&gt;",IR2="EXISTING"),SUMIFS('Existing Customers'!$N:$N,'Existing Customers'!$A:$A,$IQ$1,'Existing Customers'!$H:$H,$IP19)*$IQ$4,$IQ19/$JB19),0)</f>
        <v>0</v>
      </c>
      <c r="IS19" s="95">
        <f>IFERROR(IF(AND($IQ$2&lt;&gt;"Enter Spend&gt;&gt;&gt;",IR2="EXISTING"),SUMIFS('Existing Customers'!$O:$O,'Existing Customers'!$H:$H,$IP19,'Existing Customers'!$A:$A,$IQ$1)*$IQ$4,$IR19*$IQ$8),0)</f>
        <v>0</v>
      </c>
      <c r="IT19" s="95">
        <f>IFERROR(IF(AND($IQ$2&lt;&gt;"Enter Spend&gt;&gt;&gt;",IR2="EXISTING"),SUMIFS('Existing Customers'!$P:$P,'Existing Customers'!$A:$A,$IQ$1,'Existing Customers'!$H:$H,$IP19)*$IQ$4,$IQ19/$JC19),0)</f>
        <v>0</v>
      </c>
      <c r="IU19" s="402">
        <f>IFERROR(IF(AND($IQ$2&lt;&gt;"Enter Spend&gt;&gt;&gt;",IR2="EXISTING"),SUMIFS('Existing Customers'!$V:$V,'Existing Customers'!$H:$H,$IP19,'Existing Customers'!$A:$A,$IQ$1)*$IQ$4,0),0)</f>
        <v>0</v>
      </c>
      <c r="IV19" s="96">
        <f>IFERROR(IF(AND($IQ$2&lt;&gt;"Enter Spend&gt;&gt;&gt;",IR2="EXISTING"),SUMIFS('Existing Customers'!$R:$R,'Existing Customers'!$H:$H,$IP19,'Existing Customers'!$A:$A,$IQ$1)*$IQ$4,0),0)</f>
        <v>0</v>
      </c>
      <c r="IW19" s="1161">
        <f>IFERROR(IF(AND($IQ$2&lt;&gt;"Enter Spend&gt;&gt;&gt;",IR2="EXISTING"),SUMIFS('Existing Customers'!$S:$S,'Existing Customers'!$H:$H,$IP19,'Existing Customers'!$A:$A,$IQ$1),JG19*IQ19),0)</f>
        <v>0</v>
      </c>
      <c r="IX19" s="1161">
        <f>IFERROR(IF(AND($IQ$2&lt;&gt;"Enter Spend&gt;&gt;&gt;",IR2="EXISTING"),SUMIFS('Existing Customers'!$U:$U,'Existing Customers'!$H:$H,$IP19,'Existing Customers'!$A:$A,$IQ$1),JH19*IQ19),0)</f>
        <v>0</v>
      </c>
      <c r="IY19" s="1164" t="e">
        <f t="shared" si="42"/>
        <v>#N/A</v>
      </c>
      <c r="IZ19" s="1164">
        <f t="array" ref="IZ19">IFERROR(INDEX('Margin Guidence Table'!$A$1:$AD$30000,MATCH(1,('Margin Guidence Table'!$A$1:$A$10000=IY19)*('Margin Guidence Table'!$H$1:$H$10000&lt;=ROUND($IQ$3,0))*('Margin Guidence Table'!$G$1:$G$10000&gt;=ROUND($IQ$3,0)),0),MATCH("DATA_POINTS",'Margin Guidence Table'!$A$1:$AC$1,0)),0)</f>
        <v>0</v>
      </c>
      <c r="JA19" s="1161" t="str">
        <f t="shared" si="43"/>
        <v>DEFAULT</v>
      </c>
      <c r="JB19" s="1161">
        <f t="array" ref="JB19">IFERROR(IF($JA19="SEGMENT",INDEX('Margin Guidence Table'!$A$1:$AC$10000,MATCH(1,('Margin Guidence Table'!$A$1:$A$10000=IY19)*('Margin Guidence Table'!$H$1:$H$10000&lt;=ROUND($IQ$3,0))*('Margin Guidence Table'!$G$1:$G$10000&gt;=ROUND($IQ$3,0)),0),MATCH("SALES_CASE",'Margin Guidence Table'!$A$1:$AC$1,0)),INDEX('Margin Guidence Table'!$A$1:$AC$10000,MATCH(1,('Margin Guidence Table'!$A$1:$A$10000=IY19)*('Margin Guidence Table'!$H$1:$H$10000&lt;=ROUND($IQ$3,0))*('Margin Guidence Table'!$G$1:$G$10000&gt;=ROUND($IQ$3,0)),0),MATCH("DEFAULT_SALES_CASE",'Margin Guidence Table'!$A$1:$AC$1,0))),0)</f>
        <v>0</v>
      </c>
      <c r="JC19" s="1161">
        <f t="array" ref="JC19">IFERROR(IF($JA19="SEGMENT",INDEX('Margin Guidence Table'!$A$1:$AC$10000,MATCH(1,('Margin Guidence Table'!$A$1:$A$10000=IY19)*('Margin Guidence Table'!$H$1:$H$10000&lt;=ROUND($IQ$3,0))*('Margin Guidence Table'!$G$1:$G$10000&gt;=ROUND($IQ$3,0)),0),MATCH("SALES_LBS",'Margin Guidence Table'!$A$1:$AC$1,0)),INDEX('Margin Guidence Table'!$A$1:$AC$10000,MATCH(1,('Margin Guidence Table'!$A$1:$A$10000=IY19)*('Margin Guidence Table'!$H$1:$H$10000&lt;=ROUND($IQ$3,0))*('Margin Guidence Table'!$G$1:$G$10000&gt;=ROUND($IQ$3,0)),0),MATCH("DEFAULT_SALES_LBS",'Margin Guidence Table'!$A$1:$AC$1,0))),0)</f>
        <v>0</v>
      </c>
      <c r="JD19" s="1165">
        <f t="array" ref="JD19">IFERROR(IF($JA19="SEGMENT",INDEX('Margin Guidence Table'!$A$1:$AC$10000,MATCH(1,('Margin Guidence Table'!$A$1:$A$10000=IY19)*('Margin Guidence Table'!$H$1:$H$10000&lt;=ROUND($IQ$3,0))*('Margin Guidence Table'!$G$1:$G$10000&gt;=ROUND($IQ$3,0)),0),MATCH("MDA_MIN_MARGIN_GUIDENCE",'Margin Guidence Table'!$A$1:$AC$1,0)),INDEX('Margin Guidence Table'!$A$1:$AC$10000,MATCH(1,('Margin Guidence Table'!$A$1:$A$10000=IY19)*('Margin Guidence Table'!$H$1:$H$10000&lt;=ROUND($IQ$3,0))*('Margin Guidence Table'!$G$1:$G$10000&gt;=ROUND($IQ$3,0)),0),MATCH("DEFAULT_MDA_MIN_MARGIN_GUIDENCE",'Margin Guidence Table'!$A$1:$AC$1,0))),0)</f>
        <v>0</v>
      </c>
      <c r="JE19" s="1165">
        <f t="array" ref="JE19">IFERROR(IF($JA19="SEGMENT",INDEX('Margin Guidence Table'!$A$1:$AC$10000,MATCH(1,('Margin Guidence Table'!$A$1:$A$10000=IY19)*('Margin Guidence Table'!$H$1:$H$10000&lt;=ROUND($IQ$3,0))*('Margin Guidence Table'!$G$1:$G$10000&gt;=ROUND($IQ$3,0)),0),MATCH("MDA_MEDIAN_MARGIN_GUIDENCE",'Margin Guidence Table'!$A$1:$AC$1,0)),INDEX('Margin Guidence Table'!$A$1:$AC$10000,MATCH(1,('Margin Guidence Table'!$A$1:$A$10000=IY19)*('Margin Guidence Table'!$H$1:$H$10000&lt;=ROUND($IQ$3,0))*('Margin Guidence Table'!$G$1:$G$10000&gt;=ROUND($IQ$3,0)),0),MATCH("DEFAULT_MDA_MEDIAN_MARGIN_GUIDENCE",'Margin Guidence Table'!$A$1:$AC$1,0))),0)</f>
        <v>0</v>
      </c>
      <c r="JF19" s="1165">
        <f t="array" ref="JF19">IFERROR(IF($JA19="SEGMENT",INDEX('Margin Guidence Table'!$A$1:$AC$10000,MATCH(1,('Margin Guidence Table'!$A$1:$A$10000=IY19)*('Margin Guidence Table'!$H$1:$H$10000&lt;=ROUND($IQ$3,0))*('Margin Guidence Table'!$G$1:$G$10000&gt;=ROUND($IQ$3,0)),0),MATCH("MDA_MAX_MARGIN_GUIDENCE",'Margin Guidence Table'!$A$1:$AC$1,0)),INDEX('Margin Guidence Table'!$A$1:$AC$10000,MATCH(1,('Margin Guidence Table'!$A$1:$A$10000=IY19)*('Margin Guidence Table'!$H$1:$H$10000&lt;=ROUND($IQ$3,0))*('Margin Guidence Table'!$G$1:$G$10000&gt;=ROUND($IQ$3,0)),0),MATCH("DEFAULT_MDA_MAX_MARGIN_GUIDENCE",'Margin Guidence Table'!$A$1:$AC$1,0))),0)</f>
        <v>0</v>
      </c>
      <c r="JG19" s="1165">
        <f t="array" ref="JG19">IFERROR(IF($JA19="SEGMENT",INDEX('Margin Guidence Table'!$A$1:$AC$10000,MATCH(1,('Margin Guidence Table'!$A$1:$A$10000=IY19)*('Margin Guidence Table'!$H$1:$H$10000&lt;=ROUND($IQ$3,0))*('Margin Guidence Table'!$G$1:$G$10000&gt;=ROUND($IQ$3,0)),0),MATCH("PA_PCT_SALES",'Margin Guidence Table'!$A$1:$AC$1,0)),INDEX('Margin Guidence Table'!$A$1:$AC$10000,MATCH(1,('Margin Guidence Table'!$A$1:$A$10000=IY19)*('Margin Guidence Table'!$H$1:$H$10000&lt;=ROUND($IQ$3,0))*('Margin Guidence Table'!$G$1:$G$10000&gt;=ROUND($IQ$3,0)),0),MATCH("DEFAULT_PA_PCT_SALES",'Margin Guidence Table'!$A$1:$AC$1,0))),0)</f>
        <v>0</v>
      </c>
      <c r="JH19" s="1165">
        <f t="array" ref="JH19">IFERROR(IF($JA19="SEGMENT",INDEX('Margin Guidence Table'!$A$1:$AC$10000,MATCH(1,('Margin Guidence Table'!$A$1:$A$10000=IY19)*('Margin Guidence Table'!$H$1:$H$10000&lt;=ROUND($IQ$3,0))*('Margin Guidence Table'!$G$1:$G$10000&gt;=ROUND($IQ$3,0)),0),MATCH("SELF_FUND_PCT_SALES",'Margin Guidence Table'!$A$1:$AC$1,0)),INDEX('Margin Guidence Table'!$A$1:$AC$10000,MATCH(1,('Margin Guidence Table'!$A$1:$A$10000=IY19)*('Margin Guidence Table'!$H$1:$H$10000&lt;=ROUND($IQ$3,0))*('Margin Guidence Table'!$G$1:$G$10000&gt;=ROUND($IQ$3,0)),0),MATCH("DEFAULT_SELF_FUND_PCT_SALES",'Margin Guidence Table'!$A$1:$AC$1,0))),0)</f>
        <v>0</v>
      </c>
      <c r="JI19" s="1165">
        <f t="array" ref="JI19">IFERROR(IF($JA19="SEGMENT",INDEX('Margin Guidence Table'!$A$1:$AC$10000,MATCH(1,('Margin Guidence Table'!$A$1:$A$10000=IY19)*('Margin Guidence Table'!$H$1:$H$10000&lt;=ROUND($IQ$3,0))*('Margin Guidence Table'!$G$1:$G$10000&gt;=ROUND($IQ$3,0)),0),MATCH("CIA_MEDIAN_MARGIN_GUIDENCE",'Margin Guidence Table'!$A$1:$AC$1,0)),INDEX('Margin Guidence Table'!$A$1:$AC$10000,MATCH(1,('Margin Guidence Table'!$A$1:$A$10000=IY19)*('Margin Guidence Table'!$H$1:$H$10000&lt;=ROUND($IQ$3,0))*('Margin Guidence Table'!$G$1:$G$10000&gt;=ROUND($IQ$3,0)),0),MATCH("DEFAULT_CIA_MEDIAN_MARGIN_GUIDENCE",'Margin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44"/>
        <v>#DIV/0!</v>
      </c>
      <c r="AV20" s="400"/>
      <c r="AW20" s="400"/>
      <c r="AX20" s="108">
        <v>9</v>
      </c>
      <c r="AY20" s="18">
        <f t="array" ref="AY20">IFERROR(IF($BK20="SEGMENT",INDEX('Margin Guidence Table'!$A$1:$AC$10000,MATCH(1,('Margin Guidence Table'!$A$1:$A$10000=$BI20)*('Margin Guidence Table'!$H$1:$H$10000&lt;=ROUND($BA$3,0))*('Margin Guidence Table'!$G$1:$G$10000&gt;=ROUND($BA$3,0)),0),MATCH("PCT_SALES",'Margin Guidence Table'!$A$1:$AC$1,0)),INDEX('Margin Guidence Table'!$A$1:$AC$10000,MATCH(1,('Margin Guidence Table'!$A$1:$A$10000=$BI20)*('Margin Guidence Table'!$H$1:$H$10000&lt;=ROUND($BA$3,0))*('Margin Guidence Table'!$G$1:$G$10000&gt;=ROUND($BA$3,0)),0),MATCH("DEFAULT_PCT_SALES",'Margin Guidence Table'!$A$1:$AC$1,0))),0)</f>
        <v>0</v>
      </c>
      <c r="AZ20" s="102" t="s">
        <v>98</v>
      </c>
      <c r="BA20" s="94">
        <f>IFERROR(IF(AND($BA$2&lt;&gt;"Enter Spend&gt;&gt;&gt;",BB2="EXISTING"),SUMIFS('Existing Customers'!$Q:$Q,'Existing Customers'!$A:$A,$BA$1,'Existing Customers'!$H:$H,$AZ20)*$BA$4,$BA$3*$AY20),0)</f>
        <v>0</v>
      </c>
      <c r="BB20" s="95">
        <f>IFERROR(IF(AND($BA$2&lt;&gt;"Enter Spend&gt;&gt;&gt;",BB2="EXISTING"),SUMIFS('Existing Customers'!$N:$N,'Existing Customers'!$A:$A,$BA$1,'Existing Customers'!$H:$H,$AZ20)*$BA$4,$BA20/$BL20),0)</f>
        <v>0</v>
      </c>
      <c r="BC20" s="95">
        <f>IFERROR(IF(AND($BA$2&lt;&gt;"Enter Spend&gt;&gt;&gt;",BB2="EXISTING"),SUMIFS('Existing Customers'!$O:$O,'Existing Customers'!$H:$H,$AZ20,'Existing Customers'!$A:$A,$BA$1)*$BA$4,$BB20*$BA$8),0)</f>
        <v>0</v>
      </c>
      <c r="BD20" s="95">
        <f>IFERROR(IF(AND($BA$2&lt;&gt;"Enter Spend&gt;&gt;&gt;",BB2="EXISTING"),SUMIFS('Existing Customers'!$P:$P,'Existing Customers'!$A:$A,$BA$1,'Existing Customers'!$H:$H,$AZ20)*$BA$4,$BA20/$BM20),0)</f>
        <v>0</v>
      </c>
      <c r="BE20" s="402">
        <f>IFERROR(IF(AND($BA$2&lt;&gt;"Enter Spend&gt;&gt;&gt;",BB2="EXISTING"),SUMIFS('Existing Customers'!$V:$V,'Existing Customers'!$H:$H,$AZ20,'Existing Customers'!$A:$A,$BA$1)*$BA$4,0),0)</f>
        <v>0</v>
      </c>
      <c r="BF20" s="96">
        <f>IFERROR(IF(AND($BA$2&lt;&gt;"Enter Spend&gt;&gt;&gt;",BB2="EXISTING"),SUMIFS('Existing Customers'!$R:$R,'Existing Customers'!$H:$H,$AZ20,'Existing Customers'!$A:$A,$BA$1)*$BA$4,0),0)</f>
        <v>0</v>
      </c>
      <c r="BG20" s="96">
        <f>IFERROR(IF(AND($BA$2&lt;&gt;"Enter Spend&gt;&gt;&gt;",BB2="EXISTING"),SUMIFS('Existing Customers'!$S:$S,'Existing Customers'!$H:$H,$AZ20,'Existing Customers'!$A:$A,$BA$1),BQ20*BA20),0)</f>
        <v>0</v>
      </c>
      <c r="BH20" s="96">
        <f>IFERROR(IF(AND($BA$2&lt;&gt;"Enter Spend&gt;&gt;&gt;",BB2="EXISTING"),SUMIFS('Existing Customers'!$U:$U,'Existing Customers'!$H:$H,$AZ20,'Existing Customers'!$A:$A,$BA$1),BR20*BA20),0)</f>
        <v>0</v>
      </c>
      <c r="BI20" s="1163" t="e">
        <f t="shared" si="24"/>
        <v>#N/A</v>
      </c>
      <c r="BJ20" s="1164">
        <f t="array" ref="BJ20">IFERROR(INDEX('Margin Guidence Table'!$A$1:$AD$30000,MATCH(1,('Margin Guidence Table'!$A$1:$A$10000=$BI20)*('Margin Guidence Table'!$H$1:$H$10000&lt;=ROUND($BA$3,0))*('Margin Guidence Table'!$G$1:$G$10000&gt;=ROUND($BA$3,0)),0),MATCH("DATA_POINTS",'Margin Guidence Table'!$A$1:$AC$1,0)),0)</f>
        <v>0</v>
      </c>
      <c r="BK20" s="1161" t="str">
        <f t="shared" si="25"/>
        <v>DEFAULT</v>
      </c>
      <c r="BL20" s="1161">
        <f t="array" ref="BL20">IFERROR(IF($BK20="SEGMENT",INDEX('Margin Guidence Table'!$A$1:$AC$10000,MATCH(1,('Margin Guidence Table'!$A$1:$A$10000=$BI20)*('Margin Guidence Table'!$H$1:$H$10000&lt;=ROUND($BA$3,0))*('Margin Guidence Table'!$G$1:$G$10000&gt;=ROUND($BA$3,0)),0),MATCH("SALES_CASE",'Margin Guidence Table'!$A$1:$AC$1,0)),INDEX('Margin Guidence Table'!$A$1:$AC$10000,MATCH(1,('Margin Guidence Table'!$A$1:$A$10000=$BI20)*('Margin Guidence Table'!$H$1:$H$10000&lt;=ROUND($BA$3,0))*('Margin Guidence Table'!$G$1:$G$10000&gt;=ROUND($BA$3,0)),0),MATCH("DEFAULT_SALES_CASE",'Margin Guidence Table'!$A$1:$AC$1,0))),0)</f>
        <v>0</v>
      </c>
      <c r="BM20" s="1161">
        <f t="array" ref="BM20">IFERROR(IF($BK20="SEGMENT",INDEX('Margin Guidence Table'!$A$1:$AC$10000,MATCH(1,('Margin Guidence Table'!$A$1:$A$10000=$BI20)*('Margin Guidence Table'!$H$1:$H$10000&lt;=ROUND($BA$3,0))*('Margin Guidence Table'!$G$1:$G$10000&gt;=ROUND($BA$3,0)),0),MATCH("SALES_LBS",'Margin Guidence Table'!$A$1:$AC$1,0)),INDEX('Margin Guidence Table'!$A$1:$AC$10000,MATCH(1,('Margin Guidence Table'!$A$1:$A$10000=$BI20)*('Margin Guidence Table'!$H$1:$H$10000&lt;=ROUND($BA$3,0))*('Margin Guidence Table'!$G$1:$G$10000&gt;=ROUND($BA$3,0)),0),MATCH("DEFAULT_SALES_LBS",'Margin Guidence Table'!$A$1:$AC$1,0))),0)</f>
        <v>0</v>
      </c>
      <c r="BN20" s="1165">
        <f t="array" ref="BN20">IFERROR(IF($BK20="SEGMENT",INDEX('Margin Guidence Table'!$A$1:$AC$10000,MATCH(1,('Margin Guidence Table'!$A$1:$A$10000=$BI20)*('Margin Guidence Table'!$H$1:$H$10000&lt;=ROUND($BA$3,0))*('Margin Guidence Table'!$G$1:$G$10000&gt;=ROUND($BA$3,0)),0),MATCH("MDA_MIN_MARGIN_GUIDENCE",'Margin Guidence Table'!$A$1:$AC$1,0)),INDEX('Margin Guidence Table'!$A$1:$AC$10000,MATCH(1,('Margin Guidence Table'!$A$1:$A$10000=$BI20)*('Margin Guidence Table'!$H$1:$H$10000&lt;=ROUND($BA$3,0))*('Margin Guidence Table'!$G$1:$G$10000&gt;=ROUND($BA$3,0)),0),MATCH("DEFAULT_MDA_MIN_MARGIN_GUIDENCE",'Margin Guidence Table'!$A$1:$AC$1,0))),0)</f>
        <v>0</v>
      </c>
      <c r="BO20" s="1165">
        <f t="array" ref="BO20">IFERROR(IF($BK20="SEGMENT",INDEX('Margin Guidence Table'!$A$1:$AC$10000,MATCH(1,('Margin Guidence Table'!$A$1:$A$10000=$BI20)*('Margin Guidence Table'!$H$1:$H$10000&lt;=ROUND($BA$3,0))*('Margin Guidence Table'!$G$1:$G$10000&gt;=ROUND($BA$3,0)),0),MATCH("MDA_MEDIAN_MARGIN_GUIDENCE",'Margin Guidence Table'!$A$1:$AC$1,0)),INDEX('Margin Guidence Table'!$A$1:$AC$10000,MATCH(1,('Margin Guidence Table'!$A$1:$A$10000=$BI20)*('Margin Guidence Table'!$H$1:$H$10000&lt;=ROUND($BA$3,0))*('Margin Guidence Table'!$G$1:$G$10000&gt;=ROUND($BA$3,0)),0),MATCH("DEFAULT_MDA_MEDIAN_MARGIN_GUIDENCE",'Margin Guidence Table'!$A$1:$AC$1,0))),0)</f>
        <v>0</v>
      </c>
      <c r="BP20" s="1165">
        <f t="array" ref="BP20">IFERROR(IF($BK20="SEGMENT",INDEX('Margin Guidence Table'!$A$1:$AC$10000,MATCH(1,('Margin Guidence Table'!$A$1:$A$10000=$BI20)*('Margin Guidence Table'!$H$1:$H$10000&lt;=ROUND($BA$3,0))*('Margin Guidence Table'!$G$1:$G$10000&gt;=ROUND($BA$3,0)),0),MATCH("MDA_MAX_MARGIN_GUIDENCE",'Margin Guidence Table'!$A$1:$AC$1,0)),INDEX('Margin Guidence Table'!$A$1:$AC$10000,MATCH(1,('Margin Guidence Table'!$A$1:$A$10000=$BI20)*('Margin Guidence Table'!$H$1:$H$10000&lt;=ROUND($BA$3,0))*('Margin Guidence Table'!$G$1:$G$10000&gt;=ROUND($BA$3,0)),0),MATCH("DEFAULT_MDA_MAX_MARGIN_GUIDENCE",'Margin Guidence Table'!$A$1:$AC$1,0))),0)</f>
        <v>0</v>
      </c>
      <c r="BQ20" s="1165">
        <f t="array" ref="BQ20">IFERROR(IF($BK20="SEGMENT",INDEX('Margin Guidence Table'!$A$1:$AC$10000,MATCH(1,('Margin Guidence Table'!$A$1:$A$10000=$BI20)*('Margin Guidence Table'!$H$1:$H$10000&lt;=ROUND($BA$3,0))*('Margin Guidence Table'!$G$1:$G$10000&gt;=ROUND($BA$3,0)),0),MATCH("PA_PCT_SALES",'Margin Guidence Table'!$A$1:$AC$1,0)),INDEX('Margin Guidence Table'!$A$1:$AC$10000,MATCH(1,('Margin Guidence Table'!$A$1:$A$10000=$BI20)*('Margin Guidence Table'!$H$1:$H$10000&lt;=ROUND($BA$3,0))*('Margin Guidence Table'!$G$1:$G$10000&gt;=ROUND($BA$3,0)),0),MATCH("DEFAULT_PA_PCT_SALES",'Margin Guidence Table'!$A$1:$AC$1,0))),0)</f>
        <v>0</v>
      </c>
      <c r="BR20" s="1165">
        <f t="array" ref="BR20">IFERROR(IF($BK20="SEGMENT",INDEX('Margin Guidence Table'!$A$1:$AC$10000,MATCH(1,('Margin Guidence Table'!$A$1:$A$10000=$BI20)*('Margin Guidence Table'!$H$1:$H$10000&lt;=ROUND($BA$3,0))*('Margin Guidence Table'!$G$1:$G$10000&gt;=ROUND($BA$3,0)),0),MATCH("SELF_FUND_PCT_SALES",'Margin Guidence Table'!$A$1:$AC$1,0)),INDEX('Margin Guidence Table'!$A$1:$AC$10000,MATCH(1,('Margin Guidence Table'!$A$1:$A$10000=$BI20)*('Margin Guidence Table'!$H$1:$H$10000&lt;=ROUND($BA$3,0))*('Margin Guidence Table'!$G$1:$G$10000&gt;=ROUND($BA$3,0)),0),MATCH("DEFAULT_SELF_FUND_PCT_SALES",'Margin Guidence Table'!$A$1:$AC$1,0))),0)</f>
        <v>0</v>
      </c>
      <c r="BS20" s="1165">
        <f t="array" ref="BS20">IFERROR(IF($BK20="SEGMENT",INDEX('Margin Guidence Table'!$A$1:$AC$10000,MATCH(1,('Margin Guidence Table'!$A$1:$A$10000=$BI20)*('Margin Guidence Table'!$H$1:$H$10000&lt;=ROUND($BA$3,0))*('Margin Guidence Table'!$G$1:$G$10000&gt;=ROUND($BA$3,0)),0),MATCH("CIA_MEDIAN_MARGIN_GUIDENCE",'Margin Guidence Table'!$A$1:$AC$1,0)),INDEX('Margin Guidence Table'!$A$1:$AC$10000,MATCH(1,('Margin Guidence Table'!$A$1:$A$10000=$BI20)*('Margin Guidence Table'!$H$1:$H$10000&lt;=ROUND($BA$3,0))*('Margin Guidence Table'!$G$1:$G$10000&gt;=ROUND($BA$3,0)),0),MATCH("DEFAULT_CIA_MEDIAN_MARGIN_GUIDENCE",'Margin Guidence Table'!$A$1:$AC$1,0))),0)</f>
        <v>0</v>
      </c>
      <c r="BT20" s="129"/>
      <c r="BU20" s="18">
        <f t="array" ref="BU20">IFERROR(IF($CG20="SEGMENT",INDEX('Margin Guidence Table'!$A$1:$AC$10000,MATCH(1,('Margin Guidence Table'!$A$1:$A$10000=$CE20)*('Margin Guidence Table'!$H$1:$H$10000&lt;=ROUND($BW$3,0))*('Margin Guidence Table'!$G$1:$G$10000&gt;=ROUND($BW$3,0)),0),MATCH("PCT_SALES",'Margin Guidence Table'!$A$1:$AC$1,0)),INDEX('Margin Guidence Table'!$A$1:$AC$10000,MATCH(1,('Margin Guidence Table'!$A$1:$A$10000=$CE20)*('Margin Guidence Table'!$H$1:$H$10000&lt;=ROUND($BW$3,0))*('Margin Guidence Table'!$G$1:$G$10000&gt;=ROUND($BW$3,0)),0),MATCH("DEFAULT_PCT_SALES",'Margin Guidence Table'!$A$1:$AC$1,0))),0)</f>
        <v>0</v>
      </c>
      <c r="BV20" s="102" t="s">
        <v>98</v>
      </c>
      <c r="BW20" s="94">
        <f>IFERROR(IF(AND($BW$2&lt;&gt;"Enter Spend&gt;&gt;&gt;",BX2="EXISTING"),SUMIFS('Existing Customers'!$Q:$Q,'Existing Customers'!$A:$A,$BW$1,'Existing Customers'!$H:$H,$BV20)*$BW$4,$BW$3*$BU20),0)</f>
        <v>0</v>
      </c>
      <c r="BX20" s="89">
        <f>IFERROR(IF(AND($BW$2&lt;&gt;"Enter Spend&gt;&gt;&gt;",BX2="EXISTING"),SUMIFS('Existing Customers'!$N:$N,'Existing Customers'!$A:$A,$BW$1,'Existing Customers'!$H:$H,$BV20)*$BW$4,$BW20/$CH20),0)</f>
        <v>0</v>
      </c>
      <c r="BY20" s="95">
        <f>IFERROR(IF(AND($BW$2&lt;&gt;"Enter Spend&gt;&gt;&gt;",BX2="EXISTING"),SUMIFS('Existing Customers'!$O:$O,'Existing Customers'!$H:$H,$BV20,'Existing Customers'!$A:$A,$BW$1)*$BW$4,$BX20*$BW$8),0)</f>
        <v>0</v>
      </c>
      <c r="BZ20" s="95">
        <f>IFERROR(IF(AND($BW$2&lt;&gt;"Enter Spend&gt;&gt;&gt;",BX2="EXISTING"),SUMIFS('Existing Customers'!$P:$P,'Existing Customers'!$A:$A,$BW$1,'Existing Customers'!$H:$H,$BV20)*$BW$4,$BW20/$CI20),0)</f>
        <v>0</v>
      </c>
      <c r="CA20" s="96">
        <f>IFERROR(IF(AND($BW$2&lt;&gt;"Enter Spend&gt;&gt;&gt;",BX2="EXISTING"),SUMIFS('Existing Customers'!$V:$V,'Existing Customers'!$H:$H,$BV20,'Existing Customers'!$A:$A,$BW$1)*$BW$4,0),0)</f>
        <v>0</v>
      </c>
      <c r="CB20" s="96">
        <f>IFERROR(IF(AND($BW$2&lt;&gt;"Enter Spend&gt;&gt;&gt;",BX2="EXISTING"),SUMIFS('Existing Customers'!$R:$R,'Existing Customers'!$H:$H,$BV20,'Existing Customers'!$A:$A,$BW$1)*$BW$4,0),0)</f>
        <v>0</v>
      </c>
      <c r="CC20" s="1161">
        <f>IFERROR(IF(AND($BW$2&lt;&gt;"Enter Spend&gt;&gt;&gt;",BX2="EXISTING"),SUMIFS('Existing Customers'!$S:$S,'Existing Customers'!$H:$H,$BV20,'Existing Customers'!$A:$A,$BW$1),CM20*BW20),0)</f>
        <v>0</v>
      </c>
      <c r="CD20" s="1161">
        <f>IFERROR(IF(AND($BW$2&lt;&gt;"Enter Spend&gt;&gt;&gt;",BX2="EXISTING"),SUMIFS('Existing Customers'!$U:$U,'Existing Customers'!$H:$H,$BV20,'Existing Customers'!$A:$A,$BW$1),CN20*BW20),0)</f>
        <v>0</v>
      </c>
      <c r="CE20" s="1164" t="e">
        <f t="shared" si="26"/>
        <v>#N/A</v>
      </c>
      <c r="CF20" s="1164">
        <f t="array" ref="CF20">IFERROR(INDEX('Margin Guidence Table'!$A$1:$AD$30000,MATCH(1,('Margin Guidence Table'!$A$1:$A$10000=$CE20)*('Margin Guidence Table'!$H$1:$H$10000&lt;=ROUND($BW$3,0))*('Margin Guidence Table'!$G$1:$G$10000&gt;=ROUND($BW$3,0)),0),MATCH("DATA_POINTS",'Margin Guidence Table'!$A$1:$AC$1,0)),0)</f>
        <v>0</v>
      </c>
      <c r="CG20" s="1161" t="str">
        <f t="shared" si="27"/>
        <v>DEFAULT</v>
      </c>
      <c r="CH20" s="1161">
        <f t="array" ref="CH20">IFERROR(IF($CG20="SEGMENT",INDEX('Margin Guidence Table'!$A$1:$AC$10000,MATCH(1,('Margin Guidence Table'!$A$1:$A$10000=$CE20)*('Margin Guidence Table'!$H$1:$H$10000&lt;=ROUND($BW$3,0))*('Margin Guidence Table'!$G$1:$G$10000&gt;=ROUND($BW$3,0)),0),MATCH("SALES_CASE",'Margin Guidence Table'!$A$1:$AC$1,0)),INDEX('Margin Guidence Table'!$A$1:$AC$10000,MATCH(1,('Margin Guidence Table'!$A$1:$A$10000=$CE20)*('Margin Guidence Table'!$H$1:$H$10000&lt;=ROUND($BW$3,0))*('Margin Guidence Table'!$G$1:$G$10000&gt;=ROUND($BW$3,0)),0),MATCH("DEFAULT_SALES_CASE",'Margin Guidence Table'!$A$1:$AC$1,0))),0)</f>
        <v>0</v>
      </c>
      <c r="CI20" s="1161">
        <f t="array" ref="CI20">IFERROR(IF($CG20="SEGMENT",INDEX('Margin Guidence Table'!$A$1:$AC$10000,MATCH(1,('Margin Guidence Table'!$A$1:$A$10000=$CE20)*('Margin Guidence Table'!$H$1:$H$10000&lt;=ROUND($BW$3,0))*('Margin Guidence Table'!$G$1:$G$10000&gt;=ROUND($BW$3,0)),0),MATCH("SALES_LBS",'Margin Guidence Table'!$A$1:$AC$1,0)),INDEX('Margin Guidence Table'!$A$1:$AC$10000,MATCH(1,('Margin Guidence Table'!$A$1:$A$10000=$CE20)*('Margin Guidence Table'!$H$1:$H$10000&lt;=ROUND($BW$3,0))*('Margin Guidence Table'!$G$1:$G$10000&gt;=ROUND($BW$3,0)),0),MATCH("DEFAULT_SALES_LBS",'Margin Guidence Table'!$A$1:$AC$1,0))),0)</f>
        <v>0</v>
      </c>
      <c r="CJ20" s="1165">
        <f t="array" ref="CJ20">IFERROR(IF($CG20="SEGMENT",INDEX('Margin Guidence Table'!$A$1:$AC$10000,MATCH(1,('Margin Guidence Table'!$A$1:$A$10000=$CE20)*('Margin Guidence Table'!$H$1:$H$10000&lt;=ROUND($BW$3,0))*('Margin Guidence Table'!$G$1:$G$10000&gt;=ROUND($BW$3,0)),0),MATCH("MDA_MIN_MARGIN_GUIDENCE",'Margin Guidence Table'!$A$1:$AC$1,0)),INDEX('Margin Guidence Table'!$A$1:$AC$10000,MATCH(1,('Margin Guidence Table'!$A$1:$A$10000=$CE20)*('Margin Guidence Table'!$H$1:$H$10000&lt;=ROUND($BW$3,0))*('Margin Guidence Table'!$G$1:$G$10000&gt;=ROUND($BW$3,0)),0),MATCH("DEFAULT_MDA_MIN_MARGIN_GUIDENCE",'Margin Guidence Table'!$A$1:$AC$1,0))),0)</f>
        <v>0</v>
      </c>
      <c r="CK20" s="1165">
        <f t="array" ref="CK20">IFERROR(IF($CG20="SEGMENT",INDEX('Margin Guidence Table'!$A$1:$AC$10000,MATCH(1,('Margin Guidence Table'!$A$1:$A$10000=$CE20)*('Margin Guidence Table'!$H$1:$H$10000&lt;=ROUND($BW$3,0))*('Margin Guidence Table'!$G$1:$G$10000&gt;=ROUND($BW$3,0)),0),MATCH("MDA_MEDIAN_MARGIN_GUIDENCE",'Margin Guidence Table'!$A$1:$AC$1,0)),INDEX('Margin Guidence Table'!$A$1:$AC$10000,MATCH(1,('Margin Guidence Table'!$A$1:$A$10000=$CE20)*('Margin Guidence Table'!$H$1:$H$10000&lt;=ROUND($BW$3,0))*('Margin Guidence Table'!$G$1:$G$10000&gt;=ROUND($BW$3,0)),0),MATCH("DEFAULT_MDA_MEDIAN_MARGIN_GUIDENCE",'Margin Guidence Table'!$A$1:$AC$1,0))),0)</f>
        <v>0</v>
      </c>
      <c r="CL20" s="1165">
        <f t="array" ref="CL20">IFERROR(IF($CG20="SEGMENT",INDEX('Margin Guidence Table'!$A$1:$AC$10000,MATCH(1,('Margin Guidence Table'!$A$1:$A$10000=$CE20)*('Margin Guidence Table'!$H$1:$H$10000&lt;=ROUND($BW$3,0))*('Margin Guidence Table'!$G$1:$G$10000&gt;=ROUND($BW$3,0)),0),MATCH("MDA_MAX_MARGIN_GUIDENCE",'Margin Guidence Table'!$A$1:$AC$1,0)),INDEX('Margin Guidence Table'!$A$1:$AC$10000,MATCH(1,('Margin Guidence Table'!$A$1:$A$10000=$CE20)*('Margin Guidence Table'!$H$1:$H$10000&lt;=ROUND($BW$3,0))*('Margin Guidence Table'!$G$1:$G$10000&gt;=ROUND($BW$3,0)),0),MATCH("DEFAULT_MDA_MAX_MARGIN_GUIDENCE",'Margin Guidence Table'!$A$1:$AC$1,0))),0)</f>
        <v>0</v>
      </c>
      <c r="CM20" s="1165">
        <f t="array" ref="CM20">IFERROR(IF($CG20="SEGMENT",INDEX('Margin Guidence Table'!$A$1:$AC$10000,MATCH(1,('Margin Guidence Table'!$A$1:$A$10000=$CE20)*('Margin Guidence Table'!$H$1:$H$10000&lt;=ROUND($BW$3,0))*('Margin Guidence Table'!$G$1:$G$10000&gt;=ROUND($BW$3,0)),0),MATCH("PA_PCT_SALES",'Margin Guidence Table'!$A$1:$AC$1,0)),INDEX('Margin Guidence Table'!$A$1:$AC$10000,MATCH(1,('Margin Guidence Table'!$A$1:$A$10000=$CE20)*('Margin Guidence Table'!$H$1:$H$10000&lt;=ROUND($BW$3,0))*('Margin Guidence Table'!$G$1:$G$10000&gt;=ROUND($BW$3,0)),0),MATCH("DEFAULT_PA_PCT_SALES",'Margin Guidence Table'!$A$1:$AC$1,0))),0)</f>
        <v>0</v>
      </c>
      <c r="CN20" s="1165">
        <f t="array" ref="CN20">IFERROR(IF($CG20="SEGMENT",INDEX('Margin Guidence Table'!$A$1:$AC$10000,MATCH(1,('Margin Guidence Table'!$A$1:$A$10000=$CE20)*('Margin Guidence Table'!$H$1:$H$10000&lt;=ROUND($BW$3,0))*('Margin Guidence Table'!$G$1:$G$10000&gt;=ROUND($BW$3,0)),0),MATCH("SELF_FUND_PCT_SALES",'Margin Guidence Table'!$A$1:$AC$1,0)),INDEX('Margin Guidence Table'!$A$1:$AC$10000,MATCH(1,('Margin Guidence Table'!$A$1:$A$10000=$CE20)*('Margin Guidence Table'!$H$1:$H$10000&lt;=ROUND($BW$3,0))*('Margin Guidence Table'!$G$1:$G$10000&gt;=ROUND($BW$3,0)),0),MATCH("DEFAULT_SELF_FUND_PCT_SALES",'Margin Guidence Table'!$A$1:$AC$1,0))),0)</f>
        <v>0</v>
      </c>
      <c r="CO20" s="1165">
        <f t="array" ref="CO20">IFERROR(IF($CG20="SEGMENT",INDEX('Margin Guidence Table'!$A$1:$AC$10000,MATCH(1,('Margin Guidence Table'!$A$1:$A$10000=$CE20)*('Margin Guidence Table'!$H$1:$H$10000&lt;=ROUND($BW$3,0))*('Margin Guidence Table'!$G$1:$G$10000&gt;=ROUND($BW$3,0)),0),MATCH("CIA_MEDIAN_MARGIN_GUIDENCE",'Margin Guidence Table'!$A$1:$AC$1,0)),INDEX('Margin Guidence Table'!$A$1:$AC$10000,MATCH(1,('Margin Guidence Table'!$A$1:$A$10000=$CE20)*('Margin Guidence Table'!$H$1:$H$10000&lt;=ROUND($BW$3,0))*('Margin Guidence Table'!$G$1:$G$10000&gt;=ROUND($BW$3,0)),0),MATCH("DEFAULT_CIA_MEDIAN_MARGIN_GUIDENCE",'Margin Guidence Table'!$A$1:$AC$1,0))),0)</f>
        <v>0</v>
      </c>
      <c r="CP20" s="129"/>
      <c r="CQ20" s="18">
        <f t="array" ref="CQ20">IFERROR(IF($DC20="SEGMENT",INDEX('Margin Guidence Table'!$A$1:$AC$10000,MATCH(1,('Margin Guidence Table'!$A$1:$A$10000=$DA20)*('Margin Guidence Table'!$H$1:$H$10000&lt;=ROUND($CS$3,0))*('Margin Guidence Table'!$G$1:$G$10000&gt;=ROUND($CS$3,0)),0),MATCH("PCT_SALES",'Margin Guidence Table'!$A$1:$AC$1,0)),INDEX('Margin Guidence Table'!$A$1:$AC$10000,MATCH(1,('Margin Guidence Table'!$A$1:$A$10000=$DA20)*('Margin Guidence Table'!$H$1:$H$10000&lt;=ROUND($CS$3,0))*('Margin Guidence Table'!$G$1:$G$10000&gt;=ROUND($CS$3,0)),0),MATCH("DEFAULT_PCT_SALES",'Margin Guidence Table'!$A$1:$AC$1,0))),0)</f>
        <v>0</v>
      </c>
      <c r="CR20" s="102" t="s">
        <v>98</v>
      </c>
      <c r="CS20" s="94">
        <f>IFERROR(IF(AND($CS$2&lt;&gt;"Enter Spend&gt;&gt;&gt;",CT2="EXISTING"),SUMIFS('Existing Customers'!$Q:$Q,'Existing Customers'!$A:$A,$CS$1,'Existing Customers'!$H:$H,$CR20)*$CS$4,$CS$3*$CQ20),0)</f>
        <v>0</v>
      </c>
      <c r="CT20" s="89">
        <f>IFERROR(IF(AND($CS$2&lt;&gt;"Enter Spend&gt;&gt;&gt;",CT2="EXISTING"),SUMIFS('Existing Customers'!$N:$N,'Existing Customers'!$A:$A,$CS$1,'Existing Customers'!$H:$H,$CR20)*$CS$4,$CS20/$DD20),0)</f>
        <v>0</v>
      </c>
      <c r="CU20" s="95">
        <f>IFERROR(IF(AND($CS$2&lt;&gt;"Enter Spend&gt;&gt;&gt;",BB28="EXISTING"),SUMIFS('Existing Customers'!$O:$O,'Existing Customers'!$H:$H,$CR20,'Existing Customers'!$A:$A,$CS$1)*$CS$4,$CT20*$CS$8),0)</f>
        <v>0</v>
      </c>
      <c r="CV20" s="95">
        <f>IFERROR(IF(AND($CS$2&lt;&gt;"Enter Spend&gt;&gt;&gt;",CT2="EXISTING"),SUMIFS('Existing Customers'!$P:$P,'Existing Customers'!$A:$A,$CS$1,'Existing Customers'!$H:$H,$CR20)*$CS$4,$CS20/$DE20),0)</f>
        <v>0</v>
      </c>
      <c r="CW20" s="96">
        <f>IFERROR(IF(AND($CS$2&lt;&gt;"Enter Spend&gt;&gt;&gt;",CT2="EXISTING"),SUMIFS('Existing Customers'!$V:$V,'Existing Customers'!$H:$H,$CR20,'Existing Customers'!$A:$A,$CS$1)*$CS$4,0),0)</f>
        <v>0</v>
      </c>
      <c r="CX20" s="96">
        <f>IFERROR(IF(AND($CS$2&lt;&gt;"Enter Spend&gt;&gt;&gt;",CT2="EXISTING"),SUMIFS('Existing Customers'!$R:$R,'Existing Customers'!$H:$H,$AZ20,'Existing Customers'!$A:$A,$CS$1)*$CS$4,0),0)</f>
        <v>0</v>
      </c>
      <c r="CY20" s="1161">
        <f>IFERROR(IF(AND($CS$2&lt;&gt;"Enter Spend&gt;&gt;&gt;",CT2="EXISTING"),SUMIFS('Existing Customers'!$S:$S,'Existing Customers'!$H:$H,$CR20,'Existing Customers'!$A:$A,$CS$1),DI20*CS20),0)</f>
        <v>0</v>
      </c>
      <c r="CZ20" s="1161">
        <f>IFERROR(IF(AND($CS$2&lt;&gt;"Enter Spend&gt;&gt;&gt;",CT2="EXISTING"),SUMIFS('Existing Customers'!$U:$U,'Existing Customers'!$H:$H,$CR20,'Existing Customers'!$A:$A,$CS$1),DJ20*CS20),0)</f>
        <v>0</v>
      </c>
      <c r="DA20" s="1164" t="e">
        <f t="shared" si="28"/>
        <v>#N/A</v>
      </c>
      <c r="DB20" s="1164">
        <f t="array" ref="DB20">IFERROR(INDEX('Margin Guidence Table'!$A$1:$AD$30000,MATCH(1,('Margin Guidence Table'!$A$1:$A$10000=DA20)*('Margin Guidence Table'!$H$1:$H$10000&lt;=ROUND($CS$3,0))*('Margin Guidence Table'!$G$1:$G$10000&gt;=ROUND($CS$3,0)),0),MATCH("DATA_POINTS",'Margin Guidence Table'!$A$1:$AC$1,0)),0)</f>
        <v>0</v>
      </c>
      <c r="DC20" s="1161" t="str">
        <f t="shared" si="29"/>
        <v>DEFAULT</v>
      </c>
      <c r="DD20" s="1161">
        <f t="array" ref="DD20">IFERROR(IF($DC20="SEGMENT",INDEX('Margin Guidence Table'!$A$1:$AC$10000,MATCH(1,('Margin Guidence Table'!$A$1:$A$10000=DA20)*('Margin Guidence Table'!$H$1:$H$10000&lt;=ROUND($CS$3,0))*('Margin Guidence Table'!$G$1:$G$10000&gt;=ROUND($CS$3,0)),0),MATCH("SALES_CASE",'Margin Guidence Table'!$A$1:$AC$1,0)),INDEX('Margin Guidence Table'!$A$1:$AC$10000,MATCH(1,('Margin Guidence Table'!$A$1:$A$10000=DA20)*('Margin Guidence Table'!$H$1:$H$10000&lt;=ROUND($CS$3,0))*('Margin Guidence Table'!$G$1:$G$10000&gt;=ROUND($CS$3,0)),0),MATCH("DEFAULT_SALES_CASE",'Margin Guidence Table'!$A$1:$AC$1,0))),0)</f>
        <v>0</v>
      </c>
      <c r="DE20" s="1161">
        <f t="array" ref="DE20">IFERROR(IF($DC20="SEGMENT",INDEX('Margin Guidence Table'!$A$1:$AC$10000,MATCH(1,('Margin Guidence Table'!$A$1:$A$10000=DA20)*('Margin Guidence Table'!$H$1:$H$10000&lt;=ROUND($CS$3,0))*('Margin Guidence Table'!$G$1:$G$10000&gt;=ROUND($CS$3,0)),0),MATCH("SALES_LBS",'Margin Guidence Table'!$A$1:$AC$1,0)),INDEX('Margin Guidence Table'!$A$1:$AC$10000,MATCH(1,('Margin Guidence Table'!$A$1:$A$10000=DA20)*('Margin Guidence Table'!$H$1:$H$10000&lt;=ROUND($CS$3,0))*('Margin Guidence Table'!$G$1:$G$10000&gt;=ROUND($CS$3,0)),0),MATCH("DEFAULT_SALES_LBS",'Margin Guidence Table'!$A$1:$AC$1,0))),0)</f>
        <v>0</v>
      </c>
      <c r="DF20" s="1165">
        <f t="array" ref="DF20">IFERROR(IF($DC20="SEGMENT",INDEX('Margin Guidence Table'!$A$1:$AC$10000,MATCH(1,('Margin Guidence Table'!$A$1:$A$10000=DA20)*('Margin Guidence Table'!$H$1:$H$10000&lt;=ROUND($CS$3,0))*('Margin Guidence Table'!$G$1:$G$10000&gt;=ROUND($CS$3,0)),0),MATCH("MDA_MIN_MARGIN_GUIDENCE",'Margin Guidence Table'!$A$1:$AC$1,0)),INDEX('Margin Guidence Table'!$A$1:$AC$10000,MATCH(1,('Margin Guidence Table'!$A$1:$A$10000=DA20)*('Margin Guidence Table'!$H$1:$H$10000&lt;=ROUND($CS$3,0))*('Margin Guidence Table'!$G$1:$G$10000&gt;=ROUND($CS$3,0)),0),MATCH("DEFAULT_MDA_MIN_MARGIN_GUIDENCE",'Margin Guidence Table'!$A$1:$AC$1,0))),0)</f>
        <v>0</v>
      </c>
      <c r="DG20" s="1165">
        <f t="array" ref="DG20">IFERROR(IF($DC20="SEGMENT",INDEX('Margin Guidence Table'!$A$1:$AC$10000,MATCH(1,('Margin Guidence Table'!$A$1:$A$10000=DA20)*('Margin Guidence Table'!$H$1:$H$10000&lt;=ROUND($CS$3,0))*('Margin Guidence Table'!$G$1:$G$10000&gt;=ROUND($CS$3,0)),0),MATCH("MDA_MEDIAN_MARGIN_GUIDENCE",'Margin Guidence Table'!$A$1:$AC$1,0)),INDEX('Margin Guidence Table'!$A$1:$AC$10000,MATCH(1,('Margin Guidence Table'!$A$1:$A$10000=DA20)*('Margin Guidence Table'!$H$1:$H$10000&lt;=ROUND($CS$3,0))*('Margin Guidence Table'!$G$1:$G$10000&gt;=ROUND($CS$3,0)),0),MATCH("DEFAULT_MDA_MEDIAN_MARGIN_GUIDENCE",'Margin Guidence Table'!$A$1:$AC$1,0))),0)</f>
        <v>0</v>
      </c>
      <c r="DH20" s="1165">
        <f t="array" ref="DH20">IFERROR(IF($DC20="SEGMENT",INDEX('Margin Guidence Table'!$A$1:$AC$10000,MATCH(1,('Margin Guidence Table'!$A$1:$A$10000=DA20)*('Margin Guidence Table'!$H$1:$H$10000&lt;=ROUND($CS$3,0))*('Margin Guidence Table'!$G$1:$G$10000&gt;=ROUND($CS$3,0)),0),MATCH("MDA_MAX_MARGIN_GUIDENCE",'Margin Guidence Table'!$A$1:$AC$1,0)),INDEX('Margin Guidence Table'!$A$1:$AC$10000,MATCH(1,('Margin Guidence Table'!$A$1:$A$10000=DA20)*('Margin Guidence Table'!$H$1:$H$10000&lt;=ROUND($CS$3,0))*('Margin Guidence Table'!$G$1:$G$10000&gt;=ROUND($CS$3,0)),0),MATCH("DEFAULT_MDA_MAX_MARGIN_GUIDENCE",'Margin Guidence Table'!$A$1:$AC$1,0))),0)</f>
        <v>0</v>
      </c>
      <c r="DI20" s="1165">
        <f t="array" ref="DI20">IFERROR(IF($DC20="SEGMENT",INDEX('Margin Guidence Table'!$A$1:$AC$10000,MATCH(1,('Margin Guidence Table'!$A$1:$A$10000=DA20)*('Margin Guidence Table'!$H$1:$H$10000&lt;=ROUND($CS$3,0))*('Margin Guidence Table'!$G$1:$G$10000&gt;=ROUND($CS$3,0)),0),MATCH("PA_PCT_SALES",'Margin Guidence Table'!$A$1:$AC$1,0)),INDEX('Margin Guidence Table'!$A$1:$AC$10000,MATCH(1,('Margin Guidence Table'!$A$1:$A$10000=DA20)*('Margin Guidence Table'!$H$1:$H$10000&lt;=ROUND($CS$3,0))*('Margin Guidence Table'!$G$1:$G$10000&gt;=ROUND($CS$3,0)),0),MATCH("DEFAULT_PA_PCT_SALES",'Margin Guidence Table'!$A$1:$AC$1,0))),0)</f>
        <v>0</v>
      </c>
      <c r="DJ20" s="1165">
        <f t="array" ref="DJ20">IFERROR(IF($DC20="SEGMENT",INDEX('Margin Guidence Table'!$A$1:$AC$10000,MATCH(1,('Margin Guidence Table'!$A$1:$A$10000=DA20)*('Margin Guidence Table'!$H$1:$H$10000&lt;=ROUND($CS$3,0))*('Margin Guidence Table'!$G$1:$G$10000&gt;=ROUND($CS$3,0)),0),MATCH("SELF_FUND_PCT_SALES",'Margin Guidence Table'!$A$1:$AC$1,0)),INDEX('Margin Guidence Table'!$A$1:$AC$10000,MATCH(1,('Margin Guidence Table'!$A$1:$A$10000=DA20)*('Margin Guidence Table'!$H$1:$H$10000&lt;=ROUND($CS$3,0))*('Margin Guidence Table'!$G$1:$G$10000&gt;=ROUND($CS$3,0)),0),MATCH("DEFAULT_SELF_FUND_PCT_SALES",'Margin Guidence Table'!$A$1:$AC$1,0))),0)</f>
        <v>0</v>
      </c>
      <c r="DK20" s="1165">
        <f t="array" ref="DK20">IFERROR(IF($DC20="SEGMENT",INDEX('Margin Guidence Table'!$A$1:$AC$10000,MATCH(1,('Margin Guidence Table'!$A$1:$A$10000=DA20)*('Margin Guidence Table'!$H$1:$H$10000&lt;=ROUND($CS$3,0))*('Margin Guidence Table'!$G$1:$G$10000&gt;=ROUND($CS$3,0)),0),MATCH("CIA_MEDIAN_MARGIN_GUIDENCE",'Margin Guidence Table'!$A$1:$AC$1,0)),INDEX('Margin Guidence Table'!$A$1:$AC$10000,MATCH(1,('Margin Guidence Table'!$A$1:$A$10000=DA20)*('Margin Guidence Table'!$H$1:$H$10000&lt;=ROUND($CS$3,0))*('Margin Guidence Table'!$G$1:$G$10000&gt;=ROUND($CS$3,0)),0),MATCH("DEFAULT_CIA_MEDIAN_MARGIN_GUIDENCE",'Margin Guidence Table'!$A$1:$AC$1,0))),0)</f>
        <v>0</v>
      </c>
      <c r="DL20" s="129"/>
      <c r="DM20" s="18">
        <f t="array" ref="DM20">IFERROR(IF($DY20="SEGMENT",INDEX('Margin Guidence Table'!$A$1:$AC$10000,MATCH(1,('Margin Guidence Table'!$A$1:$A$10000=$DW20)*('Margin Guidence Table'!$H$1:$H$10000&lt;=ROUND($DO$3,0))*('Margin Guidence Table'!$G$1:$G$10000&gt;=ROUND($DO$3,0)),0),MATCH("PCT_SALES",'Margin Guidence Table'!$A$1:$AC$1,0)),INDEX('Margin Guidence Table'!$A$1:$AC$10000,MATCH(1,('Margin Guidence Table'!$A$1:$A$10000=$DW20)*('Margin Guidence Table'!$H$1:$H$10000&lt;=ROUND($DO$3,0))*('Margin Guidence Table'!$G$1:$G$10000&gt;=ROUND($DO$3,0)),0),MATCH("DEFAULT_PCT_SALES",'Margin Guidence Table'!$A$1:$AC$1,0))),0)</f>
        <v>0</v>
      </c>
      <c r="DN20" s="102" t="s">
        <v>98</v>
      </c>
      <c r="DO20" s="94">
        <f>IFERROR(IF(AND($DO$2&lt;&gt;"Enter Spend&gt;&gt;&gt;",DP2="EXISTING"),SUMIFS('Existing Customers'!$Q:$Q,'Existing Customers'!$A:$A,$DO$1,'Existing Customers'!$H:$H,$DN20)*$DO$4,$DO$3*$DM20),0)</f>
        <v>0</v>
      </c>
      <c r="DP20" s="89">
        <f>IFERROR(IF(AND($DO$2&lt;&gt;"Enter Spend&gt;&gt;&gt;",DP2="EXISTING"),SUMIFS('Existing Customers'!$N:$N,'Existing Customers'!$A:$A,$DO$1,'Existing Customers'!$H:$H,$DN20)*$DO$4,$DO20/$DZ20),0)</f>
        <v>0</v>
      </c>
      <c r="DQ20" s="95">
        <f>IFERROR(IF(AND($DO$2&lt;&gt;"Enter Spend&gt;&gt;&gt;",DP2="EXISTING"),SUMIFS('Existing Customers'!$O:$O,'Existing Customers'!$H:$H,$DN20,'Existing Customers'!$A:$A,$DO$1)*$DO$4,$DP20*$DO$8),0)</f>
        <v>0</v>
      </c>
      <c r="DR20" s="95">
        <f>IFERROR(IF(AND($DO$2&lt;&gt;"Enter Spend&gt;&gt;&gt;",DP2="EXISTING"),SUMIFS('Existing Customers'!$P:$P,'Existing Customers'!$A:$A,$DO$1,'Existing Customers'!$H:$H,$DN20)*$DO$4,$DO20/$EA20),0)</f>
        <v>0</v>
      </c>
      <c r="DS20" s="96">
        <f>IFERROR(IF(AND($DO$2&lt;&gt;"Enter Spend&gt;&gt;&gt;",EL2="EXISTING"),SUMIFS('Existing Customers'!$V:$V,'Existing Customers'!$H:$H,$DN20,'Existing Customers'!$A:$A,$DO$1)*$DO$4,0),0)</f>
        <v>0</v>
      </c>
      <c r="DT20" s="96">
        <f>IFERROR(IF(AND($DO$2&lt;&gt;"Enter Spend&gt;&gt;&gt;",DP2="EXISTING"),SUMIFS('Existing Customers'!$R:$R,'Existing Customers'!$H:$H,$DN20,'Existing Customers'!$A:$A,$DO$1)*$DO$4,0),0)</f>
        <v>0</v>
      </c>
      <c r="DU20" s="1161">
        <f>IFERROR(IF(AND($DO$2&lt;&gt;"Enter Spend&gt;&gt;&gt;",DP2="EXISTING"),SUMIFS('Existing Customers'!$S:$S,'Existing Customers'!$H:$H,$DP20,'Existing Customers'!$A:$A,$DO$1),EE20*DO20),0)</f>
        <v>0</v>
      </c>
      <c r="DV20" s="1161">
        <f>IFERROR(IF(AND($DO$2&lt;&gt;"Enter Spend&gt;&gt;&gt;",DP2="EXISTING"),SUMIFS('Existing Customers'!$U:$U,'Existing Customers'!$H:$H,$DN20,'Existing Customers'!$A:$A,$DO$1),EF20*DO20),0)</f>
        <v>0</v>
      </c>
      <c r="DW20" s="1164" t="e">
        <f t="shared" si="30"/>
        <v>#N/A</v>
      </c>
      <c r="DX20" s="1164">
        <f t="array" ref="DX20">IFERROR(INDEX('Margin Guidence Table'!$A$1:$AD$30000,MATCH(1,('Margin Guidence Table'!$A$1:$A$10000=DW20)*('Margin Guidence Table'!$H$1:$H$10000&lt;=ROUND($DO$3,0))*('Margin Guidence Table'!$G$1:$G$10000&gt;=ROUND($DO$3,0)),0),MATCH("DATA_POINTS",'Margin Guidence Table'!$A$1:$AC$1,0)),0)</f>
        <v>0</v>
      </c>
      <c r="DY20" s="1161" t="str">
        <f t="shared" si="31"/>
        <v>DEFAULT</v>
      </c>
      <c r="DZ20" s="1161">
        <f t="array" ref="DZ20">IFERROR(IF($DY20="SEGMENT",INDEX('Margin Guidence Table'!$A$1:$AC$10000,MATCH(1,('Margin Guidence Table'!$A$1:$A$10000=DW20)*('Margin Guidence Table'!$H$1:$H$10000&lt;=ROUND($DO$3,0))*('Margin Guidence Table'!$G$1:$G$10000&gt;=ROUND($DO$3,0)),0),MATCH("SALES_CASE",'Margin Guidence Table'!$A$1:$AC$1,0)),INDEX('Margin Guidence Table'!$A$1:$AC$10000,MATCH(1,('Margin Guidence Table'!$A$1:$A$10000=DW20)*('Margin Guidence Table'!$H$1:$H$10000&lt;=ROUND($DO$3,0))*('Margin Guidence Table'!$G$1:$G$10000&gt;=ROUND($DO$3,0)),0),MATCH("DEFAULT_SALES_CASE",'Margin Guidence Table'!$A$1:$AC$1,0))),0)</f>
        <v>0</v>
      </c>
      <c r="EA20" s="1161">
        <f t="array" ref="EA20">IFERROR(IF($DY20="SEGMENT",INDEX('Margin Guidence Table'!$A$1:$AC$10000,MATCH(1,('Margin Guidence Table'!$A$1:$A$10000=DW20)*('Margin Guidence Table'!$H$1:$H$10000&lt;=ROUND($DO$3,0))*('Margin Guidence Table'!$G$1:$G$10000&gt;=ROUND($DO$3,0)),0),MATCH("SALES_LBS",'Margin Guidence Table'!$A$1:$AC$1,0)),INDEX('Margin Guidence Table'!$A$1:$AC$10000,MATCH(1,('Margin Guidence Table'!$A$1:$A$10000=DW20)*('Margin Guidence Table'!$H$1:$H$10000&lt;=ROUND($DO$3,0))*('Margin Guidence Table'!$G$1:$G$10000&gt;=ROUND($DO$3,0)),0),MATCH("DEFAULT_SALES_LBS",'Margin Guidence Table'!$A$1:$AC$1,0))),0)</f>
        <v>0</v>
      </c>
      <c r="EB20" s="1165">
        <f t="array" ref="EB20">IFERROR(IF($DY20="SEGMENT",INDEX('Margin Guidence Table'!$A$1:$AC$10000,MATCH(1,('Margin Guidence Table'!$A$1:$A$10000=DW20)*('Margin Guidence Table'!$H$1:$H$10000&lt;=ROUND($DO$3,0))*('Margin Guidence Table'!$G$1:$G$10000&gt;=ROUND($DO$3,0)),0),MATCH("MDA_MIN_MARGIN_GUIDENCE",'Margin Guidence Table'!$A$1:$AC$1,0)),INDEX('Margin Guidence Table'!$A$1:$AC$10000,MATCH(1,('Margin Guidence Table'!$A$1:$A$10000=DW20)*('Margin Guidence Table'!$H$1:$H$10000&lt;=ROUND($DO$3,0))*('Margin Guidence Table'!$G$1:$G$10000&gt;=ROUND($DO$3,0)),0),MATCH("DEFAULT_MDA_MIN_MARGIN_GUIDENCE",'Margin Guidence Table'!$A$1:$AC$1,0))),0)</f>
        <v>0</v>
      </c>
      <c r="EC20" s="1165">
        <f t="array" ref="EC20">IFERROR(IF($DY20="SEGMENT",INDEX('Margin Guidence Table'!$A$1:$AC$10000,MATCH(1,('Margin Guidence Table'!$A$1:$A$10000=DW20)*('Margin Guidence Table'!$H$1:$H$10000&lt;=ROUND($DO$3,0))*('Margin Guidence Table'!$G$1:$G$10000&gt;=ROUND($DO$3,0)),0),MATCH("MDA_MEDIAN_MARGIN_GUIDENCE",'Margin Guidence Table'!$A$1:$AC$1,0)),INDEX('Margin Guidence Table'!$A$1:$AC$10000,MATCH(1,('Margin Guidence Table'!$A$1:$A$10000=DW20)*('Margin Guidence Table'!$H$1:$H$10000&lt;=ROUND($DO$3,0))*('Margin Guidence Table'!$G$1:$G$10000&gt;=ROUND($DO$3,0)),0),MATCH("DEFAULT_MDA_MEDIAN_MARGIN_GUIDENCE",'Margin Guidence Table'!$A$1:$AC$1,0))),0)</f>
        <v>0</v>
      </c>
      <c r="ED20" s="1165">
        <f t="array" ref="ED20">IFERROR(IF($DY20="SEGMENT",INDEX('Margin Guidence Table'!$A$1:$AC$10000,MATCH(1,('Margin Guidence Table'!$A$1:$A$10000=DW20)*('Margin Guidence Table'!$H$1:$H$10000&lt;=ROUND($DO$3,0))*('Margin Guidence Table'!$G$1:$G$10000&gt;=ROUND($DO$3,0)),0),MATCH("MDA_MAX_MARGIN_GUIDENCE",'Margin Guidence Table'!$A$1:$AC$1,0)),INDEX('Margin Guidence Table'!$A$1:$AC$10000,MATCH(1,('Margin Guidence Table'!$A$1:$A$10000=DW20)*('Margin Guidence Table'!$H$1:$H$10000&lt;=ROUND($DO$3,0))*('Margin Guidence Table'!$G$1:$G$10000&gt;=ROUND($DO$3,0)),0),MATCH("DEFAULT_MDA_MAX_MARGIN_GUIDENCE",'Margin Guidence Table'!$A$1:$AC$1,0))),0)</f>
        <v>0</v>
      </c>
      <c r="EE20" s="1165">
        <f t="array" ref="EE20">IFERROR(IF($DY20="SEGMENT",INDEX('Margin Guidence Table'!$A$1:$AC$10000,MATCH(1,('Margin Guidence Table'!$A$1:$A$10000=DW20)*('Margin Guidence Table'!$H$1:$H$10000&lt;=ROUND($DO$3,0))*('Margin Guidence Table'!$G$1:$G$10000&gt;=ROUND($DO$3,0)),0),MATCH("PA_PCT_SALES",'Margin Guidence Table'!$A$1:$AC$1,0)),INDEX('Margin Guidence Table'!$A$1:$AC$10000,MATCH(1,('Margin Guidence Table'!$A$1:$A$10000=DW20)*('Margin Guidence Table'!$H$1:$H$10000&lt;=ROUND($DO$3,0))*('Margin Guidence Table'!$G$1:$G$10000&gt;=ROUND($DO$3,0)),0),MATCH("DEFAULT_PA_PCT_SALES",'Margin Guidence Table'!$A$1:$AC$1,0))),0)</f>
        <v>0</v>
      </c>
      <c r="EF20" s="1165">
        <f t="array" ref="EF20">IFERROR(IF($DY20="SEGMENT",INDEX('Margin Guidence Table'!$A$1:$AC$10000,MATCH(1,('Margin Guidence Table'!$A$1:$A$10000=DW20)*('Margin Guidence Table'!$H$1:$H$10000&lt;=ROUND($DO$3,0))*('Margin Guidence Table'!$G$1:$G$10000&gt;=ROUND($DO$3,0)),0),MATCH("SELF_FUND_PCT_SALES",'Margin Guidence Table'!$A$1:$AC$1,0)),INDEX('Margin Guidence Table'!$A$1:$AC$10000,MATCH(1,('Margin Guidence Table'!$A$1:$A$10000=DW20)*('Margin Guidence Table'!$H$1:$H$10000&lt;=ROUND($DO$3,0))*('Margin Guidence Table'!$G$1:$G$10000&gt;=ROUND($DO$3,0)),0),MATCH("DEFAULT_SELF_FUND_PCT_SALES",'Margin Guidence Table'!$A$1:$AC$1,0))),0)</f>
        <v>0</v>
      </c>
      <c r="EG20" s="1165">
        <f t="array" ref="EG20">IFERROR(IF($DY20="SEGMENT",INDEX('Margin Guidence Table'!$A$1:$AC$10000,MATCH(1,('Margin Guidence Table'!$A$1:$A$10000=DW20)*('Margin Guidence Table'!$H$1:$H$10000&lt;=ROUND($DO$3,0))*('Margin Guidence Table'!$G$1:$G$10000&gt;=ROUND($DO$3,0)),0),MATCH("CIA_MEDIAN_MARGIN_GUIDENCE",'Margin Guidence Table'!$A$1:$AC$1,0)),INDEX('Margin Guidence Table'!$A$1:$AC$10000,MATCH(1,('Margin Guidence Table'!$A$1:$A$10000=DW20)*('Margin Guidence Table'!$H$1:$H$10000&lt;=ROUND($DO$3,0))*('Margin Guidence Table'!$G$1:$G$10000&gt;=ROUND($DO$3,0)),0),MATCH("DEFAULT_CIA_MEDIAN_MARGIN_GUIDENCE",'Margin Guidence Table'!$A$1:$AC$1,0))),0)</f>
        <v>0</v>
      </c>
      <c r="EH20" s="129"/>
      <c r="EI20" s="18">
        <f t="array" ref="EI20">IFERROR(IF($EU20="SEGMENT",INDEX('Margin Guidence Table'!$A$1:$AC$10000,MATCH(1,('Margin Guidence Table'!$A$1:$A$10000=$ES20)*('Margin Guidence Table'!$H$1:$H$10000&lt;=ROUND($EK$3,0))*('Margin Guidence Table'!$G$1:$G$10000&gt;=ROUND($EK$3,0)),0),MATCH("PCT_SALES",'Margin Guidence Table'!$A$1:$AC$1,0)),INDEX('Margin Guidence Table'!$A$1:$AC$10000,MATCH(1,('Margin Guidence Table'!$A$1:$A$10000=$ES20)*('Margin Guidence Table'!$H$1:$H$10000&lt;=ROUND($EK$3,0))*('Margin Guidence Table'!$G$1:$G$10000&gt;=ROUND($EK$3,0)),0),MATCH("DEFAULT_PCT_SALES",'Margin Guidence Table'!$A$1:$AC$1,0))),0)</f>
        <v>0</v>
      </c>
      <c r="EJ20" s="102" t="s">
        <v>98</v>
      </c>
      <c r="EK20" s="94">
        <f>IFERROR(IF(AND($EK$2&lt;&gt;"Enter Spend&gt;&gt;&gt;",EL2="EXISTING"),SUMIFS('Existing Customers'!$Q:$Q,'Existing Customers'!$A:$A,$EK$1,'Existing Customers'!$H:$H,$EJ20)*$EK$4,$EK$3*$EI20),0)</f>
        <v>0</v>
      </c>
      <c r="EL20" s="89">
        <f>IFERROR(IF(AND($EK$2&lt;&gt;"Enter Spend&gt;&gt;&gt;",EL2="EXISTING"),SUMIFS('Existing Customers'!$N:$N,'Existing Customers'!$A:$A,$EK$1,'Existing Customers'!$H:$H,$EJ20)*$EK$4,$EK20/$EV20),0)</f>
        <v>0</v>
      </c>
      <c r="EM20" s="95">
        <f>IFERROR(IF(AND($EK$2&lt;&gt;"Enter Spend&gt;&gt;&gt;",EL2="EXISTING"),SUMIFS('Existing Customers'!$O:$O,'Existing Customers'!$H:$H,$EJ20,'Existing Customers'!$A:$A,$EK$1)*$EK$4,$EL20*$EK$8),0)</f>
        <v>0</v>
      </c>
      <c r="EN20" s="95">
        <f>IFERROR(IF(AND($EK$2&lt;&gt;"Enter Spend&gt;&gt;&gt;",EL2="EXISTING"),SUMIFS('Existing Customers'!$P:$P,'Existing Customers'!$A:$A,$EK$1,'Existing Customers'!$H:$H,$EJ20)*$EK$4,$EK20/$EW20),0)</f>
        <v>0</v>
      </c>
      <c r="EO20" s="96">
        <f>IFERROR(IF(AND($EK$2&lt;&gt;"Enter Spend&gt;&gt;&gt;",EL2="EXISTING"),SUMIFS('Existing Customers'!$V:$V,'Existing Customers'!$H:$H,$EJ20,'Existing Customers'!$A:$A,$EK$1)*$EK$4,0),0)</f>
        <v>0</v>
      </c>
      <c r="EP20" s="96">
        <f>IFERROR(IF(AND($EK$2&lt;&gt;"Enter Spend&gt;&gt;&gt;",EL2="EXISTING"),SUMIFS('Existing Customers'!$R:$R,'Existing Customers'!$H:$H,$EJ20,'Existing Customers'!$A:$A,$EK$1)*$EK$4,0),0)</f>
        <v>0</v>
      </c>
      <c r="EQ20" s="1161">
        <f>IFERROR(IF(AND($EK$2&lt;&gt;"Enter Spend&gt;&gt;&gt;",EL2="EXISTING"),SUMIFS('Existing Customers'!$S:$S,'Existing Customers'!$H:$H,$EJ20,'Existing Customers'!$A:$A,$EK$1),FA20*EK20),0)</f>
        <v>0</v>
      </c>
      <c r="ER20" s="1161">
        <f>IFERROR(IF(AND($EK$2&lt;&gt;"Enter Spend&gt;&gt;&gt;",EL2="EXISTING"),SUMIFS('Existing Customers'!$U:$U,'Existing Customers'!$H:$H,$EJ20,'Existing Customers'!$A:$A,$EK$1),FB20*EK20),0)</f>
        <v>0</v>
      </c>
      <c r="ES20" s="1164" t="e">
        <f t="shared" si="32"/>
        <v>#N/A</v>
      </c>
      <c r="ET20" s="1164">
        <f t="array" ref="ET20">IFERROR(INDEX('Margin Guidence Table'!$A$1:$AD$30000,MATCH(1,('Margin Guidence Table'!$A$1:$A$10000=ES20)*('Margin Guidence Table'!$H$1:$H$10000&lt;=ROUND($EK$3,0))*('Margin Guidence Table'!$G$1:$G$10000&gt;=ROUND($EK$3,0)),0),MATCH("DATA_POINTS",'Margin Guidence Table'!$A$1:$AC$1,0)),0)</f>
        <v>0</v>
      </c>
      <c r="EU20" s="1161" t="str">
        <f t="shared" si="33"/>
        <v>DEFAULT</v>
      </c>
      <c r="EV20" s="1161">
        <f t="array" ref="EV20">IFERROR(IF($EU20="SEGMENT",INDEX('Margin Guidence Table'!$A$1:$AC$10000,MATCH(1,('Margin Guidence Table'!$A$1:$A$10000=ES20)*('Margin Guidence Table'!$H$1:$H$10000&lt;=ROUND($EK$3,0))*('Margin Guidence Table'!$G$1:$G$10000&gt;=ROUND($EK$3,0)),0),MATCH("SALES_CASE",'Margin Guidence Table'!$A$1:$AC$1,0)),INDEX('Margin Guidence Table'!$A$1:$AC$10000,MATCH(1,('Margin Guidence Table'!$A$1:$A$10000=ES20)*('Margin Guidence Table'!$H$1:$H$10000&lt;=ROUND($EK$3,0))*('Margin Guidence Table'!$G$1:$G$10000&gt;=ROUND($EK$3,0)),0),MATCH("DEFAULT_SALES_CASE",'Margin Guidence Table'!$A$1:$AC$1,0))),0)</f>
        <v>0</v>
      </c>
      <c r="EW20" s="1161" cm="1">
        <f t="array" ref="EW20">IFERROR(IF($EU20="SEGMENT",INDEX('Margin Guidence Table'!$A$1:$AC$10000,MATCH(1,('Margin Guidence Table'!$A$1:$A$10000=ES20)*('Margin Guidence Table'!$H$1:$H$10000&lt;=ROUND($EK$3,0))*('Margin Guidence Table'!$G$1:$G$10000&gt;=ROUND($EK$3,0)),0),MATCH("SALES_LBS",'Margin Guidence Table'!$A$1:$AC$1,0)),INDEX('Margin Guidence Table'!$A$1:$AC$10000,MATCH(1,('Margin Guidence Table'!$A$1:$A$10000=ES20)*('Margin Guidence Table'!$H$1:$H$10000&lt;=ROUND($EK$3,0))*('Margin Guidence Table'!$G$1:$G$10000&gt;=ROUND($EK$3,0)),0),MATCH("DEFAULT_SALES_LBS",'Margin Guidence Table'!$A$1:$AC$1,0))),0)</f>
        <v>0</v>
      </c>
      <c r="EX20" s="1165">
        <f t="array" ref="EX20">IFERROR(IF($EU20="SEGMENT",INDEX('Margin Guidence Table'!$A$1:$AC$10000,MATCH(1,('Margin Guidence Table'!$A$1:$A$10000=ES20)*('Margin Guidence Table'!$H$1:$H$10000&lt;=ROUND($EK$3,0))*('Margin Guidence Table'!$G$1:$G$10000&gt;=ROUND($EK$3,0)),0),MATCH("MDA_MIN_MARGIN_GUIDENCE",'Margin Guidence Table'!$A$1:$AC$1,0)),INDEX('Margin Guidence Table'!$A$1:$AC$10000,MATCH(1,('Margin Guidence Table'!$A$1:$A$10000=ES20)*('Margin Guidence Table'!$H$1:$H$10000&lt;=ROUND($EK$3,0))*('Margin Guidence Table'!$G$1:$G$10000&gt;=ROUND($EK$3,0)),0),MATCH("DEFAULT_MDA_MIN_MARGIN_GUIDENCE",'Margin Guidence Table'!$A$1:$AC$1,0))),0)</f>
        <v>0</v>
      </c>
      <c r="EY20" s="1165">
        <f t="array" ref="EY20">IFERROR(IF($EU20="SEGMENT",INDEX('Margin Guidence Table'!$A$1:$AC$10000,MATCH(1,('Margin Guidence Table'!$A$1:$A$10000=ES20)*('Margin Guidence Table'!$H$1:$H$10000&lt;=ROUND($EK$3,0))*('Margin Guidence Table'!$G$1:$G$10000&gt;=ROUND($EK$3,0)),0),MATCH("MDA_MEDIAN_MARGIN_GUIDENCE",'Margin Guidence Table'!$A$1:$AC$1,0)),INDEX('Margin Guidence Table'!$A$1:$AC$10000,MATCH(1,('Margin Guidence Table'!$A$1:$A$10000=ES20)*('Margin Guidence Table'!$H$1:$H$10000&lt;=ROUND($EK$3,0))*('Margin Guidence Table'!$G$1:$G$10000&gt;=ROUND($EK$3,0)),0),MATCH("DEFAULT_MDA_MEDIAN_MARGIN_GUIDENCE",'Margin Guidence Table'!$A$1:$AC$1,0))),0)</f>
        <v>0</v>
      </c>
      <c r="EZ20" s="1165">
        <f t="array" ref="EZ20">IFERROR(IF($EU20="SEGMENT",INDEX('Margin Guidence Table'!$A$1:$AC$10000,MATCH(1,('Margin Guidence Table'!$A$1:$A$10000=ES20)*('Margin Guidence Table'!$H$1:$H$10000&lt;=ROUND($EK$3,0))*('Margin Guidence Table'!$G$1:$G$10000&gt;=ROUND($EK$3,0)),0),MATCH("MDA_MAX_MARGIN_GUIDENCE",'Margin Guidence Table'!$A$1:$AC$1,0)),INDEX('Margin Guidence Table'!$A$1:$AC$10000,MATCH(1,('Margin Guidence Table'!$A$1:$A$10000=ES20)*('Margin Guidence Table'!$H$1:$H$10000&lt;=ROUND($EK$3,0))*('Margin Guidence Table'!$G$1:$G$10000&gt;=ROUND($EK$3,0)),0),MATCH("DEFAULT_MDA_MAX_MARGIN_GUIDENCE",'Margin Guidence Table'!$A$1:$AC$1,0))),0)</f>
        <v>0</v>
      </c>
      <c r="FA20" s="1165">
        <f t="array" ref="FA20">IFERROR(IF($EU20="SEGMENT",INDEX('Margin Guidence Table'!$A$1:$AC$10000,MATCH(1,('Margin Guidence Table'!$A$1:$A$10000=ES20)*('Margin Guidence Table'!$H$1:$H$10000&lt;=ROUND($EK$3,0))*('Margin Guidence Table'!$G$1:$G$10000&gt;=ROUND($EK$3,0)),0),MATCH("PA_PCT_SALES",'Margin Guidence Table'!$A$1:$AC$1,0)),INDEX('Margin Guidence Table'!$A$1:$AC$10000,MATCH(1,('Margin Guidence Table'!$A$1:$A$10000=ES20)*('Margin Guidence Table'!$H$1:$H$10000&lt;=ROUND($EK$3,0))*('Margin Guidence Table'!$G$1:$G$10000&gt;=ROUND($EK$3,0)),0),MATCH("DEFAULT_PA_PCT_SALES",'Margin Guidence Table'!$A$1:$AC$1,0))),0)</f>
        <v>0</v>
      </c>
      <c r="FB20" s="1165">
        <f t="array" ref="FB20">IFERROR(IF($EU20="SEGMENT",INDEX('Margin Guidence Table'!$A$1:$AC$10000,MATCH(1,('Margin Guidence Table'!$A$1:$A$10000=ES20)*('Margin Guidence Table'!$H$1:$H$10000&lt;=ROUND($EK$3,0))*('Margin Guidence Table'!$G$1:$G$10000&gt;=ROUND($EK$3,0)),0),MATCH("SELF_FUND_PCT_SALES",'Margin Guidence Table'!$A$1:$AC$1,0)),INDEX('Margin Guidence Table'!$A$1:$AC$10000,MATCH(1,('Margin Guidence Table'!$A$1:$A$10000=ES20)*('Margin Guidence Table'!$H$1:$H$10000&lt;=ROUND($EK$3,0))*('Margin Guidence Table'!$G$1:$G$10000&gt;=ROUND($EK$3,0)),0),MATCH("DEFAULT_SELF_FUND_PCT_SALES",'Margin Guidence Table'!$A$1:$AC$1,0))),0)</f>
        <v>0</v>
      </c>
      <c r="FC20" s="1165">
        <f t="array" ref="FC20">IFERROR(IF($EU20="SEGMENT",INDEX('Margin Guidence Table'!$A$1:$AC$10000,MATCH(1,('Margin Guidence Table'!$A$1:$A$10000=ES20)*('Margin Guidence Table'!$H$1:$H$10000&lt;=ROUND($EK$3,0))*('Margin Guidence Table'!$G$1:$G$10000&gt;=ROUND($EK$3,0)),0),MATCH("CIA_MEDIAN_MARGIN_GUIDENCE",'Margin Guidence Table'!$A$1:$AC$1,0)),INDEX('Margin Guidence Table'!$A$1:$AC$10000,MATCH(1,('Margin Guidence Table'!$A$1:$A$10000=ES20)*('Margin Guidence Table'!$H$1:$H$10000&lt;=ROUND($EK$3,0))*('Margin Guidence Table'!$G$1:$G$10000&gt;=ROUND($EK$3,0)),0),MATCH("DEFAULT_CIA_MEDIAN_MARGIN_GUIDENCE",'Margin Guidence Table'!$A$1:$AC$1,0))),0)</f>
        <v>0</v>
      </c>
      <c r="FD20" s="129"/>
      <c r="FE20" s="18">
        <f t="array" ref="FE20">IFERROR(IF($FQ20="SEGMENT",INDEX('Margin Guidence Table'!$A$1:$AC$10000,MATCH(1,('Margin Guidence Table'!$A$1:$A$10000=$FO20)*('Margin Guidence Table'!$H$1:$H$10000&lt;=ROUND($FG$3,0))*('Margin Guidence Table'!$G$1:$G$10000&gt;=ROUND($FG$3,0)),0),MATCH("PCT_SALES",'Margin Guidence Table'!$A$1:$AC$1,0)),INDEX('Margin Guidence Table'!$A$1:$AC$10000,MATCH(1,('Margin Guidence Table'!$A$1:$A$10000=$FO20)*('Margin Guidence Table'!$H$1:$H$10000&lt;=ROUND($FG$3,0))*('Margin Guidence Table'!$G$1:$G$10000&gt;=ROUND($FG$3,0)),0),MATCH("DEFAULT_PCT_SALES",'Margin Guidence Table'!$A$1:$AC$1,0))),0)</f>
        <v>0</v>
      </c>
      <c r="FF20" s="102" t="s">
        <v>98</v>
      </c>
      <c r="FG20" s="94">
        <f>IFERROR(IF(AND($FG$2&lt;&gt;"Enter Spend&gt;&gt;&gt;",FH2="EXISTING"),SUMIFS('Existing Customers'!$Q:$Q,'Existing Customers'!$A:$A,$FG$1,'Existing Customers'!$H:$H,$FF20)*$FG$4,$FG$3*$FE20),0)</f>
        <v>0</v>
      </c>
      <c r="FH20" s="89">
        <f>IFERROR(IF(AND($FG$2&lt;&gt;"Enter Spend&gt;&gt;&gt;",FH2="EXISTING"),SUMIFS('Existing Customers'!$N:$N,'Existing Customers'!$A:$A,$FG$1,'Existing Customers'!$H:$H,$FF20)*$FG$4,$FG20/$FR20),0)</f>
        <v>0</v>
      </c>
      <c r="FI20" s="95">
        <f>IFERROR(IF(AND($FG$2&lt;&gt;"Enter Spend&gt;&gt;&gt;",FH2="EXISTING"),SUMIFS('Existing Customers'!$O:$O,'Existing Customers'!$H:$H,$FF20,'Existing Customers'!$A:$A,$FG$1)*$FG$4,$FH20*$FG$8),0)</f>
        <v>0</v>
      </c>
      <c r="FJ20" s="95">
        <f>IFERROR(IF(AND($FG$2&lt;&gt;"Enter Spend&gt;&gt;&gt;",FH2="EXISTING"),SUMIFS('Existing Customers'!$P:$P,'Existing Customers'!$A:$A,$FG$1,'Existing Customers'!$H:$H,$FF20)*$FG$4,$FG20/$FS20),0)</f>
        <v>0</v>
      </c>
      <c r="FK20" s="96">
        <f>IFERROR(IF(AND($FG$2&lt;&gt;"Enter Spend&gt;&gt;&gt;",FH2="EXISTING"),SUMIFS('Existing Customers'!$V:$V,'Existing Customers'!$H:$H,$FF20,'Existing Customers'!$A:$A,$FG$1)*$FG$4,0),0)</f>
        <v>0</v>
      </c>
      <c r="FL20" s="96">
        <f>IFERROR(IF(AND($FG$2&lt;&gt;"Enter Spend&gt;&gt;&gt;",FH2="EXISTING"),SUMIFS('Existing Customers'!$R:$R,'Existing Customers'!$H:$H,$FF20,'Existing Customers'!$A:$A,$FG$1)*$FG$4,0),0)</f>
        <v>0</v>
      </c>
      <c r="FM20" s="1161">
        <f>IFERROR(IF(AND($FG$2&lt;&gt;"Enter Spend&gt;&gt;&gt;",FH2="EXISTING"),SUMIFS('Existing Customers'!$S:$S,'Existing Customers'!$H:$H,$FF20,'Existing Customers'!$A:$A,$FG$1),FW20*FG20),0)</f>
        <v>0</v>
      </c>
      <c r="FN20" s="1161">
        <f>IFERROR(IF(AND($FG$2&lt;&gt;"Enter Spend&gt;&gt;&gt;",FH2="EXISTING"),SUMIFS('Existing Customers'!$U:$U,'Existing Customers'!$H:$H,$FF20,'Existing Customers'!$A:$A,$FG$1),FX20*FG20),0)</f>
        <v>0</v>
      </c>
      <c r="FO20" s="1164" t="e">
        <f t="shared" si="34"/>
        <v>#N/A</v>
      </c>
      <c r="FP20" s="1164">
        <f t="array" ref="FP20">IFERROR(INDEX('Margin Guidence Table'!$A$1:$AD$30000,MATCH(1,('Margin Guidence Table'!$A$1:$A$10000=FO20)*('Margin Guidence Table'!$H$1:$H$10000&lt;=ROUND($FG$3,0))*('Margin Guidence Table'!$G$1:$G$10000&gt;=ROUND($FG$3,0)),0),MATCH("DATA_POINTS",'Margin Guidence Table'!$A$1:$AC$1,0)),0)</f>
        <v>0</v>
      </c>
      <c r="FQ20" s="1161" t="str">
        <f t="shared" si="35"/>
        <v>DEFAULT</v>
      </c>
      <c r="FR20" s="1161">
        <f t="array" ref="FR20">IFERROR(IF($FQ20="SEGMENT",INDEX('Margin Guidence Table'!$A$1:$AC$10000,MATCH(1,('Margin Guidence Table'!$A$1:$A$10000=FO20)*('Margin Guidence Table'!$H$1:$H$10000&lt;=ROUND($FG$3,0))*('Margin Guidence Table'!$G$1:$G$10000&gt;=ROUND($FG$3,0)),0),MATCH("SALES_CASE",'Margin Guidence Table'!$A$1:$AC$1,0)),INDEX('Margin Guidence Table'!$A$1:$AC$10000,MATCH(1,('Margin Guidence Table'!$A$1:$A$10000=FO20)*('Margin Guidence Table'!$H$1:$H$10000&lt;=ROUND($FG$3,0))*('Margin Guidence Table'!$G$1:$G$10000&gt;=ROUND($FG$3,0)),0),MATCH("DEFAULT_SALES_CASE",'Margin Guidence Table'!$A$1:$AC$1,0))),0)</f>
        <v>0</v>
      </c>
      <c r="FS20" s="1161">
        <f t="array" ref="FS20">IFERROR(IF($FQ20="SEGMENT",INDEX('Margin Guidence Table'!$A$1:$AC$10000,MATCH(1,('Margin Guidence Table'!$A$1:$A$10000=FO20)*('Margin Guidence Table'!$H$1:$H$10000&lt;=ROUND($FG$3,0))*('Margin Guidence Table'!$G$1:$G$10000&gt;=ROUND($FG$3,0)),0),MATCH("SALES_LBS",'Margin Guidence Table'!$A$1:$AC$1,0)),INDEX('Margin Guidence Table'!$A$1:$AC$10000,MATCH(1,('Margin Guidence Table'!$A$1:$A$10000=FO20)*('Margin Guidence Table'!$H$1:$H$10000&lt;=ROUND($FG$3,0))*('Margin Guidence Table'!$G$1:$G$10000&gt;=ROUND($FG$3,0)),0),MATCH("DEFAULT_SALES_LBS",'Margin Guidence Table'!$A$1:$AC$1,0))),0)</f>
        <v>0</v>
      </c>
      <c r="FT20" s="1165">
        <f t="array" ref="FT20">IFERROR(IF($FQ20="SEGMENT",INDEX('Margin Guidence Table'!$A$1:$AC$10000,MATCH(1,('Margin Guidence Table'!$A$1:$A$10000=FO20)*('Margin Guidence Table'!$H$1:$H$10000&lt;=ROUND($FG$3,0))*('Margin Guidence Table'!$G$1:$G$10000&gt;=ROUND($FG$3,0)),0),MATCH("MDA_MIN_MARGIN_GUIDENCE",'Margin Guidence Table'!$A$1:$AC$1,0)),INDEX('Margin Guidence Table'!$A$1:$AC$10000,MATCH(1,('Margin Guidence Table'!$A$1:$A$10000=FO20)*('Margin Guidence Table'!$H$1:$H$10000&lt;=ROUND($FG$3,0))*('Margin Guidence Table'!$G$1:$G$10000&gt;=ROUND($FG$3,0)),0),MATCH("DEFAULT_MDA_MIN_MARGIN_GUIDENCE",'Margin Guidence Table'!$A$1:$AC$1,0))),0)</f>
        <v>0</v>
      </c>
      <c r="FU20" s="1165">
        <f t="array" ref="FU20">IFERROR(IF($FQ20="SEGMENT",INDEX('Margin Guidence Table'!$A$1:$AC$10000,MATCH(1,('Margin Guidence Table'!$A$1:$A$10000=FO20)*('Margin Guidence Table'!$H$1:$H$10000&lt;=ROUND($FG$3,0))*('Margin Guidence Table'!$G$1:$G$10000&gt;=ROUND($FG$3,0)),0),MATCH("MDA_MEDIAN_MARGIN_GUIDENCE",'Margin Guidence Table'!$A$1:$AC$1,0)),INDEX('Margin Guidence Table'!$A$1:$AC$10000,MATCH(1,('Margin Guidence Table'!$A$1:$A$10000=FO20)*('Margin Guidence Table'!$H$1:$H$10000&lt;=ROUND($FG$3,0))*('Margin Guidence Table'!$G$1:$G$10000&gt;=ROUND($FG$3,0)),0),MATCH("DEFAULT_MDA_MEDIAN_MARGIN_GUIDENCE",'Margin Guidence Table'!$A$1:$AC$1,0))),0)</f>
        <v>0</v>
      </c>
      <c r="FV20" s="1165">
        <f t="array" ref="FV20">IFERROR(IF($FQ20="SEGMENT",INDEX('Margin Guidence Table'!$A$1:$AC$10000,MATCH(1,('Margin Guidence Table'!$A$1:$A$10000=FO20)*('Margin Guidence Table'!$H$1:$H$10000&lt;=ROUND($FG$3,0))*('Margin Guidence Table'!$G$1:$G$10000&gt;=ROUND($FG$3,0)),0),MATCH("MDA_MAX_MARGIN_GUIDENCE",'Margin Guidence Table'!$A$1:$AC$1,0)),INDEX('Margin Guidence Table'!$A$1:$AC$10000,MATCH(1,('Margin Guidence Table'!$A$1:$A$10000=FO20)*('Margin Guidence Table'!$H$1:$H$10000&lt;=ROUND($FG$3,0))*('Margin Guidence Table'!$G$1:$G$10000&gt;=ROUND($FG$3,0)),0),MATCH("DEFAULT_MDA_MAX_MARGIN_GUIDENCE",'Margin Guidence Table'!$A$1:$AC$1,0))),0)</f>
        <v>0</v>
      </c>
      <c r="FW20" s="1165">
        <f t="array" ref="FW20">IFERROR(IF($FQ20="SEGMENT",INDEX('Margin Guidence Table'!$A$1:$AC$10000,MATCH(1,('Margin Guidence Table'!$A$1:$A$10000=FO20)*('Margin Guidence Table'!$H$1:$H$10000&lt;=ROUND($FG$3,0))*('Margin Guidence Table'!$G$1:$G$10000&gt;=ROUND($FG$3,0)),0),MATCH("PA_PCT_SALES",'Margin Guidence Table'!$A$1:$AC$1,0)),INDEX('Margin Guidence Table'!$A$1:$AC$10000,MATCH(1,('Margin Guidence Table'!$A$1:$A$10000=FO20)*('Margin Guidence Table'!$H$1:$H$10000&lt;=ROUND($FG$3,0))*('Margin Guidence Table'!$G$1:$G$10000&gt;=ROUND($FG$3,0)),0),MATCH("DEFAULT_PA_PCT_SALES",'Margin Guidence Table'!$A$1:$AC$1,0))),0)</f>
        <v>0</v>
      </c>
      <c r="FX20" s="1165">
        <f t="array" ref="FX20">IFERROR(IF($FQ20="SEGMENT",INDEX('Margin Guidence Table'!$A$1:$AC$10000,MATCH(1,('Margin Guidence Table'!$A$1:$A$10000=FO20)*('Margin Guidence Table'!$H$1:$H$10000&lt;=ROUND($FG$3,0))*('Margin Guidence Table'!$G$1:$G$10000&gt;=ROUND($FG$3,0)),0),MATCH("SELF_FUND_PCT_SALES",'Margin Guidence Table'!$A$1:$AC$1,0)),INDEX('Margin Guidence Table'!$A$1:$AC$10000,MATCH(1,('Margin Guidence Table'!$A$1:$A$10000=FO20)*('Margin Guidence Table'!$H$1:$H$10000&lt;=ROUND($FG$3,0))*('Margin Guidence Table'!$G$1:$G$10000&gt;=ROUND($FG$3,0)),0),MATCH("DEFAULT_SELF_FUND_PCT_SALES",'Margin Guidence Table'!$A$1:$AC$1,0))),0)</f>
        <v>0</v>
      </c>
      <c r="FY20" s="1165">
        <f t="array" ref="FY20">IFERROR(IF($FQ20="SEGMENT",INDEX('Margin Guidence Table'!$A$1:$AC$10000,MATCH(1,('Margin Guidence Table'!$A$1:$A$10000=FO20)*('Margin Guidence Table'!$H$1:$H$10000&lt;=ROUND($FG$3,0))*('Margin Guidence Table'!$G$1:$G$10000&gt;=ROUND($FG$3,0)),0),MATCH("CIA_MEDIAN_MARGIN_GUIDENCE",'Margin Guidence Table'!$A$1:$AC$1,0)),INDEX('Margin Guidence Table'!$A$1:$AC$10000,MATCH(1,('Margin Guidence Table'!$A$1:$A$10000=FO20)*('Margin Guidence Table'!$H$1:$H$10000&lt;=ROUND($FG$3,0))*('Margin Guidence Table'!$G$1:$G$10000&gt;=ROUND($FG$3,0)),0),MATCH("DEFAULT_CIA_MEDIAN_MARGIN_GUIDENCE",'Margin Guidence Table'!$A$1:$AC$1,0))),0)</f>
        <v>0</v>
      </c>
      <c r="FZ20" s="129"/>
      <c r="GA20" s="18">
        <f t="array" ref="GA20">IFERROR(IF($GM20="SEGMENT",INDEX('Margin Guidence Table'!$A$1:$AC$10000,MATCH(1,('Margin Guidence Table'!$A$1:$A$10000=$GK20)*('Margin Guidence Table'!$H$1:$H$10000&lt;=ROUND($GC$3,0))*('Margin Guidence Table'!$G$1:$G$10000&gt;=ROUND($GC$3,0)),0),MATCH("PCT_SALES",'Margin Guidence Table'!$A$1:$AC$1,0)),INDEX('Margin Guidence Table'!$A$1:$AC$10000,MATCH(1,('Margin Guidence Table'!$A$1:$A$10000=$GK20)*('Margin Guidence Table'!$H$1:$H$10000&lt;=ROUND($GC$3,0))*('Margin Guidence Table'!$G$1:$G$10000&gt;=ROUND($GC$3,0)),0),MATCH("DEFAULT_PCT_SALES",'Margin Guidence Table'!$A$1:$AC$1,0))),0)</f>
        <v>0</v>
      </c>
      <c r="GB20" s="102" t="s">
        <v>98</v>
      </c>
      <c r="GC20" s="94">
        <f>IFERROR(IF(AND($GC$2&lt;&gt;"Enter Spend&gt;&gt;&gt;",GD2="EXISTING"),SUMIFS('Existing Customers'!$Q:$Q,'Existing Customers'!$A:$A,$GC$1,'Existing Customers'!$H:$H,$GB20)*$GC$4,$GC$3*$GA20),0)</f>
        <v>0</v>
      </c>
      <c r="GD20" s="89">
        <f>IFERROR(IF(AND($GC$2&lt;&gt;"Enter Spend&gt;&gt;&gt;",GD2="EXISTING"),SUMIFS('Existing Customers'!$N:$N,'Existing Customers'!$A:$A,$GC$1,'Existing Customers'!$H:$H,$GB20)*$GC$4,$GC20/$GN20),0)</f>
        <v>0</v>
      </c>
      <c r="GE20" s="95">
        <f>IFERROR(IF(AND($GC$2&lt;&gt;"Enter Spend&gt;&gt;&gt;",GD2="EXISTING"),SUMIFS('Existing Customers'!$O:$O,'Existing Customers'!$H:$H,$GB20,'Existing Customers'!$A:$A,$GC$1)*$GC$4,$GD20*$GC$8),0)</f>
        <v>0</v>
      </c>
      <c r="GF20" s="95">
        <f>IFERROR(IF(AND($GC$2&lt;&gt;"Enter Spend&gt;&gt;&gt;",GD2="EXISTING"),SUMIFS('Existing Customers'!$P:$P,'Existing Customers'!$A:$A,$GC$1,'Existing Customers'!$H:$H,$GB20)*$GC$4,$GC20/$GO20),0)</f>
        <v>0</v>
      </c>
      <c r="GG20" s="96">
        <f>IFERROR(IF(AND($GC$2&lt;&gt;"Enter Spend&gt;&gt;&gt;",GD2="EXISTING"),SUMIFS('Existing Customers'!$V:$V,'Existing Customers'!$H:$H,$GB20,'Existing Customers'!$A:$A,$GC$1)*$GC$4,0),0)</f>
        <v>0</v>
      </c>
      <c r="GH20" s="96">
        <f>IFERROR(IF(AND($GC$2&lt;&gt;"Enter Spend&gt;&gt;&gt;",GD2="EXISTING"),SUMIFS('Existing Customers'!$R:$R,'Existing Customers'!$H:$H,$GB20,'Existing Customers'!$A:$A,$GC$1)*$GC$4,0),0)</f>
        <v>0</v>
      </c>
      <c r="GI20" s="1161">
        <f>IFERROR(IF(AND($GC$2&lt;&gt;"Enter Spend&gt;&gt;&gt;",GD2="EXISTING"),SUMIFS('Existing Customers'!$S:$S,'Existing Customers'!$H:$H,$GB20,'Existing Customers'!$A:$A,$GC$1),GS20*GC20),0)</f>
        <v>0</v>
      </c>
      <c r="GJ20" s="1161">
        <f>IFERROR(IF(AND($GC$2&lt;&gt;"Enter Spend&gt;&gt;&gt;",GD2="EXISTING"),SUMIFS('Existing Customers'!$U:$U,'Existing Customers'!$H:$H,$GB20,'Existing Customers'!$A:$A,$GC$1),GT20*GC20),0)</f>
        <v>0</v>
      </c>
      <c r="GK20" s="1164" t="e">
        <f t="shared" si="36"/>
        <v>#N/A</v>
      </c>
      <c r="GL20" s="1164">
        <f t="array" ref="GL20">IFERROR(INDEX('Margin Guidence Table'!$A$1:$AD$30000,MATCH(1,('Margin Guidence Table'!$A$1:$A$10000=GK20)*('Margin Guidence Table'!$H$1:$H$10000&lt;=ROUND($GC$3,0))*('Margin Guidence Table'!$G$1:$G$10000&gt;=ROUND($GC$3,0)),0),MATCH("DATA_POINTS",'Margin Guidence Table'!$A$1:$AC$1,0)),0)</f>
        <v>0</v>
      </c>
      <c r="GM20" s="1161" t="str">
        <f t="shared" si="37"/>
        <v>DEFAULT</v>
      </c>
      <c r="GN20" s="1161">
        <f t="array" ref="GN20">IFERROR(IF($GM20="SEGMENT",INDEX('Margin Guidence Table'!$A$1:$AC$10000,MATCH(1,('Margin Guidence Table'!$A$1:$A$10000=GK20)*('Margin Guidence Table'!$H$1:$H$10000&lt;=ROUND($GC$3,0))*('Margin Guidence Table'!$G$1:$G$10000&gt;=ROUND($GC$3,0)),0),MATCH("SALES_CASE",'Margin Guidence Table'!$A$1:$AC$1,0)),INDEX('Margin Guidence Table'!$A$1:$AC$10000,MATCH(1,('Margin Guidence Table'!$A$1:$A$10000=GK20)*('Margin Guidence Table'!$H$1:$H$10000&lt;=ROUND($GC$3,0))*('Margin Guidence Table'!$G$1:$G$10000&gt;=ROUND($GC$3,0)),0),MATCH("DEFAULT_SALES_CASE",'Margin Guidence Table'!$A$1:$AC$1,0))),0)</f>
        <v>0</v>
      </c>
      <c r="GO20" s="1161">
        <f t="array" ref="GO20">IFERROR(IF($GM20="SEGMENT",INDEX('Margin Guidence Table'!$A$1:$AC$10000,MATCH(1,('Margin Guidence Table'!$A$1:$A$10000=GK20)*('Margin Guidence Table'!$H$1:$H$10000&lt;=ROUND($GC$3,0))*('Margin Guidence Table'!$G$1:$G$10000&gt;=ROUND($GC$3,0)),0),MATCH("SALES_LBS",'Margin Guidence Table'!$A$1:$AC$1,0)),INDEX('Margin Guidence Table'!$A$1:$AC$10000,MATCH(1,('Margin Guidence Table'!$A$1:$A$10000=GK20)*('Margin Guidence Table'!$H$1:$H$10000&lt;=ROUND($GC$3,0))*('Margin Guidence Table'!$G$1:$G$10000&gt;=ROUND($GC$3,0)),0),MATCH("DEFAULT_SALES_LBS",'Margin Guidence Table'!$A$1:$AC$1,0))),0)</f>
        <v>0</v>
      </c>
      <c r="GP20" s="1165">
        <f t="array" ref="GP20">IFERROR(IF($GM20="SEGMENT",INDEX('Margin Guidence Table'!$A$1:$AC$10000,MATCH(1,('Margin Guidence Table'!$A$1:$A$10000=GK20)*('Margin Guidence Table'!$H$1:$H$10000&lt;=ROUND($GC$3,0))*('Margin Guidence Table'!$G$1:$G$10000&gt;=ROUND($GC$3,0)),0),MATCH("MDA_MIN_MARGIN_GUIDENCE",'Margin Guidence Table'!$A$1:$AC$1,0)),INDEX('Margin Guidence Table'!$A$1:$AC$10000,MATCH(1,('Margin Guidence Table'!$A$1:$A$10000=GK20)*('Margin Guidence Table'!$H$1:$H$10000&lt;=ROUND($GC$3,0))*('Margin Guidence Table'!$G$1:$G$10000&gt;=ROUND($GC$3,0)),0),MATCH("DEFAULT_MDA_MIN_MARGIN_GUIDENCE",'Margin Guidence Table'!$A$1:$AC$1,0))),0)</f>
        <v>0</v>
      </c>
      <c r="GQ20" s="1165">
        <f t="array" ref="GQ20">IFERROR(IF($GM20="SEGMENT",INDEX('Margin Guidence Table'!$A$1:$AC$10000,MATCH(1,('Margin Guidence Table'!$A$1:$A$10000=GK20)*('Margin Guidence Table'!$H$1:$H$10000&lt;=ROUND($GC$3,0))*('Margin Guidence Table'!$G$1:$G$10000&gt;=ROUND($GC$3,0)),0),MATCH("MDA_MEDIAN_MARGIN_GUIDENCE",'Margin Guidence Table'!$A$1:$AC$1,0)),INDEX('Margin Guidence Table'!$A$1:$AC$10000,MATCH(1,('Margin Guidence Table'!$A$1:$A$10000=GK20)*('Margin Guidence Table'!$H$1:$H$10000&lt;=ROUND($GC$3,0))*('Margin Guidence Table'!$G$1:$G$10000&gt;=ROUND($GC$3,0)),0),MATCH("DEFAULT_MDA_MEDIAN_MARGIN_GUIDENCE",'Margin Guidence Table'!$A$1:$AC$1,0))),0)</f>
        <v>0</v>
      </c>
      <c r="GR20" s="1165">
        <f t="array" ref="GR20">IFERROR(IF($GM20="SEGMENT",INDEX('Margin Guidence Table'!$A$1:$AC$10000,MATCH(1,('Margin Guidence Table'!$A$1:$A$10000=GK20)*('Margin Guidence Table'!$H$1:$H$10000&lt;=ROUND($GC$3,0))*('Margin Guidence Table'!$G$1:$G$10000&gt;=ROUND($GC$3,0)),0),MATCH("MDA_MAX_MARGIN_GUIDENCE",'Margin Guidence Table'!$A$1:$AC$1,0)),INDEX('Margin Guidence Table'!$A$1:$AC$10000,MATCH(1,('Margin Guidence Table'!$A$1:$A$10000=GK20)*('Margin Guidence Table'!$H$1:$H$10000&lt;=ROUND($GC$3,0))*('Margin Guidence Table'!$G$1:$G$10000&gt;=ROUND($GC$3,0)),0),MATCH("DEFAULT_MDA_MAX_MARGIN_GUIDENCE",'Margin Guidence Table'!$A$1:$AC$1,0))),0)</f>
        <v>0</v>
      </c>
      <c r="GS20" s="1165">
        <f t="array" ref="GS20">IFERROR(IF($GM20="SEGMENT",INDEX('Margin Guidence Table'!$A$1:$AC$10000,MATCH(1,('Margin Guidence Table'!$A$1:$A$10000=GK20)*('Margin Guidence Table'!$H$1:$H$10000&lt;=ROUND($GC$3,0))*('Margin Guidence Table'!$G$1:$G$10000&gt;=ROUND($GC$3,0)),0),MATCH("PA_PCT_SALES",'Margin Guidence Table'!$A$1:$AC$1,0)),INDEX('Margin Guidence Table'!$A$1:$AC$10000,MATCH(1,('Margin Guidence Table'!$A$1:$A$10000=GK20)*('Margin Guidence Table'!$H$1:$H$10000&lt;=ROUND($GC$3,0))*('Margin Guidence Table'!$G$1:$G$10000&gt;=ROUND($GC$3,0)),0),MATCH("DEFAULT_PA_PCT_SALES",'Margin Guidence Table'!$A$1:$AC$1,0))),0)</f>
        <v>0</v>
      </c>
      <c r="GT20" s="1165">
        <f t="array" ref="GT20">IFERROR(IF($GM20="SEGMENT",INDEX('Margin Guidence Table'!$A$1:$AC$10000,MATCH(1,('Margin Guidence Table'!$A$1:$A$10000=GK20)*('Margin Guidence Table'!$H$1:$H$10000&lt;=ROUND($GC$3,0))*('Margin Guidence Table'!$G$1:$G$10000&gt;=ROUND($GC$3,0)),0),MATCH("SELF_FUND_PCT_SALES",'Margin Guidence Table'!$A$1:$AC$1,0)),INDEX('Margin Guidence Table'!$A$1:$AC$10000,MATCH(1,('Margin Guidence Table'!$A$1:$A$10000=GK20)*('Margin Guidence Table'!$H$1:$H$10000&lt;=ROUND($GC$3,0))*('Margin Guidence Table'!$G$1:$G$10000&gt;=ROUND($GC$3,0)),0),MATCH("DEFAULT_SELF_FUND_PCT_SALES",'Margin Guidence Table'!$A$1:$AC$1,0))),0)</f>
        <v>0</v>
      </c>
      <c r="GU20" s="1165">
        <f t="array" ref="GU20">IFERROR(IF($GM20="SEGMENT",INDEX('Margin Guidence Table'!$A$1:$AC$10000,MATCH(1,('Margin Guidence Table'!$A$1:$A$10000=GK20)*('Margin Guidence Table'!$H$1:$H$10000&lt;=ROUND($GC$3,0))*('Margin Guidence Table'!$G$1:$G$10000&gt;=ROUND($GC$3,0)),0),MATCH("CIA_MEDIAN_MARGIN_GUIDENCE",'Margin Guidence Table'!$A$1:$AC$1,0)),INDEX('Margin Guidence Table'!$A$1:$AC$10000,MATCH(1,('Margin Guidence Table'!$A$1:$A$10000=GK20)*('Margin Guidence Table'!$H$1:$H$10000&lt;=ROUND($GC$3,0))*('Margin Guidence Table'!$G$1:$G$10000&gt;=ROUND($GC$3,0)),0),MATCH("DEFAULT_CIA_MEDIAN_MARGIN_GUIDENCE",'Margin Guidence Table'!$A$1:$AC$1,0))),0)</f>
        <v>0</v>
      </c>
      <c r="GV20" s="129"/>
      <c r="GW20" s="18">
        <f t="array" ref="GW20">IFERROR(IF($HI20="SEGMENT",INDEX('Margin Guidence Table'!$A$1:$AC$10000,MATCH(1,('Margin Guidence Table'!$A$1:$A$10000=$HG20)*('Margin Guidence Table'!$H$1:$H$10000&lt;=ROUND($GY$3,0))*('Margin Guidence Table'!$G$1:$G$10000&gt;=ROUND($GY$3,0)),0),MATCH("PCT_SALES",'Margin Guidence Table'!$A$1:$AC$1,0)),INDEX('Margin Guidence Table'!$A$1:$AC$10000,MATCH(1,('Margin Guidence Table'!$A$1:$A$10000=$HG20)*('Margin Guidence Table'!$H$1:$H$10000&lt;=ROUND($GY$3,0))*('Margin Guidence Table'!$G$1:$G$10000&gt;=ROUND($GY$3,0)),0),MATCH("DEFAULT_PCT_SALES",'Margin Guidence Table'!$A$1:$AC$1,0))),0)</f>
        <v>0</v>
      </c>
      <c r="GX20" s="102" t="s">
        <v>98</v>
      </c>
      <c r="GY20" s="94">
        <f>IFERROR(IF(AND($GY$2&lt;&gt;"Enter Spend&gt;&gt;&gt;",GZ2="EXISTING"),SUMIFS('Existing Customers'!$Q:$Q,'Existing Customers'!$A:$A,$GY$1,'Existing Customers'!$H:$H,$GX20)*$GY$4,$GY$3*$GW20),0)</f>
        <v>0</v>
      </c>
      <c r="GZ20" s="89">
        <f>IFERROR(IF(AND($GY$2&lt;&gt;"Enter Spend&gt;&gt;&gt;",GZ2="EXISTING"),SUMIFS('Existing Customers'!$N:$N,'Existing Customers'!$A:$A,$GY$1,'Existing Customers'!$H:$H,$GX20)*$GY$4,$GY20/$HJ20),0)</f>
        <v>0</v>
      </c>
      <c r="HA20" s="95">
        <f>IFERROR(IF(AND($GY$2&lt;&gt;"Enter Spend&gt;&gt;&gt;",GZ2="EXISTING"),SUMIFS('Existing Customers'!$O:$O,'Existing Customers'!$H:$H,$GX20,'Existing Customers'!$A:$A,$GY$1)*$GY$4,$GZ20*$GY$8),0)</f>
        <v>0</v>
      </c>
      <c r="HB20" s="95">
        <f>IFERROR(IF(AND($GY$2&lt;&gt;"Enter Spend&gt;&gt;&gt;",GZ2="EXISTING"),SUMIFS('Existing Customers'!$P:$P,'Existing Customers'!$A:$A,$GY$1,'Existing Customers'!$H:$H,$GX20)*$GY$4,$GY20/$HK20),0)</f>
        <v>0</v>
      </c>
      <c r="HC20" s="96">
        <f>IFERROR(IF(AND($GY$2&lt;&gt;"Enter Spend&gt;&gt;&gt;",GZ2="EXISTING"),SUMIFS('Existing Customers'!$V:$V,'Existing Customers'!$H:$H,$GX20,'Existing Customers'!$A:$A,$GY$1)*$GY$4,0),0)</f>
        <v>0</v>
      </c>
      <c r="HD20" s="96">
        <f>IFERROR(IF(AND($GY$2&lt;&gt;"Enter Spend&gt;&gt;&gt;",GZ2="EXISTING"),SUMIFS('Existing Customers'!$R:$R,'Existing Customers'!$H:$H,$GX20,'Existing Customers'!$A:$A,$GY$1)*$GY$4,0),0)</f>
        <v>0</v>
      </c>
      <c r="HE20" s="1161">
        <f>IFERROR(IF(AND($GY$2&lt;&gt;"Enter Spend&gt;&gt;&gt;",GZ2="EXISTING"),SUMIFS('Existing Customers'!$S:$S,'Existing Customers'!$H:$H,$GX20,'Existing Customers'!$A:$A,$GY$1),HO20*GY20),0)</f>
        <v>0</v>
      </c>
      <c r="HF20" s="1161">
        <f>IFERROR(IF(AND($GY$2&lt;&gt;"Enter Spend&gt;&gt;&gt;",GZ2="EXISTING"),SUMIFS('Existing Customers'!$U:$U,'Existing Customers'!$H:$H,$GX20,'Existing Customers'!$A:$A,$GY$1),HP20*GY20),0)</f>
        <v>0</v>
      </c>
      <c r="HG20" s="1164" t="e">
        <f t="shared" si="38"/>
        <v>#N/A</v>
      </c>
      <c r="HH20" s="1164">
        <f t="array" ref="HH20">IFERROR(INDEX('Margin Guidence Table'!$A$1:$AD$30000,MATCH(1,('Margin Guidence Table'!$A$1:$A$10000=HG20)*('Margin Guidence Table'!$H$1:$H$10000&lt;=ROUND($GY$3,0))*('Margin Guidence Table'!$G$1:$G$10000&gt;=ROUND($GY$3,0)),0),MATCH("DATA_POINTS",'Margin Guidence Table'!$A$1:$AC$1,0)),0)</f>
        <v>0</v>
      </c>
      <c r="HI20" s="1161" t="str">
        <f t="shared" si="39"/>
        <v>DEFAULT</v>
      </c>
      <c r="HJ20" s="1161">
        <f t="array" ref="HJ20">IFERROR(IF($HI20="SEGMENT",INDEX('Margin Guidence Table'!$A$1:$AC$10000,MATCH(1,('Margin Guidence Table'!$A$1:$A$10000=HG20)*('Margin Guidence Table'!$H$1:$H$10000&lt;=ROUND($GY$3,0))*('Margin Guidence Table'!$G$1:$G$10000&gt;=ROUND($GY$3,0)),0),MATCH("SALES_CASE",'Margin Guidence Table'!$A$1:$AC$1,0)),INDEX('Margin Guidence Table'!$A$1:$AC$10000,MATCH(1,('Margin Guidence Table'!$A$1:$A$10000=HG20)*('Margin Guidence Table'!$H$1:$H$10000&lt;=ROUND($GY$3,0))*('Margin Guidence Table'!$G$1:$G$10000&gt;=ROUND($GY$3,0)),0),MATCH("DEFAULT_SALES_CASE",'Margin Guidence Table'!$A$1:$AC$1,0))),0)</f>
        <v>0</v>
      </c>
      <c r="HK20" s="1161">
        <f t="array" ref="HK20">IFERROR(IF($HI20="SEGMENT",INDEX('Margin Guidence Table'!$A$1:$AC$10000,MATCH(1,('Margin Guidence Table'!$A$1:$A$10000=HG20)*('Margin Guidence Table'!$H$1:$H$10000&lt;=ROUND($GY$3,0))*('Margin Guidence Table'!$G$1:$G$10000&gt;=ROUND($GY$3,0)),0),MATCH("SALES_LBS",'Margin Guidence Table'!$A$1:$AC$1,0)),INDEX('Margin Guidence Table'!$A$1:$AC$10000,MATCH(1,('Margin Guidence Table'!$A$1:$A$10000=HG20)*('Margin Guidence Table'!$H$1:$H$10000&lt;=ROUND($GY$3,0))*('Margin Guidence Table'!$G$1:$G$10000&gt;=ROUND($GY$3,0)),0),MATCH("DEFAULT_SALES_LBS",'Margin Guidence Table'!$A$1:$AC$1,0))),0)</f>
        <v>0</v>
      </c>
      <c r="HL20" s="1165">
        <f t="array" ref="HL20">IFERROR(IF($HI20="SEGMENT",INDEX('Margin Guidence Table'!$A$1:$AC$10000,MATCH(1,('Margin Guidence Table'!$A$1:$A$10000=HG20)*('Margin Guidence Table'!$H$1:$H$10000&lt;=ROUND($GY$3,0))*('Margin Guidence Table'!$G$1:$G$10000&gt;=ROUND($GY$3,0)),0),MATCH("MDA_MIN_MARGIN_GUIDENCE",'Margin Guidence Table'!$A$1:$AC$1,0)),INDEX('Margin Guidence Table'!$A$1:$AC$10000,MATCH(1,('Margin Guidence Table'!$A$1:$A$10000=HG20)*('Margin Guidence Table'!$H$1:$H$10000&lt;=ROUND($GY$3,0))*('Margin Guidence Table'!$G$1:$G$10000&gt;=ROUND($GY$3,0)),0),MATCH("DEFAULT_MDA_MIN_MARGIN_GUIDENCE",'Margin Guidence Table'!$A$1:$AC$1,0))),0)</f>
        <v>0</v>
      </c>
      <c r="HM20" s="1165">
        <f t="array" ref="HM20">IFERROR(IF($HI20="SEGMENT",INDEX('Margin Guidence Table'!$A$1:$AC$10000,MATCH(1,('Margin Guidence Table'!$A$1:$A$10000=HG20)*('Margin Guidence Table'!$H$1:$H$10000&lt;=ROUND($GY$3,0))*('Margin Guidence Table'!$G$1:$G$10000&gt;=ROUND($GY$3,0)),0),MATCH("MDA_MEDIAN_MARGIN_GUIDENCE",'Margin Guidence Table'!$A$1:$AC$1,0)),INDEX('Margin Guidence Table'!$A$1:$AC$10000,MATCH(1,('Margin Guidence Table'!$A$1:$A$10000=HG20)*('Margin Guidence Table'!$H$1:$H$10000&lt;=ROUND($GY$3,0))*('Margin Guidence Table'!$G$1:$G$10000&gt;=ROUND($GY$3,0)),0),MATCH("DEFAULT_MDA_MEDIAN_MARGIN_GUIDENCE",'Margin Guidence Table'!$A$1:$AC$1,0))),0)</f>
        <v>0</v>
      </c>
      <c r="HN20" s="1165">
        <f t="array" ref="HN20">IFERROR(IF($HI20="SEGMENT",INDEX('Margin Guidence Table'!$A$1:$AC$10000,MATCH(1,('Margin Guidence Table'!$A$1:$A$10000=HG20)*('Margin Guidence Table'!$H$1:$H$10000&lt;=ROUND($GY$3,0))*('Margin Guidence Table'!$G$1:$G$10000&gt;=ROUND($GY$3,0)),0),MATCH("MDA_MAX_MARGIN_GUIDENCE",'Margin Guidence Table'!$A$1:$AC$1,0)),INDEX('Margin Guidence Table'!$A$1:$AC$10000,MATCH(1,('Margin Guidence Table'!$A$1:$A$10000=HG20)*('Margin Guidence Table'!$H$1:$H$10000&lt;=ROUND($GY$3,0))*('Margin Guidence Table'!$G$1:$G$10000&gt;=ROUND($GY$3,0)),0),MATCH("DEFAULT_MDA_MAX_MARGIN_GUIDENCE",'Margin Guidence Table'!$A$1:$AC$1,0))),0)</f>
        <v>0</v>
      </c>
      <c r="HO20" s="1165">
        <f t="array" ref="HO20">IFERROR(IF($HI20="SEGMENT",INDEX('Margin Guidence Table'!$A$1:$AC$10000,MATCH(1,('Margin Guidence Table'!$A$1:$A$10000=HG20)*('Margin Guidence Table'!$H$1:$H$10000&lt;=ROUND($GY$3,0))*('Margin Guidence Table'!$G$1:$G$10000&gt;=ROUND($GY$3,0)),0),MATCH("PA_PCT_SALES",'Margin Guidence Table'!$A$1:$AC$1,0)),INDEX('Margin Guidence Table'!$A$1:$AC$10000,MATCH(1,('Margin Guidence Table'!$A$1:$A$10000=HG20)*('Margin Guidence Table'!$H$1:$H$10000&lt;=ROUND($GY$3,0))*('Margin Guidence Table'!$G$1:$G$10000&gt;=ROUND($GY$3,0)),0),MATCH("DEFAULT_PA_PCT_SALES",'Margin Guidence Table'!$A$1:$AC$1,0))),0)</f>
        <v>0</v>
      </c>
      <c r="HP20" s="1165">
        <f t="array" ref="HP20">IFERROR(IF($HI20="SEGMENT",INDEX('Margin Guidence Table'!$A$1:$AC$10000,MATCH(1,('Margin Guidence Table'!$A$1:$A$10000=HG20)*('Margin Guidence Table'!$H$1:$H$10000&lt;=ROUND($GY$3,0))*('Margin Guidence Table'!$G$1:$G$10000&gt;=ROUND($GY$3,0)),0),MATCH("SELF_FUND_PCT_SALES",'Margin Guidence Table'!$A$1:$AC$1,0)),INDEX('Margin Guidence Table'!$A$1:$AC$10000,MATCH(1,('Margin Guidence Table'!$A$1:$A$10000=HG20)*('Margin Guidence Table'!$H$1:$H$10000&lt;=ROUND($GY$3,0))*('Margin Guidence Table'!$G$1:$G$10000&gt;=ROUND($GY$3,0)),0),MATCH("DEFAULT_SELF_FUND_PCT_SALES",'Margin Guidence Table'!$A$1:$AC$1,0))),0)</f>
        <v>0</v>
      </c>
      <c r="HQ20" s="1165">
        <f t="array" ref="HQ20">IFERROR(IF($HI20="SEGMENT",INDEX('Margin Guidence Table'!$A$1:$AC$10000,MATCH(1,('Margin Guidence Table'!$A$1:$A$10000=HG20)*('Margin Guidence Table'!$H$1:$H$10000&lt;=ROUND($GY$3,0))*('Margin Guidence Table'!$G$1:$G$10000&gt;=ROUND($GY$3,0)),0),MATCH("CIA_MEDIAN_MARGIN_GUIDENCE",'Margin Guidence Table'!$A$1:$AC$1,0)),INDEX('Margin Guidence Table'!$A$1:$AC$10000,MATCH(1,('Margin Guidence Table'!$A$1:$A$10000=HG20)*('Margin Guidence Table'!$H$1:$H$10000&lt;=ROUND($GY$3,0))*('Margin Guidence Table'!$G$1:$G$10000&gt;=ROUND($GY$3,0)),0),MATCH("DEFAULT_CIA_MEDIAN_MARGIN_GUIDENCE",'Margin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Spend&gt;&gt;&gt;",HV2="EXISTING"),SUMIFS('Existing Customers'!$Q:$Q,'Existing Customers'!$A:$A,$HU$1,'Existing Customers'!$H:$H,$HT20)*$HU$4,$HU$3*$HS20),0)</f>
        <v>0</v>
      </c>
      <c r="HV20" s="89">
        <f>IFERROR(IF(AND($HU$2&lt;&gt;"Enter Spend&gt;&gt;&gt;",HV2="EXISTING"),SUMIFS('Existing Customers'!$N:$N,'Existing Customers'!$A:$A,$HU$1,'Existing Customers'!$H:$H,$HT20)*$HU$4,$HU20/$IF20),0)</f>
        <v>0</v>
      </c>
      <c r="HW20" s="95">
        <f>IFERROR(IF(AND($HU$2&lt;&gt;"Enter Spend&gt;&gt;&gt;",HV2="EXISTING"),SUMIFS('Existing Customers'!$O:$O,'Existing Customers'!$H:$H,$HT20,'Existing Customers'!$A:$A,$HU$1)*$HU$4,$HV20*$HU$8),0)</f>
        <v>0</v>
      </c>
      <c r="HX20" s="95">
        <f>IFERROR(IF(AND($HU$2&lt;&gt;"Enter Spend&gt;&gt;&gt;",HV2="EXISTING"),SUMIFS('Existing Customers'!$P:$P,'Existing Customers'!$A:$A,$HU$1,'Existing Customers'!$H:$H,$HT20)*$HU$4,$HU20/$IG20),0)</f>
        <v>0</v>
      </c>
      <c r="HY20" s="402">
        <f>IFERROR(IF(AND($HU$2&lt;&gt;"Enter Spend&gt;&gt;&gt;",HV2="EXISTING"),SUMIFS('Existing Customers'!$V:$V,'Existing Customers'!$H:$H,$HT20,'Existing Customers'!$A:$A,$HU$1)*$HU$4,0),0)</f>
        <v>0</v>
      </c>
      <c r="HZ20" s="96">
        <f>IFERROR(IF(AND($HU$2&lt;&gt;"Enter Spend&gt;&gt;&gt;",HV2="EXISTING"),SUMIFS('Existing Customers'!$R:$R,'Existing Customers'!$H:$H,$HT20,'Existing Customers'!$A:$A,$HU$1)*$HU$4,0),0)</f>
        <v>0</v>
      </c>
      <c r="IA20" s="1161">
        <f>IFERROR(IF(AND($HU$2&lt;&gt;"Enter Spend&gt;&gt;&gt;",HV2="EXISTING"),SUMIFS('Existing Customers'!$S:$S,'Existing Customers'!$H:$H,$HT20,'Existing Customers'!$A:$A,$HU$1),IK20*HU20),0)</f>
        <v>0</v>
      </c>
      <c r="IB20" s="1161">
        <f>IFERROR(IF(AND($HU$2&lt;&gt;"Enter Spend&gt;&gt;&gt;",HV2="EXISTING"),SUMIFS('Existing Customers'!$U:$U,'Existing Customers'!$H:$H,$HT20,'Existing Customers'!$A:$A,$HU$1),IL20*HU20),0)</f>
        <v>0</v>
      </c>
      <c r="IC20" s="1164" t="e">
        <f t="shared" si="40"/>
        <v>#N/A</v>
      </c>
      <c r="ID20" s="1164">
        <f t="array" ref="ID20">IFERROR(INDEX('Margin Guidence Table'!$A$1:$AD$30000,MATCH(1,('Margin Guidence Table'!$A$1:$A$10000=IC20)*('Margin Guidence Table'!$H$1:$H$10000&lt;=ROUND($HU$3,0))*('Margin Guidence Table'!$G$1:$G$10000&gt;=ROUND($HU$3,0)),0),MATCH("DATA_POINTS",'Margin Guidence Table'!$A$1:$AC$1,0)),0)</f>
        <v>0</v>
      </c>
      <c r="IE20" s="1161" t="str">
        <f t="shared" si="41"/>
        <v>DEFAULT</v>
      </c>
      <c r="IF20" s="1161">
        <f t="array" ref="IF20">IFERROR(IF($IE20="SEGMENT",INDEX('Margin Guidence Table'!$A$1:$AC$10000,MATCH(1,('Margin Guidence Table'!$A$1:$A$10000=IC20)*('Margin Guidence Table'!$H$1:$H$10000&lt;=ROUND($HU$3,0))*('Margin Guidence Table'!$G$1:$G$10000&gt;=ROUND($HU$3,0)),0),MATCH("SALES_CASE",'Margin Guidence Table'!$A$1:$AC$1,0)),INDEX('Margin Guidence Table'!$A$1:$AC$10000,MATCH(1,('Margin Guidence Table'!$A$1:$A$10000=IC20)*('Margin Guidence Table'!$H$1:$H$10000&lt;=ROUND($HU$3,0))*('Margin Guidence Table'!$G$1:$G$10000&gt;=ROUND($HU$3,0)),0),MATCH("DEFAULT_SALES_CASE",'Margin Guidence Table'!$A$1:$AC$1,0))),0)</f>
        <v>0</v>
      </c>
      <c r="IG20" s="1161">
        <f t="array" ref="IG20">IFERROR(IF($IE20="SEGMENT",INDEX('Margin Guidence Table'!$A$1:$AC$10000,MATCH(1,('Margin Guidence Table'!$A$1:$A$10000=IC20)*('Margin Guidence Table'!$H$1:$H$10000&lt;=ROUND($HU$3,0))*('Margin Guidence Table'!$G$1:$G$10000&gt;=ROUND($HU$3,0)),0),MATCH("SALES_LBS",'Margin Guidence Table'!$A$1:$AC$1,0)),INDEX('Margin Guidence Table'!$A$1:$AC$10000,MATCH(1,('Margin Guidence Table'!$A$1:$A$10000=IC20)*('Margin Guidence Table'!$H$1:$H$10000&lt;=ROUND($HU$3,0))*('Margin Guidence Table'!$G$1:$G$10000&gt;=ROUND($HU$3,0)),0),MATCH("DEFAULT_SALES_LBS",'Margin Guidence Table'!$A$1:$AC$1,0))),0)</f>
        <v>0</v>
      </c>
      <c r="IH20" s="1165">
        <f t="array" ref="IH20">IFERROR(IF($IE20="SEGMENT",INDEX('Margin Guidence Table'!$A$1:$AC$10000,MATCH(1,('Margin Guidence Table'!$A$1:$A$10000=IC20)*('Margin Guidence Table'!$H$1:$H$10000&lt;=ROUND($HU$3,0))*('Margin Guidence Table'!$G$1:$G$10000&gt;=ROUND($HU$3,0)),0),MATCH("MDA_MIN_MARGIN_GUIDENCE",'Margin Guidence Table'!$A$1:$AC$1,0)),INDEX('Margin Guidence Table'!$A$1:$AC$10000,MATCH(1,('Margin Guidence Table'!$A$1:$A$10000=IC20)*('Margin Guidence Table'!$H$1:$H$10000&lt;=ROUND($HU$3,0))*('Margin Guidence Table'!$G$1:$G$10000&gt;=ROUND($HU$3,0)),0),MATCH("DEFAULT_MDA_MIN_MARGIN_GUIDENCE",'Margin Guidence Table'!$A$1:$AC$1,0))),0)</f>
        <v>0</v>
      </c>
      <c r="II20" s="1165">
        <f t="array" ref="II20">IFERROR(IF($IE20="SEGMENT",INDEX('Margin Guidence Table'!$A$1:$AC$10000,MATCH(1,('Margin Guidence Table'!$A$1:$A$10000=IC20)*('Margin Guidence Table'!$H$1:$H$10000&lt;=ROUND($HU$3,0))*('Margin Guidence Table'!$G$1:$G$10000&gt;=ROUND($HU$3,0)),0),MATCH("MDA_MEDIAN_MARGIN_GUIDENCE",'Margin Guidence Table'!$A$1:$AC$1,0)),INDEX('Margin Guidence Table'!$A$1:$AC$10000,MATCH(1,('Margin Guidence Table'!$A$1:$A$10000=IC20)*('Margin Guidence Table'!$H$1:$H$10000&lt;=ROUND($HU$3,0))*('Margin Guidence Table'!$G$1:$G$10000&gt;=ROUND($HU$3,0)),0),MATCH("DEFAULT_MDA_MEDIAN_MARGIN_GUIDENCE",'Margin Guidence Table'!$A$1:$AC$1,0))),0)</f>
        <v>0</v>
      </c>
      <c r="IJ20" s="1165">
        <f t="array" ref="IJ20">IFERROR(IF($IE20="SEGMENT",INDEX('Margin Guidence Table'!$A$1:$AC$10000,MATCH(1,('Margin Guidence Table'!$A$1:$A$10000=IC20)*('Margin Guidence Table'!$H$1:$H$10000&lt;=ROUND($HU$3,0))*('Margin Guidence Table'!$G$1:$G$10000&gt;=ROUND($HU$3,0)),0),MATCH("MDA_MAX_MARGIN_GUIDENCE",'Margin Guidence Table'!$A$1:$AC$1,0)),INDEX('Margin Guidence Table'!$A$1:$AC$10000,MATCH(1,('Margin Guidence Table'!$A$1:$A$10000=IC20)*('Margin Guidence Table'!$H$1:$H$10000&lt;=ROUND($HU$3,0))*('Margin Guidence Table'!$G$1:$G$10000&gt;=ROUND($HU$3,0)),0),MATCH("DEFAULT_MDA_MAX_MARGIN_GUIDENCE",'Margin Guidence Table'!$A$1:$AC$1,0))),0)</f>
        <v>0</v>
      </c>
      <c r="IK20" s="1165">
        <f t="array" ref="IK20">IFERROR(IF($IE20="SEGMENT",INDEX('Margin Guidence Table'!$A$1:$AC$10000,MATCH(1,('Margin Guidence Table'!$A$1:$A$10000=IC20)*('Margin Guidence Table'!$H$1:$H$10000&lt;=ROUND($HU$3,0))*('Margin Guidence Table'!$G$1:$G$10000&gt;=ROUND($HU$3,0)),0),MATCH("PA_PCT_SALES",'Margin Guidence Table'!$A$1:$AC$1,0)),INDEX('Margin Guidence Table'!$A$1:$AC$10000,MATCH(1,('Margin Guidence Table'!$A$1:$A$10000=IC20)*('Margin Guidence Table'!$H$1:$H$10000&lt;=ROUND($HU$3,0))*('Margin Guidence Table'!$G$1:$G$10000&gt;=ROUND($HU$3,0)),0),MATCH("DEFAULT_PA_PCT_SALES",'Margin Guidence Table'!$A$1:$AC$1,0))),0)</f>
        <v>0</v>
      </c>
      <c r="IL20" s="1165">
        <f t="array" ref="IL20">IFERROR(IF($IE20="SEGMENT",INDEX('Margin Guidence Table'!$A$1:$AC$10000,MATCH(1,('Margin Guidence Table'!$A$1:$A$10000=IC20)*('Margin Guidence Table'!$H$1:$H$10000&lt;=ROUND($HU$3,0))*('Margin Guidence Table'!$G$1:$G$10000&gt;=ROUND($HU$3,0)),0),MATCH("SELF_FUND_PCT_SALES",'Margin Guidence Table'!$A$1:$AC$1,0)),INDEX('Margin Guidence Table'!$A$1:$AC$10000,MATCH(1,('Margin Guidence Table'!$A$1:$A$10000=IC20)*('Margin Guidence Table'!$H$1:$H$10000&lt;=ROUND($HU$3,0))*('Margin Guidence Table'!$G$1:$G$10000&gt;=ROUND($HU$3,0)),0),MATCH("DEFAULT_SELF_FUND_PCT_SALES",'Margin Guidence Table'!$A$1:$AC$1,0))),0)</f>
        <v>0</v>
      </c>
      <c r="IM20" s="1165">
        <f t="array" ref="IM20">IFERROR(IF($IE20="SEGMENT",INDEX('Margin Guidence Table'!$A$1:$AC$10000,MATCH(1,('Margin Guidence Table'!$A$1:$A$10000=IC20)*('Margin Guidence Table'!$H$1:$H$10000&lt;=ROUND($HU$3,0))*('Margin Guidence Table'!$G$1:$G$10000&gt;=ROUND($HU$3,0)),0),MATCH("CIA_MEDIAN_MARGIN_GUIDENCE",'Margin Guidence Table'!$A$1:$AC$1,0)),INDEX('Margin Guidence Table'!$A$1:$AC$10000,MATCH(1,('Margin Guidence Table'!$A$1:$A$10000=IC20)*('Margin Guidence Table'!$H$1:$H$10000&lt;=ROUND($HU$3,0))*('Margin Guidence Table'!$G$1:$G$10000&gt;=ROUND($HU$3,0)),0),MATCH("DEFAULT_CIA_MEDIAN_MARGIN_GUIDENCE",'Margin Guidence Table'!$A$1:$AC$1,0))),0)</f>
        <v>0</v>
      </c>
      <c r="IN20" s="129"/>
      <c r="IO20" s="18">
        <f t="array" ref="IO20">IFERROR(IF($JA20="SEGMENT",INDEX('Margin Guidence Table'!$A$1:$AC$10000,MATCH(1,('Margin Guidence Table'!$A$1:$A$10000=$IY20)*('Margin Guidence Table'!$H$1:$H$10000&lt;=ROUND($IQ$3,0))*('Margin Guidence Table'!$G$1:$G$10000&gt;=ROUND($IQ$3,0)),0),MATCH("PCT_SALES",'Margin Guidence Table'!$A$1:$AC$1,0)),INDEX('Margin Guidence Table'!$A$1:$AC$10000,MATCH(1,('Margin Guidence Table'!$A$1:$A$10000=$IY20)*('Margin Guidence Table'!$H$1:$H$10000&lt;=ROUND($IQ$3,0))*('Margin Guidence Table'!$G$1:$G$10000&gt;=ROUND($IQ$3,0)),0),MATCH("DEFAULT_PCT_SALES",'Margin Guidence Table'!$A$1:$AC$1,0))),0)</f>
        <v>0</v>
      </c>
      <c r="IP20" s="102" t="s">
        <v>98</v>
      </c>
      <c r="IQ20" s="94">
        <f>IFERROR(IF(AND($IQ$2&lt;&gt;"Enter Spend&gt;&gt;&gt;",IR2="EXISTING"),SUMIFS('Existing Customers'!$Q:$Q,'Existing Customers'!$A:$A,$IQ$1,'Existing Customers'!$H:$H,$IP20)*$IQ$4,$IQ$3*$IO20),0)</f>
        <v>0</v>
      </c>
      <c r="IR20" s="89">
        <f>IFERROR(IF(AND($IQ$2&lt;&gt;"Enter Spend&gt;&gt;&gt;",IR2="EXISTING"),SUMIFS('Existing Customers'!$N:$N,'Existing Customers'!$A:$A,$IQ$1,'Existing Customers'!$H:$H,$IP20)*$IQ$4,$IQ20/$JB20),0)</f>
        <v>0</v>
      </c>
      <c r="IS20" s="95">
        <f>IFERROR(IF(AND($IQ$2&lt;&gt;"Enter Spend&gt;&gt;&gt;",IR2="EXISTING"),SUMIFS('Existing Customers'!$O:$O,'Existing Customers'!$H:$H,$IP20,'Existing Customers'!$A:$A,$IQ$1)*$IQ$4,$IR20*$IQ$8),0)</f>
        <v>0</v>
      </c>
      <c r="IT20" s="95">
        <f>IFERROR(IF(AND($IQ$2&lt;&gt;"Enter Spend&gt;&gt;&gt;",IR2="EXISTING"),SUMIFS('Existing Customers'!$P:$P,'Existing Customers'!$A:$A,$IQ$1,'Existing Customers'!$H:$H,$IP20)*$IQ$4,$IQ20/$JC20),0)</f>
        <v>0</v>
      </c>
      <c r="IU20" s="402">
        <f>IFERROR(IF(AND($IQ$2&lt;&gt;"Enter Spend&gt;&gt;&gt;",IR2="EXISTING"),SUMIFS('Existing Customers'!$V:$V,'Existing Customers'!$H:$H,$IP20,'Existing Customers'!$A:$A,$IQ$1)*$IQ$4,0),0)</f>
        <v>0</v>
      </c>
      <c r="IV20" s="96">
        <f>IFERROR(IF(AND($IQ$2&lt;&gt;"Enter Spend&gt;&gt;&gt;",IR2="EXISTING"),SUMIFS('Existing Customers'!$R:$R,'Existing Customers'!$H:$H,$IP20,'Existing Customers'!$A:$A,$IQ$1)*$IQ$4,0),0)</f>
        <v>0</v>
      </c>
      <c r="IW20" s="1161">
        <f>IFERROR(IF(AND($IQ$2&lt;&gt;"Enter Spend&gt;&gt;&gt;",IR2="EXISTING"),SUMIFS('Existing Customers'!$S:$S,'Existing Customers'!$H:$H,$IP20,'Existing Customers'!$A:$A,$IQ$1),JG20*IQ20),0)</f>
        <v>0</v>
      </c>
      <c r="IX20" s="1161">
        <f>IFERROR(IF(AND($IQ$2&lt;&gt;"Enter Spend&gt;&gt;&gt;",IR2="EXISTING"),SUMIFS('Existing Customers'!$U:$U,'Existing Customers'!$H:$H,$IP20,'Existing Customers'!$A:$A,$IQ$1),JH20*IQ20),0)</f>
        <v>0</v>
      </c>
      <c r="IY20" s="1164" t="e">
        <f t="shared" si="42"/>
        <v>#N/A</v>
      </c>
      <c r="IZ20" s="1164">
        <f t="array" ref="IZ20">IFERROR(INDEX('Margin Guidence Table'!$A$1:$AD$30000,MATCH(1,('Margin Guidence Table'!$A$1:$A$10000=IY20)*('Margin Guidence Table'!$H$1:$H$10000&lt;=ROUND($IQ$3,0))*('Margin Guidence Table'!$G$1:$G$10000&gt;=ROUND($IQ$3,0)),0),MATCH("DATA_POINTS",'Margin Guidence Table'!$A$1:$AC$1,0)),0)</f>
        <v>0</v>
      </c>
      <c r="JA20" s="1161" t="str">
        <f t="shared" si="43"/>
        <v>DEFAULT</v>
      </c>
      <c r="JB20" s="1161">
        <f t="array" ref="JB20">IFERROR(IF($JA20="SEGMENT",INDEX('Margin Guidence Table'!$A$1:$AC$10000,MATCH(1,('Margin Guidence Table'!$A$1:$A$10000=IY20)*('Margin Guidence Table'!$H$1:$H$10000&lt;=ROUND($IQ$3,0))*('Margin Guidence Table'!$G$1:$G$10000&gt;=ROUND($IQ$3,0)),0),MATCH("SALES_CASE",'Margin Guidence Table'!$A$1:$AC$1,0)),INDEX('Margin Guidence Table'!$A$1:$AC$10000,MATCH(1,('Margin Guidence Table'!$A$1:$A$10000=IY20)*('Margin Guidence Table'!$H$1:$H$10000&lt;=ROUND($IQ$3,0))*('Margin Guidence Table'!$G$1:$G$10000&gt;=ROUND($IQ$3,0)),0),MATCH("DEFAULT_SALES_CASE",'Margin Guidence Table'!$A$1:$AC$1,0))),0)</f>
        <v>0</v>
      </c>
      <c r="JC20" s="1161">
        <f t="array" ref="JC20">IFERROR(IF($JA20="SEGMENT",INDEX('Margin Guidence Table'!$A$1:$AC$10000,MATCH(1,('Margin Guidence Table'!$A$1:$A$10000=IY20)*('Margin Guidence Table'!$H$1:$H$10000&lt;=ROUND($IQ$3,0))*('Margin Guidence Table'!$G$1:$G$10000&gt;=ROUND($IQ$3,0)),0),MATCH("SALES_LBS",'Margin Guidence Table'!$A$1:$AC$1,0)),INDEX('Margin Guidence Table'!$A$1:$AC$10000,MATCH(1,('Margin Guidence Table'!$A$1:$A$10000=IY20)*('Margin Guidence Table'!$H$1:$H$10000&lt;=ROUND($IQ$3,0))*('Margin Guidence Table'!$G$1:$G$10000&gt;=ROUND($IQ$3,0)),0),MATCH("DEFAULT_SALES_LBS",'Margin Guidence Table'!$A$1:$AC$1,0))),0)</f>
        <v>0</v>
      </c>
      <c r="JD20" s="1165">
        <f t="array" ref="JD20">IFERROR(IF($JA20="SEGMENT",INDEX('Margin Guidence Table'!$A$1:$AC$10000,MATCH(1,('Margin Guidence Table'!$A$1:$A$10000=IY20)*('Margin Guidence Table'!$H$1:$H$10000&lt;=ROUND($IQ$3,0))*('Margin Guidence Table'!$G$1:$G$10000&gt;=ROUND($IQ$3,0)),0),MATCH("MDA_MIN_MARGIN_GUIDENCE",'Margin Guidence Table'!$A$1:$AC$1,0)),INDEX('Margin Guidence Table'!$A$1:$AC$10000,MATCH(1,('Margin Guidence Table'!$A$1:$A$10000=IY20)*('Margin Guidence Table'!$H$1:$H$10000&lt;=ROUND($IQ$3,0))*('Margin Guidence Table'!$G$1:$G$10000&gt;=ROUND($IQ$3,0)),0),MATCH("DEFAULT_MDA_MIN_MARGIN_GUIDENCE",'Margin Guidence Table'!$A$1:$AC$1,0))),0)</f>
        <v>0</v>
      </c>
      <c r="JE20" s="1165">
        <f t="array" ref="JE20">IFERROR(IF($JA20="SEGMENT",INDEX('Margin Guidence Table'!$A$1:$AC$10000,MATCH(1,('Margin Guidence Table'!$A$1:$A$10000=IY20)*('Margin Guidence Table'!$H$1:$H$10000&lt;=ROUND($IQ$3,0))*('Margin Guidence Table'!$G$1:$G$10000&gt;=ROUND($IQ$3,0)),0),MATCH("MDA_MEDIAN_MARGIN_GUIDENCE",'Margin Guidence Table'!$A$1:$AC$1,0)),INDEX('Margin Guidence Table'!$A$1:$AC$10000,MATCH(1,('Margin Guidence Table'!$A$1:$A$10000=IY20)*('Margin Guidence Table'!$H$1:$H$10000&lt;=ROUND($IQ$3,0))*('Margin Guidence Table'!$G$1:$G$10000&gt;=ROUND($IQ$3,0)),0),MATCH("DEFAULT_MDA_MEDIAN_MARGIN_GUIDENCE",'Margin Guidence Table'!$A$1:$AC$1,0))),0)</f>
        <v>0</v>
      </c>
      <c r="JF20" s="1165">
        <f t="array" ref="JF20">IFERROR(IF($JA20="SEGMENT",INDEX('Margin Guidence Table'!$A$1:$AC$10000,MATCH(1,('Margin Guidence Table'!$A$1:$A$10000=IY20)*('Margin Guidence Table'!$H$1:$H$10000&lt;=ROUND($IQ$3,0))*('Margin Guidence Table'!$G$1:$G$10000&gt;=ROUND($IQ$3,0)),0),MATCH("MDA_MAX_MARGIN_GUIDENCE",'Margin Guidence Table'!$A$1:$AC$1,0)),INDEX('Margin Guidence Table'!$A$1:$AC$10000,MATCH(1,('Margin Guidence Table'!$A$1:$A$10000=IY20)*('Margin Guidence Table'!$H$1:$H$10000&lt;=ROUND($IQ$3,0))*('Margin Guidence Table'!$G$1:$G$10000&gt;=ROUND($IQ$3,0)),0),MATCH("DEFAULT_MDA_MAX_MARGIN_GUIDENCE",'Margin Guidence Table'!$A$1:$AC$1,0))),0)</f>
        <v>0</v>
      </c>
      <c r="JG20" s="1165">
        <f t="array" ref="JG20">IFERROR(IF($JA20="SEGMENT",INDEX('Margin Guidence Table'!$A$1:$AC$10000,MATCH(1,('Margin Guidence Table'!$A$1:$A$10000=IY20)*('Margin Guidence Table'!$H$1:$H$10000&lt;=ROUND($IQ$3,0))*('Margin Guidence Table'!$G$1:$G$10000&gt;=ROUND($IQ$3,0)),0),MATCH("PA_PCT_SALES",'Margin Guidence Table'!$A$1:$AC$1,0)),INDEX('Margin Guidence Table'!$A$1:$AC$10000,MATCH(1,('Margin Guidence Table'!$A$1:$A$10000=IY20)*('Margin Guidence Table'!$H$1:$H$10000&lt;=ROUND($IQ$3,0))*('Margin Guidence Table'!$G$1:$G$10000&gt;=ROUND($IQ$3,0)),0),MATCH("DEFAULT_PA_PCT_SALES",'Margin Guidence Table'!$A$1:$AC$1,0))),0)</f>
        <v>0</v>
      </c>
      <c r="JH20" s="1165">
        <f t="array" ref="JH20">IFERROR(IF($JA20="SEGMENT",INDEX('Margin Guidence Table'!$A$1:$AC$10000,MATCH(1,('Margin Guidence Table'!$A$1:$A$10000=IY20)*('Margin Guidence Table'!$H$1:$H$10000&lt;=ROUND($IQ$3,0))*('Margin Guidence Table'!$G$1:$G$10000&gt;=ROUND($IQ$3,0)),0),MATCH("SELF_FUND_PCT_SALES",'Margin Guidence Table'!$A$1:$AC$1,0)),INDEX('Margin Guidence Table'!$A$1:$AC$10000,MATCH(1,('Margin Guidence Table'!$A$1:$A$10000=IY20)*('Margin Guidence Table'!$H$1:$H$10000&lt;=ROUND($IQ$3,0))*('Margin Guidence Table'!$G$1:$G$10000&gt;=ROUND($IQ$3,0)),0),MATCH("DEFAULT_SELF_FUND_PCT_SALES",'Margin Guidence Table'!$A$1:$AC$1,0))),0)</f>
        <v>0</v>
      </c>
      <c r="JI20" s="1165">
        <f t="array" ref="JI20">IFERROR(IF($JA20="SEGMENT",INDEX('Margin Guidence Table'!$A$1:$AC$10000,MATCH(1,('Margin Guidence Table'!$A$1:$A$10000=IY20)*('Margin Guidence Table'!$H$1:$H$10000&lt;=ROUND($IQ$3,0))*('Margin Guidence Table'!$G$1:$G$10000&gt;=ROUND($IQ$3,0)),0),MATCH("CIA_MEDIAN_MARGIN_GUIDENCE",'Margin Guidence Table'!$A$1:$AC$1,0)),INDEX('Margin Guidence Table'!$A$1:$AC$10000,MATCH(1,('Margin Guidence Table'!$A$1:$A$10000=IY20)*('Margin Guidence Table'!$H$1:$H$10000&lt;=ROUND($IQ$3,0))*('Margin Guidence Table'!$G$1:$G$10000&gt;=ROUND($IQ$3,0)),0),MATCH("DEFAULT_CIA_MEDIAN_MARGIN_GUIDENCE",'Margin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44"/>
        <v>#DIV/0!</v>
      </c>
      <c r="AV21" s="400"/>
      <c r="AW21" s="400"/>
      <c r="AX21" s="108">
        <v>10</v>
      </c>
      <c r="AY21" s="18">
        <f t="array" ref="AY21">IFERROR(IF($BK21="SEGMENT",INDEX('Margin Guidence Table'!$A$1:$AC$10000,MATCH(1,('Margin Guidence Table'!$A$1:$A$10000=$BI21)*('Margin Guidence Table'!$H$1:$H$10000&lt;=ROUND($BA$3,0))*('Margin Guidence Table'!$G$1:$G$10000&gt;=ROUND($BA$3,0)),0),MATCH("PCT_SALES",'Margin Guidence Table'!$A$1:$AC$1,0)),INDEX('Margin Guidence Table'!$A$1:$AC$10000,MATCH(1,('Margin Guidence Table'!$A$1:$A$10000=$BI21)*('Margin Guidence Table'!$H$1:$H$10000&lt;=ROUND($BA$3,0))*('Margin Guidence Table'!$G$1:$G$10000&gt;=ROUND($BA$3,0)),0),MATCH("DEFAULT_PCT_SALES",'Margin Guidence Table'!$A$1:$AC$1,0))),0)</f>
        <v>0</v>
      </c>
      <c r="AZ21" s="102" t="s">
        <v>95</v>
      </c>
      <c r="BA21" s="94">
        <f>IFERROR(IF(AND($BA$2&lt;&gt;"Enter Spend&gt;&gt;&gt;",BB2="EXISTING"),SUMIFS('Existing Customers'!$Q:$Q,'Existing Customers'!$A:$A,$BA$1,'Existing Customers'!$H:$H,$AZ21)*$BA$4,$BA$3*$AY21),0)</f>
        <v>0</v>
      </c>
      <c r="BB21" s="95">
        <f>IFERROR(IF(AND($BA$2&lt;&gt;"Enter Spend&gt;&gt;&gt;",BB2="EXISTING"),SUMIFS('Existing Customers'!$N:$N,'Existing Customers'!$A:$A,$BA$1,'Existing Customers'!$H:$H,$AZ21)*$BA$4,$BA21/$BL21),0)</f>
        <v>0</v>
      </c>
      <c r="BC21" s="95">
        <f>IFERROR(IF(AND($BA$2&lt;&gt;"Enter Spend&gt;&gt;&gt;",BB2="EXISTING"),SUMIFS('Existing Customers'!$O:$O,'Existing Customers'!$H:$H,$AZ21,'Existing Customers'!$A:$A,$BA$1)*$BA$4,$BB21*$BA$8),0)</f>
        <v>0</v>
      </c>
      <c r="BD21" s="95">
        <f>IFERROR(IF(AND($BA$2&lt;&gt;"Enter Spend&gt;&gt;&gt;",BB2="EXISTING"),SUMIFS('Existing Customers'!$P:$P,'Existing Customers'!$A:$A,$BA$1,'Existing Customers'!$H:$H,$AZ21)*$BA$4,$BA21/$BM21),0)</f>
        <v>0</v>
      </c>
      <c r="BE21" s="402">
        <f>IFERROR(IF(AND($BA$2&lt;&gt;"Enter Spend&gt;&gt;&gt;",BB2="EXISTING"),SUMIFS('Existing Customers'!$V:$V,'Existing Customers'!$H:$H,$AZ21,'Existing Customers'!$A:$A,$BA$1)*$BA$4,0),0)</f>
        <v>0</v>
      </c>
      <c r="BF21" s="96">
        <f>IFERROR(IF(AND($BA$2&lt;&gt;"Enter Spend&gt;&gt;&gt;",BB2="EXISTING"),SUMIFS('Existing Customers'!$R:$R,'Existing Customers'!$H:$H,$AZ21,'Existing Customers'!$A:$A,$BA$1)*$BA$4,0),0)</f>
        <v>0</v>
      </c>
      <c r="BG21" s="96">
        <f>IFERROR(IF(AND($BA$2&lt;&gt;"Enter Spend&gt;&gt;&gt;",BB2="EXISTING"),SUMIFS('Existing Customers'!$S:$S,'Existing Customers'!$H:$H,$AZ21,'Existing Customers'!$A:$A,$BA$1),BQ21*BA21),0)</f>
        <v>0</v>
      </c>
      <c r="BH21" s="96">
        <f>IFERROR(IF(AND($BA$2&lt;&gt;"Enter Spend&gt;&gt;&gt;",BB2="EXISTING"),SUMIFS('Existing Customers'!$U:$U,'Existing Customers'!$H:$H,$AZ21,'Existing Customers'!$A:$A,$BA$1),BR21*BA21),0)</f>
        <v>0</v>
      </c>
      <c r="BI21" s="1163" t="e">
        <f t="shared" si="24"/>
        <v>#N/A</v>
      </c>
      <c r="BJ21" s="1164">
        <f t="array" ref="BJ21">IFERROR(INDEX('Margin Guidence Table'!$A$1:$AD$30000,MATCH(1,('Margin Guidence Table'!$A$1:$A$10000=$BI21)*('Margin Guidence Table'!$H$1:$H$10000&lt;=ROUND($BA$3,0))*('Margin Guidence Table'!$G$1:$G$10000&gt;=ROUND($BA$3,0)),0),MATCH("DATA_POINTS",'Margin Guidence Table'!$A$1:$AC$1,0)),0)</f>
        <v>0</v>
      </c>
      <c r="BK21" s="1161" t="str">
        <f t="shared" si="25"/>
        <v>DEFAULT</v>
      </c>
      <c r="BL21" s="1161">
        <f t="array" ref="BL21">IFERROR(IF($BK21="SEGMENT",INDEX('Margin Guidence Table'!$A$1:$AC$10000,MATCH(1,('Margin Guidence Table'!$A$1:$A$10000=$BI21)*('Margin Guidence Table'!$H$1:$H$10000&lt;=ROUND($BA$3,0))*('Margin Guidence Table'!$G$1:$G$10000&gt;=ROUND($BA$3,0)),0),MATCH("SALES_CASE",'Margin Guidence Table'!$A$1:$AC$1,0)),INDEX('Margin Guidence Table'!$A$1:$AC$10000,MATCH(1,('Margin Guidence Table'!$A$1:$A$10000=$BI21)*('Margin Guidence Table'!$H$1:$H$10000&lt;=ROUND($BA$3,0))*('Margin Guidence Table'!$G$1:$G$10000&gt;=ROUND($BA$3,0)),0),MATCH("DEFAULT_SALES_CASE",'Margin Guidence Table'!$A$1:$AC$1,0))),0)</f>
        <v>0</v>
      </c>
      <c r="BM21" s="1161">
        <f t="array" ref="BM21">IFERROR(IF($BK21="SEGMENT",INDEX('Margin Guidence Table'!$A$1:$AC$10000,MATCH(1,('Margin Guidence Table'!$A$1:$A$10000=$BI21)*('Margin Guidence Table'!$H$1:$H$10000&lt;=ROUND($BA$3,0))*('Margin Guidence Table'!$G$1:$G$10000&gt;=ROUND($BA$3,0)),0),MATCH("SALES_LBS",'Margin Guidence Table'!$A$1:$AC$1,0)),INDEX('Margin Guidence Table'!$A$1:$AC$10000,MATCH(1,('Margin Guidence Table'!$A$1:$A$10000=$BI21)*('Margin Guidence Table'!$H$1:$H$10000&lt;=ROUND($BA$3,0))*('Margin Guidence Table'!$G$1:$G$10000&gt;=ROUND($BA$3,0)),0),MATCH("DEFAULT_SALES_LBS",'Margin Guidence Table'!$A$1:$AC$1,0))),0)</f>
        <v>0</v>
      </c>
      <c r="BN21" s="1165">
        <f t="array" ref="BN21">IFERROR(IF($BK21="SEGMENT",INDEX('Margin Guidence Table'!$A$1:$AC$10000,MATCH(1,('Margin Guidence Table'!$A$1:$A$10000=$BI21)*('Margin Guidence Table'!$H$1:$H$10000&lt;=ROUND($BA$3,0))*('Margin Guidence Table'!$G$1:$G$10000&gt;=ROUND($BA$3,0)),0),MATCH("MDA_MIN_MARGIN_GUIDENCE",'Margin Guidence Table'!$A$1:$AC$1,0)),INDEX('Margin Guidence Table'!$A$1:$AC$10000,MATCH(1,('Margin Guidence Table'!$A$1:$A$10000=$BI21)*('Margin Guidence Table'!$H$1:$H$10000&lt;=ROUND($BA$3,0))*('Margin Guidence Table'!$G$1:$G$10000&gt;=ROUND($BA$3,0)),0),MATCH("DEFAULT_MDA_MIN_MARGIN_GUIDENCE",'Margin Guidence Table'!$A$1:$AC$1,0))),0)</f>
        <v>0</v>
      </c>
      <c r="BO21" s="1165">
        <f t="array" ref="BO21">IFERROR(IF($BK21="SEGMENT",INDEX('Margin Guidence Table'!$A$1:$AC$10000,MATCH(1,('Margin Guidence Table'!$A$1:$A$10000=$BI21)*('Margin Guidence Table'!$H$1:$H$10000&lt;=ROUND($BA$3,0))*('Margin Guidence Table'!$G$1:$G$10000&gt;=ROUND($BA$3,0)),0),MATCH("MDA_MEDIAN_MARGIN_GUIDENCE",'Margin Guidence Table'!$A$1:$AC$1,0)),INDEX('Margin Guidence Table'!$A$1:$AC$10000,MATCH(1,('Margin Guidence Table'!$A$1:$A$10000=$BI21)*('Margin Guidence Table'!$H$1:$H$10000&lt;=ROUND($BA$3,0))*('Margin Guidence Table'!$G$1:$G$10000&gt;=ROUND($BA$3,0)),0),MATCH("DEFAULT_MDA_MEDIAN_MARGIN_GUIDENCE",'Margin Guidence Table'!$A$1:$AC$1,0))),0)</f>
        <v>0</v>
      </c>
      <c r="BP21" s="1165">
        <f t="array" ref="BP21">IFERROR(IF($BK21="SEGMENT",INDEX('Margin Guidence Table'!$A$1:$AC$10000,MATCH(1,('Margin Guidence Table'!$A$1:$A$10000=$BI21)*('Margin Guidence Table'!$H$1:$H$10000&lt;=ROUND($BA$3,0))*('Margin Guidence Table'!$G$1:$G$10000&gt;=ROUND($BA$3,0)),0),MATCH("MDA_MAX_MARGIN_GUIDENCE",'Margin Guidence Table'!$A$1:$AC$1,0)),INDEX('Margin Guidence Table'!$A$1:$AC$10000,MATCH(1,('Margin Guidence Table'!$A$1:$A$10000=$BI21)*('Margin Guidence Table'!$H$1:$H$10000&lt;=ROUND($BA$3,0))*('Margin Guidence Table'!$G$1:$G$10000&gt;=ROUND($BA$3,0)),0),MATCH("DEFAULT_MDA_MAX_MARGIN_GUIDENCE",'Margin Guidence Table'!$A$1:$AC$1,0))),0)</f>
        <v>0</v>
      </c>
      <c r="BQ21" s="1165">
        <f t="array" ref="BQ21">IFERROR(IF($BK21="SEGMENT",INDEX('Margin Guidence Table'!$A$1:$AC$10000,MATCH(1,('Margin Guidence Table'!$A$1:$A$10000=$BI21)*('Margin Guidence Table'!$H$1:$H$10000&lt;=ROUND($BA$3,0))*('Margin Guidence Table'!$G$1:$G$10000&gt;=ROUND($BA$3,0)),0),MATCH("PA_PCT_SALES",'Margin Guidence Table'!$A$1:$AC$1,0)),INDEX('Margin Guidence Table'!$A$1:$AC$10000,MATCH(1,('Margin Guidence Table'!$A$1:$A$10000=$BI21)*('Margin Guidence Table'!$H$1:$H$10000&lt;=ROUND($BA$3,0))*('Margin Guidence Table'!$G$1:$G$10000&gt;=ROUND($BA$3,0)),0),MATCH("DEFAULT_PA_PCT_SALES",'Margin Guidence Table'!$A$1:$AC$1,0))),0)</f>
        <v>0</v>
      </c>
      <c r="BR21" s="1165">
        <f t="array" ref="BR21">IFERROR(IF($BK21="SEGMENT",INDEX('Margin Guidence Table'!$A$1:$AC$10000,MATCH(1,('Margin Guidence Table'!$A$1:$A$10000=$BI21)*('Margin Guidence Table'!$H$1:$H$10000&lt;=ROUND($BA$3,0))*('Margin Guidence Table'!$G$1:$G$10000&gt;=ROUND($BA$3,0)),0),MATCH("SELF_FUND_PCT_SALES",'Margin Guidence Table'!$A$1:$AC$1,0)),INDEX('Margin Guidence Table'!$A$1:$AC$10000,MATCH(1,('Margin Guidence Table'!$A$1:$A$10000=$BI21)*('Margin Guidence Table'!$H$1:$H$10000&lt;=ROUND($BA$3,0))*('Margin Guidence Table'!$G$1:$G$10000&gt;=ROUND($BA$3,0)),0),MATCH("DEFAULT_SELF_FUND_PCT_SALES",'Margin Guidence Table'!$A$1:$AC$1,0))),0)</f>
        <v>0</v>
      </c>
      <c r="BS21" s="1165">
        <f t="array" ref="BS21">IFERROR(IF($BK21="SEGMENT",INDEX('Margin Guidence Table'!$A$1:$AC$10000,MATCH(1,('Margin Guidence Table'!$A$1:$A$10000=$BI21)*('Margin Guidence Table'!$H$1:$H$10000&lt;=ROUND($BA$3,0))*('Margin Guidence Table'!$G$1:$G$10000&gt;=ROUND($BA$3,0)),0),MATCH("CIA_MEDIAN_MARGIN_GUIDENCE",'Margin Guidence Table'!$A$1:$AC$1,0)),INDEX('Margin Guidence Table'!$A$1:$AC$10000,MATCH(1,('Margin Guidence Table'!$A$1:$A$10000=$BI21)*('Margin Guidence Table'!$H$1:$H$10000&lt;=ROUND($BA$3,0))*('Margin Guidence Table'!$G$1:$G$10000&gt;=ROUND($BA$3,0)),0),MATCH("DEFAULT_CIA_MEDIAN_MARGIN_GUIDENCE",'Margin Guidence Table'!$A$1:$AC$1,0))),0)</f>
        <v>0</v>
      </c>
      <c r="BT21" s="129"/>
      <c r="BU21" s="18">
        <f t="array" ref="BU21">IFERROR(IF($CG21="SEGMENT",INDEX('Margin Guidence Table'!$A$1:$AC$10000,MATCH(1,('Margin Guidence Table'!$A$1:$A$10000=$CE21)*('Margin Guidence Table'!$H$1:$H$10000&lt;=ROUND($BW$3,0))*('Margin Guidence Table'!$G$1:$G$10000&gt;=ROUND($BW$3,0)),0),MATCH("PCT_SALES",'Margin Guidence Table'!$A$1:$AC$1,0)),INDEX('Margin Guidence Table'!$A$1:$AC$10000,MATCH(1,('Margin Guidence Table'!$A$1:$A$10000=$CE21)*('Margin Guidence Table'!$H$1:$H$10000&lt;=ROUND($BW$3,0))*('Margin Guidence Table'!$G$1:$G$10000&gt;=ROUND($BW$3,0)),0),MATCH("DEFAULT_PCT_SALES",'Margin Guidence Table'!$A$1:$AC$1,0))),0)</f>
        <v>0</v>
      </c>
      <c r="BV21" s="102" t="s">
        <v>95</v>
      </c>
      <c r="BW21" s="94">
        <f>IFERROR(IF(AND($BW$2&lt;&gt;"Enter Spend&gt;&gt;&gt;",BX2="EXISTING"),SUMIFS('Existing Customers'!$Q:$Q,'Existing Customers'!$A:$A,$BW$1,'Existing Customers'!$H:$H,$BV21)*$BW$4,$BW$3*$BU21),0)</f>
        <v>0</v>
      </c>
      <c r="BX21" s="89">
        <f>IFERROR(IF(AND($BW$2&lt;&gt;"Enter Spend&gt;&gt;&gt;",BX2="EXISTING"),SUMIFS('Existing Customers'!$N:$N,'Existing Customers'!$A:$A,$BW$1,'Existing Customers'!$H:$H,$BV21)*$BW$4,$BW21/$CH21),0)</f>
        <v>0</v>
      </c>
      <c r="BY21" s="95">
        <f>IFERROR(IF(AND($BW$2&lt;&gt;"Enter Spend&gt;&gt;&gt;",BX2="EXISTING"),SUMIFS('Existing Customers'!$O:$O,'Existing Customers'!$H:$H,$BV21,'Existing Customers'!$A:$A,$BW$1)*$BW$4,$BX21*$BW$8),0)</f>
        <v>0</v>
      </c>
      <c r="BZ21" s="95">
        <f>IFERROR(IF(AND($BW$2&lt;&gt;"Enter Spend&gt;&gt;&gt;",BX2="EXISTING"),SUMIFS('Existing Customers'!$P:$P,'Existing Customers'!$A:$A,$BW$1,'Existing Customers'!$H:$H,$BV21)*$BW$4,$BW21/$CI21),0)</f>
        <v>0</v>
      </c>
      <c r="CA21" s="96">
        <f>IFERROR(IF(AND($BW$2&lt;&gt;"Enter Spend&gt;&gt;&gt;",BX2="EXISTING"),SUMIFS('Existing Customers'!$V:$V,'Existing Customers'!$H:$H,$BV21,'Existing Customers'!$A:$A,$BW$1)*$BW$4,0),0)</f>
        <v>0</v>
      </c>
      <c r="CB21" s="96">
        <f>IFERROR(IF(AND($BW$2&lt;&gt;"Enter Spend&gt;&gt;&gt;",BX2="EXISTING"),SUMIFS('Existing Customers'!$R:$R,'Existing Customers'!$H:$H,$BV21,'Existing Customers'!$A:$A,$BW$1)*$BW$4,0),0)</f>
        <v>0</v>
      </c>
      <c r="CC21" s="1161">
        <f>IFERROR(IF(AND($BW$2&lt;&gt;"Enter Spend&gt;&gt;&gt;",BX2="EXISTING"),SUMIFS('Existing Customers'!$S:$S,'Existing Customers'!$H:$H,$BV21,'Existing Customers'!$A:$A,$BW$1),CM21*BW21),0)</f>
        <v>0</v>
      </c>
      <c r="CD21" s="1161">
        <f>IFERROR(IF(AND($BW$2&lt;&gt;"Enter Spend&gt;&gt;&gt;",BX2="EXISTING"),SUMIFS('Existing Customers'!$U:$U,'Existing Customers'!$H:$H,$BV21,'Existing Customers'!$A:$A,$BW$1),CN21*BW21),0)</f>
        <v>0</v>
      </c>
      <c r="CE21" s="1164" t="e">
        <f t="shared" si="26"/>
        <v>#N/A</v>
      </c>
      <c r="CF21" s="1164">
        <f t="array" ref="CF21">IFERROR(INDEX('Margin Guidence Table'!$A$1:$AD$30000,MATCH(1,('Margin Guidence Table'!$A$1:$A$10000=$CE21)*('Margin Guidence Table'!$H$1:$H$10000&lt;=ROUND($BW$3,0))*('Margin Guidence Table'!$G$1:$G$10000&gt;=ROUND($BW$3,0)),0),MATCH("DATA_POINTS",'Margin Guidence Table'!$A$1:$AC$1,0)),0)</f>
        <v>0</v>
      </c>
      <c r="CG21" s="1161" t="str">
        <f t="shared" si="27"/>
        <v>DEFAULT</v>
      </c>
      <c r="CH21" s="1161">
        <f t="array" ref="CH21">IFERROR(IF($CG21="SEGMENT",INDEX('Margin Guidence Table'!$A$1:$AC$10000,MATCH(1,('Margin Guidence Table'!$A$1:$A$10000=$CE21)*('Margin Guidence Table'!$H$1:$H$10000&lt;=ROUND($BW$3,0))*('Margin Guidence Table'!$G$1:$G$10000&gt;=ROUND($BW$3,0)),0),MATCH("SALES_CASE",'Margin Guidence Table'!$A$1:$AC$1,0)),INDEX('Margin Guidence Table'!$A$1:$AC$10000,MATCH(1,('Margin Guidence Table'!$A$1:$A$10000=$CE21)*('Margin Guidence Table'!$H$1:$H$10000&lt;=ROUND($BW$3,0))*('Margin Guidence Table'!$G$1:$G$10000&gt;=ROUND($BW$3,0)),0),MATCH("DEFAULT_SALES_CASE",'Margin Guidence Table'!$A$1:$AC$1,0))),0)</f>
        <v>0</v>
      </c>
      <c r="CI21" s="1161">
        <f t="array" ref="CI21">IFERROR(IF($CG21="SEGMENT",INDEX('Margin Guidence Table'!$A$1:$AC$10000,MATCH(1,('Margin Guidence Table'!$A$1:$A$10000=$CE21)*('Margin Guidence Table'!$H$1:$H$10000&lt;=ROUND($BW$3,0))*('Margin Guidence Table'!$G$1:$G$10000&gt;=ROUND($BW$3,0)),0),MATCH("SALES_LBS",'Margin Guidence Table'!$A$1:$AC$1,0)),INDEX('Margin Guidence Table'!$A$1:$AC$10000,MATCH(1,('Margin Guidence Table'!$A$1:$A$10000=$CE21)*('Margin Guidence Table'!$H$1:$H$10000&lt;=ROUND($BW$3,0))*('Margin Guidence Table'!$G$1:$G$10000&gt;=ROUND($BW$3,0)),0),MATCH("DEFAULT_SALES_LBS",'Margin Guidence Table'!$A$1:$AC$1,0))),0)</f>
        <v>0</v>
      </c>
      <c r="CJ21" s="1165">
        <f t="array" ref="CJ21">IFERROR(IF($CG21="SEGMENT",INDEX('Margin Guidence Table'!$A$1:$AC$10000,MATCH(1,('Margin Guidence Table'!$A$1:$A$10000=$CE21)*('Margin Guidence Table'!$H$1:$H$10000&lt;=ROUND($BW$3,0))*('Margin Guidence Table'!$G$1:$G$10000&gt;=ROUND($BW$3,0)),0),MATCH("MDA_MIN_MARGIN_GUIDENCE",'Margin Guidence Table'!$A$1:$AC$1,0)),INDEX('Margin Guidence Table'!$A$1:$AC$10000,MATCH(1,('Margin Guidence Table'!$A$1:$A$10000=$CE21)*('Margin Guidence Table'!$H$1:$H$10000&lt;=ROUND($BW$3,0))*('Margin Guidence Table'!$G$1:$G$10000&gt;=ROUND($BW$3,0)),0),MATCH("DEFAULT_MDA_MIN_MARGIN_GUIDENCE",'Margin Guidence Table'!$A$1:$AC$1,0))),0)</f>
        <v>0</v>
      </c>
      <c r="CK21" s="1165">
        <f t="array" ref="CK21">IFERROR(IF($CG21="SEGMENT",INDEX('Margin Guidence Table'!$A$1:$AC$10000,MATCH(1,('Margin Guidence Table'!$A$1:$A$10000=$CE21)*('Margin Guidence Table'!$H$1:$H$10000&lt;=ROUND($BW$3,0))*('Margin Guidence Table'!$G$1:$G$10000&gt;=ROUND($BW$3,0)),0),MATCH("MDA_MEDIAN_MARGIN_GUIDENCE",'Margin Guidence Table'!$A$1:$AC$1,0)),INDEX('Margin Guidence Table'!$A$1:$AC$10000,MATCH(1,('Margin Guidence Table'!$A$1:$A$10000=$CE21)*('Margin Guidence Table'!$H$1:$H$10000&lt;=ROUND($BW$3,0))*('Margin Guidence Table'!$G$1:$G$10000&gt;=ROUND($BW$3,0)),0),MATCH("DEFAULT_MDA_MEDIAN_MARGIN_GUIDENCE",'Margin Guidence Table'!$A$1:$AC$1,0))),0)</f>
        <v>0</v>
      </c>
      <c r="CL21" s="1165">
        <f t="array" ref="CL21">IFERROR(IF($CG21="SEGMENT",INDEX('Margin Guidence Table'!$A$1:$AC$10000,MATCH(1,('Margin Guidence Table'!$A$1:$A$10000=$CE21)*('Margin Guidence Table'!$H$1:$H$10000&lt;=ROUND($BW$3,0))*('Margin Guidence Table'!$G$1:$G$10000&gt;=ROUND($BW$3,0)),0),MATCH("MDA_MAX_MARGIN_GUIDENCE",'Margin Guidence Table'!$A$1:$AC$1,0)),INDEX('Margin Guidence Table'!$A$1:$AC$10000,MATCH(1,('Margin Guidence Table'!$A$1:$A$10000=$CE21)*('Margin Guidence Table'!$H$1:$H$10000&lt;=ROUND($BW$3,0))*('Margin Guidence Table'!$G$1:$G$10000&gt;=ROUND($BW$3,0)),0),MATCH("DEFAULT_MDA_MAX_MARGIN_GUIDENCE",'Margin Guidence Table'!$A$1:$AC$1,0))),0)</f>
        <v>0</v>
      </c>
      <c r="CM21" s="1165">
        <f t="array" ref="CM21">IFERROR(IF($CG21="SEGMENT",INDEX('Margin Guidence Table'!$A$1:$AC$10000,MATCH(1,('Margin Guidence Table'!$A$1:$A$10000=$CE21)*('Margin Guidence Table'!$H$1:$H$10000&lt;=ROUND($BW$3,0))*('Margin Guidence Table'!$G$1:$G$10000&gt;=ROUND($BW$3,0)),0),MATCH("PA_PCT_SALES",'Margin Guidence Table'!$A$1:$AC$1,0)),INDEX('Margin Guidence Table'!$A$1:$AC$10000,MATCH(1,('Margin Guidence Table'!$A$1:$A$10000=$CE21)*('Margin Guidence Table'!$H$1:$H$10000&lt;=ROUND($BW$3,0))*('Margin Guidence Table'!$G$1:$G$10000&gt;=ROUND($BW$3,0)),0),MATCH("DEFAULT_PA_PCT_SALES",'Margin Guidence Table'!$A$1:$AC$1,0))),0)</f>
        <v>0</v>
      </c>
      <c r="CN21" s="1165">
        <f t="array" ref="CN21">IFERROR(IF($CG21="SEGMENT",INDEX('Margin Guidence Table'!$A$1:$AC$10000,MATCH(1,('Margin Guidence Table'!$A$1:$A$10000=$CE21)*('Margin Guidence Table'!$H$1:$H$10000&lt;=ROUND($BW$3,0))*('Margin Guidence Table'!$G$1:$G$10000&gt;=ROUND($BW$3,0)),0),MATCH("SELF_FUND_PCT_SALES",'Margin Guidence Table'!$A$1:$AC$1,0)),INDEX('Margin Guidence Table'!$A$1:$AC$10000,MATCH(1,('Margin Guidence Table'!$A$1:$A$10000=$CE21)*('Margin Guidence Table'!$H$1:$H$10000&lt;=ROUND($BW$3,0))*('Margin Guidence Table'!$G$1:$G$10000&gt;=ROUND($BW$3,0)),0),MATCH("DEFAULT_SELF_FUND_PCT_SALES",'Margin Guidence Table'!$A$1:$AC$1,0))),0)</f>
        <v>0</v>
      </c>
      <c r="CO21" s="1165">
        <f t="array" ref="CO21">IFERROR(IF($CG21="SEGMENT",INDEX('Margin Guidence Table'!$A$1:$AC$10000,MATCH(1,('Margin Guidence Table'!$A$1:$A$10000=$CE21)*('Margin Guidence Table'!$H$1:$H$10000&lt;=ROUND($BW$3,0))*('Margin Guidence Table'!$G$1:$G$10000&gt;=ROUND($BW$3,0)),0),MATCH("CIA_MEDIAN_MARGIN_GUIDENCE",'Margin Guidence Table'!$A$1:$AC$1,0)),INDEX('Margin Guidence Table'!$A$1:$AC$10000,MATCH(1,('Margin Guidence Table'!$A$1:$A$10000=$CE21)*('Margin Guidence Table'!$H$1:$H$10000&lt;=ROUND($BW$3,0))*('Margin Guidence Table'!$G$1:$G$10000&gt;=ROUND($BW$3,0)),0),MATCH("DEFAULT_CIA_MEDIAN_MARGIN_GUIDENCE",'Margin Guidence Table'!$A$1:$AC$1,0))),0)</f>
        <v>0</v>
      </c>
      <c r="CP21" s="129"/>
      <c r="CQ21" s="18">
        <f t="array" ref="CQ21">IFERROR(IF($DC21="SEGMENT",INDEX('Margin Guidence Table'!$A$1:$AC$10000,MATCH(1,('Margin Guidence Table'!$A$1:$A$10000=$DA21)*('Margin Guidence Table'!$H$1:$H$10000&lt;=ROUND($CS$3,0))*('Margin Guidence Table'!$G$1:$G$10000&gt;=ROUND($CS$3,0)),0),MATCH("PCT_SALES",'Margin Guidence Table'!$A$1:$AC$1,0)),INDEX('Margin Guidence Table'!$A$1:$AC$10000,MATCH(1,('Margin Guidence Table'!$A$1:$A$10000=$DA21)*('Margin Guidence Table'!$H$1:$H$10000&lt;=ROUND($CS$3,0))*('Margin Guidence Table'!$G$1:$G$10000&gt;=ROUND($CS$3,0)),0),MATCH("DEFAULT_PCT_SALES",'Margin Guidence Table'!$A$1:$AC$1,0))),0)</f>
        <v>0</v>
      </c>
      <c r="CR21" s="102" t="s">
        <v>95</v>
      </c>
      <c r="CS21" s="94">
        <f>IFERROR(IF(AND($CS$2&lt;&gt;"Enter Spend&gt;&gt;&gt;",CT2="EXISTING"),SUMIFS('Existing Customers'!$Q:$Q,'Existing Customers'!$A:$A,$CS$1,'Existing Customers'!$H:$H,$CR21)*$CS$4,$CS$3*$CQ21),0)</f>
        <v>0</v>
      </c>
      <c r="CT21" s="89">
        <f>IFERROR(IF(AND($CS$2&lt;&gt;"Enter Spend&gt;&gt;&gt;",CT2="EXISTING"),SUMIFS('Existing Customers'!$N:$N,'Existing Customers'!$A:$A,$CS$1,'Existing Customers'!$H:$H,$CR21)*$CS$4,$CS21/$DD21),0)</f>
        <v>0</v>
      </c>
      <c r="CU21" s="95">
        <f>IFERROR(IF(AND($CS$2&lt;&gt;"Enter Spend&gt;&gt;&gt;",BB28="EXISTING"),SUMIFS('Existing Customers'!$O:$O,'Existing Customers'!$H:$H,$CR21,'Existing Customers'!$A:$A,$CS$1)*$CS$4,$CT21*$CS$8),0)</f>
        <v>0</v>
      </c>
      <c r="CV21" s="95">
        <f>IFERROR(IF(AND($CS$2&lt;&gt;"Enter Spend&gt;&gt;&gt;",CT2="EXISTING"),SUMIFS('Existing Customers'!$P:$P,'Existing Customers'!$A:$A,$CS$1,'Existing Customers'!$H:$H,$CR21)*$CS$4,$CS21/$DE21),0)</f>
        <v>0</v>
      </c>
      <c r="CW21" s="96">
        <f>IFERROR(IF(AND($CS$2&lt;&gt;"Enter Spend&gt;&gt;&gt;",CT2="EXISTING"),SUMIFS('Existing Customers'!$V:$V,'Existing Customers'!$H:$H,$CR21,'Existing Customers'!$A:$A,$CS$1)*$CS$4,0),0)</f>
        <v>0</v>
      </c>
      <c r="CX21" s="96">
        <f>IFERROR(IF(AND($CS$2&lt;&gt;"Enter Spend&gt;&gt;&gt;",CT2="EXISTING"),SUMIFS('Existing Customers'!$R:$R,'Existing Customers'!$H:$H,$AZ21,'Existing Customers'!$A:$A,$CS$1)*$CS$4,0),0)</f>
        <v>0</v>
      </c>
      <c r="CY21" s="1161">
        <f>IFERROR(IF(AND($CS$2&lt;&gt;"Enter Spend&gt;&gt;&gt;",CT2="EXISTING"),SUMIFS('Existing Customers'!$S:$S,'Existing Customers'!$H:$H,$CR21,'Existing Customers'!$A:$A,$CS$1),DI21*CS21),0)</f>
        <v>0</v>
      </c>
      <c r="CZ21" s="1161">
        <f>IFERROR(IF(AND($CS$2&lt;&gt;"Enter Spend&gt;&gt;&gt;",CT2="EXISTING"),SUMIFS('Existing Customers'!$U:$U,'Existing Customers'!$H:$H,$CR21,'Existing Customers'!$A:$A,$CS$1),DJ21*CS21),0)</f>
        <v>0</v>
      </c>
      <c r="DA21" s="1164" t="e">
        <f t="shared" si="28"/>
        <v>#N/A</v>
      </c>
      <c r="DB21" s="1164">
        <f t="array" ref="DB21">IFERROR(INDEX('Margin Guidence Table'!$A$1:$AD$30000,MATCH(1,('Margin Guidence Table'!$A$1:$A$10000=DA21)*('Margin Guidence Table'!$H$1:$H$10000&lt;=ROUND($CS$3,0))*('Margin Guidence Table'!$G$1:$G$10000&gt;=ROUND($CS$3,0)),0),MATCH("DATA_POINTS",'Margin Guidence Table'!$A$1:$AC$1,0)),0)</f>
        <v>0</v>
      </c>
      <c r="DC21" s="1161" t="str">
        <f t="shared" si="29"/>
        <v>DEFAULT</v>
      </c>
      <c r="DD21" s="1161">
        <f t="array" ref="DD21">IFERROR(IF($DC21="SEGMENT",INDEX('Margin Guidence Table'!$A$1:$AC$10000,MATCH(1,('Margin Guidence Table'!$A$1:$A$10000=DA21)*('Margin Guidence Table'!$H$1:$H$10000&lt;=ROUND($CS$3,0))*('Margin Guidence Table'!$G$1:$G$10000&gt;=ROUND($CS$3,0)),0),MATCH("SALES_CASE",'Margin Guidence Table'!$A$1:$AC$1,0)),INDEX('Margin Guidence Table'!$A$1:$AC$10000,MATCH(1,('Margin Guidence Table'!$A$1:$A$10000=DA21)*('Margin Guidence Table'!$H$1:$H$10000&lt;=ROUND($CS$3,0))*('Margin Guidence Table'!$G$1:$G$10000&gt;=ROUND($CS$3,0)),0),MATCH("DEFAULT_SALES_CASE",'Margin Guidence Table'!$A$1:$AC$1,0))),0)</f>
        <v>0</v>
      </c>
      <c r="DE21" s="1161">
        <f t="array" ref="DE21">IFERROR(IF($DC21="SEGMENT",INDEX('Margin Guidence Table'!$A$1:$AC$10000,MATCH(1,('Margin Guidence Table'!$A$1:$A$10000=DA21)*('Margin Guidence Table'!$H$1:$H$10000&lt;=ROUND($CS$3,0))*('Margin Guidence Table'!$G$1:$G$10000&gt;=ROUND($CS$3,0)),0),MATCH("SALES_LBS",'Margin Guidence Table'!$A$1:$AC$1,0)),INDEX('Margin Guidence Table'!$A$1:$AC$10000,MATCH(1,('Margin Guidence Table'!$A$1:$A$10000=DA21)*('Margin Guidence Table'!$H$1:$H$10000&lt;=ROUND($CS$3,0))*('Margin Guidence Table'!$G$1:$G$10000&gt;=ROUND($CS$3,0)),0),MATCH("DEFAULT_SALES_LBS",'Margin Guidence Table'!$A$1:$AC$1,0))),0)</f>
        <v>0</v>
      </c>
      <c r="DF21" s="1165">
        <f t="array" ref="DF21">IFERROR(IF($DC21="SEGMENT",INDEX('Margin Guidence Table'!$A$1:$AC$10000,MATCH(1,('Margin Guidence Table'!$A$1:$A$10000=DA21)*('Margin Guidence Table'!$H$1:$H$10000&lt;=ROUND($CS$3,0))*('Margin Guidence Table'!$G$1:$G$10000&gt;=ROUND($CS$3,0)),0),MATCH("MDA_MIN_MARGIN_GUIDENCE",'Margin Guidence Table'!$A$1:$AC$1,0)),INDEX('Margin Guidence Table'!$A$1:$AC$10000,MATCH(1,('Margin Guidence Table'!$A$1:$A$10000=DA21)*('Margin Guidence Table'!$H$1:$H$10000&lt;=ROUND($CS$3,0))*('Margin Guidence Table'!$G$1:$G$10000&gt;=ROUND($CS$3,0)),0),MATCH("DEFAULT_MDA_MIN_MARGIN_GUIDENCE",'Margin Guidence Table'!$A$1:$AC$1,0))),0)</f>
        <v>0</v>
      </c>
      <c r="DG21" s="1165">
        <f t="array" ref="DG21">IFERROR(IF($DC21="SEGMENT",INDEX('Margin Guidence Table'!$A$1:$AC$10000,MATCH(1,('Margin Guidence Table'!$A$1:$A$10000=DA21)*('Margin Guidence Table'!$H$1:$H$10000&lt;=ROUND($CS$3,0))*('Margin Guidence Table'!$G$1:$G$10000&gt;=ROUND($CS$3,0)),0),MATCH("MDA_MEDIAN_MARGIN_GUIDENCE",'Margin Guidence Table'!$A$1:$AC$1,0)),INDEX('Margin Guidence Table'!$A$1:$AC$10000,MATCH(1,('Margin Guidence Table'!$A$1:$A$10000=DA21)*('Margin Guidence Table'!$H$1:$H$10000&lt;=ROUND($CS$3,0))*('Margin Guidence Table'!$G$1:$G$10000&gt;=ROUND($CS$3,0)),0),MATCH("DEFAULT_MDA_MEDIAN_MARGIN_GUIDENCE",'Margin Guidence Table'!$A$1:$AC$1,0))),0)</f>
        <v>0</v>
      </c>
      <c r="DH21" s="1165">
        <f t="array" ref="DH21">IFERROR(IF($DC21="SEGMENT",INDEX('Margin Guidence Table'!$A$1:$AC$10000,MATCH(1,('Margin Guidence Table'!$A$1:$A$10000=DA21)*('Margin Guidence Table'!$H$1:$H$10000&lt;=ROUND($CS$3,0))*('Margin Guidence Table'!$G$1:$G$10000&gt;=ROUND($CS$3,0)),0),MATCH("MDA_MAX_MARGIN_GUIDENCE",'Margin Guidence Table'!$A$1:$AC$1,0)),INDEX('Margin Guidence Table'!$A$1:$AC$10000,MATCH(1,('Margin Guidence Table'!$A$1:$A$10000=DA21)*('Margin Guidence Table'!$H$1:$H$10000&lt;=ROUND($CS$3,0))*('Margin Guidence Table'!$G$1:$G$10000&gt;=ROUND($CS$3,0)),0),MATCH("DEFAULT_MDA_MAX_MARGIN_GUIDENCE",'Margin Guidence Table'!$A$1:$AC$1,0))),0)</f>
        <v>0</v>
      </c>
      <c r="DI21" s="1165">
        <f t="array" ref="DI21">IFERROR(IF($DC21="SEGMENT",INDEX('Margin Guidence Table'!$A$1:$AC$10000,MATCH(1,('Margin Guidence Table'!$A$1:$A$10000=DA21)*('Margin Guidence Table'!$H$1:$H$10000&lt;=ROUND($CS$3,0))*('Margin Guidence Table'!$G$1:$G$10000&gt;=ROUND($CS$3,0)),0),MATCH("PA_PCT_SALES",'Margin Guidence Table'!$A$1:$AC$1,0)),INDEX('Margin Guidence Table'!$A$1:$AC$10000,MATCH(1,('Margin Guidence Table'!$A$1:$A$10000=DA21)*('Margin Guidence Table'!$H$1:$H$10000&lt;=ROUND($CS$3,0))*('Margin Guidence Table'!$G$1:$G$10000&gt;=ROUND($CS$3,0)),0),MATCH("DEFAULT_PA_PCT_SALES",'Margin Guidence Table'!$A$1:$AC$1,0))),0)</f>
        <v>0</v>
      </c>
      <c r="DJ21" s="1165">
        <f t="array" ref="DJ21">IFERROR(IF($DC21="SEGMENT",INDEX('Margin Guidence Table'!$A$1:$AC$10000,MATCH(1,('Margin Guidence Table'!$A$1:$A$10000=DA21)*('Margin Guidence Table'!$H$1:$H$10000&lt;=ROUND($CS$3,0))*('Margin Guidence Table'!$G$1:$G$10000&gt;=ROUND($CS$3,0)),0),MATCH("SELF_FUND_PCT_SALES",'Margin Guidence Table'!$A$1:$AC$1,0)),INDEX('Margin Guidence Table'!$A$1:$AC$10000,MATCH(1,('Margin Guidence Table'!$A$1:$A$10000=DA21)*('Margin Guidence Table'!$H$1:$H$10000&lt;=ROUND($CS$3,0))*('Margin Guidence Table'!$G$1:$G$10000&gt;=ROUND($CS$3,0)),0),MATCH("DEFAULT_SELF_FUND_PCT_SALES",'Margin Guidence Table'!$A$1:$AC$1,0))),0)</f>
        <v>0</v>
      </c>
      <c r="DK21" s="1165">
        <f t="array" ref="DK21">IFERROR(IF($DC21="SEGMENT",INDEX('Margin Guidence Table'!$A$1:$AC$10000,MATCH(1,('Margin Guidence Table'!$A$1:$A$10000=DA21)*('Margin Guidence Table'!$H$1:$H$10000&lt;=ROUND($CS$3,0))*('Margin Guidence Table'!$G$1:$G$10000&gt;=ROUND($CS$3,0)),0),MATCH("CIA_MEDIAN_MARGIN_GUIDENCE",'Margin Guidence Table'!$A$1:$AC$1,0)),INDEX('Margin Guidence Table'!$A$1:$AC$10000,MATCH(1,('Margin Guidence Table'!$A$1:$A$10000=DA21)*('Margin Guidence Table'!$H$1:$H$10000&lt;=ROUND($CS$3,0))*('Margin Guidence Table'!$G$1:$G$10000&gt;=ROUND($CS$3,0)),0),MATCH("DEFAULT_CIA_MEDIAN_MARGIN_GUIDENCE",'Margin Guidence Table'!$A$1:$AC$1,0))),0)</f>
        <v>0</v>
      </c>
      <c r="DL21" s="129"/>
      <c r="DM21" s="18">
        <f t="array" ref="DM21">IFERROR(IF($DY21="SEGMENT",INDEX('Margin Guidence Table'!$A$1:$AC$10000,MATCH(1,('Margin Guidence Table'!$A$1:$A$10000=$DW21)*('Margin Guidence Table'!$H$1:$H$10000&lt;=ROUND($DO$3,0))*('Margin Guidence Table'!$G$1:$G$10000&gt;=ROUND($DO$3,0)),0),MATCH("PCT_SALES",'Margin Guidence Table'!$A$1:$AC$1,0)),INDEX('Margin Guidence Table'!$A$1:$AC$10000,MATCH(1,('Margin Guidence Table'!$A$1:$A$10000=$DW21)*('Margin Guidence Table'!$H$1:$H$10000&lt;=ROUND($DO$3,0))*('Margin Guidence Table'!$G$1:$G$10000&gt;=ROUND($DO$3,0)),0),MATCH("DEFAULT_PCT_SALES",'Margin Guidence Table'!$A$1:$AC$1,0))),0)</f>
        <v>0</v>
      </c>
      <c r="DN21" s="102" t="s">
        <v>95</v>
      </c>
      <c r="DO21" s="94">
        <f>IFERROR(IF(AND($DO$2&lt;&gt;"Enter Spend&gt;&gt;&gt;",DP2="EXISTING"),SUMIFS('Existing Customers'!$Q:$Q,'Existing Customers'!$A:$A,$DO$1,'Existing Customers'!$H:$H,$DN21)*$DO$4,$DO$3*$DM21),0)</f>
        <v>0</v>
      </c>
      <c r="DP21" s="89">
        <f>IFERROR(IF(AND($DO$2&lt;&gt;"Enter Spend&gt;&gt;&gt;",DP2="EXISTING"),SUMIFS('Existing Customers'!$N:$N,'Existing Customers'!$A:$A,$DO$1,'Existing Customers'!$H:$H,$DN21)*$DO$4,$DO21/$DZ21),0)</f>
        <v>0</v>
      </c>
      <c r="DQ21" s="95">
        <f>IFERROR(IF(AND($DO$2&lt;&gt;"Enter Spend&gt;&gt;&gt;",DP2="EXISTING"),SUMIFS('Existing Customers'!$O:$O,'Existing Customers'!$H:$H,$DN21,'Existing Customers'!$A:$A,$DO$1)*$DO$4,$DP21*$DO$8),0)</f>
        <v>0</v>
      </c>
      <c r="DR21" s="95">
        <f>IFERROR(IF(AND($DO$2&lt;&gt;"Enter Spend&gt;&gt;&gt;",DP2="EXISTING"),SUMIFS('Existing Customers'!$P:$P,'Existing Customers'!$A:$A,$DO$1,'Existing Customers'!$H:$H,$DN21)*$DO$4,$DO21/$EA21),0)</f>
        <v>0</v>
      </c>
      <c r="DS21" s="96">
        <f>IFERROR(IF(AND($DO$2&lt;&gt;"Enter Spend&gt;&gt;&gt;",EL2="EXISTING"),SUMIFS('Existing Customers'!$V:$V,'Existing Customers'!$H:$H,$DN21,'Existing Customers'!$A:$A,$DO$1)*$DO$4,0),0)</f>
        <v>0</v>
      </c>
      <c r="DT21" s="96">
        <f>IFERROR(IF(AND($DO$2&lt;&gt;"Enter Spend&gt;&gt;&gt;",DP2="EXISTING"),SUMIFS('Existing Customers'!$R:$R,'Existing Customers'!$H:$H,$DN21,'Existing Customers'!$A:$A,$DO$1)*$DO$4,0),0)</f>
        <v>0</v>
      </c>
      <c r="DU21" s="1161">
        <f>IFERROR(IF(AND($DO$2&lt;&gt;"Enter Spend&gt;&gt;&gt;",DP2="EXISTING"),SUMIFS('Existing Customers'!$S:$S,'Existing Customers'!$H:$H,$DP21,'Existing Customers'!$A:$A,$DO$1),EE21*DO21),0)</f>
        <v>0</v>
      </c>
      <c r="DV21" s="1161">
        <f>IFERROR(IF(AND($DO$2&lt;&gt;"Enter Spend&gt;&gt;&gt;",DP2="EXISTING"),SUMIFS('Existing Customers'!$U:$U,'Existing Customers'!$H:$H,$DN21,'Existing Customers'!$A:$A,$DO$1),EF21*DO21),0)</f>
        <v>0</v>
      </c>
      <c r="DW21" s="1164" t="e">
        <f t="shared" si="30"/>
        <v>#N/A</v>
      </c>
      <c r="DX21" s="1164">
        <f t="array" ref="DX21">IFERROR(INDEX('Margin Guidence Table'!$A$1:$AD$30000,MATCH(1,('Margin Guidence Table'!$A$1:$A$10000=DW21)*('Margin Guidence Table'!$H$1:$H$10000&lt;=ROUND($DO$3,0))*('Margin Guidence Table'!$G$1:$G$10000&gt;=ROUND($DO$3,0)),0),MATCH("DATA_POINTS",'Margin Guidence Table'!$A$1:$AC$1,0)),0)</f>
        <v>0</v>
      </c>
      <c r="DY21" s="1161" t="str">
        <f t="shared" si="31"/>
        <v>DEFAULT</v>
      </c>
      <c r="DZ21" s="1161">
        <f t="array" ref="DZ21">IFERROR(IF($DY21="SEGMENT",INDEX('Margin Guidence Table'!$A$1:$AC$10000,MATCH(1,('Margin Guidence Table'!$A$1:$A$10000=DW21)*('Margin Guidence Table'!$H$1:$H$10000&lt;=ROUND($DO$3,0))*('Margin Guidence Table'!$G$1:$G$10000&gt;=ROUND($DO$3,0)),0),MATCH("SALES_CASE",'Margin Guidence Table'!$A$1:$AC$1,0)),INDEX('Margin Guidence Table'!$A$1:$AC$10000,MATCH(1,('Margin Guidence Table'!$A$1:$A$10000=DW21)*('Margin Guidence Table'!$H$1:$H$10000&lt;=ROUND($DO$3,0))*('Margin Guidence Table'!$G$1:$G$10000&gt;=ROUND($DO$3,0)),0),MATCH("DEFAULT_SALES_CASE",'Margin Guidence Table'!$A$1:$AC$1,0))),0)</f>
        <v>0</v>
      </c>
      <c r="EA21" s="1161">
        <f t="array" ref="EA21">IFERROR(IF($DY21="SEGMENT",INDEX('Margin Guidence Table'!$A$1:$AC$10000,MATCH(1,('Margin Guidence Table'!$A$1:$A$10000=DW21)*('Margin Guidence Table'!$H$1:$H$10000&lt;=ROUND($DO$3,0))*('Margin Guidence Table'!$G$1:$G$10000&gt;=ROUND($DO$3,0)),0),MATCH("SALES_LBS",'Margin Guidence Table'!$A$1:$AC$1,0)),INDEX('Margin Guidence Table'!$A$1:$AC$10000,MATCH(1,('Margin Guidence Table'!$A$1:$A$10000=DW21)*('Margin Guidence Table'!$H$1:$H$10000&lt;=ROUND($DO$3,0))*('Margin Guidence Table'!$G$1:$G$10000&gt;=ROUND($DO$3,0)),0),MATCH("DEFAULT_SALES_LBS",'Margin Guidence Table'!$A$1:$AC$1,0))),0)</f>
        <v>0</v>
      </c>
      <c r="EB21" s="1165">
        <f t="array" ref="EB21">IFERROR(IF($DY21="SEGMENT",INDEX('Margin Guidence Table'!$A$1:$AC$10000,MATCH(1,('Margin Guidence Table'!$A$1:$A$10000=DW21)*('Margin Guidence Table'!$H$1:$H$10000&lt;=ROUND($DO$3,0))*('Margin Guidence Table'!$G$1:$G$10000&gt;=ROUND($DO$3,0)),0),MATCH("MDA_MIN_MARGIN_GUIDENCE",'Margin Guidence Table'!$A$1:$AC$1,0)),INDEX('Margin Guidence Table'!$A$1:$AC$10000,MATCH(1,('Margin Guidence Table'!$A$1:$A$10000=DW21)*('Margin Guidence Table'!$H$1:$H$10000&lt;=ROUND($DO$3,0))*('Margin Guidence Table'!$G$1:$G$10000&gt;=ROUND($DO$3,0)),0),MATCH("DEFAULT_MDA_MIN_MARGIN_GUIDENCE",'Margin Guidence Table'!$A$1:$AC$1,0))),0)</f>
        <v>0</v>
      </c>
      <c r="EC21" s="1165">
        <f t="array" ref="EC21">IFERROR(IF($DY21="SEGMENT",INDEX('Margin Guidence Table'!$A$1:$AC$10000,MATCH(1,('Margin Guidence Table'!$A$1:$A$10000=DW21)*('Margin Guidence Table'!$H$1:$H$10000&lt;=ROUND($DO$3,0))*('Margin Guidence Table'!$G$1:$G$10000&gt;=ROUND($DO$3,0)),0),MATCH("MDA_MEDIAN_MARGIN_GUIDENCE",'Margin Guidence Table'!$A$1:$AC$1,0)),INDEX('Margin Guidence Table'!$A$1:$AC$10000,MATCH(1,('Margin Guidence Table'!$A$1:$A$10000=DW21)*('Margin Guidence Table'!$H$1:$H$10000&lt;=ROUND($DO$3,0))*('Margin Guidence Table'!$G$1:$G$10000&gt;=ROUND($DO$3,0)),0),MATCH("DEFAULT_MDA_MEDIAN_MARGIN_GUIDENCE",'Margin Guidence Table'!$A$1:$AC$1,0))),0)</f>
        <v>0</v>
      </c>
      <c r="ED21" s="1165">
        <f t="array" ref="ED21">IFERROR(IF($DY21="SEGMENT",INDEX('Margin Guidence Table'!$A$1:$AC$10000,MATCH(1,('Margin Guidence Table'!$A$1:$A$10000=DW21)*('Margin Guidence Table'!$H$1:$H$10000&lt;=ROUND($DO$3,0))*('Margin Guidence Table'!$G$1:$G$10000&gt;=ROUND($DO$3,0)),0),MATCH("MDA_MAX_MARGIN_GUIDENCE",'Margin Guidence Table'!$A$1:$AC$1,0)),INDEX('Margin Guidence Table'!$A$1:$AC$10000,MATCH(1,('Margin Guidence Table'!$A$1:$A$10000=DW21)*('Margin Guidence Table'!$H$1:$H$10000&lt;=ROUND($DO$3,0))*('Margin Guidence Table'!$G$1:$G$10000&gt;=ROUND($DO$3,0)),0),MATCH("DEFAULT_MDA_MAX_MARGIN_GUIDENCE",'Margin Guidence Table'!$A$1:$AC$1,0))),0)</f>
        <v>0</v>
      </c>
      <c r="EE21" s="1165">
        <f t="array" ref="EE21">IFERROR(IF($DY21="SEGMENT",INDEX('Margin Guidence Table'!$A$1:$AC$10000,MATCH(1,('Margin Guidence Table'!$A$1:$A$10000=DW21)*('Margin Guidence Table'!$H$1:$H$10000&lt;=ROUND($DO$3,0))*('Margin Guidence Table'!$G$1:$G$10000&gt;=ROUND($DO$3,0)),0),MATCH("PA_PCT_SALES",'Margin Guidence Table'!$A$1:$AC$1,0)),INDEX('Margin Guidence Table'!$A$1:$AC$10000,MATCH(1,('Margin Guidence Table'!$A$1:$A$10000=DW21)*('Margin Guidence Table'!$H$1:$H$10000&lt;=ROUND($DO$3,0))*('Margin Guidence Table'!$G$1:$G$10000&gt;=ROUND($DO$3,0)),0),MATCH("DEFAULT_PA_PCT_SALES",'Margin Guidence Table'!$A$1:$AC$1,0))),0)</f>
        <v>0</v>
      </c>
      <c r="EF21" s="1165">
        <f t="array" ref="EF21">IFERROR(IF($DY21="SEGMENT",INDEX('Margin Guidence Table'!$A$1:$AC$10000,MATCH(1,('Margin Guidence Table'!$A$1:$A$10000=DW21)*('Margin Guidence Table'!$H$1:$H$10000&lt;=ROUND($DO$3,0))*('Margin Guidence Table'!$G$1:$G$10000&gt;=ROUND($DO$3,0)),0),MATCH("SELF_FUND_PCT_SALES",'Margin Guidence Table'!$A$1:$AC$1,0)),INDEX('Margin Guidence Table'!$A$1:$AC$10000,MATCH(1,('Margin Guidence Table'!$A$1:$A$10000=DW21)*('Margin Guidence Table'!$H$1:$H$10000&lt;=ROUND($DO$3,0))*('Margin Guidence Table'!$G$1:$G$10000&gt;=ROUND($DO$3,0)),0),MATCH("DEFAULT_SELF_FUND_PCT_SALES",'Margin Guidence Table'!$A$1:$AC$1,0))),0)</f>
        <v>0</v>
      </c>
      <c r="EG21" s="1165">
        <f t="array" ref="EG21">IFERROR(IF($DY21="SEGMENT",INDEX('Margin Guidence Table'!$A$1:$AC$10000,MATCH(1,('Margin Guidence Table'!$A$1:$A$10000=DW21)*('Margin Guidence Table'!$H$1:$H$10000&lt;=ROUND($DO$3,0))*('Margin Guidence Table'!$G$1:$G$10000&gt;=ROUND($DO$3,0)),0),MATCH("CIA_MEDIAN_MARGIN_GUIDENCE",'Margin Guidence Table'!$A$1:$AC$1,0)),INDEX('Margin Guidence Table'!$A$1:$AC$10000,MATCH(1,('Margin Guidence Table'!$A$1:$A$10000=DW21)*('Margin Guidence Table'!$H$1:$H$10000&lt;=ROUND($DO$3,0))*('Margin Guidence Table'!$G$1:$G$10000&gt;=ROUND($DO$3,0)),0),MATCH("DEFAULT_CIA_MEDIAN_MARGIN_GUIDENCE",'Margin Guidence Table'!$A$1:$AC$1,0))),0)</f>
        <v>0</v>
      </c>
      <c r="EH21" s="129"/>
      <c r="EI21" s="18">
        <f t="array" ref="EI21">IFERROR(IF($EU21="SEGMENT",INDEX('Margin Guidence Table'!$A$1:$AC$10000,MATCH(1,('Margin Guidence Table'!$A$1:$A$10000=$ES21)*('Margin Guidence Table'!$H$1:$H$10000&lt;=ROUND($EK$3,0))*('Margin Guidence Table'!$G$1:$G$10000&gt;=ROUND($EK$3,0)),0),MATCH("PCT_SALES",'Margin Guidence Table'!$A$1:$AC$1,0)),INDEX('Margin Guidence Table'!$A$1:$AC$10000,MATCH(1,('Margin Guidence Table'!$A$1:$A$10000=$ES21)*('Margin Guidence Table'!$H$1:$H$10000&lt;=ROUND($EK$3,0))*('Margin Guidence Table'!$G$1:$G$10000&gt;=ROUND($EK$3,0)),0),MATCH("DEFAULT_PCT_SALES",'Margin Guidence Table'!$A$1:$AC$1,0))),0)</f>
        <v>0</v>
      </c>
      <c r="EJ21" s="102" t="s">
        <v>95</v>
      </c>
      <c r="EK21" s="94">
        <f>IFERROR(IF(AND($EK$2&lt;&gt;"Enter Spend&gt;&gt;&gt;",EL2="EXISTING"),SUMIFS('Existing Customers'!$Q:$Q,'Existing Customers'!$A:$A,$EK$1,'Existing Customers'!$H:$H,$EJ21)*$EK$4,$EK$3*$EI21),0)</f>
        <v>0</v>
      </c>
      <c r="EL21" s="89">
        <f>IFERROR(IF(AND($EK$2&lt;&gt;"Enter Spend&gt;&gt;&gt;",EL2="EXISTING"),SUMIFS('Existing Customers'!$N:$N,'Existing Customers'!$A:$A,$EK$1,'Existing Customers'!$H:$H,$EJ21)*$EK$4,$EK21/$EV21),0)</f>
        <v>0</v>
      </c>
      <c r="EM21" s="95">
        <f>IFERROR(IF(AND($EK$2&lt;&gt;"Enter Spend&gt;&gt;&gt;",EL2="EXISTING"),SUMIFS('Existing Customers'!$O:$O,'Existing Customers'!$H:$H,$EJ21,'Existing Customers'!$A:$A,$EK$1)*$EK$4,$EL21*$EK$8),0)</f>
        <v>0</v>
      </c>
      <c r="EN21" s="95">
        <f>IFERROR(IF(AND($EK$2&lt;&gt;"Enter Spend&gt;&gt;&gt;",EL2="EXISTING"),SUMIFS('Existing Customers'!$P:$P,'Existing Customers'!$A:$A,$EK$1,'Existing Customers'!$H:$H,$EJ21)*$EK$4,$EK21/$EW21),0)</f>
        <v>0</v>
      </c>
      <c r="EO21" s="96">
        <f>IFERROR(IF(AND($EK$2&lt;&gt;"Enter Spend&gt;&gt;&gt;",EL2="EXISTING"),SUMIFS('Existing Customers'!$V:$V,'Existing Customers'!$H:$H,$EJ21,'Existing Customers'!$A:$A,$EK$1)*$EK$4,0),0)</f>
        <v>0</v>
      </c>
      <c r="EP21" s="96">
        <f>IFERROR(IF(AND($EK$2&lt;&gt;"Enter Spend&gt;&gt;&gt;",EL2="EXISTING"),SUMIFS('Existing Customers'!$R:$R,'Existing Customers'!$H:$H,$EJ21,'Existing Customers'!$A:$A,$EK$1)*$EK$4,0),0)</f>
        <v>0</v>
      </c>
      <c r="EQ21" s="1161">
        <f>IFERROR(IF(AND($EK$2&lt;&gt;"Enter Spend&gt;&gt;&gt;",EL2="EXISTING"),SUMIFS('Existing Customers'!$S:$S,'Existing Customers'!$H:$H,$EJ21,'Existing Customers'!$A:$A,$EK$1),FA21*EK21),0)</f>
        <v>0</v>
      </c>
      <c r="ER21" s="1161">
        <f>IFERROR(IF(AND($EK$2&lt;&gt;"Enter Spend&gt;&gt;&gt;",EL2="EXISTING"),SUMIFS('Existing Customers'!$U:$U,'Existing Customers'!$H:$H,$EJ21,'Existing Customers'!$A:$A,$EK$1),FB21*EK21),0)</f>
        <v>0</v>
      </c>
      <c r="ES21" s="1164" t="e">
        <f t="shared" si="32"/>
        <v>#N/A</v>
      </c>
      <c r="ET21" s="1164">
        <f t="array" ref="ET21">IFERROR(INDEX('Margin Guidence Table'!$A$1:$AD$30000,MATCH(1,('Margin Guidence Table'!$A$1:$A$10000=ES21)*('Margin Guidence Table'!$H$1:$H$10000&lt;=ROUND($EK$3,0))*('Margin Guidence Table'!$G$1:$G$10000&gt;=ROUND($EK$3,0)),0),MATCH("DATA_POINTS",'Margin Guidence Table'!$A$1:$AC$1,0)),0)</f>
        <v>0</v>
      </c>
      <c r="EU21" s="1161" t="str">
        <f t="shared" si="33"/>
        <v>DEFAULT</v>
      </c>
      <c r="EV21" s="1161">
        <f t="array" ref="EV21">IFERROR(IF($EU21="SEGMENT",INDEX('Margin Guidence Table'!$A$1:$AC$10000,MATCH(1,('Margin Guidence Table'!$A$1:$A$10000=ES21)*('Margin Guidence Table'!$H$1:$H$10000&lt;=ROUND($EK$3,0))*('Margin Guidence Table'!$G$1:$G$10000&gt;=ROUND($EK$3,0)),0),MATCH("SALES_CASE",'Margin Guidence Table'!$A$1:$AC$1,0)),INDEX('Margin Guidence Table'!$A$1:$AC$10000,MATCH(1,('Margin Guidence Table'!$A$1:$A$10000=ES21)*('Margin Guidence Table'!$H$1:$H$10000&lt;=ROUND($EK$3,0))*('Margin Guidence Table'!$G$1:$G$10000&gt;=ROUND($EK$3,0)),0),MATCH("DEFAULT_SALES_CASE",'Margin Guidence Table'!$A$1:$AC$1,0))),0)</f>
        <v>0</v>
      </c>
      <c r="EW21" s="1161" cm="1">
        <f t="array" ref="EW21">IFERROR(IF($EU21="SEGMENT",INDEX('Margin Guidence Table'!$A$1:$AC$10000,MATCH(1,('Margin Guidence Table'!$A$1:$A$10000=ES21)*('Margin Guidence Table'!$H$1:$H$10000&lt;=ROUND($EK$3,0))*('Margin Guidence Table'!$G$1:$G$10000&gt;=ROUND($EK$3,0)),0),MATCH("SALES_LBS",'Margin Guidence Table'!$A$1:$AC$1,0)),INDEX('Margin Guidence Table'!$A$1:$AC$10000,MATCH(1,('Margin Guidence Table'!$A$1:$A$10000=ES21)*('Margin Guidence Table'!$H$1:$H$10000&lt;=ROUND($EK$3,0))*('Margin Guidence Table'!$G$1:$G$10000&gt;=ROUND($EK$3,0)),0),MATCH("DEFAULT_SALES_LBS",'Margin Guidence Table'!$A$1:$AC$1,0))),0)</f>
        <v>0</v>
      </c>
      <c r="EX21" s="1165">
        <f t="array" ref="EX21">IFERROR(IF($EU21="SEGMENT",INDEX('Margin Guidence Table'!$A$1:$AC$10000,MATCH(1,('Margin Guidence Table'!$A$1:$A$10000=ES21)*('Margin Guidence Table'!$H$1:$H$10000&lt;=ROUND($EK$3,0))*('Margin Guidence Table'!$G$1:$G$10000&gt;=ROUND($EK$3,0)),0),MATCH("MDA_MIN_MARGIN_GUIDENCE",'Margin Guidence Table'!$A$1:$AC$1,0)),INDEX('Margin Guidence Table'!$A$1:$AC$10000,MATCH(1,('Margin Guidence Table'!$A$1:$A$10000=ES21)*('Margin Guidence Table'!$H$1:$H$10000&lt;=ROUND($EK$3,0))*('Margin Guidence Table'!$G$1:$G$10000&gt;=ROUND($EK$3,0)),0),MATCH("DEFAULT_MDA_MIN_MARGIN_GUIDENCE",'Margin Guidence Table'!$A$1:$AC$1,0))),0)</f>
        <v>0</v>
      </c>
      <c r="EY21" s="1165">
        <f t="array" ref="EY21">IFERROR(IF($EU21="SEGMENT",INDEX('Margin Guidence Table'!$A$1:$AC$10000,MATCH(1,('Margin Guidence Table'!$A$1:$A$10000=ES21)*('Margin Guidence Table'!$H$1:$H$10000&lt;=ROUND($EK$3,0))*('Margin Guidence Table'!$G$1:$G$10000&gt;=ROUND($EK$3,0)),0),MATCH("MDA_MEDIAN_MARGIN_GUIDENCE",'Margin Guidence Table'!$A$1:$AC$1,0)),INDEX('Margin Guidence Table'!$A$1:$AC$10000,MATCH(1,('Margin Guidence Table'!$A$1:$A$10000=ES21)*('Margin Guidence Table'!$H$1:$H$10000&lt;=ROUND($EK$3,0))*('Margin Guidence Table'!$G$1:$G$10000&gt;=ROUND($EK$3,0)),0),MATCH("DEFAULT_MDA_MEDIAN_MARGIN_GUIDENCE",'Margin Guidence Table'!$A$1:$AC$1,0))),0)</f>
        <v>0</v>
      </c>
      <c r="EZ21" s="1165">
        <f t="array" ref="EZ21">IFERROR(IF($EU21="SEGMENT",INDEX('Margin Guidence Table'!$A$1:$AC$10000,MATCH(1,('Margin Guidence Table'!$A$1:$A$10000=ES21)*('Margin Guidence Table'!$H$1:$H$10000&lt;=ROUND($EK$3,0))*('Margin Guidence Table'!$G$1:$G$10000&gt;=ROUND($EK$3,0)),0),MATCH("MDA_MAX_MARGIN_GUIDENCE",'Margin Guidence Table'!$A$1:$AC$1,0)),INDEX('Margin Guidence Table'!$A$1:$AC$10000,MATCH(1,('Margin Guidence Table'!$A$1:$A$10000=ES21)*('Margin Guidence Table'!$H$1:$H$10000&lt;=ROUND($EK$3,0))*('Margin Guidence Table'!$G$1:$G$10000&gt;=ROUND($EK$3,0)),0),MATCH("DEFAULT_MDA_MAX_MARGIN_GUIDENCE",'Margin Guidence Table'!$A$1:$AC$1,0))),0)</f>
        <v>0</v>
      </c>
      <c r="FA21" s="1165">
        <f t="array" ref="FA21">IFERROR(IF($EU21="SEGMENT",INDEX('Margin Guidence Table'!$A$1:$AC$10000,MATCH(1,('Margin Guidence Table'!$A$1:$A$10000=ES21)*('Margin Guidence Table'!$H$1:$H$10000&lt;=ROUND($EK$3,0))*('Margin Guidence Table'!$G$1:$G$10000&gt;=ROUND($EK$3,0)),0),MATCH("PA_PCT_SALES",'Margin Guidence Table'!$A$1:$AC$1,0)),INDEX('Margin Guidence Table'!$A$1:$AC$10000,MATCH(1,('Margin Guidence Table'!$A$1:$A$10000=ES21)*('Margin Guidence Table'!$H$1:$H$10000&lt;=ROUND($EK$3,0))*('Margin Guidence Table'!$G$1:$G$10000&gt;=ROUND($EK$3,0)),0),MATCH("DEFAULT_PA_PCT_SALES",'Margin Guidence Table'!$A$1:$AC$1,0))),0)</f>
        <v>0</v>
      </c>
      <c r="FB21" s="1165">
        <f t="array" ref="FB21">IFERROR(IF($EU21="SEGMENT",INDEX('Margin Guidence Table'!$A$1:$AC$10000,MATCH(1,('Margin Guidence Table'!$A$1:$A$10000=ES21)*('Margin Guidence Table'!$H$1:$H$10000&lt;=ROUND($EK$3,0))*('Margin Guidence Table'!$G$1:$G$10000&gt;=ROUND($EK$3,0)),0),MATCH("SELF_FUND_PCT_SALES",'Margin Guidence Table'!$A$1:$AC$1,0)),INDEX('Margin Guidence Table'!$A$1:$AC$10000,MATCH(1,('Margin Guidence Table'!$A$1:$A$10000=ES21)*('Margin Guidence Table'!$H$1:$H$10000&lt;=ROUND($EK$3,0))*('Margin Guidence Table'!$G$1:$G$10000&gt;=ROUND($EK$3,0)),0),MATCH("DEFAULT_SELF_FUND_PCT_SALES",'Margin Guidence Table'!$A$1:$AC$1,0))),0)</f>
        <v>0</v>
      </c>
      <c r="FC21" s="1165">
        <f t="array" ref="FC21">IFERROR(IF($EU21="SEGMENT",INDEX('Margin Guidence Table'!$A$1:$AC$10000,MATCH(1,('Margin Guidence Table'!$A$1:$A$10000=ES21)*('Margin Guidence Table'!$H$1:$H$10000&lt;=ROUND($EK$3,0))*('Margin Guidence Table'!$G$1:$G$10000&gt;=ROUND($EK$3,0)),0),MATCH("CIA_MEDIAN_MARGIN_GUIDENCE",'Margin Guidence Table'!$A$1:$AC$1,0)),INDEX('Margin Guidence Table'!$A$1:$AC$10000,MATCH(1,('Margin Guidence Table'!$A$1:$A$10000=ES21)*('Margin Guidence Table'!$H$1:$H$10000&lt;=ROUND($EK$3,0))*('Margin Guidence Table'!$G$1:$G$10000&gt;=ROUND($EK$3,0)),0),MATCH("DEFAULT_CIA_MEDIAN_MARGIN_GUIDENCE",'Margin Guidence Table'!$A$1:$AC$1,0))),0)</f>
        <v>0</v>
      </c>
      <c r="FD21" s="129"/>
      <c r="FE21" s="18">
        <f t="array" ref="FE21">IFERROR(IF($FQ21="SEGMENT",INDEX('Margin Guidence Table'!$A$1:$AC$10000,MATCH(1,('Margin Guidence Table'!$A$1:$A$10000=$FO21)*('Margin Guidence Table'!$H$1:$H$10000&lt;=ROUND($FG$3,0))*('Margin Guidence Table'!$G$1:$G$10000&gt;=ROUND($FG$3,0)),0),MATCH("PCT_SALES",'Margin Guidence Table'!$A$1:$AC$1,0)),INDEX('Margin Guidence Table'!$A$1:$AC$10000,MATCH(1,('Margin Guidence Table'!$A$1:$A$10000=$FO21)*('Margin Guidence Table'!$H$1:$H$10000&lt;=ROUND($FG$3,0))*('Margin Guidence Table'!$G$1:$G$10000&gt;=ROUND($FG$3,0)),0),MATCH("DEFAULT_PCT_SALES",'Margin Guidence Table'!$A$1:$AC$1,0))),0)</f>
        <v>0</v>
      </c>
      <c r="FF21" s="102" t="s">
        <v>95</v>
      </c>
      <c r="FG21" s="94">
        <f>IFERROR(IF(AND($FG$2&lt;&gt;"Enter Spend&gt;&gt;&gt;",FH2="EXISTING"),SUMIFS('Existing Customers'!$Q:$Q,'Existing Customers'!$A:$A,$FG$1,'Existing Customers'!$H:$H,$FF21)*$FG$4,$FG$3*$FE21),0)</f>
        <v>0</v>
      </c>
      <c r="FH21" s="89">
        <f>IFERROR(IF(AND($FG$2&lt;&gt;"Enter Spend&gt;&gt;&gt;",FH2="EXISTING"),SUMIFS('Existing Customers'!$N:$N,'Existing Customers'!$A:$A,$FG$1,'Existing Customers'!$H:$H,$FF21)*$FG$4,$FG21/$FR21),0)</f>
        <v>0</v>
      </c>
      <c r="FI21" s="95">
        <f>IFERROR(IF(AND($FG$2&lt;&gt;"Enter Spend&gt;&gt;&gt;",FH2="EXISTING"),SUMIFS('Existing Customers'!$O:$O,'Existing Customers'!$H:$H,$FF21,'Existing Customers'!$A:$A,$FG$1)*$FG$4,$FH21*$FG$8),0)</f>
        <v>0</v>
      </c>
      <c r="FJ21" s="95">
        <f>IFERROR(IF(AND($FG$2&lt;&gt;"Enter Spend&gt;&gt;&gt;",FH2="EXISTING"),SUMIFS('Existing Customers'!$P:$P,'Existing Customers'!$A:$A,$FG$1,'Existing Customers'!$H:$H,$FF21)*$FG$4,$FG21/$FS21),0)</f>
        <v>0</v>
      </c>
      <c r="FK21" s="96">
        <f>IFERROR(IF(AND($FG$2&lt;&gt;"Enter Spend&gt;&gt;&gt;",FH2="EXISTING"),SUMIFS('Existing Customers'!$V:$V,'Existing Customers'!$H:$H,$FF21,'Existing Customers'!$A:$A,$FG$1)*$FG$4,0),0)</f>
        <v>0</v>
      </c>
      <c r="FL21" s="96">
        <f>IFERROR(IF(AND($FG$2&lt;&gt;"Enter Spend&gt;&gt;&gt;",FH2="EXISTING"),SUMIFS('Existing Customers'!$R:$R,'Existing Customers'!$H:$H,$FF21,'Existing Customers'!$A:$A,$FG$1)*$FG$4,0),0)</f>
        <v>0</v>
      </c>
      <c r="FM21" s="1161">
        <f>IFERROR(IF(AND($FG$2&lt;&gt;"Enter Spend&gt;&gt;&gt;",FH2="EXISTING"),SUMIFS('Existing Customers'!$S:$S,'Existing Customers'!$H:$H,$FF21,'Existing Customers'!$A:$A,$FG$1),FW21*FG21),0)</f>
        <v>0</v>
      </c>
      <c r="FN21" s="1161">
        <f>IFERROR(IF(AND($FG$2&lt;&gt;"Enter Spend&gt;&gt;&gt;",FH2="EXISTING"),SUMIFS('Existing Customers'!$U:$U,'Existing Customers'!$H:$H,$FF21,'Existing Customers'!$A:$A,$FG$1),FX21*FG21),0)</f>
        <v>0</v>
      </c>
      <c r="FO21" s="1164" t="e">
        <f t="shared" si="34"/>
        <v>#N/A</v>
      </c>
      <c r="FP21" s="1164">
        <f t="array" ref="FP21">IFERROR(INDEX('Margin Guidence Table'!$A$1:$AD$30000,MATCH(1,('Margin Guidence Table'!$A$1:$A$10000=FO21)*('Margin Guidence Table'!$H$1:$H$10000&lt;=ROUND($FG$3,0))*('Margin Guidence Table'!$G$1:$G$10000&gt;=ROUND($FG$3,0)),0),MATCH("DATA_POINTS",'Margin Guidence Table'!$A$1:$AC$1,0)),0)</f>
        <v>0</v>
      </c>
      <c r="FQ21" s="1161" t="str">
        <f t="shared" si="35"/>
        <v>DEFAULT</v>
      </c>
      <c r="FR21" s="1161">
        <f t="array" ref="FR21">IFERROR(IF($FQ21="SEGMENT",INDEX('Margin Guidence Table'!$A$1:$AC$10000,MATCH(1,('Margin Guidence Table'!$A$1:$A$10000=FO21)*('Margin Guidence Table'!$H$1:$H$10000&lt;=ROUND($FG$3,0))*('Margin Guidence Table'!$G$1:$G$10000&gt;=ROUND($FG$3,0)),0),MATCH("SALES_CASE",'Margin Guidence Table'!$A$1:$AC$1,0)),INDEX('Margin Guidence Table'!$A$1:$AC$10000,MATCH(1,('Margin Guidence Table'!$A$1:$A$10000=FO21)*('Margin Guidence Table'!$H$1:$H$10000&lt;=ROUND($FG$3,0))*('Margin Guidence Table'!$G$1:$G$10000&gt;=ROUND($FG$3,0)),0),MATCH("DEFAULT_SALES_CASE",'Margin Guidence Table'!$A$1:$AC$1,0))),0)</f>
        <v>0</v>
      </c>
      <c r="FS21" s="1161">
        <f t="array" ref="FS21">IFERROR(IF($FQ21="SEGMENT",INDEX('Margin Guidence Table'!$A$1:$AC$10000,MATCH(1,('Margin Guidence Table'!$A$1:$A$10000=FO21)*('Margin Guidence Table'!$H$1:$H$10000&lt;=ROUND($FG$3,0))*('Margin Guidence Table'!$G$1:$G$10000&gt;=ROUND($FG$3,0)),0),MATCH("SALES_LBS",'Margin Guidence Table'!$A$1:$AC$1,0)),INDEX('Margin Guidence Table'!$A$1:$AC$10000,MATCH(1,('Margin Guidence Table'!$A$1:$A$10000=FO21)*('Margin Guidence Table'!$H$1:$H$10000&lt;=ROUND($FG$3,0))*('Margin Guidence Table'!$G$1:$G$10000&gt;=ROUND($FG$3,0)),0),MATCH("DEFAULT_SALES_LBS",'Margin Guidence Table'!$A$1:$AC$1,0))),0)</f>
        <v>0</v>
      </c>
      <c r="FT21" s="1165">
        <f t="array" ref="FT21">IFERROR(IF($FQ21="SEGMENT",INDEX('Margin Guidence Table'!$A$1:$AC$10000,MATCH(1,('Margin Guidence Table'!$A$1:$A$10000=FO21)*('Margin Guidence Table'!$H$1:$H$10000&lt;=ROUND($FG$3,0))*('Margin Guidence Table'!$G$1:$G$10000&gt;=ROUND($FG$3,0)),0),MATCH("MDA_MIN_MARGIN_GUIDENCE",'Margin Guidence Table'!$A$1:$AC$1,0)),INDEX('Margin Guidence Table'!$A$1:$AC$10000,MATCH(1,('Margin Guidence Table'!$A$1:$A$10000=FO21)*('Margin Guidence Table'!$H$1:$H$10000&lt;=ROUND($FG$3,0))*('Margin Guidence Table'!$G$1:$G$10000&gt;=ROUND($FG$3,0)),0),MATCH("DEFAULT_MDA_MIN_MARGIN_GUIDENCE",'Margin Guidence Table'!$A$1:$AC$1,0))),0)</f>
        <v>0</v>
      </c>
      <c r="FU21" s="1165">
        <f t="array" ref="FU21">IFERROR(IF($FQ21="SEGMENT",INDEX('Margin Guidence Table'!$A$1:$AC$10000,MATCH(1,('Margin Guidence Table'!$A$1:$A$10000=FO21)*('Margin Guidence Table'!$H$1:$H$10000&lt;=ROUND($FG$3,0))*('Margin Guidence Table'!$G$1:$G$10000&gt;=ROUND($FG$3,0)),0),MATCH("MDA_MEDIAN_MARGIN_GUIDENCE",'Margin Guidence Table'!$A$1:$AC$1,0)),INDEX('Margin Guidence Table'!$A$1:$AC$10000,MATCH(1,('Margin Guidence Table'!$A$1:$A$10000=FO21)*('Margin Guidence Table'!$H$1:$H$10000&lt;=ROUND($FG$3,0))*('Margin Guidence Table'!$G$1:$G$10000&gt;=ROUND($FG$3,0)),0),MATCH("DEFAULT_MDA_MEDIAN_MARGIN_GUIDENCE",'Margin Guidence Table'!$A$1:$AC$1,0))),0)</f>
        <v>0</v>
      </c>
      <c r="FV21" s="1165">
        <f t="array" ref="FV21">IFERROR(IF($FQ21="SEGMENT",INDEX('Margin Guidence Table'!$A$1:$AC$10000,MATCH(1,('Margin Guidence Table'!$A$1:$A$10000=FO21)*('Margin Guidence Table'!$H$1:$H$10000&lt;=ROUND($FG$3,0))*('Margin Guidence Table'!$G$1:$G$10000&gt;=ROUND($FG$3,0)),0),MATCH("MDA_MAX_MARGIN_GUIDENCE",'Margin Guidence Table'!$A$1:$AC$1,0)),INDEX('Margin Guidence Table'!$A$1:$AC$10000,MATCH(1,('Margin Guidence Table'!$A$1:$A$10000=FO21)*('Margin Guidence Table'!$H$1:$H$10000&lt;=ROUND($FG$3,0))*('Margin Guidence Table'!$G$1:$G$10000&gt;=ROUND($FG$3,0)),0),MATCH("DEFAULT_MDA_MAX_MARGIN_GUIDENCE",'Margin Guidence Table'!$A$1:$AC$1,0))),0)</f>
        <v>0</v>
      </c>
      <c r="FW21" s="1165">
        <f t="array" ref="FW21">IFERROR(IF($FQ21="SEGMENT",INDEX('Margin Guidence Table'!$A$1:$AC$10000,MATCH(1,('Margin Guidence Table'!$A$1:$A$10000=FO21)*('Margin Guidence Table'!$H$1:$H$10000&lt;=ROUND($FG$3,0))*('Margin Guidence Table'!$G$1:$G$10000&gt;=ROUND($FG$3,0)),0),MATCH("PA_PCT_SALES",'Margin Guidence Table'!$A$1:$AC$1,0)),INDEX('Margin Guidence Table'!$A$1:$AC$10000,MATCH(1,('Margin Guidence Table'!$A$1:$A$10000=FO21)*('Margin Guidence Table'!$H$1:$H$10000&lt;=ROUND($FG$3,0))*('Margin Guidence Table'!$G$1:$G$10000&gt;=ROUND($FG$3,0)),0),MATCH("DEFAULT_PA_PCT_SALES",'Margin Guidence Table'!$A$1:$AC$1,0))),0)</f>
        <v>0</v>
      </c>
      <c r="FX21" s="1165">
        <f t="array" ref="FX21">IFERROR(IF($FQ21="SEGMENT",INDEX('Margin Guidence Table'!$A$1:$AC$10000,MATCH(1,('Margin Guidence Table'!$A$1:$A$10000=FO21)*('Margin Guidence Table'!$H$1:$H$10000&lt;=ROUND($FG$3,0))*('Margin Guidence Table'!$G$1:$G$10000&gt;=ROUND($FG$3,0)),0),MATCH("SELF_FUND_PCT_SALES",'Margin Guidence Table'!$A$1:$AC$1,0)),INDEX('Margin Guidence Table'!$A$1:$AC$10000,MATCH(1,('Margin Guidence Table'!$A$1:$A$10000=FO21)*('Margin Guidence Table'!$H$1:$H$10000&lt;=ROUND($FG$3,0))*('Margin Guidence Table'!$G$1:$G$10000&gt;=ROUND($FG$3,0)),0),MATCH("DEFAULT_SELF_FUND_PCT_SALES",'Margin Guidence Table'!$A$1:$AC$1,0))),0)</f>
        <v>0</v>
      </c>
      <c r="FY21" s="1165">
        <f t="array" ref="FY21">IFERROR(IF($FQ21="SEGMENT",INDEX('Margin Guidence Table'!$A$1:$AC$10000,MATCH(1,('Margin Guidence Table'!$A$1:$A$10000=FO21)*('Margin Guidence Table'!$H$1:$H$10000&lt;=ROUND($FG$3,0))*('Margin Guidence Table'!$G$1:$G$10000&gt;=ROUND($FG$3,0)),0),MATCH("CIA_MEDIAN_MARGIN_GUIDENCE",'Margin Guidence Table'!$A$1:$AC$1,0)),INDEX('Margin Guidence Table'!$A$1:$AC$10000,MATCH(1,('Margin Guidence Table'!$A$1:$A$10000=FO21)*('Margin Guidence Table'!$H$1:$H$10000&lt;=ROUND($FG$3,0))*('Margin Guidence Table'!$G$1:$G$10000&gt;=ROUND($FG$3,0)),0),MATCH("DEFAULT_CIA_MEDIAN_MARGIN_GUIDENCE",'Margin Guidence Table'!$A$1:$AC$1,0))),0)</f>
        <v>0</v>
      </c>
      <c r="FZ21" s="129"/>
      <c r="GA21" s="18">
        <f t="array" ref="GA21">IFERROR(IF($GM21="SEGMENT",INDEX('Margin Guidence Table'!$A$1:$AC$10000,MATCH(1,('Margin Guidence Table'!$A$1:$A$10000=$GK21)*('Margin Guidence Table'!$H$1:$H$10000&lt;=ROUND($GC$3,0))*('Margin Guidence Table'!$G$1:$G$10000&gt;=ROUND($GC$3,0)),0),MATCH("PCT_SALES",'Margin Guidence Table'!$A$1:$AC$1,0)),INDEX('Margin Guidence Table'!$A$1:$AC$10000,MATCH(1,('Margin Guidence Table'!$A$1:$A$10000=$GK21)*('Margin Guidence Table'!$H$1:$H$10000&lt;=ROUND($GC$3,0))*('Margin Guidence Table'!$G$1:$G$10000&gt;=ROUND($GC$3,0)),0),MATCH("DEFAULT_PCT_SALES",'Margin Guidence Table'!$A$1:$AC$1,0))),0)</f>
        <v>0</v>
      </c>
      <c r="GB21" s="102" t="s">
        <v>95</v>
      </c>
      <c r="GC21" s="94">
        <f>IFERROR(IF(AND($GC$2&lt;&gt;"Enter Spend&gt;&gt;&gt;",GD2="EXISTING"),SUMIFS('Existing Customers'!$Q:$Q,'Existing Customers'!$A:$A,$GC$1,'Existing Customers'!$H:$H,$GB21)*$GC$4,$GC$3*$GA21),0)</f>
        <v>0</v>
      </c>
      <c r="GD21" s="89">
        <f>IFERROR(IF(AND($GC$2&lt;&gt;"Enter Spend&gt;&gt;&gt;",GD2="EXISTING"),SUMIFS('Existing Customers'!$N:$N,'Existing Customers'!$A:$A,$GC$1,'Existing Customers'!$H:$H,$GB21)*$GC$4,$GC21/$GN21),0)</f>
        <v>0</v>
      </c>
      <c r="GE21" s="95">
        <f>IFERROR(IF(AND($GC$2&lt;&gt;"Enter Spend&gt;&gt;&gt;",GD2="EXISTING"),SUMIFS('Existing Customers'!$O:$O,'Existing Customers'!$H:$H,$GB21,'Existing Customers'!$A:$A,$GC$1)*$GC$4,$GD21*$GC$8),0)</f>
        <v>0</v>
      </c>
      <c r="GF21" s="95">
        <f>IFERROR(IF(AND($GC$2&lt;&gt;"Enter Spend&gt;&gt;&gt;",GD2="EXISTING"),SUMIFS('Existing Customers'!$P:$P,'Existing Customers'!$A:$A,$GC$1,'Existing Customers'!$H:$H,$GB21)*$GC$4,$GC21/$GO21),0)</f>
        <v>0</v>
      </c>
      <c r="GG21" s="96">
        <f>IFERROR(IF(AND($GC$2&lt;&gt;"Enter Spend&gt;&gt;&gt;",GD2="EXISTING"),SUMIFS('Existing Customers'!$V:$V,'Existing Customers'!$H:$H,$GB21,'Existing Customers'!$A:$A,$GC$1)*$GC$4,0),0)</f>
        <v>0</v>
      </c>
      <c r="GH21" s="96">
        <f>IFERROR(IF(AND($GC$2&lt;&gt;"Enter Spend&gt;&gt;&gt;",GD2="EXISTING"),SUMIFS('Existing Customers'!$R:$R,'Existing Customers'!$H:$H,$GB21,'Existing Customers'!$A:$A,$GC$1)*$GC$4,0),0)</f>
        <v>0</v>
      </c>
      <c r="GI21" s="1161">
        <f>IFERROR(IF(AND($GC$2&lt;&gt;"Enter Spend&gt;&gt;&gt;",GD2="EXISTING"),SUMIFS('Existing Customers'!$S:$S,'Existing Customers'!$H:$H,$GB21,'Existing Customers'!$A:$A,$GC$1),GS21*GC21),0)</f>
        <v>0</v>
      </c>
      <c r="GJ21" s="1161">
        <f>IFERROR(IF(AND($GC$2&lt;&gt;"Enter Spend&gt;&gt;&gt;",GD2="EXISTING"),SUMIFS('Existing Customers'!$U:$U,'Existing Customers'!$H:$H,$GB21,'Existing Customers'!$A:$A,$GC$1),GT21*GC21),0)</f>
        <v>0</v>
      </c>
      <c r="GK21" s="1164" t="e">
        <f t="shared" si="36"/>
        <v>#N/A</v>
      </c>
      <c r="GL21" s="1164">
        <f t="array" ref="GL21">IFERROR(INDEX('Margin Guidence Table'!$A$1:$AD$30000,MATCH(1,('Margin Guidence Table'!$A$1:$A$10000=GK21)*('Margin Guidence Table'!$H$1:$H$10000&lt;=ROUND($GC$3,0))*('Margin Guidence Table'!$G$1:$G$10000&gt;=ROUND($GC$3,0)),0),MATCH("DATA_POINTS",'Margin Guidence Table'!$A$1:$AC$1,0)),0)</f>
        <v>0</v>
      </c>
      <c r="GM21" s="1161" t="str">
        <f t="shared" si="37"/>
        <v>DEFAULT</v>
      </c>
      <c r="GN21" s="1161">
        <f t="array" ref="GN21">IFERROR(IF($GM21="SEGMENT",INDEX('Margin Guidence Table'!$A$1:$AC$10000,MATCH(1,('Margin Guidence Table'!$A$1:$A$10000=GK21)*('Margin Guidence Table'!$H$1:$H$10000&lt;=ROUND($GC$3,0))*('Margin Guidence Table'!$G$1:$G$10000&gt;=ROUND($GC$3,0)),0),MATCH("SALES_CASE",'Margin Guidence Table'!$A$1:$AC$1,0)),INDEX('Margin Guidence Table'!$A$1:$AC$10000,MATCH(1,('Margin Guidence Table'!$A$1:$A$10000=GK21)*('Margin Guidence Table'!$H$1:$H$10000&lt;=ROUND($GC$3,0))*('Margin Guidence Table'!$G$1:$G$10000&gt;=ROUND($GC$3,0)),0),MATCH("DEFAULT_SALES_CASE",'Margin Guidence Table'!$A$1:$AC$1,0))),0)</f>
        <v>0</v>
      </c>
      <c r="GO21" s="1161">
        <f t="array" ref="GO21">IFERROR(IF($GM21="SEGMENT",INDEX('Margin Guidence Table'!$A$1:$AC$10000,MATCH(1,('Margin Guidence Table'!$A$1:$A$10000=GK21)*('Margin Guidence Table'!$H$1:$H$10000&lt;=ROUND($GC$3,0))*('Margin Guidence Table'!$G$1:$G$10000&gt;=ROUND($GC$3,0)),0),MATCH("SALES_LBS",'Margin Guidence Table'!$A$1:$AC$1,0)),INDEX('Margin Guidence Table'!$A$1:$AC$10000,MATCH(1,('Margin Guidence Table'!$A$1:$A$10000=GK21)*('Margin Guidence Table'!$H$1:$H$10000&lt;=ROUND($GC$3,0))*('Margin Guidence Table'!$G$1:$G$10000&gt;=ROUND($GC$3,0)),0),MATCH("DEFAULT_SALES_LBS",'Margin Guidence Table'!$A$1:$AC$1,0))),0)</f>
        <v>0</v>
      </c>
      <c r="GP21" s="1165">
        <f t="array" ref="GP21">IFERROR(IF($GM21="SEGMENT",INDEX('Margin Guidence Table'!$A$1:$AC$10000,MATCH(1,('Margin Guidence Table'!$A$1:$A$10000=GK21)*('Margin Guidence Table'!$H$1:$H$10000&lt;=ROUND($GC$3,0))*('Margin Guidence Table'!$G$1:$G$10000&gt;=ROUND($GC$3,0)),0),MATCH("MDA_MIN_MARGIN_GUIDENCE",'Margin Guidence Table'!$A$1:$AC$1,0)),INDEX('Margin Guidence Table'!$A$1:$AC$10000,MATCH(1,('Margin Guidence Table'!$A$1:$A$10000=GK21)*('Margin Guidence Table'!$H$1:$H$10000&lt;=ROUND($GC$3,0))*('Margin Guidence Table'!$G$1:$G$10000&gt;=ROUND($GC$3,0)),0),MATCH("DEFAULT_MDA_MIN_MARGIN_GUIDENCE",'Margin Guidence Table'!$A$1:$AC$1,0))),0)</f>
        <v>0</v>
      </c>
      <c r="GQ21" s="1165">
        <f t="array" ref="GQ21">IFERROR(IF($GM21="SEGMENT",INDEX('Margin Guidence Table'!$A$1:$AC$10000,MATCH(1,('Margin Guidence Table'!$A$1:$A$10000=GK21)*('Margin Guidence Table'!$H$1:$H$10000&lt;=ROUND($GC$3,0))*('Margin Guidence Table'!$G$1:$G$10000&gt;=ROUND($GC$3,0)),0),MATCH("MDA_MEDIAN_MARGIN_GUIDENCE",'Margin Guidence Table'!$A$1:$AC$1,0)),INDEX('Margin Guidence Table'!$A$1:$AC$10000,MATCH(1,('Margin Guidence Table'!$A$1:$A$10000=GK21)*('Margin Guidence Table'!$H$1:$H$10000&lt;=ROUND($GC$3,0))*('Margin Guidence Table'!$G$1:$G$10000&gt;=ROUND($GC$3,0)),0),MATCH("DEFAULT_MDA_MEDIAN_MARGIN_GUIDENCE",'Margin Guidence Table'!$A$1:$AC$1,0))),0)</f>
        <v>0</v>
      </c>
      <c r="GR21" s="1165">
        <f t="array" ref="GR21">IFERROR(IF($GM21="SEGMENT",INDEX('Margin Guidence Table'!$A$1:$AC$10000,MATCH(1,('Margin Guidence Table'!$A$1:$A$10000=GK21)*('Margin Guidence Table'!$H$1:$H$10000&lt;=ROUND($GC$3,0))*('Margin Guidence Table'!$G$1:$G$10000&gt;=ROUND($GC$3,0)),0),MATCH("MDA_MAX_MARGIN_GUIDENCE",'Margin Guidence Table'!$A$1:$AC$1,0)),INDEX('Margin Guidence Table'!$A$1:$AC$10000,MATCH(1,('Margin Guidence Table'!$A$1:$A$10000=GK21)*('Margin Guidence Table'!$H$1:$H$10000&lt;=ROUND($GC$3,0))*('Margin Guidence Table'!$G$1:$G$10000&gt;=ROUND($GC$3,0)),0),MATCH("DEFAULT_MDA_MAX_MARGIN_GUIDENCE",'Margin Guidence Table'!$A$1:$AC$1,0))),0)</f>
        <v>0</v>
      </c>
      <c r="GS21" s="1165">
        <f t="array" ref="GS21">IFERROR(IF($GM21="SEGMENT",INDEX('Margin Guidence Table'!$A$1:$AC$10000,MATCH(1,('Margin Guidence Table'!$A$1:$A$10000=GK21)*('Margin Guidence Table'!$H$1:$H$10000&lt;=ROUND($GC$3,0))*('Margin Guidence Table'!$G$1:$G$10000&gt;=ROUND($GC$3,0)),0),MATCH("PA_PCT_SALES",'Margin Guidence Table'!$A$1:$AC$1,0)),INDEX('Margin Guidence Table'!$A$1:$AC$10000,MATCH(1,('Margin Guidence Table'!$A$1:$A$10000=GK21)*('Margin Guidence Table'!$H$1:$H$10000&lt;=ROUND($GC$3,0))*('Margin Guidence Table'!$G$1:$G$10000&gt;=ROUND($GC$3,0)),0),MATCH("DEFAULT_PA_PCT_SALES",'Margin Guidence Table'!$A$1:$AC$1,0))),0)</f>
        <v>0</v>
      </c>
      <c r="GT21" s="1165">
        <f t="array" ref="GT21">IFERROR(IF($GM21="SEGMENT",INDEX('Margin Guidence Table'!$A$1:$AC$10000,MATCH(1,('Margin Guidence Table'!$A$1:$A$10000=GK21)*('Margin Guidence Table'!$H$1:$H$10000&lt;=ROUND($GC$3,0))*('Margin Guidence Table'!$G$1:$G$10000&gt;=ROUND($GC$3,0)),0),MATCH("SELF_FUND_PCT_SALES",'Margin Guidence Table'!$A$1:$AC$1,0)),INDEX('Margin Guidence Table'!$A$1:$AC$10000,MATCH(1,('Margin Guidence Table'!$A$1:$A$10000=GK21)*('Margin Guidence Table'!$H$1:$H$10000&lt;=ROUND($GC$3,0))*('Margin Guidence Table'!$G$1:$G$10000&gt;=ROUND($GC$3,0)),0),MATCH("DEFAULT_SELF_FUND_PCT_SALES",'Margin Guidence Table'!$A$1:$AC$1,0))),0)</f>
        <v>0</v>
      </c>
      <c r="GU21" s="1165">
        <f t="array" ref="GU21">IFERROR(IF($GM21="SEGMENT",INDEX('Margin Guidence Table'!$A$1:$AC$10000,MATCH(1,('Margin Guidence Table'!$A$1:$A$10000=GK21)*('Margin Guidence Table'!$H$1:$H$10000&lt;=ROUND($GC$3,0))*('Margin Guidence Table'!$G$1:$G$10000&gt;=ROUND($GC$3,0)),0),MATCH("CIA_MEDIAN_MARGIN_GUIDENCE",'Margin Guidence Table'!$A$1:$AC$1,0)),INDEX('Margin Guidence Table'!$A$1:$AC$10000,MATCH(1,('Margin Guidence Table'!$A$1:$A$10000=GK21)*('Margin Guidence Table'!$H$1:$H$10000&lt;=ROUND($GC$3,0))*('Margin Guidence Table'!$G$1:$G$10000&gt;=ROUND($GC$3,0)),0),MATCH("DEFAULT_CIA_MEDIAN_MARGIN_GUIDENCE",'Margin Guidence Table'!$A$1:$AC$1,0))),0)</f>
        <v>0</v>
      </c>
      <c r="GV21" s="129"/>
      <c r="GW21" s="18">
        <f t="array" ref="GW21">IFERROR(IF($HI21="SEGMENT",INDEX('Margin Guidence Table'!$A$1:$AC$10000,MATCH(1,('Margin Guidence Table'!$A$1:$A$10000=$HG21)*('Margin Guidence Table'!$H$1:$H$10000&lt;=ROUND($GY$3,0))*('Margin Guidence Table'!$G$1:$G$10000&gt;=ROUND($GY$3,0)),0),MATCH("PCT_SALES",'Margin Guidence Table'!$A$1:$AC$1,0)),INDEX('Margin Guidence Table'!$A$1:$AC$10000,MATCH(1,('Margin Guidence Table'!$A$1:$A$10000=$HG21)*('Margin Guidence Table'!$H$1:$H$10000&lt;=ROUND($GY$3,0))*('Margin Guidence Table'!$G$1:$G$10000&gt;=ROUND($GY$3,0)),0),MATCH("DEFAULT_PCT_SALES",'Margin Guidence Table'!$A$1:$AC$1,0))),0)</f>
        <v>0</v>
      </c>
      <c r="GX21" s="102" t="s">
        <v>95</v>
      </c>
      <c r="GY21" s="94">
        <f>IFERROR(IF(AND($GY$2&lt;&gt;"Enter Spend&gt;&gt;&gt;",GZ2="EXISTING"),SUMIFS('Existing Customers'!$Q:$Q,'Existing Customers'!$A:$A,$GY$1,'Existing Customers'!$H:$H,$GX21)*$GY$4,$GY$3*$GW21),0)</f>
        <v>0</v>
      </c>
      <c r="GZ21" s="89">
        <f>IFERROR(IF(AND($GY$2&lt;&gt;"Enter Spend&gt;&gt;&gt;",GZ2="EXISTING"),SUMIFS('Existing Customers'!$N:$N,'Existing Customers'!$A:$A,$GY$1,'Existing Customers'!$H:$H,$GX21)*$GY$4,$GY21/$HJ21),0)</f>
        <v>0</v>
      </c>
      <c r="HA21" s="95">
        <f>IFERROR(IF(AND($GY$2&lt;&gt;"Enter Spend&gt;&gt;&gt;",GZ2="EXISTING"),SUMIFS('Existing Customers'!$O:$O,'Existing Customers'!$H:$H,$GX21,'Existing Customers'!$A:$A,$GY$1)*$GY$4,$GZ21*$GY$8),0)</f>
        <v>0</v>
      </c>
      <c r="HB21" s="95">
        <f>IFERROR(IF(AND($GY$2&lt;&gt;"Enter Spend&gt;&gt;&gt;",GZ2="EXISTING"),SUMIFS('Existing Customers'!$P:$P,'Existing Customers'!$A:$A,$GY$1,'Existing Customers'!$H:$H,$GX21)*$GY$4,$GY21/$HK21),0)</f>
        <v>0</v>
      </c>
      <c r="HC21" s="96">
        <f>IFERROR(IF(AND($GY$2&lt;&gt;"Enter Spend&gt;&gt;&gt;",GZ2="EXISTING"),SUMIFS('Existing Customers'!$V:$V,'Existing Customers'!$H:$H,$GX21,'Existing Customers'!$A:$A,$GY$1)*$GY$4,0),0)</f>
        <v>0</v>
      </c>
      <c r="HD21" s="96">
        <f>IFERROR(IF(AND($GY$2&lt;&gt;"Enter Spend&gt;&gt;&gt;",GZ2="EXISTING"),SUMIFS('Existing Customers'!$R:$R,'Existing Customers'!$H:$H,$GX21,'Existing Customers'!$A:$A,$GY$1)*$GY$4,0),0)</f>
        <v>0</v>
      </c>
      <c r="HE21" s="1161">
        <f>IFERROR(IF(AND($GY$2&lt;&gt;"Enter Spend&gt;&gt;&gt;",GZ2="EXISTING"),SUMIFS('Existing Customers'!$S:$S,'Existing Customers'!$H:$H,$GX21,'Existing Customers'!$A:$A,$GY$1),HO21*GY21),0)</f>
        <v>0</v>
      </c>
      <c r="HF21" s="1161">
        <f>IFERROR(IF(AND($GY$2&lt;&gt;"Enter Spend&gt;&gt;&gt;",GZ2="EXISTING"),SUMIFS('Existing Customers'!$U:$U,'Existing Customers'!$H:$H,$GX21,'Existing Customers'!$A:$A,$GY$1),HP21*GY21),0)</f>
        <v>0</v>
      </c>
      <c r="HG21" s="1164" t="e">
        <f t="shared" si="38"/>
        <v>#N/A</v>
      </c>
      <c r="HH21" s="1164">
        <f t="array" ref="HH21">IFERROR(INDEX('Margin Guidence Table'!$A$1:$AD$30000,MATCH(1,('Margin Guidence Table'!$A$1:$A$10000=HG21)*('Margin Guidence Table'!$H$1:$H$10000&lt;=ROUND($GY$3,0))*('Margin Guidence Table'!$G$1:$G$10000&gt;=ROUND($GY$3,0)),0),MATCH("DATA_POINTS",'Margin Guidence Table'!$A$1:$AC$1,0)),0)</f>
        <v>0</v>
      </c>
      <c r="HI21" s="1161" t="str">
        <f t="shared" si="39"/>
        <v>DEFAULT</v>
      </c>
      <c r="HJ21" s="1161">
        <f t="array" ref="HJ21">IFERROR(IF($HI21="SEGMENT",INDEX('Margin Guidence Table'!$A$1:$AC$10000,MATCH(1,('Margin Guidence Table'!$A$1:$A$10000=HG21)*('Margin Guidence Table'!$H$1:$H$10000&lt;=ROUND($GY$3,0))*('Margin Guidence Table'!$G$1:$G$10000&gt;=ROUND($GY$3,0)),0),MATCH("SALES_CASE",'Margin Guidence Table'!$A$1:$AC$1,0)),INDEX('Margin Guidence Table'!$A$1:$AC$10000,MATCH(1,('Margin Guidence Table'!$A$1:$A$10000=HG21)*('Margin Guidence Table'!$H$1:$H$10000&lt;=ROUND($GY$3,0))*('Margin Guidence Table'!$G$1:$G$10000&gt;=ROUND($GY$3,0)),0),MATCH("DEFAULT_SALES_CASE",'Margin Guidence Table'!$A$1:$AC$1,0))),0)</f>
        <v>0</v>
      </c>
      <c r="HK21" s="1161">
        <f t="array" ref="HK21">IFERROR(IF($HI21="SEGMENT",INDEX('Margin Guidence Table'!$A$1:$AC$10000,MATCH(1,('Margin Guidence Table'!$A$1:$A$10000=HG21)*('Margin Guidence Table'!$H$1:$H$10000&lt;=ROUND($GY$3,0))*('Margin Guidence Table'!$G$1:$G$10000&gt;=ROUND($GY$3,0)),0),MATCH("SALES_LBS",'Margin Guidence Table'!$A$1:$AC$1,0)),INDEX('Margin Guidence Table'!$A$1:$AC$10000,MATCH(1,('Margin Guidence Table'!$A$1:$A$10000=HG21)*('Margin Guidence Table'!$H$1:$H$10000&lt;=ROUND($GY$3,0))*('Margin Guidence Table'!$G$1:$G$10000&gt;=ROUND($GY$3,0)),0),MATCH("DEFAULT_SALES_LBS",'Margin Guidence Table'!$A$1:$AC$1,0))),0)</f>
        <v>0</v>
      </c>
      <c r="HL21" s="1165">
        <f t="array" ref="HL21">IFERROR(IF($HI21="SEGMENT",INDEX('Margin Guidence Table'!$A$1:$AC$10000,MATCH(1,('Margin Guidence Table'!$A$1:$A$10000=HG21)*('Margin Guidence Table'!$H$1:$H$10000&lt;=ROUND($GY$3,0))*('Margin Guidence Table'!$G$1:$G$10000&gt;=ROUND($GY$3,0)),0),MATCH("MDA_MIN_MARGIN_GUIDENCE",'Margin Guidence Table'!$A$1:$AC$1,0)),INDEX('Margin Guidence Table'!$A$1:$AC$10000,MATCH(1,('Margin Guidence Table'!$A$1:$A$10000=HG21)*('Margin Guidence Table'!$H$1:$H$10000&lt;=ROUND($GY$3,0))*('Margin Guidence Table'!$G$1:$G$10000&gt;=ROUND($GY$3,0)),0),MATCH("DEFAULT_MDA_MIN_MARGIN_GUIDENCE",'Margin Guidence Table'!$A$1:$AC$1,0))),0)</f>
        <v>0</v>
      </c>
      <c r="HM21" s="1165">
        <f t="array" ref="HM21">IFERROR(IF($HI21="SEGMENT",INDEX('Margin Guidence Table'!$A$1:$AC$10000,MATCH(1,('Margin Guidence Table'!$A$1:$A$10000=HG21)*('Margin Guidence Table'!$H$1:$H$10000&lt;=ROUND($GY$3,0))*('Margin Guidence Table'!$G$1:$G$10000&gt;=ROUND($GY$3,0)),0),MATCH("MDA_MEDIAN_MARGIN_GUIDENCE",'Margin Guidence Table'!$A$1:$AC$1,0)),INDEX('Margin Guidence Table'!$A$1:$AC$10000,MATCH(1,('Margin Guidence Table'!$A$1:$A$10000=HG21)*('Margin Guidence Table'!$H$1:$H$10000&lt;=ROUND($GY$3,0))*('Margin Guidence Table'!$G$1:$G$10000&gt;=ROUND($GY$3,0)),0),MATCH("DEFAULT_MDA_MEDIAN_MARGIN_GUIDENCE",'Margin Guidence Table'!$A$1:$AC$1,0))),0)</f>
        <v>0</v>
      </c>
      <c r="HN21" s="1165">
        <f t="array" ref="HN21">IFERROR(IF($HI21="SEGMENT",INDEX('Margin Guidence Table'!$A$1:$AC$10000,MATCH(1,('Margin Guidence Table'!$A$1:$A$10000=HG21)*('Margin Guidence Table'!$H$1:$H$10000&lt;=ROUND($GY$3,0))*('Margin Guidence Table'!$G$1:$G$10000&gt;=ROUND($GY$3,0)),0),MATCH("MDA_MAX_MARGIN_GUIDENCE",'Margin Guidence Table'!$A$1:$AC$1,0)),INDEX('Margin Guidence Table'!$A$1:$AC$10000,MATCH(1,('Margin Guidence Table'!$A$1:$A$10000=HG21)*('Margin Guidence Table'!$H$1:$H$10000&lt;=ROUND($GY$3,0))*('Margin Guidence Table'!$G$1:$G$10000&gt;=ROUND($GY$3,0)),0),MATCH("DEFAULT_MDA_MAX_MARGIN_GUIDENCE",'Margin Guidence Table'!$A$1:$AC$1,0))),0)</f>
        <v>0</v>
      </c>
      <c r="HO21" s="1165">
        <f t="array" ref="HO21">IFERROR(IF($HI21="SEGMENT",INDEX('Margin Guidence Table'!$A$1:$AC$10000,MATCH(1,('Margin Guidence Table'!$A$1:$A$10000=HG21)*('Margin Guidence Table'!$H$1:$H$10000&lt;=ROUND($GY$3,0))*('Margin Guidence Table'!$G$1:$G$10000&gt;=ROUND($GY$3,0)),0),MATCH("PA_PCT_SALES",'Margin Guidence Table'!$A$1:$AC$1,0)),INDEX('Margin Guidence Table'!$A$1:$AC$10000,MATCH(1,('Margin Guidence Table'!$A$1:$A$10000=HG21)*('Margin Guidence Table'!$H$1:$H$10000&lt;=ROUND($GY$3,0))*('Margin Guidence Table'!$G$1:$G$10000&gt;=ROUND($GY$3,0)),0),MATCH("DEFAULT_PA_PCT_SALES",'Margin Guidence Table'!$A$1:$AC$1,0))),0)</f>
        <v>0</v>
      </c>
      <c r="HP21" s="1165">
        <f t="array" ref="HP21">IFERROR(IF($HI21="SEGMENT",INDEX('Margin Guidence Table'!$A$1:$AC$10000,MATCH(1,('Margin Guidence Table'!$A$1:$A$10000=HG21)*('Margin Guidence Table'!$H$1:$H$10000&lt;=ROUND($GY$3,0))*('Margin Guidence Table'!$G$1:$G$10000&gt;=ROUND($GY$3,0)),0),MATCH("SELF_FUND_PCT_SALES",'Margin Guidence Table'!$A$1:$AC$1,0)),INDEX('Margin Guidence Table'!$A$1:$AC$10000,MATCH(1,('Margin Guidence Table'!$A$1:$A$10000=HG21)*('Margin Guidence Table'!$H$1:$H$10000&lt;=ROUND($GY$3,0))*('Margin Guidence Table'!$G$1:$G$10000&gt;=ROUND($GY$3,0)),0),MATCH("DEFAULT_SELF_FUND_PCT_SALES",'Margin Guidence Table'!$A$1:$AC$1,0))),0)</f>
        <v>0</v>
      </c>
      <c r="HQ21" s="1165">
        <f t="array" ref="HQ21">IFERROR(IF($HI21="SEGMENT",INDEX('Margin Guidence Table'!$A$1:$AC$10000,MATCH(1,('Margin Guidence Table'!$A$1:$A$10000=HG21)*('Margin Guidence Table'!$H$1:$H$10000&lt;=ROUND($GY$3,0))*('Margin Guidence Table'!$G$1:$G$10000&gt;=ROUND($GY$3,0)),0),MATCH("CIA_MEDIAN_MARGIN_GUIDENCE",'Margin Guidence Table'!$A$1:$AC$1,0)),INDEX('Margin Guidence Table'!$A$1:$AC$10000,MATCH(1,('Margin Guidence Table'!$A$1:$A$10000=HG21)*('Margin Guidence Table'!$H$1:$H$10000&lt;=ROUND($GY$3,0))*('Margin Guidence Table'!$G$1:$G$10000&gt;=ROUND($GY$3,0)),0),MATCH("DEFAULT_CIA_MEDIAN_MARGIN_GUIDENCE",'Margin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Spend&gt;&gt;&gt;",HV2="EXISTING"),SUMIFS('Existing Customers'!$Q:$Q,'Existing Customers'!$A:$A,$HU$1,'Existing Customers'!$H:$H,$HT21)*$HU$4,$HU$3*$HS21),0)</f>
        <v>0</v>
      </c>
      <c r="HV21" s="89">
        <f>IFERROR(IF(AND($HU$2&lt;&gt;"Enter Spend&gt;&gt;&gt;",HV2="EXISTING"),SUMIFS('Existing Customers'!$N:$N,'Existing Customers'!$A:$A,$HU$1,'Existing Customers'!$H:$H,$HT21)*$HU$4,$HU21/$IF21),0)</f>
        <v>0</v>
      </c>
      <c r="HW21" s="95">
        <f>IFERROR(IF(AND($HU$2&lt;&gt;"Enter Spend&gt;&gt;&gt;",HV2="EXISTING"),SUMIFS('Existing Customers'!$O:$O,'Existing Customers'!$H:$H,$HT21,'Existing Customers'!$A:$A,$HU$1)*$HU$4,$HV21*$HU$8),0)</f>
        <v>0</v>
      </c>
      <c r="HX21" s="95">
        <f>IFERROR(IF(AND($HU$2&lt;&gt;"Enter Spend&gt;&gt;&gt;",HV2="EXISTING"),SUMIFS('Existing Customers'!$P:$P,'Existing Customers'!$A:$A,$HU$1,'Existing Customers'!$H:$H,$HT21)*$HU$4,$HU21/$IG21),0)</f>
        <v>0</v>
      </c>
      <c r="HY21" s="402">
        <f>IFERROR(IF(AND($HU$2&lt;&gt;"Enter Spend&gt;&gt;&gt;",HV2="EXISTING"),SUMIFS('Existing Customers'!$V:$V,'Existing Customers'!$H:$H,$HT21,'Existing Customers'!$A:$A,$HU$1)*$HU$4,0),0)</f>
        <v>0</v>
      </c>
      <c r="HZ21" s="96">
        <f>IFERROR(IF(AND($HU$2&lt;&gt;"Enter Spend&gt;&gt;&gt;",HV2="EXISTING"),SUMIFS('Existing Customers'!$R:$R,'Existing Customers'!$H:$H,$HT21,'Existing Customers'!$A:$A,$HU$1)*$HU$4,0),0)</f>
        <v>0</v>
      </c>
      <c r="IA21" s="1161">
        <f>IFERROR(IF(AND($HU$2&lt;&gt;"Enter Spend&gt;&gt;&gt;",HV2="EXISTING"),SUMIFS('Existing Customers'!$S:$S,'Existing Customers'!$H:$H,$HT21,'Existing Customers'!$A:$A,$HU$1),IK21*HU21),0)</f>
        <v>0</v>
      </c>
      <c r="IB21" s="1161">
        <f>IFERROR(IF(AND($HU$2&lt;&gt;"Enter Spend&gt;&gt;&gt;",HV2="EXISTING"),SUMIFS('Existing Customers'!$U:$U,'Existing Customers'!$H:$H,$HT21,'Existing Customers'!$A:$A,$HU$1),IL21*HU21),0)</f>
        <v>0</v>
      </c>
      <c r="IC21" s="1164" t="e">
        <f t="shared" si="40"/>
        <v>#N/A</v>
      </c>
      <c r="ID21" s="1164">
        <f t="array" ref="ID21">IFERROR(INDEX('Margin Guidence Table'!$A$1:$AD$30000,MATCH(1,('Margin Guidence Table'!$A$1:$A$10000=IC21)*('Margin Guidence Table'!$H$1:$H$10000&lt;=ROUND($HU$3,0))*('Margin Guidence Table'!$G$1:$G$10000&gt;=ROUND($HU$3,0)),0),MATCH("DATA_POINTS",'Margin Guidence Table'!$A$1:$AC$1,0)),0)</f>
        <v>0</v>
      </c>
      <c r="IE21" s="1161" t="str">
        <f t="shared" si="41"/>
        <v>DEFAULT</v>
      </c>
      <c r="IF21" s="1161">
        <f t="array" ref="IF21">IFERROR(IF($IE21="SEGMENT",INDEX('Margin Guidence Table'!$A$1:$AC$10000,MATCH(1,('Margin Guidence Table'!$A$1:$A$10000=IC21)*('Margin Guidence Table'!$H$1:$H$10000&lt;=ROUND($HU$3,0))*('Margin Guidence Table'!$G$1:$G$10000&gt;=ROUND($HU$3,0)),0),MATCH("SALES_CASE",'Margin Guidence Table'!$A$1:$AC$1,0)),INDEX('Margin Guidence Table'!$A$1:$AC$10000,MATCH(1,('Margin Guidence Table'!$A$1:$A$10000=IC21)*('Margin Guidence Table'!$H$1:$H$10000&lt;=ROUND($HU$3,0))*('Margin Guidence Table'!$G$1:$G$10000&gt;=ROUND($HU$3,0)),0),MATCH("DEFAULT_SALES_CASE",'Margin Guidence Table'!$A$1:$AC$1,0))),0)</f>
        <v>0</v>
      </c>
      <c r="IG21" s="1161">
        <f t="array" ref="IG21">IFERROR(IF($IE21="SEGMENT",INDEX('Margin Guidence Table'!$A$1:$AC$10000,MATCH(1,('Margin Guidence Table'!$A$1:$A$10000=IC21)*('Margin Guidence Table'!$H$1:$H$10000&lt;=ROUND($HU$3,0))*('Margin Guidence Table'!$G$1:$G$10000&gt;=ROUND($HU$3,0)),0),MATCH("SALES_LBS",'Margin Guidence Table'!$A$1:$AC$1,0)),INDEX('Margin Guidence Table'!$A$1:$AC$10000,MATCH(1,('Margin Guidence Table'!$A$1:$A$10000=IC21)*('Margin Guidence Table'!$H$1:$H$10000&lt;=ROUND($HU$3,0))*('Margin Guidence Table'!$G$1:$G$10000&gt;=ROUND($HU$3,0)),0),MATCH("DEFAULT_SALES_LBS",'Margin Guidence Table'!$A$1:$AC$1,0))),0)</f>
        <v>0</v>
      </c>
      <c r="IH21" s="1165">
        <f t="array" ref="IH21">IFERROR(IF($IE21="SEGMENT",INDEX('Margin Guidence Table'!$A$1:$AC$10000,MATCH(1,('Margin Guidence Table'!$A$1:$A$10000=IC21)*('Margin Guidence Table'!$H$1:$H$10000&lt;=ROUND($HU$3,0))*('Margin Guidence Table'!$G$1:$G$10000&gt;=ROUND($HU$3,0)),0),MATCH("MDA_MIN_MARGIN_GUIDENCE",'Margin Guidence Table'!$A$1:$AC$1,0)),INDEX('Margin Guidence Table'!$A$1:$AC$10000,MATCH(1,('Margin Guidence Table'!$A$1:$A$10000=IC21)*('Margin Guidence Table'!$H$1:$H$10000&lt;=ROUND($HU$3,0))*('Margin Guidence Table'!$G$1:$G$10000&gt;=ROUND($HU$3,0)),0),MATCH("DEFAULT_MDA_MIN_MARGIN_GUIDENCE",'Margin Guidence Table'!$A$1:$AC$1,0))),0)</f>
        <v>0</v>
      </c>
      <c r="II21" s="1165">
        <f t="array" ref="II21">IFERROR(IF($IE21="SEGMENT",INDEX('Margin Guidence Table'!$A$1:$AC$10000,MATCH(1,('Margin Guidence Table'!$A$1:$A$10000=IC21)*('Margin Guidence Table'!$H$1:$H$10000&lt;=ROUND($HU$3,0))*('Margin Guidence Table'!$G$1:$G$10000&gt;=ROUND($HU$3,0)),0),MATCH("MDA_MEDIAN_MARGIN_GUIDENCE",'Margin Guidence Table'!$A$1:$AC$1,0)),INDEX('Margin Guidence Table'!$A$1:$AC$10000,MATCH(1,('Margin Guidence Table'!$A$1:$A$10000=IC21)*('Margin Guidence Table'!$H$1:$H$10000&lt;=ROUND($HU$3,0))*('Margin Guidence Table'!$G$1:$G$10000&gt;=ROUND($HU$3,0)),0),MATCH("DEFAULT_MDA_MEDIAN_MARGIN_GUIDENCE",'Margin Guidence Table'!$A$1:$AC$1,0))),0)</f>
        <v>0</v>
      </c>
      <c r="IJ21" s="1165">
        <f t="array" ref="IJ21">IFERROR(IF($IE21="SEGMENT",INDEX('Margin Guidence Table'!$A$1:$AC$10000,MATCH(1,('Margin Guidence Table'!$A$1:$A$10000=IC21)*('Margin Guidence Table'!$H$1:$H$10000&lt;=ROUND($HU$3,0))*('Margin Guidence Table'!$G$1:$G$10000&gt;=ROUND($HU$3,0)),0),MATCH("MDA_MAX_MARGIN_GUIDENCE",'Margin Guidence Table'!$A$1:$AC$1,0)),INDEX('Margin Guidence Table'!$A$1:$AC$10000,MATCH(1,('Margin Guidence Table'!$A$1:$A$10000=IC21)*('Margin Guidence Table'!$H$1:$H$10000&lt;=ROUND($HU$3,0))*('Margin Guidence Table'!$G$1:$G$10000&gt;=ROUND($HU$3,0)),0),MATCH("DEFAULT_MDA_MAX_MARGIN_GUIDENCE",'Margin Guidence Table'!$A$1:$AC$1,0))),0)</f>
        <v>0</v>
      </c>
      <c r="IK21" s="1165">
        <f t="array" ref="IK21">IFERROR(IF($IE21="SEGMENT",INDEX('Margin Guidence Table'!$A$1:$AC$10000,MATCH(1,('Margin Guidence Table'!$A$1:$A$10000=IC21)*('Margin Guidence Table'!$H$1:$H$10000&lt;=ROUND($HU$3,0))*('Margin Guidence Table'!$G$1:$G$10000&gt;=ROUND($HU$3,0)),0),MATCH("PA_PCT_SALES",'Margin Guidence Table'!$A$1:$AC$1,0)),INDEX('Margin Guidence Table'!$A$1:$AC$10000,MATCH(1,('Margin Guidence Table'!$A$1:$A$10000=IC21)*('Margin Guidence Table'!$H$1:$H$10000&lt;=ROUND($HU$3,0))*('Margin Guidence Table'!$G$1:$G$10000&gt;=ROUND($HU$3,0)),0),MATCH("DEFAULT_PA_PCT_SALES",'Margin Guidence Table'!$A$1:$AC$1,0))),0)</f>
        <v>0</v>
      </c>
      <c r="IL21" s="1165">
        <f t="array" ref="IL21">IFERROR(IF($IE21="SEGMENT",INDEX('Margin Guidence Table'!$A$1:$AC$10000,MATCH(1,('Margin Guidence Table'!$A$1:$A$10000=IC21)*('Margin Guidence Table'!$H$1:$H$10000&lt;=ROUND($HU$3,0))*('Margin Guidence Table'!$G$1:$G$10000&gt;=ROUND($HU$3,0)),0),MATCH("SELF_FUND_PCT_SALES",'Margin Guidence Table'!$A$1:$AC$1,0)),INDEX('Margin Guidence Table'!$A$1:$AC$10000,MATCH(1,('Margin Guidence Table'!$A$1:$A$10000=IC21)*('Margin Guidence Table'!$H$1:$H$10000&lt;=ROUND($HU$3,0))*('Margin Guidence Table'!$G$1:$G$10000&gt;=ROUND($HU$3,0)),0),MATCH("DEFAULT_SELF_FUND_PCT_SALES",'Margin Guidence Table'!$A$1:$AC$1,0))),0)</f>
        <v>0</v>
      </c>
      <c r="IM21" s="1165">
        <f t="array" ref="IM21">IFERROR(IF($IE21="SEGMENT",INDEX('Margin Guidence Table'!$A$1:$AC$10000,MATCH(1,('Margin Guidence Table'!$A$1:$A$10000=IC21)*('Margin Guidence Table'!$H$1:$H$10000&lt;=ROUND($HU$3,0))*('Margin Guidence Table'!$G$1:$G$10000&gt;=ROUND($HU$3,0)),0),MATCH("CIA_MEDIAN_MARGIN_GUIDENCE",'Margin Guidence Table'!$A$1:$AC$1,0)),INDEX('Margin Guidence Table'!$A$1:$AC$10000,MATCH(1,('Margin Guidence Table'!$A$1:$A$10000=IC21)*('Margin Guidence Table'!$H$1:$H$10000&lt;=ROUND($HU$3,0))*('Margin Guidence Table'!$G$1:$G$10000&gt;=ROUND($HU$3,0)),0),MATCH("DEFAULT_CIA_MEDIAN_MARGIN_GUIDENCE",'Margin Guidence Table'!$A$1:$AC$1,0))),0)</f>
        <v>0</v>
      </c>
      <c r="IN21" s="129"/>
      <c r="IO21" s="18">
        <f t="array" ref="IO21">IFERROR(IF($JA21="SEGMENT",INDEX('Margin Guidence Table'!$A$1:$AC$10000,MATCH(1,('Margin Guidence Table'!$A$1:$A$10000=$IY21)*('Margin Guidence Table'!$H$1:$H$10000&lt;=ROUND($IQ$3,0))*('Margin Guidence Table'!$G$1:$G$10000&gt;=ROUND($IQ$3,0)),0),MATCH("PCT_SALES",'Margin Guidence Table'!$A$1:$AC$1,0)),INDEX('Margin Guidence Table'!$A$1:$AC$10000,MATCH(1,('Margin Guidence Table'!$A$1:$A$10000=$IY21)*('Margin Guidence Table'!$H$1:$H$10000&lt;=ROUND($IQ$3,0))*('Margin Guidence Table'!$G$1:$G$10000&gt;=ROUND($IQ$3,0)),0),MATCH("DEFAULT_PCT_SALES",'Margin Guidence Table'!$A$1:$AC$1,0))),0)</f>
        <v>0</v>
      </c>
      <c r="IP21" s="102" t="s">
        <v>95</v>
      </c>
      <c r="IQ21" s="94">
        <f>IFERROR(IF(AND($IQ$2&lt;&gt;"Enter Spend&gt;&gt;&gt;",IR2="EXISTING"),SUMIFS('Existing Customers'!$Q:$Q,'Existing Customers'!$A:$A,$IQ$1,'Existing Customers'!$H:$H,$IP21)*$IQ$4,$IQ$3*$IO21),0)</f>
        <v>0</v>
      </c>
      <c r="IR21" s="89">
        <f>IFERROR(IF(AND($IQ$2&lt;&gt;"Enter Spend&gt;&gt;&gt;",IR2="EXISTING"),SUMIFS('Existing Customers'!$N:$N,'Existing Customers'!$A:$A,$IQ$1,'Existing Customers'!$H:$H,$IP21)*$IQ$4,$IQ21/$JB21),0)</f>
        <v>0</v>
      </c>
      <c r="IS21" s="95">
        <f>IFERROR(IF(AND($IQ$2&lt;&gt;"Enter Spend&gt;&gt;&gt;",IR2="EXISTING"),SUMIFS('Existing Customers'!$O:$O,'Existing Customers'!$H:$H,$IP21,'Existing Customers'!$A:$A,$IQ$1)*$IQ$4,$IR21*$IQ$8),0)</f>
        <v>0</v>
      </c>
      <c r="IT21" s="95">
        <f>IFERROR(IF(AND($IQ$2&lt;&gt;"Enter Spend&gt;&gt;&gt;",IR2="EXISTING"),SUMIFS('Existing Customers'!$P:$P,'Existing Customers'!$A:$A,$IQ$1,'Existing Customers'!$H:$H,$IP21)*$IQ$4,$IQ21/$JC21),0)</f>
        <v>0</v>
      </c>
      <c r="IU21" s="402">
        <f>IFERROR(IF(AND($IQ$2&lt;&gt;"Enter Spend&gt;&gt;&gt;",IR2="EXISTING"),SUMIFS('Existing Customers'!$V:$V,'Existing Customers'!$H:$H,$IP21,'Existing Customers'!$A:$A,$IQ$1)*$IQ$4,0),0)</f>
        <v>0</v>
      </c>
      <c r="IV21" s="96">
        <f>IFERROR(IF(AND($IQ$2&lt;&gt;"Enter Spend&gt;&gt;&gt;",IR2="EXISTING"),SUMIFS('Existing Customers'!$R:$R,'Existing Customers'!$H:$H,$IP21,'Existing Customers'!$A:$A,$IQ$1)*$IQ$4,0),0)</f>
        <v>0</v>
      </c>
      <c r="IW21" s="1161">
        <f>IFERROR(IF(AND($IQ$2&lt;&gt;"Enter Spend&gt;&gt;&gt;",IR2="EXISTING"),SUMIFS('Existing Customers'!$S:$S,'Existing Customers'!$H:$H,$IP21,'Existing Customers'!$A:$A,$IQ$1),JG21*IQ21),0)</f>
        <v>0</v>
      </c>
      <c r="IX21" s="1161">
        <f>IFERROR(IF(AND($IQ$2&lt;&gt;"Enter Spend&gt;&gt;&gt;",IR2="EXISTING"),SUMIFS('Existing Customers'!$U:$U,'Existing Customers'!$H:$H,$IP21,'Existing Customers'!$A:$A,$IQ$1),JH21*IQ21),0)</f>
        <v>0</v>
      </c>
      <c r="IY21" s="1164" t="e">
        <f t="shared" si="42"/>
        <v>#N/A</v>
      </c>
      <c r="IZ21" s="1164">
        <f t="array" ref="IZ21">IFERROR(INDEX('Margin Guidence Table'!$A$1:$AD$30000,MATCH(1,('Margin Guidence Table'!$A$1:$A$10000=IY21)*('Margin Guidence Table'!$H$1:$H$10000&lt;=ROUND($IQ$3,0))*('Margin Guidence Table'!$G$1:$G$10000&gt;=ROUND($IQ$3,0)),0),MATCH("DATA_POINTS",'Margin Guidence Table'!$A$1:$AC$1,0)),0)</f>
        <v>0</v>
      </c>
      <c r="JA21" s="1161" t="str">
        <f t="shared" si="43"/>
        <v>DEFAULT</v>
      </c>
      <c r="JB21" s="1161">
        <f t="array" ref="JB21">IFERROR(IF($JA21="SEGMENT",INDEX('Margin Guidence Table'!$A$1:$AC$10000,MATCH(1,('Margin Guidence Table'!$A$1:$A$10000=IY21)*('Margin Guidence Table'!$H$1:$H$10000&lt;=ROUND($IQ$3,0))*('Margin Guidence Table'!$G$1:$G$10000&gt;=ROUND($IQ$3,0)),0),MATCH("SALES_CASE",'Margin Guidence Table'!$A$1:$AC$1,0)),INDEX('Margin Guidence Table'!$A$1:$AC$10000,MATCH(1,('Margin Guidence Table'!$A$1:$A$10000=IY21)*('Margin Guidence Table'!$H$1:$H$10000&lt;=ROUND($IQ$3,0))*('Margin Guidence Table'!$G$1:$G$10000&gt;=ROUND($IQ$3,0)),0),MATCH("DEFAULT_SALES_CASE",'Margin Guidence Table'!$A$1:$AC$1,0))),0)</f>
        <v>0</v>
      </c>
      <c r="JC21" s="1161">
        <f t="array" ref="JC21">IFERROR(IF($JA21="SEGMENT",INDEX('Margin Guidence Table'!$A$1:$AC$10000,MATCH(1,('Margin Guidence Table'!$A$1:$A$10000=IY21)*('Margin Guidence Table'!$H$1:$H$10000&lt;=ROUND($IQ$3,0))*('Margin Guidence Table'!$G$1:$G$10000&gt;=ROUND($IQ$3,0)),0),MATCH("SALES_LBS",'Margin Guidence Table'!$A$1:$AC$1,0)),INDEX('Margin Guidence Table'!$A$1:$AC$10000,MATCH(1,('Margin Guidence Table'!$A$1:$A$10000=IY21)*('Margin Guidence Table'!$H$1:$H$10000&lt;=ROUND($IQ$3,0))*('Margin Guidence Table'!$G$1:$G$10000&gt;=ROUND($IQ$3,0)),0),MATCH("DEFAULT_SALES_LBS",'Margin Guidence Table'!$A$1:$AC$1,0))),0)</f>
        <v>0</v>
      </c>
      <c r="JD21" s="1165">
        <f t="array" ref="JD21">IFERROR(IF($JA21="SEGMENT",INDEX('Margin Guidence Table'!$A$1:$AC$10000,MATCH(1,('Margin Guidence Table'!$A$1:$A$10000=IY21)*('Margin Guidence Table'!$H$1:$H$10000&lt;=ROUND($IQ$3,0))*('Margin Guidence Table'!$G$1:$G$10000&gt;=ROUND($IQ$3,0)),0),MATCH("MDA_MIN_MARGIN_GUIDENCE",'Margin Guidence Table'!$A$1:$AC$1,0)),INDEX('Margin Guidence Table'!$A$1:$AC$10000,MATCH(1,('Margin Guidence Table'!$A$1:$A$10000=IY21)*('Margin Guidence Table'!$H$1:$H$10000&lt;=ROUND($IQ$3,0))*('Margin Guidence Table'!$G$1:$G$10000&gt;=ROUND($IQ$3,0)),0),MATCH("DEFAULT_MDA_MIN_MARGIN_GUIDENCE",'Margin Guidence Table'!$A$1:$AC$1,0))),0)</f>
        <v>0</v>
      </c>
      <c r="JE21" s="1165">
        <f t="array" ref="JE21">IFERROR(IF($JA21="SEGMENT",INDEX('Margin Guidence Table'!$A$1:$AC$10000,MATCH(1,('Margin Guidence Table'!$A$1:$A$10000=IY21)*('Margin Guidence Table'!$H$1:$H$10000&lt;=ROUND($IQ$3,0))*('Margin Guidence Table'!$G$1:$G$10000&gt;=ROUND($IQ$3,0)),0),MATCH("MDA_MEDIAN_MARGIN_GUIDENCE",'Margin Guidence Table'!$A$1:$AC$1,0)),INDEX('Margin Guidence Table'!$A$1:$AC$10000,MATCH(1,('Margin Guidence Table'!$A$1:$A$10000=IY21)*('Margin Guidence Table'!$H$1:$H$10000&lt;=ROUND($IQ$3,0))*('Margin Guidence Table'!$G$1:$G$10000&gt;=ROUND($IQ$3,0)),0),MATCH("DEFAULT_MDA_MEDIAN_MARGIN_GUIDENCE",'Margin Guidence Table'!$A$1:$AC$1,0))),0)</f>
        <v>0</v>
      </c>
      <c r="JF21" s="1165">
        <f t="array" ref="JF21">IFERROR(IF($JA21="SEGMENT",INDEX('Margin Guidence Table'!$A$1:$AC$10000,MATCH(1,('Margin Guidence Table'!$A$1:$A$10000=IY21)*('Margin Guidence Table'!$H$1:$H$10000&lt;=ROUND($IQ$3,0))*('Margin Guidence Table'!$G$1:$G$10000&gt;=ROUND($IQ$3,0)),0),MATCH("MDA_MAX_MARGIN_GUIDENCE",'Margin Guidence Table'!$A$1:$AC$1,0)),INDEX('Margin Guidence Table'!$A$1:$AC$10000,MATCH(1,('Margin Guidence Table'!$A$1:$A$10000=IY21)*('Margin Guidence Table'!$H$1:$H$10000&lt;=ROUND($IQ$3,0))*('Margin Guidence Table'!$G$1:$G$10000&gt;=ROUND($IQ$3,0)),0),MATCH("DEFAULT_MDA_MAX_MARGIN_GUIDENCE",'Margin Guidence Table'!$A$1:$AC$1,0))),0)</f>
        <v>0</v>
      </c>
      <c r="JG21" s="1165">
        <f t="array" ref="JG21">IFERROR(IF($JA21="SEGMENT",INDEX('Margin Guidence Table'!$A$1:$AC$10000,MATCH(1,('Margin Guidence Table'!$A$1:$A$10000=IY21)*('Margin Guidence Table'!$H$1:$H$10000&lt;=ROUND($IQ$3,0))*('Margin Guidence Table'!$G$1:$G$10000&gt;=ROUND($IQ$3,0)),0),MATCH("PA_PCT_SALES",'Margin Guidence Table'!$A$1:$AC$1,0)),INDEX('Margin Guidence Table'!$A$1:$AC$10000,MATCH(1,('Margin Guidence Table'!$A$1:$A$10000=IY21)*('Margin Guidence Table'!$H$1:$H$10000&lt;=ROUND($IQ$3,0))*('Margin Guidence Table'!$G$1:$G$10000&gt;=ROUND($IQ$3,0)),0),MATCH("DEFAULT_PA_PCT_SALES",'Margin Guidence Table'!$A$1:$AC$1,0))),0)</f>
        <v>0</v>
      </c>
      <c r="JH21" s="1165">
        <f t="array" ref="JH21">IFERROR(IF($JA21="SEGMENT",INDEX('Margin Guidence Table'!$A$1:$AC$10000,MATCH(1,('Margin Guidence Table'!$A$1:$A$10000=IY21)*('Margin Guidence Table'!$H$1:$H$10000&lt;=ROUND($IQ$3,0))*('Margin Guidence Table'!$G$1:$G$10000&gt;=ROUND($IQ$3,0)),0),MATCH("SELF_FUND_PCT_SALES",'Margin Guidence Table'!$A$1:$AC$1,0)),INDEX('Margin Guidence Table'!$A$1:$AC$10000,MATCH(1,('Margin Guidence Table'!$A$1:$A$10000=IY21)*('Margin Guidence Table'!$H$1:$H$10000&lt;=ROUND($IQ$3,0))*('Margin Guidence Table'!$G$1:$G$10000&gt;=ROUND($IQ$3,0)),0),MATCH("DEFAULT_SELF_FUND_PCT_SALES",'Margin Guidence Table'!$A$1:$AC$1,0))),0)</f>
        <v>0</v>
      </c>
      <c r="JI21" s="1165">
        <f t="array" ref="JI21">IFERROR(IF($JA21="SEGMENT",INDEX('Margin Guidence Table'!$A$1:$AC$10000,MATCH(1,('Margin Guidence Table'!$A$1:$A$10000=IY21)*('Margin Guidence Table'!$H$1:$H$10000&lt;=ROUND($IQ$3,0))*('Margin Guidence Table'!$G$1:$G$10000&gt;=ROUND($IQ$3,0)),0),MATCH("CIA_MEDIAN_MARGIN_GUIDENCE",'Margin Guidence Table'!$A$1:$AC$1,0)),INDEX('Margin Guidence Table'!$A$1:$AC$10000,MATCH(1,('Margin Guidence Table'!$A$1:$A$10000=IY21)*('Margin Guidence Table'!$H$1:$H$10000&lt;=ROUND($IQ$3,0))*('Margin Guidence Table'!$G$1:$G$10000&gt;=ROUND($IQ$3,0)),0),MATCH("DEFAULT_CIA_MEDIAN_MARGIN_GUIDENCE",'Margin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44"/>
        <v>#DIV/0!</v>
      </c>
      <c r="AV22" s="400"/>
      <c r="AW22" s="400"/>
      <c r="AX22" s="108">
        <v>11</v>
      </c>
      <c r="AY22" s="18">
        <f t="array" ref="AY22">IFERROR(IF($BK22="SEGMENT",INDEX('Margin Guidence Table'!$A$1:$AC$10000,MATCH(1,('Margin Guidence Table'!$A$1:$A$10000=$BI22)*('Margin Guidence Table'!$H$1:$H$10000&lt;=ROUND($BA$3,0))*('Margin Guidence Table'!$G$1:$G$10000&gt;=ROUND($BA$3,0)),0),MATCH("PCT_SALES",'Margin Guidence Table'!$A$1:$AC$1,0)),INDEX('Margin Guidence Table'!$A$1:$AC$10000,MATCH(1,('Margin Guidence Table'!$A$1:$A$10000=$BI22)*('Margin Guidence Table'!$H$1:$H$10000&lt;=ROUND($BA$3,0))*('Margin Guidence Table'!$G$1:$G$10000&gt;=ROUND($BA$3,0)),0),MATCH("DEFAULT_PCT_SALES",'Margin Guidence Table'!$A$1:$AC$1,0))),0)</f>
        <v>0</v>
      </c>
      <c r="AZ22" s="102" t="s">
        <v>96</v>
      </c>
      <c r="BA22" s="94">
        <f>IFERROR(IF(AND($BA$2&lt;&gt;"Enter Spend&gt;&gt;&gt;",BB2="EXISTING"),SUMIFS('Existing Customers'!$Q:$Q,'Existing Customers'!$A:$A,$BA$1,'Existing Customers'!$H:$H,$AZ22)*$BA$4,$BA$3*$AY22),0)</f>
        <v>0</v>
      </c>
      <c r="BB22" s="95">
        <f>IFERROR(IF(AND($BA$2&lt;&gt;"Enter Spend&gt;&gt;&gt;",BB2="EXISTING"),SUMIFS('Existing Customers'!$N:$N,'Existing Customers'!$A:$A,$BA$1,'Existing Customers'!$H:$H,$AZ22)*$BA$4,$BA22/$BL22),0)</f>
        <v>0</v>
      </c>
      <c r="BC22" s="95">
        <f>IFERROR(IF(AND($BA$2&lt;&gt;"Enter Spend&gt;&gt;&gt;",BB2="EXISTING"),SUMIFS('Existing Customers'!$O:$O,'Existing Customers'!$H:$H,$AZ22,'Existing Customers'!$A:$A,$BA$1)*$BA$4,$BB22*$BA$8),0)</f>
        <v>0</v>
      </c>
      <c r="BD22" s="95">
        <f>IFERROR(IF(AND($BA$2&lt;&gt;"Enter Spend&gt;&gt;&gt;",BB2="EXISTING"),SUMIFS('Existing Customers'!$P:$P,'Existing Customers'!$A:$A,$BA$1,'Existing Customers'!$H:$H,$AZ22)*$BA$4,$BA22/$BM22),0)</f>
        <v>0</v>
      </c>
      <c r="BE22" s="402">
        <f>IFERROR(IF(AND($BA$2&lt;&gt;"Enter Spend&gt;&gt;&gt;",BB2="EXISTING"),SUMIFS('Existing Customers'!$V:$V,'Existing Customers'!$H:$H,$AZ22,'Existing Customers'!$A:$A,$BA$1)*$BA$4,0),0)</f>
        <v>0</v>
      </c>
      <c r="BF22" s="96">
        <f>IFERROR(IF(AND($BA$2&lt;&gt;"Enter Spend&gt;&gt;&gt;",BB2="EXISTING"),SUMIFS('Existing Customers'!$R:$R,'Existing Customers'!$H:$H,$AZ22,'Existing Customers'!$A:$A,$BA$1)*$BA$4,0),0)</f>
        <v>0</v>
      </c>
      <c r="BG22" s="96">
        <f>IFERROR(IF(AND($BA$2&lt;&gt;"Enter Spend&gt;&gt;&gt;",BB2="EXISTING"),SUMIFS('Existing Customers'!$S:$S,'Existing Customers'!$H:$H,$AZ22,'Existing Customers'!$A:$A,$BA$1),BQ22*BA22),0)</f>
        <v>0</v>
      </c>
      <c r="BH22" s="96">
        <f>IFERROR(IF(AND($BA$2&lt;&gt;"Enter Spend&gt;&gt;&gt;",BB2="EXISTING"),SUMIFS('Existing Customers'!$U:$U,'Existing Customers'!$H:$H,$AZ22,'Existing Customers'!$A:$A,$BA$1),BR22*BA22),0)</f>
        <v>0</v>
      </c>
      <c r="BI22" s="1163" t="e">
        <f t="shared" si="24"/>
        <v>#N/A</v>
      </c>
      <c r="BJ22" s="1164">
        <f t="array" ref="BJ22">IFERROR(INDEX('Margin Guidence Table'!$A$1:$AD$30000,MATCH(1,('Margin Guidence Table'!$A$1:$A$10000=$BI22)*('Margin Guidence Table'!$H$1:$H$10000&lt;=ROUND($BA$3,0))*('Margin Guidence Table'!$G$1:$G$10000&gt;=ROUND($BA$3,0)),0),MATCH("DATA_POINTS",'Margin Guidence Table'!$A$1:$AC$1,0)),0)</f>
        <v>0</v>
      </c>
      <c r="BK22" s="1161" t="str">
        <f t="shared" si="25"/>
        <v>DEFAULT</v>
      </c>
      <c r="BL22" s="1161">
        <f t="array" ref="BL22">IFERROR(IF($BK22="SEGMENT",INDEX('Margin Guidence Table'!$A$1:$AC$10000,MATCH(1,('Margin Guidence Table'!$A$1:$A$10000=$BI22)*('Margin Guidence Table'!$H$1:$H$10000&lt;=ROUND($BA$3,0))*('Margin Guidence Table'!$G$1:$G$10000&gt;=ROUND($BA$3,0)),0),MATCH("SALES_CASE",'Margin Guidence Table'!$A$1:$AC$1,0)),INDEX('Margin Guidence Table'!$A$1:$AC$10000,MATCH(1,('Margin Guidence Table'!$A$1:$A$10000=$BI22)*('Margin Guidence Table'!$H$1:$H$10000&lt;=ROUND($BA$3,0))*('Margin Guidence Table'!$G$1:$G$10000&gt;=ROUND($BA$3,0)),0),MATCH("DEFAULT_SALES_CASE",'Margin Guidence Table'!$A$1:$AC$1,0))),0)</f>
        <v>0</v>
      </c>
      <c r="BM22" s="1161">
        <f t="array" ref="BM22">IFERROR(IF($BK22="SEGMENT",INDEX('Margin Guidence Table'!$A$1:$AC$10000,MATCH(1,('Margin Guidence Table'!$A$1:$A$10000=$BI22)*('Margin Guidence Table'!$H$1:$H$10000&lt;=ROUND($BA$3,0))*('Margin Guidence Table'!$G$1:$G$10000&gt;=ROUND($BA$3,0)),0),MATCH("SALES_LBS",'Margin Guidence Table'!$A$1:$AC$1,0)),INDEX('Margin Guidence Table'!$A$1:$AC$10000,MATCH(1,('Margin Guidence Table'!$A$1:$A$10000=$BI22)*('Margin Guidence Table'!$H$1:$H$10000&lt;=ROUND($BA$3,0))*('Margin Guidence Table'!$G$1:$G$10000&gt;=ROUND($BA$3,0)),0),MATCH("DEFAULT_SALES_LBS",'Margin Guidence Table'!$A$1:$AC$1,0))),0)</f>
        <v>0</v>
      </c>
      <c r="BN22" s="1165">
        <f t="array" ref="BN22">IFERROR(IF($BK22="SEGMENT",INDEX('Margin Guidence Table'!$A$1:$AC$10000,MATCH(1,('Margin Guidence Table'!$A$1:$A$10000=$BI22)*('Margin Guidence Table'!$H$1:$H$10000&lt;=ROUND($BA$3,0))*('Margin Guidence Table'!$G$1:$G$10000&gt;=ROUND($BA$3,0)),0),MATCH("MDA_MIN_MARGIN_GUIDENCE",'Margin Guidence Table'!$A$1:$AC$1,0)),INDEX('Margin Guidence Table'!$A$1:$AC$10000,MATCH(1,('Margin Guidence Table'!$A$1:$A$10000=$BI22)*('Margin Guidence Table'!$H$1:$H$10000&lt;=ROUND($BA$3,0))*('Margin Guidence Table'!$G$1:$G$10000&gt;=ROUND($BA$3,0)),0),MATCH("DEFAULT_MDA_MIN_MARGIN_GUIDENCE",'Margin Guidence Table'!$A$1:$AC$1,0))),0)</f>
        <v>0</v>
      </c>
      <c r="BO22" s="1165">
        <f t="array" ref="BO22">IFERROR(IF($BK22="SEGMENT",INDEX('Margin Guidence Table'!$A$1:$AC$10000,MATCH(1,('Margin Guidence Table'!$A$1:$A$10000=$BI22)*('Margin Guidence Table'!$H$1:$H$10000&lt;=ROUND($BA$3,0))*('Margin Guidence Table'!$G$1:$G$10000&gt;=ROUND($BA$3,0)),0),MATCH("MDA_MEDIAN_MARGIN_GUIDENCE",'Margin Guidence Table'!$A$1:$AC$1,0)),INDEX('Margin Guidence Table'!$A$1:$AC$10000,MATCH(1,('Margin Guidence Table'!$A$1:$A$10000=$BI22)*('Margin Guidence Table'!$H$1:$H$10000&lt;=ROUND($BA$3,0))*('Margin Guidence Table'!$G$1:$G$10000&gt;=ROUND($BA$3,0)),0),MATCH("DEFAULT_MDA_MEDIAN_MARGIN_GUIDENCE",'Margin Guidence Table'!$A$1:$AC$1,0))),0)</f>
        <v>0</v>
      </c>
      <c r="BP22" s="1165">
        <f t="array" ref="BP22">IFERROR(IF($BK22="SEGMENT",INDEX('Margin Guidence Table'!$A$1:$AC$10000,MATCH(1,('Margin Guidence Table'!$A$1:$A$10000=$BI22)*('Margin Guidence Table'!$H$1:$H$10000&lt;=ROUND($BA$3,0))*('Margin Guidence Table'!$G$1:$G$10000&gt;=ROUND($BA$3,0)),0),MATCH("MDA_MAX_MARGIN_GUIDENCE",'Margin Guidence Table'!$A$1:$AC$1,0)),INDEX('Margin Guidence Table'!$A$1:$AC$10000,MATCH(1,('Margin Guidence Table'!$A$1:$A$10000=$BI22)*('Margin Guidence Table'!$H$1:$H$10000&lt;=ROUND($BA$3,0))*('Margin Guidence Table'!$G$1:$G$10000&gt;=ROUND($BA$3,0)),0),MATCH("DEFAULT_MDA_MAX_MARGIN_GUIDENCE",'Margin Guidence Table'!$A$1:$AC$1,0))),0)</f>
        <v>0</v>
      </c>
      <c r="BQ22" s="1165">
        <f t="array" ref="BQ22">IFERROR(IF($BK22="SEGMENT",INDEX('Margin Guidence Table'!$A$1:$AC$10000,MATCH(1,('Margin Guidence Table'!$A$1:$A$10000=$BI22)*('Margin Guidence Table'!$H$1:$H$10000&lt;=ROUND($BA$3,0))*('Margin Guidence Table'!$G$1:$G$10000&gt;=ROUND($BA$3,0)),0),MATCH("PA_PCT_SALES",'Margin Guidence Table'!$A$1:$AC$1,0)),INDEX('Margin Guidence Table'!$A$1:$AC$10000,MATCH(1,('Margin Guidence Table'!$A$1:$A$10000=$BI22)*('Margin Guidence Table'!$H$1:$H$10000&lt;=ROUND($BA$3,0))*('Margin Guidence Table'!$G$1:$G$10000&gt;=ROUND($BA$3,0)),0),MATCH("DEFAULT_PA_PCT_SALES",'Margin Guidence Table'!$A$1:$AC$1,0))),0)</f>
        <v>0</v>
      </c>
      <c r="BR22" s="1165">
        <f t="array" ref="BR22">IFERROR(IF($BK22="SEGMENT",INDEX('Margin Guidence Table'!$A$1:$AC$10000,MATCH(1,('Margin Guidence Table'!$A$1:$A$10000=$BI22)*('Margin Guidence Table'!$H$1:$H$10000&lt;=ROUND($BA$3,0))*('Margin Guidence Table'!$G$1:$G$10000&gt;=ROUND($BA$3,0)),0),MATCH("SELF_FUND_PCT_SALES",'Margin Guidence Table'!$A$1:$AC$1,0)),INDEX('Margin Guidence Table'!$A$1:$AC$10000,MATCH(1,('Margin Guidence Table'!$A$1:$A$10000=$BI22)*('Margin Guidence Table'!$H$1:$H$10000&lt;=ROUND($BA$3,0))*('Margin Guidence Table'!$G$1:$G$10000&gt;=ROUND($BA$3,0)),0),MATCH("DEFAULT_SELF_FUND_PCT_SALES",'Margin Guidence Table'!$A$1:$AC$1,0))),0)</f>
        <v>0</v>
      </c>
      <c r="BS22" s="1165">
        <f t="array" ref="BS22">IFERROR(IF($BK22="SEGMENT",INDEX('Margin Guidence Table'!$A$1:$AC$10000,MATCH(1,('Margin Guidence Table'!$A$1:$A$10000=$BI22)*('Margin Guidence Table'!$H$1:$H$10000&lt;=ROUND($BA$3,0))*('Margin Guidence Table'!$G$1:$G$10000&gt;=ROUND($BA$3,0)),0),MATCH("CIA_MEDIAN_MARGIN_GUIDENCE",'Margin Guidence Table'!$A$1:$AC$1,0)),INDEX('Margin Guidence Table'!$A$1:$AC$10000,MATCH(1,('Margin Guidence Table'!$A$1:$A$10000=$BI22)*('Margin Guidence Table'!$H$1:$H$10000&lt;=ROUND($BA$3,0))*('Margin Guidence Table'!$G$1:$G$10000&gt;=ROUND($BA$3,0)),0),MATCH("DEFAULT_CIA_MEDIAN_MARGIN_GUIDENCE",'Margin Guidence Table'!$A$1:$AC$1,0))),0)</f>
        <v>0</v>
      </c>
      <c r="BT22" s="129"/>
      <c r="BU22" s="18">
        <f t="array" ref="BU22">IFERROR(IF($CG22="SEGMENT",INDEX('Margin Guidence Table'!$A$1:$AC$10000,MATCH(1,('Margin Guidence Table'!$A$1:$A$10000=$CE22)*('Margin Guidence Table'!$H$1:$H$10000&lt;=ROUND($BW$3,0))*('Margin Guidence Table'!$G$1:$G$10000&gt;=ROUND($BW$3,0)),0),MATCH("PCT_SALES",'Margin Guidence Table'!$A$1:$AC$1,0)),INDEX('Margin Guidence Table'!$A$1:$AC$10000,MATCH(1,('Margin Guidence Table'!$A$1:$A$10000=$CE22)*('Margin Guidence Table'!$H$1:$H$10000&lt;=ROUND($BW$3,0))*('Margin Guidence Table'!$G$1:$G$10000&gt;=ROUND($BW$3,0)),0),MATCH("DEFAULT_PCT_SALES",'Margin Guidence Table'!$A$1:$AC$1,0))),0)</f>
        <v>0</v>
      </c>
      <c r="BV22" s="102" t="s">
        <v>96</v>
      </c>
      <c r="BW22" s="94">
        <f>IFERROR(IF(AND($BW$2&lt;&gt;"Enter Spend&gt;&gt;&gt;",BX2="EXISTING"),SUMIFS('Existing Customers'!$Q:$Q,'Existing Customers'!$A:$A,$BW$1,'Existing Customers'!$H:$H,$BV22)*$BW$4,$BW$3*$BU22),0)</f>
        <v>0</v>
      </c>
      <c r="BX22" s="89">
        <f>IFERROR(IF(AND($BW$2&lt;&gt;"Enter Spend&gt;&gt;&gt;",BX2="EXISTING"),SUMIFS('Existing Customers'!$N:$N,'Existing Customers'!$A:$A,$BW$1,'Existing Customers'!$H:$H,$BV22)*$BW$4,$BW22/$CH22),0)</f>
        <v>0</v>
      </c>
      <c r="BY22" s="95">
        <f>IFERROR(IF(AND($BW$2&lt;&gt;"Enter Spend&gt;&gt;&gt;",BX2="EXISTING"),SUMIFS('Existing Customers'!$O:$O,'Existing Customers'!$H:$H,$BV22,'Existing Customers'!$A:$A,$BW$1)*$BW$4,$BX22*$BW$8),0)</f>
        <v>0</v>
      </c>
      <c r="BZ22" s="95">
        <f>IFERROR(IF(AND($BW$2&lt;&gt;"Enter Spend&gt;&gt;&gt;",BX2="EXISTING"),SUMIFS('Existing Customers'!$P:$P,'Existing Customers'!$A:$A,$BW$1,'Existing Customers'!$H:$H,$BV22)*$BW$4,$BW22/$CI22),0)</f>
        <v>0</v>
      </c>
      <c r="CA22" s="96">
        <f>IFERROR(IF(AND($BW$2&lt;&gt;"Enter Spend&gt;&gt;&gt;",BX2="EXISTING"),SUMIFS('Existing Customers'!$V:$V,'Existing Customers'!$H:$H,$BV22,'Existing Customers'!$A:$A,$BW$1)*$BW$4,0),0)</f>
        <v>0</v>
      </c>
      <c r="CB22" s="96">
        <f>IFERROR(IF(AND($BW$2&lt;&gt;"Enter Spend&gt;&gt;&gt;",BX2="EXISTING"),SUMIFS('Existing Customers'!$R:$R,'Existing Customers'!$H:$H,$BV22,'Existing Customers'!$A:$A,$BW$1)*$BW$4,0),0)</f>
        <v>0</v>
      </c>
      <c r="CC22" s="1161">
        <f>IFERROR(IF(AND($BW$2&lt;&gt;"Enter Spend&gt;&gt;&gt;",BX2="EXISTING"),SUMIFS('Existing Customers'!$S:$S,'Existing Customers'!$H:$H,$BV22,'Existing Customers'!$A:$A,$BW$1),CM22*BW22),0)</f>
        <v>0</v>
      </c>
      <c r="CD22" s="1161">
        <f>IFERROR(IF(AND($BW$2&lt;&gt;"Enter Spend&gt;&gt;&gt;",BX2="EXISTING"),SUMIFS('Existing Customers'!$U:$U,'Existing Customers'!$H:$H,$BV22,'Existing Customers'!$A:$A,$BW$1),CN22*BW22),0)</f>
        <v>0</v>
      </c>
      <c r="CE22" s="1164" t="e">
        <f t="shared" si="26"/>
        <v>#N/A</v>
      </c>
      <c r="CF22" s="1164">
        <f t="array" ref="CF22">IFERROR(INDEX('Margin Guidence Table'!$A$1:$AD$30000,MATCH(1,('Margin Guidence Table'!$A$1:$A$10000=$CE22)*('Margin Guidence Table'!$H$1:$H$10000&lt;=ROUND($BW$3,0))*('Margin Guidence Table'!$G$1:$G$10000&gt;=ROUND($BW$3,0)),0),MATCH("DATA_POINTS",'Margin Guidence Table'!$A$1:$AC$1,0)),0)</f>
        <v>0</v>
      </c>
      <c r="CG22" s="1161" t="str">
        <f t="shared" si="27"/>
        <v>DEFAULT</v>
      </c>
      <c r="CH22" s="1161">
        <f t="array" ref="CH22">IFERROR(IF($CG22="SEGMENT",INDEX('Margin Guidence Table'!$A$1:$AC$10000,MATCH(1,('Margin Guidence Table'!$A$1:$A$10000=$CE22)*('Margin Guidence Table'!$H$1:$H$10000&lt;=ROUND($BW$3,0))*('Margin Guidence Table'!$G$1:$G$10000&gt;=ROUND($BW$3,0)),0),MATCH("SALES_CASE",'Margin Guidence Table'!$A$1:$AC$1,0)),INDEX('Margin Guidence Table'!$A$1:$AC$10000,MATCH(1,('Margin Guidence Table'!$A$1:$A$10000=$CE22)*('Margin Guidence Table'!$H$1:$H$10000&lt;=ROUND($BW$3,0))*('Margin Guidence Table'!$G$1:$G$10000&gt;=ROUND($BW$3,0)),0),MATCH("DEFAULT_SALES_CASE",'Margin Guidence Table'!$A$1:$AC$1,0))),0)</f>
        <v>0</v>
      </c>
      <c r="CI22" s="1161">
        <f t="array" ref="CI22">IFERROR(IF($CG22="SEGMENT",INDEX('Margin Guidence Table'!$A$1:$AC$10000,MATCH(1,('Margin Guidence Table'!$A$1:$A$10000=$CE22)*('Margin Guidence Table'!$H$1:$H$10000&lt;=ROUND($BW$3,0))*('Margin Guidence Table'!$G$1:$G$10000&gt;=ROUND($BW$3,0)),0),MATCH("SALES_LBS",'Margin Guidence Table'!$A$1:$AC$1,0)),INDEX('Margin Guidence Table'!$A$1:$AC$10000,MATCH(1,('Margin Guidence Table'!$A$1:$A$10000=$CE22)*('Margin Guidence Table'!$H$1:$H$10000&lt;=ROUND($BW$3,0))*('Margin Guidence Table'!$G$1:$G$10000&gt;=ROUND($BW$3,0)),0),MATCH("DEFAULT_SALES_LBS",'Margin Guidence Table'!$A$1:$AC$1,0))),0)</f>
        <v>0</v>
      </c>
      <c r="CJ22" s="1165">
        <f t="array" ref="CJ22">IFERROR(IF($CG22="SEGMENT",INDEX('Margin Guidence Table'!$A$1:$AC$10000,MATCH(1,('Margin Guidence Table'!$A$1:$A$10000=$CE22)*('Margin Guidence Table'!$H$1:$H$10000&lt;=ROUND($BW$3,0))*('Margin Guidence Table'!$G$1:$G$10000&gt;=ROUND($BW$3,0)),0),MATCH("MDA_MIN_MARGIN_GUIDENCE",'Margin Guidence Table'!$A$1:$AC$1,0)),INDEX('Margin Guidence Table'!$A$1:$AC$10000,MATCH(1,('Margin Guidence Table'!$A$1:$A$10000=$CE22)*('Margin Guidence Table'!$H$1:$H$10000&lt;=ROUND($BW$3,0))*('Margin Guidence Table'!$G$1:$G$10000&gt;=ROUND($BW$3,0)),0),MATCH("DEFAULT_MDA_MIN_MARGIN_GUIDENCE",'Margin Guidence Table'!$A$1:$AC$1,0))),0)</f>
        <v>0</v>
      </c>
      <c r="CK22" s="1165">
        <f t="array" ref="CK22">IFERROR(IF($CG22="SEGMENT",INDEX('Margin Guidence Table'!$A$1:$AC$10000,MATCH(1,('Margin Guidence Table'!$A$1:$A$10000=$CE22)*('Margin Guidence Table'!$H$1:$H$10000&lt;=ROUND($BW$3,0))*('Margin Guidence Table'!$G$1:$G$10000&gt;=ROUND($BW$3,0)),0),MATCH("MDA_MEDIAN_MARGIN_GUIDENCE",'Margin Guidence Table'!$A$1:$AC$1,0)),INDEX('Margin Guidence Table'!$A$1:$AC$10000,MATCH(1,('Margin Guidence Table'!$A$1:$A$10000=$CE22)*('Margin Guidence Table'!$H$1:$H$10000&lt;=ROUND($BW$3,0))*('Margin Guidence Table'!$G$1:$G$10000&gt;=ROUND($BW$3,0)),0),MATCH("DEFAULT_MDA_MEDIAN_MARGIN_GUIDENCE",'Margin Guidence Table'!$A$1:$AC$1,0))),0)</f>
        <v>0</v>
      </c>
      <c r="CL22" s="1165">
        <f t="array" ref="CL22">IFERROR(IF($CG22="SEGMENT",INDEX('Margin Guidence Table'!$A$1:$AC$10000,MATCH(1,('Margin Guidence Table'!$A$1:$A$10000=$CE22)*('Margin Guidence Table'!$H$1:$H$10000&lt;=ROUND($BW$3,0))*('Margin Guidence Table'!$G$1:$G$10000&gt;=ROUND($BW$3,0)),0),MATCH("MDA_MAX_MARGIN_GUIDENCE",'Margin Guidence Table'!$A$1:$AC$1,0)),INDEX('Margin Guidence Table'!$A$1:$AC$10000,MATCH(1,('Margin Guidence Table'!$A$1:$A$10000=$CE22)*('Margin Guidence Table'!$H$1:$H$10000&lt;=ROUND($BW$3,0))*('Margin Guidence Table'!$G$1:$G$10000&gt;=ROUND($BW$3,0)),0),MATCH("DEFAULT_MDA_MAX_MARGIN_GUIDENCE",'Margin Guidence Table'!$A$1:$AC$1,0))),0)</f>
        <v>0</v>
      </c>
      <c r="CM22" s="1165">
        <f t="array" ref="CM22">IFERROR(IF($CG22="SEGMENT",INDEX('Margin Guidence Table'!$A$1:$AC$10000,MATCH(1,('Margin Guidence Table'!$A$1:$A$10000=$CE22)*('Margin Guidence Table'!$H$1:$H$10000&lt;=ROUND($BW$3,0))*('Margin Guidence Table'!$G$1:$G$10000&gt;=ROUND($BW$3,0)),0),MATCH("PA_PCT_SALES",'Margin Guidence Table'!$A$1:$AC$1,0)),INDEX('Margin Guidence Table'!$A$1:$AC$10000,MATCH(1,('Margin Guidence Table'!$A$1:$A$10000=$CE22)*('Margin Guidence Table'!$H$1:$H$10000&lt;=ROUND($BW$3,0))*('Margin Guidence Table'!$G$1:$G$10000&gt;=ROUND($BW$3,0)),0),MATCH("DEFAULT_PA_PCT_SALES",'Margin Guidence Table'!$A$1:$AC$1,0))),0)</f>
        <v>0</v>
      </c>
      <c r="CN22" s="1165">
        <f t="array" ref="CN22">IFERROR(IF($CG22="SEGMENT",INDEX('Margin Guidence Table'!$A$1:$AC$10000,MATCH(1,('Margin Guidence Table'!$A$1:$A$10000=$CE22)*('Margin Guidence Table'!$H$1:$H$10000&lt;=ROUND($BW$3,0))*('Margin Guidence Table'!$G$1:$G$10000&gt;=ROUND($BW$3,0)),0),MATCH("SELF_FUND_PCT_SALES",'Margin Guidence Table'!$A$1:$AC$1,0)),INDEX('Margin Guidence Table'!$A$1:$AC$10000,MATCH(1,('Margin Guidence Table'!$A$1:$A$10000=$CE22)*('Margin Guidence Table'!$H$1:$H$10000&lt;=ROUND($BW$3,0))*('Margin Guidence Table'!$G$1:$G$10000&gt;=ROUND($BW$3,0)),0),MATCH("DEFAULT_SELF_FUND_PCT_SALES",'Margin Guidence Table'!$A$1:$AC$1,0))),0)</f>
        <v>0</v>
      </c>
      <c r="CO22" s="1165">
        <f t="array" ref="CO22">IFERROR(IF($CG22="SEGMENT",INDEX('Margin Guidence Table'!$A$1:$AC$10000,MATCH(1,('Margin Guidence Table'!$A$1:$A$10000=$CE22)*('Margin Guidence Table'!$H$1:$H$10000&lt;=ROUND($BW$3,0))*('Margin Guidence Table'!$G$1:$G$10000&gt;=ROUND($BW$3,0)),0),MATCH("CIA_MEDIAN_MARGIN_GUIDENCE",'Margin Guidence Table'!$A$1:$AC$1,0)),INDEX('Margin Guidence Table'!$A$1:$AC$10000,MATCH(1,('Margin Guidence Table'!$A$1:$A$10000=$CE22)*('Margin Guidence Table'!$H$1:$H$10000&lt;=ROUND($BW$3,0))*('Margin Guidence Table'!$G$1:$G$10000&gt;=ROUND($BW$3,0)),0),MATCH("DEFAULT_CIA_MEDIAN_MARGIN_GUIDENCE",'Margin Guidence Table'!$A$1:$AC$1,0))),0)</f>
        <v>0</v>
      </c>
      <c r="CP22" s="129"/>
      <c r="CQ22" s="18">
        <f t="array" ref="CQ22">IFERROR(IF($DC22="SEGMENT",INDEX('Margin Guidence Table'!$A$1:$AC$10000,MATCH(1,('Margin Guidence Table'!$A$1:$A$10000=$DA22)*('Margin Guidence Table'!$H$1:$H$10000&lt;=ROUND($CS$3,0))*('Margin Guidence Table'!$G$1:$G$10000&gt;=ROUND($CS$3,0)),0),MATCH("PCT_SALES",'Margin Guidence Table'!$A$1:$AC$1,0)),INDEX('Margin Guidence Table'!$A$1:$AC$10000,MATCH(1,('Margin Guidence Table'!$A$1:$A$10000=$DA22)*('Margin Guidence Table'!$H$1:$H$10000&lt;=ROUND($CS$3,0))*('Margin Guidence Table'!$G$1:$G$10000&gt;=ROUND($CS$3,0)),0),MATCH("DEFAULT_PCT_SALES",'Margin Guidence Table'!$A$1:$AC$1,0))),0)</f>
        <v>0</v>
      </c>
      <c r="CR22" s="102" t="s">
        <v>96</v>
      </c>
      <c r="CS22" s="94">
        <f>IFERROR(IF(AND($CS$2&lt;&gt;"Enter Spend&gt;&gt;&gt;",CT2="EXISTING"),SUMIFS('Existing Customers'!$Q:$Q,'Existing Customers'!$A:$A,$CS$1,'Existing Customers'!$H:$H,$CR22)*$CS$4,$CS$3*$CQ22),0)</f>
        <v>0</v>
      </c>
      <c r="CT22" s="89">
        <f>IFERROR(IF(AND($CS$2&lt;&gt;"Enter Spend&gt;&gt;&gt;",CT2="EXISTING"),SUMIFS('Existing Customers'!$N:$N,'Existing Customers'!$A:$A,$CS$1,'Existing Customers'!$H:$H,$CR22)*$CS$4,$CS22/$DD22),0)</f>
        <v>0</v>
      </c>
      <c r="CU22" s="95">
        <f>IFERROR(IF(AND($CS$2&lt;&gt;"Enter Spend&gt;&gt;&gt;",BB28="EXISTING"),SUMIFS('Existing Customers'!$O:$O,'Existing Customers'!$H:$H,$CR22,'Existing Customers'!$A:$A,$CS$1)*$CS$4,$CT22*$CS$8),0)</f>
        <v>0</v>
      </c>
      <c r="CV22" s="95">
        <f>IFERROR(IF(AND($CS$2&lt;&gt;"Enter Spend&gt;&gt;&gt;",CT2="EXISTING"),SUMIFS('Existing Customers'!$P:$P,'Existing Customers'!$A:$A,$CS$1,'Existing Customers'!$H:$H,$CR22)*$CS$4,$CS22/$DE22),0)</f>
        <v>0</v>
      </c>
      <c r="CW22" s="96">
        <f>IFERROR(IF(AND($CS$2&lt;&gt;"Enter Spend&gt;&gt;&gt;",CT2="EXISTING"),SUMIFS('Existing Customers'!$V:$V,'Existing Customers'!$H:$H,$CR22,'Existing Customers'!$A:$A,$CS$1)*$CS$4,0),0)</f>
        <v>0</v>
      </c>
      <c r="CX22" s="96">
        <f>IFERROR(IF(AND($CS$2&lt;&gt;"Enter Spend&gt;&gt;&gt;",CT2="EXISTING"),SUMIFS('Existing Customers'!$R:$R,'Existing Customers'!$H:$H,$AZ22,'Existing Customers'!$A:$A,$CS$1)*$CS$4,0),0)</f>
        <v>0</v>
      </c>
      <c r="CY22" s="1161">
        <f>IFERROR(IF(AND($CS$2&lt;&gt;"Enter Spend&gt;&gt;&gt;",CT2="EXISTING"),SUMIFS('Existing Customers'!$S:$S,'Existing Customers'!$H:$H,$CR22,'Existing Customers'!$A:$A,$CS$1),DI22*CS22),0)</f>
        <v>0</v>
      </c>
      <c r="CZ22" s="1161">
        <f>IFERROR(IF(AND($CS$2&lt;&gt;"Enter Spend&gt;&gt;&gt;",CT2="EXISTING"),SUMIFS('Existing Customers'!$U:$U,'Existing Customers'!$H:$H,$CR22,'Existing Customers'!$A:$A,$CS$1),DJ22*CS22),0)</f>
        <v>0</v>
      </c>
      <c r="DA22" s="1164" t="e">
        <f t="shared" si="28"/>
        <v>#N/A</v>
      </c>
      <c r="DB22" s="1164">
        <f t="array" ref="DB22">IFERROR(INDEX('Margin Guidence Table'!$A$1:$AD$30000,MATCH(1,('Margin Guidence Table'!$A$1:$A$10000=DA22)*('Margin Guidence Table'!$H$1:$H$10000&lt;=ROUND($CS$3,0))*('Margin Guidence Table'!$G$1:$G$10000&gt;=ROUND($CS$3,0)),0),MATCH("DATA_POINTS",'Margin Guidence Table'!$A$1:$AC$1,0)),0)</f>
        <v>0</v>
      </c>
      <c r="DC22" s="1161" t="str">
        <f t="shared" si="29"/>
        <v>DEFAULT</v>
      </c>
      <c r="DD22" s="1161">
        <f t="array" ref="DD22">IFERROR(IF($DC22="SEGMENT",INDEX('Margin Guidence Table'!$A$1:$AC$10000,MATCH(1,('Margin Guidence Table'!$A$1:$A$10000=DA22)*('Margin Guidence Table'!$H$1:$H$10000&lt;=ROUND($CS$3,0))*('Margin Guidence Table'!$G$1:$G$10000&gt;=ROUND($CS$3,0)),0),MATCH("SALES_CASE",'Margin Guidence Table'!$A$1:$AC$1,0)),INDEX('Margin Guidence Table'!$A$1:$AC$10000,MATCH(1,('Margin Guidence Table'!$A$1:$A$10000=DA22)*('Margin Guidence Table'!$H$1:$H$10000&lt;=ROUND($CS$3,0))*('Margin Guidence Table'!$G$1:$G$10000&gt;=ROUND($CS$3,0)),0),MATCH("DEFAULT_SALES_CASE",'Margin Guidence Table'!$A$1:$AC$1,0))),0)</f>
        <v>0</v>
      </c>
      <c r="DE22" s="1161">
        <f t="array" ref="DE22">IFERROR(IF($DC22="SEGMENT",INDEX('Margin Guidence Table'!$A$1:$AC$10000,MATCH(1,('Margin Guidence Table'!$A$1:$A$10000=DA22)*('Margin Guidence Table'!$H$1:$H$10000&lt;=ROUND($CS$3,0))*('Margin Guidence Table'!$G$1:$G$10000&gt;=ROUND($CS$3,0)),0),MATCH("SALES_LBS",'Margin Guidence Table'!$A$1:$AC$1,0)),INDEX('Margin Guidence Table'!$A$1:$AC$10000,MATCH(1,('Margin Guidence Table'!$A$1:$A$10000=DA22)*('Margin Guidence Table'!$H$1:$H$10000&lt;=ROUND($CS$3,0))*('Margin Guidence Table'!$G$1:$G$10000&gt;=ROUND($CS$3,0)),0),MATCH("DEFAULT_SALES_LBS",'Margin Guidence Table'!$A$1:$AC$1,0))),0)</f>
        <v>0</v>
      </c>
      <c r="DF22" s="1165">
        <f t="array" ref="DF22">IFERROR(IF($DC22="SEGMENT",INDEX('Margin Guidence Table'!$A$1:$AC$10000,MATCH(1,('Margin Guidence Table'!$A$1:$A$10000=DA22)*('Margin Guidence Table'!$H$1:$H$10000&lt;=ROUND($CS$3,0))*('Margin Guidence Table'!$G$1:$G$10000&gt;=ROUND($CS$3,0)),0),MATCH("MDA_MIN_MARGIN_GUIDENCE",'Margin Guidence Table'!$A$1:$AC$1,0)),INDEX('Margin Guidence Table'!$A$1:$AC$10000,MATCH(1,('Margin Guidence Table'!$A$1:$A$10000=DA22)*('Margin Guidence Table'!$H$1:$H$10000&lt;=ROUND($CS$3,0))*('Margin Guidence Table'!$G$1:$G$10000&gt;=ROUND($CS$3,0)),0),MATCH("DEFAULT_MDA_MIN_MARGIN_GUIDENCE",'Margin Guidence Table'!$A$1:$AC$1,0))),0)</f>
        <v>0</v>
      </c>
      <c r="DG22" s="1165">
        <f t="array" ref="DG22">IFERROR(IF($DC22="SEGMENT",INDEX('Margin Guidence Table'!$A$1:$AC$10000,MATCH(1,('Margin Guidence Table'!$A$1:$A$10000=DA22)*('Margin Guidence Table'!$H$1:$H$10000&lt;=ROUND($CS$3,0))*('Margin Guidence Table'!$G$1:$G$10000&gt;=ROUND($CS$3,0)),0),MATCH("MDA_MEDIAN_MARGIN_GUIDENCE",'Margin Guidence Table'!$A$1:$AC$1,0)),INDEX('Margin Guidence Table'!$A$1:$AC$10000,MATCH(1,('Margin Guidence Table'!$A$1:$A$10000=DA22)*('Margin Guidence Table'!$H$1:$H$10000&lt;=ROUND($CS$3,0))*('Margin Guidence Table'!$G$1:$G$10000&gt;=ROUND($CS$3,0)),0),MATCH("DEFAULT_MDA_MEDIAN_MARGIN_GUIDENCE",'Margin Guidence Table'!$A$1:$AC$1,0))),0)</f>
        <v>0</v>
      </c>
      <c r="DH22" s="1165">
        <f t="array" ref="DH22">IFERROR(IF($DC22="SEGMENT",INDEX('Margin Guidence Table'!$A$1:$AC$10000,MATCH(1,('Margin Guidence Table'!$A$1:$A$10000=DA22)*('Margin Guidence Table'!$H$1:$H$10000&lt;=ROUND($CS$3,0))*('Margin Guidence Table'!$G$1:$G$10000&gt;=ROUND($CS$3,0)),0),MATCH("MDA_MAX_MARGIN_GUIDENCE",'Margin Guidence Table'!$A$1:$AC$1,0)),INDEX('Margin Guidence Table'!$A$1:$AC$10000,MATCH(1,('Margin Guidence Table'!$A$1:$A$10000=DA22)*('Margin Guidence Table'!$H$1:$H$10000&lt;=ROUND($CS$3,0))*('Margin Guidence Table'!$G$1:$G$10000&gt;=ROUND($CS$3,0)),0),MATCH("DEFAULT_MDA_MAX_MARGIN_GUIDENCE",'Margin Guidence Table'!$A$1:$AC$1,0))),0)</f>
        <v>0</v>
      </c>
      <c r="DI22" s="1165">
        <f t="array" ref="DI22">IFERROR(IF($DC22="SEGMENT",INDEX('Margin Guidence Table'!$A$1:$AC$10000,MATCH(1,('Margin Guidence Table'!$A$1:$A$10000=DA22)*('Margin Guidence Table'!$H$1:$H$10000&lt;=ROUND($CS$3,0))*('Margin Guidence Table'!$G$1:$G$10000&gt;=ROUND($CS$3,0)),0),MATCH("PA_PCT_SALES",'Margin Guidence Table'!$A$1:$AC$1,0)),INDEX('Margin Guidence Table'!$A$1:$AC$10000,MATCH(1,('Margin Guidence Table'!$A$1:$A$10000=DA22)*('Margin Guidence Table'!$H$1:$H$10000&lt;=ROUND($CS$3,0))*('Margin Guidence Table'!$G$1:$G$10000&gt;=ROUND($CS$3,0)),0),MATCH("DEFAULT_PA_PCT_SALES",'Margin Guidence Table'!$A$1:$AC$1,0))),0)</f>
        <v>0</v>
      </c>
      <c r="DJ22" s="1165">
        <f t="array" ref="DJ22">IFERROR(IF($DC22="SEGMENT",INDEX('Margin Guidence Table'!$A$1:$AC$10000,MATCH(1,('Margin Guidence Table'!$A$1:$A$10000=DA22)*('Margin Guidence Table'!$H$1:$H$10000&lt;=ROUND($CS$3,0))*('Margin Guidence Table'!$G$1:$G$10000&gt;=ROUND($CS$3,0)),0),MATCH("SELF_FUND_PCT_SALES",'Margin Guidence Table'!$A$1:$AC$1,0)),INDEX('Margin Guidence Table'!$A$1:$AC$10000,MATCH(1,('Margin Guidence Table'!$A$1:$A$10000=DA22)*('Margin Guidence Table'!$H$1:$H$10000&lt;=ROUND($CS$3,0))*('Margin Guidence Table'!$G$1:$G$10000&gt;=ROUND($CS$3,0)),0),MATCH("DEFAULT_SELF_FUND_PCT_SALES",'Margin Guidence Table'!$A$1:$AC$1,0))),0)</f>
        <v>0</v>
      </c>
      <c r="DK22" s="1165">
        <f t="array" ref="DK22">IFERROR(IF($DC22="SEGMENT",INDEX('Margin Guidence Table'!$A$1:$AC$10000,MATCH(1,('Margin Guidence Table'!$A$1:$A$10000=DA22)*('Margin Guidence Table'!$H$1:$H$10000&lt;=ROUND($CS$3,0))*('Margin Guidence Table'!$G$1:$G$10000&gt;=ROUND($CS$3,0)),0),MATCH("CIA_MEDIAN_MARGIN_GUIDENCE",'Margin Guidence Table'!$A$1:$AC$1,0)),INDEX('Margin Guidence Table'!$A$1:$AC$10000,MATCH(1,('Margin Guidence Table'!$A$1:$A$10000=DA22)*('Margin Guidence Table'!$H$1:$H$10000&lt;=ROUND($CS$3,0))*('Margin Guidence Table'!$G$1:$G$10000&gt;=ROUND($CS$3,0)),0),MATCH("DEFAULT_CIA_MEDIAN_MARGIN_GUIDENCE",'Margin Guidence Table'!$A$1:$AC$1,0))),0)</f>
        <v>0</v>
      </c>
      <c r="DL22" s="129"/>
      <c r="DM22" s="18">
        <f t="array" ref="DM22">IFERROR(IF($DY22="SEGMENT",INDEX('Margin Guidence Table'!$A$1:$AC$10000,MATCH(1,('Margin Guidence Table'!$A$1:$A$10000=$DW22)*('Margin Guidence Table'!$H$1:$H$10000&lt;=ROUND($DO$3,0))*('Margin Guidence Table'!$G$1:$G$10000&gt;=ROUND($DO$3,0)),0),MATCH("PCT_SALES",'Margin Guidence Table'!$A$1:$AC$1,0)),INDEX('Margin Guidence Table'!$A$1:$AC$10000,MATCH(1,('Margin Guidence Table'!$A$1:$A$10000=$DW22)*('Margin Guidence Table'!$H$1:$H$10000&lt;=ROUND($DO$3,0))*('Margin Guidence Table'!$G$1:$G$10000&gt;=ROUND($DO$3,0)),0),MATCH("DEFAULT_PCT_SALES",'Margin Guidence Table'!$A$1:$AC$1,0))),0)</f>
        <v>0</v>
      </c>
      <c r="DN22" s="102" t="s">
        <v>96</v>
      </c>
      <c r="DO22" s="94">
        <f>IFERROR(IF(AND($DO$2&lt;&gt;"Enter Spend&gt;&gt;&gt;",DP2="EXISTING"),SUMIFS('Existing Customers'!$Q:$Q,'Existing Customers'!$A:$A,$DO$1,'Existing Customers'!$H:$H,$DN22)*$DO$4,$DO$3*$DM22),0)</f>
        <v>0</v>
      </c>
      <c r="DP22" s="89">
        <f>IFERROR(IF(AND($DO$2&lt;&gt;"Enter Spend&gt;&gt;&gt;",DP2="EXISTING"),SUMIFS('Existing Customers'!$N:$N,'Existing Customers'!$A:$A,$DO$1,'Existing Customers'!$H:$H,$DN22)*$DO$4,$DO22/$DZ22),0)</f>
        <v>0</v>
      </c>
      <c r="DQ22" s="95">
        <f>IFERROR(IF(AND($DO$2&lt;&gt;"Enter Spend&gt;&gt;&gt;",DP2="EXISTING"),SUMIFS('Existing Customers'!$O:$O,'Existing Customers'!$H:$H,$DN22,'Existing Customers'!$A:$A,$DO$1)*$DO$4,$DP22*$DO$8),0)</f>
        <v>0</v>
      </c>
      <c r="DR22" s="95">
        <f>IFERROR(IF(AND($DO$2&lt;&gt;"Enter Spend&gt;&gt;&gt;",DP2="EXISTING"),SUMIFS('Existing Customers'!$P:$P,'Existing Customers'!$A:$A,$DO$1,'Existing Customers'!$H:$H,$DN22)*$DO$4,$DO22/$EA22),0)</f>
        <v>0</v>
      </c>
      <c r="DS22" s="96">
        <f>IFERROR(IF(AND($DO$2&lt;&gt;"Enter Spend&gt;&gt;&gt;",EL2="EXISTING"),SUMIFS('Existing Customers'!$V:$V,'Existing Customers'!$H:$H,$DN22,'Existing Customers'!$A:$A,$DO$1)*$DO$4,0),0)</f>
        <v>0</v>
      </c>
      <c r="DT22" s="96">
        <f>IFERROR(IF(AND($DO$2&lt;&gt;"Enter Spend&gt;&gt;&gt;",DP2="EXISTING"),SUMIFS('Existing Customers'!$R:$R,'Existing Customers'!$H:$H,$DN22,'Existing Customers'!$A:$A,$DO$1)*$DO$4,0),0)</f>
        <v>0</v>
      </c>
      <c r="DU22" s="1161">
        <f>IFERROR(IF(AND($DO$2&lt;&gt;"Enter Spend&gt;&gt;&gt;",DP2="EXISTING"),SUMIFS('Existing Customers'!$S:$S,'Existing Customers'!$H:$H,$DP22,'Existing Customers'!$A:$A,$DO$1),EE22*DO22),0)</f>
        <v>0</v>
      </c>
      <c r="DV22" s="1161">
        <f>IFERROR(IF(AND($DO$2&lt;&gt;"Enter Spend&gt;&gt;&gt;",DP2="EXISTING"),SUMIFS('Existing Customers'!$U:$U,'Existing Customers'!$H:$H,$DN22,'Existing Customers'!$A:$A,$DO$1),EF22*DO22),0)</f>
        <v>0</v>
      </c>
      <c r="DW22" s="1164" t="e">
        <f t="shared" si="30"/>
        <v>#N/A</v>
      </c>
      <c r="DX22" s="1164">
        <f t="array" ref="DX22">IFERROR(INDEX('Margin Guidence Table'!$A$1:$AD$30000,MATCH(1,('Margin Guidence Table'!$A$1:$A$10000=DW22)*('Margin Guidence Table'!$H$1:$H$10000&lt;=ROUND($DO$3,0))*('Margin Guidence Table'!$G$1:$G$10000&gt;=ROUND($DO$3,0)),0),MATCH("DATA_POINTS",'Margin Guidence Table'!$A$1:$AC$1,0)),0)</f>
        <v>0</v>
      </c>
      <c r="DY22" s="1161" t="str">
        <f t="shared" si="31"/>
        <v>DEFAULT</v>
      </c>
      <c r="DZ22" s="1161">
        <f t="array" ref="DZ22">IFERROR(IF($DY22="SEGMENT",INDEX('Margin Guidence Table'!$A$1:$AC$10000,MATCH(1,('Margin Guidence Table'!$A$1:$A$10000=DW22)*('Margin Guidence Table'!$H$1:$H$10000&lt;=ROUND($DO$3,0))*('Margin Guidence Table'!$G$1:$G$10000&gt;=ROUND($DO$3,0)),0),MATCH("SALES_CASE",'Margin Guidence Table'!$A$1:$AC$1,0)),INDEX('Margin Guidence Table'!$A$1:$AC$10000,MATCH(1,('Margin Guidence Table'!$A$1:$A$10000=DW22)*('Margin Guidence Table'!$H$1:$H$10000&lt;=ROUND($DO$3,0))*('Margin Guidence Table'!$G$1:$G$10000&gt;=ROUND($DO$3,0)),0),MATCH("DEFAULT_SALES_CASE",'Margin Guidence Table'!$A$1:$AC$1,0))),0)</f>
        <v>0</v>
      </c>
      <c r="EA22" s="1161">
        <f t="array" ref="EA22">IFERROR(IF($DY22="SEGMENT",INDEX('Margin Guidence Table'!$A$1:$AC$10000,MATCH(1,('Margin Guidence Table'!$A$1:$A$10000=DW22)*('Margin Guidence Table'!$H$1:$H$10000&lt;=ROUND($DO$3,0))*('Margin Guidence Table'!$G$1:$G$10000&gt;=ROUND($DO$3,0)),0),MATCH("SALES_LBS",'Margin Guidence Table'!$A$1:$AC$1,0)),INDEX('Margin Guidence Table'!$A$1:$AC$10000,MATCH(1,('Margin Guidence Table'!$A$1:$A$10000=DW22)*('Margin Guidence Table'!$H$1:$H$10000&lt;=ROUND($DO$3,0))*('Margin Guidence Table'!$G$1:$G$10000&gt;=ROUND($DO$3,0)),0),MATCH("DEFAULT_SALES_LBS",'Margin Guidence Table'!$A$1:$AC$1,0))),0)</f>
        <v>0</v>
      </c>
      <c r="EB22" s="1165">
        <f t="array" ref="EB22">IFERROR(IF($DY22="SEGMENT",INDEX('Margin Guidence Table'!$A$1:$AC$10000,MATCH(1,('Margin Guidence Table'!$A$1:$A$10000=DW22)*('Margin Guidence Table'!$H$1:$H$10000&lt;=ROUND($DO$3,0))*('Margin Guidence Table'!$G$1:$G$10000&gt;=ROUND($DO$3,0)),0),MATCH("MDA_MIN_MARGIN_GUIDENCE",'Margin Guidence Table'!$A$1:$AC$1,0)),INDEX('Margin Guidence Table'!$A$1:$AC$10000,MATCH(1,('Margin Guidence Table'!$A$1:$A$10000=DW22)*('Margin Guidence Table'!$H$1:$H$10000&lt;=ROUND($DO$3,0))*('Margin Guidence Table'!$G$1:$G$10000&gt;=ROUND($DO$3,0)),0),MATCH("DEFAULT_MDA_MIN_MARGIN_GUIDENCE",'Margin Guidence Table'!$A$1:$AC$1,0))),0)</f>
        <v>0</v>
      </c>
      <c r="EC22" s="1165">
        <f t="array" ref="EC22">IFERROR(IF($DY22="SEGMENT",INDEX('Margin Guidence Table'!$A$1:$AC$10000,MATCH(1,('Margin Guidence Table'!$A$1:$A$10000=DW22)*('Margin Guidence Table'!$H$1:$H$10000&lt;=ROUND($DO$3,0))*('Margin Guidence Table'!$G$1:$G$10000&gt;=ROUND($DO$3,0)),0),MATCH("MDA_MEDIAN_MARGIN_GUIDENCE",'Margin Guidence Table'!$A$1:$AC$1,0)),INDEX('Margin Guidence Table'!$A$1:$AC$10000,MATCH(1,('Margin Guidence Table'!$A$1:$A$10000=DW22)*('Margin Guidence Table'!$H$1:$H$10000&lt;=ROUND($DO$3,0))*('Margin Guidence Table'!$G$1:$G$10000&gt;=ROUND($DO$3,0)),0),MATCH("DEFAULT_MDA_MEDIAN_MARGIN_GUIDENCE",'Margin Guidence Table'!$A$1:$AC$1,0))),0)</f>
        <v>0</v>
      </c>
      <c r="ED22" s="1165">
        <f t="array" ref="ED22">IFERROR(IF($DY22="SEGMENT",INDEX('Margin Guidence Table'!$A$1:$AC$10000,MATCH(1,('Margin Guidence Table'!$A$1:$A$10000=DW22)*('Margin Guidence Table'!$H$1:$H$10000&lt;=ROUND($DO$3,0))*('Margin Guidence Table'!$G$1:$G$10000&gt;=ROUND($DO$3,0)),0),MATCH("MDA_MAX_MARGIN_GUIDENCE",'Margin Guidence Table'!$A$1:$AC$1,0)),INDEX('Margin Guidence Table'!$A$1:$AC$10000,MATCH(1,('Margin Guidence Table'!$A$1:$A$10000=DW22)*('Margin Guidence Table'!$H$1:$H$10000&lt;=ROUND($DO$3,0))*('Margin Guidence Table'!$G$1:$G$10000&gt;=ROUND($DO$3,0)),0),MATCH("DEFAULT_MDA_MAX_MARGIN_GUIDENCE",'Margin Guidence Table'!$A$1:$AC$1,0))),0)</f>
        <v>0</v>
      </c>
      <c r="EE22" s="1165">
        <f t="array" ref="EE22">IFERROR(IF($DY22="SEGMENT",INDEX('Margin Guidence Table'!$A$1:$AC$10000,MATCH(1,('Margin Guidence Table'!$A$1:$A$10000=DW22)*('Margin Guidence Table'!$H$1:$H$10000&lt;=ROUND($DO$3,0))*('Margin Guidence Table'!$G$1:$G$10000&gt;=ROUND($DO$3,0)),0),MATCH("PA_PCT_SALES",'Margin Guidence Table'!$A$1:$AC$1,0)),INDEX('Margin Guidence Table'!$A$1:$AC$10000,MATCH(1,('Margin Guidence Table'!$A$1:$A$10000=DW22)*('Margin Guidence Table'!$H$1:$H$10000&lt;=ROUND($DO$3,0))*('Margin Guidence Table'!$G$1:$G$10000&gt;=ROUND($DO$3,0)),0),MATCH("DEFAULT_PA_PCT_SALES",'Margin Guidence Table'!$A$1:$AC$1,0))),0)</f>
        <v>0</v>
      </c>
      <c r="EF22" s="1165">
        <f t="array" ref="EF22">IFERROR(IF($DY22="SEGMENT",INDEX('Margin Guidence Table'!$A$1:$AC$10000,MATCH(1,('Margin Guidence Table'!$A$1:$A$10000=DW22)*('Margin Guidence Table'!$H$1:$H$10000&lt;=ROUND($DO$3,0))*('Margin Guidence Table'!$G$1:$G$10000&gt;=ROUND($DO$3,0)),0),MATCH("SELF_FUND_PCT_SALES",'Margin Guidence Table'!$A$1:$AC$1,0)),INDEX('Margin Guidence Table'!$A$1:$AC$10000,MATCH(1,('Margin Guidence Table'!$A$1:$A$10000=DW22)*('Margin Guidence Table'!$H$1:$H$10000&lt;=ROUND($DO$3,0))*('Margin Guidence Table'!$G$1:$G$10000&gt;=ROUND($DO$3,0)),0),MATCH("DEFAULT_SELF_FUND_PCT_SALES",'Margin Guidence Table'!$A$1:$AC$1,0))),0)</f>
        <v>0</v>
      </c>
      <c r="EG22" s="1165">
        <f t="array" ref="EG22">IFERROR(IF($DY22="SEGMENT",INDEX('Margin Guidence Table'!$A$1:$AC$10000,MATCH(1,('Margin Guidence Table'!$A$1:$A$10000=DW22)*('Margin Guidence Table'!$H$1:$H$10000&lt;=ROUND($DO$3,0))*('Margin Guidence Table'!$G$1:$G$10000&gt;=ROUND($DO$3,0)),0),MATCH("CIA_MEDIAN_MARGIN_GUIDENCE",'Margin Guidence Table'!$A$1:$AC$1,0)),INDEX('Margin Guidence Table'!$A$1:$AC$10000,MATCH(1,('Margin Guidence Table'!$A$1:$A$10000=DW22)*('Margin Guidence Table'!$H$1:$H$10000&lt;=ROUND($DO$3,0))*('Margin Guidence Table'!$G$1:$G$10000&gt;=ROUND($DO$3,0)),0),MATCH("DEFAULT_CIA_MEDIAN_MARGIN_GUIDENCE",'Margin Guidence Table'!$A$1:$AC$1,0))),0)</f>
        <v>0</v>
      </c>
      <c r="EH22" s="129"/>
      <c r="EI22" s="18">
        <f t="array" ref="EI22">IFERROR(IF($EU22="SEGMENT",INDEX('Margin Guidence Table'!$A$1:$AC$10000,MATCH(1,('Margin Guidence Table'!$A$1:$A$10000=$ES22)*('Margin Guidence Table'!$H$1:$H$10000&lt;=ROUND($EK$3,0))*('Margin Guidence Table'!$G$1:$G$10000&gt;=ROUND($EK$3,0)),0),MATCH("PCT_SALES",'Margin Guidence Table'!$A$1:$AC$1,0)),INDEX('Margin Guidence Table'!$A$1:$AC$10000,MATCH(1,('Margin Guidence Table'!$A$1:$A$10000=$ES22)*('Margin Guidence Table'!$H$1:$H$10000&lt;=ROUND($EK$3,0))*('Margin Guidence Table'!$G$1:$G$10000&gt;=ROUND($EK$3,0)),0),MATCH("DEFAULT_PCT_SALES",'Margin Guidence Table'!$A$1:$AC$1,0))),0)</f>
        <v>0</v>
      </c>
      <c r="EJ22" s="102" t="s">
        <v>96</v>
      </c>
      <c r="EK22" s="94">
        <f>IFERROR(IF(AND($EK$2&lt;&gt;"Enter Spend&gt;&gt;&gt;",EL2="EXISTING"),SUMIFS('Existing Customers'!$Q:$Q,'Existing Customers'!$A:$A,$EK$1,'Existing Customers'!$H:$H,$EJ22)*$EK$4,$EK$3*$EI22),0)</f>
        <v>0</v>
      </c>
      <c r="EL22" s="89">
        <f>IFERROR(IF(AND($EK$2&lt;&gt;"Enter Spend&gt;&gt;&gt;",EL2="EXISTING"),SUMIFS('Existing Customers'!$N:$N,'Existing Customers'!$A:$A,$EK$1,'Existing Customers'!$H:$H,$EJ22)*$EK$4,$EK22/$EV22),0)</f>
        <v>0</v>
      </c>
      <c r="EM22" s="95">
        <f>IFERROR(IF(AND($EK$2&lt;&gt;"Enter Spend&gt;&gt;&gt;",EL2="EXISTING"),SUMIFS('Existing Customers'!$O:$O,'Existing Customers'!$H:$H,$EJ22,'Existing Customers'!$A:$A,$EK$1)*$EK$4,$EL22*$EK$8),0)</f>
        <v>0</v>
      </c>
      <c r="EN22" s="95">
        <f>IFERROR(IF(AND($EK$2&lt;&gt;"Enter Spend&gt;&gt;&gt;",EL2="EXISTING"),SUMIFS('Existing Customers'!$P:$P,'Existing Customers'!$A:$A,$EK$1,'Existing Customers'!$H:$H,$EJ22)*$EK$4,$EK22/$EW22),0)</f>
        <v>0</v>
      </c>
      <c r="EO22" s="96">
        <f>IFERROR(IF(AND($EK$2&lt;&gt;"Enter Spend&gt;&gt;&gt;",EL2="EXISTING"),SUMIFS('Existing Customers'!$V:$V,'Existing Customers'!$H:$H,$EJ22,'Existing Customers'!$A:$A,$EK$1)*$EK$4,0),0)</f>
        <v>0</v>
      </c>
      <c r="EP22" s="96">
        <f>IFERROR(IF(AND($EK$2&lt;&gt;"Enter Spend&gt;&gt;&gt;",EL2="EXISTING"),SUMIFS('Existing Customers'!$R:$R,'Existing Customers'!$H:$H,$EJ22,'Existing Customers'!$A:$A,$EK$1)*$EK$4,0),0)</f>
        <v>0</v>
      </c>
      <c r="EQ22" s="1161">
        <f>IFERROR(IF(AND($EK$2&lt;&gt;"Enter Spend&gt;&gt;&gt;",EL2="EXISTING"),SUMIFS('Existing Customers'!$S:$S,'Existing Customers'!$H:$H,$EJ22,'Existing Customers'!$A:$A,$EK$1),FA22*EK22),0)</f>
        <v>0</v>
      </c>
      <c r="ER22" s="1161">
        <f>IFERROR(IF(AND($EK$2&lt;&gt;"Enter Spend&gt;&gt;&gt;",EL2="EXISTING"),SUMIFS('Existing Customers'!$U:$U,'Existing Customers'!$H:$H,$EJ22,'Existing Customers'!$A:$A,$EK$1),FB22*EK22),0)</f>
        <v>0</v>
      </c>
      <c r="ES22" s="1164" t="e">
        <f t="shared" si="32"/>
        <v>#N/A</v>
      </c>
      <c r="ET22" s="1164">
        <f t="array" ref="ET22">IFERROR(INDEX('Margin Guidence Table'!$A$1:$AD$30000,MATCH(1,('Margin Guidence Table'!$A$1:$A$10000=ES22)*('Margin Guidence Table'!$H$1:$H$10000&lt;=ROUND($EK$3,0))*('Margin Guidence Table'!$G$1:$G$10000&gt;=ROUND($EK$3,0)),0),MATCH("DATA_POINTS",'Margin Guidence Table'!$A$1:$AC$1,0)),0)</f>
        <v>0</v>
      </c>
      <c r="EU22" s="1161" t="str">
        <f t="shared" si="33"/>
        <v>DEFAULT</v>
      </c>
      <c r="EV22" s="1161">
        <f t="array" ref="EV22">IFERROR(IF($EU22="SEGMENT",INDEX('Margin Guidence Table'!$A$1:$AC$10000,MATCH(1,('Margin Guidence Table'!$A$1:$A$10000=ES22)*('Margin Guidence Table'!$H$1:$H$10000&lt;=ROUND($EK$3,0))*('Margin Guidence Table'!$G$1:$G$10000&gt;=ROUND($EK$3,0)),0),MATCH("SALES_CASE",'Margin Guidence Table'!$A$1:$AC$1,0)),INDEX('Margin Guidence Table'!$A$1:$AC$10000,MATCH(1,('Margin Guidence Table'!$A$1:$A$10000=ES22)*('Margin Guidence Table'!$H$1:$H$10000&lt;=ROUND($EK$3,0))*('Margin Guidence Table'!$G$1:$G$10000&gt;=ROUND($EK$3,0)),0),MATCH("DEFAULT_SALES_CASE",'Margin Guidence Table'!$A$1:$AC$1,0))),0)</f>
        <v>0</v>
      </c>
      <c r="EW22" s="1161" cm="1">
        <f t="array" ref="EW22">IFERROR(IF($EU22="SEGMENT",INDEX('Margin Guidence Table'!$A$1:$AC$10000,MATCH(1,('Margin Guidence Table'!$A$1:$A$10000=ES22)*('Margin Guidence Table'!$H$1:$H$10000&lt;=ROUND($EK$3,0))*('Margin Guidence Table'!$G$1:$G$10000&gt;=ROUND($EK$3,0)),0),MATCH("SALES_LBS",'Margin Guidence Table'!$A$1:$AC$1,0)),INDEX('Margin Guidence Table'!$A$1:$AC$10000,MATCH(1,('Margin Guidence Table'!$A$1:$A$10000=ES22)*('Margin Guidence Table'!$H$1:$H$10000&lt;=ROUND($EK$3,0))*('Margin Guidence Table'!$G$1:$G$10000&gt;=ROUND($EK$3,0)),0),MATCH("DEFAULT_SALES_LBS",'Margin Guidence Table'!$A$1:$AC$1,0))),0)</f>
        <v>0</v>
      </c>
      <c r="EX22" s="1165">
        <f t="array" ref="EX22">IFERROR(IF($EU22="SEGMENT",INDEX('Margin Guidence Table'!$A$1:$AC$10000,MATCH(1,('Margin Guidence Table'!$A$1:$A$10000=ES22)*('Margin Guidence Table'!$H$1:$H$10000&lt;=ROUND($EK$3,0))*('Margin Guidence Table'!$G$1:$G$10000&gt;=ROUND($EK$3,0)),0),MATCH("MDA_MIN_MARGIN_GUIDENCE",'Margin Guidence Table'!$A$1:$AC$1,0)),INDEX('Margin Guidence Table'!$A$1:$AC$10000,MATCH(1,('Margin Guidence Table'!$A$1:$A$10000=ES22)*('Margin Guidence Table'!$H$1:$H$10000&lt;=ROUND($EK$3,0))*('Margin Guidence Table'!$G$1:$G$10000&gt;=ROUND($EK$3,0)),0),MATCH("DEFAULT_MDA_MIN_MARGIN_GUIDENCE",'Margin Guidence Table'!$A$1:$AC$1,0))),0)</f>
        <v>0</v>
      </c>
      <c r="EY22" s="1165">
        <f t="array" ref="EY22">IFERROR(IF($EU22="SEGMENT",INDEX('Margin Guidence Table'!$A$1:$AC$10000,MATCH(1,('Margin Guidence Table'!$A$1:$A$10000=ES22)*('Margin Guidence Table'!$H$1:$H$10000&lt;=ROUND($EK$3,0))*('Margin Guidence Table'!$G$1:$G$10000&gt;=ROUND($EK$3,0)),0),MATCH("MDA_MEDIAN_MARGIN_GUIDENCE",'Margin Guidence Table'!$A$1:$AC$1,0)),INDEX('Margin Guidence Table'!$A$1:$AC$10000,MATCH(1,('Margin Guidence Table'!$A$1:$A$10000=ES22)*('Margin Guidence Table'!$H$1:$H$10000&lt;=ROUND($EK$3,0))*('Margin Guidence Table'!$G$1:$G$10000&gt;=ROUND($EK$3,0)),0),MATCH("DEFAULT_MDA_MEDIAN_MARGIN_GUIDENCE",'Margin Guidence Table'!$A$1:$AC$1,0))),0)</f>
        <v>0</v>
      </c>
      <c r="EZ22" s="1165">
        <f t="array" ref="EZ22">IFERROR(IF($EU22="SEGMENT",INDEX('Margin Guidence Table'!$A$1:$AC$10000,MATCH(1,('Margin Guidence Table'!$A$1:$A$10000=ES22)*('Margin Guidence Table'!$H$1:$H$10000&lt;=ROUND($EK$3,0))*('Margin Guidence Table'!$G$1:$G$10000&gt;=ROUND($EK$3,0)),0),MATCH("MDA_MAX_MARGIN_GUIDENCE",'Margin Guidence Table'!$A$1:$AC$1,0)),INDEX('Margin Guidence Table'!$A$1:$AC$10000,MATCH(1,('Margin Guidence Table'!$A$1:$A$10000=ES22)*('Margin Guidence Table'!$H$1:$H$10000&lt;=ROUND($EK$3,0))*('Margin Guidence Table'!$G$1:$G$10000&gt;=ROUND($EK$3,0)),0),MATCH("DEFAULT_MDA_MAX_MARGIN_GUIDENCE",'Margin Guidence Table'!$A$1:$AC$1,0))),0)</f>
        <v>0</v>
      </c>
      <c r="FA22" s="1165">
        <f t="array" ref="FA22">IFERROR(IF($EU22="SEGMENT",INDEX('Margin Guidence Table'!$A$1:$AC$10000,MATCH(1,('Margin Guidence Table'!$A$1:$A$10000=ES22)*('Margin Guidence Table'!$H$1:$H$10000&lt;=ROUND($EK$3,0))*('Margin Guidence Table'!$G$1:$G$10000&gt;=ROUND($EK$3,0)),0),MATCH("PA_PCT_SALES",'Margin Guidence Table'!$A$1:$AC$1,0)),INDEX('Margin Guidence Table'!$A$1:$AC$10000,MATCH(1,('Margin Guidence Table'!$A$1:$A$10000=ES22)*('Margin Guidence Table'!$H$1:$H$10000&lt;=ROUND($EK$3,0))*('Margin Guidence Table'!$G$1:$G$10000&gt;=ROUND($EK$3,0)),0),MATCH("DEFAULT_PA_PCT_SALES",'Margin Guidence Table'!$A$1:$AC$1,0))),0)</f>
        <v>0</v>
      </c>
      <c r="FB22" s="1165">
        <f t="array" ref="FB22">IFERROR(IF($EU22="SEGMENT",INDEX('Margin Guidence Table'!$A$1:$AC$10000,MATCH(1,('Margin Guidence Table'!$A$1:$A$10000=ES22)*('Margin Guidence Table'!$H$1:$H$10000&lt;=ROUND($EK$3,0))*('Margin Guidence Table'!$G$1:$G$10000&gt;=ROUND($EK$3,0)),0),MATCH("SELF_FUND_PCT_SALES",'Margin Guidence Table'!$A$1:$AC$1,0)),INDEX('Margin Guidence Table'!$A$1:$AC$10000,MATCH(1,('Margin Guidence Table'!$A$1:$A$10000=ES22)*('Margin Guidence Table'!$H$1:$H$10000&lt;=ROUND($EK$3,0))*('Margin Guidence Table'!$G$1:$G$10000&gt;=ROUND($EK$3,0)),0),MATCH("DEFAULT_SELF_FUND_PCT_SALES",'Margin Guidence Table'!$A$1:$AC$1,0))),0)</f>
        <v>0</v>
      </c>
      <c r="FC22" s="1165">
        <f t="array" ref="FC22">IFERROR(IF($EU22="SEGMENT",INDEX('Margin Guidence Table'!$A$1:$AC$10000,MATCH(1,('Margin Guidence Table'!$A$1:$A$10000=ES22)*('Margin Guidence Table'!$H$1:$H$10000&lt;=ROUND($EK$3,0))*('Margin Guidence Table'!$G$1:$G$10000&gt;=ROUND($EK$3,0)),0),MATCH("CIA_MEDIAN_MARGIN_GUIDENCE",'Margin Guidence Table'!$A$1:$AC$1,0)),INDEX('Margin Guidence Table'!$A$1:$AC$10000,MATCH(1,('Margin Guidence Table'!$A$1:$A$10000=ES22)*('Margin Guidence Table'!$H$1:$H$10000&lt;=ROUND($EK$3,0))*('Margin Guidence Table'!$G$1:$G$10000&gt;=ROUND($EK$3,0)),0),MATCH("DEFAULT_CIA_MEDIAN_MARGIN_GUIDENCE",'Margin Guidence Table'!$A$1:$AC$1,0))),0)</f>
        <v>0</v>
      </c>
      <c r="FD22" s="129"/>
      <c r="FE22" s="18">
        <f t="array" ref="FE22">IFERROR(IF($FQ22="SEGMENT",INDEX('Margin Guidence Table'!$A$1:$AC$10000,MATCH(1,('Margin Guidence Table'!$A$1:$A$10000=$FO22)*('Margin Guidence Table'!$H$1:$H$10000&lt;=ROUND($FG$3,0))*('Margin Guidence Table'!$G$1:$G$10000&gt;=ROUND($FG$3,0)),0),MATCH("PCT_SALES",'Margin Guidence Table'!$A$1:$AC$1,0)),INDEX('Margin Guidence Table'!$A$1:$AC$10000,MATCH(1,('Margin Guidence Table'!$A$1:$A$10000=$FO22)*('Margin Guidence Table'!$H$1:$H$10000&lt;=ROUND($FG$3,0))*('Margin Guidence Table'!$G$1:$G$10000&gt;=ROUND($FG$3,0)),0),MATCH("DEFAULT_PCT_SALES",'Margin Guidence Table'!$A$1:$AC$1,0))),0)</f>
        <v>0</v>
      </c>
      <c r="FF22" s="102" t="s">
        <v>96</v>
      </c>
      <c r="FG22" s="94">
        <f>IFERROR(IF(AND($FG$2&lt;&gt;"Enter Spend&gt;&gt;&gt;",FH2="EXISTING"),SUMIFS('Existing Customers'!$Q:$Q,'Existing Customers'!$A:$A,$FG$1,'Existing Customers'!$H:$H,$FF22)*$FG$4,$FG$3*$FE22),0)</f>
        <v>0</v>
      </c>
      <c r="FH22" s="89">
        <f>IFERROR(IF(AND($FG$2&lt;&gt;"Enter Spend&gt;&gt;&gt;",FH2="EXISTING"),SUMIFS('Existing Customers'!$N:$N,'Existing Customers'!$A:$A,$FG$1,'Existing Customers'!$H:$H,$FF22)*$FG$4,$FG22/$FR22),0)</f>
        <v>0</v>
      </c>
      <c r="FI22" s="95">
        <f>IFERROR(IF(AND($FG$2&lt;&gt;"Enter Spend&gt;&gt;&gt;",FH2="EXISTING"),SUMIFS('Existing Customers'!$O:$O,'Existing Customers'!$H:$H,$FF22,'Existing Customers'!$A:$A,$FG$1)*$FG$4,$FH22*$FG$8),0)</f>
        <v>0</v>
      </c>
      <c r="FJ22" s="95">
        <f>IFERROR(IF(AND($FG$2&lt;&gt;"Enter Spend&gt;&gt;&gt;",FH2="EXISTING"),SUMIFS('Existing Customers'!$P:$P,'Existing Customers'!$A:$A,$FG$1,'Existing Customers'!$H:$H,$FF22)*$FG$4,$FG22/$FS22),0)</f>
        <v>0</v>
      </c>
      <c r="FK22" s="96">
        <f>IFERROR(IF(AND($FG$2&lt;&gt;"Enter Spend&gt;&gt;&gt;",FH2="EXISTING"),SUMIFS('Existing Customers'!$V:$V,'Existing Customers'!$H:$H,$FF22,'Existing Customers'!$A:$A,$FG$1)*$FG$4,0),0)</f>
        <v>0</v>
      </c>
      <c r="FL22" s="96">
        <f>IFERROR(IF(AND($FG$2&lt;&gt;"Enter Spend&gt;&gt;&gt;",FH2="EXISTING"),SUMIFS('Existing Customers'!$R:$R,'Existing Customers'!$H:$H,$FF22,'Existing Customers'!$A:$A,$FG$1)*$FG$4,0),0)</f>
        <v>0</v>
      </c>
      <c r="FM22" s="1161">
        <f>IFERROR(IF(AND($FG$2&lt;&gt;"Enter Spend&gt;&gt;&gt;",FH2="EXISTING"),SUMIFS('Existing Customers'!$S:$S,'Existing Customers'!$H:$H,$FF22,'Existing Customers'!$A:$A,$FG$1),FW22*FG22),0)</f>
        <v>0</v>
      </c>
      <c r="FN22" s="1161">
        <f>IFERROR(IF(AND($FG$2&lt;&gt;"Enter Spend&gt;&gt;&gt;",FH2="EXISTING"),SUMIFS('Existing Customers'!$U:$U,'Existing Customers'!$H:$H,$FF22,'Existing Customers'!$A:$A,$FG$1),FX22*FG22),0)</f>
        <v>0</v>
      </c>
      <c r="FO22" s="1164" t="e">
        <f t="shared" si="34"/>
        <v>#N/A</v>
      </c>
      <c r="FP22" s="1164">
        <f t="array" ref="FP22">IFERROR(INDEX('Margin Guidence Table'!$A$1:$AD$30000,MATCH(1,('Margin Guidence Table'!$A$1:$A$10000=FO22)*('Margin Guidence Table'!$H$1:$H$10000&lt;=ROUND($FG$3,0))*('Margin Guidence Table'!$G$1:$G$10000&gt;=ROUND($FG$3,0)),0),MATCH("DATA_POINTS",'Margin Guidence Table'!$A$1:$AC$1,0)),0)</f>
        <v>0</v>
      </c>
      <c r="FQ22" s="1161" t="str">
        <f t="shared" si="35"/>
        <v>DEFAULT</v>
      </c>
      <c r="FR22" s="1161">
        <f t="array" ref="FR22">IFERROR(IF($FQ22="SEGMENT",INDEX('Margin Guidence Table'!$A$1:$AC$10000,MATCH(1,('Margin Guidence Table'!$A$1:$A$10000=FO22)*('Margin Guidence Table'!$H$1:$H$10000&lt;=ROUND($FG$3,0))*('Margin Guidence Table'!$G$1:$G$10000&gt;=ROUND($FG$3,0)),0),MATCH("SALES_CASE",'Margin Guidence Table'!$A$1:$AC$1,0)),INDEX('Margin Guidence Table'!$A$1:$AC$10000,MATCH(1,('Margin Guidence Table'!$A$1:$A$10000=FO22)*('Margin Guidence Table'!$H$1:$H$10000&lt;=ROUND($FG$3,0))*('Margin Guidence Table'!$G$1:$G$10000&gt;=ROUND($FG$3,0)),0),MATCH("DEFAULT_SALES_CASE",'Margin Guidence Table'!$A$1:$AC$1,0))),0)</f>
        <v>0</v>
      </c>
      <c r="FS22" s="1161">
        <f t="array" ref="FS22">IFERROR(IF($FQ22="SEGMENT",INDEX('Margin Guidence Table'!$A$1:$AC$10000,MATCH(1,('Margin Guidence Table'!$A$1:$A$10000=FO22)*('Margin Guidence Table'!$H$1:$H$10000&lt;=ROUND($FG$3,0))*('Margin Guidence Table'!$G$1:$G$10000&gt;=ROUND($FG$3,0)),0),MATCH("SALES_LBS",'Margin Guidence Table'!$A$1:$AC$1,0)),INDEX('Margin Guidence Table'!$A$1:$AC$10000,MATCH(1,('Margin Guidence Table'!$A$1:$A$10000=FO22)*('Margin Guidence Table'!$H$1:$H$10000&lt;=ROUND($FG$3,0))*('Margin Guidence Table'!$G$1:$G$10000&gt;=ROUND($FG$3,0)),0),MATCH("DEFAULT_SALES_LBS",'Margin Guidence Table'!$A$1:$AC$1,0))),0)</f>
        <v>0</v>
      </c>
      <c r="FT22" s="1165">
        <f t="array" ref="FT22">IFERROR(IF($FQ22="SEGMENT",INDEX('Margin Guidence Table'!$A$1:$AC$10000,MATCH(1,('Margin Guidence Table'!$A$1:$A$10000=FO22)*('Margin Guidence Table'!$H$1:$H$10000&lt;=ROUND($FG$3,0))*('Margin Guidence Table'!$G$1:$G$10000&gt;=ROUND($FG$3,0)),0),MATCH("MDA_MIN_MARGIN_GUIDENCE",'Margin Guidence Table'!$A$1:$AC$1,0)),INDEX('Margin Guidence Table'!$A$1:$AC$10000,MATCH(1,('Margin Guidence Table'!$A$1:$A$10000=FO22)*('Margin Guidence Table'!$H$1:$H$10000&lt;=ROUND($FG$3,0))*('Margin Guidence Table'!$G$1:$G$10000&gt;=ROUND($FG$3,0)),0),MATCH("DEFAULT_MDA_MIN_MARGIN_GUIDENCE",'Margin Guidence Table'!$A$1:$AC$1,0))),0)</f>
        <v>0</v>
      </c>
      <c r="FU22" s="1165">
        <f t="array" ref="FU22">IFERROR(IF($FQ22="SEGMENT",INDEX('Margin Guidence Table'!$A$1:$AC$10000,MATCH(1,('Margin Guidence Table'!$A$1:$A$10000=FO22)*('Margin Guidence Table'!$H$1:$H$10000&lt;=ROUND($FG$3,0))*('Margin Guidence Table'!$G$1:$G$10000&gt;=ROUND($FG$3,0)),0),MATCH("MDA_MEDIAN_MARGIN_GUIDENCE",'Margin Guidence Table'!$A$1:$AC$1,0)),INDEX('Margin Guidence Table'!$A$1:$AC$10000,MATCH(1,('Margin Guidence Table'!$A$1:$A$10000=FO22)*('Margin Guidence Table'!$H$1:$H$10000&lt;=ROUND($FG$3,0))*('Margin Guidence Table'!$G$1:$G$10000&gt;=ROUND($FG$3,0)),0),MATCH("DEFAULT_MDA_MEDIAN_MARGIN_GUIDENCE",'Margin Guidence Table'!$A$1:$AC$1,0))),0)</f>
        <v>0</v>
      </c>
      <c r="FV22" s="1165">
        <f t="array" ref="FV22">IFERROR(IF($FQ22="SEGMENT",INDEX('Margin Guidence Table'!$A$1:$AC$10000,MATCH(1,('Margin Guidence Table'!$A$1:$A$10000=FO22)*('Margin Guidence Table'!$H$1:$H$10000&lt;=ROUND($FG$3,0))*('Margin Guidence Table'!$G$1:$G$10000&gt;=ROUND($FG$3,0)),0),MATCH("MDA_MAX_MARGIN_GUIDENCE",'Margin Guidence Table'!$A$1:$AC$1,0)),INDEX('Margin Guidence Table'!$A$1:$AC$10000,MATCH(1,('Margin Guidence Table'!$A$1:$A$10000=FO22)*('Margin Guidence Table'!$H$1:$H$10000&lt;=ROUND($FG$3,0))*('Margin Guidence Table'!$G$1:$G$10000&gt;=ROUND($FG$3,0)),0),MATCH("DEFAULT_MDA_MAX_MARGIN_GUIDENCE",'Margin Guidence Table'!$A$1:$AC$1,0))),0)</f>
        <v>0</v>
      </c>
      <c r="FW22" s="1165">
        <f t="array" ref="FW22">IFERROR(IF($FQ22="SEGMENT",INDEX('Margin Guidence Table'!$A$1:$AC$10000,MATCH(1,('Margin Guidence Table'!$A$1:$A$10000=FO22)*('Margin Guidence Table'!$H$1:$H$10000&lt;=ROUND($FG$3,0))*('Margin Guidence Table'!$G$1:$G$10000&gt;=ROUND($FG$3,0)),0),MATCH("PA_PCT_SALES",'Margin Guidence Table'!$A$1:$AC$1,0)),INDEX('Margin Guidence Table'!$A$1:$AC$10000,MATCH(1,('Margin Guidence Table'!$A$1:$A$10000=FO22)*('Margin Guidence Table'!$H$1:$H$10000&lt;=ROUND($FG$3,0))*('Margin Guidence Table'!$G$1:$G$10000&gt;=ROUND($FG$3,0)),0),MATCH("DEFAULT_PA_PCT_SALES",'Margin Guidence Table'!$A$1:$AC$1,0))),0)</f>
        <v>0</v>
      </c>
      <c r="FX22" s="1165">
        <f t="array" ref="FX22">IFERROR(IF($FQ22="SEGMENT",INDEX('Margin Guidence Table'!$A$1:$AC$10000,MATCH(1,('Margin Guidence Table'!$A$1:$A$10000=FO22)*('Margin Guidence Table'!$H$1:$H$10000&lt;=ROUND($FG$3,0))*('Margin Guidence Table'!$G$1:$G$10000&gt;=ROUND($FG$3,0)),0),MATCH("SELF_FUND_PCT_SALES",'Margin Guidence Table'!$A$1:$AC$1,0)),INDEX('Margin Guidence Table'!$A$1:$AC$10000,MATCH(1,('Margin Guidence Table'!$A$1:$A$10000=FO22)*('Margin Guidence Table'!$H$1:$H$10000&lt;=ROUND($FG$3,0))*('Margin Guidence Table'!$G$1:$G$10000&gt;=ROUND($FG$3,0)),0),MATCH("DEFAULT_SELF_FUND_PCT_SALES",'Margin Guidence Table'!$A$1:$AC$1,0))),0)</f>
        <v>0</v>
      </c>
      <c r="FY22" s="1165">
        <f t="array" ref="FY22">IFERROR(IF($FQ22="SEGMENT",INDEX('Margin Guidence Table'!$A$1:$AC$10000,MATCH(1,('Margin Guidence Table'!$A$1:$A$10000=FO22)*('Margin Guidence Table'!$H$1:$H$10000&lt;=ROUND($FG$3,0))*('Margin Guidence Table'!$G$1:$G$10000&gt;=ROUND($FG$3,0)),0),MATCH("CIA_MEDIAN_MARGIN_GUIDENCE",'Margin Guidence Table'!$A$1:$AC$1,0)),INDEX('Margin Guidence Table'!$A$1:$AC$10000,MATCH(1,('Margin Guidence Table'!$A$1:$A$10000=FO22)*('Margin Guidence Table'!$H$1:$H$10000&lt;=ROUND($FG$3,0))*('Margin Guidence Table'!$G$1:$G$10000&gt;=ROUND($FG$3,0)),0),MATCH("DEFAULT_CIA_MEDIAN_MARGIN_GUIDENCE",'Margin Guidence Table'!$A$1:$AC$1,0))),0)</f>
        <v>0</v>
      </c>
      <c r="FZ22" s="129"/>
      <c r="GA22" s="18">
        <f t="array" ref="GA22">IFERROR(IF($GM22="SEGMENT",INDEX('Margin Guidence Table'!$A$1:$AC$10000,MATCH(1,('Margin Guidence Table'!$A$1:$A$10000=$GK22)*('Margin Guidence Table'!$H$1:$H$10000&lt;=ROUND($GC$3,0))*('Margin Guidence Table'!$G$1:$G$10000&gt;=ROUND($GC$3,0)),0),MATCH("PCT_SALES",'Margin Guidence Table'!$A$1:$AC$1,0)),INDEX('Margin Guidence Table'!$A$1:$AC$10000,MATCH(1,('Margin Guidence Table'!$A$1:$A$10000=$GK22)*('Margin Guidence Table'!$H$1:$H$10000&lt;=ROUND($GC$3,0))*('Margin Guidence Table'!$G$1:$G$10000&gt;=ROUND($GC$3,0)),0),MATCH("DEFAULT_PCT_SALES",'Margin Guidence Table'!$A$1:$AC$1,0))),0)</f>
        <v>0</v>
      </c>
      <c r="GB22" s="102" t="s">
        <v>96</v>
      </c>
      <c r="GC22" s="94">
        <f>IFERROR(IF(AND($GC$2&lt;&gt;"Enter Spend&gt;&gt;&gt;",GD2="EXISTING"),SUMIFS('Existing Customers'!$Q:$Q,'Existing Customers'!$A:$A,$GC$1,'Existing Customers'!$H:$H,$GB22)*$GC$4,$GC$3*$GA22),0)</f>
        <v>0</v>
      </c>
      <c r="GD22" s="89">
        <f>IFERROR(IF(AND($GC$2&lt;&gt;"Enter Spend&gt;&gt;&gt;",GD2="EXISTING"),SUMIFS('Existing Customers'!$N:$N,'Existing Customers'!$A:$A,$GC$1,'Existing Customers'!$H:$H,$GB22)*$GC$4,$GC22/$GN22),0)</f>
        <v>0</v>
      </c>
      <c r="GE22" s="95">
        <f>IFERROR(IF(AND($GC$2&lt;&gt;"Enter Spend&gt;&gt;&gt;",GD2="EXISTING"),SUMIFS('Existing Customers'!$O:$O,'Existing Customers'!$H:$H,$GB22,'Existing Customers'!$A:$A,$GC$1)*$GC$4,$GD22*$GC$8),0)</f>
        <v>0</v>
      </c>
      <c r="GF22" s="95">
        <f>IFERROR(IF(AND($GC$2&lt;&gt;"Enter Spend&gt;&gt;&gt;",GD2="EXISTING"),SUMIFS('Existing Customers'!$P:$P,'Existing Customers'!$A:$A,$GC$1,'Existing Customers'!$H:$H,$GB22)*$GC$4,$GC22/$GO22),0)</f>
        <v>0</v>
      </c>
      <c r="GG22" s="96">
        <f>IFERROR(IF(AND($GC$2&lt;&gt;"Enter Spend&gt;&gt;&gt;",GD2="EXISTING"),SUMIFS('Existing Customers'!$V:$V,'Existing Customers'!$H:$H,$GB22,'Existing Customers'!$A:$A,$GC$1)*$GC$4,0),0)</f>
        <v>0</v>
      </c>
      <c r="GH22" s="96">
        <f>IFERROR(IF(AND($GC$2&lt;&gt;"Enter Spend&gt;&gt;&gt;",GD2="EXISTING"),SUMIFS('Existing Customers'!$R:$R,'Existing Customers'!$H:$H,$GB22,'Existing Customers'!$A:$A,$GC$1)*$GC$4,0),0)</f>
        <v>0</v>
      </c>
      <c r="GI22" s="1161">
        <f>IFERROR(IF(AND($GC$2&lt;&gt;"Enter Spend&gt;&gt;&gt;",GD2="EXISTING"),SUMIFS('Existing Customers'!$S:$S,'Existing Customers'!$H:$H,$GB22,'Existing Customers'!$A:$A,$GC$1),GS22*GC22),0)</f>
        <v>0</v>
      </c>
      <c r="GJ22" s="1161">
        <f>IFERROR(IF(AND($GC$2&lt;&gt;"Enter Spend&gt;&gt;&gt;",GD2="EXISTING"),SUMIFS('Existing Customers'!$U:$U,'Existing Customers'!$H:$H,$GB22,'Existing Customers'!$A:$A,$GC$1),GT22*GC22),0)</f>
        <v>0</v>
      </c>
      <c r="GK22" s="1164" t="e">
        <f t="shared" si="36"/>
        <v>#N/A</v>
      </c>
      <c r="GL22" s="1164">
        <f t="array" ref="GL22">IFERROR(INDEX('Margin Guidence Table'!$A$1:$AD$30000,MATCH(1,('Margin Guidence Table'!$A$1:$A$10000=GK22)*('Margin Guidence Table'!$H$1:$H$10000&lt;=ROUND($GC$3,0))*('Margin Guidence Table'!$G$1:$G$10000&gt;=ROUND($GC$3,0)),0),MATCH("DATA_POINTS",'Margin Guidence Table'!$A$1:$AC$1,0)),0)</f>
        <v>0</v>
      </c>
      <c r="GM22" s="1161" t="str">
        <f t="shared" si="37"/>
        <v>DEFAULT</v>
      </c>
      <c r="GN22" s="1161">
        <f t="array" ref="GN22">IFERROR(IF($GM22="SEGMENT",INDEX('Margin Guidence Table'!$A$1:$AC$10000,MATCH(1,('Margin Guidence Table'!$A$1:$A$10000=GK22)*('Margin Guidence Table'!$H$1:$H$10000&lt;=ROUND($GC$3,0))*('Margin Guidence Table'!$G$1:$G$10000&gt;=ROUND($GC$3,0)),0),MATCH("SALES_CASE",'Margin Guidence Table'!$A$1:$AC$1,0)),INDEX('Margin Guidence Table'!$A$1:$AC$10000,MATCH(1,('Margin Guidence Table'!$A$1:$A$10000=GK22)*('Margin Guidence Table'!$H$1:$H$10000&lt;=ROUND($GC$3,0))*('Margin Guidence Table'!$G$1:$G$10000&gt;=ROUND($GC$3,0)),0),MATCH("DEFAULT_SALES_CASE",'Margin Guidence Table'!$A$1:$AC$1,0))),0)</f>
        <v>0</v>
      </c>
      <c r="GO22" s="1161">
        <f t="array" ref="GO22">IFERROR(IF($GM22="SEGMENT",INDEX('Margin Guidence Table'!$A$1:$AC$10000,MATCH(1,('Margin Guidence Table'!$A$1:$A$10000=GK22)*('Margin Guidence Table'!$H$1:$H$10000&lt;=ROUND($GC$3,0))*('Margin Guidence Table'!$G$1:$G$10000&gt;=ROUND($GC$3,0)),0),MATCH("SALES_LBS",'Margin Guidence Table'!$A$1:$AC$1,0)),INDEX('Margin Guidence Table'!$A$1:$AC$10000,MATCH(1,('Margin Guidence Table'!$A$1:$A$10000=GK22)*('Margin Guidence Table'!$H$1:$H$10000&lt;=ROUND($GC$3,0))*('Margin Guidence Table'!$G$1:$G$10000&gt;=ROUND($GC$3,0)),0),MATCH("DEFAULT_SALES_LBS",'Margin Guidence Table'!$A$1:$AC$1,0))),0)</f>
        <v>0</v>
      </c>
      <c r="GP22" s="1165">
        <f t="array" ref="GP22">IFERROR(IF($GM22="SEGMENT",INDEX('Margin Guidence Table'!$A$1:$AC$10000,MATCH(1,('Margin Guidence Table'!$A$1:$A$10000=GK22)*('Margin Guidence Table'!$H$1:$H$10000&lt;=ROUND($GC$3,0))*('Margin Guidence Table'!$G$1:$G$10000&gt;=ROUND($GC$3,0)),0),MATCH("MDA_MIN_MARGIN_GUIDENCE",'Margin Guidence Table'!$A$1:$AC$1,0)),INDEX('Margin Guidence Table'!$A$1:$AC$10000,MATCH(1,('Margin Guidence Table'!$A$1:$A$10000=GK22)*('Margin Guidence Table'!$H$1:$H$10000&lt;=ROUND($GC$3,0))*('Margin Guidence Table'!$G$1:$G$10000&gt;=ROUND($GC$3,0)),0),MATCH("DEFAULT_MDA_MIN_MARGIN_GUIDENCE",'Margin Guidence Table'!$A$1:$AC$1,0))),0)</f>
        <v>0</v>
      </c>
      <c r="GQ22" s="1165">
        <f t="array" ref="GQ22">IFERROR(IF($GM22="SEGMENT",INDEX('Margin Guidence Table'!$A$1:$AC$10000,MATCH(1,('Margin Guidence Table'!$A$1:$A$10000=GK22)*('Margin Guidence Table'!$H$1:$H$10000&lt;=ROUND($GC$3,0))*('Margin Guidence Table'!$G$1:$G$10000&gt;=ROUND($GC$3,0)),0),MATCH("MDA_MEDIAN_MARGIN_GUIDENCE",'Margin Guidence Table'!$A$1:$AC$1,0)),INDEX('Margin Guidence Table'!$A$1:$AC$10000,MATCH(1,('Margin Guidence Table'!$A$1:$A$10000=GK22)*('Margin Guidence Table'!$H$1:$H$10000&lt;=ROUND($GC$3,0))*('Margin Guidence Table'!$G$1:$G$10000&gt;=ROUND($GC$3,0)),0),MATCH("DEFAULT_MDA_MEDIAN_MARGIN_GUIDENCE",'Margin Guidence Table'!$A$1:$AC$1,0))),0)</f>
        <v>0</v>
      </c>
      <c r="GR22" s="1165">
        <f t="array" ref="GR22">IFERROR(IF($GM22="SEGMENT",INDEX('Margin Guidence Table'!$A$1:$AC$10000,MATCH(1,('Margin Guidence Table'!$A$1:$A$10000=GK22)*('Margin Guidence Table'!$H$1:$H$10000&lt;=ROUND($GC$3,0))*('Margin Guidence Table'!$G$1:$G$10000&gt;=ROUND($GC$3,0)),0),MATCH("MDA_MAX_MARGIN_GUIDENCE",'Margin Guidence Table'!$A$1:$AC$1,0)),INDEX('Margin Guidence Table'!$A$1:$AC$10000,MATCH(1,('Margin Guidence Table'!$A$1:$A$10000=GK22)*('Margin Guidence Table'!$H$1:$H$10000&lt;=ROUND($GC$3,0))*('Margin Guidence Table'!$G$1:$G$10000&gt;=ROUND($GC$3,0)),0),MATCH("DEFAULT_MDA_MAX_MARGIN_GUIDENCE",'Margin Guidence Table'!$A$1:$AC$1,0))),0)</f>
        <v>0</v>
      </c>
      <c r="GS22" s="1165">
        <f t="array" ref="GS22">IFERROR(IF($GM22="SEGMENT",INDEX('Margin Guidence Table'!$A$1:$AC$10000,MATCH(1,('Margin Guidence Table'!$A$1:$A$10000=GK22)*('Margin Guidence Table'!$H$1:$H$10000&lt;=ROUND($GC$3,0))*('Margin Guidence Table'!$G$1:$G$10000&gt;=ROUND($GC$3,0)),0),MATCH("PA_PCT_SALES",'Margin Guidence Table'!$A$1:$AC$1,0)),INDEX('Margin Guidence Table'!$A$1:$AC$10000,MATCH(1,('Margin Guidence Table'!$A$1:$A$10000=GK22)*('Margin Guidence Table'!$H$1:$H$10000&lt;=ROUND($GC$3,0))*('Margin Guidence Table'!$G$1:$G$10000&gt;=ROUND($GC$3,0)),0),MATCH("DEFAULT_PA_PCT_SALES",'Margin Guidence Table'!$A$1:$AC$1,0))),0)</f>
        <v>0</v>
      </c>
      <c r="GT22" s="1165">
        <f t="array" ref="GT22">IFERROR(IF($GM22="SEGMENT",INDEX('Margin Guidence Table'!$A$1:$AC$10000,MATCH(1,('Margin Guidence Table'!$A$1:$A$10000=GK22)*('Margin Guidence Table'!$H$1:$H$10000&lt;=ROUND($GC$3,0))*('Margin Guidence Table'!$G$1:$G$10000&gt;=ROUND($GC$3,0)),0),MATCH("SELF_FUND_PCT_SALES",'Margin Guidence Table'!$A$1:$AC$1,0)),INDEX('Margin Guidence Table'!$A$1:$AC$10000,MATCH(1,('Margin Guidence Table'!$A$1:$A$10000=GK22)*('Margin Guidence Table'!$H$1:$H$10000&lt;=ROUND($GC$3,0))*('Margin Guidence Table'!$G$1:$G$10000&gt;=ROUND($GC$3,0)),0),MATCH("DEFAULT_SELF_FUND_PCT_SALES",'Margin Guidence Table'!$A$1:$AC$1,0))),0)</f>
        <v>0</v>
      </c>
      <c r="GU22" s="1165">
        <f t="array" ref="GU22">IFERROR(IF($GM22="SEGMENT",INDEX('Margin Guidence Table'!$A$1:$AC$10000,MATCH(1,('Margin Guidence Table'!$A$1:$A$10000=GK22)*('Margin Guidence Table'!$H$1:$H$10000&lt;=ROUND($GC$3,0))*('Margin Guidence Table'!$G$1:$G$10000&gt;=ROUND($GC$3,0)),0),MATCH("CIA_MEDIAN_MARGIN_GUIDENCE",'Margin Guidence Table'!$A$1:$AC$1,0)),INDEX('Margin Guidence Table'!$A$1:$AC$10000,MATCH(1,('Margin Guidence Table'!$A$1:$A$10000=GK22)*('Margin Guidence Table'!$H$1:$H$10000&lt;=ROUND($GC$3,0))*('Margin Guidence Table'!$G$1:$G$10000&gt;=ROUND($GC$3,0)),0),MATCH("DEFAULT_CIA_MEDIAN_MARGIN_GUIDENCE",'Margin Guidence Table'!$A$1:$AC$1,0))),0)</f>
        <v>0</v>
      </c>
      <c r="GV22" s="129"/>
      <c r="GW22" s="18">
        <f t="array" ref="GW22">IFERROR(IF($HI22="SEGMENT",INDEX('Margin Guidence Table'!$A$1:$AC$10000,MATCH(1,('Margin Guidence Table'!$A$1:$A$10000=$HG22)*('Margin Guidence Table'!$H$1:$H$10000&lt;=ROUND($GY$3,0))*('Margin Guidence Table'!$G$1:$G$10000&gt;=ROUND($GY$3,0)),0),MATCH("PCT_SALES",'Margin Guidence Table'!$A$1:$AC$1,0)),INDEX('Margin Guidence Table'!$A$1:$AC$10000,MATCH(1,('Margin Guidence Table'!$A$1:$A$10000=$HG22)*('Margin Guidence Table'!$H$1:$H$10000&lt;=ROUND($GY$3,0))*('Margin Guidence Table'!$G$1:$G$10000&gt;=ROUND($GY$3,0)),0),MATCH("DEFAULT_PCT_SALES",'Margin Guidence Table'!$A$1:$AC$1,0))),0)</f>
        <v>0</v>
      </c>
      <c r="GX22" s="102" t="s">
        <v>96</v>
      </c>
      <c r="GY22" s="94">
        <f>IFERROR(IF(AND($GY$2&lt;&gt;"Enter Spend&gt;&gt;&gt;",GZ2="EXISTING"),SUMIFS('Existing Customers'!$Q:$Q,'Existing Customers'!$A:$A,$GY$1,'Existing Customers'!$H:$H,$GX22)*$GY$4,$GY$3*$GW22),0)</f>
        <v>0</v>
      </c>
      <c r="GZ22" s="89">
        <f>IFERROR(IF(AND($GY$2&lt;&gt;"Enter Spend&gt;&gt;&gt;",GZ2="EXISTING"),SUMIFS('Existing Customers'!$N:$N,'Existing Customers'!$A:$A,$GY$1,'Existing Customers'!$H:$H,$GX22)*$GY$4,$GY22/$HJ22),0)</f>
        <v>0</v>
      </c>
      <c r="HA22" s="95">
        <f>IFERROR(IF(AND($GY$2&lt;&gt;"Enter Spend&gt;&gt;&gt;",GZ2="EXISTING"),SUMIFS('Existing Customers'!$O:$O,'Existing Customers'!$H:$H,$GX22,'Existing Customers'!$A:$A,$GY$1)*$GY$4,$GZ22*$GY$8),0)</f>
        <v>0</v>
      </c>
      <c r="HB22" s="95">
        <f>IFERROR(IF(AND($GY$2&lt;&gt;"Enter Spend&gt;&gt;&gt;",GZ2="EXISTING"),SUMIFS('Existing Customers'!$P:$P,'Existing Customers'!$A:$A,$GY$1,'Existing Customers'!$H:$H,$GX22)*$GY$4,$GY22/$HK22),0)</f>
        <v>0</v>
      </c>
      <c r="HC22" s="96">
        <f>IFERROR(IF(AND($GY$2&lt;&gt;"Enter Spend&gt;&gt;&gt;",GZ2="EXISTING"),SUMIFS('Existing Customers'!$V:$V,'Existing Customers'!$H:$H,$GX22,'Existing Customers'!$A:$A,$GY$1)*$GY$4,0),0)</f>
        <v>0</v>
      </c>
      <c r="HD22" s="96">
        <f>IFERROR(IF(AND($GY$2&lt;&gt;"Enter Spend&gt;&gt;&gt;",GZ2="EXISTING"),SUMIFS('Existing Customers'!$R:$R,'Existing Customers'!$H:$H,$GX22,'Existing Customers'!$A:$A,$GY$1)*$GY$4,0),0)</f>
        <v>0</v>
      </c>
      <c r="HE22" s="1161">
        <f>IFERROR(IF(AND($GY$2&lt;&gt;"Enter Spend&gt;&gt;&gt;",GZ2="EXISTING"),SUMIFS('Existing Customers'!$S:$S,'Existing Customers'!$H:$H,$GX22,'Existing Customers'!$A:$A,$GY$1),HO22*GY22),0)</f>
        <v>0</v>
      </c>
      <c r="HF22" s="1161">
        <f>IFERROR(IF(AND($GY$2&lt;&gt;"Enter Spend&gt;&gt;&gt;",GZ2="EXISTING"),SUMIFS('Existing Customers'!$U:$U,'Existing Customers'!$H:$H,$GX22,'Existing Customers'!$A:$A,$GY$1),HP22*GY22),0)</f>
        <v>0</v>
      </c>
      <c r="HG22" s="1164" t="e">
        <f t="shared" si="38"/>
        <v>#N/A</v>
      </c>
      <c r="HH22" s="1164">
        <f t="array" ref="HH22">IFERROR(INDEX('Margin Guidence Table'!$A$1:$AD$30000,MATCH(1,('Margin Guidence Table'!$A$1:$A$10000=HG22)*('Margin Guidence Table'!$H$1:$H$10000&lt;=ROUND($GY$3,0))*('Margin Guidence Table'!$G$1:$G$10000&gt;=ROUND($GY$3,0)),0),MATCH("DATA_POINTS",'Margin Guidence Table'!$A$1:$AC$1,0)),0)</f>
        <v>0</v>
      </c>
      <c r="HI22" s="1161" t="str">
        <f t="shared" si="39"/>
        <v>DEFAULT</v>
      </c>
      <c r="HJ22" s="1161">
        <f t="array" ref="HJ22">IFERROR(IF($HI22="SEGMENT",INDEX('Margin Guidence Table'!$A$1:$AC$10000,MATCH(1,('Margin Guidence Table'!$A$1:$A$10000=HG22)*('Margin Guidence Table'!$H$1:$H$10000&lt;=ROUND($GY$3,0))*('Margin Guidence Table'!$G$1:$G$10000&gt;=ROUND($GY$3,0)),0),MATCH("SALES_CASE",'Margin Guidence Table'!$A$1:$AC$1,0)),INDEX('Margin Guidence Table'!$A$1:$AC$10000,MATCH(1,('Margin Guidence Table'!$A$1:$A$10000=HG22)*('Margin Guidence Table'!$H$1:$H$10000&lt;=ROUND($GY$3,0))*('Margin Guidence Table'!$G$1:$G$10000&gt;=ROUND($GY$3,0)),0),MATCH("DEFAULT_SALES_CASE",'Margin Guidence Table'!$A$1:$AC$1,0))),0)</f>
        <v>0</v>
      </c>
      <c r="HK22" s="1161">
        <f t="array" ref="HK22">IFERROR(IF($HI22="SEGMENT",INDEX('Margin Guidence Table'!$A$1:$AC$10000,MATCH(1,('Margin Guidence Table'!$A$1:$A$10000=HG22)*('Margin Guidence Table'!$H$1:$H$10000&lt;=ROUND($GY$3,0))*('Margin Guidence Table'!$G$1:$G$10000&gt;=ROUND($GY$3,0)),0),MATCH("SALES_LBS",'Margin Guidence Table'!$A$1:$AC$1,0)),INDEX('Margin Guidence Table'!$A$1:$AC$10000,MATCH(1,('Margin Guidence Table'!$A$1:$A$10000=HG22)*('Margin Guidence Table'!$H$1:$H$10000&lt;=ROUND($GY$3,0))*('Margin Guidence Table'!$G$1:$G$10000&gt;=ROUND($GY$3,0)),0),MATCH("DEFAULT_SALES_LBS",'Margin Guidence Table'!$A$1:$AC$1,0))),0)</f>
        <v>0</v>
      </c>
      <c r="HL22" s="1165">
        <f t="array" ref="HL22">IFERROR(IF($HI22="SEGMENT",INDEX('Margin Guidence Table'!$A$1:$AC$10000,MATCH(1,('Margin Guidence Table'!$A$1:$A$10000=HG22)*('Margin Guidence Table'!$H$1:$H$10000&lt;=ROUND($GY$3,0))*('Margin Guidence Table'!$G$1:$G$10000&gt;=ROUND($GY$3,0)),0),MATCH("MDA_MIN_MARGIN_GUIDENCE",'Margin Guidence Table'!$A$1:$AC$1,0)),INDEX('Margin Guidence Table'!$A$1:$AC$10000,MATCH(1,('Margin Guidence Table'!$A$1:$A$10000=HG22)*('Margin Guidence Table'!$H$1:$H$10000&lt;=ROUND($GY$3,0))*('Margin Guidence Table'!$G$1:$G$10000&gt;=ROUND($GY$3,0)),0),MATCH("DEFAULT_MDA_MIN_MARGIN_GUIDENCE",'Margin Guidence Table'!$A$1:$AC$1,0))),0)</f>
        <v>0</v>
      </c>
      <c r="HM22" s="1165">
        <f t="array" ref="HM22">IFERROR(IF($HI22="SEGMENT",INDEX('Margin Guidence Table'!$A$1:$AC$10000,MATCH(1,('Margin Guidence Table'!$A$1:$A$10000=HG22)*('Margin Guidence Table'!$H$1:$H$10000&lt;=ROUND($GY$3,0))*('Margin Guidence Table'!$G$1:$G$10000&gt;=ROUND($GY$3,0)),0),MATCH("MDA_MEDIAN_MARGIN_GUIDENCE",'Margin Guidence Table'!$A$1:$AC$1,0)),INDEX('Margin Guidence Table'!$A$1:$AC$10000,MATCH(1,('Margin Guidence Table'!$A$1:$A$10000=HG22)*('Margin Guidence Table'!$H$1:$H$10000&lt;=ROUND($GY$3,0))*('Margin Guidence Table'!$G$1:$G$10000&gt;=ROUND($GY$3,0)),0),MATCH("DEFAULT_MDA_MEDIAN_MARGIN_GUIDENCE",'Margin Guidence Table'!$A$1:$AC$1,0))),0)</f>
        <v>0</v>
      </c>
      <c r="HN22" s="1165">
        <f t="array" ref="HN22">IFERROR(IF($HI22="SEGMENT",INDEX('Margin Guidence Table'!$A$1:$AC$10000,MATCH(1,('Margin Guidence Table'!$A$1:$A$10000=HG22)*('Margin Guidence Table'!$H$1:$H$10000&lt;=ROUND($GY$3,0))*('Margin Guidence Table'!$G$1:$G$10000&gt;=ROUND($GY$3,0)),0),MATCH("MDA_MAX_MARGIN_GUIDENCE",'Margin Guidence Table'!$A$1:$AC$1,0)),INDEX('Margin Guidence Table'!$A$1:$AC$10000,MATCH(1,('Margin Guidence Table'!$A$1:$A$10000=HG22)*('Margin Guidence Table'!$H$1:$H$10000&lt;=ROUND($GY$3,0))*('Margin Guidence Table'!$G$1:$G$10000&gt;=ROUND($GY$3,0)),0),MATCH("DEFAULT_MDA_MAX_MARGIN_GUIDENCE",'Margin Guidence Table'!$A$1:$AC$1,0))),0)</f>
        <v>0</v>
      </c>
      <c r="HO22" s="1165">
        <f t="array" ref="HO22">IFERROR(IF($HI22="SEGMENT",INDEX('Margin Guidence Table'!$A$1:$AC$10000,MATCH(1,('Margin Guidence Table'!$A$1:$A$10000=HG22)*('Margin Guidence Table'!$H$1:$H$10000&lt;=ROUND($GY$3,0))*('Margin Guidence Table'!$G$1:$G$10000&gt;=ROUND($GY$3,0)),0),MATCH("PA_PCT_SALES",'Margin Guidence Table'!$A$1:$AC$1,0)),INDEX('Margin Guidence Table'!$A$1:$AC$10000,MATCH(1,('Margin Guidence Table'!$A$1:$A$10000=HG22)*('Margin Guidence Table'!$H$1:$H$10000&lt;=ROUND($GY$3,0))*('Margin Guidence Table'!$G$1:$G$10000&gt;=ROUND($GY$3,0)),0),MATCH("DEFAULT_PA_PCT_SALES",'Margin Guidence Table'!$A$1:$AC$1,0))),0)</f>
        <v>0</v>
      </c>
      <c r="HP22" s="1165">
        <f t="array" ref="HP22">IFERROR(IF($HI22="SEGMENT",INDEX('Margin Guidence Table'!$A$1:$AC$10000,MATCH(1,('Margin Guidence Table'!$A$1:$A$10000=HG22)*('Margin Guidence Table'!$H$1:$H$10000&lt;=ROUND($GY$3,0))*('Margin Guidence Table'!$G$1:$G$10000&gt;=ROUND($GY$3,0)),0),MATCH("SELF_FUND_PCT_SALES",'Margin Guidence Table'!$A$1:$AC$1,0)),INDEX('Margin Guidence Table'!$A$1:$AC$10000,MATCH(1,('Margin Guidence Table'!$A$1:$A$10000=HG22)*('Margin Guidence Table'!$H$1:$H$10000&lt;=ROUND($GY$3,0))*('Margin Guidence Table'!$G$1:$G$10000&gt;=ROUND($GY$3,0)),0),MATCH("DEFAULT_SELF_FUND_PCT_SALES",'Margin Guidence Table'!$A$1:$AC$1,0))),0)</f>
        <v>0</v>
      </c>
      <c r="HQ22" s="1165">
        <f t="array" ref="HQ22">IFERROR(IF($HI22="SEGMENT",INDEX('Margin Guidence Table'!$A$1:$AC$10000,MATCH(1,('Margin Guidence Table'!$A$1:$A$10000=HG22)*('Margin Guidence Table'!$H$1:$H$10000&lt;=ROUND($GY$3,0))*('Margin Guidence Table'!$G$1:$G$10000&gt;=ROUND($GY$3,0)),0),MATCH("CIA_MEDIAN_MARGIN_GUIDENCE",'Margin Guidence Table'!$A$1:$AC$1,0)),INDEX('Margin Guidence Table'!$A$1:$AC$10000,MATCH(1,('Margin Guidence Table'!$A$1:$A$10000=HG22)*('Margin Guidence Table'!$H$1:$H$10000&lt;=ROUND($GY$3,0))*('Margin Guidence Table'!$G$1:$G$10000&gt;=ROUND($GY$3,0)),0),MATCH("DEFAULT_CIA_MEDIAN_MARGIN_GUIDENCE",'Margin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Spend&gt;&gt;&gt;",HV2="EXISTING"),SUMIFS('Existing Customers'!$Q:$Q,'Existing Customers'!$A:$A,$HU$1,'Existing Customers'!$H:$H,$HT22)*$HU$4,$HU$3*$HS22),0)</f>
        <v>0</v>
      </c>
      <c r="HV22" s="89">
        <f>IFERROR(IF(AND($HU$2&lt;&gt;"Enter Spend&gt;&gt;&gt;",HV2="EXISTING"),SUMIFS('Existing Customers'!$N:$N,'Existing Customers'!$A:$A,$HU$1,'Existing Customers'!$H:$H,$HT22)*$HU$4,$HU22/$IF22),0)</f>
        <v>0</v>
      </c>
      <c r="HW22" s="95">
        <f>IFERROR(IF(AND($HU$2&lt;&gt;"Enter Spend&gt;&gt;&gt;",HV2="EXISTING"),SUMIFS('Existing Customers'!$O:$O,'Existing Customers'!$H:$H,$HT22,'Existing Customers'!$A:$A,$HU$1)*$HU$4,$HV22*$HU$8),0)</f>
        <v>0</v>
      </c>
      <c r="HX22" s="95">
        <f>IFERROR(IF(AND($HU$2&lt;&gt;"Enter Spend&gt;&gt;&gt;",HV2="EXISTING"),SUMIFS('Existing Customers'!$P:$P,'Existing Customers'!$A:$A,$HU$1,'Existing Customers'!$H:$H,$HT22)*$HU$4,$HU22/$IG22),0)</f>
        <v>0</v>
      </c>
      <c r="HY22" s="402">
        <f>IFERROR(IF(AND($HU$2&lt;&gt;"Enter Spend&gt;&gt;&gt;",HV2="EXISTING"),SUMIFS('Existing Customers'!$V:$V,'Existing Customers'!$H:$H,$HT22,'Existing Customers'!$A:$A,$HU$1)*$HU$4,0),0)</f>
        <v>0</v>
      </c>
      <c r="HZ22" s="96">
        <f>IFERROR(IF(AND($HU$2&lt;&gt;"Enter Spend&gt;&gt;&gt;",HV2="EXISTING"),SUMIFS('Existing Customers'!$R:$R,'Existing Customers'!$H:$H,$HT22,'Existing Customers'!$A:$A,$HU$1)*$HU$4,0),0)</f>
        <v>0</v>
      </c>
      <c r="IA22" s="1161">
        <f>IFERROR(IF(AND($HU$2&lt;&gt;"Enter Spend&gt;&gt;&gt;",HV2="EXISTING"),SUMIFS('Existing Customers'!$S:$S,'Existing Customers'!$H:$H,$HT22,'Existing Customers'!$A:$A,$HU$1),IK22*HU22),0)</f>
        <v>0</v>
      </c>
      <c r="IB22" s="1161">
        <f>IFERROR(IF(AND($HU$2&lt;&gt;"Enter Spend&gt;&gt;&gt;",HV2="EXISTING"),SUMIFS('Existing Customers'!$U:$U,'Existing Customers'!$H:$H,$HT22,'Existing Customers'!$A:$A,$HU$1),IL22*HU22),0)</f>
        <v>0</v>
      </c>
      <c r="IC22" s="1164" t="e">
        <f t="shared" si="40"/>
        <v>#N/A</v>
      </c>
      <c r="ID22" s="1164">
        <f t="array" ref="ID22">IFERROR(INDEX('Margin Guidence Table'!$A$1:$AD$30000,MATCH(1,('Margin Guidence Table'!$A$1:$A$10000=IC22)*('Margin Guidence Table'!$H$1:$H$10000&lt;=ROUND($HU$3,0))*('Margin Guidence Table'!$G$1:$G$10000&gt;=ROUND($HU$3,0)),0),MATCH("DATA_POINTS",'Margin Guidence Table'!$A$1:$AC$1,0)),0)</f>
        <v>0</v>
      </c>
      <c r="IE22" s="1161" t="str">
        <f t="shared" si="41"/>
        <v>DEFAULT</v>
      </c>
      <c r="IF22" s="1161">
        <f t="array" ref="IF22">IFERROR(IF($IE22="SEGMENT",INDEX('Margin Guidence Table'!$A$1:$AC$10000,MATCH(1,('Margin Guidence Table'!$A$1:$A$10000=IC22)*('Margin Guidence Table'!$H$1:$H$10000&lt;=ROUND($HU$3,0))*('Margin Guidence Table'!$G$1:$G$10000&gt;=ROUND($HU$3,0)),0),MATCH("SALES_CASE",'Margin Guidence Table'!$A$1:$AC$1,0)),INDEX('Margin Guidence Table'!$A$1:$AC$10000,MATCH(1,('Margin Guidence Table'!$A$1:$A$10000=IC22)*('Margin Guidence Table'!$H$1:$H$10000&lt;=ROUND($HU$3,0))*('Margin Guidence Table'!$G$1:$G$10000&gt;=ROUND($HU$3,0)),0),MATCH("DEFAULT_SALES_CASE",'Margin Guidence Table'!$A$1:$AC$1,0))),0)</f>
        <v>0</v>
      </c>
      <c r="IG22" s="1161">
        <f t="array" ref="IG22">IFERROR(IF($IE22="SEGMENT",INDEX('Margin Guidence Table'!$A$1:$AC$10000,MATCH(1,('Margin Guidence Table'!$A$1:$A$10000=IC22)*('Margin Guidence Table'!$H$1:$H$10000&lt;=ROUND($HU$3,0))*('Margin Guidence Table'!$G$1:$G$10000&gt;=ROUND($HU$3,0)),0),MATCH("SALES_LBS",'Margin Guidence Table'!$A$1:$AC$1,0)),INDEX('Margin Guidence Table'!$A$1:$AC$10000,MATCH(1,('Margin Guidence Table'!$A$1:$A$10000=IC22)*('Margin Guidence Table'!$H$1:$H$10000&lt;=ROUND($HU$3,0))*('Margin Guidence Table'!$G$1:$G$10000&gt;=ROUND($HU$3,0)),0),MATCH("DEFAULT_SALES_LBS",'Margin Guidence Table'!$A$1:$AC$1,0))),0)</f>
        <v>0</v>
      </c>
      <c r="IH22" s="1165">
        <f t="array" ref="IH22">IFERROR(IF($IE22="SEGMENT",INDEX('Margin Guidence Table'!$A$1:$AC$10000,MATCH(1,('Margin Guidence Table'!$A$1:$A$10000=IC22)*('Margin Guidence Table'!$H$1:$H$10000&lt;=ROUND($HU$3,0))*('Margin Guidence Table'!$G$1:$G$10000&gt;=ROUND($HU$3,0)),0),MATCH("MDA_MIN_MARGIN_GUIDENCE",'Margin Guidence Table'!$A$1:$AC$1,0)),INDEX('Margin Guidence Table'!$A$1:$AC$10000,MATCH(1,('Margin Guidence Table'!$A$1:$A$10000=IC22)*('Margin Guidence Table'!$H$1:$H$10000&lt;=ROUND($HU$3,0))*('Margin Guidence Table'!$G$1:$G$10000&gt;=ROUND($HU$3,0)),0),MATCH("DEFAULT_MDA_MIN_MARGIN_GUIDENCE",'Margin Guidence Table'!$A$1:$AC$1,0))),0)</f>
        <v>0</v>
      </c>
      <c r="II22" s="1165">
        <f t="array" ref="II22">IFERROR(IF($IE22="SEGMENT",INDEX('Margin Guidence Table'!$A$1:$AC$10000,MATCH(1,('Margin Guidence Table'!$A$1:$A$10000=IC22)*('Margin Guidence Table'!$H$1:$H$10000&lt;=ROUND($HU$3,0))*('Margin Guidence Table'!$G$1:$G$10000&gt;=ROUND($HU$3,0)),0),MATCH("MDA_MEDIAN_MARGIN_GUIDENCE",'Margin Guidence Table'!$A$1:$AC$1,0)),INDEX('Margin Guidence Table'!$A$1:$AC$10000,MATCH(1,('Margin Guidence Table'!$A$1:$A$10000=IC22)*('Margin Guidence Table'!$H$1:$H$10000&lt;=ROUND($HU$3,0))*('Margin Guidence Table'!$G$1:$G$10000&gt;=ROUND($HU$3,0)),0),MATCH("DEFAULT_MDA_MEDIAN_MARGIN_GUIDENCE",'Margin Guidence Table'!$A$1:$AC$1,0))),0)</f>
        <v>0</v>
      </c>
      <c r="IJ22" s="1165">
        <f t="array" ref="IJ22">IFERROR(IF($IE22="SEGMENT",INDEX('Margin Guidence Table'!$A$1:$AC$10000,MATCH(1,('Margin Guidence Table'!$A$1:$A$10000=IC22)*('Margin Guidence Table'!$H$1:$H$10000&lt;=ROUND($HU$3,0))*('Margin Guidence Table'!$G$1:$G$10000&gt;=ROUND($HU$3,0)),0),MATCH("MDA_MAX_MARGIN_GUIDENCE",'Margin Guidence Table'!$A$1:$AC$1,0)),INDEX('Margin Guidence Table'!$A$1:$AC$10000,MATCH(1,('Margin Guidence Table'!$A$1:$A$10000=IC22)*('Margin Guidence Table'!$H$1:$H$10000&lt;=ROUND($HU$3,0))*('Margin Guidence Table'!$G$1:$G$10000&gt;=ROUND($HU$3,0)),0),MATCH("DEFAULT_MDA_MAX_MARGIN_GUIDENCE",'Margin Guidence Table'!$A$1:$AC$1,0))),0)</f>
        <v>0</v>
      </c>
      <c r="IK22" s="1165">
        <f t="array" ref="IK22">IFERROR(IF($IE22="SEGMENT",INDEX('Margin Guidence Table'!$A$1:$AC$10000,MATCH(1,('Margin Guidence Table'!$A$1:$A$10000=IC22)*('Margin Guidence Table'!$H$1:$H$10000&lt;=ROUND($HU$3,0))*('Margin Guidence Table'!$G$1:$G$10000&gt;=ROUND($HU$3,0)),0),MATCH("PA_PCT_SALES",'Margin Guidence Table'!$A$1:$AC$1,0)),INDEX('Margin Guidence Table'!$A$1:$AC$10000,MATCH(1,('Margin Guidence Table'!$A$1:$A$10000=IC22)*('Margin Guidence Table'!$H$1:$H$10000&lt;=ROUND($HU$3,0))*('Margin Guidence Table'!$G$1:$G$10000&gt;=ROUND($HU$3,0)),0),MATCH("DEFAULT_PA_PCT_SALES",'Margin Guidence Table'!$A$1:$AC$1,0))),0)</f>
        <v>0</v>
      </c>
      <c r="IL22" s="1165">
        <f t="array" ref="IL22">IFERROR(IF($IE22="SEGMENT",INDEX('Margin Guidence Table'!$A$1:$AC$10000,MATCH(1,('Margin Guidence Table'!$A$1:$A$10000=IC22)*('Margin Guidence Table'!$H$1:$H$10000&lt;=ROUND($HU$3,0))*('Margin Guidence Table'!$G$1:$G$10000&gt;=ROUND($HU$3,0)),0),MATCH("SELF_FUND_PCT_SALES",'Margin Guidence Table'!$A$1:$AC$1,0)),INDEX('Margin Guidence Table'!$A$1:$AC$10000,MATCH(1,('Margin Guidence Table'!$A$1:$A$10000=IC22)*('Margin Guidence Table'!$H$1:$H$10000&lt;=ROUND($HU$3,0))*('Margin Guidence Table'!$G$1:$G$10000&gt;=ROUND($HU$3,0)),0),MATCH("DEFAULT_SELF_FUND_PCT_SALES",'Margin Guidence Table'!$A$1:$AC$1,0))),0)</f>
        <v>0</v>
      </c>
      <c r="IM22" s="1165">
        <f t="array" ref="IM22">IFERROR(IF($IE22="SEGMENT",INDEX('Margin Guidence Table'!$A$1:$AC$10000,MATCH(1,('Margin Guidence Table'!$A$1:$A$10000=IC22)*('Margin Guidence Table'!$H$1:$H$10000&lt;=ROUND($HU$3,0))*('Margin Guidence Table'!$G$1:$G$10000&gt;=ROUND($HU$3,0)),0),MATCH("CIA_MEDIAN_MARGIN_GUIDENCE",'Margin Guidence Table'!$A$1:$AC$1,0)),INDEX('Margin Guidence Table'!$A$1:$AC$10000,MATCH(1,('Margin Guidence Table'!$A$1:$A$10000=IC22)*('Margin Guidence Table'!$H$1:$H$10000&lt;=ROUND($HU$3,0))*('Margin Guidence Table'!$G$1:$G$10000&gt;=ROUND($HU$3,0)),0),MATCH("DEFAULT_CIA_MEDIAN_MARGIN_GUIDENCE",'Margin Guidence Table'!$A$1:$AC$1,0))),0)</f>
        <v>0</v>
      </c>
      <c r="IN22" s="129"/>
      <c r="IO22" s="18">
        <f t="array" ref="IO22">IFERROR(IF($JA22="SEGMENT",INDEX('Margin Guidence Table'!$A$1:$AC$10000,MATCH(1,('Margin Guidence Table'!$A$1:$A$10000=$IY22)*('Margin Guidence Table'!$H$1:$H$10000&lt;=ROUND($IQ$3,0))*('Margin Guidence Table'!$G$1:$G$10000&gt;=ROUND($IQ$3,0)),0),MATCH("PCT_SALES",'Margin Guidence Table'!$A$1:$AC$1,0)),INDEX('Margin Guidence Table'!$A$1:$AC$10000,MATCH(1,('Margin Guidence Table'!$A$1:$A$10000=$IY22)*('Margin Guidence Table'!$H$1:$H$10000&lt;=ROUND($IQ$3,0))*('Margin Guidence Table'!$G$1:$G$10000&gt;=ROUND($IQ$3,0)),0),MATCH("DEFAULT_PCT_SALES",'Margin Guidence Table'!$A$1:$AC$1,0))),0)</f>
        <v>0</v>
      </c>
      <c r="IP22" s="102" t="s">
        <v>96</v>
      </c>
      <c r="IQ22" s="94">
        <f>IFERROR(IF(AND($IQ$2&lt;&gt;"Enter Spend&gt;&gt;&gt;",IR2="EXISTING"),SUMIFS('Existing Customers'!$Q:$Q,'Existing Customers'!$A:$A,$IQ$1,'Existing Customers'!$H:$H,$IP22)*$IQ$4,$IQ$3*$IO22),0)</f>
        <v>0</v>
      </c>
      <c r="IR22" s="89">
        <f>IFERROR(IF(AND($IQ$2&lt;&gt;"Enter Spend&gt;&gt;&gt;",IR2="EXISTING"),SUMIFS('Existing Customers'!$N:$N,'Existing Customers'!$A:$A,$IQ$1,'Existing Customers'!$H:$H,$IP22)*$IQ$4,$IQ22/$JB22),0)</f>
        <v>0</v>
      </c>
      <c r="IS22" s="95">
        <f>IFERROR(IF(AND($IQ$2&lt;&gt;"Enter Spend&gt;&gt;&gt;",IR2="EXISTING"),SUMIFS('Existing Customers'!$O:$O,'Existing Customers'!$H:$H,$IP22,'Existing Customers'!$A:$A,$IQ$1)*$IQ$4,$IR22*$IQ$8),0)</f>
        <v>0</v>
      </c>
      <c r="IT22" s="95">
        <f>IFERROR(IF(AND($IQ$2&lt;&gt;"Enter Spend&gt;&gt;&gt;",IR2="EXISTING"),SUMIFS('Existing Customers'!$P:$P,'Existing Customers'!$A:$A,$IQ$1,'Existing Customers'!$H:$H,$IP22)*$IQ$4,$IQ22/$JC22),0)</f>
        <v>0</v>
      </c>
      <c r="IU22" s="402">
        <f>IFERROR(IF(AND($IQ$2&lt;&gt;"Enter Spend&gt;&gt;&gt;",IR2="EXISTING"),SUMIFS('Existing Customers'!$V:$V,'Existing Customers'!$H:$H,$IP22,'Existing Customers'!$A:$A,$IQ$1)*$IQ$4,0),0)</f>
        <v>0</v>
      </c>
      <c r="IV22" s="96">
        <f>IFERROR(IF(AND($IQ$2&lt;&gt;"Enter Spend&gt;&gt;&gt;",IR2="EXISTING"),SUMIFS('Existing Customers'!$R:$R,'Existing Customers'!$H:$H,$IP22,'Existing Customers'!$A:$A,$IQ$1)*$IQ$4,0),0)</f>
        <v>0</v>
      </c>
      <c r="IW22" s="1161">
        <f>IFERROR(IF(AND($IQ$2&lt;&gt;"Enter Spend&gt;&gt;&gt;",IR2="EXISTING"),SUMIFS('Existing Customers'!$S:$S,'Existing Customers'!$H:$H,$IP22,'Existing Customers'!$A:$A,$IQ$1),JG22*IQ22),0)</f>
        <v>0</v>
      </c>
      <c r="IX22" s="1161">
        <f>IFERROR(IF(AND($IQ$2&lt;&gt;"Enter Spend&gt;&gt;&gt;",IR2="EXISTING"),SUMIFS('Existing Customers'!$U:$U,'Existing Customers'!$H:$H,$IP22,'Existing Customers'!$A:$A,$IQ$1),JH22*IQ22),0)</f>
        <v>0</v>
      </c>
      <c r="IY22" s="1164" t="e">
        <f t="shared" si="42"/>
        <v>#N/A</v>
      </c>
      <c r="IZ22" s="1164">
        <f t="array" ref="IZ22">IFERROR(INDEX('Margin Guidence Table'!$A$1:$AD$30000,MATCH(1,('Margin Guidence Table'!$A$1:$A$10000=IY22)*('Margin Guidence Table'!$H$1:$H$10000&lt;=ROUND($IQ$3,0))*('Margin Guidence Table'!$G$1:$G$10000&gt;=ROUND($IQ$3,0)),0),MATCH("DATA_POINTS",'Margin Guidence Table'!$A$1:$AC$1,0)),0)</f>
        <v>0</v>
      </c>
      <c r="JA22" s="1161" t="str">
        <f t="shared" si="43"/>
        <v>DEFAULT</v>
      </c>
      <c r="JB22" s="1161">
        <f t="array" ref="JB22">IFERROR(IF($JA22="SEGMENT",INDEX('Margin Guidence Table'!$A$1:$AC$10000,MATCH(1,('Margin Guidence Table'!$A$1:$A$10000=IY22)*('Margin Guidence Table'!$H$1:$H$10000&lt;=ROUND($IQ$3,0))*('Margin Guidence Table'!$G$1:$G$10000&gt;=ROUND($IQ$3,0)),0),MATCH("SALES_CASE",'Margin Guidence Table'!$A$1:$AC$1,0)),INDEX('Margin Guidence Table'!$A$1:$AC$10000,MATCH(1,('Margin Guidence Table'!$A$1:$A$10000=IY22)*('Margin Guidence Table'!$H$1:$H$10000&lt;=ROUND($IQ$3,0))*('Margin Guidence Table'!$G$1:$G$10000&gt;=ROUND($IQ$3,0)),0),MATCH("DEFAULT_SALES_CASE",'Margin Guidence Table'!$A$1:$AC$1,0))),0)</f>
        <v>0</v>
      </c>
      <c r="JC22" s="1161">
        <f t="array" ref="JC22">IFERROR(IF($JA22="SEGMENT",INDEX('Margin Guidence Table'!$A$1:$AC$10000,MATCH(1,('Margin Guidence Table'!$A$1:$A$10000=IY22)*('Margin Guidence Table'!$H$1:$H$10000&lt;=ROUND($IQ$3,0))*('Margin Guidence Table'!$G$1:$G$10000&gt;=ROUND($IQ$3,0)),0),MATCH("SALES_LBS",'Margin Guidence Table'!$A$1:$AC$1,0)),INDEX('Margin Guidence Table'!$A$1:$AC$10000,MATCH(1,('Margin Guidence Table'!$A$1:$A$10000=IY22)*('Margin Guidence Table'!$H$1:$H$10000&lt;=ROUND($IQ$3,0))*('Margin Guidence Table'!$G$1:$G$10000&gt;=ROUND($IQ$3,0)),0),MATCH("DEFAULT_SALES_LBS",'Margin Guidence Table'!$A$1:$AC$1,0))),0)</f>
        <v>0</v>
      </c>
      <c r="JD22" s="1165">
        <f t="array" ref="JD22">IFERROR(IF($JA22="SEGMENT",INDEX('Margin Guidence Table'!$A$1:$AC$10000,MATCH(1,('Margin Guidence Table'!$A$1:$A$10000=IY22)*('Margin Guidence Table'!$H$1:$H$10000&lt;=ROUND($IQ$3,0))*('Margin Guidence Table'!$G$1:$G$10000&gt;=ROUND($IQ$3,0)),0),MATCH("MDA_MIN_MARGIN_GUIDENCE",'Margin Guidence Table'!$A$1:$AC$1,0)),INDEX('Margin Guidence Table'!$A$1:$AC$10000,MATCH(1,('Margin Guidence Table'!$A$1:$A$10000=IY22)*('Margin Guidence Table'!$H$1:$H$10000&lt;=ROUND($IQ$3,0))*('Margin Guidence Table'!$G$1:$G$10000&gt;=ROUND($IQ$3,0)),0),MATCH("DEFAULT_MDA_MIN_MARGIN_GUIDENCE",'Margin Guidence Table'!$A$1:$AC$1,0))),0)</f>
        <v>0</v>
      </c>
      <c r="JE22" s="1165">
        <f t="array" ref="JE22">IFERROR(IF($JA22="SEGMENT",INDEX('Margin Guidence Table'!$A$1:$AC$10000,MATCH(1,('Margin Guidence Table'!$A$1:$A$10000=IY22)*('Margin Guidence Table'!$H$1:$H$10000&lt;=ROUND($IQ$3,0))*('Margin Guidence Table'!$G$1:$G$10000&gt;=ROUND($IQ$3,0)),0),MATCH("MDA_MEDIAN_MARGIN_GUIDENCE",'Margin Guidence Table'!$A$1:$AC$1,0)),INDEX('Margin Guidence Table'!$A$1:$AC$10000,MATCH(1,('Margin Guidence Table'!$A$1:$A$10000=IY22)*('Margin Guidence Table'!$H$1:$H$10000&lt;=ROUND($IQ$3,0))*('Margin Guidence Table'!$G$1:$G$10000&gt;=ROUND($IQ$3,0)),0),MATCH("DEFAULT_MDA_MEDIAN_MARGIN_GUIDENCE",'Margin Guidence Table'!$A$1:$AC$1,0))),0)</f>
        <v>0</v>
      </c>
      <c r="JF22" s="1165">
        <f t="array" ref="JF22">IFERROR(IF($JA22="SEGMENT",INDEX('Margin Guidence Table'!$A$1:$AC$10000,MATCH(1,('Margin Guidence Table'!$A$1:$A$10000=IY22)*('Margin Guidence Table'!$H$1:$H$10000&lt;=ROUND($IQ$3,0))*('Margin Guidence Table'!$G$1:$G$10000&gt;=ROUND($IQ$3,0)),0),MATCH("MDA_MAX_MARGIN_GUIDENCE",'Margin Guidence Table'!$A$1:$AC$1,0)),INDEX('Margin Guidence Table'!$A$1:$AC$10000,MATCH(1,('Margin Guidence Table'!$A$1:$A$10000=IY22)*('Margin Guidence Table'!$H$1:$H$10000&lt;=ROUND($IQ$3,0))*('Margin Guidence Table'!$G$1:$G$10000&gt;=ROUND($IQ$3,0)),0),MATCH("DEFAULT_MDA_MAX_MARGIN_GUIDENCE",'Margin Guidence Table'!$A$1:$AC$1,0))),0)</f>
        <v>0</v>
      </c>
      <c r="JG22" s="1165">
        <f t="array" ref="JG22">IFERROR(IF($JA22="SEGMENT",INDEX('Margin Guidence Table'!$A$1:$AC$10000,MATCH(1,('Margin Guidence Table'!$A$1:$A$10000=IY22)*('Margin Guidence Table'!$H$1:$H$10000&lt;=ROUND($IQ$3,0))*('Margin Guidence Table'!$G$1:$G$10000&gt;=ROUND($IQ$3,0)),0),MATCH("PA_PCT_SALES",'Margin Guidence Table'!$A$1:$AC$1,0)),INDEX('Margin Guidence Table'!$A$1:$AC$10000,MATCH(1,('Margin Guidence Table'!$A$1:$A$10000=IY22)*('Margin Guidence Table'!$H$1:$H$10000&lt;=ROUND($IQ$3,0))*('Margin Guidence Table'!$G$1:$G$10000&gt;=ROUND($IQ$3,0)),0),MATCH("DEFAULT_PA_PCT_SALES",'Margin Guidence Table'!$A$1:$AC$1,0))),0)</f>
        <v>0</v>
      </c>
      <c r="JH22" s="1165">
        <f t="array" ref="JH22">IFERROR(IF($JA22="SEGMENT",INDEX('Margin Guidence Table'!$A$1:$AC$10000,MATCH(1,('Margin Guidence Table'!$A$1:$A$10000=IY22)*('Margin Guidence Table'!$H$1:$H$10000&lt;=ROUND($IQ$3,0))*('Margin Guidence Table'!$G$1:$G$10000&gt;=ROUND($IQ$3,0)),0),MATCH("SELF_FUND_PCT_SALES",'Margin Guidence Table'!$A$1:$AC$1,0)),INDEX('Margin Guidence Table'!$A$1:$AC$10000,MATCH(1,('Margin Guidence Table'!$A$1:$A$10000=IY22)*('Margin Guidence Table'!$H$1:$H$10000&lt;=ROUND($IQ$3,0))*('Margin Guidence Table'!$G$1:$G$10000&gt;=ROUND($IQ$3,0)),0),MATCH("DEFAULT_SELF_FUND_PCT_SALES",'Margin Guidence Table'!$A$1:$AC$1,0))),0)</f>
        <v>0</v>
      </c>
      <c r="JI22" s="1165">
        <f t="array" ref="JI22">IFERROR(IF($JA22="SEGMENT",INDEX('Margin Guidence Table'!$A$1:$AC$10000,MATCH(1,('Margin Guidence Table'!$A$1:$A$10000=IY22)*('Margin Guidence Table'!$H$1:$H$10000&lt;=ROUND($IQ$3,0))*('Margin Guidence Table'!$G$1:$G$10000&gt;=ROUND($IQ$3,0)),0),MATCH("CIA_MEDIAN_MARGIN_GUIDENCE",'Margin Guidence Table'!$A$1:$AC$1,0)),INDEX('Margin Guidence Table'!$A$1:$AC$10000,MATCH(1,('Margin Guidence Table'!$A$1:$A$10000=IY22)*('Margin Guidence Table'!$H$1:$H$10000&lt;=ROUND($IQ$3,0))*('Margin Guidence Table'!$G$1:$G$10000&gt;=ROUND($IQ$3,0)),0),MATCH("DEFAULT_CIA_MEDIAN_MARGIN_GUIDENCE",'Margin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44"/>
        <v>#DIV/0!</v>
      </c>
      <c r="AV23" s="400"/>
      <c r="AW23" s="400"/>
      <c r="AX23" s="108">
        <v>12</v>
      </c>
      <c r="AY23" s="18">
        <f t="array" ref="AY23">IFERROR(IF($BK23="SEGMENT",INDEX('Margin Guidence Table'!$A$1:$AC$10000,MATCH(1,('Margin Guidence Table'!$A$1:$A$10000=$BI23)*('Margin Guidence Table'!$H$1:$H$10000&lt;=ROUND($BA$3,0))*('Margin Guidence Table'!$G$1:$G$10000&gt;=ROUND($BA$3,0)),0),MATCH("PCT_SALES",'Margin Guidence Table'!$A$1:$AC$1,0)),INDEX('Margin Guidence Table'!$A$1:$AC$10000,MATCH(1,('Margin Guidence Table'!$A$1:$A$10000=$BI23)*('Margin Guidence Table'!$H$1:$H$10000&lt;=ROUND($BA$3,0))*('Margin Guidence Table'!$G$1:$G$10000&gt;=ROUND($BA$3,0)),0),MATCH("DEFAULT_PCT_SALES",'Margin Guidence Table'!$A$1:$AC$1,0))),0)</f>
        <v>0</v>
      </c>
      <c r="AZ23" s="102" t="s">
        <v>101</v>
      </c>
      <c r="BA23" s="94">
        <f>IFERROR(IF(AND($BA$2&lt;&gt;"Enter Spend&gt;&gt;&gt;",BB2="EXISTING"),SUMIFS('Existing Customers'!$Q:$Q,'Existing Customers'!$A:$A,$BA$1,'Existing Customers'!$H:$H,$AZ23)*$BA$4,$BA$3*$AY23),0)</f>
        <v>0</v>
      </c>
      <c r="BB23" s="95">
        <f>IFERROR(IF(AND($BA$2&lt;&gt;"Enter Spend&gt;&gt;&gt;",BB2="EXISTING"),SUMIFS('Existing Customers'!$N:$N,'Existing Customers'!$A:$A,$BA$1,'Existing Customers'!$H:$H,$AZ23)*$BA$4,$BA23/$BL23),0)</f>
        <v>0</v>
      </c>
      <c r="BC23" s="95">
        <f>IFERROR(IF(AND($BA$2&lt;&gt;"Enter Spend&gt;&gt;&gt;",BB2="EXISTING"),SUMIFS('Existing Customers'!$O:$O,'Existing Customers'!$H:$H,$AZ23,'Existing Customers'!$A:$A,$BA$1)*$BA$4,$BB23*$BA$8),0)</f>
        <v>0</v>
      </c>
      <c r="BD23" s="95">
        <f>IFERROR(IF(AND($BA$2&lt;&gt;"Enter Spend&gt;&gt;&gt;",BB2="EXISTING"),SUMIFS('Existing Customers'!$P:$P,'Existing Customers'!$A:$A,$BA$1,'Existing Customers'!$H:$H,$AZ23)*$BA$4,$BA23/$BM23),0)</f>
        <v>0</v>
      </c>
      <c r="BE23" s="402">
        <f>IFERROR(IF(AND($BA$2&lt;&gt;"Enter Spend&gt;&gt;&gt;",BB2="EXISTING"),SUMIFS('Existing Customers'!$V:$V,'Existing Customers'!$H:$H,$AZ23,'Existing Customers'!$A:$A,$BA$1)*$BA$4,0),0)</f>
        <v>0</v>
      </c>
      <c r="BF23" s="96">
        <f>IFERROR(IF(AND($BA$2&lt;&gt;"Enter Spend&gt;&gt;&gt;",BB2="EXISTING"),SUMIFS('Existing Customers'!$R:$R,'Existing Customers'!$H:$H,$AZ23,'Existing Customers'!$A:$A,$BA$1)*$BA$4,0),0)</f>
        <v>0</v>
      </c>
      <c r="BG23" s="96">
        <f>IFERROR(IF(AND($BA$2&lt;&gt;"Enter Spend&gt;&gt;&gt;",BB2="EXISTING"),SUMIFS('Existing Customers'!$S:$S,'Existing Customers'!$H:$H,$AZ23,'Existing Customers'!$A:$A,$BA$1),BQ23*BA23),0)</f>
        <v>0</v>
      </c>
      <c r="BH23" s="96">
        <f>IFERROR(IF(AND($BA$2&lt;&gt;"Enter Spend&gt;&gt;&gt;",BB2="EXISTING"),SUMIFS('Existing Customers'!$U:$U,'Existing Customers'!$H:$H,$AZ23,'Existing Customers'!$A:$A,$BA$1),BR23*BA23),0)</f>
        <v>0</v>
      </c>
      <c r="BI23" s="1163" t="e">
        <f t="shared" si="24"/>
        <v>#N/A</v>
      </c>
      <c r="BJ23" s="1164">
        <f t="array" ref="BJ23">IFERROR(INDEX('Margin Guidence Table'!$A$1:$AD$30000,MATCH(1,('Margin Guidence Table'!$A$1:$A$10000=$BI23)*('Margin Guidence Table'!$H$1:$H$10000&lt;=ROUND($BA$3,0))*('Margin Guidence Table'!$G$1:$G$10000&gt;=ROUND($BA$3,0)),0),MATCH("DATA_POINTS",'Margin Guidence Table'!$A$1:$AC$1,0)),0)</f>
        <v>0</v>
      </c>
      <c r="BK23" s="1161" t="str">
        <f t="shared" si="25"/>
        <v>DEFAULT</v>
      </c>
      <c r="BL23" s="1161">
        <f t="array" ref="BL23">IFERROR(IF($BK23="SEGMENT",INDEX('Margin Guidence Table'!$A$1:$AC$10000,MATCH(1,('Margin Guidence Table'!$A$1:$A$10000=$BI23)*('Margin Guidence Table'!$H$1:$H$10000&lt;=ROUND($BA$3,0))*('Margin Guidence Table'!$G$1:$G$10000&gt;=ROUND($BA$3,0)),0),MATCH("SALES_CASE",'Margin Guidence Table'!$A$1:$AC$1,0)),INDEX('Margin Guidence Table'!$A$1:$AC$10000,MATCH(1,('Margin Guidence Table'!$A$1:$A$10000=$BI23)*('Margin Guidence Table'!$H$1:$H$10000&lt;=ROUND($BA$3,0))*('Margin Guidence Table'!$G$1:$G$10000&gt;=ROUND($BA$3,0)),0),MATCH("DEFAULT_SALES_CASE",'Margin Guidence Table'!$A$1:$AC$1,0))),0)</f>
        <v>0</v>
      </c>
      <c r="BM23" s="1161">
        <f t="array" ref="BM23">IFERROR(IF($BK23="SEGMENT",INDEX('Margin Guidence Table'!$A$1:$AC$10000,MATCH(1,('Margin Guidence Table'!$A$1:$A$10000=$BI23)*('Margin Guidence Table'!$H$1:$H$10000&lt;=ROUND($BA$3,0))*('Margin Guidence Table'!$G$1:$G$10000&gt;=ROUND($BA$3,0)),0),MATCH("SALES_LBS",'Margin Guidence Table'!$A$1:$AC$1,0)),INDEX('Margin Guidence Table'!$A$1:$AC$10000,MATCH(1,('Margin Guidence Table'!$A$1:$A$10000=$BI23)*('Margin Guidence Table'!$H$1:$H$10000&lt;=ROUND($BA$3,0))*('Margin Guidence Table'!$G$1:$G$10000&gt;=ROUND($BA$3,0)),0),MATCH("DEFAULT_SALES_LBS",'Margin Guidence Table'!$A$1:$AC$1,0))),0)</f>
        <v>0</v>
      </c>
      <c r="BN23" s="1165">
        <f t="array" ref="BN23">IFERROR(IF($BK23="SEGMENT",INDEX('Margin Guidence Table'!$A$1:$AC$10000,MATCH(1,('Margin Guidence Table'!$A$1:$A$10000=$BI23)*('Margin Guidence Table'!$H$1:$H$10000&lt;=ROUND($BA$3,0))*('Margin Guidence Table'!$G$1:$G$10000&gt;=ROUND($BA$3,0)),0),MATCH("MDA_MIN_MARGIN_GUIDENCE",'Margin Guidence Table'!$A$1:$AC$1,0)),INDEX('Margin Guidence Table'!$A$1:$AC$10000,MATCH(1,('Margin Guidence Table'!$A$1:$A$10000=$BI23)*('Margin Guidence Table'!$H$1:$H$10000&lt;=ROUND($BA$3,0))*('Margin Guidence Table'!$G$1:$G$10000&gt;=ROUND($BA$3,0)),0),MATCH("DEFAULT_MDA_MIN_MARGIN_GUIDENCE",'Margin Guidence Table'!$A$1:$AC$1,0))),0)</f>
        <v>0</v>
      </c>
      <c r="BO23" s="1165">
        <f t="array" ref="BO23">IFERROR(IF($BK23="SEGMENT",INDEX('Margin Guidence Table'!$A$1:$AC$10000,MATCH(1,('Margin Guidence Table'!$A$1:$A$10000=$BI23)*('Margin Guidence Table'!$H$1:$H$10000&lt;=ROUND($BA$3,0))*('Margin Guidence Table'!$G$1:$G$10000&gt;=ROUND($BA$3,0)),0),MATCH("MDA_MEDIAN_MARGIN_GUIDENCE",'Margin Guidence Table'!$A$1:$AC$1,0)),INDEX('Margin Guidence Table'!$A$1:$AC$10000,MATCH(1,('Margin Guidence Table'!$A$1:$A$10000=$BI23)*('Margin Guidence Table'!$H$1:$H$10000&lt;=ROUND($BA$3,0))*('Margin Guidence Table'!$G$1:$G$10000&gt;=ROUND($BA$3,0)),0),MATCH("DEFAULT_MDA_MEDIAN_MARGIN_GUIDENCE",'Margin Guidence Table'!$A$1:$AC$1,0))),0)</f>
        <v>0</v>
      </c>
      <c r="BP23" s="1165">
        <f t="array" ref="BP23">IFERROR(IF($BK23="SEGMENT",INDEX('Margin Guidence Table'!$A$1:$AC$10000,MATCH(1,('Margin Guidence Table'!$A$1:$A$10000=$BI23)*('Margin Guidence Table'!$H$1:$H$10000&lt;=ROUND($BA$3,0))*('Margin Guidence Table'!$G$1:$G$10000&gt;=ROUND($BA$3,0)),0),MATCH("MDA_MAX_MARGIN_GUIDENCE",'Margin Guidence Table'!$A$1:$AC$1,0)),INDEX('Margin Guidence Table'!$A$1:$AC$10000,MATCH(1,('Margin Guidence Table'!$A$1:$A$10000=$BI23)*('Margin Guidence Table'!$H$1:$H$10000&lt;=ROUND($BA$3,0))*('Margin Guidence Table'!$G$1:$G$10000&gt;=ROUND($BA$3,0)),0),MATCH("DEFAULT_MDA_MAX_MARGIN_GUIDENCE",'Margin Guidence Table'!$A$1:$AC$1,0))),0)</f>
        <v>0</v>
      </c>
      <c r="BQ23" s="1165">
        <f t="array" ref="BQ23">IFERROR(IF($BK23="SEGMENT",INDEX('Margin Guidence Table'!$A$1:$AC$10000,MATCH(1,('Margin Guidence Table'!$A$1:$A$10000=$BI23)*('Margin Guidence Table'!$H$1:$H$10000&lt;=ROUND($BA$3,0))*('Margin Guidence Table'!$G$1:$G$10000&gt;=ROUND($BA$3,0)),0),MATCH("PA_PCT_SALES",'Margin Guidence Table'!$A$1:$AC$1,0)),INDEX('Margin Guidence Table'!$A$1:$AC$10000,MATCH(1,('Margin Guidence Table'!$A$1:$A$10000=$BI23)*('Margin Guidence Table'!$H$1:$H$10000&lt;=ROUND($BA$3,0))*('Margin Guidence Table'!$G$1:$G$10000&gt;=ROUND($BA$3,0)),0),MATCH("DEFAULT_PA_PCT_SALES",'Margin Guidence Table'!$A$1:$AC$1,0))),0)</f>
        <v>0</v>
      </c>
      <c r="BR23" s="1165">
        <f t="array" ref="BR23">IFERROR(IF($BK23="SEGMENT",INDEX('Margin Guidence Table'!$A$1:$AC$10000,MATCH(1,('Margin Guidence Table'!$A$1:$A$10000=$BI23)*('Margin Guidence Table'!$H$1:$H$10000&lt;=ROUND($BA$3,0))*('Margin Guidence Table'!$G$1:$G$10000&gt;=ROUND($BA$3,0)),0),MATCH("SELF_FUND_PCT_SALES",'Margin Guidence Table'!$A$1:$AC$1,0)),INDEX('Margin Guidence Table'!$A$1:$AC$10000,MATCH(1,('Margin Guidence Table'!$A$1:$A$10000=$BI23)*('Margin Guidence Table'!$H$1:$H$10000&lt;=ROUND($BA$3,0))*('Margin Guidence Table'!$G$1:$G$10000&gt;=ROUND($BA$3,0)),0),MATCH("DEFAULT_SELF_FUND_PCT_SALES",'Margin Guidence Table'!$A$1:$AC$1,0))),0)</f>
        <v>0</v>
      </c>
      <c r="BS23" s="1165">
        <f t="array" ref="BS23">IFERROR(IF($BK23="SEGMENT",INDEX('Margin Guidence Table'!$A$1:$AC$10000,MATCH(1,('Margin Guidence Table'!$A$1:$A$10000=$BI23)*('Margin Guidence Table'!$H$1:$H$10000&lt;=ROUND($BA$3,0))*('Margin Guidence Table'!$G$1:$G$10000&gt;=ROUND($BA$3,0)),0),MATCH("CIA_MEDIAN_MARGIN_GUIDENCE",'Margin Guidence Table'!$A$1:$AC$1,0)),INDEX('Margin Guidence Table'!$A$1:$AC$10000,MATCH(1,('Margin Guidence Table'!$A$1:$A$10000=$BI23)*('Margin Guidence Table'!$H$1:$H$10000&lt;=ROUND($BA$3,0))*('Margin Guidence Table'!$G$1:$G$10000&gt;=ROUND($BA$3,0)),0),MATCH("DEFAULT_CIA_MEDIAN_MARGIN_GUIDENCE",'Margin Guidence Table'!$A$1:$AC$1,0))),0)</f>
        <v>0</v>
      </c>
      <c r="BT23" s="129"/>
      <c r="BU23" s="18">
        <f t="array" ref="BU23">IFERROR(IF($CG23="SEGMENT",INDEX('Margin Guidence Table'!$A$1:$AC$10000,MATCH(1,('Margin Guidence Table'!$A$1:$A$10000=$CE23)*('Margin Guidence Table'!$H$1:$H$10000&lt;=ROUND($BW$3,0))*('Margin Guidence Table'!$G$1:$G$10000&gt;=ROUND($BW$3,0)),0),MATCH("PCT_SALES",'Margin Guidence Table'!$A$1:$AC$1,0)),INDEX('Margin Guidence Table'!$A$1:$AC$10000,MATCH(1,('Margin Guidence Table'!$A$1:$A$10000=$CE23)*('Margin Guidence Table'!$H$1:$H$10000&lt;=ROUND($BW$3,0))*('Margin Guidence Table'!$G$1:$G$10000&gt;=ROUND($BW$3,0)),0),MATCH("DEFAULT_PCT_SALES",'Margin Guidence Table'!$A$1:$AC$1,0))),0)</f>
        <v>0</v>
      </c>
      <c r="BV23" s="102" t="s">
        <v>101</v>
      </c>
      <c r="BW23" s="94">
        <f>IFERROR(IF(AND($BW$2&lt;&gt;"Enter Spend&gt;&gt;&gt;",BX2="EXISTING"),SUMIFS('Existing Customers'!$Q:$Q,'Existing Customers'!$A:$A,$BW$1,'Existing Customers'!$H:$H,$BV23)*$BW$4,$BW$3*$BU23),0)</f>
        <v>0</v>
      </c>
      <c r="BX23" s="89">
        <f>IFERROR(IF(AND($BW$2&lt;&gt;"Enter Spend&gt;&gt;&gt;",BX2="EXISTING"),SUMIFS('Existing Customers'!$N:$N,'Existing Customers'!$A:$A,$BW$1,'Existing Customers'!$H:$H,$BV23)*$BW$4,$BW23/$CH23),0)</f>
        <v>0</v>
      </c>
      <c r="BY23" s="95">
        <f>IFERROR(IF(AND($BW$2&lt;&gt;"Enter Spend&gt;&gt;&gt;",BX2="EXISTING"),SUMIFS('Existing Customers'!$O:$O,'Existing Customers'!$H:$H,$BV23,'Existing Customers'!$A:$A,$BW$1)*$BW$4,$BX23*$BW$8),0)</f>
        <v>0</v>
      </c>
      <c r="BZ23" s="95">
        <f>IFERROR(IF(AND($BW$2&lt;&gt;"Enter Spend&gt;&gt;&gt;",BX2="EXISTING"),SUMIFS('Existing Customers'!$P:$P,'Existing Customers'!$A:$A,$BW$1,'Existing Customers'!$H:$H,$BV23)*$BW$4,$BW23/$CI23),0)</f>
        <v>0</v>
      </c>
      <c r="CA23" s="96">
        <f>IFERROR(IF(AND($BW$2&lt;&gt;"Enter Spend&gt;&gt;&gt;",BX2="EXISTING"),SUMIFS('Existing Customers'!$V:$V,'Existing Customers'!$H:$H,$BV23,'Existing Customers'!$A:$A,$BW$1)*$BW$4,0),0)</f>
        <v>0</v>
      </c>
      <c r="CB23" s="96">
        <f>IFERROR(IF(AND($BW$2&lt;&gt;"Enter Spend&gt;&gt;&gt;",BX2="EXISTING"),SUMIFS('Existing Customers'!$R:$R,'Existing Customers'!$H:$H,$BV23,'Existing Customers'!$A:$A,$BW$1)*$BW$4,0),0)</f>
        <v>0</v>
      </c>
      <c r="CC23" s="1161">
        <f>IFERROR(IF(AND($BW$2&lt;&gt;"Enter Spend&gt;&gt;&gt;",BX2="EXISTING"),SUMIFS('Existing Customers'!$S:$S,'Existing Customers'!$H:$H,$BV23,'Existing Customers'!$A:$A,$BW$1),CM23*BW23),0)</f>
        <v>0</v>
      </c>
      <c r="CD23" s="1161">
        <f>IFERROR(IF(AND($BW$2&lt;&gt;"Enter Spend&gt;&gt;&gt;",BX2="EXISTING"),SUMIFS('Existing Customers'!$U:$U,'Existing Customers'!$H:$H,$BV23,'Existing Customers'!$A:$A,$BW$1),CN23*BW23),0)</f>
        <v>0</v>
      </c>
      <c r="CE23" s="1164" t="e">
        <f t="shared" si="26"/>
        <v>#N/A</v>
      </c>
      <c r="CF23" s="1164">
        <f t="array" ref="CF23">IFERROR(INDEX('Margin Guidence Table'!$A$1:$AD$30000,MATCH(1,('Margin Guidence Table'!$A$1:$A$10000=$CE23)*('Margin Guidence Table'!$H$1:$H$10000&lt;=ROUND($BW$3,0))*('Margin Guidence Table'!$G$1:$G$10000&gt;=ROUND($BW$3,0)),0),MATCH("DATA_POINTS",'Margin Guidence Table'!$A$1:$AC$1,0)),0)</f>
        <v>0</v>
      </c>
      <c r="CG23" s="1161" t="str">
        <f t="shared" si="27"/>
        <v>DEFAULT</v>
      </c>
      <c r="CH23" s="1161">
        <f t="array" ref="CH23">IFERROR(IF($CG23="SEGMENT",INDEX('Margin Guidence Table'!$A$1:$AC$10000,MATCH(1,('Margin Guidence Table'!$A$1:$A$10000=$CE23)*('Margin Guidence Table'!$H$1:$H$10000&lt;=ROUND($BW$3,0))*('Margin Guidence Table'!$G$1:$G$10000&gt;=ROUND($BW$3,0)),0),MATCH("SALES_CASE",'Margin Guidence Table'!$A$1:$AC$1,0)),INDEX('Margin Guidence Table'!$A$1:$AC$10000,MATCH(1,('Margin Guidence Table'!$A$1:$A$10000=$CE23)*('Margin Guidence Table'!$H$1:$H$10000&lt;=ROUND($BW$3,0))*('Margin Guidence Table'!$G$1:$G$10000&gt;=ROUND($BW$3,0)),0),MATCH("DEFAULT_SALES_CASE",'Margin Guidence Table'!$A$1:$AC$1,0))),0)</f>
        <v>0</v>
      </c>
      <c r="CI23" s="1161">
        <f t="array" ref="CI23">IFERROR(IF($CG23="SEGMENT",INDEX('Margin Guidence Table'!$A$1:$AC$10000,MATCH(1,('Margin Guidence Table'!$A$1:$A$10000=$CE23)*('Margin Guidence Table'!$H$1:$H$10000&lt;=ROUND($BW$3,0))*('Margin Guidence Table'!$G$1:$G$10000&gt;=ROUND($BW$3,0)),0),MATCH("SALES_LBS",'Margin Guidence Table'!$A$1:$AC$1,0)),INDEX('Margin Guidence Table'!$A$1:$AC$10000,MATCH(1,('Margin Guidence Table'!$A$1:$A$10000=$CE23)*('Margin Guidence Table'!$H$1:$H$10000&lt;=ROUND($BW$3,0))*('Margin Guidence Table'!$G$1:$G$10000&gt;=ROUND($BW$3,0)),0),MATCH("DEFAULT_SALES_LBS",'Margin Guidence Table'!$A$1:$AC$1,0))),0)</f>
        <v>0</v>
      </c>
      <c r="CJ23" s="1165">
        <f t="array" ref="CJ23">IFERROR(IF($CG23="SEGMENT",INDEX('Margin Guidence Table'!$A$1:$AC$10000,MATCH(1,('Margin Guidence Table'!$A$1:$A$10000=$CE23)*('Margin Guidence Table'!$H$1:$H$10000&lt;=ROUND($BW$3,0))*('Margin Guidence Table'!$G$1:$G$10000&gt;=ROUND($BW$3,0)),0),MATCH("MDA_MIN_MARGIN_GUIDENCE",'Margin Guidence Table'!$A$1:$AC$1,0)),INDEX('Margin Guidence Table'!$A$1:$AC$10000,MATCH(1,('Margin Guidence Table'!$A$1:$A$10000=$CE23)*('Margin Guidence Table'!$H$1:$H$10000&lt;=ROUND($BW$3,0))*('Margin Guidence Table'!$G$1:$G$10000&gt;=ROUND($BW$3,0)),0),MATCH("DEFAULT_MDA_MIN_MARGIN_GUIDENCE",'Margin Guidence Table'!$A$1:$AC$1,0))),0)</f>
        <v>0</v>
      </c>
      <c r="CK23" s="1165">
        <f t="array" ref="CK23">IFERROR(IF($CG23="SEGMENT",INDEX('Margin Guidence Table'!$A$1:$AC$10000,MATCH(1,('Margin Guidence Table'!$A$1:$A$10000=$CE23)*('Margin Guidence Table'!$H$1:$H$10000&lt;=ROUND($BW$3,0))*('Margin Guidence Table'!$G$1:$G$10000&gt;=ROUND($BW$3,0)),0),MATCH("MDA_MEDIAN_MARGIN_GUIDENCE",'Margin Guidence Table'!$A$1:$AC$1,0)),INDEX('Margin Guidence Table'!$A$1:$AC$10000,MATCH(1,('Margin Guidence Table'!$A$1:$A$10000=$CE23)*('Margin Guidence Table'!$H$1:$H$10000&lt;=ROUND($BW$3,0))*('Margin Guidence Table'!$G$1:$G$10000&gt;=ROUND($BW$3,0)),0),MATCH("DEFAULT_MDA_MEDIAN_MARGIN_GUIDENCE",'Margin Guidence Table'!$A$1:$AC$1,0))),0)</f>
        <v>0</v>
      </c>
      <c r="CL23" s="1165">
        <f t="array" ref="CL23">IFERROR(IF($CG23="SEGMENT",INDEX('Margin Guidence Table'!$A$1:$AC$10000,MATCH(1,('Margin Guidence Table'!$A$1:$A$10000=$CE23)*('Margin Guidence Table'!$H$1:$H$10000&lt;=ROUND($BW$3,0))*('Margin Guidence Table'!$G$1:$G$10000&gt;=ROUND($BW$3,0)),0),MATCH("MDA_MAX_MARGIN_GUIDENCE",'Margin Guidence Table'!$A$1:$AC$1,0)),INDEX('Margin Guidence Table'!$A$1:$AC$10000,MATCH(1,('Margin Guidence Table'!$A$1:$A$10000=$CE23)*('Margin Guidence Table'!$H$1:$H$10000&lt;=ROUND($BW$3,0))*('Margin Guidence Table'!$G$1:$G$10000&gt;=ROUND($BW$3,0)),0),MATCH("DEFAULT_MDA_MAX_MARGIN_GUIDENCE",'Margin Guidence Table'!$A$1:$AC$1,0))),0)</f>
        <v>0</v>
      </c>
      <c r="CM23" s="1165">
        <f t="array" ref="CM23">IFERROR(IF($CG23="SEGMENT",INDEX('Margin Guidence Table'!$A$1:$AC$10000,MATCH(1,('Margin Guidence Table'!$A$1:$A$10000=$CE23)*('Margin Guidence Table'!$H$1:$H$10000&lt;=ROUND($BW$3,0))*('Margin Guidence Table'!$G$1:$G$10000&gt;=ROUND($BW$3,0)),0),MATCH("PA_PCT_SALES",'Margin Guidence Table'!$A$1:$AC$1,0)),INDEX('Margin Guidence Table'!$A$1:$AC$10000,MATCH(1,('Margin Guidence Table'!$A$1:$A$10000=$CE23)*('Margin Guidence Table'!$H$1:$H$10000&lt;=ROUND($BW$3,0))*('Margin Guidence Table'!$G$1:$G$10000&gt;=ROUND($BW$3,0)),0),MATCH("DEFAULT_PA_PCT_SALES",'Margin Guidence Table'!$A$1:$AC$1,0))),0)</f>
        <v>0</v>
      </c>
      <c r="CN23" s="1165">
        <f t="array" ref="CN23">IFERROR(IF($CG23="SEGMENT",INDEX('Margin Guidence Table'!$A$1:$AC$10000,MATCH(1,('Margin Guidence Table'!$A$1:$A$10000=$CE23)*('Margin Guidence Table'!$H$1:$H$10000&lt;=ROUND($BW$3,0))*('Margin Guidence Table'!$G$1:$G$10000&gt;=ROUND($BW$3,0)),0),MATCH("SELF_FUND_PCT_SALES",'Margin Guidence Table'!$A$1:$AC$1,0)),INDEX('Margin Guidence Table'!$A$1:$AC$10000,MATCH(1,('Margin Guidence Table'!$A$1:$A$10000=$CE23)*('Margin Guidence Table'!$H$1:$H$10000&lt;=ROUND($BW$3,0))*('Margin Guidence Table'!$G$1:$G$10000&gt;=ROUND($BW$3,0)),0),MATCH("DEFAULT_SELF_FUND_PCT_SALES",'Margin Guidence Table'!$A$1:$AC$1,0))),0)</f>
        <v>0</v>
      </c>
      <c r="CO23" s="1165">
        <f t="array" ref="CO23">IFERROR(IF($CG23="SEGMENT",INDEX('Margin Guidence Table'!$A$1:$AC$10000,MATCH(1,('Margin Guidence Table'!$A$1:$A$10000=$CE23)*('Margin Guidence Table'!$H$1:$H$10000&lt;=ROUND($BW$3,0))*('Margin Guidence Table'!$G$1:$G$10000&gt;=ROUND($BW$3,0)),0),MATCH("CIA_MEDIAN_MARGIN_GUIDENCE",'Margin Guidence Table'!$A$1:$AC$1,0)),INDEX('Margin Guidence Table'!$A$1:$AC$10000,MATCH(1,('Margin Guidence Table'!$A$1:$A$10000=$CE23)*('Margin Guidence Table'!$H$1:$H$10000&lt;=ROUND($BW$3,0))*('Margin Guidence Table'!$G$1:$G$10000&gt;=ROUND($BW$3,0)),0),MATCH("DEFAULT_CIA_MEDIAN_MARGIN_GUIDENCE",'Margin Guidence Table'!$A$1:$AC$1,0))),0)</f>
        <v>0</v>
      </c>
      <c r="CP23" s="129"/>
      <c r="CQ23" s="18">
        <f t="array" ref="CQ23">IFERROR(IF($DC23="SEGMENT",INDEX('Margin Guidence Table'!$A$1:$AC$10000,MATCH(1,('Margin Guidence Table'!$A$1:$A$10000=$DA23)*('Margin Guidence Table'!$H$1:$H$10000&lt;=ROUND($CS$3,0))*('Margin Guidence Table'!$G$1:$G$10000&gt;=ROUND($CS$3,0)),0),MATCH("PCT_SALES",'Margin Guidence Table'!$A$1:$AC$1,0)),INDEX('Margin Guidence Table'!$A$1:$AC$10000,MATCH(1,('Margin Guidence Table'!$A$1:$A$10000=$DA23)*('Margin Guidence Table'!$H$1:$H$10000&lt;=ROUND($CS$3,0))*('Margin Guidence Table'!$G$1:$G$10000&gt;=ROUND($CS$3,0)),0),MATCH("DEFAULT_PCT_SALES",'Margin Guidence Table'!$A$1:$AC$1,0))),0)</f>
        <v>0</v>
      </c>
      <c r="CR23" s="102" t="s">
        <v>101</v>
      </c>
      <c r="CS23" s="94">
        <f>IFERROR(IF(AND($CS$2&lt;&gt;"Enter Spend&gt;&gt;&gt;",CT2="EXISTING"),SUMIFS('Existing Customers'!$Q:$Q,'Existing Customers'!$A:$A,$CS$1,'Existing Customers'!$H:$H,$CR23)*$CS$4,$CS$3*$CQ23),0)</f>
        <v>0</v>
      </c>
      <c r="CT23" s="89">
        <f>IFERROR(IF(AND($CS$2&lt;&gt;"Enter Spend&gt;&gt;&gt;",CT2="EXISTING"),SUMIFS('Existing Customers'!$N:$N,'Existing Customers'!$A:$A,$CS$1,'Existing Customers'!$H:$H,$CR23)*$CS$4,$CS23/$DD23),0)</f>
        <v>0</v>
      </c>
      <c r="CU23" s="95">
        <f>IFERROR(IF(AND($CS$2&lt;&gt;"Enter Spend&gt;&gt;&gt;",BB28="EXISTING"),SUMIFS('Existing Customers'!$O:$O,'Existing Customers'!$H:$H,$CR23,'Existing Customers'!$A:$A,$CS$1)*$CS$4,$CT23*$CS$8),0)</f>
        <v>0</v>
      </c>
      <c r="CV23" s="95">
        <f>IFERROR(IF(AND($CS$2&lt;&gt;"Enter Spend&gt;&gt;&gt;",CT2="EXISTING"),SUMIFS('Existing Customers'!$P:$P,'Existing Customers'!$A:$A,$CS$1,'Existing Customers'!$H:$H,$CR23)*$CS$4,$CS23/$DE23),0)</f>
        <v>0</v>
      </c>
      <c r="CW23" s="96">
        <f>IFERROR(IF(AND($CS$2&lt;&gt;"Enter Spend&gt;&gt;&gt;",CT2="EXISTING"),SUMIFS('Existing Customers'!$V:$V,'Existing Customers'!$H:$H,$CR23,'Existing Customers'!$A:$A,$CS$1)*$CS$4,0),0)</f>
        <v>0</v>
      </c>
      <c r="CX23" s="96">
        <f>IFERROR(IF(AND($CS$2&lt;&gt;"Enter Spend&gt;&gt;&gt;",CT2="EXISTING"),SUMIFS('Existing Customers'!$R:$R,'Existing Customers'!$H:$H,$AZ23,'Existing Customers'!$A:$A,$CS$1)*$CS$4,0),0)</f>
        <v>0</v>
      </c>
      <c r="CY23" s="1161">
        <f>IFERROR(IF(AND($CS$2&lt;&gt;"Enter Spend&gt;&gt;&gt;",CT2="EXISTING"),SUMIFS('Existing Customers'!$S:$S,'Existing Customers'!$H:$H,$CR23,'Existing Customers'!$A:$A,$CS$1),DI23*CS23),0)</f>
        <v>0</v>
      </c>
      <c r="CZ23" s="1161">
        <f>IFERROR(IF(AND($CS$2&lt;&gt;"Enter Spend&gt;&gt;&gt;",CT2="EXISTING"),SUMIFS('Existing Customers'!$U:$U,'Existing Customers'!$H:$H,$CR23,'Existing Customers'!$A:$A,$CS$1),DJ23*CS23),0)</f>
        <v>0</v>
      </c>
      <c r="DA23" s="1164" t="e">
        <f t="shared" si="28"/>
        <v>#N/A</v>
      </c>
      <c r="DB23" s="1164">
        <f t="array" ref="DB23">IFERROR(INDEX('Margin Guidence Table'!$A$1:$AD$30000,MATCH(1,('Margin Guidence Table'!$A$1:$A$10000=DA23)*('Margin Guidence Table'!$H$1:$H$10000&lt;=ROUND($CS$3,0))*('Margin Guidence Table'!$G$1:$G$10000&gt;=ROUND($CS$3,0)),0),MATCH("DATA_POINTS",'Margin Guidence Table'!$A$1:$AC$1,0)),0)</f>
        <v>0</v>
      </c>
      <c r="DC23" s="1161" t="str">
        <f t="shared" si="29"/>
        <v>DEFAULT</v>
      </c>
      <c r="DD23" s="1161">
        <f t="array" ref="DD23">IFERROR(IF($DC23="SEGMENT",INDEX('Margin Guidence Table'!$A$1:$AC$10000,MATCH(1,('Margin Guidence Table'!$A$1:$A$10000=DA23)*('Margin Guidence Table'!$H$1:$H$10000&lt;=ROUND($CS$3,0))*('Margin Guidence Table'!$G$1:$G$10000&gt;=ROUND($CS$3,0)),0),MATCH("SALES_CASE",'Margin Guidence Table'!$A$1:$AC$1,0)),INDEX('Margin Guidence Table'!$A$1:$AC$10000,MATCH(1,('Margin Guidence Table'!$A$1:$A$10000=DA23)*('Margin Guidence Table'!$H$1:$H$10000&lt;=ROUND($CS$3,0))*('Margin Guidence Table'!$G$1:$G$10000&gt;=ROUND($CS$3,0)),0),MATCH("DEFAULT_SALES_CASE",'Margin Guidence Table'!$A$1:$AC$1,0))),0)</f>
        <v>0</v>
      </c>
      <c r="DE23" s="1161">
        <f t="array" ref="DE23">IFERROR(IF($DC23="SEGMENT",INDEX('Margin Guidence Table'!$A$1:$AC$10000,MATCH(1,('Margin Guidence Table'!$A$1:$A$10000=DA23)*('Margin Guidence Table'!$H$1:$H$10000&lt;=ROUND($CS$3,0))*('Margin Guidence Table'!$G$1:$G$10000&gt;=ROUND($CS$3,0)),0),MATCH("SALES_LBS",'Margin Guidence Table'!$A$1:$AC$1,0)),INDEX('Margin Guidence Table'!$A$1:$AC$10000,MATCH(1,('Margin Guidence Table'!$A$1:$A$10000=DA23)*('Margin Guidence Table'!$H$1:$H$10000&lt;=ROUND($CS$3,0))*('Margin Guidence Table'!$G$1:$G$10000&gt;=ROUND($CS$3,0)),0),MATCH("DEFAULT_SALES_LBS",'Margin Guidence Table'!$A$1:$AC$1,0))),0)</f>
        <v>0</v>
      </c>
      <c r="DF23" s="1165">
        <f t="array" ref="DF23">IFERROR(IF($DC23="SEGMENT",INDEX('Margin Guidence Table'!$A$1:$AC$10000,MATCH(1,('Margin Guidence Table'!$A$1:$A$10000=DA23)*('Margin Guidence Table'!$H$1:$H$10000&lt;=ROUND($CS$3,0))*('Margin Guidence Table'!$G$1:$G$10000&gt;=ROUND($CS$3,0)),0),MATCH("MDA_MIN_MARGIN_GUIDENCE",'Margin Guidence Table'!$A$1:$AC$1,0)),INDEX('Margin Guidence Table'!$A$1:$AC$10000,MATCH(1,('Margin Guidence Table'!$A$1:$A$10000=DA23)*('Margin Guidence Table'!$H$1:$H$10000&lt;=ROUND($CS$3,0))*('Margin Guidence Table'!$G$1:$G$10000&gt;=ROUND($CS$3,0)),0),MATCH("DEFAULT_MDA_MIN_MARGIN_GUIDENCE",'Margin Guidence Table'!$A$1:$AC$1,0))),0)</f>
        <v>0</v>
      </c>
      <c r="DG23" s="1165">
        <f t="array" ref="DG23">IFERROR(IF($DC23="SEGMENT",INDEX('Margin Guidence Table'!$A$1:$AC$10000,MATCH(1,('Margin Guidence Table'!$A$1:$A$10000=DA23)*('Margin Guidence Table'!$H$1:$H$10000&lt;=ROUND($CS$3,0))*('Margin Guidence Table'!$G$1:$G$10000&gt;=ROUND($CS$3,0)),0),MATCH("MDA_MEDIAN_MARGIN_GUIDENCE",'Margin Guidence Table'!$A$1:$AC$1,0)),INDEX('Margin Guidence Table'!$A$1:$AC$10000,MATCH(1,('Margin Guidence Table'!$A$1:$A$10000=DA23)*('Margin Guidence Table'!$H$1:$H$10000&lt;=ROUND($CS$3,0))*('Margin Guidence Table'!$G$1:$G$10000&gt;=ROUND($CS$3,0)),0),MATCH("DEFAULT_MDA_MEDIAN_MARGIN_GUIDENCE",'Margin Guidence Table'!$A$1:$AC$1,0))),0)</f>
        <v>0</v>
      </c>
      <c r="DH23" s="1165">
        <f t="array" ref="DH23">IFERROR(IF($DC23="SEGMENT",INDEX('Margin Guidence Table'!$A$1:$AC$10000,MATCH(1,('Margin Guidence Table'!$A$1:$A$10000=DA23)*('Margin Guidence Table'!$H$1:$H$10000&lt;=ROUND($CS$3,0))*('Margin Guidence Table'!$G$1:$G$10000&gt;=ROUND($CS$3,0)),0),MATCH("MDA_MAX_MARGIN_GUIDENCE",'Margin Guidence Table'!$A$1:$AC$1,0)),INDEX('Margin Guidence Table'!$A$1:$AC$10000,MATCH(1,('Margin Guidence Table'!$A$1:$A$10000=DA23)*('Margin Guidence Table'!$H$1:$H$10000&lt;=ROUND($CS$3,0))*('Margin Guidence Table'!$G$1:$G$10000&gt;=ROUND($CS$3,0)),0),MATCH("DEFAULT_MDA_MAX_MARGIN_GUIDENCE",'Margin Guidence Table'!$A$1:$AC$1,0))),0)</f>
        <v>0</v>
      </c>
      <c r="DI23" s="1165">
        <f t="array" ref="DI23">IFERROR(IF($DC23="SEGMENT",INDEX('Margin Guidence Table'!$A$1:$AC$10000,MATCH(1,('Margin Guidence Table'!$A$1:$A$10000=DA23)*('Margin Guidence Table'!$H$1:$H$10000&lt;=ROUND($CS$3,0))*('Margin Guidence Table'!$G$1:$G$10000&gt;=ROUND($CS$3,0)),0),MATCH("PA_PCT_SALES",'Margin Guidence Table'!$A$1:$AC$1,0)),INDEX('Margin Guidence Table'!$A$1:$AC$10000,MATCH(1,('Margin Guidence Table'!$A$1:$A$10000=DA23)*('Margin Guidence Table'!$H$1:$H$10000&lt;=ROUND($CS$3,0))*('Margin Guidence Table'!$G$1:$G$10000&gt;=ROUND($CS$3,0)),0),MATCH("DEFAULT_PA_PCT_SALES",'Margin Guidence Table'!$A$1:$AC$1,0))),0)</f>
        <v>0</v>
      </c>
      <c r="DJ23" s="1165">
        <f t="array" ref="DJ23">IFERROR(IF($DC23="SEGMENT",INDEX('Margin Guidence Table'!$A$1:$AC$10000,MATCH(1,('Margin Guidence Table'!$A$1:$A$10000=DA23)*('Margin Guidence Table'!$H$1:$H$10000&lt;=ROUND($CS$3,0))*('Margin Guidence Table'!$G$1:$G$10000&gt;=ROUND($CS$3,0)),0),MATCH("SELF_FUND_PCT_SALES",'Margin Guidence Table'!$A$1:$AC$1,0)),INDEX('Margin Guidence Table'!$A$1:$AC$10000,MATCH(1,('Margin Guidence Table'!$A$1:$A$10000=DA23)*('Margin Guidence Table'!$H$1:$H$10000&lt;=ROUND($CS$3,0))*('Margin Guidence Table'!$G$1:$G$10000&gt;=ROUND($CS$3,0)),0),MATCH("DEFAULT_SELF_FUND_PCT_SALES",'Margin Guidence Table'!$A$1:$AC$1,0))),0)</f>
        <v>0</v>
      </c>
      <c r="DK23" s="1165">
        <f t="array" ref="DK23">IFERROR(IF($DC23="SEGMENT",INDEX('Margin Guidence Table'!$A$1:$AC$10000,MATCH(1,('Margin Guidence Table'!$A$1:$A$10000=DA23)*('Margin Guidence Table'!$H$1:$H$10000&lt;=ROUND($CS$3,0))*('Margin Guidence Table'!$G$1:$G$10000&gt;=ROUND($CS$3,0)),0),MATCH("CIA_MEDIAN_MARGIN_GUIDENCE",'Margin Guidence Table'!$A$1:$AC$1,0)),INDEX('Margin Guidence Table'!$A$1:$AC$10000,MATCH(1,('Margin Guidence Table'!$A$1:$A$10000=DA23)*('Margin Guidence Table'!$H$1:$H$10000&lt;=ROUND($CS$3,0))*('Margin Guidence Table'!$G$1:$G$10000&gt;=ROUND($CS$3,0)),0),MATCH("DEFAULT_CIA_MEDIAN_MARGIN_GUIDENCE",'Margin Guidence Table'!$A$1:$AC$1,0))),0)</f>
        <v>0</v>
      </c>
      <c r="DL23" s="129"/>
      <c r="DM23" s="18">
        <f t="array" ref="DM23">IFERROR(IF($DY23="SEGMENT",INDEX('Margin Guidence Table'!$A$1:$AC$10000,MATCH(1,('Margin Guidence Table'!$A$1:$A$10000=$DW23)*('Margin Guidence Table'!$H$1:$H$10000&lt;=ROUND($DO$3,0))*('Margin Guidence Table'!$G$1:$G$10000&gt;=ROUND($DO$3,0)),0),MATCH("PCT_SALES",'Margin Guidence Table'!$A$1:$AC$1,0)),INDEX('Margin Guidence Table'!$A$1:$AC$10000,MATCH(1,('Margin Guidence Table'!$A$1:$A$10000=$DW23)*('Margin Guidence Table'!$H$1:$H$10000&lt;=ROUND($DO$3,0))*('Margin Guidence Table'!$G$1:$G$10000&gt;=ROUND($DO$3,0)),0),MATCH("DEFAULT_PCT_SALES",'Margin Guidence Table'!$A$1:$AC$1,0))),0)</f>
        <v>0</v>
      </c>
      <c r="DN23" s="102" t="s">
        <v>101</v>
      </c>
      <c r="DO23" s="94">
        <f>IFERROR(IF(AND($DO$2&lt;&gt;"Enter Spend&gt;&gt;&gt;",DP2="EXISTING"),SUMIFS('Existing Customers'!$Q:$Q,'Existing Customers'!$A:$A,$DO$1,'Existing Customers'!$H:$H,$DN23)*$DO$4,$DO$3*$DM23),0)</f>
        <v>0</v>
      </c>
      <c r="DP23" s="89">
        <f>IFERROR(IF(AND($DO$2&lt;&gt;"Enter Spend&gt;&gt;&gt;",DP2="EXISTING"),SUMIFS('Existing Customers'!$N:$N,'Existing Customers'!$A:$A,$DO$1,'Existing Customers'!$H:$H,$DN23)*$DO$4,$DO23/$DZ23),0)</f>
        <v>0</v>
      </c>
      <c r="DQ23" s="95">
        <f>IFERROR(IF(AND($DO$2&lt;&gt;"Enter Spend&gt;&gt;&gt;",DP2="EXISTING"),SUMIFS('Existing Customers'!$O:$O,'Existing Customers'!$H:$H,$DN23,'Existing Customers'!$A:$A,$DO$1)*$DO$4,$DP23*$DO$8),0)</f>
        <v>0</v>
      </c>
      <c r="DR23" s="95">
        <f>IFERROR(IF(AND($DO$2&lt;&gt;"Enter Spend&gt;&gt;&gt;",DP2="EXISTING"),SUMIFS('Existing Customers'!$P:$P,'Existing Customers'!$A:$A,$DO$1,'Existing Customers'!$H:$H,$DN23)*$DO$4,$DO23/$EA23),0)</f>
        <v>0</v>
      </c>
      <c r="DS23" s="96">
        <f>IFERROR(IF(AND($DO$2&lt;&gt;"Enter Spend&gt;&gt;&gt;",EL2="EXISTING"),SUMIFS('Existing Customers'!$V:$V,'Existing Customers'!$H:$H,$DN23,'Existing Customers'!$A:$A,$DO$1)*$DO$4,0),0)</f>
        <v>0</v>
      </c>
      <c r="DT23" s="96">
        <f>IFERROR(IF(AND($DO$2&lt;&gt;"Enter Spend&gt;&gt;&gt;",DP2="EXISTING"),SUMIFS('Existing Customers'!$R:$R,'Existing Customers'!$H:$H,$DN23,'Existing Customers'!$A:$A,$DO$1)*$DO$4,0),0)</f>
        <v>0</v>
      </c>
      <c r="DU23" s="1161">
        <f>IFERROR(IF(AND($DO$2&lt;&gt;"Enter Spend&gt;&gt;&gt;",DP2="EXISTING"),SUMIFS('Existing Customers'!$S:$S,'Existing Customers'!$H:$H,$DP23,'Existing Customers'!$A:$A,$DO$1),EE23*DO23),0)</f>
        <v>0</v>
      </c>
      <c r="DV23" s="1161">
        <f>IFERROR(IF(AND($DO$2&lt;&gt;"Enter Spend&gt;&gt;&gt;",DP2="EXISTING"),SUMIFS('Existing Customers'!$U:$U,'Existing Customers'!$H:$H,$DN23,'Existing Customers'!$A:$A,$DO$1),EF23*DO23),0)</f>
        <v>0</v>
      </c>
      <c r="DW23" s="1164" t="e">
        <f t="shared" si="30"/>
        <v>#N/A</v>
      </c>
      <c r="DX23" s="1164">
        <f t="array" ref="DX23">IFERROR(INDEX('Margin Guidence Table'!$A$1:$AD$30000,MATCH(1,('Margin Guidence Table'!$A$1:$A$10000=DW23)*('Margin Guidence Table'!$H$1:$H$10000&lt;=ROUND($DO$3,0))*('Margin Guidence Table'!$G$1:$G$10000&gt;=ROUND($DO$3,0)),0),MATCH("DATA_POINTS",'Margin Guidence Table'!$A$1:$AC$1,0)),0)</f>
        <v>0</v>
      </c>
      <c r="DY23" s="1161" t="str">
        <f t="shared" si="31"/>
        <v>DEFAULT</v>
      </c>
      <c r="DZ23" s="1161">
        <f t="array" ref="DZ23">IFERROR(IF($DY23="SEGMENT",INDEX('Margin Guidence Table'!$A$1:$AC$10000,MATCH(1,('Margin Guidence Table'!$A$1:$A$10000=DW23)*('Margin Guidence Table'!$H$1:$H$10000&lt;=ROUND($DO$3,0))*('Margin Guidence Table'!$G$1:$G$10000&gt;=ROUND($DO$3,0)),0),MATCH("SALES_CASE",'Margin Guidence Table'!$A$1:$AC$1,0)),INDEX('Margin Guidence Table'!$A$1:$AC$10000,MATCH(1,('Margin Guidence Table'!$A$1:$A$10000=DW23)*('Margin Guidence Table'!$H$1:$H$10000&lt;=ROUND($DO$3,0))*('Margin Guidence Table'!$G$1:$G$10000&gt;=ROUND($DO$3,0)),0),MATCH("DEFAULT_SALES_CASE",'Margin Guidence Table'!$A$1:$AC$1,0))),0)</f>
        <v>0</v>
      </c>
      <c r="EA23" s="1161">
        <f t="array" ref="EA23">IFERROR(IF($DY23="SEGMENT",INDEX('Margin Guidence Table'!$A$1:$AC$10000,MATCH(1,('Margin Guidence Table'!$A$1:$A$10000=DW23)*('Margin Guidence Table'!$H$1:$H$10000&lt;=ROUND($DO$3,0))*('Margin Guidence Table'!$G$1:$G$10000&gt;=ROUND($DO$3,0)),0),MATCH("SALES_LBS",'Margin Guidence Table'!$A$1:$AC$1,0)),INDEX('Margin Guidence Table'!$A$1:$AC$10000,MATCH(1,('Margin Guidence Table'!$A$1:$A$10000=DW23)*('Margin Guidence Table'!$H$1:$H$10000&lt;=ROUND($DO$3,0))*('Margin Guidence Table'!$G$1:$G$10000&gt;=ROUND($DO$3,0)),0),MATCH("DEFAULT_SALES_LBS",'Margin Guidence Table'!$A$1:$AC$1,0))),0)</f>
        <v>0</v>
      </c>
      <c r="EB23" s="1165">
        <f t="array" ref="EB23">IFERROR(IF($DY23="SEGMENT",INDEX('Margin Guidence Table'!$A$1:$AC$10000,MATCH(1,('Margin Guidence Table'!$A$1:$A$10000=DW23)*('Margin Guidence Table'!$H$1:$H$10000&lt;=ROUND($DO$3,0))*('Margin Guidence Table'!$G$1:$G$10000&gt;=ROUND($DO$3,0)),0),MATCH("MDA_MIN_MARGIN_GUIDENCE",'Margin Guidence Table'!$A$1:$AC$1,0)),INDEX('Margin Guidence Table'!$A$1:$AC$10000,MATCH(1,('Margin Guidence Table'!$A$1:$A$10000=DW23)*('Margin Guidence Table'!$H$1:$H$10000&lt;=ROUND($DO$3,0))*('Margin Guidence Table'!$G$1:$G$10000&gt;=ROUND($DO$3,0)),0),MATCH("DEFAULT_MDA_MIN_MARGIN_GUIDENCE",'Margin Guidence Table'!$A$1:$AC$1,0))),0)</f>
        <v>0</v>
      </c>
      <c r="EC23" s="1165">
        <f t="array" ref="EC23">IFERROR(IF($DY23="SEGMENT",INDEX('Margin Guidence Table'!$A$1:$AC$10000,MATCH(1,('Margin Guidence Table'!$A$1:$A$10000=DW23)*('Margin Guidence Table'!$H$1:$H$10000&lt;=ROUND($DO$3,0))*('Margin Guidence Table'!$G$1:$G$10000&gt;=ROUND($DO$3,0)),0),MATCH("MDA_MEDIAN_MARGIN_GUIDENCE",'Margin Guidence Table'!$A$1:$AC$1,0)),INDEX('Margin Guidence Table'!$A$1:$AC$10000,MATCH(1,('Margin Guidence Table'!$A$1:$A$10000=DW23)*('Margin Guidence Table'!$H$1:$H$10000&lt;=ROUND($DO$3,0))*('Margin Guidence Table'!$G$1:$G$10000&gt;=ROUND($DO$3,0)),0),MATCH("DEFAULT_MDA_MEDIAN_MARGIN_GUIDENCE",'Margin Guidence Table'!$A$1:$AC$1,0))),0)</f>
        <v>0</v>
      </c>
      <c r="ED23" s="1165">
        <f t="array" ref="ED23">IFERROR(IF($DY23="SEGMENT",INDEX('Margin Guidence Table'!$A$1:$AC$10000,MATCH(1,('Margin Guidence Table'!$A$1:$A$10000=DW23)*('Margin Guidence Table'!$H$1:$H$10000&lt;=ROUND($DO$3,0))*('Margin Guidence Table'!$G$1:$G$10000&gt;=ROUND($DO$3,0)),0),MATCH("MDA_MAX_MARGIN_GUIDENCE",'Margin Guidence Table'!$A$1:$AC$1,0)),INDEX('Margin Guidence Table'!$A$1:$AC$10000,MATCH(1,('Margin Guidence Table'!$A$1:$A$10000=DW23)*('Margin Guidence Table'!$H$1:$H$10000&lt;=ROUND($DO$3,0))*('Margin Guidence Table'!$G$1:$G$10000&gt;=ROUND($DO$3,0)),0),MATCH("DEFAULT_MDA_MAX_MARGIN_GUIDENCE",'Margin Guidence Table'!$A$1:$AC$1,0))),0)</f>
        <v>0</v>
      </c>
      <c r="EE23" s="1165">
        <f t="array" ref="EE23">IFERROR(IF($DY23="SEGMENT",INDEX('Margin Guidence Table'!$A$1:$AC$10000,MATCH(1,('Margin Guidence Table'!$A$1:$A$10000=DW23)*('Margin Guidence Table'!$H$1:$H$10000&lt;=ROUND($DO$3,0))*('Margin Guidence Table'!$G$1:$G$10000&gt;=ROUND($DO$3,0)),0),MATCH("PA_PCT_SALES",'Margin Guidence Table'!$A$1:$AC$1,0)),INDEX('Margin Guidence Table'!$A$1:$AC$10000,MATCH(1,('Margin Guidence Table'!$A$1:$A$10000=DW23)*('Margin Guidence Table'!$H$1:$H$10000&lt;=ROUND($DO$3,0))*('Margin Guidence Table'!$G$1:$G$10000&gt;=ROUND($DO$3,0)),0),MATCH("DEFAULT_PA_PCT_SALES",'Margin Guidence Table'!$A$1:$AC$1,0))),0)</f>
        <v>0</v>
      </c>
      <c r="EF23" s="1165">
        <f t="array" ref="EF23">IFERROR(IF($DY23="SEGMENT",INDEX('Margin Guidence Table'!$A$1:$AC$10000,MATCH(1,('Margin Guidence Table'!$A$1:$A$10000=DW23)*('Margin Guidence Table'!$H$1:$H$10000&lt;=ROUND($DO$3,0))*('Margin Guidence Table'!$G$1:$G$10000&gt;=ROUND($DO$3,0)),0),MATCH("SELF_FUND_PCT_SALES",'Margin Guidence Table'!$A$1:$AC$1,0)),INDEX('Margin Guidence Table'!$A$1:$AC$10000,MATCH(1,('Margin Guidence Table'!$A$1:$A$10000=DW23)*('Margin Guidence Table'!$H$1:$H$10000&lt;=ROUND($DO$3,0))*('Margin Guidence Table'!$G$1:$G$10000&gt;=ROUND($DO$3,0)),0),MATCH("DEFAULT_SELF_FUND_PCT_SALES",'Margin Guidence Table'!$A$1:$AC$1,0))),0)</f>
        <v>0</v>
      </c>
      <c r="EG23" s="1165">
        <f t="array" ref="EG23">IFERROR(IF($DY23="SEGMENT",INDEX('Margin Guidence Table'!$A$1:$AC$10000,MATCH(1,('Margin Guidence Table'!$A$1:$A$10000=DW23)*('Margin Guidence Table'!$H$1:$H$10000&lt;=ROUND($DO$3,0))*('Margin Guidence Table'!$G$1:$G$10000&gt;=ROUND($DO$3,0)),0),MATCH("CIA_MEDIAN_MARGIN_GUIDENCE",'Margin Guidence Table'!$A$1:$AC$1,0)),INDEX('Margin Guidence Table'!$A$1:$AC$10000,MATCH(1,('Margin Guidence Table'!$A$1:$A$10000=DW23)*('Margin Guidence Table'!$H$1:$H$10000&lt;=ROUND($DO$3,0))*('Margin Guidence Table'!$G$1:$G$10000&gt;=ROUND($DO$3,0)),0),MATCH("DEFAULT_CIA_MEDIAN_MARGIN_GUIDENCE",'Margin Guidence Table'!$A$1:$AC$1,0))),0)</f>
        <v>0</v>
      </c>
      <c r="EH23" s="129"/>
      <c r="EI23" s="18">
        <f t="array" ref="EI23">IFERROR(IF($EU23="SEGMENT",INDEX('Margin Guidence Table'!$A$1:$AC$10000,MATCH(1,('Margin Guidence Table'!$A$1:$A$10000=$ES23)*('Margin Guidence Table'!$H$1:$H$10000&lt;=ROUND($EK$3,0))*('Margin Guidence Table'!$G$1:$G$10000&gt;=ROUND($EK$3,0)),0),MATCH("PCT_SALES",'Margin Guidence Table'!$A$1:$AC$1,0)),INDEX('Margin Guidence Table'!$A$1:$AC$10000,MATCH(1,('Margin Guidence Table'!$A$1:$A$10000=$ES23)*('Margin Guidence Table'!$H$1:$H$10000&lt;=ROUND($EK$3,0))*('Margin Guidence Table'!$G$1:$G$10000&gt;=ROUND($EK$3,0)),0),MATCH("DEFAULT_PCT_SALES",'Margin Guidence Table'!$A$1:$AC$1,0))),0)</f>
        <v>0</v>
      </c>
      <c r="EJ23" s="102" t="s">
        <v>101</v>
      </c>
      <c r="EK23" s="94">
        <f>IFERROR(IF(AND($EK$2&lt;&gt;"Enter Spend&gt;&gt;&gt;",EL2="EXISTING"),SUMIFS('Existing Customers'!$Q:$Q,'Existing Customers'!$A:$A,$EK$1,'Existing Customers'!$H:$H,$EJ23)*$EK$4,$EK$3*$EI23),0)</f>
        <v>0</v>
      </c>
      <c r="EL23" s="89">
        <f>IFERROR(IF(AND($EK$2&lt;&gt;"Enter Spend&gt;&gt;&gt;",EL2="EXISTING"),SUMIFS('Existing Customers'!$N:$N,'Existing Customers'!$A:$A,$EK$1,'Existing Customers'!$H:$H,$EJ23)*$EK$4,$EK23/$EV23),0)</f>
        <v>0</v>
      </c>
      <c r="EM23" s="95">
        <f>IFERROR(IF(AND($EK$2&lt;&gt;"Enter Spend&gt;&gt;&gt;",EL2="EXISTING"),SUMIFS('Existing Customers'!$O:$O,'Existing Customers'!$H:$H,$EJ23,'Existing Customers'!$A:$A,$EK$1)*$EK$4,$EL23*$EK$8),0)</f>
        <v>0</v>
      </c>
      <c r="EN23" s="95">
        <f>IFERROR(IF(AND($EK$2&lt;&gt;"Enter Spend&gt;&gt;&gt;",EL2="EXISTING"),SUMIFS('Existing Customers'!$P:$P,'Existing Customers'!$A:$A,$EK$1,'Existing Customers'!$H:$H,$EJ23)*$EK$4,$EK23/$EW23),0)</f>
        <v>0</v>
      </c>
      <c r="EO23" s="96">
        <f>IFERROR(IF(AND($EK$2&lt;&gt;"Enter Spend&gt;&gt;&gt;",EL2="EXISTING"),SUMIFS('Existing Customers'!$V:$V,'Existing Customers'!$H:$H,$EJ23,'Existing Customers'!$A:$A,$EK$1)*$EK$4,0),0)</f>
        <v>0</v>
      </c>
      <c r="EP23" s="96">
        <f>IFERROR(IF(AND($EK$2&lt;&gt;"Enter Spend&gt;&gt;&gt;",EL2="EXISTING"),SUMIFS('Existing Customers'!$R:$R,'Existing Customers'!$H:$H,$EJ23,'Existing Customers'!$A:$A,$EK$1)*$EK$4,0),0)</f>
        <v>0</v>
      </c>
      <c r="EQ23" s="1161">
        <f>IFERROR(IF(AND($EK$2&lt;&gt;"Enter Spend&gt;&gt;&gt;",EL2="EXISTING"),SUMIFS('Existing Customers'!$S:$S,'Existing Customers'!$H:$H,$EJ23,'Existing Customers'!$A:$A,$EK$1),FA23*EK23),0)</f>
        <v>0</v>
      </c>
      <c r="ER23" s="1161">
        <f>IFERROR(IF(AND($EK$2&lt;&gt;"Enter Spend&gt;&gt;&gt;",EL2="EXISTING"),SUMIFS('Existing Customers'!$U:$U,'Existing Customers'!$H:$H,$EJ23,'Existing Customers'!$A:$A,$EK$1),FB23*EK23),0)</f>
        <v>0</v>
      </c>
      <c r="ES23" s="1164" t="e">
        <f t="shared" si="32"/>
        <v>#N/A</v>
      </c>
      <c r="ET23" s="1164">
        <f t="array" ref="ET23">IFERROR(INDEX('Margin Guidence Table'!$A$1:$AD$30000,MATCH(1,('Margin Guidence Table'!$A$1:$A$10000=ES23)*('Margin Guidence Table'!$H$1:$H$10000&lt;=ROUND($EK$3,0))*('Margin Guidence Table'!$G$1:$G$10000&gt;=ROUND($EK$3,0)),0),MATCH("DATA_POINTS",'Margin Guidence Table'!$A$1:$AC$1,0)),0)</f>
        <v>0</v>
      </c>
      <c r="EU23" s="1161" t="str">
        <f t="shared" si="33"/>
        <v>DEFAULT</v>
      </c>
      <c r="EV23" s="1161">
        <f t="array" ref="EV23">IFERROR(IF($EU23="SEGMENT",INDEX('Margin Guidence Table'!$A$1:$AC$10000,MATCH(1,('Margin Guidence Table'!$A$1:$A$10000=ES23)*('Margin Guidence Table'!$H$1:$H$10000&lt;=ROUND($EK$3,0))*('Margin Guidence Table'!$G$1:$G$10000&gt;=ROUND($EK$3,0)),0),MATCH("SALES_CASE",'Margin Guidence Table'!$A$1:$AC$1,0)),INDEX('Margin Guidence Table'!$A$1:$AC$10000,MATCH(1,('Margin Guidence Table'!$A$1:$A$10000=ES23)*('Margin Guidence Table'!$H$1:$H$10000&lt;=ROUND($EK$3,0))*('Margin Guidence Table'!$G$1:$G$10000&gt;=ROUND($EK$3,0)),0),MATCH("DEFAULT_SALES_CASE",'Margin Guidence Table'!$A$1:$AC$1,0))),0)</f>
        <v>0</v>
      </c>
      <c r="EW23" s="1161" cm="1">
        <f t="array" ref="EW23">IFERROR(IF($EU23="SEGMENT",INDEX('Margin Guidence Table'!$A$1:$AC$10000,MATCH(1,('Margin Guidence Table'!$A$1:$A$10000=ES23)*('Margin Guidence Table'!$H$1:$H$10000&lt;=ROUND($EK$3,0))*('Margin Guidence Table'!$G$1:$G$10000&gt;=ROUND($EK$3,0)),0),MATCH("SALES_LBS",'Margin Guidence Table'!$A$1:$AC$1,0)),INDEX('Margin Guidence Table'!$A$1:$AC$10000,MATCH(1,('Margin Guidence Table'!$A$1:$A$10000=ES23)*('Margin Guidence Table'!$H$1:$H$10000&lt;=ROUND($EK$3,0))*('Margin Guidence Table'!$G$1:$G$10000&gt;=ROUND($EK$3,0)),0),MATCH("DEFAULT_SALES_LBS",'Margin Guidence Table'!$A$1:$AC$1,0))),0)</f>
        <v>0</v>
      </c>
      <c r="EX23" s="1165">
        <f t="array" ref="EX23">IFERROR(IF($EU23="SEGMENT",INDEX('Margin Guidence Table'!$A$1:$AC$10000,MATCH(1,('Margin Guidence Table'!$A$1:$A$10000=ES23)*('Margin Guidence Table'!$H$1:$H$10000&lt;=ROUND($EK$3,0))*('Margin Guidence Table'!$G$1:$G$10000&gt;=ROUND($EK$3,0)),0),MATCH("MDA_MIN_MARGIN_GUIDENCE",'Margin Guidence Table'!$A$1:$AC$1,0)),INDEX('Margin Guidence Table'!$A$1:$AC$10000,MATCH(1,('Margin Guidence Table'!$A$1:$A$10000=ES23)*('Margin Guidence Table'!$H$1:$H$10000&lt;=ROUND($EK$3,0))*('Margin Guidence Table'!$G$1:$G$10000&gt;=ROUND($EK$3,0)),0),MATCH("DEFAULT_MDA_MIN_MARGIN_GUIDENCE",'Margin Guidence Table'!$A$1:$AC$1,0))),0)</f>
        <v>0</v>
      </c>
      <c r="EY23" s="1165">
        <f t="array" ref="EY23">IFERROR(IF($EU23="SEGMENT",INDEX('Margin Guidence Table'!$A$1:$AC$10000,MATCH(1,('Margin Guidence Table'!$A$1:$A$10000=ES23)*('Margin Guidence Table'!$H$1:$H$10000&lt;=ROUND($EK$3,0))*('Margin Guidence Table'!$G$1:$G$10000&gt;=ROUND($EK$3,0)),0),MATCH("MDA_MEDIAN_MARGIN_GUIDENCE",'Margin Guidence Table'!$A$1:$AC$1,0)),INDEX('Margin Guidence Table'!$A$1:$AC$10000,MATCH(1,('Margin Guidence Table'!$A$1:$A$10000=ES23)*('Margin Guidence Table'!$H$1:$H$10000&lt;=ROUND($EK$3,0))*('Margin Guidence Table'!$G$1:$G$10000&gt;=ROUND($EK$3,0)),0),MATCH("DEFAULT_MDA_MEDIAN_MARGIN_GUIDENCE",'Margin Guidence Table'!$A$1:$AC$1,0))),0)</f>
        <v>0</v>
      </c>
      <c r="EZ23" s="1165">
        <f t="array" ref="EZ23">IFERROR(IF($EU23="SEGMENT",INDEX('Margin Guidence Table'!$A$1:$AC$10000,MATCH(1,('Margin Guidence Table'!$A$1:$A$10000=ES23)*('Margin Guidence Table'!$H$1:$H$10000&lt;=ROUND($EK$3,0))*('Margin Guidence Table'!$G$1:$G$10000&gt;=ROUND($EK$3,0)),0),MATCH("MDA_MAX_MARGIN_GUIDENCE",'Margin Guidence Table'!$A$1:$AC$1,0)),INDEX('Margin Guidence Table'!$A$1:$AC$10000,MATCH(1,('Margin Guidence Table'!$A$1:$A$10000=ES23)*('Margin Guidence Table'!$H$1:$H$10000&lt;=ROUND($EK$3,0))*('Margin Guidence Table'!$G$1:$G$10000&gt;=ROUND($EK$3,0)),0),MATCH("DEFAULT_MDA_MAX_MARGIN_GUIDENCE",'Margin Guidence Table'!$A$1:$AC$1,0))),0)</f>
        <v>0</v>
      </c>
      <c r="FA23" s="1165">
        <f t="array" ref="FA23">IFERROR(IF($EU23="SEGMENT",INDEX('Margin Guidence Table'!$A$1:$AC$10000,MATCH(1,('Margin Guidence Table'!$A$1:$A$10000=ES23)*('Margin Guidence Table'!$H$1:$H$10000&lt;=ROUND($EK$3,0))*('Margin Guidence Table'!$G$1:$G$10000&gt;=ROUND($EK$3,0)),0),MATCH("PA_PCT_SALES",'Margin Guidence Table'!$A$1:$AC$1,0)),INDEX('Margin Guidence Table'!$A$1:$AC$10000,MATCH(1,('Margin Guidence Table'!$A$1:$A$10000=ES23)*('Margin Guidence Table'!$H$1:$H$10000&lt;=ROUND($EK$3,0))*('Margin Guidence Table'!$G$1:$G$10000&gt;=ROUND($EK$3,0)),0),MATCH("DEFAULT_PA_PCT_SALES",'Margin Guidence Table'!$A$1:$AC$1,0))),0)</f>
        <v>0</v>
      </c>
      <c r="FB23" s="1165">
        <f t="array" ref="FB23">IFERROR(IF($EU23="SEGMENT",INDEX('Margin Guidence Table'!$A$1:$AC$10000,MATCH(1,('Margin Guidence Table'!$A$1:$A$10000=ES23)*('Margin Guidence Table'!$H$1:$H$10000&lt;=ROUND($EK$3,0))*('Margin Guidence Table'!$G$1:$G$10000&gt;=ROUND($EK$3,0)),0),MATCH("SELF_FUND_PCT_SALES",'Margin Guidence Table'!$A$1:$AC$1,0)),INDEX('Margin Guidence Table'!$A$1:$AC$10000,MATCH(1,('Margin Guidence Table'!$A$1:$A$10000=ES23)*('Margin Guidence Table'!$H$1:$H$10000&lt;=ROUND($EK$3,0))*('Margin Guidence Table'!$G$1:$G$10000&gt;=ROUND($EK$3,0)),0),MATCH("DEFAULT_SELF_FUND_PCT_SALES",'Margin Guidence Table'!$A$1:$AC$1,0))),0)</f>
        <v>0</v>
      </c>
      <c r="FC23" s="1165">
        <f t="array" ref="FC23">IFERROR(IF($EU23="SEGMENT",INDEX('Margin Guidence Table'!$A$1:$AC$10000,MATCH(1,('Margin Guidence Table'!$A$1:$A$10000=ES23)*('Margin Guidence Table'!$H$1:$H$10000&lt;=ROUND($EK$3,0))*('Margin Guidence Table'!$G$1:$G$10000&gt;=ROUND($EK$3,0)),0),MATCH("CIA_MEDIAN_MARGIN_GUIDENCE",'Margin Guidence Table'!$A$1:$AC$1,0)),INDEX('Margin Guidence Table'!$A$1:$AC$10000,MATCH(1,('Margin Guidence Table'!$A$1:$A$10000=ES23)*('Margin Guidence Table'!$H$1:$H$10000&lt;=ROUND($EK$3,0))*('Margin Guidence Table'!$G$1:$G$10000&gt;=ROUND($EK$3,0)),0),MATCH("DEFAULT_CIA_MEDIAN_MARGIN_GUIDENCE",'Margin Guidence Table'!$A$1:$AC$1,0))),0)</f>
        <v>0</v>
      </c>
      <c r="FD23" s="129"/>
      <c r="FE23" s="18">
        <f t="array" ref="FE23">IFERROR(IF($FQ23="SEGMENT",INDEX('Margin Guidence Table'!$A$1:$AC$10000,MATCH(1,('Margin Guidence Table'!$A$1:$A$10000=$FO23)*('Margin Guidence Table'!$H$1:$H$10000&lt;=ROUND($FG$3,0))*('Margin Guidence Table'!$G$1:$G$10000&gt;=ROUND($FG$3,0)),0),MATCH("PCT_SALES",'Margin Guidence Table'!$A$1:$AC$1,0)),INDEX('Margin Guidence Table'!$A$1:$AC$10000,MATCH(1,('Margin Guidence Table'!$A$1:$A$10000=$FO23)*('Margin Guidence Table'!$H$1:$H$10000&lt;=ROUND($FG$3,0))*('Margin Guidence Table'!$G$1:$G$10000&gt;=ROUND($FG$3,0)),0),MATCH("DEFAULT_PCT_SALES",'Margin Guidence Table'!$A$1:$AC$1,0))),0)</f>
        <v>0</v>
      </c>
      <c r="FF23" s="102" t="s">
        <v>101</v>
      </c>
      <c r="FG23" s="94">
        <f>IFERROR(IF(AND($FG$2&lt;&gt;"Enter Spend&gt;&gt;&gt;",FH2="EXISTING"),SUMIFS('Existing Customers'!$Q:$Q,'Existing Customers'!$A:$A,$FG$1,'Existing Customers'!$H:$H,$FF23)*$FG$4,$FG$3*$FE23),0)</f>
        <v>0</v>
      </c>
      <c r="FH23" s="89">
        <f>IFERROR(IF(AND($FG$2&lt;&gt;"Enter Spend&gt;&gt;&gt;",FH2="EXISTING"),SUMIFS('Existing Customers'!$N:$N,'Existing Customers'!$A:$A,$FG$1,'Existing Customers'!$H:$H,$FF23)*$FG$4,$FG23/$FR23),0)</f>
        <v>0</v>
      </c>
      <c r="FI23" s="95">
        <f>IFERROR(IF(AND($FG$2&lt;&gt;"Enter Spend&gt;&gt;&gt;",FH2="EXISTING"),SUMIFS('Existing Customers'!$O:$O,'Existing Customers'!$H:$H,$FF23,'Existing Customers'!$A:$A,$FG$1)*$FG$4,$FH23*$FG$8),0)</f>
        <v>0</v>
      </c>
      <c r="FJ23" s="95">
        <f>IFERROR(IF(AND($FG$2&lt;&gt;"Enter Spend&gt;&gt;&gt;",FH2="EXISTING"),SUMIFS('Existing Customers'!$P:$P,'Existing Customers'!$A:$A,$FG$1,'Existing Customers'!$H:$H,$FF23)*$FG$4,$FG23/$FS23),0)</f>
        <v>0</v>
      </c>
      <c r="FK23" s="96">
        <f>IFERROR(IF(AND($FG$2&lt;&gt;"Enter Spend&gt;&gt;&gt;",FH2="EXISTING"),SUMIFS('Existing Customers'!$V:$V,'Existing Customers'!$H:$H,$FF23,'Existing Customers'!$A:$A,$FG$1)*$FG$4,0),0)</f>
        <v>0</v>
      </c>
      <c r="FL23" s="96">
        <f>IFERROR(IF(AND($FG$2&lt;&gt;"Enter Spend&gt;&gt;&gt;",FH2="EXISTING"),SUMIFS('Existing Customers'!$R:$R,'Existing Customers'!$H:$H,$FF23,'Existing Customers'!$A:$A,$FG$1)*$FG$4,0),0)</f>
        <v>0</v>
      </c>
      <c r="FM23" s="1161">
        <f>IFERROR(IF(AND($FG$2&lt;&gt;"Enter Spend&gt;&gt;&gt;",FH2="EXISTING"),SUMIFS('Existing Customers'!$S:$S,'Existing Customers'!$H:$H,$FF23,'Existing Customers'!$A:$A,$FG$1),FW23*FG23),0)</f>
        <v>0</v>
      </c>
      <c r="FN23" s="1161">
        <f>IFERROR(IF(AND($FG$2&lt;&gt;"Enter Spend&gt;&gt;&gt;",FH2="EXISTING"),SUMIFS('Existing Customers'!$U:$U,'Existing Customers'!$H:$H,$FF23,'Existing Customers'!$A:$A,$FG$1),FX23*FG23),0)</f>
        <v>0</v>
      </c>
      <c r="FO23" s="1164" t="e">
        <f t="shared" si="34"/>
        <v>#N/A</v>
      </c>
      <c r="FP23" s="1164">
        <f t="array" ref="FP23">IFERROR(INDEX('Margin Guidence Table'!$A$1:$AD$30000,MATCH(1,('Margin Guidence Table'!$A$1:$A$10000=FO23)*('Margin Guidence Table'!$H$1:$H$10000&lt;=ROUND($FG$3,0))*('Margin Guidence Table'!$G$1:$G$10000&gt;=ROUND($FG$3,0)),0),MATCH("DATA_POINTS",'Margin Guidence Table'!$A$1:$AC$1,0)),0)</f>
        <v>0</v>
      </c>
      <c r="FQ23" s="1161" t="str">
        <f t="shared" si="35"/>
        <v>DEFAULT</v>
      </c>
      <c r="FR23" s="1161">
        <f t="array" ref="FR23">IFERROR(IF($FQ23="SEGMENT",INDEX('Margin Guidence Table'!$A$1:$AC$10000,MATCH(1,('Margin Guidence Table'!$A$1:$A$10000=FO23)*('Margin Guidence Table'!$H$1:$H$10000&lt;=ROUND($FG$3,0))*('Margin Guidence Table'!$G$1:$G$10000&gt;=ROUND($FG$3,0)),0),MATCH("SALES_CASE",'Margin Guidence Table'!$A$1:$AC$1,0)),INDEX('Margin Guidence Table'!$A$1:$AC$10000,MATCH(1,('Margin Guidence Table'!$A$1:$A$10000=FO23)*('Margin Guidence Table'!$H$1:$H$10000&lt;=ROUND($FG$3,0))*('Margin Guidence Table'!$G$1:$G$10000&gt;=ROUND($FG$3,0)),0),MATCH("DEFAULT_SALES_CASE",'Margin Guidence Table'!$A$1:$AC$1,0))),0)</f>
        <v>0</v>
      </c>
      <c r="FS23" s="1161">
        <f t="array" ref="FS23">IFERROR(IF($FQ23="SEGMENT",INDEX('Margin Guidence Table'!$A$1:$AC$10000,MATCH(1,('Margin Guidence Table'!$A$1:$A$10000=FO23)*('Margin Guidence Table'!$H$1:$H$10000&lt;=ROUND($FG$3,0))*('Margin Guidence Table'!$G$1:$G$10000&gt;=ROUND($FG$3,0)),0),MATCH("SALES_LBS",'Margin Guidence Table'!$A$1:$AC$1,0)),INDEX('Margin Guidence Table'!$A$1:$AC$10000,MATCH(1,('Margin Guidence Table'!$A$1:$A$10000=FO23)*('Margin Guidence Table'!$H$1:$H$10000&lt;=ROUND($FG$3,0))*('Margin Guidence Table'!$G$1:$G$10000&gt;=ROUND($FG$3,0)),0),MATCH("DEFAULT_SALES_LBS",'Margin Guidence Table'!$A$1:$AC$1,0))),0)</f>
        <v>0</v>
      </c>
      <c r="FT23" s="1165">
        <f t="array" ref="FT23">IFERROR(IF($FQ23="SEGMENT",INDEX('Margin Guidence Table'!$A$1:$AC$10000,MATCH(1,('Margin Guidence Table'!$A$1:$A$10000=FO23)*('Margin Guidence Table'!$H$1:$H$10000&lt;=ROUND($FG$3,0))*('Margin Guidence Table'!$G$1:$G$10000&gt;=ROUND($FG$3,0)),0),MATCH("MDA_MIN_MARGIN_GUIDENCE",'Margin Guidence Table'!$A$1:$AC$1,0)),INDEX('Margin Guidence Table'!$A$1:$AC$10000,MATCH(1,('Margin Guidence Table'!$A$1:$A$10000=FO23)*('Margin Guidence Table'!$H$1:$H$10000&lt;=ROUND($FG$3,0))*('Margin Guidence Table'!$G$1:$G$10000&gt;=ROUND($FG$3,0)),0),MATCH("DEFAULT_MDA_MIN_MARGIN_GUIDENCE",'Margin Guidence Table'!$A$1:$AC$1,0))),0)</f>
        <v>0</v>
      </c>
      <c r="FU23" s="1165">
        <f t="array" ref="FU23">IFERROR(IF($FQ23="SEGMENT",INDEX('Margin Guidence Table'!$A$1:$AC$10000,MATCH(1,('Margin Guidence Table'!$A$1:$A$10000=FO23)*('Margin Guidence Table'!$H$1:$H$10000&lt;=ROUND($FG$3,0))*('Margin Guidence Table'!$G$1:$G$10000&gt;=ROUND($FG$3,0)),0),MATCH("MDA_MEDIAN_MARGIN_GUIDENCE",'Margin Guidence Table'!$A$1:$AC$1,0)),INDEX('Margin Guidence Table'!$A$1:$AC$10000,MATCH(1,('Margin Guidence Table'!$A$1:$A$10000=FO23)*('Margin Guidence Table'!$H$1:$H$10000&lt;=ROUND($FG$3,0))*('Margin Guidence Table'!$G$1:$G$10000&gt;=ROUND($FG$3,0)),0),MATCH("DEFAULT_MDA_MEDIAN_MARGIN_GUIDENCE",'Margin Guidence Table'!$A$1:$AC$1,0))),0)</f>
        <v>0</v>
      </c>
      <c r="FV23" s="1165">
        <f t="array" ref="FV23">IFERROR(IF($FQ23="SEGMENT",INDEX('Margin Guidence Table'!$A$1:$AC$10000,MATCH(1,('Margin Guidence Table'!$A$1:$A$10000=FO23)*('Margin Guidence Table'!$H$1:$H$10000&lt;=ROUND($FG$3,0))*('Margin Guidence Table'!$G$1:$G$10000&gt;=ROUND($FG$3,0)),0),MATCH("MDA_MAX_MARGIN_GUIDENCE",'Margin Guidence Table'!$A$1:$AC$1,0)),INDEX('Margin Guidence Table'!$A$1:$AC$10000,MATCH(1,('Margin Guidence Table'!$A$1:$A$10000=FO23)*('Margin Guidence Table'!$H$1:$H$10000&lt;=ROUND($FG$3,0))*('Margin Guidence Table'!$G$1:$G$10000&gt;=ROUND($FG$3,0)),0),MATCH("DEFAULT_MDA_MAX_MARGIN_GUIDENCE",'Margin Guidence Table'!$A$1:$AC$1,0))),0)</f>
        <v>0</v>
      </c>
      <c r="FW23" s="1165">
        <f t="array" ref="FW23">IFERROR(IF($FQ23="SEGMENT",INDEX('Margin Guidence Table'!$A$1:$AC$10000,MATCH(1,('Margin Guidence Table'!$A$1:$A$10000=FO23)*('Margin Guidence Table'!$H$1:$H$10000&lt;=ROUND($FG$3,0))*('Margin Guidence Table'!$G$1:$G$10000&gt;=ROUND($FG$3,0)),0),MATCH("PA_PCT_SALES",'Margin Guidence Table'!$A$1:$AC$1,0)),INDEX('Margin Guidence Table'!$A$1:$AC$10000,MATCH(1,('Margin Guidence Table'!$A$1:$A$10000=FO23)*('Margin Guidence Table'!$H$1:$H$10000&lt;=ROUND($FG$3,0))*('Margin Guidence Table'!$G$1:$G$10000&gt;=ROUND($FG$3,0)),0),MATCH("DEFAULT_PA_PCT_SALES",'Margin Guidence Table'!$A$1:$AC$1,0))),0)</f>
        <v>0</v>
      </c>
      <c r="FX23" s="1165">
        <f t="array" ref="FX23">IFERROR(IF($FQ23="SEGMENT",INDEX('Margin Guidence Table'!$A$1:$AC$10000,MATCH(1,('Margin Guidence Table'!$A$1:$A$10000=FO23)*('Margin Guidence Table'!$H$1:$H$10000&lt;=ROUND($FG$3,0))*('Margin Guidence Table'!$G$1:$G$10000&gt;=ROUND($FG$3,0)),0),MATCH("SELF_FUND_PCT_SALES",'Margin Guidence Table'!$A$1:$AC$1,0)),INDEX('Margin Guidence Table'!$A$1:$AC$10000,MATCH(1,('Margin Guidence Table'!$A$1:$A$10000=FO23)*('Margin Guidence Table'!$H$1:$H$10000&lt;=ROUND($FG$3,0))*('Margin Guidence Table'!$G$1:$G$10000&gt;=ROUND($FG$3,0)),0),MATCH("DEFAULT_SELF_FUND_PCT_SALES",'Margin Guidence Table'!$A$1:$AC$1,0))),0)</f>
        <v>0</v>
      </c>
      <c r="FY23" s="1165">
        <f t="array" ref="FY23">IFERROR(IF($FQ23="SEGMENT",INDEX('Margin Guidence Table'!$A$1:$AC$10000,MATCH(1,('Margin Guidence Table'!$A$1:$A$10000=FO23)*('Margin Guidence Table'!$H$1:$H$10000&lt;=ROUND($FG$3,0))*('Margin Guidence Table'!$G$1:$G$10000&gt;=ROUND($FG$3,0)),0),MATCH("CIA_MEDIAN_MARGIN_GUIDENCE",'Margin Guidence Table'!$A$1:$AC$1,0)),INDEX('Margin Guidence Table'!$A$1:$AC$10000,MATCH(1,('Margin Guidence Table'!$A$1:$A$10000=FO23)*('Margin Guidence Table'!$H$1:$H$10000&lt;=ROUND($FG$3,0))*('Margin Guidence Table'!$G$1:$G$10000&gt;=ROUND($FG$3,0)),0),MATCH("DEFAULT_CIA_MEDIAN_MARGIN_GUIDENCE",'Margin Guidence Table'!$A$1:$AC$1,0))),0)</f>
        <v>0</v>
      </c>
      <c r="FZ23" s="129"/>
      <c r="GA23" s="18">
        <f t="array" ref="GA23">IFERROR(IF($GM23="SEGMENT",INDEX('Margin Guidence Table'!$A$1:$AC$10000,MATCH(1,('Margin Guidence Table'!$A$1:$A$10000=$GK23)*('Margin Guidence Table'!$H$1:$H$10000&lt;=ROUND($GC$3,0))*('Margin Guidence Table'!$G$1:$G$10000&gt;=ROUND($GC$3,0)),0),MATCH("PCT_SALES",'Margin Guidence Table'!$A$1:$AC$1,0)),INDEX('Margin Guidence Table'!$A$1:$AC$10000,MATCH(1,('Margin Guidence Table'!$A$1:$A$10000=$GK23)*('Margin Guidence Table'!$H$1:$H$10000&lt;=ROUND($GC$3,0))*('Margin Guidence Table'!$G$1:$G$10000&gt;=ROUND($GC$3,0)),0),MATCH("DEFAULT_PCT_SALES",'Margin Guidence Table'!$A$1:$AC$1,0))),0)</f>
        <v>0</v>
      </c>
      <c r="GB23" s="102" t="s">
        <v>101</v>
      </c>
      <c r="GC23" s="94">
        <f>IFERROR(IF(AND($GC$2&lt;&gt;"Enter Spend&gt;&gt;&gt;",GD2="EXISTING"),SUMIFS('Existing Customers'!$Q:$Q,'Existing Customers'!$A:$A,$GC$1,'Existing Customers'!$H:$H,$GB23)*$GC$4,$GC$3*$GA23),0)</f>
        <v>0</v>
      </c>
      <c r="GD23" s="89">
        <f>IFERROR(IF(AND($GC$2&lt;&gt;"Enter Spend&gt;&gt;&gt;",GD2="EXISTING"),SUMIFS('Existing Customers'!$N:$N,'Existing Customers'!$A:$A,$GC$1,'Existing Customers'!$H:$H,$GB23)*$GC$4,$GC23/$GN23),0)</f>
        <v>0</v>
      </c>
      <c r="GE23" s="95">
        <f>IFERROR(IF(AND($GC$2&lt;&gt;"Enter Spend&gt;&gt;&gt;",GD2="EXISTING"),SUMIFS('Existing Customers'!$O:$O,'Existing Customers'!$H:$H,$GB23,'Existing Customers'!$A:$A,$GC$1)*$GC$4,$GD23*$GC$8),0)</f>
        <v>0</v>
      </c>
      <c r="GF23" s="95">
        <f>IFERROR(IF(AND($GC$2&lt;&gt;"Enter Spend&gt;&gt;&gt;",GD2="EXISTING"),SUMIFS('Existing Customers'!$P:$P,'Existing Customers'!$A:$A,$GC$1,'Existing Customers'!$H:$H,$GB23)*$GC$4,$GC23/$GO23),0)</f>
        <v>0</v>
      </c>
      <c r="GG23" s="96">
        <f>IFERROR(IF(AND($GC$2&lt;&gt;"Enter Spend&gt;&gt;&gt;",GD2="EXISTING"),SUMIFS('Existing Customers'!$V:$V,'Existing Customers'!$H:$H,$GB23,'Existing Customers'!$A:$A,$GC$1)*$GC$4,0),0)</f>
        <v>0</v>
      </c>
      <c r="GH23" s="96">
        <f>IFERROR(IF(AND($GC$2&lt;&gt;"Enter Spend&gt;&gt;&gt;",GD2="EXISTING"),SUMIFS('Existing Customers'!$R:$R,'Existing Customers'!$H:$H,$GB23,'Existing Customers'!$A:$A,$GC$1)*$GC$4,0),0)</f>
        <v>0</v>
      </c>
      <c r="GI23" s="1161">
        <f>IFERROR(IF(AND($GC$2&lt;&gt;"Enter Spend&gt;&gt;&gt;",GD2="EXISTING"),SUMIFS('Existing Customers'!$S:$S,'Existing Customers'!$H:$H,$GB23,'Existing Customers'!$A:$A,$GC$1),GS23*GC23),0)</f>
        <v>0</v>
      </c>
      <c r="GJ23" s="1161">
        <f>IFERROR(IF(AND($GC$2&lt;&gt;"Enter Spend&gt;&gt;&gt;",GD2="EXISTING"),SUMIFS('Existing Customers'!$U:$U,'Existing Customers'!$H:$H,$GB23,'Existing Customers'!$A:$A,$GC$1),GT23*GC23),0)</f>
        <v>0</v>
      </c>
      <c r="GK23" s="1164" t="e">
        <f t="shared" si="36"/>
        <v>#N/A</v>
      </c>
      <c r="GL23" s="1164">
        <f t="array" ref="GL23">IFERROR(INDEX('Margin Guidence Table'!$A$1:$AD$30000,MATCH(1,('Margin Guidence Table'!$A$1:$A$10000=GK23)*('Margin Guidence Table'!$H$1:$H$10000&lt;=ROUND($GC$3,0))*('Margin Guidence Table'!$G$1:$G$10000&gt;=ROUND($GC$3,0)),0),MATCH("DATA_POINTS",'Margin Guidence Table'!$A$1:$AC$1,0)),0)</f>
        <v>0</v>
      </c>
      <c r="GM23" s="1161" t="str">
        <f t="shared" si="37"/>
        <v>DEFAULT</v>
      </c>
      <c r="GN23" s="1161">
        <f t="array" ref="GN23">IFERROR(IF($GM23="SEGMENT",INDEX('Margin Guidence Table'!$A$1:$AC$10000,MATCH(1,('Margin Guidence Table'!$A$1:$A$10000=GK23)*('Margin Guidence Table'!$H$1:$H$10000&lt;=ROUND($GC$3,0))*('Margin Guidence Table'!$G$1:$G$10000&gt;=ROUND($GC$3,0)),0),MATCH("SALES_CASE",'Margin Guidence Table'!$A$1:$AC$1,0)),INDEX('Margin Guidence Table'!$A$1:$AC$10000,MATCH(1,('Margin Guidence Table'!$A$1:$A$10000=GK23)*('Margin Guidence Table'!$H$1:$H$10000&lt;=ROUND($GC$3,0))*('Margin Guidence Table'!$G$1:$G$10000&gt;=ROUND($GC$3,0)),0),MATCH("DEFAULT_SALES_CASE",'Margin Guidence Table'!$A$1:$AC$1,0))),0)</f>
        <v>0</v>
      </c>
      <c r="GO23" s="1161">
        <f t="array" ref="GO23">IFERROR(IF($GM23="SEGMENT",INDEX('Margin Guidence Table'!$A$1:$AC$10000,MATCH(1,('Margin Guidence Table'!$A$1:$A$10000=GK23)*('Margin Guidence Table'!$H$1:$H$10000&lt;=ROUND($GC$3,0))*('Margin Guidence Table'!$G$1:$G$10000&gt;=ROUND($GC$3,0)),0),MATCH("SALES_LBS",'Margin Guidence Table'!$A$1:$AC$1,0)),INDEX('Margin Guidence Table'!$A$1:$AC$10000,MATCH(1,('Margin Guidence Table'!$A$1:$A$10000=GK23)*('Margin Guidence Table'!$H$1:$H$10000&lt;=ROUND($GC$3,0))*('Margin Guidence Table'!$G$1:$G$10000&gt;=ROUND($GC$3,0)),0),MATCH("DEFAULT_SALES_LBS",'Margin Guidence Table'!$A$1:$AC$1,0))),0)</f>
        <v>0</v>
      </c>
      <c r="GP23" s="1165">
        <f t="array" ref="GP23">IFERROR(IF($GM23="SEGMENT",INDEX('Margin Guidence Table'!$A$1:$AC$10000,MATCH(1,('Margin Guidence Table'!$A$1:$A$10000=GK23)*('Margin Guidence Table'!$H$1:$H$10000&lt;=ROUND($GC$3,0))*('Margin Guidence Table'!$G$1:$G$10000&gt;=ROUND($GC$3,0)),0),MATCH("MDA_MIN_MARGIN_GUIDENCE",'Margin Guidence Table'!$A$1:$AC$1,0)),INDEX('Margin Guidence Table'!$A$1:$AC$10000,MATCH(1,('Margin Guidence Table'!$A$1:$A$10000=GK23)*('Margin Guidence Table'!$H$1:$H$10000&lt;=ROUND($GC$3,0))*('Margin Guidence Table'!$G$1:$G$10000&gt;=ROUND($GC$3,0)),0),MATCH("DEFAULT_MDA_MIN_MARGIN_GUIDENCE",'Margin Guidence Table'!$A$1:$AC$1,0))),0)</f>
        <v>0</v>
      </c>
      <c r="GQ23" s="1165">
        <f t="array" ref="GQ23">IFERROR(IF($GM23="SEGMENT",INDEX('Margin Guidence Table'!$A$1:$AC$10000,MATCH(1,('Margin Guidence Table'!$A$1:$A$10000=GK23)*('Margin Guidence Table'!$H$1:$H$10000&lt;=ROUND($GC$3,0))*('Margin Guidence Table'!$G$1:$G$10000&gt;=ROUND($GC$3,0)),0),MATCH("MDA_MEDIAN_MARGIN_GUIDENCE",'Margin Guidence Table'!$A$1:$AC$1,0)),INDEX('Margin Guidence Table'!$A$1:$AC$10000,MATCH(1,('Margin Guidence Table'!$A$1:$A$10000=GK23)*('Margin Guidence Table'!$H$1:$H$10000&lt;=ROUND($GC$3,0))*('Margin Guidence Table'!$G$1:$G$10000&gt;=ROUND($GC$3,0)),0),MATCH("DEFAULT_MDA_MEDIAN_MARGIN_GUIDENCE",'Margin Guidence Table'!$A$1:$AC$1,0))),0)</f>
        <v>0</v>
      </c>
      <c r="GR23" s="1165">
        <f t="array" ref="GR23">IFERROR(IF($GM23="SEGMENT",INDEX('Margin Guidence Table'!$A$1:$AC$10000,MATCH(1,('Margin Guidence Table'!$A$1:$A$10000=GK23)*('Margin Guidence Table'!$H$1:$H$10000&lt;=ROUND($GC$3,0))*('Margin Guidence Table'!$G$1:$G$10000&gt;=ROUND($GC$3,0)),0),MATCH("MDA_MAX_MARGIN_GUIDENCE",'Margin Guidence Table'!$A$1:$AC$1,0)),INDEX('Margin Guidence Table'!$A$1:$AC$10000,MATCH(1,('Margin Guidence Table'!$A$1:$A$10000=GK23)*('Margin Guidence Table'!$H$1:$H$10000&lt;=ROUND($GC$3,0))*('Margin Guidence Table'!$G$1:$G$10000&gt;=ROUND($GC$3,0)),0),MATCH("DEFAULT_MDA_MAX_MARGIN_GUIDENCE",'Margin Guidence Table'!$A$1:$AC$1,0))),0)</f>
        <v>0</v>
      </c>
      <c r="GS23" s="1165">
        <f t="array" ref="GS23">IFERROR(IF($GM23="SEGMENT",INDEX('Margin Guidence Table'!$A$1:$AC$10000,MATCH(1,('Margin Guidence Table'!$A$1:$A$10000=GK23)*('Margin Guidence Table'!$H$1:$H$10000&lt;=ROUND($GC$3,0))*('Margin Guidence Table'!$G$1:$G$10000&gt;=ROUND($GC$3,0)),0),MATCH("PA_PCT_SALES",'Margin Guidence Table'!$A$1:$AC$1,0)),INDEX('Margin Guidence Table'!$A$1:$AC$10000,MATCH(1,('Margin Guidence Table'!$A$1:$A$10000=GK23)*('Margin Guidence Table'!$H$1:$H$10000&lt;=ROUND($GC$3,0))*('Margin Guidence Table'!$G$1:$G$10000&gt;=ROUND($GC$3,0)),0),MATCH("DEFAULT_PA_PCT_SALES",'Margin Guidence Table'!$A$1:$AC$1,0))),0)</f>
        <v>0</v>
      </c>
      <c r="GT23" s="1165">
        <f t="array" ref="GT23">IFERROR(IF($GM23="SEGMENT",INDEX('Margin Guidence Table'!$A$1:$AC$10000,MATCH(1,('Margin Guidence Table'!$A$1:$A$10000=GK23)*('Margin Guidence Table'!$H$1:$H$10000&lt;=ROUND($GC$3,0))*('Margin Guidence Table'!$G$1:$G$10000&gt;=ROUND($GC$3,0)),0),MATCH("SELF_FUND_PCT_SALES",'Margin Guidence Table'!$A$1:$AC$1,0)),INDEX('Margin Guidence Table'!$A$1:$AC$10000,MATCH(1,('Margin Guidence Table'!$A$1:$A$10000=GK23)*('Margin Guidence Table'!$H$1:$H$10000&lt;=ROUND($GC$3,0))*('Margin Guidence Table'!$G$1:$G$10000&gt;=ROUND($GC$3,0)),0),MATCH("DEFAULT_SELF_FUND_PCT_SALES",'Margin Guidence Table'!$A$1:$AC$1,0))),0)</f>
        <v>0</v>
      </c>
      <c r="GU23" s="1165">
        <f t="array" ref="GU23">IFERROR(IF($GM23="SEGMENT",INDEX('Margin Guidence Table'!$A$1:$AC$10000,MATCH(1,('Margin Guidence Table'!$A$1:$A$10000=GK23)*('Margin Guidence Table'!$H$1:$H$10000&lt;=ROUND($GC$3,0))*('Margin Guidence Table'!$G$1:$G$10000&gt;=ROUND($GC$3,0)),0),MATCH("CIA_MEDIAN_MARGIN_GUIDENCE",'Margin Guidence Table'!$A$1:$AC$1,0)),INDEX('Margin Guidence Table'!$A$1:$AC$10000,MATCH(1,('Margin Guidence Table'!$A$1:$A$10000=GK23)*('Margin Guidence Table'!$H$1:$H$10000&lt;=ROUND($GC$3,0))*('Margin Guidence Table'!$G$1:$G$10000&gt;=ROUND($GC$3,0)),0),MATCH("DEFAULT_CIA_MEDIAN_MARGIN_GUIDENCE",'Margin Guidence Table'!$A$1:$AC$1,0))),0)</f>
        <v>0</v>
      </c>
      <c r="GV23" s="129"/>
      <c r="GW23" s="18">
        <f t="array" ref="GW23">IFERROR(IF($HI23="SEGMENT",INDEX('Margin Guidence Table'!$A$1:$AC$10000,MATCH(1,('Margin Guidence Table'!$A$1:$A$10000=$HG23)*('Margin Guidence Table'!$H$1:$H$10000&lt;=ROUND($GY$3,0))*('Margin Guidence Table'!$G$1:$G$10000&gt;=ROUND($GY$3,0)),0),MATCH("PCT_SALES",'Margin Guidence Table'!$A$1:$AC$1,0)),INDEX('Margin Guidence Table'!$A$1:$AC$10000,MATCH(1,('Margin Guidence Table'!$A$1:$A$10000=$HG23)*('Margin Guidence Table'!$H$1:$H$10000&lt;=ROUND($GY$3,0))*('Margin Guidence Table'!$G$1:$G$10000&gt;=ROUND($GY$3,0)),0),MATCH("DEFAULT_PCT_SALES",'Margin Guidence Table'!$A$1:$AC$1,0))),0)</f>
        <v>0</v>
      </c>
      <c r="GX23" s="102" t="s">
        <v>101</v>
      </c>
      <c r="GY23" s="94">
        <f>IFERROR(IF(AND($GY$2&lt;&gt;"Enter Spend&gt;&gt;&gt;",GZ2="EXISTING"),SUMIFS('Existing Customers'!$Q:$Q,'Existing Customers'!$A:$A,$GY$1,'Existing Customers'!$H:$H,$GX23)*$GY$4,$GY$3*$GW23),0)</f>
        <v>0</v>
      </c>
      <c r="GZ23" s="89">
        <f>IFERROR(IF(AND($GY$2&lt;&gt;"Enter Spend&gt;&gt;&gt;",GZ2="EXISTING"),SUMIFS('Existing Customers'!$N:$N,'Existing Customers'!$A:$A,$GY$1,'Existing Customers'!$H:$H,$GX23)*$GY$4,$GY23/$HJ23),0)</f>
        <v>0</v>
      </c>
      <c r="HA23" s="95">
        <f>IFERROR(IF(AND($GY$2&lt;&gt;"Enter Spend&gt;&gt;&gt;",GZ2="EXISTING"),SUMIFS('Existing Customers'!$O:$O,'Existing Customers'!$H:$H,$GX23,'Existing Customers'!$A:$A,$GY$1)*$GY$4,$GZ23*$GY$8),0)</f>
        <v>0</v>
      </c>
      <c r="HB23" s="95">
        <f>IFERROR(IF(AND($GY$2&lt;&gt;"Enter Spend&gt;&gt;&gt;",GZ2="EXISTING"),SUMIFS('Existing Customers'!$P:$P,'Existing Customers'!$A:$A,$GY$1,'Existing Customers'!$H:$H,$GX23)*$GY$4,$GY23/$HK23),0)</f>
        <v>0</v>
      </c>
      <c r="HC23" s="96">
        <f>IFERROR(IF(AND($GY$2&lt;&gt;"Enter Spend&gt;&gt;&gt;",GZ2="EXISTING"),SUMIFS('Existing Customers'!$V:$V,'Existing Customers'!$H:$H,$GX23,'Existing Customers'!$A:$A,$GY$1)*$GY$4,0),0)</f>
        <v>0</v>
      </c>
      <c r="HD23" s="96">
        <f>IFERROR(IF(AND($GY$2&lt;&gt;"Enter Spend&gt;&gt;&gt;",GZ2="EXISTING"),SUMIFS('Existing Customers'!$R:$R,'Existing Customers'!$H:$H,$GX23,'Existing Customers'!$A:$A,$GY$1)*$GY$4,0),0)</f>
        <v>0</v>
      </c>
      <c r="HE23" s="1161">
        <f>IFERROR(IF(AND($GY$2&lt;&gt;"Enter Spend&gt;&gt;&gt;",GZ2="EXISTING"),SUMIFS('Existing Customers'!$S:$S,'Existing Customers'!$H:$H,$GX23,'Existing Customers'!$A:$A,$GY$1),HO23*GY23),0)</f>
        <v>0</v>
      </c>
      <c r="HF23" s="1161">
        <f>IFERROR(IF(AND($GY$2&lt;&gt;"Enter Spend&gt;&gt;&gt;",GZ2="EXISTING"),SUMIFS('Existing Customers'!$U:$U,'Existing Customers'!$H:$H,$GX23,'Existing Customers'!$A:$A,$GY$1),HP23*GY23),0)</f>
        <v>0</v>
      </c>
      <c r="HG23" s="1164" t="e">
        <f t="shared" si="38"/>
        <v>#N/A</v>
      </c>
      <c r="HH23" s="1164">
        <f t="array" ref="HH23">IFERROR(INDEX('Margin Guidence Table'!$A$1:$AD$30000,MATCH(1,('Margin Guidence Table'!$A$1:$A$10000=HG23)*('Margin Guidence Table'!$H$1:$H$10000&lt;=ROUND($GY$3,0))*('Margin Guidence Table'!$G$1:$G$10000&gt;=ROUND($GY$3,0)),0),MATCH("DATA_POINTS",'Margin Guidence Table'!$A$1:$AC$1,0)),0)</f>
        <v>0</v>
      </c>
      <c r="HI23" s="1161" t="str">
        <f t="shared" si="39"/>
        <v>DEFAULT</v>
      </c>
      <c r="HJ23" s="1161">
        <f t="array" ref="HJ23">IFERROR(IF($HI23="SEGMENT",INDEX('Margin Guidence Table'!$A$1:$AC$10000,MATCH(1,('Margin Guidence Table'!$A$1:$A$10000=HG23)*('Margin Guidence Table'!$H$1:$H$10000&lt;=ROUND($GY$3,0))*('Margin Guidence Table'!$G$1:$G$10000&gt;=ROUND($GY$3,0)),0),MATCH("SALES_CASE",'Margin Guidence Table'!$A$1:$AC$1,0)),INDEX('Margin Guidence Table'!$A$1:$AC$10000,MATCH(1,('Margin Guidence Table'!$A$1:$A$10000=HG23)*('Margin Guidence Table'!$H$1:$H$10000&lt;=ROUND($GY$3,0))*('Margin Guidence Table'!$G$1:$G$10000&gt;=ROUND($GY$3,0)),0),MATCH("DEFAULT_SALES_CASE",'Margin Guidence Table'!$A$1:$AC$1,0))),0)</f>
        <v>0</v>
      </c>
      <c r="HK23" s="1161">
        <f t="array" ref="HK23">IFERROR(IF($HI23="SEGMENT",INDEX('Margin Guidence Table'!$A$1:$AC$10000,MATCH(1,('Margin Guidence Table'!$A$1:$A$10000=HG23)*('Margin Guidence Table'!$H$1:$H$10000&lt;=ROUND($GY$3,0))*('Margin Guidence Table'!$G$1:$G$10000&gt;=ROUND($GY$3,0)),0),MATCH("SALES_LBS",'Margin Guidence Table'!$A$1:$AC$1,0)),INDEX('Margin Guidence Table'!$A$1:$AC$10000,MATCH(1,('Margin Guidence Table'!$A$1:$A$10000=HG23)*('Margin Guidence Table'!$H$1:$H$10000&lt;=ROUND($GY$3,0))*('Margin Guidence Table'!$G$1:$G$10000&gt;=ROUND($GY$3,0)),0),MATCH("DEFAULT_SALES_LBS",'Margin Guidence Table'!$A$1:$AC$1,0))),0)</f>
        <v>0</v>
      </c>
      <c r="HL23" s="1165">
        <f t="array" ref="HL23">IFERROR(IF($HI23="SEGMENT",INDEX('Margin Guidence Table'!$A$1:$AC$10000,MATCH(1,('Margin Guidence Table'!$A$1:$A$10000=HG23)*('Margin Guidence Table'!$H$1:$H$10000&lt;=ROUND($GY$3,0))*('Margin Guidence Table'!$G$1:$G$10000&gt;=ROUND($GY$3,0)),0),MATCH("MDA_MIN_MARGIN_GUIDENCE",'Margin Guidence Table'!$A$1:$AC$1,0)),INDEX('Margin Guidence Table'!$A$1:$AC$10000,MATCH(1,('Margin Guidence Table'!$A$1:$A$10000=HG23)*('Margin Guidence Table'!$H$1:$H$10000&lt;=ROUND($GY$3,0))*('Margin Guidence Table'!$G$1:$G$10000&gt;=ROUND($GY$3,0)),0),MATCH("DEFAULT_MDA_MIN_MARGIN_GUIDENCE",'Margin Guidence Table'!$A$1:$AC$1,0))),0)</f>
        <v>0</v>
      </c>
      <c r="HM23" s="1165">
        <f t="array" ref="HM23">IFERROR(IF($HI23="SEGMENT",INDEX('Margin Guidence Table'!$A$1:$AC$10000,MATCH(1,('Margin Guidence Table'!$A$1:$A$10000=HG23)*('Margin Guidence Table'!$H$1:$H$10000&lt;=ROUND($GY$3,0))*('Margin Guidence Table'!$G$1:$G$10000&gt;=ROUND($GY$3,0)),0),MATCH("MDA_MEDIAN_MARGIN_GUIDENCE",'Margin Guidence Table'!$A$1:$AC$1,0)),INDEX('Margin Guidence Table'!$A$1:$AC$10000,MATCH(1,('Margin Guidence Table'!$A$1:$A$10000=HG23)*('Margin Guidence Table'!$H$1:$H$10000&lt;=ROUND($GY$3,0))*('Margin Guidence Table'!$G$1:$G$10000&gt;=ROUND($GY$3,0)),0),MATCH("DEFAULT_MDA_MEDIAN_MARGIN_GUIDENCE",'Margin Guidence Table'!$A$1:$AC$1,0))),0)</f>
        <v>0</v>
      </c>
      <c r="HN23" s="1165">
        <f t="array" ref="HN23">IFERROR(IF($HI23="SEGMENT",INDEX('Margin Guidence Table'!$A$1:$AC$10000,MATCH(1,('Margin Guidence Table'!$A$1:$A$10000=HG23)*('Margin Guidence Table'!$H$1:$H$10000&lt;=ROUND($GY$3,0))*('Margin Guidence Table'!$G$1:$G$10000&gt;=ROUND($GY$3,0)),0),MATCH("MDA_MAX_MARGIN_GUIDENCE",'Margin Guidence Table'!$A$1:$AC$1,0)),INDEX('Margin Guidence Table'!$A$1:$AC$10000,MATCH(1,('Margin Guidence Table'!$A$1:$A$10000=HG23)*('Margin Guidence Table'!$H$1:$H$10000&lt;=ROUND($GY$3,0))*('Margin Guidence Table'!$G$1:$G$10000&gt;=ROUND($GY$3,0)),0),MATCH("DEFAULT_MDA_MAX_MARGIN_GUIDENCE",'Margin Guidence Table'!$A$1:$AC$1,0))),0)</f>
        <v>0</v>
      </c>
      <c r="HO23" s="1165">
        <f t="array" ref="HO23">IFERROR(IF($HI23="SEGMENT",INDEX('Margin Guidence Table'!$A$1:$AC$10000,MATCH(1,('Margin Guidence Table'!$A$1:$A$10000=HG23)*('Margin Guidence Table'!$H$1:$H$10000&lt;=ROUND($GY$3,0))*('Margin Guidence Table'!$G$1:$G$10000&gt;=ROUND($GY$3,0)),0),MATCH("PA_PCT_SALES",'Margin Guidence Table'!$A$1:$AC$1,0)),INDEX('Margin Guidence Table'!$A$1:$AC$10000,MATCH(1,('Margin Guidence Table'!$A$1:$A$10000=HG23)*('Margin Guidence Table'!$H$1:$H$10000&lt;=ROUND($GY$3,0))*('Margin Guidence Table'!$G$1:$G$10000&gt;=ROUND($GY$3,0)),0),MATCH("DEFAULT_PA_PCT_SALES",'Margin Guidence Table'!$A$1:$AC$1,0))),0)</f>
        <v>0</v>
      </c>
      <c r="HP23" s="1165">
        <f t="array" ref="HP23">IFERROR(IF($HI23="SEGMENT",INDEX('Margin Guidence Table'!$A$1:$AC$10000,MATCH(1,('Margin Guidence Table'!$A$1:$A$10000=HG23)*('Margin Guidence Table'!$H$1:$H$10000&lt;=ROUND($GY$3,0))*('Margin Guidence Table'!$G$1:$G$10000&gt;=ROUND($GY$3,0)),0),MATCH("SELF_FUND_PCT_SALES",'Margin Guidence Table'!$A$1:$AC$1,0)),INDEX('Margin Guidence Table'!$A$1:$AC$10000,MATCH(1,('Margin Guidence Table'!$A$1:$A$10000=HG23)*('Margin Guidence Table'!$H$1:$H$10000&lt;=ROUND($GY$3,0))*('Margin Guidence Table'!$G$1:$G$10000&gt;=ROUND($GY$3,0)),0),MATCH("DEFAULT_SELF_FUND_PCT_SALES",'Margin Guidence Table'!$A$1:$AC$1,0))),0)</f>
        <v>0</v>
      </c>
      <c r="HQ23" s="1165">
        <f t="array" ref="HQ23">IFERROR(IF($HI23="SEGMENT",INDEX('Margin Guidence Table'!$A$1:$AC$10000,MATCH(1,('Margin Guidence Table'!$A$1:$A$10000=HG23)*('Margin Guidence Table'!$H$1:$H$10000&lt;=ROUND($GY$3,0))*('Margin Guidence Table'!$G$1:$G$10000&gt;=ROUND($GY$3,0)),0),MATCH("CIA_MEDIAN_MARGIN_GUIDENCE",'Margin Guidence Table'!$A$1:$AC$1,0)),INDEX('Margin Guidence Table'!$A$1:$AC$10000,MATCH(1,('Margin Guidence Table'!$A$1:$A$10000=HG23)*('Margin Guidence Table'!$H$1:$H$10000&lt;=ROUND($GY$3,0))*('Margin Guidence Table'!$G$1:$G$10000&gt;=ROUND($GY$3,0)),0),MATCH("DEFAULT_CIA_MEDIAN_MARGIN_GUIDENCE",'Margin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Spend&gt;&gt;&gt;",HV2="EXISTING"),SUMIFS('Existing Customers'!$Q:$Q,'Existing Customers'!$A:$A,$HU$1,'Existing Customers'!$H:$H,$HT23)*$HU$4,$HU$3*$HS23),0)</f>
        <v>0</v>
      </c>
      <c r="HV23" s="89">
        <f>IFERROR(IF(AND($HU$2&lt;&gt;"Enter Spend&gt;&gt;&gt;",HV2="EXISTING"),SUMIFS('Existing Customers'!$N:$N,'Existing Customers'!$A:$A,$HU$1,'Existing Customers'!$H:$H,$HT23)*$HU$4,$HU23/$IF23),0)</f>
        <v>0</v>
      </c>
      <c r="HW23" s="95">
        <f>IFERROR(IF(AND($HU$2&lt;&gt;"Enter Spend&gt;&gt;&gt;",HV2="EXISTING"),SUMIFS('Existing Customers'!$O:$O,'Existing Customers'!$H:$H,$HT23,'Existing Customers'!$A:$A,$HU$1)*$HU$4,$HV23*$HU$8),0)</f>
        <v>0</v>
      </c>
      <c r="HX23" s="95">
        <f>IFERROR(IF(AND($HU$2&lt;&gt;"Enter Spend&gt;&gt;&gt;",HV2="EXISTING"),SUMIFS('Existing Customers'!$P:$P,'Existing Customers'!$A:$A,$HU$1,'Existing Customers'!$H:$H,$HT23)*$HU$4,$HU23/$IG23),0)</f>
        <v>0</v>
      </c>
      <c r="HY23" s="402">
        <f>IFERROR(IF(AND($HU$2&lt;&gt;"Enter Spend&gt;&gt;&gt;",HV2="EXISTING"),SUMIFS('Existing Customers'!$V:$V,'Existing Customers'!$H:$H,$HT23,'Existing Customers'!$A:$A,$HU$1)*$HU$4,0),0)</f>
        <v>0</v>
      </c>
      <c r="HZ23" s="96">
        <f>IFERROR(IF(AND($HU$2&lt;&gt;"Enter Spend&gt;&gt;&gt;",HV2="EXISTING"),SUMIFS('Existing Customers'!$R:$R,'Existing Customers'!$H:$H,$HT23,'Existing Customers'!$A:$A,$HU$1)*$HU$4,0),0)</f>
        <v>0</v>
      </c>
      <c r="IA23" s="1161">
        <f>IFERROR(IF(AND($HU$2&lt;&gt;"Enter Spend&gt;&gt;&gt;",HV2="EXISTING"),SUMIFS('Existing Customers'!$S:$S,'Existing Customers'!$H:$H,$HT23,'Existing Customers'!$A:$A,$HU$1),IK23*HU23),0)</f>
        <v>0</v>
      </c>
      <c r="IB23" s="1161">
        <f>IFERROR(IF(AND($HU$2&lt;&gt;"Enter Spend&gt;&gt;&gt;",HV2="EXISTING"),SUMIFS('Existing Customers'!$U:$U,'Existing Customers'!$H:$H,$HT23,'Existing Customers'!$A:$A,$HU$1),IL23*HU23),0)</f>
        <v>0</v>
      </c>
      <c r="IC23" s="1164" t="e">
        <f t="shared" si="40"/>
        <v>#N/A</v>
      </c>
      <c r="ID23" s="1164">
        <f t="array" ref="ID23">IFERROR(INDEX('Margin Guidence Table'!$A$1:$AD$30000,MATCH(1,('Margin Guidence Table'!$A$1:$A$10000=IC23)*('Margin Guidence Table'!$H$1:$H$10000&lt;=ROUND($HU$3,0))*('Margin Guidence Table'!$G$1:$G$10000&gt;=ROUND($HU$3,0)),0),MATCH("DATA_POINTS",'Margin Guidence Table'!$A$1:$AC$1,0)),0)</f>
        <v>0</v>
      </c>
      <c r="IE23" s="1161" t="str">
        <f t="shared" si="41"/>
        <v>DEFAULT</v>
      </c>
      <c r="IF23" s="1161">
        <f t="array" ref="IF23">IFERROR(IF($IE23="SEGMENT",INDEX('Margin Guidence Table'!$A$1:$AC$10000,MATCH(1,('Margin Guidence Table'!$A$1:$A$10000=IC23)*('Margin Guidence Table'!$H$1:$H$10000&lt;=ROUND($HU$3,0))*('Margin Guidence Table'!$G$1:$G$10000&gt;=ROUND($HU$3,0)),0),MATCH("SALES_CASE",'Margin Guidence Table'!$A$1:$AC$1,0)),INDEX('Margin Guidence Table'!$A$1:$AC$10000,MATCH(1,('Margin Guidence Table'!$A$1:$A$10000=IC23)*('Margin Guidence Table'!$H$1:$H$10000&lt;=ROUND($HU$3,0))*('Margin Guidence Table'!$G$1:$G$10000&gt;=ROUND($HU$3,0)),0),MATCH("DEFAULT_SALES_CASE",'Margin Guidence Table'!$A$1:$AC$1,0))),0)</f>
        <v>0</v>
      </c>
      <c r="IG23" s="1161">
        <f t="array" ref="IG23">IFERROR(IF($IE23="SEGMENT",INDEX('Margin Guidence Table'!$A$1:$AC$10000,MATCH(1,('Margin Guidence Table'!$A$1:$A$10000=IC23)*('Margin Guidence Table'!$H$1:$H$10000&lt;=ROUND($HU$3,0))*('Margin Guidence Table'!$G$1:$G$10000&gt;=ROUND($HU$3,0)),0),MATCH("SALES_LBS",'Margin Guidence Table'!$A$1:$AC$1,0)),INDEX('Margin Guidence Table'!$A$1:$AC$10000,MATCH(1,('Margin Guidence Table'!$A$1:$A$10000=IC23)*('Margin Guidence Table'!$H$1:$H$10000&lt;=ROUND($HU$3,0))*('Margin Guidence Table'!$G$1:$G$10000&gt;=ROUND($HU$3,0)),0),MATCH("DEFAULT_SALES_LBS",'Margin Guidence Table'!$A$1:$AC$1,0))),0)</f>
        <v>0</v>
      </c>
      <c r="IH23" s="1165">
        <f t="array" ref="IH23">IFERROR(IF($IE23="SEGMENT",INDEX('Margin Guidence Table'!$A$1:$AC$10000,MATCH(1,('Margin Guidence Table'!$A$1:$A$10000=IC23)*('Margin Guidence Table'!$H$1:$H$10000&lt;=ROUND($HU$3,0))*('Margin Guidence Table'!$G$1:$G$10000&gt;=ROUND($HU$3,0)),0),MATCH("MDA_MIN_MARGIN_GUIDENCE",'Margin Guidence Table'!$A$1:$AC$1,0)),INDEX('Margin Guidence Table'!$A$1:$AC$10000,MATCH(1,('Margin Guidence Table'!$A$1:$A$10000=IC23)*('Margin Guidence Table'!$H$1:$H$10000&lt;=ROUND($HU$3,0))*('Margin Guidence Table'!$G$1:$G$10000&gt;=ROUND($HU$3,0)),0),MATCH("DEFAULT_MDA_MIN_MARGIN_GUIDENCE",'Margin Guidence Table'!$A$1:$AC$1,0))),0)</f>
        <v>0</v>
      </c>
      <c r="II23" s="1165">
        <f t="array" ref="II23">IFERROR(IF($IE23="SEGMENT",INDEX('Margin Guidence Table'!$A$1:$AC$10000,MATCH(1,('Margin Guidence Table'!$A$1:$A$10000=IC23)*('Margin Guidence Table'!$H$1:$H$10000&lt;=ROUND($HU$3,0))*('Margin Guidence Table'!$G$1:$G$10000&gt;=ROUND($HU$3,0)),0),MATCH("MDA_MEDIAN_MARGIN_GUIDENCE",'Margin Guidence Table'!$A$1:$AC$1,0)),INDEX('Margin Guidence Table'!$A$1:$AC$10000,MATCH(1,('Margin Guidence Table'!$A$1:$A$10000=IC23)*('Margin Guidence Table'!$H$1:$H$10000&lt;=ROUND($HU$3,0))*('Margin Guidence Table'!$G$1:$G$10000&gt;=ROUND($HU$3,0)),0),MATCH("DEFAULT_MDA_MEDIAN_MARGIN_GUIDENCE",'Margin Guidence Table'!$A$1:$AC$1,0))),0)</f>
        <v>0</v>
      </c>
      <c r="IJ23" s="1165">
        <f t="array" ref="IJ23">IFERROR(IF($IE23="SEGMENT",INDEX('Margin Guidence Table'!$A$1:$AC$10000,MATCH(1,('Margin Guidence Table'!$A$1:$A$10000=IC23)*('Margin Guidence Table'!$H$1:$H$10000&lt;=ROUND($HU$3,0))*('Margin Guidence Table'!$G$1:$G$10000&gt;=ROUND($HU$3,0)),0),MATCH("MDA_MAX_MARGIN_GUIDENCE",'Margin Guidence Table'!$A$1:$AC$1,0)),INDEX('Margin Guidence Table'!$A$1:$AC$10000,MATCH(1,('Margin Guidence Table'!$A$1:$A$10000=IC23)*('Margin Guidence Table'!$H$1:$H$10000&lt;=ROUND($HU$3,0))*('Margin Guidence Table'!$G$1:$G$10000&gt;=ROUND($HU$3,0)),0),MATCH("DEFAULT_MDA_MAX_MARGIN_GUIDENCE",'Margin Guidence Table'!$A$1:$AC$1,0))),0)</f>
        <v>0</v>
      </c>
      <c r="IK23" s="1165">
        <f t="array" ref="IK23">IFERROR(IF($IE23="SEGMENT",INDEX('Margin Guidence Table'!$A$1:$AC$10000,MATCH(1,('Margin Guidence Table'!$A$1:$A$10000=IC23)*('Margin Guidence Table'!$H$1:$H$10000&lt;=ROUND($HU$3,0))*('Margin Guidence Table'!$G$1:$G$10000&gt;=ROUND($HU$3,0)),0),MATCH("PA_PCT_SALES",'Margin Guidence Table'!$A$1:$AC$1,0)),INDEX('Margin Guidence Table'!$A$1:$AC$10000,MATCH(1,('Margin Guidence Table'!$A$1:$A$10000=IC23)*('Margin Guidence Table'!$H$1:$H$10000&lt;=ROUND($HU$3,0))*('Margin Guidence Table'!$G$1:$G$10000&gt;=ROUND($HU$3,0)),0),MATCH("DEFAULT_PA_PCT_SALES",'Margin Guidence Table'!$A$1:$AC$1,0))),0)</f>
        <v>0</v>
      </c>
      <c r="IL23" s="1165">
        <f t="array" ref="IL23">IFERROR(IF($IE23="SEGMENT",INDEX('Margin Guidence Table'!$A$1:$AC$10000,MATCH(1,('Margin Guidence Table'!$A$1:$A$10000=IC23)*('Margin Guidence Table'!$H$1:$H$10000&lt;=ROUND($HU$3,0))*('Margin Guidence Table'!$G$1:$G$10000&gt;=ROUND($HU$3,0)),0),MATCH("SELF_FUND_PCT_SALES",'Margin Guidence Table'!$A$1:$AC$1,0)),INDEX('Margin Guidence Table'!$A$1:$AC$10000,MATCH(1,('Margin Guidence Table'!$A$1:$A$10000=IC23)*('Margin Guidence Table'!$H$1:$H$10000&lt;=ROUND($HU$3,0))*('Margin Guidence Table'!$G$1:$G$10000&gt;=ROUND($HU$3,0)),0),MATCH("DEFAULT_SELF_FUND_PCT_SALES",'Margin Guidence Table'!$A$1:$AC$1,0))),0)</f>
        <v>0</v>
      </c>
      <c r="IM23" s="1165">
        <f t="array" ref="IM23">IFERROR(IF($IE23="SEGMENT",INDEX('Margin Guidence Table'!$A$1:$AC$10000,MATCH(1,('Margin Guidence Table'!$A$1:$A$10000=IC23)*('Margin Guidence Table'!$H$1:$H$10000&lt;=ROUND($HU$3,0))*('Margin Guidence Table'!$G$1:$G$10000&gt;=ROUND($HU$3,0)),0),MATCH("CIA_MEDIAN_MARGIN_GUIDENCE",'Margin Guidence Table'!$A$1:$AC$1,0)),INDEX('Margin Guidence Table'!$A$1:$AC$10000,MATCH(1,('Margin Guidence Table'!$A$1:$A$10000=IC23)*('Margin Guidence Table'!$H$1:$H$10000&lt;=ROUND($HU$3,0))*('Margin Guidence Table'!$G$1:$G$10000&gt;=ROUND($HU$3,0)),0),MATCH("DEFAULT_CIA_MEDIAN_MARGIN_GUIDENCE",'Margin Guidence Table'!$A$1:$AC$1,0))),0)</f>
        <v>0</v>
      </c>
      <c r="IN23" s="129"/>
      <c r="IO23" s="18">
        <f t="array" ref="IO23">IFERROR(IF($JA23="SEGMENT",INDEX('Margin Guidence Table'!$A$1:$AC$10000,MATCH(1,('Margin Guidence Table'!$A$1:$A$10000=$IY23)*('Margin Guidence Table'!$H$1:$H$10000&lt;=ROUND($IQ$3,0))*('Margin Guidence Table'!$G$1:$G$10000&gt;=ROUND($IQ$3,0)),0),MATCH("PCT_SALES",'Margin Guidence Table'!$A$1:$AC$1,0)),INDEX('Margin Guidence Table'!$A$1:$AC$10000,MATCH(1,('Margin Guidence Table'!$A$1:$A$10000=$IY23)*('Margin Guidence Table'!$H$1:$H$10000&lt;=ROUND($IQ$3,0))*('Margin Guidence Table'!$G$1:$G$10000&gt;=ROUND($IQ$3,0)),0),MATCH("DEFAULT_PCT_SALES",'Margin Guidence Table'!$A$1:$AC$1,0))),0)</f>
        <v>0</v>
      </c>
      <c r="IP23" s="102" t="s">
        <v>101</v>
      </c>
      <c r="IQ23" s="94">
        <f>IFERROR(IF(AND($IQ$2&lt;&gt;"Enter Spend&gt;&gt;&gt;",IR2="EXISTING"),SUMIFS('Existing Customers'!$Q:$Q,'Existing Customers'!$A:$A,$IQ$1,'Existing Customers'!$H:$H,$IP23)*$IQ$4,$IQ$3*$IO23),0)</f>
        <v>0</v>
      </c>
      <c r="IR23" s="89">
        <f>IFERROR(IF(AND($IQ$2&lt;&gt;"Enter Spend&gt;&gt;&gt;",IR2="EXISTING"),SUMIFS('Existing Customers'!$N:$N,'Existing Customers'!$A:$A,$IQ$1,'Existing Customers'!$H:$H,$IP23)*$IQ$4,$IQ23/$JB23),0)</f>
        <v>0</v>
      </c>
      <c r="IS23" s="95">
        <f>IFERROR(IF(AND($IQ$2&lt;&gt;"Enter Spend&gt;&gt;&gt;",IR2="EXISTING"),SUMIFS('Existing Customers'!$O:$O,'Existing Customers'!$H:$H,$IP23,'Existing Customers'!$A:$A,$IQ$1)*$IQ$4,$IR23*$IQ$8),0)</f>
        <v>0</v>
      </c>
      <c r="IT23" s="95">
        <f>IFERROR(IF(AND($IQ$2&lt;&gt;"Enter Spend&gt;&gt;&gt;",IR2="EXISTING"),SUMIFS('Existing Customers'!$P:$P,'Existing Customers'!$A:$A,$IQ$1,'Existing Customers'!$H:$H,$IP23)*$IQ$4,$IQ23/$JC23),0)</f>
        <v>0</v>
      </c>
      <c r="IU23" s="402">
        <f>IFERROR(IF(AND($IQ$2&lt;&gt;"Enter Spend&gt;&gt;&gt;",IR2="EXISTING"),SUMIFS('Existing Customers'!$V:$V,'Existing Customers'!$H:$H,$IP23,'Existing Customers'!$A:$A,$IQ$1)*$IQ$4,0),0)</f>
        <v>0</v>
      </c>
      <c r="IV23" s="96">
        <f>IFERROR(IF(AND($IQ$2&lt;&gt;"Enter Spend&gt;&gt;&gt;",IR2="EXISTING"),SUMIFS('Existing Customers'!$R:$R,'Existing Customers'!$H:$H,$IP23,'Existing Customers'!$A:$A,$IQ$1)*$IQ$4,0),0)</f>
        <v>0</v>
      </c>
      <c r="IW23" s="1161">
        <f>IFERROR(IF(AND($IQ$2&lt;&gt;"Enter Spend&gt;&gt;&gt;",IR2="EXISTING"),SUMIFS('Existing Customers'!$S:$S,'Existing Customers'!$H:$H,$IP23,'Existing Customers'!$A:$A,$IQ$1),JG23*IQ23),0)</f>
        <v>0</v>
      </c>
      <c r="IX23" s="1161">
        <f>IFERROR(IF(AND($IQ$2&lt;&gt;"Enter Spend&gt;&gt;&gt;",IR2="EXISTING"),SUMIFS('Existing Customers'!$U:$U,'Existing Customers'!$H:$H,$IP23,'Existing Customers'!$A:$A,$IQ$1),JH23*IQ23),0)</f>
        <v>0</v>
      </c>
      <c r="IY23" s="1164" t="e">
        <f t="shared" si="42"/>
        <v>#N/A</v>
      </c>
      <c r="IZ23" s="1164">
        <f t="array" ref="IZ23">IFERROR(INDEX('Margin Guidence Table'!$A$1:$AD$30000,MATCH(1,('Margin Guidence Table'!$A$1:$A$10000=IY23)*('Margin Guidence Table'!$H$1:$H$10000&lt;=ROUND($IQ$3,0))*('Margin Guidence Table'!$G$1:$G$10000&gt;=ROUND($IQ$3,0)),0),MATCH("DATA_POINTS",'Margin Guidence Table'!$A$1:$AC$1,0)),0)</f>
        <v>0</v>
      </c>
      <c r="JA23" s="1161" t="str">
        <f t="shared" si="43"/>
        <v>DEFAULT</v>
      </c>
      <c r="JB23" s="1161">
        <f t="array" ref="JB23">IFERROR(IF($JA23="SEGMENT",INDEX('Margin Guidence Table'!$A$1:$AC$10000,MATCH(1,('Margin Guidence Table'!$A$1:$A$10000=IY23)*('Margin Guidence Table'!$H$1:$H$10000&lt;=ROUND($IQ$3,0))*('Margin Guidence Table'!$G$1:$G$10000&gt;=ROUND($IQ$3,0)),0),MATCH("SALES_CASE",'Margin Guidence Table'!$A$1:$AC$1,0)),INDEX('Margin Guidence Table'!$A$1:$AC$10000,MATCH(1,('Margin Guidence Table'!$A$1:$A$10000=IY23)*('Margin Guidence Table'!$H$1:$H$10000&lt;=ROUND($IQ$3,0))*('Margin Guidence Table'!$G$1:$G$10000&gt;=ROUND($IQ$3,0)),0),MATCH("DEFAULT_SALES_CASE",'Margin Guidence Table'!$A$1:$AC$1,0))),0)</f>
        <v>0</v>
      </c>
      <c r="JC23" s="1161">
        <f t="array" ref="JC23">IFERROR(IF($JA23="SEGMENT",INDEX('Margin Guidence Table'!$A$1:$AC$10000,MATCH(1,('Margin Guidence Table'!$A$1:$A$10000=IY23)*('Margin Guidence Table'!$H$1:$H$10000&lt;=ROUND($IQ$3,0))*('Margin Guidence Table'!$G$1:$G$10000&gt;=ROUND($IQ$3,0)),0),MATCH("SALES_LBS",'Margin Guidence Table'!$A$1:$AC$1,0)),INDEX('Margin Guidence Table'!$A$1:$AC$10000,MATCH(1,('Margin Guidence Table'!$A$1:$A$10000=IY23)*('Margin Guidence Table'!$H$1:$H$10000&lt;=ROUND($IQ$3,0))*('Margin Guidence Table'!$G$1:$G$10000&gt;=ROUND($IQ$3,0)),0),MATCH("DEFAULT_SALES_LBS",'Margin Guidence Table'!$A$1:$AC$1,0))),0)</f>
        <v>0</v>
      </c>
      <c r="JD23" s="1165">
        <f t="array" ref="JD23">IFERROR(IF($JA23="SEGMENT",INDEX('Margin Guidence Table'!$A$1:$AC$10000,MATCH(1,('Margin Guidence Table'!$A$1:$A$10000=IY23)*('Margin Guidence Table'!$H$1:$H$10000&lt;=ROUND($IQ$3,0))*('Margin Guidence Table'!$G$1:$G$10000&gt;=ROUND($IQ$3,0)),0),MATCH("MDA_MIN_MARGIN_GUIDENCE",'Margin Guidence Table'!$A$1:$AC$1,0)),INDEX('Margin Guidence Table'!$A$1:$AC$10000,MATCH(1,('Margin Guidence Table'!$A$1:$A$10000=IY23)*('Margin Guidence Table'!$H$1:$H$10000&lt;=ROUND($IQ$3,0))*('Margin Guidence Table'!$G$1:$G$10000&gt;=ROUND($IQ$3,0)),0),MATCH("DEFAULT_MDA_MIN_MARGIN_GUIDENCE",'Margin Guidence Table'!$A$1:$AC$1,0))),0)</f>
        <v>0</v>
      </c>
      <c r="JE23" s="1165">
        <f t="array" ref="JE23">IFERROR(IF($JA23="SEGMENT",INDEX('Margin Guidence Table'!$A$1:$AC$10000,MATCH(1,('Margin Guidence Table'!$A$1:$A$10000=IY23)*('Margin Guidence Table'!$H$1:$H$10000&lt;=ROUND($IQ$3,0))*('Margin Guidence Table'!$G$1:$G$10000&gt;=ROUND($IQ$3,0)),0),MATCH("MDA_MEDIAN_MARGIN_GUIDENCE",'Margin Guidence Table'!$A$1:$AC$1,0)),INDEX('Margin Guidence Table'!$A$1:$AC$10000,MATCH(1,('Margin Guidence Table'!$A$1:$A$10000=IY23)*('Margin Guidence Table'!$H$1:$H$10000&lt;=ROUND($IQ$3,0))*('Margin Guidence Table'!$G$1:$G$10000&gt;=ROUND($IQ$3,0)),0),MATCH("DEFAULT_MDA_MEDIAN_MARGIN_GUIDENCE",'Margin Guidence Table'!$A$1:$AC$1,0))),0)</f>
        <v>0</v>
      </c>
      <c r="JF23" s="1165">
        <f t="array" ref="JF23">IFERROR(IF($JA23="SEGMENT",INDEX('Margin Guidence Table'!$A$1:$AC$10000,MATCH(1,('Margin Guidence Table'!$A$1:$A$10000=IY23)*('Margin Guidence Table'!$H$1:$H$10000&lt;=ROUND($IQ$3,0))*('Margin Guidence Table'!$G$1:$G$10000&gt;=ROUND($IQ$3,0)),0),MATCH("MDA_MAX_MARGIN_GUIDENCE",'Margin Guidence Table'!$A$1:$AC$1,0)),INDEX('Margin Guidence Table'!$A$1:$AC$10000,MATCH(1,('Margin Guidence Table'!$A$1:$A$10000=IY23)*('Margin Guidence Table'!$H$1:$H$10000&lt;=ROUND($IQ$3,0))*('Margin Guidence Table'!$G$1:$G$10000&gt;=ROUND($IQ$3,0)),0),MATCH("DEFAULT_MDA_MAX_MARGIN_GUIDENCE",'Margin Guidence Table'!$A$1:$AC$1,0))),0)</f>
        <v>0</v>
      </c>
      <c r="JG23" s="1165">
        <f t="array" ref="JG23">IFERROR(IF($JA23="SEGMENT",INDEX('Margin Guidence Table'!$A$1:$AC$10000,MATCH(1,('Margin Guidence Table'!$A$1:$A$10000=IY23)*('Margin Guidence Table'!$H$1:$H$10000&lt;=ROUND($IQ$3,0))*('Margin Guidence Table'!$G$1:$G$10000&gt;=ROUND($IQ$3,0)),0),MATCH("PA_PCT_SALES",'Margin Guidence Table'!$A$1:$AC$1,0)),INDEX('Margin Guidence Table'!$A$1:$AC$10000,MATCH(1,('Margin Guidence Table'!$A$1:$A$10000=IY23)*('Margin Guidence Table'!$H$1:$H$10000&lt;=ROUND($IQ$3,0))*('Margin Guidence Table'!$G$1:$G$10000&gt;=ROUND($IQ$3,0)),0),MATCH("DEFAULT_PA_PCT_SALES",'Margin Guidence Table'!$A$1:$AC$1,0))),0)</f>
        <v>0</v>
      </c>
      <c r="JH23" s="1165">
        <f t="array" ref="JH23">IFERROR(IF($JA23="SEGMENT",INDEX('Margin Guidence Table'!$A$1:$AC$10000,MATCH(1,('Margin Guidence Table'!$A$1:$A$10000=IY23)*('Margin Guidence Table'!$H$1:$H$10000&lt;=ROUND($IQ$3,0))*('Margin Guidence Table'!$G$1:$G$10000&gt;=ROUND($IQ$3,0)),0),MATCH("SELF_FUND_PCT_SALES",'Margin Guidence Table'!$A$1:$AC$1,0)),INDEX('Margin Guidence Table'!$A$1:$AC$10000,MATCH(1,('Margin Guidence Table'!$A$1:$A$10000=IY23)*('Margin Guidence Table'!$H$1:$H$10000&lt;=ROUND($IQ$3,0))*('Margin Guidence Table'!$G$1:$G$10000&gt;=ROUND($IQ$3,0)),0),MATCH("DEFAULT_SELF_FUND_PCT_SALES",'Margin Guidence Table'!$A$1:$AC$1,0))),0)</f>
        <v>0</v>
      </c>
      <c r="JI23" s="1165">
        <f t="array" ref="JI23">IFERROR(IF($JA23="SEGMENT",INDEX('Margin Guidence Table'!$A$1:$AC$10000,MATCH(1,('Margin Guidence Table'!$A$1:$A$10000=IY23)*('Margin Guidence Table'!$H$1:$H$10000&lt;=ROUND($IQ$3,0))*('Margin Guidence Table'!$G$1:$G$10000&gt;=ROUND($IQ$3,0)),0),MATCH("CIA_MEDIAN_MARGIN_GUIDENCE",'Margin Guidence Table'!$A$1:$AC$1,0)),INDEX('Margin Guidence Table'!$A$1:$AC$10000,MATCH(1,('Margin Guidence Table'!$A$1:$A$10000=IY23)*('Margin Guidence Table'!$H$1:$H$10000&lt;=ROUND($IQ$3,0))*('Margin Guidence Table'!$G$1:$G$10000&gt;=ROUND($IQ$3,0)),0),MATCH("DEFAULT_CIA_MEDIAN_MARGIN_GUIDENCE",'Margin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44"/>
        <v>#DIV/0!</v>
      </c>
      <c r="AV24" s="400"/>
      <c r="AW24" s="400"/>
      <c r="AX24" s="108">
        <v>13</v>
      </c>
      <c r="AY24" s="18">
        <f t="array" ref="AY24">IFERROR(IF($BK24="SEGMENT",INDEX('Margin Guidence Table'!$A$1:$AC$10000,MATCH(1,('Margin Guidence Table'!$A$1:$A$10000=$BI24)*('Margin Guidence Table'!$H$1:$H$10000&lt;=ROUND($BA$3,0))*('Margin Guidence Table'!$G$1:$G$10000&gt;=ROUND($BA$3,0)),0),MATCH("PCT_SALES",'Margin Guidence Table'!$A$1:$AC$1,0)),INDEX('Margin Guidence Table'!$A$1:$AC$10000,MATCH(1,('Margin Guidence Table'!$A$1:$A$10000=$BI24)*('Margin Guidence Table'!$H$1:$H$10000&lt;=ROUND($BA$3,0))*('Margin Guidence Table'!$G$1:$G$10000&gt;=ROUND($BA$3,0)),0),MATCH("DEFAULT_PCT_SALES",'Margin Guidence Table'!$A$1:$AC$1,0))),0)</f>
        <v>0</v>
      </c>
      <c r="AZ24" s="102" t="s">
        <v>97</v>
      </c>
      <c r="BA24" s="94">
        <f>IFERROR(IF(AND($BA$2&lt;&gt;"Enter Spend&gt;&gt;&gt;",BB2="EXISTING"),SUMIFS('Existing Customers'!$Q:$Q,'Existing Customers'!$A:$A,$BA$1,'Existing Customers'!$H:$H,$AZ24)*$BA$4,$BA$3*$AY24),0)</f>
        <v>0</v>
      </c>
      <c r="BB24" s="95">
        <f>IFERROR(IF(AND($BA$2&lt;&gt;"Enter Spend&gt;&gt;&gt;",BB2="EXISTING"),SUMIFS('Existing Customers'!$N:$N,'Existing Customers'!$A:$A,$BA$1,'Existing Customers'!$H:$H,$AZ24)*$BA$4,$BA24/$BL24),0)</f>
        <v>0</v>
      </c>
      <c r="BC24" s="95">
        <f>IFERROR(IF(AND($BA$2&lt;&gt;"Enter Spend&gt;&gt;&gt;",BB2="EXISTING"),SUMIFS('Existing Customers'!$O:$O,'Existing Customers'!$H:$H,$AZ24,'Existing Customers'!$A:$A,$BA$1)*$BA$4,$BB24*$BA$8),0)</f>
        <v>0</v>
      </c>
      <c r="BD24" s="95">
        <f>IFERROR(IF(AND($BA$2&lt;&gt;"Enter Spend&gt;&gt;&gt;",BB2="EXISTING"),SUMIFS('Existing Customers'!$P:$P,'Existing Customers'!$A:$A,$BA$1,'Existing Customers'!$H:$H,$AZ24)*$BA$4,$BA24/$BM24),0)</f>
        <v>0</v>
      </c>
      <c r="BE24" s="402">
        <f>IFERROR(IF(AND($BA$2&lt;&gt;"Enter Spend&gt;&gt;&gt;",BB2="EXISTING"),SUMIFS('Existing Customers'!$V:$V,'Existing Customers'!$H:$H,$AZ24,'Existing Customers'!$A:$A,$BA$1)*$BA$4,0),0)</f>
        <v>0</v>
      </c>
      <c r="BF24" s="96">
        <f>IFERROR(IF(AND($BA$2&lt;&gt;"Enter Spend&gt;&gt;&gt;",BB2="EXISTING"),SUMIFS('Existing Customers'!$R:$R,'Existing Customers'!$H:$H,$AZ24,'Existing Customers'!$A:$A,$BA$1)*$BA$4,0),0)</f>
        <v>0</v>
      </c>
      <c r="BG24" s="96">
        <f>IFERROR(IF(AND($BA$2&lt;&gt;"Enter Spend&gt;&gt;&gt;",BB2="EXISTING"),SUMIFS('Existing Customers'!$S:$S,'Existing Customers'!$H:$H,$AZ24,'Existing Customers'!$A:$A,$BA$1),BQ24*BA24),0)</f>
        <v>0</v>
      </c>
      <c r="BH24" s="96">
        <f>IFERROR(IF(AND($BA$2&lt;&gt;"Enter Spend&gt;&gt;&gt;",BB2="EXISTING"),SUMIFS('Existing Customers'!$U:$U,'Existing Customers'!$H:$H,$AZ24,'Existing Customers'!$A:$A,$BA$1),BR24*BA24),0)</f>
        <v>0</v>
      </c>
      <c r="BI24" s="1163" t="e">
        <f t="shared" si="24"/>
        <v>#N/A</v>
      </c>
      <c r="BJ24" s="1164">
        <f t="array" ref="BJ24">IFERROR(INDEX('Margin Guidence Table'!$A$1:$AD$30000,MATCH(1,('Margin Guidence Table'!$A$1:$A$10000=$BI24)*('Margin Guidence Table'!$H$1:$H$10000&lt;=ROUND($BA$3,0))*('Margin Guidence Table'!$G$1:$G$10000&gt;=ROUND($BA$3,0)),0),MATCH("DATA_POINTS",'Margin Guidence Table'!$A$1:$AC$1,0)),0)</f>
        <v>0</v>
      </c>
      <c r="BK24" s="1161" t="str">
        <f t="shared" si="25"/>
        <v>DEFAULT</v>
      </c>
      <c r="BL24" s="1161">
        <f t="array" ref="BL24">IFERROR(IF($BK24="SEGMENT",INDEX('Margin Guidence Table'!$A$1:$AC$10000,MATCH(1,('Margin Guidence Table'!$A$1:$A$10000=$BI24)*('Margin Guidence Table'!$H$1:$H$10000&lt;=ROUND($BA$3,0))*('Margin Guidence Table'!$G$1:$G$10000&gt;=ROUND($BA$3,0)),0),MATCH("SALES_CASE",'Margin Guidence Table'!$A$1:$AC$1,0)),INDEX('Margin Guidence Table'!$A$1:$AC$10000,MATCH(1,('Margin Guidence Table'!$A$1:$A$10000=$BI24)*('Margin Guidence Table'!$H$1:$H$10000&lt;=ROUND($BA$3,0))*('Margin Guidence Table'!$G$1:$G$10000&gt;=ROUND($BA$3,0)),0),MATCH("DEFAULT_SALES_CASE",'Margin Guidence Table'!$A$1:$AC$1,0))),0)</f>
        <v>0</v>
      </c>
      <c r="BM24" s="1161">
        <f t="array" ref="BM24">IFERROR(IF($BK24="SEGMENT",INDEX('Margin Guidence Table'!$A$1:$AC$10000,MATCH(1,('Margin Guidence Table'!$A$1:$A$10000=$BI24)*('Margin Guidence Table'!$H$1:$H$10000&lt;=ROUND($BA$3,0))*('Margin Guidence Table'!$G$1:$G$10000&gt;=ROUND($BA$3,0)),0),MATCH("SALES_LBS",'Margin Guidence Table'!$A$1:$AC$1,0)),INDEX('Margin Guidence Table'!$A$1:$AC$10000,MATCH(1,('Margin Guidence Table'!$A$1:$A$10000=$BI24)*('Margin Guidence Table'!$H$1:$H$10000&lt;=ROUND($BA$3,0))*('Margin Guidence Table'!$G$1:$G$10000&gt;=ROUND($BA$3,0)),0),MATCH("DEFAULT_SALES_LBS",'Margin Guidence Table'!$A$1:$AC$1,0))),0)</f>
        <v>0</v>
      </c>
      <c r="BN24" s="1165">
        <f t="array" ref="BN24">IFERROR(IF($BK24="SEGMENT",INDEX('Margin Guidence Table'!$A$1:$AC$10000,MATCH(1,('Margin Guidence Table'!$A$1:$A$10000=$BI24)*('Margin Guidence Table'!$H$1:$H$10000&lt;=ROUND($BA$3,0))*('Margin Guidence Table'!$G$1:$G$10000&gt;=ROUND($BA$3,0)),0),MATCH("MDA_MIN_MARGIN_GUIDENCE",'Margin Guidence Table'!$A$1:$AC$1,0)),INDEX('Margin Guidence Table'!$A$1:$AC$10000,MATCH(1,('Margin Guidence Table'!$A$1:$A$10000=$BI24)*('Margin Guidence Table'!$H$1:$H$10000&lt;=ROUND($BA$3,0))*('Margin Guidence Table'!$G$1:$G$10000&gt;=ROUND($BA$3,0)),0),MATCH("DEFAULT_MDA_MIN_MARGIN_GUIDENCE",'Margin Guidence Table'!$A$1:$AC$1,0))),0)</f>
        <v>0</v>
      </c>
      <c r="BO24" s="1165">
        <f t="array" ref="BO24">IFERROR(IF($BK24="SEGMENT",INDEX('Margin Guidence Table'!$A$1:$AC$10000,MATCH(1,('Margin Guidence Table'!$A$1:$A$10000=$BI24)*('Margin Guidence Table'!$H$1:$H$10000&lt;=ROUND($BA$3,0))*('Margin Guidence Table'!$G$1:$G$10000&gt;=ROUND($BA$3,0)),0),MATCH("MDA_MEDIAN_MARGIN_GUIDENCE",'Margin Guidence Table'!$A$1:$AC$1,0)),INDEX('Margin Guidence Table'!$A$1:$AC$10000,MATCH(1,('Margin Guidence Table'!$A$1:$A$10000=$BI24)*('Margin Guidence Table'!$H$1:$H$10000&lt;=ROUND($BA$3,0))*('Margin Guidence Table'!$G$1:$G$10000&gt;=ROUND($BA$3,0)),0),MATCH("DEFAULT_MDA_MEDIAN_MARGIN_GUIDENCE",'Margin Guidence Table'!$A$1:$AC$1,0))),0)</f>
        <v>0</v>
      </c>
      <c r="BP24" s="1165">
        <f t="array" ref="BP24">IFERROR(IF($BK24="SEGMENT",INDEX('Margin Guidence Table'!$A$1:$AC$10000,MATCH(1,('Margin Guidence Table'!$A$1:$A$10000=$BI24)*('Margin Guidence Table'!$H$1:$H$10000&lt;=ROUND($BA$3,0))*('Margin Guidence Table'!$G$1:$G$10000&gt;=ROUND($BA$3,0)),0),MATCH("MDA_MAX_MARGIN_GUIDENCE",'Margin Guidence Table'!$A$1:$AC$1,0)),INDEX('Margin Guidence Table'!$A$1:$AC$10000,MATCH(1,('Margin Guidence Table'!$A$1:$A$10000=$BI24)*('Margin Guidence Table'!$H$1:$H$10000&lt;=ROUND($BA$3,0))*('Margin Guidence Table'!$G$1:$G$10000&gt;=ROUND($BA$3,0)),0),MATCH("DEFAULT_MDA_MAX_MARGIN_GUIDENCE",'Margin Guidence Table'!$A$1:$AC$1,0))),0)</f>
        <v>0</v>
      </c>
      <c r="BQ24" s="1165">
        <f t="array" ref="BQ24">IFERROR(IF($BK24="SEGMENT",INDEX('Margin Guidence Table'!$A$1:$AC$10000,MATCH(1,('Margin Guidence Table'!$A$1:$A$10000=$BI24)*('Margin Guidence Table'!$H$1:$H$10000&lt;=ROUND($BA$3,0))*('Margin Guidence Table'!$G$1:$G$10000&gt;=ROUND($BA$3,0)),0),MATCH("PA_PCT_SALES",'Margin Guidence Table'!$A$1:$AC$1,0)),INDEX('Margin Guidence Table'!$A$1:$AC$10000,MATCH(1,('Margin Guidence Table'!$A$1:$A$10000=$BI24)*('Margin Guidence Table'!$H$1:$H$10000&lt;=ROUND($BA$3,0))*('Margin Guidence Table'!$G$1:$G$10000&gt;=ROUND($BA$3,0)),0),MATCH("DEFAULT_PA_PCT_SALES",'Margin Guidence Table'!$A$1:$AC$1,0))),0)</f>
        <v>0</v>
      </c>
      <c r="BR24" s="1165">
        <f t="array" ref="BR24">IFERROR(IF($BK24="SEGMENT",INDEX('Margin Guidence Table'!$A$1:$AC$10000,MATCH(1,('Margin Guidence Table'!$A$1:$A$10000=$BI24)*('Margin Guidence Table'!$H$1:$H$10000&lt;=ROUND($BA$3,0))*('Margin Guidence Table'!$G$1:$G$10000&gt;=ROUND($BA$3,0)),0),MATCH("SELF_FUND_PCT_SALES",'Margin Guidence Table'!$A$1:$AC$1,0)),INDEX('Margin Guidence Table'!$A$1:$AC$10000,MATCH(1,('Margin Guidence Table'!$A$1:$A$10000=$BI24)*('Margin Guidence Table'!$H$1:$H$10000&lt;=ROUND($BA$3,0))*('Margin Guidence Table'!$G$1:$G$10000&gt;=ROUND($BA$3,0)),0),MATCH("DEFAULT_SELF_FUND_PCT_SALES",'Margin Guidence Table'!$A$1:$AC$1,0))),0)</f>
        <v>0</v>
      </c>
      <c r="BS24" s="1165">
        <f t="array" ref="BS24">IFERROR(IF($BK24="SEGMENT",INDEX('Margin Guidence Table'!$A$1:$AC$10000,MATCH(1,('Margin Guidence Table'!$A$1:$A$10000=$BI24)*('Margin Guidence Table'!$H$1:$H$10000&lt;=ROUND($BA$3,0))*('Margin Guidence Table'!$G$1:$G$10000&gt;=ROUND($BA$3,0)),0),MATCH("CIA_MEDIAN_MARGIN_GUIDENCE",'Margin Guidence Table'!$A$1:$AC$1,0)),INDEX('Margin Guidence Table'!$A$1:$AC$10000,MATCH(1,('Margin Guidence Table'!$A$1:$A$10000=$BI24)*('Margin Guidence Table'!$H$1:$H$10000&lt;=ROUND($BA$3,0))*('Margin Guidence Table'!$G$1:$G$10000&gt;=ROUND($BA$3,0)),0),MATCH("DEFAULT_CIA_MEDIAN_MARGIN_GUIDENCE",'Margin Guidence Table'!$A$1:$AC$1,0))),0)</f>
        <v>0</v>
      </c>
      <c r="BT24" s="129"/>
      <c r="BU24" s="18">
        <f t="array" ref="BU24">IFERROR(IF($CG24="SEGMENT",INDEX('Margin Guidence Table'!$A$1:$AC$10000,MATCH(1,('Margin Guidence Table'!$A$1:$A$10000=$CE24)*('Margin Guidence Table'!$H$1:$H$10000&lt;=ROUND($BW$3,0))*('Margin Guidence Table'!$G$1:$G$10000&gt;=ROUND($BW$3,0)),0),MATCH("PCT_SALES",'Margin Guidence Table'!$A$1:$AC$1,0)),INDEX('Margin Guidence Table'!$A$1:$AC$10000,MATCH(1,('Margin Guidence Table'!$A$1:$A$10000=$CE24)*('Margin Guidence Table'!$H$1:$H$10000&lt;=ROUND($BW$3,0))*('Margin Guidence Table'!$G$1:$G$10000&gt;=ROUND($BW$3,0)),0),MATCH("DEFAULT_PCT_SALES",'Margin Guidence Table'!$A$1:$AC$1,0))),0)</f>
        <v>0</v>
      </c>
      <c r="BV24" s="102" t="s">
        <v>97</v>
      </c>
      <c r="BW24" s="94">
        <f>IFERROR(IF(AND($BW$2&lt;&gt;"Enter Spend&gt;&gt;&gt;",BX2="EXISTING"),SUMIFS('Existing Customers'!$Q:$Q,'Existing Customers'!$A:$A,$BW$1,'Existing Customers'!$H:$H,$BV24)*$BW$4,$BW$3*$BU24),0)</f>
        <v>0</v>
      </c>
      <c r="BX24" s="89">
        <f>IFERROR(IF(AND($BW$2&lt;&gt;"Enter Spend&gt;&gt;&gt;",BX2="EXISTING"),SUMIFS('Existing Customers'!$N:$N,'Existing Customers'!$A:$A,$BW$1,'Existing Customers'!$H:$H,$BV24)*$BW$4,$BW24/$CH24),0)</f>
        <v>0</v>
      </c>
      <c r="BY24" s="95">
        <f>IFERROR(IF(AND($BW$2&lt;&gt;"Enter Spend&gt;&gt;&gt;",BX2="EXISTING"),SUMIFS('Existing Customers'!$O:$O,'Existing Customers'!$H:$H,$BV24,'Existing Customers'!$A:$A,$BW$1)*$BW$4,$BX24*$BW$8),0)</f>
        <v>0</v>
      </c>
      <c r="BZ24" s="95">
        <f>IFERROR(IF(AND($BW$2&lt;&gt;"Enter Spend&gt;&gt;&gt;",BX2="EXISTING"),SUMIFS('Existing Customers'!$P:$P,'Existing Customers'!$A:$A,$BW$1,'Existing Customers'!$H:$H,$BV24)*$BW$4,$BW24/$CI24),0)</f>
        <v>0</v>
      </c>
      <c r="CA24" s="96">
        <f>IFERROR(IF(AND($BW$2&lt;&gt;"Enter Spend&gt;&gt;&gt;",BX2="EXISTING"),SUMIFS('Existing Customers'!$V:$V,'Existing Customers'!$H:$H,$BV24,'Existing Customers'!$A:$A,$BW$1)*$BW$4,0),0)</f>
        <v>0</v>
      </c>
      <c r="CB24" s="96">
        <f>IFERROR(IF(AND($BW$2&lt;&gt;"Enter Spend&gt;&gt;&gt;",BX2="EXISTING"),SUMIFS('Existing Customers'!$R:$R,'Existing Customers'!$H:$H,$BV24,'Existing Customers'!$A:$A,$BW$1)*$BW$4,0),0)</f>
        <v>0</v>
      </c>
      <c r="CC24" s="1161">
        <f>IFERROR(IF(AND($BW$2&lt;&gt;"Enter Spend&gt;&gt;&gt;",BX2="EXISTING"),SUMIFS('Existing Customers'!$S:$S,'Existing Customers'!$H:$H,$BV24,'Existing Customers'!$A:$A,$BW$1),CM24*BW24),0)</f>
        <v>0</v>
      </c>
      <c r="CD24" s="1161">
        <f>IFERROR(IF(AND($BW$2&lt;&gt;"Enter Spend&gt;&gt;&gt;",BX2="EXISTING"),SUMIFS('Existing Customers'!$U:$U,'Existing Customers'!$H:$H,$BV24,'Existing Customers'!$A:$A,$BW$1),CN24*BW24),0)</f>
        <v>0</v>
      </c>
      <c r="CE24" s="1164" t="e">
        <f t="shared" si="26"/>
        <v>#N/A</v>
      </c>
      <c r="CF24" s="1164">
        <f t="array" ref="CF24">IFERROR(INDEX('Margin Guidence Table'!$A$1:$AD$30000,MATCH(1,('Margin Guidence Table'!$A$1:$A$10000=$CE24)*('Margin Guidence Table'!$H$1:$H$10000&lt;=ROUND($BW$3,0))*('Margin Guidence Table'!$G$1:$G$10000&gt;=ROUND($BW$3,0)),0),MATCH("DATA_POINTS",'Margin Guidence Table'!$A$1:$AC$1,0)),0)</f>
        <v>0</v>
      </c>
      <c r="CG24" s="1161" t="str">
        <f t="shared" si="27"/>
        <v>DEFAULT</v>
      </c>
      <c r="CH24" s="1161">
        <f t="array" ref="CH24">IFERROR(IF($CG24="SEGMENT",INDEX('Margin Guidence Table'!$A$1:$AC$10000,MATCH(1,('Margin Guidence Table'!$A$1:$A$10000=$CE24)*('Margin Guidence Table'!$H$1:$H$10000&lt;=ROUND($BW$3,0))*('Margin Guidence Table'!$G$1:$G$10000&gt;=ROUND($BW$3,0)),0),MATCH("SALES_CASE",'Margin Guidence Table'!$A$1:$AC$1,0)),INDEX('Margin Guidence Table'!$A$1:$AC$10000,MATCH(1,('Margin Guidence Table'!$A$1:$A$10000=$CE24)*('Margin Guidence Table'!$H$1:$H$10000&lt;=ROUND($BW$3,0))*('Margin Guidence Table'!$G$1:$G$10000&gt;=ROUND($BW$3,0)),0),MATCH("DEFAULT_SALES_CASE",'Margin Guidence Table'!$A$1:$AC$1,0))),0)</f>
        <v>0</v>
      </c>
      <c r="CI24" s="1161">
        <f t="array" ref="CI24">IFERROR(IF($CG24="SEGMENT",INDEX('Margin Guidence Table'!$A$1:$AC$10000,MATCH(1,('Margin Guidence Table'!$A$1:$A$10000=$CE24)*('Margin Guidence Table'!$H$1:$H$10000&lt;=ROUND($BW$3,0))*('Margin Guidence Table'!$G$1:$G$10000&gt;=ROUND($BW$3,0)),0),MATCH("SALES_LBS",'Margin Guidence Table'!$A$1:$AC$1,0)),INDEX('Margin Guidence Table'!$A$1:$AC$10000,MATCH(1,('Margin Guidence Table'!$A$1:$A$10000=$CE24)*('Margin Guidence Table'!$H$1:$H$10000&lt;=ROUND($BW$3,0))*('Margin Guidence Table'!$G$1:$G$10000&gt;=ROUND($BW$3,0)),0),MATCH("DEFAULT_SALES_LBS",'Margin Guidence Table'!$A$1:$AC$1,0))),0)</f>
        <v>0</v>
      </c>
      <c r="CJ24" s="1165">
        <f t="array" ref="CJ24">IFERROR(IF($CG24="SEGMENT",INDEX('Margin Guidence Table'!$A$1:$AC$10000,MATCH(1,('Margin Guidence Table'!$A$1:$A$10000=$CE24)*('Margin Guidence Table'!$H$1:$H$10000&lt;=ROUND($BW$3,0))*('Margin Guidence Table'!$G$1:$G$10000&gt;=ROUND($BW$3,0)),0),MATCH("MDA_MIN_MARGIN_GUIDENCE",'Margin Guidence Table'!$A$1:$AC$1,0)),INDEX('Margin Guidence Table'!$A$1:$AC$10000,MATCH(1,('Margin Guidence Table'!$A$1:$A$10000=$CE24)*('Margin Guidence Table'!$H$1:$H$10000&lt;=ROUND($BW$3,0))*('Margin Guidence Table'!$G$1:$G$10000&gt;=ROUND($BW$3,0)),0),MATCH("DEFAULT_MDA_MIN_MARGIN_GUIDENCE",'Margin Guidence Table'!$A$1:$AC$1,0))),0)</f>
        <v>0</v>
      </c>
      <c r="CK24" s="1165">
        <f t="array" ref="CK24">IFERROR(IF($CG24="SEGMENT",INDEX('Margin Guidence Table'!$A$1:$AC$10000,MATCH(1,('Margin Guidence Table'!$A$1:$A$10000=$CE24)*('Margin Guidence Table'!$H$1:$H$10000&lt;=ROUND($BW$3,0))*('Margin Guidence Table'!$G$1:$G$10000&gt;=ROUND($BW$3,0)),0),MATCH("MDA_MEDIAN_MARGIN_GUIDENCE",'Margin Guidence Table'!$A$1:$AC$1,0)),INDEX('Margin Guidence Table'!$A$1:$AC$10000,MATCH(1,('Margin Guidence Table'!$A$1:$A$10000=$CE24)*('Margin Guidence Table'!$H$1:$H$10000&lt;=ROUND($BW$3,0))*('Margin Guidence Table'!$G$1:$G$10000&gt;=ROUND($BW$3,0)),0),MATCH("DEFAULT_MDA_MEDIAN_MARGIN_GUIDENCE",'Margin Guidence Table'!$A$1:$AC$1,0))),0)</f>
        <v>0</v>
      </c>
      <c r="CL24" s="1165">
        <f t="array" ref="CL24">IFERROR(IF($CG24="SEGMENT",INDEX('Margin Guidence Table'!$A$1:$AC$10000,MATCH(1,('Margin Guidence Table'!$A$1:$A$10000=$CE24)*('Margin Guidence Table'!$H$1:$H$10000&lt;=ROUND($BW$3,0))*('Margin Guidence Table'!$G$1:$G$10000&gt;=ROUND($BW$3,0)),0),MATCH("MDA_MAX_MARGIN_GUIDENCE",'Margin Guidence Table'!$A$1:$AC$1,0)),INDEX('Margin Guidence Table'!$A$1:$AC$10000,MATCH(1,('Margin Guidence Table'!$A$1:$A$10000=$CE24)*('Margin Guidence Table'!$H$1:$H$10000&lt;=ROUND($BW$3,0))*('Margin Guidence Table'!$G$1:$G$10000&gt;=ROUND($BW$3,0)),0),MATCH("DEFAULT_MDA_MAX_MARGIN_GUIDENCE",'Margin Guidence Table'!$A$1:$AC$1,0))),0)</f>
        <v>0</v>
      </c>
      <c r="CM24" s="1165">
        <f t="array" ref="CM24">IFERROR(IF($CG24="SEGMENT",INDEX('Margin Guidence Table'!$A$1:$AC$10000,MATCH(1,('Margin Guidence Table'!$A$1:$A$10000=$CE24)*('Margin Guidence Table'!$H$1:$H$10000&lt;=ROUND($BW$3,0))*('Margin Guidence Table'!$G$1:$G$10000&gt;=ROUND($BW$3,0)),0),MATCH("PA_PCT_SALES",'Margin Guidence Table'!$A$1:$AC$1,0)),INDEX('Margin Guidence Table'!$A$1:$AC$10000,MATCH(1,('Margin Guidence Table'!$A$1:$A$10000=$CE24)*('Margin Guidence Table'!$H$1:$H$10000&lt;=ROUND($BW$3,0))*('Margin Guidence Table'!$G$1:$G$10000&gt;=ROUND($BW$3,0)),0),MATCH("DEFAULT_PA_PCT_SALES",'Margin Guidence Table'!$A$1:$AC$1,0))),0)</f>
        <v>0</v>
      </c>
      <c r="CN24" s="1165">
        <f t="array" ref="CN24">IFERROR(IF($CG24="SEGMENT",INDEX('Margin Guidence Table'!$A$1:$AC$10000,MATCH(1,('Margin Guidence Table'!$A$1:$A$10000=$CE24)*('Margin Guidence Table'!$H$1:$H$10000&lt;=ROUND($BW$3,0))*('Margin Guidence Table'!$G$1:$G$10000&gt;=ROUND($BW$3,0)),0),MATCH("SELF_FUND_PCT_SALES",'Margin Guidence Table'!$A$1:$AC$1,0)),INDEX('Margin Guidence Table'!$A$1:$AC$10000,MATCH(1,('Margin Guidence Table'!$A$1:$A$10000=$CE24)*('Margin Guidence Table'!$H$1:$H$10000&lt;=ROUND($BW$3,0))*('Margin Guidence Table'!$G$1:$G$10000&gt;=ROUND($BW$3,0)),0),MATCH("DEFAULT_SELF_FUND_PCT_SALES",'Margin Guidence Table'!$A$1:$AC$1,0))),0)</f>
        <v>0</v>
      </c>
      <c r="CO24" s="1165">
        <f t="array" ref="CO24">IFERROR(IF($CG24="SEGMENT",INDEX('Margin Guidence Table'!$A$1:$AC$10000,MATCH(1,('Margin Guidence Table'!$A$1:$A$10000=$CE24)*('Margin Guidence Table'!$H$1:$H$10000&lt;=ROUND($BW$3,0))*('Margin Guidence Table'!$G$1:$G$10000&gt;=ROUND($BW$3,0)),0),MATCH("CIA_MEDIAN_MARGIN_GUIDENCE",'Margin Guidence Table'!$A$1:$AC$1,0)),INDEX('Margin Guidence Table'!$A$1:$AC$10000,MATCH(1,('Margin Guidence Table'!$A$1:$A$10000=$CE24)*('Margin Guidence Table'!$H$1:$H$10000&lt;=ROUND($BW$3,0))*('Margin Guidence Table'!$G$1:$G$10000&gt;=ROUND($BW$3,0)),0),MATCH("DEFAULT_CIA_MEDIAN_MARGIN_GUIDENCE",'Margin Guidence Table'!$A$1:$AC$1,0))),0)</f>
        <v>0</v>
      </c>
      <c r="CP24" s="129"/>
      <c r="CQ24" s="18">
        <f t="array" ref="CQ24">IFERROR(IF($DC24="SEGMENT",INDEX('Margin Guidence Table'!$A$1:$AC$10000,MATCH(1,('Margin Guidence Table'!$A$1:$A$10000=$DA24)*('Margin Guidence Table'!$H$1:$H$10000&lt;=ROUND($CS$3,0))*('Margin Guidence Table'!$G$1:$G$10000&gt;=ROUND($CS$3,0)),0),MATCH("PCT_SALES",'Margin Guidence Table'!$A$1:$AC$1,0)),INDEX('Margin Guidence Table'!$A$1:$AC$10000,MATCH(1,('Margin Guidence Table'!$A$1:$A$10000=$DA24)*('Margin Guidence Table'!$H$1:$H$10000&lt;=ROUND($CS$3,0))*('Margin Guidence Table'!$G$1:$G$10000&gt;=ROUND($CS$3,0)),0),MATCH("DEFAULT_PCT_SALES",'Margin Guidence Table'!$A$1:$AC$1,0))),0)</f>
        <v>0</v>
      </c>
      <c r="CR24" s="102" t="s">
        <v>97</v>
      </c>
      <c r="CS24" s="94">
        <f>IFERROR(IF(AND($CS$2&lt;&gt;"Enter Spend&gt;&gt;&gt;",CT2="EXISTING"),SUMIFS('Existing Customers'!$Q:$Q,'Existing Customers'!$A:$A,$CS$1,'Existing Customers'!$H:$H,$CR24)*$CS$4,$CS$3*$CQ24),0)</f>
        <v>0</v>
      </c>
      <c r="CT24" s="89">
        <f>IFERROR(IF(AND($CS$2&lt;&gt;"Enter Spend&gt;&gt;&gt;",CT2="EXISTING"),SUMIFS('Existing Customers'!$N:$N,'Existing Customers'!$A:$A,$CS$1,'Existing Customers'!$H:$H,$CR24)*$CS$4,$CS24/$DD24),0)</f>
        <v>0</v>
      </c>
      <c r="CU24" s="95">
        <f>IFERROR(IF(AND($CS$2&lt;&gt;"Enter Spend&gt;&gt;&gt;",BB28="EXISTING"),SUMIFS('Existing Customers'!$O:$O,'Existing Customers'!$H:$H,$CR24,'Existing Customers'!$A:$A,$CS$1)*$CS$4,$CT24*$CS$8),0)</f>
        <v>0</v>
      </c>
      <c r="CV24" s="95">
        <f>IFERROR(IF(AND($CS$2&lt;&gt;"Enter Spend&gt;&gt;&gt;",CT2="EXISTING"),SUMIFS('Existing Customers'!$P:$P,'Existing Customers'!$A:$A,$CS$1,'Existing Customers'!$H:$H,$CR24)*$CS$4,$CS24/$DE24),0)</f>
        <v>0</v>
      </c>
      <c r="CW24" s="96">
        <f>IFERROR(IF(AND($CS$2&lt;&gt;"Enter Spend&gt;&gt;&gt;",CT2="EXISTING"),SUMIFS('Existing Customers'!$V:$V,'Existing Customers'!$H:$H,$CR24,'Existing Customers'!$A:$A,$CS$1)*$CS$4,0),0)</f>
        <v>0</v>
      </c>
      <c r="CX24" s="96">
        <f>IFERROR(IF(AND($CS$2&lt;&gt;"Enter Spend&gt;&gt;&gt;",CT2="EXISTING"),SUMIFS('Existing Customers'!$R:$R,'Existing Customers'!$H:$H,$AZ24,'Existing Customers'!$A:$A,$CS$1)*$CS$4,0),0)</f>
        <v>0</v>
      </c>
      <c r="CY24" s="1161">
        <f>IFERROR(IF(AND($CS$2&lt;&gt;"Enter Spend&gt;&gt;&gt;",CT2="EXISTING"),SUMIFS('Existing Customers'!$S:$S,'Existing Customers'!$H:$H,$CR24,'Existing Customers'!$A:$A,$CS$1),DI24*CS24),0)</f>
        <v>0</v>
      </c>
      <c r="CZ24" s="1161">
        <f>IFERROR(IF(AND($CS$2&lt;&gt;"Enter Spend&gt;&gt;&gt;",CT2="EXISTING"),SUMIFS('Existing Customers'!$U:$U,'Existing Customers'!$H:$H,$CR24,'Existing Customers'!$A:$A,$CS$1),DJ24*CS24),0)</f>
        <v>0</v>
      </c>
      <c r="DA24" s="1164" t="e">
        <f t="shared" si="28"/>
        <v>#N/A</v>
      </c>
      <c r="DB24" s="1164">
        <f t="array" ref="DB24">IFERROR(INDEX('Margin Guidence Table'!$A$1:$AD$30000,MATCH(1,('Margin Guidence Table'!$A$1:$A$10000=DA24)*('Margin Guidence Table'!$H$1:$H$10000&lt;=ROUND($CS$3,0))*('Margin Guidence Table'!$G$1:$G$10000&gt;=ROUND($CS$3,0)),0),MATCH("DATA_POINTS",'Margin Guidence Table'!$A$1:$AC$1,0)),0)</f>
        <v>0</v>
      </c>
      <c r="DC24" s="1161" t="str">
        <f t="shared" si="29"/>
        <v>DEFAULT</v>
      </c>
      <c r="DD24" s="1161">
        <f t="array" ref="DD24">IFERROR(IF($DC24="SEGMENT",INDEX('Margin Guidence Table'!$A$1:$AC$10000,MATCH(1,('Margin Guidence Table'!$A$1:$A$10000=DA24)*('Margin Guidence Table'!$H$1:$H$10000&lt;=ROUND($CS$3,0))*('Margin Guidence Table'!$G$1:$G$10000&gt;=ROUND($CS$3,0)),0),MATCH("SALES_CASE",'Margin Guidence Table'!$A$1:$AC$1,0)),INDEX('Margin Guidence Table'!$A$1:$AC$10000,MATCH(1,('Margin Guidence Table'!$A$1:$A$10000=DA24)*('Margin Guidence Table'!$H$1:$H$10000&lt;=ROUND($CS$3,0))*('Margin Guidence Table'!$G$1:$G$10000&gt;=ROUND($CS$3,0)),0),MATCH("DEFAULT_SALES_CASE",'Margin Guidence Table'!$A$1:$AC$1,0))),0)</f>
        <v>0</v>
      </c>
      <c r="DE24" s="1161">
        <f t="array" ref="DE24">IFERROR(IF($DC24="SEGMENT",INDEX('Margin Guidence Table'!$A$1:$AC$10000,MATCH(1,('Margin Guidence Table'!$A$1:$A$10000=DA24)*('Margin Guidence Table'!$H$1:$H$10000&lt;=ROUND($CS$3,0))*('Margin Guidence Table'!$G$1:$G$10000&gt;=ROUND($CS$3,0)),0),MATCH("SALES_LBS",'Margin Guidence Table'!$A$1:$AC$1,0)),INDEX('Margin Guidence Table'!$A$1:$AC$10000,MATCH(1,('Margin Guidence Table'!$A$1:$A$10000=DA24)*('Margin Guidence Table'!$H$1:$H$10000&lt;=ROUND($CS$3,0))*('Margin Guidence Table'!$G$1:$G$10000&gt;=ROUND($CS$3,0)),0),MATCH("DEFAULT_SALES_LBS",'Margin Guidence Table'!$A$1:$AC$1,0))),0)</f>
        <v>0</v>
      </c>
      <c r="DF24" s="1165">
        <f t="array" ref="DF24">IFERROR(IF($DC24="SEGMENT",INDEX('Margin Guidence Table'!$A$1:$AC$10000,MATCH(1,('Margin Guidence Table'!$A$1:$A$10000=DA24)*('Margin Guidence Table'!$H$1:$H$10000&lt;=ROUND($CS$3,0))*('Margin Guidence Table'!$G$1:$G$10000&gt;=ROUND($CS$3,0)),0),MATCH("MDA_MIN_MARGIN_GUIDENCE",'Margin Guidence Table'!$A$1:$AC$1,0)),INDEX('Margin Guidence Table'!$A$1:$AC$10000,MATCH(1,('Margin Guidence Table'!$A$1:$A$10000=DA24)*('Margin Guidence Table'!$H$1:$H$10000&lt;=ROUND($CS$3,0))*('Margin Guidence Table'!$G$1:$G$10000&gt;=ROUND($CS$3,0)),0),MATCH("DEFAULT_MDA_MIN_MARGIN_GUIDENCE",'Margin Guidence Table'!$A$1:$AC$1,0))),0)</f>
        <v>0</v>
      </c>
      <c r="DG24" s="1165">
        <f t="array" ref="DG24">IFERROR(IF($DC24="SEGMENT",INDEX('Margin Guidence Table'!$A$1:$AC$10000,MATCH(1,('Margin Guidence Table'!$A$1:$A$10000=DA24)*('Margin Guidence Table'!$H$1:$H$10000&lt;=ROUND($CS$3,0))*('Margin Guidence Table'!$G$1:$G$10000&gt;=ROUND($CS$3,0)),0),MATCH("MDA_MEDIAN_MARGIN_GUIDENCE",'Margin Guidence Table'!$A$1:$AC$1,0)),INDEX('Margin Guidence Table'!$A$1:$AC$10000,MATCH(1,('Margin Guidence Table'!$A$1:$A$10000=DA24)*('Margin Guidence Table'!$H$1:$H$10000&lt;=ROUND($CS$3,0))*('Margin Guidence Table'!$G$1:$G$10000&gt;=ROUND($CS$3,0)),0),MATCH("DEFAULT_MDA_MEDIAN_MARGIN_GUIDENCE",'Margin Guidence Table'!$A$1:$AC$1,0))),0)</f>
        <v>0</v>
      </c>
      <c r="DH24" s="1165">
        <f t="array" ref="DH24">IFERROR(IF($DC24="SEGMENT",INDEX('Margin Guidence Table'!$A$1:$AC$10000,MATCH(1,('Margin Guidence Table'!$A$1:$A$10000=DA24)*('Margin Guidence Table'!$H$1:$H$10000&lt;=ROUND($CS$3,0))*('Margin Guidence Table'!$G$1:$G$10000&gt;=ROUND($CS$3,0)),0),MATCH("MDA_MAX_MARGIN_GUIDENCE",'Margin Guidence Table'!$A$1:$AC$1,0)),INDEX('Margin Guidence Table'!$A$1:$AC$10000,MATCH(1,('Margin Guidence Table'!$A$1:$A$10000=DA24)*('Margin Guidence Table'!$H$1:$H$10000&lt;=ROUND($CS$3,0))*('Margin Guidence Table'!$G$1:$G$10000&gt;=ROUND($CS$3,0)),0),MATCH("DEFAULT_MDA_MAX_MARGIN_GUIDENCE",'Margin Guidence Table'!$A$1:$AC$1,0))),0)</f>
        <v>0</v>
      </c>
      <c r="DI24" s="1165">
        <f t="array" ref="DI24">IFERROR(IF($DC24="SEGMENT",INDEX('Margin Guidence Table'!$A$1:$AC$10000,MATCH(1,('Margin Guidence Table'!$A$1:$A$10000=DA24)*('Margin Guidence Table'!$H$1:$H$10000&lt;=ROUND($CS$3,0))*('Margin Guidence Table'!$G$1:$G$10000&gt;=ROUND($CS$3,0)),0),MATCH("PA_PCT_SALES",'Margin Guidence Table'!$A$1:$AC$1,0)),INDEX('Margin Guidence Table'!$A$1:$AC$10000,MATCH(1,('Margin Guidence Table'!$A$1:$A$10000=DA24)*('Margin Guidence Table'!$H$1:$H$10000&lt;=ROUND($CS$3,0))*('Margin Guidence Table'!$G$1:$G$10000&gt;=ROUND($CS$3,0)),0),MATCH("DEFAULT_PA_PCT_SALES",'Margin Guidence Table'!$A$1:$AC$1,0))),0)</f>
        <v>0</v>
      </c>
      <c r="DJ24" s="1165">
        <f t="array" ref="DJ24">IFERROR(IF($DC24="SEGMENT",INDEX('Margin Guidence Table'!$A$1:$AC$10000,MATCH(1,('Margin Guidence Table'!$A$1:$A$10000=DA24)*('Margin Guidence Table'!$H$1:$H$10000&lt;=ROUND($CS$3,0))*('Margin Guidence Table'!$G$1:$G$10000&gt;=ROUND($CS$3,0)),0),MATCH("SELF_FUND_PCT_SALES",'Margin Guidence Table'!$A$1:$AC$1,0)),INDEX('Margin Guidence Table'!$A$1:$AC$10000,MATCH(1,('Margin Guidence Table'!$A$1:$A$10000=DA24)*('Margin Guidence Table'!$H$1:$H$10000&lt;=ROUND($CS$3,0))*('Margin Guidence Table'!$G$1:$G$10000&gt;=ROUND($CS$3,0)),0),MATCH("DEFAULT_SELF_FUND_PCT_SALES",'Margin Guidence Table'!$A$1:$AC$1,0))),0)</f>
        <v>0</v>
      </c>
      <c r="DK24" s="1165">
        <f t="array" ref="DK24">IFERROR(IF($DC24="SEGMENT",INDEX('Margin Guidence Table'!$A$1:$AC$10000,MATCH(1,('Margin Guidence Table'!$A$1:$A$10000=DA24)*('Margin Guidence Table'!$H$1:$H$10000&lt;=ROUND($CS$3,0))*('Margin Guidence Table'!$G$1:$G$10000&gt;=ROUND($CS$3,0)),0),MATCH("CIA_MEDIAN_MARGIN_GUIDENCE",'Margin Guidence Table'!$A$1:$AC$1,0)),INDEX('Margin Guidence Table'!$A$1:$AC$10000,MATCH(1,('Margin Guidence Table'!$A$1:$A$10000=DA24)*('Margin Guidence Table'!$H$1:$H$10000&lt;=ROUND($CS$3,0))*('Margin Guidence Table'!$G$1:$G$10000&gt;=ROUND($CS$3,0)),0),MATCH("DEFAULT_CIA_MEDIAN_MARGIN_GUIDENCE",'Margin Guidence Table'!$A$1:$AC$1,0))),0)</f>
        <v>0</v>
      </c>
      <c r="DL24" s="129"/>
      <c r="DM24" s="18">
        <f t="array" ref="DM24">IFERROR(IF($DY24="SEGMENT",INDEX('Margin Guidence Table'!$A$1:$AC$10000,MATCH(1,('Margin Guidence Table'!$A$1:$A$10000=$DW24)*('Margin Guidence Table'!$H$1:$H$10000&lt;=ROUND($DO$3,0))*('Margin Guidence Table'!$G$1:$G$10000&gt;=ROUND($DO$3,0)),0),MATCH("PCT_SALES",'Margin Guidence Table'!$A$1:$AC$1,0)),INDEX('Margin Guidence Table'!$A$1:$AC$10000,MATCH(1,('Margin Guidence Table'!$A$1:$A$10000=$DW24)*('Margin Guidence Table'!$H$1:$H$10000&lt;=ROUND($DO$3,0))*('Margin Guidence Table'!$G$1:$G$10000&gt;=ROUND($DO$3,0)),0),MATCH("DEFAULT_PCT_SALES",'Margin Guidence Table'!$A$1:$AC$1,0))),0)</f>
        <v>0</v>
      </c>
      <c r="DN24" s="102" t="s">
        <v>97</v>
      </c>
      <c r="DO24" s="94">
        <f>IFERROR(IF(AND($DO$2&lt;&gt;"Enter Spend&gt;&gt;&gt;",DP2="EXISTING"),SUMIFS('Existing Customers'!$Q:$Q,'Existing Customers'!$A:$A,$DO$1,'Existing Customers'!$H:$H,$DN24)*$DO$4,$DO$3*$DM24),0)</f>
        <v>0</v>
      </c>
      <c r="DP24" s="89">
        <f>IFERROR(IF(AND($DO$2&lt;&gt;"Enter Spend&gt;&gt;&gt;",DP2="EXISTING"),SUMIFS('Existing Customers'!$N:$N,'Existing Customers'!$A:$A,$DO$1,'Existing Customers'!$H:$H,$DN24)*$DO$4,$DO24/$DZ24),0)</f>
        <v>0</v>
      </c>
      <c r="DQ24" s="95">
        <f>IFERROR(IF(AND($DO$2&lt;&gt;"Enter Spend&gt;&gt;&gt;",DP2="EXISTING"),SUMIFS('Existing Customers'!$O:$O,'Existing Customers'!$H:$H,$DN24,'Existing Customers'!$A:$A,$DO$1)*$DO$4,$DP24*$DO$8),0)</f>
        <v>0</v>
      </c>
      <c r="DR24" s="95">
        <f>IFERROR(IF(AND($DO$2&lt;&gt;"Enter Spend&gt;&gt;&gt;",DP2="EXISTING"),SUMIFS('Existing Customers'!$P:$P,'Existing Customers'!$A:$A,$DO$1,'Existing Customers'!$H:$H,$DN24)*$DO$4,$DO24/$EA24),0)</f>
        <v>0</v>
      </c>
      <c r="DS24" s="96">
        <f>IFERROR(IF(AND($DO$2&lt;&gt;"Enter Spend&gt;&gt;&gt;",EL2="EXISTING"),SUMIFS('Existing Customers'!$V:$V,'Existing Customers'!$H:$H,$DN24,'Existing Customers'!$A:$A,$DO$1)*$DO$4,0),0)</f>
        <v>0</v>
      </c>
      <c r="DT24" s="96">
        <f>IFERROR(IF(AND($DO$2&lt;&gt;"Enter Spend&gt;&gt;&gt;",DP2="EXISTING"),SUMIFS('Existing Customers'!$R:$R,'Existing Customers'!$H:$H,$DN24,'Existing Customers'!$A:$A,$DO$1)*$DO$4,0),0)</f>
        <v>0</v>
      </c>
      <c r="DU24" s="1161">
        <f>IFERROR(IF(AND($DO$2&lt;&gt;"Enter Spend&gt;&gt;&gt;",DP2="EXISTING"),SUMIFS('Existing Customers'!$S:$S,'Existing Customers'!$H:$H,$DP24,'Existing Customers'!$A:$A,$DO$1),EE24*DO24),0)</f>
        <v>0</v>
      </c>
      <c r="DV24" s="1161">
        <f>IFERROR(IF(AND($DO$2&lt;&gt;"Enter Spend&gt;&gt;&gt;",DP2="EXISTING"),SUMIFS('Existing Customers'!$U:$U,'Existing Customers'!$H:$H,$DN24,'Existing Customers'!$A:$A,$DO$1),EF24*DO24),0)</f>
        <v>0</v>
      </c>
      <c r="DW24" s="1164" t="e">
        <f t="shared" si="30"/>
        <v>#N/A</v>
      </c>
      <c r="DX24" s="1164">
        <f t="array" ref="DX24">IFERROR(INDEX('Margin Guidence Table'!$A$1:$AD$30000,MATCH(1,('Margin Guidence Table'!$A$1:$A$10000=DW24)*('Margin Guidence Table'!$H$1:$H$10000&lt;=ROUND($DO$3,0))*('Margin Guidence Table'!$G$1:$G$10000&gt;=ROUND($DO$3,0)),0),MATCH("DATA_POINTS",'Margin Guidence Table'!$A$1:$AC$1,0)),0)</f>
        <v>0</v>
      </c>
      <c r="DY24" s="1161" t="str">
        <f t="shared" si="31"/>
        <v>DEFAULT</v>
      </c>
      <c r="DZ24" s="1161">
        <f t="array" ref="DZ24">IFERROR(IF($DY24="SEGMENT",INDEX('Margin Guidence Table'!$A$1:$AC$10000,MATCH(1,('Margin Guidence Table'!$A$1:$A$10000=DW24)*('Margin Guidence Table'!$H$1:$H$10000&lt;=ROUND($DO$3,0))*('Margin Guidence Table'!$G$1:$G$10000&gt;=ROUND($DO$3,0)),0),MATCH("SALES_CASE",'Margin Guidence Table'!$A$1:$AC$1,0)),INDEX('Margin Guidence Table'!$A$1:$AC$10000,MATCH(1,('Margin Guidence Table'!$A$1:$A$10000=DW24)*('Margin Guidence Table'!$H$1:$H$10000&lt;=ROUND($DO$3,0))*('Margin Guidence Table'!$G$1:$G$10000&gt;=ROUND($DO$3,0)),0),MATCH("DEFAULT_SALES_CASE",'Margin Guidence Table'!$A$1:$AC$1,0))),0)</f>
        <v>0</v>
      </c>
      <c r="EA24" s="1161">
        <f t="array" ref="EA24">IFERROR(IF($DY24="SEGMENT",INDEX('Margin Guidence Table'!$A$1:$AC$10000,MATCH(1,('Margin Guidence Table'!$A$1:$A$10000=DW24)*('Margin Guidence Table'!$H$1:$H$10000&lt;=ROUND($DO$3,0))*('Margin Guidence Table'!$G$1:$G$10000&gt;=ROUND($DO$3,0)),0),MATCH("SALES_LBS",'Margin Guidence Table'!$A$1:$AC$1,0)),INDEX('Margin Guidence Table'!$A$1:$AC$10000,MATCH(1,('Margin Guidence Table'!$A$1:$A$10000=DW24)*('Margin Guidence Table'!$H$1:$H$10000&lt;=ROUND($DO$3,0))*('Margin Guidence Table'!$G$1:$G$10000&gt;=ROUND($DO$3,0)),0),MATCH("DEFAULT_SALES_LBS",'Margin Guidence Table'!$A$1:$AC$1,0))),0)</f>
        <v>0</v>
      </c>
      <c r="EB24" s="1165">
        <f t="array" ref="EB24">IFERROR(IF($DY24="SEGMENT",INDEX('Margin Guidence Table'!$A$1:$AC$10000,MATCH(1,('Margin Guidence Table'!$A$1:$A$10000=DW24)*('Margin Guidence Table'!$H$1:$H$10000&lt;=ROUND($DO$3,0))*('Margin Guidence Table'!$G$1:$G$10000&gt;=ROUND($DO$3,0)),0),MATCH("MDA_MIN_MARGIN_GUIDENCE",'Margin Guidence Table'!$A$1:$AC$1,0)),INDEX('Margin Guidence Table'!$A$1:$AC$10000,MATCH(1,('Margin Guidence Table'!$A$1:$A$10000=DW24)*('Margin Guidence Table'!$H$1:$H$10000&lt;=ROUND($DO$3,0))*('Margin Guidence Table'!$G$1:$G$10000&gt;=ROUND($DO$3,0)),0),MATCH("DEFAULT_MDA_MIN_MARGIN_GUIDENCE",'Margin Guidence Table'!$A$1:$AC$1,0))),0)</f>
        <v>0</v>
      </c>
      <c r="EC24" s="1165">
        <f t="array" ref="EC24">IFERROR(IF($DY24="SEGMENT",INDEX('Margin Guidence Table'!$A$1:$AC$10000,MATCH(1,('Margin Guidence Table'!$A$1:$A$10000=DW24)*('Margin Guidence Table'!$H$1:$H$10000&lt;=ROUND($DO$3,0))*('Margin Guidence Table'!$G$1:$G$10000&gt;=ROUND($DO$3,0)),0),MATCH("MDA_MEDIAN_MARGIN_GUIDENCE",'Margin Guidence Table'!$A$1:$AC$1,0)),INDEX('Margin Guidence Table'!$A$1:$AC$10000,MATCH(1,('Margin Guidence Table'!$A$1:$A$10000=DW24)*('Margin Guidence Table'!$H$1:$H$10000&lt;=ROUND($DO$3,0))*('Margin Guidence Table'!$G$1:$G$10000&gt;=ROUND($DO$3,0)),0),MATCH("DEFAULT_MDA_MEDIAN_MARGIN_GUIDENCE",'Margin Guidence Table'!$A$1:$AC$1,0))),0)</f>
        <v>0</v>
      </c>
      <c r="ED24" s="1165">
        <f t="array" ref="ED24">IFERROR(IF($DY24="SEGMENT",INDEX('Margin Guidence Table'!$A$1:$AC$10000,MATCH(1,('Margin Guidence Table'!$A$1:$A$10000=DW24)*('Margin Guidence Table'!$H$1:$H$10000&lt;=ROUND($DO$3,0))*('Margin Guidence Table'!$G$1:$G$10000&gt;=ROUND($DO$3,0)),0),MATCH("MDA_MAX_MARGIN_GUIDENCE",'Margin Guidence Table'!$A$1:$AC$1,0)),INDEX('Margin Guidence Table'!$A$1:$AC$10000,MATCH(1,('Margin Guidence Table'!$A$1:$A$10000=DW24)*('Margin Guidence Table'!$H$1:$H$10000&lt;=ROUND($DO$3,0))*('Margin Guidence Table'!$G$1:$G$10000&gt;=ROUND($DO$3,0)),0),MATCH("DEFAULT_MDA_MAX_MARGIN_GUIDENCE",'Margin Guidence Table'!$A$1:$AC$1,0))),0)</f>
        <v>0</v>
      </c>
      <c r="EE24" s="1165">
        <f t="array" ref="EE24">IFERROR(IF($DY24="SEGMENT",INDEX('Margin Guidence Table'!$A$1:$AC$10000,MATCH(1,('Margin Guidence Table'!$A$1:$A$10000=DW24)*('Margin Guidence Table'!$H$1:$H$10000&lt;=ROUND($DO$3,0))*('Margin Guidence Table'!$G$1:$G$10000&gt;=ROUND($DO$3,0)),0),MATCH("PA_PCT_SALES",'Margin Guidence Table'!$A$1:$AC$1,0)),INDEX('Margin Guidence Table'!$A$1:$AC$10000,MATCH(1,('Margin Guidence Table'!$A$1:$A$10000=DW24)*('Margin Guidence Table'!$H$1:$H$10000&lt;=ROUND($DO$3,0))*('Margin Guidence Table'!$G$1:$G$10000&gt;=ROUND($DO$3,0)),0),MATCH("DEFAULT_PA_PCT_SALES",'Margin Guidence Table'!$A$1:$AC$1,0))),0)</f>
        <v>0</v>
      </c>
      <c r="EF24" s="1165">
        <f t="array" ref="EF24">IFERROR(IF($DY24="SEGMENT",INDEX('Margin Guidence Table'!$A$1:$AC$10000,MATCH(1,('Margin Guidence Table'!$A$1:$A$10000=DW24)*('Margin Guidence Table'!$H$1:$H$10000&lt;=ROUND($DO$3,0))*('Margin Guidence Table'!$G$1:$G$10000&gt;=ROUND($DO$3,0)),0),MATCH("SELF_FUND_PCT_SALES",'Margin Guidence Table'!$A$1:$AC$1,0)),INDEX('Margin Guidence Table'!$A$1:$AC$10000,MATCH(1,('Margin Guidence Table'!$A$1:$A$10000=DW24)*('Margin Guidence Table'!$H$1:$H$10000&lt;=ROUND($DO$3,0))*('Margin Guidence Table'!$G$1:$G$10000&gt;=ROUND($DO$3,0)),0),MATCH("DEFAULT_SELF_FUND_PCT_SALES",'Margin Guidence Table'!$A$1:$AC$1,0))),0)</f>
        <v>0</v>
      </c>
      <c r="EG24" s="1165">
        <f t="array" ref="EG24">IFERROR(IF($DY24="SEGMENT",INDEX('Margin Guidence Table'!$A$1:$AC$10000,MATCH(1,('Margin Guidence Table'!$A$1:$A$10000=DW24)*('Margin Guidence Table'!$H$1:$H$10000&lt;=ROUND($DO$3,0))*('Margin Guidence Table'!$G$1:$G$10000&gt;=ROUND($DO$3,0)),0),MATCH("CIA_MEDIAN_MARGIN_GUIDENCE",'Margin Guidence Table'!$A$1:$AC$1,0)),INDEX('Margin Guidence Table'!$A$1:$AC$10000,MATCH(1,('Margin Guidence Table'!$A$1:$A$10000=DW24)*('Margin Guidence Table'!$H$1:$H$10000&lt;=ROUND($DO$3,0))*('Margin Guidence Table'!$G$1:$G$10000&gt;=ROUND($DO$3,0)),0),MATCH("DEFAULT_CIA_MEDIAN_MARGIN_GUIDENCE",'Margin Guidence Table'!$A$1:$AC$1,0))),0)</f>
        <v>0</v>
      </c>
      <c r="EH24" s="129"/>
      <c r="EI24" s="18">
        <f t="array" ref="EI24">IFERROR(IF($EU24="SEGMENT",INDEX('Margin Guidence Table'!$A$1:$AC$10000,MATCH(1,('Margin Guidence Table'!$A$1:$A$10000=$ES24)*('Margin Guidence Table'!$H$1:$H$10000&lt;=ROUND($EK$3,0))*('Margin Guidence Table'!$G$1:$G$10000&gt;=ROUND($EK$3,0)),0),MATCH("PCT_SALES",'Margin Guidence Table'!$A$1:$AC$1,0)),INDEX('Margin Guidence Table'!$A$1:$AC$10000,MATCH(1,('Margin Guidence Table'!$A$1:$A$10000=$ES24)*('Margin Guidence Table'!$H$1:$H$10000&lt;=ROUND($EK$3,0))*('Margin Guidence Table'!$G$1:$G$10000&gt;=ROUND($EK$3,0)),0),MATCH("DEFAULT_PCT_SALES",'Margin Guidence Table'!$A$1:$AC$1,0))),0)</f>
        <v>0</v>
      </c>
      <c r="EJ24" s="102" t="s">
        <v>97</v>
      </c>
      <c r="EK24" s="94">
        <f>IFERROR(IF(AND($EK$2&lt;&gt;"Enter Spend&gt;&gt;&gt;",EL2="EXISTING"),SUMIFS('Existing Customers'!$Q:$Q,'Existing Customers'!$A:$A,$EK$1,'Existing Customers'!$H:$H,$EJ24)*$EK$4,$EK$3*$EI24),0)</f>
        <v>0</v>
      </c>
      <c r="EL24" s="89">
        <f>IFERROR(IF(AND($EK$2&lt;&gt;"Enter Spend&gt;&gt;&gt;",EL2="EXISTING"),SUMIFS('Existing Customers'!$N:$N,'Existing Customers'!$A:$A,$EK$1,'Existing Customers'!$H:$H,$EJ24)*$EK$4,$EK24/$EV24),0)</f>
        <v>0</v>
      </c>
      <c r="EM24" s="95">
        <f>IFERROR(IF(AND($EK$2&lt;&gt;"Enter Spend&gt;&gt;&gt;",EL2="EXISTING"),SUMIFS('Existing Customers'!$O:$O,'Existing Customers'!$H:$H,$EJ24,'Existing Customers'!$A:$A,$EK$1)*$EK$4,$EL24*$EK$8),0)</f>
        <v>0</v>
      </c>
      <c r="EN24" s="95">
        <f>IFERROR(IF(AND($EK$2&lt;&gt;"Enter Spend&gt;&gt;&gt;",EL2="EXISTING"),SUMIFS('Existing Customers'!$P:$P,'Existing Customers'!$A:$A,$EK$1,'Existing Customers'!$H:$H,$EJ24)*$EK$4,$EK24/$EW24),0)</f>
        <v>0</v>
      </c>
      <c r="EO24" s="96">
        <f>IFERROR(IF(AND($EK$2&lt;&gt;"Enter Spend&gt;&gt;&gt;",EL2="EXISTING"),SUMIFS('Existing Customers'!$V:$V,'Existing Customers'!$H:$H,$EJ24,'Existing Customers'!$A:$A,$EK$1)*$EK$4,0),0)</f>
        <v>0</v>
      </c>
      <c r="EP24" s="96">
        <f>IFERROR(IF(AND($EK$2&lt;&gt;"Enter Spend&gt;&gt;&gt;",EL2="EXISTING"),SUMIFS('Existing Customers'!$R:$R,'Existing Customers'!$H:$H,$EJ24,'Existing Customers'!$A:$A,$EK$1)*$EK$4,0),0)</f>
        <v>0</v>
      </c>
      <c r="EQ24" s="1161">
        <f>IFERROR(IF(AND($EK$2&lt;&gt;"Enter Spend&gt;&gt;&gt;",EL2="EXISTING"),SUMIFS('Existing Customers'!$S:$S,'Existing Customers'!$H:$H,$EJ24,'Existing Customers'!$A:$A,$EK$1),FA24*EK24),0)</f>
        <v>0</v>
      </c>
      <c r="ER24" s="1161">
        <f>IFERROR(IF(AND($EK$2&lt;&gt;"Enter Spend&gt;&gt;&gt;",EL2="EXISTING"),SUMIFS('Existing Customers'!$U:$U,'Existing Customers'!$H:$H,$EJ24,'Existing Customers'!$A:$A,$EK$1),FB24*EK24),0)</f>
        <v>0</v>
      </c>
      <c r="ES24" s="1164" t="e">
        <f t="shared" si="32"/>
        <v>#N/A</v>
      </c>
      <c r="ET24" s="1164">
        <f t="array" ref="ET24">IFERROR(INDEX('Margin Guidence Table'!$A$1:$AD$30000,MATCH(1,('Margin Guidence Table'!$A$1:$A$10000=ES24)*('Margin Guidence Table'!$H$1:$H$10000&lt;=ROUND($EK$3,0))*('Margin Guidence Table'!$G$1:$G$10000&gt;=ROUND($EK$3,0)),0),MATCH("DATA_POINTS",'Margin Guidence Table'!$A$1:$AC$1,0)),0)</f>
        <v>0</v>
      </c>
      <c r="EU24" s="1161" t="str">
        <f t="shared" si="33"/>
        <v>DEFAULT</v>
      </c>
      <c r="EV24" s="1161">
        <f t="array" ref="EV24">IFERROR(IF($EU24="SEGMENT",INDEX('Margin Guidence Table'!$A$1:$AC$10000,MATCH(1,('Margin Guidence Table'!$A$1:$A$10000=ES24)*('Margin Guidence Table'!$H$1:$H$10000&lt;=ROUND($EK$3,0))*('Margin Guidence Table'!$G$1:$G$10000&gt;=ROUND($EK$3,0)),0),MATCH("SALES_CASE",'Margin Guidence Table'!$A$1:$AC$1,0)),INDEX('Margin Guidence Table'!$A$1:$AC$10000,MATCH(1,('Margin Guidence Table'!$A$1:$A$10000=ES24)*('Margin Guidence Table'!$H$1:$H$10000&lt;=ROUND($EK$3,0))*('Margin Guidence Table'!$G$1:$G$10000&gt;=ROUND($EK$3,0)),0),MATCH("DEFAULT_SALES_CASE",'Margin Guidence Table'!$A$1:$AC$1,0))),0)</f>
        <v>0</v>
      </c>
      <c r="EW24" s="1161" cm="1">
        <f t="array" ref="EW24">IFERROR(IF($EU24="SEGMENT",INDEX('Margin Guidence Table'!$A$1:$AC$10000,MATCH(1,('Margin Guidence Table'!$A$1:$A$10000=ES24)*('Margin Guidence Table'!$H$1:$H$10000&lt;=ROUND($EK$3,0))*('Margin Guidence Table'!$G$1:$G$10000&gt;=ROUND($EK$3,0)),0),MATCH("SALES_LBS",'Margin Guidence Table'!$A$1:$AC$1,0)),INDEX('Margin Guidence Table'!$A$1:$AC$10000,MATCH(1,('Margin Guidence Table'!$A$1:$A$10000=ES24)*('Margin Guidence Table'!$H$1:$H$10000&lt;=ROUND($EK$3,0))*('Margin Guidence Table'!$G$1:$G$10000&gt;=ROUND($EK$3,0)),0),MATCH("DEFAULT_SALES_LBS",'Margin Guidence Table'!$A$1:$AC$1,0))),0)</f>
        <v>0</v>
      </c>
      <c r="EX24" s="1165">
        <f t="array" ref="EX24">IFERROR(IF($EU24="SEGMENT",INDEX('Margin Guidence Table'!$A$1:$AC$10000,MATCH(1,('Margin Guidence Table'!$A$1:$A$10000=ES24)*('Margin Guidence Table'!$H$1:$H$10000&lt;=ROUND($EK$3,0))*('Margin Guidence Table'!$G$1:$G$10000&gt;=ROUND($EK$3,0)),0),MATCH("MDA_MIN_MARGIN_GUIDENCE",'Margin Guidence Table'!$A$1:$AC$1,0)),INDEX('Margin Guidence Table'!$A$1:$AC$10000,MATCH(1,('Margin Guidence Table'!$A$1:$A$10000=ES24)*('Margin Guidence Table'!$H$1:$H$10000&lt;=ROUND($EK$3,0))*('Margin Guidence Table'!$G$1:$G$10000&gt;=ROUND($EK$3,0)),0),MATCH("DEFAULT_MDA_MIN_MARGIN_GUIDENCE",'Margin Guidence Table'!$A$1:$AC$1,0))),0)</f>
        <v>0</v>
      </c>
      <c r="EY24" s="1165">
        <f t="array" ref="EY24">IFERROR(IF($EU24="SEGMENT",INDEX('Margin Guidence Table'!$A$1:$AC$10000,MATCH(1,('Margin Guidence Table'!$A$1:$A$10000=ES24)*('Margin Guidence Table'!$H$1:$H$10000&lt;=ROUND($EK$3,0))*('Margin Guidence Table'!$G$1:$G$10000&gt;=ROUND($EK$3,0)),0),MATCH("MDA_MEDIAN_MARGIN_GUIDENCE",'Margin Guidence Table'!$A$1:$AC$1,0)),INDEX('Margin Guidence Table'!$A$1:$AC$10000,MATCH(1,('Margin Guidence Table'!$A$1:$A$10000=ES24)*('Margin Guidence Table'!$H$1:$H$10000&lt;=ROUND($EK$3,0))*('Margin Guidence Table'!$G$1:$G$10000&gt;=ROUND($EK$3,0)),0),MATCH("DEFAULT_MDA_MEDIAN_MARGIN_GUIDENCE",'Margin Guidence Table'!$A$1:$AC$1,0))),0)</f>
        <v>0</v>
      </c>
      <c r="EZ24" s="1165">
        <f t="array" ref="EZ24">IFERROR(IF($EU24="SEGMENT",INDEX('Margin Guidence Table'!$A$1:$AC$10000,MATCH(1,('Margin Guidence Table'!$A$1:$A$10000=ES24)*('Margin Guidence Table'!$H$1:$H$10000&lt;=ROUND($EK$3,0))*('Margin Guidence Table'!$G$1:$G$10000&gt;=ROUND($EK$3,0)),0),MATCH("MDA_MAX_MARGIN_GUIDENCE",'Margin Guidence Table'!$A$1:$AC$1,0)),INDEX('Margin Guidence Table'!$A$1:$AC$10000,MATCH(1,('Margin Guidence Table'!$A$1:$A$10000=ES24)*('Margin Guidence Table'!$H$1:$H$10000&lt;=ROUND($EK$3,0))*('Margin Guidence Table'!$G$1:$G$10000&gt;=ROUND($EK$3,0)),0),MATCH("DEFAULT_MDA_MAX_MARGIN_GUIDENCE",'Margin Guidence Table'!$A$1:$AC$1,0))),0)</f>
        <v>0</v>
      </c>
      <c r="FA24" s="1165">
        <f t="array" ref="FA24">IFERROR(IF($EU24="SEGMENT",INDEX('Margin Guidence Table'!$A$1:$AC$10000,MATCH(1,('Margin Guidence Table'!$A$1:$A$10000=ES24)*('Margin Guidence Table'!$H$1:$H$10000&lt;=ROUND($EK$3,0))*('Margin Guidence Table'!$G$1:$G$10000&gt;=ROUND($EK$3,0)),0),MATCH("PA_PCT_SALES",'Margin Guidence Table'!$A$1:$AC$1,0)),INDEX('Margin Guidence Table'!$A$1:$AC$10000,MATCH(1,('Margin Guidence Table'!$A$1:$A$10000=ES24)*('Margin Guidence Table'!$H$1:$H$10000&lt;=ROUND($EK$3,0))*('Margin Guidence Table'!$G$1:$G$10000&gt;=ROUND($EK$3,0)),0),MATCH("DEFAULT_PA_PCT_SALES",'Margin Guidence Table'!$A$1:$AC$1,0))),0)</f>
        <v>0</v>
      </c>
      <c r="FB24" s="1165">
        <f t="array" ref="FB24">IFERROR(IF($EU24="SEGMENT",INDEX('Margin Guidence Table'!$A$1:$AC$10000,MATCH(1,('Margin Guidence Table'!$A$1:$A$10000=ES24)*('Margin Guidence Table'!$H$1:$H$10000&lt;=ROUND($EK$3,0))*('Margin Guidence Table'!$G$1:$G$10000&gt;=ROUND($EK$3,0)),0),MATCH("SELF_FUND_PCT_SALES",'Margin Guidence Table'!$A$1:$AC$1,0)),INDEX('Margin Guidence Table'!$A$1:$AC$10000,MATCH(1,('Margin Guidence Table'!$A$1:$A$10000=ES24)*('Margin Guidence Table'!$H$1:$H$10000&lt;=ROUND($EK$3,0))*('Margin Guidence Table'!$G$1:$G$10000&gt;=ROUND($EK$3,0)),0),MATCH("DEFAULT_SELF_FUND_PCT_SALES",'Margin Guidence Table'!$A$1:$AC$1,0))),0)</f>
        <v>0</v>
      </c>
      <c r="FC24" s="1165">
        <f t="array" ref="FC24">IFERROR(IF($EU24="SEGMENT",INDEX('Margin Guidence Table'!$A$1:$AC$10000,MATCH(1,('Margin Guidence Table'!$A$1:$A$10000=ES24)*('Margin Guidence Table'!$H$1:$H$10000&lt;=ROUND($EK$3,0))*('Margin Guidence Table'!$G$1:$G$10000&gt;=ROUND($EK$3,0)),0),MATCH("CIA_MEDIAN_MARGIN_GUIDENCE",'Margin Guidence Table'!$A$1:$AC$1,0)),INDEX('Margin Guidence Table'!$A$1:$AC$10000,MATCH(1,('Margin Guidence Table'!$A$1:$A$10000=ES24)*('Margin Guidence Table'!$H$1:$H$10000&lt;=ROUND($EK$3,0))*('Margin Guidence Table'!$G$1:$G$10000&gt;=ROUND($EK$3,0)),0),MATCH("DEFAULT_CIA_MEDIAN_MARGIN_GUIDENCE",'Margin Guidence Table'!$A$1:$AC$1,0))),0)</f>
        <v>0</v>
      </c>
      <c r="FD24" s="129"/>
      <c r="FE24" s="18">
        <f t="array" ref="FE24">IFERROR(IF($FQ24="SEGMENT",INDEX('Margin Guidence Table'!$A$1:$AC$10000,MATCH(1,('Margin Guidence Table'!$A$1:$A$10000=$FO24)*('Margin Guidence Table'!$H$1:$H$10000&lt;=ROUND($FG$3,0))*('Margin Guidence Table'!$G$1:$G$10000&gt;=ROUND($FG$3,0)),0),MATCH("PCT_SALES",'Margin Guidence Table'!$A$1:$AC$1,0)),INDEX('Margin Guidence Table'!$A$1:$AC$10000,MATCH(1,('Margin Guidence Table'!$A$1:$A$10000=$FO24)*('Margin Guidence Table'!$H$1:$H$10000&lt;=ROUND($FG$3,0))*('Margin Guidence Table'!$G$1:$G$10000&gt;=ROUND($FG$3,0)),0),MATCH("DEFAULT_PCT_SALES",'Margin Guidence Table'!$A$1:$AC$1,0))),0)</f>
        <v>0</v>
      </c>
      <c r="FF24" s="102" t="s">
        <v>97</v>
      </c>
      <c r="FG24" s="94">
        <f>IFERROR(IF(AND($FG$2&lt;&gt;"Enter Spend&gt;&gt;&gt;",FH2="EXISTING"),SUMIFS('Existing Customers'!$Q:$Q,'Existing Customers'!$A:$A,$FG$1,'Existing Customers'!$H:$H,$FF24)*$FG$4,$FG$3*$FE24),0)</f>
        <v>0</v>
      </c>
      <c r="FH24" s="89">
        <f>IFERROR(IF(AND($FG$2&lt;&gt;"Enter Spend&gt;&gt;&gt;",FH2="EXISTING"),SUMIFS('Existing Customers'!$N:$N,'Existing Customers'!$A:$A,$FG$1,'Existing Customers'!$H:$H,$FF24)*$FG$4,$FG24/$FR24),0)</f>
        <v>0</v>
      </c>
      <c r="FI24" s="95">
        <f>IFERROR(IF(AND($FG$2&lt;&gt;"Enter Spend&gt;&gt;&gt;",FH2="EXISTING"),SUMIFS('Existing Customers'!$O:$O,'Existing Customers'!$H:$H,$FF24,'Existing Customers'!$A:$A,$FG$1)*$FG$4,$FH24*$FG$8),0)</f>
        <v>0</v>
      </c>
      <c r="FJ24" s="95">
        <f>IFERROR(IF(AND($FG$2&lt;&gt;"Enter Spend&gt;&gt;&gt;",FH2="EXISTING"),SUMIFS('Existing Customers'!$P:$P,'Existing Customers'!$A:$A,$FG$1,'Existing Customers'!$H:$H,$FF24)*$FG$4,$FG24/$FS24),0)</f>
        <v>0</v>
      </c>
      <c r="FK24" s="96">
        <f>IFERROR(IF(AND($FG$2&lt;&gt;"Enter Spend&gt;&gt;&gt;",FH2="EXISTING"),SUMIFS('Existing Customers'!$V:$V,'Existing Customers'!$H:$H,$FF24,'Existing Customers'!$A:$A,$FG$1)*$FG$4,0),0)</f>
        <v>0</v>
      </c>
      <c r="FL24" s="96">
        <f>IFERROR(IF(AND($FG$2&lt;&gt;"Enter Spend&gt;&gt;&gt;",FH2="EXISTING"),SUMIFS('Existing Customers'!$R:$R,'Existing Customers'!$H:$H,$FF24,'Existing Customers'!$A:$A,$FG$1)*$FG$4,0),0)</f>
        <v>0</v>
      </c>
      <c r="FM24" s="1161">
        <f>IFERROR(IF(AND($FG$2&lt;&gt;"Enter Spend&gt;&gt;&gt;",FH2="EXISTING"),SUMIFS('Existing Customers'!$S:$S,'Existing Customers'!$H:$H,$FF24,'Existing Customers'!$A:$A,$FG$1),FW24*FG24),0)</f>
        <v>0</v>
      </c>
      <c r="FN24" s="1161">
        <f>IFERROR(IF(AND($FG$2&lt;&gt;"Enter Spend&gt;&gt;&gt;",FH2="EXISTING"),SUMIFS('Existing Customers'!$U:$U,'Existing Customers'!$H:$H,$FF24,'Existing Customers'!$A:$A,$FG$1),FX24*FG24),0)</f>
        <v>0</v>
      </c>
      <c r="FO24" s="1164" t="e">
        <f t="shared" si="34"/>
        <v>#N/A</v>
      </c>
      <c r="FP24" s="1164">
        <f t="array" ref="FP24">IFERROR(INDEX('Margin Guidence Table'!$A$1:$AD$30000,MATCH(1,('Margin Guidence Table'!$A$1:$A$10000=FO24)*('Margin Guidence Table'!$H$1:$H$10000&lt;=ROUND($FG$3,0))*('Margin Guidence Table'!$G$1:$G$10000&gt;=ROUND($FG$3,0)),0),MATCH("DATA_POINTS",'Margin Guidence Table'!$A$1:$AC$1,0)),0)</f>
        <v>0</v>
      </c>
      <c r="FQ24" s="1161" t="str">
        <f t="shared" si="35"/>
        <v>DEFAULT</v>
      </c>
      <c r="FR24" s="1161">
        <f t="array" ref="FR24">IFERROR(IF($FQ24="SEGMENT",INDEX('Margin Guidence Table'!$A$1:$AC$10000,MATCH(1,('Margin Guidence Table'!$A$1:$A$10000=FO24)*('Margin Guidence Table'!$H$1:$H$10000&lt;=ROUND($FG$3,0))*('Margin Guidence Table'!$G$1:$G$10000&gt;=ROUND($FG$3,0)),0),MATCH("SALES_CASE",'Margin Guidence Table'!$A$1:$AC$1,0)),INDEX('Margin Guidence Table'!$A$1:$AC$10000,MATCH(1,('Margin Guidence Table'!$A$1:$A$10000=FO24)*('Margin Guidence Table'!$H$1:$H$10000&lt;=ROUND($FG$3,0))*('Margin Guidence Table'!$G$1:$G$10000&gt;=ROUND($FG$3,0)),0),MATCH("DEFAULT_SALES_CASE",'Margin Guidence Table'!$A$1:$AC$1,0))),0)</f>
        <v>0</v>
      </c>
      <c r="FS24" s="1161">
        <f t="array" ref="FS24">IFERROR(IF($FQ24="SEGMENT",INDEX('Margin Guidence Table'!$A$1:$AC$10000,MATCH(1,('Margin Guidence Table'!$A$1:$A$10000=FO24)*('Margin Guidence Table'!$H$1:$H$10000&lt;=ROUND($FG$3,0))*('Margin Guidence Table'!$G$1:$G$10000&gt;=ROUND($FG$3,0)),0),MATCH("SALES_LBS",'Margin Guidence Table'!$A$1:$AC$1,0)),INDEX('Margin Guidence Table'!$A$1:$AC$10000,MATCH(1,('Margin Guidence Table'!$A$1:$A$10000=FO24)*('Margin Guidence Table'!$H$1:$H$10000&lt;=ROUND($FG$3,0))*('Margin Guidence Table'!$G$1:$G$10000&gt;=ROUND($FG$3,0)),0),MATCH("DEFAULT_SALES_LBS",'Margin Guidence Table'!$A$1:$AC$1,0))),0)</f>
        <v>0</v>
      </c>
      <c r="FT24" s="1165">
        <f t="array" ref="FT24">IFERROR(IF($FQ24="SEGMENT",INDEX('Margin Guidence Table'!$A$1:$AC$10000,MATCH(1,('Margin Guidence Table'!$A$1:$A$10000=FO24)*('Margin Guidence Table'!$H$1:$H$10000&lt;=ROUND($FG$3,0))*('Margin Guidence Table'!$G$1:$G$10000&gt;=ROUND($FG$3,0)),0),MATCH("MDA_MIN_MARGIN_GUIDENCE",'Margin Guidence Table'!$A$1:$AC$1,0)),INDEX('Margin Guidence Table'!$A$1:$AC$10000,MATCH(1,('Margin Guidence Table'!$A$1:$A$10000=FO24)*('Margin Guidence Table'!$H$1:$H$10000&lt;=ROUND($FG$3,0))*('Margin Guidence Table'!$G$1:$G$10000&gt;=ROUND($FG$3,0)),0),MATCH("DEFAULT_MDA_MIN_MARGIN_GUIDENCE",'Margin Guidence Table'!$A$1:$AC$1,0))),0)</f>
        <v>0</v>
      </c>
      <c r="FU24" s="1165">
        <f t="array" ref="FU24">IFERROR(IF($FQ24="SEGMENT",INDEX('Margin Guidence Table'!$A$1:$AC$10000,MATCH(1,('Margin Guidence Table'!$A$1:$A$10000=FO24)*('Margin Guidence Table'!$H$1:$H$10000&lt;=ROUND($FG$3,0))*('Margin Guidence Table'!$G$1:$G$10000&gt;=ROUND($FG$3,0)),0),MATCH("MDA_MEDIAN_MARGIN_GUIDENCE",'Margin Guidence Table'!$A$1:$AC$1,0)),INDEX('Margin Guidence Table'!$A$1:$AC$10000,MATCH(1,('Margin Guidence Table'!$A$1:$A$10000=FO24)*('Margin Guidence Table'!$H$1:$H$10000&lt;=ROUND($FG$3,0))*('Margin Guidence Table'!$G$1:$G$10000&gt;=ROUND($FG$3,0)),0),MATCH("DEFAULT_MDA_MEDIAN_MARGIN_GUIDENCE",'Margin Guidence Table'!$A$1:$AC$1,0))),0)</f>
        <v>0</v>
      </c>
      <c r="FV24" s="1165">
        <f t="array" ref="FV24">IFERROR(IF($FQ24="SEGMENT",INDEX('Margin Guidence Table'!$A$1:$AC$10000,MATCH(1,('Margin Guidence Table'!$A$1:$A$10000=FO24)*('Margin Guidence Table'!$H$1:$H$10000&lt;=ROUND($FG$3,0))*('Margin Guidence Table'!$G$1:$G$10000&gt;=ROUND($FG$3,0)),0),MATCH("MDA_MAX_MARGIN_GUIDENCE",'Margin Guidence Table'!$A$1:$AC$1,0)),INDEX('Margin Guidence Table'!$A$1:$AC$10000,MATCH(1,('Margin Guidence Table'!$A$1:$A$10000=FO24)*('Margin Guidence Table'!$H$1:$H$10000&lt;=ROUND($FG$3,0))*('Margin Guidence Table'!$G$1:$G$10000&gt;=ROUND($FG$3,0)),0),MATCH("DEFAULT_MDA_MAX_MARGIN_GUIDENCE",'Margin Guidence Table'!$A$1:$AC$1,0))),0)</f>
        <v>0</v>
      </c>
      <c r="FW24" s="1165">
        <f t="array" ref="FW24">IFERROR(IF($FQ24="SEGMENT",INDEX('Margin Guidence Table'!$A$1:$AC$10000,MATCH(1,('Margin Guidence Table'!$A$1:$A$10000=FO24)*('Margin Guidence Table'!$H$1:$H$10000&lt;=ROUND($FG$3,0))*('Margin Guidence Table'!$G$1:$G$10000&gt;=ROUND($FG$3,0)),0),MATCH("PA_PCT_SALES",'Margin Guidence Table'!$A$1:$AC$1,0)),INDEX('Margin Guidence Table'!$A$1:$AC$10000,MATCH(1,('Margin Guidence Table'!$A$1:$A$10000=FO24)*('Margin Guidence Table'!$H$1:$H$10000&lt;=ROUND($FG$3,0))*('Margin Guidence Table'!$G$1:$G$10000&gt;=ROUND($FG$3,0)),0),MATCH("DEFAULT_PA_PCT_SALES",'Margin Guidence Table'!$A$1:$AC$1,0))),0)</f>
        <v>0</v>
      </c>
      <c r="FX24" s="1165">
        <f t="array" ref="FX24">IFERROR(IF($FQ24="SEGMENT",INDEX('Margin Guidence Table'!$A$1:$AC$10000,MATCH(1,('Margin Guidence Table'!$A$1:$A$10000=FO24)*('Margin Guidence Table'!$H$1:$H$10000&lt;=ROUND($FG$3,0))*('Margin Guidence Table'!$G$1:$G$10000&gt;=ROUND($FG$3,0)),0),MATCH("SELF_FUND_PCT_SALES",'Margin Guidence Table'!$A$1:$AC$1,0)),INDEX('Margin Guidence Table'!$A$1:$AC$10000,MATCH(1,('Margin Guidence Table'!$A$1:$A$10000=FO24)*('Margin Guidence Table'!$H$1:$H$10000&lt;=ROUND($FG$3,0))*('Margin Guidence Table'!$G$1:$G$10000&gt;=ROUND($FG$3,0)),0),MATCH("DEFAULT_SELF_FUND_PCT_SALES",'Margin Guidence Table'!$A$1:$AC$1,0))),0)</f>
        <v>0</v>
      </c>
      <c r="FY24" s="1165">
        <f t="array" ref="FY24">IFERROR(IF($FQ24="SEGMENT",INDEX('Margin Guidence Table'!$A$1:$AC$10000,MATCH(1,('Margin Guidence Table'!$A$1:$A$10000=FO24)*('Margin Guidence Table'!$H$1:$H$10000&lt;=ROUND($FG$3,0))*('Margin Guidence Table'!$G$1:$G$10000&gt;=ROUND($FG$3,0)),0),MATCH("CIA_MEDIAN_MARGIN_GUIDENCE",'Margin Guidence Table'!$A$1:$AC$1,0)),INDEX('Margin Guidence Table'!$A$1:$AC$10000,MATCH(1,('Margin Guidence Table'!$A$1:$A$10000=FO24)*('Margin Guidence Table'!$H$1:$H$10000&lt;=ROUND($FG$3,0))*('Margin Guidence Table'!$G$1:$G$10000&gt;=ROUND($FG$3,0)),0),MATCH("DEFAULT_CIA_MEDIAN_MARGIN_GUIDENCE",'Margin Guidence Table'!$A$1:$AC$1,0))),0)</f>
        <v>0</v>
      </c>
      <c r="FZ24" s="129"/>
      <c r="GA24" s="18">
        <f t="array" ref="GA24">IFERROR(IF($GM24="SEGMENT",INDEX('Margin Guidence Table'!$A$1:$AC$10000,MATCH(1,('Margin Guidence Table'!$A$1:$A$10000=$GK24)*('Margin Guidence Table'!$H$1:$H$10000&lt;=ROUND($GC$3,0))*('Margin Guidence Table'!$G$1:$G$10000&gt;=ROUND($GC$3,0)),0),MATCH("PCT_SALES",'Margin Guidence Table'!$A$1:$AC$1,0)),INDEX('Margin Guidence Table'!$A$1:$AC$10000,MATCH(1,('Margin Guidence Table'!$A$1:$A$10000=$GK24)*('Margin Guidence Table'!$H$1:$H$10000&lt;=ROUND($GC$3,0))*('Margin Guidence Table'!$G$1:$G$10000&gt;=ROUND($GC$3,0)),0),MATCH("DEFAULT_PCT_SALES",'Margin Guidence Table'!$A$1:$AC$1,0))),0)</f>
        <v>0</v>
      </c>
      <c r="GB24" s="102" t="s">
        <v>97</v>
      </c>
      <c r="GC24" s="94">
        <f>IFERROR(IF(AND($GC$2&lt;&gt;"Enter Spend&gt;&gt;&gt;",GD2="EXISTING"),SUMIFS('Existing Customers'!$Q:$Q,'Existing Customers'!$A:$A,$GC$1,'Existing Customers'!$H:$H,$GB24)*$GC$4,$GC$3*$GA24),0)</f>
        <v>0</v>
      </c>
      <c r="GD24" s="89">
        <f>IFERROR(IF(AND($GC$2&lt;&gt;"Enter Spend&gt;&gt;&gt;",GD2="EXISTING"),SUMIFS('Existing Customers'!$N:$N,'Existing Customers'!$A:$A,$GC$1,'Existing Customers'!$H:$H,$GB24)*$GC$4,$GC24/$GN24),0)</f>
        <v>0</v>
      </c>
      <c r="GE24" s="95">
        <f>IFERROR(IF(AND($GC$2&lt;&gt;"Enter Spend&gt;&gt;&gt;",GD2="EXISTING"),SUMIFS('Existing Customers'!$O:$O,'Existing Customers'!$H:$H,$GB24,'Existing Customers'!$A:$A,$GC$1)*$GC$4,$GD24*$GC$8),0)</f>
        <v>0</v>
      </c>
      <c r="GF24" s="95">
        <f>IFERROR(IF(AND($GC$2&lt;&gt;"Enter Spend&gt;&gt;&gt;",GD2="EXISTING"),SUMIFS('Existing Customers'!$P:$P,'Existing Customers'!$A:$A,$GC$1,'Existing Customers'!$H:$H,$GB24)*$GC$4,$GC24/$GO24),0)</f>
        <v>0</v>
      </c>
      <c r="GG24" s="96">
        <f>IFERROR(IF(AND($GC$2&lt;&gt;"Enter Spend&gt;&gt;&gt;",GD2="EXISTING"),SUMIFS('Existing Customers'!$V:$V,'Existing Customers'!$H:$H,$GB24,'Existing Customers'!$A:$A,$GC$1)*$GC$4,0),0)</f>
        <v>0</v>
      </c>
      <c r="GH24" s="96">
        <f>IFERROR(IF(AND($GC$2&lt;&gt;"Enter Spend&gt;&gt;&gt;",GD2="EXISTING"),SUMIFS('Existing Customers'!$R:$R,'Existing Customers'!$H:$H,$GB24,'Existing Customers'!$A:$A,$GC$1)*$GC$4,0),0)</f>
        <v>0</v>
      </c>
      <c r="GI24" s="1161">
        <f>IFERROR(IF(AND($GC$2&lt;&gt;"Enter Spend&gt;&gt;&gt;",GD2="EXISTING"),SUMIFS('Existing Customers'!$S:$S,'Existing Customers'!$H:$H,$GB24,'Existing Customers'!$A:$A,$GC$1),GS24*GC24),0)</f>
        <v>0</v>
      </c>
      <c r="GJ24" s="1161">
        <f>IFERROR(IF(AND($GC$2&lt;&gt;"Enter Spend&gt;&gt;&gt;",GD2="EXISTING"),SUMIFS('Existing Customers'!$U:$U,'Existing Customers'!$H:$H,$GB24,'Existing Customers'!$A:$A,$GC$1),GT24*GC24),0)</f>
        <v>0</v>
      </c>
      <c r="GK24" s="1164" t="e">
        <f t="shared" si="36"/>
        <v>#N/A</v>
      </c>
      <c r="GL24" s="1164">
        <f t="array" ref="GL24">IFERROR(INDEX('Margin Guidence Table'!$A$1:$AD$30000,MATCH(1,('Margin Guidence Table'!$A$1:$A$10000=GK24)*('Margin Guidence Table'!$H$1:$H$10000&lt;=ROUND($GC$3,0))*('Margin Guidence Table'!$G$1:$G$10000&gt;=ROUND($GC$3,0)),0),MATCH("DATA_POINTS",'Margin Guidence Table'!$A$1:$AC$1,0)),0)</f>
        <v>0</v>
      </c>
      <c r="GM24" s="1161" t="str">
        <f t="shared" si="37"/>
        <v>DEFAULT</v>
      </c>
      <c r="GN24" s="1161">
        <f t="array" ref="GN24">IFERROR(IF($GM24="SEGMENT",INDEX('Margin Guidence Table'!$A$1:$AC$10000,MATCH(1,('Margin Guidence Table'!$A$1:$A$10000=GK24)*('Margin Guidence Table'!$H$1:$H$10000&lt;=ROUND($GC$3,0))*('Margin Guidence Table'!$G$1:$G$10000&gt;=ROUND($GC$3,0)),0),MATCH("SALES_CASE",'Margin Guidence Table'!$A$1:$AC$1,0)),INDEX('Margin Guidence Table'!$A$1:$AC$10000,MATCH(1,('Margin Guidence Table'!$A$1:$A$10000=GK24)*('Margin Guidence Table'!$H$1:$H$10000&lt;=ROUND($GC$3,0))*('Margin Guidence Table'!$G$1:$G$10000&gt;=ROUND($GC$3,0)),0),MATCH("DEFAULT_SALES_CASE",'Margin Guidence Table'!$A$1:$AC$1,0))),0)</f>
        <v>0</v>
      </c>
      <c r="GO24" s="1161">
        <f t="array" ref="GO24">IFERROR(IF($GM24="SEGMENT",INDEX('Margin Guidence Table'!$A$1:$AC$10000,MATCH(1,('Margin Guidence Table'!$A$1:$A$10000=GK24)*('Margin Guidence Table'!$H$1:$H$10000&lt;=ROUND($GC$3,0))*('Margin Guidence Table'!$G$1:$G$10000&gt;=ROUND($GC$3,0)),0),MATCH("SALES_LBS",'Margin Guidence Table'!$A$1:$AC$1,0)),INDEX('Margin Guidence Table'!$A$1:$AC$10000,MATCH(1,('Margin Guidence Table'!$A$1:$A$10000=GK24)*('Margin Guidence Table'!$H$1:$H$10000&lt;=ROUND($GC$3,0))*('Margin Guidence Table'!$G$1:$G$10000&gt;=ROUND($GC$3,0)),0),MATCH("DEFAULT_SALES_LBS",'Margin Guidence Table'!$A$1:$AC$1,0))),0)</f>
        <v>0</v>
      </c>
      <c r="GP24" s="1165">
        <f t="array" ref="GP24">IFERROR(IF($GM24="SEGMENT",INDEX('Margin Guidence Table'!$A$1:$AC$10000,MATCH(1,('Margin Guidence Table'!$A$1:$A$10000=GK24)*('Margin Guidence Table'!$H$1:$H$10000&lt;=ROUND($GC$3,0))*('Margin Guidence Table'!$G$1:$G$10000&gt;=ROUND($GC$3,0)),0),MATCH("MDA_MIN_MARGIN_GUIDENCE",'Margin Guidence Table'!$A$1:$AC$1,0)),INDEX('Margin Guidence Table'!$A$1:$AC$10000,MATCH(1,('Margin Guidence Table'!$A$1:$A$10000=GK24)*('Margin Guidence Table'!$H$1:$H$10000&lt;=ROUND($GC$3,0))*('Margin Guidence Table'!$G$1:$G$10000&gt;=ROUND($GC$3,0)),0),MATCH("DEFAULT_MDA_MIN_MARGIN_GUIDENCE",'Margin Guidence Table'!$A$1:$AC$1,0))),0)</f>
        <v>0</v>
      </c>
      <c r="GQ24" s="1165">
        <f t="array" ref="GQ24">IFERROR(IF($GM24="SEGMENT",INDEX('Margin Guidence Table'!$A$1:$AC$10000,MATCH(1,('Margin Guidence Table'!$A$1:$A$10000=GK24)*('Margin Guidence Table'!$H$1:$H$10000&lt;=ROUND($GC$3,0))*('Margin Guidence Table'!$G$1:$G$10000&gt;=ROUND($GC$3,0)),0),MATCH("MDA_MEDIAN_MARGIN_GUIDENCE",'Margin Guidence Table'!$A$1:$AC$1,0)),INDEX('Margin Guidence Table'!$A$1:$AC$10000,MATCH(1,('Margin Guidence Table'!$A$1:$A$10000=GK24)*('Margin Guidence Table'!$H$1:$H$10000&lt;=ROUND($GC$3,0))*('Margin Guidence Table'!$G$1:$G$10000&gt;=ROUND($GC$3,0)),0),MATCH("DEFAULT_MDA_MEDIAN_MARGIN_GUIDENCE",'Margin Guidence Table'!$A$1:$AC$1,0))),0)</f>
        <v>0</v>
      </c>
      <c r="GR24" s="1165">
        <f t="array" ref="GR24">IFERROR(IF($GM24="SEGMENT",INDEX('Margin Guidence Table'!$A$1:$AC$10000,MATCH(1,('Margin Guidence Table'!$A$1:$A$10000=GK24)*('Margin Guidence Table'!$H$1:$H$10000&lt;=ROUND($GC$3,0))*('Margin Guidence Table'!$G$1:$G$10000&gt;=ROUND($GC$3,0)),0),MATCH("MDA_MAX_MARGIN_GUIDENCE",'Margin Guidence Table'!$A$1:$AC$1,0)),INDEX('Margin Guidence Table'!$A$1:$AC$10000,MATCH(1,('Margin Guidence Table'!$A$1:$A$10000=GK24)*('Margin Guidence Table'!$H$1:$H$10000&lt;=ROUND($GC$3,0))*('Margin Guidence Table'!$G$1:$G$10000&gt;=ROUND($GC$3,0)),0),MATCH("DEFAULT_MDA_MAX_MARGIN_GUIDENCE",'Margin Guidence Table'!$A$1:$AC$1,0))),0)</f>
        <v>0</v>
      </c>
      <c r="GS24" s="1165">
        <f t="array" ref="GS24">IFERROR(IF($GM24="SEGMENT",INDEX('Margin Guidence Table'!$A$1:$AC$10000,MATCH(1,('Margin Guidence Table'!$A$1:$A$10000=GK24)*('Margin Guidence Table'!$H$1:$H$10000&lt;=ROUND($GC$3,0))*('Margin Guidence Table'!$G$1:$G$10000&gt;=ROUND($GC$3,0)),0),MATCH("PA_PCT_SALES",'Margin Guidence Table'!$A$1:$AC$1,0)),INDEX('Margin Guidence Table'!$A$1:$AC$10000,MATCH(1,('Margin Guidence Table'!$A$1:$A$10000=GK24)*('Margin Guidence Table'!$H$1:$H$10000&lt;=ROUND($GC$3,0))*('Margin Guidence Table'!$G$1:$G$10000&gt;=ROUND($GC$3,0)),0),MATCH("DEFAULT_PA_PCT_SALES",'Margin Guidence Table'!$A$1:$AC$1,0))),0)</f>
        <v>0</v>
      </c>
      <c r="GT24" s="1165">
        <f t="array" ref="GT24">IFERROR(IF($GM24="SEGMENT",INDEX('Margin Guidence Table'!$A$1:$AC$10000,MATCH(1,('Margin Guidence Table'!$A$1:$A$10000=GK24)*('Margin Guidence Table'!$H$1:$H$10000&lt;=ROUND($GC$3,0))*('Margin Guidence Table'!$G$1:$G$10000&gt;=ROUND($GC$3,0)),0),MATCH("SELF_FUND_PCT_SALES",'Margin Guidence Table'!$A$1:$AC$1,0)),INDEX('Margin Guidence Table'!$A$1:$AC$10000,MATCH(1,('Margin Guidence Table'!$A$1:$A$10000=GK24)*('Margin Guidence Table'!$H$1:$H$10000&lt;=ROUND($GC$3,0))*('Margin Guidence Table'!$G$1:$G$10000&gt;=ROUND($GC$3,0)),0),MATCH("DEFAULT_SELF_FUND_PCT_SALES",'Margin Guidence Table'!$A$1:$AC$1,0))),0)</f>
        <v>0</v>
      </c>
      <c r="GU24" s="1165">
        <f t="array" ref="GU24">IFERROR(IF($GM24="SEGMENT",INDEX('Margin Guidence Table'!$A$1:$AC$10000,MATCH(1,('Margin Guidence Table'!$A$1:$A$10000=GK24)*('Margin Guidence Table'!$H$1:$H$10000&lt;=ROUND($GC$3,0))*('Margin Guidence Table'!$G$1:$G$10000&gt;=ROUND($GC$3,0)),0),MATCH("CIA_MEDIAN_MARGIN_GUIDENCE",'Margin Guidence Table'!$A$1:$AC$1,0)),INDEX('Margin Guidence Table'!$A$1:$AC$10000,MATCH(1,('Margin Guidence Table'!$A$1:$A$10000=GK24)*('Margin Guidence Table'!$H$1:$H$10000&lt;=ROUND($GC$3,0))*('Margin Guidence Table'!$G$1:$G$10000&gt;=ROUND($GC$3,0)),0),MATCH("DEFAULT_CIA_MEDIAN_MARGIN_GUIDENCE",'Margin Guidence Table'!$A$1:$AC$1,0))),0)</f>
        <v>0</v>
      </c>
      <c r="GV24" s="129"/>
      <c r="GW24" s="18">
        <f t="array" ref="GW24">IFERROR(IF($HI24="SEGMENT",INDEX('Margin Guidence Table'!$A$1:$AC$10000,MATCH(1,('Margin Guidence Table'!$A$1:$A$10000=$HG24)*('Margin Guidence Table'!$H$1:$H$10000&lt;=ROUND($GY$3,0))*('Margin Guidence Table'!$G$1:$G$10000&gt;=ROUND($GY$3,0)),0),MATCH("PCT_SALES",'Margin Guidence Table'!$A$1:$AC$1,0)),INDEX('Margin Guidence Table'!$A$1:$AC$10000,MATCH(1,('Margin Guidence Table'!$A$1:$A$10000=$HG24)*('Margin Guidence Table'!$H$1:$H$10000&lt;=ROUND($GY$3,0))*('Margin Guidence Table'!$G$1:$G$10000&gt;=ROUND($GY$3,0)),0),MATCH("DEFAULT_PCT_SALES",'Margin Guidence Table'!$A$1:$AC$1,0))),0)</f>
        <v>0</v>
      </c>
      <c r="GX24" s="102" t="s">
        <v>97</v>
      </c>
      <c r="GY24" s="94">
        <f>IFERROR(IF(AND($GY$2&lt;&gt;"Enter Spend&gt;&gt;&gt;",GZ2="EXISTING"),SUMIFS('Existing Customers'!$Q:$Q,'Existing Customers'!$A:$A,$GY$1,'Existing Customers'!$H:$H,$GX24)*$GY$4,$GY$3*$GW24),0)</f>
        <v>0</v>
      </c>
      <c r="GZ24" s="89">
        <f>IFERROR(IF(AND($GY$2&lt;&gt;"Enter Spend&gt;&gt;&gt;",GZ2="EXISTING"),SUMIFS('Existing Customers'!$N:$N,'Existing Customers'!$A:$A,$GY$1,'Existing Customers'!$H:$H,$GX24)*$GY$4,$GY24/$HJ24),0)</f>
        <v>0</v>
      </c>
      <c r="HA24" s="95">
        <f>IFERROR(IF(AND($GY$2&lt;&gt;"Enter Spend&gt;&gt;&gt;",GZ2="EXISTING"),SUMIFS('Existing Customers'!$O:$O,'Existing Customers'!$H:$H,$GX24,'Existing Customers'!$A:$A,$GY$1)*$GY$4,$GZ24*$GY$8),0)</f>
        <v>0</v>
      </c>
      <c r="HB24" s="95">
        <f>IFERROR(IF(AND($GY$2&lt;&gt;"Enter Spend&gt;&gt;&gt;",GZ2="EXISTING"),SUMIFS('Existing Customers'!$P:$P,'Existing Customers'!$A:$A,$GY$1,'Existing Customers'!$H:$H,$GX24)*$GY$4,$GY24/$HK24),0)</f>
        <v>0</v>
      </c>
      <c r="HC24" s="96">
        <f>IFERROR(IF(AND($GY$2&lt;&gt;"Enter Spend&gt;&gt;&gt;",GZ2="EXISTING"),SUMIFS('Existing Customers'!$V:$V,'Existing Customers'!$H:$H,$GX24,'Existing Customers'!$A:$A,$GY$1)*$GY$4,0),0)</f>
        <v>0</v>
      </c>
      <c r="HD24" s="96">
        <f>IFERROR(IF(AND($GY$2&lt;&gt;"Enter Spend&gt;&gt;&gt;",GZ2="EXISTING"),SUMIFS('Existing Customers'!$R:$R,'Existing Customers'!$H:$H,$GX24,'Existing Customers'!$A:$A,$GY$1)*$GY$4,0),0)</f>
        <v>0</v>
      </c>
      <c r="HE24" s="1161">
        <f>IFERROR(IF(AND($GY$2&lt;&gt;"Enter Spend&gt;&gt;&gt;",GZ2="EXISTING"),SUMIFS('Existing Customers'!$S:$S,'Existing Customers'!$H:$H,$GX24,'Existing Customers'!$A:$A,$GY$1),HO24*GY24),0)</f>
        <v>0</v>
      </c>
      <c r="HF24" s="1161">
        <f>IFERROR(IF(AND($GY$2&lt;&gt;"Enter Spend&gt;&gt;&gt;",GZ2="EXISTING"),SUMIFS('Existing Customers'!$U:$U,'Existing Customers'!$H:$H,$GX24,'Existing Customers'!$A:$A,$GY$1),HP24*GY24),0)</f>
        <v>0</v>
      </c>
      <c r="HG24" s="1164" t="e">
        <f t="shared" si="38"/>
        <v>#N/A</v>
      </c>
      <c r="HH24" s="1164">
        <f t="array" ref="HH24">IFERROR(INDEX('Margin Guidence Table'!$A$1:$AD$30000,MATCH(1,('Margin Guidence Table'!$A$1:$A$10000=HG24)*('Margin Guidence Table'!$H$1:$H$10000&lt;=ROUND($GY$3,0))*('Margin Guidence Table'!$G$1:$G$10000&gt;=ROUND($GY$3,0)),0),MATCH("DATA_POINTS",'Margin Guidence Table'!$A$1:$AC$1,0)),0)</f>
        <v>0</v>
      </c>
      <c r="HI24" s="1161" t="str">
        <f t="shared" si="39"/>
        <v>DEFAULT</v>
      </c>
      <c r="HJ24" s="1161">
        <f t="array" ref="HJ24">IFERROR(IF($HI24="SEGMENT",INDEX('Margin Guidence Table'!$A$1:$AC$10000,MATCH(1,('Margin Guidence Table'!$A$1:$A$10000=HG24)*('Margin Guidence Table'!$H$1:$H$10000&lt;=ROUND($GY$3,0))*('Margin Guidence Table'!$G$1:$G$10000&gt;=ROUND($GY$3,0)),0),MATCH("SALES_CASE",'Margin Guidence Table'!$A$1:$AC$1,0)),INDEX('Margin Guidence Table'!$A$1:$AC$10000,MATCH(1,('Margin Guidence Table'!$A$1:$A$10000=HG24)*('Margin Guidence Table'!$H$1:$H$10000&lt;=ROUND($GY$3,0))*('Margin Guidence Table'!$G$1:$G$10000&gt;=ROUND($GY$3,0)),0),MATCH("DEFAULT_SALES_CASE",'Margin Guidence Table'!$A$1:$AC$1,0))),0)</f>
        <v>0</v>
      </c>
      <c r="HK24" s="1161">
        <f t="array" ref="HK24">IFERROR(IF($HI24="SEGMENT",INDEX('Margin Guidence Table'!$A$1:$AC$10000,MATCH(1,('Margin Guidence Table'!$A$1:$A$10000=HG24)*('Margin Guidence Table'!$H$1:$H$10000&lt;=ROUND($GY$3,0))*('Margin Guidence Table'!$G$1:$G$10000&gt;=ROUND($GY$3,0)),0),MATCH("SALES_LBS",'Margin Guidence Table'!$A$1:$AC$1,0)),INDEX('Margin Guidence Table'!$A$1:$AC$10000,MATCH(1,('Margin Guidence Table'!$A$1:$A$10000=HG24)*('Margin Guidence Table'!$H$1:$H$10000&lt;=ROUND($GY$3,0))*('Margin Guidence Table'!$G$1:$G$10000&gt;=ROUND($GY$3,0)),0),MATCH("DEFAULT_SALES_LBS",'Margin Guidence Table'!$A$1:$AC$1,0))),0)</f>
        <v>0</v>
      </c>
      <c r="HL24" s="1165">
        <f t="array" ref="HL24">IFERROR(IF($HI24="SEGMENT",INDEX('Margin Guidence Table'!$A$1:$AC$10000,MATCH(1,('Margin Guidence Table'!$A$1:$A$10000=HG24)*('Margin Guidence Table'!$H$1:$H$10000&lt;=ROUND($GY$3,0))*('Margin Guidence Table'!$G$1:$G$10000&gt;=ROUND($GY$3,0)),0),MATCH("MDA_MIN_MARGIN_GUIDENCE",'Margin Guidence Table'!$A$1:$AC$1,0)),INDEX('Margin Guidence Table'!$A$1:$AC$10000,MATCH(1,('Margin Guidence Table'!$A$1:$A$10000=HG24)*('Margin Guidence Table'!$H$1:$H$10000&lt;=ROUND($GY$3,0))*('Margin Guidence Table'!$G$1:$G$10000&gt;=ROUND($GY$3,0)),0),MATCH("DEFAULT_MDA_MIN_MARGIN_GUIDENCE",'Margin Guidence Table'!$A$1:$AC$1,0))),0)</f>
        <v>0</v>
      </c>
      <c r="HM24" s="1165">
        <f t="array" ref="HM24">IFERROR(IF($HI24="SEGMENT",INDEX('Margin Guidence Table'!$A$1:$AC$10000,MATCH(1,('Margin Guidence Table'!$A$1:$A$10000=HG24)*('Margin Guidence Table'!$H$1:$H$10000&lt;=ROUND($GY$3,0))*('Margin Guidence Table'!$G$1:$G$10000&gt;=ROUND($GY$3,0)),0),MATCH("MDA_MEDIAN_MARGIN_GUIDENCE",'Margin Guidence Table'!$A$1:$AC$1,0)),INDEX('Margin Guidence Table'!$A$1:$AC$10000,MATCH(1,('Margin Guidence Table'!$A$1:$A$10000=HG24)*('Margin Guidence Table'!$H$1:$H$10000&lt;=ROUND($GY$3,0))*('Margin Guidence Table'!$G$1:$G$10000&gt;=ROUND($GY$3,0)),0),MATCH("DEFAULT_MDA_MEDIAN_MARGIN_GUIDENCE",'Margin Guidence Table'!$A$1:$AC$1,0))),0)</f>
        <v>0</v>
      </c>
      <c r="HN24" s="1165">
        <f t="array" ref="HN24">IFERROR(IF($HI24="SEGMENT",INDEX('Margin Guidence Table'!$A$1:$AC$10000,MATCH(1,('Margin Guidence Table'!$A$1:$A$10000=HG24)*('Margin Guidence Table'!$H$1:$H$10000&lt;=ROUND($GY$3,0))*('Margin Guidence Table'!$G$1:$G$10000&gt;=ROUND($GY$3,0)),0),MATCH("MDA_MAX_MARGIN_GUIDENCE",'Margin Guidence Table'!$A$1:$AC$1,0)),INDEX('Margin Guidence Table'!$A$1:$AC$10000,MATCH(1,('Margin Guidence Table'!$A$1:$A$10000=HG24)*('Margin Guidence Table'!$H$1:$H$10000&lt;=ROUND($GY$3,0))*('Margin Guidence Table'!$G$1:$G$10000&gt;=ROUND($GY$3,0)),0),MATCH("DEFAULT_MDA_MAX_MARGIN_GUIDENCE",'Margin Guidence Table'!$A$1:$AC$1,0))),0)</f>
        <v>0</v>
      </c>
      <c r="HO24" s="1165">
        <f t="array" ref="HO24">IFERROR(IF($HI24="SEGMENT",INDEX('Margin Guidence Table'!$A$1:$AC$10000,MATCH(1,('Margin Guidence Table'!$A$1:$A$10000=HG24)*('Margin Guidence Table'!$H$1:$H$10000&lt;=ROUND($GY$3,0))*('Margin Guidence Table'!$G$1:$G$10000&gt;=ROUND($GY$3,0)),0),MATCH("PA_PCT_SALES",'Margin Guidence Table'!$A$1:$AC$1,0)),INDEX('Margin Guidence Table'!$A$1:$AC$10000,MATCH(1,('Margin Guidence Table'!$A$1:$A$10000=HG24)*('Margin Guidence Table'!$H$1:$H$10000&lt;=ROUND($GY$3,0))*('Margin Guidence Table'!$G$1:$G$10000&gt;=ROUND($GY$3,0)),0),MATCH("DEFAULT_PA_PCT_SALES",'Margin Guidence Table'!$A$1:$AC$1,0))),0)</f>
        <v>0</v>
      </c>
      <c r="HP24" s="1165">
        <f t="array" ref="HP24">IFERROR(IF($HI24="SEGMENT",INDEX('Margin Guidence Table'!$A$1:$AC$10000,MATCH(1,('Margin Guidence Table'!$A$1:$A$10000=HG24)*('Margin Guidence Table'!$H$1:$H$10000&lt;=ROUND($GY$3,0))*('Margin Guidence Table'!$G$1:$G$10000&gt;=ROUND($GY$3,0)),0),MATCH("SELF_FUND_PCT_SALES",'Margin Guidence Table'!$A$1:$AC$1,0)),INDEX('Margin Guidence Table'!$A$1:$AC$10000,MATCH(1,('Margin Guidence Table'!$A$1:$A$10000=HG24)*('Margin Guidence Table'!$H$1:$H$10000&lt;=ROUND($GY$3,0))*('Margin Guidence Table'!$G$1:$G$10000&gt;=ROUND($GY$3,0)),0),MATCH("DEFAULT_SELF_FUND_PCT_SALES",'Margin Guidence Table'!$A$1:$AC$1,0))),0)</f>
        <v>0</v>
      </c>
      <c r="HQ24" s="1165">
        <f t="array" ref="HQ24">IFERROR(IF($HI24="SEGMENT",INDEX('Margin Guidence Table'!$A$1:$AC$10000,MATCH(1,('Margin Guidence Table'!$A$1:$A$10000=HG24)*('Margin Guidence Table'!$H$1:$H$10000&lt;=ROUND($GY$3,0))*('Margin Guidence Table'!$G$1:$G$10000&gt;=ROUND($GY$3,0)),0),MATCH("CIA_MEDIAN_MARGIN_GUIDENCE",'Margin Guidence Table'!$A$1:$AC$1,0)),INDEX('Margin Guidence Table'!$A$1:$AC$10000,MATCH(1,('Margin Guidence Table'!$A$1:$A$10000=HG24)*('Margin Guidence Table'!$H$1:$H$10000&lt;=ROUND($GY$3,0))*('Margin Guidence Table'!$G$1:$G$10000&gt;=ROUND($GY$3,0)),0),MATCH("DEFAULT_CIA_MEDIAN_MARGIN_GUIDENCE",'Margin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Spend&gt;&gt;&gt;",HV2="EXISTING"),SUMIFS('Existing Customers'!$Q:$Q,'Existing Customers'!$A:$A,$HU$1,'Existing Customers'!$H:$H,$HT24)*$HU$4,$HU$3*$HS24),0)</f>
        <v>0</v>
      </c>
      <c r="HV24" s="89">
        <f>IFERROR(IF(AND($HU$2&lt;&gt;"Enter Spend&gt;&gt;&gt;",HV2="EXISTING"),SUMIFS('Existing Customers'!$N:$N,'Existing Customers'!$A:$A,$HU$1,'Existing Customers'!$H:$H,$HT24)*$HU$4,$HU24/$IF24),0)</f>
        <v>0</v>
      </c>
      <c r="HW24" s="95">
        <f>IFERROR(IF(AND($HU$2&lt;&gt;"Enter Spend&gt;&gt;&gt;",HV2="EXISTING"),SUMIFS('Existing Customers'!$O:$O,'Existing Customers'!$H:$H,$HT24,'Existing Customers'!$A:$A,$HU$1)*$HU$4,$HV24*$HU$8),0)</f>
        <v>0</v>
      </c>
      <c r="HX24" s="95">
        <f>IFERROR(IF(AND($HU$2&lt;&gt;"Enter Spend&gt;&gt;&gt;",HV2="EXISTING"),SUMIFS('Existing Customers'!$P:$P,'Existing Customers'!$A:$A,$HU$1,'Existing Customers'!$H:$H,$HT24)*$HU$4,$HU24/$IG24),0)</f>
        <v>0</v>
      </c>
      <c r="HY24" s="402">
        <f>IFERROR(IF(AND($HU$2&lt;&gt;"Enter Spend&gt;&gt;&gt;",HV2="EXISTING"),SUMIFS('Existing Customers'!$V:$V,'Existing Customers'!$H:$H,$HT24,'Existing Customers'!$A:$A,$HU$1)*$HU$4,0),0)</f>
        <v>0</v>
      </c>
      <c r="HZ24" s="96">
        <f>IFERROR(IF(AND($HU$2&lt;&gt;"Enter Spend&gt;&gt;&gt;",HV2="EXISTING"),SUMIFS('Existing Customers'!$R:$R,'Existing Customers'!$H:$H,$HT24,'Existing Customers'!$A:$A,$HU$1)*$HU$4,0),0)</f>
        <v>0</v>
      </c>
      <c r="IA24" s="1161">
        <f>IFERROR(IF(AND($HU$2&lt;&gt;"Enter Spend&gt;&gt;&gt;",HV2="EXISTING"),SUMIFS('Existing Customers'!$S:$S,'Existing Customers'!$H:$H,$HT24,'Existing Customers'!$A:$A,$HU$1),IK24*HU24),0)</f>
        <v>0</v>
      </c>
      <c r="IB24" s="1161">
        <f>IFERROR(IF(AND($HU$2&lt;&gt;"Enter Spend&gt;&gt;&gt;",HV2="EXISTING"),SUMIFS('Existing Customers'!$U:$U,'Existing Customers'!$H:$H,$HT24,'Existing Customers'!$A:$A,$HU$1),IL24*HU24),0)</f>
        <v>0</v>
      </c>
      <c r="IC24" s="1164" t="e">
        <f t="shared" si="40"/>
        <v>#N/A</v>
      </c>
      <c r="ID24" s="1164">
        <f t="array" ref="ID24">IFERROR(INDEX('Margin Guidence Table'!$A$1:$AD$30000,MATCH(1,('Margin Guidence Table'!$A$1:$A$10000=IC24)*('Margin Guidence Table'!$H$1:$H$10000&lt;=ROUND($HU$3,0))*('Margin Guidence Table'!$G$1:$G$10000&gt;=ROUND($HU$3,0)),0),MATCH("DATA_POINTS",'Margin Guidence Table'!$A$1:$AC$1,0)),0)</f>
        <v>0</v>
      </c>
      <c r="IE24" s="1161" t="str">
        <f t="shared" si="41"/>
        <v>DEFAULT</v>
      </c>
      <c r="IF24" s="1161">
        <f t="array" ref="IF24">IFERROR(IF($IE24="SEGMENT",INDEX('Margin Guidence Table'!$A$1:$AC$10000,MATCH(1,('Margin Guidence Table'!$A$1:$A$10000=IC24)*('Margin Guidence Table'!$H$1:$H$10000&lt;=ROUND($HU$3,0))*('Margin Guidence Table'!$G$1:$G$10000&gt;=ROUND($HU$3,0)),0),MATCH("SALES_CASE",'Margin Guidence Table'!$A$1:$AC$1,0)),INDEX('Margin Guidence Table'!$A$1:$AC$10000,MATCH(1,('Margin Guidence Table'!$A$1:$A$10000=IC24)*('Margin Guidence Table'!$H$1:$H$10000&lt;=ROUND($HU$3,0))*('Margin Guidence Table'!$G$1:$G$10000&gt;=ROUND($HU$3,0)),0),MATCH("DEFAULT_SALES_CASE",'Margin Guidence Table'!$A$1:$AC$1,0))),0)</f>
        <v>0</v>
      </c>
      <c r="IG24" s="1161">
        <f t="array" ref="IG24">IFERROR(IF($IE24="SEGMENT",INDEX('Margin Guidence Table'!$A$1:$AC$10000,MATCH(1,('Margin Guidence Table'!$A$1:$A$10000=IC24)*('Margin Guidence Table'!$H$1:$H$10000&lt;=ROUND($HU$3,0))*('Margin Guidence Table'!$G$1:$G$10000&gt;=ROUND($HU$3,0)),0),MATCH("SALES_LBS",'Margin Guidence Table'!$A$1:$AC$1,0)),INDEX('Margin Guidence Table'!$A$1:$AC$10000,MATCH(1,('Margin Guidence Table'!$A$1:$A$10000=IC24)*('Margin Guidence Table'!$H$1:$H$10000&lt;=ROUND($HU$3,0))*('Margin Guidence Table'!$G$1:$G$10000&gt;=ROUND($HU$3,0)),0),MATCH("DEFAULT_SALES_LBS",'Margin Guidence Table'!$A$1:$AC$1,0))),0)</f>
        <v>0</v>
      </c>
      <c r="IH24" s="1165">
        <f t="array" ref="IH24">IFERROR(IF($IE24="SEGMENT",INDEX('Margin Guidence Table'!$A$1:$AC$10000,MATCH(1,('Margin Guidence Table'!$A$1:$A$10000=IC24)*('Margin Guidence Table'!$H$1:$H$10000&lt;=ROUND($HU$3,0))*('Margin Guidence Table'!$G$1:$G$10000&gt;=ROUND($HU$3,0)),0),MATCH("MDA_MIN_MARGIN_GUIDENCE",'Margin Guidence Table'!$A$1:$AC$1,0)),INDEX('Margin Guidence Table'!$A$1:$AC$10000,MATCH(1,('Margin Guidence Table'!$A$1:$A$10000=IC24)*('Margin Guidence Table'!$H$1:$H$10000&lt;=ROUND($HU$3,0))*('Margin Guidence Table'!$G$1:$G$10000&gt;=ROUND($HU$3,0)),0),MATCH("DEFAULT_MDA_MIN_MARGIN_GUIDENCE",'Margin Guidence Table'!$A$1:$AC$1,0))),0)</f>
        <v>0</v>
      </c>
      <c r="II24" s="1165">
        <f t="array" ref="II24">IFERROR(IF($IE24="SEGMENT",INDEX('Margin Guidence Table'!$A$1:$AC$10000,MATCH(1,('Margin Guidence Table'!$A$1:$A$10000=IC24)*('Margin Guidence Table'!$H$1:$H$10000&lt;=ROUND($HU$3,0))*('Margin Guidence Table'!$G$1:$G$10000&gt;=ROUND($HU$3,0)),0),MATCH("MDA_MEDIAN_MARGIN_GUIDENCE",'Margin Guidence Table'!$A$1:$AC$1,0)),INDEX('Margin Guidence Table'!$A$1:$AC$10000,MATCH(1,('Margin Guidence Table'!$A$1:$A$10000=IC24)*('Margin Guidence Table'!$H$1:$H$10000&lt;=ROUND($HU$3,0))*('Margin Guidence Table'!$G$1:$G$10000&gt;=ROUND($HU$3,0)),0),MATCH("DEFAULT_MDA_MEDIAN_MARGIN_GUIDENCE",'Margin Guidence Table'!$A$1:$AC$1,0))),0)</f>
        <v>0</v>
      </c>
      <c r="IJ24" s="1165">
        <f t="array" ref="IJ24">IFERROR(IF($IE24="SEGMENT",INDEX('Margin Guidence Table'!$A$1:$AC$10000,MATCH(1,('Margin Guidence Table'!$A$1:$A$10000=IC24)*('Margin Guidence Table'!$H$1:$H$10000&lt;=ROUND($HU$3,0))*('Margin Guidence Table'!$G$1:$G$10000&gt;=ROUND($HU$3,0)),0),MATCH("MDA_MAX_MARGIN_GUIDENCE",'Margin Guidence Table'!$A$1:$AC$1,0)),INDEX('Margin Guidence Table'!$A$1:$AC$10000,MATCH(1,('Margin Guidence Table'!$A$1:$A$10000=IC24)*('Margin Guidence Table'!$H$1:$H$10000&lt;=ROUND($HU$3,0))*('Margin Guidence Table'!$G$1:$G$10000&gt;=ROUND($HU$3,0)),0),MATCH("DEFAULT_MDA_MAX_MARGIN_GUIDENCE",'Margin Guidence Table'!$A$1:$AC$1,0))),0)</f>
        <v>0</v>
      </c>
      <c r="IK24" s="1165">
        <f t="array" ref="IK24">IFERROR(IF($IE24="SEGMENT",INDEX('Margin Guidence Table'!$A$1:$AC$10000,MATCH(1,('Margin Guidence Table'!$A$1:$A$10000=IC24)*('Margin Guidence Table'!$H$1:$H$10000&lt;=ROUND($HU$3,0))*('Margin Guidence Table'!$G$1:$G$10000&gt;=ROUND($HU$3,0)),0),MATCH("PA_PCT_SALES",'Margin Guidence Table'!$A$1:$AC$1,0)),INDEX('Margin Guidence Table'!$A$1:$AC$10000,MATCH(1,('Margin Guidence Table'!$A$1:$A$10000=IC24)*('Margin Guidence Table'!$H$1:$H$10000&lt;=ROUND($HU$3,0))*('Margin Guidence Table'!$G$1:$G$10000&gt;=ROUND($HU$3,0)),0),MATCH("DEFAULT_PA_PCT_SALES",'Margin Guidence Table'!$A$1:$AC$1,0))),0)</f>
        <v>0</v>
      </c>
      <c r="IL24" s="1165">
        <f t="array" ref="IL24">IFERROR(IF($IE24="SEGMENT",INDEX('Margin Guidence Table'!$A$1:$AC$10000,MATCH(1,('Margin Guidence Table'!$A$1:$A$10000=IC24)*('Margin Guidence Table'!$H$1:$H$10000&lt;=ROUND($HU$3,0))*('Margin Guidence Table'!$G$1:$G$10000&gt;=ROUND($HU$3,0)),0),MATCH("SELF_FUND_PCT_SALES",'Margin Guidence Table'!$A$1:$AC$1,0)),INDEX('Margin Guidence Table'!$A$1:$AC$10000,MATCH(1,('Margin Guidence Table'!$A$1:$A$10000=IC24)*('Margin Guidence Table'!$H$1:$H$10000&lt;=ROUND($HU$3,0))*('Margin Guidence Table'!$G$1:$G$10000&gt;=ROUND($HU$3,0)),0),MATCH("DEFAULT_SELF_FUND_PCT_SALES",'Margin Guidence Table'!$A$1:$AC$1,0))),0)</f>
        <v>0</v>
      </c>
      <c r="IM24" s="1165">
        <f t="array" ref="IM24">IFERROR(IF($IE24="SEGMENT",INDEX('Margin Guidence Table'!$A$1:$AC$10000,MATCH(1,('Margin Guidence Table'!$A$1:$A$10000=IC24)*('Margin Guidence Table'!$H$1:$H$10000&lt;=ROUND($HU$3,0))*('Margin Guidence Table'!$G$1:$G$10000&gt;=ROUND($HU$3,0)),0),MATCH("CIA_MEDIAN_MARGIN_GUIDENCE",'Margin Guidence Table'!$A$1:$AC$1,0)),INDEX('Margin Guidence Table'!$A$1:$AC$10000,MATCH(1,('Margin Guidence Table'!$A$1:$A$10000=IC24)*('Margin Guidence Table'!$H$1:$H$10000&lt;=ROUND($HU$3,0))*('Margin Guidence Table'!$G$1:$G$10000&gt;=ROUND($HU$3,0)),0),MATCH("DEFAULT_CIA_MEDIAN_MARGIN_GUIDENCE",'Margin Guidence Table'!$A$1:$AC$1,0))),0)</f>
        <v>0</v>
      </c>
      <c r="IN24" s="129"/>
      <c r="IO24" s="18">
        <f t="array" ref="IO24">IFERROR(IF($JA24="SEGMENT",INDEX('Margin Guidence Table'!$A$1:$AC$10000,MATCH(1,('Margin Guidence Table'!$A$1:$A$10000=$IY24)*('Margin Guidence Table'!$H$1:$H$10000&lt;=ROUND($IQ$3,0))*('Margin Guidence Table'!$G$1:$G$10000&gt;=ROUND($IQ$3,0)),0),MATCH("PCT_SALES",'Margin Guidence Table'!$A$1:$AC$1,0)),INDEX('Margin Guidence Table'!$A$1:$AC$10000,MATCH(1,('Margin Guidence Table'!$A$1:$A$10000=$IY24)*('Margin Guidence Table'!$H$1:$H$10000&lt;=ROUND($IQ$3,0))*('Margin Guidence Table'!$G$1:$G$10000&gt;=ROUND($IQ$3,0)),0),MATCH("DEFAULT_PCT_SALES",'Margin Guidence Table'!$A$1:$AC$1,0))),0)</f>
        <v>0</v>
      </c>
      <c r="IP24" s="102" t="s">
        <v>97</v>
      </c>
      <c r="IQ24" s="94">
        <f>IFERROR(IF(AND($IQ$2&lt;&gt;"Enter Spend&gt;&gt;&gt;",IR2="EXISTING"),SUMIFS('Existing Customers'!$Q:$Q,'Existing Customers'!$A:$A,$IQ$1,'Existing Customers'!$H:$H,$IP24)*$IQ$4,$IQ$3*$IO24),0)</f>
        <v>0</v>
      </c>
      <c r="IR24" s="89">
        <f>IFERROR(IF(AND($IQ$2&lt;&gt;"Enter Spend&gt;&gt;&gt;",IR2="EXISTING"),SUMIFS('Existing Customers'!$N:$N,'Existing Customers'!$A:$A,$IQ$1,'Existing Customers'!$H:$H,$IP24)*$IQ$4,$IQ24/$JB24),0)</f>
        <v>0</v>
      </c>
      <c r="IS24" s="95">
        <f>IFERROR(IF(AND($IQ$2&lt;&gt;"Enter Spend&gt;&gt;&gt;",IR2="EXISTING"),SUMIFS('Existing Customers'!$O:$O,'Existing Customers'!$H:$H,$IP24,'Existing Customers'!$A:$A,$IQ$1)*$IQ$4,$IR24*$IQ$8),0)</f>
        <v>0</v>
      </c>
      <c r="IT24" s="95">
        <f>IFERROR(IF(AND($IQ$2&lt;&gt;"Enter Spend&gt;&gt;&gt;",IR2="EXISTING"),SUMIFS('Existing Customers'!$P:$P,'Existing Customers'!$A:$A,$IQ$1,'Existing Customers'!$H:$H,$IP24)*$IQ$4,$IQ24/$JC24),0)</f>
        <v>0</v>
      </c>
      <c r="IU24" s="402">
        <f>IFERROR(IF(AND($IQ$2&lt;&gt;"Enter Spend&gt;&gt;&gt;",IR2="EXISTING"),SUMIFS('Existing Customers'!$V:$V,'Existing Customers'!$H:$H,$IP24,'Existing Customers'!$A:$A,$IQ$1)*$IQ$4,0),0)</f>
        <v>0</v>
      </c>
      <c r="IV24" s="96">
        <f>IFERROR(IF(AND($IQ$2&lt;&gt;"Enter Spend&gt;&gt;&gt;",IR2="EXISTING"),SUMIFS('Existing Customers'!$R:$R,'Existing Customers'!$H:$H,$IP24,'Existing Customers'!$A:$A,$IQ$1)*$IQ$4,0),0)</f>
        <v>0</v>
      </c>
      <c r="IW24" s="1161">
        <f>IFERROR(IF(AND($IQ$2&lt;&gt;"Enter Spend&gt;&gt;&gt;",IR2="EXISTING"),SUMIFS('Existing Customers'!$S:$S,'Existing Customers'!$H:$H,$IP24,'Existing Customers'!$A:$A,$IQ$1),JG24*IQ24),0)</f>
        <v>0</v>
      </c>
      <c r="IX24" s="1161">
        <f>IFERROR(IF(AND($IQ$2&lt;&gt;"Enter Spend&gt;&gt;&gt;",IR2="EXISTING"),SUMIFS('Existing Customers'!$U:$U,'Existing Customers'!$H:$H,$IP24,'Existing Customers'!$A:$A,$IQ$1),JH24*IQ24),0)</f>
        <v>0</v>
      </c>
      <c r="IY24" s="1164" t="e">
        <f t="shared" si="42"/>
        <v>#N/A</v>
      </c>
      <c r="IZ24" s="1164">
        <f t="array" ref="IZ24">IFERROR(INDEX('Margin Guidence Table'!$A$1:$AD$30000,MATCH(1,('Margin Guidence Table'!$A$1:$A$10000=IY24)*('Margin Guidence Table'!$H$1:$H$10000&lt;=ROUND($IQ$3,0))*('Margin Guidence Table'!$G$1:$G$10000&gt;=ROUND($IQ$3,0)),0),MATCH("DATA_POINTS",'Margin Guidence Table'!$A$1:$AC$1,0)),0)</f>
        <v>0</v>
      </c>
      <c r="JA24" s="1161" t="str">
        <f t="shared" si="43"/>
        <v>DEFAULT</v>
      </c>
      <c r="JB24" s="1161">
        <f t="array" ref="JB24">IFERROR(IF($JA24="SEGMENT",INDEX('Margin Guidence Table'!$A$1:$AC$10000,MATCH(1,('Margin Guidence Table'!$A$1:$A$10000=IY24)*('Margin Guidence Table'!$H$1:$H$10000&lt;=ROUND($IQ$3,0))*('Margin Guidence Table'!$G$1:$G$10000&gt;=ROUND($IQ$3,0)),0),MATCH("SALES_CASE",'Margin Guidence Table'!$A$1:$AC$1,0)),INDEX('Margin Guidence Table'!$A$1:$AC$10000,MATCH(1,('Margin Guidence Table'!$A$1:$A$10000=IY24)*('Margin Guidence Table'!$H$1:$H$10000&lt;=ROUND($IQ$3,0))*('Margin Guidence Table'!$G$1:$G$10000&gt;=ROUND($IQ$3,0)),0),MATCH("DEFAULT_SALES_CASE",'Margin Guidence Table'!$A$1:$AC$1,0))),0)</f>
        <v>0</v>
      </c>
      <c r="JC24" s="1161">
        <f t="array" ref="JC24">IFERROR(IF($JA24="SEGMENT",INDEX('Margin Guidence Table'!$A$1:$AC$10000,MATCH(1,('Margin Guidence Table'!$A$1:$A$10000=IY24)*('Margin Guidence Table'!$H$1:$H$10000&lt;=ROUND($IQ$3,0))*('Margin Guidence Table'!$G$1:$G$10000&gt;=ROUND($IQ$3,0)),0),MATCH("SALES_LBS",'Margin Guidence Table'!$A$1:$AC$1,0)),INDEX('Margin Guidence Table'!$A$1:$AC$10000,MATCH(1,('Margin Guidence Table'!$A$1:$A$10000=IY24)*('Margin Guidence Table'!$H$1:$H$10000&lt;=ROUND($IQ$3,0))*('Margin Guidence Table'!$G$1:$G$10000&gt;=ROUND($IQ$3,0)),0),MATCH("DEFAULT_SALES_LBS",'Margin Guidence Table'!$A$1:$AC$1,0))),0)</f>
        <v>0</v>
      </c>
      <c r="JD24" s="1165">
        <f t="array" ref="JD24">IFERROR(IF($JA24="SEGMENT",INDEX('Margin Guidence Table'!$A$1:$AC$10000,MATCH(1,('Margin Guidence Table'!$A$1:$A$10000=IY24)*('Margin Guidence Table'!$H$1:$H$10000&lt;=ROUND($IQ$3,0))*('Margin Guidence Table'!$G$1:$G$10000&gt;=ROUND($IQ$3,0)),0),MATCH("MDA_MIN_MARGIN_GUIDENCE",'Margin Guidence Table'!$A$1:$AC$1,0)),INDEX('Margin Guidence Table'!$A$1:$AC$10000,MATCH(1,('Margin Guidence Table'!$A$1:$A$10000=IY24)*('Margin Guidence Table'!$H$1:$H$10000&lt;=ROUND($IQ$3,0))*('Margin Guidence Table'!$G$1:$G$10000&gt;=ROUND($IQ$3,0)),0),MATCH("DEFAULT_MDA_MIN_MARGIN_GUIDENCE",'Margin Guidence Table'!$A$1:$AC$1,0))),0)</f>
        <v>0</v>
      </c>
      <c r="JE24" s="1165">
        <f t="array" ref="JE24">IFERROR(IF($JA24="SEGMENT",INDEX('Margin Guidence Table'!$A$1:$AC$10000,MATCH(1,('Margin Guidence Table'!$A$1:$A$10000=IY24)*('Margin Guidence Table'!$H$1:$H$10000&lt;=ROUND($IQ$3,0))*('Margin Guidence Table'!$G$1:$G$10000&gt;=ROUND($IQ$3,0)),0),MATCH("MDA_MEDIAN_MARGIN_GUIDENCE",'Margin Guidence Table'!$A$1:$AC$1,0)),INDEX('Margin Guidence Table'!$A$1:$AC$10000,MATCH(1,('Margin Guidence Table'!$A$1:$A$10000=IY24)*('Margin Guidence Table'!$H$1:$H$10000&lt;=ROUND($IQ$3,0))*('Margin Guidence Table'!$G$1:$G$10000&gt;=ROUND($IQ$3,0)),0),MATCH("DEFAULT_MDA_MEDIAN_MARGIN_GUIDENCE",'Margin Guidence Table'!$A$1:$AC$1,0))),0)</f>
        <v>0</v>
      </c>
      <c r="JF24" s="1165">
        <f t="array" ref="JF24">IFERROR(IF($JA24="SEGMENT",INDEX('Margin Guidence Table'!$A$1:$AC$10000,MATCH(1,('Margin Guidence Table'!$A$1:$A$10000=IY24)*('Margin Guidence Table'!$H$1:$H$10000&lt;=ROUND($IQ$3,0))*('Margin Guidence Table'!$G$1:$G$10000&gt;=ROUND($IQ$3,0)),0),MATCH("MDA_MAX_MARGIN_GUIDENCE",'Margin Guidence Table'!$A$1:$AC$1,0)),INDEX('Margin Guidence Table'!$A$1:$AC$10000,MATCH(1,('Margin Guidence Table'!$A$1:$A$10000=IY24)*('Margin Guidence Table'!$H$1:$H$10000&lt;=ROUND($IQ$3,0))*('Margin Guidence Table'!$G$1:$G$10000&gt;=ROUND($IQ$3,0)),0),MATCH("DEFAULT_MDA_MAX_MARGIN_GUIDENCE",'Margin Guidence Table'!$A$1:$AC$1,0))),0)</f>
        <v>0</v>
      </c>
      <c r="JG24" s="1165">
        <f t="array" ref="JG24">IFERROR(IF($JA24="SEGMENT",INDEX('Margin Guidence Table'!$A$1:$AC$10000,MATCH(1,('Margin Guidence Table'!$A$1:$A$10000=IY24)*('Margin Guidence Table'!$H$1:$H$10000&lt;=ROUND($IQ$3,0))*('Margin Guidence Table'!$G$1:$G$10000&gt;=ROUND($IQ$3,0)),0),MATCH("PA_PCT_SALES",'Margin Guidence Table'!$A$1:$AC$1,0)),INDEX('Margin Guidence Table'!$A$1:$AC$10000,MATCH(1,('Margin Guidence Table'!$A$1:$A$10000=IY24)*('Margin Guidence Table'!$H$1:$H$10000&lt;=ROUND($IQ$3,0))*('Margin Guidence Table'!$G$1:$G$10000&gt;=ROUND($IQ$3,0)),0),MATCH("DEFAULT_PA_PCT_SALES",'Margin Guidence Table'!$A$1:$AC$1,0))),0)</f>
        <v>0</v>
      </c>
      <c r="JH24" s="1165">
        <f t="array" ref="JH24">IFERROR(IF($JA24="SEGMENT",INDEX('Margin Guidence Table'!$A$1:$AC$10000,MATCH(1,('Margin Guidence Table'!$A$1:$A$10000=IY24)*('Margin Guidence Table'!$H$1:$H$10000&lt;=ROUND($IQ$3,0))*('Margin Guidence Table'!$G$1:$G$10000&gt;=ROUND($IQ$3,0)),0),MATCH("SELF_FUND_PCT_SALES",'Margin Guidence Table'!$A$1:$AC$1,0)),INDEX('Margin Guidence Table'!$A$1:$AC$10000,MATCH(1,('Margin Guidence Table'!$A$1:$A$10000=IY24)*('Margin Guidence Table'!$H$1:$H$10000&lt;=ROUND($IQ$3,0))*('Margin Guidence Table'!$G$1:$G$10000&gt;=ROUND($IQ$3,0)),0),MATCH("DEFAULT_SELF_FUND_PCT_SALES",'Margin Guidence Table'!$A$1:$AC$1,0))),0)</f>
        <v>0</v>
      </c>
      <c r="JI24" s="1165">
        <f t="array" ref="JI24">IFERROR(IF($JA24="SEGMENT",INDEX('Margin Guidence Table'!$A$1:$AC$10000,MATCH(1,('Margin Guidence Table'!$A$1:$A$10000=IY24)*('Margin Guidence Table'!$H$1:$H$10000&lt;=ROUND($IQ$3,0))*('Margin Guidence Table'!$G$1:$G$10000&gt;=ROUND($IQ$3,0)),0),MATCH("CIA_MEDIAN_MARGIN_GUIDENCE",'Margin Guidence Table'!$A$1:$AC$1,0)),INDEX('Margin Guidence Table'!$A$1:$AC$10000,MATCH(1,('Margin Guidence Table'!$A$1:$A$10000=IY24)*('Margin Guidence Table'!$H$1:$H$10000&lt;=ROUND($IQ$3,0))*('Margin Guidence Table'!$G$1:$G$10000&gt;=ROUND($IQ$3,0)),0),MATCH("DEFAULT_CIA_MEDIAN_MARGIN_GUIDENCE",'Margin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44"/>
        <v>#DIV/0!</v>
      </c>
      <c r="AV25" s="400"/>
      <c r="AW25" s="400"/>
      <c r="AX25" s="108">
        <v>14</v>
      </c>
      <c r="AY25" s="18">
        <f t="array" ref="AY25">IFERROR(IF($BK25="SEGMENT",INDEX('Margin Guidence Table'!$A$1:$AC$10000,MATCH(1,('Margin Guidence Table'!$A$1:$A$10000=$BI25)*('Margin Guidence Table'!$H$1:$H$10000&lt;=ROUND($BA$3,0))*('Margin Guidence Table'!$G$1:$G$10000&gt;=ROUND($BA$3,0)),0),MATCH("PCT_SALES",'Margin Guidence Table'!$A$1:$AC$1,0)),INDEX('Margin Guidence Table'!$A$1:$AC$10000,MATCH(1,('Margin Guidence Table'!$A$1:$A$10000=$BI25)*('Margin Guidence Table'!$H$1:$H$10000&lt;=ROUND($BA$3,0))*('Margin Guidence Table'!$G$1:$G$10000&gt;=ROUND($BA$3,0)),0),MATCH("DEFAULT_PCT_SALES",'Margin Guidence Table'!$A$1:$AC$1,0))),0)</f>
        <v>0</v>
      </c>
      <c r="AZ25" s="102" t="s">
        <v>93</v>
      </c>
      <c r="BA25" s="94">
        <f>IFERROR(IF(AND($BA$2&lt;&gt;"Enter Spend&gt;&gt;&gt;",BB2="EXISTING"),SUMIFS('Existing Customers'!$Q:$Q,'Existing Customers'!$A:$A,$BA$1,'Existing Customers'!$H:$H,$AZ25)*$BA$4,$BA$3*$AY25),0)</f>
        <v>0</v>
      </c>
      <c r="BB25" s="95">
        <f>IFERROR(IF(AND($BA$2&lt;&gt;"Enter Spend&gt;&gt;&gt;",BB2="EXISTING"),SUMIFS('Existing Customers'!$N:$N,'Existing Customers'!$A:$A,$BA$1,'Existing Customers'!$H:$H,$AZ25)*$BA$4,$BA25/$BL25),0)</f>
        <v>0</v>
      </c>
      <c r="BC25" s="95">
        <f>IFERROR(IF(AND($BA$2&lt;&gt;"Enter Spend&gt;&gt;&gt;",BB2="EXISTING"),SUMIFS('Existing Customers'!$O:$O,'Existing Customers'!$H:$H,$AZ25,'Existing Customers'!$A:$A,$BA$1)*$BA$4,$BB25*$BA$8),0)</f>
        <v>0</v>
      </c>
      <c r="BD25" s="95">
        <f>IFERROR(IF(AND($BA$2&lt;&gt;"Enter Spend&gt;&gt;&gt;",BB2="EXISTING"),SUMIFS('Existing Customers'!$P:$P,'Existing Customers'!$A:$A,$BA$1,'Existing Customers'!$H:$H,$AZ25)*$BA$4,$BA25/$BM25),0)</f>
        <v>0</v>
      </c>
      <c r="BE25" s="402">
        <f>IFERROR(IF(AND($BA$2&lt;&gt;"Enter Spend&gt;&gt;&gt;",BB2="EXISTING"),SUMIFS('Existing Customers'!$V:$V,'Existing Customers'!$H:$H,$AZ25,'Existing Customers'!$A:$A,$BA$1)*$BA$4,0),0)</f>
        <v>0</v>
      </c>
      <c r="BF25" s="96">
        <f>IFERROR(IF(AND($BA$2&lt;&gt;"Enter Spend&gt;&gt;&gt;",BB2="EXISTING"),SUMIFS('Existing Customers'!$R:$R,'Existing Customers'!$H:$H,$AZ25,'Existing Customers'!$A:$A,$BA$1)*$BA$4,0),0)</f>
        <v>0</v>
      </c>
      <c r="BG25" s="96">
        <f>IFERROR(IF(AND($BA$2&lt;&gt;"Enter Spend&gt;&gt;&gt;",BB2="EXISTING"),SUMIFS('Existing Customers'!$S:$S,'Existing Customers'!$H:$H,$AZ25,'Existing Customers'!$A:$A,$BA$1),BQ25*BA25),0)</f>
        <v>0</v>
      </c>
      <c r="BH25" s="96">
        <f>IFERROR(IF(AND($BA$2&lt;&gt;"Enter Spend&gt;&gt;&gt;",BB2="EXISTING"),SUMIFS('Existing Customers'!$U:$U,'Existing Customers'!$H:$H,$AZ25,'Existing Customers'!$A:$A,$BA$1),BR25*BA25),0)</f>
        <v>0</v>
      </c>
      <c r="BI25" s="1163" t="e">
        <f t="shared" si="24"/>
        <v>#N/A</v>
      </c>
      <c r="BJ25" s="1164">
        <f t="array" ref="BJ25">IFERROR(INDEX('Margin Guidence Table'!$A$1:$AD$30000,MATCH(1,('Margin Guidence Table'!$A$1:$A$10000=$BI25)*('Margin Guidence Table'!$H$1:$H$10000&lt;=ROUND($BA$3,0))*('Margin Guidence Table'!$G$1:$G$10000&gt;=ROUND($BA$3,0)),0),MATCH("DATA_POINTS",'Margin Guidence Table'!$A$1:$AC$1,0)),0)</f>
        <v>0</v>
      </c>
      <c r="BK25" s="1161" t="str">
        <f t="shared" si="25"/>
        <v>DEFAULT</v>
      </c>
      <c r="BL25" s="1161">
        <f t="array" ref="BL25">IFERROR(IF($BK25="SEGMENT",INDEX('Margin Guidence Table'!$A$1:$AC$10000,MATCH(1,('Margin Guidence Table'!$A$1:$A$10000=$BI25)*('Margin Guidence Table'!$H$1:$H$10000&lt;=ROUND($BA$3,0))*('Margin Guidence Table'!$G$1:$G$10000&gt;=ROUND($BA$3,0)),0),MATCH("SALES_CASE",'Margin Guidence Table'!$A$1:$AC$1,0)),INDEX('Margin Guidence Table'!$A$1:$AC$10000,MATCH(1,('Margin Guidence Table'!$A$1:$A$10000=$BI25)*('Margin Guidence Table'!$H$1:$H$10000&lt;=ROUND($BA$3,0))*('Margin Guidence Table'!$G$1:$G$10000&gt;=ROUND($BA$3,0)),0),MATCH("DEFAULT_SALES_CASE",'Margin Guidence Table'!$A$1:$AC$1,0))),0)</f>
        <v>0</v>
      </c>
      <c r="BM25" s="1161">
        <f t="array" ref="BM25">IFERROR(IF($BK25="SEGMENT",INDEX('Margin Guidence Table'!$A$1:$AC$10000,MATCH(1,('Margin Guidence Table'!$A$1:$A$10000=$BI25)*('Margin Guidence Table'!$H$1:$H$10000&lt;=ROUND($BA$3,0))*('Margin Guidence Table'!$G$1:$G$10000&gt;=ROUND($BA$3,0)),0),MATCH("SALES_LBS",'Margin Guidence Table'!$A$1:$AC$1,0)),INDEX('Margin Guidence Table'!$A$1:$AC$10000,MATCH(1,('Margin Guidence Table'!$A$1:$A$10000=$BI25)*('Margin Guidence Table'!$H$1:$H$10000&lt;=ROUND($BA$3,0))*('Margin Guidence Table'!$G$1:$G$10000&gt;=ROUND($BA$3,0)),0),MATCH("DEFAULT_SALES_LBS",'Margin Guidence Table'!$A$1:$AC$1,0))),0)</f>
        <v>0</v>
      </c>
      <c r="BN25" s="1165">
        <f t="array" ref="BN25">IFERROR(IF($BK25="SEGMENT",INDEX('Margin Guidence Table'!$A$1:$AC$10000,MATCH(1,('Margin Guidence Table'!$A$1:$A$10000=$BI25)*('Margin Guidence Table'!$H$1:$H$10000&lt;=ROUND($BA$3,0))*('Margin Guidence Table'!$G$1:$G$10000&gt;=ROUND($BA$3,0)),0),MATCH("MDA_MIN_MARGIN_GUIDENCE",'Margin Guidence Table'!$A$1:$AC$1,0)),INDEX('Margin Guidence Table'!$A$1:$AC$10000,MATCH(1,('Margin Guidence Table'!$A$1:$A$10000=$BI25)*('Margin Guidence Table'!$H$1:$H$10000&lt;=ROUND($BA$3,0))*('Margin Guidence Table'!$G$1:$G$10000&gt;=ROUND($BA$3,0)),0),MATCH("DEFAULT_MDA_MIN_MARGIN_GUIDENCE",'Margin Guidence Table'!$A$1:$AC$1,0))),0)</f>
        <v>0</v>
      </c>
      <c r="BO25" s="1165">
        <f t="array" ref="BO25">IFERROR(IF($BK25="SEGMENT",INDEX('Margin Guidence Table'!$A$1:$AC$10000,MATCH(1,('Margin Guidence Table'!$A$1:$A$10000=$BI25)*('Margin Guidence Table'!$H$1:$H$10000&lt;=ROUND($BA$3,0))*('Margin Guidence Table'!$G$1:$G$10000&gt;=ROUND($BA$3,0)),0),MATCH("MDA_MEDIAN_MARGIN_GUIDENCE",'Margin Guidence Table'!$A$1:$AC$1,0)),INDEX('Margin Guidence Table'!$A$1:$AC$10000,MATCH(1,('Margin Guidence Table'!$A$1:$A$10000=$BI25)*('Margin Guidence Table'!$H$1:$H$10000&lt;=ROUND($BA$3,0))*('Margin Guidence Table'!$G$1:$G$10000&gt;=ROUND($BA$3,0)),0),MATCH("DEFAULT_MDA_MEDIAN_MARGIN_GUIDENCE",'Margin Guidence Table'!$A$1:$AC$1,0))),0)</f>
        <v>0</v>
      </c>
      <c r="BP25" s="1165">
        <f t="array" ref="BP25">IFERROR(IF($BK25="SEGMENT",INDEX('Margin Guidence Table'!$A$1:$AC$10000,MATCH(1,('Margin Guidence Table'!$A$1:$A$10000=$BI25)*('Margin Guidence Table'!$H$1:$H$10000&lt;=ROUND($BA$3,0))*('Margin Guidence Table'!$G$1:$G$10000&gt;=ROUND($BA$3,0)),0),MATCH("MDA_MAX_MARGIN_GUIDENCE",'Margin Guidence Table'!$A$1:$AC$1,0)),INDEX('Margin Guidence Table'!$A$1:$AC$10000,MATCH(1,('Margin Guidence Table'!$A$1:$A$10000=$BI25)*('Margin Guidence Table'!$H$1:$H$10000&lt;=ROUND($BA$3,0))*('Margin Guidence Table'!$G$1:$G$10000&gt;=ROUND($BA$3,0)),0),MATCH("DEFAULT_MDA_MAX_MARGIN_GUIDENCE",'Margin Guidence Table'!$A$1:$AC$1,0))),0)</f>
        <v>0</v>
      </c>
      <c r="BQ25" s="1165">
        <f t="array" ref="BQ25">IFERROR(IF($BK25="SEGMENT",INDEX('Margin Guidence Table'!$A$1:$AC$10000,MATCH(1,('Margin Guidence Table'!$A$1:$A$10000=$BI25)*('Margin Guidence Table'!$H$1:$H$10000&lt;=ROUND($BA$3,0))*('Margin Guidence Table'!$G$1:$G$10000&gt;=ROUND($BA$3,0)),0),MATCH("PA_PCT_SALES",'Margin Guidence Table'!$A$1:$AC$1,0)),INDEX('Margin Guidence Table'!$A$1:$AC$10000,MATCH(1,('Margin Guidence Table'!$A$1:$A$10000=$BI25)*('Margin Guidence Table'!$H$1:$H$10000&lt;=ROUND($BA$3,0))*('Margin Guidence Table'!$G$1:$G$10000&gt;=ROUND($BA$3,0)),0),MATCH("DEFAULT_PA_PCT_SALES",'Margin Guidence Table'!$A$1:$AC$1,0))),0)</f>
        <v>0</v>
      </c>
      <c r="BR25" s="1165">
        <f t="array" ref="BR25">IFERROR(IF($BK25="SEGMENT",INDEX('Margin Guidence Table'!$A$1:$AC$10000,MATCH(1,('Margin Guidence Table'!$A$1:$A$10000=$BI25)*('Margin Guidence Table'!$H$1:$H$10000&lt;=ROUND($BA$3,0))*('Margin Guidence Table'!$G$1:$G$10000&gt;=ROUND($BA$3,0)),0),MATCH("SELF_FUND_PCT_SALES",'Margin Guidence Table'!$A$1:$AC$1,0)),INDEX('Margin Guidence Table'!$A$1:$AC$10000,MATCH(1,('Margin Guidence Table'!$A$1:$A$10000=$BI25)*('Margin Guidence Table'!$H$1:$H$10000&lt;=ROUND($BA$3,0))*('Margin Guidence Table'!$G$1:$G$10000&gt;=ROUND($BA$3,0)),0),MATCH("DEFAULT_SELF_FUND_PCT_SALES",'Margin Guidence Table'!$A$1:$AC$1,0))),0)</f>
        <v>0</v>
      </c>
      <c r="BS25" s="1165">
        <f t="array" ref="BS25">IFERROR(IF($BK25="SEGMENT",INDEX('Margin Guidence Table'!$A$1:$AC$10000,MATCH(1,('Margin Guidence Table'!$A$1:$A$10000=$BI25)*('Margin Guidence Table'!$H$1:$H$10000&lt;=ROUND($BA$3,0))*('Margin Guidence Table'!$G$1:$G$10000&gt;=ROUND($BA$3,0)),0),MATCH("CIA_MEDIAN_MARGIN_GUIDENCE",'Margin Guidence Table'!$A$1:$AC$1,0)),INDEX('Margin Guidence Table'!$A$1:$AC$10000,MATCH(1,('Margin Guidence Table'!$A$1:$A$10000=$BI25)*('Margin Guidence Table'!$H$1:$H$10000&lt;=ROUND($BA$3,0))*('Margin Guidence Table'!$G$1:$G$10000&gt;=ROUND($BA$3,0)),0),MATCH("DEFAULT_CIA_MEDIAN_MARGIN_GUIDENCE",'Margin Guidence Table'!$A$1:$AC$1,0))),0)</f>
        <v>0</v>
      </c>
      <c r="BT25" s="129"/>
      <c r="BU25" s="18">
        <f t="array" ref="BU25">IFERROR(IF($CG25="SEGMENT",INDEX('Margin Guidence Table'!$A$1:$AC$10000,MATCH(1,('Margin Guidence Table'!$A$1:$A$10000=$CE25)*('Margin Guidence Table'!$H$1:$H$10000&lt;=ROUND($BW$3,0))*('Margin Guidence Table'!$G$1:$G$10000&gt;=ROUND($BW$3,0)),0),MATCH("PCT_SALES",'Margin Guidence Table'!$A$1:$AC$1,0)),INDEX('Margin Guidence Table'!$A$1:$AC$10000,MATCH(1,('Margin Guidence Table'!$A$1:$A$10000=$CE25)*('Margin Guidence Table'!$H$1:$H$10000&lt;=ROUND($BW$3,0))*('Margin Guidence Table'!$G$1:$G$10000&gt;=ROUND($BW$3,0)),0),MATCH("DEFAULT_PCT_SALES",'Margin Guidence Table'!$A$1:$AC$1,0))),0)</f>
        <v>0</v>
      </c>
      <c r="BV25" s="102" t="s">
        <v>93</v>
      </c>
      <c r="BW25" s="94">
        <f>IFERROR(IF(AND($BW$2&lt;&gt;"Enter Spend&gt;&gt;&gt;",BX2="EXISTING"),SUMIFS('Existing Customers'!$Q:$Q,'Existing Customers'!$A:$A,$BW$1,'Existing Customers'!$H:$H,$BV25)*$BW$4,$BW$3*$BU25),0)</f>
        <v>0</v>
      </c>
      <c r="BX25" s="89">
        <f>IFERROR(IF(AND($BW$2&lt;&gt;"Enter Spend&gt;&gt;&gt;",BX2="EXISTING"),SUMIFS('Existing Customers'!$N:$N,'Existing Customers'!$A:$A,$BW$1,'Existing Customers'!$H:$H,$BV25)*$BW$4,$BW25/$CH25),0)</f>
        <v>0</v>
      </c>
      <c r="BY25" s="95">
        <f>IFERROR(IF(AND($BW$2&lt;&gt;"Enter Spend&gt;&gt;&gt;",BX2="EXISTING"),SUMIFS('Existing Customers'!$O:$O,'Existing Customers'!$H:$H,$BV25,'Existing Customers'!$A:$A,$BW$1)*$BW$4,$BX25*$BW$8),0)</f>
        <v>0</v>
      </c>
      <c r="BZ25" s="95">
        <f>IFERROR(IF(AND($BW$2&lt;&gt;"Enter Spend&gt;&gt;&gt;",BX2="EXISTING"),SUMIFS('Existing Customers'!$P:$P,'Existing Customers'!$A:$A,$BW$1,'Existing Customers'!$H:$H,$BV25)*$BW$4,$BW25/$CI25),0)</f>
        <v>0</v>
      </c>
      <c r="CA25" s="96">
        <f>IFERROR(IF(AND($BW$2&lt;&gt;"Enter Spend&gt;&gt;&gt;",BX2="EXISTING"),SUMIFS('Existing Customers'!$V:$V,'Existing Customers'!$H:$H,$BV25,'Existing Customers'!$A:$A,$BW$1)*$BW$4,0),0)</f>
        <v>0</v>
      </c>
      <c r="CB25" s="96">
        <f>IFERROR(IF(AND($BW$2&lt;&gt;"Enter Spend&gt;&gt;&gt;",BX2="EXISTING"),SUMIFS('Existing Customers'!$R:$R,'Existing Customers'!$H:$H,$BV25,'Existing Customers'!$A:$A,$BW$1)*$BW$4,0),0)</f>
        <v>0</v>
      </c>
      <c r="CC25" s="1161">
        <f>IFERROR(IF(AND($BW$2&lt;&gt;"Enter Spend&gt;&gt;&gt;",BX2="EXISTING"),SUMIFS('Existing Customers'!$S:$S,'Existing Customers'!$H:$H,$BV25,'Existing Customers'!$A:$A,$BW$1),CM25*BW25),0)</f>
        <v>0</v>
      </c>
      <c r="CD25" s="1161">
        <f>IFERROR(IF(AND($BW$2&lt;&gt;"Enter Spend&gt;&gt;&gt;",BX2="EXISTING"),SUMIFS('Existing Customers'!$U:$U,'Existing Customers'!$H:$H,$BV25,'Existing Customers'!$A:$A,$BW$1),CN25*BW25),0)</f>
        <v>0</v>
      </c>
      <c r="CE25" s="1164" t="e">
        <f t="shared" si="26"/>
        <v>#N/A</v>
      </c>
      <c r="CF25" s="1164">
        <f t="array" ref="CF25">IFERROR(INDEX('Margin Guidence Table'!$A$1:$AD$30000,MATCH(1,('Margin Guidence Table'!$A$1:$A$10000=$CE25)*('Margin Guidence Table'!$H$1:$H$10000&lt;=ROUND($BW$3,0))*('Margin Guidence Table'!$G$1:$G$10000&gt;=ROUND($BW$3,0)),0),MATCH("DATA_POINTS",'Margin Guidence Table'!$A$1:$AC$1,0)),0)</f>
        <v>0</v>
      </c>
      <c r="CG25" s="1161" t="str">
        <f t="shared" si="27"/>
        <v>DEFAULT</v>
      </c>
      <c r="CH25" s="1161">
        <f t="array" ref="CH25">IFERROR(IF($CG25="SEGMENT",INDEX('Margin Guidence Table'!$A$1:$AC$10000,MATCH(1,('Margin Guidence Table'!$A$1:$A$10000=$CE25)*('Margin Guidence Table'!$H$1:$H$10000&lt;=ROUND($BW$3,0))*('Margin Guidence Table'!$G$1:$G$10000&gt;=ROUND($BW$3,0)),0),MATCH("SALES_CASE",'Margin Guidence Table'!$A$1:$AC$1,0)),INDEX('Margin Guidence Table'!$A$1:$AC$10000,MATCH(1,('Margin Guidence Table'!$A$1:$A$10000=$CE25)*('Margin Guidence Table'!$H$1:$H$10000&lt;=ROUND($BW$3,0))*('Margin Guidence Table'!$G$1:$G$10000&gt;=ROUND($BW$3,0)),0),MATCH("DEFAULT_SALES_CASE",'Margin Guidence Table'!$A$1:$AC$1,0))),0)</f>
        <v>0</v>
      </c>
      <c r="CI25" s="1161">
        <f t="array" ref="CI25">IFERROR(IF($CG25="SEGMENT",INDEX('Margin Guidence Table'!$A$1:$AC$10000,MATCH(1,('Margin Guidence Table'!$A$1:$A$10000=$CE25)*('Margin Guidence Table'!$H$1:$H$10000&lt;=ROUND($BW$3,0))*('Margin Guidence Table'!$G$1:$G$10000&gt;=ROUND($BW$3,0)),0),MATCH("SALES_LBS",'Margin Guidence Table'!$A$1:$AC$1,0)),INDEX('Margin Guidence Table'!$A$1:$AC$10000,MATCH(1,('Margin Guidence Table'!$A$1:$A$10000=$CE25)*('Margin Guidence Table'!$H$1:$H$10000&lt;=ROUND($BW$3,0))*('Margin Guidence Table'!$G$1:$G$10000&gt;=ROUND($BW$3,0)),0),MATCH("DEFAULT_SALES_LBS",'Margin Guidence Table'!$A$1:$AC$1,0))),0)</f>
        <v>0</v>
      </c>
      <c r="CJ25" s="1165">
        <f t="array" ref="CJ25">IFERROR(IF($CG25="SEGMENT",INDEX('Margin Guidence Table'!$A$1:$AC$10000,MATCH(1,('Margin Guidence Table'!$A$1:$A$10000=$CE25)*('Margin Guidence Table'!$H$1:$H$10000&lt;=ROUND($BW$3,0))*('Margin Guidence Table'!$G$1:$G$10000&gt;=ROUND($BW$3,0)),0),MATCH("MDA_MIN_MARGIN_GUIDENCE",'Margin Guidence Table'!$A$1:$AC$1,0)),INDEX('Margin Guidence Table'!$A$1:$AC$10000,MATCH(1,('Margin Guidence Table'!$A$1:$A$10000=$CE25)*('Margin Guidence Table'!$H$1:$H$10000&lt;=ROUND($BW$3,0))*('Margin Guidence Table'!$G$1:$G$10000&gt;=ROUND($BW$3,0)),0),MATCH("DEFAULT_MDA_MIN_MARGIN_GUIDENCE",'Margin Guidence Table'!$A$1:$AC$1,0))),0)</f>
        <v>0</v>
      </c>
      <c r="CK25" s="1165">
        <f t="array" ref="CK25">IFERROR(IF($CG25="SEGMENT",INDEX('Margin Guidence Table'!$A$1:$AC$10000,MATCH(1,('Margin Guidence Table'!$A$1:$A$10000=$CE25)*('Margin Guidence Table'!$H$1:$H$10000&lt;=ROUND($BW$3,0))*('Margin Guidence Table'!$G$1:$G$10000&gt;=ROUND($BW$3,0)),0),MATCH("MDA_MEDIAN_MARGIN_GUIDENCE",'Margin Guidence Table'!$A$1:$AC$1,0)),INDEX('Margin Guidence Table'!$A$1:$AC$10000,MATCH(1,('Margin Guidence Table'!$A$1:$A$10000=$CE25)*('Margin Guidence Table'!$H$1:$H$10000&lt;=ROUND($BW$3,0))*('Margin Guidence Table'!$G$1:$G$10000&gt;=ROUND($BW$3,0)),0),MATCH("DEFAULT_MDA_MEDIAN_MARGIN_GUIDENCE",'Margin Guidence Table'!$A$1:$AC$1,0))),0)</f>
        <v>0</v>
      </c>
      <c r="CL25" s="1165">
        <f t="array" ref="CL25">IFERROR(IF($CG25="SEGMENT",INDEX('Margin Guidence Table'!$A$1:$AC$10000,MATCH(1,('Margin Guidence Table'!$A$1:$A$10000=$CE25)*('Margin Guidence Table'!$H$1:$H$10000&lt;=ROUND($BW$3,0))*('Margin Guidence Table'!$G$1:$G$10000&gt;=ROUND($BW$3,0)),0),MATCH("MDA_MAX_MARGIN_GUIDENCE",'Margin Guidence Table'!$A$1:$AC$1,0)),INDEX('Margin Guidence Table'!$A$1:$AC$10000,MATCH(1,('Margin Guidence Table'!$A$1:$A$10000=$CE25)*('Margin Guidence Table'!$H$1:$H$10000&lt;=ROUND($BW$3,0))*('Margin Guidence Table'!$G$1:$G$10000&gt;=ROUND($BW$3,0)),0),MATCH("DEFAULT_MDA_MAX_MARGIN_GUIDENCE",'Margin Guidence Table'!$A$1:$AC$1,0))),0)</f>
        <v>0</v>
      </c>
      <c r="CM25" s="1165">
        <f t="array" ref="CM25">IFERROR(IF($CG25="SEGMENT",INDEX('Margin Guidence Table'!$A$1:$AC$10000,MATCH(1,('Margin Guidence Table'!$A$1:$A$10000=$CE25)*('Margin Guidence Table'!$H$1:$H$10000&lt;=ROUND($BW$3,0))*('Margin Guidence Table'!$G$1:$G$10000&gt;=ROUND($BW$3,0)),0),MATCH("PA_PCT_SALES",'Margin Guidence Table'!$A$1:$AC$1,0)),INDEX('Margin Guidence Table'!$A$1:$AC$10000,MATCH(1,('Margin Guidence Table'!$A$1:$A$10000=$CE25)*('Margin Guidence Table'!$H$1:$H$10000&lt;=ROUND($BW$3,0))*('Margin Guidence Table'!$G$1:$G$10000&gt;=ROUND($BW$3,0)),0),MATCH("DEFAULT_PA_PCT_SALES",'Margin Guidence Table'!$A$1:$AC$1,0))),0)</f>
        <v>0</v>
      </c>
      <c r="CN25" s="1165">
        <f t="array" ref="CN25">IFERROR(IF($CG25="SEGMENT",INDEX('Margin Guidence Table'!$A$1:$AC$10000,MATCH(1,('Margin Guidence Table'!$A$1:$A$10000=$CE25)*('Margin Guidence Table'!$H$1:$H$10000&lt;=ROUND($BW$3,0))*('Margin Guidence Table'!$G$1:$G$10000&gt;=ROUND($BW$3,0)),0),MATCH("SELF_FUND_PCT_SALES",'Margin Guidence Table'!$A$1:$AC$1,0)),INDEX('Margin Guidence Table'!$A$1:$AC$10000,MATCH(1,('Margin Guidence Table'!$A$1:$A$10000=$CE25)*('Margin Guidence Table'!$H$1:$H$10000&lt;=ROUND($BW$3,0))*('Margin Guidence Table'!$G$1:$G$10000&gt;=ROUND($BW$3,0)),0),MATCH("DEFAULT_SELF_FUND_PCT_SALES",'Margin Guidence Table'!$A$1:$AC$1,0))),0)</f>
        <v>0</v>
      </c>
      <c r="CO25" s="1165">
        <f t="array" ref="CO25">IFERROR(IF($CG25="SEGMENT",INDEX('Margin Guidence Table'!$A$1:$AC$10000,MATCH(1,('Margin Guidence Table'!$A$1:$A$10000=$CE25)*('Margin Guidence Table'!$H$1:$H$10000&lt;=ROUND($BW$3,0))*('Margin Guidence Table'!$G$1:$G$10000&gt;=ROUND($BW$3,0)),0),MATCH("CIA_MEDIAN_MARGIN_GUIDENCE",'Margin Guidence Table'!$A$1:$AC$1,0)),INDEX('Margin Guidence Table'!$A$1:$AC$10000,MATCH(1,('Margin Guidence Table'!$A$1:$A$10000=$CE25)*('Margin Guidence Table'!$H$1:$H$10000&lt;=ROUND($BW$3,0))*('Margin Guidence Table'!$G$1:$G$10000&gt;=ROUND($BW$3,0)),0),MATCH("DEFAULT_CIA_MEDIAN_MARGIN_GUIDENCE",'Margin Guidence Table'!$A$1:$AC$1,0))),0)</f>
        <v>0</v>
      </c>
      <c r="CP25" s="129"/>
      <c r="CQ25" s="18">
        <f t="array" ref="CQ25">IFERROR(IF($DC25="SEGMENT",INDEX('Margin Guidence Table'!$A$1:$AC$10000,MATCH(1,('Margin Guidence Table'!$A$1:$A$10000=$DA25)*('Margin Guidence Table'!$H$1:$H$10000&lt;=ROUND($CS$3,0))*('Margin Guidence Table'!$G$1:$G$10000&gt;=ROUND($CS$3,0)),0),MATCH("PCT_SALES",'Margin Guidence Table'!$A$1:$AC$1,0)),INDEX('Margin Guidence Table'!$A$1:$AC$10000,MATCH(1,('Margin Guidence Table'!$A$1:$A$10000=$DA25)*('Margin Guidence Table'!$H$1:$H$10000&lt;=ROUND($CS$3,0))*('Margin Guidence Table'!$G$1:$G$10000&gt;=ROUND($CS$3,0)),0),MATCH("DEFAULT_PCT_SALES",'Margin Guidence Table'!$A$1:$AC$1,0))),0)</f>
        <v>0</v>
      </c>
      <c r="CR25" s="102" t="s">
        <v>93</v>
      </c>
      <c r="CS25" s="94">
        <f>IFERROR(IF(AND($CS$2&lt;&gt;"Enter Spend&gt;&gt;&gt;",CT2="EXISTING"),SUMIFS('Existing Customers'!$Q:$Q,'Existing Customers'!$A:$A,$CS$1,'Existing Customers'!$H:$H,$CR25)*$CS$4,$CS$3*$CQ25),0)</f>
        <v>0</v>
      </c>
      <c r="CT25" s="89">
        <f>IFERROR(IF(AND($CS$2&lt;&gt;"Enter Spend&gt;&gt;&gt;",CT2="EXISTING"),SUMIFS('Existing Customers'!$N:$N,'Existing Customers'!$A:$A,$CS$1,'Existing Customers'!$H:$H,$CR25)*$CS$4,$CS25/$DD25),0)</f>
        <v>0</v>
      </c>
      <c r="CU25" s="95">
        <f>IFERROR(IF(AND($CS$2&lt;&gt;"Enter Spend&gt;&gt;&gt;",BB28="EXISTING"),SUMIFS('Existing Customers'!$O:$O,'Existing Customers'!$H:$H,$CR25,'Existing Customers'!$A:$A,$CS$1)*$CS$4,$CT25*$CS$8),0)</f>
        <v>0</v>
      </c>
      <c r="CV25" s="95">
        <f>IFERROR(IF(AND($CS$2&lt;&gt;"Enter Spend&gt;&gt;&gt;",CT2="EXISTING"),SUMIFS('Existing Customers'!$P:$P,'Existing Customers'!$A:$A,$CS$1,'Existing Customers'!$H:$H,$CR25)*$CS$4,$CS25/$DE25),0)</f>
        <v>0</v>
      </c>
      <c r="CW25" s="96">
        <f>IFERROR(IF(AND($CS$2&lt;&gt;"Enter Spend&gt;&gt;&gt;",CT2="EXISTING"),SUMIFS('Existing Customers'!$V:$V,'Existing Customers'!$H:$H,$CR25,'Existing Customers'!$A:$A,$CS$1)*$CS$4,0),0)</f>
        <v>0</v>
      </c>
      <c r="CX25" s="96">
        <f>IFERROR(IF(AND($CS$2&lt;&gt;"Enter Spend&gt;&gt;&gt;",CT2="EXISTING"),SUMIFS('Existing Customers'!$R:$R,'Existing Customers'!$H:$H,$AZ25,'Existing Customers'!$A:$A,$CS$1)*$CS$4,0),0)</f>
        <v>0</v>
      </c>
      <c r="CY25" s="1161">
        <f>IFERROR(IF(AND($CS$2&lt;&gt;"Enter Spend&gt;&gt;&gt;",CT2="EXISTING"),SUMIFS('Existing Customers'!$S:$S,'Existing Customers'!$H:$H,$CR25,'Existing Customers'!$A:$A,$CS$1),DI25*CS25),0)</f>
        <v>0</v>
      </c>
      <c r="CZ25" s="1161">
        <f>IFERROR(IF(AND($CS$2&lt;&gt;"Enter Spend&gt;&gt;&gt;",CT2="EXISTING"),SUMIFS('Existing Customers'!$U:$U,'Existing Customers'!$H:$H,$CR25,'Existing Customers'!$A:$A,$CS$1),DJ25*CS25),0)</f>
        <v>0</v>
      </c>
      <c r="DA25" s="1164" t="e">
        <f t="shared" si="28"/>
        <v>#N/A</v>
      </c>
      <c r="DB25" s="1164">
        <f t="array" ref="DB25">IFERROR(INDEX('Margin Guidence Table'!$A$1:$AD$30000,MATCH(1,('Margin Guidence Table'!$A$1:$A$10000=DA25)*('Margin Guidence Table'!$H$1:$H$10000&lt;=ROUND($CS$3,0))*('Margin Guidence Table'!$G$1:$G$10000&gt;=ROUND($CS$3,0)),0),MATCH("DATA_POINTS",'Margin Guidence Table'!$A$1:$AC$1,0)),0)</f>
        <v>0</v>
      </c>
      <c r="DC25" s="1161" t="str">
        <f t="shared" si="29"/>
        <v>DEFAULT</v>
      </c>
      <c r="DD25" s="1161">
        <f t="array" ref="DD25">IFERROR(IF($DC25="SEGMENT",INDEX('Margin Guidence Table'!$A$1:$AC$10000,MATCH(1,('Margin Guidence Table'!$A$1:$A$10000=DA25)*('Margin Guidence Table'!$H$1:$H$10000&lt;=ROUND($CS$3,0))*('Margin Guidence Table'!$G$1:$G$10000&gt;=ROUND($CS$3,0)),0),MATCH("SALES_CASE",'Margin Guidence Table'!$A$1:$AC$1,0)),INDEX('Margin Guidence Table'!$A$1:$AC$10000,MATCH(1,('Margin Guidence Table'!$A$1:$A$10000=DA25)*('Margin Guidence Table'!$H$1:$H$10000&lt;=ROUND($CS$3,0))*('Margin Guidence Table'!$G$1:$G$10000&gt;=ROUND($CS$3,0)),0),MATCH("DEFAULT_SALES_CASE",'Margin Guidence Table'!$A$1:$AC$1,0))),0)</f>
        <v>0</v>
      </c>
      <c r="DE25" s="1161">
        <f t="array" ref="DE25">IFERROR(IF($DC25="SEGMENT",INDEX('Margin Guidence Table'!$A$1:$AC$10000,MATCH(1,('Margin Guidence Table'!$A$1:$A$10000=DA25)*('Margin Guidence Table'!$H$1:$H$10000&lt;=ROUND($CS$3,0))*('Margin Guidence Table'!$G$1:$G$10000&gt;=ROUND($CS$3,0)),0),MATCH("SALES_LBS",'Margin Guidence Table'!$A$1:$AC$1,0)),INDEX('Margin Guidence Table'!$A$1:$AC$10000,MATCH(1,('Margin Guidence Table'!$A$1:$A$10000=DA25)*('Margin Guidence Table'!$H$1:$H$10000&lt;=ROUND($CS$3,0))*('Margin Guidence Table'!$G$1:$G$10000&gt;=ROUND($CS$3,0)),0),MATCH("DEFAULT_SALES_LBS",'Margin Guidence Table'!$A$1:$AC$1,0))),0)</f>
        <v>0</v>
      </c>
      <c r="DF25" s="1165">
        <f t="array" ref="DF25">IFERROR(IF($DC25="SEGMENT",INDEX('Margin Guidence Table'!$A$1:$AC$10000,MATCH(1,('Margin Guidence Table'!$A$1:$A$10000=DA25)*('Margin Guidence Table'!$H$1:$H$10000&lt;=ROUND($CS$3,0))*('Margin Guidence Table'!$G$1:$G$10000&gt;=ROUND($CS$3,0)),0),MATCH("MDA_MIN_MARGIN_GUIDENCE",'Margin Guidence Table'!$A$1:$AC$1,0)),INDEX('Margin Guidence Table'!$A$1:$AC$10000,MATCH(1,('Margin Guidence Table'!$A$1:$A$10000=DA25)*('Margin Guidence Table'!$H$1:$H$10000&lt;=ROUND($CS$3,0))*('Margin Guidence Table'!$G$1:$G$10000&gt;=ROUND($CS$3,0)),0),MATCH("DEFAULT_MDA_MIN_MARGIN_GUIDENCE",'Margin Guidence Table'!$A$1:$AC$1,0))),0)</f>
        <v>0</v>
      </c>
      <c r="DG25" s="1165">
        <f t="array" ref="DG25">IFERROR(IF($DC25="SEGMENT",INDEX('Margin Guidence Table'!$A$1:$AC$10000,MATCH(1,('Margin Guidence Table'!$A$1:$A$10000=DA25)*('Margin Guidence Table'!$H$1:$H$10000&lt;=ROUND($CS$3,0))*('Margin Guidence Table'!$G$1:$G$10000&gt;=ROUND($CS$3,0)),0),MATCH("MDA_MEDIAN_MARGIN_GUIDENCE",'Margin Guidence Table'!$A$1:$AC$1,0)),INDEX('Margin Guidence Table'!$A$1:$AC$10000,MATCH(1,('Margin Guidence Table'!$A$1:$A$10000=DA25)*('Margin Guidence Table'!$H$1:$H$10000&lt;=ROUND($CS$3,0))*('Margin Guidence Table'!$G$1:$G$10000&gt;=ROUND($CS$3,0)),0),MATCH("DEFAULT_MDA_MEDIAN_MARGIN_GUIDENCE",'Margin Guidence Table'!$A$1:$AC$1,0))),0)</f>
        <v>0</v>
      </c>
      <c r="DH25" s="1165">
        <f t="array" ref="DH25">IFERROR(IF($DC25="SEGMENT",INDEX('Margin Guidence Table'!$A$1:$AC$10000,MATCH(1,('Margin Guidence Table'!$A$1:$A$10000=DA25)*('Margin Guidence Table'!$H$1:$H$10000&lt;=ROUND($CS$3,0))*('Margin Guidence Table'!$G$1:$G$10000&gt;=ROUND($CS$3,0)),0),MATCH("MDA_MAX_MARGIN_GUIDENCE",'Margin Guidence Table'!$A$1:$AC$1,0)),INDEX('Margin Guidence Table'!$A$1:$AC$10000,MATCH(1,('Margin Guidence Table'!$A$1:$A$10000=DA25)*('Margin Guidence Table'!$H$1:$H$10000&lt;=ROUND($CS$3,0))*('Margin Guidence Table'!$G$1:$G$10000&gt;=ROUND($CS$3,0)),0),MATCH("DEFAULT_MDA_MAX_MARGIN_GUIDENCE",'Margin Guidence Table'!$A$1:$AC$1,0))),0)</f>
        <v>0</v>
      </c>
      <c r="DI25" s="1165">
        <f t="array" ref="DI25">IFERROR(IF($DC25="SEGMENT",INDEX('Margin Guidence Table'!$A$1:$AC$10000,MATCH(1,('Margin Guidence Table'!$A$1:$A$10000=DA25)*('Margin Guidence Table'!$H$1:$H$10000&lt;=ROUND($CS$3,0))*('Margin Guidence Table'!$G$1:$G$10000&gt;=ROUND($CS$3,0)),0),MATCH("PA_PCT_SALES",'Margin Guidence Table'!$A$1:$AC$1,0)),INDEX('Margin Guidence Table'!$A$1:$AC$10000,MATCH(1,('Margin Guidence Table'!$A$1:$A$10000=DA25)*('Margin Guidence Table'!$H$1:$H$10000&lt;=ROUND($CS$3,0))*('Margin Guidence Table'!$G$1:$G$10000&gt;=ROUND($CS$3,0)),0),MATCH("DEFAULT_PA_PCT_SALES",'Margin Guidence Table'!$A$1:$AC$1,0))),0)</f>
        <v>0</v>
      </c>
      <c r="DJ25" s="1165">
        <f t="array" ref="DJ25">IFERROR(IF($DC25="SEGMENT",INDEX('Margin Guidence Table'!$A$1:$AC$10000,MATCH(1,('Margin Guidence Table'!$A$1:$A$10000=DA25)*('Margin Guidence Table'!$H$1:$H$10000&lt;=ROUND($CS$3,0))*('Margin Guidence Table'!$G$1:$G$10000&gt;=ROUND($CS$3,0)),0),MATCH("SELF_FUND_PCT_SALES",'Margin Guidence Table'!$A$1:$AC$1,0)),INDEX('Margin Guidence Table'!$A$1:$AC$10000,MATCH(1,('Margin Guidence Table'!$A$1:$A$10000=DA25)*('Margin Guidence Table'!$H$1:$H$10000&lt;=ROUND($CS$3,0))*('Margin Guidence Table'!$G$1:$G$10000&gt;=ROUND($CS$3,0)),0),MATCH("DEFAULT_SELF_FUND_PCT_SALES",'Margin Guidence Table'!$A$1:$AC$1,0))),0)</f>
        <v>0</v>
      </c>
      <c r="DK25" s="1165">
        <f t="array" ref="DK25">IFERROR(IF($DC25="SEGMENT",INDEX('Margin Guidence Table'!$A$1:$AC$10000,MATCH(1,('Margin Guidence Table'!$A$1:$A$10000=DA25)*('Margin Guidence Table'!$H$1:$H$10000&lt;=ROUND($CS$3,0))*('Margin Guidence Table'!$G$1:$G$10000&gt;=ROUND($CS$3,0)),0),MATCH("CIA_MEDIAN_MARGIN_GUIDENCE",'Margin Guidence Table'!$A$1:$AC$1,0)),INDEX('Margin Guidence Table'!$A$1:$AC$10000,MATCH(1,('Margin Guidence Table'!$A$1:$A$10000=DA25)*('Margin Guidence Table'!$H$1:$H$10000&lt;=ROUND($CS$3,0))*('Margin Guidence Table'!$G$1:$G$10000&gt;=ROUND($CS$3,0)),0),MATCH("DEFAULT_CIA_MEDIAN_MARGIN_GUIDENCE",'Margin Guidence Table'!$A$1:$AC$1,0))),0)</f>
        <v>0</v>
      </c>
      <c r="DL25" s="129"/>
      <c r="DM25" s="18">
        <f t="array" ref="DM25">IFERROR(IF($DY25="SEGMENT",INDEX('Margin Guidence Table'!$A$1:$AC$10000,MATCH(1,('Margin Guidence Table'!$A$1:$A$10000=$DW25)*('Margin Guidence Table'!$H$1:$H$10000&lt;=ROUND($DO$3,0))*('Margin Guidence Table'!$G$1:$G$10000&gt;=ROUND($DO$3,0)),0),MATCH("PCT_SALES",'Margin Guidence Table'!$A$1:$AC$1,0)),INDEX('Margin Guidence Table'!$A$1:$AC$10000,MATCH(1,('Margin Guidence Table'!$A$1:$A$10000=$DW25)*('Margin Guidence Table'!$H$1:$H$10000&lt;=ROUND($DO$3,0))*('Margin Guidence Table'!$G$1:$G$10000&gt;=ROUND($DO$3,0)),0),MATCH("DEFAULT_PCT_SALES",'Margin Guidence Table'!$A$1:$AC$1,0))),0)</f>
        <v>0</v>
      </c>
      <c r="DN25" s="102" t="s">
        <v>93</v>
      </c>
      <c r="DO25" s="94">
        <f>IFERROR(IF(AND($DO$2&lt;&gt;"Enter Spend&gt;&gt;&gt;",DP2="EXISTING"),SUMIFS('Existing Customers'!$Q:$Q,'Existing Customers'!$A:$A,$DO$1,'Existing Customers'!$H:$H,$DN25)*$DO$4,$DO$3*$DM25),0)</f>
        <v>0</v>
      </c>
      <c r="DP25" s="89">
        <f>IFERROR(IF(AND($DO$2&lt;&gt;"Enter Spend&gt;&gt;&gt;",DP2="EXISTING"),SUMIFS('Existing Customers'!$N:$N,'Existing Customers'!$A:$A,$DO$1,'Existing Customers'!$H:$H,$DN25)*$DO$4,$DO25/$DZ25),0)</f>
        <v>0</v>
      </c>
      <c r="DQ25" s="95">
        <f>IFERROR(IF(AND($DO$2&lt;&gt;"Enter Spend&gt;&gt;&gt;",DP2="EXISTING"),SUMIFS('Existing Customers'!$O:$O,'Existing Customers'!$H:$H,$DN25,'Existing Customers'!$A:$A,$DO$1)*$DO$4,$DP25*$DO$8),0)</f>
        <v>0</v>
      </c>
      <c r="DR25" s="95">
        <f>IFERROR(IF(AND($DO$2&lt;&gt;"Enter Spend&gt;&gt;&gt;",DP2="EXISTING"),SUMIFS('Existing Customers'!$P:$P,'Existing Customers'!$A:$A,$DO$1,'Existing Customers'!$H:$H,$DN25)*$DO$4,$DO25/$EA25),0)</f>
        <v>0</v>
      </c>
      <c r="DS25" s="96">
        <f>IFERROR(IF(AND($DO$2&lt;&gt;"Enter Spend&gt;&gt;&gt;",EL2="EXISTING"),SUMIFS('Existing Customers'!$V:$V,'Existing Customers'!$H:$H,$DN25,'Existing Customers'!$A:$A,$DO$1)*$DO$4,0),0)</f>
        <v>0</v>
      </c>
      <c r="DT25" s="96">
        <f>IFERROR(IF(AND($DO$2&lt;&gt;"Enter Spend&gt;&gt;&gt;",DP2="EXISTING"),SUMIFS('Existing Customers'!$R:$R,'Existing Customers'!$H:$H,$DN25,'Existing Customers'!$A:$A,$DO$1)*$DO$4,0),0)</f>
        <v>0</v>
      </c>
      <c r="DU25" s="1161">
        <f>IFERROR(IF(AND($DO$2&lt;&gt;"Enter Spend&gt;&gt;&gt;",DP2="EXISTING"),SUMIFS('Existing Customers'!$S:$S,'Existing Customers'!$H:$H,$DP25,'Existing Customers'!$A:$A,$DO$1),EE25*DO25),0)</f>
        <v>0</v>
      </c>
      <c r="DV25" s="1161">
        <f>IFERROR(IF(AND($DO$2&lt;&gt;"Enter Spend&gt;&gt;&gt;",DP2="EXISTING"),SUMIFS('Existing Customers'!$U:$U,'Existing Customers'!$H:$H,$DN25,'Existing Customers'!$A:$A,$DO$1),EF25*DO25),0)</f>
        <v>0</v>
      </c>
      <c r="DW25" s="1164" t="e">
        <f t="shared" si="30"/>
        <v>#N/A</v>
      </c>
      <c r="DX25" s="1164">
        <f t="array" ref="DX25">IFERROR(INDEX('Margin Guidence Table'!$A$1:$AD$30000,MATCH(1,('Margin Guidence Table'!$A$1:$A$10000=DW25)*('Margin Guidence Table'!$H$1:$H$10000&lt;=ROUND($DO$3,0))*('Margin Guidence Table'!$G$1:$G$10000&gt;=ROUND($DO$3,0)),0),MATCH("DATA_POINTS",'Margin Guidence Table'!$A$1:$AC$1,0)),0)</f>
        <v>0</v>
      </c>
      <c r="DY25" s="1161" t="str">
        <f t="shared" si="31"/>
        <v>DEFAULT</v>
      </c>
      <c r="DZ25" s="1161">
        <f t="array" ref="DZ25">IFERROR(IF($DY25="SEGMENT",INDEX('Margin Guidence Table'!$A$1:$AC$10000,MATCH(1,('Margin Guidence Table'!$A$1:$A$10000=DW25)*('Margin Guidence Table'!$H$1:$H$10000&lt;=ROUND($DO$3,0))*('Margin Guidence Table'!$G$1:$G$10000&gt;=ROUND($DO$3,0)),0),MATCH("SALES_CASE",'Margin Guidence Table'!$A$1:$AC$1,0)),INDEX('Margin Guidence Table'!$A$1:$AC$10000,MATCH(1,('Margin Guidence Table'!$A$1:$A$10000=DW25)*('Margin Guidence Table'!$H$1:$H$10000&lt;=ROUND($DO$3,0))*('Margin Guidence Table'!$G$1:$G$10000&gt;=ROUND($DO$3,0)),0),MATCH("DEFAULT_SALES_CASE",'Margin Guidence Table'!$A$1:$AC$1,0))),0)</f>
        <v>0</v>
      </c>
      <c r="EA25" s="1161">
        <f t="array" ref="EA25">IFERROR(IF($DY25="SEGMENT",INDEX('Margin Guidence Table'!$A$1:$AC$10000,MATCH(1,('Margin Guidence Table'!$A$1:$A$10000=DW25)*('Margin Guidence Table'!$H$1:$H$10000&lt;=ROUND($DO$3,0))*('Margin Guidence Table'!$G$1:$G$10000&gt;=ROUND($DO$3,0)),0),MATCH("SALES_LBS",'Margin Guidence Table'!$A$1:$AC$1,0)),INDEX('Margin Guidence Table'!$A$1:$AC$10000,MATCH(1,('Margin Guidence Table'!$A$1:$A$10000=DW25)*('Margin Guidence Table'!$H$1:$H$10000&lt;=ROUND($DO$3,0))*('Margin Guidence Table'!$G$1:$G$10000&gt;=ROUND($DO$3,0)),0),MATCH("DEFAULT_SALES_LBS",'Margin Guidence Table'!$A$1:$AC$1,0))),0)</f>
        <v>0</v>
      </c>
      <c r="EB25" s="1165">
        <f t="array" ref="EB25">IFERROR(IF($DY25="SEGMENT",INDEX('Margin Guidence Table'!$A$1:$AC$10000,MATCH(1,('Margin Guidence Table'!$A$1:$A$10000=DW25)*('Margin Guidence Table'!$H$1:$H$10000&lt;=ROUND($DO$3,0))*('Margin Guidence Table'!$G$1:$G$10000&gt;=ROUND($DO$3,0)),0),MATCH("MDA_MIN_MARGIN_GUIDENCE",'Margin Guidence Table'!$A$1:$AC$1,0)),INDEX('Margin Guidence Table'!$A$1:$AC$10000,MATCH(1,('Margin Guidence Table'!$A$1:$A$10000=DW25)*('Margin Guidence Table'!$H$1:$H$10000&lt;=ROUND($DO$3,0))*('Margin Guidence Table'!$G$1:$G$10000&gt;=ROUND($DO$3,0)),0),MATCH("DEFAULT_MDA_MIN_MARGIN_GUIDENCE",'Margin Guidence Table'!$A$1:$AC$1,0))),0)</f>
        <v>0</v>
      </c>
      <c r="EC25" s="1165">
        <f t="array" ref="EC25">IFERROR(IF($DY25="SEGMENT",INDEX('Margin Guidence Table'!$A$1:$AC$10000,MATCH(1,('Margin Guidence Table'!$A$1:$A$10000=DW25)*('Margin Guidence Table'!$H$1:$H$10000&lt;=ROUND($DO$3,0))*('Margin Guidence Table'!$G$1:$G$10000&gt;=ROUND($DO$3,0)),0),MATCH("MDA_MEDIAN_MARGIN_GUIDENCE",'Margin Guidence Table'!$A$1:$AC$1,0)),INDEX('Margin Guidence Table'!$A$1:$AC$10000,MATCH(1,('Margin Guidence Table'!$A$1:$A$10000=DW25)*('Margin Guidence Table'!$H$1:$H$10000&lt;=ROUND($DO$3,0))*('Margin Guidence Table'!$G$1:$G$10000&gt;=ROUND($DO$3,0)),0),MATCH("DEFAULT_MDA_MEDIAN_MARGIN_GUIDENCE",'Margin Guidence Table'!$A$1:$AC$1,0))),0)</f>
        <v>0</v>
      </c>
      <c r="ED25" s="1165">
        <f t="array" ref="ED25">IFERROR(IF($DY25="SEGMENT",INDEX('Margin Guidence Table'!$A$1:$AC$10000,MATCH(1,('Margin Guidence Table'!$A$1:$A$10000=DW25)*('Margin Guidence Table'!$H$1:$H$10000&lt;=ROUND($DO$3,0))*('Margin Guidence Table'!$G$1:$G$10000&gt;=ROUND($DO$3,0)),0),MATCH("MDA_MAX_MARGIN_GUIDENCE",'Margin Guidence Table'!$A$1:$AC$1,0)),INDEX('Margin Guidence Table'!$A$1:$AC$10000,MATCH(1,('Margin Guidence Table'!$A$1:$A$10000=DW25)*('Margin Guidence Table'!$H$1:$H$10000&lt;=ROUND($DO$3,0))*('Margin Guidence Table'!$G$1:$G$10000&gt;=ROUND($DO$3,0)),0),MATCH("DEFAULT_MDA_MAX_MARGIN_GUIDENCE",'Margin Guidence Table'!$A$1:$AC$1,0))),0)</f>
        <v>0</v>
      </c>
      <c r="EE25" s="1165">
        <f t="array" ref="EE25">IFERROR(IF($DY25="SEGMENT",INDEX('Margin Guidence Table'!$A$1:$AC$10000,MATCH(1,('Margin Guidence Table'!$A$1:$A$10000=DW25)*('Margin Guidence Table'!$H$1:$H$10000&lt;=ROUND($DO$3,0))*('Margin Guidence Table'!$G$1:$G$10000&gt;=ROUND($DO$3,0)),0),MATCH("PA_PCT_SALES",'Margin Guidence Table'!$A$1:$AC$1,0)),INDEX('Margin Guidence Table'!$A$1:$AC$10000,MATCH(1,('Margin Guidence Table'!$A$1:$A$10000=DW25)*('Margin Guidence Table'!$H$1:$H$10000&lt;=ROUND($DO$3,0))*('Margin Guidence Table'!$G$1:$G$10000&gt;=ROUND($DO$3,0)),0),MATCH("DEFAULT_PA_PCT_SALES",'Margin Guidence Table'!$A$1:$AC$1,0))),0)</f>
        <v>0</v>
      </c>
      <c r="EF25" s="1165">
        <f t="array" ref="EF25">IFERROR(IF($DY25="SEGMENT",INDEX('Margin Guidence Table'!$A$1:$AC$10000,MATCH(1,('Margin Guidence Table'!$A$1:$A$10000=DW25)*('Margin Guidence Table'!$H$1:$H$10000&lt;=ROUND($DO$3,0))*('Margin Guidence Table'!$G$1:$G$10000&gt;=ROUND($DO$3,0)),0),MATCH("SELF_FUND_PCT_SALES",'Margin Guidence Table'!$A$1:$AC$1,0)),INDEX('Margin Guidence Table'!$A$1:$AC$10000,MATCH(1,('Margin Guidence Table'!$A$1:$A$10000=DW25)*('Margin Guidence Table'!$H$1:$H$10000&lt;=ROUND($DO$3,0))*('Margin Guidence Table'!$G$1:$G$10000&gt;=ROUND($DO$3,0)),0),MATCH("DEFAULT_SELF_FUND_PCT_SALES",'Margin Guidence Table'!$A$1:$AC$1,0))),0)</f>
        <v>0</v>
      </c>
      <c r="EG25" s="1165">
        <f t="array" ref="EG25">IFERROR(IF($DY25="SEGMENT",INDEX('Margin Guidence Table'!$A$1:$AC$10000,MATCH(1,('Margin Guidence Table'!$A$1:$A$10000=DW25)*('Margin Guidence Table'!$H$1:$H$10000&lt;=ROUND($DO$3,0))*('Margin Guidence Table'!$G$1:$G$10000&gt;=ROUND($DO$3,0)),0),MATCH("CIA_MEDIAN_MARGIN_GUIDENCE",'Margin Guidence Table'!$A$1:$AC$1,0)),INDEX('Margin Guidence Table'!$A$1:$AC$10000,MATCH(1,('Margin Guidence Table'!$A$1:$A$10000=DW25)*('Margin Guidence Table'!$H$1:$H$10000&lt;=ROUND($DO$3,0))*('Margin Guidence Table'!$G$1:$G$10000&gt;=ROUND($DO$3,0)),0),MATCH("DEFAULT_CIA_MEDIAN_MARGIN_GUIDENCE",'Margin Guidence Table'!$A$1:$AC$1,0))),0)</f>
        <v>0</v>
      </c>
      <c r="EH25" s="129"/>
      <c r="EI25" s="18">
        <f t="array" ref="EI25">IFERROR(IF($EU25="SEGMENT",INDEX('Margin Guidence Table'!$A$1:$AC$10000,MATCH(1,('Margin Guidence Table'!$A$1:$A$10000=$ES25)*('Margin Guidence Table'!$H$1:$H$10000&lt;=ROUND($EK$3,0))*('Margin Guidence Table'!$G$1:$G$10000&gt;=ROUND($EK$3,0)),0),MATCH("PCT_SALES",'Margin Guidence Table'!$A$1:$AC$1,0)),INDEX('Margin Guidence Table'!$A$1:$AC$10000,MATCH(1,('Margin Guidence Table'!$A$1:$A$10000=$ES25)*('Margin Guidence Table'!$H$1:$H$10000&lt;=ROUND($EK$3,0))*('Margin Guidence Table'!$G$1:$G$10000&gt;=ROUND($EK$3,0)),0),MATCH("DEFAULT_PCT_SALES",'Margin Guidence Table'!$A$1:$AC$1,0))),0)</f>
        <v>0</v>
      </c>
      <c r="EJ25" s="102" t="s">
        <v>93</v>
      </c>
      <c r="EK25" s="94">
        <f>IFERROR(IF(AND($EK$2&lt;&gt;"Enter Spend&gt;&gt;&gt;",EL2="EXISTING"),SUMIFS('Existing Customers'!$Q:$Q,'Existing Customers'!$A:$A,$EK$1,'Existing Customers'!$H:$H,$EJ25)*$EK$4,$EK$3*$EI25),0)</f>
        <v>0</v>
      </c>
      <c r="EL25" s="89">
        <f>IFERROR(IF(AND($EK$2&lt;&gt;"Enter Spend&gt;&gt;&gt;",EL2="EXISTING"),SUMIFS('Existing Customers'!$N:$N,'Existing Customers'!$A:$A,$EK$1,'Existing Customers'!$H:$H,$EJ25)*$EK$4,$EK25/$EV25),0)</f>
        <v>0</v>
      </c>
      <c r="EM25" s="95">
        <f>IFERROR(IF(AND($EK$2&lt;&gt;"Enter Spend&gt;&gt;&gt;",EL2="EXISTING"),SUMIFS('Existing Customers'!$O:$O,'Existing Customers'!$H:$H,$EJ25,'Existing Customers'!$A:$A,$EK$1)*$EK$4,$EL25*$EK$8),0)</f>
        <v>0</v>
      </c>
      <c r="EN25" s="95">
        <f>IFERROR(IF(AND($EK$2&lt;&gt;"Enter Spend&gt;&gt;&gt;",EL2="EXISTING"),SUMIFS('Existing Customers'!$P:$P,'Existing Customers'!$A:$A,$EK$1,'Existing Customers'!$H:$H,$EJ25)*$EK$4,$EK25/$EW25),0)</f>
        <v>0</v>
      </c>
      <c r="EO25" s="96">
        <f>IFERROR(IF(AND($EK$2&lt;&gt;"Enter Spend&gt;&gt;&gt;",EL2="EXISTING"),SUMIFS('Existing Customers'!$V:$V,'Existing Customers'!$H:$H,$EJ25,'Existing Customers'!$A:$A,$EK$1)*$EK$4,0),0)</f>
        <v>0</v>
      </c>
      <c r="EP25" s="96">
        <f>IFERROR(IF(AND($EK$2&lt;&gt;"Enter Spend&gt;&gt;&gt;",EL2="EXISTING"),SUMIFS('Existing Customers'!$R:$R,'Existing Customers'!$H:$H,$EJ25,'Existing Customers'!$A:$A,$EK$1)*$EK$4,0),0)</f>
        <v>0</v>
      </c>
      <c r="EQ25" s="1161">
        <f>IFERROR(IF(AND($EK$2&lt;&gt;"Enter Spend&gt;&gt;&gt;",EL2="EXISTING"),SUMIFS('Existing Customers'!$S:$S,'Existing Customers'!$H:$H,$EJ25,'Existing Customers'!$A:$A,$EK$1),FA25*EK25),0)</f>
        <v>0</v>
      </c>
      <c r="ER25" s="1161">
        <f>IFERROR(IF(AND($EK$2&lt;&gt;"Enter Spend&gt;&gt;&gt;",EL2="EXISTING"),SUMIFS('Existing Customers'!$U:$U,'Existing Customers'!$H:$H,$EJ25,'Existing Customers'!$A:$A,$EK$1),FB25*EK25),0)</f>
        <v>0</v>
      </c>
      <c r="ES25" s="1164" t="e">
        <f t="shared" si="32"/>
        <v>#N/A</v>
      </c>
      <c r="ET25" s="1164">
        <f t="array" ref="ET25">IFERROR(INDEX('Margin Guidence Table'!$A$1:$AD$30000,MATCH(1,('Margin Guidence Table'!$A$1:$A$10000=ES25)*('Margin Guidence Table'!$H$1:$H$10000&lt;=ROUND($EK$3,0))*('Margin Guidence Table'!$G$1:$G$10000&gt;=ROUND($EK$3,0)),0),MATCH("DATA_POINTS",'Margin Guidence Table'!$A$1:$AC$1,0)),0)</f>
        <v>0</v>
      </c>
      <c r="EU25" s="1161" t="str">
        <f t="shared" si="33"/>
        <v>DEFAULT</v>
      </c>
      <c r="EV25" s="1161">
        <f t="array" ref="EV25">IFERROR(IF($EU25="SEGMENT",INDEX('Margin Guidence Table'!$A$1:$AC$10000,MATCH(1,('Margin Guidence Table'!$A$1:$A$10000=ES25)*('Margin Guidence Table'!$H$1:$H$10000&lt;=ROUND($EK$3,0))*('Margin Guidence Table'!$G$1:$G$10000&gt;=ROUND($EK$3,0)),0),MATCH("SALES_CASE",'Margin Guidence Table'!$A$1:$AC$1,0)),INDEX('Margin Guidence Table'!$A$1:$AC$10000,MATCH(1,('Margin Guidence Table'!$A$1:$A$10000=ES25)*('Margin Guidence Table'!$H$1:$H$10000&lt;=ROUND($EK$3,0))*('Margin Guidence Table'!$G$1:$G$10000&gt;=ROUND($EK$3,0)),0),MATCH("DEFAULT_SALES_CASE",'Margin Guidence Table'!$A$1:$AC$1,0))),0)</f>
        <v>0</v>
      </c>
      <c r="EW25" s="1161" cm="1">
        <f t="array" ref="EW25">IFERROR(IF($EU25="SEGMENT",INDEX('Margin Guidence Table'!$A$1:$AC$10000,MATCH(1,('Margin Guidence Table'!$A$1:$A$10000=ES25)*('Margin Guidence Table'!$H$1:$H$10000&lt;=ROUND($EK$3,0))*('Margin Guidence Table'!$G$1:$G$10000&gt;=ROUND($EK$3,0)),0),MATCH("SALES_LBS",'Margin Guidence Table'!$A$1:$AC$1,0)),INDEX('Margin Guidence Table'!$A$1:$AC$10000,MATCH(1,('Margin Guidence Table'!$A$1:$A$10000=ES25)*('Margin Guidence Table'!$H$1:$H$10000&lt;=ROUND($EK$3,0))*('Margin Guidence Table'!$G$1:$G$10000&gt;=ROUND($EK$3,0)),0),MATCH("DEFAULT_SALES_LBS",'Margin Guidence Table'!$A$1:$AC$1,0))),0)</f>
        <v>0</v>
      </c>
      <c r="EX25" s="1165">
        <f t="array" ref="EX25">IFERROR(IF($EU25="SEGMENT",INDEX('Margin Guidence Table'!$A$1:$AC$10000,MATCH(1,('Margin Guidence Table'!$A$1:$A$10000=ES25)*('Margin Guidence Table'!$H$1:$H$10000&lt;=ROUND($EK$3,0))*('Margin Guidence Table'!$G$1:$G$10000&gt;=ROUND($EK$3,0)),0),MATCH("MDA_MIN_MARGIN_GUIDENCE",'Margin Guidence Table'!$A$1:$AC$1,0)),INDEX('Margin Guidence Table'!$A$1:$AC$10000,MATCH(1,('Margin Guidence Table'!$A$1:$A$10000=ES25)*('Margin Guidence Table'!$H$1:$H$10000&lt;=ROUND($EK$3,0))*('Margin Guidence Table'!$G$1:$G$10000&gt;=ROUND($EK$3,0)),0),MATCH("DEFAULT_MDA_MIN_MARGIN_GUIDENCE",'Margin Guidence Table'!$A$1:$AC$1,0))),0)</f>
        <v>0</v>
      </c>
      <c r="EY25" s="1165">
        <f t="array" ref="EY25">IFERROR(IF($EU25="SEGMENT",INDEX('Margin Guidence Table'!$A$1:$AC$10000,MATCH(1,('Margin Guidence Table'!$A$1:$A$10000=ES25)*('Margin Guidence Table'!$H$1:$H$10000&lt;=ROUND($EK$3,0))*('Margin Guidence Table'!$G$1:$G$10000&gt;=ROUND($EK$3,0)),0),MATCH("MDA_MEDIAN_MARGIN_GUIDENCE",'Margin Guidence Table'!$A$1:$AC$1,0)),INDEX('Margin Guidence Table'!$A$1:$AC$10000,MATCH(1,('Margin Guidence Table'!$A$1:$A$10000=ES25)*('Margin Guidence Table'!$H$1:$H$10000&lt;=ROUND($EK$3,0))*('Margin Guidence Table'!$G$1:$G$10000&gt;=ROUND($EK$3,0)),0),MATCH("DEFAULT_MDA_MEDIAN_MARGIN_GUIDENCE",'Margin Guidence Table'!$A$1:$AC$1,0))),0)</f>
        <v>0</v>
      </c>
      <c r="EZ25" s="1165">
        <f t="array" ref="EZ25">IFERROR(IF($EU25="SEGMENT",INDEX('Margin Guidence Table'!$A$1:$AC$10000,MATCH(1,('Margin Guidence Table'!$A$1:$A$10000=ES25)*('Margin Guidence Table'!$H$1:$H$10000&lt;=ROUND($EK$3,0))*('Margin Guidence Table'!$G$1:$G$10000&gt;=ROUND($EK$3,0)),0),MATCH("MDA_MAX_MARGIN_GUIDENCE",'Margin Guidence Table'!$A$1:$AC$1,0)),INDEX('Margin Guidence Table'!$A$1:$AC$10000,MATCH(1,('Margin Guidence Table'!$A$1:$A$10000=ES25)*('Margin Guidence Table'!$H$1:$H$10000&lt;=ROUND($EK$3,0))*('Margin Guidence Table'!$G$1:$G$10000&gt;=ROUND($EK$3,0)),0),MATCH("DEFAULT_MDA_MAX_MARGIN_GUIDENCE",'Margin Guidence Table'!$A$1:$AC$1,0))),0)</f>
        <v>0</v>
      </c>
      <c r="FA25" s="1165">
        <f t="array" ref="FA25">IFERROR(IF($EU25="SEGMENT",INDEX('Margin Guidence Table'!$A$1:$AC$10000,MATCH(1,('Margin Guidence Table'!$A$1:$A$10000=ES25)*('Margin Guidence Table'!$H$1:$H$10000&lt;=ROUND($EK$3,0))*('Margin Guidence Table'!$G$1:$G$10000&gt;=ROUND($EK$3,0)),0),MATCH("PA_PCT_SALES",'Margin Guidence Table'!$A$1:$AC$1,0)),INDEX('Margin Guidence Table'!$A$1:$AC$10000,MATCH(1,('Margin Guidence Table'!$A$1:$A$10000=ES25)*('Margin Guidence Table'!$H$1:$H$10000&lt;=ROUND($EK$3,0))*('Margin Guidence Table'!$G$1:$G$10000&gt;=ROUND($EK$3,0)),0),MATCH("DEFAULT_PA_PCT_SALES",'Margin Guidence Table'!$A$1:$AC$1,0))),0)</f>
        <v>0</v>
      </c>
      <c r="FB25" s="1165">
        <f t="array" ref="FB25">IFERROR(IF($EU25="SEGMENT",INDEX('Margin Guidence Table'!$A$1:$AC$10000,MATCH(1,('Margin Guidence Table'!$A$1:$A$10000=ES25)*('Margin Guidence Table'!$H$1:$H$10000&lt;=ROUND($EK$3,0))*('Margin Guidence Table'!$G$1:$G$10000&gt;=ROUND($EK$3,0)),0),MATCH("SELF_FUND_PCT_SALES",'Margin Guidence Table'!$A$1:$AC$1,0)),INDEX('Margin Guidence Table'!$A$1:$AC$10000,MATCH(1,('Margin Guidence Table'!$A$1:$A$10000=ES25)*('Margin Guidence Table'!$H$1:$H$10000&lt;=ROUND($EK$3,0))*('Margin Guidence Table'!$G$1:$G$10000&gt;=ROUND($EK$3,0)),0),MATCH("DEFAULT_SELF_FUND_PCT_SALES",'Margin Guidence Table'!$A$1:$AC$1,0))),0)</f>
        <v>0</v>
      </c>
      <c r="FC25" s="1165">
        <f t="array" ref="FC25">IFERROR(IF($EU25="SEGMENT",INDEX('Margin Guidence Table'!$A$1:$AC$10000,MATCH(1,('Margin Guidence Table'!$A$1:$A$10000=ES25)*('Margin Guidence Table'!$H$1:$H$10000&lt;=ROUND($EK$3,0))*('Margin Guidence Table'!$G$1:$G$10000&gt;=ROUND($EK$3,0)),0),MATCH("CIA_MEDIAN_MARGIN_GUIDENCE",'Margin Guidence Table'!$A$1:$AC$1,0)),INDEX('Margin Guidence Table'!$A$1:$AC$10000,MATCH(1,('Margin Guidence Table'!$A$1:$A$10000=ES25)*('Margin Guidence Table'!$H$1:$H$10000&lt;=ROUND($EK$3,0))*('Margin Guidence Table'!$G$1:$G$10000&gt;=ROUND($EK$3,0)),0),MATCH("DEFAULT_CIA_MEDIAN_MARGIN_GUIDENCE",'Margin Guidence Table'!$A$1:$AC$1,0))),0)</f>
        <v>0</v>
      </c>
      <c r="FD25" s="129"/>
      <c r="FE25" s="18">
        <f t="array" ref="FE25">IFERROR(IF($FQ25="SEGMENT",INDEX('Margin Guidence Table'!$A$1:$AC$10000,MATCH(1,('Margin Guidence Table'!$A$1:$A$10000=$FO25)*('Margin Guidence Table'!$H$1:$H$10000&lt;=ROUND($FG$3,0))*('Margin Guidence Table'!$G$1:$G$10000&gt;=ROUND($FG$3,0)),0),MATCH("PCT_SALES",'Margin Guidence Table'!$A$1:$AC$1,0)),INDEX('Margin Guidence Table'!$A$1:$AC$10000,MATCH(1,('Margin Guidence Table'!$A$1:$A$10000=$FO25)*('Margin Guidence Table'!$H$1:$H$10000&lt;=ROUND($FG$3,0))*('Margin Guidence Table'!$G$1:$G$10000&gt;=ROUND($FG$3,0)),0),MATCH("DEFAULT_PCT_SALES",'Margin Guidence Table'!$A$1:$AC$1,0))),0)</f>
        <v>0</v>
      </c>
      <c r="FF25" s="102" t="s">
        <v>93</v>
      </c>
      <c r="FG25" s="94">
        <f>IFERROR(IF(AND($FG$2&lt;&gt;"Enter Spend&gt;&gt;&gt;",FH2="EXISTING"),SUMIFS('Existing Customers'!$Q:$Q,'Existing Customers'!$A:$A,$FG$1,'Existing Customers'!$H:$H,$FF25)*$FG$4,$FG$3*$FE25),0)</f>
        <v>0</v>
      </c>
      <c r="FH25" s="89">
        <f>IFERROR(IF(AND($FG$2&lt;&gt;"Enter Spend&gt;&gt;&gt;",FH2="EXISTING"),SUMIFS('Existing Customers'!$N:$N,'Existing Customers'!$A:$A,$FG$1,'Existing Customers'!$H:$H,$FF25)*$FG$4,$FG25/$FR25),0)</f>
        <v>0</v>
      </c>
      <c r="FI25" s="95">
        <f>IFERROR(IF(AND($FG$2&lt;&gt;"Enter Spend&gt;&gt;&gt;",FH2="EXISTING"),SUMIFS('Existing Customers'!$O:$O,'Existing Customers'!$H:$H,$FF25,'Existing Customers'!$A:$A,$FG$1)*$FG$4,$FH25*$FG$8),0)</f>
        <v>0</v>
      </c>
      <c r="FJ25" s="95">
        <f>IFERROR(IF(AND($FG$2&lt;&gt;"Enter Spend&gt;&gt;&gt;",FH2="EXISTING"),SUMIFS('Existing Customers'!$P:$P,'Existing Customers'!$A:$A,$FG$1,'Existing Customers'!$H:$H,$FF25)*$FG$4,$FG25/$FS25),0)</f>
        <v>0</v>
      </c>
      <c r="FK25" s="96">
        <f>IFERROR(IF(AND($FG$2&lt;&gt;"Enter Spend&gt;&gt;&gt;",FH2="EXISTING"),SUMIFS('Existing Customers'!$V:$V,'Existing Customers'!$H:$H,$FF25,'Existing Customers'!$A:$A,$FG$1)*$FG$4,0),0)</f>
        <v>0</v>
      </c>
      <c r="FL25" s="96">
        <f>IFERROR(IF(AND($FG$2&lt;&gt;"Enter Spend&gt;&gt;&gt;",FH2="EXISTING"),SUMIFS('Existing Customers'!$R:$R,'Existing Customers'!$H:$H,$FF25,'Existing Customers'!$A:$A,$FG$1)*$FG$4,0),0)</f>
        <v>0</v>
      </c>
      <c r="FM25" s="1161">
        <f>IFERROR(IF(AND($FG$2&lt;&gt;"Enter Spend&gt;&gt;&gt;",FH2="EXISTING"),SUMIFS('Existing Customers'!$S:$S,'Existing Customers'!$H:$H,$FF25,'Existing Customers'!$A:$A,$FG$1),FW25*FG25),0)</f>
        <v>0</v>
      </c>
      <c r="FN25" s="1161">
        <f>IFERROR(IF(AND($FG$2&lt;&gt;"Enter Spend&gt;&gt;&gt;",FH2="EXISTING"),SUMIFS('Existing Customers'!$U:$U,'Existing Customers'!$H:$H,$FF25,'Existing Customers'!$A:$A,$FG$1),FX25*FG25),0)</f>
        <v>0</v>
      </c>
      <c r="FO25" s="1164" t="e">
        <f t="shared" si="34"/>
        <v>#N/A</v>
      </c>
      <c r="FP25" s="1164">
        <f t="array" ref="FP25">IFERROR(INDEX('Margin Guidence Table'!$A$1:$AD$30000,MATCH(1,('Margin Guidence Table'!$A$1:$A$10000=FO25)*('Margin Guidence Table'!$H$1:$H$10000&lt;=ROUND($FG$3,0))*('Margin Guidence Table'!$G$1:$G$10000&gt;=ROUND($FG$3,0)),0),MATCH("DATA_POINTS",'Margin Guidence Table'!$A$1:$AC$1,0)),0)</f>
        <v>0</v>
      </c>
      <c r="FQ25" s="1161" t="str">
        <f t="shared" si="35"/>
        <v>DEFAULT</v>
      </c>
      <c r="FR25" s="1161">
        <f t="array" ref="FR25">IFERROR(IF($FQ25="SEGMENT",INDEX('Margin Guidence Table'!$A$1:$AC$10000,MATCH(1,('Margin Guidence Table'!$A$1:$A$10000=FO25)*('Margin Guidence Table'!$H$1:$H$10000&lt;=ROUND($FG$3,0))*('Margin Guidence Table'!$G$1:$G$10000&gt;=ROUND($FG$3,0)),0),MATCH("SALES_CASE",'Margin Guidence Table'!$A$1:$AC$1,0)),INDEX('Margin Guidence Table'!$A$1:$AC$10000,MATCH(1,('Margin Guidence Table'!$A$1:$A$10000=FO25)*('Margin Guidence Table'!$H$1:$H$10000&lt;=ROUND($FG$3,0))*('Margin Guidence Table'!$G$1:$G$10000&gt;=ROUND($FG$3,0)),0),MATCH("DEFAULT_SALES_CASE",'Margin Guidence Table'!$A$1:$AC$1,0))),0)</f>
        <v>0</v>
      </c>
      <c r="FS25" s="1161">
        <f t="array" ref="FS25">IFERROR(IF($FQ25="SEGMENT",INDEX('Margin Guidence Table'!$A$1:$AC$10000,MATCH(1,('Margin Guidence Table'!$A$1:$A$10000=FO25)*('Margin Guidence Table'!$H$1:$H$10000&lt;=ROUND($FG$3,0))*('Margin Guidence Table'!$G$1:$G$10000&gt;=ROUND($FG$3,0)),0),MATCH("SALES_LBS",'Margin Guidence Table'!$A$1:$AC$1,0)),INDEX('Margin Guidence Table'!$A$1:$AC$10000,MATCH(1,('Margin Guidence Table'!$A$1:$A$10000=FO25)*('Margin Guidence Table'!$H$1:$H$10000&lt;=ROUND($FG$3,0))*('Margin Guidence Table'!$G$1:$G$10000&gt;=ROUND($FG$3,0)),0),MATCH("DEFAULT_SALES_LBS",'Margin Guidence Table'!$A$1:$AC$1,0))),0)</f>
        <v>0</v>
      </c>
      <c r="FT25" s="1165">
        <f t="array" ref="FT25">IFERROR(IF($FQ25="SEGMENT",INDEX('Margin Guidence Table'!$A$1:$AC$10000,MATCH(1,('Margin Guidence Table'!$A$1:$A$10000=FO25)*('Margin Guidence Table'!$H$1:$H$10000&lt;=ROUND($FG$3,0))*('Margin Guidence Table'!$G$1:$G$10000&gt;=ROUND($FG$3,0)),0),MATCH("MDA_MIN_MARGIN_GUIDENCE",'Margin Guidence Table'!$A$1:$AC$1,0)),INDEX('Margin Guidence Table'!$A$1:$AC$10000,MATCH(1,('Margin Guidence Table'!$A$1:$A$10000=FO25)*('Margin Guidence Table'!$H$1:$H$10000&lt;=ROUND($FG$3,0))*('Margin Guidence Table'!$G$1:$G$10000&gt;=ROUND($FG$3,0)),0),MATCH("DEFAULT_MDA_MIN_MARGIN_GUIDENCE",'Margin Guidence Table'!$A$1:$AC$1,0))),0)</f>
        <v>0</v>
      </c>
      <c r="FU25" s="1165">
        <f t="array" ref="FU25">IFERROR(IF($FQ25="SEGMENT",INDEX('Margin Guidence Table'!$A$1:$AC$10000,MATCH(1,('Margin Guidence Table'!$A$1:$A$10000=FO25)*('Margin Guidence Table'!$H$1:$H$10000&lt;=ROUND($FG$3,0))*('Margin Guidence Table'!$G$1:$G$10000&gt;=ROUND($FG$3,0)),0),MATCH("MDA_MEDIAN_MARGIN_GUIDENCE",'Margin Guidence Table'!$A$1:$AC$1,0)),INDEX('Margin Guidence Table'!$A$1:$AC$10000,MATCH(1,('Margin Guidence Table'!$A$1:$A$10000=FO25)*('Margin Guidence Table'!$H$1:$H$10000&lt;=ROUND($FG$3,0))*('Margin Guidence Table'!$G$1:$G$10000&gt;=ROUND($FG$3,0)),0),MATCH("DEFAULT_MDA_MEDIAN_MARGIN_GUIDENCE",'Margin Guidence Table'!$A$1:$AC$1,0))),0)</f>
        <v>0</v>
      </c>
      <c r="FV25" s="1165">
        <f t="array" ref="FV25">IFERROR(IF($FQ25="SEGMENT",INDEX('Margin Guidence Table'!$A$1:$AC$10000,MATCH(1,('Margin Guidence Table'!$A$1:$A$10000=FO25)*('Margin Guidence Table'!$H$1:$H$10000&lt;=ROUND($FG$3,0))*('Margin Guidence Table'!$G$1:$G$10000&gt;=ROUND($FG$3,0)),0),MATCH("MDA_MAX_MARGIN_GUIDENCE",'Margin Guidence Table'!$A$1:$AC$1,0)),INDEX('Margin Guidence Table'!$A$1:$AC$10000,MATCH(1,('Margin Guidence Table'!$A$1:$A$10000=FO25)*('Margin Guidence Table'!$H$1:$H$10000&lt;=ROUND($FG$3,0))*('Margin Guidence Table'!$G$1:$G$10000&gt;=ROUND($FG$3,0)),0),MATCH("DEFAULT_MDA_MAX_MARGIN_GUIDENCE",'Margin Guidence Table'!$A$1:$AC$1,0))),0)</f>
        <v>0</v>
      </c>
      <c r="FW25" s="1165">
        <f t="array" ref="FW25">IFERROR(IF($FQ25="SEGMENT",INDEX('Margin Guidence Table'!$A$1:$AC$10000,MATCH(1,('Margin Guidence Table'!$A$1:$A$10000=FO25)*('Margin Guidence Table'!$H$1:$H$10000&lt;=ROUND($FG$3,0))*('Margin Guidence Table'!$G$1:$G$10000&gt;=ROUND($FG$3,0)),0),MATCH("PA_PCT_SALES",'Margin Guidence Table'!$A$1:$AC$1,0)),INDEX('Margin Guidence Table'!$A$1:$AC$10000,MATCH(1,('Margin Guidence Table'!$A$1:$A$10000=FO25)*('Margin Guidence Table'!$H$1:$H$10000&lt;=ROUND($FG$3,0))*('Margin Guidence Table'!$G$1:$G$10000&gt;=ROUND($FG$3,0)),0),MATCH("DEFAULT_PA_PCT_SALES",'Margin Guidence Table'!$A$1:$AC$1,0))),0)</f>
        <v>0</v>
      </c>
      <c r="FX25" s="1165">
        <f t="array" ref="FX25">IFERROR(IF($FQ25="SEGMENT",INDEX('Margin Guidence Table'!$A$1:$AC$10000,MATCH(1,('Margin Guidence Table'!$A$1:$A$10000=FO25)*('Margin Guidence Table'!$H$1:$H$10000&lt;=ROUND($FG$3,0))*('Margin Guidence Table'!$G$1:$G$10000&gt;=ROUND($FG$3,0)),0),MATCH("SELF_FUND_PCT_SALES",'Margin Guidence Table'!$A$1:$AC$1,0)),INDEX('Margin Guidence Table'!$A$1:$AC$10000,MATCH(1,('Margin Guidence Table'!$A$1:$A$10000=FO25)*('Margin Guidence Table'!$H$1:$H$10000&lt;=ROUND($FG$3,0))*('Margin Guidence Table'!$G$1:$G$10000&gt;=ROUND($FG$3,0)),0),MATCH("DEFAULT_SELF_FUND_PCT_SALES",'Margin Guidence Table'!$A$1:$AC$1,0))),0)</f>
        <v>0</v>
      </c>
      <c r="FY25" s="1165">
        <f t="array" ref="FY25">IFERROR(IF($FQ25="SEGMENT",INDEX('Margin Guidence Table'!$A$1:$AC$10000,MATCH(1,('Margin Guidence Table'!$A$1:$A$10000=FO25)*('Margin Guidence Table'!$H$1:$H$10000&lt;=ROUND($FG$3,0))*('Margin Guidence Table'!$G$1:$G$10000&gt;=ROUND($FG$3,0)),0),MATCH("CIA_MEDIAN_MARGIN_GUIDENCE",'Margin Guidence Table'!$A$1:$AC$1,0)),INDEX('Margin Guidence Table'!$A$1:$AC$10000,MATCH(1,('Margin Guidence Table'!$A$1:$A$10000=FO25)*('Margin Guidence Table'!$H$1:$H$10000&lt;=ROUND($FG$3,0))*('Margin Guidence Table'!$G$1:$G$10000&gt;=ROUND($FG$3,0)),0),MATCH("DEFAULT_CIA_MEDIAN_MARGIN_GUIDENCE",'Margin Guidence Table'!$A$1:$AC$1,0))),0)</f>
        <v>0</v>
      </c>
      <c r="FZ25" s="129"/>
      <c r="GA25" s="18">
        <f t="array" ref="GA25">IFERROR(IF($GM25="SEGMENT",INDEX('Margin Guidence Table'!$A$1:$AC$10000,MATCH(1,('Margin Guidence Table'!$A$1:$A$10000=$GK25)*('Margin Guidence Table'!$H$1:$H$10000&lt;=ROUND($GC$3,0))*('Margin Guidence Table'!$G$1:$G$10000&gt;=ROUND($GC$3,0)),0),MATCH("PCT_SALES",'Margin Guidence Table'!$A$1:$AC$1,0)),INDEX('Margin Guidence Table'!$A$1:$AC$10000,MATCH(1,('Margin Guidence Table'!$A$1:$A$10000=$GK25)*('Margin Guidence Table'!$H$1:$H$10000&lt;=ROUND($GC$3,0))*('Margin Guidence Table'!$G$1:$G$10000&gt;=ROUND($GC$3,0)),0),MATCH("DEFAULT_PCT_SALES",'Margin Guidence Table'!$A$1:$AC$1,0))),0)</f>
        <v>0</v>
      </c>
      <c r="GB25" s="102" t="s">
        <v>93</v>
      </c>
      <c r="GC25" s="94">
        <f>IFERROR(IF(AND($GC$2&lt;&gt;"Enter Spend&gt;&gt;&gt;",GD2="EXISTING"),SUMIFS('Existing Customers'!$Q:$Q,'Existing Customers'!$A:$A,$GC$1,'Existing Customers'!$H:$H,$GB25)*$GC$4,$GC$3*$GA25),0)</f>
        <v>0</v>
      </c>
      <c r="GD25" s="89">
        <f>IFERROR(IF(AND($GC$2&lt;&gt;"Enter Spend&gt;&gt;&gt;",GD2="EXISTING"),SUMIFS('Existing Customers'!$N:$N,'Existing Customers'!$A:$A,$GC$1,'Existing Customers'!$H:$H,$GB25)*$GC$4,$GC25/$GN25),0)</f>
        <v>0</v>
      </c>
      <c r="GE25" s="95">
        <f>IFERROR(IF(AND($GC$2&lt;&gt;"Enter Spend&gt;&gt;&gt;",GD2="EXISTING"),SUMIFS('Existing Customers'!$O:$O,'Existing Customers'!$H:$H,$GB25,'Existing Customers'!$A:$A,$GC$1)*$GC$4,$GD25*$GC$8),0)</f>
        <v>0</v>
      </c>
      <c r="GF25" s="95">
        <f>IFERROR(IF(AND($GC$2&lt;&gt;"Enter Spend&gt;&gt;&gt;",GD2="EXISTING"),SUMIFS('Existing Customers'!$P:$P,'Existing Customers'!$A:$A,$GC$1,'Existing Customers'!$H:$H,$GB25)*$GC$4,$GC25/$GO25),0)</f>
        <v>0</v>
      </c>
      <c r="GG25" s="96">
        <f>IFERROR(IF(AND($GC$2&lt;&gt;"Enter Spend&gt;&gt;&gt;",GD2="EXISTING"),SUMIFS('Existing Customers'!$V:$V,'Existing Customers'!$H:$H,$GB25,'Existing Customers'!$A:$A,$GC$1)*$GC$4,0),0)</f>
        <v>0</v>
      </c>
      <c r="GH25" s="96">
        <f>IFERROR(IF(AND($GC$2&lt;&gt;"Enter Spend&gt;&gt;&gt;",GD2="EXISTING"),SUMIFS('Existing Customers'!$R:$R,'Existing Customers'!$H:$H,$GB25,'Existing Customers'!$A:$A,$GC$1)*$GC$4,0),0)</f>
        <v>0</v>
      </c>
      <c r="GI25" s="1161">
        <f>IFERROR(IF(AND($GC$2&lt;&gt;"Enter Spend&gt;&gt;&gt;",GD2="EXISTING"),SUMIFS('Existing Customers'!$S:$S,'Existing Customers'!$H:$H,$GB25,'Existing Customers'!$A:$A,$GC$1),GS25*GC25),0)</f>
        <v>0</v>
      </c>
      <c r="GJ25" s="1161">
        <f>IFERROR(IF(AND($GC$2&lt;&gt;"Enter Spend&gt;&gt;&gt;",GD2="EXISTING"),SUMIFS('Existing Customers'!$U:$U,'Existing Customers'!$H:$H,$GB25,'Existing Customers'!$A:$A,$GC$1),GT25*GC25),0)</f>
        <v>0</v>
      </c>
      <c r="GK25" s="1164" t="e">
        <f t="shared" si="36"/>
        <v>#N/A</v>
      </c>
      <c r="GL25" s="1164">
        <f t="array" ref="GL25">IFERROR(INDEX('Margin Guidence Table'!$A$1:$AD$30000,MATCH(1,('Margin Guidence Table'!$A$1:$A$10000=GK25)*('Margin Guidence Table'!$H$1:$H$10000&lt;=ROUND($GC$3,0))*('Margin Guidence Table'!$G$1:$G$10000&gt;=ROUND($GC$3,0)),0),MATCH("DATA_POINTS",'Margin Guidence Table'!$A$1:$AC$1,0)),0)</f>
        <v>0</v>
      </c>
      <c r="GM25" s="1161" t="str">
        <f t="shared" si="37"/>
        <v>DEFAULT</v>
      </c>
      <c r="GN25" s="1161">
        <f t="array" ref="GN25">IFERROR(IF($GM25="SEGMENT",INDEX('Margin Guidence Table'!$A$1:$AC$10000,MATCH(1,('Margin Guidence Table'!$A$1:$A$10000=GK25)*('Margin Guidence Table'!$H$1:$H$10000&lt;=ROUND($GC$3,0))*('Margin Guidence Table'!$G$1:$G$10000&gt;=ROUND($GC$3,0)),0),MATCH("SALES_CASE",'Margin Guidence Table'!$A$1:$AC$1,0)),INDEX('Margin Guidence Table'!$A$1:$AC$10000,MATCH(1,('Margin Guidence Table'!$A$1:$A$10000=GK25)*('Margin Guidence Table'!$H$1:$H$10000&lt;=ROUND($GC$3,0))*('Margin Guidence Table'!$G$1:$G$10000&gt;=ROUND($GC$3,0)),0),MATCH("DEFAULT_SALES_CASE",'Margin Guidence Table'!$A$1:$AC$1,0))),0)</f>
        <v>0</v>
      </c>
      <c r="GO25" s="1161">
        <f t="array" ref="GO25">IFERROR(IF($GM25="SEGMENT",INDEX('Margin Guidence Table'!$A$1:$AC$10000,MATCH(1,('Margin Guidence Table'!$A$1:$A$10000=GK25)*('Margin Guidence Table'!$H$1:$H$10000&lt;=ROUND($GC$3,0))*('Margin Guidence Table'!$G$1:$G$10000&gt;=ROUND($GC$3,0)),0),MATCH("SALES_LBS",'Margin Guidence Table'!$A$1:$AC$1,0)),INDEX('Margin Guidence Table'!$A$1:$AC$10000,MATCH(1,('Margin Guidence Table'!$A$1:$A$10000=GK25)*('Margin Guidence Table'!$H$1:$H$10000&lt;=ROUND($GC$3,0))*('Margin Guidence Table'!$G$1:$G$10000&gt;=ROUND($GC$3,0)),0),MATCH("DEFAULT_SALES_LBS",'Margin Guidence Table'!$A$1:$AC$1,0))),0)</f>
        <v>0</v>
      </c>
      <c r="GP25" s="1165">
        <f t="array" ref="GP25">IFERROR(IF($GM25="SEGMENT",INDEX('Margin Guidence Table'!$A$1:$AC$10000,MATCH(1,('Margin Guidence Table'!$A$1:$A$10000=GK25)*('Margin Guidence Table'!$H$1:$H$10000&lt;=ROUND($GC$3,0))*('Margin Guidence Table'!$G$1:$G$10000&gt;=ROUND($GC$3,0)),0),MATCH("MDA_MIN_MARGIN_GUIDENCE",'Margin Guidence Table'!$A$1:$AC$1,0)),INDEX('Margin Guidence Table'!$A$1:$AC$10000,MATCH(1,('Margin Guidence Table'!$A$1:$A$10000=GK25)*('Margin Guidence Table'!$H$1:$H$10000&lt;=ROUND($GC$3,0))*('Margin Guidence Table'!$G$1:$G$10000&gt;=ROUND($GC$3,0)),0),MATCH("DEFAULT_MDA_MIN_MARGIN_GUIDENCE",'Margin Guidence Table'!$A$1:$AC$1,0))),0)</f>
        <v>0</v>
      </c>
      <c r="GQ25" s="1165">
        <f t="array" ref="GQ25">IFERROR(IF($GM25="SEGMENT",INDEX('Margin Guidence Table'!$A$1:$AC$10000,MATCH(1,('Margin Guidence Table'!$A$1:$A$10000=GK25)*('Margin Guidence Table'!$H$1:$H$10000&lt;=ROUND($GC$3,0))*('Margin Guidence Table'!$G$1:$G$10000&gt;=ROUND($GC$3,0)),0),MATCH("MDA_MEDIAN_MARGIN_GUIDENCE",'Margin Guidence Table'!$A$1:$AC$1,0)),INDEX('Margin Guidence Table'!$A$1:$AC$10000,MATCH(1,('Margin Guidence Table'!$A$1:$A$10000=GK25)*('Margin Guidence Table'!$H$1:$H$10000&lt;=ROUND($GC$3,0))*('Margin Guidence Table'!$G$1:$G$10000&gt;=ROUND($GC$3,0)),0),MATCH("DEFAULT_MDA_MEDIAN_MARGIN_GUIDENCE",'Margin Guidence Table'!$A$1:$AC$1,0))),0)</f>
        <v>0</v>
      </c>
      <c r="GR25" s="1165">
        <f t="array" ref="GR25">IFERROR(IF($GM25="SEGMENT",INDEX('Margin Guidence Table'!$A$1:$AC$10000,MATCH(1,('Margin Guidence Table'!$A$1:$A$10000=GK25)*('Margin Guidence Table'!$H$1:$H$10000&lt;=ROUND($GC$3,0))*('Margin Guidence Table'!$G$1:$G$10000&gt;=ROUND($GC$3,0)),0),MATCH("MDA_MAX_MARGIN_GUIDENCE",'Margin Guidence Table'!$A$1:$AC$1,0)),INDEX('Margin Guidence Table'!$A$1:$AC$10000,MATCH(1,('Margin Guidence Table'!$A$1:$A$10000=GK25)*('Margin Guidence Table'!$H$1:$H$10000&lt;=ROUND($GC$3,0))*('Margin Guidence Table'!$G$1:$G$10000&gt;=ROUND($GC$3,0)),0),MATCH("DEFAULT_MDA_MAX_MARGIN_GUIDENCE",'Margin Guidence Table'!$A$1:$AC$1,0))),0)</f>
        <v>0</v>
      </c>
      <c r="GS25" s="1165">
        <f t="array" ref="GS25">IFERROR(IF($GM25="SEGMENT",INDEX('Margin Guidence Table'!$A$1:$AC$10000,MATCH(1,('Margin Guidence Table'!$A$1:$A$10000=GK25)*('Margin Guidence Table'!$H$1:$H$10000&lt;=ROUND($GC$3,0))*('Margin Guidence Table'!$G$1:$G$10000&gt;=ROUND($GC$3,0)),0),MATCH("PA_PCT_SALES",'Margin Guidence Table'!$A$1:$AC$1,0)),INDEX('Margin Guidence Table'!$A$1:$AC$10000,MATCH(1,('Margin Guidence Table'!$A$1:$A$10000=GK25)*('Margin Guidence Table'!$H$1:$H$10000&lt;=ROUND($GC$3,0))*('Margin Guidence Table'!$G$1:$G$10000&gt;=ROUND($GC$3,0)),0),MATCH("DEFAULT_PA_PCT_SALES",'Margin Guidence Table'!$A$1:$AC$1,0))),0)</f>
        <v>0</v>
      </c>
      <c r="GT25" s="1165">
        <f t="array" ref="GT25">IFERROR(IF($GM25="SEGMENT",INDEX('Margin Guidence Table'!$A$1:$AC$10000,MATCH(1,('Margin Guidence Table'!$A$1:$A$10000=GK25)*('Margin Guidence Table'!$H$1:$H$10000&lt;=ROUND($GC$3,0))*('Margin Guidence Table'!$G$1:$G$10000&gt;=ROUND($GC$3,0)),0),MATCH("SELF_FUND_PCT_SALES",'Margin Guidence Table'!$A$1:$AC$1,0)),INDEX('Margin Guidence Table'!$A$1:$AC$10000,MATCH(1,('Margin Guidence Table'!$A$1:$A$10000=GK25)*('Margin Guidence Table'!$H$1:$H$10000&lt;=ROUND($GC$3,0))*('Margin Guidence Table'!$G$1:$G$10000&gt;=ROUND($GC$3,0)),0),MATCH("DEFAULT_SELF_FUND_PCT_SALES",'Margin Guidence Table'!$A$1:$AC$1,0))),0)</f>
        <v>0</v>
      </c>
      <c r="GU25" s="1165">
        <f t="array" ref="GU25">IFERROR(IF($GM25="SEGMENT",INDEX('Margin Guidence Table'!$A$1:$AC$10000,MATCH(1,('Margin Guidence Table'!$A$1:$A$10000=GK25)*('Margin Guidence Table'!$H$1:$H$10000&lt;=ROUND($GC$3,0))*('Margin Guidence Table'!$G$1:$G$10000&gt;=ROUND($GC$3,0)),0),MATCH("CIA_MEDIAN_MARGIN_GUIDENCE",'Margin Guidence Table'!$A$1:$AC$1,0)),INDEX('Margin Guidence Table'!$A$1:$AC$10000,MATCH(1,('Margin Guidence Table'!$A$1:$A$10000=GK25)*('Margin Guidence Table'!$H$1:$H$10000&lt;=ROUND($GC$3,0))*('Margin Guidence Table'!$G$1:$G$10000&gt;=ROUND($GC$3,0)),0),MATCH("DEFAULT_CIA_MEDIAN_MARGIN_GUIDENCE",'Margin Guidence Table'!$A$1:$AC$1,0))),0)</f>
        <v>0</v>
      </c>
      <c r="GV25" s="129"/>
      <c r="GW25" s="18">
        <f t="array" ref="GW25">IFERROR(IF($HI25="SEGMENT",INDEX('Margin Guidence Table'!$A$1:$AC$10000,MATCH(1,('Margin Guidence Table'!$A$1:$A$10000=$HG25)*('Margin Guidence Table'!$H$1:$H$10000&lt;=ROUND($GY$3,0))*('Margin Guidence Table'!$G$1:$G$10000&gt;=ROUND($GY$3,0)),0),MATCH("PCT_SALES",'Margin Guidence Table'!$A$1:$AC$1,0)),INDEX('Margin Guidence Table'!$A$1:$AC$10000,MATCH(1,('Margin Guidence Table'!$A$1:$A$10000=$HG25)*('Margin Guidence Table'!$H$1:$H$10000&lt;=ROUND($GY$3,0))*('Margin Guidence Table'!$G$1:$G$10000&gt;=ROUND($GY$3,0)),0),MATCH("DEFAULT_PCT_SALES",'Margin Guidence Table'!$A$1:$AC$1,0))),0)</f>
        <v>0</v>
      </c>
      <c r="GX25" s="102" t="s">
        <v>93</v>
      </c>
      <c r="GY25" s="94">
        <f>IFERROR(IF(AND($GY$2&lt;&gt;"Enter Spend&gt;&gt;&gt;",GZ2="EXISTING"),SUMIFS('Existing Customers'!$Q:$Q,'Existing Customers'!$A:$A,$GY$1,'Existing Customers'!$H:$H,$GX25)*$GY$4,$GY$3*$GW25),0)</f>
        <v>0</v>
      </c>
      <c r="GZ25" s="89">
        <f>IFERROR(IF(AND($GY$2&lt;&gt;"Enter Spend&gt;&gt;&gt;",GZ2="EXISTING"),SUMIFS('Existing Customers'!$N:$N,'Existing Customers'!$A:$A,$GY$1,'Existing Customers'!$H:$H,$GX25)*$GY$4,$GY25/$HJ25),0)</f>
        <v>0</v>
      </c>
      <c r="HA25" s="95">
        <f>IFERROR(IF(AND($GY$2&lt;&gt;"Enter Spend&gt;&gt;&gt;",GZ2="EXISTING"),SUMIFS('Existing Customers'!$O:$O,'Existing Customers'!$H:$H,$GX25,'Existing Customers'!$A:$A,$GY$1)*$GY$4,$GZ25*$GY$8),0)</f>
        <v>0</v>
      </c>
      <c r="HB25" s="95">
        <f>IFERROR(IF(AND($GY$2&lt;&gt;"Enter Spend&gt;&gt;&gt;",GZ2="EXISTING"),SUMIFS('Existing Customers'!$P:$P,'Existing Customers'!$A:$A,$GY$1,'Existing Customers'!$H:$H,$GX25)*$GY$4,$GY25/$HK25),0)</f>
        <v>0</v>
      </c>
      <c r="HC25" s="96">
        <f>IFERROR(IF(AND($GY$2&lt;&gt;"Enter Spend&gt;&gt;&gt;",GZ2="EXISTING"),SUMIFS('Existing Customers'!$V:$V,'Existing Customers'!$H:$H,$GX25,'Existing Customers'!$A:$A,$GY$1)*$GY$4,0),0)</f>
        <v>0</v>
      </c>
      <c r="HD25" s="96">
        <f>IFERROR(IF(AND($GY$2&lt;&gt;"Enter Spend&gt;&gt;&gt;",GZ2="EXISTING"),SUMIFS('Existing Customers'!$R:$R,'Existing Customers'!$H:$H,$GX25,'Existing Customers'!$A:$A,$GY$1)*$GY$4,0),0)</f>
        <v>0</v>
      </c>
      <c r="HE25" s="1161">
        <f>IFERROR(IF(AND($GY$2&lt;&gt;"Enter Spend&gt;&gt;&gt;",GZ2="EXISTING"),SUMIFS('Existing Customers'!$S:$S,'Existing Customers'!$H:$H,$GX25,'Existing Customers'!$A:$A,$GY$1),HO25*GY25),0)</f>
        <v>0</v>
      </c>
      <c r="HF25" s="1161">
        <f>IFERROR(IF(AND($GY$2&lt;&gt;"Enter Spend&gt;&gt;&gt;",GZ2="EXISTING"),SUMIFS('Existing Customers'!$U:$U,'Existing Customers'!$H:$H,$GX25,'Existing Customers'!$A:$A,$GY$1),HP25*GY25),0)</f>
        <v>0</v>
      </c>
      <c r="HG25" s="1164" t="e">
        <f t="shared" si="38"/>
        <v>#N/A</v>
      </c>
      <c r="HH25" s="1164">
        <f t="array" ref="HH25">IFERROR(INDEX('Margin Guidence Table'!$A$1:$AD$30000,MATCH(1,('Margin Guidence Table'!$A$1:$A$10000=HG25)*('Margin Guidence Table'!$H$1:$H$10000&lt;=ROUND($GY$3,0))*('Margin Guidence Table'!$G$1:$G$10000&gt;=ROUND($GY$3,0)),0),MATCH("DATA_POINTS",'Margin Guidence Table'!$A$1:$AC$1,0)),0)</f>
        <v>0</v>
      </c>
      <c r="HI25" s="1161" t="str">
        <f t="shared" si="39"/>
        <v>DEFAULT</v>
      </c>
      <c r="HJ25" s="1161">
        <f t="array" ref="HJ25">IFERROR(IF($HI25="SEGMENT",INDEX('Margin Guidence Table'!$A$1:$AC$10000,MATCH(1,('Margin Guidence Table'!$A$1:$A$10000=HG25)*('Margin Guidence Table'!$H$1:$H$10000&lt;=ROUND($GY$3,0))*('Margin Guidence Table'!$G$1:$G$10000&gt;=ROUND($GY$3,0)),0),MATCH("SALES_CASE",'Margin Guidence Table'!$A$1:$AC$1,0)),INDEX('Margin Guidence Table'!$A$1:$AC$10000,MATCH(1,('Margin Guidence Table'!$A$1:$A$10000=HG25)*('Margin Guidence Table'!$H$1:$H$10000&lt;=ROUND($GY$3,0))*('Margin Guidence Table'!$G$1:$G$10000&gt;=ROUND($GY$3,0)),0),MATCH("DEFAULT_SALES_CASE",'Margin Guidence Table'!$A$1:$AC$1,0))),0)</f>
        <v>0</v>
      </c>
      <c r="HK25" s="1161">
        <f t="array" ref="HK25">IFERROR(IF($HI25="SEGMENT",INDEX('Margin Guidence Table'!$A$1:$AC$10000,MATCH(1,('Margin Guidence Table'!$A$1:$A$10000=HG25)*('Margin Guidence Table'!$H$1:$H$10000&lt;=ROUND($GY$3,0))*('Margin Guidence Table'!$G$1:$G$10000&gt;=ROUND($GY$3,0)),0),MATCH("SALES_LBS",'Margin Guidence Table'!$A$1:$AC$1,0)),INDEX('Margin Guidence Table'!$A$1:$AC$10000,MATCH(1,('Margin Guidence Table'!$A$1:$A$10000=HG25)*('Margin Guidence Table'!$H$1:$H$10000&lt;=ROUND($GY$3,0))*('Margin Guidence Table'!$G$1:$G$10000&gt;=ROUND($GY$3,0)),0),MATCH("DEFAULT_SALES_LBS",'Margin Guidence Table'!$A$1:$AC$1,0))),0)</f>
        <v>0</v>
      </c>
      <c r="HL25" s="1165">
        <f t="array" ref="HL25">IFERROR(IF($HI25="SEGMENT",INDEX('Margin Guidence Table'!$A$1:$AC$10000,MATCH(1,('Margin Guidence Table'!$A$1:$A$10000=HG25)*('Margin Guidence Table'!$H$1:$H$10000&lt;=ROUND($GY$3,0))*('Margin Guidence Table'!$G$1:$G$10000&gt;=ROUND($GY$3,0)),0),MATCH("MDA_MIN_MARGIN_GUIDENCE",'Margin Guidence Table'!$A$1:$AC$1,0)),INDEX('Margin Guidence Table'!$A$1:$AC$10000,MATCH(1,('Margin Guidence Table'!$A$1:$A$10000=HG25)*('Margin Guidence Table'!$H$1:$H$10000&lt;=ROUND($GY$3,0))*('Margin Guidence Table'!$G$1:$G$10000&gt;=ROUND($GY$3,0)),0),MATCH("DEFAULT_MDA_MIN_MARGIN_GUIDENCE",'Margin Guidence Table'!$A$1:$AC$1,0))),0)</f>
        <v>0</v>
      </c>
      <c r="HM25" s="1165">
        <f t="array" ref="HM25">IFERROR(IF($HI25="SEGMENT",INDEX('Margin Guidence Table'!$A$1:$AC$10000,MATCH(1,('Margin Guidence Table'!$A$1:$A$10000=HG25)*('Margin Guidence Table'!$H$1:$H$10000&lt;=ROUND($GY$3,0))*('Margin Guidence Table'!$G$1:$G$10000&gt;=ROUND($GY$3,0)),0),MATCH("MDA_MEDIAN_MARGIN_GUIDENCE",'Margin Guidence Table'!$A$1:$AC$1,0)),INDEX('Margin Guidence Table'!$A$1:$AC$10000,MATCH(1,('Margin Guidence Table'!$A$1:$A$10000=HG25)*('Margin Guidence Table'!$H$1:$H$10000&lt;=ROUND($GY$3,0))*('Margin Guidence Table'!$G$1:$G$10000&gt;=ROUND($GY$3,0)),0),MATCH("DEFAULT_MDA_MEDIAN_MARGIN_GUIDENCE",'Margin Guidence Table'!$A$1:$AC$1,0))),0)</f>
        <v>0</v>
      </c>
      <c r="HN25" s="1165">
        <f t="array" ref="HN25">IFERROR(IF($HI25="SEGMENT",INDEX('Margin Guidence Table'!$A$1:$AC$10000,MATCH(1,('Margin Guidence Table'!$A$1:$A$10000=HG25)*('Margin Guidence Table'!$H$1:$H$10000&lt;=ROUND($GY$3,0))*('Margin Guidence Table'!$G$1:$G$10000&gt;=ROUND($GY$3,0)),0),MATCH("MDA_MAX_MARGIN_GUIDENCE",'Margin Guidence Table'!$A$1:$AC$1,0)),INDEX('Margin Guidence Table'!$A$1:$AC$10000,MATCH(1,('Margin Guidence Table'!$A$1:$A$10000=HG25)*('Margin Guidence Table'!$H$1:$H$10000&lt;=ROUND($GY$3,0))*('Margin Guidence Table'!$G$1:$G$10000&gt;=ROUND($GY$3,0)),0),MATCH("DEFAULT_MDA_MAX_MARGIN_GUIDENCE",'Margin Guidence Table'!$A$1:$AC$1,0))),0)</f>
        <v>0</v>
      </c>
      <c r="HO25" s="1165">
        <f t="array" ref="HO25">IFERROR(IF($HI25="SEGMENT",INDEX('Margin Guidence Table'!$A$1:$AC$10000,MATCH(1,('Margin Guidence Table'!$A$1:$A$10000=HG25)*('Margin Guidence Table'!$H$1:$H$10000&lt;=ROUND($GY$3,0))*('Margin Guidence Table'!$G$1:$G$10000&gt;=ROUND($GY$3,0)),0),MATCH("PA_PCT_SALES",'Margin Guidence Table'!$A$1:$AC$1,0)),INDEX('Margin Guidence Table'!$A$1:$AC$10000,MATCH(1,('Margin Guidence Table'!$A$1:$A$10000=HG25)*('Margin Guidence Table'!$H$1:$H$10000&lt;=ROUND($GY$3,0))*('Margin Guidence Table'!$G$1:$G$10000&gt;=ROUND($GY$3,0)),0),MATCH("DEFAULT_PA_PCT_SALES",'Margin Guidence Table'!$A$1:$AC$1,0))),0)</f>
        <v>0</v>
      </c>
      <c r="HP25" s="1165">
        <f t="array" ref="HP25">IFERROR(IF($HI25="SEGMENT",INDEX('Margin Guidence Table'!$A$1:$AC$10000,MATCH(1,('Margin Guidence Table'!$A$1:$A$10000=HG25)*('Margin Guidence Table'!$H$1:$H$10000&lt;=ROUND($GY$3,0))*('Margin Guidence Table'!$G$1:$G$10000&gt;=ROUND($GY$3,0)),0),MATCH("SELF_FUND_PCT_SALES",'Margin Guidence Table'!$A$1:$AC$1,0)),INDEX('Margin Guidence Table'!$A$1:$AC$10000,MATCH(1,('Margin Guidence Table'!$A$1:$A$10000=HG25)*('Margin Guidence Table'!$H$1:$H$10000&lt;=ROUND($GY$3,0))*('Margin Guidence Table'!$G$1:$G$10000&gt;=ROUND($GY$3,0)),0),MATCH("DEFAULT_SELF_FUND_PCT_SALES",'Margin Guidence Table'!$A$1:$AC$1,0))),0)</f>
        <v>0</v>
      </c>
      <c r="HQ25" s="1165">
        <f t="array" ref="HQ25">IFERROR(IF($HI25="SEGMENT",INDEX('Margin Guidence Table'!$A$1:$AC$10000,MATCH(1,('Margin Guidence Table'!$A$1:$A$10000=HG25)*('Margin Guidence Table'!$H$1:$H$10000&lt;=ROUND($GY$3,0))*('Margin Guidence Table'!$G$1:$G$10000&gt;=ROUND($GY$3,0)),0),MATCH("CIA_MEDIAN_MARGIN_GUIDENCE",'Margin Guidence Table'!$A$1:$AC$1,0)),INDEX('Margin Guidence Table'!$A$1:$AC$10000,MATCH(1,('Margin Guidence Table'!$A$1:$A$10000=HG25)*('Margin Guidence Table'!$H$1:$H$10000&lt;=ROUND($GY$3,0))*('Margin Guidence Table'!$G$1:$G$10000&gt;=ROUND($GY$3,0)),0),MATCH("DEFAULT_CIA_MEDIAN_MARGIN_GUIDENCE",'Margin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Spend&gt;&gt;&gt;",HV2="EXISTING"),SUMIFS('Existing Customers'!$Q:$Q,'Existing Customers'!$A:$A,$HU$1,'Existing Customers'!$H:$H,$HT25)*$HU$4,$HU$3*$HS25),0)</f>
        <v>0</v>
      </c>
      <c r="HV25" s="89">
        <f>IFERROR(IF(AND($HU$2&lt;&gt;"Enter Spend&gt;&gt;&gt;",HV2="EXISTING"),SUMIFS('Existing Customers'!$N:$N,'Existing Customers'!$A:$A,$HU$1,'Existing Customers'!$H:$H,$HT25)*$HU$4,$HU25/$IF25),0)</f>
        <v>0</v>
      </c>
      <c r="HW25" s="95">
        <f>IFERROR(IF(AND($HU$2&lt;&gt;"Enter Spend&gt;&gt;&gt;",HV2="EXISTING"),SUMIFS('Existing Customers'!$O:$O,'Existing Customers'!$H:$H,$HT25,'Existing Customers'!$A:$A,$HU$1)*$HU$4,$HV25*$HU$8),0)</f>
        <v>0</v>
      </c>
      <c r="HX25" s="95">
        <f>IFERROR(IF(AND($HU$2&lt;&gt;"Enter Spend&gt;&gt;&gt;",HV2="EXISTING"),SUMIFS('Existing Customers'!$P:$P,'Existing Customers'!$A:$A,$HU$1,'Existing Customers'!$H:$H,$HT25)*$HU$4,$HU25/$IG25),0)</f>
        <v>0</v>
      </c>
      <c r="HY25" s="402">
        <f>IFERROR(IF(AND($HU$2&lt;&gt;"Enter Spend&gt;&gt;&gt;",HV2="EXISTING"),SUMIFS('Existing Customers'!$V:$V,'Existing Customers'!$H:$H,$HT25,'Existing Customers'!$A:$A,$HU$1)*$HU$4,0),0)</f>
        <v>0</v>
      </c>
      <c r="HZ25" s="96">
        <f>IFERROR(IF(AND($HU$2&lt;&gt;"Enter Spend&gt;&gt;&gt;",HV2="EXISTING"),SUMIFS('Existing Customers'!$R:$R,'Existing Customers'!$H:$H,$HT25,'Existing Customers'!$A:$A,$HU$1)*$HU$4,0),0)</f>
        <v>0</v>
      </c>
      <c r="IA25" s="1161">
        <f>IFERROR(IF(AND($HU$2&lt;&gt;"Enter Spend&gt;&gt;&gt;",HV2="EXISTING"),SUMIFS('Existing Customers'!$S:$S,'Existing Customers'!$H:$H,$HT25,'Existing Customers'!$A:$A,$HU$1),IK25*HU25),0)</f>
        <v>0</v>
      </c>
      <c r="IB25" s="1161">
        <f>IFERROR(IF(AND($HU$2&lt;&gt;"Enter Spend&gt;&gt;&gt;",HV2="EXISTING"),SUMIFS('Existing Customers'!$U:$U,'Existing Customers'!$H:$H,$HT25,'Existing Customers'!$A:$A,$HU$1),IL25*HU25),0)</f>
        <v>0</v>
      </c>
      <c r="IC25" s="1164" t="e">
        <f t="shared" si="40"/>
        <v>#N/A</v>
      </c>
      <c r="ID25" s="1164">
        <f t="array" ref="ID25">IFERROR(INDEX('Margin Guidence Table'!$A$1:$AD$30000,MATCH(1,('Margin Guidence Table'!$A$1:$A$10000=IC25)*('Margin Guidence Table'!$H$1:$H$10000&lt;=ROUND($HU$3,0))*('Margin Guidence Table'!$G$1:$G$10000&gt;=ROUND($HU$3,0)),0),MATCH("DATA_POINTS",'Margin Guidence Table'!$A$1:$AC$1,0)),0)</f>
        <v>0</v>
      </c>
      <c r="IE25" s="1161" t="str">
        <f t="shared" si="41"/>
        <v>DEFAULT</v>
      </c>
      <c r="IF25" s="1161">
        <f t="array" ref="IF25">IFERROR(IF($IE25="SEGMENT",INDEX('Margin Guidence Table'!$A$1:$AC$10000,MATCH(1,('Margin Guidence Table'!$A$1:$A$10000=IC25)*('Margin Guidence Table'!$H$1:$H$10000&lt;=ROUND($HU$3,0))*('Margin Guidence Table'!$G$1:$G$10000&gt;=ROUND($HU$3,0)),0),MATCH("SALES_CASE",'Margin Guidence Table'!$A$1:$AC$1,0)),INDEX('Margin Guidence Table'!$A$1:$AC$10000,MATCH(1,('Margin Guidence Table'!$A$1:$A$10000=IC25)*('Margin Guidence Table'!$H$1:$H$10000&lt;=ROUND($HU$3,0))*('Margin Guidence Table'!$G$1:$G$10000&gt;=ROUND($HU$3,0)),0),MATCH("DEFAULT_SALES_CASE",'Margin Guidence Table'!$A$1:$AC$1,0))),0)</f>
        <v>0</v>
      </c>
      <c r="IG25" s="1161">
        <f t="array" ref="IG25">IFERROR(IF($IE25="SEGMENT",INDEX('Margin Guidence Table'!$A$1:$AC$10000,MATCH(1,('Margin Guidence Table'!$A$1:$A$10000=IC25)*('Margin Guidence Table'!$H$1:$H$10000&lt;=ROUND($HU$3,0))*('Margin Guidence Table'!$G$1:$G$10000&gt;=ROUND($HU$3,0)),0),MATCH("SALES_LBS",'Margin Guidence Table'!$A$1:$AC$1,0)),INDEX('Margin Guidence Table'!$A$1:$AC$10000,MATCH(1,('Margin Guidence Table'!$A$1:$A$10000=IC25)*('Margin Guidence Table'!$H$1:$H$10000&lt;=ROUND($HU$3,0))*('Margin Guidence Table'!$G$1:$G$10000&gt;=ROUND($HU$3,0)),0),MATCH("DEFAULT_SALES_LBS",'Margin Guidence Table'!$A$1:$AC$1,0))),0)</f>
        <v>0</v>
      </c>
      <c r="IH25" s="1165">
        <f t="array" ref="IH25">IFERROR(IF($IE25="SEGMENT",INDEX('Margin Guidence Table'!$A$1:$AC$10000,MATCH(1,('Margin Guidence Table'!$A$1:$A$10000=IC25)*('Margin Guidence Table'!$H$1:$H$10000&lt;=ROUND($HU$3,0))*('Margin Guidence Table'!$G$1:$G$10000&gt;=ROUND($HU$3,0)),0),MATCH("MDA_MIN_MARGIN_GUIDENCE",'Margin Guidence Table'!$A$1:$AC$1,0)),INDEX('Margin Guidence Table'!$A$1:$AC$10000,MATCH(1,('Margin Guidence Table'!$A$1:$A$10000=IC25)*('Margin Guidence Table'!$H$1:$H$10000&lt;=ROUND($HU$3,0))*('Margin Guidence Table'!$G$1:$G$10000&gt;=ROUND($HU$3,0)),0),MATCH("DEFAULT_MDA_MIN_MARGIN_GUIDENCE",'Margin Guidence Table'!$A$1:$AC$1,0))),0)</f>
        <v>0</v>
      </c>
      <c r="II25" s="1165">
        <f t="array" ref="II25">IFERROR(IF($IE25="SEGMENT",INDEX('Margin Guidence Table'!$A$1:$AC$10000,MATCH(1,('Margin Guidence Table'!$A$1:$A$10000=IC25)*('Margin Guidence Table'!$H$1:$H$10000&lt;=ROUND($HU$3,0))*('Margin Guidence Table'!$G$1:$G$10000&gt;=ROUND($HU$3,0)),0),MATCH("MDA_MEDIAN_MARGIN_GUIDENCE",'Margin Guidence Table'!$A$1:$AC$1,0)),INDEX('Margin Guidence Table'!$A$1:$AC$10000,MATCH(1,('Margin Guidence Table'!$A$1:$A$10000=IC25)*('Margin Guidence Table'!$H$1:$H$10000&lt;=ROUND($HU$3,0))*('Margin Guidence Table'!$G$1:$G$10000&gt;=ROUND($HU$3,0)),0),MATCH("DEFAULT_MDA_MEDIAN_MARGIN_GUIDENCE",'Margin Guidence Table'!$A$1:$AC$1,0))),0)</f>
        <v>0</v>
      </c>
      <c r="IJ25" s="1165">
        <f t="array" ref="IJ25">IFERROR(IF($IE25="SEGMENT",INDEX('Margin Guidence Table'!$A$1:$AC$10000,MATCH(1,('Margin Guidence Table'!$A$1:$A$10000=IC25)*('Margin Guidence Table'!$H$1:$H$10000&lt;=ROUND($HU$3,0))*('Margin Guidence Table'!$G$1:$G$10000&gt;=ROUND($HU$3,0)),0),MATCH("MDA_MAX_MARGIN_GUIDENCE",'Margin Guidence Table'!$A$1:$AC$1,0)),INDEX('Margin Guidence Table'!$A$1:$AC$10000,MATCH(1,('Margin Guidence Table'!$A$1:$A$10000=IC25)*('Margin Guidence Table'!$H$1:$H$10000&lt;=ROUND($HU$3,0))*('Margin Guidence Table'!$G$1:$G$10000&gt;=ROUND($HU$3,0)),0),MATCH("DEFAULT_MDA_MAX_MARGIN_GUIDENCE",'Margin Guidence Table'!$A$1:$AC$1,0))),0)</f>
        <v>0</v>
      </c>
      <c r="IK25" s="1165">
        <f t="array" ref="IK25">IFERROR(IF($IE25="SEGMENT",INDEX('Margin Guidence Table'!$A$1:$AC$10000,MATCH(1,('Margin Guidence Table'!$A$1:$A$10000=IC25)*('Margin Guidence Table'!$H$1:$H$10000&lt;=ROUND($HU$3,0))*('Margin Guidence Table'!$G$1:$G$10000&gt;=ROUND($HU$3,0)),0),MATCH("PA_PCT_SALES",'Margin Guidence Table'!$A$1:$AC$1,0)),INDEX('Margin Guidence Table'!$A$1:$AC$10000,MATCH(1,('Margin Guidence Table'!$A$1:$A$10000=IC25)*('Margin Guidence Table'!$H$1:$H$10000&lt;=ROUND($HU$3,0))*('Margin Guidence Table'!$G$1:$G$10000&gt;=ROUND($HU$3,0)),0),MATCH("DEFAULT_PA_PCT_SALES",'Margin Guidence Table'!$A$1:$AC$1,0))),0)</f>
        <v>0</v>
      </c>
      <c r="IL25" s="1165">
        <f t="array" ref="IL25">IFERROR(IF($IE25="SEGMENT",INDEX('Margin Guidence Table'!$A$1:$AC$10000,MATCH(1,('Margin Guidence Table'!$A$1:$A$10000=IC25)*('Margin Guidence Table'!$H$1:$H$10000&lt;=ROUND($HU$3,0))*('Margin Guidence Table'!$G$1:$G$10000&gt;=ROUND($HU$3,0)),0),MATCH("SELF_FUND_PCT_SALES",'Margin Guidence Table'!$A$1:$AC$1,0)),INDEX('Margin Guidence Table'!$A$1:$AC$10000,MATCH(1,('Margin Guidence Table'!$A$1:$A$10000=IC25)*('Margin Guidence Table'!$H$1:$H$10000&lt;=ROUND($HU$3,0))*('Margin Guidence Table'!$G$1:$G$10000&gt;=ROUND($HU$3,0)),0),MATCH("DEFAULT_SELF_FUND_PCT_SALES",'Margin Guidence Table'!$A$1:$AC$1,0))),0)</f>
        <v>0</v>
      </c>
      <c r="IM25" s="1165">
        <f t="array" ref="IM25">IFERROR(IF($IE25="SEGMENT",INDEX('Margin Guidence Table'!$A$1:$AC$10000,MATCH(1,('Margin Guidence Table'!$A$1:$A$10000=IC25)*('Margin Guidence Table'!$H$1:$H$10000&lt;=ROUND($HU$3,0))*('Margin Guidence Table'!$G$1:$G$10000&gt;=ROUND($HU$3,0)),0),MATCH("CIA_MEDIAN_MARGIN_GUIDENCE",'Margin Guidence Table'!$A$1:$AC$1,0)),INDEX('Margin Guidence Table'!$A$1:$AC$10000,MATCH(1,('Margin Guidence Table'!$A$1:$A$10000=IC25)*('Margin Guidence Table'!$H$1:$H$10000&lt;=ROUND($HU$3,0))*('Margin Guidence Table'!$G$1:$G$10000&gt;=ROUND($HU$3,0)),0),MATCH("DEFAULT_CIA_MEDIAN_MARGIN_GUIDENCE",'Margin Guidence Table'!$A$1:$AC$1,0))),0)</f>
        <v>0</v>
      </c>
      <c r="IN25" s="129"/>
      <c r="IO25" s="18">
        <f t="array" ref="IO25">IFERROR(IF($JA25="SEGMENT",INDEX('Margin Guidence Table'!$A$1:$AC$10000,MATCH(1,('Margin Guidence Table'!$A$1:$A$10000=$IY25)*('Margin Guidence Table'!$H$1:$H$10000&lt;=ROUND($IQ$3,0))*('Margin Guidence Table'!$G$1:$G$10000&gt;=ROUND($IQ$3,0)),0),MATCH("PCT_SALES",'Margin Guidence Table'!$A$1:$AC$1,0)),INDEX('Margin Guidence Table'!$A$1:$AC$10000,MATCH(1,('Margin Guidence Table'!$A$1:$A$10000=$IY25)*('Margin Guidence Table'!$H$1:$H$10000&lt;=ROUND($IQ$3,0))*('Margin Guidence Table'!$G$1:$G$10000&gt;=ROUND($IQ$3,0)),0),MATCH("DEFAULT_PCT_SALES",'Margin Guidence Table'!$A$1:$AC$1,0))),0)</f>
        <v>0</v>
      </c>
      <c r="IP25" s="102" t="s">
        <v>93</v>
      </c>
      <c r="IQ25" s="94">
        <f>IFERROR(IF(AND($IQ$2&lt;&gt;"Enter Spend&gt;&gt;&gt;",IR2="EXISTING"),SUMIFS('Existing Customers'!$Q:$Q,'Existing Customers'!$A:$A,$IQ$1,'Existing Customers'!$H:$H,$IP25)*$IQ$4,$IQ$3*$IO25),0)</f>
        <v>0</v>
      </c>
      <c r="IR25" s="89">
        <f>IFERROR(IF(AND($IQ$2&lt;&gt;"Enter Spend&gt;&gt;&gt;",IR2="EXISTING"),SUMIFS('Existing Customers'!$N:$N,'Existing Customers'!$A:$A,$IQ$1,'Existing Customers'!$H:$H,$IP25)*$IQ$4,$IQ25/$JB25),0)</f>
        <v>0</v>
      </c>
      <c r="IS25" s="95">
        <f>IFERROR(IF(AND($IQ$2&lt;&gt;"Enter Spend&gt;&gt;&gt;",IR2="EXISTING"),SUMIFS('Existing Customers'!$O:$O,'Existing Customers'!$H:$H,$IP25,'Existing Customers'!$A:$A,$IQ$1)*$IQ$4,$IR25*$IQ$8),0)</f>
        <v>0</v>
      </c>
      <c r="IT25" s="95">
        <f>IFERROR(IF(AND($IQ$2&lt;&gt;"Enter Spend&gt;&gt;&gt;",IR2="EXISTING"),SUMIFS('Existing Customers'!$P:$P,'Existing Customers'!$A:$A,$IQ$1,'Existing Customers'!$H:$H,$IP25)*$IQ$4,$IQ25/$JC25),0)</f>
        <v>0</v>
      </c>
      <c r="IU25" s="402">
        <f>IFERROR(IF(AND($IQ$2&lt;&gt;"Enter Spend&gt;&gt;&gt;",IR2="EXISTING"),SUMIFS('Existing Customers'!$V:$V,'Existing Customers'!$H:$H,$IP25,'Existing Customers'!$A:$A,$IQ$1)*$IQ$4,0),0)</f>
        <v>0</v>
      </c>
      <c r="IV25" s="96">
        <f>IFERROR(IF(AND($IQ$2&lt;&gt;"Enter Spend&gt;&gt;&gt;",IR2="EXISTING"),SUMIFS('Existing Customers'!$R:$R,'Existing Customers'!$H:$H,$IP25,'Existing Customers'!$A:$A,$IQ$1)*$IQ$4,0),0)</f>
        <v>0</v>
      </c>
      <c r="IW25" s="1161">
        <f>IFERROR(IF(AND($IQ$2&lt;&gt;"Enter Spend&gt;&gt;&gt;",IR2="EXISTING"),SUMIFS('Existing Customers'!$S:$S,'Existing Customers'!$H:$H,$IP25,'Existing Customers'!$A:$A,$IQ$1),JG25*IQ25),0)</f>
        <v>0</v>
      </c>
      <c r="IX25" s="1161">
        <f>IFERROR(IF(AND($IQ$2&lt;&gt;"Enter Spend&gt;&gt;&gt;",IR2="EXISTING"),SUMIFS('Existing Customers'!$U:$U,'Existing Customers'!$H:$H,$IP25,'Existing Customers'!$A:$A,$IQ$1),JH25*IQ25),0)</f>
        <v>0</v>
      </c>
      <c r="IY25" s="1164" t="e">
        <f t="shared" si="42"/>
        <v>#N/A</v>
      </c>
      <c r="IZ25" s="1164">
        <f t="array" ref="IZ25">IFERROR(INDEX('Margin Guidence Table'!$A$1:$AD$30000,MATCH(1,('Margin Guidence Table'!$A$1:$A$10000=IY25)*('Margin Guidence Table'!$H$1:$H$10000&lt;=ROUND($IQ$3,0))*('Margin Guidence Table'!$G$1:$G$10000&gt;=ROUND($IQ$3,0)),0),MATCH("DATA_POINTS",'Margin Guidence Table'!$A$1:$AC$1,0)),0)</f>
        <v>0</v>
      </c>
      <c r="JA25" s="1161" t="str">
        <f t="shared" si="43"/>
        <v>DEFAULT</v>
      </c>
      <c r="JB25" s="1161">
        <f t="array" ref="JB25">IFERROR(IF($JA25="SEGMENT",INDEX('Margin Guidence Table'!$A$1:$AC$10000,MATCH(1,('Margin Guidence Table'!$A$1:$A$10000=IY25)*('Margin Guidence Table'!$H$1:$H$10000&lt;=ROUND($IQ$3,0))*('Margin Guidence Table'!$G$1:$G$10000&gt;=ROUND($IQ$3,0)),0),MATCH("SALES_CASE",'Margin Guidence Table'!$A$1:$AC$1,0)),INDEX('Margin Guidence Table'!$A$1:$AC$10000,MATCH(1,('Margin Guidence Table'!$A$1:$A$10000=IY25)*('Margin Guidence Table'!$H$1:$H$10000&lt;=ROUND($IQ$3,0))*('Margin Guidence Table'!$G$1:$G$10000&gt;=ROUND($IQ$3,0)),0),MATCH("DEFAULT_SALES_CASE",'Margin Guidence Table'!$A$1:$AC$1,0))),0)</f>
        <v>0</v>
      </c>
      <c r="JC25" s="1161">
        <f t="array" ref="JC25">IFERROR(IF($JA25="SEGMENT",INDEX('Margin Guidence Table'!$A$1:$AC$10000,MATCH(1,('Margin Guidence Table'!$A$1:$A$10000=IY25)*('Margin Guidence Table'!$H$1:$H$10000&lt;=ROUND($IQ$3,0))*('Margin Guidence Table'!$G$1:$G$10000&gt;=ROUND($IQ$3,0)),0),MATCH("SALES_LBS",'Margin Guidence Table'!$A$1:$AC$1,0)),INDEX('Margin Guidence Table'!$A$1:$AC$10000,MATCH(1,('Margin Guidence Table'!$A$1:$A$10000=IY25)*('Margin Guidence Table'!$H$1:$H$10000&lt;=ROUND($IQ$3,0))*('Margin Guidence Table'!$G$1:$G$10000&gt;=ROUND($IQ$3,0)),0),MATCH("DEFAULT_SALES_LBS",'Margin Guidence Table'!$A$1:$AC$1,0))),0)</f>
        <v>0</v>
      </c>
      <c r="JD25" s="1165">
        <f t="array" ref="JD25">IFERROR(IF($JA25="SEGMENT",INDEX('Margin Guidence Table'!$A$1:$AC$10000,MATCH(1,('Margin Guidence Table'!$A$1:$A$10000=IY25)*('Margin Guidence Table'!$H$1:$H$10000&lt;=ROUND($IQ$3,0))*('Margin Guidence Table'!$G$1:$G$10000&gt;=ROUND($IQ$3,0)),0),MATCH("MDA_MIN_MARGIN_GUIDENCE",'Margin Guidence Table'!$A$1:$AC$1,0)),INDEX('Margin Guidence Table'!$A$1:$AC$10000,MATCH(1,('Margin Guidence Table'!$A$1:$A$10000=IY25)*('Margin Guidence Table'!$H$1:$H$10000&lt;=ROUND($IQ$3,0))*('Margin Guidence Table'!$G$1:$G$10000&gt;=ROUND($IQ$3,0)),0),MATCH("DEFAULT_MDA_MIN_MARGIN_GUIDENCE",'Margin Guidence Table'!$A$1:$AC$1,0))),0)</f>
        <v>0</v>
      </c>
      <c r="JE25" s="1165">
        <f t="array" ref="JE25">IFERROR(IF($JA25="SEGMENT",INDEX('Margin Guidence Table'!$A$1:$AC$10000,MATCH(1,('Margin Guidence Table'!$A$1:$A$10000=IY25)*('Margin Guidence Table'!$H$1:$H$10000&lt;=ROUND($IQ$3,0))*('Margin Guidence Table'!$G$1:$G$10000&gt;=ROUND($IQ$3,0)),0),MATCH("MDA_MEDIAN_MARGIN_GUIDENCE",'Margin Guidence Table'!$A$1:$AC$1,0)),INDEX('Margin Guidence Table'!$A$1:$AC$10000,MATCH(1,('Margin Guidence Table'!$A$1:$A$10000=IY25)*('Margin Guidence Table'!$H$1:$H$10000&lt;=ROUND($IQ$3,0))*('Margin Guidence Table'!$G$1:$G$10000&gt;=ROUND($IQ$3,0)),0),MATCH("DEFAULT_MDA_MEDIAN_MARGIN_GUIDENCE",'Margin Guidence Table'!$A$1:$AC$1,0))),0)</f>
        <v>0</v>
      </c>
      <c r="JF25" s="1165">
        <f t="array" ref="JF25">IFERROR(IF($JA25="SEGMENT",INDEX('Margin Guidence Table'!$A$1:$AC$10000,MATCH(1,('Margin Guidence Table'!$A$1:$A$10000=IY25)*('Margin Guidence Table'!$H$1:$H$10000&lt;=ROUND($IQ$3,0))*('Margin Guidence Table'!$G$1:$G$10000&gt;=ROUND($IQ$3,0)),0),MATCH("MDA_MAX_MARGIN_GUIDENCE",'Margin Guidence Table'!$A$1:$AC$1,0)),INDEX('Margin Guidence Table'!$A$1:$AC$10000,MATCH(1,('Margin Guidence Table'!$A$1:$A$10000=IY25)*('Margin Guidence Table'!$H$1:$H$10000&lt;=ROUND($IQ$3,0))*('Margin Guidence Table'!$G$1:$G$10000&gt;=ROUND($IQ$3,0)),0),MATCH("DEFAULT_MDA_MAX_MARGIN_GUIDENCE",'Margin Guidence Table'!$A$1:$AC$1,0))),0)</f>
        <v>0</v>
      </c>
      <c r="JG25" s="1165">
        <f t="array" ref="JG25">IFERROR(IF($JA25="SEGMENT",INDEX('Margin Guidence Table'!$A$1:$AC$10000,MATCH(1,('Margin Guidence Table'!$A$1:$A$10000=IY25)*('Margin Guidence Table'!$H$1:$H$10000&lt;=ROUND($IQ$3,0))*('Margin Guidence Table'!$G$1:$G$10000&gt;=ROUND($IQ$3,0)),0),MATCH("PA_PCT_SALES",'Margin Guidence Table'!$A$1:$AC$1,0)),INDEX('Margin Guidence Table'!$A$1:$AC$10000,MATCH(1,('Margin Guidence Table'!$A$1:$A$10000=IY25)*('Margin Guidence Table'!$H$1:$H$10000&lt;=ROUND($IQ$3,0))*('Margin Guidence Table'!$G$1:$G$10000&gt;=ROUND($IQ$3,0)),0),MATCH("DEFAULT_PA_PCT_SALES",'Margin Guidence Table'!$A$1:$AC$1,0))),0)</f>
        <v>0</v>
      </c>
      <c r="JH25" s="1165">
        <f t="array" ref="JH25">IFERROR(IF($JA25="SEGMENT",INDEX('Margin Guidence Table'!$A$1:$AC$10000,MATCH(1,('Margin Guidence Table'!$A$1:$A$10000=IY25)*('Margin Guidence Table'!$H$1:$H$10000&lt;=ROUND($IQ$3,0))*('Margin Guidence Table'!$G$1:$G$10000&gt;=ROUND($IQ$3,0)),0),MATCH("SELF_FUND_PCT_SALES",'Margin Guidence Table'!$A$1:$AC$1,0)),INDEX('Margin Guidence Table'!$A$1:$AC$10000,MATCH(1,('Margin Guidence Table'!$A$1:$A$10000=IY25)*('Margin Guidence Table'!$H$1:$H$10000&lt;=ROUND($IQ$3,0))*('Margin Guidence Table'!$G$1:$G$10000&gt;=ROUND($IQ$3,0)),0),MATCH("DEFAULT_SELF_FUND_PCT_SALES",'Margin Guidence Table'!$A$1:$AC$1,0))),0)</f>
        <v>0</v>
      </c>
      <c r="JI25" s="1165">
        <f t="array" ref="JI25">IFERROR(IF($JA25="SEGMENT",INDEX('Margin Guidence Table'!$A$1:$AC$10000,MATCH(1,('Margin Guidence Table'!$A$1:$A$10000=IY25)*('Margin Guidence Table'!$H$1:$H$10000&lt;=ROUND($IQ$3,0))*('Margin Guidence Table'!$G$1:$G$10000&gt;=ROUND($IQ$3,0)),0),MATCH("CIA_MEDIAN_MARGIN_GUIDENCE",'Margin Guidence Table'!$A$1:$AC$1,0)),INDEX('Margin Guidence Table'!$A$1:$AC$10000,MATCH(1,('Margin Guidence Table'!$A$1:$A$10000=IY25)*('Margin Guidence Table'!$H$1:$H$10000&lt;=ROUND($IQ$3,0))*('Margin Guidence Table'!$G$1:$G$10000&gt;=ROUND($IQ$3,0)),0),MATCH("DEFAULT_CIA_MEDIAN_MARGIN_GUIDENCE",'Margin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44"/>
        <v>#DIV/0!</v>
      </c>
      <c r="AV26" s="400"/>
      <c r="AW26" s="400"/>
      <c r="AX26" s="108">
        <v>15</v>
      </c>
      <c r="AY26" s="18">
        <f t="array" ref="AY26">IFERROR(IF($BK26="SEGMENT",INDEX('Margin Guidence Table'!$A$1:$AC$10000,MATCH(1,('Margin Guidence Table'!$A$1:$A$10000=$BI26)*('Margin Guidence Table'!$H$1:$H$10000&lt;=ROUND($BA$3,0))*('Margin Guidence Table'!$G$1:$G$10000&gt;=ROUND($BA$3,0)),0),MATCH("PCT_SALES",'Margin Guidence Table'!$A$1:$AC$1,0)),INDEX('Margin Guidence Table'!$A$1:$AC$10000,MATCH(1,('Margin Guidence Table'!$A$1:$A$10000=$BI26)*('Margin Guidence Table'!$H$1:$H$10000&lt;=ROUND($BA$3,0))*('Margin Guidence Table'!$G$1:$G$10000&gt;=ROUND($BA$3,0)),0),MATCH("DEFAULT_PCT_SALES",'Margin Guidence Table'!$A$1:$AC$1,0))),0)</f>
        <v>0</v>
      </c>
      <c r="AZ26" s="102" t="s">
        <v>105</v>
      </c>
      <c r="BA26" s="94">
        <f>IFERROR(IF(AND($BA$2&lt;&gt;"Enter Spend&gt;&gt;&gt;",BB2="EXISTING"),SUMIFS('Existing Customers'!$Q:$Q,'Existing Customers'!$A:$A,$BA$1,'Existing Customers'!$H:$H,$AZ26)*$BA$4,$BA$3*$AY26),0)</f>
        <v>0</v>
      </c>
      <c r="BB26" s="95">
        <f>IFERROR(IF(AND($BA$2&lt;&gt;"Enter Spend&gt;&gt;&gt;",BB2="EXISTING"),SUMIFS('Existing Customers'!$N:$N,'Existing Customers'!$A:$A,$BA$1,'Existing Customers'!$H:$H,$AZ26)*$BA$4,$BA26/$BL26),0)</f>
        <v>0</v>
      </c>
      <c r="BC26" s="95">
        <f>IFERROR(IF(AND($BA$2&lt;&gt;"Enter Spend&gt;&gt;&gt;",BB2="EXISTING"),SUMIFS('Existing Customers'!$O:$O,'Existing Customers'!$H:$H,$AZ26,'Existing Customers'!$A:$A,$BA$1)*$BA$4,$BB26*$BA$8),0)</f>
        <v>0</v>
      </c>
      <c r="BD26" s="95">
        <f>IFERROR(IF(AND($BA$2&lt;&gt;"Enter Spend&gt;&gt;&gt;",BB2="EXISTING"),SUMIFS('Existing Customers'!$P:$P,'Existing Customers'!$A:$A,$BA$1,'Existing Customers'!$H:$H,$AZ26)*$BA$4,$BA26/$BM26),0)</f>
        <v>0</v>
      </c>
      <c r="BE26" s="402">
        <f>IFERROR(IF(AND($BA$2&lt;&gt;"Enter Spend&gt;&gt;&gt;",BB2="EXISTING"),SUMIFS('Existing Customers'!$V:$V,'Existing Customers'!$H:$H,$AZ26,'Existing Customers'!$A:$A,$BA$1)*$BA$4,0),0)</f>
        <v>0</v>
      </c>
      <c r="BF26" s="96">
        <f>IFERROR(IF(AND($BA$2&lt;&gt;"Enter Spend&gt;&gt;&gt;",BB2="EXISTING"),SUMIFS('Existing Customers'!$R:$R,'Existing Customers'!$H:$H,$AZ26,'Existing Customers'!$A:$A,$BA$1)*$BA$4,0),0)</f>
        <v>0</v>
      </c>
      <c r="BG26" s="96">
        <f>IFERROR(IF(AND($BA$2&lt;&gt;"Enter Spend&gt;&gt;&gt;",BB2="EXISTING"),SUMIFS('Existing Customers'!$S:$S,'Existing Customers'!$H:$H,$AZ26,'Existing Customers'!$A:$A,$BA$1),BQ26*BA26),0)</f>
        <v>0</v>
      </c>
      <c r="BH26" s="96">
        <f>IFERROR(IF(AND($BA$2&lt;&gt;"Enter Spend&gt;&gt;&gt;",BB2="EXISTING"),SUMIFS('Existing Customers'!$U:$U,'Existing Customers'!$H:$H,$AZ26,'Existing Customers'!$A:$A,$BA$1),BR26*BA26),0)</f>
        <v>0</v>
      </c>
      <c r="BI26" s="1163" t="e">
        <f t="shared" si="24"/>
        <v>#N/A</v>
      </c>
      <c r="BJ26" s="1164">
        <f t="array" ref="BJ26">IFERROR(INDEX('Margin Guidence Table'!$A$1:$AD$30000,MATCH(1,('Margin Guidence Table'!$A$1:$A$10000=$BI26)*('Margin Guidence Table'!$H$1:$H$10000&lt;=ROUND($BA$3,0))*('Margin Guidence Table'!$G$1:$G$10000&gt;=ROUND($BA$3,0)),0),MATCH("DATA_POINTS",'Margin Guidence Table'!$A$1:$AC$1,0)),0)</f>
        <v>0</v>
      </c>
      <c r="BK26" s="1161" t="str">
        <f t="shared" si="25"/>
        <v>DEFAULT</v>
      </c>
      <c r="BL26" s="1161">
        <f t="array" ref="BL26">IFERROR(IF($BK26="SEGMENT",INDEX('Margin Guidence Table'!$A$1:$AC$10000,MATCH(1,('Margin Guidence Table'!$A$1:$A$10000=$BI26)*('Margin Guidence Table'!$H$1:$H$10000&lt;=ROUND($BA$3,0))*('Margin Guidence Table'!$G$1:$G$10000&gt;=ROUND($BA$3,0)),0),MATCH("SALES_CASE",'Margin Guidence Table'!$A$1:$AC$1,0)),INDEX('Margin Guidence Table'!$A$1:$AC$10000,MATCH(1,('Margin Guidence Table'!$A$1:$A$10000=$BI26)*('Margin Guidence Table'!$H$1:$H$10000&lt;=ROUND($BA$3,0))*('Margin Guidence Table'!$G$1:$G$10000&gt;=ROUND($BA$3,0)),0),MATCH("DEFAULT_SALES_CASE",'Margin Guidence Table'!$A$1:$AC$1,0))),0)</f>
        <v>0</v>
      </c>
      <c r="BM26" s="1161">
        <f t="array" ref="BM26">IFERROR(IF($BK26="SEGMENT",INDEX('Margin Guidence Table'!$A$1:$AC$10000,MATCH(1,('Margin Guidence Table'!$A$1:$A$10000=$BI26)*('Margin Guidence Table'!$H$1:$H$10000&lt;=ROUND($BA$3,0))*('Margin Guidence Table'!$G$1:$G$10000&gt;=ROUND($BA$3,0)),0),MATCH("SALES_LBS",'Margin Guidence Table'!$A$1:$AC$1,0)),INDEX('Margin Guidence Table'!$A$1:$AC$10000,MATCH(1,('Margin Guidence Table'!$A$1:$A$10000=$BI26)*('Margin Guidence Table'!$H$1:$H$10000&lt;=ROUND($BA$3,0))*('Margin Guidence Table'!$G$1:$G$10000&gt;=ROUND($BA$3,0)),0),MATCH("DEFAULT_SALES_LBS",'Margin Guidence Table'!$A$1:$AC$1,0))),0)</f>
        <v>0</v>
      </c>
      <c r="BN26" s="1165">
        <f t="array" ref="BN26">IFERROR(IF($BK26="SEGMENT",INDEX('Margin Guidence Table'!$A$1:$AC$10000,MATCH(1,('Margin Guidence Table'!$A$1:$A$10000=$BI26)*('Margin Guidence Table'!$H$1:$H$10000&lt;=ROUND($BA$3,0))*('Margin Guidence Table'!$G$1:$G$10000&gt;=ROUND($BA$3,0)),0),MATCH("MDA_MIN_MARGIN_GUIDENCE",'Margin Guidence Table'!$A$1:$AC$1,0)),INDEX('Margin Guidence Table'!$A$1:$AC$10000,MATCH(1,('Margin Guidence Table'!$A$1:$A$10000=$BI26)*('Margin Guidence Table'!$H$1:$H$10000&lt;=ROUND($BA$3,0))*('Margin Guidence Table'!$G$1:$G$10000&gt;=ROUND($BA$3,0)),0),MATCH("DEFAULT_MDA_MIN_MARGIN_GUIDENCE",'Margin Guidence Table'!$A$1:$AC$1,0))),0)</f>
        <v>0</v>
      </c>
      <c r="BO26" s="1165">
        <f t="array" ref="BO26">IFERROR(IF($BK26="SEGMENT",INDEX('Margin Guidence Table'!$A$1:$AC$10000,MATCH(1,('Margin Guidence Table'!$A$1:$A$10000=$BI26)*('Margin Guidence Table'!$H$1:$H$10000&lt;=ROUND($BA$3,0))*('Margin Guidence Table'!$G$1:$G$10000&gt;=ROUND($BA$3,0)),0),MATCH("MDA_MEDIAN_MARGIN_GUIDENCE",'Margin Guidence Table'!$A$1:$AC$1,0)),INDEX('Margin Guidence Table'!$A$1:$AC$10000,MATCH(1,('Margin Guidence Table'!$A$1:$A$10000=$BI26)*('Margin Guidence Table'!$H$1:$H$10000&lt;=ROUND($BA$3,0))*('Margin Guidence Table'!$G$1:$G$10000&gt;=ROUND($BA$3,0)),0),MATCH("DEFAULT_MDA_MEDIAN_MARGIN_GUIDENCE",'Margin Guidence Table'!$A$1:$AC$1,0))),0)</f>
        <v>0</v>
      </c>
      <c r="BP26" s="1165">
        <f t="array" ref="BP26">IFERROR(IF($BK26="SEGMENT",INDEX('Margin Guidence Table'!$A$1:$AC$10000,MATCH(1,('Margin Guidence Table'!$A$1:$A$10000=$BI26)*('Margin Guidence Table'!$H$1:$H$10000&lt;=ROUND($BA$3,0))*('Margin Guidence Table'!$G$1:$G$10000&gt;=ROUND($BA$3,0)),0),MATCH("MDA_MAX_MARGIN_GUIDENCE",'Margin Guidence Table'!$A$1:$AC$1,0)),INDEX('Margin Guidence Table'!$A$1:$AC$10000,MATCH(1,('Margin Guidence Table'!$A$1:$A$10000=$BI26)*('Margin Guidence Table'!$H$1:$H$10000&lt;=ROUND($BA$3,0))*('Margin Guidence Table'!$G$1:$G$10000&gt;=ROUND($BA$3,0)),0),MATCH("DEFAULT_MDA_MAX_MARGIN_GUIDENCE",'Margin Guidence Table'!$A$1:$AC$1,0))),0)</f>
        <v>0</v>
      </c>
      <c r="BQ26" s="1165">
        <f t="array" ref="BQ26">IFERROR(IF($BK26="SEGMENT",INDEX('Margin Guidence Table'!$A$1:$AC$10000,MATCH(1,('Margin Guidence Table'!$A$1:$A$10000=$BI26)*('Margin Guidence Table'!$H$1:$H$10000&lt;=ROUND($BA$3,0))*('Margin Guidence Table'!$G$1:$G$10000&gt;=ROUND($BA$3,0)),0),MATCH("PA_PCT_SALES",'Margin Guidence Table'!$A$1:$AC$1,0)),INDEX('Margin Guidence Table'!$A$1:$AC$10000,MATCH(1,('Margin Guidence Table'!$A$1:$A$10000=$BI26)*('Margin Guidence Table'!$H$1:$H$10000&lt;=ROUND($BA$3,0))*('Margin Guidence Table'!$G$1:$G$10000&gt;=ROUND($BA$3,0)),0),MATCH("DEFAULT_PA_PCT_SALES",'Margin Guidence Table'!$A$1:$AC$1,0))),0)</f>
        <v>0</v>
      </c>
      <c r="BR26" s="1165">
        <f t="array" ref="BR26">IFERROR(IF($BK26="SEGMENT",INDEX('Margin Guidence Table'!$A$1:$AC$10000,MATCH(1,('Margin Guidence Table'!$A$1:$A$10000=$BI26)*('Margin Guidence Table'!$H$1:$H$10000&lt;=ROUND($BA$3,0))*('Margin Guidence Table'!$G$1:$G$10000&gt;=ROUND($BA$3,0)),0),MATCH("SELF_FUND_PCT_SALES",'Margin Guidence Table'!$A$1:$AC$1,0)),INDEX('Margin Guidence Table'!$A$1:$AC$10000,MATCH(1,('Margin Guidence Table'!$A$1:$A$10000=$BI26)*('Margin Guidence Table'!$H$1:$H$10000&lt;=ROUND($BA$3,0))*('Margin Guidence Table'!$G$1:$G$10000&gt;=ROUND($BA$3,0)),0),MATCH("DEFAULT_SELF_FUND_PCT_SALES",'Margin Guidence Table'!$A$1:$AC$1,0))),0)</f>
        <v>0</v>
      </c>
      <c r="BS26" s="1165">
        <f t="array" ref="BS26">IFERROR(IF($BK26="SEGMENT",INDEX('Margin Guidence Table'!$A$1:$AC$10000,MATCH(1,('Margin Guidence Table'!$A$1:$A$10000=$BI26)*('Margin Guidence Table'!$H$1:$H$10000&lt;=ROUND($BA$3,0))*('Margin Guidence Table'!$G$1:$G$10000&gt;=ROUND($BA$3,0)),0),MATCH("CIA_MEDIAN_MARGIN_GUIDENCE",'Margin Guidence Table'!$A$1:$AC$1,0)),INDEX('Margin Guidence Table'!$A$1:$AC$10000,MATCH(1,('Margin Guidence Table'!$A$1:$A$10000=$BI26)*('Margin Guidence Table'!$H$1:$H$10000&lt;=ROUND($BA$3,0))*('Margin Guidence Table'!$G$1:$G$10000&gt;=ROUND($BA$3,0)),0),MATCH("DEFAULT_CIA_MEDIAN_MARGIN_GUIDENCE",'Margin Guidence Table'!$A$1:$AC$1,0))),0)</f>
        <v>0</v>
      </c>
      <c r="BT26" s="129"/>
      <c r="BU26" s="18">
        <f t="array" ref="BU26">IFERROR(IF($CG26="SEGMENT",INDEX('Margin Guidence Table'!$A$1:$AC$10000,MATCH(1,('Margin Guidence Table'!$A$1:$A$10000=$CE26)*('Margin Guidence Table'!$H$1:$H$10000&lt;=ROUND($BW$3,0))*('Margin Guidence Table'!$G$1:$G$10000&gt;=ROUND($BW$3,0)),0),MATCH("PCT_SALES",'Margin Guidence Table'!$A$1:$AC$1,0)),INDEX('Margin Guidence Table'!$A$1:$AC$10000,MATCH(1,('Margin Guidence Table'!$A$1:$A$10000=$CE26)*('Margin Guidence Table'!$H$1:$H$10000&lt;=ROUND($BW$3,0))*('Margin Guidence Table'!$G$1:$G$10000&gt;=ROUND($BW$3,0)),0),MATCH("DEFAULT_PCT_SALES",'Margin Guidence Table'!$A$1:$AC$1,0))),0)</f>
        <v>0</v>
      </c>
      <c r="BV26" s="102" t="s">
        <v>105</v>
      </c>
      <c r="BW26" s="94">
        <f>IFERROR(IF(AND($BW$2&lt;&gt;"Enter Spend&gt;&gt;&gt;",BX2="EXISTING"),SUMIFS('Existing Customers'!$Q:$Q,'Existing Customers'!$A:$A,$BW$1,'Existing Customers'!$H:$H,$BV26)*$BW$4,$BW$3*$BU26),0)</f>
        <v>0</v>
      </c>
      <c r="BX26" s="89">
        <f>IFERROR(IF(AND($BW$2&lt;&gt;"Enter Spend&gt;&gt;&gt;",BX2="EXISTING"),SUMIFS('Existing Customers'!$N:$N,'Existing Customers'!$A:$A,$BW$1,'Existing Customers'!$H:$H,$BV26)*$BW$4,$BW26/$CH26),0)</f>
        <v>0</v>
      </c>
      <c r="BY26" s="95">
        <f>IFERROR(IF(AND($BW$2&lt;&gt;"Enter Spend&gt;&gt;&gt;",BX2="EXISTING"),SUMIFS('Existing Customers'!$O:$O,'Existing Customers'!$H:$H,$BV26,'Existing Customers'!$A:$A,$BW$1)*$BW$4,$BX26*$BW$8),0)</f>
        <v>0</v>
      </c>
      <c r="BZ26" s="95">
        <f>IFERROR(IF(AND($BW$2&lt;&gt;"Enter Spend&gt;&gt;&gt;",BX2="EXISTING"),SUMIFS('Existing Customers'!$P:$P,'Existing Customers'!$A:$A,$BW$1,'Existing Customers'!$H:$H,$BV26)*$BW$4,$BW26/$CI26),0)</f>
        <v>0</v>
      </c>
      <c r="CA26" s="96">
        <f>IFERROR(IF(AND($BW$2&lt;&gt;"Enter Spend&gt;&gt;&gt;",BX2="EXISTING"),SUMIFS('Existing Customers'!$V:$V,'Existing Customers'!$H:$H,$BV26,'Existing Customers'!$A:$A,$BW$1)*$BW$4,0),0)</f>
        <v>0</v>
      </c>
      <c r="CB26" s="96">
        <f>IFERROR(IF(AND($BW$2&lt;&gt;"Enter Spend&gt;&gt;&gt;",BX2="EXISTING"),SUMIFS('Existing Customers'!$R:$R,'Existing Customers'!$H:$H,$BV26,'Existing Customers'!$A:$A,$BW$1)*$BW$4,0),0)</f>
        <v>0</v>
      </c>
      <c r="CC26" s="1161">
        <f>IFERROR(IF(AND($BW$2&lt;&gt;"Enter Spend&gt;&gt;&gt;",BX2="EXISTING"),SUMIFS('Existing Customers'!$S:$S,'Existing Customers'!$H:$H,$BV26,'Existing Customers'!$A:$A,$BW$1),CM26*BW26),0)</f>
        <v>0</v>
      </c>
      <c r="CD26" s="1161">
        <f>IFERROR(IF(AND($BW$2&lt;&gt;"Enter Spend&gt;&gt;&gt;",BX2="EXISTING"),SUMIFS('Existing Customers'!$U:$U,'Existing Customers'!$H:$H,$BV26,'Existing Customers'!$A:$A,$BW$1),CN26*BW26),0)</f>
        <v>0</v>
      </c>
      <c r="CE26" s="1164" t="e">
        <f t="shared" si="26"/>
        <v>#N/A</v>
      </c>
      <c r="CF26" s="1164">
        <f t="array" ref="CF26">IFERROR(INDEX('Margin Guidence Table'!$A$1:$AD$30000,MATCH(1,('Margin Guidence Table'!$A$1:$A$10000=$CE26)*('Margin Guidence Table'!$H$1:$H$10000&lt;=ROUND($BW$3,0))*('Margin Guidence Table'!$G$1:$G$10000&gt;=ROUND($BW$3,0)),0),MATCH("DATA_POINTS",'Margin Guidence Table'!$A$1:$AC$1,0)),0)</f>
        <v>0</v>
      </c>
      <c r="CG26" s="1161" t="str">
        <f t="shared" si="27"/>
        <v>DEFAULT</v>
      </c>
      <c r="CH26" s="1161">
        <f t="array" ref="CH26">IFERROR(IF($CG26="SEGMENT",INDEX('Margin Guidence Table'!$A$1:$AC$10000,MATCH(1,('Margin Guidence Table'!$A$1:$A$10000=$CE26)*('Margin Guidence Table'!$H$1:$H$10000&lt;=ROUND($BW$3,0))*('Margin Guidence Table'!$G$1:$G$10000&gt;=ROUND($BW$3,0)),0),MATCH("SALES_CASE",'Margin Guidence Table'!$A$1:$AC$1,0)),INDEX('Margin Guidence Table'!$A$1:$AC$10000,MATCH(1,('Margin Guidence Table'!$A$1:$A$10000=$CE26)*('Margin Guidence Table'!$H$1:$H$10000&lt;=ROUND($BW$3,0))*('Margin Guidence Table'!$G$1:$G$10000&gt;=ROUND($BW$3,0)),0),MATCH("DEFAULT_SALES_CASE",'Margin Guidence Table'!$A$1:$AC$1,0))),0)</f>
        <v>0</v>
      </c>
      <c r="CI26" s="1161">
        <f t="array" ref="CI26">IFERROR(IF($CG26="SEGMENT",INDEX('Margin Guidence Table'!$A$1:$AC$10000,MATCH(1,('Margin Guidence Table'!$A$1:$A$10000=$CE26)*('Margin Guidence Table'!$H$1:$H$10000&lt;=ROUND($BW$3,0))*('Margin Guidence Table'!$G$1:$G$10000&gt;=ROUND($BW$3,0)),0),MATCH("SALES_LBS",'Margin Guidence Table'!$A$1:$AC$1,0)),INDEX('Margin Guidence Table'!$A$1:$AC$10000,MATCH(1,('Margin Guidence Table'!$A$1:$A$10000=$CE26)*('Margin Guidence Table'!$H$1:$H$10000&lt;=ROUND($BW$3,0))*('Margin Guidence Table'!$G$1:$G$10000&gt;=ROUND($BW$3,0)),0),MATCH("DEFAULT_SALES_LBS",'Margin Guidence Table'!$A$1:$AC$1,0))),0)</f>
        <v>0</v>
      </c>
      <c r="CJ26" s="1165">
        <f t="array" ref="CJ26">IFERROR(IF($CG26="SEGMENT",INDEX('Margin Guidence Table'!$A$1:$AC$10000,MATCH(1,('Margin Guidence Table'!$A$1:$A$10000=$CE26)*('Margin Guidence Table'!$H$1:$H$10000&lt;=ROUND($BW$3,0))*('Margin Guidence Table'!$G$1:$G$10000&gt;=ROUND($BW$3,0)),0),MATCH("MDA_MIN_MARGIN_GUIDENCE",'Margin Guidence Table'!$A$1:$AC$1,0)),INDEX('Margin Guidence Table'!$A$1:$AC$10000,MATCH(1,('Margin Guidence Table'!$A$1:$A$10000=$CE26)*('Margin Guidence Table'!$H$1:$H$10000&lt;=ROUND($BW$3,0))*('Margin Guidence Table'!$G$1:$G$10000&gt;=ROUND($BW$3,0)),0),MATCH("DEFAULT_MDA_MIN_MARGIN_GUIDENCE",'Margin Guidence Table'!$A$1:$AC$1,0))),0)</f>
        <v>0</v>
      </c>
      <c r="CK26" s="1165">
        <f t="array" ref="CK26">IFERROR(IF($CG26="SEGMENT",INDEX('Margin Guidence Table'!$A$1:$AC$10000,MATCH(1,('Margin Guidence Table'!$A$1:$A$10000=$CE26)*('Margin Guidence Table'!$H$1:$H$10000&lt;=ROUND($BW$3,0))*('Margin Guidence Table'!$G$1:$G$10000&gt;=ROUND($BW$3,0)),0),MATCH("MDA_MEDIAN_MARGIN_GUIDENCE",'Margin Guidence Table'!$A$1:$AC$1,0)),INDEX('Margin Guidence Table'!$A$1:$AC$10000,MATCH(1,('Margin Guidence Table'!$A$1:$A$10000=$CE26)*('Margin Guidence Table'!$H$1:$H$10000&lt;=ROUND($BW$3,0))*('Margin Guidence Table'!$G$1:$G$10000&gt;=ROUND($BW$3,0)),0),MATCH("DEFAULT_MDA_MEDIAN_MARGIN_GUIDENCE",'Margin Guidence Table'!$A$1:$AC$1,0))),0)</f>
        <v>0</v>
      </c>
      <c r="CL26" s="1165">
        <f t="array" ref="CL26">IFERROR(IF($CG26="SEGMENT",INDEX('Margin Guidence Table'!$A$1:$AC$10000,MATCH(1,('Margin Guidence Table'!$A$1:$A$10000=$CE26)*('Margin Guidence Table'!$H$1:$H$10000&lt;=ROUND($BW$3,0))*('Margin Guidence Table'!$G$1:$G$10000&gt;=ROUND($BW$3,0)),0),MATCH("MDA_MAX_MARGIN_GUIDENCE",'Margin Guidence Table'!$A$1:$AC$1,0)),INDEX('Margin Guidence Table'!$A$1:$AC$10000,MATCH(1,('Margin Guidence Table'!$A$1:$A$10000=$CE26)*('Margin Guidence Table'!$H$1:$H$10000&lt;=ROUND($BW$3,0))*('Margin Guidence Table'!$G$1:$G$10000&gt;=ROUND($BW$3,0)),0),MATCH("DEFAULT_MDA_MAX_MARGIN_GUIDENCE",'Margin Guidence Table'!$A$1:$AC$1,0))),0)</f>
        <v>0</v>
      </c>
      <c r="CM26" s="1165">
        <f t="array" ref="CM26">IFERROR(IF($CG26="SEGMENT",INDEX('Margin Guidence Table'!$A$1:$AC$10000,MATCH(1,('Margin Guidence Table'!$A$1:$A$10000=$CE26)*('Margin Guidence Table'!$H$1:$H$10000&lt;=ROUND($BW$3,0))*('Margin Guidence Table'!$G$1:$G$10000&gt;=ROUND($BW$3,0)),0),MATCH("PA_PCT_SALES",'Margin Guidence Table'!$A$1:$AC$1,0)),INDEX('Margin Guidence Table'!$A$1:$AC$10000,MATCH(1,('Margin Guidence Table'!$A$1:$A$10000=$CE26)*('Margin Guidence Table'!$H$1:$H$10000&lt;=ROUND($BW$3,0))*('Margin Guidence Table'!$G$1:$G$10000&gt;=ROUND($BW$3,0)),0),MATCH("DEFAULT_PA_PCT_SALES",'Margin Guidence Table'!$A$1:$AC$1,0))),0)</f>
        <v>0</v>
      </c>
      <c r="CN26" s="1165">
        <f t="array" ref="CN26">IFERROR(IF($CG26="SEGMENT",INDEX('Margin Guidence Table'!$A$1:$AC$10000,MATCH(1,('Margin Guidence Table'!$A$1:$A$10000=$CE26)*('Margin Guidence Table'!$H$1:$H$10000&lt;=ROUND($BW$3,0))*('Margin Guidence Table'!$G$1:$G$10000&gt;=ROUND($BW$3,0)),0),MATCH("SELF_FUND_PCT_SALES",'Margin Guidence Table'!$A$1:$AC$1,0)),INDEX('Margin Guidence Table'!$A$1:$AC$10000,MATCH(1,('Margin Guidence Table'!$A$1:$A$10000=$CE26)*('Margin Guidence Table'!$H$1:$H$10000&lt;=ROUND($BW$3,0))*('Margin Guidence Table'!$G$1:$G$10000&gt;=ROUND($BW$3,0)),0),MATCH("DEFAULT_SELF_FUND_PCT_SALES",'Margin Guidence Table'!$A$1:$AC$1,0))),0)</f>
        <v>0</v>
      </c>
      <c r="CO26" s="1165">
        <f t="array" ref="CO26">IFERROR(IF($CG26="SEGMENT",INDEX('Margin Guidence Table'!$A$1:$AC$10000,MATCH(1,('Margin Guidence Table'!$A$1:$A$10000=$CE26)*('Margin Guidence Table'!$H$1:$H$10000&lt;=ROUND($BW$3,0))*('Margin Guidence Table'!$G$1:$G$10000&gt;=ROUND($BW$3,0)),0),MATCH("CIA_MEDIAN_MARGIN_GUIDENCE",'Margin Guidence Table'!$A$1:$AC$1,0)),INDEX('Margin Guidence Table'!$A$1:$AC$10000,MATCH(1,('Margin Guidence Table'!$A$1:$A$10000=$CE26)*('Margin Guidence Table'!$H$1:$H$10000&lt;=ROUND($BW$3,0))*('Margin Guidence Table'!$G$1:$G$10000&gt;=ROUND($BW$3,0)),0),MATCH("DEFAULT_CIA_MEDIAN_MARGIN_GUIDENCE",'Margin Guidence Table'!$A$1:$AC$1,0))),0)</f>
        <v>0</v>
      </c>
      <c r="CP26" s="129"/>
      <c r="CQ26" s="18">
        <f t="array" ref="CQ26">IFERROR(IF($DC26="SEGMENT",INDEX('Margin Guidence Table'!$A$1:$AC$10000,MATCH(1,('Margin Guidence Table'!$A$1:$A$10000=$DA26)*('Margin Guidence Table'!$H$1:$H$10000&lt;=ROUND($CS$3,0))*('Margin Guidence Table'!$G$1:$G$10000&gt;=ROUND($CS$3,0)),0),MATCH("PCT_SALES",'Margin Guidence Table'!$A$1:$AC$1,0)),INDEX('Margin Guidence Table'!$A$1:$AC$10000,MATCH(1,('Margin Guidence Table'!$A$1:$A$10000=$DA26)*('Margin Guidence Table'!$H$1:$H$10000&lt;=ROUND($CS$3,0))*('Margin Guidence Table'!$G$1:$G$10000&gt;=ROUND($CS$3,0)),0),MATCH("DEFAULT_PCT_SALES",'Margin Guidence Table'!$A$1:$AC$1,0))),0)</f>
        <v>0</v>
      </c>
      <c r="CR26" s="102" t="s">
        <v>105</v>
      </c>
      <c r="CS26" s="94">
        <f>IFERROR(IF(AND($CS$2&lt;&gt;"Enter Spend&gt;&gt;&gt;",CT2="EXISTING"),SUMIFS('Existing Customers'!$Q:$Q,'Existing Customers'!$A:$A,$CS$1,'Existing Customers'!$H:$H,$CR26)*$CS$4,$CS$3*$CQ26),0)</f>
        <v>0</v>
      </c>
      <c r="CT26" s="89">
        <f>IFERROR(IF(AND($CS$2&lt;&gt;"Enter Spend&gt;&gt;&gt;",CT2="EXISTING"),SUMIFS('Existing Customers'!$N:$N,'Existing Customers'!$A:$A,$CS$1,'Existing Customers'!$H:$H,$CR26)*$CS$4,$CS26/$DD26),0)</f>
        <v>0</v>
      </c>
      <c r="CU26" s="95">
        <f>IFERROR(IF(AND($CS$2&lt;&gt;"Enter Spend&gt;&gt;&gt;",BB28="EXISTING"),SUMIFS('Existing Customers'!$O:$O,'Existing Customers'!$H:$H,$CR26,'Existing Customers'!$A:$A,$CS$1)*$CS$4,$CT26*$CS$8),0)</f>
        <v>0</v>
      </c>
      <c r="CV26" s="95">
        <f>IFERROR(IF(AND($CS$2&lt;&gt;"Enter Spend&gt;&gt;&gt;",CT2="EXISTING"),SUMIFS('Existing Customers'!$P:$P,'Existing Customers'!$A:$A,$CS$1,'Existing Customers'!$H:$H,$CR26)*$CS$4,$CS26/$DE26),0)</f>
        <v>0</v>
      </c>
      <c r="CW26" s="96">
        <f>IFERROR(IF(AND($CS$2&lt;&gt;"Enter Spend&gt;&gt;&gt;",CT2="EXISTING"),SUMIFS('Existing Customers'!$V:$V,'Existing Customers'!$H:$H,$CR26,'Existing Customers'!$A:$A,$CS$1)*$CS$4,0),0)</f>
        <v>0</v>
      </c>
      <c r="CX26" s="96">
        <f>IFERROR(IF(AND($CS$2&lt;&gt;"Enter Spend&gt;&gt;&gt;",CT2="EXISTING"),SUMIFS('Existing Customers'!$R:$R,'Existing Customers'!$H:$H,$AZ26,'Existing Customers'!$A:$A,$CS$1)*$CS$4,0),0)</f>
        <v>0</v>
      </c>
      <c r="CY26" s="1161">
        <f>IFERROR(IF(AND($CS$2&lt;&gt;"Enter Spend&gt;&gt;&gt;",CT2="EXISTING"),SUMIFS('Existing Customers'!$S:$S,'Existing Customers'!$H:$H,$CR26,'Existing Customers'!$A:$A,$CS$1),DI26*CS26),0)</f>
        <v>0</v>
      </c>
      <c r="CZ26" s="1161">
        <f>IFERROR(IF(AND($CS$2&lt;&gt;"Enter Spend&gt;&gt;&gt;",CT2="EXISTING"),SUMIFS('Existing Customers'!$U:$U,'Existing Customers'!$H:$H,$CR26,'Existing Customers'!$A:$A,$CS$1),DJ26*CS26),0)</f>
        <v>0</v>
      </c>
      <c r="DA26" s="1164" t="e">
        <f t="shared" si="28"/>
        <v>#N/A</v>
      </c>
      <c r="DB26" s="1164">
        <f t="array" ref="DB26">IFERROR(INDEX('Margin Guidence Table'!$A$1:$AD$30000,MATCH(1,('Margin Guidence Table'!$A$1:$A$10000=DA26)*('Margin Guidence Table'!$H$1:$H$10000&lt;=ROUND($CS$3,0))*('Margin Guidence Table'!$G$1:$G$10000&gt;=ROUND($CS$3,0)),0),MATCH("DATA_POINTS",'Margin Guidence Table'!$A$1:$AC$1,0)),0)</f>
        <v>0</v>
      </c>
      <c r="DC26" s="1161" t="str">
        <f t="shared" si="29"/>
        <v>DEFAULT</v>
      </c>
      <c r="DD26" s="1161">
        <f t="array" ref="DD26">IFERROR(IF($DC26="SEGMENT",INDEX('Margin Guidence Table'!$A$1:$AC$10000,MATCH(1,('Margin Guidence Table'!$A$1:$A$10000=DA26)*('Margin Guidence Table'!$H$1:$H$10000&lt;=ROUND($CS$3,0))*('Margin Guidence Table'!$G$1:$G$10000&gt;=ROUND($CS$3,0)),0),MATCH("SALES_CASE",'Margin Guidence Table'!$A$1:$AC$1,0)),INDEX('Margin Guidence Table'!$A$1:$AC$10000,MATCH(1,('Margin Guidence Table'!$A$1:$A$10000=DA26)*('Margin Guidence Table'!$H$1:$H$10000&lt;=ROUND($CS$3,0))*('Margin Guidence Table'!$G$1:$G$10000&gt;=ROUND($CS$3,0)),0),MATCH("DEFAULT_SALES_CASE",'Margin Guidence Table'!$A$1:$AC$1,0))),0)</f>
        <v>0</v>
      </c>
      <c r="DE26" s="1161">
        <f t="array" ref="DE26">IFERROR(IF($DC26="SEGMENT",INDEX('Margin Guidence Table'!$A$1:$AC$10000,MATCH(1,('Margin Guidence Table'!$A$1:$A$10000=DA26)*('Margin Guidence Table'!$H$1:$H$10000&lt;=ROUND($CS$3,0))*('Margin Guidence Table'!$G$1:$G$10000&gt;=ROUND($CS$3,0)),0),MATCH("SALES_LBS",'Margin Guidence Table'!$A$1:$AC$1,0)),INDEX('Margin Guidence Table'!$A$1:$AC$10000,MATCH(1,('Margin Guidence Table'!$A$1:$A$10000=DA26)*('Margin Guidence Table'!$H$1:$H$10000&lt;=ROUND($CS$3,0))*('Margin Guidence Table'!$G$1:$G$10000&gt;=ROUND($CS$3,0)),0),MATCH("DEFAULT_SALES_LBS",'Margin Guidence Table'!$A$1:$AC$1,0))),0)</f>
        <v>0</v>
      </c>
      <c r="DF26" s="1165">
        <f t="array" ref="DF26">IFERROR(IF($DC26="SEGMENT",INDEX('Margin Guidence Table'!$A$1:$AC$10000,MATCH(1,('Margin Guidence Table'!$A$1:$A$10000=DA26)*('Margin Guidence Table'!$H$1:$H$10000&lt;=ROUND($CS$3,0))*('Margin Guidence Table'!$G$1:$G$10000&gt;=ROUND($CS$3,0)),0),MATCH("MDA_MIN_MARGIN_GUIDENCE",'Margin Guidence Table'!$A$1:$AC$1,0)),INDEX('Margin Guidence Table'!$A$1:$AC$10000,MATCH(1,('Margin Guidence Table'!$A$1:$A$10000=DA26)*('Margin Guidence Table'!$H$1:$H$10000&lt;=ROUND($CS$3,0))*('Margin Guidence Table'!$G$1:$G$10000&gt;=ROUND($CS$3,0)),0),MATCH("DEFAULT_MDA_MIN_MARGIN_GUIDENCE",'Margin Guidence Table'!$A$1:$AC$1,0))),0)</f>
        <v>0</v>
      </c>
      <c r="DG26" s="1165">
        <f t="array" ref="DG26">IFERROR(IF($DC26="SEGMENT",INDEX('Margin Guidence Table'!$A$1:$AC$10000,MATCH(1,('Margin Guidence Table'!$A$1:$A$10000=DA26)*('Margin Guidence Table'!$H$1:$H$10000&lt;=ROUND($CS$3,0))*('Margin Guidence Table'!$G$1:$G$10000&gt;=ROUND($CS$3,0)),0),MATCH("MDA_MEDIAN_MARGIN_GUIDENCE",'Margin Guidence Table'!$A$1:$AC$1,0)),INDEX('Margin Guidence Table'!$A$1:$AC$10000,MATCH(1,('Margin Guidence Table'!$A$1:$A$10000=DA26)*('Margin Guidence Table'!$H$1:$H$10000&lt;=ROUND($CS$3,0))*('Margin Guidence Table'!$G$1:$G$10000&gt;=ROUND($CS$3,0)),0),MATCH("DEFAULT_MDA_MEDIAN_MARGIN_GUIDENCE",'Margin Guidence Table'!$A$1:$AC$1,0))),0)</f>
        <v>0</v>
      </c>
      <c r="DH26" s="1165">
        <f t="array" ref="DH26">IFERROR(IF($DC26="SEGMENT",INDEX('Margin Guidence Table'!$A$1:$AC$10000,MATCH(1,('Margin Guidence Table'!$A$1:$A$10000=DA26)*('Margin Guidence Table'!$H$1:$H$10000&lt;=ROUND($CS$3,0))*('Margin Guidence Table'!$G$1:$G$10000&gt;=ROUND($CS$3,0)),0),MATCH("MDA_MAX_MARGIN_GUIDENCE",'Margin Guidence Table'!$A$1:$AC$1,0)),INDEX('Margin Guidence Table'!$A$1:$AC$10000,MATCH(1,('Margin Guidence Table'!$A$1:$A$10000=DA26)*('Margin Guidence Table'!$H$1:$H$10000&lt;=ROUND($CS$3,0))*('Margin Guidence Table'!$G$1:$G$10000&gt;=ROUND($CS$3,0)),0),MATCH("DEFAULT_MDA_MAX_MARGIN_GUIDENCE",'Margin Guidence Table'!$A$1:$AC$1,0))),0)</f>
        <v>0</v>
      </c>
      <c r="DI26" s="1165">
        <f t="array" ref="DI26">IFERROR(IF($DC26="SEGMENT",INDEX('Margin Guidence Table'!$A$1:$AC$10000,MATCH(1,('Margin Guidence Table'!$A$1:$A$10000=DA26)*('Margin Guidence Table'!$H$1:$H$10000&lt;=ROUND($CS$3,0))*('Margin Guidence Table'!$G$1:$G$10000&gt;=ROUND($CS$3,0)),0),MATCH("PA_PCT_SALES",'Margin Guidence Table'!$A$1:$AC$1,0)),INDEX('Margin Guidence Table'!$A$1:$AC$10000,MATCH(1,('Margin Guidence Table'!$A$1:$A$10000=DA26)*('Margin Guidence Table'!$H$1:$H$10000&lt;=ROUND($CS$3,0))*('Margin Guidence Table'!$G$1:$G$10000&gt;=ROUND($CS$3,0)),0),MATCH("DEFAULT_PA_PCT_SALES",'Margin Guidence Table'!$A$1:$AC$1,0))),0)</f>
        <v>0</v>
      </c>
      <c r="DJ26" s="1165">
        <f t="array" ref="DJ26">IFERROR(IF($DC26="SEGMENT",INDEX('Margin Guidence Table'!$A$1:$AC$10000,MATCH(1,('Margin Guidence Table'!$A$1:$A$10000=DA26)*('Margin Guidence Table'!$H$1:$H$10000&lt;=ROUND($CS$3,0))*('Margin Guidence Table'!$G$1:$G$10000&gt;=ROUND($CS$3,0)),0),MATCH("SELF_FUND_PCT_SALES",'Margin Guidence Table'!$A$1:$AC$1,0)),INDEX('Margin Guidence Table'!$A$1:$AC$10000,MATCH(1,('Margin Guidence Table'!$A$1:$A$10000=DA26)*('Margin Guidence Table'!$H$1:$H$10000&lt;=ROUND($CS$3,0))*('Margin Guidence Table'!$G$1:$G$10000&gt;=ROUND($CS$3,0)),0),MATCH("DEFAULT_SELF_FUND_PCT_SALES",'Margin Guidence Table'!$A$1:$AC$1,0))),0)</f>
        <v>0</v>
      </c>
      <c r="DK26" s="1165">
        <f t="array" ref="DK26">IFERROR(IF($DC26="SEGMENT",INDEX('Margin Guidence Table'!$A$1:$AC$10000,MATCH(1,('Margin Guidence Table'!$A$1:$A$10000=DA26)*('Margin Guidence Table'!$H$1:$H$10000&lt;=ROUND($CS$3,0))*('Margin Guidence Table'!$G$1:$G$10000&gt;=ROUND($CS$3,0)),0),MATCH("CIA_MEDIAN_MARGIN_GUIDENCE",'Margin Guidence Table'!$A$1:$AC$1,0)),INDEX('Margin Guidence Table'!$A$1:$AC$10000,MATCH(1,('Margin Guidence Table'!$A$1:$A$10000=DA26)*('Margin Guidence Table'!$H$1:$H$10000&lt;=ROUND($CS$3,0))*('Margin Guidence Table'!$G$1:$G$10000&gt;=ROUND($CS$3,0)),0),MATCH("DEFAULT_CIA_MEDIAN_MARGIN_GUIDENCE",'Margin Guidence Table'!$A$1:$AC$1,0))),0)</f>
        <v>0</v>
      </c>
      <c r="DL26" s="129"/>
      <c r="DM26" s="18">
        <f t="array" ref="DM26">IFERROR(IF($DY26="SEGMENT",INDEX('Margin Guidence Table'!$A$1:$AC$10000,MATCH(1,('Margin Guidence Table'!$A$1:$A$10000=$DW26)*('Margin Guidence Table'!$H$1:$H$10000&lt;=ROUND($DO$3,0))*('Margin Guidence Table'!$G$1:$G$10000&gt;=ROUND($DO$3,0)),0),MATCH("PCT_SALES",'Margin Guidence Table'!$A$1:$AC$1,0)),INDEX('Margin Guidence Table'!$A$1:$AC$10000,MATCH(1,('Margin Guidence Table'!$A$1:$A$10000=$DW26)*('Margin Guidence Table'!$H$1:$H$10000&lt;=ROUND($DO$3,0))*('Margin Guidence Table'!$G$1:$G$10000&gt;=ROUND($DO$3,0)),0),MATCH("DEFAULT_PCT_SALES",'Margin Guidence Table'!$A$1:$AC$1,0))),0)</f>
        <v>0</v>
      </c>
      <c r="DN26" s="102" t="s">
        <v>105</v>
      </c>
      <c r="DO26" s="94">
        <f>IFERROR(IF(AND($DO$2&lt;&gt;"Enter Spend&gt;&gt;&gt;",DP2="EXISTING"),SUMIFS('Existing Customers'!$Q:$Q,'Existing Customers'!$A:$A,$DO$1,'Existing Customers'!$H:$H,$DN26)*$DO$4,$DO$3*$DM26),0)</f>
        <v>0</v>
      </c>
      <c r="DP26" s="89">
        <f>IFERROR(IF(AND($DO$2&lt;&gt;"Enter Spend&gt;&gt;&gt;",DP2="EXISTING"),SUMIFS('Existing Customers'!$N:$N,'Existing Customers'!$A:$A,$DO$1,'Existing Customers'!$H:$H,$DN26)*$DO$4,$DO26/$DZ26),0)</f>
        <v>0</v>
      </c>
      <c r="DQ26" s="95">
        <f>IFERROR(IF(AND($DO$2&lt;&gt;"Enter Spend&gt;&gt;&gt;",DP2="EXISTING"),SUMIFS('Existing Customers'!$O:$O,'Existing Customers'!$H:$H,$DN26,'Existing Customers'!$A:$A,$DO$1)*$DO$4,$DP26*$DO$8),0)</f>
        <v>0</v>
      </c>
      <c r="DR26" s="95">
        <f>IFERROR(IF(AND($DO$2&lt;&gt;"Enter Spend&gt;&gt;&gt;",DP2="EXISTING"),SUMIFS('Existing Customers'!$P:$P,'Existing Customers'!$A:$A,$DO$1,'Existing Customers'!$H:$H,$DN26)*$DO$4,$DO26/$EA26),0)</f>
        <v>0</v>
      </c>
      <c r="DS26" s="96">
        <f>IFERROR(IF(AND($DO$2&lt;&gt;"Enter Spend&gt;&gt;&gt;",EL2="EXISTING"),SUMIFS('Existing Customers'!$V:$V,'Existing Customers'!$H:$H,$DN26,'Existing Customers'!$A:$A,$DO$1)*$DO$4,0),0)</f>
        <v>0</v>
      </c>
      <c r="DT26" s="96">
        <f>IFERROR(IF(AND($DO$2&lt;&gt;"Enter Spend&gt;&gt;&gt;",DP2="EXISTING"),SUMIFS('Existing Customers'!$R:$R,'Existing Customers'!$H:$H,$DN26,'Existing Customers'!$A:$A,$DO$1)*$DO$4,0),0)</f>
        <v>0</v>
      </c>
      <c r="DU26" s="1161">
        <f>IFERROR(IF(AND($DO$2&lt;&gt;"Enter Spend&gt;&gt;&gt;",DP2="EXISTING"),SUMIFS('Existing Customers'!$S:$S,'Existing Customers'!$H:$H,$DP26,'Existing Customers'!$A:$A,$DO$1),EE26*DO26),0)</f>
        <v>0</v>
      </c>
      <c r="DV26" s="1161">
        <f>IFERROR(IF(AND($DO$2&lt;&gt;"Enter Spend&gt;&gt;&gt;",DP2="EXISTING"),SUMIFS('Existing Customers'!$U:$U,'Existing Customers'!$H:$H,$DN26,'Existing Customers'!$A:$A,$DO$1),EF26*DO26),0)</f>
        <v>0</v>
      </c>
      <c r="DW26" s="1164" t="e">
        <f t="shared" si="30"/>
        <v>#N/A</v>
      </c>
      <c r="DX26" s="1164">
        <f t="array" ref="DX26">IFERROR(INDEX('Margin Guidence Table'!$A$1:$AD$30000,MATCH(1,('Margin Guidence Table'!$A$1:$A$10000=DW26)*('Margin Guidence Table'!$H$1:$H$10000&lt;=ROUND($DO$3,0))*('Margin Guidence Table'!$G$1:$G$10000&gt;=ROUND($DO$3,0)),0),MATCH("DATA_POINTS",'Margin Guidence Table'!$A$1:$AC$1,0)),0)</f>
        <v>0</v>
      </c>
      <c r="DY26" s="1161" t="str">
        <f t="shared" si="31"/>
        <v>DEFAULT</v>
      </c>
      <c r="DZ26" s="1161">
        <f t="array" ref="DZ26">IFERROR(IF($DY26="SEGMENT",INDEX('Margin Guidence Table'!$A$1:$AC$10000,MATCH(1,('Margin Guidence Table'!$A$1:$A$10000=DW26)*('Margin Guidence Table'!$H$1:$H$10000&lt;=ROUND($DO$3,0))*('Margin Guidence Table'!$G$1:$G$10000&gt;=ROUND($DO$3,0)),0),MATCH("SALES_CASE",'Margin Guidence Table'!$A$1:$AC$1,0)),INDEX('Margin Guidence Table'!$A$1:$AC$10000,MATCH(1,('Margin Guidence Table'!$A$1:$A$10000=DW26)*('Margin Guidence Table'!$H$1:$H$10000&lt;=ROUND($DO$3,0))*('Margin Guidence Table'!$G$1:$G$10000&gt;=ROUND($DO$3,0)),0),MATCH("DEFAULT_SALES_CASE",'Margin Guidence Table'!$A$1:$AC$1,0))),0)</f>
        <v>0</v>
      </c>
      <c r="EA26" s="1161">
        <f t="array" ref="EA26">IFERROR(IF($DY26="SEGMENT",INDEX('Margin Guidence Table'!$A$1:$AC$10000,MATCH(1,('Margin Guidence Table'!$A$1:$A$10000=DW26)*('Margin Guidence Table'!$H$1:$H$10000&lt;=ROUND($DO$3,0))*('Margin Guidence Table'!$G$1:$G$10000&gt;=ROUND($DO$3,0)),0),MATCH("SALES_LBS",'Margin Guidence Table'!$A$1:$AC$1,0)),INDEX('Margin Guidence Table'!$A$1:$AC$10000,MATCH(1,('Margin Guidence Table'!$A$1:$A$10000=DW26)*('Margin Guidence Table'!$H$1:$H$10000&lt;=ROUND($DO$3,0))*('Margin Guidence Table'!$G$1:$G$10000&gt;=ROUND($DO$3,0)),0),MATCH("DEFAULT_SALES_LBS",'Margin Guidence Table'!$A$1:$AC$1,0))),0)</f>
        <v>0</v>
      </c>
      <c r="EB26" s="1165">
        <f t="array" ref="EB26">IFERROR(IF($DY26="SEGMENT",INDEX('Margin Guidence Table'!$A$1:$AC$10000,MATCH(1,('Margin Guidence Table'!$A$1:$A$10000=DW26)*('Margin Guidence Table'!$H$1:$H$10000&lt;=ROUND($DO$3,0))*('Margin Guidence Table'!$G$1:$G$10000&gt;=ROUND($DO$3,0)),0),MATCH("MDA_MIN_MARGIN_GUIDENCE",'Margin Guidence Table'!$A$1:$AC$1,0)),INDEX('Margin Guidence Table'!$A$1:$AC$10000,MATCH(1,('Margin Guidence Table'!$A$1:$A$10000=DW26)*('Margin Guidence Table'!$H$1:$H$10000&lt;=ROUND($DO$3,0))*('Margin Guidence Table'!$G$1:$G$10000&gt;=ROUND($DO$3,0)),0),MATCH("DEFAULT_MDA_MIN_MARGIN_GUIDENCE",'Margin Guidence Table'!$A$1:$AC$1,0))),0)</f>
        <v>0</v>
      </c>
      <c r="EC26" s="1165">
        <f t="array" ref="EC26">IFERROR(IF($DY26="SEGMENT",INDEX('Margin Guidence Table'!$A$1:$AC$10000,MATCH(1,('Margin Guidence Table'!$A$1:$A$10000=DW26)*('Margin Guidence Table'!$H$1:$H$10000&lt;=ROUND($DO$3,0))*('Margin Guidence Table'!$G$1:$G$10000&gt;=ROUND($DO$3,0)),0),MATCH("MDA_MEDIAN_MARGIN_GUIDENCE",'Margin Guidence Table'!$A$1:$AC$1,0)),INDEX('Margin Guidence Table'!$A$1:$AC$10000,MATCH(1,('Margin Guidence Table'!$A$1:$A$10000=DW26)*('Margin Guidence Table'!$H$1:$H$10000&lt;=ROUND($DO$3,0))*('Margin Guidence Table'!$G$1:$G$10000&gt;=ROUND($DO$3,0)),0),MATCH("DEFAULT_MDA_MEDIAN_MARGIN_GUIDENCE",'Margin Guidence Table'!$A$1:$AC$1,0))),0)</f>
        <v>0</v>
      </c>
      <c r="ED26" s="1165">
        <f t="array" ref="ED26">IFERROR(IF($DY26="SEGMENT",INDEX('Margin Guidence Table'!$A$1:$AC$10000,MATCH(1,('Margin Guidence Table'!$A$1:$A$10000=DW26)*('Margin Guidence Table'!$H$1:$H$10000&lt;=ROUND($DO$3,0))*('Margin Guidence Table'!$G$1:$G$10000&gt;=ROUND($DO$3,0)),0),MATCH("MDA_MAX_MARGIN_GUIDENCE",'Margin Guidence Table'!$A$1:$AC$1,0)),INDEX('Margin Guidence Table'!$A$1:$AC$10000,MATCH(1,('Margin Guidence Table'!$A$1:$A$10000=DW26)*('Margin Guidence Table'!$H$1:$H$10000&lt;=ROUND($DO$3,0))*('Margin Guidence Table'!$G$1:$G$10000&gt;=ROUND($DO$3,0)),0),MATCH("DEFAULT_MDA_MAX_MARGIN_GUIDENCE",'Margin Guidence Table'!$A$1:$AC$1,0))),0)</f>
        <v>0</v>
      </c>
      <c r="EE26" s="1165">
        <f t="array" ref="EE26">IFERROR(IF($DY26="SEGMENT",INDEX('Margin Guidence Table'!$A$1:$AC$10000,MATCH(1,('Margin Guidence Table'!$A$1:$A$10000=DW26)*('Margin Guidence Table'!$H$1:$H$10000&lt;=ROUND($DO$3,0))*('Margin Guidence Table'!$G$1:$G$10000&gt;=ROUND($DO$3,0)),0),MATCH("PA_PCT_SALES",'Margin Guidence Table'!$A$1:$AC$1,0)),INDEX('Margin Guidence Table'!$A$1:$AC$10000,MATCH(1,('Margin Guidence Table'!$A$1:$A$10000=DW26)*('Margin Guidence Table'!$H$1:$H$10000&lt;=ROUND($DO$3,0))*('Margin Guidence Table'!$G$1:$G$10000&gt;=ROUND($DO$3,0)),0),MATCH("DEFAULT_PA_PCT_SALES",'Margin Guidence Table'!$A$1:$AC$1,0))),0)</f>
        <v>0</v>
      </c>
      <c r="EF26" s="1165">
        <f t="array" ref="EF26">IFERROR(IF($DY26="SEGMENT",INDEX('Margin Guidence Table'!$A$1:$AC$10000,MATCH(1,('Margin Guidence Table'!$A$1:$A$10000=DW26)*('Margin Guidence Table'!$H$1:$H$10000&lt;=ROUND($DO$3,0))*('Margin Guidence Table'!$G$1:$G$10000&gt;=ROUND($DO$3,0)),0),MATCH("SELF_FUND_PCT_SALES",'Margin Guidence Table'!$A$1:$AC$1,0)),INDEX('Margin Guidence Table'!$A$1:$AC$10000,MATCH(1,('Margin Guidence Table'!$A$1:$A$10000=DW26)*('Margin Guidence Table'!$H$1:$H$10000&lt;=ROUND($DO$3,0))*('Margin Guidence Table'!$G$1:$G$10000&gt;=ROUND($DO$3,0)),0),MATCH("DEFAULT_SELF_FUND_PCT_SALES",'Margin Guidence Table'!$A$1:$AC$1,0))),0)</f>
        <v>0</v>
      </c>
      <c r="EG26" s="1165">
        <f t="array" ref="EG26">IFERROR(IF($DY26="SEGMENT",INDEX('Margin Guidence Table'!$A$1:$AC$10000,MATCH(1,('Margin Guidence Table'!$A$1:$A$10000=DW26)*('Margin Guidence Table'!$H$1:$H$10000&lt;=ROUND($DO$3,0))*('Margin Guidence Table'!$G$1:$G$10000&gt;=ROUND($DO$3,0)),0),MATCH("CIA_MEDIAN_MARGIN_GUIDENCE",'Margin Guidence Table'!$A$1:$AC$1,0)),INDEX('Margin Guidence Table'!$A$1:$AC$10000,MATCH(1,('Margin Guidence Table'!$A$1:$A$10000=DW26)*('Margin Guidence Table'!$H$1:$H$10000&lt;=ROUND($DO$3,0))*('Margin Guidence Table'!$G$1:$G$10000&gt;=ROUND($DO$3,0)),0),MATCH("DEFAULT_CIA_MEDIAN_MARGIN_GUIDENCE",'Margin Guidence Table'!$A$1:$AC$1,0))),0)</f>
        <v>0</v>
      </c>
      <c r="EH26" s="129"/>
      <c r="EI26" s="18">
        <f t="array" ref="EI26">IFERROR(IF($EU26="SEGMENT",INDEX('Margin Guidence Table'!$A$1:$AC$10000,MATCH(1,('Margin Guidence Table'!$A$1:$A$10000=$ES26)*('Margin Guidence Table'!$H$1:$H$10000&lt;=ROUND($EK$3,0))*('Margin Guidence Table'!$G$1:$G$10000&gt;=ROUND($EK$3,0)),0),MATCH("PCT_SALES",'Margin Guidence Table'!$A$1:$AC$1,0)),INDEX('Margin Guidence Table'!$A$1:$AC$10000,MATCH(1,('Margin Guidence Table'!$A$1:$A$10000=$ES26)*('Margin Guidence Table'!$H$1:$H$10000&lt;=ROUND($EK$3,0))*('Margin Guidence Table'!$G$1:$G$10000&gt;=ROUND($EK$3,0)),0),MATCH("DEFAULT_PCT_SALES",'Margin Guidence Table'!$A$1:$AC$1,0))),0)</f>
        <v>0</v>
      </c>
      <c r="EJ26" s="102" t="s">
        <v>105</v>
      </c>
      <c r="EK26" s="94">
        <f>IFERROR(IF(AND($EK$2&lt;&gt;"Enter Spend&gt;&gt;&gt;",EL2="EXISTING"),SUMIFS('Existing Customers'!$Q:$Q,'Existing Customers'!$A:$A,$EK$1,'Existing Customers'!$H:$H,$EJ26)*$EK$4,$EK$3*$EI26),0)</f>
        <v>0</v>
      </c>
      <c r="EL26" s="89">
        <f>IFERROR(IF(AND($EK$2&lt;&gt;"Enter Spend&gt;&gt;&gt;",EL2="EXISTING"),SUMIFS('Existing Customers'!$N:$N,'Existing Customers'!$A:$A,$EK$1,'Existing Customers'!$H:$H,$EJ26)*$EK$4,$EK26/$EV26),0)</f>
        <v>0</v>
      </c>
      <c r="EM26" s="95">
        <f>IFERROR(IF(AND($EK$2&lt;&gt;"Enter Spend&gt;&gt;&gt;",EL2="EXISTING"),SUMIFS('Existing Customers'!$O:$O,'Existing Customers'!$H:$H,$EJ26,'Existing Customers'!$A:$A,$EK$1)*$EK$4,$EL26*$EK$8),0)</f>
        <v>0</v>
      </c>
      <c r="EN26" s="95">
        <f>IFERROR(IF(AND($EK$2&lt;&gt;"Enter Spend&gt;&gt;&gt;",EL2="EXISTING"),SUMIFS('Existing Customers'!$P:$P,'Existing Customers'!$A:$A,$EK$1,'Existing Customers'!$H:$H,$EJ26)*$EK$4,$EK26/$EW26),0)</f>
        <v>0</v>
      </c>
      <c r="EO26" s="96">
        <f>IFERROR(IF(AND($EK$2&lt;&gt;"Enter Spend&gt;&gt;&gt;",EL2="EXISTING"),SUMIFS('Existing Customers'!$V:$V,'Existing Customers'!$H:$H,$EJ26,'Existing Customers'!$A:$A,$EK$1)*$EK$4,0),0)</f>
        <v>0</v>
      </c>
      <c r="EP26" s="96">
        <f>IFERROR(IF(AND($EK$2&lt;&gt;"Enter Spend&gt;&gt;&gt;",EL2="EXISTING"),SUMIFS('Existing Customers'!$R:$R,'Existing Customers'!$H:$H,$EJ26,'Existing Customers'!$A:$A,$EK$1)*$EK$4,0),0)</f>
        <v>0</v>
      </c>
      <c r="EQ26" s="1161">
        <f>IFERROR(IF(AND($EK$2&lt;&gt;"Enter Spend&gt;&gt;&gt;",EL2="EXISTING"),SUMIFS('Existing Customers'!$S:$S,'Existing Customers'!$H:$H,$EJ26,'Existing Customers'!$A:$A,$EK$1),FA26*EK26),0)</f>
        <v>0</v>
      </c>
      <c r="ER26" s="1161">
        <f>IFERROR(IF(AND($EK$2&lt;&gt;"Enter Spend&gt;&gt;&gt;",EL2="EXISTING"),SUMIFS('Existing Customers'!$U:$U,'Existing Customers'!$H:$H,$EJ26,'Existing Customers'!$A:$A,$EK$1),FB26*EK26),0)</f>
        <v>0</v>
      </c>
      <c r="ES26" s="1164" t="e">
        <f t="shared" si="32"/>
        <v>#N/A</v>
      </c>
      <c r="ET26" s="1164">
        <f t="array" ref="ET26">IFERROR(INDEX('Margin Guidence Table'!$A$1:$AD$30000,MATCH(1,('Margin Guidence Table'!$A$1:$A$10000=ES26)*('Margin Guidence Table'!$H$1:$H$10000&lt;=ROUND($EK$3,0))*('Margin Guidence Table'!$G$1:$G$10000&gt;=ROUND($EK$3,0)),0),MATCH("DATA_POINTS",'Margin Guidence Table'!$A$1:$AC$1,0)),0)</f>
        <v>0</v>
      </c>
      <c r="EU26" s="1161" t="str">
        <f t="shared" si="33"/>
        <v>DEFAULT</v>
      </c>
      <c r="EV26" s="1161">
        <f t="array" ref="EV26">IFERROR(IF($EU26="SEGMENT",INDEX('Margin Guidence Table'!$A$1:$AC$10000,MATCH(1,('Margin Guidence Table'!$A$1:$A$10000=ES26)*('Margin Guidence Table'!$H$1:$H$10000&lt;=ROUND($EK$3,0))*('Margin Guidence Table'!$G$1:$G$10000&gt;=ROUND($EK$3,0)),0),MATCH("SALES_CASE",'Margin Guidence Table'!$A$1:$AC$1,0)),INDEX('Margin Guidence Table'!$A$1:$AC$10000,MATCH(1,('Margin Guidence Table'!$A$1:$A$10000=ES26)*('Margin Guidence Table'!$H$1:$H$10000&lt;=ROUND($EK$3,0))*('Margin Guidence Table'!$G$1:$G$10000&gt;=ROUND($EK$3,0)),0),MATCH("DEFAULT_SALES_CASE",'Margin Guidence Table'!$A$1:$AC$1,0))),0)</f>
        <v>0</v>
      </c>
      <c r="EW26" s="1161" cm="1">
        <f t="array" ref="EW26">IFERROR(IF($EU26="SEGMENT",INDEX('Margin Guidence Table'!$A$1:$AC$10000,MATCH(1,('Margin Guidence Table'!$A$1:$A$10000=ES26)*('Margin Guidence Table'!$H$1:$H$10000&lt;=ROUND($EK$3,0))*('Margin Guidence Table'!$G$1:$G$10000&gt;=ROUND($EK$3,0)),0),MATCH("SALES_LBS",'Margin Guidence Table'!$A$1:$AC$1,0)),INDEX('Margin Guidence Table'!$A$1:$AC$10000,MATCH(1,('Margin Guidence Table'!$A$1:$A$10000=ES26)*('Margin Guidence Table'!$H$1:$H$10000&lt;=ROUND($EK$3,0))*('Margin Guidence Table'!$G$1:$G$10000&gt;=ROUND($EK$3,0)),0),MATCH("DEFAULT_SALES_LBS",'Margin Guidence Table'!$A$1:$AC$1,0))),0)</f>
        <v>0</v>
      </c>
      <c r="EX26" s="1165">
        <f t="array" ref="EX26">IFERROR(IF($EU26="SEGMENT",INDEX('Margin Guidence Table'!$A$1:$AC$10000,MATCH(1,('Margin Guidence Table'!$A$1:$A$10000=ES26)*('Margin Guidence Table'!$H$1:$H$10000&lt;=ROUND($EK$3,0))*('Margin Guidence Table'!$G$1:$G$10000&gt;=ROUND($EK$3,0)),0),MATCH("MDA_MIN_MARGIN_GUIDENCE",'Margin Guidence Table'!$A$1:$AC$1,0)),INDEX('Margin Guidence Table'!$A$1:$AC$10000,MATCH(1,('Margin Guidence Table'!$A$1:$A$10000=ES26)*('Margin Guidence Table'!$H$1:$H$10000&lt;=ROUND($EK$3,0))*('Margin Guidence Table'!$G$1:$G$10000&gt;=ROUND($EK$3,0)),0),MATCH("DEFAULT_MDA_MIN_MARGIN_GUIDENCE",'Margin Guidence Table'!$A$1:$AC$1,0))),0)</f>
        <v>0</v>
      </c>
      <c r="EY26" s="1165">
        <f t="array" ref="EY26">IFERROR(IF($EU26="SEGMENT",INDEX('Margin Guidence Table'!$A$1:$AC$10000,MATCH(1,('Margin Guidence Table'!$A$1:$A$10000=ES26)*('Margin Guidence Table'!$H$1:$H$10000&lt;=ROUND($EK$3,0))*('Margin Guidence Table'!$G$1:$G$10000&gt;=ROUND($EK$3,0)),0),MATCH("MDA_MEDIAN_MARGIN_GUIDENCE",'Margin Guidence Table'!$A$1:$AC$1,0)),INDEX('Margin Guidence Table'!$A$1:$AC$10000,MATCH(1,('Margin Guidence Table'!$A$1:$A$10000=ES26)*('Margin Guidence Table'!$H$1:$H$10000&lt;=ROUND($EK$3,0))*('Margin Guidence Table'!$G$1:$G$10000&gt;=ROUND($EK$3,0)),0),MATCH("DEFAULT_MDA_MEDIAN_MARGIN_GUIDENCE",'Margin Guidence Table'!$A$1:$AC$1,0))),0)</f>
        <v>0</v>
      </c>
      <c r="EZ26" s="1165">
        <f t="array" ref="EZ26">IFERROR(IF($EU26="SEGMENT",INDEX('Margin Guidence Table'!$A$1:$AC$10000,MATCH(1,('Margin Guidence Table'!$A$1:$A$10000=ES26)*('Margin Guidence Table'!$H$1:$H$10000&lt;=ROUND($EK$3,0))*('Margin Guidence Table'!$G$1:$G$10000&gt;=ROUND($EK$3,0)),0),MATCH("MDA_MAX_MARGIN_GUIDENCE",'Margin Guidence Table'!$A$1:$AC$1,0)),INDEX('Margin Guidence Table'!$A$1:$AC$10000,MATCH(1,('Margin Guidence Table'!$A$1:$A$10000=ES26)*('Margin Guidence Table'!$H$1:$H$10000&lt;=ROUND($EK$3,0))*('Margin Guidence Table'!$G$1:$G$10000&gt;=ROUND($EK$3,0)),0),MATCH("DEFAULT_MDA_MAX_MARGIN_GUIDENCE",'Margin Guidence Table'!$A$1:$AC$1,0))),0)</f>
        <v>0</v>
      </c>
      <c r="FA26" s="1165">
        <f t="array" ref="FA26">IFERROR(IF($EU26="SEGMENT",INDEX('Margin Guidence Table'!$A$1:$AC$10000,MATCH(1,('Margin Guidence Table'!$A$1:$A$10000=ES26)*('Margin Guidence Table'!$H$1:$H$10000&lt;=ROUND($EK$3,0))*('Margin Guidence Table'!$G$1:$G$10000&gt;=ROUND($EK$3,0)),0),MATCH("PA_PCT_SALES",'Margin Guidence Table'!$A$1:$AC$1,0)),INDEX('Margin Guidence Table'!$A$1:$AC$10000,MATCH(1,('Margin Guidence Table'!$A$1:$A$10000=ES26)*('Margin Guidence Table'!$H$1:$H$10000&lt;=ROUND($EK$3,0))*('Margin Guidence Table'!$G$1:$G$10000&gt;=ROUND($EK$3,0)),0),MATCH("DEFAULT_PA_PCT_SALES",'Margin Guidence Table'!$A$1:$AC$1,0))),0)</f>
        <v>0</v>
      </c>
      <c r="FB26" s="1165">
        <f t="array" ref="FB26">IFERROR(IF($EU26="SEGMENT",INDEX('Margin Guidence Table'!$A$1:$AC$10000,MATCH(1,('Margin Guidence Table'!$A$1:$A$10000=ES26)*('Margin Guidence Table'!$H$1:$H$10000&lt;=ROUND($EK$3,0))*('Margin Guidence Table'!$G$1:$G$10000&gt;=ROUND($EK$3,0)),0),MATCH("SELF_FUND_PCT_SALES",'Margin Guidence Table'!$A$1:$AC$1,0)),INDEX('Margin Guidence Table'!$A$1:$AC$10000,MATCH(1,('Margin Guidence Table'!$A$1:$A$10000=ES26)*('Margin Guidence Table'!$H$1:$H$10000&lt;=ROUND($EK$3,0))*('Margin Guidence Table'!$G$1:$G$10000&gt;=ROUND($EK$3,0)),0),MATCH("DEFAULT_SELF_FUND_PCT_SALES",'Margin Guidence Table'!$A$1:$AC$1,0))),0)</f>
        <v>0</v>
      </c>
      <c r="FC26" s="1165">
        <f t="array" ref="FC26">IFERROR(IF($EU26="SEGMENT",INDEX('Margin Guidence Table'!$A$1:$AC$10000,MATCH(1,('Margin Guidence Table'!$A$1:$A$10000=ES26)*('Margin Guidence Table'!$H$1:$H$10000&lt;=ROUND($EK$3,0))*('Margin Guidence Table'!$G$1:$G$10000&gt;=ROUND($EK$3,0)),0),MATCH("CIA_MEDIAN_MARGIN_GUIDENCE",'Margin Guidence Table'!$A$1:$AC$1,0)),INDEX('Margin Guidence Table'!$A$1:$AC$10000,MATCH(1,('Margin Guidence Table'!$A$1:$A$10000=ES26)*('Margin Guidence Table'!$H$1:$H$10000&lt;=ROUND($EK$3,0))*('Margin Guidence Table'!$G$1:$G$10000&gt;=ROUND($EK$3,0)),0),MATCH("DEFAULT_CIA_MEDIAN_MARGIN_GUIDENCE",'Margin Guidence Table'!$A$1:$AC$1,0))),0)</f>
        <v>0</v>
      </c>
      <c r="FD26" s="129"/>
      <c r="FE26" s="18">
        <f t="array" ref="FE26">IFERROR(IF($FQ26="SEGMENT",INDEX('Margin Guidence Table'!$A$1:$AC$10000,MATCH(1,('Margin Guidence Table'!$A$1:$A$10000=$FO26)*('Margin Guidence Table'!$H$1:$H$10000&lt;=ROUND($FG$3,0))*('Margin Guidence Table'!$G$1:$G$10000&gt;=ROUND($FG$3,0)),0),MATCH("PCT_SALES",'Margin Guidence Table'!$A$1:$AC$1,0)),INDEX('Margin Guidence Table'!$A$1:$AC$10000,MATCH(1,('Margin Guidence Table'!$A$1:$A$10000=$FO26)*('Margin Guidence Table'!$H$1:$H$10000&lt;=ROUND($FG$3,0))*('Margin Guidence Table'!$G$1:$G$10000&gt;=ROUND($FG$3,0)),0),MATCH("DEFAULT_PCT_SALES",'Margin Guidence Table'!$A$1:$AC$1,0))),0)</f>
        <v>0</v>
      </c>
      <c r="FF26" s="102" t="s">
        <v>105</v>
      </c>
      <c r="FG26" s="94">
        <f>IFERROR(IF(AND($FG$2&lt;&gt;"Enter Spend&gt;&gt;&gt;",FH2="EXISTING"),SUMIFS('Existing Customers'!$Q:$Q,'Existing Customers'!$A:$A,$FG$1,'Existing Customers'!$H:$H,$FF26)*$FG$4,$FG$3*$FE26),0)</f>
        <v>0</v>
      </c>
      <c r="FH26" s="89">
        <f>IFERROR(IF(AND($FG$2&lt;&gt;"Enter Spend&gt;&gt;&gt;",FH2="EXISTING"),SUMIFS('Existing Customers'!$N:$N,'Existing Customers'!$A:$A,$FG$1,'Existing Customers'!$H:$H,$FF26)*$FG$4,$FG26/$FR26),0)</f>
        <v>0</v>
      </c>
      <c r="FI26" s="95">
        <f>IFERROR(IF(AND($FG$2&lt;&gt;"Enter Spend&gt;&gt;&gt;",FH2="EXISTING"),SUMIFS('Existing Customers'!$O:$O,'Existing Customers'!$H:$H,$FF26,'Existing Customers'!$A:$A,$FG$1)*$FG$4,$FH26*$FG$8),0)</f>
        <v>0</v>
      </c>
      <c r="FJ26" s="95">
        <f>IFERROR(IF(AND($FG$2&lt;&gt;"Enter Spend&gt;&gt;&gt;",FH2="EXISTING"),SUMIFS('Existing Customers'!$P:$P,'Existing Customers'!$A:$A,$FG$1,'Existing Customers'!$H:$H,$FF26)*$FG$4,$FG26/$FS26),0)</f>
        <v>0</v>
      </c>
      <c r="FK26" s="96">
        <f>IFERROR(IF(AND($FG$2&lt;&gt;"Enter Spend&gt;&gt;&gt;",FH2="EXISTING"),SUMIFS('Existing Customers'!$V:$V,'Existing Customers'!$H:$H,$FF26,'Existing Customers'!$A:$A,$FG$1)*$FG$4,0),0)</f>
        <v>0</v>
      </c>
      <c r="FL26" s="96">
        <f>IFERROR(IF(AND($FG$2&lt;&gt;"Enter Spend&gt;&gt;&gt;",FH2="EXISTING"),SUMIFS('Existing Customers'!$R:$R,'Existing Customers'!$H:$H,$FF26,'Existing Customers'!$A:$A,$FG$1)*$FG$4,0),0)</f>
        <v>0</v>
      </c>
      <c r="FM26" s="1161">
        <f>IFERROR(IF(AND($FG$2&lt;&gt;"Enter Spend&gt;&gt;&gt;",FH2="EXISTING"),SUMIFS('Existing Customers'!$S:$S,'Existing Customers'!$H:$H,$FF26,'Existing Customers'!$A:$A,$FG$1),FW26*FG26),0)</f>
        <v>0</v>
      </c>
      <c r="FN26" s="1161">
        <f>IFERROR(IF(AND($FG$2&lt;&gt;"Enter Spend&gt;&gt;&gt;",FH2="EXISTING"),SUMIFS('Existing Customers'!$U:$U,'Existing Customers'!$H:$H,$FF26,'Existing Customers'!$A:$A,$FG$1),FX26*FG26),0)</f>
        <v>0</v>
      </c>
      <c r="FO26" s="1164" t="e">
        <f t="shared" si="34"/>
        <v>#N/A</v>
      </c>
      <c r="FP26" s="1164">
        <f t="array" ref="FP26">IFERROR(INDEX('Margin Guidence Table'!$A$1:$AD$30000,MATCH(1,('Margin Guidence Table'!$A$1:$A$10000=FO26)*('Margin Guidence Table'!$H$1:$H$10000&lt;=ROUND($FG$3,0))*('Margin Guidence Table'!$G$1:$G$10000&gt;=ROUND($FG$3,0)),0),MATCH("DATA_POINTS",'Margin Guidence Table'!$A$1:$AC$1,0)),0)</f>
        <v>0</v>
      </c>
      <c r="FQ26" s="1161" t="str">
        <f t="shared" si="35"/>
        <v>DEFAULT</v>
      </c>
      <c r="FR26" s="1161">
        <f t="array" ref="FR26">IFERROR(IF($FQ26="SEGMENT",INDEX('Margin Guidence Table'!$A$1:$AC$10000,MATCH(1,('Margin Guidence Table'!$A$1:$A$10000=FO26)*('Margin Guidence Table'!$H$1:$H$10000&lt;=ROUND($FG$3,0))*('Margin Guidence Table'!$G$1:$G$10000&gt;=ROUND($FG$3,0)),0),MATCH("SALES_CASE",'Margin Guidence Table'!$A$1:$AC$1,0)),INDEX('Margin Guidence Table'!$A$1:$AC$10000,MATCH(1,('Margin Guidence Table'!$A$1:$A$10000=FO26)*('Margin Guidence Table'!$H$1:$H$10000&lt;=ROUND($FG$3,0))*('Margin Guidence Table'!$G$1:$G$10000&gt;=ROUND($FG$3,0)),0),MATCH("DEFAULT_SALES_CASE",'Margin Guidence Table'!$A$1:$AC$1,0))),0)</f>
        <v>0</v>
      </c>
      <c r="FS26" s="1161">
        <f t="array" ref="FS26">IFERROR(IF($FQ26="SEGMENT",INDEX('Margin Guidence Table'!$A$1:$AC$10000,MATCH(1,('Margin Guidence Table'!$A$1:$A$10000=FO26)*('Margin Guidence Table'!$H$1:$H$10000&lt;=ROUND($FG$3,0))*('Margin Guidence Table'!$G$1:$G$10000&gt;=ROUND($FG$3,0)),0),MATCH("SALES_LBS",'Margin Guidence Table'!$A$1:$AC$1,0)),INDEX('Margin Guidence Table'!$A$1:$AC$10000,MATCH(1,('Margin Guidence Table'!$A$1:$A$10000=FO26)*('Margin Guidence Table'!$H$1:$H$10000&lt;=ROUND($FG$3,0))*('Margin Guidence Table'!$G$1:$G$10000&gt;=ROUND($FG$3,0)),0),MATCH("DEFAULT_SALES_LBS",'Margin Guidence Table'!$A$1:$AC$1,0))),0)</f>
        <v>0</v>
      </c>
      <c r="FT26" s="1165">
        <f t="array" ref="FT26">IFERROR(IF($FQ26="SEGMENT",INDEX('Margin Guidence Table'!$A$1:$AC$10000,MATCH(1,('Margin Guidence Table'!$A$1:$A$10000=FO26)*('Margin Guidence Table'!$H$1:$H$10000&lt;=ROUND($FG$3,0))*('Margin Guidence Table'!$G$1:$G$10000&gt;=ROUND($FG$3,0)),0),MATCH("MDA_MIN_MARGIN_GUIDENCE",'Margin Guidence Table'!$A$1:$AC$1,0)),INDEX('Margin Guidence Table'!$A$1:$AC$10000,MATCH(1,('Margin Guidence Table'!$A$1:$A$10000=FO26)*('Margin Guidence Table'!$H$1:$H$10000&lt;=ROUND($FG$3,0))*('Margin Guidence Table'!$G$1:$G$10000&gt;=ROUND($FG$3,0)),0),MATCH("DEFAULT_MDA_MIN_MARGIN_GUIDENCE",'Margin Guidence Table'!$A$1:$AC$1,0))),0)</f>
        <v>0</v>
      </c>
      <c r="FU26" s="1165">
        <f t="array" ref="FU26">IFERROR(IF($FQ26="SEGMENT",INDEX('Margin Guidence Table'!$A$1:$AC$10000,MATCH(1,('Margin Guidence Table'!$A$1:$A$10000=FO26)*('Margin Guidence Table'!$H$1:$H$10000&lt;=ROUND($FG$3,0))*('Margin Guidence Table'!$G$1:$G$10000&gt;=ROUND($FG$3,0)),0),MATCH("MDA_MEDIAN_MARGIN_GUIDENCE",'Margin Guidence Table'!$A$1:$AC$1,0)),INDEX('Margin Guidence Table'!$A$1:$AC$10000,MATCH(1,('Margin Guidence Table'!$A$1:$A$10000=FO26)*('Margin Guidence Table'!$H$1:$H$10000&lt;=ROUND($FG$3,0))*('Margin Guidence Table'!$G$1:$G$10000&gt;=ROUND($FG$3,0)),0),MATCH("DEFAULT_MDA_MEDIAN_MARGIN_GUIDENCE",'Margin Guidence Table'!$A$1:$AC$1,0))),0)</f>
        <v>0</v>
      </c>
      <c r="FV26" s="1165">
        <f t="array" ref="FV26">IFERROR(IF($FQ26="SEGMENT",INDEX('Margin Guidence Table'!$A$1:$AC$10000,MATCH(1,('Margin Guidence Table'!$A$1:$A$10000=FO26)*('Margin Guidence Table'!$H$1:$H$10000&lt;=ROUND($FG$3,0))*('Margin Guidence Table'!$G$1:$G$10000&gt;=ROUND($FG$3,0)),0),MATCH("MDA_MAX_MARGIN_GUIDENCE",'Margin Guidence Table'!$A$1:$AC$1,0)),INDEX('Margin Guidence Table'!$A$1:$AC$10000,MATCH(1,('Margin Guidence Table'!$A$1:$A$10000=FO26)*('Margin Guidence Table'!$H$1:$H$10000&lt;=ROUND($FG$3,0))*('Margin Guidence Table'!$G$1:$G$10000&gt;=ROUND($FG$3,0)),0),MATCH("DEFAULT_MDA_MAX_MARGIN_GUIDENCE",'Margin Guidence Table'!$A$1:$AC$1,0))),0)</f>
        <v>0</v>
      </c>
      <c r="FW26" s="1165">
        <f t="array" ref="FW26">IFERROR(IF($FQ26="SEGMENT",INDEX('Margin Guidence Table'!$A$1:$AC$10000,MATCH(1,('Margin Guidence Table'!$A$1:$A$10000=FO26)*('Margin Guidence Table'!$H$1:$H$10000&lt;=ROUND($FG$3,0))*('Margin Guidence Table'!$G$1:$G$10000&gt;=ROUND($FG$3,0)),0),MATCH("PA_PCT_SALES",'Margin Guidence Table'!$A$1:$AC$1,0)),INDEX('Margin Guidence Table'!$A$1:$AC$10000,MATCH(1,('Margin Guidence Table'!$A$1:$A$10000=FO26)*('Margin Guidence Table'!$H$1:$H$10000&lt;=ROUND($FG$3,0))*('Margin Guidence Table'!$G$1:$G$10000&gt;=ROUND($FG$3,0)),0),MATCH("DEFAULT_PA_PCT_SALES",'Margin Guidence Table'!$A$1:$AC$1,0))),0)</f>
        <v>0</v>
      </c>
      <c r="FX26" s="1165">
        <f t="array" ref="FX26">IFERROR(IF($FQ26="SEGMENT",INDEX('Margin Guidence Table'!$A$1:$AC$10000,MATCH(1,('Margin Guidence Table'!$A$1:$A$10000=FO26)*('Margin Guidence Table'!$H$1:$H$10000&lt;=ROUND($FG$3,0))*('Margin Guidence Table'!$G$1:$G$10000&gt;=ROUND($FG$3,0)),0),MATCH("SELF_FUND_PCT_SALES",'Margin Guidence Table'!$A$1:$AC$1,0)),INDEX('Margin Guidence Table'!$A$1:$AC$10000,MATCH(1,('Margin Guidence Table'!$A$1:$A$10000=FO26)*('Margin Guidence Table'!$H$1:$H$10000&lt;=ROUND($FG$3,0))*('Margin Guidence Table'!$G$1:$G$10000&gt;=ROUND($FG$3,0)),0),MATCH("DEFAULT_SELF_FUND_PCT_SALES",'Margin Guidence Table'!$A$1:$AC$1,0))),0)</f>
        <v>0</v>
      </c>
      <c r="FY26" s="1165">
        <f t="array" ref="FY26">IFERROR(IF($FQ26="SEGMENT",INDEX('Margin Guidence Table'!$A$1:$AC$10000,MATCH(1,('Margin Guidence Table'!$A$1:$A$10000=FO26)*('Margin Guidence Table'!$H$1:$H$10000&lt;=ROUND($FG$3,0))*('Margin Guidence Table'!$G$1:$G$10000&gt;=ROUND($FG$3,0)),0),MATCH("CIA_MEDIAN_MARGIN_GUIDENCE",'Margin Guidence Table'!$A$1:$AC$1,0)),INDEX('Margin Guidence Table'!$A$1:$AC$10000,MATCH(1,('Margin Guidence Table'!$A$1:$A$10000=FO26)*('Margin Guidence Table'!$H$1:$H$10000&lt;=ROUND($FG$3,0))*('Margin Guidence Table'!$G$1:$G$10000&gt;=ROUND($FG$3,0)),0),MATCH("DEFAULT_CIA_MEDIAN_MARGIN_GUIDENCE",'Margin Guidence Table'!$A$1:$AC$1,0))),0)</f>
        <v>0</v>
      </c>
      <c r="FZ26" s="129"/>
      <c r="GA26" s="18">
        <f t="array" ref="GA26">IFERROR(IF($GM26="SEGMENT",INDEX('Margin Guidence Table'!$A$1:$AC$10000,MATCH(1,('Margin Guidence Table'!$A$1:$A$10000=$GK26)*('Margin Guidence Table'!$H$1:$H$10000&lt;=ROUND($GC$3,0))*('Margin Guidence Table'!$G$1:$G$10000&gt;=ROUND($GC$3,0)),0),MATCH("PCT_SALES",'Margin Guidence Table'!$A$1:$AC$1,0)),INDEX('Margin Guidence Table'!$A$1:$AC$10000,MATCH(1,('Margin Guidence Table'!$A$1:$A$10000=$GK26)*('Margin Guidence Table'!$H$1:$H$10000&lt;=ROUND($GC$3,0))*('Margin Guidence Table'!$G$1:$G$10000&gt;=ROUND($GC$3,0)),0),MATCH("DEFAULT_PCT_SALES",'Margin Guidence Table'!$A$1:$AC$1,0))),0)</f>
        <v>0</v>
      </c>
      <c r="GB26" s="102" t="s">
        <v>105</v>
      </c>
      <c r="GC26" s="94">
        <f>IFERROR(IF(AND($GC$2&lt;&gt;"Enter Spend&gt;&gt;&gt;",GD2="EXISTING"),SUMIFS('Existing Customers'!$Q:$Q,'Existing Customers'!$A:$A,$GC$1,'Existing Customers'!$H:$H,$GB26)*$GC$4,$GC$3*$GA26),0)</f>
        <v>0</v>
      </c>
      <c r="GD26" s="89">
        <f>IFERROR(IF(AND($GC$2&lt;&gt;"Enter Spend&gt;&gt;&gt;",GD2="EXISTING"),SUMIFS('Existing Customers'!$N:$N,'Existing Customers'!$A:$A,$GC$1,'Existing Customers'!$H:$H,$GB26)*$GC$4,$GC26/$GN26),0)</f>
        <v>0</v>
      </c>
      <c r="GE26" s="95">
        <f>IFERROR(IF(AND($GC$2&lt;&gt;"Enter Spend&gt;&gt;&gt;",GD2="EXISTING"),SUMIFS('Existing Customers'!$O:$O,'Existing Customers'!$H:$H,$GB26,'Existing Customers'!$A:$A,$GC$1)*$GC$4,$GD26*$GC$8),0)</f>
        <v>0</v>
      </c>
      <c r="GF26" s="95">
        <f>IFERROR(IF(AND($GC$2&lt;&gt;"Enter Spend&gt;&gt;&gt;",GD2="EXISTING"),SUMIFS('Existing Customers'!$P:$P,'Existing Customers'!$A:$A,$GC$1,'Existing Customers'!$H:$H,$GB26)*$GC$4,$GC26/$GO26),0)</f>
        <v>0</v>
      </c>
      <c r="GG26" s="96">
        <f>IFERROR(IF(AND($GC$2&lt;&gt;"Enter Spend&gt;&gt;&gt;",GD2="EXISTING"),SUMIFS('Existing Customers'!$V:$V,'Existing Customers'!$H:$H,$GB26,'Existing Customers'!$A:$A,$GC$1)*$GC$4,0),0)</f>
        <v>0</v>
      </c>
      <c r="GH26" s="96">
        <f>IFERROR(IF(AND($GC$2&lt;&gt;"Enter Spend&gt;&gt;&gt;",GD2="EXISTING"),SUMIFS('Existing Customers'!$R:$R,'Existing Customers'!$H:$H,$GB26,'Existing Customers'!$A:$A,$GC$1)*$GC$4,0),0)</f>
        <v>0</v>
      </c>
      <c r="GI26" s="1161">
        <f>IFERROR(IF(AND($GC$2&lt;&gt;"Enter Spend&gt;&gt;&gt;",GD2="EXISTING"),SUMIFS('Existing Customers'!$S:$S,'Existing Customers'!$H:$H,$GB26,'Existing Customers'!$A:$A,$GC$1),GS26*GC26),0)</f>
        <v>0</v>
      </c>
      <c r="GJ26" s="1161">
        <f>IFERROR(IF(AND($GC$2&lt;&gt;"Enter Spend&gt;&gt;&gt;",GD2="EXISTING"),SUMIFS('Existing Customers'!$U:$U,'Existing Customers'!$H:$H,$GB26,'Existing Customers'!$A:$A,$GC$1),GT26*GC26),0)</f>
        <v>0</v>
      </c>
      <c r="GK26" s="1164" t="e">
        <f t="shared" si="36"/>
        <v>#N/A</v>
      </c>
      <c r="GL26" s="1164">
        <f t="array" ref="GL26">IFERROR(INDEX('Margin Guidence Table'!$A$1:$AD$30000,MATCH(1,('Margin Guidence Table'!$A$1:$A$10000=GK26)*('Margin Guidence Table'!$H$1:$H$10000&lt;=ROUND($GC$3,0))*('Margin Guidence Table'!$G$1:$G$10000&gt;=ROUND($GC$3,0)),0),MATCH("DATA_POINTS",'Margin Guidence Table'!$A$1:$AC$1,0)),0)</f>
        <v>0</v>
      </c>
      <c r="GM26" s="1161" t="str">
        <f t="shared" si="37"/>
        <v>DEFAULT</v>
      </c>
      <c r="GN26" s="1161">
        <f t="array" ref="GN26">IFERROR(IF($GM26="SEGMENT",INDEX('Margin Guidence Table'!$A$1:$AC$10000,MATCH(1,('Margin Guidence Table'!$A$1:$A$10000=GK26)*('Margin Guidence Table'!$H$1:$H$10000&lt;=ROUND($GC$3,0))*('Margin Guidence Table'!$G$1:$G$10000&gt;=ROUND($GC$3,0)),0),MATCH("SALES_CASE",'Margin Guidence Table'!$A$1:$AC$1,0)),INDEX('Margin Guidence Table'!$A$1:$AC$10000,MATCH(1,('Margin Guidence Table'!$A$1:$A$10000=GK26)*('Margin Guidence Table'!$H$1:$H$10000&lt;=ROUND($GC$3,0))*('Margin Guidence Table'!$G$1:$G$10000&gt;=ROUND($GC$3,0)),0),MATCH("DEFAULT_SALES_CASE",'Margin Guidence Table'!$A$1:$AC$1,0))),0)</f>
        <v>0</v>
      </c>
      <c r="GO26" s="1161">
        <f t="array" ref="GO26">IFERROR(IF($GM26="SEGMENT",INDEX('Margin Guidence Table'!$A$1:$AC$10000,MATCH(1,('Margin Guidence Table'!$A$1:$A$10000=GK26)*('Margin Guidence Table'!$H$1:$H$10000&lt;=ROUND($GC$3,0))*('Margin Guidence Table'!$G$1:$G$10000&gt;=ROUND($GC$3,0)),0),MATCH("SALES_LBS",'Margin Guidence Table'!$A$1:$AC$1,0)),INDEX('Margin Guidence Table'!$A$1:$AC$10000,MATCH(1,('Margin Guidence Table'!$A$1:$A$10000=GK26)*('Margin Guidence Table'!$H$1:$H$10000&lt;=ROUND($GC$3,0))*('Margin Guidence Table'!$G$1:$G$10000&gt;=ROUND($GC$3,0)),0),MATCH("DEFAULT_SALES_LBS",'Margin Guidence Table'!$A$1:$AC$1,0))),0)</f>
        <v>0</v>
      </c>
      <c r="GP26" s="1165">
        <f t="array" ref="GP26">IFERROR(IF($GM26="SEGMENT",INDEX('Margin Guidence Table'!$A$1:$AC$10000,MATCH(1,('Margin Guidence Table'!$A$1:$A$10000=GK26)*('Margin Guidence Table'!$H$1:$H$10000&lt;=ROUND($GC$3,0))*('Margin Guidence Table'!$G$1:$G$10000&gt;=ROUND($GC$3,0)),0),MATCH("MDA_MIN_MARGIN_GUIDENCE",'Margin Guidence Table'!$A$1:$AC$1,0)),INDEX('Margin Guidence Table'!$A$1:$AC$10000,MATCH(1,('Margin Guidence Table'!$A$1:$A$10000=GK26)*('Margin Guidence Table'!$H$1:$H$10000&lt;=ROUND($GC$3,0))*('Margin Guidence Table'!$G$1:$G$10000&gt;=ROUND($GC$3,0)),0),MATCH("DEFAULT_MDA_MIN_MARGIN_GUIDENCE",'Margin Guidence Table'!$A$1:$AC$1,0))),0)</f>
        <v>0</v>
      </c>
      <c r="GQ26" s="1165">
        <f t="array" ref="GQ26">IFERROR(IF($GM26="SEGMENT",INDEX('Margin Guidence Table'!$A$1:$AC$10000,MATCH(1,('Margin Guidence Table'!$A$1:$A$10000=GK26)*('Margin Guidence Table'!$H$1:$H$10000&lt;=ROUND($GC$3,0))*('Margin Guidence Table'!$G$1:$G$10000&gt;=ROUND($GC$3,0)),0),MATCH("MDA_MEDIAN_MARGIN_GUIDENCE",'Margin Guidence Table'!$A$1:$AC$1,0)),INDEX('Margin Guidence Table'!$A$1:$AC$10000,MATCH(1,('Margin Guidence Table'!$A$1:$A$10000=GK26)*('Margin Guidence Table'!$H$1:$H$10000&lt;=ROUND($GC$3,0))*('Margin Guidence Table'!$G$1:$G$10000&gt;=ROUND($GC$3,0)),0),MATCH("DEFAULT_MDA_MEDIAN_MARGIN_GUIDENCE",'Margin Guidence Table'!$A$1:$AC$1,0))),0)</f>
        <v>0</v>
      </c>
      <c r="GR26" s="1165">
        <f t="array" ref="GR26">IFERROR(IF($GM26="SEGMENT",INDEX('Margin Guidence Table'!$A$1:$AC$10000,MATCH(1,('Margin Guidence Table'!$A$1:$A$10000=GK26)*('Margin Guidence Table'!$H$1:$H$10000&lt;=ROUND($GC$3,0))*('Margin Guidence Table'!$G$1:$G$10000&gt;=ROUND($GC$3,0)),0),MATCH("MDA_MAX_MARGIN_GUIDENCE",'Margin Guidence Table'!$A$1:$AC$1,0)),INDEX('Margin Guidence Table'!$A$1:$AC$10000,MATCH(1,('Margin Guidence Table'!$A$1:$A$10000=GK26)*('Margin Guidence Table'!$H$1:$H$10000&lt;=ROUND($GC$3,0))*('Margin Guidence Table'!$G$1:$G$10000&gt;=ROUND($GC$3,0)),0),MATCH("DEFAULT_MDA_MAX_MARGIN_GUIDENCE",'Margin Guidence Table'!$A$1:$AC$1,0))),0)</f>
        <v>0</v>
      </c>
      <c r="GS26" s="1165">
        <f t="array" ref="GS26">IFERROR(IF($GM26="SEGMENT",INDEX('Margin Guidence Table'!$A$1:$AC$10000,MATCH(1,('Margin Guidence Table'!$A$1:$A$10000=GK26)*('Margin Guidence Table'!$H$1:$H$10000&lt;=ROUND($GC$3,0))*('Margin Guidence Table'!$G$1:$G$10000&gt;=ROUND($GC$3,0)),0),MATCH("PA_PCT_SALES",'Margin Guidence Table'!$A$1:$AC$1,0)),INDEX('Margin Guidence Table'!$A$1:$AC$10000,MATCH(1,('Margin Guidence Table'!$A$1:$A$10000=GK26)*('Margin Guidence Table'!$H$1:$H$10000&lt;=ROUND($GC$3,0))*('Margin Guidence Table'!$G$1:$G$10000&gt;=ROUND($GC$3,0)),0),MATCH("DEFAULT_PA_PCT_SALES",'Margin Guidence Table'!$A$1:$AC$1,0))),0)</f>
        <v>0</v>
      </c>
      <c r="GT26" s="1165">
        <f t="array" ref="GT26">IFERROR(IF($GM26="SEGMENT",INDEX('Margin Guidence Table'!$A$1:$AC$10000,MATCH(1,('Margin Guidence Table'!$A$1:$A$10000=GK26)*('Margin Guidence Table'!$H$1:$H$10000&lt;=ROUND($GC$3,0))*('Margin Guidence Table'!$G$1:$G$10000&gt;=ROUND($GC$3,0)),0),MATCH("SELF_FUND_PCT_SALES",'Margin Guidence Table'!$A$1:$AC$1,0)),INDEX('Margin Guidence Table'!$A$1:$AC$10000,MATCH(1,('Margin Guidence Table'!$A$1:$A$10000=GK26)*('Margin Guidence Table'!$H$1:$H$10000&lt;=ROUND($GC$3,0))*('Margin Guidence Table'!$G$1:$G$10000&gt;=ROUND($GC$3,0)),0),MATCH("DEFAULT_SELF_FUND_PCT_SALES",'Margin Guidence Table'!$A$1:$AC$1,0))),0)</f>
        <v>0</v>
      </c>
      <c r="GU26" s="1165">
        <f t="array" ref="GU26">IFERROR(IF($GM26="SEGMENT",INDEX('Margin Guidence Table'!$A$1:$AC$10000,MATCH(1,('Margin Guidence Table'!$A$1:$A$10000=GK26)*('Margin Guidence Table'!$H$1:$H$10000&lt;=ROUND($GC$3,0))*('Margin Guidence Table'!$G$1:$G$10000&gt;=ROUND($GC$3,0)),0),MATCH("CIA_MEDIAN_MARGIN_GUIDENCE",'Margin Guidence Table'!$A$1:$AC$1,0)),INDEX('Margin Guidence Table'!$A$1:$AC$10000,MATCH(1,('Margin Guidence Table'!$A$1:$A$10000=GK26)*('Margin Guidence Table'!$H$1:$H$10000&lt;=ROUND($GC$3,0))*('Margin Guidence Table'!$G$1:$G$10000&gt;=ROUND($GC$3,0)),0),MATCH("DEFAULT_CIA_MEDIAN_MARGIN_GUIDENCE",'Margin Guidence Table'!$A$1:$AC$1,0))),0)</f>
        <v>0</v>
      </c>
      <c r="GV26" s="129"/>
      <c r="GW26" s="18">
        <f t="array" ref="GW26">IFERROR(IF($HI26="SEGMENT",INDEX('Margin Guidence Table'!$A$1:$AC$10000,MATCH(1,('Margin Guidence Table'!$A$1:$A$10000=$HG26)*('Margin Guidence Table'!$H$1:$H$10000&lt;=ROUND($GY$3,0))*('Margin Guidence Table'!$G$1:$G$10000&gt;=ROUND($GY$3,0)),0),MATCH("PCT_SALES",'Margin Guidence Table'!$A$1:$AC$1,0)),INDEX('Margin Guidence Table'!$A$1:$AC$10000,MATCH(1,('Margin Guidence Table'!$A$1:$A$10000=$HG26)*('Margin Guidence Table'!$H$1:$H$10000&lt;=ROUND($GY$3,0))*('Margin Guidence Table'!$G$1:$G$10000&gt;=ROUND($GY$3,0)),0),MATCH("DEFAULT_PCT_SALES",'Margin Guidence Table'!$A$1:$AC$1,0))),0)</f>
        <v>0</v>
      </c>
      <c r="GX26" s="102" t="s">
        <v>105</v>
      </c>
      <c r="GY26" s="94">
        <f>IFERROR(IF(AND($GY$2&lt;&gt;"Enter Spend&gt;&gt;&gt;",GZ2="EXISTING"),SUMIFS('Existing Customers'!$Q:$Q,'Existing Customers'!$A:$A,$GY$1,'Existing Customers'!$H:$H,$GX26)*$GY$4,$GY$3*$GW26),0)</f>
        <v>0</v>
      </c>
      <c r="GZ26" s="89">
        <f>IFERROR(IF(AND($GY$2&lt;&gt;"Enter Spend&gt;&gt;&gt;",GZ2="EXISTING"),SUMIFS('Existing Customers'!$N:$N,'Existing Customers'!$A:$A,$GY$1,'Existing Customers'!$H:$H,$GX26)*$GY$4,$GY26/$HJ26),0)</f>
        <v>0</v>
      </c>
      <c r="HA26" s="95">
        <f>IFERROR(IF(AND($GY$2&lt;&gt;"Enter Spend&gt;&gt;&gt;",GZ2="EXISTING"),SUMIFS('Existing Customers'!$O:$O,'Existing Customers'!$H:$H,$GX26,'Existing Customers'!$A:$A,$GY$1)*$GY$4,$GZ26*$GY$8),0)</f>
        <v>0</v>
      </c>
      <c r="HB26" s="95">
        <f>IFERROR(IF(AND($GY$2&lt;&gt;"Enter Spend&gt;&gt;&gt;",GZ2="EXISTING"),SUMIFS('Existing Customers'!$P:$P,'Existing Customers'!$A:$A,$GY$1,'Existing Customers'!$H:$H,$GX26)*$GY$4,$GY26/$HK26),0)</f>
        <v>0</v>
      </c>
      <c r="HC26" s="96">
        <f>IFERROR(IF(AND($GY$2&lt;&gt;"Enter Spend&gt;&gt;&gt;",GZ2="EXISTING"),SUMIFS('Existing Customers'!$V:$V,'Existing Customers'!$H:$H,$GX26,'Existing Customers'!$A:$A,$GY$1)*$GY$4,0),0)</f>
        <v>0</v>
      </c>
      <c r="HD26" s="96">
        <f>IFERROR(IF(AND($GY$2&lt;&gt;"Enter Spend&gt;&gt;&gt;",GZ2="EXISTING"),SUMIFS('Existing Customers'!$R:$R,'Existing Customers'!$H:$H,$GX26,'Existing Customers'!$A:$A,$GY$1)*$GY$4,0),0)</f>
        <v>0</v>
      </c>
      <c r="HE26" s="1161">
        <f>IFERROR(IF(AND($GY$2&lt;&gt;"Enter Spend&gt;&gt;&gt;",GZ2="EXISTING"),SUMIFS('Existing Customers'!$S:$S,'Existing Customers'!$H:$H,$GX26,'Existing Customers'!$A:$A,$GY$1),HO26*GY26),0)</f>
        <v>0</v>
      </c>
      <c r="HF26" s="1161">
        <f>IFERROR(IF(AND($GY$2&lt;&gt;"Enter Spend&gt;&gt;&gt;",GZ2="EXISTING"),SUMIFS('Existing Customers'!$U:$U,'Existing Customers'!$H:$H,$GX26,'Existing Customers'!$A:$A,$GY$1),HP26*GY26),0)</f>
        <v>0</v>
      </c>
      <c r="HG26" s="1164" t="e">
        <f t="shared" si="38"/>
        <v>#N/A</v>
      </c>
      <c r="HH26" s="1164">
        <f t="array" ref="HH26">IFERROR(INDEX('Margin Guidence Table'!$A$1:$AD$30000,MATCH(1,('Margin Guidence Table'!$A$1:$A$10000=HG26)*('Margin Guidence Table'!$H$1:$H$10000&lt;=ROUND($GY$3,0))*('Margin Guidence Table'!$G$1:$G$10000&gt;=ROUND($GY$3,0)),0),MATCH("DATA_POINTS",'Margin Guidence Table'!$A$1:$AC$1,0)),0)</f>
        <v>0</v>
      </c>
      <c r="HI26" s="1161" t="str">
        <f t="shared" si="39"/>
        <v>DEFAULT</v>
      </c>
      <c r="HJ26" s="1161">
        <f t="array" ref="HJ26">IFERROR(IF($HI26="SEGMENT",INDEX('Margin Guidence Table'!$A$1:$AC$10000,MATCH(1,('Margin Guidence Table'!$A$1:$A$10000=HG26)*('Margin Guidence Table'!$H$1:$H$10000&lt;=ROUND($GY$3,0))*('Margin Guidence Table'!$G$1:$G$10000&gt;=ROUND($GY$3,0)),0),MATCH("SALES_CASE",'Margin Guidence Table'!$A$1:$AC$1,0)),INDEX('Margin Guidence Table'!$A$1:$AC$10000,MATCH(1,('Margin Guidence Table'!$A$1:$A$10000=HG26)*('Margin Guidence Table'!$H$1:$H$10000&lt;=ROUND($GY$3,0))*('Margin Guidence Table'!$G$1:$G$10000&gt;=ROUND($GY$3,0)),0),MATCH("DEFAULT_SALES_CASE",'Margin Guidence Table'!$A$1:$AC$1,0))),0)</f>
        <v>0</v>
      </c>
      <c r="HK26" s="1161">
        <f t="array" ref="HK26">IFERROR(IF($HI26="SEGMENT",INDEX('Margin Guidence Table'!$A$1:$AC$10000,MATCH(1,('Margin Guidence Table'!$A$1:$A$10000=HG26)*('Margin Guidence Table'!$H$1:$H$10000&lt;=ROUND($GY$3,0))*('Margin Guidence Table'!$G$1:$G$10000&gt;=ROUND($GY$3,0)),0),MATCH("SALES_LBS",'Margin Guidence Table'!$A$1:$AC$1,0)),INDEX('Margin Guidence Table'!$A$1:$AC$10000,MATCH(1,('Margin Guidence Table'!$A$1:$A$10000=HG26)*('Margin Guidence Table'!$H$1:$H$10000&lt;=ROUND($GY$3,0))*('Margin Guidence Table'!$G$1:$G$10000&gt;=ROUND($GY$3,0)),0),MATCH("DEFAULT_SALES_LBS",'Margin Guidence Table'!$A$1:$AC$1,0))),0)</f>
        <v>0</v>
      </c>
      <c r="HL26" s="1165">
        <f t="array" ref="HL26">IFERROR(IF($HI26="SEGMENT",INDEX('Margin Guidence Table'!$A$1:$AC$10000,MATCH(1,('Margin Guidence Table'!$A$1:$A$10000=HG26)*('Margin Guidence Table'!$H$1:$H$10000&lt;=ROUND($GY$3,0))*('Margin Guidence Table'!$G$1:$G$10000&gt;=ROUND($GY$3,0)),0),MATCH("MDA_MIN_MARGIN_GUIDENCE",'Margin Guidence Table'!$A$1:$AC$1,0)),INDEX('Margin Guidence Table'!$A$1:$AC$10000,MATCH(1,('Margin Guidence Table'!$A$1:$A$10000=HG26)*('Margin Guidence Table'!$H$1:$H$10000&lt;=ROUND($GY$3,0))*('Margin Guidence Table'!$G$1:$G$10000&gt;=ROUND($GY$3,0)),0),MATCH("DEFAULT_MDA_MIN_MARGIN_GUIDENCE",'Margin Guidence Table'!$A$1:$AC$1,0))),0)</f>
        <v>0</v>
      </c>
      <c r="HM26" s="1165">
        <f t="array" ref="HM26">IFERROR(IF($HI26="SEGMENT",INDEX('Margin Guidence Table'!$A$1:$AC$10000,MATCH(1,('Margin Guidence Table'!$A$1:$A$10000=HG26)*('Margin Guidence Table'!$H$1:$H$10000&lt;=ROUND($GY$3,0))*('Margin Guidence Table'!$G$1:$G$10000&gt;=ROUND($GY$3,0)),0),MATCH("MDA_MEDIAN_MARGIN_GUIDENCE",'Margin Guidence Table'!$A$1:$AC$1,0)),INDEX('Margin Guidence Table'!$A$1:$AC$10000,MATCH(1,('Margin Guidence Table'!$A$1:$A$10000=HG26)*('Margin Guidence Table'!$H$1:$H$10000&lt;=ROUND($GY$3,0))*('Margin Guidence Table'!$G$1:$G$10000&gt;=ROUND($GY$3,0)),0),MATCH("DEFAULT_MDA_MEDIAN_MARGIN_GUIDENCE",'Margin Guidence Table'!$A$1:$AC$1,0))),0)</f>
        <v>0</v>
      </c>
      <c r="HN26" s="1165">
        <f t="array" ref="HN26">IFERROR(IF($HI26="SEGMENT",INDEX('Margin Guidence Table'!$A$1:$AC$10000,MATCH(1,('Margin Guidence Table'!$A$1:$A$10000=HG26)*('Margin Guidence Table'!$H$1:$H$10000&lt;=ROUND($GY$3,0))*('Margin Guidence Table'!$G$1:$G$10000&gt;=ROUND($GY$3,0)),0),MATCH("MDA_MAX_MARGIN_GUIDENCE",'Margin Guidence Table'!$A$1:$AC$1,0)),INDEX('Margin Guidence Table'!$A$1:$AC$10000,MATCH(1,('Margin Guidence Table'!$A$1:$A$10000=HG26)*('Margin Guidence Table'!$H$1:$H$10000&lt;=ROUND($GY$3,0))*('Margin Guidence Table'!$G$1:$G$10000&gt;=ROUND($GY$3,0)),0),MATCH("DEFAULT_MDA_MAX_MARGIN_GUIDENCE",'Margin Guidence Table'!$A$1:$AC$1,0))),0)</f>
        <v>0</v>
      </c>
      <c r="HO26" s="1165">
        <f t="array" ref="HO26">IFERROR(IF($HI26="SEGMENT",INDEX('Margin Guidence Table'!$A$1:$AC$10000,MATCH(1,('Margin Guidence Table'!$A$1:$A$10000=HG26)*('Margin Guidence Table'!$H$1:$H$10000&lt;=ROUND($GY$3,0))*('Margin Guidence Table'!$G$1:$G$10000&gt;=ROUND($GY$3,0)),0),MATCH("PA_PCT_SALES",'Margin Guidence Table'!$A$1:$AC$1,0)),INDEX('Margin Guidence Table'!$A$1:$AC$10000,MATCH(1,('Margin Guidence Table'!$A$1:$A$10000=HG26)*('Margin Guidence Table'!$H$1:$H$10000&lt;=ROUND($GY$3,0))*('Margin Guidence Table'!$G$1:$G$10000&gt;=ROUND($GY$3,0)),0),MATCH("DEFAULT_PA_PCT_SALES",'Margin Guidence Table'!$A$1:$AC$1,0))),0)</f>
        <v>0</v>
      </c>
      <c r="HP26" s="1165">
        <f t="array" ref="HP26">IFERROR(IF($HI26="SEGMENT",INDEX('Margin Guidence Table'!$A$1:$AC$10000,MATCH(1,('Margin Guidence Table'!$A$1:$A$10000=HG26)*('Margin Guidence Table'!$H$1:$H$10000&lt;=ROUND($GY$3,0))*('Margin Guidence Table'!$G$1:$G$10000&gt;=ROUND($GY$3,0)),0),MATCH("SELF_FUND_PCT_SALES",'Margin Guidence Table'!$A$1:$AC$1,0)),INDEX('Margin Guidence Table'!$A$1:$AC$10000,MATCH(1,('Margin Guidence Table'!$A$1:$A$10000=HG26)*('Margin Guidence Table'!$H$1:$H$10000&lt;=ROUND($GY$3,0))*('Margin Guidence Table'!$G$1:$G$10000&gt;=ROUND($GY$3,0)),0),MATCH("DEFAULT_SELF_FUND_PCT_SALES",'Margin Guidence Table'!$A$1:$AC$1,0))),0)</f>
        <v>0</v>
      </c>
      <c r="HQ26" s="1165">
        <f t="array" ref="HQ26">IFERROR(IF($HI26="SEGMENT",INDEX('Margin Guidence Table'!$A$1:$AC$10000,MATCH(1,('Margin Guidence Table'!$A$1:$A$10000=HG26)*('Margin Guidence Table'!$H$1:$H$10000&lt;=ROUND($GY$3,0))*('Margin Guidence Table'!$G$1:$G$10000&gt;=ROUND($GY$3,0)),0),MATCH("CIA_MEDIAN_MARGIN_GUIDENCE",'Margin Guidence Table'!$A$1:$AC$1,0)),INDEX('Margin Guidence Table'!$A$1:$AC$10000,MATCH(1,('Margin Guidence Table'!$A$1:$A$10000=HG26)*('Margin Guidence Table'!$H$1:$H$10000&lt;=ROUND($GY$3,0))*('Margin Guidence Table'!$G$1:$G$10000&gt;=ROUND($GY$3,0)),0),MATCH("DEFAULT_CIA_MEDIAN_MARGIN_GUIDENCE",'Margin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Spend&gt;&gt;&gt;",HV2="EXISTING"),SUMIFS('Existing Customers'!$Q:$Q,'Existing Customers'!$A:$A,$HU$1,'Existing Customers'!$H:$H,$HT26)*$HU$4,$HU$3*$HS26),0)</f>
        <v>0</v>
      </c>
      <c r="HV26" s="89">
        <f>IFERROR(IF(AND($HU$2&lt;&gt;"Enter Spend&gt;&gt;&gt;",HV2="EXISTING"),SUMIFS('Existing Customers'!$N:$N,'Existing Customers'!$A:$A,$HU$1,'Existing Customers'!$H:$H,$HT26)*$HU$4,$HU26/$IF26),0)</f>
        <v>0</v>
      </c>
      <c r="HW26" s="95">
        <f>IFERROR(IF(AND($HU$2&lt;&gt;"Enter Spend&gt;&gt;&gt;",HV2="EXISTING"),SUMIFS('Existing Customers'!$O:$O,'Existing Customers'!$H:$H,$HT26,'Existing Customers'!$A:$A,$HU$1)*$HU$4,$HV26*$HU$8),0)</f>
        <v>0</v>
      </c>
      <c r="HX26" s="95">
        <f>IFERROR(IF(AND($HU$2&lt;&gt;"Enter Spend&gt;&gt;&gt;",HV2="EXISTING"),SUMIFS('Existing Customers'!$P:$P,'Existing Customers'!$A:$A,$HU$1,'Existing Customers'!$H:$H,$HT26)*$HU$4,$HU26/$IG26),0)</f>
        <v>0</v>
      </c>
      <c r="HY26" s="402">
        <f>IFERROR(IF(AND($HU$2&lt;&gt;"Enter Spend&gt;&gt;&gt;",HV2="EXISTING"),SUMIFS('Existing Customers'!$V:$V,'Existing Customers'!$H:$H,$HT26,'Existing Customers'!$A:$A,$HU$1)*$HU$4,0),0)</f>
        <v>0</v>
      </c>
      <c r="HZ26" s="96">
        <f>IFERROR(IF(AND($HU$2&lt;&gt;"Enter Spend&gt;&gt;&gt;",HV2="EXISTING"),SUMIFS('Existing Customers'!$R:$R,'Existing Customers'!$H:$H,$HT26,'Existing Customers'!$A:$A,$HU$1)*$HU$4,0),0)</f>
        <v>0</v>
      </c>
      <c r="IA26" s="1161">
        <f>IFERROR(IF(AND($HU$2&lt;&gt;"Enter Spend&gt;&gt;&gt;",HV2="EXISTING"),SUMIFS('Existing Customers'!$S:$S,'Existing Customers'!$H:$H,$HT26,'Existing Customers'!$A:$A,$HU$1),IK26*HU26),0)</f>
        <v>0</v>
      </c>
      <c r="IB26" s="1161">
        <f>IFERROR(IF(AND($HU$2&lt;&gt;"Enter Spend&gt;&gt;&gt;",HV2="EXISTING"),SUMIFS('Existing Customers'!$U:$U,'Existing Customers'!$H:$H,$HT26,'Existing Customers'!$A:$A,$HU$1),IL26*HU26),0)</f>
        <v>0</v>
      </c>
      <c r="IC26" s="1164" t="e">
        <f t="shared" si="40"/>
        <v>#N/A</v>
      </c>
      <c r="ID26" s="1164">
        <f t="array" ref="ID26">IFERROR(INDEX('Margin Guidence Table'!$A$1:$AD$30000,MATCH(1,('Margin Guidence Table'!$A$1:$A$10000=IC26)*('Margin Guidence Table'!$H$1:$H$10000&lt;=ROUND($HU$3,0))*('Margin Guidence Table'!$G$1:$G$10000&gt;=ROUND($HU$3,0)),0),MATCH("DATA_POINTS",'Margin Guidence Table'!$A$1:$AC$1,0)),0)</f>
        <v>0</v>
      </c>
      <c r="IE26" s="1161" t="str">
        <f t="shared" si="41"/>
        <v>DEFAULT</v>
      </c>
      <c r="IF26" s="1161">
        <f t="array" ref="IF26">IFERROR(IF($IE26="SEGMENT",INDEX('Margin Guidence Table'!$A$1:$AC$10000,MATCH(1,('Margin Guidence Table'!$A$1:$A$10000=IC26)*('Margin Guidence Table'!$H$1:$H$10000&lt;=ROUND($HU$3,0))*('Margin Guidence Table'!$G$1:$G$10000&gt;=ROUND($HU$3,0)),0),MATCH("SALES_CASE",'Margin Guidence Table'!$A$1:$AC$1,0)),INDEX('Margin Guidence Table'!$A$1:$AC$10000,MATCH(1,('Margin Guidence Table'!$A$1:$A$10000=IC26)*('Margin Guidence Table'!$H$1:$H$10000&lt;=ROUND($HU$3,0))*('Margin Guidence Table'!$G$1:$G$10000&gt;=ROUND($HU$3,0)),0),MATCH("DEFAULT_SALES_CASE",'Margin Guidence Table'!$A$1:$AC$1,0))),0)</f>
        <v>0</v>
      </c>
      <c r="IG26" s="1161">
        <f t="array" ref="IG26">IFERROR(IF($IE26="SEGMENT",INDEX('Margin Guidence Table'!$A$1:$AC$10000,MATCH(1,('Margin Guidence Table'!$A$1:$A$10000=IC26)*('Margin Guidence Table'!$H$1:$H$10000&lt;=ROUND($HU$3,0))*('Margin Guidence Table'!$G$1:$G$10000&gt;=ROUND($HU$3,0)),0),MATCH("SALES_LBS",'Margin Guidence Table'!$A$1:$AC$1,0)),INDEX('Margin Guidence Table'!$A$1:$AC$10000,MATCH(1,('Margin Guidence Table'!$A$1:$A$10000=IC26)*('Margin Guidence Table'!$H$1:$H$10000&lt;=ROUND($HU$3,0))*('Margin Guidence Table'!$G$1:$G$10000&gt;=ROUND($HU$3,0)),0),MATCH("DEFAULT_SALES_LBS",'Margin Guidence Table'!$A$1:$AC$1,0))),0)</f>
        <v>0</v>
      </c>
      <c r="IH26" s="1165">
        <f t="array" ref="IH26">IFERROR(IF($IE26="SEGMENT",INDEX('Margin Guidence Table'!$A$1:$AC$10000,MATCH(1,('Margin Guidence Table'!$A$1:$A$10000=IC26)*('Margin Guidence Table'!$H$1:$H$10000&lt;=ROUND($HU$3,0))*('Margin Guidence Table'!$G$1:$G$10000&gt;=ROUND($HU$3,0)),0),MATCH("MDA_MIN_MARGIN_GUIDENCE",'Margin Guidence Table'!$A$1:$AC$1,0)),INDEX('Margin Guidence Table'!$A$1:$AC$10000,MATCH(1,('Margin Guidence Table'!$A$1:$A$10000=IC26)*('Margin Guidence Table'!$H$1:$H$10000&lt;=ROUND($HU$3,0))*('Margin Guidence Table'!$G$1:$G$10000&gt;=ROUND($HU$3,0)),0),MATCH("DEFAULT_MDA_MIN_MARGIN_GUIDENCE",'Margin Guidence Table'!$A$1:$AC$1,0))),0)</f>
        <v>0</v>
      </c>
      <c r="II26" s="1165">
        <f t="array" ref="II26">IFERROR(IF($IE26="SEGMENT",INDEX('Margin Guidence Table'!$A$1:$AC$10000,MATCH(1,('Margin Guidence Table'!$A$1:$A$10000=IC26)*('Margin Guidence Table'!$H$1:$H$10000&lt;=ROUND($HU$3,0))*('Margin Guidence Table'!$G$1:$G$10000&gt;=ROUND($HU$3,0)),0),MATCH("MDA_MEDIAN_MARGIN_GUIDENCE",'Margin Guidence Table'!$A$1:$AC$1,0)),INDEX('Margin Guidence Table'!$A$1:$AC$10000,MATCH(1,('Margin Guidence Table'!$A$1:$A$10000=IC26)*('Margin Guidence Table'!$H$1:$H$10000&lt;=ROUND($HU$3,0))*('Margin Guidence Table'!$G$1:$G$10000&gt;=ROUND($HU$3,0)),0),MATCH("DEFAULT_MDA_MEDIAN_MARGIN_GUIDENCE",'Margin Guidence Table'!$A$1:$AC$1,0))),0)</f>
        <v>0</v>
      </c>
      <c r="IJ26" s="1165">
        <f t="array" ref="IJ26">IFERROR(IF($IE26="SEGMENT",INDEX('Margin Guidence Table'!$A$1:$AC$10000,MATCH(1,('Margin Guidence Table'!$A$1:$A$10000=IC26)*('Margin Guidence Table'!$H$1:$H$10000&lt;=ROUND($HU$3,0))*('Margin Guidence Table'!$G$1:$G$10000&gt;=ROUND($HU$3,0)),0),MATCH("MDA_MAX_MARGIN_GUIDENCE",'Margin Guidence Table'!$A$1:$AC$1,0)),INDEX('Margin Guidence Table'!$A$1:$AC$10000,MATCH(1,('Margin Guidence Table'!$A$1:$A$10000=IC26)*('Margin Guidence Table'!$H$1:$H$10000&lt;=ROUND($HU$3,0))*('Margin Guidence Table'!$G$1:$G$10000&gt;=ROUND($HU$3,0)),0),MATCH("DEFAULT_MDA_MAX_MARGIN_GUIDENCE",'Margin Guidence Table'!$A$1:$AC$1,0))),0)</f>
        <v>0</v>
      </c>
      <c r="IK26" s="1165">
        <f t="array" ref="IK26">IFERROR(IF($IE26="SEGMENT",INDEX('Margin Guidence Table'!$A$1:$AC$10000,MATCH(1,('Margin Guidence Table'!$A$1:$A$10000=IC26)*('Margin Guidence Table'!$H$1:$H$10000&lt;=ROUND($HU$3,0))*('Margin Guidence Table'!$G$1:$G$10000&gt;=ROUND($HU$3,0)),0),MATCH("PA_PCT_SALES",'Margin Guidence Table'!$A$1:$AC$1,0)),INDEX('Margin Guidence Table'!$A$1:$AC$10000,MATCH(1,('Margin Guidence Table'!$A$1:$A$10000=IC26)*('Margin Guidence Table'!$H$1:$H$10000&lt;=ROUND($HU$3,0))*('Margin Guidence Table'!$G$1:$G$10000&gt;=ROUND($HU$3,0)),0),MATCH("DEFAULT_PA_PCT_SALES",'Margin Guidence Table'!$A$1:$AC$1,0))),0)</f>
        <v>0</v>
      </c>
      <c r="IL26" s="1165">
        <f t="array" ref="IL26">IFERROR(IF($IE26="SEGMENT",INDEX('Margin Guidence Table'!$A$1:$AC$10000,MATCH(1,('Margin Guidence Table'!$A$1:$A$10000=IC26)*('Margin Guidence Table'!$H$1:$H$10000&lt;=ROUND($HU$3,0))*('Margin Guidence Table'!$G$1:$G$10000&gt;=ROUND($HU$3,0)),0),MATCH("SELF_FUND_PCT_SALES",'Margin Guidence Table'!$A$1:$AC$1,0)),INDEX('Margin Guidence Table'!$A$1:$AC$10000,MATCH(1,('Margin Guidence Table'!$A$1:$A$10000=IC26)*('Margin Guidence Table'!$H$1:$H$10000&lt;=ROUND($HU$3,0))*('Margin Guidence Table'!$G$1:$G$10000&gt;=ROUND($HU$3,0)),0),MATCH("DEFAULT_SELF_FUND_PCT_SALES",'Margin Guidence Table'!$A$1:$AC$1,0))),0)</f>
        <v>0</v>
      </c>
      <c r="IM26" s="1165">
        <f t="array" ref="IM26">IFERROR(IF($IE26="SEGMENT",INDEX('Margin Guidence Table'!$A$1:$AC$10000,MATCH(1,('Margin Guidence Table'!$A$1:$A$10000=IC26)*('Margin Guidence Table'!$H$1:$H$10000&lt;=ROUND($HU$3,0))*('Margin Guidence Table'!$G$1:$G$10000&gt;=ROUND($HU$3,0)),0),MATCH("CIA_MEDIAN_MARGIN_GUIDENCE",'Margin Guidence Table'!$A$1:$AC$1,0)),INDEX('Margin Guidence Table'!$A$1:$AC$10000,MATCH(1,('Margin Guidence Table'!$A$1:$A$10000=IC26)*('Margin Guidence Table'!$H$1:$H$10000&lt;=ROUND($HU$3,0))*('Margin Guidence Table'!$G$1:$G$10000&gt;=ROUND($HU$3,0)),0),MATCH("DEFAULT_CIA_MEDIAN_MARGIN_GUIDENCE",'Margin Guidence Table'!$A$1:$AC$1,0))),0)</f>
        <v>0</v>
      </c>
      <c r="IN26" s="129"/>
      <c r="IO26" s="18">
        <f t="array" ref="IO26">IFERROR(IF($JA26="SEGMENT",INDEX('Margin Guidence Table'!$A$1:$AC$10000,MATCH(1,('Margin Guidence Table'!$A$1:$A$10000=$IY26)*('Margin Guidence Table'!$H$1:$H$10000&lt;=ROUND($IQ$3,0))*('Margin Guidence Table'!$G$1:$G$10000&gt;=ROUND($IQ$3,0)),0),MATCH("PCT_SALES",'Margin Guidence Table'!$A$1:$AC$1,0)),INDEX('Margin Guidence Table'!$A$1:$AC$10000,MATCH(1,('Margin Guidence Table'!$A$1:$A$10000=$IY26)*('Margin Guidence Table'!$H$1:$H$10000&lt;=ROUND($IQ$3,0))*('Margin Guidence Table'!$G$1:$G$10000&gt;=ROUND($IQ$3,0)),0),MATCH("DEFAULT_PCT_SALES",'Margin Guidence Table'!$A$1:$AC$1,0))),0)</f>
        <v>0</v>
      </c>
      <c r="IP26" s="102" t="s">
        <v>105</v>
      </c>
      <c r="IQ26" s="94">
        <f>IFERROR(IF(AND($IQ$2&lt;&gt;"Enter Spend&gt;&gt;&gt;",IR2="EXISTING"),SUMIFS('Existing Customers'!$Q:$Q,'Existing Customers'!$A:$A,$IQ$1,'Existing Customers'!$H:$H,$IP26)*$IQ$4,$IQ$3*$IO26),0)</f>
        <v>0</v>
      </c>
      <c r="IR26" s="89">
        <f>IFERROR(IF(AND($IQ$2&lt;&gt;"Enter Spend&gt;&gt;&gt;",IR2="EXISTING"),SUMIFS('Existing Customers'!$N:$N,'Existing Customers'!$A:$A,$IQ$1,'Existing Customers'!$H:$H,$IP26)*$IQ$4,$IQ26/$JB26),0)</f>
        <v>0</v>
      </c>
      <c r="IS26" s="95">
        <f>IFERROR(IF(AND($IQ$2&lt;&gt;"Enter Spend&gt;&gt;&gt;",IR2="EXISTING"),SUMIFS('Existing Customers'!$O:$O,'Existing Customers'!$H:$H,$IP26,'Existing Customers'!$A:$A,$IQ$1)*$IQ$4,$IR26*$IQ$8),0)</f>
        <v>0</v>
      </c>
      <c r="IT26" s="95">
        <f>IFERROR(IF(AND($IQ$2&lt;&gt;"Enter Spend&gt;&gt;&gt;",IR2="EXISTING"),SUMIFS('Existing Customers'!$P:$P,'Existing Customers'!$A:$A,$IQ$1,'Existing Customers'!$H:$H,$IP26)*$IQ$4,$IQ26/$JC26),0)</f>
        <v>0</v>
      </c>
      <c r="IU26" s="402">
        <f>IFERROR(IF(AND($IQ$2&lt;&gt;"Enter Spend&gt;&gt;&gt;",IR2="EXISTING"),SUMIFS('Existing Customers'!$V:$V,'Existing Customers'!$H:$H,$IP26,'Existing Customers'!$A:$A,$IQ$1)*$IQ$4,0),0)</f>
        <v>0</v>
      </c>
      <c r="IV26" s="96">
        <f>IFERROR(IF(AND($IQ$2&lt;&gt;"Enter Spend&gt;&gt;&gt;",IR2="EXISTING"),SUMIFS('Existing Customers'!$R:$R,'Existing Customers'!$H:$H,$IP26,'Existing Customers'!$A:$A,$IQ$1)*$IQ$4,0),0)</f>
        <v>0</v>
      </c>
      <c r="IW26" s="1161">
        <f>IFERROR(IF(AND($IQ$2&lt;&gt;"Enter Spend&gt;&gt;&gt;",IR2="EXISTING"),SUMIFS('Existing Customers'!$S:$S,'Existing Customers'!$H:$H,$IP26,'Existing Customers'!$A:$A,$IQ$1),JG26*IQ26),0)</f>
        <v>0</v>
      </c>
      <c r="IX26" s="1161">
        <f>IFERROR(IF(AND($IQ$2&lt;&gt;"Enter Spend&gt;&gt;&gt;",IR2="EXISTING"),SUMIFS('Existing Customers'!$U:$U,'Existing Customers'!$H:$H,$IP26,'Existing Customers'!$A:$A,$IQ$1),JH26*IQ26),0)</f>
        <v>0</v>
      </c>
      <c r="IY26" s="1164" t="e">
        <f t="shared" si="42"/>
        <v>#N/A</v>
      </c>
      <c r="IZ26" s="1164">
        <f t="array" ref="IZ26">IFERROR(INDEX('Margin Guidence Table'!$A$1:$AD$30000,MATCH(1,('Margin Guidence Table'!$A$1:$A$10000=IY26)*('Margin Guidence Table'!$H$1:$H$10000&lt;=ROUND($IQ$3,0))*('Margin Guidence Table'!$G$1:$G$10000&gt;=ROUND($IQ$3,0)),0),MATCH("DATA_POINTS",'Margin Guidence Table'!$A$1:$AC$1,0)),0)</f>
        <v>0</v>
      </c>
      <c r="JA26" s="1161" t="str">
        <f t="shared" si="43"/>
        <v>DEFAULT</v>
      </c>
      <c r="JB26" s="1161">
        <f t="array" ref="JB26">IFERROR(IF($JA26="SEGMENT",INDEX('Margin Guidence Table'!$A$1:$AC$10000,MATCH(1,('Margin Guidence Table'!$A$1:$A$10000=IY26)*('Margin Guidence Table'!$H$1:$H$10000&lt;=ROUND($IQ$3,0))*('Margin Guidence Table'!$G$1:$G$10000&gt;=ROUND($IQ$3,0)),0),MATCH("SALES_CASE",'Margin Guidence Table'!$A$1:$AC$1,0)),INDEX('Margin Guidence Table'!$A$1:$AC$10000,MATCH(1,('Margin Guidence Table'!$A$1:$A$10000=IY26)*('Margin Guidence Table'!$H$1:$H$10000&lt;=ROUND($IQ$3,0))*('Margin Guidence Table'!$G$1:$G$10000&gt;=ROUND($IQ$3,0)),0),MATCH("DEFAULT_SALES_CASE",'Margin Guidence Table'!$A$1:$AC$1,0))),0)</f>
        <v>0</v>
      </c>
      <c r="JC26" s="1161">
        <f t="array" ref="JC26">IFERROR(IF($JA26="SEGMENT",INDEX('Margin Guidence Table'!$A$1:$AC$10000,MATCH(1,('Margin Guidence Table'!$A$1:$A$10000=IY26)*('Margin Guidence Table'!$H$1:$H$10000&lt;=ROUND($IQ$3,0))*('Margin Guidence Table'!$G$1:$G$10000&gt;=ROUND($IQ$3,0)),0),MATCH("SALES_LBS",'Margin Guidence Table'!$A$1:$AC$1,0)),INDEX('Margin Guidence Table'!$A$1:$AC$10000,MATCH(1,('Margin Guidence Table'!$A$1:$A$10000=IY26)*('Margin Guidence Table'!$H$1:$H$10000&lt;=ROUND($IQ$3,0))*('Margin Guidence Table'!$G$1:$G$10000&gt;=ROUND($IQ$3,0)),0),MATCH("DEFAULT_SALES_LBS",'Margin Guidence Table'!$A$1:$AC$1,0))),0)</f>
        <v>0</v>
      </c>
      <c r="JD26" s="1165">
        <f t="array" ref="JD26">IFERROR(IF($JA26="SEGMENT",INDEX('Margin Guidence Table'!$A$1:$AC$10000,MATCH(1,('Margin Guidence Table'!$A$1:$A$10000=IY26)*('Margin Guidence Table'!$H$1:$H$10000&lt;=ROUND($IQ$3,0))*('Margin Guidence Table'!$G$1:$G$10000&gt;=ROUND($IQ$3,0)),0),MATCH("MDA_MIN_MARGIN_GUIDENCE",'Margin Guidence Table'!$A$1:$AC$1,0)),INDEX('Margin Guidence Table'!$A$1:$AC$10000,MATCH(1,('Margin Guidence Table'!$A$1:$A$10000=IY26)*('Margin Guidence Table'!$H$1:$H$10000&lt;=ROUND($IQ$3,0))*('Margin Guidence Table'!$G$1:$G$10000&gt;=ROUND($IQ$3,0)),0),MATCH("DEFAULT_MDA_MIN_MARGIN_GUIDENCE",'Margin Guidence Table'!$A$1:$AC$1,0))),0)</f>
        <v>0</v>
      </c>
      <c r="JE26" s="1165">
        <f t="array" ref="JE26">IFERROR(IF($JA26="SEGMENT",INDEX('Margin Guidence Table'!$A$1:$AC$10000,MATCH(1,('Margin Guidence Table'!$A$1:$A$10000=IY26)*('Margin Guidence Table'!$H$1:$H$10000&lt;=ROUND($IQ$3,0))*('Margin Guidence Table'!$G$1:$G$10000&gt;=ROUND($IQ$3,0)),0),MATCH("MDA_MEDIAN_MARGIN_GUIDENCE",'Margin Guidence Table'!$A$1:$AC$1,0)),INDEX('Margin Guidence Table'!$A$1:$AC$10000,MATCH(1,('Margin Guidence Table'!$A$1:$A$10000=IY26)*('Margin Guidence Table'!$H$1:$H$10000&lt;=ROUND($IQ$3,0))*('Margin Guidence Table'!$G$1:$G$10000&gt;=ROUND($IQ$3,0)),0),MATCH("DEFAULT_MDA_MEDIAN_MARGIN_GUIDENCE",'Margin Guidence Table'!$A$1:$AC$1,0))),0)</f>
        <v>0</v>
      </c>
      <c r="JF26" s="1165">
        <f t="array" ref="JF26">IFERROR(IF($JA26="SEGMENT",INDEX('Margin Guidence Table'!$A$1:$AC$10000,MATCH(1,('Margin Guidence Table'!$A$1:$A$10000=IY26)*('Margin Guidence Table'!$H$1:$H$10000&lt;=ROUND($IQ$3,0))*('Margin Guidence Table'!$G$1:$G$10000&gt;=ROUND($IQ$3,0)),0),MATCH("MDA_MAX_MARGIN_GUIDENCE",'Margin Guidence Table'!$A$1:$AC$1,0)),INDEX('Margin Guidence Table'!$A$1:$AC$10000,MATCH(1,('Margin Guidence Table'!$A$1:$A$10000=IY26)*('Margin Guidence Table'!$H$1:$H$10000&lt;=ROUND($IQ$3,0))*('Margin Guidence Table'!$G$1:$G$10000&gt;=ROUND($IQ$3,0)),0),MATCH("DEFAULT_MDA_MAX_MARGIN_GUIDENCE",'Margin Guidence Table'!$A$1:$AC$1,0))),0)</f>
        <v>0</v>
      </c>
      <c r="JG26" s="1165">
        <f t="array" ref="JG26">IFERROR(IF($JA26="SEGMENT",INDEX('Margin Guidence Table'!$A$1:$AC$10000,MATCH(1,('Margin Guidence Table'!$A$1:$A$10000=IY26)*('Margin Guidence Table'!$H$1:$H$10000&lt;=ROUND($IQ$3,0))*('Margin Guidence Table'!$G$1:$G$10000&gt;=ROUND($IQ$3,0)),0),MATCH("PA_PCT_SALES",'Margin Guidence Table'!$A$1:$AC$1,0)),INDEX('Margin Guidence Table'!$A$1:$AC$10000,MATCH(1,('Margin Guidence Table'!$A$1:$A$10000=IY26)*('Margin Guidence Table'!$H$1:$H$10000&lt;=ROUND($IQ$3,0))*('Margin Guidence Table'!$G$1:$G$10000&gt;=ROUND($IQ$3,0)),0),MATCH("DEFAULT_PA_PCT_SALES",'Margin Guidence Table'!$A$1:$AC$1,0))),0)</f>
        <v>0</v>
      </c>
      <c r="JH26" s="1165">
        <f t="array" ref="JH26">IFERROR(IF($JA26="SEGMENT",INDEX('Margin Guidence Table'!$A$1:$AC$10000,MATCH(1,('Margin Guidence Table'!$A$1:$A$10000=IY26)*('Margin Guidence Table'!$H$1:$H$10000&lt;=ROUND($IQ$3,0))*('Margin Guidence Table'!$G$1:$G$10000&gt;=ROUND($IQ$3,0)),0),MATCH("SELF_FUND_PCT_SALES",'Margin Guidence Table'!$A$1:$AC$1,0)),INDEX('Margin Guidence Table'!$A$1:$AC$10000,MATCH(1,('Margin Guidence Table'!$A$1:$A$10000=IY26)*('Margin Guidence Table'!$H$1:$H$10000&lt;=ROUND($IQ$3,0))*('Margin Guidence Table'!$G$1:$G$10000&gt;=ROUND($IQ$3,0)),0),MATCH("DEFAULT_SELF_FUND_PCT_SALES",'Margin Guidence Table'!$A$1:$AC$1,0))),0)</f>
        <v>0</v>
      </c>
      <c r="JI26" s="1165">
        <f t="array" ref="JI26">IFERROR(IF($JA26="SEGMENT",INDEX('Margin Guidence Table'!$A$1:$AC$10000,MATCH(1,('Margin Guidence Table'!$A$1:$A$10000=IY26)*('Margin Guidence Table'!$H$1:$H$10000&lt;=ROUND($IQ$3,0))*('Margin Guidence Table'!$G$1:$G$10000&gt;=ROUND($IQ$3,0)),0),MATCH("CIA_MEDIAN_MARGIN_GUIDENCE",'Margin Guidence Table'!$A$1:$AC$1,0)),INDEX('Margin Guidence Table'!$A$1:$AC$10000,MATCH(1,('Margin Guidence Table'!$A$1:$A$10000=IY26)*('Margin Guidence Table'!$H$1:$H$10000&lt;=ROUND($IQ$3,0))*('Margin Guidence Table'!$G$1:$G$10000&gt;=ROUND($IQ$3,0)),0),MATCH("DEFAULT_CIA_MEDIAN_MARGIN_GUIDENCE",'Margin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44"/>
        <v>#DIV/0!</v>
      </c>
      <c r="AV27" s="400"/>
      <c r="AW27" s="400"/>
      <c r="AX27" s="108">
        <v>16</v>
      </c>
      <c r="AY27" s="18">
        <f t="array" ref="AY27">IFERROR(IF($BK27="SEGMENT",INDEX('Margin Guidence Table'!$A$1:$AC$10000,MATCH(1,('Margin Guidence Table'!$A$1:$A$10000=$BI27)*('Margin Guidence Table'!$H$1:$H$10000&lt;=ROUND($BA$3,0))*('Margin Guidence Table'!$G$1:$G$10000&gt;=ROUND($BA$3,0)),0),MATCH("PCT_SALES",'Margin Guidence Table'!$A$1:$AC$1,0)),INDEX('Margin Guidence Table'!$A$1:$AC$10000,MATCH(1,('Margin Guidence Table'!$A$1:$A$10000=$BI27)*('Margin Guidence Table'!$H$1:$H$10000&lt;=ROUND($BA$3,0))*('Margin Guidence Table'!$G$1:$G$10000&gt;=ROUND($BA$3,0)),0),MATCH("DEFAULT_PCT_SALES",'Margin Guidence Table'!$A$1:$AC$1,0))),0)</f>
        <v>0</v>
      </c>
      <c r="AZ27" s="102" t="s">
        <v>92</v>
      </c>
      <c r="BA27" s="94">
        <f>IFERROR(IF(AND($BA$2&lt;&gt;"Enter Spend&gt;&gt;&gt;",BB2="EXISTING"),SUMIFS('Existing Customers'!$Q:$Q,'Existing Customers'!$A:$A,$BA$1,'Existing Customers'!$H:$H,$AZ27)*$BA$4,$BA$3*$AY27),0)</f>
        <v>0</v>
      </c>
      <c r="BB27" s="95">
        <f>IFERROR(IF(AND($BA$2&lt;&gt;"Enter Spend&gt;&gt;&gt;",BB2="EXISTING"),SUMIFS('Existing Customers'!$N:$N,'Existing Customers'!$A:$A,$BA$1,'Existing Customers'!$H:$H,$AZ27)*$BA$4,$BA27/$BL27),0)</f>
        <v>0</v>
      </c>
      <c r="BC27" s="95">
        <f>IFERROR(IF(AND($BA$2&lt;&gt;"Enter Spend&gt;&gt;&gt;",BB2="EXISTING"),SUMIFS('Existing Customers'!$O:$O,'Existing Customers'!$H:$H,$AZ27,'Existing Customers'!$A:$A,$BA$1)*$BA$4,$BB27*$BA$8),0)</f>
        <v>0</v>
      </c>
      <c r="BD27" s="95">
        <f>IFERROR(IF(AND($BA$2&lt;&gt;"Enter Spend&gt;&gt;&gt;",BB2="EXISTING"),SUMIFS('Existing Customers'!$P:$P,'Existing Customers'!$A:$A,$BA$1,'Existing Customers'!$H:$H,$AZ27)*$BA$4,$BA27/$BM27),0)</f>
        <v>0</v>
      </c>
      <c r="BE27" s="402">
        <f>IFERROR(IF(AND($BA$2&lt;&gt;"Enter Spend&gt;&gt;&gt;",BB2="EXISTING"),SUMIFS('Existing Customers'!$V:$V,'Existing Customers'!$H:$H,$AZ27,'Existing Customers'!$A:$A,$BA$1)*$BA$4,0),0)</f>
        <v>0</v>
      </c>
      <c r="BF27" s="96">
        <f>IFERROR(IF(AND($BA$2&lt;&gt;"Enter Spend&gt;&gt;&gt;",BB2="EXISTING"),SUMIFS('Existing Customers'!$R:$R,'Existing Customers'!$H:$H,$AZ27,'Existing Customers'!$A:$A,$BA$1)*$BA$4,0),0)</f>
        <v>0</v>
      </c>
      <c r="BG27" s="96">
        <f>IFERROR(IF(AND($BA$2&lt;&gt;"Enter Spend&gt;&gt;&gt;",BB2="EXISTING"),SUMIFS('Existing Customers'!$S:$S,'Existing Customers'!$H:$H,$AZ27,'Existing Customers'!$A:$A,$BA$1),BQ27*BA27),0)</f>
        <v>0</v>
      </c>
      <c r="BH27" s="96">
        <f>IFERROR(IF(AND($BA$2&lt;&gt;"Enter Spend&gt;&gt;&gt;",BB2="EXISTING"),SUMIFS('Existing Customers'!$U:$U,'Existing Customers'!$H:$H,$AZ27,'Existing Customers'!$A:$A,$BA$1),BR27*BA27),0)</f>
        <v>0</v>
      </c>
      <c r="BI27" s="1163" t="e">
        <f t="shared" si="24"/>
        <v>#N/A</v>
      </c>
      <c r="BJ27" s="1164">
        <f t="array" ref="BJ27">IFERROR(INDEX('Margin Guidence Table'!$A$1:$AD$30000,MATCH(1,('Margin Guidence Table'!$A$1:$A$10000=$BI27)*('Margin Guidence Table'!$H$1:$H$10000&lt;=ROUND($BA$3,0))*('Margin Guidence Table'!$G$1:$G$10000&gt;=ROUND($BA$3,0)),0),MATCH("DATA_POINTS",'Margin Guidence Table'!$A$1:$AC$1,0)),0)</f>
        <v>0</v>
      </c>
      <c r="BK27" s="1161" t="str">
        <f t="shared" si="25"/>
        <v>DEFAULT</v>
      </c>
      <c r="BL27" s="1161">
        <f t="array" ref="BL27">IFERROR(IF($BK27="SEGMENT",INDEX('Margin Guidence Table'!$A$1:$AC$10000,MATCH(1,('Margin Guidence Table'!$A$1:$A$10000=$BI27)*('Margin Guidence Table'!$H$1:$H$10000&lt;=ROUND($BA$3,0))*('Margin Guidence Table'!$G$1:$G$10000&gt;=ROUND($BA$3,0)),0),MATCH("SALES_CASE",'Margin Guidence Table'!$A$1:$AC$1,0)),INDEX('Margin Guidence Table'!$A$1:$AC$10000,MATCH(1,('Margin Guidence Table'!$A$1:$A$10000=$BI27)*('Margin Guidence Table'!$H$1:$H$10000&lt;=ROUND($BA$3,0))*('Margin Guidence Table'!$G$1:$G$10000&gt;=ROUND($BA$3,0)),0),MATCH("DEFAULT_SALES_CASE",'Margin Guidence Table'!$A$1:$AC$1,0))),0)</f>
        <v>0</v>
      </c>
      <c r="BM27" s="1161">
        <f t="array" ref="BM27">IFERROR(IF($BK27="SEGMENT",INDEX('Margin Guidence Table'!$A$1:$AC$10000,MATCH(1,('Margin Guidence Table'!$A$1:$A$10000=$BI27)*('Margin Guidence Table'!$H$1:$H$10000&lt;=ROUND($BA$3,0))*('Margin Guidence Table'!$G$1:$G$10000&gt;=ROUND($BA$3,0)),0),MATCH("SALES_LBS",'Margin Guidence Table'!$A$1:$AC$1,0)),INDEX('Margin Guidence Table'!$A$1:$AC$10000,MATCH(1,('Margin Guidence Table'!$A$1:$A$10000=$BI27)*('Margin Guidence Table'!$H$1:$H$10000&lt;=ROUND($BA$3,0))*('Margin Guidence Table'!$G$1:$G$10000&gt;=ROUND($BA$3,0)),0),MATCH("DEFAULT_SALES_LBS",'Margin Guidence Table'!$A$1:$AC$1,0))),0)</f>
        <v>0</v>
      </c>
      <c r="BN27" s="1165">
        <f t="array" ref="BN27">IFERROR(IF($BK27="SEGMENT",INDEX('Margin Guidence Table'!$A$1:$AC$10000,MATCH(1,('Margin Guidence Table'!$A$1:$A$10000=$BI27)*('Margin Guidence Table'!$H$1:$H$10000&lt;=ROUND($BA$3,0))*('Margin Guidence Table'!$G$1:$G$10000&gt;=ROUND($BA$3,0)),0),MATCH("MDA_MIN_MARGIN_GUIDENCE",'Margin Guidence Table'!$A$1:$AC$1,0)),INDEX('Margin Guidence Table'!$A$1:$AC$10000,MATCH(1,('Margin Guidence Table'!$A$1:$A$10000=$BI27)*('Margin Guidence Table'!$H$1:$H$10000&lt;=ROUND($BA$3,0))*('Margin Guidence Table'!$G$1:$G$10000&gt;=ROUND($BA$3,0)),0),MATCH("DEFAULT_MDA_MIN_MARGIN_GUIDENCE",'Margin Guidence Table'!$A$1:$AC$1,0))),0)</f>
        <v>0</v>
      </c>
      <c r="BO27" s="1165">
        <f t="array" ref="BO27">IFERROR(IF($BK27="SEGMENT",INDEX('Margin Guidence Table'!$A$1:$AC$10000,MATCH(1,('Margin Guidence Table'!$A$1:$A$10000=$BI27)*('Margin Guidence Table'!$H$1:$H$10000&lt;=ROUND($BA$3,0))*('Margin Guidence Table'!$G$1:$G$10000&gt;=ROUND($BA$3,0)),0),MATCH("MDA_MEDIAN_MARGIN_GUIDENCE",'Margin Guidence Table'!$A$1:$AC$1,0)),INDEX('Margin Guidence Table'!$A$1:$AC$10000,MATCH(1,('Margin Guidence Table'!$A$1:$A$10000=$BI27)*('Margin Guidence Table'!$H$1:$H$10000&lt;=ROUND($BA$3,0))*('Margin Guidence Table'!$G$1:$G$10000&gt;=ROUND($BA$3,0)),0),MATCH("DEFAULT_MDA_MEDIAN_MARGIN_GUIDENCE",'Margin Guidence Table'!$A$1:$AC$1,0))),0)</f>
        <v>0</v>
      </c>
      <c r="BP27" s="1165">
        <f t="array" ref="BP27">IFERROR(IF($BK27="SEGMENT",INDEX('Margin Guidence Table'!$A$1:$AC$10000,MATCH(1,('Margin Guidence Table'!$A$1:$A$10000=$BI27)*('Margin Guidence Table'!$H$1:$H$10000&lt;=ROUND($BA$3,0))*('Margin Guidence Table'!$G$1:$G$10000&gt;=ROUND($BA$3,0)),0),MATCH("MDA_MAX_MARGIN_GUIDENCE",'Margin Guidence Table'!$A$1:$AC$1,0)),INDEX('Margin Guidence Table'!$A$1:$AC$10000,MATCH(1,('Margin Guidence Table'!$A$1:$A$10000=$BI27)*('Margin Guidence Table'!$H$1:$H$10000&lt;=ROUND($BA$3,0))*('Margin Guidence Table'!$G$1:$G$10000&gt;=ROUND($BA$3,0)),0),MATCH("DEFAULT_MDA_MAX_MARGIN_GUIDENCE",'Margin Guidence Table'!$A$1:$AC$1,0))),0)</f>
        <v>0</v>
      </c>
      <c r="BQ27" s="1165">
        <f t="array" ref="BQ27">IFERROR(IF($BK27="SEGMENT",INDEX('Margin Guidence Table'!$A$1:$AC$10000,MATCH(1,('Margin Guidence Table'!$A$1:$A$10000=$BI27)*('Margin Guidence Table'!$H$1:$H$10000&lt;=ROUND($BA$3,0))*('Margin Guidence Table'!$G$1:$G$10000&gt;=ROUND($BA$3,0)),0),MATCH("PA_PCT_SALES",'Margin Guidence Table'!$A$1:$AC$1,0)),INDEX('Margin Guidence Table'!$A$1:$AC$10000,MATCH(1,('Margin Guidence Table'!$A$1:$A$10000=$BI27)*('Margin Guidence Table'!$H$1:$H$10000&lt;=ROUND($BA$3,0))*('Margin Guidence Table'!$G$1:$G$10000&gt;=ROUND($BA$3,0)),0),MATCH("DEFAULT_PA_PCT_SALES",'Margin Guidence Table'!$A$1:$AC$1,0))),0)</f>
        <v>0</v>
      </c>
      <c r="BR27" s="1165">
        <f t="array" ref="BR27">IFERROR(IF($BK27="SEGMENT",INDEX('Margin Guidence Table'!$A$1:$AC$10000,MATCH(1,('Margin Guidence Table'!$A$1:$A$10000=$BI27)*('Margin Guidence Table'!$H$1:$H$10000&lt;=ROUND($BA$3,0))*('Margin Guidence Table'!$G$1:$G$10000&gt;=ROUND($BA$3,0)),0),MATCH("SELF_FUND_PCT_SALES",'Margin Guidence Table'!$A$1:$AC$1,0)),INDEX('Margin Guidence Table'!$A$1:$AC$10000,MATCH(1,('Margin Guidence Table'!$A$1:$A$10000=$BI27)*('Margin Guidence Table'!$H$1:$H$10000&lt;=ROUND($BA$3,0))*('Margin Guidence Table'!$G$1:$G$10000&gt;=ROUND($BA$3,0)),0),MATCH("DEFAULT_SELF_FUND_PCT_SALES",'Margin Guidence Table'!$A$1:$AC$1,0))),0)</f>
        <v>0</v>
      </c>
      <c r="BS27" s="1165">
        <f t="array" ref="BS27">IFERROR(IF($BK27="SEGMENT",INDEX('Margin Guidence Table'!$A$1:$AC$10000,MATCH(1,('Margin Guidence Table'!$A$1:$A$10000=$BI27)*('Margin Guidence Table'!$H$1:$H$10000&lt;=ROUND($BA$3,0))*('Margin Guidence Table'!$G$1:$G$10000&gt;=ROUND($BA$3,0)),0),MATCH("CIA_MEDIAN_MARGIN_GUIDENCE",'Margin Guidence Table'!$A$1:$AC$1,0)),INDEX('Margin Guidence Table'!$A$1:$AC$10000,MATCH(1,('Margin Guidence Table'!$A$1:$A$10000=$BI27)*('Margin Guidence Table'!$H$1:$H$10000&lt;=ROUND($BA$3,0))*('Margin Guidence Table'!$G$1:$G$10000&gt;=ROUND($BA$3,0)),0),MATCH("DEFAULT_CIA_MEDIAN_MARGIN_GUIDENCE",'Margin Guidence Table'!$A$1:$AC$1,0))),0)</f>
        <v>0</v>
      </c>
      <c r="BT27" s="129"/>
      <c r="BU27" s="18">
        <f t="array" ref="BU27">IFERROR(IF($CG27="SEGMENT",INDEX('Margin Guidence Table'!$A$1:$AC$10000,MATCH(1,('Margin Guidence Table'!$A$1:$A$10000=$CE27)*('Margin Guidence Table'!$H$1:$H$10000&lt;=ROUND($BW$3,0))*('Margin Guidence Table'!$G$1:$G$10000&gt;=ROUND($BW$3,0)),0),MATCH("PCT_SALES",'Margin Guidence Table'!$A$1:$AC$1,0)),INDEX('Margin Guidence Table'!$A$1:$AC$10000,MATCH(1,('Margin Guidence Table'!$A$1:$A$10000=$CE27)*('Margin Guidence Table'!$H$1:$H$10000&lt;=ROUND($BW$3,0))*('Margin Guidence Table'!$G$1:$G$10000&gt;=ROUND($BW$3,0)),0),MATCH("DEFAULT_PCT_SALES",'Margin Guidence Table'!$A$1:$AC$1,0))),0)</f>
        <v>0</v>
      </c>
      <c r="BV27" s="102" t="s">
        <v>92</v>
      </c>
      <c r="BW27" s="94">
        <f>IFERROR(IF(AND($BW$2&lt;&gt;"Enter Spend&gt;&gt;&gt;",BX2="EXISTING"),SUMIFS('Existing Customers'!$Q:$Q,'Existing Customers'!$A:$A,$BW$1,'Existing Customers'!$H:$H,$BV27)*$BW$4,$BW$3*$BU27),0)</f>
        <v>0</v>
      </c>
      <c r="BX27" s="89">
        <f>IFERROR(IF(AND($BW$2&lt;&gt;"Enter Spend&gt;&gt;&gt;",BX2="EXISTING"),SUMIFS('Existing Customers'!$N:$N,'Existing Customers'!$A:$A,$BW$1,'Existing Customers'!$H:$H,$BV27)*$BW$4,$BW27/$CH27),0)</f>
        <v>0</v>
      </c>
      <c r="BY27" s="95">
        <f>IFERROR(IF(AND($BW$2&lt;&gt;"Enter Spend&gt;&gt;&gt;",BX2="EXISTING"),SUMIFS('Existing Customers'!$O:$O,'Existing Customers'!$H:$H,$BV27,'Existing Customers'!$A:$A,$BW$1)*$BW$4,$BX27*$BW$8),0)</f>
        <v>0</v>
      </c>
      <c r="BZ27" s="95">
        <f>IFERROR(IF(AND($BW$2&lt;&gt;"Enter Spend&gt;&gt;&gt;",BX2="EXISTING"),SUMIFS('Existing Customers'!$P:$P,'Existing Customers'!$A:$A,$BW$1,'Existing Customers'!$H:$H,$BV27)*$BW$4,$BW27/$CI27),0)</f>
        <v>0</v>
      </c>
      <c r="CA27" s="96">
        <f>IFERROR(IF(AND($BW$2&lt;&gt;"Enter Spend&gt;&gt;&gt;",BX2="EXISTING"),SUMIFS('Existing Customers'!$V:$V,'Existing Customers'!$H:$H,$BV27,'Existing Customers'!$A:$A,$BW$1)*$BW$4,0),0)</f>
        <v>0</v>
      </c>
      <c r="CB27" s="96">
        <f>IFERROR(IF(AND($BW$2&lt;&gt;"Enter Spend&gt;&gt;&gt;",BX2="EXISTING"),SUMIFS('Existing Customers'!$R:$R,'Existing Customers'!$H:$H,$BV27,'Existing Customers'!$A:$A,$BW$1)*$BW$4,0),0)</f>
        <v>0</v>
      </c>
      <c r="CC27" s="1161">
        <f>IFERROR(IF(AND($BW$2&lt;&gt;"Enter Spend&gt;&gt;&gt;",BX2="EXISTING"),SUMIFS('Existing Customers'!$S:$S,'Existing Customers'!$H:$H,$BV27,'Existing Customers'!$A:$A,$BW$1),CM27*BW27),0)</f>
        <v>0</v>
      </c>
      <c r="CD27" s="1161">
        <f>IFERROR(IF(AND($BW$2&lt;&gt;"Enter Spend&gt;&gt;&gt;",BX2="EXISTING"),SUMIFS('Existing Customers'!$U:$U,'Existing Customers'!$H:$H,$BV27,'Existing Customers'!$A:$A,$BW$1),CN27*BW27),0)</f>
        <v>0</v>
      </c>
      <c r="CE27" s="1164" t="e">
        <f t="shared" si="26"/>
        <v>#N/A</v>
      </c>
      <c r="CF27" s="1164">
        <f t="array" ref="CF27">IFERROR(INDEX('Margin Guidence Table'!$A$1:$AD$30000,MATCH(1,('Margin Guidence Table'!$A$1:$A$10000=$CE27)*('Margin Guidence Table'!$H$1:$H$10000&lt;=ROUND($BW$3,0))*('Margin Guidence Table'!$G$1:$G$10000&gt;=ROUND($BW$3,0)),0),MATCH("DATA_POINTS",'Margin Guidence Table'!$A$1:$AC$1,0)),0)</f>
        <v>0</v>
      </c>
      <c r="CG27" s="1161" t="str">
        <f t="shared" si="27"/>
        <v>DEFAULT</v>
      </c>
      <c r="CH27" s="1161">
        <f t="array" ref="CH27">IFERROR(IF($CG27="SEGMENT",INDEX('Margin Guidence Table'!$A$1:$AC$10000,MATCH(1,('Margin Guidence Table'!$A$1:$A$10000=$CE27)*('Margin Guidence Table'!$H$1:$H$10000&lt;=ROUND($BW$3,0))*('Margin Guidence Table'!$G$1:$G$10000&gt;=ROUND($BW$3,0)),0),MATCH("SALES_CASE",'Margin Guidence Table'!$A$1:$AC$1,0)),INDEX('Margin Guidence Table'!$A$1:$AC$10000,MATCH(1,('Margin Guidence Table'!$A$1:$A$10000=$CE27)*('Margin Guidence Table'!$H$1:$H$10000&lt;=ROUND($BW$3,0))*('Margin Guidence Table'!$G$1:$G$10000&gt;=ROUND($BW$3,0)),0),MATCH("DEFAULT_SALES_CASE",'Margin Guidence Table'!$A$1:$AC$1,0))),0)</f>
        <v>0</v>
      </c>
      <c r="CI27" s="1161">
        <f t="array" ref="CI27">IFERROR(IF($CG27="SEGMENT",INDEX('Margin Guidence Table'!$A$1:$AC$10000,MATCH(1,('Margin Guidence Table'!$A$1:$A$10000=$CE27)*('Margin Guidence Table'!$H$1:$H$10000&lt;=ROUND($BW$3,0))*('Margin Guidence Table'!$G$1:$G$10000&gt;=ROUND($BW$3,0)),0),MATCH("SALES_LBS",'Margin Guidence Table'!$A$1:$AC$1,0)),INDEX('Margin Guidence Table'!$A$1:$AC$10000,MATCH(1,('Margin Guidence Table'!$A$1:$A$10000=$CE27)*('Margin Guidence Table'!$H$1:$H$10000&lt;=ROUND($BW$3,0))*('Margin Guidence Table'!$G$1:$G$10000&gt;=ROUND($BW$3,0)),0),MATCH("DEFAULT_SALES_LBS",'Margin Guidence Table'!$A$1:$AC$1,0))),0)</f>
        <v>0</v>
      </c>
      <c r="CJ27" s="1165">
        <f t="array" ref="CJ27">IFERROR(IF($CG27="SEGMENT",INDEX('Margin Guidence Table'!$A$1:$AC$10000,MATCH(1,('Margin Guidence Table'!$A$1:$A$10000=$CE27)*('Margin Guidence Table'!$H$1:$H$10000&lt;=ROUND($BW$3,0))*('Margin Guidence Table'!$G$1:$G$10000&gt;=ROUND($BW$3,0)),0),MATCH("MDA_MIN_MARGIN_GUIDENCE",'Margin Guidence Table'!$A$1:$AC$1,0)),INDEX('Margin Guidence Table'!$A$1:$AC$10000,MATCH(1,('Margin Guidence Table'!$A$1:$A$10000=$CE27)*('Margin Guidence Table'!$H$1:$H$10000&lt;=ROUND($BW$3,0))*('Margin Guidence Table'!$G$1:$G$10000&gt;=ROUND($BW$3,0)),0),MATCH("DEFAULT_MDA_MIN_MARGIN_GUIDENCE",'Margin Guidence Table'!$A$1:$AC$1,0))),0)</f>
        <v>0</v>
      </c>
      <c r="CK27" s="1165">
        <f t="array" ref="CK27">IFERROR(IF($CG27="SEGMENT",INDEX('Margin Guidence Table'!$A$1:$AC$10000,MATCH(1,('Margin Guidence Table'!$A$1:$A$10000=$CE27)*('Margin Guidence Table'!$H$1:$H$10000&lt;=ROUND($BW$3,0))*('Margin Guidence Table'!$G$1:$G$10000&gt;=ROUND($BW$3,0)),0),MATCH("MDA_MEDIAN_MARGIN_GUIDENCE",'Margin Guidence Table'!$A$1:$AC$1,0)),INDEX('Margin Guidence Table'!$A$1:$AC$10000,MATCH(1,('Margin Guidence Table'!$A$1:$A$10000=$CE27)*('Margin Guidence Table'!$H$1:$H$10000&lt;=ROUND($BW$3,0))*('Margin Guidence Table'!$G$1:$G$10000&gt;=ROUND($BW$3,0)),0),MATCH("DEFAULT_MDA_MEDIAN_MARGIN_GUIDENCE",'Margin Guidence Table'!$A$1:$AC$1,0))),0)</f>
        <v>0</v>
      </c>
      <c r="CL27" s="1165">
        <f t="array" ref="CL27">IFERROR(IF($CG27="SEGMENT",INDEX('Margin Guidence Table'!$A$1:$AC$10000,MATCH(1,('Margin Guidence Table'!$A$1:$A$10000=$CE27)*('Margin Guidence Table'!$H$1:$H$10000&lt;=ROUND($BW$3,0))*('Margin Guidence Table'!$G$1:$G$10000&gt;=ROUND($BW$3,0)),0),MATCH("MDA_MAX_MARGIN_GUIDENCE",'Margin Guidence Table'!$A$1:$AC$1,0)),INDEX('Margin Guidence Table'!$A$1:$AC$10000,MATCH(1,('Margin Guidence Table'!$A$1:$A$10000=$CE27)*('Margin Guidence Table'!$H$1:$H$10000&lt;=ROUND($BW$3,0))*('Margin Guidence Table'!$G$1:$G$10000&gt;=ROUND($BW$3,0)),0),MATCH("DEFAULT_MDA_MAX_MARGIN_GUIDENCE",'Margin Guidence Table'!$A$1:$AC$1,0))),0)</f>
        <v>0</v>
      </c>
      <c r="CM27" s="1165">
        <f t="array" ref="CM27">IFERROR(IF($CG27="SEGMENT",INDEX('Margin Guidence Table'!$A$1:$AC$10000,MATCH(1,('Margin Guidence Table'!$A$1:$A$10000=$CE27)*('Margin Guidence Table'!$H$1:$H$10000&lt;=ROUND($BW$3,0))*('Margin Guidence Table'!$G$1:$G$10000&gt;=ROUND($BW$3,0)),0),MATCH("PA_PCT_SALES",'Margin Guidence Table'!$A$1:$AC$1,0)),INDEX('Margin Guidence Table'!$A$1:$AC$10000,MATCH(1,('Margin Guidence Table'!$A$1:$A$10000=$CE27)*('Margin Guidence Table'!$H$1:$H$10000&lt;=ROUND($BW$3,0))*('Margin Guidence Table'!$G$1:$G$10000&gt;=ROUND($BW$3,0)),0),MATCH("DEFAULT_PA_PCT_SALES",'Margin Guidence Table'!$A$1:$AC$1,0))),0)</f>
        <v>0</v>
      </c>
      <c r="CN27" s="1165">
        <f t="array" ref="CN27">IFERROR(IF($CG27="SEGMENT",INDEX('Margin Guidence Table'!$A$1:$AC$10000,MATCH(1,('Margin Guidence Table'!$A$1:$A$10000=$CE27)*('Margin Guidence Table'!$H$1:$H$10000&lt;=ROUND($BW$3,0))*('Margin Guidence Table'!$G$1:$G$10000&gt;=ROUND($BW$3,0)),0),MATCH("SELF_FUND_PCT_SALES",'Margin Guidence Table'!$A$1:$AC$1,0)),INDEX('Margin Guidence Table'!$A$1:$AC$10000,MATCH(1,('Margin Guidence Table'!$A$1:$A$10000=$CE27)*('Margin Guidence Table'!$H$1:$H$10000&lt;=ROUND($BW$3,0))*('Margin Guidence Table'!$G$1:$G$10000&gt;=ROUND($BW$3,0)),0),MATCH("DEFAULT_SELF_FUND_PCT_SALES",'Margin Guidence Table'!$A$1:$AC$1,0))),0)</f>
        <v>0</v>
      </c>
      <c r="CO27" s="1165">
        <f t="array" ref="CO27">IFERROR(IF($CG27="SEGMENT",INDEX('Margin Guidence Table'!$A$1:$AC$10000,MATCH(1,('Margin Guidence Table'!$A$1:$A$10000=$CE27)*('Margin Guidence Table'!$H$1:$H$10000&lt;=ROUND($BW$3,0))*('Margin Guidence Table'!$G$1:$G$10000&gt;=ROUND($BW$3,0)),0),MATCH("CIA_MEDIAN_MARGIN_GUIDENCE",'Margin Guidence Table'!$A$1:$AC$1,0)),INDEX('Margin Guidence Table'!$A$1:$AC$10000,MATCH(1,('Margin Guidence Table'!$A$1:$A$10000=$CE27)*('Margin Guidence Table'!$H$1:$H$10000&lt;=ROUND($BW$3,0))*('Margin Guidence Table'!$G$1:$G$10000&gt;=ROUND($BW$3,0)),0),MATCH("DEFAULT_CIA_MEDIAN_MARGIN_GUIDENCE",'Margin Guidence Table'!$A$1:$AC$1,0))),0)</f>
        <v>0</v>
      </c>
      <c r="CP27" s="129"/>
      <c r="CQ27" s="18">
        <f t="array" ref="CQ27">IFERROR(IF($DC27="SEGMENT",INDEX('Margin Guidence Table'!$A$1:$AC$10000,MATCH(1,('Margin Guidence Table'!$A$1:$A$10000=$DA27)*('Margin Guidence Table'!$H$1:$H$10000&lt;=ROUND($CS$3,0))*('Margin Guidence Table'!$G$1:$G$10000&gt;=ROUND($CS$3,0)),0),MATCH("PCT_SALES",'Margin Guidence Table'!$A$1:$AC$1,0)),INDEX('Margin Guidence Table'!$A$1:$AC$10000,MATCH(1,('Margin Guidence Table'!$A$1:$A$10000=$DA27)*('Margin Guidence Table'!$H$1:$H$10000&lt;=ROUND($CS$3,0))*('Margin Guidence Table'!$G$1:$G$10000&gt;=ROUND($CS$3,0)),0),MATCH("DEFAULT_PCT_SALES",'Margin Guidence Table'!$A$1:$AC$1,0))),0)</f>
        <v>0</v>
      </c>
      <c r="CR27" s="102" t="s">
        <v>92</v>
      </c>
      <c r="CS27" s="94">
        <f>IFERROR(IF(AND($CS$2&lt;&gt;"Enter Spend&gt;&gt;&gt;",CT2="EXISTING"),SUMIFS('Existing Customers'!$Q:$Q,'Existing Customers'!$A:$A,$CS$1,'Existing Customers'!$H:$H,$CR27)*$CS$4,$CS$3*$CQ27),0)</f>
        <v>0</v>
      </c>
      <c r="CT27" s="89">
        <f>IFERROR(IF(AND($CS$2&lt;&gt;"Enter Spend&gt;&gt;&gt;",CT2="EXISTING"),SUMIFS('Existing Customers'!$N:$N,'Existing Customers'!$A:$A,$CS$1,'Existing Customers'!$H:$H,$CR27)*$CS$4,$CS27/$DD27),0)</f>
        <v>0</v>
      </c>
      <c r="CU27" s="95">
        <f>IFERROR(IF(AND($CS$2&lt;&gt;"Enter Spend&gt;&gt;&gt;",BB28="EXISTING"),SUMIFS('Existing Customers'!$O:$O,'Existing Customers'!$H:$H,$CR27,'Existing Customers'!$A:$A,$CS$1)*$CS$4,$CT27*$CS$8),0)</f>
        <v>0</v>
      </c>
      <c r="CV27" s="95">
        <f>IFERROR(IF(AND($CS$2&lt;&gt;"Enter Spend&gt;&gt;&gt;",CT2="EXISTING"),SUMIFS('Existing Customers'!$P:$P,'Existing Customers'!$A:$A,$CS$1,'Existing Customers'!$H:$H,$CR27)*$CS$4,$CS27/$DE27),0)</f>
        <v>0</v>
      </c>
      <c r="CW27" s="96">
        <f>IFERROR(IF(AND($CS$2&lt;&gt;"Enter Spend&gt;&gt;&gt;",CT2="EXISTING"),SUMIFS('Existing Customers'!$V:$V,'Existing Customers'!$H:$H,$CR27,'Existing Customers'!$A:$A,$CS$1)*$CS$4,0),0)</f>
        <v>0</v>
      </c>
      <c r="CX27" s="96">
        <f>IFERROR(IF(AND($CS$2&lt;&gt;"Enter Spend&gt;&gt;&gt;",CT2="EXISTING"),SUMIFS('Existing Customers'!$R:$R,'Existing Customers'!$H:$H,$AZ27,'Existing Customers'!$A:$A,$CS$1)*$CS$4,0),0)</f>
        <v>0</v>
      </c>
      <c r="CY27" s="1161">
        <f>IFERROR(IF(AND($CS$2&lt;&gt;"Enter Spend&gt;&gt;&gt;",CT2="EXISTING"),SUMIFS('Existing Customers'!$S:$S,'Existing Customers'!$H:$H,$CR27,'Existing Customers'!$A:$A,$CS$1),DI27*CS27),0)</f>
        <v>0</v>
      </c>
      <c r="CZ27" s="1161">
        <f>IFERROR(IF(AND($CS$2&lt;&gt;"Enter Spend&gt;&gt;&gt;",CT2="EXISTING"),SUMIFS('Existing Customers'!$U:$U,'Existing Customers'!$H:$H,$CR27,'Existing Customers'!$A:$A,$CS$1),DJ27*CS27),0)</f>
        <v>0</v>
      </c>
      <c r="DA27" s="1164" t="e">
        <f t="shared" si="28"/>
        <v>#N/A</v>
      </c>
      <c r="DB27" s="1164">
        <f t="array" ref="DB27">IFERROR(INDEX('Margin Guidence Table'!$A$1:$AD$30000,MATCH(1,('Margin Guidence Table'!$A$1:$A$10000=DA27)*('Margin Guidence Table'!$H$1:$H$10000&lt;=ROUND($CS$3,0))*('Margin Guidence Table'!$G$1:$G$10000&gt;=ROUND($CS$3,0)),0),MATCH("DATA_POINTS",'Margin Guidence Table'!$A$1:$AC$1,0)),0)</f>
        <v>0</v>
      </c>
      <c r="DC27" s="1161" t="str">
        <f t="shared" si="29"/>
        <v>DEFAULT</v>
      </c>
      <c r="DD27" s="1161">
        <f t="array" ref="DD27">IFERROR(IF($DC27="SEGMENT",INDEX('Margin Guidence Table'!$A$1:$AC$10000,MATCH(1,('Margin Guidence Table'!$A$1:$A$10000=DA27)*('Margin Guidence Table'!$H$1:$H$10000&lt;=ROUND($CS$3,0))*('Margin Guidence Table'!$G$1:$G$10000&gt;=ROUND($CS$3,0)),0),MATCH("SALES_CASE",'Margin Guidence Table'!$A$1:$AC$1,0)),INDEX('Margin Guidence Table'!$A$1:$AC$10000,MATCH(1,('Margin Guidence Table'!$A$1:$A$10000=DA27)*('Margin Guidence Table'!$H$1:$H$10000&lt;=ROUND($CS$3,0))*('Margin Guidence Table'!$G$1:$G$10000&gt;=ROUND($CS$3,0)),0),MATCH("DEFAULT_SALES_CASE",'Margin Guidence Table'!$A$1:$AC$1,0))),0)</f>
        <v>0</v>
      </c>
      <c r="DE27" s="1161">
        <f t="array" ref="DE27">IFERROR(IF($DC27="SEGMENT",INDEX('Margin Guidence Table'!$A$1:$AC$10000,MATCH(1,('Margin Guidence Table'!$A$1:$A$10000=DA27)*('Margin Guidence Table'!$H$1:$H$10000&lt;=ROUND($CS$3,0))*('Margin Guidence Table'!$G$1:$G$10000&gt;=ROUND($CS$3,0)),0),MATCH("SALES_LBS",'Margin Guidence Table'!$A$1:$AC$1,0)),INDEX('Margin Guidence Table'!$A$1:$AC$10000,MATCH(1,('Margin Guidence Table'!$A$1:$A$10000=DA27)*('Margin Guidence Table'!$H$1:$H$10000&lt;=ROUND($CS$3,0))*('Margin Guidence Table'!$G$1:$G$10000&gt;=ROUND($CS$3,0)),0),MATCH("DEFAULT_SALES_LBS",'Margin Guidence Table'!$A$1:$AC$1,0))),0)</f>
        <v>0</v>
      </c>
      <c r="DF27" s="1165">
        <f t="array" ref="DF27">IFERROR(IF($DC27="SEGMENT",INDEX('Margin Guidence Table'!$A$1:$AC$10000,MATCH(1,('Margin Guidence Table'!$A$1:$A$10000=DA27)*('Margin Guidence Table'!$H$1:$H$10000&lt;=ROUND($CS$3,0))*('Margin Guidence Table'!$G$1:$G$10000&gt;=ROUND($CS$3,0)),0),MATCH("MDA_MIN_MARGIN_GUIDENCE",'Margin Guidence Table'!$A$1:$AC$1,0)),INDEX('Margin Guidence Table'!$A$1:$AC$10000,MATCH(1,('Margin Guidence Table'!$A$1:$A$10000=DA27)*('Margin Guidence Table'!$H$1:$H$10000&lt;=ROUND($CS$3,0))*('Margin Guidence Table'!$G$1:$G$10000&gt;=ROUND($CS$3,0)),0),MATCH("DEFAULT_MDA_MIN_MARGIN_GUIDENCE",'Margin Guidence Table'!$A$1:$AC$1,0))),0)</f>
        <v>0</v>
      </c>
      <c r="DG27" s="1165">
        <f t="array" ref="DG27">IFERROR(IF($DC27="SEGMENT",INDEX('Margin Guidence Table'!$A$1:$AC$10000,MATCH(1,('Margin Guidence Table'!$A$1:$A$10000=DA27)*('Margin Guidence Table'!$H$1:$H$10000&lt;=ROUND($CS$3,0))*('Margin Guidence Table'!$G$1:$G$10000&gt;=ROUND($CS$3,0)),0),MATCH("MDA_MEDIAN_MARGIN_GUIDENCE",'Margin Guidence Table'!$A$1:$AC$1,0)),INDEX('Margin Guidence Table'!$A$1:$AC$10000,MATCH(1,('Margin Guidence Table'!$A$1:$A$10000=DA27)*('Margin Guidence Table'!$H$1:$H$10000&lt;=ROUND($CS$3,0))*('Margin Guidence Table'!$G$1:$G$10000&gt;=ROUND($CS$3,0)),0),MATCH("DEFAULT_MDA_MEDIAN_MARGIN_GUIDENCE",'Margin Guidence Table'!$A$1:$AC$1,0))),0)</f>
        <v>0</v>
      </c>
      <c r="DH27" s="1165">
        <f t="array" ref="DH27">IFERROR(IF($DC27="SEGMENT",INDEX('Margin Guidence Table'!$A$1:$AC$10000,MATCH(1,('Margin Guidence Table'!$A$1:$A$10000=DA27)*('Margin Guidence Table'!$H$1:$H$10000&lt;=ROUND($CS$3,0))*('Margin Guidence Table'!$G$1:$G$10000&gt;=ROUND($CS$3,0)),0),MATCH("MDA_MAX_MARGIN_GUIDENCE",'Margin Guidence Table'!$A$1:$AC$1,0)),INDEX('Margin Guidence Table'!$A$1:$AC$10000,MATCH(1,('Margin Guidence Table'!$A$1:$A$10000=DA27)*('Margin Guidence Table'!$H$1:$H$10000&lt;=ROUND($CS$3,0))*('Margin Guidence Table'!$G$1:$G$10000&gt;=ROUND($CS$3,0)),0),MATCH("DEFAULT_MDA_MAX_MARGIN_GUIDENCE",'Margin Guidence Table'!$A$1:$AC$1,0))),0)</f>
        <v>0</v>
      </c>
      <c r="DI27" s="1165">
        <f t="array" ref="DI27">IFERROR(IF($DC27="SEGMENT",INDEX('Margin Guidence Table'!$A$1:$AC$10000,MATCH(1,('Margin Guidence Table'!$A$1:$A$10000=DA27)*('Margin Guidence Table'!$H$1:$H$10000&lt;=ROUND($CS$3,0))*('Margin Guidence Table'!$G$1:$G$10000&gt;=ROUND($CS$3,0)),0),MATCH("PA_PCT_SALES",'Margin Guidence Table'!$A$1:$AC$1,0)),INDEX('Margin Guidence Table'!$A$1:$AC$10000,MATCH(1,('Margin Guidence Table'!$A$1:$A$10000=DA27)*('Margin Guidence Table'!$H$1:$H$10000&lt;=ROUND($CS$3,0))*('Margin Guidence Table'!$G$1:$G$10000&gt;=ROUND($CS$3,0)),0),MATCH("DEFAULT_PA_PCT_SALES",'Margin Guidence Table'!$A$1:$AC$1,0))),0)</f>
        <v>0</v>
      </c>
      <c r="DJ27" s="1165">
        <f t="array" ref="DJ27">IFERROR(IF($DC27="SEGMENT",INDEX('Margin Guidence Table'!$A$1:$AC$10000,MATCH(1,('Margin Guidence Table'!$A$1:$A$10000=DA27)*('Margin Guidence Table'!$H$1:$H$10000&lt;=ROUND($CS$3,0))*('Margin Guidence Table'!$G$1:$G$10000&gt;=ROUND($CS$3,0)),0),MATCH("SELF_FUND_PCT_SALES",'Margin Guidence Table'!$A$1:$AC$1,0)),INDEX('Margin Guidence Table'!$A$1:$AC$10000,MATCH(1,('Margin Guidence Table'!$A$1:$A$10000=DA27)*('Margin Guidence Table'!$H$1:$H$10000&lt;=ROUND($CS$3,0))*('Margin Guidence Table'!$G$1:$G$10000&gt;=ROUND($CS$3,0)),0),MATCH("DEFAULT_SELF_FUND_PCT_SALES",'Margin Guidence Table'!$A$1:$AC$1,0))),0)</f>
        <v>0</v>
      </c>
      <c r="DK27" s="1165">
        <f t="array" ref="DK27">IFERROR(IF($DC27="SEGMENT",INDEX('Margin Guidence Table'!$A$1:$AC$10000,MATCH(1,('Margin Guidence Table'!$A$1:$A$10000=DA27)*('Margin Guidence Table'!$H$1:$H$10000&lt;=ROUND($CS$3,0))*('Margin Guidence Table'!$G$1:$G$10000&gt;=ROUND($CS$3,0)),0),MATCH("CIA_MEDIAN_MARGIN_GUIDENCE",'Margin Guidence Table'!$A$1:$AC$1,0)),INDEX('Margin Guidence Table'!$A$1:$AC$10000,MATCH(1,('Margin Guidence Table'!$A$1:$A$10000=DA27)*('Margin Guidence Table'!$H$1:$H$10000&lt;=ROUND($CS$3,0))*('Margin Guidence Table'!$G$1:$G$10000&gt;=ROUND($CS$3,0)),0),MATCH("DEFAULT_CIA_MEDIAN_MARGIN_GUIDENCE",'Margin Guidence Table'!$A$1:$AC$1,0))),0)</f>
        <v>0</v>
      </c>
      <c r="DL27" s="129"/>
      <c r="DM27" s="18">
        <f t="array" ref="DM27">IFERROR(IF($DY27="SEGMENT",INDEX('Margin Guidence Table'!$A$1:$AC$10000,MATCH(1,('Margin Guidence Table'!$A$1:$A$10000=$DW27)*('Margin Guidence Table'!$H$1:$H$10000&lt;=ROUND($DO$3,0))*('Margin Guidence Table'!$G$1:$G$10000&gt;=ROUND($DO$3,0)),0),MATCH("PCT_SALES",'Margin Guidence Table'!$A$1:$AC$1,0)),INDEX('Margin Guidence Table'!$A$1:$AC$10000,MATCH(1,('Margin Guidence Table'!$A$1:$A$10000=$DW27)*('Margin Guidence Table'!$H$1:$H$10000&lt;=ROUND($DO$3,0))*('Margin Guidence Table'!$G$1:$G$10000&gt;=ROUND($DO$3,0)),0),MATCH("DEFAULT_PCT_SALES",'Margin Guidence Table'!$A$1:$AC$1,0))),0)</f>
        <v>0</v>
      </c>
      <c r="DN27" s="102" t="s">
        <v>92</v>
      </c>
      <c r="DO27" s="94">
        <f>IFERROR(IF(AND($DO$2&lt;&gt;"Enter Spend&gt;&gt;&gt;",DP2="EXISTING"),SUMIFS('Existing Customers'!$Q:$Q,'Existing Customers'!$A:$A,$DO$1,'Existing Customers'!$H:$H,$DN27)*$DO$4,$DO$3*$DM27),0)</f>
        <v>0</v>
      </c>
      <c r="DP27" s="89">
        <f>IFERROR(IF(AND($DO$2&lt;&gt;"Enter Spend&gt;&gt;&gt;",DP2="EXISTING"),SUMIFS('Existing Customers'!$N:$N,'Existing Customers'!$A:$A,$DO$1,'Existing Customers'!$H:$H,$DN27)*$DO$4,$DO27/$DZ27),0)</f>
        <v>0</v>
      </c>
      <c r="DQ27" s="95">
        <f>IFERROR(IF(AND($DO$2&lt;&gt;"Enter Spend&gt;&gt;&gt;",DP2="EXISTING"),SUMIFS('Existing Customers'!$O:$O,'Existing Customers'!$H:$H,$DN27,'Existing Customers'!$A:$A,$DO$1)*$DO$4,$DP27*$DO$8),0)</f>
        <v>0</v>
      </c>
      <c r="DR27" s="95">
        <f>IFERROR(IF(AND($DO$2&lt;&gt;"Enter Spend&gt;&gt;&gt;",DP2="EXISTING"),SUMIFS('Existing Customers'!$P:$P,'Existing Customers'!$A:$A,$DO$1,'Existing Customers'!$H:$H,$DN27)*$DO$4,$DO27/$EA27),0)</f>
        <v>0</v>
      </c>
      <c r="DS27" s="96">
        <f>IFERROR(IF(AND($DO$2&lt;&gt;"Enter Spend&gt;&gt;&gt;",EL2="EXISTING"),SUMIFS('Existing Customers'!$V:$V,'Existing Customers'!$H:$H,$DN27,'Existing Customers'!$A:$A,$DO$1)*$DO$4,0),0)</f>
        <v>0</v>
      </c>
      <c r="DT27" s="96">
        <f>IFERROR(IF(AND($DO$2&lt;&gt;"Enter Spend&gt;&gt;&gt;",DP2="EXISTING"),SUMIFS('Existing Customers'!$R:$R,'Existing Customers'!$H:$H,$DN27,'Existing Customers'!$A:$A,$DO$1)*$DO$4,0),0)</f>
        <v>0</v>
      </c>
      <c r="DU27" s="1161">
        <f>IFERROR(IF(AND($DO$2&lt;&gt;"Enter Spend&gt;&gt;&gt;",DP2="EXISTING"),SUMIFS('Existing Customers'!$S:$S,'Existing Customers'!$H:$H,$DP27,'Existing Customers'!$A:$A,$DO$1),EE27*DO27),0)</f>
        <v>0</v>
      </c>
      <c r="DV27" s="1161">
        <f>IFERROR(IF(AND($DO$2&lt;&gt;"Enter Spend&gt;&gt;&gt;",DP2="EXISTING"),SUMIFS('Existing Customers'!$U:$U,'Existing Customers'!$H:$H,$DN27,'Existing Customers'!$A:$A,$DO$1),EF27*DO27),0)</f>
        <v>0</v>
      </c>
      <c r="DW27" s="1164" t="e">
        <f t="shared" si="30"/>
        <v>#N/A</v>
      </c>
      <c r="DX27" s="1164">
        <f t="array" ref="DX27">IFERROR(INDEX('Margin Guidence Table'!$A$1:$AD$30000,MATCH(1,('Margin Guidence Table'!$A$1:$A$10000=DW27)*('Margin Guidence Table'!$H$1:$H$10000&lt;=ROUND($DO$3,0))*('Margin Guidence Table'!$G$1:$G$10000&gt;=ROUND($DO$3,0)),0),MATCH("DATA_POINTS",'Margin Guidence Table'!$A$1:$AC$1,0)),0)</f>
        <v>0</v>
      </c>
      <c r="DY27" s="1161" t="str">
        <f t="shared" si="31"/>
        <v>DEFAULT</v>
      </c>
      <c r="DZ27" s="1161">
        <f t="array" ref="DZ27">IFERROR(IF($DY27="SEGMENT",INDEX('Margin Guidence Table'!$A$1:$AC$10000,MATCH(1,('Margin Guidence Table'!$A$1:$A$10000=DW27)*('Margin Guidence Table'!$H$1:$H$10000&lt;=ROUND($DO$3,0))*('Margin Guidence Table'!$G$1:$G$10000&gt;=ROUND($DO$3,0)),0),MATCH("SALES_CASE",'Margin Guidence Table'!$A$1:$AC$1,0)),INDEX('Margin Guidence Table'!$A$1:$AC$10000,MATCH(1,('Margin Guidence Table'!$A$1:$A$10000=DW27)*('Margin Guidence Table'!$H$1:$H$10000&lt;=ROUND($DO$3,0))*('Margin Guidence Table'!$G$1:$G$10000&gt;=ROUND($DO$3,0)),0),MATCH("DEFAULT_SALES_CASE",'Margin Guidence Table'!$A$1:$AC$1,0))),0)</f>
        <v>0</v>
      </c>
      <c r="EA27" s="1161">
        <f t="array" ref="EA27">IFERROR(IF($DY27="SEGMENT",INDEX('Margin Guidence Table'!$A$1:$AC$10000,MATCH(1,('Margin Guidence Table'!$A$1:$A$10000=DW27)*('Margin Guidence Table'!$H$1:$H$10000&lt;=ROUND($DO$3,0))*('Margin Guidence Table'!$G$1:$G$10000&gt;=ROUND($DO$3,0)),0),MATCH("SALES_LBS",'Margin Guidence Table'!$A$1:$AC$1,0)),INDEX('Margin Guidence Table'!$A$1:$AC$10000,MATCH(1,('Margin Guidence Table'!$A$1:$A$10000=DW27)*('Margin Guidence Table'!$H$1:$H$10000&lt;=ROUND($DO$3,0))*('Margin Guidence Table'!$G$1:$G$10000&gt;=ROUND($DO$3,0)),0),MATCH("DEFAULT_SALES_LBS",'Margin Guidence Table'!$A$1:$AC$1,0))),0)</f>
        <v>0</v>
      </c>
      <c r="EB27" s="1165">
        <f t="array" ref="EB27">IFERROR(IF($DY27="SEGMENT",INDEX('Margin Guidence Table'!$A$1:$AC$10000,MATCH(1,('Margin Guidence Table'!$A$1:$A$10000=DW27)*('Margin Guidence Table'!$H$1:$H$10000&lt;=ROUND($DO$3,0))*('Margin Guidence Table'!$G$1:$G$10000&gt;=ROUND($DO$3,0)),0),MATCH("MDA_MIN_MARGIN_GUIDENCE",'Margin Guidence Table'!$A$1:$AC$1,0)),INDEX('Margin Guidence Table'!$A$1:$AC$10000,MATCH(1,('Margin Guidence Table'!$A$1:$A$10000=DW27)*('Margin Guidence Table'!$H$1:$H$10000&lt;=ROUND($DO$3,0))*('Margin Guidence Table'!$G$1:$G$10000&gt;=ROUND($DO$3,0)),0),MATCH("DEFAULT_MDA_MIN_MARGIN_GUIDENCE",'Margin Guidence Table'!$A$1:$AC$1,0))),0)</f>
        <v>0</v>
      </c>
      <c r="EC27" s="1165">
        <f t="array" ref="EC27">IFERROR(IF($DY27="SEGMENT",INDEX('Margin Guidence Table'!$A$1:$AC$10000,MATCH(1,('Margin Guidence Table'!$A$1:$A$10000=DW27)*('Margin Guidence Table'!$H$1:$H$10000&lt;=ROUND($DO$3,0))*('Margin Guidence Table'!$G$1:$G$10000&gt;=ROUND($DO$3,0)),0),MATCH("MDA_MEDIAN_MARGIN_GUIDENCE",'Margin Guidence Table'!$A$1:$AC$1,0)),INDEX('Margin Guidence Table'!$A$1:$AC$10000,MATCH(1,('Margin Guidence Table'!$A$1:$A$10000=DW27)*('Margin Guidence Table'!$H$1:$H$10000&lt;=ROUND($DO$3,0))*('Margin Guidence Table'!$G$1:$G$10000&gt;=ROUND($DO$3,0)),0),MATCH("DEFAULT_MDA_MEDIAN_MARGIN_GUIDENCE",'Margin Guidence Table'!$A$1:$AC$1,0))),0)</f>
        <v>0</v>
      </c>
      <c r="ED27" s="1165">
        <f t="array" ref="ED27">IFERROR(IF($DY27="SEGMENT",INDEX('Margin Guidence Table'!$A$1:$AC$10000,MATCH(1,('Margin Guidence Table'!$A$1:$A$10000=DW27)*('Margin Guidence Table'!$H$1:$H$10000&lt;=ROUND($DO$3,0))*('Margin Guidence Table'!$G$1:$G$10000&gt;=ROUND($DO$3,0)),0),MATCH("MDA_MAX_MARGIN_GUIDENCE",'Margin Guidence Table'!$A$1:$AC$1,0)),INDEX('Margin Guidence Table'!$A$1:$AC$10000,MATCH(1,('Margin Guidence Table'!$A$1:$A$10000=DW27)*('Margin Guidence Table'!$H$1:$H$10000&lt;=ROUND($DO$3,0))*('Margin Guidence Table'!$G$1:$G$10000&gt;=ROUND($DO$3,0)),0),MATCH("DEFAULT_MDA_MAX_MARGIN_GUIDENCE",'Margin Guidence Table'!$A$1:$AC$1,0))),0)</f>
        <v>0</v>
      </c>
      <c r="EE27" s="1165">
        <f t="array" ref="EE27">IFERROR(IF($DY27="SEGMENT",INDEX('Margin Guidence Table'!$A$1:$AC$10000,MATCH(1,('Margin Guidence Table'!$A$1:$A$10000=DW27)*('Margin Guidence Table'!$H$1:$H$10000&lt;=ROUND($DO$3,0))*('Margin Guidence Table'!$G$1:$G$10000&gt;=ROUND($DO$3,0)),0),MATCH("PA_PCT_SALES",'Margin Guidence Table'!$A$1:$AC$1,0)),INDEX('Margin Guidence Table'!$A$1:$AC$10000,MATCH(1,('Margin Guidence Table'!$A$1:$A$10000=DW27)*('Margin Guidence Table'!$H$1:$H$10000&lt;=ROUND($DO$3,0))*('Margin Guidence Table'!$G$1:$G$10000&gt;=ROUND($DO$3,0)),0),MATCH("DEFAULT_PA_PCT_SALES",'Margin Guidence Table'!$A$1:$AC$1,0))),0)</f>
        <v>0</v>
      </c>
      <c r="EF27" s="1165">
        <f t="array" ref="EF27">IFERROR(IF($DY27="SEGMENT",INDEX('Margin Guidence Table'!$A$1:$AC$10000,MATCH(1,('Margin Guidence Table'!$A$1:$A$10000=DW27)*('Margin Guidence Table'!$H$1:$H$10000&lt;=ROUND($DO$3,0))*('Margin Guidence Table'!$G$1:$G$10000&gt;=ROUND($DO$3,0)),0),MATCH("SELF_FUND_PCT_SALES",'Margin Guidence Table'!$A$1:$AC$1,0)),INDEX('Margin Guidence Table'!$A$1:$AC$10000,MATCH(1,('Margin Guidence Table'!$A$1:$A$10000=DW27)*('Margin Guidence Table'!$H$1:$H$10000&lt;=ROUND($DO$3,0))*('Margin Guidence Table'!$G$1:$G$10000&gt;=ROUND($DO$3,0)),0),MATCH("DEFAULT_SELF_FUND_PCT_SALES",'Margin Guidence Table'!$A$1:$AC$1,0))),0)</f>
        <v>0</v>
      </c>
      <c r="EG27" s="1165">
        <f t="array" ref="EG27">IFERROR(IF($DY27="SEGMENT",INDEX('Margin Guidence Table'!$A$1:$AC$10000,MATCH(1,('Margin Guidence Table'!$A$1:$A$10000=DW27)*('Margin Guidence Table'!$H$1:$H$10000&lt;=ROUND($DO$3,0))*('Margin Guidence Table'!$G$1:$G$10000&gt;=ROUND($DO$3,0)),0),MATCH("CIA_MEDIAN_MARGIN_GUIDENCE",'Margin Guidence Table'!$A$1:$AC$1,0)),INDEX('Margin Guidence Table'!$A$1:$AC$10000,MATCH(1,('Margin Guidence Table'!$A$1:$A$10000=DW27)*('Margin Guidence Table'!$H$1:$H$10000&lt;=ROUND($DO$3,0))*('Margin Guidence Table'!$G$1:$G$10000&gt;=ROUND($DO$3,0)),0),MATCH("DEFAULT_CIA_MEDIAN_MARGIN_GUIDENCE",'Margin Guidence Table'!$A$1:$AC$1,0))),0)</f>
        <v>0</v>
      </c>
      <c r="EH27" s="129"/>
      <c r="EI27" s="18">
        <f t="array" ref="EI27">IFERROR(IF($EU27="SEGMENT",INDEX('Margin Guidence Table'!$A$1:$AC$10000,MATCH(1,('Margin Guidence Table'!$A$1:$A$10000=$ES27)*('Margin Guidence Table'!$H$1:$H$10000&lt;=ROUND($EK$3,0))*('Margin Guidence Table'!$G$1:$G$10000&gt;=ROUND($EK$3,0)),0),MATCH("PCT_SALES",'Margin Guidence Table'!$A$1:$AC$1,0)),INDEX('Margin Guidence Table'!$A$1:$AC$10000,MATCH(1,('Margin Guidence Table'!$A$1:$A$10000=$ES27)*('Margin Guidence Table'!$H$1:$H$10000&lt;=ROUND($EK$3,0))*('Margin Guidence Table'!$G$1:$G$10000&gt;=ROUND($EK$3,0)),0),MATCH("DEFAULT_PCT_SALES",'Margin Guidence Table'!$A$1:$AC$1,0))),0)</f>
        <v>0</v>
      </c>
      <c r="EJ27" s="102" t="s">
        <v>92</v>
      </c>
      <c r="EK27" s="94">
        <f>IFERROR(IF(AND($EK$2&lt;&gt;"Enter Spend&gt;&gt;&gt;",EL2="EXISTING"),SUMIFS('Existing Customers'!$Q:$Q,'Existing Customers'!$A:$A,$EK$1,'Existing Customers'!$H:$H,$EJ27)*$EK$4,$EK$3*$EI27),0)</f>
        <v>0</v>
      </c>
      <c r="EL27" s="89">
        <f>IFERROR(IF(AND($EK$2&lt;&gt;"Enter Spend&gt;&gt;&gt;",EL2="EXISTING"),SUMIFS('Existing Customers'!$N:$N,'Existing Customers'!$A:$A,$EK$1,'Existing Customers'!$H:$H,$EJ27)*$EK$4,$EK27/$EV27),0)</f>
        <v>0</v>
      </c>
      <c r="EM27" s="95">
        <f>IFERROR(IF(AND($EK$2&lt;&gt;"Enter Spend&gt;&gt;&gt;",EL2="EXISTING"),SUMIFS('Existing Customers'!$O:$O,'Existing Customers'!$H:$H,$EJ27,'Existing Customers'!$A:$A,$EK$1)*$EK$4,$EL27*$EK$8),0)</f>
        <v>0</v>
      </c>
      <c r="EN27" s="95">
        <f>IFERROR(IF(AND($EK$2&lt;&gt;"Enter Spend&gt;&gt;&gt;",EL2="EXISTING"),SUMIFS('Existing Customers'!$P:$P,'Existing Customers'!$A:$A,$EK$1,'Existing Customers'!$H:$H,$EJ27)*$EK$4,$EK27/$EW27),0)</f>
        <v>0</v>
      </c>
      <c r="EO27" s="96">
        <f>IFERROR(IF(AND($EK$2&lt;&gt;"Enter Spend&gt;&gt;&gt;",EL2="EXISTING"),SUMIFS('Existing Customers'!$V:$V,'Existing Customers'!$H:$H,$EJ27,'Existing Customers'!$A:$A,$EK$1)*$EK$4,0),0)</f>
        <v>0</v>
      </c>
      <c r="EP27" s="96">
        <f>IFERROR(IF(AND($EK$2&lt;&gt;"Enter Spend&gt;&gt;&gt;",EL2="EXISTING"),SUMIFS('Existing Customers'!$R:$R,'Existing Customers'!$H:$H,$EJ27,'Existing Customers'!$A:$A,$EK$1)*$EK$4,0),0)</f>
        <v>0</v>
      </c>
      <c r="EQ27" s="1161">
        <f>IFERROR(IF(AND($EK$2&lt;&gt;"Enter Spend&gt;&gt;&gt;",EL2="EXISTING"),SUMIFS('Existing Customers'!$S:$S,'Existing Customers'!$H:$H,$EJ27,'Existing Customers'!$A:$A,$EK$1),FA27*EK27),0)</f>
        <v>0</v>
      </c>
      <c r="ER27" s="1161">
        <f>IFERROR(IF(AND($EK$2&lt;&gt;"Enter Spend&gt;&gt;&gt;",EL2="EXISTING"),SUMIFS('Existing Customers'!$U:$U,'Existing Customers'!$H:$H,$EJ27,'Existing Customers'!$A:$A,$EK$1),FB27*EK27),0)</f>
        <v>0</v>
      </c>
      <c r="ES27" s="1164" t="e">
        <f t="shared" si="32"/>
        <v>#N/A</v>
      </c>
      <c r="ET27" s="1164">
        <f t="array" ref="ET27">IFERROR(INDEX('Margin Guidence Table'!$A$1:$AD$30000,MATCH(1,('Margin Guidence Table'!$A$1:$A$10000=ES27)*('Margin Guidence Table'!$H$1:$H$10000&lt;=ROUND($EK$3,0))*('Margin Guidence Table'!$G$1:$G$10000&gt;=ROUND($EK$3,0)),0),MATCH("DATA_POINTS",'Margin Guidence Table'!$A$1:$AC$1,0)),0)</f>
        <v>0</v>
      </c>
      <c r="EU27" s="1161" t="str">
        <f t="shared" si="33"/>
        <v>DEFAULT</v>
      </c>
      <c r="EV27" s="1161">
        <f t="array" ref="EV27">IFERROR(IF($EU27="SEGMENT",INDEX('Margin Guidence Table'!$A$1:$AC$10000,MATCH(1,('Margin Guidence Table'!$A$1:$A$10000=ES27)*('Margin Guidence Table'!$H$1:$H$10000&lt;=ROUND($EK$3,0))*('Margin Guidence Table'!$G$1:$G$10000&gt;=ROUND($EK$3,0)),0),MATCH("SALES_CASE",'Margin Guidence Table'!$A$1:$AC$1,0)),INDEX('Margin Guidence Table'!$A$1:$AC$10000,MATCH(1,('Margin Guidence Table'!$A$1:$A$10000=ES27)*('Margin Guidence Table'!$H$1:$H$10000&lt;=ROUND($EK$3,0))*('Margin Guidence Table'!$G$1:$G$10000&gt;=ROUND($EK$3,0)),0),MATCH("DEFAULT_SALES_CASE",'Margin Guidence Table'!$A$1:$AC$1,0))),0)</f>
        <v>0</v>
      </c>
      <c r="EW27" s="1161" cm="1">
        <f t="array" ref="EW27">IFERROR(IF($EU27="SEGMENT",INDEX('Margin Guidence Table'!$A$1:$AC$10000,MATCH(1,('Margin Guidence Table'!$A$1:$A$10000=ES27)*('Margin Guidence Table'!$H$1:$H$10000&lt;=ROUND($EK$3,0))*('Margin Guidence Table'!$G$1:$G$10000&gt;=ROUND($EK$3,0)),0),MATCH("SALES_LBS",'Margin Guidence Table'!$A$1:$AC$1,0)),INDEX('Margin Guidence Table'!$A$1:$AC$10000,MATCH(1,('Margin Guidence Table'!$A$1:$A$10000=ES27)*('Margin Guidence Table'!$H$1:$H$10000&lt;=ROUND($EK$3,0))*('Margin Guidence Table'!$G$1:$G$10000&gt;=ROUND($EK$3,0)),0),MATCH("DEFAULT_SALES_LBS",'Margin Guidence Table'!$A$1:$AC$1,0))),0)</f>
        <v>0</v>
      </c>
      <c r="EX27" s="1165">
        <f t="array" ref="EX27">IFERROR(IF($EU27="SEGMENT",INDEX('Margin Guidence Table'!$A$1:$AC$10000,MATCH(1,('Margin Guidence Table'!$A$1:$A$10000=ES27)*('Margin Guidence Table'!$H$1:$H$10000&lt;=ROUND($EK$3,0))*('Margin Guidence Table'!$G$1:$G$10000&gt;=ROUND($EK$3,0)),0),MATCH("MDA_MIN_MARGIN_GUIDENCE",'Margin Guidence Table'!$A$1:$AC$1,0)),INDEX('Margin Guidence Table'!$A$1:$AC$10000,MATCH(1,('Margin Guidence Table'!$A$1:$A$10000=ES27)*('Margin Guidence Table'!$H$1:$H$10000&lt;=ROUND($EK$3,0))*('Margin Guidence Table'!$G$1:$G$10000&gt;=ROUND($EK$3,0)),0),MATCH("DEFAULT_MDA_MIN_MARGIN_GUIDENCE",'Margin Guidence Table'!$A$1:$AC$1,0))),0)</f>
        <v>0</v>
      </c>
      <c r="EY27" s="1165">
        <f t="array" ref="EY27">IFERROR(IF($EU27="SEGMENT",INDEX('Margin Guidence Table'!$A$1:$AC$10000,MATCH(1,('Margin Guidence Table'!$A$1:$A$10000=ES27)*('Margin Guidence Table'!$H$1:$H$10000&lt;=ROUND($EK$3,0))*('Margin Guidence Table'!$G$1:$G$10000&gt;=ROUND($EK$3,0)),0),MATCH("MDA_MEDIAN_MARGIN_GUIDENCE",'Margin Guidence Table'!$A$1:$AC$1,0)),INDEX('Margin Guidence Table'!$A$1:$AC$10000,MATCH(1,('Margin Guidence Table'!$A$1:$A$10000=ES27)*('Margin Guidence Table'!$H$1:$H$10000&lt;=ROUND($EK$3,0))*('Margin Guidence Table'!$G$1:$G$10000&gt;=ROUND($EK$3,0)),0),MATCH("DEFAULT_MDA_MEDIAN_MARGIN_GUIDENCE",'Margin Guidence Table'!$A$1:$AC$1,0))),0)</f>
        <v>0</v>
      </c>
      <c r="EZ27" s="1165">
        <f t="array" ref="EZ27">IFERROR(IF($EU27="SEGMENT",INDEX('Margin Guidence Table'!$A$1:$AC$10000,MATCH(1,('Margin Guidence Table'!$A$1:$A$10000=ES27)*('Margin Guidence Table'!$H$1:$H$10000&lt;=ROUND($EK$3,0))*('Margin Guidence Table'!$G$1:$G$10000&gt;=ROUND($EK$3,0)),0),MATCH("MDA_MAX_MARGIN_GUIDENCE",'Margin Guidence Table'!$A$1:$AC$1,0)),INDEX('Margin Guidence Table'!$A$1:$AC$10000,MATCH(1,('Margin Guidence Table'!$A$1:$A$10000=ES27)*('Margin Guidence Table'!$H$1:$H$10000&lt;=ROUND($EK$3,0))*('Margin Guidence Table'!$G$1:$G$10000&gt;=ROUND($EK$3,0)),0),MATCH("DEFAULT_MDA_MAX_MARGIN_GUIDENCE",'Margin Guidence Table'!$A$1:$AC$1,0))),0)</f>
        <v>0</v>
      </c>
      <c r="FA27" s="1165">
        <f t="array" ref="FA27">IFERROR(IF($EU27="SEGMENT",INDEX('Margin Guidence Table'!$A$1:$AC$10000,MATCH(1,('Margin Guidence Table'!$A$1:$A$10000=ES27)*('Margin Guidence Table'!$H$1:$H$10000&lt;=ROUND($EK$3,0))*('Margin Guidence Table'!$G$1:$G$10000&gt;=ROUND($EK$3,0)),0),MATCH("PA_PCT_SALES",'Margin Guidence Table'!$A$1:$AC$1,0)),INDEX('Margin Guidence Table'!$A$1:$AC$10000,MATCH(1,('Margin Guidence Table'!$A$1:$A$10000=ES27)*('Margin Guidence Table'!$H$1:$H$10000&lt;=ROUND($EK$3,0))*('Margin Guidence Table'!$G$1:$G$10000&gt;=ROUND($EK$3,0)),0),MATCH("DEFAULT_PA_PCT_SALES",'Margin Guidence Table'!$A$1:$AC$1,0))),0)</f>
        <v>0</v>
      </c>
      <c r="FB27" s="1165">
        <f t="array" ref="FB27">IFERROR(IF($EU27="SEGMENT",INDEX('Margin Guidence Table'!$A$1:$AC$10000,MATCH(1,('Margin Guidence Table'!$A$1:$A$10000=ES27)*('Margin Guidence Table'!$H$1:$H$10000&lt;=ROUND($EK$3,0))*('Margin Guidence Table'!$G$1:$G$10000&gt;=ROUND($EK$3,0)),0),MATCH("SELF_FUND_PCT_SALES",'Margin Guidence Table'!$A$1:$AC$1,0)),INDEX('Margin Guidence Table'!$A$1:$AC$10000,MATCH(1,('Margin Guidence Table'!$A$1:$A$10000=ES27)*('Margin Guidence Table'!$H$1:$H$10000&lt;=ROUND($EK$3,0))*('Margin Guidence Table'!$G$1:$G$10000&gt;=ROUND($EK$3,0)),0),MATCH("DEFAULT_SELF_FUND_PCT_SALES",'Margin Guidence Table'!$A$1:$AC$1,0))),0)</f>
        <v>0</v>
      </c>
      <c r="FC27" s="1165">
        <f t="array" ref="FC27">IFERROR(IF($EU27="SEGMENT",INDEX('Margin Guidence Table'!$A$1:$AC$10000,MATCH(1,('Margin Guidence Table'!$A$1:$A$10000=ES27)*('Margin Guidence Table'!$H$1:$H$10000&lt;=ROUND($EK$3,0))*('Margin Guidence Table'!$G$1:$G$10000&gt;=ROUND($EK$3,0)),0),MATCH("CIA_MEDIAN_MARGIN_GUIDENCE",'Margin Guidence Table'!$A$1:$AC$1,0)),INDEX('Margin Guidence Table'!$A$1:$AC$10000,MATCH(1,('Margin Guidence Table'!$A$1:$A$10000=ES27)*('Margin Guidence Table'!$H$1:$H$10000&lt;=ROUND($EK$3,0))*('Margin Guidence Table'!$G$1:$G$10000&gt;=ROUND($EK$3,0)),0),MATCH("DEFAULT_CIA_MEDIAN_MARGIN_GUIDENCE",'Margin Guidence Table'!$A$1:$AC$1,0))),0)</f>
        <v>0</v>
      </c>
      <c r="FD27" s="129"/>
      <c r="FE27" s="18">
        <f t="array" ref="FE27">IFERROR(IF($FQ27="SEGMENT",INDEX('Margin Guidence Table'!$A$1:$AC$10000,MATCH(1,('Margin Guidence Table'!$A$1:$A$10000=$FO27)*('Margin Guidence Table'!$H$1:$H$10000&lt;=ROUND($FG$3,0))*('Margin Guidence Table'!$G$1:$G$10000&gt;=ROUND($FG$3,0)),0),MATCH("PCT_SALES",'Margin Guidence Table'!$A$1:$AC$1,0)),INDEX('Margin Guidence Table'!$A$1:$AC$10000,MATCH(1,('Margin Guidence Table'!$A$1:$A$10000=$FO27)*('Margin Guidence Table'!$H$1:$H$10000&lt;=ROUND($FG$3,0))*('Margin Guidence Table'!$G$1:$G$10000&gt;=ROUND($FG$3,0)),0),MATCH("DEFAULT_PCT_SALES",'Margin Guidence Table'!$A$1:$AC$1,0))),0)</f>
        <v>0</v>
      </c>
      <c r="FF27" s="102" t="s">
        <v>92</v>
      </c>
      <c r="FG27" s="94">
        <f>IFERROR(IF(AND($FG$2&lt;&gt;"Enter Spend&gt;&gt;&gt;",FH2="EXISTING"),SUMIFS('Existing Customers'!$Q:$Q,'Existing Customers'!$A:$A,$FG$1,'Existing Customers'!$H:$H,$FF27)*$FG$4,$FG$3*$FE27),0)</f>
        <v>0</v>
      </c>
      <c r="FH27" s="89">
        <f>IFERROR(IF(AND($FG$2&lt;&gt;"Enter Spend&gt;&gt;&gt;",FH2="EXISTING"),SUMIFS('Existing Customers'!$N:$N,'Existing Customers'!$A:$A,$FG$1,'Existing Customers'!$H:$H,$FF27)*$FG$4,$FG27/$FR27),0)</f>
        <v>0</v>
      </c>
      <c r="FI27" s="95">
        <f>IFERROR(IF(AND($FG$2&lt;&gt;"Enter Spend&gt;&gt;&gt;",FH2="EXISTING"),SUMIFS('Existing Customers'!$O:$O,'Existing Customers'!$H:$H,$FF27,'Existing Customers'!$A:$A,$FG$1)*$FG$4,$FH27*$FG$8),0)</f>
        <v>0</v>
      </c>
      <c r="FJ27" s="95">
        <f>IFERROR(IF(AND($FG$2&lt;&gt;"Enter Spend&gt;&gt;&gt;",FH2="EXISTING"),SUMIFS('Existing Customers'!$P:$P,'Existing Customers'!$A:$A,$FG$1,'Existing Customers'!$H:$H,$FF27)*$FG$4,$FG27/$FS27),0)</f>
        <v>0</v>
      </c>
      <c r="FK27" s="96">
        <f>IFERROR(IF(AND($FG$2&lt;&gt;"Enter Spend&gt;&gt;&gt;",FH2="EXISTING"),SUMIFS('Existing Customers'!$V:$V,'Existing Customers'!$H:$H,$FF27,'Existing Customers'!$A:$A,$FG$1)*$FG$4,0),0)</f>
        <v>0</v>
      </c>
      <c r="FL27" s="96">
        <f>IFERROR(IF(AND($FG$2&lt;&gt;"Enter Spend&gt;&gt;&gt;",FH2="EXISTING"),SUMIFS('Existing Customers'!$R:$R,'Existing Customers'!$H:$H,$FF27,'Existing Customers'!$A:$A,$FG$1)*$FG$4,0),0)</f>
        <v>0</v>
      </c>
      <c r="FM27" s="1161">
        <f>IFERROR(IF(AND($FG$2&lt;&gt;"Enter Spend&gt;&gt;&gt;",FH2="EXISTING"),SUMIFS('Existing Customers'!$S:$S,'Existing Customers'!$H:$H,$FF27,'Existing Customers'!$A:$A,$FG$1),FW27*FG27),0)</f>
        <v>0</v>
      </c>
      <c r="FN27" s="1161">
        <f>IFERROR(IF(AND($FG$2&lt;&gt;"Enter Spend&gt;&gt;&gt;",FH2="EXISTING"),SUMIFS('Existing Customers'!$U:$U,'Existing Customers'!$H:$H,$FF27,'Existing Customers'!$A:$A,$FG$1),FX27*FG27),0)</f>
        <v>0</v>
      </c>
      <c r="FO27" s="1164" t="e">
        <f t="shared" si="34"/>
        <v>#N/A</v>
      </c>
      <c r="FP27" s="1164">
        <f t="array" ref="FP27">IFERROR(INDEX('Margin Guidence Table'!$A$1:$AD$30000,MATCH(1,('Margin Guidence Table'!$A$1:$A$10000=FO27)*('Margin Guidence Table'!$H$1:$H$10000&lt;=ROUND($FG$3,0))*('Margin Guidence Table'!$G$1:$G$10000&gt;=ROUND($FG$3,0)),0),MATCH("DATA_POINTS",'Margin Guidence Table'!$A$1:$AC$1,0)),0)</f>
        <v>0</v>
      </c>
      <c r="FQ27" s="1161" t="str">
        <f t="shared" si="35"/>
        <v>DEFAULT</v>
      </c>
      <c r="FR27" s="1161">
        <f t="array" ref="FR27">IFERROR(IF($FQ27="SEGMENT",INDEX('Margin Guidence Table'!$A$1:$AC$10000,MATCH(1,('Margin Guidence Table'!$A$1:$A$10000=FO27)*('Margin Guidence Table'!$H$1:$H$10000&lt;=ROUND($FG$3,0))*('Margin Guidence Table'!$G$1:$G$10000&gt;=ROUND($FG$3,0)),0),MATCH("SALES_CASE",'Margin Guidence Table'!$A$1:$AC$1,0)),INDEX('Margin Guidence Table'!$A$1:$AC$10000,MATCH(1,('Margin Guidence Table'!$A$1:$A$10000=FO27)*('Margin Guidence Table'!$H$1:$H$10000&lt;=ROUND($FG$3,0))*('Margin Guidence Table'!$G$1:$G$10000&gt;=ROUND($FG$3,0)),0),MATCH("DEFAULT_SALES_CASE",'Margin Guidence Table'!$A$1:$AC$1,0))),0)</f>
        <v>0</v>
      </c>
      <c r="FS27" s="1161">
        <f t="array" ref="FS27">IFERROR(IF($FQ27="SEGMENT",INDEX('Margin Guidence Table'!$A$1:$AC$10000,MATCH(1,('Margin Guidence Table'!$A$1:$A$10000=FO27)*('Margin Guidence Table'!$H$1:$H$10000&lt;=ROUND($FG$3,0))*('Margin Guidence Table'!$G$1:$G$10000&gt;=ROUND($FG$3,0)),0),MATCH("SALES_LBS",'Margin Guidence Table'!$A$1:$AC$1,0)),INDEX('Margin Guidence Table'!$A$1:$AC$10000,MATCH(1,('Margin Guidence Table'!$A$1:$A$10000=FO27)*('Margin Guidence Table'!$H$1:$H$10000&lt;=ROUND($FG$3,0))*('Margin Guidence Table'!$G$1:$G$10000&gt;=ROUND($FG$3,0)),0),MATCH("DEFAULT_SALES_LBS",'Margin Guidence Table'!$A$1:$AC$1,0))),0)</f>
        <v>0</v>
      </c>
      <c r="FT27" s="1165">
        <f t="array" ref="FT27">IFERROR(IF($FQ27="SEGMENT",INDEX('Margin Guidence Table'!$A$1:$AC$10000,MATCH(1,('Margin Guidence Table'!$A$1:$A$10000=FO27)*('Margin Guidence Table'!$H$1:$H$10000&lt;=ROUND($FG$3,0))*('Margin Guidence Table'!$G$1:$G$10000&gt;=ROUND($FG$3,0)),0),MATCH("MDA_MIN_MARGIN_GUIDENCE",'Margin Guidence Table'!$A$1:$AC$1,0)),INDEX('Margin Guidence Table'!$A$1:$AC$10000,MATCH(1,('Margin Guidence Table'!$A$1:$A$10000=FO27)*('Margin Guidence Table'!$H$1:$H$10000&lt;=ROUND($FG$3,0))*('Margin Guidence Table'!$G$1:$G$10000&gt;=ROUND($FG$3,0)),0),MATCH("DEFAULT_MDA_MIN_MARGIN_GUIDENCE",'Margin Guidence Table'!$A$1:$AC$1,0))),0)</f>
        <v>0</v>
      </c>
      <c r="FU27" s="1165">
        <f t="array" ref="FU27">IFERROR(IF($FQ27="SEGMENT",INDEX('Margin Guidence Table'!$A$1:$AC$10000,MATCH(1,('Margin Guidence Table'!$A$1:$A$10000=FO27)*('Margin Guidence Table'!$H$1:$H$10000&lt;=ROUND($FG$3,0))*('Margin Guidence Table'!$G$1:$G$10000&gt;=ROUND($FG$3,0)),0),MATCH("MDA_MEDIAN_MARGIN_GUIDENCE",'Margin Guidence Table'!$A$1:$AC$1,0)),INDEX('Margin Guidence Table'!$A$1:$AC$10000,MATCH(1,('Margin Guidence Table'!$A$1:$A$10000=FO27)*('Margin Guidence Table'!$H$1:$H$10000&lt;=ROUND($FG$3,0))*('Margin Guidence Table'!$G$1:$G$10000&gt;=ROUND($FG$3,0)),0),MATCH("DEFAULT_MDA_MEDIAN_MARGIN_GUIDENCE",'Margin Guidence Table'!$A$1:$AC$1,0))),0)</f>
        <v>0</v>
      </c>
      <c r="FV27" s="1165">
        <f t="array" ref="FV27">IFERROR(IF($FQ27="SEGMENT",INDEX('Margin Guidence Table'!$A$1:$AC$10000,MATCH(1,('Margin Guidence Table'!$A$1:$A$10000=FO27)*('Margin Guidence Table'!$H$1:$H$10000&lt;=ROUND($FG$3,0))*('Margin Guidence Table'!$G$1:$G$10000&gt;=ROUND($FG$3,0)),0),MATCH("MDA_MAX_MARGIN_GUIDENCE",'Margin Guidence Table'!$A$1:$AC$1,0)),INDEX('Margin Guidence Table'!$A$1:$AC$10000,MATCH(1,('Margin Guidence Table'!$A$1:$A$10000=FO27)*('Margin Guidence Table'!$H$1:$H$10000&lt;=ROUND($FG$3,0))*('Margin Guidence Table'!$G$1:$G$10000&gt;=ROUND($FG$3,0)),0),MATCH("DEFAULT_MDA_MAX_MARGIN_GUIDENCE",'Margin Guidence Table'!$A$1:$AC$1,0))),0)</f>
        <v>0</v>
      </c>
      <c r="FW27" s="1165">
        <f t="array" ref="FW27">IFERROR(IF($FQ27="SEGMENT",INDEX('Margin Guidence Table'!$A$1:$AC$10000,MATCH(1,('Margin Guidence Table'!$A$1:$A$10000=FO27)*('Margin Guidence Table'!$H$1:$H$10000&lt;=ROUND($FG$3,0))*('Margin Guidence Table'!$G$1:$G$10000&gt;=ROUND($FG$3,0)),0),MATCH("PA_PCT_SALES",'Margin Guidence Table'!$A$1:$AC$1,0)),INDEX('Margin Guidence Table'!$A$1:$AC$10000,MATCH(1,('Margin Guidence Table'!$A$1:$A$10000=FO27)*('Margin Guidence Table'!$H$1:$H$10000&lt;=ROUND($FG$3,0))*('Margin Guidence Table'!$G$1:$G$10000&gt;=ROUND($FG$3,0)),0),MATCH("DEFAULT_PA_PCT_SALES",'Margin Guidence Table'!$A$1:$AC$1,0))),0)</f>
        <v>0</v>
      </c>
      <c r="FX27" s="1165">
        <f t="array" ref="FX27">IFERROR(IF($FQ27="SEGMENT",INDEX('Margin Guidence Table'!$A$1:$AC$10000,MATCH(1,('Margin Guidence Table'!$A$1:$A$10000=FO27)*('Margin Guidence Table'!$H$1:$H$10000&lt;=ROUND($FG$3,0))*('Margin Guidence Table'!$G$1:$G$10000&gt;=ROUND($FG$3,0)),0),MATCH("SELF_FUND_PCT_SALES",'Margin Guidence Table'!$A$1:$AC$1,0)),INDEX('Margin Guidence Table'!$A$1:$AC$10000,MATCH(1,('Margin Guidence Table'!$A$1:$A$10000=FO27)*('Margin Guidence Table'!$H$1:$H$10000&lt;=ROUND($FG$3,0))*('Margin Guidence Table'!$G$1:$G$10000&gt;=ROUND($FG$3,0)),0),MATCH("DEFAULT_SELF_FUND_PCT_SALES",'Margin Guidence Table'!$A$1:$AC$1,0))),0)</f>
        <v>0</v>
      </c>
      <c r="FY27" s="1165">
        <f t="array" ref="FY27">IFERROR(IF($FQ27="SEGMENT",INDEX('Margin Guidence Table'!$A$1:$AC$10000,MATCH(1,('Margin Guidence Table'!$A$1:$A$10000=FO27)*('Margin Guidence Table'!$H$1:$H$10000&lt;=ROUND($FG$3,0))*('Margin Guidence Table'!$G$1:$G$10000&gt;=ROUND($FG$3,0)),0),MATCH("CIA_MEDIAN_MARGIN_GUIDENCE",'Margin Guidence Table'!$A$1:$AC$1,0)),INDEX('Margin Guidence Table'!$A$1:$AC$10000,MATCH(1,('Margin Guidence Table'!$A$1:$A$10000=FO27)*('Margin Guidence Table'!$H$1:$H$10000&lt;=ROUND($FG$3,0))*('Margin Guidence Table'!$G$1:$G$10000&gt;=ROUND($FG$3,0)),0),MATCH("DEFAULT_CIA_MEDIAN_MARGIN_GUIDENCE",'Margin Guidence Table'!$A$1:$AC$1,0))),0)</f>
        <v>0</v>
      </c>
      <c r="FZ27" s="129"/>
      <c r="GA27" s="18">
        <f t="array" ref="GA27">IFERROR(IF($GM27="SEGMENT",INDEX('Margin Guidence Table'!$A$1:$AC$10000,MATCH(1,('Margin Guidence Table'!$A$1:$A$10000=$GK27)*('Margin Guidence Table'!$H$1:$H$10000&lt;=ROUND($GC$3,0))*('Margin Guidence Table'!$G$1:$G$10000&gt;=ROUND($GC$3,0)),0),MATCH("PCT_SALES",'Margin Guidence Table'!$A$1:$AC$1,0)),INDEX('Margin Guidence Table'!$A$1:$AC$10000,MATCH(1,('Margin Guidence Table'!$A$1:$A$10000=$GK27)*('Margin Guidence Table'!$H$1:$H$10000&lt;=ROUND($GC$3,0))*('Margin Guidence Table'!$G$1:$G$10000&gt;=ROUND($GC$3,0)),0),MATCH("DEFAULT_PCT_SALES",'Margin Guidence Table'!$A$1:$AC$1,0))),0)</f>
        <v>0</v>
      </c>
      <c r="GB27" s="102" t="s">
        <v>92</v>
      </c>
      <c r="GC27" s="94">
        <f>IFERROR(IF(AND($GC$2&lt;&gt;"Enter Spend&gt;&gt;&gt;",GD2="EXISTING"),SUMIFS('Existing Customers'!$Q:$Q,'Existing Customers'!$A:$A,$GC$1,'Existing Customers'!$H:$H,$GB27)*$GC$4,$GC$3*$GA27),0)</f>
        <v>0</v>
      </c>
      <c r="GD27" s="89">
        <f>IFERROR(IF(AND($GC$2&lt;&gt;"Enter Spend&gt;&gt;&gt;",GD2="EXISTING"),SUMIFS('Existing Customers'!$N:$N,'Existing Customers'!$A:$A,$GC$1,'Existing Customers'!$H:$H,$GB27)*$GC$4,$GC27/$GN27),0)</f>
        <v>0</v>
      </c>
      <c r="GE27" s="95">
        <f>IFERROR(IF(AND($GC$2&lt;&gt;"Enter Spend&gt;&gt;&gt;",GD2="EXISTING"),SUMIFS('Existing Customers'!$O:$O,'Existing Customers'!$H:$H,$GB27,'Existing Customers'!$A:$A,$GC$1)*$GC$4,$GD27*$GC$8),0)</f>
        <v>0</v>
      </c>
      <c r="GF27" s="95">
        <f>IFERROR(IF(AND($GC$2&lt;&gt;"Enter Spend&gt;&gt;&gt;",GD2="EXISTING"),SUMIFS('Existing Customers'!$P:$P,'Existing Customers'!$A:$A,$GC$1,'Existing Customers'!$H:$H,$GB27)*$GC$4,$GC27/$GO27),0)</f>
        <v>0</v>
      </c>
      <c r="GG27" s="96">
        <f>IFERROR(IF(AND($GC$2&lt;&gt;"Enter Spend&gt;&gt;&gt;",GD2="EXISTING"),SUMIFS('Existing Customers'!$V:$V,'Existing Customers'!$H:$H,$GB27,'Existing Customers'!$A:$A,$GC$1)*$GC$4,0),0)</f>
        <v>0</v>
      </c>
      <c r="GH27" s="96">
        <f>IFERROR(IF(AND($GC$2&lt;&gt;"Enter Spend&gt;&gt;&gt;",GD2="EXISTING"),SUMIFS('Existing Customers'!$R:$R,'Existing Customers'!$H:$H,$GB27,'Existing Customers'!$A:$A,$GC$1)*$GC$4,0),0)</f>
        <v>0</v>
      </c>
      <c r="GI27" s="1161">
        <f>IFERROR(IF(AND($GC$2&lt;&gt;"Enter Spend&gt;&gt;&gt;",GD2="EXISTING"),SUMIFS('Existing Customers'!$S:$S,'Existing Customers'!$H:$H,$GB27,'Existing Customers'!$A:$A,$GC$1),GS27*GC27),0)</f>
        <v>0</v>
      </c>
      <c r="GJ27" s="1161">
        <f>IFERROR(IF(AND($GC$2&lt;&gt;"Enter Spend&gt;&gt;&gt;",GD2="EXISTING"),SUMIFS('Existing Customers'!$U:$U,'Existing Customers'!$H:$H,$GB27,'Existing Customers'!$A:$A,$GC$1),GT27*GC27),0)</f>
        <v>0</v>
      </c>
      <c r="GK27" s="1164" t="e">
        <f t="shared" si="36"/>
        <v>#N/A</v>
      </c>
      <c r="GL27" s="1164">
        <f t="array" ref="GL27">IFERROR(INDEX('Margin Guidence Table'!$A$1:$AD$30000,MATCH(1,('Margin Guidence Table'!$A$1:$A$10000=GK27)*('Margin Guidence Table'!$H$1:$H$10000&lt;=ROUND($GC$3,0))*('Margin Guidence Table'!$G$1:$G$10000&gt;=ROUND($GC$3,0)),0),MATCH("DATA_POINTS",'Margin Guidence Table'!$A$1:$AC$1,0)),0)</f>
        <v>0</v>
      </c>
      <c r="GM27" s="1161" t="str">
        <f t="shared" si="37"/>
        <v>DEFAULT</v>
      </c>
      <c r="GN27" s="1161">
        <f t="array" ref="GN27">IFERROR(IF($GM27="SEGMENT",INDEX('Margin Guidence Table'!$A$1:$AC$10000,MATCH(1,('Margin Guidence Table'!$A$1:$A$10000=GK27)*('Margin Guidence Table'!$H$1:$H$10000&lt;=ROUND($GC$3,0))*('Margin Guidence Table'!$G$1:$G$10000&gt;=ROUND($GC$3,0)),0),MATCH("SALES_CASE",'Margin Guidence Table'!$A$1:$AC$1,0)),INDEX('Margin Guidence Table'!$A$1:$AC$10000,MATCH(1,('Margin Guidence Table'!$A$1:$A$10000=GK27)*('Margin Guidence Table'!$H$1:$H$10000&lt;=ROUND($GC$3,0))*('Margin Guidence Table'!$G$1:$G$10000&gt;=ROUND($GC$3,0)),0),MATCH("DEFAULT_SALES_CASE",'Margin Guidence Table'!$A$1:$AC$1,0))),0)</f>
        <v>0</v>
      </c>
      <c r="GO27" s="1161">
        <f t="array" ref="GO27">IFERROR(IF($GM27="SEGMENT",INDEX('Margin Guidence Table'!$A$1:$AC$10000,MATCH(1,('Margin Guidence Table'!$A$1:$A$10000=GK27)*('Margin Guidence Table'!$H$1:$H$10000&lt;=ROUND($GC$3,0))*('Margin Guidence Table'!$G$1:$G$10000&gt;=ROUND($GC$3,0)),0),MATCH("SALES_LBS",'Margin Guidence Table'!$A$1:$AC$1,0)),INDEX('Margin Guidence Table'!$A$1:$AC$10000,MATCH(1,('Margin Guidence Table'!$A$1:$A$10000=GK27)*('Margin Guidence Table'!$H$1:$H$10000&lt;=ROUND($GC$3,0))*('Margin Guidence Table'!$G$1:$G$10000&gt;=ROUND($GC$3,0)),0),MATCH("DEFAULT_SALES_LBS",'Margin Guidence Table'!$A$1:$AC$1,0))),0)</f>
        <v>0</v>
      </c>
      <c r="GP27" s="1165">
        <f t="array" ref="GP27">IFERROR(IF($GM27="SEGMENT",INDEX('Margin Guidence Table'!$A$1:$AC$10000,MATCH(1,('Margin Guidence Table'!$A$1:$A$10000=GK27)*('Margin Guidence Table'!$H$1:$H$10000&lt;=ROUND($GC$3,0))*('Margin Guidence Table'!$G$1:$G$10000&gt;=ROUND($GC$3,0)),0),MATCH("MDA_MIN_MARGIN_GUIDENCE",'Margin Guidence Table'!$A$1:$AC$1,0)),INDEX('Margin Guidence Table'!$A$1:$AC$10000,MATCH(1,('Margin Guidence Table'!$A$1:$A$10000=GK27)*('Margin Guidence Table'!$H$1:$H$10000&lt;=ROUND($GC$3,0))*('Margin Guidence Table'!$G$1:$G$10000&gt;=ROUND($GC$3,0)),0),MATCH("DEFAULT_MDA_MIN_MARGIN_GUIDENCE",'Margin Guidence Table'!$A$1:$AC$1,0))),0)</f>
        <v>0</v>
      </c>
      <c r="GQ27" s="1165">
        <f t="array" ref="GQ27">IFERROR(IF($GM27="SEGMENT",INDEX('Margin Guidence Table'!$A$1:$AC$10000,MATCH(1,('Margin Guidence Table'!$A$1:$A$10000=GK27)*('Margin Guidence Table'!$H$1:$H$10000&lt;=ROUND($GC$3,0))*('Margin Guidence Table'!$G$1:$G$10000&gt;=ROUND($GC$3,0)),0),MATCH("MDA_MEDIAN_MARGIN_GUIDENCE",'Margin Guidence Table'!$A$1:$AC$1,0)),INDEX('Margin Guidence Table'!$A$1:$AC$10000,MATCH(1,('Margin Guidence Table'!$A$1:$A$10000=GK27)*('Margin Guidence Table'!$H$1:$H$10000&lt;=ROUND($GC$3,0))*('Margin Guidence Table'!$G$1:$G$10000&gt;=ROUND($GC$3,0)),0),MATCH("DEFAULT_MDA_MEDIAN_MARGIN_GUIDENCE",'Margin Guidence Table'!$A$1:$AC$1,0))),0)</f>
        <v>0</v>
      </c>
      <c r="GR27" s="1165">
        <f t="array" ref="GR27">IFERROR(IF($GM27="SEGMENT",INDEX('Margin Guidence Table'!$A$1:$AC$10000,MATCH(1,('Margin Guidence Table'!$A$1:$A$10000=GK27)*('Margin Guidence Table'!$H$1:$H$10000&lt;=ROUND($GC$3,0))*('Margin Guidence Table'!$G$1:$G$10000&gt;=ROUND($GC$3,0)),0),MATCH("MDA_MAX_MARGIN_GUIDENCE",'Margin Guidence Table'!$A$1:$AC$1,0)),INDEX('Margin Guidence Table'!$A$1:$AC$10000,MATCH(1,('Margin Guidence Table'!$A$1:$A$10000=GK27)*('Margin Guidence Table'!$H$1:$H$10000&lt;=ROUND($GC$3,0))*('Margin Guidence Table'!$G$1:$G$10000&gt;=ROUND($GC$3,0)),0),MATCH("DEFAULT_MDA_MAX_MARGIN_GUIDENCE",'Margin Guidence Table'!$A$1:$AC$1,0))),0)</f>
        <v>0</v>
      </c>
      <c r="GS27" s="1165">
        <f t="array" ref="GS27">IFERROR(IF($GM27="SEGMENT",INDEX('Margin Guidence Table'!$A$1:$AC$10000,MATCH(1,('Margin Guidence Table'!$A$1:$A$10000=GK27)*('Margin Guidence Table'!$H$1:$H$10000&lt;=ROUND($GC$3,0))*('Margin Guidence Table'!$G$1:$G$10000&gt;=ROUND($GC$3,0)),0),MATCH("PA_PCT_SALES",'Margin Guidence Table'!$A$1:$AC$1,0)),INDEX('Margin Guidence Table'!$A$1:$AC$10000,MATCH(1,('Margin Guidence Table'!$A$1:$A$10000=GK27)*('Margin Guidence Table'!$H$1:$H$10000&lt;=ROUND($GC$3,0))*('Margin Guidence Table'!$G$1:$G$10000&gt;=ROUND($GC$3,0)),0),MATCH("DEFAULT_PA_PCT_SALES",'Margin Guidence Table'!$A$1:$AC$1,0))),0)</f>
        <v>0</v>
      </c>
      <c r="GT27" s="1165">
        <f t="array" ref="GT27">IFERROR(IF($GM27="SEGMENT",INDEX('Margin Guidence Table'!$A$1:$AC$10000,MATCH(1,('Margin Guidence Table'!$A$1:$A$10000=GK27)*('Margin Guidence Table'!$H$1:$H$10000&lt;=ROUND($GC$3,0))*('Margin Guidence Table'!$G$1:$G$10000&gt;=ROUND($GC$3,0)),0),MATCH("SELF_FUND_PCT_SALES",'Margin Guidence Table'!$A$1:$AC$1,0)),INDEX('Margin Guidence Table'!$A$1:$AC$10000,MATCH(1,('Margin Guidence Table'!$A$1:$A$10000=GK27)*('Margin Guidence Table'!$H$1:$H$10000&lt;=ROUND($GC$3,0))*('Margin Guidence Table'!$G$1:$G$10000&gt;=ROUND($GC$3,0)),0),MATCH("DEFAULT_SELF_FUND_PCT_SALES",'Margin Guidence Table'!$A$1:$AC$1,0))),0)</f>
        <v>0</v>
      </c>
      <c r="GU27" s="1165">
        <f t="array" ref="GU27">IFERROR(IF($GM27="SEGMENT",INDEX('Margin Guidence Table'!$A$1:$AC$10000,MATCH(1,('Margin Guidence Table'!$A$1:$A$10000=GK27)*('Margin Guidence Table'!$H$1:$H$10000&lt;=ROUND($GC$3,0))*('Margin Guidence Table'!$G$1:$G$10000&gt;=ROUND($GC$3,0)),0),MATCH("CIA_MEDIAN_MARGIN_GUIDENCE",'Margin Guidence Table'!$A$1:$AC$1,0)),INDEX('Margin Guidence Table'!$A$1:$AC$10000,MATCH(1,('Margin Guidence Table'!$A$1:$A$10000=GK27)*('Margin Guidence Table'!$H$1:$H$10000&lt;=ROUND($GC$3,0))*('Margin Guidence Table'!$G$1:$G$10000&gt;=ROUND($GC$3,0)),0),MATCH("DEFAULT_CIA_MEDIAN_MARGIN_GUIDENCE",'Margin Guidence Table'!$A$1:$AC$1,0))),0)</f>
        <v>0</v>
      </c>
      <c r="GV27" s="129"/>
      <c r="GW27" s="18">
        <f t="array" ref="GW27">IFERROR(IF($HI27="SEGMENT",INDEX('Margin Guidence Table'!$A$1:$AC$10000,MATCH(1,('Margin Guidence Table'!$A$1:$A$10000=$HG27)*('Margin Guidence Table'!$H$1:$H$10000&lt;=ROUND($GY$3,0))*('Margin Guidence Table'!$G$1:$G$10000&gt;=ROUND($GY$3,0)),0),MATCH("PCT_SALES",'Margin Guidence Table'!$A$1:$AC$1,0)),INDEX('Margin Guidence Table'!$A$1:$AC$10000,MATCH(1,('Margin Guidence Table'!$A$1:$A$10000=$HG27)*('Margin Guidence Table'!$H$1:$H$10000&lt;=ROUND($GY$3,0))*('Margin Guidence Table'!$G$1:$G$10000&gt;=ROUND($GY$3,0)),0),MATCH("DEFAULT_PCT_SALES",'Margin Guidence Table'!$A$1:$AC$1,0))),0)</f>
        <v>0</v>
      </c>
      <c r="GX27" s="102" t="s">
        <v>92</v>
      </c>
      <c r="GY27" s="94">
        <f>IFERROR(IF(AND($GY$2&lt;&gt;"Enter Spend&gt;&gt;&gt;",GZ2="EXISTING"),SUMIFS('Existing Customers'!$Q:$Q,'Existing Customers'!$A:$A,$GY$1,'Existing Customers'!$H:$H,$GX27)*$GY$4,$GY$3*$GW27),0)</f>
        <v>0</v>
      </c>
      <c r="GZ27" s="89">
        <f>IFERROR(IF(AND($GY$2&lt;&gt;"Enter Spend&gt;&gt;&gt;",GZ2="EXISTING"),SUMIFS('Existing Customers'!$N:$N,'Existing Customers'!$A:$A,$GY$1,'Existing Customers'!$H:$H,$GX27)*$GY$4,$GY27/$HJ27),0)</f>
        <v>0</v>
      </c>
      <c r="HA27" s="95">
        <f>IFERROR(IF(AND($GY$2&lt;&gt;"Enter Spend&gt;&gt;&gt;",GZ2="EXISTING"),SUMIFS('Existing Customers'!$O:$O,'Existing Customers'!$H:$H,$GX27,'Existing Customers'!$A:$A,$GY$1)*$GY$4,$GZ27*$GY$8),0)</f>
        <v>0</v>
      </c>
      <c r="HB27" s="95">
        <f>IFERROR(IF(AND($GY$2&lt;&gt;"Enter Spend&gt;&gt;&gt;",GZ2="EXISTING"),SUMIFS('Existing Customers'!$P:$P,'Existing Customers'!$A:$A,$GY$1,'Existing Customers'!$H:$H,$GX27)*$GY$4,$GY27/$HK27),0)</f>
        <v>0</v>
      </c>
      <c r="HC27" s="96">
        <f>IFERROR(IF(AND($GY$2&lt;&gt;"Enter Spend&gt;&gt;&gt;",GZ2="EXISTING"),SUMIFS('Existing Customers'!$V:$V,'Existing Customers'!$H:$H,$GX27,'Existing Customers'!$A:$A,$GY$1)*$GY$4,0),0)</f>
        <v>0</v>
      </c>
      <c r="HD27" s="96">
        <f>IFERROR(IF(AND($GY$2&lt;&gt;"Enter Spend&gt;&gt;&gt;",GZ2="EXISTING"),SUMIFS('Existing Customers'!$R:$R,'Existing Customers'!$H:$H,$GX27,'Existing Customers'!$A:$A,$GY$1)*$GY$4,0),0)</f>
        <v>0</v>
      </c>
      <c r="HE27" s="1161">
        <f>IFERROR(IF(AND($GY$2&lt;&gt;"Enter Spend&gt;&gt;&gt;",GZ2="EXISTING"),SUMIFS('Existing Customers'!$S:$S,'Existing Customers'!$H:$H,$GX27,'Existing Customers'!$A:$A,$GY$1),HO27*GY27),0)</f>
        <v>0</v>
      </c>
      <c r="HF27" s="1161">
        <f>IFERROR(IF(AND($GY$2&lt;&gt;"Enter Spend&gt;&gt;&gt;",GZ2="EXISTING"),SUMIFS('Existing Customers'!$U:$U,'Existing Customers'!$H:$H,$GX27,'Existing Customers'!$A:$A,$GY$1),HP27*GY27),0)</f>
        <v>0</v>
      </c>
      <c r="HG27" s="1164" t="e">
        <f t="shared" si="38"/>
        <v>#N/A</v>
      </c>
      <c r="HH27" s="1164">
        <f t="array" ref="HH27">IFERROR(INDEX('Margin Guidence Table'!$A$1:$AD$30000,MATCH(1,('Margin Guidence Table'!$A$1:$A$10000=HG27)*('Margin Guidence Table'!$H$1:$H$10000&lt;=ROUND($GY$3,0))*('Margin Guidence Table'!$G$1:$G$10000&gt;=ROUND($GY$3,0)),0),MATCH("DATA_POINTS",'Margin Guidence Table'!$A$1:$AC$1,0)),0)</f>
        <v>0</v>
      </c>
      <c r="HI27" s="1161" t="str">
        <f t="shared" si="39"/>
        <v>DEFAULT</v>
      </c>
      <c r="HJ27" s="1161">
        <f t="array" ref="HJ27">IFERROR(IF($HI27="SEGMENT",INDEX('Margin Guidence Table'!$A$1:$AC$10000,MATCH(1,('Margin Guidence Table'!$A$1:$A$10000=HG27)*('Margin Guidence Table'!$H$1:$H$10000&lt;=ROUND($GY$3,0))*('Margin Guidence Table'!$G$1:$G$10000&gt;=ROUND($GY$3,0)),0),MATCH("SALES_CASE",'Margin Guidence Table'!$A$1:$AC$1,0)),INDEX('Margin Guidence Table'!$A$1:$AC$10000,MATCH(1,('Margin Guidence Table'!$A$1:$A$10000=HG27)*('Margin Guidence Table'!$H$1:$H$10000&lt;=ROUND($GY$3,0))*('Margin Guidence Table'!$G$1:$G$10000&gt;=ROUND($GY$3,0)),0),MATCH("DEFAULT_SALES_CASE",'Margin Guidence Table'!$A$1:$AC$1,0))),0)</f>
        <v>0</v>
      </c>
      <c r="HK27" s="1161">
        <f t="array" ref="HK27">IFERROR(IF($HI27="SEGMENT",INDEX('Margin Guidence Table'!$A$1:$AC$10000,MATCH(1,('Margin Guidence Table'!$A$1:$A$10000=HG27)*('Margin Guidence Table'!$H$1:$H$10000&lt;=ROUND($GY$3,0))*('Margin Guidence Table'!$G$1:$G$10000&gt;=ROUND($GY$3,0)),0),MATCH("SALES_LBS",'Margin Guidence Table'!$A$1:$AC$1,0)),INDEX('Margin Guidence Table'!$A$1:$AC$10000,MATCH(1,('Margin Guidence Table'!$A$1:$A$10000=HG27)*('Margin Guidence Table'!$H$1:$H$10000&lt;=ROUND($GY$3,0))*('Margin Guidence Table'!$G$1:$G$10000&gt;=ROUND($GY$3,0)),0),MATCH("DEFAULT_SALES_LBS",'Margin Guidence Table'!$A$1:$AC$1,0))),0)</f>
        <v>0</v>
      </c>
      <c r="HL27" s="1165">
        <f t="array" ref="HL27">IFERROR(IF($HI27="SEGMENT",INDEX('Margin Guidence Table'!$A$1:$AC$10000,MATCH(1,('Margin Guidence Table'!$A$1:$A$10000=HG27)*('Margin Guidence Table'!$H$1:$H$10000&lt;=ROUND($GY$3,0))*('Margin Guidence Table'!$G$1:$G$10000&gt;=ROUND($GY$3,0)),0),MATCH("MDA_MIN_MARGIN_GUIDENCE",'Margin Guidence Table'!$A$1:$AC$1,0)),INDEX('Margin Guidence Table'!$A$1:$AC$10000,MATCH(1,('Margin Guidence Table'!$A$1:$A$10000=HG27)*('Margin Guidence Table'!$H$1:$H$10000&lt;=ROUND($GY$3,0))*('Margin Guidence Table'!$G$1:$G$10000&gt;=ROUND($GY$3,0)),0),MATCH("DEFAULT_MDA_MIN_MARGIN_GUIDENCE",'Margin Guidence Table'!$A$1:$AC$1,0))),0)</f>
        <v>0</v>
      </c>
      <c r="HM27" s="1165">
        <f t="array" ref="HM27">IFERROR(IF($HI27="SEGMENT",INDEX('Margin Guidence Table'!$A$1:$AC$10000,MATCH(1,('Margin Guidence Table'!$A$1:$A$10000=HG27)*('Margin Guidence Table'!$H$1:$H$10000&lt;=ROUND($GY$3,0))*('Margin Guidence Table'!$G$1:$G$10000&gt;=ROUND($GY$3,0)),0),MATCH("MDA_MEDIAN_MARGIN_GUIDENCE",'Margin Guidence Table'!$A$1:$AC$1,0)),INDEX('Margin Guidence Table'!$A$1:$AC$10000,MATCH(1,('Margin Guidence Table'!$A$1:$A$10000=HG27)*('Margin Guidence Table'!$H$1:$H$10000&lt;=ROUND($GY$3,0))*('Margin Guidence Table'!$G$1:$G$10000&gt;=ROUND($GY$3,0)),0),MATCH("DEFAULT_MDA_MEDIAN_MARGIN_GUIDENCE",'Margin Guidence Table'!$A$1:$AC$1,0))),0)</f>
        <v>0</v>
      </c>
      <c r="HN27" s="1165">
        <f t="array" ref="HN27">IFERROR(IF($HI27="SEGMENT",INDEX('Margin Guidence Table'!$A$1:$AC$10000,MATCH(1,('Margin Guidence Table'!$A$1:$A$10000=HG27)*('Margin Guidence Table'!$H$1:$H$10000&lt;=ROUND($GY$3,0))*('Margin Guidence Table'!$G$1:$G$10000&gt;=ROUND($GY$3,0)),0),MATCH("MDA_MAX_MARGIN_GUIDENCE",'Margin Guidence Table'!$A$1:$AC$1,0)),INDEX('Margin Guidence Table'!$A$1:$AC$10000,MATCH(1,('Margin Guidence Table'!$A$1:$A$10000=HG27)*('Margin Guidence Table'!$H$1:$H$10000&lt;=ROUND($GY$3,0))*('Margin Guidence Table'!$G$1:$G$10000&gt;=ROUND($GY$3,0)),0),MATCH("DEFAULT_MDA_MAX_MARGIN_GUIDENCE",'Margin Guidence Table'!$A$1:$AC$1,0))),0)</f>
        <v>0</v>
      </c>
      <c r="HO27" s="1165">
        <f t="array" ref="HO27">IFERROR(IF($HI27="SEGMENT",INDEX('Margin Guidence Table'!$A$1:$AC$10000,MATCH(1,('Margin Guidence Table'!$A$1:$A$10000=HG27)*('Margin Guidence Table'!$H$1:$H$10000&lt;=ROUND($GY$3,0))*('Margin Guidence Table'!$G$1:$G$10000&gt;=ROUND($GY$3,0)),0),MATCH("PA_PCT_SALES",'Margin Guidence Table'!$A$1:$AC$1,0)),INDEX('Margin Guidence Table'!$A$1:$AC$10000,MATCH(1,('Margin Guidence Table'!$A$1:$A$10000=HG27)*('Margin Guidence Table'!$H$1:$H$10000&lt;=ROUND($GY$3,0))*('Margin Guidence Table'!$G$1:$G$10000&gt;=ROUND($GY$3,0)),0),MATCH("DEFAULT_PA_PCT_SALES",'Margin Guidence Table'!$A$1:$AC$1,0))),0)</f>
        <v>0</v>
      </c>
      <c r="HP27" s="1165">
        <f t="array" ref="HP27">IFERROR(IF($HI27="SEGMENT",INDEX('Margin Guidence Table'!$A$1:$AC$10000,MATCH(1,('Margin Guidence Table'!$A$1:$A$10000=HG27)*('Margin Guidence Table'!$H$1:$H$10000&lt;=ROUND($GY$3,0))*('Margin Guidence Table'!$G$1:$G$10000&gt;=ROUND($GY$3,0)),0),MATCH("SELF_FUND_PCT_SALES",'Margin Guidence Table'!$A$1:$AC$1,0)),INDEX('Margin Guidence Table'!$A$1:$AC$10000,MATCH(1,('Margin Guidence Table'!$A$1:$A$10000=HG27)*('Margin Guidence Table'!$H$1:$H$10000&lt;=ROUND($GY$3,0))*('Margin Guidence Table'!$G$1:$G$10000&gt;=ROUND($GY$3,0)),0),MATCH("DEFAULT_SELF_FUND_PCT_SALES",'Margin Guidence Table'!$A$1:$AC$1,0))),0)</f>
        <v>0</v>
      </c>
      <c r="HQ27" s="1165">
        <f t="array" ref="HQ27">IFERROR(IF($HI27="SEGMENT",INDEX('Margin Guidence Table'!$A$1:$AC$10000,MATCH(1,('Margin Guidence Table'!$A$1:$A$10000=HG27)*('Margin Guidence Table'!$H$1:$H$10000&lt;=ROUND($GY$3,0))*('Margin Guidence Table'!$G$1:$G$10000&gt;=ROUND($GY$3,0)),0),MATCH("CIA_MEDIAN_MARGIN_GUIDENCE",'Margin Guidence Table'!$A$1:$AC$1,0)),INDEX('Margin Guidence Table'!$A$1:$AC$10000,MATCH(1,('Margin Guidence Table'!$A$1:$A$10000=HG27)*('Margin Guidence Table'!$H$1:$H$10000&lt;=ROUND($GY$3,0))*('Margin Guidence Table'!$G$1:$G$10000&gt;=ROUND($GY$3,0)),0),MATCH("DEFAULT_CIA_MEDIAN_MARGIN_GUIDENCE",'Margin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Spend&gt;&gt;&gt;",HV2="EXISTING"),SUMIFS('Existing Customers'!$Q:$Q,'Existing Customers'!$A:$A,$HU$1,'Existing Customers'!$H:$H,$HT27)*$HU$4,$HU$3*$HS27),0)</f>
        <v>0</v>
      </c>
      <c r="HV27" s="89">
        <f>IFERROR(IF(AND($HU$2&lt;&gt;"Enter Spend&gt;&gt;&gt;",HV2="EXISTING"),SUMIFS('Existing Customers'!$N:$N,'Existing Customers'!$A:$A,$HU$1,'Existing Customers'!$H:$H,$HT27)*$HU$4,$HU27/$IF27),0)</f>
        <v>0</v>
      </c>
      <c r="HW27" s="95">
        <f>IFERROR(IF(AND($HU$2&lt;&gt;"Enter Spend&gt;&gt;&gt;",HV2="EXISTING"),SUMIFS('Existing Customers'!$O:$O,'Existing Customers'!$H:$H,$HT27,'Existing Customers'!$A:$A,$HU$1)*$HU$4,$HV27*$HU$8),0)</f>
        <v>0</v>
      </c>
      <c r="HX27" s="95">
        <f>IFERROR(IF(AND($HU$2&lt;&gt;"Enter Spend&gt;&gt;&gt;",HV2="EXISTING"),SUMIFS('Existing Customers'!$P:$P,'Existing Customers'!$A:$A,$HU$1,'Existing Customers'!$H:$H,$HT27)*$HU$4,$HU27/$IG27),0)</f>
        <v>0</v>
      </c>
      <c r="HY27" s="402">
        <f>IFERROR(IF(AND($HU$2&lt;&gt;"Enter Spend&gt;&gt;&gt;",HV2="EXISTING"),SUMIFS('Existing Customers'!$V:$V,'Existing Customers'!$H:$H,$HT27,'Existing Customers'!$A:$A,$HU$1)*$HU$4,0),0)</f>
        <v>0</v>
      </c>
      <c r="HZ27" s="96">
        <f>IFERROR(IF(AND($HU$2&lt;&gt;"Enter Spend&gt;&gt;&gt;",HV2="EXISTING"),SUMIFS('Existing Customers'!$R:$R,'Existing Customers'!$H:$H,$HT27,'Existing Customers'!$A:$A,$HU$1)*$HU$4,0),0)</f>
        <v>0</v>
      </c>
      <c r="IA27" s="1161">
        <f>IFERROR(IF(AND($HU$2&lt;&gt;"Enter Spend&gt;&gt;&gt;",HV2="EXISTING"),SUMIFS('Existing Customers'!$S:$S,'Existing Customers'!$H:$H,$HT27,'Existing Customers'!$A:$A,$HU$1),IK27*HU27),0)</f>
        <v>0</v>
      </c>
      <c r="IB27" s="1161">
        <f>IFERROR(IF(AND($HU$2&lt;&gt;"Enter Spend&gt;&gt;&gt;",HV2="EXISTING"),SUMIFS('Existing Customers'!$U:$U,'Existing Customers'!$H:$H,$HT27,'Existing Customers'!$A:$A,$HU$1),IL27*HU27),0)</f>
        <v>0</v>
      </c>
      <c r="IC27" s="1164" t="e">
        <f t="shared" si="40"/>
        <v>#N/A</v>
      </c>
      <c r="ID27" s="1164">
        <f t="array" ref="ID27">IFERROR(INDEX('Margin Guidence Table'!$A$1:$AD$30000,MATCH(1,('Margin Guidence Table'!$A$1:$A$10000=IC27)*('Margin Guidence Table'!$H$1:$H$10000&lt;=ROUND($HU$3,0))*('Margin Guidence Table'!$G$1:$G$10000&gt;=ROUND($HU$3,0)),0),MATCH("DATA_POINTS",'Margin Guidence Table'!$A$1:$AC$1,0)),0)</f>
        <v>0</v>
      </c>
      <c r="IE27" s="1161" t="str">
        <f t="shared" si="41"/>
        <v>DEFAULT</v>
      </c>
      <c r="IF27" s="1161">
        <f t="array" ref="IF27">IFERROR(IF($IE27="SEGMENT",INDEX('Margin Guidence Table'!$A$1:$AC$10000,MATCH(1,('Margin Guidence Table'!$A$1:$A$10000=IC27)*('Margin Guidence Table'!$H$1:$H$10000&lt;=ROUND($HU$3,0))*('Margin Guidence Table'!$G$1:$G$10000&gt;=ROUND($HU$3,0)),0),MATCH("SALES_CASE",'Margin Guidence Table'!$A$1:$AC$1,0)),INDEX('Margin Guidence Table'!$A$1:$AC$10000,MATCH(1,('Margin Guidence Table'!$A$1:$A$10000=IC27)*('Margin Guidence Table'!$H$1:$H$10000&lt;=ROUND($HU$3,0))*('Margin Guidence Table'!$G$1:$G$10000&gt;=ROUND($HU$3,0)),0),MATCH("DEFAULT_SALES_CASE",'Margin Guidence Table'!$A$1:$AC$1,0))),0)</f>
        <v>0</v>
      </c>
      <c r="IG27" s="1161">
        <f t="array" ref="IG27">IFERROR(IF($IE27="SEGMENT",INDEX('Margin Guidence Table'!$A$1:$AC$10000,MATCH(1,('Margin Guidence Table'!$A$1:$A$10000=IC27)*('Margin Guidence Table'!$H$1:$H$10000&lt;=ROUND($HU$3,0))*('Margin Guidence Table'!$G$1:$G$10000&gt;=ROUND($HU$3,0)),0),MATCH("SALES_LBS",'Margin Guidence Table'!$A$1:$AC$1,0)),INDEX('Margin Guidence Table'!$A$1:$AC$10000,MATCH(1,('Margin Guidence Table'!$A$1:$A$10000=IC27)*('Margin Guidence Table'!$H$1:$H$10000&lt;=ROUND($HU$3,0))*('Margin Guidence Table'!$G$1:$G$10000&gt;=ROUND($HU$3,0)),0),MATCH("DEFAULT_SALES_LBS",'Margin Guidence Table'!$A$1:$AC$1,0))),0)</f>
        <v>0</v>
      </c>
      <c r="IH27" s="1165">
        <f t="array" ref="IH27">IFERROR(IF($IE27="SEGMENT",INDEX('Margin Guidence Table'!$A$1:$AC$10000,MATCH(1,('Margin Guidence Table'!$A$1:$A$10000=IC27)*('Margin Guidence Table'!$H$1:$H$10000&lt;=ROUND($HU$3,0))*('Margin Guidence Table'!$G$1:$G$10000&gt;=ROUND($HU$3,0)),0),MATCH("MDA_MIN_MARGIN_GUIDENCE",'Margin Guidence Table'!$A$1:$AC$1,0)),INDEX('Margin Guidence Table'!$A$1:$AC$10000,MATCH(1,('Margin Guidence Table'!$A$1:$A$10000=IC27)*('Margin Guidence Table'!$H$1:$H$10000&lt;=ROUND($HU$3,0))*('Margin Guidence Table'!$G$1:$G$10000&gt;=ROUND($HU$3,0)),0),MATCH("DEFAULT_MDA_MIN_MARGIN_GUIDENCE",'Margin Guidence Table'!$A$1:$AC$1,0))),0)</f>
        <v>0</v>
      </c>
      <c r="II27" s="1165">
        <f t="array" ref="II27">IFERROR(IF($IE27="SEGMENT",INDEX('Margin Guidence Table'!$A$1:$AC$10000,MATCH(1,('Margin Guidence Table'!$A$1:$A$10000=IC27)*('Margin Guidence Table'!$H$1:$H$10000&lt;=ROUND($HU$3,0))*('Margin Guidence Table'!$G$1:$G$10000&gt;=ROUND($HU$3,0)),0),MATCH("MDA_MEDIAN_MARGIN_GUIDENCE",'Margin Guidence Table'!$A$1:$AC$1,0)),INDEX('Margin Guidence Table'!$A$1:$AC$10000,MATCH(1,('Margin Guidence Table'!$A$1:$A$10000=IC27)*('Margin Guidence Table'!$H$1:$H$10000&lt;=ROUND($HU$3,0))*('Margin Guidence Table'!$G$1:$G$10000&gt;=ROUND($HU$3,0)),0),MATCH("DEFAULT_MDA_MEDIAN_MARGIN_GUIDENCE",'Margin Guidence Table'!$A$1:$AC$1,0))),0)</f>
        <v>0</v>
      </c>
      <c r="IJ27" s="1165">
        <f t="array" ref="IJ27">IFERROR(IF($IE27="SEGMENT",INDEX('Margin Guidence Table'!$A$1:$AC$10000,MATCH(1,('Margin Guidence Table'!$A$1:$A$10000=IC27)*('Margin Guidence Table'!$H$1:$H$10000&lt;=ROUND($HU$3,0))*('Margin Guidence Table'!$G$1:$G$10000&gt;=ROUND($HU$3,0)),0),MATCH("MDA_MAX_MARGIN_GUIDENCE",'Margin Guidence Table'!$A$1:$AC$1,0)),INDEX('Margin Guidence Table'!$A$1:$AC$10000,MATCH(1,('Margin Guidence Table'!$A$1:$A$10000=IC27)*('Margin Guidence Table'!$H$1:$H$10000&lt;=ROUND($HU$3,0))*('Margin Guidence Table'!$G$1:$G$10000&gt;=ROUND($HU$3,0)),0),MATCH("DEFAULT_MDA_MAX_MARGIN_GUIDENCE",'Margin Guidence Table'!$A$1:$AC$1,0))),0)</f>
        <v>0</v>
      </c>
      <c r="IK27" s="1165">
        <f t="array" ref="IK27">IFERROR(IF($IE27="SEGMENT",INDEX('Margin Guidence Table'!$A$1:$AC$10000,MATCH(1,('Margin Guidence Table'!$A$1:$A$10000=IC27)*('Margin Guidence Table'!$H$1:$H$10000&lt;=ROUND($HU$3,0))*('Margin Guidence Table'!$G$1:$G$10000&gt;=ROUND($HU$3,0)),0),MATCH("PA_PCT_SALES",'Margin Guidence Table'!$A$1:$AC$1,0)),INDEX('Margin Guidence Table'!$A$1:$AC$10000,MATCH(1,('Margin Guidence Table'!$A$1:$A$10000=IC27)*('Margin Guidence Table'!$H$1:$H$10000&lt;=ROUND($HU$3,0))*('Margin Guidence Table'!$G$1:$G$10000&gt;=ROUND($HU$3,0)),0),MATCH("DEFAULT_PA_PCT_SALES",'Margin Guidence Table'!$A$1:$AC$1,0))),0)</f>
        <v>0</v>
      </c>
      <c r="IL27" s="1165">
        <f t="array" ref="IL27">IFERROR(IF($IE27="SEGMENT",INDEX('Margin Guidence Table'!$A$1:$AC$10000,MATCH(1,('Margin Guidence Table'!$A$1:$A$10000=IC27)*('Margin Guidence Table'!$H$1:$H$10000&lt;=ROUND($HU$3,0))*('Margin Guidence Table'!$G$1:$G$10000&gt;=ROUND($HU$3,0)),0),MATCH("SELF_FUND_PCT_SALES",'Margin Guidence Table'!$A$1:$AC$1,0)),INDEX('Margin Guidence Table'!$A$1:$AC$10000,MATCH(1,('Margin Guidence Table'!$A$1:$A$10000=IC27)*('Margin Guidence Table'!$H$1:$H$10000&lt;=ROUND($HU$3,0))*('Margin Guidence Table'!$G$1:$G$10000&gt;=ROUND($HU$3,0)),0),MATCH("DEFAULT_SELF_FUND_PCT_SALES",'Margin Guidence Table'!$A$1:$AC$1,0))),0)</f>
        <v>0</v>
      </c>
      <c r="IM27" s="1165">
        <f t="array" ref="IM27">IFERROR(IF($IE27="SEGMENT",INDEX('Margin Guidence Table'!$A$1:$AC$10000,MATCH(1,('Margin Guidence Table'!$A$1:$A$10000=IC27)*('Margin Guidence Table'!$H$1:$H$10000&lt;=ROUND($HU$3,0))*('Margin Guidence Table'!$G$1:$G$10000&gt;=ROUND($HU$3,0)),0),MATCH("CIA_MEDIAN_MARGIN_GUIDENCE",'Margin Guidence Table'!$A$1:$AC$1,0)),INDEX('Margin Guidence Table'!$A$1:$AC$10000,MATCH(1,('Margin Guidence Table'!$A$1:$A$10000=IC27)*('Margin Guidence Table'!$H$1:$H$10000&lt;=ROUND($HU$3,0))*('Margin Guidence Table'!$G$1:$G$10000&gt;=ROUND($HU$3,0)),0),MATCH("DEFAULT_CIA_MEDIAN_MARGIN_GUIDENCE",'Margin Guidence Table'!$A$1:$AC$1,0))),0)</f>
        <v>0</v>
      </c>
      <c r="IN27" s="129"/>
      <c r="IO27" s="18">
        <f t="array" ref="IO27">IFERROR(IF($JA27="SEGMENT",INDEX('Margin Guidence Table'!$A$1:$AC$10000,MATCH(1,('Margin Guidence Table'!$A$1:$A$10000=$IY27)*('Margin Guidence Table'!$H$1:$H$10000&lt;=ROUND($IQ$3,0))*('Margin Guidence Table'!$G$1:$G$10000&gt;=ROUND($IQ$3,0)),0),MATCH("PCT_SALES",'Margin Guidence Table'!$A$1:$AC$1,0)),INDEX('Margin Guidence Table'!$A$1:$AC$10000,MATCH(1,('Margin Guidence Table'!$A$1:$A$10000=$IY27)*('Margin Guidence Table'!$H$1:$H$10000&lt;=ROUND($IQ$3,0))*('Margin Guidence Table'!$G$1:$G$10000&gt;=ROUND($IQ$3,0)),0),MATCH("DEFAULT_PCT_SALES",'Margin Guidence Table'!$A$1:$AC$1,0))),0)</f>
        <v>0</v>
      </c>
      <c r="IP27" s="102" t="s">
        <v>92</v>
      </c>
      <c r="IQ27" s="94">
        <f>IFERROR(IF(AND($IQ$2&lt;&gt;"Enter Spend&gt;&gt;&gt;",IR2="EXISTING"),SUMIFS('Existing Customers'!$Q:$Q,'Existing Customers'!$A:$A,$IQ$1,'Existing Customers'!$H:$H,$IP27)*$IQ$4,$IQ$3*$IO27),0)</f>
        <v>0</v>
      </c>
      <c r="IR27" s="89">
        <f>IFERROR(IF(AND($IQ$2&lt;&gt;"Enter Spend&gt;&gt;&gt;",IR2="EXISTING"),SUMIFS('Existing Customers'!$N:$N,'Existing Customers'!$A:$A,$IQ$1,'Existing Customers'!$H:$H,$IP27)*$IQ$4,$IQ27/$JB27),0)</f>
        <v>0</v>
      </c>
      <c r="IS27" s="95">
        <f>IFERROR(IF(AND($IQ$2&lt;&gt;"Enter Spend&gt;&gt;&gt;",IR2="EXISTING"),SUMIFS('Existing Customers'!$O:$O,'Existing Customers'!$H:$H,$IP27,'Existing Customers'!$A:$A,$IQ$1)*$IQ$4,$IR27*$IQ$8),0)</f>
        <v>0</v>
      </c>
      <c r="IT27" s="95">
        <f>IFERROR(IF(AND($IQ$2&lt;&gt;"Enter Spend&gt;&gt;&gt;",IR2="EXISTING"),SUMIFS('Existing Customers'!$P:$P,'Existing Customers'!$A:$A,$IQ$1,'Existing Customers'!$H:$H,$IP27)*$IQ$4,$IQ27/$JC27),0)</f>
        <v>0</v>
      </c>
      <c r="IU27" s="402">
        <f>IFERROR(IF(AND($IQ$2&lt;&gt;"Enter Spend&gt;&gt;&gt;",IR2="EXISTING"),SUMIFS('Existing Customers'!$V:$V,'Existing Customers'!$H:$H,$IP27,'Existing Customers'!$A:$A,$IQ$1)*$IQ$4,0),0)</f>
        <v>0</v>
      </c>
      <c r="IV27" s="96">
        <f>IFERROR(IF(AND($IQ$2&lt;&gt;"Enter Spend&gt;&gt;&gt;",IR2="EXISTING"),SUMIFS('Existing Customers'!$R:$R,'Existing Customers'!$H:$H,$IP27,'Existing Customers'!$A:$A,$IQ$1)*$IQ$4,0),0)</f>
        <v>0</v>
      </c>
      <c r="IW27" s="1161">
        <f>IFERROR(IF(AND($IQ$2&lt;&gt;"Enter Spend&gt;&gt;&gt;",IR2="EXISTING"),SUMIFS('Existing Customers'!$S:$S,'Existing Customers'!$H:$H,$IP27,'Existing Customers'!$A:$A,$IQ$1),JG27*IQ27),0)</f>
        <v>0</v>
      </c>
      <c r="IX27" s="1161">
        <f>IFERROR(IF(AND($IQ$2&lt;&gt;"Enter Spend&gt;&gt;&gt;",IR2="EXISTING"),SUMIFS('Existing Customers'!$U:$U,'Existing Customers'!$H:$H,$IP27,'Existing Customers'!$A:$A,$IQ$1),JH27*IQ27),0)</f>
        <v>0</v>
      </c>
      <c r="IY27" s="1164" t="e">
        <f t="shared" si="42"/>
        <v>#N/A</v>
      </c>
      <c r="IZ27" s="1164">
        <f t="array" ref="IZ27">IFERROR(INDEX('Margin Guidence Table'!$A$1:$AD$30000,MATCH(1,('Margin Guidence Table'!$A$1:$A$10000=IY27)*('Margin Guidence Table'!$H$1:$H$10000&lt;=ROUND($IQ$3,0))*('Margin Guidence Table'!$G$1:$G$10000&gt;=ROUND($IQ$3,0)),0),MATCH("DATA_POINTS",'Margin Guidence Table'!$A$1:$AC$1,0)),0)</f>
        <v>0</v>
      </c>
      <c r="JA27" s="1161" t="str">
        <f t="shared" si="43"/>
        <v>DEFAULT</v>
      </c>
      <c r="JB27" s="1161">
        <f t="array" ref="JB27">IFERROR(IF($JA27="SEGMENT",INDEX('Margin Guidence Table'!$A$1:$AC$10000,MATCH(1,('Margin Guidence Table'!$A$1:$A$10000=IY27)*('Margin Guidence Table'!$H$1:$H$10000&lt;=ROUND($IQ$3,0))*('Margin Guidence Table'!$G$1:$G$10000&gt;=ROUND($IQ$3,0)),0),MATCH("SALES_CASE",'Margin Guidence Table'!$A$1:$AC$1,0)),INDEX('Margin Guidence Table'!$A$1:$AC$10000,MATCH(1,('Margin Guidence Table'!$A$1:$A$10000=IY27)*('Margin Guidence Table'!$H$1:$H$10000&lt;=ROUND($IQ$3,0))*('Margin Guidence Table'!$G$1:$G$10000&gt;=ROUND($IQ$3,0)),0),MATCH("DEFAULT_SALES_CASE",'Margin Guidence Table'!$A$1:$AC$1,0))),0)</f>
        <v>0</v>
      </c>
      <c r="JC27" s="1161">
        <f t="array" ref="JC27">IFERROR(IF($JA27="SEGMENT",INDEX('Margin Guidence Table'!$A$1:$AC$10000,MATCH(1,('Margin Guidence Table'!$A$1:$A$10000=IY27)*('Margin Guidence Table'!$H$1:$H$10000&lt;=ROUND($IQ$3,0))*('Margin Guidence Table'!$G$1:$G$10000&gt;=ROUND($IQ$3,0)),0),MATCH("SALES_LBS",'Margin Guidence Table'!$A$1:$AC$1,0)),INDEX('Margin Guidence Table'!$A$1:$AC$10000,MATCH(1,('Margin Guidence Table'!$A$1:$A$10000=IY27)*('Margin Guidence Table'!$H$1:$H$10000&lt;=ROUND($IQ$3,0))*('Margin Guidence Table'!$G$1:$G$10000&gt;=ROUND($IQ$3,0)),0),MATCH("DEFAULT_SALES_LBS",'Margin Guidence Table'!$A$1:$AC$1,0))),0)</f>
        <v>0</v>
      </c>
      <c r="JD27" s="1165">
        <f t="array" ref="JD27">IFERROR(IF($JA27="SEGMENT",INDEX('Margin Guidence Table'!$A$1:$AC$10000,MATCH(1,('Margin Guidence Table'!$A$1:$A$10000=IY27)*('Margin Guidence Table'!$H$1:$H$10000&lt;=ROUND($IQ$3,0))*('Margin Guidence Table'!$G$1:$G$10000&gt;=ROUND($IQ$3,0)),0),MATCH("MDA_MIN_MARGIN_GUIDENCE",'Margin Guidence Table'!$A$1:$AC$1,0)),INDEX('Margin Guidence Table'!$A$1:$AC$10000,MATCH(1,('Margin Guidence Table'!$A$1:$A$10000=IY27)*('Margin Guidence Table'!$H$1:$H$10000&lt;=ROUND($IQ$3,0))*('Margin Guidence Table'!$G$1:$G$10000&gt;=ROUND($IQ$3,0)),0),MATCH("DEFAULT_MDA_MIN_MARGIN_GUIDENCE",'Margin Guidence Table'!$A$1:$AC$1,0))),0)</f>
        <v>0</v>
      </c>
      <c r="JE27" s="1165">
        <f t="array" ref="JE27">IFERROR(IF($JA27="SEGMENT",INDEX('Margin Guidence Table'!$A$1:$AC$10000,MATCH(1,('Margin Guidence Table'!$A$1:$A$10000=IY27)*('Margin Guidence Table'!$H$1:$H$10000&lt;=ROUND($IQ$3,0))*('Margin Guidence Table'!$G$1:$G$10000&gt;=ROUND($IQ$3,0)),0),MATCH("MDA_MEDIAN_MARGIN_GUIDENCE",'Margin Guidence Table'!$A$1:$AC$1,0)),INDEX('Margin Guidence Table'!$A$1:$AC$10000,MATCH(1,('Margin Guidence Table'!$A$1:$A$10000=IY27)*('Margin Guidence Table'!$H$1:$H$10000&lt;=ROUND($IQ$3,0))*('Margin Guidence Table'!$G$1:$G$10000&gt;=ROUND($IQ$3,0)),0),MATCH("DEFAULT_MDA_MEDIAN_MARGIN_GUIDENCE",'Margin Guidence Table'!$A$1:$AC$1,0))),0)</f>
        <v>0</v>
      </c>
      <c r="JF27" s="1165">
        <f t="array" ref="JF27">IFERROR(IF($JA27="SEGMENT",INDEX('Margin Guidence Table'!$A$1:$AC$10000,MATCH(1,('Margin Guidence Table'!$A$1:$A$10000=IY27)*('Margin Guidence Table'!$H$1:$H$10000&lt;=ROUND($IQ$3,0))*('Margin Guidence Table'!$G$1:$G$10000&gt;=ROUND($IQ$3,0)),0),MATCH("MDA_MAX_MARGIN_GUIDENCE",'Margin Guidence Table'!$A$1:$AC$1,0)),INDEX('Margin Guidence Table'!$A$1:$AC$10000,MATCH(1,('Margin Guidence Table'!$A$1:$A$10000=IY27)*('Margin Guidence Table'!$H$1:$H$10000&lt;=ROUND($IQ$3,0))*('Margin Guidence Table'!$G$1:$G$10000&gt;=ROUND($IQ$3,0)),0),MATCH("DEFAULT_MDA_MAX_MARGIN_GUIDENCE",'Margin Guidence Table'!$A$1:$AC$1,0))),0)</f>
        <v>0</v>
      </c>
      <c r="JG27" s="1165">
        <f t="array" ref="JG27">IFERROR(IF($JA27="SEGMENT",INDEX('Margin Guidence Table'!$A$1:$AC$10000,MATCH(1,('Margin Guidence Table'!$A$1:$A$10000=IY27)*('Margin Guidence Table'!$H$1:$H$10000&lt;=ROUND($IQ$3,0))*('Margin Guidence Table'!$G$1:$G$10000&gt;=ROUND($IQ$3,0)),0),MATCH("PA_PCT_SALES",'Margin Guidence Table'!$A$1:$AC$1,0)),INDEX('Margin Guidence Table'!$A$1:$AC$10000,MATCH(1,('Margin Guidence Table'!$A$1:$A$10000=IY27)*('Margin Guidence Table'!$H$1:$H$10000&lt;=ROUND($IQ$3,0))*('Margin Guidence Table'!$G$1:$G$10000&gt;=ROUND($IQ$3,0)),0),MATCH("DEFAULT_PA_PCT_SALES",'Margin Guidence Table'!$A$1:$AC$1,0))),0)</f>
        <v>0</v>
      </c>
      <c r="JH27" s="1165">
        <f t="array" ref="JH27">IFERROR(IF($JA27="SEGMENT",INDEX('Margin Guidence Table'!$A$1:$AC$10000,MATCH(1,('Margin Guidence Table'!$A$1:$A$10000=IY27)*('Margin Guidence Table'!$H$1:$H$10000&lt;=ROUND($IQ$3,0))*('Margin Guidence Table'!$G$1:$G$10000&gt;=ROUND($IQ$3,0)),0),MATCH("SELF_FUND_PCT_SALES",'Margin Guidence Table'!$A$1:$AC$1,0)),INDEX('Margin Guidence Table'!$A$1:$AC$10000,MATCH(1,('Margin Guidence Table'!$A$1:$A$10000=IY27)*('Margin Guidence Table'!$H$1:$H$10000&lt;=ROUND($IQ$3,0))*('Margin Guidence Table'!$G$1:$G$10000&gt;=ROUND($IQ$3,0)),0),MATCH("DEFAULT_SELF_FUND_PCT_SALES",'Margin Guidence Table'!$A$1:$AC$1,0))),0)</f>
        <v>0</v>
      </c>
      <c r="JI27" s="1165">
        <f t="array" ref="JI27">IFERROR(IF($JA27="SEGMENT",INDEX('Margin Guidence Table'!$A$1:$AC$10000,MATCH(1,('Margin Guidence Table'!$A$1:$A$10000=IY27)*('Margin Guidence Table'!$H$1:$H$10000&lt;=ROUND($IQ$3,0))*('Margin Guidence Table'!$G$1:$G$10000&gt;=ROUND($IQ$3,0)),0),MATCH("CIA_MEDIAN_MARGIN_GUIDENCE",'Margin Guidence Table'!$A$1:$AC$1,0)),INDEX('Margin Guidence Table'!$A$1:$AC$10000,MATCH(1,('Margin Guidence Table'!$A$1:$A$10000=IY27)*('Margin Guidence Table'!$H$1:$H$10000&lt;=ROUND($IQ$3,0))*('Margin Guidence Table'!$G$1:$G$10000&gt;=ROUND($IQ$3,0)),0),MATCH("DEFAULT_CIA_MEDIAN_MARGIN_GUIDENCE",'Margin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44"/>
        <v>#DIV/0!</v>
      </c>
      <c r="AV28" s="400"/>
      <c r="AW28" s="400"/>
      <c r="AX28" s="108">
        <v>17</v>
      </c>
      <c r="AY28" s="18">
        <f t="array" ref="AY28">IFERROR(IF($BK28="SEGMENT",INDEX('Margin Guidence Table'!$A$1:$AC$10000,MATCH(1,('Margin Guidence Table'!$A$1:$A$10000=$BI28)*('Margin Guidence Table'!$H$1:$H$10000&lt;=ROUND($BA$3,0))*('Margin Guidence Table'!$G$1:$G$10000&gt;=ROUND($BA$3,0)),0),MATCH("PCT_SALES",'Margin Guidence Table'!$A$1:$AC$1,0)),INDEX('Margin Guidence Table'!$A$1:$AC$10000,MATCH(1,('Margin Guidence Table'!$A$1:$A$10000=$BI28)*('Margin Guidence Table'!$H$1:$H$10000&lt;=ROUND($BA$3,0))*('Margin Guidence Table'!$G$1:$G$10000&gt;=ROUND($BA$3,0)),0),MATCH("DEFAULT_PCT_SALES",'Margin Guidence Table'!$A$1:$AC$1,0))),0)</f>
        <v>0</v>
      </c>
      <c r="AZ28" s="102" t="s">
        <v>91</v>
      </c>
      <c r="BA28" s="94">
        <f>IFERROR(IF(AND($BA$2&lt;&gt;"Enter Spend&gt;&gt;&gt;",BB2="EXISTING"),SUMIFS('Existing Customers'!$Q:$Q,'Existing Customers'!$A:$A,$BA$1,'Existing Customers'!$H:$H,$AZ28)*$BA$4,$BA$3*$AY28),0)</f>
        <v>0</v>
      </c>
      <c r="BB28" s="95">
        <f>IFERROR(IF(AND($BA$2&lt;&gt;"Enter Spend&gt;&gt;&gt;",BB2="EXISTING"),SUMIFS('Existing Customers'!$N:$N,'Existing Customers'!$A:$A,$BA$1,'Existing Customers'!$H:$H,$AZ28)*$BA$4,$BA28/$BL28),0)</f>
        <v>0</v>
      </c>
      <c r="BC28" s="95">
        <f>IFERROR(IF(AND($BA$2&lt;&gt;"Enter Spend&gt;&gt;&gt;",BB2="EXISTING"),SUMIFS('Existing Customers'!$O:$O,'Existing Customers'!$H:$H,$AZ28,'Existing Customers'!$A:$A,$BA$1)*$BA$4,$BB28*$BA$8),0)</f>
        <v>0</v>
      </c>
      <c r="BD28" s="95">
        <f>IFERROR(IF(AND($BA$2&lt;&gt;"Enter Spend&gt;&gt;&gt;",BB2="EXISTING"),SUMIFS('Existing Customers'!$P:$P,'Existing Customers'!$A:$A,$BA$1,'Existing Customers'!$H:$H,$AZ28)*$BA$4,$BA28/$BM28),0)</f>
        <v>0</v>
      </c>
      <c r="BE28" s="402">
        <f>IFERROR(IF(AND($BA$2&lt;&gt;"Enter Spend&gt;&gt;&gt;",BB2="EXISTING"),SUMIFS('Existing Customers'!$V:$V,'Existing Customers'!$H:$H,$AZ28,'Existing Customers'!$A:$A,$BA$1)*$BA$4,0),0)</f>
        <v>0</v>
      </c>
      <c r="BF28" s="96">
        <f>IFERROR(IF(AND($BA$2&lt;&gt;"Enter Spend&gt;&gt;&gt;",BB2="EXISTING"),SUMIFS('Existing Customers'!$R:$R,'Existing Customers'!$H:$H,$AZ28,'Existing Customers'!$A:$A,$BA$1)*$BA$4,0),0)</f>
        <v>0</v>
      </c>
      <c r="BG28" s="96">
        <f>IFERROR(IF(AND($BA$2&lt;&gt;"Enter Spend&gt;&gt;&gt;",BB2="EXISTING"),SUMIFS('Existing Customers'!$S:$S,'Existing Customers'!$H:$H,$AZ28,'Existing Customers'!$A:$A,$BA$1),BQ28*BA28),0)</f>
        <v>0</v>
      </c>
      <c r="BH28" s="96">
        <f>IFERROR(IF(AND($BA$2&lt;&gt;"Enter Spend&gt;&gt;&gt;",BB2="EXISTING"),SUMIFS('Existing Customers'!$U:$U,'Existing Customers'!$H:$H,$AZ28,'Existing Customers'!$A:$A,$BA$1),BR28*BA28),0)</f>
        <v>0</v>
      </c>
      <c r="BI28" s="1163" t="e">
        <f t="shared" si="24"/>
        <v>#N/A</v>
      </c>
      <c r="BJ28" s="1164">
        <f t="array" ref="BJ28">IFERROR(INDEX('Margin Guidence Table'!$A$1:$AD$30000,MATCH(1,('Margin Guidence Table'!$A$1:$A$10000=$BI28)*('Margin Guidence Table'!$H$1:$H$10000&lt;=ROUND($BA$3,0))*('Margin Guidence Table'!$G$1:$G$10000&gt;=ROUND($BA$3,0)),0),MATCH("DATA_POINTS",'Margin Guidence Table'!$A$1:$AC$1,0)),0)</f>
        <v>0</v>
      </c>
      <c r="BK28" s="1161" t="str">
        <f t="shared" si="25"/>
        <v>DEFAULT</v>
      </c>
      <c r="BL28" s="1161">
        <f t="array" ref="BL28">IFERROR(IF($BK28="SEGMENT",INDEX('Margin Guidence Table'!$A$1:$AC$10000,MATCH(1,('Margin Guidence Table'!$A$1:$A$10000=$BI28)*('Margin Guidence Table'!$H$1:$H$10000&lt;=ROUND($BA$3,0))*('Margin Guidence Table'!$G$1:$G$10000&gt;=ROUND($BA$3,0)),0),MATCH("SALES_CASE",'Margin Guidence Table'!$A$1:$AC$1,0)),INDEX('Margin Guidence Table'!$A$1:$AC$10000,MATCH(1,('Margin Guidence Table'!$A$1:$A$10000=$BI28)*('Margin Guidence Table'!$H$1:$H$10000&lt;=ROUND($BA$3,0))*('Margin Guidence Table'!$G$1:$G$10000&gt;=ROUND($BA$3,0)),0),MATCH("DEFAULT_SALES_CASE",'Margin Guidence Table'!$A$1:$AC$1,0))),0)</f>
        <v>0</v>
      </c>
      <c r="BM28" s="1161">
        <f t="array" ref="BM28">IFERROR(IF($BK28="SEGMENT",INDEX('Margin Guidence Table'!$A$1:$AC$10000,MATCH(1,('Margin Guidence Table'!$A$1:$A$10000=$BI28)*('Margin Guidence Table'!$H$1:$H$10000&lt;=ROUND($BA$3,0))*('Margin Guidence Table'!$G$1:$G$10000&gt;=ROUND($BA$3,0)),0),MATCH("SALES_LBS",'Margin Guidence Table'!$A$1:$AC$1,0)),INDEX('Margin Guidence Table'!$A$1:$AC$10000,MATCH(1,('Margin Guidence Table'!$A$1:$A$10000=$BI28)*('Margin Guidence Table'!$H$1:$H$10000&lt;=ROUND($BA$3,0))*('Margin Guidence Table'!$G$1:$G$10000&gt;=ROUND($BA$3,0)),0),MATCH("DEFAULT_SALES_LBS",'Margin Guidence Table'!$A$1:$AC$1,0))),0)</f>
        <v>0</v>
      </c>
      <c r="BN28" s="1165">
        <f t="array" ref="BN28">IFERROR(IF($BK28="SEGMENT",INDEX('Margin Guidence Table'!$A$1:$AC$10000,MATCH(1,('Margin Guidence Table'!$A$1:$A$10000=$BI28)*('Margin Guidence Table'!$H$1:$H$10000&lt;=ROUND($BA$3,0))*('Margin Guidence Table'!$G$1:$G$10000&gt;=ROUND($BA$3,0)),0),MATCH("MDA_MIN_MARGIN_GUIDENCE",'Margin Guidence Table'!$A$1:$AC$1,0)),INDEX('Margin Guidence Table'!$A$1:$AC$10000,MATCH(1,('Margin Guidence Table'!$A$1:$A$10000=$BI28)*('Margin Guidence Table'!$H$1:$H$10000&lt;=ROUND($BA$3,0))*('Margin Guidence Table'!$G$1:$G$10000&gt;=ROUND($BA$3,0)),0),MATCH("DEFAULT_MDA_MIN_MARGIN_GUIDENCE",'Margin Guidence Table'!$A$1:$AC$1,0))),0)</f>
        <v>0</v>
      </c>
      <c r="BO28" s="1165">
        <f t="array" ref="BO28">IFERROR(IF($BK28="SEGMENT",INDEX('Margin Guidence Table'!$A$1:$AC$10000,MATCH(1,('Margin Guidence Table'!$A$1:$A$10000=$BI28)*('Margin Guidence Table'!$H$1:$H$10000&lt;=ROUND($BA$3,0))*('Margin Guidence Table'!$G$1:$G$10000&gt;=ROUND($BA$3,0)),0),MATCH("MDA_MEDIAN_MARGIN_GUIDENCE",'Margin Guidence Table'!$A$1:$AC$1,0)),INDEX('Margin Guidence Table'!$A$1:$AC$10000,MATCH(1,('Margin Guidence Table'!$A$1:$A$10000=$BI28)*('Margin Guidence Table'!$H$1:$H$10000&lt;=ROUND($BA$3,0))*('Margin Guidence Table'!$G$1:$G$10000&gt;=ROUND($BA$3,0)),0),MATCH("DEFAULT_MDA_MEDIAN_MARGIN_GUIDENCE",'Margin Guidence Table'!$A$1:$AC$1,0))),0)</f>
        <v>0</v>
      </c>
      <c r="BP28" s="1165">
        <f t="array" ref="BP28">IFERROR(IF($BK28="SEGMENT",INDEX('Margin Guidence Table'!$A$1:$AC$10000,MATCH(1,('Margin Guidence Table'!$A$1:$A$10000=$BI28)*('Margin Guidence Table'!$H$1:$H$10000&lt;=ROUND($BA$3,0))*('Margin Guidence Table'!$G$1:$G$10000&gt;=ROUND($BA$3,0)),0),MATCH("MDA_MAX_MARGIN_GUIDENCE",'Margin Guidence Table'!$A$1:$AC$1,0)),INDEX('Margin Guidence Table'!$A$1:$AC$10000,MATCH(1,('Margin Guidence Table'!$A$1:$A$10000=$BI28)*('Margin Guidence Table'!$H$1:$H$10000&lt;=ROUND($BA$3,0))*('Margin Guidence Table'!$G$1:$G$10000&gt;=ROUND($BA$3,0)),0),MATCH("DEFAULT_MDA_MAX_MARGIN_GUIDENCE",'Margin Guidence Table'!$A$1:$AC$1,0))),0)</f>
        <v>0</v>
      </c>
      <c r="BQ28" s="1165">
        <f t="array" ref="BQ28">IFERROR(IF($BK28="SEGMENT",INDEX('Margin Guidence Table'!$A$1:$AC$10000,MATCH(1,('Margin Guidence Table'!$A$1:$A$10000=$BI28)*('Margin Guidence Table'!$H$1:$H$10000&lt;=ROUND($BA$3,0))*('Margin Guidence Table'!$G$1:$G$10000&gt;=ROUND($BA$3,0)),0),MATCH("PA_PCT_SALES",'Margin Guidence Table'!$A$1:$AC$1,0)),INDEX('Margin Guidence Table'!$A$1:$AC$10000,MATCH(1,('Margin Guidence Table'!$A$1:$A$10000=$BI28)*('Margin Guidence Table'!$H$1:$H$10000&lt;=ROUND($BA$3,0))*('Margin Guidence Table'!$G$1:$G$10000&gt;=ROUND($BA$3,0)),0),MATCH("DEFAULT_PA_PCT_SALES",'Margin Guidence Table'!$A$1:$AC$1,0))),0)</f>
        <v>0</v>
      </c>
      <c r="BR28" s="1165">
        <f t="array" ref="BR28">IFERROR(IF($BK28="SEGMENT",INDEX('Margin Guidence Table'!$A$1:$AC$10000,MATCH(1,('Margin Guidence Table'!$A$1:$A$10000=$BI28)*('Margin Guidence Table'!$H$1:$H$10000&lt;=ROUND($BA$3,0))*('Margin Guidence Table'!$G$1:$G$10000&gt;=ROUND($BA$3,0)),0),MATCH("SELF_FUND_PCT_SALES",'Margin Guidence Table'!$A$1:$AC$1,0)),INDEX('Margin Guidence Table'!$A$1:$AC$10000,MATCH(1,('Margin Guidence Table'!$A$1:$A$10000=$BI28)*('Margin Guidence Table'!$H$1:$H$10000&lt;=ROUND($BA$3,0))*('Margin Guidence Table'!$G$1:$G$10000&gt;=ROUND($BA$3,0)),0),MATCH("DEFAULT_SELF_FUND_PCT_SALES",'Margin Guidence Table'!$A$1:$AC$1,0))),0)</f>
        <v>0</v>
      </c>
      <c r="BS28" s="1165">
        <f t="array" ref="BS28">IFERROR(IF($BK28="SEGMENT",INDEX('Margin Guidence Table'!$A$1:$AC$10000,MATCH(1,('Margin Guidence Table'!$A$1:$A$10000=$BI28)*('Margin Guidence Table'!$H$1:$H$10000&lt;=ROUND($BA$3,0))*('Margin Guidence Table'!$G$1:$G$10000&gt;=ROUND($BA$3,0)),0),MATCH("CIA_MEDIAN_MARGIN_GUIDENCE",'Margin Guidence Table'!$A$1:$AC$1,0)),INDEX('Margin Guidence Table'!$A$1:$AC$10000,MATCH(1,('Margin Guidence Table'!$A$1:$A$10000=$BI28)*('Margin Guidence Table'!$H$1:$H$10000&lt;=ROUND($BA$3,0))*('Margin Guidence Table'!$G$1:$G$10000&gt;=ROUND($BA$3,0)),0),MATCH("DEFAULT_CIA_MEDIAN_MARGIN_GUIDENCE",'Margin Guidence Table'!$A$1:$AC$1,0))),0)</f>
        <v>0</v>
      </c>
      <c r="BT28" s="129"/>
      <c r="BU28" s="18">
        <f t="array" ref="BU28">IFERROR(IF($CG28="SEGMENT",INDEX('Margin Guidence Table'!$A$1:$AC$10000,MATCH(1,('Margin Guidence Table'!$A$1:$A$10000=$CE28)*('Margin Guidence Table'!$H$1:$H$10000&lt;=ROUND($BW$3,0))*('Margin Guidence Table'!$G$1:$G$10000&gt;=ROUND($BW$3,0)),0),MATCH("PCT_SALES",'Margin Guidence Table'!$A$1:$AC$1,0)),INDEX('Margin Guidence Table'!$A$1:$AC$10000,MATCH(1,('Margin Guidence Table'!$A$1:$A$10000=$CE28)*('Margin Guidence Table'!$H$1:$H$10000&lt;=ROUND($BW$3,0))*('Margin Guidence Table'!$G$1:$G$10000&gt;=ROUND($BW$3,0)),0),MATCH("DEFAULT_PCT_SALES",'Margin Guidence Table'!$A$1:$AC$1,0))),0)</f>
        <v>0</v>
      </c>
      <c r="BV28" s="102" t="s">
        <v>91</v>
      </c>
      <c r="BW28" s="94">
        <f>IFERROR(IF(AND($BW$2&lt;&gt;"Enter Spend&gt;&gt;&gt;",BX2="EXISTING"),SUMIFS('Existing Customers'!$Q:$Q,'Existing Customers'!$A:$A,$BW$1,'Existing Customers'!$H:$H,$BV28)*$BW$4,$BW$3*$BU28),0)</f>
        <v>0</v>
      </c>
      <c r="BX28" s="89">
        <f>IFERROR(IF(AND($BW$2&lt;&gt;"Enter Spend&gt;&gt;&gt;",BX2="EXISTING"),SUMIFS('Existing Customers'!$N:$N,'Existing Customers'!$A:$A,$BW$1,'Existing Customers'!$H:$H,$BV28)*$BW$4,$BW28/$CH28),0)</f>
        <v>0</v>
      </c>
      <c r="BY28" s="95">
        <f>IFERROR(IF(AND($BW$2&lt;&gt;"Enter Spend&gt;&gt;&gt;",BX2="EXISTING"),SUMIFS('Existing Customers'!$O:$O,'Existing Customers'!$H:$H,$BV28,'Existing Customers'!$A:$A,$BW$1)*$BW$4,$BX28*$BW$8),0)</f>
        <v>0</v>
      </c>
      <c r="BZ28" s="95">
        <f>IFERROR(IF(AND($BW$2&lt;&gt;"Enter Spend&gt;&gt;&gt;",BX2="EXISTING"),SUMIFS('Existing Customers'!$P:$P,'Existing Customers'!$A:$A,$BW$1,'Existing Customers'!$H:$H,$BV28)*$BW$4,$BW28/$CI28),0)</f>
        <v>0</v>
      </c>
      <c r="CA28" s="96">
        <f>IFERROR(IF(AND($BW$2&lt;&gt;"Enter Spend&gt;&gt;&gt;",BX2="EXISTING"),SUMIFS('Existing Customers'!$V:$V,'Existing Customers'!$H:$H,$BV28,'Existing Customers'!$A:$A,$BW$1)*$BW$4,0),0)</f>
        <v>0</v>
      </c>
      <c r="CB28" s="96">
        <f>IFERROR(IF(AND($BW$2&lt;&gt;"Enter Spend&gt;&gt;&gt;",BX2="EXISTING"),SUMIFS('Existing Customers'!$R:$R,'Existing Customers'!$H:$H,$BV28,'Existing Customers'!$A:$A,$BW$1)*$BW$4,0),0)</f>
        <v>0</v>
      </c>
      <c r="CC28" s="1161">
        <f>IFERROR(IF(AND($BW$2&lt;&gt;"Enter Spend&gt;&gt;&gt;",BX2="EXISTING"),SUMIFS('Existing Customers'!$S:$S,'Existing Customers'!$H:$H,$BV28,'Existing Customers'!$A:$A,$BW$1),CM28*BW28),0)</f>
        <v>0</v>
      </c>
      <c r="CD28" s="1161">
        <f>IFERROR(IF(AND($BW$2&lt;&gt;"Enter Spend&gt;&gt;&gt;",BX2="EXISTING"),SUMIFS('Existing Customers'!$U:$U,'Existing Customers'!$H:$H,$BV28,'Existing Customers'!$A:$A,$BW$1),CN28*BW28),0)</f>
        <v>0</v>
      </c>
      <c r="CE28" s="1164" t="e">
        <f t="shared" si="26"/>
        <v>#N/A</v>
      </c>
      <c r="CF28" s="1164">
        <f t="array" ref="CF28">IFERROR(INDEX('Margin Guidence Table'!$A$1:$AD$30000,MATCH(1,('Margin Guidence Table'!$A$1:$A$10000=$CE28)*('Margin Guidence Table'!$H$1:$H$10000&lt;=ROUND($BW$3,0))*('Margin Guidence Table'!$G$1:$G$10000&gt;=ROUND($BW$3,0)),0),MATCH("DATA_POINTS",'Margin Guidence Table'!$A$1:$AC$1,0)),0)</f>
        <v>0</v>
      </c>
      <c r="CG28" s="1161" t="str">
        <f t="shared" si="27"/>
        <v>DEFAULT</v>
      </c>
      <c r="CH28" s="1161">
        <f t="array" ref="CH28">IFERROR(IF($CG28="SEGMENT",INDEX('Margin Guidence Table'!$A$1:$AC$10000,MATCH(1,('Margin Guidence Table'!$A$1:$A$10000=$CE28)*('Margin Guidence Table'!$H$1:$H$10000&lt;=ROUND($BW$3,0))*('Margin Guidence Table'!$G$1:$G$10000&gt;=ROUND($BW$3,0)),0),MATCH("SALES_CASE",'Margin Guidence Table'!$A$1:$AC$1,0)),INDEX('Margin Guidence Table'!$A$1:$AC$10000,MATCH(1,('Margin Guidence Table'!$A$1:$A$10000=$CE28)*('Margin Guidence Table'!$H$1:$H$10000&lt;=ROUND($BW$3,0))*('Margin Guidence Table'!$G$1:$G$10000&gt;=ROUND($BW$3,0)),0),MATCH("DEFAULT_SALES_CASE",'Margin Guidence Table'!$A$1:$AC$1,0))),0)</f>
        <v>0</v>
      </c>
      <c r="CI28" s="1161">
        <f t="array" ref="CI28">IFERROR(IF($CG28="SEGMENT",INDEX('Margin Guidence Table'!$A$1:$AC$10000,MATCH(1,('Margin Guidence Table'!$A$1:$A$10000=$CE28)*('Margin Guidence Table'!$H$1:$H$10000&lt;=ROUND($BW$3,0))*('Margin Guidence Table'!$G$1:$G$10000&gt;=ROUND($BW$3,0)),0),MATCH("SALES_LBS",'Margin Guidence Table'!$A$1:$AC$1,0)),INDEX('Margin Guidence Table'!$A$1:$AC$10000,MATCH(1,('Margin Guidence Table'!$A$1:$A$10000=$CE28)*('Margin Guidence Table'!$H$1:$H$10000&lt;=ROUND($BW$3,0))*('Margin Guidence Table'!$G$1:$G$10000&gt;=ROUND($BW$3,0)),0),MATCH("DEFAULT_SALES_LBS",'Margin Guidence Table'!$A$1:$AC$1,0))),0)</f>
        <v>0</v>
      </c>
      <c r="CJ28" s="1165">
        <f t="array" ref="CJ28">IFERROR(IF($CG28="SEGMENT",INDEX('Margin Guidence Table'!$A$1:$AC$10000,MATCH(1,('Margin Guidence Table'!$A$1:$A$10000=$CE28)*('Margin Guidence Table'!$H$1:$H$10000&lt;=ROUND($BW$3,0))*('Margin Guidence Table'!$G$1:$G$10000&gt;=ROUND($BW$3,0)),0),MATCH("MDA_MIN_MARGIN_GUIDENCE",'Margin Guidence Table'!$A$1:$AC$1,0)),INDEX('Margin Guidence Table'!$A$1:$AC$10000,MATCH(1,('Margin Guidence Table'!$A$1:$A$10000=$CE28)*('Margin Guidence Table'!$H$1:$H$10000&lt;=ROUND($BW$3,0))*('Margin Guidence Table'!$G$1:$G$10000&gt;=ROUND($BW$3,0)),0),MATCH("DEFAULT_MDA_MIN_MARGIN_GUIDENCE",'Margin Guidence Table'!$A$1:$AC$1,0))),0)</f>
        <v>0</v>
      </c>
      <c r="CK28" s="1165">
        <f t="array" ref="CK28">IFERROR(IF($CG28="SEGMENT",INDEX('Margin Guidence Table'!$A$1:$AC$10000,MATCH(1,('Margin Guidence Table'!$A$1:$A$10000=$CE28)*('Margin Guidence Table'!$H$1:$H$10000&lt;=ROUND($BW$3,0))*('Margin Guidence Table'!$G$1:$G$10000&gt;=ROUND($BW$3,0)),0),MATCH("MDA_MEDIAN_MARGIN_GUIDENCE",'Margin Guidence Table'!$A$1:$AC$1,0)),INDEX('Margin Guidence Table'!$A$1:$AC$10000,MATCH(1,('Margin Guidence Table'!$A$1:$A$10000=$CE28)*('Margin Guidence Table'!$H$1:$H$10000&lt;=ROUND($BW$3,0))*('Margin Guidence Table'!$G$1:$G$10000&gt;=ROUND($BW$3,0)),0),MATCH("DEFAULT_MDA_MEDIAN_MARGIN_GUIDENCE",'Margin Guidence Table'!$A$1:$AC$1,0))),0)</f>
        <v>0</v>
      </c>
      <c r="CL28" s="1165">
        <f t="array" ref="CL28">IFERROR(IF($CG28="SEGMENT",INDEX('Margin Guidence Table'!$A$1:$AC$10000,MATCH(1,('Margin Guidence Table'!$A$1:$A$10000=$CE28)*('Margin Guidence Table'!$H$1:$H$10000&lt;=ROUND($BW$3,0))*('Margin Guidence Table'!$G$1:$G$10000&gt;=ROUND($BW$3,0)),0),MATCH("MDA_MAX_MARGIN_GUIDENCE",'Margin Guidence Table'!$A$1:$AC$1,0)),INDEX('Margin Guidence Table'!$A$1:$AC$10000,MATCH(1,('Margin Guidence Table'!$A$1:$A$10000=$CE28)*('Margin Guidence Table'!$H$1:$H$10000&lt;=ROUND($BW$3,0))*('Margin Guidence Table'!$G$1:$G$10000&gt;=ROUND($BW$3,0)),0),MATCH("DEFAULT_MDA_MAX_MARGIN_GUIDENCE",'Margin Guidence Table'!$A$1:$AC$1,0))),0)</f>
        <v>0</v>
      </c>
      <c r="CM28" s="1165">
        <f t="array" ref="CM28">IFERROR(IF($CG28="SEGMENT",INDEX('Margin Guidence Table'!$A$1:$AC$10000,MATCH(1,('Margin Guidence Table'!$A$1:$A$10000=$CE28)*('Margin Guidence Table'!$H$1:$H$10000&lt;=ROUND($BW$3,0))*('Margin Guidence Table'!$G$1:$G$10000&gt;=ROUND($BW$3,0)),0),MATCH("PA_PCT_SALES",'Margin Guidence Table'!$A$1:$AC$1,0)),INDEX('Margin Guidence Table'!$A$1:$AC$10000,MATCH(1,('Margin Guidence Table'!$A$1:$A$10000=$CE28)*('Margin Guidence Table'!$H$1:$H$10000&lt;=ROUND($BW$3,0))*('Margin Guidence Table'!$G$1:$G$10000&gt;=ROUND($BW$3,0)),0),MATCH("DEFAULT_PA_PCT_SALES",'Margin Guidence Table'!$A$1:$AC$1,0))),0)</f>
        <v>0</v>
      </c>
      <c r="CN28" s="1165">
        <f t="array" ref="CN28">IFERROR(IF($CG28="SEGMENT",INDEX('Margin Guidence Table'!$A$1:$AC$10000,MATCH(1,('Margin Guidence Table'!$A$1:$A$10000=$CE28)*('Margin Guidence Table'!$H$1:$H$10000&lt;=ROUND($BW$3,0))*('Margin Guidence Table'!$G$1:$G$10000&gt;=ROUND($BW$3,0)),0),MATCH("SELF_FUND_PCT_SALES",'Margin Guidence Table'!$A$1:$AC$1,0)),INDEX('Margin Guidence Table'!$A$1:$AC$10000,MATCH(1,('Margin Guidence Table'!$A$1:$A$10000=$CE28)*('Margin Guidence Table'!$H$1:$H$10000&lt;=ROUND($BW$3,0))*('Margin Guidence Table'!$G$1:$G$10000&gt;=ROUND($BW$3,0)),0),MATCH("DEFAULT_SELF_FUND_PCT_SALES",'Margin Guidence Table'!$A$1:$AC$1,0))),0)</f>
        <v>0</v>
      </c>
      <c r="CO28" s="1165">
        <f t="array" ref="CO28">IFERROR(IF($CG28="SEGMENT",INDEX('Margin Guidence Table'!$A$1:$AC$10000,MATCH(1,('Margin Guidence Table'!$A$1:$A$10000=$CE28)*('Margin Guidence Table'!$H$1:$H$10000&lt;=ROUND($BW$3,0))*('Margin Guidence Table'!$G$1:$G$10000&gt;=ROUND($BW$3,0)),0),MATCH("CIA_MEDIAN_MARGIN_GUIDENCE",'Margin Guidence Table'!$A$1:$AC$1,0)),INDEX('Margin Guidence Table'!$A$1:$AC$10000,MATCH(1,('Margin Guidence Table'!$A$1:$A$10000=$CE28)*('Margin Guidence Table'!$H$1:$H$10000&lt;=ROUND($BW$3,0))*('Margin Guidence Table'!$G$1:$G$10000&gt;=ROUND($BW$3,0)),0),MATCH("DEFAULT_CIA_MEDIAN_MARGIN_GUIDENCE",'Margin Guidence Table'!$A$1:$AC$1,0))),0)</f>
        <v>0</v>
      </c>
      <c r="CP28" s="129"/>
      <c r="CQ28" s="18">
        <f t="array" ref="CQ28">IFERROR(IF($DC28="SEGMENT",INDEX('Margin Guidence Table'!$A$1:$AC$10000,MATCH(1,('Margin Guidence Table'!$A$1:$A$10000=$DA28)*('Margin Guidence Table'!$H$1:$H$10000&lt;=ROUND($CS$3,0))*('Margin Guidence Table'!$G$1:$G$10000&gt;=ROUND($CS$3,0)),0),MATCH("PCT_SALES",'Margin Guidence Table'!$A$1:$AC$1,0)),INDEX('Margin Guidence Table'!$A$1:$AC$10000,MATCH(1,('Margin Guidence Table'!$A$1:$A$10000=$DA28)*('Margin Guidence Table'!$H$1:$H$10000&lt;=ROUND($CS$3,0))*('Margin Guidence Table'!$G$1:$G$10000&gt;=ROUND($CS$3,0)),0),MATCH("DEFAULT_PCT_SALES",'Margin Guidence Table'!$A$1:$AC$1,0))),0)</f>
        <v>0</v>
      </c>
      <c r="CR28" s="102" t="s">
        <v>91</v>
      </c>
      <c r="CS28" s="94">
        <f>IFERROR(IF(AND($CS$2&lt;&gt;"Enter Spend&gt;&gt;&gt;",CT2="EXISTING"),SUMIFS('Existing Customers'!$Q:$Q,'Existing Customers'!$A:$A,$CS$1,'Existing Customers'!$H:$H,$CR28)*$CS$4,$CS$3*$CQ28),0)</f>
        <v>0</v>
      </c>
      <c r="CT28" s="89">
        <f>IFERROR(IF(AND($CS$2&lt;&gt;"Enter Spend&gt;&gt;&gt;",CT2="EXISTING"),SUMIFS('Existing Customers'!$N:$N,'Existing Customers'!$A:$A,$CS$1,'Existing Customers'!$H:$H,$CR28)*$CS$4,$CS28/$DD28),0)</f>
        <v>0</v>
      </c>
      <c r="CU28" s="95">
        <f>IFERROR(IF(AND($CS$2&lt;&gt;"Enter Spend&gt;&gt;&gt;",BB28="EXISTING"),SUMIFS('Existing Customers'!$O:$O,'Existing Customers'!$H:$H,$CR28,'Existing Customers'!$A:$A,$CS$1)*$CS$4,$CT28*$CS$8),0)</f>
        <v>0</v>
      </c>
      <c r="CV28" s="95">
        <f>IFERROR(IF(AND($CS$2&lt;&gt;"Enter Spend&gt;&gt;&gt;",CT2="EXISTING"),SUMIFS('Existing Customers'!$P:$P,'Existing Customers'!$A:$A,$CS$1,'Existing Customers'!$H:$H,$CR28)*$CS$4,$CS28/$DE28),0)</f>
        <v>0</v>
      </c>
      <c r="CW28" s="96">
        <f>IFERROR(IF(AND($CS$2&lt;&gt;"Enter Spend&gt;&gt;&gt;",CT2="EXISTING"),SUMIFS('Existing Customers'!$V:$V,'Existing Customers'!$H:$H,$CR28,'Existing Customers'!$A:$A,$CS$1)*$CS$4,0),0)</f>
        <v>0</v>
      </c>
      <c r="CX28" s="96">
        <f>IFERROR(IF(AND($CS$2&lt;&gt;"Enter Spend&gt;&gt;&gt;",CT2="EXISTING"),SUMIFS('Existing Customers'!$R:$R,'Existing Customers'!$H:$H,$AZ28,'Existing Customers'!$A:$A,$CS$1)*$CS$4,0),0)</f>
        <v>0</v>
      </c>
      <c r="CY28" s="1161">
        <f>IFERROR(IF(AND($CS$2&lt;&gt;"Enter Spend&gt;&gt;&gt;",CT2="EXISTING"),SUMIFS('Existing Customers'!$S:$S,'Existing Customers'!$H:$H,$CR28,'Existing Customers'!$A:$A,$CS$1),DI28*CS28),0)</f>
        <v>0</v>
      </c>
      <c r="CZ28" s="1161">
        <f>IFERROR(IF(AND($CS$2&lt;&gt;"Enter Spend&gt;&gt;&gt;",CT2="EXISTING"),SUMIFS('Existing Customers'!$U:$U,'Existing Customers'!$H:$H,$CR28,'Existing Customers'!$A:$A,$CS$1),DJ28*CS28),0)</f>
        <v>0</v>
      </c>
      <c r="DA28" s="1164" t="e">
        <f t="shared" si="28"/>
        <v>#N/A</v>
      </c>
      <c r="DB28" s="1164">
        <f t="array" ref="DB28">IFERROR(INDEX('Margin Guidence Table'!$A$1:$AD$30000,MATCH(1,('Margin Guidence Table'!$A$1:$A$10000=DA28)*('Margin Guidence Table'!$H$1:$H$10000&lt;=ROUND($CS$3,0))*('Margin Guidence Table'!$G$1:$G$10000&gt;=ROUND($CS$3,0)),0),MATCH("DATA_POINTS",'Margin Guidence Table'!$A$1:$AC$1,0)),0)</f>
        <v>0</v>
      </c>
      <c r="DC28" s="1161" t="str">
        <f t="shared" si="29"/>
        <v>DEFAULT</v>
      </c>
      <c r="DD28" s="1161">
        <f t="array" ref="DD28">IFERROR(IF($DC28="SEGMENT",INDEX('Margin Guidence Table'!$A$1:$AC$10000,MATCH(1,('Margin Guidence Table'!$A$1:$A$10000=DA28)*('Margin Guidence Table'!$H$1:$H$10000&lt;=ROUND($CS$3,0))*('Margin Guidence Table'!$G$1:$G$10000&gt;=ROUND($CS$3,0)),0),MATCH("SALES_CASE",'Margin Guidence Table'!$A$1:$AC$1,0)),INDEX('Margin Guidence Table'!$A$1:$AC$10000,MATCH(1,('Margin Guidence Table'!$A$1:$A$10000=DA28)*('Margin Guidence Table'!$H$1:$H$10000&lt;=ROUND($CS$3,0))*('Margin Guidence Table'!$G$1:$G$10000&gt;=ROUND($CS$3,0)),0),MATCH("DEFAULT_SALES_CASE",'Margin Guidence Table'!$A$1:$AC$1,0))),0)</f>
        <v>0</v>
      </c>
      <c r="DE28" s="1161">
        <f t="array" ref="DE28">IFERROR(IF($DC28="SEGMENT",INDEX('Margin Guidence Table'!$A$1:$AC$10000,MATCH(1,('Margin Guidence Table'!$A$1:$A$10000=DA28)*('Margin Guidence Table'!$H$1:$H$10000&lt;=ROUND($CS$3,0))*('Margin Guidence Table'!$G$1:$G$10000&gt;=ROUND($CS$3,0)),0),MATCH("SALES_LBS",'Margin Guidence Table'!$A$1:$AC$1,0)),INDEX('Margin Guidence Table'!$A$1:$AC$10000,MATCH(1,('Margin Guidence Table'!$A$1:$A$10000=DA28)*('Margin Guidence Table'!$H$1:$H$10000&lt;=ROUND($CS$3,0))*('Margin Guidence Table'!$G$1:$G$10000&gt;=ROUND($CS$3,0)),0),MATCH("DEFAULT_SALES_LBS",'Margin Guidence Table'!$A$1:$AC$1,0))),0)</f>
        <v>0</v>
      </c>
      <c r="DF28" s="1165">
        <f t="array" ref="DF28">IFERROR(IF($DC28="SEGMENT",INDEX('Margin Guidence Table'!$A$1:$AC$10000,MATCH(1,('Margin Guidence Table'!$A$1:$A$10000=DA28)*('Margin Guidence Table'!$H$1:$H$10000&lt;=ROUND($CS$3,0))*('Margin Guidence Table'!$G$1:$G$10000&gt;=ROUND($CS$3,0)),0),MATCH("MDA_MIN_MARGIN_GUIDENCE",'Margin Guidence Table'!$A$1:$AC$1,0)),INDEX('Margin Guidence Table'!$A$1:$AC$10000,MATCH(1,('Margin Guidence Table'!$A$1:$A$10000=DA28)*('Margin Guidence Table'!$H$1:$H$10000&lt;=ROUND($CS$3,0))*('Margin Guidence Table'!$G$1:$G$10000&gt;=ROUND($CS$3,0)),0),MATCH("DEFAULT_MDA_MIN_MARGIN_GUIDENCE",'Margin Guidence Table'!$A$1:$AC$1,0))),0)</f>
        <v>0</v>
      </c>
      <c r="DG28" s="1165">
        <f t="array" ref="DG28">IFERROR(IF($DC28="SEGMENT",INDEX('Margin Guidence Table'!$A$1:$AC$10000,MATCH(1,('Margin Guidence Table'!$A$1:$A$10000=DA28)*('Margin Guidence Table'!$H$1:$H$10000&lt;=ROUND($CS$3,0))*('Margin Guidence Table'!$G$1:$G$10000&gt;=ROUND($CS$3,0)),0),MATCH("MDA_MEDIAN_MARGIN_GUIDENCE",'Margin Guidence Table'!$A$1:$AC$1,0)),INDEX('Margin Guidence Table'!$A$1:$AC$10000,MATCH(1,('Margin Guidence Table'!$A$1:$A$10000=DA28)*('Margin Guidence Table'!$H$1:$H$10000&lt;=ROUND($CS$3,0))*('Margin Guidence Table'!$G$1:$G$10000&gt;=ROUND($CS$3,0)),0),MATCH("DEFAULT_MDA_MEDIAN_MARGIN_GUIDENCE",'Margin Guidence Table'!$A$1:$AC$1,0))),0)</f>
        <v>0</v>
      </c>
      <c r="DH28" s="1165">
        <f t="array" ref="DH28">IFERROR(IF($DC28="SEGMENT",INDEX('Margin Guidence Table'!$A$1:$AC$10000,MATCH(1,('Margin Guidence Table'!$A$1:$A$10000=DA28)*('Margin Guidence Table'!$H$1:$H$10000&lt;=ROUND($CS$3,0))*('Margin Guidence Table'!$G$1:$G$10000&gt;=ROUND($CS$3,0)),0),MATCH("MDA_MAX_MARGIN_GUIDENCE",'Margin Guidence Table'!$A$1:$AC$1,0)),INDEX('Margin Guidence Table'!$A$1:$AC$10000,MATCH(1,('Margin Guidence Table'!$A$1:$A$10000=DA28)*('Margin Guidence Table'!$H$1:$H$10000&lt;=ROUND($CS$3,0))*('Margin Guidence Table'!$G$1:$G$10000&gt;=ROUND($CS$3,0)),0),MATCH("DEFAULT_MDA_MAX_MARGIN_GUIDENCE",'Margin Guidence Table'!$A$1:$AC$1,0))),0)</f>
        <v>0</v>
      </c>
      <c r="DI28" s="1165">
        <f t="array" ref="DI28">IFERROR(IF($DC28="SEGMENT",INDEX('Margin Guidence Table'!$A$1:$AC$10000,MATCH(1,('Margin Guidence Table'!$A$1:$A$10000=DA28)*('Margin Guidence Table'!$H$1:$H$10000&lt;=ROUND($CS$3,0))*('Margin Guidence Table'!$G$1:$G$10000&gt;=ROUND($CS$3,0)),0),MATCH("PA_PCT_SALES",'Margin Guidence Table'!$A$1:$AC$1,0)),INDEX('Margin Guidence Table'!$A$1:$AC$10000,MATCH(1,('Margin Guidence Table'!$A$1:$A$10000=DA28)*('Margin Guidence Table'!$H$1:$H$10000&lt;=ROUND($CS$3,0))*('Margin Guidence Table'!$G$1:$G$10000&gt;=ROUND($CS$3,0)),0),MATCH("DEFAULT_PA_PCT_SALES",'Margin Guidence Table'!$A$1:$AC$1,0))),0)</f>
        <v>0</v>
      </c>
      <c r="DJ28" s="1165">
        <f t="array" ref="DJ28">IFERROR(IF($DC28="SEGMENT",INDEX('Margin Guidence Table'!$A$1:$AC$10000,MATCH(1,('Margin Guidence Table'!$A$1:$A$10000=DA28)*('Margin Guidence Table'!$H$1:$H$10000&lt;=ROUND($CS$3,0))*('Margin Guidence Table'!$G$1:$G$10000&gt;=ROUND($CS$3,0)),0),MATCH("SELF_FUND_PCT_SALES",'Margin Guidence Table'!$A$1:$AC$1,0)),INDEX('Margin Guidence Table'!$A$1:$AC$10000,MATCH(1,('Margin Guidence Table'!$A$1:$A$10000=DA28)*('Margin Guidence Table'!$H$1:$H$10000&lt;=ROUND($CS$3,0))*('Margin Guidence Table'!$G$1:$G$10000&gt;=ROUND($CS$3,0)),0),MATCH("DEFAULT_SELF_FUND_PCT_SALES",'Margin Guidence Table'!$A$1:$AC$1,0))),0)</f>
        <v>0</v>
      </c>
      <c r="DK28" s="1165">
        <f t="array" ref="DK28">IFERROR(IF($DC28="SEGMENT",INDEX('Margin Guidence Table'!$A$1:$AC$10000,MATCH(1,('Margin Guidence Table'!$A$1:$A$10000=DA28)*('Margin Guidence Table'!$H$1:$H$10000&lt;=ROUND($CS$3,0))*('Margin Guidence Table'!$G$1:$G$10000&gt;=ROUND($CS$3,0)),0),MATCH("CIA_MEDIAN_MARGIN_GUIDENCE",'Margin Guidence Table'!$A$1:$AC$1,0)),INDEX('Margin Guidence Table'!$A$1:$AC$10000,MATCH(1,('Margin Guidence Table'!$A$1:$A$10000=DA28)*('Margin Guidence Table'!$H$1:$H$10000&lt;=ROUND($CS$3,0))*('Margin Guidence Table'!$G$1:$G$10000&gt;=ROUND($CS$3,0)),0),MATCH("DEFAULT_CIA_MEDIAN_MARGIN_GUIDENCE",'Margin Guidence Table'!$A$1:$AC$1,0))),0)</f>
        <v>0</v>
      </c>
      <c r="DL28" s="129"/>
      <c r="DM28" s="18">
        <f t="array" ref="DM28">IFERROR(IF($DY28="SEGMENT",INDEX('Margin Guidence Table'!$A$1:$AC$10000,MATCH(1,('Margin Guidence Table'!$A$1:$A$10000=$DW28)*('Margin Guidence Table'!$H$1:$H$10000&lt;=ROUND($DO$3,0))*('Margin Guidence Table'!$G$1:$G$10000&gt;=ROUND($DO$3,0)),0),MATCH("PCT_SALES",'Margin Guidence Table'!$A$1:$AC$1,0)),INDEX('Margin Guidence Table'!$A$1:$AC$10000,MATCH(1,('Margin Guidence Table'!$A$1:$A$10000=$DW28)*('Margin Guidence Table'!$H$1:$H$10000&lt;=ROUND($DO$3,0))*('Margin Guidence Table'!$G$1:$G$10000&gt;=ROUND($DO$3,0)),0),MATCH("DEFAULT_PCT_SALES",'Margin Guidence Table'!$A$1:$AC$1,0))),0)</f>
        <v>0</v>
      </c>
      <c r="DN28" s="102" t="s">
        <v>91</v>
      </c>
      <c r="DO28" s="94">
        <f>IFERROR(IF(AND($DO$2&lt;&gt;"Enter Spend&gt;&gt;&gt;",DP2="EXISTING"),SUMIFS('Existing Customers'!$Q:$Q,'Existing Customers'!$A:$A,$DO$1,'Existing Customers'!$H:$H,$DN28)*$DO$4,$DO$3*$DM28),0)</f>
        <v>0</v>
      </c>
      <c r="DP28" s="89">
        <f>IFERROR(IF(AND($DO$2&lt;&gt;"Enter Spend&gt;&gt;&gt;",DP2="EXISTING"),SUMIFS('Existing Customers'!$N:$N,'Existing Customers'!$A:$A,$DO$1,'Existing Customers'!$H:$H,$DN28)*$DO$4,$DO28/$DZ28),0)</f>
        <v>0</v>
      </c>
      <c r="DQ28" s="95">
        <f>IFERROR(IF(AND($DO$2&lt;&gt;"Enter Spend&gt;&gt;&gt;",DP2="EXISTING"),SUMIFS('Existing Customers'!$O:$O,'Existing Customers'!$H:$H,$DN28,'Existing Customers'!$A:$A,$DO$1)*$DO$4,$DP28*$DO$8),0)</f>
        <v>0</v>
      </c>
      <c r="DR28" s="95">
        <f>IFERROR(IF(AND($DO$2&lt;&gt;"Enter Spend&gt;&gt;&gt;",DP2="EXISTING"),SUMIFS('Existing Customers'!$P:$P,'Existing Customers'!$A:$A,$DO$1,'Existing Customers'!$H:$H,$DN28)*$DO$4,$DO28/$EA28),0)</f>
        <v>0</v>
      </c>
      <c r="DS28" s="96">
        <f>IFERROR(IF(AND($DO$2&lt;&gt;"Enter Spend&gt;&gt;&gt;",EL2="EXISTING"),SUMIFS('Existing Customers'!$V:$V,'Existing Customers'!$H:$H,$DN28,'Existing Customers'!$A:$A,$DO$1)*$DO$4,0),0)</f>
        <v>0</v>
      </c>
      <c r="DT28" s="96">
        <f>IFERROR(IF(AND($DO$2&lt;&gt;"Enter Spend&gt;&gt;&gt;",DP2="EXISTING"),SUMIFS('Existing Customers'!$R:$R,'Existing Customers'!$H:$H,$DN28,'Existing Customers'!$A:$A,$DO$1)*$DO$4,0),0)</f>
        <v>0</v>
      </c>
      <c r="DU28" s="1161">
        <f>IFERROR(IF(AND($DO$2&lt;&gt;"Enter Spend&gt;&gt;&gt;",DP2="EXISTING"),SUMIFS('Existing Customers'!$S:$S,'Existing Customers'!$H:$H,$DP28,'Existing Customers'!$A:$A,$DO$1),EE28*DO28),0)</f>
        <v>0</v>
      </c>
      <c r="DV28" s="1161">
        <f>IFERROR(IF(AND($DO$2&lt;&gt;"Enter Spend&gt;&gt;&gt;",DP2="EXISTING"),SUMIFS('Existing Customers'!$U:$U,'Existing Customers'!$H:$H,$DN28,'Existing Customers'!$A:$A,$DO$1),EF28*DO28),0)</f>
        <v>0</v>
      </c>
      <c r="DW28" s="1164" t="e">
        <f t="shared" si="30"/>
        <v>#N/A</v>
      </c>
      <c r="DX28" s="1164">
        <f t="array" ref="DX28">IFERROR(INDEX('Margin Guidence Table'!$A$1:$AD$30000,MATCH(1,('Margin Guidence Table'!$A$1:$A$10000=DW28)*('Margin Guidence Table'!$H$1:$H$10000&lt;=ROUND($DO$3,0))*('Margin Guidence Table'!$G$1:$G$10000&gt;=ROUND($DO$3,0)),0),MATCH("DATA_POINTS",'Margin Guidence Table'!$A$1:$AC$1,0)),0)</f>
        <v>0</v>
      </c>
      <c r="DY28" s="1161" t="str">
        <f t="shared" si="31"/>
        <v>DEFAULT</v>
      </c>
      <c r="DZ28" s="1161">
        <f t="array" ref="DZ28">IFERROR(IF($DY28="SEGMENT",INDEX('Margin Guidence Table'!$A$1:$AC$10000,MATCH(1,('Margin Guidence Table'!$A$1:$A$10000=DW28)*('Margin Guidence Table'!$H$1:$H$10000&lt;=ROUND($DO$3,0))*('Margin Guidence Table'!$G$1:$G$10000&gt;=ROUND($DO$3,0)),0),MATCH("SALES_CASE",'Margin Guidence Table'!$A$1:$AC$1,0)),INDEX('Margin Guidence Table'!$A$1:$AC$10000,MATCH(1,('Margin Guidence Table'!$A$1:$A$10000=DW28)*('Margin Guidence Table'!$H$1:$H$10000&lt;=ROUND($DO$3,0))*('Margin Guidence Table'!$G$1:$G$10000&gt;=ROUND($DO$3,0)),0),MATCH("DEFAULT_SALES_CASE",'Margin Guidence Table'!$A$1:$AC$1,0))),0)</f>
        <v>0</v>
      </c>
      <c r="EA28" s="1161">
        <f t="array" ref="EA28">IFERROR(IF($DY28="SEGMENT",INDEX('Margin Guidence Table'!$A$1:$AC$10000,MATCH(1,('Margin Guidence Table'!$A$1:$A$10000=DW28)*('Margin Guidence Table'!$H$1:$H$10000&lt;=ROUND($DO$3,0))*('Margin Guidence Table'!$G$1:$G$10000&gt;=ROUND($DO$3,0)),0),MATCH("SALES_LBS",'Margin Guidence Table'!$A$1:$AC$1,0)),INDEX('Margin Guidence Table'!$A$1:$AC$10000,MATCH(1,('Margin Guidence Table'!$A$1:$A$10000=DW28)*('Margin Guidence Table'!$H$1:$H$10000&lt;=ROUND($DO$3,0))*('Margin Guidence Table'!$G$1:$G$10000&gt;=ROUND($DO$3,0)),0),MATCH("DEFAULT_SALES_LBS",'Margin Guidence Table'!$A$1:$AC$1,0))),0)</f>
        <v>0</v>
      </c>
      <c r="EB28" s="1165">
        <f t="array" ref="EB28">IFERROR(IF($DY28="SEGMENT",INDEX('Margin Guidence Table'!$A$1:$AC$10000,MATCH(1,('Margin Guidence Table'!$A$1:$A$10000=DW28)*('Margin Guidence Table'!$H$1:$H$10000&lt;=ROUND($DO$3,0))*('Margin Guidence Table'!$G$1:$G$10000&gt;=ROUND($DO$3,0)),0),MATCH("MDA_MIN_MARGIN_GUIDENCE",'Margin Guidence Table'!$A$1:$AC$1,0)),INDEX('Margin Guidence Table'!$A$1:$AC$10000,MATCH(1,('Margin Guidence Table'!$A$1:$A$10000=DW28)*('Margin Guidence Table'!$H$1:$H$10000&lt;=ROUND($DO$3,0))*('Margin Guidence Table'!$G$1:$G$10000&gt;=ROUND($DO$3,0)),0),MATCH("DEFAULT_MDA_MIN_MARGIN_GUIDENCE",'Margin Guidence Table'!$A$1:$AC$1,0))),0)</f>
        <v>0</v>
      </c>
      <c r="EC28" s="1165">
        <f t="array" ref="EC28">IFERROR(IF($DY28="SEGMENT",INDEX('Margin Guidence Table'!$A$1:$AC$10000,MATCH(1,('Margin Guidence Table'!$A$1:$A$10000=DW28)*('Margin Guidence Table'!$H$1:$H$10000&lt;=ROUND($DO$3,0))*('Margin Guidence Table'!$G$1:$G$10000&gt;=ROUND($DO$3,0)),0),MATCH("MDA_MEDIAN_MARGIN_GUIDENCE",'Margin Guidence Table'!$A$1:$AC$1,0)),INDEX('Margin Guidence Table'!$A$1:$AC$10000,MATCH(1,('Margin Guidence Table'!$A$1:$A$10000=DW28)*('Margin Guidence Table'!$H$1:$H$10000&lt;=ROUND($DO$3,0))*('Margin Guidence Table'!$G$1:$G$10000&gt;=ROUND($DO$3,0)),0),MATCH("DEFAULT_MDA_MEDIAN_MARGIN_GUIDENCE",'Margin Guidence Table'!$A$1:$AC$1,0))),0)</f>
        <v>0</v>
      </c>
      <c r="ED28" s="1165">
        <f t="array" ref="ED28">IFERROR(IF($DY28="SEGMENT",INDEX('Margin Guidence Table'!$A$1:$AC$10000,MATCH(1,('Margin Guidence Table'!$A$1:$A$10000=DW28)*('Margin Guidence Table'!$H$1:$H$10000&lt;=ROUND($DO$3,0))*('Margin Guidence Table'!$G$1:$G$10000&gt;=ROUND($DO$3,0)),0),MATCH("MDA_MAX_MARGIN_GUIDENCE",'Margin Guidence Table'!$A$1:$AC$1,0)),INDEX('Margin Guidence Table'!$A$1:$AC$10000,MATCH(1,('Margin Guidence Table'!$A$1:$A$10000=DW28)*('Margin Guidence Table'!$H$1:$H$10000&lt;=ROUND($DO$3,0))*('Margin Guidence Table'!$G$1:$G$10000&gt;=ROUND($DO$3,0)),0),MATCH("DEFAULT_MDA_MAX_MARGIN_GUIDENCE",'Margin Guidence Table'!$A$1:$AC$1,0))),0)</f>
        <v>0</v>
      </c>
      <c r="EE28" s="1165">
        <f t="array" ref="EE28">IFERROR(IF($DY28="SEGMENT",INDEX('Margin Guidence Table'!$A$1:$AC$10000,MATCH(1,('Margin Guidence Table'!$A$1:$A$10000=DW28)*('Margin Guidence Table'!$H$1:$H$10000&lt;=ROUND($DO$3,0))*('Margin Guidence Table'!$G$1:$G$10000&gt;=ROUND($DO$3,0)),0),MATCH("PA_PCT_SALES",'Margin Guidence Table'!$A$1:$AC$1,0)),INDEX('Margin Guidence Table'!$A$1:$AC$10000,MATCH(1,('Margin Guidence Table'!$A$1:$A$10000=DW28)*('Margin Guidence Table'!$H$1:$H$10000&lt;=ROUND($DO$3,0))*('Margin Guidence Table'!$G$1:$G$10000&gt;=ROUND($DO$3,0)),0),MATCH("DEFAULT_PA_PCT_SALES",'Margin Guidence Table'!$A$1:$AC$1,0))),0)</f>
        <v>0</v>
      </c>
      <c r="EF28" s="1165">
        <f t="array" ref="EF28">IFERROR(IF($DY28="SEGMENT",INDEX('Margin Guidence Table'!$A$1:$AC$10000,MATCH(1,('Margin Guidence Table'!$A$1:$A$10000=DW28)*('Margin Guidence Table'!$H$1:$H$10000&lt;=ROUND($DO$3,0))*('Margin Guidence Table'!$G$1:$G$10000&gt;=ROUND($DO$3,0)),0),MATCH("SELF_FUND_PCT_SALES",'Margin Guidence Table'!$A$1:$AC$1,0)),INDEX('Margin Guidence Table'!$A$1:$AC$10000,MATCH(1,('Margin Guidence Table'!$A$1:$A$10000=DW28)*('Margin Guidence Table'!$H$1:$H$10000&lt;=ROUND($DO$3,0))*('Margin Guidence Table'!$G$1:$G$10000&gt;=ROUND($DO$3,0)),0),MATCH("DEFAULT_SELF_FUND_PCT_SALES",'Margin Guidence Table'!$A$1:$AC$1,0))),0)</f>
        <v>0</v>
      </c>
      <c r="EG28" s="1165">
        <f t="array" ref="EG28">IFERROR(IF($DY28="SEGMENT",INDEX('Margin Guidence Table'!$A$1:$AC$10000,MATCH(1,('Margin Guidence Table'!$A$1:$A$10000=DW28)*('Margin Guidence Table'!$H$1:$H$10000&lt;=ROUND($DO$3,0))*('Margin Guidence Table'!$G$1:$G$10000&gt;=ROUND($DO$3,0)),0),MATCH("CIA_MEDIAN_MARGIN_GUIDENCE",'Margin Guidence Table'!$A$1:$AC$1,0)),INDEX('Margin Guidence Table'!$A$1:$AC$10000,MATCH(1,('Margin Guidence Table'!$A$1:$A$10000=DW28)*('Margin Guidence Table'!$H$1:$H$10000&lt;=ROUND($DO$3,0))*('Margin Guidence Table'!$G$1:$G$10000&gt;=ROUND($DO$3,0)),0),MATCH("DEFAULT_CIA_MEDIAN_MARGIN_GUIDENCE",'Margin Guidence Table'!$A$1:$AC$1,0))),0)</f>
        <v>0</v>
      </c>
      <c r="EH28" s="129"/>
      <c r="EI28" s="18">
        <f t="array" ref="EI28">IFERROR(IF($EU28="SEGMENT",INDEX('Margin Guidence Table'!$A$1:$AC$10000,MATCH(1,('Margin Guidence Table'!$A$1:$A$10000=$ES28)*('Margin Guidence Table'!$H$1:$H$10000&lt;=ROUND($EK$3,0))*('Margin Guidence Table'!$G$1:$G$10000&gt;=ROUND($EK$3,0)),0),MATCH("PCT_SALES",'Margin Guidence Table'!$A$1:$AC$1,0)),INDEX('Margin Guidence Table'!$A$1:$AC$10000,MATCH(1,('Margin Guidence Table'!$A$1:$A$10000=$ES28)*('Margin Guidence Table'!$H$1:$H$10000&lt;=ROUND($EK$3,0))*('Margin Guidence Table'!$G$1:$G$10000&gt;=ROUND($EK$3,0)),0),MATCH("DEFAULT_PCT_SALES",'Margin Guidence Table'!$A$1:$AC$1,0))),0)</f>
        <v>0</v>
      </c>
      <c r="EJ28" s="102" t="s">
        <v>91</v>
      </c>
      <c r="EK28" s="94">
        <f>IFERROR(IF(AND($EK$2&lt;&gt;"Enter Spend&gt;&gt;&gt;",EL2="EXISTING"),SUMIFS('Existing Customers'!$Q:$Q,'Existing Customers'!$A:$A,$EK$1,'Existing Customers'!$H:$H,$EJ28)*$EK$4,$EK$3*$EI28),0)</f>
        <v>0</v>
      </c>
      <c r="EL28" s="89">
        <f>IFERROR(IF(AND($EK$2&lt;&gt;"Enter Spend&gt;&gt;&gt;",EL2="EXISTING"),SUMIFS('Existing Customers'!$N:$N,'Existing Customers'!$A:$A,$EK$1,'Existing Customers'!$H:$H,$EJ28)*$EK$4,$EK28/$EV28),0)</f>
        <v>0</v>
      </c>
      <c r="EM28" s="95">
        <f>IFERROR(IF(AND($EK$2&lt;&gt;"Enter Spend&gt;&gt;&gt;",EL2="EXISTING"),SUMIFS('Existing Customers'!$O:$O,'Existing Customers'!$H:$H,$EJ28,'Existing Customers'!$A:$A,$EK$1)*$EK$4,$EL28*$EK$8),0)</f>
        <v>0</v>
      </c>
      <c r="EN28" s="95">
        <f>IFERROR(IF(AND($EK$2&lt;&gt;"Enter Spend&gt;&gt;&gt;",EL2="EXISTING"),SUMIFS('Existing Customers'!$P:$P,'Existing Customers'!$A:$A,$EK$1,'Existing Customers'!$H:$H,$EJ28)*$EK$4,$EK28/$EW28),0)</f>
        <v>0</v>
      </c>
      <c r="EO28" s="96">
        <f>IFERROR(IF(AND($EK$2&lt;&gt;"Enter Spend&gt;&gt;&gt;",EL2="EXISTING"),SUMIFS('Existing Customers'!$V:$V,'Existing Customers'!$H:$H,$EJ28,'Existing Customers'!$A:$A,$EK$1)*$EK$4,0),0)</f>
        <v>0</v>
      </c>
      <c r="EP28" s="96">
        <f>IFERROR(IF(AND($EK$2&lt;&gt;"Enter Spend&gt;&gt;&gt;",EL2="EXISTING"),SUMIFS('Existing Customers'!$R:$R,'Existing Customers'!$H:$H,$EJ28,'Existing Customers'!$A:$A,$EK$1)*$EK$4,0),0)</f>
        <v>0</v>
      </c>
      <c r="EQ28" s="1161">
        <f>IFERROR(IF(AND($EK$2&lt;&gt;"Enter Spend&gt;&gt;&gt;",EL2="EXISTING"),SUMIFS('Existing Customers'!$S:$S,'Existing Customers'!$H:$H,$EJ28,'Existing Customers'!$A:$A,$EK$1),FA28*EK28),0)</f>
        <v>0</v>
      </c>
      <c r="ER28" s="1161">
        <f>IFERROR(IF(AND($EK$2&lt;&gt;"Enter Spend&gt;&gt;&gt;",EL2="EXISTING"),SUMIFS('Existing Customers'!$U:$U,'Existing Customers'!$H:$H,$EJ28,'Existing Customers'!$A:$A,$EK$1),FB28*EK28),0)</f>
        <v>0</v>
      </c>
      <c r="ES28" s="1164" t="e">
        <f t="shared" si="32"/>
        <v>#N/A</v>
      </c>
      <c r="ET28" s="1164">
        <f t="array" ref="ET28">IFERROR(INDEX('Margin Guidence Table'!$A$1:$AD$30000,MATCH(1,('Margin Guidence Table'!$A$1:$A$10000=ES28)*('Margin Guidence Table'!$H$1:$H$10000&lt;=ROUND($EK$3,0))*('Margin Guidence Table'!$G$1:$G$10000&gt;=ROUND($EK$3,0)),0),MATCH("DATA_POINTS",'Margin Guidence Table'!$A$1:$AC$1,0)),0)</f>
        <v>0</v>
      </c>
      <c r="EU28" s="1161" t="str">
        <f t="shared" si="33"/>
        <v>DEFAULT</v>
      </c>
      <c r="EV28" s="1161">
        <f t="array" ref="EV28">IFERROR(IF($EU28="SEGMENT",INDEX('Margin Guidence Table'!$A$1:$AC$10000,MATCH(1,('Margin Guidence Table'!$A$1:$A$10000=ES28)*('Margin Guidence Table'!$H$1:$H$10000&lt;=ROUND($EK$3,0))*('Margin Guidence Table'!$G$1:$G$10000&gt;=ROUND($EK$3,0)),0),MATCH("SALES_CASE",'Margin Guidence Table'!$A$1:$AC$1,0)),INDEX('Margin Guidence Table'!$A$1:$AC$10000,MATCH(1,('Margin Guidence Table'!$A$1:$A$10000=ES28)*('Margin Guidence Table'!$H$1:$H$10000&lt;=ROUND($EK$3,0))*('Margin Guidence Table'!$G$1:$G$10000&gt;=ROUND($EK$3,0)),0),MATCH("DEFAULT_SALES_CASE",'Margin Guidence Table'!$A$1:$AC$1,0))),0)</f>
        <v>0</v>
      </c>
      <c r="EW28" s="1161" cm="1">
        <f t="array" ref="EW28">IFERROR(IF($EU28="SEGMENT",INDEX('Margin Guidence Table'!$A$1:$AC$10000,MATCH(1,('Margin Guidence Table'!$A$1:$A$10000=ES28)*('Margin Guidence Table'!$H$1:$H$10000&lt;=ROUND($EK$3,0))*('Margin Guidence Table'!$G$1:$G$10000&gt;=ROUND($EK$3,0)),0),MATCH("SALES_LBS",'Margin Guidence Table'!$A$1:$AC$1,0)),INDEX('Margin Guidence Table'!$A$1:$AC$10000,MATCH(1,('Margin Guidence Table'!$A$1:$A$10000=ES28)*('Margin Guidence Table'!$H$1:$H$10000&lt;=ROUND($EK$3,0))*('Margin Guidence Table'!$G$1:$G$10000&gt;=ROUND($EK$3,0)),0),MATCH("DEFAULT_SALES_LBS",'Margin Guidence Table'!$A$1:$AC$1,0))),0)</f>
        <v>0</v>
      </c>
      <c r="EX28" s="1165">
        <f t="array" ref="EX28">IFERROR(IF($EU28="SEGMENT",INDEX('Margin Guidence Table'!$A$1:$AC$10000,MATCH(1,('Margin Guidence Table'!$A$1:$A$10000=ES28)*('Margin Guidence Table'!$H$1:$H$10000&lt;=ROUND($EK$3,0))*('Margin Guidence Table'!$G$1:$G$10000&gt;=ROUND($EK$3,0)),0),MATCH("MDA_MIN_MARGIN_GUIDENCE",'Margin Guidence Table'!$A$1:$AC$1,0)),INDEX('Margin Guidence Table'!$A$1:$AC$10000,MATCH(1,('Margin Guidence Table'!$A$1:$A$10000=ES28)*('Margin Guidence Table'!$H$1:$H$10000&lt;=ROUND($EK$3,0))*('Margin Guidence Table'!$G$1:$G$10000&gt;=ROUND($EK$3,0)),0),MATCH("DEFAULT_MDA_MIN_MARGIN_GUIDENCE",'Margin Guidence Table'!$A$1:$AC$1,0))),0)</f>
        <v>0</v>
      </c>
      <c r="EY28" s="1165">
        <f t="array" ref="EY28">IFERROR(IF($EU28="SEGMENT",INDEX('Margin Guidence Table'!$A$1:$AC$10000,MATCH(1,('Margin Guidence Table'!$A$1:$A$10000=ES28)*('Margin Guidence Table'!$H$1:$H$10000&lt;=ROUND($EK$3,0))*('Margin Guidence Table'!$G$1:$G$10000&gt;=ROUND($EK$3,0)),0),MATCH("MDA_MEDIAN_MARGIN_GUIDENCE",'Margin Guidence Table'!$A$1:$AC$1,0)),INDEX('Margin Guidence Table'!$A$1:$AC$10000,MATCH(1,('Margin Guidence Table'!$A$1:$A$10000=ES28)*('Margin Guidence Table'!$H$1:$H$10000&lt;=ROUND($EK$3,0))*('Margin Guidence Table'!$G$1:$G$10000&gt;=ROUND($EK$3,0)),0),MATCH("DEFAULT_MDA_MEDIAN_MARGIN_GUIDENCE",'Margin Guidence Table'!$A$1:$AC$1,0))),0)</f>
        <v>0</v>
      </c>
      <c r="EZ28" s="1165">
        <f t="array" ref="EZ28">IFERROR(IF($EU28="SEGMENT",INDEX('Margin Guidence Table'!$A$1:$AC$10000,MATCH(1,('Margin Guidence Table'!$A$1:$A$10000=ES28)*('Margin Guidence Table'!$H$1:$H$10000&lt;=ROUND($EK$3,0))*('Margin Guidence Table'!$G$1:$G$10000&gt;=ROUND($EK$3,0)),0),MATCH("MDA_MAX_MARGIN_GUIDENCE",'Margin Guidence Table'!$A$1:$AC$1,0)),INDEX('Margin Guidence Table'!$A$1:$AC$10000,MATCH(1,('Margin Guidence Table'!$A$1:$A$10000=ES28)*('Margin Guidence Table'!$H$1:$H$10000&lt;=ROUND($EK$3,0))*('Margin Guidence Table'!$G$1:$G$10000&gt;=ROUND($EK$3,0)),0),MATCH("DEFAULT_MDA_MAX_MARGIN_GUIDENCE",'Margin Guidence Table'!$A$1:$AC$1,0))),0)</f>
        <v>0</v>
      </c>
      <c r="FA28" s="1165">
        <f t="array" ref="FA28">IFERROR(IF($EU28="SEGMENT",INDEX('Margin Guidence Table'!$A$1:$AC$10000,MATCH(1,('Margin Guidence Table'!$A$1:$A$10000=ES28)*('Margin Guidence Table'!$H$1:$H$10000&lt;=ROUND($EK$3,0))*('Margin Guidence Table'!$G$1:$G$10000&gt;=ROUND($EK$3,0)),0),MATCH("PA_PCT_SALES",'Margin Guidence Table'!$A$1:$AC$1,0)),INDEX('Margin Guidence Table'!$A$1:$AC$10000,MATCH(1,('Margin Guidence Table'!$A$1:$A$10000=ES28)*('Margin Guidence Table'!$H$1:$H$10000&lt;=ROUND($EK$3,0))*('Margin Guidence Table'!$G$1:$G$10000&gt;=ROUND($EK$3,0)),0),MATCH("DEFAULT_PA_PCT_SALES",'Margin Guidence Table'!$A$1:$AC$1,0))),0)</f>
        <v>0</v>
      </c>
      <c r="FB28" s="1165">
        <f t="array" ref="FB28">IFERROR(IF($EU28="SEGMENT",INDEX('Margin Guidence Table'!$A$1:$AC$10000,MATCH(1,('Margin Guidence Table'!$A$1:$A$10000=ES28)*('Margin Guidence Table'!$H$1:$H$10000&lt;=ROUND($EK$3,0))*('Margin Guidence Table'!$G$1:$G$10000&gt;=ROUND($EK$3,0)),0),MATCH("SELF_FUND_PCT_SALES",'Margin Guidence Table'!$A$1:$AC$1,0)),INDEX('Margin Guidence Table'!$A$1:$AC$10000,MATCH(1,('Margin Guidence Table'!$A$1:$A$10000=ES28)*('Margin Guidence Table'!$H$1:$H$10000&lt;=ROUND($EK$3,0))*('Margin Guidence Table'!$G$1:$G$10000&gt;=ROUND($EK$3,0)),0),MATCH("DEFAULT_SELF_FUND_PCT_SALES",'Margin Guidence Table'!$A$1:$AC$1,0))),0)</f>
        <v>0</v>
      </c>
      <c r="FC28" s="1165">
        <f t="array" ref="FC28">IFERROR(IF($EU28="SEGMENT",INDEX('Margin Guidence Table'!$A$1:$AC$10000,MATCH(1,('Margin Guidence Table'!$A$1:$A$10000=ES28)*('Margin Guidence Table'!$H$1:$H$10000&lt;=ROUND($EK$3,0))*('Margin Guidence Table'!$G$1:$G$10000&gt;=ROUND($EK$3,0)),0),MATCH("CIA_MEDIAN_MARGIN_GUIDENCE",'Margin Guidence Table'!$A$1:$AC$1,0)),INDEX('Margin Guidence Table'!$A$1:$AC$10000,MATCH(1,('Margin Guidence Table'!$A$1:$A$10000=ES28)*('Margin Guidence Table'!$H$1:$H$10000&lt;=ROUND($EK$3,0))*('Margin Guidence Table'!$G$1:$G$10000&gt;=ROUND($EK$3,0)),0),MATCH("DEFAULT_CIA_MEDIAN_MARGIN_GUIDENCE",'Margin Guidence Table'!$A$1:$AC$1,0))),0)</f>
        <v>0</v>
      </c>
      <c r="FD28" s="129"/>
      <c r="FE28" s="18">
        <f t="array" ref="FE28">IFERROR(IF($FQ28="SEGMENT",INDEX('Margin Guidence Table'!$A$1:$AC$10000,MATCH(1,('Margin Guidence Table'!$A$1:$A$10000=$FO28)*('Margin Guidence Table'!$H$1:$H$10000&lt;=ROUND($FG$3,0))*('Margin Guidence Table'!$G$1:$G$10000&gt;=ROUND($FG$3,0)),0),MATCH("PCT_SALES",'Margin Guidence Table'!$A$1:$AC$1,0)),INDEX('Margin Guidence Table'!$A$1:$AC$10000,MATCH(1,('Margin Guidence Table'!$A$1:$A$10000=$FO28)*('Margin Guidence Table'!$H$1:$H$10000&lt;=ROUND($FG$3,0))*('Margin Guidence Table'!$G$1:$G$10000&gt;=ROUND($FG$3,0)),0),MATCH("DEFAULT_PCT_SALES",'Margin Guidence Table'!$A$1:$AC$1,0))),0)</f>
        <v>0</v>
      </c>
      <c r="FF28" s="102" t="s">
        <v>91</v>
      </c>
      <c r="FG28" s="94">
        <f>IFERROR(IF(AND($FG$2&lt;&gt;"Enter Spend&gt;&gt;&gt;",FH2="EXISTING"),SUMIFS('Existing Customers'!$Q:$Q,'Existing Customers'!$A:$A,$FG$1,'Existing Customers'!$H:$H,$FF28)*$FG$4,$FG$3*$FE28),0)</f>
        <v>0</v>
      </c>
      <c r="FH28" s="89">
        <f>IFERROR(IF(AND($FG$2&lt;&gt;"Enter Spend&gt;&gt;&gt;",FH2="EXISTING"),SUMIFS('Existing Customers'!$N:$N,'Existing Customers'!$A:$A,$FG$1,'Existing Customers'!$H:$H,$FF28)*$FG$4,$FG28/$FR28),0)</f>
        <v>0</v>
      </c>
      <c r="FI28" s="95">
        <f>IFERROR(IF(AND($FG$2&lt;&gt;"Enter Spend&gt;&gt;&gt;",FH2="EXISTING"),SUMIFS('Existing Customers'!$O:$O,'Existing Customers'!$H:$H,$FF28,'Existing Customers'!$A:$A,$FG$1)*$FG$4,$FH28*$FG$8),0)</f>
        <v>0</v>
      </c>
      <c r="FJ28" s="95">
        <f>IFERROR(IF(AND($FG$2&lt;&gt;"Enter Spend&gt;&gt;&gt;",FH2="EXISTING"),SUMIFS('Existing Customers'!$P:$P,'Existing Customers'!$A:$A,$FG$1,'Existing Customers'!$H:$H,$FF28)*$FG$4,$FG28/$FS28),0)</f>
        <v>0</v>
      </c>
      <c r="FK28" s="96">
        <f>IFERROR(IF(AND($FG$2&lt;&gt;"Enter Spend&gt;&gt;&gt;",FH2="EXISTING"),SUMIFS('Existing Customers'!$V:$V,'Existing Customers'!$H:$H,$FF28,'Existing Customers'!$A:$A,$FG$1)*$FG$4,0),0)</f>
        <v>0</v>
      </c>
      <c r="FL28" s="96">
        <f>IFERROR(IF(AND($FG$2&lt;&gt;"Enter Spend&gt;&gt;&gt;",FH2="EXISTING"),SUMIFS('Existing Customers'!$R:$R,'Existing Customers'!$H:$H,$FF28,'Existing Customers'!$A:$A,$FG$1)*$FG$4,0),0)</f>
        <v>0</v>
      </c>
      <c r="FM28" s="1161">
        <f>IFERROR(IF(AND($FG$2&lt;&gt;"Enter Spend&gt;&gt;&gt;",FH2="EXISTING"),SUMIFS('Existing Customers'!$S:$S,'Existing Customers'!$H:$H,$FF28,'Existing Customers'!$A:$A,$FG$1),FW28*FG28),0)</f>
        <v>0</v>
      </c>
      <c r="FN28" s="1161">
        <f>IFERROR(IF(AND($FG$2&lt;&gt;"Enter Spend&gt;&gt;&gt;",FH2="EXISTING"),SUMIFS('Existing Customers'!$U:$U,'Existing Customers'!$H:$H,$FF28,'Existing Customers'!$A:$A,$FG$1),FX28*FG28),0)</f>
        <v>0</v>
      </c>
      <c r="FO28" s="1164" t="e">
        <f t="shared" si="34"/>
        <v>#N/A</v>
      </c>
      <c r="FP28" s="1164">
        <f t="array" ref="FP28">IFERROR(INDEX('Margin Guidence Table'!$A$1:$AD$30000,MATCH(1,('Margin Guidence Table'!$A$1:$A$10000=FO28)*('Margin Guidence Table'!$H$1:$H$10000&lt;=ROUND($FG$3,0))*('Margin Guidence Table'!$G$1:$G$10000&gt;=ROUND($FG$3,0)),0),MATCH("DATA_POINTS",'Margin Guidence Table'!$A$1:$AC$1,0)),0)</f>
        <v>0</v>
      </c>
      <c r="FQ28" s="1161" t="str">
        <f t="shared" si="35"/>
        <v>DEFAULT</v>
      </c>
      <c r="FR28" s="1161">
        <f t="array" ref="FR28">IFERROR(IF($FQ28="SEGMENT",INDEX('Margin Guidence Table'!$A$1:$AC$10000,MATCH(1,('Margin Guidence Table'!$A$1:$A$10000=FO28)*('Margin Guidence Table'!$H$1:$H$10000&lt;=ROUND($FG$3,0))*('Margin Guidence Table'!$G$1:$G$10000&gt;=ROUND($FG$3,0)),0),MATCH("SALES_CASE",'Margin Guidence Table'!$A$1:$AC$1,0)),INDEX('Margin Guidence Table'!$A$1:$AC$10000,MATCH(1,('Margin Guidence Table'!$A$1:$A$10000=FO28)*('Margin Guidence Table'!$H$1:$H$10000&lt;=ROUND($FG$3,0))*('Margin Guidence Table'!$G$1:$G$10000&gt;=ROUND($FG$3,0)),0),MATCH("DEFAULT_SALES_CASE",'Margin Guidence Table'!$A$1:$AC$1,0))),0)</f>
        <v>0</v>
      </c>
      <c r="FS28" s="1161">
        <f t="array" ref="FS28">IFERROR(IF($FQ28="SEGMENT",INDEX('Margin Guidence Table'!$A$1:$AC$10000,MATCH(1,('Margin Guidence Table'!$A$1:$A$10000=FO28)*('Margin Guidence Table'!$H$1:$H$10000&lt;=ROUND($FG$3,0))*('Margin Guidence Table'!$G$1:$G$10000&gt;=ROUND($FG$3,0)),0),MATCH("SALES_LBS",'Margin Guidence Table'!$A$1:$AC$1,0)),INDEX('Margin Guidence Table'!$A$1:$AC$10000,MATCH(1,('Margin Guidence Table'!$A$1:$A$10000=FO28)*('Margin Guidence Table'!$H$1:$H$10000&lt;=ROUND($FG$3,0))*('Margin Guidence Table'!$G$1:$G$10000&gt;=ROUND($FG$3,0)),0),MATCH("DEFAULT_SALES_LBS",'Margin Guidence Table'!$A$1:$AC$1,0))),0)</f>
        <v>0</v>
      </c>
      <c r="FT28" s="1165">
        <f t="array" ref="FT28">IFERROR(IF($FQ28="SEGMENT",INDEX('Margin Guidence Table'!$A$1:$AC$10000,MATCH(1,('Margin Guidence Table'!$A$1:$A$10000=FO28)*('Margin Guidence Table'!$H$1:$H$10000&lt;=ROUND($FG$3,0))*('Margin Guidence Table'!$G$1:$G$10000&gt;=ROUND($FG$3,0)),0),MATCH("MDA_MIN_MARGIN_GUIDENCE",'Margin Guidence Table'!$A$1:$AC$1,0)),INDEX('Margin Guidence Table'!$A$1:$AC$10000,MATCH(1,('Margin Guidence Table'!$A$1:$A$10000=FO28)*('Margin Guidence Table'!$H$1:$H$10000&lt;=ROUND($FG$3,0))*('Margin Guidence Table'!$G$1:$G$10000&gt;=ROUND($FG$3,0)),0),MATCH("DEFAULT_MDA_MIN_MARGIN_GUIDENCE",'Margin Guidence Table'!$A$1:$AC$1,0))),0)</f>
        <v>0</v>
      </c>
      <c r="FU28" s="1165">
        <f t="array" ref="FU28">IFERROR(IF($FQ28="SEGMENT",INDEX('Margin Guidence Table'!$A$1:$AC$10000,MATCH(1,('Margin Guidence Table'!$A$1:$A$10000=FO28)*('Margin Guidence Table'!$H$1:$H$10000&lt;=ROUND($FG$3,0))*('Margin Guidence Table'!$G$1:$G$10000&gt;=ROUND($FG$3,0)),0),MATCH("MDA_MEDIAN_MARGIN_GUIDENCE",'Margin Guidence Table'!$A$1:$AC$1,0)),INDEX('Margin Guidence Table'!$A$1:$AC$10000,MATCH(1,('Margin Guidence Table'!$A$1:$A$10000=FO28)*('Margin Guidence Table'!$H$1:$H$10000&lt;=ROUND($FG$3,0))*('Margin Guidence Table'!$G$1:$G$10000&gt;=ROUND($FG$3,0)),0),MATCH("DEFAULT_MDA_MEDIAN_MARGIN_GUIDENCE",'Margin Guidence Table'!$A$1:$AC$1,0))),0)</f>
        <v>0</v>
      </c>
      <c r="FV28" s="1165">
        <f t="array" ref="FV28">IFERROR(IF($FQ28="SEGMENT",INDEX('Margin Guidence Table'!$A$1:$AC$10000,MATCH(1,('Margin Guidence Table'!$A$1:$A$10000=FO28)*('Margin Guidence Table'!$H$1:$H$10000&lt;=ROUND($FG$3,0))*('Margin Guidence Table'!$G$1:$G$10000&gt;=ROUND($FG$3,0)),0),MATCH("MDA_MAX_MARGIN_GUIDENCE",'Margin Guidence Table'!$A$1:$AC$1,0)),INDEX('Margin Guidence Table'!$A$1:$AC$10000,MATCH(1,('Margin Guidence Table'!$A$1:$A$10000=FO28)*('Margin Guidence Table'!$H$1:$H$10000&lt;=ROUND($FG$3,0))*('Margin Guidence Table'!$G$1:$G$10000&gt;=ROUND($FG$3,0)),0),MATCH("DEFAULT_MDA_MAX_MARGIN_GUIDENCE",'Margin Guidence Table'!$A$1:$AC$1,0))),0)</f>
        <v>0</v>
      </c>
      <c r="FW28" s="1165">
        <f t="array" ref="FW28">IFERROR(IF($FQ28="SEGMENT",INDEX('Margin Guidence Table'!$A$1:$AC$10000,MATCH(1,('Margin Guidence Table'!$A$1:$A$10000=FO28)*('Margin Guidence Table'!$H$1:$H$10000&lt;=ROUND($FG$3,0))*('Margin Guidence Table'!$G$1:$G$10000&gt;=ROUND($FG$3,0)),0),MATCH("PA_PCT_SALES",'Margin Guidence Table'!$A$1:$AC$1,0)),INDEX('Margin Guidence Table'!$A$1:$AC$10000,MATCH(1,('Margin Guidence Table'!$A$1:$A$10000=FO28)*('Margin Guidence Table'!$H$1:$H$10000&lt;=ROUND($FG$3,0))*('Margin Guidence Table'!$G$1:$G$10000&gt;=ROUND($FG$3,0)),0),MATCH("DEFAULT_PA_PCT_SALES",'Margin Guidence Table'!$A$1:$AC$1,0))),0)</f>
        <v>0</v>
      </c>
      <c r="FX28" s="1165">
        <f t="array" ref="FX28">IFERROR(IF($FQ28="SEGMENT",INDEX('Margin Guidence Table'!$A$1:$AC$10000,MATCH(1,('Margin Guidence Table'!$A$1:$A$10000=FO28)*('Margin Guidence Table'!$H$1:$H$10000&lt;=ROUND($FG$3,0))*('Margin Guidence Table'!$G$1:$G$10000&gt;=ROUND($FG$3,0)),0),MATCH("SELF_FUND_PCT_SALES",'Margin Guidence Table'!$A$1:$AC$1,0)),INDEX('Margin Guidence Table'!$A$1:$AC$10000,MATCH(1,('Margin Guidence Table'!$A$1:$A$10000=FO28)*('Margin Guidence Table'!$H$1:$H$10000&lt;=ROUND($FG$3,0))*('Margin Guidence Table'!$G$1:$G$10000&gt;=ROUND($FG$3,0)),0),MATCH("DEFAULT_SELF_FUND_PCT_SALES",'Margin Guidence Table'!$A$1:$AC$1,0))),0)</f>
        <v>0</v>
      </c>
      <c r="FY28" s="1165">
        <f t="array" ref="FY28">IFERROR(IF($FQ28="SEGMENT",INDEX('Margin Guidence Table'!$A$1:$AC$10000,MATCH(1,('Margin Guidence Table'!$A$1:$A$10000=FO28)*('Margin Guidence Table'!$H$1:$H$10000&lt;=ROUND($FG$3,0))*('Margin Guidence Table'!$G$1:$G$10000&gt;=ROUND($FG$3,0)),0),MATCH("CIA_MEDIAN_MARGIN_GUIDENCE",'Margin Guidence Table'!$A$1:$AC$1,0)),INDEX('Margin Guidence Table'!$A$1:$AC$10000,MATCH(1,('Margin Guidence Table'!$A$1:$A$10000=FO28)*('Margin Guidence Table'!$H$1:$H$10000&lt;=ROUND($FG$3,0))*('Margin Guidence Table'!$G$1:$G$10000&gt;=ROUND($FG$3,0)),0),MATCH("DEFAULT_CIA_MEDIAN_MARGIN_GUIDENCE",'Margin Guidence Table'!$A$1:$AC$1,0))),0)</f>
        <v>0</v>
      </c>
      <c r="FZ28" s="129"/>
      <c r="GA28" s="18">
        <f t="array" ref="GA28">IFERROR(IF($GM28="SEGMENT",INDEX('Margin Guidence Table'!$A$1:$AC$10000,MATCH(1,('Margin Guidence Table'!$A$1:$A$10000=$GK28)*('Margin Guidence Table'!$H$1:$H$10000&lt;=ROUND($GC$3,0))*('Margin Guidence Table'!$G$1:$G$10000&gt;=ROUND($GC$3,0)),0),MATCH("PCT_SALES",'Margin Guidence Table'!$A$1:$AC$1,0)),INDEX('Margin Guidence Table'!$A$1:$AC$10000,MATCH(1,('Margin Guidence Table'!$A$1:$A$10000=$GK28)*('Margin Guidence Table'!$H$1:$H$10000&lt;=ROUND($GC$3,0))*('Margin Guidence Table'!$G$1:$G$10000&gt;=ROUND($GC$3,0)),0),MATCH("DEFAULT_PCT_SALES",'Margin Guidence Table'!$A$1:$AC$1,0))),0)</f>
        <v>0</v>
      </c>
      <c r="GB28" s="102" t="s">
        <v>91</v>
      </c>
      <c r="GC28" s="94">
        <f>IFERROR(IF(AND($GC$2&lt;&gt;"Enter Spend&gt;&gt;&gt;",GD2="EXISTING"),SUMIFS('Existing Customers'!$Q:$Q,'Existing Customers'!$A:$A,$GC$1,'Existing Customers'!$H:$H,$GB28)*$GC$4,$GC$3*$GA28),0)</f>
        <v>0</v>
      </c>
      <c r="GD28" s="89">
        <f>IFERROR(IF(AND($GC$2&lt;&gt;"Enter Spend&gt;&gt;&gt;",GD2="EXISTING"),SUMIFS('Existing Customers'!$N:$N,'Existing Customers'!$A:$A,$GC$1,'Existing Customers'!$H:$H,$GB28)*$GC$4,$GC28/$GN28),0)</f>
        <v>0</v>
      </c>
      <c r="GE28" s="95">
        <f>IFERROR(IF(AND($GC$2&lt;&gt;"Enter Spend&gt;&gt;&gt;",GD2="EXISTING"),SUMIFS('Existing Customers'!$O:$O,'Existing Customers'!$H:$H,$GB28,'Existing Customers'!$A:$A,$GC$1)*$GC$4,$GD28*$GC$8),0)</f>
        <v>0</v>
      </c>
      <c r="GF28" s="95">
        <f>IFERROR(IF(AND($GC$2&lt;&gt;"Enter Spend&gt;&gt;&gt;",GD2="EXISTING"),SUMIFS('Existing Customers'!$P:$P,'Existing Customers'!$A:$A,$GC$1,'Existing Customers'!$H:$H,$GB28)*$GC$4,$GC28/$GO28),0)</f>
        <v>0</v>
      </c>
      <c r="GG28" s="96">
        <f>IFERROR(IF(AND($GC$2&lt;&gt;"Enter Spend&gt;&gt;&gt;",GD2="EXISTING"),SUMIFS('Existing Customers'!$V:$V,'Existing Customers'!$H:$H,$GB28,'Existing Customers'!$A:$A,$GC$1)*$GC$4,0),0)</f>
        <v>0</v>
      </c>
      <c r="GH28" s="96">
        <f>IFERROR(IF(AND($GC$2&lt;&gt;"Enter Spend&gt;&gt;&gt;",GD2="EXISTING"),SUMIFS('Existing Customers'!$R:$R,'Existing Customers'!$H:$H,$GB28,'Existing Customers'!$A:$A,$GC$1)*$GC$4,0),0)</f>
        <v>0</v>
      </c>
      <c r="GI28" s="1161">
        <f>IFERROR(IF(AND($GC$2&lt;&gt;"Enter Spend&gt;&gt;&gt;",GD2="EXISTING"),SUMIFS('Existing Customers'!$S:$S,'Existing Customers'!$H:$H,$GB28,'Existing Customers'!$A:$A,$GC$1),GS28*GC28),0)</f>
        <v>0</v>
      </c>
      <c r="GJ28" s="1161">
        <f>IFERROR(IF(AND($GC$2&lt;&gt;"Enter Spend&gt;&gt;&gt;",GD2="EXISTING"),SUMIFS('Existing Customers'!$U:$U,'Existing Customers'!$H:$H,$GB28,'Existing Customers'!$A:$A,$GC$1),GT28*GC28),0)</f>
        <v>0</v>
      </c>
      <c r="GK28" s="1164" t="e">
        <f t="shared" si="36"/>
        <v>#N/A</v>
      </c>
      <c r="GL28" s="1164">
        <f t="array" ref="GL28">IFERROR(INDEX('Margin Guidence Table'!$A$1:$AD$30000,MATCH(1,('Margin Guidence Table'!$A$1:$A$10000=GK28)*('Margin Guidence Table'!$H$1:$H$10000&lt;=ROUND($GC$3,0))*('Margin Guidence Table'!$G$1:$G$10000&gt;=ROUND($GC$3,0)),0),MATCH("DATA_POINTS",'Margin Guidence Table'!$A$1:$AC$1,0)),0)</f>
        <v>0</v>
      </c>
      <c r="GM28" s="1161" t="str">
        <f t="shared" si="37"/>
        <v>DEFAULT</v>
      </c>
      <c r="GN28" s="1161">
        <f t="array" ref="GN28">IFERROR(IF($GM28="SEGMENT",INDEX('Margin Guidence Table'!$A$1:$AC$10000,MATCH(1,('Margin Guidence Table'!$A$1:$A$10000=GK28)*('Margin Guidence Table'!$H$1:$H$10000&lt;=ROUND($GC$3,0))*('Margin Guidence Table'!$G$1:$G$10000&gt;=ROUND($GC$3,0)),0),MATCH("SALES_CASE",'Margin Guidence Table'!$A$1:$AC$1,0)),INDEX('Margin Guidence Table'!$A$1:$AC$10000,MATCH(1,('Margin Guidence Table'!$A$1:$A$10000=GK28)*('Margin Guidence Table'!$H$1:$H$10000&lt;=ROUND($GC$3,0))*('Margin Guidence Table'!$G$1:$G$10000&gt;=ROUND($GC$3,0)),0),MATCH("DEFAULT_SALES_CASE",'Margin Guidence Table'!$A$1:$AC$1,0))),0)</f>
        <v>0</v>
      </c>
      <c r="GO28" s="1161">
        <f t="array" ref="GO28">IFERROR(IF($GM28="SEGMENT",INDEX('Margin Guidence Table'!$A$1:$AC$10000,MATCH(1,('Margin Guidence Table'!$A$1:$A$10000=GK28)*('Margin Guidence Table'!$H$1:$H$10000&lt;=ROUND($GC$3,0))*('Margin Guidence Table'!$G$1:$G$10000&gt;=ROUND($GC$3,0)),0),MATCH("SALES_LBS",'Margin Guidence Table'!$A$1:$AC$1,0)),INDEX('Margin Guidence Table'!$A$1:$AC$10000,MATCH(1,('Margin Guidence Table'!$A$1:$A$10000=GK28)*('Margin Guidence Table'!$H$1:$H$10000&lt;=ROUND($GC$3,0))*('Margin Guidence Table'!$G$1:$G$10000&gt;=ROUND($GC$3,0)),0),MATCH("DEFAULT_SALES_LBS",'Margin Guidence Table'!$A$1:$AC$1,0))),0)</f>
        <v>0</v>
      </c>
      <c r="GP28" s="1165">
        <f t="array" ref="GP28">IFERROR(IF($GM28="SEGMENT",INDEX('Margin Guidence Table'!$A$1:$AC$10000,MATCH(1,('Margin Guidence Table'!$A$1:$A$10000=GK28)*('Margin Guidence Table'!$H$1:$H$10000&lt;=ROUND($GC$3,0))*('Margin Guidence Table'!$G$1:$G$10000&gt;=ROUND($GC$3,0)),0),MATCH("MDA_MIN_MARGIN_GUIDENCE",'Margin Guidence Table'!$A$1:$AC$1,0)),INDEX('Margin Guidence Table'!$A$1:$AC$10000,MATCH(1,('Margin Guidence Table'!$A$1:$A$10000=GK28)*('Margin Guidence Table'!$H$1:$H$10000&lt;=ROUND($GC$3,0))*('Margin Guidence Table'!$G$1:$G$10000&gt;=ROUND($GC$3,0)),0),MATCH("DEFAULT_MDA_MIN_MARGIN_GUIDENCE",'Margin Guidence Table'!$A$1:$AC$1,0))),0)</f>
        <v>0</v>
      </c>
      <c r="GQ28" s="1165">
        <f t="array" ref="GQ28">IFERROR(IF($GM28="SEGMENT",INDEX('Margin Guidence Table'!$A$1:$AC$10000,MATCH(1,('Margin Guidence Table'!$A$1:$A$10000=GK28)*('Margin Guidence Table'!$H$1:$H$10000&lt;=ROUND($GC$3,0))*('Margin Guidence Table'!$G$1:$G$10000&gt;=ROUND($GC$3,0)),0),MATCH("MDA_MEDIAN_MARGIN_GUIDENCE",'Margin Guidence Table'!$A$1:$AC$1,0)),INDEX('Margin Guidence Table'!$A$1:$AC$10000,MATCH(1,('Margin Guidence Table'!$A$1:$A$10000=GK28)*('Margin Guidence Table'!$H$1:$H$10000&lt;=ROUND($GC$3,0))*('Margin Guidence Table'!$G$1:$G$10000&gt;=ROUND($GC$3,0)),0),MATCH("DEFAULT_MDA_MEDIAN_MARGIN_GUIDENCE",'Margin Guidence Table'!$A$1:$AC$1,0))),0)</f>
        <v>0</v>
      </c>
      <c r="GR28" s="1165">
        <f t="array" ref="GR28">IFERROR(IF($GM28="SEGMENT",INDEX('Margin Guidence Table'!$A$1:$AC$10000,MATCH(1,('Margin Guidence Table'!$A$1:$A$10000=GK28)*('Margin Guidence Table'!$H$1:$H$10000&lt;=ROUND($GC$3,0))*('Margin Guidence Table'!$G$1:$G$10000&gt;=ROUND($GC$3,0)),0),MATCH("MDA_MAX_MARGIN_GUIDENCE",'Margin Guidence Table'!$A$1:$AC$1,0)),INDEX('Margin Guidence Table'!$A$1:$AC$10000,MATCH(1,('Margin Guidence Table'!$A$1:$A$10000=GK28)*('Margin Guidence Table'!$H$1:$H$10000&lt;=ROUND($GC$3,0))*('Margin Guidence Table'!$G$1:$G$10000&gt;=ROUND($GC$3,0)),0),MATCH("DEFAULT_MDA_MAX_MARGIN_GUIDENCE",'Margin Guidence Table'!$A$1:$AC$1,0))),0)</f>
        <v>0</v>
      </c>
      <c r="GS28" s="1165">
        <f t="array" ref="GS28">IFERROR(IF($GM28="SEGMENT",INDEX('Margin Guidence Table'!$A$1:$AC$10000,MATCH(1,('Margin Guidence Table'!$A$1:$A$10000=GK28)*('Margin Guidence Table'!$H$1:$H$10000&lt;=ROUND($GC$3,0))*('Margin Guidence Table'!$G$1:$G$10000&gt;=ROUND($GC$3,0)),0),MATCH("PA_PCT_SALES",'Margin Guidence Table'!$A$1:$AC$1,0)),INDEX('Margin Guidence Table'!$A$1:$AC$10000,MATCH(1,('Margin Guidence Table'!$A$1:$A$10000=GK28)*('Margin Guidence Table'!$H$1:$H$10000&lt;=ROUND($GC$3,0))*('Margin Guidence Table'!$G$1:$G$10000&gt;=ROUND($GC$3,0)),0),MATCH("DEFAULT_PA_PCT_SALES",'Margin Guidence Table'!$A$1:$AC$1,0))),0)</f>
        <v>0</v>
      </c>
      <c r="GT28" s="1165">
        <f t="array" ref="GT28">IFERROR(IF($GM28="SEGMENT",INDEX('Margin Guidence Table'!$A$1:$AC$10000,MATCH(1,('Margin Guidence Table'!$A$1:$A$10000=GK28)*('Margin Guidence Table'!$H$1:$H$10000&lt;=ROUND($GC$3,0))*('Margin Guidence Table'!$G$1:$G$10000&gt;=ROUND($GC$3,0)),0),MATCH("SELF_FUND_PCT_SALES",'Margin Guidence Table'!$A$1:$AC$1,0)),INDEX('Margin Guidence Table'!$A$1:$AC$10000,MATCH(1,('Margin Guidence Table'!$A$1:$A$10000=GK28)*('Margin Guidence Table'!$H$1:$H$10000&lt;=ROUND($GC$3,0))*('Margin Guidence Table'!$G$1:$G$10000&gt;=ROUND($GC$3,0)),0),MATCH("DEFAULT_SELF_FUND_PCT_SALES",'Margin Guidence Table'!$A$1:$AC$1,0))),0)</f>
        <v>0</v>
      </c>
      <c r="GU28" s="1165">
        <f t="array" ref="GU28">IFERROR(IF($GM28="SEGMENT",INDEX('Margin Guidence Table'!$A$1:$AC$10000,MATCH(1,('Margin Guidence Table'!$A$1:$A$10000=GK28)*('Margin Guidence Table'!$H$1:$H$10000&lt;=ROUND($GC$3,0))*('Margin Guidence Table'!$G$1:$G$10000&gt;=ROUND($GC$3,0)),0),MATCH("CIA_MEDIAN_MARGIN_GUIDENCE",'Margin Guidence Table'!$A$1:$AC$1,0)),INDEX('Margin Guidence Table'!$A$1:$AC$10000,MATCH(1,('Margin Guidence Table'!$A$1:$A$10000=GK28)*('Margin Guidence Table'!$H$1:$H$10000&lt;=ROUND($GC$3,0))*('Margin Guidence Table'!$G$1:$G$10000&gt;=ROUND($GC$3,0)),0),MATCH("DEFAULT_CIA_MEDIAN_MARGIN_GUIDENCE",'Margin Guidence Table'!$A$1:$AC$1,0))),0)</f>
        <v>0</v>
      </c>
      <c r="GV28" s="129"/>
      <c r="GW28" s="18">
        <f t="array" ref="GW28">IFERROR(IF($HI28="SEGMENT",INDEX('Margin Guidence Table'!$A$1:$AC$10000,MATCH(1,('Margin Guidence Table'!$A$1:$A$10000=$HG28)*('Margin Guidence Table'!$H$1:$H$10000&lt;=ROUND($GY$3,0))*('Margin Guidence Table'!$G$1:$G$10000&gt;=ROUND($GY$3,0)),0),MATCH("PCT_SALES",'Margin Guidence Table'!$A$1:$AC$1,0)),INDEX('Margin Guidence Table'!$A$1:$AC$10000,MATCH(1,('Margin Guidence Table'!$A$1:$A$10000=$HG28)*('Margin Guidence Table'!$H$1:$H$10000&lt;=ROUND($GY$3,0))*('Margin Guidence Table'!$G$1:$G$10000&gt;=ROUND($GY$3,0)),0),MATCH("DEFAULT_PCT_SALES",'Margin Guidence Table'!$A$1:$AC$1,0))),0)</f>
        <v>0</v>
      </c>
      <c r="GX28" s="102" t="s">
        <v>91</v>
      </c>
      <c r="GY28" s="94">
        <f>IFERROR(IF(AND($GY$2&lt;&gt;"Enter Spend&gt;&gt;&gt;",GZ2="EXISTING"),SUMIFS('Existing Customers'!$Q:$Q,'Existing Customers'!$A:$A,$GY$1,'Existing Customers'!$H:$H,$GX28)*$GY$4,$GY$3*$GW28),0)</f>
        <v>0</v>
      </c>
      <c r="GZ28" s="89">
        <f>IFERROR(IF(AND($GY$2&lt;&gt;"Enter Spend&gt;&gt;&gt;",GZ2="EXISTING"),SUMIFS('Existing Customers'!$N:$N,'Existing Customers'!$A:$A,$GY$1,'Existing Customers'!$H:$H,$GX28)*$GY$4,$GY28/$HJ28),0)</f>
        <v>0</v>
      </c>
      <c r="HA28" s="95">
        <f>IFERROR(IF(AND($GY$2&lt;&gt;"Enter Spend&gt;&gt;&gt;",GZ2="EXISTING"),SUMIFS('Existing Customers'!$O:$O,'Existing Customers'!$H:$H,$GX28,'Existing Customers'!$A:$A,$GY$1)*$GY$4,$GZ28*$GY$8),0)</f>
        <v>0</v>
      </c>
      <c r="HB28" s="95">
        <f>IFERROR(IF(AND($GY$2&lt;&gt;"Enter Spend&gt;&gt;&gt;",GZ2="EXISTING"),SUMIFS('Existing Customers'!$P:$P,'Existing Customers'!$A:$A,$GY$1,'Existing Customers'!$H:$H,$GX28)*$GY$4,$GY28/$HK28),0)</f>
        <v>0</v>
      </c>
      <c r="HC28" s="96">
        <f>IFERROR(IF(AND($GY$2&lt;&gt;"Enter Spend&gt;&gt;&gt;",GZ2="EXISTING"),SUMIFS('Existing Customers'!$V:$V,'Existing Customers'!$H:$H,$GX28,'Existing Customers'!$A:$A,$GY$1)*$GY$4,0),0)</f>
        <v>0</v>
      </c>
      <c r="HD28" s="96">
        <f>IFERROR(IF(AND($GY$2&lt;&gt;"Enter Spend&gt;&gt;&gt;",GZ2="EXISTING"),SUMIFS('Existing Customers'!$R:$R,'Existing Customers'!$H:$H,$GX28,'Existing Customers'!$A:$A,$GY$1)*$GY$4,0),0)</f>
        <v>0</v>
      </c>
      <c r="HE28" s="1161">
        <f>IFERROR(IF(AND($GY$2&lt;&gt;"Enter Spend&gt;&gt;&gt;",GZ2="EXISTING"),SUMIFS('Existing Customers'!$S:$S,'Existing Customers'!$H:$H,$GX28,'Existing Customers'!$A:$A,$GY$1),HO28*GY28),0)</f>
        <v>0</v>
      </c>
      <c r="HF28" s="1161">
        <f>IFERROR(IF(AND($GY$2&lt;&gt;"Enter Spend&gt;&gt;&gt;",GZ2="EXISTING"),SUMIFS('Existing Customers'!$U:$U,'Existing Customers'!$H:$H,$GX28,'Existing Customers'!$A:$A,$GY$1),HP28*GY28),0)</f>
        <v>0</v>
      </c>
      <c r="HG28" s="1164" t="e">
        <f t="shared" si="38"/>
        <v>#N/A</v>
      </c>
      <c r="HH28" s="1164">
        <f t="array" ref="HH28">IFERROR(INDEX('Margin Guidence Table'!$A$1:$AD$30000,MATCH(1,('Margin Guidence Table'!$A$1:$A$10000=HG28)*('Margin Guidence Table'!$H$1:$H$10000&lt;=ROUND($GY$3,0))*('Margin Guidence Table'!$G$1:$G$10000&gt;=ROUND($GY$3,0)),0),MATCH("DATA_POINTS",'Margin Guidence Table'!$A$1:$AC$1,0)),0)</f>
        <v>0</v>
      </c>
      <c r="HI28" s="1161" t="str">
        <f t="shared" si="39"/>
        <v>DEFAULT</v>
      </c>
      <c r="HJ28" s="1161">
        <f t="array" ref="HJ28">IFERROR(IF($HI28="SEGMENT",INDEX('Margin Guidence Table'!$A$1:$AC$10000,MATCH(1,('Margin Guidence Table'!$A$1:$A$10000=HG28)*('Margin Guidence Table'!$H$1:$H$10000&lt;=ROUND($GY$3,0))*('Margin Guidence Table'!$G$1:$G$10000&gt;=ROUND($GY$3,0)),0),MATCH("SALES_CASE",'Margin Guidence Table'!$A$1:$AC$1,0)),INDEX('Margin Guidence Table'!$A$1:$AC$10000,MATCH(1,('Margin Guidence Table'!$A$1:$A$10000=HG28)*('Margin Guidence Table'!$H$1:$H$10000&lt;=ROUND($GY$3,0))*('Margin Guidence Table'!$G$1:$G$10000&gt;=ROUND($GY$3,0)),0),MATCH("DEFAULT_SALES_CASE",'Margin Guidence Table'!$A$1:$AC$1,0))),0)</f>
        <v>0</v>
      </c>
      <c r="HK28" s="1161">
        <f t="array" ref="HK28">IFERROR(IF($HI28="SEGMENT",INDEX('Margin Guidence Table'!$A$1:$AC$10000,MATCH(1,('Margin Guidence Table'!$A$1:$A$10000=HG28)*('Margin Guidence Table'!$H$1:$H$10000&lt;=ROUND($GY$3,0))*('Margin Guidence Table'!$G$1:$G$10000&gt;=ROUND($GY$3,0)),0),MATCH("SALES_LBS",'Margin Guidence Table'!$A$1:$AC$1,0)),INDEX('Margin Guidence Table'!$A$1:$AC$10000,MATCH(1,('Margin Guidence Table'!$A$1:$A$10000=HG28)*('Margin Guidence Table'!$H$1:$H$10000&lt;=ROUND($GY$3,0))*('Margin Guidence Table'!$G$1:$G$10000&gt;=ROUND($GY$3,0)),0),MATCH("DEFAULT_SALES_LBS",'Margin Guidence Table'!$A$1:$AC$1,0))),0)</f>
        <v>0</v>
      </c>
      <c r="HL28" s="1165">
        <f t="array" ref="HL28">IFERROR(IF($HI28="SEGMENT",INDEX('Margin Guidence Table'!$A$1:$AC$10000,MATCH(1,('Margin Guidence Table'!$A$1:$A$10000=HG28)*('Margin Guidence Table'!$H$1:$H$10000&lt;=ROUND($GY$3,0))*('Margin Guidence Table'!$G$1:$G$10000&gt;=ROUND($GY$3,0)),0),MATCH("MDA_MIN_MARGIN_GUIDENCE",'Margin Guidence Table'!$A$1:$AC$1,0)),INDEX('Margin Guidence Table'!$A$1:$AC$10000,MATCH(1,('Margin Guidence Table'!$A$1:$A$10000=HG28)*('Margin Guidence Table'!$H$1:$H$10000&lt;=ROUND($GY$3,0))*('Margin Guidence Table'!$G$1:$G$10000&gt;=ROUND($GY$3,0)),0),MATCH("DEFAULT_MDA_MIN_MARGIN_GUIDENCE",'Margin Guidence Table'!$A$1:$AC$1,0))),0)</f>
        <v>0</v>
      </c>
      <c r="HM28" s="1165">
        <f t="array" ref="HM28">IFERROR(IF($HI28="SEGMENT",INDEX('Margin Guidence Table'!$A$1:$AC$10000,MATCH(1,('Margin Guidence Table'!$A$1:$A$10000=HG28)*('Margin Guidence Table'!$H$1:$H$10000&lt;=ROUND($GY$3,0))*('Margin Guidence Table'!$G$1:$G$10000&gt;=ROUND($GY$3,0)),0),MATCH("MDA_MEDIAN_MARGIN_GUIDENCE",'Margin Guidence Table'!$A$1:$AC$1,0)),INDEX('Margin Guidence Table'!$A$1:$AC$10000,MATCH(1,('Margin Guidence Table'!$A$1:$A$10000=HG28)*('Margin Guidence Table'!$H$1:$H$10000&lt;=ROUND($GY$3,0))*('Margin Guidence Table'!$G$1:$G$10000&gt;=ROUND($GY$3,0)),0),MATCH("DEFAULT_MDA_MEDIAN_MARGIN_GUIDENCE",'Margin Guidence Table'!$A$1:$AC$1,0))),0)</f>
        <v>0</v>
      </c>
      <c r="HN28" s="1165">
        <f t="array" ref="HN28">IFERROR(IF($HI28="SEGMENT",INDEX('Margin Guidence Table'!$A$1:$AC$10000,MATCH(1,('Margin Guidence Table'!$A$1:$A$10000=HG28)*('Margin Guidence Table'!$H$1:$H$10000&lt;=ROUND($GY$3,0))*('Margin Guidence Table'!$G$1:$G$10000&gt;=ROUND($GY$3,0)),0),MATCH("MDA_MAX_MARGIN_GUIDENCE",'Margin Guidence Table'!$A$1:$AC$1,0)),INDEX('Margin Guidence Table'!$A$1:$AC$10000,MATCH(1,('Margin Guidence Table'!$A$1:$A$10000=HG28)*('Margin Guidence Table'!$H$1:$H$10000&lt;=ROUND($GY$3,0))*('Margin Guidence Table'!$G$1:$G$10000&gt;=ROUND($GY$3,0)),0),MATCH("DEFAULT_MDA_MAX_MARGIN_GUIDENCE",'Margin Guidence Table'!$A$1:$AC$1,0))),0)</f>
        <v>0</v>
      </c>
      <c r="HO28" s="1165">
        <f t="array" ref="HO28">IFERROR(IF($HI28="SEGMENT",INDEX('Margin Guidence Table'!$A$1:$AC$10000,MATCH(1,('Margin Guidence Table'!$A$1:$A$10000=HG28)*('Margin Guidence Table'!$H$1:$H$10000&lt;=ROUND($GY$3,0))*('Margin Guidence Table'!$G$1:$G$10000&gt;=ROUND($GY$3,0)),0),MATCH("PA_PCT_SALES",'Margin Guidence Table'!$A$1:$AC$1,0)),INDEX('Margin Guidence Table'!$A$1:$AC$10000,MATCH(1,('Margin Guidence Table'!$A$1:$A$10000=HG28)*('Margin Guidence Table'!$H$1:$H$10000&lt;=ROUND($GY$3,0))*('Margin Guidence Table'!$G$1:$G$10000&gt;=ROUND($GY$3,0)),0),MATCH("DEFAULT_PA_PCT_SALES",'Margin Guidence Table'!$A$1:$AC$1,0))),0)</f>
        <v>0</v>
      </c>
      <c r="HP28" s="1165">
        <f t="array" ref="HP28">IFERROR(IF($HI28="SEGMENT",INDEX('Margin Guidence Table'!$A$1:$AC$10000,MATCH(1,('Margin Guidence Table'!$A$1:$A$10000=HG28)*('Margin Guidence Table'!$H$1:$H$10000&lt;=ROUND($GY$3,0))*('Margin Guidence Table'!$G$1:$G$10000&gt;=ROUND($GY$3,0)),0),MATCH("SELF_FUND_PCT_SALES",'Margin Guidence Table'!$A$1:$AC$1,0)),INDEX('Margin Guidence Table'!$A$1:$AC$10000,MATCH(1,('Margin Guidence Table'!$A$1:$A$10000=HG28)*('Margin Guidence Table'!$H$1:$H$10000&lt;=ROUND($GY$3,0))*('Margin Guidence Table'!$G$1:$G$10000&gt;=ROUND($GY$3,0)),0),MATCH("DEFAULT_SELF_FUND_PCT_SALES",'Margin Guidence Table'!$A$1:$AC$1,0))),0)</f>
        <v>0</v>
      </c>
      <c r="HQ28" s="1165">
        <f t="array" ref="HQ28">IFERROR(IF($HI28="SEGMENT",INDEX('Margin Guidence Table'!$A$1:$AC$10000,MATCH(1,('Margin Guidence Table'!$A$1:$A$10000=HG28)*('Margin Guidence Table'!$H$1:$H$10000&lt;=ROUND($GY$3,0))*('Margin Guidence Table'!$G$1:$G$10000&gt;=ROUND($GY$3,0)),0),MATCH("CIA_MEDIAN_MARGIN_GUIDENCE",'Margin Guidence Table'!$A$1:$AC$1,0)),INDEX('Margin Guidence Table'!$A$1:$AC$10000,MATCH(1,('Margin Guidence Table'!$A$1:$A$10000=HG28)*('Margin Guidence Table'!$H$1:$H$10000&lt;=ROUND($GY$3,0))*('Margin Guidence Table'!$G$1:$G$10000&gt;=ROUND($GY$3,0)),0),MATCH("DEFAULT_CIA_MEDIAN_MARGIN_GUIDENCE",'Margin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Spend&gt;&gt;&gt;",HV2="EXISTING"),SUMIFS('Existing Customers'!$Q:$Q,'Existing Customers'!$A:$A,$HU$1,'Existing Customers'!$H:$H,$HT28)*$HU$4,$HU$3*$HS28),0)</f>
        <v>0</v>
      </c>
      <c r="HV28" s="89">
        <f>IFERROR(IF(AND($HU$2&lt;&gt;"Enter Spend&gt;&gt;&gt;",HV2="EXISTING"),SUMIFS('Existing Customers'!$N:$N,'Existing Customers'!$A:$A,$HU$1,'Existing Customers'!$H:$H,$HT28)*$HU$4,$HU28/$IF28),0)</f>
        <v>0</v>
      </c>
      <c r="HW28" s="95">
        <f>IFERROR(IF(AND($HU$2&lt;&gt;"Enter Spend&gt;&gt;&gt;",HV2="EXISTING"),SUMIFS('Existing Customers'!$O:$O,'Existing Customers'!$H:$H,$HT28,'Existing Customers'!$A:$A,$HU$1)*$HU$4,$HV28*$HU$8),0)</f>
        <v>0</v>
      </c>
      <c r="HX28" s="95">
        <f>IFERROR(IF(AND($HU$2&lt;&gt;"Enter Spend&gt;&gt;&gt;",HV2="EXISTING"),SUMIFS('Existing Customers'!$P:$P,'Existing Customers'!$A:$A,$HU$1,'Existing Customers'!$H:$H,$HT28)*$HU$4,$HU28/$IG28),0)</f>
        <v>0</v>
      </c>
      <c r="HY28" s="402">
        <f>IFERROR(IF(AND($HU$2&lt;&gt;"Enter Spend&gt;&gt;&gt;",HV2="EXISTING"),SUMIFS('Existing Customers'!$V:$V,'Existing Customers'!$H:$H,$HT28,'Existing Customers'!$A:$A,$HU$1)*$HU$4,0),0)</f>
        <v>0</v>
      </c>
      <c r="HZ28" s="96">
        <f>IFERROR(IF(AND($HU$2&lt;&gt;"Enter Spend&gt;&gt;&gt;",HV2="EXISTING"),SUMIFS('Existing Customers'!$R:$R,'Existing Customers'!$H:$H,$HT28,'Existing Customers'!$A:$A,$HU$1)*$HU$4,0),0)</f>
        <v>0</v>
      </c>
      <c r="IA28" s="1161">
        <f>IFERROR(IF(AND($HU$2&lt;&gt;"Enter Spend&gt;&gt;&gt;",HV2="EXISTING"),SUMIFS('Existing Customers'!$S:$S,'Existing Customers'!$H:$H,$HT28,'Existing Customers'!$A:$A,$HU$1),IK28*HU28),0)</f>
        <v>0</v>
      </c>
      <c r="IB28" s="1161">
        <f>IFERROR(IF(AND($HU$2&lt;&gt;"Enter Spend&gt;&gt;&gt;",HV2="EXISTING"),SUMIFS('Existing Customers'!$U:$U,'Existing Customers'!$H:$H,$HT28,'Existing Customers'!$A:$A,$HU$1),IL28*HU28),0)</f>
        <v>0</v>
      </c>
      <c r="IC28" s="1164" t="e">
        <f t="shared" si="40"/>
        <v>#N/A</v>
      </c>
      <c r="ID28" s="1164">
        <f t="array" ref="ID28">IFERROR(INDEX('Margin Guidence Table'!$A$1:$AD$30000,MATCH(1,('Margin Guidence Table'!$A$1:$A$10000=IC28)*('Margin Guidence Table'!$H$1:$H$10000&lt;=ROUND($HU$3,0))*('Margin Guidence Table'!$G$1:$G$10000&gt;=ROUND($HU$3,0)),0),MATCH("DATA_POINTS",'Margin Guidence Table'!$A$1:$AC$1,0)),0)</f>
        <v>0</v>
      </c>
      <c r="IE28" s="1161" t="str">
        <f t="shared" si="41"/>
        <v>DEFAULT</v>
      </c>
      <c r="IF28" s="1161">
        <f t="array" ref="IF28">IFERROR(IF($IE28="SEGMENT",INDEX('Margin Guidence Table'!$A$1:$AC$10000,MATCH(1,('Margin Guidence Table'!$A$1:$A$10000=IC28)*('Margin Guidence Table'!$H$1:$H$10000&lt;=ROUND($HU$3,0))*('Margin Guidence Table'!$G$1:$G$10000&gt;=ROUND($HU$3,0)),0),MATCH("SALES_CASE",'Margin Guidence Table'!$A$1:$AC$1,0)),INDEX('Margin Guidence Table'!$A$1:$AC$10000,MATCH(1,('Margin Guidence Table'!$A$1:$A$10000=IC28)*('Margin Guidence Table'!$H$1:$H$10000&lt;=ROUND($HU$3,0))*('Margin Guidence Table'!$G$1:$G$10000&gt;=ROUND($HU$3,0)),0),MATCH("DEFAULT_SALES_CASE",'Margin Guidence Table'!$A$1:$AC$1,0))),0)</f>
        <v>0</v>
      </c>
      <c r="IG28" s="1161">
        <f t="array" ref="IG28">IFERROR(IF($IE28="SEGMENT",INDEX('Margin Guidence Table'!$A$1:$AC$10000,MATCH(1,('Margin Guidence Table'!$A$1:$A$10000=IC28)*('Margin Guidence Table'!$H$1:$H$10000&lt;=ROUND($HU$3,0))*('Margin Guidence Table'!$G$1:$G$10000&gt;=ROUND($HU$3,0)),0),MATCH("SALES_LBS",'Margin Guidence Table'!$A$1:$AC$1,0)),INDEX('Margin Guidence Table'!$A$1:$AC$10000,MATCH(1,('Margin Guidence Table'!$A$1:$A$10000=IC28)*('Margin Guidence Table'!$H$1:$H$10000&lt;=ROUND($HU$3,0))*('Margin Guidence Table'!$G$1:$G$10000&gt;=ROUND($HU$3,0)),0),MATCH("DEFAULT_SALES_LBS",'Margin Guidence Table'!$A$1:$AC$1,0))),0)</f>
        <v>0</v>
      </c>
      <c r="IH28" s="1165">
        <f t="array" ref="IH28">IFERROR(IF($IE28="SEGMENT",INDEX('Margin Guidence Table'!$A$1:$AC$10000,MATCH(1,('Margin Guidence Table'!$A$1:$A$10000=IC28)*('Margin Guidence Table'!$H$1:$H$10000&lt;=ROUND($HU$3,0))*('Margin Guidence Table'!$G$1:$G$10000&gt;=ROUND($HU$3,0)),0),MATCH("MDA_MIN_MARGIN_GUIDENCE",'Margin Guidence Table'!$A$1:$AC$1,0)),INDEX('Margin Guidence Table'!$A$1:$AC$10000,MATCH(1,('Margin Guidence Table'!$A$1:$A$10000=IC28)*('Margin Guidence Table'!$H$1:$H$10000&lt;=ROUND($HU$3,0))*('Margin Guidence Table'!$G$1:$G$10000&gt;=ROUND($HU$3,0)),0),MATCH("DEFAULT_MDA_MIN_MARGIN_GUIDENCE",'Margin Guidence Table'!$A$1:$AC$1,0))),0)</f>
        <v>0</v>
      </c>
      <c r="II28" s="1165">
        <f t="array" ref="II28">IFERROR(IF($IE28="SEGMENT",INDEX('Margin Guidence Table'!$A$1:$AC$10000,MATCH(1,('Margin Guidence Table'!$A$1:$A$10000=IC28)*('Margin Guidence Table'!$H$1:$H$10000&lt;=ROUND($HU$3,0))*('Margin Guidence Table'!$G$1:$G$10000&gt;=ROUND($HU$3,0)),0),MATCH("MDA_MEDIAN_MARGIN_GUIDENCE",'Margin Guidence Table'!$A$1:$AC$1,0)),INDEX('Margin Guidence Table'!$A$1:$AC$10000,MATCH(1,('Margin Guidence Table'!$A$1:$A$10000=IC28)*('Margin Guidence Table'!$H$1:$H$10000&lt;=ROUND($HU$3,0))*('Margin Guidence Table'!$G$1:$G$10000&gt;=ROUND($HU$3,0)),0),MATCH("DEFAULT_MDA_MEDIAN_MARGIN_GUIDENCE",'Margin Guidence Table'!$A$1:$AC$1,0))),0)</f>
        <v>0</v>
      </c>
      <c r="IJ28" s="1165">
        <f t="array" ref="IJ28">IFERROR(IF($IE28="SEGMENT",INDEX('Margin Guidence Table'!$A$1:$AC$10000,MATCH(1,('Margin Guidence Table'!$A$1:$A$10000=IC28)*('Margin Guidence Table'!$H$1:$H$10000&lt;=ROUND($HU$3,0))*('Margin Guidence Table'!$G$1:$G$10000&gt;=ROUND($HU$3,0)),0),MATCH("MDA_MAX_MARGIN_GUIDENCE",'Margin Guidence Table'!$A$1:$AC$1,0)),INDEX('Margin Guidence Table'!$A$1:$AC$10000,MATCH(1,('Margin Guidence Table'!$A$1:$A$10000=IC28)*('Margin Guidence Table'!$H$1:$H$10000&lt;=ROUND($HU$3,0))*('Margin Guidence Table'!$G$1:$G$10000&gt;=ROUND($HU$3,0)),0),MATCH("DEFAULT_MDA_MAX_MARGIN_GUIDENCE",'Margin Guidence Table'!$A$1:$AC$1,0))),0)</f>
        <v>0</v>
      </c>
      <c r="IK28" s="1165">
        <f t="array" ref="IK28">IFERROR(IF($IE28="SEGMENT",INDEX('Margin Guidence Table'!$A$1:$AC$10000,MATCH(1,('Margin Guidence Table'!$A$1:$A$10000=IC28)*('Margin Guidence Table'!$H$1:$H$10000&lt;=ROUND($HU$3,0))*('Margin Guidence Table'!$G$1:$G$10000&gt;=ROUND($HU$3,0)),0),MATCH("PA_PCT_SALES",'Margin Guidence Table'!$A$1:$AC$1,0)),INDEX('Margin Guidence Table'!$A$1:$AC$10000,MATCH(1,('Margin Guidence Table'!$A$1:$A$10000=IC28)*('Margin Guidence Table'!$H$1:$H$10000&lt;=ROUND($HU$3,0))*('Margin Guidence Table'!$G$1:$G$10000&gt;=ROUND($HU$3,0)),0),MATCH("DEFAULT_PA_PCT_SALES",'Margin Guidence Table'!$A$1:$AC$1,0))),0)</f>
        <v>0</v>
      </c>
      <c r="IL28" s="1165">
        <f t="array" ref="IL28">IFERROR(IF($IE28="SEGMENT",INDEX('Margin Guidence Table'!$A$1:$AC$10000,MATCH(1,('Margin Guidence Table'!$A$1:$A$10000=IC28)*('Margin Guidence Table'!$H$1:$H$10000&lt;=ROUND($HU$3,0))*('Margin Guidence Table'!$G$1:$G$10000&gt;=ROUND($HU$3,0)),0),MATCH("SELF_FUND_PCT_SALES",'Margin Guidence Table'!$A$1:$AC$1,0)),INDEX('Margin Guidence Table'!$A$1:$AC$10000,MATCH(1,('Margin Guidence Table'!$A$1:$A$10000=IC28)*('Margin Guidence Table'!$H$1:$H$10000&lt;=ROUND($HU$3,0))*('Margin Guidence Table'!$G$1:$G$10000&gt;=ROUND($HU$3,0)),0),MATCH("DEFAULT_SELF_FUND_PCT_SALES",'Margin Guidence Table'!$A$1:$AC$1,0))),0)</f>
        <v>0</v>
      </c>
      <c r="IM28" s="1165">
        <f t="array" ref="IM28">IFERROR(IF($IE28="SEGMENT",INDEX('Margin Guidence Table'!$A$1:$AC$10000,MATCH(1,('Margin Guidence Table'!$A$1:$A$10000=IC28)*('Margin Guidence Table'!$H$1:$H$10000&lt;=ROUND($HU$3,0))*('Margin Guidence Table'!$G$1:$G$10000&gt;=ROUND($HU$3,0)),0),MATCH("CIA_MEDIAN_MARGIN_GUIDENCE",'Margin Guidence Table'!$A$1:$AC$1,0)),INDEX('Margin Guidence Table'!$A$1:$AC$10000,MATCH(1,('Margin Guidence Table'!$A$1:$A$10000=IC28)*('Margin Guidence Table'!$H$1:$H$10000&lt;=ROUND($HU$3,0))*('Margin Guidence Table'!$G$1:$G$10000&gt;=ROUND($HU$3,0)),0),MATCH("DEFAULT_CIA_MEDIAN_MARGIN_GUIDENCE",'Margin Guidence Table'!$A$1:$AC$1,0))),0)</f>
        <v>0</v>
      </c>
      <c r="IN28" s="129"/>
      <c r="IO28" s="18">
        <f t="array" ref="IO28">IFERROR(IF($JA28="SEGMENT",INDEX('Margin Guidence Table'!$A$1:$AC$10000,MATCH(1,('Margin Guidence Table'!$A$1:$A$10000=$IY28)*('Margin Guidence Table'!$H$1:$H$10000&lt;=ROUND($IQ$3,0))*('Margin Guidence Table'!$G$1:$G$10000&gt;=ROUND($IQ$3,0)),0),MATCH("PCT_SALES",'Margin Guidence Table'!$A$1:$AC$1,0)),INDEX('Margin Guidence Table'!$A$1:$AC$10000,MATCH(1,('Margin Guidence Table'!$A$1:$A$10000=$IY28)*('Margin Guidence Table'!$H$1:$H$10000&lt;=ROUND($IQ$3,0))*('Margin Guidence Table'!$G$1:$G$10000&gt;=ROUND($IQ$3,0)),0),MATCH("DEFAULT_PCT_SALES",'Margin Guidence Table'!$A$1:$AC$1,0))),0)</f>
        <v>0</v>
      </c>
      <c r="IP28" s="102" t="s">
        <v>91</v>
      </c>
      <c r="IQ28" s="94">
        <f>IFERROR(IF(AND($IQ$2&lt;&gt;"Enter Spend&gt;&gt;&gt;",IR2="EXISTING"),SUMIFS('Existing Customers'!$Q:$Q,'Existing Customers'!$A:$A,$IQ$1,'Existing Customers'!$H:$H,$IP28)*$IQ$4,$IQ$3*$IO28),0)</f>
        <v>0</v>
      </c>
      <c r="IR28" s="89">
        <f>IFERROR(IF(AND($IQ$2&lt;&gt;"Enter Spend&gt;&gt;&gt;",IR2="EXISTING"),SUMIFS('Existing Customers'!$N:$N,'Existing Customers'!$A:$A,$IQ$1,'Existing Customers'!$H:$H,$IP28)*$IQ$4,$IQ28/$JB28),0)</f>
        <v>0</v>
      </c>
      <c r="IS28" s="95">
        <f>IFERROR(IF(AND($IQ$2&lt;&gt;"Enter Spend&gt;&gt;&gt;",IR2="EXISTING"),SUMIFS('Existing Customers'!$O:$O,'Existing Customers'!$H:$H,$IP28,'Existing Customers'!$A:$A,$IQ$1)*$IQ$4,$IR28*$IQ$8),0)</f>
        <v>0</v>
      </c>
      <c r="IT28" s="95">
        <f>IFERROR(IF(AND($IQ$2&lt;&gt;"Enter Spend&gt;&gt;&gt;",IR2="EXISTING"),SUMIFS('Existing Customers'!$P:$P,'Existing Customers'!$A:$A,$IQ$1,'Existing Customers'!$H:$H,$IP28)*$IQ$4,$IQ28/$JC28),0)</f>
        <v>0</v>
      </c>
      <c r="IU28" s="402">
        <f>IFERROR(IF(AND($IQ$2&lt;&gt;"Enter Spend&gt;&gt;&gt;",IR2="EXISTING"),SUMIFS('Existing Customers'!$V:$V,'Existing Customers'!$H:$H,$IP28,'Existing Customers'!$A:$A,$IQ$1)*$IQ$4,0),0)</f>
        <v>0</v>
      </c>
      <c r="IV28" s="96">
        <f>IFERROR(IF(AND($IQ$2&lt;&gt;"Enter Spend&gt;&gt;&gt;",IR2="EXISTING"),SUMIFS('Existing Customers'!$R:$R,'Existing Customers'!$H:$H,$IP28,'Existing Customers'!$A:$A,$IQ$1)*$IQ$4,0),0)</f>
        <v>0</v>
      </c>
      <c r="IW28" s="1161">
        <f>IFERROR(IF(AND($IQ$2&lt;&gt;"Enter Spend&gt;&gt;&gt;",IR2="EXISTING"),SUMIFS('Existing Customers'!$S:$S,'Existing Customers'!$H:$H,$IP28,'Existing Customers'!$A:$A,$IQ$1),JG28*IQ28),0)</f>
        <v>0</v>
      </c>
      <c r="IX28" s="1161">
        <f>IFERROR(IF(AND($IQ$2&lt;&gt;"Enter Spend&gt;&gt;&gt;",IR2="EXISTING"),SUMIFS('Existing Customers'!$U:$U,'Existing Customers'!$H:$H,$IP28,'Existing Customers'!$A:$A,$IQ$1),JH28*IQ28),0)</f>
        <v>0</v>
      </c>
      <c r="IY28" s="1164" t="e">
        <f t="shared" si="42"/>
        <v>#N/A</v>
      </c>
      <c r="IZ28" s="1164">
        <f t="array" ref="IZ28">IFERROR(INDEX('Margin Guidence Table'!$A$1:$AD$30000,MATCH(1,('Margin Guidence Table'!$A$1:$A$10000=IY28)*('Margin Guidence Table'!$H$1:$H$10000&lt;=ROUND($IQ$3,0))*('Margin Guidence Table'!$G$1:$G$10000&gt;=ROUND($IQ$3,0)),0),MATCH("DATA_POINTS",'Margin Guidence Table'!$A$1:$AC$1,0)),0)</f>
        <v>0</v>
      </c>
      <c r="JA28" s="1161" t="str">
        <f t="shared" si="43"/>
        <v>DEFAULT</v>
      </c>
      <c r="JB28" s="1161">
        <f t="array" ref="JB28">IFERROR(IF($JA28="SEGMENT",INDEX('Margin Guidence Table'!$A$1:$AC$10000,MATCH(1,('Margin Guidence Table'!$A$1:$A$10000=IY28)*('Margin Guidence Table'!$H$1:$H$10000&lt;=ROUND($IQ$3,0))*('Margin Guidence Table'!$G$1:$G$10000&gt;=ROUND($IQ$3,0)),0),MATCH("SALES_CASE",'Margin Guidence Table'!$A$1:$AC$1,0)),INDEX('Margin Guidence Table'!$A$1:$AC$10000,MATCH(1,('Margin Guidence Table'!$A$1:$A$10000=IY28)*('Margin Guidence Table'!$H$1:$H$10000&lt;=ROUND($IQ$3,0))*('Margin Guidence Table'!$G$1:$G$10000&gt;=ROUND($IQ$3,0)),0),MATCH("DEFAULT_SALES_CASE",'Margin Guidence Table'!$A$1:$AC$1,0))),0)</f>
        <v>0</v>
      </c>
      <c r="JC28" s="1161">
        <f t="array" ref="JC28">IFERROR(IF($JA28="SEGMENT",INDEX('Margin Guidence Table'!$A$1:$AC$10000,MATCH(1,('Margin Guidence Table'!$A$1:$A$10000=IY28)*('Margin Guidence Table'!$H$1:$H$10000&lt;=ROUND($IQ$3,0))*('Margin Guidence Table'!$G$1:$G$10000&gt;=ROUND($IQ$3,0)),0),MATCH("SALES_LBS",'Margin Guidence Table'!$A$1:$AC$1,0)),INDEX('Margin Guidence Table'!$A$1:$AC$10000,MATCH(1,('Margin Guidence Table'!$A$1:$A$10000=IY28)*('Margin Guidence Table'!$H$1:$H$10000&lt;=ROUND($IQ$3,0))*('Margin Guidence Table'!$G$1:$G$10000&gt;=ROUND($IQ$3,0)),0),MATCH("DEFAULT_SALES_LBS",'Margin Guidence Table'!$A$1:$AC$1,0))),0)</f>
        <v>0</v>
      </c>
      <c r="JD28" s="1165">
        <f t="array" ref="JD28">IFERROR(IF($JA28="SEGMENT",INDEX('Margin Guidence Table'!$A$1:$AC$10000,MATCH(1,('Margin Guidence Table'!$A$1:$A$10000=IY28)*('Margin Guidence Table'!$H$1:$H$10000&lt;=ROUND($IQ$3,0))*('Margin Guidence Table'!$G$1:$G$10000&gt;=ROUND($IQ$3,0)),0),MATCH("MDA_MIN_MARGIN_GUIDENCE",'Margin Guidence Table'!$A$1:$AC$1,0)),INDEX('Margin Guidence Table'!$A$1:$AC$10000,MATCH(1,('Margin Guidence Table'!$A$1:$A$10000=IY28)*('Margin Guidence Table'!$H$1:$H$10000&lt;=ROUND($IQ$3,0))*('Margin Guidence Table'!$G$1:$G$10000&gt;=ROUND($IQ$3,0)),0),MATCH("DEFAULT_MDA_MIN_MARGIN_GUIDENCE",'Margin Guidence Table'!$A$1:$AC$1,0))),0)</f>
        <v>0</v>
      </c>
      <c r="JE28" s="1165">
        <f t="array" ref="JE28">IFERROR(IF($JA28="SEGMENT",INDEX('Margin Guidence Table'!$A$1:$AC$10000,MATCH(1,('Margin Guidence Table'!$A$1:$A$10000=IY28)*('Margin Guidence Table'!$H$1:$H$10000&lt;=ROUND($IQ$3,0))*('Margin Guidence Table'!$G$1:$G$10000&gt;=ROUND($IQ$3,0)),0),MATCH("MDA_MEDIAN_MARGIN_GUIDENCE",'Margin Guidence Table'!$A$1:$AC$1,0)),INDEX('Margin Guidence Table'!$A$1:$AC$10000,MATCH(1,('Margin Guidence Table'!$A$1:$A$10000=IY28)*('Margin Guidence Table'!$H$1:$H$10000&lt;=ROUND($IQ$3,0))*('Margin Guidence Table'!$G$1:$G$10000&gt;=ROUND($IQ$3,0)),0),MATCH("DEFAULT_MDA_MEDIAN_MARGIN_GUIDENCE",'Margin Guidence Table'!$A$1:$AC$1,0))),0)</f>
        <v>0</v>
      </c>
      <c r="JF28" s="1165">
        <f t="array" ref="JF28">IFERROR(IF($JA28="SEGMENT",INDEX('Margin Guidence Table'!$A$1:$AC$10000,MATCH(1,('Margin Guidence Table'!$A$1:$A$10000=IY28)*('Margin Guidence Table'!$H$1:$H$10000&lt;=ROUND($IQ$3,0))*('Margin Guidence Table'!$G$1:$G$10000&gt;=ROUND($IQ$3,0)),0),MATCH("MDA_MAX_MARGIN_GUIDENCE",'Margin Guidence Table'!$A$1:$AC$1,0)),INDEX('Margin Guidence Table'!$A$1:$AC$10000,MATCH(1,('Margin Guidence Table'!$A$1:$A$10000=IY28)*('Margin Guidence Table'!$H$1:$H$10000&lt;=ROUND($IQ$3,0))*('Margin Guidence Table'!$G$1:$G$10000&gt;=ROUND($IQ$3,0)),0),MATCH("DEFAULT_MDA_MAX_MARGIN_GUIDENCE",'Margin Guidence Table'!$A$1:$AC$1,0))),0)</f>
        <v>0</v>
      </c>
      <c r="JG28" s="1165">
        <f t="array" ref="JG28">IFERROR(IF($JA28="SEGMENT",INDEX('Margin Guidence Table'!$A$1:$AC$10000,MATCH(1,('Margin Guidence Table'!$A$1:$A$10000=IY28)*('Margin Guidence Table'!$H$1:$H$10000&lt;=ROUND($IQ$3,0))*('Margin Guidence Table'!$G$1:$G$10000&gt;=ROUND($IQ$3,0)),0),MATCH("PA_PCT_SALES",'Margin Guidence Table'!$A$1:$AC$1,0)),INDEX('Margin Guidence Table'!$A$1:$AC$10000,MATCH(1,('Margin Guidence Table'!$A$1:$A$10000=IY28)*('Margin Guidence Table'!$H$1:$H$10000&lt;=ROUND($IQ$3,0))*('Margin Guidence Table'!$G$1:$G$10000&gt;=ROUND($IQ$3,0)),0),MATCH("DEFAULT_PA_PCT_SALES",'Margin Guidence Table'!$A$1:$AC$1,0))),0)</f>
        <v>0</v>
      </c>
      <c r="JH28" s="1165">
        <f t="array" ref="JH28">IFERROR(IF($JA28="SEGMENT",INDEX('Margin Guidence Table'!$A$1:$AC$10000,MATCH(1,('Margin Guidence Table'!$A$1:$A$10000=IY28)*('Margin Guidence Table'!$H$1:$H$10000&lt;=ROUND($IQ$3,0))*('Margin Guidence Table'!$G$1:$G$10000&gt;=ROUND($IQ$3,0)),0),MATCH("SELF_FUND_PCT_SALES",'Margin Guidence Table'!$A$1:$AC$1,0)),INDEX('Margin Guidence Table'!$A$1:$AC$10000,MATCH(1,('Margin Guidence Table'!$A$1:$A$10000=IY28)*('Margin Guidence Table'!$H$1:$H$10000&lt;=ROUND($IQ$3,0))*('Margin Guidence Table'!$G$1:$G$10000&gt;=ROUND($IQ$3,0)),0),MATCH("DEFAULT_SELF_FUND_PCT_SALES",'Margin Guidence Table'!$A$1:$AC$1,0))),0)</f>
        <v>0</v>
      </c>
      <c r="JI28" s="1165">
        <f t="array" ref="JI28">IFERROR(IF($JA28="SEGMENT",INDEX('Margin Guidence Table'!$A$1:$AC$10000,MATCH(1,('Margin Guidence Table'!$A$1:$A$10000=IY28)*('Margin Guidence Table'!$H$1:$H$10000&lt;=ROUND($IQ$3,0))*('Margin Guidence Table'!$G$1:$G$10000&gt;=ROUND($IQ$3,0)),0),MATCH("CIA_MEDIAN_MARGIN_GUIDENCE",'Margin Guidence Table'!$A$1:$AC$1,0)),INDEX('Margin Guidence Table'!$A$1:$AC$10000,MATCH(1,('Margin Guidence Table'!$A$1:$A$10000=IY28)*('Margin Guidence Table'!$H$1:$H$10000&lt;=ROUND($IQ$3,0))*('Margin Guidence Table'!$G$1:$G$10000&gt;=ROUND($IQ$3,0)),0),MATCH("DEFAULT_CIA_MEDIAN_MARGIN_GUIDENCE",'Margin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44"/>
        <v>#DIV/0!</v>
      </c>
      <c r="AV29" s="400"/>
      <c r="AW29" s="400"/>
      <c r="AX29" s="108">
        <v>18</v>
      </c>
      <c r="AY29" s="18">
        <f t="array" ref="AY29">IFERROR(IF($BK29="SEGMENT",INDEX('Margin Guidence Table'!$A$1:$AC$10000,MATCH(1,('Margin Guidence Table'!$A$1:$A$10000=$BI29)*('Margin Guidence Table'!$H$1:$H$10000&lt;=ROUND($BA$3,0))*('Margin Guidence Table'!$G$1:$G$10000&gt;=ROUND($BA$3,0)),0),MATCH("PCT_SALES",'Margin Guidence Table'!$A$1:$AC$1,0)),INDEX('Margin Guidence Table'!$A$1:$AC$10000,MATCH(1,('Margin Guidence Table'!$A$1:$A$10000=$BI29)*('Margin Guidence Table'!$H$1:$H$10000&lt;=ROUND($BA$3,0))*('Margin Guidence Table'!$G$1:$G$10000&gt;=ROUND($BA$3,0)),0),MATCH("DEFAULT_PCT_SALES",'Margin Guidence Table'!$A$1:$AC$1,0))),0)</f>
        <v>0</v>
      </c>
      <c r="AZ29" s="102" t="s">
        <v>90</v>
      </c>
      <c r="BA29" s="94">
        <f>IFERROR(IF(AND($BA$2&lt;&gt;"Enter Spend&gt;&gt;&gt;",BB2="EXISTING"),SUMIFS('Existing Customers'!$Q:$Q,'Existing Customers'!$A:$A,$BA$1,'Existing Customers'!$H:$H,$AZ29)*$BA$4,$BA$3*$AY29),0)</f>
        <v>0</v>
      </c>
      <c r="BB29" s="95">
        <f>IFERROR(IF(AND($BA$2&lt;&gt;"Enter Spend&gt;&gt;&gt;",BB2="EXISTING"),SUMIFS('Existing Customers'!$N:$N,'Existing Customers'!$A:$A,$BA$1,'Existing Customers'!$H:$H,$AZ29)*$BA$4,$BA29/$BL29),0)</f>
        <v>0</v>
      </c>
      <c r="BC29" s="95">
        <f>IFERROR(IF(AND($BA$2&lt;&gt;"Enter Spend&gt;&gt;&gt;",BB2="EXISTING"),SUMIFS('Existing Customers'!$O:$O,'Existing Customers'!$H:$H,$AZ29,'Existing Customers'!$A:$A,$BA$1)*$BA$4,$BB29*$BA$8),0)</f>
        <v>0</v>
      </c>
      <c r="BD29" s="95">
        <f>IFERROR(IF(AND($BA$2&lt;&gt;"Enter Spend&gt;&gt;&gt;",BB2="EXISTING"),SUMIFS('Existing Customers'!$P:$P,'Existing Customers'!$A:$A,$BA$1,'Existing Customers'!$H:$H,$AZ29)*$BA$4,$BA29/$BM29),0)</f>
        <v>0</v>
      </c>
      <c r="BE29" s="402">
        <f>IFERROR(IF(AND($BA$2&lt;&gt;"Enter Spend&gt;&gt;&gt;",BB2="EXISTING"),SUMIFS('Existing Customers'!$V:$V,'Existing Customers'!$H:$H,$AZ29,'Existing Customers'!$A:$A,$BA$1)*$BA$4,0),0)</f>
        <v>0</v>
      </c>
      <c r="BF29" s="96">
        <f>IFERROR(IF(AND($BA$2&lt;&gt;"Enter Spend&gt;&gt;&gt;",BB2="EXISTING"),SUMIFS('Existing Customers'!$R:$R,'Existing Customers'!$H:$H,$AZ29,'Existing Customers'!$A:$A,$BA$1)*$BA$4,0),0)</f>
        <v>0</v>
      </c>
      <c r="BG29" s="96">
        <f>IFERROR(IF(AND($BA$2&lt;&gt;"Enter Spend&gt;&gt;&gt;",BB2="EXISTING"),SUMIFS('Existing Customers'!$S:$S,'Existing Customers'!$H:$H,$AZ29,'Existing Customers'!$A:$A,$BA$1),BQ29*BA29),0)</f>
        <v>0</v>
      </c>
      <c r="BH29" s="96">
        <f>IFERROR(IF(AND($BA$2&lt;&gt;"Enter Spend&gt;&gt;&gt;",BB2="EXISTING"),SUMIFS('Existing Customers'!$U:$U,'Existing Customers'!$H:$H,$AZ29,'Existing Customers'!$A:$A,$BA$1),BR29*BA29),0)</f>
        <v>0</v>
      </c>
      <c r="BI29" s="1163" t="e">
        <f t="shared" si="24"/>
        <v>#N/A</v>
      </c>
      <c r="BJ29" s="1164">
        <f t="array" ref="BJ29">IFERROR(INDEX('Margin Guidence Table'!$A$1:$AD$30000,MATCH(1,('Margin Guidence Table'!$A$1:$A$10000=$BI29)*('Margin Guidence Table'!$H$1:$H$10000&lt;=ROUND($BA$3,0))*('Margin Guidence Table'!$G$1:$G$10000&gt;=ROUND($BA$3,0)),0),MATCH("DATA_POINTS",'Margin Guidence Table'!$A$1:$AC$1,0)),0)</f>
        <v>0</v>
      </c>
      <c r="BK29" s="1161" t="str">
        <f t="shared" si="25"/>
        <v>DEFAULT</v>
      </c>
      <c r="BL29" s="1161">
        <f t="array" ref="BL29">IFERROR(IF($BK29="SEGMENT",INDEX('Margin Guidence Table'!$A$1:$AC$10000,MATCH(1,('Margin Guidence Table'!$A$1:$A$10000=$BI29)*('Margin Guidence Table'!$H$1:$H$10000&lt;=ROUND($BA$3,0))*('Margin Guidence Table'!$G$1:$G$10000&gt;=ROUND($BA$3,0)),0),MATCH("SALES_CASE",'Margin Guidence Table'!$A$1:$AC$1,0)),INDEX('Margin Guidence Table'!$A$1:$AC$10000,MATCH(1,('Margin Guidence Table'!$A$1:$A$10000=$BI29)*('Margin Guidence Table'!$H$1:$H$10000&lt;=ROUND($BA$3,0))*('Margin Guidence Table'!$G$1:$G$10000&gt;=ROUND($BA$3,0)),0),MATCH("DEFAULT_SALES_CASE",'Margin Guidence Table'!$A$1:$AC$1,0))),0)</f>
        <v>0</v>
      </c>
      <c r="BM29" s="1161">
        <f t="array" ref="BM29">IFERROR(IF($BK29="SEGMENT",INDEX('Margin Guidence Table'!$A$1:$AC$10000,MATCH(1,('Margin Guidence Table'!$A$1:$A$10000=$BI29)*('Margin Guidence Table'!$H$1:$H$10000&lt;=ROUND($BA$3,0))*('Margin Guidence Table'!$G$1:$G$10000&gt;=ROUND($BA$3,0)),0),MATCH("SALES_LBS",'Margin Guidence Table'!$A$1:$AC$1,0)),INDEX('Margin Guidence Table'!$A$1:$AC$10000,MATCH(1,('Margin Guidence Table'!$A$1:$A$10000=$BI29)*('Margin Guidence Table'!$H$1:$H$10000&lt;=ROUND($BA$3,0))*('Margin Guidence Table'!$G$1:$G$10000&gt;=ROUND($BA$3,0)),0),MATCH("DEFAULT_SALES_LBS",'Margin Guidence Table'!$A$1:$AC$1,0))),0)</f>
        <v>0</v>
      </c>
      <c r="BN29" s="1165">
        <f t="array" ref="BN29">IFERROR(IF($BK29="SEGMENT",INDEX('Margin Guidence Table'!$A$1:$AC$10000,MATCH(1,('Margin Guidence Table'!$A$1:$A$10000=$BI29)*('Margin Guidence Table'!$H$1:$H$10000&lt;=ROUND($BA$3,0))*('Margin Guidence Table'!$G$1:$G$10000&gt;=ROUND($BA$3,0)),0),MATCH("MDA_MIN_MARGIN_GUIDENCE",'Margin Guidence Table'!$A$1:$AC$1,0)),INDEX('Margin Guidence Table'!$A$1:$AC$10000,MATCH(1,('Margin Guidence Table'!$A$1:$A$10000=$BI29)*('Margin Guidence Table'!$H$1:$H$10000&lt;=ROUND($BA$3,0))*('Margin Guidence Table'!$G$1:$G$10000&gt;=ROUND($BA$3,0)),0),MATCH("DEFAULT_MDA_MIN_MARGIN_GUIDENCE",'Margin Guidence Table'!$A$1:$AC$1,0))),0)</f>
        <v>0</v>
      </c>
      <c r="BO29" s="1165">
        <f t="array" ref="BO29">IFERROR(IF($BK29="SEGMENT",INDEX('Margin Guidence Table'!$A$1:$AC$10000,MATCH(1,('Margin Guidence Table'!$A$1:$A$10000=$BI29)*('Margin Guidence Table'!$H$1:$H$10000&lt;=ROUND($BA$3,0))*('Margin Guidence Table'!$G$1:$G$10000&gt;=ROUND($BA$3,0)),0),MATCH("MDA_MEDIAN_MARGIN_GUIDENCE",'Margin Guidence Table'!$A$1:$AC$1,0)),INDEX('Margin Guidence Table'!$A$1:$AC$10000,MATCH(1,('Margin Guidence Table'!$A$1:$A$10000=$BI29)*('Margin Guidence Table'!$H$1:$H$10000&lt;=ROUND($BA$3,0))*('Margin Guidence Table'!$G$1:$G$10000&gt;=ROUND($BA$3,0)),0),MATCH("DEFAULT_MDA_MEDIAN_MARGIN_GUIDENCE",'Margin Guidence Table'!$A$1:$AC$1,0))),0)</f>
        <v>0</v>
      </c>
      <c r="BP29" s="1165">
        <f t="array" ref="BP29">IFERROR(IF($BK29="SEGMENT",INDEX('Margin Guidence Table'!$A$1:$AC$10000,MATCH(1,('Margin Guidence Table'!$A$1:$A$10000=$BI29)*('Margin Guidence Table'!$H$1:$H$10000&lt;=ROUND($BA$3,0))*('Margin Guidence Table'!$G$1:$G$10000&gt;=ROUND($BA$3,0)),0),MATCH("MDA_MAX_MARGIN_GUIDENCE",'Margin Guidence Table'!$A$1:$AC$1,0)),INDEX('Margin Guidence Table'!$A$1:$AC$10000,MATCH(1,('Margin Guidence Table'!$A$1:$A$10000=$BI29)*('Margin Guidence Table'!$H$1:$H$10000&lt;=ROUND($BA$3,0))*('Margin Guidence Table'!$G$1:$G$10000&gt;=ROUND($BA$3,0)),0),MATCH("DEFAULT_MDA_MAX_MARGIN_GUIDENCE",'Margin Guidence Table'!$A$1:$AC$1,0))),0)</f>
        <v>0</v>
      </c>
      <c r="BQ29" s="1165">
        <f t="array" ref="BQ29">IFERROR(IF($BK29="SEGMENT",INDEX('Margin Guidence Table'!$A$1:$AC$10000,MATCH(1,('Margin Guidence Table'!$A$1:$A$10000=$BI29)*('Margin Guidence Table'!$H$1:$H$10000&lt;=ROUND($BA$3,0))*('Margin Guidence Table'!$G$1:$G$10000&gt;=ROUND($BA$3,0)),0),MATCH("PA_PCT_SALES",'Margin Guidence Table'!$A$1:$AC$1,0)),INDEX('Margin Guidence Table'!$A$1:$AC$10000,MATCH(1,('Margin Guidence Table'!$A$1:$A$10000=$BI29)*('Margin Guidence Table'!$H$1:$H$10000&lt;=ROUND($BA$3,0))*('Margin Guidence Table'!$G$1:$G$10000&gt;=ROUND($BA$3,0)),0),MATCH("DEFAULT_PA_PCT_SALES",'Margin Guidence Table'!$A$1:$AC$1,0))),0)</f>
        <v>0</v>
      </c>
      <c r="BR29" s="1165">
        <f t="array" ref="BR29">IFERROR(IF($BK29="SEGMENT",INDEX('Margin Guidence Table'!$A$1:$AC$10000,MATCH(1,('Margin Guidence Table'!$A$1:$A$10000=$BI29)*('Margin Guidence Table'!$H$1:$H$10000&lt;=ROUND($BA$3,0))*('Margin Guidence Table'!$G$1:$G$10000&gt;=ROUND($BA$3,0)),0),MATCH("SELF_FUND_PCT_SALES",'Margin Guidence Table'!$A$1:$AC$1,0)),INDEX('Margin Guidence Table'!$A$1:$AC$10000,MATCH(1,('Margin Guidence Table'!$A$1:$A$10000=$BI29)*('Margin Guidence Table'!$H$1:$H$10000&lt;=ROUND($BA$3,0))*('Margin Guidence Table'!$G$1:$G$10000&gt;=ROUND($BA$3,0)),0),MATCH("DEFAULT_SELF_FUND_PCT_SALES",'Margin Guidence Table'!$A$1:$AC$1,0))),0)</f>
        <v>0</v>
      </c>
      <c r="BS29" s="1165">
        <f t="array" ref="BS29">IFERROR(IF($BK29="SEGMENT",INDEX('Margin Guidence Table'!$A$1:$AC$10000,MATCH(1,('Margin Guidence Table'!$A$1:$A$10000=$BI29)*('Margin Guidence Table'!$H$1:$H$10000&lt;=ROUND($BA$3,0))*('Margin Guidence Table'!$G$1:$G$10000&gt;=ROUND($BA$3,0)),0),MATCH("CIA_MEDIAN_MARGIN_GUIDENCE",'Margin Guidence Table'!$A$1:$AC$1,0)),INDEX('Margin Guidence Table'!$A$1:$AC$10000,MATCH(1,('Margin Guidence Table'!$A$1:$A$10000=$BI29)*('Margin Guidence Table'!$H$1:$H$10000&lt;=ROUND($BA$3,0))*('Margin Guidence Table'!$G$1:$G$10000&gt;=ROUND($BA$3,0)),0),MATCH("DEFAULT_CIA_MEDIAN_MARGIN_GUIDENCE",'Margin Guidence Table'!$A$1:$AC$1,0))),0)</f>
        <v>0</v>
      </c>
      <c r="BT29" s="129"/>
      <c r="BU29" s="18">
        <f t="array" ref="BU29">IFERROR(IF($CG29="SEGMENT",INDEX('Margin Guidence Table'!$A$1:$AC$10000,MATCH(1,('Margin Guidence Table'!$A$1:$A$10000=$CE29)*('Margin Guidence Table'!$H$1:$H$10000&lt;=ROUND($BW$3,0))*('Margin Guidence Table'!$G$1:$G$10000&gt;=ROUND($BW$3,0)),0),MATCH("PCT_SALES",'Margin Guidence Table'!$A$1:$AC$1,0)),INDEX('Margin Guidence Table'!$A$1:$AC$10000,MATCH(1,('Margin Guidence Table'!$A$1:$A$10000=$CE29)*('Margin Guidence Table'!$H$1:$H$10000&lt;=ROUND($BW$3,0))*('Margin Guidence Table'!$G$1:$G$10000&gt;=ROUND($BW$3,0)),0),MATCH("DEFAULT_PCT_SALES",'Margin Guidence Table'!$A$1:$AC$1,0))),0)</f>
        <v>0</v>
      </c>
      <c r="BV29" s="102" t="s">
        <v>90</v>
      </c>
      <c r="BW29" s="94">
        <f>IFERROR(IF(AND($BW$2&lt;&gt;"Enter Spend&gt;&gt;&gt;",BX2="EXISTING"),SUMIFS('Existing Customers'!$Q:$Q,'Existing Customers'!$A:$A,$BW$1,'Existing Customers'!$H:$H,$BV29)*$BW$4,$BW$3*$BU29),0)</f>
        <v>0</v>
      </c>
      <c r="BX29" s="89">
        <f>IFERROR(IF(AND($BW$2&lt;&gt;"Enter Spend&gt;&gt;&gt;",BX2="EXISTING"),SUMIFS('Existing Customers'!$N:$N,'Existing Customers'!$A:$A,$BW$1,'Existing Customers'!$H:$H,$BV29)*$BW$4,$BW29/$CH29),0)</f>
        <v>0</v>
      </c>
      <c r="BY29" s="95">
        <f>IFERROR(IF(AND($BW$2&lt;&gt;"Enter Spend&gt;&gt;&gt;",BX2="EXISTING"),SUMIFS('Existing Customers'!$O:$O,'Existing Customers'!$H:$H,$BV29,'Existing Customers'!$A:$A,$BW$1)*$BW$4,$BX29*$BW$8),0)</f>
        <v>0</v>
      </c>
      <c r="BZ29" s="95">
        <f>IFERROR(IF(AND($BW$2&lt;&gt;"Enter Spend&gt;&gt;&gt;",BX2="EXISTING"),SUMIFS('Existing Customers'!$P:$P,'Existing Customers'!$A:$A,$BW$1,'Existing Customers'!$H:$H,$BV29)*$BW$4,$BW29/$CI29),0)</f>
        <v>0</v>
      </c>
      <c r="CA29" s="96">
        <f>IFERROR(IF(AND($BW$2&lt;&gt;"Enter Spend&gt;&gt;&gt;",BX2="EXISTING"),SUMIFS('Existing Customers'!$V:$V,'Existing Customers'!$H:$H,$BV29,'Existing Customers'!$A:$A,$BW$1)*$BW$4,0),0)</f>
        <v>0</v>
      </c>
      <c r="CB29" s="96">
        <f>IFERROR(IF(AND($BW$2&lt;&gt;"Enter Spend&gt;&gt;&gt;",BX2="EXISTING"),SUMIFS('Existing Customers'!$R:$R,'Existing Customers'!$H:$H,$BV29,'Existing Customers'!$A:$A,$BW$1)*$BW$4,0),0)</f>
        <v>0</v>
      </c>
      <c r="CC29" s="1161">
        <f>IFERROR(IF(AND($BW$2&lt;&gt;"Enter Spend&gt;&gt;&gt;",BX2="EXISTING"),SUMIFS('Existing Customers'!$S:$S,'Existing Customers'!$H:$H,$BV29,'Existing Customers'!$A:$A,$BW$1),CM29*BW29),0)</f>
        <v>0</v>
      </c>
      <c r="CD29" s="1161">
        <f>IFERROR(IF(AND($BW$2&lt;&gt;"Enter Spend&gt;&gt;&gt;",BX2="EXISTING"),SUMIFS('Existing Customers'!$U:$U,'Existing Customers'!$H:$H,$BV29,'Existing Customers'!$A:$A,$BW$1),CN29*BW29),0)</f>
        <v>0</v>
      </c>
      <c r="CE29" s="1164" t="e">
        <f t="shared" si="26"/>
        <v>#N/A</v>
      </c>
      <c r="CF29" s="1164">
        <f t="array" ref="CF29">IFERROR(INDEX('Margin Guidence Table'!$A$1:$AD$30000,MATCH(1,('Margin Guidence Table'!$A$1:$A$10000=$CE29)*('Margin Guidence Table'!$H$1:$H$10000&lt;=ROUND($BW$3,0))*('Margin Guidence Table'!$G$1:$G$10000&gt;=ROUND($BW$3,0)),0),MATCH("DATA_POINTS",'Margin Guidence Table'!$A$1:$AC$1,0)),0)</f>
        <v>0</v>
      </c>
      <c r="CG29" s="1161" t="str">
        <f t="shared" si="27"/>
        <v>DEFAULT</v>
      </c>
      <c r="CH29" s="1161">
        <f t="array" ref="CH29">IFERROR(IF($CG29="SEGMENT",INDEX('Margin Guidence Table'!$A$1:$AC$10000,MATCH(1,('Margin Guidence Table'!$A$1:$A$10000=$CE29)*('Margin Guidence Table'!$H$1:$H$10000&lt;=ROUND($BW$3,0))*('Margin Guidence Table'!$G$1:$G$10000&gt;=ROUND($BW$3,0)),0),MATCH("SALES_CASE",'Margin Guidence Table'!$A$1:$AC$1,0)),INDEX('Margin Guidence Table'!$A$1:$AC$10000,MATCH(1,('Margin Guidence Table'!$A$1:$A$10000=$CE29)*('Margin Guidence Table'!$H$1:$H$10000&lt;=ROUND($BW$3,0))*('Margin Guidence Table'!$G$1:$G$10000&gt;=ROUND($BW$3,0)),0),MATCH("DEFAULT_SALES_CASE",'Margin Guidence Table'!$A$1:$AC$1,0))),0)</f>
        <v>0</v>
      </c>
      <c r="CI29" s="1161">
        <f t="array" ref="CI29">IFERROR(IF($CG29="SEGMENT",INDEX('Margin Guidence Table'!$A$1:$AC$10000,MATCH(1,('Margin Guidence Table'!$A$1:$A$10000=$CE29)*('Margin Guidence Table'!$H$1:$H$10000&lt;=ROUND($BW$3,0))*('Margin Guidence Table'!$G$1:$G$10000&gt;=ROUND($BW$3,0)),0),MATCH("SALES_LBS",'Margin Guidence Table'!$A$1:$AC$1,0)),INDEX('Margin Guidence Table'!$A$1:$AC$10000,MATCH(1,('Margin Guidence Table'!$A$1:$A$10000=$CE29)*('Margin Guidence Table'!$H$1:$H$10000&lt;=ROUND($BW$3,0))*('Margin Guidence Table'!$G$1:$G$10000&gt;=ROUND($BW$3,0)),0),MATCH("DEFAULT_SALES_LBS",'Margin Guidence Table'!$A$1:$AC$1,0))),0)</f>
        <v>0</v>
      </c>
      <c r="CJ29" s="1165">
        <f t="array" ref="CJ29">IFERROR(IF($CG29="SEGMENT",INDEX('Margin Guidence Table'!$A$1:$AC$10000,MATCH(1,('Margin Guidence Table'!$A$1:$A$10000=$CE29)*('Margin Guidence Table'!$H$1:$H$10000&lt;=ROUND($BW$3,0))*('Margin Guidence Table'!$G$1:$G$10000&gt;=ROUND($BW$3,0)),0),MATCH("MDA_MIN_MARGIN_GUIDENCE",'Margin Guidence Table'!$A$1:$AC$1,0)),INDEX('Margin Guidence Table'!$A$1:$AC$10000,MATCH(1,('Margin Guidence Table'!$A$1:$A$10000=$CE29)*('Margin Guidence Table'!$H$1:$H$10000&lt;=ROUND($BW$3,0))*('Margin Guidence Table'!$G$1:$G$10000&gt;=ROUND($BW$3,0)),0),MATCH("DEFAULT_MDA_MIN_MARGIN_GUIDENCE",'Margin Guidence Table'!$A$1:$AC$1,0))),0)</f>
        <v>0</v>
      </c>
      <c r="CK29" s="1165">
        <f t="array" ref="CK29">IFERROR(IF($CG29="SEGMENT",INDEX('Margin Guidence Table'!$A$1:$AC$10000,MATCH(1,('Margin Guidence Table'!$A$1:$A$10000=$CE29)*('Margin Guidence Table'!$H$1:$H$10000&lt;=ROUND($BW$3,0))*('Margin Guidence Table'!$G$1:$G$10000&gt;=ROUND($BW$3,0)),0),MATCH("MDA_MEDIAN_MARGIN_GUIDENCE",'Margin Guidence Table'!$A$1:$AC$1,0)),INDEX('Margin Guidence Table'!$A$1:$AC$10000,MATCH(1,('Margin Guidence Table'!$A$1:$A$10000=$CE29)*('Margin Guidence Table'!$H$1:$H$10000&lt;=ROUND($BW$3,0))*('Margin Guidence Table'!$G$1:$G$10000&gt;=ROUND($BW$3,0)),0),MATCH("DEFAULT_MDA_MEDIAN_MARGIN_GUIDENCE",'Margin Guidence Table'!$A$1:$AC$1,0))),0)</f>
        <v>0</v>
      </c>
      <c r="CL29" s="1165">
        <f t="array" ref="CL29">IFERROR(IF($CG29="SEGMENT",INDEX('Margin Guidence Table'!$A$1:$AC$10000,MATCH(1,('Margin Guidence Table'!$A$1:$A$10000=$CE29)*('Margin Guidence Table'!$H$1:$H$10000&lt;=ROUND($BW$3,0))*('Margin Guidence Table'!$G$1:$G$10000&gt;=ROUND($BW$3,0)),0),MATCH("MDA_MAX_MARGIN_GUIDENCE",'Margin Guidence Table'!$A$1:$AC$1,0)),INDEX('Margin Guidence Table'!$A$1:$AC$10000,MATCH(1,('Margin Guidence Table'!$A$1:$A$10000=$CE29)*('Margin Guidence Table'!$H$1:$H$10000&lt;=ROUND($BW$3,0))*('Margin Guidence Table'!$G$1:$G$10000&gt;=ROUND($BW$3,0)),0),MATCH("DEFAULT_MDA_MAX_MARGIN_GUIDENCE",'Margin Guidence Table'!$A$1:$AC$1,0))),0)</f>
        <v>0</v>
      </c>
      <c r="CM29" s="1165">
        <f t="array" ref="CM29">IFERROR(IF($CG29="SEGMENT",INDEX('Margin Guidence Table'!$A$1:$AC$10000,MATCH(1,('Margin Guidence Table'!$A$1:$A$10000=$CE29)*('Margin Guidence Table'!$H$1:$H$10000&lt;=ROUND($BW$3,0))*('Margin Guidence Table'!$G$1:$G$10000&gt;=ROUND($BW$3,0)),0),MATCH("PA_PCT_SALES",'Margin Guidence Table'!$A$1:$AC$1,0)),INDEX('Margin Guidence Table'!$A$1:$AC$10000,MATCH(1,('Margin Guidence Table'!$A$1:$A$10000=$CE29)*('Margin Guidence Table'!$H$1:$H$10000&lt;=ROUND($BW$3,0))*('Margin Guidence Table'!$G$1:$G$10000&gt;=ROUND($BW$3,0)),0),MATCH("DEFAULT_PA_PCT_SALES",'Margin Guidence Table'!$A$1:$AC$1,0))),0)</f>
        <v>0</v>
      </c>
      <c r="CN29" s="1165">
        <f t="array" ref="CN29">IFERROR(IF($CG29="SEGMENT",INDEX('Margin Guidence Table'!$A$1:$AC$10000,MATCH(1,('Margin Guidence Table'!$A$1:$A$10000=$CE29)*('Margin Guidence Table'!$H$1:$H$10000&lt;=ROUND($BW$3,0))*('Margin Guidence Table'!$G$1:$G$10000&gt;=ROUND($BW$3,0)),0),MATCH("SELF_FUND_PCT_SALES",'Margin Guidence Table'!$A$1:$AC$1,0)),INDEX('Margin Guidence Table'!$A$1:$AC$10000,MATCH(1,('Margin Guidence Table'!$A$1:$A$10000=$CE29)*('Margin Guidence Table'!$H$1:$H$10000&lt;=ROUND($BW$3,0))*('Margin Guidence Table'!$G$1:$G$10000&gt;=ROUND($BW$3,0)),0),MATCH("DEFAULT_SELF_FUND_PCT_SALES",'Margin Guidence Table'!$A$1:$AC$1,0))),0)</f>
        <v>0</v>
      </c>
      <c r="CO29" s="1165">
        <f t="array" ref="CO29">IFERROR(IF($CG29="SEGMENT",INDEX('Margin Guidence Table'!$A$1:$AC$10000,MATCH(1,('Margin Guidence Table'!$A$1:$A$10000=$CE29)*('Margin Guidence Table'!$H$1:$H$10000&lt;=ROUND($BW$3,0))*('Margin Guidence Table'!$G$1:$G$10000&gt;=ROUND($BW$3,0)),0),MATCH("CIA_MEDIAN_MARGIN_GUIDENCE",'Margin Guidence Table'!$A$1:$AC$1,0)),INDEX('Margin Guidence Table'!$A$1:$AC$10000,MATCH(1,('Margin Guidence Table'!$A$1:$A$10000=$CE29)*('Margin Guidence Table'!$H$1:$H$10000&lt;=ROUND($BW$3,0))*('Margin Guidence Table'!$G$1:$G$10000&gt;=ROUND($BW$3,0)),0),MATCH("DEFAULT_CIA_MEDIAN_MARGIN_GUIDENCE",'Margin Guidence Table'!$A$1:$AC$1,0))),0)</f>
        <v>0</v>
      </c>
      <c r="CP29" s="129"/>
      <c r="CQ29" s="18">
        <f t="array" ref="CQ29">IFERROR(IF($DC29="SEGMENT",INDEX('Margin Guidence Table'!$A$1:$AC$10000,MATCH(1,('Margin Guidence Table'!$A$1:$A$10000=$DA29)*('Margin Guidence Table'!$H$1:$H$10000&lt;=ROUND($CS$3,0))*('Margin Guidence Table'!$G$1:$G$10000&gt;=ROUND($CS$3,0)),0),MATCH("PCT_SALES",'Margin Guidence Table'!$A$1:$AC$1,0)),INDEX('Margin Guidence Table'!$A$1:$AC$10000,MATCH(1,('Margin Guidence Table'!$A$1:$A$10000=$DA29)*('Margin Guidence Table'!$H$1:$H$10000&lt;=ROUND($CS$3,0))*('Margin Guidence Table'!$G$1:$G$10000&gt;=ROUND($CS$3,0)),0),MATCH("DEFAULT_PCT_SALES",'Margin Guidence Table'!$A$1:$AC$1,0))),0)</f>
        <v>0</v>
      </c>
      <c r="CR29" s="102" t="s">
        <v>90</v>
      </c>
      <c r="CS29" s="94">
        <f>IFERROR(IF(AND($CS$2&lt;&gt;"Enter Spend&gt;&gt;&gt;",CT2="EXISTING"),SUMIFS('Existing Customers'!$Q:$Q,'Existing Customers'!$A:$A,$CS$1,'Existing Customers'!$H:$H,$CR29)*$CS$4,$CS$3*$CQ29),0)</f>
        <v>0</v>
      </c>
      <c r="CT29" s="89">
        <f>IFERROR(IF(AND($CS$2&lt;&gt;"Enter Spend&gt;&gt;&gt;",CT2="EXISTING"),SUMIFS('Existing Customers'!$N:$N,'Existing Customers'!$A:$A,$CS$1,'Existing Customers'!$H:$H,$CR29)*$CS$4,$CS29/$DD29),0)</f>
        <v>0</v>
      </c>
      <c r="CU29" s="95">
        <f>IFERROR(IF(AND($CS$2&lt;&gt;"Enter Spend&gt;&gt;&gt;",BB28="EXISTING"),SUMIFS('Existing Customers'!$O:$O,'Existing Customers'!$H:$H,$CR29,'Existing Customers'!$A:$A,$CS$1)*$CS$4,$CT29*$CS$8),0)</f>
        <v>0</v>
      </c>
      <c r="CV29" s="95">
        <f>IFERROR(IF(AND($CS$2&lt;&gt;"Enter Spend&gt;&gt;&gt;",CT2="EXISTING"),SUMIFS('Existing Customers'!$P:$P,'Existing Customers'!$A:$A,$CS$1,'Existing Customers'!$H:$H,$CR29)*$CS$4,$CS29/$DE29),0)</f>
        <v>0</v>
      </c>
      <c r="CW29" s="96">
        <f>IFERROR(IF(AND($CS$2&lt;&gt;"Enter Spend&gt;&gt;&gt;",CT2="EXISTING"),SUMIFS('Existing Customers'!$V:$V,'Existing Customers'!$H:$H,$CR29,'Existing Customers'!$A:$A,$CS$1)*$CS$4,0),0)</f>
        <v>0</v>
      </c>
      <c r="CX29" s="96">
        <f>IFERROR(IF(AND($CS$2&lt;&gt;"Enter Spend&gt;&gt;&gt;",CT2="EXISTING"),SUMIFS('Existing Customers'!$R:$R,'Existing Customers'!$H:$H,$AZ29,'Existing Customers'!$A:$A,$CS$1)*$CS$4,0),0)</f>
        <v>0</v>
      </c>
      <c r="CY29" s="1161">
        <f>IFERROR(IF(AND($CS$2&lt;&gt;"Enter Spend&gt;&gt;&gt;",CT2="EXISTING"),SUMIFS('Existing Customers'!$S:$S,'Existing Customers'!$H:$H,$CR29,'Existing Customers'!$A:$A,$CS$1),DI29*CS29),0)</f>
        <v>0</v>
      </c>
      <c r="CZ29" s="1161">
        <f>IFERROR(IF(AND($CS$2&lt;&gt;"Enter Spend&gt;&gt;&gt;",CT2="EXISTING"),SUMIFS('Existing Customers'!$U:$U,'Existing Customers'!$H:$H,$CR29,'Existing Customers'!$A:$A,$CS$1),DJ29*CS29),0)</f>
        <v>0</v>
      </c>
      <c r="DA29" s="1164" t="e">
        <f t="shared" si="28"/>
        <v>#N/A</v>
      </c>
      <c r="DB29" s="1164">
        <f t="array" ref="DB29">IFERROR(INDEX('Margin Guidence Table'!$A$1:$AD$30000,MATCH(1,('Margin Guidence Table'!$A$1:$A$10000=DA29)*('Margin Guidence Table'!$H$1:$H$10000&lt;=ROUND($CS$3,0))*('Margin Guidence Table'!$G$1:$G$10000&gt;=ROUND($CS$3,0)),0),MATCH("DATA_POINTS",'Margin Guidence Table'!$A$1:$AC$1,0)),0)</f>
        <v>0</v>
      </c>
      <c r="DC29" s="1161" t="str">
        <f t="shared" si="29"/>
        <v>DEFAULT</v>
      </c>
      <c r="DD29" s="1161">
        <f t="array" ref="DD29">IFERROR(IF($DC29="SEGMENT",INDEX('Margin Guidence Table'!$A$1:$AC$10000,MATCH(1,('Margin Guidence Table'!$A$1:$A$10000=DA29)*('Margin Guidence Table'!$H$1:$H$10000&lt;=ROUND($CS$3,0))*('Margin Guidence Table'!$G$1:$G$10000&gt;=ROUND($CS$3,0)),0),MATCH("SALES_CASE",'Margin Guidence Table'!$A$1:$AC$1,0)),INDEX('Margin Guidence Table'!$A$1:$AC$10000,MATCH(1,('Margin Guidence Table'!$A$1:$A$10000=DA29)*('Margin Guidence Table'!$H$1:$H$10000&lt;=ROUND($CS$3,0))*('Margin Guidence Table'!$G$1:$G$10000&gt;=ROUND($CS$3,0)),0),MATCH("DEFAULT_SALES_CASE",'Margin Guidence Table'!$A$1:$AC$1,0))),0)</f>
        <v>0</v>
      </c>
      <c r="DE29" s="1161">
        <f t="array" ref="DE29">IFERROR(IF($DC29="SEGMENT",INDEX('Margin Guidence Table'!$A$1:$AC$10000,MATCH(1,('Margin Guidence Table'!$A$1:$A$10000=DA29)*('Margin Guidence Table'!$H$1:$H$10000&lt;=ROUND($CS$3,0))*('Margin Guidence Table'!$G$1:$G$10000&gt;=ROUND($CS$3,0)),0),MATCH("SALES_LBS",'Margin Guidence Table'!$A$1:$AC$1,0)),INDEX('Margin Guidence Table'!$A$1:$AC$10000,MATCH(1,('Margin Guidence Table'!$A$1:$A$10000=DA29)*('Margin Guidence Table'!$H$1:$H$10000&lt;=ROUND($CS$3,0))*('Margin Guidence Table'!$G$1:$G$10000&gt;=ROUND($CS$3,0)),0),MATCH("DEFAULT_SALES_LBS",'Margin Guidence Table'!$A$1:$AC$1,0))),0)</f>
        <v>0</v>
      </c>
      <c r="DF29" s="1165">
        <f t="array" ref="DF29">IFERROR(IF($DC29="SEGMENT",INDEX('Margin Guidence Table'!$A$1:$AC$10000,MATCH(1,('Margin Guidence Table'!$A$1:$A$10000=DA29)*('Margin Guidence Table'!$H$1:$H$10000&lt;=ROUND($CS$3,0))*('Margin Guidence Table'!$G$1:$G$10000&gt;=ROUND($CS$3,0)),0),MATCH("MDA_MIN_MARGIN_GUIDENCE",'Margin Guidence Table'!$A$1:$AC$1,0)),INDEX('Margin Guidence Table'!$A$1:$AC$10000,MATCH(1,('Margin Guidence Table'!$A$1:$A$10000=DA29)*('Margin Guidence Table'!$H$1:$H$10000&lt;=ROUND($CS$3,0))*('Margin Guidence Table'!$G$1:$G$10000&gt;=ROUND($CS$3,0)),0),MATCH("DEFAULT_MDA_MIN_MARGIN_GUIDENCE",'Margin Guidence Table'!$A$1:$AC$1,0))),0)</f>
        <v>0</v>
      </c>
      <c r="DG29" s="1165">
        <f t="array" ref="DG29">IFERROR(IF($DC29="SEGMENT",INDEX('Margin Guidence Table'!$A$1:$AC$10000,MATCH(1,('Margin Guidence Table'!$A$1:$A$10000=DA29)*('Margin Guidence Table'!$H$1:$H$10000&lt;=ROUND($CS$3,0))*('Margin Guidence Table'!$G$1:$G$10000&gt;=ROUND($CS$3,0)),0),MATCH("MDA_MEDIAN_MARGIN_GUIDENCE",'Margin Guidence Table'!$A$1:$AC$1,0)),INDEX('Margin Guidence Table'!$A$1:$AC$10000,MATCH(1,('Margin Guidence Table'!$A$1:$A$10000=DA29)*('Margin Guidence Table'!$H$1:$H$10000&lt;=ROUND($CS$3,0))*('Margin Guidence Table'!$G$1:$G$10000&gt;=ROUND($CS$3,0)),0),MATCH("DEFAULT_MDA_MEDIAN_MARGIN_GUIDENCE",'Margin Guidence Table'!$A$1:$AC$1,0))),0)</f>
        <v>0</v>
      </c>
      <c r="DH29" s="1165">
        <f t="array" ref="DH29">IFERROR(IF($DC29="SEGMENT",INDEX('Margin Guidence Table'!$A$1:$AC$10000,MATCH(1,('Margin Guidence Table'!$A$1:$A$10000=DA29)*('Margin Guidence Table'!$H$1:$H$10000&lt;=ROUND($CS$3,0))*('Margin Guidence Table'!$G$1:$G$10000&gt;=ROUND($CS$3,0)),0),MATCH("MDA_MAX_MARGIN_GUIDENCE",'Margin Guidence Table'!$A$1:$AC$1,0)),INDEX('Margin Guidence Table'!$A$1:$AC$10000,MATCH(1,('Margin Guidence Table'!$A$1:$A$10000=DA29)*('Margin Guidence Table'!$H$1:$H$10000&lt;=ROUND($CS$3,0))*('Margin Guidence Table'!$G$1:$G$10000&gt;=ROUND($CS$3,0)),0),MATCH("DEFAULT_MDA_MAX_MARGIN_GUIDENCE",'Margin Guidence Table'!$A$1:$AC$1,0))),0)</f>
        <v>0</v>
      </c>
      <c r="DI29" s="1165">
        <f t="array" ref="DI29">IFERROR(IF($DC29="SEGMENT",INDEX('Margin Guidence Table'!$A$1:$AC$10000,MATCH(1,('Margin Guidence Table'!$A$1:$A$10000=DA29)*('Margin Guidence Table'!$H$1:$H$10000&lt;=ROUND($CS$3,0))*('Margin Guidence Table'!$G$1:$G$10000&gt;=ROUND($CS$3,0)),0),MATCH("PA_PCT_SALES",'Margin Guidence Table'!$A$1:$AC$1,0)),INDEX('Margin Guidence Table'!$A$1:$AC$10000,MATCH(1,('Margin Guidence Table'!$A$1:$A$10000=DA29)*('Margin Guidence Table'!$H$1:$H$10000&lt;=ROUND($CS$3,0))*('Margin Guidence Table'!$G$1:$G$10000&gt;=ROUND($CS$3,0)),0),MATCH("DEFAULT_PA_PCT_SALES",'Margin Guidence Table'!$A$1:$AC$1,0))),0)</f>
        <v>0</v>
      </c>
      <c r="DJ29" s="1165">
        <f t="array" ref="DJ29">IFERROR(IF($DC29="SEGMENT",INDEX('Margin Guidence Table'!$A$1:$AC$10000,MATCH(1,('Margin Guidence Table'!$A$1:$A$10000=DA29)*('Margin Guidence Table'!$H$1:$H$10000&lt;=ROUND($CS$3,0))*('Margin Guidence Table'!$G$1:$G$10000&gt;=ROUND($CS$3,0)),0),MATCH("SELF_FUND_PCT_SALES",'Margin Guidence Table'!$A$1:$AC$1,0)),INDEX('Margin Guidence Table'!$A$1:$AC$10000,MATCH(1,('Margin Guidence Table'!$A$1:$A$10000=DA29)*('Margin Guidence Table'!$H$1:$H$10000&lt;=ROUND($CS$3,0))*('Margin Guidence Table'!$G$1:$G$10000&gt;=ROUND($CS$3,0)),0),MATCH("DEFAULT_SELF_FUND_PCT_SALES",'Margin Guidence Table'!$A$1:$AC$1,0))),0)</f>
        <v>0</v>
      </c>
      <c r="DK29" s="1165">
        <f t="array" ref="DK29">IFERROR(IF($DC29="SEGMENT",INDEX('Margin Guidence Table'!$A$1:$AC$10000,MATCH(1,('Margin Guidence Table'!$A$1:$A$10000=DA29)*('Margin Guidence Table'!$H$1:$H$10000&lt;=ROUND($CS$3,0))*('Margin Guidence Table'!$G$1:$G$10000&gt;=ROUND($CS$3,0)),0),MATCH("CIA_MEDIAN_MARGIN_GUIDENCE",'Margin Guidence Table'!$A$1:$AC$1,0)),INDEX('Margin Guidence Table'!$A$1:$AC$10000,MATCH(1,('Margin Guidence Table'!$A$1:$A$10000=DA29)*('Margin Guidence Table'!$H$1:$H$10000&lt;=ROUND($CS$3,0))*('Margin Guidence Table'!$G$1:$G$10000&gt;=ROUND($CS$3,0)),0),MATCH("DEFAULT_CIA_MEDIAN_MARGIN_GUIDENCE",'Margin Guidence Table'!$A$1:$AC$1,0))),0)</f>
        <v>0</v>
      </c>
      <c r="DL29" s="129"/>
      <c r="DM29" s="18">
        <f t="array" ref="DM29">IFERROR(IF($DY29="SEGMENT",INDEX('Margin Guidence Table'!$A$1:$AC$10000,MATCH(1,('Margin Guidence Table'!$A$1:$A$10000=$DW29)*('Margin Guidence Table'!$H$1:$H$10000&lt;=ROUND($DO$3,0))*('Margin Guidence Table'!$G$1:$G$10000&gt;=ROUND($DO$3,0)),0),MATCH("PCT_SALES",'Margin Guidence Table'!$A$1:$AC$1,0)),INDEX('Margin Guidence Table'!$A$1:$AC$10000,MATCH(1,('Margin Guidence Table'!$A$1:$A$10000=$DW29)*('Margin Guidence Table'!$H$1:$H$10000&lt;=ROUND($DO$3,0))*('Margin Guidence Table'!$G$1:$G$10000&gt;=ROUND($DO$3,0)),0),MATCH("DEFAULT_PCT_SALES",'Margin Guidence Table'!$A$1:$AC$1,0))),0)</f>
        <v>0</v>
      </c>
      <c r="DN29" s="102" t="s">
        <v>90</v>
      </c>
      <c r="DO29" s="94">
        <f>IFERROR(IF(AND($DO$2&lt;&gt;"Enter Spend&gt;&gt;&gt;",DP2="EXISTING"),SUMIFS('Existing Customers'!$Q:$Q,'Existing Customers'!$A:$A,$DO$1,'Existing Customers'!$H:$H,$DN29)*$DO$4,$DO$3*$DM29),0)</f>
        <v>0</v>
      </c>
      <c r="DP29" s="89">
        <f>IFERROR(IF(AND($DO$2&lt;&gt;"Enter Spend&gt;&gt;&gt;",DP2="EXISTING"),SUMIFS('Existing Customers'!$N:$N,'Existing Customers'!$A:$A,$DO$1,'Existing Customers'!$H:$H,$DN29)*$DO$4,$DO29/$DZ29),0)</f>
        <v>0</v>
      </c>
      <c r="DQ29" s="95">
        <f>IFERROR(IF(AND($DO$2&lt;&gt;"Enter Spend&gt;&gt;&gt;",DP2="EXISTING"),SUMIFS('Existing Customers'!$O:$O,'Existing Customers'!$H:$H,$DN29,'Existing Customers'!$A:$A,$DO$1)*$DO$4,$DP29*$DO$8),0)</f>
        <v>0</v>
      </c>
      <c r="DR29" s="95">
        <f>IFERROR(IF(AND($DO$2&lt;&gt;"Enter Spend&gt;&gt;&gt;",DP2="EXISTING"),SUMIFS('Existing Customers'!$P:$P,'Existing Customers'!$A:$A,$DO$1,'Existing Customers'!$H:$H,$DN29)*$DO$4,$DO29/$EA29),0)</f>
        <v>0</v>
      </c>
      <c r="DS29" s="96">
        <f>IFERROR(IF(AND($DO$2&lt;&gt;"Enter Spend&gt;&gt;&gt;",EL2="EXISTING"),SUMIFS('Existing Customers'!$V:$V,'Existing Customers'!$H:$H,$DN29,'Existing Customers'!$A:$A,$DO$1)*$DO$4,0),0)</f>
        <v>0</v>
      </c>
      <c r="DT29" s="96">
        <f>IFERROR(IF(AND($DO$2&lt;&gt;"Enter Spend&gt;&gt;&gt;",DP2="EXISTING"),SUMIFS('Existing Customers'!$R:$R,'Existing Customers'!$H:$H,$DN29,'Existing Customers'!$A:$A,$DO$1)*$DO$4,0),0)</f>
        <v>0</v>
      </c>
      <c r="DU29" s="1161">
        <f>IFERROR(IF(AND($DO$2&lt;&gt;"Enter Spend&gt;&gt;&gt;",DP2="EXISTING"),SUMIFS('Existing Customers'!$S:$S,'Existing Customers'!$H:$H,$DP29,'Existing Customers'!$A:$A,$DO$1),EE29*DO29),0)</f>
        <v>0</v>
      </c>
      <c r="DV29" s="1161">
        <f>IFERROR(IF(AND($DO$2&lt;&gt;"Enter Spend&gt;&gt;&gt;",DP2="EXISTING"),SUMIFS('Existing Customers'!$U:$U,'Existing Customers'!$H:$H,$DN29,'Existing Customers'!$A:$A,$DO$1),EF29*DO29),0)</f>
        <v>0</v>
      </c>
      <c r="DW29" s="1164" t="e">
        <f t="shared" si="30"/>
        <v>#N/A</v>
      </c>
      <c r="DX29" s="1164">
        <f t="array" ref="DX29">IFERROR(INDEX('Margin Guidence Table'!$A$1:$AD$30000,MATCH(1,('Margin Guidence Table'!$A$1:$A$10000=DW29)*('Margin Guidence Table'!$H$1:$H$10000&lt;=ROUND($DO$3,0))*('Margin Guidence Table'!$G$1:$G$10000&gt;=ROUND($DO$3,0)),0),MATCH("DATA_POINTS",'Margin Guidence Table'!$A$1:$AC$1,0)),0)</f>
        <v>0</v>
      </c>
      <c r="DY29" s="1161" t="str">
        <f t="shared" si="31"/>
        <v>DEFAULT</v>
      </c>
      <c r="DZ29" s="1161">
        <f t="array" ref="DZ29">IFERROR(IF($DY29="SEGMENT",INDEX('Margin Guidence Table'!$A$1:$AC$10000,MATCH(1,('Margin Guidence Table'!$A$1:$A$10000=DW29)*('Margin Guidence Table'!$H$1:$H$10000&lt;=ROUND($DO$3,0))*('Margin Guidence Table'!$G$1:$G$10000&gt;=ROUND($DO$3,0)),0),MATCH("SALES_CASE",'Margin Guidence Table'!$A$1:$AC$1,0)),INDEX('Margin Guidence Table'!$A$1:$AC$10000,MATCH(1,('Margin Guidence Table'!$A$1:$A$10000=DW29)*('Margin Guidence Table'!$H$1:$H$10000&lt;=ROUND($DO$3,0))*('Margin Guidence Table'!$G$1:$G$10000&gt;=ROUND($DO$3,0)),0),MATCH("DEFAULT_SALES_CASE",'Margin Guidence Table'!$A$1:$AC$1,0))),0)</f>
        <v>0</v>
      </c>
      <c r="EA29" s="1161">
        <f t="array" ref="EA29">IFERROR(IF($DY29="SEGMENT",INDEX('Margin Guidence Table'!$A$1:$AC$10000,MATCH(1,('Margin Guidence Table'!$A$1:$A$10000=DW29)*('Margin Guidence Table'!$H$1:$H$10000&lt;=ROUND($DO$3,0))*('Margin Guidence Table'!$G$1:$G$10000&gt;=ROUND($DO$3,0)),0),MATCH("SALES_LBS",'Margin Guidence Table'!$A$1:$AC$1,0)),INDEX('Margin Guidence Table'!$A$1:$AC$10000,MATCH(1,('Margin Guidence Table'!$A$1:$A$10000=DW29)*('Margin Guidence Table'!$H$1:$H$10000&lt;=ROUND($DO$3,0))*('Margin Guidence Table'!$G$1:$G$10000&gt;=ROUND($DO$3,0)),0),MATCH("DEFAULT_SALES_LBS",'Margin Guidence Table'!$A$1:$AC$1,0))),0)</f>
        <v>0</v>
      </c>
      <c r="EB29" s="1165">
        <f t="array" ref="EB29">IFERROR(IF($DY29="SEGMENT",INDEX('Margin Guidence Table'!$A$1:$AC$10000,MATCH(1,('Margin Guidence Table'!$A$1:$A$10000=DW29)*('Margin Guidence Table'!$H$1:$H$10000&lt;=ROUND($DO$3,0))*('Margin Guidence Table'!$G$1:$G$10000&gt;=ROUND($DO$3,0)),0),MATCH("MDA_MIN_MARGIN_GUIDENCE",'Margin Guidence Table'!$A$1:$AC$1,0)),INDEX('Margin Guidence Table'!$A$1:$AC$10000,MATCH(1,('Margin Guidence Table'!$A$1:$A$10000=DW29)*('Margin Guidence Table'!$H$1:$H$10000&lt;=ROUND($DO$3,0))*('Margin Guidence Table'!$G$1:$G$10000&gt;=ROUND($DO$3,0)),0),MATCH("DEFAULT_MDA_MIN_MARGIN_GUIDENCE",'Margin Guidence Table'!$A$1:$AC$1,0))),0)</f>
        <v>0</v>
      </c>
      <c r="EC29" s="1165">
        <f t="array" ref="EC29">IFERROR(IF($DY29="SEGMENT",INDEX('Margin Guidence Table'!$A$1:$AC$10000,MATCH(1,('Margin Guidence Table'!$A$1:$A$10000=DW29)*('Margin Guidence Table'!$H$1:$H$10000&lt;=ROUND($DO$3,0))*('Margin Guidence Table'!$G$1:$G$10000&gt;=ROUND($DO$3,0)),0),MATCH("MDA_MEDIAN_MARGIN_GUIDENCE",'Margin Guidence Table'!$A$1:$AC$1,0)),INDEX('Margin Guidence Table'!$A$1:$AC$10000,MATCH(1,('Margin Guidence Table'!$A$1:$A$10000=DW29)*('Margin Guidence Table'!$H$1:$H$10000&lt;=ROUND($DO$3,0))*('Margin Guidence Table'!$G$1:$G$10000&gt;=ROUND($DO$3,0)),0),MATCH("DEFAULT_MDA_MEDIAN_MARGIN_GUIDENCE",'Margin Guidence Table'!$A$1:$AC$1,0))),0)</f>
        <v>0</v>
      </c>
      <c r="ED29" s="1165">
        <f t="array" ref="ED29">IFERROR(IF($DY29="SEGMENT",INDEX('Margin Guidence Table'!$A$1:$AC$10000,MATCH(1,('Margin Guidence Table'!$A$1:$A$10000=DW29)*('Margin Guidence Table'!$H$1:$H$10000&lt;=ROUND($DO$3,0))*('Margin Guidence Table'!$G$1:$G$10000&gt;=ROUND($DO$3,0)),0),MATCH("MDA_MAX_MARGIN_GUIDENCE",'Margin Guidence Table'!$A$1:$AC$1,0)),INDEX('Margin Guidence Table'!$A$1:$AC$10000,MATCH(1,('Margin Guidence Table'!$A$1:$A$10000=DW29)*('Margin Guidence Table'!$H$1:$H$10000&lt;=ROUND($DO$3,0))*('Margin Guidence Table'!$G$1:$G$10000&gt;=ROUND($DO$3,0)),0),MATCH("DEFAULT_MDA_MAX_MARGIN_GUIDENCE",'Margin Guidence Table'!$A$1:$AC$1,0))),0)</f>
        <v>0</v>
      </c>
      <c r="EE29" s="1165">
        <f t="array" ref="EE29">IFERROR(IF($DY29="SEGMENT",INDEX('Margin Guidence Table'!$A$1:$AC$10000,MATCH(1,('Margin Guidence Table'!$A$1:$A$10000=DW29)*('Margin Guidence Table'!$H$1:$H$10000&lt;=ROUND($DO$3,0))*('Margin Guidence Table'!$G$1:$G$10000&gt;=ROUND($DO$3,0)),0),MATCH("PA_PCT_SALES",'Margin Guidence Table'!$A$1:$AC$1,0)),INDEX('Margin Guidence Table'!$A$1:$AC$10000,MATCH(1,('Margin Guidence Table'!$A$1:$A$10000=DW29)*('Margin Guidence Table'!$H$1:$H$10000&lt;=ROUND($DO$3,0))*('Margin Guidence Table'!$G$1:$G$10000&gt;=ROUND($DO$3,0)),0),MATCH("DEFAULT_PA_PCT_SALES",'Margin Guidence Table'!$A$1:$AC$1,0))),0)</f>
        <v>0</v>
      </c>
      <c r="EF29" s="1165">
        <f t="array" ref="EF29">IFERROR(IF($DY29="SEGMENT",INDEX('Margin Guidence Table'!$A$1:$AC$10000,MATCH(1,('Margin Guidence Table'!$A$1:$A$10000=DW29)*('Margin Guidence Table'!$H$1:$H$10000&lt;=ROUND($DO$3,0))*('Margin Guidence Table'!$G$1:$G$10000&gt;=ROUND($DO$3,0)),0),MATCH("SELF_FUND_PCT_SALES",'Margin Guidence Table'!$A$1:$AC$1,0)),INDEX('Margin Guidence Table'!$A$1:$AC$10000,MATCH(1,('Margin Guidence Table'!$A$1:$A$10000=DW29)*('Margin Guidence Table'!$H$1:$H$10000&lt;=ROUND($DO$3,0))*('Margin Guidence Table'!$G$1:$G$10000&gt;=ROUND($DO$3,0)),0),MATCH("DEFAULT_SELF_FUND_PCT_SALES",'Margin Guidence Table'!$A$1:$AC$1,0))),0)</f>
        <v>0</v>
      </c>
      <c r="EG29" s="1165">
        <f t="array" ref="EG29">IFERROR(IF($DY29="SEGMENT",INDEX('Margin Guidence Table'!$A$1:$AC$10000,MATCH(1,('Margin Guidence Table'!$A$1:$A$10000=DW29)*('Margin Guidence Table'!$H$1:$H$10000&lt;=ROUND($DO$3,0))*('Margin Guidence Table'!$G$1:$G$10000&gt;=ROUND($DO$3,0)),0),MATCH("CIA_MEDIAN_MARGIN_GUIDENCE",'Margin Guidence Table'!$A$1:$AC$1,0)),INDEX('Margin Guidence Table'!$A$1:$AC$10000,MATCH(1,('Margin Guidence Table'!$A$1:$A$10000=DW29)*('Margin Guidence Table'!$H$1:$H$10000&lt;=ROUND($DO$3,0))*('Margin Guidence Table'!$G$1:$G$10000&gt;=ROUND($DO$3,0)),0),MATCH("DEFAULT_CIA_MEDIAN_MARGIN_GUIDENCE",'Margin Guidence Table'!$A$1:$AC$1,0))),0)</f>
        <v>0</v>
      </c>
      <c r="EH29" s="129"/>
      <c r="EI29" s="18">
        <f t="array" ref="EI29">IFERROR(IF($EU29="SEGMENT",INDEX('Margin Guidence Table'!$A$1:$AC$10000,MATCH(1,('Margin Guidence Table'!$A$1:$A$10000=$ES29)*('Margin Guidence Table'!$H$1:$H$10000&lt;=ROUND($EK$3,0))*('Margin Guidence Table'!$G$1:$G$10000&gt;=ROUND($EK$3,0)),0),MATCH("PCT_SALES",'Margin Guidence Table'!$A$1:$AC$1,0)),INDEX('Margin Guidence Table'!$A$1:$AC$10000,MATCH(1,('Margin Guidence Table'!$A$1:$A$10000=$ES29)*('Margin Guidence Table'!$H$1:$H$10000&lt;=ROUND($EK$3,0))*('Margin Guidence Table'!$G$1:$G$10000&gt;=ROUND($EK$3,0)),0),MATCH("DEFAULT_PCT_SALES",'Margin Guidence Table'!$A$1:$AC$1,0))),0)</f>
        <v>0</v>
      </c>
      <c r="EJ29" s="102" t="s">
        <v>90</v>
      </c>
      <c r="EK29" s="94">
        <f>IFERROR(IF(AND($EK$2&lt;&gt;"Enter Spend&gt;&gt;&gt;",EL2="EXISTING"),SUMIFS('Existing Customers'!$Q:$Q,'Existing Customers'!$A:$A,$EK$1,'Existing Customers'!$H:$H,$EJ29)*$EK$4,$EK$3*$EI29),0)</f>
        <v>0</v>
      </c>
      <c r="EL29" s="89">
        <f>IFERROR(IF(AND($EK$2&lt;&gt;"Enter Spend&gt;&gt;&gt;",EL2="EXISTING"),SUMIFS('Existing Customers'!$N:$N,'Existing Customers'!$A:$A,$EK$1,'Existing Customers'!$H:$H,$EJ29)*$EK$4,$EK29/$EV29),0)</f>
        <v>0</v>
      </c>
      <c r="EM29" s="95">
        <f>IFERROR(IF(AND($EK$2&lt;&gt;"Enter Spend&gt;&gt;&gt;",EL2="EXISTING"),SUMIFS('Existing Customers'!$O:$O,'Existing Customers'!$H:$H,$EJ29,'Existing Customers'!$A:$A,$EK$1)*$EK$4,$EL29*$EK$8),0)</f>
        <v>0</v>
      </c>
      <c r="EN29" s="95">
        <f>IFERROR(IF(AND($EK$2&lt;&gt;"Enter Spend&gt;&gt;&gt;",EL2="EXISTING"),SUMIFS('Existing Customers'!$P:$P,'Existing Customers'!$A:$A,$EK$1,'Existing Customers'!$H:$H,$EJ29)*$EK$4,$EK29/$EW29),0)</f>
        <v>0</v>
      </c>
      <c r="EO29" s="96">
        <f>IFERROR(IF(AND($EK$2&lt;&gt;"Enter Spend&gt;&gt;&gt;",EL2="EXISTING"),SUMIFS('Existing Customers'!$V:$V,'Existing Customers'!$H:$H,$EJ29,'Existing Customers'!$A:$A,$EK$1)*$EK$4,0),0)</f>
        <v>0</v>
      </c>
      <c r="EP29" s="96">
        <f>IFERROR(IF(AND($EK$2&lt;&gt;"Enter Spend&gt;&gt;&gt;",EL2="EXISTING"),SUMIFS('Existing Customers'!$R:$R,'Existing Customers'!$H:$H,$EJ29,'Existing Customers'!$A:$A,$EK$1)*$EK$4,0),0)</f>
        <v>0</v>
      </c>
      <c r="EQ29" s="1161">
        <f>IFERROR(IF(AND($EK$2&lt;&gt;"Enter Spend&gt;&gt;&gt;",EL2="EXISTING"),SUMIFS('Existing Customers'!$S:$S,'Existing Customers'!$H:$H,$EJ29,'Existing Customers'!$A:$A,$EK$1),FA29*EK29),0)</f>
        <v>0</v>
      </c>
      <c r="ER29" s="1161">
        <f>IFERROR(IF(AND($EK$2&lt;&gt;"Enter Spend&gt;&gt;&gt;",EL2="EXISTING"),SUMIFS('Existing Customers'!$U:$U,'Existing Customers'!$H:$H,$EJ29,'Existing Customers'!$A:$A,$EK$1),FB29*EK29),0)</f>
        <v>0</v>
      </c>
      <c r="ES29" s="1164" t="e">
        <f t="shared" si="32"/>
        <v>#N/A</v>
      </c>
      <c r="ET29" s="1164">
        <f t="array" ref="ET29">IFERROR(INDEX('Margin Guidence Table'!$A$1:$AD$30000,MATCH(1,('Margin Guidence Table'!$A$1:$A$10000=ES29)*('Margin Guidence Table'!$H$1:$H$10000&lt;=ROUND($EK$3,0))*('Margin Guidence Table'!$G$1:$G$10000&gt;=ROUND($EK$3,0)),0),MATCH("DATA_POINTS",'Margin Guidence Table'!$A$1:$AC$1,0)),0)</f>
        <v>0</v>
      </c>
      <c r="EU29" s="1161" t="str">
        <f t="shared" si="33"/>
        <v>DEFAULT</v>
      </c>
      <c r="EV29" s="1161">
        <f t="array" ref="EV29">IFERROR(IF($EU29="SEGMENT",INDEX('Margin Guidence Table'!$A$1:$AC$10000,MATCH(1,('Margin Guidence Table'!$A$1:$A$10000=ES29)*('Margin Guidence Table'!$H$1:$H$10000&lt;=ROUND($EK$3,0))*('Margin Guidence Table'!$G$1:$G$10000&gt;=ROUND($EK$3,0)),0),MATCH("SALES_CASE",'Margin Guidence Table'!$A$1:$AC$1,0)),INDEX('Margin Guidence Table'!$A$1:$AC$10000,MATCH(1,('Margin Guidence Table'!$A$1:$A$10000=ES29)*('Margin Guidence Table'!$H$1:$H$10000&lt;=ROUND($EK$3,0))*('Margin Guidence Table'!$G$1:$G$10000&gt;=ROUND($EK$3,0)),0),MATCH("DEFAULT_SALES_CASE",'Margin Guidence Table'!$A$1:$AC$1,0))),0)</f>
        <v>0</v>
      </c>
      <c r="EW29" s="1161" cm="1">
        <f t="array" ref="EW29">IFERROR(IF($EU29="SEGMENT",INDEX('Margin Guidence Table'!$A$1:$AC$10000,MATCH(1,('Margin Guidence Table'!$A$1:$A$10000=ES29)*('Margin Guidence Table'!$H$1:$H$10000&lt;=ROUND($EK$3,0))*('Margin Guidence Table'!$G$1:$G$10000&gt;=ROUND($EK$3,0)),0),MATCH("SALES_LBS",'Margin Guidence Table'!$A$1:$AC$1,0)),INDEX('Margin Guidence Table'!$A$1:$AC$10000,MATCH(1,('Margin Guidence Table'!$A$1:$A$10000=ES29)*('Margin Guidence Table'!$H$1:$H$10000&lt;=ROUND($EK$3,0))*('Margin Guidence Table'!$G$1:$G$10000&gt;=ROUND($EK$3,0)),0),MATCH("DEFAULT_SALES_LBS",'Margin Guidence Table'!$A$1:$AC$1,0))),0)</f>
        <v>0</v>
      </c>
      <c r="EX29" s="1165">
        <f t="array" ref="EX29">IFERROR(IF($EU29="SEGMENT",INDEX('Margin Guidence Table'!$A$1:$AC$10000,MATCH(1,('Margin Guidence Table'!$A$1:$A$10000=ES29)*('Margin Guidence Table'!$H$1:$H$10000&lt;=ROUND($EK$3,0))*('Margin Guidence Table'!$G$1:$G$10000&gt;=ROUND($EK$3,0)),0),MATCH("MDA_MIN_MARGIN_GUIDENCE",'Margin Guidence Table'!$A$1:$AC$1,0)),INDEX('Margin Guidence Table'!$A$1:$AC$10000,MATCH(1,('Margin Guidence Table'!$A$1:$A$10000=ES29)*('Margin Guidence Table'!$H$1:$H$10000&lt;=ROUND($EK$3,0))*('Margin Guidence Table'!$G$1:$G$10000&gt;=ROUND($EK$3,0)),0),MATCH("DEFAULT_MDA_MIN_MARGIN_GUIDENCE",'Margin Guidence Table'!$A$1:$AC$1,0))),0)</f>
        <v>0</v>
      </c>
      <c r="EY29" s="1165">
        <f t="array" ref="EY29">IFERROR(IF($EU29="SEGMENT",INDEX('Margin Guidence Table'!$A$1:$AC$10000,MATCH(1,('Margin Guidence Table'!$A$1:$A$10000=ES29)*('Margin Guidence Table'!$H$1:$H$10000&lt;=ROUND($EK$3,0))*('Margin Guidence Table'!$G$1:$G$10000&gt;=ROUND($EK$3,0)),0),MATCH("MDA_MEDIAN_MARGIN_GUIDENCE",'Margin Guidence Table'!$A$1:$AC$1,0)),INDEX('Margin Guidence Table'!$A$1:$AC$10000,MATCH(1,('Margin Guidence Table'!$A$1:$A$10000=ES29)*('Margin Guidence Table'!$H$1:$H$10000&lt;=ROUND($EK$3,0))*('Margin Guidence Table'!$G$1:$G$10000&gt;=ROUND($EK$3,0)),0),MATCH("DEFAULT_MDA_MEDIAN_MARGIN_GUIDENCE",'Margin Guidence Table'!$A$1:$AC$1,0))),0)</f>
        <v>0</v>
      </c>
      <c r="EZ29" s="1165">
        <f t="array" ref="EZ29">IFERROR(IF($EU29="SEGMENT",INDEX('Margin Guidence Table'!$A$1:$AC$10000,MATCH(1,('Margin Guidence Table'!$A$1:$A$10000=ES29)*('Margin Guidence Table'!$H$1:$H$10000&lt;=ROUND($EK$3,0))*('Margin Guidence Table'!$G$1:$G$10000&gt;=ROUND($EK$3,0)),0),MATCH("MDA_MAX_MARGIN_GUIDENCE",'Margin Guidence Table'!$A$1:$AC$1,0)),INDEX('Margin Guidence Table'!$A$1:$AC$10000,MATCH(1,('Margin Guidence Table'!$A$1:$A$10000=ES29)*('Margin Guidence Table'!$H$1:$H$10000&lt;=ROUND($EK$3,0))*('Margin Guidence Table'!$G$1:$G$10000&gt;=ROUND($EK$3,0)),0),MATCH("DEFAULT_MDA_MAX_MARGIN_GUIDENCE",'Margin Guidence Table'!$A$1:$AC$1,0))),0)</f>
        <v>0</v>
      </c>
      <c r="FA29" s="1165">
        <f t="array" ref="FA29">IFERROR(IF($EU29="SEGMENT",INDEX('Margin Guidence Table'!$A$1:$AC$10000,MATCH(1,('Margin Guidence Table'!$A$1:$A$10000=ES29)*('Margin Guidence Table'!$H$1:$H$10000&lt;=ROUND($EK$3,0))*('Margin Guidence Table'!$G$1:$G$10000&gt;=ROUND($EK$3,0)),0),MATCH("PA_PCT_SALES",'Margin Guidence Table'!$A$1:$AC$1,0)),INDEX('Margin Guidence Table'!$A$1:$AC$10000,MATCH(1,('Margin Guidence Table'!$A$1:$A$10000=ES29)*('Margin Guidence Table'!$H$1:$H$10000&lt;=ROUND($EK$3,0))*('Margin Guidence Table'!$G$1:$G$10000&gt;=ROUND($EK$3,0)),0),MATCH("DEFAULT_PA_PCT_SALES",'Margin Guidence Table'!$A$1:$AC$1,0))),0)</f>
        <v>0</v>
      </c>
      <c r="FB29" s="1165">
        <f t="array" ref="FB29">IFERROR(IF($EU29="SEGMENT",INDEX('Margin Guidence Table'!$A$1:$AC$10000,MATCH(1,('Margin Guidence Table'!$A$1:$A$10000=ES29)*('Margin Guidence Table'!$H$1:$H$10000&lt;=ROUND($EK$3,0))*('Margin Guidence Table'!$G$1:$G$10000&gt;=ROUND($EK$3,0)),0),MATCH("SELF_FUND_PCT_SALES",'Margin Guidence Table'!$A$1:$AC$1,0)),INDEX('Margin Guidence Table'!$A$1:$AC$10000,MATCH(1,('Margin Guidence Table'!$A$1:$A$10000=ES29)*('Margin Guidence Table'!$H$1:$H$10000&lt;=ROUND($EK$3,0))*('Margin Guidence Table'!$G$1:$G$10000&gt;=ROUND($EK$3,0)),0),MATCH("DEFAULT_SELF_FUND_PCT_SALES",'Margin Guidence Table'!$A$1:$AC$1,0))),0)</f>
        <v>0</v>
      </c>
      <c r="FC29" s="1165">
        <f t="array" ref="FC29">IFERROR(IF($EU29="SEGMENT",INDEX('Margin Guidence Table'!$A$1:$AC$10000,MATCH(1,('Margin Guidence Table'!$A$1:$A$10000=ES29)*('Margin Guidence Table'!$H$1:$H$10000&lt;=ROUND($EK$3,0))*('Margin Guidence Table'!$G$1:$G$10000&gt;=ROUND($EK$3,0)),0),MATCH("CIA_MEDIAN_MARGIN_GUIDENCE",'Margin Guidence Table'!$A$1:$AC$1,0)),INDEX('Margin Guidence Table'!$A$1:$AC$10000,MATCH(1,('Margin Guidence Table'!$A$1:$A$10000=ES29)*('Margin Guidence Table'!$H$1:$H$10000&lt;=ROUND($EK$3,0))*('Margin Guidence Table'!$G$1:$G$10000&gt;=ROUND($EK$3,0)),0),MATCH("DEFAULT_CIA_MEDIAN_MARGIN_GUIDENCE",'Margin Guidence Table'!$A$1:$AC$1,0))),0)</f>
        <v>0</v>
      </c>
      <c r="FD29" s="129"/>
      <c r="FE29" s="18">
        <f t="array" ref="FE29">IFERROR(IF($FQ29="SEGMENT",INDEX('Margin Guidence Table'!$A$1:$AC$10000,MATCH(1,('Margin Guidence Table'!$A$1:$A$10000=$FO29)*('Margin Guidence Table'!$H$1:$H$10000&lt;=ROUND($FG$3,0))*('Margin Guidence Table'!$G$1:$G$10000&gt;=ROUND($FG$3,0)),0),MATCH("PCT_SALES",'Margin Guidence Table'!$A$1:$AC$1,0)),INDEX('Margin Guidence Table'!$A$1:$AC$10000,MATCH(1,('Margin Guidence Table'!$A$1:$A$10000=$FO29)*('Margin Guidence Table'!$H$1:$H$10000&lt;=ROUND($FG$3,0))*('Margin Guidence Table'!$G$1:$G$10000&gt;=ROUND($FG$3,0)),0),MATCH("DEFAULT_PCT_SALES",'Margin Guidence Table'!$A$1:$AC$1,0))),0)</f>
        <v>0</v>
      </c>
      <c r="FF29" s="102" t="s">
        <v>90</v>
      </c>
      <c r="FG29" s="94">
        <f>IFERROR(IF(AND($FG$2&lt;&gt;"Enter Spend&gt;&gt;&gt;",FH2="EXISTING"),SUMIFS('Existing Customers'!$Q:$Q,'Existing Customers'!$A:$A,$FG$1,'Existing Customers'!$H:$H,$FF29)*$FG$4,$FG$3*$FE29),0)</f>
        <v>0</v>
      </c>
      <c r="FH29" s="89">
        <f>IFERROR(IF(AND($FG$2&lt;&gt;"Enter Spend&gt;&gt;&gt;",FH2="EXISTING"),SUMIFS('Existing Customers'!$N:$N,'Existing Customers'!$A:$A,$FG$1,'Existing Customers'!$H:$H,$FF29)*$FG$4,$FG29/$FR29),0)</f>
        <v>0</v>
      </c>
      <c r="FI29" s="95">
        <f>IFERROR(IF(AND($FG$2&lt;&gt;"Enter Spend&gt;&gt;&gt;",FH2="EXISTING"),SUMIFS('Existing Customers'!$O:$O,'Existing Customers'!$H:$H,$FF29,'Existing Customers'!$A:$A,$FG$1)*$FG$4,$FH29*$FG$8),0)</f>
        <v>0</v>
      </c>
      <c r="FJ29" s="95">
        <f>IFERROR(IF(AND($FG$2&lt;&gt;"Enter Spend&gt;&gt;&gt;",FH2="EXISTING"),SUMIFS('Existing Customers'!$P:$P,'Existing Customers'!$A:$A,$FG$1,'Existing Customers'!$H:$H,$FF29)*$FG$4,$FG29/$FS29),0)</f>
        <v>0</v>
      </c>
      <c r="FK29" s="96">
        <f>IFERROR(IF(AND($FG$2&lt;&gt;"Enter Spend&gt;&gt;&gt;",FH2="EXISTING"),SUMIFS('Existing Customers'!$V:$V,'Existing Customers'!$H:$H,$FF29,'Existing Customers'!$A:$A,$FG$1)*$FG$4,0),0)</f>
        <v>0</v>
      </c>
      <c r="FL29" s="96">
        <f>IFERROR(IF(AND($FG$2&lt;&gt;"Enter Spend&gt;&gt;&gt;",FH2="EXISTING"),SUMIFS('Existing Customers'!$R:$R,'Existing Customers'!$H:$H,$FF29,'Existing Customers'!$A:$A,$FG$1)*$FG$4,0),0)</f>
        <v>0</v>
      </c>
      <c r="FM29" s="1161">
        <f>IFERROR(IF(AND($FG$2&lt;&gt;"Enter Spend&gt;&gt;&gt;",FH2="EXISTING"),SUMIFS('Existing Customers'!$S:$S,'Existing Customers'!$H:$H,$FF29,'Existing Customers'!$A:$A,$FG$1),FW29*FG29),0)</f>
        <v>0</v>
      </c>
      <c r="FN29" s="1161">
        <f>IFERROR(IF(AND($FG$2&lt;&gt;"Enter Spend&gt;&gt;&gt;",FH2="EXISTING"),SUMIFS('Existing Customers'!$U:$U,'Existing Customers'!$H:$H,$FF29,'Existing Customers'!$A:$A,$FG$1),FX29*FG29),0)</f>
        <v>0</v>
      </c>
      <c r="FO29" s="1164" t="e">
        <f t="shared" si="34"/>
        <v>#N/A</v>
      </c>
      <c r="FP29" s="1164">
        <f t="array" ref="FP29">IFERROR(INDEX('Margin Guidence Table'!$A$1:$AD$30000,MATCH(1,('Margin Guidence Table'!$A$1:$A$10000=FO29)*('Margin Guidence Table'!$H$1:$H$10000&lt;=ROUND($FG$3,0))*('Margin Guidence Table'!$G$1:$G$10000&gt;=ROUND($FG$3,0)),0),MATCH("DATA_POINTS",'Margin Guidence Table'!$A$1:$AC$1,0)),0)</f>
        <v>0</v>
      </c>
      <c r="FQ29" s="1161" t="str">
        <f t="shared" si="35"/>
        <v>DEFAULT</v>
      </c>
      <c r="FR29" s="1161">
        <f t="array" ref="FR29">IFERROR(IF($FQ29="SEGMENT",INDEX('Margin Guidence Table'!$A$1:$AC$10000,MATCH(1,('Margin Guidence Table'!$A$1:$A$10000=FO29)*('Margin Guidence Table'!$H$1:$H$10000&lt;=ROUND($FG$3,0))*('Margin Guidence Table'!$G$1:$G$10000&gt;=ROUND($FG$3,0)),0),MATCH("SALES_CASE",'Margin Guidence Table'!$A$1:$AC$1,0)),INDEX('Margin Guidence Table'!$A$1:$AC$10000,MATCH(1,('Margin Guidence Table'!$A$1:$A$10000=FO29)*('Margin Guidence Table'!$H$1:$H$10000&lt;=ROUND($FG$3,0))*('Margin Guidence Table'!$G$1:$G$10000&gt;=ROUND($FG$3,0)),0),MATCH("DEFAULT_SALES_CASE",'Margin Guidence Table'!$A$1:$AC$1,0))),0)</f>
        <v>0</v>
      </c>
      <c r="FS29" s="1161">
        <f t="array" ref="FS29">IFERROR(IF($FQ29="SEGMENT",INDEX('Margin Guidence Table'!$A$1:$AC$10000,MATCH(1,('Margin Guidence Table'!$A$1:$A$10000=FO29)*('Margin Guidence Table'!$H$1:$H$10000&lt;=ROUND($FG$3,0))*('Margin Guidence Table'!$G$1:$G$10000&gt;=ROUND($FG$3,0)),0),MATCH("SALES_LBS",'Margin Guidence Table'!$A$1:$AC$1,0)),INDEX('Margin Guidence Table'!$A$1:$AC$10000,MATCH(1,('Margin Guidence Table'!$A$1:$A$10000=FO29)*('Margin Guidence Table'!$H$1:$H$10000&lt;=ROUND($FG$3,0))*('Margin Guidence Table'!$G$1:$G$10000&gt;=ROUND($FG$3,0)),0),MATCH("DEFAULT_SALES_LBS",'Margin Guidence Table'!$A$1:$AC$1,0))),0)</f>
        <v>0</v>
      </c>
      <c r="FT29" s="1165">
        <f t="array" ref="FT29">IFERROR(IF($FQ29="SEGMENT",INDEX('Margin Guidence Table'!$A$1:$AC$10000,MATCH(1,('Margin Guidence Table'!$A$1:$A$10000=FO29)*('Margin Guidence Table'!$H$1:$H$10000&lt;=ROUND($FG$3,0))*('Margin Guidence Table'!$G$1:$G$10000&gt;=ROUND($FG$3,0)),0),MATCH("MDA_MIN_MARGIN_GUIDENCE",'Margin Guidence Table'!$A$1:$AC$1,0)),INDEX('Margin Guidence Table'!$A$1:$AC$10000,MATCH(1,('Margin Guidence Table'!$A$1:$A$10000=FO29)*('Margin Guidence Table'!$H$1:$H$10000&lt;=ROUND($FG$3,0))*('Margin Guidence Table'!$G$1:$G$10000&gt;=ROUND($FG$3,0)),0),MATCH("DEFAULT_MDA_MIN_MARGIN_GUIDENCE",'Margin Guidence Table'!$A$1:$AC$1,0))),0)</f>
        <v>0</v>
      </c>
      <c r="FU29" s="1165">
        <f t="array" ref="FU29">IFERROR(IF($FQ29="SEGMENT",INDEX('Margin Guidence Table'!$A$1:$AC$10000,MATCH(1,('Margin Guidence Table'!$A$1:$A$10000=FO29)*('Margin Guidence Table'!$H$1:$H$10000&lt;=ROUND($FG$3,0))*('Margin Guidence Table'!$G$1:$G$10000&gt;=ROUND($FG$3,0)),0),MATCH("MDA_MEDIAN_MARGIN_GUIDENCE",'Margin Guidence Table'!$A$1:$AC$1,0)),INDEX('Margin Guidence Table'!$A$1:$AC$10000,MATCH(1,('Margin Guidence Table'!$A$1:$A$10000=FO29)*('Margin Guidence Table'!$H$1:$H$10000&lt;=ROUND($FG$3,0))*('Margin Guidence Table'!$G$1:$G$10000&gt;=ROUND($FG$3,0)),0),MATCH("DEFAULT_MDA_MEDIAN_MARGIN_GUIDENCE",'Margin Guidence Table'!$A$1:$AC$1,0))),0)</f>
        <v>0</v>
      </c>
      <c r="FV29" s="1165">
        <f t="array" ref="FV29">IFERROR(IF($FQ29="SEGMENT",INDEX('Margin Guidence Table'!$A$1:$AC$10000,MATCH(1,('Margin Guidence Table'!$A$1:$A$10000=FO29)*('Margin Guidence Table'!$H$1:$H$10000&lt;=ROUND($FG$3,0))*('Margin Guidence Table'!$G$1:$G$10000&gt;=ROUND($FG$3,0)),0),MATCH("MDA_MAX_MARGIN_GUIDENCE",'Margin Guidence Table'!$A$1:$AC$1,0)),INDEX('Margin Guidence Table'!$A$1:$AC$10000,MATCH(1,('Margin Guidence Table'!$A$1:$A$10000=FO29)*('Margin Guidence Table'!$H$1:$H$10000&lt;=ROUND($FG$3,0))*('Margin Guidence Table'!$G$1:$G$10000&gt;=ROUND($FG$3,0)),0),MATCH("DEFAULT_MDA_MAX_MARGIN_GUIDENCE",'Margin Guidence Table'!$A$1:$AC$1,0))),0)</f>
        <v>0</v>
      </c>
      <c r="FW29" s="1165">
        <f t="array" ref="FW29">IFERROR(IF($FQ29="SEGMENT",INDEX('Margin Guidence Table'!$A$1:$AC$10000,MATCH(1,('Margin Guidence Table'!$A$1:$A$10000=FO29)*('Margin Guidence Table'!$H$1:$H$10000&lt;=ROUND($FG$3,0))*('Margin Guidence Table'!$G$1:$G$10000&gt;=ROUND($FG$3,0)),0),MATCH("PA_PCT_SALES",'Margin Guidence Table'!$A$1:$AC$1,0)),INDEX('Margin Guidence Table'!$A$1:$AC$10000,MATCH(1,('Margin Guidence Table'!$A$1:$A$10000=FO29)*('Margin Guidence Table'!$H$1:$H$10000&lt;=ROUND($FG$3,0))*('Margin Guidence Table'!$G$1:$G$10000&gt;=ROUND($FG$3,0)),0),MATCH("DEFAULT_PA_PCT_SALES",'Margin Guidence Table'!$A$1:$AC$1,0))),0)</f>
        <v>0</v>
      </c>
      <c r="FX29" s="1165">
        <f t="array" ref="FX29">IFERROR(IF($FQ29="SEGMENT",INDEX('Margin Guidence Table'!$A$1:$AC$10000,MATCH(1,('Margin Guidence Table'!$A$1:$A$10000=FO29)*('Margin Guidence Table'!$H$1:$H$10000&lt;=ROUND($FG$3,0))*('Margin Guidence Table'!$G$1:$G$10000&gt;=ROUND($FG$3,0)),0),MATCH("SELF_FUND_PCT_SALES",'Margin Guidence Table'!$A$1:$AC$1,0)),INDEX('Margin Guidence Table'!$A$1:$AC$10000,MATCH(1,('Margin Guidence Table'!$A$1:$A$10000=FO29)*('Margin Guidence Table'!$H$1:$H$10000&lt;=ROUND($FG$3,0))*('Margin Guidence Table'!$G$1:$G$10000&gt;=ROUND($FG$3,0)),0),MATCH("DEFAULT_SELF_FUND_PCT_SALES",'Margin Guidence Table'!$A$1:$AC$1,0))),0)</f>
        <v>0</v>
      </c>
      <c r="FY29" s="1165">
        <f t="array" ref="FY29">IFERROR(IF($FQ29="SEGMENT",INDEX('Margin Guidence Table'!$A$1:$AC$10000,MATCH(1,('Margin Guidence Table'!$A$1:$A$10000=FO29)*('Margin Guidence Table'!$H$1:$H$10000&lt;=ROUND($FG$3,0))*('Margin Guidence Table'!$G$1:$G$10000&gt;=ROUND($FG$3,0)),0),MATCH("CIA_MEDIAN_MARGIN_GUIDENCE",'Margin Guidence Table'!$A$1:$AC$1,0)),INDEX('Margin Guidence Table'!$A$1:$AC$10000,MATCH(1,('Margin Guidence Table'!$A$1:$A$10000=FO29)*('Margin Guidence Table'!$H$1:$H$10000&lt;=ROUND($FG$3,0))*('Margin Guidence Table'!$G$1:$G$10000&gt;=ROUND($FG$3,0)),0),MATCH("DEFAULT_CIA_MEDIAN_MARGIN_GUIDENCE",'Margin Guidence Table'!$A$1:$AC$1,0))),0)</f>
        <v>0</v>
      </c>
      <c r="FZ29" s="129"/>
      <c r="GA29" s="18">
        <f t="array" ref="GA29">IFERROR(IF($GM29="SEGMENT",INDEX('Margin Guidence Table'!$A$1:$AC$10000,MATCH(1,('Margin Guidence Table'!$A$1:$A$10000=$GK29)*('Margin Guidence Table'!$H$1:$H$10000&lt;=ROUND($GC$3,0))*('Margin Guidence Table'!$G$1:$G$10000&gt;=ROUND($GC$3,0)),0),MATCH("PCT_SALES",'Margin Guidence Table'!$A$1:$AC$1,0)),INDEX('Margin Guidence Table'!$A$1:$AC$10000,MATCH(1,('Margin Guidence Table'!$A$1:$A$10000=$GK29)*('Margin Guidence Table'!$H$1:$H$10000&lt;=ROUND($GC$3,0))*('Margin Guidence Table'!$G$1:$G$10000&gt;=ROUND($GC$3,0)),0),MATCH("DEFAULT_PCT_SALES",'Margin Guidence Table'!$A$1:$AC$1,0))),0)</f>
        <v>0</v>
      </c>
      <c r="GB29" s="102" t="s">
        <v>90</v>
      </c>
      <c r="GC29" s="94">
        <f>IFERROR(IF(AND($GC$2&lt;&gt;"Enter Spend&gt;&gt;&gt;",GD2="EXISTING"),SUMIFS('Existing Customers'!$Q:$Q,'Existing Customers'!$A:$A,$GC$1,'Existing Customers'!$H:$H,$GB29)*$GC$4,$GC$3*$GA29),0)</f>
        <v>0</v>
      </c>
      <c r="GD29" s="89">
        <f>IFERROR(IF(AND($GC$2&lt;&gt;"Enter Spend&gt;&gt;&gt;",GD2="EXISTING"),SUMIFS('Existing Customers'!$N:$N,'Existing Customers'!$A:$A,$GC$1,'Existing Customers'!$H:$H,$GB29)*$GC$4,$GC29/$GN29),0)</f>
        <v>0</v>
      </c>
      <c r="GE29" s="95">
        <f>IFERROR(IF(AND($GC$2&lt;&gt;"Enter Spend&gt;&gt;&gt;",GD2="EXISTING"),SUMIFS('Existing Customers'!$O:$O,'Existing Customers'!$H:$H,$GB29,'Existing Customers'!$A:$A,$GC$1)*$GC$4,$GD29*$GC$8),0)</f>
        <v>0</v>
      </c>
      <c r="GF29" s="95">
        <f>IFERROR(IF(AND($GC$2&lt;&gt;"Enter Spend&gt;&gt;&gt;",GD2="EXISTING"),SUMIFS('Existing Customers'!$P:$P,'Existing Customers'!$A:$A,$GC$1,'Existing Customers'!$H:$H,$GB29)*$GC$4,$GC29/$GO29),0)</f>
        <v>0</v>
      </c>
      <c r="GG29" s="96">
        <f>IFERROR(IF(AND($GC$2&lt;&gt;"Enter Spend&gt;&gt;&gt;",GD2="EXISTING"),SUMIFS('Existing Customers'!$V:$V,'Existing Customers'!$H:$H,$GB29,'Existing Customers'!$A:$A,$GC$1)*$GC$4,0),0)</f>
        <v>0</v>
      </c>
      <c r="GH29" s="96">
        <f>IFERROR(IF(AND($GC$2&lt;&gt;"Enter Spend&gt;&gt;&gt;",GD2="EXISTING"),SUMIFS('Existing Customers'!$R:$R,'Existing Customers'!$H:$H,$GB29,'Existing Customers'!$A:$A,$GC$1)*$GC$4,0),0)</f>
        <v>0</v>
      </c>
      <c r="GI29" s="1161">
        <f>IFERROR(IF(AND($GC$2&lt;&gt;"Enter Spend&gt;&gt;&gt;",GD2="EXISTING"),SUMIFS('Existing Customers'!$S:$S,'Existing Customers'!$H:$H,$GB29,'Existing Customers'!$A:$A,$GC$1),GS29*GC29),0)</f>
        <v>0</v>
      </c>
      <c r="GJ29" s="1161">
        <f>IFERROR(IF(AND($GC$2&lt;&gt;"Enter Spend&gt;&gt;&gt;",GD2="EXISTING"),SUMIFS('Existing Customers'!$U:$U,'Existing Customers'!$H:$H,$GB29,'Existing Customers'!$A:$A,$GC$1),GT29*GC29),0)</f>
        <v>0</v>
      </c>
      <c r="GK29" s="1164" t="e">
        <f t="shared" si="36"/>
        <v>#N/A</v>
      </c>
      <c r="GL29" s="1164">
        <f t="array" ref="GL29">IFERROR(INDEX('Margin Guidence Table'!$A$1:$AD$30000,MATCH(1,('Margin Guidence Table'!$A$1:$A$10000=GK29)*('Margin Guidence Table'!$H$1:$H$10000&lt;=ROUND($GC$3,0))*('Margin Guidence Table'!$G$1:$G$10000&gt;=ROUND($GC$3,0)),0),MATCH("DATA_POINTS",'Margin Guidence Table'!$A$1:$AC$1,0)),0)</f>
        <v>0</v>
      </c>
      <c r="GM29" s="1161" t="str">
        <f t="shared" si="37"/>
        <v>DEFAULT</v>
      </c>
      <c r="GN29" s="1161">
        <f t="array" ref="GN29">IFERROR(IF($GM29="SEGMENT",INDEX('Margin Guidence Table'!$A$1:$AC$10000,MATCH(1,('Margin Guidence Table'!$A$1:$A$10000=GK29)*('Margin Guidence Table'!$H$1:$H$10000&lt;=ROUND($GC$3,0))*('Margin Guidence Table'!$G$1:$G$10000&gt;=ROUND($GC$3,0)),0),MATCH("SALES_CASE",'Margin Guidence Table'!$A$1:$AC$1,0)),INDEX('Margin Guidence Table'!$A$1:$AC$10000,MATCH(1,('Margin Guidence Table'!$A$1:$A$10000=GK29)*('Margin Guidence Table'!$H$1:$H$10000&lt;=ROUND($GC$3,0))*('Margin Guidence Table'!$G$1:$G$10000&gt;=ROUND($GC$3,0)),0),MATCH("DEFAULT_SALES_CASE",'Margin Guidence Table'!$A$1:$AC$1,0))),0)</f>
        <v>0</v>
      </c>
      <c r="GO29" s="1161">
        <f t="array" ref="GO29">IFERROR(IF($GM29="SEGMENT",INDEX('Margin Guidence Table'!$A$1:$AC$10000,MATCH(1,('Margin Guidence Table'!$A$1:$A$10000=GK29)*('Margin Guidence Table'!$H$1:$H$10000&lt;=ROUND($GC$3,0))*('Margin Guidence Table'!$G$1:$G$10000&gt;=ROUND($GC$3,0)),0),MATCH("SALES_LBS",'Margin Guidence Table'!$A$1:$AC$1,0)),INDEX('Margin Guidence Table'!$A$1:$AC$10000,MATCH(1,('Margin Guidence Table'!$A$1:$A$10000=GK29)*('Margin Guidence Table'!$H$1:$H$10000&lt;=ROUND($GC$3,0))*('Margin Guidence Table'!$G$1:$G$10000&gt;=ROUND($GC$3,0)),0),MATCH("DEFAULT_SALES_LBS",'Margin Guidence Table'!$A$1:$AC$1,0))),0)</f>
        <v>0</v>
      </c>
      <c r="GP29" s="1165">
        <f t="array" ref="GP29">IFERROR(IF($GM29="SEGMENT",INDEX('Margin Guidence Table'!$A$1:$AC$10000,MATCH(1,('Margin Guidence Table'!$A$1:$A$10000=GK29)*('Margin Guidence Table'!$H$1:$H$10000&lt;=ROUND($GC$3,0))*('Margin Guidence Table'!$G$1:$G$10000&gt;=ROUND($GC$3,0)),0),MATCH("MDA_MIN_MARGIN_GUIDENCE",'Margin Guidence Table'!$A$1:$AC$1,0)),INDEX('Margin Guidence Table'!$A$1:$AC$10000,MATCH(1,('Margin Guidence Table'!$A$1:$A$10000=GK29)*('Margin Guidence Table'!$H$1:$H$10000&lt;=ROUND($GC$3,0))*('Margin Guidence Table'!$G$1:$G$10000&gt;=ROUND($GC$3,0)),0),MATCH("DEFAULT_MDA_MIN_MARGIN_GUIDENCE",'Margin Guidence Table'!$A$1:$AC$1,0))),0)</f>
        <v>0</v>
      </c>
      <c r="GQ29" s="1165">
        <f t="array" ref="GQ29">IFERROR(IF($GM29="SEGMENT",INDEX('Margin Guidence Table'!$A$1:$AC$10000,MATCH(1,('Margin Guidence Table'!$A$1:$A$10000=GK29)*('Margin Guidence Table'!$H$1:$H$10000&lt;=ROUND($GC$3,0))*('Margin Guidence Table'!$G$1:$G$10000&gt;=ROUND($GC$3,0)),0),MATCH("MDA_MEDIAN_MARGIN_GUIDENCE",'Margin Guidence Table'!$A$1:$AC$1,0)),INDEX('Margin Guidence Table'!$A$1:$AC$10000,MATCH(1,('Margin Guidence Table'!$A$1:$A$10000=GK29)*('Margin Guidence Table'!$H$1:$H$10000&lt;=ROUND($GC$3,0))*('Margin Guidence Table'!$G$1:$G$10000&gt;=ROUND($GC$3,0)),0),MATCH("DEFAULT_MDA_MEDIAN_MARGIN_GUIDENCE",'Margin Guidence Table'!$A$1:$AC$1,0))),0)</f>
        <v>0</v>
      </c>
      <c r="GR29" s="1165">
        <f t="array" ref="GR29">IFERROR(IF($GM29="SEGMENT",INDEX('Margin Guidence Table'!$A$1:$AC$10000,MATCH(1,('Margin Guidence Table'!$A$1:$A$10000=GK29)*('Margin Guidence Table'!$H$1:$H$10000&lt;=ROUND($GC$3,0))*('Margin Guidence Table'!$G$1:$G$10000&gt;=ROUND($GC$3,0)),0),MATCH("MDA_MAX_MARGIN_GUIDENCE",'Margin Guidence Table'!$A$1:$AC$1,0)),INDEX('Margin Guidence Table'!$A$1:$AC$10000,MATCH(1,('Margin Guidence Table'!$A$1:$A$10000=GK29)*('Margin Guidence Table'!$H$1:$H$10000&lt;=ROUND($GC$3,0))*('Margin Guidence Table'!$G$1:$G$10000&gt;=ROUND($GC$3,0)),0),MATCH("DEFAULT_MDA_MAX_MARGIN_GUIDENCE",'Margin Guidence Table'!$A$1:$AC$1,0))),0)</f>
        <v>0</v>
      </c>
      <c r="GS29" s="1165">
        <f t="array" ref="GS29">IFERROR(IF($GM29="SEGMENT",INDEX('Margin Guidence Table'!$A$1:$AC$10000,MATCH(1,('Margin Guidence Table'!$A$1:$A$10000=GK29)*('Margin Guidence Table'!$H$1:$H$10000&lt;=ROUND($GC$3,0))*('Margin Guidence Table'!$G$1:$G$10000&gt;=ROUND($GC$3,0)),0),MATCH("PA_PCT_SALES",'Margin Guidence Table'!$A$1:$AC$1,0)),INDEX('Margin Guidence Table'!$A$1:$AC$10000,MATCH(1,('Margin Guidence Table'!$A$1:$A$10000=GK29)*('Margin Guidence Table'!$H$1:$H$10000&lt;=ROUND($GC$3,0))*('Margin Guidence Table'!$G$1:$G$10000&gt;=ROUND($GC$3,0)),0),MATCH("DEFAULT_PA_PCT_SALES",'Margin Guidence Table'!$A$1:$AC$1,0))),0)</f>
        <v>0</v>
      </c>
      <c r="GT29" s="1165">
        <f t="array" ref="GT29">IFERROR(IF($GM29="SEGMENT",INDEX('Margin Guidence Table'!$A$1:$AC$10000,MATCH(1,('Margin Guidence Table'!$A$1:$A$10000=GK29)*('Margin Guidence Table'!$H$1:$H$10000&lt;=ROUND($GC$3,0))*('Margin Guidence Table'!$G$1:$G$10000&gt;=ROUND($GC$3,0)),0),MATCH("SELF_FUND_PCT_SALES",'Margin Guidence Table'!$A$1:$AC$1,0)),INDEX('Margin Guidence Table'!$A$1:$AC$10000,MATCH(1,('Margin Guidence Table'!$A$1:$A$10000=GK29)*('Margin Guidence Table'!$H$1:$H$10000&lt;=ROUND($GC$3,0))*('Margin Guidence Table'!$G$1:$G$10000&gt;=ROUND($GC$3,0)),0),MATCH("DEFAULT_SELF_FUND_PCT_SALES",'Margin Guidence Table'!$A$1:$AC$1,0))),0)</f>
        <v>0</v>
      </c>
      <c r="GU29" s="1165">
        <f t="array" ref="GU29">IFERROR(IF($GM29="SEGMENT",INDEX('Margin Guidence Table'!$A$1:$AC$10000,MATCH(1,('Margin Guidence Table'!$A$1:$A$10000=GK29)*('Margin Guidence Table'!$H$1:$H$10000&lt;=ROUND($GC$3,0))*('Margin Guidence Table'!$G$1:$G$10000&gt;=ROUND($GC$3,0)),0),MATCH("CIA_MEDIAN_MARGIN_GUIDENCE",'Margin Guidence Table'!$A$1:$AC$1,0)),INDEX('Margin Guidence Table'!$A$1:$AC$10000,MATCH(1,('Margin Guidence Table'!$A$1:$A$10000=GK29)*('Margin Guidence Table'!$H$1:$H$10000&lt;=ROUND($GC$3,0))*('Margin Guidence Table'!$G$1:$G$10000&gt;=ROUND($GC$3,0)),0),MATCH("DEFAULT_CIA_MEDIAN_MARGIN_GUIDENCE",'Margin Guidence Table'!$A$1:$AC$1,0))),0)</f>
        <v>0</v>
      </c>
      <c r="GV29" s="129"/>
      <c r="GW29" s="18">
        <f t="array" ref="GW29">IFERROR(IF($HI29="SEGMENT",INDEX('Margin Guidence Table'!$A$1:$AC$10000,MATCH(1,('Margin Guidence Table'!$A$1:$A$10000=$HG29)*('Margin Guidence Table'!$H$1:$H$10000&lt;=ROUND($GY$3,0))*('Margin Guidence Table'!$G$1:$G$10000&gt;=ROUND($GY$3,0)),0),MATCH("PCT_SALES",'Margin Guidence Table'!$A$1:$AC$1,0)),INDEX('Margin Guidence Table'!$A$1:$AC$10000,MATCH(1,('Margin Guidence Table'!$A$1:$A$10000=$HG29)*('Margin Guidence Table'!$H$1:$H$10000&lt;=ROUND($GY$3,0))*('Margin Guidence Table'!$G$1:$G$10000&gt;=ROUND($GY$3,0)),0),MATCH("DEFAULT_PCT_SALES",'Margin Guidence Table'!$A$1:$AC$1,0))),0)</f>
        <v>0</v>
      </c>
      <c r="GX29" s="102" t="s">
        <v>90</v>
      </c>
      <c r="GY29" s="94">
        <f>IFERROR(IF(AND($GY$2&lt;&gt;"Enter Spend&gt;&gt;&gt;",GZ2="EXISTING"),SUMIFS('Existing Customers'!$Q:$Q,'Existing Customers'!$A:$A,$GY$1,'Existing Customers'!$H:$H,$GX29)*$GY$4,$GY$3*$GW29),0)</f>
        <v>0</v>
      </c>
      <c r="GZ29" s="89">
        <f>IFERROR(IF(AND($GY$2&lt;&gt;"Enter Spend&gt;&gt;&gt;",GZ2="EXISTING"),SUMIFS('Existing Customers'!$N:$N,'Existing Customers'!$A:$A,$GY$1,'Existing Customers'!$H:$H,$GX29)*$GY$4,$GY29/$HJ29),0)</f>
        <v>0</v>
      </c>
      <c r="HA29" s="95">
        <f>IFERROR(IF(AND($GY$2&lt;&gt;"Enter Spend&gt;&gt;&gt;",GZ2="EXISTING"),SUMIFS('Existing Customers'!$O:$O,'Existing Customers'!$H:$H,$GX29,'Existing Customers'!$A:$A,$GY$1)*$GY$4,$GZ29*$GY$8),0)</f>
        <v>0</v>
      </c>
      <c r="HB29" s="95">
        <f>IFERROR(IF(AND($GY$2&lt;&gt;"Enter Spend&gt;&gt;&gt;",GZ2="EXISTING"),SUMIFS('Existing Customers'!$P:$P,'Existing Customers'!$A:$A,$GY$1,'Existing Customers'!$H:$H,$GX29)*$GY$4,$GY29/$HK29),0)</f>
        <v>0</v>
      </c>
      <c r="HC29" s="96">
        <f>IFERROR(IF(AND($GY$2&lt;&gt;"Enter Spend&gt;&gt;&gt;",GZ2="EXISTING"),SUMIFS('Existing Customers'!$V:$V,'Existing Customers'!$H:$H,$GX29,'Existing Customers'!$A:$A,$GY$1)*$GY$4,0),0)</f>
        <v>0</v>
      </c>
      <c r="HD29" s="96">
        <f>IFERROR(IF(AND($GY$2&lt;&gt;"Enter Spend&gt;&gt;&gt;",GZ2="EXISTING"),SUMIFS('Existing Customers'!$R:$R,'Existing Customers'!$H:$H,$GX29,'Existing Customers'!$A:$A,$GY$1)*$GY$4,0),0)</f>
        <v>0</v>
      </c>
      <c r="HE29" s="1161">
        <f>IFERROR(IF(AND($GY$2&lt;&gt;"Enter Spend&gt;&gt;&gt;",GZ2="EXISTING"),SUMIFS('Existing Customers'!$S:$S,'Existing Customers'!$H:$H,$GX29,'Existing Customers'!$A:$A,$GY$1),HO29*GY29),0)</f>
        <v>0</v>
      </c>
      <c r="HF29" s="1161">
        <f>IFERROR(IF(AND($GY$2&lt;&gt;"Enter Spend&gt;&gt;&gt;",GZ2="EXISTING"),SUMIFS('Existing Customers'!$U:$U,'Existing Customers'!$H:$H,$GX29,'Existing Customers'!$A:$A,$GY$1),HP29*GY29),0)</f>
        <v>0</v>
      </c>
      <c r="HG29" s="1164" t="e">
        <f t="shared" si="38"/>
        <v>#N/A</v>
      </c>
      <c r="HH29" s="1164">
        <f t="array" ref="HH29">IFERROR(INDEX('Margin Guidence Table'!$A$1:$AD$30000,MATCH(1,('Margin Guidence Table'!$A$1:$A$10000=HG29)*('Margin Guidence Table'!$H$1:$H$10000&lt;=ROUND($GY$3,0))*('Margin Guidence Table'!$G$1:$G$10000&gt;=ROUND($GY$3,0)),0),MATCH("DATA_POINTS",'Margin Guidence Table'!$A$1:$AC$1,0)),0)</f>
        <v>0</v>
      </c>
      <c r="HI29" s="1161" t="str">
        <f t="shared" si="39"/>
        <v>DEFAULT</v>
      </c>
      <c r="HJ29" s="1161">
        <f t="array" ref="HJ29">IFERROR(IF($HI29="SEGMENT",INDEX('Margin Guidence Table'!$A$1:$AC$10000,MATCH(1,('Margin Guidence Table'!$A$1:$A$10000=HG29)*('Margin Guidence Table'!$H$1:$H$10000&lt;=ROUND($GY$3,0))*('Margin Guidence Table'!$G$1:$G$10000&gt;=ROUND($GY$3,0)),0),MATCH("SALES_CASE",'Margin Guidence Table'!$A$1:$AC$1,0)),INDEX('Margin Guidence Table'!$A$1:$AC$10000,MATCH(1,('Margin Guidence Table'!$A$1:$A$10000=HG29)*('Margin Guidence Table'!$H$1:$H$10000&lt;=ROUND($GY$3,0))*('Margin Guidence Table'!$G$1:$G$10000&gt;=ROUND($GY$3,0)),0),MATCH("DEFAULT_SALES_CASE",'Margin Guidence Table'!$A$1:$AC$1,0))),0)</f>
        <v>0</v>
      </c>
      <c r="HK29" s="1161">
        <f t="array" ref="HK29">IFERROR(IF($HI29="SEGMENT",INDEX('Margin Guidence Table'!$A$1:$AC$10000,MATCH(1,('Margin Guidence Table'!$A$1:$A$10000=HG29)*('Margin Guidence Table'!$H$1:$H$10000&lt;=ROUND($GY$3,0))*('Margin Guidence Table'!$G$1:$G$10000&gt;=ROUND($GY$3,0)),0),MATCH("SALES_LBS",'Margin Guidence Table'!$A$1:$AC$1,0)),INDEX('Margin Guidence Table'!$A$1:$AC$10000,MATCH(1,('Margin Guidence Table'!$A$1:$A$10000=HG29)*('Margin Guidence Table'!$H$1:$H$10000&lt;=ROUND($GY$3,0))*('Margin Guidence Table'!$G$1:$G$10000&gt;=ROUND($GY$3,0)),0),MATCH("DEFAULT_SALES_LBS",'Margin Guidence Table'!$A$1:$AC$1,0))),0)</f>
        <v>0</v>
      </c>
      <c r="HL29" s="1165">
        <f t="array" ref="HL29">IFERROR(IF($HI29="SEGMENT",INDEX('Margin Guidence Table'!$A$1:$AC$10000,MATCH(1,('Margin Guidence Table'!$A$1:$A$10000=HG29)*('Margin Guidence Table'!$H$1:$H$10000&lt;=ROUND($GY$3,0))*('Margin Guidence Table'!$G$1:$G$10000&gt;=ROUND($GY$3,0)),0),MATCH("MDA_MIN_MARGIN_GUIDENCE",'Margin Guidence Table'!$A$1:$AC$1,0)),INDEX('Margin Guidence Table'!$A$1:$AC$10000,MATCH(1,('Margin Guidence Table'!$A$1:$A$10000=HG29)*('Margin Guidence Table'!$H$1:$H$10000&lt;=ROUND($GY$3,0))*('Margin Guidence Table'!$G$1:$G$10000&gt;=ROUND($GY$3,0)),0),MATCH("DEFAULT_MDA_MIN_MARGIN_GUIDENCE",'Margin Guidence Table'!$A$1:$AC$1,0))),0)</f>
        <v>0</v>
      </c>
      <c r="HM29" s="1165">
        <f t="array" ref="HM29">IFERROR(IF($HI29="SEGMENT",INDEX('Margin Guidence Table'!$A$1:$AC$10000,MATCH(1,('Margin Guidence Table'!$A$1:$A$10000=HG29)*('Margin Guidence Table'!$H$1:$H$10000&lt;=ROUND($GY$3,0))*('Margin Guidence Table'!$G$1:$G$10000&gt;=ROUND($GY$3,0)),0),MATCH("MDA_MEDIAN_MARGIN_GUIDENCE",'Margin Guidence Table'!$A$1:$AC$1,0)),INDEX('Margin Guidence Table'!$A$1:$AC$10000,MATCH(1,('Margin Guidence Table'!$A$1:$A$10000=HG29)*('Margin Guidence Table'!$H$1:$H$10000&lt;=ROUND($GY$3,0))*('Margin Guidence Table'!$G$1:$G$10000&gt;=ROUND($GY$3,0)),0),MATCH("DEFAULT_MDA_MEDIAN_MARGIN_GUIDENCE",'Margin Guidence Table'!$A$1:$AC$1,0))),0)</f>
        <v>0</v>
      </c>
      <c r="HN29" s="1165">
        <f t="array" ref="HN29">IFERROR(IF($HI29="SEGMENT",INDEX('Margin Guidence Table'!$A$1:$AC$10000,MATCH(1,('Margin Guidence Table'!$A$1:$A$10000=HG29)*('Margin Guidence Table'!$H$1:$H$10000&lt;=ROUND($GY$3,0))*('Margin Guidence Table'!$G$1:$G$10000&gt;=ROUND($GY$3,0)),0),MATCH("MDA_MAX_MARGIN_GUIDENCE",'Margin Guidence Table'!$A$1:$AC$1,0)),INDEX('Margin Guidence Table'!$A$1:$AC$10000,MATCH(1,('Margin Guidence Table'!$A$1:$A$10000=HG29)*('Margin Guidence Table'!$H$1:$H$10000&lt;=ROUND($GY$3,0))*('Margin Guidence Table'!$G$1:$G$10000&gt;=ROUND($GY$3,0)),0),MATCH("DEFAULT_MDA_MAX_MARGIN_GUIDENCE",'Margin Guidence Table'!$A$1:$AC$1,0))),0)</f>
        <v>0</v>
      </c>
      <c r="HO29" s="1165">
        <f t="array" ref="HO29">IFERROR(IF($HI29="SEGMENT",INDEX('Margin Guidence Table'!$A$1:$AC$10000,MATCH(1,('Margin Guidence Table'!$A$1:$A$10000=HG29)*('Margin Guidence Table'!$H$1:$H$10000&lt;=ROUND($GY$3,0))*('Margin Guidence Table'!$G$1:$G$10000&gt;=ROUND($GY$3,0)),0),MATCH("PA_PCT_SALES",'Margin Guidence Table'!$A$1:$AC$1,0)),INDEX('Margin Guidence Table'!$A$1:$AC$10000,MATCH(1,('Margin Guidence Table'!$A$1:$A$10000=HG29)*('Margin Guidence Table'!$H$1:$H$10000&lt;=ROUND($GY$3,0))*('Margin Guidence Table'!$G$1:$G$10000&gt;=ROUND($GY$3,0)),0),MATCH("DEFAULT_PA_PCT_SALES",'Margin Guidence Table'!$A$1:$AC$1,0))),0)</f>
        <v>0</v>
      </c>
      <c r="HP29" s="1165">
        <f t="array" ref="HP29">IFERROR(IF($HI29="SEGMENT",INDEX('Margin Guidence Table'!$A$1:$AC$10000,MATCH(1,('Margin Guidence Table'!$A$1:$A$10000=HG29)*('Margin Guidence Table'!$H$1:$H$10000&lt;=ROUND($GY$3,0))*('Margin Guidence Table'!$G$1:$G$10000&gt;=ROUND($GY$3,0)),0),MATCH("SELF_FUND_PCT_SALES",'Margin Guidence Table'!$A$1:$AC$1,0)),INDEX('Margin Guidence Table'!$A$1:$AC$10000,MATCH(1,('Margin Guidence Table'!$A$1:$A$10000=HG29)*('Margin Guidence Table'!$H$1:$H$10000&lt;=ROUND($GY$3,0))*('Margin Guidence Table'!$G$1:$G$10000&gt;=ROUND($GY$3,0)),0),MATCH("DEFAULT_SELF_FUND_PCT_SALES",'Margin Guidence Table'!$A$1:$AC$1,0))),0)</f>
        <v>0</v>
      </c>
      <c r="HQ29" s="1165">
        <f t="array" ref="HQ29">IFERROR(IF($HI29="SEGMENT",INDEX('Margin Guidence Table'!$A$1:$AC$10000,MATCH(1,('Margin Guidence Table'!$A$1:$A$10000=HG29)*('Margin Guidence Table'!$H$1:$H$10000&lt;=ROUND($GY$3,0))*('Margin Guidence Table'!$G$1:$G$10000&gt;=ROUND($GY$3,0)),0),MATCH("CIA_MEDIAN_MARGIN_GUIDENCE",'Margin Guidence Table'!$A$1:$AC$1,0)),INDEX('Margin Guidence Table'!$A$1:$AC$10000,MATCH(1,('Margin Guidence Table'!$A$1:$A$10000=HG29)*('Margin Guidence Table'!$H$1:$H$10000&lt;=ROUND($GY$3,0))*('Margin Guidence Table'!$G$1:$G$10000&gt;=ROUND($GY$3,0)),0),MATCH("DEFAULT_CIA_MEDIAN_MARGIN_GUIDENCE",'Margin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Spend&gt;&gt;&gt;",HV2="EXISTING"),SUMIFS('Existing Customers'!$Q:$Q,'Existing Customers'!$A:$A,$HU$1,'Existing Customers'!$H:$H,$HT29)*$HU$4,$HU$3*$HS29),0)</f>
        <v>0</v>
      </c>
      <c r="HV29" s="89">
        <f>IFERROR(IF(AND($HU$2&lt;&gt;"Enter Spend&gt;&gt;&gt;",HV2="EXISTING"),SUMIFS('Existing Customers'!$N:$N,'Existing Customers'!$A:$A,$HU$1,'Existing Customers'!$H:$H,$HT29)*$HU$4,$HU29/$IF29),0)</f>
        <v>0</v>
      </c>
      <c r="HW29" s="95">
        <f>IFERROR(IF(AND($HU$2&lt;&gt;"Enter Spend&gt;&gt;&gt;",HV2="EXISTING"),SUMIFS('Existing Customers'!$O:$O,'Existing Customers'!$H:$H,$HT29,'Existing Customers'!$A:$A,$HU$1)*$HU$4,$HV29*$HU$8),0)</f>
        <v>0</v>
      </c>
      <c r="HX29" s="95">
        <f>IFERROR(IF(AND($HU$2&lt;&gt;"Enter Spend&gt;&gt;&gt;",HV2="EXISTING"),SUMIFS('Existing Customers'!$P:$P,'Existing Customers'!$A:$A,$HU$1,'Existing Customers'!$H:$H,$HT29)*$HU$4,$HU29/$IG29),0)</f>
        <v>0</v>
      </c>
      <c r="HY29" s="402">
        <f>IFERROR(IF(AND($HU$2&lt;&gt;"Enter Spend&gt;&gt;&gt;",HV2="EXISTING"),SUMIFS('Existing Customers'!$V:$V,'Existing Customers'!$H:$H,$HT29,'Existing Customers'!$A:$A,$HU$1)*$HU$4,0),0)</f>
        <v>0</v>
      </c>
      <c r="HZ29" s="96">
        <f>IFERROR(IF(AND($HU$2&lt;&gt;"Enter Spend&gt;&gt;&gt;",HV2="EXISTING"),SUMIFS('Existing Customers'!$R:$R,'Existing Customers'!$H:$H,$HT29,'Existing Customers'!$A:$A,$HU$1)*$HU$4,0),0)</f>
        <v>0</v>
      </c>
      <c r="IA29" s="1161">
        <f>IFERROR(IF(AND($HU$2&lt;&gt;"Enter Spend&gt;&gt;&gt;",HV2="EXISTING"),SUMIFS('Existing Customers'!$S:$S,'Existing Customers'!$H:$H,$HT29,'Existing Customers'!$A:$A,$HU$1),IK29*HU29),0)</f>
        <v>0</v>
      </c>
      <c r="IB29" s="1161">
        <f>IFERROR(IF(AND($HU$2&lt;&gt;"Enter Spend&gt;&gt;&gt;",HV2="EXISTING"),SUMIFS('Existing Customers'!$U:$U,'Existing Customers'!$H:$H,$HT29,'Existing Customers'!$A:$A,$HU$1),IL29*HU29),0)</f>
        <v>0</v>
      </c>
      <c r="IC29" s="1164" t="e">
        <f t="shared" si="40"/>
        <v>#N/A</v>
      </c>
      <c r="ID29" s="1164">
        <f t="array" ref="ID29">IFERROR(INDEX('Margin Guidence Table'!$A$1:$AD$30000,MATCH(1,('Margin Guidence Table'!$A$1:$A$10000=IC29)*('Margin Guidence Table'!$H$1:$H$10000&lt;=ROUND($HU$3,0))*('Margin Guidence Table'!$G$1:$G$10000&gt;=ROUND($HU$3,0)),0),MATCH("DATA_POINTS",'Margin Guidence Table'!$A$1:$AC$1,0)),0)</f>
        <v>0</v>
      </c>
      <c r="IE29" s="1161" t="str">
        <f t="shared" si="41"/>
        <v>DEFAULT</v>
      </c>
      <c r="IF29" s="1161">
        <f t="array" ref="IF29">IFERROR(IF($IE29="SEGMENT",INDEX('Margin Guidence Table'!$A$1:$AC$10000,MATCH(1,('Margin Guidence Table'!$A$1:$A$10000=IC29)*('Margin Guidence Table'!$H$1:$H$10000&lt;=ROUND($HU$3,0))*('Margin Guidence Table'!$G$1:$G$10000&gt;=ROUND($HU$3,0)),0),MATCH("SALES_CASE",'Margin Guidence Table'!$A$1:$AC$1,0)),INDEX('Margin Guidence Table'!$A$1:$AC$10000,MATCH(1,('Margin Guidence Table'!$A$1:$A$10000=IC29)*('Margin Guidence Table'!$H$1:$H$10000&lt;=ROUND($HU$3,0))*('Margin Guidence Table'!$G$1:$G$10000&gt;=ROUND($HU$3,0)),0),MATCH("DEFAULT_SALES_CASE",'Margin Guidence Table'!$A$1:$AC$1,0))),0)</f>
        <v>0</v>
      </c>
      <c r="IG29" s="1161">
        <f t="array" ref="IG29">IFERROR(IF($IE29="SEGMENT",INDEX('Margin Guidence Table'!$A$1:$AC$10000,MATCH(1,('Margin Guidence Table'!$A$1:$A$10000=IC29)*('Margin Guidence Table'!$H$1:$H$10000&lt;=ROUND($HU$3,0))*('Margin Guidence Table'!$G$1:$G$10000&gt;=ROUND($HU$3,0)),0),MATCH("SALES_LBS",'Margin Guidence Table'!$A$1:$AC$1,0)),INDEX('Margin Guidence Table'!$A$1:$AC$10000,MATCH(1,('Margin Guidence Table'!$A$1:$A$10000=IC29)*('Margin Guidence Table'!$H$1:$H$10000&lt;=ROUND($HU$3,0))*('Margin Guidence Table'!$G$1:$G$10000&gt;=ROUND($HU$3,0)),0),MATCH("DEFAULT_SALES_LBS",'Margin Guidence Table'!$A$1:$AC$1,0))),0)</f>
        <v>0</v>
      </c>
      <c r="IH29" s="1165">
        <f t="array" ref="IH29">IFERROR(IF($IE29="SEGMENT",INDEX('Margin Guidence Table'!$A$1:$AC$10000,MATCH(1,('Margin Guidence Table'!$A$1:$A$10000=IC29)*('Margin Guidence Table'!$H$1:$H$10000&lt;=ROUND($HU$3,0))*('Margin Guidence Table'!$G$1:$G$10000&gt;=ROUND($HU$3,0)),0),MATCH("MDA_MIN_MARGIN_GUIDENCE",'Margin Guidence Table'!$A$1:$AC$1,0)),INDEX('Margin Guidence Table'!$A$1:$AC$10000,MATCH(1,('Margin Guidence Table'!$A$1:$A$10000=IC29)*('Margin Guidence Table'!$H$1:$H$10000&lt;=ROUND($HU$3,0))*('Margin Guidence Table'!$G$1:$G$10000&gt;=ROUND($HU$3,0)),0),MATCH("DEFAULT_MDA_MIN_MARGIN_GUIDENCE",'Margin Guidence Table'!$A$1:$AC$1,0))),0)</f>
        <v>0</v>
      </c>
      <c r="II29" s="1165">
        <f t="array" ref="II29">IFERROR(IF($IE29="SEGMENT",INDEX('Margin Guidence Table'!$A$1:$AC$10000,MATCH(1,('Margin Guidence Table'!$A$1:$A$10000=IC29)*('Margin Guidence Table'!$H$1:$H$10000&lt;=ROUND($HU$3,0))*('Margin Guidence Table'!$G$1:$G$10000&gt;=ROUND($HU$3,0)),0),MATCH("MDA_MEDIAN_MARGIN_GUIDENCE",'Margin Guidence Table'!$A$1:$AC$1,0)),INDEX('Margin Guidence Table'!$A$1:$AC$10000,MATCH(1,('Margin Guidence Table'!$A$1:$A$10000=IC29)*('Margin Guidence Table'!$H$1:$H$10000&lt;=ROUND($HU$3,0))*('Margin Guidence Table'!$G$1:$G$10000&gt;=ROUND($HU$3,0)),0),MATCH("DEFAULT_MDA_MEDIAN_MARGIN_GUIDENCE",'Margin Guidence Table'!$A$1:$AC$1,0))),0)</f>
        <v>0</v>
      </c>
      <c r="IJ29" s="1165">
        <f t="array" ref="IJ29">IFERROR(IF($IE29="SEGMENT",INDEX('Margin Guidence Table'!$A$1:$AC$10000,MATCH(1,('Margin Guidence Table'!$A$1:$A$10000=IC29)*('Margin Guidence Table'!$H$1:$H$10000&lt;=ROUND($HU$3,0))*('Margin Guidence Table'!$G$1:$G$10000&gt;=ROUND($HU$3,0)),0),MATCH("MDA_MAX_MARGIN_GUIDENCE",'Margin Guidence Table'!$A$1:$AC$1,0)),INDEX('Margin Guidence Table'!$A$1:$AC$10000,MATCH(1,('Margin Guidence Table'!$A$1:$A$10000=IC29)*('Margin Guidence Table'!$H$1:$H$10000&lt;=ROUND($HU$3,0))*('Margin Guidence Table'!$G$1:$G$10000&gt;=ROUND($HU$3,0)),0),MATCH("DEFAULT_MDA_MAX_MARGIN_GUIDENCE",'Margin Guidence Table'!$A$1:$AC$1,0))),0)</f>
        <v>0</v>
      </c>
      <c r="IK29" s="1165">
        <f t="array" ref="IK29">IFERROR(IF($IE29="SEGMENT",INDEX('Margin Guidence Table'!$A$1:$AC$10000,MATCH(1,('Margin Guidence Table'!$A$1:$A$10000=IC29)*('Margin Guidence Table'!$H$1:$H$10000&lt;=ROUND($HU$3,0))*('Margin Guidence Table'!$G$1:$G$10000&gt;=ROUND($HU$3,0)),0),MATCH("PA_PCT_SALES",'Margin Guidence Table'!$A$1:$AC$1,0)),INDEX('Margin Guidence Table'!$A$1:$AC$10000,MATCH(1,('Margin Guidence Table'!$A$1:$A$10000=IC29)*('Margin Guidence Table'!$H$1:$H$10000&lt;=ROUND($HU$3,0))*('Margin Guidence Table'!$G$1:$G$10000&gt;=ROUND($HU$3,0)),0),MATCH("DEFAULT_PA_PCT_SALES",'Margin Guidence Table'!$A$1:$AC$1,0))),0)</f>
        <v>0</v>
      </c>
      <c r="IL29" s="1165">
        <f t="array" ref="IL29">IFERROR(IF($IE29="SEGMENT",INDEX('Margin Guidence Table'!$A$1:$AC$10000,MATCH(1,('Margin Guidence Table'!$A$1:$A$10000=IC29)*('Margin Guidence Table'!$H$1:$H$10000&lt;=ROUND($HU$3,0))*('Margin Guidence Table'!$G$1:$G$10000&gt;=ROUND($HU$3,0)),0),MATCH("SELF_FUND_PCT_SALES",'Margin Guidence Table'!$A$1:$AC$1,0)),INDEX('Margin Guidence Table'!$A$1:$AC$10000,MATCH(1,('Margin Guidence Table'!$A$1:$A$10000=IC29)*('Margin Guidence Table'!$H$1:$H$10000&lt;=ROUND($HU$3,0))*('Margin Guidence Table'!$G$1:$G$10000&gt;=ROUND($HU$3,0)),0),MATCH("DEFAULT_SELF_FUND_PCT_SALES",'Margin Guidence Table'!$A$1:$AC$1,0))),0)</f>
        <v>0</v>
      </c>
      <c r="IM29" s="1165">
        <f t="array" ref="IM29">IFERROR(IF($IE29="SEGMENT",INDEX('Margin Guidence Table'!$A$1:$AC$10000,MATCH(1,('Margin Guidence Table'!$A$1:$A$10000=IC29)*('Margin Guidence Table'!$H$1:$H$10000&lt;=ROUND($HU$3,0))*('Margin Guidence Table'!$G$1:$G$10000&gt;=ROUND($HU$3,0)),0),MATCH("CIA_MEDIAN_MARGIN_GUIDENCE",'Margin Guidence Table'!$A$1:$AC$1,0)),INDEX('Margin Guidence Table'!$A$1:$AC$10000,MATCH(1,('Margin Guidence Table'!$A$1:$A$10000=IC29)*('Margin Guidence Table'!$H$1:$H$10000&lt;=ROUND($HU$3,0))*('Margin Guidence Table'!$G$1:$G$10000&gt;=ROUND($HU$3,0)),0),MATCH("DEFAULT_CIA_MEDIAN_MARGIN_GUIDENCE",'Margin Guidence Table'!$A$1:$AC$1,0))),0)</f>
        <v>0</v>
      </c>
      <c r="IN29" s="129"/>
      <c r="IO29" s="18">
        <f t="array" ref="IO29">IFERROR(IF($JA29="SEGMENT",INDEX('Margin Guidence Table'!$A$1:$AC$10000,MATCH(1,('Margin Guidence Table'!$A$1:$A$10000=$IY29)*('Margin Guidence Table'!$H$1:$H$10000&lt;=ROUND($IQ$3,0))*('Margin Guidence Table'!$G$1:$G$10000&gt;=ROUND($IQ$3,0)),0),MATCH("PCT_SALES",'Margin Guidence Table'!$A$1:$AC$1,0)),INDEX('Margin Guidence Table'!$A$1:$AC$10000,MATCH(1,('Margin Guidence Table'!$A$1:$A$10000=$IY29)*('Margin Guidence Table'!$H$1:$H$10000&lt;=ROUND($IQ$3,0))*('Margin Guidence Table'!$G$1:$G$10000&gt;=ROUND($IQ$3,0)),0),MATCH("DEFAULT_PCT_SALES",'Margin Guidence Table'!$A$1:$AC$1,0))),0)</f>
        <v>0</v>
      </c>
      <c r="IP29" s="102" t="s">
        <v>90</v>
      </c>
      <c r="IQ29" s="94">
        <f>IFERROR(IF(AND($IQ$2&lt;&gt;"Enter Spend&gt;&gt;&gt;",IR2="EXISTING"),SUMIFS('Existing Customers'!$Q:$Q,'Existing Customers'!$A:$A,$IQ$1,'Existing Customers'!$H:$H,$IP29)*$IQ$4,$IQ$3*$IO29),0)</f>
        <v>0</v>
      </c>
      <c r="IR29" s="89">
        <f>IFERROR(IF(AND($IQ$2&lt;&gt;"Enter Spend&gt;&gt;&gt;",IR2="EXISTING"),SUMIFS('Existing Customers'!$N:$N,'Existing Customers'!$A:$A,$IQ$1,'Existing Customers'!$H:$H,$IP29)*$IQ$4,$IQ29/$JB29),0)</f>
        <v>0</v>
      </c>
      <c r="IS29" s="95">
        <f>IFERROR(IF(AND($IQ$2&lt;&gt;"Enter Spend&gt;&gt;&gt;",IR2="EXISTING"),SUMIFS('Existing Customers'!$O:$O,'Existing Customers'!$H:$H,$IP29,'Existing Customers'!$A:$A,$IQ$1)*$IQ$4,$IR29*$IQ$8),0)</f>
        <v>0</v>
      </c>
      <c r="IT29" s="95">
        <f>IFERROR(IF(AND($IQ$2&lt;&gt;"Enter Spend&gt;&gt;&gt;",IR2="EXISTING"),SUMIFS('Existing Customers'!$P:$P,'Existing Customers'!$A:$A,$IQ$1,'Existing Customers'!$H:$H,$IP29)*$IQ$4,$IQ29/$JC29),0)</f>
        <v>0</v>
      </c>
      <c r="IU29" s="402">
        <f>IFERROR(IF(AND($IQ$2&lt;&gt;"Enter Spend&gt;&gt;&gt;",IR2="EXISTING"),SUMIFS('Existing Customers'!$V:$V,'Existing Customers'!$H:$H,$IP29,'Existing Customers'!$A:$A,$IQ$1)*$IQ$4,0),0)</f>
        <v>0</v>
      </c>
      <c r="IV29" s="96">
        <f>IFERROR(IF(AND($IQ$2&lt;&gt;"Enter Spend&gt;&gt;&gt;",IR2="EXISTING"),SUMIFS('Existing Customers'!$R:$R,'Existing Customers'!$H:$H,$IP29,'Existing Customers'!$A:$A,$IQ$1)*$IQ$4,0),0)</f>
        <v>0</v>
      </c>
      <c r="IW29" s="1161">
        <f>IFERROR(IF(AND($IQ$2&lt;&gt;"Enter Spend&gt;&gt;&gt;",IR2="EXISTING"),SUMIFS('Existing Customers'!$S:$S,'Existing Customers'!$H:$H,$IP29,'Existing Customers'!$A:$A,$IQ$1),JG29*IQ29),0)</f>
        <v>0</v>
      </c>
      <c r="IX29" s="1161">
        <f>IFERROR(IF(AND($IQ$2&lt;&gt;"Enter Spend&gt;&gt;&gt;",IR2="EXISTING"),SUMIFS('Existing Customers'!$U:$U,'Existing Customers'!$H:$H,$IP29,'Existing Customers'!$A:$A,$IQ$1),JH29*IQ29),0)</f>
        <v>0</v>
      </c>
      <c r="IY29" s="1164" t="e">
        <f t="shared" si="42"/>
        <v>#N/A</v>
      </c>
      <c r="IZ29" s="1164">
        <f t="array" ref="IZ29">IFERROR(INDEX('Margin Guidence Table'!$A$1:$AD$30000,MATCH(1,('Margin Guidence Table'!$A$1:$A$10000=IY29)*('Margin Guidence Table'!$H$1:$H$10000&lt;=ROUND($IQ$3,0))*('Margin Guidence Table'!$G$1:$G$10000&gt;=ROUND($IQ$3,0)),0),MATCH("DATA_POINTS",'Margin Guidence Table'!$A$1:$AC$1,0)),0)</f>
        <v>0</v>
      </c>
      <c r="JA29" s="1161" t="str">
        <f t="shared" si="43"/>
        <v>DEFAULT</v>
      </c>
      <c r="JB29" s="1161">
        <f t="array" ref="JB29">IFERROR(IF($JA29="SEGMENT",INDEX('Margin Guidence Table'!$A$1:$AC$10000,MATCH(1,('Margin Guidence Table'!$A$1:$A$10000=IY29)*('Margin Guidence Table'!$H$1:$H$10000&lt;=ROUND($IQ$3,0))*('Margin Guidence Table'!$G$1:$G$10000&gt;=ROUND($IQ$3,0)),0),MATCH("SALES_CASE",'Margin Guidence Table'!$A$1:$AC$1,0)),INDEX('Margin Guidence Table'!$A$1:$AC$10000,MATCH(1,('Margin Guidence Table'!$A$1:$A$10000=IY29)*('Margin Guidence Table'!$H$1:$H$10000&lt;=ROUND($IQ$3,0))*('Margin Guidence Table'!$G$1:$G$10000&gt;=ROUND($IQ$3,0)),0),MATCH("DEFAULT_SALES_CASE",'Margin Guidence Table'!$A$1:$AC$1,0))),0)</f>
        <v>0</v>
      </c>
      <c r="JC29" s="1161">
        <f t="array" ref="JC29">IFERROR(IF($JA29="SEGMENT",INDEX('Margin Guidence Table'!$A$1:$AC$10000,MATCH(1,('Margin Guidence Table'!$A$1:$A$10000=IY29)*('Margin Guidence Table'!$H$1:$H$10000&lt;=ROUND($IQ$3,0))*('Margin Guidence Table'!$G$1:$G$10000&gt;=ROUND($IQ$3,0)),0),MATCH("SALES_LBS",'Margin Guidence Table'!$A$1:$AC$1,0)),INDEX('Margin Guidence Table'!$A$1:$AC$10000,MATCH(1,('Margin Guidence Table'!$A$1:$A$10000=IY29)*('Margin Guidence Table'!$H$1:$H$10000&lt;=ROUND($IQ$3,0))*('Margin Guidence Table'!$G$1:$G$10000&gt;=ROUND($IQ$3,0)),0),MATCH("DEFAULT_SALES_LBS",'Margin Guidence Table'!$A$1:$AC$1,0))),0)</f>
        <v>0</v>
      </c>
      <c r="JD29" s="1165">
        <f t="array" ref="JD29">IFERROR(IF($JA29="SEGMENT",INDEX('Margin Guidence Table'!$A$1:$AC$10000,MATCH(1,('Margin Guidence Table'!$A$1:$A$10000=IY29)*('Margin Guidence Table'!$H$1:$H$10000&lt;=ROUND($IQ$3,0))*('Margin Guidence Table'!$G$1:$G$10000&gt;=ROUND($IQ$3,0)),0),MATCH("MDA_MIN_MARGIN_GUIDENCE",'Margin Guidence Table'!$A$1:$AC$1,0)),INDEX('Margin Guidence Table'!$A$1:$AC$10000,MATCH(1,('Margin Guidence Table'!$A$1:$A$10000=IY29)*('Margin Guidence Table'!$H$1:$H$10000&lt;=ROUND($IQ$3,0))*('Margin Guidence Table'!$G$1:$G$10000&gt;=ROUND($IQ$3,0)),0),MATCH("DEFAULT_MDA_MIN_MARGIN_GUIDENCE",'Margin Guidence Table'!$A$1:$AC$1,0))),0)</f>
        <v>0</v>
      </c>
      <c r="JE29" s="1165">
        <f t="array" ref="JE29">IFERROR(IF($JA29="SEGMENT",INDEX('Margin Guidence Table'!$A$1:$AC$10000,MATCH(1,('Margin Guidence Table'!$A$1:$A$10000=IY29)*('Margin Guidence Table'!$H$1:$H$10000&lt;=ROUND($IQ$3,0))*('Margin Guidence Table'!$G$1:$G$10000&gt;=ROUND($IQ$3,0)),0),MATCH("MDA_MEDIAN_MARGIN_GUIDENCE",'Margin Guidence Table'!$A$1:$AC$1,0)),INDEX('Margin Guidence Table'!$A$1:$AC$10000,MATCH(1,('Margin Guidence Table'!$A$1:$A$10000=IY29)*('Margin Guidence Table'!$H$1:$H$10000&lt;=ROUND($IQ$3,0))*('Margin Guidence Table'!$G$1:$G$10000&gt;=ROUND($IQ$3,0)),0),MATCH("DEFAULT_MDA_MEDIAN_MARGIN_GUIDENCE",'Margin Guidence Table'!$A$1:$AC$1,0))),0)</f>
        <v>0</v>
      </c>
      <c r="JF29" s="1165">
        <f t="array" ref="JF29">IFERROR(IF($JA29="SEGMENT",INDEX('Margin Guidence Table'!$A$1:$AC$10000,MATCH(1,('Margin Guidence Table'!$A$1:$A$10000=IY29)*('Margin Guidence Table'!$H$1:$H$10000&lt;=ROUND($IQ$3,0))*('Margin Guidence Table'!$G$1:$G$10000&gt;=ROUND($IQ$3,0)),0),MATCH("MDA_MAX_MARGIN_GUIDENCE",'Margin Guidence Table'!$A$1:$AC$1,0)),INDEX('Margin Guidence Table'!$A$1:$AC$10000,MATCH(1,('Margin Guidence Table'!$A$1:$A$10000=IY29)*('Margin Guidence Table'!$H$1:$H$10000&lt;=ROUND($IQ$3,0))*('Margin Guidence Table'!$G$1:$G$10000&gt;=ROUND($IQ$3,0)),0),MATCH("DEFAULT_MDA_MAX_MARGIN_GUIDENCE",'Margin Guidence Table'!$A$1:$AC$1,0))),0)</f>
        <v>0</v>
      </c>
      <c r="JG29" s="1165">
        <f t="array" ref="JG29">IFERROR(IF($JA29="SEGMENT",INDEX('Margin Guidence Table'!$A$1:$AC$10000,MATCH(1,('Margin Guidence Table'!$A$1:$A$10000=IY29)*('Margin Guidence Table'!$H$1:$H$10000&lt;=ROUND($IQ$3,0))*('Margin Guidence Table'!$G$1:$G$10000&gt;=ROUND($IQ$3,0)),0),MATCH("PA_PCT_SALES",'Margin Guidence Table'!$A$1:$AC$1,0)),INDEX('Margin Guidence Table'!$A$1:$AC$10000,MATCH(1,('Margin Guidence Table'!$A$1:$A$10000=IY29)*('Margin Guidence Table'!$H$1:$H$10000&lt;=ROUND($IQ$3,0))*('Margin Guidence Table'!$G$1:$G$10000&gt;=ROUND($IQ$3,0)),0),MATCH("DEFAULT_PA_PCT_SALES",'Margin Guidence Table'!$A$1:$AC$1,0))),0)</f>
        <v>0</v>
      </c>
      <c r="JH29" s="1165">
        <f t="array" ref="JH29">IFERROR(IF($JA29="SEGMENT",INDEX('Margin Guidence Table'!$A$1:$AC$10000,MATCH(1,('Margin Guidence Table'!$A$1:$A$10000=IY29)*('Margin Guidence Table'!$H$1:$H$10000&lt;=ROUND($IQ$3,0))*('Margin Guidence Table'!$G$1:$G$10000&gt;=ROUND($IQ$3,0)),0),MATCH("SELF_FUND_PCT_SALES",'Margin Guidence Table'!$A$1:$AC$1,0)),INDEX('Margin Guidence Table'!$A$1:$AC$10000,MATCH(1,('Margin Guidence Table'!$A$1:$A$10000=IY29)*('Margin Guidence Table'!$H$1:$H$10000&lt;=ROUND($IQ$3,0))*('Margin Guidence Table'!$G$1:$G$10000&gt;=ROUND($IQ$3,0)),0),MATCH("DEFAULT_SELF_FUND_PCT_SALES",'Margin Guidence Table'!$A$1:$AC$1,0))),0)</f>
        <v>0</v>
      </c>
      <c r="JI29" s="1165">
        <f t="array" ref="JI29">IFERROR(IF($JA29="SEGMENT",INDEX('Margin Guidence Table'!$A$1:$AC$10000,MATCH(1,('Margin Guidence Table'!$A$1:$A$10000=IY29)*('Margin Guidence Table'!$H$1:$H$10000&lt;=ROUND($IQ$3,0))*('Margin Guidence Table'!$G$1:$G$10000&gt;=ROUND($IQ$3,0)),0),MATCH("CIA_MEDIAN_MARGIN_GUIDENCE",'Margin Guidence Table'!$A$1:$AC$1,0)),INDEX('Margin Guidence Table'!$A$1:$AC$10000,MATCH(1,('Margin Guidence Table'!$A$1:$A$10000=IY29)*('Margin Guidence Table'!$H$1:$H$10000&lt;=ROUND($IQ$3,0))*('Margin Guidence Table'!$G$1:$G$10000&gt;=ROUND($IQ$3,0)),0),MATCH("DEFAULT_CIA_MEDIAN_MARGIN_GUIDENCE",'Margin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44"/>
        <v>#DIV/0!</v>
      </c>
      <c r="AV30" s="400"/>
      <c r="AW30" s="400"/>
      <c r="AX30" s="108">
        <v>19</v>
      </c>
      <c r="AY30" s="18">
        <f t="array" ref="AY30">IFERROR(IF($BK30="SEGMENT",INDEX('Margin Guidence Table'!$A$1:$AC$10000,MATCH(1,('Margin Guidence Table'!$A$1:$A$10000=$BI30)*('Margin Guidence Table'!$H$1:$H$10000&lt;=ROUND($BA$3,0))*('Margin Guidence Table'!$G$1:$G$10000&gt;=ROUND($BA$3,0)),0),MATCH("PCT_SALES",'Margin Guidence Table'!$A$1:$AC$1,0)),INDEX('Margin Guidence Table'!$A$1:$AC$10000,MATCH(1,('Margin Guidence Table'!$A$1:$A$10000=$BI30)*('Margin Guidence Table'!$H$1:$H$10000&lt;=ROUND($BA$3,0))*('Margin Guidence Table'!$G$1:$G$10000&gt;=ROUND($BA$3,0)),0),MATCH("DEFAULT_PCT_SALES",'Margin Guidence Table'!$A$1:$AC$1,0))),0)</f>
        <v>0</v>
      </c>
      <c r="AZ30" s="102" t="s">
        <v>89</v>
      </c>
      <c r="BA30" s="94">
        <f>IFERROR(IF(AND($BA$2&lt;&gt;"Enter Spend&gt;&gt;&gt;",BB2="EXISTING"),SUMIFS('Existing Customers'!$Q:$Q,'Existing Customers'!$A:$A,$BA$1,'Existing Customers'!$H:$H,$AZ30)*$BA$4,$BA$3*$AY30),0)</f>
        <v>0</v>
      </c>
      <c r="BB30" s="95">
        <f>IFERROR(IF(AND($BA$2&lt;&gt;"Enter Spend&gt;&gt;&gt;",BB2="EXISTING"),SUMIFS('Existing Customers'!$N:$N,'Existing Customers'!$A:$A,$BA$1,'Existing Customers'!$H:$H,$AZ30)*$BA$4,$BA30/$BL30),0)</f>
        <v>0</v>
      </c>
      <c r="BC30" s="95">
        <f>IFERROR(IF(AND($BA$2&lt;&gt;"Enter Spend&gt;&gt;&gt;",BB2="EXISTING"),SUMIFS('Existing Customers'!$O:$O,'Existing Customers'!$H:$H,$AZ30,'Existing Customers'!$A:$A,$BA$1)*$BA$4,$BB30*$BA$8),0)</f>
        <v>0</v>
      </c>
      <c r="BD30" s="95">
        <f>IFERROR(IF(AND($BA$2&lt;&gt;"Enter Spend&gt;&gt;&gt;",BB2="EXISTING"),SUMIFS('Existing Customers'!$P:$P,'Existing Customers'!$A:$A,$BA$1,'Existing Customers'!$H:$H,$AZ30)*$BA$4,$BA30/$BM30),0)</f>
        <v>0</v>
      </c>
      <c r="BE30" s="402">
        <f>IFERROR(IF(AND($BA$2&lt;&gt;"Enter Spend&gt;&gt;&gt;",BB2="EXISTING"),SUMIFS('Existing Customers'!$V:$V,'Existing Customers'!$H:$H,$AZ30,'Existing Customers'!$A:$A,$BA$1)*$BA$4,0),0)</f>
        <v>0</v>
      </c>
      <c r="BF30" s="96">
        <f>IFERROR(IF(AND($BA$2&lt;&gt;"Enter Spend&gt;&gt;&gt;",BB2="EXISTING"),SUMIFS('Existing Customers'!$R:$R,'Existing Customers'!$H:$H,$AZ30,'Existing Customers'!$A:$A,$BA$1)*$BA$4,0),0)</f>
        <v>0</v>
      </c>
      <c r="BG30" s="96">
        <f>IFERROR(IF(AND($BA$2&lt;&gt;"Enter Spend&gt;&gt;&gt;",BB2="EXISTING"),SUMIFS('Existing Customers'!$S:$S,'Existing Customers'!$H:$H,$AZ30,'Existing Customers'!$A:$A,$BA$1),BQ30*BA30),0)</f>
        <v>0</v>
      </c>
      <c r="BH30" s="96">
        <f>IFERROR(IF(AND($BA$2&lt;&gt;"Enter Spend&gt;&gt;&gt;",BB2="EXISTING"),SUMIFS('Existing Customers'!$U:$U,'Existing Customers'!$H:$H,$AZ30,'Existing Customers'!$A:$A,$BA$1),BR30*BA30),0)</f>
        <v>0</v>
      </c>
      <c r="BI30" s="1163" t="e">
        <f t="shared" si="24"/>
        <v>#N/A</v>
      </c>
      <c r="BJ30" s="1164">
        <f t="array" ref="BJ30">IFERROR(INDEX('Margin Guidence Table'!$A$1:$AD$30000,MATCH(1,('Margin Guidence Table'!$A$1:$A$10000=$BI30)*('Margin Guidence Table'!$H$1:$H$10000&lt;=ROUND($BA$3,0))*('Margin Guidence Table'!$G$1:$G$10000&gt;=ROUND($BA$3,0)),0),MATCH("DATA_POINTS",'Margin Guidence Table'!$A$1:$AC$1,0)),0)</f>
        <v>0</v>
      </c>
      <c r="BK30" s="1161" t="str">
        <f t="shared" si="25"/>
        <v>DEFAULT</v>
      </c>
      <c r="BL30" s="1161">
        <f t="array" ref="BL30">IFERROR(IF($BK30="SEGMENT",INDEX('Margin Guidence Table'!$A$1:$AC$10000,MATCH(1,('Margin Guidence Table'!$A$1:$A$10000=$BI30)*('Margin Guidence Table'!$H$1:$H$10000&lt;=ROUND($BA$3,0))*('Margin Guidence Table'!$G$1:$G$10000&gt;=ROUND($BA$3,0)),0),MATCH("SALES_CASE",'Margin Guidence Table'!$A$1:$AC$1,0)),INDEX('Margin Guidence Table'!$A$1:$AC$10000,MATCH(1,('Margin Guidence Table'!$A$1:$A$10000=$BI30)*('Margin Guidence Table'!$H$1:$H$10000&lt;=ROUND($BA$3,0))*('Margin Guidence Table'!$G$1:$G$10000&gt;=ROUND($BA$3,0)),0),MATCH("DEFAULT_SALES_CASE",'Margin Guidence Table'!$A$1:$AC$1,0))),0)</f>
        <v>0</v>
      </c>
      <c r="BM30" s="1161">
        <f t="array" ref="BM30">IFERROR(IF($BK30="SEGMENT",INDEX('Margin Guidence Table'!$A$1:$AC$10000,MATCH(1,('Margin Guidence Table'!$A$1:$A$10000=$BI30)*('Margin Guidence Table'!$H$1:$H$10000&lt;=ROUND($BA$3,0))*('Margin Guidence Table'!$G$1:$G$10000&gt;=ROUND($BA$3,0)),0),MATCH("SALES_LBS",'Margin Guidence Table'!$A$1:$AC$1,0)),INDEX('Margin Guidence Table'!$A$1:$AC$10000,MATCH(1,('Margin Guidence Table'!$A$1:$A$10000=$BI30)*('Margin Guidence Table'!$H$1:$H$10000&lt;=ROUND($BA$3,0))*('Margin Guidence Table'!$G$1:$G$10000&gt;=ROUND($BA$3,0)),0),MATCH("DEFAULT_SALES_LBS",'Margin Guidence Table'!$A$1:$AC$1,0))),0)</f>
        <v>0</v>
      </c>
      <c r="BN30" s="1165">
        <f t="array" ref="BN30">IFERROR(IF($BK30="SEGMENT",INDEX('Margin Guidence Table'!$A$1:$AC$10000,MATCH(1,('Margin Guidence Table'!$A$1:$A$10000=$BI30)*('Margin Guidence Table'!$H$1:$H$10000&lt;=ROUND($BA$3,0))*('Margin Guidence Table'!$G$1:$G$10000&gt;=ROUND($BA$3,0)),0),MATCH("MDA_MIN_MARGIN_GUIDENCE",'Margin Guidence Table'!$A$1:$AC$1,0)),INDEX('Margin Guidence Table'!$A$1:$AC$10000,MATCH(1,('Margin Guidence Table'!$A$1:$A$10000=$BI30)*('Margin Guidence Table'!$H$1:$H$10000&lt;=ROUND($BA$3,0))*('Margin Guidence Table'!$G$1:$G$10000&gt;=ROUND($BA$3,0)),0),MATCH("DEFAULT_MDA_MIN_MARGIN_GUIDENCE",'Margin Guidence Table'!$A$1:$AC$1,0))),0)</f>
        <v>0</v>
      </c>
      <c r="BO30" s="1165">
        <f t="array" ref="BO30">IFERROR(IF($BK30="SEGMENT",INDEX('Margin Guidence Table'!$A$1:$AC$10000,MATCH(1,('Margin Guidence Table'!$A$1:$A$10000=$BI30)*('Margin Guidence Table'!$H$1:$H$10000&lt;=ROUND($BA$3,0))*('Margin Guidence Table'!$G$1:$G$10000&gt;=ROUND($BA$3,0)),0),MATCH("MDA_MEDIAN_MARGIN_GUIDENCE",'Margin Guidence Table'!$A$1:$AC$1,0)),INDEX('Margin Guidence Table'!$A$1:$AC$10000,MATCH(1,('Margin Guidence Table'!$A$1:$A$10000=$BI30)*('Margin Guidence Table'!$H$1:$H$10000&lt;=ROUND($BA$3,0))*('Margin Guidence Table'!$G$1:$G$10000&gt;=ROUND($BA$3,0)),0),MATCH("DEFAULT_MDA_MEDIAN_MARGIN_GUIDENCE",'Margin Guidence Table'!$A$1:$AC$1,0))),0)</f>
        <v>0</v>
      </c>
      <c r="BP30" s="1165">
        <f t="array" ref="BP30">IFERROR(IF($BK30="SEGMENT",INDEX('Margin Guidence Table'!$A$1:$AC$10000,MATCH(1,('Margin Guidence Table'!$A$1:$A$10000=$BI30)*('Margin Guidence Table'!$H$1:$H$10000&lt;=ROUND($BA$3,0))*('Margin Guidence Table'!$G$1:$G$10000&gt;=ROUND($BA$3,0)),0),MATCH("MDA_MAX_MARGIN_GUIDENCE",'Margin Guidence Table'!$A$1:$AC$1,0)),INDEX('Margin Guidence Table'!$A$1:$AC$10000,MATCH(1,('Margin Guidence Table'!$A$1:$A$10000=$BI30)*('Margin Guidence Table'!$H$1:$H$10000&lt;=ROUND($BA$3,0))*('Margin Guidence Table'!$G$1:$G$10000&gt;=ROUND($BA$3,0)),0),MATCH("DEFAULT_MDA_MAX_MARGIN_GUIDENCE",'Margin Guidence Table'!$A$1:$AC$1,0))),0)</f>
        <v>0</v>
      </c>
      <c r="BQ30" s="1165">
        <f t="array" ref="BQ30">IFERROR(IF($BK30="SEGMENT",INDEX('Margin Guidence Table'!$A$1:$AC$10000,MATCH(1,('Margin Guidence Table'!$A$1:$A$10000=$BI30)*('Margin Guidence Table'!$H$1:$H$10000&lt;=ROUND($BA$3,0))*('Margin Guidence Table'!$G$1:$G$10000&gt;=ROUND($BA$3,0)),0),MATCH("PA_PCT_SALES",'Margin Guidence Table'!$A$1:$AC$1,0)),INDEX('Margin Guidence Table'!$A$1:$AC$10000,MATCH(1,('Margin Guidence Table'!$A$1:$A$10000=$BI30)*('Margin Guidence Table'!$H$1:$H$10000&lt;=ROUND($BA$3,0))*('Margin Guidence Table'!$G$1:$G$10000&gt;=ROUND($BA$3,0)),0),MATCH("DEFAULT_PA_PCT_SALES",'Margin Guidence Table'!$A$1:$AC$1,0))),0)</f>
        <v>0</v>
      </c>
      <c r="BR30" s="1165">
        <f t="array" ref="BR30">IFERROR(IF($BK30="SEGMENT",INDEX('Margin Guidence Table'!$A$1:$AC$10000,MATCH(1,('Margin Guidence Table'!$A$1:$A$10000=$BI30)*('Margin Guidence Table'!$H$1:$H$10000&lt;=ROUND($BA$3,0))*('Margin Guidence Table'!$G$1:$G$10000&gt;=ROUND($BA$3,0)),0),MATCH("SELF_FUND_PCT_SALES",'Margin Guidence Table'!$A$1:$AC$1,0)),INDEX('Margin Guidence Table'!$A$1:$AC$10000,MATCH(1,('Margin Guidence Table'!$A$1:$A$10000=$BI30)*('Margin Guidence Table'!$H$1:$H$10000&lt;=ROUND($BA$3,0))*('Margin Guidence Table'!$G$1:$G$10000&gt;=ROUND($BA$3,0)),0),MATCH("DEFAULT_SELF_FUND_PCT_SALES",'Margin Guidence Table'!$A$1:$AC$1,0))),0)</f>
        <v>0</v>
      </c>
      <c r="BS30" s="1165">
        <f t="array" ref="BS30">IFERROR(IF($BK30="SEGMENT",INDEX('Margin Guidence Table'!$A$1:$AC$10000,MATCH(1,('Margin Guidence Table'!$A$1:$A$10000=$BI30)*('Margin Guidence Table'!$H$1:$H$10000&lt;=ROUND($BA$3,0))*('Margin Guidence Table'!$G$1:$G$10000&gt;=ROUND($BA$3,0)),0),MATCH("CIA_MEDIAN_MARGIN_GUIDENCE",'Margin Guidence Table'!$A$1:$AC$1,0)),INDEX('Margin Guidence Table'!$A$1:$AC$10000,MATCH(1,('Margin Guidence Table'!$A$1:$A$10000=$BI30)*('Margin Guidence Table'!$H$1:$H$10000&lt;=ROUND($BA$3,0))*('Margin Guidence Table'!$G$1:$G$10000&gt;=ROUND($BA$3,0)),0),MATCH("DEFAULT_CIA_MEDIAN_MARGIN_GUIDENCE",'Margin Guidence Table'!$A$1:$AC$1,0))),0)</f>
        <v>0</v>
      </c>
      <c r="BT30" s="129"/>
      <c r="BU30" s="18">
        <f t="array" ref="BU30">IFERROR(IF($CG30="SEGMENT",INDEX('Margin Guidence Table'!$A$1:$AC$10000,MATCH(1,('Margin Guidence Table'!$A$1:$A$10000=$CE30)*('Margin Guidence Table'!$H$1:$H$10000&lt;=ROUND($BW$3,0))*('Margin Guidence Table'!$G$1:$G$10000&gt;=ROUND($BW$3,0)),0),MATCH("PCT_SALES",'Margin Guidence Table'!$A$1:$AC$1,0)),INDEX('Margin Guidence Table'!$A$1:$AC$10000,MATCH(1,('Margin Guidence Table'!$A$1:$A$10000=$CE30)*('Margin Guidence Table'!$H$1:$H$10000&lt;=ROUND($BW$3,0))*('Margin Guidence Table'!$G$1:$G$10000&gt;=ROUND($BW$3,0)),0),MATCH("DEFAULT_PCT_SALES",'Margin Guidence Table'!$A$1:$AC$1,0))),0)</f>
        <v>0</v>
      </c>
      <c r="BV30" s="102" t="s">
        <v>89</v>
      </c>
      <c r="BW30" s="94">
        <f>IFERROR(IF(AND($BW$2&lt;&gt;"Enter Spend&gt;&gt;&gt;",BX2="EXISTING"),SUMIFS('Existing Customers'!$Q:$Q,'Existing Customers'!$A:$A,$BW$1,'Existing Customers'!$H:$H,$BV30)*$BW$4,$BW$3*$BU30),0)</f>
        <v>0</v>
      </c>
      <c r="BX30" s="89">
        <f>IFERROR(IF(AND($BW$2&lt;&gt;"Enter Spend&gt;&gt;&gt;",BX2="EXISTING"),SUMIFS('Existing Customers'!$N:$N,'Existing Customers'!$A:$A,$BW$1,'Existing Customers'!$H:$H,$BV30)*$BW$4,$BW30/$CH30),0)</f>
        <v>0</v>
      </c>
      <c r="BY30" s="95">
        <f>IFERROR(IF(AND($BW$2&lt;&gt;"Enter Spend&gt;&gt;&gt;",BX2="EXISTING"),SUMIFS('Existing Customers'!$O:$O,'Existing Customers'!$H:$H,$BV30,'Existing Customers'!$A:$A,$BW$1)*$BW$4,$BX30*$BW$8),0)</f>
        <v>0</v>
      </c>
      <c r="BZ30" s="95">
        <f>IFERROR(IF(AND($BW$2&lt;&gt;"Enter Spend&gt;&gt;&gt;",BX2="EXISTING"),SUMIFS('Existing Customers'!$P:$P,'Existing Customers'!$A:$A,$BW$1,'Existing Customers'!$H:$H,$BV30)*$BW$4,$BW30/$CI30),0)</f>
        <v>0</v>
      </c>
      <c r="CA30" s="96">
        <f>IFERROR(IF(AND($BW$2&lt;&gt;"Enter Spend&gt;&gt;&gt;",BX2="EXISTING"),SUMIFS('Existing Customers'!$V:$V,'Existing Customers'!$H:$H,$BV30,'Existing Customers'!$A:$A,$BW$1)*$BW$4,0),0)</f>
        <v>0</v>
      </c>
      <c r="CB30" s="96">
        <f>IFERROR(IF(AND($BW$2&lt;&gt;"Enter Spend&gt;&gt;&gt;",BX2="EXISTING"),SUMIFS('Existing Customers'!$R:$R,'Existing Customers'!$H:$H,$BV30,'Existing Customers'!$A:$A,$BW$1)*$BW$4,0),0)</f>
        <v>0</v>
      </c>
      <c r="CC30" s="1161">
        <f>IFERROR(IF(AND($BW$2&lt;&gt;"Enter Spend&gt;&gt;&gt;",BX2="EXISTING"),SUMIFS('Existing Customers'!$S:$S,'Existing Customers'!$H:$H,$BV30,'Existing Customers'!$A:$A,$BW$1),CM30*BW30),0)</f>
        <v>0</v>
      </c>
      <c r="CD30" s="1161">
        <f>IFERROR(IF(AND($BW$2&lt;&gt;"Enter Spend&gt;&gt;&gt;",BX2="EXISTING"),SUMIFS('Existing Customers'!$U:$U,'Existing Customers'!$H:$H,$BV30,'Existing Customers'!$A:$A,$BW$1),CN30*BW30),0)</f>
        <v>0</v>
      </c>
      <c r="CE30" s="1164" t="e">
        <f t="shared" si="26"/>
        <v>#N/A</v>
      </c>
      <c r="CF30" s="1164">
        <f t="array" ref="CF30">IFERROR(INDEX('Margin Guidence Table'!$A$1:$AD$30000,MATCH(1,('Margin Guidence Table'!$A$1:$A$10000=$CE30)*('Margin Guidence Table'!$H$1:$H$10000&lt;=ROUND($BW$3,0))*('Margin Guidence Table'!$G$1:$G$10000&gt;=ROUND($BW$3,0)),0),MATCH("DATA_POINTS",'Margin Guidence Table'!$A$1:$AC$1,0)),0)</f>
        <v>0</v>
      </c>
      <c r="CG30" s="1161" t="str">
        <f t="shared" si="27"/>
        <v>DEFAULT</v>
      </c>
      <c r="CH30" s="1161">
        <f t="array" ref="CH30">IFERROR(IF($CG30="SEGMENT",INDEX('Margin Guidence Table'!$A$1:$AC$10000,MATCH(1,('Margin Guidence Table'!$A$1:$A$10000=$CE30)*('Margin Guidence Table'!$H$1:$H$10000&lt;=ROUND($BW$3,0))*('Margin Guidence Table'!$G$1:$G$10000&gt;=ROUND($BW$3,0)),0),MATCH("SALES_CASE",'Margin Guidence Table'!$A$1:$AC$1,0)),INDEX('Margin Guidence Table'!$A$1:$AC$10000,MATCH(1,('Margin Guidence Table'!$A$1:$A$10000=$CE30)*('Margin Guidence Table'!$H$1:$H$10000&lt;=ROUND($BW$3,0))*('Margin Guidence Table'!$G$1:$G$10000&gt;=ROUND($BW$3,0)),0),MATCH("DEFAULT_SALES_CASE",'Margin Guidence Table'!$A$1:$AC$1,0))),0)</f>
        <v>0</v>
      </c>
      <c r="CI30" s="1161">
        <f t="array" ref="CI30">IFERROR(IF($CG30="SEGMENT",INDEX('Margin Guidence Table'!$A$1:$AC$10000,MATCH(1,('Margin Guidence Table'!$A$1:$A$10000=$CE30)*('Margin Guidence Table'!$H$1:$H$10000&lt;=ROUND($BW$3,0))*('Margin Guidence Table'!$G$1:$G$10000&gt;=ROUND($BW$3,0)),0),MATCH("SALES_LBS",'Margin Guidence Table'!$A$1:$AC$1,0)),INDEX('Margin Guidence Table'!$A$1:$AC$10000,MATCH(1,('Margin Guidence Table'!$A$1:$A$10000=$CE30)*('Margin Guidence Table'!$H$1:$H$10000&lt;=ROUND($BW$3,0))*('Margin Guidence Table'!$G$1:$G$10000&gt;=ROUND($BW$3,0)),0),MATCH("DEFAULT_SALES_LBS",'Margin Guidence Table'!$A$1:$AC$1,0))),0)</f>
        <v>0</v>
      </c>
      <c r="CJ30" s="1165">
        <f t="array" ref="CJ30">IFERROR(IF($CG30="SEGMENT",INDEX('Margin Guidence Table'!$A$1:$AC$10000,MATCH(1,('Margin Guidence Table'!$A$1:$A$10000=$CE30)*('Margin Guidence Table'!$H$1:$H$10000&lt;=ROUND($BW$3,0))*('Margin Guidence Table'!$G$1:$G$10000&gt;=ROUND($BW$3,0)),0),MATCH("MDA_MIN_MARGIN_GUIDENCE",'Margin Guidence Table'!$A$1:$AC$1,0)),INDEX('Margin Guidence Table'!$A$1:$AC$10000,MATCH(1,('Margin Guidence Table'!$A$1:$A$10000=$CE30)*('Margin Guidence Table'!$H$1:$H$10000&lt;=ROUND($BW$3,0))*('Margin Guidence Table'!$G$1:$G$10000&gt;=ROUND($BW$3,0)),0),MATCH("DEFAULT_MDA_MIN_MARGIN_GUIDENCE",'Margin Guidence Table'!$A$1:$AC$1,0))),0)</f>
        <v>0</v>
      </c>
      <c r="CK30" s="1165">
        <f t="array" ref="CK30">IFERROR(IF($CG30="SEGMENT",INDEX('Margin Guidence Table'!$A$1:$AC$10000,MATCH(1,('Margin Guidence Table'!$A$1:$A$10000=$CE30)*('Margin Guidence Table'!$H$1:$H$10000&lt;=ROUND($BW$3,0))*('Margin Guidence Table'!$G$1:$G$10000&gt;=ROUND($BW$3,0)),0),MATCH("MDA_MEDIAN_MARGIN_GUIDENCE",'Margin Guidence Table'!$A$1:$AC$1,0)),INDEX('Margin Guidence Table'!$A$1:$AC$10000,MATCH(1,('Margin Guidence Table'!$A$1:$A$10000=$CE30)*('Margin Guidence Table'!$H$1:$H$10000&lt;=ROUND($BW$3,0))*('Margin Guidence Table'!$G$1:$G$10000&gt;=ROUND($BW$3,0)),0),MATCH("DEFAULT_MDA_MEDIAN_MARGIN_GUIDENCE",'Margin Guidence Table'!$A$1:$AC$1,0))),0)</f>
        <v>0</v>
      </c>
      <c r="CL30" s="1165">
        <f t="array" ref="CL30">IFERROR(IF($CG30="SEGMENT",INDEX('Margin Guidence Table'!$A$1:$AC$10000,MATCH(1,('Margin Guidence Table'!$A$1:$A$10000=$CE30)*('Margin Guidence Table'!$H$1:$H$10000&lt;=ROUND($BW$3,0))*('Margin Guidence Table'!$G$1:$G$10000&gt;=ROUND($BW$3,0)),0),MATCH("MDA_MAX_MARGIN_GUIDENCE",'Margin Guidence Table'!$A$1:$AC$1,0)),INDEX('Margin Guidence Table'!$A$1:$AC$10000,MATCH(1,('Margin Guidence Table'!$A$1:$A$10000=$CE30)*('Margin Guidence Table'!$H$1:$H$10000&lt;=ROUND($BW$3,0))*('Margin Guidence Table'!$G$1:$G$10000&gt;=ROUND($BW$3,0)),0),MATCH("DEFAULT_MDA_MAX_MARGIN_GUIDENCE",'Margin Guidence Table'!$A$1:$AC$1,0))),0)</f>
        <v>0</v>
      </c>
      <c r="CM30" s="1165">
        <f t="array" ref="CM30">IFERROR(IF($CG30="SEGMENT",INDEX('Margin Guidence Table'!$A$1:$AC$10000,MATCH(1,('Margin Guidence Table'!$A$1:$A$10000=$CE30)*('Margin Guidence Table'!$H$1:$H$10000&lt;=ROUND($BW$3,0))*('Margin Guidence Table'!$G$1:$G$10000&gt;=ROUND($BW$3,0)),0),MATCH("PA_PCT_SALES",'Margin Guidence Table'!$A$1:$AC$1,0)),INDEX('Margin Guidence Table'!$A$1:$AC$10000,MATCH(1,('Margin Guidence Table'!$A$1:$A$10000=$CE30)*('Margin Guidence Table'!$H$1:$H$10000&lt;=ROUND($BW$3,0))*('Margin Guidence Table'!$G$1:$G$10000&gt;=ROUND($BW$3,0)),0),MATCH("DEFAULT_PA_PCT_SALES",'Margin Guidence Table'!$A$1:$AC$1,0))),0)</f>
        <v>0</v>
      </c>
      <c r="CN30" s="1165">
        <f t="array" ref="CN30">IFERROR(IF($CG30="SEGMENT",INDEX('Margin Guidence Table'!$A$1:$AC$10000,MATCH(1,('Margin Guidence Table'!$A$1:$A$10000=$CE30)*('Margin Guidence Table'!$H$1:$H$10000&lt;=ROUND($BW$3,0))*('Margin Guidence Table'!$G$1:$G$10000&gt;=ROUND($BW$3,0)),0),MATCH("SELF_FUND_PCT_SALES",'Margin Guidence Table'!$A$1:$AC$1,0)),INDEX('Margin Guidence Table'!$A$1:$AC$10000,MATCH(1,('Margin Guidence Table'!$A$1:$A$10000=$CE30)*('Margin Guidence Table'!$H$1:$H$10000&lt;=ROUND($BW$3,0))*('Margin Guidence Table'!$G$1:$G$10000&gt;=ROUND($BW$3,0)),0),MATCH("DEFAULT_SELF_FUND_PCT_SALES",'Margin Guidence Table'!$A$1:$AC$1,0))),0)</f>
        <v>0</v>
      </c>
      <c r="CO30" s="1165">
        <f t="array" ref="CO30">IFERROR(IF($CG30="SEGMENT",INDEX('Margin Guidence Table'!$A$1:$AC$10000,MATCH(1,('Margin Guidence Table'!$A$1:$A$10000=$CE30)*('Margin Guidence Table'!$H$1:$H$10000&lt;=ROUND($BW$3,0))*('Margin Guidence Table'!$G$1:$G$10000&gt;=ROUND($BW$3,0)),0),MATCH("CIA_MEDIAN_MARGIN_GUIDENCE",'Margin Guidence Table'!$A$1:$AC$1,0)),INDEX('Margin Guidence Table'!$A$1:$AC$10000,MATCH(1,('Margin Guidence Table'!$A$1:$A$10000=$CE30)*('Margin Guidence Table'!$H$1:$H$10000&lt;=ROUND($BW$3,0))*('Margin Guidence Table'!$G$1:$G$10000&gt;=ROUND($BW$3,0)),0),MATCH("DEFAULT_CIA_MEDIAN_MARGIN_GUIDENCE",'Margin Guidence Table'!$A$1:$AC$1,0))),0)</f>
        <v>0</v>
      </c>
      <c r="CP30" s="129"/>
      <c r="CQ30" s="18">
        <f t="array" ref="CQ30">IFERROR(IF($DC30="SEGMENT",INDEX('Margin Guidence Table'!$A$1:$AC$10000,MATCH(1,('Margin Guidence Table'!$A$1:$A$10000=$DA30)*('Margin Guidence Table'!$H$1:$H$10000&lt;=ROUND($CS$3,0))*('Margin Guidence Table'!$G$1:$G$10000&gt;=ROUND($CS$3,0)),0),MATCH("PCT_SALES",'Margin Guidence Table'!$A$1:$AC$1,0)),INDEX('Margin Guidence Table'!$A$1:$AC$10000,MATCH(1,('Margin Guidence Table'!$A$1:$A$10000=$DA30)*('Margin Guidence Table'!$H$1:$H$10000&lt;=ROUND($CS$3,0))*('Margin Guidence Table'!$G$1:$G$10000&gt;=ROUND($CS$3,0)),0),MATCH("DEFAULT_PCT_SALES",'Margin Guidence Table'!$A$1:$AC$1,0))),0)</f>
        <v>0</v>
      </c>
      <c r="CR30" s="102" t="s">
        <v>89</v>
      </c>
      <c r="CS30" s="94">
        <f>IFERROR(IF(AND($CS$2&lt;&gt;"Enter Spend&gt;&gt;&gt;",CT2="EXISTING"),SUMIFS('Existing Customers'!$Q:$Q,'Existing Customers'!$A:$A,$CS$1,'Existing Customers'!$H:$H,$CR30)*$CS$4,$CS$3*$CQ30),0)</f>
        <v>0</v>
      </c>
      <c r="CT30" s="89">
        <f>IFERROR(IF(AND($CS$2&lt;&gt;"Enter Spend&gt;&gt;&gt;",CT2="EXISTING"),SUMIFS('Existing Customers'!$N:$N,'Existing Customers'!$A:$A,$CS$1,'Existing Customers'!$H:$H,$CR30)*$CS$4,$CS30/$DD30),0)</f>
        <v>0</v>
      </c>
      <c r="CU30" s="95">
        <f>IFERROR(IF(AND($CS$2&lt;&gt;"Enter Spend&gt;&gt;&gt;",BB28="EXISTING"),SUMIFS('Existing Customers'!$O:$O,'Existing Customers'!$H:$H,$CR30,'Existing Customers'!$A:$A,$CS$1)*$CS$4,$CT30*$CS$8),0)</f>
        <v>0</v>
      </c>
      <c r="CV30" s="95">
        <f>IFERROR(IF(AND($CS$2&lt;&gt;"Enter Spend&gt;&gt;&gt;",CT2="EXISTING"),SUMIFS('Existing Customers'!$P:$P,'Existing Customers'!$A:$A,$CS$1,'Existing Customers'!$H:$H,$CR30)*$CS$4,$CS30/$DE30),0)</f>
        <v>0</v>
      </c>
      <c r="CW30" s="96">
        <f>IFERROR(IF(AND($CS$2&lt;&gt;"Enter Spend&gt;&gt;&gt;",CT2="EXISTING"),SUMIFS('Existing Customers'!$V:$V,'Existing Customers'!$H:$H,$CR30,'Existing Customers'!$A:$A,$CS$1)*$CS$4,0),0)</f>
        <v>0</v>
      </c>
      <c r="CX30" s="96">
        <f>IFERROR(IF(AND($CS$2&lt;&gt;"Enter Spend&gt;&gt;&gt;",CT2="EXISTING"),SUMIFS('Existing Customers'!$R:$R,'Existing Customers'!$H:$H,$AZ30,'Existing Customers'!$A:$A,$CS$1)*$CS$4,0),0)</f>
        <v>0</v>
      </c>
      <c r="CY30" s="1161">
        <f>IFERROR(IF(AND($CS$2&lt;&gt;"Enter Spend&gt;&gt;&gt;",CT2="EXISTING"),SUMIFS('Existing Customers'!$S:$S,'Existing Customers'!$H:$H,$CR30,'Existing Customers'!$A:$A,$CS$1),DI30*CS30),0)</f>
        <v>0</v>
      </c>
      <c r="CZ30" s="1161">
        <f>IFERROR(IF(AND($CS$2&lt;&gt;"Enter Spend&gt;&gt;&gt;",CT2="EXISTING"),SUMIFS('Existing Customers'!$U:$U,'Existing Customers'!$H:$H,$CR30,'Existing Customers'!$A:$A,$CS$1),DJ30*CS30),0)</f>
        <v>0</v>
      </c>
      <c r="DA30" s="1164" t="e">
        <f t="shared" si="28"/>
        <v>#N/A</v>
      </c>
      <c r="DB30" s="1164">
        <f t="array" ref="DB30">IFERROR(INDEX('Margin Guidence Table'!$A$1:$AD$30000,MATCH(1,('Margin Guidence Table'!$A$1:$A$10000=DA30)*('Margin Guidence Table'!$H$1:$H$10000&lt;=ROUND($CS$3,0))*('Margin Guidence Table'!$G$1:$G$10000&gt;=ROUND($CS$3,0)),0),MATCH("DATA_POINTS",'Margin Guidence Table'!$A$1:$AC$1,0)),0)</f>
        <v>0</v>
      </c>
      <c r="DC30" s="1161" t="str">
        <f t="shared" si="29"/>
        <v>DEFAULT</v>
      </c>
      <c r="DD30" s="1161">
        <f t="array" ref="DD30">IFERROR(IF($DC30="SEGMENT",INDEX('Margin Guidence Table'!$A$1:$AC$10000,MATCH(1,('Margin Guidence Table'!$A$1:$A$10000=DA30)*('Margin Guidence Table'!$H$1:$H$10000&lt;=ROUND($CS$3,0))*('Margin Guidence Table'!$G$1:$G$10000&gt;=ROUND($CS$3,0)),0),MATCH("SALES_CASE",'Margin Guidence Table'!$A$1:$AC$1,0)),INDEX('Margin Guidence Table'!$A$1:$AC$10000,MATCH(1,('Margin Guidence Table'!$A$1:$A$10000=DA30)*('Margin Guidence Table'!$H$1:$H$10000&lt;=ROUND($CS$3,0))*('Margin Guidence Table'!$G$1:$G$10000&gt;=ROUND($CS$3,0)),0),MATCH("DEFAULT_SALES_CASE",'Margin Guidence Table'!$A$1:$AC$1,0))),0)</f>
        <v>0</v>
      </c>
      <c r="DE30" s="1161">
        <f t="array" ref="DE30">IFERROR(IF($DC30="SEGMENT",INDEX('Margin Guidence Table'!$A$1:$AC$10000,MATCH(1,('Margin Guidence Table'!$A$1:$A$10000=DA30)*('Margin Guidence Table'!$H$1:$H$10000&lt;=ROUND($CS$3,0))*('Margin Guidence Table'!$G$1:$G$10000&gt;=ROUND($CS$3,0)),0),MATCH("SALES_LBS",'Margin Guidence Table'!$A$1:$AC$1,0)),INDEX('Margin Guidence Table'!$A$1:$AC$10000,MATCH(1,('Margin Guidence Table'!$A$1:$A$10000=DA30)*('Margin Guidence Table'!$H$1:$H$10000&lt;=ROUND($CS$3,0))*('Margin Guidence Table'!$G$1:$G$10000&gt;=ROUND($CS$3,0)),0),MATCH("DEFAULT_SALES_LBS",'Margin Guidence Table'!$A$1:$AC$1,0))),0)</f>
        <v>0</v>
      </c>
      <c r="DF30" s="1165">
        <f t="array" ref="DF30">IFERROR(IF($DC30="SEGMENT",INDEX('Margin Guidence Table'!$A$1:$AC$10000,MATCH(1,('Margin Guidence Table'!$A$1:$A$10000=DA30)*('Margin Guidence Table'!$H$1:$H$10000&lt;=ROUND($CS$3,0))*('Margin Guidence Table'!$G$1:$G$10000&gt;=ROUND($CS$3,0)),0),MATCH("MDA_MIN_MARGIN_GUIDENCE",'Margin Guidence Table'!$A$1:$AC$1,0)),INDEX('Margin Guidence Table'!$A$1:$AC$10000,MATCH(1,('Margin Guidence Table'!$A$1:$A$10000=DA30)*('Margin Guidence Table'!$H$1:$H$10000&lt;=ROUND($CS$3,0))*('Margin Guidence Table'!$G$1:$G$10000&gt;=ROUND($CS$3,0)),0),MATCH("DEFAULT_MDA_MIN_MARGIN_GUIDENCE",'Margin Guidence Table'!$A$1:$AC$1,0))),0)</f>
        <v>0</v>
      </c>
      <c r="DG30" s="1165">
        <f t="array" ref="DG30">IFERROR(IF($DC30="SEGMENT",INDEX('Margin Guidence Table'!$A$1:$AC$10000,MATCH(1,('Margin Guidence Table'!$A$1:$A$10000=DA30)*('Margin Guidence Table'!$H$1:$H$10000&lt;=ROUND($CS$3,0))*('Margin Guidence Table'!$G$1:$G$10000&gt;=ROUND($CS$3,0)),0),MATCH("MDA_MEDIAN_MARGIN_GUIDENCE",'Margin Guidence Table'!$A$1:$AC$1,0)),INDEX('Margin Guidence Table'!$A$1:$AC$10000,MATCH(1,('Margin Guidence Table'!$A$1:$A$10000=DA30)*('Margin Guidence Table'!$H$1:$H$10000&lt;=ROUND($CS$3,0))*('Margin Guidence Table'!$G$1:$G$10000&gt;=ROUND($CS$3,0)),0),MATCH("DEFAULT_MDA_MEDIAN_MARGIN_GUIDENCE",'Margin Guidence Table'!$A$1:$AC$1,0))),0)</f>
        <v>0</v>
      </c>
      <c r="DH30" s="1165">
        <f t="array" ref="DH30">IFERROR(IF($DC30="SEGMENT",INDEX('Margin Guidence Table'!$A$1:$AC$10000,MATCH(1,('Margin Guidence Table'!$A$1:$A$10000=DA30)*('Margin Guidence Table'!$H$1:$H$10000&lt;=ROUND($CS$3,0))*('Margin Guidence Table'!$G$1:$G$10000&gt;=ROUND($CS$3,0)),0),MATCH("MDA_MAX_MARGIN_GUIDENCE",'Margin Guidence Table'!$A$1:$AC$1,0)),INDEX('Margin Guidence Table'!$A$1:$AC$10000,MATCH(1,('Margin Guidence Table'!$A$1:$A$10000=DA30)*('Margin Guidence Table'!$H$1:$H$10000&lt;=ROUND($CS$3,0))*('Margin Guidence Table'!$G$1:$G$10000&gt;=ROUND($CS$3,0)),0),MATCH("DEFAULT_MDA_MAX_MARGIN_GUIDENCE",'Margin Guidence Table'!$A$1:$AC$1,0))),0)</f>
        <v>0</v>
      </c>
      <c r="DI30" s="1165">
        <f t="array" ref="DI30">IFERROR(IF($DC30="SEGMENT",INDEX('Margin Guidence Table'!$A$1:$AC$10000,MATCH(1,('Margin Guidence Table'!$A$1:$A$10000=DA30)*('Margin Guidence Table'!$H$1:$H$10000&lt;=ROUND($CS$3,0))*('Margin Guidence Table'!$G$1:$G$10000&gt;=ROUND($CS$3,0)),0),MATCH("PA_PCT_SALES",'Margin Guidence Table'!$A$1:$AC$1,0)),INDEX('Margin Guidence Table'!$A$1:$AC$10000,MATCH(1,('Margin Guidence Table'!$A$1:$A$10000=DA30)*('Margin Guidence Table'!$H$1:$H$10000&lt;=ROUND($CS$3,0))*('Margin Guidence Table'!$G$1:$G$10000&gt;=ROUND($CS$3,0)),0),MATCH("DEFAULT_PA_PCT_SALES",'Margin Guidence Table'!$A$1:$AC$1,0))),0)</f>
        <v>0</v>
      </c>
      <c r="DJ30" s="1165">
        <f t="array" ref="DJ30">IFERROR(IF($DC30="SEGMENT",INDEX('Margin Guidence Table'!$A$1:$AC$10000,MATCH(1,('Margin Guidence Table'!$A$1:$A$10000=DA30)*('Margin Guidence Table'!$H$1:$H$10000&lt;=ROUND($CS$3,0))*('Margin Guidence Table'!$G$1:$G$10000&gt;=ROUND($CS$3,0)),0),MATCH("SELF_FUND_PCT_SALES",'Margin Guidence Table'!$A$1:$AC$1,0)),INDEX('Margin Guidence Table'!$A$1:$AC$10000,MATCH(1,('Margin Guidence Table'!$A$1:$A$10000=DA30)*('Margin Guidence Table'!$H$1:$H$10000&lt;=ROUND($CS$3,0))*('Margin Guidence Table'!$G$1:$G$10000&gt;=ROUND($CS$3,0)),0),MATCH("DEFAULT_SELF_FUND_PCT_SALES",'Margin Guidence Table'!$A$1:$AC$1,0))),0)</f>
        <v>0</v>
      </c>
      <c r="DK30" s="1165">
        <f t="array" ref="DK30">IFERROR(IF($DC30="SEGMENT",INDEX('Margin Guidence Table'!$A$1:$AC$10000,MATCH(1,('Margin Guidence Table'!$A$1:$A$10000=DA30)*('Margin Guidence Table'!$H$1:$H$10000&lt;=ROUND($CS$3,0))*('Margin Guidence Table'!$G$1:$G$10000&gt;=ROUND($CS$3,0)),0),MATCH("CIA_MEDIAN_MARGIN_GUIDENCE",'Margin Guidence Table'!$A$1:$AC$1,0)),INDEX('Margin Guidence Table'!$A$1:$AC$10000,MATCH(1,('Margin Guidence Table'!$A$1:$A$10000=DA30)*('Margin Guidence Table'!$H$1:$H$10000&lt;=ROUND($CS$3,0))*('Margin Guidence Table'!$G$1:$G$10000&gt;=ROUND($CS$3,0)),0),MATCH("DEFAULT_CIA_MEDIAN_MARGIN_GUIDENCE",'Margin Guidence Table'!$A$1:$AC$1,0))),0)</f>
        <v>0</v>
      </c>
      <c r="DL30" s="129"/>
      <c r="DM30" s="18">
        <f t="array" ref="DM30">IFERROR(IF($DY30="SEGMENT",INDEX('Margin Guidence Table'!$A$1:$AC$10000,MATCH(1,('Margin Guidence Table'!$A$1:$A$10000=$DW30)*('Margin Guidence Table'!$H$1:$H$10000&lt;=ROUND($DO$3,0))*('Margin Guidence Table'!$G$1:$G$10000&gt;=ROUND($DO$3,0)),0),MATCH("PCT_SALES",'Margin Guidence Table'!$A$1:$AC$1,0)),INDEX('Margin Guidence Table'!$A$1:$AC$10000,MATCH(1,('Margin Guidence Table'!$A$1:$A$10000=$DW30)*('Margin Guidence Table'!$H$1:$H$10000&lt;=ROUND($DO$3,0))*('Margin Guidence Table'!$G$1:$G$10000&gt;=ROUND($DO$3,0)),0),MATCH("DEFAULT_PCT_SALES",'Margin Guidence Table'!$A$1:$AC$1,0))),0)</f>
        <v>0</v>
      </c>
      <c r="DN30" s="102" t="s">
        <v>89</v>
      </c>
      <c r="DO30" s="94">
        <f>IFERROR(IF(AND($DO$2&lt;&gt;"Enter Spend&gt;&gt;&gt;",DP2="EXISTING"),SUMIFS('Existing Customers'!$Q:$Q,'Existing Customers'!$A:$A,$DO$1,'Existing Customers'!$H:$H,$DN30)*$DO$4,$DO$3*$DM30),0)</f>
        <v>0</v>
      </c>
      <c r="DP30" s="89">
        <f>IFERROR(IF(AND($DO$2&lt;&gt;"Enter Spend&gt;&gt;&gt;",DP2="EXISTING"),SUMIFS('Existing Customers'!$N:$N,'Existing Customers'!$A:$A,$DO$1,'Existing Customers'!$H:$H,$DN30)*$DO$4,$DO30/$DZ30),0)</f>
        <v>0</v>
      </c>
      <c r="DQ30" s="95">
        <f>IFERROR(IF(AND($DO$2&lt;&gt;"Enter Spend&gt;&gt;&gt;",DP2="EXISTING"),SUMIFS('Existing Customers'!$O:$O,'Existing Customers'!$H:$H,$DN30,'Existing Customers'!$A:$A,$DO$1)*$DO$4,$DP30*$DO$8),0)</f>
        <v>0</v>
      </c>
      <c r="DR30" s="95">
        <f>IFERROR(IF(AND($DO$2&lt;&gt;"Enter Spend&gt;&gt;&gt;",DP2="EXISTING"),SUMIFS('Existing Customers'!$P:$P,'Existing Customers'!$A:$A,$DO$1,'Existing Customers'!$H:$H,$DN30)*$DO$4,$DO30/$EA30),0)</f>
        <v>0</v>
      </c>
      <c r="DS30" s="96">
        <f>IFERROR(IF(AND($DO$2&lt;&gt;"Enter Spend&gt;&gt;&gt;",EL2="EXISTING"),SUMIFS('Existing Customers'!$V:$V,'Existing Customers'!$H:$H,$DN30,'Existing Customers'!$A:$A,$DO$1)*$DO$4,0),0)</f>
        <v>0</v>
      </c>
      <c r="DT30" s="96">
        <f>IFERROR(IF(AND($DO$2&lt;&gt;"Enter Spend&gt;&gt;&gt;",DP2="EXISTING"),SUMIFS('Existing Customers'!$R:$R,'Existing Customers'!$H:$H,$DN30,'Existing Customers'!$A:$A,$DO$1)*$DO$4,0),0)</f>
        <v>0</v>
      </c>
      <c r="DU30" s="1161">
        <f>IFERROR(IF(AND($DO$2&lt;&gt;"Enter Spend&gt;&gt;&gt;",DP2="EXISTING"),SUMIFS('Existing Customers'!$S:$S,'Existing Customers'!$H:$H,$DP30,'Existing Customers'!$A:$A,$DO$1),EE30*DO30),0)</f>
        <v>0</v>
      </c>
      <c r="DV30" s="1161">
        <f>IFERROR(IF(AND($DO$2&lt;&gt;"Enter Spend&gt;&gt;&gt;",DP2="EXISTING"),SUMIFS('Existing Customers'!$U:$U,'Existing Customers'!$H:$H,$DN30,'Existing Customers'!$A:$A,$DO$1),EF30*DO30),0)</f>
        <v>0</v>
      </c>
      <c r="DW30" s="1164" t="e">
        <f t="shared" si="30"/>
        <v>#N/A</v>
      </c>
      <c r="DX30" s="1164">
        <f t="array" ref="DX30">IFERROR(INDEX('Margin Guidence Table'!$A$1:$AD$30000,MATCH(1,('Margin Guidence Table'!$A$1:$A$10000=DW30)*('Margin Guidence Table'!$H$1:$H$10000&lt;=ROUND($DO$3,0))*('Margin Guidence Table'!$G$1:$G$10000&gt;=ROUND($DO$3,0)),0),MATCH("DATA_POINTS",'Margin Guidence Table'!$A$1:$AC$1,0)),0)</f>
        <v>0</v>
      </c>
      <c r="DY30" s="1161" t="str">
        <f t="shared" si="31"/>
        <v>DEFAULT</v>
      </c>
      <c r="DZ30" s="1161">
        <f t="array" ref="DZ30">IFERROR(IF($DY30="SEGMENT",INDEX('Margin Guidence Table'!$A$1:$AC$10000,MATCH(1,('Margin Guidence Table'!$A$1:$A$10000=DW30)*('Margin Guidence Table'!$H$1:$H$10000&lt;=ROUND($DO$3,0))*('Margin Guidence Table'!$G$1:$G$10000&gt;=ROUND($DO$3,0)),0),MATCH("SALES_CASE",'Margin Guidence Table'!$A$1:$AC$1,0)),INDEX('Margin Guidence Table'!$A$1:$AC$10000,MATCH(1,('Margin Guidence Table'!$A$1:$A$10000=DW30)*('Margin Guidence Table'!$H$1:$H$10000&lt;=ROUND($DO$3,0))*('Margin Guidence Table'!$G$1:$G$10000&gt;=ROUND($DO$3,0)),0),MATCH("DEFAULT_SALES_CASE",'Margin Guidence Table'!$A$1:$AC$1,0))),0)</f>
        <v>0</v>
      </c>
      <c r="EA30" s="1161">
        <f t="array" ref="EA30">IFERROR(IF($DY30="SEGMENT",INDEX('Margin Guidence Table'!$A$1:$AC$10000,MATCH(1,('Margin Guidence Table'!$A$1:$A$10000=DW30)*('Margin Guidence Table'!$H$1:$H$10000&lt;=ROUND($DO$3,0))*('Margin Guidence Table'!$G$1:$G$10000&gt;=ROUND($DO$3,0)),0),MATCH("SALES_LBS",'Margin Guidence Table'!$A$1:$AC$1,0)),INDEX('Margin Guidence Table'!$A$1:$AC$10000,MATCH(1,('Margin Guidence Table'!$A$1:$A$10000=DW30)*('Margin Guidence Table'!$H$1:$H$10000&lt;=ROUND($DO$3,0))*('Margin Guidence Table'!$G$1:$G$10000&gt;=ROUND($DO$3,0)),0),MATCH("DEFAULT_SALES_LBS",'Margin Guidence Table'!$A$1:$AC$1,0))),0)</f>
        <v>0</v>
      </c>
      <c r="EB30" s="1165">
        <f t="array" ref="EB30">IFERROR(IF($DY30="SEGMENT",INDEX('Margin Guidence Table'!$A$1:$AC$10000,MATCH(1,('Margin Guidence Table'!$A$1:$A$10000=DW30)*('Margin Guidence Table'!$H$1:$H$10000&lt;=ROUND($DO$3,0))*('Margin Guidence Table'!$G$1:$G$10000&gt;=ROUND($DO$3,0)),0),MATCH("MDA_MIN_MARGIN_GUIDENCE",'Margin Guidence Table'!$A$1:$AC$1,0)),INDEX('Margin Guidence Table'!$A$1:$AC$10000,MATCH(1,('Margin Guidence Table'!$A$1:$A$10000=DW30)*('Margin Guidence Table'!$H$1:$H$10000&lt;=ROUND($DO$3,0))*('Margin Guidence Table'!$G$1:$G$10000&gt;=ROUND($DO$3,0)),0),MATCH("DEFAULT_MDA_MIN_MARGIN_GUIDENCE",'Margin Guidence Table'!$A$1:$AC$1,0))),0)</f>
        <v>0</v>
      </c>
      <c r="EC30" s="1165">
        <f t="array" ref="EC30">IFERROR(IF($DY30="SEGMENT",INDEX('Margin Guidence Table'!$A$1:$AC$10000,MATCH(1,('Margin Guidence Table'!$A$1:$A$10000=DW30)*('Margin Guidence Table'!$H$1:$H$10000&lt;=ROUND($DO$3,0))*('Margin Guidence Table'!$G$1:$G$10000&gt;=ROUND($DO$3,0)),0),MATCH("MDA_MEDIAN_MARGIN_GUIDENCE",'Margin Guidence Table'!$A$1:$AC$1,0)),INDEX('Margin Guidence Table'!$A$1:$AC$10000,MATCH(1,('Margin Guidence Table'!$A$1:$A$10000=DW30)*('Margin Guidence Table'!$H$1:$H$10000&lt;=ROUND($DO$3,0))*('Margin Guidence Table'!$G$1:$G$10000&gt;=ROUND($DO$3,0)),0),MATCH("DEFAULT_MDA_MEDIAN_MARGIN_GUIDENCE",'Margin Guidence Table'!$A$1:$AC$1,0))),0)</f>
        <v>0</v>
      </c>
      <c r="ED30" s="1165">
        <f t="array" ref="ED30">IFERROR(IF($DY30="SEGMENT",INDEX('Margin Guidence Table'!$A$1:$AC$10000,MATCH(1,('Margin Guidence Table'!$A$1:$A$10000=DW30)*('Margin Guidence Table'!$H$1:$H$10000&lt;=ROUND($DO$3,0))*('Margin Guidence Table'!$G$1:$G$10000&gt;=ROUND($DO$3,0)),0),MATCH("MDA_MAX_MARGIN_GUIDENCE",'Margin Guidence Table'!$A$1:$AC$1,0)),INDEX('Margin Guidence Table'!$A$1:$AC$10000,MATCH(1,('Margin Guidence Table'!$A$1:$A$10000=DW30)*('Margin Guidence Table'!$H$1:$H$10000&lt;=ROUND($DO$3,0))*('Margin Guidence Table'!$G$1:$G$10000&gt;=ROUND($DO$3,0)),0),MATCH("DEFAULT_MDA_MAX_MARGIN_GUIDENCE",'Margin Guidence Table'!$A$1:$AC$1,0))),0)</f>
        <v>0</v>
      </c>
      <c r="EE30" s="1165">
        <f t="array" ref="EE30">IFERROR(IF($DY30="SEGMENT",INDEX('Margin Guidence Table'!$A$1:$AC$10000,MATCH(1,('Margin Guidence Table'!$A$1:$A$10000=DW30)*('Margin Guidence Table'!$H$1:$H$10000&lt;=ROUND($DO$3,0))*('Margin Guidence Table'!$G$1:$G$10000&gt;=ROUND($DO$3,0)),0),MATCH("PA_PCT_SALES",'Margin Guidence Table'!$A$1:$AC$1,0)),INDEX('Margin Guidence Table'!$A$1:$AC$10000,MATCH(1,('Margin Guidence Table'!$A$1:$A$10000=DW30)*('Margin Guidence Table'!$H$1:$H$10000&lt;=ROUND($DO$3,0))*('Margin Guidence Table'!$G$1:$G$10000&gt;=ROUND($DO$3,0)),0),MATCH("DEFAULT_PA_PCT_SALES",'Margin Guidence Table'!$A$1:$AC$1,0))),0)</f>
        <v>0</v>
      </c>
      <c r="EF30" s="1165">
        <f t="array" ref="EF30">IFERROR(IF($DY30="SEGMENT",INDEX('Margin Guidence Table'!$A$1:$AC$10000,MATCH(1,('Margin Guidence Table'!$A$1:$A$10000=DW30)*('Margin Guidence Table'!$H$1:$H$10000&lt;=ROUND($DO$3,0))*('Margin Guidence Table'!$G$1:$G$10000&gt;=ROUND($DO$3,0)),0),MATCH("SELF_FUND_PCT_SALES",'Margin Guidence Table'!$A$1:$AC$1,0)),INDEX('Margin Guidence Table'!$A$1:$AC$10000,MATCH(1,('Margin Guidence Table'!$A$1:$A$10000=DW30)*('Margin Guidence Table'!$H$1:$H$10000&lt;=ROUND($DO$3,0))*('Margin Guidence Table'!$G$1:$G$10000&gt;=ROUND($DO$3,0)),0),MATCH("DEFAULT_SELF_FUND_PCT_SALES",'Margin Guidence Table'!$A$1:$AC$1,0))),0)</f>
        <v>0</v>
      </c>
      <c r="EG30" s="1165">
        <f t="array" ref="EG30">IFERROR(IF($DY30="SEGMENT",INDEX('Margin Guidence Table'!$A$1:$AC$10000,MATCH(1,('Margin Guidence Table'!$A$1:$A$10000=DW30)*('Margin Guidence Table'!$H$1:$H$10000&lt;=ROUND($DO$3,0))*('Margin Guidence Table'!$G$1:$G$10000&gt;=ROUND($DO$3,0)),0),MATCH("CIA_MEDIAN_MARGIN_GUIDENCE",'Margin Guidence Table'!$A$1:$AC$1,0)),INDEX('Margin Guidence Table'!$A$1:$AC$10000,MATCH(1,('Margin Guidence Table'!$A$1:$A$10000=DW30)*('Margin Guidence Table'!$H$1:$H$10000&lt;=ROUND($DO$3,0))*('Margin Guidence Table'!$G$1:$G$10000&gt;=ROUND($DO$3,0)),0),MATCH("DEFAULT_CIA_MEDIAN_MARGIN_GUIDENCE",'Margin Guidence Table'!$A$1:$AC$1,0))),0)</f>
        <v>0</v>
      </c>
      <c r="EH30" s="129"/>
      <c r="EI30" s="18">
        <f t="array" ref="EI30">IFERROR(IF($EU30="SEGMENT",INDEX('Margin Guidence Table'!$A$1:$AC$10000,MATCH(1,('Margin Guidence Table'!$A$1:$A$10000=$ES30)*('Margin Guidence Table'!$H$1:$H$10000&lt;=ROUND($EK$3,0))*('Margin Guidence Table'!$G$1:$G$10000&gt;=ROUND($EK$3,0)),0),MATCH("PCT_SALES",'Margin Guidence Table'!$A$1:$AC$1,0)),INDEX('Margin Guidence Table'!$A$1:$AC$10000,MATCH(1,('Margin Guidence Table'!$A$1:$A$10000=$ES30)*('Margin Guidence Table'!$H$1:$H$10000&lt;=ROUND($EK$3,0))*('Margin Guidence Table'!$G$1:$G$10000&gt;=ROUND($EK$3,0)),0),MATCH("DEFAULT_PCT_SALES",'Margin Guidence Table'!$A$1:$AC$1,0))),0)</f>
        <v>0</v>
      </c>
      <c r="EJ30" s="102" t="s">
        <v>89</v>
      </c>
      <c r="EK30" s="94">
        <f>IFERROR(IF(AND($EK$2&lt;&gt;"Enter Spend&gt;&gt;&gt;",EL2="EXISTING"),SUMIFS('Existing Customers'!$Q:$Q,'Existing Customers'!$A:$A,$EK$1,'Existing Customers'!$H:$H,$EJ30)*$EK$4,$EK$3*$EI30),0)</f>
        <v>0</v>
      </c>
      <c r="EL30" s="89">
        <f>IFERROR(IF(AND($EK$2&lt;&gt;"Enter Spend&gt;&gt;&gt;",EL2="EXISTING"),SUMIFS('Existing Customers'!$N:$N,'Existing Customers'!$A:$A,$EK$1,'Existing Customers'!$H:$H,$EJ30)*$EK$4,$EK30/$EV30),0)</f>
        <v>0</v>
      </c>
      <c r="EM30" s="95">
        <f>IFERROR(IF(AND($EK$2&lt;&gt;"Enter Spend&gt;&gt;&gt;",EL2="EXISTING"),SUMIFS('Existing Customers'!$O:$O,'Existing Customers'!$H:$H,$EJ30,'Existing Customers'!$A:$A,$EK$1)*$EK$4,$EL30*$EK$8),0)</f>
        <v>0</v>
      </c>
      <c r="EN30" s="95">
        <f>IFERROR(IF(AND($EK$2&lt;&gt;"Enter Spend&gt;&gt;&gt;",EL2="EXISTING"),SUMIFS('Existing Customers'!$P:$P,'Existing Customers'!$A:$A,$EK$1,'Existing Customers'!$H:$H,$EJ30)*$EK$4,$EK30/$EW30),0)</f>
        <v>0</v>
      </c>
      <c r="EO30" s="96">
        <f>IFERROR(IF(AND($EK$2&lt;&gt;"Enter Spend&gt;&gt;&gt;",EL2="EXISTING"),SUMIFS('Existing Customers'!$V:$V,'Existing Customers'!$H:$H,$EJ30,'Existing Customers'!$A:$A,$EK$1)*$EK$4,0),0)</f>
        <v>0</v>
      </c>
      <c r="EP30" s="96">
        <f>IFERROR(IF(AND($EK$2&lt;&gt;"Enter Spend&gt;&gt;&gt;",EL2="EXISTING"),SUMIFS('Existing Customers'!$R:$R,'Existing Customers'!$H:$H,$EJ30,'Existing Customers'!$A:$A,$EK$1)*$EK$4,0),0)</f>
        <v>0</v>
      </c>
      <c r="EQ30" s="1161">
        <f>IFERROR(IF(AND($EK$2&lt;&gt;"Enter Spend&gt;&gt;&gt;",EL2="EXISTING"),SUMIFS('Existing Customers'!$S:$S,'Existing Customers'!$H:$H,$EJ30,'Existing Customers'!$A:$A,$EK$1),FA30*EK30),0)</f>
        <v>0</v>
      </c>
      <c r="ER30" s="1161">
        <f>IFERROR(IF(AND($EK$2&lt;&gt;"Enter Spend&gt;&gt;&gt;",EL2="EXISTING"),SUMIFS('Existing Customers'!$U:$U,'Existing Customers'!$H:$H,$EJ30,'Existing Customers'!$A:$A,$EK$1),FB30*EK30),0)</f>
        <v>0</v>
      </c>
      <c r="ES30" s="1164" t="e">
        <f t="shared" si="32"/>
        <v>#N/A</v>
      </c>
      <c r="ET30" s="1164">
        <f t="array" ref="ET30">IFERROR(INDEX('Margin Guidence Table'!$A$1:$AD$30000,MATCH(1,('Margin Guidence Table'!$A$1:$A$10000=ES30)*('Margin Guidence Table'!$H$1:$H$10000&lt;=ROUND($EK$3,0))*('Margin Guidence Table'!$G$1:$G$10000&gt;=ROUND($EK$3,0)),0),MATCH("DATA_POINTS",'Margin Guidence Table'!$A$1:$AC$1,0)),0)</f>
        <v>0</v>
      </c>
      <c r="EU30" s="1161" t="str">
        <f t="shared" si="33"/>
        <v>DEFAULT</v>
      </c>
      <c r="EV30" s="1161">
        <f t="array" ref="EV30">IFERROR(IF($EU30="SEGMENT",INDEX('Margin Guidence Table'!$A$1:$AC$10000,MATCH(1,('Margin Guidence Table'!$A$1:$A$10000=ES30)*('Margin Guidence Table'!$H$1:$H$10000&lt;=ROUND($EK$3,0))*('Margin Guidence Table'!$G$1:$G$10000&gt;=ROUND($EK$3,0)),0),MATCH("SALES_CASE",'Margin Guidence Table'!$A$1:$AC$1,0)),INDEX('Margin Guidence Table'!$A$1:$AC$10000,MATCH(1,('Margin Guidence Table'!$A$1:$A$10000=ES30)*('Margin Guidence Table'!$H$1:$H$10000&lt;=ROUND($EK$3,0))*('Margin Guidence Table'!$G$1:$G$10000&gt;=ROUND($EK$3,0)),0),MATCH("DEFAULT_SALES_CASE",'Margin Guidence Table'!$A$1:$AC$1,0))),0)</f>
        <v>0</v>
      </c>
      <c r="EW30" s="1161" cm="1">
        <f t="array" ref="EW30">IFERROR(IF($EU30="SEGMENT",INDEX('Margin Guidence Table'!$A$1:$AC$10000,MATCH(1,('Margin Guidence Table'!$A$1:$A$10000=ES30)*('Margin Guidence Table'!$H$1:$H$10000&lt;=ROUND($EK$3,0))*('Margin Guidence Table'!$G$1:$G$10000&gt;=ROUND($EK$3,0)),0),MATCH("SALES_LBS",'Margin Guidence Table'!$A$1:$AC$1,0)),INDEX('Margin Guidence Table'!$A$1:$AC$10000,MATCH(1,('Margin Guidence Table'!$A$1:$A$10000=ES30)*('Margin Guidence Table'!$H$1:$H$10000&lt;=ROUND($EK$3,0))*('Margin Guidence Table'!$G$1:$G$10000&gt;=ROUND($EK$3,0)),0),MATCH("DEFAULT_SALES_LBS",'Margin Guidence Table'!$A$1:$AC$1,0))),0)</f>
        <v>0</v>
      </c>
      <c r="EX30" s="1165">
        <f t="array" ref="EX30">IFERROR(IF($EU30="SEGMENT",INDEX('Margin Guidence Table'!$A$1:$AC$10000,MATCH(1,('Margin Guidence Table'!$A$1:$A$10000=ES30)*('Margin Guidence Table'!$H$1:$H$10000&lt;=ROUND($EK$3,0))*('Margin Guidence Table'!$G$1:$G$10000&gt;=ROUND($EK$3,0)),0),MATCH("MDA_MIN_MARGIN_GUIDENCE",'Margin Guidence Table'!$A$1:$AC$1,0)),INDEX('Margin Guidence Table'!$A$1:$AC$10000,MATCH(1,('Margin Guidence Table'!$A$1:$A$10000=ES30)*('Margin Guidence Table'!$H$1:$H$10000&lt;=ROUND($EK$3,0))*('Margin Guidence Table'!$G$1:$G$10000&gt;=ROUND($EK$3,0)),0),MATCH("DEFAULT_MDA_MIN_MARGIN_GUIDENCE",'Margin Guidence Table'!$A$1:$AC$1,0))),0)</f>
        <v>0</v>
      </c>
      <c r="EY30" s="1165">
        <f t="array" ref="EY30">IFERROR(IF($EU30="SEGMENT",INDEX('Margin Guidence Table'!$A$1:$AC$10000,MATCH(1,('Margin Guidence Table'!$A$1:$A$10000=ES30)*('Margin Guidence Table'!$H$1:$H$10000&lt;=ROUND($EK$3,0))*('Margin Guidence Table'!$G$1:$G$10000&gt;=ROUND($EK$3,0)),0),MATCH("MDA_MEDIAN_MARGIN_GUIDENCE",'Margin Guidence Table'!$A$1:$AC$1,0)),INDEX('Margin Guidence Table'!$A$1:$AC$10000,MATCH(1,('Margin Guidence Table'!$A$1:$A$10000=ES30)*('Margin Guidence Table'!$H$1:$H$10000&lt;=ROUND($EK$3,0))*('Margin Guidence Table'!$G$1:$G$10000&gt;=ROUND($EK$3,0)),0),MATCH("DEFAULT_MDA_MEDIAN_MARGIN_GUIDENCE",'Margin Guidence Table'!$A$1:$AC$1,0))),0)</f>
        <v>0</v>
      </c>
      <c r="EZ30" s="1165">
        <f t="array" ref="EZ30">IFERROR(IF($EU30="SEGMENT",INDEX('Margin Guidence Table'!$A$1:$AC$10000,MATCH(1,('Margin Guidence Table'!$A$1:$A$10000=ES30)*('Margin Guidence Table'!$H$1:$H$10000&lt;=ROUND($EK$3,0))*('Margin Guidence Table'!$G$1:$G$10000&gt;=ROUND($EK$3,0)),0),MATCH("MDA_MAX_MARGIN_GUIDENCE",'Margin Guidence Table'!$A$1:$AC$1,0)),INDEX('Margin Guidence Table'!$A$1:$AC$10000,MATCH(1,('Margin Guidence Table'!$A$1:$A$10000=ES30)*('Margin Guidence Table'!$H$1:$H$10000&lt;=ROUND($EK$3,0))*('Margin Guidence Table'!$G$1:$G$10000&gt;=ROUND($EK$3,0)),0),MATCH("DEFAULT_MDA_MAX_MARGIN_GUIDENCE",'Margin Guidence Table'!$A$1:$AC$1,0))),0)</f>
        <v>0</v>
      </c>
      <c r="FA30" s="1165">
        <f t="array" ref="FA30">IFERROR(IF($EU30="SEGMENT",INDEX('Margin Guidence Table'!$A$1:$AC$10000,MATCH(1,('Margin Guidence Table'!$A$1:$A$10000=ES30)*('Margin Guidence Table'!$H$1:$H$10000&lt;=ROUND($EK$3,0))*('Margin Guidence Table'!$G$1:$G$10000&gt;=ROUND($EK$3,0)),0),MATCH("PA_PCT_SALES",'Margin Guidence Table'!$A$1:$AC$1,0)),INDEX('Margin Guidence Table'!$A$1:$AC$10000,MATCH(1,('Margin Guidence Table'!$A$1:$A$10000=ES30)*('Margin Guidence Table'!$H$1:$H$10000&lt;=ROUND($EK$3,0))*('Margin Guidence Table'!$G$1:$G$10000&gt;=ROUND($EK$3,0)),0),MATCH("DEFAULT_PA_PCT_SALES",'Margin Guidence Table'!$A$1:$AC$1,0))),0)</f>
        <v>0</v>
      </c>
      <c r="FB30" s="1165">
        <f t="array" ref="FB30">IFERROR(IF($EU30="SEGMENT",INDEX('Margin Guidence Table'!$A$1:$AC$10000,MATCH(1,('Margin Guidence Table'!$A$1:$A$10000=ES30)*('Margin Guidence Table'!$H$1:$H$10000&lt;=ROUND($EK$3,0))*('Margin Guidence Table'!$G$1:$G$10000&gt;=ROUND($EK$3,0)),0),MATCH("SELF_FUND_PCT_SALES",'Margin Guidence Table'!$A$1:$AC$1,0)),INDEX('Margin Guidence Table'!$A$1:$AC$10000,MATCH(1,('Margin Guidence Table'!$A$1:$A$10000=ES30)*('Margin Guidence Table'!$H$1:$H$10000&lt;=ROUND($EK$3,0))*('Margin Guidence Table'!$G$1:$G$10000&gt;=ROUND($EK$3,0)),0),MATCH("DEFAULT_SELF_FUND_PCT_SALES",'Margin Guidence Table'!$A$1:$AC$1,0))),0)</f>
        <v>0</v>
      </c>
      <c r="FC30" s="1165">
        <f t="array" ref="FC30">IFERROR(IF($EU30="SEGMENT",INDEX('Margin Guidence Table'!$A$1:$AC$10000,MATCH(1,('Margin Guidence Table'!$A$1:$A$10000=ES30)*('Margin Guidence Table'!$H$1:$H$10000&lt;=ROUND($EK$3,0))*('Margin Guidence Table'!$G$1:$G$10000&gt;=ROUND($EK$3,0)),0),MATCH("CIA_MEDIAN_MARGIN_GUIDENCE",'Margin Guidence Table'!$A$1:$AC$1,0)),INDEX('Margin Guidence Table'!$A$1:$AC$10000,MATCH(1,('Margin Guidence Table'!$A$1:$A$10000=ES30)*('Margin Guidence Table'!$H$1:$H$10000&lt;=ROUND($EK$3,0))*('Margin Guidence Table'!$G$1:$G$10000&gt;=ROUND($EK$3,0)),0),MATCH("DEFAULT_CIA_MEDIAN_MARGIN_GUIDENCE",'Margin Guidence Table'!$A$1:$AC$1,0))),0)</f>
        <v>0</v>
      </c>
      <c r="FD30" s="129"/>
      <c r="FE30" s="18">
        <f t="array" ref="FE30">IFERROR(IF($FQ30="SEGMENT",INDEX('Margin Guidence Table'!$A$1:$AC$10000,MATCH(1,('Margin Guidence Table'!$A$1:$A$10000=$FO30)*('Margin Guidence Table'!$H$1:$H$10000&lt;=ROUND($FG$3,0))*('Margin Guidence Table'!$G$1:$G$10000&gt;=ROUND($FG$3,0)),0),MATCH("PCT_SALES",'Margin Guidence Table'!$A$1:$AC$1,0)),INDEX('Margin Guidence Table'!$A$1:$AC$10000,MATCH(1,('Margin Guidence Table'!$A$1:$A$10000=$FO30)*('Margin Guidence Table'!$H$1:$H$10000&lt;=ROUND($FG$3,0))*('Margin Guidence Table'!$G$1:$G$10000&gt;=ROUND($FG$3,0)),0),MATCH("DEFAULT_PCT_SALES",'Margin Guidence Table'!$A$1:$AC$1,0))),0)</f>
        <v>0</v>
      </c>
      <c r="FF30" s="102" t="s">
        <v>89</v>
      </c>
      <c r="FG30" s="94">
        <f>IFERROR(IF(AND($FG$2&lt;&gt;"Enter Spend&gt;&gt;&gt;",FH2="EXISTING"),SUMIFS('Existing Customers'!$Q:$Q,'Existing Customers'!$A:$A,$FG$1,'Existing Customers'!$H:$H,$FF30)*$FG$4,$FG$3*$FE30),0)</f>
        <v>0</v>
      </c>
      <c r="FH30" s="89">
        <f>IFERROR(IF(AND($FG$2&lt;&gt;"Enter Spend&gt;&gt;&gt;",FH2="EXISTING"),SUMIFS('Existing Customers'!$N:$N,'Existing Customers'!$A:$A,$FG$1,'Existing Customers'!$H:$H,$FF30)*$FG$4,$FG30/$FR30),0)</f>
        <v>0</v>
      </c>
      <c r="FI30" s="95">
        <f>IFERROR(IF(AND($FG$2&lt;&gt;"Enter Spend&gt;&gt;&gt;",FH2="EXISTING"),SUMIFS('Existing Customers'!$O:$O,'Existing Customers'!$H:$H,$FF30,'Existing Customers'!$A:$A,$FG$1)*$FG$4,$FH30*$FG$8),0)</f>
        <v>0</v>
      </c>
      <c r="FJ30" s="95">
        <f>IFERROR(IF(AND($FG$2&lt;&gt;"Enter Spend&gt;&gt;&gt;",FH2="EXISTING"),SUMIFS('Existing Customers'!$P:$P,'Existing Customers'!$A:$A,$FG$1,'Existing Customers'!$H:$H,$FF30)*$FG$4,$FG30/$FS30),0)</f>
        <v>0</v>
      </c>
      <c r="FK30" s="96">
        <f>IFERROR(IF(AND($FG$2&lt;&gt;"Enter Spend&gt;&gt;&gt;",FH2="EXISTING"),SUMIFS('Existing Customers'!$V:$V,'Existing Customers'!$H:$H,$FF30,'Existing Customers'!$A:$A,$FG$1)*$FG$4,0),0)</f>
        <v>0</v>
      </c>
      <c r="FL30" s="96">
        <f>IFERROR(IF(AND($FG$2&lt;&gt;"Enter Spend&gt;&gt;&gt;",FH2="EXISTING"),SUMIFS('Existing Customers'!$R:$R,'Existing Customers'!$H:$H,$FF30,'Existing Customers'!$A:$A,$FG$1)*$FG$4,0),0)</f>
        <v>0</v>
      </c>
      <c r="FM30" s="1161">
        <f>IFERROR(IF(AND($FG$2&lt;&gt;"Enter Spend&gt;&gt;&gt;",FH2="EXISTING"),SUMIFS('Existing Customers'!$S:$S,'Existing Customers'!$H:$H,$FF30,'Existing Customers'!$A:$A,$FG$1),FW30*FG30),0)</f>
        <v>0</v>
      </c>
      <c r="FN30" s="1161">
        <f>IFERROR(IF(AND($FG$2&lt;&gt;"Enter Spend&gt;&gt;&gt;",FH2="EXISTING"),SUMIFS('Existing Customers'!$U:$U,'Existing Customers'!$H:$H,$FF30,'Existing Customers'!$A:$A,$FG$1),FX30*FG30),0)</f>
        <v>0</v>
      </c>
      <c r="FO30" s="1164" t="e">
        <f t="shared" si="34"/>
        <v>#N/A</v>
      </c>
      <c r="FP30" s="1164">
        <f t="array" ref="FP30">IFERROR(INDEX('Margin Guidence Table'!$A$1:$AD$30000,MATCH(1,('Margin Guidence Table'!$A$1:$A$10000=FO30)*('Margin Guidence Table'!$H$1:$H$10000&lt;=ROUND($FG$3,0))*('Margin Guidence Table'!$G$1:$G$10000&gt;=ROUND($FG$3,0)),0),MATCH("DATA_POINTS",'Margin Guidence Table'!$A$1:$AC$1,0)),0)</f>
        <v>0</v>
      </c>
      <c r="FQ30" s="1161" t="str">
        <f t="shared" si="35"/>
        <v>DEFAULT</v>
      </c>
      <c r="FR30" s="1161">
        <f t="array" ref="FR30">IFERROR(IF($FQ30="SEGMENT",INDEX('Margin Guidence Table'!$A$1:$AC$10000,MATCH(1,('Margin Guidence Table'!$A$1:$A$10000=FO30)*('Margin Guidence Table'!$H$1:$H$10000&lt;=ROUND($FG$3,0))*('Margin Guidence Table'!$G$1:$G$10000&gt;=ROUND($FG$3,0)),0),MATCH("SALES_CASE",'Margin Guidence Table'!$A$1:$AC$1,0)),INDEX('Margin Guidence Table'!$A$1:$AC$10000,MATCH(1,('Margin Guidence Table'!$A$1:$A$10000=FO30)*('Margin Guidence Table'!$H$1:$H$10000&lt;=ROUND($FG$3,0))*('Margin Guidence Table'!$G$1:$G$10000&gt;=ROUND($FG$3,0)),0),MATCH("DEFAULT_SALES_CASE",'Margin Guidence Table'!$A$1:$AC$1,0))),0)</f>
        <v>0</v>
      </c>
      <c r="FS30" s="1161">
        <f t="array" ref="FS30">IFERROR(IF($FQ30="SEGMENT",INDEX('Margin Guidence Table'!$A$1:$AC$10000,MATCH(1,('Margin Guidence Table'!$A$1:$A$10000=FO30)*('Margin Guidence Table'!$H$1:$H$10000&lt;=ROUND($FG$3,0))*('Margin Guidence Table'!$G$1:$G$10000&gt;=ROUND($FG$3,0)),0),MATCH("SALES_LBS",'Margin Guidence Table'!$A$1:$AC$1,0)),INDEX('Margin Guidence Table'!$A$1:$AC$10000,MATCH(1,('Margin Guidence Table'!$A$1:$A$10000=FO30)*('Margin Guidence Table'!$H$1:$H$10000&lt;=ROUND($FG$3,0))*('Margin Guidence Table'!$G$1:$G$10000&gt;=ROUND($FG$3,0)),0),MATCH("DEFAULT_SALES_LBS",'Margin Guidence Table'!$A$1:$AC$1,0))),0)</f>
        <v>0</v>
      </c>
      <c r="FT30" s="1165">
        <f t="array" ref="FT30">IFERROR(IF($FQ30="SEGMENT",INDEX('Margin Guidence Table'!$A$1:$AC$10000,MATCH(1,('Margin Guidence Table'!$A$1:$A$10000=FO30)*('Margin Guidence Table'!$H$1:$H$10000&lt;=ROUND($FG$3,0))*('Margin Guidence Table'!$G$1:$G$10000&gt;=ROUND($FG$3,0)),0),MATCH("MDA_MIN_MARGIN_GUIDENCE",'Margin Guidence Table'!$A$1:$AC$1,0)),INDEX('Margin Guidence Table'!$A$1:$AC$10000,MATCH(1,('Margin Guidence Table'!$A$1:$A$10000=FO30)*('Margin Guidence Table'!$H$1:$H$10000&lt;=ROUND($FG$3,0))*('Margin Guidence Table'!$G$1:$G$10000&gt;=ROUND($FG$3,0)),0),MATCH("DEFAULT_MDA_MIN_MARGIN_GUIDENCE",'Margin Guidence Table'!$A$1:$AC$1,0))),0)</f>
        <v>0</v>
      </c>
      <c r="FU30" s="1165">
        <f t="array" ref="FU30">IFERROR(IF($FQ30="SEGMENT",INDEX('Margin Guidence Table'!$A$1:$AC$10000,MATCH(1,('Margin Guidence Table'!$A$1:$A$10000=FO30)*('Margin Guidence Table'!$H$1:$H$10000&lt;=ROUND($FG$3,0))*('Margin Guidence Table'!$G$1:$G$10000&gt;=ROUND($FG$3,0)),0),MATCH("MDA_MEDIAN_MARGIN_GUIDENCE",'Margin Guidence Table'!$A$1:$AC$1,0)),INDEX('Margin Guidence Table'!$A$1:$AC$10000,MATCH(1,('Margin Guidence Table'!$A$1:$A$10000=FO30)*('Margin Guidence Table'!$H$1:$H$10000&lt;=ROUND($FG$3,0))*('Margin Guidence Table'!$G$1:$G$10000&gt;=ROUND($FG$3,0)),0),MATCH("DEFAULT_MDA_MEDIAN_MARGIN_GUIDENCE",'Margin Guidence Table'!$A$1:$AC$1,0))),0)</f>
        <v>0</v>
      </c>
      <c r="FV30" s="1165">
        <f t="array" ref="FV30">IFERROR(IF($FQ30="SEGMENT",INDEX('Margin Guidence Table'!$A$1:$AC$10000,MATCH(1,('Margin Guidence Table'!$A$1:$A$10000=FO30)*('Margin Guidence Table'!$H$1:$H$10000&lt;=ROUND($FG$3,0))*('Margin Guidence Table'!$G$1:$G$10000&gt;=ROUND($FG$3,0)),0),MATCH("MDA_MAX_MARGIN_GUIDENCE",'Margin Guidence Table'!$A$1:$AC$1,0)),INDEX('Margin Guidence Table'!$A$1:$AC$10000,MATCH(1,('Margin Guidence Table'!$A$1:$A$10000=FO30)*('Margin Guidence Table'!$H$1:$H$10000&lt;=ROUND($FG$3,0))*('Margin Guidence Table'!$G$1:$G$10000&gt;=ROUND($FG$3,0)),0),MATCH("DEFAULT_MDA_MAX_MARGIN_GUIDENCE",'Margin Guidence Table'!$A$1:$AC$1,0))),0)</f>
        <v>0</v>
      </c>
      <c r="FW30" s="1165">
        <f t="array" ref="FW30">IFERROR(IF($FQ30="SEGMENT",INDEX('Margin Guidence Table'!$A$1:$AC$10000,MATCH(1,('Margin Guidence Table'!$A$1:$A$10000=FO30)*('Margin Guidence Table'!$H$1:$H$10000&lt;=ROUND($FG$3,0))*('Margin Guidence Table'!$G$1:$G$10000&gt;=ROUND($FG$3,0)),0),MATCH("PA_PCT_SALES",'Margin Guidence Table'!$A$1:$AC$1,0)),INDEX('Margin Guidence Table'!$A$1:$AC$10000,MATCH(1,('Margin Guidence Table'!$A$1:$A$10000=FO30)*('Margin Guidence Table'!$H$1:$H$10000&lt;=ROUND($FG$3,0))*('Margin Guidence Table'!$G$1:$G$10000&gt;=ROUND($FG$3,0)),0),MATCH("DEFAULT_PA_PCT_SALES",'Margin Guidence Table'!$A$1:$AC$1,0))),0)</f>
        <v>0</v>
      </c>
      <c r="FX30" s="1165">
        <f t="array" ref="FX30">IFERROR(IF($FQ30="SEGMENT",INDEX('Margin Guidence Table'!$A$1:$AC$10000,MATCH(1,('Margin Guidence Table'!$A$1:$A$10000=FO30)*('Margin Guidence Table'!$H$1:$H$10000&lt;=ROUND($FG$3,0))*('Margin Guidence Table'!$G$1:$G$10000&gt;=ROUND($FG$3,0)),0),MATCH("SELF_FUND_PCT_SALES",'Margin Guidence Table'!$A$1:$AC$1,0)),INDEX('Margin Guidence Table'!$A$1:$AC$10000,MATCH(1,('Margin Guidence Table'!$A$1:$A$10000=FO30)*('Margin Guidence Table'!$H$1:$H$10000&lt;=ROUND($FG$3,0))*('Margin Guidence Table'!$G$1:$G$10000&gt;=ROUND($FG$3,0)),0),MATCH("DEFAULT_SELF_FUND_PCT_SALES",'Margin Guidence Table'!$A$1:$AC$1,0))),0)</f>
        <v>0</v>
      </c>
      <c r="FY30" s="1165">
        <f t="array" ref="FY30">IFERROR(IF($FQ30="SEGMENT",INDEX('Margin Guidence Table'!$A$1:$AC$10000,MATCH(1,('Margin Guidence Table'!$A$1:$A$10000=FO30)*('Margin Guidence Table'!$H$1:$H$10000&lt;=ROUND($FG$3,0))*('Margin Guidence Table'!$G$1:$G$10000&gt;=ROUND($FG$3,0)),0),MATCH("CIA_MEDIAN_MARGIN_GUIDENCE",'Margin Guidence Table'!$A$1:$AC$1,0)),INDEX('Margin Guidence Table'!$A$1:$AC$10000,MATCH(1,('Margin Guidence Table'!$A$1:$A$10000=FO30)*('Margin Guidence Table'!$H$1:$H$10000&lt;=ROUND($FG$3,0))*('Margin Guidence Table'!$G$1:$G$10000&gt;=ROUND($FG$3,0)),0),MATCH("DEFAULT_CIA_MEDIAN_MARGIN_GUIDENCE",'Margin Guidence Table'!$A$1:$AC$1,0))),0)</f>
        <v>0</v>
      </c>
      <c r="FZ30" s="129"/>
      <c r="GA30" s="18">
        <f t="array" ref="GA30">IFERROR(IF($GM30="SEGMENT",INDEX('Margin Guidence Table'!$A$1:$AC$10000,MATCH(1,('Margin Guidence Table'!$A$1:$A$10000=$GK30)*('Margin Guidence Table'!$H$1:$H$10000&lt;=ROUND($GC$3,0))*('Margin Guidence Table'!$G$1:$G$10000&gt;=ROUND($GC$3,0)),0),MATCH("PCT_SALES",'Margin Guidence Table'!$A$1:$AC$1,0)),INDEX('Margin Guidence Table'!$A$1:$AC$10000,MATCH(1,('Margin Guidence Table'!$A$1:$A$10000=$GK30)*('Margin Guidence Table'!$H$1:$H$10000&lt;=ROUND($GC$3,0))*('Margin Guidence Table'!$G$1:$G$10000&gt;=ROUND($GC$3,0)),0),MATCH("DEFAULT_PCT_SALES",'Margin Guidence Table'!$A$1:$AC$1,0))),0)</f>
        <v>0</v>
      </c>
      <c r="GB30" s="102" t="s">
        <v>89</v>
      </c>
      <c r="GC30" s="94">
        <f>IFERROR(IF(AND($GC$2&lt;&gt;"Enter Spend&gt;&gt;&gt;",GD2="EXISTING"),SUMIFS('Existing Customers'!$Q:$Q,'Existing Customers'!$A:$A,$GC$1,'Existing Customers'!$H:$H,$GB30)*$GC$4,$GC$3*$GA30),0)</f>
        <v>0</v>
      </c>
      <c r="GD30" s="89">
        <f>IFERROR(IF(AND($GC$2&lt;&gt;"Enter Spend&gt;&gt;&gt;",GD2="EXISTING"),SUMIFS('Existing Customers'!$N:$N,'Existing Customers'!$A:$A,$GC$1,'Existing Customers'!$H:$H,$GB30)*$GC$4,$GC30/$GN30),0)</f>
        <v>0</v>
      </c>
      <c r="GE30" s="95">
        <f>IFERROR(IF(AND($GC$2&lt;&gt;"Enter Spend&gt;&gt;&gt;",GD2="EXISTING"),SUMIFS('Existing Customers'!$O:$O,'Existing Customers'!$H:$H,$GB30,'Existing Customers'!$A:$A,$GC$1)*$GC$4,$GD30*$GC$8),0)</f>
        <v>0</v>
      </c>
      <c r="GF30" s="95">
        <f>IFERROR(IF(AND($GC$2&lt;&gt;"Enter Spend&gt;&gt;&gt;",GD2="EXISTING"),SUMIFS('Existing Customers'!$P:$P,'Existing Customers'!$A:$A,$GC$1,'Existing Customers'!$H:$H,$GB30)*$GC$4,$GC30/$GO30),0)</f>
        <v>0</v>
      </c>
      <c r="GG30" s="96">
        <f>IFERROR(IF(AND($GC$2&lt;&gt;"Enter Spend&gt;&gt;&gt;",GD2="EXISTING"),SUMIFS('Existing Customers'!$V:$V,'Existing Customers'!$H:$H,$GB30,'Existing Customers'!$A:$A,$GC$1)*$GC$4,0),0)</f>
        <v>0</v>
      </c>
      <c r="GH30" s="96">
        <f>IFERROR(IF(AND($GC$2&lt;&gt;"Enter Spend&gt;&gt;&gt;",GD2="EXISTING"),SUMIFS('Existing Customers'!$R:$R,'Existing Customers'!$H:$H,$GB30,'Existing Customers'!$A:$A,$GC$1)*$GC$4,0),0)</f>
        <v>0</v>
      </c>
      <c r="GI30" s="1161">
        <f>IFERROR(IF(AND($GC$2&lt;&gt;"Enter Spend&gt;&gt;&gt;",GD2="EXISTING"),SUMIFS('Existing Customers'!$S:$S,'Existing Customers'!$H:$H,$GB30,'Existing Customers'!$A:$A,$GC$1),GS30*GC30),0)</f>
        <v>0</v>
      </c>
      <c r="GJ30" s="1161">
        <f>IFERROR(IF(AND($GC$2&lt;&gt;"Enter Spend&gt;&gt;&gt;",GD2="EXISTING"),SUMIFS('Existing Customers'!$U:$U,'Existing Customers'!$H:$H,$GB30,'Existing Customers'!$A:$A,$GC$1),GT30*GC30),0)</f>
        <v>0</v>
      </c>
      <c r="GK30" s="1164" t="e">
        <f t="shared" si="36"/>
        <v>#N/A</v>
      </c>
      <c r="GL30" s="1164">
        <f t="array" ref="GL30">IFERROR(INDEX('Margin Guidence Table'!$A$1:$AD$30000,MATCH(1,('Margin Guidence Table'!$A$1:$A$10000=GK30)*('Margin Guidence Table'!$H$1:$H$10000&lt;=ROUND($GC$3,0))*('Margin Guidence Table'!$G$1:$G$10000&gt;=ROUND($GC$3,0)),0),MATCH("DATA_POINTS",'Margin Guidence Table'!$A$1:$AC$1,0)),0)</f>
        <v>0</v>
      </c>
      <c r="GM30" s="1161" t="str">
        <f t="shared" si="37"/>
        <v>DEFAULT</v>
      </c>
      <c r="GN30" s="1161">
        <f t="array" ref="GN30">IFERROR(IF($GM30="SEGMENT",INDEX('Margin Guidence Table'!$A$1:$AC$10000,MATCH(1,('Margin Guidence Table'!$A$1:$A$10000=GK30)*('Margin Guidence Table'!$H$1:$H$10000&lt;=ROUND($GC$3,0))*('Margin Guidence Table'!$G$1:$G$10000&gt;=ROUND($GC$3,0)),0),MATCH("SALES_CASE",'Margin Guidence Table'!$A$1:$AC$1,0)),INDEX('Margin Guidence Table'!$A$1:$AC$10000,MATCH(1,('Margin Guidence Table'!$A$1:$A$10000=GK30)*('Margin Guidence Table'!$H$1:$H$10000&lt;=ROUND($GC$3,0))*('Margin Guidence Table'!$G$1:$G$10000&gt;=ROUND($GC$3,0)),0),MATCH("DEFAULT_SALES_CASE",'Margin Guidence Table'!$A$1:$AC$1,0))),0)</f>
        <v>0</v>
      </c>
      <c r="GO30" s="1161">
        <f t="array" ref="GO30">IFERROR(IF($GM30="SEGMENT",INDEX('Margin Guidence Table'!$A$1:$AC$10000,MATCH(1,('Margin Guidence Table'!$A$1:$A$10000=GK30)*('Margin Guidence Table'!$H$1:$H$10000&lt;=ROUND($GC$3,0))*('Margin Guidence Table'!$G$1:$G$10000&gt;=ROUND($GC$3,0)),0),MATCH("SALES_LBS",'Margin Guidence Table'!$A$1:$AC$1,0)),INDEX('Margin Guidence Table'!$A$1:$AC$10000,MATCH(1,('Margin Guidence Table'!$A$1:$A$10000=GK30)*('Margin Guidence Table'!$H$1:$H$10000&lt;=ROUND($GC$3,0))*('Margin Guidence Table'!$G$1:$G$10000&gt;=ROUND($GC$3,0)),0),MATCH("DEFAULT_SALES_LBS",'Margin Guidence Table'!$A$1:$AC$1,0))),0)</f>
        <v>0</v>
      </c>
      <c r="GP30" s="1165">
        <f t="array" ref="GP30">IFERROR(IF($GM30="SEGMENT",INDEX('Margin Guidence Table'!$A$1:$AC$10000,MATCH(1,('Margin Guidence Table'!$A$1:$A$10000=GK30)*('Margin Guidence Table'!$H$1:$H$10000&lt;=ROUND($GC$3,0))*('Margin Guidence Table'!$G$1:$G$10000&gt;=ROUND($GC$3,0)),0),MATCH("MDA_MIN_MARGIN_GUIDENCE",'Margin Guidence Table'!$A$1:$AC$1,0)),INDEX('Margin Guidence Table'!$A$1:$AC$10000,MATCH(1,('Margin Guidence Table'!$A$1:$A$10000=GK30)*('Margin Guidence Table'!$H$1:$H$10000&lt;=ROUND($GC$3,0))*('Margin Guidence Table'!$G$1:$G$10000&gt;=ROUND($GC$3,0)),0),MATCH("DEFAULT_MDA_MIN_MARGIN_GUIDENCE",'Margin Guidence Table'!$A$1:$AC$1,0))),0)</f>
        <v>0</v>
      </c>
      <c r="GQ30" s="1165">
        <f t="array" ref="GQ30">IFERROR(IF($GM30="SEGMENT",INDEX('Margin Guidence Table'!$A$1:$AC$10000,MATCH(1,('Margin Guidence Table'!$A$1:$A$10000=GK30)*('Margin Guidence Table'!$H$1:$H$10000&lt;=ROUND($GC$3,0))*('Margin Guidence Table'!$G$1:$G$10000&gt;=ROUND($GC$3,0)),0),MATCH("MDA_MEDIAN_MARGIN_GUIDENCE",'Margin Guidence Table'!$A$1:$AC$1,0)),INDEX('Margin Guidence Table'!$A$1:$AC$10000,MATCH(1,('Margin Guidence Table'!$A$1:$A$10000=GK30)*('Margin Guidence Table'!$H$1:$H$10000&lt;=ROUND($GC$3,0))*('Margin Guidence Table'!$G$1:$G$10000&gt;=ROUND($GC$3,0)),0),MATCH("DEFAULT_MDA_MEDIAN_MARGIN_GUIDENCE",'Margin Guidence Table'!$A$1:$AC$1,0))),0)</f>
        <v>0</v>
      </c>
      <c r="GR30" s="1165">
        <f t="array" ref="GR30">IFERROR(IF($GM30="SEGMENT",INDEX('Margin Guidence Table'!$A$1:$AC$10000,MATCH(1,('Margin Guidence Table'!$A$1:$A$10000=GK30)*('Margin Guidence Table'!$H$1:$H$10000&lt;=ROUND($GC$3,0))*('Margin Guidence Table'!$G$1:$G$10000&gt;=ROUND($GC$3,0)),0),MATCH("MDA_MAX_MARGIN_GUIDENCE",'Margin Guidence Table'!$A$1:$AC$1,0)),INDEX('Margin Guidence Table'!$A$1:$AC$10000,MATCH(1,('Margin Guidence Table'!$A$1:$A$10000=GK30)*('Margin Guidence Table'!$H$1:$H$10000&lt;=ROUND($GC$3,0))*('Margin Guidence Table'!$G$1:$G$10000&gt;=ROUND($GC$3,0)),0),MATCH("DEFAULT_MDA_MAX_MARGIN_GUIDENCE",'Margin Guidence Table'!$A$1:$AC$1,0))),0)</f>
        <v>0</v>
      </c>
      <c r="GS30" s="1165">
        <f t="array" ref="GS30">IFERROR(IF($GM30="SEGMENT",INDEX('Margin Guidence Table'!$A$1:$AC$10000,MATCH(1,('Margin Guidence Table'!$A$1:$A$10000=GK30)*('Margin Guidence Table'!$H$1:$H$10000&lt;=ROUND($GC$3,0))*('Margin Guidence Table'!$G$1:$G$10000&gt;=ROUND($GC$3,0)),0),MATCH("PA_PCT_SALES",'Margin Guidence Table'!$A$1:$AC$1,0)),INDEX('Margin Guidence Table'!$A$1:$AC$10000,MATCH(1,('Margin Guidence Table'!$A$1:$A$10000=GK30)*('Margin Guidence Table'!$H$1:$H$10000&lt;=ROUND($GC$3,0))*('Margin Guidence Table'!$G$1:$G$10000&gt;=ROUND($GC$3,0)),0),MATCH("DEFAULT_PA_PCT_SALES",'Margin Guidence Table'!$A$1:$AC$1,0))),0)</f>
        <v>0</v>
      </c>
      <c r="GT30" s="1165">
        <f t="array" ref="GT30">IFERROR(IF($GM30="SEGMENT",INDEX('Margin Guidence Table'!$A$1:$AC$10000,MATCH(1,('Margin Guidence Table'!$A$1:$A$10000=GK30)*('Margin Guidence Table'!$H$1:$H$10000&lt;=ROUND($GC$3,0))*('Margin Guidence Table'!$G$1:$G$10000&gt;=ROUND($GC$3,0)),0),MATCH("SELF_FUND_PCT_SALES",'Margin Guidence Table'!$A$1:$AC$1,0)),INDEX('Margin Guidence Table'!$A$1:$AC$10000,MATCH(1,('Margin Guidence Table'!$A$1:$A$10000=GK30)*('Margin Guidence Table'!$H$1:$H$10000&lt;=ROUND($GC$3,0))*('Margin Guidence Table'!$G$1:$G$10000&gt;=ROUND($GC$3,0)),0),MATCH("DEFAULT_SELF_FUND_PCT_SALES",'Margin Guidence Table'!$A$1:$AC$1,0))),0)</f>
        <v>0</v>
      </c>
      <c r="GU30" s="1165">
        <f t="array" ref="GU30">IFERROR(IF($GM30="SEGMENT",INDEX('Margin Guidence Table'!$A$1:$AC$10000,MATCH(1,('Margin Guidence Table'!$A$1:$A$10000=GK30)*('Margin Guidence Table'!$H$1:$H$10000&lt;=ROUND($GC$3,0))*('Margin Guidence Table'!$G$1:$G$10000&gt;=ROUND($GC$3,0)),0),MATCH("CIA_MEDIAN_MARGIN_GUIDENCE",'Margin Guidence Table'!$A$1:$AC$1,0)),INDEX('Margin Guidence Table'!$A$1:$AC$10000,MATCH(1,('Margin Guidence Table'!$A$1:$A$10000=GK30)*('Margin Guidence Table'!$H$1:$H$10000&lt;=ROUND($GC$3,0))*('Margin Guidence Table'!$G$1:$G$10000&gt;=ROUND($GC$3,0)),0),MATCH("DEFAULT_CIA_MEDIAN_MARGIN_GUIDENCE",'Margin Guidence Table'!$A$1:$AC$1,0))),0)</f>
        <v>0</v>
      </c>
      <c r="GV30" s="129"/>
      <c r="GW30" s="18">
        <f t="array" ref="GW30">IFERROR(IF($HI30="SEGMENT",INDEX('Margin Guidence Table'!$A$1:$AC$10000,MATCH(1,('Margin Guidence Table'!$A$1:$A$10000=$HG30)*('Margin Guidence Table'!$H$1:$H$10000&lt;=ROUND($GY$3,0))*('Margin Guidence Table'!$G$1:$G$10000&gt;=ROUND($GY$3,0)),0),MATCH("PCT_SALES",'Margin Guidence Table'!$A$1:$AC$1,0)),INDEX('Margin Guidence Table'!$A$1:$AC$10000,MATCH(1,('Margin Guidence Table'!$A$1:$A$10000=$HG30)*('Margin Guidence Table'!$H$1:$H$10000&lt;=ROUND($GY$3,0))*('Margin Guidence Table'!$G$1:$G$10000&gt;=ROUND($GY$3,0)),0),MATCH("DEFAULT_PCT_SALES",'Margin Guidence Table'!$A$1:$AC$1,0))),0)</f>
        <v>0</v>
      </c>
      <c r="GX30" s="102" t="s">
        <v>89</v>
      </c>
      <c r="GY30" s="94">
        <f>IFERROR(IF(AND($GY$2&lt;&gt;"Enter Spend&gt;&gt;&gt;",GZ2="EXISTING"),SUMIFS('Existing Customers'!$Q:$Q,'Existing Customers'!$A:$A,$GY$1,'Existing Customers'!$H:$H,$GX30)*$GY$4,$GY$3*$GW30),0)</f>
        <v>0</v>
      </c>
      <c r="GZ30" s="89">
        <f>IFERROR(IF(AND($GY$2&lt;&gt;"Enter Spend&gt;&gt;&gt;",GZ2="EXISTING"),SUMIFS('Existing Customers'!$N:$N,'Existing Customers'!$A:$A,$GY$1,'Existing Customers'!$H:$H,$GX30)*$GY$4,$GY30/$HJ30),0)</f>
        <v>0</v>
      </c>
      <c r="HA30" s="95">
        <f>IFERROR(IF(AND($GY$2&lt;&gt;"Enter Spend&gt;&gt;&gt;",GZ2="EXISTING"),SUMIFS('Existing Customers'!$O:$O,'Existing Customers'!$H:$H,$GX30,'Existing Customers'!$A:$A,$GY$1)*$GY$4,$GZ30*$GY$8),0)</f>
        <v>0</v>
      </c>
      <c r="HB30" s="95">
        <f>IFERROR(IF(AND($GY$2&lt;&gt;"Enter Spend&gt;&gt;&gt;",GZ2="EXISTING"),SUMIFS('Existing Customers'!$P:$P,'Existing Customers'!$A:$A,$GY$1,'Existing Customers'!$H:$H,$GX30)*$GY$4,$GY30/$HK30),0)</f>
        <v>0</v>
      </c>
      <c r="HC30" s="96">
        <f>IFERROR(IF(AND($GY$2&lt;&gt;"Enter Spend&gt;&gt;&gt;",GZ2="EXISTING"),SUMIFS('Existing Customers'!$V:$V,'Existing Customers'!$H:$H,$GX30,'Existing Customers'!$A:$A,$GY$1)*$GY$4,0),0)</f>
        <v>0</v>
      </c>
      <c r="HD30" s="96">
        <f>IFERROR(IF(AND($GY$2&lt;&gt;"Enter Spend&gt;&gt;&gt;",GZ2="EXISTING"),SUMIFS('Existing Customers'!$R:$R,'Existing Customers'!$H:$H,$GX30,'Existing Customers'!$A:$A,$GY$1)*$GY$4,0),0)</f>
        <v>0</v>
      </c>
      <c r="HE30" s="1161">
        <f>IFERROR(IF(AND($GY$2&lt;&gt;"Enter Spend&gt;&gt;&gt;",GZ2="EXISTING"),SUMIFS('Existing Customers'!$S:$S,'Existing Customers'!$H:$H,$GX30,'Existing Customers'!$A:$A,$GY$1),HO30*GY30),0)</f>
        <v>0</v>
      </c>
      <c r="HF30" s="1161">
        <f>IFERROR(IF(AND($GY$2&lt;&gt;"Enter Spend&gt;&gt;&gt;",GZ2="EXISTING"),SUMIFS('Existing Customers'!$U:$U,'Existing Customers'!$H:$H,$GX30,'Existing Customers'!$A:$A,$GY$1),HP30*GY30),0)</f>
        <v>0</v>
      </c>
      <c r="HG30" s="1164" t="e">
        <f t="shared" si="38"/>
        <v>#N/A</v>
      </c>
      <c r="HH30" s="1164">
        <f t="array" ref="HH30">IFERROR(INDEX('Margin Guidence Table'!$A$1:$AD$30000,MATCH(1,('Margin Guidence Table'!$A$1:$A$10000=HG30)*('Margin Guidence Table'!$H$1:$H$10000&lt;=ROUND($GY$3,0))*('Margin Guidence Table'!$G$1:$G$10000&gt;=ROUND($GY$3,0)),0),MATCH("DATA_POINTS",'Margin Guidence Table'!$A$1:$AC$1,0)),0)</f>
        <v>0</v>
      </c>
      <c r="HI30" s="1161" t="str">
        <f t="shared" si="39"/>
        <v>DEFAULT</v>
      </c>
      <c r="HJ30" s="1161">
        <f t="array" ref="HJ30">IFERROR(IF($HI30="SEGMENT",INDEX('Margin Guidence Table'!$A$1:$AC$10000,MATCH(1,('Margin Guidence Table'!$A$1:$A$10000=HG30)*('Margin Guidence Table'!$H$1:$H$10000&lt;=ROUND($GY$3,0))*('Margin Guidence Table'!$G$1:$G$10000&gt;=ROUND($GY$3,0)),0),MATCH("SALES_CASE",'Margin Guidence Table'!$A$1:$AC$1,0)),INDEX('Margin Guidence Table'!$A$1:$AC$10000,MATCH(1,('Margin Guidence Table'!$A$1:$A$10000=HG30)*('Margin Guidence Table'!$H$1:$H$10000&lt;=ROUND($GY$3,0))*('Margin Guidence Table'!$G$1:$G$10000&gt;=ROUND($GY$3,0)),0),MATCH("DEFAULT_SALES_CASE",'Margin Guidence Table'!$A$1:$AC$1,0))),0)</f>
        <v>0</v>
      </c>
      <c r="HK30" s="1161">
        <f t="array" ref="HK30">IFERROR(IF($HI30="SEGMENT",INDEX('Margin Guidence Table'!$A$1:$AC$10000,MATCH(1,('Margin Guidence Table'!$A$1:$A$10000=HG30)*('Margin Guidence Table'!$H$1:$H$10000&lt;=ROUND($GY$3,0))*('Margin Guidence Table'!$G$1:$G$10000&gt;=ROUND($GY$3,0)),0),MATCH("SALES_LBS",'Margin Guidence Table'!$A$1:$AC$1,0)),INDEX('Margin Guidence Table'!$A$1:$AC$10000,MATCH(1,('Margin Guidence Table'!$A$1:$A$10000=HG30)*('Margin Guidence Table'!$H$1:$H$10000&lt;=ROUND($GY$3,0))*('Margin Guidence Table'!$G$1:$G$10000&gt;=ROUND($GY$3,0)),0),MATCH("DEFAULT_SALES_LBS",'Margin Guidence Table'!$A$1:$AC$1,0))),0)</f>
        <v>0</v>
      </c>
      <c r="HL30" s="1165">
        <f t="array" ref="HL30">IFERROR(IF($HI30="SEGMENT",INDEX('Margin Guidence Table'!$A$1:$AC$10000,MATCH(1,('Margin Guidence Table'!$A$1:$A$10000=HG30)*('Margin Guidence Table'!$H$1:$H$10000&lt;=ROUND($GY$3,0))*('Margin Guidence Table'!$G$1:$G$10000&gt;=ROUND($GY$3,0)),0),MATCH("MDA_MIN_MARGIN_GUIDENCE",'Margin Guidence Table'!$A$1:$AC$1,0)),INDEX('Margin Guidence Table'!$A$1:$AC$10000,MATCH(1,('Margin Guidence Table'!$A$1:$A$10000=HG30)*('Margin Guidence Table'!$H$1:$H$10000&lt;=ROUND($GY$3,0))*('Margin Guidence Table'!$G$1:$G$10000&gt;=ROUND($GY$3,0)),0),MATCH("DEFAULT_MDA_MIN_MARGIN_GUIDENCE",'Margin Guidence Table'!$A$1:$AC$1,0))),0)</f>
        <v>0</v>
      </c>
      <c r="HM30" s="1165">
        <f t="array" ref="HM30">IFERROR(IF($HI30="SEGMENT",INDEX('Margin Guidence Table'!$A$1:$AC$10000,MATCH(1,('Margin Guidence Table'!$A$1:$A$10000=HG30)*('Margin Guidence Table'!$H$1:$H$10000&lt;=ROUND($GY$3,0))*('Margin Guidence Table'!$G$1:$G$10000&gt;=ROUND($GY$3,0)),0),MATCH("MDA_MEDIAN_MARGIN_GUIDENCE",'Margin Guidence Table'!$A$1:$AC$1,0)),INDEX('Margin Guidence Table'!$A$1:$AC$10000,MATCH(1,('Margin Guidence Table'!$A$1:$A$10000=HG30)*('Margin Guidence Table'!$H$1:$H$10000&lt;=ROUND($GY$3,0))*('Margin Guidence Table'!$G$1:$G$10000&gt;=ROUND($GY$3,0)),0),MATCH("DEFAULT_MDA_MEDIAN_MARGIN_GUIDENCE",'Margin Guidence Table'!$A$1:$AC$1,0))),0)</f>
        <v>0</v>
      </c>
      <c r="HN30" s="1165">
        <f t="array" ref="HN30">IFERROR(IF($HI30="SEGMENT",INDEX('Margin Guidence Table'!$A$1:$AC$10000,MATCH(1,('Margin Guidence Table'!$A$1:$A$10000=HG30)*('Margin Guidence Table'!$H$1:$H$10000&lt;=ROUND($GY$3,0))*('Margin Guidence Table'!$G$1:$G$10000&gt;=ROUND($GY$3,0)),0),MATCH("MDA_MAX_MARGIN_GUIDENCE",'Margin Guidence Table'!$A$1:$AC$1,0)),INDEX('Margin Guidence Table'!$A$1:$AC$10000,MATCH(1,('Margin Guidence Table'!$A$1:$A$10000=HG30)*('Margin Guidence Table'!$H$1:$H$10000&lt;=ROUND($GY$3,0))*('Margin Guidence Table'!$G$1:$G$10000&gt;=ROUND($GY$3,0)),0),MATCH("DEFAULT_MDA_MAX_MARGIN_GUIDENCE",'Margin Guidence Table'!$A$1:$AC$1,0))),0)</f>
        <v>0</v>
      </c>
      <c r="HO30" s="1165">
        <f t="array" ref="HO30">IFERROR(IF($HI30="SEGMENT",INDEX('Margin Guidence Table'!$A$1:$AC$10000,MATCH(1,('Margin Guidence Table'!$A$1:$A$10000=HG30)*('Margin Guidence Table'!$H$1:$H$10000&lt;=ROUND($GY$3,0))*('Margin Guidence Table'!$G$1:$G$10000&gt;=ROUND($GY$3,0)),0),MATCH("PA_PCT_SALES",'Margin Guidence Table'!$A$1:$AC$1,0)),INDEX('Margin Guidence Table'!$A$1:$AC$10000,MATCH(1,('Margin Guidence Table'!$A$1:$A$10000=HG30)*('Margin Guidence Table'!$H$1:$H$10000&lt;=ROUND($GY$3,0))*('Margin Guidence Table'!$G$1:$G$10000&gt;=ROUND($GY$3,0)),0),MATCH("DEFAULT_PA_PCT_SALES",'Margin Guidence Table'!$A$1:$AC$1,0))),0)</f>
        <v>0</v>
      </c>
      <c r="HP30" s="1165">
        <f t="array" ref="HP30">IFERROR(IF($HI30="SEGMENT",INDEX('Margin Guidence Table'!$A$1:$AC$10000,MATCH(1,('Margin Guidence Table'!$A$1:$A$10000=HG30)*('Margin Guidence Table'!$H$1:$H$10000&lt;=ROUND($GY$3,0))*('Margin Guidence Table'!$G$1:$G$10000&gt;=ROUND($GY$3,0)),0),MATCH("SELF_FUND_PCT_SALES",'Margin Guidence Table'!$A$1:$AC$1,0)),INDEX('Margin Guidence Table'!$A$1:$AC$10000,MATCH(1,('Margin Guidence Table'!$A$1:$A$10000=HG30)*('Margin Guidence Table'!$H$1:$H$10000&lt;=ROUND($GY$3,0))*('Margin Guidence Table'!$G$1:$G$10000&gt;=ROUND($GY$3,0)),0),MATCH("DEFAULT_SELF_FUND_PCT_SALES",'Margin Guidence Table'!$A$1:$AC$1,0))),0)</f>
        <v>0</v>
      </c>
      <c r="HQ30" s="1165">
        <f t="array" ref="HQ30">IFERROR(IF($HI30="SEGMENT",INDEX('Margin Guidence Table'!$A$1:$AC$10000,MATCH(1,('Margin Guidence Table'!$A$1:$A$10000=HG30)*('Margin Guidence Table'!$H$1:$H$10000&lt;=ROUND($GY$3,0))*('Margin Guidence Table'!$G$1:$G$10000&gt;=ROUND($GY$3,0)),0),MATCH("CIA_MEDIAN_MARGIN_GUIDENCE",'Margin Guidence Table'!$A$1:$AC$1,0)),INDEX('Margin Guidence Table'!$A$1:$AC$10000,MATCH(1,('Margin Guidence Table'!$A$1:$A$10000=HG30)*('Margin Guidence Table'!$H$1:$H$10000&lt;=ROUND($GY$3,0))*('Margin Guidence Table'!$G$1:$G$10000&gt;=ROUND($GY$3,0)),0),MATCH("DEFAULT_CIA_MEDIAN_MARGIN_GUIDENCE",'Margin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Spend&gt;&gt;&gt;",HV2="EXISTING"),SUMIFS('Existing Customers'!$Q:$Q,'Existing Customers'!$A:$A,$HU$1,'Existing Customers'!$H:$H,$HT30)*$HU$4,$HU$3*$HS30),0)</f>
        <v>0</v>
      </c>
      <c r="HV30" s="89">
        <f>IFERROR(IF(AND($HU$2&lt;&gt;"Enter Spend&gt;&gt;&gt;",HV2="EXISTING"),SUMIFS('Existing Customers'!$N:$N,'Existing Customers'!$A:$A,$HU$1,'Existing Customers'!$H:$H,$HT30)*$HU$4,$HU30/$IF30),0)</f>
        <v>0</v>
      </c>
      <c r="HW30" s="95">
        <f>IFERROR(IF(AND($HU$2&lt;&gt;"Enter Spend&gt;&gt;&gt;",HV2="EXISTING"),SUMIFS('Existing Customers'!$O:$O,'Existing Customers'!$H:$H,$HT30,'Existing Customers'!$A:$A,$HU$1)*$HU$4,$HV30*$HU$8),0)</f>
        <v>0</v>
      </c>
      <c r="HX30" s="95">
        <f>IFERROR(IF(AND($HU$2&lt;&gt;"Enter Spend&gt;&gt;&gt;",HV2="EXISTING"),SUMIFS('Existing Customers'!$P:$P,'Existing Customers'!$A:$A,$HU$1,'Existing Customers'!$H:$H,$HT30)*$HU$4,$HU30/$IG30),0)</f>
        <v>0</v>
      </c>
      <c r="HY30" s="402">
        <f>IFERROR(IF(AND($HU$2&lt;&gt;"Enter Spend&gt;&gt;&gt;",HV2="EXISTING"),SUMIFS('Existing Customers'!$V:$V,'Existing Customers'!$H:$H,$HT30,'Existing Customers'!$A:$A,$HU$1)*$HU$4,0),0)</f>
        <v>0</v>
      </c>
      <c r="HZ30" s="96">
        <f>IFERROR(IF(AND($HU$2&lt;&gt;"Enter Spend&gt;&gt;&gt;",HV2="EXISTING"),SUMIFS('Existing Customers'!$R:$R,'Existing Customers'!$H:$H,$HT30,'Existing Customers'!$A:$A,$HU$1)*$HU$4,0),0)</f>
        <v>0</v>
      </c>
      <c r="IA30" s="1161">
        <f>IFERROR(IF(AND($HU$2&lt;&gt;"Enter Spend&gt;&gt;&gt;",HV2="EXISTING"),SUMIFS('Existing Customers'!$S:$S,'Existing Customers'!$H:$H,$HT30,'Existing Customers'!$A:$A,$HU$1),IK30*HU30),0)</f>
        <v>0</v>
      </c>
      <c r="IB30" s="1161">
        <f>IFERROR(IF(AND($HU$2&lt;&gt;"Enter Spend&gt;&gt;&gt;",HV2="EXISTING"),SUMIFS('Existing Customers'!$U:$U,'Existing Customers'!$H:$H,$HT30,'Existing Customers'!$A:$A,$HU$1),IL30*HU30),0)</f>
        <v>0</v>
      </c>
      <c r="IC30" s="1164" t="e">
        <f t="shared" si="40"/>
        <v>#N/A</v>
      </c>
      <c r="ID30" s="1164">
        <f t="array" ref="ID30">IFERROR(INDEX('Margin Guidence Table'!$A$1:$AD$30000,MATCH(1,('Margin Guidence Table'!$A$1:$A$10000=IC30)*('Margin Guidence Table'!$H$1:$H$10000&lt;=ROUND($HU$3,0))*('Margin Guidence Table'!$G$1:$G$10000&gt;=ROUND($HU$3,0)),0),MATCH("DATA_POINTS",'Margin Guidence Table'!$A$1:$AC$1,0)),0)</f>
        <v>0</v>
      </c>
      <c r="IE30" s="1161" t="str">
        <f t="shared" si="41"/>
        <v>DEFAULT</v>
      </c>
      <c r="IF30" s="1161">
        <f t="array" ref="IF30">IFERROR(IF($IE30="SEGMENT",INDEX('Margin Guidence Table'!$A$1:$AC$10000,MATCH(1,('Margin Guidence Table'!$A$1:$A$10000=IC30)*('Margin Guidence Table'!$H$1:$H$10000&lt;=ROUND($HU$3,0))*('Margin Guidence Table'!$G$1:$G$10000&gt;=ROUND($HU$3,0)),0),MATCH("SALES_CASE",'Margin Guidence Table'!$A$1:$AC$1,0)),INDEX('Margin Guidence Table'!$A$1:$AC$10000,MATCH(1,('Margin Guidence Table'!$A$1:$A$10000=IC30)*('Margin Guidence Table'!$H$1:$H$10000&lt;=ROUND($HU$3,0))*('Margin Guidence Table'!$G$1:$G$10000&gt;=ROUND($HU$3,0)),0),MATCH("DEFAULT_SALES_CASE",'Margin Guidence Table'!$A$1:$AC$1,0))),0)</f>
        <v>0</v>
      </c>
      <c r="IG30" s="1161">
        <f t="array" ref="IG30">IFERROR(IF($IE30="SEGMENT",INDEX('Margin Guidence Table'!$A$1:$AC$10000,MATCH(1,('Margin Guidence Table'!$A$1:$A$10000=IC30)*('Margin Guidence Table'!$H$1:$H$10000&lt;=ROUND($HU$3,0))*('Margin Guidence Table'!$G$1:$G$10000&gt;=ROUND($HU$3,0)),0),MATCH("SALES_LBS",'Margin Guidence Table'!$A$1:$AC$1,0)),INDEX('Margin Guidence Table'!$A$1:$AC$10000,MATCH(1,('Margin Guidence Table'!$A$1:$A$10000=IC30)*('Margin Guidence Table'!$H$1:$H$10000&lt;=ROUND($HU$3,0))*('Margin Guidence Table'!$G$1:$G$10000&gt;=ROUND($HU$3,0)),0),MATCH("DEFAULT_SALES_LBS",'Margin Guidence Table'!$A$1:$AC$1,0))),0)</f>
        <v>0</v>
      </c>
      <c r="IH30" s="1165">
        <f t="array" ref="IH30">IFERROR(IF($IE30="SEGMENT",INDEX('Margin Guidence Table'!$A$1:$AC$10000,MATCH(1,('Margin Guidence Table'!$A$1:$A$10000=IC30)*('Margin Guidence Table'!$H$1:$H$10000&lt;=ROUND($HU$3,0))*('Margin Guidence Table'!$G$1:$G$10000&gt;=ROUND($HU$3,0)),0),MATCH("MDA_MIN_MARGIN_GUIDENCE",'Margin Guidence Table'!$A$1:$AC$1,0)),INDEX('Margin Guidence Table'!$A$1:$AC$10000,MATCH(1,('Margin Guidence Table'!$A$1:$A$10000=IC30)*('Margin Guidence Table'!$H$1:$H$10000&lt;=ROUND($HU$3,0))*('Margin Guidence Table'!$G$1:$G$10000&gt;=ROUND($HU$3,0)),0),MATCH("DEFAULT_MDA_MIN_MARGIN_GUIDENCE",'Margin Guidence Table'!$A$1:$AC$1,0))),0)</f>
        <v>0</v>
      </c>
      <c r="II30" s="1165">
        <f t="array" ref="II30">IFERROR(IF($IE30="SEGMENT",INDEX('Margin Guidence Table'!$A$1:$AC$10000,MATCH(1,('Margin Guidence Table'!$A$1:$A$10000=IC30)*('Margin Guidence Table'!$H$1:$H$10000&lt;=ROUND($HU$3,0))*('Margin Guidence Table'!$G$1:$G$10000&gt;=ROUND($HU$3,0)),0),MATCH("MDA_MEDIAN_MARGIN_GUIDENCE",'Margin Guidence Table'!$A$1:$AC$1,0)),INDEX('Margin Guidence Table'!$A$1:$AC$10000,MATCH(1,('Margin Guidence Table'!$A$1:$A$10000=IC30)*('Margin Guidence Table'!$H$1:$H$10000&lt;=ROUND($HU$3,0))*('Margin Guidence Table'!$G$1:$G$10000&gt;=ROUND($HU$3,0)),0),MATCH("DEFAULT_MDA_MEDIAN_MARGIN_GUIDENCE",'Margin Guidence Table'!$A$1:$AC$1,0))),0)</f>
        <v>0</v>
      </c>
      <c r="IJ30" s="1165">
        <f t="array" ref="IJ30">IFERROR(IF($IE30="SEGMENT",INDEX('Margin Guidence Table'!$A$1:$AC$10000,MATCH(1,('Margin Guidence Table'!$A$1:$A$10000=IC30)*('Margin Guidence Table'!$H$1:$H$10000&lt;=ROUND($HU$3,0))*('Margin Guidence Table'!$G$1:$G$10000&gt;=ROUND($HU$3,0)),0),MATCH("MDA_MAX_MARGIN_GUIDENCE",'Margin Guidence Table'!$A$1:$AC$1,0)),INDEX('Margin Guidence Table'!$A$1:$AC$10000,MATCH(1,('Margin Guidence Table'!$A$1:$A$10000=IC30)*('Margin Guidence Table'!$H$1:$H$10000&lt;=ROUND($HU$3,0))*('Margin Guidence Table'!$G$1:$G$10000&gt;=ROUND($HU$3,0)),0),MATCH("DEFAULT_MDA_MAX_MARGIN_GUIDENCE",'Margin Guidence Table'!$A$1:$AC$1,0))),0)</f>
        <v>0</v>
      </c>
      <c r="IK30" s="1165">
        <f t="array" ref="IK30">IFERROR(IF($IE30="SEGMENT",INDEX('Margin Guidence Table'!$A$1:$AC$10000,MATCH(1,('Margin Guidence Table'!$A$1:$A$10000=IC30)*('Margin Guidence Table'!$H$1:$H$10000&lt;=ROUND($HU$3,0))*('Margin Guidence Table'!$G$1:$G$10000&gt;=ROUND($HU$3,0)),0),MATCH("PA_PCT_SALES",'Margin Guidence Table'!$A$1:$AC$1,0)),INDEX('Margin Guidence Table'!$A$1:$AC$10000,MATCH(1,('Margin Guidence Table'!$A$1:$A$10000=IC30)*('Margin Guidence Table'!$H$1:$H$10000&lt;=ROUND($HU$3,0))*('Margin Guidence Table'!$G$1:$G$10000&gt;=ROUND($HU$3,0)),0),MATCH("DEFAULT_PA_PCT_SALES",'Margin Guidence Table'!$A$1:$AC$1,0))),0)</f>
        <v>0</v>
      </c>
      <c r="IL30" s="1165">
        <f t="array" ref="IL30">IFERROR(IF($IE30="SEGMENT",INDEX('Margin Guidence Table'!$A$1:$AC$10000,MATCH(1,('Margin Guidence Table'!$A$1:$A$10000=IC30)*('Margin Guidence Table'!$H$1:$H$10000&lt;=ROUND($HU$3,0))*('Margin Guidence Table'!$G$1:$G$10000&gt;=ROUND($HU$3,0)),0),MATCH("SELF_FUND_PCT_SALES",'Margin Guidence Table'!$A$1:$AC$1,0)),INDEX('Margin Guidence Table'!$A$1:$AC$10000,MATCH(1,('Margin Guidence Table'!$A$1:$A$10000=IC30)*('Margin Guidence Table'!$H$1:$H$10000&lt;=ROUND($HU$3,0))*('Margin Guidence Table'!$G$1:$G$10000&gt;=ROUND($HU$3,0)),0),MATCH("DEFAULT_SELF_FUND_PCT_SALES",'Margin Guidence Table'!$A$1:$AC$1,0))),0)</f>
        <v>0</v>
      </c>
      <c r="IM30" s="1165">
        <f t="array" ref="IM30">IFERROR(IF($IE30="SEGMENT",INDEX('Margin Guidence Table'!$A$1:$AC$10000,MATCH(1,('Margin Guidence Table'!$A$1:$A$10000=IC30)*('Margin Guidence Table'!$H$1:$H$10000&lt;=ROUND($HU$3,0))*('Margin Guidence Table'!$G$1:$G$10000&gt;=ROUND($HU$3,0)),0),MATCH("CIA_MEDIAN_MARGIN_GUIDENCE",'Margin Guidence Table'!$A$1:$AC$1,0)),INDEX('Margin Guidence Table'!$A$1:$AC$10000,MATCH(1,('Margin Guidence Table'!$A$1:$A$10000=IC30)*('Margin Guidence Table'!$H$1:$H$10000&lt;=ROUND($HU$3,0))*('Margin Guidence Table'!$G$1:$G$10000&gt;=ROUND($HU$3,0)),0),MATCH("DEFAULT_CIA_MEDIAN_MARGIN_GUIDENCE",'Margin Guidence Table'!$A$1:$AC$1,0))),0)</f>
        <v>0</v>
      </c>
      <c r="IN30" s="129"/>
      <c r="IO30" s="18">
        <f t="array" ref="IO30">IFERROR(IF($JA30="SEGMENT",INDEX('Margin Guidence Table'!$A$1:$AC$10000,MATCH(1,('Margin Guidence Table'!$A$1:$A$10000=$IY30)*('Margin Guidence Table'!$H$1:$H$10000&lt;=ROUND($IQ$3,0))*('Margin Guidence Table'!$G$1:$G$10000&gt;=ROUND($IQ$3,0)),0),MATCH("PCT_SALES",'Margin Guidence Table'!$A$1:$AC$1,0)),INDEX('Margin Guidence Table'!$A$1:$AC$10000,MATCH(1,('Margin Guidence Table'!$A$1:$A$10000=$IY30)*('Margin Guidence Table'!$H$1:$H$10000&lt;=ROUND($IQ$3,0))*('Margin Guidence Table'!$G$1:$G$10000&gt;=ROUND($IQ$3,0)),0),MATCH("DEFAULT_PCT_SALES",'Margin Guidence Table'!$A$1:$AC$1,0))),0)</f>
        <v>0</v>
      </c>
      <c r="IP30" s="102" t="s">
        <v>89</v>
      </c>
      <c r="IQ30" s="94">
        <f>IFERROR(IF(AND($IQ$2&lt;&gt;"Enter Spend&gt;&gt;&gt;",IR2="EXISTING"),SUMIFS('Existing Customers'!$Q:$Q,'Existing Customers'!$A:$A,$IQ$1,'Existing Customers'!$H:$H,$IP30)*$IQ$4,$IQ$3*$IO30),0)</f>
        <v>0</v>
      </c>
      <c r="IR30" s="89">
        <f>IFERROR(IF(AND($IQ$2&lt;&gt;"Enter Spend&gt;&gt;&gt;",IR2="EXISTING"),SUMIFS('Existing Customers'!$N:$N,'Existing Customers'!$A:$A,$IQ$1,'Existing Customers'!$H:$H,$IP30)*$IQ$4,$IQ30/$JB30),0)</f>
        <v>0</v>
      </c>
      <c r="IS30" s="95">
        <f>IFERROR(IF(AND($IQ$2&lt;&gt;"Enter Spend&gt;&gt;&gt;",IR2="EXISTING"),SUMIFS('Existing Customers'!$O:$O,'Existing Customers'!$H:$H,$IP30,'Existing Customers'!$A:$A,$IQ$1)*$IQ$4,$IR30*$IQ$8),0)</f>
        <v>0</v>
      </c>
      <c r="IT30" s="95">
        <f>IFERROR(IF(AND($IQ$2&lt;&gt;"Enter Spend&gt;&gt;&gt;",IR2="EXISTING"),SUMIFS('Existing Customers'!$P:$P,'Existing Customers'!$A:$A,$IQ$1,'Existing Customers'!$H:$H,$IP30)*$IQ$4,$IQ30/$JC30),0)</f>
        <v>0</v>
      </c>
      <c r="IU30" s="402">
        <f>IFERROR(IF(AND($IQ$2&lt;&gt;"Enter Spend&gt;&gt;&gt;",IR2="EXISTING"),SUMIFS('Existing Customers'!$V:$V,'Existing Customers'!$H:$H,$IP30,'Existing Customers'!$A:$A,$IQ$1)*$IQ$4,0),0)</f>
        <v>0</v>
      </c>
      <c r="IV30" s="96">
        <f>IFERROR(IF(AND($IQ$2&lt;&gt;"Enter Spend&gt;&gt;&gt;",IR2="EXISTING"),SUMIFS('Existing Customers'!$R:$R,'Existing Customers'!$H:$H,$IP30,'Existing Customers'!$A:$A,$IQ$1)*$IQ$4,0),0)</f>
        <v>0</v>
      </c>
      <c r="IW30" s="1161">
        <f>IFERROR(IF(AND($IQ$2&lt;&gt;"Enter Spend&gt;&gt;&gt;",IR2="EXISTING"),SUMIFS('Existing Customers'!$S:$S,'Existing Customers'!$H:$H,$IP30,'Existing Customers'!$A:$A,$IQ$1),JG30*IQ30),0)</f>
        <v>0</v>
      </c>
      <c r="IX30" s="1161">
        <f>IFERROR(IF(AND($IQ$2&lt;&gt;"Enter Spend&gt;&gt;&gt;",IR2="EXISTING"),SUMIFS('Existing Customers'!$U:$U,'Existing Customers'!$H:$H,$IP30,'Existing Customers'!$A:$A,$IQ$1),JH30*IQ30),0)</f>
        <v>0</v>
      </c>
      <c r="IY30" s="1164" t="e">
        <f t="shared" si="42"/>
        <v>#N/A</v>
      </c>
      <c r="IZ30" s="1164">
        <f t="array" ref="IZ30">IFERROR(INDEX('Margin Guidence Table'!$A$1:$AD$30000,MATCH(1,('Margin Guidence Table'!$A$1:$A$10000=IY30)*('Margin Guidence Table'!$H$1:$H$10000&lt;=ROUND($IQ$3,0))*('Margin Guidence Table'!$G$1:$G$10000&gt;=ROUND($IQ$3,0)),0),MATCH("DATA_POINTS",'Margin Guidence Table'!$A$1:$AC$1,0)),0)</f>
        <v>0</v>
      </c>
      <c r="JA30" s="1161" t="str">
        <f t="shared" si="43"/>
        <v>DEFAULT</v>
      </c>
      <c r="JB30" s="1161">
        <f t="array" ref="JB30">IFERROR(IF($JA30="SEGMENT",INDEX('Margin Guidence Table'!$A$1:$AC$10000,MATCH(1,('Margin Guidence Table'!$A$1:$A$10000=IY30)*('Margin Guidence Table'!$H$1:$H$10000&lt;=ROUND($IQ$3,0))*('Margin Guidence Table'!$G$1:$G$10000&gt;=ROUND($IQ$3,0)),0),MATCH("SALES_CASE",'Margin Guidence Table'!$A$1:$AC$1,0)),INDEX('Margin Guidence Table'!$A$1:$AC$10000,MATCH(1,('Margin Guidence Table'!$A$1:$A$10000=IY30)*('Margin Guidence Table'!$H$1:$H$10000&lt;=ROUND($IQ$3,0))*('Margin Guidence Table'!$G$1:$G$10000&gt;=ROUND($IQ$3,0)),0),MATCH("DEFAULT_SALES_CASE",'Margin Guidence Table'!$A$1:$AC$1,0))),0)</f>
        <v>0</v>
      </c>
      <c r="JC30" s="1161">
        <f t="array" ref="JC30">IFERROR(IF($JA30="SEGMENT",INDEX('Margin Guidence Table'!$A$1:$AC$10000,MATCH(1,('Margin Guidence Table'!$A$1:$A$10000=IY30)*('Margin Guidence Table'!$H$1:$H$10000&lt;=ROUND($IQ$3,0))*('Margin Guidence Table'!$G$1:$G$10000&gt;=ROUND($IQ$3,0)),0),MATCH("SALES_LBS",'Margin Guidence Table'!$A$1:$AC$1,0)),INDEX('Margin Guidence Table'!$A$1:$AC$10000,MATCH(1,('Margin Guidence Table'!$A$1:$A$10000=IY30)*('Margin Guidence Table'!$H$1:$H$10000&lt;=ROUND($IQ$3,0))*('Margin Guidence Table'!$G$1:$G$10000&gt;=ROUND($IQ$3,0)),0),MATCH("DEFAULT_SALES_LBS",'Margin Guidence Table'!$A$1:$AC$1,0))),0)</f>
        <v>0</v>
      </c>
      <c r="JD30" s="1165">
        <f t="array" ref="JD30">IFERROR(IF($JA30="SEGMENT",INDEX('Margin Guidence Table'!$A$1:$AC$10000,MATCH(1,('Margin Guidence Table'!$A$1:$A$10000=IY30)*('Margin Guidence Table'!$H$1:$H$10000&lt;=ROUND($IQ$3,0))*('Margin Guidence Table'!$G$1:$G$10000&gt;=ROUND($IQ$3,0)),0),MATCH("MDA_MIN_MARGIN_GUIDENCE",'Margin Guidence Table'!$A$1:$AC$1,0)),INDEX('Margin Guidence Table'!$A$1:$AC$10000,MATCH(1,('Margin Guidence Table'!$A$1:$A$10000=IY30)*('Margin Guidence Table'!$H$1:$H$10000&lt;=ROUND($IQ$3,0))*('Margin Guidence Table'!$G$1:$G$10000&gt;=ROUND($IQ$3,0)),0),MATCH("DEFAULT_MDA_MIN_MARGIN_GUIDENCE",'Margin Guidence Table'!$A$1:$AC$1,0))),0)</f>
        <v>0</v>
      </c>
      <c r="JE30" s="1165">
        <f t="array" ref="JE30">IFERROR(IF($JA30="SEGMENT",INDEX('Margin Guidence Table'!$A$1:$AC$10000,MATCH(1,('Margin Guidence Table'!$A$1:$A$10000=IY30)*('Margin Guidence Table'!$H$1:$H$10000&lt;=ROUND($IQ$3,0))*('Margin Guidence Table'!$G$1:$G$10000&gt;=ROUND($IQ$3,0)),0),MATCH("MDA_MEDIAN_MARGIN_GUIDENCE",'Margin Guidence Table'!$A$1:$AC$1,0)),INDEX('Margin Guidence Table'!$A$1:$AC$10000,MATCH(1,('Margin Guidence Table'!$A$1:$A$10000=IY30)*('Margin Guidence Table'!$H$1:$H$10000&lt;=ROUND($IQ$3,0))*('Margin Guidence Table'!$G$1:$G$10000&gt;=ROUND($IQ$3,0)),0),MATCH("DEFAULT_MDA_MEDIAN_MARGIN_GUIDENCE",'Margin Guidence Table'!$A$1:$AC$1,0))),0)</f>
        <v>0</v>
      </c>
      <c r="JF30" s="1165">
        <f t="array" ref="JF30">IFERROR(IF($JA30="SEGMENT",INDEX('Margin Guidence Table'!$A$1:$AC$10000,MATCH(1,('Margin Guidence Table'!$A$1:$A$10000=IY30)*('Margin Guidence Table'!$H$1:$H$10000&lt;=ROUND($IQ$3,0))*('Margin Guidence Table'!$G$1:$G$10000&gt;=ROUND($IQ$3,0)),0),MATCH("MDA_MAX_MARGIN_GUIDENCE",'Margin Guidence Table'!$A$1:$AC$1,0)),INDEX('Margin Guidence Table'!$A$1:$AC$10000,MATCH(1,('Margin Guidence Table'!$A$1:$A$10000=IY30)*('Margin Guidence Table'!$H$1:$H$10000&lt;=ROUND($IQ$3,0))*('Margin Guidence Table'!$G$1:$G$10000&gt;=ROUND($IQ$3,0)),0),MATCH("DEFAULT_MDA_MAX_MARGIN_GUIDENCE",'Margin Guidence Table'!$A$1:$AC$1,0))),0)</f>
        <v>0</v>
      </c>
      <c r="JG30" s="1165">
        <f t="array" ref="JG30">IFERROR(IF($JA30="SEGMENT",INDEX('Margin Guidence Table'!$A$1:$AC$10000,MATCH(1,('Margin Guidence Table'!$A$1:$A$10000=IY30)*('Margin Guidence Table'!$H$1:$H$10000&lt;=ROUND($IQ$3,0))*('Margin Guidence Table'!$G$1:$G$10000&gt;=ROUND($IQ$3,0)),0),MATCH("PA_PCT_SALES",'Margin Guidence Table'!$A$1:$AC$1,0)),INDEX('Margin Guidence Table'!$A$1:$AC$10000,MATCH(1,('Margin Guidence Table'!$A$1:$A$10000=IY30)*('Margin Guidence Table'!$H$1:$H$10000&lt;=ROUND($IQ$3,0))*('Margin Guidence Table'!$G$1:$G$10000&gt;=ROUND($IQ$3,0)),0),MATCH("DEFAULT_PA_PCT_SALES",'Margin Guidence Table'!$A$1:$AC$1,0))),0)</f>
        <v>0</v>
      </c>
      <c r="JH30" s="1165">
        <f t="array" ref="JH30">IFERROR(IF($JA30="SEGMENT",INDEX('Margin Guidence Table'!$A$1:$AC$10000,MATCH(1,('Margin Guidence Table'!$A$1:$A$10000=IY30)*('Margin Guidence Table'!$H$1:$H$10000&lt;=ROUND($IQ$3,0))*('Margin Guidence Table'!$G$1:$G$10000&gt;=ROUND($IQ$3,0)),0),MATCH("SELF_FUND_PCT_SALES",'Margin Guidence Table'!$A$1:$AC$1,0)),INDEX('Margin Guidence Table'!$A$1:$AC$10000,MATCH(1,('Margin Guidence Table'!$A$1:$A$10000=IY30)*('Margin Guidence Table'!$H$1:$H$10000&lt;=ROUND($IQ$3,0))*('Margin Guidence Table'!$G$1:$G$10000&gt;=ROUND($IQ$3,0)),0),MATCH("DEFAULT_SELF_FUND_PCT_SALES",'Margin Guidence Table'!$A$1:$AC$1,0))),0)</f>
        <v>0</v>
      </c>
      <c r="JI30" s="1165">
        <f t="array" ref="JI30">IFERROR(IF($JA30="SEGMENT",INDEX('Margin Guidence Table'!$A$1:$AC$10000,MATCH(1,('Margin Guidence Table'!$A$1:$A$10000=IY30)*('Margin Guidence Table'!$H$1:$H$10000&lt;=ROUND($IQ$3,0))*('Margin Guidence Table'!$G$1:$G$10000&gt;=ROUND($IQ$3,0)),0),MATCH("CIA_MEDIAN_MARGIN_GUIDENCE",'Margin Guidence Table'!$A$1:$AC$1,0)),INDEX('Margin Guidence Table'!$A$1:$AC$10000,MATCH(1,('Margin Guidence Table'!$A$1:$A$10000=IY30)*('Margin Guidence Table'!$H$1:$H$10000&lt;=ROUND($IQ$3,0))*('Margin Guidence Table'!$G$1:$G$10000&gt;=ROUND($IQ$3,0)),0),MATCH("DEFAULT_CIA_MEDIAN_MARGIN_GUIDENCE",'Margin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44"/>
        <v>#DIV/0!</v>
      </c>
      <c r="AV31" s="400"/>
      <c r="AW31" s="400"/>
      <c r="AX31" s="108">
        <v>20</v>
      </c>
      <c r="AY31" s="18">
        <f t="array" ref="AY31">IFERROR(IF($BK31="SEGMENT",INDEX('Margin Guidence Table'!$A$1:$AC$10000,MATCH(1,('Margin Guidence Table'!$A$1:$A$10000=$BI31)*('Margin Guidence Table'!$H$1:$H$10000&lt;=ROUND($BA$3,0))*('Margin Guidence Table'!$G$1:$G$10000&gt;=ROUND($BA$3,0)),0),MATCH("PCT_SALES",'Margin Guidence Table'!$A$1:$AC$1,0)),INDEX('Margin Guidence Table'!$A$1:$AC$10000,MATCH(1,('Margin Guidence Table'!$A$1:$A$10000=$BI31)*('Margin Guidence Table'!$H$1:$H$10000&lt;=ROUND($BA$3,0))*('Margin Guidence Table'!$G$1:$G$10000&gt;=ROUND($BA$3,0)),0),MATCH("DEFAULT_PCT_SALES",'Margin Guidence Table'!$A$1:$AC$1,0))),0)</f>
        <v>0</v>
      </c>
      <c r="AZ31" s="102" t="s">
        <v>94</v>
      </c>
      <c r="BA31" s="94">
        <f>IFERROR(IF(AND($BA$2&lt;&gt;"Enter Spend&gt;&gt;&gt;",BB2="EXISTING"),SUMIFS('Existing Customers'!$Q:$Q,'Existing Customers'!$A:$A,$BA$1,'Existing Customers'!$H:$H,$AZ31)*$BA$4,$BA$3*$AY31),0)</f>
        <v>0</v>
      </c>
      <c r="BB31" s="95">
        <f>IFERROR(IF(AND($BA$2&lt;&gt;"Enter Spend&gt;&gt;&gt;",BB2="EXISTING"),SUMIFS('Existing Customers'!$N:$N,'Existing Customers'!$A:$A,$BA$1,'Existing Customers'!$H:$H,$AZ31)*$BA$4,$BA31/$BL31),0)</f>
        <v>0</v>
      </c>
      <c r="BC31" s="95">
        <f>IFERROR(IF(AND($BA$2&lt;&gt;"Enter Spend&gt;&gt;&gt;",BB2="EXISTING"),SUMIFS('Existing Customers'!$O:$O,'Existing Customers'!$H:$H,$AZ31,'Existing Customers'!$A:$A,$BA$1)*$BA$4,$BB31*$BA$8),0)</f>
        <v>0</v>
      </c>
      <c r="BD31" s="95">
        <f>IFERROR(IF(AND($BA$2&lt;&gt;"Enter Spend&gt;&gt;&gt;",BB2="EXISTING"),SUMIFS('Existing Customers'!$P:$P,'Existing Customers'!$A:$A,$BA$1,'Existing Customers'!$H:$H,$AZ31)*$BA$4,$BA31/$BM31),0)</f>
        <v>0</v>
      </c>
      <c r="BE31" s="402">
        <f>IFERROR(IF(AND($BA$2&lt;&gt;"Enter Spend&gt;&gt;&gt;",BB2="EXISTING"),SUMIFS('Existing Customers'!$V:$V,'Existing Customers'!$H:$H,$AZ31,'Existing Customers'!$A:$A,$BA$1)*$BA$4,0),0)</f>
        <v>0</v>
      </c>
      <c r="BF31" s="96">
        <f>IFERROR(IF(AND($BA$2&lt;&gt;"Enter Spend&gt;&gt;&gt;",BB2="EXISTING"),SUMIFS('Existing Customers'!$R:$R,'Existing Customers'!$H:$H,$AZ31,'Existing Customers'!$A:$A,$BA$1)*$BA$4,0),0)</f>
        <v>0</v>
      </c>
      <c r="BG31" s="96">
        <f>IFERROR(IF(AND($BA$2&lt;&gt;"Enter Spend&gt;&gt;&gt;",BB2="EXISTING"),SUMIFS('Existing Customers'!$S:$S,'Existing Customers'!$H:$H,$AZ31,'Existing Customers'!$A:$A,$BA$1),BQ31*BA31),0)</f>
        <v>0</v>
      </c>
      <c r="BH31" s="96">
        <f>IFERROR(IF(AND($BA$2&lt;&gt;"Enter Spend&gt;&gt;&gt;",BB2="EXISTING"),SUMIFS('Existing Customers'!$U:$U,'Existing Customers'!$H:$H,$AZ31,'Existing Customers'!$A:$A,$BA$1),BR31*BA31),0)</f>
        <v>0</v>
      </c>
      <c r="BI31" s="1163" t="e">
        <f t="shared" si="24"/>
        <v>#N/A</v>
      </c>
      <c r="BJ31" s="1164">
        <f t="array" ref="BJ31">IFERROR(INDEX('Margin Guidence Table'!$A$1:$AD$30000,MATCH(1,('Margin Guidence Table'!$A$1:$A$10000=$BI31)*('Margin Guidence Table'!$H$1:$H$10000&lt;=ROUND($BA$3,0))*('Margin Guidence Table'!$G$1:$G$10000&gt;=ROUND($BA$3,0)),0),MATCH("DATA_POINTS",'Margin Guidence Table'!$A$1:$AC$1,0)),0)</f>
        <v>0</v>
      </c>
      <c r="BK31" s="1161" t="str">
        <f t="shared" si="25"/>
        <v>DEFAULT</v>
      </c>
      <c r="BL31" s="1161">
        <f t="array" ref="BL31">IFERROR(IF($BK31="SEGMENT",INDEX('Margin Guidence Table'!$A$1:$AC$10000,MATCH(1,('Margin Guidence Table'!$A$1:$A$10000=$BI31)*('Margin Guidence Table'!$H$1:$H$10000&lt;=ROUND($BA$3,0))*('Margin Guidence Table'!$G$1:$G$10000&gt;=ROUND($BA$3,0)),0),MATCH("SALES_CASE",'Margin Guidence Table'!$A$1:$AC$1,0)),INDEX('Margin Guidence Table'!$A$1:$AC$10000,MATCH(1,('Margin Guidence Table'!$A$1:$A$10000=$BI31)*('Margin Guidence Table'!$H$1:$H$10000&lt;=ROUND($BA$3,0))*('Margin Guidence Table'!$G$1:$G$10000&gt;=ROUND($BA$3,0)),0),MATCH("DEFAULT_SALES_CASE",'Margin Guidence Table'!$A$1:$AC$1,0))),0)</f>
        <v>0</v>
      </c>
      <c r="BM31" s="1161">
        <f t="array" ref="BM31">IFERROR(IF($BK31="SEGMENT",INDEX('Margin Guidence Table'!$A$1:$AC$10000,MATCH(1,('Margin Guidence Table'!$A$1:$A$10000=$BI31)*('Margin Guidence Table'!$H$1:$H$10000&lt;=ROUND($BA$3,0))*('Margin Guidence Table'!$G$1:$G$10000&gt;=ROUND($BA$3,0)),0),MATCH("SALES_LBS",'Margin Guidence Table'!$A$1:$AC$1,0)),INDEX('Margin Guidence Table'!$A$1:$AC$10000,MATCH(1,('Margin Guidence Table'!$A$1:$A$10000=$BI31)*('Margin Guidence Table'!$H$1:$H$10000&lt;=ROUND($BA$3,0))*('Margin Guidence Table'!$G$1:$G$10000&gt;=ROUND($BA$3,0)),0),MATCH("DEFAULT_SALES_LBS",'Margin Guidence Table'!$A$1:$AC$1,0))),0)</f>
        <v>0</v>
      </c>
      <c r="BN31" s="1165">
        <f t="array" ref="BN31">IFERROR(IF($BK31="SEGMENT",INDEX('Margin Guidence Table'!$A$1:$AC$10000,MATCH(1,('Margin Guidence Table'!$A$1:$A$10000=$BI31)*('Margin Guidence Table'!$H$1:$H$10000&lt;=ROUND($BA$3,0))*('Margin Guidence Table'!$G$1:$G$10000&gt;=ROUND($BA$3,0)),0),MATCH("MDA_MIN_MARGIN_GUIDENCE",'Margin Guidence Table'!$A$1:$AC$1,0)),INDEX('Margin Guidence Table'!$A$1:$AC$10000,MATCH(1,('Margin Guidence Table'!$A$1:$A$10000=$BI31)*('Margin Guidence Table'!$H$1:$H$10000&lt;=ROUND($BA$3,0))*('Margin Guidence Table'!$G$1:$G$10000&gt;=ROUND($BA$3,0)),0),MATCH("DEFAULT_MDA_MIN_MARGIN_GUIDENCE",'Margin Guidence Table'!$A$1:$AC$1,0))),0)</f>
        <v>0</v>
      </c>
      <c r="BO31" s="1165">
        <f t="array" ref="BO31">IFERROR(IF($BK31="SEGMENT",INDEX('Margin Guidence Table'!$A$1:$AC$10000,MATCH(1,('Margin Guidence Table'!$A$1:$A$10000=$BI31)*('Margin Guidence Table'!$H$1:$H$10000&lt;=ROUND($BA$3,0))*('Margin Guidence Table'!$G$1:$G$10000&gt;=ROUND($BA$3,0)),0),MATCH("MDA_MEDIAN_MARGIN_GUIDENCE",'Margin Guidence Table'!$A$1:$AC$1,0)),INDEX('Margin Guidence Table'!$A$1:$AC$10000,MATCH(1,('Margin Guidence Table'!$A$1:$A$10000=$BI31)*('Margin Guidence Table'!$H$1:$H$10000&lt;=ROUND($BA$3,0))*('Margin Guidence Table'!$G$1:$G$10000&gt;=ROUND($BA$3,0)),0),MATCH("DEFAULT_MDA_MEDIAN_MARGIN_GUIDENCE",'Margin Guidence Table'!$A$1:$AC$1,0))),0)</f>
        <v>0</v>
      </c>
      <c r="BP31" s="1165">
        <f t="array" ref="BP31">IFERROR(IF($BK31="SEGMENT",INDEX('Margin Guidence Table'!$A$1:$AC$10000,MATCH(1,('Margin Guidence Table'!$A$1:$A$10000=$BI31)*('Margin Guidence Table'!$H$1:$H$10000&lt;=ROUND($BA$3,0))*('Margin Guidence Table'!$G$1:$G$10000&gt;=ROUND($BA$3,0)),0),MATCH("MDA_MAX_MARGIN_GUIDENCE",'Margin Guidence Table'!$A$1:$AC$1,0)),INDEX('Margin Guidence Table'!$A$1:$AC$10000,MATCH(1,('Margin Guidence Table'!$A$1:$A$10000=$BI31)*('Margin Guidence Table'!$H$1:$H$10000&lt;=ROUND($BA$3,0))*('Margin Guidence Table'!$G$1:$G$10000&gt;=ROUND($BA$3,0)),0),MATCH("DEFAULT_MDA_MAX_MARGIN_GUIDENCE",'Margin Guidence Table'!$A$1:$AC$1,0))),0)</f>
        <v>0</v>
      </c>
      <c r="BQ31" s="1165">
        <f t="array" ref="BQ31">IFERROR(IF($BK31="SEGMENT",INDEX('Margin Guidence Table'!$A$1:$AC$10000,MATCH(1,('Margin Guidence Table'!$A$1:$A$10000=$BI31)*('Margin Guidence Table'!$H$1:$H$10000&lt;=ROUND($BA$3,0))*('Margin Guidence Table'!$G$1:$G$10000&gt;=ROUND($BA$3,0)),0),MATCH("PA_PCT_SALES",'Margin Guidence Table'!$A$1:$AC$1,0)),INDEX('Margin Guidence Table'!$A$1:$AC$10000,MATCH(1,('Margin Guidence Table'!$A$1:$A$10000=$BI31)*('Margin Guidence Table'!$H$1:$H$10000&lt;=ROUND($BA$3,0))*('Margin Guidence Table'!$G$1:$G$10000&gt;=ROUND($BA$3,0)),0),MATCH("DEFAULT_PA_PCT_SALES",'Margin Guidence Table'!$A$1:$AC$1,0))),0)</f>
        <v>0</v>
      </c>
      <c r="BR31" s="1165">
        <f t="array" ref="BR31">IFERROR(IF($BK31="SEGMENT",INDEX('Margin Guidence Table'!$A$1:$AC$10000,MATCH(1,('Margin Guidence Table'!$A$1:$A$10000=$BI31)*('Margin Guidence Table'!$H$1:$H$10000&lt;=ROUND($BA$3,0))*('Margin Guidence Table'!$G$1:$G$10000&gt;=ROUND($BA$3,0)),0),MATCH("SELF_FUND_PCT_SALES",'Margin Guidence Table'!$A$1:$AC$1,0)),INDEX('Margin Guidence Table'!$A$1:$AC$10000,MATCH(1,('Margin Guidence Table'!$A$1:$A$10000=$BI31)*('Margin Guidence Table'!$H$1:$H$10000&lt;=ROUND($BA$3,0))*('Margin Guidence Table'!$G$1:$G$10000&gt;=ROUND($BA$3,0)),0),MATCH("DEFAULT_SELF_FUND_PCT_SALES",'Margin Guidence Table'!$A$1:$AC$1,0))),0)</f>
        <v>0</v>
      </c>
      <c r="BS31" s="1165">
        <f t="array" ref="BS31">IFERROR(IF($BK31="SEGMENT",INDEX('Margin Guidence Table'!$A$1:$AC$10000,MATCH(1,('Margin Guidence Table'!$A$1:$A$10000=$BI31)*('Margin Guidence Table'!$H$1:$H$10000&lt;=ROUND($BA$3,0))*('Margin Guidence Table'!$G$1:$G$10000&gt;=ROUND($BA$3,0)),0),MATCH("CIA_MEDIAN_MARGIN_GUIDENCE",'Margin Guidence Table'!$A$1:$AC$1,0)),INDEX('Margin Guidence Table'!$A$1:$AC$10000,MATCH(1,('Margin Guidence Table'!$A$1:$A$10000=$BI31)*('Margin Guidence Table'!$H$1:$H$10000&lt;=ROUND($BA$3,0))*('Margin Guidence Table'!$G$1:$G$10000&gt;=ROUND($BA$3,0)),0),MATCH("DEFAULT_CIA_MEDIAN_MARGIN_GUIDENCE",'Margin Guidence Table'!$A$1:$AC$1,0))),0)</f>
        <v>0</v>
      </c>
      <c r="BT31" s="129"/>
      <c r="BU31" s="18">
        <f t="array" ref="BU31">IFERROR(IF($CG31="SEGMENT",INDEX('Margin Guidence Table'!$A$1:$AC$10000,MATCH(1,('Margin Guidence Table'!$A$1:$A$10000=$CE31)*('Margin Guidence Table'!$H$1:$H$10000&lt;=ROUND($BW$3,0))*('Margin Guidence Table'!$G$1:$G$10000&gt;=ROUND($BW$3,0)),0),MATCH("PCT_SALES",'Margin Guidence Table'!$A$1:$AC$1,0)),INDEX('Margin Guidence Table'!$A$1:$AC$10000,MATCH(1,('Margin Guidence Table'!$A$1:$A$10000=$CE31)*('Margin Guidence Table'!$H$1:$H$10000&lt;=ROUND($BW$3,0))*('Margin Guidence Table'!$G$1:$G$10000&gt;=ROUND($BW$3,0)),0),MATCH("DEFAULT_PCT_SALES",'Margin Guidence Table'!$A$1:$AC$1,0))),0)</f>
        <v>0</v>
      </c>
      <c r="BV31" s="102" t="s">
        <v>94</v>
      </c>
      <c r="BW31" s="94">
        <f>IFERROR(IF(AND($BW$2&lt;&gt;"Enter Spend&gt;&gt;&gt;",BX2="EXISTING"),SUMIFS('Existing Customers'!$Q:$Q,'Existing Customers'!$A:$A,$BW$1,'Existing Customers'!$H:$H,$BV31)*$BW$4,$BW$3*$BU31),0)</f>
        <v>0</v>
      </c>
      <c r="BX31" s="89">
        <f>IFERROR(IF(AND($BW$2&lt;&gt;"Enter Spend&gt;&gt;&gt;",BX2="EXISTING"),SUMIFS('Existing Customers'!$N:$N,'Existing Customers'!$A:$A,$BW$1,'Existing Customers'!$H:$H,$BV31)*$BW$4,$BW31/$CH31),0)</f>
        <v>0</v>
      </c>
      <c r="BY31" s="95">
        <f>IFERROR(IF(AND($BW$2&lt;&gt;"Enter Spend&gt;&gt;&gt;",BX2="EXISTING"),SUMIFS('Existing Customers'!$O:$O,'Existing Customers'!$H:$H,$BV31,'Existing Customers'!$A:$A,$BW$1)*$BW$4,$BX31*$BW$8),0)</f>
        <v>0</v>
      </c>
      <c r="BZ31" s="95">
        <f>IFERROR(IF(AND($BW$2&lt;&gt;"Enter Spend&gt;&gt;&gt;",BX2="EXISTING"),SUMIFS('Existing Customers'!$P:$P,'Existing Customers'!$A:$A,$BW$1,'Existing Customers'!$H:$H,$BV31)*$BW$4,$BW31/$CI31),0)</f>
        <v>0</v>
      </c>
      <c r="CA31" s="96">
        <f>IFERROR(IF(AND($BW$2&lt;&gt;"Enter Spend&gt;&gt;&gt;",BX2="EXISTING"),SUMIFS('Existing Customers'!$V:$V,'Existing Customers'!$H:$H,$BV31,'Existing Customers'!$A:$A,$BW$1)*$BW$4,0),0)</f>
        <v>0</v>
      </c>
      <c r="CB31" s="96">
        <f>IFERROR(IF(AND($BW$2&lt;&gt;"Enter Spend&gt;&gt;&gt;",BX2="EXISTING"),SUMIFS('Existing Customers'!$R:$R,'Existing Customers'!$H:$H,$BV31,'Existing Customers'!$A:$A,$BW$1)*$BW$4,0),0)</f>
        <v>0</v>
      </c>
      <c r="CC31" s="1161">
        <f>IFERROR(IF(AND($BW$2&lt;&gt;"Enter Spend&gt;&gt;&gt;",BX2="EXISTING"),SUMIFS('Existing Customers'!$S:$S,'Existing Customers'!$H:$H,$BV31,'Existing Customers'!$A:$A,$BW$1),CM31*BW31),0)</f>
        <v>0</v>
      </c>
      <c r="CD31" s="1161">
        <f>IFERROR(IF(AND($BW$2&lt;&gt;"Enter Spend&gt;&gt;&gt;",BX2="EXISTING"),SUMIFS('Existing Customers'!$U:$U,'Existing Customers'!$H:$H,$BV31,'Existing Customers'!$A:$A,$BW$1),CN31*BW31),0)</f>
        <v>0</v>
      </c>
      <c r="CE31" s="1164" t="e">
        <f t="shared" si="26"/>
        <v>#N/A</v>
      </c>
      <c r="CF31" s="1164">
        <f t="array" ref="CF31">IFERROR(INDEX('Margin Guidence Table'!$A$1:$AD$30000,MATCH(1,('Margin Guidence Table'!$A$1:$A$10000=$CE31)*('Margin Guidence Table'!$H$1:$H$10000&lt;=ROUND($BW$3,0))*('Margin Guidence Table'!$G$1:$G$10000&gt;=ROUND($BW$3,0)),0),MATCH("DATA_POINTS",'Margin Guidence Table'!$A$1:$AC$1,0)),0)</f>
        <v>0</v>
      </c>
      <c r="CG31" s="1161" t="str">
        <f t="shared" si="27"/>
        <v>DEFAULT</v>
      </c>
      <c r="CH31" s="1161">
        <f t="array" ref="CH31">IFERROR(IF($CG31="SEGMENT",INDEX('Margin Guidence Table'!$A$1:$AC$10000,MATCH(1,('Margin Guidence Table'!$A$1:$A$10000=$CE31)*('Margin Guidence Table'!$H$1:$H$10000&lt;=ROUND($BW$3,0))*('Margin Guidence Table'!$G$1:$G$10000&gt;=ROUND($BW$3,0)),0),MATCH("SALES_CASE",'Margin Guidence Table'!$A$1:$AC$1,0)),INDEX('Margin Guidence Table'!$A$1:$AC$10000,MATCH(1,('Margin Guidence Table'!$A$1:$A$10000=$CE31)*('Margin Guidence Table'!$H$1:$H$10000&lt;=ROUND($BW$3,0))*('Margin Guidence Table'!$G$1:$G$10000&gt;=ROUND($BW$3,0)),0),MATCH("DEFAULT_SALES_CASE",'Margin Guidence Table'!$A$1:$AC$1,0))),0)</f>
        <v>0</v>
      </c>
      <c r="CI31" s="1161">
        <f t="array" ref="CI31">IFERROR(IF($CG31="SEGMENT",INDEX('Margin Guidence Table'!$A$1:$AC$10000,MATCH(1,('Margin Guidence Table'!$A$1:$A$10000=$CE31)*('Margin Guidence Table'!$H$1:$H$10000&lt;=ROUND($BW$3,0))*('Margin Guidence Table'!$G$1:$G$10000&gt;=ROUND($BW$3,0)),0),MATCH("SALES_LBS",'Margin Guidence Table'!$A$1:$AC$1,0)),INDEX('Margin Guidence Table'!$A$1:$AC$10000,MATCH(1,('Margin Guidence Table'!$A$1:$A$10000=$CE31)*('Margin Guidence Table'!$H$1:$H$10000&lt;=ROUND($BW$3,0))*('Margin Guidence Table'!$G$1:$G$10000&gt;=ROUND($BW$3,0)),0),MATCH("DEFAULT_SALES_LBS",'Margin Guidence Table'!$A$1:$AC$1,0))),0)</f>
        <v>0</v>
      </c>
      <c r="CJ31" s="1165">
        <f t="array" ref="CJ31">IFERROR(IF($CG31="SEGMENT",INDEX('Margin Guidence Table'!$A$1:$AC$10000,MATCH(1,('Margin Guidence Table'!$A$1:$A$10000=$CE31)*('Margin Guidence Table'!$H$1:$H$10000&lt;=ROUND($BW$3,0))*('Margin Guidence Table'!$G$1:$G$10000&gt;=ROUND($BW$3,0)),0),MATCH("MDA_MIN_MARGIN_GUIDENCE",'Margin Guidence Table'!$A$1:$AC$1,0)),INDEX('Margin Guidence Table'!$A$1:$AC$10000,MATCH(1,('Margin Guidence Table'!$A$1:$A$10000=$CE31)*('Margin Guidence Table'!$H$1:$H$10000&lt;=ROUND($BW$3,0))*('Margin Guidence Table'!$G$1:$G$10000&gt;=ROUND($BW$3,0)),0),MATCH("DEFAULT_MDA_MIN_MARGIN_GUIDENCE",'Margin Guidence Table'!$A$1:$AC$1,0))),0)</f>
        <v>0</v>
      </c>
      <c r="CK31" s="1165">
        <f t="array" ref="CK31">IFERROR(IF($CG31="SEGMENT",INDEX('Margin Guidence Table'!$A$1:$AC$10000,MATCH(1,('Margin Guidence Table'!$A$1:$A$10000=$CE31)*('Margin Guidence Table'!$H$1:$H$10000&lt;=ROUND($BW$3,0))*('Margin Guidence Table'!$G$1:$G$10000&gt;=ROUND($BW$3,0)),0),MATCH("MDA_MEDIAN_MARGIN_GUIDENCE",'Margin Guidence Table'!$A$1:$AC$1,0)),INDEX('Margin Guidence Table'!$A$1:$AC$10000,MATCH(1,('Margin Guidence Table'!$A$1:$A$10000=$CE31)*('Margin Guidence Table'!$H$1:$H$10000&lt;=ROUND($BW$3,0))*('Margin Guidence Table'!$G$1:$G$10000&gt;=ROUND($BW$3,0)),0),MATCH("DEFAULT_MDA_MEDIAN_MARGIN_GUIDENCE",'Margin Guidence Table'!$A$1:$AC$1,0))),0)</f>
        <v>0</v>
      </c>
      <c r="CL31" s="1165">
        <f t="array" ref="CL31">IFERROR(IF($CG31="SEGMENT",INDEX('Margin Guidence Table'!$A$1:$AC$10000,MATCH(1,('Margin Guidence Table'!$A$1:$A$10000=$CE31)*('Margin Guidence Table'!$H$1:$H$10000&lt;=ROUND($BW$3,0))*('Margin Guidence Table'!$G$1:$G$10000&gt;=ROUND($BW$3,0)),0),MATCH("MDA_MAX_MARGIN_GUIDENCE",'Margin Guidence Table'!$A$1:$AC$1,0)),INDEX('Margin Guidence Table'!$A$1:$AC$10000,MATCH(1,('Margin Guidence Table'!$A$1:$A$10000=$CE31)*('Margin Guidence Table'!$H$1:$H$10000&lt;=ROUND($BW$3,0))*('Margin Guidence Table'!$G$1:$G$10000&gt;=ROUND($BW$3,0)),0),MATCH("DEFAULT_MDA_MAX_MARGIN_GUIDENCE",'Margin Guidence Table'!$A$1:$AC$1,0))),0)</f>
        <v>0</v>
      </c>
      <c r="CM31" s="1165">
        <f t="array" ref="CM31">IFERROR(IF($CG31="SEGMENT",INDEX('Margin Guidence Table'!$A$1:$AC$10000,MATCH(1,('Margin Guidence Table'!$A$1:$A$10000=$CE31)*('Margin Guidence Table'!$H$1:$H$10000&lt;=ROUND($BW$3,0))*('Margin Guidence Table'!$G$1:$G$10000&gt;=ROUND($BW$3,0)),0),MATCH("PA_PCT_SALES",'Margin Guidence Table'!$A$1:$AC$1,0)),INDEX('Margin Guidence Table'!$A$1:$AC$10000,MATCH(1,('Margin Guidence Table'!$A$1:$A$10000=$CE31)*('Margin Guidence Table'!$H$1:$H$10000&lt;=ROUND($BW$3,0))*('Margin Guidence Table'!$G$1:$G$10000&gt;=ROUND($BW$3,0)),0),MATCH("DEFAULT_PA_PCT_SALES",'Margin Guidence Table'!$A$1:$AC$1,0))),0)</f>
        <v>0</v>
      </c>
      <c r="CN31" s="1165">
        <f t="array" ref="CN31">IFERROR(IF($CG31="SEGMENT",INDEX('Margin Guidence Table'!$A$1:$AC$10000,MATCH(1,('Margin Guidence Table'!$A$1:$A$10000=$CE31)*('Margin Guidence Table'!$H$1:$H$10000&lt;=ROUND($BW$3,0))*('Margin Guidence Table'!$G$1:$G$10000&gt;=ROUND($BW$3,0)),0),MATCH("SELF_FUND_PCT_SALES",'Margin Guidence Table'!$A$1:$AC$1,0)),INDEX('Margin Guidence Table'!$A$1:$AC$10000,MATCH(1,('Margin Guidence Table'!$A$1:$A$10000=$CE31)*('Margin Guidence Table'!$H$1:$H$10000&lt;=ROUND($BW$3,0))*('Margin Guidence Table'!$G$1:$G$10000&gt;=ROUND($BW$3,0)),0),MATCH("DEFAULT_SELF_FUND_PCT_SALES",'Margin Guidence Table'!$A$1:$AC$1,0))),0)</f>
        <v>0</v>
      </c>
      <c r="CO31" s="1165">
        <f t="array" ref="CO31">IFERROR(IF($CG31="SEGMENT",INDEX('Margin Guidence Table'!$A$1:$AC$10000,MATCH(1,('Margin Guidence Table'!$A$1:$A$10000=$CE31)*('Margin Guidence Table'!$H$1:$H$10000&lt;=ROUND($BW$3,0))*('Margin Guidence Table'!$G$1:$G$10000&gt;=ROUND($BW$3,0)),0),MATCH("CIA_MEDIAN_MARGIN_GUIDENCE",'Margin Guidence Table'!$A$1:$AC$1,0)),INDEX('Margin Guidence Table'!$A$1:$AC$10000,MATCH(1,('Margin Guidence Table'!$A$1:$A$10000=$CE31)*('Margin Guidence Table'!$H$1:$H$10000&lt;=ROUND($BW$3,0))*('Margin Guidence Table'!$G$1:$G$10000&gt;=ROUND($BW$3,0)),0),MATCH("DEFAULT_CIA_MEDIAN_MARGIN_GUIDENCE",'Margin Guidence Table'!$A$1:$AC$1,0))),0)</f>
        <v>0</v>
      </c>
      <c r="CP31" s="129"/>
      <c r="CQ31" s="18">
        <f t="array" ref="CQ31">IFERROR(IF($DC31="SEGMENT",INDEX('Margin Guidence Table'!$A$1:$AC$10000,MATCH(1,('Margin Guidence Table'!$A$1:$A$10000=$DA31)*('Margin Guidence Table'!$H$1:$H$10000&lt;=ROUND($CS$3,0))*('Margin Guidence Table'!$G$1:$G$10000&gt;=ROUND($CS$3,0)),0),MATCH("PCT_SALES",'Margin Guidence Table'!$A$1:$AC$1,0)),INDEX('Margin Guidence Table'!$A$1:$AC$10000,MATCH(1,('Margin Guidence Table'!$A$1:$A$10000=$DA31)*('Margin Guidence Table'!$H$1:$H$10000&lt;=ROUND($CS$3,0))*('Margin Guidence Table'!$G$1:$G$10000&gt;=ROUND($CS$3,0)),0),MATCH("DEFAULT_PCT_SALES",'Margin Guidence Table'!$A$1:$AC$1,0))),0)</f>
        <v>0</v>
      </c>
      <c r="CR31" s="102" t="s">
        <v>94</v>
      </c>
      <c r="CS31" s="94">
        <f>IFERROR(IF(AND($CS$2&lt;&gt;"Enter Spend&gt;&gt;&gt;",CT2="EXISTING"),SUMIFS('Existing Customers'!$Q:$Q,'Existing Customers'!$A:$A,$CS$1,'Existing Customers'!$H:$H,$CR31)*$CS$4,$CS$3*$CQ31),0)</f>
        <v>0</v>
      </c>
      <c r="CT31" s="89">
        <f>IFERROR(IF(AND($CS$2&lt;&gt;"Enter Spend&gt;&gt;&gt;",CT2="EXISTING"),SUMIFS('Existing Customers'!$N:$N,'Existing Customers'!$A:$A,$CS$1,'Existing Customers'!$H:$H,$CR31)*$CS$4,$CS31/$DD31),0)</f>
        <v>0</v>
      </c>
      <c r="CU31" s="95">
        <f>IFERROR(IF(AND($CS$2&lt;&gt;"Enter Spend&gt;&gt;&gt;",BB28="EXISTING"),SUMIFS('Existing Customers'!$O:$O,'Existing Customers'!$H:$H,$CR31,'Existing Customers'!$A:$A,$CS$1)*$CS$4,$CT31*$CS$8),0)</f>
        <v>0</v>
      </c>
      <c r="CV31" s="95">
        <f>IFERROR(IF(AND($CS$2&lt;&gt;"Enter Spend&gt;&gt;&gt;",CT2="EXISTING"),SUMIFS('Existing Customers'!$P:$P,'Existing Customers'!$A:$A,$CS$1,'Existing Customers'!$H:$H,$CR31)*$CS$4,$CS31/$DE31),0)</f>
        <v>0</v>
      </c>
      <c r="CW31" s="96">
        <f>IFERROR(IF(AND($CS$2&lt;&gt;"Enter Spend&gt;&gt;&gt;",CT2="EXISTING"),SUMIFS('Existing Customers'!$V:$V,'Existing Customers'!$H:$H,$CR31,'Existing Customers'!$A:$A,$CS$1)*$CS$4,0),0)</f>
        <v>0</v>
      </c>
      <c r="CX31" s="96">
        <f>IFERROR(IF(AND($CS$2&lt;&gt;"Enter Spend&gt;&gt;&gt;",CT2="EXISTING"),SUMIFS('Existing Customers'!$R:$R,'Existing Customers'!$H:$H,$AZ31,'Existing Customers'!$A:$A,$CS$1)*$CS$4,0),0)</f>
        <v>0</v>
      </c>
      <c r="CY31" s="1161">
        <f>IFERROR(IF(AND($CS$2&lt;&gt;"Enter Spend&gt;&gt;&gt;",CT2="EXISTING"),SUMIFS('Existing Customers'!$S:$S,'Existing Customers'!$H:$H,$CR31,'Existing Customers'!$A:$A,$CS$1),DI31*CS31),0)</f>
        <v>0</v>
      </c>
      <c r="CZ31" s="1161">
        <f>IFERROR(IF(AND($CS$2&lt;&gt;"Enter Spend&gt;&gt;&gt;",CT2="EXISTING"),SUMIFS('Existing Customers'!$U:$U,'Existing Customers'!$H:$H,$CR31,'Existing Customers'!$A:$A,$CS$1),DJ31*CS31),0)</f>
        <v>0</v>
      </c>
      <c r="DA31" s="1164" t="e">
        <f t="shared" si="28"/>
        <v>#N/A</v>
      </c>
      <c r="DB31" s="1164">
        <f t="array" ref="DB31">IFERROR(INDEX('Margin Guidence Table'!$A$1:$AD$30000,MATCH(1,('Margin Guidence Table'!$A$1:$A$10000=DA31)*('Margin Guidence Table'!$H$1:$H$10000&lt;=ROUND($CS$3,0))*('Margin Guidence Table'!$G$1:$G$10000&gt;=ROUND($CS$3,0)),0),MATCH("DATA_POINTS",'Margin Guidence Table'!$A$1:$AC$1,0)),0)</f>
        <v>0</v>
      </c>
      <c r="DC31" s="1161" t="str">
        <f t="shared" si="29"/>
        <v>DEFAULT</v>
      </c>
      <c r="DD31" s="1161">
        <f t="array" ref="DD31">IFERROR(IF($DC31="SEGMENT",INDEX('Margin Guidence Table'!$A$1:$AC$10000,MATCH(1,('Margin Guidence Table'!$A$1:$A$10000=DA31)*('Margin Guidence Table'!$H$1:$H$10000&lt;=ROUND($CS$3,0))*('Margin Guidence Table'!$G$1:$G$10000&gt;=ROUND($CS$3,0)),0),MATCH("SALES_CASE",'Margin Guidence Table'!$A$1:$AC$1,0)),INDEX('Margin Guidence Table'!$A$1:$AC$10000,MATCH(1,('Margin Guidence Table'!$A$1:$A$10000=DA31)*('Margin Guidence Table'!$H$1:$H$10000&lt;=ROUND($CS$3,0))*('Margin Guidence Table'!$G$1:$G$10000&gt;=ROUND($CS$3,0)),0),MATCH("DEFAULT_SALES_CASE",'Margin Guidence Table'!$A$1:$AC$1,0))),0)</f>
        <v>0</v>
      </c>
      <c r="DE31" s="1161">
        <f t="array" ref="DE31">IFERROR(IF($DC31="SEGMENT",INDEX('Margin Guidence Table'!$A$1:$AC$10000,MATCH(1,('Margin Guidence Table'!$A$1:$A$10000=DA31)*('Margin Guidence Table'!$H$1:$H$10000&lt;=ROUND($CS$3,0))*('Margin Guidence Table'!$G$1:$G$10000&gt;=ROUND($CS$3,0)),0),MATCH("SALES_LBS",'Margin Guidence Table'!$A$1:$AC$1,0)),INDEX('Margin Guidence Table'!$A$1:$AC$10000,MATCH(1,('Margin Guidence Table'!$A$1:$A$10000=DA31)*('Margin Guidence Table'!$H$1:$H$10000&lt;=ROUND($CS$3,0))*('Margin Guidence Table'!$G$1:$G$10000&gt;=ROUND($CS$3,0)),0),MATCH("DEFAULT_SALES_LBS",'Margin Guidence Table'!$A$1:$AC$1,0))),0)</f>
        <v>0</v>
      </c>
      <c r="DF31" s="1165">
        <f t="array" ref="DF31">IFERROR(IF($DC31="SEGMENT",INDEX('Margin Guidence Table'!$A$1:$AC$10000,MATCH(1,('Margin Guidence Table'!$A$1:$A$10000=DA31)*('Margin Guidence Table'!$H$1:$H$10000&lt;=ROUND($CS$3,0))*('Margin Guidence Table'!$G$1:$G$10000&gt;=ROUND($CS$3,0)),0),MATCH("MDA_MIN_MARGIN_GUIDENCE",'Margin Guidence Table'!$A$1:$AC$1,0)),INDEX('Margin Guidence Table'!$A$1:$AC$10000,MATCH(1,('Margin Guidence Table'!$A$1:$A$10000=DA31)*('Margin Guidence Table'!$H$1:$H$10000&lt;=ROUND($CS$3,0))*('Margin Guidence Table'!$G$1:$G$10000&gt;=ROUND($CS$3,0)),0),MATCH("DEFAULT_MDA_MIN_MARGIN_GUIDENCE",'Margin Guidence Table'!$A$1:$AC$1,0))),0)</f>
        <v>0</v>
      </c>
      <c r="DG31" s="1165">
        <f t="array" ref="DG31">IFERROR(IF($DC31="SEGMENT",INDEX('Margin Guidence Table'!$A$1:$AC$10000,MATCH(1,('Margin Guidence Table'!$A$1:$A$10000=DA31)*('Margin Guidence Table'!$H$1:$H$10000&lt;=ROUND($CS$3,0))*('Margin Guidence Table'!$G$1:$G$10000&gt;=ROUND($CS$3,0)),0),MATCH("MDA_MEDIAN_MARGIN_GUIDENCE",'Margin Guidence Table'!$A$1:$AC$1,0)),INDEX('Margin Guidence Table'!$A$1:$AC$10000,MATCH(1,('Margin Guidence Table'!$A$1:$A$10000=DA31)*('Margin Guidence Table'!$H$1:$H$10000&lt;=ROUND($CS$3,0))*('Margin Guidence Table'!$G$1:$G$10000&gt;=ROUND($CS$3,0)),0),MATCH("DEFAULT_MDA_MEDIAN_MARGIN_GUIDENCE",'Margin Guidence Table'!$A$1:$AC$1,0))),0)</f>
        <v>0</v>
      </c>
      <c r="DH31" s="1165">
        <f t="array" ref="DH31">IFERROR(IF($DC31="SEGMENT",INDEX('Margin Guidence Table'!$A$1:$AC$10000,MATCH(1,('Margin Guidence Table'!$A$1:$A$10000=DA31)*('Margin Guidence Table'!$H$1:$H$10000&lt;=ROUND($CS$3,0))*('Margin Guidence Table'!$G$1:$G$10000&gt;=ROUND($CS$3,0)),0),MATCH("MDA_MAX_MARGIN_GUIDENCE",'Margin Guidence Table'!$A$1:$AC$1,0)),INDEX('Margin Guidence Table'!$A$1:$AC$10000,MATCH(1,('Margin Guidence Table'!$A$1:$A$10000=DA31)*('Margin Guidence Table'!$H$1:$H$10000&lt;=ROUND($CS$3,0))*('Margin Guidence Table'!$G$1:$G$10000&gt;=ROUND($CS$3,0)),0),MATCH("DEFAULT_MDA_MAX_MARGIN_GUIDENCE",'Margin Guidence Table'!$A$1:$AC$1,0))),0)</f>
        <v>0</v>
      </c>
      <c r="DI31" s="1165">
        <f t="array" ref="DI31">IFERROR(IF($DC31="SEGMENT",INDEX('Margin Guidence Table'!$A$1:$AC$10000,MATCH(1,('Margin Guidence Table'!$A$1:$A$10000=DA31)*('Margin Guidence Table'!$H$1:$H$10000&lt;=ROUND($CS$3,0))*('Margin Guidence Table'!$G$1:$G$10000&gt;=ROUND($CS$3,0)),0),MATCH("PA_PCT_SALES",'Margin Guidence Table'!$A$1:$AC$1,0)),INDEX('Margin Guidence Table'!$A$1:$AC$10000,MATCH(1,('Margin Guidence Table'!$A$1:$A$10000=DA31)*('Margin Guidence Table'!$H$1:$H$10000&lt;=ROUND($CS$3,0))*('Margin Guidence Table'!$G$1:$G$10000&gt;=ROUND($CS$3,0)),0),MATCH("DEFAULT_PA_PCT_SALES",'Margin Guidence Table'!$A$1:$AC$1,0))),0)</f>
        <v>0</v>
      </c>
      <c r="DJ31" s="1165">
        <f t="array" ref="DJ31">IFERROR(IF($DC31="SEGMENT",INDEX('Margin Guidence Table'!$A$1:$AC$10000,MATCH(1,('Margin Guidence Table'!$A$1:$A$10000=DA31)*('Margin Guidence Table'!$H$1:$H$10000&lt;=ROUND($CS$3,0))*('Margin Guidence Table'!$G$1:$G$10000&gt;=ROUND($CS$3,0)),0),MATCH("SELF_FUND_PCT_SALES",'Margin Guidence Table'!$A$1:$AC$1,0)),INDEX('Margin Guidence Table'!$A$1:$AC$10000,MATCH(1,('Margin Guidence Table'!$A$1:$A$10000=DA31)*('Margin Guidence Table'!$H$1:$H$10000&lt;=ROUND($CS$3,0))*('Margin Guidence Table'!$G$1:$G$10000&gt;=ROUND($CS$3,0)),0),MATCH("DEFAULT_SELF_FUND_PCT_SALES",'Margin Guidence Table'!$A$1:$AC$1,0))),0)</f>
        <v>0</v>
      </c>
      <c r="DK31" s="1165">
        <f t="array" ref="DK31">IFERROR(IF($DC31="SEGMENT",INDEX('Margin Guidence Table'!$A$1:$AC$10000,MATCH(1,('Margin Guidence Table'!$A$1:$A$10000=DA31)*('Margin Guidence Table'!$H$1:$H$10000&lt;=ROUND($CS$3,0))*('Margin Guidence Table'!$G$1:$G$10000&gt;=ROUND($CS$3,0)),0),MATCH("CIA_MEDIAN_MARGIN_GUIDENCE",'Margin Guidence Table'!$A$1:$AC$1,0)),INDEX('Margin Guidence Table'!$A$1:$AC$10000,MATCH(1,('Margin Guidence Table'!$A$1:$A$10000=DA31)*('Margin Guidence Table'!$H$1:$H$10000&lt;=ROUND($CS$3,0))*('Margin Guidence Table'!$G$1:$G$10000&gt;=ROUND($CS$3,0)),0),MATCH("DEFAULT_CIA_MEDIAN_MARGIN_GUIDENCE",'Margin Guidence Table'!$A$1:$AC$1,0))),0)</f>
        <v>0</v>
      </c>
      <c r="DL31" s="129"/>
      <c r="DM31" s="18">
        <f t="array" ref="DM31">IFERROR(IF($DY31="SEGMENT",INDEX('Margin Guidence Table'!$A$1:$AC$10000,MATCH(1,('Margin Guidence Table'!$A$1:$A$10000=$DW31)*('Margin Guidence Table'!$H$1:$H$10000&lt;=ROUND($DO$3,0))*('Margin Guidence Table'!$G$1:$G$10000&gt;=ROUND($DO$3,0)),0),MATCH("PCT_SALES",'Margin Guidence Table'!$A$1:$AC$1,0)),INDEX('Margin Guidence Table'!$A$1:$AC$10000,MATCH(1,('Margin Guidence Table'!$A$1:$A$10000=$DW31)*('Margin Guidence Table'!$H$1:$H$10000&lt;=ROUND($DO$3,0))*('Margin Guidence Table'!$G$1:$G$10000&gt;=ROUND($DO$3,0)),0),MATCH("DEFAULT_PCT_SALES",'Margin Guidence Table'!$A$1:$AC$1,0))),0)</f>
        <v>0</v>
      </c>
      <c r="DN31" s="102" t="s">
        <v>94</v>
      </c>
      <c r="DO31" s="94">
        <f>IFERROR(IF(AND($DO$2&lt;&gt;"Enter Spend&gt;&gt;&gt;",DP2="EXISTING"),SUMIFS('Existing Customers'!$Q:$Q,'Existing Customers'!$A:$A,$DO$1,'Existing Customers'!$H:$H,$DN31)*$DO$4,$DO$3*$DM31),0)</f>
        <v>0</v>
      </c>
      <c r="DP31" s="89">
        <f>IFERROR(IF(AND($DO$2&lt;&gt;"Enter Spend&gt;&gt;&gt;",DP2="EXISTING"),SUMIFS('Existing Customers'!$N:$N,'Existing Customers'!$A:$A,$DO$1,'Existing Customers'!$H:$H,$DN31)*$DO$4,$DO31/$DZ31),0)</f>
        <v>0</v>
      </c>
      <c r="DQ31" s="95">
        <f>IFERROR(IF(AND($DO$2&lt;&gt;"Enter Spend&gt;&gt;&gt;",DP2="EXISTING"),SUMIFS('Existing Customers'!$O:$O,'Existing Customers'!$H:$H,$DN31,'Existing Customers'!$A:$A,$DO$1)*$DO$4,$DP31*$DO$8),0)</f>
        <v>0</v>
      </c>
      <c r="DR31" s="95">
        <f>IFERROR(IF(AND($DO$2&lt;&gt;"Enter Spend&gt;&gt;&gt;",DP2="EXISTING"),SUMIFS('Existing Customers'!$P:$P,'Existing Customers'!$A:$A,$DO$1,'Existing Customers'!$H:$H,$DN31)*$DO$4,$DO31/$EA31),0)</f>
        <v>0</v>
      </c>
      <c r="DS31" s="96">
        <f>IFERROR(IF(AND($DO$2&lt;&gt;"Enter Spend&gt;&gt;&gt;",EL2="EXISTING"),SUMIFS('Existing Customers'!$V:$V,'Existing Customers'!$H:$H,$DN31,'Existing Customers'!$A:$A,$DO$1)*$DO$4,0),0)</f>
        <v>0</v>
      </c>
      <c r="DT31" s="96">
        <f>IFERROR(IF(AND($DO$2&lt;&gt;"Enter Spend&gt;&gt;&gt;",DP2="EXISTING"),SUMIFS('Existing Customers'!$R:$R,'Existing Customers'!$H:$H,$DN31,'Existing Customers'!$A:$A,$DO$1)*$DO$4,0),0)</f>
        <v>0</v>
      </c>
      <c r="DU31" s="1161">
        <f>IFERROR(IF(AND($DO$2&lt;&gt;"Enter Spend&gt;&gt;&gt;",DP2="EXISTING"),SUMIFS('Existing Customers'!$S:$S,'Existing Customers'!$H:$H,$DP31,'Existing Customers'!$A:$A,$DO$1),EE31*DO31),0)</f>
        <v>0</v>
      </c>
      <c r="DV31" s="1161">
        <f>IFERROR(IF(AND($DO$2&lt;&gt;"Enter Spend&gt;&gt;&gt;",DP2="EXISTING"),SUMIFS('Existing Customers'!$U:$U,'Existing Customers'!$H:$H,$DN31,'Existing Customers'!$A:$A,$DO$1),EF31*DO31),0)</f>
        <v>0</v>
      </c>
      <c r="DW31" s="1164" t="e">
        <f t="shared" si="30"/>
        <v>#N/A</v>
      </c>
      <c r="DX31" s="1164">
        <f t="array" ref="DX31">IFERROR(INDEX('Margin Guidence Table'!$A$1:$AD$30000,MATCH(1,('Margin Guidence Table'!$A$1:$A$10000=DW31)*('Margin Guidence Table'!$H$1:$H$10000&lt;=ROUND($DO$3,0))*('Margin Guidence Table'!$G$1:$G$10000&gt;=ROUND($DO$3,0)),0),MATCH("DATA_POINTS",'Margin Guidence Table'!$A$1:$AC$1,0)),0)</f>
        <v>0</v>
      </c>
      <c r="DY31" s="1161" t="str">
        <f t="shared" si="31"/>
        <v>DEFAULT</v>
      </c>
      <c r="DZ31" s="1161">
        <f t="array" ref="DZ31">IFERROR(IF($DY31="SEGMENT",INDEX('Margin Guidence Table'!$A$1:$AC$10000,MATCH(1,('Margin Guidence Table'!$A$1:$A$10000=DW31)*('Margin Guidence Table'!$H$1:$H$10000&lt;=ROUND($DO$3,0))*('Margin Guidence Table'!$G$1:$G$10000&gt;=ROUND($DO$3,0)),0),MATCH("SALES_CASE",'Margin Guidence Table'!$A$1:$AC$1,0)),INDEX('Margin Guidence Table'!$A$1:$AC$10000,MATCH(1,('Margin Guidence Table'!$A$1:$A$10000=DW31)*('Margin Guidence Table'!$H$1:$H$10000&lt;=ROUND($DO$3,0))*('Margin Guidence Table'!$G$1:$G$10000&gt;=ROUND($DO$3,0)),0),MATCH("DEFAULT_SALES_CASE",'Margin Guidence Table'!$A$1:$AC$1,0))),0)</f>
        <v>0</v>
      </c>
      <c r="EA31" s="1161">
        <f t="array" ref="EA31">IFERROR(IF($DY31="SEGMENT",INDEX('Margin Guidence Table'!$A$1:$AC$10000,MATCH(1,('Margin Guidence Table'!$A$1:$A$10000=DW31)*('Margin Guidence Table'!$H$1:$H$10000&lt;=ROUND($DO$3,0))*('Margin Guidence Table'!$G$1:$G$10000&gt;=ROUND($DO$3,0)),0),MATCH("SALES_LBS",'Margin Guidence Table'!$A$1:$AC$1,0)),INDEX('Margin Guidence Table'!$A$1:$AC$10000,MATCH(1,('Margin Guidence Table'!$A$1:$A$10000=DW31)*('Margin Guidence Table'!$H$1:$H$10000&lt;=ROUND($DO$3,0))*('Margin Guidence Table'!$G$1:$G$10000&gt;=ROUND($DO$3,0)),0),MATCH("DEFAULT_SALES_LBS",'Margin Guidence Table'!$A$1:$AC$1,0))),0)</f>
        <v>0</v>
      </c>
      <c r="EB31" s="1165">
        <f t="array" ref="EB31">IFERROR(IF($DY31="SEGMENT",INDEX('Margin Guidence Table'!$A$1:$AC$10000,MATCH(1,('Margin Guidence Table'!$A$1:$A$10000=DW31)*('Margin Guidence Table'!$H$1:$H$10000&lt;=ROUND($DO$3,0))*('Margin Guidence Table'!$G$1:$G$10000&gt;=ROUND($DO$3,0)),0),MATCH("MDA_MIN_MARGIN_GUIDENCE",'Margin Guidence Table'!$A$1:$AC$1,0)),INDEX('Margin Guidence Table'!$A$1:$AC$10000,MATCH(1,('Margin Guidence Table'!$A$1:$A$10000=DW31)*('Margin Guidence Table'!$H$1:$H$10000&lt;=ROUND($DO$3,0))*('Margin Guidence Table'!$G$1:$G$10000&gt;=ROUND($DO$3,0)),0),MATCH("DEFAULT_MDA_MIN_MARGIN_GUIDENCE",'Margin Guidence Table'!$A$1:$AC$1,0))),0)</f>
        <v>0</v>
      </c>
      <c r="EC31" s="1165">
        <f t="array" ref="EC31">IFERROR(IF($DY31="SEGMENT",INDEX('Margin Guidence Table'!$A$1:$AC$10000,MATCH(1,('Margin Guidence Table'!$A$1:$A$10000=DW31)*('Margin Guidence Table'!$H$1:$H$10000&lt;=ROUND($DO$3,0))*('Margin Guidence Table'!$G$1:$G$10000&gt;=ROUND($DO$3,0)),0),MATCH("MDA_MEDIAN_MARGIN_GUIDENCE",'Margin Guidence Table'!$A$1:$AC$1,0)),INDEX('Margin Guidence Table'!$A$1:$AC$10000,MATCH(1,('Margin Guidence Table'!$A$1:$A$10000=DW31)*('Margin Guidence Table'!$H$1:$H$10000&lt;=ROUND($DO$3,0))*('Margin Guidence Table'!$G$1:$G$10000&gt;=ROUND($DO$3,0)),0),MATCH("DEFAULT_MDA_MEDIAN_MARGIN_GUIDENCE",'Margin Guidence Table'!$A$1:$AC$1,0))),0)</f>
        <v>0</v>
      </c>
      <c r="ED31" s="1165">
        <f t="array" ref="ED31">IFERROR(IF($DY31="SEGMENT",INDEX('Margin Guidence Table'!$A$1:$AC$10000,MATCH(1,('Margin Guidence Table'!$A$1:$A$10000=DW31)*('Margin Guidence Table'!$H$1:$H$10000&lt;=ROUND($DO$3,0))*('Margin Guidence Table'!$G$1:$G$10000&gt;=ROUND($DO$3,0)),0),MATCH("MDA_MAX_MARGIN_GUIDENCE",'Margin Guidence Table'!$A$1:$AC$1,0)),INDEX('Margin Guidence Table'!$A$1:$AC$10000,MATCH(1,('Margin Guidence Table'!$A$1:$A$10000=DW31)*('Margin Guidence Table'!$H$1:$H$10000&lt;=ROUND($DO$3,0))*('Margin Guidence Table'!$G$1:$G$10000&gt;=ROUND($DO$3,0)),0),MATCH("DEFAULT_MDA_MAX_MARGIN_GUIDENCE",'Margin Guidence Table'!$A$1:$AC$1,0))),0)</f>
        <v>0</v>
      </c>
      <c r="EE31" s="1165">
        <f t="array" ref="EE31">IFERROR(IF($DY31="SEGMENT",INDEX('Margin Guidence Table'!$A$1:$AC$10000,MATCH(1,('Margin Guidence Table'!$A$1:$A$10000=DW31)*('Margin Guidence Table'!$H$1:$H$10000&lt;=ROUND($DO$3,0))*('Margin Guidence Table'!$G$1:$G$10000&gt;=ROUND($DO$3,0)),0),MATCH("PA_PCT_SALES",'Margin Guidence Table'!$A$1:$AC$1,0)),INDEX('Margin Guidence Table'!$A$1:$AC$10000,MATCH(1,('Margin Guidence Table'!$A$1:$A$10000=DW31)*('Margin Guidence Table'!$H$1:$H$10000&lt;=ROUND($DO$3,0))*('Margin Guidence Table'!$G$1:$G$10000&gt;=ROUND($DO$3,0)),0),MATCH("DEFAULT_PA_PCT_SALES",'Margin Guidence Table'!$A$1:$AC$1,0))),0)</f>
        <v>0</v>
      </c>
      <c r="EF31" s="1165">
        <f t="array" ref="EF31">IFERROR(IF($DY31="SEGMENT",INDEX('Margin Guidence Table'!$A$1:$AC$10000,MATCH(1,('Margin Guidence Table'!$A$1:$A$10000=DW31)*('Margin Guidence Table'!$H$1:$H$10000&lt;=ROUND($DO$3,0))*('Margin Guidence Table'!$G$1:$G$10000&gt;=ROUND($DO$3,0)),0),MATCH("SELF_FUND_PCT_SALES",'Margin Guidence Table'!$A$1:$AC$1,0)),INDEX('Margin Guidence Table'!$A$1:$AC$10000,MATCH(1,('Margin Guidence Table'!$A$1:$A$10000=DW31)*('Margin Guidence Table'!$H$1:$H$10000&lt;=ROUND($DO$3,0))*('Margin Guidence Table'!$G$1:$G$10000&gt;=ROUND($DO$3,0)),0),MATCH("DEFAULT_SELF_FUND_PCT_SALES",'Margin Guidence Table'!$A$1:$AC$1,0))),0)</f>
        <v>0</v>
      </c>
      <c r="EG31" s="1165">
        <f t="array" ref="EG31">IFERROR(IF($DY31="SEGMENT",INDEX('Margin Guidence Table'!$A$1:$AC$10000,MATCH(1,('Margin Guidence Table'!$A$1:$A$10000=DW31)*('Margin Guidence Table'!$H$1:$H$10000&lt;=ROUND($DO$3,0))*('Margin Guidence Table'!$G$1:$G$10000&gt;=ROUND($DO$3,0)),0),MATCH("CIA_MEDIAN_MARGIN_GUIDENCE",'Margin Guidence Table'!$A$1:$AC$1,0)),INDEX('Margin Guidence Table'!$A$1:$AC$10000,MATCH(1,('Margin Guidence Table'!$A$1:$A$10000=DW31)*('Margin Guidence Table'!$H$1:$H$10000&lt;=ROUND($DO$3,0))*('Margin Guidence Table'!$G$1:$G$10000&gt;=ROUND($DO$3,0)),0),MATCH("DEFAULT_CIA_MEDIAN_MARGIN_GUIDENCE",'Margin Guidence Table'!$A$1:$AC$1,0))),0)</f>
        <v>0</v>
      </c>
      <c r="EH31" s="129"/>
      <c r="EI31" s="18">
        <f t="array" ref="EI31">IFERROR(IF($EU31="SEGMENT",INDEX('Margin Guidence Table'!$A$1:$AC$10000,MATCH(1,('Margin Guidence Table'!$A$1:$A$10000=$ES31)*('Margin Guidence Table'!$H$1:$H$10000&lt;=ROUND($EK$3,0))*('Margin Guidence Table'!$G$1:$G$10000&gt;=ROUND($EK$3,0)),0),MATCH("PCT_SALES",'Margin Guidence Table'!$A$1:$AC$1,0)),INDEX('Margin Guidence Table'!$A$1:$AC$10000,MATCH(1,('Margin Guidence Table'!$A$1:$A$10000=$ES31)*('Margin Guidence Table'!$H$1:$H$10000&lt;=ROUND($EK$3,0))*('Margin Guidence Table'!$G$1:$G$10000&gt;=ROUND($EK$3,0)),0),MATCH("DEFAULT_PCT_SALES",'Margin Guidence Table'!$A$1:$AC$1,0))),0)</f>
        <v>0</v>
      </c>
      <c r="EJ31" s="102" t="s">
        <v>94</v>
      </c>
      <c r="EK31" s="94">
        <f>IFERROR(IF(AND($EK$2&lt;&gt;"Enter Spend&gt;&gt;&gt;",EL2="EXISTING"),SUMIFS('Existing Customers'!$Q:$Q,'Existing Customers'!$A:$A,$EK$1,'Existing Customers'!$H:$H,$EJ31)*$EK$4,$EK$3*$EI31),0)</f>
        <v>0</v>
      </c>
      <c r="EL31" s="89">
        <f>IFERROR(IF(AND($EK$2&lt;&gt;"Enter Spend&gt;&gt;&gt;",EL2="EXISTING"),SUMIFS('Existing Customers'!$N:$N,'Existing Customers'!$A:$A,$EK$1,'Existing Customers'!$H:$H,$EJ31)*$EK$4,$EK31/$EV31),0)</f>
        <v>0</v>
      </c>
      <c r="EM31" s="95">
        <f>IFERROR(IF(AND($EK$2&lt;&gt;"Enter Spend&gt;&gt;&gt;",EL2="EXISTING"),SUMIFS('Existing Customers'!$O:$O,'Existing Customers'!$H:$H,$EJ31,'Existing Customers'!$A:$A,$EK$1)*$EK$4,$EL31*$EK$8),0)</f>
        <v>0</v>
      </c>
      <c r="EN31" s="95">
        <f>IFERROR(IF(AND($EK$2&lt;&gt;"Enter Spend&gt;&gt;&gt;",EL2="EXISTING"),SUMIFS('Existing Customers'!$P:$P,'Existing Customers'!$A:$A,$EK$1,'Existing Customers'!$H:$H,$EJ31)*$EK$4,$EK31/$EW31),0)</f>
        <v>0</v>
      </c>
      <c r="EO31" s="96">
        <f>IFERROR(IF(AND($EK$2&lt;&gt;"Enter Spend&gt;&gt;&gt;",EL2="EXISTING"),SUMIFS('Existing Customers'!$V:$V,'Existing Customers'!$H:$H,$EJ31,'Existing Customers'!$A:$A,$EK$1)*$EK$4,0),0)</f>
        <v>0</v>
      </c>
      <c r="EP31" s="96">
        <f>IFERROR(IF(AND($EK$2&lt;&gt;"Enter Spend&gt;&gt;&gt;",EL2="EXISTING"),SUMIFS('Existing Customers'!$R:$R,'Existing Customers'!$H:$H,$EJ31,'Existing Customers'!$A:$A,$EK$1)*$EK$4,0),0)</f>
        <v>0</v>
      </c>
      <c r="EQ31" s="1161">
        <f>IFERROR(IF(AND($EK$2&lt;&gt;"Enter Spend&gt;&gt;&gt;",EL2="EXISTING"),SUMIFS('Existing Customers'!$S:$S,'Existing Customers'!$H:$H,$EJ31,'Existing Customers'!$A:$A,$EK$1),FA31*EK31),0)</f>
        <v>0</v>
      </c>
      <c r="ER31" s="1161">
        <f>IFERROR(IF(AND($EK$2&lt;&gt;"Enter Spend&gt;&gt;&gt;",EL2="EXISTING"),SUMIFS('Existing Customers'!$U:$U,'Existing Customers'!$H:$H,$EJ31,'Existing Customers'!$A:$A,$EK$1),FB31*EK31),0)</f>
        <v>0</v>
      </c>
      <c r="ES31" s="1164" t="e">
        <f t="shared" si="32"/>
        <v>#N/A</v>
      </c>
      <c r="ET31" s="1164">
        <f t="array" ref="ET31">IFERROR(INDEX('Margin Guidence Table'!$A$1:$AD$30000,MATCH(1,('Margin Guidence Table'!$A$1:$A$10000=ES31)*('Margin Guidence Table'!$H$1:$H$10000&lt;=ROUND($EK$3,0))*('Margin Guidence Table'!$G$1:$G$10000&gt;=ROUND($EK$3,0)),0),MATCH("DATA_POINTS",'Margin Guidence Table'!$A$1:$AC$1,0)),0)</f>
        <v>0</v>
      </c>
      <c r="EU31" s="1161" t="str">
        <f t="shared" si="33"/>
        <v>DEFAULT</v>
      </c>
      <c r="EV31" s="1161">
        <f t="array" ref="EV31">IFERROR(IF($EU31="SEGMENT",INDEX('Margin Guidence Table'!$A$1:$AC$10000,MATCH(1,('Margin Guidence Table'!$A$1:$A$10000=ES31)*('Margin Guidence Table'!$H$1:$H$10000&lt;=ROUND($EK$3,0))*('Margin Guidence Table'!$G$1:$G$10000&gt;=ROUND($EK$3,0)),0),MATCH("SALES_CASE",'Margin Guidence Table'!$A$1:$AC$1,0)),INDEX('Margin Guidence Table'!$A$1:$AC$10000,MATCH(1,('Margin Guidence Table'!$A$1:$A$10000=ES31)*('Margin Guidence Table'!$H$1:$H$10000&lt;=ROUND($EK$3,0))*('Margin Guidence Table'!$G$1:$G$10000&gt;=ROUND($EK$3,0)),0),MATCH("DEFAULT_SALES_CASE",'Margin Guidence Table'!$A$1:$AC$1,0))),0)</f>
        <v>0</v>
      </c>
      <c r="EW31" s="1161" cm="1">
        <f t="array" ref="EW31">IFERROR(IF($EU31="SEGMENT",INDEX('Margin Guidence Table'!$A$1:$AC$10000,MATCH(1,('Margin Guidence Table'!$A$1:$A$10000=ES31)*('Margin Guidence Table'!$H$1:$H$10000&lt;=ROUND($EK$3,0))*('Margin Guidence Table'!$G$1:$G$10000&gt;=ROUND($EK$3,0)),0),MATCH("SALES_LBS",'Margin Guidence Table'!$A$1:$AC$1,0)),INDEX('Margin Guidence Table'!$A$1:$AC$10000,MATCH(1,('Margin Guidence Table'!$A$1:$A$10000=ES31)*('Margin Guidence Table'!$H$1:$H$10000&lt;=ROUND($EK$3,0))*('Margin Guidence Table'!$G$1:$G$10000&gt;=ROUND($EK$3,0)),0),MATCH("DEFAULT_SALES_LBS",'Margin Guidence Table'!$A$1:$AC$1,0))),0)</f>
        <v>0</v>
      </c>
      <c r="EX31" s="1165">
        <f t="array" ref="EX31">IFERROR(IF($EU31="SEGMENT",INDEX('Margin Guidence Table'!$A$1:$AC$10000,MATCH(1,('Margin Guidence Table'!$A$1:$A$10000=ES31)*('Margin Guidence Table'!$H$1:$H$10000&lt;=ROUND($EK$3,0))*('Margin Guidence Table'!$G$1:$G$10000&gt;=ROUND($EK$3,0)),0),MATCH("MDA_MIN_MARGIN_GUIDENCE",'Margin Guidence Table'!$A$1:$AC$1,0)),INDEX('Margin Guidence Table'!$A$1:$AC$10000,MATCH(1,('Margin Guidence Table'!$A$1:$A$10000=ES31)*('Margin Guidence Table'!$H$1:$H$10000&lt;=ROUND($EK$3,0))*('Margin Guidence Table'!$G$1:$G$10000&gt;=ROUND($EK$3,0)),0),MATCH("DEFAULT_MDA_MIN_MARGIN_GUIDENCE",'Margin Guidence Table'!$A$1:$AC$1,0))),0)</f>
        <v>0</v>
      </c>
      <c r="EY31" s="1165">
        <f t="array" ref="EY31">IFERROR(IF($EU31="SEGMENT",INDEX('Margin Guidence Table'!$A$1:$AC$10000,MATCH(1,('Margin Guidence Table'!$A$1:$A$10000=ES31)*('Margin Guidence Table'!$H$1:$H$10000&lt;=ROUND($EK$3,0))*('Margin Guidence Table'!$G$1:$G$10000&gt;=ROUND($EK$3,0)),0),MATCH("MDA_MEDIAN_MARGIN_GUIDENCE",'Margin Guidence Table'!$A$1:$AC$1,0)),INDEX('Margin Guidence Table'!$A$1:$AC$10000,MATCH(1,('Margin Guidence Table'!$A$1:$A$10000=ES31)*('Margin Guidence Table'!$H$1:$H$10000&lt;=ROUND($EK$3,0))*('Margin Guidence Table'!$G$1:$G$10000&gt;=ROUND($EK$3,0)),0),MATCH("DEFAULT_MDA_MEDIAN_MARGIN_GUIDENCE",'Margin Guidence Table'!$A$1:$AC$1,0))),0)</f>
        <v>0</v>
      </c>
      <c r="EZ31" s="1165">
        <f t="array" ref="EZ31">IFERROR(IF($EU31="SEGMENT",INDEX('Margin Guidence Table'!$A$1:$AC$10000,MATCH(1,('Margin Guidence Table'!$A$1:$A$10000=ES31)*('Margin Guidence Table'!$H$1:$H$10000&lt;=ROUND($EK$3,0))*('Margin Guidence Table'!$G$1:$G$10000&gt;=ROUND($EK$3,0)),0),MATCH("MDA_MAX_MARGIN_GUIDENCE",'Margin Guidence Table'!$A$1:$AC$1,0)),INDEX('Margin Guidence Table'!$A$1:$AC$10000,MATCH(1,('Margin Guidence Table'!$A$1:$A$10000=ES31)*('Margin Guidence Table'!$H$1:$H$10000&lt;=ROUND($EK$3,0))*('Margin Guidence Table'!$G$1:$G$10000&gt;=ROUND($EK$3,0)),0),MATCH("DEFAULT_MDA_MAX_MARGIN_GUIDENCE",'Margin Guidence Table'!$A$1:$AC$1,0))),0)</f>
        <v>0</v>
      </c>
      <c r="FA31" s="1165">
        <f t="array" ref="FA31">IFERROR(IF($EU31="SEGMENT",INDEX('Margin Guidence Table'!$A$1:$AC$10000,MATCH(1,('Margin Guidence Table'!$A$1:$A$10000=ES31)*('Margin Guidence Table'!$H$1:$H$10000&lt;=ROUND($EK$3,0))*('Margin Guidence Table'!$G$1:$G$10000&gt;=ROUND($EK$3,0)),0),MATCH("PA_PCT_SALES",'Margin Guidence Table'!$A$1:$AC$1,0)),INDEX('Margin Guidence Table'!$A$1:$AC$10000,MATCH(1,('Margin Guidence Table'!$A$1:$A$10000=ES31)*('Margin Guidence Table'!$H$1:$H$10000&lt;=ROUND($EK$3,0))*('Margin Guidence Table'!$G$1:$G$10000&gt;=ROUND($EK$3,0)),0),MATCH("DEFAULT_PA_PCT_SALES",'Margin Guidence Table'!$A$1:$AC$1,0))),0)</f>
        <v>0</v>
      </c>
      <c r="FB31" s="1165">
        <f t="array" ref="FB31">IFERROR(IF($EU31="SEGMENT",INDEX('Margin Guidence Table'!$A$1:$AC$10000,MATCH(1,('Margin Guidence Table'!$A$1:$A$10000=ES31)*('Margin Guidence Table'!$H$1:$H$10000&lt;=ROUND($EK$3,0))*('Margin Guidence Table'!$G$1:$G$10000&gt;=ROUND($EK$3,0)),0),MATCH("SELF_FUND_PCT_SALES",'Margin Guidence Table'!$A$1:$AC$1,0)),INDEX('Margin Guidence Table'!$A$1:$AC$10000,MATCH(1,('Margin Guidence Table'!$A$1:$A$10000=ES31)*('Margin Guidence Table'!$H$1:$H$10000&lt;=ROUND($EK$3,0))*('Margin Guidence Table'!$G$1:$G$10000&gt;=ROUND($EK$3,0)),0),MATCH("DEFAULT_SELF_FUND_PCT_SALES",'Margin Guidence Table'!$A$1:$AC$1,0))),0)</f>
        <v>0</v>
      </c>
      <c r="FC31" s="1165">
        <f t="array" ref="FC31">IFERROR(IF($EU31="SEGMENT",INDEX('Margin Guidence Table'!$A$1:$AC$10000,MATCH(1,('Margin Guidence Table'!$A$1:$A$10000=ES31)*('Margin Guidence Table'!$H$1:$H$10000&lt;=ROUND($EK$3,0))*('Margin Guidence Table'!$G$1:$G$10000&gt;=ROUND($EK$3,0)),0),MATCH("CIA_MEDIAN_MARGIN_GUIDENCE",'Margin Guidence Table'!$A$1:$AC$1,0)),INDEX('Margin Guidence Table'!$A$1:$AC$10000,MATCH(1,('Margin Guidence Table'!$A$1:$A$10000=ES31)*('Margin Guidence Table'!$H$1:$H$10000&lt;=ROUND($EK$3,0))*('Margin Guidence Table'!$G$1:$G$10000&gt;=ROUND($EK$3,0)),0),MATCH("DEFAULT_CIA_MEDIAN_MARGIN_GUIDENCE",'Margin Guidence Table'!$A$1:$AC$1,0))),0)</f>
        <v>0</v>
      </c>
      <c r="FD31" s="129"/>
      <c r="FE31" s="18">
        <f t="array" ref="FE31">IFERROR(IF($FQ31="SEGMENT",INDEX('Margin Guidence Table'!$A$1:$AC$10000,MATCH(1,('Margin Guidence Table'!$A$1:$A$10000=$FO31)*('Margin Guidence Table'!$H$1:$H$10000&lt;=ROUND($FG$3,0))*('Margin Guidence Table'!$G$1:$G$10000&gt;=ROUND($FG$3,0)),0),MATCH("PCT_SALES",'Margin Guidence Table'!$A$1:$AC$1,0)),INDEX('Margin Guidence Table'!$A$1:$AC$10000,MATCH(1,('Margin Guidence Table'!$A$1:$A$10000=$FO31)*('Margin Guidence Table'!$H$1:$H$10000&lt;=ROUND($FG$3,0))*('Margin Guidence Table'!$G$1:$G$10000&gt;=ROUND($FG$3,0)),0),MATCH("DEFAULT_PCT_SALES",'Margin Guidence Table'!$A$1:$AC$1,0))),0)</f>
        <v>0</v>
      </c>
      <c r="FF31" s="102" t="s">
        <v>94</v>
      </c>
      <c r="FG31" s="94">
        <f>IFERROR(IF(AND($FG$2&lt;&gt;"Enter Spend&gt;&gt;&gt;",FH2="EXISTING"),SUMIFS('Existing Customers'!$Q:$Q,'Existing Customers'!$A:$A,$FG$1,'Existing Customers'!$H:$H,$FF31)*$FG$4,$FG$3*$FE31),0)</f>
        <v>0</v>
      </c>
      <c r="FH31" s="89">
        <f>IFERROR(IF(AND($FG$2&lt;&gt;"Enter Spend&gt;&gt;&gt;",FH2="EXISTING"),SUMIFS('Existing Customers'!$N:$N,'Existing Customers'!$A:$A,$FG$1,'Existing Customers'!$H:$H,$FF31)*$FG$4,$FG31/$FR31),0)</f>
        <v>0</v>
      </c>
      <c r="FI31" s="95">
        <f>IFERROR(IF(AND($FG$2&lt;&gt;"Enter Spend&gt;&gt;&gt;",FH2="EXISTING"),SUMIFS('Existing Customers'!$O:$O,'Existing Customers'!$H:$H,$FF31,'Existing Customers'!$A:$A,$FG$1)*$FG$4,$FH31*$FG$8),0)</f>
        <v>0</v>
      </c>
      <c r="FJ31" s="95">
        <f>IFERROR(IF(AND($FG$2&lt;&gt;"Enter Spend&gt;&gt;&gt;",FH2="EXISTING"),SUMIFS('Existing Customers'!$P:$P,'Existing Customers'!$A:$A,$FG$1,'Existing Customers'!$H:$H,$FF31)*$FG$4,$FG31/$FS31),0)</f>
        <v>0</v>
      </c>
      <c r="FK31" s="96">
        <f>IFERROR(IF(AND($FG$2&lt;&gt;"Enter Spend&gt;&gt;&gt;",FH2="EXISTING"),SUMIFS('Existing Customers'!$V:$V,'Existing Customers'!$H:$H,$FF31,'Existing Customers'!$A:$A,$FG$1)*$FG$4,0),0)</f>
        <v>0</v>
      </c>
      <c r="FL31" s="96">
        <f>IFERROR(IF(AND($FG$2&lt;&gt;"Enter Spend&gt;&gt;&gt;",FH2="EXISTING"),SUMIFS('Existing Customers'!$R:$R,'Existing Customers'!$H:$H,$FF31,'Existing Customers'!$A:$A,$FG$1)*$FG$4,0),0)</f>
        <v>0</v>
      </c>
      <c r="FM31" s="1161">
        <f>IFERROR(IF(AND($FG$2&lt;&gt;"Enter Spend&gt;&gt;&gt;",FH2="EXISTING"),SUMIFS('Existing Customers'!$S:$S,'Existing Customers'!$H:$H,$FF31,'Existing Customers'!$A:$A,$FG$1),FW31*FG31),0)</f>
        <v>0</v>
      </c>
      <c r="FN31" s="1161">
        <f>IFERROR(IF(AND($FG$2&lt;&gt;"Enter Spend&gt;&gt;&gt;",FH2="EXISTING"),SUMIFS('Existing Customers'!$U:$U,'Existing Customers'!$H:$H,$FF31,'Existing Customers'!$A:$A,$FG$1),FX31*FG31),0)</f>
        <v>0</v>
      </c>
      <c r="FO31" s="1164" t="e">
        <f t="shared" si="34"/>
        <v>#N/A</v>
      </c>
      <c r="FP31" s="1164">
        <f t="array" ref="FP31">IFERROR(INDEX('Margin Guidence Table'!$A$1:$AD$30000,MATCH(1,('Margin Guidence Table'!$A$1:$A$10000=FO31)*('Margin Guidence Table'!$H$1:$H$10000&lt;=ROUND($FG$3,0))*('Margin Guidence Table'!$G$1:$G$10000&gt;=ROUND($FG$3,0)),0),MATCH("DATA_POINTS",'Margin Guidence Table'!$A$1:$AC$1,0)),0)</f>
        <v>0</v>
      </c>
      <c r="FQ31" s="1161" t="str">
        <f t="shared" si="35"/>
        <v>DEFAULT</v>
      </c>
      <c r="FR31" s="1161">
        <f t="array" ref="FR31">IFERROR(IF($FQ31="SEGMENT",INDEX('Margin Guidence Table'!$A$1:$AC$10000,MATCH(1,('Margin Guidence Table'!$A$1:$A$10000=FO31)*('Margin Guidence Table'!$H$1:$H$10000&lt;=ROUND($FG$3,0))*('Margin Guidence Table'!$G$1:$G$10000&gt;=ROUND($FG$3,0)),0),MATCH("SALES_CASE",'Margin Guidence Table'!$A$1:$AC$1,0)),INDEX('Margin Guidence Table'!$A$1:$AC$10000,MATCH(1,('Margin Guidence Table'!$A$1:$A$10000=FO31)*('Margin Guidence Table'!$H$1:$H$10000&lt;=ROUND($FG$3,0))*('Margin Guidence Table'!$G$1:$G$10000&gt;=ROUND($FG$3,0)),0),MATCH("DEFAULT_SALES_CASE",'Margin Guidence Table'!$A$1:$AC$1,0))),0)</f>
        <v>0</v>
      </c>
      <c r="FS31" s="1161">
        <f t="array" ref="FS31">IFERROR(IF($FQ31="SEGMENT",INDEX('Margin Guidence Table'!$A$1:$AC$10000,MATCH(1,('Margin Guidence Table'!$A$1:$A$10000=FO31)*('Margin Guidence Table'!$H$1:$H$10000&lt;=ROUND($FG$3,0))*('Margin Guidence Table'!$G$1:$G$10000&gt;=ROUND($FG$3,0)),0),MATCH("SALES_LBS",'Margin Guidence Table'!$A$1:$AC$1,0)),INDEX('Margin Guidence Table'!$A$1:$AC$10000,MATCH(1,('Margin Guidence Table'!$A$1:$A$10000=FO31)*('Margin Guidence Table'!$H$1:$H$10000&lt;=ROUND($FG$3,0))*('Margin Guidence Table'!$G$1:$G$10000&gt;=ROUND($FG$3,0)),0),MATCH("DEFAULT_SALES_LBS",'Margin Guidence Table'!$A$1:$AC$1,0))),0)</f>
        <v>0</v>
      </c>
      <c r="FT31" s="1165">
        <f t="array" ref="FT31">IFERROR(IF($FQ31="SEGMENT",INDEX('Margin Guidence Table'!$A$1:$AC$10000,MATCH(1,('Margin Guidence Table'!$A$1:$A$10000=FO31)*('Margin Guidence Table'!$H$1:$H$10000&lt;=ROUND($FG$3,0))*('Margin Guidence Table'!$G$1:$G$10000&gt;=ROUND($FG$3,0)),0),MATCH("MDA_MIN_MARGIN_GUIDENCE",'Margin Guidence Table'!$A$1:$AC$1,0)),INDEX('Margin Guidence Table'!$A$1:$AC$10000,MATCH(1,('Margin Guidence Table'!$A$1:$A$10000=FO31)*('Margin Guidence Table'!$H$1:$H$10000&lt;=ROUND($FG$3,0))*('Margin Guidence Table'!$G$1:$G$10000&gt;=ROUND($FG$3,0)),0),MATCH("DEFAULT_MDA_MIN_MARGIN_GUIDENCE",'Margin Guidence Table'!$A$1:$AC$1,0))),0)</f>
        <v>0</v>
      </c>
      <c r="FU31" s="1165">
        <f t="array" ref="FU31">IFERROR(IF($FQ31="SEGMENT",INDEX('Margin Guidence Table'!$A$1:$AC$10000,MATCH(1,('Margin Guidence Table'!$A$1:$A$10000=FO31)*('Margin Guidence Table'!$H$1:$H$10000&lt;=ROUND($FG$3,0))*('Margin Guidence Table'!$G$1:$G$10000&gt;=ROUND($FG$3,0)),0),MATCH("MDA_MEDIAN_MARGIN_GUIDENCE",'Margin Guidence Table'!$A$1:$AC$1,0)),INDEX('Margin Guidence Table'!$A$1:$AC$10000,MATCH(1,('Margin Guidence Table'!$A$1:$A$10000=FO31)*('Margin Guidence Table'!$H$1:$H$10000&lt;=ROUND($FG$3,0))*('Margin Guidence Table'!$G$1:$G$10000&gt;=ROUND($FG$3,0)),0),MATCH("DEFAULT_MDA_MEDIAN_MARGIN_GUIDENCE",'Margin Guidence Table'!$A$1:$AC$1,0))),0)</f>
        <v>0</v>
      </c>
      <c r="FV31" s="1165">
        <f t="array" ref="FV31">IFERROR(IF($FQ31="SEGMENT",INDEX('Margin Guidence Table'!$A$1:$AC$10000,MATCH(1,('Margin Guidence Table'!$A$1:$A$10000=FO31)*('Margin Guidence Table'!$H$1:$H$10000&lt;=ROUND($FG$3,0))*('Margin Guidence Table'!$G$1:$G$10000&gt;=ROUND($FG$3,0)),0),MATCH("MDA_MAX_MARGIN_GUIDENCE",'Margin Guidence Table'!$A$1:$AC$1,0)),INDEX('Margin Guidence Table'!$A$1:$AC$10000,MATCH(1,('Margin Guidence Table'!$A$1:$A$10000=FO31)*('Margin Guidence Table'!$H$1:$H$10000&lt;=ROUND($FG$3,0))*('Margin Guidence Table'!$G$1:$G$10000&gt;=ROUND($FG$3,0)),0),MATCH("DEFAULT_MDA_MAX_MARGIN_GUIDENCE",'Margin Guidence Table'!$A$1:$AC$1,0))),0)</f>
        <v>0</v>
      </c>
      <c r="FW31" s="1165">
        <f t="array" ref="FW31">IFERROR(IF($FQ31="SEGMENT",INDEX('Margin Guidence Table'!$A$1:$AC$10000,MATCH(1,('Margin Guidence Table'!$A$1:$A$10000=FO31)*('Margin Guidence Table'!$H$1:$H$10000&lt;=ROUND($FG$3,0))*('Margin Guidence Table'!$G$1:$G$10000&gt;=ROUND($FG$3,0)),0),MATCH("PA_PCT_SALES",'Margin Guidence Table'!$A$1:$AC$1,0)),INDEX('Margin Guidence Table'!$A$1:$AC$10000,MATCH(1,('Margin Guidence Table'!$A$1:$A$10000=FO31)*('Margin Guidence Table'!$H$1:$H$10000&lt;=ROUND($FG$3,0))*('Margin Guidence Table'!$G$1:$G$10000&gt;=ROUND($FG$3,0)),0),MATCH("DEFAULT_PA_PCT_SALES",'Margin Guidence Table'!$A$1:$AC$1,0))),0)</f>
        <v>0</v>
      </c>
      <c r="FX31" s="1165">
        <f t="array" ref="FX31">IFERROR(IF($FQ31="SEGMENT",INDEX('Margin Guidence Table'!$A$1:$AC$10000,MATCH(1,('Margin Guidence Table'!$A$1:$A$10000=FO31)*('Margin Guidence Table'!$H$1:$H$10000&lt;=ROUND($FG$3,0))*('Margin Guidence Table'!$G$1:$G$10000&gt;=ROUND($FG$3,0)),0),MATCH("SELF_FUND_PCT_SALES",'Margin Guidence Table'!$A$1:$AC$1,0)),INDEX('Margin Guidence Table'!$A$1:$AC$10000,MATCH(1,('Margin Guidence Table'!$A$1:$A$10000=FO31)*('Margin Guidence Table'!$H$1:$H$10000&lt;=ROUND($FG$3,0))*('Margin Guidence Table'!$G$1:$G$10000&gt;=ROUND($FG$3,0)),0),MATCH("DEFAULT_SELF_FUND_PCT_SALES",'Margin Guidence Table'!$A$1:$AC$1,0))),0)</f>
        <v>0</v>
      </c>
      <c r="FY31" s="1165">
        <f t="array" ref="FY31">IFERROR(IF($FQ31="SEGMENT",INDEX('Margin Guidence Table'!$A$1:$AC$10000,MATCH(1,('Margin Guidence Table'!$A$1:$A$10000=FO31)*('Margin Guidence Table'!$H$1:$H$10000&lt;=ROUND($FG$3,0))*('Margin Guidence Table'!$G$1:$G$10000&gt;=ROUND($FG$3,0)),0),MATCH("CIA_MEDIAN_MARGIN_GUIDENCE",'Margin Guidence Table'!$A$1:$AC$1,0)),INDEX('Margin Guidence Table'!$A$1:$AC$10000,MATCH(1,('Margin Guidence Table'!$A$1:$A$10000=FO31)*('Margin Guidence Table'!$H$1:$H$10000&lt;=ROUND($FG$3,0))*('Margin Guidence Table'!$G$1:$G$10000&gt;=ROUND($FG$3,0)),0),MATCH("DEFAULT_CIA_MEDIAN_MARGIN_GUIDENCE",'Margin Guidence Table'!$A$1:$AC$1,0))),0)</f>
        <v>0</v>
      </c>
      <c r="FZ31" s="129"/>
      <c r="GA31" s="18">
        <f t="array" ref="GA31">IFERROR(IF($GM31="SEGMENT",INDEX('Margin Guidence Table'!$A$1:$AC$10000,MATCH(1,('Margin Guidence Table'!$A$1:$A$10000=$GK31)*('Margin Guidence Table'!$H$1:$H$10000&lt;=ROUND($GC$3,0))*('Margin Guidence Table'!$G$1:$G$10000&gt;=ROUND($GC$3,0)),0),MATCH("PCT_SALES",'Margin Guidence Table'!$A$1:$AC$1,0)),INDEX('Margin Guidence Table'!$A$1:$AC$10000,MATCH(1,('Margin Guidence Table'!$A$1:$A$10000=$GK31)*('Margin Guidence Table'!$H$1:$H$10000&lt;=ROUND($GC$3,0))*('Margin Guidence Table'!$G$1:$G$10000&gt;=ROUND($GC$3,0)),0),MATCH("DEFAULT_PCT_SALES",'Margin Guidence Table'!$A$1:$AC$1,0))),0)</f>
        <v>0</v>
      </c>
      <c r="GB31" s="102" t="s">
        <v>94</v>
      </c>
      <c r="GC31" s="94">
        <f>IFERROR(IF(AND($GC$2&lt;&gt;"Enter Spend&gt;&gt;&gt;",GD2="EXISTING"),SUMIFS('Existing Customers'!$Q:$Q,'Existing Customers'!$A:$A,$GC$1,'Existing Customers'!$H:$H,$GB31)*$GC$4,$GC$3*$GA31),0)</f>
        <v>0</v>
      </c>
      <c r="GD31" s="89">
        <f>IFERROR(IF(AND($GC$2&lt;&gt;"Enter Spend&gt;&gt;&gt;",GD2="EXISTING"),SUMIFS('Existing Customers'!$N:$N,'Existing Customers'!$A:$A,$GC$1,'Existing Customers'!$H:$H,$GB31)*$GC$4,$GC31/$GN31),0)</f>
        <v>0</v>
      </c>
      <c r="GE31" s="95">
        <f>IFERROR(IF(AND($GC$2&lt;&gt;"Enter Spend&gt;&gt;&gt;",GD2="EXISTING"),SUMIFS('Existing Customers'!$O:$O,'Existing Customers'!$H:$H,$GB31,'Existing Customers'!$A:$A,$GC$1)*$GC$4,$GD31*$GC$8),0)</f>
        <v>0</v>
      </c>
      <c r="GF31" s="95">
        <f>IFERROR(IF(AND($GC$2&lt;&gt;"Enter Spend&gt;&gt;&gt;",GD2="EXISTING"),SUMIFS('Existing Customers'!$P:$P,'Existing Customers'!$A:$A,$GC$1,'Existing Customers'!$H:$H,$GB31)*$GC$4,$GC31/$GO31),0)</f>
        <v>0</v>
      </c>
      <c r="GG31" s="96">
        <f>IFERROR(IF(AND($GC$2&lt;&gt;"Enter Spend&gt;&gt;&gt;",GD2="EXISTING"),SUMIFS('Existing Customers'!$V:$V,'Existing Customers'!$H:$H,$GB31,'Existing Customers'!$A:$A,$GC$1)*$GC$4,0),0)</f>
        <v>0</v>
      </c>
      <c r="GH31" s="96">
        <f>IFERROR(IF(AND($GC$2&lt;&gt;"Enter Spend&gt;&gt;&gt;",GD2="EXISTING"),SUMIFS('Existing Customers'!$R:$R,'Existing Customers'!$H:$H,$GB31,'Existing Customers'!$A:$A,$GC$1)*$GC$4,0),0)</f>
        <v>0</v>
      </c>
      <c r="GI31" s="1161">
        <f>IFERROR(IF(AND($GC$2&lt;&gt;"Enter Spend&gt;&gt;&gt;",GD2="EXISTING"),SUMIFS('Existing Customers'!$S:$S,'Existing Customers'!$H:$H,$GB31,'Existing Customers'!$A:$A,$GC$1),GS31*GC31),0)</f>
        <v>0</v>
      </c>
      <c r="GJ31" s="1161">
        <f>IFERROR(IF(AND($GC$2&lt;&gt;"Enter Spend&gt;&gt;&gt;",GD2="EXISTING"),SUMIFS('Existing Customers'!$U:$U,'Existing Customers'!$H:$H,$GB31,'Existing Customers'!$A:$A,$GC$1),GT31*GC31),0)</f>
        <v>0</v>
      </c>
      <c r="GK31" s="1164" t="e">
        <f t="shared" si="36"/>
        <v>#N/A</v>
      </c>
      <c r="GL31" s="1164">
        <f t="array" ref="GL31">IFERROR(INDEX('Margin Guidence Table'!$A$1:$AD$30000,MATCH(1,('Margin Guidence Table'!$A$1:$A$10000=GK31)*('Margin Guidence Table'!$H$1:$H$10000&lt;=ROUND($GC$3,0))*('Margin Guidence Table'!$G$1:$G$10000&gt;=ROUND($GC$3,0)),0),MATCH("DATA_POINTS",'Margin Guidence Table'!$A$1:$AC$1,0)),0)</f>
        <v>0</v>
      </c>
      <c r="GM31" s="1161" t="str">
        <f t="shared" si="37"/>
        <v>DEFAULT</v>
      </c>
      <c r="GN31" s="1161">
        <f t="array" ref="GN31">IFERROR(IF($GM31="SEGMENT",INDEX('Margin Guidence Table'!$A$1:$AC$10000,MATCH(1,('Margin Guidence Table'!$A$1:$A$10000=GK31)*('Margin Guidence Table'!$H$1:$H$10000&lt;=ROUND($GC$3,0))*('Margin Guidence Table'!$G$1:$G$10000&gt;=ROUND($GC$3,0)),0),MATCH("SALES_CASE",'Margin Guidence Table'!$A$1:$AC$1,0)),INDEX('Margin Guidence Table'!$A$1:$AC$10000,MATCH(1,('Margin Guidence Table'!$A$1:$A$10000=GK31)*('Margin Guidence Table'!$H$1:$H$10000&lt;=ROUND($GC$3,0))*('Margin Guidence Table'!$G$1:$G$10000&gt;=ROUND($GC$3,0)),0),MATCH("DEFAULT_SALES_CASE",'Margin Guidence Table'!$A$1:$AC$1,0))),0)</f>
        <v>0</v>
      </c>
      <c r="GO31" s="1161">
        <f t="array" ref="GO31">IFERROR(IF($GM31="SEGMENT",INDEX('Margin Guidence Table'!$A$1:$AC$10000,MATCH(1,('Margin Guidence Table'!$A$1:$A$10000=GK31)*('Margin Guidence Table'!$H$1:$H$10000&lt;=ROUND($GC$3,0))*('Margin Guidence Table'!$G$1:$G$10000&gt;=ROUND($GC$3,0)),0),MATCH("SALES_LBS",'Margin Guidence Table'!$A$1:$AC$1,0)),INDEX('Margin Guidence Table'!$A$1:$AC$10000,MATCH(1,('Margin Guidence Table'!$A$1:$A$10000=GK31)*('Margin Guidence Table'!$H$1:$H$10000&lt;=ROUND($GC$3,0))*('Margin Guidence Table'!$G$1:$G$10000&gt;=ROUND($GC$3,0)),0),MATCH("DEFAULT_SALES_LBS",'Margin Guidence Table'!$A$1:$AC$1,0))),0)</f>
        <v>0</v>
      </c>
      <c r="GP31" s="1165">
        <f t="array" ref="GP31">IFERROR(IF($GM31="SEGMENT",INDEX('Margin Guidence Table'!$A$1:$AC$10000,MATCH(1,('Margin Guidence Table'!$A$1:$A$10000=GK31)*('Margin Guidence Table'!$H$1:$H$10000&lt;=ROUND($GC$3,0))*('Margin Guidence Table'!$G$1:$G$10000&gt;=ROUND($GC$3,0)),0),MATCH("MDA_MIN_MARGIN_GUIDENCE",'Margin Guidence Table'!$A$1:$AC$1,0)),INDEX('Margin Guidence Table'!$A$1:$AC$10000,MATCH(1,('Margin Guidence Table'!$A$1:$A$10000=GK31)*('Margin Guidence Table'!$H$1:$H$10000&lt;=ROUND($GC$3,0))*('Margin Guidence Table'!$G$1:$G$10000&gt;=ROUND($GC$3,0)),0),MATCH("DEFAULT_MDA_MIN_MARGIN_GUIDENCE",'Margin Guidence Table'!$A$1:$AC$1,0))),0)</f>
        <v>0</v>
      </c>
      <c r="GQ31" s="1165">
        <f t="array" ref="GQ31">IFERROR(IF($GM31="SEGMENT",INDEX('Margin Guidence Table'!$A$1:$AC$10000,MATCH(1,('Margin Guidence Table'!$A$1:$A$10000=GK31)*('Margin Guidence Table'!$H$1:$H$10000&lt;=ROUND($GC$3,0))*('Margin Guidence Table'!$G$1:$G$10000&gt;=ROUND($GC$3,0)),0),MATCH("MDA_MEDIAN_MARGIN_GUIDENCE",'Margin Guidence Table'!$A$1:$AC$1,0)),INDEX('Margin Guidence Table'!$A$1:$AC$10000,MATCH(1,('Margin Guidence Table'!$A$1:$A$10000=GK31)*('Margin Guidence Table'!$H$1:$H$10000&lt;=ROUND($GC$3,0))*('Margin Guidence Table'!$G$1:$G$10000&gt;=ROUND($GC$3,0)),0),MATCH("DEFAULT_MDA_MEDIAN_MARGIN_GUIDENCE",'Margin Guidence Table'!$A$1:$AC$1,0))),0)</f>
        <v>0</v>
      </c>
      <c r="GR31" s="1165">
        <f t="array" ref="GR31">IFERROR(IF($GM31="SEGMENT",INDEX('Margin Guidence Table'!$A$1:$AC$10000,MATCH(1,('Margin Guidence Table'!$A$1:$A$10000=GK31)*('Margin Guidence Table'!$H$1:$H$10000&lt;=ROUND($GC$3,0))*('Margin Guidence Table'!$G$1:$G$10000&gt;=ROUND($GC$3,0)),0),MATCH("MDA_MAX_MARGIN_GUIDENCE",'Margin Guidence Table'!$A$1:$AC$1,0)),INDEX('Margin Guidence Table'!$A$1:$AC$10000,MATCH(1,('Margin Guidence Table'!$A$1:$A$10000=GK31)*('Margin Guidence Table'!$H$1:$H$10000&lt;=ROUND($GC$3,0))*('Margin Guidence Table'!$G$1:$G$10000&gt;=ROUND($GC$3,0)),0),MATCH("DEFAULT_MDA_MAX_MARGIN_GUIDENCE",'Margin Guidence Table'!$A$1:$AC$1,0))),0)</f>
        <v>0</v>
      </c>
      <c r="GS31" s="1165">
        <f t="array" ref="GS31">IFERROR(IF($GM31="SEGMENT",INDEX('Margin Guidence Table'!$A$1:$AC$10000,MATCH(1,('Margin Guidence Table'!$A$1:$A$10000=GK31)*('Margin Guidence Table'!$H$1:$H$10000&lt;=ROUND($GC$3,0))*('Margin Guidence Table'!$G$1:$G$10000&gt;=ROUND($GC$3,0)),0),MATCH("PA_PCT_SALES",'Margin Guidence Table'!$A$1:$AC$1,0)),INDEX('Margin Guidence Table'!$A$1:$AC$10000,MATCH(1,('Margin Guidence Table'!$A$1:$A$10000=GK31)*('Margin Guidence Table'!$H$1:$H$10000&lt;=ROUND($GC$3,0))*('Margin Guidence Table'!$G$1:$G$10000&gt;=ROUND($GC$3,0)),0),MATCH("DEFAULT_PA_PCT_SALES",'Margin Guidence Table'!$A$1:$AC$1,0))),0)</f>
        <v>0</v>
      </c>
      <c r="GT31" s="1165">
        <f t="array" ref="GT31">IFERROR(IF($GM31="SEGMENT",INDEX('Margin Guidence Table'!$A$1:$AC$10000,MATCH(1,('Margin Guidence Table'!$A$1:$A$10000=GK31)*('Margin Guidence Table'!$H$1:$H$10000&lt;=ROUND($GC$3,0))*('Margin Guidence Table'!$G$1:$G$10000&gt;=ROUND($GC$3,0)),0),MATCH("SELF_FUND_PCT_SALES",'Margin Guidence Table'!$A$1:$AC$1,0)),INDEX('Margin Guidence Table'!$A$1:$AC$10000,MATCH(1,('Margin Guidence Table'!$A$1:$A$10000=GK31)*('Margin Guidence Table'!$H$1:$H$10000&lt;=ROUND($GC$3,0))*('Margin Guidence Table'!$G$1:$G$10000&gt;=ROUND($GC$3,0)),0),MATCH("DEFAULT_SELF_FUND_PCT_SALES",'Margin Guidence Table'!$A$1:$AC$1,0))),0)</f>
        <v>0</v>
      </c>
      <c r="GU31" s="1165">
        <f t="array" ref="GU31">IFERROR(IF($GM31="SEGMENT",INDEX('Margin Guidence Table'!$A$1:$AC$10000,MATCH(1,('Margin Guidence Table'!$A$1:$A$10000=GK31)*('Margin Guidence Table'!$H$1:$H$10000&lt;=ROUND($GC$3,0))*('Margin Guidence Table'!$G$1:$G$10000&gt;=ROUND($GC$3,0)),0),MATCH("CIA_MEDIAN_MARGIN_GUIDENCE",'Margin Guidence Table'!$A$1:$AC$1,0)),INDEX('Margin Guidence Table'!$A$1:$AC$10000,MATCH(1,('Margin Guidence Table'!$A$1:$A$10000=GK31)*('Margin Guidence Table'!$H$1:$H$10000&lt;=ROUND($GC$3,0))*('Margin Guidence Table'!$G$1:$G$10000&gt;=ROUND($GC$3,0)),0),MATCH("DEFAULT_CIA_MEDIAN_MARGIN_GUIDENCE",'Margin Guidence Table'!$A$1:$AC$1,0))),0)</f>
        <v>0</v>
      </c>
      <c r="GV31" s="129"/>
      <c r="GW31" s="18">
        <f t="array" ref="GW31">IFERROR(IF($HI31="SEGMENT",INDEX('Margin Guidence Table'!$A$1:$AC$10000,MATCH(1,('Margin Guidence Table'!$A$1:$A$10000=$HG31)*('Margin Guidence Table'!$H$1:$H$10000&lt;=ROUND($GY$3,0))*('Margin Guidence Table'!$G$1:$G$10000&gt;=ROUND($GY$3,0)),0),MATCH("PCT_SALES",'Margin Guidence Table'!$A$1:$AC$1,0)),INDEX('Margin Guidence Table'!$A$1:$AC$10000,MATCH(1,('Margin Guidence Table'!$A$1:$A$10000=$HG31)*('Margin Guidence Table'!$H$1:$H$10000&lt;=ROUND($GY$3,0))*('Margin Guidence Table'!$G$1:$G$10000&gt;=ROUND($GY$3,0)),0),MATCH("DEFAULT_PCT_SALES",'Margin Guidence Table'!$A$1:$AC$1,0))),0)</f>
        <v>0</v>
      </c>
      <c r="GX31" s="102" t="s">
        <v>94</v>
      </c>
      <c r="GY31" s="94">
        <f>IFERROR(IF(AND($GY$2&lt;&gt;"Enter Spend&gt;&gt;&gt;",GZ2="EXISTING"),SUMIFS('Existing Customers'!$Q:$Q,'Existing Customers'!$A:$A,$GY$1,'Existing Customers'!$H:$H,$GX31)*$GY$4,$GY$3*$GW31),0)</f>
        <v>0</v>
      </c>
      <c r="GZ31" s="89">
        <f>IFERROR(IF(AND($GY$2&lt;&gt;"Enter Spend&gt;&gt;&gt;",GZ2="EXISTING"),SUMIFS('Existing Customers'!$N:$N,'Existing Customers'!$A:$A,$GY$1,'Existing Customers'!$H:$H,$GX31)*$GY$4,$GY31/$HJ31),0)</f>
        <v>0</v>
      </c>
      <c r="HA31" s="95">
        <f>IFERROR(IF(AND($GY$2&lt;&gt;"Enter Spend&gt;&gt;&gt;",GZ2="EXISTING"),SUMIFS('Existing Customers'!$O:$O,'Existing Customers'!$H:$H,$GX31,'Existing Customers'!$A:$A,$GY$1)*$GY$4,$GZ31*$GY$8),0)</f>
        <v>0</v>
      </c>
      <c r="HB31" s="95">
        <f>IFERROR(IF(AND($GY$2&lt;&gt;"Enter Spend&gt;&gt;&gt;",GZ2="EXISTING"),SUMIFS('Existing Customers'!$P:$P,'Existing Customers'!$A:$A,$GY$1,'Existing Customers'!$H:$H,$GX31)*$GY$4,$GY31/$HK31),0)</f>
        <v>0</v>
      </c>
      <c r="HC31" s="96">
        <f>IFERROR(IF(AND($GY$2&lt;&gt;"Enter Spend&gt;&gt;&gt;",GZ2="EXISTING"),SUMIFS('Existing Customers'!$V:$V,'Existing Customers'!$H:$H,$GX31,'Existing Customers'!$A:$A,$GY$1)*$GY$4,0),0)</f>
        <v>0</v>
      </c>
      <c r="HD31" s="96">
        <f>IFERROR(IF(AND($GY$2&lt;&gt;"Enter Spend&gt;&gt;&gt;",GZ2="EXISTING"),SUMIFS('Existing Customers'!$R:$R,'Existing Customers'!$H:$H,$GX31,'Existing Customers'!$A:$A,$GY$1)*$GY$4,0),0)</f>
        <v>0</v>
      </c>
      <c r="HE31" s="1161">
        <f>IFERROR(IF(AND($GY$2&lt;&gt;"Enter Spend&gt;&gt;&gt;",GZ2="EXISTING"),SUMIFS('Existing Customers'!$S:$S,'Existing Customers'!$H:$H,$GX31,'Existing Customers'!$A:$A,$GY$1),HO31*GY31),0)</f>
        <v>0</v>
      </c>
      <c r="HF31" s="1161">
        <f>IFERROR(IF(AND($GY$2&lt;&gt;"Enter Spend&gt;&gt;&gt;",GZ2="EXISTING"),SUMIFS('Existing Customers'!$U:$U,'Existing Customers'!$H:$H,$GX31,'Existing Customers'!$A:$A,$GY$1),HP31*GY31),0)</f>
        <v>0</v>
      </c>
      <c r="HG31" s="1164" t="e">
        <f t="shared" si="38"/>
        <v>#N/A</v>
      </c>
      <c r="HH31" s="1164">
        <f t="array" ref="HH31">IFERROR(INDEX('Margin Guidence Table'!$A$1:$AD$30000,MATCH(1,('Margin Guidence Table'!$A$1:$A$10000=HG31)*('Margin Guidence Table'!$H$1:$H$10000&lt;=ROUND($GY$3,0))*('Margin Guidence Table'!$G$1:$G$10000&gt;=ROUND($GY$3,0)),0),MATCH("DATA_POINTS",'Margin Guidence Table'!$A$1:$AC$1,0)),0)</f>
        <v>0</v>
      </c>
      <c r="HI31" s="1161" t="str">
        <f t="shared" si="39"/>
        <v>DEFAULT</v>
      </c>
      <c r="HJ31" s="1161">
        <f t="array" ref="HJ31">IFERROR(IF($HI31="SEGMENT",INDEX('Margin Guidence Table'!$A$1:$AC$10000,MATCH(1,('Margin Guidence Table'!$A$1:$A$10000=HG31)*('Margin Guidence Table'!$H$1:$H$10000&lt;=ROUND($GY$3,0))*('Margin Guidence Table'!$G$1:$G$10000&gt;=ROUND($GY$3,0)),0),MATCH("SALES_CASE",'Margin Guidence Table'!$A$1:$AC$1,0)),INDEX('Margin Guidence Table'!$A$1:$AC$10000,MATCH(1,('Margin Guidence Table'!$A$1:$A$10000=HG31)*('Margin Guidence Table'!$H$1:$H$10000&lt;=ROUND($GY$3,0))*('Margin Guidence Table'!$G$1:$G$10000&gt;=ROUND($GY$3,0)),0),MATCH("DEFAULT_SALES_CASE",'Margin Guidence Table'!$A$1:$AC$1,0))),0)</f>
        <v>0</v>
      </c>
      <c r="HK31" s="1161">
        <f t="array" ref="HK31">IFERROR(IF($HI31="SEGMENT",INDEX('Margin Guidence Table'!$A$1:$AC$10000,MATCH(1,('Margin Guidence Table'!$A$1:$A$10000=HG31)*('Margin Guidence Table'!$H$1:$H$10000&lt;=ROUND($GY$3,0))*('Margin Guidence Table'!$G$1:$G$10000&gt;=ROUND($GY$3,0)),0),MATCH("SALES_LBS",'Margin Guidence Table'!$A$1:$AC$1,0)),INDEX('Margin Guidence Table'!$A$1:$AC$10000,MATCH(1,('Margin Guidence Table'!$A$1:$A$10000=HG31)*('Margin Guidence Table'!$H$1:$H$10000&lt;=ROUND($GY$3,0))*('Margin Guidence Table'!$G$1:$G$10000&gt;=ROUND($GY$3,0)),0),MATCH("DEFAULT_SALES_LBS",'Margin Guidence Table'!$A$1:$AC$1,0))),0)</f>
        <v>0</v>
      </c>
      <c r="HL31" s="1165">
        <f t="array" ref="HL31">IFERROR(IF($HI31="SEGMENT",INDEX('Margin Guidence Table'!$A$1:$AC$10000,MATCH(1,('Margin Guidence Table'!$A$1:$A$10000=HG31)*('Margin Guidence Table'!$H$1:$H$10000&lt;=ROUND($GY$3,0))*('Margin Guidence Table'!$G$1:$G$10000&gt;=ROUND($GY$3,0)),0),MATCH("MDA_MIN_MARGIN_GUIDENCE",'Margin Guidence Table'!$A$1:$AC$1,0)),INDEX('Margin Guidence Table'!$A$1:$AC$10000,MATCH(1,('Margin Guidence Table'!$A$1:$A$10000=HG31)*('Margin Guidence Table'!$H$1:$H$10000&lt;=ROUND($GY$3,0))*('Margin Guidence Table'!$G$1:$G$10000&gt;=ROUND($GY$3,0)),0),MATCH("DEFAULT_MDA_MIN_MARGIN_GUIDENCE",'Margin Guidence Table'!$A$1:$AC$1,0))),0)</f>
        <v>0</v>
      </c>
      <c r="HM31" s="1165">
        <f t="array" ref="HM31">IFERROR(IF($HI31="SEGMENT",INDEX('Margin Guidence Table'!$A$1:$AC$10000,MATCH(1,('Margin Guidence Table'!$A$1:$A$10000=HG31)*('Margin Guidence Table'!$H$1:$H$10000&lt;=ROUND($GY$3,0))*('Margin Guidence Table'!$G$1:$G$10000&gt;=ROUND($GY$3,0)),0),MATCH("MDA_MEDIAN_MARGIN_GUIDENCE",'Margin Guidence Table'!$A$1:$AC$1,0)),INDEX('Margin Guidence Table'!$A$1:$AC$10000,MATCH(1,('Margin Guidence Table'!$A$1:$A$10000=HG31)*('Margin Guidence Table'!$H$1:$H$10000&lt;=ROUND($GY$3,0))*('Margin Guidence Table'!$G$1:$G$10000&gt;=ROUND($GY$3,0)),0),MATCH("DEFAULT_MDA_MEDIAN_MARGIN_GUIDENCE",'Margin Guidence Table'!$A$1:$AC$1,0))),0)</f>
        <v>0</v>
      </c>
      <c r="HN31" s="1165">
        <f t="array" ref="HN31">IFERROR(IF($HI31="SEGMENT",INDEX('Margin Guidence Table'!$A$1:$AC$10000,MATCH(1,('Margin Guidence Table'!$A$1:$A$10000=HG31)*('Margin Guidence Table'!$H$1:$H$10000&lt;=ROUND($GY$3,0))*('Margin Guidence Table'!$G$1:$G$10000&gt;=ROUND($GY$3,0)),0),MATCH("MDA_MAX_MARGIN_GUIDENCE",'Margin Guidence Table'!$A$1:$AC$1,0)),INDEX('Margin Guidence Table'!$A$1:$AC$10000,MATCH(1,('Margin Guidence Table'!$A$1:$A$10000=HG31)*('Margin Guidence Table'!$H$1:$H$10000&lt;=ROUND($GY$3,0))*('Margin Guidence Table'!$G$1:$G$10000&gt;=ROUND($GY$3,0)),0),MATCH("DEFAULT_MDA_MAX_MARGIN_GUIDENCE",'Margin Guidence Table'!$A$1:$AC$1,0))),0)</f>
        <v>0</v>
      </c>
      <c r="HO31" s="1165">
        <f t="array" ref="HO31">IFERROR(IF($HI31="SEGMENT",INDEX('Margin Guidence Table'!$A$1:$AC$10000,MATCH(1,('Margin Guidence Table'!$A$1:$A$10000=HG31)*('Margin Guidence Table'!$H$1:$H$10000&lt;=ROUND($GY$3,0))*('Margin Guidence Table'!$G$1:$G$10000&gt;=ROUND($GY$3,0)),0),MATCH("PA_PCT_SALES",'Margin Guidence Table'!$A$1:$AC$1,0)),INDEX('Margin Guidence Table'!$A$1:$AC$10000,MATCH(1,('Margin Guidence Table'!$A$1:$A$10000=HG31)*('Margin Guidence Table'!$H$1:$H$10000&lt;=ROUND($GY$3,0))*('Margin Guidence Table'!$G$1:$G$10000&gt;=ROUND($GY$3,0)),0),MATCH("DEFAULT_PA_PCT_SALES",'Margin Guidence Table'!$A$1:$AC$1,0))),0)</f>
        <v>0</v>
      </c>
      <c r="HP31" s="1165">
        <f t="array" ref="HP31">IFERROR(IF($HI31="SEGMENT",INDEX('Margin Guidence Table'!$A$1:$AC$10000,MATCH(1,('Margin Guidence Table'!$A$1:$A$10000=HG31)*('Margin Guidence Table'!$H$1:$H$10000&lt;=ROUND($GY$3,0))*('Margin Guidence Table'!$G$1:$G$10000&gt;=ROUND($GY$3,0)),0),MATCH("SELF_FUND_PCT_SALES",'Margin Guidence Table'!$A$1:$AC$1,0)),INDEX('Margin Guidence Table'!$A$1:$AC$10000,MATCH(1,('Margin Guidence Table'!$A$1:$A$10000=HG31)*('Margin Guidence Table'!$H$1:$H$10000&lt;=ROUND($GY$3,0))*('Margin Guidence Table'!$G$1:$G$10000&gt;=ROUND($GY$3,0)),0),MATCH("DEFAULT_SELF_FUND_PCT_SALES",'Margin Guidence Table'!$A$1:$AC$1,0))),0)</f>
        <v>0</v>
      </c>
      <c r="HQ31" s="1165">
        <f t="array" ref="HQ31">IFERROR(IF($HI31="SEGMENT",INDEX('Margin Guidence Table'!$A$1:$AC$10000,MATCH(1,('Margin Guidence Table'!$A$1:$A$10000=HG31)*('Margin Guidence Table'!$H$1:$H$10000&lt;=ROUND($GY$3,0))*('Margin Guidence Table'!$G$1:$G$10000&gt;=ROUND($GY$3,0)),0),MATCH("CIA_MEDIAN_MARGIN_GUIDENCE",'Margin Guidence Table'!$A$1:$AC$1,0)),INDEX('Margin Guidence Table'!$A$1:$AC$10000,MATCH(1,('Margin Guidence Table'!$A$1:$A$10000=HG31)*('Margin Guidence Table'!$H$1:$H$10000&lt;=ROUND($GY$3,0))*('Margin Guidence Table'!$G$1:$G$10000&gt;=ROUND($GY$3,0)),0),MATCH("DEFAULT_CIA_MEDIAN_MARGIN_GUIDENCE",'Margin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Spend&gt;&gt;&gt;",HV2="EXISTING"),SUMIFS('Existing Customers'!$Q:$Q,'Existing Customers'!$A:$A,$HU$1,'Existing Customers'!$H:$H,$HT31)*$HU$4,$HU$3*$HS31),0)</f>
        <v>0</v>
      </c>
      <c r="HV31" s="89">
        <f>IFERROR(IF(AND($HU$2&lt;&gt;"Enter Spend&gt;&gt;&gt;",HV2="EXISTING"),SUMIFS('Existing Customers'!$N:$N,'Existing Customers'!$A:$A,$HU$1,'Existing Customers'!$H:$H,$HT31)*$HU$4,$HU31/$IF31),0)</f>
        <v>0</v>
      </c>
      <c r="HW31" s="95">
        <f>IFERROR(IF(AND($HU$2&lt;&gt;"Enter Spend&gt;&gt;&gt;",HV2="EXISTING"),SUMIFS('Existing Customers'!$O:$O,'Existing Customers'!$H:$H,$HT31,'Existing Customers'!$A:$A,$HU$1)*$HU$4,$HV31*$HU$8),0)</f>
        <v>0</v>
      </c>
      <c r="HX31" s="95">
        <f>IFERROR(IF(AND($HU$2&lt;&gt;"Enter Spend&gt;&gt;&gt;",HV2="EXISTING"),SUMIFS('Existing Customers'!$P:$P,'Existing Customers'!$A:$A,$HU$1,'Existing Customers'!$H:$H,$HT31)*$HU$4,$HU31/$IG31),0)</f>
        <v>0</v>
      </c>
      <c r="HY31" s="402">
        <f>IFERROR(IF(AND($HU$2&lt;&gt;"Enter Spend&gt;&gt;&gt;",HV2="EXISTING"),SUMIFS('Existing Customers'!$V:$V,'Existing Customers'!$H:$H,$HT31,'Existing Customers'!$A:$A,$HU$1)*$HU$4,0),0)</f>
        <v>0</v>
      </c>
      <c r="HZ31" s="96">
        <f>IFERROR(IF(AND($HU$2&lt;&gt;"Enter Spend&gt;&gt;&gt;",HV2="EXISTING"),SUMIFS('Existing Customers'!$R:$R,'Existing Customers'!$H:$H,$HT31,'Existing Customers'!$A:$A,$HU$1)*$HU$4,0),0)</f>
        <v>0</v>
      </c>
      <c r="IA31" s="1161">
        <f>IFERROR(IF(AND($HU$2&lt;&gt;"Enter Spend&gt;&gt;&gt;",HV2="EXISTING"),SUMIFS('Existing Customers'!$S:$S,'Existing Customers'!$H:$H,$HT31,'Existing Customers'!$A:$A,$HU$1),IK31*HU31),0)</f>
        <v>0</v>
      </c>
      <c r="IB31" s="1161">
        <f>IFERROR(IF(AND($HU$2&lt;&gt;"Enter Spend&gt;&gt;&gt;",HV2="EXISTING"),SUMIFS('Existing Customers'!$U:$U,'Existing Customers'!$H:$H,$HT31,'Existing Customers'!$A:$A,$HU$1),IL31*HU31),0)</f>
        <v>0</v>
      </c>
      <c r="IC31" s="1164" t="e">
        <f t="shared" si="40"/>
        <v>#N/A</v>
      </c>
      <c r="ID31" s="1164">
        <f t="array" ref="ID31">IFERROR(INDEX('Margin Guidence Table'!$A$1:$AD$30000,MATCH(1,('Margin Guidence Table'!$A$1:$A$10000=IC31)*('Margin Guidence Table'!$H$1:$H$10000&lt;=ROUND($HU$3,0))*('Margin Guidence Table'!$G$1:$G$10000&gt;=ROUND($HU$3,0)),0),MATCH("DATA_POINTS",'Margin Guidence Table'!$A$1:$AC$1,0)),0)</f>
        <v>0</v>
      </c>
      <c r="IE31" s="1161" t="str">
        <f t="shared" si="41"/>
        <v>DEFAULT</v>
      </c>
      <c r="IF31" s="1161">
        <f t="array" ref="IF31">IFERROR(IF($IE31="SEGMENT",INDEX('Margin Guidence Table'!$A$1:$AC$10000,MATCH(1,('Margin Guidence Table'!$A$1:$A$10000=IC31)*('Margin Guidence Table'!$H$1:$H$10000&lt;=ROUND($HU$3,0))*('Margin Guidence Table'!$G$1:$G$10000&gt;=ROUND($HU$3,0)),0),MATCH("SALES_CASE",'Margin Guidence Table'!$A$1:$AC$1,0)),INDEX('Margin Guidence Table'!$A$1:$AC$10000,MATCH(1,('Margin Guidence Table'!$A$1:$A$10000=IC31)*('Margin Guidence Table'!$H$1:$H$10000&lt;=ROUND($HU$3,0))*('Margin Guidence Table'!$G$1:$G$10000&gt;=ROUND($HU$3,0)),0),MATCH("DEFAULT_SALES_CASE",'Margin Guidence Table'!$A$1:$AC$1,0))),0)</f>
        <v>0</v>
      </c>
      <c r="IG31" s="1161">
        <f t="array" ref="IG31">IFERROR(IF($IE31="SEGMENT",INDEX('Margin Guidence Table'!$A$1:$AC$10000,MATCH(1,('Margin Guidence Table'!$A$1:$A$10000=IC31)*('Margin Guidence Table'!$H$1:$H$10000&lt;=ROUND($HU$3,0))*('Margin Guidence Table'!$G$1:$G$10000&gt;=ROUND($HU$3,0)),0),MATCH("SALES_LBS",'Margin Guidence Table'!$A$1:$AC$1,0)),INDEX('Margin Guidence Table'!$A$1:$AC$10000,MATCH(1,('Margin Guidence Table'!$A$1:$A$10000=IC31)*('Margin Guidence Table'!$H$1:$H$10000&lt;=ROUND($HU$3,0))*('Margin Guidence Table'!$G$1:$G$10000&gt;=ROUND($HU$3,0)),0),MATCH("DEFAULT_SALES_LBS",'Margin Guidence Table'!$A$1:$AC$1,0))),0)</f>
        <v>0</v>
      </c>
      <c r="IH31" s="1165">
        <f t="array" ref="IH31">IFERROR(IF($IE31="SEGMENT",INDEX('Margin Guidence Table'!$A$1:$AC$10000,MATCH(1,('Margin Guidence Table'!$A$1:$A$10000=IC31)*('Margin Guidence Table'!$H$1:$H$10000&lt;=ROUND($HU$3,0))*('Margin Guidence Table'!$G$1:$G$10000&gt;=ROUND($HU$3,0)),0),MATCH("MDA_MIN_MARGIN_GUIDENCE",'Margin Guidence Table'!$A$1:$AC$1,0)),INDEX('Margin Guidence Table'!$A$1:$AC$10000,MATCH(1,('Margin Guidence Table'!$A$1:$A$10000=IC31)*('Margin Guidence Table'!$H$1:$H$10000&lt;=ROUND($HU$3,0))*('Margin Guidence Table'!$G$1:$G$10000&gt;=ROUND($HU$3,0)),0),MATCH("DEFAULT_MDA_MIN_MARGIN_GUIDENCE",'Margin Guidence Table'!$A$1:$AC$1,0))),0)</f>
        <v>0</v>
      </c>
      <c r="II31" s="1165">
        <f t="array" ref="II31">IFERROR(IF($IE31="SEGMENT",INDEX('Margin Guidence Table'!$A$1:$AC$10000,MATCH(1,('Margin Guidence Table'!$A$1:$A$10000=IC31)*('Margin Guidence Table'!$H$1:$H$10000&lt;=ROUND($HU$3,0))*('Margin Guidence Table'!$G$1:$G$10000&gt;=ROUND($HU$3,0)),0),MATCH("MDA_MEDIAN_MARGIN_GUIDENCE",'Margin Guidence Table'!$A$1:$AC$1,0)),INDEX('Margin Guidence Table'!$A$1:$AC$10000,MATCH(1,('Margin Guidence Table'!$A$1:$A$10000=IC31)*('Margin Guidence Table'!$H$1:$H$10000&lt;=ROUND($HU$3,0))*('Margin Guidence Table'!$G$1:$G$10000&gt;=ROUND($HU$3,0)),0),MATCH("DEFAULT_MDA_MEDIAN_MARGIN_GUIDENCE",'Margin Guidence Table'!$A$1:$AC$1,0))),0)</f>
        <v>0</v>
      </c>
      <c r="IJ31" s="1165">
        <f t="array" ref="IJ31">IFERROR(IF($IE31="SEGMENT",INDEX('Margin Guidence Table'!$A$1:$AC$10000,MATCH(1,('Margin Guidence Table'!$A$1:$A$10000=IC31)*('Margin Guidence Table'!$H$1:$H$10000&lt;=ROUND($HU$3,0))*('Margin Guidence Table'!$G$1:$G$10000&gt;=ROUND($HU$3,0)),0),MATCH("MDA_MAX_MARGIN_GUIDENCE",'Margin Guidence Table'!$A$1:$AC$1,0)),INDEX('Margin Guidence Table'!$A$1:$AC$10000,MATCH(1,('Margin Guidence Table'!$A$1:$A$10000=IC31)*('Margin Guidence Table'!$H$1:$H$10000&lt;=ROUND($HU$3,0))*('Margin Guidence Table'!$G$1:$G$10000&gt;=ROUND($HU$3,0)),0),MATCH("DEFAULT_MDA_MAX_MARGIN_GUIDENCE",'Margin Guidence Table'!$A$1:$AC$1,0))),0)</f>
        <v>0</v>
      </c>
      <c r="IK31" s="1165">
        <f t="array" ref="IK31">IFERROR(IF($IE31="SEGMENT",INDEX('Margin Guidence Table'!$A$1:$AC$10000,MATCH(1,('Margin Guidence Table'!$A$1:$A$10000=IC31)*('Margin Guidence Table'!$H$1:$H$10000&lt;=ROUND($HU$3,0))*('Margin Guidence Table'!$G$1:$G$10000&gt;=ROUND($HU$3,0)),0),MATCH("PA_PCT_SALES",'Margin Guidence Table'!$A$1:$AC$1,0)),INDEX('Margin Guidence Table'!$A$1:$AC$10000,MATCH(1,('Margin Guidence Table'!$A$1:$A$10000=IC31)*('Margin Guidence Table'!$H$1:$H$10000&lt;=ROUND($HU$3,0))*('Margin Guidence Table'!$G$1:$G$10000&gt;=ROUND($HU$3,0)),0),MATCH("DEFAULT_PA_PCT_SALES",'Margin Guidence Table'!$A$1:$AC$1,0))),0)</f>
        <v>0</v>
      </c>
      <c r="IL31" s="1165">
        <f t="array" ref="IL31">IFERROR(IF($IE31="SEGMENT",INDEX('Margin Guidence Table'!$A$1:$AC$10000,MATCH(1,('Margin Guidence Table'!$A$1:$A$10000=IC31)*('Margin Guidence Table'!$H$1:$H$10000&lt;=ROUND($HU$3,0))*('Margin Guidence Table'!$G$1:$G$10000&gt;=ROUND($HU$3,0)),0),MATCH("SELF_FUND_PCT_SALES",'Margin Guidence Table'!$A$1:$AC$1,0)),INDEX('Margin Guidence Table'!$A$1:$AC$10000,MATCH(1,('Margin Guidence Table'!$A$1:$A$10000=IC31)*('Margin Guidence Table'!$H$1:$H$10000&lt;=ROUND($HU$3,0))*('Margin Guidence Table'!$G$1:$G$10000&gt;=ROUND($HU$3,0)),0),MATCH("DEFAULT_SELF_FUND_PCT_SALES",'Margin Guidence Table'!$A$1:$AC$1,0))),0)</f>
        <v>0</v>
      </c>
      <c r="IM31" s="1165">
        <f t="array" ref="IM31">IFERROR(IF($IE31="SEGMENT",INDEX('Margin Guidence Table'!$A$1:$AC$10000,MATCH(1,('Margin Guidence Table'!$A$1:$A$10000=IC31)*('Margin Guidence Table'!$H$1:$H$10000&lt;=ROUND($HU$3,0))*('Margin Guidence Table'!$G$1:$G$10000&gt;=ROUND($HU$3,0)),0),MATCH("CIA_MEDIAN_MARGIN_GUIDENCE",'Margin Guidence Table'!$A$1:$AC$1,0)),INDEX('Margin Guidence Table'!$A$1:$AC$10000,MATCH(1,('Margin Guidence Table'!$A$1:$A$10000=IC31)*('Margin Guidence Table'!$H$1:$H$10000&lt;=ROUND($HU$3,0))*('Margin Guidence Table'!$G$1:$G$10000&gt;=ROUND($HU$3,0)),0),MATCH("DEFAULT_CIA_MEDIAN_MARGIN_GUIDENCE",'Margin Guidence Table'!$A$1:$AC$1,0))),0)</f>
        <v>0</v>
      </c>
      <c r="IN31" s="129"/>
      <c r="IO31" s="18">
        <f t="array" ref="IO31">IFERROR(IF($JA31="SEGMENT",INDEX('Margin Guidence Table'!$A$1:$AC$10000,MATCH(1,('Margin Guidence Table'!$A$1:$A$10000=$IY31)*('Margin Guidence Table'!$H$1:$H$10000&lt;=ROUND($IQ$3,0))*('Margin Guidence Table'!$G$1:$G$10000&gt;=ROUND($IQ$3,0)),0),MATCH("PCT_SALES",'Margin Guidence Table'!$A$1:$AC$1,0)),INDEX('Margin Guidence Table'!$A$1:$AC$10000,MATCH(1,('Margin Guidence Table'!$A$1:$A$10000=$IY31)*('Margin Guidence Table'!$H$1:$H$10000&lt;=ROUND($IQ$3,0))*('Margin Guidence Table'!$G$1:$G$10000&gt;=ROUND($IQ$3,0)),0),MATCH("DEFAULT_PCT_SALES",'Margin Guidence Table'!$A$1:$AC$1,0))),0)</f>
        <v>0</v>
      </c>
      <c r="IP31" s="102" t="s">
        <v>94</v>
      </c>
      <c r="IQ31" s="94">
        <f>IFERROR(IF(AND($IQ$2&lt;&gt;"Enter Spend&gt;&gt;&gt;",IR2="EXISTING"),SUMIFS('Existing Customers'!$Q:$Q,'Existing Customers'!$A:$A,$IQ$1,'Existing Customers'!$H:$H,$IP31)*$IQ$4,$IQ$3*$IO31),0)</f>
        <v>0</v>
      </c>
      <c r="IR31" s="89">
        <f>IFERROR(IF(AND($IQ$2&lt;&gt;"Enter Spend&gt;&gt;&gt;",IR2="EXISTING"),SUMIFS('Existing Customers'!$N:$N,'Existing Customers'!$A:$A,$IQ$1,'Existing Customers'!$H:$H,$IP31)*$IQ$4,$IQ31/$JB31),0)</f>
        <v>0</v>
      </c>
      <c r="IS31" s="95">
        <f>IFERROR(IF(AND($IQ$2&lt;&gt;"Enter Spend&gt;&gt;&gt;",IR2="EXISTING"),SUMIFS('Existing Customers'!$O:$O,'Existing Customers'!$H:$H,$IP31,'Existing Customers'!$A:$A,$IQ$1)*$IQ$4,$IR31*$IQ$8),0)</f>
        <v>0</v>
      </c>
      <c r="IT31" s="95">
        <f>IFERROR(IF(AND($IQ$2&lt;&gt;"Enter Spend&gt;&gt;&gt;",IR2="EXISTING"),SUMIFS('Existing Customers'!$P:$P,'Existing Customers'!$A:$A,$IQ$1,'Existing Customers'!$H:$H,$IP31)*$IQ$4,$IQ31/$JC31),0)</f>
        <v>0</v>
      </c>
      <c r="IU31" s="402">
        <f>IFERROR(IF(AND($IQ$2&lt;&gt;"Enter Spend&gt;&gt;&gt;",IR2="EXISTING"),SUMIFS('Existing Customers'!$V:$V,'Existing Customers'!$H:$H,$IP31,'Existing Customers'!$A:$A,$IQ$1)*$IQ$4,0),0)</f>
        <v>0</v>
      </c>
      <c r="IV31" s="96">
        <f>IFERROR(IF(AND($IQ$2&lt;&gt;"Enter Spend&gt;&gt;&gt;",IR2="EXISTING"),SUMIFS('Existing Customers'!$R:$R,'Existing Customers'!$H:$H,$IP31,'Existing Customers'!$A:$A,$IQ$1)*$IQ$4,0),0)</f>
        <v>0</v>
      </c>
      <c r="IW31" s="1161">
        <f>IFERROR(IF(AND($IQ$2&lt;&gt;"Enter Spend&gt;&gt;&gt;",IR2="EXISTING"),SUMIFS('Existing Customers'!$S:$S,'Existing Customers'!$H:$H,$IP31,'Existing Customers'!$A:$A,$IQ$1),JG31*IQ31),0)</f>
        <v>0</v>
      </c>
      <c r="IX31" s="1161">
        <f>IFERROR(IF(AND($IQ$2&lt;&gt;"Enter Spend&gt;&gt;&gt;",IR2="EXISTING"),SUMIFS('Existing Customers'!$U:$U,'Existing Customers'!$H:$H,$IP31,'Existing Customers'!$A:$A,$IQ$1),JH31*IQ31),0)</f>
        <v>0</v>
      </c>
      <c r="IY31" s="1164" t="e">
        <f t="shared" si="42"/>
        <v>#N/A</v>
      </c>
      <c r="IZ31" s="1164">
        <f t="array" ref="IZ31">IFERROR(INDEX('Margin Guidence Table'!$A$1:$AD$30000,MATCH(1,('Margin Guidence Table'!$A$1:$A$10000=IY31)*('Margin Guidence Table'!$H$1:$H$10000&lt;=ROUND($IQ$3,0))*('Margin Guidence Table'!$G$1:$G$10000&gt;=ROUND($IQ$3,0)),0),MATCH("DATA_POINTS",'Margin Guidence Table'!$A$1:$AC$1,0)),0)</f>
        <v>0</v>
      </c>
      <c r="JA31" s="1161" t="str">
        <f t="shared" si="43"/>
        <v>DEFAULT</v>
      </c>
      <c r="JB31" s="1161">
        <f t="array" ref="JB31">IFERROR(IF($JA31="SEGMENT",INDEX('Margin Guidence Table'!$A$1:$AC$10000,MATCH(1,('Margin Guidence Table'!$A$1:$A$10000=IY31)*('Margin Guidence Table'!$H$1:$H$10000&lt;=ROUND($IQ$3,0))*('Margin Guidence Table'!$G$1:$G$10000&gt;=ROUND($IQ$3,0)),0),MATCH("SALES_CASE",'Margin Guidence Table'!$A$1:$AC$1,0)),INDEX('Margin Guidence Table'!$A$1:$AC$10000,MATCH(1,('Margin Guidence Table'!$A$1:$A$10000=IY31)*('Margin Guidence Table'!$H$1:$H$10000&lt;=ROUND($IQ$3,0))*('Margin Guidence Table'!$G$1:$G$10000&gt;=ROUND($IQ$3,0)),0),MATCH("DEFAULT_SALES_CASE",'Margin Guidence Table'!$A$1:$AC$1,0))),0)</f>
        <v>0</v>
      </c>
      <c r="JC31" s="1161">
        <f t="array" ref="JC31">IFERROR(IF($JA31="SEGMENT",INDEX('Margin Guidence Table'!$A$1:$AC$10000,MATCH(1,('Margin Guidence Table'!$A$1:$A$10000=IY31)*('Margin Guidence Table'!$H$1:$H$10000&lt;=ROUND($IQ$3,0))*('Margin Guidence Table'!$G$1:$G$10000&gt;=ROUND($IQ$3,0)),0),MATCH("SALES_LBS",'Margin Guidence Table'!$A$1:$AC$1,0)),INDEX('Margin Guidence Table'!$A$1:$AC$10000,MATCH(1,('Margin Guidence Table'!$A$1:$A$10000=IY31)*('Margin Guidence Table'!$H$1:$H$10000&lt;=ROUND($IQ$3,0))*('Margin Guidence Table'!$G$1:$G$10000&gt;=ROUND($IQ$3,0)),0),MATCH("DEFAULT_SALES_LBS",'Margin Guidence Table'!$A$1:$AC$1,0))),0)</f>
        <v>0</v>
      </c>
      <c r="JD31" s="1165">
        <f t="array" ref="JD31">IFERROR(IF($JA31="SEGMENT",INDEX('Margin Guidence Table'!$A$1:$AC$10000,MATCH(1,('Margin Guidence Table'!$A$1:$A$10000=IY31)*('Margin Guidence Table'!$H$1:$H$10000&lt;=ROUND($IQ$3,0))*('Margin Guidence Table'!$G$1:$G$10000&gt;=ROUND($IQ$3,0)),0),MATCH("MDA_MIN_MARGIN_GUIDENCE",'Margin Guidence Table'!$A$1:$AC$1,0)),INDEX('Margin Guidence Table'!$A$1:$AC$10000,MATCH(1,('Margin Guidence Table'!$A$1:$A$10000=IY31)*('Margin Guidence Table'!$H$1:$H$10000&lt;=ROUND($IQ$3,0))*('Margin Guidence Table'!$G$1:$G$10000&gt;=ROUND($IQ$3,0)),0),MATCH("DEFAULT_MDA_MIN_MARGIN_GUIDENCE",'Margin Guidence Table'!$A$1:$AC$1,0))),0)</f>
        <v>0</v>
      </c>
      <c r="JE31" s="1165">
        <f t="array" ref="JE31">IFERROR(IF($JA31="SEGMENT",INDEX('Margin Guidence Table'!$A$1:$AC$10000,MATCH(1,('Margin Guidence Table'!$A$1:$A$10000=IY31)*('Margin Guidence Table'!$H$1:$H$10000&lt;=ROUND($IQ$3,0))*('Margin Guidence Table'!$G$1:$G$10000&gt;=ROUND($IQ$3,0)),0),MATCH("MDA_MEDIAN_MARGIN_GUIDENCE",'Margin Guidence Table'!$A$1:$AC$1,0)),INDEX('Margin Guidence Table'!$A$1:$AC$10000,MATCH(1,('Margin Guidence Table'!$A$1:$A$10000=IY31)*('Margin Guidence Table'!$H$1:$H$10000&lt;=ROUND($IQ$3,0))*('Margin Guidence Table'!$G$1:$G$10000&gt;=ROUND($IQ$3,0)),0),MATCH("DEFAULT_MDA_MEDIAN_MARGIN_GUIDENCE",'Margin Guidence Table'!$A$1:$AC$1,0))),0)</f>
        <v>0</v>
      </c>
      <c r="JF31" s="1165">
        <f t="array" ref="JF31">IFERROR(IF($JA31="SEGMENT",INDEX('Margin Guidence Table'!$A$1:$AC$10000,MATCH(1,('Margin Guidence Table'!$A$1:$A$10000=IY31)*('Margin Guidence Table'!$H$1:$H$10000&lt;=ROUND($IQ$3,0))*('Margin Guidence Table'!$G$1:$G$10000&gt;=ROUND($IQ$3,0)),0),MATCH("MDA_MAX_MARGIN_GUIDENCE",'Margin Guidence Table'!$A$1:$AC$1,0)),INDEX('Margin Guidence Table'!$A$1:$AC$10000,MATCH(1,('Margin Guidence Table'!$A$1:$A$10000=IY31)*('Margin Guidence Table'!$H$1:$H$10000&lt;=ROUND($IQ$3,0))*('Margin Guidence Table'!$G$1:$G$10000&gt;=ROUND($IQ$3,0)),0),MATCH("DEFAULT_MDA_MAX_MARGIN_GUIDENCE",'Margin Guidence Table'!$A$1:$AC$1,0))),0)</f>
        <v>0</v>
      </c>
      <c r="JG31" s="1165">
        <f t="array" ref="JG31">IFERROR(IF($JA31="SEGMENT",INDEX('Margin Guidence Table'!$A$1:$AC$10000,MATCH(1,('Margin Guidence Table'!$A$1:$A$10000=IY31)*('Margin Guidence Table'!$H$1:$H$10000&lt;=ROUND($IQ$3,0))*('Margin Guidence Table'!$G$1:$G$10000&gt;=ROUND($IQ$3,0)),0),MATCH("PA_PCT_SALES",'Margin Guidence Table'!$A$1:$AC$1,0)),INDEX('Margin Guidence Table'!$A$1:$AC$10000,MATCH(1,('Margin Guidence Table'!$A$1:$A$10000=IY31)*('Margin Guidence Table'!$H$1:$H$10000&lt;=ROUND($IQ$3,0))*('Margin Guidence Table'!$G$1:$G$10000&gt;=ROUND($IQ$3,0)),0),MATCH("DEFAULT_PA_PCT_SALES",'Margin Guidence Table'!$A$1:$AC$1,0))),0)</f>
        <v>0</v>
      </c>
      <c r="JH31" s="1165">
        <f t="array" ref="JH31">IFERROR(IF($JA31="SEGMENT",INDEX('Margin Guidence Table'!$A$1:$AC$10000,MATCH(1,('Margin Guidence Table'!$A$1:$A$10000=IY31)*('Margin Guidence Table'!$H$1:$H$10000&lt;=ROUND($IQ$3,0))*('Margin Guidence Table'!$G$1:$G$10000&gt;=ROUND($IQ$3,0)),0),MATCH("SELF_FUND_PCT_SALES",'Margin Guidence Table'!$A$1:$AC$1,0)),INDEX('Margin Guidence Table'!$A$1:$AC$10000,MATCH(1,('Margin Guidence Table'!$A$1:$A$10000=IY31)*('Margin Guidence Table'!$H$1:$H$10000&lt;=ROUND($IQ$3,0))*('Margin Guidence Table'!$G$1:$G$10000&gt;=ROUND($IQ$3,0)),0),MATCH("DEFAULT_SELF_FUND_PCT_SALES",'Margin Guidence Table'!$A$1:$AC$1,0))),0)</f>
        <v>0</v>
      </c>
      <c r="JI31" s="1165">
        <f t="array" ref="JI31">IFERROR(IF($JA31="SEGMENT",INDEX('Margin Guidence Table'!$A$1:$AC$10000,MATCH(1,('Margin Guidence Table'!$A$1:$A$10000=IY31)*('Margin Guidence Table'!$H$1:$H$10000&lt;=ROUND($IQ$3,0))*('Margin Guidence Table'!$G$1:$G$10000&gt;=ROUND($IQ$3,0)),0),MATCH("CIA_MEDIAN_MARGIN_GUIDENCE",'Margin Guidence Table'!$A$1:$AC$1,0)),INDEX('Margin Guidence Table'!$A$1:$AC$10000,MATCH(1,('Margin Guidence Table'!$A$1:$A$10000=IY31)*('Margin Guidence Table'!$H$1:$H$10000&lt;=ROUND($IQ$3,0))*('Margin Guidence Table'!$G$1:$G$10000&gt;=ROUND($IQ$3,0)),0),MATCH("DEFAULT_CIA_MEDIAN_MARGIN_GUIDENCE",'Margin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44"/>
        <v>#DIV/0!</v>
      </c>
      <c r="AV32" s="400"/>
      <c r="AW32" s="400"/>
      <c r="AX32" s="108">
        <v>21</v>
      </c>
      <c r="AY32" s="18">
        <f t="array" ref="AY32">IFERROR(IF($BK32="SEGMENT",INDEX('Margin Guidence Table'!$A$1:$AC$10000,MATCH(1,('Margin Guidence Table'!$A$1:$A$10000=$BI32)*('Margin Guidence Table'!$H$1:$H$10000&lt;=ROUND($BA$3,0))*('Margin Guidence Table'!$G$1:$G$10000&gt;=ROUND($BA$3,0)),0),MATCH("PCT_SALES",'Margin Guidence Table'!$A$1:$AC$1,0)),INDEX('Margin Guidence Table'!$A$1:$AC$10000,MATCH(1,('Margin Guidence Table'!$A$1:$A$10000=$BI32)*('Margin Guidence Table'!$H$1:$H$10000&lt;=ROUND($BA$3,0))*('Margin Guidence Table'!$G$1:$G$10000&gt;=ROUND($BA$3,0)),0),MATCH("DEFAULT_PCT_SALES",'Margin Guidence Table'!$A$1:$AC$1,0))),0)</f>
        <v>0</v>
      </c>
      <c r="AZ32" s="102" t="s">
        <v>86</v>
      </c>
      <c r="BA32" s="94">
        <f>IFERROR(IF(AND($BA$2&lt;&gt;"Enter Spend&gt;&gt;&gt;",BB2="EXISTING"),SUMIFS('Existing Customers'!$Q:$Q,'Existing Customers'!$A:$A,$BA$1,'Existing Customers'!$H:$H,$AZ32)*$BA$4,$BA$3*$AY32),0)</f>
        <v>0</v>
      </c>
      <c r="BB32" s="95">
        <f>IFERROR(IF(AND($BA$2&lt;&gt;"Enter Spend&gt;&gt;&gt;",BB2="EXISTING"),SUMIFS('Existing Customers'!$N:$N,'Existing Customers'!$A:$A,$BA$1,'Existing Customers'!$H:$H,$AZ32)*$BA$4,$BA32/$BL32),0)</f>
        <v>0</v>
      </c>
      <c r="BC32" s="95">
        <f>IFERROR(IF(AND($BA$2&lt;&gt;"Enter Spend&gt;&gt;&gt;",BB2="EXISTING"),SUMIFS('Existing Customers'!$O:$O,'Existing Customers'!$H:$H,$AZ32,'Existing Customers'!$A:$A,$BA$1)*$BA$4,$BB32*$BA$8),0)</f>
        <v>0</v>
      </c>
      <c r="BD32" s="95">
        <f>IFERROR(IF(AND($BA$2&lt;&gt;"Enter Spend&gt;&gt;&gt;",BB2="EXISTING"),SUMIFS('Existing Customers'!$P:$P,'Existing Customers'!$A:$A,$BA$1,'Existing Customers'!$H:$H,$AZ32)*$BA$4,$BA32/$BM32),0)</f>
        <v>0</v>
      </c>
      <c r="BE32" s="402">
        <f>IFERROR(IF(AND($BA$2&lt;&gt;"Enter Spend&gt;&gt;&gt;",BB2="EXISTING"),SUMIFS('Existing Customers'!$V:$V,'Existing Customers'!$H:$H,$AZ32,'Existing Customers'!$A:$A,$BA$1)*$BA$4,0),0)</f>
        <v>0</v>
      </c>
      <c r="BF32" s="96">
        <f>IFERROR(IF(AND($BA$2&lt;&gt;"Enter Spend&gt;&gt;&gt;",BB2="EXISTING"),SUMIFS('Existing Customers'!$R:$R,'Existing Customers'!$H:$H,$AZ32,'Existing Customers'!$A:$A,$BA$1)*$BA$4,0),0)</f>
        <v>0</v>
      </c>
      <c r="BG32" s="96">
        <f>IFERROR(IF(AND($BA$2&lt;&gt;"Enter Spend&gt;&gt;&gt;",BB2="EXISTING"),SUMIFS('Existing Customers'!$S:$S,'Existing Customers'!$H:$H,$AZ32,'Existing Customers'!$A:$A,$BA$1),BQ32*BA32),0)</f>
        <v>0</v>
      </c>
      <c r="BH32" s="96">
        <f>IFERROR(IF(AND($BA$2&lt;&gt;"Enter Spend&gt;&gt;&gt;",BB2="EXISTING"),SUMIFS('Existing Customers'!$U:$U,'Existing Customers'!$H:$H,$AZ32,'Existing Customers'!$A:$A,$BA$1),BR32*BA32),0)</f>
        <v>0</v>
      </c>
      <c r="BI32" s="1163" t="e">
        <f t="shared" si="24"/>
        <v>#N/A</v>
      </c>
      <c r="BJ32" s="1164">
        <f t="array" ref="BJ32">IFERROR(INDEX('Margin Guidence Table'!$A$1:$AD$30000,MATCH(1,('Margin Guidence Table'!$A$1:$A$10000=$BI32)*('Margin Guidence Table'!$H$1:$H$10000&lt;=ROUND($BA$3,0))*('Margin Guidence Table'!$G$1:$G$10000&gt;=ROUND($BA$3,0)),0),MATCH("DATA_POINTS",'Margin Guidence Table'!$A$1:$AC$1,0)),0)</f>
        <v>0</v>
      </c>
      <c r="BK32" s="1161" t="str">
        <f t="shared" si="25"/>
        <v>DEFAULT</v>
      </c>
      <c r="BL32" s="1161">
        <f t="array" ref="BL32">IFERROR(IF($BK32="SEGMENT",INDEX('Margin Guidence Table'!$A$1:$AC$10000,MATCH(1,('Margin Guidence Table'!$A$1:$A$10000=$BI32)*('Margin Guidence Table'!$H$1:$H$10000&lt;=ROUND($BA$3,0))*('Margin Guidence Table'!$G$1:$G$10000&gt;=ROUND($BA$3,0)),0),MATCH("SALES_CASE",'Margin Guidence Table'!$A$1:$AC$1,0)),INDEX('Margin Guidence Table'!$A$1:$AC$10000,MATCH(1,('Margin Guidence Table'!$A$1:$A$10000=$BI32)*('Margin Guidence Table'!$H$1:$H$10000&lt;=ROUND($BA$3,0))*('Margin Guidence Table'!$G$1:$G$10000&gt;=ROUND($BA$3,0)),0),MATCH("DEFAULT_SALES_CASE",'Margin Guidence Table'!$A$1:$AC$1,0))),0)</f>
        <v>0</v>
      </c>
      <c r="BM32" s="1161">
        <f t="array" ref="BM32">IFERROR(IF($BK32="SEGMENT",INDEX('Margin Guidence Table'!$A$1:$AC$10000,MATCH(1,('Margin Guidence Table'!$A$1:$A$10000=$BI32)*('Margin Guidence Table'!$H$1:$H$10000&lt;=ROUND($BA$3,0))*('Margin Guidence Table'!$G$1:$G$10000&gt;=ROUND($BA$3,0)),0),MATCH("SALES_LBS",'Margin Guidence Table'!$A$1:$AC$1,0)),INDEX('Margin Guidence Table'!$A$1:$AC$10000,MATCH(1,('Margin Guidence Table'!$A$1:$A$10000=$BI32)*('Margin Guidence Table'!$H$1:$H$10000&lt;=ROUND($BA$3,0))*('Margin Guidence Table'!$G$1:$G$10000&gt;=ROUND($BA$3,0)),0),MATCH("DEFAULT_SALES_LBS",'Margin Guidence Table'!$A$1:$AC$1,0))),0)</f>
        <v>0</v>
      </c>
      <c r="BN32" s="1165">
        <f t="array" ref="BN32">IFERROR(IF($BK32="SEGMENT",INDEX('Margin Guidence Table'!$A$1:$AC$10000,MATCH(1,('Margin Guidence Table'!$A$1:$A$10000=$BI32)*('Margin Guidence Table'!$H$1:$H$10000&lt;=ROUND($BA$3,0))*('Margin Guidence Table'!$G$1:$G$10000&gt;=ROUND($BA$3,0)),0),MATCH("MDA_MIN_MARGIN_GUIDENCE",'Margin Guidence Table'!$A$1:$AC$1,0)),INDEX('Margin Guidence Table'!$A$1:$AC$10000,MATCH(1,('Margin Guidence Table'!$A$1:$A$10000=$BI32)*('Margin Guidence Table'!$H$1:$H$10000&lt;=ROUND($BA$3,0))*('Margin Guidence Table'!$G$1:$G$10000&gt;=ROUND($BA$3,0)),0),MATCH("DEFAULT_MDA_MIN_MARGIN_GUIDENCE",'Margin Guidence Table'!$A$1:$AC$1,0))),0)</f>
        <v>0</v>
      </c>
      <c r="BO32" s="1165">
        <f t="array" ref="BO32">IFERROR(IF($BK32="SEGMENT",INDEX('Margin Guidence Table'!$A$1:$AC$10000,MATCH(1,('Margin Guidence Table'!$A$1:$A$10000=$BI32)*('Margin Guidence Table'!$H$1:$H$10000&lt;=ROUND($BA$3,0))*('Margin Guidence Table'!$G$1:$G$10000&gt;=ROUND($BA$3,0)),0),MATCH("MDA_MEDIAN_MARGIN_GUIDENCE",'Margin Guidence Table'!$A$1:$AC$1,0)),INDEX('Margin Guidence Table'!$A$1:$AC$10000,MATCH(1,('Margin Guidence Table'!$A$1:$A$10000=$BI32)*('Margin Guidence Table'!$H$1:$H$10000&lt;=ROUND($BA$3,0))*('Margin Guidence Table'!$G$1:$G$10000&gt;=ROUND($BA$3,0)),0),MATCH("DEFAULT_MDA_MEDIAN_MARGIN_GUIDENCE",'Margin Guidence Table'!$A$1:$AC$1,0))),0)</f>
        <v>0</v>
      </c>
      <c r="BP32" s="1165">
        <f t="array" ref="BP32">IFERROR(IF($BK32="SEGMENT",INDEX('Margin Guidence Table'!$A$1:$AC$10000,MATCH(1,('Margin Guidence Table'!$A$1:$A$10000=$BI32)*('Margin Guidence Table'!$H$1:$H$10000&lt;=ROUND($BA$3,0))*('Margin Guidence Table'!$G$1:$G$10000&gt;=ROUND($BA$3,0)),0),MATCH("MDA_MAX_MARGIN_GUIDENCE",'Margin Guidence Table'!$A$1:$AC$1,0)),INDEX('Margin Guidence Table'!$A$1:$AC$10000,MATCH(1,('Margin Guidence Table'!$A$1:$A$10000=$BI32)*('Margin Guidence Table'!$H$1:$H$10000&lt;=ROUND($BA$3,0))*('Margin Guidence Table'!$G$1:$G$10000&gt;=ROUND($BA$3,0)),0),MATCH("DEFAULT_MDA_MAX_MARGIN_GUIDENCE",'Margin Guidence Table'!$A$1:$AC$1,0))),0)</f>
        <v>0</v>
      </c>
      <c r="BQ32" s="1165">
        <f t="array" ref="BQ32">IFERROR(IF($BK32="SEGMENT",INDEX('Margin Guidence Table'!$A$1:$AC$10000,MATCH(1,('Margin Guidence Table'!$A$1:$A$10000=$BI32)*('Margin Guidence Table'!$H$1:$H$10000&lt;=ROUND($BA$3,0))*('Margin Guidence Table'!$G$1:$G$10000&gt;=ROUND($BA$3,0)),0),MATCH("PA_PCT_SALES",'Margin Guidence Table'!$A$1:$AC$1,0)),INDEX('Margin Guidence Table'!$A$1:$AC$10000,MATCH(1,('Margin Guidence Table'!$A$1:$A$10000=$BI32)*('Margin Guidence Table'!$H$1:$H$10000&lt;=ROUND($BA$3,0))*('Margin Guidence Table'!$G$1:$G$10000&gt;=ROUND($BA$3,0)),0),MATCH("DEFAULT_PA_PCT_SALES",'Margin Guidence Table'!$A$1:$AC$1,0))),0)</f>
        <v>0</v>
      </c>
      <c r="BR32" s="1165">
        <f t="array" ref="BR32">IFERROR(IF($BK32="SEGMENT",INDEX('Margin Guidence Table'!$A$1:$AC$10000,MATCH(1,('Margin Guidence Table'!$A$1:$A$10000=$BI32)*('Margin Guidence Table'!$H$1:$H$10000&lt;=ROUND($BA$3,0))*('Margin Guidence Table'!$G$1:$G$10000&gt;=ROUND($BA$3,0)),0),MATCH("SELF_FUND_PCT_SALES",'Margin Guidence Table'!$A$1:$AC$1,0)),INDEX('Margin Guidence Table'!$A$1:$AC$10000,MATCH(1,('Margin Guidence Table'!$A$1:$A$10000=$BI32)*('Margin Guidence Table'!$H$1:$H$10000&lt;=ROUND($BA$3,0))*('Margin Guidence Table'!$G$1:$G$10000&gt;=ROUND($BA$3,0)),0),MATCH("DEFAULT_SELF_FUND_PCT_SALES",'Margin Guidence Table'!$A$1:$AC$1,0))),0)</f>
        <v>0</v>
      </c>
      <c r="BS32" s="1165">
        <f t="array" ref="BS32">IFERROR(IF($BK32="SEGMENT",INDEX('Margin Guidence Table'!$A$1:$AC$10000,MATCH(1,('Margin Guidence Table'!$A$1:$A$10000=$BI32)*('Margin Guidence Table'!$H$1:$H$10000&lt;=ROUND($BA$3,0))*('Margin Guidence Table'!$G$1:$G$10000&gt;=ROUND($BA$3,0)),0),MATCH("CIA_MEDIAN_MARGIN_GUIDENCE",'Margin Guidence Table'!$A$1:$AC$1,0)),INDEX('Margin Guidence Table'!$A$1:$AC$10000,MATCH(1,('Margin Guidence Table'!$A$1:$A$10000=$BI32)*('Margin Guidence Table'!$H$1:$H$10000&lt;=ROUND($BA$3,0))*('Margin Guidence Table'!$G$1:$G$10000&gt;=ROUND($BA$3,0)),0),MATCH("DEFAULT_CIA_MEDIAN_MARGIN_GUIDENCE",'Margin Guidence Table'!$A$1:$AC$1,0))),0)</f>
        <v>0</v>
      </c>
      <c r="BT32" s="129"/>
      <c r="BU32" s="18">
        <f t="array" ref="BU32">IFERROR(IF($CG32="SEGMENT",INDEX('Margin Guidence Table'!$A$1:$AC$10000,MATCH(1,('Margin Guidence Table'!$A$1:$A$10000=$CE32)*('Margin Guidence Table'!$H$1:$H$10000&lt;=ROUND($BW$3,0))*('Margin Guidence Table'!$G$1:$G$10000&gt;=ROUND($BW$3,0)),0),MATCH("PCT_SALES",'Margin Guidence Table'!$A$1:$AC$1,0)),INDEX('Margin Guidence Table'!$A$1:$AC$10000,MATCH(1,('Margin Guidence Table'!$A$1:$A$10000=$CE32)*('Margin Guidence Table'!$H$1:$H$10000&lt;=ROUND($BW$3,0))*('Margin Guidence Table'!$G$1:$G$10000&gt;=ROUND($BW$3,0)),0),MATCH("DEFAULT_PCT_SALES",'Margin Guidence Table'!$A$1:$AC$1,0))),0)</f>
        <v>0</v>
      </c>
      <c r="BV32" s="102" t="s">
        <v>86</v>
      </c>
      <c r="BW32" s="94">
        <f>IFERROR(IF(AND($BW$2&lt;&gt;"Enter Spend&gt;&gt;&gt;",BX2="EXISTING"),SUMIFS('Existing Customers'!$Q:$Q,'Existing Customers'!$A:$A,$BW$1,'Existing Customers'!$H:$H,$BV32)*$BW$4,$BW$3*$BU32),0)</f>
        <v>0</v>
      </c>
      <c r="BX32" s="89">
        <f>IFERROR(IF(AND($BW$2&lt;&gt;"Enter Spend&gt;&gt;&gt;",BX2="EXISTING"),SUMIFS('Existing Customers'!$N:$N,'Existing Customers'!$A:$A,$BW$1,'Existing Customers'!$H:$H,$BV32)*$BW$4,$BW32/$CH32),0)</f>
        <v>0</v>
      </c>
      <c r="BY32" s="95">
        <f>IFERROR(IF(AND($BW$2&lt;&gt;"Enter Spend&gt;&gt;&gt;",BX2="EXISTING"),SUMIFS('Existing Customers'!$O:$O,'Existing Customers'!$H:$H,$BV32,'Existing Customers'!$A:$A,$BW$1)*$BW$4,$BX32*$BW$8),0)</f>
        <v>0</v>
      </c>
      <c r="BZ32" s="95">
        <f>IFERROR(IF(AND($BW$2&lt;&gt;"Enter Spend&gt;&gt;&gt;",BX2="EXISTING"),SUMIFS('Existing Customers'!$P:$P,'Existing Customers'!$A:$A,$BW$1,'Existing Customers'!$H:$H,$BV32)*$BW$4,$BW32/$CI32),0)</f>
        <v>0</v>
      </c>
      <c r="CA32" s="96">
        <f>IFERROR(IF(AND($BW$2&lt;&gt;"Enter Spend&gt;&gt;&gt;",BX2="EXISTING"),SUMIFS('Existing Customers'!$V:$V,'Existing Customers'!$H:$H,$BV32,'Existing Customers'!$A:$A,$BW$1)*$BW$4,0),0)</f>
        <v>0</v>
      </c>
      <c r="CB32" s="96">
        <f>IFERROR(IF(AND($BW$2&lt;&gt;"Enter Spend&gt;&gt;&gt;",BX2="EXISTING"),SUMIFS('Existing Customers'!$R:$R,'Existing Customers'!$H:$H,$BV32,'Existing Customers'!$A:$A,$BW$1)*$BW$4,0),0)</f>
        <v>0</v>
      </c>
      <c r="CC32" s="1161">
        <f>IFERROR(IF(AND($BW$2&lt;&gt;"Enter Spend&gt;&gt;&gt;",BX2="EXISTING"),SUMIFS('Existing Customers'!$S:$S,'Existing Customers'!$H:$H,$BV32,'Existing Customers'!$A:$A,$BW$1),CM32*BW32),0)</f>
        <v>0</v>
      </c>
      <c r="CD32" s="1161">
        <f>IFERROR(IF(AND($BW$2&lt;&gt;"Enter Spend&gt;&gt;&gt;",BX2="EXISTING"),SUMIFS('Existing Customers'!$U:$U,'Existing Customers'!$H:$H,$BV32,'Existing Customers'!$A:$A,$BW$1),CN32*BW32),0)</f>
        <v>0</v>
      </c>
      <c r="CE32" s="1164" t="e">
        <f t="shared" si="26"/>
        <v>#N/A</v>
      </c>
      <c r="CF32" s="1164">
        <f t="array" ref="CF32">IFERROR(INDEX('Margin Guidence Table'!$A$1:$AD$30000,MATCH(1,('Margin Guidence Table'!$A$1:$A$10000=$CE32)*('Margin Guidence Table'!$H$1:$H$10000&lt;=ROUND($BW$3,0))*('Margin Guidence Table'!$G$1:$G$10000&gt;=ROUND($BW$3,0)),0),MATCH("DATA_POINTS",'Margin Guidence Table'!$A$1:$AC$1,0)),0)</f>
        <v>0</v>
      </c>
      <c r="CG32" s="1161" t="str">
        <f t="shared" si="27"/>
        <v>DEFAULT</v>
      </c>
      <c r="CH32" s="1161">
        <f t="array" ref="CH32">IFERROR(IF($CG32="SEGMENT",INDEX('Margin Guidence Table'!$A$1:$AC$10000,MATCH(1,('Margin Guidence Table'!$A$1:$A$10000=$CE32)*('Margin Guidence Table'!$H$1:$H$10000&lt;=ROUND($BW$3,0))*('Margin Guidence Table'!$G$1:$G$10000&gt;=ROUND($BW$3,0)),0),MATCH("SALES_CASE",'Margin Guidence Table'!$A$1:$AC$1,0)),INDEX('Margin Guidence Table'!$A$1:$AC$10000,MATCH(1,('Margin Guidence Table'!$A$1:$A$10000=$CE32)*('Margin Guidence Table'!$H$1:$H$10000&lt;=ROUND($BW$3,0))*('Margin Guidence Table'!$G$1:$G$10000&gt;=ROUND($BW$3,0)),0),MATCH("DEFAULT_SALES_CASE",'Margin Guidence Table'!$A$1:$AC$1,0))),0)</f>
        <v>0</v>
      </c>
      <c r="CI32" s="1161">
        <f t="array" ref="CI32">IFERROR(IF($CG32="SEGMENT",INDEX('Margin Guidence Table'!$A$1:$AC$10000,MATCH(1,('Margin Guidence Table'!$A$1:$A$10000=$CE32)*('Margin Guidence Table'!$H$1:$H$10000&lt;=ROUND($BW$3,0))*('Margin Guidence Table'!$G$1:$G$10000&gt;=ROUND($BW$3,0)),0),MATCH("SALES_LBS",'Margin Guidence Table'!$A$1:$AC$1,0)),INDEX('Margin Guidence Table'!$A$1:$AC$10000,MATCH(1,('Margin Guidence Table'!$A$1:$A$10000=$CE32)*('Margin Guidence Table'!$H$1:$H$10000&lt;=ROUND($BW$3,0))*('Margin Guidence Table'!$G$1:$G$10000&gt;=ROUND($BW$3,0)),0),MATCH("DEFAULT_SALES_LBS",'Margin Guidence Table'!$A$1:$AC$1,0))),0)</f>
        <v>0</v>
      </c>
      <c r="CJ32" s="1165">
        <f t="array" ref="CJ32">IFERROR(IF($CG32="SEGMENT",INDEX('Margin Guidence Table'!$A$1:$AC$10000,MATCH(1,('Margin Guidence Table'!$A$1:$A$10000=$CE32)*('Margin Guidence Table'!$H$1:$H$10000&lt;=ROUND($BW$3,0))*('Margin Guidence Table'!$G$1:$G$10000&gt;=ROUND($BW$3,0)),0),MATCH("MDA_MIN_MARGIN_GUIDENCE",'Margin Guidence Table'!$A$1:$AC$1,0)),INDEX('Margin Guidence Table'!$A$1:$AC$10000,MATCH(1,('Margin Guidence Table'!$A$1:$A$10000=$CE32)*('Margin Guidence Table'!$H$1:$H$10000&lt;=ROUND($BW$3,0))*('Margin Guidence Table'!$G$1:$G$10000&gt;=ROUND($BW$3,0)),0),MATCH("DEFAULT_MDA_MIN_MARGIN_GUIDENCE",'Margin Guidence Table'!$A$1:$AC$1,0))),0)</f>
        <v>0</v>
      </c>
      <c r="CK32" s="1165">
        <f t="array" ref="CK32">IFERROR(IF($CG32="SEGMENT",INDEX('Margin Guidence Table'!$A$1:$AC$10000,MATCH(1,('Margin Guidence Table'!$A$1:$A$10000=$CE32)*('Margin Guidence Table'!$H$1:$H$10000&lt;=ROUND($BW$3,0))*('Margin Guidence Table'!$G$1:$G$10000&gt;=ROUND($BW$3,0)),0),MATCH("MDA_MEDIAN_MARGIN_GUIDENCE",'Margin Guidence Table'!$A$1:$AC$1,0)),INDEX('Margin Guidence Table'!$A$1:$AC$10000,MATCH(1,('Margin Guidence Table'!$A$1:$A$10000=$CE32)*('Margin Guidence Table'!$H$1:$H$10000&lt;=ROUND($BW$3,0))*('Margin Guidence Table'!$G$1:$G$10000&gt;=ROUND($BW$3,0)),0),MATCH("DEFAULT_MDA_MEDIAN_MARGIN_GUIDENCE",'Margin Guidence Table'!$A$1:$AC$1,0))),0)</f>
        <v>0</v>
      </c>
      <c r="CL32" s="1165">
        <f t="array" ref="CL32">IFERROR(IF($CG32="SEGMENT",INDEX('Margin Guidence Table'!$A$1:$AC$10000,MATCH(1,('Margin Guidence Table'!$A$1:$A$10000=$CE32)*('Margin Guidence Table'!$H$1:$H$10000&lt;=ROUND($BW$3,0))*('Margin Guidence Table'!$G$1:$G$10000&gt;=ROUND($BW$3,0)),0),MATCH("MDA_MAX_MARGIN_GUIDENCE",'Margin Guidence Table'!$A$1:$AC$1,0)),INDEX('Margin Guidence Table'!$A$1:$AC$10000,MATCH(1,('Margin Guidence Table'!$A$1:$A$10000=$CE32)*('Margin Guidence Table'!$H$1:$H$10000&lt;=ROUND($BW$3,0))*('Margin Guidence Table'!$G$1:$G$10000&gt;=ROUND($BW$3,0)),0),MATCH("DEFAULT_MDA_MAX_MARGIN_GUIDENCE",'Margin Guidence Table'!$A$1:$AC$1,0))),0)</f>
        <v>0</v>
      </c>
      <c r="CM32" s="1165">
        <f t="array" ref="CM32">IFERROR(IF($CG32="SEGMENT",INDEX('Margin Guidence Table'!$A$1:$AC$10000,MATCH(1,('Margin Guidence Table'!$A$1:$A$10000=$CE32)*('Margin Guidence Table'!$H$1:$H$10000&lt;=ROUND($BW$3,0))*('Margin Guidence Table'!$G$1:$G$10000&gt;=ROUND($BW$3,0)),0),MATCH("PA_PCT_SALES",'Margin Guidence Table'!$A$1:$AC$1,0)),INDEX('Margin Guidence Table'!$A$1:$AC$10000,MATCH(1,('Margin Guidence Table'!$A$1:$A$10000=$CE32)*('Margin Guidence Table'!$H$1:$H$10000&lt;=ROUND($BW$3,0))*('Margin Guidence Table'!$G$1:$G$10000&gt;=ROUND($BW$3,0)),0),MATCH("DEFAULT_PA_PCT_SALES",'Margin Guidence Table'!$A$1:$AC$1,0))),0)</f>
        <v>0</v>
      </c>
      <c r="CN32" s="1165">
        <f t="array" ref="CN32">IFERROR(IF($CG32="SEGMENT",INDEX('Margin Guidence Table'!$A$1:$AC$10000,MATCH(1,('Margin Guidence Table'!$A$1:$A$10000=$CE32)*('Margin Guidence Table'!$H$1:$H$10000&lt;=ROUND($BW$3,0))*('Margin Guidence Table'!$G$1:$G$10000&gt;=ROUND($BW$3,0)),0),MATCH("SELF_FUND_PCT_SALES",'Margin Guidence Table'!$A$1:$AC$1,0)),INDEX('Margin Guidence Table'!$A$1:$AC$10000,MATCH(1,('Margin Guidence Table'!$A$1:$A$10000=$CE32)*('Margin Guidence Table'!$H$1:$H$10000&lt;=ROUND($BW$3,0))*('Margin Guidence Table'!$G$1:$G$10000&gt;=ROUND($BW$3,0)),0),MATCH("DEFAULT_SELF_FUND_PCT_SALES",'Margin Guidence Table'!$A$1:$AC$1,0))),0)</f>
        <v>0</v>
      </c>
      <c r="CO32" s="1165">
        <f t="array" ref="CO32">IFERROR(IF($CG32="SEGMENT",INDEX('Margin Guidence Table'!$A$1:$AC$10000,MATCH(1,('Margin Guidence Table'!$A$1:$A$10000=$CE32)*('Margin Guidence Table'!$H$1:$H$10000&lt;=ROUND($BW$3,0))*('Margin Guidence Table'!$G$1:$G$10000&gt;=ROUND($BW$3,0)),0),MATCH("CIA_MEDIAN_MARGIN_GUIDENCE",'Margin Guidence Table'!$A$1:$AC$1,0)),INDEX('Margin Guidence Table'!$A$1:$AC$10000,MATCH(1,('Margin Guidence Table'!$A$1:$A$10000=$CE32)*('Margin Guidence Table'!$H$1:$H$10000&lt;=ROUND($BW$3,0))*('Margin Guidence Table'!$G$1:$G$10000&gt;=ROUND($BW$3,0)),0),MATCH("DEFAULT_CIA_MEDIAN_MARGIN_GUIDENCE",'Margin Guidence Table'!$A$1:$AC$1,0))),0)</f>
        <v>0</v>
      </c>
      <c r="CP32" s="129"/>
      <c r="CQ32" s="18">
        <f t="array" ref="CQ32">IFERROR(IF($DC32="SEGMENT",INDEX('Margin Guidence Table'!$A$1:$AC$10000,MATCH(1,('Margin Guidence Table'!$A$1:$A$10000=$DA32)*('Margin Guidence Table'!$H$1:$H$10000&lt;=ROUND($CS$3,0))*('Margin Guidence Table'!$G$1:$G$10000&gt;=ROUND($CS$3,0)),0),MATCH("PCT_SALES",'Margin Guidence Table'!$A$1:$AC$1,0)),INDEX('Margin Guidence Table'!$A$1:$AC$10000,MATCH(1,('Margin Guidence Table'!$A$1:$A$10000=$DA32)*('Margin Guidence Table'!$H$1:$H$10000&lt;=ROUND($CS$3,0))*('Margin Guidence Table'!$G$1:$G$10000&gt;=ROUND($CS$3,0)),0),MATCH("DEFAULT_PCT_SALES",'Margin Guidence Table'!$A$1:$AC$1,0))),0)</f>
        <v>0</v>
      </c>
      <c r="CR32" s="102" t="s">
        <v>86</v>
      </c>
      <c r="CS32" s="94">
        <f>IFERROR(IF(AND($CS$2&lt;&gt;"Enter Spend&gt;&gt;&gt;",CT2="EXISTING"),SUMIFS('Existing Customers'!$Q:$Q,'Existing Customers'!$A:$A,$CS$1,'Existing Customers'!$H:$H,$CR32)*$CS$4,$CS$3*$CQ32),0)</f>
        <v>0</v>
      </c>
      <c r="CT32" s="89">
        <f>IFERROR(IF(AND($CS$2&lt;&gt;"Enter Spend&gt;&gt;&gt;",CT2="EXISTING"),SUMIFS('Existing Customers'!$N:$N,'Existing Customers'!$A:$A,$CS$1,'Existing Customers'!$H:$H,$CR32)*$CS$4,$CS32/$DD32),0)</f>
        <v>0</v>
      </c>
      <c r="CU32" s="95">
        <f>IFERROR(IF(AND($CS$2&lt;&gt;"Enter Spend&gt;&gt;&gt;",BB28="EXISTING"),SUMIFS('Existing Customers'!$O:$O,'Existing Customers'!$H:$H,$CR32,'Existing Customers'!$A:$A,$CS$1)*$CS$4,$CT32*$CS$8),0)</f>
        <v>0</v>
      </c>
      <c r="CV32" s="95">
        <f>IFERROR(IF(AND($CS$2&lt;&gt;"Enter Spend&gt;&gt;&gt;",CT2="EXISTING"),SUMIFS('Existing Customers'!$P:$P,'Existing Customers'!$A:$A,$CS$1,'Existing Customers'!$H:$H,$CR32)*$CS$4,$CS32/$DE32),0)</f>
        <v>0</v>
      </c>
      <c r="CW32" s="96">
        <f>IFERROR(IF(AND($CS$2&lt;&gt;"Enter Spend&gt;&gt;&gt;",CT2="EXISTING"),SUMIFS('Existing Customers'!$V:$V,'Existing Customers'!$H:$H,$CR32,'Existing Customers'!$A:$A,$CS$1)*$CS$4,0),0)</f>
        <v>0</v>
      </c>
      <c r="CX32" s="96">
        <f>IFERROR(IF(AND($CS$2&lt;&gt;"Enter Spend&gt;&gt;&gt;",CT2="EXISTING"),SUMIFS('Existing Customers'!$R:$R,'Existing Customers'!$H:$H,$AZ32,'Existing Customers'!$A:$A,$CS$1)*$CS$4,0),0)</f>
        <v>0</v>
      </c>
      <c r="CY32" s="1161">
        <f>IFERROR(IF(AND($CS$2&lt;&gt;"Enter Spend&gt;&gt;&gt;",CT2="EXISTING"),SUMIFS('Existing Customers'!$S:$S,'Existing Customers'!$H:$H,$CR32,'Existing Customers'!$A:$A,$CS$1),DI32*CS32),0)</f>
        <v>0</v>
      </c>
      <c r="CZ32" s="1161">
        <f>IFERROR(IF(AND($CS$2&lt;&gt;"Enter Spend&gt;&gt;&gt;",CT2="EXISTING"),SUMIFS('Existing Customers'!$U:$U,'Existing Customers'!$H:$H,$CR32,'Existing Customers'!$A:$A,$CS$1),DJ32*CS32),0)</f>
        <v>0</v>
      </c>
      <c r="DA32" s="1164" t="e">
        <f t="shared" si="28"/>
        <v>#N/A</v>
      </c>
      <c r="DB32" s="1164">
        <f t="array" ref="DB32">IFERROR(INDEX('Margin Guidence Table'!$A$1:$AD$30000,MATCH(1,('Margin Guidence Table'!$A$1:$A$10000=DA32)*('Margin Guidence Table'!$H$1:$H$10000&lt;=ROUND($CS$3,0))*('Margin Guidence Table'!$G$1:$G$10000&gt;=ROUND($CS$3,0)),0),MATCH("DATA_POINTS",'Margin Guidence Table'!$A$1:$AC$1,0)),0)</f>
        <v>0</v>
      </c>
      <c r="DC32" s="1161" t="str">
        <f t="shared" si="29"/>
        <v>DEFAULT</v>
      </c>
      <c r="DD32" s="1161">
        <f t="array" ref="DD32">IFERROR(IF($DC32="SEGMENT",INDEX('Margin Guidence Table'!$A$1:$AC$10000,MATCH(1,('Margin Guidence Table'!$A$1:$A$10000=DA32)*('Margin Guidence Table'!$H$1:$H$10000&lt;=ROUND($CS$3,0))*('Margin Guidence Table'!$G$1:$G$10000&gt;=ROUND($CS$3,0)),0),MATCH("SALES_CASE",'Margin Guidence Table'!$A$1:$AC$1,0)),INDEX('Margin Guidence Table'!$A$1:$AC$10000,MATCH(1,('Margin Guidence Table'!$A$1:$A$10000=DA32)*('Margin Guidence Table'!$H$1:$H$10000&lt;=ROUND($CS$3,0))*('Margin Guidence Table'!$G$1:$G$10000&gt;=ROUND($CS$3,0)),0),MATCH("DEFAULT_SALES_CASE",'Margin Guidence Table'!$A$1:$AC$1,0))),0)</f>
        <v>0</v>
      </c>
      <c r="DE32" s="1161">
        <f t="array" ref="DE32">IFERROR(IF($DC32="SEGMENT",INDEX('Margin Guidence Table'!$A$1:$AC$10000,MATCH(1,('Margin Guidence Table'!$A$1:$A$10000=DA32)*('Margin Guidence Table'!$H$1:$H$10000&lt;=ROUND($CS$3,0))*('Margin Guidence Table'!$G$1:$G$10000&gt;=ROUND($CS$3,0)),0),MATCH("SALES_LBS",'Margin Guidence Table'!$A$1:$AC$1,0)),INDEX('Margin Guidence Table'!$A$1:$AC$10000,MATCH(1,('Margin Guidence Table'!$A$1:$A$10000=DA32)*('Margin Guidence Table'!$H$1:$H$10000&lt;=ROUND($CS$3,0))*('Margin Guidence Table'!$G$1:$G$10000&gt;=ROUND($CS$3,0)),0),MATCH("DEFAULT_SALES_LBS",'Margin Guidence Table'!$A$1:$AC$1,0))),0)</f>
        <v>0</v>
      </c>
      <c r="DF32" s="1165">
        <f t="array" ref="DF32">IFERROR(IF($DC32="SEGMENT",INDEX('Margin Guidence Table'!$A$1:$AC$10000,MATCH(1,('Margin Guidence Table'!$A$1:$A$10000=DA32)*('Margin Guidence Table'!$H$1:$H$10000&lt;=ROUND($CS$3,0))*('Margin Guidence Table'!$G$1:$G$10000&gt;=ROUND($CS$3,0)),0),MATCH("MDA_MIN_MARGIN_GUIDENCE",'Margin Guidence Table'!$A$1:$AC$1,0)),INDEX('Margin Guidence Table'!$A$1:$AC$10000,MATCH(1,('Margin Guidence Table'!$A$1:$A$10000=DA32)*('Margin Guidence Table'!$H$1:$H$10000&lt;=ROUND($CS$3,0))*('Margin Guidence Table'!$G$1:$G$10000&gt;=ROUND($CS$3,0)),0),MATCH("DEFAULT_MDA_MIN_MARGIN_GUIDENCE",'Margin Guidence Table'!$A$1:$AC$1,0))),0)</f>
        <v>0</v>
      </c>
      <c r="DG32" s="1165">
        <f t="array" ref="DG32">IFERROR(IF($DC32="SEGMENT",INDEX('Margin Guidence Table'!$A$1:$AC$10000,MATCH(1,('Margin Guidence Table'!$A$1:$A$10000=DA32)*('Margin Guidence Table'!$H$1:$H$10000&lt;=ROUND($CS$3,0))*('Margin Guidence Table'!$G$1:$G$10000&gt;=ROUND($CS$3,0)),0),MATCH("MDA_MEDIAN_MARGIN_GUIDENCE",'Margin Guidence Table'!$A$1:$AC$1,0)),INDEX('Margin Guidence Table'!$A$1:$AC$10000,MATCH(1,('Margin Guidence Table'!$A$1:$A$10000=DA32)*('Margin Guidence Table'!$H$1:$H$10000&lt;=ROUND($CS$3,0))*('Margin Guidence Table'!$G$1:$G$10000&gt;=ROUND($CS$3,0)),0),MATCH("DEFAULT_MDA_MEDIAN_MARGIN_GUIDENCE",'Margin Guidence Table'!$A$1:$AC$1,0))),0)</f>
        <v>0</v>
      </c>
      <c r="DH32" s="1165">
        <f t="array" ref="DH32">IFERROR(IF($DC32="SEGMENT",INDEX('Margin Guidence Table'!$A$1:$AC$10000,MATCH(1,('Margin Guidence Table'!$A$1:$A$10000=DA32)*('Margin Guidence Table'!$H$1:$H$10000&lt;=ROUND($CS$3,0))*('Margin Guidence Table'!$G$1:$G$10000&gt;=ROUND($CS$3,0)),0),MATCH("MDA_MAX_MARGIN_GUIDENCE",'Margin Guidence Table'!$A$1:$AC$1,0)),INDEX('Margin Guidence Table'!$A$1:$AC$10000,MATCH(1,('Margin Guidence Table'!$A$1:$A$10000=DA32)*('Margin Guidence Table'!$H$1:$H$10000&lt;=ROUND($CS$3,0))*('Margin Guidence Table'!$G$1:$G$10000&gt;=ROUND($CS$3,0)),0),MATCH("DEFAULT_MDA_MAX_MARGIN_GUIDENCE",'Margin Guidence Table'!$A$1:$AC$1,0))),0)</f>
        <v>0</v>
      </c>
      <c r="DI32" s="1165">
        <f t="array" ref="DI32">IFERROR(IF($DC32="SEGMENT",INDEX('Margin Guidence Table'!$A$1:$AC$10000,MATCH(1,('Margin Guidence Table'!$A$1:$A$10000=DA32)*('Margin Guidence Table'!$H$1:$H$10000&lt;=ROUND($CS$3,0))*('Margin Guidence Table'!$G$1:$G$10000&gt;=ROUND($CS$3,0)),0),MATCH("PA_PCT_SALES",'Margin Guidence Table'!$A$1:$AC$1,0)),INDEX('Margin Guidence Table'!$A$1:$AC$10000,MATCH(1,('Margin Guidence Table'!$A$1:$A$10000=DA32)*('Margin Guidence Table'!$H$1:$H$10000&lt;=ROUND($CS$3,0))*('Margin Guidence Table'!$G$1:$G$10000&gt;=ROUND($CS$3,0)),0),MATCH("DEFAULT_PA_PCT_SALES",'Margin Guidence Table'!$A$1:$AC$1,0))),0)</f>
        <v>0</v>
      </c>
      <c r="DJ32" s="1165">
        <f t="array" ref="DJ32">IFERROR(IF($DC32="SEGMENT",INDEX('Margin Guidence Table'!$A$1:$AC$10000,MATCH(1,('Margin Guidence Table'!$A$1:$A$10000=DA32)*('Margin Guidence Table'!$H$1:$H$10000&lt;=ROUND($CS$3,0))*('Margin Guidence Table'!$G$1:$G$10000&gt;=ROUND($CS$3,0)),0),MATCH("SELF_FUND_PCT_SALES",'Margin Guidence Table'!$A$1:$AC$1,0)),INDEX('Margin Guidence Table'!$A$1:$AC$10000,MATCH(1,('Margin Guidence Table'!$A$1:$A$10000=DA32)*('Margin Guidence Table'!$H$1:$H$10000&lt;=ROUND($CS$3,0))*('Margin Guidence Table'!$G$1:$G$10000&gt;=ROUND($CS$3,0)),0),MATCH("DEFAULT_SELF_FUND_PCT_SALES",'Margin Guidence Table'!$A$1:$AC$1,0))),0)</f>
        <v>0</v>
      </c>
      <c r="DK32" s="1165">
        <f t="array" ref="DK32">IFERROR(IF($DC32="SEGMENT",INDEX('Margin Guidence Table'!$A$1:$AC$10000,MATCH(1,('Margin Guidence Table'!$A$1:$A$10000=DA32)*('Margin Guidence Table'!$H$1:$H$10000&lt;=ROUND($CS$3,0))*('Margin Guidence Table'!$G$1:$G$10000&gt;=ROUND($CS$3,0)),0),MATCH("CIA_MEDIAN_MARGIN_GUIDENCE",'Margin Guidence Table'!$A$1:$AC$1,0)),INDEX('Margin Guidence Table'!$A$1:$AC$10000,MATCH(1,('Margin Guidence Table'!$A$1:$A$10000=DA32)*('Margin Guidence Table'!$H$1:$H$10000&lt;=ROUND($CS$3,0))*('Margin Guidence Table'!$G$1:$G$10000&gt;=ROUND($CS$3,0)),0),MATCH("DEFAULT_CIA_MEDIAN_MARGIN_GUIDENCE",'Margin Guidence Table'!$A$1:$AC$1,0))),0)</f>
        <v>0</v>
      </c>
      <c r="DL32" s="129"/>
      <c r="DM32" s="18">
        <f t="array" ref="DM32">IFERROR(IF($DY32="SEGMENT",INDEX('Margin Guidence Table'!$A$1:$AC$10000,MATCH(1,('Margin Guidence Table'!$A$1:$A$10000=$DW32)*('Margin Guidence Table'!$H$1:$H$10000&lt;=ROUND($DO$3,0))*('Margin Guidence Table'!$G$1:$G$10000&gt;=ROUND($DO$3,0)),0),MATCH("PCT_SALES",'Margin Guidence Table'!$A$1:$AC$1,0)),INDEX('Margin Guidence Table'!$A$1:$AC$10000,MATCH(1,('Margin Guidence Table'!$A$1:$A$10000=$DW32)*('Margin Guidence Table'!$H$1:$H$10000&lt;=ROUND($DO$3,0))*('Margin Guidence Table'!$G$1:$G$10000&gt;=ROUND($DO$3,0)),0),MATCH("DEFAULT_PCT_SALES",'Margin Guidence Table'!$A$1:$AC$1,0))),0)</f>
        <v>0</v>
      </c>
      <c r="DN32" s="102" t="s">
        <v>86</v>
      </c>
      <c r="DO32" s="94">
        <f>IFERROR(IF(AND($DO$2&lt;&gt;"Enter Spend&gt;&gt;&gt;",DP2="EXISTING"),SUMIFS('Existing Customers'!$Q:$Q,'Existing Customers'!$A:$A,$DO$1,'Existing Customers'!$H:$H,$DN32)*$DO$4,$DO$3*$DM32),0)</f>
        <v>0</v>
      </c>
      <c r="DP32" s="89">
        <f>IFERROR(IF(AND($DO$2&lt;&gt;"Enter Spend&gt;&gt;&gt;",DP2="EXISTING"),SUMIFS('Existing Customers'!$N:$N,'Existing Customers'!$A:$A,$DO$1,'Existing Customers'!$H:$H,$DN32)*$DO$4,$DO32/$DZ32),0)</f>
        <v>0</v>
      </c>
      <c r="DQ32" s="95">
        <f>IFERROR(IF(AND($DO$2&lt;&gt;"Enter Spend&gt;&gt;&gt;",DP2="EXISTING"),SUMIFS('Existing Customers'!$O:$O,'Existing Customers'!$H:$H,$DN32,'Existing Customers'!$A:$A,$DO$1)*$DO$4,$DP32*$DO$8),0)</f>
        <v>0</v>
      </c>
      <c r="DR32" s="95">
        <f>IFERROR(IF(AND($DO$2&lt;&gt;"Enter Spend&gt;&gt;&gt;",DP2="EXISTING"),SUMIFS('Existing Customers'!$P:$P,'Existing Customers'!$A:$A,$DO$1,'Existing Customers'!$H:$H,$DN32)*$DO$4,$DO32/$EA32),0)</f>
        <v>0</v>
      </c>
      <c r="DS32" s="96">
        <f>IFERROR(IF(AND($DO$2&lt;&gt;"Enter Spend&gt;&gt;&gt;",EL2="EXISTING"),SUMIFS('Existing Customers'!$V:$V,'Existing Customers'!$H:$H,$DN32,'Existing Customers'!$A:$A,$DO$1)*$DO$4,0),0)</f>
        <v>0</v>
      </c>
      <c r="DT32" s="96">
        <f>IFERROR(IF(AND($DO$2&lt;&gt;"Enter Spend&gt;&gt;&gt;",DP2="EXISTING"),SUMIFS('Existing Customers'!$R:$R,'Existing Customers'!$H:$H,$DN32,'Existing Customers'!$A:$A,$DO$1)*$DO$4,0),0)</f>
        <v>0</v>
      </c>
      <c r="DU32" s="1161">
        <f>IFERROR(IF(AND($DO$2&lt;&gt;"Enter Spend&gt;&gt;&gt;",DP2="EXISTING"),SUMIFS('Existing Customers'!$S:$S,'Existing Customers'!$H:$H,$DP32,'Existing Customers'!$A:$A,$DO$1),EE32*DO32),0)</f>
        <v>0</v>
      </c>
      <c r="DV32" s="1161">
        <f>IFERROR(IF(AND($DO$2&lt;&gt;"Enter Spend&gt;&gt;&gt;",DP2="EXISTING"),SUMIFS('Existing Customers'!$U:$U,'Existing Customers'!$H:$H,$DN32,'Existing Customers'!$A:$A,$DO$1),EF32*DO32),0)</f>
        <v>0</v>
      </c>
      <c r="DW32" s="1164" t="e">
        <f t="shared" si="30"/>
        <v>#N/A</v>
      </c>
      <c r="DX32" s="1164">
        <f t="array" ref="DX32">IFERROR(INDEX('Margin Guidence Table'!$A$1:$AD$30000,MATCH(1,('Margin Guidence Table'!$A$1:$A$10000=DW32)*('Margin Guidence Table'!$H$1:$H$10000&lt;=ROUND($DO$3,0))*('Margin Guidence Table'!$G$1:$G$10000&gt;=ROUND($DO$3,0)),0),MATCH("DATA_POINTS",'Margin Guidence Table'!$A$1:$AC$1,0)),0)</f>
        <v>0</v>
      </c>
      <c r="DY32" s="1161" t="str">
        <f t="shared" si="31"/>
        <v>DEFAULT</v>
      </c>
      <c r="DZ32" s="1161">
        <f t="array" ref="DZ32">IFERROR(IF($DY32="SEGMENT",INDEX('Margin Guidence Table'!$A$1:$AC$10000,MATCH(1,('Margin Guidence Table'!$A$1:$A$10000=DW32)*('Margin Guidence Table'!$H$1:$H$10000&lt;=ROUND($DO$3,0))*('Margin Guidence Table'!$G$1:$G$10000&gt;=ROUND($DO$3,0)),0),MATCH("SALES_CASE",'Margin Guidence Table'!$A$1:$AC$1,0)),INDEX('Margin Guidence Table'!$A$1:$AC$10000,MATCH(1,('Margin Guidence Table'!$A$1:$A$10000=DW32)*('Margin Guidence Table'!$H$1:$H$10000&lt;=ROUND($DO$3,0))*('Margin Guidence Table'!$G$1:$G$10000&gt;=ROUND($DO$3,0)),0),MATCH("DEFAULT_SALES_CASE",'Margin Guidence Table'!$A$1:$AC$1,0))),0)</f>
        <v>0</v>
      </c>
      <c r="EA32" s="1161">
        <f t="array" ref="EA32">IFERROR(IF($DY32="SEGMENT",INDEX('Margin Guidence Table'!$A$1:$AC$10000,MATCH(1,('Margin Guidence Table'!$A$1:$A$10000=DW32)*('Margin Guidence Table'!$H$1:$H$10000&lt;=ROUND($DO$3,0))*('Margin Guidence Table'!$G$1:$G$10000&gt;=ROUND($DO$3,0)),0),MATCH("SALES_LBS",'Margin Guidence Table'!$A$1:$AC$1,0)),INDEX('Margin Guidence Table'!$A$1:$AC$10000,MATCH(1,('Margin Guidence Table'!$A$1:$A$10000=DW32)*('Margin Guidence Table'!$H$1:$H$10000&lt;=ROUND($DO$3,0))*('Margin Guidence Table'!$G$1:$G$10000&gt;=ROUND($DO$3,0)),0),MATCH("DEFAULT_SALES_LBS",'Margin Guidence Table'!$A$1:$AC$1,0))),0)</f>
        <v>0</v>
      </c>
      <c r="EB32" s="1165">
        <f t="array" ref="EB32">IFERROR(IF($DY32="SEGMENT",INDEX('Margin Guidence Table'!$A$1:$AC$10000,MATCH(1,('Margin Guidence Table'!$A$1:$A$10000=DW32)*('Margin Guidence Table'!$H$1:$H$10000&lt;=ROUND($DO$3,0))*('Margin Guidence Table'!$G$1:$G$10000&gt;=ROUND($DO$3,0)),0),MATCH("MDA_MIN_MARGIN_GUIDENCE",'Margin Guidence Table'!$A$1:$AC$1,0)),INDEX('Margin Guidence Table'!$A$1:$AC$10000,MATCH(1,('Margin Guidence Table'!$A$1:$A$10000=DW32)*('Margin Guidence Table'!$H$1:$H$10000&lt;=ROUND($DO$3,0))*('Margin Guidence Table'!$G$1:$G$10000&gt;=ROUND($DO$3,0)),0),MATCH("DEFAULT_MDA_MIN_MARGIN_GUIDENCE",'Margin Guidence Table'!$A$1:$AC$1,0))),0)</f>
        <v>0</v>
      </c>
      <c r="EC32" s="1165">
        <f t="array" ref="EC32">IFERROR(IF($DY32="SEGMENT",INDEX('Margin Guidence Table'!$A$1:$AC$10000,MATCH(1,('Margin Guidence Table'!$A$1:$A$10000=DW32)*('Margin Guidence Table'!$H$1:$H$10000&lt;=ROUND($DO$3,0))*('Margin Guidence Table'!$G$1:$G$10000&gt;=ROUND($DO$3,0)),0),MATCH("MDA_MEDIAN_MARGIN_GUIDENCE",'Margin Guidence Table'!$A$1:$AC$1,0)),INDEX('Margin Guidence Table'!$A$1:$AC$10000,MATCH(1,('Margin Guidence Table'!$A$1:$A$10000=DW32)*('Margin Guidence Table'!$H$1:$H$10000&lt;=ROUND($DO$3,0))*('Margin Guidence Table'!$G$1:$G$10000&gt;=ROUND($DO$3,0)),0),MATCH("DEFAULT_MDA_MEDIAN_MARGIN_GUIDENCE",'Margin Guidence Table'!$A$1:$AC$1,0))),0)</f>
        <v>0</v>
      </c>
      <c r="ED32" s="1165">
        <f t="array" ref="ED32">IFERROR(IF($DY32="SEGMENT",INDEX('Margin Guidence Table'!$A$1:$AC$10000,MATCH(1,('Margin Guidence Table'!$A$1:$A$10000=DW32)*('Margin Guidence Table'!$H$1:$H$10000&lt;=ROUND($DO$3,0))*('Margin Guidence Table'!$G$1:$G$10000&gt;=ROUND($DO$3,0)),0),MATCH("MDA_MAX_MARGIN_GUIDENCE",'Margin Guidence Table'!$A$1:$AC$1,0)),INDEX('Margin Guidence Table'!$A$1:$AC$10000,MATCH(1,('Margin Guidence Table'!$A$1:$A$10000=DW32)*('Margin Guidence Table'!$H$1:$H$10000&lt;=ROUND($DO$3,0))*('Margin Guidence Table'!$G$1:$G$10000&gt;=ROUND($DO$3,0)),0),MATCH("DEFAULT_MDA_MAX_MARGIN_GUIDENCE",'Margin Guidence Table'!$A$1:$AC$1,0))),0)</f>
        <v>0</v>
      </c>
      <c r="EE32" s="1165">
        <f t="array" ref="EE32">IFERROR(IF($DY32="SEGMENT",INDEX('Margin Guidence Table'!$A$1:$AC$10000,MATCH(1,('Margin Guidence Table'!$A$1:$A$10000=DW32)*('Margin Guidence Table'!$H$1:$H$10000&lt;=ROUND($DO$3,0))*('Margin Guidence Table'!$G$1:$G$10000&gt;=ROUND($DO$3,0)),0),MATCH("PA_PCT_SALES",'Margin Guidence Table'!$A$1:$AC$1,0)),INDEX('Margin Guidence Table'!$A$1:$AC$10000,MATCH(1,('Margin Guidence Table'!$A$1:$A$10000=DW32)*('Margin Guidence Table'!$H$1:$H$10000&lt;=ROUND($DO$3,0))*('Margin Guidence Table'!$G$1:$G$10000&gt;=ROUND($DO$3,0)),0),MATCH("DEFAULT_PA_PCT_SALES",'Margin Guidence Table'!$A$1:$AC$1,0))),0)</f>
        <v>0</v>
      </c>
      <c r="EF32" s="1165">
        <f t="array" ref="EF32">IFERROR(IF($DY32="SEGMENT",INDEX('Margin Guidence Table'!$A$1:$AC$10000,MATCH(1,('Margin Guidence Table'!$A$1:$A$10000=DW32)*('Margin Guidence Table'!$H$1:$H$10000&lt;=ROUND($DO$3,0))*('Margin Guidence Table'!$G$1:$G$10000&gt;=ROUND($DO$3,0)),0),MATCH("SELF_FUND_PCT_SALES",'Margin Guidence Table'!$A$1:$AC$1,0)),INDEX('Margin Guidence Table'!$A$1:$AC$10000,MATCH(1,('Margin Guidence Table'!$A$1:$A$10000=DW32)*('Margin Guidence Table'!$H$1:$H$10000&lt;=ROUND($DO$3,0))*('Margin Guidence Table'!$G$1:$G$10000&gt;=ROUND($DO$3,0)),0),MATCH("DEFAULT_SELF_FUND_PCT_SALES",'Margin Guidence Table'!$A$1:$AC$1,0))),0)</f>
        <v>0</v>
      </c>
      <c r="EG32" s="1165">
        <f t="array" ref="EG32">IFERROR(IF($DY32="SEGMENT",INDEX('Margin Guidence Table'!$A$1:$AC$10000,MATCH(1,('Margin Guidence Table'!$A$1:$A$10000=DW32)*('Margin Guidence Table'!$H$1:$H$10000&lt;=ROUND($DO$3,0))*('Margin Guidence Table'!$G$1:$G$10000&gt;=ROUND($DO$3,0)),0),MATCH("CIA_MEDIAN_MARGIN_GUIDENCE",'Margin Guidence Table'!$A$1:$AC$1,0)),INDEX('Margin Guidence Table'!$A$1:$AC$10000,MATCH(1,('Margin Guidence Table'!$A$1:$A$10000=DW32)*('Margin Guidence Table'!$H$1:$H$10000&lt;=ROUND($DO$3,0))*('Margin Guidence Table'!$G$1:$G$10000&gt;=ROUND($DO$3,0)),0),MATCH("DEFAULT_CIA_MEDIAN_MARGIN_GUIDENCE",'Margin Guidence Table'!$A$1:$AC$1,0))),0)</f>
        <v>0</v>
      </c>
      <c r="EH32" s="129"/>
      <c r="EI32" s="18">
        <f t="array" ref="EI32">IFERROR(IF($EU32="SEGMENT",INDEX('Margin Guidence Table'!$A$1:$AC$10000,MATCH(1,('Margin Guidence Table'!$A$1:$A$10000=$ES32)*('Margin Guidence Table'!$H$1:$H$10000&lt;=ROUND($EK$3,0))*('Margin Guidence Table'!$G$1:$G$10000&gt;=ROUND($EK$3,0)),0),MATCH("PCT_SALES",'Margin Guidence Table'!$A$1:$AC$1,0)),INDEX('Margin Guidence Table'!$A$1:$AC$10000,MATCH(1,('Margin Guidence Table'!$A$1:$A$10000=$ES32)*('Margin Guidence Table'!$H$1:$H$10000&lt;=ROUND($EK$3,0))*('Margin Guidence Table'!$G$1:$G$10000&gt;=ROUND($EK$3,0)),0),MATCH("DEFAULT_PCT_SALES",'Margin Guidence Table'!$A$1:$AC$1,0))),0)</f>
        <v>0</v>
      </c>
      <c r="EJ32" s="102" t="s">
        <v>86</v>
      </c>
      <c r="EK32" s="94">
        <f>IFERROR(IF(AND($EK$2&lt;&gt;"Enter Spend&gt;&gt;&gt;",EL2="EXISTING"),SUMIFS('Existing Customers'!$Q:$Q,'Existing Customers'!$A:$A,$EK$1,'Existing Customers'!$H:$H,$EJ32)*$EK$4,$EK$3*$EI32),0)</f>
        <v>0</v>
      </c>
      <c r="EL32" s="89">
        <f>IFERROR(IF(AND($EK$2&lt;&gt;"Enter Spend&gt;&gt;&gt;",EL2="EXISTING"),SUMIFS('Existing Customers'!$N:$N,'Existing Customers'!$A:$A,$EK$1,'Existing Customers'!$H:$H,$EJ32)*$EK$4,$EK32/$EV32),0)</f>
        <v>0</v>
      </c>
      <c r="EM32" s="95">
        <f>IFERROR(IF(AND($EK$2&lt;&gt;"Enter Spend&gt;&gt;&gt;",EL2="EXISTING"),SUMIFS('Existing Customers'!$O:$O,'Existing Customers'!$H:$H,$EJ32,'Existing Customers'!$A:$A,$EK$1)*$EK$4,$EL32*$EK$8),0)</f>
        <v>0</v>
      </c>
      <c r="EN32" s="95">
        <f>IFERROR(IF(AND($EK$2&lt;&gt;"Enter Spend&gt;&gt;&gt;",EL2="EXISTING"),SUMIFS('Existing Customers'!$P:$P,'Existing Customers'!$A:$A,$EK$1,'Existing Customers'!$H:$H,$EJ32)*$EK$4,$EK32/$EW32),0)</f>
        <v>0</v>
      </c>
      <c r="EO32" s="96">
        <f>IFERROR(IF(AND($EK$2&lt;&gt;"Enter Spend&gt;&gt;&gt;",EL2="EXISTING"),SUMIFS('Existing Customers'!$V:$V,'Existing Customers'!$H:$H,$EJ32,'Existing Customers'!$A:$A,$EK$1)*$EK$4,0),0)</f>
        <v>0</v>
      </c>
      <c r="EP32" s="96">
        <f>IFERROR(IF(AND($EK$2&lt;&gt;"Enter Spend&gt;&gt;&gt;",EL2="EXISTING"),SUMIFS('Existing Customers'!$R:$R,'Existing Customers'!$H:$H,$EJ32,'Existing Customers'!$A:$A,$EK$1)*$EK$4,0),0)</f>
        <v>0</v>
      </c>
      <c r="EQ32" s="1161">
        <f>IFERROR(IF(AND($EK$2&lt;&gt;"Enter Spend&gt;&gt;&gt;",EL2="EXISTING"),SUMIFS('Existing Customers'!$S:$S,'Existing Customers'!$H:$H,$EJ32,'Existing Customers'!$A:$A,$EK$1),FA32*EK32),0)</f>
        <v>0</v>
      </c>
      <c r="ER32" s="1161">
        <f>IFERROR(IF(AND($EK$2&lt;&gt;"Enter Spend&gt;&gt;&gt;",EL2="EXISTING"),SUMIFS('Existing Customers'!$U:$U,'Existing Customers'!$H:$H,$EJ32,'Existing Customers'!$A:$A,$EK$1),FB32*EK32),0)</f>
        <v>0</v>
      </c>
      <c r="ES32" s="1164" t="e">
        <f t="shared" si="32"/>
        <v>#N/A</v>
      </c>
      <c r="ET32" s="1164">
        <f t="array" ref="ET32">IFERROR(INDEX('Margin Guidence Table'!$A$1:$AD$30000,MATCH(1,('Margin Guidence Table'!$A$1:$A$10000=ES32)*('Margin Guidence Table'!$H$1:$H$10000&lt;=ROUND($EK$3,0))*('Margin Guidence Table'!$G$1:$G$10000&gt;=ROUND($EK$3,0)),0),MATCH("DATA_POINTS",'Margin Guidence Table'!$A$1:$AC$1,0)),0)</f>
        <v>0</v>
      </c>
      <c r="EU32" s="1161" t="str">
        <f t="shared" si="33"/>
        <v>DEFAULT</v>
      </c>
      <c r="EV32" s="1161">
        <f t="array" ref="EV32">IFERROR(IF($EU32="SEGMENT",INDEX('Margin Guidence Table'!$A$1:$AC$10000,MATCH(1,('Margin Guidence Table'!$A$1:$A$10000=ES32)*('Margin Guidence Table'!$H$1:$H$10000&lt;=ROUND($EK$3,0))*('Margin Guidence Table'!$G$1:$G$10000&gt;=ROUND($EK$3,0)),0),MATCH("SALES_CASE",'Margin Guidence Table'!$A$1:$AC$1,0)),INDEX('Margin Guidence Table'!$A$1:$AC$10000,MATCH(1,('Margin Guidence Table'!$A$1:$A$10000=ES32)*('Margin Guidence Table'!$H$1:$H$10000&lt;=ROUND($EK$3,0))*('Margin Guidence Table'!$G$1:$G$10000&gt;=ROUND($EK$3,0)),0),MATCH("DEFAULT_SALES_CASE",'Margin Guidence Table'!$A$1:$AC$1,0))),0)</f>
        <v>0</v>
      </c>
      <c r="EW32" s="1161" cm="1">
        <f t="array" ref="EW32">IFERROR(IF($EU32="SEGMENT",INDEX('Margin Guidence Table'!$A$1:$AC$10000,MATCH(1,('Margin Guidence Table'!$A$1:$A$10000=ES32)*('Margin Guidence Table'!$H$1:$H$10000&lt;=ROUND($EK$3,0))*('Margin Guidence Table'!$G$1:$G$10000&gt;=ROUND($EK$3,0)),0),MATCH("SALES_LBS",'Margin Guidence Table'!$A$1:$AC$1,0)),INDEX('Margin Guidence Table'!$A$1:$AC$10000,MATCH(1,('Margin Guidence Table'!$A$1:$A$10000=ES32)*('Margin Guidence Table'!$H$1:$H$10000&lt;=ROUND($EK$3,0))*('Margin Guidence Table'!$G$1:$G$10000&gt;=ROUND($EK$3,0)),0),MATCH("DEFAULT_SALES_LBS",'Margin Guidence Table'!$A$1:$AC$1,0))),0)</f>
        <v>0</v>
      </c>
      <c r="EX32" s="1165">
        <f t="array" ref="EX32">IFERROR(IF($EU32="SEGMENT",INDEX('Margin Guidence Table'!$A$1:$AC$10000,MATCH(1,('Margin Guidence Table'!$A$1:$A$10000=ES32)*('Margin Guidence Table'!$H$1:$H$10000&lt;=ROUND($EK$3,0))*('Margin Guidence Table'!$G$1:$G$10000&gt;=ROUND($EK$3,0)),0),MATCH("MDA_MIN_MARGIN_GUIDENCE",'Margin Guidence Table'!$A$1:$AC$1,0)),INDEX('Margin Guidence Table'!$A$1:$AC$10000,MATCH(1,('Margin Guidence Table'!$A$1:$A$10000=ES32)*('Margin Guidence Table'!$H$1:$H$10000&lt;=ROUND($EK$3,0))*('Margin Guidence Table'!$G$1:$G$10000&gt;=ROUND($EK$3,0)),0),MATCH("DEFAULT_MDA_MIN_MARGIN_GUIDENCE",'Margin Guidence Table'!$A$1:$AC$1,0))),0)</f>
        <v>0</v>
      </c>
      <c r="EY32" s="1165">
        <f t="array" ref="EY32">IFERROR(IF($EU32="SEGMENT",INDEX('Margin Guidence Table'!$A$1:$AC$10000,MATCH(1,('Margin Guidence Table'!$A$1:$A$10000=ES32)*('Margin Guidence Table'!$H$1:$H$10000&lt;=ROUND($EK$3,0))*('Margin Guidence Table'!$G$1:$G$10000&gt;=ROUND($EK$3,0)),0),MATCH("MDA_MEDIAN_MARGIN_GUIDENCE",'Margin Guidence Table'!$A$1:$AC$1,0)),INDEX('Margin Guidence Table'!$A$1:$AC$10000,MATCH(1,('Margin Guidence Table'!$A$1:$A$10000=ES32)*('Margin Guidence Table'!$H$1:$H$10000&lt;=ROUND($EK$3,0))*('Margin Guidence Table'!$G$1:$G$10000&gt;=ROUND($EK$3,0)),0),MATCH("DEFAULT_MDA_MEDIAN_MARGIN_GUIDENCE",'Margin Guidence Table'!$A$1:$AC$1,0))),0)</f>
        <v>0</v>
      </c>
      <c r="EZ32" s="1165">
        <f t="array" ref="EZ32">IFERROR(IF($EU32="SEGMENT",INDEX('Margin Guidence Table'!$A$1:$AC$10000,MATCH(1,('Margin Guidence Table'!$A$1:$A$10000=ES32)*('Margin Guidence Table'!$H$1:$H$10000&lt;=ROUND($EK$3,0))*('Margin Guidence Table'!$G$1:$G$10000&gt;=ROUND($EK$3,0)),0),MATCH("MDA_MAX_MARGIN_GUIDENCE",'Margin Guidence Table'!$A$1:$AC$1,0)),INDEX('Margin Guidence Table'!$A$1:$AC$10000,MATCH(1,('Margin Guidence Table'!$A$1:$A$10000=ES32)*('Margin Guidence Table'!$H$1:$H$10000&lt;=ROUND($EK$3,0))*('Margin Guidence Table'!$G$1:$G$10000&gt;=ROUND($EK$3,0)),0),MATCH("DEFAULT_MDA_MAX_MARGIN_GUIDENCE",'Margin Guidence Table'!$A$1:$AC$1,0))),0)</f>
        <v>0</v>
      </c>
      <c r="FA32" s="1165">
        <f t="array" ref="FA32">IFERROR(IF($EU32="SEGMENT",INDEX('Margin Guidence Table'!$A$1:$AC$10000,MATCH(1,('Margin Guidence Table'!$A$1:$A$10000=ES32)*('Margin Guidence Table'!$H$1:$H$10000&lt;=ROUND($EK$3,0))*('Margin Guidence Table'!$G$1:$G$10000&gt;=ROUND($EK$3,0)),0),MATCH("PA_PCT_SALES",'Margin Guidence Table'!$A$1:$AC$1,0)),INDEX('Margin Guidence Table'!$A$1:$AC$10000,MATCH(1,('Margin Guidence Table'!$A$1:$A$10000=ES32)*('Margin Guidence Table'!$H$1:$H$10000&lt;=ROUND($EK$3,0))*('Margin Guidence Table'!$G$1:$G$10000&gt;=ROUND($EK$3,0)),0),MATCH("DEFAULT_PA_PCT_SALES",'Margin Guidence Table'!$A$1:$AC$1,0))),0)</f>
        <v>0</v>
      </c>
      <c r="FB32" s="1165">
        <f t="array" ref="FB32">IFERROR(IF($EU32="SEGMENT",INDEX('Margin Guidence Table'!$A$1:$AC$10000,MATCH(1,('Margin Guidence Table'!$A$1:$A$10000=ES32)*('Margin Guidence Table'!$H$1:$H$10000&lt;=ROUND($EK$3,0))*('Margin Guidence Table'!$G$1:$G$10000&gt;=ROUND($EK$3,0)),0),MATCH("SELF_FUND_PCT_SALES",'Margin Guidence Table'!$A$1:$AC$1,0)),INDEX('Margin Guidence Table'!$A$1:$AC$10000,MATCH(1,('Margin Guidence Table'!$A$1:$A$10000=ES32)*('Margin Guidence Table'!$H$1:$H$10000&lt;=ROUND($EK$3,0))*('Margin Guidence Table'!$G$1:$G$10000&gt;=ROUND($EK$3,0)),0),MATCH("DEFAULT_SELF_FUND_PCT_SALES",'Margin Guidence Table'!$A$1:$AC$1,0))),0)</f>
        <v>0</v>
      </c>
      <c r="FC32" s="1165">
        <f t="array" ref="FC32">IFERROR(IF($EU32="SEGMENT",INDEX('Margin Guidence Table'!$A$1:$AC$10000,MATCH(1,('Margin Guidence Table'!$A$1:$A$10000=ES32)*('Margin Guidence Table'!$H$1:$H$10000&lt;=ROUND($EK$3,0))*('Margin Guidence Table'!$G$1:$G$10000&gt;=ROUND($EK$3,0)),0),MATCH("CIA_MEDIAN_MARGIN_GUIDENCE",'Margin Guidence Table'!$A$1:$AC$1,0)),INDEX('Margin Guidence Table'!$A$1:$AC$10000,MATCH(1,('Margin Guidence Table'!$A$1:$A$10000=ES32)*('Margin Guidence Table'!$H$1:$H$10000&lt;=ROUND($EK$3,0))*('Margin Guidence Table'!$G$1:$G$10000&gt;=ROUND($EK$3,0)),0),MATCH("DEFAULT_CIA_MEDIAN_MARGIN_GUIDENCE",'Margin Guidence Table'!$A$1:$AC$1,0))),0)</f>
        <v>0</v>
      </c>
      <c r="FD32" s="129"/>
      <c r="FE32" s="18">
        <f t="array" ref="FE32">IFERROR(IF($FQ32="SEGMENT",INDEX('Margin Guidence Table'!$A$1:$AC$10000,MATCH(1,('Margin Guidence Table'!$A$1:$A$10000=$FO32)*('Margin Guidence Table'!$H$1:$H$10000&lt;=ROUND($FG$3,0))*('Margin Guidence Table'!$G$1:$G$10000&gt;=ROUND($FG$3,0)),0),MATCH("PCT_SALES",'Margin Guidence Table'!$A$1:$AC$1,0)),INDEX('Margin Guidence Table'!$A$1:$AC$10000,MATCH(1,('Margin Guidence Table'!$A$1:$A$10000=$FO32)*('Margin Guidence Table'!$H$1:$H$10000&lt;=ROUND($FG$3,0))*('Margin Guidence Table'!$G$1:$G$10000&gt;=ROUND($FG$3,0)),0),MATCH("DEFAULT_PCT_SALES",'Margin Guidence Table'!$A$1:$AC$1,0))),0)</f>
        <v>0</v>
      </c>
      <c r="FF32" s="102" t="s">
        <v>86</v>
      </c>
      <c r="FG32" s="94">
        <f>IFERROR(IF(AND($FG$2&lt;&gt;"Enter Spend&gt;&gt;&gt;",FH2="EXISTING"),SUMIFS('Existing Customers'!$Q:$Q,'Existing Customers'!$A:$A,$FG$1,'Existing Customers'!$H:$H,$FF32)*$FG$4,$FG$3*$FE32),0)</f>
        <v>0</v>
      </c>
      <c r="FH32" s="89">
        <f>IFERROR(IF(AND($FG$2&lt;&gt;"Enter Spend&gt;&gt;&gt;",FH2="EXISTING"),SUMIFS('Existing Customers'!$N:$N,'Existing Customers'!$A:$A,$FG$1,'Existing Customers'!$H:$H,$FF32)*$FG$4,$FG32/$FR32),0)</f>
        <v>0</v>
      </c>
      <c r="FI32" s="95">
        <f>IFERROR(IF(AND($FG$2&lt;&gt;"Enter Spend&gt;&gt;&gt;",FH2="EXISTING"),SUMIFS('Existing Customers'!$O:$O,'Existing Customers'!$H:$H,$FF32,'Existing Customers'!$A:$A,$FG$1)*$FG$4,$FH32*$FG$8),0)</f>
        <v>0</v>
      </c>
      <c r="FJ32" s="95">
        <f>IFERROR(IF(AND($FG$2&lt;&gt;"Enter Spend&gt;&gt;&gt;",FH2="EXISTING"),SUMIFS('Existing Customers'!$P:$P,'Existing Customers'!$A:$A,$FG$1,'Existing Customers'!$H:$H,$FF32)*$FG$4,$FG32/$FS32),0)</f>
        <v>0</v>
      </c>
      <c r="FK32" s="96">
        <f>IFERROR(IF(AND($FG$2&lt;&gt;"Enter Spend&gt;&gt;&gt;",FH2="EXISTING"),SUMIFS('Existing Customers'!$V:$V,'Existing Customers'!$H:$H,$FF32,'Existing Customers'!$A:$A,$FG$1)*$FG$4,0),0)</f>
        <v>0</v>
      </c>
      <c r="FL32" s="96">
        <f>IFERROR(IF(AND($FG$2&lt;&gt;"Enter Spend&gt;&gt;&gt;",FH2="EXISTING"),SUMIFS('Existing Customers'!$R:$R,'Existing Customers'!$H:$H,$FF32,'Existing Customers'!$A:$A,$FG$1)*$FG$4,0),0)</f>
        <v>0</v>
      </c>
      <c r="FM32" s="1161">
        <f>IFERROR(IF(AND($FG$2&lt;&gt;"Enter Spend&gt;&gt;&gt;",FH2="EXISTING"),SUMIFS('Existing Customers'!$S:$S,'Existing Customers'!$H:$H,$FF32,'Existing Customers'!$A:$A,$FG$1),FW32*FG32),0)</f>
        <v>0</v>
      </c>
      <c r="FN32" s="1161">
        <f>IFERROR(IF(AND($FG$2&lt;&gt;"Enter Spend&gt;&gt;&gt;",FH2="EXISTING"),SUMIFS('Existing Customers'!$U:$U,'Existing Customers'!$H:$H,$FF32,'Existing Customers'!$A:$A,$FG$1),FX32*FG32),0)</f>
        <v>0</v>
      </c>
      <c r="FO32" s="1164" t="e">
        <f t="shared" si="34"/>
        <v>#N/A</v>
      </c>
      <c r="FP32" s="1164">
        <f t="array" ref="FP32">IFERROR(INDEX('Margin Guidence Table'!$A$1:$AD$30000,MATCH(1,('Margin Guidence Table'!$A$1:$A$10000=FO32)*('Margin Guidence Table'!$H$1:$H$10000&lt;=ROUND($FG$3,0))*('Margin Guidence Table'!$G$1:$G$10000&gt;=ROUND($FG$3,0)),0),MATCH("DATA_POINTS",'Margin Guidence Table'!$A$1:$AC$1,0)),0)</f>
        <v>0</v>
      </c>
      <c r="FQ32" s="1161" t="str">
        <f t="shared" si="35"/>
        <v>DEFAULT</v>
      </c>
      <c r="FR32" s="1161">
        <f t="array" ref="FR32">IFERROR(IF($FQ32="SEGMENT",INDEX('Margin Guidence Table'!$A$1:$AC$10000,MATCH(1,('Margin Guidence Table'!$A$1:$A$10000=FO32)*('Margin Guidence Table'!$H$1:$H$10000&lt;=ROUND($FG$3,0))*('Margin Guidence Table'!$G$1:$G$10000&gt;=ROUND($FG$3,0)),0),MATCH("SALES_CASE",'Margin Guidence Table'!$A$1:$AC$1,0)),INDEX('Margin Guidence Table'!$A$1:$AC$10000,MATCH(1,('Margin Guidence Table'!$A$1:$A$10000=FO32)*('Margin Guidence Table'!$H$1:$H$10000&lt;=ROUND($FG$3,0))*('Margin Guidence Table'!$G$1:$G$10000&gt;=ROUND($FG$3,0)),0),MATCH("DEFAULT_SALES_CASE",'Margin Guidence Table'!$A$1:$AC$1,0))),0)</f>
        <v>0</v>
      </c>
      <c r="FS32" s="1161">
        <f t="array" ref="FS32">IFERROR(IF($FQ32="SEGMENT",INDEX('Margin Guidence Table'!$A$1:$AC$10000,MATCH(1,('Margin Guidence Table'!$A$1:$A$10000=FO32)*('Margin Guidence Table'!$H$1:$H$10000&lt;=ROUND($FG$3,0))*('Margin Guidence Table'!$G$1:$G$10000&gt;=ROUND($FG$3,0)),0),MATCH("SALES_LBS",'Margin Guidence Table'!$A$1:$AC$1,0)),INDEX('Margin Guidence Table'!$A$1:$AC$10000,MATCH(1,('Margin Guidence Table'!$A$1:$A$10000=FO32)*('Margin Guidence Table'!$H$1:$H$10000&lt;=ROUND($FG$3,0))*('Margin Guidence Table'!$G$1:$G$10000&gt;=ROUND($FG$3,0)),0),MATCH("DEFAULT_SALES_LBS",'Margin Guidence Table'!$A$1:$AC$1,0))),0)</f>
        <v>0</v>
      </c>
      <c r="FT32" s="1165">
        <f t="array" ref="FT32">IFERROR(IF($FQ32="SEGMENT",INDEX('Margin Guidence Table'!$A$1:$AC$10000,MATCH(1,('Margin Guidence Table'!$A$1:$A$10000=FO32)*('Margin Guidence Table'!$H$1:$H$10000&lt;=ROUND($FG$3,0))*('Margin Guidence Table'!$G$1:$G$10000&gt;=ROUND($FG$3,0)),0),MATCH("MDA_MIN_MARGIN_GUIDENCE",'Margin Guidence Table'!$A$1:$AC$1,0)),INDEX('Margin Guidence Table'!$A$1:$AC$10000,MATCH(1,('Margin Guidence Table'!$A$1:$A$10000=FO32)*('Margin Guidence Table'!$H$1:$H$10000&lt;=ROUND($FG$3,0))*('Margin Guidence Table'!$G$1:$G$10000&gt;=ROUND($FG$3,0)),0),MATCH("DEFAULT_MDA_MIN_MARGIN_GUIDENCE",'Margin Guidence Table'!$A$1:$AC$1,0))),0)</f>
        <v>0</v>
      </c>
      <c r="FU32" s="1165">
        <f t="array" ref="FU32">IFERROR(IF($FQ32="SEGMENT",INDEX('Margin Guidence Table'!$A$1:$AC$10000,MATCH(1,('Margin Guidence Table'!$A$1:$A$10000=FO32)*('Margin Guidence Table'!$H$1:$H$10000&lt;=ROUND($FG$3,0))*('Margin Guidence Table'!$G$1:$G$10000&gt;=ROUND($FG$3,0)),0),MATCH("MDA_MEDIAN_MARGIN_GUIDENCE",'Margin Guidence Table'!$A$1:$AC$1,0)),INDEX('Margin Guidence Table'!$A$1:$AC$10000,MATCH(1,('Margin Guidence Table'!$A$1:$A$10000=FO32)*('Margin Guidence Table'!$H$1:$H$10000&lt;=ROUND($FG$3,0))*('Margin Guidence Table'!$G$1:$G$10000&gt;=ROUND($FG$3,0)),0),MATCH("DEFAULT_MDA_MEDIAN_MARGIN_GUIDENCE",'Margin Guidence Table'!$A$1:$AC$1,0))),0)</f>
        <v>0</v>
      </c>
      <c r="FV32" s="1165">
        <f t="array" ref="FV32">IFERROR(IF($FQ32="SEGMENT",INDEX('Margin Guidence Table'!$A$1:$AC$10000,MATCH(1,('Margin Guidence Table'!$A$1:$A$10000=FO32)*('Margin Guidence Table'!$H$1:$H$10000&lt;=ROUND($FG$3,0))*('Margin Guidence Table'!$G$1:$G$10000&gt;=ROUND($FG$3,0)),0),MATCH("MDA_MAX_MARGIN_GUIDENCE",'Margin Guidence Table'!$A$1:$AC$1,0)),INDEX('Margin Guidence Table'!$A$1:$AC$10000,MATCH(1,('Margin Guidence Table'!$A$1:$A$10000=FO32)*('Margin Guidence Table'!$H$1:$H$10000&lt;=ROUND($FG$3,0))*('Margin Guidence Table'!$G$1:$G$10000&gt;=ROUND($FG$3,0)),0),MATCH("DEFAULT_MDA_MAX_MARGIN_GUIDENCE",'Margin Guidence Table'!$A$1:$AC$1,0))),0)</f>
        <v>0</v>
      </c>
      <c r="FW32" s="1165">
        <f t="array" ref="FW32">IFERROR(IF($FQ32="SEGMENT",INDEX('Margin Guidence Table'!$A$1:$AC$10000,MATCH(1,('Margin Guidence Table'!$A$1:$A$10000=FO32)*('Margin Guidence Table'!$H$1:$H$10000&lt;=ROUND($FG$3,0))*('Margin Guidence Table'!$G$1:$G$10000&gt;=ROUND($FG$3,0)),0),MATCH("PA_PCT_SALES",'Margin Guidence Table'!$A$1:$AC$1,0)),INDEX('Margin Guidence Table'!$A$1:$AC$10000,MATCH(1,('Margin Guidence Table'!$A$1:$A$10000=FO32)*('Margin Guidence Table'!$H$1:$H$10000&lt;=ROUND($FG$3,0))*('Margin Guidence Table'!$G$1:$G$10000&gt;=ROUND($FG$3,0)),0),MATCH("DEFAULT_PA_PCT_SALES",'Margin Guidence Table'!$A$1:$AC$1,0))),0)</f>
        <v>0</v>
      </c>
      <c r="FX32" s="1165">
        <f t="array" ref="FX32">IFERROR(IF($FQ32="SEGMENT",INDEX('Margin Guidence Table'!$A$1:$AC$10000,MATCH(1,('Margin Guidence Table'!$A$1:$A$10000=FO32)*('Margin Guidence Table'!$H$1:$H$10000&lt;=ROUND($FG$3,0))*('Margin Guidence Table'!$G$1:$G$10000&gt;=ROUND($FG$3,0)),0),MATCH("SELF_FUND_PCT_SALES",'Margin Guidence Table'!$A$1:$AC$1,0)),INDEX('Margin Guidence Table'!$A$1:$AC$10000,MATCH(1,('Margin Guidence Table'!$A$1:$A$10000=FO32)*('Margin Guidence Table'!$H$1:$H$10000&lt;=ROUND($FG$3,0))*('Margin Guidence Table'!$G$1:$G$10000&gt;=ROUND($FG$3,0)),0),MATCH("DEFAULT_SELF_FUND_PCT_SALES",'Margin Guidence Table'!$A$1:$AC$1,0))),0)</f>
        <v>0</v>
      </c>
      <c r="FY32" s="1165">
        <f t="array" ref="FY32">IFERROR(IF($FQ32="SEGMENT",INDEX('Margin Guidence Table'!$A$1:$AC$10000,MATCH(1,('Margin Guidence Table'!$A$1:$A$10000=FO32)*('Margin Guidence Table'!$H$1:$H$10000&lt;=ROUND($FG$3,0))*('Margin Guidence Table'!$G$1:$G$10000&gt;=ROUND($FG$3,0)),0),MATCH("CIA_MEDIAN_MARGIN_GUIDENCE",'Margin Guidence Table'!$A$1:$AC$1,0)),INDEX('Margin Guidence Table'!$A$1:$AC$10000,MATCH(1,('Margin Guidence Table'!$A$1:$A$10000=FO32)*('Margin Guidence Table'!$H$1:$H$10000&lt;=ROUND($FG$3,0))*('Margin Guidence Table'!$G$1:$G$10000&gt;=ROUND($FG$3,0)),0),MATCH("DEFAULT_CIA_MEDIAN_MARGIN_GUIDENCE",'Margin Guidence Table'!$A$1:$AC$1,0))),0)</f>
        <v>0</v>
      </c>
      <c r="FZ32" s="129"/>
      <c r="GA32" s="18">
        <f t="array" ref="GA32">IFERROR(IF($GM32="SEGMENT",INDEX('Margin Guidence Table'!$A$1:$AC$10000,MATCH(1,('Margin Guidence Table'!$A$1:$A$10000=$GK32)*('Margin Guidence Table'!$H$1:$H$10000&lt;=ROUND($GC$3,0))*('Margin Guidence Table'!$G$1:$G$10000&gt;=ROUND($GC$3,0)),0),MATCH("PCT_SALES",'Margin Guidence Table'!$A$1:$AC$1,0)),INDEX('Margin Guidence Table'!$A$1:$AC$10000,MATCH(1,('Margin Guidence Table'!$A$1:$A$10000=$GK32)*('Margin Guidence Table'!$H$1:$H$10000&lt;=ROUND($GC$3,0))*('Margin Guidence Table'!$G$1:$G$10000&gt;=ROUND($GC$3,0)),0),MATCH("DEFAULT_PCT_SALES",'Margin Guidence Table'!$A$1:$AC$1,0))),0)</f>
        <v>0</v>
      </c>
      <c r="GB32" s="102" t="s">
        <v>86</v>
      </c>
      <c r="GC32" s="94">
        <f>IFERROR(IF(AND($GC$2&lt;&gt;"Enter Spend&gt;&gt;&gt;",GD2="EXISTING"),SUMIFS('Existing Customers'!$Q:$Q,'Existing Customers'!$A:$A,$GC$1,'Existing Customers'!$H:$H,$GB32)*$GC$4,$GC$3*$GA32),0)</f>
        <v>0</v>
      </c>
      <c r="GD32" s="89">
        <f>IFERROR(IF(AND($GC$2&lt;&gt;"Enter Spend&gt;&gt;&gt;",GD2="EXISTING"),SUMIFS('Existing Customers'!$N:$N,'Existing Customers'!$A:$A,$GC$1,'Existing Customers'!$H:$H,$GB32)*$GC$4,$GC32/$GN32),0)</f>
        <v>0</v>
      </c>
      <c r="GE32" s="95">
        <f>IFERROR(IF(AND($GC$2&lt;&gt;"Enter Spend&gt;&gt;&gt;",GD2="EXISTING"),SUMIFS('Existing Customers'!$O:$O,'Existing Customers'!$H:$H,$GB32,'Existing Customers'!$A:$A,$GC$1)*$GC$4,$GD32*$GC$8),0)</f>
        <v>0</v>
      </c>
      <c r="GF32" s="95">
        <f>IFERROR(IF(AND($GC$2&lt;&gt;"Enter Spend&gt;&gt;&gt;",GD2="EXISTING"),SUMIFS('Existing Customers'!$P:$P,'Existing Customers'!$A:$A,$GC$1,'Existing Customers'!$H:$H,$GB32)*$GC$4,$GC32/$GO32),0)</f>
        <v>0</v>
      </c>
      <c r="GG32" s="96">
        <f>IFERROR(IF(AND($GC$2&lt;&gt;"Enter Spend&gt;&gt;&gt;",GD2="EXISTING"),SUMIFS('Existing Customers'!$V:$V,'Existing Customers'!$H:$H,$GB32,'Existing Customers'!$A:$A,$GC$1)*$GC$4,0),0)</f>
        <v>0</v>
      </c>
      <c r="GH32" s="96">
        <f>IFERROR(IF(AND($GC$2&lt;&gt;"Enter Spend&gt;&gt;&gt;",GD2="EXISTING"),SUMIFS('Existing Customers'!$R:$R,'Existing Customers'!$H:$H,$GB32,'Existing Customers'!$A:$A,$GC$1)*$GC$4,0),0)</f>
        <v>0</v>
      </c>
      <c r="GI32" s="1161">
        <f>IFERROR(IF(AND($GC$2&lt;&gt;"Enter Spend&gt;&gt;&gt;",GD2="EXISTING"),SUMIFS('Existing Customers'!$S:$S,'Existing Customers'!$H:$H,$GB32,'Existing Customers'!$A:$A,$GC$1),GS32*GC32),0)</f>
        <v>0</v>
      </c>
      <c r="GJ32" s="1161">
        <f>IFERROR(IF(AND($GC$2&lt;&gt;"Enter Spend&gt;&gt;&gt;",GD2="EXISTING"),SUMIFS('Existing Customers'!$U:$U,'Existing Customers'!$H:$H,$GB32,'Existing Customers'!$A:$A,$GC$1),GT32*GC32),0)</f>
        <v>0</v>
      </c>
      <c r="GK32" s="1164" t="e">
        <f t="shared" si="36"/>
        <v>#N/A</v>
      </c>
      <c r="GL32" s="1164">
        <f t="array" ref="GL32">IFERROR(INDEX('Margin Guidence Table'!$A$1:$AD$30000,MATCH(1,('Margin Guidence Table'!$A$1:$A$10000=GK32)*('Margin Guidence Table'!$H$1:$H$10000&lt;=ROUND($GC$3,0))*('Margin Guidence Table'!$G$1:$G$10000&gt;=ROUND($GC$3,0)),0),MATCH("DATA_POINTS",'Margin Guidence Table'!$A$1:$AC$1,0)),0)</f>
        <v>0</v>
      </c>
      <c r="GM32" s="1161" t="str">
        <f t="shared" si="37"/>
        <v>DEFAULT</v>
      </c>
      <c r="GN32" s="1161">
        <f t="array" ref="GN32">IFERROR(IF($GM32="SEGMENT",INDEX('Margin Guidence Table'!$A$1:$AC$10000,MATCH(1,('Margin Guidence Table'!$A$1:$A$10000=GK32)*('Margin Guidence Table'!$H$1:$H$10000&lt;=ROUND($GC$3,0))*('Margin Guidence Table'!$G$1:$G$10000&gt;=ROUND($GC$3,0)),0),MATCH("SALES_CASE",'Margin Guidence Table'!$A$1:$AC$1,0)),INDEX('Margin Guidence Table'!$A$1:$AC$10000,MATCH(1,('Margin Guidence Table'!$A$1:$A$10000=GK32)*('Margin Guidence Table'!$H$1:$H$10000&lt;=ROUND($GC$3,0))*('Margin Guidence Table'!$G$1:$G$10000&gt;=ROUND($GC$3,0)),0),MATCH("DEFAULT_SALES_CASE",'Margin Guidence Table'!$A$1:$AC$1,0))),0)</f>
        <v>0</v>
      </c>
      <c r="GO32" s="1161">
        <f t="array" ref="GO32">IFERROR(IF($GM32="SEGMENT",INDEX('Margin Guidence Table'!$A$1:$AC$10000,MATCH(1,('Margin Guidence Table'!$A$1:$A$10000=GK32)*('Margin Guidence Table'!$H$1:$H$10000&lt;=ROUND($GC$3,0))*('Margin Guidence Table'!$G$1:$G$10000&gt;=ROUND($GC$3,0)),0),MATCH("SALES_LBS",'Margin Guidence Table'!$A$1:$AC$1,0)),INDEX('Margin Guidence Table'!$A$1:$AC$10000,MATCH(1,('Margin Guidence Table'!$A$1:$A$10000=GK32)*('Margin Guidence Table'!$H$1:$H$10000&lt;=ROUND($GC$3,0))*('Margin Guidence Table'!$G$1:$G$10000&gt;=ROUND($GC$3,0)),0),MATCH("DEFAULT_SALES_LBS",'Margin Guidence Table'!$A$1:$AC$1,0))),0)</f>
        <v>0</v>
      </c>
      <c r="GP32" s="1165">
        <f t="array" ref="GP32">IFERROR(IF($GM32="SEGMENT",INDEX('Margin Guidence Table'!$A$1:$AC$10000,MATCH(1,('Margin Guidence Table'!$A$1:$A$10000=GK32)*('Margin Guidence Table'!$H$1:$H$10000&lt;=ROUND($GC$3,0))*('Margin Guidence Table'!$G$1:$G$10000&gt;=ROUND($GC$3,0)),0),MATCH("MDA_MIN_MARGIN_GUIDENCE",'Margin Guidence Table'!$A$1:$AC$1,0)),INDEX('Margin Guidence Table'!$A$1:$AC$10000,MATCH(1,('Margin Guidence Table'!$A$1:$A$10000=GK32)*('Margin Guidence Table'!$H$1:$H$10000&lt;=ROUND($GC$3,0))*('Margin Guidence Table'!$G$1:$G$10000&gt;=ROUND($GC$3,0)),0),MATCH("DEFAULT_MDA_MIN_MARGIN_GUIDENCE",'Margin Guidence Table'!$A$1:$AC$1,0))),0)</f>
        <v>0</v>
      </c>
      <c r="GQ32" s="1165">
        <f t="array" ref="GQ32">IFERROR(IF($GM32="SEGMENT",INDEX('Margin Guidence Table'!$A$1:$AC$10000,MATCH(1,('Margin Guidence Table'!$A$1:$A$10000=GK32)*('Margin Guidence Table'!$H$1:$H$10000&lt;=ROUND($GC$3,0))*('Margin Guidence Table'!$G$1:$G$10000&gt;=ROUND($GC$3,0)),0),MATCH("MDA_MEDIAN_MARGIN_GUIDENCE",'Margin Guidence Table'!$A$1:$AC$1,0)),INDEX('Margin Guidence Table'!$A$1:$AC$10000,MATCH(1,('Margin Guidence Table'!$A$1:$A$10000=GK32)*('Margin Guidence Table'!$H$1:$H$10000&lt;=ROUND($GC$3,0))*('Margin Guidence Table'!$G$1:$G$10000&gt;=ROUND($GC$3,0)),0),MATCH("DEFAULT_MDA_MEDIAN_MARGIN_GUIDENCE",'Margin Guidence Table'!$A$1:$AC$1,0))),0)</f>
        <v>0</v>
      </c>
      <c r="GR32" s="1165">
        <f t="array" ref="GR32">IFERROR(IF($GM32="SEGMENT",INDEX('Margin Guidence Table'!$A$1:$AC$10000,MATCH(1,('Margin Guidence Table'!$A$1:$A$10000=GK32)*('Margin Guidence Table'!$H$1:$H$10000&lt;=ROUND($GC$3,0))*('Margin Guidence Table'!$G$1:$G$10000&gt;=ROUND($GC$3,0)),0),MATCH("MDA_MAX_MARGIN_GUIDENCE",'Margin Guidence Table'!$A$1:$AC$1,0)),INDEX('Margin Guidence Table'!$A$1:$AC$10000,MATCH(1,('Margin Guidence Table'!$A$1:$A$10000=GK32)*('Margin Guidence Table'!$H$1:$H$10000&lt;=ROUND($GC$3,0))*('Margin Guidence Table'!$G$1:$G$10000&gt;=ROUND($GC$3,0)),0),MATCH("DEFAULT_MDA_MAX_MARGIN_GUIDENCE",'Margin Guidence Table'!$A$1:$AC$1,0))),0)</f>
        <v>0</v>
      </c>
      <c r="GS32" s="1165">
        <f t="array" ref="GS32">IFERROR(IF($GM32="SEGMENT",INDEX('Margin Guidence Table'!$A$1:$AC$10000,MATCH(1,('Margin Guidence Table'!$A$1:$A$10000=GK32)*('Margin Guidence Table'!$H$1:$H$10000&lt;=ROUND($GC$3,0))*('Margin Guidence Table'!$G$1:$G$10000&gt;=ROUND($GC$3,0)),0),MATCH("PA_PCT_SALES",'Margin Guidence Table'!$A$1:$AC$1,0)),INDEX('Margin Guidence Table'!$A$1:$AC$10000,MATCH(1,('Margin Guidence Table'!$A$1:$A$10000=GK32)*('Margin Guidence Table'!$H$1:$H$10000&lt;=ROUND($GC$3,0))*('Margin Guidence Table'!$G$1:$G$10000&gt;=ROUND($GC$3,0)),0),MATCH("DEFAULT_PA_PCT_SALES",'Margin Guidence Table'!$A$1:$AC$1,0))),0)</f>
        <v>0</v>
      </c>
      <c r="GT32" s="1165">
        <f t="array" ref="GT32">IFERROR(IF($GM32="SEGMENT",INDEX('Margin Guidence Table'!$A$1:$AC$10000,MATCH(1,('Margin Guidence Table'!$A$1:$A$10000=GK32)*('Margin Guidence Table'!$H$1:$H$10000&lt;=ROUND($GC$3,0))*('Margin Guidence Table'!$G$1:$G$10000&gt;=ROUND($GC$3,0)),0),MATCH("SELF_FUND_PCT_SALES",'Margin Guidence Table'!$A$1:$AC$1,0)),INDEX('Margin Guidence Table'!$A$1:$AC$10000,MATCH(1,('Margin Guidence Table'!$A$1:$A$10000=GK32)*('Margin Guidence Table'!$H$1:$H$10000&lt;=ROUND($GC$3,0))*('Margin Guidence Table'!$G$1:$G$10000&gt;=ROUND($GC$3,0)),0),MATCH("DEFAULT_SELF_FUND_PCT_SALES",'Margin Guidence Table'!$A$1:$AC$1,0))),0)</f>
        <v>0</v>
      </c>
      <c r="GU32" s="1165">
        <f t="array" ref="GU32">IFERROR(IF($GM32="SEGMENT",INDEX('Margin Guidence Table'!$A$1:$AC$10000,MATCH(1,('Margin Guidence Table'!$A$1:$A$10000=GK32)*('Margin Guidence Table'!$H$1:$H$10000&lt;=ROUND($GC$3,0))*('Margin Guidence Table'!$G$1:$G$10000&gt;=ROUND($GC$3,0)),0),MATCH("CIA_MEDIAN_MARGIN_GUIDENCE",'Margin Guidence Table'!$A$1:$AC$1,0)),INDEX('Margin Guidence Table'!$A$1:$AC$10000,MATCH(1,('Margin Guidence Table'!$A$1:$A$10000=GK32)*('Margin Guidence Table'!$H$1:$H$10000&lt;=ROUND($GC$3,0))*('Margin Guidence Table'!$G$1:$G$10000&gt;=ROUND($GC$3,0)),0),MATCH("DEFAULT_CIA_MEDIAN_MARGIN_GUIDENCE",'Margin Guidence Table'!$A$1:$AC$1,0))),0)</f>
        <v>0</v>
      </c>
      <c r="GV32" s="129"/>
      <c r="GW32" s="18">
        <f t="array" ref="GW32">IFERROR(IF($HI32="SEGMENT",INDEX('Margin Guidence Table'!$A$1:$AC$10000,MATCH(1,('Margin Guidence Table'!$A$1:$A$10000=$HG32)*('Margin Guidence Table'!$H$1:$H$10000&lt;=ROUND($GY$3,0))*('Margin Guidence Table'!$G$1:$G$10000&gt;=ROUND($GY$3,0)),0),MATCH("PCT_SALES",'Margin Guidence Table'!$A$1:$AC$1,0)),INDEX('Margin Guidence Table'!$A$1:$AC$10000,MATCH(1,('Margin Guidence Table'!$A$1:$A$10000=$HG32)*('Margin Guidence Table'!$H$1:$H$10000&lt;=ROUND($GY$3,0))*('Margin Guidence Table'!$G$1:$G$10000&gt;=ROUND($GY$3,0)),0),MATCH("DEFAULT_PCT_SALES",'Margin Guidence Table'!$A$1:$AC$1,0))),0)</f>
        <v>0</v>
      </c>
      <c r="GX32" s="102" t="s">
        <v>86</v>
      </c>
      <c r="GY32" s="94">
        <f>IFERROR(IF(AND($GY$2&lt;&gt;"Enter Spend&gt;&gt;&gt;",GZ2="EXISTING"),SUMIFS('Existing Customers'!$Q:$Q,'Existing Customers'!$A:$A,$GY$1,'Existing Customers'!$H:$H,$GX32)*$GY$4,$GY$3*$GW32),0)</f>
        <v>0</v>
      </c>
      <c r="GZ32" s="89">
        <f>IFERROR(IF(AND($GY$2&lt;&gt;"Enter Spend&gt;&gt;&gt;",GZ2="EXISTING"),SUMIFS('Existing Customers'!$N:$N,'Existing Customers'!$A:$A,$GY$1,'Existing Customers'!$H:$H,$GX32)*$GY$4,$GY32/$HJ32),0)</f>
        <v>0</v>
      </c>
      <c r="HA32" s="95">
        <f>IFERROR(IF(AND($GY$2&lt;&gt;"Enter Spend&gt;&gt;&gt;",GZ2="EXISTING"),SUMIFS('Existing Customers'!$O:$O,'Existing Customers'!$H:$H,$GX32,'Existing Customers'!$A:$A,$GY$1)*$GY$4,$GZ32*$GY$8),0)</f>
        <v>0</v>
      </c>
      <c r="HB32" s="95">
        <f>IFERROR(IF(AND($GY$2&lt;&gt;"Enter Spend&gt;&gt;&gt;",GZ2="EXISTING"),SUMIFS('Existing Customers'!$P:$P,'Existing Customers'!$A:$A,$GY$1,'Existing Customers'!$H:$H,$GX32)*$GY$4,$GY32/$HK32),0)</f>
        <v>0</v>
      </c>
      <c r="HC32" s="96">
        <f>IFERROR(IF(AND($GY$2&lt;&gt;"Enter Spend&gt;&gt;&gt;",GZ2="EXISTING"),SUMIFS('Existing Customers'!$V:$V,'Existing Customers'!$H:$H,$GX32,'Existing Customers'!$A:$A,$GY$1)*$GY$4,0),0)</f>
        <v>0</v>
      </c>
      <c r="HD32" s="96">
        <f>IFERROR(IF(AND($GY$2&lt;&gt;"Enter Spend&gt;&gt;&gt;",GZ2="EXISTING"),SUMIFS('Existing Customers'!$R:$R,'Existing Customers'!$H:$H,$GX32,'Existing Customers'!$A:$A,$GY$1)*$GY$4,0),0)</f>
        <v>0</v>
      </c>
      <c r="HE32" s="1161">
        <f>IFERROR(IF(AND($GY$2&lt;&gt;"Enter Spend&gt;&gt;&gt;",GZ2="EXISTING"),SUMIFS('Existing Customers'!$S:$S,'Existing Customers'!$H:$H,$GX32,'Existing Customers'!$A:$A,$GY$1),HO32*GY32),0)</f>
        <v>0</v>
      </c>
      <c r="HF32" s="1161">
        <f>IFERROR(IF(AND($GY$2&lt;&gt;"Enter Spend&gt;&gt;&gt;",GZ2="EXISTING"),SUMIFS('Existing Customers'!$U:$U,'Existing Customers'!$H:$H,$GX32,'Existing Customers'!$A:$A,$GY$1),HP32*GY32),0)</f>
        <v>0</v>
      </c>
      <c r="HG32" s="1164" t="e">
        <f t="shared" si="38"/>
        <v>#N/A</v>
      </c>
      <c r="HH32" s="1164">
        <f t="array" ref="HH32">IFERROR(INDEX('Margin Guidence Table'!$A$1:$AD$30000,MATCH(1,('Margin Guidence Table'!$A$1:$A$10000=HG32)*('Margin Guidence Table'!$H$1:$H$10000&lt;=ROUND($GY$3,0))*('Margin Guidence Table'!$G$1:$G$10000&gt;=ROUND($GY$3,0)),0),MATCH("DATA_POINTS",'Margin Guidence Table'!$A$1:$AC$1,0)),0)</f>
        <v>0</v>
      </c>
      <c r="HI32" s="1161" t="str">
        <f t="shared" si="39"/>
        <v>DEFAULT</v>
      </c>
      <c r="HJ32" s="1161">
        <f t="array" ref="HJ32">IFERROR(IF($HI32="SEGMENT",INDEX('Margin Guidence Table'!$A$1:$AC$10000,MATCH(1,('Margin Guidence Table'!$A$1:$A$10000=HG32)*('Margin Guidence Table'!$H$1:$H$10000&lt;=ROUND($GY$3,0))*('Margin Guidence Table'!$G$1:$G$10000&gt;=ROUND($GY$3,0)),0),MATCH("SALES_CASE",'Margin Guidence Table'!$A$1:$AC$1,0)),INDEX('Margin Guidence Table'!$A$1:$AC$10000,MATCH(1,('Margin Guidence Table'!$A$1:$A$10000=HG32)*('Margin Guidence Table'!$H$1:$H$10000&lt;=ROUND($GY$3,0))*('Margin Guidence Table'!$G$1:$G$10000&gt;=ROUND($GY$3,0)),0),MATCH("DEFAULT_SALES_CASE",'Margin Guidence Table'!$A$1:$AC$1,0))),0)</f>
        <v>0</v>
      </c>
      <c r="HK32" s="1161">
        <f t="array" ref="HK32">IFERROR(IF($HI32="SEGMENT",INDEX('Margin Guidence Table'!$A$1:$AC$10000,MATCH(1,('Margin Guidence Table'!$A$1:$A$10000=HG32)*('Margin Guidence Table'!$H$1:$H$10000&lt;=ROUND($GY$3,0))*('Margin Guidence Table'!$G$1:$G$10000&gt;=ROUND($GY$3,0)),0),MATCH("SALES_LBS",'Margin Guidence Table'!$A$1:$AC$1,0)),INDEX('Margin Guidence Table'!$A$1:$AC$10000,MATCH(1,('Margin Guidence Table'!$A$1:$A$10000=HG32)*('Margin Guidence Table'!$H$1:$H$10000&lt;=ROUND($GY$3,0))*('Margin Guidence Table'!$G$1:$G$10000&gt;=ROUND($GY$3,0)),0),MATCH("DEFAULT_SALES_LBS",'Margin Guidence Table'!$A$1:$AC$1,0))),0)</f>
        <v>0</v>
      </c>
      <c r="HL32" s="1165">
        <f t="array" ref="HL32">IFERROR(IF($HI32="SEGMENT",INDEX('Margin Guidence Table'!$A$1:$AC$10000,MATCH(1,('Margin Guidence Table'!$A$1:$A$10000=HG32)*('Margin Guidence Table'!$H$1:$H$10000&lt;=ROUND($GY$3,0))*('Margin Guidence Table'!$G$1:$G$10000&gt;=ROUND($GY$3,0)),0),MATCH("MDA_MIN_MARGIN_GUIDENCE",'Margin Guidence Table'!$A$1:$AC$1,0)),INDEX('Margin Guidence Table'!$A$1:$AC$10000,MATCH(1,('Margin Guidence Table'!$A$1:$A$10000=HG32)*('Margin Guidence Table'!$H$1:$H$10000&lt;=ROUND($GY$3,0))*('Margin Guidence Table'!$G$1:$G$10000&gt;=ROUND($GY$3,0)),0),MATCH("DEFAULT_MDA_MIN_MARGIN_GUIDENCE",'Margin Guidence Table'!$A$1:$AC$1,0))),0)</f>
        <v>0</v>
      </c>
      <c r="HM32" s="1165">
        <f t="array" ref="HM32">IFERROR(IF($HI32="SEGMENT",INDEX('Margin Guidence Table'!$A$1:$AC$10000,MATCH(1,('Margin Guidence Table'!$A$1:$A$10000=HG32)*('Margin Guidence Table'!$H$1:$H$10000&lt;=ROUND($GY$3,0))*('Margin Guidence Table'!$G$1:$G$10000&gt;=ROUND($GY$3,0)),0),MATCH("MDA_MEDIAN_MARGIN_GUIDENCE",'Margin Guidence Table'!$A$1:$AC$1,0)),INDEX('Margin Guidence Table'!$A$1:$AC$10000,MATCH(1,('Margin Guidence Table'!$A$1:$A$10000=HG32)*('Margin Guidence Table'!$H$1:$H$10000&lt;=ROUND($GY$3,0))*('Margin Guidence Table'!$G$1:$G$10000&gt;=ROUND($GY$3,0)),0),MATCH("DEFAULT_MDA_MEDIAN_MARGIN_GUIDENCE",'Margin Guidence Table'!$A$1:$AC$1,0))),0)</f>
        <v>0</v>
      </c>
      <c r="HN32" s="1165">
        <f t="array" ref="HN32">IFERROR(IF($HI32="SEGMENT",INDEX('Margin Guidence Table'!$A$1:$AC$10000,MATCH(1,('Margin Guidence Table'!$A$1:$A$10000=HG32)*('Margin Guidence Table'!$H$1:$H$10000&lt;=ROUND($GY$3,0))*('Margin Guidence Table'!$G$1:$G$10000&gt;=ROUND($GY$3,0)),0),MATCH("MDA_MAX_MARGIN_GUIDENCE",'Margin Guidence Table'!$A$1:$AC$1,0)),INDEX('Margin Guidence Table'!$A$1:$AC$10000,MATCH(1,('Margin Guidence Table'!$A$1:$A$10000=HG32)*('Margin Guidence Table'!$H$1:$H$10000&lt;=ROUND($GY$3,0))*('Margin Guidence Table'!$G$1:$G$10000&gt;=ROUND($GY$3,0)),0),MATCH("DEFAULT_MDA_MAX_MARGIN_GUIDENCE",'Margin Guidence Table'!$A$1:$AC$1,0))),0)</f>
        <v>0</v>
      </c>
      <c r="HO32" s="1165">
        <f t="array" ref="HO32">IFERROR(IF($HI32="SEGMENT",INDEX('Margin Guidence Table'!$A$1:$AC$10000,MATCH(1,('Margin Guidence Table'!$A$1:$A$10000=HG32)*('Margin Guidence Table'!$H$1:$H$10000&lt;=ROUND($GY$3,0))*('Margin Guidence Table'!$G$1:$G$10000&gt;=ROUND($GY$3,0)),0),MATCH("PA_PCT_SALES",'Margin Guidence Table'!$A$1:$AC$1,0)),INDEX('Margin Guidence Table'!$A$1:$AC$10000,MATCH(1,('Margin Guidence Table'!$A$1:$A$10000=HG32)*('Margin Guidence Table'!$H$1:$H$10000&lt;=ROUND($GY$3,0))*('Margin Guidence Table'!$G$1:$G$10000&gt;=ROUND($GY$3,0)),0),MATCH("DEFAULT_PA_PCT_SALES",'Margin Guidence Table'!$A$1:$AC$1,0))),0)</f>
        <v>0</v>
      </c>
      <c r="HP32" s="1165">
        <f t="array" ref="HP32">IFERROR(IF($HI32="SEGMENT",INDEX('Margin Guidence Table'!$A$1:$AC$10000,MATCH(1,('Margin Guidence Table'!$A$1:$A$10000=HG32)*('Margin Guidence Table'!$H$1:$H$10000&lt;=ROUND($GY$3,0))*('Margin Guidence Table'!$G$1:$G$10000&gt;=ROUND($GY$3,0)),0),MATCH("SELF_FUND_PCT_SALES",'Margin Guidence Table'!$A$1:$AC$1,0)),INDEX('Margin Guidence Table'!$A$1:$AC$10000,MATCH(1,('Margin Guidence Table'!$A$1:$A$10000=HG32)*('Margin Guidence Table'!$H$1:$H$10000&lt;=ROUND($GY$3,0))*('Margin Guidence Table'!$G$1:$G$10000&gt;=ROUND($GY$3,0)),0),MATCH("DEFAULT_SELF_FUND_PCT_SALES",'Margin Guidence Table'!$A$1:$AC$1,0))),0)</f>
        <v>0</v>
      </c>
      <c r="HQ32" s="1165">
        <f t="array" ref="HQ32">IFERROR(IF($HI32="SEGMENT",INDEX('Margin Guidence Table'!$A$1:$AC$10000,MATCH(1,('Margin Guidence Table'!$A$1:$A$10000=HG32)*('Margin Guidence Table'!$H$1:$H$10000&lt;=ROUND($GY$3,0))*('Margin Guidence Table'!$G$1:$G$10000&gt;=ROUND($GY$3,0)),0),MATCH("CIA_MEDIAN_MARGIN_GUIDENCE",'Margin Guidence Table'!$A$1:$AC$1,0)),INDEX('Margin Guidence Table'!$A$1:$AC$10000,MATCH(1,('Margin Guidence Table'!$A$1:$A$10000=HG32)*('Margin Guidence Table'!$H$1:$H$10000&lt;=ROUND($GY$3,0))*('Margin Guidence Table'!$G$1:$G$10000&gt;=ROUND($GY$3,0)),0),MATCH("DEFAULT_CIA_MEDIAN_MARGIN_GUIDENCE",'Margin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Spend&gt;&gt;&gt;",HV2="EXISTING"),SUMIFS('Existing Customers'!$Q:$Q,'Existing Customers'!$A:$A,$HU$1,'Existing Customers'!$H:$H,$HT32)*$HU$4,$HU$3*$HS32),0)</f>
        <v>0</v>
      </c>
      <c r="HV32" s="89">
        <f>IFERROR(IF(AND($HU$2&lt;&gt;"Enter Spend&gt;&gt;&gt;",HV2="EXISTING"),SUMIFS('Existing Customers'!$N:$N,'Existing Customers'!$A:$A,$HU$1,'Existing Customers'!$H:$H,$HT32)*$HU$4,$HU32/$IF32),0)</f>
        <v>0</v>
      </c>
      <c r="HW32" s="95">
        <f>IFERROR(IF(AND($HU$2&lt;&gt;"Enter Spend&gt;&gt;&gt;",HV2="EXISTING"),SUMIFS('Existing Customers'!$O:$O,'Existing Customers'!$H:$H,$HT32,'Existing Customers'!$A:$A,$HU$1)*$HU$4,$HV32*$HU$8),0)</f>
        <v>0</v>
      </c>
      <c r="HX32" s="95">
        <f>IFERROR(IF(AND($HU$2&lt;&gt;"Enter Spend&gt;&gt;&gt;",HV2="EXISTING"),SUMIFS('Existing Customers'!$P:$P,'Existing Customers'!$A:$A,$HU$1,'Existing Customers'!$H:$H,$HT32)*$HU$4,$HU32/$IG32),0)</f>
        <v>0</v>
      </c>
      <c r="HY32" s="402">
        <f>IFERROR(IF(AND($HU$2&lt;&gt;"Enter Spend&gt;&gt;&gt;",HV2="EXISTING"),SUMIFS('Existing Customers'!$V:$V,'Existing Customers'!$H:$H,$HT32,'Existing Customers'!$A:$A,$HU$1)*$HU$4,0),0)</f>
        <v>0</v>
      </c>
      <c r="HZ32" s="96">
        <f>IFERROR(IF(AND($HU$2&lt;&gt;"Enter Spend&gt;&gt;&gt;",HV2="EXISTING"),SUMIFS('Existing Customers'!$R:$R,'Existing Customers'!$H:$H,$HT32,'Existing Customers'!$A:$A,$HU$1)*$HU$4,0),0)</f>
        <v>0</v>
      </c>
      <c r="IA32" s="1161">
        <f>IFERROR(IF(AND($HU$2&lt;&gt;"Enter Spend&gt;&gt;&gt;",HV2="EXISTING"),SUMIFS('Existing Customers'!$S:$S,'Existing Customers'!$H:$H,$HT32,'Existing Customers'!$A:$A,$HU$1),IK32*HU32),0)</f>
        <v>0</v>
      </c>
      <c r="IB32" s="1161">
        <f>IFERROR(IF(AND($HU$2&lt;&gt;"Enter Spend&gt;&gt;&gt;",HV2="EXISTING"),SUMIFS('Existing Customers'!$U:$U,'Existing Customers'!$H:$H,$HT32,'Existing Customers'!$A:$A,$HU$1),IL32*HU32),0)</f>
        <v>0</v>
      </c>
      <c r="IC32" s="1164" t="e">
        <f t="shared" si="40"/>
        <v>#N/A</v>
      </c>
      <c r="ID32" s="1164">
        <f t="array" ref="ID32">IFERROR(INDEX('Margin Guidence Table'!$A$1:$AD$30000,MATCH(1,('Margin Guidence Table'!$A$1:$A$10000=IC32)*('Margin Guidence Table'!$H$1:$H$10000&lt;=ROUND($HU$3,0))*('Margin Guidence Table'!$G$1:$G$10000&gt;=ROUND($HU$3,0)),0),MATCH("DATA_POINTS",'Margin Guidence Table'!$A$1:$AC$1,0)),0)</f>
        <v>0</v>
      </c>
      <c r="IE32" s="1161" t="str">
        <f t="shared" si="41"/>
        <v>DEFAULT</v>
      </c>
      <c r="IF32" s="1161">
        <f t="array" ref="IF32">IFERROR(IF($IE32="SEGMENT",INDEX('Margin Guidence Table'!$A$1:$AC$10000,MATCH(1,('Margin Guidence Table'!$A$1:$A$10000=IC32)*('Margin Guidence Table'!$H$1:$H$10000&lt;=ROUND($HU$3,0))*('Margin Guidence Table'!$G$1:$G$10000&gt;=ROUND($HU$3,0)),0),MATCH("SALES_CASE",'Margin Guidence Table'!$A$1:$AC$1,0)),INDEX('Margin Guidence Table'!$A$1:$AC$10000,MATCH(1,('Margin Guidence Table'!$A$1:$A$10000=IC32)*('Margin Guidence Table'!$H$1:$H$10000&lt;=ROUND($HU$3,0))*('Margin Guidence Table'!$G$1:$G$10000&gt;=ROUND($HU$3,0)),0),MATCH("DEFAULT_SALES_CASE",'Margin Guidence Table'!$A$1:$AC$1,0))),0)</f>
        <v>0</v>
      </c>
      <c r="IG32" s="1161">
        <f t="array" ref="IG32">IFERROR(IF($IE32="SEGMENT",INDEX('Margin Guidence Table'!$A$1:$AC$10000,MATCH(1,('Margin Guidence Table'!$A$1:$A$10000=IC32)*('Margin Guidence Table'!$H$1:$H$10000&lt;=ROUND($HU$3,0))*('Margin Guidence Table'!$G$1:$G$10000&gt;=ROUND($HU$3,0)),0),MATCH("SALES_LBS",'Margin Guidence Table'!$A$1:$AC$1,0)),INDEX('Margin Guidence Table'!$A$1:$AC$10000,MATCH(1,('Margin Guidence Table'!$A$1:$A$10000=IC32)*('Margin Guidence Table'!$H$1:$H$10000&lt;=ROUND($HU$3,0))*('Margin Guidence Table'!$G$1:$G$10000&gt;=ROUND($HU$3,0)),0),MATCH("DEFAULT_SALES_LBS",'Margin Guidence Table'!$A$1:$AC$1,0))),0)</f>
        <v>0</v>
      </c>
      <c r="IH32" s="1165">
        <f t="array" ref="IH32">IFERROR(IF($IE32="SEGMENT",INDEX('Margin Guidence Table'!$A$1:$AC$10000,MATCH(1,('Margin Guidence Table'!$A$1:$A$10000=IC32)*('Margin Guidence Table'!$H$1:$H$10000&lt;=ROUND($HU$3,0))*('Margin Guidence Table'!$G$1:$G$10000&gt;=ROUND($HU$3,0)),0),MATCH("MDA_MIN_MARGIN_GUIDENCE",'Margin Guidence Table'!$A$1:$AC$1,0)),INDEX('Margin Guidence Table'!$A$1:$AC$10000,MATCH(1,('Margin Guidence Table'!$A$1:$A$10000=IC32)*('Margin Guidence Table'!$H$1:$H$10000&lt;=ROUND($HU$3,0))*('Margin Guidence Table'!$G$1:$G$10000&gt;=ROUND($HU$3,0)),0),MATCH("DEFAULT_MDA_MIN_MARGIN_GUIDENCE",'Margin Guidence Table'!$A$1:$AC$1,0))),0)</f>
        <v>0</v>
      </c>
      <c r="II32" s="1165">
        <f t="array" ref="II32">IFERROR(IF($IE32="SEGMENT",INDEX('Margin Guidence Table'!$A$1:$AC$10000,MATCH(1,('Margin Guidence Table'!$A$1:$A$10000=IC32)*('Margin Guidence Table'!$H$1:$H$10000&lt;=ROUND($HU$3,0))*('Margin Guidence Table'!$G$1:$G$10000&gt;=ROUND($HU$3,0)),0),MATCH("MDA_MEDIAN_MARGIN_GUIDENCE",'Margin Guidence Table'!$A$1:$AC$1,0)),INDEX('Margin Guidence Table'!$A$1:$AC$10000,MATCH(1,('Margin Guidence Table'!$A$1:$A$10000=IC32)*('Margin Guidence Table'!$H$1:$H$10000&lt;=ROUND($HU$3,0))*('Margin Guidence Table'!$G$1:$G$10000&gt;=ROUND($HU$3,0)),0),MATCH("DEFAULT_MDA_MEDIAN_MARGIN_GUIDENCE",'Margin Guidence Table'!$A$1:$AC$1,0))),0)</f>
        <v>0</v>
      </c>
      <c r="IJ32" s="1165">
        <f t="array" ref="IJ32">IFERROR(IF($IE32="SEGMENT",INDEX('Margin Guidence Table'!$A$1:$AC$10000,MATCH(1,('Margin Guidence Table'!$A$1:$A$10000=IC32)*('Margin Guidence Table'!$H$1:$H$10000&lt;=ROUND($HU$3,0))*('Margin Guidence Table'!$G$1:$G$10000&gt;=ROUND($HU$3,0)),0),MATCH("MDA_MAX_MARGIN_GUIDENCE",'Margin Guidence Table'!$A$1:$AC$1,0)),INDEX('Margin Guidence Table'!$A$1:$AC$10000,MATCH(1,('Margin Guidence Table'!$A$1:$A$10000=IC32)*('Margin Guidence Table'!$H$1:$H$10000&lt;=ROUND($HU$3,0))*('Margin Guidence Table'!$G$1:$G$10000&gt;=ROUND($HU$3,0)),0),MATCH("DEFAULT_MDA_MAX_MARGIN_GUIDENCE",'Margin Guidence Table'!$A$1:$AC$1,0))),0)</f>
        <v>0</v>
      </c>
      <c r="IK32" s="1165">
        <f t="array" ref="IK32">IFERROR(IF($IE32="SEGMENT",INDEX('Margin Guidence Table'!$A$1:$AC$10000,MATCH(1,('Margin Guidence Table'!$A$1:$A$10000=IC32)*('Margin Guidence Table'!$H$1:$H$10000&lt;=ROUND($HU$3,0))*('Margin Guidence Table'!$G$1:$G$10000&gt;=ROUND($HU$3,0)),0),MATCH("PA_PCT_SALES",'Margin Guidence Table'!$A$1:$AC$1,0)),INDEX('Margin Guidence Table'!$A$1:$AC$10000,MATCH(1,('Margin Guidence Table'!$A$1:$A$10000=IC32)*('Margin Guidence Table'!$H$1:$H$10000&lt;=ROUND($HU$3,0))*('Margin Guidence Table'!$G$1:$G$10000&gt;=ROUND($HU$3,0)),0),MATCH("DEFAULT_PA_PCT_SALES",'Margin Guidence Table'!$A$1:$AC$1,0))),0)</f>
        <v>0</v>
      </c>
      <c r="IL32" s="1165">
        <f t="array" ref="IL32">IFERROR(IF($IE32="SEGMENT",INDEX('Margin Guidence Table'!$A$1:$AC$10000,MATCH(1,('Margin Guidence Table'!$A$1:$A$10000=IC32)*('Margin Guidence Table'!$H$1:$H$10000&lt;=ROUND($HU$3,0))*('Margin Guidence Table'!$G$1:$G$10000&gt;=ROUND($HU$3,0)),0),MATCH("SELF_FUND_PCT_SALES",'Margin Guidence Table'!$A$1:$AC$1,0)),INDEX('Margin Guidence Table'!$A$1:$AC$10000,MATCH(1,('Margin Guidence Table'!$A$1:$A$10000=IC32)*('Margin Guidence Table'!$H$1:$H$10000&lt;=ROUND($HU$3,0))*('Margin Guidence Table'!$G$1:$G$10000&gt;=ROUND($HU$3,0)),0),MATCH("DEFAULT_SELF_FUND_PCT_SALES",'Margin Guidence Table'!$A$1:$AC$1,0))),0)</f>
        <v>0</v>
      </c>
      <c r="IM32" s="1165">
        <f t="array" ref="IM32">IFERROR(IF($IE32="SEGMENT",INDEX('Margin Guidence Table'!$A$1:$AC$10000,MATCH(1,('Margin Guidence Table'!$A$1:$A$10000=IC32)*('Margin Guidence Table'!$H$1:$H$10000&lt;=ROUND($HU$3,0))*('Margin Guidence Table'!$G$1:$G$10000&gt;=ROUND($HU$3,0)),0),MATCH("CIA_MEDIAN_MARGIN_GUIDENCE",'Margin Guidence Table'!$A$1:$AC$1,0)),INDEX('Margin Guidence Table'!$A$1:$AC$10000,MATCH(1,('Margin Guidence Table'!$A$1:$A$10000=IC32)*('Margin Guidence Table'!$H$1:$H$10000&lt;=ROUND($HU$3,0))*('Margin Guidence Table'!$G$1:$G$10000&gt;=ROUND($HU$3,0)),0),MATCH("DEFAULT_CIA_MEDIAN_MARGIN_GUIDENCE",'Margin Guidence Table'!$A$1:$AC$1,0))),0)</f>
        <v>0</v>
      </c>
      <c r="IN32" s="129"/>
      <c r="IO32" s="18">
        <f t="array" ref="IO32">IFERROR(IF($JA32="SEGMENT",INDEX('Margin Guidence Table'!$A$1:$AC$10000,MATCH(1,('Margin Guidence Table'!$A$1:$A$10000=$IY32)*('Margin Guidence Table'!$H$1:$H$10000&lt;=ROUND($IQ$3,0))*('Margin Guidence Table'!$G$1:$G$10000&gt;=ROUND($IQ$3,0)),0),MATCH("PCT_SALES",'Margin Guidence Table'!$A$1:$AC$1,0)),INDEX('Margin Guidence Table'!$A$1:$AC$10000,MATCH(1,('Margin Guidence Table'!$A$1:$A$10000=$IY32)*('Margin Guidence Table'!$H$1:$H$10000&lt;=ROUND($IQ$3,0))*('Margin Guidence Table'!$G$1:$G$10000&gt;=ROUND($IQ$3,0)),0),MATCH("DEFAULT_PCT_SALES",'Margin Guidence Table'!$A$1:$AC$1,0))),0)</f>
        <v>0</v>
      </c>
      <c r="IP32" s="102" t="s">
        <v>86</v>
      </c>
      <c r="IQ32" s="94">
        <f>IFERROR(IF(AND($IQ$2&lt;&gt;"Enter Spend&gt;&gt;&gt;",IR2="EXISTING"),SUMIFS('Existing Customers'!$Q:$Q,'Existing Customers'!$A:$A,$IQ$1,'Existing Customers'!$H:$H,$IP32)*$IQ$4,$IQ$3*$IO32),0)</f>
        <v>0</v>
      </c>
      <c r="IR32" s="89">
        <f>IFERROR(IF(AND($IQ$2&lt;&gt;"Enter Spend&gt;&gt;&gt;",IR2="EXISTING"),SUMIFS('Existing Customers'!$N:$N,'Existing Customers'!$A:$A,$IQ$1,'Existing Customers'!$H:$H,$IP32)*$IQ$4,$IQ32/$JB32),0)</f>
        <v>0</v>
      </c>
      <c r="IS32" s="95">
        <f>IFERROR(IF(AND($IQ$2&lt;&gt;"Enter Spend&gt;&gt;&gt;",IR2="EXISTING"),SUMIFS('Existing Customers'!$O:$O,'Existing Customers'!$H:$H,$IP32,'Existing Customers'!$A:$A,$IQ$1)*$IQ$4,$IR32*$IQ$8),0)</f>
        <v>0</v>
      </c>
      <c r="IT32" s="95">
        <f>IFERROR(IF(AND($IQ$2&lt;&gt;"Enter Spend&gt;&gt;&gt;",IR2="EXISTING"),SUMIFS('Existing Customers'!$P:$P,'Existing Customers'!$A:$A,$IQ$1,'Existing Customers'!$H:$H,$IP32)*$IQ$4,$IQ32/$JC32),0)</f>
        <v>0</v>
      </c>
      <c r="IU32" s="402">
        <f>IFERROR(IF(AND($IQ$2&lt;&gt;"Enter Spend&gt;&gt;&gt;",IR2="EXISTING"),SUMIFS('Existing Customers'!$V:$V,'Existing Customers'!$H:$H,$IP32,'Existing Customers'!$A:$A,$IQ$1)*$IQ$4,0),0)</f>
        <v>0</v>
      </c>
      <c r="IV32" s="96">
        <f>IFERROR(IF(AND($IQ$2&lt;&gt;"Enter Spend&gt;&gt;&gt;",IR2="EXISTING"),SUMIFS('Existing Customers'!$R:$R,'Existing Customers'!$H:$H,$IP32,'Existing Customers'!$A:$A,$IQ$1)*$IQ$4,0),0)</f>
        <v>0</v>
      </c>
      <c r="IW32" s="1161">
        <f>IFERROR(IF(AND($IQ$2&lt;&gt;"Enter Spend&gt;&gt;&gt;",IR2="EXISTING"),SUMIFS('Existing Customers'!$S:$S,'Existing Customers'!$H:$H,$IP32,'Existing Customers'!$A:$A,$IQ$1),JG32*IQ32),0)</f>
        <v>0</v>
      </c>
      <c r="IX32" s="1161">
        <f>IFERROR(IF(AND($IQ$2&lt;&gt;"Enter Spend&gt;&gt;&gt;",IR2="EXISTING"),SUMIFS('Existing Customers'!$U:$U,'Existing Customers'!$H:$H,$IP32,'Existing Customers'!$A:$A,$IQ$1),JH32*IQ32),0)</f>
        <v>0</v>
      </c>
      <c r="IY32" s="1164" t="e">
        <f t="shared" si="42"/>
        <v>#N/A</v>
      </c>
      <c r="IZ32" s="1164">
        <f t="array" ref="IZ32">IFERROR(INDEX('Margin Guidence Table'!$A$1:$AD$30000,MATCH(1,('Margin Guidence Table'!$A$1:$A$10000=IY32)*('Margin Guidence Table'!$H$1:$H$10000&lt;=ROUND($IQ$3,0))*('Margin Guidence Table'!$G$1:$G$10000&gt;=ROUND($IQ$3,0)),0),MATCH("DATA_POINTS",'Margin Guidence Table'!$A$1:$AC$1,0)),0)</f>
        <v>0</v>
      </c>
      <c r="JA32" s="1161" t="str">
        <f t="shared" si="43"/>
        <v>DEFAULT</v>
      </c>
      <c r="JB32" s="1161">
        <f t="array" ref="JB32">IFERROR(IF($JA32="SEGMENT",INDEX('Margin Guidence Table'!$A$1:$AC$10000,MATCH(1,('Margin Guidence Table'!$A$1:$A$10000=IY32)*('Margin Guidence Table'!$H$1:$H$10000&lt;=ROUND($IQ$3,0))*('Margin Guidence Table'!$G$1:$G$10000&gt;=ROUND($IQ$3,0)),0),MATCH("SALES_CASE",'Margin Guidence Table'!$A$1:$AC$1,0)),INDEX('Margin Guidence Table'!$A$1:$AC$10000,MATCH(1,('Margin Guidence Table'!$A$1:$A$10000=IY32)*('Margin Guidence Table'!$H$1:$H$10000&lt;=ROUND($IQ$3,0))*('Margin Guidence Table'!$G$1:$G$10000&gt;=ROUND($IQ$3,0)),0),MATCH("DEFAULT_SALES_CASE",'Margin Guidence Table'!$A$1:$AC$1,0))),0)</f>
        <v>0</v>
      </c>
      <c r="JC32" s="1161">
        <f t="array" ref="JC32">IFERROR(IF($JA32="SEGMENT",INDEX('Margin Guidence Table'!$A$1:$AC$10000,MATCH(1,('Margin Guidence Table'!$A$1:$A$10000=IY32)*('Margin Guidence Table'!$H$1:$H$10000&lt;=ROUND($IQ$3,0))*('Margin Guidence Table'!$G$1:$G$10000&gt;=ROUND($IQ$3,0)),0),MATCH("SALES_LBS",'Margin Guidence Table'!$A$1:$AC$1,0)),INDEX('Margin Guidence Table'!$A$1:$AC$10000,MATCH(1,('Margin Guidence Table'!$A$1:$A$10000=IY32)*('Margin Guidence Table'!$H$1:$H$10000&lt;=ROUND($IQ$3,0))*('Margin Guidence Table'!$G$1:$G$10000&gt;=ROUND($IQ$3,0)),0),MATCH("DEFAULT_SALES_LBS",'Margin Guidence Table'!$A$1:$AC$1,0))),0)</f>
        <v>0</v>
      </c>
      <c r="JD32" s="1165">
        <f t="array" ref="JD32">IFERROR(IF($JA32="SEGMENT",INDEX('Margin Guidence Table'!$A$1:$AC$10000,MATCH(1,('Margin Guidence Table'!$A$1:$A$10000=IY32)*('Margin Guidence Table'!$H$1:$H$10000&lt;=ROUND($IQ$3,0))*('Margin Guidence Table'!$G$1:$G$10000&gt;=ROUND($IQ$3,0)),0),MATCH("MDA_MIN_MARGIN_GUIDENCE",'Margin Guidence Table'!$A$1:$AC$1,0)),INDEX('Margin Guidence Table'!$A$1:$AC$10000,MATCH(1,('Margin Guidence Table'!$A$1:$A$10000=IY32)*('Margin Guidence Table'!$H$1:$H$10000&lt;=ROUND($IQ$3,0))*('Margin Guidence Table'!$G$1:$G$10000&gt;=ROUND($IQ$3,0)),0),MATCH("DEFAULT_MDA_MIN_MARGIN_GUIDENCE",'Margin Guidence Table'!$A$1:$AC$1,0))),0)</f>
        <v>0</v>
      </c>
      <c r="JE32" s="1165">
        <f t="array" ref="JE32">IFERROR(IF($JA32="SEGMENT",INDEX('Margin Guidence Table'!$A$1:$AC$10000,MATCH(1,('Margin Guidence Table'!$A$1:$A$10000=IY32)*('Margin Guidence Table'!$H$1:$H$10000&lt;=ROUND($IQ$3,0))*('Margin Guidence Table'!$G$1:$G$10000&gt;=ROUND($IQ$3,0)),0),MATCH("MDA_MEDIAN_MARGIN_GUIDENCE",'Margin Guidence Table'!$A$1:$AC$1,0)),INDEX('Margin Guidence Table'!$A$1:$AC$10000,MATCH(1,('Margin Guidence Table'!$A$1:$A$10000=IY32)*('Margin Guidence Table'!$H$1:$H$10000&lt;=ROUND($IQ$3,0))*('Margin Guidence Table'!$G$1:$G$10000&gt;=ROUND($IQ$3,0)),0),MATCH("DEFAULT_MDA_MEDIAN_MARGIN_GUIDENCE",'Margin Guidence Table'!$A$1:$AC$1,0))),0)</f>
        <v>0</v>
      </c>
      <c r="JF32" s="1165">
        <f t="array" ref="JF32">IFERROR(IF($JA32="SEGMENT",INDEX('Margin Guidence Table'!$A$1:$AC$10000,MATCH(1,('Margin Guidence Table'!$A$1:$A$10000=IY32)*('Margin Guidence Table'!$H$1:$H$10000&lt;=ROUND($IQ$3,0))*('Margin Guidence Table'!$G$1:$G$10000&gt;=ROUND($IQ$3,0)),0),MATCH("MDA_MAX_MARGIN_GUIDENCE",'Margin Guidence Table'!$A$1:$AC$1,0)),INDEX('Margin Guidence Table'!$A$1:$AC$10000,MATCH(1,('Margin Guidence Table'!$A$1:$A$10000=IY32)*('Margin Guidence Table'!$H$1:$H$10000&lt;=ROUND($IQ$3,0))*('Margin Guidence Table'!$G$1:$G$10000&gt;=ROUND($IQ$3,0)),0),MATCH("DEFAULT_MDA_MAX_MARGIN_GUIDENCE",'Margin Guidence Table'!$A$1:$AC$1,0))),0)</f>
        <v>0</v>
      </c>
      <c r="JG32" s="1165">
        <f t="array" ref="JG32">IFERROR(IF($JA32="SEGMENT",INDEX('Margin Guidence Table'!$A$1:$AC$10000,MATCH(1,('Margin Guidence Table'!$A$1:$A$10000=IY32)*('Margin Guidence Table'!$H$1:$H$10000&lt;=ROUND($IQ$3,0))*('Margin Guidence Table'!$G$1:$G$10000&gt;=ROUND($IQ$3,0)),0),MATCH("PA_PCT_SALES",'Margin Guidence Table'!$A$1:$AC$1,0)),INDEX('Margin Guidence Table'!$A$1:$AC$10000,MATCH(1,('Margin Guidence Table'!$A$1:$A$10000=IY32)*('Margin Guidence Table'!$H$1:$H$10000&lt;=ROUND($IQ$3,0))*('Margin Guidence Table'!$G$1:$G$10000&gt;=ROUND($IQ$3,0)),0),MATCH("DEFAULT_PA_PCT_SALES",'Margin Guidence Table'!$A$1:$AC$1,0))),0)</f>
        <v>0</v>
      </c>
      <c r="JH32" s="1165">
        <f t="array" ref="JH32">IFERROR(IF($JA32="SEGMENT",INDEX('Margin Guidence Table'!$A$1:$AC$10000,MATCH(1,('Margin Guidence Table'!$A$1:$A$10000=IY32)*('Margin Guidence Table'!$H$1:$H$10000&lt;=ROUND($IQ$3,0))*('Margin Guidence Table'!$G$1:$G$10000&gt;=ROUND($IQ$3,0)),0),MATCH("SELF_FUND_PCT_SALES",'Margin Guidence Table'!$A$1:$AC$1,0)),INDEX('Margin Guidence Table'!$A$1:$AC$10000,MATCH(1,('Margin Guidence Table'!$A$1:$A$10000=IY32)*('Margin Guidence Table'!$H$1:$H$10000&lt;=ROUND($IQ$3,0))*('Margin Guidence Table'!$G$1:$G$10000&gt;=ROUND($IQ$3,0)),0),MATCH("DEFAULT_SELF_FUND_PCT_SALES",'Margin Guidence Table'!$A$1:$AC$1,0))),0)</f>
        <v>0</v>
      </c>
      <c r="JI32" s="1165">
        <f t="array" ref="JI32">IFERROR(IF($JA32="SEGMENT",INDEX('Margin Guidence Table'!$A$1:$AC$10000,MATCH(1,('Margin Guidence Table'!$A$1:$A$10000=IY32)*('Margin Guidence Table'!$H$1:$H$10000&lt;=ROUND($IQ$3,0))*('Margin Guidence Table'!$G$1:$G$10000&gt;=ROUND($IQ$3,0)),0),MATCH("CIA_MEDIAN_MARGIN_GUIDENCE",'Margin Guidence Table'!$A$1:$AC$1,0)),INDEX('Margin Guidence Table'!$A$1:$AC$10000,MATCH(1,('Margin Guidence Table'!$A$1:$A$10000=IY32)*('Margin Guidence Table'!$H$1:$H$10000&lt;=ROUND($IQ$3,0))*('Margin Guidence Table'!$G$1:$G$10000&gt;=ROUND($IQ$3,0)),0),MATCH("DEFAULT_CIA_MEDIAN_MARGIN_GUIDENCE",'Margin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44"/>
        <v>#DIV/0!</v>
      </c>
      <c r="AV33" s="400"/>
      <c r="AW33" s="400"/>
      <c r="AX33" s="108">
        <v>22</v>
      </c>
      <c r="AY33" s="18">
        <f t="array" ref="AY33">IFERROR(IF($BK33="SEGMENT",INDEX('Margin Guidence Table'!$A$1:$AC$10000,MATCH(1,('Margin Guidence Table'!$A$1:$A$10000=$BI33)*('Margin Guidence Table'!$H$1:$H$10000&lt;=ROUND($BA$3,0))*('Margin Guidence Table'!$G$1:$G$10000&gt;=ROUND($BA$3,0)),0),MATCH("PCT_SALES",'Margin Guidence Table'!$A$1:$AC$1,0)),INDEX('Margin Guidence Table'!$A$1:$AC$10000,MATCH(1,('Margin Guidence Table'!$A$1:$A$10000=$BI33)*('Margin Guidence Table'!$H$1:$H$10000&lt;=ROUND($BA$3,0))*('Margin Guidence Table'!$G$1:$G$10000&gt;=ROUND($BA$3,0)),0),MATCH("DEFAULT_PCT_SALES",'Margin Guidence Table'!$A$1:$AC$1,0))),0)</f>
        <v>0</v>
      </c>
      <c r="AZ33" s="102" t="s">
        <v>88</v>
      </c>
      <c r="BA33" s="94">
        <f>IFERROR(IF(AND($BA$2&lt;&gt;"Enter Spend&gt;&gt;&gt;",BB2="EXISTING"),SUMIFS('Existing Customers'!$Q:$Q,'Existing Customers'!$A:$A,$BA$1,'Existing Customers'!$H:$H,$AZ33)*$BA$4,$BA$3*$AY33),0)</f>
        <v>0</v>
      </c>
      <c r="BB33" s="95">
        <f>IFERROR(IF(AND($BA$2&lt;&gt;"Enter Spend&gt;&gt;&gt;",BB2="EXISTING"),SUMIFS('Existing Customers'!$N:$N,'Existing Customers'!$A:$A,$BA$1,'Existing Customers'!$H:$H,$AZ33)*$BA$4,$BA33/$BL33),0)</f>
        <v>0</v>
      </c>
      <c r="BC33" s="95">
        <f>IFERROR(IF(AND($BA$2&lt;&gt;"Enter Spend&gt;&gt;&gt;",BB2="EXISTING"),SUMIFS('Existing Customers'!$O:$O,'Existing Customers'!$H:$H,$AZ33,'Existing Customers'!$A:$A,$BA$1)*$BA$4,$BB33*$BA$8),0)</f>
        <v>0</v>
      </c>
      <c r="BD33" s="95">
        <f>IFERROR(IF(AND($BA$2&lt;&gt;"Enter Spend&gt;&gt;&gt;",BB2="EXISTING"),SUMIFS('Existing Customers'!$P:$P,'Existing Customers'!$A:$A,$BA$1,'Existing Customers'!$H:$H,$AZ33)*$BA$4,$BA33/$BM33),0)</f>
        <v>0</v>
      </c>
      <c r="BE33" s="402">
        <f>IFERROR(IF(AND($BA$2&lt;&gt;"Enter Spend&gt;&gt;&gt;",BB2="EXISTING"),SUMIFS('Existing Customers'!$V:$V,'Existing Customers'!$H:$H,$AZ33,'Existing Customers'!$A:$A,$BA$1)*$BA$4,0),0)</f>
        <v>0</v>
      </c>
      <c r="BF33" s="96">
        <f>IFERROR(IF(AND($BA$2&lt;&gt;"Enter Spend&gt;&gt;&gt;",BB2="EXISTING"),SUMIFS('Existing Customers'!$R:$R,'Existing Customers'!$H:$H,$AZ33,'Existing Customers'!$A:$A,$BA$1)*$BA$4,0),0)</f>
        <v>0</v>
      </c>
      <c r="BG33" s="96">
        <f>IFERROR(IF(AND($BA$2&lt;&gt;"Enter Spend&gt;&gt;&gt;",BB2="EXISTING"),SUMIFS('Existing Customers'!$S:$S,'Existing Customers'!$H:$H,$AZ33,'Existing Customers'!$A:$A,$BA$1),BQ33*BA33),0)</f>
        <v>0</v>
      </c>
      <c r="BH33" s="96">
        <f>IFERROR(IF(AND($BA$2&lt;&gt;"Enter Spend&gt;&gt;&gt;",BB2="EXISTING"),SUMIFS('Existing Customers'!$U:$U,'Existing Customers'!$H:$H,$AZ33,'Existing Customers'!$A:$A,$BA$1),BR33*BA33),0)</f>
        <v>0</v>
      </c>
      <c r="BI33" s="1163" t="e">
        <f t="shared" si="24"/>
        <v>#N/A</v>
      </c>
      <c r="BJ33" s="1164">
        <f t="array" ref="BJ33">IFERROR(INDEX('Margin Guidence Table'!$A$1:$AD$30000,MATCH(1,('Margin Guidence Table'!$A$1:$A$10000=$BI33)*('Margin Guidence Table'!$H$1:$H$10000&lt;=ROUND($BA$3,0))*('Margin Guidence Table'!$G$1:$G$10000&gt;=ROUND($BA$3,0)),0),MATCH("DATA_POINTS",'Margin Guidence Table'!$A$1:$AC$1,0)),0)</f>
        <v>0</v>
      </c>
      <c r="BK33" s="1161" t="str">
        <f t="shared" si="25"/>
        <v>DEFAULT</v>
      </c>
      <c r="BL33" s="1161">
        <f t="array" ref="BL33">IFERROR(IF($BK33="SEGMENT",INDEX('Margin Guidence Table'!$A$1:$AC$10000,MATCH(1,('Margin Guidence Table'!$A$1:$A$10000=$BI33)*('Margin Guidence Table'!$H$1:$H$10000&lt;=ROUND($BA$3,0))*('Margin Guidence Table'!$G$1:$G$10000&gt;=ROUND($BA$3,0)),0),MATCH("SALES_CASE",'Margin Guidence Table'!$A$1:$AC$1,0)),INDEX('Margin Guidence Table'!$A$1:$AC$10000,MATCH(1,('Margin Guidence Table'!$A$1:$A$10000=$BI33)*('Margin Guidence Table'!$H$1:$H$10000&lt;=ROUND($BA$3,0))*('Margin Guidence Table'!$G$1:$G$10000&gt;=ROUND($BA$3,0)),0),MATCH("DEFAULT_SALES_CASE",'Margin Guidence Table'!$A$1:$AC$1,0))),0)</f>
        <v>0</v>
      </c>
      <c r="BM33" s="1161">
        <f t="array" ref="BM33">IFERROR(IF($BK33="SEGMENT",INDEX('Margin Guidence Table'!$A$1:$AC$10000,MATCH(1,('Margin Guidence Table'!$A$1:$A$10000=$BI33)*('Margin Guidence Table'!$H$1:$H$10000&lt;=ROUND($BA$3,0))*('Margin Guidence Table'!$G$1:$G$10000&gt;=ROUND($BA$3,0)),0),MATCH("SALES_LBS",'Margin Guidence Table'!$A$1:$AC$1,0)),INDEX('Margin Guidence Table'!$A$1:$AC$10000,MATCH(1,('Margin Guidence Table'!$A$1:$A$10000=$BI33)*('Margin Guidence Table'!$H$1:$H$10000&lt;=ROUND($BA$3,0))*('Margin Guidence Table'!$G$1:$G$10000&gt;=ROUND($BA$3,0)),0),MATCH("DEFAULT_SALES_LBS",'Margin Guidence Table'!$A$1:$AC$1,0))),0)</f>
        <v>0</v>
      </c>
      <c r="BN33" s="1165">
        <f t="array" ref="BN33">IFERROR(IF($BK33="SEGMENT",INDEX('Margin Guidence Table'!$A$1:$AC$10000,MATCH(1,('Margin Guidence Table'!$A$1:$A$10000=$BI33)*('Margin Guidence Table'!$H$1:$H$10000&lt;=ROUND($BA$3,0))*('Margin Guidence Table'!$G$1:$G$10000&gt;=ROUND($BA$3,0)),0),MATCH("MDA_MIN_MARGIN_GUIDENCE",'Margin Guidence Table'!$A$1:$AC$1,0)),INDEX('Margin Guidence Table'!$A$1:$AC$10000,MATCH(1,('Margin Guidence Table'!$A$1:$A$10000=$BI33)*('Margin Guidence Table'!$H$1:$H$10000&lt;=ROUND($BA$3,0))*('Margin Guidence Table'!$G$1:$G$10000&gt;=ROUND($BA$3,0)),0),MATCH("DEFAULT_MDA_MIN_MARGIN_GUIDENCE",'Margin Guidence Table'!$A$1:$AC$1,0))),0)</f>
        <v>0</v>
      </c>
      <c r="BO33" s="1165">
        <f t="array" ref="BO33">IFERROR(IF($BK33="SEGMENT",INDEX('Margin Guidence Table'!$A$1:$AC$10000,MATCH(1,('Margin Guidence Table'!$A$1:$A$10000=$BI33)*('Margin Guidence Table'!$H$1:$H$10000&lt;=ROUND($BA$3,0))*('Margin Guidence Table'!$G$1:$G$10000&gt;=ROUND($BA$3,0)),0),MATCH("MDA_MEDIAN_MARGIN_GUIDENCE",'Margin Guidence Table'!$A$1:$AC$1,0)),INDEX('Margin Guidence Table'!$A$1:$AC$10000,MATCH(1,('Margin Guidence Table'!$A$1:$A$10000=$BI33)*('Margin Guidence Table'!$H$1:$H$10000&lt;=ROUND($BA$3,0))*('Margin Guidence Table'!$G$1:$G$10000&gt;=ROUND($BA$3,0)),0),MATCH("DEFAULT_MDA_MEDIAN_MARGIN_GUIDENCE",'Margin Guidence Table'!$A$1:$AC$1,0))),0)</f>
        <v>0</v>
      </c>
      <c r="BP33" s="1165">
        <f t="array" ref="BP33">IFERROR(IF($BK33="SEGMENT",INDEX('Margin Guidence Table'!$A$1:$AC$10000,MATCH(1,('Margin Guidence Table'!$A$1:$A$10000=$BI33)*('Margin Guidence Table'!$H$1:$H$10000&lt;=ROUND($BA$3,0))*('Margin Guidence Table'!$G$1:$G$10000&gt;=ROUND($BA$3,0)),0),MATCH("MDA_MAX_MARGIN_GUIDENCE",'Margin Guidence Table'!$A$1:$AC$1,0)),INDEX('Margin Guidence Table'!$A$1:$AC$10000,MATCH(1,('Margin Guidence Table'!$A$1:$A$10000=$BI33)*('Margin Guidence Table'!$H$1:$H$10000&lt;=ROUND($BA$3,0))*('Margin Guidence Table'!$G$1:$G$10000&gt;=ROUND($BA$3,0)),0),MATCH("DEFAULT_MDA_MAX_MARGIN_GUIDENCE",'Margin Guidence Table'!$A$1:$AC$1,0))),0)</f>
        <v>0</v>
      </c>
      <c r="BQ33" s="1165">
        <f t="array" ref="BQ33">IFERROR(IF($BK33="SEGMENT",INDEX('Margin Guidence Table'!$A$1:$AC$10000,MATCH(1,('Margin Guidence Table'!$A$1:$A$10000=$BI33)*('Margin Guidence Table'!$H$1:$H$10000&lt;=ROUND($BA$3,0))*('Margin Guidence Table'!$G$1:$G$10000&gt;=ROUND($BA$3,0)),0),MATCH("PA_PCT_SALES",'Margin Guidence Table'!$A$1:$AC$1,0)),INDEX('Margin Guidence Table'!$A$1:$AC$10000,MATCH(1,('Margin Guidence Table'!$A$1:$A$10000=$BI33)*('Margin Guidence Table'!$H$1:$H$10000&lt;=ROUND($BA$3,0))*('Margin Guidence Table'!$G$1:$G$10000&gt;=ROUND($BA$3,0)),0),MATCH("DEFAULT_PA_PCT_SALES",'Margin Guidence Table'!$A$1:$AC$1,0))),0)</f>
        <v>0</v>
      </c>
      <c r="BR33" s="1165">
        <f t="array" ref="BR33">IFERROR(IF($BK33="SEGMENT",INDEX('Margin Guidence Table'!$A$1:$AC$10000,MATCH(1,('Margin Guidence Table'!$A$1:$A$10000=$BI33)*('Margin Guidence Table'!$H$1:$H$10000&lt;=ROUND($BA$3,0))*('Margin Guidence Table'!$G$1:$G$10000&gt;=ROUND($BA$3,0)),0),MATCH("SELF_FUND_PCT_SALES",'Margin Guidence Table'!$A$1:$AC$1,0)),INDEX('Margin Guidence Table'!$A$1:$AC$10000,MATCH(1,('Margin Guidence Table'!$A$1:$A$10000=$BI33)*('Margin Guidence Table'!$H$1:$H$10000&lt;=ROUND($BA$3,0))*('Margin Guidence Table'!$G$1:$G$10000&gt;=ROUND($BA$3,0)),0),MATCH("DEFAULT_SELF_FUND_PCT_SALES",'Margin Guidence Table'!$A$1:$AC$1,0))),0)</f>
        <v>0</v>
      </c>
      <c r="BS33" s="1165">
        <f t="array" ref="BS33">IFERROR(IF($BK33="SEGMENT",INDEX('Margin Guidence Table'!$A$1:$AC$10000,MATCH(1,('Margin Guidence Table'!$A$1:$A$10000=$BI33)*('Margin Guidence Table'!$H$1:$H$10000&lt;=ROUND($BA$3,0))*('Margin Guidence Table'!$G$1:$G$10000&gt;=ROUND($BA$3,0)),0),MATCH("CIA_MEDIAN_MARGIN_GUIDENCE",'Margin Guidence Table'!$A$1:$AC$1,0)),INDEX('Margin Guidence Table'!$A$1:$AC$10000,MATCH(1,('Margin Guidence Table'!$A$1:$A$10000=$BI33)*('Margin Guidence Table'!$H$1:$H$10000&lt;=ROUND($BA$3,0))*('Margin Guidence Table'!$G$1:$G$10000&gt;=ROUND($BA$3,0)),0),MATCH("DEFAULT_CIA_MEDIAN_MARGIN_GUIDENCE",'Margin Guidence Table'!$A$1:$AC$1,0))),0)</f>
        <v>0</v>
      </c>
      <c r="BT33" s="129"/>
      <c r="BU33" s="18">
        <f t="array" ref="BU33">IFERROR(IF($CG33="SEGMENT",INDEX('Margin Guidence Table'!$A$1:$AC$10000,MATCH(1,('Margin Guidence Table'!$A$1:$A$10000=$CE33)*('Margin Guidence Table'!$H$1:$H$10000&lt;=ROUND($BW$3,0))*('Margin Guidence Table'!$G$1:$G$10000&gt;=ROUND($BW$3,0)),0),MATCH("PCT_SALES",'Margin Guidence Table'!$A$1:$AC$1,0)),INDEX('Margin Guidence Table'!$A$1:$AC$10000,MATCH(1,('Margin Guidence Table'!$A$1:$A$10000=$CE33)*('Margin Guidence Table'!$H$1:$H$10000&lt;=ROUND($BW$3,0))*('Margin Guidence Table'!$G$1:$G$10000&gt;=ROUND($BW$3,0)),0),MATCH("DEFAULT_PCT_SALES",'Margin Guidence Table'!$A$1:$AC$1,0))),0)</f>
        <v>0</v>
      </c>
      <c r="BV33" s="102" t="s">
        <v>88</v>
      </c>
      <c r="BW33" s="94">
        <f>IFERROR(IF(AND($BW$2&lt;&gt;"Enter Spend&gt;&gt;&gt;",BX2="EXISTING"),SUMIFS('Existing Customers'!$Q:$Q,'Existing Customers'!$A:$A,$BW$1,'Existing Customers'!$H:$H,$BV33)*$BW$4,$BW$3*$BU33),0)</f>
        <v>0</v>
      </c>
      <c r="BX33" s="89">
        <f>IFERROR(IF(AND($BW$2&lt;&gt;"Enter Spend&gt;&gt;&gt;",BX2="EXISTING"),SUMIFS('Existing Customers'!$N:$N,'Existing Customers'!$A:$A,$BW$1,'Existing Customers'!$H:$H,$BV33)*$BW$4,$BW33/$CH33),0)</f>
        <v>0</v>
      </c>
      <c r="BY33" s="95">
        <f>IFERROR(IF(AND($BW$2&lt;&gt;"Enter Spend&gt;&gt;&gt;",BX2="EXISTING"),SUMIFS('Existing Customers'!$O:$O,'Existing Customers'!$H:$H,$BV33,'Existing Customers'!$A:$A,$BW$1)*$BW$4,$BX33*$BW$8),0)</f>
        <v>0</v>
      </c>
      <c r="BZ33" s="95">
        <f>IFERROR(IF(AND($BW$2&lt;&gt;"Enter Spend&gt;&gt;&gt;",BX2="EXISTING"),SUMIFS('Existing Customers'!$P:$P,'Existing Customers'!$A:$A,$BW$1,'Existing Customers'!$H:$H,$BV33)*$BW$4,$BW33/$CI33),0)</f>
        <v>0</v>
      </c>
      <c r="CA33" s="96">
        <f>IFERROR(IF(AND($BW$2&lt;&gt;"Enter Spend&gt;&gt;&gt;",BX2="EXISTING"),SUMIFS('Existing Customers'!$V:$V,'Existing Customers'!$H:$H,$BV33,'Existing Customers'!$A:$A,$BW$1)*$BW$4,0),0)</f>
        <v>0</v>
      </c>
      <c r="CB33" s="96">
        <f>IFERROR(IF(AND($BW$2&lt;&gt;"Enter Spend&gt;&gt;&gt;",BX2="EXISTING"),SUMIFS('Existing Customers'!$R:$R,'Existing Customers'!$H:$H,$BV33,'Existing Customers'!$A:$A,$BW$1)*$BW$4,0),0)</f>
        <v>0</v>
      </c>
      <c r="CC33" s="1161">
        <f>IFERROR(IF(AND($BW$2&lt;&gt;"Enter Spend&gt;&gt;&gt;",BX2="EXISTING"),SUMIFS('Existing Customers'!$S:$S,'Existing Customers'!$H:$H,$BV33,'Existing Customers'!$A:$A,$BW$1),CM33*BW33),0)</f>
        <v>0</v>
      </c>
      <c r="CD33" s="1161">
        <f>IFERROR(IF(AND($BW$2&lt;&gt;"Enter Spend&gt;&gt;&gt;",BX2="EXISTING"),SUMIFS('Existing Customers'!$U:$U,'Existing Customers'!$H:$H,$BV33,'Existing Customers'!$A:$A,$BW$1),CN33*BW33),0)</f>
        <v>0</v>
      </c>
      <c r="CE33" s="1164" t="e">
        <f t="shared" si="26"/>
        <v>#N/A</v>
      </c>
      <c r="CF33" s="1164">
        <f t="array" ref="CF33">IFERROR(INDEX('Margin Guidence Table'!$A$1:$AD$30000,MATCH(1,('Margin Guidence Table'!$A$1:$A$10000=$CE33)*('Margin Guidence Table'!$H$1:$H$10000&lt;=ROUND($BW$3,0))*('Margin Guidence Table'!$G$1:$G$10000&gt;=ROUND($BW$3,0)),0),MATCH("DATA_POINTS",'Margin Guidence Table'!$A$1:$AC$1,0)),0)</f>
        <v>0</v>
      </c>
      <c r="CG33" s="1161" t="str">
        <f t="shared" si="27"/>
        <v>DEFAULT</v>
      </c>
      <c r="CH33" s="1161">
        <f t="array" ref="CH33">IFERROR(IF($CG33="SEGMENT",INDEX('Margin Guidence Table'!$A$1:$AC$10000,MATCH(1,('Margin Guidence Table'!$A$1:$A$10000=$CE33)*('Margin Guidence Table'!$H$1:$H$10000&lt;=ROUND($BW$3,0))*('Margin Guidence Table'!$G$1:$G$10000&gt;=ROUND($BW$3,0)),0),MATCH("SALES_CASE",'Margin Guidence Table'!$A$1:$AC$1,0)),INDEX('Margin Guidence Table'!$A$1:$AC$10000,MATCH(1,('Margin Guidence Table'!$A$1:$A$10000=$CE33)*('Margin Guidence Table'!$H$1:$H$10000&lt;=ROUND($BW$3,0))*('Margin Guidence Table'!$G$1:$G$10000&gt;=ROUND($BW$3,0)),0),MATCH("DEFAULT_SALES_CASE",'Margin Guidence Table'!$A$1:$AC$1,0))),0)</f>
        <v>0</v>
      </c>
      <c r="CI33" s="1161">
        <f t="array" ref="CI33">IFERROR(IF($CG33="SEGMENT",INDEX('Margin Guidence Table'!$A$1:$AC$10000,MATCH(1,('Margin Guidence Table'!$A$1:$A$10000=$CE33)*('Margin Guidence Table'!$H$1:$H$10000&lt;=ROUND($BW$3,0))*('Margin Guidence Table'!$G$1:$G$10000&gt;=ROUND($BW$3,0)),0),MATCH("SALES_LBS",'Margin Guidence Table'!$A$1:$AC$1,0)),INDEX('Margin Guidence Table'!$A$1:$AC$10000,MATCH(1,('Margin Guidence Table'!$A$1:$A$10000=$CE33)*('Margin Guidence Table'!$H$1:$H$10000&lt;=ROUND($BW$3,0))*('Margin Guidence Table'!$G$1:$G$10000&gt;=ROUND($BW$3,0)),0),MATCH("DEFAULT_SALES_LBS",'Margin Guidence Table'!$A$1:$AC$1,0))),0)</f>
        <v>0</v>
      </c>
      <c r="CJ33" s="1165">
        <f t="array" ref="CJ33">IFERROR(IF($CG33="SEGMENT",INDEX('Margin Guidence Table'!$A$1:$AC$10000,MATCH(1,('Margin Guidence Table'!$A$1:$A$10000=$CE33)*('Margin Guidence Table'!$H$1:$H$10000&lt;=ROUND($BW$3,0))*('Margin Guidence Table'!$G$1:$G$10000&gt;=ROUND($BW$3,0)),0),MATCH("MDA_MIN_MARGIN_GUIDENCE",'Margin Guidence Table'!$A$1:$AC$1,0)),INDEX('Margin Guidence Table'!$A$1:$AC$10000,MATCH(1,('Margin Guidence Table'!$A$1:$A$10000=$CE33)*('Margin Guidence Table'!$H$1:$H$10000&lt;=ROUND($BW$3,0))*('Margin Guidence Table'!$G$1:$G$10000&gt;=ROUND($BW$3,0)),0),MATCH("DEFAULT_MDA_MIN_MARGIN_GUIDENCE",'Margin Guidence Table'!$A$1:$AC$1,0))),0)</f>
        <v>0</v>
      </c>
      <c r="CK33" s="1165">
        <f t="array" ref="CK33">IFERROR(IF($CG33="SEGMENT",INDEX('Margin Guidence Table'!$A$1:$AC$10000,MATCH(1,('Margin Guidence Table'!$A$1:$A$10000=$CE33)*('Margin Guidence Table'!$H$1:$H$10000&lt;=ROUND($BW$3,0))*('Margin Guidence Table'!$G$1:$G$10000&gt;=ROUND($BW$3,0)),0),MATCH("MDA_MEDIAN_MARGIN_GUIDENCE",'Margin Guidence Table'!$A$1:$AC$1,0)),INDEX('Margin Guidence Table'!$A$1:$AC$10000,MATCH(1,('Margin Guidence Table'!$A$1:$A$10000=$CE33)*('Margin Guidence Table'!$H$1:$H$10000&lt;=ROUND($BW$3,0))*('Margin Guidence Table'!$G$1:$G$10000&gt;=ROUND($BW$3,0)),0),MATCH("DEFAULT_MDA_MEDIAN_MARGIN_GUIDENCE",'Margin Guidence Table'!$A$1:$AC$1,0))),0)</f>
        <v>0</v>
      </c>
      <c r="CL33" s="1165">
        <f t="array" ref="CL33">IFERROR(IF($CG33="SEGMENT",INDEX('Margin Guidence Table'!$A$1:$AC$10000,MATCH(1,('Margin Guidence Table'!$A$1:$A$10000=$CE33)*('Margin Guidence Table'!$H$1:$H$10000&lt;=ROUND($BW$3,0))*('Margin Guidence Table'!$G$1:$G$10000&gt;=ROUND($BW$3,0)),0),MATCH("MDA_MAX_MARGIN_GUIDENCE",'Margin Guidence Table'!$A$1:$AC$1,0)),INDEX('Margin Guidence Table'!$A$1:$AC$10000,MATCH(1,('Margin Guidence Table'!$A$1:$A$10000=$CE33)*('Margin Guidence Table'!$H$1:$H$10000&lt;=ROUND($BW$3,0))*('Margin Guidence Table'!$G$1:$G$10000&gt;=ROUND($BW$3,0)),0),MATCH("DEFAULT_MDA_MAX_MARGIN_GUIDENCE",'Margin Guidence Table'!$A$1:$AC$1,0))),0)</f>
        <v>0</v>
      </c>
      <c r="CM33" s="1165">
        <f t="array" ref="CM33">IFERROR(IF($CG33="SEGMENT",INDEX('Margin Guidence Table'!$A$1:$AC$10000,MATCH(1,('Margin Guidence Table'!$A$1:$A$10000=$CE33)*('Margin Guidence Table'!$H$1:$H$10000&lt;=ROUND($BW$3,0))*('Margin Guidence Table'!$G$1:$G$10000&gt;=ROUND($BW$3,0)),0),MATCH("PA_PCT_SALES",'Margin Guidence Table'!$A$1:$AC$1,0)),INDEX('Margin Guidence Table'!$A$1:$AC$10000,MATCH(1,('Margin Guidence Table'!$A$1:$A$10000=$CE33)*('Margin Guidence Table'!$H$1:$H$10000&lt;=ROUND($BW$3,0))*('Margin Guidence Table'!$G$1:$G$10000&gt;=ROUND($BW$3,0)),0),MATCH("DEFAULT_PA_PCT_SALES",'Margin Guidence Table'!$A$1:$AC$1,0))),0)</f>
        <v>0</v>
      </c>
      <c r="CN33" s="1165">
        <f t="array" ref="CN33">IFERROR(IF($CG33="SEGMENT",INDEX('Margin Guidence Table'!$A$1:$AC$10000,MATCH(1,('Margin Guidence Table'!$A$1:$A$10000=$CE33)*('Margin Guidence Table'!$H$1:$H$10000&lt;=ROUND($BW$3,0))*('Margin Guidence Table'!$G$1:$G$10000&gt;=ROUND($BW$3,0)),0),MATCH("SELF_FUND_PCT_SALES",'Margin Guidence Table'!$A$1:$AC$1,0)),INDEX('Margin Guidence Table'!$A$1:$AC$10000,MATCH(1,('Margin Guidence Table'!$A$1:$A$10000=$CE33)*('Margin Guidence Table'!$H$1:$H$10000&lt;=ROUND($BW$3,0))*('Margin Guidence Table'!$G$1:$G$10000&gt;=ROUND($BW$3,0)),0),MATCH("DEFAULT_SELF_FUND_PCT_SALES",'Margin Guidence Table'!$A$1:$AC$1,0))),0)</f>
        <v>0</v>
      </c>
      <c r="CO33" s="1165">
        <f t="array" ref="CO33">IFERROR(IF($CG33="SEGMENT",INDEX('Margin Guidence Table'!$A$1:$AC$10000,MATCH(1,('Margin Guidence Table'!$A$1:$A$10000=$CE33)*('Margin Guidence Table'!$H$1:$H$10000&lt;=ROUND($BW$3,0))*('Margin Guidence Table'!$G$1:$G$10000&gt;=ROUND($BW$3,0)),0),MATCH("CIA_MEDIAN_MARGIN_GUIDENCE",'Margin Guidence Table'!$A$1:$AC$1,0)),INDEX('Margin Guidence Table'!$A$1:$AC$10000,MATCH(1,('Margin Guidence Table'!$A$1:$A$10000=$CE33)*('Margin Guidence Table'!$H$1:$H$10000&lt;=ROUND($BW$3,0))*('Margin Guidence Table'!$G$1:$G$10000&gt;=ROUND($BW$3,0)),0),MATCH("DEFAULT_CIA_MEDIAN_MARGIN_GUIDENCE",'Margin Guidence Table'!$A$1:$AC$1,0))),0)</f>
        <v>0</v>
      </c>
      <c r="CP33" s="129"/>
      <c r="CQ33" s="18">
        <f t="array" ref="CQ33">IFERROR(IF($DC33="SEGMENT",INDEX('Margin Guidence Table'!$A$1:$AC$10000,MATCH(1,('Margin Guidence Table'!$A$1:$A$10000=$DA33)*('Margin Guidence Table'!$H$1:$H$10000&lt;=ROUND($CS$3,0))*('Margin Guidence Table'!$G$1:$G$10000&gt;=ROUND($CS$3,0)),0),MATCH("PCT_SALES",'Margin Guidence Table'!$A$1:$AC$1,0)),INDEX('Margin Guidence Table'!$A$1:$AC$10000,MATCH(1,('Margin Guidence Table'!$A$1:$A$10000=$DA33)*('Margin Guidence Table'!$H$1:$H$10000&lt;=ROUND($CS$3,0))*('Margin Guidence Table'!$G$1:$G$10000&gt;=ROUND($CS$3,0)),0),MATCH("DEFAULT_PCT_SALES",'Margin Guidence Table'!$A$1:$AC$1,0))),0)</f>
        <v>0</v>
      </c>
      <c r="CR33" s="102" t="s">
        <v>88</v>
      </c>
      <c r="CS33" s="94">
        <f>IFERROR(IF(AND($CS$2&lt;&gt;"Enter Spend&gt;&gt;&gt;",CT2="EXISTING"),SUMIFS('Existing Customers'!$Q:$Q,'Existing Customers'!$A:$A,$CS$1,'Existing Customers'!$H:$H,$CR33)*$CS$4,$CS$3*$CQ33),0)</f>
        <v>0</v>
      </c>
      <c r="CT33" s="89">
        <f>IFERROR(IF(AND($CS$2&lt;&gt;"Enter Spend&gt;&gt;&gt;",CT2="EXISTING"),SUMIFS('Existing Customers'!$N:$N,'Existing Customers'!$A:$A,$CS$1,'Existing Customers'!$H:$H,$CR33)*$CS$4,$CS33/$DD33),0)</f>
        <v>0</v>
      </c>
      <c r="CU33" s="95">
        <f>IFERROR(IF(AND($CS$2&lt;&gt;"Enter Spend&gt;&gt;&gt;",BB28="EXISTING"),SUMIFS('Existing Customers'!$O:$O,'Existing Customers'!$H:$H,$CR33,'Existing Customers'!$A:$A,$CS$1)*$CS$4,$CT33*$CS$8),0)</f>
        <v>0</v>
      </c>
      <c r="CV33" s="95">
        <f>IFERROR(IF(AND($CS$2&lt;&gt;"Enter Spend&gt;&gt;&gt;",CT2="EXISTING"),SUMIFS('Existing Customers'!$P:$P,'Existing Customers'!$A:$A,$CS$1,'Existing Customers'!$H:$H,$CR33)*$CS$4,$CS33/$DE33),0)</f>
        <v>0</v>
      </c>
      <c r="CW33" s="96">
        <f>IFERROR(IF(AND($CS$2&lt;&gt;"Enter Spend&gt;&gt;&gt;",CT2="EXISTING"),SUMIFS('Existing Customers'!$V:$V,'Existing Customers'!$H:$H,$CR33,'Existing Customers'!$A:$A,$CS$1)*$CS$4,0),0)</f>
        <v>0</v>
      </c>
      <c r="CX33" s="96">
        <f>IFERROR(IF(AND($CS$2&lt;&gt;"Enter Spend&gt;&gt;&gt;",CT2="EXISTING"),SUMIFS('Existing Customers'!$R:$R,'Existing Customers'!$H:$H,$AZ33,'Existing Customers'!$A:$A,$CS$1)*$CS$4,0),0)</f>
        <v>0</v>
      </c>
      <c r="CY33" s="1161">
        <f>IFERROR(IF(AND($CS$2&lt;&gt;"Enter Spend&gt;&gt;&gt;",CT2="EXISTING"),SUMIFS('Existing Customers'!$S:$S,'Existing Customers'!$H:$H,$CR33,'Existing Customers'!$A:$A,$CS$1),DI33*CS33),0)</f>
        <v>0</v>
      </c>
      <c r="CZ33" s="1161">
        <f>IFERROR(IF(AND($CS$2&lt;&gt;"Enter Spend&gt;&gt;&gt;",CT2="EXISTING"),SUMIFS('Existing Customers'!$U:$U,'Existing Customers'!$H:$H,$CR33,'Existing Customers'!$A:$A,$CS$1),DJ33*CS33),0)</f>
        <v>0</v>
      </c>
      <c r="DA33" s="1164" t="e">
        <f t="shared" si="28"/>
        <v>#N/A</v>
      </c>
      <c r="DB33" s="1164">
        <f t="array" ref="DB33">IFERROR(INDEX('Margin Guidence Table'!$A$1:$AD$30000,MATCH(1,('Margin Guidence Table'!$A$1:$A$10000=DA33)*('Margin Guidence Table'!$H$1:$H$10000&lt;=ROUND($CS$3,0))*('Margin Guidence Table'!$G$1:$G$10000&gt;=ROUND($CS$3,0)),0),MATCH("DATA_POINTS",'Margin Guidence Table'!$A$1:$AC$1,0)),0)</f>
        <v>0</v>
      </c>
      <c r="DC33" s="1161" t="str">
        <f t="shared" si="29"/>
        <v>DEFAULT</v>
      </c>
      <c r="DD33" s="1161">
        <f t="array" ref="DD33">IFERROR(IF($DC33="SEGMENT",INDEX('Margin Guidence Table'!$A$1:$AC$10000,MATCH(1,('Margin Guidence Table'!$A$1:$A$10000=DA33)*('Margin Guidence Table'!$H$1:$H$10000&lt;=ROUND($CS$3,0))*('Margin Guidence Table'!$G$1:$G$10000&gt;=ROUND($CS$3,0)),0),MATCH("SALES_CASE",'Margin Guidence Table'!$A$1:$AC$1,0)),INDEX('Margin Guidence Table'!$A$1:$AC$10000,MATCH(1,('Margin Guidence Table'!$A$1:$A$10000=DA33)*('Margin Guidence Table'!$H$1:$H$10000&lt;=ROUND($CS$3,0))*('Margin Guidence Table'!$G$1:$G$10000&gt;=ROUND($CS$3,0)),0),MATCH("DEFAULT_SALES_CASE",'Margin Guidence Table'!$A$1:$AC$1,0))),0)</f>
        <v>0</v>
      </c>
      <c r="DE33" s="1161">
        <f t="array" ref="DE33">IFERROR(IF($DC33="SEGMENT",INDEX('Margin Guidence Table'!$A$1:$AC$10000,MATCH(1,('Margin Guidence Table'!$A$1:$A$10000=DA33)*('Margin Guidence Table'!$H$1:$H$10000&lt;=ROUND($CS$3,0))*('Margin Guidence Table'!$G$1:$G$10000&gt;=ROUND($CS$3,0)),0),MATCH("SALES_LBS",'Margin Guidence Table'!$A$1:$AC$1,0)),INDEX('Margin Guidence Table'!$A$1:$AC$10000,MATCH(1,('Margin Guidence Table'!$A$1:$A$10000=DA33)*('Margin Guidence Table'!$H$1:$H$10000&lt;=ROUND($CS$3,0))*('Margin Guidence Table'!$G$1:$G$10000&gt;=ROUND($CS$3,0)),0),MATCH("DEFAULT_SALES_LBS",'Margin Guidence Table'!$A$1:$AC$1,0))),0)</f>
        <v>0</v>
      </c>
      <c r="DF33" s="1165">
        <f t="array" ref="DF33">IFERROR(IF($DC33="SEGMENT",INDEX('Margin Guidence Table'!$A$1:$AC$10000,MATCH(1,('Margin Guidence Table'!$A$1:$A$10000=DA33)*('Margin Guidence Table'!$H$1:$H$10000&lt;=ROUND($CS$3,0))*('Margin Guidence Table'!$G$1:$G$10000&gt;=ROUND($CS$3,0)),0),MATCH("MDA_MIN_MARGIN_GUIDENCE",'Margin Guidence Table'!$A$1:$AC$1,0)),INDEX('Margin Guidence Table'!$A$1:$AC$10000,MATCH(1,('Margin Guidence Table'!$A$1:$A$10000=DA33)*('Margin Guidence Table'!$H$1:$H$10000&lt;=ROUND($CS$3,0))*('Margin Guidence Table'!$G$1:$G$10000&gt;=ROUND($CS$3,0)),0),MATCH("DEFAULT_MDA_MIN_MARGIN_GUIDENCE",'Margin Guidence Table'!$A$1:$AC$1,0))),0)</f>
        <v>0</v>
      </c>
      <c r="DG33" s="1165">
        <f t="array" ref="DG33">IFERROR(IF($DC33="SEGMENT",INDEX('Margin Guidence Table'!$A$1:$AC$10000,MATCH(1,('Margin Guidence Table'!$A$1:$A$10000=DA33)*('Margin Guidence Table'!$H$1:$H$10000&lt;=ROUND($CS$3,0))*('Margin Guidence Table'!$G$1:$G$10000&gt;=ROUND($CS$3,0)),0),MATCH("MDA_MEDIAN_MARGIN_GUIDENCE",'Margin Guidence Table'!$A$1:$AC$1,0)),INDEX('Margin Guidence Table'!$A$1:$AC$10000,MATCH(1,('Margin Guidence Table'!$A$1:$A$10000=DA33)*('Margin Guidence Table'!$H$1:$H$10000&lt;=ROUND($CS$3,0))*('Margin Guidence Table'!$G$1:$G$10000&gt;=ROUND($CS$3,0)),0),MATCH("DEFAULT_MDA_MEDIAN_MARGIN_GUIDENCE",'Margin Guidence Table'!$A$1:$AC$1,0))),0)</f>
        <v>0</v>
      </c>
      <c r="DH33" s="1165">
        <f t="array" ref="DH33">IFERROR(IF($DC33="SEGMENT",INDEX('Margin Guidence Table'!$A$1:$AC$10000,MATCH(1,('Margin Guidence Table'!$A$1:$A$10000=DA33)*('Margin Guidence Table'!$H$1:$H$10000&lt;=ROUND($CS$3,0))*('Margin Guidence Table'!$G$1:$G$10000&gt;=ROUND($CS$3,0)),0),MATCH("MDA_MAX_MARGIN_GUIDENCE",'Margin Guidence Table'!$A$1:$AC$1,0)),INDEX('Margin Guidence Table'!$A$1:$AC$10000,MATCH(1,('Margin Guidence Table'!$A$1:$A$10000=DA33)*('Margin Guidence Table'!$H$1:$H$10000&lt;=ROUND($CS$3,0))*('Margin Guidence Table'!$G$1:$G$10000&gt;=ROUND($CS$3,0)),0),MATCH("DEFAULT_MDA_MAX_MARGIN_GUIDENCE",'Margin Guidence Table'!$A$1:$AC$1,0))),0)</f>
        <v>0</v>
      </c>
      <c r="DI33" s="1165">
        <f t="array" ref="DI33">IFERROR(IF($DC33="SEGMENT",INDEX('Margin Guidence Table'!$A$1:$AC$10000,MATCH(1,('Margin Guidence Table'!$A$1:$A$10000=DA33)*('Margin Guidence Table'!$H$1:$H$10000&lt;=ROUND($CS$3,0))*('Margin Guidence Table'!$G$1:$G$10000&gt;=ROUND($CS$3,0)),0),MATCH("PA_PCT_SALES",'Margin Guidence Table'!$A$1:$AC$1,0)),INDEX('Margin Guidence Table'!$A$1:$AC$10000,MATCH(1,('Margin Guidence Table'!$A$1:$A$10000=DA33)*('Margin Guidence Table'!$H$1:$H$10000&lt;=ROUND($CS$3,0))*('Margin Guidence Table'!$G$1:$G$10000&gt;=ROUND($CS$3,0)),0),MATCH("DEFAULT_PA_PCT_SALES",'Margin Guidence Table'!$A$1:$AC$1,0))),0)</f>
        <v>0</v>
      </c>
      <c r="DJ33" s="1165">
        <f t="array" ref="DJ33">IFERROR(IF($DC33="SEGMENT",INDEX('Margin Guidence Table'!$A$1:$AC$10000,MATCH(1,('Margin Guidence Table'!$A$1:$A$10000=DA33)*('Margin Guidence Table'!$H$1:$H$10000&lt;=ROUND($CS$3,0))*('Margin Guidence Table'!$G$1:$G$10000&gt;=ROUND($CS$3,0)),0),MATCH("SELF_FUND_PCT_SALES",'Margin Guidence Table'!$A$1:$AC$1,0)),INDEX('Margin Guidence Table'!$A$1:$AC$10000,MATCH(1,('Margin Guidence Table'!$A$1:$A$10000=DA33)*('Margin Guidence Table'!$H$1:$H$10000&lt;=ROUND($CS$3,0))*('Margin Guidence Table'!$G$1:$G$10000&gt;=ROUND($CS$3,0)),0),MATCH("DEFAULT_SELF_FUND_PCT_SALES",'Margin Guidence Table'!$A$1:$AC$1,0))),0)</f>
        <v>0</v>
      </c>
      <c r="DK33" s="1165">
        <f t="array" ref="DK33">IFERROR(IF($DC33="SEGMENT",INDEX('Margin Guidence Table'!$A$1:$AC$10000,MATCH(1,('Margin Guidence Table'!$A$1:$A$10000=DA33)*('Margin Guidence Table'!$H$1:$H$10000&lt;=ROUND($CS$3,0))*('Margin Guidence Table'!$G$1:$G$10000&gt;=ROUND($CS$3,0)),0),MATCH("CIA_MEDIAN_MARGIN_GUIDENCE",'Margin Guidence Table'!$A$1:$AC$1,0)),INDEX('Margin Guidence Table'!$A$1:$AC$10000,MATCH(1,('Margin Guidence Table'!$A$1:$A$10000=DA33)*('Margin Guidence Table'!$H$1:$H$10000&lt;=ROUND($CS$3,0))*('Margin Guidence Table'!$G$1:$G$10000&gt;=ROUND($CS$3,0)),0),MATCH("DEFAULT_CIA_MEDIAN_MARGIN_GUIDENCE",'Margin Guidence Table'!$A$1:$AC$1,0))),0)</f>
        <v>0</v>
      </c>
      <c r="DL33" s="129"/>
      <c r="DM33" s="18">
        <f t="array" ref="DM33">IFERROR(IF($DY33="SEGMENT",INDEX('Margin Guidence Table'!$A$1:$AC$10000,MATCH(1,('Margin Guidence Table'!$A$1:$A$10000=$DW33)*('Margin Guidence Table'!$H$1:$H$10000&lt;=ROUND($DO$3,0))*('Margin Guidence Table'!$G$1:$G$10000&gt;=ROUND($DO$3,0)),0),MATCH("PCT_SALES",'Margin Guidence Table'!$A$1:$AC$1,0)),INDEX('Margin Guidence Table'!$A$1:$AC$10000,MATCH(1,('Margin Guidence Table'!$A$1:$A$10000=$DW33)*('Margin Guidence Table'!$H$1:$H$10000&lt;=ROUND($DO$3,0))*('Margin Guidence Table'!$G$1:$G$10000&gt;=ROUND($DO$3,0)),0),MATCH("DEFAULT_PCT_SALES",'Margin Guidence Table'!$A$1:$AC$1,0))),0)</f>
        <v>0</v>
      </c>
      <c r="DN33" s="102" t="s">
        <v>88</v>
      </c>
      <c r="DO33" s="94">
        <f>IFERROR(IF(AND($DO$2&lt;&gt;"Enter Spend&gt;&gt;&gt;",DP2="EXISTING"),SUMIFS('Existing Customers'!$Q:$Q,'Existing Customers'!$A:$A,$DO$1,'Existing Customers'!$H:$H,$DN33)*$DO$4,$DO$3*$DM33),0)</f>
        <v>0</v>
      </c>
      <c r="DP33" s="89">
        <f>IFERROR(IF(AND($DO$2&lt;&gt;"Enter Spend&gt;&gt;&gt;",DP2="EXISTING"),SUMIFS('Existing Customers'!$N:$N,'Existing Customers'!$A:$A,$DO$1,'Existing Customers'!$H:$H,$DN33)*$DO$4,$DO33/$DZ33),0)</f>
        <v>0</v>
      </c>
      <c r="DQ33" s="95">
        <f>IFERROR(IF(AND($DO$2&lt;&gt;"Enter Spend&gt;&gt;&gt;",DP2="EXISTING"),SUMIFS('Existing Customers'!$O:$O,'Existing Customers'!$H:$H,$DN33,'Existing Customers'!$A:$A,$DO$1)*$DO$4,$DP33*$DO$8),0)</f>
        <v>0</v>
      </c>
      <c r="DR33" s="95">
        <f>IFERROR(IF(AND($DO$2&lt;&gt;"Enter Spend&gt;&gt;&gt;",DP2="EXISTING"),SUMIFS('Existing Customers'!$P:$P,'Existing Customers'!$A:$A,$DO$1,'Existing Customers'!$H:$H,$DN33)*$DO$4,$DO33/$EA33),0)</f>
        <v>0</v>
      </c>
      <c r="DS33" s="96">
        <f>IFERROR(IF(AND($DO$2&lt;&gt;"Enter Spend&gt;&gt;&gt;",EL2="EXISTING"),SUMIFS('Existing Customers'!$V:$V,'Existing Customers'!$H:$H,$DN33,'Existing Customers'!$A:$A,$DO$1)*$DO$4,0),0)</f>
        <v>0</v>
      </c>
      <c r="DT33" s="96">
        <f>IFERROR(IF(AND($DO$2&lt;&gt;"Enter Spend&gt;&gt;&gt;",DP2="EXISTING"),SUMIFS('Existing Customers'!$R:$R,'Existing Customers'!$H:$H,$DN33,'Existing Customers'!$A:$A,$DO$1)*$DO$4,0),0)</f>
        <v>0</v>
      </c>
      <c r="DU33" s="1161">
        <f>IFERROR(IF(AND($DO$2&lt;&gt;"Enter Spend&gt;&gt;&gt;",DP2="EXISTING"),SUMIFS('Existing Customers'!$S:$S,'Existing Customers'!$H:$H,$DP33,'Existing Customers'!$A:$A,$DO$1),EE33*DO33),0)</f>
        <v>0</v>
      </c>
      <c r="DV33" s="1161">
        <f>IFERROR(IF(AND($DO$2&lt;&gt;"Enter Spend&gt;&gt;&gt;",DP2="EXISTING"),SUMIFS('Existing Customers'!$U:$U,'Existing Customers'!$H:$H,$DN33,'Existing Customers'!$A:$A,$DO$1),EF33*DO33),0)</f>
        <v>0</v>
      </c>
      <c r="DW33" s="1164" t="e">
        <f t="shared" si="30"/>
        <v>#N/A</v>
      </c>
      <c r="DX33" s="1164">
        <f t="array" ref="DX33">IFERROR(INDEX('Margin Guidence Table'!$A$1:$AD$30000,MATCH(1,('Margin Guidence Table'!$A$1:$A$10000=DW33)*('Margin Guidence Table'!$H$1:$H$10000&lt;=ROUND($DO$3,0))*('Margin Guidence Table'!$G$1:$G$10000&gt;=ROUND($DO$3,0)),0),MATCH("DATA_POINTS",'Margin Guidence Table'!$A$1:$AC$1,0)),0)</f>
        <v>0</v>
      </c>
      <c r="DY33" s="1161" t="str">
        <f t="shared" si="31"/>
        <v>DEFAULT</v>
      </c>
      <c r="DZ33" s="1161">
        <f t="array" ref="DZ33">IFERROR(IF($DY33="SEGMENT",INDEX('Margin Guidence Table'!$A$1:$AC$10000,MATCH(1,('Margin Guidence Table'!$A$1:$A$10000=DW33)*('Margin Guidence Table'!$H$1:$H$10000&lt;=ROUND($DO$3,0))*('Margin Guidence Table'!$G$1:$G$10000&gt;=ROUND($DO$3,0)),0),MATCH("SALES_CASE",'Margin Guidence Table'!$A$1:$AC$1,0)),INDEX('Margin Guidence Table'!$A$1:$AC$10000,MATCH(1,('Margin Guidence Table'!$A$1:$A$10000=DW33)*('Margin Guidence Table'!$H$1:$H$10000&lt;=ROUND($DO$3,0))*('Margin Guidence Table'!$G$1:$G$10000&gt;=ROUND($DO$3,0)),0),MATCH("DEFAULT_SALES_CASE",'Margin Guidence Table'!$A$1:$AC$1,0))),0)</f>
        <v>0</v>
      </c>
      <c r="EA33" s="1161">
        <f t="array" ref="EA33">IFERROR(IF($DY33="SEGMENT",INDEX('Margin Guidence Table'!$A$1:$AC$10000,MATCH(1,('Margin Guidence Table'!$A$1:$A$10000=DW33)*('Margin Guidence Table'!$H$1:$H$10000&lt;=ROUND($DO$3,0))*('Margin Guidence Table'!$G$1:$G$10000&gt;=ROUND($DO$3,0)),0),MATCH("SALES_LBS",'Margin Guidence Table'!$A$1:$AC$1,0)),INDEX('Margin Guidence Table'!$A$1:$AC$10000,MATCH(1,('Margin Guidence Table'!$A$1:$A$10000=DW33)*('Margin Guidence Table'!$H$1:$H$10000&lt;=ROUND($DO$3,0))*('Margin Guidence Table'!$G$1:$G$10000&gt;=ROUND($DO$3,0)),0),MATCH("DEFAULT_SALES_LBS",'Margin Guidence Table'!$A$1:$AC$1,0))),0)</f>
        <v>0</v>
      </c>
      <c r="EB33" s="1165">
        <f t="array" ref="EB33">IFERROR(IF($DY33="SEGMENT",INDEX('Margin Guidence Table'!$A$1:$AC$10000,MATCH(1,('Margin Guidence Table'!$A$1:$A$10000=DW33)*('Margin Guidence Table'!$H$1:$H$10000&lt;=ROUND($DO$3,0))*('Margin Guidence Table'!$G$1:$G$10000&gt;=ROUND($DO$3,0)),0),MATCH("MDA_MIN_MARGIN_GUIDENCE",'Margin Guidence Table'!$A$1:$AC$1,0)),INDEX('Margin Guidence Table'!$A$1:$AC$10000,MATCH(1,('Margin Guidence Table'!$A$1:$A$10000=DW33)*('Margin Guidence Table'!$H$1:$H$10000&lt;=ROUND($DO$3,0))*('Margin Guidence Table'!$G$1:$G$10000&gt;=ROUND($DO$3,0)),0),MATCH("DEFAULT_MDA_MIN_MARGIN_GUIDENCE",'Margin Guidence Table'!$A$1:$AC$1,0))),0)</f>
        <v>0</v>
      </c>
      <c r="EC33" s="1165">
        <f t="array" ref="EC33">IFERROR(IF($DY33="SEGMENT",INDEX('Margin Guidence Table'!$A$1:$AC$10000,MATCH(1,('Margin Guidence Table'!$A$1:$A$10000=DW33)*('Margin Guidence Table'!$H$1:$H$10000&lt;=ROUND($DO$3,0))*('Margin Guidence Table'!$G$1:$G$10000&gt;=ROUND($DO$3,0)),0),MATCH("MDA_MEDIAN_MARGIN_GUIDENCE",'Margin Guidence Table'!$A$1:$AC$1,0)),INDEX('Margin Guidence Table'!$A$1:$AC$10000,MATCH(1,('Margin Guidence Table'!$A$1:$A$10000=DW33)*('Margin Guidence Table'!$H$1:$H$10000&lt;=ROUND($DO$3,0))*('Margin Guidence Table'!$G$1:$G$10000&gt;=ROUND($DO$3,0)),0),MATCH("DEFAULT_MDA_MEDIAN_MARGIN_GUIDENCE",'Margin Guidence Table'!$A$1:$AC$1,0))),0)</f>
        <v>0</v>
      </c>
      <c r="ED33" s="1165">
        <f t="array" ref="ED33">IFERROR(IF($DY33="SEGMENT",INDEX('Margin Guidence Table'!$A$1:$AC$10000,MATCH(1,('Margin Guidence Table'!$A$1:$A$10000=DW33)*('Margin Guidence Table'!$H$1:$H$10000&lt;=ROUND($DO$3,0))*('Margin Guidence Table'!$G$1:$G$10000&gt;=ROUND($DO$3,0)),0),MATCH("MDA_MAX_MARGIN_GUIDENCE",'Margin Guidence Table'!$A$1:$AC$1,0)),INDEX('Margin Guidence Table'!$A$1:$AC$10000,MATCH(1,('Margin Guidence Table'!$A$1:$A$10000=DW33)*('Margin Guidence Table'!$H$1:$H$10000&lt;=ROUND($DO$3,0))*('Margin Guidence Table'!$G$1:$G$10000&gt;=ROUND($DO$3,0)),0),MATCH("DEFAULT_MDA_MAX_MARGIN_GUIDENCE",'Margin Guidence Table'!$A$1:$AC$1,0))),0)</f>
        <v>0</v>
      </c>
      <c r="EE33" s="1165">
        <f t="array" ref="EE33">IFERROR(IF($DY33="SEGMENT",INDEX('Margin Guidence Table'!$A$1:$AC$10000,MATCH(1,('Margin Guidence Table'!$A$1:$A$10000=DW33)*('Margin Guidence Table'!$H$1:$H$10000&lt;=ROUND($DO$3,0))*('Margin Guidence Table'!$G$1:$G$10000&gt;=ROUND($DO$3,0)),0),MATCH("PA_PCT_SALES",'Margin Guidence Table'!$A$1:$AC$1,0)),INDEX('Margin Guidence Table'!$A$1:$AC$10000,MATCH(1,('Margin Guidence Table'!$A$1:$A$10000=DW33)*('Margin Guidence Table'!$H$1:$H$10000&lt;=ROUND($DO$3,0))*('Margin Guidence Table'!$G$1:$G$10000&gt;=ROUND($DO$3,0)),0),MATCH("DEFAULT_PA_PCT_SALES",'Margin Guidence Table'!$A$1:$AC$1,0))),0)</f>
        <v>0</v>
      </c>
      <c r="EF33" s="1165">
        <f t="array" ref="EF33">IFERROR(IF($DY33="SEGMENT",INDEX('Margin Guidence Table'!$A$1:$AC$10000,MATCH(1,('Margin Guidence Table'!$A$1:$A$10000=DW33)*('Margin Guidence Table'!$H$1:$H$10000&lt;=ROUND($DO$3,0))*('Margin Guidence Table'!$G$1:$G$10000&gt;=ROUND($DO$3,0)),0),MATCH("SELF_FUND_PCT_SALES",'Margin Guidence Table'!$A$1:$AC$1,0)),INDEX('Margin Guidence Table'!$A$1:$AC$10000,MATCH(1,('Margin Guidence Table'!$A$1:$A$10000=DW33)*('Margin Guidence Table'!$H$1:$H$10000&lt;=ROUND($DO$3,0))*('Margin Guidence Table'!$G$1:$G$10000&gt;=ROUND($DO$3,0)),0),MATCH("DEFAULT_SELF_FUND_PCT_SALES",'Margin Guidence Table'!$A$1:$AC$1,0))),0)</f>
        <v>0</v>
      </c>
      <c r="EG33" s="1165">
        <f t="array" ref="EG33">IFERROR(IF($DY33="SEGMENT",INDEX('Margin Guidence Table'!$A$1:$AC$10000,MATCH(1,('Margin Guidence Table'!$A$1:$A$10000=DW33)*('Margin Guidence Table'!$H$1:$H$10000&lt;=ROUND($DO$3,0))*('Margin Guidence Table'!$G$1:$G$10000&gt;=ROUND($DO$3,0)),0),MATCH("CIA_MEDIAN_MARGIN_GUIDENCE",'Margin Guidence Table'!$A$1:$AC$1,0)),INDEX('Margin Guidence Table'!$A$1:$AC$10000,MATCH(1,('Margin Guidence Table'!$A$1:$A$10000=DW33)*('Margin Guidence Table'!$H$1:$H$10000&lt;=ROUND($DO$3,0))*('Margin Guidence Table'!$G$1:$G$10000&gt;=ROUND($DO$3,0)),0),MATCH("DEFAULT_CIA_MEDIAN_MARGIN_GUIDENCE",'Margin Guidence Table'!$A$1:$AC$1,0))),0)</f>
        <v>0</v>
      </c>
      <c r="EH33" s="129"/>
      <c r="EI33" s="18">
        <f t="array" ref="EI33">IFERROR(IF($EU33="SEGMENT",INDEX('Margin Guidence Table'!$A$1:$AC$10000,MATCH(1,('Margin Guidence Table'!$A$1:$A$10000=$ES33)*('Margin Guidence Table'!$H$1:$H$10000&lt;=ROUND($EK$3,0))*('Margin Guidence Table'!$G$1:$G$10000&gt;=ROUND($EK$3,0)),0),MATCH("PCT_SALES",'Margin Guidence Table'!$A$1:$AC$1,0)),INDEX('Margin Guidence Table'!$A$1:$AC$10000,MATCH(1,('Margin Guidence Table'!$A$1:$A$10000=$ES33)*('Margin Guidence Table'!$H$1:$H$10000&lt;=ROUND($EK$3,0))*('Margin Guidence Table'!$G$1:$G$10000&gt;=ROUND($EK$3,0)),0),MATCH("DEFAULT_PCT_SALES",'Margin Guidence Table'!$A$1:$AC$1,0))),0)</f>
        <v>0</v>
      </c>
      <c r="EJ33" s="102" t="s">
        <v>88</v>
      </c>
      <c r="EK33" s="94">
        <f>IFERROR(IF(AND($EK$2&lt;&gt;"Enter Spend&gt;&gt;&gt;",EL2="EXISTING"),SUMIFS('Existing Customers'!$Q:$Q,'Existing Customers'!$A:$A,$EK$1,'Existing Customers'!$H:$H,$EJ33)*$EK$4,$EK$3*$EI33),0)</f>
        <v>0</v>
      </c>
      <c r="EL33" s="89">
        <f>IFERROR(IF(AND($EK$2&lt;&gt;"Enter Spend&gt;&gt;&gt;",EL2="EXISTING"),SUMIFS('Existing Customers'!$N:$N,'Existing Customers'!$A:$A,$EK$1,'Existing Customers'!$H:$H,$EJ33)*$EK$4,$EK33/$EV33),0)</f>
        <v>0</v>
      </c>
      <c r="EM33" s="95">
        <f>IFERROR(IF(AND($EK$2&lt;&gt;"Enter Spend&gt;&gt;&gt;",EL2="EXISTING"),SUMIFS('Existing Customers'!$O:$O,'Existing Customers'!$H:$H,$EJ33,'Existing Customers'!$A:$A,$EK$1)*$EK$4,$EL33*$EK$8),0)</f>
        <v>0</v>
      </c>
      <c r="EN33" s="95">
        <f>IFERROR(IF(AND($EK$2&lt;&gt;"Enter Spend&gt;&gt;&gt;",EL2="EXISTING"),SUMIFS('Existing Customers'!$P:$P,'Existing Customers'!$A:$A,$EK$1,'Existing Customers'!$H:$H,$EJ33)*$EK$4,$EK33/$EW33),0)</f>
        <v>0</v>
      </c>
      <c r="EO33" s="96">
        <f>IFERROR(IF(AND($EK$2&lt;&gt;"Enter Spend&gt;&gt;&gt;",EL2="EXISTING"),SUMIFS('Existing Customers'!$V:$V,'Existing Customers'!$H:$H,$EJ33,'Existing Customers'!$A:$A,$EK$1)*$EK$4,0),0)</f>
        <v>0</v>
      </c>
      <c r="EP33" s="96">
        <f>IFERROR(IF(AND($EK$2&lt;&gt;"Enter Spend&gt;&gt;&gt;",EL2="EXISTING"),SUMIFS('Existing Customers'!$R:$R,'Existing Customers'!$H:$H,$EJ33,'Existing Customers'!$A:$A,$EK$1)*$EK$4,0),0)</f>
        <v>0</v>
      </c>
      <c r="EQ33" s="1161">
        <f>IFERROR(IF(AND($EK$2&lt;&gt;"Enter Spend&gt;&gt;&gt;",EL2="EXISTING"),SUMIFS('Existing Customers'!$S:$S,'Existing Customers'!$H:$H,$EJ33,'Existing Customers'!$A:$A,$EK$1),FA33*EK33),0)</f>
        <v>0</v>
      </c>
      <c r="ER33" s="1161">
        <f>IFERROR(IF(AND($EK$2&lt;&gt;"Enter Spend&gt;&gt;&gt;",EL2="EXISTING"),SUMIFS('Existing Customers'!$U:$U,'Existing Customers'!$H:$H,$EJ33,'Existing Customers'!$A:$A,$EK$1),FB33*EK33),0)</f>
        <v>0</v>
      </c>
      <c r="ES33" s="1164" t="e">
        <f t="shared" si="32"/>
        <v>#N/A</v>
      </c>
      <c r="ET33" s="1164">
        <f t="array" ref="ET33">IFERROR(INDEX('Margin Guidence Table'!$A$1:$AD$30000,MATCH(1,('Margin Guidence Table'!$A$1:$A$10000=ES33)*('Margin Guidence Table'!$H$1:$H$10000&lt;=ROUND($EK$3,0))*('Margin Guidence Table'!$G$1:$G$10000&gt;=ROUND($EK$3,0)),0),MATCH("DATA_POINTS",'Margin Guidence Table'!$A$1:$AC$1,0)),0)</f>
        <v>0</v>
      </c>
      <c r="EU33" s="1161" t="str">
        <f t="shared" si="33"/>
        <v>DEFAULT</v>
      </c>
      <c r="EV33" s="1161">
        <f t="array" ref="EV33">IFERROR(IF($EU33="SEGMENT",INDEX('Margin Guidence Table'!$A$1:$AC$10000,MATCH(1,('Margin Guidence Table'!$A$1:$A$10000=ES33)*('Margin Guidence Table'!$H$1:$H$10000&lt;=ROUND($EK$3,0))*('Margin Guidence Table'!$G$1:$G$10000&gt;=ROUND($EK$3,0)),0),MATCH("SALES_CASE",'Margin Guidence Table'!$A$1:$AC$1,0)),INDEX('Margin Guidence Table'!$A$1:$AC$10000,MATCH(1,('Margin Guidence Table'!$A$1:$A$10000=ES33)*('Margin Guidence Table'!$H$1:$H$10000&lt;=ROUND($EK$3,0))*('Margin Guidence Table'!$G$1:$G$10000&gt;=ROUND($EK$3,0)),0),MATCH("DEFAULT_SALES_CASE",'Margin Guidence Table'!$A$1:$AC$1,0))),0)</f>
        <v>0</v>
      </c>
      <c r="EW33" s="1161" cm="1">
        <f t="array" ref="EW33">IFERROR(IF($EU33="SEGMENT",INDEX('Margin Guidence Table'!$A$1:$AC$10000,MATCH(1,('Margin Guidence Table'!$A$1:$A$10000=ES33)*('Margin Guidence Table'!$H$1:$H$10000&lt;=ROUND($EK$3,0))*('Margin Guidence Table'!$G$1:$G$10000&gt;=ROUND($EK$3,0)),0),MATCH("SALES_LBS",'Margin Guidence Table'!$A$1:$AC$1,0)),INDEX('Margin Guidence Table'!$A$1:$AC$10000,MATCH(1,('Margin Guidence Table'!$A$1:$A$10000=ES33)*('Margin Guidence Table'!$H$1:$H$10000&lt;=ROUND($EK$3,0))*('Margin Guidence Table'!$G$1:$G$10000&gt;=ROUND($EK$3,0)),0),MATCH("DEFAULT_SALES_LBS",'Margin Guidence Table'!$A$1:$AC$1,0))),0)</f>
        <v>0</v>
      </c>
      <c r="EX33" s="1165">
        <f t="array" ref="EX33">IFERROR(IF($EU33="SEGMENT",INDEX('Margin Guidence Table'!$A$1:$AC$10000,MATCH(1,('Margin Guidence Table'!$A$1:$A$10000=ES33)*('Margin Guidence Table'!$H$1:$H$10000&lt;=ROUND($EK$3,0))*('Margin Guidence Table'!$G$1:$G$10000&gt;=ROUND($EK$3,0)),0),MATCH("MDA_MIN_MARGIN_GUIDENCE",'Margin Guidence Table'!$A$1:$AC$1,0)),INDEX('Margin Guidence Table'!$A$1:$AC$10000,MATCH(1,('Margin Guidence Table'!$A$1:$A$10000=ES33)*('Margin Guidence Table'!$H$1:$H$10000&lt;=ROUND($EK$3,0))*('Margin Guidence Table'!$G$1:$G$10000&gt;=ROUND($EK$3,0)),0),MATCH("DEFAULT_MDA_MIN_MARGIN_GUIDENCE",'Margin Guidence Table'!$A$1:$AC$1,0))),0)</f>
        <v>0</v>
      </c>
      <c r="EY33" s="1165">
        <f t="array" ref="EY33">IFERROR(IF($EU33="SEGMENT",INDEX('Margin Guidence Table'!$A$1:$AC$10000,MATCH(1,('Margin Guidence Table'!$A$1:$A$10000=ES33)*('Margin Guidence Table'!$H$1:$H$10000&lt;=ROUND($EK$3,0))*('Margin Guidence Table'!$G$1:$G$10000&gt;=ROUND($EK$3,0)),0),MATCH("MDA_MEDIAN_MARGIN_GUIDENCE",'Margin Guidence Table'!$A$1:$AC$1,0)),INDEX('Margin Guidence Table'!$A$1:$AC$10000,MATCH(1,('Margin Guidence Table'!$A$1:$A$10000=ES33)*('Margin Guidence Table'!$H$1:$H$10000&lt;=ROUND($EK$3,0))*('Margin Guidence Table'!$G$1:$G$10000&gt;=ROUND($EK$3,0)),0),MATCH("DEFAULT_MDA_MEDIAN_MARGIN_GUIDENCE",'Margin Guidence Table'!$A$1:$AC$1,0))),0)</f>
        <v>0</v>
      </c>
      <c r="EZ33" s="1165">
        <f t="array" ref="EZ33">IFERROR(IF($EU33="SEGMENT",INDEX('Margin Guidence Table'!$A$1:$AC$10000,MATCH(1,('Margin Guidence Table'!$A$1:$A$10000=ES33)*('Margin Guidence Table'!$H$1:$H$10000&lt;=ROUND($EK$3,0))*('Margin Guidence Table'!$G$1:$G$10000&gt;=ROUND($EK$3,0)),0),MATCH("MDA_MAX_MARGIN_GUIDENCE",'Margin Guidence Table'!$A$1:$AC$1,0)),INDEX('Margin Guidence Table'!$A$1:$AC$10000,MATCH(1,('Margin Guidence Table'!$A$1:$A$10000=ES33)*('Margin Guidence Table'!$H$1:$H$10000&lt;=ROUND($EK$3,0))*('Margin Guidence Table'!$G$1:$G$10000&gt;=ROUND($EK$3,0)),0),MATCH("DEFAULT_MDA_MAX_MARGIN_GUIDENCE",'Margin Guidence Table'!$A$1:$AC$1,0))),0)</f>
        <v>0</v>
      </c>
      <c r="FA33" s="1165">
        <f t="array" ref="FA33">IFERROR(IF($EU33="SEGMENT",INDEX('Margin Guidence Table'!$A$1:$AC$10000,MATCH(1,('Margin Guidence Table'!$A$1:$A$10000=ES33)*('Margin Guidence Table'!$H$1:$H$10000&lt;=ROUND($EK$3,0))*('Margin Guidence Table'!$G$1:$G$10000&gt;=ROUND($EK$3,0)),0),MATCH("PA_PCT_SALES",'Margin Guidence Table'!$A$1:$AC$1,0)),INDEX('Margin Guidence Table'!$A$1:$AC$10000,MATCH(1,('Margin Guidence Table'!$A$1:$A$10000=ES33)*('Margin Guidence Table'!$H$1:$H$10000&lt;=ROUND($EK$3,0))*('Margin Guidence Table'!$G$1:$G$10000&gt;=ROUND($EK$3,0)),0),MATCH("DEFAULT_PA_PCT_SALES",'Margin Guidence Table'!$A$1:$AC$1,0))),0)</f>
        <v>0</v>
      </c>
      <c r="FB33" s="1165">
        <f t="array" ref="FB33">IFERROR(IF($EU33="SEGMENT",INDEX('Margin Guidence Table'!$A$1:$AC$10000,MATCH(1,('Margin Guidence Table'!$A$1:$A$10000=ES33)*('Margin Guidence Table'!$H$1:$H$10000&lt;=ROUND($EK$3,0))*('Margin Guidence Table'!$G$1:$G$10000&gt;=ROUND($EK$3,0)),0),MATCH("SELF_FUND_PCT_SALES",'Margin Guidence Table'!$A$1:$AC$1,0)),INDEX('Margin Guidence Table'!$A$1:$AC$10000,MATCH(1,('Margin Guidence Table'!$A$1:$A$10000=ES33)*('Margin Guidence Table'!$H$1:$H$10000&lt;=ROUND($EK$3,0))*('Margin Guidence Table'!$G$1:$G$10000&gt;=ROUND($EK$3,0)),0),MATCH("DEFAULT_SELF_FUND_PCT_SALES",'Margin Guidence Table'!$A$1:$AC$1,0))),0)</f>
        <v>0</v>
      </c>
      <c r="FC33" s="1165">
        <f t="array" ref="FC33">IFERROR(IF($EU33="SEGMENT",INDEX('Margin Guidence Table'!$A$1:$AC$10000,MATCH(1,('Margin Guidence Table'!$A$1:$A$10000=ES33)*('Margin Guidence Table'!$H$1:$H$10000&lt;=ROUND($EK$3,0))*('Margin Guidence Table'!$G$1:$G$10000&gt;=ROUND($EK$3,0)),0),MATCH("CIA_MEDIAN_MARGIN_GUIDENCE",'Margin Guidence Table'!$A$1:$AC$1,0)),INDEX('Margin Guidence Table'!$A$1:$AC$10000,MATCH(1,('Margin Guidence Table'!$A$1:$A$10000=ES33)*('Margin Guidence Table'!$H$1:$H$10000&lt;=ROUND($EK$3,0))*('Margin Guidence Table'!$G$1:$G$10000&gt;=ROUND($EK$3,0)),0),MATCH("DEFAULT_CIA_MEDIAN_MARGIN_GUIDENCE",'Margin Guidence Table'!$A$1:$AC$1,0))),0)</f>
        <v>0</v>
      </c>
      <c r="FD33" s="129"/>
      <c r="FE33" s="18">
        <f t="array" ref="FE33">IFERROR(IF($FQ33="SEGMENT",INDEX('Margin Guidence Table'!$A$1:$AC$10000,MATCH(1,('Margin Guidence Table'!$A$1:$A$10000=$FO33)*('Margin Guidence Table'!$H$1:$H$10000&lt;=ROUND($FG$3,0))*('Margin Guidence Table'!$G$1:$G$10000&gt;=ROUND($FG$3,0)),0),MATCH("PCT_SALES",'Margin Guidence Table'!$A$1:$AC$1,0)),INDEX('Margin Guidence Table'!$A$1:$AC$10000,MATCH(1,('Margin Guidence Table'!$A$1:$A$10000=$FO33)*('Margin Guidence Table'!$H$1:$H$10000&lt;=ROUND($FG$3,0))*('Margin Guidence Table'!$G$1:$G$10000&gt;=ROUND($FG$3,0)),0),MATCH("DEFAULT_PCT_SALES",'Margin Guidence Table'!$A$1:$AC$1,0))),0)</f>
        <v>0</v>
      </c>
      <c r="FF33" s="102" t="s">
        <v>88</v>
      </c>
      <c r="FG33" s="94">
        <f>IFERROR(IF(AND($FG$2&lt;&gt;"Enter Spend&gt;&gt;&gt;",FH2="EXISTING"),SUMIFS('Existing Customers'!$Q:$Q,'Existing Customers'!$A:$A,$FG$1,'Existing Customers'!$H:$H,$FF33)*$FG$4,$FG$3*$FE33),0)</f>
        <v>0</v>
      </c>
      <c r="FH33" s="89">
        <f>IFERROR(IF(AND($FG$2&lt;&gt;"Enter Spend&gt;&gt;&gt;",FH2="EXISTING"),SUMIFS('Existing Customers'!$N:$N,'Existing Customers'!$A:$A,$FG$1,'Existing Customers'!$H:$H,$FF33)*$FG$4,$FG33/$FR33),0)</f>
        <v>0</v>
      </c>
      <c r="FI33" s="95">
        <f>IFERROR(IF(AND($FG$2&lt;&gt;"Enter Spend&gt;&gt;&gt;",FH2="EXISTING"),SUMIFS('Existing Customers'!$O:$O,'Existing Customers'!$H:$H,$FF33,'Existing Customers'!$A:$A,$FG$1)*$FG$4,$FH33*$FG$8),0)</f>
        <v>0</v>
      </c>
      <c r="FJ33" s="95">
        <f>IFERROR(IF(AND($FG$2&lt;&gt;"Enter Spend&gt;&gt;&gt;",FH2="EXISTING"),SUMIFS('Existing Customers'!$P:$P,'Existing Customers'!$A:$A,$FG$1,'Existing Customers'!$H:$H,$FF33)*$FG$4,$FG33/$FS33),0)</f>
        <v>0</v>
      </c>
      <c r="FK33" s="96">
        <f>IFERROR(IF(AND($FG$2&lt;&gt;"Enter Spend&gt;&gt;&gt;",FH2="EXISTING"),SUMIFS('Existing Customers'!$V:$V,'Existing Customers'!$H:$H,$FF33,'Existing Customers'!$A:$A,$FG$1)*$FG$4,0),0)</f>
        <v>0</v>
      </c>
      <c r="FL33" s="96">
        <f>IFERROR(IF(AND($FG$2&lt;&gt;"Enter Spend&gt;&gt;&gt;",FH2="EXISTING"),SUMIFS('Existing Customers'!$R:$R,'Existing Customers'!$H:$H,$FF33,'Existing Customers'!$A:$A,$FG$1)*$FG$4,0),0)</f>
        <v>0</v>
      </c>
      <c r="FM33" s="1161">
        <f>IFERROR(IF(AND($FG$2&lt;&gt;"Enter Spend&gt;&gt;&gt;",FH2="EXISTING"),SUMIFS('Existing Customers'!$S:$S,'Existing Customers'!$H:$H,$FF33,'Existing Customers'!$A:$A,$FG$1),FW33*FG33),0)</f>
        <v>0</v>
      </c>
      <c r="FN33" s="1161">
        <f>IFERROR(IF(AND($FG$2&lt;&gt;"Enter Spend&gt;&gt;&gt;",FH2="EXISTING"),SUMIFS('Existing Customers'!$U:$U,'Existing Customers'!$H:$H,$FF33,'Existing Customers'!$A:$A,$FG$1),FX33*FG33),0)</f>
        <v>0</v>
      </c>
      <c r="FO33" s="1164" t="e">
        <f t="shared" si="34"/>
        <v>#N/A</v>
      </c>
      <c r="FP33" s="1164">
        <f t="array" ref="FP33">IFERROR(INDEX('Margin Guidence Table'!$A$1:$AD$30000,MATCH(1,('Margin Guidence Table'!$A$1:$A$10000=FO33)*('Margin Guidence Table'!$H$1:$H$10000&lt;=ROUND($FG$3,0))*('Margin Guidence Table'!$G$1:$G$10000&gt;=ROUND($FG$3,0)),0),MATCH("DATA_POINTS",'Margin Guidence Table'!$A$1:$AC$1,0)),0)</f>
        <v>0</v>
      </c>
      <c r="FQ33" s="1161" t="str">
        <f t="shared" si="35"/>
        <v>DEFAULT</v>
      </c>
      <c r="FR33" s="1161">
        <f t="array" ref="FR33">IFERROR(IF($FQ33="SEGMENT",INDEX('Margin Guidence Table'!$A$1:$AC$10000,MATCH(1,('Margin Guidence Table'!$A$1:$A$10000=FO33)*('Margin Guidence Table'!$H$1:$H$10000&lt;=ROUND($FG$3,0))*('Margin Guidence Table'!$G$1:$G$10000&gt;=ROUND($FG$3,0)),0),MATCH("SALES_CASE",'Margin Guidence Table'!$A$1:$AC$1,0)),INDEX('Margin Guidence Table'!$A$1:$AC$10000,MATCH(1,('Margin Guidence Table'!$A$1:$A$10000=FO33)*('Margin Guidence Table'!$H$1:$H$10000&lt;=ROUND($FG$3,0))*('Margin Guidence Table'!$G$1:$G$10000&gt;=ROUND($FG$3,0)),0),MATCH("DEFAULT_SALES_CASE",'Margin Guidence Table'!$A$1:$AC$1,0))),0)</f>
        <v>0</v>
      </c>
      <c r="FS33" s="1161">
        <f t="array" ref="FS33">IFERROR(IF($FQ33="SEGMENT",INDEX('Margin Guidence Table'!$A$1:$AC$10000,MATCH(1,('Margin Guidence Table'!$A$1:$A$10000=FO33)*('Margin Guidence Table'!$H$1:$H$10000&lt;=ROUND($FG$3,0))*('Margin Guidence Table'!$G$1:$G$10000&gt;=ROUND($FG$3,0)),0),MATCH("SALES_LBS",'Margin Guidence Table'!$A$1:$AC$1,0)),INDEX('Margin Guidence Table'!$A$1:$AC$10000,MATCH(1,('Margin Guidence Table'!$A$1:$A$10000=FO33)*('Margin Guidence Table'!$H$1:$H$10000&lt;=ROUND($FG$3,0))*('Margin Guidence Table'!$G$1:$G$10000&gt;=ROUND($FG$3,0)),0),MATCH("DEFAULT_SALES_LBS",'Margin Guidence Table'!$A$1:$AC$1,0))),0)</f>
        <v>0</v>
      </c>
      <c r="FT33" s="1165">
        <f t="array" ref="FT33">IFERROR(IF($FQ33="SEGMENT",INDEX('Margin Guidence Table'!$A$1:$AC$10000,MATCH(1,('Margin Guidence Table'!$A$1:$A$10000=FO33)*('Margin Guidence Table'!$H$1:$H$10000&lt;=ROUND($FG$3,0))*('Margin Guidence Table'!$G$1:$G$10000&gt;=ROUND($FG$3,0)),0),MATCH("MDA_MIN_MARGIN_GUIDENCE",'Margin Guidence Table'!$A$1:$AC$1,0)),INDEX('Margin Guidence Table'!$A$1:$AC$10000,MATCH(1,('Margin Guidence Table'!$A$1:$A$10000=FO33)*('Margin Guidence Table'!$H$1:$H$10000&lt;=ROUND($FG$3,0))*('Margin Guidence Table'!$G$1:$G$10000&gt;=ROUND($FG$3,0)),0),MATCH("DEFAULT_MDA_MIN_MARGIN_GUIDENCE",'Margin Guidence Table'!$A$1:$AC$1,0))),0)</f>
        <v>0</v>
      </c>
      <c r="FU33" s="1165">
        <f t="array" ref="FU33">IFERROR(IF($FQ33="SEGMENT",INDEX('Margin Guidence Table'!$A$1:$AC$10000,MATCH(1,('Margin Guidence Table'!$A$1:$A$10000=FO33)*('Margin Guidence Table'!$H$1:$H$10000&lt;=ROUND($FG$3,0))*('Margin Guidence Table'!$G$1:$G$10000&gt;=ROUND($FG$3,0)),0),MATCH("MDA_MEDIAN_MARGIN_GUIDENCE",'Margin Guidence Table'!$A$1:$AC$1,0)),INDEX('Margin Guidence Table'!$A$1:$AC$10000,MATCH(1,('Margin Guidence Table'!$A$1:$A$10000=FO33)*('Margin Guidence Table'!$H$1:$H$10000&lt;=ROUND($FG$3,0))*('Margin Guidence Table'!$G$1:$G$10000&gt;=ROUND($FG$3,0)),0),MATCH("DEFAULT_MDA_MEDIAN_MARGIN_GUIDENCE",'Margin Guidence Table'!$A$1:$AC$1,0))),0)</f>
        <v>0</v>
      </c>
      <c r="FV33" s="1165">
        <f t="array" ref="FV33">IFERROR(IF($FQ33="SEGMENT",INDEX('Margin Guidence Table'!$A$1:$AC$10000,MATCH(1,('Margin Guidence Table'!$A$1:$A$10000=FO33)*('Margin Guidence Table'!$H$1:$H$10000&lt;=ROUND($FG$3,0))*('Margin Guidence Table'!$G$1:$G$10000&gt;=ROUND($FG$3,0)),0),MATCH("MDA_MAX_MARGIN_GUIDENCE",'Margin Guidence Table'!$A$1:$AC$1,0)),INDEX('Margin Guidence Table'!$A$1:$AC$10000,MATCH(1,('Margin Guidence Table'!$A$1:$A$10000=FO33)*('Margin Guidence Table'!$H$1:$H$10000&lt;=ROUND($FG$3,0))*('Margin Guidence Table'!$G$1:$G$10000&gt;=ROUND($FG$3,0)),0),MATCH("DEFAULT_MDA_MAX_MARGIN_GUIDENCE",'Margin Guidence Table'!$A$1:$AC$1,0))),0)</f>
        <v>0</v>
      </c>
      <c r="FW33" s="1165">
        <f t="array" ref="FW33">IFERROR(IF($FQ33="SEGMENT",INDEX('Margin Guidence Table'!$A$1:$AC$10000,MATCH(1,('Margin Guidence Table'!$A$1:$A$10000=FO33)*('Margin Guidence Table'!$H$1:$H$10000&lt;=ROUND($FG$3,0))*('Margin Guidence Table'!$G$1:$G$10000&gt;=ROUND($FG$3,0)),0),MATCH("PA_PCT_SALES",'Margin Guidence Table'!$A$1:$AC$1,0)),INDEX('Margin Guidence Table'!$A$1:$AC$10000,MATCH(1,('Margin Guidence Table'!$A$1:$A$10000=FO33)*('Margin Guidence Table'!$H$1:$H$10000&lt;=ROUND($FG$3,0))*('Margin Guidence Table'!$G$1:$G$10000&gt;=ROUND($FG$3,0)),0),MATCH("DEFAULT_PA_PCT_SALES",'Margin Guidence Table'!$A$1:$AC$1,0))),0)</f>
        <v>0</v>
      </c>
      <c r="FX33" s="1165">
        <f t="array" ref="FX33">IFERROR(IF($FQ33="SEGMENT",INDEX('Margin Guidence Table'!$A$1:$AC$10000,MATCH(1,('Margin Guidence Table'!$A$1:$A$10000=FO33)*('Margin Guidence Table'!$H$1:$H$10000&lt;=ROUND($FG$3,0))*('Margin Guidence Table'!$G$1:$G$10000&gt;=ROUND($FG$3,0)),0),MATCH("SELF_FUND_PCT_SALES",'Margin Guidence Table'!$A$1:$AC$1,0)),INDEX('Margin Guidence Table'!$A$1:$AC$10000,MATCH(1,('Margin Guidence Table'!$A$1:$A$10000=FO33)*('Margin Guidence Table'!$H$1:$H$10000&lt;=ROUND($FG$3,0))*('Margin Guidence Table'!$G$1:$G$10000&gt;=ROUND($FG$3,0)),0),MATCH("DEFAULT_SELF_FUND_PCT_SALES",'Margin Guidence Table'!$A$1:$AC$1,0))),0)</f>
        <v>0</v>
      </c>
      <c r="FY33" s="1165">
        <f t="array" ref="FY33">IFERROR(IF($FQ33="SEGMENT",INDEX('Margin Guidence Table'!$A$1:$AC$10000,MATCH(1,('Margin Guidence Table'!$A$1:$A$10000=FO33)*('Margin Guidence Table'!$H$1:$H$10000&lt;=ROUND($FG$3,0))*('Margin Guidence Table'!$G$1:$G$10000&gt;=ROUND($FG$3,0)),0),MATCH("CIA_MEDIAN_MARGIN_GUIDENCE",'Margin Guidence Table'!$A$1:$AC$1,0)),INDEX('Margin Guidence Table'!$A$1:$AC$10000,MATCH(1,('Margin Guidence Table'!$A$1:$A$10000=FO33)*('Margin Guidence Table'!$H$1:$H$10000&lt;=ROUND($FG$3,0))*('Margin Guidence Table'!$G$1:$G$10000&gt;=ROUND($FG$3,0)),0),MATCH("DEFAULT_CIA_MEDIAN_MARGIN_GUIDENCE",'Margin Guidence Table'!$A$1:$AC$1,0))),0)</f>
        <v>0</v>
      </c>
      <c r="FZ33" s="129"/>
      <c r="GA33" s="18">
        <f t="array" ref="GA33">IFERROR(IF($GM33="SEGMENT",INDEX('Margin Guidence Table'!$A$1:$AC$10000,MATCH(1,('Margin Guidence Table'!$A$1:$A$10000=$GK33)*('Margin Guidence Table'!$H$1:$H$10000&lt;=ROUND($GC$3,0))*('Margin Guidence Table'!$G$1:$G$10000&gt;=ROUND($GC$3,0)),0),MATCH("PCT_SALES",'Margin Guidence Table'!$A$1:$AC$1,0)),INDEX('Margin Guidence Table'!$A$1:$AC$10000,MATCH(1,('Margin Guidence Table'!$A$1:$A$10000=$GK33)*('Margin Guidence Table'!$H$1:$H$10000&lt;=ROUND($GC$3,0))*('Margin Guidence Table'!$G$1:$G$10000&gt;=ROUND($GC$3,0)),0),MATCH("DEFAULT_PCT_SALES",'Margin Guidence Table'!$A$1:$AC$1,0))),0)</f>
        <v>0</v>
      </c>
      <c r="GB33" s="102" t="s">
        <v>88</v>
      </c>
      <c r="GC33" s="94">
        <f>IFERROR(IF(AND($GC$2&lt;&gt;"Enter Spend&gt;&gt;&gt;",GD2="EXISTING"),SUMIFS('Existing Customers'!$Q:$Q,'Existing Customers'!$A:$A,$GC$1,'Existing Customers'!$H:$H,$GB33)*$GC$4,$GC$3*$GA33),0)</f>
        <v>0</v>
      </c>
      <c r="GD33" s="89">
        <f>IFERROR(IF(AND($GC$2&lt;&gt;"Enter Spend&gt;&gt;&gt;",GD2="EXISTING"),SUMIFS('Existing Customers'!$N:$N,'Existing Customers'!$A:$A,$GC$1,'Existing Customers'!$H:$H,$GB33)*$GC$4,$GC33/$GN33),0)</f>
        <v>0</v>
      </c>
      <c r="GE33" s="95">
        <f>IFERROR(IF(AND($GC$2&lt;&gt;"Enter Spend&gt;&gt;&gt;",GD2="EXISTING"),SUMIFS('Existing Customers'!$O:$O,'Existing Customers'!$H:$H,$GB33,'Existing Customers'!$A:$A,$GC$1)*$GC$4,$GD33*$GC$8),0)</f>
        <v>0</v>
      </c>
      <c r="GF33" s="95">
        <f>IFERROR(IF(AND($GC$2&lt;&gt;"Enter Spend&gt;&gt;&gt;",GD2="EXISTING"),SUMIFS('Existing Customers'!$P:$P,'Existing Customers'!$A:$A,$GC$1,'Existing Customers'!$H:$H,$GB33)*$GC$4,$GC33/$GO33),0)</f>
        <v>0</v>
      </c>
      <c r="GG33" s="96">
        <f>IFERROR(IF(AND($GC$2&lt;&gt;"Enter Spend&gt;&gt;&gt;",GD2="EXISTING"),SUMIFS('Existing Customers'!$V:$V,'Existing Customers'!$H:$H,$GB33,'Existing Customers'!$A:$A,$GC$1)*$GC$4,0),0)</f>
        <v>0</v>
      </c>
      <c r="GH33" s="96">
        <f>IFERROR(IF(AND($GC$2&lt;&gt;"Enter Spend&gt;&gt;&gt;",GD2="EXISTING"),SUMIFS('Existing Customers'!$R:$R,'Existing Customers'!$H:$H,$GB33,'Existing Customers'!$A:$A,$GC$1)*$GC$4,0),0)</f>
        <v>0</v>
      </c>
      <c r="GI33" s="1161">
        <f>IFERROR(IF(AND($GC$2&lt;&gt;"Enter Spend&gt;&gt;&gt;",GD2="EXISTING"),SUMIFS('Existing Customers'!$S:$S,'Existing Customers'!$H:$H,$GB33,'Existing Customers'!$A:$A,$GC$1),GS33*GC33),0)</f>
        <v>0</v>
      </c>
      <c r="GJ33" s="1161">
        <f>IFERROR(IF(AND($GC$2&lt;&gt;"Enter Spend&gt;&gt;&gt;",GD2="EXISTING"),SUMIFS('Existing Customers'!$U:$U,'Existing Customers'!$H:$H,$GB33,'Existing Customers'!$A:$A,$GC$1),GT33*GC33),0)</f>
        <v>0</v>
      </c>
      <c r="GK33" s="1164" t="e">
        <f t="shared" si="36"/>
        <v>#N/A</v>
      </c>
      <c r="GL33" s="1164">
        <f t="array" ref="GL33">IFERROR(INDEX('Margin Guidence Table'!$A$1:$AD$30000,MATCH(1,('Margin Guidence Table'!$A$1:$A$10000=GK33)*('Margin Guidence Table'!$H$1:$H$10000&lt;=ROUND($GC$3,0))*('Margin Guidence Table'!$G$1:$G$10000&gt;=ROUND($GC$3,0)),0),MATCH("DATA_POINTS",'Margin Guidence Table'!$A$1:$AC$1,0)),0)</f>
        <v>0</v>
      </c>
      <c r="GM33" s="1161" t="str">
        <f t="shared" si="37"/>
        <v>DEFAULT</v>
      </c>
      <c r="GN33" s="1161">
        <f t="array" ref="GN33">IFERROR(IF($GM33="SEGMENT",INDEX('Margin Guidence Table'!$A$1:$AC$10000,MATCH(1,('Margin Guidence Table'!$A$1:$A$10000=GK33)*('Margin Guidence Table'!$H$1:$H$10000&lt;=ROUND($GC$3,0))*('Margin Guidence Table'!$G$1:$G$10000&gt;=ROUND($GC$3,0)),0),MATCH("SALES_CASE",'Margin Guidence Table'!$A$1:$AC$1,0)),INDEX('Margin Guidence Table'!$A$1:$AC$10000,MATCH(1,('Margin Guidence Table'!$A$1:$A$10000=GK33)*('Margin Guidence Table'!$H$1:$H$10000&lt;=ROUND($GC$3,0))*('Margin Guidence Table'!$G$1:$G$10000&gt;=ROUND($GC$3,0)),0),MATCH("DEFAULT_SALES_CASE",'Margin Guidence Table'!$A$1:$AC$1,0))),0)</f>
        <v>0</v>
      </c>
      <c r="GO33" s="1161">
        <f t="array" ref="GO33">IFERROR(IF($GM33="SEGMENT",INDEX('Margin Guidence Table'!$A$1:$AC$10000,MATCH(1,('Margin Guidence Table'!$A$1:$A$10000=GK33)*('Margin Guidence Table'!$H$1:$H$10000&lt;=ROUND($GC$3,0))*('Margin Guidence Table'!$G$1:$G$10000&gt;=ROUND($GC$3,0)),0),MATCH("SALES_LBS",'Margin Guidence Table'!$A$1:$AC$1,0)),INDEX('Margin Guidence Table'!$A$1:$AC$10000,MATCH(1,('Margin Guidence Table'!$A$1:$A$10000=GK33)*('Margin Guidence Table'!$H$1:$H$10000&lt;=ROUND($GC$3,0))*('Margin Guidence Table'!$G$1:$G$10000&gt;=ROUND($GC$3,0)),0),MATCH("DEFAULT_SALES_LBS",'Margin Guidence Table'!$A$1:$AC$1,0))),0)</f>
        <v>0</v>
      </c>
      <c r="GP33" s="1165">
        <f t="array" ref="GP33">IFERROR(IF($GM33="SEGMENT",INDEX('Margin Guidence Table'!$A$1:$AC$10000,MATCH(1,('Margin Guidence Table'!$A$1:$A$10000=GK33)*('Margin Guidence Table'!$H$1:$H$10000&lt;=ROUND($GC$3,0))*('Margin Guidence Table'!$G$1:$G$10000&gt;=ROUND($GC$3,0)),0),MATCH("MDA_MIN_MARGIN_GUIDENCE",'Margin Guidence Table'!$A$1:$AC$1,0)),INDEX('Margin Guidence Table'!$A$1:$AC$10000,MATCH(1,('Margin Guidence Table'!$A$1:$A$10000=GK33)*('Margin Guidence Table'!$H$1:$H$10000&lt;=ROUND($GC$3,0))*('Margin Guidence Table'!$G$1:$G$10000&gt;=ROUND($GC$3,0)),0),MATCH("DEFAULT_MDA_MIN_MARGIN_GUIDENCE",'Margin Guidence Table'!$A$1:$AC$1,0))),0)</f>
        <v>0</v>
      </c>
      <c r="GQ33" s="1165">
        <f t="array" ref="GQ33">IFERROR(IF($GM33="SEGMENT",INDEX('Margin Guidence Table'!$A$1:$AC$10000,MATCH(1,('Margin Guidence Table'!$A$1:$A$10000=GK33)*('Margin Guidence Table'!$H$1:$H$10000&lt;=ROUND($GC$3,0))*('Margin Guidence Table'!$G$1:$G$10000&gt;=ROUND($GC$3,0)),0),MATCH("MDA_MEDIAN_MARGIN_GUIDENCE",'Margin Guidence Table'!$A$1:$AC$1,0)),INDEX('Margin Guidence Table'!$A$1:$AC$10000,MATCH(1,('Margin Guidence Table'!$A$1:$A$10000=GK33)*('Margin Guidence Table'!$H$1:$H$10000&lt;=ROUND($GC$3,0))*('Margin Guidence Table'!$G$1:$G$10000&gt;=ROUND($GC$3,0)),0),MATCH("DEFAULT_MDA_MEDIAN_MARGIN_GUIDENCE",'Margin Guidence Table'!$A$1:$AC$1,0))),0)</f>
        <v>0</v>
      </c>
      <c r="GR33" s="1165">
        <f t="array" ref="GR33">IFERROR(IF($GM33="SEGMENT",INDEX('Margin Guidence Table'!$A$1:$AC$10000,MATCH(1,('Margin Guidence Table'!$A$1:$A$10000=GK33)*('Margin Guidence Table'!$H$1:$H$10000&lt;=ROUND($GC$3,0))*('Margin Guidence Table'!$G$1:$G$10000&gt;=ROUND($GC$3,0)),0),MATCH("MDA_MAX_MARGIN_GUIDENCE",'Margin Guidence Table'!$A$1:$AC$1,0)),INDEX('Margin Guidence Table'!$A$1:$AC$10000,MATCH(1,('Margin Guidence Table'!$A$1:$A$10000=GK33)*('Margin Guidence Table'!$H$1:$H$10000&lt;=ROUND($GC$3,0))*('Margin Guidence Table'!$G$1:$G$10000&gt;=ROUND($GC$3,0)),0),MATCH("DEFAULT_MDA_MAX_MARGIN_GUIDENCE",'Margin Guidence Table'!$A$1:$AC$1,0))),0)</f>
        <v>0</v>
      </c>
      <c r="GS33" s="1165">
        <f t="array" ref="GS33">IFERROR(IF($GM33="SEGMENT",INDEX('Margin Guidence Table'!$A$1:$AC$10000,MATCH(1,('Margin Guidence Table'!$A$1:$A$10000=GK33)*('Margin Guidence Table'!$H$1:$H$10000&lt;=ROUND($GC$3,0))*('Margin Guidence Table'!$G$1:$G$10000&gt;=ROUND($GC$3,0)),0),MATCH("PA_PCT_SALES",'Margin Guidence Table'!$A$1:$AC$1,0)),INDEX('Margin Guidence Table'!$A$1:$AC$10000,MATCH(1,('Margin Guidence Table'!$A$1:$A$10000=GK33)*('Margin Guidence Table'!$H$1:$H$10000&lt;=ROUND($GC$3,0))*('Margin Guidence Table'!$G$1:$G$10000&gt;=ROUND($GC$3,0)),0),MATCH("DEFAULT_PA_PCT_SALES",'Margin Guidence Table'!$A$1:$AC$1,0))),0)</f>
        <v>0</v>
      </c>
      <c r="GT33" s="1165">
        <f t="array" ref="GT33">IFERROR(IF($GM33="SEGMENT",INDEX('Margin Guidence Table'!$A$1:$AC$10000,MATCH(1,('Margin Guidence Table'!$A$1:$A$10000=GK33)*('Margin Guidence Table'!$H$1:$H$10000&lt;=ROUND($GC$3,0))*('Margin Guidence Table'!$G$1:$G$10000&gt;=ROUND($GC$3,0)),0),MATCH("SELF_FUND_PCT_SALES",'Margin Guidence Table'!$A$1:$AC$1,0)),INDEX('Margin Guidence Table'!$A$1:$AC$10000,MATCH(1,('Margin Guidence Table'!$A$1:$A$10000=GK33)*('Margin Guidence Table'!$H$1:$H$10000&lt;=ROUND($GC$3,0))*('Margin Guidence Table'!$G$1:$G$10000&gt;=ROUND($GC$3,0)),0),MATCH("DEFAULT_SELF_FUND_PCT_SALES",'Margin Guidence Table'!$A$1:$AC$1,0))),0)</f>
        <v>0</v>
      </c>
      <c r="GU33" s="1165">
        <f t="array" ref="GU33">IFERROR(IF($GM33="SEGMENT",INDEX('Margin Guidence Table'!$A$1:$AC$10000,MATCH(1,('Margin Guidence Table'!$A$1:$A$10000=GK33)*('Margin Guidence Table'!$H$1:$H$10000&lt;=ROUND($GC$3,0))*('Margin Guidence Table'!$G$1:$G$10000&gt;=ROUND($GC$3,0)),0),MATCH("CIA_MEDIAN_MARGIN_GUIDENCE",'Margin Guidence Table'!$A$1:$AC$1,0)),INDEX('Margin Guidence Table'!$A$1:$AC$10000,MATCH(1,('Margin Guidence Table'!$A$1:$A$10000=GK33)*('Margin Guidence Table'!$H$1:$H$10000&lt;=ROUND($GC$3,0))*('Margin Guidence Table'!$G$1:$G$10000&gt;=ROUND($GC$3,0)),0),MATCH("DEFAULT_CIA_MEDIAN_MARGIN_GUIDENCE",'Margin Guidence Table'!$A$1:$AC$1,0))),0)</f>
        <v>0</v>
      </c>
      <c r="GV33" s="129"/>
      <c r="GW33" s="18">
        <f t="array" ref="GW33">IFERROR(IF($HI33="SEGMENT",INDEX('Margin Guidence Table'!$A$1:$AC$10000,MATCH(1,('Margin Guidence Table'!$A$1:$A$10000=$HG33)*('Margin Guidence Table'!$H$1:$H$10000&lt;=ROUND($GY$3,0))*('Margin Guidence Table'!$G$1:$G$10000&gt;=ROUND($GY$3,0)),0),MATCH("PCT_SALES",'Margin Guidence Table'!$A$1:$AC$1,0)),INDEX('Margin Guidence Table'!$A$1:$AC$10000,MATCH(1,('Margin Guidence Table'!$A$1:$A$10000=$HG33)*('Margin Guidence Table'!$H$1:$H$10000&lt;=ROUND($GY$3,0))*('Margin Guidence Table'!$G$1:$G$10000&gt;=ROUND($GY$3,0)),0),MATCH("DEFAULT_PCT_SALES",'Margin Guidence Table'!$A$1:$AC$1,0))),0)</f>
        <v>0</v>
      </c>
      <c r="GX33" s="102" t="s">
        <v>88</v>
      </c>
      <c r="GY33" s="94">
        <f>IFERROR(IF(AND($GY$2&lt;&gt;"Enter Spend&gt;&gt;&gt;",GZ2="EXISTING"),SUMIFS('Existing Customers'!$Q:$Q,'Existing Customers'!$A:$A,$GY$1,'Existing Customers'!$H:$H,$GX33)*$GY$4,$GY$3*$GW33),0)</f>
        <v>0</v>
      </c>
      <c r="GZ33" s="89">
        <f>IFERROR(IF(AND($GY$2&lt;&gt;"Enter Spend&gt;&gt;&gt;",GZ2="EXISTING"),SUMIFS('Existing Customers'!$N:$N,'Existing Customers'!$A:$A,$GY$1,'Existing Customers'!$H:$H,$GX33)*$GY$4,$GY33/$HJ33),0)</f>
        <v>0</v>
      </c>
      <c r="HA33" s="95">
        <f>IFERROR(IF(AND($GY$2&lt;&gt;"Enter Spend&gt;&gt;&gt;",GZ2="EXISTING"),SUMIFS('Existing Customers'!$O:$O,'Existing Customers'!$H:$H,$GX33,'Existing Customers'!$A:$A,$GY$1)*$GY$4,$GZ33*$GY$8),0)</f>
        <v>0</v>
      </c>
      <c r="HB33" s="95">
        <f>IFERROR(IF(AND($GY$2&lt;&gt;"Enter Spend&gt;&gt;&gt;",GZ2="EXISTING"),SUMIFS('Existing Customers'!$P:$P,'Existing Customers'!$A:$A,$GY$1,'Existing Customers'!$H:$H,$GX33)*$GY$4,$GY33/$HK33),0)</f>
        <v>0</v>
      </c>
      <c r="HC33" s="96">
        <f>IFERROR(IF(AND($GY$2&lt;&gt;"Enter Spend&gt;&gt;&gt;",GZ2="EXISTING"),SUMIFS('Existing Customers'!$V:$V,'Existing Customers'!$H:$H,$GX33,'Existing Customers'!$A:$A,$GY$1)*$GY$4,0),0)</f>
        <v>0</v>
      </c>
      <c r="HD33" s="96">
        <f>IFERROR(IF(AND($GY$2&lt;&gt;"Enter Spend&gt;&gt;&gt;",GZ2="EXISTING"),SUMIFS('Existing Customers'!$R:$R,'Existing Customers'!$H:$H,$GX33,'Existing Customers'!$A:$A,$GY$1)*$GY$4,0),0)</f>
        <v>0</v>
      </c>
      <c r="HE33" s="1161">
        <f>IFERROR(IF(AND($GY$2&lt;&gt;"Enter Spend&gt;&gt;&gt;",GZ2="EXISTING"),SUMIFS('Existing Customers'!$S:$S,'Existing Customers'!$H:$H,$GX33,'Existing Customers'!$A:$A,$GY$1),HO33*GY33),0)</f>
        <v>0</v>
      </c>
      <c r="HF33" s="1161">
        <f>IFERROR(IF(AND($GY$2&lt;&gt;"Enter Spend&gt;&gt;&gt;",GZ2="EXISTING"),SUMIFS('Existing Customers'!$U:$U,'Existing Customers'!$H:$H,$GX33,'Existing Customers'!$A:$A,$GY$1),HP33*GY33),0)</f>
        <v>0</v>
      </c>
      <c r="HG33" s="1164" t="e">
        <f t="shared" si="38"/>
        <v>#N/A</v>
      </c>
      <c r="HH33" s="1164">
        <f t="array" ref="HH33">IFERROR(INDEX('Margin Guidence Table'!$A$1:$AD$30000,MATCH(1,('Margin Guidence Table'!$A$1:$A$10000=HG33)*('Margin Guidence Table'!$H$1:$H$10000&lt;=ROUND($GY$3,0))*('Margin Guidence Table'!$G$1:$G$10000&gt;=ROUND($GY$3,0)),0),MATCH("DATA_POINTS",'Margin Guidence Table'!$A$1:$AC$1,0)),0)</f>
        <v>0</v>
      </c>
      <c r="HI33" s="1161" t="str">
        <f t="shared" si="39"/>
        <v>DEFAULT</v>
      </c>
      <c r="HJ33" s="1161">
        <f t="array" ref="HJ33">IFERROR(IF($HI33="SEGMENT",INDEX('Margin Guidence Table'!$A$1:$AC$10000,MATCH(1,('Margin Guidence Table'!$A$1:$A$10000=HG33)*('Margin Guidence Table'!$H$1:$H$10000&lt;=ROUND($GY$3,0))*('Margin Guidence Table'!$G$1:$G$10000&gt;=ROUND($GY$3,0)),0),MATCH("SALES_CASE",'Margin Guidence Table'!$A$1:$AC$1,0)),INDEX('Margin Guidence Table'!$A$1:$AC$10000,MATCH(1,('Margin Guidence Table'!$A$1:$A$10000=HG33)*('Margin Guidence Table'!$H$1:$H$10000&lt;=ROUND($GY$3,0))*('Margin Guidence Table'!$G$1:$G$10000&gt;=ROUND($GY$3,0)),0),MATCH("DEFAULT_SALES_CASE",'Margin Guidence Table'!$A$1:$AC$1,0))),0)</f>
        <v>0</v>
      </c>
      <c r="HK33" s="1161">
        <f t="array" ref="HK33">IFERROR(IF($HI33="SEGMENT",INDEX('Margin Guidence Table'!$A$1:$AC$10000,MATCH(1,('Margin Guidence Table'!$A$1:$A$10000=HG33)*('Margin Guidence Table'!$H$1:$H$10000&lt;=ROUND($GY$3,0))*('Margin Guidence Table'!$G$1:$G$10000&gt;=ROUND($GY$3,0)),0),MATCH("SALES_LBS",'Margin Guidence Table'!$A$1:$AC$1,0)),INDEX('Margin Guidence Table'!$A$1:$AC$10000,MATCH(1,('Margin Guidence Table'!$A$1:$A$10000=HG33)*('Margin Guidence Table'!$H$1:$H$10000&lt;=ROUND($GY$3,0))*('Margin Guidence Table'!$G$1:$G$10000&gt;=ROUND($GY$3,0)),0),MATCH("DEFAULT_SALES_LBS",'Margin Guidence Table'!$A$1:$AC$1,0))),0)</f>
        <v>0</v>
      </c>
      <c r="HL33" s="1165">
        <f t="array" ref="HL33">IFERROR(IF($HI33="SEGMENT",INDEX('Margin Guidence Table'!$A$1:$AC$10000,MATCH(1,('Margin Guidence Table'!$A$1:$A$10000=HG33)*('Margin Guidence Table'!$H$1:$H$10000&lt;=ROUND($GY$3,0))*('Margin Guidence Table'!$G$1:$G$10000&gt;=ROUND($GY$3,0)),0),MATCH("MDA_MIN_MARGIN_GUIDENCE",'Margin Guidence Table'!$A$1:$AC$1,0)),INDEX('Margin Guidence Table'!$A$1:$AC$10000,MATCH(1,('Margin Guidence Table'!$A$1:$A$10000=HG33)*('Margin Guidence Table'!$H$1:$H$10000&lt;=ROUND($GY$3,0))*('Margin Guidence Table'!$G$1:$G$10000&gt;=ROUND($GY$3,0)),0),MATCH("DEFAULT_MDA_MIN_MARGIN_GUIDENCE",'Margin Guidence Table'!$A$1:$AC$1,0))),0)</f>
        <v>0</v>
      </c>
      <c r="HM33" s="1165">
        <f t="array" ref="HM33">IFERROR(IF($HI33="SEGMENT",INDEX('Margin Guidence Table'!$A$1:$AC$10000,MATCH(1,('Margin Guidence Table'!$A$1:$A$10000=HG33)*('Margin Guidence Table'!$H$1:$H$10000&lt;=ROUND($GY$3,0))*('Margin Guidence Table'!$G$1:$G$10000&gt;=ROUND($GY$3,0)),0),MATCH("MDA_MEDIAN_MARGIN_GUIDENCE",'Margin Guidence Table'!$A$1:$AC$1,0)),INDEX('Margin Guidence Table'!$A$1:$AC$10000,MATCH(1,('Margin Guidence Table'!$A$1:$A$10000=HG33)*('Margin Guidence Table'!$H$1:$H$10000&lt;=ROUND($GY$3,0))*('Margin Guidence Table'!$G$1:$G$10000&gt;=ROUND($GY$3,0)),0),MATCH("DEFAULT_MDA_MEDIAN_MARGIN_GUIDENCE",'Margin Guidence Table'!$A$1:$AC$1,0))),0)</f>
        <v>0</v>
      </c>
      <c r="HN33" s="1165">
        <f t="array" ref="HN33">IFERROR(IF($HI33="SEGMENT",INDEX('Margin Guidence Table'!$A$1:$AC$10000,MATCH(1,('Margin Guidence Table'!$A$1:$A$10000=HG33)*('Margin Guidence Table'!$H$1:$H$10000&lt;=ROUND($GY$3,0))*('Margin Guidence Table'!$G$1:$G$10000&gt;=ROUND($GY$3,0)),0),MATCH("MDA_MAX_MARGIN_GUIDENCE",'Margin Guidence Table'!$A$1:$AC$1,0)),INDEX('Margin Guidence Table'!$A$1:$AC$10000,MATCH(1,('Margin Guidence Table'!$A$1:$A$10000=HG33)*('Margin Guidence Table'!$H$1:$H$10000&lt;=ROUND($GY$3,0))*('Margin Guidence Table'!$G$1:$G$10000&gt;=ROUND($GY$3,0)),0),MATCH("DEFAULT_MDA_MAX_MARGIN_GUIDENCE",'Margin Guidence Table'!$A$1:$AC$1,0))),0)</f>
        <v>0</v>
      </c>
      <c r="HO33" s="1165">
        <f t="array" ref="HO33">IFERROR(IF($HI33="SEGMENT",INDEX('Margin Guidence Table'!$A$1:$AC$10000,MATCH(1,('Margin Guidence Table'!$A$1:$A$10000=HG33)*('Margin Guidence Table'!$H$1:$H$10000&lt;=ROUND($GY$3,0))*('Margin Guidence Table'!$G$1:$G$10000&gt;=ROUND($GY$3,0)),0),MATCH("PA_PCT_SALES",'Margin Guidence Table'!$A$1:$AC$1,0)),INDEX('Margin Guidence Table'!$A$1:$AC$10000,MATCH(1,('Margin Guidence Table'!$A$1:$A$10000=HG33)*('Margin Guidence Table'!$H$1:$H$10000&lt;=ROUND($GY$3,0))*('Margin Guidence Table'!$G$1:$G$10000&gt;=ROUND($GY$3,0)),0),MATCH("DEFAULT_PA_PCT_SALES",'Margin Guidence Table'!$A$1:$AC$1,0))),0)</f>
        <v>0</v>
      </c>
      <c r="HP33" s="1165">
        <f t="array" ref="HP33">IFERROR(IF($HI33="SEGMENT",INDEX('Margin Guidence Table'!$A$1:$AC$10000,MATCH(1,('Margin Guidence Table'!$A$1:$A$10000=HG33)*('Margin Guidence Table'!$H$1:$H$10000&lt;=ROUND($GY$3,0))*('Margin Guidence Table'!$G$1:$G$10000&gt;=ROUND($GY$3,0)),0),MATCH("SELF_FUND_PCT_SALES",'Margin Guidence Table'!$A$1:$AC$1,0)),INDEX('Margin Guidence Table'!$A$1:$AC$10000,MATCH(1,('Margin Guidence Table'!$A$1:$A$10000=HG33)*('Margin Guidence Table'!$H$1:$H$10000&lt;=ROUND($GY$3,0))*('Margin Guidence Table'!$G$1:$G$10000&gt;=ROUND($GY$3,0)),0),MATCH("DEFAULT_SELF_FUND_PCT_SALES",'Margin Guidence Table'!$A$1:$AC$1,0))),0)</f>
        <v>0</v>
      </c>
      <c r="HQ33" s="1165">
        <f t="array" ref="HQ33">IFERROR(IF($HI33="SEGMENT",INDEX('Margin Guidence Table'!$A$1:$AC$10000,MATCH(1,('Margin Guidence Table'!$A$1:$A$10000=HG33)*('Margin Guidence Table'!$H$1:$H$10000&lt;=ROUND($GY$3,0))*('Margin Guidence Table'!$G$1:$G$10000&gt;=ROUND($GY$3,0)),0),MATCH("CIA_MEDIAN_MARGIN_GUIDENCE",'Margin Guidence Table'!$A$1:$AC$1,0)),INDEX('Margin Guidence Table'!$A$1:$AC$10000,MATCH(1,('Margin Guidence Table'!$A$1:$A$10000=HG33)*('Margin Guidence Table'!$H$1:$H$10000&lt;=ROUND($GY$3,0))*('Margin Guidence Table'!$G$1:$G$10000&gt;=ROUND($GY$3,0)),0),MATCH("DEFAULT_CIA_MEDIAN_MARGIN_GUIDENCE",'Margin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Spend&gt;&gt;&gt;",HV2="EXISTING"),SUMIFS('Existing Customers'!$Q:$Q,'Existing Customers'!$A:$A,$HU$1,'Existing Customers'!$H:$H,$HT33)*$HU$4,$HU$3*$HS33),0)</f>
        <v>0</v>
      </c>
      <c r="HV33" s="89">
        <f>IFERROR(IF(AND($HU$2&lt;&gt;"Enter Spend&gt;&gt;&gt;",HV2="EXISTING"),SUMIFS('Existing Customers'!$N:$N,'Existing Customers'!$A:$A,$HU$1,'Existing Customers'!$H:$H,$HT33)*$HU$4,$HU33/$IF33),0)</f>
        <v>0</v>
      </c>
      <c r="HW33" s="95">
        <f>IFERROR(IF(AND($HU$2&lt;&gt;"Enter Spend&gt;&gt;&gt;",HV2="EXISTING"),SUMIFS('Existing Customers'!$O:$O,'Existing Customers'!$H:$H,$HT33,'Existing Customers'!$A:$A,$HU$1)*$HU$4,$HV33*$HU$8),0)</f>
        <v>0</v>
      </c>
      <c r="HX33" s="95">
        <f>IFERROR(IF(AND($HU$2&lt;&gt;"Enter Spend&gt;&gt;&gt;",HV2="EXISTING"),SUMIFS('Existing Customers'!$P:$P,'Existing Customers'!$A:$A,$HU$1,'Existing Customers'!$H:$H,$HT33)*$HU$4,$HU33/$IG33),0)</f>
        <v>0</v>
      </c>
      <c r="HY33" s="402">
        <f>IFERROR(IF(AND($HU$2&lt;&gt;"Enter Spend&gt;&gt;&gt;",HV2="EXISTING"),SUMIFS('Existing Customers'!$V:$V,'Existing Customers'!$H:$H,$HT33,'Existing Customers'!$A:$A,$HU$1)*$HU$4,0),0)</f>
        <v>0</v>
      </c>
      <c r="HZ33" s="96">
        <f>IFERROR(IF(AND($HU$2&lt;&gt;"Enter Spend&gt;&gt;&gt;",HV2="EXISTING"),SUMIFS('Existing Customers'!$R:$R,'Existing Customers'!$H:$H,$HT33,'Existing Customers'!$A:$A,$HU$1)*$HU$4,0),0)</f>
        <v>0</v>
      </c>
      <c r="IA33" s="1161">
        <f>IFERROR(IF(AND($HU$2&lt;&gt;"Enter Spend&gt;&gt;&gt;",HV2="EXISTING"),SUMIFS('Existing Customers'!$S:$S,'Existing Customers'!$H:$H,$HT33,'Existing Customers'!$A:$A,$HU$1),IK33*HU33),0)</f>
        <v>0</v>
      </c>
      <c r="IB33" s="1161">
        <f>IFERROR(IF(AND($HU$2&lt;&gt;"Enter Spend&gt;&gt;&gt;",HV2="EXISTING"),SUMIFS('Existing Customers'!$U:$U,'Existing Customers'!$H:$H,$HT33,'Existing Customers'!$A:$A,$HU$1),IL33*HU33),0)</f>
        <v>0</v>
      </c>
      <c r="IC33" s="1164" t="e">
        <f t="shared" si="40"/>
        <v>#N/A</v>
      </c>
      <c r="ID33" s="1164">
        <f t="array" ref="ID33">IFERROR(INDEX('Margin Guidence Table'!$A$1:$AD$30000,MATCH(1,('Margin Guidence Table'!$A$1:$A$10000=IC33)*('Margin Guidence Table'!$H$1:$H$10000&lt;=ROUND($HU$3,0))*('Margin Guidence Table'!$G$1:$G$10000&gt;=ROUND($HU$3,0)),0),MATCH("DATA_POINTS",'Margin Guidence Table'!$A$1:$AC$1,0)),0)</f>
        <v>0</v>
      </c>
      <c r="IE33" s="1161" t="str">
        <f t="shared" si="41"/>
        <v>DEFAULT</v>
      </c>
      <c r="IF33" s="1161">
        <f t="array" ref="IF33">IFERROR(IF($IE33="SEGMENT",INDEX('Margin Guidence Table'!$A$1:$AC$10000,MATCH(1,('Margin Guidence Table'!$A$1:$A$10000=IC33)*('Margin Guidence Table'!$H$1:$H$10000&lt;=ROUND($HU$3,0))*('Margin Guidence Table'!$G$1:$G$10000&gt;=ROUND($HU$3,0)),0),MATCH("SALES_CASE",'Margin Guidence Table'!$A$1:$AC$1,0)),INDEX('Margin Guidence Table'!$A$1:$AC$10000,MATCH(1,('Margin Guidence Table'!$A$1:$A$10000=IC33)*('Margin Guidence Table'!$H$1:$H$10000&lt;=ROUND($HU$3,0))*('Margin Guidence Table'!$G$1:$G$10000&gt;=ROUND($HU$3,0)),0),MATCH("DEFAULT_SALES_CASE",'Margin Guidence Table'!$A$1:$AC$1,0))),0)</f>
        <v>0</v>
      </c>
      <c r="IG33" s="1161">
        <f t="array" ref="IG33">IFERROR(IF($IE33="SEGMENT",INDEX('Margin Guidence Table'!$A$1:$AC$10000,MATCH(1,('Margin Guidence Table'!$A$1:$A$10000=IC33)*('Margin Guidence Table'!$H$1:$H$10000&lt;=ROUND($HU$3,0))*('Margin Guidence Table'!$G$1:$G$10000&gt;=ROUND($HU$3,0)),0),MATCH("SALES_LBS",'Margin Guidence Table'!$A$1:$AC$1,0)),INDEX('Margin Guidence Table'!$A$1:$AC$10000,MATCH(1,('Margin Guidence Table'!$A$1:$A$10000=IC33)*('Margin Guidence Table'!$H$1:$H$10000&lt;=ROUND($HU$3,0))*('Margin Guidence Table'!$G$1:$G$10000&gt;=ROUND($HU$3,0)),0),MATCH("DEFAULT_SALES_LBS",'Margin Guidence Table'!$A$1:$AC$1,0))),0)</f>
        <v>0</v>
      </c>
      <c r="IH33" s="1165">
        <f t="array" ref="IH33">IFERROR(IF($IE33="SEGMENT",INDEX('Margin Guidence Table'!$A$1:$AC$10000,MATCH(1,('Margin Guidence Table'!$A$1:$A$10000=IC33)*('Margin Guidence Table'!$H$1:$H$10000&lt;=ROUND($HU$3,0))*('Margin Guidence Table'!$G$1:$G$10000&gt;=ROUND($HU$3,0)),0),MATCH("MDA_MIN_MARGIN_GUIDENCE",'Margin Guidence Table'!$A$1:$AC$1,0)),INDEX('Margin Guidence Table'!$A$1:$AC$10000,MATCH(1,('Margin Guidence Table'!$A$1:$A$10000=IC33)*('Margin Guidence Table'!$H$1:$H$10000&lt;=ROUND($HU$3,0))*('Margin Guidence Table'!$G$1:$G$10000&gt;=ROUND($HU$3,0)),0),MATCH("DEFAULT_MDA_MIN_MARGIN_GUIDENCE",'Margin Guidence Table'!$A$1:$AC$1,0))),0)</f>
        <v>0</v>
      </c>
      <c r="II33" s="1165">
        <f t="array" ref="II33">IFERROR(IF($IE33="SEGMENT",INDEX('Margin Guidence Table'!$A$1:$AC$10000,MATCH(1,('Margin Guidence Table'!$A$1:$A$10000=IC33)*('Margin Guidence Table'!$H$1:$H$10000&lt;=ROUND($HU$3,0))*('Margin Guidence Table'!$G$1:$G$10000&gt;=ROUND($HU$3,0)),0),MATCH("MDA_MEDIAN_MARGIN_GUIDENCE",'Margin Guidence Table'!$A$1:$AC$1,0)),INDEX('Margin Guidence Table'!$A$1:$AC$10000,MATCH(1,('Margin Guidence Table'!$A$1:$A$10000=IC33)*('Margin Guidence Table'!$H$1:$H$10000&lt;=ROUND($HU$3,0))*('Margin Guidence Table'!$G$1:$G$10000&gt;=ROUND($HU$3,0)),0),MATCH("DEFAULT_MDA_MEDIAN_MARGIN_GUIDENCE",'Margin Guidence Table'!$A$1:$AC$1,0))),0)</f>
        <v>0</v>
      </c>
      <c r="IJ33" s="1165">
        <f t="array" ref="IJ33">IFERROR(IF($IE33="SEGMENT",INDEX('Margin Guidence Table'!$A$1:$AC$10000,MATCH(1,('Margin Guidence Table'!$A$1:$A$10000=IC33)*('Margin Guidence Table'!$H$1:$H$10000&lt;=ROUND($HU$3,0))*('Margin Guidence Table'!$G$1:$G$10000&gt;=ROUND($HU$3,0)),0),MATCH("MDA_MAX_MARGIN_GUIDENCE",'Margin Guidence Table'!$A$1:$AC$1,0)),INDEX('Margin Guidence Table'!$A$1:$AC$10000,MATCH(1,('Margin Guidence Table'!$A$1:$A$10000=IC33)*('Margin Guidence Table'!$H$1:$H$10000&lt;=ROUND($HU$3,0))*('Margin Guidence Table'!$G$1:$G$10000&gt;=ROUND($HU$3,0)),0),MATCH("DEFAULT_MDA_MAX_MARGIN_GUIDENCE",'Margin Guidence Table'!$A$1:$AC$1,0))),0)</f>
        <v>0</v>
      </c>
      <c r="IK33" s="1165">
        <f t="array" ref="IK33">IFERROR(IF($IE33="SEGMENT",INDEX('Margin Guidence Table'!$A$1:$AC$10000,MATCH(1,('Margin Guidence Table'!$A$1:$A$10000=IC33)*('Margin Guidence Table'!$H$1:$H$10000&lt;=ROUND($HU$3,0))*('Margin Guidence Table'!$G$1:$G$10000&gt;=ROUND($HU$3,0)),0),MATCH("PA_PCT_SALES",'Margin Guidence Table'!$A$1:$AC$1,0)),INDEX('Margin Guidence Table'!$A$1:$AC$10000,MATCH(1,('Margin Guidence Table'!$A$1:$A$10000=IC33)*('Margin Guidence Table'!$H$1:$H$10000&lt;=ROUND($HU$3,0))*('Margin Guidence Table'!$G$1:$G$10000&gt;=ROUND($HU$3,0)),0),MATCH("DEFAULT_PA_PCT_SALES",'Margin Guidence Table'!$A$1:$AC$1,0))),0)</f>
        <v>0</v>
      </c>
      <c r="IL33" s="1165">
        <f t="array" ref="IL33">IFERROR(IF($IE33="SEGMENT",INDEX('Margin Guidence Table'!$A$1:$AC$10000,MATCH(1,('Margin Guidence Table'!$A$1:$A$10000=IC33)*('Margin Guidence Table'!$H$1:$H$10000&lt;=ROUND($HU$3,0))*('Margin Guidence Table'!$G$1:$G$10000&gt;=ROUND($HU$3,0)),0),MATCH("SELF_FUND_PCT_SALES",'Margin Guidence Table'!$A$1:$AC$1,0)),INDEX('Margin Guidence Table'!$A$1:$AC$10000,MATCH(1,('Margin Guidence Table'!$A$1:$A$10000=IC33)*('Margin Guidence Table'!$H$1:$H$10000&lt;=ROUND($HU$3,0))*('Margin Guidence Table'!$G$1:$G$10000&gt;=ROUND($HU$3,0)),0),MATCH("DEFAULT_SELF_FUND_PCT_SALES",'Margin Guidence Table'!$A$1:$AC$1,0))),0)</f>
        <v>0</v>
      </c>
      <c r="IM33" s="1165">
        <f t="array" ref="IM33">IFERROR(IF($IE33="SEGMENT",INDEX('Margin Guidence Table'!$A$1:$AC$10000,MATCH(1,('Margin Guidence Table'!$A$1:$A$10000=IC33)*('Margin Guidence Table'!$H$1:$H$10000&lt;=ROUND($HU$3,0))*('Margin Guidence Table'!$G$1:$G$10000&gt;=ROUND($HU$3,0)),0),MATCH("CIA_MEDIAN_MARGIN_GUIDENCE",'Margin Guidence Table'!$A$1:$AC$1,0)),INDEX('Margin Guidence Table'!$A$1:$AC$10000,MATCH(1,('Margin Guidence Table'!$A$1:$A$10000=IC33)*('Margin Guidence Table'!$H$1:$H$10000&lt;=ROUND($HU$3,0))*('Margin Guidence Table'!$G$1:$G$10000&gt;=ROUND($HU$3,0)),0),MATCH("DEFAULT_CIA_MEDIAN_MARGIN_GUIDENCE",'Margin Guidence Table'!$A$1:$AC$1,0))),0)</f>
        <v>0</v>
      </c>
      <c r="IN33" s="129"/>
      <c r="IO33" s="18">
        <f t="array" ref="IO33">IFERROR(IF($JA33="SEGMENT",INDEX('Margin Guidence Table'!$A$1:$AC$10000,MATCH(1,('Margin Guidence Table'!$A$1:$A$10000=$IY33)*('Margin Guidence Table'!$H$1:$H$10000&lt;=ROUND($IQ$3,0))*('Margin Guidence Table'!$G$1:$G$10000&gt;=ROUND($IQ$3,0)),0),MATCH("PCT_SALES",'Margin Guidence Table'!$A$1:$AC$1,0)),INDEX('Margin Guidence Table'!$A$1:$AC$10000,MATCH(1,('Margin Guidence Table'!$A$1:$A$10000=$IY33)*('Margin Guidence Table'!$H$1:$H$10000&lt;=ROUND($IQ$3,0))*('Margin Guidence Table'!$G$1:$G$10000&gt;=ROUND($IQ$3,0)),0),MATCH("DEFAULT_PCT_SALES",'Margin Guidence Table'!$A$1:$AC$1,0))),0)</f>
        <v>0</v>
      </c>
      <c r="IP33" s="102" t="s">
        <v>88</v>
      </c>
      <c r="IQ33" s="94">
        <f>IFERROR(IF(AND($IQ$2&lt;&gt;"Enter Spend&gt;&gt;&gt;",IR2="EXISTING"),SUMIFS('Existing Customers'!$Q:$Q,'Existing Customers'!$A:$A,$IQ$1,'Existing Customers'!$H:$H,$IP33)*$IQ$4,$IQ$3*$IO33),0)</f>
        <v>0</v>
      </c>
      <c r="IR33" s="89">
        <f>IFERROR(IF(AND($IQ$2&lt;&gt;"Enter Spend&gt;&gt;&gt;",IR2="EXISTING"),SUMIFS('Existing Customers'!$N:$N,'Existing Customers'!$A:$A,$IQ$1,'Existing Customers'!$H:$H,$IP33)*$IQ$4,$IQ33/$JB33),0)</f>
        <v>0</v>
      </c>
      <c r="IS33" s="95">
        <f>IFERROR(IF(AND($IQ$2&lt;&gt;"Enter Spend&gt;&gt;&gt;",IR2="EXISTING"),SUMIFS('Existing Customers'!$O:$O,'Existing Customers'!$H:$H,$IP33,'Existing Customers'!$A:$A,$IQ$1)*$IQ$4,$IR33*$IQ$8),0)</f>
        <v>0</v>
      </c>
      <c r="IT33" s="95">
        <f>IFERROR(IF(AND($IQ$2&lt;&gt;"Enter Spend&gt;&gt;&gt;",IR2="EXISTING"),SUMIFS('Existing Customers'!$P:$P,'Existing Customers'!$A:$A,$IQ$1,'Existing Customers'!$H:$H,$IP33)*$IQ$4,$IQ33/$JC33),0)</f>
        <v>0</v>
      </c>
      <c r="IU33" s="402">
        <f>IFERROR(IF(AND($IQ$2&lt;&gt;"Enter Spend&gt;&gt;&gt;",IR2="EXISTING"),SUMIFS('Existing Customers'!$V:$V,'Existing Customers'!$H:$H,$IP33,'Existing Customers'!$A:$A,$IQ$1)*$IQ$4,0),0)</f>
        <v>0</v>
      </c>
      <c r="IV33" s="96">
        <f>IFERROR(IF(AND($IQ$2&lt;&gt;"Enter Spend&gt;&gt;&gt;",IR2="EXISTING"),SUMIFS('Existing Customers'!$R:$R,'Existing Customers'!$H:$H,$IP33,'Existing Customers'!$A:$A,$IQ$1)*$IQ$4,0),0)</f>
        <v>0</v>
      </c>
      <c r="IW33" s="1161">
        <f>IFERROR(IF(AND($IQ$2&lt;&gt;"Enter Spend&gt;&gt;&gt;",IR2="EXISTING"),SUMIFS('Existing Customers'!$S:$S,'Existing Customers'!$H:$H,$IP33,'Existing Customers'!$A:$A,$IQ$1),JG33*IQ33),0)</f>
        <v>0</v>
      </c>
      <c r="IX33" s="1161">
        <f>IFERROR(IF(AND($IQ$2&lt;&gt;"Enter Spend&gt;&gt;&gt;",IR2="EXISTING"),SUMIFS('Existing Customers'!$U:$U,'Existing Customers'!$H:$H,$IP33,'Existing Customers'!$A:$A,$IQ$1),JH33*IQ33),0)</f>
        <v>0</v>
      </c>
      <c r="IY33" s="1164" t="e">
        <f t="shared" si="42"/>
        <v>#N/A</v>
      </c>
      <c r="IZ33" s="1164">
        <f t="array" ref="IZ33">IFERROR(INDEX('Margin Guidence Table'!$A$1:$AD$30000,MATCH(1,('Margin Guidence Table'!$A$1:$A$10000=IY33)*('Margin Guidence Table'!$H$1:$H$10000&lt;=ROUND($IQ$3,0))*('Margin Guidence Table'!$G$1:$G$10000&gt;=ROUND($IQ$3,0)),0),MATCH("DATA_POINTS",'Margin Guidence Table'!$A$1:$AC$1,0)),0)</f>
        <v>0</v>
      </c>
      <c r="JA33" s="1161" t="str">
        <f t="shared" si="43"/>
        <v>DEFAULT</v>
      </c>
      <c r="JB33" s="1161">
        <f t="array" ref="JB33">IFERROR(IF($JA33="SEGMENT",INDEX('Margin Guidence Table'!$A$1:$AC$10000,MATCH(1,('Margin Guidence Table'!$A$1:$A$10000=IY33)*('Margin Guidence Table'!$H$1:$H$10000&lt;=ROUND($IQ$3,0))*('Margin Guidence Table'!$G$1:$G$10000&gt;=ROUND($IQ$3,0)),0),MATCH("SALES_CASE",'Margin Guidence Table'!$A$1:$AC$1,0)),INDEX('Margin Guidence Table'!$A$1:$AC$10000,MATCH(1,('Margin Guidence Table'!$A$1:$A$10000=IY33)*('Margin Guidence Table'!$H$1:$H$10000&lt;=ROUND($IQ$3,0))*('Margin Guidence Table'!$G$1:$G$10000&gt;=ROUND($IQ$3,0)),0),MATCH("DEFAULT_SALES_CASE",'Margin Guidence Table'!$A$1:$AC$1,0))),0)</f>
        <v>0</v>
      </c>
      <c r="JC33" s="1161">
        <f t="array" ref="JC33">IFERROR(IF($JA33="SEGMENT",INDEX('Margin Guidence Table'!$A$1:$AC$10000,MATCH(1,('Margin Guidence Table'!$A$1:$A$10000=IY33)*('Margin Guidence Table'!$H$1:$H$10000&lt;=ROUND($IQ$3,0))*('Margin Guidence Table'!$G$1:$G$10000&gt;=ROUND($IQ$3,0)),0),MATCH("SALES_LBS",'Margin Guidence Table'!$A$1:$AC$1,0)),INDEX('Margin Guidence Table'!$A$1:$AC$10000,MATCH(1,('Margin Guidence Table'!$A$1:$A$10000=IY33)*('Margin Guidence Table'!$H$1:$H$10000&lt;=ROUND($IQ$3,0))*('Margin Guidence Table'!$G$1:$G$10000&gt;=ROUND($IQ$3,0)),0),MATCH("DEFAULT_SALES_LBS",'Margin Guidence Table'!$A$1:$AC$1,0))),0)</f>
        <v>0</v>
      </c>
      <c r="JD33" s="1165">
        <f t="array" ref="JD33">IFERROR(IF($JA33="SEGMENT",INDEX('Margin Guidence Table'!$A$1:$AC$10000,MATCH(1,('Margin Guidence Table'!$A$1:$A$10000=IY33)*('Margin Guidence Table'!$H$1:$H$10000&lt;=ROUND($IQ$3,0))*('Margin Guidence Table'!$G$1:$G$10000&gt;=ROUND($IQ$3,0)),0),MATCH("MDA_MIN_MARGIN_GUIDENCE",'Margin Guidence Table'!$A$1:$AC$1,0)),INDEX('Margin Guidence Table'!$A$1:$AC$10000,MATCH(1,('Margin Guidence Table'!$A$1:$A$10000=IY33)*('Margin Guidence Table'!$H$1:$H$10000&lt;=ROUND($IQ$3,0))*('Margin Guidence Table'!$G$1:$G$10000&gt;=ROUND($IQ$3,0)),0),MATCH("DEFAULT_MDA_MIN_MARGIN_GUIDENCE",'Margin Guidence Table'!$A$1:$AC$1,0))),0)</f>
        <v>0</v>
      </c>
      <c r="JE33" s="1165">
        <f t="array" ref="JE33">IFERROR(IF($JA33="SEGMENT",INDEX('Margin Guidence Table'!$A$1:$AC$10000,MATCH(1,('Margin Guidence Table'!$A$1:$A$10000=IY33)*('Margin Guidence Table'!$H$1:$H$10000&lt;=ROUND($IQ$3,0))*('Margin Guidence Table'!$G$1:$G$10000&gt;=ROUND($IQ$3,0)),0),MATCH("MDA_MEDIAN_MARGIN_GUIDENCE",'Margin Guidence Table'!$A$1:$AC$1,0)),INDEX('Margin Guidence Table'!$A$1:$AC$10000,MATCH(1,('Margin Guidence Table'!$A$1:$A$10000=IY33)*('Margin Guidence Table'!$H$1:$H$10000&lt;=ROUND($IQ$3,0))*('Margin Guidence Table'!$G$1:$G$10000&gt;=ROUND($IQ$3,0)),0),MATCH("DEFAULT_MDA_MEDIAN_MARGIN_GUIDENCE",'Margin Guidence Table'!$A$1:$AC$1,0))),0)</f>
        <v>0</v>
      </c>
      <c r="JF33" s="1165">
        <f t="array" ref="JF33">IFERROR(IF($JA33="SEGMENT",INDEX('Margin Guidence Table'!$A$1:$AC$10000,MATCH(1,('Margin Guidence Table'!$A$1:$A$10000=IY33)*('Margin Guidence Table'!$H$1:$H$10000&lt;=ROUND($IQ$3,0))*('Margin Guidence Table'!$G$1:$G$10000&gt;=ROUND($IQ$3,0)),0),MATCH("MDA_MAX_MARGIN_GUIDENCE",'Margin Guidence Table'!$A$1:$AC$1,0)),INDEX('Margin Guidence Table'!$A$1:$AC$10000,MATCH(1,('Margin Guidence Table'!$A$1:$A$10000=IY33)*('Margin Guidence Table'!$H$1:$H$10000&lt;=ROUND($IQ$3,0))*('Margin Guidence Table'!$G$1:$G$10000&gt;=ROUND($IQ$3,0)),0),MATCH("DEFAULT_MDA_MAX_MARGIN_GUIDENCE",'Margin Guidence Table'!$A$1:$AC$1,0))),0)</f>
        <v>0</v>
      </c>
      <c r="JG33" s="1165">
        <f t="array" ref="JG33">IFERROR(IF($JA33="SEGMENT",INDEX('Margin Guidence Table'!$A$1:$AC$10000,MATCH(1,('Margin Guidence Table'!$A$1:$A$10000=IY33)*('Margin Guidence Table'!$H$1:$H$10000&lt;=ROUND($IQ$3,0))*('Margin Guidence Table'!$G$1:$G$10000&gt;=ROUND($IQ$3,0)),0),MATCH("PA_PCT_SALES",'Margin Guidence Table'!$A$1:$AC$1,0)),INDEX('Margin Guidence Table'!$A$1:$AC$10000,MATCH(1,('Margin Guidence Table'!$A$1:$A$10000=IY33)*('Margin Guidence Table'!$H$1:$H$10000&lt;=ROUND($IQ$3,0))*('Margin Guidence Table'!$G$1:$G$10000&gt;=ROUND($IQ$3,0)),0),MATCH("DEFAULT_PA_PCT_SALES",'Margin Guidence Table'!$A$1:$AC$1,0))),0)</f>
        <v>0</v>
      </c>
      <c r="JH33" s="1165">
        <f t="array" ref="JH33">IFERROR(IF($JA33="SEGMENT",INDEX('Margin Guidence Table'!$A$1:$AC$10000,MATCH(1,('Margin Guidence Table'!$A$1:$A$10000=IY33)*('Margin Guidence Table'!$H$1:$H$10000&lt;=ROUND($IQ$3,0))*('Margin Guidence Table'!$G$1:$G$10000&gt;=ROUND($IQ$3,0)),0),MATCH("SELF_FUND_PCT_SALES",'Margin Guidence Table'!$A$1:$AC$1,0)),INDEX('Margin Guidence Table'!$A$1:$AC$10000,MATCH(1,('Margin Guidence Table'!$A$1:$A$10000=IY33)*('Margin Guidence Table'!$H$1:$H$10000&lt;=ROUND($IQ$3,0))*('Margin Guidence Table'!$G$1:$G$10000&gt;=ROUND($IQ$3,0)),0),MATCH("DEFAULT_SELF_FUND_PCT_SALES",'Margin Guidence Table'!$A$1:$AC$1,0))),0)</f>
        <v>0</v>
      </c>
      <c r="JI33" s="1165">
        <f t="array" ref="JI33">IFERROR(IF($JA33="SEGMENT",INDEX('Margin Guidence Table'!$A$1:$AC$10000,MATCH(1,('Margin Guidence Table'!$A$1:$A$10000=IY33)*('Margin Guidence Table'!$H$1:$H$10000&lt;=ROUND($IQ$3,0))*('Margin Guidence Table'!$G$1:$G$10000&gt;=ROUND($IQ$3,0)),0),MATCH("CIA_MEDIAN_MARGIN_GUIDENCE",'Margin Guidence Table'!$A$1:$AC$1,0)),INDEX('Margin Guidence Table'!$A$1:$AC$10000,MATCH(1,('Margin Guidence Table'!$A$1:$A$10000=IY33)*('Margin Guidence Table'!$H$1:$H$10000&lt;=ROUND($IQ$3,0))*('Margin Guidence Table'!$G$1:$G$10000&gt;=ROUND($IQ$3,0)),0),MATCH("DEFAULT_CIA_MEDIAN_MARGIN_GUIDENCE",'Margin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44"/>
        <v>#DIV/0!</v>
      </c>
      <c r="AV34" s="400"/>
      <c r="AW34" s="400"/>
      <c r="AX34" s="108">
        <v>23</v>
      </c>
      <c r="AY34" s="18">
        <f t="array" ref="AY34">IFERROR(IF($BK34="SEGMENT",INDEX('Margin Guidence Table'!$A$1:$AC$10000,MATCH(1,('Margin Guidence Table'!$A$1:$A$10000=$BI34)*('Margin Guidence Table'!$H$1:$H$10000&lt;=ROUND($BA$3,0))*('Margin Guidence Table'!$G$1:$G$10000&gt;=ROUND($BA$3,0)),0),MATCH("PCT_SALES",'Margin Guidence Table'!$A$1:$AC$1,0)),INDEX('Margin Guidence Table'!$A$1:$AC$10000,MATCH(1,('Margin Guidence Table'!$A$1:$A$10000=$BI34)*('Margin Guidence Table'!$H$1:$H$10000&lt;=ROUND($BA$3,0))*('Margin Guidence Table'!$G$1:$G$10000&gt;=ROUND($BA$3,0)),0),MATCH("DEFAULT_PCT_SALES",'Margin Guidence Table'!$A$1:$AC$1,0))),0)</f>
        <v>0</v>
      </c>
      <c r="AZ34" s="103" t="s">
        <v>87</v>
      </c>
      <c r="BA34" s="94">
        <f>IFERROR(IF(AND($BA$2&lt;&gt;"Enter Spend&gt;&gt;&gt;",BB2="EXISTING"),SUMIFS('Existing Customers'!$Q:$Q,'Existing Customers'!$A:$A,$BA$1,'Existing Customers'!$H:$H,$AZ34)*$BA$4,$BA$3*$AY34),0)</f>
        <v>0</v>
      </c>
      <c r="BB34" s="95">
        <f>IFERROR(IF(AND($BA$2&lt;&gt;"Enter Spend&gt;&gt;&gt;",BB2="EXISTING"),SUMIFS('Existing Customers'!$N:$N,'Existing Customers'!$A:$A,$BA$1,'Existing Customers'!$H:$H,$AZ34)*$BA$4,$BA34/$BL34),0)</f>
        <v>0</v>
      </c>
      <c r="BC34" s="95">
        <f>IFERROR(IF(AND($BA$2&lt;&gt;"Enter Spend&gt;&gt;&gt;",BB2="EXISTING"),SUMIFS('Existing Customers'!$O:$O,'Existing Customers'!$H:$H,$AZ34,'Existing Customers'!$A:$A,$BA$1)*$BA$4,$BB34*$BA$8),0)</f>
        <v>0</v>
      </c>
      <c r="BD34" s="95">
        <f>IFERROR(IF(AND($BA$2&lt;&gt;"Enter Spend&gt;&gt;&gt;",BB2="EXISTING"),SUMIFS('Existing Customers'!$P:$P,'Existing Customers'!$A:$A,$BA$1,'Existing Customers'!$H:$H,$AZ34)*$BA$4,$BA34/$BM34),0)</f>
        <v>0</v>
      </c>
      <c r="BE34" s="402">
        <f>IFERROR(IF(AND($BA$2&lt;&gt;"Enter Spend&gt;&gt;&gt;",BB2="EXISTING"),SUMIFS('Existing Customers'!$V:$V,'Existing Customers'!$H:$H,$AZ34,'Existing Customers'!$A:$A,$BA$1)*$BA$4,0),0)</f>
        <v>0</v>
      </c>
      <c r="BF34" s="96">
        <f>IFERROR(IF(AND($BA$2&lt;&gt;"Enter Spend&gt;&gt;&gt;",BB2="EXISTING"),SUMIFS('Existing Customers'!$R:$R,'Existing Customers'!$H:$H,$AZ34,'Existing Customers'!$A:$A,$BA$1)*$BA$4,0),0)</f>
        <v>0</v>
      </c>
      <c r="BG34" s="96">
        <f>IFERROR(IF(AND($BA$2&lt;&gt;"Enter Spend&gt;&gt;&gt;",BB2="EXISTING"),SUMIFS('Existing Customers'!$S:$S,'Existing Customers'!$H:$H,$AZ34,'Existing Customers'!$A:$A,$BA$1),BQ34*BA34),0)</f>
        <v>0</v>
      </c>
      <c r="BH34" s="96">
        <f>IFERROR(IF(AND($BA$2&lt;&gt;"Enter Spend&gt;&gt;&gt;",BB2="EXISTING"),SUMIFS('Existing Customers'!$U:$U,'Existing Customers'!$H:$H,$AZ34,'Existing Customers'!$A:$A,$BA$1),BR34*BA34),0)</f>
        <v>0</v>
      </c>
      <c r="BI34" s="1163" t="e">
        <f t="shared" si="24"/>
        <v>#N/A</v>
      </c>
      <c r="BJ34" s="1164">
        <f t="array" ref="BJ34">IFERROR(INDEX('Margin Guidence Table'!$A$1:$AD$30000,MATCH(1,('Margin Guidence Table'!$A$1:$A$10000=$BI34)*('Margin Guidence Table'!$H$1:$H$10000&lt;=ROUND($BA$3,0))*('Margin Guidence Table'!$G$1:$G$10000&gt;=ROUND($BA$3,0)),0),MATCH("DATA_POINTS",'Margin Guidence Table'!$A$1:$AC$1,0)),0)</f>
        <v>0</v>
      </c>
      <c r="BK34" s="1161" t="str">
        <f t="shared" si="25"/>
        <v>DEFAULT</v>
      </c>
      <c r="BL34" s="1161">
        <f t="array" ref="BL34">IFERROR(IF($BK34="SEGMENT",INDEX('Margin Guidence Table'!$A$1:$AC$10000,MATCH(1,('Margin Guidence Table'!$A$1:$A$10000=$BI34)*('Margin Guidence Table'!$H$1:$H$10000&lt;=ROUND($BA$3,0))*('Margin Guidence Table'!$G$1:$G$10000&gt;=ROUND($BA$3,0)),0),MATCH("SALES_CASE",'Margin Guidence Table'!$A$1:$AC$1,0)),INDEX('Margin Guidence Table'!$A$1:$AC$10000,MATCH(1,('Margin Guidence Table'!$A$1:$A$10000=$BI34)*('Margin Guidence Table'!$H$1:$H$10000&lt;=ROUND($BA$3,0))*('Margin Guidence Table'!$G$1:$G$10000&gt;=ROUND($BA$3,0)),0),MATCH("DEFAULT_SALES_CASE",'Margin Guidence Table'!$A$1:$AC$1,0))),0)</f>
        <v>0</v>
      </c>
      <c r="BM34" s="1161">
        <f t="array" ref="BM34">IFERROR(IF($BK34="SEGMENT",INDEX('Margin Guidence Table'!$A$1:$AC$10000,MATCH(1,('Margin Guidence Table'!$A$1:$A$10000=$BI34)*('Margin Guidence Table'!$H$1:$H$10000&lt;=ROUND($BA$3,0))*('Margin Guidence Table'!$G$1:$G$10000&gt;=ROUND($BA$3,0)),0),MATCH("SALES_LBS",'Margin Guidence Table'!$A$1:$AC$1,0)),INDEX('Margin Guidence Table'!$A$1:$AC$10000,MATCH(1,('Margin Guidence Table'!$A$1:$A$10000=$BI34)*('Margin Guidence Table'!$H$1:$H$10000&lt;=ROUND($BA$3,0))*('Margin Guidence Table'!$G$1:$G$10000&gt;=ROUND($BA$3,0)),0),MATCH("DEFAULT_SALES_LBS",'Margin Guidence Table'!$A$1:$AC$1,0))),0)</f>
        <v>0</v>
      </c>
      <c r="BN34" s="1165">
        <f t="array" ref="BN34">IFERROR(IF($BK34="SEGMENT",INDEX('Margin Guidence Table'!$A$1:$AC$10000,MATCH(1,('Margin Guidence Table'!$A$1:$A$10000=$BI34)*('Margin Guidence Table'!$H$1:$H$10000&lt;=ROUND($BA$3,0))*('Margin Guidence Table'!$G$1:$G$10000&gt;=ROUND($BA$3,0)),0),MATCH("MDA_MIN_MARGIN_GUIDENCE",'Margin Guidence Table'!$A$1:$AC$1,0)),INDEX('Margin Guidence Table'!$A$1:$AC$10000,MATCH(1,('Margin Guidence Table'!$A$1:$A$10000=$BI34)*('Margin Guidence Table'!$H$1:$H$10000&lt;=ROUND($BA$3,0))*('Margin Guidence Table'!$G$1:$G$10000&gt;=ROUND($BA$3,0)),0),MATCH("DEFAULT_MDA_MIN_MARGIN_GUIDENCE",'Margin Guidence Table'!$A$1:$AC$1,0))),0)</f>
        <v>0</v>
      </c>
      <c r="BO34" s="1165">
        <f t="array" ref="BO34">IFERROR(IF($BK34="SEGMENT",INDEX('Margin Guidence Table'!$A$1:$AC$10000,MATCH(1,('Margin Guidence Table'!$A$1:$A$10000=$BI34)*('Margin Guidence Table'!$H$1:$H$10000&lt;=ROUND($BA$3,0))*('Margin Guidence Table'!$G$1:$G$10000&gt;=ROUND($BA$3,0)),0),MATCH("MDA_MEDIAN_MARGIN_GUIDENCE",'Margin Guidence Table'!$A$1:$AC$1,0)),INDEX('Margin Guidence Table'!$A$1:$AC$10000,MATCH(1,('Margin Guidence Table'!$A$1:$A$10000=$BI34)*('Margin Guidence Table'!$H$1:$H$10000&lt;=ROUND($BA$3,0))*('Margin Guidence Table'!$G$1:$G$10000&gt;=ROUND($BA$3,0)),0),MATCH("DEFAULT_MDA_MEDIAN_MARGIN_GUIDENCE",'Margin Guidence Table'!$A$1:$AC$1,0))),0)</f>
        <v>0</v>
      </c>
      <c r="BP34" s="1165">
        <f t="array" ref="BP34">IFERROR(IF($BK34="SEGMENT",INDEX('Margin Guidence Table'!$A$1:$AC$10000,MATCH(1,('Margin Guidence Table'!$A$1:$A$10000=$BI34)*('Margin Guidence Table'!$H$1:$H$10000&lt;=ROUND($BA$3,0))*('Margin Guidence Table'!$G$1:$G$10000&gt;=ROUND($BA$3,0)),0),MATCH("MDA_MAX_MARGIN_GUIDENCE",'Margin Guidence Table'!$A$1:$AC$1,0)),INDEX('Margin Guidence Table'!$A$1:$AC$10000,MATCH(1,('Margin Guidence Table'!$A$1:$A$10000=$BI34)*('Margin Guidence Table'!$H$1:$H$10000&lt;=ROUND($BA$3,0))*('Margin Guidence Table'!$G$1:$G$10000&gt;=ROUND($BA$3,0)),0),MATCH("DEFAULT_MDA_MAX_MARGIN_GUIDENCE",'Margin Guidence Table'!$A$1:$AC$1,0))),0)</f>
        <v>0</v>
      </c>
      <c r="BQ34" s="1165">
        <f t="array" ref="BQ34">IFERROR(IF($BK34="SEGMENT",INDEX('Margin Guidence Table'!$A$1:$AC$10000,MATCH(1,('Margin Guidence Table'!$A$1:$A$10000=$BI34)*('Margin Guidence Table'!$H$1:$H$10000&lt;=ROUND($BA$3,0))*('Margin Guidence Table'!$G$1:$G$10000&gt;=ROUND($BA$3,0)),0),MATCH("PA_PCT_SALES",'Margin Guidence Table'!$A$1:$AC$1,0)),INDEX('Margin Guidence Table'!$A$1:$AC$10000,MATCH(1,('Margin Guidence Table'!$A$1:$A$10000=$BI34)*('Margin Guidence Table'!$H$1:$H$10000&lt;=ROUND($BA$3,0))*('Margin Guidence Table'!$G$1:$G$10000&gt;=ROUND($BA$3,0)),0),MATCH("DEFAULT_PA_PCT_SALES",'Margin Guidence Table'!$A$1:$AC$1,0))),0)</f>
        <v>0</v>
      </c>
      <c r="BR34" s="1165">
        <f t="array" ref="BR34">IFERROR(IF($BK34="SEGMENT",INDEX('Margin Guidence Table'!$A$1:$AC$10000,MATCH(1,('Margin Guidence Table'!$A$1:$A$10000=$BI34)*('Margin Guidence Table'!$H$1:$H$10000&lt;=ROUND($BA$3,0))*('Margin Guidence Table'!$G$1:$G$10000&gt;=ROUND($BA$3,0)),0),MATCH("SELF_FUND_PCT_SALES",'Margin Guidence Table'!$A$1:$AC$1,0)),INDEX('Margin Guidence Table'!$A$1:$AC$10000,MATCH(1,('Margin Guidence Table'!$A$1:$A$10000=$BI34)*('Margin Guidence Table'!$H$1:$H$10000&lt;=ROUND($BA$3,0))*('Margin Guidence Table'!$G$1:$G$10000&gt;=ROUND($BA$3,0)),0),MATCH("DEFAULT_SELF_FUND_PCT_SALES",'Margin Guidence Table'!$A$1:$AC$1,0))),0)</f>
        <v>0</v>
      </c>
      <c r="BS34" s="1165">
        <f t="array" ref="BS34">IFERROR(IF($BK34="SEGMENT",INDEX('Margin Guidence Table'!$A$1:$AC$10000,MATCH(1,('Margin Guidence Table'!$A$1:$A$10000=$BI34)*('Margin Guidence Table'!$H$1:$H$10000&lt;=ROUND($BA$3,0))*('Margin Guidence Table'!$G$1:$G$10000&gt;=ROUND($BA$3,0)),0),MATCH("CIA_MEDIAN_MARGIN_GUIDENCE",'Margin Guidence Table'!$A$1:$AC$1,0)),INDEX('Margin Guidence Table'!$A$1:$AC$10000,MATCH(1,('Margin Guidence Table'!$A$1:$A$10000=$BI34)*('Margin Guidence Table'!$H$1:$H$10000&lt;=ROUND($BA$3,0))*('Margin Guidence Table'!$G$1:$G$10000&gt;=ROUND($BA$3,0)),0),MATCH("DEFAULT_CIA_MEDIAN_MARGIN_GUIDENCE",'Margin Guidence Table'!$A$1:$AC$1,0))),0)</f>
        <v>0</v>
      </c>
      <c r="BT34" s="129"/>
      <c r="BU34" s="18">
        <f t="array" ref="BU34">IFERROR(IF($CG34="SEGMENT",INDEX('Margin Guidence Table'!$A$1:$AC$10000,MATCH(1,('Margin Guidence Table'!$A$1:$A$10000=$CE34)*('Margin Guidence Table'!$H$1:$H$10000&lt;=ROUND($BW$3,0))*('Margin Guidence Table'!$G$1:$G$10000&gt;=ROUND($BW$3,0)),0),MATCH("PCT_SALES",'Margin Guidence Table'!$A$1:$AC$1,0)),INDEX('Margin Guidence Table'!$A$1:$AC$10000,MATCH(1,('Margin Guidence Table'!$A$1:$A$10000=$CE34)*('Margin Guidence Table'!$H$1:$H$10000&lt;=ROUND($BW$3,0))*('Margin Guidence Table'!$G$1:$G$10000&gt;=ROUND($BW$3,0)),0),MATCH("DEFAULT_PCT_SALES",'Margin Guidence Table'!$A$1:$AC$1,0))),0)</f>
        <v>0</v>
      </c>
      <c r="BV34" s="103" t="s">
        <v>87</v>
      </c>
      <c r="BW34" s="94">
        <f>IFERROR(IF(AND($BW$2&lt;&gt;"Enter Spend&gt;&gt;&gt;",BX2="EXISTING"),SUMIFS('Existing Customers'!$Q:$Q,'Existing Customers'!$A:$A,$BW$1,'Existing Customers'!$H:$H,$BV34)*$BW$4,$BW$3*$BU34),0)</f>
        <v>0</v>
      </c>
      <c r="BX34" s="89">
        <f>IFERROR(IF(AND($BW$2&lt;&gt;"Enter Spend&gt;&gt;&gt;",BX2="EXISTING"),SUMIFS('Existing Customers'!$N:$N,'Existing Customers'!$A:$A,$BW$1,'Existing Customers'!$H:$H,$BV34)*$BW$4,$BW34/$CH34),0)</f>
        <v>0</v>
      </c>
      <c r="BY34" s="95">
        <f>IFERROR(IF(AND($BW$2&lt;&gt;"Enter Spend&gt;&gt;&gt;",BX2="EXISTING"),SUMIFS('Existing Customers'!$O:$O,'Existing Customers'!$H:$H,$BV34,'Existing Customers'!$A:$A,$BW$1)*$BW$4,$BX34*$BW$8),0)</f>
        <v>0</v>
      </c>
      <c r="BZ34" s="95">
        <f>IFERROR(IF(AND($BW$2&lt;&gt;"Enter Spend&gt;&gt;&gt;",BX2="EXISTING"),SUMIFS('Existing Customers'!$P:$P,'Existing Customers'!$A:$A,$BW$1,'Existing Customers'!$H:$H,$BV34)*$BW$4,$BW34/$CI34),0)</f>
        <v>0</v>
      </c>
      <c r="CA34" s="96">
        <f>IFERROR(IF(AND($BW$2&lt;&gt;"Enter Spend&gt;&gt;&gt;",BX2="EXISTING"),SUMIFS('Existing Customers'!$V:$V,'Existing Customers'!$H:$H,$BV34,'Existing Customers'!$A:$A,$BW$1)*$BW$4,0),0)</f>
        <v>0</v>
      </c>
      <c r="CB34" s="96">
        <f>IFERROR(IF(AND($BW$2&lt;&gt;"Enter Spend&gt;&gt;&gt;",BX2="EXISTING"),SUMIFS('Existing Customers'!$R:$R,'Existing Customers'!$H:$H,$BV34,'Existing Customers'!$A:$A,$BW$1)*$BW$4,0),0)</f>
        <v>0</v>
      </c>
      <c r="CC34" s="1161">
        <f>IFERROR(IF(AND($BW$2&lt;&gt;"Enter Spend&gt;&gt;&gt;",BX2="EXISTING"),SUMIFS('Existing Customers'!$S:$S,'Existing Customers'!$H:$H,$BV34,'Existing Customers'!$A:$A,$BW$1),CM34*BW34),0)</f>
        <v>0</v>
      </c>
      <c r="CD34" s="1161">
        <f>IFERROR(IF(AND($BW$2&lt;&gt;"Enter Spend&gt;&gt;&gt;",BX2="EXISTING"),SUMIFS('Existing Customers'!$U:$U,'Existing Customers'!$H:$H,$BV34,'Existing Customers'!$A:$A,$BW$1),CN34*BW34),0)</f>
        <v>0</v>
      </c>
      <c r="CE34" s="1164" t="e">
        <f t="shared" si="26"/>
        <v>#N/A</v>
      </c>
      <c r="CF34" s="1164">
        <f t="array" ref="CF34">IFERROR(INDEX('Margin Guidence Table'!$A$1:$AD$30000,MATCH(1,('Margin Guidence Table'!$A$1:$A$10000=$CE34)*('Margin Guidence Table'!$H$1:$H$10000&lt;=ROUND($BW$3,0))*('Margin Guidence Table'!$G$1:$G$10000&gt;=ROUND($BW$3,0)),0),MATCH("DATA_POINTS",'Margin Guidence Table'!$A$1:$AC$1,0)),0)</f>
        <v>0</v>
      </c>
      <c r="CG34" s="1161" t="str">
        <f t="shared" si="27"/>
        <v>DEFAULT</v>
      </c>
      <c r="CH34" s="1161">
        <f t="array" ref="CH34">IFERROR(IF($CG34="SEGMENT",INDEX('Margin Guidence Table'!$A$1:$AC$10000,MATCH(1,('Margin Guidence Table'!$A$1:$A$10000=$CE34)*('Margin Guidence Table'!$H$1:$H$10000&lt;=ROUND($BW$3,0))*('Margin Guidence Table'!$G$1:$G$10000&gt;=ROUND($BW$3,0)),0),MATCH("SALES_CASE",'Margin Guidence Table'!$A$1:$AC$1,0)),INDEX('Margin Guidence Table'!$A$1:$AC$10000,MATCH(1,('Margin Guidence Table'!$A$1:$A$10000=$CE34)*('Margin Guidence Table'!$H$1:$H$10000&lt;=ROUND($BW$3,0))*('Margin Guidence Table'!$G$1:$G$10000&gt;=ROUND($BW$3,0)),0),MATCH("DEFAULT_SALES_CASE",'Margin Guidence Table'!$A$1:$AC$1,0))),0)</f>
        <v>0</v>
      </c>
      <c r="CI34" s="1161">
        <f t="array" ref="CI34">IFERROR(IF($CG34="SEGMENT",INDEX('Margin Guidence Table'!$A$1:$AC$10000,MATCH(1,('Margin Guidence Table'!$A$1:$A$10000=$CE34)*('Margin Guidence Table'!$H$1:$H$10000&lt;=ROUND($BW$3,0))*('Margin Guidence Table'!$G$1:$G$10000&gt;=ROUND($BW$3,0)),0),MATCH("SALES_LBS",'Margin Guidence Table'!$A$1:$AC$1,0)),INDEX('Margin Guidence Table'!$A$1:$AC$10000,MATCH(1,('Margin Guidence Table'!$A$1:$A$10000=$CE34)*('Margin Guidence Table'!$H$1:$H$10000&lt;=ROUND($BW$3,0))*('Margin Guidence Table'!$G$1:$G$10000&gt;=ROUND($BW$3,0)),0),MATCH("DEFAULT_SALES_LBS",'Margin Guidence Table'!$A$1:$AC$1,0))),0)</f>
        <v>0</v>
      </c>
      <c r="CJ34" s="1165">
        <f t="array" ref="CJ34">IFERROR(IF($CG34="SEGMENT",INDEX('Margin Guidence Table'!$A$1:$AC$10000,MATCH(1,('Margin Guidence Table'!$A$1:$A$10000=$CE34)*('Margin Guidence Table'!$H$1:$H$10000&lt;=ROUND($BW$3,0))*('Margin Guidence Table'!$G$1:$G$10000&gt;=ROUND($BW$3,0)),0),MATCH("MDA_MIN_MARGIN_GUIDENCE",'Margin Guidence Table'!$A$1:$AC$1,0)),INDEX('Margin Guidence Table'!$A$1:$AC$10000,MATCH(1,('Margin Guidence Table'!$A$1:$A$10000=$CE34)*('Margin Guidence Table'!$H$1:$H$10000&lt;=ROUND($BW$3,0))*('Margin Guidence Table'!$G$1:$G$10000&gt;=ROUND($BW$3,0)),0),MATCH("DEFAULT_MDA_MIN_MARGIN_GUIDENCE",'Margin Guidence Table'!$A$1:$AC$1,0))),0)</f>
        <v>0</v>
      </c>
      <c r="CK34" s="1165">
        <f t="array" ref="CK34">IFERROR(IF($CG34="SEGMENT",INDEX('Margin Guidence Table'!$A$1:$AC$10000,MATCH(1,('Margin Guidence Table'!$A$1:$A$10000=$CE34)*('Margin Guidence Table'!$H$1:$H$10000&lt;=ROUND($BW$3,0))*('Margin Guidence Table'!$G$1:$G$10000&gt;=ROUND($BW$3,0)),0),MATCH("MDA_MEDIAN_MARGIN_GUIDENCE",'Margin Guidence Table'!$A$1:$AC$1,0)),INDEX('Margin Guidence Table'!$A$1:$AC$10000,MATCH(1,('Margin Guidence Table'!$A$1:$A$10000=$CE34)*('Margin Guidence Table'!$H$1:$H$10000&lt;=ROUND($BW$3,0))*('Margin Guidence Table'!$G$1:$G$10000&gt;=ROUND($BW$3,0)),0),MATCH("DEFAULT_MDA_MEDIAN_MARGIN_GUIDENCE",'Margin Guidence Table'!$A$1:$AC$1,0))),0)</f>
        <v>0</v>
      </c>
      <c r="CL34" s="1165">
        <f t="array" ref="CL34">IFERROR(IF($CG34="SEGMENT",INDEX('Margin Guidence Table'!$A$1:$AC$10000,MATCH(1,('Margin Guidence Table'!$A$1:$A$10000=$CE34)*('Margin Guidence Table'!$H$1:$H$10000&lt;=ROUND($BW$3,0))*('Margin Guidence Table'!$G$1:$G$10000&gt;=ROUND($BW$3,0)),0),MATCH("MDA_MAX_MARGIN_GUIDENCE",'Margin Guidence Table'!$A$1:$AC$1,0)),INDEX('Margin Guidence Table'!$A$1:$AC$10000,MATCH(1,('Margin Guidence Table'!$A$1:$A$10000=$CE34)*('Margin Guidence Table'!$H$1:$H$10000&lt;=ROUND($BW$3,0))*('Margin Guidence Table'!$G$1:$G$10000&gt;=ROUND($BW$3,0)),0),MATCH("DEFAULT_MDA_MAX_MARGIN_GUIDENCE",'Margin Guidence Table'!$A$1:$AC$1,0))),0)</f>
        <v>0</v>
      </c>
      <c r="CM34" s="1165">
        <f t="array" ref="CM34">IFERROR(IF($CG34="SEGMENT",INDEX('Margin Guidence Table'!$A$1:$AC$10000,MATCH(1,('Margin Guidence Table'!$A$1:$A$10000=$CE34)*('Margin Guidence Table'!$H$1:$H$10000&lt;=ROUND($BW$3,0))*('Margin Guidence Table'!$G$1:$G$10000&gt;=ROUND($BW$3,0)),0),MATCH("PA_PCT_SALES",'Margin Guidence Table'!$A$1:$AC$1,0)),INDEX('Margin Guidence Table'!$A$1:$AC$10000,MATCH(1,('Margin Guidence Table'!$A$1:$A$10000=$CE34)*('Margin Guidence Table'!$H$1:$H$10000&lt;=ROUND($BW$3,0))*('Margin Guidence Table'!$G$1:$G$10000&gt;=ROUND($BW$3,0)),0),MATCH("DEFAULT_PA_PCT_SALES",'Margin Guidence Table'!$A$1:$AC$1,0))),0)</f>
        <v>0</v>
      </c>
      <c r="CN34" s="1165">
        <f t="array" ref="CN34">IFERROR(IF($CG34="SEGMENT",INDEX('Margin Guidence Table'!$A$1:$AC$10000,MATCH(1,('Margin Guidence Table'!$A$1:$A$10000=$CE34)*('Margin Guidence Table'!$H$1:$H$10000&lt;=ROUND($BW$3,0))*('Margin Guidence Table'!$G$1:$G$10000&gt;=ROUND($BW$3,0)),0),MATCH("SELF_FUND_PCT_SALES",'Margin Guidence Table'!$A$1:$AC$1,0)),INDEX('Margin Guidence Table'!$A$1:$AC$10000,MATCH(1,('Margin Guidence Table'!$A$1:$A$10000=$CE34)*('Margin Guidence Table'!$H$1:$H$10000&lt;=ROUND($BW$3,0))*('Margin Guidence Table'!$G$1:$G$10000&gt;=ROUND($BW$3,0)),0),MATCH("DEFAULT_SELF_FUND_PCT_SALES",'Margin Guidence Table'!$A$1:$AC$1,0))),0)</f>
        <v>0</v>
      </c>
      <c r="CO34" s="1165">
        <f t="array" ref="CO34">IFERROR(IF($CG34="SEGMENT",INDEX('Margin Guidence Table'!$A$1:$AC$10000,MATCH(1,('Margin Guidence Table'!$A$1:$A$10000=$CE34)*('Margin Guidence Table'!$H$1:$H$10000&lt;=ROUND($BW$3,0))*('Margin Guidence Table'!$G$1:$G$10000&gt;=ROUND($BW$3,0)),0),MATCH("CIA_MEDIAN_MARGIN_GUIDENCE",'Margin Guidence Table'!$A$1:$AC$1,0)),INDEX('Margin Guidence Table'!$A$1:$AC$10000,MATCH(1,('Margin Guidence Table'!$A$1:$A$10000=$CE34)*('Margin Guidence Table'!$H$1:$H$10000&lt;=ROUND($BW$3,0))*('Margin Guidence Table'!$G$1:$G$10000&gt;=ROUND($BW$3,0)),0),MATCH("DEFAULT_CIA_MEDIAN_MARGIN_GUIDENCE",'Margin Guidence Table'!$A$1:$AC$1,0))),0)</f>
        <v>0</v>
      </c>
      <c r="CP34" s="129"/>
      <c r="CQ34" s="18">
        <f t="array" ref="CQ34">IFERROR(IF($DC34="SEGMENT",INDEX('Margin Guidence Table'!$A$1:$AC$10000,MATCH(1,('Margin Guidence Table'!$A$1:$A$10000=$DA34)*('Margin Guidence Table'!$H$1:$H$10000&lt;=ROUND($CS$3,0))*('Margin Guidence Table'!$G$1:$G$10000&gt;=ROUND($CS$3,0)),0),MATCH("PCT_SALES",'Margin Guidence Table'!$A$1:$AC$1,0)),INDEX('Margin Guidence Table'!$A$1:$AC$10000,MATCH(1,('Margin Guidence Table'!$A$1:$A$10000=$DA34)*('Margin Guidence Table'!$H$1:$H$10000&lt;=ROUND($CS$3,0))*('Margin Guidence Table'!$G$1:$G$10000&gt;=ROUND($CS$3,0)),0),MATCH("DEFAULT_PCT_SALES",'Margin Guidence Table'!$A$1:$AC$1,0))),0)</f>
        <v>0</v>
      </c>
      <c r="CR34" s="103" t="s">
        <v>87</v>
      </c>
      <c r="CS34" s="94">
        <f>IFERROR(IF(AND($CS$2&lt;&gt;"Enter Spend&gt;&gt;&gt;",CT2="EXISTING"),SUMIFS('Existing Customers'!$Q:$Q,'Existing Customers'!$A:$A,$CS$1,'Existing Customers'!$H:$H,$CR34)*$CS$4,$CS$3*$CQ34),0)</f>
        <v>0</v>
      </c>
      <c r="CT34" s="89">
        <f>IFERROR(IF(AND($CS$2&lt;&gt;"Enter Spend&gt;&gt;&gt;",CT2="EXISTING"),SUMIFS('Existing Customers'!$N:$N,'Existing Customers'!$A:$A,$CS$1,'Existing Customers'!$H:$H,$CR34)*$CS$4,$CS34/$DD34),0)</f>
        <v>0</v>
      </c>
      <c r="CU34" s="95">
        <f>IFERROR(IF(AND($CS$2&lt;&gt;"Enter Spend&gt;&gt;&gt;",BB28="EXISTING"),SUMIFS('Existing Customers'!$O:$O,'Existing Customers'!$H:$H,$CR34,'Existing Customers'!$A:$A,$CS$1)*$CS$4,$CT34*$CS$8),0)</f>
        <v>0</v>
      </c>
      <c r="CV34" s="95">
        <f>IFERROR(IF(AND($CS$2&lt;&gt;"Enter Spend&gt;&gt;&gt;",CT2="EXISTING"),SUMIFS('Existing Customers'!$P:$P,'Existing Customers'!$A:$A,$CS$1,'Existing Customers'!$H:$H,$CR34)*$CS$4,$CS34/$DE34),0)</f>
        <v>0</v>
      </c>
      <c r="CW34" s="96">
        <f>IFERROR(IF(AND($CS$2&lt;&gt;"Enter Spend&gt;&gt;&gt;",CT2="EXISTING"),SUMIFS('Existing Customers'!$V:$V,'Existing Customers'!$H:$H,$CR34,'Existing Customers'!$A:$A,$CS$1)*$CS$4,0),0)</f>
        <v>0</v>
      </c>
      <c r="CX34" s="96">
        <f>IFERROR(IF(AND($CS$2&lt;&gt;"Enter Spend&gt;&gt;&gt;",CT2="EXISTING"),SUMIFS('Existing Customers'!$R:$R,'Existing Customers'!$H:$H,$AZ34,'Existing Customers'!$A:$A,$CS$1)*$CS$4,0),0)</f>
        <v>0</v>
      </c>
      <c r="CY34" s="1161">
        <f>IFERROR(IF(AND($CS$2&lt;&gt;"Enter Spend&gt;&gt;&gt;",CT2="EXISTING"),SUMIFS('Existing Customers'!$S:$S,'Existing Customers'!$H:$H,$CR34,'Existing Customers'!$A:$A,$CS$1),DI34*CS34),0)</f>
        <v>0</v>
      </c>
      <c r="CZ34" s="1161">
        <f>IFERROR(IF(AND($CS$2&lt;&gt;"Enter Spend&gt;&gt;&gt;",CT2="EXISTING"),SUMIFS('Existing Customers'!$U:$U,'Existing Customers'!$H:$H,$CR34,'Existing Customers'!$A:$A,$CS$1),DJ34*CS34),0)</f>
        <v>0</v>
      </c>
      <c r="DA34" s="1164" t="e">
        <f t="shared" si="28"/>
        <v>#N/A</v>
      </c>
      <c r="DB34" s="1164">
        <f t="array" ref="DB34">IFERROR(INDEX('Margin Guidence Table'!$A$1:$AD$30000,MATCH(1,('Margin Guidence Table'!$A$1:$A$10000=DA34)*('Margin Guidence Table'!$H$1:$H$10000&lt;=ROUND($CS$3,0))*('Margin Guidence Table'!$G$1:$G$10000&gt;=ROUND($CS$3,0)),0),MATCH("DATA_POINTS",'Margin Guidence Table'!$A$1:$AC$1,0)),0)</f>
        <v>0</v>
      </c>
      <c r="DC34" s="1161" t="str">
        <f t="shared" si="29"/>
        <v>DEFAULT</v>
      </c>
      <c r="DD34" s="1161">
        <f t="array" ref="DD34">IFERROR(IF($DC34="SEGMENT",INDEX('Margin Guidence Table'!$A$1:$AC$10000,MATCH(1,('Margin Guidence Table'!$A$1:$A$10000=DA34)*('Margin Guidence Table'!$H$1:$H$10000&lt;=ROUND($CS$3,0))*('Margin Guidence Table'!$G$1:$G$10000&gt;=ROUND($CS$3,0)),0),MATCH("SALES_CASE",'Margin Guidence Table'!$A$1:$AC$1,0)),INDEX('Margin Guidence Table'!$A$1:$AC$10000,MATCH(1,('Margin Guidence Table'!$A$1:$A$10000=DA34)*('Margin Guidence Table'!$H$1:$H$10000&lt;=ROUND($CS$3,0))*('Margin Guidence Table'!$G$1:$G$10000&gt;=ROUND($CS$3,0)),0),MATCH("DEFAULT_SALES_CASE",'Margin Guidence Table'!$A$1:$AC$1,0))),0)</f>
        <v>0</v>
      </c>
      <c r="DE34" s="1161">
        <f t="array" ref="DE34">IFERROR(IF($DC34="SEGMENT",INDEX('Margin Guidence Table'!$A$1:$AC$10000,MATCH(1,('Margin Guidence Table'!$A$1:$A$10000=DA34)*('Margin Guidence Table'!$H$1:$H$10000&lt;=ROUND($CS$3,0))*('Margin Guidence Table'!$G$1:$G$10000&gt;=ROUND($CS$3,0)),0),MATCH("SALES_LBS",'Margin Guidence Table'!$A$1:$AC$1,0)),INDEX('Margin Guidence Table'!$A$1:$AC$10000,MATCH(1,('Margin Guidence Table'!$A$1:$A$10000=DA34)*('Margin Guidence Table'!$H$1:$H$10000&lt;=ROUND($CS$3,0))*('Margin Guidence Table'!$G$1:$G$10000&gt;=ROUND($CS$3,0)),0),MATCH("DEFAULT_SALES_LBS",'Margin Guidence Table'!$A$1:$AC$1,0))),0)</f>
        <v>0</v>
      </c>
      <c r="DF34" s="1165">
        <f t="array" ref="DF34">IFERROR(IF($DC34="SEGMENT",INDEX('Margin Guidence Table'!$A$1:$AC$10000,MATCH(1,('Margin Guidence Table'!$A$1:$A$10000=DA34)*('Margin Guidence Table'!$H$1:$H$10000&lt;=ROUND($CS$3,0))*('Margin Guidence Table'!$G$1:$G$10000&gt;=ROUND($CS$3,0)),0),MATCH("MDA_MIN_MARGIN_GUIDENCE",'Margin Guidence Table'!$A$1:$AC$1,0)),INDEX('Margin Guidence Table'!$A$1:$AC$10000,MATCH(1,('Margin Guidence Table'!$A$1:$A$10000=DA34)*('Margin Guidence Table'!$H$1:$H$10000&lt;=ROUND($CS$3,0))*('Margin Guidence Table'!$G$1:$G$10000&gt;=ROUND($CS$3,0)),0),MATCH("DEFAULT_MDA_MIN_MARGIN_GUIDENCE",'Margin Guidence Table'!$A$1:$AC$1,0))),0)</f>
        <v>0</v>
      </c>
      <c r="DG34" s="1165">
        <f t="array" ref="DG34">IFERROR(IF($DC34="SEGMENT",INDEX('Margin Guidence Table'!$A$1:$AC$10000,MATCH(1,('Margin Guidence Table'!$A$1:$A$10000=DA34)*('Margin Guidence Table'!$H$1:$H$10000&lt;=ROUND($CS$3,0))*('Margin Guidence Table'!$G$1:$G$10000&gt;=ROUND($CS$3,0)),0),MATCH("MDA_MEDIAN_MARGIN_GUIDENCE",'Margin Guidence Table'!$A$1:$AC$1,0)),INDEX('Margin Guidence Table'!$A$1:$AC$10000,MATCH(1,('Margin Guidence Table'!$A$1:$A$10000=DA34)*('Margin Guidence Table'!$H$1:$H$10000&lt;=ROUND($CS$3,0))*('Margin Guidence Table'!$G$1:$G$10000&gt;=ROUND($CS$3,0)),0),MATCH("DEFAULT_MDA_MEDIAN_MARGIN_GUIDENCE",'Margin Guidence Table'!$A$1:$AC$1,0))),0)</f>
        <v>0</v>
      </c>
      <c r="DH34" s="1165">
        <f t="array" ref="DH34">IFERROR(IF($DC34="SEGMENT",INDEX('Margin Guidence Table'!$A$1:$AC$10000,MATCH(1,('Margin Guidence Table'!$A$1:$A$10000=DA34)*('Margin Guidence Table'!$H$1:$H$10000&lt;=ROUND($CS$3,0))*('Margin Guidence Table'!$G$1:$G$10000&gt;=ROUND($CS$3,0)),0),MATCH("MDA_MAX_MARGIN_GUIDENCE",'Margin Guidence Table'!$A$1:$AC$1,0)),INDEX('Margin Guidence Table'!$A$1:$AC$10000,MATCH(1,('Margin Guidence Table'!$A$1:$A$10000=DA34)*('Margin Guidence Table'!$H$1:$H$10000&lt;=ROUND($CS$3,0))*('Margin Guidence Table'!$G$1:$G$10000&gt;=ROUND($CS$3,0)),0),MATCH("DEFAULT_MDA_MAX_MARGIN_GUIDENCE",'Margin Guidence Table'!$A$1:$AC$1,0))),0)</f>
        <v>0</v>
      </c>
      <c r="DI34" s="1165">
        <f t="array" ref="DI34">IFERROR(IF($DC34="SEGMENT",INDEX('Margin Guidence Table'!$A$1:$AC$10000,MATCH(1,('Margin Guidence Table'!$A$1:$A$10000=DA34)*('Margin Guidence Table'!$H$1:$H$10000&lt;=ROUND($CS$3,0))*('Margin Guidence Table'!$G$1:$G$10000&gt;=ROUND($CS$3,0)),0),MATCH("PA_PCT_SALES",'Margin Guidence Table'!$A$1:$AC$1,0)),INDEX('Margin Guidence Table'!$A$1:$AC$10000,MATCH(1,('Margin Guidence Table'!$A$1:$A$10000=DA34)*('Margin Guidence Table'!$H$1:$H$10000&lt;=ROUND($CS$3,0))*('Margin Guidence Table'!$G$1:$G$10000&gt;=ROUND($CS$3,0)),0),MATCH("DEFAULT_PA_PCT_SALES",'Margin Guidence Table'!$A$1:$AC$1,0))),0)</f>
        <v>0</v>
      </c>
      <c r="DJ34" s="1165">
        <f t="array" ref="DJ34">IFERROR(IF($DC34="SEGMENT",INDEX('Margin Guidence Table'!$A$1:$AC$10000,MATCH(1,('Margin Guidence Table'!$A$1:$A$10000=DA34)*('Margin Guidence Table'!$H$1:$H$10000&lt;=ROUND($CS$3,0))*('Margin Guidence Table'!$G$1:$G$10000&gt;=ROUND($CS$3,0)),0),MATCH("SELF_FUND_PCT_SALES",'Margin Guidence Table'!$A$1:$AC$1,0)),INDEX('Margin Guidence Table'!$A$1:$AC$10000,MATCH(1,('Margin Guidence Table'!$A$1:$A$10000=DA34)*('Margin Guidence Table'!$H$1:$H$10000&lt;=ROUND($CS$3,0))*('Margin Guidence Table'!$G$1:$G$10000&gt;=ROUND($CS$3,0)),0),MATCH("DEFAULT_SELF_FUND_PCT_SALES",'Margin Guidence Table'!$A$1:$AC$1,0))),0)</f>
        <v>0</v>
      </c>
      <c r="DK34" s="1165">
        <f t="array" ref="DK34">IFERROR(IF($DC34="SEGMENT",INDEX('Margin Guidence Table'!$A$1:$AC$10000,MATCH(1,('Margin Guidence Table'!$A$1:$A$10000=DA34)*('Margin Guidence Table'!$H$1:$H$10000&lt;=ROUND($CS$3,0))*('Margin Guidence Table'!$G$1:$G$10000&gt;=ROUND($CS$3,0)),0),MATCH("CIA_MEDIAN_MARGIN_GUIDENCE",'Margin Guidence Table'!$A$1:$AC$1,0)),INDEX('Margin Guidence Table'!$A$1:$AC$10000,MATCH(1,('Margin Guidence Table'!$A$1:$A$10000=DA34)*('Margin Guidence Table'!$H$1:$H$10000&lt;=ROUND($CS$3,0))*('Margin Guidence Table'!$G$1:$G$10000&gt;=ROUND($CS$3,0)),0),MATCH("DEFAULT_CIA_MEDIAN_MARGIN_GUIDENCE",'Margin Guidence Table'!$A$1:$AC$1,0))),0)</f>
        <v>0</v>
      </c>
      <c r="DL34" s="129"/>
      <c r="DM34" s="18">
        <f t="array" ref="DM34">IFERROR(IF($DY34="SEGMENT",INDEX('Margin Guidence Table'!$A$1:$AC$10000,MATCH(1,('Margin Guidence Table'!$A$1:$A$10000=$DW34)*('Margin Guidence Table'!$H$1:$H$10000&lt;=ROUND($DO$3,0))*('Margin Guidence Table'!$G$1:$G$10000&gt;=ROUND($DO$3,0)),0),MATCH("PCT_SALES",'Margin Guidence Table'!$A$1:$AC$1,0)),INDEX('Margin Guidence Table'!$A$1:$AC$10000,MATCH(1,('Margin Guidence Table'!$A$1:$A$10000=$DW34)*('Margin Guidence Table'!$H$1:$H$10000&lt;=ROUND($DO$3,0))*('Margin Guidence Table'!$G$1:$G$10000&gt;=ROUND($DO$3,0)),0),MATCH("DEFAULT_PCT_SALES",'Margin Guidence Table'!$A$1:$AC$1,0))),0)</f>
        <v>0</v>
      </c>
      <c r="DN34" s="103" t="s">
        <v>87</v>
      </c>
      <c r="DO34" s="94">
        <f>IFERROR(IF(AND($DO$2&lt;&gt;"Enter Spend&gt;&gt;&gt;",DP2="EXISTING"),SUMIFS('Existing Customers'!$Q:$Q,'Existing Customers'!$A:$A,$DO$1,'Existing Customers'!$H:$H,$DN34)*$DO$4,$DO$3*$DM34),0)</f>
        <v>0</v>
      </c>
      <c r="DP34" s="89">
        <f>IFERROR(IF(AND($DO$2&lt;&gt;"Enter Spend&gt;&gt;&gt;",DP2="EXISTING"),SUMIFS('Existing Customers'!$N:$N,'Existing Customers'!$A:$A,$DO$1,'Existing Customers'!$H:$H,$DN34)*$DO$4,$DO34/$DZ34),0)</f>
        <v>0</v>
      </c>
      <c r="DQ34" s="95">
        <f>IFERROR(IF(AND($DO$2&lt;&gt;"Enter Spend&gt;&gt;&gt;",DP2="EXISTING"),SUMIFS('Existing Customers'!$O:$O,'Existing Customers'!$H:$H,$DN34,'Existing Customers'!$A:$A,$DO$1)*$DO$4,$DP34*$DO$8),0)</f>
        <v>0</v>
      </c>
      <c r="DR34" s="95">
        <f>IFERROR(IF(AND($DO$2&lt;&gt;"Enter Spend&gt;&gt;&gt;",DP2="EXISTING"),SUMIFS('Existing Customers'!$P:$P,'Existing Customers'!$A:$A,$DO$1,'Existing Customers'!$H:$H,$DN34)*$DO$4,$DO34/$EA34),0)</f>
        <v>0</v>
      </c>
      <c r="DS34" s="96">
        <f>IFERROR(IF(AND($DO$2&lt;&gt;"Enter Spend&gt;&gt;&gt;",EL2="EXISTING"),SUMIFS('Existing Customers'!$V:$V,'Existing Customers'!$H:$H,$DN34,'Existing Customers'!$A:$A,$DO$1)*$DO$4,0),0)</f>
        <v>0</v>
      </c>
      <c r="DT34" s="96">
        <f>IFERROR(IF(AND($DO$2&lt;&gt;"Enter Spend&gt;&gt;&gt;",DP2="EXISTING"),SUMIFS('Existing Customers'!$R:$R,'Existing Customers'!$H:$H,$DN34,'Existing Customers'!$A:$A,$DO$1)*$DO$4,0),0)</f>
        <v>0</v>
      </c>
      <c r="DU34" s="1161">
        <f>IFERROR(IF(AND($DO$2&lt;&gt;"Enter Spend&gt;&gt;&gt;",DP2="EXISTING"),SUMIFS('Existing Customers'!$S:$S,'Existing Customers'!$H:$H,$DP34,'Existing Customers'!$A:$A,$DO$1),EE34*DO34),0)</f>
        <v>0</v>
      </c>
      <c r="DV34" s="1161">
        <f>IFERROR(IF(AND($DO$2&lt;&gt;"Enter Spend&gt;&gt;&gt;",DP2="EXISTING"),SUMIFS('Existing Customers'!$U:$U,'Existing Customers'!$H:$H,$DN34,'Existing Customers'!$A:$A,$DO$1),EF34*DO34),0)</f>
        <v>0</v>
      </c>
      <c r="DW34" s="1164" t="e">
        <f t="shared" si="30"/>
        <v>#N/A</v>
      </c>
      <c r="DX34" s="1164">
        <f t="array" ref="DX34">IFERROR(INDEX('Margin Guidence Table'!$A$1:$AD$30000,MATCH(1,('Margin Guidence Table'!$A$1:$A$10000=DW34)*('Margin Guidence Table'!$H$1:$H$10000&lt;=ROUND($DO$3,0))*('Margin Guidence Table'!$G$1:$G$10000&gt;=ROUND($DO$3,0)),0),MATCH("DATA_POINTS",'Margin Guidence Table'!$A$1:$AC$1,0)),0)</f>
        <v>0</v>
      </c>
      <c r="DY34" s="1161" t="str">
        <f t="shared" si="31"/>
        <v>DEFAULT</v>
      </c>
      <c r="DZ34" s="1161">
        <f t="array" ref="DZ34">IFERROR(IF($DY34="SEGMENT",INDEX('Margin Guidence Table'!$A$1:$AC$10000,MATCH(1,('Margin Guidence Table'!$A$1:$A$10000=DW34)*('Margin Guidence Table'!$H$1:$H$10000&lt;=ROUND($DO$3,0))*('Margin Guidence Table'!$G$1:$G$10000&gt;=ROUND($DO$3,0)),0),MATCH("SALES_CASE",'Margin Guidence Table'!$A$1:$AC$1,0)),INDEX('Margin Guidence Table'!$A$1:$AC$10000,MATCH(1,('Margin Guidence Table'!$A$1:$A$10000=DW34)*('Margin Guidence Table'!$H$1:$H$10000&lt;=ROUND($DO$3,0))*('Margin Guidence Table'!$G$1:$G$10000&gt;=ROUND($DO$3,0)),0),MATCH("DEFAULT_SALES_CASE",'Margin Guidence Table'!$A$1:$AC$1,0))),0)</f>
        <v>0</v>
      </c>
      <c r="EA34" s="1161">
        <f t="array" ref="EA34">IFERROR(IF($DY34="SEGMENT",INDEX('Margin Guidence Table'!$A$1:$AC$10000,MATCH(1,('Margin Guidence Table'!$A$1:$A$10000=DW34)*('Margin Guidence Table'!$H$1:$H$10000&lt;=ROUND($DO$3,0))*('Margin Guidence Table'!$G$1:$G$10000&gt;=ROUND($DO$3,0)),0),MATCH("SALES_LBS",'Margin Guidence Table'!$A$1:$AC$1,0)),INDEX('Margin Guidence Table'!$A$1:$AC$10000,MATCH(1,('Margin Guidence Table'!$A$1:$A$10000=DW34)*('Margin Guidence Table'!$H$1:$H$10000&lt;=ROUND($DO$3,0))*('Margin Guidence Table'!$G$1:$G$10000&gt;=ROUND($DO$3,0)),0),MATCH("DEFAULT_SALES_LBS",'Margin Guidence Table'!$A$1:$AC$1,0))),0)</f>
        <v>0</v>
      </c>
      <c r="EB34" s="1165">
        <f t="array" ref="EB34">IFERROR(IF($DY34="SEGMENT",INDEX('Margin Guidence Table'!$A$1:$AC$10000,MATCH(1,('Margin Guidence Table'!$A$1:$A$10000=DW34)*('Margin Guidence Table'!$H$1:$H$10000&lt;=ROUND($DO$3,0))*('Margin Guidence Table'!$G$1:$G$10000&gt;=ROUND($DO$3,0)),0),MATCH("MDA_MIN_MARGIN_GUIDENCE",'Margin Guidence Table'!$A$1:$AC$1,0)),INDEX('Margin Guidence Table'!$A$1:$AC$10000,MATCH(1,('Margin Guidence Table'!$A$1:$A$10000=DW34)*('Margin Guidence Table'!$H$1:$H$10000&lt;=ROUND($DO$3,0))*('Margin Guidence Table'!$G$1:$G$10000&gt;=ROUND($DO$3,0)),0),MATCH("DEFAULT_MDA_MIN_MARGIN_GUIDENCE",'Margin Guidence Table'!$A$1:$AC$1,0))),0)</f>
        <v>0</v>
      </c>
      <c r="EC34" s="1165">
        <f t="array" ref="EC34">IFERROR(IF($DY34="SEGMENT",INDEX('Margin Guidence Table'!$A$1:$AC$10000,MATCH(1,('Margin Guidence Table'!$A$1:$A$10000=DW34)*('Margin Guidence Table'!$H$1:$H$10000&lt;=ROUND($DO$3,0))*('Margin Guidence Table'!$G$1:$G$10000&gt;=ROUND($DO$3,0)),0),MATCH("MDA_MEDIAN_MARGIN_GUIDENCE",'Margin Guidence Table'!$A$1:$AC$1,0)),INDEX('Margin Guidence Table'!$A$1:$AC$10000,MATCH(1,('Margin Guidence Table'!$A$1:$A$10000=DW34)*('Margin Guidence Table'!$H$1:$H$10000&lt;=ROUND($DO$3,0))*('Margin Guidence Table'!$G$1:$G$10000&gt;=ROUND($DO$3,0)),0),MATCH("DEFAULT_MDA_MEDIAN_MARGIN_GUIDENCE",'Margin Guidence Table'!$A$1:$AC$1,0))),0)</f>
        <v>0</v>
      </c>
      <c r="ED34" s="1165">
        <f t="array" ref="ED34">IFERROR(IF($DY34="SEGMENT",INDEX('Margin Guidence Table'!$A$1:$AC$10000,MATCH(1,('Margin Guidence Table'!$A$1:$A$10000=DW34)*('Margin Guidence Table'!$H$1:$H$10000&lt;=ROUND($DO$3,0))*('Margin Guidence Table'!$G$1:$G$10000&gt;=ROUND($DO$3,0)),0),MATCH("MDA_MAX_MARGIN_GUIDENCE",'Margin Guidence Table'!$A$1:$AC$1,0)),INDEX('Margin Guidence Table'!$A$1:$AC$10000,MATCH(1,('Margin Guidence Table'!$A$1:$A$10000=DW34)*('Margin Guidence Table'!$H$1:$H$10000&lt;=ROUND($DO$3,0))*('Margin Guidence Table'!$G$1:$G$10000&gt;=ROUND($DO$3,0)),0),MATCH("DEFAULT_MDA_MAX_MARGIN_GUIDENCE",'Margin Guidence Table'!$A$1:$AC$1,0))),0)</f>
        <v>0</v>
      </c>
      <c r="EE34" s="1165">
        <f t="array" ref="EE34">IFERROR(IF($DY34="SEGMENT",INDEX('Margin Guidence Table'!$A$1:$AC$10000,MATCH(1,('Margin Guidence Table'!$A$1:$A$10000=DW34)*('Margin Guidence Table'!$H$1:$H$10000&lt;=ROUND($DO$3,0))*('Margin Guidence Table'!$G$1:$G$10000&gt;=ROUND($DO$3,0)),0),MATCH("PA_PCT_SALES",'Margin Guidence Table'!$A$1:$AC$1,0)),INDEX('Margin Guidence Table'!$A$1:$AC$10000,MATCH(1,('Margin Guidence Table'!$A$1:$A$10000=DW34)*('Margin Guidence Table'!$H$1:$H$10000&lt;=ROUND($DO$3,0))*('Margin Guidence Table'!$G$1:$G$10000&gt;=ROUND($DO$3,0)),0),MATCH("DEFAULT_PA_PCT_SALES",'Margin Guidence Table'!$A$1:$AC$1,0))),0)</f>
        <v>0</v>
      </c>
      <c r="EF34" s="1165">
        <f t="array" ref="EF34">IFERROR(IF($DY34="SEGMENT",INDEX('Margin Guidence Table'!$A$1:$AC$10000,MATCH(1,('Margin Guidence Table'!$A$1:$A$10000=DW34)*('Margin Guidence Table'!$H$1:$H$10000&lt;=ROUND($DO$3,0))*('Margin Guidence Table'!$G$1:$G$10000&gt;=ROUND($DO$3,0)),0),MATCH("SELF_FUND_PCT_SALES",'Margin Guidence Table'!$A$1:$AC$1,0)),INDEX('Margin Guidence Table'!$A$1:$AC$10000,MATCH(1,('Margin Guidence Table'!$A$1:$A$10000=DW34)*('Margin Guidence Table'!$H$1:$H$10000&lt;=ROUND($DO$3,0))*('Margin Guidence Table'!$G$1:$G$10000&gt;=ROUND($DO$3,0)),0),MATCH("DEFAULT_SELF_FUND_PCT_SALES",'Margin Guidence Table'!$A$1:$AC$1,0))),0)</f>
        <v>0</v>
      </c>
      <c r="EG34" s="1165">
        <f t="array" ref="EG34">IFERROR(IF($DY34="SEGMENT",INDEX('Margin Guidence Table'!$A$1:$AC$10000,MATCH(1,('Margin Guidence Table'!$A$1:$A$10000=DW34)*('Margin Guidence Table'!$H$1:$H$10000&lt;=ROUND($DO$3,0))*('Margin Guidence Table'!$G$1:$G$10000&gt;=ROUND($DO$3,0)),0),MATCH("CIA_MEDIAN_MARGIN_GUIDENCE",'Margin Guidence Table'!$A$1:$AC$1,0)),INDEX('Margin Guidence Table'!$A$1:$AC$10000,MATCH(1,('Margin Guidence Table'!$A$1:$A$10000=DW34)*('Margin Guidence Table'!$H$1:$H$10000&lt;=ROUND($DO$3,0))*('Margin Guidence Table'!$G$1:$G$10000&gt;=ROUND($DO$3,0)),0),MATCH("DEFAULT_CIA_MEDIAN_MARGIN_GUIDENCE",'Margin Guidence Table'!$A$1:$AC$1,0))),0)</f>
        <v>0</v>
      </c>
      <c r="EH34" s="129"/>
      <c r="EI34" s="18">
        <f t="array" ref="EI34">IFERROR(IF($EU34="SEGMENT",INDEX('Margin Guidence Table'!$A$1:$AC$10000,MATCH(1,('Margin Guidence Table'!$A$1:$A$10000=$ES34)*('Margin Guidence Table'!$H$1:$H$10000&lt;=ROUND($EK$3,0))*('Margin Guidence Table'!$G$1:$G$10000&gt;=ROUND($EK$3,0)),0),MATCH("PCT_SALES",'Margin Guidence Table'!$A$1:$AC$1,0)),INDEX('Margin Guidence Table'!$A$1:$AC$10000,MATCH(1,('Margin Guidence Table'!$A$1:$A$10000=$ES34)*('Margin Guidence Table'!$H$1:$H$10000&lt;=ROUND($EK$3,0))*('Margin Guidence Table'!$G$1:$G$10000&gt;=ROUND($EK$3,0)),0),MATCH("DEFAULT_PCT_SALES",'Margin Guidence Table'!$A$1:$AC$1,0))),0)</f>
        <v>0</v>
      </c>
      <c r="EJ34" s="103" t="s">
        <v>87</v>
      </c>
      <c r="EK34" s="94">
        <f>IFERROR(IF(AND($EK$2&lt;&gt;"Enter Spend&gt;&gt;&gt;",EL2="EXISTING"),SUMIFS('Existing Customers'!$Q:$Q,'Existing Customers'!$A:$A,$EK$1,'Existing Customers'!$H:$H,$EJ34)*$EK$4,$EK$3*$EI34),0)</f>
        <v>0</v>
      </c>
      <c r="EL34" s="89">
        <f>IFERROR(IF(AND($EK$2&lt;&gt;"Enter Spend&gt;&gt;&gt;",EL2="EXISTING"),SUMIFS('Existing Customers'!$N:$N,'Existing Customers'!$A:$A,$EK$1,'Existing Customers'!$H:$H,$EJ34)*$EK$4,$EK34/$EV34),0)</f>
        <v>0</v>
      </c>
      <c r="EM34" s="95">
        <f>IFERROR(IF(AND($EK$2&lt;&gt;"Enter Spend&gt;&gt;&gt;",EL2="EXISTING"),SUMIFS('Existing Customers'!$O:$O,'Existing Customers'!$H:$H,$EJ34,'Existing Customers'!$A:$A,$EK$1)*$EK$4,$EL34*$EK$8),0)</f>
        <v>0</v>
      </c>
      <c r="EN34" s="95">
        <f>IFERROR(IF(AND($EK$2&lt;&gt;"Enter Spend&gt;&gt;&gt;",EL2="EXISTING"),SUMIFS('Existing Customers'!$P:$P,'Existing Customers'!$A:$A,$EK$1,'Existing Customers'!$H:$H,$EJ34)*$EK$4,$EK34/$EW34),0)</f>
        <v>0</v>
      </c>
      <c r="EO34" s="96">
        <f>IFERROR(IF(AND($EK$2&lt;&gt;"Enter Spend&gt;&gt;&gt;",EL2="EXISTING"),SUMIFS('Existing Customers'!$V:$V,'Existing Customers'!$H:$H,$EJ34,'Existing Customers'!$A:$A,$EK$1)*$EK$4,0),0)</f>
        <v>0</v>
      </c>
      <c r="EP34" s="96">
        <f>IFERROR(IF(AND($EK$2&lt;&gt;"Enter Spend&gt;&gt;&gt;",EL2="EXISTING"),SUMIFS('Existing Customers'!$R:$R,'Existing Customers'!$H:$H,$EJ34,'Existing Customers'!$A:$A,$EK$1)*$EK$4,0),0)</f>
        <v>0</v>
      </c>
      <c r="EQ34" s="1161">
        <f>IFERROR(IF(AND($EK$2&lt;&gt;"Enter Spend&gt;&gt;&gt;",EL2="EXISTING"),SUMIFS('Existing Customers'!$S:$S,'Existing Customers'!$H:$H,$EJ34,'Existing Customers'!$A:$A,$EK$1),FA34*EK34),0)</f>
        <v>0</v>
      </c>
      <c r="ER34" s="1161">
        <f>IFERROR(IF(AND($EK$2&lt;&gt;"Enter Spend&gt;&gt;&gt;",EL2="EXISTING"),SUMIFS('Existing Customers'!$U:$U,'Existing Customers'!$H:$H,$EJ34,'Existing Customers'!$A:$A,$EK$1),FB34*EK34),0)</f>
        <v>0</v>
      </c>
      <c r="ES34" s="1164" t="e">
        <f t="shared" si="32"/>
        <v>#N/A</v>
      </c>
      <c r="ET34" s="1164">
        <f t="array" ref="ET34">IFERROR(INDEX('Margin Guidence Table'!$A$1:$AD$30000,MATCH(1,('Margin Guidence Table'!$A$1:$A$10000=ES34)*('Margin Guidence Table'!$H$1:$H$10000&lt;=ROUND($EK$3,0))*('Margin Guidence Table'!$G$1:$G$10000&gt;=ROUND($EK$3,0)),0),MATCH("DATA_POINTS",'Margin Guidence Table'!$A$1:$AC$1,0)),0)</f>
        <v>0</v>
      </c>
      <c r="EU34" s="1161" t="str">
        <f t="shared" si="33"/>
        <v>DEFAULT</v>
      </c>
      <c r="EV34" s="1161">
        <f t="array" ref="EV34">IFERROR(IF($EU34="SEGMENT",INDEX('Margin Guidence Table'!$A$1:$AC$10000,MATCH(1,('Margin Guidence Table'!$A$1:$A$10000=ES34)*('Margin Guidence Table'!$H$1:$H$10000&lt;=ROUND($EK$3,0))*('Margin Guidence Table'!$G$1:$G$10000&gt;=ROUND($EK$3,0)),0),MATCH("SALES_CASE",'Margin Guidence Table'!$A$1:$AC$1,0)),INDEX('Margin Guidence Table'!$A$1:$AC$10000,MATCH(1,('Margin Guidence Table'!$A$1:$A$10000=ES34)*('Margin Guidence Table'!$H$1:$H$10000&lt;=ROUND($EK$3,0))*('Margin Guidence Table'!$G$1:$G$10000&gt;=ROUND($EK$3,0)),0),MATCH("DEFAULT_SALES_CASE",'Margin Guidence Table'!$A$1:$AC$1,0))),0)</f>
        <v>0</v>
      </c>
      <c r="EW34" s="1161" cm="1">
        <f t="array" ref="EW34">IFERROR(IF($EU34="SEGMENT",INDEX('Margin Guidence Table'!$A$1:$AC$10000,MATCH(1,('Margin Guidence Table'!$A$1:$A$10000=ES34)*('Margin Guidence Table'!$H$1:$H$10000&lt;=ROUND($EK$3,0))*('Margin Guidence Table'!$G$1:$G$10000&gt;=ROUND($EK$3,0)),0),MATCH("SALES_LBS",'Margin Guidence Table'!$A$1:$AC$1,0)),INDEX('Margin Guidence Table'!$A$1:$AC$10000,MATCH(1,('Margin Guidence Table'!$A$1:$A$10000=ES34)*('Margin Guidence Table'!$H$1:$H$10000&lt;=ROUND($EK$3,0))*('Margin Guidence Table'!$G$1:$G$10000&gt;=ROUND($EK$3,0)),0),MATCH("DEFAULT_SALES_LBS",'Margin Guidence Table'!$A$1:$AC$1,0))),0)</f>
        <v>0</v>
      </c>
      <c r="EX34" s="1165">
        <f t="array" ref="EX34">IFERROR(IF($EU34="SEGMENT",INDEX('Margin Guidence Table'!$A$1:$AC$10000,MATCH(1,('Margin Guidence Table'!$A$1:$A$10000=ES34)*('Margin Guidence Table'!$H$1:$H$10000&lt;=ROUND($EK$3,0))*('Margin Guidence Table'!$G$1:$G$10000&gt;=ROUND($EK$3,0)),0),MATCH("MDA_MIN_MARGIN_GUIDENCE",'Margin Guidence Table'!$A$1:$AC$1,0)),INDEX('Margin Guidence Table'!$A$1:$AC$10000,MATCH(1,('Margin Guidence Table'!$A$1:$A$10000=ES34)*('Margin Guidence Table'!$H$1:$H$10000&lt;=ROUND($EK$3,0))*('Margin Guidence Table'!$G$1:$G$10000&gt;=ROUND($EK$3,0)),0),MATCH("DEFAULT_MDA_MIN_MARGIN_GUIDENCE",'Margin Guidence Table'!$A$1:$AC$1,0))),0)</f>
        <v>0</v>
      </c>
      <c r="EY34" s="1165">
        <f t="array" ref="EY34">IFERROR(IF($EU34="SEGMENT",INDEX('Margin Guidence Table'!$A$1:$AC$10000,MATCH(1,('Margin Guidence Table'!$A$1:$A$10000=ES34)*('Margin Guidence Table'!$H$1:$H$10000&lt;=ROUND($EK$3,0))*('Margin Guidence Table'!$G$1:$G$10000&gt;=ROUND($EK$3,0)),0),MATCH("MDA_MEDIAN_MARGIN_GUIDENCE",'Margin Guidence Table'!$A$1:$AC$1,0)),INDEX('Margin Guidence Table'!$A$1:$AC$10000,MATCH(1,('Margin Guidence Table'!$A$1:$A$10000=ES34)*('Margin Guidence Table'!$H$1:$H$10000&lt;=ROUND($EK$3,0))*('Margin Guidence Table'!$G$1:$G$10000&gt;=ROUND($EK$3,0)),0),MATCH("DEFAULT_MDA_MEDIAN_MARGIN_GUIDENCE",'Margin Guidence Table'!$A$1:$AC$1,0))),0)</f>
        <v>0</v>
      </c>
      <c r="EZ34" s="1165">
        <f t="array" ref="EZ34">IFERROR(IF($EU34="SEGMENT",INDEX('Margin Guidence Table'!$A$1:$AC$10000,MATCH(1,('Margin Guidence Table'!$A$1:$A$10000=ES34)*('Margin Guidence Table'!$H$1:$H$10000&lt;=ROUND($EK$3,0))*('Margin Guidence Table'!$G$1:$G$10000&gt;=ROUND($EK$3,0)),0),MATCH("MDA_MAX_MARGIN_GUIDENCE",'Margin Guidence Table'!$A$1:$AC$1,0)),INDEX('Margin Guidence Table'!$A$1:$AC$10000,MATCH(1,('Margin Guidence Table'!$A$1:$A$10000=ES34)*('Margin Guidence Table'!$H$1:$H$10000&lt;=ROUND($EK$3,0))*('Margin Guidence Table'!$G$1:$G$10000&gt;=ROUND($EK$3,0)),0),MATCH("DEFAULT_MDA_MAX_MARGIN_GUIDENCE",'Margin Guidence Table'!$A$1:$AC$1,0))),0)</f>
        <v>0</v>
      </c>
      <c r="FA34" s="1165">
        <f t="array" ref="FA34">IFERROR(IF($EU34="SEGMENT",INDEX('Margin Guidence Table'!$A$1:$AC$10000,MATCH(1,('Margin Guidence Table'!$A$1:$A$10000=ES34)*('Margin Guidence Table'!$H$1:$H$10000&lt;=ROUND($EK$3,0))*('Margin Guidence Table'!$G$1:$G$10000&gt;=ROUND($EK$3,0)),0),MATCH("PA_PCT_SALES",'Margin Guidence Table'!$A$1:$AC$1,0)),INDEX('Margin Guidence Table'!$A$1:$AC$10000,MATCH(1,('Margin Guidence Table'!$A$1:$A$10000=ES34)*('Margin Guidence Table'!$H$1:$H$10000&lt;=ROUND($EK$3,0))*('Margin Guidence Table'!$G$1:$G$10000&gt;=ROUND($EK$3,0)),0),MATCH("DEFAULT_PA_PCT_SALES",'Margin Guidence Table'!$A$1:$AC$1,0))),0)</f>
        <v>0</v>
      </c>
      <c r="FB34" s="1165">
        <f t="array" ref="FB34">IFERROR(IF($EU34="SEGMENT",INDEX('Margin Guidence Table'!$A$1:$AC$10000,MATCH(1,('Margin Guidence Table'!$A$1:$A$10000=ES34)*('Margin Guidence Table'!$H$1:$H$10000&lt;=ROUND($EK$3,0))*('Margin Guidence Table'!$G$1:$G$10000&gt;=ROUND($EK$3,0)),0),MATCH("SELF_FUND_PCT_SALES",'Margin Guidence Table'!$A$1:$AC$1,0)),INDEX('Margin Guidence Table'!$A$1:$AC$10000,MATCH(1,('Margin Guidence Table'!$A$1:$A$10000=ES34)*('Margin Guidence Table'!$H$1:$H$10000&lt;=ROUND($EK$3,0))*('Margin Guidence Table'!$G$1:$G$10000&gt;=ROUND($EK$3,0)),0),MATCH("DEFAULT_SELF_FUND_PCT_SALES",'Margin Guidence Table'!$A$1:$AC$1,0))),0)</f>
        <v>0</v>
      </c>
      <c r="FC34" s="1165">
        <f t="array" ref="FC34">IFERROR(IF($EU34="SEGMENT",INDEX('Margin Guidence Table'!$A$1:$AC$10000,MATCH(1,('Margin Guidence Table'!$A$1:$A$10000=ES34)*('Margin Guidence Table'!$H$1:$H$10000&lt;=ROUND($EK$3,0))*('Margin Guidence Table'!$G$1:$G$10000&gt;=ROUND($EK$3,0)),0),MATCH("CIA_MEDIAN_MARGIN_GUIDENCE",'Margin Guidence Table'!$A$1:$AC$1,0)),INDEX('Margin Guidence Table'!$A$1:$AC$10000,MATCH(1,('Margin Guidence Table'!$A$1:$A$10000=ES34)*('Margin Guidence Table'!$H$1:$H$10000&lt;=ROUND($EK$3,0))*('Margin Guidence Table'!$G$1:$G$10000&gt;=ROUND($EK$3,0)),0),MATCH("DEFAULT_CIA_MEDIAN_MARGIN_GUIDENCE",'Margin Guidence Table'!$A$1:$AC$1,0))),0)</f>
        <v>0</v>
      </c>
      <c r="FD34" s="129"/>
      <c r="FE34" s="18">
        <f t="array" ref="FE34">IFERROR(IF($FQ34="SEGMENT",INDEX('Margin Guidence Table'!$A$1:$AC$10000,MATCH(1,('Margin Guidence Table'!$A$1:$A$10000=$FO34)*('Margin Guidence Table'!$H$1:$H$10000&lt;=ROUND($FG$3,0))*('Margin Guidence Table'!$G$1:$G$10000&gt;=ROUND($FG$3,0)),0),MATCH("PCT_SALES",'Margin Guidence Table'!$A$1:$AC$1,0)),INDEX('Margin Guidence Table'!$A$1:$AC$10000,MATCH(1,('Margin Guidence Table'!$A$1:$A$10000=$FO34)*('Margin Guidence Table'!$H$1:$H$10000&lt;=ROUND($FG$3,0))*('Margin Guidence Table'!$G$1:$G$10000&gt;=ROUND($FG$3,0)),0),MATCH("DEFAULT_PCT_SALES",'Margin Guidence Table'!$A$1:$AC$1,0))),0)</f>
        <v>0</v>
      </c>
      <c r="FF34" s="103" t="s">
        <v>87</v>
      </c>
      <c r="FG34" s="94">
        <f>IFERROR(IF(AND($FG$2&lt;&gt;"Enter Spend&gt;&gt;&gt;",FH2="EXISTING"),SUMIFS('Existing Customers'!$Q:$Q,'Existing Customers'!$A:$A,$FG$1,'Existing Customers'!$H:$H,$FF34)*$FG$4,$FG$3*$FE34),0)</f>
        <v>0</v>
      </c>
      <c r="FH34" s="89">
        <f>IFERROR(IF(AND($FG$2&lt;&gt;"Enter Spend&gt;&gt;&gt;",FH2="EXISTING"),SUMIFS('Existing Customers'!$N:$N,'Existing Customers'!$A:$A,$FG$1,'Existing Customers'!$H:$H,$FF34)*$FG$4,$FG34/$FR34),0)</f>
        <v>0</v>
      </c>
      <c r="FI34" s="95">
        <f>IFERROR(IF(AND($FG$2&lt;&gt;"Enter Spend&gt;&gt;&gt;",FH2="EXISTING"),SUMIFS('Existing Customers'!$O:$O,'Existing Customers'!$H:$H,$FF34,'Existing Customers'!$A:$A,$FG$1)*$FG$4,$FH34*$FG$8),0)</f>
        <v>0</v>
      </c>
      <c r="FJ34" s="95">
        <f>IFERROR(IF(AND($FG$2&lt;&gt;"Enter Spend&gt;&gt;&gt;",FH2="EXISTING"),SUMIFS('Existing Customers'!$P:$P,'Existing Customers'!$A:$A,$FG$1,'Existing Customers'!$H:$H,$FF34)*$FG$4,$FG34/$FS34),0)</f>
        <v>0</v>
      </c>
      <c r="FK34" s="96">
        <f>IFERROR(IF(AND($FG$2&lt;&gt;"Enter Spend&gt;&gt;&gt;",FH2="EXISTING"),SUMIFS('Existing Customers'!$V:$V,'Existing Customers'!$H:$H,$FF34,'Existing Customers'!$A:$A,$FG$1)*$FG$4,0),0)</f>
        <v>0</v>
      </c>
      <c r="FL34" s="96">
        <f>IFERROR(IF(AND($FG$2&lt;&gt;"Enter Spend&gt;&gt;&gt;",FH2="EXISTING"),SUMIFS('Existing Customers'!$R:$R,'Existing Customers'!$H:$H,$FF34,'Existing Customers'!$A:$A,$FG$1)*$FG$4,0),0)</f>
        <v>0</v>
      </c>
      <c r="FM34" s="1161">
        <f>IFERROR(IF(AND($FG$2&lt;&gt;"Enter Spend&gt;&gt;&gt;",FH2="EXISTING"),SUMIFS('Existing Customers'!$S:$S,'Existing Customers'!$H:$H,$FF34,'Existing Customers'!$A:$A,$FG$1),FW34*FG34),0)</f>
        <v>0</v>
      </c>
      <c r="FN34" s="1161">
        <f>IFERROR(IF(AND($FG$2&lt;&gt;"Enter Spend&gt;&gt;&gt;",FH2="EXISTING"),SUMIFS('Existing Customers'!$U:$U,'Existing Customers'!$H:$H,$FF34,'Existing Customers'!$A:$A,$FG$1),FX34*FG34),0)</f>
        <v>0</v>
      </c>
      <c r="FO34" s="1164" t="e">
        <f t="shared" si="34"/>
        <v>#N/A</v>
      </c>
      <c r="FP34" s="1164">
        <f t="array" ref="FP34">IFERROR(INDEX('Margin Guidence Table'!$A$1:$AD$30000,MATCH(1,('Margin Guidence Table'!$A$1:$A$10000=FO34)*('Margin Guidence Table'!$H$1:$H$10000&lt;=ROUND($FG$3,0))*('Margin Guidence Table'!$G$1:$G$10000&gt;=ROUND($FG$3,0)),0),MATCH("DATA_POINTS",'Margin Guidence Table'!$A$1:$AC$1,0)),0)</f>
        <v>0</v>
      </c>
      <c r="FQ34" s="1161" t="str">
        <f t="shared" si="35"/>
        <v>DEFAULT</v>
      </c>
      <c r="FR34" s="1161">
        <f t="array" ref="FR34">IFERROR(IF($FQ34="SEGMENT",INDEX('Margin Guidence Table'!$A$1:$AC$10000,MATCH(1,('Margin Guidence Table'!$A$1:$A$10000=FO34)*('Margin Guidence Table'!$H$1:$H$10000&lt;=ROUND($FG$3,0))*('Margin Guidence Table'!$G$1:$G$10000&gt;=ROUND($FG$3,0)),0),MATCH("SALES_CASE",'Margin Guidence Table'!$A$1:$AC$1,0)),INDEX('Margin Guidence Table'!$A$1:$AC$10000,MATCH(1,('Margin Guidence Table'!$A$1:$A$10000=FO34)*('Margin Guidence Table'!$H$1:$H$10000&lt;=ROUND($FG$3,0))*('Margin Guidence Table'!$G$1:$G$10000&gt;=ROUND($FG$3,0)),0),MATCH("DEFAULT_SALES_CASE",'Margin Guidence Table'!$A$1:$AC$1,0))),0)</f>
        <v>0</v>
      </c>
      <c r="FS34" s="1161">
        <f t="array" ref="FS34">IFERROR(IF($FQ34="SEGMENT",INDEX('Margin Guidence Table'!$A$1:$AC$10000,MATCH(1,('Margin Guidence Table'!$A$1:$A$10000=FO34)*('Margin Guidence Table'!$H$1:$H$10000&lt;=ROUND($FG$3,0))*('Margin Guidence Table'!$G$1:$G$10000&gt;=ROUND($FG$3,0)),0),MATCH("SALES_LBS",'Margin Guidence Table'!$A$1:$AC$1,0)),INDEX('Margin Guidence Table'!$A$1:$AC$10000,MATCH(1,('Margin Guidence Table'!$A$1:$A$10000=FO34)*('Margin Guidence Table'!$H$1:$H$10000&lt;=ROUND($FG$3,0))*('Margin Guidence Table'!$G$1:$G$10000&gt;=ROUND($FG$3,0)),0),MATCH("DEFAULT_SALES_LBS",'Margin Guidence Table'!$A$1:$AC$1,0))),0)</f>
        <v>0</v>
      </c>
      <c r="FT34" s="1165">
        <f t="array" ref="FT34">IFERROR(IF($FQ34="SEGMENT",INDEX('Margin Guidence Table'!$A$1:$AC$10000,MATCH(1,('Margin Guidence Table'!$A$1:$A$10000=FO34)*('Margin Guidence Table'!$H$1:$H$10000&lt;=ROUND($FG$3,0))*('Margin Guidence Table'!$G$1:$G$10000&gt;=ROUND($FG$3,0)),0),MATCH("MDA_MIN_MARGIN_GUIDENCE",'Margin Guidence Table'!$A$1:$AC$1,0)),INDEX('Margin Guidence Table'!$A$1:$AC$10000,MATCH(1,('Margin Guidence Table'!$A$1:$A$10000=FO34)*('Margin Guidence Table'!$H$1:$H$10000&lt;=ROUND($FG$3,0))*('Margin Guidence Table'!$G$1:$G$10000&gt;=ROUND($FG$3,0)),0),MATCH("DEFAULT_MDA_MIN_MARGIN_GUIDENCE",'Margin Guidence Table'!$A$1:$AC$1,0))),0)</f>
        <v>0</v>
      </c>
      <c r="FU34" s="1165">
        <f t="array" ref="FU34">IFERROR(IF($FQ34="SEGMENT",INDEX('Margin Guidence Table'!$A$1:$AC$10000,MATCH(1,('Margin Guidence Table'!$A$1:$A$10000=FO34)*('Margin Guidence Table'!$H$1:$H$10000&lt;=ROUND($FG$3,0))*('Margin Guidence Table'!$G$1:$G$10000&gt;=ROUND($FG$3,0)),0),MATCH("MDA_MEDIAN_MARGIN_GUIDENCE",'Margin Guidence Table'!$A$1:$AC$1,0)),INDEX('Margin Guidence Table'!$A$1:$AC$10000,MATCH(1,('Margin Guidence Table'!$A$1:$A$10000=FO34)*('Margin Guidence Table'!$H$1:$H$10000&lt;=ROUND($FG$3,0))*('Margin Guidence Table'!$G$1:$G$10000&gt;=ROUND($FG$3,0)),0),MATCH("DEFAULT_MDA_MEDIAN_MARGIN_GUIDENCE",'Margin Guidence Table'!$A$1:$AC$1,0))),0)</f>
        <v>0</v>
      </c>
      <c r="FV34" s="1165">
        <f t="array" ref="FV34">IFERROR(IF($FQ34="SEGMENT",INDEX('Margin Guidence Table'!$A$1:$AC$10000,MATCH(1,('Margin Guidence Table'!$A$1:$A$10000=FO34)*('Margin Guidence Table'!$H$1:$H$10000&lt;=ROUND($FG$3,0))*('Margin Guidence Table'!$G$1:$G$10000&gt;=ROUND($FG$3,0)),0),MATCH("MDA_MAX_MARGIN_GUIDENCE",'Margin Guidence Table'!$A$1:$AC$1,0)),INDEX('Margin Guidence Table'!$A$1:$AC$10000,MATCH(1,('Margin Guidence Table'!$A$1:$A$10000=FO34)*('Margin Guidence Table'!$H$1:$H$10000&lt;=ROUND($FG$3,0))*('Margin Guidence Table'!$G$1:$G$10000&gt;=ROUND($FG$3,0)),0),MATCH("DEFAULT_MDA_MAX_MARGIN_GUIDENCE",'Margin Guidence Table'!$A$1:$AC$1,0))),0)</f>
        <v>0</v>
      </c>
      <c r="FW34" s="1165">
        <f t="array" ref="FW34">IFERROR(IF($FQ34="SEGMENT",INDEX('Margin Guidence Table'!$A$1:$AC$10000,MATCH(1,('Margin Guidence Table'!$A$1:$A$10000=FO34)*('Margin Guidence Table'!$H$1:$H$10000&lt;=ROUND($FG$3,0))*('Margin Guidence Table'!$G$1:$G$10000&gt;=ROUND($FG$3,0)),0),MATCH("PA_PCT_SALES",'Margin Guidence Table'!$A$1:$AC$1,0)),INDEX('Margin Guidence Table'!$A$1:$AC$10000,MATCH(1,('Margin Guidence Table'!$A$1:$A$10000=FO34)*('Margin Guidence Table'!$H$1:$H$10000&lt;=ROUND($FG$3,0))*('Margin Guidence Table'!$G$1:$G$10000&gt;=ROUND($FG$3,0)),0),MATCH("DEFAULT_PA_PCT_SALES",'Margin Guidence Table'!$A$1:$AC$1,0))),0)</f>
        <v>0</v>
      </c>
      <c r="FX34" s="1165">
        <f t="array" ref="FX34">IFERROR(IF($FQ34="SEGMENT",INDEX('Margin Guidence Table'!$A$1:$AC$10000,MATCH(1,('Margin Guidence Table'!$A$1:$A$10000=FO34)*('Margin Guidence Table'!$H$1:$H$10000&lt;=ROUND($FG$3,0))*('Margin Guidence Table'!$G$1:$G$10000&gt;=ROUND($FG$3,0)),0),MATCH("SELF_FUND_PCT_SALES",'Margin Guidence Table'!$A$1:$AC$1,0)),INDEX('Margin Guidence Table'!$A$1:$AC$10000,MATCH(1,('Margin Guidence Table'!$A$1:$A$10000=FO34)*('Margin Guidence Table'!$H$1:$H$10000&lt;=ROUND($FG$3,0))*('Margin Guidence Table'!$G$1:$G$10000&gt;=ROUND($FG$3,0)),0),MATCH("DEFAULT_SELF_FUND_PCT_SALES",'Margin Guidence Table'!$A$1:$AC$1,0))),0)</f>
        <v>0</v>
      </c>
      <c r="FY34" s="1165">
        <f t="array" ref="FY34">IFERROR(IF($FQ34="SEGMENT",INDEX('Margin Guidence Table'!$A$1:$AC$10000,MATCH(1,('Margin Guidence Table'!$A$1:$A$10000=FO34)*('Margin Guidence Table'!$H$1:$H$10000&lt;=ROUND($FG$3,0))*('Margin Guidence Table'!$G$1:$G$10000&gt;=ROUND($FG$3,0)),0),MATCH("CIA_MEDIAN_MARGIN_GUIDENCE",'Margin Guidence Table'!$A$1:$AC$1,0)),INDEX('Margin Guidence Table'!$A$1:$AC$10000,MATCH(1,('Margin Guidence Table'!$A$1:$A$10000=FO34)*('Margin Guidence Table'!$H$1:$H$10000&lt;=ROUND($FG$3,0))*('Margin Guidence Table'!$G$1:$G$10000&gt;=ROUND($FG$3,0)),0),MATCH("DEFAULT_CIA_MEDIAN_MARGIN_GUIDENCE",'Margin Guidence Table'!$A$1:$AC$1,0))),0)</f>
        <v>0</v>
      </c>
      <c r="FZ34" s="129"/>
      <c r="GA34" s="18">
        <f t="array" ref="GA34">IFERROR(IF($GM34="SEGMENT",INDEX('Margin Guidence Table'!$A$1:$AC$10000,MATCH(1,('Margin Guidence Table'!$A$1:$A$10000=$GK34)*('Margin Guidence Table'!$H$1:$H$10000&lt;=ROUND($GC$3,0))*('Margin Guidence Table'!$G$1:$G$10000&gt;=ROUND($GC$3,0)),0),MATCH("PCT_SALES",'Margin Guidence Table'!$A$1:$AC$1,0)),INDEX('Margin Guidence Table'!$A$1:$AC$10000,MATCH(1,('Margin Guidence Table'!$A$1:$A$10000=$GK34)*('Margin Guidence Table'!$H$1:$H$10000&lt;=ROUND($GC$3,0))*('Margin Guidence Table'!$G$1:$G$10000&gt;=ROUND($GC$3,0)),0),MATCH("DEFAULT_PCT_SALES",'Margin Guidence Table'!$A$1:$AC$1,0))),0)</f>
        <v>0</v>
      </c>
      <c r="GB34" s="103" t="s">
        <v>87</v>
      </c>
      <c r="GC34" s="94">
        <f>IFERROR(IF(AND($GC$2&lt;&gt;"Enter Spend&gt;&gt;&gt;",GD2="EXISTING"),SUMIFS('Existing Customers'!$Q:$Q,'Existing Customers'!$A:$A,$GC$1,'Existing Customers'!$H:$H,$GB34)*$GC$4,$GC$3*$GA34),0)</f>
        <v>0</v>
      </c>
      <c r="GD34" s="89">
        <f>IFERROR(IF(AND($GC$2&lt;&gt;"Enter Spend&gt;&gt;&gt;",GD2="EXISTING"),SUMIFS('Existing Customers'!$N:$N,'Existing Customers'!$A:$A,$GC$1,'Existing Customers'!$H:$H,$GB34)*$GC$4,$GC34/$GN34),0)</f>
        <v>0</v>
      </c>
      <c r="GE34" s="95">
        <f>IFERROR(IF(AND($GC$2&lt;&gt;"Enter Spend&gt;&gt;&gt;",GD2="EXISTING"),SUMIFS('Existing Customers'!$O:$O,'Existing Customers'!$H:$H,$GB34,'Existing Customers'!$A:$A,$GC$1)*$GC$4,$GD34*$GC$8),0)</f>
        <v>0</v>
      </c>
      <c r="GF34" s="95">
        <f>IFERROR(IF(AND($GC$2&lt;&gt;"Enter Spend&gt;&gt;&gt;",GD2="EXISTING"),SUMIFS('Existing Customers'!$P:$P,'Existing Customers'!$A:$A,$GC$1,'Existing Customers'!$H:$H,$GB34)*$GC$4,$GC34/$GO34),0)</f>
        <v>0</v>
      </c>
      <c r="GG34" s="96">
        <f>IFERROR(IF(AND($GC$2&lt;&gt;"Enter Spend&gt;&gt;&gt;",GD2="EXISTING"),SUMIFS('Existing Customers'!$V:$V,'Existing Customers'!$H:$H,$GB34,'Existing Customers'!$A:$A,$GC$1)*$GC$4,0),0)</f>
        <v>0</v>
      </c>
      <c r="GH34" s="96">
        <f>IFERROR(IF(AND($GC$2&lt;&gt;"Enter Spend&gt;&gt;&gt;",GD2="EXISTING"),SUMIFS('Existing Customers'!$R:$R,'Existing Customers'!$H:$H,$GB34,'Existing Customers'!$A:$A,$GC$1)*$GC$4,0),0)</f>
        <v>0</v>
      </c>
      <c r="GI34" s="1161">
        <f>IFERROR(IF(AND($GC$2&lt;&gt;"Enter Spend&gt;&gt;&gt;",GD2="EXISTING"),SUMIFS('Existing Customers'!$S:$S,'Existing Customers'!$H:$H,$GB34,'Existing Customers'!$A:$A,$GC$1),GS34*GC34),0)</f>
        <v>0</v>
      </c>
      <c r="GJ34" s="1161">
        <f>IFERROR(IF(AND($GC$2&lt;&gt;"Enter Spend&gt;&gt;&gt;",GD2="EXISTING"),SUMIFS('Existing Customers'!$U:$U,'Existing Customers'!$H:$H,$GB34,'Existing Customers'!$A:$A,$GC$1),GT34*GC34),0)</f>
        <v>0</v>
      </c>
      <c r="GK34" s="1164" t="e">
        <f t="shared" si="36"/>
        <v>#N/A</v>
      </c>
      <c r="GL34" s="1164">
        <f t="array" ref="GL34">IFERROR(INDEX('Margin Guidence Table'!$A$1:$AD$30000,MATCH(1,('Margin Guidence Table'!$A$1:$A$10000=GK34)*('Margin Guidence Table'!$H$1:$H$10000&lt;=ROUND($GC$3,0))*('Margin Guidence Table'!$G$1:$G$10000&gt;=ROUND($GC$3,0)),0),MATCH("DATA_POINTS",'Margin Guidence Table'!$A$1:$AC$1,0)),0)</f>
        <v>0</v>
      </c>
      <c r="GM34" s="1161" t="str">
        <f t="shared" si="37"/>
        <v>DEFAULT</v>
      </c>
      <c r="GN34" s="1161">
        <f t="array" ref="GN34">IFERROR(IF($GM34="SEGMENT",INDEX('Margin Guidence Table'!$A$1:$AC$10000,MATCH(1,('Margin Guidence Table'!$A$1:$A$10000=GK34)*('Margin Guidence Table'!$H$1:$H$10000&lt;=ROUND($GC$3,0))*('Margin Guidence Table'!$G$1:$G$10000&gt;=ROUND($GC$3,0)),0),MATCH("SALES_CASE",'Margin Guidence Table'!$A$1:$AC$1,0)),INDEX('Margin Guidence Table'!$A$1:$AC$10000,MATCH(1,('Margin Guidence Table'!$A$1:$A$10000=GK34)*('Margin Guidence Table'!$H$1:$H$10000&lt;=ROUND($GC$3,0))*('Margin Guidence Table'!$G$1:$G$10000&gt;=ROUND($GC$3,0)),0),MATCH("DEFAULT_SALES_CASE",'Margin Guidence Table'!$A$1:$AC$1,0))),0)</f>
        <v>0</v>
      </c>
      <c r="GO34" s="1161">
        <f t="array" ref="GO34">IFERROR(IF($GM34="SEGMENT",INDEX('Margin Guidence Table'!$A$1:$AC$10000,MATCH(1,('Margin Guidence Table'!$A$1:$A$10000=GK34)*('Margin Guidence Table'!$H$1:$H$10000&lt;=ROUND($GC$3,0))*('Margin Guidence Table'!$G$1:$G$10000&gt;=ROUND($GC$3,0)),0),MATCH("SALES_LBS",'Margin Guidence Table'!$A$1:$AC$1,0)),INDEX('Margin Guidence Table'!$A$1:$AC$10000,MATCH(1,('Margin Guidence Table'!$A$1:$A$10000=GK34)*('Margin Guidence Table'!$H$1:$H$10000&lt;=ROUND($GC$3,0))*('Margin Guidence Table'!$G$1:$G$10000&gt;=ROUND($GC$3,0)),0),MATCH("DEFAULT_SALES_LBS",'Margin Guidence Table'!$A$1:$AC$1,0))),0)</f>
        <v>0</v>
      </c>
      <c r="GP34" s="1165">
        <f t="array" ref="GP34">IFERROR(IF($GM34="SEGMENT",INDEX('Margin Guidence Table'!$A$1:$AC$10000,MATCH(1,('Margin Guidence Table'!$A$1:$A$10000=GK34)*('Margin Guidence Table'!$H$1:$H$10000&lt;=ROUND($GC$3,0))*('Margin Guidence Table'!$G$1:$G$10000&gt;=ROUND($GC$3,0)),0),MATCH("MDA_MIN_MARGIN_GUIDENCE",'Margin Guidence Table'!$A$1:$AC$1,0)),INDEX('Margin Guidence Table'!$A$1:$AC$10000,MATCH(1,('Margin Guidence Table'!$A$1:$A$10000=GK34)*('Margin Guidence Table'!$H$1:$H$10000&lt;=ROUND($GC$3,0))*('Margin Guidence Table'!$G$1:$G$10000&gt;=ROUND($GC$3,0)),0),MATCH("DEFAULT_MDA_MIN_MARGIN_GUIDENCE",'Margin Guidence Table'!$A$1:$AC$1,0))),0)</f>
        <v>0</v>
      </c>
      <c r="GQ34" s="1165">
        <f t="array" ref="GQ34">IFERROR(IF($GM34="SEGMENT",INDEX('Margin Guidence Table'!$A$1:$AC$10000,MATCH(1,('Margin Guidence Table'!$A$1:$A$10000=GK34)*('Margin Guidence Table'!$H$1:$H$10000&lt;=ROUND($GC$3,0))*('Margin Guidence Table'!$G$1:$G$10000&gt;=ROUND($GC$3,0)),0),MATCH("MDA_MEDIAN_MARGIN_GUIDENCE",'Margin Guidence Table'!$A$1:$AC$1,0)),INDEX('Margin Guidence Table'!$A$1:$AC$10000,MATCH(1,('Margin Guidence Table'!$A$1:$A$10000=GK34)*('Margin Guidence Table'!$H$1:$H$10000&lt;=ROUND($GC$3,0))*('Margin Guidence Table'!$G$1:$G$10000&gt;=ROUND($GC$3,0)),0),MATCH("DEFAULT_MDA_MEDIAN_MARGIN_GUIDENCE",'Margin Guidence Table'!$A$1:$AC$1,0))),0)</f>
        <v>0</v>
      </c>
      <c r="GR34" s="1165">
        <f t="array" ref="GR34">IFERROR(IF($GM34="SEGMENT",INDEX('Margin Guidence Table'!$A$1:$AC$10000,MATCH(1,('Margin Guidence Table'!$A$1:$A$10000=GK34)*('Margin Guidence Table'!$H$1:$H$10000&lt;=ROUND($GC$3,0))*('Margin Guidence Table'!$G$1:$G$10000&gt;=ROUND($GC$3,0)),0),MATCH("MDA_MAX_MARGIN_GUIDENCE",'Margin Guidence Table'!$A$1:$AC$1,0)),INDEX('Margin Guidence Table'!$A$1:$AC$10000,MATCH(1,('Margin Guidence Table'!$A$1:$A$10000=GK34)*('Margin Guidence Table'!$H$1:$H$10000&lt;=ROUND($GC$3,0))*('Margin Guidence Table'!$G$1:$G$10000&gt;=ROUND($GC$3,0)),0),MATCH("DEFAULT_MDA_MAX_MARGIN_GUIDENCE",'Margin Guidence Table'!$A$1:$AC$1,0))),0)</f>
        <v>0</v>
      </c>
      <c r="GS34" s="1165">
        <f t="array" ref="GS34">IFERROR(IF($GM34="SEGMENT",INDEX('Margin Guidence Table'!$A$1:$AC$10000,MATCH(1,('Margin Guidence Table'!$A$1:$A$10000=GK34)*('Margin Guidence Table'!$H$1:$H$10000&lt;=ROUND($GC$3,0))*('Margin Guidence Table'!$G$1:$G$10000&gt;=ROUND($GC$3,0)),0),MATCH("PA_PCT_SALES",'Margin Guidence Table'!$A$1:$AC$1,0)),INDEX('Margin Guidence Table'!$A$1:$AC$10000,MATCH(1,('Margin Guidence Table'!$A$1:$A$10000=GK34)*('Margin Guidence Table'!$H$1:$H$10000&lt;=ROUND($GC$3,0))*('Margin Guidence Table'!$G$1:$G$10000&gt;=ROUND($GC$3,0)),0),MATCH("DEFAULT_PA_PCT_SALES",'Margin Guidence Table'!$A$1:$AC$1,0))),0)</f>
        <v>0</v>
      </c>
      <c r="GT34" s="1165">
        <f t="array" ref="GT34">IFERROR(IF($GM34="SEGMENT",INDEX('Margin Guidence Table'!$A$1:$AC$10000,MATCH(1,('Margin Guidence Table'!$A$1:$A$10000=GK34)*('Margin Guidence Table'!$H$1:$H$10000&lt;=ROUND($GC$3,0))*('Margin Guidence Table'!$G$1:$G$10000&gt;=ROUND($GC$3,0)),0),MATCH("SELF_FUND_PCT_SALES",'Margin Guidence Table'!$A$1:$AC$1,0)),INDEX('Margin Guidence Table'!$A$1:$AC$10000,MATCH(1,('Margin Guidence Table'!$A$1:$A$10000=GK34)*('Margin Guidence Table'!$H$1:$H$10000&lt;=ROUND($GC$3,0))*('Margin Guidence Table'!$G$1:$G$10000&gt;=ROUND($GC$3,0)),0),MATCH("DEFAULT_SELF_FUND_PCT_SALES",'Margin Guidence Table'!$A$1:$AC$1,0))),0)</f>
        <v>0</v>
      </c>
      <c r="GU34" s="1165">
        <f t="array" ref="GU34">IFERROR(IF($GM34="SEGMENT",INDEX('Margin Guidence Table'!$A$1:$AC$10000,MATCH(1,('Margin Guidence Table'!$A$1:$A$10000=GK34)*('Margin Guidence Table'!$H$1:$H$10000&lt;=ROUND($GC$3,0))*('Margin Guidence Table'!$G$1:$G$10000&gt;=ROUND($GC$3,0)),0),MATCH("CIA_MEDIAN_MARGIN_GUIDENCE",'Margin Guidence Table'!$A$1:$AC$1,0)),INDEX('Margin Guidence Table'!$A$1:$AC$10000,MATCH(1,('Margin Guidence Table'!$A$1:$A$10000=GK34)*('Margin Guidence Table'!$H$1:$H$10000&lt;=ROUND($GC$3,0))*('Margin Guidence Table'!$G$1:$G$10000&gt;=ROUND($GC$3,0)),0),MATCH("DEFAULT_CIA_MEDIAN_MARGIN_GUIDENCE",'Margin Guidence Table'!$A$1:$AC$1,0))),0)</f>
        <v>0</v>
      </c>
      <c r="GV34" s="129"/>
      <c r="GW34" s="18">
        <f t="array" ref="GW34">IFERROR(IF($HI34="SEGMENT",INDEX('Margin Guidence Table'!$A$1:$AC$10000,MATCH(1,('Margin Guidence Table'!$A$1:$A$10000=$HG34)*('Margin Guidence Table'!$H$1:$H$10000&lt;=ROUND($GY$3,0))*('Margin Guidence Table'!$G$1:$G$10000&gt;=ROUND($GY$3,0)),0),MATCH("PCT_SALES",'Margin Guidence Table'!$A$1:$AC$1,0)),INDEX('Margin Guidence Table'!$A$1:$AC$10000,MATCH(1,('Margin Guidence Table'!$A$1:$A$10000=$HG34)*('Margin Guidence Table'!$H$1:$H$10000&lt;=ROUND($GY$3,0))*('Margin Guidence Table'!$G$1:$G$10000&gt;=ROUND($GY$3,0)),0),MATCH("DEFAULT_PCT_SALES",'Margin Guidence Table'!$A$1:$AC$1,0))),0)</f>
        <v>0</v>
      </c>
      <c r="GX34" s="103" t="s">
        <v>87</v>
      </c>
      <c r="GY34" s="94">
        <f>IFERROR(IF(AND($GY$2&lt;&gt;"Enter Spend&gt;&gt;&gt;",GZ2="EXISTING"),SUMIFS('Existing Customers'!$Q:$Q,'Existing Customers'!$A:$A,$GY$1,'Existing Customers'!$H:$H,$GX34)*$GY$4,$GY$3*$GW34),0)</f>
        <v>0</v>
      </c>
      <c r="GZ34" s="89">
        <f>IFERROR(IF(AND($GY$2&lt;&gt;"Enter Spend&gt;&gt;&gt;",GZ2="EXISTING"),SUMIFS('Existing Customers'!$N:$N,'Existing Customers'!$A:$A,$GY$1,'Existing Customers'!$H:$H,$GX34)*$GY$4,$GY34/$HJ34),0)</f>
        <v>0</v>
      </c>
      <c r="HA34" s="95">
        <f>IFERROR(IF(AND($GY$2&lt;&gt;"Enter Spend&gt;&gt;&gt;",GZ2="EXISTING"),SUMIFS('Existing Customers'!$O:$O,'Existing Customers'!$H:$H,$GX34,'Existing Customers'!$A:$A,$GY$1)*$GY$4,$GZ34*$GY$8),0)</f>
        <v>0</v>
      </c>
      <c r="HB34" s="95">
        <f>IFERROR(IF(AND($GY$2&lt;&gt;"Enter Spend&gt;&gt;&gt;",GZ2="EXISTING"),SUMIFS('Existing Customers'!$P:$P,'Existing Customers'!$A:$A,$GY$1,'Existing Customers'!$H:$H,$GX34)*$GY$4,$GY34/$HK34),0)</f>
        <v>0</v>
      </c>
      <c r="HC34" s="96">
        <f>IFERROR(IF(AND($GY$2&lt;&gt;"Enter Spend&gt;&gt;&gt;",GZ2="EXISTING"),SUMIFS('Existing Customers'!$V:$V,'Existing Customers'!$H:$H,$GX34,'Existing Customers'!$A:$A,$GY$1)*$GY$4,0),0)</f>
        <v>0</v>
      </c>
      <c r="HD34" s="96">
        <f>IFERROR(IF(AND($GY$2&lt;&gt;"Enter Spend&gt;&gt;&gt;",GZ2="EXISTING"),SUMIFS('Existing Customers'!$R:$R,'Existing Customers'!$H:$H,$GX34,'Existing Customers'!$A:$A,$GY$1)*$GY$4,0),0)</f>
        <v>0</v>
      </c>
      <c r="HE34" s="1161">
        <f>IFERROR(IF(AND($GY$2&lt;&gt;"Enter Spend&gt;&gt;&gt;",GZ2="EXISTING"),SUMIFS('Existing Customers'!$S:$S,'Existing Customers'!$H:$H,$GX34,'Existing Customers'!$A:$A,$GY$1),HO34*GY34),0)</f>
        <v>0</v>
      </c>
      <c r="HF34" s="1161">
        <f>IFERROR(IF(AND($GY$2&lt;&gt;"Enter Spend&gt;&gt;&gt;",GZ2="EXISTING"),SUMIFS('Existing Customers'!$U:$U,'Existing Customers'!$H:$H,$GX34,'Existing Customers'!$A:$A,$GY$1),HP34*GY34),0)</f>
        <v>0</v>
      </c>
      <c r="HG34" s="1164" t="e">
        <f t="shared" si="38"/>
        <v>#N/A</v>
      </c>
      <c r="HH34" s="1164">
        <f t="array" ref="HH34">IFERROR(INDEX('Margin Guidence Table'!$A$1:$AD$30000,MATCH(1,('Margin Guidence Table'!$A$1:$A$10000=HG34)*('Margin Guidence Table'!$H$1:$H$10000&lt;=ROUND($GY$3,0))*('Margin Guidence Table'!$G$1:$G$10000&gt;=ROUND($GY$3,0)),0),MATCH("DATA_POINTS",'Margin Guidence Table'!$A$1:$AC$1,0)),0)</f>
        <v>0</v>
      </c>
      <c r="HI34" s="1161" t="str">
        <f t="shared" si="39"/>
        <v>DEFAULT</v>
      </c>
      <c r="HJ34" s="1161">
        <f t="array" ref="HJ34">IFERROR(IF($HI34="SEGMENT",INDEX('Margin Guidence Table'!$A$1:$AC$10000,MATCH(1,('Margin Guidence Table'!$A$1:$A$10000=HG34)*('Margin Guidence Table'!$H$1:$H$10000&lt;=ROUND($GY$3,0))*('Margin Guidence Table'!$G$1:$G$10000&gt;=ROUND($GY$3,0)),0),MATCH("SALES_CASE",'Margin Guidence Table'!$A$1:$AC$1,0)),INDEX('Margin Guidence Table'!$A$1:$AC$10000,MATCH(1,('Margin Guidence Table'!$A$1:$A$10000=HG34)*('Margin Guidence Table'!$H$1:$H$10000&lt;=ROUND($GY$3,0))*('Margin Guidence Table'!$G$1:$G$10000&gt;=ROUND($GY$3,0)),0),MATCH("DEFAULT_SALES_CASE",'Margin Guidence Table'!$A$1:$AC$1,0))),0)</f>
        <v>0</v>
      </c>
      <c r="HK34" s="1161">
        <f t="array" ref="HK34">IFERROR(IF($HI34="SEGMENT",INDEX('Margin Guidence Table'!$A$1:$AC$10000,MATCH(1,('Margin Guidence Table'!$A$1:$A$10000=HG34)*('Margin Guidence Table'!$H$1:$H$10000&lt;=ROUND($GY$3,0))*('Margin Guidence Table'!$G$1:$G$10000&gt;=ROUND($GY$3,0)),0),MATCH("SALES_LBS",'Margin Guidence Table'!$A$1:$AC$1,0)),INDEX('Margin Guidence Table'!$A$1:$AC$10000,MATCH(1,('Margin Guidence Table'!$A$1:$A$10000=HG34)*('Margin Guidence Table'!$H$1:$H$10000&lt;=ROUND($GY$3,0))*('Margin Guidence Table'!$G$1:$G$10000&gt;=ROUND($GY$3,0)),0),MATCH("DEFAULT_SALES_LBS",'Margin Guidence Table'!$A$1:$AC$1,0))),0)</f>
        <v>0</v>
      </c>
      <c r="HL34" s="1165">
        <f t="array" ref="HL34">IFERROR(IF($HI34="SEGMENT",INDEX('Margin Guidence Table'!$A$1:$AC$10000,MATCH(1,('Margin Guidence Table'!$A$1:$A$10000=HG34)*('Margin Guidence Table'!$H$1:$H$10000&lt;=ROUND($GY$3,0))*('Margin Guidence Table'!$G$1:$G$10000&gt;=ROUND($GY$3,0)),0),MATCH("MDA_MIN_MARGIN_GUIDENCE",'Margin Guidence Table'!$A$1:$AC$1,0)),INDEX('Margin Guidence Table'!$A$1:$AC$10000,MATCH(1,('Margin Guidence Table'!$A$1:$A$10000=HG34)*('Margin Guidence Table'!$H$1:$H$10000&lt;=ROUND($GY$3,0))*('Margin Guidence Table'!$G$1:$G$10000&gt;=ROUND($GY$3,0)),0),MATCH("DEFAULT_MDA_MIN_MARGIN_GUIDENCE",'Margin Guidence Table'!$A$1:$AC$1,0))),0)</f>
        <v>0</v>
      </c>
      <c r="HM34" s="1165">
        <f t="array" ref="HM34">IFERROR(IF($HI34="SEGMENT",INDEX('Margin Guidence Table'!$A$1:$AC$10000,MATCH(1,('Margin Guidence Table'!$A$1:$A$10000=HG34)*('Margin Guidence Table'!$H$1:$H$10000&lt;=ROUND($GY$3,0))*('Margin Guidence Table'!$G$1:$G$10000&gt;=ROUND($GY$3,0)),0),MATCH("MDA_MEDIAN_MARGIN_GUIDENCE",'Margin Guidence Table'!$A$1:$AC$1,0)),INDEX('Margin Guidence Table'!$A$1:$AC$10000,MATCH(1,('Margin Guidence Table'!$A$1:$A$10000=HG34)*('Margin Guidence Table'!$H$1:$H$10000&lt;=ROUND($GY$3,0))*('Margin Guidence Table'!$G$1:$G$10000&gt;=ROUND($GY$3,0)),0),MATCH("DEFAULT_MDA_MEDIAN_MARGIN_GUIDENCE",'Margin Guidence Table'!$A$1:$AC$1,0))),0)</f>
        <v>0</v>
      </c>
      <c r="HN34" s="1165">
        <f t="array" ref="HN34">IFERROR(IF($HI34="SEGMENT",INDEX('Margin Guidence Table'!$A$1:$AC$10000,MATCH(1,('Margin Guidence Table'!$A$1:$A$10000=HG34)*('Margin Guidence Table'!$H$1:$H$10000&lt;=ROUND($GY$3,0))*('Margin Guidence Table'!$G$1:$G$10000&gt;=ROUND($GY$3,0)),0),MATCH("MDA_MAX_MARGIN_GUIDENCE",'Margin Guidence Table'!$A$1:$AC$1,0)),INDEX('Margin Guidence Table'!$A$1:$AC$10000,MATCH(1,('Margin Guidence Table'!$A$1:$A$10000=HG34)*('Margin Guidence Table'!$H$1:$H$10000&lt;=ROUND($GY$3,0))*('Margin Guidence Table'!$G$1:$G$10000&gt;=ROUND($GY$3,0)),0),MATCH("DEFAULT_MDA_MAX_MARGIN_GUIDENCE",'Margin Guidence Table'!$A$1:$AC$1,0))),0)</f>
        <v>0</v>
      </c>
      <c r="HO34" s="1165">
        <f t="array" ref="HO34">IFERROR(IF($HI34="SEGMENT",INDEX('Margin Guidence Table'!$A$1:$AC$10000,MATCH(1,('Margin Guidence Table'!$A$1:$A$10000=HG34)*('Margin Guidence Table'!$H$1:$H$10000&lt;=ROUND($GY$3,0))*('Margin Guidence Table'!$G$1:$G$10000&gt;=ROUND($GY$3,0)),0),MATCH("PA_PCT_SALES",'Margin Guidence Table'!$A$1:$AC$1,0)),INDEX('Margin Guidence Table'!$A$1:$AC$10000,MATCH(1,('Margin Guidence Table'!$A$1:$A$10000=HG34)*('Margin Guidence Table'!$H$1:$H$10000&lt;=ROUND($GY$3,0))*('Margin Guidence Table'!$G$1:$G$10000&gt;=ROUND($GY$3,0)),0),MATCH("DEFAULT_PA_PCT_SALES",'Margin Guidence Table'!$A$1:$AC$1,0))),0)</f>
        <v>0</v>
      </c>
      <c r="HP34" s="1165">
        <f t="array" ref="HP34">IFERROR(IF($HI34="SEGMENT",INDEX('Margin Guidence Table'!$A$1:$AC$10000,MATCH(1,('Margin Guidence Table'!$A$1:$A$10000=HG34)*('Margin Guidence Table'!$H$1:$H$10000&lt;=ROUND($GY$3,0))*('Margin Guidence Table'!$G$1:$G$10000&gt;=ROUND($GY$3,0)),0),MATCH("SELF_FUND_PCT_SALES",'Margin Guidence Table'!$A$1:$AC$1,0)),INDEX('Margin Guidence Table'!$A$1:$AC$10000,MATCH(1,('Margin Guidence Table'!$A$1:$A$10000=HG34)*('Margin Guidence Table'!$H$1:$H$10000&lt;=ROUND($GY$3,0))*('Margin Guidence Table'!$G$1:$G$10000&gt;=ROUND($GY$3,0)),0),MATCH("DEFAULT_SELF_FUND_PCT_SALES",'Margin Guidence Table'!$A$1:$AC$1,0))),0)</f>
        <v>0</v>
      </c>
      <c r="HQ34" s="1165">
        <f t="array" ref="HQ34">IFERROR(IF($HI34="SEGMENT",INDEX('Margin Guidence Table'!$A$1:$AC$10000,MATCH(1,('Margin Guidence Table'!$A$1:$A$10000=HG34)*('Margin Guidence Table'!$H$1:$H$10000&lt;=ROUND($GY$3,0))*('Margin Guidence Table'!$G$1:$G$10000&gt;=ROUND($GY$3,0)),0),MATCH("CIA_MEDIAN_MARGIN_GUIDENCE",'Margin Guidence Table'!$A$1:$AC$1,0)),INDEX('Margin Guidence Table'!$A$1:$AC$10000,MATCH(1,('Margin Guidence Table'!$A$1:$A$10000=HG34)*('Margin Guidence Table'!$H$1:$H$10000&lt;=ROUND($GY$3,0))*('Margin Guidence Table'!$G$1:$G$10000&gt;=ROUND($GY$3,0)),0),MATCH("DEFAULT_CIA_MEDIAN_MARGIN_GUIDENCE",'Margin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Spend&gt;&gt;&gt;",HV2="EXISTING"),SUMIFS('Existing Customers'!$Q:$Q,'Existing Customers'!$A:$A,$HU$1,'Existing Customers'!$H:$H,$HT34)*$HU$4,$HU$3*$HS34),0)</f>
        <v>0</v>
      </c>
      <c r="HV34" s="89">
        <f>IFERROR(IF(AND($HU$2&lt;&gt;"Enter Spend&gt;&gt;&gt;",HV2="EXISTING"),SUMIFS('Existing Customers'!$N:$N,'Existing Customers'!$A:$A,$HU$1,'Existing Customers'!$H:$H,$HT34)*$HU$4,$HU34/$IF34),0)</f>
        <v>0</v>
      </c>
      <c r="HW34" s="95">
        <f>IFERROR(IF(AND($HU$2&lt;&gt;"Enter Spend&gt;&gt;&gt;",HV2="EXISTING"),SUMIFS('Existing Customers'!$O:$O,'Existing Customers'!$H:$H,$HT34,'Existing Customers'!$A:$A,$HU$1)*$HU$4,$HV34*$HU$8),0)</f>
        <v>0</v>
      </c>
      <c r="HX34" s="95">
        <f>IFERROR(IF(AND($HU$2&lt;&gt;"Enter Spend&gt;&gt;&gt;",HV2="EXISTING"),SUMIFS('Existing Customers'!$P:$P,'Existing Customers'!$A:$A,$HU$1,'Existing Customers'!$H:$H,$HT34)*$HU$4,$HU34/$IG34),0)</f>
        <v>0</v>
      </c>
      <c r="HY34" s="402">
        <f>IFERROR(IF(AND($HU$2&lt;&gt;"Enter Spend&gt;&gt;&gt;",HV2="EXISTING"),SUMIFS('Existing Customers'!$V:$V,'Existing Customers'!$H:$H,$HT34,'Existing Customers'!$A:$A,$HU$1)*$HU$4,0),0)</f>
        <v>0</v>
      </c>
      <c r="HZ34" s="96">
        <f>IFERROR(IF(AND($HU$2&lt;&gt;"Enter Spend&gt;&gt;&gt;",HV2="EXISTING"),SUMIFS('Existing Customers'!$R:$R,'Existing Customers'!$H:$H,$HT34,'Existing Customers'!$A:$A,$HU$1)*$HU$4,0),0)</f>
        <v>0</v>
      </c>
      <c r="IA34" s="1161">
        <f>IFERROR(IF(AND($HU$2&lt;&gt;"Enter Spend&gt;&gt;&gt;",HV2="EXISTING"),SUMIFS('Existing Customers'!$S:$S,'Existing Customers'!$H:$H,$HT34,'Existing Customers'!$A:$A,$HU$1),IK34*HU34),0)</f>
        <v>0</v>
      </c>
      <c r="IB34" s="1161">
        <f>IFERROR(IF(AND($HU$2&lt;&gt;"Enter Spend&gt;&gt;&gt;",HV2="EXISTING"),SUMIFS('Existing Customers'!$U:$U,'Existing Customers'!$H:$H,$HT34,'Existing Customers'!$A:$A,$HU$1),IL34*HU34),0)</f>
        <v>0</v>
      </c>
      <c r="IC34" s="1164" t="e">
        <f t="shared" si="40"/>
        <v>#N/A</v>
      </c>
      <c r="ID34" s="1164">
        <f t="array" ref="ID34">IFERROR(INDEX('Margin Guidence Table'!$A$1:$AD$30000,MATCH(1,('Margin Guidence Table'!$A$1:$A$10000=IC34)*('Margin Guidence Table'!$H$1:$H$10000&lt;=ROUND($HU$3,0))*('Margin Guidence Table'!$G$1:$G$10000&gt;=ROUND($HU$3,0)),0),MATCH("DATA_POINTS",'Margin Guidence Table'!$A$1:$AC$1,0)),0)</f>
        <v>0</v>
      </c>
      <c r="IE34" s="1161" t="str">
        <f t="shared" si="41"/>
        <v>DEFAULT</v>
      </c>
      <c r="IF34" s="1161">
        <f t="array" ref="IF34">IFERROR(IF($IE34="SEGMENT",INDEX('Margin Guidence Table'!$A$1:$AC$10000,MATCH(1,('Margin Guidence Table'!$A$1:$A$10000=IC34)*('Margin Guidence Table'!$H$1:$H$10000&lt;=ROUND($HU$3,0))*('Margin Guidence Table'!$G$1:$G$10000&gt;=ROUND($HU$3,0)),0),MATCH("SALES_CASE",'Margin Guidence Table'!$A$1:$AC$1,0)),INDEX('Margin Guidence Table'!$A$1:$AC$10000,MATCH(1,('Margin Guidence Table'!$A$1:$A$10000=IC34)*('Margin Guidence Table'!$H$1:$H$10000&lt;=ROUND($HU$3,0))*('Margin Guidence Table'!$G$1:$G$10000&gt;=ROUND($HU$3,0)),0),MATCH("DEFAULT_SALES_CASE",'Margin Guidence Table'!$A$1:$AC$1,0))),0)</f>
        <v>0</v>
      </c>
      <c r="IG34" s="1161">
        <f t="array" ref="IG34">IFERROR(IF($IE34="SEGMENT",INDEX('Margin Guidence Table'!$A$1:$AC$10000,MATCH(1,('Margin Guidence Table'!$A$1:$A$10000=IC34)*('Margin Guidence Table'!$H$1:$H$10000&lt;=ROUND($HU$3,0))*('Margin Guidence Table'!$G$1:$G$10000&gt;=ROUND($HU$3,0)),0),MATCH("SALES_LBS",'Margin Guidence Table'!$A$1:$AC$1,0)),INDEX('Margin Guidence Table'!$A$1:$AC$10000,MATCH(1,('Margin Guidence Table'!$A$1:$A$10000=IC34)*('Margin Guidence Table'!$H$1:$H$10000&lt;=ROUND($HU$3,0))*('Margin Guidence Table'!$G$1:$G$10000&gt;=ROUND($HU$3,0)),0),MATCH("DEFAULT_SALES_LBS",'Margin Guidence Table'!$A$1:$AC$1,0))),0)</f>
        <v>0</v>
      </c>
      <c r="IH34" s="1165">
        <f t="array" ref="IH34">IFERROR(IF($IE34="SEGMENT",INDEX('Margin Guidence Table'!$A$1:$AC$10000,MATCH(1,('Margin Guidence Table'!$A$1:$A$10000=IC34)*('Margin Guidence Table'!$H$1:$H$10000&lt;=ROUND($HU$3,0))*('Margin Guidence Table'!$G$1:$G$10000&gt;=ROUND($HU$3,0)),0),MATCH("MDA_MIN_MARGIN_GUIDENCE",'Margin Guidence Table'!$A$1:$AC$1,0)),INDEX('Margin Guidence Table'!$A$1:$AC$10000,MATCH(1,('Margin Guidence Table'!$A$1:$A$10000=IC34)*('Margin Guidence Table'!$H$1:$H$10000&lt;=ROUND($HU$3,0))*('Margin Guidence Table'!$G$1:$G$10000&gt;=ROUND($HU$3,0)),0),MATCH("DEFAULT_MDA_MIN_MARGIN_GUIDENCE",'Margin Guidence Table'!$A$1:$AC$1,0))),0)</f>
        <v>0</v>
      </c>
      <c r="II34" s="1165">
        <f t="array" ref="II34">IFERROR(IF($IE34="SEGMENT",INDEX('Margin Guidence Table'!$A$1:$AC$10000,MATCH(1,('Margin Guidence Table'!$A$1:$A$10000=IC34)*('Margin Guidence Table'!$H$1:$H$10000&lt;=ROUND($HU$3,0))*('Margin Guidence Table'!$G$1:$G$10000&gt;=ROUND($HU$3,0)),0),MATCH("MDA_MEDIAN_MARGIN_GUIDENCE",'Margin Guidence Table'!$A$1:$AC$1,0)),INDEX('Margin Guidence Table'!$A$1:$AC$10000,MATCH(1,('Margin Guidence Table'!$A$1:$A$10000=IC34)*('Margin Guidence Table'!$H$1:$H$10000&lt;=ROUND($HU$3,0))*('Margin Guidence Table'!$G$1:$G$10000&gt;=ROUND($HU$3,0)),0),MATCH("DEFAULT_MDA_MEDIAN_MARGIN_GUIDENCE",'Margin Guidence Table'!$A$1:$AC$1,0))),0)</f>
        <v>0</v>
      </c>
      <c r="IJ34" s="1165">
        <f t="array" ref="IJ34">IFERROR(IF($IE34="SEGMENT",INDEX('Margin Guidence Table'!$A$1:$AC$10000,MATCH(1,('Margin Guidence Table'!$A$1:$A$10000=IC34)*('Margin Guidence Table'!$H$1:$H$10000&lt;=ROUND($HU$3,0))*('Margin Guidence Table'!$G$1:$G$10000&gt;=ROUND($HU$3,0)),0),MATCH("MDA_MAX_MARGIN_GUIDENCE",'Margin Guidence Table'!$A$1:$AC$1,0)),INDEX('Margin Guidence Table'!$A$1:$AC$10000,MATCH(1,('Margin Guidence Table'!$A$1:$A$10000=IC34)*('Margin Guidence Table'!$H$1:$H$10000&lt;=ROUND($HU$3,0))*('Margin Guidence Table'!$G$1:$G$10000&gt;=ROUND($HU$3,0)),0),MATCH("DEFAULT_MDA_MAX_MARGIN_GUIDENCE",'Margin Guidence Table'!$A$1:$AC$1,0))),0)</f>
        <v>0</v>
      </c>
      <c r="IK34" s="1165">
        <f t="array" ref="IK34">IFERROR(IF($IE34="SEGMENT",INDEX('Margin Guidence Table'!$A$1:$AC$10000,MATCH(1,('Margin Guidence Table'!$A$1:$A$10000=IC34)*('Margin Guidence Table'!$H$1:$H$10000&lt;=ROUND($HU$3,0))*('Margin Guidence Table'!$G$1:$G$10000&gt;=ROUND($HU$3,0)),0),MATCH("PA_PCT_SALES",'Margin Guidence Table'!$A$1:$AC$1,0)),INDEX('Margin Guidence Table'!$A$1:$AC$10000,MATCH(1,('Margin Guidence Table'!$A$1:$A$10000=IC34)*('Margin Guidence Table'!$H$1:$H$10000&lt;=ROUND($HU$3,0))*('Margin Guidence Table'!$G$1:$G$10000&gt;=ROUND($HU$3,0)),0),MATCH("DEFAULT_PA_PCT_SALES",'Margin Guidence Table'!$A$1:$AC$1,0))),0)</f>
        <v>0</v>
      </c>
      <c r="IL34" s="1165">
        <f t="array" ref="IL34">IFERROR(IF($IE34="SEGMENT",INDEX('Margin Guidence Table'!$A$1:$AC$10000,MATCH(1,('Margin Guidence Table'!$A$1:$A$10000=IC34)*('Margin Guidence Table'!$H$1:$H$10000&lt;=ROUND($HU$3,0))*('Margin Guidence Table'!$G$1:$G$10000&gt;=ROUND($HU$3,0)),0),MATCH("SELF_FUND_PCT_SALES",'Margin Guidence Table'!$A$1:$AC$1,0)),INDEX('Margin Guidence Table'!$A$1:$AC$10000,MATCH(1,('Margin Guidence Table'!$A$1:$A$10000=IC34)*('Margin Guidence Table'!$H$1:$H$10000&lt;=ROUND($HU$3,0))*('Margin Guidence Table'!$G$1:$G$10000&gt;=ROUND($HU$3,0)),0),MATCH("DEFAULT_SELF_FUND_PCT_SALES",'Margin Guidence Table'!$A$1:$AC$1,0))),0)</f>
        <v>0</v>
      </c>
      <c r="IM34" s="1165">
        <f t="array" ref="IM34">IFERROR(IF($IE34="SEGMENT",INDEX('Margin Guidence Table'!$A$1:$AC$10000,MATCH(1,('Margin Guidence Table'!$A$1:$A$10000=IC34)*('Margin Guidence Table'!$H$1:$H$10000&lt;=ROUND($HU$3,0))*('Margin Guidence Table'!$G$1:$G$10000&gt;=ROUND($HU$3,0)),0),MATCH("CIA_MEDIAN_MARGIN_GUIDENCE",'Margin Guidence Table'!$A$1:$AC$1,0)),INDEX('Margin Guidence Table'!$A$1:$AC$10000,MATCH(1,('Margin Guidence Table'!$A$1:$A$10000=IC34)*('Margin Guidence Table'!$H$1:$H$10000&lt;=ROUND($HU$3,0))*('Margin Guidence Table'!$G$1:$G$10000&gt;=ROUND($HU$3,0)),0),MATCH("DEFAULT_CIA_MEDIAN_MARGIN_GUIDENCE",'Margin Guidence Table'!$A$1:$AC$1,0))),0)</f>
        <v>0</v>
      </c>
      <c r="IN34" s="129"/>
      <c r="IO34" s="18">
        <f t="array" ref="IO34">IFERROR(IF($JA34="SEGMENT",INDEX('Margin Guidence Table'!$A$1:$AC$10000,MATCH(1,('Margin Guidence Table'!$A$1:$A$10000=$IY34)*('Margin Guidence Table'!$H$1:$H$10000&lt;=ROUND($IQ$3,0))*('Margin Guidence Table'!$G$1:$G$10000&gt;=ROUND($IQ$3,0)),0),MATCH("PCT_SALES",'Margin Guidence Table'!$A$1:$AC$1,0)),INDEX('Margin Guidence Table'!$A$1:$AC$10000,MATCH(1,('Margin Guidence Table'!$A$1:$A$10000=$IY34)*('Margin Guidence Table'!$H$1:$H$10000&lt;=ROUND($IQ$3,0))*('Margin Guidence Table'!$G$1:$G$10000&gt;=ROUND($IQ$3,0)),0),MATCH("DEFAULT_PCT_SALES",'Margin Guidence Table'!$A$1:$AC$1,0))),0)</f>
        <v>0</v>
      </c>
      <c r="IP34" s="103" t="s">
        <v>87</v>
      </c>
      <c r="IQ34" s="94">
        <f>IFERROR(IF(AND($IQ$2&lt;&gt;"Enter Spend&gt;&gt;&gt;",IR2="EXISTING"),SUMIFS('Existing Customers'!$Q:$Q,'Existing Customers'!$A:$A,$IQ$1,'Existing Customers'!$H:$H,$IP34)*$IQ$4,$IQ$3*$IO34),0)</f>
        <v>0</v>
      </c>
      <c r="IR34" s="89">
        <f>IFERROR(IF(AND($IQ$2&lt;&gt;"Enter Spend&gt;&gt;&gt;",IR2="EXISTING"),SUMIFS('Existing Customers'!$N:$N,'Existing Customers'!$A:$A,$IQ$1,'Existing Customers'!$H:$H,$IP34)*$IQ$4,$IQ34/$JB34),0)</f>
        <v>0</v>
      </c>
      <c r="IS34" s="95">
        <f>IFERROR(IF(AND($IQ$2&lt;&gt;"Enter Spend&gt;&gt;&gt;",IR2="EXISTING"),SUMIFS('Existing Customers'!$O:$O,'Existing Customers'!$H:$H,$IP34,'Existing Customers'!$A:$A,$IQ$1)*$IQ$4,$IR34*$IQ$8),0)</f>
        <v>0</v>
      </c>
      <c r="IT34" s="95">
        <f>IFERROR(IF(AND($IQ$2&lt;&gt;"Enter Spend&gt;&gt;&gt;",IR2="EXISTING"),SUMIFS('Existing Customers'!$P:$P,'Existing Customers'!$A:$A,$IQ$1,'Existing Customers'!$H:$H,$IP34)*$IQ$4,$IQ34/$JC34),0)</f>
        <v>0</v>
      </c>
      <c r="IU34" s="402">
        <f>IFERROR(IF(AND($IQ$2&lt;&gt;"Enter Spend&gt;&gt;&gt;",IR2="EXISTING"),SUMIFS('Existing Customers'!$V:$V,'Existing Customers'!$H:$H,$IP34,'Existing Customers'!$A:$A,$IQ$1)*$IQ$4,0),0)</f>
        <v>0</v>
      </c>
      <c r="IV34" s="96">
        <f>IFERROR(IF(AND($IQ$2&lt;&gt;"Enter Spend&gt;&gt;&gt;",IR2="EXISTING"),SUMIFS('Existing Customers'!$R:$R,'Existing Customers'!$H:$H,$IP34,'Existing Customers'!$A:$A,$IQ$1)*$IQ$4,0),0)</f>
        <v>0</v>
      </c>
      <c r="IW34" s="1161">
        <f>IFERROR(IF(AND($IQ$2&lt;&gt;"Enter Spend&gt;&gt;&gt;",IR2="EXISTING"),SUMIFS('Existing Customers'!$S:$S,'Existing Customers'!$H:$H,$IP34,'Existing Customers'!$A:$A,$IQ$1),JG34*IQ34),0)</f>
        <v>0</v>
      </c>
      <c r="IX34" s="1161">
        <f>IFERROR(IF(AND($IQ$2&lt;&gt;"Enter Spend&gt;&gt;&gt;",IR2="EXISTING"),SUMIFS('Existing Customers'!$U:$U,'Existing Customers'!$H:$H,$IP34,'Existing Customers'!$A:$A,$IQ$1),JH34*IQ34),0)</f>
        <v>0</v>
      </c>
      <c r="IY34" s="1164" t="e">
        <f t="shared" si="42"/>
        <v>#N/A</v>
      </c>
      <c r="IZ34" s="1164">
        <f t="array" ref="IZ34">IFERROR(INDEX('Margin Guidence Table'!$A$1:$AD$30000,MATCH(1,('Margin Guidence Table'!$A$1:$A$10000=IY34)*('Margin Guidence Table'!$H$1:$H$10000&lt;=ROUND($IQ$3,0))*('Margin Guidence Table'!$G$1:$G$10000&gt;=ROUND($IQ$3,0)),0),MATCH("DATA_POINTS",'Margin Guidence Table'!$A$1:$AC$1,0)),0)</f>
        <v>0</v>
      </c>
      <c r="JA34" s="1161" t="str">
        <f t="shared" si="43"/>
        <v>DEFAULT</v>
      </c>
      <c r="JB34" s="1161">
        <f t="array" ref="JB34">IFERROR(IF($JA34="SEGMENT",INDEX('Margin Guidence Table'!$A$1:$AC$10000,MATCH(1,('Margin Guidence Table'!$A$1:$A$10000=IY34)*('Margin Guidence Table'!$H$1:$H$10000&lt;=ROUND($IQ$3,0))*('Margin Guidence Table'!$G$1:$G$10000&gt;=ROUND($IQ$3,0)),0),MATCH("SALES_CASE",'Margin Guidence Table'!$A$1:$AC$1,0)),INDEX('Margin Guidence Table'!$A$1:$AC$10000,MATCH(1,('Margin Guidence Table'!$A$1:$A$10000=IY34)*('Margin Guidence Table'!$H$1:$H$10000&lt;=ROUND($IQ$3,0))*('Margin Guidence Table'!$G$1:$G$10000&gt;=ROUND($IQ$3,0)),0),MATCH("DEFAULT_SALES_CASE",'Margin Guidence Table'!$A$1:$AC$1,0))),0)</f>
        <v>0</v>
      </c>
      <c r="JC34" s="1161">
        <f t="array" ref="JC34">IFERROR(IF($JA34="SEGMENT",INDEX('Margin Guidence Table'!$A$1:$AC$10000,MATCH(1,('Margin Guidence Table'!$A$1:$A$10000=IY34)*('Margin Guidence Table'!$H$1:$H$10000&lt;=ROUND($IQ$3,0))*('Margin Guidence Table'!$G$1:$G$10000&gt;=ROUND($IQ$3,0)),0),MATCH("SALES_LBS",'Margin Guidence Table'!$A$1:$AC$1,0)),INDEX('Margin Guidence Table'!$A$1:$AC$10000,MATCH(1,('Margin Guidence Table'!$A$1:$A$10000=IY34)*('Margin Guidence Table'!$H$1:$H$10000&lt;=ROUND($IQ$3,0))*('Margin Guidence Table'!$G$1:$G$10000&gt;=ROUND($IQ$3,0)),0),MATCH("DEFAULT_SALES_LBS",'Margin Guidence Table'!$A$1:$AC$1,0))),0)</f>
        <v>0</v>
      </c>
      <c r="JD34" s="1165">
        <f t="array" ref="JD34">IFERROR(IF($JA34="SEGMENT",INDEX('Margin Guidence Table'!$A$1:$AC$10000,MATCH(1,('Margin Guidence Table'!$A$1:$A$10000=IY34)*('Margin Guidence Table'!$H$1:$H$10000&lt;=ROUND($IQ$3,0))*('Margin Guidence Table'!$G$1:$G$10000&gt;=ROUND($IQ$3,0)),0),MATCH("MDA_MIN_MARGIN_GUIDENCE",'Margin Guidence Table'!$A$1:$AC$1,0)),INDEX('Margin Guidence Table'!$A$1:$AC$10000,MATCH(1,('Margin Guidence Table'!$A$1:$A$10000=IY34)*('Margin Guidence Table'!$H$1:$H$10000&lt;=ROUND($IQ$3,0))*('Margin Guidence Table'!$G$1:$G$10000&gt;=ROUND($IQ$3,0)),0),MATCH("DEFAULT_MDA_MIN_MARGIN_GUIDENCE",'Margin Guidence Table'!$A$1:$AC$1,0))),0)</f>
        <v>0</v>
      </c>
      <c r="JE34" s="1165">
        <f t="array" ref="JE34">IFERROR(IF($JA34="SEGMENT",INDEX('Margin Guidence Table'!$A$1:$AC$10000,MATCH(1,('Margin Guidence Table'!$A$1:$A$10000=IY34)*('Margin Guidence Table'!$H$1:$H$10000&lt;=ROUND($IQ$3,0))*('Margin Guidence Table'!$G$1:$G$10000&gt;=ROUND($IQ$3,0)),0),MATCH("MDA_MEDIAN_MARGIN_GUIDENCE",'Margin Guidence Table'!$A$1:$AC$1,0)),INDEX('Margin Guidence Table'!$A$1:$AC$10000,MATCH(1,('Margin Guidence Table'!$A$1:$A$10000=IY34)*('Margin Guidence Table'!$H$1:$H$10000&lt;=ROUND($IQ$3,0))*('Margin Guidence Table'!$G$1:$G$10000&gt;=ROUND($IQ$3,0)),0),MATCH("DEFAULT_MDA_MEDIAN_MARGIN_GUIDENCE",'Margin Guidence Table'!$A$1:$AC$1,0))),0)</f>
        <v>0</v>
      </c>
      <c r="JF34" s="1165">
        <f t="array" ref="JF34">IFERROR(IF($JA34="SEGMENT",INDEX('Margin Guidence Table'!$A$1:$AC$10000,MATCH(1,('Margin Guidence Table'!$A$1:$A$10000=IY34)*('Margin Guidence Table'!$H$1:$H$10000&lt;=ROUND($IQ$3,0))*('Margin Guidence Table'!$G$1:$G$10000&gt;=ROUND($IQ$3,0)),0),MATCH("MDA_MAX_MARGIN_GUIDENCE",'Margin Guidence Table'!$A$1:$AC$1,0)),INDEX('Margin Guidence Table'!$A$1:$AC$10000,MATCH(1,('Margin Guidence Table'!$A$1:$A$10000=IY34)*('Margin Guidence Table'!$H$1:$H$10000&lt;=ROUND($IQ$3,0))*('Margin Guidence Table'!$G$1:$G$10000&gt;=ROUND($IQ$3,0)),0),MATCH("DEFAULT_MDA_MAX_MARGIN_GUIDENCE",'Margin Guidence Table'!$A$1:$AC$1,0))),0)</f>
        <v>0</v>
      </c>
      <c r="JG34" s="1165">
        <f t="array" ref="JG34">IFERROR(IF($JA34="SEGMENT",INDEX('Margin Guidence Table'!$A$1:$AC$10000,MATCH(1,('Margin Guidence Table'!$A$1:$A$10000=IY34)*('Margin Guidence Table'!$H$1:$H$10000&lt;=ROUND($IQ$3,0))*('Margin Guidence Table'!$G$1:$G$10000&gt;=ROUND($IQ$3,0)),0),MATCH("PA_PCT_SALES",'Margin Guidence Table'!$A$1:$AC$1,0)),INDEX('Margin Guidence Table'!$A$1:$AC$10000,MATCH(1,('Margin Guidence Table'!$A$1:$A$10000=IY34)*('Margin Guidence Table'!$H$1:$H$10000&lt;=ROUND($IQ$3,0))*('Margin Guidence Table'!$G$1:$G$10000&gt;=ROUND($IQ$3,0)),0),MATCH("DEFAULT_PA_PCT_SALES",'Margin Guidence Table'!$A$1:$AC$1,0))),0)</f>
        <v>0</v>
      </c>
      <c r="JH34" s="1165">
        <f t="array" ref="JH34">IFERROR(IF($JA34="SEGMENT",INDEX('Margin Guidence Table'!$A$1:$AC$10000,MATCH(1,('Margin Guidence Table'!$A$1:$A$10000=IY34)*('Margin Guidence Table'!$H$1:$H$10000&lt;=ROUND($IQ$3,0))*('Margin Guidence Table'!$G$1:$G$10000&gt;=ROUND($IQ$3,0)),0),MATCH("SELF_FUND_PCT_SALES",'Margin Guidence Table'!$A$1:$AC$1,0)),INDEX('Margin Guidence Table'!$A$1:$AC$10000,MATCH(1,('Margin Guidence Table'!$A$1:$A$10000=IY34)*('Margin Guidence Table'!$H$1:$H$10000&lt;=ROUND($IQ$3,0))*('Margin Guidence Table'!$G$1:$G$10000&gt;=ROUND($IQ$3,0)),0),MATCH("DEFAULT_SELF_FUND_PCT_SALES",'Margin Guidence Table'!$A$1:$AC$1,0))),0)</f>
        <v>0</v>
      </c>
      <c r="JI34" s="1165">
        <f t="array" ref="JI34">IFERROR(IF($JA34="SEGMENT",INDEX('Margin Guidence Table'!$A$1:$AC$10000,MATCH(1,('Margin Guidence Table'!$A$1:$A$10000=IY34)*('Margin Guidence Table'!$H$1:$H$10000&lt;=ROUND($IQ$3,0))*('Margin Guidence Table'!$G$1:$G$10000&gt;=ROUND($IQ$3,0)),0),MATCH("CIA_MEDIAN_MARGIN_GUIDENCE",'Margin Guidence Table'!$A$1:$AC$1,0)),INDEX('Margin Guidence Table'!$A$1:$AC$10000,MATCH(1,('Margin Guidence Table'!$A$1:$A$10000=IY34)*('Margin Guidence Table'!$H$1:$H$10000&lt;=ROUND($IQ$3,0))*('Margin Guidence Table'!$G$1:$G$10000&gt;=ROUND($IQ$3,0)),0),MATCH("DEFAULT_CIA_MEDIAN_MARGIN_GUIDENCE",'Margin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45">IFERROR(AC35/AB35,0)</f>
        <v>0</v>
      </c>
      <c r="AF35" s="495">
        <f t="shared" ref="AF35" si="4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47">SUM(BA14:BA34)</f>
        <v>0</v>
      </c>
      <c r="BB35" s="106">
        <f t="shared" si="47"/>
        <v>0</v>
      </c>
      <c r="BC35" s="106">
        <f t="shared" si="47"/>
        <v>0</v>
      </c>
      <c r="BD35" s="106">
        <f t="shared" si="47"/>
        <v>0</v>
      </c>
      <c r="BE35" s="403">
        <f t="shared" si="47"/>
        <v>0</v>
      </c>
      <c r="BF35" s="107">
        <f t="shared" si="47"/>
        <v>0</v>
      </c>
      <c r="BG35" s="96">
        <f>SUM(BG14:BG34)</f>
        <v>0</v>
      </c>
      <c r="BH35" s="96">
        <f>SUM(BH14:BH34)</f>
        <v>0</v>
      </c>
      <c r="BI35" s="1155"/>
      <c r="BJ35" s="1155"/>
      <c r="BK35" s="1155"/>
      <c r="BL35" s="1155"/>
      <c r="BM35" s="1155"/>
      <c r="BN35" s="1155"/>
      <c r="BO35" s="1155"/>
      <c r="BP35" s="1155"/>
      <c r="BQ35" s="1155"/>
      <c r="BR35" s="1155"/>
      <c r="BS35" s="1155"/>
      <c r="BT35" s="396"/>
      <c r="BW35" s="105">
        <f t="shared" ref="BW35:CB35" si="48">SUM(BW14:BW34)</f>
        <v>0</v>
      </c>
      <c r="BX35" s="106">
        <f t="shared" si="48"/>
        <v>0</v>
      </c>
      <c r="BY35" s="106">
        <f t="shared" si="48"/>
        <v>0</v>
      </c>
      <c r="BZ35" s="106">
        <f t="shared" si="48"/>
        <v>0</v>
      </c>
      <c r="CA35" s="107">
        <f t="shared" si="48"/>
        <v>0</v>
      </c>
      <c r="CB35" s="107">
        <f t="shared" si="48"/>
        <v>0</v>
      </c>
      <c r="CC35" s="107">
        <f t="shared" ref="CC35:CD35" si="49">SUM(CC14:CC34)</f>
        <v>0</v>
      </c>
      <c r="CD35" s="107">
        <f t="shared" si="49"/>
        <v>0</v>
      </c>
      <c r="CE35" s="1155"/>
      <c r="CF35" s="1155"/>
      <c r="CG35" s="1155"/>
      <c r="CH35" s="1155"/>
      <c r="CI35" s="1155"/>
      <c r="CJ35" s="1155"/>
      <c r="CK35" s="1155"/>
      <c r="CL35" s="1155"/>
      <c r="CM35" s="1155"/>
      <c r="CN35" s="1155"/>
      <c r="CO35" s="1155"/>
      <c r="CP35" s="108"/>
      <c r="CS35" s="105">
        <f t="shared" ref="CS35:CX35" si="50">SUM(CS14:CS34)</f>
        <v>0</v>
      </c>
      <c r="CT35" s="106">
        <f t="shared" si="50"/>
        <v>0</v>
      </c>
      <c r="CU35" s="106">
        <f t="shared" si="50"/>
        <v>0</v>
      </c>
      <c r="CV35" s="106">
        <f t="shared" si="50"/>
        <v>0</v>
      </c>
      <c r="CW35" s="107">
        <f t="shared" si="50"/>
        <v>0</v>
      </c>
      <c r="CX35" s="107">
        <f t="shared" si="50"/>
        <v>0</v>
      </c>
      <c r="CY35" s="107">
        <f t="shared" ref="CY35:CZ35" si="51">SUM(CY14:CY34)</f>
        <v>0</v>
      </c>
      <c r="CZ35" s="107">
        <f t="shared" si="51"/>
        <v>0</v>
      </c>
      <c r="DA35" s="1155"/>
      <c r="DB35" s="1155"/>
      <c r="DC35" s="1155"/>
      <c r="DD35" s="1155"/>
      <c r="DE35" s="1155"/>
      <c r="DF35" s="1155"/>
      <c r="DG35" s="1155"/>
      <c r="DH35" s="1155"/>
      <c r="DI35" s="1155"/>
      <c r="DJ35" s="1155"/>
      <c r="DK35" s="1155"/>
      <c r="DL35" s="108"/>
      <c r="DO35" s="105">
        <f t="shared" ref="DO35:DT35" si="52">SUM(DO14:DO34)</f>
        <v>0</v>
      </c>
      <c r="DP35" s="106">
        <f t="shared" si="52"/>
        <v>0</v>
      </c>
      <c r="DQ35" s="106">
        <f t="shared" si="52"/>
        <v>0</v>
      </c>
      <c r="DR35" s="106">
        <f t="shared" si="52"/>
        <v>0</v>
      </c>
      <c r="DS35" s="107">
        <f t="shared" si="52"/>
        <v>0</v>
      </c>
      <c r="DT35" s="107">
        <f t="shared" si="52"/>
        <v>0</v>
      </c>
      <c r="DU35" s="107">
        <f t="shared" ref="DU35:DV35" si="53">SUM(DU14:DU34)</f>
        <v>0</v>
      </c>
      <c r="DV35" s="107">
        <f t="shared" si="53"/>
        <v>0</v>
      </c>
      <c r="DW35" s="1155"/>
      <c r="DX35" s="1155"/>
      <c r="DY35" s="1155"/>
      <c r="DZ35" s="1155"/>
      <c r="EA35" s="1155"/>
      <c r="EB35" s="1155"/>
      <c r="EC35" s="1155"/>
      <c r="ED35" s="1155"/>
      <c r="EE35" s="1155"/>
      <c r="EF35" s="1155"/>
      <c r="EG35" s="1155"/>
      <c r="EH35" s="108"/>
      <c r="EK35" s="105">
        <f t="shared" ref="EK35:EP35" si="54">SUM(EK14:EK34)</f>
        <v>0</v>
      </c>
      <c r="EL35" s="106">
        <f t="shared" si="54"/>
        <v>0</v>
      </c>
      <c r="EM35" s="106">
        <f t="shared" si="54"/>
        <v>0</v>
      </c>
      <c r="EN35" s="106">
        <f t="shared" si="54"/>
        <v>0</v>
      </c>
      <c r="EO35" s="107">
        <f t="shared" si="54"/>
        <v>0</v>
      </c>
      <c r="EP35" s="107">
        <f t="shared" si="54"/>
        <v>0</v>
      </c>
      <c r="EQ35" s="107">
        <f t="shared" ref="EQ35:ER35" si="55">SUM(EQ14:EQ34)</f>
        <v>0</v>
      </c>
      <c r="ER35" s="107">
        <f t="shared" si="55"/>
        <v>0</v>
      </c>
      <c r="ES35" s="1155"/>
      <c r="ET35" s="1155"/>
      <c r="EU35" s="1155"/>
      <c r="EV35" s="1155"/>
      <c r="EW35" s="1155"/>
      <c r="EX35" s="1155"/>
      <c r="EY35" s="1155"/>
      <c r="EZ35" s="1155"/>
      <c r="FA35" s="1155"/>
      <c r="FB35" s="1155"/>
      <c r="FC35" s="1155"/>
      <c r="FD35" s="108"/>
      <c r="FG35" s="105">
        <f t="shared" ref="FG35:FL35" si="56">SUM(FG14:FG34)</f>
        <v>0</v>
      </c>
      <c r="FH35" s="106">
        <f t="shared" si="56"/>
        <v>0</v>
      </c>
      <c r="FI35" s="106">
        <f t="shared" si="56"/>
        <v>0</v>
      </c>
      <c r="FJ35" s="106">
        <f t="shared" si="56"/>
        <v>0</v>
      </c>
      <c r="FK35" s="107">
        <f t="shared" si="56"/>
        <v>0</v>
      </c>
      <c r="FL35" s="107">
        <f t="shared" si="56"/>
        <v>0</v>
      </c>
      <c r="FM35" s="107">
        <f t="shared" ref="FM35:FN35" si="57">SUM(FM14:FM34)</f>
        <v>0</v>
      </c>
      <c r="FN35" s="107">
        <f t="shared" si="57"/>
        <v>0</v>
      </c>
      <c r="FO35" s="1155"/>
      <c r="FP35" s="1155"/>
      <c r="FQ35" s="1155"/>
      <c r="FR35" s="1155"/>
      <c r="FS35" s="1155"/>
      <c r="FT35" s="1155"/>
      <c r="FU35" s="1155"/>
      <c r="FV35" s="1155"/>
      <c r="FW35" s="1155"/>
      <c r="FX35" s="1155"/>
      <c r="FY35" s="1155"/>
      <c r="FZ35" s="108"/>
      <c r="GC35" s="105">
        <f t="shared" ref="GC35:GH35" si="58">SUM(GC14:GC34)</f>
        <v>0</v>
      </c>
      <c r="GD35" s="106">
        <f t="shared" si="58"/>
        <v>0</v>
      </c>
      <c r="GE35" s="106">
        <f t="shared" si="58"/>
        <v>0</v>
      </c>
      <c r="GF35" s="106">
        <f t="shared" si="58"/>
        <v>0</v>
      </c>
      <c r="GG35" s="107">
        <f t="shared" si="58"/>
        <v>0</v>
      </c>
      <c r="GH35" s="107">
        <f t="shared" si="58"/>
        <v>0</v>
      </c>
      <c r="GI35" s="107">
        <f t="shared" ref="GI35:GJ35" si="59">SUM(GI14:GI34)</f>
        <v>0</v>
      </c>
      <c r="GJ35" s="107">
        <f t="shared" si="59"/>
        <v>0</v>
      </c>
      <c r="GK35" s="1155"/>
      <c r="GL35" s="1155"/>
      <c r="GM35" s="1155"/>
      <c r="GN35" s="1155"/>
      <c r="GO35" s="1155"/>
      <c r="GP35" s="1155"/>
      <c r="GQ35" s="1155"/>
      <c r="GR35" s="1155"/>
      <c r="GS35" s="1155"/>
      <c r="GT35" s="1155"/>
      <c r="GU35" s="1155"/>
      <c r="GV35" s="108"/>
      <c r="GY35" s="105">
        <f t="shared" ref="GY35:HD35" si="60">SUM(GY14:GY34)</f>
        <v>0</v>
      </c>
      <c r="GZ35" s="106">
        <f t="shared" si="60"/>
        <v>0</v>
      </c>
      <c r="HA35" s="106">
        <f t="shared" si="60"/>
        <v>0</v>
      </c>
      <c r="HB35" s="106">
        <f t="shared" si="60"/>
        <v>0</v>
      </c>
      <c r="HC35" s="107">
        <f t="shared" si="60"/>
        <v>0</v>
      </c>
      <c r="HD35" s="107">
        <f t="shared" si="60"/>
        <v>0</v>
      </c>
      <c r="HE35" s="107">
        <f t="shared" ref="HE35:HF35" si="61">SUM(HE14:HE34)</f>
        <v>0</v>
      </c>
      <c r="HF35" s="107">
        <f t="shared" si="61"/>
        <v>0</v>
      </c>
      <c r="HG35" s="1155"/>
      <c r="HH35" s="1155"/>
      <c r="HI35" s="1155"/>
      <c r="HJ35" s="1155"/>
      <c r="HK35" s="1155"/>
      <c r="HL35" s="1155"/>
      <c r="HM35" s="1155"/>
      <c r="HN35" s="1155"/>
      <c r="HO35" s="1155"/>
      <c r="HP35" s="1155"/>
      <c r="HQ35" s="1155"/>
      <c r="HR35" s="108"/>
      <c r="HU35" s="105">
        <f t="shared" ref="HU35:HZ35" si="62">SUM(HU14:HU34)</f>
        <v>0</v>
      </c>
      <c r="HV35" s="106">
        <f t="shared" si="62"/>
        <v>0</v>
      </c>
      <c r="HW35" s="106">
        <f t="shared" si="62"/>
        <v>0</v>
      </c>
      <c r="HX35" s="106">
        <f t="shared" si="62"/>
        <v>0</v>
      </c>
      <c r="HY35" s="403">
        <f t="shared" si="62"/>
        <v>0</v>
      </c>
      <c r="HZ35" s="107">
        <f t="shared" si="62"/>
        <v>0</v>
      </c>
      <c r="IA35" s="107">
        <f t="shared" ref="IA35:IB35" si="63">SUM(IA14:IA34)</f>
        <v>0</v>
      </c>
      <c r="IB35" s="107">
        <f t="shared" si="63"/>
        <v>0</v>
      </c>
      <c r="IC35" s="1155"/>
      <c r="ID35" s="1155"/>
      <c r="IE35" s="1155"/>
      <c r="IF35" s="1155"/>
      <c r="IG35" s="1155"/>
      <c r="IH35" s="1155"/>
      <c r="II35" s="1155"/>
      <c r="IJ35" s="1155"/>
      <c r="IK35" s="1155"/>
      <c r="IL35" s="1155"/>
      <c r="IM35" s="1155"/>
      <c r="IN35" s="108"/>
      <c r="IQ35" s="105">
        <f t="shared" ref="IQ35:IV35" si="64">SUM(IQ14:IQ34)</f>
        <v>0</v>
      </c>
      <c r="IR35" s="106">
        <f t="shared" si="64"/>
        <v>0</v>
      </c>
      <c r="IS35" s="106">
        <f t="shared" si="64"/>
        <v>0</v>
      </c>
      <c r="IT35" s="106">
        <f t="shared" si="64"/>
        <v>0</v>
      </c>
      <c r="IU35" s="403">
        <f t="shared" si="64"/>
        <v>0</v>
      </c>
      <c r="IV35" s="107">
        <f t="shared" si="64"/>
        <v>0</v>
      </c>
      <c r="IW35" s="107">
        <f t="shared" ref="IW35:IX35" si="65">SUM(IW14:IW34)</f>
        <v>0</v>
      </c>
      <c r="IX35" s="107">
        <f t="shared" si="6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1468</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66">COUNTIF($BA$47:$IQ$47,S38)</f>
        <v>0</v>
      </c>
      <c r="Z38" s="462">
        <f>RANK(AB38,$AB$38:$AB$38)</f>
        <v>1</v>
      </c>
      <c r="AA38" s="460" t="s">
        <v>951</v>
      </c>
      <c r="AB38" s="463">
        <f>COUNTIF($AZ$53:$IP$53,AA38)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6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67"/>
        <v>1</v>
      </c>
      <c r="S40" s="460" t="s">
        <v>114</v>
      </c>
      <c r="T40" s="463">
        <f>COUNTIF('Variable Costs (Back)'!$C$15:$C$24,S40)</f>
        <v>0</v>
      </c>
      <c r="Z40" s="462"/>
      <c r="AA40" s="460"/>
      <c r="AB40" s="463"/>
      <c r="AG40" s="471" t="s">
        <v>971</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6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6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6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6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6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6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67"/>
        <v>1</v>
      </c>
      <c r="S47" s="460" t="s">
        <v>117</v>
      </c>
      <c r="T47" s="463">
        <f>COUNTIF('Variable Costs (Back)'!$C$15:$C$24,S47)</f>
        <v>0</v>
      </c>
      <c r="Z47" s="462"/>
      <c r="AA47" s="460"/>
      <c r="AB47" s="463"/>
      <c r="AZ47" s="104" t="s">
        <v>999</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998</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997</v>
      </c>
      <c r="BA51" s="108">
        <f>SUMIFS('Existing Customers'!$N:$N,'Existing Customers'!$A:$A,'Multi-Customer'!BA$38)</f>
        <v>0</v>
      </c>
      <c r="BV51" s="104" t="s">
        <v>991</v>
      </c>
      <c r="BW51" s="108">
        <f>SUMIFS('Existing Customers'!$N:$N,'Existing Customers'!$A:$A,'Multi-Customer'!BW$38)</f>
        <v>0</v>
      </c>
      <c r="CR51" s="104" t="s">
        <v>991</v>
      </c>
      <c r="CS51" s="108">
        <f>SUMIFS('Existing Customers'!$N:$N,'Existing Customers'!$A:$A,'Multi-Customer'!CS$38)</f>
        <v>0</v>
      </c>
      <c r="DN51" s="104" t="s">
        <v>991</v>
      </c>
      <c r="DO51" s="108">
        <f>SUMIFS('Existing Customers'!$N:$N,'Existing Customers'!$A:$A,'Multi-Customer'!DO$38)</f>
        <v>0</v>
      </c>
      <c r="EJ51" s="104" t="s">
        <v>991</v>
      </c>
      <c r="EK51" s="108">
        <f>SUMIFS('Existing Customers'!$N:$N,'Existing Customers'!$A:$A,'Multi-Customer'!EK$38)</f>
        <v>0</v>
      </c>
      <c r="FF51" s="104" t="s">
        <v>991</v>
      </c>
      <c r="FG51" s="108">
        <f>SUMIFS('Existing Customers'!$N:$N,'Existing Customers'!$A:$A,'Multi-Customer'!FG$38)</f>
        <v>0</v>
      </c>
      <c r="GB51" s="104" t="s">
        <v>991</v>
      </c>
      <c r="GC51" s="108">
        <f>SUMIFS('Existing Customers'!$N:$N,'Existing Customers'!$A:$A,'Multi-Customer'!GC$38)</f>
        <v>0</v>
      </c>
      <c r="GX51" s="104" t="s">
        <v>991</v>
      </c>
      <c r="GY51" s="108">
        <f>SUMIFS('Existing Customers'!$N:$N,'Existing Customers'!$A:$A,'Multi-Customer'!GY$38)</f>
        <v>0</v>
      </c>
      <c r="HT51" s="104" t="s">
        <v>991</v>
      </c>
      <c r="HU51" s="108">
        <f>SUMIFS('Existing Customers'!$N:$N,'Existing Customers'!$A:$A,'Multi-Customer'!HU$38)</f>
        <v>0</v>
      </c>
      <c r="IP51" s="104" t="s">
        <v>991</v>
      </c>
      <c r="IQ51" s="108">
        <f>SUMIFS('Existing Customers'!$N:$N,'Existing Customers'!$A:$A,'Multi-Customer'!IQ$38)</f>
        <v>0</v>
      </c>
    </row>
    <row r="52" spans="18:251" x14ac:dyDescent="0.25">
      <c r="R52" s="1142"/>
      <c r="S52" s="1142"/>
      <c r="T52" s="104"/>
      <c r="W52" s="104"/>
      <c r="X52" s="130"/>
      <c r="Z52" s="462"/>
      <c r="AA52" s="460"/>
      <c r="AB52" s="463"/>
      <c r="AZ52" s="104" t="s">
        <v>996</v>
      </c>
      <c r="BA52" s="108">
        <f>IFERROR(VLOOKUP(BA$38,'Existing Customer Variable Exp'!$B:$F,5,FALSE),0)</f>
        <v>0</v>
      </c>
      <c r="BV52" s="104" t="s">
        <v>996</v>
      </c>
      <c r="BW52" s="108">
        <f>IFERROR(VLOOKUP(BW$38,'Existing Customer Variable Exp'!$B:$F,5,FALSE),0)</f>
        <v>0</v>
      </c>
      <c r="CR52" s="104" t="s">
        <v>996</v>
      </c>
      <c r="CS52" s="108">
        <f>IFERROR(VLOOKUP(CS$38,'Existing Customer Variable Exp'!$B:$F,5,FALSE),0)</f>
        <v>0</v>
      </c>
      <c r="DN52" s="104" t="s">
        <v>996</v>
      </c>
      <c r="DO52" s="108">
        <f>IFERROR(VLOOKUP(DO$38,'Existing Customer Variable Exp'!$B:$F,5,FALSE),0)</f>
        <v>0</v>
      </c>
      <c r="EJ52" s="104" t="s">
        <v>996</v>
      </c>
      <c r="EK52" s="108">
        <f>IFERROR(VLOOKUP(EK$38,'Existing Customer Variable Exp'!$B:$F,5,FALSE),0)</f>
        <v>0</v>
      </c>
      <c r="FF52" s="104" t="s">
        <v>996</v>
      </c>
      <c r="FG52" s="108">
        <f>IFERROR(VLOOKUP(FG$38,'Existing Customer Variable Exp'!$B:$F,5,FALSE),0)</f>
        <v>0</v>
      </c>
      <c r="GB52" s="104" t="s">
        <v>996</v>
      </c>
      <c r="GC52" s="108">
        <f>IFERROR(VLOOKUP(GC$38,'Existing Customer Variable Exp'!$B:$F,5,FALSE),0)</f>
        <v>0</v>
      </c>
      <c r="GX52" s="104" t="s">
        <v>996</v>
      </c>
      <c r="GY52" s="108">
        <f>IFERROR(VLOOKUP(GY$38,'Existing Customer Variable Exp'!$B:$F,5,FALSE),0)</f>
        <v>0</v>
      </c>
      <c r="HT52" s="104" t="s">
        <v>996</v>
      </c>
      <c r="HU52" s="108">
        <f>IFERROR(VLOOKUP(HU$38,'Existing Customer Variable Exp'!$B:$F,5,FALSE),0)</f>
        <v>0</v>
      </c>
      <c r="IP52" s="104" t="s">
        <v>996</v>
      </c>
      <c r="IQ52" s="108">
        <f>IFERROR(VLOOKUP(IQ$38,'Existing Customer Variable Exp'!$B:$F,5,FALSE),0)</f>
        <v>0</v>
      </c>
    </row>
    <row r="53" spans="18:251" x14ac:dyDescent="0.25">
      <c r="R53" s="1142"/>
      <c r="S53" s="1142"/>
      <c r="T53" s="1142"/>
      <c r="Z53" s="462"/>
      <c r="AA53" s="460"/>
      <c r="AB53" s="463"/>
      <c r="AZ53" s="104" t="s">
        <v>1467</v>
      </c>
      <c r="BA53" s="86">
        <f>IFERROR(VLOOKUP(BA$1,'Existing Customers'!$A:$AD,30,FALSE),BA6)</f>
        <v>0</v>
      </c>
      <c r="BB53" s="1142"/>
      <c r="BC53" s="1142"/>
      <c r="BD53" s="1142"/>
      <c r="BE53" s="1142"/>
      <c r="BF53" s="1142"/>
      <c r="BT53" s="1142"/>
      <c r="BU53" s="1142"/>
      <c r="BV53" s="104" t="s">
        <v>1467</v>
      </c>
      <c r="BW53" s="86">
        <f>IFERROR(VLOOKUP(BW$1,'Existing Customers'!$A:$AD,30,FALSE),BW6)</f>
        <v>0</v>
      </c>
      <c r="BX53" s="1142"/>
      <c r="BY53" s="1142"/>
      <c r="BZ53" s="1142"/>
      <c r="CA53" s="1142"/>
      <c r="CB53" s="1142"/>
      <c r="CP53" s="1142"/>
      <c r="CQ53" s="1142"/>
      <c r="CR53" s="104" t="s">
        <v>1467</v>
      </c>
      <c r="CS53" s="86">
        <f>IFERROR(VLOOKUP(CS$1,'Existing Customers'!$A:$AD,30,FALSE),CS6)</f>
        <v>0</v>
      </c>
      <c r="CT53" s="1142"/>
      <c r="CU53" s="1142"/>
      <c r="CV53" s="1142"/>
      <c r="CW53" s="1142"/>
      <c r="CX53" s="1142"/>
      <c r="DL53" s="1142"/>
      <c r="DM53" s="1142"/>
      <c r="DN53" s="104" t="s">
        <v>1467</v>
      </c>
      <c r="DO53" s="86">
        <f>IFERROR(VLOOKUP(DO$1,'Existing Customers'!$A:$AD,30,FALSE),DO6)</f>
        <v>0</v>
      </c>
      <c r="DP53" s="1142"/>
      <c r="DQ53" s="1142"/>
      <c r="DR53" s="1142"/>
      <c r="DS53" s="1142"/>
      <c r="DT53" s="1142"/>
      <c r="EH53" s="1142"/>
      <c r="EI53" s="1142"/>
      <c r="EJ53" s="104" t="s">
        <v>1467</v>
      </c>
      <c r="EK53" s="86">
        <f>IFERROR(VLOOKUP(EK$1,'Existing Customers'!$A:$AD,30,FALSE),EK6)</f>
        <v>0</v>
      </c>
      <c r="EL53" s="1142"/>
      <c r="EM53" s="1142"/>
      <c r="EN53" s="1142"/>
      <c r="EO53" s="1142"/>
      <c r="EP53" s="1142"/>
      <c r="FD53" s="1142"/>
      <c r="FE53" s="1142"/>
      <c r="FF53" s="104" t="s">
        <v>1467</v>
      </c>
      <c r="FG53" s="86">
        <f>IFERROR(VLOOKUP(FG$1,'Existing Customers'!$A:$AD,30,FALSE),FG6)</f>
        <v>0</v>
      </c>
      <c r="FH53" s="1142"/>
      <c r="FI53" s="1142"/>
      <c r="FJ53" s="1142"/>
      <c r="FK53" s="1142"/>
      <c r="FL53" s="1142"/>
      <c r="FZ53" s="1142"/>
      <c r="GA53" s="1142"/>
      <c r="GB53" s="104" t="s">
        <v>1467</v>
      </c>
      <c r="GC53" s="86">
        <f>IFERROR(VLOOKUP(GC$1,'Existing Customers'!$A:$AD,30,FALSE),GC6)</f>
        <v>0</v>
      </c>
      <c r="GD53" s="1142"/>
      <c r="GE53" s="1142"/>
      <c r="GF53" s="1142"/>
      <c r="GG53" s="1142"/>
      <c r="GH53" s="1142"/>
      <c r="GV53" s="1142"/>
      <c r="GW53" s="1142"/>
      <c r="GX53" s="104" t="s">
        <v>1467</v>
      </c>
      <c r="GY53" s="86">
        <f>IFERROR(VLOOKUP(GY$1,'Existing Customers'!$A:$AD,30,FALSE),GY6)</f>
        <v>0</v>
      </c>
      <c r="GZ53" s="1142"/>
      <c r="HA53" s="1142"/>
      <c r="HB53" s="1142"/>
      <c r="HC53" s="1142"/>
      <c r="HD53" s="1142"/>
      <c r="HR53" s="1142"/>
      <c r="HS53" s="1142"/>
      <c r="HT53" s="104" t="s">
        <v>1467</v>
      </c>
      <c r="HU53" s="86">
        <f>IFERROR(VLOOKUP(HU$1,'Existing Customers'!$A:$AD,30,FALSE),HU6)</f>
        <v>0</v>
      </c>
      <c r="HV53" s="1142"/>
      <c r="HW53" s="1142"/>
      <c r="HX53" s="1142"/>
      <c r="HY53" s="1142"/>
      <c r="HZ53" s="1142"/>
      <c r="IN53" s="1142"/>
      <c r="IO53" s="1142"/>
      <c r="IP53" s="104" t="s">
        <v>1467</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988</v>
      </c>
      <c r="AZ2" s="288"/>
      <c r="BA2" s="288"/>
      <c r="BB2" s="288"/>
      <c r="BC2" s="288"/>
      <c r="BD2" s="288"/>
      <c r="BE2" s="288"/>
      <c r="BF2" s="288"/>
      <c r="BK2" s="525" t="s">
        <v>988</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53" t="s">
        <v>986</v>
      </c>
      <c r="AX5" s="1354"/>
      <c r="AY5" s="528">
        <v>1757315</v>
      </c>
      <c r="AZ5" s="314" t="s">
        <v>216</v>
      </c>
      <c r="BA5" s="1" t="s">
        <v>216</v>
      </c>
      <c r="BB5" s="521">
        <v>3.2000000000000001E-2</v>
      </c>
      <c r="BC5" s="521">
        <v>6.9000000000000006E-2</v>
      </c>
      <c r="BD5" s="521">
        <v>8.2000000000000003E-2</v>
      </c>
      <c r="BE5" s="521">
        <v>9.6000000000000002E-2</v>
      </c>
      <c r="BF5" s="522">
        <v>0.13300000000000001</v>
      </c>
      <c r="BI5" s="1353" t="s">
        <v>987</v>
      </c>
      <c r="BJ5" s="1354"/>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977</v>
      </c>
      <c r="D10" s="2" t="s">
        <v>469</v>
      </c>
      <c r="E10" s="2" t="s">
        <v>469</v>
      </c>
      <c r="F10" s="2" t="s">
        <v>469</v>
      </c>
      <c r="G10" s="2" t="s">
        <v>469</v>
      </c>
      <c r="H10" s="2" t="s">
        <v>469</v>
      </c>
      <c r="I10" s="2" t="s">
        <v>469</v>
      </c>
      <c r="J10" s="2"/>
      <c r="K10" s="2"/>
      <c r="L10" s="2"/>
      <c r="N10" s="498" t="s">
        <v>978</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1024</v>
      </c>
      <c r="AE10" s="2"/>
      <c r="AF10" s="2"/>
      <c r="AG10" s="2"/>
      <c r="AH10" s="2"/>
      <c r="AI10" s="2"/>
      <c r="AJ10" s="2"/>
      <c r="AK10" s="498" t="s">
        <v>980</v>
      </c>
      <c r="AL10" s="40" t="s">
        <v>469</v>
      </c>
      <c r="AM10" s="40" t="s">
        <v>469</v>
      </c>
      <c r="AN10" s="40" t="s">
        <v>469</v>
      </c>
      <c r="AO10" s="40" t="s">
        <v>469</v>
      </c>
      <c r="AP10" s="40" t="s">
        <v>469</v>
      </c>
      <c r="AQ10" s="1356" t="s">
        <v>985</v>
      </c>
      <c r="AR10" s="1356"/>
      <c r="AW10" s="1355" t="s">
        <v>983</v>
      </c>
      <c r="AX10" s="1355"/>
      <c r="AY10" s="1355"/>
      <c r="AZ10" s="1355"/>
      <c r="BA10" s="1355"/>
      <c r="BD10" s="1355" t="s">
        <v>984</v>
      </c>
      <c r="BE10" s="1355"/>
      <c r="BF10" s="1355"/>
      <c r="BG10" s="1355"/>
      <c r="BH10" s="1355"/>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1018</v>
      </c>
      <c r="W11" s="2" t="s">
        <v>1019</v>
      </c>
      <c r="X11" s="2" t="s">
        <v>1020</v>
      </c>
      <c r="Y11" s="2"/>
      <c r="Z11" s="2"/>
      <c r="AA11" s="2" t="s">
        <v>979</v>
      </c>
      <c r="AB11" s="2" t="s">
        <v>1023</v>
      </c>
      <c r="AC11" s="2" t="s">
        <v>1021</v>
      </c>
      <c r="AD11" s="2" t="s">
        <v>1022</v>
      </c>
      <c r="AE11" s="2"/>
      <c r="AF11" s="2" t="s">
        <v>979</v>
      </c>
      <c r="AG11" s="2"/>
      <c r="AH11" s="2"/>
      <c r="AI11" s="2"/>
      <c r="AJ11" s="2"/>
      <c r="AK11" s="40" t="s">
        <v>257</v>
      </c>
      <c r="AL11" s="40" t="s">
        <v>402</v>
      </c>
      <c r="AM11" s="40" t="s">
        <v>83</v>
      </c>
      <c r="AN11" s="40" t="s">
        <v>508</v>
      </c>
      <c r="AO11" s="40" t="s">
        <v>511</v>
      </c>
      <c r="AP11" s="40" t="s">
        <v>509</v>
      </c>
      <c r="AQ11" s="511" t="s">
        <v>378</v>
      </c>
      <c r="AR11" s="511" t="s">
        <v>1017</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1445</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1445</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1445</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1445</v>
      </c>
      <c r="AX14" s="532">
        <v>7627</v>
      </c>
      <c r="AY14" s="532">
        <v>25048</v>
      </c>
      <c r="AZ14" s="532">
        <v>65918</v>
      </c>
      <c r="BA14" s="532">
        <v>149490</v>
      </c>
      <c r="BD14" s="57" t="s">
        <v>1445</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88" t="s">
        <v>819</v>
      </c>
      <c r="B1" s="1388"/>
      <c r="C1" s="1388"/>
      <c r="D1" s="1388"/>
      <c r="F1" s="1389" t="s">
        <v>748</v>
      </c>
      <c r="G1" s="1389"/>
      <c r="I1" s="1390" t="s">
        <v>818</v>
      </c>
      <c r="J1" s="1391"/>
      <c r="K1" s="1391"/>
      <c r="L1" s="1391"/>
      <c r="M1" s="1391"/>
      <c r="N1" s="1391"/>
      <c r="O1" s="1391"/>
      <c r="P1" s="1391"/>
      <c r="Q1" s="1391"/>
      <c r="R1" s="1391"/>
      <c r="S1" s="1391"/>
      <c r="T1" s="1391"/>
      <c r="U1" s="1391"/>
      <c r="V1" s="1392"/>
    </row>
    <row r="2" spans="1:23" x14ac:dyDescent="0.25">
      <c r="I2" s="358"/>
      <c r="J2" s="138"/>
      <c r="K2" s="138"/>
      <c r="L2" s="138"/>
      <c r="M2" s="138"/>
      <c r="N2" s="138"/>
      <c r="O2" s="138"/>
      <c r="P2" s="138"/>
      <c r="Q2" s="138"/>
      <c r="R2" s="138"/>
      <c r="S2" s="138"/>
      <c r="T2" s="138"/>
      <c r="U2" s="138"/>
      <c r="V2" s="361"/>
    </row>
    <row r="3" spans="1:23" x14ac:dyDescent="0.25">
      <c r="A3" t="s">
        <v>248</v>
      </c>
      <c r="B3" s="1362">
        <f>Welcome!$D$4</f>
        <v>0</v>
      </c>
      <c r="C3" s="1362"/>
      <c r="I3" s="353">
        <v>1</v>
      </c>
      <c r="J3" t="s">
        <v>774</v>
      </c>
      <c r="L3" s="1362" t="str">
        <f>"ALC "&amp;'Required Info to Submit'!$F$6</f>
        <v xml:space="preserve">ALC </v>
      </c>
      <c r="M3" s="1362"/>
      <c r="N3" s="1362"/>
      <c r="O3" s="1362"/>
      <c r="P3" s="1362"/>
      <c r="R3"/>
      <c r="V3" s="141"/>
    </row>
    <row r="4" spans="1:23" ht="45" x14ac:dyDescent="0.25">
      <c r="A4" t="s">
        <v>755</v>
      </c>
      <c r="B4" s="1393">
        <f>'Required Info to Submit'!$F$6</f>
        <v>0</v>
      </c>
      <c r="C4" s="1393"/>
      <c r="D4" s="2" t="s">
        <v>909</v>
      </c>
      <c r="F4" s="268" t="s">
        <v>749</v>
      </c>
      <c r="G4" s="677">
        <f>Incentives!$H$9</f>
        <v>0</v>
      </c>
      <c r="H4" s="310"/>
      <c r="I4" s="353">
        <v>2</v>
      </c>
      <c r="J4" t="s">
        <v>750</v>
      </c>
      <c r="L4" s="362">
        <f>'Required Info to Submit'!$F$14</f>
        <v>0</v>
      </c>
      <c r="M4" s="362"/>
      <c r="N4" s="362"/>
      <c r="O4" s="363">
        <v>3</v>
      </c>
      <c r="P4" s="1362" t="s">
        <v>752</v>
      </c>
      <c r="Q4" s="1362"/>
      <c r="R4" s="1362"/>
      <c r="S4" s="1395" t="e">
        <f>$L$4+(364*$G$5)+6</f>
        <v>#VALUE!</v>
      </c>
      <c r="T4" s="1395"/>
      <c r="U4" s="362"/>
      <c r="V4" s="141"/>
    </row>
    <row r="5" spans="1:23" x14ac:dyDescent="0.25">
      <c r="A5" t="s">
        <v>1043</v>
      </c>
      <c r="B5" s="1397">
        <f>'Required Info to Submit'!$F$8</f>
        <v>0</v>
      </c>
      <c r="C5" s="1397"/>
      <c r="D5" t="e">
        <f>G5*12</f>
        <v>#VALUE!</v>
      </c>
      <c r="F5" s="268" t="s">
        <v>751</v>
      </c>
      <c r="G5" s="309" t="str">
        <f>Welcome!$D$12</f>
        <v>Select Term</v>
      </c>
      <c r="H5" s="310"/>
      <c r="I5" s="354"/>
      <c r="M5"/>
      <c r="O5" s="2"/>
      <c r="P5" s="300"/>
      <c r="Q5" s="300"/>
      <c r="R5" s="300"/>
      <c r="S5" s="300"/>
      <c r="T5" s="300"/>
      <c r="V5" s="141"/>
    </row>
    <row r="6" spans="1:23" x14ac:dyDescent="0.25">
      <c r="A6" t="s">
        <v>813</v>
      </c>
      <c r="B6" s="1394">
        <f>'Required Info to Submit'!$F$14</f>
        <v>0</v>
      </c>
      <c r="C6" s="1394"/>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62" t="s">
        <v>775</v>
      </c>
      <c r="Q6" s="1362"/>
      <c r="R6" s="1362"/>
      <c r="S6" s="1396">
        <f>-('Tracking &amp; Profitability'!$E$22)</f>
        <v>0</v>
      </c>
      <c r="T6" s="1396"/>
      <c r="U6" s="20"/>
      <c r="V6" s="141"/>
    </row>
    <row r="7" spans="1:23" x14ac:dyDescent="0.25">
      <c r="A7" t="s">
        <v>814</v>
      </c>
      <c r="B7" s="1362">
        <f>'Required Info to Submit'!$F$10</f>
        <v>0</v>
      </c>
      <c r="C7" s="1362"/>
      <c r="F7" s="871" t="str">
        <f>IF(Incentives!E15="Yes","VB","")</f>
        <v/>
      </c>
      <c r="G7" s="871" t="str">
        <f>IF(Incentives!E26="YES","DS","")</f>
        <v/>
      </c>
      <c r="I7" s="353">
        <v>6</v>
      </c>
      <c r="J7" t="s">
        <v>776</v>
      </c>
      <c r="L7" s="1362" t="str">
        <f>'MDA Worksheet'!$K$95</f>
        <v/>
      </c>
      <c r="M7" s="1362"/>
      <c r="N7" s="1362"/>
      <c r="O7" s="363">
        <v>8</v>
      </c>
      <c r="P7" s="1362" t="s">
        <v>889</v>
      </c>
      <c r="Q7" s="1362"/>
      <c r="R7" s="1362"/>
      <c r="S7" s="1362">
        <f>'Required Info to Submit'!$F$10</f>
        <v>0</v>
      </c>
      <c r="T7" s="1362"/>
      <c r="V7" s="141"/>
    </row>
    <row r="8" spans="1:23" x14ac:dyDescent="0.25">
      <c r="A8" t="s">
        <v>815</v>
      </c>
      <c r="B8" s="1362">
        <f>'Required Info to Submit'!$F$9</f>
        <v>0</v>
      </c>
      <c r="C8" s="1362"/>
      <c r="F8" s="871" t="str">
        <f>IF(Incentives!E37="Yes","EB","")</f>
        <v/>
      </c>
      <c r="G8" s="871" t="str">
        <f>IF(Incentives!E48="Yes","SG","")</f>
        <v/>
      </c>
      <c r="I8" s="140"/>
      <c r="M8"/>
      <c r="R8"/>
      <c r="V8" s="141"/>
    </row>
    <row r="9" spans="1:23" x14ac:dyDescent="0.25">
      <c r="A9" t="s">
        <v>672</v>
      </c>
      <c r="B9" s="1362">
        <f>'Required Info to Submit'!$F$12</f>
        <v>0</v>
      </c>
      <c r="C9" s="1362"/>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62">
        <f>'Required Info to Submit'!$F$11</f>
        <v>0</v>
      </c>
      <c r="C10" s="1362"/>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87"/>
      <c r="C11" s="1387"/>
      <c r="F11" s="943" t="str">
        <f>IF(Incentives!E72="Yes","Roll","")</f>
        <v/>
      </c>
      <c r="I11" s="1363" t="s">
        <v>756</v>
      </c>
      <c r="J11" s="1364"/>
      <c r="K11" s="1364"/>
      <c r="L11" s="1365"/>
      <c r="M11" s="316"/>
      <c r="N11" s="1363" t="s">
        <v>484</v>
      </c>
      <c r="O11" s="1364"/>
      <c r="P11" s="1364"/>
      <c r="Q11" s="1365"/>
      <c r="R11" s="316"/>
      <c r="S11" s="1363" t="s">
        <v>545</v>
      </c>
      <c r="T11" s="1364"/>
      <c r="U11" s="1364"/>
      <c r="V11" s="1365"/>
    </row>
    <row r="12" spans="1:23" ht="15.75" thickBot="1" x14ac:dyDescent="0.3">
      <c r="A12" s="1359" t="s">
        <v>756</v>
      </c>
      <c r="B12" s="1360"/>
      <c r="C12" s="1360"/>
      <c r="D12" s="1361"/>
      <c r="E12" s="910"/>
      <c r="F12" s="138"/>
      <c r="G12" s="138"/>
      <c r="H12" s="834"/>
      <c r="I12" s="1366" t="s">
        <v>757</v>
      </c>
      <c r="J12" s="1367"/>
      <c r="K12" s="1367"/>
      <c r="L12" s="1368"/>
      <c r="M12" s="316"/>
      <c r="N12" s="1366" t="s">
        <v>758</v>
      </c>
      <c r="O12" s="1367"/>
      <c r="P12" s="1367"/>
      <c r="Q12" s="1368"/>
      <c r="R12" s="316"/>
      <c r="S12" s="1366" t="s">
        <v>759</v>
      </c>
      <c r="T12" s="1367"/>
      <c r="U12" s="1367"/>
      <c r="V12" s="1368"/>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1216</v>
      </c>
      <c r="B15" s="814" t="str">
        <f>Incentives!$G$14</f>
        <v>Quarterly</v>
      </c>
      <c r="C15" s="872"/>
      <c r="D15" s="329"/>
      <c r="E15" s="326"/>
      <c r="F15" s="268"/>
      <c r="G15" s="268"/>
      <c r="H15" s="310"/>
      <c r="I15" s="763" t="s">
        <v>1216</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1216</v>
      </c>
      <c r="O16" s="889" t="str">
        <f>B27</f>
        <v>Quarterly</v>
      </c>
      <c r="P16" s="328"/>
      <c r="Q16" s="329"/>
      <c r="R16" s="310"/>
      <c r="S16" s="763" t="s">
        <v>1216</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1078</v>
      </c>
      <c r="L18" s="765" t="s">
        <v>1079</v>
      </c>
      <c r="M18" s="335"/>
      <c r="N18" s="763">
        <v>3</v>
      </c>
      <c r="P18" s="764" t="s">
        <v>1078</v>
      </c>
      <c r="Q18" s="765" t="s">
        <v>1079</v>
      </c>
      <c r="R18" s="335"/>
      <c r="S18" s="763">
        <v>2</v>
      </c>
      <c r="U18" s="764" t="s">
        <v>1080</v>
      </c>
      <c r="V18" s="765" t="s">
        <v>1081</v>
      </c>
      <c r="W18" s="335"/>
    </row>
    <row r="19" spans="1:23" x14ac:dyDescent="0.25">
      <c r="A19" s="140"/>
      <c r="B19" s="897">
        <v>0</v>
      </c>
      <c r="C19" s="373">
        <f>IF(ISERROR(B20-0.01),"",B20-0.01)</f>
        <v>-0.01</v>
      </c>
      <c r="D19" s="911">
        <f>Incentives!$I$17</f>
        <v>0</v>
      </c>
      <c r="E19" s="337"/>
      <c r="I19" s="354" t="s">
        <v>1074</v>
      </c>
      <c r="K19">
        <v>0</v>
      </c>
      <c r="L19" s="752">
        <f>D19</f>
        <v>0</v>
      </c>
      <c r="N19" s="354" t="s">
        <v>1074</v>
      </c>
      <c r="P19" s="370">
        <f>B29</f>
        <v>0</v>
      </c>
      <c r="Q19" s="753">
        <f>D29</f>
        <v>0</v>
      </c>
      <c r="S19" s="354" t="s">
        <v>1074</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1075</v>
      </c>
      <c r="J20" t="str">
        <f>IF(AND($B$20=0, B21=0),"Flat Rate",0)</f>
        <v>Flat Rate</v>
      </c>
      <c r="K20" t="str">
        <f>IF($B$20=0,"",ROUND($B$20,0))</f>
        <v/>
      </c>
      <c r="L20" s="753">
        <f t="shared" ref="L20:L22" si="0">D20</f>
        <v>0.01</v>
      </c>
      <c r="N20" s="354" t="s">
        <v>1075</v>
      </c>
      <c r="P20" s="371">
        <f>B30</f>
        <v>0</v>
      </c>
      <c r="Q20" s="753">
        <f>D30</f>
        <v>0.01</v>
      </c>
      <c r="S20" s="354" t="s">
        <v>1075</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1076</v>
      </c>
      <c r="K21">
        <f>IF($B$21="","",ROUND($B$21,0))</f>
        <v>0</v>
      </c>
      <c r="L21" s="753">
        <f t="shared" si="0"/>
        <v>1.4999999999999999E-2</v>
      </c>
      <c r="N21" s="354" t="s">
        <v>1076</v>
      </c>
      <c r="P21" s="371">
        <f>B31</f>
        <v>0</v>
      </c>
      <c r="Q21" s="753">
        <f>D31</f>
        <v>1.4999999999999999E-2</v>
      </c>
      <c r="S21" s="354" t="s">
        <v>1076</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1077</v>
      </c>
      <c r="J22" s="288"/>
      <c r="K22" s="288">
        <f>IF($B$22="","",ROUND($B$22,0))</f>
        <v>0</v>
      </c>
      <c r="L22" s="842">
        <f t="shared" si="0"/>
        <v>0.02</v>
      </c>
      <c r="M22" s="346"/>
      <c r="N22" s="354" t="s">
        <v>1077</v>
      </c>
      <c r="O22" s="288"/>
      <c r="P22" s="372">
        <f>B32</f>
        <v>0</v>
      </c>
      <c r="Q22" s="842">
        <f>D32</f>
        <v>0.02</v>
      </c>
      <c r="R22" s="346"/>
      <c r="S22" s="354" t="s">
        <v>1077</v>
      </c>
      <c r="U22" s="56">
        <f>B42</f>
        <v>0</v>
      </c>
      <c r="V22" s="752">
        <f>D42</f>
        <v>0.02</v>
      </c>
    </row>
    <row r="23" spans="1:23" ht="16.5" thickBot="1" x14ac:dyDescent="0.3">
      <c r="E23" s="905"/>
      <c r="H23" s="834"/>
      <c r="I23" s="1363" t="s">
        <v>1205</v>
      </c>
      <c r="J23" s="1364"/>
      <c r="K23" s="1364"/>
      <c r="L23" s="1365"/>
      <c r="M23" s="833"/>
      <c r="N23" s="1378" t="s">
        <v>1206</v>
      </c>
      <c r="O23" s="1379"/>
      <c r="P23" s="1379"/>
      <c r="Q23" s="1380"/>
      <c r="R23" s="833"/>
      <c r="S23" s="1363" t="s">
        <v>1194</v>
      </c>
      <c r="T23" s="1364"/>
      <c r="U23" s="1364"/>
      <c r="V23" s="1365"/>
    </row>
    <row r="24" spans="1:23" ht="15.75" thickBot="1" x14ac:dyDescent="0.3">
      <c r="A24" s="1359" t="s">
        <v>484</v>
      </c>
      <c r="B24" s="1360"/>
      <c r="C24" s="1360"/>
      <c r="D24" s="1361"/>
      <c r="E24" s="315"/>
      <c r="F24" s="138"/>
      <c r="G24" s="138"/>
      <c r="H24" s="316"/>
      <c r="I24" s="1366" t="s">
        <v>768</v>
      </c>
      <c r="J24" s="1367"/>
      <c r="K24" s="1367"/>
      <c r="L24" s="1368"/>
      <c r="M24" s="833"/>
      <c r="N24" s="1384" t="s">
        <v>768</v>
      </c>
      <c r="O24" s="1385"/>
      <c r="P24" s="1385"/>
      <c r="Q24" s="1386"/>
      <c r="R24" s="833"/>
      <c r="S24" s="1366" t="s">
        <v>769</v>
      </c>
      <c r="T24" s="1367"/>
      <c r="U24" s="1367"/>
      <c r="V24" s="1368"/>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1186</v>
      </c>
      <c r="P26" s="820"/>
      <c r="Q26" s="821">
        <f>D62</f>
        <v>0</v>
      </c>
      <c r="S26" s="324" t="s">
        <v>912</v>
      </c>
      <c r="T26" s="814" t="str">
        <f>Incentives!$I$80</f>
        <v>Select Payment Method</v>
      </c>
      <c r="U26" s="815" t="str">
        <f>IF($T$26="Check","Check","Credit Memo")</f>
        <v>Credit Memo</v>
      </c>
      <c r="V26" s="678" t="str">
        <f>Incentives!$K$80</f>
        <v/>
      </c>
    </row>
    <row r="27" spans="1:23" x14ac:dyDescent="0.25">
      <c r="A27" s="140" t="s">
        <v>1216</v>
      </c>
      <c r="B27" s="791" t="str">
        <f>Incentives!$G$25</f>
        <v>Quarterly</v>
      </c>
      <c r="C27" s="791"/>
      <c r="D27" s="141"/>
      <c r="I27" s="140"/>
      <c r="J27" s="791"/>
      <c r="K27" s="791"/>
      <c r="L27" s="141"/>
      <c r="N27" s="822" t="s">
        <v>1185</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1189</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1190</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1191</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1192</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1193</v>
      </c>
      <c r="O32" s="828">
        <f>P31+1</f>
        <v>1463</v>
      </c>
      <c r="P32" s="828">
        <f>O32+363</f>
        <v>1826</v>
      </c>
      <c r="Q32" s="829" t="e">
        <f>$C$62/$B$62</f>
        <v>#VALUE!</v>
      </c>
      <c r="S32" s="287"/>
      <c r="T32" s="288"/>
      <c r="U32" s="288"/>
      <c r="V32" s="289"/>
    </row>
    <row r="33" spans="1:22" ht="16.5" thickBot="1" x14ac:dyDescent="0.3">
      <c r="E33" s="905"/>
      <c r="H33" s="834"/>
      <c r="I33" s="1381" t="s">
        <v>770</v>
      </c>
      <c r="J33" s="1382"/>
      <c r="K33" s="1382"/>
      <c r="L33" s="1383"/>
      <c r="M33" s="834"/>
      <c r="N33" s="1372" t="s">
        <v>1086</v>
      </c>
      <c r="O33" s="1373"/>
      <c r="P33" s="1373"/>
      <c r="Q33" s="1374"/>
      <c r="R33" s="834"/>
      <c r="S33" s="1372" t="s">
        <v>1217</v>
      </c>
      <c r="T33" s="1373"/>
      <c r="U33" s="1373"/>
      <c r="V33" s="1374"/>
    </row>
    <row r="34" spans="1:22" ht="15.75" thickBot="1" x14ac:dyDescent="0.3">
      <c r="A34" s="1359" t="s">
        <v>545</v>
      </c>
      <c r="B34" s="1360"/>
      <c r="C34" s="1360"/>
      <c r="D34" s="1361"/>
      <c r="E34" s="315"/>
      <c r="F34" s="138"/>
      <c r="G34" s="138"/>
      <c r="H34" s="316"/>
      <c r="I34" s="1369" t="s">
        <v>773</v>
      </c>
      <c r="J34" s="1370"/>
      <c r="K34" s="1370"/>
      <c r="L34" s="1371"/>
      <c r="M34" s="834"/>
      <c r="N34" s="1375" t="s">
        <v>772</v>
      </c>
      <c r="O34" s="1376"/>
      <c r="P34" s="1376"/>
      <c r="Q34" s="1377"/>
      <c r="R34" s="834"/>
      <c r="S34" s="1366" t="s">
        <v>1225</v>
      </c>
      <c r="T34" s="1367"/>
      <c r="U34" s="1367"/>
      <c r="V34" s="1368"/>
    </row>
    <row r="35" spans="1:22" x14ac:dyDescent="0.25">
      <c r="A35" s="324" t="s">
        <v>750</v>
      </c>
      <c r="B35" s="325">
        <f>$L$4</f>
        <v>0</v>
      </c>
      <c r="C35" s="268" t="s">
        <v>761</v>
      </c>
      <c r="D35" s="329" t="e">
        <f>$S$4</f>
        <v>#VALUE!</v>
      </c>
      <c r="I35" s="358" t="s">
        <v>762</v>
      </c>
      <c r="J35" s="318">
        <f>$L$4</f>
        <v>0</v>
      </c>
      <c r="K35" s="359" t="s">
        <v>763</v>
      </c>
      <c r="L35" s="360" t="e">
        <f>$S$4</f>
        <v>#VALUE!</v>
      </c>
      <c r="N35" s="140" t="s">
        <v>1087</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1219</v>
      </c>
      <c r="T36" s="862" t="str">
        <f>$B$46</f>
        <v>Select Payment Method</v>
      </c>
      <c r="U36" s="853"/>
      <c r="V36" s="854"/>
    </row>
    <row r="37" spans="1:22" x14ac:dyDescent="0.25">
      <c r="A37" s="852" t="s">
        <v>1216</v>
      </c>
      <c r="B37" s="900" t="str">
        <f>Incentives!$G$36</f>
        <v>Quarterly</v>
      </c>
      <c r="D37" s="141"/>
      <c r="I37" s="763" t="s">
        <v>1216</v>
      </c>
      <c r="J37" s="889" t="str">
        <f>B54</f>
        <v>Quarterly</v>
      </c>
      <c r="K37" s="791"/>
      <c r="L37" s="141"/>
      <c r="N37" s="140"/>
      <c r="Q37" s="141"/>
      <c r="S37" s="852" t="s">
        <v>1220</v>
      </c>
      <c r="T37" s="853" t="str">
        <f>$B$47</f>
        <v>Quarterly</v>
      </c>
      <c r="U37" s="853"/>
      <c r="V37" s="854"/>
    </row>
    <row r="38" spans="1:22" ht="30" x14ac:dyDescent="0.25">
      <c r="A38" s="140"/>
      <c r="B38" s="332" t="s">
        <v>126</v>
      </c>
      <c r="C38" s="332" t="s">
        <v>128</v>
      </c>
      <c r="D38" s="748" t="s">
        <v>533</v>
      </c>
      <c r="I38" s="763">
        <v>3</v>
      </c>
      <c r="J38" s="817" t="s">
        <v>1224</v>
      </c>
      <c r="K38" s="844">
        <f>D55</f>
        <v>0</v>
      </c>
      <c r="L38" s="141"/>
      <c r="N38" s="140"/>
      <c r="O38" t="s">
        <v>771</v>
      </c>
      <c r="P38" s="22">
        <f>D84</f>
        <v>0</v>
      </c>
      <c r="Q38" s="141"/>
      <c r="S38" s="852"/>
      <c r="T38" s="853"/>
      <c r="U38" s="853" t="s">
        <v>1213</v>
      </c>
      <c r="V38" s="864">
        <f>$C$48</f>
        <v>0</v>
      </c>
    </row>
    <row r="39" spans="1:22" x14ac:dyDescent="0.25">
      <c r="A39" s="140"/>
      <c r="B39" s="746">
        <v>0</v>
      </c>
      <c r="C39" s="747">
        <f>IF(ISERROR(B40-0.01),"",(B40-0.0001))</f>
        <v>-1E-4</v>
      </c>
      <c r="D39" s="749">
        <v>0</v>
      </c>
      <c r="I39" s="763">
        <v>4</v>
      </c>
      <c r="J39" s="817" t="s">
        <v>1223</v>
      </c>
      <c r="K39" s="844">
        <f>$C$55</f>
        <v>0</v>
      </c>
      <c r="L39" s="141"/>
      <c r="N39" s="140"/>
      <c r="Q39" s="141"/>
      <c r="S39" s="852"/>
      <c r="T39" s="853"/>
      <c r="U39" s="853" t="s">
        <v>1215</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63" t="s">
        <v>1267</v>
      </c>
      <c r="O41" s="1364"/>
      <c r="P41" s="1364"/>
      <c r="Q41" s="1365"/>
      <c r="S41" s="1363"/>
      <c r="T41" s="1364"/>
      <c r="U41" s="1364"/>
      <c r="V41" s="1365"/>
    </row>
    <row r="42" spans="1:22" ht="15.75" thickBot="1" x14ac:dyDescent="0.3">
      <c r="A42" s="287"/>
      <c r="B42" s="342">
        <f>Incentives!$G$42</f>
        <v>0</v>
      </c>
      <c r="C42" s="352">
        <v>1</v>
      </c>
      <c r="D42" s="750">
        <f>Incentives!$I$42</f>
        <v>0.02</v>
      </c>
      <c r="E42" s="350"/>
      <c r="F42" s="791"/>
      <c r="G42" s="791"/>
      <c r="H42" s="902"/>
      <c r="I42" s="791"/>
      <c r="N42" s="1366" t="s">
        <v>1268</v>
      </c>
      <c r="O42" s="1367"/>
      <c r="P42" s="1367"/>
      <c r="Q42" s="1368"/>
      <c r="R42" s="952"/>
      <c r="S42" s="1366"/>
      <c r="T42" s="1367"/>
      <c r="U42" s="1367"/>
      <c r="V42" s="1368"/>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9" t="s">
        <v>1217</v>
      </c>
      <c r="B44" s="1360"/>
      <c r="C44" s="1360"/>
      <c r="D44" s="1361"/>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1216</v>
      </c>
      <c r="B47" s="791" t="str">
        <f>Incentives!$G$47</f>
        <v>Quarterly</v>
      </c>
      <c r="C47" s="876" t="s">
        <v>1213</v>
      </c>
      <c r="D47" s="877" t="s">
        <v>1215</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9" t="s">
        <v>770</v>
      </c>
      <c r="B51" s="1360"/>
      <c r="C51" s="1360"/>
      <c r="D51" s="1361"/>
      <c r="E51" s="315"/>
      <c r="F51" s="791"/>
      <c r="G51" s="791"/>
      <c r="I51" s="904">
        <v>8</v>
      </c>
      <c r="J51" s="294">
        <f>IFERROR('MDA Worksheet'!D102,"")</f>
        <v>0</v>
      </c>
      <c r="K51" s="1" t="str">
        <f>IFERROR('MDA Worksheet'!K102,"")</f>
        <v/>
      </c>
      <c r="N51" s="140" t="s">
        <v>1270</v>
      </c>
      <c r="O51" s="1357" t="str">
        <f>"Amount to be paid to the customer $ "&amp;TEXT(D69,"#,###,###.00")</f>
        <v>Amount to be paid to the customer $ .00</v>
      </c>
      <c r="P51" s="1357"/>
      <c r="Q51" s="1358"/>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57" t="str">
        <f>"Claw Back Amount $ "&amp;TEXT(D71,"#,###,###.00")</f>
        <v>Claw Back Amount $ .00</v>
      </c>
      <c r="P52" s="1357"/>
      <c r="Q52" s="1358"/>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1216</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9" t="s">
        <v>1205</v>
      </c>
      <c r="B57" s="1360"/>
      <c r="C57" s="1360"/>
      <c r="D57" s="1361"/>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1165</v>
      </c>
      <c r="B60" s="791" t="str">
        <f>Incentives!G63</f>
        <v>NO</v>
      </c>
      <c r="C60" s="791"/>
      <c r="D60" s="141"/>
    </row>
    <row r="61" spans="1:23" x14ac:dyDescent="0.25">
      <c r="A61" s="140"/>
      <c r="B61" s="944" t="s">
        <v>1265</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1266</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9" t="s">
        <v>1252</v>
      </c>
      <c r="B66" s="1360"/>
      <c r="C66" s="1360"/>
      <c r="D66" s="1361"/>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1263</v>
      </c>
      <c r="B69" s="936">
        <f>Incentives!$M$71</f>
        <v>0</v>
      </c>
      <c r="C69" s="946" t="s">
        <v>1259</v>
      </c>
      <c r="D69" s="939">
        <f>Incentives!$G$71</f>
        <v>0</v>
      </c>
      <c r="E69" s="874"/>
      <c r="F69" s="791"/>
      <c r="G69" s="791"/>
      <c r="H69" s="902"/>
      <c r="M69" s="308"/>
      <c r="R69" s="308"/>
      <c r="W69" s="308"/>
    </row>
    <row r="70" spans="1:23" s="916" customFormat="1" x14ac:dyDescent="0.25">
      <c r="A70" s="945" t="s">
        <v>1260</v>
      </c>
      <c r="B70" s="937">
        <f>Incentives!$G$75</f>
        <v>0</v>
      </c>
      <c r="C70" s="947" t="s">
        <v>813</v>
      </c>
      <c r="D70" s="940">
        <f>Incentives!$I$75</f>
        <v>0</v>
      </c>
      <c r="E70" s="874"/>
      <c r="F70" s="791"/>
      <c r="G70" s="791"/>
      <c r="H70" s="902"/>
      <c r="M70" s="308"/>
      <c r="R70" s="308"/>
      <c r="W70" s="308"/>
    </row>
    <row r="71" spans="1:23" s="921" customFormat="1" x14ac:dyDescent="0.25">
      <c r="A71" s="945" t="s">
        <v>1261</v>
      </c>
      <c r="B71" s="938">
        <f>Incentives!$K$75</f>
        <v>0</v>
      </c>
      <c r="C71" s="947" t="s">
        <v>1262</v>
      </c>
      <c r="D71" s="939">
        <f>Incentives!$K$71</f>
        <v>0</v>
      </c>
      <c r="E71" s="874"/>
      <c r="F71" s="791"/>
      <c r="G71" s="791"/>
      <c r="H71" s="902"/>
      <c r="M71" s="308"/>
      <c r="R71" s="308"/>
      <c r="W71" s="308"/>
    </row>
    <row r="72" spans="1:23" s="916" customFormat="1" ht="15.75" thickBot="1" x14ac:dyDescent="0.3">
      <c r="A72" s="287"/>
      <c r="B72" s="288"/>
      <c r="C72" s="948" t="s">
        <v>1264</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9" t="str">
        <f>Incentives!G80</f>
        <v>CHECK Business Tools (General)</v>
      </c>
      <c r="B74" s="1360"/>
      <c r="C74" s="1360"/>
      <c r="D74" s="1360"/>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9" t="s">
        <v>1083</v>
      </c>
      <c r="B80" s="1360"/>
      <c r="C80" s="1360"/>
      <c r="D80" s="1361"/>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36" t="s">
        <v>740</v>
      </c>
      <c r="C2" s="1437"/>
      <c r="D2" s="1437"/>
      <c r="E2" s="1437"/>
      <c r="F2" s="1437"/>
      <c r="G2" s="1437"/>
      <c r="H2" s="1437"/>
      <c r="I2" s="1437"/>
      <c r="J2" s="1437"/>
      <c r="K2" s="1437"/>
      <c r="L2" s="1437"/>
      <c r="M2" s="1437"/>
      <c r="N2" s="1437"/>
      <c r="O2" s="1437"/>
      <c r="P2" s="1437"/>
      <c r="Q2" s="1437"/>
      <c r="R2" s="1437"/>
      <c r="S2" s="1437"/>
      <c r="T2" s="1437"/>
      <c r="U2" s="1437"/>
      <c r="V2" s="1437"/>
      <c r="W2" s="1437"/>
      <c r="X2" s="1437"/>
      <c r="Y2" s="1437"/>
      <c r="Z2" s="1437"/>
      <c r="AA2" s="1437"/>
      <c r="AB2" s="1437"/>
      <c r="AC2" s="1437"/>
      <c r="AD2" s="1437"/>
      <c r="AE2" s="1437"/>
      <c r="AF2" s="1437"/>
      <c r="AG2" s="1437"/>
      <c r="AH2" s="1437"/>
      <c r="AI2" s="1437"/>
      <c r="AJ2" s="1437"/>
      <c r="AK2" s="1437"/>
      <c r="AL2" s="1437"/>
      <c r="AM2" s="1437"/>
      <c r="AN2" s="1437"/>
      <c r="AO2" s="1437"/>
      <c r="AP2" s="1437"/>
      <c r="AQ2" s="1437"/>
      <c r="AR2" s="1437"/>
      <c r="AS2" s="1437"/>
      <c r="AT2" s="1437"/>
      <c r="AU2" s="1437"/>
      <c r="AV2" s="1437"/>
      <c r="AW2" s="1437"/>
      <c r="AX2" s="1437"/>
      <c r="AY2" s="1437"/>
      <c r="AZ2" s="1437"/>
      <c r="BA2" s="1437"/>
      <c r="BB2" s="1437"/>
      <c r="BC2" s="1437"/>
      <c r="BD2" s="1437"/>
      <c r="BE2" s="1437"/>
      <c r="BF2" s="1438"/>
    </row>
    <row r="3" spans="2:68" x14ac:dyDescent="0.25">
      <c r="B3" s="1439"/>
      <c r="C3" s="1440"/>
      <c r="D3" s="1440"/>
      <c r="E3" s="1440"/>
      <c r="F3" s="1440"/>
      <c r="G3" s="1440"/>
      <c r="H3" s="1440"/>
      <c r="I3" s="1440"/>
      <c r="J3" s="1440"/>
      <c r="K3" s="1440"/>
      <c r="L3" s="1440"/>
      <c r="M3" s="1440"/>
      <c r="N3" s="1440"/>
      <c r="O3" s="1440"/>
      <c r="P3" s="1440"/>
      <c r="Q3" s="1440"/>
      <c r="R3" s="1440"/>
      <c r="S3" s="1440"/>
      <c r="T3" s="1440"/>
      <c r="U3" s="1440"/>
      <c r="V3" s="1440"/>
      <c r="W3" s="1440"/>
      <c r="X3" s="1440"/>
      <c r="Y3" s="1440"/>
      <c r="Z3" s="1440"/>
      <c r="AA3" s="1440"/>
      <c r="AB3" s="1440"/>
      <c r="AC3" s="1440"/>
      <c r="AD3" s="1440"/>
      <c r="AE3" s="1440"/>
      <c r="AF3" s="1440"/>
      <c r="AG3" s="1440"/>
      <c r="AH3" s="1440"/>
      <c r="AI3" s="1440"/>
      <c r="AJ3" s="1440"/>
      <c r="AK3" s="1440"/>
      <c r="AL3" s="1440"/>
      <c r="AM3" s="1440"/>
      <c r="AN3" s="1440"/>
      <c r="AO3" s="1440"/>
      <c r="AP3" s="1440"/>
      <c r="AQ3" s="1440"/>
      <c r="AR3" s="1440"/>
      <c r="AS3" s="1440"/>
      <c r="AT3" s="1440"/>
      <c r="AU3" s="1440"/>
      <c r="AV3" s="1440"/>
      <c r="AW3" s="1440"/>
      <c r="AX3" s="1440"/>
      <c r="AY3" s="1440"/>
      <c r="AZ3" s="1440"/>
      <c r="BA3" s="1440"/>
      <c r="BB3" s="1440"/>
      <c r="BC3" s="1440"/>
      <c r="BD3" s="1440"/>
      <c r="BE3" s="1440"/>
      <c r="BF3" s="1441"/>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98" t="s">
        <v>667</v>
      </c>
      <c r="C8" s="1399"/>
      <c r="D8" s="1399"/>
      <c r="E8" s="1399"/>
      <c r="F8" s="1399"/>
      <c r="G8" s="1399"/>
      <c r="H8" s="1399"/>
      <c r="I8" s="1399"/>
      <c r="J8" s="1399"/>
      <c r="K8" s="1399"/>
      <c r="L8" s="1399"/>
      <c r="M8" s="1399"/>
      <c r="N8" s="1399"/>
      <c r="O8" s="1399"/>
      <c r="P8" s="1399"/>
      <c r="Q8" s="1399"/>
      <c r="R8" s="1399"/>
      <c r="S8" s="1399"/>
      <c r="T8" s="1399"/>
      <c r="U8" s="1399"/>
      <c r="V8" s="1399"/>
      <c r="W8" s="1399"/>
      <c r="X8" s="1399"/>
      <c r="Y8" s="1399"/>
      <c r="Z8" s="1399"/>
      <c r="AA8" s="1399"/>
      <c r="AB8" s="1399"/>
      <c r="AC8" s="1399"/>
      <c r="AD8" s="1399"/>
      <c r="AE8" s="1399"/>
      <c r="AF8" s="1399"/>
      <c r="AG8" s="1399"/>
      <c r="AH8" s="1399"/>
      <c r="AI8" s="1399"/>
      <c r="AJ8" s="1399"/>
      <c r="AK8" s="1399"/>
      <c r="AL8" s="1399"/>
      <c r="AM8" s="1399"/>
      <c r="AN8" s="1399"/>
      <c r="AO8" s="1399"/>
      <c r="AP8" s="1399"/>
      <c r="AQ8" s="1399"/>
      <c r="AR8" s="1399"/>
      <c r="AS8" s="1399"/>
      <c r="AT8" s="1399"/>
      <c r="AU8" s="1399"/>
      <c r="AV8" s="1399"/>
      <c r="AW8" s="1399"/>
      <c r="AX8" s="1399"/>
      <c r="AY8" s="1399"/>
      <c r="AZ8" s="1399"/>
      <c r="BA8" s="1399"/>
      <c r="BB8" s="1399"/>
      <c r="BC8" s="1399"/>
      <c r="BD8" s="1399"/>
      <c r="BE8" s="1399"/>
      <c r="BF8" s="1400"/>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5" t="s">
        <v>901</v>
      </c>
      <c r="C10" s="1351"/>
      <c r="D10" s="1351"/>
      <c r="E10" s="1351"/>
      <c r="F10" s="1351"/>
      <c r="G10" s="1351"/>
      <c r="H10" s="1351"/>
      <c r="I10" s="1351"/>
      <c r="J10" s="1351"/>
      <c r="K10" s="1446">
        <f>'Tracking &amp; Profitability'!$H$5</f>
        <v>0</v>
      </c>
      <c r="L10" s="1446"/>
      <c r="M10" s="1446"/>
      <c r="N10" s="1446"/>
      <c r="O10" s="1446"/>
      <c r="P10" s="1446"/>
      <c r="Q10" s="1446"/>
      <c r="R10" s="1446"/>
      <c r="S10" s="1446"/>
      <c r="T10" s="1446"/>
      <c r="U10" s="1446"/>
      <c r="V10" s="1446"/>
      <c r="W10" s="1446"/>
      <c r="X10" s="1446"/>
      <c r="Y10" s="1446"/>
      <c r="Z10" s="1446"/>
      <c r="AA10" s="1446"/>
      <c r="AB10" s="1446"/>
      <c r="AC10" s="1446"/>
      <c r="AD10" s="1446"/>
      <c r="AE10" s="1446"/>
      <c r="AI10" s="1351" t="s">
        <v>739</v>
      </c>
      <c r="AJ10" s="1351"/>
      <c r="AK10" s="1351"/>
      <c r="AL10" s="1351"/>
      <c r="AM10" s="1351"/>
      <c r="AN10" s="1351"/>
      <c r="AO10" s="1351"/>
      <c r="AP10" s="1351"/>
      <c r="AQ10" s="1351"/>
      <c r="AR10" s="1351"/>
      <c r="AT10" s="1454"/>
      <c r="AU10" s="1454"/>
      <c r="AV10" s="1454"/>
      <c r="AW10" s="1454"/>
      <c r="AX10" s="1454"/>
      <c r="AY10" s="1454"/>
      <c r="AZ10" s="1454"/>
      <c r="BA10" s="1454"/>
      <c r="BB10" s="1454"/>
      <c r="BC10" s="1454"/>
      <c r="BD10" s="1454"/>
      <c r="BF10" s="141"/>
    </row>
    <row r="11" spans="2:68" x14ac:dyDescent="0.25">
      <c r="B11" s="140"/>
      <c r="AL11" s="2"/>
      <c r="AM11" s="2"/>
      <c r="AN11" s="2"/>
      <c r="AO11" s="2"/>
      <c r="AP11" s="2"/>
      <c r="AQ11" s="2"/>
      <c r="AR11" s="2"/>
      <c r="AS11" s="2"/>
      <c r="AT11" s="2"/>
      <c r="AU11" s="2"/>
      <c r="AV11" s="2"/>
      <c r="BF11" s="141"/>
    </row>
    <row r="12" spans="2:68" x14ac:dyDescent="0.25">
      <c r="B12" s="1448" t="s">
        <v>902</v>
      </c>
      <c r="C12" s="1445"/>
      <c r="D12" s="1445"/>
      <c r="E12" s="1445"/>
      <c r="F12" s="1445"/>
      <c r="G12" s="1445"/>
      <c r="H12" s="1445"/>
      <c r="I12" s="1445"/>
      <c r="J12" s="1445"/>
      <c r="K12" s="1456">
        <f>'Required Info to Submit'!$F$4</f>
        <v>0</v>
      </c>
      <c r="L12" s="1456"/>
      <c r="M12" s="1456"/>
      <c r="N12" s="1456"/>
      <c r="O12" s="1456"/>
      <c r="P12" s="1456"/>
      <c r="Q12" s="1456"/>
      <c r="R12" s="1456"/>
      <c r="S12" s="1456"/>
      <c r="T12" s="1456"/>
      <c r="U12" s="1456"/>
      <c r="V12" s="1456"/>
      <c r="W12" s="1456"/>
      <c r="X12" s="1456"/>
      <c r="Y12" s="1456"/>
      <c r="Z12" s="1456"/>
      <c r="AA12" s="1456"/>
      <c r="AB12" s="1456"/>
      <c r="AC12" s="1456"/>
      <c r="AD12" s="1456"/>
      <c r="AE12" s="1456"/>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48" t="s">
        <v>924</v>
      </c>
      <c r="C14" s="1445"/>
      <c r="D14" s="1445"/>
      <c r="E14" s="1445"/>
      <c r="F14" s="1445"/>
      <c r="G14" s="1445"/>
      <c r="H14" s="1445"/>
      <c r="I14" s="1445"/>
      <c r="J14" s="1445"/>
      <c r="K14" s="1445"/>
      <c r="L14" s="1445"/>
      <c r="M14" s="1445"/>
      <c r="N14" s="1445"/>
      <c r="O14" s="1445"/>
      <c r="P14" s="1445"/>
      <c r="Q14" s="1445"/>
      <c r="R14" s="1447">
        <f>'Required Info to Submit'!$F$6</f>
        <v>0</v>
      </c>
      <c r="S14" s="1447"/>
      <c r="T14" s="1447"/>
      <c r="U14" s="1447"/>
      <c r="V14" s="1447"/>
      <c r="W14" s="1447"/>
      <c r="X14" s="1447"/>
      <c r="Y14" s="1447"/>
      <c r="Z14" s="1447"/>
      <c r="AA14" s="1447"/>
      <c r="AB14" s="1447"/>
      <c r="AC14" s="1447"/>
      <c r="AD14" s="1447"/>
      <c r="AE14" s="1447"/>
      <c r="AF14" s="1447"/>
      <c r="AG14" s="1447"/>
      <c r="AH14" s="1447"/>
      <c r="AI14" s="1447"/>
      <c r="AJ14" s="1447"/>
      <c r="AK14" s="1447"/>
      <c r="AL14" s="1447"/>
      <c r="AM14" s="1447"/>
      <c r="AN14" s="1447"/>
      <c r="AO14" s="1447"/>
      <c r="AP14" s="1447"/>
      <c r="AQ14" s="1447"/>
      <c r="AR14" s="1447"/>
      <c r="AS14" s="1447"/>
      <c r="AT14" s="1447"/>
      <c r="AU14" s="1447"/>
      <c r="AV14" s="1447"/>
      <c r="AW14" s="1447"/>
      <c r="AX14" s="1447"/>
      <c r="AY14" s="1447"/>
      <c r="AZ14" s="1447"/>
      <c r="BA14" s="1447"/>
      <c r="BB14" s="1447"/>
      <c r="BC14" s="1447"/>
      <c r="BD14" s="1447"/>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48" t="s">
        <v>738</v>
      </c>
      <c r="C16" s="1445"/>
      <c r="D16" s="1445"/>
      <c r="E16" s="1445"/>
      <c r="F16" s="1445"/>
      <c r="G16" s="1445"/>
      <c r="H16" s="1445"/>
      <c r="I16" s="1445"/>
      <c r="J16" s="1445"/>
      <c r="K16" s="1445"/>
      <c r="L16" s="1445"/>
      <c r="M16" s="1445"/>
      <c r="N16" s="1445"/>
      <c r="O16" s="1445"/>
      <c r="P16" s="1445"/>
      <c r="Q16" s="1445"/>
      <c r="R16" s="1456" t="s">
        <v>244</v>
      </c>
      <c r="S16" s="1456"/>
      <c r="T16" s="1440" t="s">
        <v>668</v>
      </c>
      <c r="U16" s="1440"/>
      <c r="V16" s="1440"/>
      <c r="W16" s="1440"/>
      <c r="X16" s="1440"/>
      <c r="Y16" s="1440"/>
      <c r="Z16" s="1440"/>
      <c r="AA16" s="1440"/>
      <c r="AB16" s="1440"/>
      <c r="AC16" s="1440"/>
      <c r="AD16" s="1440"/>
      <c r="AE16" s="1440"/>
      <c r="AF16" s="1440"/>
      <c r="AG16" s="1440"/>
      <c r="AH16" s="1440"/>
      <c r="AI16" s="1440"/>
      <c r="AJ16" s="1440"/>
      <c r="AK16" s="1440"/>
      <c r="AL16" s="1440"/>
      <c r="AO16" s="1440"/>
      <c r="AP16" s="1440"/>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9" t="s">
        <v>895</v>
      </c>
      <c r="C18" s="1450"/>
      <c r="D18" s="1450"/>
      <c r="E18" s="1450"/>
      <c r="F18" s="1450"/>
      <c r="G18" s="1450"/>
      <c r="H18" s="1450"/>
      <c r="I18" s="1450"/>
      <c r="J18" s="1450"/>
      <c r="K18" s="1450"/>
      <c r="L18" s="1450"/>
      <c r="M18" s="1450"/>
      <c r="N18" s="1450"/>
      <c r="O18" s="1450"/>
      <c r="P18" s="1450"/>
      <c r="Q18" s="1450"/>
      <c r="R18" s="1446">
        <f>'Required Info to Submit'!$F$8</f>
        <v>0</v>
      </c>
      <c r="S18" s="1446"/>
      <c r="T18" s="1446"/>
      <c r="U18" s="1446"/>
      <c r="V18" s="1446"/>
      <c r="W18" s="1446"/>
      <c r="X18" s="1446"/>
      <c r="Y18" s="1446"/>
      <c r="Z18" s="1446"/>
      <c r="AA18" s="1446"/>
      <c r="AB18" s="1446"/>
      <c r="AC18" s="1446"/>
      <c r="AD18" s="1446"/>
      <c r="AE18" s="1446"/>
      <c r="AF18" s="1446"/>
      <c r="AG18" s="1446"/>
      <c r="AH18" s="1446"/>
      <c r="AI18" s="1446"/>
      <c r="AJ18" s="1446"/>
      <c r="AK18" s="1446"/>
      <c r="AL18" s="1446"/>
      <c r="AN18" s="1445" t="s">
        <v>897</v>
      </c>
      <c r="AO18" s="1445"/>
      <c r="AP18" s="1445"/>
      <c r="AQ18" s="1445"/>
      <c r="AR18" s="1445"/>
      <c r="AS18" s="1445"/>
      <c r="AT18" s="1445"/>
      <c r="AU18" s="1445"/>
      <c r="AV18" s="1446">
        <f>'Required Info to Submit'!F10</f>
        <v>0</v>
      </c>
      <c r="AW18" s="1446"/>
      <c r="AX18" s="1446"/>
      <c r="AY18" s="1446"/>
      <c r="AZ18" s="1446"/>
      <c r="BA18" s="1446"/>
      <c r="BB18" s="1446"/>
      <c r="BC18" s="1446"/>
      <c r="BD18" s="1446"/>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48" t="s">
        <v>896</v>
      </c>
      <c r="C20" s="1445"/>
      <c r="D20" s="1445"/>
      <c r="E20" s="1445"/>
      <c r="F20" s="1445"/>
      <c r="G20" s="1445"/>
      <c r="H20" s="1445"/>
      <c r="I20" s="1445"/>
      <c r="J20" s="1445"/>
      <c r="K20" s="1445"/>
      <c r="L20" s="1445"/>
      <c r="M20" s="1445"/>
      <c r="N20" s="1445"/>
      <c r="O20" s="1445"/>
      <c r="P20" s="1445"/>
      <c r="Q20" s="1445"/>
      <c r="R20" s="1446">
        <f>'Required Info to Submit'!F9</f>
        <v>0</v>
      </c>
      <c r="S20" s="1446"/>
      <c r="T20" s="1446"/>
      <c r="U20" s="1446"/>
      <c r="V20" s="1446"/>
      <c r="W20" s="1446"/>
      <c r="X20" s="1446"/>
      <c r="Y20" s="1446"/>
      <c r="Z20" s="1446"/>
      <c r="AA20" s="1446"/>
      <c r="AB20" s="1446"/>
      <c r="AC20" s="1446"/>
      <c r="AD20" s="1446"/>
      <c r="AE20" s="1446"/>
      <c r="AF20" s="1446"/>
      <c r="AG20" s="1446"/>
      <c r="AH20" s="1446"/>
      <c r="AI20" s="1446"/>
      <c r="AJ20" s="1446"/>
      <c r="AK20" s="1446"/>
      <c r="AL20" s="1446"/>
      <c r="AN20" s="1445" t="s">
        <v>850</v>
      </c>
      <c r="AO20" s="1445"/>
      <c r="AP20" s="1445"/>
      <c r="AQ20" s="1445"/>
      <c r="AR20" s="1445"/>
      <c r="AS20" s="1445"/>
      <c r="AT20" s="1445"/>
      <c r="AU20" s="1445"/>
      <c r="AV20" s="1446">
        <f>'Required Info to Submit'!F11</f>
        <v>0</v>
      </c>
      <c r="AW20" s="1446"/>
      <c r="AX20" s="1446"/>
      <c r="AY20" s="1446"/>
      <c r="AZ20" s="1446"/>
      <c r="BA20" s="1446"/>
      <c r="BB20" s="1446"/>
      <c r="BC20" s="1446"/>
      <c r="BD20" s="1446"/>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48" t="s">
        <v>898</v>
      </c>
      <c r="C22" s="1445"/>
      <c r="D22" s="1445"/>
      <c r="E22" s="1445"/>
      <c r="F22" s="1445"/>
      <c r="G22" s="1445"/>
      <c r="H22" s="1445"/>
      <c r="I22" s="1445"/>
      <c r="J22" s="1445"/>
      <c r="K22" s="1445"/>
      <c r="L22" s="1445"/>
      <c r="M22" s="1445"/>
      <c r="N22" s="1445"/>
      <c r="O22" s="1445"/>
      <c r="P22" s="1445"/>
      <c r="Q22" s="1445"/>
      <c r="R22" s="1446">
        <f>'Required Info to Submit'!F12</f>
        <v>0</v>
      </c>
      <c r="S22" s="1446"/>
      <c r="T22" s="1446"/>
      <c r="U22" s="1446"/>
      <c r="V22" s="1446"/>
      <c r="W22" s="1446"/>
      <c r="X22" s="1446"/>
      <c r="Y22" s="1446"/>
      <c r="Z22" s="1446"/>
      <c r="AA22" s="1446"/>
      <c r="AB22" s="1446"/>
      <c r="AC22" s="1446"/>
      <c r="AD22" s="1446"/>
      <c r="AE22" s="1446"/>
      <c r="AF22" s="1446"/>
      <c r="AG22" s="1446"/>
      <c r="AH22" s="1446"/>
      <c r="AI22" s="1446"/>
      <c r="AJ22" s="1446"/>
      <c r="AK22" s="1446"/>
      <c r="AL22" s="1446"/>
      <c r="AN22" s="1445"/>
      <c r="AO22" s="1445"/>
      <c r="AP22" s="1445"/>
      <c r="AQ22" s="1445"/>
      <c r="AR22" s="1445"/>
      <c r="AS22" s="1445"/>
      <c r="AT22" s="1445"/>
      <c r="AU22" s="1445"/>
      <c r="AV22" s="1452"/>
      <c r="AW22" s="1452"/>
      <c r="AX22" s="1452"/>
      <c r="AY22" s="1452"/>
      <c r="AZ22" s="1452"/>
      <c r="BA22" s="1452"/>
      <c r="BB22" s="1452"/>
      <c r="BC22" s="1452"/>
      <c r="BD22" s="1452"/>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48" t="s">
        <v>899</v>
      </c>
      <c r="C24" s="1445"/>
      <c r="D24" s="1445"/>
      <c r="E24" s="1445"/>
      <c r="F24" s="1445"/>
      <c r="G24" s="1445"/>
      <c r="H24" s="1445"/>
      <c r="I24" s="1445"/>
      <c r="J24" s="1445"/>
      <c r="K24" s="1445"/>
      <c r="L24" s="1445"/>
      <c r="M24" s="1445"/>
      <c r="N24" s="1445"/>
      <c r="O24" s="1445"/>
      <c r="P24" s="1445"/>
      <c r="Q24" s="1445"/>
      <c r="R24" s="1457">
        <f>'Required Info to Submit'!$F$14</f>
        <v>0</v>
      </c>
      <c r="S24" s="1457"/>
      <c r="T24" s="1457"/>
      <c r="U24" s="1457"/>
      <c r="V24" s="1457"/>
      <c r="W24" s="1457"/>
      <c r="X24" s="1457"/>
      <c r="Y24" s="1457"/>
      <c r="Z24" s="1457"/>
      <c r="AA24" s="1457"/>
      <c r="AB24" s="1457"/>
      <c r="AC24" s="1457"/>
      <c r="AN24" s="1351" t="s">
        <v>903</v>
      </c>
      <c r="AO24" s="1351"/>
      <c r="AP24" s="1351"/>
      <c r="AQ24" s="1351"/>
      <c r="AR24" s="1351"/>
      <c r="AS24" s="1351"/>
      <c r="AT24" s="1351"/>
      <c r="AU24" s="1351"/>
      <c r="AV24" s="1453" t="e">
        <f>'Incentive Setup'!$S$4</f>
        <v>#VALUE!</v>
      </c>
      <c r="AW24" s="1453"/>
      <c r="AX24" s="1453"/>
      <c r="AY24" s="1453"/>
      <c r="AZ24" s="1453"/>
      <c r="BA24" s="1453"/>
      <c r="BB24" s="1453"/>
      <c r="BC24" s="1453"/>
      <c r="BD24" s="1453"/>
      <c r="BF24" s="141"/>
    </row>
    <row r="25" spans="2:68" ht="17.25" x14ac:dyDescent="0.25">
      <c r="B25" s="140"/>
      <c r="C25" s="298"/>
      <c r="D25" s="298"/>
      <c r="E25" s="298"/>
      <c r="F25" s="298"/>
      <c r="G25" s="298"/>
      <c r="H25" s="1451" t="s">
        <v>737</v>
      </c>
      <c r="I25" s="1451"/>
      <c r="J25" s="1451"/>
      <c r="K25" s="1451"/>
      <c r="L25" s="1451"/>
      <c r="M25" s="1451"/>
      <c r="N25" s="1451"/>
      <c r="O25" s="1451"/>
      <c r="P25" s="1451"/>
      <c r="Q25" s="298"/>
      <c r="AN25" s="1451" t="s">
        <v>736</v>
      </c>
      <c r="AO25" s="1451"/>
      <c r="AP25" s="1451"/>
      <c r="AQ25" s="1451"/>
      <c r="AR25" s="1451"/>
      <c r="AS25" s="1451"/>
      <c r="AT25" s="1451"/>
      <c r="BF25" s="141"/>
    </row>
    <row r="26" spans="2:68" ht="18.75" x14ac:dyDescent="0.3">
      <c r="B26" s="1398" t="s">
        <v>673</v>
      </c>
      <c r="C26" s="1399"/>
      <c r="D26" s="1399"/>
      <c r="E26" s="1399"/>
      <c r="F26" s="1399"/>
      <c r="G26" s="1399"/>
      <c r="H26" s="1399"/>
      <c r="I26" s="1399"/>
      <c r="J26" s="1399"/>
      <c r="K26" s="1399"/>
      <c r="L26" s="1399"/>
      <c r="M26" s="1399"/>
      <c r="N26" s="1399"/>
      <c r="O26" s="1399"/>
      <c r="P26" s="1399"/>
      <c r="Q26" s="1399"/>
      <c r="R26" s="1399"/>
      <c r="S26" s="1399"/>
      <c r="T26" s="1399"/>
      <c r="U26" s="1399"/>
      <c r="V26" s="1399"/>
      <c r="W26" s="1399"/>
      <c r="X26" s="1399"/>
      <c r="Y26" s="1399"/>
      <c r="Z26" s="1399"/>
      <c r="AA26" s="1399"/>
      <c r="AB26" s="1399"/>
      <c r="AC26" s="1399"/>
      <c r="AD26" s="1399"/>
      <c r="AE26" s="1399"/>
      <c r="AF26" s="1399"/>
      <c r="AG26" s="1399"/>
      <c r="AH26" s="1399"/>
      <c r="AI26" s="1399"/>
      <c r="AJ26" s="1399"/>
      <c r="AK26" s="1399"/>
      <c r="AL26" s="1399"/>
      <c r="AM26" s="1399"/>
      <c r="AN26" s="1399"/>
      <c r="AO26" s="1399"/>
      <c r="AP26" s="1399"/>
      <c r="AQ26" s="1399"/>
      <c r="AR26" s="1399"/>
      <c r="AS26" s="1399"/>
      <c r="AT26" s="1399"/>
      <c r="AU26" s="1399"/>
      <c r="AV26" s="1399"/>
      <c r="AW26" s="1399"/>
      <c r="AX26" s="1399"/>
      <c r="AY26" s="1399"/>
      <c r="AZ26" s="1399"/>
      <c r="BA26" s="1399"/>
      <c r="BB26" s="1399"/>
      <c r="BC26" s="1399"/>
      <c r="BD26" s="1399"/>
      <c r="BE26" s="1399"/>
      <c r="BF26" s="1400"/>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61" t="s">
        <v>674</v>
      </c>
      <c r="C28" s="1462"/>
      <c r="D28" s="1462"/>
      <c r="E28" s="1462"/>
      <c r="F28" s="1462"/>
      <c r="G28" s="1462"/>
      <c r="H28" s="1462"/>
      <c r="I28" s="1462"/>
      <c r="J28" s="1462"/>
      <c r="K28" s="1462"/>
      <c r="L28" s="1462"/>
      <c r="M28" s="1462"/>
      <c r="N28" s="1462"/>
      <c r="O28" s="1462"/>
      <c r="P28" s="1462"/>
      <c r="Q28" s="1462"/>
      <c r="T28" s="1458">
        <f>'Tracking &amp; Profitability'!$E$6</f>
        <v>0</v>
      </c>
      <c r="U28" s="1458"/>
      <c r="V28" s="1458"/>
      <c r="W28" s="1458"/>
      <c r="X28" s="1458"/>
      <c r="Y28" s="1458"/>
      <c r="Z28" s="1458"/>
      <c r="AA28" s="1458"/>
      <c r="AB28" s="1458"/>
      <c r="AF28" t="s">
        <v>735</v>
      </c>
      <c r="AO28" s="1456">
        <v>5</v>
      </c>
      <c r="AP28" s="1456"/>
      <c r="AQ28" s="1456"/>
      <c r="AR28" s="1440" t="s">
        <v>675</v>
      </c>
      <c r="AS28" s="1440"/>
      <c r="AU28" s="1456">
        <v>5</v>
      </c>
      <c r="AV28" s="1456"/>
      <c r="AW28" s="1456"/>
      <c r="AX28" s="1440" t="s">
        <v>734</v>
      </c>
      <c r="AY28" s="1440"/>
      <c r="BA28" s="1456">
        <v>5</v>
      </c>
      <c r="BB28" s="1456"/>
      <c r="BC28" s="1456"/>
      <c r="BD28" s="1440" t="s">
        <v>676</v>
      </c>
      <c r="BE28" s="1440"/>
      <c r="BF28" s="141"/>
    </row>
    <row r="29" spans="2:68" ht="17.25" x14ac:dyDescent="0.25">
      <c r="B29" s="140"/>
      <c r="T29" s="137"/>
      <c r="U29" s="137"/>
      <c r="V29" s="137"/>
      <c r="W29" s="137"/>
      <c r="X29" s="137"/>
      <c r="Y29" s="137"/>
      <c r="Z29" s="137"/>
      <c r="AA29" s="137"/>
      <c r="AB29" s="137"/>
      <c r="AF29" s="1451" t="s">
        <v>733</v>
      </c>
      <c r="AG29" s="1451"/>
      <c r="AH29" s="1451"/>
      <c r="AI29" s="1451"/>
      <c r="AJ29" s="1451"/>
      <c r="AK29" s="1451"/>
      <c r="AL29" s="1451"/>
      <c r="AM29" s="1451"/>
      <c r="AN29" s="1451"/>
      <c r="AO29" s="1451"/>
      <c r="AP29" s="1451"/>
      <c r="AQ29" s="1451"/>
      <c r="AR29" s="1451"/>
      <c r="AS29" s="1451"/>
      <c r="AT29" s="1451"/>
      <c r="AU29" s="1451"/>
      <c r="AV29" s="1451"/>
      <c r="AW29" s="1451"/>
      <c r="AX29" s="1451"/>
      <c r="AY29" s="1451"/>
      <c r="AZ29" s="1451"/>
      <c r="BA29" s="1451"/>
      <c r="BB29" s="1451"/>
      <c r="BC29" s="1451"/>
      <c r="BD29" s="1451"/>
      <c r="BE29" s="1451"/>
      <c r="BF29" s="141"/>
    </row>
    <row r="30" spans="2:68" x14ac:dyDescent="0.25">
      <c r="B30" s="1455" t="s">
        <v>730</v>
      </c>
      <c r="C30" s="1351"/>
      <c r="D30" s="1351"/>
      <c r="E30" s="1351"/>
      <c r="F30" s="1351"/>
      <c r="G30" s="1351"/>
      <c r="H30" s="1351"/>
      <c r="I30" s="1351"/>
      <c r="J30" s="1351"/>
      <c r="K30" s="1351"/>
      <c r="L30" s="1351"/>
      <c r="M30" s="1351"/>
      <c r="N30" s="1351"/>
      <c r="O30" s="1351"/>
      <c r="P30" s="1351"/>
      <c r="Q30" s="1351"/>
      <c r="T30" s="1465">
        <v>1</v>
      </c>
      <c r="U30" s="1465"/>
      <c r="V30" s="1465"/>
      <c r="W30" s="1465"/>
      <c r="AF30" s="1362" t="s">
        <v>732</v>
      </c>
      <c r="AG30" s="1362"/>
      <c r="AH30" s="1362"/>
      <c r="AI30" s="1362"/>
      <c r="AJ30" s="1362"/>
      <c r="AK30" s="1362"/>
      <c r="AL30" s="1362"/>
      <c r="AM30" s="1362"/>
      <c r="AN30" s="1362"/>
      <c r="AO30" s="1362"/>
      <c r="AP30" s="1456" t="s">
        <v>1070</v>
      </c>
      <c r="AQ30" s="1456"/>
      <c r="AR30" s="1456"/>
      <c r="AT30" s="1362" t="s">
        <v>731</v>
      </c>
      <c r="AU30" s="1362"/>
      <c r="AV30" s="1362"/>
      <c r="AW30" s="1362"/>
      <c r="AX30" s="1362"/>
      <c r="AY30" s="1362"/>
      <c r="AZ30" s="1362"/>
      <c r="BA30" s="1362"/>
      <c r="BB30" s="1362"/>
      <c r="BC30" s="1362"/>
      <c r="BF30" s="141"/>
    </row>
    <row r="31" spans="2:68" x14ac:dyDescent="0.25">
      <c r="B31" s="140"/>
      <c r="BF31" s="141"/>
      <c r="BP31" s="297"/>
    </row>
    <row r="32" spans="2:68" x14ac:dyDescent="0.25">
      <c r="B32" s="1455" t="s">
        <v>727</v>
      </c>
      <c r="C32" s="1351"/>
      <c r="D32" s="1351"/>
      <c r="E32" s="1351"/>
      <c r="F32" s="1351"/>
      <c r="G32" s="1351"/>
      <c r="H32" s="1351"/>
      <c r="I32" s="1351"/>
      <c r="J32" s="1351"/>
      <c r="K32" s="1351"/>
      <c r="L32" s="1351"/>
      <c r="M32" s="1351"/>
      <c r="N32" s="1351"/>
      <c r="O32" s="1351"/>
      <c r="P32" s="1351"/>
      <c r="Q32" s="1351"/>
      <c r="T32" s="1459" t="s">
        <v>1044</v>
      </c>
      <c r="U32" s="1459"/>
      <c r="V32" s="1459"/>
      <c r="W32" s="1459"/>
      <c r="X32" s="1459"/>
      <c r="Y32" s="1459"/>
      <c r="Z32" s="1459"/>
      <c r="AA32" s="1459"/>
      <c r="AB32" s="1459"/>
      <c r="AC32" s="1459"/>
      <c r="AD32" s="1459"/>
      <c r="AE32" s="1459"/>
      <c r="AF32" s="1459"/>
      <c r="AG32" s="1459"/>
      <c r="AH32" s="1459"/>
      <c r="AI32" s="1459"/>
      <c r="AJ32" s="1459"/>
      <c r="AK32" s="1459"/>
      <c r="AL32" s="1459"/>
      <c r="AM32" s="1459"/>
      <c r="AN32" s="1459"/>
      <c r="AO32" s="1459"/>
      <c r="BF32" s="141"/>
    </row>
    <row r="33" spans="2:92" x14ac:dyDescent="0.25">
      <c r="B33" s="140"/>
      <c r="BF33" s="141"/>
    </row>
    <row r="34" spans="2:92" x14ac:dyDescent="0.25">
      <c r="B34" s="140"/>
      <c r="C34" s="85"/>
      <c r="D34" s="85"/>
      <c r="E34" s="85"/>
      <c r="F34" s="85"/>
      <c r="G34" s="85"/>
      <c r="H34" s="85"/>
      <c r="I34" s="1456"/>
      <c r="J34" s="1456"/>
      <c r="K34" s="1440" t="s">
        <v>492</v>
      </c>
      <c r="L34" s="1440"/>
      <c r="M34" s="1440"/>
      <c r="N34" s="1440"/>
      <c r="O34" s="1440"/>
      <c r="P34" s="1440"/>
      <c r="Q34" s="1440"/>
      <c r="R34" s="1456" t="s">
        <v>244</v>
      </c>
      <c r="S34" s="1456"/>
      <c r="T34" s="1440" t="s">
        <v>491</v>
      </c>
      <c r="U34" s="1440"/>
      <c r="V34" s="1440"/>
      <c r="W34" s="1440"/>
      <c r="X34" s="1456"/>
      <c r="Y34" s="1456"/>
      <c r="Z34" s="1440" t="s">
        <v>490</v>
      </c>
      <c r="AA34" s="1440"/>
      <c r="AB34" s="1440"/>
      <c r="AF34" t="s">
        <v>729</v>
      </c>
      <c r="AL34" s="1456">
        <v>5</v>
      </c>
      <c r="AM34" s="1456"/>
      <c r="AN34" s="1456"/>
      <c r="AO34" t="s">
        <v>728</v>
      </c>
      <c r="BF34" s="141"/>
    </row>
    <row r="35" spans="2:92" x14ac:dyDescent="0.25">
      <c r="B35" s="140"/>
      <c r="BF35" s="141"/>
      <c r="BP35" s="299"/>
      <c r="CN35" s="297"/>
    </row>
    <row r="36" spans="2:92" x14ac:dyDescent="0.25">
      <c r="B36" s="1461" t="s">
        <v>726</v>
      </c>
      <c r="C36" s="1462"/>
      <c r="D36" s="1462"/>
      <c r="E36" s="1462"/>
      <c r="F36" s="1462"/>
      <c r="G36" s="1462"/>
      <c r="H36" s="1462"/>
      <c r="I36" s="1462"/>
      <c r="J36" s="1462"/>
      <c r="K36" s="1462"/>
      <c r="L36" s="1462"/>
      <c r="M36" s="1462"/>
      <c r="N36" s="1462"/>
      <c r="O36" s="1462"/>
      <c r="P36" s="1462"/>
      <c r="Q36" s="1462"/>
      <c r="R36" s="1462"/>
      <c r="T36" s="1471" t="str">
        <f>IFERROR($T$28/('Tracking &amp; Profitability'!$E$7*52*Welcome!$D$14),"Error on A La Carte")</f>
        <v>Error on A La Carte</v>
      </c>
      <c r="U36" s="1471"/>
      <c r="V36" s="1471"/>
      <c r="W36" s="1471"/>
      <c r="X36" s="1471"/>
      <c r="Y36" s="1471"/>
      <c r="Z36" s="1471"/>
      <c r="AA36" s="1471"/>
      <c r="AB36" s="1471"/>
      <c r="AF36" s="1462" t="s">
        <v>487</v>
      </c>
      <c r="AG36" s="1462"/>
      <c r="AH36" s="1462"/>
      <c r="AI36" s="1462"/>
      <c r="AJ36" s="1462"/>
      <c r="AK36" s="1462"/>
      <c r="AL36" s="1462"/>
      <c r="AM36" s="1462"/>
      <c r="AN36" s="1462"/>
      <c r="AO36" s="1462"/>
      <c r="AP36" s="1462"/>
      <c r="AQ36" s="1462"/>
      <c r="AR36" s="1462"/>
      <c r="AS36" s="1462"/>
      <c r="AU36" s="1456" t="e">
        <f>ROUND(((1-(('PIM Model'!$G$15+'PIM Model'!$G$17+'PIM Model'!$G$18)/'PIM Model'!$G$31))*100),0)&amp;"%/"&amp;ROUND((('PIM Model'!$G$15+'PIM Model'!$G$17+'PIM Model'!$G$18)/'PIM Model'!$G$31*100),0)&amp;"%"</f>
        <v>#DIV/0!</v>
      </c>
      <c r="AV36" s="1456"/>
      <c r="AW36" s="1456"/>
      <c r="AX36" s="1456"/>
      <c r="AY36" s="1456"/>
      <c r="AZ36" s="1456"/>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61" t="s">
        <v>724</v>
      </c>
      <c r="C38" s="1462"/>
      <c r="D38" s="1462"/>
      <c r="E38" s="1462"/>
      <c r="F38" s="1462"/>
      <c r="G38" s="1462"/>
      <c r="H38" s="1462"/>
      <c r="I38" s="1462"/>
      <c r="J38" s="1462"/>
      <c r="K38" s="1462"/>
      <c r="L38" s="1462"/>
      <c r="M38" s="1462"/>
      <c r="N38" s="1462"/>
      <c r="O38" s="1462"/>
      <c r="P38" s="1462"/>
      <c r="Q38" s="1462"/>
      <c r="R38" s="1462"/>
      <c r="T38" s="1472" t="str">
        <f>IFERROR('PIM Model'!$H$31/('PIM Model'!$E$6*52*Welcome!$D$14),"Error on A La Carte")</f>
        <v>Error on A La Carte</v>
      </c>
      <c r="U38" s="1472"/>
      <c r="V38" s="1472"/>
      <c r="W38" s="1472"/>
      <c r="X38" s="1472"/>
      <c r="Y38" s="1472"/>
      <c r="Z38" s="1472"/>
      <c r="AA38" s="1472"/>
      <c r="AB38" s="1472"/>
      <c r="AC38" s="300"/>
      <c r="AD38" s="300"/>
      <c r="AF38" s="1351" t="s">
        <v>677</v>
      </c>
      <c r="AG38" s="1351"/>
      <c r="AH38" s="1351"/>
      <c r="AI38" s="1351"/>
      <c r="AJ38" s="1351"/>
      <c r="AK38" s="1351"/>
      <c r="AL38" s="1351"/>
      <c r="AM38" s="1351"/>
      <c r="AN38" s="1351"/>
      <c r="AO38" s="1351"/>
      <c r="AP38" s="1351"/>
      <c r="AQ38" s="1351"/>
      <c r="AR38" s="1351"/>
      <c r="AS38" s="1351"/>
      <c r="AU38" s="1456">
        <f>COUNTIF('PIM Model'!$E$10:$E$30,"Include")</f>
        <v>21</v>
      </c>
      <c r="AV38" s="1456"/>
      <c r="AW38" s="1456"/>
      <c r="AX38" s="1456"/>
      <c r="AY38" s="1456"/>
      <c r="AZ38" s="1456"/>
      <c r="BF38" s="141"/>
    </row>
    <row r="39" spans="2:92" x14ac:dyDescent="0.25">
      <c r="B39" s="140"/>
      <c r="BF39" s="141"/>
    </row>
    <row r="40" spans="2:92" x14ac:dyDescent="0.25">
      <c r="B40" s="1461" t="s">
        <v>722</v>
      </c>
      <c r="C40" s="1462"/>
      <c r="D40" s="1462"/>
      <c r="E40" s="1462"/>
      <c r="F40" s="1462"/>
      <c r="G40" s="1462"/>
      <c r="H40" s="1462"/>
      <c r="I40" s="1462"/>
      <c r="J40" s="1462"/>
      <c r="K40" s="1462"/>
      <c r="L40" s="1462"/>
      <c r="M40" s="1462"/>
      <c r="N40" s="1462"/>
      <c r="O40" s="1462"/>
      <c r="P40" s="1462"/>
      <c r="Q40" s="1462"/>
      <c r="R40" s="1462"/>
      <c r="T40" s="1458">
        <f>IFERROR('PIM Model'!$G$31/'PIM Model'!$H$31,0)</f>
        <v>0</v>
      </c>
      <c r="U40" s="1458"/>
      <c r="V40" s="1458"/>
      <c r="W40" s="1458"/>
      <c r="X40" s="1458"/>
      <c r="Y40" s="1458"/>
      <c r="Z40" s="1458"/>
      <c r="AA40" s="1458"/>
      <c r="AB40" s="1458"/>
      <c r="AF40" s="1351" t="s">
        <v>725</v>
      </c>
      <c r="AG40" s="1351"/>
      <c r="AH40" s="1351"/>
      <c r="AI40" s="1351"/>
      <c r="AJ40" s="1351"/>
      <c r="AK40" s="1351"/>
      <c r="AL40" s="1351"/>
      <c r="AM40" s="1351"/>
      <c r="AN40" s="1351"/>
      <c r="AO40" s="1351"/>
      <c r="AP40" s="1351"/>
      <c r="AQ40" s="1351"/>
      <c r="AR40" s="1351"/>
      <c r="AS40" s="1351"/>
      <c r="AU40" s="1456">
        <f>$AO$28+$AU$28+$BA$28</f>
        <v>15</v>
      </c>
      <c r="AV40" s="1456"/>
      <c r="AW40" s="1456"/>
      <c r="BC40" s="1440"/>
      <c r="BD40" s="1440"/>
      <c r="BE40" s="1440"/>
      <c r="BF40" s="141"/>
    </row>
    <row r="41" spans="2:92" x14ac:dyDescent="0.25">
      <c r="B41" s="140"/>
      <c r="BF41" s="141"/>
      <c r="BP41" s="297"/>
      <c r="CN41" s="299"/>
    </row>
    <row r="42" spans="2:92" x14ac:dyDescent="0.25">
      <c r="B42" s="1455" t="s">
        <v>720</v>
      </c>
      <c r="C42" s="1351"/>
      <c r="D42" s="1351"/>
      <c r="E42" s="1351"/>
      <c r="F42" s="1351"/>
      <c r="G42" s="1351"/>
      <c r="H42" s="1351"/>
      <c r="I42" s="1351"/>
      <c r="J42" s="1351"/>
      <c r="K42" s="1351"/>
      <c r="L42" s="1351"/>
      <c r="M42" s="1351"/>
      <c r="N42" s="1351"/>
      <c r="O42" s="1351"/>
      <c r="P42" s="1351"/>
      <c r="Q42" s="1351"/>
      <c r="R42" s="1351"/>
      <c r="T42" s="1458" t="s">
        <v>778</v>
      </c>
      <c r="U42" s="1458"/>
      <c r="V42" s="1458"/>
      <c r="W42" s="1458"/>
      <c r="X42" s="1458"/>
      <c r="Y42" s="1458"/>
      <c r="Z42" s="1458"/>
      <c r="AA42" s="1458"/>
      <c r="AB42" s="1458"/>
      <c r="AF42" s="1351" t="s">
        <v>723</v>
      </c>
      <c r="AG42" s="1351"/>
      <c r="AH42" s="1351"/>
      <c r="AI42" s="1351"/>
      <c r="AJ42" s="1351"/>
      <c r="AK42" s="1351"/>
      <c r="AL42" s="1351"/>
      <c r="AM42" s="1351"/>
      <c r="AN42" s="1351"/>
      <c r="AO42" s="1351"/>
      <c r="AP42" s="1351"/>
      <c r="AQ42" s="1351"/>
      <c r="AR42" s="1351"/>
      <c r="AS42" s="1351"/>
      <c r="AU42" s="1456" t="s">
        <v>669</v>
      </c>
      <c r="AV42" s="1456"/>
      <c r="AW42" s="1456"/>
      <c r="BC42" s="1440"/>
      <c r="BD42" s="1440"/>
      <c r="BE42" s="1440"/>
      <c r="BF42" s="141"/>
    </row>
    <row r="43" spans="2:92" x14ac:dyDescent="0.25">
      <c r="B43" s="140"/>
      <c r="BF43" s="141"/>
      <c r="BP43" s="297"/>
      <c r="CN43" s="299"/>
    </row>
    <row r="44" spans="2:92" x14ac:dyDescent="0.25">
      <c r="B44" s="1461" t="s">
        <v>718</v>
      </c>
      <c r="C44" s="1462"/>
      <c r="D44" s="1462"/>
      <c r="E44" s="1462"/>
      <c r="F44" s="1462"/>
      <c r="G44" s="1462"/>
      <c r="H44" s="1462"/>
      <c r="I44" s="1462"/>
      <c r="J44" s="1462"/>
      <c r="K44" s="1462"/>
      <c r="L44" s="1462"/>
      <c r="M44" s="1462"/>
      <c r="N44" s="1462"/>
      <c r="O44" s="1462"/>
      <c r="P44" s="1462"/>
      <c r="Q44" s="1462"/>
      <c r="R44" s="1462"/>
      <c r="T44" s="1464">
        <f>'Tracking &amp; Profitability'!$E$7</f>
        <v>0</v>
      </c>
      <c r="U44" s="1464"/>
      <c r="V44" s="1464"/>
      <c r="W44" s="1464"/>
      <c r="X44" s="1464"/>
      <c r="Y44" s="1464"/>
      <c r="Z44" s="1464"/>
      <c r="AA44" s="1464"/>
      <c r="AB44" s="1464"/>
      <c r="AF44" s="1351" t="s">
        <v>721</v>
      </c>
      <c r="AG44" s="1351"/>
      <c r="AH44" s="1351"/>
      <c r="AI44" s="1351"/>
      <c r="AJ44" s="1351"/>
      <c r="AK44" s="1351"/>
      <c r="AL44" s="1351"/>
      <c r="AM44" s="1351"/>
      <c r="AN44" s="1351"/>
      <c r="AO44" s="1351"/>
      <c r="AP44" s="1351"/>
      <c r="AQ44" s="1351"/>
      <c r="AR44" s="1351"/>
      <c r="AS44" s="1351"/>
      <c r="AU44" s="1456" t="s">
        <v>669</v>
      </c>
      <c r="AV44" s="1456"/>
      <c r="AW44" s="1456"/>
      <c r="BC44" s="1440"/>
      <c r="BD44" s="1440"/>
      <c r="BE44" s="1440"/>
      <c r="BF44" s="141"/>
    </row>
    <row r="45" spans="2:92" x14ac:dyDescent="0.25">
      <c r="B45" s="140"/>
      <c r="BF45" s="141"/>
      <c r="CN45" s="299"/>
    </row>
    <row r="46" spans="2:92" x14ac:dyDescent="0.25">
      <c r="B46" s="1466" t="s">
        <v>678</v>
      </c>
      <c r="C46" s="1467"/>
      <c r="D46" s="1467"/>
      <c r="E46" s="1467"/>
      <c r="F46" s="1467"/>
      <c r="G46" s="1467"/>
      <c r="H46" s="1467"/>
      <c r="I46" s="1467"/>
      <c r="J46" s="1467"/>
      <c r="K46" s="1467"/>
      <c r="L46" s="1467"/>
      <c r="M46" s="1467"/>
      <c r="N46" s="1467"/>
      <c r="O46" s="1467"/>
      <c r="P46" s="1467"/>
      <c r="Q46" s="1467"/>
      <c r="R46" s="1467"/>
      <c r="T46" s="1446">
        <v>150</v>
      </c>
      <c r="U46" s="1446"/>
      <c r="V46" s="1446"/>
      <c r="W46" s="1446"/>
      <c r="X46" s="1446"/>
      <c r="Y46" s="1446"/>
      <c r="Z46" s="1446"/>
      <c r="AA46" s="1446"/>
      <c r="AB46" s="1446"/>
      <c r="AF46" s="1460" t="s">
        <v>719</v>
      </c>
      <c r="AG46" s="1460"/>
      <c r="AH46" s="1460"/>
      <c r="AI46" s="1460"/>
      <c r="AJ46" s="1460"/>
      <c r="AK46" s="1460"/>
      <c r="AL46" s="1460"/>
      <c r="AM46" s="1460"/>
      <c r="AN46" s="1460"/>
      <c r="AO46" s="1460"/>
      <c r="AP46" s="1460"/>
      <c r="AQ46" s="1460"/>
      <c r="AR46" s="1460"/>
      <c r="AS46" s="1460"/>
      <c r="AU46" s="1476">
        <v>0.3</v>
      </c>
      <c r="AV46" s="1476"/>
      <c r="AW46" s="1476"/>
      <c r="AX46" s="1476"/>
      <c r="AY46" s="1476"/>
      <c r="AZ46" s="1476"/>
      <c r="BF46" s="141"/>
    </row>
    <row r="47" spans="2:92" x14ac:dyDescent="0.25">
      <c r="B47" s="140"/>
      <c r="BF47" s="141"/>
      <c r="CN47" s="299"/>
    </row>
    <row r="48" spans="2:92" x14ac:dyDescent="0.25">
      <c r="B48" s="1461" t="s">
        <v>488</v>
      </c>
      <c r="C48" s="1462"/>
      <c r="D48" s="1462"/>
      <c r="E48" s="1462"/>
      <c r="F48" s="1462"/>
      <c r="G48" s="1462"/>
      <c r="H48" s="1462"/>
      <c r="I48" s="1462"/>
      <c r="J48" s="1462"/>
      <c r="K48" s="1462"/>
      <c r="L48" s="1462"/>
      <c r="M48" s="1462"/>
      <c r="N48" s="1462"/>
      <c r="O48" s="1462"/>
      <c r="P48" s="1462"/>
      <c r="Q48" s="1462"/>
      <c r="R48" s="1462"/>
      <c r="T48" s="1446">
        <f>$K$10</f>
        <v>0</v>
      </c>
      <c r="U48" s="1446"/>
      <c r="V48" s="1446"/>
      <c r="W48" s="1446"/>
      <c r="X48" s="1446"/>
      <c r="Y48" s="1446"/>
      <c r="Z48" s="1446"/>
      <c r="AA48" s="1446"/>
      <c r="AB48" s="1446"/>
      <c r="AF48" s="1460" t="s">
        <v>717</v>
      </c>
      <c r="AG48" s="1460"/>
      <c r="AH48" s="1460"/>
      <c r="AI48" s="1460"/>
      <c r="AJ48" s="1460"/>
      <c r="AK48" s="1460"/>
      <c r="AL48" s="1460"/>
      <c r="AM48" s="1460"/>
      <c r="AN48" s="1460"/>
      <c r="AO48" s="1460"/>
      <c r="AP48" s="1460"/>
      <c r="AQ48" s="1460"/>
      <c r="AR48" s="1460"/>
      <c r="AS48" s="1460"/>
      <c r="AU48" s="1480">
        <v>2.25</v>
      </c>
      <c r="AV48" s="1481"/>
      <c r="AW48" s="1481"/>
      <c r="AX48" s="1481"/>
      <c r="AY48" s="1481"/>
      <c r="AZ48" s="1481"/>
      <c r="BF48" s="141"/>
    </row>
    <row r="49" spans="2:92" x14ac:dyDescent="0.25">
      <c r="B49" s="140"/>
      <c r="BF49" s="141"/>
      <c r="CN49" s="299"/>
    </row>
    <row r="50" spans="2:92" x14ac:dyDescent="0.25">
      <c r="B50" s="1470" t="s">
        <v>716</v>
      </c>
      <c r="C50" s="1460"/>
      <c r="D50" s="1460"/>
      <c r="E50" s="1460"/>
      <c r="F50" s="1460"/>
      <c r="G50" s="1460"/>
      <c r="H50" s="1460"/>
      <c r="I50" s="1460"/>
      <c r="J50" s="1460"/>
      <c r="K50" s="1460"/>
      <c r="L50" s="1460"/>
      <c r="M50" s="1460"/>
      <c r="N50" s="1460"/>
      <c r="O50" s="1460"/>
      <c r="P50" s="1460"/>
      <c r="Q50" s="1460"/>
      <c r="R50" s="1460"/>
      <c r="T50" s="1468">
        <v>500</v>
      </c>
      <c r="U50" s="1468"/>
      <c r="V50" s="1468"/>
      <c r="W50" s="1468"/>
      <c r="X50" s="1468"/>
      <c r="Y50" s="1468"/>
      <c r="Z50" s="1351" t="s">
        <v>715</v>
      </c>
      <c r="AA50" s="1351"/>
      <c r="AB50" s="1351"/>
      <c r="AC50" s="1468">
        <v>35</v>
      </c>
      <c r="AD50" s="1468"/>
      <c r="AE50" s="1468"/>
      <c r="AF50" s="1468"/>
      <c r="AG50" s="1468"/>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73" t="s">
        <v>699</v>
      </c>
      <c r="C53" s="1474"/>
      <c r="D53" s="1474"/>
      <c r="E53" s="1474"/>
      <c r="F53" s="1474"/>
      <c r="G53" s="1474"/>
      <c r="H53" s="1474"/>
      <c r="I53" s="1474"/>
      <c r="J53" s="1474"/>
      <c r="K53" s="1474"/>
      <c r="L53" s="1474"/>
      <c r="M53" s="1474"/>
      <c r="N53" s="1474"/>
      <c r="O53" s="1474"/>
      <c r="P53" s="1474"/>
      <c r="Q53" s="1474"/>
      <c r="R53" s="1474"/>
      <c r="S53" s="1474"/>
      <c r="T53" s="1474"/>
      <c r="U53" s="1474"/>
      <c r="V53" s="1474"/>
      <c r="W53" s="1474"/>
      <c r="X53" s="1474"/>
      <c r="Y53" s="1474"/>
      <c r="Z53" s="1474"/>
      <c r="AA53" s="1474"/>
      <c r="AB53" s="1474"/>
      <c r="AC53" s="1474"/>
      <c r="AD53" s="1474"/>
      <c r="AE53" s="1474"/>
      <c r="AF53" s="1474"/>
      <c r="AG53" s="1474"/>
      <c r="AH53" s="1474"/>
      <c r="AI53" s="1474"/>
      <c r="AJ53" s="1474"/>
      <c r="AK53" s="1474"/>
      <c r="AL53" s="1474"/>
      <c r="AM53" s="1474"/>
      <c r="AN53" s="1474"/>
      <c r="AO53" s="1474"/>
      <c r="AP53" s="1474"/>
      <c r="AQ53" s="1474"/>
      <c r="AR53" s="1474"/>
      <c r="AS53" s="1474"/>
      <c r="AT53" s="1474"/>
      <c r="AU53" s="1474"/>
      <c r="AV53" s="1474"/>
      <c r="AW53" s="1474"/>
      <c r="AX53" s="1474"/>
      <c r="AY53" s="1474"/>
      <c r="AZ53" s="1474"/>
      <c r="BA53" s="1474"/>
      <c r="BB53" s="1474"/>
      <c r="BC53" s="1474"/>
      <c r="BD53" s="1474"/>
      <c r="BE53" s="1474"/>
      <c r="BF53" s="1475"/>
    </row>
    <row r="54" spans="2:92" x14ac:dyDescent="0.25">
      <c r="B54" s="1477" t="s">
        <v>714</v>
      </c>
      <c r="C54" s="1478"/>
      <c r="D54" s="1478"/>
      <c r="E54" s="1478"/>
      <c r="F54" s="1478"/>
      <c r="G54" s="1478"/>
      <c r="H54" s="1478"/>
      <c r="I54" s="1478"/>
      <c r="J54" s="1478"/>
      <c r="K54" s="1478"/>
      <c r="L54" s="1478"/>
      <c r="M54" s="1478"/>
      <c r="N54" s="1478"/>
      <c r="O54" s="1478"/>
      <c r="P54" s="1478"/>
      <c r="Q54" s="1478"/>
      <c r="R54" s="1478"/>
      <c r="S54" s="1478"/>
      <c r="T54" s="1478"/>
      <c r="U54" s="1478"/>
      <c r="V54" s="1478"/>
      <c r="W54" s="1478"/>
      <c r="X54" s="1478"/>
      <c r="Y54" s="1478"/>
      <c r="Z54" s="1478"/>
      <c r="AA54" s="1478"/>
      <c r="AB54" s="1478"/>
      <c r="AC54" s="1478"/>
      <c r="AD54" s="1478"/>
      <c r="AE54" s="1478"/>
      <c r="AF54" s="1478"/>
      <c r="AG54" s="1478"/>
      <c r="AH54" s="1478"/>
      <c r="AI54" s="1478"/>
      <c r="AJ54" s="1478"/>
      <c r="AK54" s="1478"/>
      <c r="AL54" s="1478"/>
      <c r="AM54" s="1478"/>
      <c r="AN54" s="1478"/>
      <c r="AO54" s="1478"/>
      <c r="AP54" s="1478"/>
      <c r="AQ54" s="1478"/>
      <c r="AR54" s="1478"/>
      <c r="AS54" s="1478"/>
      <c r="AT54" s="1478"/>
      <c r="AU54" s="1478"/>
      <c r="AV54" s="1478"/>
      <c r="AW54" s="1478"/>
      <c r="AX54" s="1478"/>
      <c r="AY54" s="1478"/>
      <c r="AZ54" s="1478"/>
      <c r="BA54" s="1478"/>
      <c r="BB54" s="1478"/>
      <c r="BC54" s="1478"/>
      <c r="BD54" s="1478"/>
      <c r="BE54" s="1478"/>
      <c r="BF54" s="1479"/>
      <c r="BP54" s="297"/>
    </row>
    <row r="55" spans="2:92" x14ac:dyDescent="0.25">
      <c r="B55" s="140"/>
      <c r="AC55" s="302"/>
      <c r="AD55" s="302"/>
      <c r="AE55" s="302"/>
      <c r="AF55" s="302"/>
      <c r="AG55" s="302"/>
      <c r="AH55" s="302"/>
      <c r="AK55" s="1445"/>
      <c r="AL55" s="1445"/>
      <c r="AM55" s="1445"/>
      <c r="AN55" s="1445"/>
      <c r="AO55" s="1328"/>
      <c r="AP55" s="1328"/>
      <c r="AQ55" s="1328"/>
      <c r="AR55" s="137"/>
      <c r="AS55" s="137"/>
      <c r="AT55" s="1328"/>
      <c r="AU55" s="1328"/>
      <c r="AV55" s="1328"/>
      <c r="AW55" s="137"/>
      <c r="AX55" s="137"/>
      <c r="AY55" s="1328"/>
      <c r="AZ55" s="1328"/>
      <c r="BA55" s="1328"/>
      <c r="BB55" s="137"/>
      <c r="BC55" s="137"/>
      <c r="BD55" s="1328"/>
      <c r="BE55" s="1328"/>
      <c r="BF55" s="1463"/>
      <c r="BP55" s="303"/>
    </row>
    <row r="56" spans="2:92" x14ac:dyDescent="0.25">
      <c r="B56" s="140"/>
      <c r="C56" s="1362" t="s">
        <v>103</v>
      </c>
      <c r="D56" s="1362"/>
      <c r="E56" s="1362"/>
      <c r="F56" s="1362"/>
      <c r="G56" s="1362"/>
      <c r="H56" s="1362"/>
      <c r="I56" s="1362"/>
      <c r="J56" s="1362"/>
      <c r="K56" s="1362"/>
      <c r="L56" s="1362"/>
      <c r="M56" s="1362"/>
      <c r="N56" s="1362"/>
      <c r="O56" s="1362"/>
      <c r="P56" s="1362"/>
      <c r="Q56" s="1362"/>
      <c r="R56" s="1362"/>
      <c r="S56" s="1362"/>
      <c r="T56" s="1362"/>
      <c r="U56" s="1362"/>
      <c r="V56" s="1362"/>
      <c r="W56" s="1362"/>
      <c r="X56" s="1362"/>
      <c r="Y56" s="1362"/>
      <c r="Z56" s="1362"/>
      <c r="AC56" s="1456" t="str">
        <f>'PIM Model'!$AD$11</f>
        <v/>
      </c>
      <c r="AD56" s="1456"/>
      <c r="AE56" s="1456" t="str">
        <f>'PIM Model'!$D$11</f>
        <v>%</v>
      </c>
      <c r="AF56" s="1456"/>
      <c r="AG56" s="1456" t="str">
        <f>'PIM Model'!$D$11</f>
        <v>%</v>
      </c>
      <c r="AH56" s="1456"/>
      <c r="AI56" s="1440" t="str">
        <f>'PIM Model'!$D$11</f>
        <v>%</v>
      </c>
      <c r="AJ56" s="1440"/>
      <c r="AK56" s="137"/>
      <c r="AL56" s="137"/>
      <c r="AM56" s="137"/>
      <c r="AN56" s="137"/>
      <c r="AO56" s="1328"/>
      <c r="AP56" s="1328"/>
      <c r="AQ56" s="1328"/>
      <c r="AR56" s="137"/>
      <c r="AS56" s="137"/>
      <c r="AT56" s="1328"/>
      <c r="AU56" s="1328"/>
      <c r="AV56" s="1328"/>
      <c r="AW56" s="137"/>
      <c r="AX56" s="137"/>
      <c r="AY56" s="1328"/>
      <c r="AZ56" s="1328"/>
      <c r="BA56" s="1328"/>
      <c r="BB56" s="137"/>
      <c r="BC56" s="137"/>
      <c r="BD56" s="1328"/>
      <c r="BE56" s="1328"/>
      <c r="BF56" s="1463"/>
      <c r="BP56" s="297"/>
    </row>
    <row r="57" spans="2:92" x14ac:dyDescent="0.25">
      <c r="B57" s="140"/>
      <c r="C57" s="1362" t="s">
        <v>102</v>
      </c>
      <c r="D57" s="1362"/>
      <c r="E57" s="1362"/>
      <c r="F57" s="1362"/>
      <c r="G57" s="1362"/>
      <c r="H57" s="1362"/>
      <c r="I57" s="1362"/>
      <c r="J57" s="1362"/>
      <c r="K57" s="1362"/>
      <c r="L57" s="1362"/>
      <c r="M57" s="1362"/>
      <c r="N57" s="1362"/>
      <c r="O57" s="1362"/>
      <c r="P57" s="1362"/>
      <c r="Q57" s="1362"/>
      <c r="R57" s="1362"/>
      <c r="S57" s="1362"/>
      <c r="T57" s="1362"/>
      <c r="U57" s="1362"/>
      <c r="V57" s="1362"/>
      <c r="W57" s="1362"/>
      <c r="X57" s="1362"/>
      <c r="Y57" s="1362"/>
      <c r="Z57" s="1362"/>
      <c r="AC57" s="1443" t="str">
        <f>'PIM Model'!$AD$13</f>
        <v/>
      </c>
      <c r="AD57" s="1443"/>
      <c r="AE57" s="1443" t="str">
        <f>'PIM Model'!$D$13</f>
        <v>%</v>
      </c>
      <c r="AF57" s="1443"/>
      <c r="AG57" s="1443" t="str">
        <f>'PIM Model'!$D$13</f>
        <v>%</v>
      </c>
      <c r="AH57" s="1443"/>
      <c r="AI57" s="1440" t="str">
        <f>'PIM Model'!$D$13</f>
        <v>%</v>
      </c>
      <c r="AJ57" s="1440"/>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62" t="s">
        <v>101</v>
      </c>
      <c r="D58" s="1362"/>
      <c r="E58" s="1362"/>
      <c r="F58" s="1362"/>
      <c r="G58" s="1362"/>
      <c r="H58" s="1362"/>
      <c r="I58" s="1362"/>
      <c r="J58" s="1362"/>
      <c r="K58" s="1362"/>
      <c r="L58" s="1362"/>
      <c r="M58" s="1362"/>
      <c r="N58" s="1362"/>
      <c r="O58" s="1362"/>
      <c r="P58" s="1362"/>
      <c r="Q58" s="1362"/>
      <c r="R58" s="1362"/>
      <c r="S58" s="1362"/>
      <c r="T58" s="1362"/>
      <c r="U58" s="1362"/>
      <c r="V58" s="1362"/>
      <c r="W58" s="1362"/>
      <c r="X58" s="1362"/>
      <c r="Y58" s="1362"/>
      <c r="Z58" s="1362"/>
      <c r="AC58" s="1443" t="str">
        <f>'PIM Model'!$AD$19</f>
        <v/>
      </c>
      <c r="AD58" s="1443"/>
      <c r="AE58" s="1443" t="str">
        <f>'PIM Model'!$D$19</f>
        <v>%</v>
      </c>
      <c r="AF58" s="1443"/>
      <c r="AG58" s="1443" t="str">
        <f>'PIM Model'!$D$19</f>
        <v>%</v>
      </c>
      <c r="AH58" s="1443"/>
      <c r="AI58" s="1440" t="str">
        <f>'PIM Model'!$D$19</f>
        <v>%</v>
      </c>
      <c r="AJ58" s="1440"/>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62" t="s">
        <v>100</v>
      </c>
      <c r="D59" s="1362"/>
      <c r="E59" s="1362"/>
      <c r="F59" s="1362"/>
      <c r="G59" s="1362"/>
      <c r="H59" s="1362"/>
      <c r="I59" s="1362"/>
      <c r="J59" s="1362"/>
      <c r="K59" s="1362"/>
      <c r="L59" s="1362"/>
      <c r="M59" s="1362"/>
      <c r="N59" s="1362"/>
      <c r="O59" s="1362"/>
      <c r="P59" s="1362"/>
      <c r="Q59" s="1362"/>
      <c r="R59" s="1362"/>
      <c r="S59" s="1362"/>
      <c r="T59" s="1362"/>
      <c r="U59" s="1362"/>
      <c r="V59" s="1362"/>
      <c r="W59" s="1362"/>
      <c r="X59" s="1362"/>
      <c r="Y59" s="1362"/>
      <c r="Z59" s="1362"/>
      <c r="AC59" s="1443" t="str">
        <f>'PIM Model'!$AD$14</f>
        <v/>
      </c>
      <c r="AD59" s="1443"/>
      <c r="AE59" s="1443" t="str">
        <f>'PIM Model'!$D$14</f>
        <v>%</v>
      </c>
      <c r="AF59" s="1443"/>
      <c r="AG59" s="1443" t="str">
        <f>'PIM Model'!$D$14</f>
        <v>%</v>
      </c>
      <c r="AH59" s="1443"/>
      <c r="AI59" s="1440" t="str">
        <f>'PIM Model'!$D$14</f>
        <v>%</v>
      </c>
      <c r="AJ59" s="1440"/>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62" t="s">
        <v>104</v>
      </c>
      <c r="D60" s="1362"/>
      <c r="E60" s="1362"/>
      <c r="F60" s="1362"/>
      <c r="G60" s="1362"/>
      <c r="H60" s="1362"/>
      <c r="I60" s="1362"/>
      <c r="J60" s="1362"/>
      <c r="K60" s="1362"/>
      <c r="L60" s="1362"/>
      <c r="M60" s="1362"/>
      <c r="N60" s="1362"/>
      <c r="O60" s="1362"/>
      <c r="P60" s="1362"/>
      <c r="Q60" s="1362"/>
      <c r="R60" s="1362"/>
      <c r="S60" s="1362"/>
      <c r="T60" s="1362"/>
      <c r="U60" s="1362"/>
      <c r="V60" s="1362"/>
      <c r="W60" s="1362"/>
      <c r="X60" s="1362"/>
      <c r="Y60" s="1362"/>
      <c r="Z60" s="1362"/>
      <c r="AC60" s="1443" t="str">
        <f>'PIM Model'!$AD$15</f>
        <v/>
      </c>
      <c r="AD60" s="1443"/>
      <c r="AE60" s="1443" t="str">
        <f>'PIM Model'!$D$15</f>
        <v>%</v>
      </c>
      <c r="AF60" s="1443"/>
      <c r="AG60" s="1443" t="str">
        <f>'PIM Model'!$D$15</f>
        <v>%</v>
      </c>
      <c r="AH60" s="1443"/>
      <c r="AI60" s="1440" t="str">
        <f>'PIM Model'!$D$15</f>
        <v>%</v>
      </c>
      <c r="AJ60" s="1440"/>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62" t="s">
        <v>99</v>
      </c>
      <c r="D61" s="1362"/>
      <c r="E61" s="1362"/>
      <c r="F61" s="1362"/>
      <c r="G61" s="1362"/>
      <c r="H61" s="1362"/>
      <c r="I61" s="1362"/>
      <c r="J61" s="1362"/>
      <c r="K61" s="1362"/>
      <c r="L61" s="1362"/>
      <c r="M61" s="1362"/>
      <c r="N61" s="1362"/>
      <c r="O61" s="1362"/>
      <c r="P61" s="1362"/>
      <c r="Q61" s="1362"/>
      <c r="R61" s="1362"/>
      <c r="S61" s="1362"/>
      <c r="T61" s="1362"/>
      <c r="U61" s="1362"/>
      <c r="V61" s="1362"/>
      <c r="W61" s="1362"/>
      <c r="X61" s="1362"/>
      <c r="Y61" s="1362"/>
      <c r="Z61" s="1362"/>
      <c r="AC61" s="1443" t="str">
        <f>'PIM Model'!$AD$10</f>
        <v/>
      </c>
      <c r="AD61" s="1443"/>
      <c r="AE61" s="1443" t="str">
        <f>'PIM Model'!$D$10</f>
        <v>%</v>
      </c>
      <c r="AF61" s="1443"/>
      <c r="AG61" s="1443" t="str">
        <f>'PIM Model'!$D$10</f>
        <v>%</v>
      </c>
      <c r="AH61" s="1443"/>
      <c r="AI61" s="1440" t="str">
        <f>'PIM Model'!$D$10</f>
        <v>%</v>
      </c>
      <c r="AJ61" s="1440"/>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84" t="s">
        <v>98</v>
      </c>
      <c r="D62" s="1284"/>
      <c r="E62" s="1284"/>
      <c r="F62" s="1284"/>
      <c r="G62" s="1284"/>
      <c r="H62" s="1284"/>
      <c r="I62" s="1284"/>
      <c r="J62" s="1284"/>
      <c r="K62" s="1284"/>
      <c r="L62" s="1284"/>
      <c r="M62" s="1284"/>
      <c r="N62" s="1284"/>
      <c r="O62" s="1284"/>
      <c r="P62" s="1284"/>
      <c r="Q62" s="1284"/>
      <c r="R62" s="1284"/>
      <c r="S62" s="1284"/>
      <c r="T62" s="1284"/>
      <c r="U62" s="1284"/>
      <c r="V62" s="1284"/>
      <c r="W62" s="1284"/>
      <c r="X62" s="1284"/>
      <c r="Y62" s="1284"/>
      <c r="Z62" s="1284"/>
      <c r="AC62" s="1443" t="str">
        <f>'PIM Model'!$AD$16</f>
        <v/>
      </c>
      <c r="AD62" s="1443"/>
      <c r="AE62" s="1443" t="str">
        <f>'PIM Model'!$D$16</f>
        <v>%</v>
      </c>
      <c r="AF62" s="1443"/>
      <c r="AG62" s="1443" t="str">
        <f>'PIM Model'!$D$16</f>
        <v>%</v>
      </c>
      <c r="AH62" s="1443"/>
      <c r="AI62" s="1440" t="str">
        <f>'PIM Model'!$D$16</f>
        <v>%</v>
      </c>
      <c r="AJ62" s="1440"/>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84" t="s">
        <v>97</v>
      </c>
      <c r="D63" s="1284"/>
      <c r="E63" s="1284"/>
      <c r="F63" s="1284"/>
      <c r="G63" s="1284"/>
      <c r="H63" s="1284"/>
      <c r="I63" s="1284"/>
      <c r="J63" s="1284"/>
      <c r="K63" s="1284"/>
      <c r="L63" s="1284"/>
      <c r="M63" s="1284"/>
      <c r="N63" s="1284"/>
      <c r="O63" s="1284"/>
      <c r="P63" s="1284"/>
      <c r="Q63" s="1284"/>
      <c r="R63" s="1284"/>
      <c r="S63" s="1284"/>
      <c r="T63" s="1284"/>
      <c r="U63" s="1284"/>
      <c r="V63" s="1284"/>
      <c r="W63" s="1284"/>
      <c r="X63" s="1284"/>
      <c r="Y63" s="1284"/>
      <c r="Z63" s="1284"/>
      <c r="AC63" s="1443" t="str">
        <f>'PIM Model'!$AD$20</f>
        <v/>
      </c>
      <c r="AD63" s="1443"/>
      <c r="AE63" s="1443" t="str">
        <f>'PIM Model'!$D$20</f>
        <v>%</v>
      </c>
      <c r="AF63" s="1443"/>
      <c r="AG63" s="1443" t="str">
        <f>'PIM Model'!$D$20</f>
        <v>%</v>
      </c>
      <c r="AH63" s="1443"/>
      <c r="AI63" s="1440" t="str">
        <f>'PIM Model'!$D$20</f>
        <v>%</v>
      </c>
      <c r="AJ63" s="1440"/>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84" t="s">
        <v>96</v>
      </c>
      <c r="D64" s="1284"/>
      <c r="E64" s="1284"/>
      <c r="F64" s="1284"/>
      <c r="G64" s="1284"/>
      <c r="H64" s="1284"/>
      <c r="I64" s="1284"/>
      <c r="J64" s="1284"/>
      <c r="K64" s="1284"/>
      <c r="L64" s="1284"/>
      <c r="M64" s="1284"/>
      <c r="N64" s="1284"/>
      <c r="O64" s="1284"/>
      <c r="P64" s="1284"/>
      <c r="Q64" s="1284"/>
      <c r="R64" s="1284"/>
      <c r="S64" s="1284"/>
      <c r="T64" s="1284"/>
      <c r="U64" s="1284"/>
      <c r="V64" s="1284"/>
      <c r="W64" s="1284"/>
      <c r="X64" s="1284"/>
      <c r="Y64" s="1284"/>
      <c r="Z64" s="1284"/>
      <c r="AC64" s="1443" t="str">
        <f>'PIM Model'!$AD$18</f>
        <v/>
      </c>
      <c r="AD64" s="1443"/>
      <c r="AE64" s="1443" t="str">
        <f>'PIM Model'!$D$18</f>
        <v>%</v>
      </c>
      <c r="AF64" s="1443"/>
      <c r="AG64" s="1443" t="str">
        <f>'PIM Model'!$D$18</f>
        <v>%</v>
      </c>
      <c r="AH64" s="1443"/>
      <c r="AI64" s="1440" t="str">
        <f>'PIM Model'!$D$18</f>
        <v>%</v>
      </c>
      <c r="AJ64" s="1440"/>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84" t="s">
        <v>95</v>
      </c>
      <c r="D65" s="1284"/>
      <c r="E65" s="1284"/>
      <c r="F65" s="1284"/>
      <c r="G65" s="1284"/>
      <c r="H65" s="1284"/>
      <c r="I65" s="1284"/>
      <c r="J65" s="1284"/>
      <c r="K65" s="1284"/>
      <c r="L65" s="1284"/>
      <c r="M65" s="1284"/>
      <c r="N65" s="1284"/>
      <c r="O65" s="1284"/>
      <c r="P65" s="1284"/>
      <c r="Q65" s="1284"/>
      <c r="R65" s="1284"/>
      <c r="S65" s="1284"/>
      <c r="T65" s="1284"/>
      <c r="U65" s="1284"/>
      <c r="V65" s="1284"/>
      <c r="W65" s="1284"/>
      <c r="X65" s="1284"/>
      <c r="Y65" s="1284"/>
      <c r="Z65" s="1284"/>
      <c r="AC65" s="1443" t="str">
        <f>'PIM Model'!$AD$17</f>
        <v/>
      </c>
      <c r="AD65" s="1443"/>
      <c r="AE65" s="1443" t="str">
        <f>'PIM Model'!$D$17</f>
        <v>%</v>
      </c>
      <c r="AF65" s="1443"/>
      <c r="AG65" s="1443" t="str">
        <f>'PIM Model'!$D$17</f>
        <v>%</v>
      </c>
      <c r="AH65" s="1443"/>
      <c r="AI65" s="1440" t="str">
        <f>'PIM Model'!$D$17</f>
        <v>%</v>
      </c>
      <c r="AJ65" s="1440"/>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84" t="s">
        <v>94</v>
      </c>
      <c r="D66" s="1284"/>
      <c r="E66" s="1284"/>
      <c r="F66" s="1284"/>
      <c r="G66" s="1284"/>
      <c r="H66" s="1284"/>
      <c r="I66" s="1284"/>
      <c r="J66" s="1284"/>
      <c r="K66" s="1284"/>
      <c r="L66" s="1284"/>
      <c r="M66" s="1284"/>
      <c r="N66" s="1284"/>
      <c r="O66" s="1284"/>
      <c r="P66" s="1284"/>
      <c r="Q66" s="1284"/>
      <c r="R66" s="1284"/>
      <c r="S66" s="1284"/>
      <c r="T66" s="1284"/>
      <c r="U66" s="1284"/>
      <c r="V66" s="1284"/>
      <c r="W66" s="1284"/>
      <c r="X66" s="1284"/>
      <c r="Y66" s="1284"/>
      <c r="Z66" s="1284"/>
      <c r="AC66" s="1443" t="str">
        <f>'PIM Model'!$AD$27</f>
        <v/>
      </c>
      <c r="AD66" s="1443"/>
      <c r="AE66" s="1443" t="str">
        <f>'PIM Model'!$D$27</f>
        <v>%</v>
      </c>
      <c r="AF66" s="1443"/>
      <c r="AG66" s="1443" t="str">
        <f>'PIM Model'!$D$27</f>
        <v>%</v>
      </c>
      <c r="AH66" s="1443"/>
      <c r="AI66" s="1440" t="str">
        <f>'PIM Model'!$D$27</f>
        <v>%</v>
      </c>
      <c r="AJ66" s="1440"/>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0" t="s">
        <v>713</v>
      </c>
      <c r="F67" s="1440"/>
      <c r="G67" s="1440"/>
      <c r="H67" s="1440"/>
      <c r="I67" s="1440"/>
      <c r="J67" s="1440"/>
      <c r="K67" s="1440"/>
      <c r="M67" s="1444" t="s">
        <v>244</v>
      </c>
      <c r="N67" s="1444"/>
      <c r="O67" s="1444"/>
      <c r="P67" t="s">
        <v>669</v>
      </c>
      <c r="S67" s="1442"/>
      <c r="T67" s="1442"/>
      <c r="U67" s="1442"/>
      <c r="V67" s="1440" t="s">
        <v>671</v>
      </c>
      <c r="W67" s="1440"/>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84" t="s">
        <v>93</v>
      </c>
      <c r="D68" s="1284"/>
      <c r="E68" s="1284"/>
      <c r="F68" s="1284"/>
      <c r="G68" s="1284"/>
      <c r="H68" s="1284"/>
      <c r="I68" s="1284"/>
      <c r="J68" s="1284"/>
      <c r="K68" s="1284"/>
      <c r="L68" s="1284"/>
      <c r="M68" s="1284"/>
      <c r="N68" s="1284"/>
      <c r="O68" s="1284"/>
      <c r="P68" s="1284"/>
      <c r="Q68" s="1284"/>
      <c r="R68" s="1284"/>
      <c r="S68" s="1284"/>
      <c r="T68" s="1284"/>
      <c r="U68" s="1284"/>
      <c r="V68" s="1284"/>
      <c r="W68" s="1284"/>
      <c r="X68" s="1284"/>
      <c r="Y68" s="1284"/>
      <c r="Z68" s="1284"/>
      <c r="AC68" s="1443" t="str">
        <f>'PIM Model'!$AD$21</f>
        <v/>
      </c>
      <c r="AD68" s="1443"/>
      <c r="AE68" s="1443" t="str">
        <f>'PIM Model'!$D$21</f>
        <v>%</v>
      </c>
      <c r="AF68" s="1443"/>
      <c r="AG68" s="1443" t="str">
        <f>'PIM Model'!$D$21</f>
        <v>%</v>
      </c>
      <c r="AH68" s="1443"/>
      <c r="AI68" s="1440" t="str">
        <f>'PIM Model'!$D$21</f>
        <v>%</v>
      </c>
      <c r="AJ68" s="1440"/>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84" t="s">
        <v>92</v>
      </c>
      <c r="D69" s="1284"/>
      <c r="E69" s="1284"/>
      <c r="F69" s="1284"/>
      <c r="G69" s="1284"/>
      <c r="H69" s="1284"/>
      <c r="I69" s="1284"/>
      <c r="J69" s="1284"/>
      <c r="K69" s="1284"/>
      <c r="L69" s="1284"/>
      <c r="M69" s="1284"/>
      <c r="N69" s="1284"/>
      <c r="O69" s="1284"/>
      <c r="P69" s="1284"/>
      <c r="Q69" s="1284"/>
      <c r="R69" s="1284"/>
      <c r="S69" s="1284"/>
      <c r="T69" s="1284"/>
      <c r="U69" s="1284"/>
      <c r="V69" s="1284"/>
      <c r="W69" s="1284"/>
      <c r="X69" s="1284"/>
      <c r="Y69" s="1284"/>
      <c r="Z69" s="1284"/>
      <c r="AC69" s="1443" t="str">
        <f>'PIM Model'!$AD$23</f>
        <v/>
      </c>
      <c r="AD69" s="1443"/>
      <c r="AE69" s="1443" t="str">
        <f>'PIM Model'!$D$23</f>
        <v>%</v>
      </c>
      <c r="AF69" s="1443"/>
      <c r="AG69" s="1443" t="str">
        <f>'PIM Model'!$D$23</f>
        <v>%</v>
      </c>
      <c r="AH69" s="1443"/>
      <c r="AI69" s="1440" t="str">
        <f>'PIM Model'!$D$23</f>
        <v>%</v>
      </c>
      <c r="AJ69" s="1440"/>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84" t="s">
        <v>91</v>
      </c>
      <c r="D70" s="1284"/>
      <c r="E70" s="1284"/>
      <c r="F70" s="1284"/>
      <c r="G70" s="1284"/>
      <c r="H70" s="1284"/>
      <c r="I70" s="1284"/>
      <c r="J70" s="1284"/>
      <c r="K70" s="1284"/>
      <c r="L70" s="1284"/>
      <c r="M70" s="1284"/>
      <c r="N70" s="1284"/>
      <c r="O70" s="1284"/>
      <c r="P70" s="1284"/>
      <c r="Q70" s="1284"/>
      <c r="R70" s="1284"/>
      <c r="S70" s="1284"/>
      <c r="T70" s="1284"/>
      <c r="U70" s="1284"/>
      <c r="V70" s="1284"/>
      <c r="W70" s="1284"/>
      <c r="X70" s="1284"/>
      <c r="Y70" s="1284"/>
      <c r="Z70" s="1284"/>
      <c r="AC70" s="1443" t="str">
        <f>'PIM Model'!$AD$24</f>
        <v/>
      </c>
      <c r="AD70" s="1443"/>
      <c r="AE70" s="1443" t="str">
        <f>'PIM Model'!$D$24</f>
        <v>%</v>
      </c>
      <c r="AF70" s="1443"/>
      <c r="AG70" s="1443" t="str">
        <f>'PIM Model'!$D$24</f>
        <v>%</v>
      </c>
      <c r="AH70" s="1443"/>
      <c r="AI70" s="1440" t="str">
        <f>'PIM Model'!$D$24</f>
        <v>%</v>
      </c>
      <c r="AJ70" s="1440"/>
      <c r="AK70" s="137"/>
      <c r="AL70" s="137"/>
      <c r="AM70" s="137"/>
      <c r="AN70" s="137"/>
      <c r="AO70" s="1328"/>
      <c r="AP70" s="1328"/>
      <c r="AQ70" s="1328"/>
      <c r="AR70" s="137"/>
      <c r="AS70" s="137"/>
      <c r="AT70" s="1328"/>
      <c r="AU70" s="1328"/>
      <c r="AV70" s="1328"/>
      <c r="AW70" s="137"/>
      <c r="AX70" s="137"/>
      <c r="AY70" s="1328"/>
      <c r="AZ70" s="1328"/>
      <c r="BA70" s="1328"/>
      <c r="BB70" s="137"/>
      <c r="BC70" s="137"/>
      <c r="BD70" s="1328"/>
      <c r="BE70" s="1328"/>
      <c r="BF70" s="1463"/>
    </row>
    <row r="71" spans="2:70" x14ac:dyDescent="0.25">
      <c r="B71" s="140"/>
      <c r="C71" s="1284" t="s">
        <v>90</v>
      </c>
      <c r="D71" s="1284"/>
      <c r="E71" s="1284"/>
      <c r="F71" s="1284"/>
      <c r="G71" s="1284"/>
      <c r="H71" s="1284"/>
      <c r="I71" s="1284"/>
      <c r="J71" s="1284"/>
      <c r="K71" s="1284"/>
      <c r="L71" s="1284"/>
      <c r="M71" s="1284"/>
      <c r="N71" s="1284"/>
      <c r="O71" s="1284"/>
      <c r="P71" s="1284"/>
      <c r="Q71" s="1284"/>
      <c r="R71" s="1284"/>
      <c r="S71" s="1284"/>
      <c r="T71" s="1284"/>
      <c r="U71" s="1284"/>
      <c r="V71" s="1284"/>
      <c r="W71" s="1284"/>
      <c r="X71" s="1284"/>
      <c r="Y71" s="1284"/>
      <c r="Z71" s="1284"/>
      <c r="AC71" s="1443" t="str">
        <f>'PIM Model'!$AD$25</f>
        <v/>
      </c>
      <c r="AD71" s="1443"/>
      <c r="AE71" s="1443" t="str">
        <f>'PIM Model'!$D$25</f>
        <v>%</v>
      </c>
      <c r="AF71" s="1443"/>
      <c r="AG71" s="1443" t="str">
        <f>'PIM Model'!$D$25</f>
        <v>%</v>
      </c>
      <c r="AH71" s="1443"/>
      <c r="AI71" s="1440" t="str">
        <f>'PIM Model'!$D$25</f>
        <v>%</v>
      </c>
      <c r="AJ71" s="1440"/>
      <c r="AK71" s="137"/>
      <c r="AL71" s="137"/>
      <c r="AM71" s="137"/>
      <c r="AN71" s="137"/>
      <c r="AO71" s="1328"/>
      <c r="AP71" s="1328"/>
      <c r="AQ71" s="1328"/>
      <c r="AR71" s="137"/>
      <c r="AS71" s="137"/>
      <c r="AT71" s="1328"/>
      <c r="AU71" s="1328"/>
      <c r="AV71" s="1328"/>
      <c r="AW71" s="137"/>
      <c r="AX71" s="137"/>
      <c r="AY71" s="1328"/>
      <c r="AZ71" s="1328"/>
      <c r="BA71" s="1328"/>
      <c r="BB71" s="137"/>
      <c r="BC71" s="137"/>
      <c r="BD71" s="1328"/>
      <c r="BE71" s="1328"/>
      <c r="BF71" s="1463"/>
    </row>
    <row r="72" spans="2:70" x14ac:dyDescent="0.25">
      <c r="B72" s="140"/>
      <c r="C72" s="1284" t="s">
        <v>89</v>
      </c>
      <c r="D72" s="1284"/>
      <c r="E72" s="1284"/>
      <c r="F72" s="1284"/>
      <c r="G72" s="1284"/>
      <c r="H72" s="1284"/>
      <c r="I72" s="1284"/>
      <c r="J72" s="1284"/>
      <c r="K72" s="1284"/>
      <c r="L72" s="1284"/>
      <c r="M72" s="1284"/>
      <c r="N72" s="1284"/>
      <c r="O72" s="1284"/>
      <c r="P72" s="1284"/>
      <c r="Q72" s="1284"/>
      <c r="R72" s="1284"/>
      <c r="S72" s="1284"/>
      <c r="T72" s="1284"/>
      <c r="U72" s="1284"/>
      <c r="V72" s="1284"/>
      <c r="W72" s="1284"/>
      <c r="X72" s="1284"/>
      <c r="Y72" s="1284"/>
      <c r="Z72" s="1284"/>
      <c r="AC72" s="1443" t="str">
        <f>'PIM Model'!$AD$26</f>
        <v/>
      </c>
      <c r="AD72" s="1443"/>
      <c r="AE72" s="1443" t="str">
        <f>'PIM Model'!$D$26</f>
        <v>%</v>
      </c>
      <c r="AF72" s="1443"/>
      <c r="AG72" s="1443" t="str">
        <f>'PIM Model'!$D$26</f>
        <v>%</v>
      </c>
      <c r="AH72" s="1443"/>
      <c r="AI72" s="1440" t="str">
        <f>'PIM Model'!$D$26</f>
        <v>%</v>
      </c>
      <c r="AJ72" s="1440"/>
      <c r="AK72" s="137"/>
      <c r="AL72" s="137"/>
      <c r="AM72" s="137"/>
      <c r="AN72" s="137"/>
      <c r="AO72" s="1328"/>
      <c r="AP72" s="1328"/>
      <c r="AQ72" s="1328"/>
      <c r="AR72" s="137"/>
      <c r="AS72" s="137"/>
      <c r="AT72" s="1328"/>
      <c r="AU72" s="1328"/>
      <c r="AV72" s="1328"/>
      <c r="AW72" s="137"/>
      <c r="AX72" s="137"/>
      <c r="AY72" s="1328"/>
      <c r="AZ72" s="1328"/>
      <c r="BA72" s="1328"/>
      <c r="BB72" s="137"/>
      <c r="BC72" s="137"/>
      <c r="BD72" s="1328"/>
      <c r="BE72" s="1328"/>
      <c r="BF72" s="1463"/>
    </row>
    <row r="73" spans="2:70" x14ac:dyDescent="0.25">
      <c r="B73" s="140"/>
      <c r="C73" s="1284" t="s">
        <v>88</v>
      </c>
      <c r="D73" s="1284"/>
      <c r="E73" s="1284"/>
      <c r="F73" s="1284"/>
      <c r="G73" s="1284"/>
      <c r="H73" s="1284"/>
      <c r="I73" s="1284"/>
      <c r="J73" s="1284"/>
      <c r="K73" s="1284"/>
      <c r="L73" s="1284"/>
      <c r="M73" s="1284"/>
      <c r="N73" s="1284"/>
      <c r="O73" s="1284"/>
      <c r="P73" s="1284"/>
      <c r="Q73" s="1284"/>
      <c r="R73" s="1284"/>
      <c r="S73" s="1284"/>
      <c r="T73" s="1284"/>
      <c r="U73" s="1284"/>
      <c r="V73" s="1284"/>
      <c r="W73" s="1284"/>
      <c r="X73" s="1284"/>
      <c r="Y73" s="1284"/>
      <c r="Z73" s="1284"/>
      <c r="AC73" s="1443" t="str">
        <f>'PIM Model'!$AD$29</f>
        <v/>
      </c>
      <c r="AD73" s="1443"/>
      <c r="AE73" s="1443" t="str">
        <f>'PIM Model'!$D$29</f>
        <v>%</v>
      </c>
      <c r="AF73" s="1443"/>
      <c r="AG73" s="1443" t="str">
        <f>'PIM Model'!$D$29</f>
        <v>%</v>
      </c>
      <c r="AH73" s="1443"/>
      <c r="AI73" s="1440" t="str">
        <f>'PIM Model'!$D$29</f>
        <v>%</v>
      </c>
      <c r="AJ73" s="1440"/>
      <c r="AK73" s="137"/>
      <c r="AL73" s="137"/>
      <c r="AM73" s="137"/>
      <c r="AN73" s="137"/>
      <c r="AO73" s="1328"/>
      <c r="AP73" s="1328"/>
      <c r="AQ73" s="1328"/>
      <c r="AR73" s="137"/>
      <c r="AS73" s="137"/>
      <c r="AT73" s="1328"/>
      <c r="AU73" s="1328"/>
      <c r="AV73" s="1328"/>
      <c r="AW73" s="137"/>
      <c r="AX73" s="137"/>
      <c r="AY73" s="1328"/>
      <c r="AZ73" s="1328"/>
      <c r="BA73" s="1328"/>
      <c r="BB73" s="137"/>
      <c r="BC73" s="137"/>
      <c r="BD73" s="1328"/>
      <c r="BE73" s="1328"/>
      <c r="BF73" s="1463"/>
    </row>
    <row r="74" spans="2:70" x14ac:dyDescent="0.25">
      <c r="B74" s="140"/>
      <c r="C74" s="1284" t="s">
        <v>87</v>
      </c>
      <c r="D74" s="1284"/>
      <c r="E74" s="1284"/>
      <c r="F74" s="1284"/>
      <c r="G74" s="1284"/>
      <c r="H74" s="1284"/>
      <c r="I74" s="1284"/>
      <c r="J74" s="1284"/>
      <c r="K74" s="1284"/>
      <c r="L74" s="1284"/>
      <c r="M74" s="1284"/>
      <c r="N74" s="1284"/>
      <c r="O74" s="1284"/>
      <c r="P74" s="1284"/>
      <c r="Q74" s="1284"/>
      <c r="R74" s="1284"/>
      <c r="S74" s="1284"/>
      <c r="T74" s="1284"/>
      <c r="U74" s="1284"/>
      <c r="V74" s="1284"/>
      <c r="W74" s="1284"/>
      <c r="X74" s="1284"/>
      <c r="Y74" s="1284"/>
      <c r="Z74" s="1284"/>
      <c r="AC74" s="1443" t="str">
        <f>'PIM Model'!$AD$30</f>
        <v/>
      </c>
      <c r="AD74" s="1443"/>
      <c r="AE74" s="1443" t="str">
        <f>'PIM Model'!$D$30</f>
        <v>%</v>
      </c>
      <c r="AF74" s="1443"/>
      <c r="AG74" s="1443" t="str">
        <f>'PIM Model'!$D$30</f>
        <v>%</v>
      </c>
      <c r="AH74" s="1443"/>
      <c r="AI74" s="1440" t="str">
        <f>'PIM Model'!$D$30</f>
        <v>%</v>
      </c>
      <c r="AJ74" s="1440"/>
      <c r="AK74" s="137"/>
      <c r="AL74" s="137"/>
      <c r="AM74" s="137"/>
      <c r="AN74" s="137"/>
      <c r="AO74" s="1328"/>
      <c r="AP74" s="1328"/>
      <c r="AQ74" s="1328"/>
      <c r="AR74" s="137"/>
      <c r="AS74" s="137"/>
      <c r="AT74" s="1328"/>
      <c r="AU74" s="1328"/>
      <c r="AV74" s="1328"/>
      <c r="AW74" s="137"/>
      <c r="AX74" s="137"/>
      <c r="AY74" s="1328"/>
      <c r="AZ74" s="1328"/>
      <c r="BA74" s="1328"/>
      <c r="BB74" s="137"/>
      <c r="BC74" s="137"/>
      <c r="BD74" s="1328"/>
      <c r="BE74" s="1328"/>
      <c r="BF74" s="1463"/>
    </row>
    <row r="75" spans="2:70" x14ac:dyDescent="0.25">
      <c r="B75" s="140"/>
      <c r="C75" s="1284" t="s">
        <v>86</v>
      </c>
      <c r="D75" s="1284"/>
      <c r="E75" s="1284"/>
      <c r="F75" s="1284"/>
      <c r="G75" s="1284"/>
      <c r="H75" s="1284"/>
      <c r="I75" s="1284"/>
      <c r="J75" s="1284"/>
      <c r="K75" s="1284"/>
      <c r="L75" s="1284"/>
      <c r="M75" s="1284"/>
      <c r="N75" s="1284"/>
      <c r="O75" s="1284"/>
      <c r="P75" s="1284"/>
      <c r="Q75" s="1284"/>
      <c r="R75" s="1284"/>
      <c r="S75" s="1284"/>
      <c r="T75" s="1284"/>
      <c r="U75" s="1284"/>
      <c r="V75" s="1284"/>
      <c r="W75" s="1284"/>
      <c r="X75" s="1284"/>
      <c r="Y75" s="1284"/>
      <c r="Z75" s="1284"/>
      <c r="AC75" s="1443" t="str">
        <f>'PIM Model'!$AD$28</f>
        <v/>
      </c>
      <c r="AD75" s="1443"/>
      <c r="AE75" s="1443" t="str">
        <f>'PIM Model'!$D$28</f>
        <v>%</v>
      </c>
      <c r="AF75" s="1443"/>
      <c r="AG75" s="1443" t="str">
        <f>'PIM Model'!$D$28</f>
        <v>%</v>
      </c>
      <c r="AH75" s="1443"/>
      <c r="AI75" s="1440" t="str">
        <f>'PIM Model'!$D$28</f>
        <v>%</v>
      </c>
      <c r="AJ75" s="1440"/>
      <c r="BF75" s="141"/>
    </row>
    <row r="76" spans="2:70" x14ac:dyDescent="0.25">
      <c r="B76" s="140"/>
      <c r="C76" s="1284" t="s">
        <v>105</v>
      </c>
      <c r="D76" s="1284"/>
      <c r="E76" s="1284"/>
      <c r="F76" s="1284"/>
      <c r="G76" s="1284"/>
      <c r="H76" s="1284"/>
      <c r="I76" s="1284"/>
      <c r="J76" s="1284"/>
      <c r="K76" s="1284"/>
      <c r="L76" s="1284"/>
      <c r="M76" s="1284"/>
      <c r="N76" s="1284"/>
      <c r="O76" s="1284"/>
      <c r="P76" s="1284"/>
      <c r="Q76" s="1284"/>
      <c r="R76" s="1284"/>
      <c r="S76" s="1284"/>
      <c r="T76" s="1284"/>
      <c r="U76" s="1284"/>
      <c r="V76" s="1284"/>
      <c r="W76" s="1284"/>
      <c r="X76" s="1284"/>
      <c r="Y76" s="1284"/>
      <c r="Z76" s="1284"/>
      <c r="AC76" s="1443" t="str">
        <f>'PIM Model'!$AD$22</f>
        <v/>
      </c>
      <c r="AD76" s="1443"/>
      <c r="AE76" s="1443" t="str">
        <f>'PIM Model'!$D$22</f>
        <v>%</v>
      </c>
      <c r="AF76" s="1443"/>
      <c r="AG76" s="1443" t="str">
        <f>'PIM Model'!$D$22</f>
        <v>%</v>
      </c>
      <c r="AH76" s="1443"/>
      <c r="AI76" s="1440" t="str">
        <f>'PIM Model'!$D$22</f>
        <v>%</v>
      </c>
      <c r="AJ76" s="1440"/>
      <c r="BF76" s="141"/>
    </row>
    <row r="77" spans="2:70" x14ac:dyDescent="0.25">
      <c r="B77" s="718"/>
      <c r="C77" s="1469" t="s">
        <v>746</v>
      </c>
      <c r="D77" s="1469"/>
      <c r="E77" s="1469"/>
      <c r="F77" s="1469"/>
      <c r="G77" s="1469"/>
      <c r="H77" s="1469"/>
      <c r="I77" s="1469"/>
      <c r="J77" s="1469"/>
      <c r="K77" s="1469"/>
      <c r="L77" s="1469"/>
      <c r="M77" s="1469"/>
      <c r="N77" s="1469"/>
      <c r="O77" s="1469"/>
      <c r="P77" s="1469"/>
      <c r="Q77" s="1469"/>
      <c r="R77" s="1469"/>
      <c r="S77" s="1469"/>
      <c r="T77" s="1469"/>
      <c r="U77" s="1469"/>
      <c r="V77" s="1469"/>
      <c r="W77" s="1469"/>
      <c r="X77" s="1469"/>
      <c r="Y77" s="1469"/>
      <c r="Z77" s="1469"/>
      <c r="AC77" s="1443" t="str">
        <f>'PIM Model'!$AD$12</f>
        <v/>
      </c>
      <c r="AD77" s="1443"/>
      <c r="AE77" s="1443" t="str">
        <f>'PIM Model'!$D$12</f>
        <v>%</v>
      </c>
      <c r="AF77" s="1443"/>
      <c r="AG77" s="1443" t="str">
        <f>'PIM Model'!$D$12</f>
        <v>%</v>
      </c>
      <c r="AH77" s="1443"/>
      <c r="AI77" s="1440" t="str">
        <f>'PIM Model'!$D$12</f>
        <v>%</v>
      </c>
      <c r="AJ77" s="1440"/>
      <c r="BF77" s="141"/>
    </row>
    <row r="78" spans="2:70" x14ac:dyDescent="0.25">
      <c r="B78" s="140"/>
      <c r="C78" s="1469" t="s">
        <v>747</v>
      </c>
      <c r="D78" s="1469"/>
      <c r="E78" s="1469"/>
      <c r="F78" s="1469"/>
      <c r="G78" s="1469"/>
      <c r="H78" s="1469"/>
      <c r="I78" s="1469"/>
      <c r="J78" s="1469"/>
      <c r="K78" s="1469"/>
      <c r="L78" s="1469"/>
      <c r="M78" s="1469"/>
      <c r="N78" s="1469"/>
      <c r="O78" s="1469"/>
      <c r="P78" s="1469"/>
      <c r="Q78" s="1469"/>
      <c r="R78" s="1469"/>
      <c r="S78" s="1469"/>
      <c r="T78" s="1469"/>
      <c r="U78" s="1469"/>
      <c r="V78" s="1469"/>
      <c r="W78" s="1469"/>
      <c r="X78" s="1469"/>
      <c r="Y78" s="1469"/>
      <c r="Z78" s="1469"/>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0" t="s">
        <v>712</v>
      </c>
      <c r="E81" s="1440"/>
      <c r="F81" s="1440"/>
      <c r="G81" s="1440"/>
      <c r="H81" s="1440"/>
      <c r="I81" s="1440"/>
      <c r="J81" s="1440"/>
      <c r="K81" s="1440"/>
      <c r="L81" s="1440"/>
      <c r="M81" s="1440"/>
      <c r="N81" s="1440"/>
      <c r="O81" s="1440"/>
      <c r="P81" s="1440"/>
      <c r="Q81" s="1440"/>
      <c r="R81" s="1440"/>
      <c r="S81" s="1440"/>
      <c r="T81" s="1440"/>
      <c r="U81" s="1440"/>
      <c r="V81" s="1440"/>
      <c r="W81" s="1440"/>
      <c r="X81" s="1440"/>
      <c r="Y81" s="1440"/>
      <c r="Z81" s="1440"/>
      <c r="AA81" s="1440"/>
      <c r="AB81" s="1440"/>
      <c r="AC81" s="1440"/>
      <c r="AD81" s="1440"/>
      <c r="AE81" s="1440"/>
      <c r="AF81" s="1440"/>
      <c r="AG81" s="1440"/>
      <c r="AH81" s="1440"/>
      <c r="AI81" s="1440"/>
      <c r="AJ81" s="1440"/>
      <c r="AK81" s="1440"/>
      <c r="AL81" s="1440"/>
      <c r="AM81" s="1440"/>
      <c r="AN81" s="1440"/>
      <c r="AO81" s="1440"/>
      <c r="AP81" s="1440"/>
      <c r="AQ81" s="1440"/>
      <c r="AR81" s="1440"/>
      <c r="AS81" s="1440"/>
      <c r="AT81" s="1440"/>
      <c r="AU81" s="1440"/>
      <c r="AV81" s="1440"/>
      <c r="AW81" s="1440"/>
      <c r="AX81" s="1440"/>
      <c r="AY81" s="1440"/>
      <c r="AZ81" s="1440"/>
      <c r="BA81" s="1440"/>
      <c r="BB81" s="1440"/>
      <c r="BC81" s="1440"/>
      <c r="BD81" s="1440"/>
      <c r="BF81" s="141"/>
    </row>
    <row r="82" spans="1:70" x14ac:dyDescent="0.25">
      <c r="B82" s="140"/>
      <c r="D82" s="1444" t="s">
        <v>244</v>
      </c>
      <c r="E82" s="1444"/>
      <c r="F82" s="1440" t="s">
        <v>711</v>
      </c>
      <c r="G82" s="1440"/>
      <c r="H82" s="1440"/>
      <c r="I82" s="1440"/>
      <c r="J82" s="1440"/>
      <c r="K82" s="1440"/>
      <c r="L82" s="1440"/>
      <c r="M82" s="1440"/>
      <c r="N82" s="1440"/>
      <c r="O82" s="1440"/>
      <c r="P82" s="1440"/>
      <c r="Q82" s="1440"/>
      <c r="R82" s="1440"/>
      <c r="S82" s="1440"/>
      <c r="T82" s="1440"/>
      <c r="U82" s="1440"/>
      <c r="V82" s="1440"/>
      <c r="W82" s="1440"/>
      <c r="X82" s="1440"/>
      <c r="Y82" s="1440"/>
      <c r="Z82" s="1440"/>
      <c r="AA82" s="1440"/>
      <c r="AB82" s="1440"/>
      <c r="AC82" s="1440"/>
      <c r="AD82" s="1440"/>
      <c r="AE82" s="1440"/>
      <c r="AF82" s="1440"/>
      <c r="AG82" s="1440"/>
      <c r="AH82" s="1440"/>
      <c r="AI82" s="1440"/>
      <c r="AJ82" s="1440"/>
      <c r="AK82" s="1440"/>
      <c r="AL82" s="1440"/>
      <c r="AM82" s="1440"/>
      <c r="AN82" s="1440"/>
      <c r="AO82" s="1440"/>
      <c r="AP82" s="1440"/>
      <c r="AQ82" s="1440"/>
      <c r="AR82" s="1440"/>
      <c r="AS82" s="1440"/>
      <c r="AT82" s="1440"/>
      <c r="AU82" s="1440"/>
      <c r="AV82" s="1440"/>
      <c r="AW82" s="1440"/>
      <c r="AX82" s="1440"/>
      <c r="AY82" s="1440"/>
      <c r="AZ82" s="1440"/>
      <c r="BA82" s="1440"/>
      <c r="BB82" s="1440"/>
      <c r="BC82" s="1440"/>
      <c r="BD82" s="1440"/>
      <c r="BF82" s="141"/>
    </row>
    <row r="83" spans="1:70" x14ac:dyDescent="0.25">
      <c r="B83" s="140"/>
      <c r="D83" s="1442"/>
      <c r="E83" s="1442"/>
      <c r="F83" s="1440" t="s">
        <v>710</v>
      </c>
      <c r="G83" s="1440"/>
      <c r="H83" s="1440"/>
      <c r="I83" s="1440"/>
      <c r="J83" s="1440"/>
      <c r="K83" s="1440"/>
      <c r="L83" s="1440"/>
      <c r="M83" s="1440"/>
      <c r="N83" s="1440"/>
      <c r="O83" s="1440"/>
      <c r="P83" s="1440"/>
      <c r="Q83" s="1440"/>
      <c r="R83" s="1440"/>
      <c r="S83" s="1440"/>
      <c r="T83" s="1440"/>
      <c r="U83" s="1440"/>
      <c r="V83" s="1440"/>
      <c r="W83" s="1440"/>
      <c r="X83" s="1440"/>
      <c r="Y83" s="1440"/>
      <c r="Z83" s="1440"/>
      <c r="AA83" s="1440"/>
      <c r="AB83" s="1440"/>
      <c r="AC83" s="1440"/>
      <c r="AD83" s="1440"/>
      <c r="AE83" s="1440"/>
      <c r="AF83" s="1440"/>
      <c r="AG83" s="1440"/>
      <c r="AH83" s="1440"/>
      <c r="AI83" s="1440"/>
      <c r="AJ83" s="1440"/>
      <c r="AK83" s="1440"/>
      <c r="AL83" s="1440"/>
      <c r="AM83" s="1440"/>
      <c r="AN83" s="1440"/>
      <c r="AO83" s="1440"/>
      <c r="AP83" s="1440"/>
      <c r="AQ83" s="1440"/>
      <c r="AR83" s="1440"/>
      <c r="AS83" s="1440"/>
      <c r="AT83" s="1440"/>
      <c r="AU83" s="1440"/>
      <c r="AV83" s="1440"/>
      <c r="AW83" s="1440"/>
      <c r="AX83" s="1440"/>
      <c r="AY83" s="1440"/>
      <c r="AZ83" s="1440"/>
      <c r="BA83" s="1440"/>
      <c r="BB83" s="1440"/>
      <c r="BC83" s="1440"/>
      <c r="BD83" s="1440"/>
      <c r="BF83" s="141"/>
    </row>
    <row r="84" spans="1:70" x14ac:dyDescent="0.25">
      <c r="A84" s="304"/>
      <c r="B84" s="140"/>
      <c r="D84" s="1442"/>
      <c r="E84" s="1442"/>
      <c r="F84" s="1440" t="s">
        <v>709</v>
      </c>
      <c r="G84" s="1440"/>
      <c r="H84" s="1440"/>
      <c r="I84" s="1440"/>
      <c r="J84" s="1440"/>
      <c r="K84" s="1440"/>
      <c r="L84" s="1440"/>
      <c r="M84" s="1440"/>
      <c r="N84" s="1440"/>
      <c r="O84" s="1440"/>
      <c r="P84" s="1440"/>
      <c r="Q84" s="1440"/>
      <c r="R84" s="1440"/>
      <c r="S84" s="1440"/>
      <c r="T84" s="1440"/>
      <c r="U84" s="1440"/>
      <c r="V84" s="1440"/>
      <c r="W84" s="1440"/>
      <c r="X84" s="1440"/>
      <c r="Y84" s="1440"/>
      <c r="Z84" s="1440"/>
      <c r="AA84" s="1440"/>
      <c r="AB84" s="1440"/>
      <c r="AC84" s="1440"/>
      <c r="AD84" s="1440"/>
      <c r="AE84" s="1440"/>
      <c r="AF84" s="1440"/>
      <c r="AG84" s="1440"/>
      <c r="AH84" s="1440"/>
      <c r="AI84" s="1440"/>
      <c r="AJ84" s="1440"/>
      <c r="AK84" s="1440"/>
      <c r="AL84" s="1440"/>
      <c r="AM84" s="1440"/>
      <c r="AN84" s="1440"/>
      <c r="AO84" s="1440"/>
      <c r="AP84" s="1440"/>
      <c r="AQ84" s="1440"/>
      <c r="AR84" s="1440"/>
      <c r="AS84" s="1440"/>
      <c r="AT84" s="1440"/>
      <c r="AU84" s="1440"/>
      <c r="AV84" s="1440"/>
      <c r="AW84" s="1440"/>
      <c r="AX84" s="1440"/>
      <c r="AY84" s="1440"/>
      <c r="AZ84" s="1440"/>
      <c r="BA84" s="1440"/>
      <c r="BB84" s="1440"/>
      <c r="BC84" s="1440"/>
      <c r="BD84" s="1440"/>
      <c r="BF84" s="141"/>
    </row>
    <row r="85" spans="1:70" x14ac:dyDescent="0.25">
      <c r="B85" s="140"/>
      <c r="BF85" s="141"/>
    </row>
    <row r="86" spans="1:70" x14ac:dyDescent="0.25">
      <c r="B86" s="140"/>
      <c r="D86" s="1440" t="s">
        <v>708</v>
      </c>
      <c r="E86" s="1440"/>
      <c r="F86" s="1440"/>
      <c r="G86" s="1440"/>
      <c r="H86" s="1440"/>
      <c r="I86" s="1440"/>
      <c r="J86" s="1440"/>
      <c r="K86" s="1440"/>
      <c r="L86" s="1440"/>
      <c r="M86" s="1440"/>
      <c r="N86" s="1440"/>
      <c r="O86" s="1440"/>
      <c r="P86" s="1440"/>
      <c r="Q86" s="1440"/>
      <c r="R86" s="1440"/>
      <c r="S86" s="1440"/>
      <c r="T86" s="1440"/>
      <c r="U86" s="1440"/>
      <c r="V86" s="1440"/>
      <c r="W86" s="1440"/>
      <c r="X86" s="1440"/>
      <c r="Y86" s="1440"/>
      <c r="Z86" s="1440"/>
      <c r="AA86" s="1440"/>
      <c r="AB86" s="1440"/>
      <c r="AC86" s="1440"/>
      <c r="AD86" s="1440"/>
      <c r="AE86" s="1440"/>
      <c r="AF86" s="1440"/>
      <c r="AG86" s="1440"/>
      <c r="AH86" s="1440"/>
      <c r="AI86" s="1440"/>
      <c r="AJ86" s="1440"/>
      <c r="AK86" s="1440"/>
      <c r="AL86" s="1440"/>
      <c r="AM86" s="1440"/>
      <c r="AN86" s="1440"/>
      <c r="AO86" s="1440"/>
      <c r="AP86" s="1440"/>
      <c r="AQ86" s="1440"/>
      <c r="AR86" s="1440"/>
      <c r="AS86" s="1440"/>
      <c r="AT86" s="1440"/>
      <c r="AU86" s="1440"/>
      <c r="AV86" s="1440"/>
      <c r="AW86" s="1440"/>
      <c r="AX86" s="1440"/>
      <c r="AY86" s="1440"/>
      <c r="AZ86" s="1440"/>
      <c r="BA86" s="1440"/>
      <c r="BB86" s="1440"/>
      <c r="BC86" s="1440"/>
      <c r="BD86" s="1440"/>
      <c r="BF86" s="141"/>
    </row>
    <row r="87" spans="1:70" x14ac:dyDescent="0.25">
      <c r="B87" s="140"/>
      <c r="D87" s="1444" t="s">
        <v>244</v>
      </c>
      <c r="E87" s="1444"/>
      <c r="F87" s="1440" t="s">
        <v>707</v>
      </c>
      <c r="G87" s="1440"/>
      <c r="H87" s="1440"/>
      <c r="I87" s="1440"/>
      <c r="J87" s="1440"/>
      <c r="K87" s="1440"/>
      <c r="L87" s="1440"/>
      <c r="M87" s="1440"/>
      <c r="N87" s="1440"/>
      <c r="O87" s="1440"/>
      <c r="P87" s="1440"/>
      <c r="Q87" s="1440"/>
      <c r="R87" s="1440"/>
      <c r="S87" s="1440"/>
      <c r="T87" s="1440"/>
      <c r="U87" s="1440"/>
      <c r="V87" s="1440"/>
      <c r="W87" s="1440"/>
      <c r="X87" s="1440"/>
      <c r="Y87" s="1440"/>
      <c r="Z87" s="1440"/>
      <c r="AA87" s="1440"/>
      <c r="AB87" s="1440"/>
      <c r="AC87" s="1440"/>
      <c r="AD87" s="1440"/>
      <c r="AE87" s="1440"/>
      <c r="AF87" s="1440"/>
      <c r="AG87" s="1440"/>
      <c r="AH87" s="1440"/>
      <c r="AI87" s="1440"/>
      <c r="AJ87" s="1440"/>
      <c r="AK87" s="1440"/>
      <c r="AL87" s="1440"/>
      <c r="AM87" s="1440"/>
      <c r="AN87" s="1440"/>
      <c r="AO87" s="1440"/>
      <c r="AP87" s="1440"/>
      <c r="AQ87" s="1440"/>
      <c r="AR87" s="1440"/>
      <c r="AS87" s="1440"/>
      <c r="AT87" s="1440"/>
      <c r="AU87" s="1440"/>
      <c r="AV87" s="1440"/>
      <c r="AW87" s="1440"/>
      <c r="AX87" s="1440"/>
      <c r="AY87" s="1440"/>
      <c r="AZ87" s="1440"/>
      <c r="BA87" s="1440"/>
      <c r="BB87" s="1440"/>
      <c r="BC87" s="1440"/>
      <c r="BD87" s="1440"/>
      <c r="BF87" s="141"/>
    </row>
    <row r="88" spans="1:70" x14ac:dyDescent="0.25">
      <c r="B88" s="140"/>
      <c r="D88" s="1442"/>
      <c r="E88" s="1442"/>
      <c r="F88" s="1440" t="s">
        <v>706</v>
      </c>
      <c r="G88" s="1440"/>
      <c r="H88" s="1440"/>
      <c r="I88" s="1440"/>
      <c r="J88" s="1440"/>
      <c r="K88" s="1440"/>
      <c r="L88" s="1440"/>
      <c r="M88" s="1440"/>
      <c r="N88" s="1440"/>
      <c r="O88" s="1440"/>
      <c r="P88" s="1440"/>
      <c r="Q88" s="1440"/>
      <c r="R88" s="1440"/>
      <c r="S88" s="1440"/>
      <c r="T88" s="1440"/>
      <c r="U88" s="1440"/>
      <c r="V88" s="1440"/>
      <c r="W88" s="1440"/>
      <c r="X88" s="1440"/>
      <c r="Y88" s="1440"/>
      <c r="Z88" s="1440"/>
      <c r="AA88" s="1440"/>
      <c r="AB88" s="1440"/>
      <c r="AC88" s="1440"/>
      <c r="AD88" s="1440"/>
      <c r="AE88" s="1440"/>
      <c r="AF88" s="1440"/>
      <c r="AG88" s="1440"/>
      <c r="AH88" s="1440"/>
      <c r="AI88" s="1440"/>
      <c r="AJ88" s="1440"/>
      <c r="AK88" s="1440"/>
      <c r="AL88" s="1440"/>
      <c r="AM88" s="1440"/>
      <c r="AN88" s="1440"/>
      <c r="AO88" s="1440"/>
      <c r="AP88" s="1440"/>
      <c r="AQ88" s="1440"/>
      <c r="AR88" s="1440"/>
      <c r="AS88" s="1440"/>
      <c r="AT88" s="1440"/>
      <c r="AU88" s="1440"/>
      <c r="AV88" s="1440"/>
      <c r="AW88" s="1440"/>
      <c r="AX88" s="1440"/>
      <c r="AY88" s="1440"/>
      <c r="AZ88" s="1440"/>
      <c r="BA88" s="1440"/>
      <c r="BB88" s="1440"/>
      <c r="BC88" s="1440"/>
      <c r="BD88" s="1440"/>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98" t="s">
        <v>1033</v>
      </c>
      <c r="C92" s="1399"/>
      <c r="D92" s="1399"/>
      <c r="E92" s="1399"/>
      <c r="F92" s="1399"/>
      <c r="G92" s="1399"/>
      <c r="H92" s="1399"/>
      <c r="I92" s="1399"/>
      <c r="J92" s="1399"/>
      <c r="K92" s="1399"/>
      <c r="L92" s="1399"/>
      <c r="M92" s="1399"/>
      <c r="N92" s="1399"/>
      <c r="O92" s="1399"/>
      <c r="P92" s="1399"/>
      <c r="Q92" s="1399"/>
      <c r="R92" s="1399"/>
      <c r="S92" s="1399"/>
      <c r="T92" s="1399"/>
      <c r="U92" s="1399"/>
      <c r="V92" s="1399"/>
      <c r="W92" s="1399"/>
      <c r="X92" s="1399"/>
      <c r="Y92" s="1399"/>
      <c r="Z92" s="1399"/>
      <c r="AA92" s="1399"/>
      <c r="AB92" s="1399"/>
      <c r="AC92" s="1399"/>
      <c r="AD92" s="1399"/>
      <c r="AE92" s="1399"/>
      <c r="AF92" s="1399"/>
      <c r="AG92" s="1399"/>
      <c r="AH92" s="1399"/>
      <c r="AI92" s="1399"/>
      <c r="AJ92" s="1399"/>
      <c r="AK92" s="1399"/>
      <c r="AL92" s="1399"/>
      <c r="AM92" s="1399"/>
      <c r="AN92" s="1399"/>
      <c r="AO92" s="1399"/>
      <c r="AP92" s="1399"/>
      <c r="AQ92" s="1399"/>
      <c r="AR92" s="1399"/>
      <c r="AS92" s="1399"/>
      <c r="AT92" s="1399"/>
      <c r="AU92" s="1399"/>
      <c r="AV92" s="1399"/>
      <c r="AW92" s="1399"/>
      <c r="AX92" s="1399"/>
      <c r="AY92" s="1399"/>
      <c r="AZ92" s="1399"/>
      <c r="BA92" s="1399"/>
      <c r="BB92" s="1399"/>
      <c r="BC92" s="1399"/>
      <c r="BD92" s="1399"/>
      <c r="BE92" s="1399"/>
      <c r="BF92" s="1400"/>
    </row>
    <row r="93" spans="1:70" ht="15.75" thickBot="1" x14ac:dyDescent="0.3">
      <c r="B93" s="140"/>
      <c r="BF93" s="141"/>
      <c r="BR93" s="297"/>
    </row>
    <row r="94" spans="1:70" ht="15.75" thickBot="1" x14ac:dyDescent="0.3">
      <c r="B94" s="140"/>
      <c r="D94" s="1435" t="s">
        <v>754</v>
      </c>
      <c r="E94" s="1405"/>
      <c r="F94" s="1405"/>
      <c r="G94" s="1405"/>
      <c r="H94" s="1405"/>
      <c r="I94" s="1405"/>
      <c r="J94" s="1405"/>
      <c r="K94" s="1404" t="s">
        <v>755</v>
      </c>
      <c r="L94" s="1405"/>
      <c r="M94" s="1405"/>
      <c r="N94" s="1405"/>
      <c r="O94" s="1405"/>
      <c r="P94" s="1405"/>
      <c r="Q94" s="1405"/>
      <c r="R94" s="1405"/>
      <c r="S94" s="1405"/>
      <c r="T94" s="1405"/>
      <c r="U94" s="1404" t="s">
        <v>815</v>
      </c>
      <c r="V94" s="1405"/>
      <c r="W94" s="1405"/>
      <c r="X94" s="1405"/>
      <c r="Y94" s="1405"/>
      <c r="Z94" s="1405"/>
      <c r="AA94" s="1405"/>
      <c r="AB94" s="1405"/>
      <c r="AC94" s="1405"/>
      <c r="AD94" s="1405"/>
      <c r="AE94" s="1405"/>
      <c r="AF94" s="1405"/>
      <c r="AG94" s="1405"/>
      <c r="AH94" s="1405"/>
      <c r="AI94" s="1405"/>
      <c r="AJ94" s="1404" t="s">
        <v>820</v>
      </c>
      <c r="AK94" s="1405"/>
      <c r="AL94" s="1405"/>
      <c r="AM94" s="1405"/>
      <c r="AN94" s="1405"/>
      <c r="AO94" s="1405"/>
      <c r="AP94" s="1405"/>
      <c r="AQ94" s="1405"/>
      <c r="AR94" s="1405"/>
      <c r="AS94" s="1405"/>
      <c r="AT94" s="1406"/>
      <c r="AU94" s="1404" t="s">
        <v>821</v>
      </c>
      <c r="AV94" s="1405"/>
      <c r="AW94" s="1405"/>
      <c r="AX94" s="1406"/>
      <c r="AY94" s="1404" t="s">
        <v>865</v>
      </c>
      <c r="AZ94" s="1405"/>
      <c r="BA94" s="1405"/>
      <c r="BB94" s="1405"/>
      <c r="BC94" s="1416"/>
      <c r="BF94" s="141"/>
    </row>
    <row r="95" spans="1:70" x14ac:dyDescent="0.25">
      <c r="B95" s="140"/>
      <c r="C95" s="672">
        <v>1</v>
      </c>
      <c r="D95" s="1434">
        <f>'Customer Inputs'!$B$6</f>
        <v>0</v>
      </c>
      <c r="E95" s="1434"/>
      <c r="F95" s="1434"/>
      <c r="G95" s="1434"/>
      <c r="H95" s="1434"/>
      <c r="I95" s="1434"/>
      <c r="J95" s="1434"/>
      <c r="K95" s="1421" t="str">
        <f>IFERROR(IFERROR('Multi-Customer'!$BA$39,VLOOKUP($D95,'Required Info to Submit'!$E$23:$J$32,2,FALSE)),"")</f>
        <v/>
      </c>
      <c r="L95" s="1421"/>
      <c r="M95" s="1421"/>
      <c r="N95" s="1421"/>
      <c r="O95" s="1421"/>
      <c r="P95" s="1421"/>
      <c r="Q95" s="1421"/>
      <c r="R95" s="1421"/>
      <c r="S95" s="1421"/>
      <c r="T95" s="1421"/>
      <c r="U95" s="1421" t="str">
        <f>IFERROR(IFERROR('Multi-Customer'!$BA$41&amp;" "&amp;'Multi-Customer'!$BA$42,VLOOKUP($D95,'Required Info to Submit'!$E$23:$J$32,3,FALSE)),"")</f>
        <v/>
      </c>
      <c r="V95" s="1421"/>
      <c r="W95" s="1421"/>
      <c r="X95" s="1421"/>
      <c r="Y95" s="1421"/>
      <c r="Z95" s="1421"/>
      <c r="AA95" s="1421"/>
      <c r="AB95" s="1421"/>
      <c r="AC95" s="1421"/>
      <c r="AD95" s="1421"/>
      <c r="AE95" s="1421"/>
      <c r="AF95" s="1421"/>
      <c r="AG95" s="1421"/>
      <c r="AH95" s="1421"/>
      <c r="AI95" s="1421"/>
      <c r="AJ95" s="1428" t="str">
        <f>IFERROR(IFERROR('Multi-Customer'!$BA$43,VLOOKUP($D95,'Required Info to Submit'!$E$23:$J$32,4,FALSE)),"")</f>
        <v/>
      </c>
      <c r="AK95" s="1429"/>
      <c r="AL95" s="1429"/>
      <c r="AM95" s="1429"/>
      <c r="AN95" s="1429"/>
      <c r="AO95" s="1429"/>
      <c r="AP95" s="1429"/>
      <c r="AQ95" s="1429"/>
      <c r="AR95" s="1429"/>
      <c r="AS95" s="1429"/>
      <c r="AT95" s="1430"/>
      <c r="AU95" s="1401" t="str">
        <f>IFERROR(IFERROR('Multi-Customer'!$BA$44,VLOOKUP($D95,'Required Info to Submit'!$E$23:$J$32,5,FALSE)),"")</f>
        <v/>
      </c>
      <c r="AV95" s="1402"/>
      <c r="AW95" s="1402"/>
      <c r="AX95" s="1403"/>
      <c r="AY95" s="1413" t="str">
        <f>IFERROR(IFERROR('Multi-Customer'!$BA$45,VLOOKUP($D95,'Required Info to Submit'!$E$23:$J$32,6,FALSE)),"")</f>
        <v/>
      </c>
      <c r="AZ95" s="1414"/>
      <c r="BA95" s="1414"/>
      <c r="BB95" s="1414"/>
      <c r="BC95" s="1415"/>
      <c r="BF95" s="141"/>
    </row>
    <row r="96" spans="1:70" x14ac:dyDescent="0.25">
      <c r="B96" s="140"/>
      <c r="C96" s="673">
        <v>2</v>
      </c>
      <c r="D96" s="1433">
        <f>'Customer Inputs'!$B$7</f>
        <v>0</v>
      </c>
      <c r="E96" s="1433"/>
      <c r="F96" s="1433"/>
      <c r="G96" s="1433"/>
      <c r="H96" s="1433"/>
      <c r="I96" s="1433"/>
      <c r="J96" s="1433"/>
      <c r="K96" s="1420" t="str">
        <f>IFERROR(IFERROR('Multi-Customer'!$BW$39,VLOOKUP($D96,'Required Info to Submit'!$E$23:$J$32,2,FALSE)),"")</f>
        <v/>
      </c>
      <c r="L96" s="1420"/>
      <c r="M96" s="1420"/>
      <c r="N96" s="1420"/>
      <c r="O96" s="1420"/>
      <c r="P96" s="1420"/>
      <c r="Q96" s="1420"/>
      <c r="R96" s="1420"/>
      <c r="S96" s="1420"/>
      <c r="T96" s="1420"/>
      <c r="U96" s="1420" t="str">
        <f>IFERROR(IFERROR('Multi-Customer'!$BW$41&amp;" "&amp;'Multi-Customer'!$BW$42,VLOOKUP($D96,'Required Info to Submit'!$E$23:$J$32,3,FALSE)),"")</f>
        <v/>
      </c>
      <c r="V96" s="1420"/>
      <c r="W96" s="1420"/>
      <c r="X96" s="1420"/>
      <c r="Y96" s="1420"/>
      <c r="Z96" s="1420"/>
      <c r="AA96" s="1420"/>
      <c r="AB96" s="1420"/>
      <c r="AC96" s="1420"/>
      <c r="AD96" s="1420"/>
      <c r="AE96" s="1420"/>
      <c r="AF96" s="1420"/>
      <c r="AG96" s="1420"/>
      <c r="AH96" s="1420"/>
      <c r="AI96" s="1420"/>
      <c r="AJ96" s="1425" t="str">
        <f>IFERROR(IFERROR('Multi-Customer'!$BW$43,VLOOKUP($D96,'Required Info to Submit'!$E$23:$J$32,4,FALSE)),"")</f>
        <v/>
      </c>
      <c r="AK96" s="1426"/>
      <c r="AL96" s="1426"/>
      <c r="AM96" s="1426"/>
      <c r="AN96" s="1426"/>
      <c r="AO96" s="1426"/>
      <c r="AP96" s="1426"/>
      <c r="AQ96" s="1426"/>
      <c r="AR96" s="1426"/>
      <c r="AS96" s="1426"/>
      <c r="AT96" s="1427"/>
      <c r="AU96" s="1348" t="str">
        <f>IFERROR(IFERROR('Multi-Customer'!$BW$44,VLOOKUP($D96,'Required Info to Submit'!$E$23:$J$32,5,FALSE)),"")</f>
        <v/>
      </c>
      <c r="AV96" s="1349"/>
      <c r="AW96" s="1349"/>
      <c r="AX96" s="1350"/>
      <c r="AY96" s="1410" t="str">
        <f>IFERROR(IFERROR('Multi-Customer'!$BW$45,VLOOKUP($D96,'Required Info to Submit'!$E$23:$J$32,6,FALSE)),"")</f>
        <v/>
      </c>
      <c r="AZ96" s="1411"/>
      <c r="BA96" s="1411"/>
      <c r="BB96" s="1411"/>
      <c r="BC96" s="1412"/>
      <c r="BF96" s="141"/>
    </row>
    <row r="97" spans="2:58" x14ac:dyDescent="0.25">
      <c r="B97" s="140"/>
      <c r="C97" s="673">
        <v>3</v>
      </c>
      <c r="D97" s="1433">
        <f>'Customer Inputs'!$B$8</f>
        <v>0</v>
      </c>
      <c r="E97" s="1433"/>
      <c r="F97" s="1433"/>
      <c r="G97" s="1433"/>
      <c r="H97" s="1433"/>
      <c r="I97" s="1433"/>
      <c r="J97" s="1433"/>
      <c r="K97" s="1420" t="str">
        <f>IFERROR(IFERROR('Multi-Customer'!$CS$39,VLOOKUP($D97,'Required Info to Submit'!$E$23:$J$32,2,FALSE)),"")</f>
        <v/>
      </c>
      <c r="L97" s="1420"/>
      <c r="M97" s="1420"/>
      <c r="N97" s="1420"/>
      <c r="O97" s="1420"/>
      <c r="P97" s="1420"/>
      <c r="Q97" s="1420"/>
      <c r="R97" s="1420"/>
      <c r="S97" s="1420"/>
      <c r="T97" s="1420"/>
      <c r="U97" s="1420" t="str">
        <f>IFERROR(IFERROR('Multi-Customer'!$CS$41&amp;" "&amp;'Multi-Customer'!$CS$42,VLOOKUP($D97,'Required Info to Submit'!$E$23:$J$32,3,FALSE)),"")</f>
        <v/>
      </c>
      <c r="V97" s="1420"/>
      <c r="W97" s="1420"/>
      <c r="X97" s="1420"/>
      <c r="Y97" s="1420"/>
      <c r="Z97" s="1420"/>
      <c r="AA97" s="1420"/>
      <c r="AB97" s="1420"/>
      <c r="AC97" s="1420"/>
      <c r="AD97" s="1420"/>
      <c r="AE97" s="1420"/>
      <c r="AF97" s="1420"/>
      <c r="AG97" s="1420"/>
      <c r="AH97" s="1420"/>
      <c r="AI97" s="1420"/>
      <c r="AJ97" s="1425" t="str">
        <f>IFERROR(IFERROR('Multi-Customer'!$CS$43,VLOOKUP($D97,'Required Info to Submit'!$E$23:$J$32,4,FALSE)),"")</f>
        <v/>
      </c>
      <c r="AK97" s="1426"/>
      <c r="AL97" s="1426"/>
      <c r="AM97" s="1426"/>
      <c r="AN97" s="1426"/>
      <c r="AO97" s="1426"/>
      <c r="AP97" s="1426"/>
      <c r="AQ97" s="1426"/>
      <c r="AR97" s="1426"/>
      <c r="AS97" s="1426"/>
      <c r="AT97" s="1427"/>
      <c r="AU97" s="1348" t="str">
        <f>IFERROR(IFERROR('Multi-Customer'!$CS$44,VLOOKUP($D97,'Required Info to Submit'!$E$23:$J$32,5,FALSE)),"")</f>
        <v/>
      </c>
      <c r="AV97" s="1349"/>
      <c r="AW97" s="1349"/>
      <c r="AX97" s="1350"/>
      <c r="AY97" s="1410" t="str">
        <f>IFERROR(IFERROR('Multi-Customer'!$CS$45,VLOOKUP($D97,'Required Info to Submit'!$E$23:$J$32,6,FALSE)),"")</f>
        <v/>
      </c>
      <c r="AZ97" s="1411"/>
      <c r="BA97" s="1411"/>
      <c r="BB97" s="1411"/>
      <c r="BC97" s="1412"/>
      <c r="BF97" s="141"/>
    </row>
    <row r="98" spans="2:58" x14ac:dyDescent="0.25">
      <c r="B98" s="140"/>
      <c r="C98" s="673">
        <v>4</v>
      </c>
      <c r="D98" s="1433">
        <f>'Customer Inputs'!$B$9</f>
        <v>0</v>
      </c>
      <c r="E98" s="1433"/>
      <c r="F98" s="1433"/>
      <c r="G98" s="1433"/>
      <c r="H98" s="1433"/>
      <c r="I98" s="1433"/>
      <c r="J98" s="1433"/>
      <c r="K98" s="1420" t="str">
        <f>IFERROR(IFERROR('Multi-Customer'!$DO$39,VLOOKUP($D98,'Required Info to Submit'!$E$23:$J$32,2,FALSE)),"")</f>
        <v/>
      </c>
      <c r="L98" s="1420"/>
      <c r="M98" s="1420"/>
      <c r="N98" s="1420"/>
      <c r="O98" s="1420"/>
      <c r="P98" s="1420"/>
      <c r="Q98" s="1420"/>
      <c r="R98" s="1420"/>
      <c r="S98" s="1420"/>
      <c r="T98" s="1420"/>
      <c r="U98" s="1420" t="str">
        <f>IFERROR(IFERROR('Multi-Customer'!$DO$41&amp;" "&amp;'Multi-Customer'!$DO$42,VLOOKUP($D98,'Required Info to Submit'!$E$23:$J$32,3,FALSE)),"")</f>
        <v/>
      </c>
      <c r="V98" s="1420"/>
      <c r="W98" s="1420"/>
      <c r="X98" s="1420"/>
      <c r="Y98" s="1420"/>
      <c r="Z98" s="1420"/>
      <c r="AA98" s="1420"/>
      <c r="AB98" s="1420"/>
      <c r="AC98" s="1420"/>
      <c r="AD98" s="1420"/>
      <c r="AE98" s="1420"/>
      <c r="AF98" s="1420"/>
      <c r="AG98" s="1420"/>
      <c r="AH98" s="1420"/>
      <c r="AI98" s="1420"/>
      <c r="AJ98" s="1425" t="str">
        <f>IFERROR(IFERROR('Multi-Customer'!$DO$43,VLOOKUP($D98,'Required Info to Submit'!$E$23:$J$32,4,FALSE)),"")</f>
        <v/>
      </c>
      <c r="AK98" s="1426"/>
      <c r="AL98" s="1426"/>
      <c r="AM98" s="1426"/>
      <c r="AN98" s="1426"/>
      <c r="AO98" s="1426"/>
      <c r="AP98" s="1426"/>
      <c r="AQ98" s="1426"/>
      <c r="AR98" s="1426"/>
      <c r="AS98" s="1426"/>
      <c r="AT98" s="1427"/>
      <c r="AU98" s="1348" t="str">
        <f>IFERROR(IFERROR('Multi-Customer'!$DO$44,VLOOKUP($D98,'Required Info to Submit'!$E$23:$J$32,5,FALSE)),"")</f>
        <v/>
      </c>
      <c r="AV98" s="1349"/>
      <c r="AW98" s="1349"/>
      <c r="AX98" s="1350"/>
      <c r="AY98" s="1410" t="str">
        <f>IFERROR(IFERROR('Multi-Customer'!$DO$45,VLOOKUP($D98,'Required Info to Submit'!$E$23:$J$32,6,FALSE)),"")</f>
        <v/>
      </c>
      <c r="AZ98" s="1411"/>
      <c r="BA98" s="1411"/>
      <c r="BB98" s="1411"/>
      <c r="BC98" s="1412"/>
      <c r="BF98" s="141"/>
    </row>
    <row r="99" spans="2:58" x14ac:dyDescent="0.25">
      <c r="B99" s="140"/>
      <c r="C99" s="673">
        <v>5</v>
      </c>
      <c r="D99" s="1433">
        <f>'Customer Inputs'!$B$10</f>
        <v>0</v>
      </c>
      <c r="E99" s="1433"/>
      <c r="F99" s="1433"/>
      <c r="G99" s="1433"/>
      <c r="H99" s="1433"/>
      <c r="I99" s="1433"/>
      <c r="J99" s="1433"/>
      <c r="K99" s="1420" t="str">
        <f>IFERROR(IFERROR('Multi-Customer'!$EK$39,VLOOKUP($D99,'Required Info to Submit'!$E$23:$J$32,2,FALSE)),"")</f>
        <v/>
      </c>
      <c r="L99" s="1420"/>
      <c r="M99" s="1420"/>
      <c r="N99" s="1420"/>
      <c r="O99" s="1420"/>
      <c r="P99" s="1420"/>
      <c r="Q99" s="1420"/>
      <c r="R99" s="1420"/>
      <c r="S99" s="1420"/>
      <c r="T99" s="1420"/>
      <c r="U99" s="1420" t="str">
        <f>IFERROR(IFERROR('Multi-Customer'!$EK$41&amp;" "&amp;'Multi-Customer'!$EK$42,VLOOKUP($D99,'Required Info to Submit'!$E$23:$J$32,3,FALSE)),"")</f>
        <v/>
      </c>
      <c r="V99" s="1420"/>
      <c r="W99" s="1420"/>
      <c r="X99" s="1420"/>
      <c r="Y99" s="1420"/>
      <c r="Z99" s="1420"/>
      <c r="AA99" s="1420"/>
      <c r="AB99" s="1420"/>
      <c r="AC99" s="1420"/>
      <c r="AD99" s="1420"/>
      <c r="AE99" s="1420"/>
      <c r="AF99" s="1420"/>
      <c r="AG99" s="1420"/>
      <c r="AH99" s="1420"/>
      <c r="AI99" s="1420"/>
      <c r="AJ99" s="1425" t="str">
        <f>IFERROR(IFERROR('Multi-Customer'!$EK$43,VLOOKUP($D99,'Required Info to Submit'!$E$23:$J$32,4,FALSE)),"")</f>
        <v/>
      </c>
      <c r="AK99" s="1426"/>
      <c r="AL99" s="1426"/>
      <c r="AM99" s="1426"/>
      <c r="AN99" s="1426"/>
      <c r="AO99" s="1426"/>
      <c r="AP99" s="1426"/>
      <c r="AQ99" s="1426"/>
      <c r="AR99" s="1426"/>
      <c r="AS99" s="1426"/>
      <c r="AT99" s="1427"/>
      <c r="AU99" s="1348" t="str">
        <f>IFERROR(IFERROR('Multi-Customer'!$EK$44,VLOOKUP($D99,'Required Info to Submit'!$E$23:$J$32,5,FALSE)),"")</f>
        <v/>
      </c>
      <c r="AV99" s="1349"/>
      <c r="AW99" s="1349"/>
      <c r="AX99" s="1350"/>
      <c r="AY99" s="1410" t="str">
        <f>IFERROR(IFERROR('Multi-Customer'!$EK$45,VLOOKUP($D99,'Required Info to Submit'!$E$23:$J$32,6,FALSE)),"")</f>
        <v/>
      </c>
      <c r="AZ99" s="1411"/>
      <c r="BA99" s="1411"/>
      <c r="BB99" s="1411"/>
      <c r="BC99" s="1412"/>
      <c r="BF99" s="141"/>
    </row>
    <row r="100" spans="2:58" x14ac:dyDescent="0.25">
      <c r="B100" s="140"/>
      <c r="C100" s="673">
        <v>6</v>
      </c>
      <c r="D100" s="1433">
        <f>'Customer Inputs'!$B$11</f>
        <v>0</v>
      </c>
      <c r="E100" s="1433"/>
      <c r="F100" s="1433"/>
      <c r="G100" s="1433"/>
      <c r="H100" s="1433"/>
      <c r="I100" s="1433"/>
      <c r="J100" s="1433"/>
      <c r="K100" s="1420" t="str">
        <f>IFERROR(IFERROR('Multi-Customer'!$FG$39,VLOOKUP($D100,'Required Info to Submit'!$E$23:$J$32,2,FALSE)),"")</f>
        <v/>
      </c>
      <c r="L100" s="1420"/>
      <c r="M100" s="1420"/>
      <c r="N100" s="1420"/>
      <c r="O100" s="1420"/>
      <c r="P100" s="1420"/>
      <c r="Q100" s="1420"/>
      <c r="R100" s="1420"/>
      <c r="S100" s="1420"/>
      <c r="T100" s="1420"/>
      <c r="U100" s="1420" t="str">
        <f>IFERROR(IFERROR('Multi-Customer'!$FG$41&amp;" "&amp;'Multi-Customer'!$FG$42,VLOOKUP($D100,'Required Info to Submit'!$E$23:$J$32,3,FALSE)),"")</f>
        <v/>
      </c>
      <c r="V100" s="1420"/>
      <c r="W100" s="1420"/>
      <c r="X100" s="1420"/>
      <c r="Y100" s="1420"/>
      <c r="Z100" s="1420"/>
      <c r="AA100" s="1420"/>
      <c r="AB100" s="1420"/>
      <c r="AC100" s="1420"/>
      <c r="AD100" s="1420"/>
      <c r="AE100" s="1420"/>
      <c r="AF100" s="1420"/>
      <c r="AG100" s="1420"/>
      <c r="AH100" s="1420"/>
      <c r="AI100" s="1420"/>
      <c r="AJ100" s="1425" t="str">
        <f>IFERROR(IFERROR('Multi-Customer'!$FG$43,VLOOKUP($D100,'Required Info to Submit'!$E$23:$J$32,4,FALSE)),"")</f>
        <v/>
      </c>
      <c r="AK100" s="1426"/>
      <c r="AL100" s="1426"/>
      <c r="AM100" s="1426"/>
      <c r="AN100" s="1426"/>
      <c r="AO100" s="1426"/>
      <c r="AP100" s="1426"/>
      <c r="AQ100" s="1426"/>
      <c r="AR100" s="1426"/>
      <c r="AS100" s="1426"/>
      <c r="AT100" s="1427"/>
      <c r="AU100" s="1348" t="str">
        <f>IFERROR(IFERROR('Multi-Customer'!$FG$44,VLOOKUP($D100,'Required Info to Submit'!$E$23:$J$32,5,FALSE)),"")</f>
        <v/>
      </c>
      <c r="AV100" s="1349"/>
      <c r="AW100" s="1349"/>
      <c r="AX100" s="1350"/>
      <c r="AY100" s="1410" t="str">
        <f>IFERROR(IFERROR('Multi-Customer'!$FG$45,VLOOKUP($D100,'Required Info to Submit'!$E$23:$J$32,6,FALSE)),"")</f>
        <v/>
      </c>
      <c r="AZ100" s="1411"/>
      <c r="BA100" s="1411"/>
      <c r="BB100" s="1411"/>
      <c r="BC100" s="1412"/>
      <c r="BF100" s="141"/>
    </row>
    <row r="101" spans="2:58" x14ac:dyDescent="0.25">
      <c r="B101" s="140"/>
      <c r="C101" s="673">
        <v>7</v>
      </c>
      <c r="D101" s="1433">
        <f>'Customer Inputs'!$B$12</f>
        <v>0</v>
      </c>
      <c r="E101" s="1433"/>
      <c r="F101" s="1433"/>
      <c r="G101" s="1433"/>
      <c r="H101" s="1433"/>
      <c r="I101" s="1433"/>
      <c r="J101" s="1433"/>
      <c r="K101" s="1420" t="str">
        <f>IFERROR(IFERROR('Multi-Customer'!$GC$39,VLOOKUP($D101,'Required Info to Submit'!$E$23:$J$32,2,FALSE)),"")</f>
        <v/>
      </c>
      <c r="L101" s="1420"/>
      <c r="M101" s="1420"/>
      <c r="N101" s="1420"/>
      <c r="O101" s="1420"/>
      <c r="P101" s="1420"/>
      <c r="Q101" s="1420"/>
      <c r="R101" s="1420"/>
      <c r="S101" s="1420"/>
      <c r="T101" s="1420"/>
      <c r="U101" s="1420" t="str">
        <f>IFERROR(IFERROR('Multi-Customer'!$GC$41&amp;" "&amp;'Multi-Customer'!$GC$42,VLOOKUP($D101,'Required Info to Submit'!$E$23:$J$32,3,FALSE)),"")</f>
        <v/>
      </c>
      <c r="V101" s="1420"/>
      <c r="W101" s="1420"/>
      <c r="X101" s="1420"/>
      <c r="Y101" s="1420"/>
      <c r="Z101" s="1420"/>
      <c r="AA101" s="1420"/>
      <c r="AB101" s="1420"/>
      <c r="AC101" s="1420"/>
      <c r="AD101" s="1420"/>
      <c r="AE101" s="1420"/>
      <c r="AF101" s="1420"/>
      <c r="AG101" s="1420"/>
      <c r="AH101" s="1420"/>
      <c r="AI101" s="1420"/>
      <c r="AJ101" s="1425" t="str">
        <f>IFERROR(IFERROR('Multi-Customer'!$GC$43,VLOOKUP($D101,'Required Info to Submit'!$E$23:$J$32,4,FALSE)),"")</f>
        <v/>
      </c>
      <c r="AK101" s="1426"/>
      <c r="AL101" s="1426"/>
      <c r="AM101" s="1426"/>
      <c r="AN101" s="1426"/>
      <c r="AO101" s="1426"/>
      <c r="AP101" s="1426"/>
      <c r="AQ101" s="1426"/>
      <c r="AR101" s="1426"/>
      <c r="AS101" s="1426"/>
      <c r="AT101" s="1427"/>
      <c r="AU101" s="1348" t="str">
        <f>IFERROR(IFERROR('Multi-Customer'!$GC$44,VLOOKUP($D101,'Required Info to Submit'!$E$23:$J$32,5,FALSE)),"")</f>
        <v/>
      </c>
      <c r="AV101" s="1349"/>
      <c r="AW101" s="1349"/>
      <c r="AX101" s="1350"/>
      <c r="AY101" s="1410" t="str">
        <f>IFERROR(IFERROR('Multi-Customer'!$GC$45,VLOOKUP($D101,'Required Info to Submit'!$E$23:$J$32,6,FALSE)),"")</f>
        <v/>
      </c>
      <c r="AZ101" s="1411"/>
      <c r="BA101" s="1411"/>
      <c r="BB101" s="1411"/>
      <c r="BC101" s="1412"/>
      <c r="BF101" s="141"/>
    </row>
    <row r="102" spans="2:58" x14ac:dyDescent="0.25">
      <c r="B102" s="140"/>
      <c r="C102" s="673">
        <v>8</v>
      </c>
      <c r="D102" s="1433">
        <f>'Customer Inputs'!$B$13</f>
        <v>0</v>
      </c>
      <c r="E102" s="1433"/>
      <c r="F102" s="1433"/>
      <c r="G102" s="1433"/>
      <c r="H102" s="1433"/>
      <c r="I102" s="1433"/>
      <c r="J102" s="1433"/>
      <c r="K102" s="1420" t="str">
        <f>IFERROR(IFERROR('Multi-Customer'!$GY$39,VLOOKUP($D102,'Required Info to Submit'!$E$23:$J$32,2,FALSE)),"")</f>
        <v/>
      </c>
      <c r="L102" s="1420"/>
      <c r="M102" s="1420"/>
      <c r="N102" s="1420"/>
      <c r="O102" s="1420"/>
      <c r="P102" s="1420"/>
      <c r="Q102" s="1420"/>
      <c r="R102" s="1420"/>
      <c r="S102" s="1420"/>
      <c r="T102" s="1420"/>
      <c r="U102" s="1420" t="str">
        <f>IFERROR(IFERROR('Multi-Customer'!$GY$41&amp;" "&amp;'Multi-Customer'!$GY$42,VLOOKUP($D102,'Required Info to Submit'!$E$23:$J$32,3,FALSE)),"")</f>
        <v/>
      </c>
      <c r="V102" s="1420"/>
      <c r="W102" s="1420"/>
      <c r="X102" s="1420"/>
      <c r="Y102" s="1420"/>
      <c r="Z102" s="1420"/>
      <c r="AA102" s="1420"/>
      <c r="AB102" s="1420"/>
      <c r="AC102" s="1420"/>
      <c r="AD102" s="1420"/>
      <c r="AE102" s="1420"/>
      <c r="AF102" s="1420"/>
      <c r="AG102" s="1420"/>
      <c r="AH102" s="1420"/>
      <c r="AI102" s="1420"/>
      <c r="AJ102" s="1425" t="str">
        <f>IFERROR(IFERROR('Multi-Customer'!$GY$43,VLOOKUP($D102,'Required Info to Submit'!$E$23:$J$32,4,FALSE)),"")</f>
        <v/>
      </c>
      <c r="AK102" s="1426"/>
      <c r="AL102" s="1426"/>
      <c r="AM102" s="1426"/>
      <c r="AN102" s="1426"/>
      <c r="AO102" s="1426"/>
      <c r="AP102" s="1426"/>
      <c r="AQ102" s="1426"/>
      <c r="AR102" s="1426"/>
      <c r="AS102" s="1426"/>
      <c r="AT102" s="1427"/>
      <c r="AU102" s="1348" t="str">
        <f>IFERROR(IFERROR('Multi-Customer'!$GY$44,VLOOKUP($D102,'Required Info to Submit'!$E$23:$J$32,5,FALSE)),"")</f>
        <v/>
      </c>
      <c r="AV102" s="1349"/>
      <c r="AW102" s="1349"/>
      <c r="AX102" s="1350"/>
      <c r="AY102" s="1410" t="str">
        <f>IFERROR(IFERROR('Multi-Customer'!$GY$45,VLOOKUP($D102,'Required Info to Submit'!$E$23:$J$32,6,FALSE)),"")</f>
        <v/>
      </c>
      <c r="AZ102" s="1411"/>
      <c r="BA102" s="1411"/>
      <c r="BB102" s="1411"/>
      <c r="BC102" s="1412"/>
      <c r="BF102" s="141"/>
    </row>
    <row r="103" spans="2:58" x14ac:dyDescent="0.25">
      <c r="B103" s="140"/>
      <c r="C103" s="673">
        <v>9</v>
      </c>
      <c r="D103" s="1433">
        <f>'Customer Inputs'!$B$14</f>
        <v>0</v>
      </c>
      <c r="E103" s="1433"/>
      <c r="F103" s="1433"/>
      <c r="G103" s="1433"/>
      <c r="H103" s="1433"/>
      <c r="I103" s="1433"/>
      <c r="J103" s="1433"/>
      <c r="K103" s="1420" t="str">
        <f>IFERROR(IFERROR('Multi-Customer'!$HU$39,VLOOKUP($D103,'Required Info to Submit'!$E$23:$J$32,2,FALSE)),"")</f>
        <v/>
      </c>
      <c r="L103" s="1420"/>
      <c r="M103" s="1420"/>
      <c r="N103" s="1420"/>
      <c r="O103" s="1420"/>
      <c r="P103" s="1420"/>
      <c r="Q103" s="1420"/>
      <c r="R103" s="1420"/>
      <c r="S103" s="1420"/>
      <c r="T103" s="1420"/>
      <c r="U103" s="1420" t="str">
        <f>IFERROR(IFERROR('Multi-Customer'!$HU$41&amp;" "&amp;'Multi-Customer'!$HU$42,VLOOKUP($D103,'Required Info to Submit'!$E$23:$J$32,3,FALSE)),"")</f>
        <v/>
      </c>
      <c r="V103" s="1420"/>
      <c r="W103" s="1420"/>
      <c r="X103" s="1420"/>
      <c r="Y103" s="1420"/>
      <c r="Z103" s="1420"/>
      <c r="AA103" s="1420"/>
      <c r="AB103" s="1420"/>
      <c r="AC103" s="1420"/>
      <c r="AD103" s="1420"/>
      <c r="AE103" s="1420"/>
      <c r="AF103" s="1420"/>
      <c r="AG103" s="1420"/>
      <c r="AH103" s="1420"/>
      <c r="AI103" s="1420"/>
      <c r="AJ103" s="1425" t="str">
        <f>IFERROR(IFERROR('Multi-Customer'!$HU$43,VLOOKUP($D103,'Required Info to Submit'!$E$23:$J$32,4,FALSE)),"")</f>
        <v/>
      </c>
      <c r="AK103" s="1426"/>
      <c r="AL103" s="1426"/>
      <c r="AM103" s="1426"/>
      <c r="AN103" s="1426"/>
      <c r="AO103" s="1426"/>
      <c r="AP103" s="1426"/>
      <c r="AQ103" s="1426"/>
      <c r="AR103" s="1426"/>
      <c r="AS103" s="1426"/>
      <c r="AT103" s="1427"/>
      <c r="AU103" s="1348" t="str">
        <f>IFERROR(IFERROR('Multi-Customer'!$HU$44,VLOOKUP($D103,'Required Info to Submit'!$E$23:$J$32,5,FALSE)),"")</f>
        <v/>
      </c>
      <c r="AV103" s="1349"/>
      <c r="AW103" s="1349"/>
      <c r="AX103" s="1350"/>
      <c r="AY103" s="1410" t="str">
        <f>IFERROR(IFERROR('Multi-Customer'!$HU$45,VLOOKUP($D103,'Required Info to Submit'!$E$23:$J$32,6,FALSE)),"")</f>
        <v/>
      </c>
      <c r="AZ103" s="1411"/>
      <c r="BA103" s="1411"/>
      <c r="BB103" s="1411"/>
      <c r="BC103" s="1412"/>
      <c r="BF103" s="141"/>
    </row>
    <row r="104" spans="2:58" ht="15.75" thickBot="1" x14ac:dyDescent="0.3">
      <c r="B104" s="140"/>
      <c r="C104" s="674">
        <v>10</v>
      </c>
      <c r="D104" s="1432">
        <f>'Customer Inputs'!$B$15</f>
        <v>0</v>
      </c>
      <c r="E104" s="1432"/>
      <c r="F104" s="1432"/>
      <c r="G104" s="1432"/>
      <c r="H104" s="1432"/>
      <c r="I104" s="1432"/>
      <c r="J104" s="1432"/>
      <c r="K104" s="1431" t="str">
        <f>IFERROR(IFERROR('Multi-Customer'!$IQ$39,VLOOKUP($D104,'Required Info to Submit'!$E$23:$J$32,2,FALSE)),"")</f>
        <v/>
      </c>
      <c r="L104" s="1431"/>
      <c r="M104" s="1431"/>
      <c r="N104" s="1431"/>
      <c r="O104" s="1431"/>
      <c r="P104" s="1431"/>
      <c r="Q104" s="1431"/>
      <c r="R104" s="1431"/>
      <c r="S104" s="1431"/>
      <c r="T104" s="1431"/>
      <c r="U104" s="1431" t="str">
        <f>IFERROR(IFERROR('Multi-Customer'!$IQ$41&amp;" "&amp;'Multi-Customer'!$IQ$42,VLOOKUP($D104,'Required Info to Submit'!$E$23:$J$32,3,FALSE)),"")</f>
        <v/>
      </c>
      <c r="V104" s="1431"/>
      <c r="W104" s="1431"/>
      <c r="X104" s="1431"/>
      <c r="Y104" s="1431"/>
      <c r="Z104" s="1431"/>
      <c r="AA104" s="1431"/>
      <c r="AB104" s="1431"/>
      <c r="AC104" s="1431"/>
      <c r="AD104" s="1431"/>
      <c r="AE104" s="1431"/>
      <c r="AF104" s="1431"/>
      <c r="AG104" s="1431"/>
      <c r="AH104" s="1431"/>
      <c r="AI104" s="1431"/>
      <c r="AJ104" s="1422" t="str">
        <f>IFERROR(IFERROR('Multi-Customer'!$IQ$43,VLOOKUP($D104,'Required Info to Submit'!$E$23:$J$32,4,FALSE)),"")</f>
        <v/>
      </c>
      <c r="AK104" s="1423"/>
      <c r="AL104" s="1423"/>
      <c r="AM104" s="1423"/>
      <c r="AN104" s="1423"/>
      <c r="AO104" s="1423"/>
      <c r="AP104" s="1423"/>
      <c r="AQ104" s="1423"/>
      <c r="AR104" s="1423"/>
      <c r="AS104" s="1423"/>
      <c r="AT104" s="1424"/>
      <c r="AU104" s="1417" t="str">
        <f>IFERROR(IFERROR('Multi-Customer'!$IQ$44,VLOOKUP($D104,'Required Info to Submit'!$E$23:$J$32,5,FALSE)),"")</f>
        <v/>
      </c>
      <c r="AV104" s="1418"/>
      <c r="AW104" s="1418"/>
      <c r="AX104" s="1419"/>
      <c r="AY104" s="1407" t="str">
        <f>IFERROR(IFERROR('Multi-Customer'!$IQ$45,VLOOKUP($D104,'Required Info to Submit'!$E$23:$J$32,6,FALSE)),"")</f>
        <v/>
      </c>
      <c r="AZ104" s="1408"/>
      <c r="BA104" s="1408"/>
      <c r="BB104" s="1408"/>
      <c r="BC104" s="1409"/>
      <c r="BF104" s="141"/>
    </row>
    <row r="105" spans="2:58" x14ac:dyDescent="0.25">
      <c r="B105" s="140"/>
      <c r="BF105" s="141"/>
    </row>
    <row r="106" spans="2:58" x14ac:dyDescent="0.25">
      <c r="B106" s="140"/>
      <c r="BF106" s="141"/>
    </row>
    <row r="107" spans="2:58" ht="18.75" x14ac:dyDescent="0.3">
      <c r="B107" s="1398" t="s">
        <v>1041</v>
      </c>
      <c r="C107" s="1399"/>
      <c r="D107" s="1399"/>
      <c r="E107" s="1399"/>
      <c r="F107" s="1399"/>
      <c r="G107" s="1399"/>
      <c r="H107" s="1399"/>
      <c r="I107" s="1399"/>
      <c r="J107" s="1399"/>
      <c r="K107" s="1399"/>
      <c r="L107" s="1399"/>
      <c r="M107" s="1399"/>
      <c r="N107" s="1399"/>
      <c r="O107" s="1399"/>
      <c r="P107" s="1399"/>
      <c r="Q107" s="1399"/>
      <c r="R107" s="1399"/>
      <c r="S107" s="1399"/>
      <c r="T107" s="1399"/>
      <c r="U107" s="1399"/>
      <c r="V107" s="1399"/>
      <c r="W107" s="1399"/>
      <c r="X107" s="1399"/>
      <c r="Y107" s="1399"/>
      <c r="Z107" s="1399"/>
      <c r="AA107" s="1399"/>
      <c r="AB107" s="1399"/>
      <c r="AC107" s="1399"/>
      <c r="AD107" s="1399"/>
      <c r="AE107" s="1399"/>
      <c r="AF107" s="1399"/>
      <c r="AG107" s="1399"/>
      <c r="AH107" s="1399"/>
      <c r="AI107" s="1399"/>
      <c r="AJ107" s="1399"/>
      <c r="AK107" s="1399"/>
      <c r="AL107" s="1399"/>
      <c r="AM107" s="1399"/>
      <c r="AN107" s="1399"/>
      <c r="AO107" s="1399"/>
      <c r="AP107" s="1399"/>
      <c r="AQ107" s="1399"/>
      <c r="AR107" s="1399"/>
      <c r="AS107" s="1399"/>
      <c r="AT107" s="1399"/>
      <c r="AU107" s="1399"/>
      <c r="AV107" s="1399"/>
      <c r="AW107" s="1399"/>
      <c r="AX107" s="1399"/>
      <c r="AY107" s="1399"/>
      <c r="AZ107" s="1399"/>
      <c r="BA107" s="1399"/>
      <c r="BB107" s="1399"/>
      <c r="BC107" s="1399"/>
      <c r="BD107" s="1399"/>
      <c r="BE107" s="1399"/>
      <c r="BF107" s="1400"/>
    </row>
    <row r="108" spans="2:58" ht="15.75" thickBot="1" x14ac:dyDescent="0.3">
      <c r="B108" s="140"/>
      <c r="BF108" s="141"/>
    </row>
    <row r="109" spans="2:58" ht="29.45" customHeight="1" thickBot="1" x14ac:dyDescent="0.3">
      <c r="B109" s="720" t="s">
        <v>1034</v>
      </c>
      <c r="D109" s="268"/>
      <c r="E109" s="268"/>
      <c r="F109" s="268"/>
      <c r="G109" s="268"/>
      <c r="H109" s="268"/>
      <c r="I109" s="268"/>
      <c r="J109" s="268"/>
      <c r="K109" s="268"/>
      <c r="L109" s="268"/>
      <c r="M109" s="268"/>
      <c r="N109" s="268"/>
      <c r="O109" s="268"/>
      <c r="P109" s="268"/>
      <c r="Q109" s="268"/>
      <c r="R109" s="268"/>
      <c r="S109" s="268"/>
      <c r="T109" s="268"/>
      <c r="U109" s="1486" t="s">
        <v>1042</v>
      </c>
      <c r="V109" s="1487"/>
      <c r="W109" s="1487"/>
      <c r="X109" s="1487"/>
      <c r="Y109" s="1487"/>
      <c r="Z109" s="1487" t="s">
        <v>1035</v>
      </c>
      <c r="AA109" s="1487"/>
      <c r="AB109" s="1487"/>
      <c r="AC109" s="1487"/>
      <c r="AD109" s="1487"/>
      <c r="AE109" s="1487"/>
      <c r="AF109" s="1487" t="s">
        <v>1036</v>
      </c>
      <c r="AG109" s="1487"/>
      <c r="AH109" s="1487"/>
      <c r="AI109" s="1487"/>
      <c r="AJ109" s="1487"/>
      <c r="AK109" s="1487"/>
      <c r="AL109" s="1487"/>
      <c r="AM109" s="1487" t="s">
        <v>1039</v>
      </c>
      <c r="AN109" s="1487"/>
      <c r="AO109" s="1487"/>
      <c r="AP109" s="1487"/>
      <c r="AQ109" s="1487"/>
      <c r="AR109" s="1487"/>
      <c r="AS109" s="1513"/>
      <c r="AT109" s="268"/>
      <c r="AU109" s="268"/>
      <c r="AV109" s="268"/>
      <c r="AW109" s="268"/>
      <c r="AX109" s="268"/>
      <c r="AY109" s="268"/>
      <c r="AZ109" s="268"/>
      <c r="BA109" s="268"/>
      <c r="BB109" s="268"/>
      <c r="BC109" s="268"/>
      <c r="BD109" s="268"/>
      <c r="BE109" s="268"/>
      <c r="BF109" s="678"/>
    </row>
    <row r="110" spans="2:58" x14ac:dyDescent="0.25">
      <c r="B110" s="140"/>
      <c r="D110" s="1482" t="s">
        <v>99</v>
      </c>
      <c r="E110" s="1421"/>
      <c r="F110" s="1421"/>
      <c r="G110" s="1421"/>
      <c r="H110" s="1421"/>
      <c r="I110" s="1421"/>
      <c r="J110" s="1421"/>
      <c r="K110" s="1421"/>
      <c r="L110" s="1421"/>
      <c r="M110" s="1421"/>
      <c r="N110" s="1421"/>
      <c r="O110" s="1421"/>
      <c r="P110" s="1421"/>
      <c r="Q110" s="1421"/>
      <c r="R110" s="1421"/>
      <c r="S110" s="1421"/>
      <c r="T110" s="1483"/>
      <c r="U110" s="1491" t="str">
        <f>IF('PIM Model'!$B$10=0,"",'PIM Model'!$B$10)</f>
        <v/>
      </c>
      <c r="V110" s="1488"/>
      <c r="W110" s="1488"/>
      <c r="X110" s="1488"/>
      <c r="Y110" s="1488"/>
      <c r="Z110" s="1488" t="str">
        <f>'PIM Model'!$AF$10</f>
        <v/>
      </c>
      <c r="AA110" s="1488"/>
      <c r="AB110" s="1488"/>
      <c r="AC110" s="1488"/>
      <c r="AD110" s="1488"/>
      <c r="AE110" s="1488"/>
      <c r="AF110" s="1500" t="str">
        <f>'PIM Model'!$AG$10</f>
        <v/>
      </c>
      <c r="AG110" s="1501"/>
      <c r="AH110" s="1501"/>
      <c r="AI110" s="1501"/>
      <c r="AJ110" s="1501"/>
      <c r="AK110" s="1501"/>
      <c r="AL110" s="1502"/>
      <c r="AM110" s="1500" t="str">
        <f>'PIM Model'!$AH$10</f>
        <v/>
      </c>
      <c r="AN110" s="1501"/>
      <c r="AO110" s="1501"/>
      <c r="AP110" s="1501"/>
      <c r="AQ110" s="1501"/>
      <c r="AR110" s="1501"/>
      <c r="AS110" s="1514"/>
      <c r="BF110" s="141"/>
    </row>
    <row r="111" spans="2:58" x14ac:dyDescent="0.25">
      <c r="B111" s="140"/>
      <c r="D111" s="1484" t="s">
        <v>103</v>
      </c>
      <c r="E111" s="1420"/>
      <c r="F111" s="1420"/>
      <c r="G111" s="1420"/>
      <c r="H111" s="1420"/>
      <c r="I111" s="1420"/>
      <c r="J111" s="1420"/>
      <c r="K111" s="1420"/>
      <c r="L111" s="1420"/>
      <c r="M111" s="1420"/>
      <c r="N111" s="1420"/>
      <c r="O111" s="1420"/>
      <c r="P111" s="1420"/>
      <c r="Q111" s="1420"/>
      <c r="R111" s="1420"/>
      <c r="S111" s="1420"/>
      <c r="T111" s="1485"/>
      <c r="U111" s="1492" t="str">
        <f>IF('PIM Model'!$B$11=0,"",'PIM Model'!$B$11)</f>
        <v/>
      </c>
      <c r="V111" s="1347"/>
      <c r="W111" s="1347"/>
      <c r="X111" s="1347"/>
      <c r="Y111" s="1347"/>
      <c r="Z111" s="1347" t="str">
        <f>'PIM Model'!$AF$11</f>
        <v/>
      </c>
      <c r="AA111" s="1347"/>
      <c r="AB111" s="1347"/>
      <c r="AC111" s="1347"/>
      <c r="AD111" s="1347"/>
      <c r="AE111" s="1347"/>
      <c r="AF111" s="1410" t="str">
        <f>'PIM Model'!$AG$11</f>
        <v/>
      </c>
      <c r="AG111" s="1411"/>
      <c r="AH111" s="1411"/>
      <c r="AI111" s="1411"/>
      <c r="AJ111" s="1411"/>
      <c r="AK111" s="1411"/>
      <c r="AL111" s="1496"/>
      <c r="AM111" s="1410" t="str">
        <f>'PIM Model'!$AH$11</f>
        <v/>
      </c>
      <c r="AN111" s="1411"/>
      <c r="AO111" s="1411"/>
      <c r="AP111" s="1411"/>
      <c r="AQ111" s="1411"/>
      <c r="AR111" s="1411"/>
      <c r="AS111" s="1412"/>
      <c r="BF111" s="141"/>
    </row>
    <row r="112" spans="2:58" x14ac:dyDescent="0.25">
      <c r="B112" s="140"/>
      <c r="D112" s="1484" t="s">
        <v>1445</v>
      </c>
      <c r="E112" s="1420"/>
      <c r="F112" s="1420"/>
      <c r="G112" s="1420"/>
      <c r="H112" s="1420"/>
      <c r="I112" s="1420"/>
      <c r="J112" s="1420"/>
      <c r="K112" s="1420"/>
      <c r="L112" s="1420"/>
      <c r="M112" s="1420"/>
      <c r="N112" s="1420"/>
      <c r="O112" s="1420"/>
      <c r="P112" s="1420"/>
      <c r="Q112" s="1420"/>
      <c r="R112" s="1420"/>
      <c r="S112" s="1420"/>
      <c r="T112" s="1485"/>
      <c r="U112" s="1492" t="str">
        <f>IF('PIM Model'!$B$12=0,"",'PIM Model'!$B$12)</f>
        <v/>
      </c>
      <c r="V112" s="1347"/>
      <c r="W112" s="1347"/>
      <c r="X112" s="1347"/>
      <c r="Y112" s="1347"/>
      <c r="Z112" s="1347" t="str">
        <f>'PIM Model'!$AF$12</f>
        <v/>
      </c>
      <c r="AA112" s="1347"/>
      <c r="AB112" s="1347"/>
      <c r="AC112" s="1347"/>
      <c r="AD112" s="1347"/>
      <c r="AE112" s="1347"/>
      <c r="AF112" s="1410" t="str">
        <f>'PIM Model'!$AG$12</f>
        <v/>
      </c>
      <c r="AG112" s="1411"/>
      <c r="AH112" s="1411"/>
      <c r="AI112" s="1411"/>
      <c r="AJ112" s="1411"/>
      <c r="AK112" s="1411"/>
      <c r="AL112" s="1496"/>
      <c r="AM112" s="1410" t="str">
        <f>'PIM Model'!$AH$12</f>
        <v/>
      </c>
      <c r="AN112" s="1411"/>
      <c r="AO112" s="1411"/>
      <c r="AP112" s="1411"/>
      <c r="AQ112" s="1411"/>
      <c r="AR112" s="1411"/>
      <c r="AS112" s="1412"/>
      <c r="BF112" s="141"/>
    </row>
    <row r="113" spans="2:58" x14ac:dyDescent="0.25">
      <c r="B113" s="140"/>
      <c r="D113" s="1484" t="s">
        <v>102</v>
      </c>
      <c r="E113" s="1420"/>
      <c r="F113" s="1420"/>
      <c r="G113" s="1420"/>
      <c r="H113" s="1420"/>
      <c r="I113" s="1420"/>
      <c r="J113" s="1420"/>
      <c r="K113" s="1420"/>
      <c r="L113" s="1420"/>
      <c r="M113" s="1420"/>
      <c r="N113" s="1420"/>
      <c r="O113" s="1420"/>
      <c r="P113" s="1420"/>
      <c r="Q113" s="1420"/>
      <c r="R113" s="1420"/>
      <c r="S113" s="1420"/>
      <c r="T113" s="1485"/>
      <c r="U113" s="1492" t="str">
        <f>IF('PIM Model'!$B$13=0,"",'PIM Model'!$B$13)</f>
        <v/>
      </c>
      <c r="V113" s="1347"/>
      <c r="W113" s="1347"/>
      <c r="X113" s="1347"/>
      <c r="Y113" s="1347"/>
      <c r="Z113" s="1347" t="str">
        <f>'PIM Model'!$AF$13</f>
        <v/>
      </c>
      <c r="AA113" s="1347"/>
      <c r="AB113" s="1347"/>
      <c r="AC113" s="1347"/>
      <c r="AD113" s="1347"/>
      <c r="AE113" s="1347"/>
      <c r="AF113" s="1410" t="str">
        <f>'PIM Model'!$AG$13</f>
        <v/>
      </c>
      <c r="AG113" s="1411"/>
      <c r="AH113" s="1411"/>
      <c r="AI113" s="1411"/>
      <c r="AJ113" s="1411"/>
      <c r="AK113" s="1411"/>
      <c r="AL113" s="1496"/>
      <c r="AM113" s="1410" t="str">
        <f>'PIM Model'!$AH$13</f>
        <v/>
      </c>
      <c r="AN113" s="1411"/>
      <c r="AO113" s="1411"/>
      <c r="AP113" s="1411"/>
      <c r="AQ113" s="1411"/>
      <c r="AR113" s="1411"/>
      <c r="AS113" s="1412"/>
      <c r="BF113" s="141"/>
    </row>
    <row r="114" spans="2:58" x14ac:dyDescent="0.25">
      <c r="B114" s="140"/>
      <c r="D114" s="1484" t="s">
        <v>100</v>
      </c>
      <c r="E114" s="1420"/>
      <c r="F114" s="1420"/>
      <c r="G114" s="1420"/>
      <c r="H114" s="1420"/>
      <c r="I114" s="1420"/>
      <c r="J114" s="1420"/>
      <c r="K114" s="1420"/>
      <c r="L114" s="1420"/>
      <c r="M114" s="1420"/>
      <c r="N114" s="1420"/>
      <c r="O114" s="1420"/>
      <c r="P114" s="1420"/>
      <c r="Q114" s="1420"/>
      <c r="R114" s="1420"/>
      <c r="S114" s="1420"/>
      <c r="T114" s="1485"/>
      <c r="U114" s="1492" t="str">
        <f>IF('PIM Model'!$B$14=0,"",'PIM Model'!$B$14)</f>
        <v/>
      </c>
      <c r="V114" s="1347"/>
      <c r="W114" s="1347"/>
      <c r="X114" s="1347"/>
      <c r="Y114" s="1347"/>
      <c r="Z114" s="1347" t="str">
        <f>'PIM Model'!$AF$14</f>
        <v/>
      </c>
      <c r="AA114" s="1347"/>
      <c r="AB114" s="1347"/>
      <c r="AC114" s="1347"/>
      <c r="AD114" s="1347"/>
      <c r="AE114" s="1347"/>
      <c r="AF114" s="1410" t="str">
        <f>'PIM Model'!$AG$14</f>
        <v/>
      </c>
      <c r="AG114" s="1411"/>
      <c r="AH114" s="1411"/>
      <c r="AI114" s="1411"/>
      <c r="AJ114" s="1411"/>
      <c r="AK114" s="1411"/>
      <c r="AL114" s="1496"/>
      <c r="AM114" s="1410" t="str">
        <f>'PIM Model'!$AH$14</f>
        <v/>
      </c>
      <c r="AN114" s="1411"/>
      <c r="AO114" s="1411"/>
      <c r="AP114" s="1411"/>
      <c r="AQ114" s="1411"/>
      <c r="AR114" s="1411"/>
      <c r="AS114" s="1412"/>
      <c r="BF114" s="141"/>
    </row>
    <row r="115" spans="2:58" x14ac:dyDescent="0.25">
      <c r="B115" s="140"/>
      <c r="D115" s="1484" t="s">
        <v>104</v>
      </c>
      <c r="E115" s="1420"/>
      <c r="F115" s="1420"/>
      <c r="G115" s="1420"/>
      <c r="H115" s="1420"/>
      <c r="I115" s="1420"/>
      <c r="J115" s="1420"/>
      <c r="K115" s="1420"/>
      <c r="L115" s="1420"/>
      <c r="M115" s="1420"/>
      <c r="N115" s="1420"/>
      <c r="O115" s="1420"/>
      <c r="P115" s="1420"/>
      <c r="Q115" s="1420"/>
      <c r="R115" s="1420"/>
      <c r="S115" s="1420"/>
      <c r="T115" s="1485"/>
      <c r="U115" s="1492" t="str">
        <f>IF('PIM Model'!$B$15=0,"",'PIM Model'!$B$15)</f>
        <v/>
      </c>
      <c r="V115" s="1347"/>
      <c r="W115" s="1347"/>
      <c r="X115" s="1347"/>
      <c r="Y115" s="1347"/>
      <c r="Z115" s="1347" t="str">
        <f>'PIM Model'!$AF$15</f>
        <v/>
      </c>
      <c r="AA115" s="1347"/>
      <c r="AB115" s="1347"/>
      <c r="AC115" s="1347"/>
      <c r="AD115" s="1347"/>
      <c r="AE115" s="1347"/>
      <c r="AF115" s="1410" t="str">
        <f>'PIM Model'!$AG$15</f>
        <v/>
      </c>
      <c r="AG115" s="1411"/>
      <c r="AH115" s="1411"/>
      <c r="AI115" s="1411"/>
      <c r="AJ115" s="1411"/>
      <c r="AK115" s="1411"/>
      <c r="AL115" s="1496"/>
      <c r="AM115" s="1410" t="str">
        <f>'PIM Model'!$AH$15</f>
        <v/>
      </c>
      <c r="AN115" s="1411"/>
      <c r="AO115" s="1411"/>
      <c r="AP115" s="1411"/>
      <c r="AQ115" s="1411"/>
      <c r="AR115" s="1411"/>
      <c r="AS115" s="1412"/>
      <c r="BF115" s="141"/>
    </row>
    <row r="116" spans="2:58" x14ac:dyDescent="0.25">
      <c r="B116" s="140"/>
      <c r="D116" s="1484" t="s">
        <v>98</v>
      </c>
      <c r="E116" s="1420"/>
      <c r="F116" s="1420"/>
      <c r="G116" s="1420"/>
      <c r="H116" s="1420"/>
      <c r="I116" s="1420"/>
      <c r="J116" s="1420"/>
      <c r="K116" s="1420"/>
      <c r="L116" s="1420"/>
      <c r="M116" s="1420"/>
      <c r="N116" s="1420"/>
      <c r="O116" s="1420"/>
      <c r="P116" s="1420"/>
      <c r="Q116" s="1420"/>
      <c r="R116" s="1420"/>
      <c r="S116" s="1420"/>
      <c r="T116" s="1485"/>
      <c r="U116" s="1492" t="str">
        <f>IF('PIM Model'!$B$16=0,"",'PIM Model'!$B$16)</f>
        <v/>
      </c>
      <c r="V116" s="1347"/>
      <c r="W116" s="1347"/>
      <c r="X116" s="1347"/>
      <c r="Y116" s="1347"/>
      <c r="Z116" s="1347" t="str">
        <f>'PIM Model'!$AF$16</f>
        <v/>
      </c>
      <c r="AA116" s="1347"/>
      <c r="AB116" s="1347"/>
      <c r="AC116" s="1347"/>
      <c r="AD116" s="1347"/>
      <c r="AE116" s="1347"/>
      <c r="AF116" s="1410" t="str">
        <f>'PIM Model'!$AG$16</f>
        <v/>
      </c>
      <c r="AG116" s="1411"/>
      <c r="AH116" s="1411"/>
      <c r="AI116" s="1411"/>
      <c r="AJ116" s="1411"/>
      <c r="AK116" s="1411"/>
      <c r="AL116" s="1496"/>
      <c r="AM116" s="1410" t="str">
        <f>'PIM Model'!$AH$16</f>
        <v/>
      </c>
      <c r="AN116" s="1411"/>
      <c r="AO116" s="1411"/>
      <c r="AP116" s="1411"/>
      <c r="AQ116" s="1411"/>
      <c r="AR116" s="1411"/>
      <c r="AS116" s="1412"/>
      <c r="BF116" s="141"/>
    </row>
    <row r="117" spans="2:58" x14ac:dyDescent="0.25">
      <c r="B117" s="140"/>
      <c r="D117" s="1484" t="s">
        <v>95</v>
      </c>
      <c r="E117" s="1420"/>
      <c r="F117" s="1420"/>
      <c r="G117" s="1420"/>
      <c r="H117" s="1420"/>
      <c r="I117" s="1420"/>
      <c r="J117" s="1420"/>
      <c r="K117" s="1420"/>
      <c r="L117" s="1420"/>
      <c r="M117" s="1420"/>
      <c r="N117" s="1420"/>
      <c r="O117" s="1420"/>
      <c r="P117" s="1420"/>
      <c r="Q117" s="1420"/>
      <c r="R117" s="1420"/>
      <c r="S117" s="1420"/>
      <c r="T117" s="1485"/>
      <c r="U117" s="1492" t="str">
        <f>IF('PIM Model'!$B$17=0,"",'PIM Model'!$B$17)</f>
        <v/>
      </c>
      <c r="V117" s="1347"/>
      <c r="W117" s="1347"/>
      <c r="X117" s="1347"/>
      <c r="Y117" s="1347"/>
      <c r="Z117" s="1347" t="str">
        <f>'PIM Model'!$AF$17</f>
        <v/>
      </c>
      <c r="AA117" s="1347"/>
      <c r="AB117" s="1347"/>
      <c r="AC117" s="1347"/>
      <c r="AD117" s="1347"/>
      <c r="AE117" s="1347"/>
      <c r="AF117" s="1410" t="str">
        <f>'PIM Model'!$AG$17</f>
        <v/>
      </c>
      <c r="AG117" s="1411"/>
      <c r="AH117" s="1411"/>
      <c r="AI117" s="1411"/>
      <c r="AJ117" s="1411"/>
      <c r="AK117" s="1411"/>
      <c r="AL117" s="1496"/>
      <c r="AM117" s="1410" t="str">
        <f>'PIM Model'!$AH$17</f>
        <v/>
      </c>
      <c r="AN117" s="1411"/>
      <c r="AO117" s="1411"/>
      <c r="AP117" s="1411"/>
      <c r="AQ117" s="1411"/>
      <c r="AR117" s="1411"/>
      <c r="AS117" s="1412"/>
      <c r="BF117" s="141"/>
    </row>
    <row r="118" spans="2:58" x14ac:dyDescent="0.25">
      <c r="B118" s="140"/>
      <c r="D118" s="1484" t="s">
        <v>96</v>
      </c>
      <c r="E118" s="1420"/>
      <c r="F118" s="1420"/>
      <c r="G118" s="1420"/>
      <c r="H118" s="1420"/>
      <c r="I118" s="1420"/>
      <c r="J118" s="1420"/>
      <c r="K118" s="1420"/>
      <c r="L118" s="1420"/>
      <c r="M118" s="1420"/>
      <c r="N118" s="1420"/>
      <c r="O118" s="1420"/>
      <c r="P118" s="1420"/>
      <c r="Q118" s="1420"/>
      <c r="R118" s="1420"/>
      <c r="S118" s="1420"/>
      <c r="T118" s="1485"/>
      <c r="U118" s="1492" t="str">
        <f>IF('PIM Model'!$B$18=0,"",'PIM Model'!$B$18)</f>
        <v/>
      </c>
      <c r="V118" s="1347"/>
      <c r="W118" s="1347"/>
      <c r="X118" s="1347"/>
      <c r="Y118" s="1347"/>
      <c r="Z118" s="1347" t="str">
        <f>'PIM Model'!$AF$18</f>
        <v/>
      </c>
      <c r="AA118" s="1347"/>
      <c r="AB118" s="1347"/>
      <c r="AC118" s="1347"/>
      <c r="AD118" s="1347"/>
      <c r="AE118" s="1347"/>
      <c r="AF118" s="1410" t="str">
        <f>'PIM Model'!$AG$18</f>
        <v/>
      </c>
      <c r="AG118" s="1411"/>
      <c r="AH118" s="1411"/>
      <c r="AI118" s="1411"/>
      <c r="AJ118" s="1411"/>
      <c r="AK118" s="1411"/>
      <c r="AL118" s="1496"/>
      <c r="AM118" s="1410" t="str">
        <f>'PIM Model'!$AH$18</f>
        <v/>
      </c>
      <c r="AN118" s="1411"/>
      <c r="AO118" s="1411"/>
      <c r="AP118" s="1411"/>
      <c r="AQ118" s="1411"/>
      <c r="AR118" s="1411"/>
      <c r="AS118" s="1412"/>
      <c r="BF118" s="141"/>
    </row>
    <row r="119" spans="2:58" x14ac:dyDescent="0.25">
      <c r="B119" s="140"/>
      <c r="D119" s="1484" t="s">
        <v>101</v>
      </c>
      <c r="E119" s="1420"/>
      <c r="F119" s="1420"/>
      <c r="G119" s="1420"/>
      <c r="H119" s="1420"/>
      <c r="I119" s="1420"/>
      <c r="J119" s="1420"/>
      <c r="K119" s="1420"/>
      <c r="L119" s="1420"/>
      <c r="M119" s="1420"/>
      <c r="N119" s="1420"/>
      <c r="O119" s="1420"/>
      <c r="P119" s="1420"/>
      <c r="Q119" s="1420"/>
      <c r="R119" s="1420"/>
      <c r="S119" s="1420"/>
      <c r="T119" s="1485"/>
      <c r="U119" s="1492" t="str">
        <f>IF('PIM Model'!$B$19=0,"",'PIM Model'!$B$19)</f>
        <v/>
      </c>
      <c r="V119" s="1347"/>
      <c r="W119" s="1347"/>
      <c r="X119" s="1347"/>
      <c r="Y119" s="1347"/>
      <c r="Z119" s="1347" t="str">
        <f>'PIM Model'!$AF$19</f>
        <v/>
      </c>
      <c r="AA119" s="1347"/>
      <c r="AB119" s="1347"/>
      <c r="AC119" s="1347"/>
      <c r="AD119" s="1347"/>
      <c r="AE119" s="1347"/>
      <c r="AF119" s="1410" t="str">
        <f>'PIM Model'!$AG$19</f>
        <v/>
      </c>
      <c r="AG119" s="1411"/>
      <c r="AH119" s="1411"/>
      <c r="AI119" s="1411"/>
      <c r="AJ119" s="1411"/>
      <c r="AK119" s="1411"/>
      <c r="AL119" s="1496"/>
      <c r="AM119" s="1410" t="str">
        <f>'PIM Model'!$AH$19</f>
        <v/>
      </c>
      <c r="AN119" s="1411"/>
      <c r="AO119" s="1411"/>
      <c r="AP119" s="1411"/>
      <c r="AQ119" s="1411"/>
      <c r="AR119" s="1411"/>
      <c r="AS119" s="1412"/>
      <c r="BF119" s="141"/>
    </row>
    <row r="120" spans="2:58" x14ac:dyDescent="0.25">
      <c r="B120" s="140"/>
      <c r="D120" s="1484" t="s">
        <v>97</v>
      </c>
      <c r="E120" s="1420"/>
      <c r="F120" s="1420"/>
      <c r="G120" s="1420"/>
      <c r="H120" s="1420"/>
      <c r="I120" s="1420"/>
      <c r="J120" s="1420"/>
      <c r="K120" s="1420"/>
      <c r="L120" s="1420"/>
      <c r="M120" s="1420"/>
      <c r="N120" s="1420"/>
      <c r="O120" s="1420"/>
      <c r="P120" s="1420"/>
      <c r="Q120" s="1420"/>
      <c r="R120" s="1420"/>
      <c r="S120" s="1420"/>
      <c r="T120" s="1485"/>
      <c r="U120" s="1492" t="str">
        <f>IF('PIM Model'!$B$20=0,"",'PIM Model'!$B$20)</f>
        <v/>
      </c>
      <c r="V120" s="1347"/>
      <c r="W120" s="1347"/>
      <c r="X120" s="1347"/>
      <c r="Y120" s="1347"/>
      <c r="Z120" s="1347" t="str">
        <f>'PIM Model'!$AF$20</f>
        <v/>
      </c>
      <c r="AA120" s="1347"/>
      <c r="AB120" s="1347"/>
      <c r="AC120" s="1347"/>
      <c r="AD120" s="1347"/>
      <c r="AE120" s="1347"/>
      <c r="AF120" s="1410" t="str">
        <f>'PIM Model'!$AG$20</f>
        <v/>
      </c>
      <c r="AG120" s="1411"/>
      <c r="AH120" s="1411"/>
      <c r="AI120" s="1411"/>
      <c r="AJ120" s="1411"/>
      <c r="AK120" s="1411"/>
      <c r="AL120" s="1496"/>
      <c r="AM120" s="1410" t="str">
        <f>'PIM Model'!$AH$20</f>
        <v/>
      </c>
      <c r="AN120" s="1411"/>
      <c r="AO120" s="1411"/>
      <c r="AP120" s="1411"/>
      <c r="AQ120" s="1411"/>
      <c r="AR120" s="1411"/>
      <c r="AS120" s="1412"/>
      <c r="BF120" s="141"/>
    </row>
    <row r="121" spans="2:58" x14ac:dyDescent="0.25">
      <c r="B121" s="140"/>
      <c r="D121" s="1484" t="s">
        <v>93</v>
      </c>
      <c r="E121" s="1420"/>
      <c r="F121" s="1420"/>
      <c r="G121" s="1420"/>
      <c r="H121" s="1420"/>
      <c r="I121" s="1420"/>
      <c r="J121" s="1420"/>
      <c r="K121" s="1420"/>
      <c r="L121" s="1420"/>
      <c r="M121" s="1420"/>
      <c r="N121" s="1420"/>
      <c r="O121" s="1420"/>
      <c r="P121" s="1420"/>
      <c r="Q121" s="1420"/>
      <c r="R121" s="1420"/>
      <c r="S121" s="1420"/>
      <c r="T121" s="1485"/>
      <c r="U121" s="1492" t="str">
        <f>IF('PIM Model'!$B$21=0,"",'PIM Model'!$B$21)</f>
        <v/>
      </c>
      <c r="V121" s="1347"/>
      <c r="W121" s="1347"/>
      <c r="X121" s="1347"/>
      <c r="Y121" s="1347"/>
      <c r="Z121" s="1347" t="str">
        <f>'PIM Model'!$AF$21</f>
        <v/>
      </c>
      <c r="AA121" s="1347"/>
      <c r="AB121" s="1347"/>
      <c r="AC121" s="1347"/>
      <c r="AD121" s="1347"/>
      <c r="AE121" s="1347"/>
      <c r="AF121" s="1410" t="str">
        <f>'PIM Model'!$AG$21</f>
        <v/>
      </c>
      <c r="AG121" s="1411"/>
      <c r="AH121" s="1411"/>
      <c r="AI121" s="1411"/>
      <c r="AJ121" s="1411"/>
      <c r="AK121" s="1411"/>
      <c r="AL121" s="1496"/>
      <c r="AM121" s="1410" t="str">
        <f>'PIM Model'!$AH$21</f>
        <v/>
      </c>
      <c r="AN121" s="1411"/>
      <c r="AO121" s="1411"/>
      <c r="AP121" s="1411"/>
      <c r="AQ121" s="1411"/>
      <c r="AR121" s="1411"/>
      <c r="AS121" s="1412"/>
      <c r="BF121" s="141"/>
    </row>
    <row r="122" spans="2:58" x14ac:dyDescent="0.25">
      <c r="B122" s="140"/>
      <c r="D122" s="1484" t="s">
        <v>105</v>
      </c>
      <c r="E122" s="1420"/>
      <c r="F122" s="1420"/>
      <c r="G122" s="1420"/>
      <c r="H122" s="1420"/>
      <c r="I122" s="1420"/>
      <c r="J122" s="1420"/>
      <c r="K122" s="1420"/>
      <c r="L122" s="1420"/>
      <c r="M122" s="1420"/>
      <c r="N122" s="1420"/>
      <c r="O122" s="1420"/>
      <c r="P122" s="1420"/>
      <c r="Q122" s="1420"/>
      <c r="R122" s="1420"/>
      <c r="S122" s="1420"/>
      <c r="T122" s="1485"/>
      <c r="U122" s="1492" t="str">
        <f>IF('PIM Model'!$B$22=0,"",'PIM Model'!$B$22)</f>
        <v/>
      </c>
      <c r="V122" s="1347"/>
      <c r="W122" s="1347"/>
      <c r="X122" s="1347"/>
      <c r="Y122" s="1347"/>
      <c r="Z122" s="1347" t="str">
        <f>'PIM Model'!$AF$22</f>
        <v/>
      </c>
      <c r="AA122" s="1347"/>
      <c r="AB122" s="1347"/>
      <c r="AC122" s="1347"/>
      <c r="AD122" s="1347"/>
      <c r="AE122" s="1347"/>
      <c r="AF122" s="1410" t="str">
        <f>'PIM Model'!$AG$22</f>
        <v/>
      </c>
      <c r="AG122" s="1411"/>
      <c r="AH122" s="1411"/>
      <c r="AI122" s="1411"/>
      <c r="AJ122" s="1411"/>
      <c r="AK122" s="1411"/>
      <c r="AL122" s="1496"/>
      <c r="AM122" s="1410" t="str">
        <f>'PIM Model'!$AH$22</f>
        <v/>
      </c>
      <c r="AN122" s="1411"/>
      <c r="AO122" s="1411"/>
      <c r="AP122" s="1411"/>
      <c r="AQ122" s="1411"/>
      <c r="AR122" s="1411"/>
      <c r="AS122" s="1412"/>
      <c r="BF122" s="141"/>
    </row>
    <row r="123" spans="2:58" x14ac:dyDescent="0.25">
      <c r="B123" s="140"/>
      <c r="D123" s="1484" t="s">
        <v>92</v>
      </c>
      <c r="E123" s="1420"/>
      <c r="F123" s="1420"/>
      <c r="G123" s="1420"/>
      <c r="H123" s="1420"/>
      <c r="I123" s="1420"/>
      <c r="J123" s="1420"/>
      <c r="K123" s="1420"/>
      <c r="L123" s="1420"/>
      <c r="M123" s="1420"/>
      <c r="N123" s="1420"/>
      <c r="O123" s="1420"/>
      <c r="P123" s="1420"/>
      <c r="Q123" s="1420"/>
      <c r="R123" s="1420"/>
      <c r="S123" s="1420"/>
      <c r="T123" s="1485"/>
      <c r="U123" s="1492" t="str">
        <f>IF('PIM Model'!$B$23=0,"",'PIM Model'!$B$23)</f>
        <v/>
      </c>
      <c r="V123" s="1347"/>
      <c r="W123" s="1347"/>
      <c r="X123" s="1347"/>
      <c r="Y123" s="1347"/>
      <c r="Z123" s="1347" t="str">
        <f>'PIM Model'!$AF$23</f>
        <v/>
      </c>
      <c r="AA123" s="1347"/>
      <c r="AB123" s="1347"/>
      <c r="AC123" s="1347"/>
      <c r="AD123" s="1347"/>
      <c r="AE123" s="1347"/>
      <c r="AF123" s="1410" t="str">
        <f>'PIM Model'!$AG$23</f>
        <v/>
      </c>
      <c r="AG123" s="1411"/>
      <c r="AH123" s="1411"/>
      <c r="AI123" s="1411"/>
      <c r="AJ123" s="1411"/>
      <c r="AK123" s="1411"/>
      <c r="AL123" s="1496"/>
      <c r="AM123" s="1410" t="str">
        <f>'PIM Model'!$AH$23</f>
        <v/>
      </c>
      <c r="AN123" s="1411"/>
      <c r="AO123" s="1411"/>
      <c r="AP123" s="1411"/>
      <c r="AQ123" s="1411"/>
      <c r="AR123" s="1411"/>
      <c r="AS123" s="1412"/>
      <c r="BF123" s="141"/>
    </row>
    <row r="124" spans="2:58" x14ac:dyDescent="0.25">
      <c r="B124" s="140"/>
      <c r="D124" s="1484" t="s">
        <v>91</v>
      </c>
      <c r="E124" s="1420"/>
      <c r="F124" s="1420"/>
      <c r="G124" s="1420"/>
      <c r="H124" s="1420"/>
      <c r="I124" s="1420"/>
      <c r="J124" s="1420"/>
      <c r="K124" s="1420"/>
      <c r="L124" s="1420"/>
      <c r="M124" s="1420"/>
      <c r="N124" s="1420"/>
      <c r="O124" s="1420"/>
      <c r="P124" s="1420"/>
      <c r="Q124" s="1420"/>
      <c r="R124" s="1420"/>
      <c r="S124" s="1420"/>
      <c r="T124" s="1485"/>
      <c r="U124" s="1492" t="str">
        <f>IF('PIM Model'!$B$24=0,"",'PIM Model'!$B$24)</f>
        <v/>
      </c>
      <c r="V124" s="1347"/>
      <c r="W124" s="1347"/>
      <c r="X124" s="1347"/>
      <c r="Y124" s="1347"/>
      <c r="Z124" s="1347" t="str">
        <f>'PIM Model'!$AF$24</f>
        <v/>
      </c>
      <c r="AA124" s="1347"/>
      <c r="AB124" s="1347"/>
      <c r="AC124" s="1347"/>
      <c r="AD124" s="1347"/>
      <c r="AE124" s="1347"/>
      <c r="AF124" s="1410" t="str">
        <f>'PIM Model'!$AG$24</f>
        <v/>
      </c>
      <c r="AG124" s="1411"/>
      <c r="AH124" s="1411"/>
      <c r="AI124" s="1411"/>
      <c r="AJ124" s="1411"/>
      <c r="AK124" s="1411"/>
      <c r="AL124" s="1496"/>
      <c r="AM124" s="1410" t="str">
        <f>'PIM Model'!$AH$24</f>
        <v/>
      </c>
      <c r="AN124" s="1411"/>
      <c r="AO124" s="1411"/>
      <c r="AP124" s="1411"/>
      <c r="AQ124" s="1411"/>
      <c r="AR124" s="1411"/>
      <c r="AS124" s="1412"/>
      <c r="BF124" s="141"/>
    </row>
    <row r="125" spans="2:58" x14ac:dyDescent="0.25">
      <c r="B125" s="140"/>
      <c r="D125" s="1484" t="s">
        <v>90</v>
      </c>
      <c r="E125" s="1420"/>
      <c r="F125" s="1420"/>
      <c r="G125" s="1420"/>
      <c r="H125" s="1420"/>
      <c r="I125" s="1420"/>
      <c r="J125" s="1420"/>
      <c r="K125" s="1420"/>
      <c r="L125" s="1420"/>
      <c r="M125" s="1420"/>
      <c r="N125" s="1420"/>
      <c r="O125" s="1420"/>
      <c r="P125" s="1420"/>
      <c r="Q125" s="1420"/>
      <c r="R125" s="1420"/>
      <c r="S125" s="1420"/>
      <c r="T125" s="1485"/>
      <c r="U125" s="1492" t="str">
        <f>IF('PIM Model'!$B$25=0,"",'PIM Model'!$B$25)</f>
        <v/>
      </c>
      <c r="V125" s="1347"/>
      <c r="W125" s="1347"/>
      <c r="X125" s="1347"/>
      <c r="Y125" s="1347"/>
      <c r="Z125" s="1347" t="str">
        <f>'PIM Model'!$AF$25</f>
        <v/>
      </c>
      <c r="AA125" s="1347"/>
      <c r="AB125" s="1347"/>
      <c r="AC125" s="1347"/>
      <c r="AD125" s="1347"/>
      <c r="AE125" s="1347"/>
      <c r="AF125" s="1410" t="str">
        <f>'PIM Model'!$AG$25</f>
        <v/>
      </c>
      <c r="AG125" s="1411"/>
      <c r="AH125" s="1411"/>
      <c r="AI125" s="1411"/>
      <c r="AJ125" s="1411"/>
      <c r="AK125" s="1411"/>
      <c r="AL125" s="1496"/>
      <c r="AM125" s="1410" t="str">
        <f>'PIM Model'!$AH$25</f>
        <v/>
      </c>
      <c r="AN125" s="1411"/>
      <c r="AO125" s="1411"/>
      <c r="AP125" s="1411"/>
      <c r="AQ125" s="1411"/>
      <c r="AR125" s="1411"/>
      <c r="AS125" s="1412"/>
      <c r="BF125" s="141"/>
    </row>
    <row r="126" spans="2:58" x14ac:dyDescent="0.25">
      <c r="B126" s="140"/>
      <c r="D126" s="1484" t="s">
        <v>89</v>
      </c>
      <c r="E126" s="1420"/>
      <c r="F126" s="1420"/>
      <c r="G126" s="1420"/>
      <c r="H126" s="1420"/>
      <c r="I126" s="1420"/>
      <c r="J126" s="1420"/>
      <c r="K126" s="1420"/>
      <c r="L126" s="1420"/>
      <c r="M126" s="1420"/>
      <c r="N126" s="1420"/>
      <c r="O126" s="1420"/>
      <c r="P126" s="1420"/>
      <c r="Q126" s="1420"/>
      <c r="R126" s="1420"/>
      <c r="S126" s="1420"/>
      <c r="T126" s="1485"/>
      <c r="U126" s="1492" t="str">
        <f>IF('PIM Model'!$B$26=0,"",'PIM Model'!$B$26)</f>
        <v/>
      </c>
      <c r="V126" s="1347"/>
      <c r="W126" s="1347"/>
      <c r="X126" s="1347"/>
      <c r="Y126" s="1347"/>
      <c r="Z126" s="1347" t="str">
        <f>'PIM Model'!$AF$26</f>
        <v/>
      </c>
      <c r="AA126" s="1347"/>
      <c r="AB126" s="1347"/>
      <c r="AC126" s="1347"/>
      <c r="AD126" s="1347"/>
      <c r="AE126" s="1347"/>
      <c r="AF126" s="1410" t="str">
        <f>'PIM Model'!$AG$26</f>
        <v/>
      </c>
      <c r="AG126" s="1411"/>
      <c r="AH126" s="1411"/>
      <c r="AI126" s="1411"/>
      <c r="AJ126" s="1411"/>
      <c r="AK126" s="1411"/>
      <c r="AL126" s="1496"/>
      <c r="AM126" s="1410" t="str">
        <f>'PIM Model'!$AH$26</f>
        <v/>
      </c>
      <c r="AN126" s="1411"/>
      <c r="AO126" s="1411"/>
      <c r="AP126" s="1411"/>
      <c r="AQ126" s="1411"/>
      <c r="AR126" s="1411"/>
      <c r="AS126" s="1412"/>
      <c r="BF126" s="141"/>
    </row>
    <row r="127" spans="2:58" x14ac:dyDescent="0.25">
      <c r="B127" s="140"/>
      <c r="D127" s="1484" t="s">
        <v>94</v>
      </c>
      <c r="E127" s="1420"/>
      <c r="F127" s="1420"/>
      <c r="G127" s="1420"/>
      <c r="H127" s="1420"/>
      <c r="I127" s="1420"/>
      <c r="J127" s="1420"/>
      <c r="K127" s="1420"/>
      <c r="L127" s="1420"/>
      <c r="M127" s="1420"/>
      <c r="N127" s="1420"/>
      <c r="O127" s="1420"/>
      <c r="P127" s="1420"/>
      <c r="Q127" s="1420"/>
      <c r="R127" s="1420"/>
      <c r="S127" s="1420"/>
      <c r="T127" s="1485"/>
      <c r="U127" s="1492" t="str">
        <f>IF('PIM Model'!$B$27=0,"",'PIM Model'!$B$27)</f>
        <v/>
      </c>
      <c r="V127" s="1347"/>
      <c r="W127" s="1347"/>
      <c r="X127" s="1347"/>
      <c r="Y127" s="1347"/>
      <c r="Z127" s="1347" t="str">
        <f>'PIM Model'!$AF$27</f>
        <v/>
      </c>
      <c r="AA127" s="1347"/>
      <c r="AB127" s="1347"/>
      <c r="AC127" s="1347"/>
      <c r="AD127" s="1347"/>
      <c r="AE127" s="1347"/>
      <c r="AF127" s="1410" t="str">
        <f>'PIM Model'!$AG$27</f>
        <v/>
      </c>
      <c r="AG127" s="1411"/>
      <c r="AH127" s="1411"/>
      <c r="AI127" s="1411"/>
      <c r="AJ127" s="1411"/>
      <c r="AK127" s="1411"/>
      <c r="AL127" s="1496"/>
      <c r="AM127" s="1410" t="str">
        <f>'PIM Model'!$AH$27</f>
        <v/>
      </c>
      <c r="AN127" s="1411"/>
      <c r="AO127" s="1411"/>
      <c r="AP127" s="1411"/>
      <c r="AQ127" s="1411"/>
      <c r="AR127" s="1411"/>
      <c r="AS127" s="1412"/>
      <c r="BF127" s="141"/>
    </row>
    <row r="128" spans="2:58" x14ac:dyDescent="0.25">
      <c r="B128" s="140"/>
      <c r="D128" s="1484" t="s">
        <v>86</v>
      </c>
      <c r="E128" s="1420"/>
      <c r="F128" s="1420"/>
      <c r="G128" s="1420"/>
      <c r="H128" s="1420"/>
      <c r="I128" s="1420"/>
      <c r="J128" s="1420"/>
      <c r="K128" s="1420"/>
      <c r="L128" s="1420"/>
      <c r="M128" s="1420"/>
      <c r="N128" s="1420"/>
      <c r="O128" s="1420"/>
      <c r="P128" s="1420"/>
      <c r="Q128" s="1420"/>
      <c r="R128" s="1420"/>
      <c r="S128" s="1420"/>
      <c r="T128" s="1485"/>
      <c r="U128" s="1492" t="str">
        <f>IF('PIM Model'!$B$28=0,"",'PIM Model'!$B$28)</f>
        <v/>
      </c>
      <c r="V128" s="1347"/>
      <c r="W128" s="1347"/>
      <c r="X128" s="1347"/>
      <c r="Y128" s="1347"/>
      <c r="Z128" s="1347" t="str">
        <f>'PIM Model'!$AF$28</f>
        <v/>
      </c>
      <c r="AA128" s="1347"/>
      <c r="AB128" s="1347"/>
      <c r="AC128" s="1347"/>
      <c r="AD128" s="1347"/>
      <c r="AE128" s="1347"/>
      <c r="AF128" s="1410" t="str">
        <f>'PIM Model'!$AG$28</f>
        <v/>
      </c>
      <c r="AG128" s="1411"/>
      <c r="AH128" s="1411"/>
      <c r="AI128" s="1411"/>
      <c r="AJ128" s="1411"/>
      <c r="AK128" s="1411"/>
      <c r="AL128" s="1496"/>
      <c r="AM128" s="1410" t="str">
        <f>'PIM Model'!$AH$28</f>
        <v/>
      </c>
      <c r="AN128" s="1411"/>
      <c r="AO128" s="1411"/>
      <c r="AP128" s="1411"/>
      <c r="AQ128" s="1411"/>
      <c r="AR128" s="1411"/>
      <c r="AS128" s="1412"/>
      <c r="BF128" s="141"/>
    </row>
    <row r="129" spans="2:58" x14ac:dyDescent="0.25">
      <c r="B129" s="140"/>
      <c r="D129" s="1484" t="s">
        <v>88</v>
      </c>
      <c r="E129" s="1420"/>
      <c r="F129" s="1420"/>
      <c r="G129" s="1420"/>
      <c r="H129" s="1420"/>
      <c r="I129" s="1420"/>
      <c r="J129" s="1420"/>
      <c r="K129" s="1420"/>
      <c r="L129" s="1420"/>
      <c r="M129" s="1420"/>
      <c r="N129" s="1420"/>
      <c r="O129" s="1420"/>
      <c r="P129" s="1420"/>
      <c r="Q129" s="1420"/>
      <c r="R129" s="1420"/>
      <c r="S129" s="1420"/>
      <c r="T129" s="1485"/>
      <c r="U129" s="1492" t="str">
        <f>IF('PIM Model'!$B$29=0,"",'PIM Model'!$B$29)</f>
        <v/>
      </c>
      <c r="V129" s="1347"/>
      <c r="W129" s="1347"/>
      <c r="X129" s="1347"/>
      <c r="Y129" s="1347"/>
      <c r="Z129" s="1347" t="str">
        <f>'PIM Model'!$AF$29</f>
        <v/>
      </c>
      <c r="AA129" s="1347"/>
      <c r="AB129" s="1347"/>
      <c r="AC129" s="1347"/>
      <c r="AD129" s="1347"/>
      <c r="AE129" s="1347"/>
      <c r="AF129" s="1410" t="str">
        <f>'PIM Model'!$AG$29</f>
        <v/>
      </c>
      <c r="AG129" s="1411"/>
      <c r="AH129" s="1411"/>
      <c r="AI129" s="1411"/>
      <c r="AJ129" s="1411"/>
      <c r="AK129" s="1411"/>
      <c r="AL129" s="1496"/>
      <c r="AM129" s="1410" t="str">
        <f>'PIM Model'!$AH$29</f>
        <v/>
      </c>
      <c r="AN129" s="1411"/>
      <c r="AO129" s="1411"/>
      <c r="AP129" s="1411"/>
      <c r="AQ129" s="1411"/>
      <c r="AR129" s="1411"/>
      <c r="AS129" s="1412"/>
      <c r="BF129" s="141"/>
    </row>
    <row r="130" spans="2:58" ht="15.75" thickBot="1" x14ac:dyDescent="0.3">
      <c r="B130" s="140"/>
      <c r="D130" s="1493" t="s">
        <v>87</v>
      </c>
      <c r="E130" s="1494"/>
      <c r="F130" s="1494"/>
      <c r="G130" s="1494"/>
      <c r="H130" s="1494"/>
      <c r="I130" s="1494"/>
      <c r="J130" s="1494"/>
      <c r="K130" s="1494"/>
      <c r="L130" s="1494"/>
      <c r="M130" s="1494"/>
      <c r="N130" s="1494"/>
      <c r="O130" s="1494"/>
      <c r="P130" s="1494"/>
      <c r="Q130" s="1494"/>
      <c r="R130" s="1494"/>
      <c r="S130" s="1494"/>
      <c r="T130" s="1495"/>
      <c r="U130" s="1489" t="str">
        <f>IF('PIM Model'!$B$30=0,"",'PIM Model'!$B$30)</f>
        <v/>
      </c>
      <c r="V130" s="1490"/>
      <c r="W130" s="1490"/>
      <c r="X130" s="1490"/>
      <c r="Y130" s="1490"/>
      <c r="Z130" s="1490" t="str">
        <f>'PIM Model'!$AF$30</f>
        <v/>
      </c>
      <c r="AA130" s="1490"/>
      <c r="AB130" s="1490"/>
      <c r="AC130" s="1490"/>
      <c r="AD130" s="1490"/>
      <c r="AE130" s="1490"/>
      <c r="AF130" s="1497" t="str">
        <f>'PIM Model'!$AG$30</f>
        <v/>
      </c>
      <c r="AG130" s="1498"/>
      <c r="AH130" s="1498"/>
      <c r="AI130" s="1498"/>
      <c r="AJ130" s="1498"/>
      <c r="AK130" s="1498"/>
      <c r="AL130" s="1512"/>
      <c r="AM130" s="1497" t="str">
        <f>'PIM Model'!$AH$30</f>
        <v/>
      </c>
      <c r="AN130" s="1498"/>
      <c r="AO130" s="1498"/>
      <c r="AP130" s="1498"/>
      <c r="AQ130" s="1498"/>
      <c r="AR130" s="1498"/>
      <c r="AS130" s="1499"/>
      <c r="BF130" s="141"/>
    </row>
    <row r="131" spans="2:58" ht="16.5" thickTop="1" thickBot="1" x14ac:dyDescent="0.3">
      <c r="B131" s="140"/>
      <c r="D131" s="1503" t="s">
        <v>1040</v>
      </c>
      <c r="E131" s="1504"/>
      <c r="F131" s="1504"/>
      <c r="G131" s="1504"/>
      <c r="H131" s="1504"/>
      <c r="I131" s="1504"/>
      <c r="J131" s="1504"/>
      <c r="K131" s="1504"/>
      <c r="L131" s="1504"/>
      <c r="M131" s="1504"/>
      <c r="N131" s="1504"/>
      <c r="O131" s="1504"/>
      <c r="P131" s="1504"/>
      <c r="Q131" s="1504"/>
      <c r="R131" s="1504"/>
      <c r="S131" s="1504"/>
      <c r="T131" s="1505"/>
      <c r="U131" s="1506">
        <f>COUNT($U$110:$Y$130)</f>
        <v>0</v>
      </c>
      <c r="V131" s="1507"/>
      <c r="W131" s="1507"/>
      <c r="X131" s="1507"/>
      <c r="Y131" s="1507"/>
      <c r="Z131" s="1504">
        <f>COUNTIF($Z$110:$AE$130,"ABOVE")+COUNTIF($Z$110:$AE$130,"BELOW")</f>
        <v>0</v>
      </c>
      <c r="AA131" s="1504"/>
      <c r="AB131" s="1504"/>
      <c r="AC131" s="1504"/>
      <c r="AD131" s="1504"/>
      <c r="AE131" s="1504"/>
      <c r="AF131" s="1508"/>
      <c r="AG131" s="1509"/>
      <c r="AH131" s="1509"/>
      <c r="AI131" s="1509"/>
      <c r="AJ131" s="1509"/>
      <c r="AK131" s="1509"/>
      <c r="AL131" s="1510"/>
      <c r="AM131" s="1508"/>
      <c r="AN131" s="1509"/>
      <c r="AO131" s="1509"/>
      <c r="AP131" s="1509"/>
      <c r="AQ131" s="1509"/>
      <c r="AR131" s="1509"/>
      <c r="AS131" s="1511"/>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1445</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17" t="s">
        <v>1064</v>
      </c>
      <c r="C2" s="1518"/>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15" t="s">
        <v>874</v>
      </c>
      <c r="C6" s="1516"/>
      <c r="D6" s="137"/>
      <c r="E6" s="137"/>
      <c r="F6" s="137"/>
    </row>
    <row r="7" spans="1:6" x14ac:dyDescent="0.25">
      <c r="A7" s="137"/>
      <c r="B7" s="663" t="s">
        <v>867</v>
      </c>
      <c r="C7" s="722" t="s">
        <v>1218</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15" t="s">
        <v>875</v>
      </c>
      <c r="C13" s="1516"/>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1200</v>
      </c>
      <c r="B1" s="836" t="s">
        <v>1203</v>
      </c>
      <c r="C1" s="836" t="s">
        <v>1204</v>
      </c>
      <c r="D1" s="22" t="s">
        <v>1201</v>
      </c>
      <c r="E1" s="22" t="s">
        <v>1202</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1088</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1102</v>
      </c>
      <c r="B17" s="836">
        <v>2355</v>
      </c>
      <c r="C17" s="836" t="s">
        <v>1103</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1238</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1104</v>
      </c>
      <c r="B38" s="836">
        <v>2365</v>
      </c>
      <c r="C38" s="836" t="s">
        <v>1105</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1236</v>
      </c>
      <c r="B62" s="914">
        <v>4170</v>
      </c>
      <c r="C62" s="914" t="s">
        <v>1237</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1095</v>
      </c>
      <c r="B1" s="781" t="s">
        <v>1094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1095</v>
      </c>
      <c r="B1" s="781" t="s">
        <v>1094</v>
      </c>
      <c r="C1" s="783" t="s">
        <v>1090</v>
      </c>
      <c r="D1" s="783" t="s">
        <v>1091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1095</v>
      </c>
      <c r="B1" s="781" t="s">
        <v>1094</v>
      </c>
      <c r="C1" s="781" t="s">
        <v>1115</v>
      </c>
      <c r="D1" s="781" t="s">
        <v>1116</v>
      </c>
      <c r="E1" s="781" t="s">
        <v>1117</v>
      </c>
      <c r="F1" s="781" t="s">
        <v>1118</v>
      </c>
      <c r="G1" s="781" t="s">
        <v>1119</v>
      </c>
      <c r="H1" s="781" t="s">
        <v>1120</v>
      </c>
      <c r="I1" s="781" t="s">
        <v>1114</v>
      </c>
      <c r="J1" s="781" t="s">
        <v>1121</v>
      </c>
      <c r="K1" s="781" t="s">
        <v>1122</v>
      </c>
      <c r="L1" s="781" t="s">
        <v>1123</v>
      </c>
      <c r="M1" s="781" t="s">
        <v>1124</v>
      </c>
      <c r="N1" s="781" t="s">
        <v>1125</v>
      </c>
      <c r="O1" s="781" t="s">
        <v>1126</v>
      </c>
      <c r="P1" s="781" t="s">
        <v>1127</v>
      </c>
      <c r="Q1" s="781" t="s">
        <v>1128</v>
      </c>
      <c r="R1" s="781" t="s">
        <v>1129</v>
      </c>
      <c r="S1" s="781" t="s">
        <v>1130</v>
      </c>
      <c r="T1" s="781" t="s">
        <v>1131</v>
      </c>
      <c r="U1" s="781" t="s">
        <v>1132</v>
      </c>
      <c r="V1" s="781" t="s">
        <v>405</v>
      </c>
      <c r="W1" s="781" t="s">
        <v>1112</v>
      </c>
      <c r="X1" s="781" t="s">
        <v>1133</v>
      </c>
      <c r="Y1" s="781" t="s">
        <v>1134</v>
      </c>
      <c r="Z1" s="781" t="s">
        <v>1135</v>
      </c>
      <c r="AA1" s="781" t="s">
        <v>1136</v>
      </c>
      <c r="AB1" s="781" t="s">
        <v>1089</v>
      </c>
      <c r="AC1" s="781" t="s">
        <v>1295</v>
      </c>
      <c r="AD1" s="781" t="s">
        <v>1502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1094</v>
      </c>
      <c r="B1" s="781" t="s">
        <v>1095</v>
      </c>
      <c r="C1" s="781" t="s">
        <v>1153</v>
      </c>
      <c r="D1" s="781" t="s">
        <v>1154</v>
      </c>
      <c r="E1" s="781" t="s">
        <v>1155</v>
      </c>
      <c r="F1" s="781" t="s">
        <v>1156</v>
      </c>
      <c r="G1" s="781" t="s">
        <v>1448</v>
      </c>
      <c r="H1" s="781" t="s">
        <v>1449</v>
      </c>
      <c r="I1" s="781" t="s">
        <v>1450</v>
      </c>
      <c r="J1" s="781" t="s">
        <v>1451</v>
      </c>
      <c r="K1" s="781" t="s">
        <v>1452</v>
      </c>
      <c r="L1" s="781" t="s">
        <v>1453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1095</v>
      </c>
      <c r="B1" s="781" t="s">
        <v>1094</v>
      </c>
      <c r="C1" s="781" t="s">
        <v>1111</v>
      </c>
      <c r="D1" s="781" t="s">
        <v>1112</v>
      </c>
      <c r="E1" s="781" t="s">
        <v>1113</v>
      </c>
      <c r="F1" s="781" t="s">
        <v>1114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1089</v>
      </c>
      <c r="B1" s="781" t="s">
        <v>247</v>
      </c>
      <c r="C1" s="781" t="s">
        <v>1137</v>
      </c>
      <c r="D1" s="781" t="s">
        <v>1090</v>
      </c>
      <c r="E1" s="781" t="s">
        <v>1091</v>
      </c>
      <c r="F1" s="781" t="s">
        <v>1092</v>
      </c>
      <c r="G1" s="781" t="s">
        <v>1093</v>
      </c>
      <c r="H1" s="781" t="s">
        <v>1138</v>
      </c>
      <c r="I1" s="781" t="s">
        <v>1139</v>
      </c>
      <c r="J1" s="781" t="s">
        <v>1140</v>
      </c>
      <c r="K1" s="781" t="s">
        <v>1141</v>
      </c>
      <c r="L1" s="781" t="s">
        <v>1142</v>
      </c>
      <c r="M1" s="781" t="s">
        <v>1143</v>
      </c>
      <c r="N1" s="781" t="s">
        <v>1144</v>
      </c>
      <c r="O1" s="781" t="s">
        <v>1144</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1092</v>
      </c>
      <c r="B1" s="781" t="s">
        <v>1089</v>
      </c>
      <c r="C1" s="781" t="s">
        <v>1090</v>
      </c>
      <c r="D1" s="781" t="s">
        <v>1096</v>
      </c>
      <c r="E1" s="781" t="s">
        <v>1141</v>
      </c>
      <c r="F1" s="781" t="s">
        <v>1145</v>
      </c>
      <c r="G1" s="781" t="s">
        <v>1140</v>
      </c>
      <c r="H1" s="781" t="s">
        <v>1157</v>
      </c>
      <c r="I1" s="781" t="s">
        <v>1158</v>
      </c>
      <c r="J1" s="781" t="s">
        <v>1159</v>
      </c>
      <c r="K1" s="781" t="s">
        <v>1097</v>
      </c>
      <c r="L1" s="781" t="s">
        <v>1098</v>
      </c>
      <c r="M1" s="781" t="s">
        <v>1099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1151</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1150</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1146</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989</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989</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1495</v>
      </c>
      <c r="B7" t="s">
        <v>103</v>
      </c>
      <c r="C7" s="2" t="s">
        <v>214</v>
      </c>
      <c r="D7" s="24">
        <v>0</v>
      </c>
      <c r="E7" s="24">
        <v>7.0000000000000007E-2</v>
      </c>
      <c r="F7" s="24">
        <v>0.1</v>
      </c>
      <c r="G7" s="24"/>
      <c r="H7" s="24"/>
      <c r="I7" s="24"/>
      <c r="J7" s="24"/>
      <c r="L7" s="24"/>
      <c r="M7" s="24"/>
      <c r="N7" s="24"/>
    </row>
    <row r="8" spans="1:14" x14ac:dyDescent="0.25">
      <c r="A8" t="s">
        <v>1491</v>
      </c>
      <c r="B8" t="s">
        <v>103</v>
      </c>
      <c r="C8" s="2" t="s">
        <v>215</v>
      </c>
      <c r="D8" s="24">
        <v>0</v>
      </c>
      <c r="E8" s="24">
        <v>7.0000000000000007E-2</v>
      </c>
      <c r="F8" s="24">
        <v>0.09</v>
      </c>
      <c r="G8" s="24"/>
      <c r="H8" s="24"/>
      <c r="I8" s="24"/>
      <c r="J8" s="24"/>
      <c r="L8" s="24"/>
      <c r="M8" s="24"/>
      <c r="N8" s="24"/>
    </row>
    <row r="9" spans="1:14" x14ac:dyDescent="0.25">
      <c r="A9" t="s">
        <v>1492</v>
      </c>
      <c r="B9" t="s">
        <v>103</v>
      </c>
      <c r="C9" s="2" t="s">
        <v>216</v>
      </c>
      <c r="D9" s="24">
        <v>0</v>
      </c>
      <c r="E9" s="24">
        <v>0.06</v>
      </c>
      <c r="F9" s="24">
        <v>0.08</v>
      </c>
      <c r="G9" s="24"/>
      <c r="H9" s="24"/>
      <c r="I9" s="24"/>
      <c r="J9" s="24"/>
      <c r="L9" s="24"/>
      <c r="M9" s="24"/>
      <c r="N9" s="24"/>
    </row>
    <row r="10" spans="1:14" x14ac:dyDescent="0.25">
      <c r="A10" t="s">
        <v>1493</v>
      </c>
      <c r="B10" t="s">
        <v>103</v>
      </c>
      <c r="C10" s="2" t="s">
        <v>270</v>
      </c>
      <c r="D10" s="24">
        <v>0</v>
      </c>
      <c r="E10" s="24">
        <v>0.05</v>
      </c>
      <c r="F10" s="24">
        <v>7.0000000000000007E-2</v>
      </c>
      <c r="G10" s="24"/>
      <c r="H10" s="24"/>
      <c r="I10" s="24"/>
      <c r="J10" s="24"/>
      <c r="L10" s="24"/>
      <c r="M10" s="24"/>
      <c r="N10" s="24"/>
    </row>
    <row r="11" spans="1:14" x14ac:dyDescent="0.25">
      <c r="A11" t="s">
        <v>1494</v>
      </c>
      <c r="B11" t="s">
        <v>103</v>
      </c>
      <c r="C11" s="2" t="s">
        <v>271</v>
      </c>
      <c r="D11" s="24">
        <v>0</v>
      </c>
      <c r="E11" s="24">
        <v>0.04</v>
      </c>
      <c r="F11" s="24">
        <v>0.06</v>
      </c>
      <c r="G11" s="24"/>
      <c r="H11" s="24"/>
      <c r="I11" s="24"/>
      <c r="J11" s="24"/>
      <c r="L11" s="24"/>
      <c r="M11" s="24"/>
      <c r="N11" s="24"/>
    </row>
    <row r="12" spans="1:14" x14ac:dyDescent="0.25">
      <c r="A12" t="s">
        <v>1500</v>
      </c>
      <c r="B12" t="s">
        <v>1445</v>
      </c>
      <c r="C12" s="2" t="s">
        <v>214</v>
      </c>
      <c r="D12" s="24">
        <v>0</v>
      </c>
      <c r="E12" s="24">
        <v>7.0000000000000007E-2</v>
      </c>
      <c r="F12" s="24">
        <v>0.09</v>
      </c>
      <c r="G12" s="24"/>
      <c r="H12" s="24"/>
      <c r="I12" s="24"/>
      <c r="J12" s="24"/>
      <c r="L12" s="24"/>
      <c r="M12" s="24"/>
      <c r="N12" s="24"/>
    </row>
    <row r="13" spans="1:14" x14ac:dyDescent="0.25">
      <c r="A13" t="s">
        <v>1496</v>
      </c>
      <c r="B13" t="s">
        <v>1445</v>
      </c>
      <c r="C13" s="2" t="s">
        <v>215</v>
      </c>
      <c r="D13" s="24">
        <v>0</v>
      </c>
      <c r="E13" s="24">
        <v>7.0000000000000007E-2</v>
      </c>
      <c r="F13" s="24">
        <v>0.08</v>
      </c>
      <c r="G13" s="24"/>
      <c r="H13" s="24"/>
      <c r="I13" s="24"/>
      <c r="J13" s="24"/>
      <c r="L13" s="24"/>
      <c r="M13" s="24"/>
      <c r="N13" s="24"/>
    </row>
    <row r="14" spans="1:14" x14ac:dyDescent="0.25">
      <c r="A14" t="s">
        <v>1497</v>
      </c>
      <c r="B14" t="s">
        <v>1445</v>
      </c>
      <c r="C14" s="2" t="s">
        <v>216</v>
      </c>
      <c r="D14" s="24">
        <v>0</v>
      </c>
      <c r="E14" s="24">
        <v>0.06</v>
      </c>
      <c r="F14" s="24">
        <v>7.0000000000000007E-2</v>
      </c>
      <c r="G14" s="24"/>
      <c r="H14" s="24"/>
      <c r="I14" s="24"/>
      <c r="J14" s="24"/>
      <c r="L14" s="24"/>
      <c r="M14" s="24"/>
      <c r="N14" s="24"/>
    </row>
    <row r="15" spans="1:14" x14ac:dyDescent="0.25">
      <c r="A15" t="s">
        <v>1498</v>
      </c>
      <c r="B15" t="s">
        <v>1445</v>
      </c>
      <c r="C15" s="2" t="s">
        <v>270</v>
      </c>
      <c r="D15" s="24">
        <v>0</v>
      </c>
      <c r="E15" s="24">
        <v>0.05</v>
      </c>
      <c r="F15" s="24">
        <v>0.06</v>
      </c>
      <c r="G15" s="24"/>
      <c r="H15" s="24"/>
      <c r="I15" s="24"/>
      <c r="J15" s="24"/>
      <c r="L15" s="24"/>
      <c r="M15" s="24"/>
      <c r="N15" s="24"/>
    </row>
    <row r="16" spans="1:14" x14ac:dyDescent="0.25">
      <c r="A16" t="s">
        <v>1499</v>
      </c>
      <c r="B16" t="s">
        <v>1445</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990</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1071</v>
      </c>
      <c r="AJ1" t="s">
        <v>1164</v>
      </c>
      <c r="AK1" t="s">
        <v>1337</v>
      </c>
    </row>
    <row r="2" spans="1:37" x14ac:dyDescent="0.25">
      <c r="A2" t="s">
        <v>438</v>
      </c>
      <c r="B2" t="s">
        <v>106</v>
      </c>
      <c r="C2" t="s">
        <v>1</v>
      </c>
      <c r="E2" t="s">
        <v>58</v>
      </c>
      <c r="F2" s="3">
        <v>1</v>
      </c>
      <c r="G2" s="14" t="s">
        <v>130</v>
      </c>
      <c r="H2" s="14" t="s">
        <v>222</v>
      </c>
      <c r="I2" s="14" t="s">
        <v>518</v>
      </c>
      <c r="J2" s="14">
        <v>0.01</v>
      </c>
      <c r="K2" s="14">
        <v>1.4999999999999999E-2</v>
      </c>
      <c r="L2" t="s">
        <v>207</v>
      </c>
      <c r="M2">
        <v>2</v>
      </c>
      <c r="N2" t="s">
        <v>1025</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1018</v>
      </c>
      <c r="AI2" t="s">
        <v>492</v>
      </c>
      <c r="AJ2" t="s">
        <v>671</v>
      </c>
      <c r="AK2" t="s">
        <v>1338</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1017</v>
      </c>
      <c r="AC3" t="s">
        <v>468</v>
      </c>
      <c r="AD3" t="s">
        <v>504</v>
      </c>
      <c r="AE3" t="s">
        <v>505</v>
      </c>
      <c r="AF3" s="59">
        <v>0.09</v>
      </c>
      <c r="AI3" t="s">
        <v>491</v>
      </c>
      <c r="AJ3" t="s">
        <v>669</v>
      </c>
      <c r="AK3" t="s">
        <v>1339</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1207</v>
      </c>
      <c r="AF4" s="59">
        <v>0.1</v>
      </c>
      <c r="AI4" t="s">
        <v>1292</v>
      </c>
      <c r="AK4" t="s">
        <v>1340</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1293</v>
      </c>
      <c r="AF5" s="59">
        <v>0.11</v>
      </c>
      <c r="AK5" t="s">
        <v>1341</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1294</v>
      </c>
      <c r="AF6" s="59">
        <v>0.12</v>
      </c>
      <c r="AK6" t="s">
        <v>1342</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1241</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1226</v>
      </c>
      <c r="B5" s="1152" t="s">
        <v>18</v>
      </c>
      <c r="C5" s="1152" t="s">
        <v>1227</v>
      </c>
      <c r="D5" s="1152" t="s">
        <v>1227</v>
      </c>
      <c r="E5" s="1150">
        <v>4190</v>
      </c>
      <c r="F5" s="1150" t="s">
        <v>1226</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1482</v>
      </c>
      <c r="C7" s="1152" t="s">
        <v>389</v>
      </c>
      <c r="D7" s="1152" t="s">
        <v>42</v>
      </c>
      <c r="E7" s="1150">
        <v>3023</v>
      </c>
      <c r="F7" s="1150" t="s">
        <v>144</v>
      </c>
      <c r="G7" s="1152" t="s">
        <v>1482</v>
      </c>
    </row>
    <row r="8" spans="1:7" x14ac:dyDescent="0.25">
      <c r="A8" s="1168" t="s">
        <v>1228</v>
      </c>
      <c r="B8" s="1152" t="s">
        <v>18</v>
      </c>
      <c r="C8" s="1152" t="s">
        <v>397</v>
      </c>
      <c r="D8" s="1152" t="s">
        <v>1229</v>
      </c>
      <c r="E8" s="1150">
        <v>3310</v>
      </c>
      <c r="F8" s="1150" t="s">
        <v>1228</v>
      </c>
      <c r="G8" s="1152" t="s">
        <v>18</v>
      </c>
    </row>
    <row r="9" spans="1:7" x14ac:dyDescent="0.25">
      <c r="A9" s="1168" t="s">
        <v>180</v>
      </c>
      <c r="B9" s="1152" t="s">
        <v>1482</v>
      </c>
      <c r="C9" s="1152" t="s">
        <v>1100</v>
      </c>
      <c r="D9" s="1152" t="s">
        <v>915</v>
      </c>
      <c r="E9" s="1150">
        <v>2345</v>
      </c>
      <c r="F9" s="1150" t="s">
        <v>180</v>
      </c>
      <c r="G9" s="1152" t="s">
        <v>1482</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1106</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1482</v>
      </c>
      <c r="C14" s="1152" t="s">
        <v>194</v>
      </c>
      <c r="D14" s="1152" t="s">
        <v>58</v>
      </c>
      <c r="E14" s="1150">
        <v>2099</v>
      </c>
      <c r="F14" s="1150" t="s">
        <v>174</v>
      </c>
      <c r="G14" s="1152" t="s">
        <v>1482</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1482</v>
      </c>
      <c r="C20" s="1152" t="s">
        <v>390</v>
      </c>
      <c r="D20" s="1152" t="s">
        <v>26</v>
      </c>
      <c r="E20" s="1150">
        <v>3150</v>
      </c>
      <c r="F20" s="1150" t="s">
        <v>146</v>
      </c>
      <c r="G20" s="1152" t="s">
        <v>1482</v>
      </c>
    </row>
    <row r="21" spans="1:7" x14ac:dyDescent="0.25">
      <c r="A21" s="1168" t="s">
        <v>1230</v>
      </c>
      <c r="B21" s="1152" t="s">
        <v>1482</v>
      </c>
      <c r="C21" s="1152" t="s">
        <v>399</v>
      </c>
      <c r="D21" s="1152" t="s">
        <v>1231</v>
      </c>
      <c r="E21" s="1150">
        <v>3340</v>
      </c>
      <c r="F21" s="1150" t="s">
        <v>1230</v>
      </c>
      <c r="G21" s="1152" t="s">
        <v>1482</v>
      </c>
    </row>
    <row r="22" spans="1:7" x14ac:dyDescent="0.25">
      <c r="A22" s="1168" t="s">
        <v>147</v>
      </c>
      <c r="B22" s="1152" t="s">
        <v>1482</v>
      </c>
      <c r="C22" s="1152" t="s">
        <v>399</v>
      </c>
      <c r="D22" s="1152" t="s">
        <v>1232</v>
      </c>
      <c r="E22" s="1150">
        <v>3160</v>
      </c>
      <c r="F22" s="1150" t="s">
        <v>147</v>
      </c>
      <c r="G22" s="1152" t="s">
        <v>1482</v>
      </c>
    </row>
    <row r="23" spans="1:7" x14ac:dyDescent="0.25">
      <c r="A23" s="1168" t="s">
        <v>142</v>
      </c>
      <c r="B23" s="1152" t="s">
        <v>13</v>
      </c>
      <c r="C23" s="1152" t="s">
        <v>196</v>
      </c>
      <c r="D23" s="1152" t="s">
        <v>67</v>
      </c>
      <c r="E23" s="1150">
        <v>1106</v>
      </c>
      <c r="F23" s="1150" t="s">
        <v>142</v>
      </c>
      <c r="G23" s="1152" t="s">
        <v>13</v>
      </c>
    </row>
    <row r="24" spans="1:7" x14ac:dyDescent="0.25">
      <c r="A24" s="1168" t="s">
        <v>1242</v>
      </c>
      <c r="B24" s="1152" t="s">
        <v>18</v>
      </c>
      <c r="C24" s="1152" t="s">
        <v>1243</v>
      </c>
      <c r="D24" s="1152" t="s">
        <v>1244</v>
      </c>
      <c r="E24" s="1150">
        <v>4175</v>
      </c>
      <c r="F24" s="1150" t="s">
        <v>1242</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1482</v>
      </c>
      <c r="C26" s="1152" t="s">
        <v>1100</v>
      </c>
      <c r="D26" s="1152" t="s">
        <v>916</v>
      </c>
      <c r="E26" s="1150">
        <v>2340</v>
      </c>
      <c r="F26" s="1150" t="s">
        <v>178</v>
      </c>
      <c r="G26" s="1152" t="s">
        <v>1482</v>
      </c>
    </row>
    <row r="27" spans="1:7" x14ac:dyDescent="0.25">
      <c r="A27" s="1168" t="s">
        <v>1104</v>
      </c>
      <c r="B27" s="1152" t="s">
        <v>1482</v>
      </c>
      <c r="C27" s="1152" t="s">
        <v>198</v>
      </c>
      <c r="D27" s="1152" t="s">
        <v>1105</v>
      </c>
      <c r="E27" s="1150">
        <v>2365</v>
      </c>
      <c r="F27" s="1150" t="s">
        <v>1104</v>
      </c>
      <c r="G27" s="1152" t="s">
        <v>1482</v>
      </c>
    </row>
    <row r="28" spans="1:7" x14ac:dyDescent="0.25">
      <c r="A28" s="1168" t="s">
        <v>145</v>
      </c>
      <c r="B28" s="1152" t="s">
        <v>1482</v>
      </c>
      <c r="C28" s="1152" t="s">
        <v>389</v>
      </c>
      <c r="D28" s="1152" t="s">
        <v>80</v>
      </c>
      <c r="E28" s="1150">
        <v>3126</v>
      </c>
      <c r="F28" s="1150" t="s">
        <v>145</v>
      </c>
      <c r="G28" s="1152" t="s">
        <v>1482</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1482</v>
      </c>
      <c r="C30" s="1152" t="s">
        <v>199</v>
      </c>
      <c r="D30" s="1152" t="s">
        <v>77</v>
      </c>
      <c r="E30" s="1150">
        <v>2370</v>
      </c>
      <c r="F30" s="1150" t="s">
        <v>154</v>
      </c>
      <c r="G30" s="1152" t="s">
        <v>1482</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1482</v>
      </c>
      <c r="C32" s="1152" t="s">
        <v>198</v>
      </c>
      <c r="D32" s="1152" t="s">
        <v>37</v>
      </c>
      <c r="E32" s="1150">
        <v>3230</v>
      </c>
      <c r="F32" s="1150" t="s">
        <v>151</v>
      </c>
      <c r="G32" s="1152" t="s">
        <v>1482</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1108</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1241</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1108</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1482</v>
      </c>
      <c r="C41" s="1152" t="s">
        <v>199</v>
      </c>
      <c r="D41" s="1152" t="s">
        <v>39</v>
      </c>
      <c r="E41" s="1150">
        <v>2350</v>
      </c>
      <c r="F41" s="1150" t="s">
        <v>181</v>
      </c>
      <c r="G41" s="1152" t="s">
        <v>1482</v>
      </c>
    </row>
    <row r="42" spans="1:7" x14ac:dyDescent="0.25">
      <c r="A42" s="1168" t="s">
        <v>158</v>
      </c>
      <c r="B42" s="1152" t="s">
        <v>8</v>
      </c>
      <c r="C42" s="1152" t="s">
        <v>387</v>
      </c>
      <c r="D42" s="1152" t="s">
        <v>49</v>
      </c>
      <c r="E42" s="1150">
        <v>2230</v>
      </c>
      <c r="F42" s="1150" t="s">
        <v>158</v>
      </c>
      <c r="G42" s="1152" t="s">
        <v>8</v>
      </c>
    </row>
    <row r="43" spans="1:7" x14ac:dyDescent="0.25">
      <c r="A43" s="1168" t="s">
        <v>1109</v>
      </c>
      <c r="B43" s="1152" t="s">
        <v>8</v>
      </c>
      <c r="C43" s="1152" t="s">
        <v>387</v>
      </c>
      <c r="D43" s="1152" t="s">
        <v>1447</v>
      </c>
      <c r="E43" s="1150">
        <v>3040</v>
      </c>
      <c r="F43" s="1150" t="s">
        <v>1109</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1482</v>
      </c>
      <c r="C45" s="1152" t="s">
        <v>390</v>
      </c>
      <c r="D45" s="1152" t="s">
        <v>24</v>
      </c>
      <c r="E45" s="1150">
        <v>3170</v>
      </c>
      <c r="F45" s="1150" t="s">
        <v>150</v>
      </c>
      <c r="G45" s="1152" t="s">
        <v>1482</v>
      </c>
    </row>
    <row r="46" spans="1:7" x14ac:dyDescent="0.25">
      <c r="A46" s="1168" t="s">
        <v>135</v>
      </c>
      <c r="B46" s="1152" t="s">
        <v>1482</v>
      </c>
      <c r="C46" s="1152" t="s">
        <v>198</v>
      </c>
      <c r="D46" s="1152" t="s">
        <v>72</v>
      </c>
      <c r="E46" s="1150">
        <v>2360</v>
      </c>
      <c r="F46" s="1150" t="s">
        <v>135</v>
      </c>
      <c r="G46" s="1152" t="s">
        <v>1482</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1245</v>
      </c>
      <c r="B50" s="1152" t="s">
        <v>18</v>
      </c>
      <c r="C50" s="1152" t="s">
        <v>1243</v>
      </c>
      <c r="D50" s="1152" t="s">
        <v>1246</v>
      </c>
      <c r="E50" s="1150">
        <v>4135</v>
      </c>
      <c r="F50" s="1150" t="s">
        <v>1245</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1233</v>
      </c>
      <c r="B53" s="1152" t="s">
        <v>18</v>
      </c>
      <c r="C53" s="1152" t="s">
        <v>1234</v>
      </c>
      <c r="D53" s="1152" t="s">
        <v>1235</v>
      </c>
      <c r="E53" s="1150">
        <v>4210</v>
      </c>
      <c r="F53" s="1150" t="s">
        <v>1233</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1483</v>
      </c>
      <c r="D56" s="1152" t="s">
        <v>25</v>
      </c>
      <c r="E56" s="1150">
        <v>2135</v>
      </c>
      <c r="F56" s="1150" t="s">
        <v>153</v>
      </c>
      <c r="G56" s="1152" t="s">
        <v>8</v>
      </c>
    </row>
    <row r="57" spans="1:7" x14ac:dyDescent="0.25">
      <c r="A57" s="1168" t="s">
        <v>139</v>
      </c>
      <c r="B57" s="1152" t="s">
        <v>1482</v>
      </c>
      <c r="C57" s="1152" t="s">
        <v>197</v>
      </c>
      <c r="D57" s="1152" t="s">
        <v>47</v>
      </c>
      <c r="E57" s="1150">
        <v>3210</v>
      </c>
      <c r="F57" s="1150" t="s">
        <v>139</v>
      </c>
      <c r="G57" s="1152" t="s">
        <v>1482</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1236</v>
      </c>
      <c r="B61" s="1152" t="s">
        <v>18</v>
      </c>
      <c r="C61" s="1152" t="s">
        <v>75</v>
      </c>
      <c r="D61" s="1152" t="s">
        <v>1237</v>
      </c>
      <c r="E61" s="1150">
        <v>4170</v>
      </c>
      <c r="F61" s="1150" t="s">
        <v>1236</v>
      </c>
      <c r="G61" s="1152" t="s">
        <v>18</v>
      </c>
    </row>
    <row r="62" spans="1:7" x14ac:dyDescent="0.25">
      <c r="A62" s="1168" t="s">
        <v>167</v>
      </c>
      <c r="B62" s="1152" t="s">
        <v>18</v>
      </c>
      <c r="C62" s="1152" t="s">
        <v>75</v>
      </c>
      <c r="D62" s="1152" t="s">
        <v>1238</v>
      </c>
      <c r="E62" s="1150">
        <v>4147</v>
      </c>
      <c r="F62" s="1150" t="s">
        <v>167</v>
      </c>
      <c r="G62" s="1152" t="s">
        <v>18</v>
      </c>
    </row>
    <row r="63" spans="1:7" x14ac:dyDescent="0.25">
      <c r="A63" s="1168" t="s">
        <v>1239</v>
      </c>
      <c r="B63" s="1152" t="s">
        <v>18</v>
      </c>
      <c r="C63" s="1152" t="s">
        <v>1234</v>
      </c>
      <c r="D63" s="1152" t="s">
        <v>1240</v>
      </c>
      <c r="E63" s="1150">
        <v>4220</v>
      </c>
      <c r="F63" s="1150" t="s">
        <v>1239</v>
      </c>
      <c r="G63" s="1152" t="s">
        <v>18</v>
      </c>
    </row>
    <row r="64" spans="1:7" x14ac:dyDescent="0.25">
      <c r="A64" s="1168" t="s">
        <v>133</v>
      </c>
      <c r="B64" s="1152" t="s">
        <v>1482</v>
      </c>
      <c r="C64" s="1152" t="s">
        <v>197</v>
      </c>
      <c r="D64" s="1152" t="s">
        <v>44</v>
      </c>
      <c r="E64" s="1150">
        <v>3220</v>
      </c>
      <c r="F64" s="1150" t="s">
        <v>133</v>
      </c>
      <c r="G64" s="1152" t="s">
        <v>1482</v>
      </c>
    </row>
    <row r="65" spans="1:7" x14ac:dyDescent="0.25">
      <c r="A65" s="1168" t="s">
        <v>179</v>
      </c>
      <c r="B65" s="1152" t="s">
        <v>1482</v>
      </c>
      <c r="C65" s="1152" t="s">
        <v>194</v>
      </c>
      <c r="D65" s="1152" t="s">
        <v>31</v>
      </c>
      <c r="E65" s="1150">
        <v>2330</v>
      </c>
      <c r="F65" s="1150" t="s">
        <v>179</v>
      </c>
      <c r="G65" s="1152" t="s">
        <v>1482</v>
      </c>
    </row>
    <row r="66" spans="1:7" x14ac:dyDescent="0.25">
      <c r="A66" s="1168" t="s">
        <v>136</v>
      </c>
      <c r="B66" s="1152" t="s">
        <v>8</v>
      </c>
      <c r="C66" s="1152" t="s">
        <v>395</v>
      </c>
      <c r="D66" s="1152" t="s">
        <v>57</v>
      </c>
      <c r="E66" s="1150">
        <v>3103</v>
      </c>
      <c r="F66" s="1150" t="s">
        <v>136</v>
      </c>
      <c r="G66" s="1152" t="s">
        <v>8</v>
      </c>
    </row>
    <row r="67" spans="1:7" x14ac:dyDescent="0.25">
      <c r="A67" s="1168" t="s">
        <v>1247</v>
      </c>
      <c r="B67" s="1152" t="s">
        <v>18</v>
      </c>
      <c r="C67" s="1152" t="s">
        <v>1243</v>
      </c>
      <c r="D67" s="1152" t="s">
        <v>1248</v>
      </c>
      <c r="E67" s="1150">
        <v>4125</v>
      </c>
      <c r="F67" s="1150" t="s">
        <v>1247</v>
      </c>
      <c r="G67" s="1152" t="s">
        <v>18</v>
      </c>
    </row>
    <row r="68" spans="1:7" x14ac:dyDescent="0.25">
      <c r="A68" s="1168" t="s">
        <v>188</v>
      </c>
      <c r="B68" s="1152" t="s">
        <v>13</v>
      </c>
      <c r="C68" s="1152" t="s">
        <v>1483</v>
      </c>
      <c r="D68" s="1152" t="s">
        <v>81</v>
      </c>
      <c r="E68" s="1150">
        <v>2165</v>
      </c>
      <c r="F68" s="1150" t="s">
        <v>188</v>
      </c>
      <c r="G68" s="1152" t="s">
        <v>13</v>
      </c>
    </row>
    <row r="69" spans="1:7" x14ac:dyDescent="0.25">
      <c r="A69" s="1168" t="s">
        <v>143</v>
      </c>
      <c r="B69" s="1152" t="s">
        <v>13</v>
      </c>
      <c r="C69" s="1152" t="s">
        <v>1107</v>
      </c>
      <c r="D69" s="1152" t="s">
        <v>53</v>
      </c>
      <c r="E69" s="1150">
        <v>2185</v>
      </c>
      <c r="F69" s="1150" t="s">
        <v>143</v>
      </c>
      <c r="G69" s="1152" t="s">
        <v>13</v>
      </c>
    </row>
    <row r="70" spans="1:7" x14ac:dyDescent="0.25">
      <c r="A70" s="1168" t="s">
        <v>183</v>
      </c>
      <c r="B70" s="1152" t="s">
        <v>1482</v>
      </c>
      <c r="C70" s="1152" t="s">
        <v>194</v>
      </c>
      <c r="D70" s="1152" t="s">
        <v>1088</v>
      </c>
      <c r="E70" s="1150">
        <v>248</v>
      </c>
      <c r="F70" s="1150" t="s">
        <v>183</v>
      </c>
      <c r="G70" s="1152" t="s">
        <v>1482</v>
      </c>
    </row>
    <row r="71" spans="1:7" x14ac:dyDescent="0.25">
      <c r="A71" s="1168" t="s">
        <v>1110</v>
      </c>
      <c r="B71" s="1152" t="s">
        <v>13</v>
      </c>
      <c r="C71" s="1152" t="s">
        <v>1484</v>
      </c>
      <c r="D71" s="1152" t="s">
        <v>1485</v>
      </c>
      <c r="E71" s="1150">
        <v>2010</v>
      </c>
      <c r="F71" s="1150" t="s">
        <v>1110</v>
      </c>
      <c r="G71" s="1152" t="s">
        <v>13</v>
      </c>
    </row>
    <row r="72" spans="1:7" x14ac:dyDescent="0.25">
      <c r="A72" s="1168" t="s">
        <v>385</v>
      </c>
      <c r="B72" s="1152" t="s">
        <v>13</v>
      </c>
      <c r="C72" s="1152" t="s">
        <v>1484</v>
      </c>
      <c r="D72" s="1152" t="s">
        <v>1486</v>
      </c>
      <c r="E72" s="1150">
        <v>2030</v>
      </c>
      <c r="F72" s="1150" t="s">
        <v>385</v>
      </c>
      <c r="G72" s="1152" t="s">
        <v>13</v>
      </c>
    </row>
    <row r="73" spans="1:7" x14ac:dyDescent="0.25">
      <c r="A73" s="1168" t="s">
        <v>1101</v>
      </c>
      <c r="B73" s="1152" t="s">
        <v>1482</v>
      </c>
      <c r="C73" s="1152" t="s">
        <v>1484</v>
      </c>
      <c r="D73" s="1152" t="s">
        <v>1487</v>
      </c>
      <c r="E73" s="1150">
        <v>2375</v>
      </c>
      <c r="F73" s="1150" t="s">
        <v>1101</v>
      </c>
      <c r="G73" s="1152" t="s">
        <v>1482</v>
      </c>
    </row>
    <row r="74" spans="1:7" x14ac:dyDescent="0.25">
      <c r="A74" s="1168" t="s">
        <v>1102</v>
      </c>
      <c r="B74" s="1152" t="s">
        <v>1482</v>
      </c>
      <c r="C74" s="1152" t="s">
        <v>1484</v>
      </c>
      <c r="D74" s="1152" t="s">
        <v>1488</v>
      </c>
      <c r="E74" s="1150">
        <v>2355</v>
      </c>
      <c r="F74" s="1150" t="s">
        <v>1102</v>
      </c>
      <c r="G74" s="1152" t="s">
        <v>1482</v>
      </c>
    </row>
    <row r="75" spans="1:7" x14ac:dyDescent="0.25">
      <c r="A75" s="1168" t="s">
        <v>182</v>
      </c>
      <c r="B75" s="1152" t="s">
        <v>1482</v>
      </c>
      <c r="C75" s="1152" t="s">
        <v>1484</v>
      </c>
      <c r="D75" s="1152" t="s">
        <v>1489</v>
      </c>
      <c r="E75" s="1150">
        <v>2310</v>
      </c>
      <c r="F75" s="1150" t="s">
        <v>182</v>
      </c>
      <c r="G75" s="1152" t="s">
        <v>1482</v>
      </c>
    </row>
    <row r="76" spans="1:7" ht="15.75" thickBot="1" x14ac:dyDescent="0.3">
      <c r="A76" s="1169" t="s">
        <v>191</v>
      </c>
      <c r="B76" s="1153" t="s">
        <v>13</v>
      </c>
      <c r="C76" s="1153" t="s">
        <v>1484</v>
      </c>
      <c r="D76" s="1153" t="s">
        <v>1490</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2021-12-17T10:59:43Z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