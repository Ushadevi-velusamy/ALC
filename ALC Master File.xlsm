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131" codeName="{4D1C537B-E38A-612A-F078-A93A15B4B7F4}"/>
  <workbookPr updateLinks="never" codeName="ThisWorkbook"/>
  <mc:AlternateContent xmlns:mc="http://schemas.openxmlformats.org/markup-compatibility/2006">
    <mc:Choice Requires="x15">
      <x15ac:absPath xmlns:x15ac="http://schemas.microsoft.com/office/spreadsheetml/2010/11/ac" url="https://usfoods-my.sharepoint.com/personal/roger_boone_usfoods_com/Documents/Desktop/ALC/LatentView Version/"/>
    </mc:Choice>
  </mc:AlternateContent>
  <xr:revisionPtr revIDLastSave="33" documentId="8_{1EBC28A3-EC30-4A8C-BEDF-884EBB48B984}" xr6:coauthVersionLast="47" xr6:coauthVersionMax="47" xr10:uidLastSave="{97D0CA29-6CCD-49AF-903D-E2AFF1E3A3AD}"/>
  <bookViews>
    <workbookView xWindow="28680" yWindow="-120" windowWidth="25440" windowHeight="1554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54" r:id="rId5"/>
    <sheet name="Incentive Helper" sheetId="86" state="veryHidden" r:id="rId6"/>
    <sheet name="Variable Costs &amp; Income" sheetId="11" r:id="rId7"/>
    <sheet name="Tracking &amp; Profitability" sheetId="12" r:id="rId8"/>
    <sheet name="Required Info to Submit" sheetId="57" r:id="rId9"/>
    <sheet name="Variable Costs (Back)" sheetId="36" state="veryHidden" r:id="rId10"/>
    <sheet name="EB_CM (Back)" sheetId="43" state="veryHidden" r:id="rId11"/>
    <sheet name="Multi-Customer" sheetId="72" state="veryHidden" r:id="rId12"/>
    <sheet name="PIM Ranges" sheetId="76" state="veryHidden" r:id="rId13"/>
    <sheet name="Incentive Setup" sheetId="64" state="hidden" r:id="rId14"/>
    <sheet name="MDA Worksheet" sheetId="61" state="hidden" r:id="rId15"/>
    <sheet name="PRIME Upload" sheetId="59" state="hidden" r:id="rId16"/>
    <sheet name="Basket Composition" sheetId="33" state="veryHidden" r:id="rId17"/>
    <sheet name="PRIME Headers" sheetId="69" state="hidden" r:id="rId18"/>
    <sheet name="CC MARKET EXPENSE" sheetId="85" state="veryHidden" r:id="rId19"/>
    <sheet name="Modellable Customers" sheetId="78" r:id="rId20"/>
    <sheet name="HOS_Modellable Customers" sheetId="84" r:id="rId21"/>
    <sheet name="Existing Customers" sheetId="40" r:id="rId22"/>
    <sheet name="Existing Customer Variable Exp" sheetId="42" r:id="rId23"/>
    <sheet name="Customer Info" sheetId="77" r:id="rId24"/>
    <sheet name="Variable Selling" sheetId="30" r:id="rId25"/>
    <sheet name="Variable Div Avgs" sheetId="14" r:id="rId26"/>
    <sheet name="3zip" sheetId="50" r:id="rId27"/>
    <sheet name="4zip" sheetId="47" r:id="rId28"/>
    <sheet name="5zip" sheetId="37" r:id="rId29"/>
    <sheet name="Margin Quartiles" sheetId="34" state="veryHidden" r:id="rId30"/>
    <sheet name="IMargin Quartiles" sheetId="48" state="veryHidden" r:id="rId31"/>
    <sheet name="Lookups" sheetId="6" state="veryHidden" r:id="rId32"/>
    <sheet name="Market Geography" sheetId="38" state="veryHidden" r:id="rId33"/>
  </sheets>
  <externalReferences>
    <externalReference r:id="rId34"/>
  </externalReferences>
  <definedNames>
    <definedName name="_xlnm._FilterDatabase" localSheetId="26" hidden="1">'3zip'!$A$1:$F$2754</definedName>
    <definedName name="_xlnm._FilterDatabase" localSheetId="27" hidden="1">'4zip'!$A$1:$F$95</definedName>
    <definedName name="_xlnm._FilterDatabase" localSheetId="28" hidden="1">'5zip'!$A$1:$F$1</definedName>
    <definedName name="_xlnm._FilterDatabase" localSheetId="16" hidden="1">'Basket Composition'!$A$2:$A$30</definedName>
    <definedName name="_xlnm._FilterDatabase" localSheetId="22" hidden="1">'Existing Customer Variable Exp'!$A$1:$F$1</definedName>
    <definedName name="_xlnm._FilterDatabase" localSheetId="21" hidden="1">'Existing Customers'!$A$1:$AA$1</definedName>
    <definedName name="_xlnm._FilterDatabase" localSheetId="20" hidden="1">'HOS_Modellable Customers'!$A$1:$B$1</definedName>
    <definedName name="_xlnm._FilterDatabase" localSheetId="30" hidden="1">'IMargin Quartiles'!$B$1:$C$106</definedName>
    <definedName name="_xlnm._FilterDatabase" localSheetId="31" hidden="1">Lookups!$E$1:$E$61</definedName>
    <definedName name="_xlnm._FilterDatabase" localSheetId="29" hidden="1">'Margin Quartiles'!$B$1:$C$111</definedName>
    <definedName name="_xlnm._FilterDatabase" localSheetId="19" hidden="1">'Modellable Customers'!$A$1:$B$916</definedName>
    <definedName name="_xlnm._FilterDatabase" localSheetId="15" hidden="1">'PRIME Upload'!$A$1:$A$82</definedName>
    <definedName name="_xlnm._FilterDatabase" localSheetId="25" hidden="1">'Variable Div Avgs'!$A$1:$M$60</definedName>
    <definedName name="_xlnm._FilterDatabase" localSheetId="24" hidden="1">'Variable Selling'!$B$1:$O$1758</definedName>
    <definedName name="actionrequested" localSheetId="2">#REF!</definedName>
    <definedName name="actionrequested" localSheetId="0">#REF!</definedName>
    <definedName name="actionrequested" localSheetId="20">#REF!</definedName>
    <definedName name="actionrequested" localSheetId="14">#REF!</definedName>
    <definedName name="actionrequested" localSheetId="11">#REF!</definedName>
    <definedName name="actionrequested" localSheetId="3">#REF!</definedName>
    <definedName name="actionrequested" localSheetId="12">#REF!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0">#REF!</definedName>
    <definedName name="divisionlisting" localSheetId="14">#REF!</definedName>
    <definedName name="divisionlisting" localSheetId="11">#REF!</definedName>
    <definedName name="divisionlisting" localSheetId="3">#REF!</definedName>
    <definedName name="divisionlisting" localSheetId="12">#REF!</definedName>
    <definedName name="divisionlisting" localSheetId="1">#REF!</definedName>
    <definedName name="divisionlisting">#REF!</definedName>
    <definedName name="DropCriteria">'[1]Drop Box'!$L$2:$L$8</definedName>
    <definedName name="droppgmparameters">'[1]Drop Box'!$M$2:$M$4</definedName>
    <definedName name="ExternalData_1" localSheetId="20">'HOS_Modellable Customers'!$A$1:$B$1053</definedName>
    <definedName name="ExternalData_1" localSheetId="19">'Modellable Customers'!$A$1:$B$916</definedName>
    <definedName name="ExternalData_2" localSheetId="26">'3zip'!$A$1:$F$30</definedName>
    <definedName name="ExternalData_2" localSheetId="27">'4zip'!$A$1:$F$93</definedName>
    <definedName name="ExternalData_2" localSheetId="28">'5zip'!$A$1:$F$374</definedName>
    <definedName name="ExternalData_2" localSheetId="23">'Customer Info'!$A$1:$F$6606</definedName>
    <definedName name="ExternalData_2" localSheetId="22">'Existing Customer Variable Exp'!$A$1:$F$1053</definedName>
    <definedName name="ExternalData_2" localSheetId="21">'Existing Customers'!$A$1:$AB$18570</definedName>
    <definedName name="ExternalData_2" localSheetId="25">'Variable Div Avgs'!$A$1:$M$2</definedName>
    <definedName name="ExternalData_2" localSheetId="24">'Variable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20">#REF!</definedName>
    <definedName name="payoutlocation" localSheetId="14">#REF!</definedName>
    <definedName name="payoutlocation" localSheetId="11">#REF!</definedName>
    <definedName name="payoutlocation" localSheetId="3">#REF!</definedName>
    <definedName name="payoutlocation" localSheetId="12">#REF!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0">#REF!</definedName>
    <definedName name="pgmparameters" localSheetId="14">#REF!</definedName>
    <definedName name="pgmparameters" localSheetId="11">#REF!</definedName>
    <definedName name="pgmparameters" localSheetId="3">#REF!</definedName>
    <definedName name="pgmparameters" localSheetId="12">#REF!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2">'Existing Customer Variable Exp'!$H$1</definedName>
    <definedName name="_xlnm.Print_Area" localSheetId="21">'Existing Customers'!$AD$1</definedName>
    <definedName name="_xlnm.Print_Area" localSheetId="20">'HOS_Modellable Customers'!$F$1</definedName>
    <definedName name="_xlnm.Print_Area" localSheetId="13">'Incentive Setup'!$I$1:$V$53</definedName>
    <definedName name="_xlnm.Print_Area" localSheetId="4">Incentives!$B$2:$O$97</definedName>
    <definedName name="_xlnm.Print_Area" localSheetId="14">'MDA Worksheet'!$B$1:$BF$132</definedName>
    <definedName name="_xlnm.Print_Area" localSheetId="19">'Modellable Customers'!$L$1</definedName>
    <definedName name="_xlnm.Print_Area" localSheetId="3">'PIM Model'!$B$1:$Q$40</definedName>
    <definedName name="_xlnm.Print_Area" localSheetId="17">'PRIME Headers'!$B$2:$C$24</definedName>
    <definedName name="_xlnm.Print_Area" localSheetId="15">'PRIME Upload'!$Q$1</definedName>
    <definedName name="_xlnm.Print_Area" localSheetId="8">'Required Info to Submit'!$C$2:$K$30</definedName>
    <definedName name="_xlnm.Print_Area" localSheetId="7">'Tracking &amp; Profitability'!$B$2:$O$36</definedName>
    <definedName name="_xlnm.Print_Area" localSheetId="6">'Variable Costs &amp; Income'!$B$2:$L$32</definedName>
    <definedName name="_xlnm.Print_Area" localSheetId="1">Welcome!$B$2:$E$25</definedName>
    <definedName name="_xlnm.Print_Titles" localSheetId="14">'MDA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0">#REF!</definedName>
    <definedName name="uompayout" localSheetId="14">#REF!</definedName>
    <definedName name="uompayout" localSheetId="11">#REF!</definedName>
    <definedName name="uompayout" localSheetId="3">#REF!</definedName>
    <definedName name="uompayout" localSheetId="12">#REF!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88" i="54" l="1"/>
  <c r="K80" i="54"/>
  <c r="K63" i="54"/>
  <c r="K55" i="54"/>
  <c r="K47" i="54"/>
  <c r="K36" i="54"/>
  <c r="K25" i="54"/>
  <c r="K14" i="54"/>
  <c r="AA15" i="12"/>
  <c r="G92" i="54" l="1"/>
  <c r="F11" i="64" l="1"/>
  <c r="D71" i="64" l="1"/>
  <c r="O52" i="64" s="1"/>
  <c r="B71" i="64"/>
  <c r="D70" i="64"/>
  <c r="B70" i="64"/>
  <c r="D69" i="64"/>
  <c r="O51" i="64" s="1"/>
  <c r="B68" i="64"/>
  <c r="O45" i="64" s="1"/>
  <c r="I64" i="54"/>
  <c r="M72" i="54"/>
  <c r="B69" i="64" l="1"/>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N49" i="64"/>
  <c r="O49" i="64"/>
  <c r="O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J40" i="54" l="1"/>
  <c r="D42" i="64" l="1"/>
  <c r="V22" i="64" s="1"/>
  <c r="D41" i="64"/>
  <c r="V21" i="64" s="1"/>
  <c r="B42" i="64"/>
  <c r="C41" i="64" s="1"/>
  <c r="B41" i="64"/>
  <c r="U21" i="64" s="1"/>
  <c r="D40" i="64"/>
  <c r="C40" i="64" l="1"/>
  <c r="U22" i="6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L14" i="64"/>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P48"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GaneshMahendran</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91" authorId="2" shapeId="0" xr:uid="{2EE11D74-28E6-4F7C-98A0-B31BDC0B0B7A}">
      <text>
        <r>
          <rPr>
            <sz val="9"/>
            <color indexed="81"/>
            <rFont val="Tahoma"/>
            <family val="2"/>
          </rPr>
          <t>The maximum rate for this incentive is 50% of the current market credit card expense rate rounded up in 0.25% increments.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<sst xmlns="http://schemas.openxmlformats.org/spreadsheetml/2006/main" count="4400" uniqueCount="1327">
  <si>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</si>
  <si>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</si>
  <si>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</si>
  <si>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</si>
  <si>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</si>
  <si>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</si>
  <si>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</si>
  <si>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</si>
  <si>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</si>
  <si>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</si>
  <si>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</si>
  <si>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</si>
  <si>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</si>
  <si>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</si>
  <si>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</si>
  <si>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</si>
  <si>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</si>
  <si>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</si>
  <si>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</si>
  <si>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</si>
  <si>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</si>
  <si>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</si>
  <si>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</si>
  <si>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</si>
  <si>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</si>
  <si>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</si>
  <si>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</si>
  <si>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</si>
  <si>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</si>
  <si>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</si>
  <si>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</si>
  <si>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</si>
  <si>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</si>
  <si>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</si>
  <si>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</si>
  <si>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</si>
  <si>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</si>
  <si>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</si>
  <si>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</si>
  <si>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</si>
  <si>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</si>
  <si>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</si>
  <si>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</si>
  <si>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</si>
  <si>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</si>
  <si>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</si>
  <si>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</si>
  <si>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</si>
  <si>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</si>
  <si>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</si>
  <si>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</si>
  <si>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</si>
  <si>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</si>
  <si>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</si>
  <si>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</si>
  <si>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</si>
  <si>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</si>
  <si>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</si>
  <si>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</si>
  <si>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</si>
  <si>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</si>
  <si>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</si>
  <si>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</si>
  <si>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</si>
  <si>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</si>
  <si>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</si>
  <si>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</si>
  <si>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</si>
  <si>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</si>
  <si>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</si>
  <si>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</si>
  <si>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</si>
  <si>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</si>
  <si>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</si>
  <si>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</si>
  <si>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</si>
  <si>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</si>
  <si>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</si>
  <si>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</si>
  <si>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</si>
  <si>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</si>
  <si>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</si>
  <si>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</si>
  <si>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</si>
  <si>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</si>
  <si>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</si>
  <si>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</si>
  <si>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</si>
  <si>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</si>
  <si>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</si>
  <si>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</si>
  <si>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</si>
  <si>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</si>
  <si>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</si>
  <si>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</si>
  <si>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</si>
  <si>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</si>
  <si>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</si>
  <si>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</si>
  <si>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</si>
  <si>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</si>
  <si>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</si>
  <si>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</si>
  <si>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</si>
  <si>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</si>
  <si>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</si>
  <si>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</si>
  <si>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</si>
  <si>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</si>
  <si>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</si>
  <si>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</si>
  <si>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</si>
  <si>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</si>
  <si>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</si>
  <si>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</si>
  <si>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</si>
  <si>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</si>
  <si>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</si>
  <si>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</si>
  <si>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</si>
  <si>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</si>
  <si>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</si>
  <si>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</si>
  <si>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</si>
  <si>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</si>
  <si>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</si>
  <si>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</si>
  <si>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</si>
  <si>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</si>
  <si>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</si>
  <si>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</si>
  <si>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</si>
  <si>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</si>
  <si>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</si>
  <si>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</si>
  <si>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</si>
  <si>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</si>
  <si>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</si>
  <si>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</si>
  <si>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</si>
  <si>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</si>
  <si>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</si>
  <si>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</si>
  <si>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</si>
  <si>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</si>
  <si>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</si>
  <si>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</si>
  <si>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</si>
  <si>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</si>
  <si>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</si>
  <si>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</si>
  <si>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</si>
  <si>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</si>
  <si>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</si>
  <si>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</si>
  <si>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</si>
  <si>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</si>
  <si>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</si>
  <si>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</si>
  <si>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</si>
  <si>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</si>
  <si>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</si>
  <si>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</si>
  <si>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</si>
  <si>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</si>
  <si>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</si>
  <si>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</si>
  <si>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</si>
  <si>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</si>
  <si>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</si>
  <si>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</si>
  <si>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</si>
  <si>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</si>
  <si>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</si>
  <si>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</si>
  <si>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</si>
  <si>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</si>
  <si>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</si>
  <si>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</si>
  <si>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</si>
  <si>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</si>
  <si>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</si>
  <si>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</si>
  <si>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</si>
  <si>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</si>
  <si>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</si>
  <si>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</si>
  <si>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</si>
  <si>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</si>
  <si>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</si>
  <si>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</si>
  <si>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</si>
  <si>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</si>
  <si>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</si>
  <si>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</si>
  <si>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</si>
  <si>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</si>
  <si>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</si>
  <si>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</si>
  <si>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</si>
  <si>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</si>
  <si>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</si>
  <si>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</si>
  <si>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</si>
  <si>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</si>
  <si>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</si>
  <si>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</si>
  <si>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</si>
  <si>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</si>
  <si>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</si>
  <si>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</si>
  <si>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</si>
  <si>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</si>
  <si>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</si>
  <si>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</si>
  <si>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</si>
  <si>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</si>
  <si>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</si>
  <si>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</si>
  <si>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</si>
  <si>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</si>
  <si>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</si>
  <si>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</si>
  <si>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</si>
  <si>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</si>
  <si>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</si>
  <si>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</si>
  <si>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</si>
  <si>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</si>
  <si>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</si>
  <si>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</si>
  <si>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</si>
  <si>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</si>
  <si>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</si>
  <si>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</si>
  <si>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</si>
  <si>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</si>
  <si>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</si>
  <si>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</si>
  <si>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</si>
  <si>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</si>
  <si>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</si>
  <si>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</si>
  <si>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</si>
  <si>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</si>
  <si>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</si>
  <si>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</si>
  <si>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</si>
  <si>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</si>
  <si>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</si>
  <si>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</si>
  <si>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</si>
  <si>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</si>
  <si>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</si>
  <si>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</si>
  <si>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</si>
  <si>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</si>
  <si>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</si>
  <si>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</si>
  <si>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</si>
  <si>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</si>
  <si>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</si>
  <si>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</si>
  <si>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</si>
  <si>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</si>
  <si>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</si>
  <si>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</si>
  <si>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</si>
  <si>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</si>
  <si>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</si>
  <si>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</si>
  <si>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</si>
  <si>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</si>
  <si>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</si>
  <si>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</si>
  <si>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</si>
  <si>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</si>
  <si>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</si>
  <si>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</si>
  <si>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</si>
  <si>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</si>
  <si>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</si>
  <si>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</si>
  <si>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</si>
  <si>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</si>
  <si>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</si>
  <si>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</si>
  <si>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</si>
  <si>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</si>
  <si>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</si>
  <si>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</si>
  <si>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</si>
  <si>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</si>
  <si>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</si>
  <si>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</si>
  <si>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</si>
  <si>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</si>
  <si>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</si>
  <si>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</si>
  <si>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</si>
  <si>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</si>
  <si>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</si>
  <si>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</si>
  <si>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</si>
  <si>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</si>
  <si>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</si>
  <si>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</si>
  <si>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</si>
  <si>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</si>
  <si>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</si>
  <si>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</si>
  <si>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</si>
  <si>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</si>
  <si>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</si>
  <si>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</si>
  <si>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</si>
  <si>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</si>
  <si>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</si>
  <si>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</si>
  <si>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</si>
  <si>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</si>
  <si>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</si>
  <si>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</si>
  <si>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</si>
  <si>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</si>
  <si>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</si>
  <si>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</si>
  <si>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</si>
  <si>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</si>
  <si>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</si>
  <si>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</si>
  <si>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</si>
  <si>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</si>
  <si>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</si>
  <si>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</si>
  <si>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</si>
  <si>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</si>
  <si>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</si>
  <si>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</si>
  <si>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</si>
  <si>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</si>
  <si>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</si>
  <si>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</si>
  <si>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</si>
  <si>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</si>
  <si>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</si>
  <si>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</si>
  <si>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</si>
  <si>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</si>
  <si>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</si>
  <si>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</si>
  <si>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</si>
  <si>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</si>
  <si>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</si>
  <si>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</si>
  <si>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</si>
  <si>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</si>
  <si>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</si>
  <si>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</si>
  <si>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</si>
  <si>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</si>
  <si>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</si>
  <si>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</si>
  <si>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</si>
  <si>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</si>
  <si>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</si>
  <si>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</si>
  <si>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</si>
  <si>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</si>
  <si>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</si>
  <si>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</si>
  <si>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</si>
  <si>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</si>
  <si>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</si>
  <si>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</si>
  <si>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</si>
  <si>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</si>
  <si>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</si>
  <si>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</si>
  <si>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</si>
  <si>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</si>
  <si>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</si>
  <si>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</si>
  <si>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</si>
  <si>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</si>
  <si>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</si>
  <si>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</si>
  <si>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</si>
  <si>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</si>
  <si>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</si>
  <si>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</si>
  <si>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</si>
  <si>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</si>
  <si>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</si>
  <si>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</si>
  <si>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</si>
  <si>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</si>
  <si>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</si>
  <si>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</si>
  <si>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</si>
  <si>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</si>
  <si>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</si>
  <si>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</si>
  <si>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</si>
  <si>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</si>
  <si>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</si>
  <si>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</si>
  <si>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</si>
  <si>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</si>
  <si>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</si>
  <si>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</si>
  <si>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</si>
  <si>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</si>
  <si>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</si>
  <si>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</si>
  <si>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</si>
  <si>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</si>
  <si>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</si>
  <si>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</si>
  <si>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</si>
  <si>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</si>
  <si>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</si>
  <si>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</si>
  <si>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</si>
  <si>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</si>
  <si>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</si>
  <si>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</si>
  <si>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</si>
  <si>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</si>
  <si>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</si>
  <si>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</si>
  <si>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</si>
  <si>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</si>
  <si>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</si>
  <si>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</si>
  <si>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</si>
  <si>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</si>
  <si>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</si>
  <si>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</si>
  <si>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</si>
  <si>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</si>
  <si>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</si>
  <si>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</si>
  <si>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</si>
  <si>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</si>
  <si>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</si>
  <si>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</si>
  <si>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</si>
  <si>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</si>
  <si>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</si>
  <si>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</si>
  <si>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</si>
  <si>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</si>
  <si>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</si>
  <si>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</si>
  <si>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</si>
  <si>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</si>
  <si>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</si>
  <si>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</si>
  <si>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</si>
  <si>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</si>
  <si>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</si>
  <si>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</si>
  <si>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</si>
  <si>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</si>
  <si>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</si>
  <si>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</si>
  <si>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</si>
  <si>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</si>
  <si>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</si>
  <si>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</si>
  <si>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</si>
  <si>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</si>
  <si>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</si>
  <si>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</si>
  <si>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</si>
  <si>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</si>
  <si>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</si>
  <si>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</si>
  <si>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</si>
  <si>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</si>
  <si>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</si>
  <si>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</si>
  <si>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</si>
  <si>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</si>
  <si>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</si>
  <si>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</si>
  <si>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</si>
  <si>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</si>
  <si>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</si>
  <si>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</si>
  <si>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</si>
  <si>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</si>
  <si>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</si>
  <si>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</si>
  <si>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</si>
  <si>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</si>
  <si>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</si>
  <si>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</si>
  <si>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</si>
  <si>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</si>
  <si>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</si>
  <si>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</si>
  <si>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</si>
  <si>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</si>
  <si>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</si>
  <si>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</si>
  <si>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</si>
  <si>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</si>
  <si>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</si>
  <si>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</si>
  <si>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</si>
  <si>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</si>
  <si>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</si>
  <si>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</si>
  <si>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</si>
  <si>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</si>
  <si>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</si>
  <si>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</si>
  <si>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</si>
  <si>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</si>
  <si>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</si>
  <si>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</si>
  <si>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</si>
  <si>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</si>
  <si>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</si>
  <si>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</si>
  <si>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</si>
  <si>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</si>
  <si>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</si>
  <si>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</si>
  <si>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</si>
  <si>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</si>
  <si>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</si>
  <si>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</si>
  <si>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</si>
  <si>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</si>
  <si>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</si>
  <si>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</si>
  <si>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</si>
  <si>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</si>
  <si>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</si>
  <si>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</si>
  <si>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</si>
  <si>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</si>
  <si>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</si>
  <si>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</si>
  <si>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</si>
  <si>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</si>
  <si>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</si>
  <si>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</si>
  <si>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</si>
  <si>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</si>
  <si>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</si>
  <si>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</si>
  <si>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</si>
  <si>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</si>
  <si>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</si>
  <si>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</si>
  <si>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</si>
  <si>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</si>
  <si>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</si>
  <si>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</si>
  <si>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</si>
  <si>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</si>
  <si>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</si>
  <si>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</si>
  <si>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</si>
  <si>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</si>
  <si>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</si>
  <si>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</si>
  <si>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</si>
  <si>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</si>
  <si>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</si>
  <si>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</si>
  <si>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</si>
  <si>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</si>
  <si>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</si>
  <si>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</si>
  <si>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</si>
  <si>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</si>
  <si>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</si>
  <si>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</si>
  <si>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</si>
  <si>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</si>
  <si>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</si>
  <si>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</si>
  <si>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</si>
  <si>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</si>
  <si>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</si>
  <si>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</si>
  <si>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</si>
  <si>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</si>
  <si>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</si>
  <si>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</si>
  <si>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</si>
  <si>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</si>
  <si>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</si>
  <si>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</si>
  <si>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</si>
  <si>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</si>
  <si>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</si>
  <si>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</si>
  <si>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</si>
  <si>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</si>
  <si>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</si>
  <si>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</si>
  <si>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</si>
  <si>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</si>
  <si>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</si>
  <si>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</si>
  <si>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</si>
  <si>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</si>
  <si>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</si>
  <si>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</si>
  <si>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</si>
  <si>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</si>
  <si>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</si>
  <si>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</si>
  <si>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</si>
  <si>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</si>
  <si>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</si>
  <si>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</si>
  <si>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</si>
  <si>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</si>
  <si>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</si>
  <si>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</si>
  <si>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</si>
  <si>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</si>
  <si>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</si>
  <si>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</si>
  <si>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</si>
  <si>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</si>
  <si>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</si>
  <si>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</si>
  <si>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</si>
  <si>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</si>
  <si>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</si>
  <si>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</si>
  <si>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</si>
  <si>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</si>
  <si>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</si>
  <si>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</si>
  <si>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</si>
  <si>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</si>
  <si>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</si>
  <si>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</si>
  <si>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</si>
  <si>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</si>
  <si>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</si>
  <si>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</si>
  <si>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</si>
  <si>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</si>
  <si>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</si>
  <si>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</si>
  <si>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</si>
  <si>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</si>
  <si>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</si>
  <si>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</si>
  <si>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</si>
  <si>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</si>
  <si>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</si>
  <si>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</si>
  <si>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</si>
  <si>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</si>
  <si>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</si>
  <si>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</si>
  <si>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</si>
  <si>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</si>
  <si>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</si>
  <si>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</si>
  <si>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</si>
  <si>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</si>
  <si>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</si>
  <si>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</si>
  <si>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</si>
  <si>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</si>
  <si>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</si>
  <si>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</si>
  <si>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</si>
  <si>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</si>
  <si>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</si>
  <si>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</si>
  <si>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</si>
  <si>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</si>
  <si>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</si>
  <si>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</si>
  <si>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</si>
  <si>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</si>
  <si>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</si>
  <si>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</si>
  <si>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</si>
  <si>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</si>
  <si>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</si>
  <si>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</si>
  <si>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</si>
  <si>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</si>
  <si>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</si>
  <si>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</si>
  <si>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</si>
  <si>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</si>
  <si>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</si>
  <si>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</si>
  <si>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</si>
  <si>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</si>
  <si>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</si>
  <si>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</si>
  <si>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</si>
  <si>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</si>
  <si>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</si>
  <si>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</si>
  <si>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</si>
  <si>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</si>
  <si>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</si>
  <si>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</si>
  <si>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</si>
  <si>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</si>
  <si>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</si>
  <si>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</si>
  <si>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</si>
  <si>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</si>
  <si>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</si>
  <si>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</si>
  <si>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</si>
  <si>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</si>
  <si>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</si>
  <si>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</si>
  <si>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</si>
  <si>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</si>
  <si>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</si>
  <si>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</si>
  <si>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</si>
  <si>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</si>
  <si>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</si>
  <si>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</si>
  <si>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</si>
  <si>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</si>
  <si>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</si>
  <si>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</si>
  <si>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</si>
  <si>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</si>
  <si>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</si>
  <si>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</si>
  <si>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</si>
  <si>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</si>
  <si>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</si>
  <si>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</si>
  <si>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</si>
  <si>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</si>
  <si>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</si>
  <si>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</si>
  <si>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</si>
  <si>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</si>
  <si>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</si>
  <si>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</si>
  <si>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</si>
  <si>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</si>
  <si>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</si>
  <si>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</si>
  <si>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</si>
  <si>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</si>
  <si>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</si>
  <si>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</si>
  <si>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</si>
  <si>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</si>
  <si>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</si>
  <si>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</si>
  <si>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</si>
  <si>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</si>
  <si>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</si>
  <si>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</si>
  <si>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</si>
  <si>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</si>
  <si>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</si>
  <si>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</si>
  <si>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</si>
  <si>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</si>
  <si>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</si>
  <si>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</si>
  <si>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</si>
  <si>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</si>
  <si>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</si>
  <si>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</si>
  <si>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</si>
  <si>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</si>
  <si>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</si>
  <si>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</si>
  <si>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</si>
  <si>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</si>
  <si>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</si>
  <si>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</si>
  <si>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</si>
  <si>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</si>
  <si>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</si>
  <si>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</si>
  <si>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</si>
  <si>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</si>
  <si>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</si>
  <si>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</si>
  <si>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</si>
  <si>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</si>
  <si>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</si>
  <si>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</si>
  <si>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</si>
  <si>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</si>
  <si>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</si>
  <si>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</si>
  <si>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</si>
  <si>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</si>
  <si>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</si>
  <si>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</si>
  <si>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</si>
  <si>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</si>
  <si>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</si>
  <si>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</si>
  <si>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</si>
  <si>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</si>
  <si>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</si>
  <si>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</si>
  <si>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</si>
  <si>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</si>
  <si>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</si>
  <si>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</si>
  <si>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</si>
  <si>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</si>
  <si>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</si>
  <si>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</si>
  <si>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</si>
  <si>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</si>
  <si>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</si>
  <si>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</si>
  <si>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</si>
  <si>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</si>
  <si>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</si>
  <si>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</si>
  <si>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</si>
  <si>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</si>
  <si>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</si>
  <si>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</si>
  <si>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</si>
  <si>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</si>
  <si>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</si>
  <si>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</si>
  <si>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</si>
  <si>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</si>
  <si>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</si>
  <si>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</si>
  <si>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</si>
  <si>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</si>
  <si>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</si>
  <si>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</si>
  <si>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</si>
  <si>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</si>
  <si>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</si>
  <si>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</si>
  <si>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</si>
  <si>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</si>
  <si>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</si>
  <si>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</si>
  <si>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</si>
  <si>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</si>
  <si>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</si>
  <si>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</si>
  <si>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</si>
  <si>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</si>
  <si>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</si>
  <si>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</si>
  <si>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</si>
  <si>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</si>
  <si>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</si>
  <si>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</si>
  <si>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</si>
  <si>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</si>
  <si>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</si>
  <si>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</si>
  <si>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</si>
  <si>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</si>
  <si>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</si>
  <si>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</si>
  <si>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</si>
  <si>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</si>
  <si>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</si>
  <si>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</si>
  <si>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</si>
  <si>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</si>
  <si>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</si>
  <si>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</si>
  <si>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</si>
  <si>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</si>
  <si>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</si>
  <si>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</si>
  <si>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</si>
  <si>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</si>
  <si>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</si>
  <si>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</si>
  <si>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</si>
  <si>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</si>
  <si>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</si>
  <si>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</si>
  <si>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</si>
  <si>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</si>
  <si>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</si>
  <si>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</si>
  <si>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</si>
  <si>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</si>
  <si>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</si>
  <si>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</si>
  <si>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</si>
  <si>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</si>
  <si>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</si>
  <si>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</si>
  <si>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</si>
  <si>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</si>
  <si>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</si>
  <si>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</si>
  <si>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</si>
  <si>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</si>
  <si>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</si>
  <si>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</si>
  <si>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</si>
  <si>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</si>
  <si>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</si>
  <si>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</si>
  <si>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</si>
  <si>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</si>
  <si>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</si>
  <si>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</si>
  <si>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</si>
  <si>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</si>
  <si>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</si>
  <si>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</si>
  <si>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</si>
  <si>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</si>
  <si>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</si>
  <si>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</si>
  <si>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</si>
  <si>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</si>
  <si>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</si>
  <si>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</si>
  <si>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</si>
  <si>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</si>
  <si>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</si>
  <si>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</si>
  <si>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</si>
  <si>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</si>
  <si>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</si>
  <si>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</si>
  <si>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</si>
  <si>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</si>
  <si>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</si>
  <si>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</si>
  <si>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</si>
  <si>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</si>
  <si>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</si>
  <si>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</si>
  <si>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</si>
  <si>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</si>
  <si>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</si>
  <si>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</si>
  <si>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</si>
  <si>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</si>
  <si>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</si>
  <si>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</si>
  <si>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</si>
  <si>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</si>
  <si>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</si>
  <si>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</si>
  <si>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</si>
  <si>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</si>
  <si>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</si>
  <si>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</si>
  <si>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</si>
  <si>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</si>
  <si>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</si>
  <si>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</si>
  <si>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</si>
  <si>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</si>
  <si>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</si>
  <si>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</si>
  <si>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</si>
  <si>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</si>
  <si>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</si>
  <si>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</si>
  <si>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</si>
  <si>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</si>
  <si>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</si>
  <si>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</si>
  <si>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</si>
  <si>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</si>
  <si>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</si>
  <si>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</si>
  <si>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</si>
  <si>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</si>
  <si>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</si>
  <si>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</si>
  <si>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</si>
  <si>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</si>
  <si>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</si>
  <si>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</si>
  <si>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</si>
  <si>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</si>
  <si>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</si>
  <si>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</si>
  <si>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</si>
  <si>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</si>
  <si>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</si>
  <si>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</si>
  <si>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</si>
  <si>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</si>
  <si>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</si>
  <si>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</si>
  <si>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</si>
  <si>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</si>
  <si>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</si>
  <si>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</si>
  <si>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</si>
  <si>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</si>
  <si>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</si>
  <si>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</si>
  <si>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</si>
  <si>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</si>
  <si>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</si>
  <si>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</si>
  <si>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</si>
  <si>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</si>
  <si>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</si>
  <si>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</si>
  <si>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</si>
  <si>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</si>
  <si>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</si>
  <si>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</si>
  <si>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</si>
  <si>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</si>
  <si>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</si>
  <si>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</si>
  <si>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</si>
  <si>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</si>
  <si>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</si>
  <si>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</si>
  <si>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</si>
  <si>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</si>
  <si>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</si>
  <si>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</si>
  <si>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</si>
  <si>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</si>
  <si>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</si>
  <si>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</si>
  <si>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</si>
  <si>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</si>
  <si>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</si>
  <si>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</si>
  <si>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</si>
  <si>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</si>
  <si>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</si>
  <si>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</si>
  <si>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</si>
  <si>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</si>
  <si>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</si>
  <si>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</si>
  <si>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</si>
  <si>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</si>
  <si>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</si>
  <si>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</si>
  <si>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</si>
  <si>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</si>
  <si>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</si>
  <si>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</si>
  <si>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</si>
  <si>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</si>
  <si>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</si>
  <si>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</si>
  <si>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</si>
  <si>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</si>
  <si>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</si>
  <si>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</si>
  <si>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</si>
  <si>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</si>
  <si>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</si>
  <si>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</si>
  <si>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</si>
  <si>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</si>
  <si>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</si>
  <si>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</si>
  <si>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</si>
  <si>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</si>
  <si>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</si>
  <si>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</si>
  <si>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</si>
  <si>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</si>
  <si>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</si>
  <si>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</si>
  <si>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</si>
  <si>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</si>
  <si>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</si>
  <si>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</si>
  <si>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</si>
  <si>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</si>
  <si>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</si>
  <si>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</si>
  <si>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</si>
  <si>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</si>
  <si>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</si>
  <si>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</si>
  <si>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</si>
  <si>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</si>
  <si>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</si>
  <si>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</si>
  <si>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</si>
  <si>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</si>
  <si>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</si>
  <si>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</si>
  <si>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</si>
  <si>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</si>
  <si>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</si>
  <si>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</si>
  <si>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</si>
  <si>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</si>
  <si>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</si>
  <si>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</si>
  <si>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</si>
  <si>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</si>
  <si>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</si>
  <si>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</si>
  <si>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</si>
  <si>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</si>
  <si>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</si>
  <si>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</si>
  <si>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</si>
  <si>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</si>
  <si>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</si>
  <si>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</si>
  <si>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</si>
  <si>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</si>
  <si>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</si>
  <si>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</si>
  <si>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</si>
  <si>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</si>
  <si>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</si>
  <si>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</si>
  <si>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</si>
  <si>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</si>
  <si>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</si>
  <si>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</si>
  <si>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</si>
  <si>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</si>
  <si>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</si>
  <si>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</si>
  <si>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</si>
  <si>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</si>
  <si>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</si>
  <si>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</si>
  <si>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</si>
  <si>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</si>
  <si>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</si>
  <si>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</si>
  <si>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</si>
  <si>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</si>
  <si>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</si>
  <si>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</si>
  <si>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</si>
  <si>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</si>
  <si>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</si>
  <si>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</si>
  <si>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</si>
  <si>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</si>
  <si>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</si>
  <si>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</si>
  <si>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</si>
  <si>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</si>
  <si>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</si>
  <si>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</si>
  <si>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</si>
  <si>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</si>
  <si>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</si>
  <si>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</si>
  <si>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</si>
  <si>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</si>
  <si>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</si>
  <si>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</si>
  <si>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</si>
  <si>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</si>
  <si>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</si>
  <si>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</si>
  <si>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</si>
  <si>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</si>
  <si>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</si>
  <si>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</si>
  <si>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</si>
  <si>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</si>
  <si>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</si>
  <si>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</si>
  <si>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</si>
  <si>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</si>
  <si>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</si>
  <si>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</si>
  <si>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</si>
  <si>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</si>
  <si>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</si>
  <si>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</si>
  <si>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</si>
  <si>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</si>
  <si>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</si>
  <si>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</si>
  <si>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</si>
  <si>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</si>
  <si>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</si>
  <si>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</si>
  <si>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</si>
  <si>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</si>
  <si>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</si>
  <si>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</si>
  <si>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</si>
  <si>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</si>
  <si>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</si>
  <si>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</si>
  <si>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</si>
  <si>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</si>
  <si>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</si>
  <si>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</si>
  <si>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</si>
  <si>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</si>
  <si>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</si>
  <si>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</si>
  <si>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</si>
  <si>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</si>
  <si>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</si>
  <si>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</si>
  <si>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</si>
  <si>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</si>
  <si>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</si>
  <si>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</si>
  <si>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</si>
  <si>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</si>
  <si>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</si>
  <si>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</si>
  <si>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</si>
  <si>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</si>
  <si>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</si>
  <si>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</si>
  <si>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</si>
  <si>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</si>
  <si>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</si>
  <si>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</si>
  <si>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</si>
  <si>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</si>
  <si>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</si>
  <si>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</si>
  <si>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</si>
  <si>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</si>
  <si>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</si>
  <si>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</si>
  <si>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</si>
  <si>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</si>
  <si>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</si>
  <si>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</si>
  <si>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</si>
  <si>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</si>
  <si>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</si>
  <si>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</si>
  <si>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</si>
  <si>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</si>
  <si>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</si>
  <si>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</si>
  <si>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</si>
  <si>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</si>
  <si>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</si>
  <si>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</si>
  <si>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</si>
  <si>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</si>
  <si>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</si>
  <si>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</si>
  <si>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</si>
  <si>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</si>
  <si>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</si>
  <si>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</si>
  <si>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</si>
  <si>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</si>
  <si>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</si>
  <si>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</si>
  <si>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</si>
  <si>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</si>
  <si>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</si>
  <si>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</si>
  <si>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</si>
  <si>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</si>
  <si>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</si>
  <si>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</si>
  <si>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</si>
  <si>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</si>
  <si>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</si>
  <si>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</si>
  <si>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</si>
  <si>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</si>
  <si>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</si>
  <si>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</si>
  <si>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</si>
  <si>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</si>
  <si>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</si>
  <si>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</si>
  <si>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</si>
  <si>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</si>
  <si>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</si>
  <si>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</si>
  <si>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</si>
  <si>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</si>
  <si>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</si>
  <si>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</si>
  <si>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</si>
  <si>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</si>
  <si>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</si>
  <si>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</si>
  <si>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</si>
  <si>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</si>
  <si>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</si>
  <si>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</si>
  <si>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</si>
  <si>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</si>
  <si>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</si>
  <si>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</si>
  <si>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</si>
  <si>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</si>
  <si>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</si>
  <si>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</si>
  <si>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Value</t>
  </si>
  <si>
    <t>Percent</t>
  </si>
  <si>
    <t>Key</t>
  </si>
  <si>
    <t>No Payment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</si>
</sst>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
      <sz val="10"/>
      <color rgb="FF202124"/>
      <name val="Arial"/>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5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4" fillId="0" borderId="0" xfId="0" applyFont="1"/>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0" fillId="0" borderId="14" xfId="0" applyFill="1" applyBorder="1" applyAlignment="1">
      <alignment horizontal="center"/>
    </xf>
    <xf numFmtId="0" fontId="3" fillId="0" borderId="0" xfId="0" applyFont="1" applyFill="1" applyBorder="1" applyAlignment="1">
      <alignment wrapText="1"/>
    </xf>
    <xf numFmtId="4" fontId="0" fillId="0" borderId="0" xfId="1" applyNumberFormat="1" applyFont="1" applyFill="1" applyBorder="1"/>
    <xf numFmtId="0" fontId="3" fillId="0" borderId="14" xfId="0" applyFont="1" applyFill="1" applyBorder="1" applyAlignment="1">
      <alignment horizontal="center" wrapText="1"/>
    </xf>
    <xf numFmtId="43" fontId="0" fillId="0" borderId="0" xfId="1" applyFont="1" applyFill="1" applyBorder="1"/>
    <xf numFmtId="0" fontId="0" fillId="0" borderId="29" xfId="0" applyFill="1" applyBorder="1" applyAlignment="1">
      <alignment wrapText="1"/>
    </xf>
    <xf numFmtId="0" fontId="0" fillId="0" borderId="0" xfId="0" applyFill="1" applyBorder="1" applyAlignment="1">
      <alignment vertical="top"/>
    </xf>
    <xf numFmtId="0" fontId="0" fillId="0" borderId="29" xfId="0" applyFill="1" applyBorder="1" applyAlignment="1">
      <alignment vertical="top"/>
    </xf>
    <xf numFmtId="0" fontId="0" fillId="0" borderId="2" xfId="0" applyFill="1" applyBorder="1" applyAlignment="1">
      <alignment vertical="top"/>
    </xf>
    <xf numFmtId="0" fontId="0" fillId="0" borderId="30" xfId="0" applyFill="1" applyBorder="1" applyAlignment="1">
      <alignment vertical="top"/>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9">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numFmt numFmtId="14" formatCode="0.00%"/>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5.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1.bin"/></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9.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4.5" x14ac:dyDescent="0.35"/>
  <cols>
    <col min="1" max="1" width="24.1796875" customWidth="1"/>
    <col min="2" max="2" width="17.81640625" customWidth="1"/>
    <col min="3" max="3" width="13.453125" bestFit="1" customWidth="1"/>
    <col min="4" max="4" width="29.54296875" customWidth="1"/>
    <col min="5" max="5" width="14.26953125" customWidth="1"/>
  </cols>
  <sheetData>
    <row r="1" spans="1:5" x14ac:dyDescent="0.35">
      <c r="A1" s="1033" t="s">
        <v>790</v>
      </c>
      <c r="B1" s="1033"/>
      <c r="C1" s="1033"/>
      <c r="D1" s="1033"/>
      <c r="E1" s="1033"/>
    </row>
    <row r="2" spans="1:5" x14ac:dyDescent="0.35">
      <c r="A2" s="1033" t="s">
        <v>791</v>
      </c>
      <c r="B2" s="1033"/>
      <c r="C2" s="1033"/>
      <c r="D2" s="1033"/>
      <c r="E2" s="1033"/>
    </row>
    <row r="3" spans="1:5" x14ac:dyDescent="0.35">
      <c r="A3" s="77"/>
    </row>
    <row r="4" spans="1:5" ht="78" customHeight="1" x14ac:dyDescent="0.35">
      <c r="A4" s="1051" t="s">
        <v>792</v>
      </c>
      <c r="B4" s="1051"/>
      <c r="C4" s="1051"/>
      <c r="D4" s="1051"/>
      <c r="E4" s="1051"/>
    </row>
    <row r="5" spans="1:5" x14ac:dyDescent="0.35">
      <c r="A5" s="77"/>
    </row>
    <row r="6" spans="1:5" ht="31.5" customHeight="1" x14ac:dyDescent="0.35">
      <c r="A6" s="1050" t="s">
        <v>793</v>
      </c>
      <c r="B6" s="1050"/>
      <c r="C6" s="1050"/>
      <c r="D6" s="1050"/>
      <c r="E6" s="1050"/>
    </row>
    <row r="7" spans="1:5" ht="15" thickBot="1" x14ac:dyDescent="0.4">
      <c r="A7" s="78"/>
    </row>
    <row r="8" spans="1:5" ht="15" customHeight="1" x14ac:dyDescent="0.35">
      <c r="A8" s="1044" t="s">
        <v>794</v>
      </c>
      <c r="B8" s="1045"/>
      <c r="C8" s="1045"/>
      <c r="D8" s="1045"/>
      <c r="E8" s="1046"/>
    </row>
    <row r="9" spans="1:5" ht="15" customHeight="1" thickBot="1" x14ac:dyDescent="0.4">
      <c r="A9" s="1047" t="s">
        <v>795</v>
      </c>
      <c r="B9" s="1048"/>
      <c r="C9" s="1048"/>
      <c r="D9" s="1048"/>
      <c r="E9" s="1049"/>
    </row>
    <row r="10" spans="1:5" x14ac:dyDescent="0.35">
      <c r="A10" s="79"/>
      <c r="B10" s="1041"/>
      <c r="C10" s="1041"/>
      <c r="D10" s="83"/>
    </row>
    <row r="11" spans="1:5" ht="31.5" customHeight="1" thickBot="1" x14ac:dyDescent="0.4">
      <c r="A11" s="81" t="s">
        <v>796</v>
      </c>
      <c r="B11" s="1042" t="s">
        <v>797</v>
      </c>
      <c r="C11" s="1042"/>
      <c r="D11" s="83">
        <f>Welcome!$D$4</f>
        <v>0</v>
      </c>
    </row>
    <row r="12" spans="1:5" ht="15" thickBot="1" x14ac:dyDescent="0.4">
      <c r="A12" s="81" t="s">
        <v>798</v>
      </c>
      <c r="B12" s="1043">
        <f>'MDA Worksheet'!$R$18</f>
        <v>0</v>
      </c>
      <c r="C12" s="1043"/>
      <c r="D12" s="79"/>
    </row>
    <row r="13" spans="1:5" x14ac:dyDescent="0.35">
      <c r="A13" s="81"/>
      <c r="B13" s="79"/>
      <c r="C13" s="80"/>
      <c r="D13" s="79"/>
    </row>
    <row r="14" spans="1:5" ht="15" thickBot="1" x14ac:dyDescent="0.4">
      <c r="A14" s="81" t="s">
        <v>799</v>
      </c>
      <c r="B14" s="138">
        <f>'MDA Worksheet'!$R$24</f>
        <v>44332</v>
      </c>
      <c r="C14" s="79" t="s">
        <v>800</v>
      </c>
      <c r="D14" s="139" t="str">
        <f>Welcome!$D$12&amp;" Years"</f>
        <v xml:space="preserve"> Years</v>
      </c>
    </row>
    <row r="15" spans="1:5" ht="15" thickBot="1" x14ac:dyDescent="0.4">
      <c r="A15" s="81" t="s">
        <v>801</v>
      </c>
      <c r="B15" s="126">
        <f>'MDA Worksheet'!$R$24</f>
        <v>44332</v>
      </c>
      <c r="C15" s="79" t="s">
        <v>802</v>
      </c>
      <c r="D15" s="126">
        <f>'MDA Worksheet'!$AV$24</f>
        <v>44338</v>
      </c>
    </row>
    <row r="16" spans="1:5" x14ac:dyDescent="0.35">
      <c r="A16" s="79"/>
      <c r="B16" s="122"/>
      <c r="C16" s="79"/>
      <c r="D16" s="122"/>
    </row>
    <row r="17" spans="1:5" ht="15" thickBot="1" x14ac:dyDescent="0.4">
      <c r="A17" s="81" t="s">
        <v>803</v>
      </c>
      <c r="B17" s="1040"/>
      <c r="C17" s="1040"/>
      <c r="D17" s="1040"/>
      <c r="E17" s="1040"/>
    </row>
    <row r="18" spans="1:5" x14ac:dyDescent="0.35">
      <c r="A18" s="79"/>
      <c r="B18" s="122"/>
      <c r="C18" s="79"/>
      <c r="D18" s="122"/>
    </row>
    <row r="19" spans="1:5" ht="15" thickBot="1" x14ac:dyDescent="0.4">
      <c r="A19" s="81" t="s">
        <v>876</v>
      </c>
      <c r="B19" s="1040">
        <f>Welcome!$D$8</f>
        <v>0</v>
      </c>
      <c r="C19" s="1040"/>
      <c r="D19" s="1040"/>
      <c r="E19" s="1040"/>
    </row>
    <row r="20" spans="1:5" x14ac:dyDescent="0.35">
      <c r="A20" s="81"/>
      <c r="B20" s="122"/>
      <c r="C20" s="79"/>
      <c r="D20" s="122"/>
    </row>
    <row r="21" spans="1:5" x14ac:dyDescent="0.35">
      <c r="A21" s="125"/>
      <c r="B21" s="125"/>
      <c r="C21" s="125"/>
      <c r="D21" s="125"/>
      <c r="E21" s="44"/>
    </row>
    <row r="22" spans="1:5" x14ac:dyDescent="0.35">
      <c r="A22" s="7"/>
      <c r="B22" s="6" t="s">
        <v>238</v>
      </c>
      <c r="C22" s="38"/>
      <c r="D22" s="130" t="s">
        <v>376</v>
      </c>
      <c r="E22" s="44"/>
    </row>
    <row r="23" spans="1:5" x14ac:dyDescent="0.35">
      <c r="A23" s="8" t="s">
        <v>715</v>
      </c>
      <c r="B23" s="12">
        <f>'Tracking &amp; Profitability'!$E$12</f>
        <v>0</v>
      </c>
      <c r="C23" s="129"/>
      <c r="D23" s="68"/>
      <c r="E23" s="44"/>
    </row>
    <row r="24" spans="1:5" x14ac:dyDescent="0.35">
      <c r="A24" s="8" t="s">
        <v>504</v>
      </c>
      <c r="B24" s="12">
        <f>IFERROR('Tracking &amp; Profitability'!$E$13,0)</f>
        <v>0</v>
      </c>
      <c r="C24" s="39"/>
      <c r="D24" s="134">
        <f>IFERROR($B$24/'PIM Model'!$H$31,0)</f>
        <v>0</v>
      </c>
      <c r="E24" s="44"/>
    </row>
    <row r="25" spans="1:5" x14ac:dyDescent="0.35">
      <c r="A25" s="16" t="s">
        <v>229</v>
      </c>
      <c r="B25" s="12">
        <f>IFERROR(Incentives!$M$94*-1,0)</f>
        <v>0</v>
      </c>
      <c r="C25" s="131"/>
      <c r="D25" s="134">
        <f>IFERROR($B$25/'PIM Model'!$H$31,0)</f>
        <v>0</v>
      </c>
      <c r="E25" s="44"/>
    </row>
    <row r="26" spans="1:5" s="880" customFormat="1" x14ac:dyDescent="0.35">
      <c r="A26" s="16" t="s">
        <v>231</v>
      </c>
      <c r="B26" s="12">
        <f>IFERROR('Tracking &amp; Profitability'!$E$17,0)</f>
        <v>0</v>
      </c>
      <c r="C26" s="131"/>
      <c r="D26" s="134">
        <f>IFERROR(#REF!/'PIM Model'!$H$31,0)</f>
        <v>0</v>
      </c>
      <c r="E26" s="44"/>
    </row>
    <row r="27" spans="1:5" x14ac:dyDescent="0.35">
      <c r="A27" s="8" t="s">
        <v>230</v>
      </c>
      <c r="B27" s="12">
        <f>B24+B25+B26</f>
        <v>0</v>
      </c>
      <c r="C27" s="39"/>
      <c r="D27" s="134">
        <f>IFERROR($B$27/'PIM Model'!$H$31,0)</f>
        <v>0</v>
      </c>
      <c r="E27" s="44"/>
    </row>
    <row r="28" spans="1:5" x14ac:dyDescent="0.35">
      <c r="A28" s="44"/>
      <c r="B28" s="44"/>
      <c r="C28" s="44"/>
      <c r="D28" s="135"/>
      <c r="E28" s="44"/>
    </row>
    <row r="29" spans="1:5" x14ac:dyDescent="0.35">
      <c r="A29" s="16" t="s">
        <v>875</v>
      </c>
      <c r="B29" s="13">
        <f>IFERROR('Variable Costs &amp; Income'!$E$19*-1,0)</f>
        <v>0</v>
      </c>
      <c r="C29" s="40"/>
      <c r="D29" s="134">
        <f>IFERROR($B$29/'PIM Model'!$H$31,0)</f>
        <v>0</v>
      </c>
      <c r="E29" s="44"/>
    </row>
    <row r="30" spans="1:5" x14ac:dyDescent="0.35">
      <c r="A30" s="17" t="s">
        <v>228</v>
      </c>
      <c r="B30" s="12">
        <f>IFERROR('Variable Costs &amp; Income'!$E$29,0)</f>
        <v>0</v>
      </c>
      <c r="C30" s="39"/>
      <c r="D30" s="134">
        <f>IFERROR($B$30/'PIM Model'!$H$31,0)</f>
        <v>0</v>
      </c>
      <c r="E30" s="44"/>
    </row>
    <row r="31" spans="1:5" x14ac:dyDescent="0.35">
      <c r="A31" s="17" t="s">
        <v>227</v>
      </c>
      <c r="B31" s="12">
        <f>'Variable Costs &amp; Income'!$E$30</f>
        <v>0</v>
      </c>
      <c r="C31" s="39"/>
      <c r="D31" s="134">
        <f>IFERROR($B$31/'PIM Model'!$H$31,0)</f>
        <v>0</v>
      </c>
      <c r="E31" s="44"/>
    </row>
    <row r="32" spans="1:5" x14ac:dyDescent="0.35">
      <c r="A32" s="123"/>
      <c r="B32" s="123"/>
      <c r="C32" s="37"/>
      <c r="D32" s="136"/>
      <c r="E32" s="44"/>
    </row>
    <row r="33" spans="1:5" x14ac:dyDescent="0.35">
      <c r="A33" s="8" t="s">
        <v>214</v>
      </c>
      <c r="B33" s="12">
        <f>IFERROR(B27+B29+B30+B31,"")</f>
        <v>0</v>
      </c>
      <c r="C33" s="39"/>
      <c r="D33" s="134">
        <f>IFERROR($B$33/'PIM Model'!$H$31,0)</f>
        <v>0</v>
      </c>
      <c r="E33" s="44"/>
    </row>
    <row r="34" spans="1:5" x14ac:dyDescent="0.35">
      <c r="A34" s="8" t="s">
        <v>877</v>
      </c>
      <c r="B34" s="12">
        <f>IFERROR($B$33/('Tracking &amp; Profitability'!E7*52),0)</f>
        <v>0</v>
      </c>
      <c r="C34" s="44"/>
      <c r="D34" s="44"/>
      <c r="E34" s="44"/>
    </row>
    <row r="35" spans="1:5" x14ac:dyDescent="0.35">
      <c r="A35" s="8" t="s">
        <v>913</v>
      </c>
      <c r="B35" s="137">
        <f>IFERROR(B33/B23,0)</f>
        <v>0</v>
      </c>
      <c r="C35" s="44"/>
      <c r="D35" s="44"/>
      <c r="E35" s="44"/>
    </row>
    <row r="36" spans="1:5" x14ac:dyDescent="0.35">
      <c r="A36" s="124"/>
      <c r="B36" s="44"/>
      <c r="C36" s="44"/>
      <c r="D36" s="128"/>
      <c r="E36" s="44"/>
    </row>
    <row r="37" spans="1:5" x14ac:dyDescent="0.35">
      <c r="A37" s="8" t="s">
        <v>804</v>
      </c>
      <c r="B37" s="12">
        <f>Incentives!$K$66</f>
        <v>0</v>
      </c>
      <c r="C37" s="44"/>
      <c r="D37" s="44"/>
      <c r="E37" s="44"/>
    </row>
    <row r="38" spans="1:5" x14ac:dyDescent="0.35">
      <c r="A38" s="8" t="s">
        <v>805</v>
      </c>
      <c r="B38" s="12" t="e">
        <f>SUM(Incentives!M17:M20)+SUM(Incentives!M28:M31)+Incentives!#REF!+Incentives!M58+Incentives!M83</f>
        <v>#REF!</v>
      </c>
      <c r="C38" s="44"/>
      <c r="D38" s="44"/>
      <c r="E38" s="44"/>
    </row>
    <row r="39" spans="1:5" x14ac:dyDescent="0.35">
      <c r="A39" s="8" t="s">
        <v>477</v>
      </c>
      <c r="B39" s="127">
        <f>'Tracking &amp; Profitability'!$E$8</f>
        <v>0</v>
      </c>
      <c r="C39" s="44"/>
      <c r="D39" s="44"/>
      <c r="E39" s="44"/>
    </row>
    <row r="40" spans="1:5" x14ac:dyDescent="0.35">
      <c r="A40" s="124"/>
      <c r="B40" s="44"/>
      <c r="C40" s="44"/>
      <c r="D40" s="44"/>
      <c r="E40" s="44"/>
    </row>
    <row r="41" spans="1:5" s="931" customFormat="1" ht="15" thickBot="1" x14ac:dyDescent="0.4">
      <c r="A41" s="990"/>
    </row>
    <row r="42" spans="1:5" s="931" customFormat="1" ht="15" thickBot="1" x14ac:dyDescent="0.4">
      <c r="A42" s="1012" t="s">
        <v>1316</v>
      </c>
      <c r="B42" s="1013"/>
      <c r="C42" s="1013"/>
      <c r="D42" s="1013"/>
      <c r="E42" s="1014"/>
    </row>
    <row r="43" spans="1:5" s="931" customFormat="1" x14ac:dyDescent="0.35">
      <c r="A43" s="1021"/>
      <c r="B43" s="1022"/>
      <c r="C43" s="1022"/>
      <c r="D43" s="1022"/>
      <c r="E43" s="1023"/>
    </row>
    <row r="44" spans="1:5" s="931" customFormat="1" ht="15" thickBot="1" x14ac:dyDescent="0.4">
      <c r="A44" s="1024"/>
      <c r="B44" s="1025"/>
      <c r="C44" s="1025"/>
      <c r="D44" s="1025"/>
      <c r="E44" s="1026"/>
    </row>
    <row r="45" spans="1:5" s="931" customFormat="1" ht="15" thickBot="1" x14ac:dyDescent="0.4">
      <c r="A45" s="990"/>
    </row>
    <row r="46" spans="1:5" s="931" customFormat="1" ht="15" thickBot="1" x14ac:dyDescent="0.4">
      <c r="A46" s="1012" t="s">
        <v>1305</v>
      </c>
      <c r="B46" s="1013"/>
      <c r="C46" s="1013"/>
      <c r="D46" s="1013"/>
      <c r="E46" s="1014"/>
    </row>
    <row r="47" spans="1:5" s="931" customFormat="1" ht="15.5" x14ac:dyDescent="0.35">
      <c r="A47" s="991" t="s">
        <v>1306</v>
      </c>
      <c r="B47" s="992"/>
      <c r="C47" s="1003" t="s">
        <v>1307</v>
      </c>
      <c r="D47" s="993"/>
      <c r="E47" s="994"/>
    </row>
    <row r="48" spans="1:5" s="931" customFormat="1" ht="15" customHeight="1" x14ac:dyDescent="0.35">
      <c r="A48" s="991" t="s">
        <v>1308</v>
      </c>
      <c r="B48" s="992"/>
      <c r="C48" s="1004"/>
      <c r="D48" s="997" t="s">
        <v>1309</v>
      </c>
      <c r="E48" s="1005"/>
    </row>
    <row r="49" spans="1:5" s="931" customFormat="1" ht="15.5" x14ac:dyDescent="0.35">
      <c r="A49" s="991" t="s">
        <v>1310</v>
      </c>
      <c r="B49" s="992"/>
      <c r="C49" s="1004"/>
      <c r="D49" s="993" t="s">
        <v>1311</v>
      </c>
      <c r="E49" s="1005"/>
    </row>
    <row r="50" spans="1:5" s="931" customFormat="1" ht="15.5" x14ac:dyDescent="0.35">
      <c r="A50" s="991" t="s">
        <v>1312</v>
      </c>
      <c r="B50" s="992"/>
      <c r="C50" s="1004"/>
      <c r="D50" s="993"/>
      <c r="E50" s="994"/>
    </row>
    <row r="51" spans="1:5" s="931" customFormat="1" ht="15.5" x14ac:dyDescent="0.35">
      <c r="A51" s="991" t="s">
        <v>1313</v>
      </c>
      <c r="B51" s="992"/>
      <c r="C51" s="1004"/>
      <c r="D51" s="993" t="s">
        <v>1314</v>
      </c>
      <c r="E51" s="1005"/>
    </row>
    <row r="52" spans="1:5" s="931" customFormat="1" ht="15.5" x14ac:dyDescent="0.35">
      <c r="A52" s="991" t="s">
        <v>1315</v>
      </c>
      <c r="B52" s="992"/>
      <c r="C52" s="995"/>
      <c r="D52" s="992"/>
      <c r="E52" s="996"/>
    </row>
    <row r="53" spans="1:5" s="931" customFormat="1" x14ac:dyDescent="0.35">
      <c r="A53" s="1015"/>
      <c r="B53" s="1016"/>
      <c r="C53" s="1016"/>
      <c r="D53" s="1016"/>
      <c r="E53" s="1017"/>
    </row>
    <row r="54" spans="1:5" s="931" customFormat="1" ht="15" thickBot="1" x14ac:dyDescent="0.4">
      <c r="A54" s="1018"/>
      <c r="B54" s="1019"/>
      <c r="C54" s="1019"/>
      <c r="D54" s="1019"/>
      <c r="E54" s="1020"/>
    </row>
    <row r="55" spans="1:5" ht="15" thickBot="1" x14ac:dyDescent="0.4">
      <c r="A55" s="990"/>
      <c r="B55" s="931"/>
      <c r="C55" s="931"/>
      <c r="D55" s="931"/>
      <c r="E55" s="931"/>
    </row>
    <row r="56" spans="1:5" ht="30.75" customHeight="1" thickBot="1" x14ac:dyDescent="0.4">
      <c r="A56" s="1034" t="s">
        <v>806</v>
      </c>
      <c r="B56" s="1035"/>
      <c r="C56" s="1035"/>
      <c r="D56" s="1035"/>
      <c r="E56" s="1036"/>
    </row>
    <row r="57" spans="1:5" ht="15" customHeight="1" x14ac:dyDescent="0.35">
      <c r="A57" s="82"/>
      <c r="B57" s="83"/>
      <c r="C57" s="83"/>
      <c r="D57" s="83"/>
    </row>
    <row r="58" spans="1:5" ht="31" customHeight="1" thickBot="1" x14ac:dyDescent="0.4">
      <c r="A58" s="84" t="s">
        <v>807</v>
      </c>
      <c r="B58" s="309"/>
      <c r="C58" s="85" t="s">
        <v>808</v>
      </c>
      <c r="D58" s="309"/>
    </row>
    <row r="59" spans="1:5" ht="31" customHeight="1" thickBot="1" x14ac:dyDescent="0.4">
      <c r="A59" s="86" t="s">
        <v>809</v>
      </c>
      <c r="B59" s="309"/>
      <c r="C59" s="85" t="s">
        <v>810</v>
      </c>
      <c r="D59" s="310" t="s">
        <v>811</v>
      </c>
    </row>
    <row r="60" spans="1:5" ht="31" customHeight="1" thickBot="1" x14ac:dyDescent="0.4">
      <c r="A60" s="84" t="s">
        <v>812</v>
      </c>
      <c r="B60" s="309"/>
      <c r="C60" s="85" t="s">
        <v>808</v>
      </c>
      <c r="D60" s="310"/>
    </row>
    <row r="61" spans="1:5" ht="30.65" customHeight="1" thickBot="1" x14ac:dyDescent="0.4">
      <c r="A61" s="86" t="s">
        <v>809</v>
      </c>
      <c r="B61" s="309"/>
      <c r="C61" s="85" t="s">
        <v>810</v>
      </c>
      <c r="D61" s="310" t="s">
        <v>813</v>
      </c>
    </row>
    <row r="62" spans="1:5" ht="30.75" customHeight="1" thickBot="1" x14ac:dyDescent="0.4">
      <c r="A62" s="84" t="s">
        <v>814</v>
      </c>
      <c r="B62" s="309"/>
      <c r="C62" s="85" t="s">
        <v>808</v>
      </c>
      <c r="D62" s="309"/>
    </row>
    <row r="63" spans="1:5" ht="30.75" customHeight="1" thickBot="1" x14ac:dyDescent="0.4">
      <c r="A63" s="86" t="s">
        <v>809</v>
      </c>
      <c r="B63" s="310"/>
      <c r="C63" s="85" t="s">
        <v>810</v>
      </c>
      <c r="D63" s="310" t="s">
        <v>815</v>
      </c>
    </row>
    <row r="64" spans="1:5" ht="30.75" customHeight="1" thickBot="1" x14ac:dyDescent="0.4">
      <c r="A64" s="84" t="s">
        <v>816</v>
      </c>
      <c r="B64" s="310"/>
      <c r="C64" s="85" t="s">
        <v>808</v>
      </c>
      <c r="D64" s="310"/>
    </row>
    <row r="65" spans="1:5" ht="31" customHeight="1" thickBot="1" x14ac:dyDescent="0.4">
      <c r="A65" s="86" t="s">
        <v>809</v>
      </c>
      <c r="B65" s="310"/>
      <c r="C65" s="85" t="s">
        <v>810</v>
      </c>
      <c r="D65" s="310" t="s">
        <v>817</v>
      </c>
    </row>
    <row r="66" spans="1:5" ht="15" thickBot="1" x14ac:dyDescent="0.4">
      <c r="A66" s="5"/>
    </row>
    <row r="67" spans="1:5" ht="15" thickBot="1" x14ac:dyDescent="0.4">
      <c r="A67" s="1037" t="s">
        <v>818</v>
      </c>
      <c r="B67" s="1038"/>
      <c r="C67" s="1038"/>
      <c r="D67" s="1038"/>
      <c r="E67" s="1039"/>
    </row>
    <row r="68" spans="1:5" x14ac:dyDescent="0.35">
      <c r="A68" s="82"/>
      <c r="B68" s="83"/>
      <c r="C68" s="83"/>
      <c r="D68" s="83"/>
    </row>
    <row r="69" spans="1:5" ht="31" customHeight="1" thickBot="1" x14ac:dyDescent="0.4">
      <c r="A69" s="84" t="s">
        <v>807</v>
      </c>
      <c r="B69" s="309"/>
      <c r="C69" s="85" t="s">
        <v>808</v>
      </c>
      <c r="D69" s="309"/>
    </row>
    <row r="70" spans="1:5" ht="31" customHeight="1" thickBot="1" x14ac:dyDescent="0.4">
      <c r="A70" s="86" t="s">
        <v>809</v>
      </c>
      <c r="B70" s="309"/>
      <c r="C70" s="85" t="s">
        <v>810</v>
      </c>
      <c r="D70" s="310" t="s">
        <v>819</v>
      </c>
    </row>
    <row r="71" spans="1:5" ht="31" customHeight="1" thickBot="1" x14ac:dyDescent="0.4">
      <c r="A71" s="84" t="s">
        <v>812</v>
      </c>
      <c r="B71" s="309"/>
      <c r="C71" s="85" t="s">
        <v>808</v>
      </c>
      <c r="D71" s="309"/>
    </row>
    <row r="72" spans="1:5" ht="31" customHeight="1" thickBot="1" x14ac:dyDescent="0.4">
      <c r="A72" s="86" t="s">
        <v>809</v>
      </c>
      <c r="B72" s="310"/>
      <c r="C72" s="85" t="s">
        <v>810</v>
      </c>
      <c r="D72" s="310" t="s">
        <v>820</v>
      </c>
    </row>
    <row r="73" spans="1:5" ht="15" thickBot="1" x14ac:dyDescent="0.4"/>
    <row r="74" spans="1:5" ht="15" thickBot="1" x14ac:dyDescent="0.4">
      <c r="A74" s="1027" t="s">
        <v>1317</v>
      </c>
      <c r="B74" s="1028"/>
      <c r="C74" s="1028"/>
      <c r="D74" s="1028"/>
      <c r="E74" s="1029"/>
    </row>
    <row r="75" spans="1:5" ht="31" customHeight="1" thickBot="1" x14ac:dyDescent="0.4">
      <c r="A75" s="1001" t="s">
        <v>822</v>
      </c>
      <c r="B75" s="309"/>
      <c r="C75" s="998" t="s">
        <v>808</v>
      </c>
      <c r="D75" s="309"/>
    </row>
    <row r="76" spans="1:5" ht="31" customHeight="1" thickBot="1" x14ac:dyDescent="0.4">
      <c r="A76" s="1001" t="s">
        <v>1318</v>
      </c>
      <c r="B76" s="309"/>
      <c r="C76" s="998" t="s">
        <v>810</v>
      </c>
      <c r="D76" s="1002" t="s">
        <v>1319</v>
      </c>
    </row>
    <row r="77" spans="1:5" ht="15" customHeight="1" thickBot="1" x14ac:dyDescent="0.4">
      <c r="A77" s="999"/>
      <c r="B77" s="999"/>
      <c r="C77" s="1000"/>
      <c r="D77" s="1000"/>
      <c r="E77" s="1000"/>
    </row>
    <row r="78" spans="1:5" ht="15" thickBot="1" x14ac:dyDescent="0.4">
      <c r="A78" s="1030" t="s">
        <v>821</v>
      </c>
      <c r="B78" s="1031"/>
      <c r="C78" s="1031"/>
      <c r="D78" s="1031"/>
      <c r="E78" s="1032"/>
    </row>
    <row r="79" spans="1:5" x14ac:dyDescent="0.35">
      <c r="A79" s="82"/>
      <c r="B79" s="83"/>
      <c r="C79" s="83"/>
      <c r="D79" s="83"/>
    </row>
    <row r="80" spans="1:5" ht="31" customHeight="1" thickBot="1" x14ac:dyDescent="0.4">
      <c r="A80" s="84" t="s">
        <v>822</v>
      </c>
      <c r="B80" s="309"/>
      <c r="C80" s="85" t="s">
        <v>808</v>
      </c>
      <c r="D80" s="309"/>
    </row>
    <row r="81" spans="1:5" ht="31" customHeight="1" thickBot="1" x14ac:dyDescent="0.4">
      <c r="A81" s="87" t="s">
        <v>809</v>
      </c>
      <c r="B81" s="309"/>
      <c r="C81" s="85" t="s">
        <v>810</v>
      </c>
      <c r="D81" s="309"/>
    </row>
    <row r="82" spans="1:5" ht="15" thickBot="1" x14ac:dyDescent="0.4">
      <c r="A82" s="5"/>
    </row>
    <row r="83" spans="1:5" ht="15" thickBot="1" x14ac:dyDescent="0.4">
      <c r="A83" s="1030" t="s">
        <v>823</v>
      </c>
      <c r="B83" s="1031"/>
      <c r="C83" s="1031"/>
      <c r="D83" s="1031"/>
      <c r="E83" s="1032"/>
    </row>
    <row r="84" spans="1:5" x14ac:dyDescent="0.35">
      <c r="A84" s="82"/>
      <c r="B84" s="83"/>
      <c r="C84" s="83"/>
      <c r="D84" s="83"/>
    </row>
    <row r="85" spans="1:5" ht="31" customHeight="1" thickBot="1" x14ac:dyDescent="0.4">
      <c r="A85" s="84" t="s">
        <v>822</v>
      </c>
      <c r="B85" s="309"/>
      <c r="C85" s="85" t="s">
        <v>808</v>
      </c>
      <c r="D85" s="309"/>
    </row>
    <row r="86" spans="1:5" ht="31" customHeight="1" thickBot="1" x14ac:dyDescent="0.4">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178" priority="7">
      <formula>NOT(ISBLANK(C48))</formula>
    </cfRule>
  </conditionalFormatting>
  <conditionalFormatting sqref="E48">
    <cfRule type="expression" dxfId="177" priority="6">
      <formula>NOT(ISBLANK(E48))</formula>
    </cfRule>
  </conditionalFormatting>
  <conditionalFormatting sqref="E49">
    <cfRule type="expression" dxfId="176" priority="5">
      <formula>NOT(ISBLANK(E49))</formula>
    </cfRule>
  </conditionalFormatting>
  <conditionalFormatting sqref="E51">
    <cfRule type="expression" dxfId="175" priority="4">
      <formula>NOT(ISBLANK(E51))</formula>
    </cfRule>
  </conditionalFormatting>
  <conditionalFormatting sqref="C49">
    <cfRule type="expression" dxfId="174" priority="3">
      <formula>NOT(ISBLANK(C49))</formula>
    </cfRule>
  </conditionalFormatting>
  <conditionalFormatting sqref="C50">
    <cfRule type="expression" dxfId="173" priority="2">
      <formula>NOT(ISBLANK(C50))</formula>
    </cfRule>
  </conditionalFormatting>
  <conditionalFormatting sqref="C51">
    <cfRule type="expression" dxfId="172"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tabSelected="1" zoomScale="110" zoomScaleNormal="110" workbookViewId="0">
      <selection activeCell="D6" sqref="D6"/>
    </sheetView>
  </sheetViews>
  <sheetFormatPr defaultColWidth="8.81640625" defaultRowHeight="14.5" x14ac:dyDescent="0.35"/>
  <cols>
    <col min="1" max="1" width="3.26953125" customWidth="1"/>
    <col min="2" max="2" width="12.7265625" customWidth="1"/>
    <col min="3" max="3" width="22" bestFit="1" customWidth="1"/>
    <col min="4" max="4" width="26.54296875" bestFit="1" customWidth="1"/>
    <col min="5" max="5" width="12.7265625" customWidth="1"/>
    <col min="6" max="6" width="15.26953125" customWidth="1"/>
    <col min="7" max="7" width="3.26953125" customWidth="1"/>
    <col min="21" max="21" width="10.7265625" hidden="1" customWidth="1"/>
    <col min="22" max="22" width="11.453125" hidden="1" customWidth="1"/>
  </cols>
  <sheetData>
    <row r="1" spans="1:25" ht="15" customHeight="1" thickBot="1" x14ac:dyDescent="0.4">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45">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5" customHeight="1" x14ac:dyDescent="0.45">
      <c r="A3" s="147"/>
      <c r="B3" s="401"/>
      <c r="C3" s="1052" t="s">
        <v>1284</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35">
      <c r="A4" s="147"/>
      <c r="B4" s="402"/>
      <c r="C4" s="388" t="s">
        <v>120</v>
      </c>
      <c r="D4" s="545">
        <f>'Existing Customers'!$L$2</f>
        <v>0</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3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3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3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3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35">
      <c r="A9" s="147"/>
      <c r="B9" s="402"/>
      <c r="C9" s="818"/>
      <c r="D9" s="818"/>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3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8" t="s">
        <v>217</v>
      </c>
      <c r="W10" s="140"/>
      <c r="X10" s="140"/>
      <c r="Y10" s="140"/>
    </row>
    <row r="11" spans="1:25" ht="16.899999999999999" hidden="1" customHeight="1" x14ac:dyDescent="0.3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3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1" customFormat="1" x14ac:dyDescent="0.3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3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3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3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4">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4">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4">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3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3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3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3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5" customHeight="1" x14ac:dyDescent="0.3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4">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 thickBot="1" x14ac:dyDescent="0.4">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 thickBot="1" x14ac:dyDescent="0.4">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3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3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3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3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3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 thickBot="1" x14ac:dyDescent="0.4">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3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3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3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3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3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3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3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3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3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3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3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3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3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3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3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3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3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3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3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3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3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3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3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3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3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3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3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3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3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3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3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3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3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3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3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3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3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3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3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3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3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3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3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3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3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3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3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3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3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3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3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3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3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3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3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3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3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3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3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35">
      <c r="B93" s="140"/>
      <c r="C93" s="140"/>
      <c r="D93" s="140"/>
      <c r="E93" s="140"/>
    </row>
    <row r="94" spans="1:25" x14ac:dyDescent="0.35">
      <c r="B94" s="140"/>
      <c r="C94" s="140"/>
      <c r="D94" s="140"/>
      <c r="E94" s="140"/>
    </row>
    <row r="95" spans="1:25" x14ac:dyDescent="0.35">
      <c r="B95" s="140"/>
      <c r="C95" s="140"/>
      <c r="D95" s="140"/>
      <c r="E95" s="140"/>
    </row>
  </sheetData>
  <sheetProtection algorithmName="SHA-512" hashValue="5tOsncQPRW6h3vMqcRVdvfm4IQ1GmBEk34ErcC+lWaawjmZYSFAe+YMvIznqBkb5iZl7MN7n8EWErIE7IpThdQ==" saltValue="iGBn863PAUAcEG5mrx6HHg==" spinCount="100000" sheet="1" objects="1" scenarios="1" selectLockedCells="1"/>
  <mergeCells count="5">
    <mergeCell ref="C3:D3"/>
    <mergeCell ref="B20:E25"/>
    <mergeCell ref="B19:E19"/>
    <mergeCell ref="B27:E27"/>
    <mergeCell ref="B28:E33"/>
  </mergeCells>
  <conditionalFormatting sqref="B27:E33">
    <cfRule type="expression" dxfId="171"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1640625" defaultRowHeight="14.5" x14ac:dyDescent="0.35"/>
  <cols>
    <col min="1" max="1" width="4.1796875" hidden="1" customWidth="1"/>
    <col min="2" max="2" width="9" hidden="1" customWidth="1"/>
    <col min="3" max="3" width="3" hidden="1" customWidth="1"/>
    <col min="4" max="4" width="0.54296875" style="140" customWidth="1"/>
    <col min="5" max="5" width="2.7265625" customWidth="1"/>
    <col min="6" max="6" width="8.453125" customWidth="1"/>
    <col min="7" max="7" width="14.54296875" customWidth="1"/>
    <col min="8" max="8" width="12.81640625" bestFit="1" customWidth="1"/>
    <col min="9" max="9" width="10.453125" customWidth="1"/>
    <col min="10" max="10" width="46.7265625" customWidth="1"/>
    <col min="11" max="11" width="10.54296875" customWidth="1"/>
    <col min="12" max="12" width="12.26953125" customWidth="1"/>
    <col min="13" max="13" width="13.1796875" customWidth="1"/>
    <col min="14" max="14" width="9" bestFit="1" customWidth="1"/>
    <col min="15" max="15" width="43.26953125" bestFit="1" customWidth="1"/>
    <col min="16" max="16" width="17.1796875" customWidth="1"/>
    <col min="17" max="17" width="8.1796875" customWidth="1"/>
    <col min="18" max="18" width="18.54296875" customWidth="1"/>
    <col min="19" max="19" width="12" hidden="1" customWidth="1"/>
    <col min="20" max="20" width="38.7265625" hidden="1" customWidth="1"/>
    <col min="21" max="21" width="8" hidden="1" customWidth="1"/>
    <col min="22" max="22" width="12" hidden="1" customWidth="1"/>
    <col min="23" max="23" width="13.81640625" hidden="1" customWidth="1"/>
    <col min="24" max="24" width="11.26953125" hidden="1" customWidth="1"/>
    <col min="25" max="25" width="2" hidden="1" customWidth="1"/>
    <col min="26" max="29" width="8.81640625" hidden="1" customWidth="1"/>
    <col min="30" max="31" width="0" hidden="1" customWidth="1"/>
    <col min="32" max="32" width="12.7265625" hidden="1" customWidth="1"/>
    <col min="33" max="33" width="8.81640625" hidden="1" customWidth="1"/>
    <col min="34" max="34" width="10.54296875" hidden="1" customWidth="1"/>
    <col min="35" max="35" width="8.81640625" hidden="1" customWidth="1"/>
  </cols>
  <sheetData>
    <row r="1" spans="1:49" ht="10.9" customHeight="1" thickBot="1" x14ac:dyDescent="0.4">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35">
      <c r="E3" s="680"/>
      <c r="F3" s="817"/>
      <c r="G3" s="817"/>
      <c r="H3" s="817"/>
      <c r="I3" s="1082" t="str">
        <f>IF(AI4&gt;0,"HYBRID DEALS WITH HOSPITALITY AND INDEPENDENT RESTAURANT CUSTOMERS ARE CURRENTLY NOT ALLOWED IN ALC. PLEASE REMOVE THE CUSTOMER NUMBER!","")</f>
        <v/>
      </c>
      <c r="J3" s="1082"/>
      <c r="K3" s="1082"/>
      <c r="L3" s="818"/>
      <c r="M3" s="1070" t="str">
        <f>IF(COUNTIFS($M$6:$M$15,"&gt;0")&lt;$C$4,"Must Enter Expected Sales for All Locations","")</f>
        <v/>
      </c>
      <c r="N3" s="1070"/>
      <c r="O3" s="1070"/>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4">
      <c r="C4" s="147">
        <f>IF(Welcome!$D$14="Select # of Locations",0,Welcome!$D$14)</f>
        <v>0</v>
      </c>
      <c r="D4" s="147"/>
      <c r="E4" s="402"/>
      <c r="F4" s="819"/>
      <c r="G4" s="819"/>
      <c r="H4" s="819"/>
      <c r="I4" s="819"/>
      <c r="J4" s="819"/>
      <c r="K4" s="819"/>
      <c r="L4" s="1071" t="str">
        <f>IF(COUNTIFS($M$6:$M$15,"&gt;0")&lt;$C$4,"VVVVV","")</f>
        <v/>
      </c>
      <c r="M4" s="1071"/>
      <c r="N4" s="1071"/>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4">
      <c r="E5" s="680"/>
      <c r="F5" s="754" t="s">
        <v>1088</v>
      </c>
      <c r="G5" s="705" t="s">
        <v>765</v>
      </c>
      <c r="H5" s="816" t="s">
        <v>954</v>
      </c>
      <c r="I5" s="706" t="s">
        <v>1089</v>
      </c>
      <c r="J5" s="706" t="s">
        <v>951</v>
      </c>
      <c r="K5" s="706" t="s">
        <v>952</v>
      </c>
      <c r="L5" s="707" t="s">
        <v>955</v>
      </c>
      <c r="M5" s="827" t="s">
        <v>960</v>
      </c>
      <c r="N5" s="828" t="s">
        <v>1090</v>
      </c>
      <c r="O5" s="828" t="s">
        <v>938</v>
      </c>
      <c r="P5" s="828" t="s">
        <v>209</v>
      </c>
      <c r="Q5" s="829"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3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3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3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3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3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3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3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3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3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 thickBot="1" x14ac:dyDescent="0.4">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 thickBot="1" x14ac:dyDescent="0.4">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5" customHeight="1" x14ac:dyDescent="0.35">
      <c r="E17" s="680"/>
      <c r="F17" s="817"/>
      <c r="G17" s="1074" t="s">
        <v>958</v>
      </c>
      <c r="H17" s="1072">
        <f>SUM($H$6:$H$15)</f>
        <v>0</v>
      </c>
      <c r="I17" s="817"/>
      <c r="J17" s="817"/>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7"/>
      <c r="Q17" s="817"/>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 thickBot="1" x14ac:dyDescent="0.4">
      <c r="E18" s="680"/>
      <c r="F18" s="817"/>
      <c r="G18" s="1075"/>
      <c r="H18" s="1073"/>
      <c r="I18" s="817"/>
      <c r="J18" s="817"/>
      <c r="K18" s="1078"/>
      <c r="L18" s="1079"/>
      <c r="M18" s="1073"/>
      <c r="N18" s="1080"/>
      <c r="O18" s="1081"/>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4">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3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3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3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3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3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3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3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3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3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3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3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3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3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3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3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3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3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3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3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3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3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3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3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3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3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3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3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3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3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3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3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70" priority="13">
      <formula>$H6&lt;&gt;"Enter Spend&gt;&gt;&gt;"</formula>
    </cfRule>
  </conditionalFormatting>
  <conditionalFormatting sqref="G6:G15">
    <cfRule type="notContainsBlanks" dxfId="169" priority="10">
      <formula>LEN(TRIM(G6))&gt;0</formula>
    </cfRule>
    <cfRule type="expression" dxfId="168" priority="11">
      <formula>$F6&lt;&gt;""</formula>
    </cfRule>
  </conditionalFormatting>
  <conditionalFormatting sqref="L6:L15 I6:I15">
    <cfRule type="expression" dxfId="167" priority="9">
      <formula>N6&lt;&gt;""</formula>
    </cfRule>
  </conditionalFormatting>
  <conditionalFormatting sqref="M6:Q15">
    <cfRule type="expression" dxfId="166" priority="14">
      <formula>$F6=""</formula>
    </cfRule>
    <cfRule type="notContainsBlanks" dxfId="165" priority="15">
      <formula>LEN(TRIM(M6))&gt;0</formula>
    </cfRule>
  </conditionalFormatting>
  <conditionalFormatting sqref="P6:P15">
    <cfRule type="expression" dxfId="164" priority="7">
      <formula>$R6="Zip Code Not Serviced"</formula>
    </cfRule>
  </conditionalFormatting>
  <conditionalFormatting sqref="I3:K3">
    <cfRule type="expression" dxfId="163" priority="3">
      <formula>$AI$4&gt;0</formula>
    </cfRule>
  </conditionalFormatting>
  <conditionalFormatting sqref="H6:L15">
    <cfRule type="expression" dxfId="162" priority="2">
      <formula>$AI6="FLAG"</formula>
    </cfRule>
  </conditionalFormatting>
  <conditionalFormatting sqref="M6:Q15">
    <cfRule type="expression" dxfId="161"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1640625" defaultRowHeight="14.5" x14ac:dyDescent="0.35"/>
  <cols>
    <col min="1" max="1" width="2.1796875" style="146" customWidth="1"/>
    <col min="2" max="2" width="15.54296875" style="146" customWidth="1"/>
    <col min="3" max="3" width="12.54296875" style="146" customWidth="1"/>
    <col min="4" max="4" width="20.453125" style="146" bestFit="1" customWidth="1"/>
    <col min="5" max="5" width="17.7265625" style="146" customWidth="1"/>
    <col min="6" max="6" width="36.1796875" style="146" customWidth="1"/>
    <col min="7" max="7" width="17.7265625" style="146" bestFit="1" customWidth="1"/>
    <col min="8" max="8" width="11.1796875" bestFit="1" customWidth="1"/>
    <col min="9" max="9" width="13.7265625" customWidth="1"/>
    <col min="10" max="10" width="10.54296875" hidden="1" customWidth="1"/>
    <col min="11" max="11" width="14.1796875" style="146" customWidth="1"/>
    <col min="12" max="12" width="7.26953125" style="146" customWidth="1"/>
    <col min="13" max="13" width="16.81640625" style="146" bestFit="1" customWidth="1"/>
    <col min="14" max="14" width="2.1796875" style="146" customWidth="1"/>
    <col min="15" max="15" width="11.7265625" style="146" customWidth="1"/>
    <col min="16" max="16" width="17.26953125" style="146" bestFit="1" customWidth="1"/>
    <col min="17" max="17" width="10.7265625" style="146" customWidth="1"/>
    <col min="18" max="18" width="2.7265625" hidden="1" customWidth="1"/>
    <col min="19" max="19" width="8.7265625" style="146" hidden="1" customWidth="1"/>
    <col min="20" max="20" width="13.1796875" style="146" hidden="1" customWidth="1"/>
    <col min="21" max="21" width="9" style="146" hidden="1" customWidth="1"/>
    <col min="22" max="22" width="2.7265625" style="146" hidden="1" customWidth="1"/>
    <col min="23" max="23" width="24.81640625" style="146" hidden="1" customWidth="1"/>
    <col min="24" max="24" width="2.7265625" style="146" hidden="1" customWidth="1"/>
    <col min="25" max="25" width="22.54296875" style="146" hidden="1" customWidth="1"/>
    <col min="26" max="27" width="8.81640625" style="146" hidden="1" customWidth="1"/>
    <col min="28" max="28" width="7.1796875" hidden="1" customWidth="1"/>
    <col min="29" max="29" width="15.453125" style="146" hidden="1" customWidth="1"/>
    <col min="30" max="30" width="14.26953125" style="146" hidden="1" customWidth="1"/>
    <col min="31" max="31" width="8.81640625" style="146" hidden="1" customWidth="1"/>
    <col min="32" max="32" width="11.54296875" style="146" hidden="1" customWidth="1"/>
    <col min="33" max="34" width="8.81640625" style="146" hidden="1" customWidth="1"/>
    <col min="35" max="16384" width="8.81640625" style="146"/>
  </cols>
  <sheetData>
    <row r="1" spans="1:39" ht="21" x14ac:dyDescent="0.3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5" customHeight="1" thickBot="1" x14ac:dyDescent="0.4">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35">
      <c r="A3" s="145"/>
      <c r="B3" s="145"/>
      <c r="C3" s="145"/>
      <c r="D3" s="523" t="s">
        <v>381</v>
      </c>
      <c r="E3" s="425">
        <f>Welcome!$D$8</f>
        <v>0</v>
      </c>
      <c r="F3" s="145"/>
      <c r="G3" s="523" t="s">
        <v>110</v>
      </c>
      <c r="H3" s="1086" t="e">
        <f>VLOOKUP($H$4,'Market Geography'!$D:$G,4,FALSE)</f>
        <v>#N/A</v>
      </c>
      <c r="I3" s="1087"/>
      <c r="J3" s="1087"/>
      <c r="K3" s="1088"/>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35">
      <c r="A4" s="145"/>
      <c r="B4" s="145"/>
      <c r="C4" s="145"/>
      <c r="D4" s="524" t="s">
        <v>216</v>
      </c>
      <c r="E4" s="393">
        <f>Welcome!$D$12</f>
        <v>0</v>
      </c>
      <c r="F4" s="145"/>
      <c r="G4" s="524" t="s">
        <v>120</v>
      </c>
      <c r="H4" s="1083">
        <f>Welcome!$D$4</f>
        <v>0</v>
      </c>
      <c r="I4" s="1084"/>
      <c r="J4" s="1084"/>
      <c r="K4" s="1085"/>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35">
      <c r="A5" s="145"/>
      <c r="B5" s="145"/>
      <c r="C5" s="145"/>
      <c r="D5" s="524" t="s">
        <v>202</v>
      </c>
      <c r="E5" s="149">
        <f>$G$31</f>
        <v>0</v>
      </c>
      <c r="F5" s="145"/>
      <c r="G5" s="524" t="s">
        <v>107</v>
      </c>
      <c r="H5" s="1083" t="str">
        <f>'Multi-Customer'!$M$47</f>
        <v>Enter Customer(s)</v>
      </c>
      <c r="I5" s="1084"/>
      <c r="J5" s="1084"/>
      <c r="K5" s="1085"/>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35">
      <c r="A6" s="145"/>
      <c r="B6" s="145"/>
      <c r="C6" s="145"/>
      <c r="D6" s="524" t="s">
        <v>493</v>
      </c>
      <c r="E6" s="150">
        <f>IFERROR('Variable Costs (Back)'!$K$26,0)</f>
        <v>0</v>
      </c>
      <c r="F6" s="145"/>
      <c r="G6" s="524" t="s">
        <v>410</v>
      </c>
      <c r="H6" s="1083" t="str">
        <f>'Multi-Customer'!$M$83</f>
        <v>MULTIPLE MENU TYPES</v>
      </c>
      <c r="I6" s="1084"/>
      <c r="J6" s="1084"/>
      <c r="K6" s="1085"/>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 thickBot="1" x14ac:dyDescent="0.4">
      <c r="A7" s="145"/>
      <c r="B7" s="145"/>
      <c r="C7" s="145"/>
      <c r="D7" s="525" t="s">
        <v>547</v>
      </c>
      <c r="E7" s="426">
        <f>IFERROR('PIM Ranges'!$AU$3,0)</f>
        <v>0</v>
      </c>
      <c r="F7" s="145"/>
      <c r="G7" s="525" t="s">
        <v>225</v>
      </c>
      <c r="H7" s="1089" t="s">
        <v>211</v>
      </c>
      <c r="I7" s="1090"/>
      <c r="J7" s="1090"/>
      <c r="K7" s="1091"/>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4">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4">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 x14ac:dyDescent="0.35">
      <c r="A10" s="145"/>
      <c r="B10" s="650">
        <v>0</v>
      </c>
      <c r="C10" s="656"/>
      <c r="D10" s="803" t="s">
        <v>496</v>
      </c>
      <c r="E10" s="651" t="s">
        <v>1011</v>
      </c>
      <c r="F10" s="166" t="s">
        <v>99</v>
      </c>
      <c r="G10" s="696">
        <f>IFERROR('PIM Ranges'!AL12,0)</f>
        <v>0</v>
      </c>
      <c r="H10" s="697">
        <f>IFERROR('PIM Ranges'!AM12,0)</f>
        <v>0</v>
      </c>
      <c r="I10" s="698">
        <f>IFERROR('PIM Ranges'!AN12,0)</f>
        <v>0</v>
      </c>
      <c r="J10" s="423">
        <f>IF($E$3="Incentive Only",IF($D10="%",$P10*$G10,$P10*$I10),IF($D10="%",$K10*$G10,$K10*I10))</f>
        <v>0</v>
      </c>
      <c r="K10" s="898"/>
      <c r="L10" s="751" t="str">
        <f>IF($E$3="Incentive Only","",IF(K10="","",IF(K10&lt;O10,"X",IF(K10&gt;Q10,"X",""))))</f>
        <v/>
      </c>
      <c r="M10" s="896">
        <f>'Multi-Customer'!Y12</f>
        <v>0</v>
      </c>
      <c r="N10" s="167"/>
      <c r="O10" s="900">
        <f>IFERROR(IF($D10="%",VLOOKUP($F10&amp;'PIM Ranges'!$AQ12,'Margin Quartiles'!$A:$H,5,FALSE),S10),0)</f>
        <v>0</v>
      </c>
      <c r="P10" s="900">
        <f>IFERROR(IF($E$3="Incentive Only",$W10,IF($D10="%",VLOOKUP($F10&amp;'PIM Ranges'!$AQ12,'Margin Quartiles'!$A:$H,6,FALSE),T10)),0)</f>
        <v>0</v>
      </c>
      <c r="Q10" s="900">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 x14ac:dyDescent="0.3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8"/>
      <c r="L11" s="751" t="str">
        <f t="shared" ref="L11:L30" si="1">IF($E$3="Incentive Only","",IF(K11="","",IF(K11&lt;O11,"X",IF(K11&gt;Q11,"X",""))))</f>
        <v/>
      </c>
      <c r="M11" s="896">
        <f>'Multi-Customer'!Y13</f>
        <v>0</v>
      </c>
      <c r="N11" s="167"/>
      <c r="O11" s="900">
        <f>IFERROR(IF($D11="%",VLOOKUP($F11&amp;'PIM Ranges'!$AQ13,'Margin Quartiles'!$A:$H,5,FALSE),S11),0)</f>
        <v>0</v>
      </c>
      <c r="P11" s="900">
        <f>IFERROR(IF($E$3="Incentive Only",$W11,IF($D11="%",VLOOKUP($F11&amp;'PIM Ranges'!$AQ13,'Margin Quartiles'!$A:$H,6,FALSE),T11)),0)</f>
        <v>0</v>
      </c>
      <c r="Q11" s="90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 x14ac:dyDescent="0.3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8"/>
      <c r="L12" s="751" t="str">
        <f>IF($E$3="Incentive Only","",IF(K12="","",IF(K12&lt;O12,"X",IF(K12&gt;Q12,"X",""))))</f>
        <v/>
      </c>
      <c r="M12" s="896">
        <f>'Multi-Customer'!Y14</f>
        <v>0</v>
      </c>
      <c r="N12" s="167"/>
      <c r="O12" s="900">
        <f>IFERROR(IF($D12="%",VLOOKUP($F12&amp;'PIM Ranges'!$AQ14,'Margin Quartiles'!$A:$H,5,FALSE),S12),0)</f>
        <v>0</v>
      </c>
      <c r="P12" s="900">
        <f>IFERROR(IF($E$3="Incentive Only",$W12,IF($D12="%",VLOOKUP($F12&amp;'PIM Ranges'!$AQ14,'Margin Quartiles'!$A:$H,6,FALSE),T12)),0)</f>
        <v>0</v>
      </c>
      <c r="Q12" s="90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 x14ac:dyDescent="0.35">
      <c r="A13" s="145"/>
      <c r="B13" s="652">
        <v>0</v>
      </c>
      <c r="C13" s="657"/>
      <c r="D13" s="804" t="s">
        <v>496</v>
      </c>
      <c r="E13" s="653" t="s">
        <v>1011</v>
      </c>
      <c r="F13" s="171" t="s">
        <v>102</v>
      </c>
      <c r="G13" s="699">
        <f>IFERROR('PIM Ranges'!AL15,0)</f>
        <v>0</v>
      </c>
      <c r="H13" s="700">
        <f>IFERROR('PIM Ranges'!AM15,0)</f>
        <v>0</v>
      </c>
      <c r="I13" s="701">
        <f>IFERROR('PIM Ranges'!AN15,0)</f>
        <v>0</v>
      </c>
      <c r="J13" s="423">
        <f t="shared" si="0"/>
        <v>0</v>
      </c>
      <c r="K13" s="898"/>
      <c r="L13" s="751" t="str">
        <f t="shared" si="1"/>
        <v/>
      </c>
      <c r="M13" s="896">
        <f>'Multi-Customer'!Y15</f>
        <v>0</v>
      </c>
      <c r="N13" s="167"/>
      <c r="O13" s="900">
        <f>IFERROR(IF($D13="%",VLOOKUP($F13&amp;'PIM Ranges'!$AQ15,'Margin Quartiles'!$A:$H,5,FALSE),S13),0)</f>
        <v>0</v>
      </c>
      <c r="P13" s="900">
        <f>IFERROR(IF($E$3="Incentive Only",$W13,IF($D13="%",VLOOKUP($F13&amp;'PIM Ranges'!$AQ15,'Margin Quartiles'!$A:$H,6,FALSE),T13)),0)</f>
        <v>0</v>
      </c>
      <c r="Q13" s="90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 x14ac:dyDescent="0.35">
      <c r="A14" s="145"/>
      <c r="B14" s="652">
        <v>0</v>
      </c>
      <c r="C14" s="657"/>
      <c r="D14" s="804" t="s">
        <v>496</v>
      </c>
      <c r="E14" s="653" t="s">
        <v>1011</v>
      </c>
      <c r="F14" s="171" t="s">
        <v>100</v>
      </c>
      <c r="G14" s="699">
        <f>IFERROR('PIM Ranges'!AL16,0)</f>
        <v>0</v>
      </c>
      <c r="H14" s="700">
        <f>IFERROR('PIM Ranges'!AM16,0)</f>
        <v>0</v>
      </c>
      <c r="I14" s="701">
        <f>IFERROR('PIM Ranges'!AN16,0)</f>
        <v>0</v>
      </c>
      <c r="J14" s="423">
        <f t="shared" si="0"/>
        <v>0</v>
      </c>
      <c r="K14" s="898"/>
      <c r="L14" s="751" t="str">
        <f t="shared" si="1"/>
        <v/>
      </c>
      <c r="M14" s="896">
        <f>'Multi-Customer'!Y16</f>
        <v>0</v>
      </c>
      <c r="N14" s="167"/>
      <c r="O14" s="900">
        <f>IFERROR(IF($D14="%",VLOOKUP($F14&amp;'PIM Ranges'!$AQ16,'Margin Quartiles'!$A:$H,5,FALSE),S14),0)</f>
        <v>0</v>
      </c>
      <c r="P14" s="900">
        <f>IFERROR(IF($E$3="Incentive Only",$W14,IF($D14="%",VLOOKUP($F14&amp;'PIM Ranges'!$AQ16,'Margin Quartiles'!$A:$H,6,FALSE),T14)),0)</f>
        <v>0</v>
      </c>
      <c r="Q14" s="90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 x14ac:dyDescent="0.35">
      <c r="A15" s="145"/>
      <c r="B15" s="652">
        <v>0</v>
      </c>
      <c r="C15" s="657"/>
      <c r="D15" s="804" t="s">
        <v>496</v>
      </c>
      <c r="E15" s="653" t="s">
        <v>1011</v>
      </c>
      <c r="F15" s="171" t="s">
        <v>104</v>
      </c>
      <c r="G15" s="699">
        <f>IFERROR('PIM Ranges'!AL17,0)</f>
        <v>0</v>
      </c>
      <c r="H15" s="700">
        <f>IFERROR('PIM Ranges'!AM17,0)</f>
        <v>0</v>
      </c>
      <c r="I15" s="701">
        <f>IFERROR('PIM Ranges'!AN17,0)</f>
        <v>0</v>
      </c>
      <c r="J15" s="423">
        <f t="shared" si="0"/>
        <v>0</v>
      </c>
      <c r="K15" s="898"/>
      <c r="L15" s="751" t="str">
        <f t="shared" si="1"/>
        <v/>
      </c>
      <c r="M15" s="896">
        <f>'Multi-Customer'!Y17</f>
        <v>0</v>
      </c>
      <c r="N15" s="167"/>
      <c r="O15" s="900">
        <f>IFERROR(IF($D15="%",VLOOKUP($F15&amp;'PIM Ranges'!$AQ17,'Margin Quartiles'!$A:$H,5,FALSE),S15),0)</f>
        <v>0</v>
      </c>
      <c r="P15" s="900">
        <f>IFERROR(IF($E$3="Incentive Only",$W15,IF($D15="%",VLOOKUP($F15&amp;'PIM Ranges'!$AQ17,'Margin Quartiles'!$A:$H,6,FALSE),T15)),0)</f>
        <v>0</v>
      </c>
      <c r="Q15" s="900">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 x14ac:dyDescent="0.35">
      <c r="A16" s="145"/>
      <c r="B16" s="652">
        <v>0</v>
      </c>
      <c r="C16" s="657"/>
      <c r="D16" s="804" t="s">
        <v>496</v>
      </c>
      <c r="E16" s="653" t="s">
        <v>1011</v>
      </c>
      <c r="F16" s="171" t="s">
        <v>98</v>
      </c>
      <c r="G16" s="699">
        <f>IFERROR('PIM Ranges'!AL18,0)</f>
        <v>0</v>
      </c>
      <c r="H16" s="700">
        <f>IFERROR('PIM Ranges'!AM18,0)</f>
        <v>0</v>
      </c>
      <c r="I16" s="701">
        <f>IFERROR('PIM Ranges'!AN18,0)</f>
        <v>0</v>
      </c>
      <c r="J16" s="423">
        <f t="shared" si="0"/>
        <v>0</v>
      </c>
      <c r="K16" s="898"/>
      <c r="L16" s="751" t="str">
        <f t="shared" si="1"/>
        <v/>
      </c>
      <c r="M16" s="896">
        <f>'Multi-Customer'!Y18</f>
        <v>0</v>
      </c>
      <c r="N16" s="167"/>
      <c r="O16" s="900">
        <f>IFERROR(IF($D16="%",VLOOKUP($F16&amp;'PIM Ranges'!$AQ18,'Margin Quartiles'!$A:$H,5,FALSE),S16),0)</f>
        <v>0</v>
      </c>
      <c r="P16" s="900">
        <f>IFERROR(IF($E$3="Incentive Only",$W16,IF($D16="%",VLOOKUP($F16&amp;'PIM Ranges'!$AQ18,'Margin Quartiles'!$A:$H,6,FALSE),T16)),0)</f>
        <v>0</v>
      </c>
      <c r="Q16" s="90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 x14ac:dyDescent="0.35">
      <c r="A17" s="145"/>
      <c r="B17" s="652">
        <v>0</v>
      </c>
      <c r="C17" s="657"/>
      <c r="D17" s="804" t="s">
        <v>496</v>
      </c>
      <c r="E17" s="653" t="s">
        <v>1011</v>
      </c>
      <c r="F17" s="171" t="s">
        <v>95</v>
      </c>
      <c r="G17" s="699">
        <f>IFERROR('PIM Ranges'!AL19,0)</f>
        <v>0</v>
      </c>
      <c r="H17" s="700">
        <f>IFERROR('PIM Ranges'!AM19,0)</f>
        <v>0</v>
      </c>
      <c r="I17" s="701">
        <f>IFERROR('PIM Ranges'!AN19,0)</f>
        <v>0</v>
      </c>
      <c r="J17" s="423">
        <f t="shared" si="0"/>
        <v>0</v>
      </c>
      <c r="K17" s="898"/>
      <c r="L17" s="751" t="str">
        <f t="shared" si="1"/>
        <v/>
      </c>
      <c r="M17" s="896">
        <f>'Multi-Customer'!Y19</f>
        <v>0</v>
      </c>
      <c r="N17" s="167"/>
      <c r="O17" s="900">
        <f>IFERROR(IF($D17="%",VLOOKUP($F17&amp;'PIM Ranges'!$AQ19,'Margin Quartiles'!$A:$H,5,FALSE),S17),0)</f>
        <v>0</v>
      </c>
      <c r="P17" s="900">
        <f>IFERROR(IF($E$3="Incentive Only",$W17,IF($D17="%",VLOOKUP($F17&amp;'PIM Ranges'!$AQ19,'Margin Quartiles'!$A:$H,6,FALSE),T17)),0)</f>
        <v>0</v>
      </c>
      <c r="Q17" s="90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 x14ac:dyDescent="0.35">
      <c r="A18" s="145"/>
      <c r="B18" s="652">
        <v>0</v>
      </c>
      <c r="C18" s="657"/>
      <c r="D18" s="804" t="s">
        <v>496</v>
      </c>
      <c r="E18" s="653" t="s">
        <v>1011</v>
      </c>
      <c r="F18" s="171" t="s">
        <v>96</v>
      </c>
      <c r="G18" s="699">
        <f>IFERROR('PIM Ranges'!AL20,0)</f>
        <v>0</v>
      </c>
      <c r="H18" s="700">
        <f>IFERROR('PIM Ranges'!AM20,0)</f>
        <v>0</v>
      </c>
      <c r="I18" s="701">
        <f>IFERROR('PIM Ranges'!AN20,0)</f>
        <v>0</v>
      </c>
      <c r="J18" s="423">
        <f t="shared" si="0"/>
        <v>0</v>
      </c>
      <c r="K18" s="898"/>
      <c r="L18" s="751" t="str">
        <f t="shared" si="1"/>
        <v/>
      </c>
      <c r="M18" s="896">
        <f>'Multi-Customer'!Y20</f>
        <v>0</v>
      </c>
      <c r="N18" s="167"/>
      <c r="O18" s="900">
        <f>IFERROR(IF($D18="%",VLOOKUP($F18&amp;'PIM Ranges'!$AQ20,'Margin Quartiles'!$A:$H,5,FALSE),S18),0)</f>
        <v>0</v>
      </c>
      <c r="P18" s="900">
        <f>IFERROR(IF($E$3="Incentive Only",$W18,IF($D18="%",VLOOKUP($F18&amp;'PIM Ranges'!$AQ20,'Margin Quartiles'!$A:$H,6,FALSE),T18)),0)</f>
        <v>0</v>
      </c>
      <c r="Q18" s="90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 x14ac:dyDescent="0.35">
      <c r="A19" s="145"/>
      <c r="B19" s="652">
        <v>0</v>
      </c>
      <c r="C19" s="657"/>
      <c r="D19" s="804" t="s">
        <v>496</v>
      </c>
      <c r="E19" s="653" t="s">
        <v>1011</v>
      </c>
      <c r="F19" s="171" t="s">
        <v>101</v>
      </c>
      <c r="G19" s="699">
        <f>IFERROR('PIM Ranges'!AL21,0)</f>
        <v>0</v>
      </c>
      <c r="H19" s="700">
        <f>IFERROR('PIM Ranges'!AM21,0)</f>
        <v>0</v>
      </c>
      <c r="I19" s="701">
        <f>IFERROR('PIM Ranges'!AN21,0)</f>
        <v>0</v>
      </c>
      <c r="J19" s="423">
        <f t="shared" si="0"/>
        <v>0</v>
      </c>
      <c r="K19" s="898"/>
      <c r="L19" s="751" t="str">
        <f t="shared" si="1"/>
        <v/>
      </c>
      <c r="M19" s="896">
        <f>'Multi-Customer'!Y21</f>
        <v>0</v>
      </c>
      <c r="N19" s="167"/>
      <c r="O19" s="900">
        <f>IFERROR(IF($D19="%",VLOOKUP($F19&amp;'PIM Ranges'!$AQ21,'Margin Quartiles'!$A:$H,5,FALSE),S19),0)</f>
        <v>0</v>
      </c>
      <c r="P19" s="900">
        <f>IFERROR(IF($E$3="Incentive Only",$W19,IF($D19="%",VLOOKUP($F19&amp;'PIM Ranges'!$AQ21,'Margin Quartiles'!$A:$H,6,FALSE),T19)),0)</f>
        <v>0</v>
      </c>
      <c r="Q19" s="90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 x14ac:dyDescent="0.35">
      <c r="A20" s="145"/>
      <c r="B20" s="652">
        <v>0</v>
      </c>
      <c r="C20" s="657"/>
      <c r="D20" s="804" t="s">
        <v>496</v>
      </c>
      <c r="E20" s="653" t="s">
        <v>1011</v>
      </c>
      <c r="F20" s="171" t="s">
        <v>97</v>
      </c>
      <c r="G20" s="699">
        <f>IFERROR('PIM Ranges'!AL22,0)</f>
        <v>0</v>
      </c>
      <c r="H20" s="700">
        <f>IFERROR('PIM Ranges'!AM22,0)</f>
        <v>0</v>
      </c>
      <c r="I20" s="701">
        <f>IFERROR('PIM Ranges'!AN22,0)</f>
        <v>0</v>
      </c>
      <c r="J20" s="423">
        <f t="shared" si="0"/>
        <v>0</v>
      </c>
      <c r="K20" s="898"/>
      <c r="L20" s="751" t="str">
        <f t="shared" si="1"/>
        <v/>
      </c>
      <c r="M20" s="896">
        <f>'Multi-Customer'!Y22</f>
        <v>0</v>
      </c>
      <c r="N20" s="167"/>
      <c r="O20" s="900">
        <f>IFERROR(IF($D20="%",VLOOKUP($F20&amp;'PIM Ranges'!$AQ22,'Margin Quartiles'!$A:$H,5,FALSE),S20),0)</f>
        <v>0</v>
      </c>
      <c r="P20" s="900">
        <f>IFERROR(IF($E$3="Incentive Only",$W20,IF($D20="%",VLOOKUP($F20&amp;'PIM Ranges'!$AQ22,'Margin Quartiles'!$A:$H,6,FALSE),T20)),0)</f>
        <v>0</v>
      </c>
      <c r="Q20" s="90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 x14ac:dyDescent="0.35">
      <c r="A21" s="145"/>
      <c r="B21" s="652">
        <v>0</v>
      </c>
      <c r="C21" s="657"/>
      <c r="D21" s="804" t="s">
        <v>496</v>
      </c>
      <c r="E21" s="653" t="s">
        <v>1011</v>
      </c>
      <c r="F21" s="171" t="s">
        <v>93</v>
      </c>
      <c r="G21" s="699">
        <f>IFERROR('PIM Ranges'!AL23,0)</f>
        <v>0</v>
      </c>
      <c r="H21" s="700">
        <f>IFERROR('PIM Ranges'!AM23,0)</f>
        <v>0</v>
      </c>
      <c r="I21" s="701">
        <f>IFERROR('PIM Ranges'!AN23,0)</f>
        <v>0</v>
      </c>
      <c r="J21" s="423">
        <f t="shared" si="0"/>
        <v>0</v>
      </c>
      <c r="K21" s="898"/>
      <c r="L21" s="751" t="str">
        <f t="shared" si="1"/>
        <v/>
      </c>
      <c r="M21" s="896">
        <f>'Multi-Customer'!Y23</f>
        <v>0</v>
      </c>
      <c r="N21" s="167"/>
      <c r="O21" s="900">
        <f>IFERROR(IF($D21="%",VLOOKUP($F21&amp;'PIM Ranges'!$AQ23,'Margin Quartiles'!$A:$H,5,FALSE),S21),0)</f>
        <v>0</v>
      </c>
      <c r="P21" s="900">
        <f>IFERROR(IF($E$3="Incentive Only",$W21,IF($D21="%",VLOOKUP($F21&amp;'PIM Ranges'!$AQ23,'Margin Quartiles'!$A:$H,6,FALSE),T21)),0)</f>
        <v>0</v>
      </c>
      <c r="Q21" s="90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 x14ac:dyDescent="0.3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8"/>
      <c r="L22" s="751" t="str">
        <f t="shared" si="1"/>
        <v/>
      </c>
      <c r="M22" s="896">
        <f>'Multi-Customer'!Y24</f>
        <v>0</v>
      </c>
      <c r="N22" s="167"/>
      <c r="O22" s="900">
        <f>IFERROR(IF($D22="%",VLOOKUP($F22&amp;'PIM Ranges'!$AQ24,'Margin Quartiles'!$A:$H,5,FALSE),S22),0)</f>
        <v>0</v>
      </c>
      <c r="P22" s="900">
        <f>IFERROR(IF($E$3="Incentive Only",$W22,IF($D22="%",VLOOKUP($F22&amp;'PIM Ranges'!$AQ24,'Margin Quartiles'!$A:$H,6,FALSE),T22)),0)</f>
        <v>0</v>
      </c>
      <c r="Q22" s="90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 x14ac:dyDescent="0.35">
      <c r="A23" s="145"/>
      <c r="B23" s="652">
        <v>0</v>
      </c>
      <c r="C23" s="657"/>
      <c r="D23" s="804" t="s">
        <v>496</v>
      </c>
      <c r="E23" s="653" t="s">
        <v>1011</v>
      </c>
      <c r="F23" s="171" t="s">
        <v>92</v>
      </c>
      <c r="G23" s="699">
        <f>IFERROR('PIM Ranges'!AL25,0)</f>
        <v>0</v>
      </c>
      <c r="H23" s="700">
        <f>IFERROR('PIM Ranges'!AM25,0)</f>
        <v>0</v>
      </c>
      <c r="I23" s="701">
        <f>IFERROR('PIM Ranges'!AN25,0)</f>
        <v>0</v>
      </c>
      <c r="J23" s="423">
        <f t="shared" si="0"/>
        <v>0</v>
      </c>
      <c r="K23" s="898"/>
      <c r="L23" s="751" t="str">
        <f t="shared" si="1"/>
        <v/>
      </c>
      <c r="M23" s="896">
        <f>'Multi-Customer'!Y25</f>
        <v>0</v>
      </c>
      <c r="N23" s="167"/>
      <c r="O23" s="900">
        <f>IFERROR(IF($D23="%",VLOOKUP($F23&amp;'PIM Ranges'!$AQ25,'Margin Quartiles'!$A:$H,5,FALSE),S23),0)</f>
        <v>0</v>
      </c>
      <c r="P23" s="900">
        <f>IFERROR(IF($E$3="Incentive Only",$W23,IF($D23="%",VLOOKUP($F23&amp;'PIM Ranges'!$AQ25,'Margin Quartiles'!$A:$H,6,FALSE),T23)),0)</f>
        <v>0</v>
      </c>
      <c r="Q23" s="90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 x14ac:dyDescent="0.3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8"/>
      <c r="L24" s="751" t="str">
        <f t="shared" si="1"/>
        <v/>
      </c>
      <c r="M24" s="896">
        <f>'Multi-Customer'!Y26</f>
        <v>0</v>
      </c>
      <c r="N24" s="167"/>
      <c r="O24" s="900">
        <f>IFERROR(IF($D24="%",VLOOKUP($F24&amp;'PIM Ranges'!$AQ26,'Margin Quartiles'!$A:$H,5,FALSE),S24),0)</f>
        <v>0</v>
      </c>
      <c r="P24" s="900">
        <f>IFERROR(IF($E$3="Incentive Only",$W24,IF($D24="%",VLOOKUP($F24&amp;'PIM Ranges'!$AQ26,'Margin Quartiles'!$A:$H,6,FALSE),T24)),0)</f>
        <v>0</v>
      </c>
      <c r="Q24" s="90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 x14ac:dyDescent="0.3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8"/>
      <c r="L25" s="751" t="str">
        <f t="shared" si="1"/>
        <v/>
      </c>
      <c r="M25" s="896">
        <f>'Multi-Customer'!Y27</f>
        <v>0</v>
      </c>
      <c r="N25" s="167"/>
      <c r="O25" s="900">
        <f>IFERROR(IF($D25="%",VLOOKUP($F25&amp;'PIM Ranges'!$AQ27,'Margin Quartiles'!$A:$H,5,FALSE),S25),0)</f>
        <v>0</v>
      </c>
      <c r="P25" s="900">
        <f>IFERROR(IF($E$3="Incentive Only",$W25,IF($D25="%",VLOOKUP($F25&amp;'PIM Ranges'!$AQ27,'Margin Quartiles'!$A:$H,6,FALSE),T25)),0)</f>
        <v>0</v>
      </c>
      <c r="Q25" s="90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 x14ac:dyDescent="0.3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8"/>
      <c r="L26" s="751" t="str">
        <f t="shared" si="1"/>
        <v/>
      </c>
      <c r="M26" s="896">
        <f>'Multi-Customer'!Y28</f>
        <v>0</v>
      </c>
      <c r="N26" s="167"/>
      <c r="O26" s="900">
        <f>IFERROR(IF($D26="%",VLOOKUP($F26&amp;'PIM Ranges'!$AQ28,'Margin Quartiles'!$A:$H,5,FALSE),S26),0)</f>
        <v>0</v>
      </c>
      <c r="P26" s="900">
        <f>IFERROR(IF($E$3="Incentive Only",$W26,IF($D26="%",VLOOKUP($F26&amp;'PIM Ranges'!$AQ28,'Margin Quartiles'!$A:$H,6,FALSE),T26)),0)</f>
        <v>0</v>
      </c>
      <c r="Q26" s="90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 x14ac:dyDescent="0.3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8"/>
      <c r="L27" s="751" t="str">
        <f>IF(K27&lt;0,"X",IF($E$3="Incentive Only","",IF(K27="","",IF(K27&lt;O27,"L",IF(K27&gt;Q27,"X","")))))</f>
        <v/>
      </c>
      <c r="M27" s="896">
        <f>'Multi-Customer'!Y29</f>
        <v>0</v>
      </c>
      <c r="N27" s="167"/>
      <c r="O27" s="900">
        <f>IFERROR(IF($D27="%",VLOOKUP($F27&amp;'PIM Ranges'!$AQ29,'Margin Quartiles'!$A:$H,5,FALSE),S27),0)</f>
        <v>0</v>
      </c>
      <c r="P27" s="900">
        <f>IFERROR(IF($E$3="Incentive Only",$W27,IF($D27="%",VLOOKUP($F27&amp;'PIM Ranges'!$AQ29,'Margin Quartiles'!$A:$H,6,FALSE),T27)),0)</f>
        <v>0</v>
      </c>
      <c r="Q27" s="90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 x14ac:dyDescent="0.35">
      <c r="A28" s="145"/>
      <c r="B28" s="652">
        <v>0</v>
      </c>
      <c r="C28" s="657"/>
      <c r="D28" s="804" t="s">
        <v>496</v>
      </c>
      <c r="E28" s="653" t="s">
        <v>1011</v>
      </c>
      <c r="F28" s="171" t="s">
        <v>86</v>
      </c>
      <c r="G28" s="699">
        <f>IFERROR('PIM Ranges'!AL30,0)</f>
        <v>0</v>
      </c>
      <c r="H28" s="700">
        <f>IFERROR('PIM Ranges'!AM30,0)</f>
        <v>0</v>
      </c>
      <c r="I28" s="701">
        <f>IFERROR('PIM Ranges'!AN30,0)</f>
        <v>0</v>
      </c>
      <c r="J28" s="423">
        <f t="shared" si="0"/>
        <v>0</v>
      </c>
      <c r="K28" s="898"/>
      <c r="L28" s="751" t="str">
        <f t="shared" si="1"/>
        <v/>
      </c>
      <c r="M28" s="896">
        <f>'Multi-Customer'!Y30</f>
        <v>0</v>
      </c>
      <c r="N28" s="167"/>
      <c r="O28" s="900">
        <f>IFERROR(IF($D28="%",VLOOKUP($F28&amp;'PIM Ranges'!$AQ30,'Margin Quartiles'!$A:$H,5,FALSE),S28),0)</f>
        <v>0</v>
      </c>
      <c r="P28" s="900">
        <f>IFERROR(IF($E$3="Incentive Only",$W28,IF($D28="%",VLOOKUP($F28&amp;'PIM Ranges'!$AQ30,'Margin Quartiles'!$A:$H,6,FALSE),T28)),0)</f>
        <v>0</v>
      </c>
      <c r="Q28" s="90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 x14ac:dyDescent="0.3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8"/>
      <c r="L29" s="751" t="str">
        <f t="shared" si="1"/>
        <v/>
      </c>
      <c r="M29" s="896">
        <f>'Multi-Customer'!Y31</f>
        <v>0</v>
      </c>
      <c r="N29" s="167"/>
      <c r="O29" s="900">
        <f>IFERROR(IF($D29="%",VLOOKUP($F29&amp;'PIM Ranges'!$AQ31,'Margin Quartiles'!$A:$H,5,FALSE),S29),0)</f>
        <v>0</v>
      </c>
      <c r="P29" s="900">
        <f>IFERROR(IF($E$3="Incentive Only",$W29,IF($D29="%",VLOOKUP($F29&amp;'PIM Ranges'!$AQ31,'Margin Quartiles'!$A:$H,6,FALSE),T29)),0)</f>
        <v>0</v>
      </c>
      <c r="Q29" s="90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7.5" thickBot="1" x14ac:dyDescent="0.4">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9"/>
      <c r="L30" s="751" t="str">
        <f t="shared" si="1"/>
        <v/>
      </c>
      <c r="M30" s="897">
        <f>'Multi-Customer'!Y32</f>
        <v>0</v>
      </c>
      <c r="N30" s="167"/>
      <c r="O30" s="900">
        <f>IFERROR(IF($D30="%",VLOOKUP($F30&amp;'PIM Ranges'!$AQ32,'Margin Quartiles'!$A:$H,5,FALSE),S30),0)</f>
        <v>0</v>
      </c>
      <c r="P30" s="900">
        <f>IFERROR(IF($E$3="Incentive Only",$W30,IF($D30="%",VLOOKUP($F30&amp;'PIM Ranges'!$AQ32,'Margin Quartiles'!$A:$H,6,FALSE),T30)),0)</f>
        <v>0</v>
      </c>
      <c r="Q30" s="90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5" customHeight="1" thickBot="1" x14ac:dyDescent="0.4">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 thickBot="1" x14ac:dyDescent="0.4">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45">
      <c r="A33" s="145"/>
      <c r="B33" s="145"/>
      <c r="C33" s="145"/>
      <c r="D33" s="145"/>
      <c r="E33" s="145"/>
      <c r="F33" s="145"/>
      <c r="G33" s="1094" t="s">
        <v>119</v>
      </c>
      <c r="H33" s="1095"/>
      <c r="I33" s="517" t="e">
        <f>IF($E$3="MDA",'PIM Ranges'!$AX$7,'PIM Ranges'!$BJ$7)</f>
        <v>#DIV/0!</v>
      </c>
      <c r="J33" s="140"/>
      <c r="K33" s="1096" t="str">
        <f>IF(COUNTIF($AB$10:$AB$30,"ERROR")&lt;1,"",IF(COUNTIF($AB$10:$AB$30,"ERROR")&lt;2,(COUNTIF($AB$10:$AB$30,"ERROR")&amp;" Margin Missing Above"),(COUNTIF($AB$10:$AB$30,"ERROR")&amp;" Margins Missing Above")))</f>
        <v/>
      </c>
      <c r="L33" s="1096"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35">
      <c r="A34" s="145"/>
      <c r="B34" s="145"/>
      <c r="C34" s="145"/>
      <c r="D34" s="145"/>
      <c r="E34" s="145"/>
      <c r="F34" s="145"/>
      <c r="G34" s="1092" t="s">
        <v>505</v>
      </c>
      <c r="H34" s="1093"/>
      <c r="I34" s="513">
        <f>J31</f>
        <v>0</v>
      </c>
      <c r="J34" s="140"/>
      <c r="K34" s="1096" t="str">
        <f>IF(COUNTIFS($L$10:$L$30,"X",$AF$10:$AF$30,"BELOW")&lt;1,"",IF(COUNTIFS($L$10:$L$30,"X",$AF$10:$AF$30,"BELOW")&lt;2,(COUNTIFS($L$10:$L$30,"X",$AF$10:$AF$30,"BELOW")&amp;" Margin Below Minimum"),(COUNTIFS($L$10:$L$30,"X",$AF$10:$AF$30,"BELOW")&amp;" Margins Below Minimum")))</f>
        <v/>
      </c>
      <c r="L34" s="1096"/>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35">
      <c r="A35" s="145"/>
      <c r="B35" s="145"/>
      <c r="C35" s="145"/>
      <c r="D35" s="145"/>
      <c r="E35" s="145"/>
      <c r="F35" s="145"/>
      <c r="G35" s="1092" t="s">
        <v>506</v>
      </c>
      <c r="H35" s="1093"/>
      <c r="I35" s="514" t="str">
        <f>IFERROR(I34/G31,"")</f>
        <v/>
      </c>
      <c r="K35" s="1096" t="str">
        <f>IF(COUNTIFS($L$10:$L$30,"X",$AF$10:$AF$30,"ABOVE")&lt;1,"",IF(COUNTIFS($L$10:$L$30,"X",$AF$10:$AF$30,"ABOVE")&lt;2,(COUNTIFS($L$10:$L$30,"X",$AF$10:$AF$30,"ABOVE")&amp;" Margin Above Maximum"),(COUNTIFS($L$10:$L$30,"X",$AF$10:$AF$30,"ABOVE")&amp;" Margins Above Maximum")))</f>
        <v/>
      </c>
      <c r="L35" s="1096"/>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35">
      <c r="A36" s="145"/>
      <c r="B36" s="145"/>
      <c r="C36" s="145"/>
      <c r="D36" s="145"/>
      <c r="E36" s="145"/>
      <c r="F36" s="145"/>
      <c r="G36" s="1092"/>
      <c r="H36" s="1093"/>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35">
      <c r="A37" s="145"/>
      <c r="B37" s="145"/>
      <c r="C37" s="145"/>
      <c r="D37" s="145"/>
      <c r="E37" s="145"/>
      <c r="F37" s="145"/>
      <c r="G37" s="1092" t="str">
        <f>IFERROR(IF(I35&gt;I33,"","Below Recommended TAGP: "),"")</f>
        <v/>
      </c>
      <c r="H37" s="1093"/>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35">
      <c r="A38" s="145"/>
      <c r="B38" s="145"/>
      <c r="C38" s="145"/>
      <c r="D38" s="145"/>
      <c r="E38" s="145"/>
      <c r="F38" s="145"/>
      <c r="G38" s="1092"/>
      <c r="H38" s="1093"/>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35">
      <c r="A39" s="145"/>
      <c r="B39" s="145"/>
      <c r="C39" s="145"/>
      <c r="D39" s="145"/>
      <c r="E39" s="145"/>
      <c r="F39" s="145"/>
      <c r="G39" s="1092" t="s">
        <v>507</v>
      </c>
      <c r="H39" s="1093"/>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4">
      <c r="A40" s="145"/>
      <c r="B40" s="145"/>
      <c r="C40" s="145"/>
      <c r="D40" s="145"/>
      <c r="E40" s="145"/>
      <c r="F40" s="145"/>
      <c r="G40" s="1097" t="s">
        <v>508</v>
      </c>
      <c r="H40" s="1098"/>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3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3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3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3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3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3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3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3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3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3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3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35">
      <c r="A52" s="145"/>
      <c r="B52" s="145"/>
      <c r="C52" s="145"/>
      <c r="D52" s="145"/>
      <c r="E52" s="145"/>
      <c r="F52" s="1099"/>
      <c r="G52" s="1099"/>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35">
      <c r="A53" s="145"/>
      <c r="B53" s="145"/>
      <c r="C53" s="145"/>
      <c r="D53" s="145"/>
      <c r="E53" s="145"/>
      <c r="F53" s="1099"/>
      <c r="G53" s="1099"/>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35">
      <c r="A54" s="145"/>
      <c r="B54" s="145"/>
      <c r="C54" s="145"/>
      <c r="D54" s="145"/>
      <c r="E54" s="145"/>
      <c r="F54" s="1099"/>
      <c r="G54" s="1099"/>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3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3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3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3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3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3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3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3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3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3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3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3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3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5TZLkzdinHdcMMRrHzbij38IHWHKJznD3A3vkM+VVLntVYN04dxO0iwtiMpP+gpWAz3a2XKLSrF+TNygZDk+FQ==" saltValue="DtH+fbV61u0ZCVRYgOsF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60" priority="19">
      <formula>$D10&lt;&gt;"%"</formula>
    </cfRule>
  </conditionalFormatting>
  <conditionalFormatting sqref="B10:J30">
    <cfRule type="expression" dxfId="159" priority="13">
      <formula>$E10="EXCLUDE"</formula>
    </cfRule>
  </conditionalFormatting>
  <conditionalFormatting sqref="O8:O30">
    <cfRule type="expression" dxfId="158" priority="15">
      <formula>$E$3="Incentive Only"</formula>
    </cfRule>
  </conditionalFormatting>
  <conditionalFormatting sqref="Q8:Q30">
    <cfRule type="expression" dxfId="157" priority="14">
      <formula>$E$3="Incentive Only"</formula>
    </cfRule>
  </conditionalFormatting>
  <conditionalFormatting sqref="K9:K30">
    <cfRule type="expression" dxfId="156" priority="4">
      <formula>$E$3="Incentive Only"</formula>
    </cfRule>
  </conditionalFormatting>
  <conditionalFormatting sqref="L10:L30">
    <cfRule type="expression" dxfId="155" priority="5">
      <formula>$AF10="ABOVE"</formula>
    </cfRule>
  </conditionalFormatting>
  <conditionalFormatting sqref="I35">
    <cfRule type="expression" dxfId="154" priority="75">
      <formula>$K$36&gt;0</formula>
    </cfRule>
    <cfRule type="expression" dxfId="153" priority="76">
      <formula>$I$35&lt;$I$33</formula>
    </cfRule>
    <cfRule type="expression" dxfId="152" priority="77">
      <formula>$I$35&gt;$I$33</formula>
    </cfRule>
  </conditionalFormatting>
  <conditionalFormatting sqref="D10:D30">
    <cfRule type="expression" dxfId="151" priority="16">
      <formula>$E$3="Incentive Only"</formula>
    </cfRule>
  </conditionalFormatting>
  <conditionalFormatting sqref="K10:K30">
    <cfRule type="expression" dxfId="150" priority="3">
      <formula>$D10&lt;&gt;"%"</formula>
    </cfRule>
  </conditionalFormatting>
  <conditionalFormatting sqref="K27">
    <cfRule type="expression" dxfId="149"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46" zoomScale="80" zoomScaleNormal="80" workbookViewId="0">
      <selection activeCell="E72" sqref="E72"/>
    </sheetView>
  </sheetViews>
  <sheetFormatPr defaultColWidth="8.81640625" defaultRowHeight="14.5" x14ac:dyDescent="0.35"/>
  <cols>
    <col min="1" max="1" width="0.81640625" customWidth="1"/>
    <col min="2" max="2" width="2.81640625" customWidth="1"/>
    <col min="3" max="3" width="4.81640625" customWidth="1"/>
    <col min="4" max="4" width="29.453125" customWidth="1"/>
    <col min="5" max="5" width="6.26953125" customWidth="1"/>
    <col min="6" max="6" width="24.81640625" bestFit="1" customWidth="1"/>
    <col min="7" max="7" width="32" bestFit="1" customWidth="1"/>
    <col min="8" max="8" width="4.81640625" customWidth="1"/>
    <col min="9" max="9" width="37.54296875" customWidth="1"/>
    <col min="10" max="10" width="4.81640625" customWidth="1"/>
    <col min="11" max="11" width="37.7265625" customWidth="1"/>
    <col min="12" max="12" width="5.453125" customWidth="1"/>
    <col min="13" max="13" width="35.81640625" customWidth="1"/>
    <col min="14" max="14" width="8.7265625" customWidth="1"/>
    <col min="15" max="15" width="2.81640625" customWidth="1"/>
    <col min="16" max="16" width="8" style="5" bestFit="1" customWidth="1"/>
    <col min="17" max="17" width="9.54296875" bestFit="1" customWidth="1"/>
    <col min="18" max="18" width="13" bestFit="1" customWidth="1"/>
    <col min="19" max="19" width="12.7265625" customWidth="1"/>
    <col min="20" max="20" width="8.453125" customWidth="1"/>
  </cols>
  <sheetData>
    <row r="1" spans="2:29" ht="5.5" customHeight="1" thickBot="1" x14ac:dyDescent="0.4"/>
    <row r="2" spans="2:29" s="5" customFormat="1" ht="22.5" thickBot="1" x14ac:dyDescent="0.550000000000000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35">
      <c r="B3" s="185"/>
      <c r="F3" s="523" t="s">
        <v>381</v>
      </c>
      <c r="G3" s="716">
        <f>Welcome!$D$8</f>
        <v>0</v>
      </c>
      <c r="H3" s="145"/>
      <c r="I3" s="88"/>
      <c r="J3"/>
      <c r="K3" s="523" t="s">
        <v>110</v>
      </c>
      <c r="L3" s="1086" t="e">
        <f>VLOOKUP($L$4,'Market Geography'!$D:$G,4,FALSE)</f>
        <v>#N/A</v>
      </c>
      <c r="M3" s="1087" t="e">
        <f>IF(#REF!="New Business",#REF!,#REF!)</f>
        <v>#REF!</v>
      </c>
      <c r="N3" s="1088" t="e">
        <f>VLOOKUP($J$4,'Market Geography'!$D:$G,4,FALSE)</f>
        <v>#N/A</v>
      </c>
      <c r="O3" s="186"/>
      <c r="P3" s="184"/>
      <c r="Q3" s="187"/>
      <c r="R3" s="184"/>
      <c r="S3" s="184"/>
      <c r="T3" s="184"/>
      <c r="U3" s="184"/>
      <c r="V3" s="184"/>
      <c r="W3" s="184"/>
      <c r="X3" s="184"/>
      <c r="Y3" s="184"/>
      <c r="Z3" s="184"/>
      <c r="AA3" s="184"/>
      <c r="AB3" s="184"/>
      <c r="AC3" s="184"/>
    </row>
    <row r="4" spans="2:29" s="5" customFormat="1" x14ac:dyDescent="0.35">
      <c r="B4" s="185"/>
      <c r="F4" s="524" t="s">
        <v>216</v>
      </c>
      <c r="G4" s="393">
        <f>Welcome!$D$12</f>
        <v>0</v>
      </c>
      <c r="H4" s="145"/>
      <c r="I4" s="188" t="s">
        <v>523</v>
      </c>
      <c r="J4" s="189"/>
      <c r="K4" s="524" t="s">
        <v>120</v>
      </c>
      <c r="L4" s="1083">
        <f>Welcome!$D$4</f>
        <v>0</v>
      </c>
      <c r="M4" s="1084"/>
      <c r="N4" s="1085"/>
      <c r="O4" s="186"/>
      <c r="P4" s="184"/>
      <c r="Q4" s="187"/>
      <c r="R4" s="184"/>
      <c r="S4" s="184"/>
      <c r="T4" s="184"/>
      <c r="U4" s="184"/>
      <c r="V4" s="184"/>
      <c r="W4" s="184"/>
      <c r="X4" s="184"/>
      <c r="Y4" s="184"/>
      <c r="Z4" s="184"/>
      <c r="AA4" s="184"/>
      <c r="AB4" s="184"/>
      <c r="AC4" s="184"/>
    </row>
    <row r="5" spans="2:29" s="5" customFormat="1" x14ac:dyDescent="0.35">
      <c r="B5" s="185"/>
      <c r="F5" s="524" t="s">
        <v>202</v>
      </c>
      <c r="G5" s="394">
        <f>'PIM Model'!$G$31</f>
        <v>0</v>
      </c>
      <c r="H5" s="428"/>
      <c r="I5"/>
      <c r="J5"/>
      <c r="K5" s="524" t="s">
        <v>107</v>
      </c>
      <c r="L5" s="1083" t="str">
        <f>'Multi-Customer'!$M$47</f>
        <v>Enter Customer(s)</v>
      </c>
      <c r="M5" s="1084"/>
      <c r="N5" s="1085"/>
      <c r="O5" s="186"/>
      <c r="P5" s="184"/>
      <c r="Q5" s="187"/>
      <c r="R5" s="184"/>
      <c r="S5" s="184"/>
      <c r="T5" s="184"/>
      <c r="U5" s="184"/>
      <c r="V5" s="184"/>
      <c r="W5" s="184"/>
      <c r="X5" s="184"/>
      <c r="Y5" s="184"/>
      <c r="Z5" s="184"/>
      <c r="AA5" s="184"/>
      <c r="AB5" s="184"/>
      <c r="AC5" s="184"/>
    </row>
    <row r="6" spans="2:29" s="5" customFormat="1" x14ac:dyDescent="0.35">
      <c r="B6" s="185"/>
      <c r="F6" s="524" t="s">
        <v>493</v>
      </c>
      <c r="G6" s="430">
        <f>'Variable Costs (Back)'!$K$26</f>
        <v>0</v>
      </c>
      <c r="H6" s="429"/>
      <c r="I6"/>
      <c r="J6"/>
      <c r="K6" s="524" t="s">
        <v>410</v>
      </c>
      <c r="L6" s="1083" t="str">
        <f>'Multi-Customer'!$M$83</f>
        <v>MULTIPLE MENU TYPES</v>
      </c>
      <c r="M6" s="1084"/>
      <c r="N6" s="1085"/>
      <c r="O6" s="186"/>
      <c r="P6" s="184"/>
      <c r="Q6" s="187"/>
      <c r="R6" s="184"/>
      <c r="S6" s="184"/>
      <c r="T6" s="184"/>
      <c r="U6" s="184"/>
      <c r="V6" s="184"/>
      <c r="W6" s="184"/>
      <c r="X6" s="184"/>
      <c r="Y6" s="184"/>
      <c r="Z6" s="184"/>
      <c r="AA6" s="184"/>
      <c r="AB6" s="184"/>
      <c r="AC6" s="184"/>
    </row>
    <row r="7" spans="2:29" s="5" customFormat="1" ht="15" thickBot="1" x14ac:dyDescent="0.4">
      <c r="B7" s="185"/>
      <c r="F7" s="525" t="s">
        <v>547</v>
      </c>
      <c r="G7" s="431">
        <f>IFERROR('PIM Ranges'!$AU$3,0)</f>
        <v>0</v>
      </c>
      <c r="I7"/>
      <c r="J7"/>
      <c r="K7" s="525" t="s">
        <v>225</v>
      </c>
      <c r="L7" s="1110" t="s">
        <v>211</v>
      </c>
      <c r="M7" s="1111"/>
      <c r="N7" s="1112"/>
      <c r="O7" s="186"/>
      <c r="P7" s="184"/>
      <c r="Q7" s="187"/>
      <c r="R7" s="184"/>
      <c r="S7" s="184"/>
      <c r="T7" s="184"/>
      <c r="U7" s="184"/>
      <c r="V7" s="184"/>
      <c r="W7" s="184"/>
      <c r="X7" s="184"/>
      <c r="Y7" s="184"/>
      <c r="Z7" s="184"/>
      <c r="AA7" s="184"/>
      <c r="AB7" s="184"/>
      <c r="AC7" s="184"/>
    </row>
    <row r="8" spans="2:29" s="5" customFormat="1" ht="12" customHeight="1" thickBot="1" x14ac:dyDescent="0.4">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35">
      <c r="B9" s="185"/>
      <c r="F9" s="142"/>
      <c r="G9" s="191" t="s">
        <v>933</v>
      </c>
      <c r="H9" s="1100">
        <f>IFERROR('PIM Model'!$G$31,0)</f>
        <v>0</v>
      </c>
      <c r="I9" s="1101"/>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4">
      <c r="B10" s="185"/>
      <c r="F10" s="142"/>
      <c r="G10" s="192" t="s">
        <v>934</v>
      </c>
      <c r="H10" s="1108">
        <f>IFERROR('PIM Model'!$G$32,0)</f>
        <v>0</v>
      </c>
      <c r="I10" s="1109"/>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3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35">
      <c r="B12" s="185"/>
      <c r="C12" s="193"/>
      <c r="D12" s="194"/>
      <c r="E12" s="195"/>
      <c r="F12" s="196"/>
      <c r="G12" s="1102"/>
      <c r="H12" s="1103"/>
      <c r="I12" s="197"/>
      <c r="J12" s="1107"/>
      <c r="K12" s="1107"/>
      <c r="L12" s="195"/>
      <c r="M12" s="195"/>
      <c r="N12" s="198"/>
      <c r="O12" s="186"/>
      <c r="P12" s="184"/>
      <c r="Q12" s="184"/>
      <c r="R12" s="184"/>
      <c r="S12" s="184"/>
      <c r="T12" s="184"/>
      <c r="U12" s="184"/>
      <c r="V12" s="184"/>
      <c r="W12" s="184"/>
      <c r="X12" s="184"/>
      <c r="Y12" s="184"/>
      <c r="Z12" s="184"/>
      <c r="AA12" s="184"/>
    </row>
    <row r="13" spans="2:29" s="5" customFormat="1" ht="12" customHeight="1" x14ac:dyDescent="0.3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5" x14ac:dyDescent="0.35">
      <c r="B14" s="185"/>
      <c r="C14" s="199"/>
      <c r="D14" s="200" t="s">
        <v>935</v>
      </c>
      <c r="E14" s="201"/>
      <c r="F14" s="202"/>
      <c r="G14" s="434" t="s">
        <v>1254</v>
      </c>
      <c r="H14" s="807"/>
      <c r="I14" s="434" t="s">
        <v>1094</v>
      </c>
      <c r="J14" s="151"/>
      <c r="K14" s="435" t="str">
        <f>IF(I14="Credit Memo","Individual Customers",IF(I14="Check","Corp Check | AP number needed",""))</f>
        <v/>
      </c>
      <c r="L14" s="151"/>
      <c r="M14" s="151"/>
      <c r="N14" s="203"/>
      <c r="O14" s="186"/>
      <c r="P14" s="184"/>
      <c r="Q14" s="760"/>
      <c r="R14" s="184"/>
      <c r="S14" s="184"/>
      <c r="T14" s="184"/>
      <c r="U14" s="184"/>
      <c r="V14" s="184"/>
      <c r="W14" s="184"/>
      <c r="X14" s="184"/>
      <c r="Y14" s="184"/>
      <c r="Z14" s="184"/>
      <c r="AA14" s="184"/>
    </row>
    <row r="15" spans="2:29" s="5" customFormat="1" x14ac:dyDescent="0.3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5" x14ac:dyDescent="0.3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5" customHeight="1" x14ac:dyDescent="0.35">
      <c r="B17" s="185"/>
      <c r="C17" s="199"/>
      <c r="D17" s="210" t="s">
        <v>936</v>
      </c>
      <c r="E17" s="201"/>
      <c r="F17" s="211" t="s">
        <v>527</v>
      </c>
      <c r="G17" s="244">
        <f>$H$9/52</f>
        <v>0</v>
      </c>
      <c r="H17" s="711"/>
      <c r="I17" s="870"/>
      <c r="J17" s="151"/>
      <c r="K17" s="212"/>
      <c r="L17" s="151"/>
      <c r="M17" s="6" t="s">
        <v>509</v>
      </c>
      <c r="N17" s="203"/>
      <c r="O17" s="186"/>
      <c r="P17" s="184"/>
      <c r="Q17" s="760"/>
      <c r="R17" s="184"/>
      <c r="S17" s="184"/>
      <c r="T17" s="184"/>
      <c r="U17" s="184"/>
      <c r="V17" s="184"/>
      <c r="W17" s="184"/>
      <c r="X17" s="184"/>
      <c r="Y17" s="184"/>
      <c r="Z17" s="184"/>
      <c r="AA17" s="184"/>
    </row>
    <row r="18" spans="2:27" s="5" customFormat="1" ht="15.5" x14ac:dyDescent="0.35">
      <c r="B18" s="185"/>
      <c r="C18" s="199"/>
      <c r="D18" s="214" t="s">
        <v>550</v>
      </c>
      <c r="E18" s="552">
        <f>IF(G18="",0,(G18-$G$17)/$G$17)</f>
        <v>0</v>
      </c>
      <c r="F18" s="211" t="s">
        <v>930</v>
      </c>
      <c r="G18" s="556"/>
      <c r="H18" s="711"/>
      <c r="I18" s="871">
        <v>0.01</v>
      </c>
      <c r="J18" s="1104" t="str">
        <f>IF($E$15="YES","**Tier 1 used for modeling purposes**","")</f>
        <v/>
      </c>
      <c r="K18" s="1105"/>
      <c r="L18" s="1106"/>
      <c r="M18" s="213" t="str">
        <f>IF($E$15="YES",$H$10*I18,"")</f>
        <v/>
      </c>
      <c r="N18" s="203"/>
      <c r="O18" s="186"/>
      <c r="P18" s="184"/>
      <c r="Q18" s="760"/>
      <c r="R18" s="184"/>
      <c r="S18" s="184"/>
      <c r="T18" s="184"/>
      <c r="U18" s="184"/>
      <c r="V18" s="184"/>
      <c r="W18" s="184"/>
      <c r="X18" s="184"/>
      <c r="Y18" s="184"/>
      <c r="Z18" s="184"/>
      <c r="AA18" s="184"/>
    </row>
    <row r="19" spans="2:27" s="5" customFormat="1" ht="15.65" customHeight="1" x14ac:dyDescent="0.35">
      <c r="B19" s="185"/>
      <c r="C19" s="199"/>
      <c r="D19" s="214" t="s">
        <v>551</v>
      </c>
      <c r="E19" s="552">
        <f t="shared" ref="E19:E20" si="0">IF(G19="",0,(G19-$G$17)/$G$17)</f>
        <v>0</v>
      </c>
      <c r="F19" s="211" t="s">
        <v>931</v>
      </c>
      <c r="G19" s="556"/>
      <c r="H19" s="711"/>
      <c r="I19" s="871">
        <v>1.4999999999999999E-2</v>
      </c>
      <c r="J19" s="151"/>
      <c r="K19" s="1114" t="str">
        <f>IF($I$21&gt;0,"**Warning: You have entered an incentive payout above the recommended 3%**","")</f>
        <v/>
      </c>
      <c r="L19" s="151"/>
      <c r="M19" s="1009"/>
      <c r="N19" s="203"/>
      <c r="O19" s="186"/>
      <c r="P19" s="184"/>
      <c r="Q19" s="760"/>
      <c r="R19" s="184"/>
      <c r="S19" s="184"/>
      <c r="T19" s="184"/>
      <c r="U19" s="184"/>
      <c r="V19" s="184"/>
      <c r="W19" s="184"/>
      <c r="X19" s="184"/>
      <c r="Y19" s="184"/>
      <c r="Z19" s="184"/>
      <c r="AA19" s="184"/>
    </row>
    <row r="20" spans="2:27" s="5" customFormat="1" ht="15.5" x14ac:dyDescent="0.35">
      <c r="B20" s="185"/>
      <c r="C20" s="199"/>
      <c r="D20" s="214" t="s">
        <v>552</v>
      </c>
      <c r="E20" s="552">
        <f t="shared" si="0"/>
        <v>0</v>
      </c>
      <c r="F20" s="211" t="s">
        <v>932</v>
      </c>
      <c r="G20" s="556"/>
      <c r="H20" s="711"/>
      <c r="I20" s="871">
        <v>0.02</v>
      </c>
      <c r="J20" s="151"/>
      <c r="K20" s="1114"/>
      <c r="L20" s="151"/>
      <c r="M20" s="1009"/>
      <c r="N20" s="203"/>
      <c r="O20" s="186"/>
      <c r="P20" s="184"/>
      <c r="Q20" s="760"/>
      <c r="R20" s="184"/>
      <c r="S20" s="184"/>
      <c r="T20" s="184"/>
      <c r="U20" s="184"/>
      <c r="V20" s="184"/>
      <c r="W20" s="184"/>
      <c r="X20" s="184"/>
      <c r="Y20" s="184"/>
      <c r="Z20" s="184"/>
      <c r="AA20" s="184"/>
    </row>
    <row r="21" spans="2:27" s="5" customFormat="1" ht="9" customHeight="1" x14ac:dyDescent="0.3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3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3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3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5" x14ac:dyDescent="0.35">
      <c r="B25" s="185"/>
      <c r="C25" s="199"/>
      <c r="D25" s="200" t="s">
        <v>549</v>
      </c>
      <c r="E25" s="240"/>
      <c r="F25" s="202"/>
      <c r="G25" s="434" t="s">
        <v>1254</v>
      </c>
      <c r="H25" s="711"/>
      <c r="I25" s="434" t="s">
        <v>1094</v>
      </c>
      <c r="J25" s="151"/>
      <c r="K25" s="435" t="str">
        <f>IF(I25="Credit Memo","Individual Customers",IF(I25="Check","Corp Check | AP number needed",""))</f>
        <v/>
      </c>
      <c r="L25" s="151"/>
      <c r="M25" s="241"/>
      <c r="N25" s="203"/>
      <c r="O25" s="186"/>
      <c r="P25" s="184"/>
      <c r="Q25" s="760"/>
      <c r="R25" s="184"/>
      <c r="S25" s="184"/>
      <c r="T25" s="184"/>
      <c r="U25" s="184"/>
      <c r="V25" s="184"/>
      <c r="W25" s="184"/>
      <c r="X25" s="184"/>
      <c r="Y25" s="184"/>
      <c r="Z25" s="184"/>
      <c r="AA25" s="184"/>
    </row>
    <row r="26" spans="2:27" s="5" customFormat="1" x14ac:dyDescent="0.3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5" x14ac:dyDescent="0.3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5" x14ac:dyDescent="0.35">
      <c r="B28" s="185"/>
      <c r="C28" s="199"/>
      <c r="D28" s="210" t="s">
        <v>546</v>
      </c>
      <c r="E28" s="201"/>
      <c r="F28" s="211" t="s">
        <v>751</v>
      </c>
      <c r="G28" s="244">
        <f>IFERROR($G$5/($G$6*52*Welcome!$D$14),0)</f>
        <v>0</v>
      </c>
      <c r="H28" s="711"/>
      <c r="I28" s="870">
        <v>0</v>
      </c>
      <c r="J28" s="151"/>
      <c r="K28" s="212"/>
      <c r="L28" s="151"/>
      <c r="M28" s="6" t="s">
        <v>509</v>
      </c>
      <c r="N28" s="203"/>
      <c r="O28" s="186"/>
      <c r="P28" s="184"/>
      <c r="Q28" s="760"/>
      <c r="R28" s="184"/>
      <c r="S28" s="184"/>
      <c r="T28" s="184"/>
      <c r="U28" s="184"/>
      <c r="V28" s="184"/>
      <c r="W28" s="184"/>
      <c r="X28" s="184"/>
      <c r="Y28" s="184"/>
      <c r="Z28" s="184"/>
      <c r="AA28" s="184"/>
    </row>
    <row r="29" spans="2:27" s="5" customFormat="1" ht="15.5" x14ac:dyDescent="0.35">
      <c r="B29" s="185"/>
      <c r="C29" s="199"/>
      <c r="D29" s="214" t="s">
        <v>550</v>
      </c>
      <c r="E29" s="552">
        <f>IF(G29="",0,(G29-$G$28)/$G$28)</f>
        <v>0</v>
      </c>
      <c r="F29" s="211" t="s">
        <v>524</v>
      </c>
      <c r="G29" s="556"/>
      <c r="H29" s="711"/>
      <c r="I29" s="871">
        <v>0.01</v>
      </c>
      <c r="J29" s="1104" t="str">
        <f>IF($E$26="YES","**Tier 1 used for modeling purposes**","")</f>
        <v/>
      </c>
      <c r="K29" s="1105"/>
      <c r="L29" s="1106"/>
      <c r="M29" s="213" t="str">
        <f>IF($E$26="YES",$H$10*I29,"")</f>
        <v/>
      </c>
      <c r="N29" s="203"/>
      <c r="O29" s="186"/>
      <c r="P29" s="184"/>
      <c r="Q29" s="760"/>
      <c r="R29" s="184"/>
      <c r="S29" s="184"/>
      <c r="T29" s="184"/>
      <c r="U29" s="184"/>
      <c r="V29" s="184"/>
      <c r="W29" s="184"/>
      <c r="X29" s="184"/>
      <c r="Y29" s="184"/>
      <c r="Z29" s="184"/>
      <c r="AA29" s="184"/>
    </row>
    <row r="30" spans="2:27" s="5" customFormat="1" ht="15.65" customHeight="1" x14ac:dyDescent="0.35">
      <c r="B30" s="185"/>
      <c r="C30" s="199"/>
      <c r="D30" s="214" t="s">
        <v>551</v>
      </c>
      <c r="E30" s="552">
        <f>IF(G30="",0,(G30-$G$28)/$G$28)</f>
        <v>0</v>
      </c>
      <c r="F30" s="211" t="s">
        <v>525</v>
      </c>
      <c r="G30" s="556"/>
      <c r="H30" s="711"/>
      <c r="I30" s="871">
        <v>1.4999999999999999E-2</v>
      </c>
      <c r="J30" s="151"/>
      <c r="K30" s="1114" t="str">
        <f>IF($I$32&gt;0,"**Warning: You have entered an incentive payout above the recommended 3%**","")</f>
        <v/>
      </c>
      <c r="L30" s="151"/>
      <c r="M30" s="1009"/>
      <c r="N30" s="203"/>
      <c r="O30" s="186"/>
      <c r="P30" s="184"/>
      <c r="Q30" s="760"/>
      <c r="R30" s="184"/>
      <c r="S30" s="184"/>
      <c r="T30" s="184"/>
      <c r="U30" s="184"/>
      <c r="V30" s="184"/>
      <c r="W30" s="184"/>
      <c r="X30" s="184"/>
      <c r="Y30" s="184"/>
      <c r="Z30" s="184"/>
      <c r="AA30" s="184"/>
    </row>
    <row r="31" spans="2:27" ht="15.5" x14ac:dyDescent="0.35">
      <c r="B31" s="143"/>
      <c r="C31" s="245"/>
      <c r="D31" s="214" t="s">
        <v>552</v>
      </c>
      <c r="E31" s="552">
        <f>IF(G31="",0,(G31-$G$28)/$G$28)</f>
        <v>0</v>
      </c>
      <c r="F31" s="211" t="s">
        <v>526</v>
      </c>
      <c r="G31" s="556"/>
      <c r="H31" s="711"/>
      <c r="I31" s="871">
        <v>0.02</v>
      </c>
      <c r="J31" s="44"/>
      <c r="K31" s="1114"/>
      <c r="L31" s="44"/>
      <c r="M31" s="1009"/>
      <c r="N31" s="246"/>
      <c r="O31" s="144"/>
      <c r="P31" s="140"/>
      <c r="Q31" s="761"/>
      <c r="R31" s="140"/>
      <c r="S31" s="140"/>
      <c r="T31" s="140"/>
      <c r="U31" s="140"/>
      <c r="V31" s="140"/>
      <c r="W31" s="140"/>
      <c r="X31" s="140"/>
      <c r="Y31" s="140"/>
      <c r="Z31" s="140"/>
      <c r="AA31" s="140"/>
    </row>
    <row r="32" spans="2:27" ht="9" customHeight="1" x14ac:dyDescent="0.3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3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3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3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5" x14ac:dyDescent="0.35">
      <c r="B36" s="143"/>
      <c r="C36" s="245"/>
      <c r="D36" s="257" t="s">
        <v>555</v>
      </c>
      <c r="E36" s="240"/>
      <c r="F36" s="44"/>
      <c r="G36" s="434" t="s">
        <v>1254</v>
      </c>
      <c r="H36" s="711"/>
      <c r="I36" s="434" t="s">
        <v>1094</v>
      </c>
      <c r="J36" s="151"/>
      <c r="K36" s="435" t="str">
        <f>IF(I36="Credit Memo","Individual Customers",IF(I36="Check","Corp Check | AP number needed",""))</f>
        <v/>
      </c>
      <c r="L36" s="44"/>
      <c r="M36" s="241"/>
      <c r="N36" s="246"/>
      <c r="O36" s="144"/>
      <c r="P36" s="140"/>
      <c r="Q36" s="761"/>
      <c r="R36" s="140"/>
      <c r="S36" s="140"/>
      <c r="T36" s="140"/>
      <c r="U36" s="140"/>
      <c r="V36" s="140"/>
      <c r="W36" s="140"/>
      <c r="X36" s="140"/>
      <c r="Y36" s="140"/>
      <c r="Z36" s="140"/>
      <c r="AA36" s="140"/>
    </row>
    <row r="37" spans="2:27" ht="15" customHeight="1" x14ac:dyDescent="0.3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3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5" x14ac:dyDescent="0.35">
      <c r="B39" s="143"/>
      <c r="C39" s="245"/>
      <c r="D39" s="44"/>
      <c r="E39" s="44"/>
      <c r="F39" s="211" t="s">
        <v>755</v>
      </c>
      <c r="G39" s="74">
        <f>IFERROR('EB_CM (Back)'!$B$7,"")</f>
        <v>0</v>
      </c>
      <c r="H39" s="201"/>
      <c r="I39" s="870">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35">
      <c r="B40" s="143"/>
      <c r="C40" s="245"/>
      <c r="D40" s="381"/>
      <c r="E40" s="553"/>
      <c r="F40" s="211" t="s">
        <v>524</v>
      </c>
      <c r="G40" s="45"/>
      <c r="H40" s="201"/>
      <c r="I40" s="871">
        <v>0.01</v>
      </c>
      <c r="J40" s="1104" t="str">
        <f>IF($E$37="YES","**Tier 1 payout used for modeling purposes**","")</f>
        <v/>
      </c>
      <c r="K40" s="1105"/>
      <c r="L40" s="1106"/>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35">
      <c r="B41" s="143"/>
      <c r="C41" s="245"/>
      <c r="D41" s="381"/>
      <c r="E41" s="553"/>
      <c r="F41" s="211" t="s">
        <v>525</v>
      </c>
      <c r="G41" s="45"/>
      <c r="H41" s="201"/>
      <c r="I41" s="871">
        <v>1.4999999999999999E-2</v>
      </c>
      <c r="J41" s="260"/>
      <c r="K41" s="44"/>
      <c r="L41" s="201"/>
      <c r="M41" s="1009"/>
      <c r="N41" s="246"/>
      <c r="O41" s="144"/>
      <c r="P41" s="140"/>
      <c r="Q41" s="761"/>
      <c r="R41" s="140"/>
      <c r="S41" s="140"/>
      <c r="T41" s="140"/>
      <c r="U41" s="140"/>
      <c r="V41" s="140"/>
      <c r="W41" s="140"/>
      <c r="X41" s="140"/>
      <c r="Y41" s="140"/>
      <c r="Z41" s="140"/>
      <c r="AA41" s="140"/>
    </row>
    <row r="42" spans="2:27" ht="16.899999999999999" customHeight="1" x14ac:dyDescent="0.35">
      <c r="B42" s="143"/>
      <c r="C42" s="245"/>
      <c r="D42" s="381"/>
      <c r="E42" s="553"/>
      <c r="F42" s="211" t="s">
        <v>526</v>
      </c>
      <c r="G42" s="45"/>
      <c r="H42" s="201"/>
      <c r="I42" s="871">
        <v>0.02</v>
      </c>
      <c r="J42" s="260"/>
      <c r="K42" s="44"/>
      <c r="L42" s="201"/>
      <c r="M42" s="1009"/>
      <c r="N42" s="246"/>
      <c r="O42" s="144"/>
      <c r="P42" s="140"/>
      <c r="Q42" s="761"/>
      <c r="R42" s="140"/>
      <c r="S42" s="140"/>
      <c r="T42" s="140"/>
      <c r="U42" s="140"/>
      <c r="V42" s="140"/>
      <c r="W42" s="140"/>
      <c r="X42" s="140"/>
      <c r="Y42" s="140"/>
      <c r="Z42" s="140"/>
      <c r="AA42" s="140"/>
    </row>
    <row r="43" spans="2:27" ht="9" customHeight="1" x14ac:dyDescent="0.3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3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9" customFormat="1" ht="9" customHeight="1" x14ac:dyDescent="0.3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9" customFormat="1" ht="11.5" customHeight="1" x14ac:dyDescent="0.35">
      <c r="B46" s="143"/>
      <c r="C46" s="245"/>
      <c r="D46" s="44"/>
      <c r="E46" s="44"/>
      <c r="F46" s="151"/>
      <c r="G46" s="259" t="s">
        <v>1244</v>
      </c>
      <c r="H46" s="201"/>
      <c r="I46" s="259" t="s">
        <v>923</v>
      </c>
      <c r="J46" s="44"/>
      <c r="K46" s="259" t="s">
        <v>904</v>
      </c>
      <c r="L46" s="201"/>
      <c r="M46" s="241"/>
      <c r="N46" s="246"/>
      <c r="O46" s="144"/>
      <c r="P46" s="140"/>
      <c r="Q46" s="761"/>
      <c r="R46" s="140"/>
      <c r="S46" s="140"/>
      <c r="T46" s="140"/>
      <c r="U46" s="140"/>
      <c r="V46" s="140"/>
      <c r="W46" s="140"/>
      <c r="X46" s="140"/>
      <c r="Y46" s="140"/>
      <c r="Z46" s="140"/>
      <c r="AA46" s="140"/>
    </row>
    <row r="47" spans="2:27" s="879" customFormat="1" ht="18.5" x14ac:dyDescent="0.35">
      <c r="B47" s="143"/>
      <c r="C47" s="245"/>
      <c r="D47" s="257" t="s">
        <v>1245</v>
      </c>
      <c r="E47" s="44"/>
      <c r="F47" s="151"/>
      <c r="G47" s="434" t="s">
        <v>1254</v>
      </c>
      <c r="H47" s="201"/>
      <c r="I47" s="434" t="s">
        <v>1094</v>
      </c>
      <c r="J47" s="151"/>
      <c r="K47" s="435" t="str">
        <f>IF(I47="Credit Memo","Individual Customers",IF(I47="Check","Corp Check | AP number needed",""))</f>
        <v/>
      </c>
      <c r="L47" s="201"/>
      <c r="M47" s="241"/>
      <c r="N47" s="246"/>
      <c r="O47" s="144"/>
      <c r="P47" s="140"/>
      <c r="Q47" s="761"/>
      <c r="R47" s="427"/>
      <c r="S47" s="140"/>
      <c r="T47" s="140"/>
      <c r="U47" s="140"/>
      <c r="V47" s="140"/>
      <c r="W47" s="140"/>
      <c r="X47" s="140"/>
      <c r="Y47" s="140"/>
      <c r="Z47" s="140"/>
      <c r="AA47" s="140"/>
    </row>
    <row r="48" spans="2:27" s="879" customFormat="1" x14ac:dyDescent="0.3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9" customFormat="1" ht="15.5" x14ac:dyDescent="0.3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9" customFormat="1" ht="16.899999999999999" customHeight="1" x14ac:dyDescent="0.35">
      <c r="B50" s="143"/>
      <c r="C50" s="245"/>
      <c r="D50" s="381"/>
      <c r="E50" s="553"/>
      <c r="F50" s="211"/>
      <c r="G50" s="882">
        <v>0</v>
      </c>
      <c r="H50" s="201"/>
      <c r="I50" s="873">
        <v>0</v>
      </c>
      <c r="J50" s="260"/>
      <c r="K50" s="241"/>
      <c r="L50" s="201"/>
      <c r="M50" s="213">
        <f>IF(E48="NO",0,IF(((H10-(G50*52))*I50)&lt;0,0,((H10-(G50*52))*I50)))</f>
        <v>0</v>
      </c>
      <c r="N50" s="246"/>
      <c r="O50" s="144"/>
      <c r="Q50" s="762"/>
    </row>
    <row r="51" spans="2:27" s="879" customFormat="1" ht="24.75" customHeight="1" x14ac:dyDescent="0.35">
      <c r="B51" s="143"/>
      <c r="C51" s="247"/>
      <c r="D51" s="249"/>
      <c r="E51" s="249"/>
      <c r="F51" s="249"/>
      <c r="G51" s="881"/>
      <c r="H51" s="249"/>
      <c r="I51" s="271"/>
      <c r="J51" s="249"/>
      <c r="K51" s="249"/>
      <c r="L51" s="249"/>
      <c r="M51" s="249"/>
      <c r="N51" s="250"/>
      <c r="O51" s="144"/>
      <c r="Q51" s="762"/>
    </row>
    <row r="52" spans="2:27" s="879" customFormat="1" ht="10.15" customHeight="1" x14ac:dyDescent="0.3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3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5" customHeight="1" x14ac:dyDescent="0.3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5" x14ac:dyDescent="0.35">
      <c r="B55" s="143"/>
      <c r="C55" s="245"/>
      <c r="D55" s="257" t="s">
        <v>753</v>
      </c>
      <c r="E55" s="44"/>
      <c r="F55" s="151"/>
      <c r="G55" s="434" t="s">
        <v>1254</v>
      </c>
      <c r="H55" s="201"/>
      <c r="I55" s="434" t="s">
        <v>1094</v>
      </c>
      <c r="J55" s="151"/>
      <c r="K55" s="435" t="str">
        <f>IF(I55="Credit Memo","Individual Customers",IF(I55="Check","Corp Check | AP number needed",""))</f>
        <v/>
      </c>
      <c r="L55" s="201"/>
      <c r="M55" s="241"/>
      <c r="N55" s="246"/>
      <c r="O55" s="144"/>
      <c r="P55" s="140"/>
      <c r="Q55" s="761"/>
      <c r="R55" s="427"/>
      <c r="S55" s="140"/>
      <c r="T55" s="140"/>
      <c r="U55" s="140"/>
      <c r="V55" s="140"/>
      <c r="W55" s="140"/>
      <c r="X55" s="140"/>
      <c r="Y55" s="140"/>
      <c r="Z55" s="140"/>
      <c r="AA55" s="140"/>
    </row>
    <row r="56" spans="2:27" x14ac:dyDescent="0.3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5" x14ac:dyDescent="0.35">
      <c r="B57" s="143"/>
      <c r="C57" s="245"/>
      <c r="D57" s="44"/>
      <c r="E57" s="44"/>
      <c r="F57" s="270"/>
      <c r="G57" s="6" t="s">
        <v>1320</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35">
      <c r="B58" s="143"/>
      <c r="C58" s="245"/>
      <c r="D58" s="381"/>
      <c r="E58" s="553"/>
      <c r="F58" s="211" t="s">
        <v>548</v>
      </c>
      <c r="G58" s="951"/>
      <c r="H58" s="201"/>
      <c r="I58" s="693"/>
      <c r="J58" s="260"/>
      <c r="K58" s="951"/>
      <c r="L58" s="201"/>
      <c r="M58" s="213">
        <f>IF($E$56="YES",K58*$H$10,0)</f>
        <v>0</v>
      </c>
      <c r="N58" s="246"/>
      <c r="O58" s="144"/>
      <c r="P58"/>
      <c r="Q58" s="762"/>
    </row>
    <row r="59" spans="2:27" ht="9" customHeight="1" x14ac:dyDescent="0.35">
      <c r="B59" s="143"/>
      <c r="C59" s="247"/>
      <c r="D59" s="249"/>
      <c r="E59" s="249"/>
      <c r="F59" s="249"/>
      <c r="G59" s="249"/>
      <c r="H59" s="249"/>
      <c r="I59" s="271"/>
      <c r="J59" s="249"/>
      <c r="K59" s="249"/>
      <c r="L59" s="249"/>
      <c r="M59" s="249"/>
      <c r="N59" s="250"/>
      <c r="O59" s="144"/>
      <c r="P59"/>
      <c r="Q59" s="762"/>
    </row>
    <row r="60" spans="2:27" ht="10.15" customHeight="1" x14ac:dyDescent="0.35">
      <c r="B60" s="143"/>
      <c r="I60" s="272"/>
      <c r="N60" s="273"/>
      <c r="O60" s="144"/>
      <c r="P60"/>
      <c r="Q60" s="762"/>
    </row>
    <row r="61" spans="2:27" s="909" customFormat="1" ht="9" customHeight="1" x14ac:dyDescent="0.35">
      <c r="B61" s="185"/>
      <c r="C61" s="279"/>
      <c r="D61" s="194"/>
      <c r="E61" s="194"/>
      <c r="F61" s="235"/>
      <c r="G61" s="266"/>
      <c r="H61" s="194"/>
      <c r="I61" s="267"/>
      <c r="J61" s="238"/>
      <c r="K61" s="239"/>
      <c r="L61" s="194"/>
      <c r="M61" s="239"/>
      <c r="N61" s="280"/>
      <c r="O61" s="186"/>
      <c r="Q61" s="763"/>
    </row>
    <row r="62" spans="2:27" s="909" customFormat="1" ht="17.5" customHeight="1" x14ac:dyDescent="0.35">
      <c r="B62" s="185"/>
      <c r="C62" s="274"/>
      <c r="D62" s="201"/>
      <c r="E62" s="201"/>
      <c r="F62" s="211"/>
      <c r="G62" s="6" t="s">
        <v>1290</v>
      </c>
      <c r="H62" s="201"/>
      <c r="I62" s="259" t="s">
        <v>923</v>
      </c>
      <c r="J62" s="44"/>
      <c r="K62" s="259" t="s">
        <v>904</v>
      </c>
      <c r="L62" s="201"/>
      <c r="M62" s="201"/>
      <c r="N62" s="275"/>
      <c r="O62" s="186"/>
      <c r="Q62" s="763"/>
    </row>
    <row r="63" spans="2:27" s="909" customFormat="1" ht="18.5" x14ac:dyDescent="0.35">
      <c r="B63" s="185"/>
      <c r="C63" s="274"/>
      <c r="D63" s="257" t="s">
        <v>1285</v>
      </c>
      <c r="E63" s="201"/>
      <c r="F63" s="211"/>
      <c r="G63" s="948" t="s">
        <v>556</v>
      </c>
      <c r="H63" s="201"/>
      <c r="I63" s="921" t="s">
        <v>1094</v>
      </c>
      <c r="J63" s="151"/>
      <c r="K63" s="435" t="str">
        <f>IF(I63="Credit Memo","Corp Credit Memo",IF(I63="Check","Corp Check | AP number needed",""))</f>
        <v/>
      </c>
      <c r="L63" s="201"/>
      <c r="M63" s="964"/>
      <c r="N63" s="275"/>
      <c r="O63" s="186"/>
      <c r="Q63" s="763"/>
    </row>
    <row r="64" spans="2:27" s="909" customFormat="1" x14ac:dyDescent="0.35">
      <c r="B64" s="185"/>
      <c r="C64" s="274"/>
      <c r="D64" s="204" t="s">
        <v>553</v>
      </c>
      <c r="E64" s="73" t="s">
        <v>556</v>
      </c>
      <c r="F64" s="151"/>
      <c r="G64" s="201"/>
      <c r="H64" s="201"/>
      <c r="I64" s="1117"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9" customFormat="1" ht="15.75" customHeight="1" x14ac:dyDescent="0.35">
      <c r="B65" s="185"/>
      <c r="C65" s="274"/>
      <c r="D65" s="201"/>
      <c r="E65" s="151"/>
      <c r="F65" s="922"/>
      <c r="G65" s="925" t="s">
        <v>132</v>
      </c>
      <c r="H65" s="201"/>
      <c r="I65" s="1118"/>
      <c r="J65" s="209"/>
      <c r="K65" s="259" t="s">
        <v>557</v>
      </c>
      <c r="L65" s="201"/>
      <c r="M65" s="6" t="s">
        <v>509</v>
      </c>
      <c r="N65" s="275"/>
      <c r="O65" s="186"/>
      <c r="Q65" s="763"/>
    </row>
    <row r="66" spans="2:17" s="909" customFormat="1" ht="15.5" x14ac:dyDescent="0.35">
      <c r="B66" s="185"/>
      <c r="C66" s="274"/>
      <c r="D66" s="201"/>
      <c r="E66" s="201"/>
      <c r="F66" s="923" t="s">
        <v>967</v>
      </c>
      <c r="G66" s="926" t="str">
        <f>IF($E$64="YES","CASH","")</f>
        <v/>
      </c>
      <c r="H66" s="201"/>
      <c r="I66" s="1118"/>
      <c r="J66" s="212"/>
      <c r="K66" s="950"/>
      <c r="L66" s="201"/>
      <c r="M66" s="213">
        <f>IFERROR(IF($E$64="YES",K66/$G$4,0),0)</f>
        <v>0</v>
      </c>
      <c r="N66" s="275"/>
      <c r="O66" s="186"/>
      <c r="Q66" s="914"/>
    </row>
    <row r="67" spans="2:17" s="183" customFormat="1" ht="11.5" customHeight="1" x14ac:dyDescent="0.35">
      <c r="B67" s="281"/>
      <c r="C67" s="215"/>
      <c r="D67" s="221"/>
      <c r="E67" s="221"/>
      <c r="F67" s="924"/>
      <c r="G67" s="924"/>
      <c r="H67" s="221"/>
      <c r="I67" s="1119"/>
      <c r="J67" s="221"/>
      <c r="K67" s="221"/>
      <c r="L67" s="221"/>
      <c r="M67" s="221"/>
      <c r="N67" s="282"/>
      <c r="O67" s="283"/>
    </row>
    <row r="68" spans="2:17" s="946" customFormat="1" ht="10.15" customHeight="1" x14ac:dyDescent="0.35">
      <c r="B68" s="185"/>
      <c r="C68" s="184"/>
      <c r="D68" s="184"/>
      <c r="E68" s="184"/>
      <c r="F68" s="227"/>
      <c r="G68" s="264"/>
      <c r="H68" s="184"/>
      <c r="I68" s="265"/>
      <c r="J68" s="231"/>
      <c r="K68" s="232"/>
      <c r="L68" s="184"/>
      <c r="M68" s="232"/>
      <c r="N68" s="278"/>
      <c r="O68" s="186"/>
      <c r="Q68" s="763"/>
    </row>
    <row r="69" spans="2:17" s="946" customFormat="1" ht="9" customHeight="1" x14ac:dyDescent="0.35">
      <c r="B69" s="185"/>
      <c r="C69" s="279"/>
      <c r="D69" s="194"/>
      <c r="E69" s="194"/>
      <c r="F69" s="235"/>
      <c r="G69" s="266"/>
      <c r="H69" s="194"/>
      <c r="I69" s="267"/>
      <c r="J69" s="238"/>
      <c r="K69" s="239"/>
      <c r="L69" s="194"/>
      <c r="M69" s="239"/>
      <c r="N69" s="280"/>
      <c r="O69" s="186"/>
      <c r="Q69" s="763"/>
    </row>
    <row r="70" spans="2:17" s="954" customFormat="1" ht="17.5" customHeight="1" x14ac:dyDescent="0.35">
      <c r="B70" s="185"/>
      <c r="C70" s="274"/>
      <c r="D70" s="1120" t="s">
        <v>1292</v>
      </c>
      <c r="E70" s="959"/>
      <c r="F70" s="958"/>
      <c r="G70" s="259" t="s">
        <v>1293</v>
      </c>
      <c r="H70" s="959"/>
      <c r="I70" s="259" t="s">
        <v>923</v>
      </c>
      <c r="J70" s="960"/>
      <c r="K70" s="259" t="s">
        <v>1291</v>
      </c>
      <c r="L70" s="959"/>
      <c r="M70" s="259" t="s">
        <v>1303</v>
      </c>
      <c r="N70" s="275"/>
      <c r="O70" s="186"/>
      <c r="Q70" s="763"/>
    </row>
    <row r="71" spans="2:17" s="954" customFormat="1" ht="17.5" customHeight="1" x14ac:dyDescent="0.35">
      <c r="B71" s="185"/>
      <c r="C71" s="274"/>
      <c r="D71" s="1121"/>
      <c r="E71" s="201"/>
      <c r="F71" s="958"/>
      <c r="G71" s="967"/>
      <c r="H71" s="959"/>
      <c r="I71" s="434" t="s">
        <v>1094</v>
      </c>
      <c r="J71" s="960"/>
      <c r="K71" s="967"/>
      <c r="L71" s="959"/>
      <c r="M71" s="213"/>
      <c r="N71" s="275"/>
      <c r="O71" s="186"/>
      <c r="Q71" s="763"/>
    </row>
    <row r="72" spans="2:17" s="954" customFormat="1" ht="14.5" customHeight="1" x14ac:dyDescent="0.35">
      <c r="B72" s="185"/>
      <c r="C72" s="274"/>
      <c r="D72" s="204" t="s">
        <v>553</v>
      </c>
      <c r="E72" s="73" t="s">
        <v>554</v>
      </c>
      <c r="F72" s="958"/>
      <c r="G72" s="961"/>
      <c r="H72" s="959"/>
      <c r="I72" s="267"/>
      <c r="J72" s="960"/>
      <c r="K72" s="239"/>
      <c r="L72" s="959"/>
      <c r="M72" s="1124" t="str">
        <f>IF($M$71&gt;=10000,"The amount entered is $10,000 or above. This model can be submitted but will require additional approved before the agreement can be generated. Business Context will need to be provided","")</f>
        <v/>
      </c>
      <c r="N72" s="1125"/>
      <c r="O72" s="186"/>
      <c r="Q72" s="763"/>
    </row>
    <row r="73" spans="2:17" s="946" customFormat="1" ht="34.5" customHeight="1" x14ac:dyDescent="0.35">
      <c r="B73" s="185"/>
      <c r="C73" s="274"/>
      <c r="D73" s="1123" t="s">
        <v>1321</v>
      </c>
      <c r="E73" s="1123"/>
      <c r="F73" s="958"/>
      <c r="G73" s="1122" t="s">
        <v>1322</v>
      </c>
      <c r="H73" s="1122"/>
      <c r="I73" s="1122"/>
      <c r="J73" s="1122"/>
      <c r="K73" s="1122"/>
      <c r="L73" s="201"/>
      <c r="M73" s="1124"/>
      <c r="N73" s="1125"/>
      <c r="O73" s="186"/>
      <c r="Q73" s="763"/>
    </row>
    <row r="74" spans="2:17" s="946" customFormat="1" ht="16.5" customHeight="1" x14ac:dyDescent="0.35">
      <c r="B74" s="185"/>
      <c r="C74" s="274"/>
      <c r="D74" s="201"/>
      <c r="E74" s="151"/>
      <c r="F74" s="922"/>
      <c r="G74" s="957" t="s">
        <v>1288</v>
      </c>
      <c r="H74" s="209"/>
      <c r="I74" s="6" t="s">
        <v>1289</v>
      </c>
      <c r="J74" s="201"/>
      <c r="K74" s="259" t="s">
        <v>1287</v>
      </c>
      <c r="L74" s="201"/>
      <c r="M74" s="6" t="s">
        <v>509</v>
      </c>
      <c r="N74" s="275"/>
      <c r="O74" s="186"/>
      <c r="Q74" s="763"/>
    </row>
    <row r="75" spans="2:17" s="946" customFormat="1" ht="18" customHeight="1" x14ac:dyDescent="0.35">
      <c r="B75" s="185"/>
      <c r="C75" s="274"/>
      <c r="D75" s="201"/>
      <c r="E75" s="201"/>
      <c r="F75" s="923" t="s">
        <v>1216</v>
      </c>
      <c r="G75" s="948"/>
      <c r="H75" s="212"/>
      <c r="I75" s="949"/>
      <c r="J75" s="201"/>
      <c r="K75" s="965"/>
      <c r="L75" s="201"/>
      <c r="M75" s="213">
        <f>IFERROR(IF($E72="YES",M71/$G$4,0),0)</f>
        <v>0</v>
      </c>
      <c r="N75" s="275"/>
      <c r="O75" s="186"/>
    </row>
    <row r="76" spans="2:17" s="183" customFormat="1" ht="11.5" customHeight="1" x14ac:dyDescent="0.35">
      <c r="B76" s="281"/>
      <c r="C76" s="215"/>
      <c r="D76" s="221"/>
      <c r="E76" s="221"/>
      <c r="F76" s="924"/>
      <c r="G76" s="924"/>
      <c r="H76" s="221"/>
      <c r="I76" s="221"/>
      <c r="J76" s="221"/>
      <c r="K76" s="221"/>
      <c r="L76" s="221"/>
      <c r="M76" s="221"/>
      <c r="N76" s="282"/>
      <c r="O76" s="283"/>
    </row>
    <row r="77" spans="2:17" s="5" customFormat="1" ht="10.15" customHeight="1" x14ac:dyDescent="0.35">
      <c r="B77" s="185"/>
      <c r="C77" s="184"/>
      <c r="D77" s="184"/>
      <c r="E77" s="184"/>
      <c r="F77" s="227"/>
      <c r="G77" s="264"/>
      <c r="H77" s="184"/>
      <c r="I77" s="265"/>
      <c r="J77" s="231"/>
      <c r="K77" s="232"/>
      <c r="L77" s="184"/>
      <c r="M77" s="232"/>
      <c r="N77" s="278"/>
      <c r="O77" s="186"/>
      <c r="Q77" s="763"/>
    </row>
    <row r="78" spans="2:17" s="5" customFormat="1" ht="9" customHeight="1" x14ac:dyDescent="0.35">
      <c r="B78" s="185"/>
      <c r="C78" s="279"/>
      <c r="D78" s="194"/>
      <c r="E78" s="194"/>
      <c r="F78" s="235"/>
      <c r="G78" s="266"/>
      <c r="H78" s="194"/>
      <c r="I78" s="267"/>
      <c r="J78" s="238"/>
      <c r="K78" s="239"/>
      <c r="L78" s="194"/>
      <c r="M78" s="239"/>
      <c r="N78" s="280"/>
      <c r="O78" s="186"/>
      <c r="Q78" s="763"/>
    </row>
    <row r="79" spans="2:17" s="5" customFormat="1" ht="17.5" customHeight="1" x14ac:dyDescent="0.35">
      <c r="B79" s="185"/>
      <c r="C79" s="274"/>
      <c r="D79" s="201"/>
      <c r="E79" s="201"/>
      <c r="F79" s="211"/>
      <c r="G79" s="6" t="s">
        <v>1217</v>
      </c>
      <c r="H79" s="201"/>
      <c r="I79" s="259" t="s">
        <v>923</v>
      </c>
      <c r="J79" s="44"/>
      <c r="K79" s="259" t="s">
        <v>904</v>
      </c>
      <c r="L79" s="201"/>
      <c r="M79" s="241"/>
      <c r="N79" s="275"/>
      <c r="O79" s="186"/>
      <c r="Q79" s="763"/>
    </row>
    <row r="80" spans="2:17" s="5" customFormat="1" ht="18.5" x14ac:dyDescent="0.35">
      <c r="B80" s="185"/>
      <c r="C80" s="274"/>
      <c r="D80" s="257" t="s">
        <v>1216</v>
      </c>
      <c r="E80" s="201"/>
      <c r="F80" s="211"/>
      <c r="G80" s="948" t="s">
        <v>1255</v>
      </c>
      <c r="H80" s="201"/>
      <c r="I80" s="434" t="s">
        <v>1094</v>
      </c>
      <c r="J80" s="151"/>
      <c r="K80" s="435" t="str">
        <f>IF(I80="Credit Memo","Individual Customers",IF(I80="Check","Corp Check | AP number needed",""))</f>
        <v/>
      </c>
      <c r="L80" s="201"/>
      <c r="M80" s="241"/>
      <c r="N80" s="275"/>
      <c r="O80" s="186"/>
      <c r="Q80" s="763"/>
    </row>
    <row r="81" spans="2:20" s="5" customFormat="1" x14ac:dyDescent="0.3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5" x14ac:dyDescent="0.35">
      <c r="B82" s="185"/>
      <c r="C82" s="274"/>
      <c r="D82" s="201"/>
      <c r="E82" s="151"/>
      <c r="F82" s="922"/>
      <c r="G82" s="925" t="s">
        <v>132</v>
      </c>
      <c r="H82" s="201"/>
      <c r="I82" s="530"/>
      <c r="J82" s="209"/>
      <c r="K82" s="259" t="s">
        <v>557</v>
      </c>
      <c r="L82" s="201"/>
      <c r="M82" s="6" t="s">
        <v>509</v>
      </c>
      <c r="N82" s="275"/>
      <c r="O82" s="186"/>
      <c r="Q82" s="763"/>
    </row>
    <row r="83" spans="2:20" s="5" customFormat="1" ht="18" customHeight="1" x14ac:dyDescent="0.35">
      <c r="B83" s="185"/>
      <c r="C83" s="274"/>
      <c r="D83" s="201"/>
      <c r="E83" s="201"/>
      <c r="F83" s="923" t="s">
        <v>1216</v>
      </c>
      <c r="G83" s="926" t="str">
        <f>IF($E$81="YES","CHECK Business Tools","")</f>
        <v/>
      </c>
      <c r="H83" s="201"/>
      <c r="I83" s="269"/>
      <c r="J83" s="212"/>
      <c r="K83" s="950">
        <v>3</v>
      </c>
      <c r="L83" s="201"/>
      <c r="M83" s="213">
        <f>IFERROR(IF($E81="YES",K83/$G$4,0),0)</f>
        <v>0</v>
      </c>
      <c r="N83" s="275"/>
      <c r="O83" s="186"/>
    </row>
    <row r="84" spans="2:20" s="183" customFormat="1" ht="11.5" customHeight="1" x14ac:dyDescent="0.35">
      <c r="B84" s="281"/>
      <c r="C84" s="215"/>
      <c r="D84" s="221"/>
      <c r="E84" s="221"/>
      <c r="F84" s="924"/>
      <c r="G84" s="924"/>
      <c r="H84" s="221"/>
      <c r="I84" s="221"/>
      <c r="J84" s="221"/>
      <c r="K84" s="221"/>
      <c r="L84" s="221"/>
      <c r="M84" s="221"/>
      <c r="N84" s="282"/>
      <c r="O84" s="283"/>
    </row>
    <row r="85" spans="2:20" s="183" customFormat="1" ht="9" customHeight="1" x14ac:dyDescent="0.35">
      <c r="B85" s="281"/>
      <c r="C85" s="187"/>
      <c r="D85" s="187"/>
      <c r="E85" s="187"/>
      <c r="F85" s="187"/>
      <c r="G85" s="187"/>
      <c r="H85" s="187"/>
      <c r="I85" s="187"/>
      <c r="J85" s="187"/>
      <c r="K85" s="187"/>
      <c r="L85" s="187"/>
      <c r="M85" s="187"/>
      <c r="N85" s="788"/>
      <c r="O85" s="283"/>
    </row>
    <row r="86" spans="2:20" s="183" customFormat="1" ht="13.15" customHeight="1" x14ac:dyDescent="0.35">
      <c r="B86" s="281"/>
      <c r="C86" s="193"/>
      <c r="D86" s="195"/>
      <c r="E86" s="195"/>
      <c r="F86" s="195"/>
      <c r="G86" s="195"/>
      <c r="H86" s="195"/>
      <c r="I86" s="195"/>
      <c r="J86" s="195"/>
      <c r="K86" s="195"/>
      <c r="L86" s="195"/>
      <c r="M86" s="195"/>
      <c r="N86" s="789"/>
      <c r="O86" s="283"/>
    </row>
    <row r="87" spans="2:20" s="183" customFormat="1" ht="13.15" customHeight="1" x14ac:dyDescent="0.35">
      <c r="B87" s="281"/>
      <c r="C87" s="199"/>
      <c r="D87" s="151"/>
      <c r="E87" s="151"/>
      <c r="F87" s="1113" t="s">
        <v>1227</v>
      </c>
      <c r="G87" s="1113"/>
      <c r="H87" s="151"/>
      <c r="I87" s="259" t="s">
        <v>923</v>
      </c>
      <c r="J87" s="151"/>
      <c r="K87" s="259" t="s">
        <v>904</v>
      </c>
      <c r="L87" s="151"/>
      <c r="M87" s="151"/>
      <c r="N87" s="790"/>
      <c r="O87" s="283"/>
    </row>
    <row r="88" spans="2:20" s="183" customFormat="1" ht="18" customHeight="1" x14ac:dyDescent="0.35">
      <c r="B88" s="281"/>
      <c r="C88" s="199"/>
      <c r="D88" s="257" t="s">
        <v>1106</v>
      </c>
      <c r="E88" s="151"/>
      <c r="F88" s="1113"/>
      <c r="G88" s="1113"/>
      <c r="H88" s="151"/>
      <c r="I88" s="434" t="s">
        <v>1094</v>
      </c>
      <c r="J88" s="151"/>
      <c r="K88" s="435" t="str">
        <f>IF(I88="Credit Memo","Individual Customers",IF(I88="Check","Corp Check | AP number needed",""))</f>
        <v/>
      </c>
      <c r="L88" s="151"/>
      <c r="M88" s="151"/>
      <c r="N88" s="790"/>
      <c r="O88" s="283"/>
    </row>
    <row r="89" spans="2:20" s="183" customFormat="1" x14ac:dyDescent="0.35">
      <c r="B89" s="281"/>
      <c r="C89" s="199"/>
      <c r="D89" s="204" t="s">
        <v>553</v>
      </c>
      <c r="E89" s="73" t="s">
        <v>556</v>
      </c>
      <c r="F89" s="1113"/>
      <c r="G89" s="1113"/>
      <c r="H89" s="151"/>
      <c r="I89" s="151"/>
      <c r="J89" s="151"/>
      <c r="K89" s="151"/>
      <c r="L89" s="151"/>
      <c r="M89" s="151"/>
      <c r="N89" s="790"/>
      <c r="O89" s="283"/>
      <c r="Q89" s="760" t="str">
        <f>IF($D$94=0,"",IF($E89="NO","",IF($I88="Select Payment Method","X","")))</f>
        <v/>
      </c>
    </row>
    <row r="90" spans="2:20" s="183" customFormat="1" ht="15.5" x14ac:dyDescent="0.35">
      <c r="B90" s="281"/>
      <c r="C90" s="199"/>
      <c r="D90" s="764"/>
      <c r="E90" s="765"/>
      <c r="F90" s="270"/>
      <c r="G90" s="6" t="s">
        <v>1108</v>
      </c>
      <c r="H90" s="151"/>
      <c r="I90" s="151"/>
      <c r="J90" s="151"/>
      <c r="K90" s="530"/>
      <c r="L90" s="201"/>
      <c r="M90" s="6" t="s">
        <v>509</v>
      </c>
      <c r="N90" s="790"/>
      <c r="O90" s="283"/>
    </row>
    <row r="91" spans="2:20" s="183" customFormat="1" ht="18" customHeight="1" x14ac:dyDescent="0.35">
      <c r="B91" s="281"/>
      <c r="C91" s="199"/>
      <c r="D91" s="151"/>
      <c r="E91" s="765"/>
      <c r="F91" s="211" t="s">
        <v>1107</v>
      </c>
      <c r="G91" s="952"/>
      <c r="H91" s="151"/>
      <c r="I91" s="151"/>
      <c r="J91" s="151"/>
      <c r="K91" s="241"/>
      <c r="L91" s="201"/>
      <c r="M91" s="213">
        <f>IFERROR(IF($E89="YES",$G$91*$H$10,0),0)</f>
        <v>0</v>
      </c>
      <c r="N91" s="790"/>
      <c r="O91" s="283"/>
    </row>
    <row r="92" spans="2:20" s="183" customFormat="1" ht="11.5" customHeight="1" x14ac:dyDescent="0.35">
      <c r="B92" s="281"/>
      <c r="C92" s="215"/>
      <c r="D92" s="221"/>
      <c r="E92" s="221"/>
      <c r="F92" s="221"/>
      <c r="G92" s="989" t="str">
        <f>IFERROR(_xlfn.CONCAT("Max ",ROUNDUP((((VLOOKUP('Variable Selling'!$A$2,'CC MARKET EXPENSE'!$A:$D,4,0))*100)*((VLOOKUP(D88,'Incentive Helper'!$A:$B,2,0))/100))/0.25,0)*0.25),"")</f>
        <v/>
      </c>
      <c r="H92" s="221"/>
      <c r="I92" s="221"/>
      <c r="J92" s="221"/>
      <c r="K92" s="221"/>
      <c r="L92" s="221"/>
      <c r="M92" s="221"/>
      <c r="N92" s="282"/>
      <c r="O92" s="283"/>
    </row>
    <row r="93" spans="2:20" s="183" customFormat="1" ht="24" customHeight="1" x14ac:dyDescent="0.35">
      <c r="B93" s="281"/>
      <c r="C93" s="187"/>
      <c r="E93" s="187"/>
      <c r="F93" s="187"/>
      <c r="G93" s="187"/>
      <c r="H93" s="187"/>
      <c r="I93" s="187"/>
      <c r="J93" s="187"/>
      <c r="K93" s="187"/>
      <c r="L93" s="187"/>
      <c r="M93" s="284"/>
      <c r="N93" s="187"/>
      <c r="O93" s="283"/>
      <c r="P93" s="187"/>
      <c r="Q93" s="187"/>
      <c r="R93" s="187"/>
    </row>
    <row r="94" spans="2:20" s="286" customFormat="1" ht="24" customHeight="1" x14ac:dyDescent="0.45">
      <c r="B94" s="285"/>
      <c r="D94" s="791">
        <f>'Customer Inputs'!$H$17</f>
        <v>0</v>
      </c>
      <c r="L94" s="287" t="s">
        <v>233</v>
      </c>
      <c r="M94" s="288">
        <f>SUM($M$17:$M$20)+SUM($M$28:$M$31)+SUM($M$39:$M$42)+$M$58+$M$66+$M$83+$M$91+$M$50+$M$75</f>
        <v>0</v>
      </c>
      <c r="O94" s="289"/>
      <c r="R94" s="436"/>
      <c r="S94" s="436"/>
      <c r="T94" s="437"/>
    </row>
    <row r="95" spans="2:20" s="286" customFormat="1" ht="27.65" customHeight="1" x14ac:dyDescent="0.45">
      <c r="B95" s="285"/>
      <c r="L95" s="287"/>
      <c r="M95" s="758" t="str">
        <f>IF(M97&gt;0,"**Select Payment Method Above**","")</f>
        <v/>
      </c>
      <c r="N95" s="528" t="s">
        <v>207</v>
      </c>
      <c r="O95" s="289"/>
    </row>
    <row r="96" spans="2:20" ht="24" customHeight="1" x14ac:dyDescent="0.35">
      <c r="B96" s="143"/>
      <c r="L96" s="287" t="s">
        <v>234</v>
      </c>
      <c r="M96" s="290">
        <f>IFERROR($M$94/'PIM Model'!$G$31,0)</f>
        <v>0</v>
      </c>
      <c r="N96" s="529">
        <v>0.05</v>
      </c>
      <c r="O96" s="144"/>
      <c r="P96"/>
    </row>
    <row r="97" spans="2:16" ht="24" customHeight="1" thickBot="1" x14ac:dyDescent="0.4">
      <c r="B97" s="291"/>
      <c r="C97" s="292"/>
      <c r="D97" s="292"/>
      <c r="E97" s="292"/>
      <c r="F97" s="292"/>
      <c r="G97" s="292"/>
      <c r="H97" s="292"/>
      <c r="I97" s="292"/>
      <c r="J97" s="292"/>
      <c r="K97" s="292"/>
      <c r="L97" s="725"/>
      <c r="M97" s="759">
        <f>COUNTIF($Q$14:$Q$92,"X")</f>
        <v>0</v>
      </c>
      <c r="N97" s="726"/>
      <c r="O97" s="293"/>
      <c r="P97"/>
    </row>
    <row r="98" spans="2:16" ht="48.65" customHeight="1" x14ac:dyDescent="0.35">
      <c r="C98" s="1115"/>
      <c r="D98" s="1115"/>
      <c r="I98" s="724"/>
      <c r="L98" s="5"/>
      <c r="M98" s="1116"/>
      <c r="N98" s="1116"/>
      <c r="P98"/>
    </row>
  </sheetData>
  <sheetProtection algorithmName="SHA-512" hashValue="pFELqsOMb2bmpp7wwt2sNhcYaouGiH+8cK3v8VLp/P5GUc9QIxroSb4tbSIV1FL8Gl14fOuqBfQD3APzeqppLg==" saltValue="erMPxbmoP3Yc/ozJsY7exg=="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48" priority="43">
      <formula>$M$97&gt;0</formula>
    </cfRule>
    <cfRule type="cellIs" dxfId="147" priority="65" operator="lessThan">
      <formula>$N$96</formula>
    </cfRule>
    <cfRule type="cellIs" dxfId="146" priority="66" operator="greaterThan">
      <formula>$N$96</formula>
    </cfRule>
  </conditionalFormatting>
  <conditionalFormatting sqref="G18:G20 I18:I20 I14">
    <cfRule type="expression" dxfId="145" priority="56">
      <formula>$E$15="YES"</formula>
    </cfRule>
  </conditionalFormatting>
  <conditionalFormatting sqref="I29:I31 I25 G29:G31">
    <cfRule type="expression" dxfId="144" priority="55">
      <formula>$E$26="YES"</formula>
    </cfRule>
  </conditionalFormatting>
  <conditionalFormatting sqref="K83 I80">
    <cfRule type="expression" dxfId="143" priority="53">
      <formula>$E$81="YES"</formula>
    </cfRule>
  </conditionalFormatting>
  <conditionalFormatting sqref="K58 I55">
    <cfRule type="expression" dxfId="142" priority="51">
      <formula>$E$56="YES"</formula>
    </cfRule>
  </conditionalFormatting>
  <conditionalFormatting sqref="I36 G40:G42 I39:I42">
    <cfRule type="expression" dxfId="141" priority="47">
      <formula>$E$37="YES"</formula>
    </cfRule>
  </conditionalFormatting>
  <conditionalFormatting sqref="G58">
    <cfRule type="expression" dxfId="140" priority="49">
      <formula>$E$56="YES"</formula>
    </cfRule>
  </conditionalFormatting>
  <conditionalFormatting sqref="I88">
    <cfRule type="expression" dxfId="139" priority="40">
      <formula>$E$89="YES"</formula>
    </cfRule>
  </conditionalFormatting>
  <conditionalFormatting sqref="G80">
    <cfRule type="expression" dxfId="138" priority="31">
      <formula>$E$81="YES"</formula>
    </cfRule>
  </conditionalFormatting>
  <conditionalFormatting sqref="G14">
    <cfRule type="expression" dxfId="137" priority="27">
      <formula>$E$15="YES"</formula>
    </cfRule>
  </conditionalFormatting>
  <conditionalFormatting sqref="G47 I47 G50 I50">
    <cfRule type="expression" dxfId="136" priority="24">
      <formula>$E$48="YES"</formula>
    </cfRule>
  </conditionalFormatting>
  <conditionalFormatting sqref="K66 I63">
    <cfRule type="expression" dxfId="135" priority="22">
      <formula>$E$64="YES"</formula>
    </cfRule>
  </conditionalFormatting>
  <conditionalFormatting sqref="G63">
    <cfRule type="expression" dxfId="134" priority="21">
      <formula>$E$64="YES"</formula>
    </cfRule>
  </conditionalFormatting>
  <conditionalFormatting sqref="G25">
    <cfRule type="expression" dxfId="133" priority="18">
      <formula>$E$26="YES"</formula>
    </cfRule>
  </conditionalFormatting>
  <conditionalFormatting sqref="G36">
    <cfRule type="expression" dxfId="132" priority="17">
      <formula>$E$37="YES"</formula>
    </cfRule>
  </conditionalFormatting>
  <conditionalFormatting sqref="G55">
    <cfRule type="expression" dxfId="131" priority="16">
      <formula>$E$56="YES"</formula>
    </cfRule>
  </conditionalFormatting>
  <conditionalFormatting sqref="G91">
    <cfRule type="expression" dxfId="130" priority="11">
      <formula>$E$89="YES"</formula>
    </cfRule>
  </conditionalFormatting>
  <conditionalFormatting sqref="K71 I71 G75 K75 I75">
    <cfRule type="expression" dxfId="129" priority="119">
      <formula>$E$72="YES"</formula>
    </cfRule>
  </conditionalFormatting>
  <conditionalFormatting sqref="G71">
    <cfRule type="expression" dxfId="128" priority="6">
      <formula>$E$72="YES"</formula>
    </cfRule>
  </conditionalFormatting>
  <conditionalFormatting sqref="I64">
    <cfRule type="expression" dxfId="127" priority="120">
      <formula>$K$66+$K$71&gt;=10000</formula>
    </cfRule>
  </conditionalFormatting>
  <conditionalFormatting sqref="M72">
    <cfRule type="expression" dxfId="126" priority="2">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operator="lessThan" allowBlank="1" showInputMessage="1" showErrorMessage="1" error="Cannot exceed 1.5%" sqref="G91" xr:uid="{28FE455C-41BD-4740-80B3-E31A1D2CE6E6}"/>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5A9FE5C8-083C-4750-9735-5741674A7BB6}">
            <xm:f>$G$91&gt;ROUNDUP((((VLOOKUP('Variable Selling'!$A$2,'CC MARKET EXPENSE'!$A:$D,4,0))*100)*VLOOKUP(D88,'Incentive Helper'!$A:$B,2,0)/100)/0.25,0)*0.25/100</xm:f>
            <x14:dxf>
              <numFmt numFmtId="14" formatCode="0.00%"/>
              <fill>
                <patternFill>
                  <bgColor rgb="FFFF0000"/>
                </patternFill>
              </fill>
              <border>
                <left style="thin">
                  <color auto="1"/>
                </left>
                <right style="thin">
                  <color auto="1"/>
                </right>
                <top style="thin">
                  <color auto="1"/>
                </top>
                <bottom style="thin">
                  <color auto="1"/>
                </bottom>
                <vertical/>
                <horizontal/>
              </border>
            </x14:dxf>
          </x14:cfRule>
          <xm:sqref>G91</xm:sqref>
        </x14:conditionalFormatting>
        <x14:conditionalFormatting xmlns:xm="http://schemas.microsoft.com/office/excel/2006/main">
          <x14:cfRule type="expression" priority="28"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9"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xm:sqref>
        </x14:dataValidation>
        <x14:dataValidation type="list" allowBlank="1" showInputMessage="1" showErrorMessage="1" xr:uid="{54F02139-29F4-43C4-8BF1-8D993F7C3489}">
          <x14:formula1>
            <xm:f>Lookups!$AI$1:$AI$4</xm:f>
          </x14:formula1>
          <xm:sqref>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B3" sqref="B3"/>
    </sheetView>
  </sheetViews>
  <sheetFormatPr defaultRowHeight="14.5" x14ac:dyDescent="0.35"/>
  <sheetData>
    <row r="1" spans="1:3" x14ac:dyDescent="0.35">
      <c r="A1" s="1011" t="s">
        <v>1325</v>
      </c>
      <c r="B1" t="s">
        <v>1323</v>
      </c>
      <c r="C1" t="s">
        <v>132</v>
      </c>
    </row>
    <row r="2" spans="1:3" x14ac:dyDescent="0.35">
      <c r="A2" t="s">
        <v>1106</v>
      </c>
      <c r="B2">
        <v>50</v>
      </c>
      <c r="C2" t="s">
        <v>1324</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1640625" defaultRowHeight="14.5" x14ac:dyDescent="0.35"/>
  <cols>
    <col min="1" max="1" width="2.7265625" style="5" customWidth="1"/>
    <col min="2" max="2" width="4.81640625" style="5" customWidth="1"/>
    <col min="3" max="3" width="7.26953125" style="5" customWidth="1"/>
    <col min="4" max="4" width="23.1796875" style="5" bestFit="1" customWidth="1"/>
    <col min="5" max="5" width="27.54296875" style="5" customWidth="1"/>
    <col min="6" max="6" width="7.26953125" style="5" customWidth="1"/>
    <col min="7" max="7" width="17.7265625" style="5" bestFit="1" customWidth="1"/>
    <col min="8" max="8" width="7.26953125" style="5" customWidth="1"/>
    <col min="9" max="9" width="15.26953125" style="5" customWidth="1"/>
    <col min="10" max="10" width="3.7265625" style="5" customWidth="1"/>
    <col min="11" max="11" width="7.26953125" style="5" customWidth="1"/>
    <col min="12" max="12" width="4.81640625" style="5" customWidth="1"/>
    <col min="13" max="19" width="9.81640625" style="5" customWidth="1"/>
    <col min="20" max="20" width="13.1796875" style="5" customWidth="1"/>
    <col min="21" max="21" width="8.81640625" style="5" customWidth="1"/>
    <col min="22" max="22" width="10.54296875" style="5" customWidth="1"/>
    <col min="23" max="16384" width="8.81640625" style="5"/>
  </cols>
  <sheetData>
    <row r="1" spans="2:23" ht="15" customHeight="1" thickBot="1" x14ac:dyDescent="0.4"/>
    <row r="2" spans="2:23" ht="32.5" customHeight="1" thickBot="1" x14ac:dyDescent="0.4">
      <c r="B2" s="755"/>
      <c r="C2" s="1128" t="s">
        <v>215</v>
      </c>
      <c r="D2" s="1128"/>
      <c r="E2" s="1128"/>
      <c r="F2" s="557"/>
      <c r="G2" s="179"/>
      <c r="H2" s="179"/>
      <c r="I2" s="179"/>
      <c r="J2" s="179"/>
      <c r="K2" s="179"/>
      <c r="L2" s="182"/>
    </row>
    <row r="3" spans="2:23" x14ac:dyDescent="0.35">
      <c r="B3" s="185"/>
      <c r="C3" s="1137" t="s">
        <v>381</v>
      </c>
      <c r="D3" s="1138"/>
      <c r="E3" s="425">
        <f>Welcome!$D$8</f>
        <v>0</v>
      </c>
      <c r="F3" s="429"/>
      <c r="G3" s="523" t="s">
        <v>110</v>
      </c>
      <c r="H3" s="1133" t="str">
        <f>IFERROR(VLOOKUP($H$4,'Market Geography'!$D:$G,4,FALSE),"Select Market")</f>
        <v>Select Market</v>
      </c>
      <c r="I3" s="1133"/>
      <c r="J3" s="1133"/>
      <c r="K3" s="1134"/>
      <c r="L3" s="186"/>
    </row>
    <row r="4" spans="2:23" x14ac:dyDescent="0.35">
      <c r="B4" s="185"/>
      <c r="C4" s="1139" t="s">
        <v>216</v>
      </c>
      <c r="D4" s="1140"/>
      <c r="E4" s="393">
        <f>Welcome!$D$12</f>
        <v>0</v>
      </c>
      <c r="F4" s="558"/>
      <c r="G4" s="524" t="s">
        <v>120</v>
      </c>
      <c r="H4" s="1135">
        <f>Welcome!$D$4</f>
        <v>0</v>
      </c>
      <c r="I4" s="1135"/>
      <c r="J4" s="1135"/>
      <c r="K4" s="1136"/>
      <c r="L4" s="186"/>
    </row>
    <row r="5" spans="2:23" x14ac:dyDescent="0.35">
      <c r="B5" s="185"/>
      <c r="C5" s="1139" t="s">
        <v>202</v>
      </c>
      <c r="D5" s="1140"/>
      <c r="E5" s="149">
        <f>'PIM Model'!$G$31</f>
        <v>0</v>
      </c>
      <c r="F5" s="559"/>
      <c r="G5" s="524" t="s">
        <v>107</v>
      </c>
      <c r="H5" s="1135" t="str">
        <f>'Multi-Customer'!$M$47</f>
        <v>Enter Customer(s)</v>
      </c>
      <c r="I5" s="1135"/>
      <c r="J5" s="1135"/>
      <c r="K5" s="1136"/>
      <c r="L5" s="186"/>
    </row>
    <row r="6" spans="2:23" x14ac:dyDescent="0.35">
      <c r="B6" s="185"/>
      <c r="C6" s="1139" t="s">
        <v>493</v>
      </c>
      <c r="D6" s="1140"/>
      <c r="E6" s="150">
        <f>'PIM Model'!$E$6</f>
        <v>0</v>
      </c>
      <c r="F6" s="429"/>
      <c r="G6" s="524" t="s">
        <v>410</v>
      </c>
      <c r="H6" s="1135" t="str">
        <f>'Multi-Customer'!$M$83</f>
        <v>MULTIPLE MENU TYPES</v>
      </c>
      <c r="I6" s="1135"/>
      <c r="J6" s="1135"/>
      <c r="K6" s="1136"/>
      <c r="L6" s="186"/>
      <c r="R6" s="560"/>
    </row>
    <row r="7" spans="2:23" ht="15" thickBot="1" x14ac:dyDescent="0.4">
      <c r="B7" s="185"/>
      <c r="C7" s="1145" t="s">
        <v>547</v>
      </c>
      <c r="D7" s="1146"/>
      <c r="E7" s="426">
        <f>IFERROR('PIM Ranges'!$AU$3,0)</f>
        <v>0</v>
      </c>
      <c r="F7" s="184"/>
      <c r="G7" s="525" t="s">
        <v>225</v>
      </c>
      <c r="H7" s="1143" t="s">
        <v>211</v>
      </c>
      <c r="I7" s="1143"/>
      <c r="J7" s="1143"/>
      <c r="K7" s="1144"/>
      <c r="L7" s="186"/>
      <c r="P7" s="184"/>
      <c r="Q7" s="159"/>
      <c r="R7" s="561"/>
      <c r="S7" s="140"/>
      <c r="T7" s="159"/>
      <c r="U7" s="184"/>
      <c r="V7" s="159"/>
      <c r="W7" s="184"/>
    </row>
    <row r="8" spans="2:23" ht="13.9" customHeight="1" x14ac:dyDescent="0.35">
      <c r="B8" s="185"/>
      <c r="D8" s="142"/>
      <c r="E8" s="1099"/>
      <c r="F8" s="1099"/>
      <c r="G8"/>
      <c r="H8"/>
      <c r="I8" s="440"/>
      <c r="J8" s="27"/>
      <c r="K8" s="27"/>
      <c r="L8" s="186"/>
      <c r="P8" s="184"/>
      <c r="Q8" s="142"/>
      <c r="R8" s="562"/>
      <c r="S8" s="140"/>
      <c r="T8" s="231"/>
      <c r="U8" s="184"/>
      <c r="V8" s="232"/>
      <c r="W8" s="184"/>
    </row>
    <row r="9" spans="2:23" ht="13.9" customHeight="1" x14ac:dyDescent="0.35">
      <c r="B9" s="185"/>
      <c r="C9" s="279"/>
      <c r="D9" s="563"/>
      <c r="E9" s="195"/>
      <c r="F9" s="194"/>
      <c r="G9" s="194"/>
      <c r="H9" s="194"/>
      <c r="I9" s="564"/>
      <c r="J9" s="564"/>
      <c r="K9" s="565"/>
      <c r="L9" s="186"/>
      <c r="P9" s="184"/>
      <c r="Q9" s="142"/>
      <c r="R9" s="562"/>
      <c r="S9" s="140"/>
      <c r="T9" s="231"/>
      <c r="U9" s="184"/>
      <c r="V9" s="232"/>
      <c r="W9" s="184"/>
    </row>
    <row r="10" spans="2:23" ht="26.5" customHeight="1" x14ac:dyDescent="0.35">
      <c r="B10" s="185"/>
      <c r="C10" s="274"/>
      <c r="D10" s="6" t="s">
        <v>125</v>
      </c>
      <c r="E10" s="714" t="s">
        <v>126</v>
      </c>
      <c r="F10" s="201"/>
      <c r="G10" s="714" t="s">
        <v>376</v>
      </c>
      <c r="H10" s="201"/>
      <c r="I10" s="1131" t="s">
        <v>754</v>
      </c>
      <c r="J10" s="1131"/>
      <c r="K10" s="275"/>
      <c r="L10" s="186"/>
      <c r="P10" s="184"/>
      <c r="Q10" s="184"/>
      <c r="R10" s="566"/>
      <c r="S10" s="184"/>
      <c r="T10" s="184"/>
      <c r="U10" s="184"/>
      <c r="V10" s="184"/>
      <c r="W10" s="184"/>
    </row>
    <row r="11" spans="2:23" ht="23.5" customHeight="1" x14ac:dyDescent="0.35">
      <c r="B11" s="185"/>
      <c r="C11" s="274"/>
      <c r="D11" s="567" t="s">
        <v>205</v>
      </c>
      <c r="E11" s="568">
        <f>'Variable Costs (Back)'!$AE$25</f>
        <v>0</v>
      </c>
      <c r="F11" s="201"/>
      <c r="G11" s="569">
        <f>IFERROR(E11/'PIM Model'!$H$31,0)</f>
        <v>0</v>
      </c>
      <c r="H11" s="201"/>
      <c r="I11" s="1126" t="str">
        <f>IFERROR($E11/$E$5,"")</f>
        <v/>
      </c>
      <c r="J11" s="1126"/>
      <c r="K11" s="275"/>
      <c r="L11" s="186"/>
      <c r="R11" s="560"/>
    </row>
    <row r="12" spans="2:23" ht="36" customHeight="1" x14ac:dyDescent="0.35">
      <c r="B12" s="185"/>
      <c r="C12" s="274"/>
      <c r="D12" s="1127" t="s">
        <v>712</v>
      </c>
      <c r="E12" s="1127"/>
      <c r="F12" s="570"/>
      <c r="G12" s="571"/>
      <c r="H12" s="201"/>
      <c r="I12" s="572"/>
      <c r="J12" s="573"/>
      <c r="K12" s="275"/>
      <c r="L12" s="186"/>
    </row>
    <row r="13" spans="2:23" s="864" customFormat="1" ht="23.5" customHeight="1" x14ac:dyDescent="0.35">
      <c r="B13" s="185"/>
      <c r="C13" s="274"/>
      <c r="D13" s="567" t="s">
        <v>1228</v>
      </c>
      <c r="E13" s="568">
        <f>'Tracking &amp; Profitability'!E26*-1</f>
        <v>0</v>
      </c>
      <c r="F13" s="201"/>
      <c r="G13" s="569">
        <f>'Tracking &amp; Profitability'!G26*-1</f>
        <v>0</v>
      </c>
      <c r="H13" s="201"/>
      <c r="I13" s="1126" t="str">
        <f>IFERROR(E13/E5,"")</f>
        <v/>
      </c>
      <c r="J13" s="1126"/>
      <c r="K13" s="275"/>
      <c r="L13" s="186"/>
    </row>
    <row r="14" spans="2:23" s="864" customFormat="1" ht="36.65" customHeight="1" x14ac:dyDescent="0.35">
      <c r="B14" s="185"/>
      <c r="C14" s="274"/>
      <c r="D14" s="1127" t="s">
        <v>1229</v>
      </c>
      <c r="E14" s="1127"/>
      <c r="F14" s="570"/>
      <c r="G14" s="571"/>
      <c r="H14" s="201"/>
      <c r="I14" s="572"/>
      <c r="J14" s="573"/>
      <c r="K14" s="275"/>
      <c r="L14" s="186"/>
    </row>
    <row r="15" spans="2:23" ht="23.5" customHeight="1" x14ac:dyDescent="0.35">
      <c r="B15" s="185"/>
      <c r="C15" s="274"/>
      <c r="D15" s="567" t="s">
        <v>204</v>
      </c>
      <c r="E15" s="568">
        <f>'Variable Costs (Back)'!$AF$25</f>
        <v>0</v>
      </c>
      <c r="F15" s="201"/>
      <c r="G15" s="569">
        <f>IFERROR(E15/'PIM Model'!$H$31,0)</f>
        <v>0</v>
      </c>
      <c r="H15" s="201"/>
      <c r="I15" s="1126" t="str">
        <f>IFERROR($E15/$E$5,"")</f>
        <v/>
      </c>
      <c r="J15" s="1126"/>
      <c r="K15" s="275"/>
      <c r="L15" s="186"/>
    </row>
    <row r="16" spans="2:23" ht="26.5" customHeight="1" x14ac:dyDescent="0.35">
      <c r="B16" s="185"/>
      <c r="C16" s="274"/>
      <c r="D16" s="1141" t="s">
        <v>714</v>
      </c>
      <c r="E16" s="1141"/>
      <c r="F16" s="570"/>
      <c r="G16" s="571"/>
      <c r="H16" s="201"/>
      <c r="I16" s="572"/>
      <c r="J16" s="573"/>
      <c r="K16" s="275"/>
      <c r="L16" s="186"/>
    </row>
    <row r="17" spans="2:12" ht="23.5" customHeight="1" thickBot="1" x14ac:dyDescent="0.4">
      <c r="B17" s="185"/>
      <c r="C17" s="274"/>
      <c r="D17" s="567" t="s">
        <v>203</v>
      </c>
      <c r="E17" s="574">
        <f>'Variable Costs (Back)'!$AD$25</f>
        <v>0</v>
      </c>
      <c r="F17" s="201"/>
      <c r="G17" s="575">
        <f>IFERROR(E17/'PIM Model'!$H$31,0)</f>
        <v>0</v>
      </c>
      <c r="H17" s="201"/>
      <c r="I17" s="1129" t="str">
        <f>IFERROR($E17/$E$5,"")</f>
        <v/>
      </c>
      <c r="J17" s="1129"/>
      <c r="K17" s="275"/>
      <c r="L17" s="186"/>
    </row>
    <row r="18" spans="2:12" ht="25.9" customHeight="1" thickTop="1" x14ac:dyDescent="0.35">
      <c r="B18" s="185"/>
      <c r="C18" s="274"/>
      <c r="D18" s="1141" t="s">
        <v>713</v>
      </c>
      <c r="E18" s="1142"/>
      <c r="F18" s="570"/>
      <c r="G18" s="571"/>
      <c r="H18" s="201"/>
      <c r="I18" s="573"/>
      <c r="J18" s="573"/>
      <c r="K18" s="275"/>
      <c r="L18" s="186"/>
    </row>
    <row r="19" spans="2:12" ht="25.15" customHeight="1" x14ac:dyDescent="0.35">
      <c r="B19" s="185"/>
      <c r="C19" s="274"/>
      <c r="D19" s="576" t="s">
        <v>235</v>
      </c>
      <c r="E19" s="577">
        <f>E11+E15+E17+E13</f>
        <v>0</v>
      </c>
      <c r="F19" s="201"/>
      <c r="G19" s="578">
        <f>IFERROR(E19/'PIM Model'!$H$31,0)</f>
        <v>0</v>
      </c>
      <c r="H19" s="579"/>
      <c r="I19" s="1130" t="str">
        <f>IFERROR($E19/$E$5,"")</f>
        <v/>
      </c>
      <c r="J19" s="1130"/>
      <c r="K19" s="275"/>
      <c r="L19" s="186"/>
    </row>
    <row r="20" spans="2:12" ht="13.9" customHeight="1" x14ac:dyDescent="0.35">
      <c r="B20" s="185"/>
      <c r="C20" s="276"/>
      <c r="D20" s="262"/>
      <c r="E20" s="262"/>
      <c r="F20" s="262"/>
      <c r="G20" s="262"/>
      <c r="H20" s="262"/>
      <c r="I20" s="580"/>
      <c r="J20" s="580"/>
      <c r="K20" s="277"/>
      <c r="L20" s="186"/>
    </row>
    <row r="21" spans="2:12" s="184" customFormat="1" ht="13.9" customHeight="1" x14ac:dyDescent="0.35">
      <c r="B21" s="581"/>
      <c r="L21" s="190"/>
    </row>
    <row r="22" spans="2:12" ht="13.9" customHeight="1" x14ac:dyDescent="0.35">
      <c r="B22" s="185"/>
      <c r="C22" s="279"/>
      <c r="D22" s="194"/>
      <c r="E22" s="194"/>
      <c r="F22" s="194"/>
      <c r="G22" s="194"/>
      <c r="H22" s="194"/>
      <c r="I22" s="582"/>
      <c r="J22" s="582"/>
      <c r="K22" s="280"/>
      <c r="L22" s="186"/>
    </row>
    <row r="23" spans="2:12" ht="16.149999999999999" customHeight="1" x14ac:dyDescent="0.35">
      <c r="B23" s="185"/>
      <c r="C23" s="274"/>
      <c r="D23" s="583" t="s">
        <v>990</v>
      </c>
      <c r="E23" s="584">
        <f>IFERROR('EB_CM (Back)'!$J$47,0)</f>
        <v>0</v>
      </c>
      <c r="F23" s="201"/>
      <c r="G23" s="585">
        <f>IFERROR(E23/'PIM Model'!$H$31,0)</f>
        <v>0</v>
      </c>
      <c r="H23" s="201"/>
      <c r="I23" s="1126" t="str">
        <f>IFERROR($E23/$E$5,"")</f>
        <v/>
      </c>
      <c r="J23" s="1126"/>
      <c r="K23" s="275"/>
      <c r="L23" s="186"/>
    </row>
    <row r="24" spans="2:12" ht="16.149999999999999" customHeight="1" x14ac:dyDescent="0.35">
      <c r="B24" s="185"/>
      <c r="C24" s="274"/>
      <c r="D24" s="1132" t="s">
        <v>971</v>
      </c>
      <c r="E24" s="1132"/>
      <c r="F24" s="570"/>
      <c r="G24" s="571"/>
      <c r="H24" s="201"/>
      <c r="I24" s="573"/>
      <c r="J24" s="573"/>
      <c r="K24" s="275"/>
      <c r="L24" s="186"/>
    </row>
    <row r="25" spans="2:12" ht="13.9" customHeight="1" x14ac:dyDescent="0.35">
      <c r="B25" s="185"/>
      <c r="C25" s="276"/>
      <c r="D25" s="586"/>
      <c r="E25" s="587"/>
      <c r="F25" s="262"/>
      <c r="G25" s="588"/>
      <c r="H25" s="262"/>
      <c r="I25" s="580"/>
      <c r="J25" s="580"/>
      <c r="K25" s="277"/>
      <c r="L25" s="186"/>
    </row>
    <row r="26" spans="2:12" ht="13.9" customHeight="1" x14ac:dyDescent="0.35">
      <c r="B26" s="185"/>
      <c r="C26" s="184"/>
      <c r="D26" s="184"/>
      <c r="E26" s="184"/>
      <c r="H26" s="184"/>
      <c r="I26" s="184"/>
      <c r="J26" s="184"/>
      <c r="K26" s="184"/>
      <c r="L26" s="186"/>
    </row>
    <row r="27" spans="2:12" ht="13.9" customHeight="1" x14ac:dyDescent="0.35">
      <c r="B27" s="185"/>
      <c r="C27" s="279"/>
      <c r="D27" s="194"/>
      <c r="E27" s="194"/>
      <c r="F27" s="194"/>
      <c r="G27" s="194"/>
      <c r="H27" s="194"/>
      <c r="I27" s="582"/>
      <c r="J27" s="582"/>
      <c r="K27" s="280"/>
      <c r="L27" s="186"/>
    </row>
    <row r="28" spans="2:12" ht="26.5" customHeight="1" x14ac:dyDescent="0.35">
      <c r="B28" s="185"/>
      <c r="C28" s="274"/>
      <c r="D28" s="6" t="s">
        <v>224</v>
      </c>
      <c r="E28" s="714" t="s">
        <v>126</v>
      </c>
      <c r="F28" s="201"/>
      <c r="G28" s="714" t="s">
        <v>376</v>
      </c>
      <c r="H28" s="201"/>
      <c r="I28" s="1131" t="s">
        <v>754</v>
      </c>
      <c r="J28" s="1131"/>
      <c r="K28" s="275"/>
      <c r="L28" s="186"/>
    </row>
    <row r="29" spans="2:12" ht="25.15" customHeight="1" x14ac:dyDescent="0.35">
      <c r="B29" s="185"/>
      <c r="C29" s="274"/>
      <c r="D29" s="583" t="s">
        <v>228</v>
      </c>
      <c r="E29" s="584">
        <f>IFERROR('EB_CM (Back)'!$I$47,0)</f>
        <v>0</v>
      </c>
      <c r="F29" s="201"/>
      <c r="G29" s="569">
        <f>IFERROR(E29/'PIM Model'!$H$31,0)</f>
        <v>0</v>
      </c>
      <c r="H29" s="201"/>
      <c r="I29" s="1126" t="str">
        <f>IFERROR($E29/$E$5,"")</f>
        <v/>
      </c>
      <c r="J29" s="1126"/>
      <c r="K29" s="275"/>
      <c r="L29" s="186"/>
    </row>
    <row r="30" spans="2:12" ht="17.5" customHeight="1" x14ac:dyDescent="0.35">
      <c r="B30" s="185"/>
      <c r="C30" s="274"/>
      <c r="D30" s="583" t="s">
        <v>227</v>
      </c>
      <c r="E30" s="584">
        <f>IFERROR(VLOOKUP($H$4,'Variable Div Avgs'!$D:$L,9,FALSE)*'PIM Model'!$H$31,0)</f>
        <v>0</v>
      </c>
      <c r="F30" s="201"/>
      <c r="G30" s="569">
        <f>IFERROR(E30/'PIM Model'!$H$31,0)</f>
        <v>0</v>
      </c>
      <c r="H30" s="201"/>
      <c r="I30" s="1126" t="str">
        <f>IFERROR($E30/$E$5,"")</f>
        <v/>
      </c>
      <c r="J30" s="1126"/>
      <c r="K30" s="275"/>
      <c r="L30" s="186"/>
    </row>
    <row r="31" spans="2:12" ht="27.65" customHeight="1" x14ac:dyDescent="0.35">
      <c r="B31" s="185"/>
      <c r="C31" s="589"/>
      <c r="D31" s="1141" t="s">
        <v>237</v>
      </c>
      <c r="E31" s="1141"/>
      <c r="F31" s="590"/>
      <c r="G31" s="590"/>
      <c r="H31" s="590"/>
      <c r="I31" s="580"/>
      <c r="J31" s="580"/>
      <c r="K31" s="277"/>
      <c r="L31" s="186"/>
    </row>
    <row r="32" spans="2:12" ht="21.65" customHeight="1" thickBot="1" x14ac:dyDescent="0.4">
      <c r="B32" s="717"/>
      <c r="C32" s="710"/>
      <c r="D32" s="710"/>
      <c r="E32" s="710"/>
      <c r="F32" s="710"/>
      <c r="G32" s="710"/>
      <c r="H32" s="710"/>
      <c r="I32" s="710"/>
      <c r="J32" s="710"/>
      <c r="K32" s="710"/>
      <c r="L32" s="718"/>
    </row>
    <row r="33" ht="39" customHeight="1" x14ac:dyDescent="0.35"/>
  </sheetData>
  <sheetProtection algorithmName="SHA-512" hashValue="uyyFFe1h+T6mYj7T0ZxF7rMiacsg8SE9ad5NMugfurEy0HGneq2EX2OMlw1SR2iTDsd+btTxHJq+vMjfoA7wvg==" saltValue="gNPNUUzdl7W0mGxHYAlRU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A38"/>
  <sheetViews>
    <sheetView showGridLines="0" zoomScale="80" zoomScaleNormal="80" zoomScaleSheetLayoutView="100" workbookViewId="0">
      <selection activeCell="E16" sqref="E16"/>
    </sheetView>
  </sheetViews>
  <sheetFormatPr defaultColWidth="8.81640625" defaultRowHeight="14.5" x14ac:dyDescent="0.35"/>
  <cols>
    <col min="1" max="1" width="2.7265625" style="5" customWidth="1"/>
    <col min="2" max="2" width="6.453125" style="5" customWidth="1"/>
    <col min="3" max="3" width="2.7265625" style="5" customWidth="1"/>
    <col min="4" max="4" width="25.453125" style="591" bestFit="1" customWidth="1"/>
    <col min="5" max="5" width="24.7265625" style="5" customWidth="1"/>
    <col min="6" max="6" width="2.1796875" style="5" customWidth="1"/>
    <col min="7" max="7" width="17.7265625" style="183" bestFit="1" customWidth="1"/>
    <col min="8" max="8" width="2.81640625" style="183" customWidth="1"/>
    <col min="9" max="9" width="17.7265625" style="183" bestFit="1" customWidth="1"/>
    <col min="10" max="10" width="18.26953125" style="5" customWidth="1"/>
    <col min="11" max="11" width="3.54296875" style="5" customWidth="1"/>
    <col min="12" max="12" width="2" style="911" customWidth="1"/>
    <col min="13" max="13" width="10.81640625" style="183" customWidth="1"/>
    <col min="14" max="14" width="11.54296875" style="911" bestFit="1" customWidth="1"/>
    <col min="15" max="15" width="2.453125" style="183" customWidth="1"/>
    <col min="16" max="16" width="13.1796875" style="183" customWidth="1"/>
    <col min="17" max="17" width="21.1796875" style="5" customWidth="1"/>
    <col min="18" max="18" width="10.1796875" style="5" customWidth="1"/>
    <col min="19" max="19" width="8.81640625" style="5" customWidth="1"/>
    <col min="20" max="20" width="13.1796875" style="5" customWidth="1"/>
    <col min="21" max="21" width="8.81640625" style="5" customWidth="1"/>
    <col min="22" max="22" width="10.54296875" style="5" customWidth="1"/>
    <col min="23" max="16384" width="8.81640625" style="5"/>
  </cols>
  <sheetData>
    <row r="1" spans="1:27" ht="15" customHeight="1" thickBot="1" x14ac:dyDescent="0.4">
      <c r="A1" s="5" t="s">
        <v>544</v>
      </c>
    </row>
    <row r="2" spans="1:27" ht="21" x14ac:dyDescent="0.35">
      <c r="B2" s="755"/>
      <c r="C2" s="592" t="s">
        <v>130</v>
      </c>
      <c r="D2" s="179"/>
      <c r="E2" s="592"/>
      <c r="F2" s="593"/>
      <c r="G2" s="181"/>
      <c r="H2" s="181"/>
      <c r="I2" s="181"/>
      <c r="J2" s="179"/>
      <c r="K2" s="179"/>
      <c r="L2" s="912"/>
      <c r="M2" s="181"/>
      <c r="N2" s="912"/>
      <c r="O2" s="594"/>
    </row>
    <row r="3" spans="1:27" ht="8.5" customHeight="1" thickBot="1" x14ac:dyDescent="0.4">
      <c r="B3" s="185"/>
      <c r="D3" s="5"/>
      <c r="F3" s="184"/>
      <c r="G3" s="5"/>
      <c r="H3" s="5"/>
      <c r="I3" s="5"/>
      <c r="O3" s="283"/>
    </row>
    <row r="4" spans="1:27" ht="14.5" customHeight="1" x14ac:dyDescent="0.35">
      <c r="B4" s="185"/>
      <c r="C4" s="1137" t="s">
        <v>381</v>
      </c>
      <c r="D4" s="1138"/>
      <c r="E4" s="716">
        <f>Welcome!$D$8</f>
        <v>0</v>
      </c>
      <c r="F4" s="145"/>
      <c r="G4" s="523" t="s">
        <v>110</v>
      </c>
      <c r="H4" s="1133" t="str">
        <f>IFERROR(VLOOKUP($H$5,'Market Geography'!$D:$G,4,FALSE),"Select Market")</f>
        <v>Select Market</v>
      </c>
      <c r="I4" s="1133"/>
      <c r="J4" s="1133"/>
      <c r="K4" s="1134"/>
      <c r="L4" s="915"/>
      <c r="M4" s="917"/>
      <c r="N4" s="818"/>
      <c r="O4" s="595"/>
    </row>
    <row r="5" spans="1:27" x14ac:dyDescent="0.35">
      <c r="B5" s="185"/>
      <c r="C5" s="1139" t="s">
        <v>216</v>
      </c>
      <c r="D5" s="1140"/>
      <c r="E5" s="393">
        <f>Welcome!$D$12</f>
        <v>0</v>
      </c>
      <c r="F5" s="145"/>
      <c r="G5" s="524" t="s">
        <v>120</v>
      </c>
      <c r="H5" s="1135">
        <f>Welcome!$D$4</f>
        <v>0</v>
      </c>
      <c r="I5" s="1135"/>
      <c r="J5" s="1135"/>
      <c r="K5" s="1136"/>
      <c r="L5" s="915"/>
      <c r="M5" s="917"/>
      <c r="N5" s="818"/>
      <c r="O5" s="595"/>
    </row>
    <row r="6" spans="1:27" x14ac:dyDescent="0.35">
      <c r="B6" s="185"/>
      <c r="C6" s="1139" t="s">
        <v>202</v>
      </c>
      <c r="D6" s="1140"/>
      <c r="E6" s="394">
        <f>IFERROR('PIM Model'!$G$31,0)</f>
        <v>0</v>
      </c>
      <c r="F6" s="428"/>
      <c r="G6" s="524" t="s">
        <v>107</v>
      </c>
      <c r="H6" s="1135" t="str">
        <f>'Multi-Customer'!$M$47</f>
        <v>Enter Customer(s)</v>
      </c>
      <c r="I6" s="1135"/>
      <c r="J6" s="1135"/>
      <c r="K6" s="1136"/>
      <c r="L6" s="915"/>
      <c r="M6" s="917"/>
      <c r="N6" s="818"/>
      <c r="O6" s="595"/>
    </row>
    <row r="7" spans="1:27" x14ac:dyDescent="0.35">
      <c r="B7" s="185"/>
      <c r="C7" s="1139" t="s">
        <v>493</v>
      </c>
      <c r="D7" s="1140"/>
      <c r="E7" s="596">
        <f>IFERROR('Variable Costs (Back)'!$K$26,0)</f>
        <v>0</v>
      </c>
      <c r="F7" s="184"/>
      <c r="G7" s="524" t="s">
        <v>410</v>
      </c>
      <c r="H7" s="1135" t="str">
        <f>'Multi-Customer'!$M$83</f>
        <v>MULTIPLE MENU TYPES</v>
      </c>
      <c r="I7" s="1135"/>
      <c r="J7" s="1135"/>
      <c r="K7" s="1136"/>
      <c r="L7" s="915"/>
      <c r="M7" s="917"/>
      <c r="N7" s="818"/>
      <c r="O7" s="595"/>
    </row>
    <row r="8" spans="1:27" ht="15" thickBot="1" x14ac:dyDescent="0.4">
      <c r="B8" s="185"/>
      <c r="C8" s="1145" t="s">
        <v>547</v>
      </c>
      <c r="D8" s="1146"/>
      <c r="E8" s="426">
        <f>IFERROR('PIM Ranges'!$AU$3,0)</f>
        <v>0</v>
      </c>
      <c r="F8" s="429"/>
      <c r="G8" s="525" t="s">
        <v>225</v>
      </c>
      <c r="H8" s="1148" t="s">
        <v>211</v>
      </c>
      <c r="I8" s="1148"/>
      <c r="J8" s="1148"/>
      <c r="K8" s="1149"/>
      <c r="L8" s="916"/>
      <c r="M8" s="917"/>
      <c r="N8" s="818"/>
      <c r="O8" s="597"/>
    </row>
    <row r="9" spans="1:27" ht="8.5" customHeight="1" x14ac:dyDescent="0.35">
      <c r="B9" s="185"/>
      <c r="D9" s="142"/>
      <c r="E9" s="715"/>
      <c r="F9" s="715"/>
      <c r="G9" s="715"/>
      <c r="H9" s="715"/>
      <c r="I9" s="715"/>
      <c r="O9" s="283"/>
    </row>
    <row r="10" spans="1:27" ht="7.9" customHeight="1" x14ac:dyDescent="0.35">
      <c r="B10" s="185"/>
      <c r="C10" s="279"/>
      <c r="D10" s="598"/>
      <c r="E10" s="194"/>
      <c r="F10" s="194"/>
      <c r="G10" s="194"/>
      <c r="H10" s="194"/>
      <c r="I10" s="194"/>
      <c r="J10" s="194"/>
      <c r="K10" s="198"/>
      <c r="L10"/>
      <c r="M10" s="913"/>
      <c r="N10" s="910"/>
      <c r="O10" s="186"/>
      <c r="P10" s="5"/>
    </row>
    <row r="11" spans="1:27" ht="18.649999999999999" customHeight="1" x14ac:dyDescent="0.35">
      <c r="B11" s="185"/>
      <c r="C11" s="274"/>
      <c r="D11" s="7"/>
      <c r="E11" s="6" t="s">
        <v>238</v>
      </c>
      <c r="F11" s="38"/>
      <c r="G11" s="207" t="s">
        <v>376</v>
      </c>
      <c r="H11" s="209"/>
      <c r="I11" s="201"/>
      <c r="J11" s="201"/>
      <c r="K11" s="203"/>
      <c r="L11"/>
      <c r="M11" s="1154" t="s">
        <v>1283</v>
      </c>
      <c r="N11" s="1154"/>
      <c r="O11" s="186"/>
      <c r="P11" s="5"/>
    </row>
    <row r="12" spans="1:27" ht="21" customHeight="1" x14ac:dyDescent="0.3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6"/>
      <c r="N12" s="1007"/>
      <c r="O12" s="186"/>
      <c r="P12" s="5"/>
    </row>
    <row r="13" spans="1:27" ht="21" customHeight="1" x14ac:dyDescent="0.35">
      <c r="B13" s="185"/>
      <c r="C13" s="274"/>
      <c r="D13" s="8" t="s">
        <v>504</v>
      </c>
      <c r="E13" s="12">
        <f>IFERROR('PIM Model'!$I$34,0)</f>
        <v>0</v>
      </c>
      <c r="F13" s="39"/>
      <c r="G13" s="599">
        <f>IFERROR(E13/'PIM Model'!$H$31,0)</f>
        <v>0</v>
      </c>
      <c r="H13" s="600"/>
      <c r="I13" s="601"/>
      <c r="J13" s="604" t="str">
        <f>IF(E13&gt;0,IF(J17=0,"Approve","Reject"),"")</f>
        <v/>
      </c>
      <c r="K13" s="603"/>
      <c r="L13"/>
      <c r="M13" s="1006"/>
      <c r="N13" s="1007"/>
      <c r="O13" s="186"/>
      <c r="P13" s="5"/>
    </row>
    <row r="14" spans="1:27" ht="7.15" customHeight="1" x14ac:dyDescent="0.35">
      <c r="B14" s="185"/>
      <c r="C14" s="274"/>
      <c r="D14" s="781"/>
      <c r="E14" s="782"/>
      <c r="F14" s="782"/>
      <c r="G14" s="775"/>
      <c r="H14" s="775"/>
      <c r="I14" s="776"/>
      <c r="J14" s="777"/>
      <c r="K14" s="603"/>
      <c r="L14"/>
      <c r="M14" s="913"/>
      <c r="N14" s="910"/>
      <c r="O14" s="186"/>
      <c r="P14" s="5"/>
    </row>
    <row r="15" spans="1:27" ht="21" customHeight="1" x14ac:dyDescent="0.35">
      <c r="B15" s="185"/>
      <c r="C15" s="274"/>
      <c r="D15" s="781"/>
      <c r="E15" s="6" t="s">
        <v>238</v>
      </c>
      <c r="F15" s="38"/>
      <c r="G15" s="130" t="s">
        <v>376</v>
      </c>
      <c r="H15" s="605"/>
      <c r="I15" s="207" t="s">
        <v>754</v>
      </c>
      <c r="J15" s="777"/>
      <c r="K15" s="603"/>
      <c r="L15"/>
      <c r="M15" s="913"/>
      <c r="N15" s="910"/>
      <c r="O15" s="186"/>
      <c r="P15" s="5"/>
      <c r="AA15" s="5" t="e">
        <f>Incentives!G91&gt;ROUNDUP((((VLOOKUP('Variable Selling'!$A$2,'CC MARKET EXPENSE'!$A:$D,4,0))*100)*50/100)/0.25,0)*0.25/100</f>
        <v>#N/A</v>
      </c>
    </row>
    <row r="16" spans="1:27" ht="24" customHeight="1" x14ac:dyDescent="0.35">
      <c r="B16" s="185"/>
      <c r="C16" s="274"/>
      <c r="D16" s="16" t="s">
        <v>1096</v>
      </c>
      <c r="E16" s="783">
        <v>0</v>
      </c>
      <c r="F16" s="129"/>
      <c r="G16" s="776"/>
      <c r="H16" s="775"/>
      <c r="I16" s="776"/>
      <c r="J16" s="777"/>
      <c r="K16" s="603"/>
      <c r="L16"/>
      <c r="M16" s="913"/>
      <c r="N16" s="910"/>
      <c r="O16" s="186"/>
      <c r="P16" s="5"/>
    </row>
    <row r="17" spans="2:16" ht="24" customHeight="1" x14ac:dyDescent="0.35">
      <c r="B17" s="185"/>
      <c r="C17" s="274"/>
      <c r="D17" s="16" t="s">
        <v>990</v>
      </c>
      <c r="E17" s="12">
        <f>IFERROR('EB_CM (Back)'!$J$47*-1,0)-E16</f>
        <v>0</v>
      </c>
      <c r="F17" s="39"/>
      <c r="G17" s="599">
        <f>IFERROR(E17/'PIM Model'!$H$31,0)</f>
        <v>0</v>
      </c>
      <c r="H17" s="605"/>
      <c r="I17" s="608">
        <f>IFERROR(E17/E12,0)</f>
        <v>0</v>
      </c>
      <c r="J17" s="1008">
        <f>COUNTIF('PIM Model'!$AB$10:$AB$30,"ERROR")+COUNTIFS('PIM Model'!$AF$10:$AJ$30,"BELOW")</f>
        <v>0</v>
      </c>
      <c r="K17" s="606"/>
      <c r="L17"/>
      <c r="M17" s="913"/>
      <c r="N17" s="910"/>
      <c r="O17" s="186"/>
      <c r="P17" s="5"/>
    </row>
    <row r="18" spans="2:16" ht="13.15" customHeight="1" x14ac:dyDescent="0.35">
      <c r="B18" s="185"/>
      <c r="C18" s="274"/>
      <c r="D18" s="201"/>
      <c r="E18" s="201"/>
      <c r="F18" s="201"/>
      <c r="G18" s="201"/>
      <c r="H18" s="605"/>
      <c r="I18" s="607"/>
      <c r="J18" s="607"/>
      <c r="K18" s="606"/>
      <c r="L18"/>
      <c r="M18" s="913"/>
      <c r="N18" s="910"/>
      <c r="O18" s="186"/>
      <c r="P18" s="5"/>
    </row>
    <row r="19" spans="2:16" ht="21.65" customHeight="1" x14ac:dyDescent="0.35">
      <c r="B19" s="185"/>
      <c r="C19" s="274"/>
      <c r="D19" s="201"/>
      <c r="E19" s="6" t="s">
        <v>238</v>
      </c>
      <c r="F19" s="38"/>
      <c r="G19" s="207" t="s">
        <v>376</v>
      </c>
      <c r="H19" s="605"/>
      <c r="I19" s="207" t="s">
        <v>754</v>
      </c>
      <c r="J19" s="607"/>
      <c r="K19" s="606"/>
      <c r="L19"/>
      <c r="M19" s="913"/>
      <c r="N19" s="910"/>
      <c r="O19" s="186"/>
      <c r="P19" s="5"/>
    </row>
    <row r="20" spans="2:16" ht="21.65" customHeight="1" x14ac:dyDescent="0.35">
      <c r="B20" s="185"/>
      <c r="C20" s="274"/>
      <c r="D20" s="8" t="s">
        <v>993</v>
      </c>
      <c r="E20" s="12">
        <f>E13+E17</f>
        <v>0</v>
      </c>
      <c r="F20" s="39"/>
      <c r="G20" s="599">
        <f>IFERROR(E20/'PIM Model'!$H$31,0)</f>
        <v>0</v>
      </c>
      <c r="H20" s="605"/>
      <c r="I20" s="608">
        <f>IFERROR(E20/E12,0)</f>
        <v>0</v>
      </c>
      <c r="J20" s="607"/>
      <c r="K20" s="606"/>
      <c r="L20"/>
      <c r="M20" s="913"/>
      <c r="N20" s="910"/>
      <c r="O20" s="186"/>
      <c r="P20" s="5"/>
    </row>
    <row r="21" spans="2:16" x14ac:dyDescent="0.35">
      <c r="B21" s="185"/>
      <c r="C21" s="274"/>
      <c r="D21" s="7"/>
      <c r="E21" s="605"/>
      <c r="F21" s="605"/>
      <c r="G21" s="605"/>
      <c r="H21" s="605"/>
      <c r="I21" s="607"/>
      <c r="J21" s="607"/>
      <c r="K21" s="606"/>
      <c r="L21"/>
      <c r="M21" s="1152" t="s">
        <v>1283</v>
      </c>
      <c r="N21" s="1153"/>
      <c r="O21" s="186"/>
      <c r="P21" s="5"/>
    </row>
    <row r="22" spans="2:16" ht="24" customHeight="1" x14ac:dyDescent="0.35">
      <c r="B22" s="185"/>
      <c r="C22" s="274"/>
      <c r="D22" s="16" t="s">
        <v>229</v>
      </c>
      <c r="E22" s="12">
        <f>IFERROR(Incentives!$M$94*-1,0)</f>
        <v>0</v>
      </c>
      <c r="F22" s="609">
        <f>Incentives!$M$96</f>
        <v>0</v>
      </c>
      <c r="G22" s="599">
        <f>IFERROR(E22/'PIM Model'!$H$31,0)</f>
        <v>0</v>
      </c>
      <c r="H22" s="600"/>
      <c r="I22" s="766" t="str">
        <f>IF(Incentives!$M$97&gt;0,"**Missing Incentive Payment Method**","")</f>
        <v/>
      </c>
      <c r="J22" s="572" t="str">
        <f>IF(M22="Yes","Approve",IF(E22=0,"",IF(AND(Incentives!$E$89="YES",Welcome!D16="NO"),"Reject",IF(Incentives!M71&gt;=10000,"Caution",IF(F22&gt;0.05,"Reject",IF(Incentives!K66+K74&gt;=10000,"Caution",IF(Incentives!$G$91&gt;ROUNDUP((((VLOOKUP('Variable Selling'!$A$2,'CC MARKET EXPENSE'!$A:$D,4,0))*100)*50/100)/0.25,0)*0.25/100,"Reject","Approve")))))))</f>
        <v/>
      </c>
      <c r="K22" s="610"/>
      <c r="L22"/>
      <c r="M22" s="918"/>
      <c r="N22" s="919"/>
      <c r="O22" s="186"/>
      <c r="P22" s="5"/>
    </row>
    <row r="23" spans="2:16" ht="21.65" customHeight="1" x14ac:dyDescent="0.35">
      <c r="B23" s="185"/>
      <c r="C23" s="274"/>
      <c r="D23" s="8" t="s">
        <v>230</v>
      </c>
      <c r="E23" s="12">
        <f>E20+E22</f>
        <v>0</v>
      </c>
      <c r="F23" s="39"/>
      <c r="G23" s="599">
        <f>IFERROR(E23/'PIM Model'!$H$31,0)</f>
        <v>0</v>
      </c>
      <c r="H23" s="600"/>
      <c r="I23" s="201"/>
      <c r="J23" s="201"/>
      <c r="K23" s="203"/>
      <c r="L23"/>
      <c r="M23" s="913"/>
      <c r="N23" s="910"/>
      <c r="O23" s="186"/>
      <c r="P23" s="5"/>
    </row>
    <row r="24" spans="2:16" ht="11.5" customHeight="1" x14ac:dyDescent="0.35">
      <c r="B24" s="185"/>
      <c r="C24" s="274"/>
      <c r="D24" s="7"/>
      <c r="E24" s="605"/>
      <c r="F24" s="605"/>
      <c r="G24" s="611"/>
      <c r="H24" s="611"/>
      <c r="I24" s="201"/>
      <c r="J24" s="201"/>
      <c r="K24" s="203"/>
      <c r="L24"/>
      <c r="M24" s="913"/>
      <c r="N24" s="910"/>
      <c r="O24" s="186"/>
      <c r="P24" s="5"/>
    </row>
    <row r="25" spans="2:16" ht="21.65" customHeight="1" x14ac:dyDescent="0.35">
      <c r="B25" s="185"/>
      <c r="C25" s="274"/>
      <c r="D25" s="16" t="s">
        <v>409</v>
      </c>
      <c r="E25" s="13">
        <f>IFERROR('Variable Costs &amp; Income'!$E$11*-1,0)</f>
        <v>0</v>
      </c>
      <c r="F25" s="40"/>
      <c r="G25" s="612">
        <f>IFERROR(E25/'PIM Model'!$H$31,0)</f>
        <v>0</v>
      </c>
      <c r="H25" s="68"/>
      <c r="I25" s="613"/>
      <c r="J25" s="613"/>
      <c r="K25" s="203"/>
      <c r="L25"/>
      <c r="M25" s="913"/>
      <c r="N25" s="910"/>
      <c r="O25" s="186"/>
      <c r="P25" s="5"/>
    </row>
    <row r="26" spans="2:16" ht="21.65" customHeight="1" x14ac:dyDescent="0.3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3"/>
      <c r="N26" s="910"/>
      <c r="O26" s="186"/>
      <c r="P26" s="5"/>
    </row>
    <row r="27" spans="2:16" ht="21.65" customHeight="1" x14ac:dyDescent="0.35">
      <c r="B27" s="185"/>
      <c r="C27" s="274"/>
      <c r="D27" s="16" t="s">
        <v>204</v>
      </c>
      <c r="E27" s="13">
        <f>IFERROR('Variable Costs &amp; Income'!$E$15*-1,0)</f>
        <v>0</v>
      </c>
      <c r="F27" s="40"/>
      <c r="G27" s="612">
        <f>IFERROR(E27/'PIM Model'!$H$31,0)</f>
        <v>0</v>
      </c>
      <c r="H27" s="68"/>
      <c r="I27" s="613"/>
      <c r="J27" s="613"/>
      <c r="K27" s="203"/>
      <c r="L27"/>
      <c r="M27" s="913"/>
      <c r="N27" s="910"/>
      <c r="O27" s="186"/>
      <c r="P27" s="5"/>
    </row>
    <row r="28" spans="2:16" ht="21" customHeight="1" x14ac:dyDescent="0.35">
      <c r="B28" s="185"/>
      <c r="C28" s="274"/>
      <c r="D28" s="16" t="s">
        <v>203</v>
      </c>
      <c r="E28" s="13">
        <f>IFERROR('Variable Costs &amp; Income'!$E$17*-1,0)</f>
        <v>0</v>
      </c>
      <c r="F28" s="40"/>
      <c r="G28" s="612">
        <f>IFERROR(E28/'PIM Model'!$H$31,0)</f>
        <v>0</v>
      </c>
      <c r="H28" s="68"/>
      <c r="I28" s="613"/>
      <c r="J28" s="613"/>
      <c r="K28" s="203"/>
      <c r="L28"/>
      <c r="M28" s="913"/>
      <c r="N28" s="910"/>
      <c r="O28" s="186"/>
      <c r="P28" s="5"/>
    </row>
    <row r="29" spans="2:16" ht="23.5" customHeight="1" x14ac:dyDescent="0.35">
      <c r="B29" s="185"/>
      <c r="C29" s="274"/>
      <c r="D29" s="7"/>
      <c r="E29" s="605"/>
      <c r="F29" s="605"/>
      <c r="G29" s="611"/>
      <c r="H29" s="611"/>
      <c r="I29" s="201"/>
      <c r="J29" s="201"/>
      <c r="K29" s="203"/>
      <c r="L29"/>
      <c r="M29" s="913"/>
      <c r="N29" s="910"/>
      <c r="O29" s="186"/>
      <c r="P29" s="5"/>
    </row>
    <row r="30" spans="2:16" ht="23.5" customHeight="1" x14ac:dyDescent="0.35">
      <c r="B30" s="185"/>
      <c r="C30" s="274"/>
      <c r="D30" s="17" t="s">
        <v>228</v>
      </c>
      <c r="E30" s="12">
        <f>IFERROR('Variable Costs &amp; Income'!$E$29,0)</f>
        <v>0</v>
      </c>
      <c r="F30" s="39"/>
      <c r="G30" s="599">
        <f>IFERROR(E30/'PIM Model'!$H$31,0)</f>
        <v>0</v>
      </c>
      <c r="H30" s="600"/>
      <c r="I30" s="201"/>
      <c r="J30" s="201"/>
      <c r="K30" s="203"/>
      <c r="L30"/>
      <c r="M30" s="913"/>
      <c r="N30" s="910"/>
      <c r="O30" s="186"/>
      <c r="P30" s="5"/>
    </row>
    <row r="31" spans="2:16" ht="21" customHeight="1" x14ac:dyDescent="0.35">
      <c r="B31" s="185"/>
      <c r="C31" s="274"/>
      <c r="D31" s="17" t="s">
        <v>227</v>
      </c>
      <c r="E31" s="12">
        <f>'Variable Costs &amp; Income'!$E$30</f>
        <v>0</v>
      </c>
      <c r="F31" s="39"/>
      <c r="G31" s="599">
        <f>IFERROR(E31/'PIM Model'!$H$31,0)</f>
        <v>0</v>
      </c>
      <c r="H31" s="600"/>
      <c r="I31" s="201"/>
      <c r="J31" s="201"/>
      <c r="K31" s="203"/>
      <c r="L31"/>
      <c r="M31" s="913"/>
      <c r="N31" s="910"/>
      <c r="O31" s="186"/>
      <c r="P31" s="5"/>
    </row>
    <row r="32" spans="2:16" ht="30.75" customHeight="1" x14ac:dyDescent="0.35">
      <c r="B32" s="185"/>
      <c r="C32" s="274"/>
      <c r="D32" s="1151" t="s">
        <v>237</v>
      </c>
      <c r="E32" s="1151"/>
      <c r="F32" s="1151"/>
      <c r="G32" s="1151"/>
      <c r="H32" s="614"/>
      <c r="I32" s="1150" t="str">
        <f>IF($I$33=0,IF($J$33=0,"","Customer EB % Missing"),IF($J$33=0,"Customer Drops/Wk Missing","Customer EB % &amp; Drops/Wk Missing"))</f>
        <v/>
      </c>
      <c r="J32" s="1150"/>
      <c r="K32" s="203"/>
      <c r="L32"/>
      <c r="M32" s="913"/>
      <c r="N32" s="910"/>
      <c r="O32" s="186"/>
      <c r="P32" s="5"/>
    </row>
    <row r="33" spans="2:16" ht="21.65" customHeight="1" x14ac:dyDescent="0.3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3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8"/>
      <c r="N34" s="919"/>
      <c r="O34" s="186"/>
      <c r="P34" s="5"/>
    </row>
    <row r="35" spans="2:16" ht="24.65" customHeight="1" x14ac:dyDescent="0.35">
      <c r="B35" s="185"/>
      <c r="C35" s="276"/>
      <c r="D35" s="617"/>
      <c r="E35" s="618"/>
      <c r="F35" s="618"/>
      <c r="G35" s="221"/>
      <c r="H35" s="618"/>
      <c r="I35" s="262"/>
      <c r="J35" s="262"/>
      <c r="K35" s="224"/>
      <c r="L35"/>
      <c r="M35" s="913"/>
      <c r="N35" s="910"/>
      <c r="O35" s="186"/>
      <c r="P35" s="5"/>
    </row>
    <row r="36" spans="2:16" ht="41.25" customHeight="1" thickBot="1" x14ac:dyDescent="0.4">
      <c r="B36" s="717"/>
      <c r="C36" s="727"/>
      <c r="D36" s="728"/>
      <c r="E36" s="729"/>
      <c r="F36" s="729"/>
      <c r="G36" s="730"/>
      <c r="H36" s="729"/>
      <c r="I36" s="727"/>
      <c r="J36" s="727"/>
      <c r="K36" s="727"/>
      <c r="L36" s="727"/>
      <c r="M36" s="730"/>
      <c r="N36" s="727"/>
      <c r="O36" s="718"/>
    </row>
    <row r="37" spans="2:16" ht="40.5" customHeight="1" x14ac:dyDescent="0.35">
      <c r="B37" s="1147"/>
      <c r="C37" s="1147"/>
      <c r="D37" s="1147"/>
      <c r="J37" s="1116"/>
      <c r="K37" s="1116"/>
      <c r="L37" s="1116"/>
      <c r="M37" s="1116"/>
      <c r="N37" s="1116"/>
      <c r="O37" s="1116"/>
    </row>
    <row r="38" spans="2:16" x14ac:dyDescent="0.35">
      <c r="O38" s="621"/>
    </row>
  </sheetData>
  <sheetProtection algorithmName="SHA-512" hashValue="qiEgl83bCAqwk0clxFwgJ9somLxWwYAMHBehTD8D2LMCI8JqYL+cj/ttLndo8ALiU6Ma4momYHpj6o6pSybCgA==" saltValue="KNgUXlihPv0+ehcqgmE3lA=="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22" priority="55" operator="containsText" text="Below Average">
      <formula>NOT(ISERROR(SEARCH("Below Average",I25)))</formula>
    </cfRule>
  </conditionalFormatting>
  <conditionalFormatting sqref="J34">
    <cfRule type="expression" dxfId="121" priority="37">
      <formula>$H$33&gt;0</formula>
    </cfRule>
    <cfRule type="containsText" dxfId="120" priority="41" operator="containsText" text="Reject">
      <formula>NOT(ISERROR(SEARCH("Reject",J34)))</formula>
    </cfRule>
    <cfRule type="expression" dxfId="119" priority="52">
      <formula>$M$34="Yes"</formula>
    </cfRule>
    <cfRule type="expression" dxfId="118" priority="53">
      <formula>J34="Approve"</formula>
    </cfRule>
  </conditionalFormatting>
  <conditionalFormatting sqref="J12">
    <cfRule type="expression" dxfId="117" priority="30">
      <formula>$M$12="yes"</formula>
    </cfRule>
    <cfRule type="containsText" dxfId="116" priority="46" operator="containsText" text="Spend">
      <formula>NOT(ISERROR(SEARCH("Spend",J12)))</formula>
    </cfRule>
    <cfRule type="containsText" dxfId="115" priority="50" operator="containsText" text="Approve">
      <formula>NOT(ISERROR(SEARCH("Approve",J12)))</formula>
    </cfRule>
  </conditionalFormatting>
  <conditionalFormatting sqref="J13:J16">
    <cfRule type="containsText" dxfId="114" priority="45" operator="containsText" text="Reject">
      <formula>NOT(ISERROR(SEARCH("Reject",J13)))</formula>
    </cfRule>
    <cfRule type="containsText" dxfId="113" priority="49" operator="containsText" text="Approve">
      <formula>NOT(ISERROR(SEARCH("Approve",J13)))</formula>
    </cfRule>
  </conditionalFormatting>
  <conditionalFormatting sqref="H34">
    <cfRule type="expression" dxfId="112" priority="111">
      <formula>#REF!="Approve"</formula>
    </cfRule>
  </conditionalFormatting>
  <conditionalFormatting sqref="E16">
    <cfRule type="cellIs" dxfId="111" priority="42" operator="notEqual">
      <formula>0</formula>
    </cfRule>
  </conditionalFormatting>
  <conditionalFormatting sqref="M33:N34">
    <cfRule type="expression" dxfId="110" priority="36">
      <formula>H34&lt;0</formula>
    </cfRule>
  </conditionalFormatting>
  <conditionalFormatting sqref="J13">
    <cfRule type="expression" dxfId="109" priority="27">
      <formula>$M$13="Yes"</formula>
    </cfRule>
  </conditionalFormatting>
  <conditionalFormatting sqref="M11:N11">
    <cfRule type="expression" dxfId="108" priority="21">
      <formula>OR($J$13="Reject",$J$13="")</formula>
    </cfRule>
    <cfRule type="expression" dxfId="107" priority="24">
      <formula>$J$12="Spend"</formula>
    </cfRule>
  </conditionalFormatting>
  <conditionalFormatting sqref="M12:N12">
    <cfRule type="expression" dxfId="106" priority="23">
      <formula>$J$12="spend"</formula>
    </cfRule>
  </conditionalFormatting>
  <conditionalFormatting sqref="M13:N13">
    <cfRule type="expression" dxfId="105" priority="22">
      <formula>OR($J$13="Reject",$J$13="")</formula>
    </cfRule>
  </conditionalFormatting>
  <conditionalFormatting sqref="M22">
    <cfRule type="containsText" dxfId="104" priority="18" operator="containsText" text="Caution">
      <formula>NOT(ISERROR(SEARCH("Caution",M22)))</formula>
    </cfRule>
  </conditionalFormatting>
  <conditionalFormatting sqref="N22">
    <cfRule type="containsText" dxfId="103" priority="16" operator="containsText" text="Caution">
      <formula>NOT(ISERROR(SEARCH("Caution",N22)))</formula>
    </cfRule>
  </conditionalFormatting>
  <conditionalFormatting sqref="J22">
    <cfRule type="expression" dxfId="102" priority="6">
      <formula>$I$22="**Missing Incentive Payment Method**"</formula>
    </cfRule>
    <cfRule type="containsText" dxfId="101" priority="7" operator="containsText" text="Reject">
      <formula>NOT(ISERROR(SEARCH("Reject",J22)))</formula>
    </cfRule>
    <cfRule type="containsText" dxfId="100" priority="8" operator="containsText" text="Caution">
      <formula>NOT(ISERROR(SEARCH("Caution",J22)))</formula>
    </cfRule>
    <cfRule type="expression" dxfId="99" priority="9">
      <formula>$M$22="Yes"</formula>
    </cfRule>
    <cfRule type="expression" dxfId="98" priority="10">
      <formula>$J$22="Approve"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 id="{F65958E2-08DD-47E3-88EB-867E80A97CBC}">
            <xm:f>Incentives!$G$91&lt;ROUNDUP((((VLOOKUP('Variable Selling'!$A$2,'CC MARKET EXPENSE'!$A:$D,4,0))*100)*50/100)/0.25,0)*0.25/100</xm:f>
            <x14:dxf>
              <font>
                <color theme="0"/>
              </font>
              <fill>
                <patternFill>
                  <bgColor theme="0"/>
                </patternFill>
              </fill>
              <border>
                <left/>
                <right/>
                <top/>
                <bottom/>
              </border>
            </x14:dxf>
          </x14:cfRule>
          <xm:sqref>M21:N22</xm:sqref>
        </x14:conditionalFormatting>
        <x14:conditionalFormatting xmlns:xm="http://schemas.microsoft.com/office/excel/2006/main">
          <x14:cfRule type="expression" priority="4" id="{8F98FC0A-2CB4-4B16-B0D3-134356BB685E}">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14:cfRule type="expression" priority="3" id="{4460F1A3-C470-4702-82E9-CB98D75B1B2C}">
            <xm:f>Incentives!$K$66+Incentives!$M$71&lt;10000</xm:f>
            <x14:dxf/>
          </x14:cfRule>
          <xm:sqref>M22</xm:sqref>
        </x14:conditionalFormatting>
        <x14:conditionalFormatting xmlns:xm="http://schemas.microsoft.com/office/excel/2006/main">
          <x14:cfRule type="expression" priority="17" id="{020567FE-BB4E-46FA-AEE8-34EDBE586B4B}">
            <xm:f>Incentives!G91&gt;ROUNDUP((((VLOOKUP('Variable Selling'!$A$2,'CC MARKET EXPENSE'!$A:$D,4,0))*100)*50/100)/0.25,0)*0.25/100</xm:f>
            <x14:dxf>
              <font>
                <color theme="0"/>
              </font>
              <fill>
                <patternFill>
                  <bgColor rgb="FF002060"/>
                </patternFill>
              </fill>
              <border>
                <left style="thin">
                  <color auto="1"/>
                </left>
                <right style="thin">
                  <color auto="1"/>
                </right>
                <top style="thin">
                  <color auto="1"/>
                </top>
                <bottom style="thin">
                  <color auto="1"/>
                </bottom>
                <vertical/>
                <horizontal/>
              </border>
            </x14:dxf>
          </x14:cfRule>
          <xm:sqref>M21:N21</xm:sqref>
        </x14:conditionalFormatting>
        <x14:conditionalFormatting xmlns:xm="http://schemas.microsoft.com/office/excel/2006/main">
          <x14:cfRule type="expression" priority="2" id="{6E15A17F-5820-4C0F-879D-AC506CB802D2}">
            <xm:f>Incentives!$G$91&gt;ROUNDUP((((VLOOKUP('Variable Selling'!$A$2,'CC MARKET EXPENSE'!$A:$D,4,0))*100)*50/100)/0.25,0)*0.25/100</xm:f>
            <x14:dxf>
              <border>
                <left style="thin">
                  <color auto="1"/>
                </left>
                <right style="thin">
                  <color auto="1"/>
                </right>
                <top style="thin">
                  <color auto="1"/>
                </top>
                <bottom style="thin">
                  <color auto="1"/>
                </bottom>
                <vertical/>
                <horizontal/>
              </border>
            </x14:dxf>
          </x14:cfRule>
          <x14:cfRule type="expression" priority="1" id="{0991CCE1-8916-4103-ABCA-1CD8AE3CEB8D}">
            <xm:f>Incentives!$K$66+Incentives!$M$71&lt;10000</xm:f>
            <x14:dxf/>
          </x14:cfRule>
          <xm:sqref>N22</xm:sqref>
        </x14:conditionalFormatting>
        <x14:conditionalFormatting xmlns:xm="http://schemas.microsoft.com/office/excel/2006/main">
          <x14:cfRule type="expression" priority="5" id="{35364305-5EBF-4F8A-AD4C-CE98152733EC}">
            <xm:f>AND($M$22&lt;&gt;"Yes",$J$22 &lt;&gt; "Caution",Incentives!$G$91&gt;ROUNDUP((((VLOOKUP('Variable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J22</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opLeftCell="B1" zoomScale="80" zoomScaleNormal="80" zoomScaleSheetLayoutView="70" workbookViewId="0">
      <selection activeCell="F14" sqref="F14:G14"/>
    </sheetView>
  </sheetViews>
  <sheetFormatPr defaultColWidth="8.81640625" defaultRowHeight="14.5" x14ac:dyDescent="0.35"/>
  <cols>
    <col min="1" max="1" width="3" hidden="1" customWidth="1"/>
    <col min="2" max="2" width="3" customWidth="1"/>
    <col min="3" max="4" width="6.1796875" customWidth="1"/>
    <col min="5" max="5" width="19.26953125" customWidth="1"/>
    <col min="6" max="6" width="26.26953125" customWidth="1"/>
    <col min="7" max="7" width="27.1796875" customWidth="1"/>
    <col min="8" max="8" width="19" customWidth="1"/>
    <col min="9" max="9" width="8.7265625" bestFit="1" customWidth="1"/>
    <col min="10" max="10" width="9.26953125" customWidth="1"/>
    <col min="11" max="11" width="5" customWidth="1"/>
    <col min="13" max="13" width="15.26953125" hidden="1" customWidth="1"/>
    <col min="14" max="14" width="11.54296875" hidden="1" customWidth="1"/>
    <col min="15" max="15" width="14.7265625" hidden="1" customWidth="1"/>
    <col min="16" max="16" width="2.54296875" hidden="1" customWidth="1"/>
    <col min="17" max="17" width="13.7265625" hidden="1" customWidth="1"/>
    <col min="18" max="18" width="11.26953125" hidden="1" customWidth="1"/>
  </cols>
  <sheetData>
    <row r="1" spans="3:18" ht="15" thickBot="1" x14ac:dyDescent="0.4">
      <c r="M1" s="294" t="s">
        <v>674</v>
      </c>
      <c r="N1" s="294" t="s">
        <v>675</v>
      </c>
      <c r="O1" s="294" t="s">
        <v>676</v>
      </c>
      <c r="P1" s="140"/>
      <c r="R1" s="438" t="s">
        <v>973</v>
      </c>
    </row>
    <row r="2" spans="3:18" s="5" customFormat="1" ht="22.5" customHeight="1" x14ac:dyDescent="0.3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35">
      <c r="C3" s="673"/>
      <c r="D3" s="296"/>
      <c r="E3" s="296"/>
      <c r="F3" s="296"/>
      <c r="G3" s="296"/>
      <c r="H3" s="296"/>
      <c r="I3" s="296"/>
      <c r="J3" s="296"/>
      <c r="K3" s="674"/>
      <c r="M3" s="1" t="s">
        <v>680</v>
      </c>
      <c r="N3" s="1" t="s">
        <v>681</v>
      </c>
      <c r="O3" s="1" t="s">
        <v>498</v>
      </c>
      <c r="R3" t="s">
        <v>470</v>
      </c>
    </row>
    <row r="4" spans="3:18" x14ac:dyDescent="0.35">
      <c r="C4" s="143"/>
      <c r="E4" s="440" t="s">
        <v>920</v>
      </c>
      <c r="F4" s="1160"/>
      <c r="G4" s="1160"/>
      <c r="K4" s="675"/>
      <c r="O4" s="1" t="s">
        <v>497</v>
      </c>
    </row>
    <row r="5" spans="3:18" x14ac:dyDescent="0.35">
      <c r="C5" s="143"/>
      <c r="E5" s="440"/>
      <c r="K5" s="144"/>
    </row>
    <row r="6" spans="3:18" x14ac:dyDescent="0.35">
      <c r="C6" s="143"/>
      <c r="E6" s="142" t="s">
        <v>937</v>
      </c>
      <c r="F6" s="1160"/>
      <c r="G6" s="1160"/>
      <c r="K6" s="144"/>
    </row>
    <row r="7" spans="3:18" x14ac:dyDescent="0.35">
      <c r="C7" s="143"/>
      <c r="E7" s="142"/>
      <c r="K7" s="144"/>
    </row>
    <row r="8" spans="3:18" x14ac:dyDescent="0.35">
      <c r="C8" s="143"/>
      <c r="E8" s="142" t="s">
        <v>908</v>
      </c>
      <c r="F8" s="1160"/>
      <c r="G8" s="1160"/>
      <c r="K8" s="144"/>
    </row>
    <row r="9" spans="3:18" x14ac:dyDescent="0.35">
      <c r="C9" s="143"/>
      <c r="E9" s="142" t="s">
        <v>909</v>
      </c>
      <c r="F9" s="1160"/>
      <c r="G9" s="1160"/>
      <c r="K9" s="144"/>
    </row>
    <row r="10" spans="3:18" x14ac:dyDescent="0.35">
      <c r="C10" s="143"/>
      <c r="E10" s="142" t="s">
        <v>910</v>
      </c>
      <c r="F10" s="1160"/>
      <c r="G10" s="1160"/>
      <c r="K10" s="144"/>
    </row>
    <row r="11" spans="3:18" x14ac:dyDescent="0.35">
      <c r="C11" s="143"/>
      <c r="E11" s="142" t="s">
        <v>861</v>
      </c>
      <c r="F11" s="1160"/>
      <c r="G11" s="1160"/>
      <c r="K11" s="144"/>
    </row>
    <row r="12" spans="3:18" x14ac:dyDescent="0.35">
      <c r="C12" s="143"/>
      <c r="E12" s="142" t="s">
        <v>911</v>
      </c>
      <c r="F12" s="1160"/>
      <c r="G12" s="1160"/>
      <c r="K12" s="144"/>
    </row>
    <row r="13" spans="3:18" x14ac:dyDescent="0.35">
      <c r="C13" s="143"/>
      <c r="E13" s="142"/>
      <c r="F13" s="1162"/>
      <c r="G13" s="1162"/>
      <c r="K13" s="144"/>
    </row>
    <row r="14" spans="3:18" x14ac:dyDescent="0.35">
      <c r="C14" s="143"/>
      <c r="E14" s="142" t="s">
        <v>912</v>
      </c>
      <c r="F14" s="1161">
        <v>44332</v>
      </c>
      <c r="G14" s="1161"/>
      <c r="H14" s="688" t="s">
        <v>1053</v>
      </c>
      <c r="K14" s="144"/>
      <c r="L14" s="875">
        <f>WEEKDAY(F14,2)</f>
        <v>7</v>
      </c>
    </row>
    <row r="15" spans="3:18" ht="13.5" customHeight="1" x14ac:dyDescent="0.35">
      <c r="C15" s="143"/>
      <c r="K15" s="144"/>
    </row>
    <row r="16" spans="3:18" s="868" customFormat="1" ht="14.25" customHeight="1" x14ac:dyDescent="0.35">
      <c r="C16" s="143"/>
      <c r="E16" s="869" t="s">
        <v>1235</v>
      </c>
      <c r="F16" s="1155">
        <f>Welcome!D8</f>
        <v>0</v>
      </c>
      <c r="G16" s="1156"/>
      <c r="K16" s="144"/>
    </row>
    <row r="17" spans="1:12" s="868" customFormat="1" ht="26.5" customHeight="1" x14ac:dyDescent="0.35">
      <c r="C17" s="143"/>
      <c r="K17" s="144"/>
    </row>
    <row r="18" spans="1:12" ht="24.65" customHeight="1" x14ac:dyDescent="0.35">
      <c r="C18" s="143"/>
      <c r="E18" s="439" t="s">
        <v>1179</v>
      </c>
      <c r="K18" s="144"/>
    </row>
    <row r="19" spans="1:12" ht="15" thickBot="1" x14ac:dyDescent="0.4">
      <c r="C19" s="143"/>
      <c r="E19" s="441" t="s">
        <v>765</v>
      </c>
      <c r="F19" s="441" t="s">
        <v>766</v>
      </c>
      <c r="G19" s="441" t="s">
        <v>1180</v>
      </c>
      <c r="H19" s="441" t="s">
        <v>831</v>
      </c>
      <c r="I19" s="441" t="s">
        <v>1140</v>
      </c>
      <c r="J19" s="441" t="s">
        <v>209</v>
      </c>
      <c r="K19" s="144"/>
      <c r="L19" s="731"/>
    </row>
    <row r="20" spans="1:12" x14ac:dyDescent="0.3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3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3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3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3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3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3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3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3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3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 thickBot="1" x14ac:dyDescent="0.4">
      <c r="C30" s="291"/>
      <c r="D30" s="732"/>
      <c r="E30" s="733"/>
      <c r="F30" s="734"/>
      <c r="G30" s="735"/>
      <c r="H30" s="735"/>
      <c r="I30" s="735"/>
      <c r="J30" s="735"/>
      <c r="K30" s="684"/>
    </row>
    <row r="32" spans="1:12" ht="19.899999999999999" customHeight="1" x14ac:dyDescent="0.3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1640625" defaultRowHeight="13" x14ac:dyDescent="0.3"/>
  <cols>
    <col min="1" max="1" width="18.1796875" style="146" bestFit="1" customWidth="1"/>
    <col min="2" max="2" width="35.81640625" style="146" bestFit="1" customWidth="1"/>
    <col min="3" max="3" width="25.7265625" style="146" bestFit="1" customWidth="1"/>
    <col min="4" max="4" width="9.26953125" style="146" bestFit="1" customWidth="1"/>
    <col min="5" max="5" width="9.54296875" style="146" bestFit="1" customWidth="1"/>
    <col min="6" max="6" width="15.26953125" style="146" bestFit="1" customWidth="1"/>
    <col min="7" max="8" width="8.81640625" style="146"/>
    <col min="9" max="9" width="17.26953125" style="146" bestFit="1" customWidth="1"/>
    <col min="10" max="10" width="13.7265625" style="146" bestFit="1" customWidth="1"/>
    <col min="11" max="11" width="12.54296875" style="146" bestFit="1" customWidth="1"/>
    <col min="12" max="12" width="17.7265625" style="146" bestFit="1" customWidth="1"/>
    <col min="13" max="13" width="17.7265625" style="146" customWidth="1"/>
    <col min="14" max="16" width="14.7265625" style="146" bestFit="1" customWidth="1"/>
    <col min="17" max="17" width="12.453125" style="146" bestFit="1" customWidth="1"/>
    <col min="18" max="18" width="10" style="146" bestFit="1" customWidth="1"/>
    <col min="19" max="19" width="14" style="146" customWidth="1"/>
    <col min="20" max="22" width="10.81640625" style="146" bestFit="1" customWidth="1"/>
    <col min="23" max="23" width="13.81640625" style="146" customWidth="1"/>
    <col min="24" max="24" width="13.1796875" style="146" customWidth="1"/>
    <col min="25" max="25" width="15.7265625" style="146" customWidth="1"/>
    <col min="26" max="27" width="10.81640625" style="146" customWidth="1"/>
    <col min="28" max="28" width="12" style="146" bestFit="1" customWidth="1"/>
    <col min="29" max="29" width="11.453125" style="146" customWidth="1"/>
    <col min="30" max="32" width="10.1796875" style="146" customWidth="1"/>
    <col min="33" max="33" width="9.54296875" style="146" bestFit="1" customWidth="1"/>
    <col min="34" max="34" width="49.7265625" style="146" bestFit="1" customWidth="1"/>
    <col min="35" max="35" width="27.81640625" style="146" bestFit="1" customWidth="1"/>
    <col min="36" max="36" width="46.54296875" style="146" bestFit="1" customWidth="1"/>
    <col min="37" max="37" width="25" style="146" bestFit="1" customWidth="1"/>
    <col min="38" max="16384" width="8.81640625" style="146"/>
  </cols>
  <sheetData>
    <row r="1" spans="1:37" x14ac:dyDescent="0.3">
      <c r="AH1" s="146" t="s">
        <v>14</v>
      </c>
      <c r="AI1" s="146" t="s">
        <v>1</v>
      </c>
      <c r="AJ1" s="146" t="s">
        <v>14</v>
      </c>
      <c r="AK1" s="805" t="s">
        <v>113</v>
      </c>
    </row>
    <row r="2" spans="1:37" x14ac:dyDescent="0.3">
      <c r="I2" s="634"/>
      <c r="J2" s="1166"/>
      <c r="K2" s="1166"/>
      <c r="O2" s="634"/>
      <c r="P2" s="634"/>
      <c r="Q2" s="634"/>
      <c r="R2" s="634"/>
      <c r="S2" s="634"/>
      <c r="T2" s="634"/>
      <c r="U2" s="634"/>
      <c r="V2" s="634"/>
      <c r="W2" s="634"/>
      <c r="X2" s="634"/>
      <c r="Y2" s="634"/>
      <c r="Z2" s="634"/>
      <c r="AA2" s="634"/>
      <c r="AH2" s="146" t="s">
        <v>62</v>
      </c>
      <c r="AI2" s="146" t="s">
        <v>1</v>
      </c>
      <c r="AJ2" s="146" t="s">
        <v>62</v>
      </c>
      <c r="AK2" s="805" t="s">
        <v>113</v>
      </c>
    </row>
    <row r="3" spans="1:37" x14ac:dyDescent="0.3">
      <c r="I3" s="635" t="s">
        <v>962</v>
      </c>
      <c r="J3" s="1135" t="e">
        <f>VLOOKUP($J$4,'Market Geography'!$D:$G,4,FALSE)</f>
        <v>#N/A</v>
      </c>
      <c r="K3" s="1135"/>
      <c r="O3" s="634"/>
      <c r="P3" s="634"/>
      <c r="Q3" s="634"/>
      <c r="R3" s="634"/>
      <c r="S3" s="634"/>
      <c r="T3" s="634"/>
      <c r="U3" s="634"/>
      <c r="V3" s="634"/>
      <c r="W3" s="634"/>
      <c r="X3" s="634"/>
      <c r="Y3" s="634"/>
      <c r="Z3" s="634"/>
      <c r="AA3" s="634"/>
      <c r="AH3" s="146" t="s">
        <v>74</v>
      </c>
      <c r="AI3" s="146" t="s">
        <v>1</v>
      </c>
      <c r="AJ3" s="146" t="s">
        <v>74</v>
      </c>
      <c r="AK3" s="805" t="s">
        <v>113</v>
      </c>
    </row>
    <row r="4" spans="1:37" x14ac:dyDescent="0.3">
      <c r="I4" s="635" t="s">
        <v>963</v>
      </c>
      <c r="J4" s="1135">
        <f>Welcome!$D$4</f>
        <v>0</v>
      </c>
      <c r="K4" s="1135"/>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3">
      <c r="I5" s="635" t="s">
        <v>964</v>
      </c>
      <c r="J5" s="1167" t="e">
        <f>VLOOKUP($J$4,'Market Geography'!$D:$F,3,FALSE)</f>
        <v>#N/A</v>
      </c>
      <c r="K5" s="1167"/>
      <c r="O5" s="634"/>
      <c r="P5" s="634"/>
      <c r="Q5" s="634"/>
      <c r="R5" s="634"/>
      <c r="S5" s="634"/>
      <c r="T5" s="634"/>
      <c r="U5" s="634"/>
      <c r="V5" s="634"/>
      <c r="W5" s="634"/>
      <c r="X5" s="634"/>
      <c r="Y5" s="634"/>
      <c r="Z5" s="634"/>
      <c r="AA5" s="634"/>
      <c r="AH5" s="146" t="s">
        <v>0</v>
      </c>
      <c r="AI5" s="146" t="s">
        <v>1</v>
      </c>
      <c r="AJ5" s="146" t="s">
        <v>0</v>
      </c>
      <c r="AK5" s="805" t="s">
        <v>113</v>
      </c>
    </row>
    <row r="6" spans="1:37" x14ac:dyDescent="0.3">
      <c r="I6" s="637" t="s">
        <v>965</v>
      </c>
      <c r="J6" s="1135" t="s">
        <v>135</v>
      </c>
      <c r="K6" s="1135" t="s">
        <v>211</v>
      </c>
      <c r="O6" s="634"/>
      <c r="P6" s="634"/>
      <c r="Q6" s="634"/>
      <c r="R6" s="634"/>
      <c r="S6" s="634"/>
      <c r="T6" s="634"/>
      <c r="U6" s="634"/>
      <c r="V6" s="634"/>
      <c r="W6" s="634"/>
      <c r="X6" s="634"/>
      <c r="Y6" s="634"/>
      <c r="Z6" s="634"/>
      <c r="AA6" s="634"/>
      <c r="AH6" s="146" t="s">
        <v>69</v>
      </c>
      <c r="AI6" s="146" t="s">
        <v>1</v>
      </c>
      <c r="AJ6" s="146" t="s">
        <v>69</v>
      </c>
      <c r="AK6" s="805" t="s">
        <v>113</v>
      </c>
    </row>
    <row r="7" spans="1:37" x14ac:dyDescent="0.3">
      <c r="I7" s="637" t="s">
        <v>966</v>
      </c>
      <c r="J7" s="1135" t="str">
        <f>IF(Welcome!$D$8="MDA","C","N")</f>
        <v>N</v>
      </c>
      <c r="K7" s="1135"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3">
      <c r="AH8" s="146" t="s">
        <v>35</v>
      </c>
      <c r="AI8" s="146" t="s">
        <v>1</v>
      </c>
      <c r="AJ8" s="146" t="s">
        <v>35</v>
      </c>
      <c r="AK8" s="805" t="s">
        <v>113</v>
      </c>
    </row>
    <row r="9" spans="1:37" x14ac:dyDescent="0.3">
      <c r="I9" s="638"/>
      <c r="AH9" s="146" t="s">
        <v>6</v>
      </c>
      <c r="AI9" s="146" t="s">
        <v>1</v>
      </c>
      <c r="AJ9" s="146" t="s">
        <v>6</v>
      </c>
      <c r="AK9" s="805" t="s">
        <v>113</v>
      </c>
    </row>
    <row r="10" spans="1:37" x14ac:dyDescent="0.3">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3">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3">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3">
      <c r="J13" s="623"/>
      <c r="N13" s="624"/>
      <c r="AD13" s="1163" t="s">
        <v>1022</v>
      </c>
      <c r="AE13" s="1164"/>
      <c r="AF13" s="1165"/>
      <c r="AH13" s="146" t="s">
        <v>60</v>
      </c>
      <c r="AI13" s="146" t="s">
        <v>1</v>
      </c>
      <c r="AJ13" s="146" t="s">
        <v>60</v>
      </c>
      <c r="AK13" s="805" t="s">
        <v>113</v>
      </c>
    </row>
    <row r="14" spans="1:37" ht="26" x14ac:dyDescent="0.3">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5" t="s">
        <v>113</v>
      </c>
    </row>
    <row r="15" spans="1:37" x14ac:dyDescent="0.3">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3">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3">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3">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3">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3">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3">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3">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3">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3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3">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3">
      <c r="J26" s="628" t="s">
        <v>950</v>
      </c>
      <c r="K26" s="627">
        <f>IFERROR(SUM($K$15:$K$24)/COUNTIF($K$15:$K$24,"&gt;0"),0)</f>
        <v>0</v>
      </c>
      <c r="AB26" s="628"/>
      <c r="AH26" s="146" t="s">
        <v>270</v>
      </c>
      <c r="AI26" s="146" t="s">
        <v>118</v>
      </c>
      <c r="AJ26" s="146" t="s">
        <v>270</v>
      </c>
      <c r="AK26" s="146" t="s">
        <v>118</v>
      </c>
    </row>
    <row r="27" spans="1:37" x14ac:dyDescent="0.3">
      <c r="AB27" s="628"/>
      <c r="AH27" s="146" t="s">
        <v>271</v>
      </c>
      <c r="AI27" s="146" t="s">
        <v>115</v>
      </c>
      <c r="AJ27" s="146" t="s">
        <v>271</v>
      </c>
      <c r="AK27" s="146" t="s">
        <v>115</v>
      </c>
    </row>
    <row r="28" spans="1:37" x14ac:dyDescent="0.3">
      <c r="AH28" s="146" t="s">
        <v>272</v>
      </c>
      <c r="AI28" s="146" t="s">
        <v>117</v>
      </c>
      <c r="AJ28" s="146" t="s">
        <v>272</v>
      </c>
      <c r="AK28" s="146" t="s">
        <v>117</v>
      </c>
    </row>
    <row r="33" ht="14.5" customHeight="1" x14ac:dyDescent="0.3"/>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4.5" x14ac:dyDescent="0.35"/>
  <cols>
    <col min="1" max="1" width="27.26953125" bestFit="1" customWidth="1"/>
    <col min="2" max="2" width="41" bestFit="1" customWidth="1"/>
    <col min="3" max="3" width="12.1796875" bestFit="1" customWidth="1"/>
    <col min="4" max="4" width="11.7265625" bestFit="1" customWidth="1"/>
    <col min="5" max="5" width="11.1796875" bestFit="1" customWidth="1"/>
    <col min="8" max="8" width="12.7265625" bestFit="1" customWidth="1"/>
    <col min="9" max="9" width="11.1796875" bestFit="1" customWidth="1"/>
    <col min="10" max="10" width="11" bestFit="1" customWidth="1"/>
    <col min="15" max="15" width="52.26953125" bestFit="1" customWidth="1"/>
    <col min="16" max="16" width="3.26953125" bestFit="1" customWidth="1"/>
    <col min="17" max="17" width="49.7265625" bestFit="1" customWidth="1"/>
    <col min="18" max="18" width="6" bestFit="1" customWidth="1"/>
  </cols>
  <sheetData>
    <row r="1" spans="1:18" x14ac:dyDescent="0.35">
      <c r="E1" s="1169" t="s">
        <v>1067</v>
      </c>
      <c r="F1" s="1170"/>
      <c r="G1" s="1170"/>
      <c r="H1" s="1170"/>
      <c r="I1" s="1170"/>
      <c r="J1" s="1171"/>
      <c r="L1" s="1169" t="s">
        <v>1066</v>
      </c>
      <c r="M1" s="1171"/>
      <c r="Q1" s="1" t="s">
        <v>561</v>
      </c>
      <c r="R1" s="1" t="s">
        <v>560</v>
      </c>
    </row>
    <row r="2" spans="1:18" x14ac:dyDescent="0.35">
      <c r="E2" s="1">
        <v>0.1</v>
      </c>
      <c r="F2" s="54">
        <v>1.0999999999999999E-2</v>
      </c>
      <c r="G2" s="54">
        <v>2.7E-2</v>
      </c>
      <c r="H2" s="54">
        <v>3.2000000000000001E-2</v>
      </c>
      <c r="I2" s="54">
        <v>4.9000000000000002E-2</v>
      </c>
      <c r="J2" s="54">
        <v>6.4000000000000001E-2</v>
      </c>
      <c r="L2" s="866" t="s">
        <v>1195</v>
      </c>
      <c r="M2" s="49">
        <v>5.0000000000000001E-4</v>
      </c>
      <c r="O2" s="1" t="s">
        <v>562</v>
      </c>
      <c r="P2" s="1" t="s">
        <v>218</v>
      </c>
      <c r="Q2" s="1" t="s">
        <v>14</v>
      </c>
      <c r="R2" s="54">
        <v>6.0999999999999999E-2</v>
      </c>
    </row>
    <row r="3" spans="1:18" x14ac:dyDescent="0.35">
      <c r="E3" s="1">
        <v>0.15</v>
      </c>
      <c r="F3" s="54">
        <v>5.0000000000000001E-3</v>
      </c>
      <c r="G3" s="54">
        <v>3.9E-2</v>
      </c>
      <c r="H3" s="54">
        <v>0.05</v>
      </c>
      <c r="I3" s="54">
        <v>6.5000000000000002E-2</v>
      </c>
      <c r="J3" s="54">
        <v>8.5999999999999993E-2</v>
      </c>
      <c r="L3" s="866" t="s">
        <v>1196</v>
      </c>
      <c r="M3" s="49">
        <v>1E-3</v>
      </c>
      <c r="O3" s="1" t="s">
        <v>563</v>
      </c>
      <c r="P3" s="1" t="s">
        <v>219</v>
      </c>
      <c r="Q3" s="1" t="s">
        <v>14</v>
      </c>
      <c r="R3" s="54">
        <v>9.8000000000000004E-2</v>
      </c>
    </row>
    <row r="4" spans="1:18" x14ac:dyDescent="0.35">
      <c r="B4" t="str">
        <f>'Multi-Customer'!$M$82</f>
        <v>Enter Customer(s)</v>
      </c>
      <c r="E4" s="1">
        <v>0.2</v>
      </c>
      <c r="F4" s="54">
        <v>3.2000000000000001E-2</v>
      </c>
      <c r="G4" s="54">
        <v>5.2999999999999999E-2</v>
      </c>
      <c r="H4" s="54">
        <v>6.5000000000000002E-2</v>
      </c>
      <c r="I4" s="54">
        <v>7.6999999999999999E-2</v>
      </c>
      <c r="J4" s="54">
        <v>0.11</v>
      </c>
      <c r="L4" s="866" t="s">
        <v>1197</v>
      </c>
      <c r="M4" s="49">
        <v>1.5E-3</v>
      </c>
      <c r="O4" s="1" t="s">
        <v>564</v>
      </c>
      <c r="P4" s="1" t="s">
        <v>220</v>
      </c>
      <c r="Q4" s="1" t="s">
        <v>14</v>
      </c>
      <c r="R4" s="54">
        <v>0.122</v>
      </c>
    </row>
    <row r="5" spans="1:18" x14ac:dyDescent="0.35">
      <c r="B5" t="str">
        <f>'Multi-Customer'!$M$82</f>
        <v>Enter Customer(s)</v>
      </c>
      <c r="E5" s="1">
        <v>0.25</v>
      </c>
      <c r="F5" s="54">
        <v>4.2000000000000003E-2</v>
      </c>
      <c r="G5" s="54">
        <v>5.8999999999999997E-2</v>
      </c>
      <c r="H5" s="54">
        <v>7.0999999999999994E-2</v>
      </c>
      <c r="I5" s="54">
        <v>9.2999999999999999E-2</v>
      </c>
      <c r="J5" s="54">
        <v>0.122</v>
      </c>
      <c r="L5" s="866" t="s">
        <v>1198</v>
      </c>
      <c r="M5" s="49">
        <v>2E-3</v>
      </c>
      <c r="O5" s="1" t="s">
        <v>565</v>
      </c>
      <c r="P5" s="1" t="s">
        <v>274</v>
      </c>
      <c r="Q5" s="1" t="s">
        <v>14</v>
      </c>
      <c r="R5" s="54">
        <v>0.14499999999999999</v>
      </c>
    </row>
    <row r="6" spans="1:18" x14ac:dyDescent="0.35">
      <c r="A6" s="88" t="s">
        <v>982</v>
      </c>
      <c r="B6" t="str">
        <f>IF(B7&lt;0.25,"Q1",IF(B7&lt;0.5,"Q2",IF(B7&lt;0.75,"Q3","Q4")))</f>
        <v>Q1</v>
      </c>
      <c r="E6" s="1">
        <v>0.3</v>
      </c>
      <c r="F6" s="54">
        <v>3.2000000000000001E-2</v>
      </c>
      <c r="G6" s="54">
        <v>6.5000000000000002E-2</v>
      </c>
      <c r="H6" s="54">
        <v>7.6999999999999999E-2</v>
      </c>
      <c r="I6" s="54">
        <v>9.5000000000000001E-2</v>
      </c>
      <c r="J6" s="54">
        <v>0.12</v>
      </c>
      <c r="L6" s="866" t="s">
        <v>1199</v>
      </c>
      <c r="M6" s="49">
        <v>2.5000000000000001E-3</v>
      </c>
      <c r="O6" s="1" t="s">
        <v>566</v>
      </c>
      <c r="P6" s="1" t="s">
        <v>218</v>
      </c>
      <c r="Q6" s="1" t="s">
        <v>62</v>
      </c>
      <c r="R6" s="54">
        <v>4.5999999999999999E-2</v>
      </c>
    </row>
    <row r="7" spans="1:18" x14ac:dyDescent="0.35">
      <c r="A7" s="88" t="s">
        <v>480</v>
      </c>
      <c r="B7">
        <f>'PIM Ranges'!$AU$3</f>
        <v>0</v>
      </c>
      <c r="E7" s="1">
        <v>0.35</v>
      </c>
      <c r="F7" s="54">
        <v>4.8000000000000001E-2</v>
      </c>
      <c r="G7" s="54">
        <v>7.9000000000000001E-2</v>
      </c>
      <c r="H7" s="54">
        <v>9.4E-2</v>
      </c>
      <c r="I7" s="54">
        <v>0.11</v>
      </c>
      <c r="J7" s="54">
        <v>0.14499999999999999</v>
      </c>
      <c r="L7" s="866" t="s">
        <v>1200</v>
      </c>
      <c r="M7" s="49">
        <v>3.0000000000000001E-3</v>
      </c>
      <c r="O7" s="1" t="s">
        <v>567</v>
      </c>
      <c r="P7" s="1" t="s">
        <v>219</v>
      </c>
      <c r="Q7" s="1" t="s">
        <v>62</v>
      </c>
      <c r="R7" s="54">
        <v>8.5000000000000006E-2</v>
      </c>
    </row>
    <row r="8" spans="1:18" x14ac:dyDescent="0.3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1201</v>
      </c>
      <c r="M8" s="49">
        <v>3.5000000000000001E-3</v>
      </c>
      <c r="O8" s="1" t="s">
        <v>568</v>
      </c>
      <c r="P8" s="1" t="s">
        <v>220</v>
      </c>
      <c r="Q8" s="1" t="s">
        <v>62</v>
      </c>
      <c r="R8" s="54">
        <v>0.106</v>
      </c>
    </row>
    <row r="9" spans="1:18" x14ac:dyDescent="0.35">
      <c r="A9" s="88" t="s">
        <v>983</v>
      </c>
      <c r="B9" t="str">
        <f>IF($B$4="Multiple Menu Types",B6&amp;B5,B6&amp;B4)</f>
        <v>Q1Enter Customer(s)</v>
      </c>
      <c r="E9" s="1">
        <v>0.45</v>
      </c>
      <c r="F9" s="54">
        <v>5.6000000000000001E-2</v>
      </c>
      <c r="G9" s="54">
        <v>8.6999999999999994E-2</v>
      </c>
      <c r="H9" s="54">
        <v>0.10100000000000001</v>
      </c>
      <c r="I9" s="54">
        <v>0.12</v>
      </c>
      <c r="J9" s="54">
        <v>0.16700000000000001</v>
      </c>
      <c r="L9" s="866" t="s">
        <v>1202</v>
      </c>
      <c r="M9" s="49">
        <v>4.0000000000000001E-3</v>
      </c>
      <c r="O9" s="1" t="s">
        <v>569</v>
      </c>
      <c r="P9" s="1" t="s">
        <v>274</v>
      </c>
      <c r="Q9" s="1" t="s">
        <v>62</v>
      </c>
      <c r="R9" s="54">
        <v>0.106</v>
      </c>
    </row>
    <row r="10" spans="1:18" x14ac:dyDescent="0.35">
      <c r="A10" s="88"/>
      <c r="E10" s="1">
        <v>0.5</v>
      </c>
      <c r="F10" s="54">
        <v>0.05</v>
      </c>
      <c r="G10" s="54">
        <v>9.1999999999999998E-2</v>
      </c>
      <c r="H10" s="54">
        <v>0.108</v>
      </c>
      <c r="I10" s="54">
        <v>0.124</v>
      </c>
      <c r="J10" s="54">
        <v>0.16600000000000001</v>
      </c>
      <c r="L10" s="866" t="s">
        <v>1203</v>
      </c>
      <c r="M10" s="49">
        <v>4.4999999999999997E-3</v>
      </c>
      <c r="O10" s="1" t="s">
        <v>570</v>
      </c>
      <c r="P10" s="1" t="s">
        <v>218</v>
      </c>
      <c r="Q10" s="1" t="s">
        <v>74</v>
      </c>
      <c r="R10" s="54">
        <v>7.1999999999999995E-2</v>
      </c>
    </row>
    <row r="11" spans="1:18" x14ac:dyDescent="0.3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1204</v>
      </c>
      <c r="M11" s="49">
        <v>5.0000000000000001E-3</v>
      </c>
      <c r="O11" s="1" t="s">
        <v>571</v>
      </c>
      <c r="P11" s="1" t="s">
        <v>219</v>
      </c>
      <c r="Q11" s="1" t="s">
        <v>74</v>
      </c>
      <c r="R11" s="54">
        <v>0.109</v>
      </c>
    </row>
    <row r="12" spans="1:18" x14ac:dyDescent="0.35">
      <c r="A12" s="88" t="s">
        <v>985</v>
      </c>
      <c r="B12">
        <f>IFERROR(VLOOKUP($B$9,$O:$R,4,FALSE),0)</f>
        <v>0</v>
      </c>
      <c r="E12" s="1">
        <v>0.6</v>
      </c>
      <c r="F12" s="54">
        <v>6.6000000000000003E-2</v>
      </c>
      <c r="G12" s="54">
        <v>0.10299999999999999</v>
      </c>
      <c r="H12" s="54">
        <v>0.11899999999999999</v>
      </c>
      <c r="I12" s="54">
        <v>0.13700000000000001</v>
      </c>
      <c r="J12" s="54">
        <v>0.184</v>
      </c>
      <c r="L12" s="866" t="s">
        <v>1205</v>
      </c>
      <c r="M12" s="49">
        <v>5.4999999999999997E-3</v>
      </c>
      <c r="O12" s="1" t="s">
        <v>572</v>
      </c>
      <c r="P12" s="1" t="s">
        <v>220</v>
      </c>
      <c r="Q12" s="1" t="s">
        <v>74</v>
      </c>
      <c r="R12" s="54">
        <v>0.14299999999999999</v>
      </c>
    </row>
    <row r="13" spans="1:18" x14ac:dyDescent="0.35">
      <c r="A13" s="88"/>
      <c r="E13" s="1">
        <v>0.65</v>
      </c>
      <c r="F13" s="54">
        <v>7.4999999999999997E-2</v>
      </c>
      <c r="G13" s="54">
        <v>0.111</v>
      </c>
      <c r="H13" s="54">
        <v>0.123</v>
      </c>
      <c r="I13" s="54">
        <v>0.13600000000000001</v>
      </c>
      <c r="J13" s="54">
        <v>0.17299999999999999</v>
      </c>
      <c r="L13" s="866" t="s">
        <v>1206</v>
      </c>
      <c r="M13" s="49">
        <v>6.0000000000000001E-3</v>
      </c>
      <c r="O13" s="1" t="s">
        <v>573</v>
      </c>
      <c r="P13" s="1" t="s">
        <v>274</v>
      </c>
      <c r="Q13" s="1" t="s">
        <v>74</v>
      </c>
      <c r="R13" s="54">
        <v>0.14299999999999999</v>
      </c>
    </row>
    <row r="14" spans="1:18" x14ac:dyDescent="0.35">
      <c r="A14" s="88" t="s">
        <v>939</v>
      </c>
      <c r="B14" s="41">
        <f>'PIM Model'!$G$31</f>
        <v>0</v>
      </c>
      <c r="E14" s="1">
        <v>0.7</v>
      </c>
      <c r="F14" s="54">
        <v>0.08</v>
      </c>
      <c r="G14" s="54">
        <v>0.113</v>
      </c>
      <c r="H14" s="54">
        <v>0.126</v>
      </c>
      <c r="I14" s="54">
        <v>0.15</v>
      </c>
      <c r="J14" s="54">
        <v>0.20200000000000001</v>
      </c>
      <c r="L14" s="866" t="s">
        <v>1207</v>
      </c>
      <c r="M14" s="49">
        <v>6.4999999999999997E-3</v>
      </c>
      <c r="O14" s="1" t="s">
        <v>574</v>
      </c>
      <c r="P14" s="1" t="s">
        <v>218</v>
      </c>
      <c r="Q14" s="1" t="s">
        <v>34</v>
      </c>
      <c r="R14" s="54">
        <v>6.2E-2</v>
      </c>
    </row>
    <row r="15" spans="1:18" x14ac:dyDescent="0.35">
      <c r="A15" s="88" t="s">
        <v>986</v>
      </c>
      <c r="B15" s="41">
        <f>B12*B14</f>
        <v>0</v>
      </c>
      <c r="E15" s="1">
        <v>0.75</v>
      </c>
      <c r="F15" s="54">
        <v>7.8E-2</v>
      </c>
      <c r="G15" s="54">
        <v>0.108</v>
      </c>
      <c r="H15" s="54">
        <v>0.128</v>
      </c>
      <c r="I15" s="54">
        <v>0.154</v>
      </c>
      <c r="J15" s="54">
        <v>0.21</v>
      </c>
      <c r="L15" s="866" t="s">
        <v>1208</v>
      </c>
      <c r="M15" s="49">
        <v>7.0000000000000001E-3</v>
      </c>
      <c r="O15" s="1" t="s">
        <v>575</v>
      </c>
      <c r="P15" s="1" t="s">
        <v>219</v>
      </c>
      <c r="Q15" s="1" t="s">
        <v>34</v>
      </c>
      <c r="R15" s="54">
        <v>0.10199999999999999</v>
      </c>
    </row>
    <row r="16" spans="1:18" x14ac:dyDescent="0.35">
      <c r="A16" s="88" t="s">
        <v>984</v>
      </c>
      <c r="B16">
        <f>B14*B11</f>
        <v>0</v>
      </c>
      <c r="E16" s="1">
        <v>0.8</v>
      </c>
      <c r="F16" s="54">
        <v>9.7000000000000003E-2</v>
      </c>
      <c r="G16" s="54">
        <v>0.13200000000000001</v>
      </c>
      <c r="H16" s="54">
        <v>0.129</v>
      </c>
      <c r="I16" s="54">
        <v>0.156</v>
      </c>
      <c r="J16" s="54">
        <v>0.17</v>
      </c>
      <c r="L16" s="866" t="s">
        <v>1209</v>
      </c>
      <c r="M16" s="49">
        <v>7.4999999999999997E-3</v>
      </c>
      <c r="O16" s="1" t="s">
        <v>576</v>
      </c>
      <c r="P16" s="1" t="s">
        <v>220</v>
      </c>
      <c r="Q16" s="1" t="s">
        <v>34</v>
      </c>
      <c r="R16" s="54">
        <v>0.11700000000000001</v>
      </c>
    </row>
    <row r="17" spans="2:18" x14ac:dyDescent="0.35">
      <c r="E17" s="1" t="s">
        <v>481</v>
      </c>
      <c r="F17" s="54">
        <v>9.9000000000000005E-2</v>
      </c>
      <c r="G17" s="54">
        <v>0.10800000000000001</v>
      </c>
      <c r="H17" s="54">
        <v>0.129</v>
      </c>
      <c r="I17" s="54">
        <v>0.151</v>
      </c>
      <c r="J17" s="54">
        <v>0.155</v>
      </c>
      <c r="L17" s="867" t="s">
        <v>1210</v>
      </c>
      <c r="M17" s="49">
        <v>8.0000000000000002E-3</v>
      </c>
      <c r="O17" s="1" t="s">
        <v>577</v>
      </c>
      <c r="P17" s="1" t="s">
        <v>274</v>
      </c>
      <c r="Q17" s="1" t="s">
        <v>34</v>
      </c>
      <c r="R17" s="54">
        <v>0.11700000000000001</v>
      </c>
    </row>
    <row r="18" spans="2:18" x14ac:dyDescent="0.35">
      <c r="L18" s="866" t="s">
        <v>1211</v>
      </c>
      <c r="M18" s="49">
        <v>8.5000000000000006E-3</v>
      </c>
      <c r="O18" s="1" t="s">
        <v>578</v>
      </c>
      <c r="P18" s="1" t="s">
        <v>218</v>
      </c>
      <c r="Q18" s="1" t="s">
        <v>0</v>
      </c>
      <c r="R18" s="54">
        <v>5.3999999999999999E-2</v>
      </c>
    </row>
    <row r="19" spans="2:18" x14ac:dyDescent="0.35">
      <c r="B19" t="s">
        <v>1073</v>
      </c>
      <c r="C19">
        <f>IF(Welcome!$D$14="Select # of Locations",0,Welcome!$D$14)</f>
        <v>0</v>
      </c>
      <c r="L19" s="866" t="s">
        <v>1212</v>
      </c>
      <c r="M19" s="49">
        <v>8.9999999999999993E-3</v>
      </c>
      <c r="O19" s="1" t="s">
        <v>579</v>
      </c>
      <c r="P19" s="1" t="s">
        <v>219</v>
      </c>
      <c r="Q19" s="1" t="s">
        <v>0</v>
      </c>
      <c r="R19" s="54">
        <v>8.7999999999999995E-2</v>
      </c>
    </row>
    <row r="20" spans="2:18" x14ac:dyDescent="0.35">
      <c r="B20">
        <f>'PIM Model'!$E$3</f>
        <v>0</v>
      </c>
      <c r="E20" s="1169" t="s">
        <v>1068</v>
      </c>
      <c r="F20" s="1170"/>
      <c r="G20" s="1171"/>
      <c r="L20" s="1"/>
      <c r="M20" s="49">
        <v>9.4999999999999998E-3</v>
      </c>
      <c r="O20" s="1" t="s">
        <v>580</v>
      </c>
      <c r="P20" s="1" t="s">
        <v>220</v>
      </c>
      <c r="Q20" s="1" t="s">
        <v>0</v>
      </c>
      <c r="R20" s="54">
        <v>0.112</v>
      </c>
    </row>
    <row r="21" spans="2:18" x14ac:dyDescent="0.35">
      <c r="B21" t="s">
        <v>502</v>
      </c>
      <c r="C21" s="41">
        <f>'PIM Model'!$G$31</f>
        <v>0</v>
      </c>
      <c r="E21" s="90" t="s">
        <v>1075</v>
      </c>
      <c r="F21" s="721">
        <v>2600</v>
      </c>
      <c r="G21" s="54">
        <v>5.6000000000000001E-2</v>
      </c>
      <c r="H21" s="24"/>
      <c r="O21" s="1" t="s">
        <v>581</v>
      </c>
      <c r="P21" s="1" t="s">
        <v>274</v>
      </c>
      <c r="Q21" s="1" t="s">
        <v>0</v>
      </c>
      <c r="R21" s="54">
        <v>0.112</v>
      </c>
    </row>
    <row r="22" spans="2:18" x14ac:dyDescent="0.3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3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3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35">
      <c r="B25" t="s">
        <v>1071</v>
      </c>
      <c r="C25" s="24">
        <v>0.08</v>
      </c>
      <c r="D25" s="24" t="e">
        <f>IF($C$23&lt;$F$29,$G$29,IF($C$23&lt;$F$30,$G$30,IF($C$23&lt;$F$31,$G$31,IF($C$23&lt;$F$32,$G$32,$G$33))))</f>
        <v>#DIV/0!</v>
      </c>
      <c r="E25" s="90" t="s">
        <v>1079</v>
      </c>
      <c r="F25" s="721"/>
      <c r="G25" s="54">
        <v>6.0999999999999999E-2</v>
      </c>
      <c r="H25" s="24"/>
      <c r="K25" s="823"/>
      <c r="L25" s="432" t="s">
        <v>1196</v>
      </c>
      <c r="M25" s="49">
        <f t="shared" si="0"/>
        <v>5.4999999999999979E-3</v>
      </c>
      <c r="O25" s="1" t="s">
        <v>585</v>
      </c>
      <c r="P25" s="1" t="s">
        <v>274</v>
      </c>
      <c r="Q25" s="1" t="s">
        <v>69</v>
      </c>
      <c r="R25" s="54">
        <v>0.151</v>
      </c>
    </row>
    <row r="26" spans="2:18" x14ac:dyDescent="0.35">
      <c r="B26" t="s">
        <v>1072</v>
      </c>
      <c r="C26" s="24">
        <f>IF($B$20="MDA",$C$24,$C$25)</f>
        <v>0.08</v>
      </c>
      <c r="E26" s="88"/>
      <c r="G26" s="24"/>
      <c r="H26" s="24"/>
      <c r="K26" s="823"/>
      <c r="L26" s="432" t="s">
        <v>1197</v>
      </c>
      <c r="M26" s="49">
        <f t="shared" si="0"/>
        <v>5.9999999999999984E-3</v>
      </c>
      <c r="O26" s="1" t="s">
        <v>586</v>
      </c>
      <c r="P26" s="1" t="s">
        <v>218</v>
      </c>
      <c r="Q26" s="1" t="s">
        <v>4</v>
      </c>
      <c r="R26" s="54">
        <v>6.5000000000000002E-2</v>
      </c>
    </row>
    <row r="27" spans="2:18" x14ac:dyDescent="0.35">
      <c r="B27" t="s">
        <v>501</v>
      </c>
      <c r="C27" s="24">
        <f>'Tracking &amp; Profitability'!$I$34</f>
        <v>0</v>
      </c>
      <c r="E27" s="88"/>
      <c r="K27" s="823"/>
      <c r="L27" s="432" t="s">
        <v>1198</v>
      </c>
      <c r="M27" s="49">
        <f t="shared" si="0"/>
        <v>6.4999999999999988E-3</v>
      </c>
      <c r="O27" s="1" t="s">
        <v>587</v>
      </c>
      <c r="P27" s="1" t="s">
        <v>219</v>
      </c>
      <c r="Q27" s="1" t="s">
        <v>4</v>
      </c>
      <c r="R27" s="54">
        <v>9.2999999999999999E-2</v>
      </c>
    </row>
    <row r="28" spans="2:18" x14ac:dyDescent="0.35">
      <c r="C28" s="24">
        <f>IFERROR(IF($C$27&gt;$C$26,"Approved",C26-C27),0)</f>
        <v>0.08</v>
      </c>
      <c r="E28" s="1168" t="s">
        <v>1069</v>
      </c>
      <c r="F28" s="1168"/>
      <c r="G28" s="1168"/>
      <c r="K28" s="823"/>
      <c r="L28" s="432" t="s">
        <v>1199</v>
      </c>
      <c r="M28" s="49">
        <f t="shared" si="0"/>
        <v>6.9999999999999993E-3</v>
      </c>
      <c r="O28" s="1" t="s">
        <v>588</v>
      </c>
      <c r="P28" s="1" t="s">
        <v>220</v>
      </c>
      <c r="Q28" s="1" t="s">
        <v>4</v>
      </c>
      <c r="R28" s="54">
        <v>0.11600000000000001</v>
      </c>
    </row>
    <row r="29" spans="2:18" x14ac:dyDescent="0.35">
      <c r="E29" s="90" t="s">
        <v>1080</v>
      </c>
      <c r="F29" s="721">
        <v>1500</v>
      </c>
      <c r="G29" s="54">
        <v>8.3000000000000004E-2</v>
      </c>
      <c r="H29" s="24"/>
      <c r="K29" s="823"/>
      <c r="L29" s="432" t="s">
        <v>1200</v>
      </c>
      <c r="M29" s="49">
        <f t="shared" si="0"/>
        <v>7.4999999999999997E-3</v>
      </c>
      <c r="O29" s="1" t="s">
        <v>589</v>
      </c>
      <c r="P29" s="1" t="s">
        <v>274</v>
      </c>
      <c r="Q29" s="1" t="s">
        <v>4</v>
      </c>
      <c r="R29" s="54">
        <v>0.11600000000000001</v>
      </c>
    </row>
    <row r="30" spans="2:18" x14ac:dyDescent="0.35">
      <c r="E30" s="90" t="s">
        <v>1081</v>
      </c>
      <c r="F30" s="721">
        <v>2400</v>
      </c>
      <c r="G30" s="54">
        <v>8.3000000000000004E-2</v>
      </c>
      <c r="H30" s="24"/>
      <c r="K30" s="823"/>
      <c r="L30" s="841" t="s">
        <v>1201</v>
      </c>
      <c r="M30" s="842">
        <v>8.0000000000000002E-3</v>
      </c>
      <c r="O30" s="1" t="s">
        <v>590</v>
      </c>
      <c r="P30" s="1" t="s">
        <v>218</v>
      </c>
      <c r="Q30" s="1" t="s">
        <v>35</v>
      </c>
      <c r="R30" s="54">
        <v>8.6999999999999994E-2</v>
      </c>
    </row>
    <row r="31" spans="2:18" x14ac:dyDescent="0.35">
      <c r="E31" s="90" t="s">
        <v>1082</v>
      </c>
      <c r="F31" s="721">
        <v>4100</v>
      </c>
      <c r="G31" s="54">
        <v>8.3000000000000004E-2</v>
      </c>
      <c r="H31" s="24"/>
      <c r="K31" s="823"/>
      <c r="L31" s="432" t="s">
        <v>1202</v>
      </c>
      <c r="M31" s="49">
        <f>M30+0.0005</f>
        <v>8.5000000000000006E-3</v>
      </c>
      <c r="O31" s="1" t="s">
        <v>591</v>
      </c>
      <c r="P31" s="1" t="s">
        <v>219</v>
      </c>
      <c r="Q31" s="1" t="s">
        <v>35</v>
      </c>
      <c r="R31" s="54">
        <v>8.6999999999999994E-2</v>
      </c>
    </row>
    <row r="32" spans="2:18" x14ac:dyDescent="0.35">
      <c r="E32" s="90" t="s">
        <v>1083</v>
      </c>
      <c r="F32" s="721">
        <v>8000</v>
      </c>
      <c r="G32" s="54">
        <v>8.2000000000000003E-2</v>
      </c>
      <c r="H32" s="24"/>
      <c r="K32" s="823"/>
      <c r="L32" s="432" t="s">
        <v>1203</v>
      </c>
      <c r="M32" s="49">
        <f>M31+0.0005</f>
        <v>9.0000000000000011E-3</v>
      </c>
      <c r="O32" s="1" t="s">
        <v>592</v>
      </c>
      <c r="P32" s="1" t="s">
        <v>220</v>
      </c>
      <c r="Q32" s="1" t="s">
        <v>35</v>
      </c>
      <c r="R32" s="54">
        <v>0.11700000000000001</v>
      </c>
    </row>
    <row r="33" spans="1:18" x14ac:dyDescent="0.35">
      <c r="E33" s="90" t="s">
        <v>1084</v>
      </c>
      <c r="F33" s="721"/>
      <c r="G33" s="54">
        <v>7.9000000000000001E-2</v>
      </c>
      <c r="H33" s="24"/>
      <c r="K33" s="823"/>
      <c r="L33" s="432" t="s">
        <v>1204</v>
      </c>
      <c r="M33" s="49">
        <f t="shared" ref="M33:M42" si="1">M32+0.0005</f>
        <v>9.5000000000000015E-3</v>
      </c>
      <c r="O33" s="1" t="s">
        <v>593</v>
      </c>
      <c r="P33" s="1" t="s">
        <v>274</v>
      </c>
      <c r="Q33" s="1" t="s">
        <v>35</v>
      </c>
      <c r="R33" s="54">
        <v>0.11700000000000001</v>
      </c>
    </row>
    <row r="34" spans="1:18" ht="15" thickBot="1" x14ac:dyDescent="0.4">
      <c r="G34" s="24"/>
      <c r="H34" s="24"/>
      <c r="K34" s="823"/>
      <c r="L34" s="432" t="s">
        <v>1205</v>
      </c>
      <c r="M34" s="49">
        <f t="shared" si="1"/>
        <v>1.0000000000000002E-2</v>
      </c>
      <c r="O34" s="1" t="s">
        <v>594</v>
      </c>
      <c r="P34" s="1" t="s">
        <v>218</v>
      </c>
      <c r="Q34" s="1" t="s">
        <v>6</v>
      </c>
      <c r="R34" s="54">
        <v>0.06</v>
      </c>
    </row>
    <row r="35" spans="1:18" ht="15" thickBot="1" x14ac:dyDescent="0.4">
      <c r="A35" s="462" t="s">
        <v>989</v>
      </c>
      <c r="K35" s="823"/>
      <c r="L35" s="432" t="s">
        <v>1206</v>
      </c>
      <c r="M35" s="49">
        <f t="shared" si="1"/>
        <v>1.0500000000000002E-2</v>
      </c>
      <c r="O35" s="1" t="s">
        <v>595</v>
      </c>
      <c r="P35" s="1" t="s">
        <v>219</v>
      </c>
      <c r="Q35" s="1" t="s">
        <v>6</v>
      </c>
      <c r="R35" s="54">
        <v>0.106</v>
      </c>
    </row>
    <row r="36" spans="1:18" ht="15" thickBot="1" x14ac:dyDescent="0.4">
      <c r="A36" s="458" t="s">
        <v>977</v>
      </c>
      <c r="B36" s="455" t="s">
        <v>938</v>
      </c>
      <c r="C36" s="452" t="s">
        <v>473</v>
      </c>
      <c r="D36" s="452" t="s">
        <v>978</v>
      </c>
      <c r="E36" s="452" t="s">
        <v>981</v>
      </c>
      <c r="F36" s="452" t="s">
        <v>251</v>
      </c>
      <c r="G36" s="452" t="s">
        <v>980</v>
      </c>
      <c r="H36" s="453" t="s">
        <v>987</v>
      </c>
      <c r="I36" s="454" t="s">
        <v>979</v>
      </c>
      <c r="J36" s="453" t="s">
        <v>988</v>
      </c>
      <c r="K36" s="823"/>
      <c r="L36" s="432" t="s">
        <v>1207</v>
      </c>
      <c r="M36" s="49">
        <f t="shared" si="1"/>
        <v>1.1000000000000003E-2</v>
      </c>
      <c r="O36" s="1" t="s">
        <v>596</v>
      </c>
      <c r="P36" s="1" t="s">
        <v>220</v>
      </c>
      <c r="Q36" s="1" t="s">
        <v>6</v>
      </c>
      <c r="R36" s="54">
        <v>0.12</v>
      </c>
    </row>
    <row r="37" spans="1:18" x14ac:dyDescent="0.3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1208</v>
      </c>
      <c r="M37" s="49">
        <f t="shared" si="1"/>
        <v>1.1500000000000003E-2</v>
      </c>
      <c r="O37" s="1" t="s">
        <v>597</v>
      </c>
      <c r="P37" s="1" t="s">
        <v>274</v>
      </c>
      <c r="Q37" s="1" t="s">
        <v>6</v>
      </c>
      <c r="R37" s="54">
        <v>0.17</v>
      </c>
    </row>
    <row r="38" spans="1:18" x14ac:dyDescent="0.3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1209</v>
      </c>
      <c r="M38" s="49">
        <f t="shared" si="1"/>
        <v>1.2000000000000004E-2</v>
      </c>
      <c r="O38" s="1" t="s">
        <v>598</v>
      </c>
      <c r="P38" s="1" t="s">
        <v>218</v>
      </c>
      <c r="Q38" s="1" t="s">
        <v>264</v>
      </c>
      <c r="R38" s="54">
        <v>5.9000000000000004E-2</v>
      </c>
    </row>
    <row r="39" spans="1:18" x14ac:dyDescent="0.3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1210</v>
      </c>
      <c r="M39" s="49">
        <f t="shared" si="1"/>
        <v>1.2500000000000004E-2</v>
      </c>
      <c r="O39" s="1" t="s">
        <v>599</v>
      </c>
      <c r="P39" s="1" t="s">
        <v>219</v>
      </c>
      <c r="Q39" s="1" t="s">
        <v>264</v>
      </c>
      <c r="R39" s="54">
        <v>9.9000000000000005E-2</v>
      </c>
    </row>
    <row r="40" spans="1:18" x14ac:dyDescent="0.3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1211</v>
      </c>
      <c r="M40" s="49">
        <f t="shared" si="1"/>
        <v>1.3000000000000005E-2</v>
      </c>
      <c r="O40" s="1" t="s">
        <v>600</v>
      </c>
      <c r="P40" s="1" t="s">
        <v>220</v>
      </c>
      <c r="Q40" s="1" t="s">
        <v>264</v>
      </c>
      <c r="R40" s="54">
        <v>0.11900000000000001</v>
      </c>
    </row>
    <row r="41" spans="1:18" x14ac:dyDescent="0.3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1212</v>
      </c>
      <c r="M41" s="49">
        <f t="shared" si="1"/>
        <v>1.3500000000000005E-2</v>
      </c>
      <c r="O41" s="1" t="s">
        <v>601</v>
      </c>
      <c r="P41" s="1" t="s">
        <v>274</v>
      </c>
      <c r="Q41" s="1" t="s">
        <v>264</v>
      </c>
      <c r="R41" s="54">
        <v>0.15</v>
      </c>
    </row>
    <row r="42" spans="1:18" x14ac:dyDescent="0.3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1213</v>
      </c>
      <c r="M42" s="49">
        <f t="shared" si="1"/>
        <v>1.4000000000000005E-2</v>
      </c>
      <c r="O42" s="1" t="s">
        <v>602</v>
      </c>
      <c r="P42" s="1" t="s">
        <v>218</v>
      </c>
      <c r="Q42" s="1" t="s">
        <v>15</v>
      </c>
      <c r="R42" s="54">
        <v>4.5999999999999999E-2</v>
      </c>
    </row>
    <row r="43" spans="1:18" x14ac:dyDescent="0.3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3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3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 thickBot="1" x14ac:dyDescent="0.4">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 thickBot="1" x14ac:dyDescent="0.4">
      <c r="I47" s="463">
        <f>SUM(I37:I46)</f>
        <v>0</v>
      </c>
      <c r="J47" s="464">
        <f>SUM(J37:J46)</f>
        <v>0</v>
      </c>
      <c r="O47" s="1" t="s">
        <v>607</v>
      </c>
      <c r="P47" s="1" t="s">
        <v>219</v>
      </c>
      <c r="Q47" s="1" t="s">
        <v>45</v>
      </c>
      <c r="R47" s="54">
        <v>6.3E-2</v>
      </c>
    </row>
    <row r="48" spans="1:18" x14ac:dyDescent="0.35">
      <c r="O48" s="1" t="s">
        <v>608</v>
      </c>
      <c r="P48" s="1" t="s">
        <v>220</v>
      </c>
      <c r="Q48" s="1" t="s">
        <v>45</v>
      </c>
      <c r="R48" s="54">
        <v>0.115</v>
      </c>
    </row>
    <row r="49" spans="4:18" x14ac:dyDescent="0.35">
      <c r="O49" s="1" t="s">
        <v>609</v>
      </c>
      <c r="P49" s="1" t="s">
        <v>274</v>
      </c>
      <c r="Q49" s="1" t="s">
        <v>45</v>
      </c>
      <c r="R49" s="54">
        <v>0.115</v>
      </c>
    </row>
    <row r="50" spans="4:18" x14ac:dyDescent="0.35">
      <c r="O50" s="1" t="s">
        <v>610</v>
      </c>
      <c r="P50" s="1" t="s">
        <v>218</v>
      </c>
      <c r="Q50" s="1" t="s">
        <v>265</v>
      </c>
      <c r="R50" s="54">
        <v>5.9000000000000004E-2</v>
      </c>
    </row>
    <row r="51" spans="4:18" x14ac:dyDescent="0.35">
      <c r="O51" s="1" t="s">
        <v>611</v>
      </c>
      <c r="P51" s="1" t="s">
        <v>219</v>
      </c>
      <c r="Q51" s="1" t="s">
        <v>265</v>
      </c>
      <c r="R51" s="54">
        <v>9.9000000000000005E-2</v>
      </c>
    </row>
    <row r="52" spans="4:18" x14ac:dyDescent="0.35">
      <c r="O52" s="1" t="s">
        <v>612</v>
      </c>
      <c r="P52" s="1" t="s">
        <v>220</v>
      </c>
      <c r="Q52" s="1" t="s">
        <v>265</v>
      </c>
      <c r="R52" s="54">
        <v>0.11900000000000001</v>
      </c>
    </row>
    <row r="53" spans="4:18" x14ac:dyDescent="0.35">
      <c r="O53" s="1" t="s">
        <v>613</v>
      </c>
      <c r="P53" s="1" t="s">
        <v>274</v>
      </c>
      <c r="Q53" s="1" t="s">
        <v>265</v>
      </c>
      <c r="R53" s="54">
        <v>0.15</v>
      </c>
    </row>
    <row r="54" spans="4:18" x14ac:dyDescent="0.35">
      <c r="D54" s="62"/>
      <c r="H54" s="840"/>
      <c r="O54" s="1" t="s">
        <v>614</v>
      </c>
      <c r="P54" s="1" t="s">
        <v>218</v>
      </c>
      <c r="Q54" s="1" t="s">
        <v>48</v>
      </c>
      <c r="R54" s="54">
        <v>5.8999999999999997E-2</v>
      </c>
    </row>
    <row r="55" spans="4:18" x14ac:dyDescent="0.35">
      <c r="E55" s="42"/>
      <c r="G55" s="62"/>
      <c r="O55" s="1" t="s">
        <v>615</v>
      </c>
      <c r="P55" s="1" t="s">
        <v>219</v>
      </c>
      <c r="Q55" s="1" t="s">
        <v>48</v>
      </c>
      <c r="R55" s="54">
        <v>9.9000000000000005E-2</v>
      </c>
    </row>
    <row r="56" spans="4:18" x14ac:dyDescent="0.35">
      <c r="D56" s="42"/>
      <c r="O56" s="1" t="s">
        <v>616</v>
      </c>
      <c r="P56" s="1" t="s">
        <v>220</v>
      </c>
      <c r="Q56" s="1" t="s">
        <v>48</v>
      </c>
      <c r="R56" s="54">
        <v>0.13900000000000001</v>
      </c>
    </row>
    <row r="57" spans="4:18" x14ac:dyDescent="0.35">
      <c r="O57" s="1" t="s">
        <v>617</v>
      </c>
      <c r="P57" s="1" t="s">
        <v>274</v>
      </c>
      <c r="Q57" s="1" t="s">
        <v>48</v>
      </c>
      <c r="R57" s="54">
        <v>0.13900000000000001</v>
      </c>
    </row>
    <row r="58" spans="4:18" x14ac:dyDescent="0.35">
      <c r="O58" s="1" t="s">
        <v>618</v>
      </c>
      <c r="P58" s="1" t="s">
        <v>218</v>
      </c>
      <c r="Q58" s="1" t="s">
        <v>266</v>
      </c>
      <c r="R58" s="54">
        <v>5.9000000000000004E-2</v>
      </c>
    </row>
    <row r="59" spans="4:18" x14ac:dyDescent="0.35">
      <c r="O59" s="1" t="s">
        <v>619</v>
      </c>
      <c r="P59" s="1" t="s">
        <v>219</v>
      </c>
      <c r="Q59" s="1" t="s">
        <v>266</v>
      </c>
      <c r="R59" s="54">
        <v>9.9000000000000005E-2</v>
      </c>
    </row>
    <row r="60" spans="4:18" x14ac:dyDescent="0.35">
      <c r="O60" s="1" t="s">
        <v>620</v>
      </c>
      <c r="P60" s="1" t="s">
        <v>220</v>
      </c>
      <c r="Q60" s="1" t="s">
        <v>266</v>
      </c>
      <c r="R60" s="54">
        <v>0.11900000000000001</v>
      </c>
    </row>
    <row r="61" spans="4:18" x14ac:dyDescent="0.35">
      <c r="O61" s="1" t="s">
        <v>621</v>
      </c>
      <c r="P61" s="1" t="s">
        <v>274</v>
      </c>
      <c r="Q61" s="1" t="s">
        <v>266</v>
      </c>
      <c r="R61" s="54">
        <v>0.15</v>
      </c>
    </row>
    <row r="62" spans="4:18" x14ac:dyDescent="0.35">
      <c r="O62" s="1" t="s">
        <v>622</v>
      </c>
      <c r="P62" s="1" t="s">
        <v>218</v>
      </c>
      <c r="Q62" s="1" t="s">
        <v>267</v>
      </c>
      <c r="R62" s="54">
        <v>5.9000000000000004E-2</v>
      </c>
    </row>
    <row r="63" spans="4:18" x14ac:dyDescent="0.35">
      <c r="O63" s="1" t="s">
        <v>623</v>
      </c>
      <c r="P63" s="1" t="s">
        <v>219</v>
      </c>
      <c r="Q63" s="1" t="s">
        <v>267</v>
      </c>
      <c r="R63" s="54">
        <v>9.9000000000000005E-2</v>
      </c>
    </row>
    <row r="64" spans="4:18" x14ac:dyDescent="0.35">
      <c r="O64" s="1" t="s">
        <v>624</v>
      </c>
      <c r="P64" s="1" t="s">
        <v>220</v>
      </c>
      <c r="Q64" s="1" t="s">
        <v>267</v>
      </c>
      <c r="R64" s="54">
        <v>0.11900000000000001</v>
      </c>
    </row>
    <row r="65" spans="15:18" x14ac:dyDescent="0.35">
      <c r="O65" s="1" t="s">
        <v>625</v>
      </c>
      <c r="P65" s="1" t="s">
        <v>274</v>
      </c>
      <c r="Q65" s="1" t="s">
        <v>267</v>
      </c>
      <c r="R65" s="54">
        <v>0.15</v>
      </c>
    </row>
    <row r="66" spans="15:18" x14ac:dyDescent="0.35">
      <c r="O66" s="1" t="s">
        <v>626</v>
      </c>
      <c r="P66" s="1" t="s">
        <v>218</v>
      </c>
      <c r="Q66" s="1" t="s">
        <v>268</v>
      </c>
      <c r="R66" s="54">
        <v>5.0999999999999997E-2</v>
      </c>
    </row>
    <row r="67" spans="15:18" x14ac:dyDescent="0.35">
      <c r="O67" s="1" t="s">
        <v>627</v>
      </c>
      <c r="P67" s="1" t="s">
        <v>219</v>
      </c>
      <c r="Q67" s="1" t="s">
        <v>268</v>
      </c>
      <c r="R67" s="54">
        <v>0.108</v>
      </c>
    </row>
    <row r="68" spans="15:18" x14ac:dyDescent="0.35">
      <c r="O68" s="1" t="s">
        <v>628</v>
      </c>
      <c r="P68" s="1" t="s">
        <v>220</v>
      </c>
      <c r="Q68" s="1" t="s">
        <v>268</v>
      </c>
      <c r="R68" s="54">
        <v>0.121</v>
      </c>
    </row>
    <row r="69" spans="15:18" x14ac:dyDescent="0.35">
      <c r="O69" s="1" t="s">
        <v>629</v>
      </c>
      <c r="P69" s="1" t="s">
        <v>274</v>
      </c>
      <c r="Q69" s="1" t="s">
        <v>268</v>
      </c>
      <c r="R69" s="54">
        <v>0.155</v>
      </c>
    </row>
    <row r="70" spans="15:18" x14ac:dyDescent="0.35">
      <c r="O70" s="1" t="s">
        <v>630</v>
      </c>
      <c r="P70" s="1" t="s">
        <v>218</v>
      </c>
      <c r="Q70" s="1" t="s">
        <v>60</v>
      </c>
      <c r="R70" s="54">
        <v>5.0999999999999997E-2</v>
      </c>
    </row>
    <row r="71" spans="15:18" x14ac:dyDescent="0.35">
      <c r="O71" s="1" t="s">
        <v>631</v>
      </c>
      <c r="P71" s="1" t="s">
        <v>219</v>
      </c>
      <c r="Q71" s="1" t="s">
        <v>60</v>
      </c>
      <c r="R71" s="54">
        <v>0.108</v>
      </c>
    </row>
    <row r="72" spans="15:18" x14ac:dyDescent="0.35">
      <c r="O72" s="1" t="s">
        <v>632</v>
      </c>
      <c r="P72" s="1" t="s">
        <v>220</v>
      </c>
      <c r="Q72" s="1" t="s">
        <v>60</v>
      </c>
      <c r="R72" s="54">
        <v>0.121</v>
      </c>
    </row>
    <row r="73" spans="15:18" x14ac:dyDescent="0.35">
      <c r="O73" s="1" t="s">
        <v>633</v>
      </c>
      <c r="P73" s="1" t="s">
        <v>274</v>
      </c>
      <c r="Q73" s="1" t="s">
        <v>60</v>
      </c>
      <c r="R73" s="54">
        <v>0.155</v>
      </c>
    </row>
    <row r="74" spans="15:18" x14ac:dyDescent="0.35">
      <c r="O74" s="1" t="s">
        <v>634</v>
      </c>
      <c r="P74" s="1" t="s">
        <v>218</v>
      </c>
      <c r="Q74" s="1" t="s">
        <v>20</v>
      </c>
      <c r="R74" s="54">
        <v>7.0999999999999994E-2</v>
      </c>
    </row>
    <row r="75" spans="15:18" x14ac:dyDescent="0.35">
      <c r="O75" s="1" t="s">
        <v>635</v>
      </c>
      <c r="P75" s="1" t="s">
        <v>219</v>
      </c>
      <c r="Q75" s="1" t="s">
        <v>20</v>
      </c>
      <c r="R75" s="54">
        <v>8.7999999999999995E-2</v>
      </c>
    </row>
    <row r="76" spans="15:18" x14ac:dyDescent="0.35">
      <c r="O76" s="1" t="s">
        <v>636</v>
      </c>
      <c r="P76" s="1" t="s">
        <v>220</v>
      </c>
      <c r="Q76" s="1" t="s">
        <v>20</v>
      </c>
      <c r="R76" s="54">
        <v>0.107</v>
      </c>
    </row>
    <row r="77" spans="15:18" x14ac:dyDescent="0.35">
      <c r="O77" s="1" t="s">
        <v>637</v>
      </c>
      <c r="P77" s="1" t="s">
        <v>274</v>
      </c>
      <c r="Q77" s="1" t="s">
        <v>20</v>
      </c>
      <c r="R77" s="54">
        <v>0.107</v>
      </c>
    </row>
    <row r="78" spans="15:18" x14ac:dyDescent="0.35">
      <c r="O78" s="1" t="s">
        <v>638</v>
      </c>
      <c r="P78" s="1" t="s">
        <v>218</v>
      </c>
      <c r="Q78" s="1" t="s">
        <v>269</v>
      </c>
      <c r="R78" s="54">
        <v>5.9000000000000004E-2</v>
      </c>
    </row>
    <row r="79" spans="15:18" x14ac:dyDescent="0.35">
      <c r="O79" s="1" t="s">
        <v>639</v>
      </c>
      <c r="P79" s="1" t="s">
        <v>219</v>
      </c>
      <c r="Q79" s="1" t="s">
        <v>269</v>
      </c>
      <c r="R79" s="54">
        <v>9.9000000000000005E-2</v>
      </c>
    </row>
    <row r="80" spans="15:18" x14ac:dyDescent="0.35">
      <c r="O80" s="1" t="s">
        <v>640</v>
      </c>
      <c r="P80" s="1" t="s">
        <v>220</v>
      </c>
      <c r="Q80" s="1" t="s">
        <v>269</v>
      </c>
      <c r="R80" s="54">
        <v>0.11900000000000001</v>
      </c>
    </row>
    <row r="81" spans="15:18" x14ac:dyDescent="0.35">
      <c r="O81" s="1" t="s">
        <v>641</v>
      </c>
      <c r="P81" s="1" t="s">
        <v>274</v>
      </c>
      <c r="Q81" s="1" t="s">
        <v>269</v>
      </c>
      <c r="R81" s="54">
        <v>0.15</v>
      </c>
    </row>
    <row r="82" spans="15:18" x14ac:dyDescent="0.35">
      <c r="O82" s="1" t="s">
        <v>642</v>
      </c>
      <c r="P82" s="1" t="s">
        <v>218</v>
      </c>
      <c r="Q82" s="1" t="s">
        <v>270</v>
      </c>
      <c r="R82" s="54">
        <v>5.9000000000000004E-2</v>
      </c>
    </row>
    <row r="83" spans="15:18" x14ac:dyDescent="0.35">
      <c r="O83" s="1" t="s">
        <v>643</v>
      </c>
      <c r="P83" s="1" t="s">
        <v>219</v>
      </c>
      <c r="Q83" s="1" t="s">
        <v>270</v>
      </c>
      <c r="R83" s="54">
        <v>9.9000000000000005E-2</v>
      </c>
    </row>
    <row r="84" spans="15:18" x14ac:dyDescent="0.35">
      <c r="O84" s="1" t="s">
        <v>644</v>
      </c>
      <c r="P84" s="1" t="s">
        <v>220</v>
      </c>
      <c r="Q84" s="1" t="s">
        <v>270</v>
      </c>
      <c r="R84" s="54">
        <v>0.11900000000000001</v>
      </c>
    </row>
    <row r="85" spans="15:18" x14ac:dyDescent="0.35">
      <c r="O85" s="1" t="s">
        <v>645</v>
      </c>
      <c r="P85" s="1" t="s">
        <v>274</v>
      </c>
      <c r="Q85" s="1" t="s">
        <v>270</v>
      </c>
      <c r="R85" s="54">
        <v>0.15</v>
      </c>
    </row>
    <row r="86" spans="15:18" x14ac:dyDescent="0.35">
      <c r="O86" s="1" t="s">
        <v>646</v>
      </c>
      <c r="P86" s="1" t="s">
        <v>218</v>
      </c>
      <c r="Q86" s="1" t="s">
        <v>36</v>
      </c>
      <c r="R86" s="54">
        <v>4.3999999999999997E-2</v>
      </c>
    </row>
    <row r="87" spans="15:18" x14ac:dyDescent="0.35">
      <c r="O87" s="1" t="s">
        <v>647</v>
      </c>
      <c r="P87" s="1" t="s">
        <v>219</v>
      </c>
      <c r="Q87" s="1" t="s">
        <v>36</v>
      </c>
      <c r="R87" s="54">
        <v>8.6999999999999994E-2</v>
      </c>
    </row>
    <row r="88" spans="15:18" x14ac:dyDescent="0.35">
      <c r="O88" s="1" t="s">
        <v>648</v>
      </c>
      <c r="P88" s="1" t="s">
        <v>220</v>
      </c>
      <c r="Q88" s="1" t="s">
        <v>36</v>
      </c>
      <c r="R88" s="54">
        <v>9.2999999999999999E-2</v>
      </c>
    </row>
    <row r="89" spans="15:18" x14ac:dyDescent="0.35">
      <c r="O89" s="1" t="s">
        <v>649</v>
      </c>
      <c r="P89" s="1" t="s">
        <v>274</v>
      </c>
      <c r="Q89" s="1" t="s">
        <v>36</v>
      </c>
      <c r="R89" s="54">
        <v>0.14899999999999999</v>
      </c>
    </row>
    <row r="90" spans="15:18" x14ac:dyDescent="0.35">
      <c r="O90" s="1" t="s">
        <v>650</v>
      </c>
      <c r="P90" s="1" t="s">
        <v>218</v>
      </c>
      <c r="Q90" s="1" t="s">
        <v>71</v>
      </c>
      <c r="R90" s="54">
        <v>5.9000000000000004E-2</v>
      </c>
    </row>
    <row r="91" spans="15:18" x14ac:dyDescent="0.35">
      <c r="O91" s="1" t="s">
        <v>651</v>
      </c>
      <c r="P91" s="1" t="s">
        <v>219</v>
      </c>
      <c r="Q91" s="1" t="s">
        <v>71</v>
      </c>
      <c r="R91" s="54">
        <v>9.9000000000000005E-2</v>
      </c>
    </row>
    <row r="92" spans="15:18" x14ac:dyDescent="0.35">
      <c r="O92" s="1" t="s">
        <v>652</v>
      </c>
      <c r="P92" s="1" t="s">
        <v>220</v>
      </c>
      <c r="Q92" s="1" t="s">
        <v>71</v>
      </c>
      <c r="R92" s="54">
        <v>0.11900000000000001</v>
      </c>
    </row>
    <row r="93" spans="15:18" x14ac:dyDescent="0.35">
      <c r="O93" s="1" t="s">
        <v>653</v>
      </c>
      <c r="P93" s="1" t="s">
        <v>274</v>
      </c>
      <c r="Q93" s="1" t="s">
        <v>71</v>
      </c>
      <c r="R93" s="54">
        <v>0.15</v>
      </c>
    </row>
    <row r="94" spans="15:18" x14ac:dyDescent="0.35">
      <c r="O94" s="1" t="s">
        <v>654</v>
      </c>
      <c r="P94" s="1" t="s">
        <v>218</v>
      </c>
      <c r="Q94" s="1" t="s">
        <v>11</v>
      </c>
      <c r="R94" s="54">
        <v>6.2E-2</v>
      </c>
    </row>
    <row r="95" spans="15:18" x14ac:dyDescent="0.35">
      <c r="O95" s="1" t="s">
        <v>655</v>
      </c>
      <c r="P95" s="1" t="s">
        <v>219</v>
      </c>
      <c r="Q95" s="1" t="s">
        <v>11</v>
      </c>
      <c r="R95" s="54">
        <v>9.4E-2</v>
      </c>
    </row>
    <row r="96" spans="15:18" x14ac:dyDescent="0.35">
      <c r="O96" s="1" t="s">
        <v>656</v>
      </c>
      <c r="P96" s="1" t="s">
        <v>220</v>
      </c>
      <c r="Q96" s="1" t="s">
        <v>11</v>
      </c>
      <c r="R96" s="54">
        <v>0.112</v>
      </c>
    </row>
    <row r="97" spans="15:18" x14ac:dyDescent="0.35">
      <c r="O97" s="1" t="s">
        <v>657</v>
      </c>
      <c r="P97" s="1" t="s">
        <v>274</v>
      </c>
      <c r="Q97" s="1" t="s">
        <v>11</v>
      </c>
      <c r="R97" s="54">
        <v>0.112</v>
      </c>
    </row>
    <row r="98" spans="15:18" x14ac:dyDescent="0.35">
      <c r="O98" s="1" t="s">
        <v>658</v>
      </c>
      <c r="P98" s="1" t="s">
        <v>218</v>
      </c>
      <c r="Q98" s="1" t="s">
        <v>271</v>
      </c>
      <c r="R98" s="54">
        <v>5.9000000000000004E-2</v>
      </c>
    </row>
    <row r="99" spans="15:18" x14ac:dyDescent="0.35">
      <c r="O99" s="1" t="s">
        <v>659</v>
      </c>
      <c r="P99" s="1" t="s">
        <v>219</v>
      </c>
      <c r="Q99" s="1" t="s">
        <v>271</v>
      </c>
      <c r="R99" s="54">
        <v>9.9000000000000005E-2</v>
      </c>
    </row>
    <row r="100" spans="15:18" x14ac:dyDescent="0.35">
      <c r="O100" s="1" t="s">
        <v>660</v>
      </c>
      <c r="P100" s="1" t="s">
        <v>220</v>
      </c>
      <c r="Q100" s="1" t="s">
        <v>271</v>
      </c>
      <c r="R100" s="54">
        <v>0.11900000000000001</v>
      </c>
    </row>
    <row r="101" spans="15:18" x14ac:dyDescent="0.35">
      <c r="O101" s="1" t="s">
        <v>661</v>
      </c>
      <c r="P101" s="1" t="s">
        <v>274</v>
      </c>
      <c r="Q101" s="1" t="s">
        <v>271</v>
      </c>
      <c r="R101" s="54">
        <v>0.15</v>
      </c>
    </row>
    <row r="102" spans="15:18" x14ac:dyDescent="0.35">
      <c r="O102" s="1" t="s">
        <v>662</v>
      </c>
      <c r="P102" s="1" t="s">
        <v>218</v>
      </c>
      <c r="Q102" s="1" t="s">
        <v>272</v>
      </c>
      <c r="R102" s="54">
        <v>5.9000000000000004E-2</v>
      </c>
    </row>
    <row r="103" spans="15:18" x14ac:dyDescent="0.35">
      <c r="O103" s="1" t="s">
        <v>663</v>
      </c>
      <c r="P103" s="1" t="s">
        <v>219</v>
      </c>
      <c r="Q103" s="1" t="s">
        <v>272</v>
      </c>
      <c r="R103" s="54">
        <v>9.9000000000000005E-2</v>
      </c>
    </row>
    <row r="104" spans="15:18" x14ac:dyDescent="0.35">
      <c r="O104" s="1" t="s">
        <v>664</v>
      </c>
      <c r="P104" s="1" t="s">
        <v>220</v>
      </c>
      <c r="Q104" s="1" t="s">
        <v>272</v>
      </c>
      <c r="R104" s="54">
        <v>0.11900000000000001</v>
      </c>
    </row>
    <row r="105" spans="15:18" x14ac:dyDescent="0.35">
      <c r="O105" s="1" t="s">
        <v>665</v>
      </c>
      <c r="P105" s="1" t="s">
        <v>274</v>
      </c>
      <c r="Q105" s="1" t="s">
        <v>272</v>
      </c>
      <c r="R105" s="54">
        <v>0.15</v>
      </c>
    </row>
    <row r="106" spans="15:18" x14ac:dyDescent="0.35">
      <c r="O106" s="1" t="s">
        <v>666</v>
      </c>
      <c r="P106" s="1" t="s">
        <v>218</v>
      </c>
      <c r="Q106" s="1" t="s">
        <v>9</v>
      </c>
      <c r="R106" s="54">
        <v>5.0999999999999997E-2</v>
      </c>
    </row>
    <row r="107" spans="15:18" x14ac:dyDescent="0.35">
      <c r="O107" s="1" t="s">
        <v>667</v>
      </c>
      <c r="P107" s="1" t="s">
        <v>219</v>
      </c>
      <c r="Q107" s="1" t="s">
        <v>9</v>
      </c>
      <c r="R107" s="54">
        <v>0.10100000000000001</v>
      </c>
    </row>
    <row r="108" spans="15:18" x14ac:dyDescent="0.35">
      <c r="O108" s="1" t="s">
        <v>668</v>
      </c>
      <c r="P108" s="1" t="s">
        <v>220</v>
      </c>
      <c r="Q108" s="1" t="s">
        <v>9</v>
      </c>
      <c r="R108" s="54">
        <v>0.14199999999999999</v>
      </c>
    </row>
    <row r="109" spans="15:18" x14ac:dyDescent="0.35">
      <c r="O109" s="1" t="s">
        <v>669</v>
      </c>
      <c r="P109" s="1" t="s">
        <v>274</v>
      </c>
      <c r="Q109" s="1" t="s">
        <v>9</v>
      </c>
      <c r="R109" s="54">
        <v>0.14199999999999999</v>
      </c>
    </row>
    <row r="110" spans="15:18" x14ac:dyDescent="0.35">
      <c r="O110" s="1" t="s">
        <v>670</v>
      </c>
      <c r="P110" s="1" t="s">
        <v>218</v>
      </c>
      <c r="Q110" s="1" t="s">
        <v>38</v>
      </c>
      <c r="R110" s="54">
        <v>6.5000000000000002E-2</v>
      </c>
    </row>
    <row r="111" spans="15:18" x14ac:dyDescent="0.35">
      <c r="O111" s="1" t="s">
        <v>671</v>
      </c>
      <c r="P111" s="1" t="s">
        <v>219</v>
      </c>
      <c r="Q111" s="1" t="s">
        <v>38</v>
      </c>
      <c r="R111" s="54">
        <v>0.09</v>
      </c>
    </row>
    <row r="112" spans="15:18" x14ac:dyDescent="0.35">
      <c r="O112" s="1" t="s">
        <v>672</v>
      </c>
      <c r="P112" s="1" t="s">
        <v>220</v>
      </c>
      <c r="Q112" s="1" t="s">
        <v>38</v>
      </c>
      <c r="R112" s="54">
        <v>0.09</v>
      </c>
    </row>
    <row r="113" spans="15:18" x14ac:dyDescent="0.35">
      <c r="O113" s="1" t="s">
        <v>673</v>
      </c>
      <c r="P113" s="1" t="s">
        <v>274</v>
      </c>
      <c r="Q113" s="1" t="s">
        <v>38</v>
      </c>
      <c r="R113" s="54">
        <v>0.10299999999999999</v>
      </c>
    </row>
    <row r="115" spans="15:18" x14ac:dyDescent="0.35">
      <c r="R115" s="24">
        <v>5.9000000000000004E-2</v>
      </c>
    </row>
    <row r="116" spans="15:18" x14ac:dyDescent="0.35">
      <c r="R116" s="24">
        <v>9.9000000000000005E-2</v>
      </c>
    </row>
    <row r="117" spans="15:18" x14ac:dyDescent="0.35">
      <c r="R117" s="24">
        <v>0.11900000000000001</v>
      </c>
    </row>
    <row r="118" spans="15:18" x14ac:dyDescent="0.3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4.5" x14ac:dyDescent="0.35"/>
  <cols>
    <col min="1" max="1" width="5.7265625" customWidth="1"/>
    <col min="2" max="2" width="28.26953125" bestFit="1" customWidth="1"/>
    <col min="3" max="3" width="9.54296875" bestFit="1" customWidth="1"/>
    <col min="4" max="5" width="7" bestFit="1" customWidth="1"/>
    <col min="6" max="6" width="8.54296875" bestFit="1" customWidth="1"/>
    <col min="12" max="12" width="16.26953125" bestFit="1" customWidth="1"/>
    <col min="13" max="13" width="35.81640625" bestFit="1" customWidth="1"/>
    <col min="14" max="14" width="9.26953125" bestFit="1" customWidth="1"/>
    <col min="15" max="15" width="14.7265625" bestFit="1" customWidth="1"/>
    <col min="16" max="16" width="10" bestFit="1" customWidth="1"/>
    <col min="17" max="17" width="9" bestFit="1" customWidth="1"/>
    <col min="18" max="18" width="9.26953125" bestFit="1" customWidth="1"/>
    <col min="19" max="20" width="8.54296875" customWidth="1"/>
    <col min="21" max="21" width="28.26953125" bestFit="1" customWidth="1"/>
    <col min="22" max="22" width="9.26953125" bestFit="1" customWidth="1"/>
    <col min="23" max="23" width="9.1796875" bestFit="1" customWidth="1"/>
    <col min="24" max="24" width="8.54296875" bestFit="1" customWidth="1"/>
    <col min="25" max="26" width="5.26953125" bestFit="1" customWidth="1"/>
    <col min="27" max="27" width="8.54296875" customWidth="1"/>
    <col min="28" max="28" width="28.26953125" bestFit="1" customWidth="1"/>
    <col min="29" max="33" width="8.54296875" customWidth="1"/>
    <col min="34" max="34" width="4.453125" bestFit="1" customWidth="1"/>
    <col min="35" max="40" width="9.7265625" customWidth="1"/>
    <col min="41" max="43" width="8.54296875" customWidth="1"/>
    <col min="44" max="44" width="5.453125" customWidth="1"/>
    <col min="45" max="45" width="14.7265625" customWidth="1"/>
    <col min="46" max="46" width="28.26953125" bestFit="1" customWidth="1"/>
    <col min="47" max="47" width="19.26953125" bestFit="1" customWidth="1"/>
    <col min="48" max="48" width="9.7265625" bestFit="1" customWidth="1"/>
    <col min="49" max="49" width="11.26953125" bestFit="1" customWidth="1"/>
    <col min="50" max="50" width="10.54296875" bestFit="1" customWidth="1"/>
    <col min="51" max="51" width="9.1796875" bestFit="1" customWidth="1"/>
    <col min="52" max="52" width="8.54296875" bestFit="1" customWidth="1"/>
    <col min="55" max="55" width="28.26953125" bestFit="1" customWidth="1"/>
    <col min="56" max="56" width="17.54296875" bestFit="1" customWidth="1"/>
    <col min="64" max="64" width="28.26953125" bestFit="1" customWidth="1"/>
    <col min="65" max="65" width="17.54296875" bestFit="1" customWidth="1"/>
    <col min="73" max="73" width="28.26953125" bestFit="1" customWidth="1"/>
    <col min="74" max="74" width="17.54296875" bestFit="1" customWidth="1"/>
    <col min="82" max="82" width="28.26953125" bestFit="1" customWidth="1"/>
    <col min="83" max="83" width="17.54296875" bestFit="1" customWidth="1"/>
    <col min="91" max="91" width="28.26953125" bestFit="1" customWidth="1"/>
    <col min="92" max="92" width="17.54296875" bestFit="1" customWidth="1"/>
    <col min="100" max="100" width="28.26953125" bestFit="1" customWidth="1"/>
    <col min="101" max="101" width="17.54296875" bestFit="1" customWidth="1"/>
    <col min="109" max="109" width="28.26953125" bestFit="1" customWidth="1"/>
    <col min="110" max="110" width="17.54296875" bestFit="1" customWidth="1"/>
    <col min="118" max="118" width="28.26953125" bestFit="1" customWidth="1"/>
    <col min="119" max="119" width="17.54296875" bestFit="1" customWidth="1"/>
    <col min="126" max="126" width="15" customWidth="1"/>
    <col min="127" max="127" width="28.26953125" bestFit="1" customWidth="1"/>
    <col min="128" max="128" width="17.54296875" bestFit="1" customWidth="1"/>
    <col min="129" max="129" width="7.81640625" bestFit="1" customWidth="1"/>
    <col min="130" max="130" width="9.26953125" bestFit="1" customWidth="1"/>
    <col min="131" max="131" width="9" bestFit="1" customWidth="1"/>
    <col min="132" max="133" width="7.7265625" bestFit="1" customWidth="1"/>
    <col min="135" max="135" width="28.26953125" bestFit="1" customWidth="1"/>
    <col min="136" max="136" width="7.54296875" bestFit="1" customWidth="1"/>
    <col min="137" max="137" width="7.81640625" bestFit="1" customWidth="1"/>
    <col min="138" max="138" width="9.26953125" bestFit="1" customWidth="1"/>
    <col min="139" max="139" width="9" bestFit="1" customWidth="1"/>
    <col min="140" max="140" width="7.7265625" bestFit="1" customWidth="1"/>
    <col min="141" max="141" width="6.7265625" bestFit="1" customWidth="1"/>
    <col min="143" max="143" width="13" bestFit="1" customWidth="1"/>
    <col min="144" max="144" width="28.26953125" bestFit="1" customWidth="1"/>
    <col min="145" max="145" width="7.54296875" bestFit="1" customWidth="1"/>
    <col min="146" max="146" width="7.81640625" bestFit="1" customWidth="1"/>
    <col min="147" max="147" width="9.26953125" bestFit="1" customWidth="1"/>
    <col min="148" max="148" width="9" bestFit="1" customWidth="1"/>
    <col min="149" max="149" width="7.7265625" bestFit="1" customWidth="1"/>
    <col min="150" max="150" width="6.7265625" bestFit="1" customWidth="1"/>
  </cols>
  <sheetData>
    <row r="1" spans="2:150" x14ac:dyDescent="0.3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3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3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3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3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3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3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3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 thickBot="1" x14ac:dyDescent="0.4">
      <c r="M9" s="88" t="s">
        <v>853</v>
      </c>
      <c r="O9" t="s">
        <v>992</v>
      </c>
      <c r="P9" s="24">
        <f>IFERROR(P33/O33,0)</f>
        <v>0</v>
      </c>
      <c r="W9" t="s">
        <v>995</v>
      </c>
      <c r="AB9" t="s">
        <v>1050</v>
      </c>
      <c r="AO9" s="1173" t="s">
        <v>1051</v>
      </c>
      <c r="EE9" t="s">
        <v>1047</v>
      </c>
      <c r="EN9" t="s">
        <v>1048</v>
      </c>
    </row>
    <row r="10" spans="2:150" ht="13.9" customHeight="1" thickBot="1" x14ac:dyDescent="0.4">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 thickBot="1" x14ac:dyDescent="0.4">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3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3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3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3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3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3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3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3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3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3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3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3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3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3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3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3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3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3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3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3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 thickBot="1" x14ac:dyDescent="0.4">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 thickBot="1" x14ac:dyDescent="0.4">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 thickBot="1" x14ac:dyDescent="0.4">
      <c r="C34" s="23"/>
      <c r="E34" s="465" t="e">
        <f>E33/D33</f>
        <v>#DIV/0!</v>
      </c>
      <c r="AV34" s="510"/>
    </row>
    <row r="35" spans="3:150" x14ac:dyDescent="0.35">
      <c r="L35" s="362"/>
      <c r="M35" s="467" t="s">
        <v>868</v>
      </c>
      <c r="N35" s="365"/>
    </row>
    <row r="36" spans="3:150" x14ac:dyDescent="0.3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3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3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3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3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3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3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3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3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3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3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 thickBot="1" x14ac:dyDescent="0.4">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 thickBot="1" x14ac:dyDescent="0.4">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3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3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35">
      <c r="L51" s="468">
        <f t="shared" si="34"/>
        <v>1</v>
      </c>
      <c r="M51" s="466" t="s">
        <v>14</v>
      </c>
      <c r="N51" s="469">
        <f t="shared" si="35"/>
        <v>0</v>
      </c>
    </row>
    <row r="52" spans="12:128" x14ac:dyDescent="0.35">
      <c r="L52" s="468">
        <f t="shared" si="34"/>
        <v>1</v>
      </c>
      <c r="M52" s="466" t="s">
        <v>62</v>
      </c>
      <c r="N52" s="469">
        <f t="shared" si="35"/>
        <v>0</v>
      </c>
    </row>
    <row r="53" spans="12:128" x14ac:dyDescent="0.35">
      <c r="L53" s="468">
        <f t="shared" si="34"/>
        <v>1</v>
      </c>
      <c r="M53" s="466" t="s">
        <v>74</v>
      </c>
      <c r="N53" s="469">
        <f t="shared" si="35"/>
        <v>0</v>
      </c>
    </row>
    <row r="54" spans="12:128" x14ac:dyDescent="0.35">
      <c r="L54" s="468">
        <f t="shared" si="34"/>
        <v>1</v>
      </c>
      <c r="M54" s="466" t="s">
        <v>34</v>
      </c>
      <c r="N54" s="469">
        <f t="shared" si="35"/>
        <v>0</v>
      </c>
    </row>
    <row r="55" spans="12:128" x14ac:dyDescent="0.35">
      <c r="L55" s="468">
        <f t="shared" si="34"/>
        <v>1</v>
      </c>
      <c r="M55" s="466" t="s">
        <v>0</v>
      </c>
      <c r="N55" s="469">
        <f t="shared" si="35"/>
        <v>0</v>
      </c>
    </row>
    <row r="56" spans="12:128" x14ac:dyDescent="0.35">
      <c r="L56" s="468">
        <f t="shared" si="34"/>
        <v>1</v>
      </c>
      <c r="M56" s="466" t="s">
        <v>69</v>
      </c>
      <c r="N56" s="469">
        <f t="shared" si="35"/>
        <v>0</v>
      </c>
    </row>
    <row r="57" spans="12:128" x14ac:dyDescent="0.35">
      <c r="L57" s="468">
        <f t="shared" si="34"/>
        <v>1</v>
      </c>
      <c r="M57" s="466" t="s">
        <v>4</v>
      </c>
      <c r="N57" s="469">
        <f t="shared" si="35"/>
        <v>0</v>
      </c>
    </row>
    <row r="58" spans="12:128" x14ac:dyDescent="0.35">
      <c r="L58" s="468">
        <f t="shared" si="34"/>
        <v>1</v>
      </c>
      <c r="M58" s="466" t="s">
        <v>35</v>
      </c>
      <c r="N58" s="469">
        <f t="shared" si="35"/>
        <v>0</v>
      </c>
    </row>
    <row r="59" spans="12:128" x14ac:dyDescent="0.35">
      <c r="L59" s="468">
        <f t="shared" si="34"/>
        <v>1</v>
      </c>
      <c r="M59" s="466" t="s">
        <v>6</v>
      </c>
      <c r="N59" s="469">
        <f t="shared" si="35"/>
        <v>0</v>
      </c>
    </row>
    <row r="60" spans="12:128" x14ac:dyDescent="0.35">
      <c r="L60" s="468">
        <f t="shared" si="34"/>
        <v>1</v>
      </c>
      <c r="M60" s="466" t="s">
        <v>264</v>
      </c>
      <c r="N60" s="469">
        <f t="shared" si="35"/>
        <v>0</v>
      </c>
    </row>
    <row r="61" spans="12:128" x14ac:dyDescent="0.35">
      <c r="L61" s="468">
        <f t="shared" si="34"/>
        <v>1</v>
      </c>
      <c r="M61" s="466" t="s">
        <v>15</v>
      </c>
      <c r="N61" s="469">
        <f t="shared" si="35"/>
        <v>0</v>
      </c>
    </row>
    <row r="62" spans="12:128" x14ac:dyDescent="0.35">
      <c r="L62" s="468">
        <f t="shared" si="34"/>
        <v>1</v>
      </c>
      <c r="M62" s="466" t="s">
        <v>45</v>
      </c>
      <c r="N62" s="469">
        <f t="shared" si="35"/>
        <v>0</v>
      </c>
    </row>
    <row r="63" spans="12:128" x14ac:dyDescent="0.35">
      <c r="L63" s="468">
        <f t="shared" si="34"/>
        <v>1</v>
      </c>
      <c r="M63" s="466" t="s">
        <v>265</v>
      </c>
      <c r="N63" s="469">
        <f t="shared" si="35"/>
        <v>0</v>
      </c>
    </row>
    <row r="64" spans="12:128" x14ac:dyDescent="0.35">
      <c r="L64" s="468">
        <f t="shared" si="34"/>
        <v>1</v>
      </c>
      <c r="M64" s="466" t="s">
        <v>48</v>
      </c>
      <c r="N64" s="469">
        <f t="shared" si="35"/>
        <v>0</v>
      </c>
    </row>
    <row r="65" spans="12:14" x14ac:dyDescent="0.35">
      <c r="L65" s="468">
        <f t="shared" si="34"/>
        <v>1</v>
      </c>
      <c r="M65" s="466" t="s">
        <v>266</v>
      </c>
      <c r="N65" s="469">
        <f t="shared" si="35"/>
        <v>0</v>
      </c>
    </row>
    <row r="66" spans="12:14" x14ac:dyDescent="0.35">
      <c r="L66" s="468">
        <f t="shared" si="34"/>
        <v>1</v>
      </c>
      <c r="M66" s="466" t="s">
        <v>267</v>
      </c>
      <c r="N66" s="469">
        <f t="shared" si="35"/>
        <v>0</v>
      </c>
    </row>
    <row r="67" spans="12:14" x14ac:dyDescent="0.35">
      <c r="L67" s="468">
        <f t="shared" si="34"/>
        <v>1</v>
      </c>
      <c r="M67" s="466" t="s">
        <v>268</v>
      </c>
      <c r="N67" s="469">
        <f t="shared" si="35"/>
        <v>0</v>
      </c>
    </row>
    <row r="68" spans="12:14" x14ac:dyDescent="0.35">
      <c r="L68" s="468">
        <f t="shared" si="34"/>
        <v>1</v>
      </c>
      <c r="M68" s="466" t="s">
        <v>60</v>
      </c>
      <c r="N68" s="469">
        <f t="shared" si="35"/>
        <v>0</v>
      </c>
    </row>
    <row r="69" spans="12:14" x14ac:dyDescent="0.35">
      <c r="L69" s="468">
        <f t="shared" si="34"/>
        <v>1</v>
      </c>
      <c r="M69" s="466" t="s">
        <v>20</v>
      </c>
      <c r="N69" s="469">
        <f t="shared" si="35"/>
        <v>0</v>
      </c>
    </row>
    <row r="70" spans="12:14" x14ac:dyDescent="0.35">
      <c r="L70" s="468">
        <f t="shared" si="34"/>
        <v>1</v>
      </c>
      <c r="M70" s="466" t="s">
        <v>269</v>
      </c>
      <c r="N70" s="469">
        <f t="shared" si="35"/>
        <v>0</v>
      </c>
    </row>
    <row r="71" spans="12:14" x14ac:dyDescent="0.35">
      <c r="L71" s="468">
        <f t="shared" si="34"/>
        <v>1</v>
      </c>
      <c r="M71" s="466" t="s">
        <v>270</v>
      </c>
      <c r="N71" s="469">
        <f t="shared" si="35"/>
        <v>0</v>
      </c>
    </row>
    <row r="72" spans="12:14" x14ac:dyDescent="0.35">
      <c r="L72" s="468">
        <f t="shared" si="34"/>
        <v>1</v>
      </c>
      <c r="M72" s="466" t="s">
        <v>36</v>
      </c>
      <c r="N72" s="469">
        <f t="shared" si="35"/>
        <v>0</v>
      </c>
    </row>
    <row r="73" spans="12:14" x14ac:dyDescent="0.35">
      <c r="L73" s="468">
        <f t="shared" si="34"/>
        <v>1</v>
      </c>
      <c r="M73" s="466" t="s">
        <v>71</v>
      </c>
      <c r="N73" s="469">
        <f t="shared" si="35"/>
        <v>0</v>
      </c>
    </row>
    <row r="74" spans="12:14" x14ac:dyDescent="0.35">
      <c r="L74" s="468">
        <f t="shared" si="34"/>
        <v>1</v>
      </c>
      <c r="M74" s="466" t="s">
        <v>11</v>
      </c>
      <c r="N74" s="469">
        <f t="shared" si="35"/>
        <v>0</v>
      </c>
    </row>
    <row r="75" spans="12:14" x14ac:dyDescent="0.35">
      <c r="L75" s="468">
        <f t="shared" si="34"/>
        <v>1</v>
      </c>
      <c r="M75" s="466" t="s">
        <v>271</v>
      </c>
      <c r="N75" s="469">
        <f t="shared" si="35"/>
        <v>0</v>
      </c>
    </row>
    <row r="76" spans="12:14" x14ac:dyDescent="0.35">
      <c r="L76" s="468">
        <f t="shared" si="34"/>
        <v>1</v>
      </c>
      <c r="M76" s="466" t="s">
        <v>272</v>
      </c>
      <c r="N76" s="469">
        <f t="shared" si="35"/>
        <v>0</v>
      </c>
    </row>
    <row r="77" spans="12:14" x14ac:dyDescent="0.35">
      <c r="L77" s="468">
        <f t="shared" si="34"/>
        <v>1</v>
      </c>
      <c r="M77" s="466" t="s">
        <v>9</v>
      </c>
      <c r="N77" s="469">
        <f t="shared" si="35"/>
        <v>0</v>
      </c>
    </row>
    <row r="78" spans="12:14" x14ac:dyDescent="0.35">
      <c r="L78" s="468">
        <f t="shared" si="34"/>
        <v>1</v>
      </c>
      <c r="M78" s="466" t="s">
        <v>38</v>
      </c>
      <c r="N78" s="469">
        <f t="shared" si="35"/>
        <v>0</v>
      </c>
    </row>
    <row r="79" spans="12:14" x14ac:dyDescent="0.35">
      <c r="L79" s="143"/>
      <c r="N79" s="144"/>
    </row>
    <row r="80" spans="12:14" x14ac:dyDescent="0.35">
      <c r="L80" s="143">
        <v>1</v>
      </c>
      <c r="M80" s="475" t="str">
        <f>IF($M$81&gt;1,"MULTIPLE MENU TYPES",VLOOKUP(L80,$L$50:$M$78,2,FALSE))</f>
        <v>MULTIPLE MENU TYPES</v>
      </c>
      <c r="N80" s="144"/>
    </row>
    <row r="81" spans="12:14" x14ac:dyDescent="0.35">
      <c r="L81" s="476" t="s">
        <v>874</v>
      </c>
      <c r="M81" s="477">
        <f>COUNTIF($L$50:$L$78,1)</f>
        <v>29</v>
      </c>
      <c r="N81" s="144"/>
    </row>
    <row r="82" spans="12:14" x14ac:dyDescent="0.35">
      <c r="L82" s="476" t="s">
        <v>873</v>
      </c>
      <c r="M82" s="477" t="str">
        <f>VLOOKUP(L80,$L$50:$M$78,2,FALSE)</f>
        <v>Enter Customer(s)</v>
      </c>
      <c r="N82" s="144"/>
    </row>
    <row r="83" spans="12:14" ht="15" thickBot="1" x14ac:dyDescent="0.4">
      <c r="L83" s="478" t="s">
        <v>991</v>
      </c>
      <c r="M83" s="479" t="str">
        <f>IF(COUNTIF($N$51:$N$78,"&gt;0")&gt;1,"MULTIPLE MENU TYPES",$M$80)</f>
        <v>MULTIPLE MENU TYPES</v>
      </c>
      <c r="N83" s="293"/>
    </row>
    <row r="85" spans="12:14" x14ac:dyDescent="0.35">
      <c r="M85" s="107"/>
    </row>
  </sheetData>
  <mergeCells count="4">
    <mergeCell ref="N1:O1"/>
    <mergeCell ref="N5:O5"/>
    <mergeCell ref="N6:O6"/>
    <mergeCell ref="AO9:AO11"/>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4.5" x14ac:dyDescent="0.35"/>
  <cols>
    <col min="1" max="1" width="17.453125" bestFit="1" customWidth="1"/>
    <col min="3" max="3" width="39.7265625" bestFit="1" customWidth="1"/>
    <col min="4" max="4" width="12.1796875" bestFit="1" customWidth="1"/>
    <col min="7" max="7" width="12" bestFit="1" customWidth="1"/>
    <col min="12" max="12" width="17.453125" bestFit="1" customWidth="1"/>
    <col min="14" max="14" width="40.7265625" bestFit="1" customWidth="1"/>
    <col min="15" max="15" width="12.1796875" bestFit="1" customWidth="1"/>
    <col min="16" max="16" width="11" bestFit="1" customWidth="1"/>
    <col min="17" max="18" width="12" bestFit="1" customWidth="1"/>
    <col min="23" max="23" width="26.7265625" bestFit="1" customWidth="1"/>
    <col min="24" max="24" width="10.1796875" bestFit="1" customWidth="1"/>
    <col min="25" max="26" width="11.1796875" bestFit="1" customWidth="1"/>
    <col min="27" max="27" width="11.7265625" bestFit="1" customWidth="1"/>
    <col min="28" max="28" width="14.54296875" bestFit="1" customWidth="1"/>
    <col min="29" max="29" width="15.453125" bestFit="1" customWidth="1"/>
    <col min="30" max="30" width="12.26953125" bestFit="1" customWidth="1"/>
    <col min="31" max="31" width="10.1796875" customWidth="1"/>
    <col min="32" max="32" width="12.54296875" bestFit="1" customWidth="1"/>
    <col min="34" max="34" width="10.7265625" bestFit="1" customWidth="1"/>
    <col min="35" max="35" width="9.7265625" bestFit="1" customWidth="1"/>
    <col min="37" max="37" width="40.7265625" bestFit="1" customWidth="1"/>
    <col min="38" max="38" width="12.54296875" bestFit="1" customWidth="1"/>
    <col min="39" max="39" width="11.1796875" bestFit="1" customWidth="1"/>
    <col min="40" max="40" width="12.54296875" bestFit="1" customWidth="1"/>
    <col min="45" max="45" width="4.26953125" customWidth="1"/>
    <col min="46" max="46" width="9.1796875" bestFit="1" customWidth="1"/>
    <col min="47" max="48" width="11" bestFit="1" customWidth="1"/>
    <col min="49" max="49" width="8.81640625" bestFit="1" customWidth="1"/>
    <col min="50" max="50" width="11.1796875" bestFit="1" customWidth="1"/>
    <col min="51" max="51" width="13.7265625" bestFit="1" customWidth="1"/>
    <col min="52" max="53" width="12.1796875" bestFit="1" customWidth="1"/>
    <col min="54" max="54" width="8.26953125" bestFit="1" customWidth="1"/>
    <col min="55" max="55" width="8.81640625" bestFit="1" customWidth="1"/>
    <col min="56" max="56" width="10.26953125" customWidth="1"/>
    <col min="57" max="58" width="11.1796875" bestFit="1" customWidth="1"/>
    <col min="59" max="60" width="12.1796875" bestFit="1" customWidth="1"/>
    <col min="61" max="61" width="8.81640625" bestFit="1" customWidth="1"/>
    <col min="62" max="62" width="6" bestFit="1" customWidth="1"/>
    <col min="63" max="63" width="11.81640625" bestFit="1" customWidth="1"/>
    <col min="64" max="65" width="3.26953125" bestFit="1" customWidth="1"/>
    <col min="66" max="70" width="8.81640625" customWidth="1"/>
  </cols>
  <sheetData>
    <row r="1" spans="1:70" ht="15" thickBot="1" x14ac:dyDescent="0.4"/>
    <row r="2" spans="1:70" ht="15" thickBot="1" x14ac:dyDescent="0.4">
      <c r="AT2" s="88" t="s">
        <v>970</v>
      </c>
      <c r="AU2" s="41" t="e">
        <f>$AL$33</f>
        <v>#DIV/0!</v>
      </c>
      <c r="AY2" s="537" t="s">
        <v>1009</v>
      </c>
      <c r="AZ2" s="292"/>
      <c r="BA2" s="292"/>
      <c r="BB2" s="292"/>
      <c r="BC2" s="292"/>
      <c r="BD2" s="292"/>
      <c r="BE2" s="292"/>
      <c r="BF2" s="292"/>
      <c r="BK2" s="537" t="s">
        <v>1009</v>
      </c>
    </row>
    <row r="3" spans="1:70" x14ac:dyDescent="0.3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 thickBot="1" x14ac:dyDescent="0.4">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 thickBot="1" x14ac:dyDescent="0.4">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 thickBot="1" x14ac:dyDescent="0.4">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 thickBot="1" x14ac:dyDescent="0.4">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35">
      <c r="AU8" s="42"/>
    </row>
    <row r="10" spans="1:70" ht="15.5" x14ac:dyDescent="0.3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3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3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3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3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3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3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3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3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3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3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3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3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3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3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3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3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3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3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3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3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3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3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3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35">
      <c r="AV34" s="23"/>
      <c r="AW34" s="26"/>
      <c r="AX34" s="26"/>
      <c r="AY34" s="26"/>
      <c r="AZ34" s="26"/>
      <c r="BA34" s="26"/>
      <c r="BB34" s="26"/>
      <c r="BC34" s="26"/>
    </row>
    <row r="35" spans="1:60" x14ac:dyDescent="0.35">
      <c r="AV35" s="23"/>
      <c r="AW35" s="26"/>
      <c r="AX35" s="26"/>
      <c r="AY35" s="26"/>
      <c r="AZ35" s="26"/>
      <c r="BA35" s="26"/>
      <c r="BB35" s="26"/>
      <c r="BC35" s="26"/>
      <c r="BD35" s="26"/>
      <c r="BE35" s="61"/>
      <c r="BF35" s="26"/>
      <c r="BG35" s="26"/>
    </row>
    <row r="36" spans="1:60" x14ac:dyDescent="0.35">
      <c r="AV36" s="23"/>
      <c r="AW36" s="26"/>
      <c r="AX36" s="26"/>
      <c r="AY36" s="26"/>
      <c r="AZ36" s="26"/>
      <c r="BA36" s="26"/>
      <c r="BB36" s="26"/>
      <c r="BC36" s="26"/>
      <c r="BD36" s="26"/>
      <c r="BE36" s="26"/>
      <c r="BF36" s="26"/>
      <c r="BG36" s="26"/>
    </row>
    <row r="37" spans="1:60" x14ac:dyDescent="0.35">
      <c r="AV37" s="23"/>
      <c r="AW37" s="26"/>
      <c r="AX37" s="26"/>
      <c r="AY37" s="26"/>
      <c r="AZ37" s="26"/>
      <c r="BA37" s="26"/>
      <c r="BB37" s="26"/>
      <c r="BC37" s="26"/>
      <c r="BD37" s="26"/>
      <c r="BE37" s="26"/>
      <c r="BF37" s="26"/>
      <c r="BG37" s="26"/>
    </row>
    <row r="38" spans="1:60" x14ac:dyDescent="0.35">
      <c r="AV38" s="23"/>
      <c r="AW38" s="26"/>
      <c r="AX38" s="26"/>
      <c r="AY38" s="26"/>
      <c r="AZ38" s="26"/>
      <c r="BA38" s="26"/>
      <c r="BB38" s="26"/>
      <c r="BC38" s="26"/>
      <c r="BD38" s="26"/>
      <c r="BE38" s="26"/>
      <c r="BF38" s="26"/>
      <c r="BG38" s="26"/>
    </row>
    <row r="39" spans="1:60" x14ac:dyDescent="0.35">
      <c r="AV39" s="23"/>
      <c r="AW39" s="26"/>
      <c r="AX39" s="26"/>
      <c r="AY39" s="26"/>
      <c r="AZ39" s="26"/>
      <c r="BA39" s="26"/>
      <c r="BB39" s="26"/>
      <c r="BC39" s="26"/>
      <c r="BD39" s="26"/>
      <c r="BE39" s="26"/>
      <c r="BF39" s="26"/>
      <c r="BG39" s="26"/>
    </row>
    <row r="40" spans="1:60" x14ac:dyDescent="0.35">
      <c r="AV40" s="23"/>
      <c r="AW40" s="26"/>
      <c r="AX40" s="26"/>
      <c r="AY40" s="26"/>
      <c r="AZ40" s="26"/>
      <c r="BA40" s="26"/>
      <c r="BB40" s="26"/>
      <c r="BC40" s="26"/>
      <c r="BD40" s="26"/>
      <c r="BE40" s="26"/>
      <c r="BF40" s="26"/>
      <c r="BG40" s="26"/>
    </row>
    <row r="41" spans="1:60" x14ac:dyDescent="0.35">
      <c r="AV41" s="23"/>
      <c r="AW41" s="26"/>
      <c r="AX41" s="26"/>
      <c r="AY41" s="26"/>
      <c r="AZ41" s="26"/>
      <c r="BA41" s="26"/>
      <c r="BB41" s="26"/>
      <c r="BC41" s="26"/>
      <c r="BD41" s="26"/>
      <c r="BE41" s="26"/>
      <c r="BF41" s="26"/>
      <c r="BG41" s="26"/>
    </row>
    <row r="42" spans="1:60" x14ac:dyDescent="0.35">
      <c r="AV42" s="23"/>
      <c r="AW42" s="26"/>
      <c r="AX42" s="26"/>
      <c r="AY42" s="26"/>
      <c r="AZ42" s="26"/>
      <c r="BA42" s="26"/>
      <c r="BB42" s="26"/>
      <c r="BC42" s="26"/>
      <c r="BD42" s="26"/>
      <c r="BE42" s="26"/>
      <c r="BF42" s="26"/>
      <c r="BG42" s="26"/>
    </row>
    <row r="43" spans="1:60" x14ac:dyDescent="0.35">
      <c r="AV43" s="23"/>
      <c r="AW43" s="26"/>
      <c r="AX43" s="26"/>
      <c r="AY43" s="26"/>
      <c r="AZ43" s="26"/>
      <c r="BA43" s="26"/>
      <c r="BB43" s="26"/>
      <c r="BC43" s="26"/>
      <c r="BD43" s="26"/>
      <c r="BE43" s="26"/>
      <c r="BF43" s="26"/>
      <c r="BG43" s="26"/>
    </row>
    <row r="44" spans="1:60" x14ac:dyDescent="0.35">
      <c r="AV44" s="23"/>
      <c r="AW44" s="26"/>
      <c r="AX44" s="26"/>
      <c r="AY44" s="26"/>
      <c r="AZ44" s="26"/>
      <c r="BA44" s="26"/>
      <c r="BB44" s="26"/>
      <c r="BC44" s="26"/>
      <c r="BD44" s="26"/>
      <c r="BE44" s="26"/>
      <c r="BF44" s="26"/>
      <c r="BG44" s="26"/>
    </row>
    <row r="45" spans="1:60" x14ac:dyDescent="0.35">
      <c r="AV45" s="23"/>
      <c r="AW45" s="26"/>
      <c r="AX45" s="26"/>
      <c r="AY45" s="26"/>
      <c r="AZ45" s="26"/>
      <c r="BA45" s="26"/>
      <c r="BB45" s="26"/>
      <c r="BC45" s="26"/>
      <c r="BD45" s="26"/>
      <c r="BE45" s="26"/>
      <c r="BF45" s="26"/>
      <c r="BG45" s="26"/>
    </row>
    <row r="46" spans="1:60" x14ac:dyDescent="0.35">
      <c r="AV46" s="23"/>
      <c r="AW46" s="26"/>
      <c r="AX46" s="26"/>
      <c r="AY46" s="26"/>
      <c r="AZ46" s="26"/>
      <c r="BA46" s="26"/>
      <c r="BB46" s="26"/>
      <c r="BC46" s="26"/>
      <c r="BD46" s="26"/>
      <c r="BE46" s="26"/>
      <c r="BF46" s="26"/>
      <c r="BG46" s="26"/>
    </row>
    <row r="47" spans="1:60" x14ac:dyDescent="0.35">
      <c r="AV47" s="23"/>
      <c r="AW47" s="26"/>
      <c r="AX47" s="26"/>
      <c r="AY47" s="26"/>
      <c r="AZ47" s="26"/>
      <c r="BA47" s="26"/>
      <c r="BB47" s="26"/>
      <c r="BC47" s="26"/>
      <c r="BD47" s="26"/>
      <c r="BE47" s="26"/>
      <c r="BF47" s="26"/>
      <c r="BG47" s="26"/>
    </row>
    <row r="48" spans="1:60" x14ac:dyDescent="0.35">
      <c r="AV48" s="23"/>
      <c r="AW48" s="26"/>
      <c r="AX48" s="26"/>
      <c r="AY48" s="26"/>
      <c r="AZ48" s="26"/>
      <c r="BA48" s="26"/>
      <c r="BB48" s="26"/>
      <c r="BC48" s="26"/>
      <c r="BD48" s="26"/>
      <c r="BE48" s="26"/>
      <c r="BF48" s="26"/>
      <c r="BG48" s="26"/>
    </row>
    <row r="49" spans="47:59" x14ac:dyDescent="0.35">
      <c r="AV49" s="23"/>
      <c r="AW49" s="26"/>
      <c r="AX49" s="26"/>
      <c r="AY49" s="26"/>
      <c r="AZ49" s="26"/>
      <c r="BA49" s="26"/>
      <c r="BB49" s="26"/>
      <c r="BC49" s="26"/>
      <c r="BD49" s="26"/>
      <c r="BE49" s="26"/>
      <c r="BF49" s="26"/>
      <c r="BG49" s="26"/>
    </row>
    <row r="50" spans="47:59" x14ac:dyDescent="0.35">
      <c r="AV50" s="23"/>
      <c r="AW50" s="26"/>
      <c r="AX50" s="26"/>
      <c r="AY50" s="26"/>
      <c r="AZ50" s="26"/>
      <c r="BA50" s="26"/>
      <c r="BB50" s="26"/>
      <c r="BC50" s="26"/>
      <c r="BD50" s="26"/>
      <c r="BE50" s="26"/>
      <c r="BF50" s="26"/>
      <c r="BG50" s="26"/>
    </row>
    <row r="51" spans="47:59" x14ac:dyDescent="0.35">
      <c r="AV51" s="23"/>
      <c r="AW51" s="26"/>
      <c r="AX51" s="26"/>
      <c r="AY51" s="26"/>
      <c r="AZ51" s="26"/>
      <c r="BA51" s="26"/>
      <c r="BB51" s="26"/>
      <c r="BC51" s="26"/>
      <c r="BD51" s="26"/>
      <c r="BE51" s="26"/>
      <c r="BF51" s="26"/>
      <c r="BG51" s="26"/>
    </row>
    <row r="52" spans="47:59" x14ac:dyDescent="0.35">
      <c r="AV52" s="23"/>
      <c r="AW52" s="26"/>
      <c r="AX52" s="26"/>
      <c r="AY52" s="26"/>
      <c r="AZ52" s="26"/>
      <c r="BA52" s="26"/>
      <c r="BB52" s="26"/>
      <c r="BC52" s="26"/>
      <c r="BD52" s="26"/>
      <c r="BE52" s="26"/>
      <c r="BF52" s="26"/>
      <c r="BG52" s="26"/>
    </row>
    <row r="53" spans="47:59" x14ac:dyDescent="0.35">
      <c r="AV53" s="23"/>
      <c r="AW53" s="26"/>
      <c r="AX53" s="26"/>
      <c r="AY53" s="26"/>
      <c r="AZ53" s="26"/>
      <c r="BA53" s="26"/>
      <c r="BB53" s="26"/>
      <c r="BC53" s="26"/>
      <c r="BD53" s="26"/>
      <c r="BE53" s="26"/>
      <c r="BF53" s="26"/>
      <c r="BG53" s="26"/>
    </row>
    <row r="54" spans="47:59" x14ac:dyDescent="0.35">
      <c r="AV54" s="23"/>
      <c r="AW54" s="26"/>
      <c r="AX54" s="26"/>
      <c r="AY54" s="26"/>
      <c r="AZ54" s="26"/>
      <c r="BA54" s="26"/>
      <c r="BB54" s="26"/>
      <c r="BC54" s="26"/>
      <c r="BD54" s="26"/>
      <c r="BE54" s="26"/>
      <c r="BF54" s="26"/>
      <c r="BG54" s="26"/>
    </row>
    <row r="56" spans="47:59" ht="16.149999999999999" customHeight="1" x14ac:dyDescent="0.35"/>
    <row r="57" spans="47:59" x14ac:dyDescent="0.35">
      <c r="AY57" s="2"/>
      <c r="AZ57" s="2"/>
      <c r="BA57" s="2"/>
      <c r="BF57" s="2"/>
    </row>
    <row r="58" spans="47:59" x14ac:dyDescent="0.35">
      <c r="AU58" s="2"/>
      <c r="AV58" s="2"/>
      <c r="AW58" s="2"/>
      <c r="AX58" s="2"/>
      <c r="AY58" s="2"/>
      <c r="AZ58" s="2"/>
      <c r="BA58" s="2"/>
      <c r="BB58" s="2"/>
      <c r="BC58" s="2"/>
      <c r="BD58" s="2"/>
      <c r="BE58" s="2"/>
      <c r="BF58" s="2"/>
      <c r="BG58" s="2"/>
    </row>
    <row r="59" spans="47:59" x14ac:dyDescent="0.35">
      <c r="AU59" s="25"/>
      <c r="AV59" s="2"/>
      <c r="AW59" s="2"/>
      <c r="AX59" s="2"/>
      <c r="AY59" s="2"/>
      <c r="AZ59" s="2"/>
      <c r="BA59" s="2"/>
      <c r="BB59" s="2"/>
      <c r="BC59" s="2"/>
      <c r="BD59" s="2"/>
      <c r="BE59" s="2"/>
      <c r="BF59" s="2"/>
      <c r="BG59" s="2"/>
    </row>
    <row r="60" spans="47:59" x14ac:dyDescent="0.35">
      <c r="AU60" s="25"/>
      <c r="AV60" s="57"/>
      <c r="AW60" s="57"/>
      <c r="AX60" s="24"/>
      <c r="AY60" s="24"/>
      <c r="AZ60" s="24"/>
      <c r="BA60" s="24"/>
      <c r="BB60" s="24"/>
      <c r="BC60" s="24"/>
      <c r="BD60" s="24"/>
      <c r="BE60" s="24"/>
      <c r="BF60" s="24"/>
      <c r="BG60" s="24"/>
    </row>
    <row r="61" spans="47:59" x14ac:dyDescent="0.35">
      <c r="AU61" s="25"/>
      <c r="AV61" s="57"/>
      <c r="AW61" s="57"/>
      <c r="AX61" s="24"/>
      <c r="AY61" s="24"/>
      <c r="AZ61" s="24"/>
      <c r="BA61" s="24"/>
      <c r="BB61" s="24"/>
      <c r="BC61" s="24"/>
      <c r="BD61" s="24"/>
      <c r="BE61" s="24"/>
      <c r="BF61" s="24"/>
      <c r="BG61" s="24"/>
    </row>
    <row r="62" spans="47:59" x14ac:dyDescent="0.35">
      <c r="AU62" s="25"/>
      <c r="AV62" s="57"/>
      <c r="AW62" s="57"/>
      <c r="AX62" s="24"/>
      <c r="AY62" s="24"/>
      <c r="AZ62" s="24"/>
      <c r="BA62" s="24"/>
      <c r="BB62" s="24"/>
      <c r="BC62" s="24"/>
      <c r="BD62" s="24"/>
      <c r="BE62" s="24"/>
      <c r="BF62" s="24"/>
      <c r="BG62" s="24"/>
    </row>
    <row r="63" spans="47:59" x14ac:dyDescent="0.35">
      <c r="AU63" s="25"/>
      <c r="AV63" s="57"/>
      <c r="AW63" s="57"/>
      <c r="AX63" s="24"/>
      <c r="AY63" s="24"/>
      <c r="AZ63" s="24"/>
      <c r="BA63" s="24"/>
      <c r="BB63" s="24"/>
      <c r="BC63" s="24"/>
      <c r="BD63" s="24"/>
      <c r="BE63" s="24"/>
      <c r="BF63" s="24"/>
      <c r="BG63" s="24"/>
    </row>
    <row r="64" spans="47:59" x14ac:dyDescent="0.35">
      <c r="AU64" s="25"/>
      <c r="AV64" s="57"/>
      <c r="AW64" s="57"/>
      <c r="AX64" s="24"/>
      <c r="AY64" s="24"/>
      <c r="AZ64" s="24"/>
      <c r="BA64" s="24"/>
      <c r="BB64" s="24"/>
      <c r="BC64" s="24"/>
      <c r="BD64" s="24"/>
      <c r="BE64" s="24"/>
      <c r="BF64" s="24"/>
      <c r="BG64" s="24"/>
    </row>
    <row r="65" spans="47:59" x14ac:dyDescent="0.35">
      <c r="AU65" s="25"/>
      <c r="AV65" s="57"/>
      <c r="AW65" s="57"/>
      <c r="AX65" s="24"/>
      <c r="AY65" s="24"/>
      <c r="AZ65" s="24"/>
      <c r="BA65" s="24"/>
      <c r="BB65" s="24"/>
      <c r="BC65" s="24"/>
      <c r="BD65" s="24"/>
      <c r="BE65" s="24"/>
      <c r="BF65" s="24"/>
      <c r="BG65" s="24"/>
    </row>
    <row r="66" spans="47:59" x14ac:dyDescent="0.35">
      <c r="AU66" s="25"/>
      <c r="AV66" s="57"/>
      <c r="AW66" s="57"/>
      <c r="AX66" s="24"/>
      <c r="AY66" s="24"/>
      <c r="AZ66" s="24"/>
      <c r="BA66" s="24"/>
      <c r="BB66" s="24"/>
      <c r="BC66" s="24"/>
      <c r="BD66" s="24"/>
      <c r="BE66" s="24"/>
      <c r="BF66" s="24"/>
      <c r="BG66" s="24"/>
    </row>
    <row r="67" spans="47:59" x14ac:dyDescent="0.3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1640625" defaultRowHeight="14.5" x14ac:dyDescent="0.35"/>
  <cols>
    <col min="1" max="1" width="16.81640625" bestFit="1" customWidth="1"/>
    <col min="2" max="2" width="23.54296875" bestFit="1" customWidth="1"/>
    <col min="3" max="3" width="18.7265625" customWidth="1"/>
    <col min="4" max="4" width="16.54296875" bestFit="1" customWidth="1"/>
    <col min="5" max="5" width="1.7265625" style="311" customWidth="1"/>
    <col min="6" max="6" width="14.1796875" customWidth="1"/>
    <col min="7" max="7" width="11.54296875" bestFit="1" customWidth="1"/>
    <col min="8" max="8" width="1.7265625" style="312" customWidth="1"/>
    <col min="9" max="9" width="8.1796875" customWidth="1"/>
    <col min="10" max="10" width="20.26953125" bestFit="1" customWidth="1"/>
    <col min="11" max="11" width="20.7265625" bestFit="1" customWidth="1"/>
    <col min="12" max="12" width="12.54296875" customWidth="1"/>
    <col min="13" max="13" width="1.7265625" style="312" customWidth="1"/>
    <col min="14" max="14" width="9.54296875" customWidth="1"/>
    <col min="15" max="15" width="13.7265625" customWidth="1"/>
    <col min="16" max="17" width="14.7265625" customWidth="1"/>
    <col min="18" max="18" width="1.7265625" style="312" customWidth="1"/>
    <col min="19" max="19" width="8.1796875" customWidth="1"/>
    <col min="20" max="20" width="15.81640625" customWidth="1"/>
    <col min="21" max="21" width="12.1796875" bestFit="1" customWidth="1"/>
    <col min="22" max="22" width="14.7265625" customWidth="1"/>
    <col min="23" max="23" width="1.7265625" style="312" customWidth="1"/>
  </cols>
  <sheetData>
    <row r="1" spans="1:23" ht="29" thickBot="1" x14ac:dyDescent="0.7">
      <c r="A1" s="1209" t="s">
        <v>830</v>
      </c>
      <c r="B1" s="1209"/>
      <c r="C1" s="1209"/>
      <c r="D1" s="1209"/>
      <c r="F1" s="1210" t="s">
        <v>759</v>
      </c>
      <c r="G1" s="1210"/>
      <c r="I1" s="1211" t="s">
        <v>829</v>
      </c>
      <c r="J1" s="1212"/>
      <c r="K1" s="1212"/>
      <c r="L1" s="1212"/>
      <c r="M1" s="1212"/>
      <c r="N1" s="1212"/>
      <c r="O1" s="1212"/>
      <c r="P1" s="1212"/>
      <c r="Q1" s="1212"/>
      <c r="R1" s="1212"/>
      <c r="S1" s="1212"/>
      <c r="T1" s="1212"/>
      <c r="U1" s="1212"/>
      <c r="V1" s="1213"/>
    </row>
    <row r="2" spans="1:23" x14ac:dyDescent="0.35">
      <c r="I2" s="362"/>
      <c r="J2" s="141"/>
      <c r="K2" s="141"/>
      <c r="L2" s="141"/>
      <c r="M2" s="141"/>
      <c r="N2" s="141"/>
      <c r="O2" s="141"/>
      <c r="P2" s="141"/>
      <c r="Q2" s="141"/>
      <c r="R2" s="141"/>
      <c r="S2" s="141"/>
      <c r="T2" s="141"/>
      <c r="U2" s="141"/>
      <c r="V2" s="365"/>
    </row>
    <row r="3" spans="1:23" x14ac:dyDescent="0.35">
      <c r="A3" t="s">
        <v>252</v>
      </c>
      <c r="B3" s="1183">
        <f>Welcome!$D$4</f>
        <v>0</v>
      </c>
      <c r="C3" s="1183"/>
      <c r="I3" s="357">
        <v>1</v>
      </c>
      <c r="J3" t="s">
        <v>785</v>
      </c>
      <c r="L3" s="1183" t="str">
        <f>"ALC "&amp;'Required Info to Submit'!$F$6</f>
        <v xml:space="preserve">ALC </v>
      </c>
      <c r="M3" s="1183"/>
      <c r="N3" s="1183"/>
      <c r="O3" s="1183"/>
      <c r="P3" s="1183"/>
      <c r="R3"/>
      <c r="V3" s="144"/>
    </row>
    <row r="4" spans="1:23" ht="29" x14ac:dyDescent="0.35">
      <c r="A4" t="s">
        <v>766</v>
      </c>
      <c r="B4" s="1214">
        <f>'Required Info to Submit'!$F$6</f>
        <v>0</v>
      </c>
      <c r="C4" s="1214"/>
      <c r="D4" s="2" t="s">
        <v>922</v>
      </c>
      <c r="F4" s="272" t="s">
        <v>760</v>
      </c>
      <c r="G4" s="694">
        <f>Incentives!$H$9</f>
        <v>0</v>
      </c>
      <c r="H4" s="314"/>
      <c r="I4" s="357">
        <v>2</v>
      </c>
      <c r="J4" t="s">
        <v>761</v>
      </c>
      <c r="L4" s="366">
        <f>'Required Info to Submit'!$F$14</f>
        <v>44332</v>
      </c>
      <c r="M4" s="366"/>
      <c r="N4" s="366"/>
      <c r="O4" s="367">
        <v>3</v>
      </c>
      <c r="P4" s="1183" t="s">
        <v>763</v>
      </c>
      <c r="Q4" s="1183"/>
      <c r="R4" s="1183"/>
      <c r="S4" s="1216">
        <f>$L$4+(364*$G$5)+6</f>
        <v>44338</v>
      </c>
      <c r="T4" s="1216"/>
      <c r="U4" s="366"/>
      <c r="V4" s="144"/>
    </row>
    <row r="5" spans="1:23" x14ac:dyDescent="0.35">
      <c r="A5" t="s">
        <v>1064</v>
      </c>
      <c r="B5" s="1218">
        <f>'Required Info to Submit'!$F$8</f>
        <v>0</v>
      </c>
      <c r="C5" s="1218"/>
      <c r="D5">
        <f>G5*12</f>
        <v>0</v>
      </c>
      <c r="F5" s="272" t="s">
        <v>762</v>
      </c>
      <c r="G5" s="313">
        <f>Welcome!$D$12</f>
        <v>0</v>
      </c>
      <c r="H5" s="314"/>
      <c r="I5" s="358"/>
      <c r="M5"/>
      <c r="O5" s="2"/>
      <c r="P5" s="304"/>
      <c r="Q5" s="304"/>
      <c r="R5" s="304"/>
      <c r="S5" s="304"/>
      <c r="T5" s="304"/>
      <c r="V5" s="144"/>
    </row>
    <row r="6" spans="1:23" x14ac:dyDescent="0.35">
      <c r="A6" t="s">
        <v>824</v>
      </c>
      <c r="B6" s="1215">
        <f>'Required Info to Submit'!$F$14</f>
        <v>44332</v>
      </c>
      <c r="C6" s="1215"/>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3" t="s">
        <v>786</v>
      </c>
      <c r="Q6" s="1183"/>
      <c r="R6" s="1183"/>
      <c r="S6" s="1217">
        <f>-('Tracking &amp; Profitability'!$E$22)</f>
        <v>0</v>
      </c>
      <c r="T6" s="1217"/>
      <c r="U6" s="20"/>
      <c r="V6" s="144"/>
    </row>
    <row r="7" spans="1:23" x14ac:dyDescent="0.35">
      <c r="A7" t="s">
        <v>825</v>
      </c>
      <c r="B7" s="1183">
        <f>'Required Info to Submit'!$F$10</f>
        <v>0</v>
      </c>
      <c r="C7" s="1183"/>
      <c r="F7" s="902" t="str">
        <f>IF(Incentives!E15="Yes","VB","")</f>
        <v/>
      </c>
      <c r="G7" s="902" t="str">
        <f>IF(Incentives!E26="YES","DS","")</f>
        <v/>
      </c>
      <c r="I7" s="357">
        <v>6</v>
      </c>
      <c r="J7" t="s">
        <v>787</v>
      </c>
      <c r="L7" s="1183" t="str">
        <f>'MDA Worksheet'!$K$95</f>
        <v/>
      </c>
      <c r="M7" s="1183"/>
      <c r="N7" s="1183"/>
      <c r="O7" s="367">
        <v>8</v>
      </c>
      <c r="P7" s="1183" t="s">
        <v>902</v>
      </c>
      <c r="Q7" s="1183"/>
      <c r="R7" s="1183"/>
      <c r="S7" s="1183">
        <f>'Required Info to Submit'!$F$10</f>
        <v>0</v>
      </c>
      <c r="T7" s="1183"/>
      <c r="V7" s="144"/>
    </row>
    <row r="8" spans="1:23" x14ac:dyDescent="0.35">
      <c r="A8" t="s">
        <v>826</v>
      </c>
      <c r="B8" s="1183">
        <f>'Required Info to Submit'!$F$9</f>
        <v>0</v>
      </c>
      <c r="C8" s="1183"/>
      <c r="F8" s="902" t="str">
        <f>IF(Incentives!E37="Yes","EB","")</f>
        <v/>
      </c>
      <c r="G8" s="902" t="str">
        <f>IF(Incentives!E48="Yes","SG","")</f>
        <v/>
      </c>
      <c r="I8" s="143"/>
      <c r="M8"/>
      <c r="R8"/>
      <c r="V8" s="144"/>
    </row>
    <row r="9" spans="1:23" x14ac:dyDescent="0.35">
      <c r="A9" t="s">
        <v>682</v>
      </c>
      <c r="B9" s="1183">
        <f>'Required Info to Submit'!$F$12</f>
        <v>0</v>
      </c>
      <c r="C9" s="1183"/>
      <c r="F9" s="902" t="str">
        <f>IF(Incentives!E56="Yes","EC","")</f>
        <v/>
      </c>
      <c r="G9" s="902" t="str">
        <f>IF(Incentives!E89="Yes","CC","")</f>
        <v/>
      </c>
      <c r="I9" s="368" t="s">
        <v>904</v>
      </c>
      <c r="J9" s="317" t="s">
        <v>968</v>
      </c>
      <c r="K9" s="316" t="s">
        <v>893</v>
      </c>
      <c r="L9" s="317" t="s">
        <v>905</v>
      </c>
      <c r="M9" s="317"/>
      <c r="N9" s="317"/>
      <c r="O9" s="316" t="s">
        <v>906</v>
      </c>
      <c r="P9" s="317"/>
      <c r="Q9" s="318"/>
      <c r="R9"/>
      <c r="V9" s="144"/>
    </row>
    <row r="10" spans="1:23" ht="15" thickBot="1" x14ac:dyDescent="0.4">
      <c r="A10" t="s">
        <v>827</v>
      </c>
      <c r="B10" s="1183">
        <f>'Required Info to Submit'!$F$11</f>
        <v>0</v>
      </c>
      <c r="C10" s="1183"/>
      <c r="F10" s="902" t="str">
        <f>IF(Incentives!E64="Yes","PP","")</f>
        <v/>
      </c>
      <c r="G10" s="902" t="str">
        <f>IF(Incentives!E81="Yes","CBT","")</f>
        <v/>
      </c>
      <c r="I10" s="291"/>
      <c r="J10" s="292"/>
      <c r="K10" s="292"/>
      <c r="L10" s="292"/>
      <c r="M10" s="292"/>
      <c r="N10" s="292"/>
      <c r="O10" s="292"/>
      <c r="P10" s="292"/>
      <c r="Q10" s="292"/>
      <c r="R10" s="292"/>
      <c r="S10" s="292"/>
      <c r="T10" s="292"/>
      <c r="U10" s="292"/>
      <c r="V10" s="293"/>
    </row>
    <row r="11" spans="1:23" ht="16" thickBot="1" x14ac:dyDescent="0.4">
      <c r="B11" s="1208"/>
      <c r="C11" s="1208"/>
      <c r="F11" s="975" t="str">
        <f>IF(Incentives!E72="Yes","Roll","")</f>
        <v>Roll</v>
      </c>
      <c r="I11" s="1184" t="s">
        <v>767</v>
      </c>
      <c r="J11" s="1185"/>
      <c r="K11" s="1185"/>
      <c r="L11" s="1186"/>
      <c r="M11" s="320"/>
      <c r="N11" s="1184" t="s">
        <v>491</v>
      </c>
      <c r="O11" s="1185"/>
      <c r="P11" s="1185"/>
      <c r="Q11" s="1186"/>
      <c r="R11" s="320"/>
      <c r="S11" s="1184" t="s">
        <v>555</v>
      </c>
      <c r="T11" s="1185"/>
      <c r="U11" s="1185"/>
      <c r="V11" s="1186"/>
    </row>
    <row r="12" spans="1:23" ht="15" thickBot="1" x14ac:dyDescent="0.4">
      <c r="A12" s="1180" t="s">
        <v>767</v>
      </c>
      <c r="B12" s="1181"/>
      <c r="C12" s="1181"/>
      <c r="D12" s="1182"/>
      <c r="E12" s="941"/>
      <c r="F12" s="141"/>
      <c r="G12" s="141"/>
      <c r="H12" s="863"/>
      <c r="I12" s="1187" t="s">
        <v>768</v>
      </c>
      <c r="J12" s="1188"/>
      <c r="K12" s="1188"/>
      <c r="L12" s="1189"/>
      <c r="M12" s="320"/>
      <c r="N12" s="1187" t="s">
        <v>769</v>
      </c>
      <c r="O12" s="1188"/>
      <c r="P12" s="1188"/>
      <c r="Q12" s="1189"/>
      <c r="R12" s="320"/>
      <c r="S12" s="1187" t="s">
        <v>770</v>
      </c>
      <c r="T12" s="1188"/>
      <c r="U12" s="1188"/>
      <c r="V12" s="1189"/>
    </row>
    <row r="13" spans="1:23" x14ac:dyDescent="0.3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29" x14ac:dyDescent="0.35">
      <c r="A14" s="328" t="s">
        <v>906</v>
      </c>
      <c r="B14" s="843" t="str">
        <f>Incentives!$I$14</f>
        <v>Select Payment Method</v>
      </c>
      <c r="C14" s="903"/>
      <c r="D14" s="333"/>
      <c r="E14" s="330"/>
      <c r="F14" s="272"/>
      <c r="G14" s="272"/>
      <c r="H14" s="314"/>
      <c r="I14" s="360" t="s">
        <v>924</v>
      </c>
      <c r="J14" s="329" t="str">
        <f>Incentives!$I$14</f>
        <v>Select Payment Method</v>
      </c>
      <c r="K14" s="332" t="str">
        <f>IF(J14="Check","Check","Credit Memo")</f>
        <v>Credit Memo</v>
      </c>
      <c r="L14" s="695" t="str">
        <f>Incentives!$K$14</f>
        <v/>
      </c>
      <c r="M14" s="314"/>
      <c r="N14" s="360" t="s">
        <v>925</v>
      </c>
      <c r="O14" s="329" t="str">
        <f>Incentives!$I$25</f>
        <v>Select Payment Method</v>
      </c>
      <c r="P14" s="332" t="str">
        <f>IF(O14="Check","Check","Credit Memo")</f>
        <v>Credit Memo</v>
      </c>
      <c r="Q14" s="695" t="str">
        <f>Incentives!$K$25</f>
        <v/>
      </c>
      <c r="R14" s="314"/>
      <c r="S14" s="328" t="s">
        <v>925</v>
      </c>
      <c r="T14" s="329" t="str">
        <f>Incentives!$I$36</f>
        <v>Select Payment Method</v>
      </c>
      <c r="U14" s="332" t="str">
        <f>IF(T14="Check","Check","Credit Memo")</f>
        <v>Credit Memo</v>
      </c>
      <c r="V14" s="695" t="str">
        <f>Incentives!$K$36</f>
        <v/>
      </c>
      <c r="W14" s="314"/>
    </row>
    <row r="15" spans="1:23" x14ac:dyDescent="0.35">
      <c r="A15" s="328" t="s">
        <v>1249</v>
      </c>
      <c r="B15" s="843" t="str">
        <f>Incentives!$G$14</f>
        <v>Quarterly</v>
      </c>
      <c r="C15" s="903"/>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35">
      <c r="A16" s="328"/>
      <c r="B16" s="843"/>
      <c r="C16" s="903"/>
      <c r="D16" s="333"/>
      <c r="E16" s="330"/>
      <c r="F16" s="272"/>
      <c r="G16" s="272"/>
      <c r="H16" s="314"/>
      <c r="I16" s="360"/>
      <c r="J16" s="88" t="s">
        <v>917</v>
      </c>
      <c r="K16" s="331">
        <f>Incentives!$I$18</f>
        <v>0.01</v>
      </c>
      <c r="L16" s="333"/>
      <c r="M16" s="314"/>
      <c r="N16" s="784" t="s">
        <v>1249</v>
      </c>
      <c r="O16" s="920" t="str">
        <f>B27</f>
        <v>Quarterly</v>
      </c>
      <c r="P16" s="332"/>
      <c r="Q16" s="333"/>
      <c r="R16" s="314"/>
      <c r="S16" s="784" t="s">
        <v>1249</v>
      </c>
      <c r="T16" s="920" t="str">
        <f>B37</f>
        <v>Quarterly</v>
      </c>
      <c r="U16" s="332"/>
      <c r="V16" s="333"/>
      <c r="W16" s="314"/>
    </row>
    <row r="17" spans="1:23" x14ac:dyDescent="0.35">
      <c r="A17" s="143"/>
      <c r="B17" s="818"/>
      <c r="C17" s="818"/>
      <c r="D17" s="144"/>
      <c r="I17" s="143"/>
      <c r="J17" s="88" t="s">
        <v>918</v>
      </c>
      <c r="K17" t="s">
        <v>919</v>
      </c>
      <c r="L17" s="144"/>
      <c r="M17" s="334"/>
      <c r="N17" s="143"/>
      <c r="Q17" s="361"/>
      <c r="S17" s="143"/>
      <c r="V17" s="144"/>
    </row>
    <row r="18" spans="1:23" ht="29" x14ac:dyDescent="0.3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35">
      <c r="A19" s="143"/>
      <c r="B19" s="928">
        <v>0</v>
      </c>
      <c r="C19" s="377">
        <f>IF(ISERROR(B20-0.01),"",B20-0.01)</f>
        <v>-0.01</v>
      </c>
      <c r="D19" s="942">
        <f>Incentives!$I$17</f>
        <v>0</v>
      </c>
      <c r="E19" s="341"/>
      <c r="I19" s="358" t="s">
        <v>1097</v>
      </c>
      <c r="K19">
        <v>0</v>
      </c>
      <c r="L19" s="773">
        <f>D19</f>
        <v>0</v>
      </c>
      <c r="N19" s="358" t="s">
        <v>1097</v>
      </c>
      <c r="P19" s="374">
        <f>B29</f>
        <v>0</v>
      </c>
      <c r="Q19" s="774">
        <f>D29</f>
        <v>0</v>
      </c>
      <c r="S19" s="358" t="s">
        <v>1097</v>
      </c>
      <c r="U19" s="24">
        <f>B39</f>
        <v>0</v>
      </c>
      <c r="V19" s="774">
        <f>D39</f>
        <v>0</v>
      </c>
    </row>
    <row r="20" spans="1:23" x14ac:dyDescent="0.35">
      <c r="A20" s="143"/>
      <c r="B20" s="371">
        <f>ROUND(Incentives!$G$18,0)</f>
        <v>0</v>
      </c>
      <c r="C20" s="377">
        <f>IF(ISERROR(B21-0.01),"",B21-0.01)</f>
        <v>-0.01</v>
      </c>
      <c r="D20" s="942">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35">
      <c r="A21" s="143"/>
      <c r="B21" s="371">
        <f>IF(D21=0,"",ROUND(Incentives!$G$19,0))</f>
        <v>0</v>
      </c>
      <c r="C21" s="377" t="str">
        <f>IF(OR(ISERROR(B22-0.01),B22=0),"",B22-0.01)</f>
        <v/>
      </c>
      <c r="D21" s="942">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 thickBot="1" x14ac:dyDescent="0.4">
      <c r="A22" s="291"/>
      <c r="B22" s="372">
        <f>IF(D22=0,"",Incentives!$G$20)</f>
        <v>0</v>
      </c>
      <c r="C22" s="345">
        <v>999999.99</v>
      </c>
      <c r="D22" s="943">
        <f>Incentives!$I$20</f>
        <v>0.02</v>
      </c>
      <c r="E22" s="347"/>
      <c r="F22" s="292">
        <v>3</v>
      </c>
      <c r="G22" s="348">
        <f>Incentives!$E$20</f>
        <v>0</v>
      </c>
      <c r="H22" s="349"/>
      <c r="I22" s="358" t="s">
        <v>1100</v>
      </c>
      <c r="J22" s="292"/>
      <c r="K22" s="292">
        <f>IF($B$22="","",ROUND($B$22,0))</f>
        <v>0</v>
      </c>
      <c r="L22" s="872">
        <f t="shared" si="0"/>
        <v>0.02</v>
      </c>
      <c r="M22" s="350"/>
      <c r="N22" s="358" t="s">
        <v>1100</v>
      </c>
      <c r="O22" s="292"/>
      <c r="P22" s="376">
        <f>B32</f>
        <v>0</v>
      </c>
      <c r="Q22" s="872">
        <f>D32</f>
        <v>0.02</v>
      </c>
      <c r="R22" s="350"/>
      <c r="S22" s="358" t="s">
        <v>1100</v>
      </c>
      <c r="U22" s="59">
        <f>B42</f>
        <v>0</v>
      </c>
      <c r="V22" s="773">
        <f>D42</f>
        <v>0.02</v>
      </c>
    </row>
    <row r="23" spans="1:23" ht="16" thickBot="1" x14ac:dyDescent="0.4">
      <c r="E23" s="936"/>
      <c r="H23" s="863"/>
      <c r="I23" s="1184" t="s">
        <v>1236</v>
      </c>
      <c r="J23" s="1185"/>
      <c r="K23" s="1185"/>
      <c r="L23" s="1186"/>
      <c r="M23" s="862"/>
      <c r="N23" s="1199" t="s">
        <v>1237</v>
      </c>
      <c r="O23" s="1200"/>
      <c r="P23" s="1200"/>
      <c r="Q23" s="1201"/>
      <c r="R23" s="862"/>
      <c r="S23" s="1184" t="s">
        <v>1223</v>
      </c>
      <c r="T23" s="1185"/>
      <c r="U23" s="1185"/>
      <c r="V23" s="1186"/>
    </row>
    <row r="24" spans="1:23" ht="15" thickBot="1" x14ac:dyDescent="0.4">
      <c r="A24" s="1180" t="s">
        <v>491</v>
      </c>
      <c r="B24" s="1181"/>
      <c r="C24" s="1181"/>
      <c r="D24" s="1182"/>
      <c r="E24" s="319"/>
      <c r="F24" s="141"/>
      <c r="G24" s="141"/>
      <c r="H24" s="320"/>
      <c r="I24" s="1187" t="s">
        <v>779</v>
      </c>
      <c r="J24" s="1188"/>
      <c r="K24" s="1188"/>
      <c r="L24" s="1189"/>
      <c r="M24" s="862"/>
      <c r="N24" s="1205" t="s">
        <v>779</v>
      </c>
      <c r="O24" s="1206"/>
      <c r="P24" s="1206"/>
      <c r="Q24" s="1207"/>
      <c r="R24" s="862"/>
      <c r="S24" s="1187" t="s">
        <v>780</v>
      </c>
      <c r="T24" s="1188"/>
      <c r="U24" s="1188"/>
      <c r="V24" s="1189"/>
    </row>
    <row r="25" spans="1:23" x14ac:dyDescent="0.35">
      <c r="A25" s="328" t="s">
        <v>761</v>
      </c>
      <c r="B25" s="843">
        <f>$L$4</f>
        <v>44332</v>
      </c>
      <c r="C25" s="903" t="s">
        <v>772</v>
      </c>
      <c r="D25" s="333">
        <f>$S$4</f>
        <v>44338</v>
      </c>
      <c r="I25" s="962" t="s">
        <v>773</v>
      </c>
      <c r="J25" s="322">
        <f>$L$4</f>
        <v>44332</v>
      </c>
      <c r="K25" s="363" t="s">
        <v>774</v>
      </c>
      <c r="L25" s="364">
        <f>$S$4</f>
        <v>44338</v>
      </c>
      <c r="N25" s="143"/>
      <c r="O25" s="818"/>
      <c r="P25" s="818"/>
      <c r="Q25" s="144"/>
      <c r="S25" s="143" t="s">
        <v>773</v>
      </c>
      <c r="T25" s="843">
        <f>$L$4</f>
        <v>44332</v>
      </c>
      <c r="U25" s="845" t="s">
        <v>774</v>
      </c>
      <c r="V25" s="352">
        <f>$S$4</f>
        <v>44338</v>
      </c>
    </row>
    <row r="26" spans="1:23" ht="29" x14ac:dyDescent="0.35">
      <c r="A26" s="328" t="s">
        <v>906</v>
      </c>
      <c r="B26" s="843" t="str">
        <f>Incentives!$I$25</f>
        <v>Select Payment Method</v>
      </c>
      <c r="C26" s="903"/>
      <c r="D26" s="333"/>
      <c r="I26" s="956"/>
      <c r="J26" s="845" t="str">
        <f>IF(Incentives!$I$63="Check","Check","Credit Memo")</f>
        <v>Credit Memo</v>
      </c>
      <c r="K26" s="818" t="str">
        <f>Incentives!$K$63</f>
        <v/>
      </c>
      <c r="L26" s="352"/>
      <c r="N26" s="143"/>
      <c r="O26" s="849" t="s">
        <v>1215</v>
      </c>
      <c r="P26" s="849"/>
      <c r="Q26" s="850">
        <f>D62</f>
        <v>0</v>
      </c>
      <c r="S26" s="328" t="s">
        <v>925</v>
      </c>
      <c r="T26" s="843" t="str">
        <f>Incentives!$I$80</f>
        <v>Select Payment Method</v>
      </c>
      <c r="U26" s="844" t="str">
        <f>IF($T$26="Check","Check","Credit Memo")</f>
        <v>Credit Memo</v>
      </c>
      <c r="V26" s="695" t="str">
        <f>Incentives!$K$80</f>
        <v/>
      </c>
    </row>
    <row r="27" spans="1:23" x14ac:dyDescent="0.35">
      <c r="A27" s="143" t="s">
        <v>1249</v>
      </c>
      <c r="B27" s="818" t="str">
        <f>Incentives!$G$25</f>
        <v>Quarterly</v>
      </c>
      <c r="C27" s="818"/>
      <c r="D27" s="144"/>
      <c r="I27" s="143"/>
      <c r="J27" s="818"/>
      <c r="K27" s="818"/>
      <c r="L27" s="144"/>
      <c r="N27" s="851" t="s">
        <v>1214</v>
      </c>
      <c r="O27" s="849" t="s">
        <v>773</v>
      </c>
      <c r="P27" s="849" t="s">
        <v>774</v>
      </c>
      <c r="Q27" s="852"/>
      <c r="S27" s="143"/>
      <c r="T27" s="818" t="s">
        <v>903</v>
      </c>
      <c r="U27" s="818"/>
      <c r="V27" s="144"/>
    </row>
    <row r="28" spans="1:23" ht="29" x14ac:dyDescent="0.35">
      <c r="A28" s="143"/>
      <c r="B28" s="336" t="s">
        <v>127</v>
      </c>
      <c r="C28" s="336" t="s">
        <v>129</v>
      </c>
      <c r="D28" s="769" t="s">
        <v>777</v>
      </c>
      <c r="E28" s="353"/>
      <c r="I28" s="143"/>
      <c r="J28" s="818"/>
      <c r="K28" s="818"/>
      <c r="L28" s="144"/>
      <c r="N28" s="853" t="s">
        <v>1218</v>
      </c>
      <c r="O28" s="854">
        <f>L4</f>
        <v>44332</v>
      </c>
      <c r="P28" s="854">
        <f>O28+363</f>
        <v>44695</v>
      </c>
      <c r="Q28" s="855" t="e">
        <f>$C$62/$B$62</f>
        <v>#VALUE!</v>
      </c>
      <c r="S28" s="143"/>
      <c r="T28" s="818"/>
      <c r="U28" s="818"/>
      <c r="V28" s="144"/>
    </row>
    <row r="29" spans="1:23" x14ac:dyDescent="0.35">
      <c r="A29" s="143"/>
      <c r="B29" s="373">
        <v>0</v>
      </c>
      <c r="C29" s="377">
        <f>ROUND(IF(ISERROR(B30-0.01),"",B30-0.01),2)</f>
        <v>-0.01</v>
      </c>
      <c r="D29" s="772">
        <f>Incentives!$I$28</f>
        <v>0</v>
      </c>
      <c r="I29" s="357">
        <v>1</v>
      </c>
      <c r="J29" s="846" t="s">
        <v>782</v>
      </c>
      <c r="K29" s="847">
        <f>IF(B60="YES - Purchase Commitment",Incentives!$M$66,Incentives!$K$66)</f>
        <v>0</v>
      </c>
      <c r="L29" s="144"/>
      <c r="N29" s="853" t="s">
        <v>1219</v>
      </c>
      <c r="O29" s="854">
        <f>P28+1</f>
        <v>44696</v>
      </c>
      <c r="P29" s="854">
        <f>O29+370</f>
        <v>45066</v>
      </c>
      <c r="Q29" s="855" t="e">
        <f>$C$62/$B$62</f>
        <v>#VALUE!</v>
      </c>
      <c r="S29" s="357">
        <v>2</v>
      </c>
      <c r="T29" s="846" t="s">
        <v>782</v>
      </c>
      <c r="U29" s="847">
        <f>Incentives!$K$83</f>
        <v>3</v>
      </c>
      <c r="V29" s="144"/>
    </row>
    <row r="30" spans="1:23" x14ac:dyDescent="0.35">
      <c r="A30" s="143"/>
      <c r="B30" s="371">
        <f>ROUND(Incentives!$G$29,0)</f>
        <v>0</v>
      </c>
      <c r="C30" s="377">
        <f t="shared" ref="C30:C31" si="1">ROUND(IF(ISERROR(B31-0.01),"",B31-0.01),2)</f>
        <v>-0.01</v>
      </c>
      <c r="D30" s="772">
        <f>Incentives!$I$29</f>
        <v>0.01</v>
      </c>
      <c r="I30" s="963" t="str">
        <f>IF($B$60="YES - Purchase Commitment",3,"")</f>
        <v/>
      </c>
      <c r="J30" s="846" t="str">
        <f>IF($B$60="YES - Purchase Commitment","Min Sales Required","")</f>
        <v/>
      </c>
      <c r="K30" s="848">
        <f>$G$4</f>
        <v>0</v>
      </c>
      <c r="L30" s="144" t="s">
        <v>907</v>
      </c>
      <c r="N30" s="853" t="s">
        <v>1220</v>
      </c>
      <c r="O30" s="854">
        <f>P29+1</f>
        <v>45067</v>
      </c>
      <c r="P30" s="854">
        <f>O30+363</f>
        <v>45430</v>
      </c>
      <c r="Q30" s="855" t="e">
        <f>$C$62/$B$62</f>
        <v>#VALUE!</v>
      </c>
      <c r="S30" s="143"/>
      <c r="T30" s="818"/>
      <c r="U30" s="818"/>
      <c r="V30" s="144"/>
    </row>
    <row r="31" spans="1:23" x14ac:dyDescent="0.35">
      <c r="A31" s="143"/>
      <c r="B31" s="371">
        <f>ROUND(Incentives!$G$30,0)</f>
        <v>0</v>
      </c>
      <c r="C31" s="377">
        <f t="shared" si="1"/>
        <v>-0.01</v>
      </c>
      <c r="D31" s="772">
        <f>Incentives!$I$30</f>
        <v>1.4999999999999999E-2</v>
      </c>
      <c r="I31" s="963">
        <f>IF($B$60="YES - Purchase Commitment"," ",3)</f>
        <v>3</v>
      </c>
      <c r="J31" s="846" t="str">
        <f>IF($B$60="YES - Purchase Commitment"," ","Min Sales Required")</f>
        <v>Min Sales Required</v>
      </c>
      <c r="K31" s="848">
        <f>IF($B$60="YES - Purchase Commitment","",$G$4*$G$5)</f>
        <v>0</v>
      </c>
      <c r="L31" s="695" t="s">
        <v>788</v>
      </c>
      <c r="N31" s="853" t="s">
        <v>1221</v>
      </c>
      <c r="O31" s="854">
        <f>P30+1</f>
        <v>45431</v>
      </c>
      <c r="P31" s="854">
        <f>O31+363</f>
        <v>45794</v>
      </c>
      <c r="Q31" s="855" t="e">
        <f>$C$62/$B$62</f>
        <v>#VALUE!</v>
      </c>
      <c r="S31" s="143"/>
      <c r="T31" s="818"/>
      <c r="U31" s="818"/>
      <c r="V31" s="144"/>
    </row>
    <row r="32" spans="1:23" ht="15" thickBot="1" x14ac:dyDescent="0.4">
      <c r="A32" s="291"/>
      <c r="B32" s="372">
        <f>ROUND(Incentives!$G$31,0)</f>
        <v>0</v>
      </c>
      <c r="C32" s="345">
        <v>999999.99</v>
      </c>
      <c r="D32" s="771">
        <f>Incentives!$I$31</f>
        <v>0.02</v>
      </c>
      <c r="E32" s="354"/>
      <c r="F32" s="292"/>
      <c r="G32" s="292"/>
      <c r="H32" s="350"/>
      <c r="I32" s="291"/>
      <c r="J32" s="292"/>
      <c r="K32" s="292"/>
      <c r="L32" s="293"/>
      <c r="N32" s="856" t="s">
        <v>1222</v>
      </c>
      <c r="O32" s="857">
        <f>P31+1</f>
        <v>45795</v>
      </c>
      <c r="P32" s="857">
        <f>O32+363</f>
        <v>46158</v>
      </c>
      <c r="Q32" s="858" t="e">
        <f>$C$62/$B$62</f>
        <v>#VALUE!</v>
      </c>
      <c r="S32" s="291"/>
      <c r="T32" s="292"/>
      <c r="U32" s="292"/>
      <c r="V32" s="293"/>
    </row>
    <row r="33" spans="1:22" ht="16" thickBot="1" x14ac:dyDescent="0.4">
      <c r="E33" s="936"/>
      <c r="H33" s="863"/>
      <c r="I33" s="1202" t="s">
        <v>781</v>
      </c>
      <c r="J33" s="1203"/>
      <c r="K33" s="1203"/>
      <c r="L33" s="1204"/>
      <c r="M33" s="863"/>
      <c r="N33" s="1193" t="s">
        <v>1109</v>
      </c>
      <c r="O33" s="1194"/>
      <c r="P33" s="1194"/>
      <c r="Q33" s="1195"/>
      <c r="R33" s="863"/>
      <c r="S33" s="1193" t="s">
        <v>1250</v>
      </c>
      <c r="T33" s="1194"/>
      <c r="U33" s="1194"/>
      <c r="V33" s="1195"/>
    </row>
    <row r="34" spans="1:22" ht="15" thickBot="1" x14ac:dyDescent="0.4">
      <c r="A34" s="1180" t="s">
        <v>555</v>
      </c>
      <c r="B34" s="1181"/>
      <c r="C34" s="1181"/>
      <c r="D34" s="1182"/>
      <c r="E34" s="319"/>
      <c r="F34" s="141"/>
      <c r="G34" s="141"/>
      <c r="H34" s="320"/>
      <c r="I34" s="1190" t="s">
        <v>784</v>
      </c>
      <c r="J34" s="1191"/>
      <c r="K34" s="1191"/>
      <c r="L34" s="1192"/>
      <c r="M34" s="863"/>
      <c r="N34" s="1196" t="s">
        <v>783</v>
      </c>
      <c r="O34" s="1197"/>
      <c r="P34" s="1197"/>
      <c r="Q34" s="1198"/>
      <c r="R34" s="863"/>
      <c r="S34" s="1187" t="s">
        <v>1258</v>
      </c>
      <c r="T34" s="1188"/>
      <c r="U34" s="1188"/>
      <c r="V34" s="1189"/>
    </row>
    <row r="35" spans="1:22" x14ac:dyDescent="0.3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3" t="s">
        <v>832</v>
      </c>
      <c r="T35" s="889">
        <f>$L$4</f>
        <v>44332</v>
      </c>
      <c r="U35" s="891" t="s">
        <v>774</v>
      </c>
      <c r="V35" s="890">
        <f>$S$4</f>
        <v>44338</v>
      </c>
    </row>
    <row r="36" spans="1:22" ht="43.5" x14ac:dyDescent="0.35">
      <c r="A36" s="328" t="s">
        <v>926</v>
      </c>
      <c r="B36" s="329" t="str">
        <f>Incentives!$I$36</f>
        <v>Select Payment Method</v>
      </c>
      <c r="C36" s="272"/>
      <c r="D36" s="333"/>
      <c r="I36" s="328" t="s">
        <v>925</v>
      </c>
      <c r="J36" s="843" t="str">
        <f>Incentives!$I$55</f>
        <v>Select Payment Method</v>
      </c>
      <c r="K36" s="844" t="str">
        <f>IF(J36="Check","Check","Credit Memo")</f>
        <v>Credit Memo</v>
      </c>
      <c r="L36" s="695" t="str">
        <f>Incentives!$K$55</f>
        <v/>
      </c>
      <c r="N36" s="328" t="s">
        <v>925</v>
      </c>
      <c r="O36" s="272" t="str">
        <f>$B$82</f>
        <v>Select Payment Method</v>
      </c>
      <c r="Q36" s="144"/>
      <c r="S36" s="892" t="s">
        <v>1252</v>
      </c>
      <c r="T36" s="893" t="str">
        <f>$B$46</f>
        <v>Select Payment Method</v>
      </c>
      <c r="U36" s="884"/>
      <c r="V36" s="885"/>
    </row>
    <row r="37" spans="1:22" x14ac:dyDescent="0.35">
      <c r="A37" s="883" t="s">
        <v>1249</v>
      </c>
      <c r="B37" s="931" t="str">
        <f>Incentives!$G$36</f>
        <v>Quarterly</v>
      </c>
      <c r="D37" s="144"/>
      <c r="I37" s="784" t="s">
        <v>1249</v>
      </c>
      <c r="J37" s="920" t="str">
        <f>B54</f>
        <v>Quarterly</v>
      </c>
      <c r="K37" s="818"/>
      <c r="L37" s="144"/>
      <c r="N37" s="143"/>
      <c r="Q37" s="144"/>
      <c r="S37" s="883" t="s">
        <v>1253</v>
      </c>
      <c r="T37" s="884" t="str">
        <f>$B$47</f>
        <v>Quarterly</v>
      </c>
      <c r="U37" s="884"/>
      <c r="V37" s="885"/>
    </row>
    <row r="38" spans="1:22" ht="29" x14ac:dyDescent="0.35">
      <c r="A38" s="143"/>
      <c r="B38" s="336" t="s">
        <v>127</v>
      </c>
      <c r="C38" s="336" t="s">
        <v>129</v>
      </c>
      <c r="D38" s="769" t="s">
        <v>543</v>
      </c>
      <c r="I38" s="784">
        <v>3</v>
      </c>
      <c r="J38" s="846" t="s">
        <v>1257</v>
      </c>
      <c r="K38" s="874">
        <f>D55</f>
        <v>0</v>
      </c>
      <c r="L38" s="144"/>
      <c r="N38" s="143"/>
      <c r="O38" t="s">
        <v>782</v>
      </c>
      <c r="P38" s="22">
        <f>D84</f>
        <v>0</v>
      </c>
      <c r="Q38" s="144"/>
      <c r="S38" s="883"/>
      <c r="T38" s="884"/>
      <c r="U38" s="884" t="s">
        <v>1246</v>
      </c>
      <c r="V38" s="895">
        <f>$C$48</f>
        <v>0</v>
      </c>
    </row>
    <row r="39" spans="1:22" x14ac:dyDescent="0.35">
      <c r="A39" s="143"/>
      <c r="B39" s="767">
        <v>0</v>
      </c>
      <c r="C39" s="768">
        <f>IF(ISERROR(B40-0.01),"",(B40-0.0001))</f>
        <v>-1E-4</v>
      </c>
      <c r="D39" s="770">
        <v>0</v>
      </c>
      <c r="I39" s="784">
        <v>4</v>
      </c>
      <c r="J39" s="846" t="s">
        <v>1256</v>
      </c>
      <c r="K39" s="874">
        <f>$C$55</f>
        <v>0</v>
      </c>
      <c r="L39" s="144"/>
      <c r="N39" s="143"/>
      <c r="Q39" s="144"/>
      <c r="S39" s="883"/>
      <c r="T39" s="884"/>
      <c r="U39" s="884" t="s">
        <v>1248</v>
      </c>
      <c r="V39" s="894">
        <f>D48</f>
        <v>0</v>
      </c>
    </row>
    <row r="40" spans="1:22" ht="15" thickBot="1" x14ac:dyDescent="0.4">
      <c r="A40" s="143"/>
      <c r="B40" s="340">
        <f>Incentives!$G$40</f>
        <v>0</v>
      </c>
      <c r="C40" s="768" t="str">
        <f>IF(OR(ISERROR(B41-0.01),B41=0),"",(B41-0.0001))</f>
        <v/>
      </c>
      <c r="D40" s="772">
        <f>Incentives!$I$40</f>
        <v>0.01</v>
      </c>
      <c r="F40" s="927"/>
      <c r="G40" s="927"/>
      <c r="I40" s="291"/>
      <c r="J40" s="292"/>
      <c r="K40" s="292"/>
      <c r="L40" s="293"/>
      <c r="N40" s="291"/>
      <c r="O40" s="292"/>
      <c r="P40" s="292"/>
      <c r="Q40" s="293"/>
      <c r="S40" s="886"/>
      <c r="T40" s="887"/>
      <c r="U40" s="887"/>
      <c r="V40" s="888"/>
    </row>
    <row r="41" spans="1:22" ht="16" thickBot="1" x14ac:dyDescent="0.4">
      <c r="A41" s="143"/>
      <c r="B41" s="340">
        <f>Incentives!$G$41</f>
        <v>0</v>
      </c>
      <c r="C41" s="768" t="str">
        <f>IF(OR(ISERROR(B42-0.01),B42=0),"",(B42-0.0001))</f>
        <v/>
      </c>
      <c r="D41" s="772">
        <f>Incentives!$I$41</f>
        <v>1.4999999999999999E-2</v>
      </c>
      <c r="F41" s="927"/>
      <c r="G41" s="927"/>
      <c r="H41" s="932"/>
      <c r="I41" s="818"/>
      <c r="N41" s="1184" t="s">
        <v>1301</v>
      </c>
      <c r="O41" s="1185"/>
      <c r="P41" s="1185"/>
      <c r="Q41" s="1186"/>
      <c r="S41" s="1184"/>
      <c r="T41" s="1185"/>
      <c r="U41" s="1185"/>
      <c r="V41" s="1186"/>
    </row>
    <row r="42" spans="1:22" ht="15" thickBot="1" x14ac:dyDescent="0.4">
      <c r="A42" s="291"/>
      <c r="B42" s="346">
        <f>Incentives!$G$42</f>
        <v>0</v>
      </c>
      <c r="C42" s="356">
        <v>1</v>
      </c>
      <c r="D42" s="771">
        <f>Incentives!$I$42</f>
        <v>0.02</v>
      </c>
      <c r="E42" s="354"/>
      <c r="F42" s="818"/>
      <c r="G42" s="818"/>
      <c r="H42" s="933"/>
      <c r="I42" s="818"/>
      <c r="N42" s="1187" t="s">
        <v>1302</v>
      </c>
      <c r="O42" s="1188"/>
      <c r="P42" s="1188"/>
      <c r="Q42" s="1189"/>
      <c r="R42" s="984"/>
      <c r="S42" s="1187"/>
      <c r="T42" s="1188"/>
      <c r="U42" s="1188"/>
      <c r="V42" s="1189"/>
    </row>
    <row r="43" spans="1:22" ht="15" thickBot="1" x14ac:dyDescent="0.4">
      <c r="E43" s="936"/>
      <c r="F43" s="937"/>
      <c r="G43" s="939"/>
      <c r="H43" s="863"/>
      <c r="I43" s="859"/>
      <c r="J43" s="370" t="s">
        <v>765</v>
      </c>
      <c r="K43" s="860" t="s">
        <v>766</v>
      </c>
      <c r="L43" s="861"/>
      <c r="N43" s="962" t="s">
        <v>773</v>
      </c>
      <c r="O43" s="322">
        <f>$L$4</f>
        <v>44332</v>
      </c>
      <c r="P43" s="363" t="s">
        <v>774</v>
      </c>
      <c r="Q43" s="364">
        <f>$S$4</f>
        <v>44338</v>
      </c>
      <c r="S43" s="962"/>
      <c r="T43" s="322"/>
      <c r="U43" s="363"/>
      <c r="V43" s="364"/>
    </row>
    <row r="44" spans="1:22" x14ac:dyDescent="0.35">
      <c r="A44" s="1180" t="s">
        <v>1250</v>
      </c>
      <c r="B44" s="1181"/>
      <c r="C44" s="1181"/>
      <c r="D44" s="1182"/>
      <c r="E44" s="319"/>
      <c r="F44" s="818"/>
      <c r="G44" s="818"/>
      <c r="I44" s="934">
        <v>1</v>
      </c>
      <c r="J44" s="297">
        <f>IFERROR('MDA Worksheet'!D95,"")</f>
        <v>0</v>
      </c>
      <c r="K44" s="757" t="str">
        <f>IFERROR('MDA Worksheet'!$K$95,"")</f>
        <v/>
      </c>
      <c r="N44" s="143"/>
      <c r="O44" s="818"/>
      <c r="P44" s="818"/>
      <c r="Q44" s="144"/>
      <c r="S44" s="143"/>
      <c r="T44" s="818"/>
      <c r="U44" s="818"/>
      <c r="V44" s="144"/>
    </row>
    <row r="45" spans="1:22" x14ac:dyDescent="0.35">
      <c r="A45" s="143" t="s">
        <v>771</v>
      </c>
      <c r="B45" s="843">
        <f>$L$4</f>
        <v>44332</v>
      </c>
      <c r="C45" s="818"/>
      <c r="D45" s="333">
        <f>$S$4</f>
        <v>44338</v>
      </c>
      <c r="I45" s="935">
        <v>2</v>
      </c>
      <c r="J45" s="298">
        <f>IFERROR('MDA Worksheet'!D96,"")</f>
        <v>0</v>
      </c>
      <c r="K45" s="1" t="str">
        <f>IFERROR('MDA Worksheet'!K96,"")</f>
        <v/>
      </c>
      <c r="N45" s="143"/>
      <c r="O45" s="818" t="str">
        <f>B68</f>
        <v>Select Payment Method</v>
      </c>
      <c r="P45" s="818"/>
      <c r="Q45" s="144"/>
      <c r="S45" s="143"/>
      <c r="T45" s="818"/>
      <c r="U45" s="818"/>
      <c r="V45" s="144"/>
    </row>
    <row r="46" spans="1:22" x14ac:dyDescent="0.35">
      <c r="A46" s="906" t="s">
        <v>906</v>
      </c>
      <c r="B46" s="818" t="str">
        <f>Incentives!$I$47</f>
        <v>Select Payment Method</v>
      </c>
      <c r="C46" s="818"/>
      <c r="D46" s="144"/>
      <c r="I46" s="935">
        <v>3</v>
      </c>
      <c r="J46" s="298">
        <f>IFERROR('MDA Worksheet'!D97,"")</f>
        <v>0</v>
      </c>
      <c r="K46" s="1" t="str">
        <f>IFERROR('MDA Worksheet'!K97,"")</f>
        <v/>
      </c>
      <c r="N46" s="143"/>
      <c r="O46" s="818"/>
      <c r="P46" s="818"/>
      <c r="Q46" s="144"/>
      <c r="S46" s="143"/>
      <c r="T46" s="818"/>
      <c r="U46" s="818"/>
      <c r="V46" s="144"/>
    </row>
    <row r="47" spans="1:22" ht="29" x14ac:dyDescent="0.35">
      <c r="A47" s="906" t="s">
        <v>1249</v>
      </c>
      <c r="B47" s="818" t="str">
        <f>Incentives!$G$47</f>
        <v>Quarterly</v>
      </c>
      <c r="C47" s="907" t="s">
        <v>1246</v>
      </c>
      <c r="D47" s="908" t="s">
        <v>1248</v>
      </c>
      <c r="F47" s="927"/>
      <c r="G47" s="927"/>
      <c r="H47" s="933"/>
      <c r="I47" s="935">
        <v>4</v>
      </c>
      <c r="J47" s="298">
        <f>IFERROR('MDA Worksheet'!D98,"")</f>
        <v>0</v>
      </c>
      <c r="K47" s="1" t="str">
        <f>IFERROR('MDA Worksheet'!K98,"")</f>
        <v/>
      </c>
      <c r="N47" s="357">
        <v>1</v>
      </c>
      <c r="O47" s="846" t="s">
        <v>782</v>
      </c>
      <c r="P47" s="986">
        <f>B69</f>
        <v>0</v>
      </c>
      <c r="Q47" s="144"/>
      <c r="S47" s="1340"/>
      <c r="T47" s="1341"/>
      <c r="U47" s="1342"/>
      <c r="V47" s="885"/>
    </row>
    <row r="48" spans="1:22" x14ac:dyDescent="0.35">
      <c r="A48" s="143"/>
      <c r="B48" s="818"/>
      <c r="C48" s="848">
        <f>Incentives!$G$50</f>
        <v>0</v>
      </c>
      <c r="D48" s="774">
        <f>Incentives!$I$50</f>
        <v>0</v>
      </c>
      <c r="H48" s="933"/>
      <c r="I48" s="935">
        <v>5</v>
      </c>
      <c r="J48" s="298">
        <f>IFERROR('MDA Worksheet'!D99,"")</f>
        <v>0</v>
      </c>
      <c r="K48" s="1" t="str">
        <f>IFERROR('MDA Worksheet'!K99,"")</f>
        <v/>
      </c>
      <c r="N48" s="963" t="str">
        <f>IF($B$60="YES - Purchase Commitment",3,"")</f>
        <v/>
      </c>
      <c r="O48" s="846" t="str">
        <f>IF($B$60="YES - Purchase Commitment","Min Sales Required","")</f>
        <v/>
      </c>
      <c r="P48" s="848">
        <f>$G$4</f>
        <v>0</v>
      </c>
      <c r="Q48" s="144" t="s">
        <v>907</v>
      </c>
      <c r="S48" s="1343"/>
      <c r="T48" s="1341"/>
      <c r="U48" s="1344"/>
      <c r="V48" s="885"/>
    </row>
    <row r="49" spans="1:23" ht="29.5" thickBot="1" x14ac:dyDescent="0.4">
      <c r="A49" s="291"/>
      <c r="B49" s="292"/>
      <c r="C49" s="292"/>
      <c r="D49" s="293"/>
      <c r="E49" s="354"/>
      <c r="F49" s="818"/>
      <c r="G49" s="818"/>
      <c r="H49" s="933"/>
      <c r="I49" s="935">
        <v>6</v>
      </c>
      <c r="J49" s="298">
        <f>IFERROR('MDA Worksheet'!D100,"")</f>
        <v>0</v>
      </c>
      <c r="K49" s="1" t="str">
        <f>IFERROR('MDA Worksheet'!K100,"")</f>
        <v/>
      </c>
      <c r="N49" s="985">
        <f>IF($B$60="YES - Purchase Commitment"," ",3)</f>
        <v>3</v>
      </c>
      <c r="O49" s="846" t="str">
        <f>IF($B$60="YES - Purchase Commitment"," ","Min Sales Required")</f>
        <v>Min Sales Required</v>
      </c>
      <c r="P49" s="848">
        <f>$D$72</f>
        <v>0</v>
      </c>
      <c r="Q49" s="695" t="s">
        <v>788</v>
      </c>
      <c r="S49" s="1343"/>
      <c r="T49" s="1341"/>
      <c r="U49" s="1344"/>
      <c r="V49" s="1345"/>
    </row>
    <row r="50" spans="1:23" ht="15" thickBot="1" x14ac:dyDescent="0.4">
      <c r="A50" s="901"/>
      <c r="B50" s="901"/>
      <c r="C50" s="901"/>
      <c r="D50" s="901"/>
      <c r="E50" s="936"/>
      <c r="F50" s="937"/>
      <c r="G50" s="939"/>
      <c r="H50" s="863"/>
      <c r="I50" s="935">
        <v>7</v>
      </c>
      <c r="J50" s="298">
        <f>IFERROR('MDA Worksheet'!D101,"")</f>
        <v>0</v>
      </c>
      <c r="K50" s="1" t="str">
        <f>IFERROR('MDA Worksheet'!K101,"")</f>
        <v/>
      </c>
      <c r="N50" s="143"/>
      <c r="O50" s="818"/>
      <c r="P50" s="818"/>
      <c r="Q50" s="144"/>
      <c r="S50" s="883"/>
      <c r="T50" s="884"/>
      <c r="U50" s="884"/>
      <c r="V50" s="885"/>
    </row>
    <row r="51" spans="1:23" x14ac:dyDescent="0.35">
      <c r="A51" s="1180" t="s">
        <v>781</v>
      </c>
      <c r="B51" s="1181"/>
      <c r="C51" s="1181"/>
      <c r="D51" s="1182"/>
      <c r="E51" s="319"/>
      <c r="F51" s="818"/>
      <c r="G51" s="818"/>
      <c r="I51" s="935">
        <v>8</v>
      </c>
      <c r="J51" s="298">
        <f>IFERROR('MDA Worksheet'!D102,"")</f>
        <v>0</v>
      </c>
      <c r="K51" s="1" t="str">
        <f>IFERROR('MDA Worksheet'!K102,"")</f>
        <v/>
      </c>
      <c r="N51" s="143" t="s">
        <v>1304</v>
      </c>
      <c r="O51" s="1178" t="str">
        <f>"Amount to be paid to the customer $ "&amp;TEXT(D69,"#,###,###.00")</f>
        <v>Amount to be paid to the customer $ .00</v>
      </c>
      <c r="P51" s="1178"/>
      <c r="Q51" s="1179"/>
      <c r="S51" s="883"/>
      <c r="T51" s="1346"/>
      <c r="U51" s="1346"/>
      <c r="V51" s="1347"/>
    </row>
    <row r="52" spans="1:23" x14ac:dyDescent="0.35">
      <c r="A52" s="328" t="s">
        <v>761</v>
      </c>
      <c r="B52" s="843">
        <f>$L$4</f>
        <v>44332</v>
      </c>
      <c r="C52" s="903" t="s">
        <v>772</v>
      </c>
      <c r="D52" s="333">
        <f>$S$4</f>
        <v>44338</v>
      </c>
      <c r="E52" s="905"/>
      <c r="I52" s="935">
        <v>9</v>
      </c>
      <c r="J52" s="298">
        <f>IFERROR('MDA Worksheet'!D103,"")</f>
        <v>0</v>
      </c>
      <c r="K52" s="1" t="str">
        <f>IFERROR('MDA Worksheet'!K103,"")</f>
        <v/>
      </c>
      <c r="N52" s="143"/>
      <c r="O52" s="1178" t="str">
        <f>"Claw Back Amount $ "&amp;TEXT(D71,"#,###,###.00")</f>
        <v>Claw Back Amount $ .00</v>
      </c>
      <c r="P52" s="1178"/>
      <c r="Q52" s="1179"/>
      <c r="S52" s="883"/>
      <c r="T52" s="1346"/>
      <c r="U52" s="1346"/>
      <c r="V52" s="1347"/>
    </row>
    <row r="53" spans="1:23" ht="15" thickBot="1" x14ac:dyDescent="0.4">
      <c r="A53" s="143" t="s">
        <v>906</v>
      </c>
      <c r="B53" s="818" t="str">
        <f>Incentives!$I$55</f>
        <v>Select Payment Method</v>
      </c>
      <c r="C53" s="818"/>
      <c r="D53" s="144"/>
      <c r="H53" s="933"/>
      <c r="I53" s="541">
        <v>10</v>
      </c>
      <c r="J53" s="300">
        <f>IFERROR('MDA Worksheet'!D104,"")</f>
        <v>0</v>
      </c>
      <c r="K53" s="36" t="str">
        <f>IFERROR('MDA Worksheet'!K104,"")</f>
        <v/>
      </c>
      <c r="L53" s="292"/>
      <c r="M53" s="350"/>
      <c r="N53" s="291"/>
      <c r="O53" s="987"/>
      <c r="P53" s="987"/>
      <c r="Q53" s="988"/>
      <c r="R53" s="350"/>
      <c r="S53" s="886"/>
      <c r="T53" s="1348"/>
      <c r="U53" s="1348"/>
      <c r="V53" s="1349"/>
    </row>
    <row r="54" spans="1:23" x14ac:dyDescent="0.35">
      <c r="A54" s="143" t="s">
        <v>1249</v>
      </c>
      <c r="B54" s="920" t="str">
        <f>Incentives!$G$55</f>
        <v>Quarterly</v>
      </c>
      <c r="C54" s="336" t="s">
        <v>543</v>
      </c>
      <c r="D54" s="904" t="s">
        <v>236</v>
      </c>
      <c r="H54" s="933"/>
    </row>
    <row r="55" spans="1:23" ht="15" thickBot="1" x14ac:dyDescent="0.4">
      <c r="A55" s="291"/>
      <c r="B55" s="292"/>
      <c r="C55" s="876">
        <f>Incentives!$K$58</f>
        <v>0</v>
      </c>
      <c r="D55" s="771">
        <f>Incentives!$G$58</f>
        <v>0</v>
      </c>
      <c r="F55" s="818"/>
      <c r="G55" s="818"/>
      <c r="H55" s="933"/>
    </row>
    <row r="56" spans="1:23" ht="15" thickBot="1" x14ac:dyDescent="0.4">
      <c r="E56" s="936"/>
      <c r="F56" s="937"/>
      <c r="G56" s="939"/>
      <c r="H56" s="863"/>
    </row>
    <row r="57" spans="1:23" x14ac:dyDescent="0.35">
      <c r="A57" s="1180" t="s">
        <v>1236</v>
      </c>
      <c r="B57" s="1181"/>
      <c r="C57" s="1181"/>
      <c r="D57" s="1182"/>
      <c r="F57" s="818"/>
      <c r="G57" s="818"/>
    </row>
    <row r="58" spans="1:23" x14ac:dyDescent="0.35">
      <c r="A58" s="328" t="s">
        <v>761</v>
      </c>
      <c r="B58" s="843">
        <f>$L$4</f>
        <v>44332</v>
      </c>
      <c r="C58" s="903" t="s">
        <v>772</v>
      </c>
      <c r="D58" s="333">
        <f>$S$4</f>
        <v>44338</v>
      </c>
      <c r="E58" s="905"/>
    </row>
    <row r="59" spans="1:23" x14ac:dyDescent="0.35">
      <c r="A59" s="143" t="s">
        <v>906</v>
      </c>
      <c r="B59" s="818" t="str">
        <f>Incentives!$I$63</f>
        <v>Select Payment Method</v>
      </c>
      <c r="C59" s="818"/>
      <c r="D59" s="144"/>
      <c r="H59" s="933"/>
    </row>
    <row r="60" spans="1:23" x14ac:dyDescent="0.35">
      <c r="A60" s="143" t="s">
        <v>1194</v>
      </c>
      <c r="B60" s="818" t="str">
        <f>Incentives!G63</f>
        <v>NO</v>
      </c>
      <c r="C60" s="818"/>
      <c r="D60" s="144"/>
    </row>
    <row r="61" spans="1:23" x14ac:dyDescent="0.35">
      <c r="A61" s="143"/>
      <c r="B61" s="976" t="s">
        <v>1299</v>
      </c>
      <c r="C61" s="976" t="s">
        <v>782</v>
      </c>
      <c r="D61" s="904" t="s">
        <v>828</v>
      </c>
      <c r="F61" s="818"/>
      <c r="G61" s="818"/>
    </row>
    <row r="62" spans="1:23" s="953" customFormat="1" x14ac:dyDescent="0.35">
      <c r="A62" s="883"/>
      <c r="B62" s="974" t="str">
        <f>IF(B60="No","",Welcome!D12)</f>
        <v/>
      </c>
      <c r="C62" s="981">
        <f>IF($B$60="YES - Purchase Commitment",Incentives!$K$66/$G$5,Incentives!$K$66)</f>
        <v>0</v>
      </c>
      <c r="D62" s="982">
        <f>$G$4</f>
        <v>0</v>
      </c>
      <c r="E62" s="311"/>
      <c r="F62" s="818"/>
      <c r="G62" s="818"/>
      <c r="H62" s="312"/>
      <c r="M62" s="312"/>
      <c r="R62" s="312"/>
      <c r="W62" s="312"/>
    </row>
    <row r="63" spans="1:23" s="953" customFormat="1" x14ac:dyDescent="0.35">
      <c r="A63" s="883"/>
      <c r="B63" s="884"/>
      <c r="C63" s="966"/>
      <c r="D63" s="983" t="s">
        <v>1300</v>
      </c>
      <c r="E63" s="311"/>
      <c r="F63" s="818"/>
      <c r="G63" s="818"/>
      <c r="H63" s="312"/>
      <c r="M63" s="312"/>
      <c r="R63" s="312"/>
      <c r="W63" s="312"/>
    </row>
    <row r="64" spans="1:23" s="953" customFormat="1" x14ac:dyDescent="0.35">
      <c r="A64" s="883"/>
      <c r="B64" s="884"/>
      <c r="C64" s="966"/>
      <c r="D64" s="772" t="e">
        <f>Incentives!$K$66/(Incentives!$G$5*Incentives!$G$4)</f>
        <v>#DIV/0!</v>
      </c>
      <c r="E64" s="311"/>
      <c r="F64" s="818"/>
      <c r="G64" s="818"/>
      <c r="H64" s="312"/>
      <c r="M64" s="312"/>
      <c r="R64" s="312"/>
      <c r="W64" s="312"/>
    </row>
    <row r="65" spans="1:23" ht="15" thickBot="1" x14ac:dyDescent="0.4">
      <c r="A65" s="291"/>
      <c r="B65" s="292"/>
      <c r="C65" s="292"/>
      <c r="D65" s="293"/>
      <c r="F65" s="818"/>
      <c r="G65" s="818"/>
      <c r="I65" s="953"/>
    </row>
    <row r="66" spans="1:23" s="947" customFormat="1" ht="15" thickBot="1" x14ac:dyDescent="0.4">
      <c r="A66" s="1180" t="s">
        <v>1286</v>
      </c>
      <c r="B66" s="1181"/>
      <c r="C66" s="1181"/>
      <c r="D66" s="1182"/>
      <c r="E66" s="936"/>
      <c r="F66" s="937"/>
      <c r="G66" s="939"/>
      <c r="H66" s="863"/>
      <c r="I66"/>
      <c r="M66" s="312"/>
      <c r="R66" s="312"/>
      <c r="W66" s="312"/>
    </row>
    <row r="67" spans="1:23" s="947" customFormat="1" x14ac:dyDescent="0.35">
      <c r="A67" s="321" t="s">
        <v>761</v>
      </c>
      <c r="B67" s="322">
        <f>$L$4</f>
        <v>44332</v>
      </c>
      <c r="C67" s="323" t="s">
        <v>772</v>
      </c>
      <c r="D67" s="327">
        <f>$S$4</f>
        <v>44338</v>
      </c>
      <c r="E67" s="905"/>
      <c r="F67" s="818"/>
      <c r="G67" s="818"/>
      <c r="H67" s="933"/>
      <c r="M67" s="312"/>
      <c r="R67" s="312"/>
      <c r="W67" s="312"/>
    </row>
    <row r="68" spans="1:23" s="947" customFormat="1" x14ac:dyDescent="0.35">
      <c r="A68" s="143" t="s">
        <v>906</v>
      </c>
      <c r="B68" s="955" t="str">
        <f>Incentives!$I$71</f>
        <v>Select Payment Method</v>
      </c>
      <c r="C68" s="818"/>
      <c r="D68" s="144"/>
      <c r="E68" s="905"/>
      <c r="F68" s="818"/>
      <c r="G68" s="818"/>
      <c r="H68" s="933"/>
      <c r="M68" s="312"/>
      <c r="R68" s="312"/>
      <c r="W68" s="312"/>
    </row>
    <row r="69" spans="1:23" s="947" customFormat="1" x14ac:dyDescent="0.35">
      <c r="A69" s="977" t="s">
        <v>1297</v>
      </c>
      <c r="B69" s="968">
        <f>Incentives!$M$71</f>
        <v>0</v>
      </c>
      <c r="C69" s="978" t="s">
        <v>1293</v>
      </c>
      <c r="D69" s="971">
        <f>Incentives!$G$71</f>
        <v>0</v>
      </c>
      <c r="E69" s="905"/>
      <c r="F69" s="818"/>
      <c r="G69" s="818"/>
      <c r="H69" s="933"/>
      <c r="M69" s="312"/>
      <c r="R69" s="312"/>
      <c r="W69" s="312"/>
    </row>
    <row r="70" spans="1:23" s="947" customFormat="1" x14ac:dyDescent="0.35">
      <c r="A70" s="977" t="s">
        <v>1294</v>
      </c>
      <c r="B70" s="969">
        <f>Incentives!$G$75</f>
        <v>0</v>
      </c>
      <c r="C70" s="979" t="s">
        <v>824</v>
      </c>
      <c r="D70" s="972">
        <f>Incentives!$I$75</f>
        <v>0</v>
      </c>
      <c r="E70" s="905"/>
      <c r="F70" s="818"/>
      <c r="G70" s="818"/>
      <c r="H70" s="933"/>
      <c r="M70" s="312"/>
      <c r="R70" s="312"/>
      <c r="W70" s="312"/>
    </row>
    <row r="71" spans="1:23" s="953" customFormat="1" x14ac:dyDescent="0.35">
      <c r="A71" s="977" t="s">
        <v>1295</v>
      </c>
      <c r="B71" s="970">
        <f>Incentives!$K$75</f>
        <v>0</v>
      </c>
      <c r="C71" s="979" t="s">
        <v>1296</v>
      </c>
      <c r="D71" s="971">
        <f>Incentives!$K$71</f>
        <v>0</v>
      </c>
      <c r="E71" s="905"/>
      <c r="F71" s="818"/>
      <c r="G71" s="818"/>
      <c r="H71" s="933"/>
      <c r="M71" s="312"/>
      <c r="R71" s="312"/>
      <c r="W71" s="312"/>
    </row>
    <row r="72" spans="1:23" s="947" customFormat="1" ht="15" thickBot="1" x14ac:dyDescent="0.4">
      <c r="A72" s="291"/>
      <c r="B72" s="292"/>
      <c r="C72" s="980" t="s">
        <v>1298</v>
      </c>
      <c r="D72" s="973">
        <f>Incentives!$G$5*Incentives!$G$4</f>
        <v>0</v>
      </c>
      <c r="E72" s="905"/>
      <c r="F72" s="818"/>
      <c r="G72" s="818"/>
      <c r="H72" s="933"/>
      <c r="M72" s="312"/>
      <c r="R72" s="312"/>
      <c r="W72" s="312"/>
    </row>
    <row r="73" spans="1:23" ht="15" thickBot="1" x14ac:dyDescent="0.4">
      <c r="A73" s="947"/>
      <c r="B73" s="947"/>
      <c r="C73" s="947"/>
      <c r="D73" s="947"/>
      <c r="E73" s="905"/>
      <c r="F73" s="818"/>
      <c r="G73" s="818"/>
      <c r="H73" s="933"/>
      <c r="I73" s="947"/>
    </row>
    <row r="74" spans="1:23" x14ac:dyDescent="0.35">
      <c r="A74" s="1180" t="str">
        <f>Incentives!G80</f>
        <v>CHECK Business Tools (General)</v>
      </c>
      <c r="B74" s="1181"/>
      <c r="C74" s="1181"/>
      <c r="D74" s="1181"/>
      <c r="E74" s="905"/>
      <c r="F74" s="818"/>
      <c r="G74" s="818"/>
      <c r="H74" s="933"/>
    </row>
    <row r="75" spans="1:23" x14ac:dyDescent="0.35">
      <c r="A75" s="328" t="s">
        <v>761</v>
      </c>
      <c r="B75" s="329">
        <f>$L$4</f>
        <v>44332</v>
      </c>
      <c r="C75" s="272" t="s">
        <v>772</v>
      </c>
      <c r="D75" s="329">
        <f>$S$4</f>
        <v>44338</v>
      </c>
    </row>
    <row r="76" spans="1:23" x14ac:dyDescent="0.35">
      <c r="A76" s="143" t="s">
        <v>906</v>
      </c>
      <c r="B76" t="str">
        <f>Incentives!$I$80</f>
        <v>Select Payment Method</v>
      </c>
    </row>
    <row r="77" spans="1:23" x14ac:dyDescent="0.35">
      <c r="A77" s="143"/>
      <c r="C77" s="1" t="s">
        <v>828</v>
      </c>
      <c r="D77" s="1" t="s">
        <v>782</v>
      </c>
    </row>
    <row r="78" spans="1:23" ht="15" thickBot="1" x14ac:dyDescent="0.4">
      <c r="A78" s="291"/>
      <c r="B78" s="292"/>
      <c r="C78" s="369">
        <f>Incentives!$H$9</f>
        <v>0</v>
      </c>
      <c r="D78" s="344">
        <f>Incentives!$K$83</f>
        <v>3</v>
      </c>
    </row>
    <row r="79" spans="1:23" ht="15" thickBot="1" x14ac:dyDescent="0.4"/>
    <row r="80" spans="1:23" ht="15" thickBot="1" x14ac:dyDescent="0.4">
      <c r="A80" s="1180" t="s">
        <v>1106</v>
      </c>
      <c r="B80" s="1181"/>
      <c r="C80" s="1181"/>
      <c r="D80" s="1182"/>
      <c r="E80" s="936"/>
      <c r="F80" s="937"/>
      <c r="G80" s="938"/>
      <c r="H80" s="940"/>
    </row>
    <row r="81" spans="1:4" x14ac:dyDescent="0.35">
      <c r="A81" s="143" t="s">
        <v>761</v>
      </c>
      <c r="B81" s="818"/>
      <c r="C81" s="818" t="s">
        <v>763</v>
      </c>
      <c r="D81" s="144"/>
    </row>
    <row r="82" spans="1:4" x14ac:dyDescent="0.35">
      <c r="A82" s="143" t="s">
        <v>926</v>
      </c>
      <c r="B82" s="818" t="str">
        <f>Incentives!$I$88</f>
        <v>Select Payment Method</v>
      </c>
      <c r="C82" s="818"/>
      <c r="D82" s="144"/>
    </row>
    <row r="83" spans="1:4" x14ac:dyDescent="0.35">
      <c r="A83" s="143"/>
      <c r="B83" s="818"/>
      <c r="C83" s="928"/>
      <c r="D83" s="930" t="s">
        <v>782</v>
      </c>
    </row>
    <row r="84" spans="1:4" ht="15" thickBot="1" x14ac:dyDescent="0.4">
      <c r="A84" s="291"/>
      <c r="B84" s="292"/>
      <c r="C84" s="929"/>
      <c r="D84" s="944">
        <f>Incentives!$G$91</f>
        <v>0</v>
      </c>
    </row>
  </sheetData>
  <sheetProtection algorithmName="SHA-512" hashValue="H+c/0t5ue1Z5KW4+DVKgaJO/l1FWDpyWCfDFlKh6GPSB5nW6N6sL2JmEamY5RGT9o/nBS3CkEJsqIwjNyITr9g==" saltValue="IRvFgSGJ3b/brOK2Zellng==" spinCount="100000" sheet="1" objects="1" scenarios="1"/>
  <mergeCells count="53">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1640625" defaultRowHeight="14.5" x14ac:dyDescent="0.35"/>
  <cols>
    <col min="2" max="2" width="1.81640625" customWidth="1"/>
    <col min="3" max="3" width="3" bestFit="1" customWidth="1"/>
    <col min="4" max="11" width="2.7265625" customWidth="1"/>
    <col min="15" max="15" width="2.1796875" customWidth="1"/>
    <col min="24" max="24" width="2.54296875" customWidth="1"/>
    <col min="26" max="33" width="2.26953125" customWidth="1"/>
    <col min="34" max="34" width="3.7265625" customWidth="1"/>
    <col min="35" max="38" width="2.26953125" customWidth="1"/>
    <col min="48" max="56" width="3" customWidth="1"/>
    <col min="57" max="58" width="2" customWidth="1"/>
    <col min="59" max="61" width="1.81640625" customWidth="1"/>
    <col min="67" max="67" width="3.26953125" customWidth="1"/>
    <col min="68" max="68" width="18.54296875" customWidth="1"/>
    <col min="69" max="69" width="25.453125" bestFit="1" customWidth="1"/>
    <col min="70" max="70" width="26.81640625" bestFit="1" customWidth="1"/>
    <col min="71" max="71" width="16" bestFit="1" customWidth="1"/>
    <col min="72" max="72" width="9.26953125" customWidth="1"/>
    <col min="73" max="73" width="10" bestFit="1" customWidth="1"/>
    <col min="74" max="88" width="14.453125" customWidth="1"/>
  </cols>
  <sheetData>
    <row r="1" spans="2:68" x14ac:dyDescent="0.3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8">
      <c r="B2" s="1257" t="s">
        <v>750</v>
      </c>
      <c r="C2" s="1258"/>
      <c r="D2" s="1258"/>
      <c r="E2" s="1258"/>
      <c r="F2" s="1258"/>
      <c r="G2" s="1258"/>
      <c r="H2" s="1258"/>
      <c r="I2" s="1258"/>
      <c r="J2" s="1258"/>
      <c r="K2" s="1258"/>
      <c r="L2" s="1258"/>
      <c r="M2" s="1258"/>
      <c r="N2" s="1258"/>
      <c r="O2" s="1258"/>
      <c r="P2" s="1258"/>
      <c r="Q2" s="1258"/>
      <c r="R2" s="1258"/>
      <c r="S2" s="1258"/>
      <c r="T2" s="1258"/>
      <c r="U2" s="1258"/>
      <c r="V2" s="1258"/>
      <c r="W2" s="1258"/>
      <c r="X2" s="1258"/>
      <c r="Y2" s="1258"/>
      <c r="Z2" s="1258"/>
      <c r="AA2" s="1258"/>
      <c r="AB2" s="1258"/>
      <c r="AC2" s="1258"/>
      <c r="AD2" s="1258"/>
      <c r="AE2" s="1258"/>
      <c r="AF2" s="1258"/>
      <c r="AG2" s="1258"/>
      <c r="AH2" s="1258"/>
      <c r="AI2" s="1258"/>
      <c r="AJ2" s="1258"/>
      <c r="AK2" s="1258"/>
      <c r="AL2" s="1258"/>
      <c r="AM2" s="1258"/>
      <c r="AN2" s="1258"/>
      <c r="AO2" s="1258"/>
      <c r="AP2" s="1258"/>
      <c r="AQ2" s="1258"/>
      <c r="AR2" s="1258"/>
      <c r="AS2" s="1258"/>
      <c r="AT2" s="1258"/>
      <c r="AU2" s="1258"/>
      <c r="AV2" s="1258"/>
      <c r="AW2" s="1258"/>
      <c r="AX2" s="1258"/>
      <c r="AY2" s="1258"/>
      <c r="AZ2" s="1258"/>
      <c r="BA2" s="1258"/>
      <c r="BB2" s="1258"/>
      <c r="BC2" s="1258"/>
      <c r="BD2" s="1258"/>
      <c r="BE2" s="1258"/>
      <c r="BF2" s="1259"/>
    </row>
    <row r="3" spans="2:68" x14ac:dyDescent="0.35">
      <c r="B3" s="1260"/>
      <c r="C3" s="1261"/>
      <c r="D3" s="1261"/>
      <c r="E3" s="1261"/>
      <c r="F3" s="1261"/>
      <c r="G3" s="1261"/>
      <c r="H3" s="1261"/>
      <c r="I3" s="1261"/>
      <c r="J3" s="1261"/>
      <c r="K3" s="1261"/>
      <c r="L3" s="1261"/>
      <c r="M3" s="1261"/>
      <c r="N3" s="1261"/>
      <c r="O3" s="1261"/>
      <c r="P3" s="1261"/>
      <c r="Q3" s="1261"/>
      <c r="R3" s="1261"/>
      <c r="S3" s="1261"/>
      <c r="T3" s="1261"/>
      <c r="U3" s="1261"/>
      <c r="V3" s="1261"/>
      <c r="W3" s="1261"/>
      <c r="X3" s="1261"/>
      <c r="Y3" s="1261"/>
      <c r="Z3" s="1261"/>
      <c r="AA3" s="1261"/>
      <c r="AB3" s="1261"/>
      <c r="AC3" s="1261"/>
      <c r="AD3" s="1261"/>
      <c r="AE3" s="1261"/>
      <c r="AF3" s="1261"/>
      <c r="AG3" s="1261"/>
      <c r="AH3" s="1261"/>
      <c r="AI3" s="1261"/>
      <c r="AJ3" s="1261"/>
      <c r="AK3" s="1261"/>
      <c r="AL3" s="1261"/>
      <c r="AM3" s="1261"/>
      <c r="AN3" s="1261"/>
      <c r="AO3" s="1261"/>
      <c r="AP3" s="1261"/>
      <c r="AQ3" s="1261"/>
      <c r="AR3" s="1261"/>
      <c r="AS3" s="1261"/>
      <c r="AT3" s="1261"/>
      <c r="AU3" s="1261"/>
      <c r="AV3" s="1261"/>
      <c r="AW3" s="1261"/>
      <c r="AX3" s="1261"/>
      <c r="AY3" s="1261"/>
      <c r="AZ3" s="1261"/>
      <c r="BA3" s="1261"/>
      <c r="BB3" s="1261"/>
      <c r="BC3" s="1261"/>
      <c r="BD3" s="1261"/>
      <c r="BE3" s="1261"/>
      <c r="BF3" s="1262"/>
    </row>
    <row r="4" spans="2:68" x14ac:dyDescent="0.35">
      <c r="B4" s="143"/>
      <c r="BF4" s="144"/>
    </row>
    <row r="5" spans="2:68" x14ac:dyDescent="0.35">
      <c r="B5" s="143"/>
      <c r="BF5" s="144"/>
    </row>
    <row r="6" spans="2:68" x14ac:dyDescent="0.35">
      <c r="B6" s="143"/>
      <c r="BF6" s="144"/>
    </row>
    <row r="7" spans="2:68" x14ac:dyDescent="0.35">
      <c r="B7" s="143"/>
      <c r="BF7" s="144"/>
    </row>
    <row r="8" spans="2:68" ht="18.5" x14ac:dyDescent="0.45">
      <c r="B8" s="1219" t="s">
        <v>677</v>
      </c>
      <c r="C8" s="1220"/>
      <c r="D8" s="1220"/>
      <c r="E8" s="1220"/>
      <c r="F8" s="1220"/>
      <c r="G8" s="1220"/>
      <c r="H8" s="1220"/>
      <c r="I8" s="1220"/>
      <c r="J8" s="1220"/>
      <c r="K8" s="1220"/>
      <c r="L8" s="1220"/>
      <c r="M8" s="1220"/>
      <c r="N8" s="1220"/>
      <c r="O8" s="1220"/>
      <c r="P8" s="1220"/>
      <c r="Q8" s="1220"/>
      <c r="R8" s="1220"/>
      <c r="S8" s="1220"/>
      <c r="T8" s="1220"/>
      <c r="U8" s="1220"/>
      <c r="V8" s="1220"/>
      <c r="W8" s="1220"/>
      <c r="X8" s="1220"/>
      <c r="Y8" s="1220"/>
      <c r="Z8" s="1220"/>
      <c r="AA8" s="1220"/>
      <c r="AB8" s="1220"/>
      <c r="AC8" s="1220"/>
      <c r="AD8" s="1220"/>
      <c r="AE8" s="1220"/>
      <c r="AF8" s="1220"/>
      <c r="AG8" s="1220"/>
      <c r="AH8" s="1220"/>
      <c r="AI8" s="1220"/>
      <c r="AJ8" s="1220"/>
      <c r="AK8" s="1220"/>
      <c r="AL8" s="1220"/>
      <c r="AM8" s="1220"/>
      <c r="AN8" s="1220"/>
      <c r="AO8" s="1220"/>
      <c r="AP8" s="1220"/>
      <c r="AQ8" s="1220"/>
      <c r="AR8" s="1220"/>
      <c r="AS8" s="1220"/>
      <c r="AT8" s="1220"/>
      <c r="AU8" s="1220"/>
      <c r="AV8" s="1220"/>
      <c r="AW8" s="1220"/>
      <c r="AX8" s="1220"/>
      <c r="AY8" s="1220"/>
      <c r="AZ8" s="1220"/>
      <c r="BA8" s="1220"/>
      <c r="BB8" s="1220"/>
      <c r="BC8" s="1220"/>
      <c r="BD8" s="1220"/>
      <c r="BE8" s="1220"/>
      <c r="BF8" s="1221"/>
    </row>
    <row r="9" spans="2:68" x14ac:dyDescent="0.3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35">
      <c r="B10" s="1276" t="s">
        <v>914</v>
      </c>
      <c r="C10" s="1172"/>
      <c r="D10" s="1172"/>
      <c r="E10" s="1172"/>
      <c r="F10" s="1172"/>
      <c r="G10" s="1172"/>
      <c r="H10" s="1172"/>
      <c r="I10" s="1172"/>
      <c r="J10" s="1172"/>
      <c r="K10" s="1267">
        <f>'Tracking &amp; Profitability'!$H$5</f>
        <v>0</v>
      </c>
      <c r="L10" s="1267"/>
      <c r="M10" s="1267"/>
      <c r="N10" s="1267"/>
      <c r="O10" s="1267"/>
      <c r="P10" s="1267"/>
      <c r="Q10" s="1267"/>
      <c r="R10" s="1267"/>
      <c r="S10" s="1267"/>
      <c r="T10" s="1267"/>
      <c r="U10" s="1267"/>
      <c r="V10" s="1267"/>
      <c r="W10" s="1267"/>
      <c r="X10" s="1267"/>
      <c r="Y10" s="1267"/>
      <c r="Z10" s="1267"/>
      <c r="AA10" s="1267"/>
      <c r="AB10" s="1267"/>
      <c r="AC10" s="1267"/>
      <c r="AD10" s="1267"/>
      <c r="AE10" s="1267"/>
      <c r="AI10" s="1172" t="s">
        <v>749</v>
      </c>
      <c r="AJ10" s="1172"/>
      <c r="AK10" s="1172"/>
      <c r="AL10" s="1172"/>
      <c r="AM10" s="1172"/>
      <c r="AN10" s="1172"/>
      <c r="AO10" s="1172"/>
      <c r="AP10" s="1172"/>
      <c r="AQ10" s="1172"/>
      <c r="AR10" s="1172"/>
      <c r="AT10" s="1275"/>
      <c r="AU10" s="1275"/>
      <c r="AV10" s="1275"/>
      <c r="AW10" s="1275"/>
      <c r="AX10" s="1275"/>
      <c r="AY10" s="1275"/>
      <c r="AZ10" s="1275"/>
      <c r="BA10" s="1275"/>
      <c r="BB10" s="1275"/>
      <c r="BC10" s="1275"/>
      <c r="BD10" s="1275"/>
      <c r="BF10" s="144"/>
    </row>
    <row r="11" spans="2:68" x14ac:dyDescent="0.35">
      <c r="B11" s="143"/>
      <c r="AL11" s="2"/>
      <c r="AM11" s="2"/>
      <c r="AN11" s="2"/>
      <c r="AO11" s="2"/>
      <c r="AP11" s="2"/>
      <c r="AQ11" s="2"/>
      <c r="AR11" s="2"/>
      <c r="AS11" s="2"/>
      <c r="AT11" s="2"/>
      <c r="AU11" s="2"/>
      <c r="AV11" s="2"/>
      <c r="BF11" s="144"/>
    </row>
    <row r="12" spans="2:68" x14ac:dyDescent="0.35">
      <c r="B12" s="1269" t="s">
        <v>915</v>
      </c>
      <c r="C12" s="1266"/>
      <c r="D12" s="1266"/>
      <c r="E12" s="1266"/>
      <c r="F12" s="1266"/>
      <c r="G12" s="1266"/>
      <c r="H12" s="1266"/>
      <c r="I12" s="1266"/>
      <c r="J12" s="1266"/>
      <c r="K12" s="1277">
        <f>'Required Info to Submit'!$F$4</f>
        <v>0</v>
      </c>
      <c r="L12" s="1277"/>
      <c r="M12" s="1277"/>
      <c r="N12" s="1277"/>
      <c r="O12" s="1277"/>
      <c r="P12" s="1277"/>
      <c r="Q12" s="1277"/>
      <c r="R12" s="1277"/>
      <c r="S12" s="1277"/>
      <c r="T12" s="1277"/>
      <c r="U12" s="1277"/>
      <c r="V12" s="1277"/>
      <c r="W12" s="1277"/>
      <c r="X12" s="1277"/>
      <c r="Y12" s="1277"/>
      <c r="Z12" s="1277"/>
      <c r="AA12" s="1277"/>
      <c r="AB12" s="1277"/>
      <c r="AC12" s="1277"/>
      <c r="AD12" s="1277"/>
      <c r="AE12" s="1277"/>
      <c r="AL12" s="2"/>
      <c r="AM12" s="2"/>
      <c r="AN12" s="2"/>
      <c r="AO12" s="2"/>
      <c r="AP12" s="2"/>
      <c r="AQ12" s="2"/>
      <c r="AR12" s="2"/>
      <c r="AS12" s="2"/>
      <c r="AT12" s="2"/>
      <c r="AU12" s="2"/>
      <c r="AV12" s="2"/>
      <c r="BF12" s="144"/>
    </row>
    <row r="13" spans="2:68" x14ac:dyDescent="0.3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35">
      <c r="B14" s="1269" t="s">
        <v>937</v>
      </c>
      <c r="C14" s="1266"/>
      <c r="D14" s="1266"/>
      <c r="E14" s="1266"/>
      <c r="F14" s="1266"/>
      <c r="G14" s="1266"/>
      <c r="H14" s="1266"/>
      <c r="I14" s="1266"/>
      <c r="J14" s="1266"/>
      <c r="K14" s="1266"/>
      <c r="L14" s="1266"/>
      <c r="M14" s="1266"/>
      <c r="N14" s="1266"/>
      <c r="O14" s="1266"/>
      <c r="P14" s="1266"/>
      <c r="Q14" s="1266"/>
      <c r="R14" s="1268">
        <f>'Required Info to Submit'!$F$6</f>
        <v>0</v>
      </c>
      <c r="S14" s="1268"/>
      <c r="T14" s="1268"/>
      <c r="U14" s="1268"/>
      <c r="V14" s="1268"/>
      <c r="W14" s="1268"/>
      <c r="X14" s="1268"/>
      <c r="Y14" s="1268"/>
      <c r="Z14" s="1268"/>
      <c r="AA14" s="1268"/>
      <c r="AB14" s="1268"/>
      <c r="AC14" s="1268"/>
      <c r="AD14" s="1268"/>
      <c r="AE14" s="1268"/>
      <c r="AF14" s="1268"/>
      <c r="AG14" s="1268"/>
      <c r="AH14" s="1268"/>
      <c r="AI14" s="1268"/>
      <c r="AJ14" s="1268"/>
      <c r="AK14" s="1268"/>
      <c r="AL14" s="1268"/>
      <c r="AM14" s="1268"/>
      <c r="AN14" s="1268"/>
      <c r="AO14" s="1268"/>
      <c r="AP14" s="1268"/>
      <c r="AQ14" s="1268"/>
      <c r="AR14" s="1268"/>
      <c r="AS14" s="1268"/>
      <c r="AT14" s="1268"/>
      <c r="AU14" s="1268"/>
      <c r="AV14" s="1268"/>
      <c r="AW14" s="1268"/>
      <c r="AX14" s="1268"/>
      <c r="AY14" s="1268"/>
      <c r="AZ14" s="1268"/>
      <c r="BA14" s="1268"/>
      <c r="BB14" s="1268"/>
      <c r="BC14" s="1268"/>
      <c r="BD14" s="1268"/>
      <c r="BF14" s="144"/>
    </row>
    <row r="15" spans="2:68" x14ac:dyDescent="0.35">
      <c r="B15" s="680"/>
      <c r="C15" s="140"/>
      <c r="D15" s="140"/>
      <c r="E15" s="140"/>
      <c r="F15" s="140"/>
      <c r="G15" s="140"/>
      <c r="H15" s="140"/>
      <c r="I15" s="140"/>
      <c r="J15" s="140"/>
      <c r="K15" s="140"/>
      <c r="L15" s="140"/>
      <c r="M15" s="140"/>
      <c r="N15" s="140"/>
      <c r="O15" s="140"/>
      <c r="P15" s="140"/>
      <c r="Q15" s="140"/>
      <c r="BF15" s="144"/>
    </row>
    <row r="16" spans="2:68" x14ac:dyDescent="0.35">
      <c r="B16" s="1269" t="s">
        <v>748</v>
      </c>
      <c r="C16" s="1266"/>
      <c r="D16" s="1266"/>
      <c r="E16" s="1266"/>
      <c r="F16" s="1266"/>
      <c r="G16" s="1266"/>
      <c r="H16" s="1266"/>
      <c r="I16" s="1266"/>
      <c r="J16" s="1266"/>
      <c r="K16" s="1266"/>
      <c r="L16" s="1266"/>
      <c r="M16" s="1266"/>
      <c r="N16" s="1266"/>
      <c r="O16" s="1266"/>
      <c r="P16" s="1266"/>
      <c r="Q16" s="1266"/>
      <c r="R16" s="1277" t="s">
        <v>248</v>
      </c>
      <c r="S16" s="1277"/>
      <c r="T16" s="1261" t="s">
        <v>678</v>
      </c>
      <c r="U16" s="1261"/>
      <c r="V16" s="1261"/>
      <c r="W16" s="1261"/>
      <c r="X16" s="1261"/>
      <c r="Y16" s="1261"/>
      <c r="Z16" s="1261"/>
      <c r="AA16" s="1261"/>
      <c r="AB16" s="1261"/>
      <c r="AC16" s="1261"/>
      <c r="AD16" s="1261"/>
      <c r="AE16" s="1261"/>
      <c r="AF16" s="1261"/>
      <c r="AG16" s="1261"/>
      <c r="AH16" s="1261"/>
      <c r="AI16" s="1261"/>
      <c r="AJ16" s="1261"/>
      <c r="AK16" s="1261"/>
      <c r="AL16" s="1261"/>
      <c r="AO16" s="1261"/>
      <c r="AP16" s="1261"/>
      <c r="BF16" s="144"/>
      <c r="BP16" s="301"/>
    </row>
    <row r="17" spans="2:68" x14ac:dyDescent="0.35">
      <c r="B17" s="680"/>
      <c r="C17" s="140"/>
      <c r="D17" s="140"/>
      <c r="E17" s="140"/>
      <c r="F17" s="140"/>
      <c r="G17" s="140"/>
      <c r="H17" s="140"/>
      <c r="I17" s="140"/>
      <c r="J17" s="140"/>
      <c r="K17" s="140"/>
      <c r="L17" s="140"/>
      <c r="M17" s="140"/>
      <c r="N17" s="140"/>
      <c r="O17" s="140"/>
      <c r="P17" s="140"/>
      <c r="Q17" s="140"/>
      <c r="BF17" s="144"/>
    </row>
    <row r="18" spans="2:68" x14ac:dyDescent="0.35">
      <c r="B18" s="1270" t="s">
        <v>908</v>
      </c>
      <c r="C18" s="1271"/>
      <c r="D18" s="1271"/>
      <c r="E18" s="1271"/>
      <c r="F18" s="1271"/>
      <c r="G18" s="1271"/>
      <c r="H18" s="1271"/>
      <c r="I18" s="1271"/>
      <c r="J18" s="1271"/>
      <c r="K18" s="1271"/>
      <c r="L18" s="1271"/>
      <c r="M18" s="1271"/>
      <c r="N18" s="1271"/>
      <c r="O18" s="1271"/>
      <c r="P18" s="1271"/>
      <c r="Q18" s="1271"/>
      <c r="R18" s="1267">
        <f>'Required Info to Submit'!$F$8</f>
        <v>0</v>
      </c>
      <c r="S18" s="1267"/>
      <c r="T18" s="1267"/>
      <c r="U18" s="1267"/>
      <c r="V18" s="1267"/>
      <c r="W18" s="1267"/>
      <c r="X18" s="1267"/>
      <c r="Y18" s="1267"/>
      <c r="Z18" s="1267"/>
      <c r="AA18" s="1267"/>
      <c r="AB18" s="1267"/>
      <c r="AC18" s="1267"/>
      <c r="AD18" s="1267"/>
      <c r="AE18" s="1267"/>
      <c r="AF18" s="1267"/>
      <c r="AG18" s="1267"/>
      <c r="AH18" s="1267"/>
      <c r="AI18" s="1267"/>
      <c r="AJ18" s="1267"/>
      <c r="AK18" s="1267"/>
      <c r="AL18" s="1267"/>
      <c r="AN18" s="1266" t="s">
        <v>910</v>
      </c>
      <c r="AO18" s="1266"/>
      <c r="AP18" s="1266"/>
      <c r="AQ18" s="1266"/>
      <c r="AR18" s="1266"/>
      <c r="AS18" s="1266"/>
      <c r="AT18" s="1266"/>
      <c r="AU18" s="1266"/>
      <c r="AV18" s="1267">
        <f>'Required Info to Submit'!F10</f>
        <v>0</v>
      </c>
      <c r="AW18" s="1267"/>
      <c r="AX18" s="1267"/>
      <c r="AY18" s="1267"/>
      <c r="AZ18" s="1267"/>
      <c r="BA18" s="1267"/>
      <c r="BB18" s="1267"/>
      <c r="BC18" s="1267"/>
      <c r="BD18" s="1267"/>
      <c r="BF18" s="144"/>
      <c r="BP18" s="301"/>
    </row>
    <row r="19" spans="2:68" x14ac:dyDescent="0.3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35">
      <c r="B20" s="1269" t="s">
        <v>909</v>
      </c>
      <c r="C20" s="1266"/>
      <c r="D20" s="1266"/>
      <c r="E20" s="1266"/>
      <c r="F20" s="1266"/>
      <c r="G20" s="1266"/>
      <c r="H20" s="1266"/>
      <c r="I20" s="1266"/>
      <c r="J20" s="1266"/>
      <c r="K20" s="1266"/>
      <c r="L20" s="1266"/>
      <c r="M20" s="1266"/>
      <c r="N20" s="1266"/>
      <c r="O20" s="1266"/>
      <c r="P20" s="1266"/>
      <c r="Q20" s="1266"/>
      <c r="R20" s="1267">
        <f>'Required Info to Submit'!F9</f>
        <v>0</v>
      </c>
      <c r="S20" s="1267"/>
      <c r="T20" s="1267"/>
      <c r="U20" s="1267"/>
      <c r="V20" s="1267"/>
      <c r="W20" s="1267"/>
      <c r="X20" s="1267"/>
      <c r="Y20" s="1267"/>
      <c r="Z20" s="1267"/>
      <c r="AA20" s="1267"/>
      <c r="AB20" s="1267"/>
      <c r="AC20" s="1267"/>
      <c r="AD20" s="1267"/>
      <c r="AE20" s="1267"/>
      <c r="AF20" s="1267"/>
      <c r="AG20" s="1267"/>
      <c r="AH20" s="1267"/>
      <c r="AI20" s="1267"/>
      <c r="AJ20" s="1267"/>
      <c r="AK20" s="1267"/>
      <c r="AL20" s="1267"/>
      <c r="AN20" s="1266" t="s">
        <v>861</v>
      </c>
      <c r="AO20" s="1266"/>
      <c r="AP20" s="1266"/>
      <c r="AQ20" s="1266"/>
      <c r="AR20" s="1266"/>
      <c r="AS20" s="1266"/>
      <c r="AT20" s="1266"/>
      <c r="AU20" s="1266"/>
      <c r="AV20" s="1267">
        <f>'Required Info to Submit'!F11</f>
        <v>0</v>
      </c>
      <c r="AW20" s="1267"/>
      <c r="AX20" s="1267"/>
      <c r="AY20" s="1267"/>
      <c r="AZ20" s="1267"/>
      <c r="BA20" s="1267"/>
      <c r="BB20" s="1267"/>
      <c r="BC20" s="1267"/>
      <c r="BD20" s="1267"/>
      <c r="BF20" s="144"/>
      <c r="BP20" s="301"/>
    </row>
    <row r="21" spans="2:68" x14ac:dyDescent="0.3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35">
      <c r="B22" s="1269" t="s">
        <v>911</v>
      </c>
      <c r="C22" s="1266"/>
      <c r="D22" s="1266"/>
      <c r="E22" s="1266"/>
      <c r="F22" s="1266"/>
      <c r="G22" s="1266"/>
      <c r="H22" s="1266"/>
      <c r="I22" s="1266"/>
      <c r="J22" s="1266"/>
      <c r="K22" s="1266"/>
      <c r="L22" s="1266"/>
      <c r="M22" s="1266"/>
      <c r="N22" s="1266"/>
      <c r="O22" s="1266"/>
      <c r="P22" s="1266"/>
      <c r="Q22" s="1266"/>
      <c r="R22" s="1267">
        <f>'Required Info to Submit'!F12</f>
        <v>0</v>
      </c>
      <c r="S22" s="1267"/>
      <c r="T22" s="1267"/>
      <c r="U22" s="1267"/>
      <c r="V22" s="1267"/>
      <c r="W22" s="1267"/>
      <c r="X22" s="1267"/>
      <c r="Y22" s="1267"/>
      <c r="Z22" s="1267"/>
      <c r="AA22" s="1267"/>
      <c r="AB22" s="1267"/>
      <c r="AC22" s="1267"/>
      <c r="AD22" s="1267"/>
      <c r="AE22" s="1267"/>
      <c r="AF22" s="1267"/>
      <c r="AG22" s="1267"/>
      <c r="AH22" s="1267"/>
      <c r="AI22" s="1267"/>
      <c r="AJ22" s="1267"/>
      <c r="AK22" s="1267"/>
      <c r="AL22" s="1267"/>
      <c r="AN22" s="1266"/>
      <c r="AO22" s="1266"/>
      <c r="AP22" s="1266"/>
      <c r="AQ22" s="1266"/>
      <c r="AR22" s="1266"/>
      <c r="AS22" s="1266"/>
      <c r="AT22" s="1266"/>
      <c r="AU22" s="1266"/>
      <c r="AV22" s="1273"/>
      <c r="AW22" s="1273"/>
      <c r="AX22" s="1273"/>
      <c r="AY22" s="1273"/>
      <c r="AZ22" s="1273"/>
      <c r="BA22" s="1273"/>
      <c r="BB22" s="1273"/>
      <c r="BC22" s="1273"/>
      <c r="BD22" s="1273"/>
      <c r="BF22" s="144"/>
      <c r="BP22" s="301"/>
    </row>
    <row r="23" spans="2:68" x14ac:dyDescent="0.35">
      <c r="B23" s="680"/>
      <c r="C23" s="140"/>
      <c r="D23" s="140"/>
      <c r="E23" s="140"/>
      <c r="F23" s="140"/>
      <c r="G23" s="140"/>
      <c r="H23" s="140"/>
      <c r="I23" s="140"/>
      <c r="J23" s="140"/>
      <c r="K23" s="140"/>
      <c r="L23" s="140"/>
      <c r="M23" s="140"/>
      <c r="N23" s="140"/>
      <c r="O23" s="140"/>
      <c r="P23" s="140"/>
      <c r="Q23" s="140"/>
      <c r="BF23" s="144"/>
    </row>
    <row r="24" spans="2:68" x14ac:dyDescent="0.35">
      <c r="B24" s="1269" t="s">
        <v>912</v>
      </c>
      <c r="C24" s="1266"/>
      <c r="D24" s="1266"/>
      <c r="E24" s="1266"/>
      <c r="F24" s="1266"/>
      <c r="G24" s="1266"/>
      <c r="H24" s="1266"/>
      <c r="I24" s="1266"/>
      <c r="J24" s="1266"/>
      <c r="K24" s="1266"/>
      <c r="L24" s="1266"/>
      <c r="M24" s="1266"/>
      <c r="N24" s="1266"/>
      <c r="O24" s="1266"/>
      <c r="P24" s="1266"/>
      <c r="Q24" s="1266"/>
      <c r="R24" s="1278">
        <f>'Required Info to Submit'!$F$14</f>
        <v>44332</v>
      </c>
      <c r="S24" s="1278"/>
      <c r="T24" s="1278"/>
      <c r="U24" s="1278"/>
      <c r="V24" s="1278"/>
      <c r="W24" s="1278"/>
      <c r="X24" s="1278"/>
      <c r="Y24" s="1278"/>
      <c r="Z24" s="1278"/>
      <c r="AA24" s="1278"/>
      <c r="AB24" s="1278"/>
      <c r="AC24" s="1278"/>
      <c r="AN24" s="1172" t="s">
        <v>916</v>
      </c>
      <c r="AO24" s="1172"/>
      <c r="AP24" s="1172"/>
      <c r="AQ24" s="1172"/>
      <c r="AR24" s="1172"/>
      <c r="AS24" s="1172"/>
      <c r="AT24" s="1172"/>
      <c r="AU24" s="1172"/>
      <c r="AV24" s="1274">
        <f>'Incentive Setup'!$S$4</f>
        <v>44338</v>
      </c>
      <c r="AW24" s="1274"/>
      <c r="AX24" s="1274"/>
      <c r="AY24" s="1274"/>
      <c r="AZ24" s="1274"/>
      <c r="BA24" s="1274"/>
      <c r="BB24" s="1274"/>
      <c r="BC24" s="1274"/>
      <c r="BD24" s="1274"/>
      <c r="BF24" s="144"/>
    </row>
    <row r="25" spans="2:68" ht="16.5" x14ac:dyDescent="0.35">
      <c r="B25" s="143"/>
      <c r="C25" s="302"/>
      <c r="D25" s="302"/>
      <c r="E25" s="302"/>
      <c r="F25" s="302"/>
      <c r="G25" s="302"/>
      <c r="H25" s="1272" t="s">
        <v>747</v>
      </c>
      <c r="I25" s="1272"/>
      <c r="J25" s="1272"/>
      <c r="K25" s="1272"/>
      <c r="L25" s="1272"/>
      <c r="M25" s="1272"/>
      <c r="N25" s="1272"/>
      <c r="O25" s="1272"/>
      <c r="P25" s="1272"/>
      <c r="Q25" s="302"/>
      <c r="AN25" s="1272" t="s">
        <v>746</v>
      </c>
      <c r="AO25" s="1272"/>
      <c r="AP25" s="1272"/>
      <c r="AQ25" s="1272"/>
      <c r="AR25" s="1272"/>
      <c r="AS25" s="1272"/>
      <c r="AT25" s="1272"/>
      <c r="BF25" s="144"/>
    </row>
    <row r="26" spans="2:68" ht="18.5" x14ac:dyDescent="0.45">
      <c r="B26" s="1219" t="s">
        <v>683</v>
      </c>
      <c r="C26" s="1220"/>
      <c r="D26" s="1220"/>
      <c r="E26" s="1220"/>
      <c r="F26" s="1220"/>
      <c r="G26" s="1220"/>
      <c r="H26" s="1220"/>
      <c r="I26" s="1220"/>
      <c r="J26" s="1220"/>
      <c r="K26" s="1220"/>
      <c r="L26" s="1220"/>
      <c r="M26" s="1220"/>
      <c r="N26" s="1220"/>
      <c r="O26" s="1220"/>
      <c r="P26" s="1220"/>
      <c r="Q26" s="1220"/>
      <c r="R26" s="1220"/>
      <c r="S26" s="1220"/>
      <c r="T26" s="1220"/>
      <c r="U26" s="1220"/>
      <c r="V26" s="1220"/>
      <c r="W26" s="1220"/>
      <c r="X26" s="1220"/>
      <c r="Y26" s="1220"/>
      <c r="Z26" s="1220"/>
      <c r="AA26" s="1220"/>
      <c r="AB26" s="1220"/>
      <c r="AC26" s="1220"/>
      <c r="AD26" s="1220"/>
      <c r="AE26" s="1220"/>
      <c r="AF26" s="1220"/>
      <c r="AG26" s="1220"/>
      <c r="AH26" s="1220"/>
      <c r="AI26" s="1220"/>
      <c r="AJ26" s="1220"/>
      <c r="AK26" s="1220"/>
      <c r="AL26" s="1220"/>
      <c r="AM26" s="1220"/>
      <c r="AN26" s="1220"/>
      <c r="AO26" s="1220"/>
      <c r="AP26" s="1220"/>
      <c r="AQ26" s="1220"/>
      <c r="AR26" s="1220"/>
      <c r="AS26" s="1220"/>
      <c r="AT26" s="1220"/>
      <c r="AU26" s="1220"/>
      <c r="AV26" s="1220"/>
      <c r="AW26" s="1220"/>
      <c r="AX26" s="1220"/>
      <c r="AY26" s="1220"/>
      <c r="AZ26" s="1220"/>
      <c r="BA26" s="1220"/>
      <c r="BB26" s="1220"/>
      <c r="BC26" s="1220"/>
      <c r="BD26" s="1220"/>
      <c r="BE26" s="1220"/>
      <c r="BF26" s="1221"/>
      <c r="BP26" s="301"/>
    </row>
    <row r="27" spans="2:68" x14ac:dyDescent="0.3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35">
      <c r="B28" s="1282" t="s">
        <v>684</v>
      </c>
      <c r="C28" s="1283"/>
      <c r="D28" s="1283"/>
      <c r="E28" s="1283"/>
      <c r="F28" s="1283"/>
      <c r="G28" s="1283"/>
      <c r="H28" s="1283"/>
      <c r="I28" s="1283"/>
      <c r="J28" s="1283"/>
      <c r="K28" s="1283"/>
      <c r="L28" s="1283"/>
      <c r="M28" s="1283"/>
      <c r="N28" s="1283"/>
      <c r="O28" s="1283"/>
      <c r="P28" s="1283"/>
      <c r="Q28" s="1283"/>
      <c r="T28" s="1279">
        <f>'Tracking &amp; Profitability'!$E$6</f>
        <v>0</v>
      </c>
      <c r="U28" s="1279"/>
      <c r="V28" s="1279"/>
      <c r="W28" s="1279"/>
      <c r="X28" s="1279"/>
      <c r="Y28" s="1279"/>
      <c r="Z28" s="1279"/>
      <c r="AA28" s="1279"/>
      <c r="AB28" s="1279"/>
      <c r="AF28" t="s">
        <v>745</v>
      </c>
      <c r="AO28" s="1277">
        <v>5</v>
      </c>
      <c r="AP28" s="1277"/>
      <c r="AQ28" s="1277"/>
      <c r="AR28" s="1261" t="s">
        <v>685</v>
      </c>
      <c r="AS28" s="1261"/>
      <c r="AU28" s="1277">
        <v>5</v>
      </c>
      <c r="AV28" s="1277"/>
      <c r="AW28" s="1277"/>
      <c r="AX28" s="1261" t="s">
        <v>744</v>
      </c>
      <c r="AY28" s="1261"/>
      <c r="BA28" s="1277">
        <v>5</v>
      </c>
      <c r="BB28" s="1277"/>
      <c r="BC28" s="1277"/>
      <c r="BD28" s="1261" t="s">
        <v>686</v>
      </c>
      <c r="BE28" s="1261"/>
      <c r="BF28" s="144"/>
    </row>
    <row r="29" spans="2:68" ht="16.5" x14ac:dyDescent="0.35">
      <c r="B29" s="143"/>
      <c r="T29" s="140"/>
      <c r="U29" s="140"/>
      <c r="V29" s="140"/>
      <c r="W29" s="140"/>
      <c r="X29" s="140"/>
      <c r="Y29" s="140"/>
      <c r="Z29" s="140"/>
      <c r="AA29" s="140"/>
      <c r="AB29" s="140"/>
      <c r="AF29" s="1272" t="s">
        <v>743</v>
      </c>
      <c r="AG29" s="1272"/>
      <c r="AH29" s="1272"/>
      <c r="AI29" s="1272"/>
      <c r="AJ29" s="1272"/>
      <c r="AK29" s="1272"/>
      <c r="AL29" s="1272"/>
      <c r="AM29" s="1272"/>
      <c r="AN29" s="1272"/>
      <c r="AO29" s="1272"/>
      <c r="AP29" s="1272"/>
      <c r="AQ29" s="1272"/>
      <c r="AR29" s="1272"/>
      <c r="AS29" s="1272"/>
      <c r="AT29" s="1272"/>
      <c r="AU29" s="1272"/>
      <c r="AV29" s="1272"/>
      <c r="AW29" s="1272"/>
      <c r="AX29" s="1272"/>
      <c r="AY29" s="1272"/>
      <c r="AZ29" s="1272"/>
      <c r="BA29" s="1272"/>
      <c r="BB29" s="1272"/>
      <c r="BC29" s="1272"/>
      <c r="BD29" s="1272"/>
      <c r="BE29" s="1272"/>
      <c r="BF29" s="144"/>
    </row>
    <row r="30" spans="2:68" x14ac:dyDescent="0.35">
      <c r="B30" s="1276" t="s">
        <v>740</v>
      </c>
      <c r="C30" s="1172"/>
      <c r="D30" s="1172"/>
      <c r="E30" s="1172"/>
      <c r="F30" s="1172"/>
      <c r="G30" s="1172"/>
      <c r="H30" s="1172"/>
      <c r="I30" s="1172"/>
      <c r="J30" s="1172"/>
      <c r="K30" s="1172"/>
      <c r="L30" s="1172"/>
      <c r="M30" s="1172"/>
      <c r="N30" s="1172"/>
      <c r="O30" s="1172"/>
      <c r="P30" s="1172"/>
      <c r="Q30" s="1172"/>
      <c r="T30" s="1286">
        <v>1</v>
      </c>
      <c r="U30" s="1286"/>
      <c r="V30" s="1286"/>
      <c r="W30" s="1286"/>
      <c r="AF30" s="1183" t="s">
        <v>742</v>
      </c>
      <c r="AG30" s="1183"/>
      <c r="AH30" s="1183"/>
      <c r="AI30" s="1183"/>
      <c r="AJ30" s="1183"/>
      <c r="AK30" s="1183"/>
      <c r="AL30" s="1183"/>
      <c r="AM30" s="1183"/>
      <c r="AN30" s="1183"/>
      <c r="AO30" s="1183"/>
      <c r="AP30" s="1277" t="s">
        <v>1093</v>
      </c>
      <c r="AQ30" s="1277"/>
      <c r="AR30" s="1277"/>
      <c r="AT30" s="1183" t="s">
        <v>741</v>
      </c>
      <c r="AU30" s="1183"/>
      <c r="AV30" s="1183"/>
      <c r="AW30" s="1183"/>
      <c r="AX30" s="1183"/>
      <c r="AY30" s="1183"/>
      <c r="AZ30" s="1183"/>
      <c r="BA30" s="1183"/>
      <c r="BB30" s="1183"/>
      <c r="BC30" s="1183"/>
      <c r="BF30" s="144"/>
    </row>
    <row r="31" spans="2:68" x14ac:dyDescent="0.35">
      <c r="B31" s="143"/>
      <c r="BF31" s="144"/>
      <c r="BP31" s="301"/>
    </row>
    <row r="32" spans="2:68" x14ac:dyDescent="0.35">
      <c r="B32" s="1276" t="s">
        <v>737</v>
      </c>
      <c r="C32" s="1172"/>
      <c r="D32" s="1172"/>
      <c r="E32" s="1172"/>
      <c r="F32" s="1172"/>
      <c r="G32" s="1172"/>
      <c r="H32" s="1172"/>
      <c r="I32" s="1172"/>
      <c r="J32" s="1172"/>
      <c r="K32" s="1172"/>
      <c r="L32" s="1172"/>
      <c r="M32" s="1172"/>
      <c r="N32" s="1172"/>
      <c r="O32" s="1172"/>
      <c r="P32" s="1172"/>
      <c r="Q32" s="1172"/>
      <c r="T32" s="1280" t="s">
        <v>1065</v>
      </c>
      <c r="U32" s="1280"/>
      <c r="V32" s="1280"/>
      <c r="W32" s="1280"/>
      <c r="X32" s="1280"/>
      <c r="Y32" s="1280"/>
      <c r="Z32" s="1280"/>
      <c r="AA32" s="1280"/>
      <c r="AB32" s="1280"/>
      <c r="AC32" s="1280"/>
      <c r="AD32" s="1280"/>
      <c r="AE32" s="1280"/>
      <c r="AF32" s="1280"/>
      <c r="AG32" s="1280"/>
      <c r="AH32" s="1280"/>
      <c r="AI32" s="1280"/>
      <c r="AJ32" s="1280"/>
      <c r="AK32" s="1280"/>
      <c r="AL32" s="1280"/>
      <c r="AM32" s="1280"/>
      <c r="AN32" s="1280"/>
      <c r="AO32" s="1280"/>
      <c r="BF32" s="144"/>
    </row>
    <row r="33" spans="2:92" x14ac:dyDescent="0.35">
      <c r="B33" s="143"/>
      <c r="BF33" s="144"/>
    </row>
    <row r="34" spans="2:92" x14ac:dyDescent="0.35">
      <c r="B34" s="143"/>
      <c r="C34" s="88"/>
      <c r="D34" s="88"/>
      <c r="E34" s="88"/>
      <c r="F34" s="88"/>
      <c r="G34" s="88"/>
      <c r="H34" s="88"/>
      <c r="I34" s="1277"/>
      <c r="J34" s="1277"/>
      <c r="K34" s="1261" t="s">
        <v>499</v>
      </c>
      <c r="L34" s="1261"/>
      <c r="M34" s="1261"/>
      <c r="N34" s="1261"/>
      <c r="O34" s="1261"/>
      <c r="P34" s="1261"/>
      <c r="Q34" s="1261"/>
      <c r="R34" s="1277" t="s">
        <v>248</v>
      </c>
      <c r="S34" s="1277"/>
      <c r="T34" s="1261" t="s">
        <v>498</v>
      </c>
      <c r="U34" s="1261"/>
      <c r="V34" s="1261"/>
      <c r="W34" s="1261"/>
      <c r="X34" s="1277"/>
      <c r="Y34" s="1277"/>
      <c r="Z34" s="1261" t="s">
        <v>497</v>
      </c>
      <c r="AA34" s="1261"/>
      <c r="AB34" s="1261"/>
      <c r="AF34" t="s">
        <v>739</v>
      </c>
      <c r="AL34" s="1277">
        <v>5</v>
      </c>
      <c r="AM34" s="1277"/>
      <c r="AN34" s="1277"/>
      <c r="AO34" t="s">
        <v>738</v>
      </c>
      <c r="BF34" s="144"/>
    </row>
    <row r="35" spans="2:92" x14ac:dyDescent="0.35">
      <c r="B35" s="143"/>
      <c r="BF35" s="144"/>
      <c r="BP35" s="303"/>
      <c r="CN35" s="301"/>
    </row>
    <row r="36" spans="2:92" x14ac:dyDescent="0.35">
      <c r="B36" s="1282" t="s">
        <v>736</v>
      </c>
      <c r="C36" s="1283"/>
      <c r="D36" s="1283"/>
      <c r="E36" s="1283"/>
      <c r="F36" s="1283"/>
      <c r="G36" s="1283"/>
      <c r="H36" s="1283"/>
      <c r="I36" s="1283"/>
      <c r="J36" s="1283"/>
      <c r="K36" s="1283"/>
      <c r="L36" s="1283"/>
      <c r="M36" s="1283"/>
      <c r="N36" s="1283"/>
      <c r="O36" s="1283"/>
      <c r="P36" s="1283"/>
      <c r="Q36" s="1283"/>
      <c r="R36" s="1283"/>
      <c r="T36" s="1292" t="str">
        <f>IFERROR($T$28/('Tracking &amp; Profitability'!$E$7*52*Welcome!$D$14),"Error on A La Carte")</f>
        <v>Error on A La Carte</v>
      </c>
      <c r="U36" s="1292"/>
      <c r="V36" s="1292"/>
      <c r="W36" s="1292"/>
      <c r="X36" s="1292"/>
      <c r="Y36" s="1292"/>
      <c r="Z36" s="1292"/>
      <c r="AA36" s="1292"/>
      <c r="AB36" s="1292"/>
      <c r="AF36" s="1283" t="s">
        <v>494</v>
      </c>
      <c r="AG36" s="1283"/>
      <c r="AH36" s="1283"/>
      <c r="AI36" s="1283"/>
      <c r="AJ36" s="1283"/>
      <c r="AK36" s="1283"/>
      <c r="AL36" s="1283"/>
      <c r="AM36" s="1283"/>
      <c r="AN36" s="1283"/>
      <c r="AO36" s="1283"/>
      <c r="AP36" s="1283"/>
      <c r="AQ36" s="1283"/>
      <c r="AR36" s="1283"/>
      <c r="AS36" s="1283"/>
      <c r="AU36" s="1277" t="e">
        <f>ROUND(((1-(('PIM Model'!$G$15+'PIM Model'!$G$17+'PIM Model'!$G$18)/'PIM Model'!$G$31))*100),0)&amp;"%/"&amp;ROUND((('PIM Model'!$G$15+'PIM Model'!$G$17+'PIM Model'!$G$18)/'PIM Model'!$G$31*100),0)&amp;"%"</f>
        <v>#DIV/0!</v>
      </c>
      <c r="AV36" s="1277"/>
      <c r="AW36" s="1277"/>
      <c r="AX36" s="1277"/>
      <c r="AY36" s="1277"/>
      <c r="AZ36" s="1277"/>
      <c r="BF36" s="144"/>
    </row>
    <row r="37" spans="2:92" x14ac:dyDescent="0.3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35">
      <c r="B38" s="1282" t="s">
        <v>734</v>
      </c>
      <c r="C38" s="1283"/>
      <c r="D38" s="1283"/>
      <c r="E38" s="1283"/>
      <c r="F38" s="1283"/>
      <c r="G38" s="1283"/>
      <c r="H38" s="1283"/>
      <c r="I38" s="1283"/>
      <c r="J38" s="1283"/>
      <c r="K38" s="1283"/>
      <c r="L38" s="1283"/>
      <c r="M38" s="1283"/>
      <c r="N38" s="1283"/>
      <c r="O38" s="1283"/>
      <c r="P38" s="1283"/>
      <c r="Q38" s="1283"/>
      <c r="R38" s="1283"/>
      <c r="T38" s="1293" t="str">
        <f>IFERROR('PIM Model'!$H$31/('PIM Model'!$E$6*52*Welcome!$D$14),"Error on A La Carte")</f>
        <v>Error on A La Carte</v>
      </c>
      <c r="U38" s="1293"/>
      <c r="V38" s="1293"/>
      <c r="W38" s="1293"/>
      <c r="X38" s="1293"/>
      <c r="Y38" s="1293"/>
      <c r="Z38" s="1293"/>
      <c r="AA38" s="1293"/>
      <c r="AB38" s="1293"/>
      <c r="AC38" s="304"/>
      <c r="AD38" s="304"/>
      <c r="AF38" s="1172" t="s">
        <v>687</v>
      </c>
      <c r="AG38" s="1172"/>
      <c r="AH38" s="1172"/>
      <c r="AI38" s="1172"/>
      <c r="AJ38" s="1172"/>
      <c r="AK38" s="1172"/>
      <c r="AL38" s="1172"/>
      <c r="AM38" s="1172"/>
      <c r="AN38" s="1172"/>
      <c r="AO38" s="1172"/>
      <c r="AP38" s="1172"/>
      <c r="AQ38" s="1172"/>
      <c r="AR38" s="1172"/>
      <c r="AS38" s="1172"/>
      <c r="AU38" s="1277">
        <f>COUNTIF('PIM Model'!$E$10:$E$30,"Include")</f>
        <v>21</v>
      </c>
      <c r="AV38" s="1277"/>
      <c r="AW38" s="1277"/>
      <c r="AX38" s="1277"/>
      <c r="AY38" s="1277"/>
      <c r="AZ38" s="1277"/>
      <c r="BF38" s="144"/>
    </row>
    <row r="39" spans="2:92" x14ac:dyDescent="0.35">
      <c r="B39" s="143"/>
      <c r="BF39" s="144"/>
    </row>
    <row r="40" spans="2:92" x14ac:dyDescent="0.35">
      <c r="B40" s="1282" t="s">
        <v>732</v>
      </c>
      <c r="C40" s="1283"/>
      <c r="D40" s="1283"/>
      <c r="E40" s="1283"/>
      <c r="F40" s="1283"/>
      <c r="G40" s="1283"/>
      <c r="H40" s="1283"/>
      <c r="I40" s="1283"/>
      <c r="J40" s="1283"/>
      <c r="K40" s="1283"/>
      <c r="L40" s="1283"/>
      <c r="M40" s="1283"/>
      <c r="N40" s="1283"/>
      <c r="O40" s="1283"/>
      <c r="P40" s="1283"/>
      <c r="Q40" s="1283"/>
      <c r="R40" s="1283"/>
      <c r="T40" s="1279">
        <f>IFERROR('PIM Model'!$G$31/'PIM Model'!$H$31,0)</f>
        <v>0</v>
      </c>
      <c r="U40" s="1279"/>
      <c r="V40" s="1279"/>
      <c r="W40" s="1279"/>
      <c r="X40" s="1279"/>
      <c r="Y40" s="1279"/>
      <c r="Z40" s="1279"/>
      <c r="AA40" s="1279"/>
      <c r="AB40" s="1279"/>
      <c r="AF40" s="1172" t="s">
        <v>735</v>
      </c>
      <c r="AG40" s="1172"/>
      <c r="AH40" s="1172"/>
      <c r="AI40" s="1172"/>
      <c r="AJ40" s="1172"/>
      <c r="AK40" s="1172"/>
      <c r="AL40" s="1172"/>
      <c r="AM40" s="1172"/>
      <c r="AN40" s="1172"/>
      <c r="AO40" s="1172"/>
      <c r="AP40" s="1172"/>
      <c r="AQ40" s="1172"/>
      <c r="AR40" s="1172"/>
      <c r="AS40" s="1172"/>
      <c r="AU40" s="1277">
        <f>$AO$28+$AU$28+$BA$28</f>
        <v>15</v>
      </c>
      <c r="AV40" s="1277"/>
      <c r="AW40" s="1277"/>
      <c r="BC40" s="1261"/>
      <c r="BD40" s="1261"/>
      <c r="BE40" s="1261"/>
      <c r="BF40" s="144"/>
    </row>
    <row r="41" spans="2:92" x14ac:dyDescent="0.35">
      <c r="B41" s="143"/>
      <c r="BF41" s="144"/>
      <c r="BP41" s="301"/>
      <c r="CN41" s="303"/>
    </row>
    <row r="42" spans="2:92" x14ac:dyDescent="0.35">
      <c r="B42" s="1276" t="s">
        <v>730</v>
      </c>
      <c r="C42" s="1172"/>
      <c r="D42" s="1172"/>
      <c r="E42" s="1172"/>
      <c r="F42" s="1172"/>
      <c r="G42" s="1172"/>
      <c r="H42" s="1172"/>
      <c r="I42" s="1172"/>
      <c r="J42" s="1172"/>
      <c r="K42" s="1172"/>
      <c r="L42" s="1172"/>
      <c r="M42" s="1172"/>
      <c r="N42" s="1172"/>
      <c r="O42" s="1172"/>
      <c r="P42" s="1172"/>
      <c r="Q42" s="1172"/>
      <c r="R42" s="1172"/>
      <c r="T42" s="1279" t="s">
        <v>789</v>
      </c>
      <c r="U42" s="1279"/>
      <c r="V42" s="1279"/>
      <c r="W42" s="1279"/>
      <c r="X42" s="1279"/>
      <c r="Y42" s="1279"/>
      <c r="Z42" s="1279"/>
      <c r="AA42" s="1279"/>
      <c r="AB42" s="1279"/>
      <c r="AF42" s="1172" t="s">
        <v>733</v>
      </c>
      <c r="AG42" s="1172"/>
      <c r="AH42" s="1172"/>
      <c r="AI42" s="1172"/>
      <c r="AJ42" s="1172"/>
      <c r="AK42" s="1172"/>
      <c r="AL42" s="1172"/>
      <c r="AM42" s="1172"/>
      <c r="AN42" s="1172"/>
      <c r="AO42" s="1172"/>
      <c r="AP42" s="1172"/>
      <c r="AQ42" s="1172"/>
      <c r="AR42" s="1172"/>
      <c r="AS42" s="1172"/>
      <c r="AU42" s="1277" t="s">
        <v>679</v>
      </c>
      <c r="AV42" s="1277"/>
      <c r="AW42" s="1277"/>
      <c r="BC42" s="1261"/>
      <c r="BD42" s="1261"/>
      <c r="BE42" s="1261"/>
      <c r="BF42" s="144"/>
    </row>
    <row r="43" spans="2:92" x14ac:dyDescent="0.35">
      <c r="B43" s="143"/>
      <c r="BF43" s="144"/>
      <c r="BP43" s="301"/>
      <c r="CN43" s="303"/>
    </row>
    <row r="44" spans="2:92" x14ac:dyDescent="0.35">
      <c r="B44" s="1282" t="s">
        <v>728</v>
      </c>
      <c r="C44" s="1283"/>
      <c r="D44" s="1283"/>
      <c r="E44" s="1283"/>
      <c r="F44" s="1283"/>
      <c r="G44" s="1283"/>
      <c r="H44" s="1283"/>
      <c r="I44" s="1283"/>
      <c r="J44" s="1283"/>
      <c r="K44" s="1283"/>
      <c r="L44" s="1283"/>
      <c r="M44" s="1283"/>
      <c r="N44" s="1283"/>
      <c r="O44" s="1283"/>
      <c r="P44" s="1283"/>
      <c r="Q44" s="1283"/>
      <c r="R44" s="1283"/>
      <c r="T44" s="1285">
        <f>'Tracking &amp; Profitability'!$E$7</f>
        <v>0</v>
      </c>
      <c r="U44" s="1285"/>
      <c r="V44" s="1285"/>
      <c r="W44" s="1285"/>
      <c r="X44" s="1285"/>
      <c r="Y44" s="1285"/>
      <c r="Z44" s="1285"/>
      <c r="AA44" s="1285"/>
      <c r="AB44" s="1285"/>
      <c r="AF44" s="1172" t="s">
        <v>731</v>
      </c>
      <c r="AG44" s="1172"/>
      <c r="AH44" s="1172"/>
      <c r="AI44" s="1172"/>
      <c r="AJ44" s="1172"/>
      <c r="AK44" s="1172"/>
      <c r="AL44" s="1172"/>
      <c r="AM44" s="1172"/>
      <c r="AN44" s="1172"/>
      <c r="AO44" s="1172"/>
      <c r="AP44" s="1172"/>
      <c r="AQ44" s="1172"/>
      <c r="AR44" s="1172"/>
      <c r="AS44" s="1172"/>
      <c r="AU44" s="1277" t="s">
        <v>679</v>
      </c>
      <c r="AV44" s="1277"/>
      <c r="AW44" s="1277"/>
      <c r="BC44" s="1261"/>
      <c r="BD44" s="1261"/>
      <c r="BE44" s="1261"/>
      <c r="BF44" s="144"/>
    </row>
    <row r="45" spans="2:92" x14ac:dyDescent="0.35">
      <c r="B45" s="143"/>
      <c r="BF45" s="144"/>
      <c r="CN45" s="303"/>
    </row>
    <row r="46" spans="2:92" x14ac:dyDescent="0.35">
      <c r="B46" s="1287" t="s">
        <v>688</v>
      </c>
      <c r="C46" s="1288"/>
      <c r="D46" s="1288"/>
      <c r="E46" s="1288"/>
      <c r="F46" s="1288"/>
      <c r="G46" s="1288"/>
      <c r="H46" s="1288"/>
      <c r="I46" s="1288"/>
      <c r="J46" s="1288"/>
      <c r="K46" s="1288"/>
      <c r="L46" s="1288"/>
      <c r="M46" s="1288"/>
      <c r="N46" s="1288"/>
      <c r="O46" s="1288"/>
      <c r="P46" s="1288"/>
      <c r="Q46" s="1288"/>
      <c r="R46" s="1288"/>
      <c r="T46" s="1267">
        <v>150</v>
      </c>
      <c r="U46" s="1267"/>
      <c r="V46" s="1267"/>
      <c r="W46" s="1267"/>
      <c r="X46" s="1267"/>
      <c r="Y46" s="1267"/>
      <c r="Z46" s="1267"/>
      <c r="AA46" s="1267"/>
      <c r="AB46" s="1267"/>
      <c r="AF46" s="1281" t="s">
        <v>729</v>
      </c>
      <c r="AG46" s="1281"/>
      <c r="AH46" s="1281"/>
      <c r="AI46" s="1281"/>
      <c r="AJ46" s="1281"/>
      <c r="AK46" s="1281"/>
      <c r="AL46" s="1281"/>
      <c r="AM46" s="1281"/>
      <c r="AN46" s="1281"/>
      <c r="AO46" s="1281"/>
      <c r="AP46" s="1281"/>
      <c r="AQ46" s="1281"/>
      <c r="AR46" s="1281"/>
      <c r="AS46" s="1281"/>
      <c r="AU46" s="1297">
        <v>0.25</v>
      </c>
      <c r="AV46" s="1297"/>
      <c r="AW46" s="1297"/>
      <c r="AX46" s="1297"/>
      <c r="AY46" s="1297"/>
      <c r="AZ46" s="1297"/>
      <c r="BF46" s="144"/>
    </row>
    <row r="47" spans="2:92" x14ac:dyDescent="0.35">
      <c r="B47" s="143"/>
      <c r="BF47" s="144"/>
      <c r="CN47" s="303"/>
    </row>
    <row r="48" spans="2:92" x14ac:dyDescent="0.35">
      <c r="B48" s="1282" t="s">
        <v>495</v>
      </c>
      <c r="C48" s="1283"/>
      <c r="D48" s="1283"/>
      <c r="E48" s="1283"/>
      <c r="F48" s="1283"/>
      <c r="G48" s="1283"/>
      <c r="H48" s="1283"/>
      <c r="I48" s="1283"/>
      <c r="J48" s="1283"/>
      <c r="K48" s="1283"/>
      <c r="L48" s="1283"/>
      <c r="M48" s="1283"/>
      <c r="N48" s="1283"/>
      <c r="O48" s="1283"/>
      <c r="P48" s="1283"/>
      <c r="Q48" s="1283"/>
      <c r="R48" s="1283"/>
      <c r="T48" s="1267">
        <f>$K$10</f>
        <v>0</v>
      </c>
      <c r="U48" s="1267"/>
      <c r="V48" s="1267"/>
      <c r="W48" s="1267"/>
      <c r="X48" s="1267"/>
      <c r="Y48" s="1267"/>
      <c r="Z48" s="1267"/>
      <c r="AA48" s="1267"/>
      <c r="AB48" s="1267"/>
      <c r="AF48" s="1281" t="s">
        <v>727</v>
      </c>
      <c r="AG48" s="1281"/>
      <c r="AH48" s="1281"/>
      <c r="AI48" s="1281"/>
      <c r="AJ48" s="1281"/>
      <c r="AK48" s="1281"/>
      <c r="AL48" s="1281"/>
      <c r="AM48" s="1281"/>
      <c r="AN48" s="1281"/>
      <c r="AO48" s="1281"/>
      <c r="AP48" s="1281"/>
      <c r="AQ48" s="1281"/>
      <c r="AR48" s="1281"/>
      <c r="AS48" s="1281"/>
      <c r="AU48" s="1301">
        <v>1.75</v>
      </c>
      <c r="AV48" s="1302"/>
      <c r="AW48" s="1302"/>
      <c r="AX48" s="1302"/>
      <c r="AY48" s="1302"/>
      <c r="AZ48" s="1302"/>
      <c r="BF48" s="144"/>
    </row>
    <row r="49" spans="2:92" x14ac:dyDescent="0.35">
      <c r="B49" s="143"/>
      <c r="BF49" s="144"/>
      <c r="CN49" s="303"/>
    </row>
    <row r="50" spans="2:92" x14ac:dyDescent="0.35">
      <c r="B50" s="1291" t="s">
        <v>726</v>
      </c>
      <c r="C50" s="1281"/>
      <c r="D50" s="1281"/>
      <c r="E50" s="1281"/>
      <c r="F50" s="1281"/>
      <c r="G50" s="1281"/>
      <c r="H50" s="1281"/>
      <c r="I50" s="1281"/>
      <c r="J50" s="1281"/>
      <c r="K50" s="1281"/>
      <c r="L50" s="1281"/>
      <c r="M50" s="1281"/>
      <c r="N50" s="1281"/>
      <c r="O50" s="1281"/>
      <c r="P50" s="1281"/>
      <c r="Q50" s="1281"/>
      <c r="R50" s="1281"/>
      <c r="T50" s="1289">
        <v>500</v>
      </c>
      <c r="U50" s="1289"/>
      <c r="V50" s="1289"/>
      <c r="W50" s="1289"/>
      <c r="X50" s="1289"/>
      <c r="Y50" s="1289"/>
      <c r="Z50" s="1172" t="s">
        <v>725</v>
      </c>
      <c r="AA50" s="1172"/>
      <c r="AB50" s="1172"/>
      <c r="AC50" s="1289">
        <v>25</v>
      </c>
      <c r="AD50" s="1289"/>
      <c r="AE50" s="1289"/>
      <c r="AF50" s="1289"/>
      <c r="AG50" s="1289"/>
      <c r="BF50" s="144"/>
    </row>
    <row r="51" spans="2:92" x14ac:dyDescent="0.35">
      <c r="B51" s="143"/>
      <c r="BF51" s="144"/>
      <c r="BP51" s="301"/>
      <c r="CN51" s="303"/>
    </row>
    <row r="52" spans="2:92" ht="15" thickBot="1" x14ac:dyDescent="0.4">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5" x14ac:dyDescent="0.45">
      <c r="B53" s="1294" t="s">
        <v>709</v>
      </c>
      <c r="C53" s="1295"/>
      <c r="D53" s="1295"/>
      <c r="E53" s="1295"/>
      <c r="F53" s="1295"/>
      <c r="G53" s="1295"/>
      <c r="H53" s="1295"/>
      <c r="I53" s="1295"/>
      <c r="J53" s="1295"/>
      <c r="K53" s="1295"/>
      <c r="L53" s="1295"/>
      <c r="M53" s="1295"/>
      <c r="N53" s="1295"/>
      <c r="O53" s="1295"/>
      <c r="P53" s="1295"/>
      <c r="Q53" s="1295"/>
      <c r="R53" s="1295"/>
      <c r="S53" s="1295"/>
      <c r="T53" s="1295"/>
      <c r="U53" s="1295"/>
      <c r="V53" s="1295"/>
      <c r="W53" s="1295"/>
      <c r="X53" s="1295"/>
      <c r="Y53" s="1295"/>
      <c r="Z53" s="1295"/>
      <c r="AA53" s="1295"/>
      <c r="AB53" s="1295"/>
      <c r="AC53" s="1295"/>
      <c r="AD53" s="1295"/>
      <c r="AE53" s="1295"/>
      <c r="AF53" s="1295"/>
      <c r="AG53" s="1295"/>
      <c r="AH53" s="1295"/>
      <c r="AI53" s="1295"/>
      <c r="AJ53" s="1295"/>
      <c r="AK53" s="1295"/>
      <c r="AL53" s="1295"/>
      <c r="AM53" s="1295"/>
      <c r="AN53" s="1295"/>
      <c r="AO53" s="1295"/>
      <c r="AP53" s="1295"/>
      <c r="AQ53" s="1295"/>
      <c r="AR53" s="1295"/>
      <c r="AS53" s="1295"/>
      <c r="AT53" s="1295"/>
      <c r="AU53" s="1295"/>
      <c r="AV53" s="1295"/>
      <c r="AW53" s="1295"/>
      <c r="AX53" s="1295"/>
      <c r="AY53" s="1295"/>
      <c r="AZ53" s="1295"/>
      <c r="BA53" s="1295"/>
      <c r="BB53" s="1295"/>
      <c r="BC53" s="1295"/>
      <c r="BD53" s="1295"/>
      <c r="BE53" s="1295"/>
      <c r="BF53" s="1296"/>
    </row>
    <row r="54" spans="2:92" x14ac:dyDescent="0.35">
      <c r="B54" s="1298" t="s">
        <v>724</v>
      </c>
      <c r="C54" s="1299"/>
      <c r="D54" s="1299"/>
      <c r="E54" s="1299"/>
      <c r="F54" s="1299"/>
      <c r="G54" s="1299"/>
      <c r="H54" s="1299"/>
      <c r="I54" s="1299"/>
      <c r="J54" s="1299"/>
      <c r="K54" s="1299"/>
      <c r="L54" s="1299"/>
      <c r="M54" s="1299"/>
      <c r="N54" s="1299"/>
      <c r="O54" s="1299"/>
      <c r="P54" s="1299"/>
      <c r="Q54" s="1299"/>
      <c r="R54" s="1299"/>
      <c r="S54" s="1299"/>
      <c r="T54" s="1299"/>
      <c r="U54" s="1299"/>
      <c r="V54" s="1299"/>
      <c r="W54" s="1299"/>
      <c r="X54" s="1299"/>
      <c r="Y54" s="1299"/>
      <c r="Z54" s="1299"/>
      <c r="AA54" s="1299"/>
      <c r="AB54" s="1299"/>
      <c r="AC54" s="1299"/>
      <c r="AD54" s="1299"/>
      <c r="AE54" s="1299"/>
      <c r="AF54" s="1299"/>
      <c r="AG54" s="1299"/>
      <c r="AH54" s="1299"/>
      <c r="AI54" s="1299"/>
      <c r="AJ54" s="1299"/>
      <c r="AK54" s="1299"/>
      <c r="AL54" s="1299"/>
      <c r="AM54" s="1299"/>
      <c r="AN54" s="1299"/>
      <c r="AO54" s="1299"/>
      <c r="AP54" s="1299"/>
      <c r="AQ54" s="1299"/>
      <c r="AR54" s="1299"/>
      <c r="AS54" s="1299"/>
      <c r="AT54" s="1299"/>
      <c r="AU54" s="1299"/>
      <c r="AV54" s="1299"/>
      <c r="AW54" s="1299"/>
      <c r="AX54" s="1299"/>
      <c r="AY54" s="1299"/>
      <c r="AZ54" s="1299"/>
      <c r="BA54" s="1299"/>
      <c r="BB54" s="1299"/>
      <c r="BC54" s="1299"/>
      <c r="BD54" s="1299"/>
      <c r="BE54" s="1299"/>
      <c r="BF54" s="1300"/>
      <c r="BP54" s="301"/>
    </row>
    <row r="55" spans="2:92" x14ac:dyDescent="0.35">
      <c r="B55" s="143"/>
      <c r="AC55" s="306"/>
      <c r="AD55" s="306"/>
      <c r="AE55" s="306"/>
      <c r="AF55" s="306"/>
      <c r="AG55" s="306"/>
      <c r="AH55" s="306"/>
      <c r="AK55" s="1266"/>
      <c r="AL55" s="1266"/>
      <c r="AM55" s="1266"/>
      <c r="AN55" s="1266"/>
      <c r="AO55" s="1162"/>
      <c r="AP55" s="1162"/>
      <c r="AQ55" s="1162"/>
      <c r="AR55" s="140"/>
      <c r="AS55" s="140"/>
      <c r="AT55" s="1162"/>
      <c r="AU55" s="1162"/>
      <c r="AV55" s="1162"/>
      <c r="AW55" s="140"/>
      <c r="AX55" s="140"/>
      <c r="AY55" s="1162"/>
      <c r="AZ55" s="1162"/>
      <c r="BA55" s="1162"/>
      <c r="BB55" s="140"/>
      <c r="BC55" s="140"/>
      <c r="BD55" s="1162"/>
      <c r="BE55" s="1162"/>
      <c r="BF55" s="1284"/>
      <c r="BP55" s="307"/>
    </row>
    <row r="56" spans="2:92" x14ac:dyDescent="0.35">
      <c r="B56" s="143"/>
      <c r="C56" s="1183" t="s">
        <v>103</v>
      </c>
      <c r="D56" s="1183"/>
      <c r="E56" s="1183"/>
      <c r="F56" s="1183"/>
      <c r="G56" s="1183"/>
      <c r="H56" s="1183"/>
      <c r="I56" s="1183"/>
      <c r="J56" s="1183"/>
      <c r="K56" s="1183"/>
      <c r="L56" s="1183"/>
      <c r="M56" s="1183"/>
      <c r="N56" s="1183"/>
      <c r="O56" s="1183"/>
      <c r="P56" s="1183"/>
      <c r="Q56" s="1183"/>
      <c r="R56" s="1183"/>
      <c r="S56" s="1183"/>
      <c r="T56" s="1183"/>
      <c r="U56" s="1183"/>
      <c r="V56" s="1183"/>
      <c r="W56" s="1183"/>
      <c r="X56" s="1183"/>
      <c r="Y56" s="1183"/>
      <c r="Z56" s="1183"/>
      <c r="AC56" s="1277" t="str">
        <f>'PIM Model'!$AD$11</f>
        <v/>
      </c>
      <c r="AD56" s="1277"/>
      <c r="AE56" s="1277" t="str">
        <f>'PIM Model'!$D$11</f>
        <v>%</v>
      </c>
      <c r="AF56" s="1277"/>
      <c r="AG56" s="1277" t="str">
        <f>'PIM Model'!$D$11</f>
        <v>%</v>
      </c>
      <c r="AH56" s="1277"/>
      <c r="AI56" s="1261" t="str">
        <f>'PIM Model'!$D$11</f>
        <v>%</v>
      </c>
      <c r="AJ56" s="1261"/>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84"/>
      <c r="BP56" s="301"/>
    </row>
    <row r="57" spans="2:92" x14ac:dyDescent="0.35">
      <c r="B57" s="143"/>
      <c r="C57" s="1183" t="s">
        <v>102</v>
      </c>
      <c r="D57" s="1183"/>
      <c r="E57" s="1183"/>
      <c r="F57" s="1183"/>
      <c r="G57" s="1183"/>
      <c r="H57" s="1183"/>
      <c r="I57" s="1183"/>
      <c r="J57" s="1183"/>
      <c r="K57" s="1183"/>
      <c r="L57" s="1183"/>
      <c r="M57" s="1183"/>
      <c r="N57" s="1183"/>
      <c r="O57" s="1183"/>
      <c r="P57" s="1183"/>
      <c r="Q57" s="1183"/>
      <c r="R57" s="1183"/>
      <c r="S57" s="1183"/>
      <c r="T57" s="1183"/>
      <c r="U57" s="1183"/>
      <c r="V57" s="1183"/>
      <c r="W57" s="1183"/>
      <c r="X57" s="1183"/>
      <c r="Y57" s="1183"/>
      <c r="Z57" s="1183"/>
      <c r="AC57" s="1264" t="str">
        <f>'PIM Model'!$AD$13</f>
        <v/>
      </c>
      <c r="AD57" s="1264"/>
      <c r="AE57" s="1264" t="str">
        <f>'PIM Model'!$D$13</f>
        <v>%</v>
      </c>
      <c r="AF57" s="1264"/>
      <c r="AG57" s="1264" t="str">
        <f>'PIM Model'!$D$13</f>
        <v>%</v>
      </c>
      <c r="AH57" s="1264"/>
      <c r="AI57" s="1261" t="str">
        <f>'PIM Model'!$D$13</f>
        <v>%</v>
      </c>
      <c r="AJ57" s="1261"/>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35">
      <c r="B58" s="143"/>
      <c r="C58" s="1183" t="s">
        <v>101</v>
      </c>
      <c r="D58" s="1183"/>
      <c r="E58" s="1183"/>
      <c r="F58" s="1183"/>
      <c r="G58" s="1183"/>
      <c r="H58" s="1183"/>
      <c r="I58" s="1183"/>
      <c r="J58" s="1183"/>
      <c r="K58" s="1183"/>
      <c r="L58" s="1183"/>
      <c r="M58" s="1183"/>
      <c r="N58" s="1183"/>
      <c r="O58" s="1183"/>
      <c r="P58" s="1183"/>
      <c r="Q58" s="1183"/>
      <c r="R58" s="1183"/>
      <c r="S58" s="1183"/>
      <c r="T58" s="1183"/>
      <c r="U58" s="1183"/>
      <c r="V58" s="1183"/>
      <c r="W58" s="1183"/>
      <c r="X58" s="1183"/>
      <c r="Y58" s="1183"/>
      <c r="Z58" s="1183"/>
      <c r="AC58" s="1264" t="str">
        <f>'PIM Model'!$AD$19</f>
        <v/>
      </c>
      <c r="AD58" s="1264"/>
      <c r="AE58" s="1264" t="str">
        <f>'PIM Model'!$D$19</f>
        <v>%</v>
      </c>
      <c r="AF58" s="1264"/>
      <c r="AG58" s="1264" t="str">
        <f>'PIM Model'!$D$19</f>
        <v>%</v>
      </c>
      <c r="AH58" s="1264"/>
      <c r="AI58" s="1261" t="str">
        <f>'PIM Model'!$D$19</f>
        <v>%</v>
      </c>
      <c r="AJ58" s="1261"/>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35">
      <c r="B59" s="143"/>
      <c r="C59" s="1183" t="s">
        <v>100</v>
      </c>
      <c r="D59" s="1183"/>
      <c r="E59" s="1183"/>
      <c r="F59" s="1183"/>
      <c r="G59" s="1183"/>
      <c r="H59" s="1183"/>
      <c r="I59" s="1183"/>
      <c r="J59" s="1183"/>
      <c r="K59" s="1183"/>
      <c r="L59" s="1183"/>
      <c r="M59" s="1183"/>
      <c r="N59" s="1183"/>
      <c r="O59" s="1183"/>
      <c r="P59" s="1183"/>
      <c r="Q59" s="1183"/>
      <c r="R59" s="1183"/>
      <c r="S59" s="1183"/>
      <c r="T59" s="1183"/>
      <c r="U59" s="1183"/>
      <c r="V59" s="1183"/>
      <c r="W59" s="1183"/>
      <c r="X59" s="1183"/>
      <c r="Y59" s="1183"/>
      <c r="Z59" s="1183"/>
      <c r="AC59" s="1264" t="str">
        <f>'PIM Model'!$AD$14</f>
        <v/>
      </c>
      <c r="AD59" s="1264"/>
      <c r="AE59" s="1264" t="str">
        <f>'PIM Model'!$D$14</f>
        <v>%</v>
      </c>
      <c r="AF59" s="1264"/>
      <c r="AG59" s="1264" t="str">
        <f>'PIM Model'!$D$14</f>
        <v>%</v>
      </c>
      <c r="AH59" s="1264"/>
      <c r="AI59" s="1261" t="str">
        <f>'PIM Model'!$D$14</f>
        <v>%</v>
      </c>
      <c r="AJ59" s="1261"/>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35">
      <c r="B60" s="143"/>
      <c r="C60" s="1183" t="s">
        <v>104</v>
      </c>
      <c r="D60" s="1183"/>
      <c r="E60" s="1183"/>
      <c r="F60" s="1183"/>
      <c r="G60" s="1183"/>
      <c r="H60" s="1183"/>
      <c r="I60" s="1183"/>
      <c r="J60" s="1183"/>
      <c r="K60" s="1183"/>
      <c r="L60" s="1183"/>
      <c r="M60" s="1183"/>
      <c r="N60" s="1183"/>
      <c r="O60" s="1183"/>
      <c r="P60" s="1183"/>
      <c r="Q60" s="1183"/>
      <c r="R60" s="1183"/>
      <c r="S60" s="1183"/>
      <c r="T60" s="1183"/>
      <c r="U60" s="1183"/>
      <c r="V60" s="1183"/>
      <c r="W60" s="1183"/>
      <c r="X60" s="1183"/>
      <c r="Y60" s="1183"/>
      <c r="Z60" s="1183"/>
      <c r="AC60" s="1264" t="str">
        <f>'PIM Model'!$AD$15</f>
        <v/>
      </c>
      <c r="AD60" s="1264"/>
      <c r="AE60" s="1264" t="str">
        <f>'PIM Model'!$D$15</f>
        <v>%</v>
      </c>
      <c r="AF60" s="1264"/>
      <c r="AG60" s="1264" t="str">
        <f>'PIM Model'!$D$15</f>
        <v>%</v>
      </c>
      <c r="AH60" s="1264"/>
      <c r="AI60" s="1261" t="str">
        <f>'PIM Model'!$D$15</f>
        <v>%</v>
      </c>
      <c r="AJ60" s="1261"/>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35">
      <c r="B61" s="143"/>
      <c r="C61" s="1183" t="s">
        <v>99</v>
      </c>
      <c r="D61" s="1183"/>
      <c r="E61" s="1183"/>
      <c r="F61" s="1183"/>
      <c r="G61" s="1183"/>
      <c r="H61" s="1183"/>
      <c r="I61" s="1183"/>
      <c r="J61" s="1183"/>
      <c r="K61" s="1183"/>
      <c r="L61" s="1183"/>
      <c r="M61" s="1183"/>
      <c r="N61" s="1183"/>
      <c r="O61" s="1183"/>
      <c r="P61" s="1183"/>
      <c r="Q61" s="1183"/>
      <c r="R61" s="1183"/>
      <c r="S61" s="1183"/>
      <c r="T61" s="1183"/>
      <c r="U61" s="1183"/>
      <c r="V61" s="1183"/>
      <c r="W61" s="1183"/>
      <c r="X61" s="1183"/>
      <c r="Y61" s="1183"/>
      <c r="Z61" s="1183"/>
      <c r="AC61" s="1264" t="str">
        <f>'PIM Model'!$AD$10</f>
        <v/>
      </c>
      <c r="AD61" s="1264"/>
      <c r="AE61" s="1264" t="str">
        <f>'PIM Model'!$D$10</f>
        <v>%</v>
      </c>
      <c r="AF61" s="1264"/>
      <c r="AG61" s="1264" t="str">
        <f>'PIM Model'!$D$10</f>
        <v>%</v>
      </c>
      <c r="AH61" s="1264"/>
      <c r="AI61" s="1261" t="str">
        <f>'PIM Model'!$D$10</f>
        <v>%</v>
      </c>
      <c r="AJ61" s="1261"/>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35">
      <c r="B62" s="143"/>
      <c r="C62" s="1115" t="s">
        <v>98</v>
      </c>
      <c r="D62" s="1115"/>
      <c r="E62" s="1115"/>
      <c r="F62" s="1115"/>
      <c r="G62" s="1115"/>
      <c r="H62" s="1115"/>
      <c r="I62" s="1115"/>
      <c r="J62" s="1115"/>
      <c r="K62" s="1115"/>
      <c r="L62" s="1115"/>
      <c r="M62" s="1115"/>
      <c r="N62" s="1115"/>
      <c r="O62" s="1115"/>
      <c r="P62" s="1115"/>
      <c r="Q62" s="1115"/>
      <c r="R62" s="1115"/>
      <c r="S62" s="1115"/>
      <c r="T62" s="1115"/>
      <c r="U62" s="1115"/>
      <c r="V62" s="1115"/>
      <c r="W62" s="1115"/>
      <c r="X62" s="1115"/>
      <c r="Y62" s="1115"/>
      <c r="Z62" s="1115"/>
      <c r="AC62" s="1264" t="str">
        <f>'PIM Model'!$AD$16</f>
        <v/>
      </c>
      <c r="AD62" s="1264"/>
      <c r="AE62" s="1264" t="str">
        <f>'PIM Model'!$D$16</f>
        <v>%</v>
      </c>
      <c r="AF62" s="1264"/>
      <c r="AG62" s="1264" t="str">
        <f>'PIM Model'!$D$16</f>
        <v>%</v>
      </c>
      <c r="AH62" s="1264"/>
      <c r="AI62" s="1261" t="str">
        <f>'PIM Model'!$D$16</f>
        <v>%</v>
      </c>
      <c r="AJ62" s="1261"/>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35">
      <c r="B63" s="143"/>
      <c r="C63" s="1115" t="s">
        <v>97</v>
      </c>
      <c r="D63" s="1115"/>
      <c r="E63" s="1115"/>
      <c r="F63" s="1115"/>
      <c r="G63" s="1115"/>
      <c r="H63" s="1115"/>
      <c r="I63" s="1115"/>
      <c r="J63" s="1115"/>
      <c r="K63" s="1115"/>
      <c r="L63" s="1115"/>
      <c r="M63" s="1115"/>
      <c r="N63" s="1115"/>
      <c r="O63" s="1115"/>
      <c r="P63" s="1115"/>
      <c r="Q63" s="1115"/>
      <c r="R63" s="1115"/>
      <c r="S63" s="1115"/>
      <c r="T63" s="1115"/>
      <c r="U63" s="1115"/>
      <c r="V63" s="1115"/>
      <c r="W63" s="1115"/>
      <c r="X63" s="1115"/>
      <c r="Y63" s="1115"/>
      <c r="Z63" s="1115"/>
      <c r="AC63" s="1264" t="str">
        <f>'PIM Model'!$AD$20</f>
        <v/>
      </c>
      <c r="AD63" s="1264"/>
      <c r="AE63" s="1264" t="str">
        <f>'PIM Model'!$D$20</f>
        <v>%</v>
      </c>
      <c r="AF63" s="1264"/>
      <c r="AG63" s="1264" t="str">
        <f>'PIM Model'!$D$20</f>
        <v>%</v>
      </c>
      <c r="AH63" s="1264"/>
      <c r="AI63" s="1261" t="str">
        <f>'PIM Model'!$D$20</f>
        <v>%</v>
      </c>
      <c r="AJ63" s="1261"/>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35">
      <c r="B64" s="143"/>
      <c r="C64" s="1115" t="s">
        <v>96</v>
      </c>
      <c r="D64" s="1115"/>
      <c r="E64" s="1115"/>
      <c r="F64" s="1115"/>
      <c r="G64" s="1115"/>
      <c r="H64" s="1115"/>
      <c r="I64" s="1115"/>
      <c r="J64" s="1115"/>
      <c r="K64" s="1115"/>
      <c r="L64" s="1115"/>
      <c r="M64" s="1115"/>
      <c r="N64" s="1115"/>
      <c r="O64" s="1115"/>
      <c r="P64" s="1115"/>
      <c r="Q64" s="1115"/>
      <c r="R64" s="1115"/>
      <c r="S64" s="1115"/>
      <c r="T64" s="1115"/>
      <c r="U64" s="1115"/>
      <c r="V64" s="1115"/>
      <c r="W64" s="1115"/>
      <c r="X64" s="1115"/>
      <c r="Y64" s="1115"/>
      <c r="Z64" s="1115"/>
      <c r="AC64" s="1264" t="str">
        <f>'PIM Model'!$AD$18</f>
        <v/>
      </c>
      <c r="AD64" s="1264"/>
      <c r="AE64" s="1264" t="str">
        <f>'PIM Model'!$D$18</f>
        <v>%</v>
      </c>
      <c r="AF64" s="1264"/>
      <c r="AG64" s="1264" t="str">
        <f>'PIM Model'!$D$18</f>
        <v>%</v>
      </c>
      <c r="AH64" s="1264"/>
      <c r="AI64" s="1261" t="str">
        <f>'PIM Model'!$D$18</f>
        <v>%</v>
      </c>
      <c r="AJ64" s="1261"/>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35">
      <c r="B65" s="143"/>
      <c r="C65" s="1115" t="s">
        <v>95</v>
      </c>
      <c r="D65" s="1115"/>
      <c r="E65" s="1115"/>
      <c r="F65" s="1115"/>
      <c r="G65" s="1115"/>
      <c r="H65" s="1115"/>
      <c r="I65" s="1115"/>
      <c r="J65" s="1115"/>
      <c r="K65" s="1115"/>
      <c r="L65" s="1115"/>
      <c r="M65" s="1115"/>
      <c r="N65" s="1115"/>
      <c r="O65" s="1115"/>
      <c r="P65" s="1115"/>
      <c r="Q65" s="1115"/>
      <c r="R65" s="1115"/>
      <c r="S65" s="1115"/>
      <c r="T65" s="1115"/>
      <c r="U65" s="1115"/>
      <c r="V65" s="1115"/>
      <c r="W65" s="1115"/>
      <c r="X65" s="1115"/>
      <c r="Y65" s="1115"/>
      <c r="Z65" s="1115"/>
      <c r="AC65" s="1264" t="str">
        <f>'PIM Model'!$AD$17</f>
        <v/>
      </c>
      <c r="AD65" s="1264"/>
      <c r="AE65" s="1264" t="str">
        <f>'PIM Model'!$D$17</f>
        <v>%</v>
      </c>
      <c r="AF65" s="1264"/>
      <c r="AG65" s="1264" t="str">
        <f>'PIM Model'!$D$17</f>
        <v>%</v>
      </c>
      <c r="AH65" s="1264"/>
      <c r="AI65" s="1261" t="str">
        <f>'PIM Model'!$D$17</f>
        <v>%</v>
      </c>
      <c r="AJ65" s="1261"/>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35">
      <c r="B66" s="143"/>
      <c r="C66" s="1115" t="s">
        <v>94</v>
      </c>
      <c r="D66" s="1115"/>
      <c r="E66" s="1115"/>
      <c r="F66" s="1115"/>
      <c r="G66" s="1115"/>
      <c r="H66" s="1115"/>
      <c r="I66" s="1115"/>
      <c r="J66" s="1115"/>
      <c r="K66" s="1115"/>
      <c r="L66" s="1115"/>
      <c r="M66" s="1115"/>
      <c r="N66" s="1115"/>
      <c r="O66" s="1115"/>
      <c r="P66" s="1115"/>
      <c r="Q66" s="1115"/>
      <c r="R66" s="1115"/>
      <c r="S66" s="1115"/>
      <c r="T66" s="1115"/>
      <c r="U66" s="1115"/>
      <c r="V66" s="1115"/>
      <c r="W66" s="1115"/>
      <c r="X66" s="1115"/>
      <c r="Y66" s="1115"/>
      <c r="Z66" s="1115"/>
      <c r="AC66" s="1264" t="str">
        <f>'PIM Model'!$AD$27</f>
        <v/>
      </c>
      <c r="AD66" s="1264"/>
      <c r="AE66" s="1264" t="str">
        <f>'PIM Model'!$D$27</f>
        <v>%</v>
      </c>
      <c r="AF66" s="1264"/>
      <c r="AG66" s="1264" t="str">
        <f>'PIM Model'!$D$27</f>
        <v>%</v>
      </c>
      <c r="AH66" s="1264"/>
      <c r="AI66" s="1261" t="str">
        <f>'PIM Model'!$D$27</f>
        <v>%</v>
      </c>
      <c r="AJ66" s="1261"/>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35">
      <c r="B67" s="143"/>
      <c r="E67" s="1261" t="s">
        <v>723</v>
      </c>
      <c r="F67" s="1261"/>
      <c r="G67" s="1261"/>
      <c r="H67" s="1261"/>
      <c r="I67" s="1261"/>
      <c r="J67" s="1261"/>
      <c r="K67" s="1261"/>
      <c r="M67" s="1265" t="s">
        <v>248</v>
      </c>
      <c r="N67" s="1265"/>
      <c r="O67" s="1265"/>
      <c r="P67" t="s">
        <v>679</v>
      </c>
      <c r="S67" s="1263"/>
      <c r="T67" s="1263"/>
      <c r="U67" s="1263"/>
      <c r="V67" s="1261" t="s">
        <v>681</v>
      </c>
      <c r="W67" s="1261"/>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35">
      <c r="B68" s="143"/>
      <c r="C68" s="1115" t="s">
        <v>93</v>
      </c>
      <c r="D68" s="1115"/>
      <c r="E68" s="1115"/>
      <c r="F68" s="1115"/>
      <c r="G68" s="1115"/>
      <c r="H68" s="1115"/>
      <c r="I68" s="1115"/>
      <c r="J68" s="1115"/>
      <c r="K68" s="1115"/>
      <c r="L68" s="1115"/>
      <c r="M68" s="1115"/>
      <c r="N68" s="1115"/>
      <c r="O68" s="1115"/>
      <c r="P68" s="1115"/>
      <c r="Q68" s="1115"/>
      <c r="R68" s="1115"/>
      <c r="S68" s="1115"/>
      <c r="T68" s="1115"/>
      <c r="U68" s="1115"/>
      <c r="V68" s="1115"/>
      <c r="W68" s="1115"/>
      <c r="X68" s="1115"/>
      <c r="Y68" s="1115"/>
      <c r="Z68" s="1115"/>
      <c r="AC68" s="1264" t="str">
        <f>'PIM Model'!$AD$21</f>
        <v/>
      </c>
      <c r="AD68" s="1264"/>
      <c r="AE68" s="1264" t="str">
        <f>'PIM Model'!$D$21</f>
        <v>%</v>
      </c>
      <c r="AF68" s="1264"/>
      <c r="AG68" s="1264" t="str">
        <f>'PIM Model'!$D$21</f>
        <v>%</v>
      </c>
      <c r="AH68" s="1264"/>
      <c r="AI68" s="1261" t="str">
        <f>'PIM Model'!$D$21</f>
        <v>%</v>
      </c>
      <c r="AJ68" s="1261"/>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35">
      <c r="B69" s="143"/>
      <c r="C69" s="1115" t="s">
        <v>92</v>
      </c>
      <c r="D69" s="1115"/>
      <c r="E69" s="1115"/>
      <c r="F69" s="1115"/>
      <c r="G69" s="1115"/>
      <c r="H69" s="1115"/>
      <c r="I69" s="1115"/>
      <c r="J69" s="1115"/>
      <c r="K69" s="1115"/>
      <c r="L69" s="1115"/>
      <c r="M69" s="1115"/>
      <c r="N69" s="1115"/>
      <c r="O69" s="1115"/>
      <c r="P69" s="1115"/>
      <c r="Q69" s="1115"/>
      <c r="R69" s="1115"/>
      <c r="S69" s="1115"/>
      <c r="T69" s="1115"/>
      <c r="U69" s="1115"/>
      <c r="V69" s="1115"/>
      <c r="W69" s="1115"/>
      <c r="X69" s="1115"/>
      <c r="Y69" s="1115"/>
      <c r="Z69" s="1115"/>
      <c r="AC69" s="1264" t="str">
        <f>'PIM Model'!$AD$23</f>
        <v/>
      </c>
      <c r="AD69" s="1264"/>
      <c r="AE69" s="1264" t="str">
        <f>'PIM Model'!$D$23</f>
        <v>%</v>
      </c>
      <c r="AF69" s="1264"/>
      <c r="AG69" s="1264" t="str">
        <f>'PIM Model'!$D$23</f>
        <v>%</v>
      </c>
      <c r="AH69" s="1264"/>
      <c r="AI69" s="1261" t="str">
        <f>'PIM Model'!$D$23</f>
        <v>%</v>
      </c>
      <c r="AJ69" s="1261"/>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35">
      <c r="B70" s="143"/>
      <c r="C70" s="1115" t="s">
        <v>91</v>
      </c>
      <c r="D70" s="1115"/>
      <c r="E70" s="1115"/>
      <c r="F70" s="1115"/>
      <c r="G70" s="1115"/>
      <c r="H70" s="1115"/>
      <c r="I70" s="1115"/>
      <c r="J70" s="1115"/>
      <c r="K70" s="1115"/>
      <c r="L70" s="1115"/>
      <c r="M70" s="1115"/>
      <c r="N70" s="1115"/>
      <c r="O70" s="1115"/>
      <c r="P70" s="1115"/>
      <c r="Q70" s="1115"/>
      <c r="R70" s="1115"/>
      <c r="S70" s="1115"/>
      <c r="T70" s="1115"/>
      <c r="U70" s="1115"/>
      <c r="V70" s="1115"/>
      <c r="W70" s="1115"/>
      <c r="X70" s="1115"/>
      <c r="Y70" s="1115"/>
      <c r="Z70" s="1115"/>
      <c r="AC70" s="1264" t="str">
        <f>'PIM Model'!$AD$24</f>
        <v/>
      </c>
      <c r="AD70" s="1264"/>
      <c r="AE70" s="1264" t="str">
        <f>'PIM Model'!$D$24</f>
        <v>%</v>
      </c>
      <c r="AF70" s="1264"/>
      <c r="AG70" s="1264" t="str">
        <f>'PIM Model'!$D$24</f>
        <v>%</v>
      </c>
      <c r="AH70" s="1264"/>
      <c r="AI70" s="1261" t="str">
        <f>'PIM Model'!$D$24</f>
        <v>%</v>
      </c>
      <c r="AJ70" s="1261"/>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84"/>
    </row>
    <row r="71" spans="2:70" x14ac:dyDescent="0.35">
      <c r="B71" s="143"/>
      <c r="C71" s="1115" t="s">
        <v>90</v>
      </c>
      <c r="D71" s="1115"/>
      <c r="E71" s="1115"/>
      <c r="F71" s="1115"/>
      <c r="G71" s="1115"/>
      <c r="H71" s="1115"/>
      <c r="I71" s="1115"/>
      <c r="J71" s="1115"/>
      <c r="K71" s="1115"/>
      <c r="L71" s="1115"/>
      <c r="M71" s="1115"/>
      <c r="N71" s="1115"/>
      <c r="O71" s="1115"/>
      <c r="P71" s="1115"/>
      <c r="Q71" s="1115"/>
      <c r="R71" s="1115"/>
      <c r="S71" s="1115"/>
      <c r="T71" s="1115"/>
      <c r="U71" s="1115"/>
      <c r="V71" s="1115"/>
      <c r="W71" s="1115"/>
      <c r="X71" s="1115"/>
      <c r="Y71" s="1115"/>
      <c r="Z71" s="1115"/>
      <c r="AC71" s="1264" t="str">
        <f>'PIM Model'!$AD$25</f>
        <v/>
      </c>
      <c r="AD71" s="1264"/>
      <c r="AE71" s="1264" t="str">
        <f>'PIM Model'!$D$25</f>
        <v>%</v>
      </c>
      <c r="AF71" s="1264"/>
      <c r="AG71" s="1264" t="str">
        <f>'PIM Model'!$D$25</f>
        <v>%</v>
      </c>
      <c r="AH71" s="1264"/>
      <c r="AI71" s="1261" t="str">
        <f>'PIM Model'!$D$25</f>
        <v>%</v>
      </c>
      <c r="AJ71" s="1261"/>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84"/>
    </row>
    <row r="72" spans="2:70" x14ac:dyDescent="0.35">
      <c r="B72" s="143"/>
      <c r="C72" s="1115" t="s">
        <v>89</v>
      </c>
      <c r="D72" s="1115"/>
      <c r="E72" s="1115"/>
      <c r="F72" s="1115"/>
      <c r="G72" s="1115"/>
      <c r="H72" s="1115"/>
      <c r="I72" s="1115"/>
      <c r="J72" s="1115"/>
      <c r="K72" s="1115"/>
      <c r="L72" s="1115"/>
      <c r="M72" s="1115"/>
      <c r="N72" s="1115"/>
      <c r="O72" s="1115"/>
      <c r="P72" s="1115"/>
      <c r="Q72" s="1115"/>
      <c r="R72" s="1115"/>
      <c r="S72" s="1115"/>
      <c r="T72" s="1115"/>
      <c r="U72" s="1115"/>
      <c r="V72" s="1115"/>
      <c r="W72" s="1115"/>
      <c r="X72" s="1115"/>
      <c r="Y72" s="1115"/>
      <c r="Z72" s="1115"/>
      <c r="AC72" s="1264" t="str">
        <f>'PIM Model'!$AD$26</f>
        <v/>
      </c>
      <c r="AD72" s="1264"/>
      <c r="AE72" s="1264" t="str">
        <f>'PIM Model'!$D$26</f>
        <v>%</v>
      </c>
      <c r="AF72" s="1264"/>
      <c r="AG72" s="1264" t="str">
        <f>'PIM Model'!$D$26</f>
        <v>%</v>
      </c>
      <c r="AH72" s="1264"/>
      <c r="AI72" s="1261" t="str">
        <f>'PIM Model'!$D$26</f>
        <v>%</v>
      </c>
      <c r="AJ72" s="1261"/>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84"/>
    </row>
    <row r="73" spans="2:70" x14ac:dyDescent="0.35">
      <c r="B73" s="143"/>
      <c r="C73" s="1115" t="s">
        <v>88</v>
      </c>
      <c r="D73" s="1115"/>
      <c r="E73" s="1115"/>
      <c r="F73" s="1115"/>
      <c r="G73" s="1115"/>
      <c r="H73" s="1115"/>
      <c r="I73" s="1115"/>
      <c r="J73" s="1115"/>
      <c r="K73" s="1115"/>
      <c r="L73" s="1115"/>
      <c r="M73" s="1115"/>
      <c r="N73" s="1115"/>
      <c r="O73" s="1115"/>
      <c r="P73" s="1115"/>
      <c r="Q73" s="1115"/>
      <c r="R73" s="1115"/>
      <c r="S73" s="1115"/>
      <c r="T73" s="1115"/>
      <c r="U73" s="1115"/>
      <c r="V73" s="1115"/>
      <c r="W73" s="1115"/>
      <c r="X73" s="1115"/>
      <c r="Y73" s="1115"/>
      <c r="Z73" s="1115"/>
      <c r="AC73" s="1264" t="str">
        <f>'PIM Model'!$AD$29</f>
        <v/>
      </c>
      <c r="AD73" s="1264"/>
      <c r="AE73" s="1264" t="str">
        <f>'PIM Model'!$D$29</f>
        <v>%</v>
      </c>
      <c r="AF73" s="1264"/>
      <c r="AG73" s="1264" t="str">
        <f>'PIM Model'!$D$29</f>
        <v>%</v>
      </c>
      <c r="AH73" s="1264"/>
      <c r="AI73" s="1261" t="str">
        <f>'PIM Model'!$D$29</f>
        <v>%</v>
      </c>
      <c r="AJ73" s="1261"/>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84"/>
    </row>
    <row r="74" spans="2:70" x14ac:dyDescent="0.35">
      <c r="B74" s="143"/>
      <c r="C74" s="1115" t="s">
        <v>87</v>
      </c>
      <c r="D74" s="1115"/>
      <c r="E74" s="1115"/>
      <c r="F74" s="1115"/>
      <c r="G74" s="1115"/>
      <c r="H74" s="1115"/>
      <c r="I74" s="1115"/>
      <c r="J74" s="1115"/>
      <c r="K74" s="1115"/>
      <c r="L74" s="1115"/>
      <c r="M74" s="1115"/>
      <c r="N74" s="1115"/>
      <c r="O74" s="1115"/>
      <c r="P74" s="1115"/>
      <c r="Q74" s="1115"/>
      <c r="R74" s="1115"/>
      <c r="S74" s="1115"/>
      <c r="T74" s="1115"/>
      <c r="U74" s="1115"/>
      <c r="V74" s="1115"/>
      <c r="W74" s="1115"/>
      <c r="X74" s="1115"/>
      <c r="Y74" s="1115"/>
      <c r="Z74" s="1115"/>
      <c r="AC74" s="1264" t="str">
        <f>'PIM Model'!$AD$30</f>
        <v/>
      </c>
      <c r="AD74" s="1264"/>
      <c r="AE74" s="1264" t="str">
        <f>'PIM Model'!$D$30</f>
        <v>%</v>
      </c>
      <c r="AF74" s="1264"/>
      <c r="AG74" s="1264" t="str">
        <f>'PIM Model'!$D$30</f>
        <v>%</v>
      </c>
      <c r="AH74" s="1264"/>
      <c r="AI74" s="1261" t="str">
        <f>'PIM Model'!$D$30</f>
        <v>%</v>
      </c>
      <c r="AJ74" s="1261"/>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84"/>
    </row>
    <row r="75" spans="2:70" x14ac:dyDescent="0.35">
      <c r="B75" s="143"/>
      <c r="C75" s="1115" t="s">
        <v>86</v>
      </c>
      <c r="D75" s="1115"/>
      <c r="E75" s="1115"/>
      <c r="F75" s="1115"/>
      <c r="G75" s="1115"/>
      <c r="H75" s="1115"/>
      <c r="I75" s="1115"/>
      <c r="J75" s="1115"/>
      <c r="K75" s="1115"/>
      <c r="L75" s="1115"/>
      <c r="M75" s="1115"/>
      <c r="N75" s="1115"/>
      <c r="O75" s="1115"/>
      <c r="P75" s="1115"/>
      <c r="Q75" s="1115"/>
      <c r="R75" s="1115"/>
      <c r="S75" s="1115"/>
      <c r="T75" s="1115"/>
      <c r="U75" s="1115"/>
      <c r="V75" s="1115"/>
      <c r="W75" s="1115"/>
      <c r="X75" s="1115"/>
      <c r="Y75" s="1115"/>
      <c r="Z75" s="1115"/>
      <c r="AC75" s="1264" t="str">
        <f>'PIM Model'!$AD$28</f>
        <v/>
      </c>
      <c r="AD75" s="1264"/>
      <c r="AE75" s="1264" t="str">
        <f>'PIM Model'!$D$28</f>
        <v>%</v>
      </c>
      <c r="AF75" s="1264"/>
      <c r="AG75" s="1264" t="str">
        <f>'PIM Model'!$D$28</f>
        <v>%</v>
      </c>
      <c r="AH75" s="1264"/>
      <c r="AI75" s="1261" t="str">
        <f>'PIM Model'!$D$28</f>
        <v>%</v>
      </c>
      <c r="AJ75" s="1261"/>
      <c r="BF75" s="144"/>
    </row>
    <row r="76" spans="2:70" x14ac:dyDescent="0.35">
      <c r="B76" s="143"/>
      <c r="C76" s="1115" t="s">
        <v>105</v>
      </c>
      <c r="D76" s="1115"/>
      <c r="E76" s="1115"/>
      <c r="F76" s="1115"/>
      <c r="G76" s="1115"/>
      <c r="H76" s="1115"/>
      <c r="I76" s="1115"/>
      <c r="J76" s="1115"/>
      <c r="K76" s="1115"/>
      <c r="L76" s="1115"/>
      <c r="M76" s="1115"/>
      <c r="N76" s="1115"/>
      <c r="O76" s="1115"/>
      <c r="P76" s="1115"/>
      <c r="Q76" s="1115"/>
      <c r="R76" s="1115"/>
      <c r="S76" s="1115"/>
      <c r="T76" s="1115"/>
      <c r="U76" s="1115"/>
      <c r="V76" s="1115"/>
      <c r="W76" s="1115"/>
      <c r="X76" s="1115"/>
      <c r="Y76" s="1115"/>
      <c r="Z76" s="1115"/>
      <c r="AC76" s="1264" t="str">
        <f>'PIM Model'!$AD$22</f>
        <v/>
      </c>
      <c r="AD76" s="1264"/>
      <c r="AE76" s="1264" t="str">
        <f>'PIM Model'!$D$22</f>
        <v>%</v>
      </c>
      <c r="AF76" s="1264"/>
      <c r="AG76" s="1264" t="str">
        <f>'PIM Model'!$D$22</f>
        <v>%</v>
      </c>
      <c r="AH76" s="1264"/>
      <c r="AI76" s="1261" t="str">
        <f>'PIM Model'!$D$22</f>
        <v>%</v>
      </c>
      <c r="AJ76" s="1261"/>
      <c r="BF76" s="144"/>
    </row>
    <row r="77" spans="2:70" x14ac:dyDescent="0.35">
      <c r="B77" s="738"/>
      <c r="C77" s="1290" t="s">
        <v>757</v>
      </c>
      <c r="D77" s="1290"/>
      <c r="E77" s="1290"/>
      <c r="F77" s="1290"/>
      <c r="G77" s="1290"/>
      <c r="H77" s="1290"/>
      <c r="I77" s="1290"/>
      <c r="J77" s="1290"/>
      <c r="K77" s="1290"/>
      <c r="L77" s="1290"/>
      <c r="M77" s="1290"/>
      <c r="N77" s="1290"/>
      <c r="O77" s="1290"/>
      <c r="P77" s="1290"/>
      <c r="Q77" s="1290"/>
      <c r="R77" s="1290"/>
      <c r="S77" s="1290"/>
      <c r="T77" s="1290"/>
      <c r="U77" s="1290"/>
      <c r="V77" s="1290"/>
      <c r="W77" s="1290"/>
      <c r="X77" s="1290"/>
      <c r="Y77" s="1290"/>
      <c r="Z77" s="1290"/>
      <c r="AC77" s="1264" t="str">
        <f>'PIM Model'!$AD$12</f>
        <v/>
      </c>
      <c r="AD77" s="1264"/>
      <c r="AE77" s="1264" t="str">
        <f>'PIM Model'!$D$12</f>
        <v>%</v>
      </c>
      <c r="AF77" s="1264"/>
      <c r="AG77" s="1264" t="str">
        <f>'PIM Model'!$D$12</f>
        <v>%</v>
      </c>
      <c r="AH77" s="1264"/>
      <c r="AI77" s="1261" t="str">
        <f>'PIM Model'!$D$12</f>
        <v>%</v>
      </c>
      <c r="AJ77" s="1261"/>
      <c r="BF77" s="144"/>
    </row>
    <row r="78" spans="2:70" x14ac:dyDescent="0.35">
      <c r="B78" s="143"/>
      <c r="C78" s="1290" t="s">
        <v>758</v>
      </c>
      <c r="D78" s="1290"/>
      <c r="E78" s="1290"/>
      <c r="F78" s="1290"/>
      <c r="G78" s="1290"/>
      <c r="H78" s="1290"/>
      <c r="I78" s="1290"/>
      <c r="J78" s="1290"/>
      <c r="K78" s="1290"/>
      <c r="L78" s="1290"/>
      <c r="M78" s="1290"/>
      <c r="N78" s="1290"/>
      <c r="O78" s="1290"/>
      <c r="P78" s="1290"/>
      <c r="Q78" s="1290"/>
      <c r="R78" s="1290"/>
      <c r="S78" s="1290"/>
      <c r="T78" s="1290"/>
      <c r="U78" s="1290"/>
      <c r="V78" s="1290"/>
      <c r="W78" s="1290"/>
      <c r="X78" s="1290"/>
      <c r="Y78" s="1290"/>
      <c r="Z78" s="1290"/>
      <c r="AC78" s="720"/>
      <c r="AD78" s="720"/>
      <c r="AE78" s="720"/>
      <c r="AF78" s="720"/>
      <c r="AG78" s="720"/>
      <c r="AH78" s="720"/>
      <c r="BF78" s="144"/>
      <c r="BR78" s="301"/>
    </row>
    <row r="79" spans="2:70" x14ac:dyDescent="0.35">
      <c r="B79" s="143"/>
      <c r="BF79" s="144"/>
    </row>
    <row r="80" spans="2:70" x14ac:dyDescent="0.35">
      <c r="B80" s="143"/>
      <c r="BF80" s="144"/>
    </row>
    <row r="81" spans="1:70" x14ac:dyDescent="0.35">
      <c r="B81" s="143"/>
      <c r="D81" s="1261" t="s">
        <v>722</v>
      </c>
      <c r="E81" s="1261"/>
      <c r="F81" s="1261"/>
      <c r="G81" s="1261"/>
      <c r="H81" s="1261"/>
      <c r="I81" s="1261"/>
      <c r="J81" s="1261"/>
      <c r="K81" s="1261"/>
      <c r="L81" s="1261"/>
      <c r="M81" s="1261"/>
      <c r="N81" s="1261"/>
      <c r="O81" s="1261"/>
      <c r="P81" s="1261"/>
      <c r="Q81" s="1261"/>
      <c r="R81" s="1261"/>
      <c r="S81" s="1261"/>
      <c r="T81" s="1261"/>
      <c r="U81" s="1261"/>
      <c r="V81" s="1261"/>
      <c r="W81" s="1261"/>
      <c r="X81" s="1261"/>
      <c r="Y81" s="1261"/>
      <c r="Z81" s="1261"/>
      <c r="AA81" s="1261"/>
      <c r="AB81" s="1261"/>
      <c r="AC81" s="1261"/>
      <c r="AD81" s="1261"/>
      <c r="AE81" s="1261"/>
      <c r="AF81" s="1261"/>
      <c r="AG81" s="1261"/>
      <c r="AH81" s="1261"/>
      <c r="AI81" s="1261"/>
      <c r="AJ81" s="1261"/>
      <c r="AK81" s="1261"/>
      <c r="AL81" s="1261"/>
      <c r="AM81" s="1261"/>
      <c r="AN81" s="1261"/>
      <c r="AO81" s="1261"/>
      <c r="AP81" s="1261"/>
      <c r="AQ81" s="1261"/>
      <c r="AR81" s="1261"/>
      <c r="AS81" s="1261"/>
      <c r="AT81" s="1261"/>
      <c r="AU81" s="1261"/>
      <c r="AV81" s="1261"/>
      <c r="AW81" s="1261"/>
      <c r="AX81" s="1261"/>
      <c r="AY81" s="1261"/>
      <c r="AZ81" s="1261"/>
      <c r="BA81" s="1261"/>
      <c r="BB81" s="1261"/>
      <c r="BC81" s="1261"/>
      <c r="BD81" s="1261"/>
      <c r="BF81" s="144"/>
    </row>
    <row r="82" spans="1:70" x14ac:dyDescent="0.35">
      <c r="B82" s="143"/>
      <c r="D82" s="1265" t="s">
        <v>248</v>
      </c>
      <c r="E82" s="1265"/>
      <c r="F82" s="1261" t="s">
        <v>721</v>
      </c>
      <c r="G82" s="1261"/>
      <c r="H82" s="1261"/>
      <c r="I82" s="1261"/>
      <c r="J82" s="1261"/>
      <c r="K82" s="1261"/>
      <c r="L82" s="1261"/>
      <c r="M82" s="1261"/>
      <c r="N82" s="1261"/>
      <c r="O82" s="1261"/>
      <c r="P82" s="1261"/>
      <c r="Q82" s="1261"/>
      <c r="R82" s="1261"/>
      <c r="S82" s="1261"/>
      <c r="T82" s="1261"/>
      <c r="U82" s="1261"/>
      <c r="V82" s="1261"/>
      <c r="W82" s="1261"/>
      <c r="X82" s="1261"/>
      <c r="Y82" s="1261"/>
      <c r="Z82" s="1261"/>
      <c r="AA82" s="1261"/>
      <c r="AB82" s="1261"/>
      <c r="AC82" s="1261"/>
      <c r="AD82" s="1261"/>
      <c r="AE82" s="1261"/>
      <c r="AF82" s="1261"/>
      <c r="AG82" s="1261"/>
      <c r="AH82" s="1261"/>
      <c r="AI82" s="1261"/>
      <c r="AJ82" s="1261"/>
      <c r="AK82" s="1261"/>
      <c r="AL82" s="1261"/>
      <c r="AM82" s="1261"/>
      <c r="AN82" s="1261"/>
      <c r="AO82" s="1261"/>
      <c r="AP82" s="1261"/>
      <c r="AQ82" s="1261"/>
      <c r="AR82" s="1261"/>
      <c r="AS82" s="1261"/>
      <c r="AT82" s="1261"/>
      <c r="AU82" s="1261"/>
      <c r="AV82" s="1261"/>
      <c r="AW82" s="1261"/>
      <c r="AX82" s="1261"/>
      <c r="AY82" s="1261"/>
      <c r="AZ82" s="1261"/>
      <c r="BA82" s="1261"/>
      <c r="BB82" s="1261"/>
      <c r="BC82" s="1261"/>
      <c r="BD82" s="1261"/>
      <c r="BF82" s="144"/>
    </row>
    <row r="83" spans="1:70" x14ac:dyDescent="0.35">
      <c r="B83" s="143"/>
      <c r="D83" s="1263"/>
      <c r="E83" s="1263"/>
      <c r="F83" s="1261" t="s">
        <v>720</v>
      </c>
      <c r="G83" s="1261"/>
      <c r="H83" s="1261"/>
      <c r="I83" s="1261"/>
      <c r="J83" s="1261"/>
      <c r="K83" s="1261"/>
      <c r="L83" s="1261"/>
      <c r="M83" s="1261"/>
      <c r="N83" s="1261"/>
      <c r="O83" s="1261"/>
      <c r="P83" s="1261"/>
      <c r="Q83" s="1261"/>
      <c r="R83" s="1261"/>
      <c r="S83" s="1261"/>
      <c r="T83" s="1261"/>
      <c r="U83" s="1261"/>
      <c r="V83" s="1261"/>
      <c r="W83" s="1261"/>
      <c r="X83" s="1261"/>
      <c r="Y83" s="1261"/>
      <c r="Z83" s="1261"/>
      <c r="AA83" s="1261"/>
      <c r="AB83" s="1261"/>
      <c r="AC83" s="1261"/>
      <c r="AD83" s="1261"/>
      <c r="AE83" s="1261"/>
      <c r="AF83" s="1261"/>
      <c r="AG83" s="1261"/>
      <c r="AH83" s="1261"/>
      <c r="AI83" s="1261"/>
      <c r="AJ83" s="1261"/>
      <c r="AK83" s="1261"/>
      <c r="AL83" s="1261"/>
      <c r="AM83" s="1261"/>
      <c r="AN83" s="1261"/>
      <c r="AO83" s="1261"/>
      <c r="AP83" s="1261"/>
      <c r="AQ83" s="1261"/>
      <c r="AR83" s="1261"/>
      <c r="AS83" s="1261"/>
      <c r="AT83" s="1261"/>
      <c r="AU83" s="1261"/>
      <c r="AV83" s="1261"/>
      <c r="AW83" s="1261"/>
      <c r="AX83" s="1261"/>
      <c r="AY83" s="1261"/>
      <c r="AZ83" s="1261"/>
      <c r="BA83" s="1261"/>
      <c r="BB83" s="1261"/>
      <c r="BC83" s="1261"/>
      <c r="BD83" s="1261"/>
      <c r="BF83" s="144"/>
    </row>
    <row r="84" spans="1:70" x14ac:dyDescent="0.35">
      <c r="A84" s="308"/>
      <c r="B84" s="143"/>
      <c r="D84" s="1263"/>
      <c r="E84" s="1263"/>
      <c r="F84" s="1261" t="s">
        <v>719</v>
      </c>
      <c r="G84" s="1261"/>
      <c r="H84" s="1261"/>
      <c r="I84" s="1261"/>
      <c r="J84" s="1261"/>
      <c r="K84" s="1261"/>
      <c r="L84" s="1261"/>
      <c r="M84" s="1261"/>
      <c r="N84" s="1261"/>
      <c r="O84" s="1261"/>
      <c r="P84" s="1261"/>
      <c r="Q84" s="1261"/>
      <c r="R84" s="1261"/>
      <c r="S84" s="1261"/>
      <c r="T84" s="1261"/>
      <c r="U84" s="1261"/>
      <c r="V84" s="1261"/>
      <c r="W84" s="1261"/>
      <c r="X84" s="1261"/>
      <c r="Y84" s="1261"/>
      <c r="Z84" s="1261"/>
      <c r="AA84" s="1261"/>
      <c r="AB84" s="1261"/>
      <c r="AC84" s="1261"/>
      <c r="AD84" s="1261"/>
      <c r="AE84" s="1261"/>
      <c r="AF84" s="1261"/>
      <c r="AG84" s="1261"/>
      <c r="AH84" s="1261"/>
      <c r="AI84" s="1261"/>
      <c r="AJ84" s="1261"/>
      <c r="AK84" s="1261"/>
      <c r="AL84" s="1261"/>
      <c r="AM84" s="1261"/>
      <c r="AN84" s="1261"/>
      <c r="AO84" s="1261"/>
      <c r="AP84" s="1261"/>
      <c r="AQ84" s="1261"/>
      <c r="AR84" s="1261"/>
      <c r="AS84" s="1261"/>
      <c r="AT84" s="1261"/>
      <c r="AU84" s="1261"/>
      <c r="AV84" s="1261"/>
      <c r="AW84" s="1261"/>
      <c r="AX84" s="1261"/>
      <c r="AY84" s="1261"/>
      <c r="AZ84" s="1261"/>
      <c r="BA84" s="1261"/>
      <c r="BB84" s="1261"/>
      <c r="BC84" s="1261"/>
      <c r="BD84" s="1261"/>
      <c r="BF84" s="144"/>
    </row>
    <row r="85" spans="1:70" x14ac:dyDescent="0.35">
      <c r="B85" s="143"/>
      <c r="BF85" s="144"/>
    </row>
    <row r="86" spans="1:70" x14ac:dyDescent="0.35">
      <c r="B86" s="143"/>
      <c r="D86" s="1261" t="s">
        <v>718</v>
      </c>
      <c r="E86" s="1261"/>
      <c r="F86" s="1261"/>
      <c r="G86" s="1261"/>
      <c r="H86" s="1261"/>
      <c r="I86" s="1261"/>
      <c r="J86" s="1261"/>
      <c r="K86" s="1261"/>
      <c r="L86" s="1261"/>
      <c r="M86" s="1261"/>
      <c r="N86" s="1261"/>
      <c r="O86" s="1261"/>
      <c r="P86" s="1261"/>
      <c r="Q86" s="1261"/>
      <c r="R86" s="1261"/>
      <c r="S86" s="1261"/>
      <c r="T86" s="1261"/>
      <c r="U86" s="1261"/>
      <c r="V86" s="1261"/>
      <c r="W86" s="1261"/>
      <c r="X86" s="1261"/>
      <c r="Y86" s="1261"/>
      <c r="Z86" s="1261"/>
      <c r="AA86" s="1261"/>
      <c r="AB86" s="1261"/>
      <c r="AC86" s="1261"/>
      <c r="AD86" s="1261"/>
      <c r="AE86" s="1261"/>
      <c r="AF86" s="1261"/>
      <c r="AG86" s="1261"/>
      <c r="AH86" s="1261"/>
      <c r="AI86" s="1261"/>
      <c r="AJ86" s="1261"/>
      <c r="AK86" s="1261"/>
      <c r="AL86" s="1261"/>
      <c r="AM86" s="1261"/>
      <c r="AN86" s="1261"/>
      <c r="AO86" s="1261"/>
      <c r="AP86" s="1261"/>
      <c r="AQ86" s="1261"/>
      <c r="AR86" s="1261"/>
      <c r="AS86" s="1261"/>
      <c r="AT86" s="1261"/>
      <c r="AU86" s="1261"/>
      <c r="AV86" s="1261"/>
      <c r="AW86" s="1261"/>
      <c r="AX86" s="1261"/>
      <c r="AY86" s="1261"/>
      <c r="AZ86" s="1261"/>
      <c r="BA86" s="1261"/>
      <c r="BB86" s="1261"/>
      <c r="BC86" s="1261"/>
      <c r="BD86" s="1261"/>
      <c r="BF86" s="144"/>
    </row>
    <row r="87" spans="1:70" x14ac:dyDescent="0.35">
      <c r="B87" s="143"/>
      <c r="D87" s="1265" t="s">
        <v>248</v>
      </c>
      <c r="E87" s="1265"/>
      <c r="F87" s="1261" t="s">
        <v>717</v>
      </c>
      <c r="G87" s="1261"/>
      <c r="H87" s="1261"/>
      <c r="I87" s="1261"/>
      <c r="J87" s="1261"/>
      <c r="K87" s="1261"/>
      <c r="L87" s="1261"/>
      <c r="M87" s="1261"/>
      <c r="N87" s="1261"/>
      <c r="O87" s="1261"/>
      <c r="P87" s="1261"/>
      <c r="Q87" s="1261"/>
      <c r="R87" s="1261"/>
      <c r="S87" s="1261"/>
      <c r="T87" s="1261"/>
      <c r="U87" s="1261"/>
      <c r="V87" s="1261"/>
      <c r="W87" s="1261"/>
      <c r="X87" s="1261"/>
      <c r="Y87" s="1261"/>
      <c r="Z87" s="1261"/>
      <c r="AA87" s="1261"/>
      <c r="AB87" s="1261"/>
      <c r="AC87" s="1261"/>
      <c r="AD87" s="1261"/>
      <c r="AE87" s="1261"/>
      <c r="AF87" s="1261"/>
      <c r="AG87" s="1261"/>
      <c r="AH87" s="1261"/>
      <c r="AI87" s="1261"/>
      <c r="AJ87" s="1261"/>
      <c r="AK87" s="1261"/>
      <c r="AL87" s="1261"/>
      <c r="AM87" s="1261"/>
      <c r="AN87" s="1261"/>
      <c r="AO87" s="1261"/>
      <c r="AP87" s="1261"/>
      <c r="AQ87" s="1261"/>
      <c r="AR87" s="1261"/>
      <c r="AS87" s="1261"/>
      <c r="AT87" s="1261"/>
      <c r="AU87" s="1261"/>
      <c r="AV87" s="1261"/>
      <c r="AW87" s="1261"/>
      <c r="AX87" s="1261"/>
      <c r="AY87" s="1261"/>
      <c r="AZ87" s="1261"/>
      <c r="BA87" s="1261"/>
      <c r="BB87" s="1261"/>
      <c r="BC87" s="1261"/>
      <c r="BD87" s="1261"/>
      <c r="BF87" s="144"/>
    </row>
    <row r="88" spans="1:70" x14ac:dyDescent="0.35">
      <c r="B88" s="143"/>
      <c r="D88" s="1263"/>
      <c r="E88" s="1263"/>
      <c r="F88" s="1261" t="s">
        <v>716</v>
      </c>
      <c r="G88" s="1261"/>
      <c r="H88" s="1261"/>
      <c r="I88" s="1261"/>
      <c r="J88" s="1261"/>
      <c r="K88" s="1261"/>
      <c r="L88" s="1261"/>
      <c r="M88" s="1261"/>
      <c r="N88" s="1261"/>
      <c r="O88" s="1261"/>
      <c r="P88" s="1261"/>
      <c r="Q88" s="1261"/>
      <c r="R88" s="1261"/>
      <c r="S88" s="1261"/>
      <c r="T88" s="1261"/>
      <c r="U88" s="1261"/>
      <c r="V88" s="1261"/>
      <c r="W88" s="1261"/>
      <c r="X88" s="1261"/>
      <c r="Y88" s="1261"/>
      <c r="Z88" s="1261"/>
      <c r="AA88" s="1261"/>
      <c r="AB88" s="1261"/>
      <c r="AC88" s="1261"/>
      <c r="AD88" s="1261"/>
      <c r="AE88" s="1261"/>
      <c r="AF88" s="1261"/>
      <c r="AG88" s="1261"/>
      <c r="AH88" s="1261"/>
      <c r="AI88" s="1261"/>
      <c r="AJ88" s="1261"/>
      <c r="AK88" s="1261"/>
      <c r="AL88" s="1261"/>
      <c r="AM88" s="1261"/>
      <c r="AN88" s="1261"/>
      <c r="AO88" s="1261"/>
      <c r="AP88" s="1261"/>
      <c r="AQ88" s="1261"/>
      <c r="AR88" s="1261"/>
      <c r="AS88" s="1261"/>
      <c r="AT88" s="1261"/>
      <c r="AU88" s="1261"/>
      <c r="AV88" s="1261"/>
      <c r="AW88" s="1261"/>
      <c r="AX88" s="1261"/>
      <c r="AY88" s="1261"/>
      <c r="AZ88" s="1261"/>
      <c r="BA88" s="1261"/>
      <c r="BB88" s="1261"/>
      <c r="BC88" s="1261"/>
      <c r="BD88" s="1261"/>
      <c r="BF88" s="144"/>
    </row>
    <row r="89" spans="1:70" x14ac:dyDescent="0.3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3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35">
      <c r="B91" s="143"/>
      <c r="BF91" s="144"/>
    </row>
    <row r="92" spans="1:70" ht="18.5" x14ac:dyDescent="0.45">
      <c r="B92" s="1219" t="s">
        <v>1054</v>
      </c>
      <c r="C92" s="1220"/>
      <c r="D92" s="1220"/>
      <c r="E92" s="1220"/>
      <c r="F92" s="1220"/>
      <c r="G92" s="1220"/>
      <c r="H92" s="1220"/>
      <c r="I92" s="1220"/>
      <c r="J92" s="1220"/>
      <c r="K92" s="1220"/>
      <c r="L92" s="1220"/>
      <c r="M92" s="1220"/>
      <c r="N92" s="1220"/>
      <c r="O92" s="1220"/>
      <c r="P92" s="1220"/>
      <c r="Q92" s="1220"/>
      <c r="R92" s="1220"/>
      <c r="S92" s="1220"/>
      <c r="T92" s="1220"/>
      <c r="U92" s="1220"/>
      <c r="V92" s="1220"/>
      <c r="W92" s="1220"/>
      <c r="X92" s="1220"/>
      <c r="Y92" s="1220"/>
      <c r="Z92" s="1220"/>
      <c r="AA92" s="1220"/>
      <c r="AB92" s="1220"/>
      <c r="AC92" s="1220"/>
      <c r="AD92" s="1220"/>
      <c r="AE92" s="1220"/>
      <c r="AF92" s="1220"/>
      <c r="AG92" s="1220"/>
      <c r="AH92" s="1220"/>
      <c r="AI92" s="1220"/>
      <c r="AJ92" s="1220"/>
      <c r="AK92" s="1220"/>
      <c r="AL92" s="1220"/>
      <c r="AM92" s="1220"/>
      <c r="AN92" s="1220"/>
      <c r="AO92" s="1220"/>
      <c r="AP92" s="1220"/>
      <c r="AQ92" s="1220"/>
      <c r="AR92" s="1220"/>
      <c r="AS92" s="1220"/>
      <c r="AT92" s="1220"/>
      <c r="AU92" s="1220"/>
      <c r="AV92" s="1220"/>
      <c r="AW92" s="1220"/>
      <c r="AX92" s="1220"/>
      <c r="AY92" s="1220"/>
      <c r="AZ92" s="1220"/>
      <c r="BA92" s="1220"/>
      <c r="BB92" s="1220"/>
      <c r="BC92" s="1220"/>
      <c r="BD92" s="1220"/>
      <c r="BE92" s="1220"/>
      <c r="BF92" s="1221"/>
    </row>
    <row r="93" spans="1:70" ht="15" thickBot="1" x14ac:dyDescent="0.4">
      <c r="B93" s="143"/>
      <c r="BF93" s="144"/>
      <c r="BR93" s="301"/>
    </row>
    <row r="94" spans="1:70" ht="15" thickBot="1" x14ac:dyDescent="0.4">
      <c r="B94" s="143"/>
      <c r="D94" s="1256" t="s">
        <v>765</v>
      </c>
      <c r="E94" s="1226"/>
      <c r="F94" s="1226"/>
      <c r="G94" s="1226"/>
      <c r="H94" s="1226"/>
      <c r="I94" s="1226"/>
      <c r="J94" s="1226"/>
      <c r="K94" s="1225" t="s">
        <v>766</v>
      </c>
      <c r="L94" s="1226"/>
      <c r="M94" s="1226"/>
      <c r="N94" s="1226"/>
      <c r="O94" s="1226"/>
      <c r="P94" s="1226"/>
      <c r="Q94" s="1226"/>
      <c r="R94" s="1226"/>
      <c r="S94" s="1226"/>
      <c r="T94" s="1226"/>
      <c r="U94" s="1225" t="s">
        <v>826</v>
      </c>
      <c r="V94" s="1226"/>
      <c r="W94" s="1226"/>
      <c r="X94" s="1226"/>
      <c r="Y94" s="1226"/>
      <c r="Z94" s="1226"/>
      <c r="AA94" s="1226"/>
      <c r="AB94" s="1226"/>
      <c r="AC94" s="1226"/>
      <c r="AD94" s="1226"/>
      <c r="AE94" s="1226"/>
      <c r="AF94" s="1226"/>
      <c r="AG94" s="1226"/>
      <c r="AH94" s="1226"/>
      <c r="AI94" s="1226"/>
      <c r="AJ94" s="1225" t="s">
        <v>831</v>
      </c>
      <c r="AK94" s="1226"/>
      <c r="AL94" s="1226"/>
      <c r="AM94" s="1226"/>
      <c r="AN94" s="1226"/>
      <c r="AO94" s="1226"/>
      <c r="AP94" s="1226"/>
      <c r="AQ94" s="1226"/>
      <c r="AR94" s="1226"/>
      <c r="AS94" s="1226"/>
      <c r="AT94" s="1227"/>
      <c r="AU94" s="1225" t="s">
        <v>832</v>
      </c>
      <c r="AV94" s="1226"/>
      <c r="AW94" s="1226"/>
      <c r="AX94" s="1227"/>
      <c r="AY94" s="1225" t="s">
        <v>878</v>
      </c>
      <c r="AZ94" s="1226"/>
      <c r="BA94" s="1226"/>
      <c r="BB94" s="1226"/>
      <c r="BC94" s="1237"/>
      <c r="BF94" s="144"/>
    </row>
    <row r="95" spans="1:70" x14ac:dyDescent="0.35">
      <c r="B95" s="143"/>
      <c r="C95" s="689">
        <v>1</v>
      </c>
      <c r="D95" s="1255">
        <f>'Customer Inputs'!$B$6</f>
        <v>0</v>
      </c>
      <c r="E95" s="1255"/>
      <c r="F95" s="1255"/>
      <c r="G95" s="1255"/>
      <c r="H95" s="1255"/>
      <c r="I95" s="1255"/>
      <c r="J95" s="1255"/>
      <c r="K95" s="1242" t="str">
        <f>IFERROR(IFERROR('Multi-Customer'!$AU$37,VLOOKUP($D95,'Required Info to Submit'!$E$20:$J$29,2,FALSE)),"")</f>
        <v/>
      </c>
      <c r="L95" s="1242"/>
      <c r="M95" s="1242"/>
      <c r="N95" s="1242"/>
      <c r="O95" s="1242"/>
      <c r="P95" s="1242"/>
      <c r="Q95" s="1242"/>
      <c r="R95" s="1242"/>
      <c r="S95" s="1242"/>
      <c r="T95" s="1242"/>
      <c r="U95" s="1242" t="str">
        <f>IFERROR(IFERROR('Multi-Customer'!$AU$39&amp;" "&amp;'Multi-Customer'!$AU$40,VLOOKUP($D95,'Required Info to Submit'!$E$20:$J$29,3,FALSE)),"")</f>
        <v/>
      </c>
      <c r="V95" s="1242"/>
      <c r="W95" s="1242"/>
      <c r="X95" s="1242"/>
      <c r="Y95" s="1242"/>
      <c r="Z95" s="1242"/>
      <c r="AA95" s="1242"/>
      <c r="AB95" s="1242"/>
      <c r="AC95" s="1242"/>
      <c r="AD95" s="1242"/>
      <c r="AE95" s="1242"/>
      <c r="AF95" s="1242"/>
      <c r="AG95" s="1242"/>
      <c r="AH95" s="1242"/>
      <c r="AI95" s="1242"/>
      <c r="AJ95" s="1249" t="str">
        <f>IFERROR(IFERROR('Multi-Customer'!$AU$41,VLOOKUP($D95,'Required Info to Submit'!$E$20:$J$29,4,FALSE)),"")</f>
        <v/>
      </c>
      <c r="AK95" s="1250"/>
      <c r="AL95" s="1250"/>
      <c r="AM95" s="1250"/>
      <c r="AN95" s="1250"/>
      <c r="AO95" s="1250"/>
      <c r="AP95" s="1250"/>
      <c r="AQ95" s="1250"/>
      <c r="AR95" s="1250"/>
      <c r="AS95" s="1250"/>
      <c r="AT95" s="1251"/>
      <c r="AU95" s="1222" t="str">
        <f>IFERROR(IFERROR('Multi-Customer'!$AU$42,VLOOKUP($D95,'Required Info to Submit'!$E$20:$J$29,5,FALSE)),"")</f>
        <v/>
      </c>
      <c r="AV95" s="1223"/>
      <c r="AW95" s="1223"/>
      <c r="AX95" s="1224"/>
      <c r="AY95" s="1234" t="str">
        <f>IFERROR(IFERROR('Multi-Customer'!$AU$43,VLOOKUP($D95,'Required Info to Submit'!$E$20:$J$29,6,FALSE)),"")</f>
        <v/>
      </c>
      <c r="AZ95" s="1235"/>
      <c r="BA95" s="1235"/>
      <c r="BB95" s="1235"/>
      <c r="BC95" s="1236"/>
      <c r="BF95" s="144"/>
    </row>
    <row r="96" spans="1:70" x14ac:dyDescent="0.35">
      <c r="B96" s="143"/>
      <c r="C96" s="690">
        <v>2</v>
      </c>
      <c r="D96" s="1254">
        <f>'Customer Inputs'!$B$7</f>
        <v>0</v>
      </c>
      <c r="E96" s="1254"/>
      <c r="F96" s="1254"/>
      <c r="G96" s="1254"/>
      <c r="H96" s="1254"/>
      <c r="I96" s="1254"/>
      <c r="J96" s="1254"/>
      <c r="K96" s="1241" t="str">
        <f>IFERROR(IFERROR('Multi-Customer'!$BD$37,VLOOKUP($D96,'Required Info to Submit'!$E$20:$J$29,2,FALSE)),"")</f>
        <v/>
      </c>
      <c r="L96" s="1241"/>
      <c r="M96" s="1241"/>
      <c r="N96" s="1241"/>
      <c r="O96" s="1241"/>
      <c r="P96" s="1241"/>
      <c r="Q96" s="1241"/>
      <c r="R96" s="1241"/>
      <c r="S96" s="1241"/>
      <c r="T96" s="1241"/>
      <c r="U96" s="1241" t="str">
        <f>IFERROR(IFERROR('Multi-Customer'!$BD$39&amp;" "&amp;'Multi-Customer'!$BD$40,VLOOKUP($D96,'Required Info to Submit'!$E$20:$J$29,3,FALSE)),"")</f>
        <v/>
      </c>
      <c r="V96" s="1241"/>
      <c r="W96" s="1241"/>
      <c r="X96" s="1241"/>
      <c r="Y96" s="1241"/>
      <c r="Z96" s="1241"/>
      <c r="AA96" s="1241"/>
      <c r="AB96" s="1241"/>
      <c r="AC96" s="1241"/>
      <c r="AD96" s="1241"/>
      <c r="AE96" s="1241"/>
      <c r="AF96" s="1241"/>
      <c r="AG96" s="1241"/>
      <c r="AH96" s="1241"/>
      <c r="AI96" s="1241"/>
      <c r="AJ96" s="1246" t="str">
        <f>IFERROR(IFERROR('Multi-Customer'!$BD$41,VLOOKUP($D96,'Required Info to Submit'!$E$20:$J$29,4,FALSE)),"")</f>
        <v/>
      </c>
      <c r="AK96" s="1247"/>
      <c r="AL96" s="1247"/>
      <c r="AM96" s="1247"/>
      <c r="AN96" s="1247"/>
      <c r="AO96" s="1247"/>
      <c r="AP96" s="1247"/>
      <c r="AQ96" s="1247"/>
      <c r="AR96" s="1247"/>
      <c r="AS96" s="1247"/>
      <c r="AT96" s="1248"/>
      <c r="AU96" s="1169" t="str">
        <f>IFERROR(IFERROR('Multi-Customer'!$BD$42,VLOOKUP($D96,'Required Info to Submit'!$E$20:$J$29,5,FALSE)),"")</f>
        <v/>
      </c>
      <c r="AV96" s="1170"/>
      <c r="AW96" s="1170"/>
      <c r="AX96" s="1171"/>
      <c r="AY96" s="1231" t="str">
        <f>IFERROR(IFERROR('Multi-Customer'!$BD$43,VLOOKUP($D96,'Required Info to Submit'!$E$20:$J$29,6,FALSE)),"")</f>
        <v/>
      </c>
      <c r="AZ96" s="1232"/>
      <c r="BA96" s="1232"/>
      <c r="BB96" s="1232"/>
      <c r="BC96" s="1233"/>
      <c r="BF96" s="144"/>
    </row>
    <row r="97" spans="2:58" x14ac:dyDescent="0.35">
      <c r="B97" s="143"/>
      <c r="C97" s="690">
        <v>3</v>
      </c>
      <c r="D97" s="1254">
        <f>'Customer Inputs'!$B$8</f>
        <v>0</v>
      </c>
      <c r="E97" s="1254"/>
      <c r="F97" s="1254"/>
      <c r="G97" s="1254"/>
      <c r="H97" s="1254"/>
      <c r="I97" s="1254"/>
      <c r="J97" s="1254"/>
      <c r="K97" s="1241" t="str">
        <f>IFERROR(IFERROR('Multi-Customer'!$BM$37,VLOOKUP($D97,'Required Info to Submit'!$E$20:$J$29,2,FALSE)),"")</f>
        <v/>
      </c>
      <c r="L97" s="1241"/>
      <c r="M97" s="1241"/>
      <c r="N97" s="1241"/>
      <c r="O97" s="1241"/>
      <c r="P97" s="1241"/>
      <c r="Q97" s="1241"/>
      <c r="R97" s="1241"/>
      <c r="S97" s="1241"/>
      <c r="T97" s="1241"/>
      <c r="U97" s="1241" t="str">
        <f>IFERROR(IFERROR('Multi-Customer'!$BM$39&amp;" "&amp;'Multi-Customer'!$BM$40,VLOOKUP($D97,'Required Info to Submit'!$E$20:$J$29,3,FALSE)),"")</f>
        <v/>
      </c>
      <c r="V97" s="1241"/>
      <c r="W97" s="1241"/>
      <c r="X97" s="1241"/>
      <c r="Y97" s="1241"/>
      <c r="Z97" s="1241"/>
      <c r="AA97" s="1241"/>
      <c r="AB97" s="1241"/>
      <c r="AC97" s="1241"/>
      <c r="AD97" s="1241"/>
      <c r="AE97" s="1241"/>
      <c r="AF97" s="1241"/>
      <c r="AG97" s="1241"/>
      <c r="AH97" s="1241"/>
      <c r="AI97" s="1241"/>
      <c r="AJ97" s="1246" t="str">
        <f>IFERROR(IFERROR('Multi-Customer'!$BM$41,VLOOKUP($D97,'Required Info to Submit'!$E$20:$J$29,4,FALSE)),"")</f>
        <v/>
      </c>
      <c r="AK97" s="1247"/>
      <c r="AL97" s="1247"/>
      <c r="AM97" s="1247"/>
      <c r="AN97" s="1247"/>
      <c r="AO97" s="1247"/>
      <c r="AP97" s="1247"/>
      <c r="AQ97" s="1247"/>
      <c r="AR97" s="1247"/>
      <c r="AS97" s="1247"/>
      <c r="AT97" s="1248"/>
      <c r="AU97" s="1169" t="str">
        <f>IFERROR(IFERROR('Multi-Customer'!$BM$42,VLOOKUP($D97,'Required Info to Submit'!$E$20:$J$29,5,FALSE)),"")</f>
        <v/>
      </c>
      <c r="AV97" s="1170"/>
      <c r="AW97" s="1170"/>
      <c r="AX97" s="1171"/>
      <c r="AY97" s="1231" t="str">
        <f>IFERROR(IFERROR('Multi-Customer'!$BM$43,VLOOKUP($D97,'Required Info to Submit'!$E$20:$J$29,6,FALSE)),"")</f>
        <v/>
      </c>
      <c r="AZ97" s="1232"/>
      <c r="BA97" s="1232"/>
      <c r="BB97" s="1232"/>
      <c r="BC97" s="1233"/>
      <c r="BF97" s="144"/>
    </row>
    <row r="98" spans="2:58" x14ac:dyDescent="0.35">
      <c r="B98" s="143"/>
      <c r="C98" s="690">
        <v>4</v>
      </c>
      <c r="D98" s="1254">
        <f>'Customer Inputs'!$B$9</f>
        <v>0</v>
      </c>
      <c r="E98" s="1254"/>
      <c r="F98" s="1254"/>
      <c r="G98" s="1254"/>
      <c r="H98" s="1254"/>
      <c r="I98" s="1254"/>
      <c r="J98" s="1254"/>
      <c r="K98" s="1241" t="str">
        <f>IFERROR(IFERROR('Multi-Customer'!$BV$37,VLOOKUP($D98,'Required Info to Submit'!$E$20:$J$29,2,FALSE)),"")</f>
        <v/>
      </c>
      <c r="L98" s="1241"/>
      <c r="M98" s="1241"/>
      <c r="N98" s="1241"/>
      <c r="O98" s="1241"/>
      <c r="P98" s="1241"/>
      <c r="Q98" s="1241"/>
      <c r="R98" s="1241"/>
      <c r="S98" s="1241"/>
      <c r="T98" s="1241"/>
      <c r="U98" s="1241" t="str">
        <f>IFERROR(IFERROR('Multi-Customer'!$BV$39&amp;" "&amp;'Multi-Customer'!$BV$40,VLOOKUP($D98,'Required Info to Submit'!$E$20:$J$29,3,FALSE)),"")</f>
        <v/>
      </c>
      <c r="V98" s="1241"/>
      <c r="W98" s="1241"/>
      <c r="X98" s="1241"/>
      <c r="Y98" s="1241"/>
      <c r="Z98" s="1241"/>
      <c r="AA98" s="1241"/>
      <c r="AB98" s="1241"/>
      <c r="AC98" s="1241"/>
      <c r="AD98" s="1241"/>
      <c r="AE98" s="1241"/>
      <c r="AF98" s="1241"/>
      <c r="AG98" s="1241"/>
      <c r="AH98" s="1241"/>
      <c r="AI98" s="1241"/>
      <c r="AJ98" s="1246" t="str">
        <f>IFERROR(IFERROR('Multi-Customer'!$BV$41,VLOOKUP($D98,'Required Info to Submit'!$E$20:$J$29,4,FALSE)),"")</f>
        <v/>
      </c>
      <c r="AK98" s="1247"/>
      <c r="AL98" s="1247"/>
      <c r="AM98" s="1247"/>
      <c r="AN98" s="1247"/>
      <c r="AO98" s="1247"/>
      <c r="AP98" s="1247"/>
      <c r="AQ98" s="1247"/>
      <c r="AR98" s="1247"/>
      <c r="AS98" s="1247"/>
      <c r="AT98" s="1248"/>
      <c r="AU98" s="1169" t="str">
        <f>IFERROR(IFERROR('Multi-Customer'!$BV$42,VLOOKUP($D98,'Required Info to Submit'!$E$20:$J$29,5,FALSE)),"")</f>
        <v/>
      </c>
      <c r="AV98" s="1170"/>
      <c r="AW98" s="1170"/>
      <c r="AX98" s="1171"/>
      <c r="AY98" s="1231" t="str">
        <f>IFERROR(IFERROR('Multi-Customer'!$BV$43,VLOOKUP($D98,'Required Info to Submit'!$E$20:$J$29,6,FALSE)),"")</f>
        <v/>
      </c>
      <c r="AZ98" s="1232"/>
      <c r="BA98" s="1232"/>
      <c r="BB98" s="1232"/>
      <c r="BC98" s="1233"/>
      <c r="BF98" s="144"/>
    </row>
    <row r="99" spans="2:58" x14ac:dyDescent="0.35">
      <c r="B99" s="143"/>
      <c r="C99" s="690">
        <v>5</v>
      </c>
      <c r="D99" s="1254">
        <f>'Customer Inputs'!$B$10</f>
        <v>0</v>
      </c>
      <c r="E99" s="1254"/>
      <c r="F99" s="1254"/>
      <c r="G99" s="1254"/>
      <c r="H99" s="1254"/>
      <c r="I99" s="1254"/>
      <c r="J99" s="1254"/>
      <c r="K99" s="1241" t="str">
        <f>IFERROR(IFERROR('Multi-Customer'!$CE$37,VLOOKUP($D99,'Required Info to Submit'!$E$20:$J$29,2,FALSE)),"")</f>
        <v/>
      </c>
      <c r="L99" s="1241"/>
      <c r="M99" s="1241"/>
      <c r="N99" s="1241"/>
      <c r="O99" s="1241"/>
      <c r="P99" s="1241"/>
      <c r="Q99" s="1241"/>
      <c r="R99" s="1241"/>
      <c r="S99" s="1241"/>
      <c r="T99" s="1241"/>
      <c r="U99" s="1241" t="str">
        <f>IFERROR(IFERROR('Multi-Customer'!$CE$39&amp;" "&amp;'Multi-Customer'!$CE$40,VLOOKUP($D99,'Required Info to Submit'!$E$20:$J$29,3,FALSE)),"")</f>
        <v/>
      </c>
      <c r="V99" s="1241"/>
      <c r="W99" s="1241"/>
      <c r="X99" s="1241"/>
      <c r="Y99" s="1241"/>
      <c r="Z99" s="1241"/>
      <c r="AA99" s="1241"/>
      <c r="AB99" s="1241"/>
      <c r="AC99" s="1241"/>
      <c r="AD99" s="1241"/>
      <c r="AE99" s="1241"/>
      <c r="AF99" s="1241"/>
      <c r="AG99" s="1241"/>
      <c r="AH99" s="1241"/>
      <c r="AI99" s="1241"/>
      <c r="AJ99" s="1246" t="str">
        <f>IFERROR(IFERROR('Multi-Customer'!$CE$41,VLOOKUP($D99,'Required Info to Submit'!$E$20:$J$29,4,FALSE)),"")</f>
        <v/>
      </c>
      <c r="AK99" s="1247"/>
      <c r="AL99" s="1247"/>
      <c r="AM99" s="1247"/>
      <c r="AN99" s="1247"/>
      <c r="AO99" s="1247"/>
      <c r="AP99" s="1247"/>
      <c r="AQ99" s="1247"/>
      <c r="AR99" s="1247"/>
      <c r="AS99" s="1247"/>
      <c r="AT99" s="1248"/>
      <c r="AU99" s="1169" t="str">
        <f>IFERROR(IFERROR('Multi-Customer'!$CE$42,VLOOKUP($D99,'Required Info to Submit'!$E$20:$J$29,5,FALSE)),"")</f>
        <v/>
      </c>
      <c r="AV99" s="1170"/>
      <c r="AW99" s="1170"/>
      <c r="AX99" s="1171"/>
      <c r="AY99" s="1231" t="str">
        <f>IFERROR(IFERROR('Multi-Customer'!$CE$43,VLOOKUP($D99,'Required Info to Submit'!$E$20:$J$29,6,FALSE)),"")</f>
        <v/>
      </c>
      <c r="AZ99" s="1232"/>
      <c r="BA99" s="1232"/>
      <c r="BB99" s="1232"/>
      <c r="BC99" s="1233"/>
      <c r="BF99" s="144"/>
    </row>
    <row r="100" spans="2:58" x14ac:dyDescent="0.35">
      <c r="B100" s="143"/>
      <c r="C100" s="690">
        <v>6</v>
      </c>
      <c r="D100" s="1254">
        <f>'Customer Inputs'!$B$11</f>
        <v>0</v>
      </c>
      <c r="E100" s="1254"/>
      <c r="F100" s="1254"/>
      <c r="G100" s="1254"/>
      <c r="H100" s="1254"/>
      <c r="I100" s="1254"/>
      <c r="J100" s="1254"/>
      <c r="K100" s="1241" t="str">
        <f>IFERROR(IFERROR('Multi-Customer'!$CN$37,VLOOKUP($D100,'Required Info to Submit'!$E$20:$J$29,2,FALSE)),"")</f>
        <v/>
      </c>
      <c r="L100" s="1241"/>
      <c r="M100" s="1241"/>
      <c r="N100" s="1241"/>
      <c r="O100" s="1241"/>
      <c r="P100" s="1241"/>
      <c r="Q100" s="1241"/>
      <c r="R100" s="1241"/>
      <c r="S100" s="1241"/>
      <c r="T100" s="1241"/>
      <c r="U100" s="1241" t="str">
        <f>IFERROR(IFERROR('Multi-Customer'!$CN$39&amp;" "&amp;'Multi-Customer'!$CN$40,VLOOKUP($D100,'Required Info to Submit'!$E$20:$J$29,3,FALSE)),"")</f>
        <v/>
      </c>
      <c r="V100" s="1241"/>
      <c r="W100" s="1241"/>
      <c r="X100" s="1241"/>
      <c r="Y100" s="1241"/>
      <c r="Z100" s="1241"/>
      <c r="AA100" s="1241"/>
      <c r="AB100" s="1241"/>
      <c r="AC100" s="1241"/>
      <c r="AD100" s="1241"/>
      <c r="AE100" s="1241"/>
      <c r="AF100" s="1241"/>
      <c r="AG100" s="1241"/>
      <c r="AH100" s="1241"/>
      <c r="AI100" s="1241"/>
      <c r="AJ100" s="1246" t="str">
        <f>IFERROR(IFERROR('Multi-Customer'!$CN$41,VLOOKUP($D100,'Required Info to Submit'!$E$20:$J$29,4,FALSE)),"")</f>
        <v/>
      </c>
      <c r="AK100" s="1247"/>
      <c r="AL100" s="1247"/>
      <c r="AM100" s="1247"/>
      <c r="AN100" s="1247"/>
      <c r="AO100" s="1247"/>
      <c r="AP100" s="1247"/>
      <c r="AQ100" s="1247"/>
      <c r="AR100" s="1247"/>
      <c r="AS100" s="1247"/>
      <c r="AT100" s="1248"/>
      <c r="AU100" s="1169" t="str">
        <f>IFERROR(IFERROR('Multi-Customer'!$CN$42,VLOOKUP($D100,'Required Info to Submit'!$E$20:$J$29,5,FALSE)),"")</f>
        <v/>
      </c>
      <c r="AV100" s="1170"/>
      <c r="AW100" s="1170"/>
      <c r="AX100" s="1171"/>
      <c r="AY100" s="1231" t="str">
        <f>IFERROR(IFERROR('Multi-Customer'!$CN$43,VLOOKUP($D100,'Required Info to Submit'!$E$20:$J$29,6,FALSE)),"")</f>
        <v/>
      </c>
      <c r="AZ100" s="1232"/>
      <c r="BA100" s="1232"/>
      <c r="BB100" s="1232"/>
      <c r="BC100" s="1233"/>
      <c r="BF100" s="144"/>
    </row>
    <row r="101" spans="2:58" x14ac:dyDescent="0.35">
      <c r="B101" s="143"/>
      <c r="C101" s="690">
        <v>7</v>
      </c>
      <c r="D101" s="1254">
        <f>'Customer Inputs'!$B$12</f>
        <v>0</v>
      </c>
      <c r="E101" s="1254"/>
      <c r="F101" s="1254"/>
      <c r="G101" s="1254"/>
      <c r="H101" s="1254"/>
      <c r="I101" s="1254"/>
      <c r="J101" s="1254"/>
      <c r="K101" s="1241" t="str">
        <f>IFERROR(IFERROR('Multi-Customer'!$CW$37,VLOOKUP($D101,'Required Info to Submit'!$E$20:$J$29,2,FALSE)),"")</f>
        <v/>
      </c>
      <c r="L101" s="1241"/>
      <c r="M101" s="1241"/>
      <c r="N101" s="1241"/>
      <c r="O101" s="1241"/>
      <c r="P101" s="1241"/>
      <c r="Q101" s="1241"/>
      <c r="R101" s="1241"/>
      <c r="S101" s="1241"/>
      <c r="T101" s="1241"/>
      <c r="U101" s="1241" t="str">
        <f>IFERROR(IFERROR('Multi-Customer'!$CW$39&amp;" "&amp;'Multi-Customer'!$CW$40,VLOOKUP($D101,'Required Info to Submit'!$E$20:$J$29,3,FALSE)),"")</f>
        <v/>
      </c>
      <c r="V101" s="1241"/>
      <c r="W101" s="1241"/>
      <c r="X101" s="1241"/>
      <c r="Y101" s="1241"/>
      <c r="Z101" s="1241"/>
      <c r="AA101" s="1241"/>
      <c r="AB101" s="1241"/>
      <c r="AC101" s="1241"/>
      <c r="AD101" s="1241"/>
      <c r="AE101" s="1241"/>
      <c r="AF101" s="1241"/>
      <c r="AG101" s="1241"/>
      <c r="AH101" s="1241"/>
      <c r="AI101" s="1241"/>
      <c r="AJ101" s="1246" t="str">
        <f>IFERROR(IFERROR('Multi-Customer'!$CW$41,VLOOKUP($D101,'Required Info to Submit'!$E$20:$J$29,4,FALSE)),"")</f>
        <v/>
      </c>
      <c r="AK101" s="1247"/>
      <c r="AL101" s="1247"/>
      <c r="AM101" s="1247"/>
      <c r="AN101" s="1247"/>
      <c r="AO101" s="1247"/>
      <c r="AP101" s="1247"/>
      <c r="AQ101" s="1247"/>
      <c r="AR101" s="1247"/>
      <c r="AS101" s="1247"/>
      <c r="AT101" s="1248"/>
      <c r="AU101" s="1169" t="str">
        <f>IFERROR(IFERROR('Multi-Customer'!$CW$42,VLOOKUP($D101,'Required Info to Submit'!$E$20:$J$29,5,FALSE)),"")</f>
        <v/>
      </c>
      <c r="AV101" s="1170"/>
      <c r="AW101" s="1170"/>
      <c r="AX101" s="1171"/>
      <c r="AY101" s="1231" t="str">
        <f>IFERROR(IFERROR('Multi-Customer'!$CW$43,VLOOKUP($D101,'Required Info to Submit'!$E$20:$J$29,6,FALSE)),"")</f>
        <v/>
      </c>
      <c r="AZ101" s="1232"/>
      <c r="BA101" s="1232"/>
      <c r="BB101" s="1232"/>
      <c r="BC101" s="1233"/>
      <c r="BF101" s="144"/>
    </row>
    <row r="102" spans="2:58" x14ac:dyDescent="0.35">
      <c r="B102" s="143"/>
      <c r="C102" s="690">
        <v>8</v>
      </c>
      <c r="D102" s="1254">
        <f>'Customer Inputs'!$B$13</f>
        <v>0</v>
      </c>
      <c r="E102" s="1254"/>
      <c r="F102" s="1254"/>
      <c r="G102" s="1254"/>
      <c r="H102" s="1254"/>
      <c r="I102" s="1254"/>
      <c r="J102" s="1254"/>
      <c r="K102" s="1241" t="str">
        <f>IFERROR(IFERROR('Multi-Customer'!$DF$37,VLOOKUP($D102,'Required Info to Submit'!$E$20:$J$29,2,FALSE)),"")</f>
        <v/>
      </c>
      <c r="L102" s="1241"/>
      <c r="M102" s="1241"/>
      <c r="N102" s="1241"/>
      <c r="O102" s="1241"/>
      <c r="P102" s="1241"/>
      <c r="Q102" s="1241"/>
      <c r="R102" s="1241"/>
      <c r="S102" s="1241"/>
      <c r="T102" s="1241"/>
      <c r="U102" s="1241" t="str">
        <f>IFERROR(IFERROR('Multi-Customer'!$DF$39&amp;" "&amp;'Multi-Customer'!$DF$40,VLOOKUP($D102,'Required Info to Submit'!$E$20:$J$29,3,FALSE)),"")</f>
        <v/>
      </c>
      <c r="V102" s="1241"/>
      <c r="W102" s="1241"/>
      <c r="X102" s="1241"/>
      <c r="Y102" s="1241"/>
      <c r="Z102" s="1241"/>
      <c r="AA102" s="1241"/>
      <c r="AB102" s="1241"/>
      <c r="AC102" s="1241"/>
      <c r="AD102" s="1241"/>
      <c r="AE102" s="1241"/>
      <c r="AF102" s="1241"/>
      <c r="AG102" s="1241"/>
      <c r="AH102" s="1241"/>
      <c r="AI102" s="1241"/>
      <c r="AJ102" s="1246" t="str">
        <f>IFERROR(IFERROR('Multi-Customer'!$DF$41,VLOOKUP($D102,'Required Info to Submit'!$E$20:$J$29,4,FALSE)),"")</f>
        <v/>
      </c>
      <c r="AK102" s="1247"/>
      <c r="AL102" s="1247"/>
      <c r="AM102" s="1247"/>
      <c r="AN102" s="1247"/>
      <c r="AO102" s="1247"/>
      <c r="AP102" s="1247"/>
      <c r="AQ102" s="1247"/>
      <c r="AR102" s="1247"/>
      <c r="AS102" s="1247"/>
      <c r="AT102" s="1248"/>
      <c r="AU102" s="1169" t="str">
        <f>IFERROR(IFERROR('Multi-Customer'!$DF$42,VLOOKUP($D102,'Required Info to Submit'!$E$20:$J$29,5,FALSE)),"")</f>
        <v/>
      </c>
      <c r="AV102" s="1170"/>
      <c r="AW102" s="1170"/>
      <c r="AX102" s="1171"/>
      <c r="AY102" s="1231" t="str">
        <f>IFERROR(IFERROR('Multi-Customer'!$DF$43,VLOOKUP($D102,'Required Info to Submit'!$E$20:$J$29,6,FALSE)),"")</f>
        <v/>
      </c>
      <c r="AZ102" s="1232"/>
      <c r="BA102" s="1232"/>
      <c r="BB102" s="1232"/>
      <c r="BC102" s="1233"/>
      <c r="BF102" s="144"/>
    </row>
    <row r="103" spans="2:58" x14ac:dyDescent="0.35">
      <c r="B103" s="143"/>
      <c r="C103" s="690">
        <v>9</v>
      </c>
      <c r="D103" s="1254">
        <f>'Customer Inputs'!$B$14</f>
        <v>0</v>
      </c>
      <c r="E103" s="1254"/>
      <c r="F103" s="1254"/>
      <c r="G103" s="1254"/>
      <c r="H103" s="1254"/>
      <c r="I103" s="1254"/>
      <c r="J103" s="1254"/>
      <c r="K103" s="1241" t="str">
        <f>IFERROR(IFERROR('Multi-Customer'!$DO$37,VLOOKUP($D103,'Required Info to Submit'!$E$20:$J$29,2,FALSE)),"")</f>
        <v/>
      </c>
      <c r="L103" s="1241"/>
      <c r="M103" s="1241"/>
      <c r="N103" s="1241"/>
      <c r="O103" s="1241"/>
      <c r="P103" s="1241"/>
      <c r="Q103" s="1241"/>
      <c r="R103" s="1241"/>
      <c r="S103" s="1241"/>
      <c r="T103" s="1241"/>
      <c r="U103" s="1241" t="str">
        <f>IFERROR(IFERROR('Multi-Customer'!$DO$39&amp;" "&amp;'Multi-Customer'!$DO$40,VLOOKUP($D103,'Required Info to Submit'!$E$20:$J$29,3,FALSE)),"")</f>
        <v/>
      </c>
      <c r="V103" s="1241"/>
      <c r="W103" s="1241"/>
      <c r="X103" s="1241"/>
      <c r="Y103" s="1241"/>
      <c r="Z103" s="1241"/>
      <c r="AA103" s="1241"/>
      <c r="AB103" s="1241"/>
      <c r="AC103" s="1241"/>
      <c r="AD103" s="1241"/>
      <c r="AE103" s="1241"/>
      <c r="AF103" s="1241"/>
      <c r="AG103" s="1241"/>
      <c r="AH103" s="1241"/>
      <c r="AI103" s="1241"/>
      <c r="AJ103" s="1246" t="str">
        <f>IFERROR(IFERROR('Multi-Customer'!$DO$41,VLOOKUP($D103,'Required Info to Submit'!$E$20:$J$29,4,FALSE)),"")</f>
        <v/>
      </c>
      <c r="AK103" s="1247"/>
      <c r="AL103" s="1247"/>
      <c r="AM103" s="1247"/>
      <c r="AN103" s="1247"/>
      <c r="AO103" s="1247"/>
      <c r="AP103" s="1247"/>
      <c r="AQ103" s="1247"/>
      <c r="AR103" s="1247"/>
      <c r="AS103" s="1247"/>
      <c r="AT103" s="1248"/>
      <c r="AU103" s="1169" t="str">
        <f>IFERROR(IFERROR('Multi-Customer'!$DO$42,VLOOKUP($D103,'Required Info to Submit'!$E$20:$J$29,5,FALSE)),"")</f>
        <v/>
      </c>
      <c r="AV103" s="1170"/>
      <c r="AW103" s="1170"/>
      <c r="AX103" s="1171"/>
      <c r="AY103" s="1231" t="str">
        <f>IFERROR(IFERROR('Multi-Customer'!$DO$43,VLOOKUP($D103,'Required Info to Submit'!$E$20:$J$29,6,FALSE)),"")</f>
        <v/>
      </c>
      <c r="AZ103" s="1232"/>
      <c r="BA103" s="1232"/>
      <c r="BB103" s="1232"/>
      <c r="BC103" s="1233"/>
      <c r="BF103" s="144"/>
    </row>
    <row r="104" spans="2:58" ht="15" thickBot="1" x14ac:dyDescent="0.4">
      <c r="B104" s="143"/>
      <c r="C104" s="691">
        <v>10</v>
      </c>
      <c r="D104" s="1253">
        <f>'Customer Inputs'!$B$15</f>
        <v>0</v>
      </c>
      <c r="E104" s="1253"/>
      <c r="F104" s="1253"/>
      <c r="G104" s="1253"/>
      <c r="H104" s="1253"/>
      <c r="I104" s="1253"/>
      <c r="J104" s="1253"/>
      <c r="K104" s="1252" t="str">
        <f>IFERROR(IFERROR('Multi-Customer'!$DX$37,VLOOKUP($D104,'Required Info to Submit'!$E$20:$J$29,2,FALSE)),"")</f>
        <v/>
      </c>
      <c r="L104" s="1252"/>
      <c r="M104" s="1252"/>
      <c r="N104" s="1252"/>
      <c r="O104" s="1252"/>
      <c r="P104" s="1252"/>
      <c r="Q104" s="1252"/>
      <c r="R104" s="1252"/>
      <c r="S104" s="1252"/>
      <c r="T104" s="1252"/>
      <c r="U104" s="1252" t="str">
        <f>IFERROR(IFERROR('Multi-Customer'!$DX$39&amp;" "&amp;'Multi-Customer'!$DX$40,VLOOKUP($D104,'Required Info to Submit'!$E$20:$J$29,3,FALSE)),"")</f>
        <v/>
      </c>
      <c r="V104" s="1252"/>
      <c r="W104" s="1252"/>
      <c r="X104" s="1252"/>
      <c r="Y104" s="1252"/>
      <c r="Z104" s="1252"/>
      <c r="AA104" s="1252"/>
      <c r="AB104" s="1252"/>
      <c r="AC104" s="1252"/>
      <c r="AD104" s="1252"/>
      <c r="AE104" s="1252"/>
      <c r="AF104" s="1252"/>
      <c r="AG104" s="1252"/>
      <c r="AH104" s="1252"/>
      <c r="AI104" s="1252"/>
      <c r="AJ104" s="1243" t="str">
        <f>IFERROR(IFERROR('Multi-Customer'!$DX$41,VLOOKUP($D104,'Required Info to Submit'!$E$20:$J$29,4,FALSE)),"")</f>
        <v/>
      </c>
      <c r="AK104" s="1244"/>
      <c r="AL104" s="1244"/>
      <c r="AM104" s="1244"/>
      <c r="AN104" s="1244"/>
      <c r="AO104" s="1244"/>
      <c r="AP104" s="1244"/>
      <c r="AQ104" s="1244"/>
      <c r="AR104" s="1244"/>
      <c r="AS104" s="1244"/>
      <c r="AT104" s="1245"/>
      <c r="AU104" s="1238" t="str">
        <f>IFERROR(IFERROR('Multi-Customer'!$DX$42,VLOOKUP($D104,'Required Info to Submit'!$E$20:$J$29,5,FALSE)),"")</f>
        <v/>
      </c>
      <c r="AV104" s="1239"/>
      <c r="AW104" s="1239"/>
      <c r="AX104" s="1240"/>
      <c r="AY104" s="1228" t="str">
        <f>IFERROR(IFERROR('Multi-Customer'!$DX$43,VLOOKUP($D104,'Required Info to Submit'!$E$20:$J$29,6,FALSE)),"")</f>
        <v/>
      </c>
      <c r="AZ104" s="1229"/>
      <c r="BA104" s="1229"/>
      <c r="BB104" s="1229"/>
      <c r="BC104" s="1230"/>
      <c r="BF104" s="144"/>
    </row>
    <row r="105" spans="2:58" x14ac:dyDescent="0.35">
      <c r="B105" s="143"/>
      <c r="BF105" s="144"/>
    </row>
    <row r="106" spans="2:58" x14ac:dyDescent="0.35">
      <c r="B106" s="143"/>
      <c r="BF106" s="144"/>
    </row>
    <row r="107" spans="2:58" ht="18.5" x14ac:dyDescent="0.45">
      <c r="B107" s="1219" t="s">
        <v>1062</v>
      </c>
      <c r="C107" s="1220"/>
      <c r="D107" s="1220"/>
      <c r="E107" s="1220"/>
      <c r="F107" s="1220"/>
      <c r="G107" s="1220"/>
      <c r="H107" s="1220"/>
      <c r="I107" s="1220"/>
      <c r="J107" s="1220"/>
      <c r="K107" s="1220"/>
      <c r="L107" s="1220"/>
      <c r="M107" s="1220"/>
      <c r="N107" s="1220"/>
      <c r="O107" s="1220"/>
      <c r="P107" s="1220"/>
      <c r="Q107" s="1220"/>
      <c r="R107" s="1220"/>
      <c r="S107" s="1220"/>
      <c r="T107" s="1220"/>
      <c r="U107" s="1220"/>
      <c r="V107" s="1220"/>
      <c r="W107" s="1220"/>
      <c r="X107" s="1220"/>
      <c r="Y107" s="1220"/>
      <c r="Z107" s="1220"/>
      <c r="AA107" s="1220"/>
      <c r="AB107" s="1220"/>
      <c r="AC107" s="1220"/>
      <c r="AD107" s="1220"/>
      <c r="AE107" s="1220"/>
      <c r="AF107" s="1220"/>
      <c r="AG107" s="1220"/>
      <c r="AH107" s="1220"/>
      <c r="AI107" s="1220"/>
      <c r="AJ107" s="1220"/>
      <c r="AK107" s="1220"/>
      <c r="AL107" s="1220"/>
      <c r="AM107" s="1220"/>
      <c r="AN107" s="1220"/>
      <c r="AO107" s="1220"/>
      <c r="AP107" s="1220"/>
      <c r="AQ107" s="1220"/>
      <c r="AR107" s="1220"/>
      <c r="AS107" s="1220"/>
      <c r="AT107" s="1220"/>
      <c r="AU107" s="1220"/>
      <c r="AV107" s="1220"/>
      <c r="AW107" s="1220"/>
      <c r="AX107" s="1220"/>
      <c r="AY107" s="1220"/>
      <c r="AZ107" s="1220"/>
      <c r="BA107" s="1220"/>
      <c r="BB107" s="1220"/>
      <c r="BC107" s="1220"/>
      <c r="BD107" s="1220"/>
      <c r="BE107" s="1220"/>
      <c r="BF107" s="1221"/>
    </row>
    <row r="108" spans="2:58" ht="15" thickBot="1" x14ac:dyDescent="0.4">
      <c r="B108" s="143"/>
      <c r="BF108" s="144"/>
    </row>
    <row r="109" spans="2:58" ht="29.5" customHeight="1" thickBot="1" x14ac:dyDescent="0.4">
      <c r="B109" s="740" t="s">
        <v>1055</v>
      </c>
      <c r="D109" s="272"/>
      <c r="E109" s="272"/>
      <c r="F109" s="272"/>
      <c r="G109" s="272"/>
      <c r="H109" s="272"/>
      <c r="I109" s="272"/>
      <c r="J109" s="272"/>
      <c r="K109" s="272"/>
      <c r="L109" s="272"/>
      <c r="M109" s="272"/>
      <c r="N109" s="272"/>
      <c r="O109" s="272"/>
      <c r="P109" s="272"/>
      <c r="Q109" s="272"/>
      <c r="R109" s="272"/>
      <c r="S109" s="272"/>
      <c r="T109" s="272"/>
      <c r="U109" s="1307" t="s">
        <v>1063</v>
      </c>
      <c r="V109" s="1308"/>
      <c r="W109" s="1308"/>
      <c r="X109" s="1308"/>
      <c r="Y109" s="1308"/>
      <c r="Z109" s="1308" t="s">
        <v>1056</v>
      </c>
      <c r="AA109" s="1308"/>
      <c r="AB109" s="1308"/>
      <c r="AC109" s="1308"/>
      <c r="AD109" s="1308"/>
      <c r="AE109" s="1308"/>
      <c r="AF109" s="1308" t="s">
        <v>1057</v>
      </c>
      <c r="AG109" s="1308"/>
      <c r="AH109" s="1308"/>
      <c r="AI109" s="1308"/>
      <c r="AJ109" s="1308"/>
      <c r="AK109" s="1308"/>
      <c r="AL109" s="1308"/>
      <c r="AM109" s="1308" t="s">
        <v>1060</v>
      </c>
      <c r="AN109" s="1308"/>
      <c r="AO109" s="1308"/>
      <c r="AP109" s="1308"/>
      <c r="AQ109" s="1308"/>
      <c r="AR109" s="1308"/>
      <c r="AS109" s="1334"/>
      <c r="AT109" s="272"/>
      <c r="AU109" s="272"/>
      <c r="AV109" s="272"/>
      <c r="AW109" s="272"/>
      <c r="AX109" s="272"/>
      <c r="AY109" s="272"/>
      <c r="AZ109" s="272"/>
      <c r="BA109" s="272"/>
      <c r="BB109" s="272"/>
      <c r="BC109" s="272"/>
      <c r="BD109" s="272"/>
      <c r="BE109" s="272"/>
      <c r="BF109" s="695"/>
    </row>
    <row r="110" spans="2:58" x14ac:dyDescent="0.35">
      <c r="B110" s="143"/>
      <c r="D110" s="1303" t="s">
        <v>99</v>
      </c>
      <c r="E110" s="1242"/>
      <c r="F110" s="1242"/>
      <c r="G110" s="1242"/>
      <c r="H110" s="1242"/>
      <c r="I110" s="1242"/>
      <c r="J110" s="1242"/>
      <c r="K110" s="1242"/>
      <c r="L110" s="1242"/>
      <c r="M110" s="1242"/>
      <c r="N110" s="1242"/>
      <c r="O110" s="1242"/>
      <c r="P110" s="1242"/>
      <c r="Q110" s="1242"/>
      <c r="R110" s="1242"/>
      <c r="S110" s="1242"/>
      <c r="T110" s="1304"/>
      <c r="U110" s="1312" t="str">
        <f>IF('PIM Model'!$B$10=0,"",'PIM Model'!$B$10)</f>
        <v/>
      </c>
      <c r="V110" s="1309"/>
      <c r="W110" s="1309"/>
      <c r="X110" s="1309"/>
      <c r="Y110" s="1309"/>
      <c r="Z110" s="1309" t="str">
        <f>'PIM Model'!$AF$10</f>
        <v/>
      </c>
      <c r="AA110" s="1309"/>
      <c r="AB110" s="1309"/>
      <c r="AC110" s="1309"/>
      <c r="AD110" s="1309"/>
      <c r="AE110" s="1309"/>
      <c r="AF110" s="1321" t="str">
        <f>'PIM Model'!$AG$10</f>
        <v/>
      </c>
      <c r="AG110" s="1322"/>
      <c r="AH110" s="1322"/>
      <c r="AI110" s="1322"/>
      <c r="AJ110" s="1322"/>
      <c r="AK110" s="1322"/>
      <c r="AL110" s="1323"/>
      <c r="AM110" s="1321" t="str">
        <f>'PIM Model'!$AH$10</f>
        <v/>
      </c>
      <c r="AN110" s="1322"/>
      <c r="AO110" s="1322"/>
      <c r="AP110" s="1322"/>
      <c r="AQ110" s="1322"/>
      <c r="AR110" s="1322"/>
      <c r="AS110" s="1335"/>
      <c r="BF110" s="144"/>
    </row>
    <row r="111" spans="2:58" x14ac:dyDescent="0.35">
      <c r="B111" s="143"/>
      <c r="D111" s="1305" t="s">
        <v>529</v>
      </c>
      <c r="E111" s="1241"/>
      <c r="F111" s="1241"/>
      <c r="G111" s="1241"/>
      <c r="H111" s="1241"/>
      <c r="I111" s="1241"/>
      <c r="J111" s="1241"/>
      <c r="K111" s="1241"/>
      <c r="L111" s="1241"/>
      <c r="M111" s="1241"/>
      <c r="N111" s="1241"/>
      <c r="O111" s="1241"/>
      <c r="P111" s="1241"/>
      <c r="Q111" s="1241"/>
      <c r="R111" s="1241"/>
      <c r="S111" s="1241"/>
      <c r="T111" s="1306"/>
      <c r="U111" s="1313" t="str">
        <f>IF('PIM Model'!$B$11=0,"",'PIM Model'!$B$11)</f>
        <v/>
      </c>
      <c r="V111" s="1168"/>
      <c r="W111" s="1168"/>
      <c r="X111" s="1168"/>
      <c r="Y111" s="1168"/>
      <c r="Z111" s="1168" t="str">
        <f>'PIM Model'!$AF$11</f>
        <v/>
      </c>
      <c r="AA111" s="1168"/>
      <c r="AB111" s="1168"/>
      <c r="AC111" s="1168"/>
      <c r="AD111" s="1168"/>
      <c r="AE111" s="1168"/>
      <c r="AF111" s="1231" t="str">
        <f>'PIM Model'!$AG$11</f>
        <v/>
      </c>
      <c r="AG111" s="1232"/>
      <c r="AH111" s="1232"/>
      <c r="AI111" s="1232"/>
      <c r="AJ111" s="1232"/>
      <c r="AK111" s="1232"/>
      <c r="AL111" s="1317"/>
      <c r="AM111" s="1231" t="str">
        <f>'PIM Model'!$AH$11</f>
        <v/>
      </c>
      <c r="AN111" s="1232"/>
      <c r="AO111" s="1232"/>
      <c r="AP111" s="1232"/>
      <c r="AQ111" s="1232"/>
      <c r="AR111" s="1232"/>
      <c r="AS111" s="1233"/>
      <c r="BF111" s="144"/>
    </row>
    <row r="112" spans="2:58" x14ac:dyDescent="0.35">
      <c r="B112" s="143"/>
      <c r="D112" s="1305" t="s">
        <v>530</v>
      </c>
      <c r="E112" s="1241"/>
      <c r="F112" s="1241"/>
      <c r="G112" s="1241"/>
      <c r="H112" s="1241"/>
      <c r="I112" s="1241"/>
      <c r="J112" s="1241"/>
      <c r="K112" s="1241"/>
      <c r="L112" s="1241"/>
      <c r="M112" s="1241"/>
      <c r="N112" s="1241"/>
      <c r="O112" s="1241"/>
      <c r="P112" s="1241"/>
      <c r="Q112" s="1241"/>
      <c r="R112" s="1241"/>
      <c r="S112" s="1241"/>
      <c r="T112" s="1306"/>
      <c r="U112" s="1313" t="str">
        <f>IF('PIM Model'!$B$12=0,"",'PIM Model'!$B$12)</f>
        <v/>
      </c>
      <c r="V112" s="1168"/>
      <c r="W112" s="1168"/>
      <c r="X112" s="1168"/>
      <c r="Y112" s="1168"/>
      <c r="Z112" s="1168" t="str">
        <f>'PIM Model'!$AF$12</f>
        <v/>
      </c>
      <c r="AA112" s="1168"/>
      <c r="AB112" s="1168"/>
      <c r="AC112" s="1168"/>
      <c r="AD112" s="1168"/>
      <c r="AE112" s="1168"/>
      <c r="AF112" s="1231" t="str">
        <f>'PIM Model'!$AG$12</f>
        <v/>
      </c>
      <c r="AG112" s="1232"/>
      <c r="AH112" s="1232"/>
      <c r="AI112" s="1232"/>
      <c r="AJ112" s="1232"/>
      <c r="AK112" s="1232"/>
      <c r="AL112" s="1317"/>
      <c r="AM112" s="1231" t="str">
        <f>'PIM Model'!$AH$12</f>
        <v/>
      </c>
      <c r="AN112" s="1232"/>
      <c r="AO112" s="1232"/>
      <c r="AP112" s="1232"/>
      <c r="AQ112" s="1232"/>
      <c r="AR112" s="1232"/>
      <c r="AS112" s="1233"/>
      <c r="BF112" s="144"/>
    </row>
    <row r="113" spans="2:58" x14ac:dyDescent="0.35">
      <c r="B113" s="143"/>
      <c r="D113" s="1305" t="s">
        <v>102</v>
      </c>
      <c r="E113" s="1241"/>
      <c r="F113" s="1241"/>
      <c r="G113" s="1241"/>
      <c r="H113" s="1241"/>
      <c r="I113" s="1241"/>
      <c r="J113" s="1241"/>
      <c r="K113" s="1241"/>
      <c r="L113" s="1241"/>
      <c r="M113" s="1241"/>
      <c r="N113" s="1241"/>
      <c r="O113" s="1241"/>
      <c r="P113" s="1241"/>
      <c r="Q113" s="1241"/>
      <c r="R113" s="1241"/>
      <c r="S113" s="1241"/>
      <c r="T113" s="1306"/>
      <c r="U113" s="1313" t="str">
        <f>IF('PIM Model'!$B$13=0,"",'PIM Model'!$B$13)</f>
        <v/>
      </c>
      <c r="V113" s="1168"/>
      <c r="W113" s="1168"/>
      <c r="X113" s="1168"/>
      <c r="Y113" s="1168"/>
      <c r="Z113" s="1168" t="str">
        <f>'PIM Model'!$AF$13</f>
        <v/>
      </c>
      <c r="AA113" s="1168"/>
      <c r="AB113" s="1168"/>
      <c r="AC113" s="1168"/>
      <c r="AD113" s="1168"/>
      <c r="AE113" s="1168"/>
      <c r="AF113" s="1231" t="str">
        <f>'PIM Model'!$AG$13</f>
        <v/>
      </c>
      <c r="AG113" s="1232"/>
      <c r="AH113" s="1232"/>
      <c r="AI113" s="1232"/>
      <c r="AJ113" s="1232"/>
      <c r="AK113" s="1232"/>
      <c r="AL113" s="1317"/>
      <c r="AM113" s="1231" t="str">
        <f>'PIM Model'!$AH$13</f>
        <v/>
      </c>
      <c r="AN113" s="1232"/>
      <c r="AO113" s="1232"/>
      <c r="AP113" s="1232"/>
      <c r="AQ113" s="1232"/>
      <c r="AR113" s="1232"/>
      <c r="AS113" s="1233"/>
      <c r="BF113" s="144"/>
    </row>
    <row r="114" spans="2:58" x14ac:dyDescent="0.35">
      <c r="B114" s="143"/>
      <c r="D114" s="1305" t="s">
        <v>100</v>
      </c>
      <c r="E114" s="1241"/>
      <c r="F114" s="1241"/>
      <c r="G114" s="1241"/>
      <c r="H114" s="1241"/>
      <c r="I114" s="1241"/>
      <c r="J114" s="1241"/>
      <c r="K114" s="1241"/>
      <c r="L114" s="1241"/>
      <c r="M114" s="1241"/>
      <c r="N114" s="1241"/>
      <c r="O114" s="1241"/>
      <c r="P114" s="1241"/>
      <c r="Q114" s="1241"/>
      <c r="R114" s="1241"/>
      <c r="S114" s="1241"/>
      <c r="T114" s="1306"/>
      <c r="U114" s="1313" t="str">
        <f>IF('PIM Model'!$B$14=0,"",'PIM Model'!$B$14)</f>
        <v/>
      </c>
      <c r="V114" s="1168"/>
      <c r="W114" s="1168"/>
      <c r="X114" s="1168"/>
      <c r="Y114" s="1168"/>
      <c r="Z114" s="1168" t="str">
        <f>'PIM Model'!$AF$14</f>
        <v/>
      </c>
      <c r="AA114" s="1168"/>
      <c r="AB114" s="1168"/>
      <c r="AC114" s="1168"/>
      <c r="AD114" s="1168"/>
      <c r="AE114" s="1168"/>
      <c r="AF114" s="1231" t="str">
        <f>'PIM Model'!$AG$14</f>
        <v/>
      </c>
      <c r="AG114" s="1232"/>
      <c r="AH114" s="1232"/>
      <c r="AI114" s="1232"/>
      <c r="AJ114" s="1232"/>
      <c r="AK114" s="1232"/>
      <c r="AL114" s="1317"/>
      <c r="AM114" s="1231" t="str">
        <f>'PIM Model'!$AH$14</f>
        <v/>
      </c>
      <c r="AN114" s="1232"/>
      <c r="AO114" s="1232"/>
      <c r="AP114" s="1232"/>
      <c r="AQ114" s="1232"/>
      <c r="AR114" s="1232"/>
      <c r="AS114" s="1233"/>
      <c r="BF114" s="144"/>
    </row>
    <row r="115" spans="2:58" x14ac:dyDescent="0.35">
      <c r="B115" s="143"/>
      <c r="D115" s="1305" t="s">
        <v>104</v>
      </c>
      <c r="E115" s="1241"/>
      <c r="F115" s="1241"/>
      <c r="G115" s="1241"/>
      <c r="H115" s="1241"/>
      <c r="I115" s="1241"/>
      <c r="J115" s="1241"/>
      <c r="K115" s="1241"/>
      <c r="L115" s="1241"/>
      <c r="M115" s="1241"/>
      <c r="N115" s="1241"/>
      <c r="O115" s="1241"/>
      <c r="P115" s="1241"/>
      <c r="Q115" s="1241"/>
      <c r="R115" s="1241"/>
      <c r="S115" s="1241"/>
      <c r="T115" s="1306"/>
      <c r="U115" s="1313" t="str">
        <f>IF('PIM Model'!$B$15=0,"",'PIM Model'!$B$15)</f>
        <v/>
      </c>
      <c r="V115" s="1168"/>
      <c r="W115" s="1168"/>
      <c r="X115" s="1168"/>
      <c r="Y115" s="1168"/>
      <c r="Z115" s="1168" t="str">
        <f>'PIM Model'!$AF$15</f>
        <v/>
      </c>
      <c r="AA115" s="1168"/>
      <c r="AB115" s="1168"/>
      <c r="AC115" s="1168"/>
      <c r="AD115" s="1168"/>
      <c r="AE115" s="1168"/>
      <c r="AF115" s="1231" t="str">
        <f>'PIM Model'!$AG$15</f>
        <v/>
      </c>
      <c r="AG115" s="1232"/>
      <c r="AH115" s="1232"/>
      <c r="AI115" s="1232"/>
      <c r="AJ115" s="1232"/>
      <c r="AK115" s="1232"/>
      <c r="AL115" s="1317"/>
      <c r="AM115" s="1231" t="str">
        <f>'PIM Model'!$AH$15</f>
        <v/>
      </c>
      <c r="AN115" s="1232"/>
      <c r="AO115" s="1232"/>
      <c r="AP115" s="1232"/>
      <c r="AQ115" s="1232"/>
      <c r="AR115" s="1232"/>
      <c r="AS115" s="1233"/>
      <c r="BF115" s="144"/>
    </row>
    <row r="116" spans="2:58" x14ac:dyDescent="0.35">
      <c r="B116" s="143"/>
      <c r="D116" s="1305" t="s">
        <v>98</v>
      </c>
      <c r="E116" s="1241"/>
      <c r="F116" s="1241"/>
      <c r="G116" s="1241"/>
      <c r="H116" s="1241"/>
      <c r="I116" s="1241"/>
      <c r="J116" s="1241"/>
      <c r="K116" s="1241"/>
      <c r="L116" s="1241"/>
      <c r="M116" s="1241"/>
      <c r="N116" s="1241"/>
      <c r="O116" s="1241"/>
      <c r="P116" s="1241"/>
      <c r="Q116" s="1241"/>
      <c r="R116" s="1241"/>
      <c r="S116" s="1241"/>
      <c r="T116" s="1306"/>
      <c r="U116" s="1313" t="str">
        <f>IF('PIM Model'!$B$16=0,"",'PIM Model'!$B$16)</f>
        <v/>
      </c>
      <c r="V116" s="1168"/>
      <c r="W116" s="1168"/>
      <c r="X116" s="1168"/>
      <c r="Y116" s="1168"/>
      <c r="Z116" s="1168" t="str">
        <f>'PIM Model'!$AF$16</f>
        <v/>
      </c>
      <c r="AA116" s="1168"/>
      <c r="AB116" s="1168"/>
      <c r="AC116" s="1168"/>
      <c r="AD116" s="1168"/>
      <c r="AE116" s="1168"/>
      <c r="AF116" s="1231" t="str">
        <f>'PIM Model'!$AG$16</f>
        <v/>
      </c>
      <c r="AG116" s="1232"/>
      <c r="AH116" s="1232"/>
      <c r="AI116" s="1232"/>
      <c r="AJ116" s="1232"/>
      <c r="AK116" s="1232"/>
      <c r="AL116" s="1317"/>
      <c r="AM116" s="1231" t="str">
        <f>'PIM Model'!$AH$16</f>
        <v/>
      </c>
      <c r="AN116" s="1232"/>
      <c r="AO116" s="1232"/>
      <c r="AP116" s="1232"/>
      <c r="AQ116" s="1232"/>
      <c r="AR116" s="1232"/>
      <c r="AS116" s="1233"/>
      <c r="BF116" s="144"/>
    </row>
    <row r="117" spans="2:58" x14ac:dyDescent="0.35">
      <c r="B117" s="143"/>
      <c r="D117" s="1305" t="s">
        <v>95</v>
      </c>
      <c r="E117" s="1241"/>
      <c r="F117" s="1241"/>
      <c r="G117" s="1241"/>
      <c r="H117" s="1241"/>
      <c r="I117" s="1241"/>
      <c r="J117" s="1241"/>
      <c r="K117" s="1241"/>
      <c r="L117" s="1241"/>
      <c r="M117" s="1241"/>
      <c r="N117" s="1241"/>
      <c r="O117" s="1241"/>
      <c r="P117" s="1241"/>
      <c r="Q117" s="1241"/>
      <c r="R117" s="1241"/>
      <c r="S117" s="1241"/>
      <c r="T117" s="1306"/>
      <c r="U117" s="1313" t="str">
        <f>IF('PIM Model'!$B$17=0,"",'PIM Model'!$B$17)</f>
        <v/>
      </c>
      <c r="V117" s="1168"/>
      <c r="W117" s="1168"/>
      <c r="X117" s="1168"/>
      <c r="Y117" s="1168"/>
      <c r="Z117" s="1168" t="str">
        <f>'PIM Model'!$AF$17</f>
        <v/>
      </c>
      <c r="AA117" s="1168"/>
      <c r="AB117" s="1168"/>
      <c r="AC117" s="1168"/>
      <c r="AD117" s="1168"/>
      <c r="AE117" s="1168"/>
      <c r="AF117" s="1231" t="str">
        <f>'PIM Model'!$AG$17</f>
        <v/>
      </c>
      <c r="AG117" s="1232"/>
      <c r="AH117" s="1232"/>
      <c r="AI117" s="1232"/>
      <c r="AJ117" s="1232"/>
      <c r="AK117" s="1232"/>
      <c r="AL117" s="1317"/>
      <c r="AM117" s="1231" t="str">
        <f>'PIM Model'!$AH$17</f>
        <v/>
      </c>
      <c r="AN117" s="1232"/>
      <c r="AO117" s="1232"/>
      <c r="AP117" s="1232"/>
      <c r="AQ117" s="1232"/>
      <c r="AR117" s="1232"/>
      <c r="AS117" s="1233"/>
      <c r="BF117" s="144"/>
    </row>
    <row r="118" spans="2:58" x14ac:dyDescent="0.35">
      <c r="B118" s="143"/>
      <c r="D118" s="1305" t="s">
        <v>96</v>
      </c>
      <c r="E118" s="1241"/>
      <c r="F118" s="1241"/>
      <c r="G118" s="1241"/>
      <c r="H118" s="1241"/>
      <c r="I118" s="1241"/>
      <c r="J118" s="1241"/>
      <c r="K118" s="1241"/>
      <c r="L118" s="1241"/>
      <c r="M118" s="1241"/>
      <c r="N118" s="1241"/>
      <c r="O118" s="1241"/>
      <c r="P118" s="1241"/>
      <c r="Q118" s="1241"/>
      <c r="R118" s="1241"/>
      <c r="S118" s="1241"/>
      <c r="T118" s="1306"/>
      <c r="U118" s="1313" t="str">
        <f>IF('PIM Model'!$B$18=0,"",'PIM Model'!$B$18)</f>
        <v/>
      </c>
      <c r="V118" s="1168"/>
      <c r="W118" s="1168"/>
      <c r="X118" s="1168"/>
      <c r="Y118" s="1168"/>
      <c r="Z118" s="1168" t="str">
        <f>'PIM Model'!$AF$18</f>
        <v/>
      </c>
      <c r="AA118" s="1168"/>
      <c r="AB118" s="1168"/>
      <c r="AC118" s="1168"/>
      <c r="AD118" s="1168"/>
      <c r="AE118" s="1168"/>
      <c r="AF118" s="1231" t="str">
        <f>'PIM Model'!$AG$18</f>
        <v/>
      </c>
      <c r="AG118" s="1232"/>
      <c r="AH118" s="1232"/>
      <c r="AI118" s="1232"/>
      <c r="AJ118" s="1232"/>
      <c r="AK118" s="1232"/>
      <c r="AL118" s="1317"/>
      <c r="AM118" s="1231" t="str">
        <f>'PIM Model'!$AH$18</f>
        <v/>
      </c>
      <c r="AN118" s="1232"/>
      <c r="AO118" s="1232"/>
      <c r="AP118" s="1232"/>
      <c r="AQ118" s="1232"/>
      <c r="AR118" s="1232"/>
      <c r="AS118" s="1233"/>
      <c r="BF118" s="144"/>
    </row>
    <row r="119" spans="2:58" x14ac:dyDescent="0.35">
      <c r="B119" s="143"/>
      <c r="D119" s="1305" t="s">
        <v>101</v>
      </c>
      <c r="E119" s="1241"/>
      <c r="F119" s="1241"/>
      <c r="G119" s="1241"/>
      <c r="H119" s="1241"/>
      <c r="I119" s="1241"/>
      <c r="J119" s="1241"/>
      <c r="K119" s="1241"/>
      <c r="L119" s="1241"/>
      <c r="M119" s="1241"/>
      <c r="N119" s="1241"/>
      <c r="O119" s="1241"/>
      <c r="P119" s="1241"/>
      <c r="Q119" s="1241"/>
      <c r="R119" s="1241"/>
      <c r="S119" s="1241"/>
      <c r="T119" s="1306"/>
      <c r="U119" s="1313" t="str">
        <f>IF('PIM Model'!$B$19=0,"",'PIM Model'!$B$19)</f>
        <v/>
      </c>
      <c r="V119" s="1168"/>
      <c r="W119" s="1168"/>
      <c r="X119" s="1168"/>
      <c r="Y119" s="1168"/>
      <c r="Z119" s="1168" t="str">
        <f>'PIM Model'!$AF$19</f>
        <v/>
      </c>
      <c r="AA119" s="1168"/>
      <c r="AB119" s="1168"/>
      <c r="AC119" s="1168"/>
      <c r="AD119" s="1168"/>
      <c r="AE119" s="1168"/>
      <c r="AF119" s="1231" t="str">
        <f>'PIM Model'!$AG$19</f>
        <v/>
      </c>
      <c r="AG119" s="1232"/>
      <c r="AH119" s="1232"/>
      <c r="AI119" s="1232"/>
      <c r="AJ119" s="1232"/>
      <c r="AK119" s="1232"/>
      <c r="AL119" s="1317"/>
      <c r="AM119" s="1231" t="str">
        <f>'PIM Model'!$AH$19</f>
        <v/>
      </c>
      <c r="AN119" s="1232"/>
      <c r="AO119" s="1232"/>
      <c r="AP119" s="1232"/>
      <c r="AQ119" s="1232"/>
      <c r="AR119" s="1232"/>
      <c r="AS119" s="1233"/>
      <c r="BF119" s="144"/>
    </row>
    <row r="120" spans="2:58" x14ac:dyDescent="0.35">
      <c r="B120" s="143"/>
      <c r="D120" s="1305" t="s">
        <v>97</v>
      </c>
      <c r="E120" s="1241"/>
      <c r="F120" s="1241"/>
      <c r="G120" s="1241"/>
      <c r="H120" s="1241"/>
      <c r="I120" s="1241"/>
      <c r="J120" s="1241"/>
      <c r="K120" s="1241"/>
      <c r="L120" s="1241"/>
      <c r="M120" s="1241"/>
      <c r="N120" s="1241"/>
      <c r="O120" s="1241"/>
      <c r="P120" s="1241"/>
      <c r="Q120" s="1241"/>
      <c r="R120" s="1241"/>
      <c r="S120" s="1241"/>
      <c r="T120" s="1306"/>
      <c r="U120" s="1313" t="str">
        <f>IF('PIM Model'!$B$20=0,"",'PIM Model'!$B$20)</f>
        <v/>
      </c>
      <c r="V120" s="1168"/>
      <c r="W120" s="1168"/>
      <c r="X120" s="1168"/>
      <c r="Y120" s="1168"/>
      <c r="Z120" s="1168" t="str">
        <f>'PIM Model'!$AF$20</f>
        <v/>
      </c>
      <c r="AA120" s="1168"/>
      <c r="AB120" s="1168"/>
      <c r="AC120" s="1168"/>
      <c r="AD120" s="1168"/>
      <c r="AE120" s="1168"/>
      <c r="AF120" s="1231" t="str">
        <f>'PIM Model'!$AG$20</f>
        <v/>
      </c>
      <c r="AG120" s="1232"/>
      <c r="AH120" s="1232"/>
      <c r="AI120" s="1232"/>
      <c r="AJ120" s="1232"/>
      <c r="AK120" s="1232"/>
      <c r="AL120" s="1317"/>
      <c r="AM120" s="1231" t="str">
        <f>'PIM Model'!$AH$20</f>
        <v/>
      </c>
      <c r="AN120" s="1232"/>
      <c r="AO120" s="1232"/>
      <c r="AP120" s="1232"/>
      <c r="AQ120" s="1232"/>
      <c r="AR120" s="1232"/>
      <c r="AS120" s="1233"/>
      <c r="BF120" s="144"/>
    </row>
    <row r="121" spans="2:58" x14ac:dyDescent="0.35">
      <c r="B121" s="143"/>
      <c r="D121" s="1305" t="s">
        <v>93</v>
      </c>
      <c r="E121" s="1241"/>
      <c r="F121" s="1241"/>
      <c r="G121" s="1241"/>
      <c r="H121" s="1241"/>
      <c r="I121" s="1241"/>
      <c r="J121" s="1241"/>
      <c r="K121" s="1241"/>
      <c r="L121" s="1241"/>
      <c r="M121" s="1241"/>
      <c r="N121" s="1241"/>
      <c r="O121" s="1241"/>
      <c r="P121" s="1241"/>
      <c r="Q121" s="1241"/>
      <c r="R121" s="1241"/>
      <c r="S121" s="1241"/>
      <c r="T121" s="1306"/>
      <c r="U121" s="1313" t="str">
        <f>IF('PIM Model'!$B$21=0,"",'PIM Model'!$B$21)</f>
        <v/>
      </c>
      <c r="V121" s="1168"/>
      <c r="W121" s="1168"/>
      <c r="X121" s="1168"/>
      <c r="Y121" s="1168"/>
      <c r="Z121" s="1168" t="str">
        <f>'PIM Model'!$AF$21</f>
        <v/>
      </c>
      <c r="AA121" s="1168"/>
      <c r="AB121" s="1168"/>
      <c r="AC121" s="1168"/>
      <c r="AD121" s="1168"/>
      <c r="AE121" s="1168"/>
      <c r="AF121" s="1231" t="str">
        <f>'PIM Model'!$AG$21</f>
        <v/>
      </c>
      <c r="AG121" s="1232"/>
      <c r="AH121" s="1232"/>
      <c r="AI121" s="1232"/>
      <c r="AJ121" s="1232"/>
      <c r="AK121" s="1232"/>
      <c r="AL121" s="1317"/>
      <c r="AM121" s="1231" t="str">
        <f>'PIM Model'!$AH$21</f>
        <v/>
      </c>
      <c r="AN121" s="1232"/>
      <c r="AO121" s="1232"/>
      <c r="AP121" s="1232"/>
      <c r="AQ121" s="1232"/>
      <c r="AR121" s="1232"/>
      <c r="AS121" s="1233"/>
      <c r="BF121" s="144"/>
    </row>
    <row r="122" spans="2:58" x14ac:dyDescent="0.35">
      <c r="B122" s="143"/>
      <c r="D122" s="1305" t="s">
        <v>105</v>
      </c>
      <c r="E122" s="1241"/>
      <c r="F122" s="1241"/>
      <c r="G122" s="1241"/>
      <c r="H122" s="1241"/>
      <c r="I122" s="1241"/>
      <c r="J122" s="1241"/>
      <c r="K122" s="1241"/>
      <c r="L122" s="1241"/>
      <c r="M122" s="1241"/>
      <c r="N122" s="1241"/>
      <c r="O122" s="1241"/>
      <c r="P122" s="1241"/>
      <c r="Q122" s="1241"/>
      <c r="R122" s="1241"/>
      <c r="S122" s="1241"/>
      <c r="T122" s="1306"/>
      <c r="U122" s="1313" t="str">
        <f>IF('PIM Model'!$B$22=0,"",'PIM Model'!$B$22)</f>
        <v/>
      </c>
      <c r="V122" s="1168"/>
      <c r="W122" s="1168"/>
      <c r="X122" s="1168"/>
      <c r="Y122" s="1168"/>
      <c r="Z122" s="1168" t="str">
        <f>'PIM Model'!$AF$22</f>
        <v/>
      </c>
      <c r="AA122" s="1168"/>
      <c r="AB122" s="1168"/>
      <c r="AC122" s="1168"/>
      <c r="AD122" s="1168"/>
      <c r="AE122" s="1168"/>
      <c r="AF122" s="1231" t="str">
        <f>'PIM Model'!$AG$22</f>
        <v/>
      </c>
      <c r="AG122" s="1232"/>
      <c r="AH122" s="1232"/>
      <c r="AI122" s="1232"/>
      <c r="AJ122" s="1232"/>
      <c r="AK122" s="1232"/>
      <c r="AL122" s="1317"/>
      <c r="AM122" s="1231" t="str">
        <f>'PIM Model'!$AH$22</f>
        <v/>
      </c>
      <c r="AN122" s="1232"/>
      <c r="AO122" s="1232"/>
      <c r="AP122" s="1232"/>
      <c r="AQ122" s="1232"/>
      <c r="AR122" s="1232"/>
      <c r="AS122" s="1233"/>
      <c r="BF122" s="144"/>
    </row>
    <row r="123" spans="2:58" x14ac:dyDescent="0.35">
      <c r="B123" s="143"/>
      <c r="D123" s="1305" t="s">
        <v>92</v>
      </c>
      <c r="E123" s="1241"/>
      <c r="F123" s="1241"/>
      <c r="G123" s="1241"/>
      <c r="H123" s="1241"/>
      <c r="I123" s="1241"/>
      <c r="J123" s="1241"/>
      <c r="K123" s="1241"/>
      <c r="L123" s="1241"/>
      <c r="M123" s="1241"/>
      <c r="N123" s="1241"/>
      <c r="O123" s="1241"/>
      <c r="P123" s="1241"/>
      <c r="Q123" s="1241"/>
      <c r="R123" s="1241"/>
      <c r="S123" s="1241"/>
      <c r="T123" s="1306"/>
      <c r="U123" s="1313" t="str">
        <f>IF('PIM Model'!$B$23=0,"",'PIM Model'!$B$23)</f>
        <v/>
      </c>
      <c r="V123" s="1168"/>
      <c r="W123" s="1168"/>
      <c r="X123" s="1168"/>
      <c r="Y123" s="1168"/>
      <c r="Z123" s="1168" t="str">
        <f>'PIM Model'!$AF$23</f>
        <v/>
      </c>
      <c r="AA123" s="1168"/>
      <c r="AB123" s="1168"/>
      <c r="AC123" s="1168"/>
      <c r="AD123" s="1168"/>
      <c r="AE123" s="1168"/>
      <c r="AF123" s="1231" t="str">
        <f>'PIM Model'!$AG$23</f>
        <v/>
      </c>
      <c r="AG123" s="1232"/>
      <c r="AH123" s="1232"/>
      <c r="AI123" s="1232"/>
      <c r="AJ123" s="1232"/>
      <c r="AK123" s="1232"/>
      <c r="AL123" s="1317"/>
      <c r="AM123" s="1231" t="str">
        <f>'PIM Model'!$AH$23</f>
        <v/>
      </c>
      <c r="AN123" s="1232"/>
      <c r="AO123" s="1232"/>
      <c r="AP123" s="1232"/>
      <c r="AQ123" s="1232"/>
      <c r="AR123" s="1232"/>
      <c r="AS123" s="1233"/>
      <c r="BF123" s="144"/>
    </row>
    <row r="124" spans="2:58" x14ac:dyDescent="0.35">
      <c r="B124" s="143"/>
      <c r="D124" s="1305" t="s">
        <v>91</v>
      </c>
      <c r="E124" s="1241"/>
      <c r="F124" s="1241"/>
      <c r="G124" s="1241"/>
      <c r="H124" s="1241"/>
      <c r="I124" s="1241"/>
      <c r="J124" s="1241"/>
      <c r="K124" s="1241"/>
      <c r="L124" s="1241"/>
      <c r="M124" s="1241"/>
      <c r="N124" s="1241"/>
      <c r="O124" s="1241"/>
      <c r="P124" s="1241"/>
      <c r="Q124" s="1241"/>
      <c r="R124" s="1241"/>
      <c r="S124" s="1241"/>
      <c r="T124" s="1306"/>
      <c r="U124" s="1313" t="str">
        <f>IF('PIM Model'!$B$24=0,"",'PIM Model'!$B$24)</f>
        <v/>
      </c>
      <c r="V124" s="1168"/>
      <c r="W124" s="1168"/>
      <c r="X124" s="1168"/>
      <c r="Y124" s="1168"/>
      <c r="Z124" s="1168" t="str">
        <f>'PIM Model'!$AF$24</f>
        <v/>
      </c>
      <c r="AA124" s="1168"/>
      <c r="AB124" s="1168"/>
      <c r="AC124" s="1168"/>
      <c r="AD124" s="1168"/>
      <c r="AE124" s="1168"/>
      <c r="AF124" s="1231" t="str">
        <f>'PIM Model'!$AG$24</f>
        <v/>
      </c>
      <c r="AG124" s="1232"/>
      <c r="AH124" s="1232"/>
      <c r="AI124" s="1232"/>
      <c r="AJ124" s="1232"/>
      <c r="AK124" s="1232"/>
      <c r="AL124" s="1317"/>
      <c r="AM124" s="1231" t="str">
        <f>'PIM Model'!$AH$24</f>
        <v/>
      </c>
      <c r="AN124" s="1232"/>
      <c r="AO124" s="1232"/>
      <c r="AP124" s="1232"/>
      <c r="AQ124" s="1232"/>
      <c r="AR124" s="1232"/>
      <c r="AS124" s="1233"/>
      <c r="BF124" s="144"/>
    </row>
    <row r="125" spans="2:58" x14ac:dyDescent="0.35">
      <c r="B125" s="143"/>
      <c r="D125" s="1305" t="s">
        <v>90</v>
      </c>
      <c r="E125" s="1241"/>
      <c r="F125" s="1241"/>
      <c r="G125" s="1241"/>
      <c r="H125" s="1241"/>
      <c r="I125" s="1241"/>
      <c r="J125" s="1241"/>
      <c r="K125" s="1241"/>
      <c r="L125" s="1241"/>
      <c r="M125" s="1241"/>
      <c r="N125" s="1241"/>
      <c r="O125" s="1241"/>
      <c r="P125" s="1241"/>
      <c r="Q125" s="1241"/>
      <c r="R125" s="1241"/>
      <c r="S125" s="1241"/>
      <c r="T125" s="1306"/>
      <c r="U125" s="1313" t="str">
        <f>IF('PIM Model'!$B$25=0,"",'PIM Model'!$B$25)</f>
        <v/>
      </c>
      <c r="V125" s="1168"/>
      <c r="W125" s="1168"/>
      <c r="X125" s="1168"/>
      <c r="Y125" s="1168"/>
      <c r="Z125" s="1168" t="str">
        <f>'PIM Model'!$AF$25</f>
        <v/>
      </c>
      <c r="AA125" s="1168"/>
      <c r="AB125" s="1168"/>
      <c r="AC125" s="1168"/>
      <c r="AD125" s="1168"/>
      <c r="AE125" s="1168"/>
      <c r="AF125" s="1231" t="str">
        <f>'PIM Model'!$AG$25</f>
        <v/>
      </c>
      <c r="AG125" s="1232"/>
      <c r="AH125" s="1232"/>
      <c r="AI125" s="1232"/>
      <c r="AJ125" s="1232"/>
      <c r="AK125" s="1232"/>
      <c r="AL125" s="1317"/>
      <c r="AM125" s="1231" t="str">
        <f>'PIM Model'!$AH$25</f>
        <v/>
      </c>
      <c r="AN125" s="1232"/>
      <c r="AO125" s="1232"/>
      <c r="AP125" s="1232"/>
      <c r="AQ125" s="1232"/>
      <c r="AR125" s="1232"/>
      <c r="AS125" s="1233"/>
      <c r="BF125" s="144"/>
    </row>
    <row r="126" spans="2:58" x14ac:dyDescent="0.35">
      <c r="B126" s="143"/>
      <c r="D126" s="1305" t="s">
        <v>89</v>
      </c>
      <c r="E126" s="1241"/>
      <c r="F126" s="1241"/>
      <c r="G126" s="1241"/>
      <c r="H126" s="1241"/>
      <c r="I126" s="1241"/>
      <c r="J126" s="1241"/>
      <c r="K126" s="1241"/>
      <c r="L126" s="1241"/>
      <c r="M126" s="1241"/>
      <c r="N126" s="1241"/>
      <c r="O126" s="1241"/>
      <c r="P126" s="1241"/>
      <c r="Q126" s="1241"/>
      <c r="R126" s="1241"/>
      <c r="S126" s="1241"/>
      <c r="T126" s="1306"/>
      <c r="U126" s="1313" t="str">
        <f>IF('PIM Model'!$B$26=0,"",'PIM Model'!$B$26)</f>
        <v/>
      </c>
      <c r="V126" s="1168"/>
      <c r="W126" s="1168"/>
      <c r="X126" s="1168"/>
      <c r="Y126" s="1168"/>
      <c r="Z126" s="1168" t="str">
        <f>'PIM Model'!$AF$26</f>
        <v/>
      </c>
      <c r="AA126" s="1168"/>
      <c r="AB126" s="1168"/>
      <c r="AC126" s="1168"/>
      <c r="AD126" s="1168"/>
      <c r="AE126" s="1168"/>
      <c r="AF126" s="1231" t="str">
        <f>'PIM Model'!$AG$26</f>
        <v/>
      </c>
      <c r="AG126" s="1232"/>
      <c r="AH126" s="1232"/>
      <c r="AI126" s="1232"/>
      <c r="AJ126" s="1232"/>
      <c r="AK126" s="1232"/>
      <c r="AL126" s="1317"/>
      <c r="AM126" s="1231" t="str">
        <f>'PIM Model'!$AH$26</f>
        <v/>
      </c>
      <c r="AN126" s="1232"/>
      <c r="AO126" s="1232"/>
      <c r="AP126" s="1232"/>
      <c r="AQ126" s="1232"/>
      <c r="AR126" s="1232"/>
      <c r="AS126" s="1233"/>
      <c r="BF126" s="144"/>
    </row>
    <row r="127" spans="2:58" x14ac:dyDescent="0.35">
      <c r="B127" s="143"/>
      <c r="D127" s="1305" t="s">
        <v>94</v>
      </c>
      <c r="E127" s="1241"/>
      <c r="F127" s="1241"/>
      <c r="G127" s="1241"/>
      <c r="H127" s="1241"/>
      <c r="I127" s="1241"/>
      <c r="J127" s="1241"/>
      <c r="K127" s="1241"/>
      <c r="L127" s="1241"/>
      <c r="M127" s="1241"/>
      <c r="N127" s="1241"/>
      <c r="O127" s="1241"/>
      <c r="P127" s="1241"/>
      <c r="Q127" s="1241"/>
      <c r="R127" s="1241"/>
      <c r="S127" s="1241"/>
      <c r="T127" s="1306"/>
      <c r="U127" s="1313" t="str">
        <f>IF('PIM Model'!$B$27=0,"",'PIM Model'!$B$27)</f>
        <v/>
      </c>
      <c r="V127" s="1168"/>
      <c r="W127" s="1168"/>
      <c r="X127" s="1168"/>
      <c r="Y127" s="1168"/>
      <c r="Z127" s="1168" t="str">
        <f>'PIM Model'!$AF$27</f>
        <v/>
      </c>
      <c r="AA127" s="1168"/>
      <c r="AB127" s="1168"/>
      <c r="AC127" s="1168"/>
      <c r="AD127" s="1168"/>
      <c r="AE127" s="1168"/>
      <c r="AF127" s="1231" t="str">
        <f>'PIM Model'!$AG$27</f>
        <v/>
      </c>
      <c r="AG127" s="1232"/>
      <c r="AH127" s="1232"/>
      <c r="AI127" s="1232"/>
      <c r="AJ127" s="1232"/>
      <c r="AK127" s="1232"/>
      <c r="AL127" s="1317"/>
      <c r="AM127" s="1231" t="str">
        <f>'PIM Model'!$AH$27</f>
        <v/>
      </c>
      <c r="AN127" s="1232"/>
      <c r="AO127" s="1232"/>
      <c r="AP127" s="1232"/>
      <c r="AQ127" s="1232"/>
      <c r="AR127" s="1232"/>
      <c r="AS127" s="1233"/>
      <c r="BF127" s="144"/>
    </row>
    <row r="128" spans="2:58" x14ac:dyDescent="0.35">
      <c r="B128" s="143"/>
      <c r="D128" s="1305" t="s">
        <v>86</v>
      </c>
      <c r="E128" s="1241"/>
      <c r="F128" s="1241"/>
      <c r="G128" s="1241"/>
      <c r="H128" s="1241"/>
      <c r="I128" s="1241"/>
      <c r="J128" s="1241"/>
      <c r="K128" s="1241"/>
      <c r="L128" s="1241"/>
      <c r="M128" s="1241"/>
      <c r="N128" s="1241"/>
      <c r="O128" s="1241"/>
      <c r="P128" s="1241"/>
      <c r="Q128" s="1241"/>
      <c r="R128" s="1241"/>
      <c r="S128" s="1241"/>
      <c r="T128" s="1306"/>
      <c r="U128" s="1313" t="str">
        <f>IF('PIM Model'!$B$28=0,"",'PIM Model'!$B$28)</f>
        <v/>
      </c>
      <c r="V128" s="1168"/>
      <c r="W128" s="1168"/>
      <c r="X128" s="1168"/>
      <c r="Y128" s="1168"/>
      <c r="Z128" s="1168" t="str">
        <f>'PIM Model'!$AF$28</f>
        <v/>
      </c>
      <c r="AA128" s="1168"/>
      <c r="AB128" s="1168"/>
      <c r="AC128" s="1168"/>
      <c r="AD128" s="1168"/>
      <c r="AE128" s="1168"/>
      <c r="AF128" s="1231" t="str">
        <f>'PIM Model'!$AG$28</f>
        <v/>
      </c>
      <c r="AG128" s="1232"/>
      <c r="AH128" s="1232"/>
      <c r="AI128" s="1232"/>
      <c r="AJ128" s="1232"/>
      <c r="AK128" s="1232"/>
      <c r="AL128" s="1317"/>
      <c r="AM128" s="1231" t="str">
        <f>'PIM Model'!$AH$28</f>
        <v/>
      </c>
      <c r="AN128" s="1232"/>
      <c r="AO128" s="1232"/>
      <c r="AP128" s="1232"/>
      <c r="AQ128" s="1232"/>
      <c r="AR128" s="1232"/>
      <c r="AS128" s="1233"/>
      <c r="BF128" s="144"/>
    </row>
    <row r="129" spans="2:58" x14ac:dyDescent="0.35">
      <c r="B129" s="143"/>
      <c r="D129" s="1305" t="s">
        <v>88</v>
      </c>
      <c r="E129" s="1241"/>
      <c r="F129" s="1241"/>
      <c r="G129" s="1241"/>
      <c r="H129" s="1241"/>
      <c r="I129" s="1241"/>
      <c r="J129" s="1241"/>
      <c r="K129" s="1241"/>
      <c r="L129" s="1241"/>
      <c r="M129" s="1241"/>
      <c r="N129" s="1241"/>
      <c r="O129" s="1241"/>
      <c r="P129" s="1241"/>
      <c r="Q129" s="1241"/>
      <c r="R129" s="1241"/>
      <c r="S129" s="1241"/>
      <c r="T129" s="1306"/>
      <c r="U129" s="1313" t="str">
        <f>IF('PIM Model'!$B$29=0,"",'PIM Model'!$B$29)</f>
        <v/>
      </c>
      <c r="V129" s="1168"/>
      <c r="W129" s="1168"/>
      <c r="X129" s="1168"/>
      <c r="Y129" s="1168"/>
      <c r="Z129" s="1168" t="str">
        <f>'PIM Model'!$AF$29</f>
        <v/>
      </c>
      <c r="AA129" s="1168"/>
      <c r="AB129" s="1168"/>
      <c r="AC129" s="1168"/>
      <c r="AD129" s="1168"/>
      <c r="AE129" s="1168"/>
      <c r="AF129" s="1231" t="str">
        <f>'PIM Model'!$AG$29</f>
        <v/>
      </c>
      <c r="AG129" s="1232"/>
      <c r="AH129" s="1232"/>
      <c r="AI129" s="1232"/>
      <c r="AJ129" s="1232"/>
      <c r="AK129" s="1232"/>
      <c r="AL129" s="1317"/>
      <c r="AM129" s="1231" t="str">
        <f>'PIM Model'!$AH$29</f>
        <v/>
      </c>
      <c r="AN129" s="1232"/>
      <c r="AO129" s="1232"/>
      <c r="AP129" s="1232"/>
      <c r="AQ129" s="1232"/>
      <c r="AR129" s="1232"/>
      <c r="AS129" s="1233"/>
      <c r="BF129" s="144"/>
    </row>
    <row r="130" spans="2:58" ht="15" thickBot="1" x14ac:dyDescent="0.4">
      <c r="B130" s="143"/>
      <c r="D130" s="1314" t="s">
        <v>87</v>
      </c>
      <c r="E130" s="1315"/>
      <c r="F130" s="1315"/>
      <c r="G130" s="1315"/>
      <c r="H130" s="1315"/>
      <c r="I130" s="1315"/>
      <c r="J130" s="1315"/>
      <c r="K130" s="1315"/>
      <c r="L130" s="1315"/>
      <c r="M130" s="1315"/>
      <c r="N130" s="1315"/>
      <c r="O130" s="1315"/>
      <c r="P130" s="1315"/>
      <c r="Q130" s="1315"/>
      <c r="R130" s="1315"/>
      <c r="S130" s="1315"/>
      <c r="T130" s="1316"/>
      <c r="U130" s="1310" t="str">
        <f>IF('PIM Model'!$B$30=0,"",'PIM Model'!$B$30)</f>
        <v/>
      </c>
      <c r="V130" s="1311"/>
      <c r="W130" s="1311"/>
      <c r="X130" s="1311"/>
      <c r="Y130" s="1311"/>
      <c r="Z130" s="1311" t="str">
        <f>'PIM Model'!$AF$30</f>
        <v/>
      </c>
      <c r="AA130" s="1311"/>
      <c r="AB130" s="1311"/>
      <c r="AC130" s="1311"/>
      <c r="AD130" s="1311"/>
      <c r="AE130" s="1311"/>
      <c r="AF130" s="1318" t="str">
        <f>'PIM Model'!$AG$30</f>
        <v/>
      </c>
      <c r="AG130" s="1319"/>
      <c r="AH130" s="1319"/>
      <c r="AI130" s="1319"/>
      <c r="AJ130" s="1319"/>
      <c r="AK130" s="1319"/>
      <c r="AL130" s="1333"/>
      <c r="AM130" s="1318" t="str">
        <f>'PIM Model'!$AH$30</f>
        <v/>
      </c>
      <c r="AN130" s="1319"/>
      <c r="AO130" s="1319"/>
      <c r="AP130" s="1319"/>
      <c r="AQ130" s="1319"/>
      <c r="AR130" s="1319"/>
      <c r="AS130" s="1320"/>
      <c r="BF130" s="144"/>
    </row>
    <row r="131" spans="2:58" ht="15.5" thickTop="1" thickBot="1" x14ac:dyDescent="0.4">
      <c r="B131" s="143"/>
      <c r="D131" s="1324" t="s">
        <v>1061</v>
      </c>
      <c r="E131" s="1325"/>
      <c r="F131" s="1325"/>
      <c r="G131" s="1325"/>
      <c r="H131" s="1325"/>
      <c r="I131" s="1325"/>
      <c r="J131" s="1325"/>
      <c r="K131" s="1325"/>
      <c r="L131" s="1325"/>
      <c r="M131" s="1325"/>
      <c r="N131" s="1325"/>
      <c r="O131" s="1325"/>
      <c r="P131" s="1325"/>
      <c r="Q131" s="1325"/>
      <c r="R131" s="1325"/>
      <c r="S131" s="1325"/>
      <c r="T131" s="1326"/>
      <c r="U131" s="1327">
        <f>COUNT($U$110:$Y$130)</f>
        <v>0</v>
      </c>
      <c r="V131" s="1328"/>
      <c r="W131" s="1328"/>
      <c r="X131" s="1328"/>
      <c r="Y131" s="1328"/>
      <c r="Z131" s="1325">
        <f>COUNTIF($Z$110:$AE$130,"ABOVE")+COUNTIF($Z$110:$AE$130,"BELOW")</f>
        <v>0</v>
      </c>
      <c r="AA131" s="1325"/>
      <c r="AB131" s="1325"/>
      <c r="AC131" s="1325"/>
      <c r="AD131" s="1325"/>
      <c r="AE131" s="1325"/>
      <c r="AF131" s="1329"/>
      <c r="AG131" s="1330"/>
      <c r="AH131" s="1330"/>
      <c r="AI131" s="1330"/>
      <c r="AJ131" s="1330"/>
      <c r="AK131" s="1330"/>
      <c r="AL131" s="1331"/>
      <c r="AM131" s="1329"/>
      <c r="AN131" s="1330"/>
      <c r="AO131" s="1330"/>
      <c r="AP131" s="1330"/>
      <c r="AQ131" s="1330"/>
      <c r="AR131" s="1330"/>
      <c r="AS131" s="1332"/>
      <c r="BF131" s="144"/>
    </row>
    <row r="132" spans="2:58" ht="15" thickBot="1" x14ac:dyDescent="0.4">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1640625" defaultRowHeight="14.5" x14ac:dyDescent="0.35"/>
  <cols>
    <col min="1" max="1" width="20.7265625" style="63" bestFit="1" customWidth="1"/>
    <col min="2" max="2" width="9" style="63" bestFit="1" customWidth="1"/>
    <col min="3" max="3" width="6.54296875" style="63" bestFit="1" customWidth="1"/>
    <col min="4" max="4" width="5.7265625" style="63" bestFit="1" customWidth="1"/>
    <col min="5" max="5" width="10.7265625" style="63" bestFit="1" customWidth="1"/>
    <col min="6" max="6" width="14.81640625" style="63" bestFit="1" customWidth="1"/>
    <col min="7" max="7" width="18.1796875" style="63" bestFit="1" customWidth="1"/>
    <col min="8" max="8" width="16.81640625" style="63" bestFit="1" customWidth="1"/>
    <col min="9" max="9" width="4.7265625" style="63" bestFit="1" customWidth="1"/>
    <col min="10" max="10" width="18.54296875" style="63" bestFit="1" customWidth="1"/>
    <col min="11" max="11" width="19.81640625" style="63" bestFit="1" customWidth="1"/>
    <col min="12" max="12" width="16" style="63" bestFit="1" customWidth="1"/>
    <col min="13" max="16" width="19" style="63" bestFit="1" customWidth="1"/>
    <col min="17" max="16384" width="8.81640625" style="63"/>
  </cols>
  <sheetData>
    <row r="1" spans="1:16" x14ac:dyDescent="0.3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3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3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3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3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3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3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3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3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3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3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3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3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3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3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3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3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3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3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3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3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3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3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3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3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3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3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3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3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3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3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3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3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3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3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3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3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3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3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3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3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3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3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3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3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3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3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3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3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3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3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3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3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3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3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3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3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3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3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3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3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3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3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3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3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3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3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3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3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3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3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3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3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3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3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3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35">
      <c r="A84"/>
      <c r="F84" s="70"/>
      <c r="G84" s="71"/>
    </row>
    <row r="85" spans="1:7" x14ac:dyDescent="0.35">
      <c r="A85"/>
      <c r="F85" s="70"/>
      <c r="G85" s="71"/>
    </row>
    <row r="86" spans="1:7" x14ac:dyDescent="0.35">
      <c r="A86"/>
      <c r="F86" s="70"/>
      <c r="G86" s="71"/>
    </row>
    <row r="87" spans="1:7" x14ac:dyDescent="0.3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4.5" x14ac:dyDescent="0.35"/>
  <cols>
    <col min="1" max="1" width="49.7265625" bestFit="1" customWidth="1"/>
    <col min="2" max="2" width="16.1796875" customWidth="1"/>
    <col min="3" max="3" width="21.26953125" customWidth="1"/>
    <col min="4" max="4" width="13.81640625" customWidth="1"/>
    <col min="5" max="5" width="16.1796875" customWidth="1"/>
    <col min="6" max="6" width="13.81640625" customWidth="1"/>
    <col min="7" max="7" width="16.81640625" customWidth="1"/>
    <col min="8" max="10" width="13.81640625" customWidth="1"/>
    <col min="11" max="11" width="20.1796875" customWidth="1"/>
    <col min="12" max="22" width="13.81640625" customWidth="1"/>
    <col min="24" max="24" width="20.26953125" bestFit="1" customWidth="1"/>
    <col min="25" max="25" width="8" bestFit="1" customWidth="1"/>
  </cols>
  <sheetData>
    <row r="1" spans="1:49" x14ac:dyDescent="0.35">
      <c r="X1" s="24"/>
    </row>
    <row r="2" spans="1:49" ht="58" x14ac:dyDescent="0.3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3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3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3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3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3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3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3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3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3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3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3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3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3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3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3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3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3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3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3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3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3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3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3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3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3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3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3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3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35">
      <c r="C31" s="22"/>
      <c r="D31" s="22"/>
      <c r="E31" s="22"/>
      <c r="F31" s="22"/>
      <c r="G31" s="22"/>
      <c r="H31" s="22"/>
      <c r="I31" s="22"/>
      <c r="J31" s="22"/>
      <c r="K31" s="22"/>
      <c r="L31" s="22"/>
      <c r="M31" s="22"/>
      <c r="N31" s="22"/>
      <c r="O31" s="22"/>
      <c r="P31" s="22"/>
      <c r="Q31" s="22"/>
      <c r="R31" s="22"/>
      <c r="S31" s="22"/>
      <c r="T31" s="22"/>
      <c r="U31" s="22"/>
      <c r="V31" s="22"/>
      <c r="W31" s="22"/>
    </row>
    <row r="32" spans="1:49" x14ac:dyDescent="0.35">
      <c r="A32" t="s">
        <v>520</v>
      </c>
    </row>
    <row r="33" spans="1:23" ht="43.5" x14ac:dyDescent="0.3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3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3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3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3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3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3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3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3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3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3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3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3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3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3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3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3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3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3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3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3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3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3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3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3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3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3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3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3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3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35">
      <c r="A63" t="s">
        <v>519</v>
      </c>
    </row>
    <row r="64" spans="1:23" ht="58" x14ac:dyDescent="0.3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3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3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3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3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3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3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3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3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3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3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3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3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3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3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3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3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3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3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3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3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3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3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3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3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3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3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3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3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4.5" x14ac:dyDescent="0.35"/>
  <cols>
    <col min="1" max="1" width="2" customWidth="1"/>
    <col min="2" max="2" width="27.54296875" customWidth="1"/>
    <col min="3" max="3" width="22.81640625" style="88" bestFit="1" customWidth="1"/>
  </cols>
  <sheetData>
    <row r="1" spans="1:6" ht="15" thickBot="1" x14ac:dyDescent="0.4">
      <c r="A1" s="140"/>
      <c r="B1" s="140"/>
      <c r="C1" s="741"/>
      <c r="D1" s="140"/>
      <c r="E1" s="140"/>
      <c r="F1" s="140"/>
    </row>
    <row r="2" spans="1:6" ht="15.5" x14ac:dyDescent="0.35">
      <c r="A2" s="140"/>
      <c r="B2" s="1338" t="s">
        <v>1085</v>
      </c>
      <c r="C2" s="1339"/>
      <c r="D2" s="140"/>
      <c r="E2" s="140"/>
      <c r="F2" s="140"/>
    </row>
    <row r="3" spans="1:6" x14ac:dyDescent="0.35">
      <c r="A3" s="140"/>
      <c r="B3" s="680" t="s">
        <v>879</v>
      </c>
      <c r="C3" s="742" t="str">
        <f>IF(OR(Welcome!$D$8="PON Only",Welcome!$D$8="PON w/ Incentive"),"ALC PON "&amp;'MDA Worksheet'!$R$14,"ALCM "&amp;'MDA Worksheet'!$R$14)</f>
        <v>ALCM 0</v>
      </c>
      <c r="D3" s="140"/>
      <c r="E3" s="742"/>
      <c r="F3" s="140"/>
    </row>
    <row r="4" spans="1:6" x14ac:dyDescent="0.35">
      <c r="A4" s="140"/>
      <c r="B4" s="680" t="s">
        <v>882</v>
      </c>
      <c r="C4" s="743">
        <f>'Required Info to Submit'!$F$14</f>
        <v>44332</v>
      </c>
      <c r="D4" s="140"/>
      <c r="E4" s="140"/>
      <c r="F4" s="140"/>
    </row>
    <row r="5" spans="1:6" x14ac:dyDescent="0.35">
      <c r="A5" s="140"/>
      <c r="B5" s="680" t="s">
        <v>883</v>
      </c>
      <c r="C5" s="742" t="s">
        <v>884</v>
      </c>
      <c r="D5" s="140"/>
      <c r="E5" s="140"/>
      <c r="F5" s="140"/>
    </row>
    <row r="6" spans="1:6" x14ac:dyDescent="0.35">
      <c r="A6" s="140"/>
      <c r="B6" s="1336" t="s">
        <v>887</v>
      </c>
      <c r="C6" s="1337"/>
      <c r="D6" s="140"/>
      <c r="E6" s="140"/>
      <c r="F6" s="140"/>
    </row>
    <row r="7" spans="1:6" x14ac:dyDescent="0.35">
      <c r="A7" s="140"/>
      <c r="B7" s="680" t="s">
        <v>880</v>
      </c>
      <c r="C7" s="742" t="s">
        <v>1251</v>
      </c>
      <c r="D7" s="140"/>
      <c r="E7" s="140"/>
      <c r="F7" s="140"/>
    </row>
    <row r="8" spans="1:6" x14ac:dyDescent="0.35">
      <c r="A8" s="140"/>
      <c r="B8" s="680" t="s">
        <v>881</v>
      </c>
      <c r="C8" s="742" t="s">
        <v>681</v>
      </c>
      <c r="D8" s="140"/>
      <c r="E8" s="140"/>
      <c r="F8" s="140"/>
    </row>
    <row r="9" spans="1:6" x14ac:dyDescent="0.35">
      <c r="A9" s="140"/>
      <c r="B9" s="680" t="s">
        <v>885</v>
      </c>
      <c r="C9" s="742">
        <f>'MDA Worksheet'!$K$10</f>
        <v>0</v>
      </c>
      <c r="D9" s="140"/>
      <c r="E9" s="140"/>
      <c r="F9" s="140"/>
    </row>
    <row r="10" spans="1:6" x14ac:dyDescent="0.35">
      <c r="A10" s="140"/>
      <c r="B10" s="680" t="s">
        <v>801</v>
      </c>
      <c r="C10" s="743">
        <f>'Required Info to Submit'!$F$14</f>
        <v>44332</v>
      </c>
      <c r="D10" s="140"/>
      <c r="E10" s="140"/>
      <c r="F10" s="140"/>
    </row>
    <row r="11" spans="1:6" x14ac:dyDescent="0.35">
      <c r="A11" s="140"/>
      <c r="B11" s="680" t="s">
        <v>802</v>
      </c>
      <c r="C11" s="743">
        <f>IF(C20="NO",C10+370,'MDA Worksheet'!$AV$24)</f>
        <v>44338</v>
      </c>
      <c r="D11" s="140"/>
      <c r="E11" s="140"/>
      <c r="F11" s="140"/>
    </row>
    <row r="12" spans="1:6" x14ac:dyDescent="0.35">
      <c r="A12" s="140"/>
      <c r="B12" s="680" t="s">
        <v>886</v>
      </c>
      <c r="C12" s="742" t="s">
        <v>707</v>
      </c>
      <c r="D12" s="140"/>
      <c r="E12" s="140"/>
      <c r="F12" s="140"/>
    </row>
    <row r="13" spans="1:6" x14ac:dyDescent="0.35">
      <c r="A13" s="140"/>
      <c r="B13" s="1336" t="s">
        <v>888</v>
      </c>
      <c r="C13" s="1337"/>
      <c r="D13" s="140"/>
      <c r="E13" s="140"/>
      <c r="F13" s="140"/>
    </row>
    <row r="14" spans="1:6" x14ac:dyDescent="0.35">
      <c r="A14" s="140"/>
      <c r="B14" s="744" t="s">
        <v>889</v>
      </c>
      <c r="C14" s="742">
        <v>1.75</v>
      </c>
      <c r="D14" s="140"/>
      <c r="E14" s="140"/>
      <c r="F14" s="140"/>
    </row>
    <row r="15" spans="1:6" x14ac:dyDescent="0.35">
      <c r="A15" s="140"/>
      <c r="B15" s="744" t="s">
        <v>890</v>
      </c>
      <c r="C15" s="742" t="s">
        <v>891</v>
      </c>
      <c r="D15" s="140"/>
      <c r="E15" s="140"/>
      <c r="F15" s="140"/>
    </row>
    <row r="16" spans="1:6" x14ac:dyDescent="0.35">
      <c r="A16" s="140"/>
      <c r="B16" s="744" t="s">
        <v>892</v>
      </c>
      <c r="C16" s="742" t="s">
        <v>692</v>
      </c>
      <c r="D16" s="140"/>
      <c r="E16" s="140"/>
      <c r="F16" s="140"/>
    </row>
    <row r="17" spans="1:6" x14ac:dyDescent="0.35">
      <c r="A17" s="140"/>
      <c r="B17" s="744" t="s">
        <v>893</v>
      </c>
      <c r="C17" s="742" t="s">
        <v>894</v>
      </c>
      <c r="D17" s="140"/>
      <c r="E17" s="140"/>
      <c r="F17" s="140"/>
    </row>
    <row r="18" spans="1:6" x14ac:dyDescent="0.35">
      <c r="A18" s="140"/>
      <c r="B18" s="744" t="s">
        <v>895</v>
      </c>
      <c r="C18" s="742">
        <v>25</v>
      </c>
      <c r="D18" s="140"/>
      <c r="E18" s="140"/>
      <c r="F18" s="140"/>
    </row>
    <row r="19" spans="1:6" x14ac:dyDescent="0.35">
      <c r="A19" s="140"/>
      <c r="B19" s="744" t="s">
        <v>896</v>
      </c>
      <c r="C19" s="742" t="s">
        <v>496</v>
      </c>
      <c r="D19" s="140"/>
      <c r="E19" s="140"/>
      <c r="F19" s="140"/>
    </row>
    <row r="20" spans="1:6" x14ac:dyDescent="0.35">
      <c r="A20" s="140"/>
      <c r="B20" s="744" t="s">
        <v>897</v>
      </c>
      <c r="C20" s="742" t="str">
        <f>IF(OR(Welcome!$D$8="PON Only",Welcome!$D$8="PON w/ Incentive"),"NO","YES")</f>
        <v>YES</v>
      </c>
      <c r="D20" s="140"/>
      <c r="E20" s="140"/>
      <c r="F20" s="140"/>
    </row>
    <row r="21" spans="1:6" x14ac:dyDescent="0.35">
      <c r="A21" s="140"/>
      <c r="B21" s="744" t="s">
        <v>898</v>
      </c>
      <c r="C21" s="742" t="str">
        <f>IF($C$20="No","","Semi-Annually")</f>
        <v>Semi-Annually</v>
      </c>
      <c r="D21" s="140"/>
      <c r="E21" s="140"/>
      <c r="F21" s="140"/>
    </row>
    <row r="22" spans="1:6" x14ac:dyDescent="0.35">
      <c r="A22" s="140"/>
      <c r="B22" s="744" t="s">
        <v>899</v>
      </c>
      <c r="C22" s="745" t="str">
        <f>'MDA Worksheet'!$T$38</f>
        <v>Error on A La Carte</v>
      </c>
      <c r="D22" s="140"/>
      <c r="E22" s="140"/>
      <c r="F22" s="140"/>
    </row>
    <row r="23" spans="1:6" x14ac:dyDescent="0.35">
      <c r="A23" s="140"/>
      <c r="B23" s="744" t="s">
        <v>900</v>
      </c>
      <c r="C23" s="746" t="str">
        <f>'MDA Worksheet'!$T$36</f>
        <v>Error on A La Carte</v>
      </c>
      <c r="D23" s="140"/>
      <c r="E23" s="140"/>
      <c r="F23" s="140"/>
    </row>
    <row r="24" spans="1:6" ht="15" thickBot="1" x14ac:dyDescent="0.4">
      <c r="A24" s="140"/>
      <c r="B24" s="747" t="s">
        <v>901</v>
      </c>
      <c r="C24" s="748">
        <v>2</v>
      </c>
      <c r="D24" s="140"/>
      <c r="E24" s="140"/>
      <c r="F24" s="140"/>
    </row>
    <row r="25" spans="1:6" x14ac:dyDescent="0.35">
      <c r="A25" s="140"/>
      <c r="B25" s="140"/>
      <c r="C25" s="741"/>
      <c r="D25" s="140"/>
      <c r="E25" s="140"/>
      <c r="F25" s="140"/>
    </row>
    <row r="26" spans="1:6" x14ac:dyDescent="0.35">
      <c r="A26" s="140"/>
      <c r="B26" s="140"/>
      <c r="C26" s="741"/>
      <c r="D26" s="140"/>
      <c r="E26" s="140"/>
      <c r="F26" s="140"/>
    </row>
    <row r="27" spans="1:6" x14ac:dyDescent="0.3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4.5" x14ac:dyDescent="0.35"/>
  <cols>
    <col min="1" max="1" width="4.7265625" bestFit="1" customWidth="1"/>
    <col min="2" max="2" width="16.54296875" style="865" bestFit="1" customWidth="1"/>
    <col min="3" max="3" width="28" style="865" bestFit="1" customWidth="1"/>
    <col min="4" max="4" width="10.81640625" bestFit="1" customWidth="1"/>
    <col min="5" max="5" width="15.81640625" bestFit="1" customWidth="1"/>
  </cols>
  <sheetData>
    <row r="1" spans="1:5" x14ac:dyDescent="0.35">
      <c r="A1" s="865" t="s">
        <v>1230</v>
      </c>
      <c r="B1" s="865" t="s">
        <v>1233</v>
      </c>
      <c r="C1" s="865" t="s">
        <v>1234</v>
      </c>
      <c r="D1" s="22" t="s">
        <v>1231</v>
      </c>
      <c r="E1" s="22" t="s">
        <v>1232</v>
      </c>
    </row>
    <row r="2" spans="1:5" x14ac:dyDescent="0.35">
      <c r="A2" s="865" t="s">
        <v>193</v>
      </c>
      <c r="B2" s="865">
        <v>2020</v>
      </c>
      <c r="C2" s="865" t="s">
        <v>927</v>
      </c>
      <c r="D2" s="22">
        <v>2.7739631938930701E-2</v>
      </c>
      <c r="E2" s="22">
        <v>2.7125016276518699E-2</v>
      </c>
    </row>
    <row r="3" spans="1:5" x14ac:dyDescent="0.35">
      <c r="A3" s="865" t="s">
        <v>192</v>
      </c>
      <c r="B3" s="865">
        <v>2180</v>
      </c>
      <c r="C3" s="865" t="s">
        <v>79</v>
      </c>
      <c r="D3" s="22">
        <v>2.8536064274713099E-2</v>
      </c>
      <c r="E3" s="22">
        <v>2.7125016276518699E-2</v>
      </c>
    </row>
    <row r="4" spans="1:5" x14ac:dyDescent="0.35">
      <c r="A4" s="865" t="s">
        <v>191</v>
      </c>
      <c r="B4" s="865">
        <v>2160</v>
      </c>
      <c r="C4" s="865" t="s">
        <v>28</v>
      </c>
      <c r="D4" s="22">
        <v>3.1885529773458002E-2</v>
      </c>
      <c r="E4" s="22">
        <v>2.7125016276518699E-2</v>
      </c>
    </row>
    <row r="5" spans="1:5" x14ac:dyDescent="0.35">
      <c r="A5" s="865" t="s">
        <v>190</v>
      </c>
      <c r="B5" s="865">
        <v>2110</v>
      </c>
      <c r="C5" s="865" t="s">
        <v>33</v>
      </c>
      <c r="D5" s="22">
        <v>2.82674148233787E-2</v>
      </c>
      <c r="E5" s="22">
        <v>2.7125016276518699E-2</v>
      </c>
    </row>
    <row r="6" spans="1:5" x14ac:dyDescent="0.35">
      <c r="A6" s="865" t="s">
        <v>189</v>
      </c>
      <c r="B6" s="865">
        <v>2165</v>
      </c>
      <c r="C6" s="865" t="s">
        <v>81</v>
      </c>
      <c r="D6" s="22">
        <v>2.7125016276518699E-2</v>
      </c>
      <c r="E6" s="22">
        <v>2.7125016276518699E-2</v>
      </c>
    </row>
    <row r="7" spans="1:5" x14ac:dyDescent="0.35">
      <c r="A7" s="865" t="s">
        <v>188</v>
      </c>
      <c r="B7" s="865">
        <v>2170</v>
      </c>
      <c r="C7" s="865" t="s">
        <v>122</v>
      </c>
      <c r="D7" s="22">
        <v>2.59925926894349E-2</v>
      </c>
      <c r="E7" s="22">
        <v>2.7125016276518699E-2</v>
      </c>
    </row>
    <row r="8" spans="1:5" x14ac:dyDescent="0.35">
      <c r="A8" s="865" t="s">
        <v>187</v>
      </c>
      <c r="B8" s="865">
        <v>2148</v>
      </c>
      <c r="C8" s="865" t="s">
        <v>64</v>
      </c>
      <c r="D8" s="22">
        <v>2.6095112304206601E-2</v>
      </c>
      <c r="E8" s="22">
        <v>2.7125016276518699E-2</v>
      </c>
    </row>
    <row r="9" spans="1:5" x14ac:dyDescent="0.35">
      <c r="A9" s="865" t="s">
        <v>186</v>
      </c>
      <c r="B9" s="865">
        <v>2190</v>
      </c>
      <c r="C9" s="865" t="s">
        <v>19</v>
      </c>
      <c r="D9" s="22">
        <v>2.81140048372523E-2</v>
      </c>
      <c r="E9" s="22">
        <v>2.7125016276518699E-2</v>
      </c>
    </row>
    <row r="10" spans="1:5" x14ac:dyDescent="0.35">
      <c r="A10" s="865" t="s">
        <v>185</v>
      </c>
      <c r="B10" s="865">
        <v>2116</v>
      </c>
      <c r="C10" s="865" t="s">
        <v>59</v>
      </c>
      <c r="D10" s="22">
        <v>2.9944763320575302E-2</v>
      </c>
      <c r="E10" s="22">
        <v>2.7125016276518699E-2</v>
      </c>
    </row>
    <row r="11" spans="1:5" x14ac:dyDescent="0.35">
      <c r="A11" s="865" t="s">
        <v>184</v>
      </c>
      <c r="B11" s="865">
        <v>248</v>
      </c>
      <c r="C11" s="865" t="s">
        <v>1111</v>
      </c>
      <c r="D11" s="22">
        <v>2.6464657930859201E-2</v>
      </c>
      <c r="E11" s="22">
        <v>2.7125016276518699E-2</v>
      </c>
    </row>
    <row r="12" spans="1:5" x14ac:dyDescent="0.35">
      <c r="A12" s="865" t="s">
        <v>182</v>
      </c>
      <c r="B12" s="865">
        <v>2350</v>
      </c>
      <c r="C12" s="865" t="s">
        <v>39</v>
      </c>
      <c r="D12" s="22">
        <v>2.9415639585766401E-2</v>
      </c>
      <c r="E12" s="22">
        <v>2.7125016276518699E-2</v>
      </c>
    </row>
    <row r="13" spans="1:5" x14ac:dyDescent="0.35">
      <c r="A13" s="865" t="s">
        <v>181</v>
      </c>
      <c r="B13" s="865">
        <v>2345</v>
      </c>
      <c r="C13" s="865" t="s">
        <v>928</v>
      </c>
      <c r="D13" s="22">
        <v>2.6962706679612598E-2</v>
      </c>
      <c r="E13" s="22">
        <v>2.7125016276518699E-2</v>
      </c>
    </row>
    <row r="14" spans="1:5" x14ac:dyDescent="0.35">
      <c r="A14" s="865" t="s">
        <v>180</v>
      </c>
      <c r="B14" s="865">
        <v>2330</v>
      </c>
      <c r="C14" s="865" t="s">
        <v>31</v>
      </c>
      <c r="D14" s="22">
        <v>2.6792509343913602E-2</v>
      </c>
      <c r="E14" s="22">
        <v>2.7125016276518699E-2</v>
      </c>
    </row>
    <row r="15" spans="1:5" x14ac:dyDescent="0.35">
      <c r="A15" s="865" t="s">
        <v>179</v>
      </c>
      <c r="B15" s="865">
        <v>2340</v>
      </c>
      <c r="C15" s="865" t="s">
        <v>929</v>
      </c>
      <c r="D15" s="22">
        <v>2.53908115053765E-2</v>
      </c>
      <c r="E15" s="22">
        <v>2.7125016276518699E-2</v>
      </c>
    </row>
    <row r="16" spans="1:5" x14ac:dyDescent="0.35">
      <c r="A16" s="865" t="s">
        <v>178</v>
      </c>
      <c r="B16" s="865">
        <v>4100</v>
      </c>
      <c r="C16" s="865" t="s">
        <v>52</v>
      </c>
      <c r="D16" s="22">
        <v>2.9901342297929501E-2</v>
      </c>
      <c r="E16" s="22">
        <v>2.7125016276518699E-2</v>
      </c>
    </row>
    <row r="17" spans="1:5" x14ac:dyDescent="0.35">
      <c r="A17" s="865" t="s">
        <v>1126</v>
      </c>
      <c r="B17" s="865">
        <v>2355</v>
      </c>
      <c r="C17" s="865" t="s">
        <v>1127</v>
      </c>
      <c r="D17" s="22">
        <v>3.4605844000615303E-2</v>
      </c>
      <c r="E17" s="22">
        <v>2.7125016276518699E-2</v>
      </c>
    </row>
    <row r="18" spans="1:5" x14ac:dyDescent="0.35">
      <c r="A18" s="865" t="s">
        <v>177</v>
      </c>
      <c r="B18" s="865">
        <v>1054</v>
      </c>
      <c r="C18" s="865" t="s">
        <v>46</v>
      </c>
      <c r="D18" s="22">
        <v>2.8511953382644999E-2</v>
      </c>
      <c r="E18" s="22">
        <v>2.7125016276518699E-2</v>
      </c>
    </row>
    <row r="19" spans="1:5" x14ac:dyDescent="0.35">
      <c r="A19" s="865" t="s">
        <v>176</v>
      </c>
      <c r="B19" s="865">
        <v>1103</v>
      </c>
      <c r="C19" s="865" t="s">
        <v>22</v>
      </c>
      <c r="D19" s="22">
        <v>3.0860519002866901E-2</v>
      </c>
      <c r="E19" s="22">
        <v>2.7125016276518699E-2</v>
      </c>
    </row>
    <row r="20" spans="1:5" x14ac:dyDescent="0.35">
      <c r="A20" s="865" t="s">
        <v>175</v>
      </c>
      <c r="B20" s="865">
        <v>2099</v>
      </c>
      <c r="C20" s="865" t="s">
        <v>58</v>
      </c>
      <c r="D20" s="22">
        <v>2.5143112075853E-2</v>
      </c>
      <c r="E20" s="22">
        <v>2.7125016276518699E-2</v>
      </c>
    </row>
    <row r="21" spans="1:5" x14ac:dyDescent="0.35">
      <c r="A21" s="865" t="s">
        <v>174</v>
      </c>
      <c r="B21" s="865">
        <v>1104</v>
      </c>
      <c r="C21" s="865" t="s">
        <v>43</v>
      </c>
      <c r="D21" s="22">
        <v>2.9510551954597099E-2</v>
      </c>
      <c r="E21" s="22">
        <v>2.7125016276518699E-2</v>
      </c>
    </row>
    <row r="22" spans="1:5" x14ac:dyDescent="0.35">
      <c r="A22" s="865" t="s">
        <v>173</v>
      </c>
      <c r="B22" s="865">
        <v>4120</v>
      </c>
      <c r="C22" s="865" t="s">
        <v>63</v>
      </c>
      <c r="D22" s="22">
        <v>2.78821251138664E-2</v>
      </c>
      <c r="E22" s="22">
        <v>2.7125016276518699E-2</v>
      </c>
    </row>
    <row r="23" spans="1:5" x14ac:dyDescent="0.35">
      <c r="A23" s="865" t="s">
        <v>172</v>
      </c>
      <c r="B23" s="865">
        <v>4118</v>
      </c>
      <c r="C23" s="865" t="s">
        <v>30</v>
      </c>
      <c r="D23" s="22">
        <v>2.7490429003036599E-2</v>
      </c>
      <c r="E23" s="22">
        <v>2.7125016276518699E-2</v>
      </c>
    </row>
    <row r="24" spans="1:5" x14ac:dyDescent="0.35">
      <c r="A24" s="865" t="s">
        <v>171</v>
      </c>
      <c r="B24" s="865">
        <v>4146</v>
      </c>
      <c r="C24" s="865" t="s">
        <v>54</v>
      </c>
      <c r="D24" s="22">
        <v>2.6943630265373199E-2</v>
      </c>
      <c r="E24" s="22">
        <v>2.7125016276518699E-2</v>
      </c>
    </row>
    <row r="25" spans="1:5" x14ac:dyDescent="0.35">
      <c r="A25" s="865" t="s">
        <v>170</v>
      </c>
      <c r="B25" s="865">
        <v>4140</v>
      </c>
      <c r="C25" s="865" t="s">
        <v>40</v>
      </c>
      <c r="D25" s="22">
        <v>2.67651154233217E-2</v>
      </c>
      <c r="E25" s="22">
        <v>2.7125016276518699E-2</v>
      </c>
    </row>
    <row r="26" spans="1:5" x14ac:dyDescent="0.35">
      <c r="A26" s="865" t="s">
        <v>169</v>
      </c>
      <c r="B26" s="865">
        <v>4117</v>
      </c>
      <c r="C26" s="865" t="s">
        <v>17</v>
      </c>
      <c r="D26" s="22">
        <v>2.6616857866198201E-2</v>
      </c>
      <c r="E26" s="22">
        <v>2.7125016276518699E-2</v>
      </c>
    </row>
    <row r="27" spans="1:5" x14ac:dyDescent="0.35">
      <c r="A27" s="865" t="s">
        <v>168</v>
      </c>
      <c r="B27" s="865">
        <v>4147</v>
      </c>
      <c r="C27" s="865" t="s">
        <v>1272</v>
      </c>
      <c r="D27" s="22">
        <v>2.9100000000000001E-2</v>
      </c>
      <c r="E27" s="22">
        <v>2.7125016276518699E-2</v>
      </c>
    </row>
    <row r="28" spans="1:5" x14ac:dyDescent="0.35">
      <c r="A28" s="865" t="s">
        <v>167</v>
      </c>
      <c r="B28" s="865">
        <v>4110</v>
      </c>
      <c r="C28" s="865" t="s">
        <v>73</v>
      </c>
      <c r="D28" s="22">
        <v>2.65128206477999E-2</v>
      </c>
      <c r="E28" s="22">
        <v>2.7125016276518699E-2</v>
      </c>
    </row>
    <row r="29" spans="1:5" x14ac:dyDescent="0.35">
      <c r="A29" s="865" t="s">
        <v>166</v>
      </c>
      <c r="B29" s="865">
        <v>4150</v>
      </c>
      <c r="C29" s="865" t="s">
        <v>55</v>
      </c>
      <c r="D29" s="22">
        <v>2.3355361617324301E-2</v>
      </c>
      <c r="E29" s="22">
        <v>2.7125016276518699E-2</v>
      </c>
    </row>
    <row r="30" spans="1:5" x14ac:dyDescent="0.35">
      <c r="A30" s="865" t="s">
        <v>165</v>
      </c>
      <c r="B30" s="865">
        <v>3190</v>
      </c>
      <c r="C30" s="865" t="s">
        <v>27</v>
      </c>
      <c r="D30" s="22">
        <v>2.8324561503501499E-2</v>
      </c>
      <c r="E30" s="22">
        <v>2.7125016276518699E-2</v>
      </c>
    </row>
    <row r="31" spans="1:5" x14ac:dyDescent="0.35">
      <c r="A31" s="865" t="s">
        <v>164</v>
      </c>
      <c r="B31" s="865">
        <v>2260</v>
      </c>
      <c r="C31" s="865" t="s">
        <v>10</v>
      </c>
      <c r="D31" s="22">
        <v>2.59598075038967E-2</v>
      </c>
      <c r="E31" s="22">
        <v>2.7125016276518699E-2</v>
      </c>
    </row>
    <row r="32" spans="1:5" x14ac:dyDescent="0.35">
      <c r="A32" s="865" t="s">
        <v>163</v>
      </c>
      <c r="B32" s="865">
        <v>2210</v>
      </c>
      <c r="C32" s="865" t="s">
        <v>121</v>
      </c>
      <c r="D32" s="22">
        <v>2.3893251208070801E-2</v>
      </c>
      <c r="E32" s="22">
        <v>2.7125016276518699E-2</v>
      </c>
    </row>
    <row r="33" spans="1:5" x14ac:dyDescent="0.35">
      <c r="A33" s="865" t="s">
        <v>162</v>
      </c>
      <c r="B33" s="865">
        <v>2240</v>
      </c>
      <c r="C33" s="865" t="s">
        <v>16</v>
      </c>
      <c r="D33" s="22">
        <v>2.74803575467139E-2</v>
      </c>
      <c r="E33" s="22">
        <v>2.7125016276518699E-2</v>
      </c>
    </row>
    <row r="34" spans="1:5" x14ac:dyDescent="0.35">
      <c r="A34" s="865" t="s">
        <v>161</v>
      </c>
      <c r="B34" s="865">
        <v>2220</v>
      </c>
      <c r="C34" s="865" t="s">
        <v>5</v>
      </c>
      <c r="D34" s="22">
        <v>2.5343147655549899E-2</v>
      </c>
      <c r="E34" s="22">
        <v>2.7125016276518699E-2</v>
      </c>
    </row>
    <row r="35" spans="1:5" x14ac:dyDescent="0.35">
      <c r="A35" s="865" t="s">
        <v>160</v>
      </c>
      <c r="B35" s="865">
        <v>2125</v>
      </c>
      <c r="C35" s="865" t="s">
        <v>21</v>
      </c>
      <c r="D35" s="22">
        <v>2.6682633749483799E-2</v>
      </c>
      <c r="E35" s="22">
        <v>2.7125016276518699E-2</v>
      </c>
    </row>
    <row r="36" spans="1:5" x14ac:dyDescent="0.35">
      <c r="A36" s="865" t="s">
        <v>159</v>
      </c>
      <c r="B36" s="865">
        <v>2230</v>
      </c>
      <c r="C36" s="865" t="s">
        <v>49</v>
      </c>
      <c r="D36" s="22">
        <v>2.67508594907159E-2</v>
      </c>
      <c r="E36" s="22">
        <v>2.7125016276518699E-2</v>
      </c>
    </row>
    <row r="37" spans="1:5" x14ac:dyDescent="0.35">
      <c r="A37" s="865" t="s">
        <v>158</v>
      </c>
      <c r="B37" s="865">
        <v>3055</v>
      </c>
      <c r="C37" s="865" t="s">
        <v>7</v>
      </c>
      <c r="D37" s="22">
        <v>2.2915815988E-2</v>
      </c>
      <c r="E37" s="22">
        <v>2.7125016276518699E-2</v>
      </c>
    </row>
    <row r="38" spans="1:5" x14ac:dyDescent="0.35">
      <c r="A38" s="865" t="s">
        <v>1128</v>
      </c>
      <c r="B38" s="865">
        <v>2365</v>
      </c>
      <c r="C38" s="865" t="s">
        <v>1129</v>
      </c>
      <c r="D38" s="22">
        <v>2.87892046246566E-2</v>
      </c>
      <c r="E38" s="22">
        <v>2.7125016276518699E-2</v>
      </c>
    </row>
    <row r="39" spans="1:5" x14ac:dyDescent="0.35">
      <c r="A39" s="865" t="s">
        <v>157</v>
      </c>
      <c r="B39" s="865">
        <v>2250</v>
      </c>
      <c r="C39" s="865" t="s">
        <v>32</v>
      </c>
      <c r="D39" s="22">
        <v>2.5661957357599401E-2</v>
      </c>
      <c r="E39" s="22">
        <v>2.7125016276518699E-2</v>
      </c>
    </row>
    <row r="40" spans="1:5" x14ac:dyDescent="0.35">
      <c r="A40" s="865" t="s">
        <v>156</v>
      </c>
      <c r="B40" s="865">
        <v>3051</v>
      </c>
      <c r="C40" s="865" t="s">
        <v>76</v>
      </c>
      <c r="D40" s="22">
        <v>2.9814972600597098E-2</v>
      </c>
      <c r="E40" s="22">
        <v>2.7125016276518699E-2</v>
      </c>
    </row>
    <row r="41" spans="1:5" x14ac:dyDescent="0.35">
      <c r="A41" s="865" t="s">
        <v>155</v>
      </c>
      <c r="B41" s="865">
        <v>2370</v>
      </c>
      <c r="C41" s="865" t="s">
        <v>77</v>
      </c>
      <c r="D41" s="22">
        <v>2.35030648067363E-2</v>
      </c>
      <c r="E41" s="22">
        <v>2.7125016276518699E-2</v>
      </c>
    </row>
    <row r="42" spans="1:5" x14ac:dyDescent="0.35">
      <c r="A42" s="865" t="s">
        <v>154</v>
      </c>
      <c r="B42" s="865">
        <v>2135</v>
      </c>
      <c r="C42" s="865" t="s">
        <v>25</v>
      </c>
      <c r="D42" s="22">
        <v>2.6421829910205499E-2</v>
      </c>
      <c r="E42" s="22">
        <v>2.7125016276518699E-2</v>
      </c>
    </row>
    <row r="43" spans="1:5" x14ac:dyDescent="0.35">
      <c r="A43" s="865" t="s">
        <v>153</v>
      </c>
      <c r="B43" s="865">
        <v>2270</v>
      </c>
      <c r="C43" s="865" t="s">
        <v>2</v>
      </c>
      <c r="D43" s="22">
        <v>2.3666354884089899E-2</v>
      </c>
      <c r="E43" s="22">
        <v>2.7125016276518699E-2</v>
      </c>
    </row>
    <row r="44" spans="1:5" x14ac:dyDescent="0.35">
      <c r="A44" s="865" t="s">
        <v>152</v>
      </c>
      <c r="B44" s="865">
        <v>3230</v>
      </c>
      <c r="C44" s="865" t="s">
        <v>37</v>
      </c>
      <c r="D44" s="22">
        <v>2.6730080332460899E-2</v>
      </c>
      <c r="E44" s="22">
        <v>2.7125016276518699E-2</v>
      </c>
    </row>
    <row r="45" spans="1:5" x14ac:dyDescent="0.35">
      <c r="A45" s="865" t="s">
        <v>151</v>
      </c>
      <c r="B45" s="865">
        <v>3170</v>
      </c>
      <c r="C45" s="865" t="s">
        <v>24</v>
      </c>
      <c r="D45" s="22">
        <v>2.7054357310372E-2</v>
      </c>
      <c r="E45" s="22">
        <v>2.7125016276518699E-2</v>
      </c>
    </row>
    <row r="46" spans="1:5" x14ac:dyDescent="0.35">
      <c r="A46" s="865" t="s">
        <v>150</v>
      </c>
      <c r="B46" s="865">
        <v>3120</v>
      </c>
      <c r="C46" s="865" t="s">
        <v>68</v>
      </c>
      <c r="D46" s="22">
        <v>2.6123399008142499E-2</v>
      </c>
      <c r="E46" s="22">
        <v>2.7125016276518699E-2</v>
      </c>
    </row>
    <row r="47" spans="1:5" x14ac:dyDescent="0.35">
      <c r="A47" s="865" t="s">
        <v>149</v>
      </c>
      <c r="B47" s="865">
        <v>3186</v>
      </c>
      <c r="C47" s="865" t="s">
        <v>65</v>
      </c>
      <c r="D47" s="22">
        <v>2.8135776475119102E-2</v>
      </c>
      <c r="E47" s="22">
        <v>2.7125016276518699E-2</v>
      </c>
    </row>
    <row r="48" spans="1:5" x14ac:dyDescent="0.35">
      <c r="A48" s="865" t="s">
        <v>148</v>
      </c>
      <c r="B48" s="865">
        <v>3160</v>
      </c>
      <c r="C48" s="865" t="s">
        <v>50</v>
      </c>
      <c r="D48" s="22">
        <v>2.8067018330258899E-2</v>
      </c>
      <c r="E48" s="22">
        <v>2.7125016276518699E-2</v>
      </c>
    </row>
    <row r="49" spans="1:5" x14ac:dyDescent="0.35">
      <c r="A49" s="865" t="s">
        <v>147</v>
      </c>
      <c r="B49" s="865">
        <v>3150</v>
      </c>
      <c r="C49" s="865" t="s">
        <v>26</v>
      </c>
      <c r="D49" s="22">
        <v>2.6046662387047999E-2</v>
      </c>
      <c r="E49" s="22">
        <v>2.7125016276518699E-2</v>
      </c>
    </row>
    <row r="50" spans="1:5" x14ac:dyDescent="0.35">
      <c r="A50" s="865" t="s">
        <v>146</v>
      </c>
      <c r="B50" s="865">
        <v>3126</v>
      </c>
      <c r="C50" s="865" t="s">
        <v>80</v>
      </c>
      <c r="D50" s="22">
        <v>2.4500408399063801E-2</v>
      </c>
      <c r="E50" s="22">
        <v>2.7125016276518699E-2</v>
      </c>
    </row>
    <row r="51" spans="1:5" x14ac:dyDescent="0.35">
      <c r="A51" s="865" t="s">
        <v>145</v>
      </c>
      <c r="B51" s="865">
        <v>3023</v>
      </c>
      <c r="C51" s="865" t="s">
        <v>42</v>
      </c>
      <c r="D51" s="22">
        <v>2.72264414110285E-2</v>
      </c>
      <c r="E51" s="22">
        <v>2.7125016276518699E-2</v>
      </c>
    </row>
    <row r="52" spans="1:5" x14ac:dyDescent="0.35">
      <c r="A52" s="865" t="s">
        <v>144</v>
      </c>
      <c r="B52" s="865">
        <v>2185</v>
      </c>
      <c r="C52" s="865" t="s">
        <v>53</v>
      </c>
      <c r="D52" s="22">
        <v>2.59344882196802E-2</v>
      </c>
      <c r="E52" s="22">
        <v>2.7125016276518699E-2</v>
      </c>
    </row>
    <row r="53" spans="1:5" x14ac:dyDescent="0.35">
      <c r="A53" s="865" t="s">
        <v>143</v>
      </c>
      <c r="B53" s="865">
        <v>1106</v>
      </c>
      <c r="C53" s="865" t="s">
        <v>67</v>
      </c>
      <c r="D53" s="22">
        <v>2.8050323067163201E-2</v>
      </c>
      <c r="E53" s="22">
        <v>2.7125016276518699E-2</v>
      </c>
    </row>
    <row r="54" spans="1:5" x14ac:dyDescent="0.35">
      <c r="A54" s="865" t="s">
        <v>142</v>
      </c>
      <c r="B54" s="865">
        <v>3135</v>
      </c>
      <c r="C54" s="865" t="s">
        <v>29</v>
      </c>
      <c r="D54" s="22">
        <v>2.16945751008298E-2</v>
      </c>
      <c r="E54" s="22">
        <v>2.7125016276518699E-2</v>
      </c>
    </row>
    <row r="55" spans="1:5" x14ac:dyDescent="0.35">
      <c r="A55" s="865" t="s">
        <v>385</v>
      </c>
      <c r="B55" s="865">
        <v>3139</v>
      </c>
      <c r="C55" s="865" t="s">
        <v>250</v>
      </c>
      <c r="D55" s="22">
        <v>2.8207940601015499E-2</v>
      </c>
      <c r="E55" s="22">
        <v>2.7125016276518699E-2</v>
      </c>
    </row>
    <row r="56" spans="1:5" x14ac:dyDescent="0.35">
      <c r="A56" s="865" t="s">
        <v>141</v>
      </c>
      <c r="B56" s="865">
        <v>3147</v>
      </c>
      <c r="C56" s="865" t="s">
        <v>51</v>
      </c>
      <c r="D56" s="22">
        <v>2.5867145176892099E-2</v>
      </c>
      <c r="E56" s="22">
        <v>2.7125016276518699E-2</v>
      </c>
    </row>
    <row r="57" spans="1:5" x14ac:dyDescent="0.35">
      <c r="A57" s="865" t="s">
        <v>140</v>
      </c>
      <c r="B57" s="865">
        <v>3210</v>
      </c>
      <c r="C57" s="865" t="s">
        <v>47</v>
      </c>
      <c r="D57" s="22">
        <v>2.74445239361195E-2</v>
      </c>
      <c r="E57" s="22">
        <v>2.7125016276518699E-2</v>
      </c>
    </row>
    <row r="58" spans="1:5" x14ac:dyDescent="0.35">
      <c r="A58" s="865" t="s">
        <v>139</v>
      </c>
      <c r="B58" s="865">
        <v>1933</v>
      </c>
      <c r="C58" s="865" t="s">
        <v>56</v>
      </c>
      <c r="D58" s="22">
        <v>2.4213377365114599E-2</v>
      </c>
      <c r="E58" s="22">
        <v>2.7125016276518699E-2</v>
      </c>
    </row>
    <row r="59" spans="1:5" x14ac:dyDescent="0.35">
      <c r="A59" s="865" t="s">
        <v>138</v>
      </c>
      <c r="B59" s="865">
        <v>2140</v>
      </c>
      <c r="C59" s="865" t="s">
        <v>12</v>
      </c>
      <c r="D59" s="22">
        <v>2.7858540698883199E-2</v>
      </c>
      <c r="E59" s="22">
        <v>2.7125016276518699E-2</v>
      </c>
    </row>
    <row r="60" spans="1:5" x14ac:dyDescent="0.35">
      <c r="A60" s="865" t="s">
        <v>137</v>
      </c>
      <c r="B60" s="865">
        <v>3103</v>
      </c>
      <c r="C60" s="865" t="s">
        <v>57</v>
      </c>
      <c r="D60" s="22">
        <v>2.4165289961531701E-2</v>
      </c>
      <c r="E60" s="22">
        <v>2.7125016276518699E-2</v>
      </c>
    </row>
    <row r="61" spans="1:5" x14ac:dyDescent="0.35">
      <c r="A61" s="865" t="s">
        <v>136</v>
      </c>
      <c r="B61" s="865">
        <v>2360</v>
      </c>
      <c r="C61" s="865" t="s">
        <v>72</v>
      </c>
      <c r="D61" s="22">
        <v>2.4943884894722299E-2</v>
      </c>
      <c r="E61" s="22">
        <v>2.7125016276518699E-2</v>
      </c>
    </row>
    <row r="62" spans="1:5" s="945" customFormat="1" x14ac:dyDescent="0.35">
      <c r="A62" s="945" t="s">
        <v>1270</v>
      </c>
      <c r="B62" s="945">
        <v>4170</v>
      </c>
      <c r="C62" s="945" t="s">
        <v>1271</v>
      </c>
      <c r="D62" s="22">
        <v>2.8799999999999999E-2</v>
      </c>
      <c r="E62" s="22">
        <v>2.7125016276518699E-2</v>
      </c>
    </row>
    <row r="63" spans="1:5" x14ac:dyDescent="0.35">
      <c r="A63" s="865" t="s">
        <v>134</v>
      </c>
      <c r="B63" s="865">
        <v>3220</v>
      </c>
      <c r="C63" s="865" t="s">
        <v>44</v>
      </c>
      <c r="D63" s="22">
        <v>2.5893581162679601E-2</v>
      </c>
      <c r="E63" s="22">
        <v>2.7125016276518699E-2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796875" defaultRowHeight="14.5" x14ac:dyDescent="0.35"/>
  <cols>
    <col min="1" max="1" width="10.26953125" style="800" bestFit="1" customWidth="1"/>
    <col min="2" max="2" width="31.453125" style="800" bestFit="1" customWidth="1"/>
    <col min="3" max="16384" width="9.1796875" style="800"/>
  </cols>
  <sheetData>
    <row r="1" spans="1:2" x14ac:dyDescent="0.35">
      <c r="A1" s="802" t="s">
        <v>1118</v>
      </c>
      <c r="B1" s="802" t="s">
        <v>1117</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796875" defaultRowHeight="14.5" x14ac:dyDescent="0.35"/>
  <cols>
    <col min="1" max="1" width="10.26953125" style="806" bestFit="1" customWidth="1"/>
    <col min="2" max="2" width="31.453125" style="806" bestFit="1" customWidth="1"/>
    <col min="3" max="16384" width="9.1796875" style="806"/>
  </cols>
  <sheetData>
    <row r="1" spans="1:4" x14ac:dyDescent="0.35">
      <c r="A1" s="802" t="s">
        <v>1118</v>
      </c>
      <c r="B1" s="802" t="s">
        <v>1117</v>
      </c>
      <c r="C1" s="806" t="s">
        <v>1113</v>
      </c>
      <c r="D1" s="806" t="s">
        <v>1114</v>
      </c>
    </row>
  </sheetData>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ColWidth="9.1796875" defaultRowHeight="14.5" x14ac:dyDescent="0.35"/>
  <cols>
    <col min="1" max="1" width="10.26953125" style="800" bestFit="1" customWidth="1"/>
    <col min="2" max="2" width="31.453125" style="800" bestFit="1" customWidth="1"/>
    <col min="3" max="3" width="20.453125" style="800" bestFit="1" customWidth="1"/>
    <col min="4" max="4" width="29.1796875" style="800" bestFit="1" customWidth="1"/>
    <col min="5" max="5" width="16" style="800" bestFit="1" customWidth="1"/>
    <col min="6" max="7" width="53.26953125" style="800" bestFit="1" customWidth="1"/>
    <col min="8" max="8" width="42.453125" style="800" bestFit="1" customWidth="1"/>
    <col min="9" max="9" width="10" style="800" bestFit="1" customWidth="1"/>
    <col min="10" max="10" width="6.7265625" style="800" bestFit="1" customWidth="1"/>
    <col min="11" max="11" width="14.7265625" style="800" bestFit="1" customWidth="1"/>
    <col min="12" max="12" width="15.81640625" style="800" bestFit="1" customWidth="1"/>
    <col min="13" max="13" width="15.1796875" style="800" bestFit="1" customWidth="1"/>
    <col min="14" max="14" width="24.453125" style="800" bestFit="1" customWidth="1"/>
    <col min="15" max="15" width="10" style="800" bestFit="1" customWidth="1"/>
    <col min="16" max="16" width="27" style="800" bestFit="1" customWidth="1"/>
    <col min="17" max="17" width="29.1796875" style="800" bestFit="1" customWidth="1"/>
    <col min="18" max="18" width="17" style="800" bestFit="1" customWidth="1"/>
    <col min="19" max="19" width="24.54296875" style="800" bestFit="1" customWidth="1"/>
    <col min="20" max="20" width="36.26953125" style="800" bestFit="1" customWidth="1"/>
    <col min="21" max="21" width="37.453125" style="800" bestFit="1" customWidth="1"/>
    <col min="22" max="22" width="9.7265625" style="800" bestFit="1" customWidth="1"/>
    <col min="23" max="23" width="19.54296875" style="800" bestFit="1" customWidth="1"/>
    <col min="24" max="24" width="6.26953125" style="800" bestFit="1" customWidth="1"/>
    <col min="25" max="25" width="28.81640625" style="800" bestFit="1" customWidth="1"/>
    <col min="26" max="26" width="26.54296875" style="800" bestFit="1" customWidth="1"/>
    <col min="27" max="27" width="16.453125" style="800" bestFit="1" customWidth="1"/>
    <col min="28" max="28" width="10.54296875" style="800" bestFit="1" customWidth="1"/>
    <col min="29" max="16384" width="9.1796875" style="800"/>
  </cols>
  <sheetData>
    <row r="1" spans="1:28" x14ac:dyDescent="0.35">
      <c r="A1" s="802" t="s">
        <v>1118</v>
      </c>
      <c r="B1" s="802" t="s">
        <v>1117</v>
      </c>
      <c r="C1" s="802" t="s">
        <v>1142</v>
      </c>
      <c r="D1" s="802" t="s">
        <v>1143</v>
      </c>
      <c r="E1" s="802" t="s">
        <v>1144</v>
      </c>
      <c r="F1" s="802" t="s">
        <v>1145</v>
      </c>
      <c r="G1" s="802" t="s">
        <v>1146</v>
      </c>
      <c r="H1" s="802" t="s">
        <v>1147</v>
      </c>
      <c r="I1" s="802" t="s">
        <v>1141</v>
      </c>
      <c r="J1" s="802" t="s">
        <v>1148</v>
      </c>
      <c r="K1" s="802" t="s">
        <v>1149</v>
      </c>
      <c r="L1" s="802" t="s">
        <v>1150</v>
      </c>
      <c r="M1" s="802" t="s">
        <v>1151</v>
      </c>
      <c r="N1" s="802" t="s">
        <v>1152</v>
      </c>
      <c r="O1" s="802" t="s">
        <v>1153</v>
      </c>
      <c r="P1" s="802" t="s">
        <v>1154</v>
      </c>
      <c r="Q1" s="802" t="s">
        <v>1155</v>
      </c>
      <c r="R1" s="802" t="s">
        <v>1156</v>
      </c>
      <c r="S1" s="802" t="s">
        <v>1157</v>
      </c>
      <c r="T1" s="802" t="s">
        <v>1158</v>
      </c>
      <c r="U1" s="802" t="s">
        <v>1159</v>
      </c>
      <c r="V1" s="802" t="s">
        <v>412</v>
      </c>
      <c r="W1" s="802" t="s">
        <v>1139</v>
      </c>
      <c r="X1" s="802" t="s">
        <v>1160</v>
      </c>
      <c r="Y1" s="802" t="s">
        <v>1161</v>
      </c>
      <c r="Z1" s="802" t="s">
        <v>1162</v>
      </c>
      <c r="AA1" s="802" t="s">
        <v>1163</v>
      </c>
      <c r="AB1" s="802" t="s">
        <v>1112</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796875" defaultRowHeight="14.5" x14ac:dyDescent="0.35"/>
  <cols>
    <col min="1" max="1" width="31.453125" style="800" bestFit="1" customWidth="1"/>
    <col min="2" max="2" width="10.26953125" style="800" bestFit="1" customWidth="1"/>
    <col min="3" max="3" width="33.453125" style="800" bestFit="1" customWidth="1"/>
    <col min="4" max="4" width="32.26953125" style="800" bestFit="1" customWidth="1"/>
    <col min="5" max="5" width="36.81640625" style="800" bestFit="1" customWidth="1"/>
    <col min="6" max="6" width="14.54296875" style="800" bestFit="1" customWidth="1"/>
    <col min="7" max="16384" width="9.1796875" style="800"/>
  </cols>
  <sheetData>
    <row r="1" spans="1:6" x14ac:dyDescent="0.35">
      <c r="A1" s="802" t="s">
        <v>1117</v>
      </c>
      <c r="B1" s="802" t="s">
        <v>1118</v>
      </c>
      <c r="C1" s="802" t="s">
        <v>1182</v>
      </c>
      <c r="D1" s="802" t="s">
        <v>1183</v>
      </c>
      <c r="E1" s="802" t="s">
        <v>1184</v>
      </c>
      <c r="F1" s="802" t="s">
        <v>1185</v>
      </c>
    </row>
  </sheetData>
  <sheetProtection selectLockedCells="1" selectUnlockedCells="1"/>
  <pageMargins left="0.7" right="0.7" top="0.75" bottom="0.75" header="0.3" footer="0.3"/>
  <pageSetup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796875" defaultRowHeight="14.5" x14ac:dyDescent="0.35"/>
  <cols>
    <col min="1" max="1" width="10.26953125" style="800" bestFit="1" customWidth="1"/>
    <col min="2" max="2" width="31.81640625" style="800" bestFit="1" customWidth="1"/>
    <col min="3" max="3" width="30" style="800" bestFit="1" customWidth="1"/>
    <col min="4" max="4" width="19.81640625" style="800" bestFit="1" customWidth="1"/>
    <col min="5" max="5" width="4.1796875" style="800" bestFit="1" customWidth="1"/>
    <col min="6" max="6" width="9.54296875" style="800" bestFit="1" customWidth="1"/>
    <col min="7" max="16384" width="9.1796875" style="800"/>
  </cols>
  <sheetData>
    <row r="1" spans="1:6" x14ac:dyDescent="0.35">
      <c r="A1" s="802" t="s">
        <v>1118</v>
      </c>
      <c r="B1" s="802" t="s">
        <v>1117</v>
      </c>
      <c r="C1" s="802" t="s">
        <v>1138</v>
      </c>
      <c r="D1" s="802" t="s">
        <v>1139</v>
      </c>
      <c r="E1" s="802" t="s">
        <v>1140</v>
      </c>
      <c r="F1" s="802" t="s">
        <v>1141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796875" defaultRowHeight="14.5" x14ac:dyDescent="0.35"/>
  <cols>
    <col min="1" max="1" width="10.54296875" style="800" bestFit="1" customWidth="1"/>
    <col min="2" max="2" width="40.26953125" style="800" bestFit="1" customWidth="1"/>
    <col min="3" max="3" width="15.1796875" style="800" bestFit="1" customWidth="1"/>
    <col min="4" max="4" width="8.81640625" style="800" bestFit="1" customWidth="1"/>
    <col min="5" max="5" width="29.1796875" style="800" bestFit="1" customWidth="1"/>
    <col min="6" max="6" width="18.81640625" style="800" bestFit="1" customWidth="1"/>
    <col min="7" max="7" width="18" style="800" bestFit="1" customWidth="1"/>
    <col min="8" max="8" width="31" style="800" bestFit="1" customWidth="1"/>
    <col min="9" max="9" width="32.54296875" style="800" bestFit="1" customWidth="1"/>
    <col min="10" max="10" width="27.1796875" style="800" bestFit="1" customWidth="1"/>
    <col min="11" max="11" width="29.7265625" style="800" bestFit="1" customWidth="1"/>
    <col min="12" max="12" width="20.1796875" style="800" bestFit="1" customWidth="1"/>
    <col min="13" max="13" width="20.54296875" style="800" bestFit="1" customWidth="1"/>
    <col min="14" max="15" width="22.1796875" style="800" bestFit="1" customWidth="1"/>
    <col min="16" max="16384" width="9.1796875" style="800"/>
  </cols>
  <sheetData>
    <row r="1" spans="1:15" x14ac:dyDescent="0.35">
      <c r="A1" s="802" t="s">
        <v>1112</v>
      </c>
      <c r="B1" s="802" t="s">
        <v>251</v>
      </c>
      <c r="C1" s="802" t="s">
        <v>1164</v>
      </c>
      <c r="D1" s="802" t="s">
        <v>1113</v>
      </c>
      <c r="E1" s="802" t="s">
        <v>1114</v>
      </c>
      <c r="F1" s="802" t="s">
        <v>1115</v>
      </c>
      <c r="G1" s="802" t="s">
        <v>1116</v>
      </c>
      <c r="H1" s="802" t="s">
        <v>1165</v>
      </c>
      <c r="I1" s="802" t="s">
        <v>1166</v>
      </c>
      <c r="J1" s="802" t="s">
        <v>1167</v>
      </c>
      <c r="K1" s="802" t="s">
        <v>1168</v>
      </c>
      <c r="L1" s="802" t="s">
        <v>1169</v>
      </c>
      <c r="M1" s="802" t="s">
        <v>1170</v>
      </c>
      <c r="N1" s="802" t="s">
        <v>1171</v>
      </c>
      <c r="O1" s="802" t="s">
        <v>1171</v>
      </c>
    </row>
    <row r="2" spans="1:15" x14ac:dyDescent="0.35">
      <c r="A2" s="1010"/>
      <c r="B2" s="1010"/>
      <c r="C2" s="1010"/>
      <c r="D2" s="1010"/>
      <c r="E2" s="1010"/>
      <c r="F2" s="1010"/>
      <c r="G2" s="1010"/>
      <c r="H2" s="1010"/>
      <c r="I2" s="1010"/>
      <c r="J2" s="1010"/>
      <c r="K2" s="1010"/>
      <c r="L2" s="1010"/>
      <c r="M2" s="1010"/>
      <c r="N2" s="1010"/>
      <c r="O2" s="1010"/>
    </row>
    <row r="3" spans="1:15" x14ac:dyDescent="0.35">
      <c r="A3" s="1010"/>
      <c r="B3" s="1010"/>
      <c r="C3" s="1010"/>
      <c r="D3" s="1010"/>
      <c r="E3" s="1010"/>
      <c r="F3" s="1010"/>
      <c r="G3" s="1010"/>
      <c r="H3" s="1010"/>
      <c r="I3" s="1010"/>
      <c r="J3" s="1010"/>
      <c r="K3" s="1010"/>
      <c r="L3" s="1010"/>
      <c r="M3" s="1010"/>
      <c r="N3" s="1010"/>
      <c r="O3" s="1010"/>
    </row>
    <row r="4" spans="1:15" x14ac:dyDescent="0.35">
      <c r="A4" s="1010"/>
      <c r="B4" s="1010"/>
      <c r="C4" s="1010"/>
      <c r="D4" s="1010"/>
      <c r="E4" s="1010"/>
      <c r="F4" s="1010"/>
      <c r="G4" s="1010"/>
      <c r="H4" s="1010"/>
      <c r="I4" s="1010"/>
      <c r="J4" s="1010"/>
      <c r="K4" s="1010"/>
      <c r="L4" s="1010"/>
      <c r="M4" s="1010"/>
      <c r="N4" s="1010"/>
      <c r="O4" s="1010"/>
    </row>
    <row r="5" spans="1:15" x14ac:dyDescent="0.35">
      <c r="A5" s="1010"/>
      <c r="B5" s="1010"/>
      <c r="C5" s="1010"/>
      <c r="D5" s="1010"/>
      <c r="E5" s="1010"/>
      <c r="F5" s="1010"/>
      <c r="G5" s="1010"/>
      <c r="H5" s="1010"/>
      <c r="I5" s="1010"/>
      <c r="J5" s="1010"/>
      <c r="K5" s="1010"/>
      <c r="L5" s="1010"/>
      <c r="M5" s="1010"/>
      <c r="N5" s="1010"/>
      <c r="O5" s="1010"/>
    </row>
    <row r="6" spans="1:15" x14ac:dyDescent="0.35">
      <c r="A6" s="1010"/>
      <c r="B6" s="1010"/>
      <c r="C6" s="1010"/>
      <c r="D6" s="1010"/>
      <c r="E6" s="1010"/>
      <c r="F6" s="1010"/>
      <c r="G6" s="1010"/>
      <c r="H6" s="1010"/>
      <c r="I6" s="1010"/>
      <c r="J6" s="1010"/>
      <c r="K6" s="1010"/>
      <c r="L6" s="1010"/>
      <c r="M6" s="1010"/>
      <c r="N6" s="1010"/>
      <c r="O6" s="1010"/>
    </row>
    <row r="7" spans="1:15" x14ac:dyDescent="0.35">
      <c r="A7" s="1010"/>
      <c r="B7" s="1010"/>
      <c r="C7" s="1010"/>
      <c r="D7" s="1010"/>
      <c r="E7" s="1010"/>
      <c r="F7" s="1010"/>
      <c r="G7" s="1010"/>
      <c r="H7" s="1010"/>
      <c r="I7" s="1010"/>
      <c r="J7" s="1010"/>
      <c r="K7" s="1010"/>
      <c r="L7" s="1010"/>
      <c r="M7" s="1010"/>
      <c r="N7" s="1010"/>
      <c r="O7" s="1010"/>
    </row>
    <row r="8" spans="1:15" x14ac:dyDescent="0.35">
      <c r="A8" s="1010"/>
      <c r="B8" s="1010"/>
      <c r="C8" s="1010"/>
      <c r="D8" s="1010"/>
      <c r="E8" s="1010"/>
      <c r="F8" s="1010"/>
      <c r="G8" s="1010"/>
      <c r="H8" s="1010"/>
      <c r="I8" s="1010"/>
      <c r="J8" s="1010"/>
      <c r="K8" s="1010"/>
      <c r="L8" s="1010"/>
      <c r="M8" s="1010"/>
      <c r="N8" s="1010"/>
      <c r="O8" s="1010"/>
    </row>
    <row r="9" spans="1:15" x14ac:dyDescent="0.35">
      <c r="A9" s="1010"/>
      <c r="B9" s="1010"/>
      <c r="C9" s="1010"/>
      <c r="D9" s="1010"/>
      <c r="E9" s="1010"/>
      <c r="F9" s="1010"/>
      <c r="G9" s="1010"/>
      <c r="H9" s="1010"/>
      <c r="I9" s="1010"/>
      <c r="J9" s="1010"/>
      <c r="K9" s="1010"/>
      <c r="L9" s="1010"/>
      <c r="M9" s="1010"/>
      <c r="N9" s="1010"/>
      <c r="O9" s="1010"/>
    </row>
    <row r="10" spans="1:15" x14ac:dyDescent="0.35">
      <c r="A10" s="1010"/>
      <c r="B10" s="1010"/>
      <c r="C10" s="1010"/>
      <c r="D10" s="1010"/>
      <c r="E10" s="1010"/>
      <c r="F10" s="1010"/>
      <c r="G10" s="1010"/>
      <c r="H10" s="1010"/>
      <c r="I10" s="1010"/>
      <c r="J10" s="1010"/>
      <c r="K10" s="1010"/>
      <c r="L10" s="1010"/>
      <c r="M10" s="1010"/>
      <c r="N10" s="1010"/>
      <c r="O10" s="1010"/>
    </row>
    <row r="11" spans="1:15" x14ac:dyDescent="0.35">
      <c r="A11" s="1010"/>
      <c r="B11" s="1010"/>
      <c r="C11" s="1010"/>
      <c r="D11" s="1010"/>
      <c r="E11" s="1010"/>
      <c r="F11" s="1010"/>
      <c r="G11" s="1010"/>
      <c r="H11" s="1010"/>
      <c r="I11" s="1010"/>
      <c r="J11" s="1010"/>
      <c r="K11" s="1010"/>
      <c r="L11" s="1010"/>
      <c r="M11" s="1010"/>
      <c r="N11" s="1010"/>
      <c r="O11" s="1010"/>
    </row>
    <row r="12" spans="1:15" x14ac:dyDescent="0.35">
      <c r="A12" s="1010"/>
      <c r="B12" s="1010"/>
      <c r="C12" s="1010"/>
      <c r="D12" s="1010"/>
      <c r="E12" s="1010"/>
      <c r="F12" s="1010"/>
      <c r="G12" s="1010"/>
      <c r="H12" s="1010"/>
      <c r="I12" s="1010"/>
      <c r="J12" s="1010"/>
      <c r="K12" s="1010"/>
      <c r="L12" s="1010"/>
      <c r="M12" s="1010"/>
      <c r="N12" s="1010"/>
      <c r="O12" s="1010"/>
    </row>
    <row r="13" spans="1:15" x14ac:dyDescent="0.35">
      <c r="A13" s="1010"/>
      <c r="B13" s="1010"/>
      <c r="C13" s="1010"/>
      <c r="D13" s="1010"/>
      <c r="E13" s="1010"/>
      <c r="F13" s="1010"/>
      <c r="G13" s="1010"/>
      <c r="H13" s="1010"/>
      <c r="I13" s="1010"/>
      <c r="J13" s="1010"/>
      <c r="K13" s="1010"/>
      <c r="L13" s="1010"/>
      <c r="M13" s="1010"/>
      <c r="N13" s="1010"/>
      <c r="O13" s="1010"/>
    </row>
    <row r="14" spans="1:15" x14ac:dyDescent="0.35">
      <c r="A14" s="1010"/>
      <c r="B14" s="1010"/>
      <c r="C14" s="1010"/>
      <c r="D14" s="1010"/>
      <c r="E14" s="1010"/>
      <c r="F14" s="1010"/>
      <c r="G14" s="1010"/>
      <c r="H14" s="1010"/>
      <c r="I14" s="1010"/>
      <c r="J14" s="1010"/>
      <c r="K14" s="1010"/>
      <c r="L14" s="1010"/>
      <c r="M14" s="1010"/>
      <c r="N14" s="1010"/>
      <c r="O14" s="1010"/>
    </row>
    <row r="15" spans="1:15" x14ac:dyDescent="0.35">
      <c r="A15" s="1010"/>
      <c r="B15" s="1010"/>
      <c r="C15" s="1010"/>
      <c r="D15" s="1010"/>
      <c r="E15" s="1010"/>
      <c r="F15" s="1010"/>
      <c r="G15" s="1010"/>
      <c r="H15" s="1010"/>
      <c r="I15" s="1010"/>
      <c r="J15" s="1010"/>
      <c r="K15" s="1010"/>
      <c r="L15" s="1010"/>
      <c r="M15" s="1010"/>
      <c r="N15" s="1010"/>
      <c r="O15" s="1010"/>
    </row>
    <row r="16" spans="1:15" x14ac:dyDescent="0.35">
      <c r="A16" s="1010"/>
      <c r="B16" s="1010"/>
      <c r="C16" s="1010"/>
      <c r="D16" s="1010"/>
      <c r="E16" s="1010"/>
      <c r="F16" s="1010"/>
      <c r="G16" s="1010"/>
      <c r="H16" s="1010"/>
      <c r="I16" s="1010"/>
      <c r="J16" s="1010"/>
      <c r="K16" s="1010"/>
      <c r="L16" s="1010"/>
      <c r="M16" s="1010"/>
      <c r="N16" s="1010"/>
      <c r="O16" s="1010"/>
    </row>
    <row r="17" spans="1:15" x14ac:dyDescent="0.35">
      <c r="A17" s="1010"/>
      <c r="B17" s="1010"/>
      <c r="C17" s="1010"/>
      <c r="D17" s="1010"/>
      <c r="E17" s="1010"/>
      <c r="F17" s="1010"/>
      <c r="G17" s="1010"/>
      <c r="H17" s="1010"/>
      <c r="I17" s="1010"/>
      <c r="J17" s="1010"/>
      <c r="K17" s="1010"/>
      <c r="L17" s="1010"/>
      <c r="M17" s="1010"/>
      <c r="N17" s="1010"/>
      <c r="O17" s="1010"/>
    </row>
    <row r="18" spans="1:15" x14ac:dyDescent="0.35">
      <c r="A18" s="1010"/>
      <c r="B18" s="1010"/>
      <c r="C18" s="1010"/>
      <c r="D18" s="1010"/>
      <c r="E18" s="1010"/>
      <c r="F18" s="1010"/>
      <c r="G18" s="1010"/>
      <c r="H18" s="1010"/>
      <c r="I18" s="1010"/>
      <c r="J18" s="1010"/>
      <c r="K18" s="1010"/>
      <c r="L18" s="1010"/>
      <c r="M18" s="1010"/>
      <c r="N18" s="1010"/>
      <c r="O18" s="1010"/>
    </row>
    <row r="19" spans="1:15" x14ac:dyDescent="0.35">
      <c r="A19" s="1010"/>
      <c r="B19" s="1010"/>
      <c r="C19" s="1010"/>
      <c r="D19" s="1010"/>
      <c r="E19" s="1010"/>
      <c r="F19" s="1010"/>
      <c r="G19" s="1010"/>
      <c r="H19" s="1010"/>
      <c r="I19" s="1010"/>
      <c r="J19" s="1010"/>
      <c r="K19" s="1010"/>
      <c r="L19" s="1010"/>
      <c r="M19" s="1010"/>
      <c r="N19" s="1010"/>
      <c r="O19" s="1010"/>
    </row>
    <row r="20" spans="1:15" x14ac:dyDescent="0.35">
      <c r="A20" s="1010"/>
      <c r="B20" s="1010"/>
      <c r="C20" s="1010"/>
      <c r="D20" s="1010"/>
      <c r="E20" s="1010"/>
      <c r="F20" s="1010"/>
      <c r="G20" s="1010"/>
      <c r="H20" s="1010"/>
      <c r="I20" s="1010"/>
      <c r="J20" s="1010"/>
      <c r="K20" s="1010"/>
      <c r="L20" s="1010"/>
      <c r="M20" s="1010"/>
      <c r="N20" s="1010"/>
      <c r="O20" s="1010"/>
    </row>
    <row r="21" spans="1:15" x14ac:dyDescent="0.35">
      <c r="A21" s="1010"/>
      <c r="B21" s="1010"/>
      <c r="C21" s="1010"/>
      <c r="D21" s="1010"/>
      <c r="E21" s="1010"/>
      <c r="F21" s="1010"/>
      <c r="G21" s="1010"/>
      <c r="H21" s="1010"/>
      <c r="I21" s="1010"/>
      <c r="J21" s="1010"/>
      <c r="K21" s="1010"/>
      <c r="L21" s="1010"/>
      <c r="M21" s="1010"/>
      <c r="N21" s="1010"/>
      <c r="O21" s="1010"/>
    </row>
    <row r="22" spans="1:15" x14ac:dyDescent="0.35">
      <c r="A22" s="1010"/>
      <c r="B22" s="1010"/>
      <c r="C22" s="1010"/>
      <c r="D22" s="1010"/>
      <c r="E22" s="1010"/>
      <c r="F22" s="1010"/>
      <c r="G22" s="1010"/>
      <c r="H22" s="1010"/>
      <c r="I22" s="1010"/>
      <c r="J22" s="1010"/>
      <c r="K22" s="1010"/>
      <c r="L22" s="1010"/>
      <c r="M22" s="1010"/>
      <c r="N22" s="1010"/>
      <c r="O22" s="1010"/>
    </row>
    <row r="23" spans="1:15" x14ac:dyDescent="0.35">
      <c r="A23" s="1010"/>
      <c r="B23" s="1010"/>
      <c r="C23" s="1010"/>
      <c r="D23" s="1010"/>
      <c r="E23" s="1010"/>
      <c r="F23" s="1010"/>
      <c r="G23" s="1010"/>
      <c r="H23" s="1010"/>
      <c r="I23" s="1010"/>
      <c r="J23" s="1010"/>
      <c r="K23" s="1010"/>
      <c r="L23" s="1010"/>
      <c r="M23" s="1010"/>
      <c r="N23" s="1010"/>
      <c r="O23" s="1010"/>
    </row>
    <row r="24" spans="1:15" x14ac:dyDescent="0.35">
      <c r="A24" s="1010"/>
      <c r="B24" s="1010"/>
      <c r="C24" s="1010"/>
      <c r="D24" s="1010"/>
      <c r="E24" s="1010"/>
      <c r="F24" s="1010"/>
      <c r="G24" s="1010"/>
      <c r="H24" s="1010"/>
      <c r="I24" s="1010"/>
      <c r="J24" s="1010"/>
      <c r="K24" s="1010"/>
      <c r="L24" s="1010"/>
      <c r="M24" s="1010"/>
      <c r="N24" s="1010"/>
      <c r="O24" s="1010"/>
    </row>
    <row r="25" spans="1:15" x14ac:dyDescent="0.35">
      <c r="A25" s="1010"/>
      <c r="B25" s="1010"/>
      <c r="C25" s="1010"/>
      <c r="D25" s="1010"/>
      <c r="E25" s="1010"/>
      <c r="F25" s="1010"/>
      <c r="G25" s="1010"/>
      <c r="H25" s="1010"/>
      <c r="I25" s="1010"/>
      <c r="J25" s="1010"/>
      <c r="K25" s="1010"/>
      <c r="L25" s="1010"/>
      <c r="M25" s="1010"/>
      <c r="N25" s="1010"/>
      <c r="O25" s="1010"/>
    </row>
    <row r="26" spans="1:15" x14ac:dyDescent="0.35">
      <c r="A26" s="1010"/>
      <c r="B26" s="1010"/>
      <c r="C26" s="1010"/>
      <c r="D26" s="1010"/>
      <c r="E26" s="1010"/>
      <c r="F26" s="1010"/>
      <c r="G26" s="1010"/>
      <c r="H26" s="1010"/>
      <c r="I26" s="1010"/>
      <c r="J26" s="1010"/>
      <c r="K26" s="1010"/>
      <c r="L26" s="1010"/>
      <c r="M26" s="1010"/>
      <c r="N26" s="1010"/>
      <c r="O26" s="1010"/>
    </row>
    <row r="27" spans="1:15" x14ac:dyDescent="0.35">
      <c r="A27" s="1010"/>
      <c r="B27" s="1010"/>
      <c r="C27" s="1010"/>
      <c r="D27" s="1010"/>
      <c r="E27" s="1010"/>
      <c r="F27" s="1010"/>
      <c r="G27" s="1010"/>
      <c r="H27" s="1010"/>
      <c r="I27" s="1010"/>
      <c r="J27" s="1010"/>
      <c r="K27" s="1010"/>
      <c r="L27" s="1010"/>
      <c r="M27" s="1010"/>
      <c r="N27" s="1010"/>
      <c r="O27" s="1010"/>
    </row>
    <row r="28" spans="1:15" x14ac:dyDescent="0.35">
      <c r="A28" s="1010"/>
      <c r="B28" s="1010"/>
      <c r="C28" s="1010"/>
      <c r="D28" s="1010"/>
      <c r="E28" s="1010"/>
      <c r="F28" s="1010"/>
      <c r="G28" s="1010"/>
      <c r="H28" s="1010"/>
      <c r="I28" s="1010"/>
      <c r="J28" s="1010"/>
      <c r="K28" s="1010"/>
      <c r="L28" s="1010"/>
      <c r="M28" s="1010"/>
      <c r="N28" s="1010"/>
      <c r="O28" s="1010"/>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796875" defaultRowHeight="14.5" x14ac:dyDescent="0.35"/>
  <cols>
    <col min="1" max="1" width="18.81640625" style="800" bestFit="1" customWidth="1"/>
    <col min="2" max="2" width="10.54296875" style="800" bestFit="1" customWidth="1"/>
    <col min="3" max="3" width="8.81640625" style="800" bestFit="1" customWidth="1"/>
    <col min="4" max="4" width="9.1796875" style="800"/>
    <col min="5" max="5" width="29.7265625" style="800" bestFit="1" customWidth="1"/>
    <col min="6" max="6" width="16.453125" style="800" bestFit="1" customWidth="1"/>
    <col min="7" max="7" width="27.1796875" style="800" bestFit="1" customWidth="1"/>
    <col min="8" max="8" width="35" style="800" bestFit="1" customWidth="1"/>
    <col min="9" max="9" width="38.453125" style="800" bestFit="1" customWidth="1"/>
    <col min="10" max="10" width="33.81640625" style="800" bestFit="1" customWidth="1"/>
    <col min="11" max="11" width="26.1796875" style="800" bestFit="1" customWidth="1"/>
    <col min="12" max="12" width="17.453125" style="800" bestFit="1" customWidth="1"/>
    <col min="13" max="13" width="12" style="800" bestFit="1" customWidth="1"/>
    <col min="14" max="16384" width="9.1796875" style="800"/>
  </cols>
  <sheetData>
    <row r="1" spans="1:13" x14ac:dyDescent="0.35">
      <c r="A1" s="802" t="s">
        <v>1115</v>
      </c>
      <c r="B1" s="802" t="s">
        <v>1112</v>
      </c>
      <c r="C1" s="802" t="s">
        <v>1113</v>
      </c>
      <c r="D1" s="802" t="s">
        <v>1119</v>
      </c>
      <c r="E1" s="802" t="s">
        <v>1168</v>
      </c>
      <c r="F1" s="802" t="s">
        <v>1172</v>
      </c>
      <c r="G1" s="802" t="s">
        <v>1167</v>
      </c>
      <c r="H1" s="802" t="s">
        <v>1186</v>
      </c>
      <c r="I1" s="802" t="s">
        <v>1187</v>
      </c>
      <c r="J1" s="802" t="s">
        <v>1188</v>
      </c>
      <c r="K1" s="802" t="s">
        <v>1120</v>
      </c>
      <c r="L1" s="802" t="s">
        <v>1121</v>
      </c>
      <c r="M1" s="802" t="s">
        <v>1122</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ColWidth="9.1796875" defaultRowHeight="14.5" x14ac:dyDescent="0.35"/>
  <cols>
    <col min="1" max="1" width="8.453125" style="800" bestFit="1" customWidth="1"/>
    <col min="2" max="2" width="12.81640625" style="800" bestFit="1" customWidth="1"/>
    <col min="3" max="3" width="10.54296875" style="800" bestFit="1" customWidth="1"/>
    <col min="4" max="4" width="21.54296875" style="800" bestFit="1" customWidth="1"/>
    <col min="5" max="5" width="12.7265625" style="800" bestFit="1" customWidth="1"/>
    <col min="6" max="6" width="25.7265625" style="800" bestFit="1" customWidth="1"/>
    <col min="7" max="16384" width="9.1796875" style="800"/>
  </cols>
  <sheetData>
    <row r="1" spans="1:6" x14ac:dyDescent="0.35">
      <c r="A1" s="802" t="s">
        <v>251</v>
      </c>
      <c r="B1" s="802" t="s">
        <v>1178</v>
      </c>
      <c r="C1" s="802" t="s">
        <v>1112</v>
      </c>
      <c r="D1" s="802" t="s">
        <v>1174</v>
      </c>
      <c r="E1" s="802" t="s">
        <v>1175</v>
      </c>
      <c r="F1" s="802" t="s">
        <v>1176</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796875" defaultRowHeight="14.5" x14ac:dyDescent="0.35"/>
  <cols>
    <col min="1" max="1" width="8.453125" style="800" bestFit="1" customWidth="1"/>
    <col min="2" max="2" width="12.81640625" style="800" bestFit="1" customWidth="1"/>
    <col min="3" max="3" width="10.54296875" style="800" bestFit="1" customWidth="1"/>
    <col min="4" max="4" width="21.54296875" style="800" bestFit="1" customWidth="1"/>
    <col min="5" max="5" width="12.7265625" style="800" bestFit="1" customWidth="1"/>
    <col min="6" max="6" width="25.7265625" style="800" bestFit="1" customWidth="1"/>
    <col min="7" max="16384" width="9.1796875" style="800"/>
  </cols>
  <sheetData>
    <row r="1" spans="1:6" x14ac:dyDescent="0.35">
      <c r="A1" s="802" t="s">
        <v>251</v>
      </c>
      <c r="B1" s="802" t="s">
        <v>1177</v>
      </c>
      <c r="C1" s="802" t="s">
        <v>1112</v>
      </c>
      <c r="D1" s="802" t="s">
        <v>1174</v>
      </c>
      <c r="E1" s="802" t="s">
        <v>1175</v>
      </c>
      <c r="F1" s="802" t="s">
        <v>1176</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796875" defaultRowHeight="14.5" x14ac:dyDescent="0.35"/>
  <cols>
    <col min="1" max="1" width="8.453125" style="800" bestFit="1" customWidth="1"/>
    <col min="2" max="2" width="12.81640625" style="800" bestFit="1" customWidth="1"/>
    <col min="3" max="3" width="10.54296875" style="800" bestFit="1" customWidth="1"/>
    <col min="4" max="4" width="21.54296875" style="800" bestFit="1" customWidth="1"/>
    <col min="5" max="5" width="12.7265625" style="800" bestFit="1" customWidth="1"/>
    <col min="6" max="6" width="25.7265625" style="800" bestFit="1" customWidth="1"/>
    <col min="7" max="16384" width="9.1796875" style="800"/>
  </cols>
  <sheetData>
    <row r="1" spans="1:6" x14ac:dyDescent="0.35">
      <c r="A1" s="802" t="s">
        <v>251</v>
      </c>
      <c r="B1" s="802" t="s">
        <v>1173</v>
      </c>
      <c r="C1" s="802" t="s">
        <v>1112</v>
      </c>
      <c r="D1" s="802" t="s">
        <v>1174</v>
      </c>
      <c r="E1" s="802" t="s">
        <v>1175</v>
      </c>
      <c r="F1" s="802" t="s">
        <v>1176</v>
      </c>
    </row>
  </sheetData>
  <sheetProtection selectLockedCells="1" selectUnlockedCells="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4.5" x14ac:dyDescent="0.35"/>
  <cols>
    <col min="1" max="1" width="42.1796875" bestFit="1" customWidth="1"/>
    <col min="2" max="2" width="39.7265625" bestFit="1" customWidth="1"/>
    <col min="3" max="3" width="10.7265625" style="2" bestFit="1" customWidth="1"/>
  </cols>
  <sheetData>
    <row r="1" spans="1:14" x14ac:dyDescent="0.35">
      <c r="B1" t="s">
        <v>261</v>
      </c>
      <c r="C1" s="2" t="s">
        <v>1010</v>
      </c>
      <c r="D1" s="2" t="s">
        <v>222</v>
      </c>
      <c r="E1" s="2"/>
      <c r="F1" s="2" t="s">
        <v>221</v>
      </c>
      <c r="G1" s="2"/>
      <c r="H1" s="2" t="s">
        <v>207</v>
      </c>
    </row>
    <row r="2" spans="1:14" x14ac:dyDescent="0.35">
      <c r="A2" t="s">
        <v>276</v>
      </c>
      <c r="B2" t="s">
        <v>99</v>
      </c>
      <c r="C2" s="2" t="s">
        <v>218</v>
      </c>
      <c r="D2" s="24">
        <v>0.03</v>
      </c>
      <c r="E2" s="24">
        <v>0.08</v>
      </c>
      <c r="F2" s="24">
        <v>0.09</v>
      </c>
      <c r="G2" s="24">
        <v>0.11</v>
      </c>
      <c r="H2" s="24">
        <v>0.16</v>
      </c>
      <c r="J2" s="24"/>
      <c r="K2" s="24"/>
      <c r="L2" s="24"/>
      <c r="M2" s="24"/>
      <c r="N2" s="24"/>
    </row>
    <row r="3" spans="1:14" x14ac:dyDescent="0.35">
      <c r="A3" t="s">
        <v>277</v>
      </c>
      <c r="B3" t="s">
        <v>99</v>
      </c>
      <c r="C3" s="2" t="s">
        <v>219</v>
      </c>
      <c r="D3" s="24">
        <v>0.04</v>
      </c>
      <c r="E3" s="24">
        <v>0.08</v>
      </c>
      <c r="F3" s="24">
        <v>0.09</v>
      </c>
      <c r="G3" s="24">
        <v>0.11</v>
      </c>
      <c r="H3" s="24">
        <v>0.16</v>
      </c>
      <c r="J3" s="24"/>
      <c r="K3" s="24"/>
      <c r="L3" s="24"/>
      <c r="M3" s="24"/>
      <c r="N3" s="24"/>
    </row>
    <row r="4" spans="1:14" x14ac:dyDescent="0.35">
      <c r="A4" t="s">
        <v>278</v>
      </c>
      <c r="B4" t="s">
        <v>99</v>
      </c>
      <c r="C4" s="2" t="s">
        <v>220</v>
      </c>
      <c r="D4" s="24">
        <v>0.03</v>
      </c>
      <c r="E4" s="24">
        <v>7.0000000000000007E-2</v>
      </c>
      <c r="F4" s="24">
        <v>0.09</v>
      </c>
      <c r="G4" s="24">
        <v>0.1</v>
      </c>
      <c r="H4" s="24">
        <v>0.16</v>
      </c>
      <c r="J4" s="24"/>
      <c r="K4" s="24"/>
      <c r="L4" s="24"/>
      <c r="M4" s="24"/>
      <c r="N4" s="24"/>
    </row>
    <row r="5" spans="1:14" x14ac:dyDescent="0.35">
      <c r="A5" t="s">
        <v>279</v>
      </c>
      <c r="B5" t="s">
        <v>99</v>
      </c>
      <c r="C5" s="2" t="s">
        <v>274</v>
      </c>
      <c r="D5" s="24">
        <v>0.01</v>
      </c>
      <c r="E5" s="24">
        <v>7.0000000000000007E-2</v>
      </c>
      <c r="F5" s="24">
        <v>0.08</v>
      </c>
      <c r="G5" s="24">
        <v>0.11</v>
      </c>
      <c r="H5" s="24">
        <v>0.15</v>
      </c>
      <c r="J5" s="24"/>
      <c r="K5" s="24"/>
      <c r="L5" s="24"/>
      <c r="M5" s="24"/>
      <c r="N5" s="24"/>
    </row>
    <row r="6" spans="1:14" x14ac:dyDescent="0.35">
      <c r="A6" t="s">
        <v>280</v>
      </c>
      <c r="B6" t="s">
        <v>99</v>
      </c>
      <c r="C6" s="2" t="s">
        <v>275</v>
      </c>
      <c r="D6" s="24">
        <v>0.02</v>
      </c>
      <c r="E6" s="24">
        <v>0.06</v>
      </c>
      <c r="F6" s="24">
        <v>0.08</v>
      </c>
      <c r="G6" s="24">
        <v>0.09</v>
      </c>
      <c r="H6" s="24">
        <v>0.14000000000000001</v>
      </c>
      <c r="J6" s="24"/>
      <c r="K6" s="24"/>
      <c r="L6" s="24"/>
      <c r="M6" s="24"/>
      <c r="N6" s="24"/>
    </row>
    <row r="7" spans="1:14" x14ac:dyDescent="0.35">
      <c r="A7" t="s">
        <v>531</v>
      </c>
      <c r="B7" t="s">
        <v>529</v>
      </c>
      <c r="C7" s="2" t="s">
        <v>218</v>
      </c>
      <c r="D7" s="24">
        <v>0</v>
      </c>
      <c r="E7" s="24">
        <v>0.04</v>
      </c>
      <c r="F7" s="24">
        <v>7.0000000000000007E-2</v>
      </c>
      <c r="G7" s="24">
        <v>0.09</v>
      </c>
      <c r="H7" s="24">
        <v>0.16</v>
      </c>
      <c r="J7" s="24"/>
      <c r="K7" s="24"/>
      <c r="L7" s="24"/>
      <c r="M7" s="24"/>
      <c r="N7" s="24"/>
    </row>
    <row r="8" spans="1:14" x14ac:dyDescent="0.35">
      <c r="A8" t="s">
        <v>532</v>
      </c>
      <c r="B8" t="s">
        <v>529</v>
      </c>
      <c r="C8" s="2" t="s">
        <v>219</v>
      </c>
      <c r="D8" s="24">
        <v>0</v>
      </c>
      <c r="E8" s="24">
        <v>0.04</v>
      </c>
      <c r="F8" s="24">
        <v>0.06</v>
      </c>
      <c r="G8" s="24">
        <v>0.08</v>
      </c>
      <c r="H8" s="24">
        <v>0.15</v>
      </c>
      <c r="J8" s="24"/>
      <c r="K8" s="24"/>
      <c r="L8" s="24"/>
      <c r="M8" s="24"/>
      <c r="N8" s="24"/>
    </row>
    <row r="9" spans="1:14" x14ac:dyDescent="0.35">
      <c r="A9" t="s">
        <v>533</v>
      </c>
      <c r="B9" t="s">
        <v>529</v>
      </c>
      <c r="C9" s="2" t="s">
        <v>220</v>
      </c>
      <c r="D9" s="24">
        <v>0</v>
      </c>
      <c r="E9" s="24">
        <v>0.04</v>
      </c>
      <c r="F9" s="24">
        <v>0.06</v>
      </c>
      <c r="G9" s="24">
        <v>0.08</v>
      </c>
      <c r="H9" s="24">
        <v>0.14000000000000001</v>
      </c>
      <c r="J9" s="24"/>
      <c r="K9" s="24"/>
      <c r="L9" s="24"/>
      <c r="M9" s="24"/>
      <c r="N9" s="24"/>
    </row>
    <row r="10" spans="1:14" x14ac:dyDescent="0.35">
      <c r="A10" t="s">
        <v>534</v>
      </c>
      <c r="B10" t="s">
        <v>529</v>
      </c>
      <c r="C10" s="2" t="s">
        <v>274</v>
      </c>
      <c r="D10" s="24">
        <v>0</v>
      </c>
      <c r="E10" s="24">
        <v>0.04</v>
      </c>
      <c r="F10" s="24">
        <v>0.05</v>
      </c>
      <c r="G10" s="24">
        <v>7.0000000000000007E-2</v>
      </c>
      <c r="H10" s="24">
        <v>0.12</v>
      </c>
      <c r="J10" s="24"/>
      <c r="K10" s="24"/>
      <c r="L10" s="24"/>
      <c r="M10" s="24"/>
      <c r="N10" s="24"/>
    </row>
    <row r="11" spans="1:14" x14ac:dyDescent="0.35">
      <c r="A11" t="s">
        <v>535</v>
      </c>
      <c r="B11" t="s">
        <v>529</v>
      </c>
      <c r="C11" s="2" t="s">
        <v>275</v>
      </c>
      <c r="D11" s="24">
        <v>0</v>
      </c>
      <c r="E11" s="24">
        <v>0.03</v>
      </c>
      <c r="F11" s="24">
        <v>0.04</v>
      </c>
      <c r="G11" s="24">
        <v>0.06</v>
      </c>
      <c r="H11" s="24">
        <v>0.1</v>
      </c>
      <c r="J11" s="24"/>
      <c r="K11" s="24"/>
      <c r="L11" s="24"/>
      <c r="M11" s="24"/>
      <c r="N11" s="24"/>
    </row>
    <row r="12" spans="1:14" x14ac:dyDescent="0.35">
      <c r="A12" t="s">
        <v>536</v>
      </c>
      <c r="B12" t="s">
        <v>530</v>
      </c>
      <c r="C12" s="2" t="s">
        <v>218</v>
      </c>
      <c r="D12" s="24">
        <v>0</v>
      </c>
      <c r="E12" s="24">
        <v>0.05</v>
      </c>
      <c r="F12" s="24">
        <v>0.08</v>
      </c>
      <c r="G12" s="24">
        <v>0.09</v>
      </c>
      <c r="H12" s="24">
        <v>0.14000000000000001</v>
      </c>
      <c r="J12" s="24"/>
      <c r="K12" s="24"/>
      <c r="L12" s="24"/>
      <c r="M12" s="24"/>
      <c r="N12" s="24"/>
    </row>
    <row r="13" spans="1:14" x14ac:dyDescent="0.35">
      <c r="A13" t="s">
        <v>537</v>
      </c>
      <c r="B13" t="s">
        <v>530</v>
      </c>
      <c r="C13" s="2" t="s">
        <v>219</v>
      </c>
      <c r="D13" s="24">
        <v>0</v>
      </c>
      <c r="E13" s="24">
        <v>0.05</v>
      </c>
      <c r="F13" s="24">
        <v>7.0000000000000007E-2</v>
      </c>
      <c r="G13" s="24">
        <v>0.09</v>
      </c>
      <c r="H13" s="24">
        <v>0.14000000000000001</v>
      </c>
      <c r="J13" s="24"/>
      <c r="K13" s="24"/>
      <c r="L13" s="24"/>
      <c r="M13" s="24"/>
      <c r="N13" s="24"/>
    </row>
    <row r="14" spans="1:14" x14ac:dyDescent="0.35">
      <c r="A14" t="s">
        <v>538</v>
      </c>
      <c r="B14" t="s">
        <v>530</v>
      </c>
      <c r="C14" s="2" t="s">
        <v>220</v>
      </c>
      <c r="D14" s="24">
        <v>0</v>
      </c>
      <c r="E14" s="24">
        <v>0.05</v>
      </c>
      <c r="F14" s="24">
        <v>0.06</v>
      </c>
      <c r="G14" s="24">
        <v>0.08</v>
      </c>
      <c r="H14" s="24">
        <v>0.13</v>
      </c>
      <c r="J14" s="24"/>
      <c r="K14" s="24"/>
      <c r="L14" s="24"/>
      <c r="M14" s="24"/>
      <c r="N14" s="24"/>
    </row>
    <row r="15" spans="1:14" x14ac:dyDescent="0.35">
      <c r="A15" t="s">
        <v>539</v>
      </c>
      <c r="B15" t="s">
        <v>530</v>
      </c>
      <c r="C15" s="2" t="s">
        <v>274</v>
      </c>
      <c r="D15" s="59">
        <v>0</v>
      </c>
      <c r="E15" s="59">
        <v>0.04</v>
      </c>
      <c r="F15" s="59">
        <v>0.05</v>
      </c>
      <c r="G15" s="59">
        <v>7.0000000000000007E-2</v>
      </c>
      <c r="H15" s="59">
        <v>0.11</v>
      </c>
      <c r="J15" s="59"/>
      <c r="K15" s="59"/>
      <c r="L15" s="59"/>
      <c r="M15" s="59"/>
      <c r="N15" s="59"/>
    </row>
    <row r="16" spans="1:14" x14ac:dyDescent="0.35">
      <c r="A16" t="s">
        <v>540</v>
      </c>
      <c r="B16" t="s">
        <v>530</v>
      </c>
      <c r="C16" s="2" t="s">
        <v>275</v>
      </c>
      <c r="D16" s="59">
        <v>0</v>
      </c>
      <c r="E16" s="59">
        <v>0.04</v>
      </c>
      <c r="F16" s="59">
        <v>0.05</v>
      </c>
      <c r="G16" s="59">
        <v>7.0000000000000007E-2</v>
      </c>
      <c r="H16" s="59">
        <v>0.09</v>
      </c>
      <c r="J16" s="59"/>
      <c r="K16" s="59"/>
      <c r="L16" s="59"/>
      <c r="M16" s="59"/>
      <c r="N16" s="59"/>
    </row>
    <row r="17" spans="1:14" x14ac:dyDescent="0.35">
      <c r="A17" t="s">
        <v>281</v>
      </c>
      <c r="B17" t="s">
        <v>102</v>
      </c>
      <c r="C17" s="2" t="s">
        <v>218</v>
      </c>
      <c r="D17" s="24">
        <v>0.03</v>
      </c>
      <c r="E17" s="24">
        <v>0.09</v>
      </c>
      <c r="F17" s="24">
        <v>0.11</v>
      </c>
      <c r="G17" s="24">
        <v>0.13</v>
      </c>
      <c r="H17" s="24">
        <v>0.2</v>
      </c>
      <c r="J17" s="24"/>
      <c r="K17" s="24"/>
      <c r="L17" s="24"/>
      <c r="M17" s="24"/>
      <c r="N17" s="24"/>
    </row>
    <row r="18" spans="1:14" x14ac:dyDescent="0.35">
      <c r="A18" t="s">
        <v>282</v>
      </c>
      <c r="B18" t="s">
        <v>102</v>
      </c>
      <c r="C18" s="2" t="s">
        <v>219</v>
      </c>
      <c r="D18" s="24">
        <v>0.03</v>
      </c>
      <c r="E18" s="24">
        <v>0.08</v>
      </c>
      <c r="F18" s="24">
        <v>0.1</v>
      </c>
      <c r="G18" s="24">
        <v>0.12</v>
      </c>
      <c r="H18" s="24">
        <v>0.19</v>
      </c>
      <c r="J18" s="24"/>
      <c r="K18" s="24"/>
      <c r="L18" s="24"/>
      <c r="M18" s="24"/>
      <c r="N18" s="24"/>
    </row>
    <row r="19" spans="1:14" x14ac:dyDescent="0.35">
      <c r="A19" t="s">
        <v>283</v>
      </c>
      <c r="B19" t="s">
        <v>102</v>
      </c>
      <c r="C19" s="2" t="s">
        <v>220</v>
      </c>
      <c r="D19" s="24">
        <v>0.02</v>
      </c>
      <c r="E19" s="24">
        <v>7.0000000000000007E-2</v>
      </c>
      <c r="F19" s="24">
        <v>0.09</v>
      </c>
      <c r="G19" s="24">
        <v>0.11</v>
      </c>
      <c r="H19" s="24">
        <v>0.18</v>
      </c>
      <c r="J19" s="24"/>
      <c r="K19" s="24"/>
      <c r="L19" s="24"/>
      <c r="M19" s="24"/>
      <c r="N19" s="24"/>
    </row>
    <row r="20" spans="1:14" x14ac:dyDescent="0.35">
      <c r="A20" t="s">
        <v>284</v>
      </c>
      <c r="B20" t="s">
        <v>102</v>
      </c>
      <c r="C20" s="2" t="s">
        <v>274</v>
      </c>
      <c r="D20" s="24">
        <v>0.02</v>
      </c>
      <c r="E20" s="24">
        <v>0.06</v>
      </c>
      <c r="F20" s="24">
        <v>0.08</v>
      </c>
      <c r="G20" s="24">
        <v>0.1</v>
      </c>
      <c r="H20" s="24">
        <v>0.16</v>
      </c>
      <c r="J20" s="24"/>
      <c r="K20" s="24"/>
      <c r="L20" s="24"/>
      <c r="M20" s="24"/>
      <c r="N20" s="24"/>
    </row>
    <row r="21" spans="1:14" x14ac:dyDescent="0.35">
      <c r="A21" t="s">
        <v>285</v>
      </c>
      <c r="B21" t="s">
        <v>102</v>
      </c>
      <c r="C21" s="2" t="s">
        <v>275</v>
      </c>
      <c r="D21" s="24">
        <v>0.02</v>
      </c>
      <c r="E21" s="24">
        <v>0.05</v>
      </c>
      <c r="F21" s="24">
        <v>0.06</v>
      </c>
      <c r="G21" s="24">
        <v>0.09</v>
      </c>
      <c r="H21" s="24">
        <v>0.13</v>
      </c>
      <c r="J21" s="24"/>
      <c r="K21" s="24"/>
      <c r="L21" s="24"/>
      <c r="M21" s="24"/>
      <c r="N21" s="24"/>
    </row>
    <row r="22" spans="1:14" x14ac:dyDescent="0.35">
      <c r="A22" t="s">
        <v>286</v>
      </c>
      <c r="B22" t="s">
        <v>100</v>
      </c>
      <c r="C22" s="2" t="s">
        <v>218</v>
      </c>
      <c r="D22" s="24">
        <v>0.03</v>
      </c>
      <c r="E22" s="24">
        <v>0.09</v>
      </c>
      <c r="F22" s="24">
        <v>0.11</v>
      </c>
      <c r="G22" s="24">
        <v>0.14000000000000001</v>
      </c>
      <c r="H22" s="24">
        <v>0.21</v>
      </c>
      <c r="J22" s="24"/>
      <c r="K22" s="24"/>
      <c r="L22" s="24"/>
      <c r="M22" s="24"/>
      <c r="N22" s="24"/>
    </row>
    <row r="23" spans="1:14" x14ac:dyDescent="0.35">
      <c r="A23" t="s">
        <v>287</v>
      </c>
      <c r="B23" t="s">
        <v>100</v>
      </c>
      <c r="C23" s="2" t="s">
        <v>219</v>
      </c>
      <c r="D23" s="24">
        <v>0.03</v>
      </c>
      <c r="E23" s="24">
        <v>0.08</v>
      </c>
      <c r="F23" s="24">
        <v>0.1</v>
      </c>
      <c r="G23" s="24">
        <v>0.12</v>
      </c>
      <c r="H23" s="24">
        <v>0.17</v>
      </c>
      <c r="J23" s="24"/>
      <c r="K23" s="24"/>
      <c r="L23" s="24"/>
      <c r="M23" s="24"/>
      <c r="N23" s="24"/>
    </row>
    <row r="24" spans="1:14" x14ac:dyDescent="0.35">
      <c r="A24" t="s">
        <v>288</v>
      </c>
      <c r="B24" t="s">
        <v>100</v>
      </c>
      <c r="C24" s="2" t="s">
        <v>220</v>
      </c>
      <c r="D24" s="24">
        <v>0.03</v>
      </c>
      <c r="E24" s="24">
        <v>7.0000000000000007E-2</v>
      </c>
      <c r="F24" s="24">
        <v>0.09</v>
      </c>
      <c r="G24" s="24">
        <v>0.11</v>
      </c>
      <c r="H24" s="24">
        <v>0.16</v>
      </c>
      <c r="J24" s="24"/>
      <c r="K24" s="24"/>
      <c r="L24" s="24"/>
      <c r="M24" s="24"/>
      <c r="N24" s="24"/>
    </row>
    <row r="25" spans="1:14" x14ac:dyDescent="0.35">
      <c r="A25" t="s">
        <v>289</v>
      </c>
      <c r="B25" t="s">
        <v>100</v>
      </c>
      <c r="C25" s="2" t="s">
        <v>274</v>
      </c>
      <c r="D25" s="24">
        <v>0.02</v>
      </c>
      <c r="E25" s="24">
        <v>7.0000000000000007E-2</v>
      </c>
      <c r="F25" s="24">
        <v>0.08</v>
      </c>
      <c r="G25" s="24">
        <v>0.1</v>
      </c>
      <c r="H25" s="24">
        <v>0.15</v>
      </c>
      <c r="J25" s="24"/>
      <c r="K25" s="24"/>
      <c r="L25" s="24"/>
      <c r="M25" s="24"/>
      <c r="N25" s="24"/>
    </row>
    <row r="26" spans="1:14" x14ac:dyDescent="0.35">
      <c r="A26" t="s">
        <v>290</v>
      </c>
      <c r="B26" t="s">
        <v>100</v>
      </c>
      <c r="C26" s="2" t="s">
        <v>275</v>
      </c>
      <c r="D26" s="24">
        <v>0</v>
      </c>
      <c r="E26" s="24">
        <v>0.05</v>
      </c>
      <c r="F26" s="24">
        <v>7.0000000000000007E-2</v>
      </c>
      <c r="G26" s="24">
        <v>0.1</v>
      </c>
      <c r="H26" s="24">
        <v>0.16</v>
      </c>
      <c r="J26" s="24"/>
      <c r="K26" s="24"/>
      <c r="L26" s="24"/>
      <c r="M26" s="24"/>
      <c r="N26" s="24"/>
    </row>
    <row r="27" spans="1:14" x14ac:dyDescent="0.35">
      <c r="A27" t="s">
        <v>291</v>
      </c>
      <c r="B27" t="s">
        <v>104</v>
      </c>
      <c r="C27" s="2" t="s">
        <v>218</v>
      </c>
      <c r="D27" s="24">
        <v>0.04</v>
      </c>
      <c r="E27" s="24">
        <v>0.1</v>
      </c>
      <c r="F27" s="24">
        <v>0.12</v>
      </c>
      <c r="G27" s="24">
        <v>0.14000000000000001</v>
      </c>
      <c r="H27" s="24">
        <v>0.19</v>
      </c>
      <c r="J27" s="24"/>
      <c r="K27" s="24"/>
      <c r="L27" s="24"/>
      <c r="M27" s="24"/>
      <c r="N27" s="24"/>
    </row>
    <row r="28" spans="1:14" x14ac:dyDescent="0.35">
      <c r="A28" t="s">
        <v>292</v>
      </c>
      <c r="B28" t="s">
        <v>104</v>
      </c>
      <c r="C28" s="2" t="s">
        <v>219</v>
      </c>
      <c r="D28" s="24">
        <v>0.04</v>
      </c>
      <c r="E28" s="24">
        <v>0.1</v>
      </c>
      <c r="F28" s="24">
        <v>0.11</v>
      </c>
      <c r="G28" s="24">
        <v>0.14000000000000001</v>
      </c>
      <c r="H28" s="24">
        <v>0.2</v>
      </c>
      <c r="J28" s="24"/>
      <c r="K28" s="24"/>
      <c r="L28" s="24"/>
      <c r="M28" s="24"/>
      <c r="N28" s="24"/>
    </row>
    <row r="29" spans="1:14" x14ac:dyDescent="0.35">
      <c r="A29" t="s">
        <v>293</v>
      </c>
      <c r="B29" t="s">
        <v>104</v>
      </c>
      <c r="C29" s="2" t="s">
        <v>220</v>
      </c>
      <c r="D29" s="24">
        <v>0.05</v>
      </c>
      <c r="E29" s="24">
        <v>0.1</v>
      </c>
      <c r="F29" s="24">
        <v>0.11</v>
      </c>
      <c r="G29" s="24">
        <v>0.13</v>
      </c>
      <c r="H29" s="24">
        <v>0.17</v>
      </c>
      <c r="J29" s="24"/>
      <c r="K29" s="24"/>
      <c r="L29" s="24"/>
      <c r="M29" s="24"/>
      <c r="N29" s="24"/>
    </row>
    <row r="30" spans="1:14" x14ac:dyDescent="0.35">
      <c r="A30" t="s">
        <v>294</v>
      </c>
      <c r="B30" t="s">
        <v>104</v>
      </c>
      <c r="C30" s="2" t="s">
        <v>274</v>
      </c>
      <c r="D30" s="24">
        <v>0.06</v>
      </c>
      <c r="E30" s="24">
        <v>0.09</v>
      </c>
      <c r="F30" s="24">
        <v>0.11</v>
      </c>
      <c r="G30" s="24">
        <v>0.12</v>
      </c>
      <c r="H30" s="24">
        <v>0.16</v>
      </c>
      <c r="J30" s="24"/>
      <c r="K30" s="24"/>
      <c r="L30" s="24"/>
      <c r="M30" s="24"/>
      <c r="N30" s="24"/>
    </row>
    <row r="31" spans="1:14" x14ac:dyDescent="0.35">
      <c r="A31" t="s">
        <v>295</v>
      </c>
      <c r="B31" t="s">
        <v>104</v>
      </c>
      <c r="C31" s="2" t="s">
        <v>275</v>
      </c>
      <c r="D31" s="24">
        <v>7.0000000000000007E-2</v>
      </c>
      <c r="E31" s="24">
        <v>0.1</v>
      </c>
      <c r="F31" s="24">
        <v>0.11</v>
      </c>
      <c r="G31" s="24">
        <v>0.11</v>
      </c>
      <c r="H31" s="24">
        <v>0.14000000000000001</v>
      </c>
      <c r="J31" s="24"/>
      <c r="K31" s="24"/>
      <c r="L31" s="24"/>
      <c r="M31" s="24"/>
      <c r="N31" s="24"/>
    </row>
    <row r="32" spans="1:14" x14ac:dyDescent="0.35">
      <c r="A32" t="s">
        <v>296</v>
      </c>
      <c r="B32" t="s">
        <v>98</v>
      </c>
      <c r="C32" s="2" t="s">
        <v>218</v>
      </c>
      <c r="D32" s="24">
        <v>0.05</v>
      </c>
      <c r="E32" s="24">
        <v>0.08</v>
      </c>
      <c r="F32" s="24">
        <v>0.1</v>
      </c>
      <c r="G32" s="24">
        <v>0.12</v>
      </c>
      <c r="H32" s="24">
        <v>0.18</v>
      </c>
      <c r="J32" s="24"/>
      <c r="K32" s="24"/>
      <c r="L32" s="24"/>
      <c r="M32" s="24"/>
      <c r="N32" s="24"/>
    </row>
    <row r="33" spans="1:14" x14ac:dyDescent="0.35">
      <c r="A33" t="s">
        <v>297</v>
      </c>
      <c r="B33" t="s">
        <v>98</v>
      </c>
      <c r="C33" s="2" t="s">
        <v>219</v>
      </c>
      <c r="D33" s="24">
        <v>0.04</v>
      </c>
      <c r="E33" s="24">
        <v>0.08</v>
      </c>
      <c r="F33" s="24">
        <v>0.1</v>
      </c>
      <c r="G33" s="24">
        <v>0.11</v>
      </c>
      <c r="H33" s="24">
        <v>0.16</v>
      </c>
      <c r="J33" s="24"/>
      <c r="K33" s="24"/>
      <c r="L33" s="24"/>
      <c r="M33" s="24"/>
      <c r="N33" s="24"/>
    </row>
    <row r="34" spans="1:14" x14ac:dyDescent="0.35">
      <c r="A34" t="s">
        <v>298</v>
      </c>
      <c r="B34" t="s">
        <v>98</v>
      </c>
      <c r="C34" s="2" t="s">
        <v>220</v>
      </c>
      <c r="D34" s="24">
        <v>0.04</v>
      </c>
      <c r="E34" s="24">
        <v>0.08</v>
      </c>
      <c r="F34" s="24">
        <v>0.09</v>
      </c>
      <c r="G34" s="24">
        <v>0.11</v>
      </c>
      <c r="H34" s="24">
        <v>0.15</v>
      </c>
      <c r="J34" s="24"/>
      <c r="K34" s="24"/>
      <c r="L34" s="24"/>
      <c r="M34" s="24"/>
      <c r="N34" s="24"/>
    </row>
    <row r="35" spans="1:14" x14ac:dyDescent="0.35">
      <c r="A35" t="s">
        <v>299</v>
      </c>
      <c r="B35" t="s">
        <v>98</v>
      </c>
      <c r="C35" s="2" t="s">
        <v>274</v>
      </c>
      <c r="D35" s="24">
        <v>0.04</v>
      </c>
      <c r="E35" s="24">
        <v>0.08</v>
      </c>
      <c r="F35" s="24">
        <v>0.09</v>
      </c>
      <c r="G35" s="24">
        <v>0.11</v>
      </c>
      <c r="H35" s="24">
        <v>0.16</v>
      </c>
      <c r="J35" s="24"/>
      <c r="K35" s="24"/>
      <c r="L35" s="24"/>
      <c r="M35" s="24"/>
      <c r="N35" s="24"/>
    </row>
    <row r="36" spans="1:14" x14ac:dyDescent="0.35">
      <c r="A36" t="s">
        <v>300</v>
      </c>
      <c r="B36" t="s">
        <v>98</v>
      </c>
      <c r="C36" s="2" t="s">
        <v>275</v>
      </c>
      <c r="D36" s="24">
        <v>0.02</v>
      </c>
      <c r="E36" s="24">
        <v>0.06</v>
      </c>
      <c r="F36" s="24">
        <v>0.08</v>
      </c>
      <c r="G36" s="24">
        <v>0.1</v>
      </c>
      <c r="H36" s="24">
        <v>0.15</v>
      </c>
      <c r="J36" s="24"/>
      <c r="K36" s="24"/>
      <c r="L36" s="24"/>
      <c r="M36" s="24"/>
      <c r="N36" s="24"/>
    </row>
    <row r="37" spans="1:14" x14ac:dyDescent="0.35">
      <c r="A37" t="s">
        <v>301</v>
      </c>
      <c r="B37" t="s">
        <v>95</v>
      </c>
      <c r="C37" s="2" t="s">
        <v>218</v>
      </c>
      <c r="D37" s="24">
        <v>0.02</v>
      </c>
      <c r="E37" s="24">
        <v>0.08</v>
      </c>
      <c r="F37" s="24">
        <v>0.1</v>
      </c>
      <c r="G37" s="24">
        <v>0.13</v>
      </c>
      <c r="H37" s="24">
        <v>0.18</v>
      </c>
      <c r="J37" s="24"/>
      <c r="K37" s="24"/>
      <c r="L37" s="24"/>
      <c r="M37" s="24"/>
      <c r="N37" s="24"/>
    </row>
    <row r="38" spans="1:14" x14ac:dyDescent="0.35">
      <c r="A38" t="s">
        <v>302</v>
      </c>
      <c r="B38" t="s">
        <v>95</v>
      </c>
      <c r="C38" s="2" t="s">
        <v>219</v>
      </c>
      <c r="D38" s="24">
        <v>0.04</v>
      </c>
      <c r="E38" s="24">
        <v>0.08</v>
      </c>
      <c r="F38" s="24">
        <v>0.1</v>
      </c>
      <c r="G38" s="24">
        <v>0.12</v>
      </c>
      <c r="H38" s="24">
        <v>0.18</v>
      </c>
      <c r="J38" s="24"/>
      <c r="K38" s="24"/>
      <c r="L38" s="24"/>
      <c r="M38" s="24"/>
      <c r="N38" s="24"/>
    </row>
    <row r="39" spans="1:14" x14ac:dyDescent="0.35">
      <c r="A39" t="s">
        <v>303</v>
      </c>
      <c r="B39" t="s">
        <v>95</v>
      </c>
      <c r="C39" s="2" t="s">
        <v>220</v>
      </c>
      <c r="D39" s="24">
        <v>0.02</v>
      </c>
      <c r="E39" s="24">
        <v>0.08</v>
      </c>
      <c r="F39" s="24">
        <v>0.09</v>
      </c>
      <c r="G39" s="24">
        <v>0.12</v>
      </c>
      <c r="H39" s="24">
        <v>0.18</v>
      </c>
      <c r="J39" s="24"/>
      <c r="K39" s="24"/>
      <c r="L39" s="24"/>
      <c r="M39" s="24"/>
      <c r="N39" s="24"/>
    </row>
    <row r="40" spans="1:14" x14ac:dyDescent="0.35">
      <c r="A40" t="s">
        <v>304</v>
      </c>
      <c r="B40" t="s">
        <v>95</v>
      </c>
      <c r="C40" s="2" t="s">
        <v>274</v>
      </c>
      <c r="D40" s="24">
        <v>0.01</v>
      </c>
      <c r="E40" s="24">
        <v>7.0000000000000007E-2</v>
      </c>
      <c r="F40" s="24">
        <v>0.09</v>
      </c>
      <c r="G40" s="24">
        <v>0.11</v>
      </c>
      <c r="H40" s="24">
        <v>0.17</v>
      </c>
      <c r="J40" s="24"/>
      <c r="K40" s="24"/>
      <c r="L40" s="24"/>
      <c r="M40" s="24"/>
      <c r="N40" s="24"/>
    </row>
    <row r="41" spans="1:14" x14ac:dyDescent="0.35">
      <c r="A41" t="s">
        <v>305</v>
      </c>
      <c r="B41" t="s">
        <v>95</v>
      </c>
      <c r="C41" s="2" t="s">
        <v>275</v>
      </c>
      <c r="D41" s="24">
        <v>0.03</v>
      </c>
      <c r="E41" s="24">
        <v>7.0000000000000007E-2</v>
      </c>
      <c r="F41" s="24">
        <v>0.09</v>
      </c>
      <c r="G41" s="24">
        <v>0.11</v>
      </c>
      <c r="H41" s="24">
        <v>0.16</v>
      </c>
      <c r="J41" s="24"/>
      <c r="K41" s="24"/>
      <c r="L41" s="24"/>
      <c r="M41" s="24"/>
      <c r="N41" s="24"/>
    </row>
    <row r="42" spans="1:14" x14ac:dyDescent="0.35">
      <c r="A42" t="s">
        <v>306</v>
      </c>
      <c r="B42" t="s">
        <v>96</v>
      </c>
      <c r="C42" s="2" t="s">
        <v>218</v>
      </c>
      <c r="D42" s="24">
        <v>0.04</v>
      </c>
      <c r="E42" s="24">
        <v>0.1</v>
      </c>
      <c r="F42" s="24">
        <v>0.13</v>
      </c>
      <c r="G42" s="24">
        <v>0.16</v>
      </c>
      <c r="H42" s="24">
        <v>0.25</v>
      </c>
      <c r="J42" s="24"/>
      <c r="K42" s="24"/>
      <c r="L42" s="24"/>
      <c r="M42" s="24"/>
      <c r="N42" s="24"/>
    </row>
    <row r="43" spans="1:14" x14ac:dyDescent="0.35">
      <c r="A43" t="s">
        <v>307</v>
      </c>
      <c r="B43" t="s">
        <v>96</v>
      </c>
      <c r="C43" s="2" t="s">
        <v>219</v>
      </c>
      <c r="D43" s="24">
        <v>0.03</v>
      </c>
      <c r="E43" s="24">
        <v>0.11</v>
      </c>
      <c r="F43" s="24">
        <v>0.13</v>
      </c>
      <c r="G43" s="24">
        <v>0.16</v>
      </c>
      <c r="H43" s="24">
        <v>0.23</v>
      </c>
      <c r="J43" s="24"/>
      <c r="K43" s="24"/>
      <c r="L43" s="24"/>
      <c r="M43" s="24"/>
      <c r="N43" s="24"/>
    </row>
    <row r="44" spans="1:14" x14ac:dyDescent="0.35">
      <c r="A44" t="s">
        <v>308</v>
      </c>
      <c r="B44" t="s">
        <v>96</v>
      </c>
      <c r="C44" s="2" t="s">
        <v>220</v>
      </c>
      <c r="D44" s="24">
        <v>0.02</v>
      </c>
      <c r="E44" s="24">
        <v>0.09</v>
      </c>
      <c r="F44" s="24">
        <v>0.11</v>
      </c>
      <c r="G44" s="24">
        <v>0.14000000000000001</v>
      </c>
      <c r="H44" s="24">
        <v>0.2</v>
      </c>
      <c r="J44" s="24"/>
      <c r="K44" s="24"/>
      <c r="L44" s="24"/>
      <c r="M44" s="24"/>
      <c r="N44" s="24"/>
    </row>
    <row r="45" spans="1:14" x14ac:dyDescent="0.35">
      <c r="A45" t="s">
        <v>309</v>
      </c>
      <c r="B45" t="s">
        <v>96</v>
      </c>
      <c r="C45" s="2" t="s">
        <v>274</v>
      </c>
      <c r="D45" s="24">
        <v>0.03</v>
      </c>
      <c r="E45" s="24">
        <v>0.08</v>
      </c>
      <c r="F45" s="24">
        <v>0.11</v>
      </c>
      <c r="G45" s="24">
        <v>0.13</v>
      </c>
      <c r="H45" s="24">
        <v>0.2</v>
      </c>
      <c r="J45" s="24"/>
      <c r="K45" s="24"/>
      <c r="L45" s="24"/>
      <c r="M45" s="24"/>
      <c r="N45" s="24"/>
    </row>
    <row r="46" spans="1:14" x14ac:dyDescent="0.35">
      <c r="A46" t="s">
        <v>310</v>
      </c>
      <c r="B46" t="s">
        <v>96</v>
      </c>
      <c r="C46" s="2" t="s">
        <v>275</v>
      </c>
      <c r="D46" s="24">
        <v>0.03</v>
      </c>
      <c r="E46" s="24">
        <v>0.08</v>
      </c>
      <c r="F46" s="24">
        <v>0.11</v>
      </c>
      <c r="G46" s="24">
        <v>0.12</v>
      </c>
      <c r="H46" s="24">
        <v>0.19</v>
      </c>
      <c r="J46" s="24"/>
      <c r="K46" s="24"/>
      <c r="L46" s="24"/>
      <c r="M46" s="24"/>
      <c r="N46" s="24"/>
    </row>
    <row r="47" spans="1:14" x14ac:dyDescent="0.35">
      <c r="A47" t="s">
        <v>311</v>
      </c>
      <c r="B47" t="s">
        <v>101</v>
      </c>
      <c r="C47" s="2" t="s">
        <v>218</v>
      </c>
      <c r="D47" s="24">
        <v>0.04</v>
      </c>
      <c r="E47" s="24">
        <v>0.09</v>
      </c>
      <c r="F47" s="24">
        <v>0.1</v>
      </c>
      <c r="G47" s="24">
        <v>0.13</v>
      </c>
      <c r="H47" s="24">
        <v>0.18</v>
      </c>
      <c r="J47" s="24"/>
      <c r="K47" s="24"/>
      <c r="L47" s="24"/>
      <c r="M47" s="24"/>
      <c r="N47" s="24"/>
    </row>
    <row r="48" spans="1:14" x14ac:dyDescent="0.35">
      <c r="A48" t="s">
        <v>312</v>
      </c>
      <c r="B48" t="s">
        <v>101</v>
      </c>
      <c r="C48" s="2" t="s">
        <v>219</v>
      </c>
      <c r="D48" s="24">
        <v>0.04</v>
      </c>
      <c r="E48" s="24">
        <v>0.08</v>
      </c>
      <c r="F48" s="24">
        <v>0.1</v>
      </c>
      <c r="G48" s="24">
        <v>0.12</v>
      </c>
      <c r="H48" s="24">
        <v>0.18</v>
      </c>
      <c r="J48" s="24"/>
      <c r="K48" s="24"/>
      <c r="L48" s="24"/>
      <c r="M48" s="24"/>
      <c r="N48" s="24"/>
    </row>
    <row r="49" spans="1:14" x14ac:dyDescent="0.35">
      <c r="A49" t="s">
        <v>313</v>
      </c>
      <c r="B49" t="s">
        <v>101</v>
      </c>
      <c r="C49" s="2" t="s">
        <v>220</v>
      </c>
      <c r="D49" s="24">
        <v>0.04</v>
      </c>
      <c r="E49" s="24">
        <v>0.08</v>
      </c>
      <c r="F49" s="24">
        <v>0.09</v>
      </c>
      <c r="G49" s="24">
        <v>0.11</v>
      </c>
      <c r="H49" s="24">
        <v>0.15</v>
      </c>
      <c r="J49" s="24"/>
      <c r="K49" s="24"/>
      <c r="L49" s="24"/>
      <c r="M49" s="24"/>
      <c r="N49" s="24"/>
    </row>
    <row r="50" spans="1:14" x14ac:dyDescent="0.35">
      <c r="A50" t="s">
        <v>314</v>
      </c>
      <c r="B50" t="s">
        <v>101</v>
      </c>
      <c r="C50" s="2" t="s">
        <v>274</v>
      </c>
      <c r="D50" s="24">
        <v>0.04</v>
      </c>
      <c r="E50" s="24">
        <v>0.08</v>
      </c>
      <c r="F50" s="24">
        <v>0.09</v>
      </c>
      <c r="G50" s="24">
        <v>0.1</v>
      </c>
      <c r="H50" s="24">
        <v>0.15</v>
      </c>
      <c r="J50" s="24"/>
      <c r="K50" s="24"/>
      <c r="L50" s="24"/>
      <c r="M50" s="24"/>
      <c r="N50" s="24"/>
    </row>
    <row r="51" spans="1:14" x14ac:dyDescent="0.35">
      <c r="A51" t="s">
        <v>315</v>
      </c>
      <c r="B51" t="s">
        <v>101</v>
      </c>
      <c r="C51" s="2" t="s">
        <v>275</v>
      </c>
      <c r="D51" s="24">
        <v>0.03</v>
      </c>
      <c r="E51" s="24">
        <v>7.0000000000000007E-2</v>
      </c>
      <c r="F51" s="24">
        <v>0.08</v>
      </c>
      <c r="G51" s="24">
        <v>0.09</v>
      </c>
      <c r="H51" s="24">
        <v>0.13</v>
      </c>
      <c r="J51" s="24"/>
      <c r="K51" s="24"/>
      <c r="L51" s="24"/>
      <c r="M51" s="24"/>
      <c r="N51" s="24"/>
    </row>
    <row r="52" spans="1:14" x14ac:dyDescent="0.35">
      <c r="A52" t="s">
        <v>316</v>
      </c>
      <c r="B52" t="s">
        <v>97</v>
      </c>
      <c r="C52" s="2" t="s">
        <v>218</v>
      </c>
      <c r="D52" s="24">
        <v>0.04</v>
      </c>
      <c r="E52" s="24">
        <v>0.09</v>
      </c>
      <c r="F52" s="24">
        <v>0.1</v>
      </c>
      <c r="G52" s="24">
        <v>0.13</v>
      </c>
      <c r="H52" s="24">
        <v>0.17</v>
      </c>
      <c r="J52" s="24"/>
      <c r="K52" s="24"/>
      <c r="L52" s="24"/>
      <c r="M52" s="24"/>
      <c r="N52" s="24"/>
    </row>
    <row r="53" spans="1:14" x14ac:dyDescent="0.35">
      <c r="A53" t="s">
        <v>317</v>
      </c>
      <c r="B53" t="s">
        <v>97</v>
      </c>
      <c r="C53" s="2" t="s">
        <v>219</v>
      </c>
      <c r="D53" s="24">
        <v>0.05</v>
      </c>
      <c r="E53" s="24">
        <v>0.09</v>
      </c>
      <c r="F53" s="24">
        <v>0.1</v>
      </c>
      <c r="G53" s="24">
        <v>0.12</v>
      </c>
      <c r="H53" s="24">
        <v>0.16</v>
      </c>
      <c r="J53" s="24"/>
      <c r="K53" s="24"/>
      <c r="L53" s="24"/>
      <c r="M53" s="24"/>
      <c r="N53" s="24"/>
    </row>
    <row r="54" spans="1:14" x14ac:dyDescent="0.35">
      <c r="A54" t="s">
        <v>318</v>
      </c>
      <c r="B54" t="s">
        <v>97</v>
      </c>
      <c r="C54" s="2" t="s">
        <v>220</v>
      </c>
      <c r="D54" s="24">
        <v>0.04</v>
      </c>
      <c r="E54" s="24">
        <v>0.08</v>
      </c>
      <c r="F54" s="24">
        <v>0.1</v>
      </c>
      <c r="G54" s="24">
        <v>0.11</v>
      </c>
      <c r="H54" s="24">
        <v>0.16</v>
      </c>
      <c r="J54" s="24"/>
      <c r="K54" s="24"/>
      <c r="L54" s="24"/>
      <c r="M54" s="24"/>
      <c r="N54" s="24"/>
    </row>
    <row r="55" spans="1:14" x14ac:dyDescent="0.35">
      <c r="A55" t="s">
        <v>319</v>
      </c>
      <c r="B55" t="s">
        <v>97</v>
      </c>
      <c r="C55" s="2" t="s">
        <v>274</v>
      </c>
      <c r="D55" s="24">
        <v>0.02</v>
      </c>
      <c r="E55" s="24">
        <v>7.0000000000000007E-2</v>
      </c>
      <c r="F55" s="24">
        <v>0.09</v>
      </c>
      <c r="G55" s="24">
        <v>0.11</v>
      </c>
      <c r="H55" s="24">
        <v>0.16</v>
      </c>
      <c r="J55" s="24"/>
      <c r="K55" s="24"/>
      <c r="L55" s="24"/>
      <c r="M55" s="24"/>
      <c r="N55" s="24"/>
    </row>
    <row r="56" spans="1:14" x14ac:dyDescent="0.35">
      <c r="A56" t="s">
        <v>320</v>
      </c>
      <c r="B56" t="s">
        <v>97</v>
      </c>
      <c r="C56" s="2" t="s">
        <v>275</v>
      </c>
      <c r="D56" s="24">
        <v>0.03</v>
      </c>
      <c r="E56" s="24">
        <v>7.0000000000000007E-2</v>
      </c>
      <c r="F56" s="24">
        <v>0.08</v>
      </c>
      <c r="G56" s="24">
        <v>0.1</v>
      </c>
      <c r="H56" s="24">
        <v>0.15</v>
      </c>
      <c r="J56" s="24"/>
      <c r="K56" s="24"/>
      <c r="L56" s="24"/>
      <c r="M56" s="24"/>
      <c r="N56" s="24"/>
    </row>
    <row r="57" spans="1:14" x14ac:dyDescent="0.35">
      <c r="A57" t="s">
        <v>321</v>
      </c>
      <c r="B57" t="s">
        <v>93</v>
      </c>
      <c r="C57" s="2" t="s">
        <v>218</v>
      </c>
      <c r="D57" s="24">
        <v>0.04</v>
      </c>
      <c r="E57" s="24">
        <v>0.08</v>
      </c>
      <c r="F57" s="24">
        <v>0.1</v>
      </c>
      <c r="G57" s="24">
        <v>0.12</v>
      </c>
      <c r="H57" s="24">
        <v>0.17</v>
      </c>
      <c r="J57" s="24"/>
      <c r="K57" s="24"/>
      <c r="L57" s="24"/>
      <c r="M57" s="24"/>
      <c r="N57" s="24"/>
    </row>
    <row r="58" spans="1:14" x14ac:dyDescent="0.35">
      <c r="A58" t="s">
        <v>322</v>
      </c>
      <c r="B58" t="s">
        <v>93</v>
      </c>
      <c r="C58" s="2" t="s">
        <v>219</v>
      </c>
      <c r="D58" s="24">
        <v>0.04</v>
      </c>
      <c r="E58" s="24">
        <v>0.08</v>
      </c>
      <c r="F58" s="24">
        <v>0.1</v>
      </c>
      <c r="G58" s="24">
        <v>0.11</v>
      </c>
      <c r="H58" s="24">
        <v>0.15</v>
      </c>
      <c r="J58" s="24"/>
      <c r="K58" s="24"/>
      <c r="L58" s="24"/>
      <c r="M58" s="24"/>
      <c r="N58" s="24"/>
    </row>
    <row r="59" spans="1:14" x14ac:dyDescent="0.35">
      <c r="A59" t="s">
        <v>323</v>
      </c>
      <c r="B59" t="s">
        <v>93</v>
      </c>
      <c r="C59" s="2" t="s">
        <v>220</v>
      </c>
      <c r="D59" s="24">
        <v>0.05</v>
      </c>
      <c r="E59" s="24">
        <v>0.08</v>
      </c>
      <c r="F59" s="24">
        <v>0.09</v>
      </c>
      <c r="G59" s="24">
        <v>0.1</v>
      </c>
      <c r="H59" s="24">
        <v>0.14000000000000001</v>
      </c>
      <c r="J59" s="24"/>
      <c r="K59" s="24"/>
      <c r="L59" s="24"/>
      <c r="M59" s="24"/>
      <c r="N59" s="24"/>
    </row>
    <row r="60" spans="1:14" x14ac:dyDescent="0.35">
      <c r="A60" t="s">
        <v>324</v>
      </c>
      <c r="B60" t="s">
        <v>93</v>
      </c>
      <c r="C60" s="2" t="s">
        <v>274</v>
      </c>
      <c r="D60" s="24">
        <v>0.03</v>
      </c>
      <c r="E60" s="24">
        <v>7.0000000000000007E-2</v>
      </c>
      <c r="F60" s="24">
        <v>0.08</v>
      </c>
      <c r="G60" s="24">
        <v>0.1</v>
      </c>
      <c r="H60" s="24">
        <v>0.14000000000000001</v>
      </c>
      <c r="J60" s="24"/>
      <c r="K60" s="24"/>
      <c r="L60" s="24"/>
      <c r="M60" s="24"/>
      <c r="N60" s="24"/>
    </row>
    <row r="61" spans="1:14" x14ac:dyDescent="0.35">
      <c r="A61" t="s">
        <v>325</v>
      </c>
      <c r="B61" t="s">
        <v>93</v>
      </c>
      <c r="C61" s="2" t="s">
        <v>275</v>
      </c>
      <c r="D61" s="24">
        <v>0.02</v>
      </c>
      <c r="E61" s="24">
        <v>0.06</v>
      </c>
      <c r="F61" s="24">
        <v>0.08</v>
      </c>
      <c r="G61" s="24">
        <v>0.09</v>
      </c>
      <c r="H61" s="24">
        <v>0.14000000000000001</v>
      </c>
      <c r="J61" s="24"/>
      <c r="K61" s="24"/>
      <c r="L61" s="24"/>
      <c r="M61" s="24"/>
      <c r="N61" s="24"/>
    </row>
    <row r="62" spans="1:14" x14ac:dyDescent="0.35">
      <c r="A62" t="s">
        <v>326</v>
      </c>
      <c r="B62" t="s">
        <v>105</v>
      </c>
      <c r="C62" s="2" t="s">
        <v>218</v>
      </c>
      <c r="D62" s="24">
        <v>0.03</v>
      </c>
      <c r="E62" s="24">
        <v>7.0000000000000007E-2</v>
      </c>
      <c r="F62" s="24">
        <v>0.08</v>
      </c>
      <c r="G62" s="24">
        <v>0.11</v>
      </c>
      <c r="H62" s="24">
        <v>0.17</v>
      </c>
      <c r="J62" s="24"/>
      <c r="K62" s="24"/>
      <c r="L62" s="24"/>
      <c r="M62" s="24"/>
      <c r="N62" s="24"/>
    </row>
    <row r="63" spans="1:14" x14ac:dyDescent="0.35">
      <c r="A63" t="s">
        <v>327</v>
      </c>
      <c r="B63" t="s">
        <v>105</v>
      </c>
      <c r="C63" s="2" t="s">
        <v>219</v>
      </c>
      <c r="D63" s="24">
        <v>0.03</v>
      </c>
      <c r="E63" s="24">
        <v>0.06</v>
      </c>
      <c r="F63" s="24">
        <v>0.08</v>
      </c>
      <c r="G63" s="24">
        <v>0.1</v>
      </c>
      <c r="H63" s="24">
        <v>0.15</v>
      </c>
      <c r="J63" s="24"/>
      <c r="K63" s="24"/>
      <c r="L63" s="24"/>
      <c r="M63" s="24"/>
      <c r="N63" s="24"/>
    </row>
    <row r="64" spans="1:14" x14ac:dyDescent="0.35">
      <c r="A64" t="s">
        <v>328</v>
      </c>
      <c r="B64" t="s">
        <v>105</v>
      </c>
      <c r="C64" s="2" t="s">
        <v>220</v>
      </c>
      <c r="D64" s="24">
        <v>0.02</v>
      </c>
      <c r="E64" s="24">
        <v>0.06</v>
      </c>
      <c r="F64" s="24">
        <v>0.08</v>
      </c>
      <c r="G64" s="24">
        <v>0.1</v>
      </c>
      <c r="H64" s="24">
        <v>0.16</v>
      </c>
      <c r="J64" s="24"/>
      <c r="K64" s="24"/>
      <c r="L64" s="24"/>
      <c r="M64" s="24"/>
      <c r="N64" s="24"/>
    </row>
    <row r="65" spans="1:14" x14ac:dyDescent="0.35">
      <c r="A65" t="s">
        <v>329</v>
      </c>
      <c r="B65" t="s">
        <v>105</v>
      </c>
      <c r="C65" s="2" t="s">
        <v>274</v>
      </c>
      <c r="D65" s="24">
        <v>0.02</v>
      </c>
      <c r="E65" s="24">
        <v>0.05</v>
      </c>
      <c r="F65" s="24">
        <v>0.09</v>
      </c>
      <c r="G65" s="24">
        <v>0.1</v>
      </c>
      <c r="H65" s="24">
        <v>0.17</v>
      </c>
      <c r="J65" s="24"/>
      <c r="K65" s="24"/>
      <c r="L65" s="24"/>
      <c r="M65" s="24"/>
      <c r="N65" s="24"/>
    </row>
    <row r="66" spans="1:14" x14ac:dyDescent="0.35">
      <c r="A66" t="s">
        <v>330</v>
      </c>
      <c r="B66" t="s">
        <v>105</v>
      </c>
      <c r="C66" s="2" t="s">
        <v>275</v>
      </c>
      <c r="D66" s="24">
        <v>0.01</v>
      </c>
      <c r="E66" s="24">
        <v>0.06</v>
      </c>
      <c r="F66" s="24">
        <v>0.08</v>
      </c>
      <c r="G66" s="24">
        <v>0.1</v>
      </c>
      <c r="H66" s="24">
        <v>0.15</v>
      </c>
      <c r="J66" s="24"/>
      <c r="K66" s="24"/>
      <c r="L66" s="24"/>
      <c r="M66" s="24"/>
      <c r="N66" s="24"/>
    </row>
    <row r="67" spans="1:14" x14ac:dyDescent="0.35">
      <c r="A67" t="s">
        <v>331</v>
      </c>
      <c r="B67" t="s">
        <v>92</v>
      </c>
      <c r="C67" s="2" t="s">
        <v>218</v>
      </c>
      <c r="D67" s="24">
        <v>0.04</v>
      </c>
      <c r="E67" s="24">
        <v>0.08</v>
      </c>
      <c r="F67" s="24">
        <v>0.1</v>
      </c>
      <c r="G67" s="24">
        <v>0.12</v>
      </c>
      <c r="H67" s="24">
        <v>0.17</v>
      </c>
      <c r="J67" s="24"/>
      <c r="K67" s="24"/>
      <c r="L67" s="24"/>
      <c r="M67" s="24"/>
      <c r="N67" s="24"/>
    </row>
    <row r="68" spans="1:14" x14ac:dyDescent="0.35">
      <c r="A68" t="s">
        <v>332</v>
      </c>
      <c r="B68" t="s">
        <v>92</v>
      </c>
      <c r="C68" s="2" t="s">
        <v>219</v>
      </c>
      <c r="D68" s="24">
        <v>0.04</v>
      </c>
      <c r="E68" s="24">
        <v>0.08</v>
      </c>
      <c r="F68" s="24">
        <v>0.09</v>
      </c>
      <c r="G68" s="24">
        <v>0.11</v>
      </c>
      <c r="H68" s="24">
        <v>0.15</v>
      </c>
      <c r="J68" s="24"/>
      <c r="K68" s="24"/>
      <c r="L68" s="24"/>
      <c r="M68" s="24"/>
      <c r="N68" s="24"/>
    </row>
    <row r="69" spans="1:14" x14ac:dyDescent="0.35">
      <c r="A69" t="s">
        <v>333</v>
      </c>
      <c r="B69" t="s">
        <v>92</v>
      </c>
      <c r="C69" s="2" t="s">
        <v>220</v>
      </c>
      <c r="D69" s="24">
        <v>0.03</v>
      </c>
      <c r="E69" s="24">
        <v>7.0000000000000007E-2</v>
      </c>
      <c r="F69" s="24">
        <v>0.09</v>
      </c>
      <c r="G69" s="24">
        <v>0.1</v>
      </c>
      <c r="H69" s="24">
        <v>0.15</v>
      </c>
      <c r="J69" s="24"/>
      <c r="K69" s="24"/>
      <c r="L69" s="24"/>
      <c r="M69" s="24"/>
      <c r="N69" s="24"/>
    </row>
    <row r="70" spans="1:14" x14ac:dyDescent="0.35">
      <c r="A70" t="s">
        <v>334</v>
      </c>
      <c r="B70" t="s">
        <v>92</v>
      </c>
      <c r="C70" s="2" t="s">
        <v>274</v>
      </c>
      <c r="D70" s="24">
        <v>0.03</v>
      </c>
      <c r="E70" s="24">
        <v>0.08</v>
      </c>
      <c r="F70" s="24">
        <v>0.09</v>
      </c>
      <c r="G70" s="24">
        <v>0.1</v>
      </c>
      <c r="H70" s="24">
        <v>0.15</v>
      </c>
      <c r="J70" s="24"/>
      <c r="K70" s="24"/>
      <c r="L70" s="24"/>
      <c r="M70" s="24"/>
      <c r="N70" s="24"/>
    </row>
    <row r="71" spans="1:14" x14ac:dyDescent="0.35">
      <c r="A71" t="s">
        <v>335</v>
      </c>
      <c r="B71" t="s">
        <v>92</v>
      </c>
      <c r="C71" s="2" t="s">
        <v>275</v>
      </c>
      <c r="D71" s="24">
        <v>0.02</v>
      </c>
      <c r="E71" s="24">
        <v>0.06</v>
      </c>
      <c r="F71" s="24">
        <v>0.08</v>
      </c>
      <c r="G71" s="24">
        <v>0.09</v>
      </c>
      <c r="H71" s="24">
        <v>0.14000000000000001</v>
      </c>
      <c r="J71" s="24"/>
      <c r="K71" s="24"/>
      <c r="L71" s="24"/>
      <c r="M71" s="24"/>
      <c r="N71" s="24"/>
    </row>
    <row r="72" spans="1:14" x14ac:dyDescent="0.35">
      <c r="A72" t="s">
        <v>336</v>
      </c>
      <c r="B72" t="s">
        <v>91</v>
      </c>
      <c r="C72" s="2" t="s">
        <v>218</v>
      </c>
      <c r="D72" s="24">
        <v>0.01</v>
      </c>
      <c r="E72" s="24">
        <v>7.0000000000000007E-2</v>
      </c>
      <c r="F72" s="24">
        <v>0.08</v>
      </c>
      <c r="G72" s="24">
        <v>0.11</v>
      </c>
      <c r="H72" s="24">
        <v>0.17</v>
      </c>
      <c r="J72" s="24"/>
      <c r="K72" s="24"/>
      <c r="L72" s="24"/>
      <c r="M72" s="24"/>
      <c r="N72" s="24"/>
    </row>
    <row r="73" spans="1:14" x14ac:dyDescent="0.35">
      <c r="A73" t="s">
        <v>337</v>
      </c>
      <c r="B73" t="s">
        <v>91</v>
      </c>
      <c r="C73" s="2" t="s">
        <v>219</v>
      </c>
      <c r="D73" s="24">
        <v>0.03</v>
      </c>
      <c r="E73" s="24">
        <v>7.0000000000000007E-2</v>
      </c>
      <c r="F73" s="24">
        <v>0.09</v>
      </c>
      <c r="G73" s="24">
        <v>0.11</v>
      </c>
      <c r="H73" s="24">
        <v>0.15</v>
      </c>
      <c r="J73" s="24"/>
      <c r="K73" s="24"/>
      <c r="L73" s="24"/>
      <c r="M73" s="24"/>
      <c r="N73" s="24"/>
    </row>
    <row r="74" spans="1:14" x14ac:dyDescent="0.35">
      <c r="A74" t="s">
        <v>338</v>
      </c>
      <c r="B74" t="s">
        <v>91</v>
      </c>
      <c r="C74" s="2" t="s">
        <v>220</v>
      </c>
      <c r="D74" s="24">
        <v>0.03</v>
      </c>
      <c r="E74" s="24">
        <v>0.06</v>
      </c>
      <c r="F74" s="24">
        <v>0.08</v>
      </c>
      <c r="G74" s="24">
        <v>0.1</v>
      </c>
      <c r="H74" s="24">
        <v>0.15</v>
      </c>
      <c r="J74" s="24"/>
      <c r="K74" s="24"/>
      <c r="L74" s="24"/>
      <c r="M74" s="24"/>
      <c r="N74" s="24"/>
    </row>
    <row r="75" spans="1:14" x14ac:dyDescent="0.35">
      <c r="A75" t="s">
        <v>339</v>
      </c>
      <c r="B75" t="s">
        <v>91</v>
      </c>
      <c r="C75" s="2" t="s">
        <v>274</v>
      </c>
      <c r="D75" s="24">
        <v>0.02</v>
      </c>
      <c r="E75" s="24">
        <v>0.06</v>
      </c>
      <c r="F75" s="24">
        <v>7.0000000000000007E-2</v>
      </c>
      <c r="G75" s="24">
        <v>0.09</v>
      </c>
      <c r="H75" s="24">
        <v>0.14000000000000001</v>
      </c>
      <c r="J75" s="24"/>
      <c r="K75" s="24"/>
      <c r="L75" s="24"/>
      <c r="M75" s="24"/>
      <c r="N75" s="24"/>
    </row>
    <row r="76" spans="1:14" x14ac:dyDescent="0.35">
      <c r="A76" t="s">
        <v>340</v>
      </c>
      <c r="B76" t="s">
        <v>91</v>
      </c>
      <c r="C76" s="2" t="s">
        <v>275</v>
      </c>
      <c r="D76" s="24">
        <v>0.01</v>
      </c>
      <c r="E76" s="24">
        <v>0.04</v>
      </c>
      <c r="F76" s="24">
        <v>0.06</v>
      </c>
      <c r="G76" s="24">
        <v>0.08</v>
      </c>
      <c r="H76" s="24">
        <v>0.13</v>
      </c>
      <c r="J76" s="24"/>
      <c r="K76" s="24"/>
      <c r="L76" s="24"/>
      <c r="M76" s="24"/>
      <c r="N76" s="24"/>
    </row>
    <row r="77" spans="1:14" x14ac:dyDescent="0.35">
      <c r="A77" t="s">
        <v>341</v>
      </c>
      <c r="B77" t="s">
        <v>90</v>
      </c>
      <c r="C77" s="2" t="s">
        <v>218</v>
      </c>
      <c r="D77" s="24">
        <v>0.02</v>
      </c>
      <c r="E77" s="24">
        <v>0.06</v>
      </c>
      <c r="F77" s="24">
        <v>7.0000000000000007E-2</v>
      </c>
      <c r="G77" s="24">
        <v>0.09</v>
      </c>
      <c r="H77" s="24">
        <v>0.13</v>
      </c>
      <c r="J77" s="24"/>
      <c r="K77" s="24"/>
      <c r="L77" s="24"/>
      <c r="M77" s="24"/>
      <c r="N77" s="24"/>
    </row>
    <row r="78" spans="1:14" x14ac:dyDescent="0.35">
      <c r="A78" t="s">
        <v>342</v>
      </c>
      <c r="B78" t="s">
        <v>90</v>
      </c>
      <c r="C78" s="2" t="s">
        <v>219</v>
      </c>
      <c r="D78" s="24">
        <v>0.01</v>
      </c>
      <c r="E78" s="24">
        <v>0.05</v>
      </c>
      <c r="F78" s="24">
        <v>7.0000000000000007E-2</v>
      </c>
      <c r="G78" s="24">
        <v>0.08</v>
      </c>
      <c r="H78" s="24">
        <v>0.13</v>
      </c>
      <c r="J78" s="24"/>
      <c r="K78" s="24"/>
      <c r="L78" s="24"/>
      <c r="M78" s="24"/>
      <c r="N78" s="24"/>
    </row>
    <row r="79" spans="1:14" x14ac:dyDescent="0.35">
      <c r="A79" t="s">
        <v>343</v>
      </c>
      <c r="B79" t="s">
        <v>90</v>
      </c>
      <c r="C79" s="2" t="s">
        <v>220</v>
      </c>
      <c r="D79" s="24">
        <v>0.01</v>
      </c>
      <c r="E79" s="24">
        <v>0.05</v>
      </c>
      <c r="F79" s="24">
        <v>7.0000000000000007E-2</v>
      </c>
      <c r="G79" s="24">
        <v>0.08</v>
      </c>
      <c r="H79" s="24">
        <v>0.12</v>
      </c>
      <c r="J79" s="24"/>
      <c r="K79" s="24"/>
      <c r="L79" s="24"/>
      <c r="M79" s="24"/>
      <c r="N79" s="24"/>
    </row>
    <row r="80" spans="1:14" x14ac:dyDescent="0.35">
      <c r="A80" t="s">
        <v>344</v>
      </c>
      <c r="B80" t="s">
        <v>90</v>
      </c>
      <c r="C80" s="2" t="s">
        <v>274</v>
      </c>
      <c r="D80" s="24">
        <v>0.01</v>
      </c>
      <c r="E80" s="24">
        <v>0.04</v>
      </c>
      <c r="F80" s="24">
        <v>0.06</v>
      </c>
      <c r="G80" s="24">
        <v>7.0000000000000007E-2</v>
      </c>
      <c r="H80" s="24">
        <v>0.11</v>
      </c>
      <c r="J80" s="24"/>
      <c r="K80" s="24"/>
      <c r="L80" s="24"/>
      <c r="M80" s="24"/>
      <c r="N80" s="24"/>
    </row>
    <row r="81" spans="1:14" x14ac:dyDescent="0.35">
      <c r="A81" t="s">
        <v>345</v>
      </c>
      <c r="B81" t="s">
        <v>90</v>
      </c>
      <c r="C81" s="2" t="s">
        <v>275</v>
      </c>
      <c r="D81" s="24">
        <v>0</v>
      </c>
      <c r="E81" s="24">
        <v>0.04</v>
      </c>
      <c r="F81" s="24">
        <v>0.05</v>
      </c>
      <c r="G81" s="24">
        <v>7.0000000000000007E-2</v>
      </c>
      <c r="H81" s="24">
        <v>0.1</v>
      </c>
      <c r="J81" s="24"/>
      <c r="K81" s="24"/>
      <c r="L81" s="24"/>
      <c r="M81" s="24"/>
      <c r="N81" s="24"/>
    </row>
    <row r="82" spans="1:14" x14ac:dyDescent="0.35">
      <c r="A82" t="s">
        <v>346</v>
      </c>
      <c r="B82" t="s">
        <v>89</v>
      </c>
      <c r="C82" s="2" t="s">
        <v>218</v>
      </c>
      <c r="D82" s="24">
        <v>0.02</v>
      </c>
      <c r="E82" s="24">
        <v>7.0000000000000007E-2</v>
      </c>
      <c r="F82" s="24">
        <v>0.09</v>
      </c>
      <c r="G82" s="24">
        <v>0.11</v>
      </c>
      <c r="H82" s="24">
        <v>0.17</v>
      </c>
      <c r="J82" s="24"/>
      <c r="K82" s="24"/>
      <c r="L82" s="24"/>
      <c r="M82" s="24"/>
      <c r="N82" s="24"/>
    </row>
    <row r="83" spans="1:14" x14ac:dyDescent="0.35">
      <c r="A83" t="s">
        <v>347</v>
      </c>
      <c r="B83" t="s">
        <v>89</v>
      </c>
      <c r="C83" s="2" t="s">
        <v>219</v>
      </c>
      <c r="D83" s="24">
        <v>0.03</v>
      </c>
      <c r="E83" s="24">
        <v>7.0000000000000007E-2</v>
      </c>
      <c r="F83" s="24">
        <v>0.09</v>
      </c>
      <c r="G83" s="24">
        <v>0.1</v>
      </c>
      <c r="H83" s="24">
        <v>0.15</v>
      </c>
      <c r="J83" s="24"/>
      <c r="K83" s="24"/>
      <c r="L83" s="24"/>
      <c r="M83" s="24"/>
      <c r="N83" s="24"/>
    </row>
    <row r="84" spans="1:14" x14ac:dyDescent="0.35">
      <c r="A84" t="s">
        <v>348</v>
      </c>
      <c r="B84" t="s">
        <v>89</v>
      </c>
      <c r="C84" s="2" t="s">
        <v>220</v>
      </c>
      <c r="D84" s="24">
        <v>0.03</v>
      </c>
      <c r="E84" s="24">
        <v>0.06</v>
      </c>
      <c r="F84" s="24">
        <v>0.08</v>
      </c>
      <c r="G84" s="24">
        <v>0.1</v>
      </c>
      <c r="H84" s="24">
        <v>0.16</v>
      </c>
      <c r="J84" s="24"/>
      <c r="K84" s="24"/>
      <c r="L84" s="24"/>
      <c r="M84" s="24"/>
      <c r="N84" s="24"/>
    </row>
    <row r="85" spans="1:14" x14ac:dyDescent="0.35">
      <c r="A85" t="s">
        <v>349</v>
      </c>
      <c r="B85" t="s">
        <v>89</v>
      </c>
      <c r="C85" s="2" t="s">
        <v>274</v>
      </c>
      <c r="D85" s="24">
        <v>0.01</v>
      </c>
      <c r="E85" s="24">
        <v>0.06</v>
      </c>
      <c r="F85" s="24">
        <v>0.08</v>
      </c>
      <c r="G85" s="24">
        <v>0.09</v>
      </c>
      <c r="H85" s="24">
        <v>0.14000000000000001</v>
      </c>
      <c r="J85" s="24"/>
      <c r="K85" s="24"/>
      <c r="L85" s="24"/>
      <c r="M85" s="24"/>
      <c r="N85" s="24"/>
    </row>
    <row r="86" spans="1:14" x14ac:dyDescent="0.35">
      <c r="A86" t="s">
        <v>350</v>
      </c>
      <c r="B86" t="s">
        <v>89</v>
      </c>
      <c r="C86" s="2" t="s">
        <v>275</v>
      </c>
      <c r="D86" s="24">
        <v>0.01</v>
      </c>
      <c r="E86" s="24">
        <v>0.05</v>
      </c>
      <c r="F86" s="24">
        <v>7.0000000000000007E-2</v>
      </c>
      <c r="G86" s="24">
        <v>0.09</v>
      </c>
      <c r="H86" s="24">
        <v>0.14000000000000001</v>
      </c>
      <c r="J86" s="24"/>
      <c r="K86" s="24"/>
      <c r="L86" s="24"/>
      <c r="M86" s="24"/>
      <c r="N86" s="24"/>
    </row>
    <row r="87" spans="1:14" x14ac:dyDescent="0.35">
      <c r="A87" t="s">
        <v>351</v>
      </c>
      <c r="B87" t="s">
        <v>94</v>
      </c>
      <c r="C87" s="2" t="s">
        <v>218</v>
      </c>
      <c r="D87" s="24">
        <v>0.01</v>
      </c>
      <c r="E87" s="24">
        <v>0.09</v>
      </c>
      <c r="F87" s="24">
        <v>0.12</v>
      </c>
      <c r="G87" s="24">
        <v>0.15</v>
      </c>
      <c r="H87" s="24">
        <v>0.24</v>
      </c>
      <c r="J87" s="24"/>
      <c r="K87" s="24"/>
      <c r="L87" s="24"/>
      <c r="M87" s="24"/>
      <c r="N87" s="24"/>
    </row>
    <row r="88" spans="1:14" x14ac:dyDescent="0.35">
      <c r="A88" t="s">
        <v>352</v>
      </c>
      <c r="B88" t="s">
        <v>94</v>
      </c>
      <c r="C88" s="2" t="s">
        <v>219</v>
      </c>
      <c r="D88" s="24">
        <v>0.05</v>
      </c>
      <c r="E88" s="24">
        <v>0.11</v>
      </c>
      <c r="F88" s="24">
        <v>0.13</v>
      </c>
      <c r="G88" s="24">
        <v>0.15</v>
      </c>
      <c r="H88" s="24">
        <v>0.21</v>
      </c>
      <c r="J88" s="24"/>
      <c r="K88" s="24"/>
      <c r="L88" s="24"/>
      <c r="M88" s="24"/>
      <c r="N88" s="24"/>
    </row>
    <row r="89" spans="1:14" x14ac:dyDescent="0.35">
      <c r="A89" t="s">
        <v>353</v>
      </c>
      <c r="B89" t="s">
        <v>94</v>
      </c>
      <c r="C89" s="2" t="s">
        <v>220</v>
      </c>
      <c r="D89" s="24">
        <v>0.04</v>
      </c>
      <c r="E89" s="24">
        <v>0.1</v>
      </c>
      <c r="F89" s="24">
        <v>0.12</v>
      </c>
      <c r="G89" s="24">
        <v>0.15</v>
      </c>
      <c r="H89" s="24">
        <v>0.21</v>
      </c>
      <c r="J89" s="24"/>
      <c r="K89" s="24"/>
      <c r="L89" s="24"/>
      <c r="M89" s="24"/>
      <c r="N89" s="24"/>
    </row>
    <row r="90" spans="1:14" x14ac:dyDescent="0.35">
      <c r="A90" t="s">
        <v>354</v>
      </c>
      <c r="B90" t="s">
        <v>94</v>
      </c>
      <c r="C90" s="2" t="s">
        <v>274</v>
      </c>
      <c r="D90" s="24">
        <v>0.05</v>
      </c>
      <c r="E90" s="24">
        <v>0.1</v>
      </c>
      <c r="F90" s="24">
        <v>0.12</v>
      </c>
      <c r="G90" s="24">
        <v>0.14000000000000001</v>
      </c>
      <c r="H90" s="24">
        <v>0.2</v>
      </c>
      <c r="J90" s="24"/>
      <c r="K90" s="24"/>
      <c r="L90" s="24"/>
      <c r="M90" s="24"/>
      <c r="N90" s="24"/>
    </row>
    <row r="91" spans="1:14" x14ac:dyDescent="0.35">
      <c r="A91" t="s">
        <v>355</v>
      </c>
      <c r="B91" t="s">
        <v>94</v>
      </c>
      <c r="C91" s="2" t="s">
        <v>275</v>
      </c>
      <c r="D91" s="24">
        <v>0.02</v>
      </c>
      <c r="E91" s="24">
        <v>7.0000000000000007E-2</v>
      </c>
      <c r="F91" s="24">
        <v>0.08</v>
      </c>
      <c r="G91" s="24">
        <v>0.1</v>
      </c>
      <c r="H91" s="24">
        <v>0.13</v>
      </c>
      <c r="J91" s="24"/>
      <c r="K91" s="24"/>
      <c r="L91" s="24"/>
      <c r="M91" s="24"/>
      <c r="N91" s="24"/>
    </row>
    <row r="92" spans="1:14" x14ac:dyDescent="0.35">
      <c r="A92" t="s">
        <v>356</v>
      </c>
      <c r="B92" t="s">
        <v>86</v>
      </c>
      <c r="C92" s="2" t="s">
        <v>218</v>
      </c>
      <c r="D92" s="24">
        <v>0.05</v>
      </c>
      <c r="E92" s="24">
        <v>0.08</v>
      </c>
      <c r="F92" s="24">
        <v>0.1</v>
      </c>
      <c r="G92" s="24">
        <v>0.12</v>
      </c>
      <c r="H92" s="24">
        <v>0.17</v>
      </c>
      <c r="J92" s="24"/>
      <c r="K92" s="24"/>
      <c r="L92" s="24"/>
      <c r="M92" s="24"/>
      <c r="N92" s="24"/>
    </row>
    <row r="93" spans="1:14" x14ac:dyDescent="0.35">
      <c r="A93" t="s">
        <v>357</v>
      </c>
      <c r="B93" t="s">
        <v>86</v>
      </c>
      <c r="C93" s="2" t="s">
        <v>219</v>
      </c>
      <c r="D93" s="24">
        <v>0.03</v>
      </c>
      <c r="E93" s="24">
        <v>0.08</v>
      </c>
      <c r="F93" s="24">
        <v>0.1</v>
      </c>
      <c r="G93" s="24">
        <v>0.12</v>
      </c>
      <c r="H93" s="24">
        <v>0.17</v>
      </c>
      <c r="J93" s="24"/>
      <c r="K93" s="24"/>
      <c r="L93" s="24"/>
      <c r="M93" s="24"/>
      <c r="N93" s="24"/>
    </row>
    <row r="94" spans="1:14" x14ac:dyDescent="0.35">
      <c r="A94" t="s">
        <v>358</v>
      </c>
      <c r="B94" t="s">
        <v>86</v>
      </c>
      <c r="C94" s="2" t="s">
        <v>220</v>
      </c>
      <c r="D94" s="24">
        <v>0.03</v>
      </c>
      <c r="E94" s="24">
        <v>0.08</v>
      </c>
      <c r="F94" s="24">
        <v>0.1</v>
      </c>
      <c r="G94" s="24">
        <v>0.11</v>
      </c>
      <c r="H94" s="24">
        <v>0.16</v>
      </c>
      <c r="J94" s="24"/>
      <c r="K94" s="24"/>
      <c r="L94" s="24"/>
      <c r="M94" s="24"/>
      <c r="N94" s="24"/>
    </row>
    <row r="95" spans="1:14" x14ac:dyDescent="0.35">
      <c r="A95" t="s">
        <v>359</v>
      </c>
      <c r="B95" t="s">
        <v>86</v>
      </c>
      <c r="C95" s="2" t="s">
        <v>274</v>
      </c>
      <c r="D95" s="24">
        <v>0.02</v>
      </c>
      <c r="E95" s="24">
        <v>0.06</v>
      </c>
      <c r="F95" s="24">
        <v>0.08</v>
      </c>
      <c r="G95" s="24">
        <v>0.11</v>
      </c>
      <c r="H95" s="24">
        <v>0.18</v>
      </c>
      <c r="J95" s="24"/>
      <c r="K95" s="24"/>
      <c r="L95" s="24"/>
      <c r="M95" s="24"/>
      <c r="N95" s="24"/>
    </row>
    <row r="96" spans="1:14" x14ac:dyDescent="0.35">
      <c r="A96" t="s">
        <v>360</v>
      </c>
      <c r="B96" t="s">
        <v>86</v>
      </c>
      <c r="C96" s="2" t="s">
        <v>275</v>
      </c>
      <c r="D96" s="24">
        <v>0.02</v>
      </c>
      <c r="E96" s="24">
        <v>7.0000000000000007E-2</v>
      </c>
      <c r="F96" s="24">
        <v>0.08</v>
      </c>
      <c r="G96" s="24">
        <v>0.1</v>
      </c>
      <c r="H96" s="24">
        <v>0.13</v>
      </c>
      <c r="J96" s="24"/>
      <c r="K96" s="24"/>
      <c r="L96" s="24"/>
      <c r="M96" s="24"/>
      <c r="N96" s="24"/>
    </row>
    <row r="97" spans="1:14" x14ac:dyDescent="0.35">
      <c r="A97" t="s">
        <v>361</v>
      </c>
      <c r="B97" t="s">
        <v>88</v>
      </c>
      <c r="C97" s="2" t="s">
        <v>218</v>
      </c>
      <c r="D97" s="24">
        <v>0.01</v>
      </c>
      <c r="E97" s="24">
        <v>0.06</v>
      </c>
      <c r="F97" s="24">
        <v>0.08</v>
      </c>
      <c r="G97" s="24">
        <v>0.1</v>
      </c>
      <c r="H97" s="24">
        <v>0.15</v>
      </c>
      <c r="J97" s="24"/>
      <c r="K97" s="24"/>
      <c r="L97" s="24"/>
      <c r="M97" s="24"/>
      <c r="N97" s="24"/>
    </row>
    <row r="98" spans="1:14" x14ac:dyDescent="0.35">
      <c r="A98" t="s">
        <v>362</v>
      </c>
      <c r="B98" t="s">
        <v>88</v>
      </c>
      <c r="C98" s="2" t="s">
        <v>219</v>
      </c>
      <c r="D98" s="24">
        <v>0.01</v>
      </c>
      <c r="E98" s="24">
        <v>0.05</v>
      </c>
      <c r="F98" s="24">
        <v>7.0000000000000007E-2</v>
      </c>
      <c r="G98" s="24">
        <v>0.09</v>
      </c>
      <c r="H98" s="24">
        <v>0.14000000000000001</v>
      </c>
      <c r="J98" s="24"/>
      <c r="K98" s="24"/>
      <c r="L98" s="24"/>
      <c r="M98" s="24"/>
      <c r="N98" s="24"/>
    </row>
    <row r="99" spans="1:14" x14ac:dyDescent="0.35">
      <c r="A99" t="s">
        <v>363</v>
      </c>
      <c r="B99" t="s">
        <v>88</v>
      </c>
      <c r="C99" s="2" t="s">
        <v>220</v>
      </c>
      <c r="D99" s="24">
        <v>0.01</v>
      </c>
      <c r="E99" s="24">
        <v>0.05</v>
      </c>
      <c r="F99" s="24">
        <v>7.0000000000000007E-2</v>
      </c>
      <c r="G99" s="24">
        <v>0.08</v>
      </c>
      <c r="H99" s="24">
        <v>0.12</v>
      </c>
      <c r="J99" s="24"/>
      <c r="K99" s="24"/>
      <c r="L99" s="24"/>
      <c r="M99" s="24"/>
      <c r="N99" s="24"/>
    </row>
    <row r="100" spans="1:14" x14ac:dyDescent="0.35">
      <c r="A100" t="s">
        <v>364</v>
      </c>
      <c r="B100" t="s">
        <v>88</v>
      </c>
      <c r="C100" s="2" t="s">
        <v>274</v>
      </c>
      <c r="D100" s="24">
        <v>0.01</v>
      </c>
      <c r="E100" s="24">
        <v>0.05</v>
      </c>
      <c r="F100" s="24">
        <v>0.06</v>
      </c>
      <c r="G100" s="24">
        <v>0.08</v>
      </c>
      <c r="H100" s="24">
        <v>0.13</v>
      </c>
      <c r="J100" s="24"/>
      <c r="K100" s="24"/>
      <c r="L100" s="24"/>
      <c r="M100" s="24"/>
      <c r="N100" s="24"/>
    </row>
    <row r="101" spans="1:14" x14ac:dyDescent="0.35">
      <c r="A101" t="s">
        <v>365</v>
      </c>
      <c r="B101" t="s">
        <v>88</v>
      </c>
      <c r="C101" s="2" t="s">
        <v>275</v>
      </c>
      <c r="D101" s="24">
        <v>0</v>
      </c>
      <c r="E101" s="24">
        <v>0.03</v>
      </c>
      <c r="F101" s="24">
        <v>0.05</v>
      </c>
      <c r="G101" s="24">
        <v>7.0000000000000007E-2</v>
      </c>
      <c r="H101" s="24">
        <v>0.12</v>
      </c>
      <c r="J101" s="24"/>
      <c r="K101" s="24"/>
      <c r="L101" s="24"/>
      <c r="M101" s="24"/>
      <c r="N101" s="24"/>
    </row>
    <row r="102" spans="1:14" x14ac:dyDescent="0.35">
      <c r="A102" t="s">
        <v>366</v>
      </c>
      <c r="B102" t="s">
        <v>87</v>
      </c>
      <c r="C102" s="2" t="s">
        <v>218</v>
      </c>
      <c r="D102" s="24">
        <v>0</v>
      </c>
      <c r="E102" s="24">
        <v>0.06</v>
      </c>
      <c r="F102" s="24">
        <v>0.09</v>
      </c>
      <c r="G102" s="24">
        <v>0.1</v>
      </c>
      <c r="H102" s="24">
        <v>0.16</v>
      </c>
      <c r="J102" s="24"/>
      <c r="K102" s="24"/>
      <c r="L102" s="24"/>
      <c r="M102" s="24"/>
      <c r="N102" s="24"/>
    </row>
    <row r="103" spans="1:14" x14ac:dyDescent="0.35">
      <c r="A103" t="s">
        <v>367</v>
      </c>
      <c r="B103" t="s">
        <v>87</v>
      </c>
      <c r="C103" s="2" t="s">
        <v>219</v>
      </c>
      <c r="D103" s="24">
        <v>0.01</v>
      </c>
      <c r="E103" s="24">
        <v>0.06</v>
      </c>
      <c r="F103" s="24">
        <v>0.08</v>
      </c>
      <c r="G103" s="24">
        <v>0.1</v>
      </c>
      <c r="H103" s="24">
        <v>0.16</v>
      </c>
      <c r="J103" s="24"/>
      <c r="K103" s="24"/>
      <c r="L103" s="24"/>
      <c r="M103" s="24"/>
      <c r="N103" s="24"/>
    </row>
    <row r="104" spans="1:14" x14ac:dyDescent="0.35">
      <c r="A104" t="s">
        <v>368</v>
      </c>
      <c r="B104" t="s">
        <v>87</v>
      </c>
      <c r="C104" s="2" t="s">
        <v>220</v>
      </c>
      <c r="D104" s="24">
        <v>0.01</v>
      </c>
      <c r="E104" s="24">
        <v>0.05</v>
      </c>
      <c r="F104" s="24">
        <v>0.08</v>
      </c>
      <c r="G104" s="24">
        <v>0.1</v>
      </c>
      <c r="H104" s="24">
        <v>0.14000000000000001</v>
      </c>
      <c r="J104" s="24"/>
      <c r="K104" s="24"/>
      <c r="L104" s="24"/>
      <c r="M104" s="24"/>
      <c r="N104" s="24"/>
    </row>
    <row r="105" spans="1:14" x14ac:dyDescent="0.35">
      <c r="A105" t="s">
        <v>369</v>
      </c>
      <c r="B105" t="s">
        <v>87</v>
      </c>
      <c r="C105" s="2" t="s">
        <v>274</v>
      </c>
      <c r="D105" s="24">
        <v>0.01</v>
      </c>
      <c r="E105" s="24">
        <v>0.05</v>
      </c>
      <c r="F105" s="24">
        <v>7.0000000000000007E-2</v>
      </c>
      <c r="G105" s="24">
        <v>0.1</v>
      </c>
      <c r="H105" s="24">
        <v>0.15</v>
      </c>
      <c r="J105" s="24"/>
      <c r="K105" s="24"/>
      <c r="L105" s="24"/>
      <c r="M105" s="24"/>
      <c r="N105" s="24"/>
    </row>
    <row r="106" spans="1:14" x14ac:dyDescent="0.35">
      <c r="A106" t="s">
        <v>370</v>
      </c>
      <c r="B106" t="s">
        <v>87</v>
      </c>
      <c r="C106" s="2" t="s">
        <v>275</v>
      </c>
      <c r="D106" s="24">
        <v>0.01</v>
      </c>
      <c r="E106" s="24">
        <v>0.03</v>
      </c>
      <c r="F106" s="24">
        <v>7.0000000000000007E-2</v>
      </c>
      <c r="G106" s="24">
        <v>0.09</v>
      </c>
      <c r="H106" s="24">
        <v>0.17</v>
      </c>
      <c r="J106" s="24"/>
      <c r="K106" s="24"/>
      <c r="L106" s="24"/>
      <c r="M106" s="24"/>
      <c r="N106" s="24"/>
    </row>
    <row r="107" spans="1:14" x14ac:dyDescent="0.35">
      <c r="A107" t="s">
        <v>371</v>
      </c>
      <c r="B107" t="s">
        <v>262</v>
      </c>
      <c r="C107" s="2" t="s">
        <v>218</v>
      </c>
      <c r="D107" s="24"/>
      <c r="E107" s="24"/>
      <c r="F107" s="24"/>
      <c r="G107" s="24"/>
      <c r="H107" s="24"/>
    </row>
    <row r="108" spans="1:14" x14ac:dyDescent="0.35">
      <c r="A108" t="s">
        <v>372</v>
      </c>
      <c r="B108" t="s">
        <v>262</v>
      </c>
      <c r="C108" s="2" t="s">
        <v>219</v>
      </c>
      <c r="D108" s="24"/>
      <c r="E108" s="24"/>
      <c r="F108" s="24"/>
      <c r="G108" s="24"/>
      <c r="H108" s="24"/>
    </row>
    <row r="109" spans="1:14" x14ac:dyDescent="0.35">
      <c r="A109" t="s">
        <v>373</v>
      </c>
      <c r="B109" t="s">
        <v>262</v>
      </c>
      <c r="C109" s="2" t="s">
        <v>220</v>
      </c>
      <c r="D109" s="24"/>
      <c r="E109" s="24"/>
      <c r="F109" s="24"/>
      <c r="G109" s="24"/>
      <c r="H109" s="24"/>
    </row>
    <row r="110" spans="1:14" x14ac:dyDescent="0.35">
      <c r="A110" t="s">
        <v>374</v>
      </c>
      <c r="B110" t="s">
        <v>262</v>
      </c>
      <c r="C110" s="2" t="s">
        <v>274</v>
      </c>
      <c r="D110" s="24"/>
      <c r="E110" s="24"/>
      <c r="F110" s="24"/>
      <c r="G110" s="24"/>
      <c r="H110" s="24"/>
    </row>
    <row r="111" spans="1:14" x14ac:dyDescent="0.35">
      <c r="A111" t="s">
        <v>375</v>
      </c>
      <c r="B111" t="s">
        <v>262</v>
      </c>
      <c r="C111" s="2" t="s">
        <v>275</v>
      </c>
      <c r="D111" s="24"/>
      <c r="E111" s="24"/>
      <c r="F111" s="24"/>
      <c r="G111" s="24"/>
      <c r="H111"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4.5" x14ac:dyDescent="0.35"/>
  <cols>
    <col min="1" max="1" width="42.1796875" bestFit="1" customWidth="1"/>
    <col min="2" max="2" width="39.7265625" bestFit="1" customWidth="1"/>
    <col min="3" max="3" width="10.7265625" style="2" bestFit="1" customWidth="1"/>
  </cols>
  <sheetData>
    <row r="1" spans="1:14" x14ac:dyDescent="0.35">
      <c r="A1" t="s">
        <v>251</v>
      </c>
      <c r="B1" t="s">
        <v>261</v>
      </c>
      <c r="C1" s="2" t="s">
        <v>1010</v>
      </c>
      <c r="D1" s="2" t="s">
        <v>222</v>
      </c>
      <c r="E1" s="2"/>
      <c r="F1" s="2" t="s">
        <v>221</v>
      </c>
    </row>
    <row r="2" spans="1:14" x14ac:dyDescent="0.35">
      <c r="A2" t="s">
        <v>276</v>
      </c>
      <c r="B2" t="s">
        <v>99</v>
      </c>
      <c r="C2" s="2" t="s">
        <v>218</v>
      </c>
      <c r="D2" s="24">
        <v>0</v>
      </c>
      <c r="E2" s="24">
        <v>0.1</v>
      </c>
      <c r="F2" s="24">
        <v>0.14000000000000001</v>
      </c>
      <c r="G2" s="24"/>
      <c r="H2" s="24"/>
      <c r="I2" s="24"/>
      <c r="J2" s="24"/>
      <c r="L2" s="24"/>
      <c r="M2" s="24"/>
      <c r="N2" s="24"/>
    </row>
    <row r="3" spans="1:14" x14ac:dyDescent="0.35">
      <c r="A3" t="s">
        <v>277</v>
      </c>
      <c r="B3" t="s">
        <v>99</v>
      </c>
      <c r="C3" s="2" t="s">
        <v>219</v>
      </c>
      <c r="D3" s="24">
        <v>0</v>
      </c>
      <c r="E3" s="24">
        <v>0.08</v>
      </c>
      <c r="F3" s="24">
        <v>0.13</v>
      </c>
      <c r="G3" s="24"/>
      <c r="H3" s="24"/>
      <c r="I3" s="24"/>
      <c r="J3" s="24"/>
      <c r="L3" s="24"/>
      <c r="M3" s="24"/>
      <c r="N3" s="24"/>
    </row>
    <row r="4" spans="1:14" x14ac:dyDescent="0.35">
      <c r="A4" t="s">
        <v>278</v>
      </c>
      <c r="B4" t="s">
        <v>99</v>
      </c>
      <c r="C4" s="2" t="s">
        <v>220</v>
      </c>
      <c r="D4" s="24">
        <v>0</v>
      </c>
      <c r="E4" s="24">
        <v>0.08</v>
      </c>
      <c r="F4" s="24">
        <v>0.11</v>
      </c>
      <c r="G4" s="24"/>
      <c r="H4" s="24"/>
      <c r="I4" s="24"/>
      <c r="J4" s="24"/>
      <c r="L4" s="24"/>
      <c r="M4" s="24"/>
      <c r="N4" s="24"/>
    </row>
    <row r="5" spans="1:14" x14ac:dyDescent="0.35">
      <c r="A5" t="s">
        <v>279</v>
      </c>
      <c r="B5" t="s">
        <v>99</v>
      </c>
      <c r="C5" s="2" t="s">
        <v>274</v>
      </c>
      <c r="D5" s="24">
        <v>0</v>
      </c>
      <c r="E5" s="24">
        <v>7.0000000000000007E-2</v>
      </c>
      <c r="F5" s="24">
        <v>0.1</v>
      </c>
      <c r="G5" s="24"/>
      <c r="H5" s="24"/>
      <c r="I5" s="24"/>
      <c r="J5" s="24"/>
      <c r="L5" s="24"/>
      <c r="M5" s="24"/>
      <c r="N5" s="24"/>
    </row>
    <row r="6" spans="1:14" x14ac:dyDescent="0.35">
      <c r="A6" t="s">
        <v>280</v>
      </c>
      <c r="B6" t="s">
        <v>99</v>
      </c>
      <c r="C6" s="2" t="s">
        <v>275</v>
      </c>
      <c r="D6" s="24">
        <v>0</v>
      </c>
      <c r="E6" s="24">
        <v>0.06</v>
      </c>
      <c r="F6" s="24">
        <v>0.09</v>
      </c>
      <c r="G6" s="24"/>
      <c r="H6" s="24"/>
      <c r="I6" s="24"/>
      <c r="J6" s="24"/>
      <c r="L6" s="24"/>
      <c r="M6" s="24"/>
      <c r="N6" s="24"/>
    </row>
    <row r="7" spans="1:14" x14ac:dyDescent="0.35">
      <c r="A7" t="s">
        <v>531</v>
      </c>
      <c r="B7" t="s">
        <v>529</v>
      </c>
      <c r="C7" s="2" t="s">
        <v>218</v>
      </c>
      <c r="D7" s="24">
        <v>0</v>
      </c>
      <c r="E7" s="24">
        <v>7.0000000000000007E-2</v>
      </c>
      <c r="F7" s="24">
        <v>0.1</v>
      </c>
      <c r="G7" s="24"/>
      <c r="H7" s="24"/>
      <c r="I7" s="24"/>
      <c r="J7" s="24"/>
      <c r="L7" s="24"/>
      <c r="M7" s="24"/>
      <c r="N7" s="24"/>
    </row>
    <row r="8" spans="1:14" x14ac:dyDescent="0.35">
      <c r="A8" t="s">
        <v>532</v>
      </c>
      <c r="B8" t="s">
        <v>529</v>
      </c>
      <c r="C8" s="2" t="s">
        <v>219</v>
      </c>
      <c r="D8" s="24">
        <v>0</v>
      </c>
      <c r="E8" s="24">
        <v>7.0000000000000007E-2</v>
      </c>
      <c r="F8" s="24">
        <v>0.09</v>
      </c>
      <c r="G8" s="24"/>
      <c r="H8" s="24"/>
      <c r="I8" s="24"/>
      <c r="J8" s="24"/>
      <c r="L8" s="24"/>
      <c r="M8" s="24"/>
      <c r="N8" s="24"/>
    </row>
    <row r="9" spans="1:14" x14ac:dyDescent="0.35">
      <c r="A9" t="s">
        <v>533</v>
      </c>
      <c r="B9" t="s">
        <v>529</v>
      </c>
      <c r="C9" s="2" t="s">
        <v>220</v>
      </c>
      <c r="D9" s="24">
        <v>0</v>
      </c>
      <c r="E9" s="24">
        <v>0.06</v>
      </c>
      <c r="F9" s="24">
        <v>0.08</v>
      </c>
      <c r="G9" s="24"/>
      <c r="H9" s="24"/>
      <c r="I9" s="24"/>
      <c r="J9" s="24"/>
      <c r="L9" s="24"/>
      <c r="M9" s="24"/>
      <c r="N9" s="24"/>
    </row>
    <row r="10" spans="1:14" x14ac:dyDescent="0.35">
      <c r="A10" t="s">
        <v>534</v>
      </c>
      <c r="B10" t="s">
        <v>529</v>
      </c>
      <c r="C10" s="2" t="s">
        <v>274</v>
      </c>
      <c r="D10" s="24">
        <v>0</v>
      </c>
      <c r="E10" s="24">
        <v>0.05</v>
      </c>
      <c r="F10" s="24">
        <v>7.0000000000000007E-2</v>
      </c>
      <c r="G10" s="24"/>
      <c r="H10" s="24"/>
      <c r="I10" s="24"/>
      <c r="J10" s="24"/>
      <c r="L10" s="24"/>
      <c r="M10" s="24"/>
      <c r="N10" s="24"/>
    </row>
    <row r="11" spans="1:14" x14ac:dyDescent="0.35">
      <c r="A11" t="s">
        <v>535</v>
      </c>
      <c r="B11" t="s">
        <v>529</v>
      </c>
      <c r="C11" s="2" t="s">
        <v>275</v>
      </c>
      <c r="D11" s="24">
        <v>0</v>
      </c>
      <c r="E11" s="24">
        <v>0.04</v>
      </c>
      <c r="F11" s="24">
        <v>0.06</v>
      </c>
      <c r="G11" s="24"/>
      <c r="H11" s="24"/>
      <c r="I11" s="24"/>
      <c r="J11" s="24"/>
      <c r="L11" s="24"/>
      <c r="M11" s="24"/>
      <c r="N11" s="24"/>
    </row>
    <row r="12" spans="1:14" x14ac:dyDescent="0.35">
      <c r="A12" t="s">
        <v>536</v>
      </c>
      <c r="B12" t="s">
        <v>530</v>
      </c>
      <c r="C12" s="2" t="s">
        <v>218</v>
      </c>
      <c r="D12" s="24">
        <v>0</v>
      </c>
      <c r="E12" s="24">
        <v>7.0000000000000007E-2</v>
      </c>
      <c r="F12" s="24">
        <v>0.09</v>
      </c>
      <c r="G12" s="24"/>
      <c r="H12" s="24"/>
      <c r="I12" s="24"/>
      <c r="J12" s="24"/>
      <c r="L12" s="24"/>
      <c r="M12" s="24"/>
      <c r="N12" s="24"/>
    </row>
    <row r="13" spans="1:14" x14ac:dyDescent="0.35">
      <c r="A13" t="s">
        <v>537</v>
      </c>
      <c r="B13" t="s">
        <v>530</v>
      </c>
      <c r="C13" s="2" t="s">
        <v>219</v>
      </c>
      <c r="D13" s="24">
        <v>0</v>
      </c>
      <c r="E13" s="24">
        <v>7.0000000000000007E-2</v>
      </c>
      <c r="F13" s="24">
        <v>0.08</v>
      </c>
      <c r="G13" s="24"/>
      <c r="H13" s="24"/>
      <c r="I13" s="24"/>
      <c r="J13" s="24"/>
      <c r="L13" s="24"/>
      <c r="M13" s="24"/>
      <c r="N13" s="24"/>
    </row>
    <row r="14" spans="1:14" x14ac:dyDescent="0.35">
      <c r="A14" t="s">
        <v>538</v>
      </c>
      <c r="B14" t="s">
        <v>530</v>
      </c>
      <c r="C14" s="2" t="s">
        <v>220</v>
      </c>
      <c r="D14" s="24">
        <v>0</v>
      </c>
      <c r="E14" s="24">
        <v>0.06</v>
      </c>
      <c r="F14" s="24">
        <v>7.0000000000000007E-2</v>
      </c>
      <c r="G14" s="24"/>
      <c r="H14" s="24"/>
      <c r="I14" s="24"/>
      <c r="J14" s="24"/>
      <c r="L14" s="24"/>
      <c r="M14" s="24"/>
      <c r="N14" s="24"/>
    </row>
    <row r="15" spans="1:14" x14ac:dyDescent="0.35">
      <c r="A15" t="s">
        <v>539</v>
      </c>
      <c r="B15" t="s">
        <v>530</v>
      </c>
      <c r="C15" s="2" t="s">
        <v>274</v>
      </c>
      <c r="D15" s="24">
        <v>0</v>
      </c>
      <c r="E15" s="24">
        <v>0.05</v>
      </c>
      <c r="F15" s="24">
        <v>0.06</v>
      </c>
      <c r="G15" s="24"/>
      <c r="H15" s="24"/>
      <c r="I15" s="24"/>
      <c r="J15" s="24"/>
      <c r="L15" s="24"/>
      <c r="M15" s="24"/>
      <c r="N15" s="24"/>
    </row>
    <row r="16" spans="1:14" x14ac:dyDescent="0.35">
      <c r="A16" t="s">
        <v>540</v>
      </c>
      <c r="B16" t="s">
        <v>530</v>
      </c>
      <c r="C16" s="2" t="s">
        <v>275</v>
      </c>
      <c r="D16" s="24">
        <v>0</v>
      </c>
      <c r="E16" s="24">
        <v>0.05</v>
      </c>
      <c r="F16" s="24">
        <v>0.05</v>
      </c>
      <c r="G16" s="24"/>
      <c r="H16" s="24"/>
      <c r="I16" s="24"/>
      <c r="J16" s="24"/>
      <c r="L16" s="24"/>
      <c r="M16" s="24"/>
      <c r="N16" s="24"/>
    </row>
    <row r="17" spans="1:14" x14ac:dyDescent="0.35">
      <c r="A17" t="s">
        <v>281</v>
      </c>
      <c r="B17" t="s">
        <v>102</v>
      </c>
      <c r="C17" s="2" t="s">
        <v>218</v>
      </c>
      <c r="D17" s="24">
        <v>0</v>
      </c>
      <c r="E17" s="24">
        <v>0.13</v>
      </c>
      <c r="F17" s="24">
        <v>0.18</v>
      </c>
      <c r="G17" s="24"/>
      <c r="H17" s="24"/>
      <c r="I17" s="24"/>
      <c r="J17" s="24"/>
      <c r="L17" s="24"/>
      <c r="M17" s="24"/>
      <c r="N17" s="24"/>
    </row>
    <row r="18" spans="1:14" x14ac:dyDescent="0.35">
      <c r="A18" t="s">
        <v>282</v>
      </c>
      <c r="B18" t="s">
        <v>102</v>
      </c>
      <c r="C18" s="2" t="s">
        <v>219</v>
      </c>
      <c r="D18" s="24">
        <v>0</v>
      </c>
      <c r="E18" s="24">
        <v>0.12</v>
      </c>
      <c r="F18" s="24">
        <v>0.17</v>
      </c>
      <c r="G18" s="24"/>
      <c r="H18" s="24"/>
      <c r="I18" s="24"/>
      <c r="J18" s="24"/>
      <c r="L18" s="24"/>
      <c r="M18" s="24"/>
      <c r="N18" s="24"/>
    </row>
    <row r="19" spans="1:14" x14ac:dyDescent="0.35">
      <c r="A19" t="s">
        <v>283</v>
      </c>
      <c r="B19" t="s">
        <v>102</v>
      </c>
      <c r="C19" s="2" t="s">
        <v>220</v>
      </c>
      <c r="D19" s="24">
        <v>0</v>
      </c>
      <c r="E19" s="24">
        <v>0.09</v>
      </c>
      <c r="F19" s="24">
        <v>0.13</v>
      </c>
      <c r="G19" s="24"/>
      <c r="H19" s="24"/>
      <c r="I19" s="24"/>
      <c r="J19" s="24"/>
      <c r="L19" s="24"/>
      <c r="M19" s="24"/>
      <c r="N19" s="24"/>
    </row>
    <row r="20" spans="1:14" x14ac:dyDescent="0.35">
      <c r="A20" t="s">
        <v>284</v>
      </c>
      <c r="B20" t="s">
        <v>102</v>
      </c>
      <c r="C20" s="2" t="s">
        <v>274</v>
      </c>
      <c r="D20" s="24">
        <v>0</v>
      </c>
      <c r="E20" s="24">
        <v>7.0000000000000007E-2</v>
      </c>
      <c r="F20" s="24">
        <v>0.11</v>
      </c>
      <c r="G20" s="24"/>
      <c r="H20" s="24"/>
      <c r="I20" s="24"/>
      <c r="J20" s="24"/>
      <c r="L20" s="24"/>
      <c r="M20" s="24"/>
      <c r="N20" s="24"/>
    </row>
    <row r="21" spans="1:14" x14ac:dyDescent="0.35">
      <c r="A21" t="s">
        <v>285</v>
      </c>
      <c r="B21" t="s">
        <v>102</v>
      </c>
      <c r="C21" s="2" t="s">
        <v>275</v>
      </c>
      <c r="D21" s="24">
        <v>0</v>
      </c>
      <c r="E21" s="24">
        <v>0.06</v>
      </c>
      <c r="F21" s="24">
        <v>0.09</v>
      </c>
      <c r="G21" s="24"/>
      <c r="H21" s="24"/>
      <c r="I21" s="24"/>
      <c r="J21" s="24"/>
      <c r="L21" s="24"/>
      <c r="M21" s="24"/>
      <c r="N21" s="24"/>
    </row>
    <row r="22" spans="1:14" x14ac:dyDescent="0.35">
      <c r="A22" t="s">
        <v>286</v>
      </c>
      <c r="B22" t="s">
        <v>100</v>
      </c>
      <c r="C22" s="2" t="s">
        <v>218</v>
      </c>
      <c r="D22" s="24">
        <v>0</v>
      </c>
      <c r="E22" s="24">
        <v>0.13</v>
      </c>
      <c r="F22" s="24">
        <v>0.18</v>
      </c>
      <c r="G22" s="24"/>
      <c r="H22" s="24"/>
      <c r="I22" s="24"/>
      <c r="J22" s="24"/>
      <c r="L22" s="24"/>
      <c r="M22" s="24"/>
      <c r="N22" s="24"/>
    </row>
    <row r="23" spans="1:14" x14ac:dyDescent="0.35">
      <c r="A23" t="s">
        <v>287</v>
      </c>
      <c r="B23" t="s">
        <v>100</v>
      </c>
      <c r="C23" s="2" t="s">
        <v>219</v>
      </c>
      <c r="D23" s="24">
        <v>0</v>
      </c>
      <c r="E23" s="24">
        <v>0.12</v>
      </c>
      <c r="F23" s="24">
        <v>0.17</v>
      </c>
      <c r="G23" s="24"/>
      <c r="H23" s="24"/>
      <c r="I23" s="24"/>
      <c r="J23" s="24"/>
      <c r="L23" s="24"/>
      <c r="M23" s="24"/>
      <c r="N23" s="24"/>
    </row>
    <row r="24" spans="1:14" x14ac:dyDescent="0.35">
      <c r="A24" t="s">
        <v>288</v>
      </c>
      <c r="B24" t="s">
        <v>100</v>
      </c>
      <c r="C24" s="2" t="s">
        <v>220</v>
      </c>
      <c r="D24" s="24">
        <v>0</v>
      </c>
      <c r="E24" s="24">
        <v>0.1</v>
      </c>
      <c r="F24" s="24">
        <v>0.16</v>
      </c>
      <c r="G24" s="24"/>
      <c r="H24" s="24"/>
      <c r="I24" s="24"/>
      <c r="J24" s="24"/>
      <c r="L24" s="24"/>
      <c r="M24" s="24"/>
      <c r="N24" s="24"/>
    </row>
    <row r="25" spans="1:14" x14ac:dyDescent="0.35">
      <c r="A25" t="s">
        <v>289</v>
      </c>
      <c r="B25" t="s">
        <v>100</v>
      </c>
      <c r="C25" s="2" t="s">
        <v>274</v>
      </c>
      <c r="D25" s="24">
        <v>0</v>
      </c>
      <c r="E25" s="24">
        <v>7.0000000000000007E-2</v>
      </c>
      <c r="F25" s="24">
        <v>0.11</v>
      </c>
      <c r="G25" s="24"/>
      <c r="H25" s="24"/>
      <c r="I25" s="24"/>
      <c r="J25" s="24"/>
      <c r="L25" s="24"/>
      <c r="M25" s="24"/>
      <c r="N25" s="24"/>
    </row>
    <row r="26" spans="1:14" x14ac:dyDescent="0.35">
      <c r="A26" t="s">
        <v>290</v>
      </c>
      <c r="B26" t="s">
        <v>100</v>
      </c>
      <c r="C26" s="2" t="s">
        <v>275</v>
      </c>
      <c r="D26" s="24">
        <v>0</v>
      </c>
      <c r="E26" s="24">
        <v>0.06</v>
      </c>
      <c r="F26" s="24">
        <v>0.08</v>
      </c>
      <c r="G26" s="24"/>
      <c r="H26" s="24"/>
      <c r="I26" s="24"/>
      <c r="J26" s="24"/>
      <c r="L26" s="24"/>
      <c r="M26" s="24"/>
      <c r="N26" s="24"/>
    </row>
    <row r="27" spans="1:14" x14ac:dyDescent="0.35">
      <c r="A27" t="s">
        <v>291</v>
      </c>
      <c r="B27" t="s">
        <v>104</v>
      </c>
      <c r="C27" s="2" t="s">
        <v>218</v>
      </c>
      <c r="D27" s="24">
        <v>0</v>
      </c>
      <c r="E27" s="24">
        <v>0.15</v>
      </c>
      <c r="F27" s="24">
        <v>0.18</v>
      </c>
      <c r="G27" s="24"/>
      <c r="H27" s="24"/>
      <c r="I27" s="24"/>
      <c r="J27" s="24"/>
      <c r="L27" s="24"/>
      <c r="M27" s="24"/>
      <c r="N27" s="24"/>
    </row>
    <row r="28" spans="1:14" x14ac:dyDescent="0.35">
      <c r="A28" t="s">
        <v>292</v>
      </c>
      <c r="B28" t="s">
        <v>104</v>
      </c>
      <c r="C28" s="2" t="s">
        <v>219</v>
      </c>
      <c r="D28" s="24">
        <v>0</v>
      </c>
      <c r="E28" s="24">
        <v>0.13</v>
      </c>
      <c r="F28" s="24">
        <v>0.18</v>
      </c>
      <c r="G28" s="24"/>
      <c r="H28" s="24"/>
      <c r="I28" s="24"/>
      <c r="J28" s="24"/>
      <c r="L28" s="24"/>
      <c r="M28" s="24"/>
      <c r="N28" s="24"/>
    </row>
    <row r="29" spans="1:14" x14ac:dyDescent="0.35">
      <c r="A29" t="s">
        <v>293</v>
      </c>
      <c r="B29" t="s">
        <v>104</v>
      </c>
      <c r="C29" s="2" t="s">
        <v>220</v>
      </c>
      <c r="D29" s="24">
        <v>0</v>
      </c>
      <c r="E29" s="24">
        <v>0.12</v>
      </c>
      <c r="F29" s="24">
        <v>0.16</v>
      </c>
      <c r="G29" s="24"/>
      <c r="H29" s="24"/>
      <c r="I29" s="24"/>
      <c r="J29" s="24"/>
      <c r="L29" s="24"/>
      <c r="M29" s="24"/>
      <c r="N29" s="24"/>
    </row>
    <row r="30" spans="1:14" x14ac:dyDescent="0.35">
      <c r="A30" t="s">
        <v>294</v>
      </c>
      <c r="B30" t="s">
        <v>104</v>
      </c>
      <c r="C30" s="2" t="s">
        <v>274</v>
      </c>
      <c r="D30" s="24">
        <v>0</v>
      </c>
      <c r="E30" s="24">
        <v>0.12</v>
      </c>
      <c r="F30" s="24">
        <v>0.15</v>
      </c>
      <c r="G30" s="24"/>
      <c r="H30" s="24"/>
      <c r="I30" s="24"/>
      <c r="J30" s="24"/>
      <c r="L30" s="24"/>
      <c r="M30" s="24"/>
      <c r="N30" s="24"/>
    </row>
    <row r="31" spans="1:14" x14ac:dyDescent="0.35">
      <c r="A31" t="s">
        <v>295</v>
      </c>
      <c r="B31" t="s">
        <v>104</v>
      </c>
      <c r="C31" s="2" t="s">
        <v>275</v>
      </c>
      <c r="D31" s="24">
        <v>0</v>
      </c>
      <c r="E31" s="24">
        <v>0.11</v>
      </c>
      <c r="F31" s="24">
        <v>0.12</v>
      </c>
      <c r="G31" s="24"/>
      <c r="H31" s="24"/>
      <c r="I31" s="24"/>
      <c r="J31" s="24"/>
      <c r="L31" s="24"/>
      <c r="M31" s="24"/>
      <c r="N31" s="24"/>
    </row>
    <row r="32" spans="1:14" x14ac:dyDescent="0.35">
      <c r="A32" t="s">
        <v>296</v>
      </c>
      <c r="B32" t="s">
        <v>98</v>
      </c>
      <c r="C32" s="2" t="s">
        <v>218</v>
      </c>
      <c r="D32" s="24">
        <v>0</v>
      </c>
      <c r="E32" s="24">
        <v>0.11</v>
      </c>
      <c r="F32" s="24">
        <v>0.17</v>
      </c>
      <c r="G32" s="24"/>
      <c r="H32" s="24"/>
      <c r="I32" s="24"/>
      <c r="J32" s="24"/>
      <c r="L32" s="24"/>
      <c r="M32" s="24"/>
      <c r="N32" s="24"/>
    </row>
    <row r="33" spans="1:14" x14ac:dyDescent="0.35">
      <c r="A33" t="s">
        <v>297</v>
      </c>
      <c r="B33" t="s">
        <v>98</v>
      </c>
      <c r="C33" s="2" t="s">
        <v>219</v>
      </c>
      <c r="D33" s="24">
        <v>0</v>
      </c>
      <c r="E33" s="24">
        <v>0.09</v>
      </c>
      <c r="F33" s="24">
        <v>0.14000000000000001</v>
      </c>
      <c r="G33" s="24"/>
      <c r="H33" s="24"/>
      <c r="I33" s="24"/>
      <c r="J33" s="24"/>
      <c r="L33" s="24"/>
      <c r="M33" s="24"/>
      <c r="N33" s="24"/>
    </row>
    <row r="34" spans="1:14" x14ac:dyDescent="0.35">
      <c r="A34" t="s">
        <v>298</v>
      </c>
      <c r="B34" t="s">
        <v>98</v>
      </c>
      <c r="C34" s="2" t="s">
        <v>220</v>
      </c>
      <c r="D34" s="24">
        <v>0</v>
      </c>
      <c r="E34" s="24">
        <v>0.09</v>
      </c>
      <c r="F34" s="24">
        <v>0.13</v>
      </c>
      <c r="G34" s="24"/>
      <c r="H34" s="24"/>
      <c r="I34" s="24"/>
      <c r="J34" s="24"/>
      <c r="L34" s="24"/>
      <c r="M34" s="24"/>
      <c r="N34" s="24"/>
    </row>
    <row r="35" spans="1:14" x14ac:dyDescent="0.35">
      <c r="A35" t="s">
        <v>299</v>
      </c>
      <c r="B35" t="s">
        <v>98</v>
      </c>
      <c r="C35" s="2" t="s">
        <v>274</v>
      </c>
      <c r="D35" s="24">
        <v>0</v>
      </c>
      <c r="E35" s="24">
        <v>0.08</v>
      </c>
      <c r="F35" s="24">
        <v>0.12</v>
      </c>
      <c r="G35" s="24"/>
      <c r="H35" s="24"/>
      <c r="I35" s="24"/>
      <c r="J35" s="24"/>
      <c r="L35" s="24"/>
      <c r="M35" s="24"/>
      <c r="N35" s="24"/>
    </row>
    <row r="36" spans="1:14" x14ac:dyDescent="0.35">
      <c r="A36" t="s">
        <v>300</v>
      </c>
      <c r="B36" t="s">
        <v>98</v>
      </c>
      <c r="C36" s="2" t="s">
        <v>275</v>
      </c>
      <c r="D36" s="24">
        <v>0</v>
      </c>
      <c r="E36" s="24">
        <v>0.08</v>
      </c>
      <c r="F36" s="24">
        <v>0.11</v>
      </c>
      <c r="G36" s="24"/>
      <c r="H36" s="24"/>
      <c r="I36" s="24"/>
      <c r="J36" s="24"/>
      <c r="L36" s="24"/>
      <c r="M36" s="24"/>
      <c r="N36" s="24"/>
    </row>
    <row r="37" spans="1:14" x14ac:dyDescent="0.35">
      <c r="A37" t="s">
        <v>301</v>
      </c>
      <c r="B37" t="s">
        <v>95</v>
      </c>
      <c r="C37" s="2" t="s">
        <v>218</v>
      </c>
      <c r="D37" s="24">
        <v>0</v>
      </c>
      <c r="E37" s="24">
        <v>7.0000000000000007E-2</v>
      </c>
      <c r="F37" s="24">
        <v>0.12</v>
      </c>
      <c r="G37" s="24"/>
      <c r="H37" s="24"/>
      <c r="I37" s="24"/>
      <c r="J37" s="24"/>
      <c r="L37" s="24"/>
      <c r="M37" s="24"/>
      <c r="N37" s="24"/>
    </row>
    <row r="38" spans="1:14" x14ac:dyDescent="0.35">
      <c r="A38" t="s">
        <v>302</v>
      </c>
      <c r="B38" t="s">
        <v>95</v>
      </c>
      <c r="C38" s="2" t="s">
        <v>219</v>
      </c>
      <c r="D38" s="24">
        <v>0</v>
      </c>
      <c r="E38" s="24">
        <v>0.06</v>
      </c>
      <c r="F38" s="24">
        <v>0.12</v>
      </c>
      <c r="G38" s="24"/>
      <c r="H38" s="24"/>
      <c r="I38" s="24"/>
      <c r="J38" s="24"/>
      <c r="L38" s="24"/>
      <c r="M38" s="24"/>
      <c r="N38" s="24"/>
    </row>
    <row r="39" spans="1:14" x14ac:dyDescent="0.35">
      <c r="A39" t="s">
        <v>303</v>
      </c>
      <c r="B39" t="s">
        <v>95</v>
      </c>
      <c r="C39" s="2" t="s">
        <v>220</v>
      </c>
      <c r="D39" s="24">
        <v>0</v>
      </c>
      <c r="E39" s="24">
        <v>0.06</v>
      </c>
      <c r="F39" s="24">
        <v>0.11</v>
      </c>
      <c r="G39" s="24"/>
      <c r="H39" s="24"/>
      <c r="I39" s="24"/>
      <c r="J39" s="24"/>
      <c r="L39" s="24"/>
      <c r="M39" s="24"/>
      <c r="N39" s="24"/>
    </row>
    <row r="40" spans="1:14" x14ac:dyDescent="0.35">
      <c r="A40" t="s">
        <v>304</v>
      </c>
      <c r="B40" t="s">
        <v>95</v>
      </c>
      <c r="C40" s="2" t="s">
        <v>274</v>
      </c>
      <c r="D40" s="24">
        <v>0</v>
      </c>
      <c r="E40" s="24">
        <v>0.06</v>
      </c>
      <c r="F40" s="24">
        <v>0.11</v>
      </c>
      <c r="G40" s="24"/>
      <c r="H40" s="24"/>
      <c r="I40" s="24"/>
      <c r="J40" s="24"/>
      <c r="L40" s="24"/>
      <c r="M40" s="24"/>
      <c r="N40" s="24"/>
    </row>
    <row r="41" spans="1:14" x14ac:dyDescent="0.35">
      <c r="A41" t="s">
        <v>305</v>
      </c>
      <c r="B41" t="s">
        <v>95</v>
      </c>
      <c r="C41" s="2" t="s">
        <v>275</v>
      </c>
      <c r="D41" s="24">
        <v>0</v>
      </c>
      <c r="E41" s="24">
        <v>0.06</v>
      </c>
      <c r="F41" s="24">
        <v>0.1</v>
      </c>
      <c r="G41" s="24"/>
      <c r="H41" s="24"/>
      <c r="I41" s="24"/>
      <c r="J41" s="24"/>
      <c r="L41" s="24"/>
      <c r="M41" s="24"/>
      <c r="N41" s="24"/>
    </row>
    <row r="42" spans="1:14" x14ac:dyDescent="0.35">
      <c r="A42" t="s">
        <v>306</v>
      </c>
      <c r="B42" t="s">
        <v>96</v>
      </c>
      <c r="C42" s="2" t="s">
        <v>218</v>
      </c>
      <c r="D42" s="24">
        <v>0</v>
      </c>
      <c r="E42" s="24">
        <v>0.13</v>
      </c>
      <c r="F42" s="24">
        <v>0.18</v>
      </c>
      <c r="G42" s="24"/>
      <c r="H42" s="24"/>
      <c r="I42" s="24"/>
      <c r="J42" s="24"/>
      <c r="L42" s="24"/>
      <c r="M42" s="24"/>
      <c r="N42" s="24"/>
    </row>
    <row r="43" spans="1:14" x14ac:dyDescent="0.35">
      <c r="A43" t="s">
        <v>307</v>
      </c>
      <c r="B43" t="s">
        <v>96</v>
      </c>
      <c r="C43" s="2" t="s">
        <v>219</v>
      </c>
      <c r="D43" s="24">
        <v>0</v>
      </c>
      <c r="E43" s="24">
        <v>0.12</v>
      </c>
      <c r="F43" s="24">
        <v>0.17</v>
      </c>
      <c r="G43" s="24"/>
      <c r="H43" s="24"/>
      <c r="I43" s="24"/>
      <c r="J43" s="24"/>
      <c r="L43" s="24"/>
      <c r="M43" s="24"/>
      <c r="N43" s="24"/>
    </row>
    <row r="44" spans="1:14" x14ac:dyDescent="0.35">
      <c r="A44" t="s">
        <v>308</v>
      </c>
      <c r="B44" t="s">
        <v>96</v>
      </c>
      <c r="C44" s="2" t="s">
        <v>220</v>
      </c>
      <c r="D44" s="24">
        <v>0</v>
      </c>
      <c r="E44" s="24">
        <v>0.12</v>
      </c>
      <c r="F44" s="24">
        <v>0.16</v>
      </c>
      <c r="G44" s="24"/>
      <c r="H44" s="24"/>
      <c r="I44" s="24"/>
      <c r="J44" s="24"/>
      <c r="L44" s="24"/>
      <c r="M44" s="24"/>
      <c r="N44" s="24"/>
    </row>
    <row r="45" spans="1:14" x14ac:dyDescent="0.35">
      <c r="A45" t="s">
        <v>309</v>
      </c>
      <c r="B45" t="s">
        <v>96</v>
      </c>
      <c r="C45" s="2" t="s">
        <v>274</v>
      </c>
      <c r="D45" s="24">
        <v>0</v>
      </c>
      <c r="E45" s="24">
        <v>0.11</v>
      </c>
      <c r="F45" s="24">
        <v>0.14000000000000001</v>
      </c>
      <c r="G45" s="24"/>
      <c r="H45" s="24"/>
      <c r="I45" s="24"/>
      <c r="J45" s="24"/>
      <c r="L45" s="24"/>
      <c r="M45" s="24"/>
      <c r="N45" s="24"/>
    </row>
    <row r="46" spans="1:14" x14ac:dyDescent="0.35">
      <c r="A46" t="s">
        <v>310</v>
      </c>
      <c r="B46" t="s">
        <v>96</v>
      </c>
      <c r="C46" s="2" t="s">
        <v>275</v>
      </c>
      <c r="D46" s="24">
        <v>0</v>
      </c>
      <c r="E46" s="24">
        <v>0.09</v>
      </c>
      <c r="F46" s="24">
        <v>0.13</v>
      </c>
      <c r="G46" s="24"/>
      <c r="H46" s="24"/>
      <c r="I46" s="24"/>
      <c r="J46" s="24"/>
      <c r="L46" s="24"/>
      <c r="M46" s="24"/>
      <c r="N46" s="24"/>
    </row>
    <row r="47" spans="1:14" x14ac:dyDescent="0.35">
      <c r="A47" t="s">
        <v>311</v>
      </c>
      <c r="B47" t="s">
        <v>101</v>
      </c>
      <c r="C47" s="2" t="s">
        <v>218</v>
      </c>
      <c r="D47" s="24">
        <v>0</v>
      </c>
      <c r="E47" s="24">
        <v>0.12</v>
      </c>
      <c r="F47" s="24">
        <v>0.18</v>
      </c>
      <c r="G47" s="24"/>
      <c r="H47" s="24"/>
      <c r="I47" s="24"/>
      <c r="J47" s="24"/>
      <c r="L47" s="24"/>
      <c r="M47" s="24"/>
      <c r="N47" s="24"/>
    </row>
    <row r="48" spans="1:14" x14ac:dyDescent="0.35">
      <c r="A48" t="s">
        <v>312</v>
      </c>
      <c r="B48" t="s">
        <v>101</v>
      </c>
      <c r="C48" s="2" t="s">
        <v>219</v>
      </c>
      <c r="D48" s="24">
        <v>0</v>
      </c>
      <c r="E48" s="24">
        <v>0.12</v>
      </c>
      <c r="F48" s="24">
        <v>0.17</v>
      </c>
      <c r="G48" s="24"/>
      <c r="H48" s="24"/>
      <c r="I48" s="24"/>
      <c r="J48" s="24"/>
      <c r="L48" s="24"/>
      <c r="M48" s="24"/>
      <c r="N48" s="24"/>
    </row>
    <row r="49" spans="1:14" x14ac:dyDescent="0.35">
      <c r="A49" t="s">
        <v>313</v>
      </c>
      <c r="B49" t="s">
        <v>101</v>
      </c>
      <c r="C49" s="2" t="s">
        <v>220</v>
      </c>
      <c r="D49" s="24">
        <v>0</v>
      </c>
      <c r="E49" s="24">
        <v>0.1</v>
      </c>
      <c r="F49" s="24">
        <v>0.15</v>
      </c>
      <c r="G49" s="24"/>
      <c r="H49" s="24"/>
      <c r="I49" s="24"/>
      <c r="J49" s="24"/>
      <c r="L49" s="24"/>
      <c r="M49" s="24"/>
      <c r="N49" s="24"/>
    </row>
    <row r="50" spans="1:14" x14ac:dyDescent="0.35">
      <c r="A50" t="s">
        <v>314</v>
      </c>
      <c r="B50" t="s">
        <v>101</v>
      </c>
      <c r="C50" s="2" t="s">
        <v>274</v>
      </c>
      <c r="D50" s="24">
        <v>0</v>
      </c>
      <c r="E50" s="24">
        <v>0.08</v>
      </c>
      <c r="F50" s="24">
        <v>0.12</v>
      </c>
      <c r="G50" s="24"/>
      <c r="H50" s="24"/>
      <c r="I50" s="24"/>
      <c r="J50" s="24"/>
      <c r="L50" s="24"/>
      <c r="M50" s="24"/>
      <c r="N50" s="24"/>
    </row>
    <row r="51" spans="1:14" x14ac:dyDescent="0.35">
      <c r="A51" t="s">
        <v>315</v>
      </c>
      <c r="B51" t="s">
        <v>101</v>
      </c>
      <c r="C51" s="2" t="s">
        <v>275</v>
      </c>
      <c r="D51" s="24">
        <v>0</v>
      </c>
      <c r="E51" s="24">
        <v>0.06</v>
      </c>
      <c r="F51" s="24">
        <v>0.09</v>
      </c>
      <c r="G51" s="24"/>
      <c r="H51" s="24"/>
      <c r="I51" s="24"/>
      <c r="J51" s="24"/>
      <c r="L51" s="24"/>
      <c r="M51" s="24"/>
      <c r="N51" s="24"/>
    </row>
    <row r="52" spans="1:14" x14ac:dyDescent="0.35">
      <c r="A52" t="s">
        <v>316</v>
      </c>
      <c r="B52" t="s">
        <v>97</v>
      </c>
      <c r="C52" s="2" t="s">
        <v>218</v>
      </c>
      <c r="D52" s="24">
        <v>0</v>
      </c>
      <c r="E52" s="24">
        <v>0.13</v>
      </c>
      <c r="F52" s="24">
        <v>0.17</v>
      </c>
      <c r="G52" s="24"/>
      <c r="H52" s="24"/>
      <c r="I52" s="24"/>
      <c r="J52" s="24"/>
      <c r="L52" s="24"/>
      <c r="M52" s="24"/>
      <c r="N52" s="24"/>
    </row>
    <row r="53" spans="1:14" x14ac:dyDescent="0.35">
      <c r="A53" t="s">
        <v>317</v>
      </c>
      <c r="B53" t="s">
        <v>97</v>
      </c>
      <c r="C53" s="2" t="s">
        <v>219</v>
      </c>
      <c r="D53" s="24">
        <v>0</v>
      </c>
      <c r="E53" s="24">
        <v>0.13</v>
      </c>
      <c r="F53" s="24">
        <v>0.17</v>
      </c>
      <c r="G53" s="24"/>
      <c r="H53" s="24"/>
      <c r="I53" s="24"/>
      <c r="J53" s="24"/>
      <c r="L53" s="24"/>
      <c r="M53" s="24"/>
      <c r="N53" s="24"/>
    </row>
    <row r="54" spans="1:14" x14ac:dyDescent="0.35">
      <c r="A54" t="s">
        <v>318</v>
      </c>
      <c r="B54" t="s">
        <v>97</v>
      </c>
      <c r="C54" s="2" t="s">
        <v>220</v>
      </c>
      <c r="D54" s="24">
        <v>0</v>
      </c>
      <c r="E54" s="24">
        <v>0.12</v>
      </c>
      <c r="F54" s="24">
        <v>0.16</v>
      </c>
      <c r="G54" s="24"/>
      <c r="H54" s="24"/>
      <c r="I54" s="24"/>
      <c r="J54" s="24"/>
      <c r="L54" s="24"/>
      <c r="M54" s="24"/>
      <c r="N54" s="24"/>
    </row>
    <row r="55" spans="1:14" x14ac:dyDescent="0.35">
      <c r="A55" t="s">
        <v>319</v>
      </c>
      <c r="B55" t="s">
        <v>97</v>
      </c>
      <c r="C55" s="2" t="s">
        <v>274</v>
      </c>
      <c r="D55" s="24">
        <v>0</v>
      </c>
      <c r="E55" s="24">
        <v>0.11</v>
      </c>
      <c r="F55" s="24">
        <v>0.15</v>
      </c>
      <c r="G55" s="24"/>
      <c r="H55" s="24"/>
      <c r="I55" s="24"/>
      <c r="J55" s="24"/>
      <c r="L55" s="24"/>
      <c r="M55" s="24"/>
      <c r="N55" s="24"/>
    </row>
    <row r="56" spans="1:14" x14ac:dyDescent="0.35">
      <c r="A56" t="s">
        <v>320</v>
      </c>
      <c r="B56" t="s">
        <v>97</v>
      </c>
      <c r="C56" s="2" t="s">
        <v>275</v>
      </c>
      <c r="D56" s="24">
        <v>0</v>
      </c>
      <c r="E56" s="24">
        <v>0.1</v>
      </c>
      <c r="F56" s="24">
        <v>0.13</v>
      </c>
      <c r="G56" s="24"/>
      <c r="H56" s="24"/>
      <c r="I56" s="24"/>
      <c r="J56" s="24"/>
      <c r="L56" s="24"/>
      <c r="M56" s="24"/>
      <c r="N56" s="24"/>
    </row>
    <row r="57" spans="1:14" x14ac:dyDescent="0.35">
      <c r="A57" t="s">
        <v>321</v>
      </c>
      <c r="B57" t="s">
        <v>93</v>
      </c>
      <c r="C57" s="2" t="s">
        <v>218</v>
      </c>
      <c r="D57" s="24">
        <v>0</v>
      </c>
      <c r="E57" s="24">
        <v>0.14000000000000001</v>
      </c>
      <c r="F57" s="24">
        <v>0.18</v>
      </c>
      <c r="G57" s="24"/>
      <c r="H57" s="24"/>
      <c r="I57" s="24"/>
      <c r="J57" s="24"/>
      <c r="L57" s="24"/>
      <c r="M57" s="24"/>
      <c r="N57" s="24"/>
    </row>
    <row r="58" spans="1:14" x14ac:dyDescent="0.35">
      <c r="A58" t="s">
        <v>322</v>
      </c>
      <c r="B58" t="s">
        <v>93</v>
      </c>
      <c r="C58" s="2" t="s">
        <v>219</v>
      </c>
      <c r="D58" s="24">
        <v>0</v>
      </c>
      <c r="E58" s="24">
        <v>0.13</v>
      </c>
      <c r="F58" s="24">
        <v>0.16</v>
      </c>
      <c r="G58" s="24"/>
      <c r="H58" s="24"/>
      <c r="I58" s="24"/>
      <c r="J58" s="24"/>
      <c r="L58" s="24"/>
      <c r="M58" s="24"/>
      <c r="N58" s="24"/>
    </row>
    <row r="59" spans="1:14" x14ac:dyDescent="0.35">
      <c r="A59" t="s">
        <v>323</v>
      </c>
      <c r="B59" t="s">
        <v>93</v>
      </c>
      <c r="C59" s="2" t="s">
        <v>220</v>
      </c>
      <c r="D59" s="24">
        <v>0</v>
      </c>
      <c r="E59" s="24">
        <v>0.12</v>
      </c>
      <c r="F59" s="24">
        <v>0.16</v>
      </c>
      <c r="G59" s="24"/>
      <c r="H59" s="24"/>
      <c r="I59" s="24"/>
      <c r="J59" s="24"/>
      <c r="L59" s="24"/>
      <c r="M59" s="24"/>
      <c r="N59" s="24"/>
    </row>
    <row r="60" spans="1:14" x14ac:dyDescent="0.35">
      <c r="A60" t="s">
        <v>324</v>
      </c>
      <c r="B60" t="s">
        <v>93</v>
      </c>
      <c r="C60" s="2" t="s">
        <v>274</v>
      </c>
      <c r="D60" s="24">
        <v>0</v>
      </c>
      <c r="E60" s="24">
        <v>0.11</v>
      </c>
      <c r="F60" s="24">
        <v>0.15</v>
      </c>
      <c r="G60" s="24"/>
      <c r="H60" s="24"/>
      <c r="I60" s="24"/>
      <c r="J60" s="24"/>
      <c r="L60" s="24"/>
      <c r="M60" s="24"/>
      <c r="N60" s="24"/>
    </row>
    <row r="61" spans="1:14" x14ac:dyDescent="0.35">
      <c r="A61" t="s">
        <v>325</v>
      </c>
      <c r="B61" t="s">
        <v>93</v>
      </c>
      <c r="C61" s="2" t="s">
        <v>275</v>
      </c>
      <c r="D61" s="24">
        <v>0</v>
      </c>
      <c r="E61" s="24">
        <v>0.09</v>
      </c>
      <c r="F61" s="24">
        <v>0.13</v>
      </c>
      <c r="G61" s="24"/>
      <c r="H61" s="24"/>
      <c r="I61" s="24"/>
      <c r="J61" s="24"/>
      <c r="L61" s="24"/>
      <c r="M61" s="24"/>
      <c r="N61" s="24"/>
    </row>
    <row r="62" spans="1:14" x14ac:dyDescent="0.35">
      <c r="A62" t="s">
        <v>326</v>
      </c>
      <c r="B62" t="s">
        <v>105</v>
      </c>
      <c r="C62" s="2" t="s">
        <v>218</v>
      </c>
      <c r="D62" s="24">
        <v>0</v>
      </c>
      <c r="E62" s="24">
        <v>0.13</v>
      </c>
      <c r="F62" s="24">
        <v>0.18</v>
      </c>
      <c r="G62" s="24"/>
      <c r="H62" s="24"/>
      <c r="I62" s="24"/>
      <c r="J62" s="24"/>
      <c r="L62" s="24"/>
      <c r="M62" s="24"/>
      <c r="N62" s="24"/>
    </row>
    <row r="63" spans="1:14" x14ac:dyDescent="0.35">
      <c r="A63" t="s">
        <v>327</v>
      </c>
      <c r="B63" t="s">
        <v>105</v>
      </c>
      <c r="C63" s="2" t="s">
        <v>219</v>
      </c>
      <c r="D63" s="24">
        <v>0</v>
      </c>
      <c r="E63" s="24">
        <v>0.12</v>
      </c>
      <c r="F63" s="24">
        <v>0.17</v>
      </c>
      <c r="G63" s="24"/>
      <c r="H63" s="24"/>
      <c r="I63" s="24"/>
      <c r="J63" s="24"/>
      <c r="L63" s="24"/>
      <c r="M63" s="24"/>
      <c r="N63" s="24"/>
    </row>
    <row r="64" spans="1:14" x14ac:dyDescent="0.35">
      <c r="A64" t="s">
        <v>328</v>
      </c>
      <c r="B64" t="s">
        <v>105</v>
      </c>
      <c r="C64" s="2" t="s">
        <v>220</v>
      </c>
      <c r="D64" s="24">
        <v>0</v>
      </c>
      <c r="E64" s="24">
        <v>0.11</v>
      </c>
      <c r="F64" s="24">
        <v>0.16</v>
      </c>
      <c r="G64" s="24"/>
      <c r="H64" s="24"/>
      <c r="I64" s="24"/>
      <c r="J64" s="24"/>
      <c r="L64" s="24"/>
      <c r="M64" s="24"/>
      <c r="N64" s="24"/>
    </row>
    <row r="65" spans="1:14" x14ac:dyDescent="0.35">
      <c r="A65" t="s">
        <v>329</v>
      </c>
      <c r="B65" t="s">
        <v>105</v>
      </c>
      <c r="C65" s="2" t="s">
        <v>274</v>
      </c>
      <c r="D65" s="24">
        <v>0</v>
      </c>
      <c r="E65" s="24">
        <v>0.1</v>
      </c>
      <c r="F65" s="24">
        <v>0.16</v>
      </c>
      <c r="G65" s="24"/>
      <c r="H65" s="24"/>
      <c r="I65" s="24"/>
      <c r="J65" s="24"/>
      <c r="L65" s="24"/>
      <c r="M65" s="24"/>
      <c r="N65" s="24"/>
    </row>
    <row r="66" spans="1:14" x14ac:dyDescent="0.35">
      <c r="A66" t="s">
        <v>330</v>
      </c>
      <c r="B66" t="s">
        <v>105</v>
      </c>
      <c r="C66" s="2" t="s">
        <v>275</v>
      </c>
      <c r="D66" s="24">
        <v>0</v>
      </c>
      <c r="E66" s="24">
        <v>0.09</v>
      </c>
      <c r="F66" s="24">
        <v>0.14000000000000001</v>
      </c>
      <c r="G66" s="24"/>
      <c r="H66" s="24"/>
      <c r="I66" s="24"/>
      <c r="J66" s="24"/>
      <c r="L66" s="24"/>
      <c r="M66" s="24"/>
      <c r="N66" s="24"/>
    </row>
    <row r="67" spans="1:14" x14ac:dyDescent="0.35">
      <c r="A67" t="s">
        <v>331</v>
      </c>
      <c r="B67" t="s">
        <v>92</v>
      </c>
      <c r="C67" s="2" t="s">
        <v>218</v>
      </c>
      <c r="D67" s="24">
        <v>0</v>
      </c>
      <c r="E67" s="24">
        <v>0.09</v>
      </c>
      <c r="F67" s="24">
        <v>0.13</v>
      </c>
      <c r="G67" s="24"/>
      <c r="H67" s="24"/>
      <c r="I67" s="24"/>
      <c r="J67" s="24"/>
      <c r="L67" s="24"/>
      <c r="M67" s="24"/>
      <c r="N67" s="24"/>
    </row>
    <row r="68" spans="1:14" x14ac:dyDescent="0.35">
      <c r="A68" t="s">
        <v>332</v>
      </c>
      <c r="B68" t="s">
        <v>92</v>
      </c>
      <c r="C68" s="2" t="s">
        <v>219</v>
      </c>
      <c r="D68" s="24">
        <v>0</v>
      </c>
      <c r="E68" s="24">
        <v>7.0000000000000007E-2</v>
      </c>
      <c r="F68" s="24">
        <v>0.12</v>
      </c>
      <c r="G68" s="24"/>
      <c r="H68" s="24"/>
      <c r="I68" s="24"/>
      <c r="J68" s="24"/>
      <c r="L68" s="24"/>
      <c r="M68" s="24"/>
      <c r="N68" s="24"/>
    </row>
    <row r="69" spans="1:14" x14ac:dyDescent="0.35">
      <c r="A69" t="s">
        <v>333</v>
      </c>
      <c r="B69" t="s">
        <v>92</v>
      </c>
      <c r="C69" s="2" t="s">
        <v>220</v>
      </c>
      <c r="D69" s="24">
        <v>0</v>
      </c>
      <c r="E69" s="24">
        <v>7.0000000000000007E-2</v>
      </c>
      <c r="F69" s="24">
        <v>0.11</v>
      </c>
      <c r="G69" s="24"/>
      <c r="H69" s="24"/>
      <c r="I69" s="24"/>
      <c r="J69" s="24"/>
      <c r="L69" s="24"/>
      <c r="M69" s="24"/>
      <c r="N69" s="24"/>
    </row>
    <row r="70" spans="1:14" x14ac:dyDescent="0.35">
      <c r="A70" t="s">
        <v>334</v>
      </c>
      <c r="B70" t="s">
        <v>92</v>
      </c>
      <c r="C70" s="2" t="s">
        <v>274</v>
      </c>
      <c r="D70" s="24">
        <v>0</v>
      </c>
      <c r="E70" s="24">
        <v>0.06</v>
      </c>
      <c r="F70" s="24">
        <v>0.11</v>
      </c>
      <c r="G70" s="24"/>
      <c r="H70" s="24"/>
      <c r="I70" s="24"/>
      <c r="J70" s="24"/>
      <c r="L70" s="24"/>
      <c r="M70" s="24"/>
      <c r="N70" s="24"/>
    </row>
    <row r="71" spans="1:14" x14ac:dyDescent="0.35">
      <c r="A71" t="s">
        <v>335</v>
      </c>
      <c r="B71" t="s">
        <v>92</v>
      </c>
      <c r="C71" s="2" t="s">
        <v>275</v>
      </c>
      <c r="D71" s="24">
        <v>0</v>
      </c>
      <c r="E71" s="24">
        <v>0.06</v>
      </c>
      <c r="F71" s="24">
        <v>0.1</v>
      </c>
      <c r="G71" s="24"/>
      <c r="H71" s="24"/>
      <c r="I71" s="24"/>
      <c r="J71" s="24"/>
      <c r="L71" s="24"/>
      <c r="M71" s="24"/>
      <c r="N71" s="24"/>
    </row>
    <row r="72" spans="1:14" x14ac:dyDescent="0.35">
      <c r="A72" t="s">
        <v>336</v>
      </c>
      <c r="B72" t="s">
        <v>91</v>
      </c>
      <c r="C72" s="2" t="s">
        <v>218</v>
      </c>
      <c r="D72" s="24">
        <v>0</v>
      </c>
      <c r="E72" s="24">
        <v>0.11</v>
      </c>
      <c r="F72" s="24">
        <v>0.16</v>
      </c>
      <c r="G72" s="24"/>
      <c r="H72" s="24"/>
      <c r="I72" s="24"/>
      <c r="J72" s="24"/>
      <c r="L72" s="24"/>
      <c r="M72" s="24"/>
      <c r="N72" s="24"/>
    </row>
    <row r="73" spans="1:14" x14ac:dyDescent="0.35">
      <c r="A73" t="s">
        <v>337</v>
      </c>
      <c r="B73" t="s">
        <v>91</v>
      </c>
      <c r="C73" s="2" t="s">
        <v>219</v>
      </c>
      <c r="D73" s="24">
        <v>0</v>
      </c>
      <c r="E73" s="24">
        <v>0.1</v>
      </c>
      <c r="F73" s="24">
        <v>0.15</v>
      </c>
      <c r="G73" s="24"/>
      <c r="H73" s="24"/>
      <c r="I73" s="24"/>
      <c r="J73" s="24"/>
      <c r="L73" s="24"/>
      <c r="M73" s="24"/>
      <c r="N73" s="24"/>
    </row>
    <row r="74" spans="1:14" x14ac:dyDescent="0.35">
      <c r="A74" t="s">
        <v>338</v>
      </c>
      <c r="B74" t="s">
        <v>91</v>
      </c>
      <c r="C74" s="2" t="s">
        <v>220</v>
      </c>
      <c r="D74" s="24">
        <v>0</v>
      </c>
      <c r="E74" s="24">
        <v>0.09</v>
      </c>
      <c r="F74" s="24">
        <v>0.14000000000000001</v>
      </c>
      <c r="G74" s="24"/>
      <c r="H74" s="24"/>
      <c r="I74" s="24"/>
      <c r="J74" s="24"/>
      <c r="L74" s="24"/>
      <c r="M74" s="24"/>
      <c r="N74" s="24"/>
    </row>
    <row r="75" spans="1:14" x14ac:dyDescent="0.35">
      <c r="A75" t="s">
        <v>339</v>
      </c>
      <c r="B75" t="s">
        <v>91</v>
      </c>
      <c r="C75" s="2" t="s">
        <v>274</v>
      </c>
      <c r="D75" s="24">
        <v>0</v>
      </c>
      <c r="E75" s="24">
        <v>0.09</v>
      </c>
      <c r="F75" s="24">
        <v>0.13</v>
      </c>
      <c r="G75" s="24"/>
      <c r="H75" s="24"/>
      <c r="I75" s="24"/>
      <c r="J75" s="24"/>
      <c r="L75" s="24"/>
      <c r="M75" s="24"/>
      <c r="N75" s="24"/>
    </row>
    <row r="76" spans="1:14" x14ac:dyDescent="0.35">
      <c r="A76" t="s">
        <v>340</v>
      </c>
      <c r="B76" t="s">
        <v>91</v>
      </c>
      <c r="C76" s="2" t="s">
        <v>275</v>
      </c>
      <c r="D76" s="24">
        <v>0</v>
      </c>
      <c r="E76" s="24">
        <v>7.0000000000000007E-2</v>
      </c>
      <c r="F76" s="24">
        <v>0.09</v>
      </c>
      <c r="G76" s="24"/>
      <c r="H76" s="24"/>
      <c r="I76" s="24"/>
      <c r="J76" s="24"/>
      <c r="L76" s="24"/>
      <c r="M76" s="24"/>
      <c r="N76" s="24"/>
    </row>
    <row r="77" spans="1:14" x14ac:dyDescent="0.35">
      <c r="A77" t="s">
        <v>341</v>
      </c>
      <c r="B77" t="s">
        <v>90</v>
      </c>
      <c r="C77" s="2" t="s">
        <v>218</v>
      </c>
      <c r="D77" s="24">
        <v>0</v>
      </c>
      <c r="E77" s="24">
        <v>0.08</v>
      </c>
      <c r="F77" s="24">
        <v>0.11</v>
      </c>
      <c r="G77" s="24"/>
      <c r="H77" s="24"/>
      <c r="I77" s="24"/>
      <c r="J77" s="24"/>
      <c r="L77" s="24"/>
      <c r="M77" s="24"/>
      <c r="N77" s="24"/>
    </row>
    <row r="78" spans="1:14" x14ac:dyDescent="0.35">
      <c r="A78" t="s">
        <v>342</v>
      </c>
      <c r="B78" t="s">
        <v>90</v>
      </c>
      <c r="C78" s="2" t="s">
        <v>219</v>
      </c>
      <c r="D78" s="24">
        <v>0</v>
      </c>
      <c r="E78" s="24">
        <v>7.0000000000000007E-2</v>
      </c>
      <c r="F78" s="24">
        <v>0.11</v>
      </c>
      <c r="G78" s="24"/>
      <c r="H78" s="24"/>
      <c r="I78" s="24"/>
      <c r="J78" s="24"/>
      <c r="L78" s="24"/>
      <c r="M78" s="24"/>
      <c r="N78" s="24"/>
    </row>
    <row r="79" spans="1:14" x14ac:dyDescent="0.35">
      <c r="A79" t="s">
        <v>343</v>
      </c>
      <c r="B79" t="s">
        <v>90</v>
      </c>
      <c r="C79" s="2" t="s">
        <v>220</v>
      </c>
      <c r="D79" s="24">
        <v>0</v>
      </c>
      <c r="E79" s="24">
        <v>7.0000000000000007E-2</v>
      </c>
      <c r="F79" s="24">
        <v>0.09</v>
      </c>
      <c r="G79" s="24"/>
      <c r="H79" s="24"/>
      <c r="I79" s="24"/>
      <c r="J79" s="24"/>
      <c r="L79" s="24"/>
      <c r="M79" s="24"/>
      <c r="N79" s="24"/>
    </row>
    <row r="80" spans="1:14" x14ac:dyDescent="0.35">
      <c r="A80" t="s">
        <v>344</v>
      </c>
      <c r="B80" t="s">
        <v>90</v>
      </c>
      <c r="C80" s="2" t="s">
        <v>274</v>
      </c>
      <c r="D80" s="24">
        <v>0</v>
      </c>
      <c r="E80" s="24">
        <v>0.06</v>
      </c>
      <c r="F80" s="24">
        <v>0.08</v>
      </c>
      <c r="G80" s="24"/>
      <c r="H80" s="24"/>
      <c r="I80" s="24"/>
      <c r="J80" s="24"/>
      <c r="L80" s="24"/>
      <c r="M80" s="24"/>
      <c r="N80" s="24"/>
    </row>
    <row r="81" spans="1:14" x14ac:dyDescent="0.35">
      <c r="A81" t="s">
        <v>345</v>
      </c>
      <c r="B81" t="s">
        <v>90</v>
      </c>
      <c r="C81" s="2" t="s">
        <v>275</v>
      </c>
      <c r="D81" s="24">
        <v>0</v>
      </c>
      <c r="E81" s="24">
        <v>0.04</v>
      </c>
      <c r="F81" s="24">
        <v>0.06</v>
      </c>
      <c r="G81" s="24"/>
      <c r="H81" s="24"/>
      <c r="I81" s="24"/>
      <c r="J81" s="24"/>
      <c r="L81" s="24"/>
      <c r="M81" s="24"/>
      <c r="N81" s="24"/>
    </row>
    <row r="82" spans="1:14" x14ac:dyDescent="0.35">
      <c r="A82" t="s">
        <v>346</v>
      </c>
      <c r="B82" t="s">
        <v>89</v>
      </c>
      <c r="C82" s="2" t="s">
        <v>218</v>
      </c>
      <c r="D82" s="24">
        <v>0</v>
      </c>
      <c r="E82" s="24">
        <v>0.12</v>
      </c>
      <c r="F82" s="24">
        <v>0.17</v>
      </c>
      <c r="G82" s="24"/>
      <c r="H82" s="24"/>
      <c r="I82" s="24"/>
      <c r="J82" s="24"/>
      <c r="L82" s="24"/>
      <c r="M82" s="24"/>
      <c r="N82" s="24"/>
    </row>
    <row r="83" spans="1:14" x14ac:dyDescent="0.35">
      <c r="A83" t="s">
        <v>347</v>
      </c>
      <c r="B83" t="s">
        <v>89</v>
      </c>
      <c r="C83" s="2" t="s">
        <v>219</v>
      </c>
      <c r="D83" s="24">
        <v>0</v>
      </c>
      <c r="E83" s="24">
        <v>0.12</v>
      </c>
      <c r="F83" s="24">
        <v>0.16</v>
      </c>
      <c r="G83" s="24"/>
      <c r="H83" s="24"/>
      <c r="I83" s="24"/>
      <c r="J83" s="24"/>
      <c r="L83" s="24"/>
      <c r="M83" s="24"/>
      <c r="N83" s="24"/>
    </row>
    <row r="84" spans="1:14" x14ac:dyDescent="0.35">
      <c r="A84" t="s">
        <v>348</v>
      </c>
      <c r="B84" t="s">
        <v>89</v>
      </c>
      <c r="C84" s="2" t="s">
        <v>220</v>
      </c>
      <c r="D84" s="24">
        <v>0</v>
      </c>
      <c r="E84" s="24">
        <v>0.11</v>
      </c>
      <c r="F84" s="24">
        <v>0.16</v>
      </c>
      <c r="G84" s="24"/>
      <c r="H84" s="24"/>
      <c r="I84" s="24"/>
      <c r="J84" s="24"/>
      <c r="L84" s="24"/>
      <c r="M84" s="24"/>
      <c r="N84" s="24"/>
    </row>
    <row r="85" spans="1:14" x14ac:dyDescent="0.35">
      <c r="A85" t="s">
        <v>349</v>
      </c>
      <c r="B85" t="s">
        <v>89</v>
      </c>
      <c r="C85" s="2" t="s">
        <v>274</v>
      </c>
      <c r="D85" s="24">
        <v>0</v>
      </c>
      <c r="E85" s="24">
        <v>0.11</v>
      </c>
      <c r="F85" s="24">
        <v>0.15</v>
      </c>
      <c r="G85" s="24"/>
      <c r="H85" s="24"/>
      <c r="I85" s="24"/>
      <c r="J85" s="24"/>
      <c r="L85" s="24"/>
      <c r="M85" s="24"/>
      <c r="N85" s="24"/>
    </row>
    <row r="86" spans="1:14" x14ac:dyDescent="0.35">
      <c r="A86" t="s">
        <v>350</v>
      </c>
      <c r="B86" t="s">
        <v>89</v>
      </c>
      <c r="C86" s="2" t="s">
        <v>275</v>
      </c>
      <c r="D86" s="24">
        <v>0</v>
      </c>
      <c r="E86" s="24">
        <v>0.1</v>
      </c>
      <c r="F86" s="24">
        <v>0.14000000000000001</v>
      </c>
      <c r="G86" s="24"/>
      <c r="H86" s="24"/>
      <c r="I86" s="24"/>
      <c r="J86" s="24"/>
      <c r="L86" s="24"/>
      <c r="M86" s="24"/>
      <c r="N86" s="24"/>
    </row>
    <row r="87" spans="1:14" x14ac:dyDescent="0.35">
      <c r="A87" t="s">
        <v>351</v>
      </c>
      <c r="B87" t="s">
        <v>94</v>
      </c>
      <c r="C87" s="2" t="s">
        <v>218</v>
      </c>
      <c r="D87" s="24">
        <v>0</v>
      </c>
      <c r="E87" s="24">
        <v>0.13</v>
      </c>
      <c r="F87" s="24">
        <v>0.16</v>
      </c>
      <c r="G87" s="24"/>
      <c r="H87" s="24"/>
      <c r="I87" s="24"/>
      <c r="J87" s="24"/>
      <c r="L87" s="24"/>
      <c r="M87" s="24"/>
      <c r="N87" s="24"/>
    </row>
    <row r="88" spans="1:14" x14ac:dyDescent="0.35">
      <c r="A88" t="s">
        <v>352</v>
      </c>
      <c r="B88" t="s">
        <v>94</v>
      </c>
      <c r="C88" s="2" t="s">
        <v>219</v>
      </c>
      <c r="D88" s="24">
        <v>0</v>
      </c>
      <c r="E88" s="24">
        <v>0.12</v>
      </c>
      <c r="F88" s="24">
        <v>0.15</v>
      </c>
      <c r="G88" s="24"/>
      <c r="H88" s="24"/>
      <c r="I88" s="24"/>
      <c r="J88" s="24"/>
      <c r="L88" s="24"/>
      <c r="M88" s="24"/>
      <c r="N88" s="24"/>
    </row>
    <row r="89" spans="1:14" x14ac:dyDescent="0.35">
      <c r="A89" t="s">
        <v>353</v>
      </c>
      <c r="B89" t="s">
        <v>94</v>
      </c>
      <c r="C89" s="2" t="s">
        <v>220</v>
      </c>
      <c r="D89" s="24">
        <v>0</v>
      </c>
      <c r="E89" s="24">
        <v>0.11</v>
      </c>
      <c r="F89" s="24">
        <v>0.13</v>
      </c>
      <c r="G89" s="24"/>
      <c r="H89" s="24"/>
      <c r="I89" s="24"/>
      <c r="J89" s="24"/>
      <c r="L89" s="24"/>
      <c r="M89" s="24"/>
      <c r="N89" s="24"/>
    </row>
    <row r="90" spans="1:14" x14ac:dyDescent="0.35">
      <c r="A90" t="s">
        <v>354</v>
      </c>
      <c r="B90" t="s">
        <v>94</v>
      </c>
      <c r="C90" s="2" t="s">
        <v>274</v>
      </c>
      <c r="D90" s="24">
        <v>0</v>
      </c>
      <c r="E90" s="24">
        <v>0.11</v>
      </c>
      <c r="F90" s="24">
        <v>0.13</v>
      </c>
      <c r="G90" s="24"/>
      <c r="H90" s="24"/>
      <c r="I90" s="24"/>
      <c r="J90" s="24"/>
      <c r="L90" s="24"/>
      <c r="M90" s="24"/>
      <c r="N90" s="24"/>
    </row>
    <row r="91" spans="1:14" x14ac:dyDescent="0.35">
      <c r="A91" t="s">
        <v>355</v>
      </c>
      <c r="B91" t="s">
        <v>94</v>
      </c>
      <c r="C91" s="2" t="s">
        <v>275</v>
      </c>
      <c r="D91" s="24">
        <v>0</v>
      </c>
      <c r="E91" s="24">
        <v>0.09</v>
      </c>
      <c r="F91" s="24">
        <v>0.12</v>
      </c>
      <c r="G91" s="24"/>
      <c r="H91" s="24"/>
      <c r="I91" s="24"/>
      <c r="J91" s="24"/>
      <c r="L91" s="24"/>
      <c r="M91" s="24"/>
      <c r="N91" s="24"/>
    </row>
    <row r="92" spans="1:14" x14ac:dyDescent="0.35">
      <c r="A92" t="s">
        <v>356</v>
      </c>
      <c r="B92" t="s">
        <v>86</v>
      </c>
      <c r="C92" s="2" t="s">
        <v>218</v>
      </c>
      <c r="D92" s="24">
        <v>0</v>
      </c>
      <c r="E92" s="24">
        <v>0.12</v>
      </c>
      <c r="F92" s="24">
        <v>0.17</v>
      </c>
      <c r="G92" s="24"/>
      <c r="H92" s="24"/>
      <c r="I92" s="24"/>
      <c r="J92" s="24"/>
      <c r="L92" s="24"/>
      <c r="M92" s="24"/>
      <c r="N92" s="24"/>
    </row>
    <row r="93" spans="1:14" x14ac:dyDescent="0.35">
      <c r="A93" t="s">
        <v>357</v>
      </c>
      <c r="B93" t="s">
        <v>86</v>
      </c>
      <c r="C93" s="2" t="s">
        <v>219</v>
      </c>
      <c r="D93" s="24">
        <v>0</v>
      </c>
      <c r="E93" s="24">
        <v>0.12</v>
      </c>
      <c r="F93" s="24">
        <v>0.16</v>
      </c>
      <c r="G93" s="24"/>
      <c r="H93" s="24"/>
      <c r="I93" s="24"/>
      <c r="J93" s="24"/>
      <c r="L93" s="24"/>
      <c r="M93" s="24"/>
      <c r="N93" s="24"/>
    </row>
    <row r="94" spans="1:14" x14ac:dyDescent="0.35">
      <c r="A94" t="s">
        <v>358</v>
      </c>
      <c r="B94" t="s">
        <v>86</v>
      </c>
      <c r="C94" s="2" t="s">
        <v>220</v>
      </c>
      <c r="D94" s="24">
        <v>0</v>
      </c>
      <c r="E94" s="24">
        <v>0.11</v>
      </c>
      <c r="F94" s="24">
        <v>0.16</v>
      </c>
      <c r="G94" s="24"/>
      <c r="H94" s="24"/>
      <c r="I94" s="24"/>
      <c r="J94" s="24"/>
      <c r="L94" s="24"/>
      <c r="M94" s="24"/>
      <c r="N94" s="24"/>
    </row>
    <row r="95" spans="1:14" x14ac:dyDescent="0.35">
      <c r="A95" t="s">
        <v>359</v>
      </c>
      <c r="B95" t="s">
        <v>86</v>
      </c>
      <c r="C95" s="2" t="s">
        <v>274</v>
      </c>
      <c r="D95" s="24">
        <v>0</v>
      </c>
      <c r="E95" s="24">
        <v>0.1</v>
      </c>
      <c r="F95" s="24">
        <v>0.15</v>
      </c>
      <c r="G95" s="24"/>
      <c r="H95" s="24"/>
      <c r="I95" s="24"/>
      <c r="J95" s="24"/>
      <c r="L95" s="24"/>
      <c r="M95" s="24"/>
      <c r="N95" s="24"/>
    </row>
    <row r="96" spans="1:14" x14ac:dyDescent="0.35">
      <c r="A96" t="s">
        <v>360</v>
      </c>
      <c r="B96" t="s">
        <v>86</v>
      </c>
      <c r="C96" s="2" t="s">
        <v>275</v>
      </c>
      <c r="D96" s="24">
        <v>0</v>
      </c>
      <c r="E96" s="24">
        <v>0.08</v>
      </c>
      <c r="F96" s="24">
        <v>0.13</v>
      </c>
      <c r="G96" s="24"/>
      <c r="H96" s="24"/>
      <c r="I96" s="24"/>
      <c r="J96" s="24"/>
      <c r="L96" s="24"/>
      <c r="M96" s="24"/>
      <c r="N96" s="24"/>
    </row>
    <row r="97" spans="1:14" x14ac:dyDescent="0.35">
      <c r="A97" t="s">
        <v>361</v>
      </c>
      <c r="B97" t="s">
        <v>88</v>
      </c>
      <c r="C97" s="2" t="s">
        <v>218</v>
      </c>
      <c r="D97" s="24">
        <v>0</v>
      </c>
      <c r="E97" s="24">
        <v>0.09</v>
      </c>
      <c r="F97" s="24">
        <v>0.13</v>
      </c>
      <c r="G97" s="24"/>
      <c r="H97" s="24"/>
      <c r="I97" s="24"/>
      <c r="J97" s="24"/>
      <c r="L97" s="24"/>
      <c r="M97" s="24"/>
      <c r="N97" s="24"/>
    </row>
    <row r="98" spans="1:14" x14ac:dyDescent="0.35">
      <c r="A98" t="s">
        <v>362</v>
      </c>
      <c r="B98" t="s">
        <v>88</v>
      </c>
      <c r="C98" s="2" t="s">
        <v>219</v>
      </c>
      <c r="D98" s="24">
        <v>0</v>
      </c>
      <c r="E98" s="24">
        <v>0.08</v>
      </c>
      <c r="F98" s="24">
        <v>0.11</v>
      </c>
      <c r="G98" s="24"/>
      <c r="H98" s="24"/>
      <c r="I98" s="24"/>
      <c r="J98" s="24"/>
      <c r="L98" s="24"/>
      <c r="M98" s="24"/>
      <c r="N98" s="24"/>
    </row>
    <row r="99" spans="1:14" x14ac:dyDescent="0.35">
      <c r="A99" t="s">
        <v>363</v>
      </c>
      <c r="B99" t="s">
        <v>88</v>
      </c>
      <c r="C99" s="2" t="s">
        <v>220</v>
      </c>
      <c r="D99" s="24">
        <v>0</v>
      </c>
      <c r="E99" s="24">
        <v>0.08</v>
      </c>
      <c r="F99" s="24">
        <v>0.11</v>
      </c>
      <c r="G99" s="24"/>
      <c r="H99" s="24"/>
      <c r="I99" s="24"/>
      <c r="J99" s="24"/>
      <c r="L99" s="24"/>
      <c r="M99" s="24"/>
      <c r="N99" s="24"/>
    </row>
    <row r="100" spans="1:14" x14ac:dyDescent="0.35">
      <c r="A100" t="s">
        <v>364</v>
      </c>
      <c r="B100" t="s">
        <v>88</v>
      </c>
      <c r="C100" s="2" t="s">
        <v>274</v>
      </c>
      <c r="D100" s="24">
        <v>0</v>
      </c>
      <c r="E100" s="24">
        <v>7.0000000000000007E-2</v>
      </c>
      <c r="F100" s="24">
        <v>0.09</v>
      </c>
      <c r="G100" s="24"/>
      <c r="H100" s="24"/>
      <c r="I100" s="24"/>
      <c r="J100" s="24"/>
      <c r="L100" s="24"/>
      <c r="M100" s="24"/>
      <c r="N100" s="24"/>
    </row>
    <row r="101" spans="1:14" x14ac:dyDescent="0.35">
      <c r="A101" t="s">
        <v>365</v>
      </c>
      <c r="B101" t="s">
        <v>88</v>
      </c>
      <c r="C101" s="2" t="s">
        <v>275</v>
      </c>
      <c r="D101" s="24">
        <v>0</v>
      </c>
      <c r="E101" s="24">
        <v>0.05</v>
      </c>
      <c r="F101" s="24">
        <v>7.0000000000000007E-2</v>
      </c>
      <c r="G101" s="24"/>
      <c r="H101" s="24"/>
      <c r="I101" s="24"/>
      <c r="J101" s="24"/>
      <c r="L101" s="24"/>
      <c r="M101" s="24"/>
      <c r="N101" s="24"/>
    </row>
    <row r="102" spans="1:14" x14ac:dyDescent="0.35">
      <c r="A102" t="s">
        <v>366</v>
      </c>
      <c r="B102" t="s">
        <v>87</v>
      </c>
      <c r="C102" s="2" t="s">
        <v>218</v>
      </c>
      <c r="D102" s="24">
        <v>0</v>
      </c>
      <c r="E102" s="24">
        <v>0.1</v>
      </c>
      <c r="F102" s="24">
        <v>0.11</v>
      </c>
      <c r="G102" s="24"/>
      <c r="H102" s="24"/>
      <c r="I102" s="24"/>
      <c r="J102" s="24"/>
      <c r="L102" s="24"/>
      <c r="M102" s="24"/>
      <c r="N102" s="24"/>
    </row>
    <row r="103" spans="1:14" x14ac:dyDescent="0.35">
      <c r="A103" t="s">
        <v>367</v>
      </c>
      <c r="B103" t="s">
        <v>87</v>
      </c>
      <c r="C103" s="2" t="s">
        <v>219</v>
      </c>
      <c r="D103" s="24">
        <v>0</v>
      </c>
      <c r="E103" s="24">
        <v>0.09</v>
      </c>
      <c r="F103" s="24">
        <v>0.11</v>
      </c>
      <c r="G103" s="24"/>
      <c r="H103" s="24"/>
      <c r="I103" s="24"/>
      <c r="J103" s="24"/>
      <c r="L103" s="24"/>
      <c r="M103" s="24"/>
      <c r="N103" s="24"/>
    </row>
    <row r="104" spans="1:14" x14ac:dyDescent="0.35">
      <c r="A104" t="s">
        <v>368</v>
      </c>
      <c r="B104" t="s">
        <v>87</v>
      </c>
      <c r="C104" s="2" t="s">
        <v>220</v>
      </c>
      <c r="D104" s="24">
        <v>0</v>
      </c>
      <c r="E104" s="24">
        <v>0.08</v>
      </c>
      <c r="F104" s="24">
        <v>0.1</v>
      </c>
      <c r="G104" s="24"/>
      <c r="H104" s="24"/>
      <c r="I104" s="24"/>
      <c r="J104" s="24"/>
      <c r="L104" s="24"/>
      <c r="M104" s="24"/>
      <c r="N104" s="24"/>
    </row>
    <row r="105" spans="1:14" x14ac:dyDescent="0.35">
      <c r="A105" t="s">
        <v>369</v>
      </c>
      <c r="B105" t="s">
        <v>87</v>
      </c>
      <c r="C105" s="2" t="s">
        <v>274</v>
      </c>
      <c r="D105" s="24">
        <v>0</v>
      </c>
      <c r="E105" s="24">
        <v>7.0000000000000007E-2</v>
      </c>
      <c r="F105" s="24">
        <v>0.09</v>
      </c>
      <c r="G105" s="24"/>
      <c r="H105" s="24"/>
      <c r="I105" s="24"/>
      <c r="J105" s="24"/>
      <c r="L105" s="24"/>
      <c r="M105" s="24"/>
      <c r="N105" s="24"/>
    </row>
    <row r="106" spans="1:14" x14ac:dyDescent="0.3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S1" workbookViewId="0">
      <selection activeCell="AI5" sqref="AI5"/>
    </sheetView>
  </sheetViews>
  <sheetFormatPr defaultRowHeight="14.5" x14ac:dyDescent="0.35"/>
  <cols>
    <col min="1" max="1" width="30.453125" bestFit="1" customWidth="1"/>
    <col min="2" max="2" width="11.81640625" bestFit="1" customWidth="1"/>
    <col min="3" max="3" width="27.81640625" bestFit="1" customWidth="1"/>
    <col min="4" max="4" width="49.7265625" bestFit="1" customWidth="1"/>
    <col min="5" max="5" width="27.81640625" style="4" bestFit="1" customWidth="1"/>
    <col min="6" max="6" width="14.7265625" style="4" bestFit="1" customWidth="1"/>
    <col min="7" max="7" width="20" style="10" bestFit="1" customWidth="1"/>
    <col min="8" max="8" width="20" style="10" customWidth="1"/>
    <col min="9" max="9" width="19.54296875" style="10" bestFit="1" customWidth="1"/>
    <col min="10" max="10" width="10.26953125" style="10" customWidth="1"/>
    <col min="11" max="11" width="21.26953125" style="10" bestFit="1" customWidth="1"/>
    <col min="12" max="12" width="22.54296875" bestFit="1" customWidth="1"/>
    <col min="13" max="13" width="10.54296875" bestFit="1" customWidth="1"/>
    <col min="16" max="16" width="15.453125" bestFit="1" customWidth="1"/>
    <col min="17" max="17" width="22.54296875" bestFit="1" customWidth="1"/>
    <col min="18" max="18" width="10" bestFit="1" customWidth="1"/>
    <col min="19" max="19" width="15.7265625" bestFit="1" customWidth="1"/>
    <col min="20" max="20" width="7.1796875" bestFit="1" customWidth="1"/>
    <col min="21" max="21" width="13.1796875" bestFit="1" customWidth="1"/>
    <col min="22" max="22" width="18.7265625" bestFit="1" customWidth="1"/>
    <col min="23" max="23" width="7.1796875" bestFit="1" customWidth="1"/>
    <col min="24" max="24" width="13.1796875" bestFit="1" customWidth="1"/>
    <col min="27" max="27" width="18.1796875" bestFit="1" customWidth="1"/>
    <col min="28" max="28" width="16.7265625" bestFit="1" customWidth="1"/>
    <col min="29" max="29" width="11.7265625" bestFit="1" customWidth="1"/>
    <col min="32" max="32" width="12.453125" bestFit="1" customWidth="1"/>
    <col min="35" max="35" width="20.54296875" bestFit="1" customWidth="1"/>
  </cols>
  <sheetData>
    <row r="1" spans="1:36" x14ac:dyDescent="0.3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3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3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7" t="s">
        <v>383</v>
      </c>
      <c r="AC3" t="s">
        <v>475</v>
      </c>
      <c r="AD3" t="s">
        <v>514</v>
      </c>
      <c r="AE3" t="s">
        <v>515</v>
      </c>
      <c r="AF3" s="62">
        <v>0.09</v>
      </c>
      <c r="AI3" t="s">
        <v>498</v>
      </c>
      <c r="AJ3" t="s">
        <v>679</v>
      </c>
    </row>
    <row r="4" spans="1:36" x14ac:dyDescent="0.3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7" t="s">
        <v>1238</v>
      </c>
      <c r="AF4" s="62">
        <v>0.1</v>
      </c>
      <c r="AI4" t="s">
        <v>1326</v>
      </c>
    </row>
    <row r="5" spans="1:36" x14ac:dyDescent="0.3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7" t="s">
        <v>1239</v>
      </c>
      <c r="AF5" s="62">
        <v>0.11</v>
      </c>
    </row>
    <row r="6" spans="1:36" x14ac:dyDescent="0.35">
      <c r="A6" t="s">
        <v>438</v>
      </c>
      <c r="B6" t="s">
        <v>8</v>
      </c>
      <c r="C6" t="s">
        <v>115</v>
      </c>
      <c r="D6" t="s">
        <v>34</v>
      </c>
      <c r="E6" t="s">
        <v>37</v>
      </c>
      <c r="F6" s="3">
        <v>5</v>
      </c>
      <c r="G6" s="14" t="s">
        <v>486</v>
      </c>
      <c r="H6" s="14" t="s">
        <v>483</v>
      </c>
      <c r="I6" s="14">
        <v>5</v>
      </c>
      <c r="J6" s="14"/>
      <c r="K6" s="14"/>
      <c r="P6" t="s">
        <v>244</v>
      </c>
      <c r="Q6">
        <v>7</v>
      </c>
      <c r="AA6" s="26">
        <v>5</v>
      </c>
      <c r="AF6" s="62">
        <v>0.12</v>
      </c>
    </row>
    <row r="7" spans="1:36" x14ac:dyDescent="0.35">
      <c r="A7" t="s">
        <v>429</v>
      </c>
      <c r="B7" t="s">
        <v>18</v>
      </c>
      <c r="D7" t="s">
        <v>0</v>
      </c>
      <c r="E7"/>
      <c r="G7" s="14" t="s">
        <v>133</v>
      </c>
      <c r="H7" s="14"/>
      <c r="I7" s="14">
        <v>6</v>
      </c>
      <c r="J7" s="14"/>
      <c r="K7" s="14"/>
      <c r="P7" t="s">
        <v>245</v>
      </c>
      <c r="Q7">
        <v>8</v>
      </c>
      <c r="AA7" s="26">
        <v>6</v>
      </c>
    </row>
    <row r="8" spans="1:36" x14ac:dyDescent="0.35">
      <c r="A8" t="s">
        <v>432</v>
      </c>
      <c r="D8" t="s">
        <v>69</v>
      </c>
      <c r="E8"/>
      <c r="G8" s="14"/>
      <c r="H8" s="14"/>
      <c r="I8" s="14">
        <v>7</v>
      </c>
      <c r="J8" s="14"/>
      <c r="K8" s="14"/>
      <c r="P8" t="s">
        <v>246</v>
      </c>
      <c r="Q8">
        <v>9</v>
      </c>
      <c r="AA8" s="26">
        <v>7</v>
      </c>
    </row>
    <row r="9" spans="1:36" x14ac:dyDescent="0.35">
      <c r="A9" t="s">
        <v>425</v>
      </c>
      <c r="D9" t="s">
        <v>4</v>
      </c>
      <c r="E9"/>
      <c r="I9" s="14">
        <v>8</v>
      </c>
      <c r="J9" s="14"/>
      <c r="K9" s="14"/>
      <c r="AA9" s="26">
        <v>8</v>
      </c>
    </row>
    <row r="10" spans="1:36" x14ac:dyDescent="0.35">
      <c r="A10" t="s">
        <v>464</v>
      </c>
      <c r="D10" t="s">
        <v>35</v>
      </c>
      <c r="E10"/>
      <c r="I10" s="14">
        <v>8</v>
      </c>
      <c r="J10" s="14"/>
      <c r="K10" s="14"/>
      <c r="AA10" s="26">
        <v>9</v>
      </c>
    </row>
    <row r="11" spans="1:36" x14ac:dyDescent="0.35">
      <c r="A11" t="s">
        <v>436</v>
      </c>
      <c r="D11" t="s">
        <v>6</v>
      </c>
      <c r="E11"/>
      <c r="I11" s="14">
        <v>9</v>
      </c>
      <c r="J11" s="46" t="s">
        <v>490</v>
      </c>
      <c r="K11" s="48">
        <f>'EB_CM (Back)'!$B$7</f>
        <v>0</v>
      </c>
      <c r="L11" s="46" t="s">
        <v>488</v>
      </c>
      <c r="M11" s="1" t="s">
        <v>489</v>
      </c>
      <c r="AA11" s="26">
        <v>10</v>
      </c>
    </row>
    <row r="12" spans="1:36" x14ac:dyDescent="0.3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35">
      <c r="A13" t="s">
        <v>463</v>
      </c>
      <c r="C13" t="s">
        <v>114</v>
      </c>
      <c r="D13" t="s">
        <v>45</v>
      </c>
      <c r="E13"/>
      <c r="G13" s="14"/>
      <c r="H13" s="14"/>
      <c r="I13" s="14"/>
      <c r="J13" s="14"/>
      <c r="L13" s="46">
        <v>0.55000000000000004</v>
      </c>
      <c r="M13" s="49">
        <v>1.4999999999999999E-2</v>
      </c>
    </row>
    <row r="14" spans="1:36" x14ac:dyDescent="0.35">
      <c r="A14" t="s">
        <v>418</v>
      </c>
      <c r="C14" t="s">
        <v>116</v>
      </c>
      <c r="D14" t="s">
        <v>48</v>
      </c>
      <c r="E14" t="s">
        <v>42</v>
      </c>
      <c r="G14" s="14"/>
      <c r="H14" s="14"/>
      <c r="I14" s="14"/>
      <c r="J14" s="14" t="s">
        <v>500</v>
      </c>
      <c r="L14" s="46">
        <v>0.5</v>
      </c>
      <c r="M14" s="49">
        <v>1.2500000000000001E-2</v>
      </c>
    </row>
    <row r="15" spans="1:36" x14ac:dyDescent="0.35">
      <c r="A15" t="s">
        <v>460</v>
      </c>
      <c r="C15" t="s">
        <v>118</v>
      </c>
      <c r="D15" t="s">
        <v>60</v>
      </c>
      <c r="E15" t="s">
        <v>29</v>
      </c>
      <c r="G15" s="9"/>
      <c r="H15" s="9"/>
      <c r="I15" s="9"/>
      <c r="J15" s="9"/>
      <c r="L15" s="47">
        <v>0.43009999999999998</v>
      </c>
      <c r="M15" s="49">
        <v>0.01</v>
      </c>
    </row>
    <row r="16" spans="1:36" x14ac:dyDescent="0.35">
      <c r="A16" t="s">
        <v>424</v>
      </c>
      <c r="C16" t="s">
        <v>117</v>
      </c>
      <c r="D16" t="s">
        <v>20</v>
      </c>
      <c r="E16" t="s">
        <v>64</v>
      </c>
      <c r="G16" s="9"/>
      <c r="H16" s="9"/>
      <c r="I16" s="9"/>
      <c r="J16" s="9"/>
      <c r="L16" s="47">
        <v>0.30010000000000003</v>
      </c>
      <c r="M16" s="49">
        <v>5.0000000000000001E-3</v>
      </c>
    </row>
    <row r="17" spans="1:13" x14ac:dyDescent="0.35">
      <c r="A17" t="s">
        <v>427</v>
      </c>
      <c r="D17" t="s">
        <v>36</v>
      </c>
      <c r="E17" t="s">
        <v>19</v>
      </c>
      <c r="G17" s="9"/>
      <c r="H17" s="9"/>
      <c r="I17" s="9"/>
      <c r="J17" s="9"/>
      <c r="L17" s="47">
        <v>0.1</v>
      </c>
      <c r="M17" s="49">
        <v>2.5000000000000001E-3</v>
      </c>
    </row>
    <row r="18" spans="1:13" x14ac:dyDescent="0.35">
      <c r="A18" t="s">
        <v>417</v>
      </c>
      <c r="D18" t="s">
        <v>71</v>
      </c>
      <c r="E18" t="s">
        <v>121</v>
      </c>
      <c r="G18" s="9"/>
      <c r="H18" s="9"/>
      <c r="I18" s="9"/>
      <c r="J18" s="9"/>
      <c r="K18" s="9"/>
    </row>
    <row r="19" spans="1:13" x14ac:dyDescent="0.35">
      <c r="A19" t="s">
        <v>456</v>
      </c>
      <c r="D19" t="s">
        <v>11</v>
      </c>
      <c r="E19" t="s">
        <v>58</v>
      </c>
      <c r="G19" s="9"/>
      <c r="H19" s="9"/>
      <c r="I19" s="9"/>
      <c r="J19" s="47" t="s">
        <v>223</v>
      </c>
      <c r="K19" s="47" t="e">
        <f>#REF!/(#REF!*52)</f>
        <v>#REF!</v>
      </c>
      <c r="L19" s="1" t="s">
        <v>491</v>
      </c>
      <c r="M19" s="1" t="s">
        <v>492</v>
      </c>
    </row>
    <row r="20" spans="1:13" x14ac:dyDescent="0.35">
      <c r="A20" t="s">
        <v>440</v>
      </c>
      <c r="D20" t="s">
        <v>9</v>
      </c>
      <c r="E20" t="s">
        <v>22</v>
      </c>
      <c r="G20" s="9"/>
      <c r="H20" s="9"/>
      <c r="I20" s="9"/>
      <c r="J20" s="47"/>
      <c r="K20" s="47" t="e">
        <f>IF($K$19&lt;$L$24,$M$24,IF($K$19&lt;$L$23,$M$23,IF($K$19&lt;$L$22,$M$22,IF($K$19&lt;$L$21,$M$21,$M$20))))</f>
        <v>#REF!</v>
      </c>
      <c r="L20" s="1"/>
      <c r="M20" s="49">
        <v>1.4999999999999999E-2</v>
      </c>
    </row>
    <row r="21" spans="1:13" x14ac:dyDescent="0.35">
      <c r="A21" t="s">
        <v>452</v>
      </c>
      <c r="D21" t="s">
        <v>38</v>
      </c>
      <c r="E21" t="s">
        <v>43</v>
      </c>
      <c r="G21" s="9"/>
      <c r="H21" s="9"/>
      <c r="I21" s="9"/>
      <c r="J21" s="9"/>
      <c r="K21" s="9"/>
      <c r="L21" s="1">
        <v>3133.9311044776123</v>
      </c>
      <c r="M21" s="49">
        <v>0.01</v>
      </c>
    </row>
    <row r="22" spans="1:13" x14ac:dyDescent="0.35">
      <c r="A22" t="s">
        <v>422</v>
      </c>
      <c r="D22" t="s">
        <v>268</v>
      </c>
      <c r="E22" t="s">
        <v>10</v>
      </c>
      <c r="L22" s="1">
        <v>2118.2275862069</v>
      </c>
      <c r="M22" s="49">
        <v>7.4999999999999997E-3</v>
      </c>
    </row>
    <row r="23" spans="1:13" x14ac:dyDescent="0.35">
      <c r="A23" t="s">
        <v>442</v>
      </c>
      <c r="D23" t="s">
        <v>264</v>
      </c>
      <c r="E23" t="s">
        <v>55</v>
      </c>
      <c r="L23" s="1">
        <v>1484.5700242718401</v>
      </c>
      <c r="M23" s="49">
        <v>5.0000000000000001E-3</v>
      </c>
    </row>
    <row r="24" spans="1:13" x14ac:dyDescent="0.35">
      <c r="A24" t="s">
        <v>433</v>
      </c>
      <c r="D24" t="s">
        <v>265</v>
      </c>
      <c r="E24" t="s">
        <v>26</v>
      </c>
      <c r="L24" s="1">
        <v>968.90328358209001</v>
      </c>
      <c r="M24" s="49">
        <v>0</v>
      </c>
    </row>
    <row r="25" spans="1:13" ht="18.5" x14ac:dyDescent="0.45">
      <c r="A25" t="s">
        <v>458</v>
      </c>
      <c r="D25" t="s">
        <v>266</v>
      </c>
      <c r="E25" t="s">
        <v>50</v>
      </c>
      <c r="G25" s="11"/>
      <c r="H25" s="11"/>
      <c r="I25" s="11"/>
      <c r="J25" s="11"/>
      <c r="K25" s="11"/>
    </row>
    <row r="26" spans="1:13" x14ac:dyDescent="0.35">
      <c r="A26" t="s">
        <v>447</v>
      </c>
      <c r="D26" t="s">
        <v>267</v>
      </c>
      <c r="E26" t="s">
        <v>67</v>
      </c>
    </row>
    <row r="27" spans="1:13" x14ac:dyDescent="0.35">
      <c r="A27" t="s">
        <v>413</v>
      </c>
      <c r="D27" t="s">
        <v>269</v>
      </c>
      <c r="E27" t="s">
        <v>32</v>
      </c>
    </row>
    <row r="28" spans="1:13" x14ac:dyDescent="0.35">
      <c r="A28" t="s">
        <v>416</v>
      </c>
      <c r="D28" t="s">
        <v>270</v>
      </c>
      <c r="E28" t="s">
        <v>80</v>
      </c>
    </row>
    <row r="29" spans="1:13" x14ac:dyDescent="0.35">
      <c r="A29" t="s">
        <v>461</v>
      </c>
      <c r="D29" t="s">
        <v>271</v>
      </c>
      <c r="E29" t="s">
        <v>46</v>
      </c>
    </row>
    <row r="30" spans="1:13" x14ac:dyDescent="0.35">
      <c r="A30" t="s">
        <v>446</v>
      </c>
      <c r="D30" t="s">
        <v>272</v>
      </c>
      <c r="E30" t="s">
        <v>77</v>
      </c>
    </row>
    <row r="31" spans="1:13" x14ac:dyDescent="0.35">
      <c r="A31" t="s">
        <v>451</v>
      </c>
      <c r="E31" t="s">
        <v>65</v>
      </c>
    </row>
    <row r="32" spans="1:13" x14ac:dyDescent="0.35">
      <c r="A32" t="s">
        <v>441</v>
      </c>
      <c r="E32" t="s">
        <v>37</v>
      </c>
    </row>
    <row r="33" spans="1:5" x14ac:dyDescent="0.35">
      <c r="A33" t="s">
        <v>435</v>
      </c>
      <c r="D33" t="s">
        <v>268</v>
      </c>
      <c r="E33" t="s">
        <v>2</v>
      </c>
    </row>
    <row r="34" spans="1:5" x14ac:dyDescent="0.35">
      <c r="A34" t="s">
        <v>454</v>
      </c>
      <c r="D34" t="s">
        <v>264</v>
      </c>
      <c r="E34" t="s">
        <v>52</v>
      </c>
    </row>
    <row r="35" spans="1:5" x14ac:dyDescent="0.35">
      <c r="A35" t="s">
        <v>421</v>
      </c>
      <c r="D35" t="s">
        <v>265</v>
      </c>
      <c r="E35" t="s">
        <v>76</v>
      </c>
    </row>
    <row r="36" spans="1:5" x14ac:dyDescent="0.35">
      <c r="A36" t="s">
        <v>443</v>
      </c>
      <c r="D36" t="s">
        <v>266</v>
      </c>
      <c r="E36" t="s">
        <v>63</v>
      </c>
    </row>
    <row r="37" spans="1:5" x14ac:dyDescent="0.35">
      <c r="A37" t="s">
        <v>439</v>
      </c>
      <c r="D37" t="s">
        <v>267</v>
      </c>
      <c r="E37" t="s">
        <v>68</v>
      </c>
    </row>
    <row r="38" spans="1:5" x14ac:dyDescent="0.35">
      <c r="A38" t="s">
        <v>455</v>
      </c>
      <c r="D38" t="s">
        <v>269</v>
      </c>
      <c r="E38" t="s">
        <v>21</v>
      </c>
    </row>
    <row r="39" spans="1:5" x14ac:dyDescent="0.35">
      <c r="A39" t="s">
        <v>444</v>
      </c>
      <c r="D39" t="s">
        <v>270</v>
      </c>
      <c r="E39" t="s">
        <v>51</v>
      </c>
    </row>
    <row r="40" spans="1:5" x14ac:dyDescent="0.35">
      <c r="A40" t="s">
        <v>419</v>
      </c>
      <c r="D40" t="s">
        <v>271</v>
      </c>
      <c r="E40" t="s">
        <v>41</v>
      </c>
    </row>
    <row r="41" spans="1:5" x14ac:dyDescent="0.35">
      <c r="A41" t="s">
        <v>420</v>
      </c>
      <c r="D41" t="s">
        <v>272</v>
      </c>
      <c r="E41" t="s">
        <v>28</v>
      </c>
    </row>
    <row r="42" spans="1:5" x14ac:dyDescent="0.35">
      <c r="A42" t="s">
        <v>431</v>
      </c>
      <c r="E42" t="s">
        <v>39</v>
      </c>
    </row>
    <row r="43" spans="1:5" x14ac:dyDescent="0.35">
      <c r="A43" t="s">
        <v>450</v>
      </c>
      <c r="E43" t="s">
        <v>49</v>
      </c>
    </row>
    <row r="44" spans="1:5" x14ac:dyDescent="0.35">
      <c r="A44" t="s">
        <v>430</v>
      </c>
      <c r="E44" t="s">
        <v>250</v>
      </c>
    </row>
    <row r="45" spans="1:5" x14ac:dyDescent="0.35">
      <c r="A45" t="s">
        <v>426</v>
      </c>
      <c r="E45" t="s">
        <v>66</v>
      </c>
    </row>
    <row r="46" spans="1:5" x14ac:dyDescent="0.35">
      <c r="A46" t="s">
        <v>415</v>
      </c>
      <c r="E46" t="s">
        <v>70</v>
      </c>
    </row>
    <row r="47" spans="1:5" x14ac:dyDescent="0.35">
      <c r="A47" t="s">
        <v>465</v>
      </c>
      <c r="E47" t="s">
        <v>24</v>
      </c>
    </row>
    <row r="48" spans="1:5" x14ac:dyDescent="0.35">
      <c r="A48" t="s">
        <v>453</v>
      </c>
      <c r="E48" t="s">
        <v>72</v>
      </c>
    </row>
    <row r="49" spans="1:5" x14ac:dyDescent="0.35">
      <c r="A49" t="s">
        <v>457</v>
      </c>
      <c r="E49" t="s">
        <v>27</v>
      </c>
    </row>
    <row r="50" spans="1:5" x14ac:dyDescent="0.35">
      <c r="A50" t="s">
        <v>437</v>
      </c>
      <c r="E50" t="s">
        <v>59</v>
      </c>
    </row>
    <row r="51" spans="1:5" x14ac:dyDescent="0.35">
      <c r="A51" t="s">
        <v>428</v>
      </c>
      <c r="E51" t="s">
        <v>54</v>
      </c>
    </row>
    <row r="52" spans="1:5" x14ac:dyDescent="0.35">
      <c r="A52" t="s">
        <v>423</v>
      </c>
      <c r="E52" t="s">
        <v>122</v>
      </c>
    </row>
    <row r="53" spans="1:5" x14ac:dyDescent="0.35">
      <c r="A53" t="s">
        <v>448</v>
      </c>
      <c r="E53" t="s">
        <v>7</v>
      </c>
    </row>
    <row r="54" spans="1:5" x14ac:dyDescent="0.35">
      <c r="A54" t="s">
        <v>462</v>
      </c>
      <c r="E54" t="s">
        <v>16</v>
      </c>
    </row>
    <row r="55" spans="1:5" x14ac:dyDescent="0.35">
      <c r="E55" t="s">
        <v>73</v>
      </c>
    </row>
    <row r="56" spans="1:5" x14ac:dyDescent="0.35">
      <c r="E56" t="s">
        <v>25</v>
      </c>
    </row>
    <row r="57" spans="1:5" x14ac:dyDescent="0.35">
      <c r="E57" t="s">
        <v>47</v>
      </c>
    </row>
    <row r="58" spans="1:5" x14ac:dyDescent="0.35">
      <c r="E58" t="s">
        <v>30</v>
      </c>
    </row>
    <row r="59" spans="1:5" x14ac:dyDescent="0.35">
      <c r="E59" t="s">
        <v>40</v>
      </c>
    </row>
    <row r="60" spans="1:5" x14ac:dyDescent="0.35">
      <c r="E60" t="s">
        <v>17</v>
      </c>
    </row>
    <row r="61" spans="1:5" x14ac:dyDescent="0.35">
      <c r="E61" t="s">
        <v>75</v>
      </c>
    </row>
    <row r="62" spans="1:5" x14ac:dyDescent="0.35">
      <c r="E62" t="s">
        <v>61</v>
      </c>
    </row>
    <row r="63" spans="1:5" x14ac:dyDescent="0.35">
      <c r="E63" t="s">
        <v>44</v>
      </c>
    </row>
    <row r="64" spans="1:5" x14ac:dyDescent="0.35">
      <c r="E64" t="s">
        <v>31</v>
      </c>
    </row>
    <row r="65" spans="5:5" x14ac:dyDescent="0.35">
      <c r="E65" t="s">
        <v>57</v>
      </c>
    </row>
    <row r="66" spans="5:5" x14ac:dyDescent="0.35">
      <c r="E66" t="s">
        <v>78</v>
      </c>
    </row>
    <row r="67" spans="5:5" x14ac:dyDescent="0.35">
      <c r="E67" t="s">
        <v>81</v>
      </c>
    </row>
    <row r="68" spans="5:5" x14ac:dyDescent="0.35">
      <c r="E68" t="s">
        <v>79</v>
      </c>
    </row>
    <row r="69" spans="5:5" x14ac:dyDescent="0.35">
      <c r="E69" t="s">
        <v>53</v>
      </c>
    </row>
    <row r="70" spans="5:5" x14ac:dyDescent="0.35">
      <c r="E70"/>
    </row>
    <row r="71" spans="5:5" x14ac:dyDescent="0.35">
      <c r="E71"/>
    </row>
    <row r="72" spans="5:5" x14ac:dyDescent="0.35">
      <c r="E72"/>
    </row>
    <row r="73" spans="5:5" x14ac:dyDescent="0.35">
      <c r="E73"/>
    </row>
    <row r="74" spans="5:5" x14ac:dyDescent="0.35">
      <c r="E74"/>
    </row>
    <row r="75" spans="5:5" x14ac:dyDescent="0.35">
      <c r="E75"/>
    </row>
    <row r="76" spans="5:5" x14ac:dyDescent="0.35">
      <c r="E76"/>
    </row>
    <row r="77" spans="5:5" x14ac:dyDescent="0.35">
      <c r="E77"/>
    </row>
    <row r="78" spans="5:5" x14ac:dyDescent="0.35">
      <c r="E78"/>
    </row>
    <row r="79" spans="5:5" x14ac:dyDescent="0.35">
      <c r="E79"/>
    </row>
    <row r="80" spans="5:5" x14ac:dyDescent="0.35">
      <c r="E80"/>
    </row>
    <row r="81" spans="5:5" x14ac:dyDescent="0.35">
      <c r="E81"/>
    </row>
    <row r="82" spans="5:5" x14ac:dyDescent="0.35">
      <c r="E82"/>
    </row>
    <row r="83" spans="5:5" x14ac:dyDescent="0.35">
      <c r="E83"/>
    </row>
    <row r="84" spans="5:5" x14ac:dyDescent="0.35">
      <c r="E84"/>
    </row>
    <row r="85" spans="5:5" x14ac:dyDescent="0.35">
      <c r="E85"/>
    </row>
    <row r="86" spans="5:5" x14ac:dyDescent="0.35">
      <c r="E86"/>
    </row>
    <row r="87" spans="5:5" x14ac:dyDescent="0.35">
      <c r="E87"/>
    </row>
    <row r="88" spans="5:5" x14ac:dyDescent="0.35">
      <c r="E88"/>
    </row>
    <row r="89" spans="5:5" x14ac:dyDescent="0.35">
      <c r="E89"/>
    </row>
    <row r="90" spans="5:5" x14ac:dyDescent="0.35">
      <c r="E90"/>
    </row>
    <row r="91" spans="5:5" x14ac:dyDescent="0.35">
      <c r="E91"/>
    </row>
    <row r="92" spans="5:5" x14ac:dyDescent="0.35">
      <c r="E92"/>
    </row>
    <row r="93" spans="5:5" x14ac:dyDescent="0.35">
      <c r="E93"/>
    </row>
    <row r="94" spans="5:5" x14ac:dyDescent="0.35">
      <c r="E94"/>
    </row>
    <row r="95" spans="5:5" x14ac:dyDescent="0.35">
      <c r="E95"/>
    </row>
    <row r="96" spans="5:5" x14ac:dyDescent="0.35">
      <c r="E96"/>
    </row>
    <row r="97" spans="5:5" x14ac:dyDescent="0.35">
      <c r="E97"/>
    </row>
    <row r="98" spans="5:5" x14ac:dyDescent="0.35">
      <c r="E98"/>
    </row>
    <row r="99" spans="5:5" x14ac:dyDescent="0.35">
      <c r="E99"/>
    </row>
    <row r="100" spans="5:5" x14ac:dyDescent="0.35">
      <c r="E100"/>
    </row>
    <row r="101" spans="5:5" x14ac:dyDescent="0.35">
      <c r="E101"/>
    </row>
    <row r="102" spans="5:5" x14ac:dyDescent="0.35">
      <c r="E102"/>
    </row>
    <row r="103" spans="5:5" x14ac:dyDescent="0.35">
      <c r="E103"/>
    </row>
    <row r="104" spans="5:5" x14ac:dyDescent="0.35">
      <c r="E104"/>
    </row>
    <row r="105" spans="5:5" x14ac:dyDescent="0.35">
      <c r="E105"/>
    </row>
    <row r="106" spans="5:5" x14ac:dyDescent="0.35">
      <c r="E106"/>
    </row>
    <row r="107" spans="5:5" x14ac:dyDescent="0.35">
      <c r="E107"/>
    </row>
    <row r="108" spans="5:5" x14ac:dyDescent="0.35">
      <c r="E108"/>
    </row>
    <row r="109" spans="5:5" x14ac:dyDescent="0.35">
      <c r="E109"/>
    </row>
    <row r="110" spans="5:5" x14ac:dyDescent="0.35">
      <c r="E110"/>
    </row>
    <row r="111" spans="5:5" x14ac:dyDescent="0.35">
      <c r="E111"/>
    </row>
    <row r="112" spans="5:5" x14ac:dyDescent="0.35">
      <c r="E112"/>
    </row>
    <row r="113" spans="5:5" x14ac:dyDescent="0.35">
      <c r="E113"/>
    </row>
    <row r="114" spans="5:5" x14ac:dyDescent="0.35">
      <c r="E114"/>
    </row>
    <row r="115" spans="5:5" x14ac:dyDescent="0.35">
      <c r="E115"/>
    </row>
    <row r="116" spans="5:5" x14ac:dyDescent="0.35">
      <c r="E116"/>
    </row>
    <row r="117" spans="5:5" x14ac:dyDescent="0.35">
      <c r="E117"/>
    </row>
    <row r="118" spans="5:5" x14ac:dyDescent="0.35">
      <c r="E118"/>
    </row>
    <row r="119" spans="5:5" x14ac:dyDescent="0.35">
      <c r="E119"/>
    </row>
    <row r="120" spans="5:5" x14ac:dyDescent="0.35">
      <c r="E120"/>
    </row>
    <row r="121" spans="5:5" x14ac:dyDescent="0.35">
      <c r="E121"/>
    </row>
    <row r="122" spans="5:5" x14ac:dyDescent="0.35">
      <c r="E122"/>
    </row>
    <row r="123" spans="5:5" x14ac:dyDescent="0.35">
      <c r="E123"/>
    </row>
    <row r="124" spans="5:5" x14ac:dyDescent="0.35">
      <c r="E124"/>
    </row>
    <row r="125" spans="5:5" x14ac:dyDescent="0.35">
      <c r="E125"/>
    </row>
    <row r="126" spans="5:5" x14ac:dyDescent="0.35">
      <c r="E126"/>
    </row>
    <row r="127" spans="5:5" x14ac:dyDescent="0.35">
      <c r="E127"/>
    </row>
    <row r="128" spans="5:5" x14ac:dyDescent="0.35">
      <c r="E128"/>
    </row>
    <row r="129" spans="5:5" x14ac:dyDescent="0.35">
      <c r="E129"/>
    </row>
    <row r="130" spans="5:5" x14ac:dyDescent="0.35">
      <c r="E130"/>
    </row>
    <row r="131" spans="5:5" x14ac:dyDescent="0.35">
      <c r="E131"/>
    </row>
    <row r="132" spans="5:5" x14ac:dyDescent="0.35">
      <c r="E132"/>
    </row>
    <row r="133" spans="5:5" x14ac:dyDescent="0.35">
      <c r="E133"/>
    </row>
    <row r="134" spans="5:5" x14ac:dyDescent="0.35">
      <c r="E134"/>
    </row>
    <row r="135" spans="5:5" x14ac:dyDescent="0.35">
      <c r="E135"/>
    </row>
    <row r="136" spans="5:5" x14ac:dyDescent="0.35">
      <c r="E136"/>
    </row>
    <row r="137" spans="5:5" x14ac:dyDescent="0.35">
      <c r="E137"/>
    </row>
    <row r="138" spans="5:5" x14ac:dyDescent="0.35">
      <c r="E138"/>
    </row>
    <row r="139" spans="5:5" x14ac:dyDescent="0.35">
      <c r="E139"/>
    </row>
    <row r="140" spans="5:5" x14ac:dyDescent="0.35">
      <c r="E140"/>
    </row>
    <row r="141" spans="5:5" x14ac:dyDescent="0.35">
      <c r="E141"/>
    </row>
    <row r="142" spans="5:5" x14ac:dyDescent="0.35">
      <c r="E142"/>
    </row>
    <row r="143" spans="5:5" x14ac:dyDescent="0.35">
      <c r="E143"/>
    </row>
    <row r="144" spans="5:5" x14ac:dyDescent="0.35">
      <c r="E144"/>
    </row>
    <row r="145" spans="5:5" x14ac:dyDescent="0.35">
      <c r="E145"/>
    </row>
    <row r="146" spans="5:5" x14ac:dyDescent="0.35">
      <c r="E146"/>
    </row>
    <row r="147" spans="5:5" x14ac:dyDescent="0.35">
      <c r="E147"/>
    </row>
    <row r="148" spans="5:5" x14ac:dyDescent="0.35">
      <c r="E148"/>
    </row>
    <row r="149" spans="5:5" x14ac:dyDescent="0.35">
      <c r="E149"/>
    </row>
    <row r="150" spans="5:5" x14ac:dyDescent="0.35">
      <c r="E150"/>
    </row>
    <row r="151" spans="5:5" x14ac:dyDescent="0.35">
      <c r="E151"/>
    </row>
    <row r="152" spans="5:5" x14ac:dyDescent="0.35">
      <c r="E152"/>
    </row>
    <row r="153" spans="5:5" x14ac:dyDescent="0.35">
      <c r="E153"/>
    </row>
    <row r="154" spans="5:5" x14ac:dyDescent="0.35">
      <c r="E154"/>
    </row>
    <row r="155" spans="5:5" x14ac:dyDescent="0.35">
      <c r="E155"/>
    </row>
    <row r="156" spans="5:5" x14ac:dyDescent="0.35">
      <c r="E156"/>
    </row>
    <row r="157" spans="5:5" x14ac:dyDescent="0.35">
      <c r="E157"/>
    </row>
    <row r="158" spans="5:5" x14ac:dyDescent="0.35">
      <c r="E158"/>
    </row>
    <row r="159" spans="5:5" x14ac:dyDescent="0.35">
      <c r="E159"/>
    </row>
    <row r="160" spans="5:5" x14ac:dyDescent="0.35">
      <c r="E160"/>
    </row>
    <row r="161" spans="5:5" x14ac:dyDescent="0.35">
      <c r="E161"/>
    </row>
    <row r="162" spans="5:5" x14ac:dyDescent="0.35">
      <c r="E162"/>
    </row>
    <row r="163" spans="5:5" x14ac:dyDescent="0.35">
      <c r="E163"/>
    </row>
    <row r="164" spans="5:5" x14ac:dyDescent="0.35">
      <c r="E164"/>
    </row>
    <row r="165" spans="5:5" x14ac:dyDescent="0.35">
      <c r="E165"/>
    </row>
    <row r="166" spans="5:5" x14ac:dyDescent="0.35">
      <c r="E166"/>
    </row>
    <row r="167" spans="5:5" x14ac:dyDescent="0.35">
      <c r="E167"/>
    </row>
    <row r="168" spans="5:5" x14ac:dyDescent="0.35">
      <c r="E168"/>
    </row>
    <row r="169" spans="5:5" x14ac:dyDescent="0.35">
      <c r="E169"/>
    </row>
    <row r="170" spans="5:5" x14ac:dyDescent="0.35">
      <c r="E170"/>
    </row>
    <row r="171" spans="5:5" x14ac:dyDescent="0.35">
      <c r="E171"/>
    </row>
    <row r="172" spans="5:5" x14ac:dyDescent="0.35">
      <c r="E172"/>
    </row>
    <row r="173" spans="5:5" x14ac:dyDescent="0.35">
      <c r="E173"/>
    </row>
    <row r="174" spans="5:5" x14ac:dyDescent="0.35">
      <c r="E174"/>
    </row>
    <row r="175" spans="5:5" x14ac:dyDescent="0.35">
      <c r="E175"/>
    </row>
    <row r="176" spans="5:5" x14ac:dyDescent="0.35">
      <c r="E176"/>
    </row>
    <row r="177" spans="5:5" x14ac:dyDescent="0.35">
      <c r="E177"/>
    </row>
    <row r="178" spans="5:5" x14ac:dyDescent="0.35">
      <c r="E178"/>
    </row>
    <row r="179" spans="5:5" x14ac:dyDescent="0.35">
      <c r="E179"/>
    </row>
    <row r="180" spans="5:5" x14ac:dyDescent="0.35">
      <c r="E180"/>
    </row>
    <row r="181" spans="5:5" x14ac:dyDescent="0.35">
      <c r="E181"/>
    </row>
    <row r="182" spans="5:5" x14ac:dyDescent="0.35">
      <c r="E182"/>
    </row>
    <row r="183" spans="5:5" x14ac:dyDescent="0.35">
      <c r="E183"/>
    </row>
    <row r="184" spans="5:5" x14ac:dyDescent="0.35">
      <c r="E184"/>
    </row>
    <row r="185" spans="5:5" x14ac:dyDescent="0.35">
      <c r="E185"/>
    </row>
    <row r="186" spans="5:5" x14ac:dyDescent="0.35">
      <c r="E186"/>
    </row>
    <row r="187" spans="5:5" x14ac:dyDescent="0.35">
      <c r="E187"/>
    </row>
    <row r="188" spans="5:5" x14ac:dyDescent="0.35">
      <c r="E188"/>
    </row>
    <row r="189" spans="5:5" x14ac:dyDescent="0.35">
      <c r="E189"/>
    </row>
    <row r="190" spans="5:5" x14ac:dyDescent="0.35">
      <c r="E190"/>
    </row>
    <row r="191" spans="5:5" x14ac:dyDescent="0.35">
      <c r="E191"/>
    </row>
    <row r="192" spans="5:5" x14ac:dyDescent="0.35">
      <c r="E192"/>
    </row>
    <row r="193" spans="5:5" x14ac:dyDescent="0.35">
      <c r="E193"/>
    </row>
    <row r="194" spans="5:5" x14ac:dyDescent="0.35">
      <c r="E194"/>
    </row>
    <row r="195" spans="5:5" x14ac:dyDescent="0.35">
      <c r="E195"/>
    </row>
    <row r="196" spans="5:5" x14ac:dyDescent="0.35">
      <c r="E196"/>
    </row>
    <row r="197" spans="5:5" x14ac:dyDescent="0.35">
      <c r="E197"/>
    </row>
    <row r="198" spans="5:5" x14ac:dyDescent="0.35">
      <c r="E198"/>
    </row>
    <row r="199" spans="5:5" x14ac:dyDescent="0.35">
      <c r="E199"/>
    </row>
    <row r="200" spans="5:5" x14ac:dyDescent="0.35">
      <c r="E200"/>
    </row>
    <row r="201" spans="5:5" x14ac:dyDescent="0.35">
      <c r="E201"/>
    </row>
    <row r="202" spans="5:5" x14ac:dyDescent="0.35">
      <c r="E202"/>
    </row>
    <row r="203" spans="5:5" x14ac:dyDescent="0.35">
      <c r="E203"/>
    </row>
    <row r="204" spans="5:5" x14ac:dyDescent="0.35">
      <c r="E204"/>
    </row>
    <row r="205" spans="5:5" x14ac:dyDescent="0.35">
      <c r="E205"/>
    </row>
    <row r="206" spans="5:5" x14ac:dyDescent="0.35">
      <c r="E206"/>
    </row>
    <row r="207" spans="5:5" x14ac:dyDescent="0.35">
      <c r="E207"/>
    </row>
    <row r="208" spans="5:5" x14ac:dyDescent="0.35">
      <c r="E208"/>
    </row>
    <row r="209" spans="5:5" x14ac:dyDescent="0.35">
      <c r="E209"/>
    </row>
    <row r="210" spans="5:5" x14ac:dyDescent="0.35">
      <c r="E210"/>
    </row>
    <row r="211" spans="5:5" x14ac:dyDescent="0.35">
      <c r="E211"/>
    </row>
    <row r="212" spans="5:5" x14ac:dyDescent="0.35">
      <c r="E212"/>
    </row>
    <row r="213" spans="5:5" x14ac:dyDescent="0.35">
      <c r="E213"/>
    </row>
    <row r="214" spans="5:5" x14ac:dyDescent="0.35">
      <c r="E214"/>
    </row>
    <row r="215" spans="5:5" x14ac:dyDescent="0.35">
      <c r="E215"/>
    </row>
    <row r="216" spans="5:5" x14ac:dyDescent="0.35">
      <c r="E216"/>
    </row>
    <row r="217" spans="5:5" x14ac:dyDescent="0.35">
      <c r="E217"/>
    </row>
    <row r="218" spans="5:5" x14ac:dyDescent="0.35">
      <c r="E218"/>
    </row>
    <row r="219" spans="5:5" x14ac:dyDescent="0.35">
      <c r="E219"/>
    </row>
    <row r="220" spans="5:5" x14ac:dyDescent="0.35">
      <c r="E220"/>
    </row>
    <row r="221" spans="5:5" x14ac:dyDescent="0.35">
      <c r="E221"/>
    </row>
    <row r="222" spans="5:5" x14ac:dyDescent="0.35">
      <c r="E222"/>
    </row>
    <row r="223" spans="5:5" x14ac:dyDescent="0.35">
      <c r="E223"/>
    </row>
    <row r="224" spans="5:5" x14ac:dyDescent="0.35">
      <c r="E224"/>
    </row>
    <row r="225" spans="5:5" x14ac:dyDescent="0.35">
      <c r="E225"/>
    </row>
    <row r="226" spans="5:5" x14ac:dyDescent="0.35">
      <c r="E226"/>
    </row>
    <row r="227" spans="5:5" x14ac:dyDescent="0.35">
      <c r="E227"/>
    </row>
    <row r="228" spans="5:5" x14ac:dyDescent="0.35">
      <c r="E228"/>
    </row>
    <row r="229" spans="5:5" x14ac:dyDescent="0.35">
      <c r="E229"/>
    </row>
    <row r="230" spans="5:5" x14ac:dyDescent="0.35">
      <c r="E230"/>
    </row>
    <row r="231" spans="5:5" x14ac:dyDescent="0.35">
      <c r="E231"/>
    </row>
    <row r="232" spans="5:5" x14ac:dyDescent="0.35">
      <c r="E232"/>
    </row>
    <row r="233" spans="5:5" x14ac:dyDescent="0.35">
      <c r="E233"/>
    </row>
    <row r="234" spans="5:5" x14ac:dyDescent="0.35">
      <c r="E234"/>
    </row>
    <row r="235" spans="5:5" x14ac:dyDescent="0.35">
      <c r="E235"/>
    </row>
    <row r="236" spans="5:5" x14ac:dyDescent="0.35">
      <c r="E236"/>
    </row>
    <row r="237" spans="5:5" x14ac:dyDescent="0.35">
      <c r="E237"/>
    </row>
    <row r="238" spans="5:5" x14ac:dyDescent="0.35">
      <c r="E238"/>
    </row>
    <row r="239" spans="5:5" x14ac:dyDescent="0.35">
      <c r="E239"/>
    </row>
    <row r="240" spans="5:5" x14ac:dyDescent="0.35">
      <c r="E240"/>
    </row>
    <row r="241" spans="5:5" x14ac:dyDescent="0.35">
      <c r="E241"/>
    </row>
    <row r="242" spans="5:5" x14ac:dyDescent="0.35">
      <c r="E242"/>
    </row>
    <row r="243" spans="5:5" x14ac:dyDescent="0.35">
      <c r="E243"/>
    </row>
    <row r="244" spans="5:5" x14ac:dyDescent="0.35">
      <c r="E244"/>
    </row>
    <row r="245" spans="5:5" x14ac:dyDescent="0.35">
      <c r="E245"/>
    </row>
    <row r="246" spans="5:5" x14ac:dyDescent="0.35">
      <c r="E246"/>
    </row>
    <row r="247" spans="5:5" x14ac:dyDescent="0.35">
      <c r="E247"/>
    </row>
    <row r="248" spans="5:5" x14ac:dyDescent="0.35">
      <c r="E248"/>
    </row>
    <row r="249" spans="5:5" x14ac:dyDescent="0.35">
      <c r="E249"/>
    </row>
    <row r="250" spans="5:5" x14ac:dyDescent="0.35">
      <c r="E250"/>
    </row>
    <row r="251" spans="5:5" x14ac:dyDescent="0.35">
      <c r="E251"/>
    </row>
    <row r="252" spans="5:5" x14ac:dyDescent="0.35">
      <c r="E252"/>
    </row>
    <row r="253" spans="5:5" x14ac:dyDescent="0.35">
      <c r="E253"/>
    </row>
    <row r="254" spans="5:5" x14ac:dyDescent="0.35">
      <c r="E254"/>
    </row>
    <row r="255" spans="5:5" x14ac:dyDescent="0.35">
      <c r="E255"/>
    </row>
    <row r="256" spans="5:5" x14ac:dyDescent="0.35">
      <c r="E256"/>
    </row>
    <row r="257" spans="5:5" x14ac:dyDescent="0.35">
      <c r="E257"/>
    </row>
    <row r="258" spans="5:5" x14ac:dyDescent="0.35">
      <c r="E258"/>
    </row>
    <row r="259" spans="5:5" x14ac:dyDescent="0.35">
      <c r="E259"/>
    </row>
    <row r="260" spans="5:5" x14ac:dyDescent="0.35">
      <c r="E260"/>
    </row>
    <row r="261" spans="5:5" x14ac:dyDescent="0.35">
      <c r="E261"/>
    </row>
    <row r="262" spans="5:5" x14ac:dyDescent="0.35">
      <c r="E262"/>
    </row>
    <row r="263" spans="5:5" x14ac:dyDescent="0.35">
      <c r="E263"/>
    </row>
    <row r="264" spans="5:5" x14ac:dyDescent="0.35">
      <c r="E264"/>
    </row>
    <row r="265" spans="5:5" x14ac:dyDescent="0.35">
      <c r="E265"/>
    </row>
    <row r="266" spans="5:5" x14ac:dyDescent="0.35">
      <c r="E266"/>
    </row>
    <row r="267" spans="5:5" x14ac:dyDescent="0.35">
      <c r="E267"/>
    </row>
    <row r="268" spans="5:5" x14ac:dyDescent="0.35">
      <c r="E268"/>
    </row>
    <row r="269" spans="5:5" x14ac:dyDescent="0.35">
      <c r="E269"/>
    </row>
    <row r="270" spans="5:5" x14ac:dyDescent="0.35">
      <c r="E270"/>
    </row>
    <row r="271" spans="5:5" x14ac:dyDescent="0.35">
      <c r="E271"/>
    </row>
    <row r="272" spans="5:5" x14ac:dyDescent="0.35">
      <c r="E272"/>
    </row>
    <row r="273" spans="5:5" x14ac:dyDescent="0.35">
      <c r="E273"/>
    </row>
    <row r="274" spans="5:5" x14ac:dyDescent="0.35">
      <c r="E274"/>
    </row>
    <row r="275" spans="5:5" x14ac:dyDescent="0.35">
      <c r="E275"/>
    </row>
    <row r="276" spans="5:5" x14ac:dyDescent="0.35">
      <c r="E276"/>
    </row>
    <row r="277" spans="5:5" x14ac:dyDescent="0.35">
      <c r="E277"/>
    </row>
    <row r="278" spans="5:5" x14ac:dyDescent="0.35">
      <c r="E278"/>
    </row>
    <row r="279" spans="5:5" x14ac:dyDescent="0.35">
      <c r="E279"/>
    </row>
    <row r="280" spans="5:5" x14ac:dyDescent="0.35">
      <c r="E280"/>
    </row>
    <row r="281" spans="5:5" x14ac:dyDescent="0.35">
      <c r="E281"/>
    </row>
    <row r="282" spans="5:5" x14ac:dyDescent="0.35">
      <c r="E282"/>
    </row>
    <row r="283" spans="5:5" x14ac:dyDescent="0.35">
      <c r="E283"/>
    </row>
    <row r="284" spans="5:5" x14ac:dyDescent="0.35">
      <c r="E284"/>
    </row>
    <row r="285" spans="5:5" x14ac:dyDescent="0.35">
      <c r="E285"/>
    </row>
    <row r="286" spans="5:5" x14ac:dyDescent="0.35">
      <c r="E286"/>
    </row>
    <row r="287" spans="5:5" x14ac:dyDescent="0.35">
      <c r="E287"/>
    </row>
    <row r="288" spans="5:5" x14ac:dyDescent="0.35">
      <c r="E288"/>
    </row>
    <row r="289" spans="5:5" x14ac:dyDescent="0.35">
      <c r="E289"/>
    </row>
    <row r="290" spans="5:5" x14ac:dyDescent="0.35">
      <c r="E290"/>
    </row>
    <row r="291" spans="5:5" x14ac:dyDescent="0.35">
      <c r="E291"/>
    </row>
    <row r="292" spans="5:5" x14ac:dyDescent="0.35">
      <c r="E292"/>
    </row>
    <row r="293" spans="5:5" x14ac:dyDescent="0.35">
      <c r="E293"/>
    </row>
    <row r="294" spans="5:5" x14ac:dyDescent="0.35">
      <c r="E294"/>
    </row>
    <row r="295" spans="5:5" x14ac:dyDescent="0.35">
      <c r="E295"/>
    </row>
    <row r="296" spans="5:5" x14ac:dyDescent="0.35">
      <c r="E296"/>
    </row>
    <row r="297" spans="5:5" x14ac:dyDescent="0.35">
      <c r="E297"/>
    </row>
    <row r="298" spans="5:5" x14ac:dyDescent="0.35">
      <c r="E298"/>
    </row>
    <row r="299" spans="5:5" x14ac:dyDescent="0.35">
      <c r="E299"/>
    </row>
    <row r="300" spans="5:5" x14ac:dyDescent="0.35">
      <c r="E300"/>
    </row>
    <row r="301" spans="5:5" x14ac:dyDescent="0.35">
      <c r="E301"/>
    </row>
    <row r="302" spans="5:5" x14ac:dyDescent="0.35">
      <c r="E302"/>
    </row>
    <row r="303" spans="5:5" x14ac:dyDescent="0.35">
      <c r="E303"/>
    </row>
    <row r="304" spans="5:5" x14ac:dyDescent="0.35">
      <c r="E304"/>
    </row>
    <row r="305" spans="5:5" x14ac:dyDescent="0.35">
      <c r="E305"/>
    </row>
    <row r="306" spans="5:5" x14ac:dyDescent="0.35">
      <c r="E306"/>
    </row>
    <row r="307" spans="5:5" x14ac:dyDescent="0.35">
      <c r="E307"/>
    </row>
    <row r="308" spans="5:5" x14ac:dyDescent="0.35">
      <c r="E308"/>
    </row>
    <row r="309" spans="5:5" x14ac:dyDescent="0.35">
      <c r="E309"/>
    </row>
    <row r="310" spans="5:5" x14ac:dyDescent="0.35">
      <c r="E310"/>
    </row>
    <row r="311" spans="5:5" x14ac:dyDescent="0.35">
      <c r="E311"/>
    </row>
    <row r="312" spans="5:5" x14ac:dyDescent="0.35">
      <c r="E312"/>
    </row>
    <row r="313" spans="5:5" x14ac:dyDescent="0.35">
      <c r="E313"/>
    </row>
    <row r="314" spans="5:5" x14ac:dyDescent="0.35">
      <c r="E314"/>
    </row>
    <row r="315" spans="5:5" x14ac:dyDescent="0.35">
      <c r="E315"/>
    </row>
    <row r="316" spans="5:5" x14ac:dyDescent="0.35">
      <c r="E316"/>
    </row>
    <row r="317" spans="5:5" x14ac:dyDescent="0.35">
      <c r="E317"/>
    </row>
    <row r="318" spans="5:5" x14ac:dyDescent="0.35">
      <c r="E318"/>
    </row>
    <row r="319" spans="5:5" x14ac:dyDescent="0.35">
      <c r="E319"/>
    </row>
    <row r="320" spans="5:5" x14ac:dyDescent="0.35">
      <c r="E320"/>
    </row>
    <row r="321" spans="5:5" x14ac:dyDescent="0.35">
      <c r="E321"/>
    </row>
    <row r="322" spans="5:5" x14ac:dyDescent="0.35">
      <c r="E322"/>
    </row>
    <row r="323" spans="5:5" x14ac:dyDescent="0.35">
      <c r="E323"/>
    </row>
    <row r="324" spans="5:5" x14ac:dyDescent="0.35">
      <c r="E324"/>
    </row>
    <row r="325" spans="5:5" x14ac:dyDescent="0.35">
      <c r="E325"/>
    </row>
    <row r="326" spans="5:5" x14ac:dyDescent="0.35">
      <c r="E326"/>
    </row>
    <row r="327" spans="5:5" x14ac:dyDescent="0.35">
      <c r="E327"/>
    </row>
    <row r="328" spans="5:5" x14ac:dyDescent="0.35">
      <c r="E328"/>
    </row>
    <row r="329" spans="5:5" x14ac:dyDescent="0.35">
      <c r="E329"/>
    </row>
    <row r="330" spans="5:5" x14ac:dyDescent="0.35">
      <c r="E330"/>
    </row>
    <row r="331" spans="5:5" x14ac:dyDescent="0.35">
      <c r="E331"/>
    </row>
    <row r="332" spans="5:5" x14ac:dyDescent="0.35">
      <c r="E332"/>
    </row>
    <row r="333" spans="5:5" x14ac:dyDescent="0.35">
      <c r="E333"/>
    </row>
    <row r="334" spans="5:5" x14ac:dyDescent="0.35">
      <c r="E334"/>
    </row>
    <row r="335" spans="5:5" x14ac:dyDescent="0.35">
      <c r="E335"/>
    </row>
    <row r="336" spans="5:5" x14ac:dyDescent="0.35">
      <c r="E336"/>
    </row>
    <row r="337" spans="5:5" x14ac:dyDescent="0.35">
      <c r="E337"/>
    </row>
    <row r="338" spans="5:5" x14ac:dyDescent="0.35">
      <c r="E338"/>
    </row>
    <row r="339" spans="5:5" x14ac:dyDescent="0.35">
      <c r="E339"/>
    </row>
    <row r="340" spans="5:5" x14ac:dyDescent="0.35">
      <c r="E340"/>
    </row>
    <row r="341" spans="5:5" x14ac:dyDescent="0.35">
      <c r="E341"/>
    </row>
    <row r="342" spans="5:5" x14ac:dyDescent="0.35">
      <c r="E342"/>
    </row>
    <row r="343" spans="5:5" x14ac:dyDescent="0.35">
      <c r="E343"/>
    </row>
    <row r="344" spans="5:5" x14ac:dyDescent="0.35">
      <c r="E344"/>
    </row>
    <row r="345" spans="5:5" x14ac:dyDescent="0.35">
      <c r="E345"/>
    </row>
    <row r="346" spans="5:5" x14ac:dyDescent="0.35">
      <c r="E346"/>
    </row>
    <row r="347" spans="5:5" x14ac:dyDescent="0.35">
      <c r="E347"/>
    </row>
    <row r="348" spans="5:5" x14ac:dyDescent="0.35">
      <c r="E348"/>
    </row>
    <row r="349" spans="5:5" x14ac:dyDescent="0.35">
      <c r="E349"/>
    </row>
    <row r="350" spans="5:5" x14ac:dyDescent="0.35">
      <c r="E350"/>
    </row>
    <row r="351" spans="5:5" x14ac:dyDescent="0.35">
      <c r="E351"/>
    </row>
    <row r="352" spans="5:5" x14ac:dyDescent="0.35">
      <c r="E352"/>
    </row>
    <row r="353" spans="5:5" x14ac:dyDescent="0.35">
      <c r="E353"/>
    </row>
    <row r="354" spans="5:5" x14ac:dyDescent="0.35">
      <c r="E354"/>
    </row>
    <row r="355" spans="5:5" x14ac:dyDescent="0.35">
      <c r="E355"/>
    </row>
    <row r="356" spans="5:5" x14ac:dyDescent="0.35">
      <c r="E356"/>
    </row>
    <row r="357" spans="5:5" x14ac:dyDescent="0.35">
      <c r="E357"/>
    </row>
    <row r="358" spans="5:5" x14ac:dyDescent="0.35">
      <c r="E358"/>
    </row>
    <row r="359" spans="5:5" x14ac:dyDescent="0.35">
      <c r="E359"/>
    </row>
    <row r="360" spans="5:5" x14ac:dyDescent="0.35">
      <c r="E360"/>
    </row>
    <row r="361" spans="5:5" x14ac:dyDescent="0.35">
      <c r="E361"/>
    </row>
    <row r="362" spans="5:5" x14ac:dyDescent="0.35">
      <c r="E362"/>
    </row>
    <row r="363" spans="5:5" x14ac:dyDescent="0.35">
      <c r="E363"/>
    </row>
    <row r="364" spans="5:5" x14ac:dyDescent="0.35">
      <c r="E364"/>
    </row>
    <row r="365" spans="5:5" x14ac:dyDescent="0.35">
      <c r="E365"/>
    </row>
    <row r="366" spans="5:5" x14ac:dyDescent="0.35">
      <c r="E366"/>
    </row>
    <row r="367" spans="5:5" x14ac:dyDescent="0.35">
      <c r="E367"/>
    </row>
    <row r="368" spans="5:5" x14ac:dyDescent="0.35">
      <c r="E368"/>
    </row>
    <row r="369" spans="5:5" x14ac:dyDescent="0.35">
      <c r="E369"/>
    </row>
    <row r="370" spans="5:5" x14ac:dyDescent="0.35">
      <c r="E370"/>
    </row>
    <row r="371" spans="5:5" x14ac:dyDescent="0.35">
      <c r="E371"/>
    </row>
    <row r="372" spans="5:5" x14ac:dyDescent="0.35">
      <c r="E372"/>
    </row>
    <row r="373" spans="5:5" x14ac:dyDescent="0.35">
      <c r="E373"/>
    </row>
    <row r="374" spans="5:5" x14ac:dyDescent="0.35">
      <c r="E374"/>
    </row>
    <row r="375" spans="5:5" x14ac:dyDescent="0.35">
      <c r="E375"/>
    </row>
    <row r="376" spans="5:5" x14ac:dyDescent="0.35">
      <c r="E376"/>
    </row>
    <row r="377" spans="5:5" x14ac:dyDescent="0.35">
      <c r="E377"/>
    </row>
    <row r="378" spans="5:5" x14ac:dyDescent="0.35">
      <c r="E378"/>
    </row>
    <row r="379" spans="5:5" x14ac:dyDescent="0.35">
      <c r="E379"/>
    </row>
    <row r="380" spans="5:5" x14ac:dyDescent="0.35">
      <c r="E380"/>
    </row>
    <row r="381" spans="5:5" x14ac:dyDescent="0.35">
      <c r="E381"/>
    </row>
    <row r="382" spans="5:5" x14ac:dyDescent="0.35">
      <c r="E382"/>
    </row>
    <row r="383" spans="5:5" x14ac:dyDescent="0.35">
      <c r="E383"/>
    </row>
    <row r="384" spans="5:5" x14ac:dyDescent="0.35">
      <c r="E384"/>
    </row>
    <row r="385" spans="5:5" x14ac:dyDescent="0.35">
      <c r="E385"/>
    </row>
    <row r="386" spans="5:5" x14ac:dyDescent="0.35">
      <c r="E386"/>
    </row>
    <row r="387" spans="5:5" x14ac:dyDescent="0.35">
      <c r="E387"/>
    </row>
    <row r="388" spans="5:5" x14ac:dyDescent="0.35">
      <c r="E388"/>
    </row>
    <row r="389" spans="5:5" x14ac:dyDescent="0.35">
      <c r="E389"/>
    </row>
    <row r="390" spans="5:5" x14ac:dyDescent="0.35">
      <c r="E390"/>
    </row>
    <row r="391" spans="5:5" x14ac:dyDescent="0.35">
      <c r="E391"/>
    </row>
    <row r="392" spans="5:5" x14ac:dyDescent="0.35">
      <c r="E392"/>
    </row>
    <row r="393" spans="5:5" x14ac:dyDescent="0.35">
      <c r="E393"/>
    </row>
    <row r="394" spans="5:5" x14ac:dyDescent="0.35">
      <c r="E394"/>
    </row>
    <row r="395" spans="5:5" x14ac:dyDescent="0.35">
      <c r="E395"/>
    </row>
    <row r="396" spans="5:5" x14ac:dyDescent="0.35">
      <c r="E396"/>
    </row>
    <row r="397" spans="5:5" x14ac:dyDescent="0.35">
      <c r="E397"/>
    </row>
    <row r="398" spans="5:5" x14ac:dyDescent="0.35">
      <c r="E398"/>
    </row>
    <row r="399" spans="5:5" x14ac:dyDescent="0.35">
      <c r="E399"/>
    </row>
    <row r="400" spans="5:5" x14ac:dyDescent="0.35">
      <c r="E400"/>
    </row>
    <row r="401" spans="5:5" x14ac:dyDescent="0.35">
      <c r="E401"/>
    </row>
    <row r="402" spans="5:5" x14ac:dyDescent="0.35">
      <c r="E402"/>
    </row>
    <row r="403" spans="5:5" x14ac:dyDescent="0.35">
      <c r="E403"/>
    </row>
    <row r="404" spans="5:5" x14ac:dyDescent="0.35">
      <c r="E404"/>
    </row>
    <row r="405" spans="5:5" x14ac:dyDescent="0.35">
      <c r="E405"/>
    </row>
    <row r="406" spans="5:5" x14ac:dyDescent="0.35">
      <c r="E406"/>
    </row>
    <row r="407" spans="5:5" x14ac:dyDescent="0.35">
      <c r="E407"/>
    </row>
    <row r="408" spans="5:5" x14ac:dyDescent="0.35">
      <c r="E408"/>
    </row>
    <row r="409" spans="5:5" x14ac:dyDescent="0.35">
      <c r="E409"/>
    </row>
    <row r="410" spans="5:5" x14ac:dyDescent="0.35">
      <c r="E410"/>
    </row>
    <row r="411" spans="5:5" x14ac:dyDescent="0.35">
      <c r="E411"/>
    </row>
    <row r="412" spans="5:5" x14ac:dyDescent="0.35">
      <c r="E412"/>
    </row>
    <row r="413" spans="5:5" x14ac:dyDescent="0.35">
      <c r="E413"/>
    </row>
    <row r="414" spans="5:5" x14ac:dyDescent="0.35">
      <c r="E414"/>
    </row>
    <row r="415" spans="5:5" x14ac:dyDescent="0.35">
      <c r="E415"/>
    </row>
    <row r="416" spans="5:5" x14ac:dyDescent="0.35">
      <c r="E416"/>
    </row>
    <row r="417" spans="5:5" x14ac:dyDescent="0.35">
      <c r="E417"/>
    </row>
    <row r="418" spans="5:5" x14ac:dyDescent="0.35">
      <c r="E418"/>
    </row>
    <row r="419" spans="5:5" x14ac:dyDescent="0.35">
      <c r="E419"/>
    </row>
    <row r="420" spans="5:5" x14ac:dyDescent="0.35">
      <c r="E420"/>
    </row>
    <row r="421" spans="5:5" x14ac:dyDescent="0.35">
      <c r="E421"/>
    </row>
    <row r="422" spans="5:5" x14ac:dyDescent="0.35">
      <c r="E422"/>
    </row>
    <row r="423" spans="5:5" x14ac:dyDescent="0.35">
      <c r="E423"/>
    </row>
    <row r="424" spans="5:5" x14ac:dyDescent="0.35">
      <c r="E424"/>
    </row>
    <row r="425" spans="5:5" x14ac:dyDescent="0.35">
      <c r="E425"/>
    </row>
    <row r="426" spans="5:5" x14ac:dyDescent="0.35">
      <c r="E426"/>
    </row>
    <row r="427" spans="5:5" x14ac:dyDescent="0.35">
      <c r="E427"/>
    </row>
    <row r="428" spans="5:5" x14ac:dyDescent="0.35">
      <c r="E428"/>
    </row>
    <row r="429" spans="5:5" x14ac:dyDescent="0.35">
      <c r="E429"/>
    </row>
    <row r="430" spans="5:5" x14ac:dyDescent="0.35">
      <c r="E430"/>
    </row>
    <row r="431" spans="5:5" x14ac:dyDescent="0.35">
      <c r="E431"/>
    </row>
    <row r="432" spans="5:5" x14ac:dyDescent="0.35">
      <c r="E432"/>
    </row>
    <row r="433" spans="5:5" x14ac:dyDescent="0.35">
      <c r="E433"/>
    </row>
    <row r="434" spans="5:5" x14ac:dyDescent="0.35">
      <c r="E434"/>
    </row>
    <row r="435" spans="5:5" x14ac:dyDescent="0.35">
      <c r="E435"/>
    </row>
    <row r="436" spans="5:5" x14ac:dyDescent="0.35">
      <c r="E436"/>
    </row>
    <row r="437" spans="5:5" x14ac:dyDescent="0.35">
      <c r="E437"/>
    </row>
    <row r="438" spans="5:5" x14ac:dyDescent="0.35">
      <c r="E438"/>
    </row>
    <row r="439" spans="5:5" x14ac:dyDescent="0.35">
      <c r="E439"/>
    </row>
    <row r="440" spans="5:5" x14ac:dyDescent="0.35">
      <c r="E440"/>
    </row>
    <row r="441" spans="5:5" x14ac:dyDescent="0.35">
      <c r="E441"/>
    </row>
    <row r="442" spans="5:5" x14ac:dyDescent="0.35">
      <c r="E442"/>
    </row>
    <row r="443" spans="5:5" x14ac:dyDescent="0.35">
      <c r="E443"/>
    </row>
    <row r="444" spans="5:5" x14ac:dyDescent="0.35">
      <c r="E444"/>
    </row>
    <row r="445" spans="5:5" x14ac:dyDescent="0.35">
      <c r="E445"/>
    </row>
    <row r="446" spans="5:5" x14ac:dyDescent="0.35">
      <c r="E446"/>
    </row>
    <row r="447" spans="5:5" x14ac:dyDescent="0.35">
      <c r="E447"/>
    </row>
    <row r="448" spans="5:5" x14ac:dyDescent="0.35">
      <c r="E448"/>
    </row>
    <row r="449" spans="5:5" x14ac:dyDescent="0.35">
      <c r="E449"/>
    </row>
    <row r="450" spans="5:5" x14ac:dyDescent="0.35">
      <c r="E450"/>
    </row>
    <row r="451" spans="5:5" x14ac:dyDescent="0.35">
      <c r="E451"/>
    </row>
    <row r="452" spans="5:5" x14ac:dyDescent="0.35">
      <c r="E452"/>
    </row>
    <row r="453" spans="5:5" x14ac:dyDescent="0.35">
      <c r="E453"/>
    </row>
    <row r="454" spans="5:5" x14ac:dyDescent="0.35">
      <c r="E454"/>
    </row>
    <row r="455" spans="5:5" x14ac:dyDescent="0.35">
      <c r="E455"/>
    </row>
    <row r="456" spans="5:5" x14ac:dyDescent="0.35">
      <c r="E456"/>
    </row>
    <row r="457" spans="5:5" x14ac:dyDescent="0.35">
      <c r="E457"/>
    </row>
    <row r="458" spans="5:5" x14ac:dyDescent="0.35">
      <c r="E458"/>
    </row>
    <row r="459" spans="5:5" x14ac:dyDescent="0.35">
      <c r="E459"/>
    </row>
    <row r="460" spans="5:5" x14ac:dyDescent="0.35">
      <c r="E460"/>
    </row>
    <row r="461" spans="5:5" x14ac:dyDescent="0.35">
      <c r="E461"/>
    </row>
    <row r="462" spans="5:5" x14ac:dyDescent="0.35">
      <c r="E462"/>
    </row>
    <row r="463" spans="5:5" x14ac:dyDescent="0.35">
      <c r="E463"/>
    </row>
    <row r="464" spans="5:5" x14ac:dyDescent="0.35">
      <c r="E464"/>
    </row>
    <row r="465" spans="5:5" x14ac:dyDescent="0.35">
      <c r="E465"/>
    </row>
    <row r="466" spans="5:5" x14ac:dyDescent="0.35">
      <c r="E466"/>
    </row>
    <row r="467" spans="5:5" x14ac:dyDescent="0.35">
      <c r="E467"/>
    </row>
    <row r="468" spans="5:5" x14ac:dyDescent="0.35">
      <c r="E468"/>
    </row>
    <row r="469" spans="5:5" x14ac:dyDescent="0.35">
      <c r="E469"/>
    </row>
    <row r="470" spans="5:5" x14ac:dyDescent="0.35">
      <c r="E470"/>
    </row>
    <row r="471" spans="5:5" x14ac:dyDescent="0.35">
      <c r="E471"/>
    </row>
    <row r="472" spans="5:5" x14ac:dyDescent="0.35">
      <c r="E472"/>
    </row>
    <row r="473" spans="5:5" x14ac:dyDescent="0.35">
      <c r="E473"/>
    </row>
    <row r="474" spans="5:5" x14ac:dyDescent="0.35">
      <c r="E474"/>
    </row>
    <row r="475" spans="5:5" x14ac:dyDescent="0.35">
      <c r="E475"/>
    </row>
    <row r="476" spans="5:5" x14ac:dyDescent="0.35">
      <c r="E476"/>
    </row>
    <row r="477" spans="5:5" x14ac:dyDescent="0.35">
      <c r="E477"/>
    </row>
    <row r="478" spans="5:5" x14ac:dyDescent="0.35">
      <c r="E478"/>
    </row>
    <row r="479" spans="5:5" x14ac:dyDescent="0.35">
      <c r="E479"/>
    </row>
    <row r="480" spans="5:5" x14ac:dyDescent="0.35">
      <c r="E480"/>
    </row>
    <row r="481" spans="5:5" x14ac:dyDescent="0.35">
      <c r="E481"/>
    </row>
    <row r="482" spans="5:5" x14ac:dyDescent="0.35">
      <c r="E482"/>
    </row>
    <row r="483" spans="5:5" x14ac:dyDescent="0.35">
      <c r="E483"/>
    </row>
    <row r="484" spans="5:5" x14ac:dyDescent="0.35">
      <c r="E484"/>
    </row>
    <row r="485" spans="5:5" x14ac:dyDescent="0.35">
      <c r="E485"/>
    </row>
    <row r="486" spans="5:5" x14ac:dyDescent="0.35">
      <c r="E486"/>
    </row>
    <row r="487" spans="5:5" x14ac:dyDescent="0.35">
      <c r="E487"/>
    </row>
    <row r="488" spans="5:5" x14ac:dyDescent="0.35">
      <c r="E488"/>
    </row>
    <row r="489" spans="5:5" x14ac:dyDescent="0.35">
      <c r="E489"/>
    </row>
    <row r="490" spans="5:5" x14ac:dyDescent="0.35">
      <c r="E490"/>
    </row>
    <row r="491" spans="5:5" x14ac:dyDescent="0.35">
      <c r="E491"/>
    </row>
    <row r="492" spans="5:5" x14ac:dyDescent="0.35">
      <c r="E492"/>
    </row>
    <row r="493" spans="5:5" x14ac:dyDescent="0.35">
      <c r="E493"/>
    </row>
    <row r="494" spans="5:5" x14ac:dyDescent="0.35">
      <c r="E494"/>
    </row>
    <row r="495" spans="5:5" x14ac:dyDescent="0.35">
      <c r="E495"/>
    </row>
    <row r="496" spans="5:5" x14ac:dyDescent="0.35">
      <c r="E496"/>
    </row>
    <row r="497" spans="5:5" x14ac:dyDescent="0.35">
      <c r="E497"/>
    </row>
    <row r="498" spans="5:5" x14ac:dyDescent="0.35">
      <c r="E498"/>
    </row>
    <row r="499" spans="5:5" x14ac:dyDescent="0.35">
      <c r="E499"/>
    </row>
    <row r="500" spans="5:5" x14ac:dyDescent="0.35">
      <c r="E500"/>
    </row>
    <row r="501" spans="5:5" x14ac:dyDescent="0.35">
      <c r="E501"/>
    </row>
    <row r="502" spans="5:5" x14ac:dyDescent="0.35">
      <c r="E502"/>
    </row>
    <row r="503" spans="5:5" x14ac:dyDescent="0.35">
      <c r="E503"/>
    </row>
    <row r="504" spans="5:5" x14ac:dyDescent="0.35">
      <c r="E504"/>
    </row>
    <row r="505" spans="5:5" x14ac:dyDescent="0.35">
      <c r="E505"/>
    </row>
    <row r="506" spans="5:5" x14ac:dyDescent="0.35">
      <c r="E506"/>
    </row>
    <row r="507" spans="5:5" x14ac:dyDescent="0.35">
      <c r="E507"/>
    </row>
    <row r="508" spans="5:5" x14ac:dyDescent="0.35">
      <c r="E508"/>
    </row>
    <row r="509" spans="5:5" x14ac:dyDescent="0.35">
      <c r="E509"/>
    </row>
    <row r="510" spans="5:5" x14ac:dyDescent="0.35">
      <c r="E510"/>
    </row>
    <row r="511" spans="5:5" x14ac:dyDescent="0.35">
      <c r="E511"/>
    </row>
    <row r="512" spans="5:5" x14ac:dyDescent="0.35">
      <c r="E512"/>
    </row>
    <row r="513" spans="5:5" x14ac:dyDescent="0.35">
      <c r="E513"/>
    </row>
    <row r="514" spans="5:5" x14ac:dyDescent="0.35">
      <c r="E514"/>
    </row>
    <row r="515" spans="5:5" x14ac:dyDescent="0.35">
      <c r="E515"/>
    </row>
    <row r="516" spans="5:5" x14ac:dyDescent="0.35">
      <c r="E516"/>
    </row>
    <row r="517" spans="5:5" x14ac:dyDescent="0.35">
      <c r="E517"/>
    </row>
    <row r="518" spans="5:5" x14ac:dyDescent="0.35">
      <c r="E518"/>
    </row>
    <row r="519" spans="5:5" x14ac:dyDescent="0.35">
      <c r="E519"/>
    </row>
    <row r="520" spans="5:5" x14ac:dyDescent="0.35">
      <c r="E520"/>
    </row>
    <row r="521" spans="5:5" x14ac:dyDescent="0.35">
      <c r="E521"/>
    </row>
    <row r="522" spans="5:5" x14ac:dyDescent="0.35">
      <c r="E522"/>
    </row>
    <row r="523" spans="5:5" x14ac:dyDescent="0.35">
      <c r="E523"/>
    </row>
    <row r="524" spans="5:5" x14ac:dyDescent="0.35">
      <c r="E524"/>
    </row>
    <row r="525" spans="5:5" x14ac:dyDescent="0.35">
      <c r="E525"/>
    </row>
    <row r="526" spans="5:5" x14ac:dyDescent="0.35">
      <c r="E526"/>
    </row>
    <row r="527" spans="5:5" x14ac:dyDescent="0.35">
      <c r="E527"/>
    </row>
    <row r="528" spans="5:5" x14ac:dyDescent="0.35">
      <c r="E528"/>
    </row>
    <row r="529" spans="5:5" x14ac:dyDescent="0.35">
      <c r="E529"/>
    </row>
    <row r="530" spans="5:5" x14ac:dyDescent="0.35">
      <c r="E530"/>
    </row>
    <row r="531" spans="5:5" x14ac:dyDescent="0.35">
      <c r="E531"/>
    </row>
    <row r="532" spans="5:5" x14ac:dyDescent="0.35">
      <c r="E532"/>
    </row>
    <row r="533" spans="5:5" x14ac:dyDescent="0.35">
      <c r="E533"/>
    </row>
    <row r="534" spans="5:5" x14ac:dyDescent="0.35">
      <c r="E534"/>
    </row>
    <row r="535" spans="5:5" x14ac:dyDescent="0.35">
      <c r="E535"/>
    </row>
    <row r="536" spans="5:5" x14ac:dyDescent="0.35">
      <c r="E536"/>
    </row>
    <row r="537" spans="5:5" x14ac:dyDescent="0.35">
      <c r="E537"/>
    </row>
    <row r="538" spans="5:5" x14ac:dyDescent="0.35">
      <c r="E538"/>
    </row>
    <row r="539" spans="5:5" x14ac:dyDescent="0.35">
      <c r="E539"/>
    </row>
    <row r="540" spans="5:5" x14ac:dyDescent="0.35">
      <c r="E540"/>
    </row>
    <row r="541" spans="5:5" x14ac:dyDescent="0.35">
      <c r="E541"/>
    </row>
    <row r="542" spans="5:5" x14ac:dyDescent="0.35">
      <c r="E542"/>
    </row>
    <row r="543" spans="5:5" x14ac:dyDescent="0.35">
      <c r="E543"/>
    </row>
    <row r="544" spans="5:5" x14ac:dyDescent="0.35">
      <c r="E544"/>
    </row>
    <row r="545" spans="5:5" x14ac:dyDescent="0.35">
      <c r="E545"/>
    </row>
    <row r="546" spans="5:5" x14ac:dyDescent="0.35">
      <c r="E546"/>
    </row>
    <row r="547" spans="5:5" x14ac:dyDescent="0.35">
      <c r="E547"/>
    </row>
    <row r="548" spans="5:5" x14ac:dyDescent="0.35">
      <c r="E548"/>
    </row>
    <row r="549" spans="5:5" x14ac:dyDescent="0.35">
      <c r="E549"/>
    </row>
    <row r="550" spans="5:5" x14ac:dyDescent="0.35">
      <c r="E550"/>
    </row>
    <row r="551" spans="5:5" x14ac:dyDescent="0.35">
      <c r="E551"/>
    </row>
    <row r="552" spans="5:5" x14ac:dyDescent="0.35">
      <c r="E552"/>
    </row>
    <row r="553" spans="5:5" x14ac:dyDescent="0.35">
      <c r="E553"/>
    </row>
    <row r="554" spans="5:5" x14ac:dyDescent="0.35">
      <c r="E554"/>
    </row>
    <row r="555" spans="5:5" x14ac:dyDescent="0.35">
      <c r="E555"/>
    </row>
    <row r="556" spans="5:5" x14ac:dyDescent="0.35">
      <c r="E556"/>
    </row>
    <row r="557" spans="5:5" x14ac:dyDescent="0.35">
      <c r="E557"/>
    </row>
    <row r="558" spans="5:5" x14ac:dyDescent="0.35">
      <c r="E558"/>
    </row>
    <row r="559" spans="5:5" x14ac:dyDescent="0.35">
      <c r="E559"/>
    </row>
    <row r="560" spans="5:5" x14ac:dyDescent="0.35">
      <c r="E560"/>
    </row>
    <row r="561" spans="5:5" x14ac:dyDescent="0.35">
      <c r="E561"/>
    </row>
    <row r="562" spans="5:5" x14ac:dyDescent="0.35">
      <c r="E562"/>
    </row>
    <row r="563" spans="5:5" x14ac:dyDescent="0.35">
      <c r="E563"/>
    </row>
    <row r="564" spans="5:5" x14ac:dyDescent="0.35">
      <c r="E564"/>
    </row>
    <row r="565" spans="5:5" x14ac:dyDescent="0.35">
      <c r="E565"/>
    </row>
    <row r="566" spans="5:5" x14ac:dyDescent="0.35">
      <c r="E566"/>
    </row>
    <row r="567" spans="5:5" x14ac:dyDescent="0.35">
      <c r="E567"/>
    </row>
    <row r="568" spans="5:5" x14ac:dyDescent="0.35">
      <c r="E568"/>
    </row>
    <row r="569" spans="5:5" x14ac:dyDescent="0.35">
      <c r="E569"/>
    </row>
    <row r="570" spans="5:5" x14ac:dyDescent="0.35">
      <c r="E570"/>
    </row>
    <row r="571" spans="5:5" x14ac:dyDescent="0.35">
      <c r="E571"/>
    </row>
    <row r="572" spans="5:5" x14ac:dyDescent="0.35">
      <c r="E572"/>
    </row>
    <row r="573" spans="5:5" x14ac:dyDescent="0.35">
      <c r="E573"/>
    </row>
    <row r="574" spans="5:5" x14ac:dyDescent="0.35">
      <c r="E574"/>
    </row>
    <row r="575" spans="5:5" x14ac:dyDescent="0.35">
      <c r="E575"/>
    </row>
    <row r="576" spans="5:5" x14ac:dyDescent="0.35">
      <c r="E576"/>
    </row>
    <row r="577" spans="5:5" x14ac:dyDescent="0.35">
      <c r="E577"/>
    </row>
    <row r="578" spans="5:5" x14ac:dyDescent="0.35">
      <c r="E578"/>
    </row>
    <row r="579" spans="5:5" x14ac:dyDescent="0.35">
      <c r="E579"/>
    </row>
    <row r="580" spans="5:5" x14ac:dyDescent="0.35">
      <c r="E580"/>
    </row>
    <row r="581" spans="5:5" x14ac:dyDescent="0.35">
      <c r="E581"/>
    </row>
    <row r="582" spans="5:5" x14ac:dyDescent="0.35">
      <c r="E582"/>
    </row>
    <row r="583" spans="5:5" x14ac:dyDescent="0.35">
      <c r="E583"/>
    </row>
    <row r="584" spans="5:5" x14ac:dyDescent="0.35">
      <c r="E584"/>
    </row>
    <row r="585" spans="5:5" x14ac:dyDescent="0.35">
      <c r="E585"/>
    </row>
    <row r="586" spans="5:5" x14ac:dyDescent="0.35">
      <c r="E586"/>
    </row>
    <row r="587" spans="5:5" x14ac:dyDescent="0.35">
      <c r="E587"/>
    </row>
    <row r="588" spans="5:5" x14ac:dyDescent="0.35">
      <c r="E588"/>
    </row>
    <row r="589" spans="5:5" x14ac:dyDescent="0.35">
      <c r="E589"/>
    </row>
    <row r="590" spans="5:5" x14ac:dyDescent="0.35">
      <c r="E590"/>
    </row>
    <row r="591" spans="5:5" x14ac:dyDescent="0.35">
      <c r="E591"/>
    </row>
    <row r="592" spans="5:5" x14ac:dyDescent="0.35">
      <c r="E592"/>
    </row>
    <row r="593" spans="5:5" x14ac:dyDescent="0.35">
      <c r="E593"/>
    </row>
    <row r="594" spans="5:5" x14ac:dyDescent="0.35">
      <c r="E594"/>
    </row>
    <row r="595" spans="5:5" x14ac:dyDescent="0.35">
      <c r="E595"/>
    </row>
    <row r="596" spans="5:5" x14ac:dyDescent="0.35">
      <c r="E596"/>
    </row>
    <row r="597" spans="5:5" x14ac:dyDescent="0.35">
      <c r="E597"/>
    </row>
    <row r="598" spans="5:5" x14ac:dyDescent="0.35">
      <c r="E598"/>
    </row>
    <row r="599" spans="5:5" x14ac:dyDescent="0.35">
      <c r="E599"/>
    </row>
    <row r="600" spans="5:5" x14ac:dyDescent="0.35">
      <c r="E600"/>
    </row>
    <row r="601" spans="5:5" x14ac:dyDescent="0.35">
      <c r="E601"/>
    </row>
    <row r="602" spans="5:5" x14ac:dyDescent="0.35">
      <c r="E602"/>
    </row>
    <row r="603" spans="5:5" x14ac:dyDescent="0.35">
      <c r="E603"/>
    </row>
    <row r="604" spans="5:5" x14ac:dyDescent="0.35">
      <c r="E604"/>
    </row>
    <row r="605" spans="5:5" x14ac:dyDescent="0.35">
      <c r="E605"/>
    </row>
    <row r="606" spans="5:5" x14ac:dyDescent="0.35">
      <c r="E606"/>
    </row>
    <row r="607" spans="5:5" x14ac:dyDescent="0.35">
      <c r="E607"/>
    </row>
    <row r="608" spans="5:5" x14ac:dyDescent="0.35">
      <c r="E608"/>
    </row>
    <row r="609" spans="5:5" x14ac:dyDescent="0.35">
      <c r="E609"/>
    </row>
    <row r="610" spans="5:5" x14ac:dyDescent="0.35">
      <c r="E610"/>
    </row>
    <row r="611" spans="5:5" x14ac:dyDescent="0.35">
      <c r="E611"/>
    </row>
    <row r="612" spans="5:5" x14ac:dyDescent="0.35">
      <c r="E612"/>
    </row>
    <row r="613" spans="5:5" x14ac:dyDescent="0.35">
      <c r="E613"/>
    </row>
    <row r="614" spans="5:5" x14ac:dyDescent="0.35">
      <c r="E614"/>
    </row>
    <row r="615" spans="5:5" x14ac:dyDescent="0.35">
      <c r="E615"/>
    </row>
    <row r="616" spans="5:5" x14ac:dyDescent="0.35">
      <c r="E616"/>
    </row>
    <row r="617" spans="5:5" x14ac:dyDescent="0.35">
      <c r="E617"/>
    </row>
    <row r="618" spans="5:5" x14ac:dyDescent="0.35">
      <c r="E618"/>
    </row>
    <row r="619" spans="5:5" x14ac:dyDescent="0.35">
      <c r="E619"/>
    </row>
    <row r="620" spans="5:5" x14ac:dyDescent="0.35">
      <c r="E620"/>
    </row>
    <row r="621" spans="5:5" x14ac:dyDescent="0.35">
      <c r="E621"/>
    </row>
    <row r="622" spans="5:5" x14ac:dyDescent="0.35">
      <c r="E622"/>
    </row>
    <row r="623" spans="5:5" x14ac:dyDescent="0.35">
      <c r="E623"/>
    </row>
    <row r="624" spans="5:5" x14ac:dyDescent="0.35">
      <c r="E624"/>
    </row>
    <row r="625" spans="5:5" x14ac:dyDescent="0.35">
      <c r="E625"/>
    </row>
    <row r="626" spans="5:5" x14ac:dyDescent="0.35">
      <c r="E626"/>
    </row>
    <row r="627" spans="5:5" x14ac:dyDescent="0.35">
      <c r="E627"/>
    </row>
    <row r="628" spans="5:5" x14ac:dyDescent="0.35">
      <c r="E628"/>
    </row>
    <row r="629" spans="5:5" x14ac:dyDescent="0.35">
      <c r="E629"/>
    </row>
    <row r="630" spans="5:5" x14ac:dyDescent="0.35">
      <c r="E630"/>
    </row>
    <row r="631" spans="5:5" x14ac:dyDescent="0.35">
      <c r="E631"/>
    </row>
    <row r="632" spans="5:5" x14ac:dyDescent="0.35">
      <c r="E632"/>
    </row>
    <row r="633" spans="5:5" x14ac:dyDescent="0.35">
      <c r="E633"/>
    </row>
    <row r="634" spans="5:5" x14ac:dyDescent="0.35">
      <c r="E634"/>
    </row>
    <row r="635" spans="5:5" x14ac:dyDescent="0.35">
      <c r="E635"/>
    </row>
    <row r="636" spans="5:5" x14ac:dyDescent="0.35">
      <c r="E636"/>
    </row>
    <row r="637" spans="5:5" x14ac:dyDescent="0.35">
      <c r="E637"/>
    </row>
    <row r="638" spans="5:5" x14ac:dyDescent="0.35">
      <c r="E638"/>
    </row>
    <row r="639" spans="5:5" x14ac:dyDescent="0.35">
      <c r="E639"/>
    </row>
    <row r="640" spans="5:5" x14ac:dyDescent="0.35">
      <c r="E640"/>
    </row>
    <row r="641" spans="5:5" x14ac:dyDescent="0.35">
      <c r="E641"/>
    </row>
    <row r="642" spans="5:5" x14ac:dyDescent="0.35">
      <c r="E642"/>
    </row>
    <row r="643" spans="5:5" x14ac:dyDescent="0.35">
      <c r="E643"/>
    </row>
    <row r="644" spans="5:5" x14ac:dyDescent="0.35">
      <c r="E644"/>
    </row>
    <row r="645" spans="5:5" x14ac:dyDescent="0.35">
      <c r="E645"/>
    </row>
    <row r="646" spans="5:5" x14ac:dyDescent="0.35">
      <c r="E646"/>
    </row>
    <row r="647" spans="5:5" x14ac:dyDescent="0.35">
      <c r="E647"/>
    </row>
    <row r="648" spans="5:5" x14ac:dyDescent="0.35">
      <c r="E648"/>
    </row>
    <row r="649" spans="5:5" x14ac:dyDescent="0.35">
      <c r="E649"/>
    </row>
    <row r="650" spans="5:5" x14ac:dyDescent="0.35">
      <c r="E650"/>
    </row>
    <row r="651" spans="5:5" x14ac:dyDescent="0.35">
      <c r="E651"/>
    </row>
    <row r="652" spans="5:5" x14ac:dyDescent="0.35">
      <c r="E652"/>
    </row>
    <row r="653" spans="5:5" x14ac:dyDescent="0.35">
      <c r="E653"/>
    </row>
    <row r="654" spans="5:5" x14ac:dyDescent="0.35">
      <c r="E654"/>
    </row>
    <row r="655" spans="5:5" x14ac:dyDescent="0.35">
      <c r="E655"/>
    </row>
    <row r="656" spans="5:5" x14ac:dyDescent="0.35">
      <c r="E656"/>
    </row>
    <row r="657" spans="5:5" x14ac:dyDescent="0.35">
      <c r="E657"/>
    </row>
    <row r="658" spans="5:5" x14ac:dyDescent="0.35">
      <c r="E658"/>
    </row>
    <row r="659" spans="5:5" x14ac:dyDescent="0.35">
      <c r="E659"/>
    </row>
    <row r="660" spans="5:5" x14ac:dyDescent="0.35">
      <c r="E660"/>
    </row>
    <row r="661" spans="5:5" x14ac:dyDescent="0.35">
      <c r="E661"/>
    </row>
    <row r="662" spans="5:5" x14ac:dyDescent="0.35">
      <c r="E662"/>
    </row>
    <row r="663" spans="5:5" x14ac:dyDescent="0.35">
      <c r="E663"/>
    </row>
    <row r="664" spans="5:5" x14ac:dyDescent="0.35">
      <c r="E664"/>
    </row>
    <row r="665" spans="5:5" x14ac:dyDescent="0.35">
      <c r="E665"/>
    </row>
    <row r="666" spans="5:5" x14ac:dyDescent="0.35">
      <c r="E666"/>
    </row>
    <row r="667" spans="5:5" x14ac:dyDescent="0.35">
      <c r="E667"/>
    </row>
    <row r="668" spans="5:5" x14ac:dyDescent="0.35">
      <c r="E668"/>
    </row>
    <row r="669" spans="5:5" x14ac:dyDescent="0.35">
      <c r="E669"/>
    </row>
    <row r="670" spans="5:5" x14ac:dyDescent="0.35">
      <c r="E670"/>
    </row>
    <row r="671" spans="5:5" x14ac:dyDescent="0.35">
      <c r="E671"/>
    </row>
    <row r="672" spans="5:5" x14ac:dyDescent="0.35">
      <c r="E672"/>
    </row>
    <row r="673" spans="5:5" x14ac:dyDescent="0.35">
      <c r="E673"/>
    </row>
    <row r="674" spans="5:5" x14ac:dyDescent="0.35">
      <c r="E674"/>
    </row>
    <row r="675" spans="5:5" x14ac:dyDescent="0.35">
      <c r="E675"/>
    </row>
    <row r="676" spans="5:5" x14ac:dyDescent="0.35">
      <c r="E676"/>
    </row>
    <row r="677" spans="5:5" x14ac:dyDescent="0.35">
      <c r="E677"/>
    </row>
    <row r="678" spans="5:5" x14ac:dyDescent="0.35">
      <c r="E678"/>
    </row>
    <row r="679" spans="5:5" x14ac:dyDescent="0.35">
      <c r="E679"/>
    </row>
    <row r="680" spans="5:5" x14ac:dyDescent="0.35">
      <c r="E680"/>
    </row>
    <row r="681" spans="5:5" x14ac:dyDescent="0.35">
      <c r="E681"/>
    </row>
    <row r="682" spans="5:5" x14ac:dyDescent="0.35">
      <c r="E682"/>
    </row>
    <row r="683" spans="5:5" x14ac:dyDescent="0.35">
      <c r="E683"/>
    </row>
    <row r="684" spans="5:5" x14ac:dyDescent="0.35">
      <c r="E684"/>
    </row>
    <row r="685" spans="5:5" x14ac:dyDescent="0.35">
      <c r="E685"/>
    </row>
    <row r="686" spans="5:5" x14ac:dyDescent="0.35">
      <c r="E686"/>
    </row>
    <row r="687" spans="5:5" x14ac:dyDescent="0.35">
      <c r="E687"/>
    </row>
    <row r="688" spans="5:5" x14ac:dyDescent="0.35">
      <c r="E688"/>
    </row>
    <row r="689" spans="5:5" x14ac:dyDescent="0.35">
      <c r="E689"/>
    </row>
    <row r="690" spans="5:5" x14ac:dyDescent="0.35">
      <c r="E690"/>
    </row>
    <row r="691" spans="5:5" x14ac:dyDescent="0.35">
      <c r="E691"/>
    </row>
    <row r="692" spans="5:5" x14ac:dyDescent="0.35">
      <c r="E692"/>
    </row>
    <row r="693" spans="5:5" x14ac:dyDescent="0.35">
      <c r="E693"/>
    </row>
    <row r="694" spans="5:5" x14ac:dyDescent="0.35">
      <c r="E694"/>
    </row>
    <row r="695" spans="5:5" x14ac:dyDescent="0.35">
      <c r="E695"/>
    </row>
    <row r="696" spans="5:5" x14ac:dyDescent="0.35">
      <c r="E696"/>
    </row>
    <row r="697" spans="5:5" x14ac:dyDescent="0.35">
      <c r="E697"/>
    </row>
    <row r="698" spans="5:5" x14ac:dyDescent="0.35">
      <c r="E698"/>
    </row>
    <row r="699" spans="5:5" x14ac:dyDescent="0.35">
      <c r="E699"/>
    </row>
    <row r="700" spans="5:5" x14ac:dyDescent="0.35">
      <c r="E700"/>
    </row>
    <row r="701" spans="5:5" x14ac:dyDescent="0.35">
      <c r="E701"/>
    </row>
    <row r="702" spans="5:5" x14ac:dyDescent="0.35">
      <c r="E702"/>
    </row>
    <row r="703" spans="5:5" x14ac:dyDescent="0.35">
      <c r="E703"/>
    </row>
    <row r="704" spans="5:5" x14ac:dyDescent="0.35">
      <c r="E704"/>
    </row>
    <row r="705" spans="5:5" x14ac:dyDescent="0.35">
      <c r="E705"/>
    </row>
    <row r="706" spans="5:5" x14ac:dyDescent="0.35">
      <c r="E706"/>
    </row>
    <row r="707" spans="5:5" x14ac:dyDescent="0.35">
      <c r="E707"/>
    </row>
    <row r="708" spans="5:5" x14ac:dyDescent="0.35">
      <c r="E708"/>
    </row>
    <row r="709" spans="5:5" x14ac:dyDescent="0.35">
      <c r="E709"/>
    </row>
    <row r="710" spans="5:5" x14ac:dyDescent="0.35">
      <c r="E710"/>
    </row>
    <row r="711" spans="5:5" x14ac:dyDescent="0.35">
      <c r="E711"/>
    </row>
    <row r="712" spans="5:5" x14ac:dyDescent="0.35">
      <c r="E712"/>
    </row>
    <row r="713" spans="5:5" x14ac:dyDescent="0.35">
      <c r="E713"/>
    </row>
    <row r="714" spans="5:5" x14ac:dyDescent="0.35">
      <c r="E714"/>
    </row>
    <row r="715" spans="5:5" x14ac:dyDescent="0.35">
      <c r="E715"/>
    </row>
    <row r="716" spans="5:5" x14ac:dyDescent="0.35">
      <c r="E716"/>
    </row>
    <row r="717" spans="5:5" x14ac:dyDescent="0.35">
      <c r="E717"/>
    </row>
    <row r="718" spans="5:5" x14ac:dyDescent="0.35">
      <c r="E718"/>
    </row>
    <row r="719" spans="5:5" x14ac:dyDescent="0.35">
      <c r="E719"/>
    </row>
    <row r="720" spans="5:5" x14ac:dyDescent="0.35">
      <c r="E720"/>
    </row>
    <row r="721" spans="5:5" x14ac:dyDescent="0.35">
      <c r="E721"/>
    </row>
    <row r="722" spans="5:5" x14ac:dyDescent="0.35">
      <c r="E722"/>
    </row>
    <row r="723" spans="5:5" x14ac:dyDescent="0.35">
      <c r="E723"/>
    </row>
    <row r="724" spans="5:5" x14ac:dyDescent="0.35">
      <c r="E724"/>
    </row>
    <row r="725" spans="5:5" x14ac:dyDescent="0.35">
      <c r="E725"/>
    </row>
    <row r="726" spans="5:5" x14ac:dyDescent="0.35">
      <c r="E726"/>
    </row>
    <row r="727" spans="5:5" x14ac:dyDescent="0.35">
      <c r="E727"/>
    </row>
    <row r="728" spans="5:5" x14ac:dyDescent="0.35">
      <c r="E728"/>
    </row>
    <row r="729" spans="5:5" x14ac:dyDescent="0.35">
      <c r="E729"/>
    </row>
    <row r="730" spans="5:5" x14ac:dyDescent="0.35">
      <c r="E730"/>
    </row>
    <row r="731" spans="5:5" x14ac:dyDescent="0.35">
      <c r="E731"/>
    </row>
    <row r="732" spans="5:5" x14ac:dyDescent="0.35">
      <c r="E732"/>
    </row>
    <row r="733" spans="5:5" x14ac:dyDescent="0.35">
      <c r="E733"/>
    </row>
    <row r="734" spans="5:5" x14ac:dyDescent="0.35">
      <c r="E734"/>
    </row>
    <row r="735" spans="5:5" x14ac:dyDescent="0.35">
      <c r="E735"/>
    </row>
    <row r="736" spans="5:5" x14ac:dyDescent="0.35">
      <c r="E736"/>
    </row>
    <row r="737" spans="5:5" x14ac:dyDescent="0.35">
      <c r="E737"/>
    </row>
    <row r="738" spans="5:5" x14ac:dyDescent="0.35">
      <c r="E738"/>
    </row>
    <row r="739" spans="5:5" x14ac:dyDescent="0.35">
      <c r="E739"/>
    </row>
    <row r="740" spans="5:5" x14ac:dyDescent="0.35">
      <c r="E740"/>
    </row>
    <row r="741" spans="5:5" x14ac:dyDescent="0.35">
      <c r="E741"/>
    </row>
    <row r="742" spans="5:5" x14ac:dyDescent="0.35">
      <c r="E742"/>
    </row>
    <row r="743" spans="5:5" x14ac:dyDescent="0.35">
      <c r="E743"/>
    </row>
    <row r="744" spans="5:5" x14ac:dyDescent="0.35">
      <c r="E744"/>
    </row>
    <row r="745" spans="5:5" x14ac:dyDescent="0.35">
      <c r="E745"/>
    </row>
    <row r="746" spans="5:5" x14ac:dyDescent="0.35">
      <c r="E746"/>
    </row>
    <row r="747" spans="5:5" x14ac:dyDescent="0.35">
      <c r="E747"/>
    </row>
    <row r="748" spans="5:5" x14ac:dyDescent="0.35">
      <c r="E748"/>
    </row>
    <row r="749" spans="5:5" x14ac:dyDescent="0.35">
      <c r="E749"/>
    </row>
    <row r="750" spans="5:5" x14ac:dyDescent="0.35">
      <c r="E750"/>
    </row>
    <row r="751" spans="5:5" x14ac:dyDescent="0.35">
      <c r="E751"/>
    </row>
    <row r="752" spans="5:5" x14ac:dyDescent="0.35">
      <c r="E752"/>
    </row>
    <row r="753" spans="5:5" x14ac:dyDescent="0.35">
      <c r="E753"/>
    </row>
    <row r="754" spans="5:5" x14ac:dyDescent="0.35">
      <c r="E754"/>
    </row>
    <row r="755" spans="5:5" x14ac:dyDescent="0.35">
      <c r="E755"/>
    </row>
    <row r="756" spans="5:5" x14ac:dyDescent="0.35">
      <c r="E756"/>
    </row>
    <row r="757" spans="5:5" x14ac:dyDescent="0.35">
      <c r="E757"/>
    </row>
    <row r="758" spans="5:5" x14ac:dyDescent="0.35">
      <c r="E758"/>
    </row>
    <row r="759" spans="5:5" x14ac:dyDescent="0.35">
      <c r="E759"/>
    </row>
    <row r="760" spans="5:5" x14ac:dyDescent="0.35">
      <c r="E760"/>
    </row>
    <row r="761" spans="5:5" x14ac:dyDescent="0.35">
      <c r="E761"/>
    </row>
    <row r="762" spans="5:5" x14ac:dyDescent="0.35">
      <c r="E762"/>
    </row>
    <row r="763" spans="5:5" x14ac:dyDescent="0.35">
      <c r="E763"/>
    </row>
    <row r="764" spans="5:5" x14ac:dyDescent="0.35">
      <c r="E764"/>
    </row>
    <row r="765" spans="5:5" x14ac:dyDescent="0.35">
      <c r="E765"/>
    </row>
    <row r="766" spans="5:5" x14ac:dyDescent="0.35">
      <c r="E766"/>
    </row>
    <row r="767" spans="5:5" x14ac:dyDescent="0.35">
      <c r="E767"/>
    </row>
    <row r="768" spans="5:5" x14ac:dyDescent="0.35">
      <c r="E768"/>
    </row>
    <row r="769" spans="5:5" x14ac:dyDescent="0.35">
      <c r="E769"/>
    </row>
    <row r="770" spans="5:5" x14ac:dyDescent="0.35">
      <c r="E770"/>
    </row>
    <row r="771" spans="5:5" x14ac:dyDescent="0.35">
      <c r="E771"/>
    </row>
    <row r="772" spans="5:5" x14ac:dyDescent="0.35">
      <c r="E772"/>
    </row>
    <row r="773" spans="5:5" x14ac:dyDescent="0.35">
      <c r="E773"/>
    </row>
    <row r="774" spans="5:5" x14ac:dyDescent="0.35">
      <c r="E774"/>
    </row>
    <row r="775" spans="5:5" x14ac:dyDescent="0.35">
      <c r="E775"/>
    </row>
    <row r="776" spans="5:5" x14ac:dyDescent="0.35">
      <c r="E776"/>
    </row>
    <row r="777" spans="5:5" x14ac:dyDescent="0.35">
      <c r="E777"/>
    </row>
    <row r="778" spans="5:5" x14ac:dyDescent="0.35">
      <c r="E778"/>
    </row>
    <row r="779" spans="5:5" x14ac:dyDescent="0.35">
      <c r="E779"/>
    </row>
    <row r="780" spans="5:5" x14ac:dyDescent="0.35">
      <c r="E780"/>
    </row>
    <row r="781" spans="5:5" x14ac:dyDescent="0.35">
      <c r="E781"/>
    </row>
    <row r="782" spans="5:5" x14ac:dyDescent="0.35">
      <c r="E782"/>
    </row>
    <row r="783" spans="5:5" x14ac:dyDescent="0.35">
      <c r="E783"/>
    </row>
    <row r="784" spans="5:5" x14ac:dyDescent="0.35">
      <c r="E784"/>
    </row>
    <row r="785" spans="5:5" x14ac:dyDescent="0.35">
      <c r="E785"/>
    </row>
    <row r="786" spans="5:5" x14ac:dyDescent="0.35">
      <c r="E786"/>
    </row>
    <row r="787" spans="5:5" x14ac:dyDescent="0.35">
      <c r="E787"/>
    </row>
    <row r="788" spans="5:5" x14ac:dyDescent="0.35">
      <c r="E788"/>
    </row>
    <row r="789" spans="5:5" x14ac:dyDescent="0.35">
      <c r="E789"/>
    </row>
    <row r="790" spans="5:5" x14ac:dyDescent="0.35">
      <c r="E790"/>
    </row>
    <row r="791" spans="5:5" x14ac:dyDescent="0.35">
      <c r="E791"/>
    </row>
    <row r="792" spans="5:5" x14ac:dyDescent="0.35">
      <c r="E792"/>
    </row>
    <row r="793" spans="5:5" x14ac:dyDescent="0.35">
      <c r="E793"/>
    </row>
    <row r="794" spans="5:5" x14ac:dyDescent="0.35">
      <c r="E794"/>
    </row>
    <row r="795" spans="5:5" x14ac:dyDescent="0.35">
      <c r="E795"/>
    </row>
    <row r="796" spans="5:5" x14ac:dyDescent="0.35">
      <c r="E796"/>
    </row>
    <row r="797" spans="5:5" x14ac:dyDescent="0.35">
      <c r="E797"/>
    </row>
    <row r="798" spans="5:5" x14ac:dyDescent="0.35">
      <c r="E798"/>
    </row>
    <row r="799" spans="5:5" x14ac:dyDescent="0.35">
      <c r="E799"/>
    </row>
    <row r="800" spans="5:5" x14ac:dyDescent="0.35">
      <c r="E800"/>
    </row>
    <row r="801" spans="5:5" x14ac:dyDescent="0.35">
      <c r="E801"/>
    </row>
    <row r="802" spans="5:5" x14ac:dyDescent="0.35">
      <c r="E802"/>
    </row>
    <row r="803" spans="5:5" x14ac:dyDescent="0.35">
      <c r="E803"/>
    </row>
    <row r="804" spans="5:5" x14ac:dyDescent="0.35">
      <c r="E804"/>
    </row>
    <row r="805" spans="5:5" x14ac:dyDescent="0.35">
      <c r="E805"/>
    </row>
    <row r="806" spans="5:5" x14ac:dyDescent="0.35">
      <c r="E806"/>
    </row>
    <row r="807" spans="5:5" x14ac:dyDescent="0.35">
      <c r="E807"/>
    </row>
    <row r="808" spans="5:5" x14ac:dyDescent="0.35">
      <c r="E808"/>
    </row>
    <row r="809" spans="5:5" x14ac:dyDescent="0.35">
      <c r="E809"/>
    </row>
    <row r="810" spans="5:5" x14ac:dyDescent="0.35">
      <c r="E810"/>
    </row>
    <row r="811" spans="5:5" x14ac:dyDescent="0.35">
      <c r="E811"/>
    </row>
    <row r="812" spans="5:5" x14ac:dyDescent="0.35">
      <c r="E812"/>
    </row>
    <row r="813" spans="5:5" x14ac:dyDescent="0.35">
      <c r="E813"/>
    </row>
    <row r="814" spans="5:5" x14ac:dyDescent="0.35">
      <c r="E814"/>
    </row>
    <row r="815" spans="5:5" x14ac:dyDescent="0.35">
      <c r="E815"/>
    </row>
    <row r="816" spans="5:5" x14ac:dyDescent="0.35">
      <c r="E816"/>
    </row>
    <row r="817" spans="5:5" x14ac:dyDescent="0.35">
      <c r="E817"/>
    </row>
    <row r="818" spans="5:5" x14ac:dyDescent="0.35">
      <c r="E818"/>
    </row>
    <row r="819" spans="5:5" x14ac:dyDescent="0.35">
      <c r="E819"/>
    </row>
    <row r="820" spans="5:5" x14ac:dyDescent="0.35">
      <c r="E820"/>
    </row>
    <row r="821" spans="5:5" x14ac:dyDescent="0.35">
      <c r="E821"/>
    </row>
    <row r="822" spans="5:5" x14ac:dyDescent="0.35">
      <c r="E822"/>
    </row>
    <row r="823" spans="5:5" x14ac:dyDescent="0.35">
      <c r="E823"/>
    </row>
    <row r="824" spans="5:5" x14ac:dyDescent="0.35">
      <c r="E824"/>
    </row>
    <row r="825" spans="5:5" x14ac:dyDescent="0.35">
      <c r="E825"/>
    </row>
    <row r="826" spans="5:5" x14ac:dyDescent="0.35">
      <c r="E826"/>
    </row>
    <row r="827" spans="5:5" x14ac:dyDescent="0.35">
      <c r="E827"/>
    </row>
    <row r="828" spans="5:5" x14ac:dyDescent="0.35">
      <c r="E828"/>
    </row>
    <row r="829" spans="5:5" x14ac:dyDescent="0.35">
      <c r="E829"/>
    </row>
    <row r="830" spans="5:5" x14ac:dyDescent="0.35">
      <c r="E830"/>
    </row>
    <row r="831" spans="5:5" x14ac:dyDescent="0.35">
      <c r="E831"/>
    </row>
    <row r="832" spans="5:5" x14ac:dyDescent="0.35">
      <c r="E832"/>
    </row>
    <row r="833" spans="5:5" x14ac:dyDescent="0.35">
      <c r="E833"/>
    </row>
    <row r="834" spans="5:5" x14ac:dyDescent="0.35">
      <c r="E834"/>
    </row>
    <row r="835" spans="5:5" x14ac:dyDescent="0.35">
      <c r="E835"/>
    </row>
    <row r="836" spans="5:5" x14ac:dyDescent="0.35">
      <c r="E836"/>
    </row>
    <row r="837" spans="5:5" x14ac:dyDescent="0.35">
      <c r="E837"/>
    </row>
    <row r="838" spans="5:5" x14ac:dyDescent="0.35">
      <c r="E838"/>
    </row>
    <row r="839" spans="5:5" x14ac:dyDescent="0.35">
      <c r="E839"/>
    </row>
    <row r="840" spans="5:5" x14ac:dyDescent="0.35">
      <c r="E840"/>
    </row>
    <row r="841" spans="5:5" x14ac:dyDescent="0.35">
      <c r="E841"/>
    </row>
    <row r="842" spans="5:5" x14ac:dyDescent="0.35">
      <c r="E842"/>
    </row>
    <row r="843" spans="5:5" x14ac:dyDescent="0.35">
      <c r="E843"/>
    </row>
    <row r="844" spans="5:5" x14ac:dyDescent="0.35">
      <c r="E844"/>
    </row>
    <row r="845" spans="5:5" x14ac:dyDescent="0.35">
      <c r="E845"/>
    </row>
    <row r="846" spans="5:5" x14ac:dyDescent="0.35">
      <c r="E846"/>
    </row>
    <row r="847" spans="5:5" x14ac:dyDescent="0.35">
      <c r="E847"/>
    </row>
    <row r="848" spans="5:5" x14ac:dyDescent="0.35">
      <c r="E848"/>
    </row>
    <row r="849" spans="5:5" x14ac:dyDescent="0.35">
      <c r="E849"/>
    </row>
    <row r="850" spans="5:5" x14ac:dyDescent="0.35">
      <c r="E850"/>
    </row>
    <row r="851" spans="5:5" x14ac:dyDescent="0.35">
      <c r="E851"/>
    </row>
    <row r="852" spans="5:5" x14ac:dyDescent="0.35">
      <c r="E852"/>
    </row>
    <row r="853" spans="5:5" x14ac:dyDescent="0.35">
      <c r="E853"/>
    </row>
    <row r="854" spans="5:5" x14ac:dyDescent="0.35">
      <c r="E854"/>
    </row>
    <row r="855" spans="5:5" x14ac:dyDescent="0.35">
      <c r="E855"/>
    </row>
    <row r="856" spans="5:5" x14ac:dyDescent="0.35">
      <c r="E856"/>
    </row>
    <row r="857" spans="5:5" x14ac:dyDescent="0.35">
      <c r="E857"/>
    </row>
    <row r="858" spans="5:5" x14ac:dyDescent="0.35">
      <c r="E858"/>
    </row>
    <row r="859" spans="5:5" x14ac:dyDescent="0.35">
      <c r="E859"/>
    </row>
    <row r="860" spans="5:5" x14ac:dyDescent="0.35">
      <c r="E860"/>
    </row>
    <row r="861" spans="5:5" x14ac:dyDescent="0.35">
      <c r="E861"/>
    </row>
    <row r="862" spans="5:5" x14ac:dyDescent="0.35">
      <c r="E862"/>
    </row>
    <row r="863" spans="5:5" x14ac:dyDescent="0.35">
      <c r="E863"/>
    </row>
    <row r="864" spans="5:5" x14ac:dyDescent="0.35">
      <c r="E864"/>
    </row>
    <row r="865" spans="5:5" x14ac:dyDescent="0.35">
      <c r="E865"/>
    </row>
    <row r="866" spans="5:5" x14ac:dyDescent="0.35">
      <c r="E866"/>
    </row>
    <row r="867" spans="5:5" x14ac:dyDescent="0.35">
      <c r="E867"/>
    </row>
    <row r="868" spans="5:5" x14ac:dyDescent="0.35">
      <c r="E868"/>
    </row>
    <row r="869" spans="5:5" x14ac:dyDescent="0.35">
      <c r="E869"/>
    </row>
    <row r="870" spans="5:5" x14ac:dyDescent="0.35">
      <c r="E870"/>
    </row>
    <row r="871" spans="5:5" x14ac:dyDescent="0.35">
      <c r="E871"/>
    </row>
    <row r="872" spans="5:5" x14ac:dyDescent="0.35">
      <c r="E872"/>
    </row>
    <row r="873" spans="5:5" x14ac:dyDescent="0.35">
      <c r="E873"/>
    </row>
    <row r="874" spans="5:5" x14ac:dyDescent="0.35">
      <c r="E874"/>
    </row>
    <row r="875" spans="5:5" x14ac:dyDescent="0.35">
      <c r="E875"/>
    </row>
    <row r="876" spans="5:5" x14ac:dyDescent="0.35">
      <c r="E876"/>
    </row>
    <row r="877" spans="5:5" x14ac:dyDescent="0.35">
      <c r="E877"/>
    </row>
    <row r="878" spans="5:5" x14ac:dyDescent="0.35">
      <c r="E878"/>
    </row>
    <row r="879" spans="5:5" x14ac:dyDescent="0.35">
      <c r="E879"/>
    </row>
    <row r="880" spans="5:5" x14ac:dyDescent="0.35">
      <c r="E880"/>
    </row>
    <row r="881" spans="5:5" x14ac:dyDescent="0.35">
      <c r="E881"/>
    </row>
    <row r="882" spans="5:5" x14ac:dyDescent="0.35">
      <c r="E882"/>
    </row>
    <row r="883" spans="5:5" x14ac:dyDescent="0.35">
      <c r="E883"/>
    </row>
    <row r="884" spans="5:5" x14ac:dyDescent="0.35">
      <c r="E884"/>
    </row>
    <row r="885" spans="5:5" x14ac:dyDescent="0.35">
      <c r="E885"/>
    </row>
    <row r="886" spans="5:5" x14ac:dyDescent="0.35">
      <c r="E886"/>
    </row>
    <row r="887" spans="5:5" x14ac:dyDescent="0.35">
      <c r="E887"/>
    </row>
    <row r="888" spans="5:5" x14ac:dyDescent="0.35">
      <c r="E888"/>
    </row>
    <row r="889" spans="5:5" x14ac:dyDescent="0.35">
      <c r="E889"/>
    </row>
    <row r="890" spans="5:5" x14ac:dyDescent="0.35">
      <c r="E890"/>
    </row>
    <row r="891" spans="5:5" x14ac:dyDescent="0.35">
      <c r="E891"/>
    </row>
    <row r="892" spans="5:5" x14ac:dyDescent="0.35">
      <c r="E892"/>
    </row>
    <row r="893" spans="5:5" x14ac:dyDescent="0.35">
      <c r="E893"/>
    </row>
    <row r="894" spans="5:5" x14ac:dyDescent="0.35">
      <c r="E894"/>
    </row>
    <row r="895" spans="5:5" x14ac:dyDescent="0.35">
      <c r="E895"/>
    </row>
    <row r="896" spans="5:5" x14ac:dyDescent="0.35">
      <c r="E896"/>
    </row>
    <row r="897" spans="5:5" x14ac:dyDescent="0.35">
      <c r="E897"/>
    </row>
    <row r="898" spans="5:5" x14ac:dyDescent="0.35">
      <c r="E898"/>
    </row>
    <row r="899" spans="5:5" x14ac:dyDescent="0.35">
      <c r="E899"/>
    </row>
    <row r="900" spans="5:5" x14ac:dyDescent="0.35">
      <c r="E900"/>
    </row>
    <row r="901" spans="5:5" x14ac:dyDescent="0.35">
      <c r="E901"/>
    </row>
    <row r="902" spans="5:5" x14ac:dyDescent="0.35">
      <c r="E902"/>
    </row>
    <row r="903" spans="5:5" x14ac:dyDescent="0.35">
      <c r="E903"/>
    </row>
    <row r="904" spans="5:5" x14ac:dyDescent="0.35">
      <c r="E904"/>
    </row>
    <row r="905" spans="5:5" x14ac:dyDescent="0.35">
      <c r="E905"/>
    </row>
    <row r="906" spans="5:5" x14ac:dyDescent="0.35">
      <c r="E906"/>
    </row>
    <row r="907" spans="5:5" x14ac:dyDescent="0.35">
      <c r="E907"/>
    </row>
    <row r="908" spans="5:5" x14ac:dyDescent="0.35">
      <c r="E908"/>
    </row>
    <row r="909" spans="5:5" x14ac:dyDescent="0.35">
      <c r="E909"/>
    </row>
    <row r="910" spans="5:5" x14ac:dyDescent="0.35">
      <c r="E910"/>
    </row>
    <row r="911" spans="5:5" x14ac:dyDescent="0.35">
      <c r="E911"/>
    </row>
    <row r="912" spans="5:5" x14ac:dyDescent="0.35">
      <c r="E912"/>
    </row>
    <row r="913" spans="5:5" x14ac:dyDescent="0.35">
      <c r="E913"/>
    </row>
    <row r="914" spans="5:5" x14ac:dyDescent="0.35">
      <c r="E914"/>
    </row>
    <row r="915" spans="5:5" x14ac:dyDescent="0.35">
      <c r="E915"/>
    </row>
    <row r="916" spans="5:5" x14ac:dyDescent="0.35">
      <c r="E916"/>
    </row>
    <row r="917" spans="5:5" x14ac:dyDescent="0.35">
      <c r="E917"/>
    </row>
    <row r="918" spans="5:5" x14ac:dyDescent="0.35">
      <c r="E918"/>
    </row>
    <row r="919" spans="5:5" x14ac:dyDescent="0.35">
      <c r="E919"/>
    </row>
    <row r="920" spans="5:5" x14ac:dyDescent="0.35">
      <c r="E920"/>
    </row>
    <row r="921" spans="5:5" x14ac:dyDescent="0.35">
      <c r="E921"/>
    </row>
    <row r="922" spans="5:5" x14ac:dyDescent="0.35">
      <c r="E922"/>
    </row>
    <row r="923" spans="5:5" x14ac:dyDescent="0.35">
      <c r="E923"/>
    </row>
    <row r="924" spans="5:5" x14ac:dyDescent="0.35">
      <c r="E924"/>
    </row>
    <row r="925" spans="5:5" x14ac:dyDescent="0.35">
      <c r="E925"/>
    </row>
    <row r="926" spans="5:5" x14ac:dyDescent="0.35">
      <c r="E926"/>
    </row>
    <row r="927" spans="5:5" x14ac:dyDescent="0.35">
      <c r="E927"/>
    </row>
    <row r="928" spans="5:5" x14ac:dyDescent="0.35">
      <c r="E928"/>
    </row>
    <row r="929" spans="5:5" x14ac:dyDescent="0.35">
      <c r="E929"/>
    </row>
    <row r="930" spans="5:5" x14ac:dyDescent="0.35">
      <c r="E930"/>
    </row>
    <row r="931" spans="5:5" x14ac:dyDescent="0.35">
      <c r="E931"/>
    </row>
    <row r="932" spans="5:5" x14ac:dyDescent="0.35">
      <c r="E932"/>
    </row>
    <row r="933" spans="5:5" x14ac:dyDescent="0.35">
      <c r="E933"/>
    </row>
    <row r="934" spans="5:5" x14ac:dyDescent="0.35">
      <c r="E934"/>
    </row>
    <row r="935" spans="5:5" x14ac:dyDescent="0.35">
      <c r="E935"/>
    </row>
    <row r="936" spans="5:5" x14ac:dyDescent="0.35">
      <c r="E936"/>
    </row>
    <row r="937" spans="5:5" x14ac:dyDescent="0.35">
      <c r="E937"/>
    </row>
    <row r="938" spans="5:5" x14ac:dyDescent="0.35">
      <c r="E938"/>
    </row>
    <row r="939" spans="5:5" x14ac:dyDescent="0.35">
      <c r="E939"/>
    </row>
    <row r="940" spans="5:5" x14ac:dyDescent="0.35">
      <c r="E940"/>
    </row>
    <row r="941" spans="5:5" x14ac:dyDescent="0.35">
      <c r="E941"/>
    </row>
    <row r="942" spans="5:5" x14ac:dyDescent="0.35">
      <c r="E942"/>
    </row>
    <row r="943" spans="5:5" x14ac:dyDescent="0.35">
      <c r="E943"/>
    </row>
    <row r="944" spans="5:5" x14ac:dyDescent="0.35">
      <c r="E944"/>
    </row>
    <row r="945" spans="5:5" x14ac:dyDescent="0.35">
      <c r="E945"/>
    </row>
    <row r="946" spans="5:5" x14ac:dyDescent="0.35">
      <c r="E946"/>
    </row>
    <row r="947" spans="5:5" x14ac:dyDescent="0.35">
      <c r="E947"/>
    </row>
    <row r="948" spans="5:5" x14ac:dyDescent="0.35">
      <c r="E948"/>
    </row>
    <row r="949" spans="5:5" x14ac:dyDescent="0.35">
      <c r="E949"/>
    </row>
    <row r="950" spans="5:5" x14ac:dyDescent="0.35">
      <c r="E950"/>
    </row>
    <row r="951" spans="5:5" x14ac:dyDescent="0.35">
      <c r="E951"/>
    </row>
    <row r="952" spans="5:5" x14ac:dyDescent="0.35">
      <c r="E952"/>
    </row>
    <row r="953" spans="5:5" x14ac:dyDescent="0.35">
      <c r="E953"/>
    </row>
    <row r="954" spans="5:5" x14ac:dyDescent="0.35">
      <c r="E954"/>
    </row>
    <row r="955" spans="5:5" x14ac:dyDescent="0.35">
      <c r="E955"/>
    </row>
    <row r="956" spans="5:5" x14ac:dyDescent="0.35">
      <c r="E956"/>
    </row>
    <row r="957" spans="5:5" x14ac:dyDescent="0.35">
      <c r="E957"/>
    </row>
    <row r="958" spans="5:5" x14ac:dyDescent="0.35">
      <c r="E958"/>
    </row>
    <row r="959" spans="5:5" x14ac:dyDescent="0.35">
      <c r="E959"/>
    </row>
    <row r="960" spans="5:5" x14ac:dyDescent="0.35">
      <c r="E960"/>
    </row>
    <row r="961" spans="5:5" x14ac:dyDescent="0.35">
      <c r="E961"/>
    </row>
    <row r="962" spans="5:5" x14ac:dyDescent="0.35">
      <c r="E962"/>
    </row>
    <row r="963" spans="5:5" x14ac:dyDescent="0.35">
      <c r="E963"/>
    </row>
    <row r="964" spans="5:5" x14ac:dyDescent="0.35">
      <c r="E964"/>
    </row>
    <row r="965" spans="5:5" x14ac:dyDescent="0.35">
      <c r="E965"/>
    </row>
    <row r="966" spans="5:5" x14ac:dyDescent="0.35">
      <c r="E966"/>
    </row>
    <row r="967" spans="5:5" x14ac:dyDescent="0.35">
      <c r="E967"/>
    </row>
    <row r="968" spans="5:5" x14ac:dyDescent="0.35">
      <c r="E968"/>
    </row>
    <row r="969" spans="5:5" x14ac:dyDescent="0.35">
      <c r="E969"/>
    </row>
    <row r="970" spans="5:5" x14ac:dyDescent="0.35">
      <c r="E970"/>
    </row>
    <row r="971" spans="5:5" x14ac:dyDescent="0.35">
      <c r="E971"/>
    </row>
    <row r="972" spans="5:5" x14ac:dyDescent="0.35">
      <c r="E972"/>
    </row>
    <row r="973" spans="5:5" x14ac:dyDescent="0.35">
      <c r="E973"/>
    </row>
    <row r="974" spans="5:5" x14ac:dyDescent="0.35">
      <c r="E974"/>
    </row>
    <row r="975" spans="5:5" x14ac:dyDescent="0.35">
      <c r="E975"/>
    </row>
    <row r="976" spans="5:5" x14ac:dyDescent="0.35">
      <c r="E976"/>
    </row>
    <row r="977" spans="5:5" x14ac:dyDescent="0.35">
      <c r="E977"/>
    </row>
    <row r="978" spans="5:5" x14ac:dyDescent="0.35">
      <c r="E978"/>
    </row>
    <row r="979" spans="5:5" x14ac:dyDescent="0.35">
      <c r="E979"/>
    </row>
    <row r="980" spans="5:5" x14ac:dyDescent="0.35">
      <c r="E980"/>
    </row>
    <row r="981" spans="5:5" x14ac:dyDescent="0.35">
      <c r="E981"/>
    </row>
    <row r="982" spans="5:5" x14ac:dyDescent="0.35">
      <c r="E982"/>
    </row>
    <row r="983" spans="5:5" x14ac:dyDescent="0.35">
      <c r="E983"/>
    </row>
    <row r="984" spans="5:5" x14ac:dyDescent="0.35">
      <c r="E984"/>
    </row>
    <row r="985" spans="5:5" x14ac:dyDescent="0.35">
      <c r="E985"/>
    </row>
    <row r="986" spans="5:5" x14ac:dyDescent="0.35">
      <c r="E986"/>
    </row>
    <row r="987" spans="5:5" x14ac:dyDescent="0.35">
      <c r="E987"/>
    </row>
    <row r="988" spans="5:5" x14ac:dyDescent="0.35">
      <c r="E988"/>
    </row>
    <row r="989" spans="5:5" x14ac:dyDescent="0.35">
      <c r="E989"/>
    </row>
    <row r="990" spans="5:5" x14ac:dyDescent="0.35">
      <c r="E990"/>
    </row>
    <row r="991" spans="5:5" x14ac:dyDescent="0.35">
      <c r="E991"/>
    </row>
    <row r="992" spans="5:5" x14ac:dyDescent="0.35">
      <c r="E992"/>
    </row>
    <row r="993" spans="5:5" x14ac:dyDescent="0.35">
      <c r="E993"/>
    </row>
    <row r="994" spans="5:5" x14ac:dyDescent="0.35">
      <c r="E994"/>
    </row>
    <row r="995" spans="5:5" x14ac:dyDescent="0.35">
      <c r="E995"/>
    </row>
    <row r="996" spans="5:5" x14ac:dyDescent="0.35">
      <c r="E996"/>
    </row>
    <row r="997" spans="5:5" x14ac:dyDescent="0.35">
      <c r="E997"/>
    </row>
    <row r="998" spans="5:5" x14ac:dyDescent="0.35">
      <c r="E998"/>
    </row>
    <row r="999" spans="5:5" x14ac:dyDescent="0.35">
      <c r="E999"/>
    </row>
    <row r="1000" spans="5:5" x14ac:dyDescent="0.35">
      <c r="E1000"/>
    </row>
    <row r="1001" spans="5:5" x14ac:dyDescent="0.35">
      <c r="E1001"/>
    </row>
    <row r="1002" spans="5:5" x14ac:dyDescent="0.35">
      <c r="E1002"/>
    </row>
    <row r="1003" spans="5:5" x14ac:dyDescent="0.35">
      <c r="E1003"/>
    </row>
    <row r="1004" spans="5:5" x14ac:dyDescent="0.35">
      <c r="E1004"/>
    </row>
    <row r="1005" spans="5:5" x14ac:dyDescent="0.35">
      <c r="E1005"/>
    </row>
    <row r="1006" spans="5:5" x14ac:dyDescent="0.35">
      <c r="E1006"/>
    </row>
    <row r="1007" spans="5:5" x14ac:dyDescent="0.35">
      <c r="E1007"/>
    </row>
    <row r="1008" spans="5:5" x14ac:dyDescent="0.35">
      <c r="E1008"/>
    </row>
    <row r="1009" spans="5:5" x14ac:dyDescent="0.35">
      <c r="E1009"/>
    </row>
    <row r="1010" spans="5:5" x14ac:dyDescent="0.35">
      <c r="E1010"/>
    </row>
    <row r="1011" spans="5:5" x14ac:dyDescent="0.35">
      <c r="E1011"/>
    </row>
    <row r="1012" spans="5:5" x14ac:dyDescent="0.35">
      <c r="E1012"/>
    </row>
    <row r="1013" spans="5:5" x14ac:dyDescent="0.35">
      <c r="E1013"/>
    </row>
    <row r="1014" spans="5:5" x14ac:dyDescent="0.35">
      <c r="E1014"/>
    </row>
    <row r="1015" spans="5:5" x14ac:dyDescent="0.35">
      <c r="E1015"/>
    </row>
    <row r="1016" spans="5:5" x14ac:dyDescent="0.35">
      <c r="E1016"/>
    </row>
    <row r="1017" spans="5:5" x14ac:dyDescent="0.35">
      <c r="E1017"/>
    </row>
    <row r="1018" spans="5:5" x14ac:dyDescent="0.35">
      <c r="E1018"/>
    </row>
    <row r="1019" spans="5:5" x14ac:dyDescent="0.35">
      <c r="E1019"/>
    </row>
    <row r="1020" spans="5:5" x14ac:dyDescent="0.35">
      <c r="E1020"/>
    </row>
    <row r="1021" spans="5:5" x14ac:dyDescent="0.35">
      <c r="E1021"/>
    </row>
    <row r="1022" spans="5:5" x14ac:dyDescent="0.35">
      <c r="E1022"/>
    </row>
    <row r="1023" spans="5:5" x14ac:dyDescent="0.35">
      <c r="E1023"/>
    </row>
    <row r="1024" spans="5:5" x14ac:dyDescent="0.35">
      <c r="E1024"/>
    </row>
    <row r="1025" spans="5:5" x14ac:dyDescent="0.35">
      <c r="E1025"/>
    </row>
    <row r="1026" spans="5:5" x14ac:dyDescent="0.35">
      <c r="E1026"/>
    </row>
    <row r="1027" spans="5:5" x14ac:dyDescent="0.35">
      <c r="E1027"/>
    </row>
    <row r="1028" spans="5:5" x14ac:dyDescent="0.35">
      <c r="E1028"/>
    </row>
    <row r="1029" spans="5:5" x14ac:dyDescent="0.35">
      <c r="E1029"/>
    </row>
    <row r="1030" spans="5:5" x14ac:dyDescent="0.35">
      <c r="E1030"/>
    </row>
    <row r="1031" spans="5:5" x14ac:dyDescent="0.35">
      <c r="E1031"/>
    </row>
    <row r="1032" spans="5:5" x14ac:dyDescent="0.35">
      <c r="E1032"/>
    </row>
    <row r="1033" spans="5:5" x14ac:dyDescent="0.35">
      <c r="E1033"/>
    </row>
    <row r="1034" spans="5:5" x14ac:dyDescent="0.35">
      <c r="E1034"/>
    </row>
    <row r="1035" spans="5:5" x14ac:dyDescent="0.35">
      <c r="E1035"/>
    </row>
    <row r="1036" spans="5:5" x14ac:dyDescent="0.35">
      <c r="E1036"/>
    </row>
    <row r="1037" spans="5:5" x14ac:dyDescent="0.35">
      <c r="E1037"/>
    </row>
    <row r="1038" spans="5:5" x14ac:dyDescent="0.35">
      <c r="E1038"/>
    </row>
    <row r="1039" spans="5:5" x14ac:dyDescent="0.35">
      <c r="E1039"/>
    </row>
    <row r="1040" spans="5:5" x14ac:dyDescent="0.35">
      <c r="E1040"/>
    </row>
    <row r="1041" spans="5:5" x14ac:dyDescent="0.35">
      <c r="E1041"/>
    </row>
    <row r="1042" spans="5:5" x14ac:dyDescent="0.35">
      <c r="E1042"/>
    </row>
    <row r="1043" spans="5:5" x14ac:dyDescent="0.35">
      <c r="E1043"/>
    </row>
    <row r="1044" spans="5:5" x14ac:dyDescent="0.35">
      <c r="E1044"/>
    </row>
    <row r="1045" spans="5:5" x14ac:dyDescent="0.35">
      <c r="E1045"/>
    </row>
    <row r="1046" spans="5:5" x14ac:dyDescent="0.35">
      <c r="E1046"/>
    </row>
    <row r="1047" spans="5:5" x14ac:dyDescent="0.35">
      <c r="E1047"/>
    </row>
    <row r="1048" spans="5:5" x14ac:dyDescent="0.35">
      <c r="E1048"/>
    </row>
    <row r="1049" spans="5:5" x14ac:dyDescent="0.35">
      <c r="E1049"/>
    </row>
    <row r="1050" spans="5:5" x14ac:dyDescent="0.35">
      <c r="E1050"/>
    </row>
    <row r="1051" spans="5:5" x14ac:dyDescent="0.35">
      <c r="E1051"/>
    </row>
    <row r="1052" spans="5:5" x14ac:dyDescent="0.35">
      <c r="E1052"/>
    </row>
    <row r="1053" spans="5:5" x14ac:dyDescent="0.35">
      <c r="E1053"/>
    </row>
    <row r="1054" spans="5:5" x14ac:dyDescent="0.35">
      <c r="E1054"/>
    </row>
    <row r="1055" spans="5:5" x14ac:dyDescent="0.35">
      <c r="E1055"/>
    </row>
    <row r="1056" spans="5:5" x14ac:dyDescent="0.35">
      <c r="E1056"/>
    </row>
    <row r="1057" spans="5:5" x14ac:dyDescent="0.35">
      <c r="E1057"/>
    </row>
    <row r="1058" spans="5:5" x14ac:dyDescent="0.35">
      <c r="E1058"/>
    </row>
    <row r="1059" spans="5:5" x14ac:dyDescent="0.35">
      <c r="E1059"/>
    </row>
    <row r="1060" spans="5:5" x14ac:dyDescent="0.35">
      <c r="E1060"/>
    </row>
    <row r="1061" spans="5:5" x14ac:dyDescent="0.35">
      <c r="E1061"/>
    </row>
    <row r="1062" spans="5:5" x14ac:dyDescent="0.35">
      <c r="E1062"/>
    </row>
    <row r="1063" spans="5:5" x14ac:dyDescent="0.35">
      <c r="E1063"/>
    </row>
    <row r="1064" spans="5:5" x14ac:dyDescent="0.35">
      <c r="E1064"/>
    </row>
    <row r="1065" spans="5:5" x14ac:dyDescent="0.35">
      <c r="E1065"/>
    </row>
    <row r="1066" spans="5:5" x14ac:dyDescent="0.35">
      <c r="E1066"/>
    </row>
    <row r="1067" spans="5:5" x14ac:dyDescent="0.35">
      <c r="E1067"/>
    </row>
    <row r="1068" spans="5:5" x14ac:dyDescent="0.35">
      <c r="E1068"/>
    </row>
    <row r="1069" spans="5:5" x14ac:dyDescent="0.35">
      <c r="E1069"/>
    </row>
    <row r="1070" spans="5:5" x14ac:dyDescent="0.35">
      <c r="E1070"/>
    </row>
    <row r="1071" spans="5:5" x14ac:dyDescent="0.35">
      <c r="E1071"/>
    </row>
    <row r="1072" spans="5:5" x14ac:dyDescent="0.35">
      <c r="E1072"/>
    </row>
    <row r="1073" spans="5:5" x14ac:dyDescent="0.35">
      <c r="E1073"/>
    </row>
    <row r="1074" spans="5:5" x14ac:dyDescent="0.35">
      <c r="E1074"/>
    </row>
    <row r="1075" spans="5:5" x14ac:dyDescent="0.35">
      <c r="E1075"/>
    </row>
    <row r="1076" spans="5:5" x14ac:dyDescent="0.35">
      <c r="E1076"/>
    </row>
    <row r="1077" spans="5:5" x14ac:dyDescent="0.35">
      <c r="E1077"/>
    </row>
    <row r="1078" spans="5:5" x14ac:dyDescent="0.35">
      <c r="E1078"/>
    </row>
    <row r="1079" spans="5:5" x14ac:dyDescent="0.35">
      <c r="E1079"/>
    </row>
    <row r="1080" spans="5:5" x14ac:dyDescent="0.35">
      <c r="E1080"/>
    </row>
    <row r="1081" spans="5:5" x14ac:dyDescent="0.35">
      <c r="E1081"/>
    </row>
    <row r="1082" spans="5:5" x14ac:dyDescent="0.35">
      <c r="E1082"/>
    </row>
    <row r="1083" spans="5:5" x14ac:dyDescent="0.35">
      <c r="E1083"/>
    </row>
    <row r="1084" spans="5:5" x14ac:dyDescent="0.35">
      <c r="E1084"/>
    </row>
    <row r="1085" spans="5:5" x14ac:dyDescent="0.35">
      <c r="E1085"/>
    </row>
    <row r="1086" spans="5:5" x14ac:dyDescent="0.35">
      <c r="E1086"/>
    </row>
    <row r="1087" spans="5:5" x14ac:dyDescent="0.35">
      <c r="E1087"/>
    </row>
    <row r="1088" spans="5:5" x14ac:dyDescent="0.35">
      <c r="E1088"/>
    </row>
    <row r="1089" spans="5:5" x14ac:dyDescent="0.35">
      <c r="E1089"/>
    </row>
    <row r="1090" spans="5:5" x14ac:dyDescent="0.35">
      <c r="E1090"/>
    </row>
    <row r="1091" spans="5:5" x14ac:dyDescent="0.35">
      <c r="E1091"/>
    </row>
    <row r="1092" spans="5:5" x14ac:dyDescent="0.35">
      <c r="E1092"/>
    </row>
    <row r="1093" spans="5:5" x14ac:dyDescent="0.35">
      <c r="E1093"/>
    </row>
    <row r="1094" spans="5:5" x14ac:dyDescent="0.35">
      <c r="E1094"/>
    </row>
    <row r="1095" spans="5:5" x14ac:dyDescent="0.35">
      <c r="E1095"/>
    </row>
    <row r="1096" spans="5:5" x14ac:dyDescent="0.35">
      <c r="E1096"/>
    </row>
    <row r="1097" spans="5:5" x14ac:dyDescent="0.35">
      <c r="E1097"/>
    </row>
    <row r="1098" spans="5:5" x14ac:dyDescent="0.35">
      <c r="E1098"/>
    </row>
    <row r="1099" spans="5:5" x14ac:dyDescent="0.35">
      <c r="E1099"/>
    </row>
    <row r="1100" spans="5:5" x14ac:dyDescent="0.35">
      <c r="E1100"/>
    </row>
    <row r="1101" spans="5:5" x14ac:dyDescent="0.35">
      <c r="E1101"/>
    </row>
    <row r="1102" spans="5:5" x14ac:dyDescent="0.35">
      <c r="E1102"/>
    </row>
    <row r="1103" spans="5:5" x14ac:dyDescent="0.35">
      <c r="E1103"/>
    </row>
    <row r="1104" spans="5:5" x14ac:dyDescent="0.35">
      <c r="E1104"/>
    </row>
    <row r="1105" spans="5:5" x14ac:dyDescent="0.35">
      <c r="E1105"/>
    </row>
    <row r="1106" spans="5:5" x14ac:dyDescent="0.35">
      <c r="E1106"/>
    </row>
    <row r="1107" spans="5:5" x14ac:dyDescent="0.35">
      <c r="E1107"/>
    </row>
    <row r="1108" spans="5:5" x14ac:dyDescent="0.35">
      <c r="E1108"/>
    </row>
    <row r="1109" spans="5:5" x14ac:dyDescent="0.35">
      <c r="E1109"/>
    </row>
    <row r="1110" spans="5:5" x14ac:dyDescent="0.35">
      <c r="E1110"/>
    </row>
    <row r="1111" spans="5:5" x14ac:dyDescent="0.35">
      <c r="E1111"/>
    </row>
    <row r="1112" spans="5:5" x14ac:dyDescent="0.35">
      <c r="E1112"/>
    </row>
    <row r="1113" spans="5:5" x14ac:dyDescent="0.35">
      <c r="E1113"/>
    </row>
    <row r="1114" spans="5:5" x14ac:dyDescent="0.35">
      <c r="E1114"/>
    </row>
    <row r="1115" spans="5:5" x14ac:dyDescent="0.35">
      <c r="E1115"/>
    </row>
    <row r="1116" spans="5:5" x14ac:dyDescent="0.35">
      <c r="E1116"/>
    </row>
    <row r="1117" spans="5:5" x14ac:dyDescent="0.35">
      <c r="E1117"/>
    </row>
    <row r="1118" spans="5:5" x14ac:dyDescent="0.35">
      <c r="E1118"/>
    </row>
    <row r="1119" spans="5:5" x14ac:dyDescent="0.35">
      <c r="E1119"/>
    </row>
    <row r="1120" spans="5:5" x14ac:dyDescent="0.35">
      <c r="E1120"/>
    </row>
    <row r="1121" spans="5:5" x14ac:dyDescent="0.35">
      <c r="E1121"/>
    </row>
    <row r="1122" spans="5:5" x14ac:dyDescent="0.35">
      <c r="E1122"/>
    </row>
    <row r="1123" spans="5:5" x14ac:dyDescent="0.35">
      <c r="E1123"/>
    </row>
    <row r="1124" spans="5:5" x14ac:dyDescent="0.35">
      <c r="E1124"/>
    </row>
    <row r="1125" spans="5:5" x14ac:dyDescent="0.35">
      <c r="E1125"/>
    </row>
    <row r="1126" spans="5:5" x14ac:dyDescent="0.35">
      <c r="E1126"/>
    </row>
    <row r="1127" spans="5:5" x14ac:dyDescent="0.35">
      <c r="E1127"/>
    </row>
    <row r="1128" spans="5:5" x14ac:dyDescent="0.35">
      <c r="E1128"/>
    </row>
    <row r="1129" spans="5:5" x14ac:dyDescent="0.35">
      <c r="E1129"/>
    </row>
    <row r="1130" spans="5:5" x14ac:dyDescent="0.35">
      <c r="E1130"/>
    </row>
    <row r="1131" spans="5:5" x14ac:dyDescent="0.35">
      <c r="E1131"/>
    </row>
    <row r="1132" spans="5:5" x14ac:dyDescent="0.35">
      <c r="E1132"/>
    </row>
    <row r="1133" spans="5:5" x14ac:dyDescent="0.35">
      <c r="E1133"/>
    </row>
    <row r="1134" spans="5:5" x14ac:dyDescent="0.35">
      <c r="E1134"/>
    </row>
    <row r="1135" spans="5:5" x14ac:dyDescent="0.35">
      <c r="E1135"/>
    </row>
    <row r="1136" spans="5:5" x14ac:dyDescent="0.35">
      <c r="E1136"/>
    </row>
    <row r="1137" spans="5:5" x14ac:dyDescent="0.35">
      <c r="E1137"/>
    </row>
    <row r="1138" spans="5:5" x14ac:dyDescent="0.35">
      <c r="E1138"/>
    </row>
    <row r="1139" spans="5:5" x14ac:dyDescent="0.35">
      <c r="E1139"/>
    </row>
    <row r="1140" spans="5:5" x14ac:dyDescent="0.35">
      <c r="E1140"/>
    </row>
    <row r="1141" spans="5:5" x14ac:dyDescent="0.35">
      <c r="E1141"/>
    </row>
    <row r="1142" spans="5:5" x14ac:dyDescent="0.35">
      <c r="E1142"/>
    </row>
    <row r="1143" spans="5:5" x14ac:dyDescent="0.35">
      <c r="E1143"/>
    </row>
    <row r="1144" spans="5:5" x14ac:dyDescent="0.35">
      <c r="E1144"/>
    </row>
    <row r="1145" spans="5:5" x14ac:dyDescent="0.35">
      <c r="E1145"/>
    </row>
    <row r="1146" spans="5:5" x14ac:dyDescent="0.35">
      <c r="E1146"/>
    </row>
    <row r="1147" spans="5:5" x14ac:dyDescent="0.35">
      <c r="E1147"/>
    </row>
    <row r="1148" spans="5:5" x14ac:dyDescent="0.35">
      <c r="E1148"/>
    </row>
    <row r="1149" spans="5:5" x14ac:dyDescent="0.35">
      <c r="E1149"/>
    </row>
    <row r="1150" spans="5:5" x14ac:dyDescent="0.35">
      <c r="E1150"/>
    </row>
    <row r="1151" spans="5:5" x14ac:dyDescent="0.35">
      <c r="E1151"/>
    </row>
    <row r="1152" spans="5:5" x14ac:dyDescent="0.35">
      <c r="E1152"/>
    </row>
    <row r="1153" spans="5:5" x14ac:dyDescent="0.35">
      <c r="E1153"/>
    </row>
    <row r="1154" spans="5:5" x14ac:dyDescent="0.35">
      <c r="E1154"/>
    </row>
    <row r="1155" spans="5:5" x14ac:dyDescent="0.35">
      <c r="E1155"/>
    </row>
    <row r="1156" spans="5:5" x14ac:dyDescent="0.35">
      <c r="E1156"/>
    </row>
    <row r="1157" spans="5:5" x14ac:dyDescent="0.35">
      <c r="E1157"/>
    </row>
    <row r="1158" spans="5:5" x14ac:dyDescent="0.35">
      <c r="E1158"/>
    </row>
    <row r="1159" spans="5:5" x14ac:dyDescent="0.35">
      <c r="E1159"/>
    </row>
    <row r="1160" spans="5:5" x14ac:dyDescent="0.35">
      <c r="E1160"/>
    </row>
    <row r="1161" spans="5:5" x14ac:dyDescent="0.35">
      <c r="E1161"/>
    </row>
    <row r="1162" spans="5:5" x14ac:dyDescent="0.35">
      <c r="E1162"/>
    </row>
    <row r="1163" spans="5:5" x14ac:dyDescent="0.35">
      <c r="E1163"/>
    </row>
    <row r="1164" spans="5:5" x14ac:dyDescent="0.35">
      <c r="E1164"/>
    </row>
    <row r="1165" spans="5:5" x14ac:dyDescent="0.35">
      <c r="E1165"/>
    </row>
    <row r="1166" spans="5:5" x14ac:dyDescent="0.35">
      <c r="E1166"/>
    </row>
    <row r="1167" spans="5:5" x14ac:dyDescent="0.35">
      <c r="E1167"/>
    </row>
    <row r="1168" spans="5:5" x14ac:dyDescent="0.35">
      <c r="E1168"/>
    </row>
    <row r="1169" spans="5:5" x14ac:dyDescent="0.35">
      <c r="E1169"/>
    </row>
    <row r="1170" spans="5:5" x14ac:dyDescent="0.35">
      <c r="E1170"/>
    </row>
    <row r="1171" spans="5:5" x14ac:dyDescent="0.35">
      <c r="E1171"/>
    </row>
    <row r="1172" spans="5:5" x14ac:dyDescent="0.35">
      <c r="E1172"/>
    </row>
    <row r="1173" spans="5:5" x14ac:dyDescent="0.35">
      <c r="E1173"/>
    </row>
    <row r="1174" spans="5:5" x14ac:dyDescent="0.35">
      <c r="E1174"/>
    </row>
    <row r="1175" spans="5:5" x14ac:dyDescent="0.35">
      <c r="E1175"/>
    </row>
    <row r="1176" spans="5:5" x14ac:dyDescent="0.35">
      <c r="E1176"/>
    </row>
    <row r="1177" spans="5:5" x14ac:dyDescent="0.35">
      <c r="E1177"/>
    </row>
    <row r="1178" spans="5:5" x14ac:dyDescent="0.35">
      <c r="E1178"/>
    </row>
    <row r="1179" spans="5:5" x14ac:dyDescent="0.35">
      <c r="E1179"/>
    </row>
    <row r="1180" spans="5:5" x14ac:dyDescent="0.35">
      <c r="E1180"/>
    </row>
    <row r="1181" spans="5:5" x14ac:dyDescent="0.35">
      <c r="E1181"/>
    </row>
    <row r="1182" spans="5:5" x14ac:dyDescent="0.35">
      <c r="E1182"/>
    </row>
    <row r="1183" spans="5:5" x14ac:dyDescent="0.35">
      <c r="E1183"/>
    </row>
    <row r="1184" spans="5:5" x14ac:dyDescent="0.35">
      <c r="E1184"/>
    </row>
    <row r="1185" spans="5:5" x14ac:dyDescent="0.35">
      <c r="E1185"/>
    </row>
    <row r="1186" spans="5:5" x14ac:dyDescent="0.35">
      <c r="E1186"/>
    </row>
    <row r="1187" spans="5:5" x14ac:dyDescent="0.35">
      <c r="E1187"/>
    </row>
    <row r="1188" spans="5:5" x14ac:dyDescent="0.35">
      <c r="E1188"/>
    </row>
    <row r="1189" spans="5:5" x14ac:dyDescent="0.35">
      <c r="E1189"/>
    </row>
    <row r="1190" spans="5:5" x14ac:dyDescent="0.35">
      <c r="E1190"/>
    </row>
    <row r="1191" spans="5:5" x14ac:dyDescent="0.35">
      <c r="E1191"/>
    </row>
    <row r="1192" spans="5:5" x14ac:dyDescent="0.35">
      <c r="E1192"/>
    </row>
    <row r="1193" spans="5:5" x14ac:dyDescent="0.35">
      <c r="E1193"/>
    </row>
    <row r="1194" spans="5:5" x14ac:dyDescent="0.35">
      <c r="E1194"/>
    </row>
    <row r="1195" spans="5:5" x14ac:dyDescent="0.35">
      <c r="E1195"/>
    </row>
    <row r="1196" spans="5:5" x14ac:dyDescent="0.35">
      <c r="E1196"/>
    </row>
    <row r="1197" spans="5:5" x14ac:dyDescent="0.35">
      <c r="E1197"/>
    </row>
    <row r="1198" spans="5:5" x14ac:dyDescent="0.35">
      <c r="E1198"/>
    </row>
    <row r="1199" spans="5:5" x14ac:dyDescent="0.35">
      <c r="E1199"/>
    </row>
    <row r="1200" spans="5:5" x14ac:dyDescent="0.35">
      <c r="E1200"/>
    </row>
    <row r="1201" spans="5:5" x14ac:dyDescent="0.35">
      <c r="E1201"/>
    </row>
    <row r="1202" spans="5:5" x14ac:dyDescent="0.35">
      <c r="E1202"/>
    </row>
    <row r="1203" spans="5:5" x14ac:dyDescent="0.35">
      <c r="E1203"/>
    </row>
    <row r="1204" spans="5:5" x14ac:dyDescent="0.35">
      <c r="E1204"/>
    </row>
    <row r="1205" spans="5:5" x14ac:dyDescent="0.35">
      <c r="E1205"/>
    </row>
    <row r="1206" spans="5:5" x14ac:dyDescent="0.35">
      <c r="E1206"/>
    </row>
    <row r="1207" spans="5:5" x14ac:dyDescent="0.35">
      <c r="E1207"/>
    </row>
    <row r="1208" spans="5:5" x14ac:dyDescent="0.35">
      <c r="E1208"/>
    </row>
    <row r="1209" spans="5:5" x14ac:dyDescent="0.35">
      <c r="E1209"/>
    </row>
    <row r="1210" spans="5:5" x14ac:dyDescent="0.35">
      <c r="E1210"/>
    </row>
    <row r="1211" spans="5:5" x14ac:dyDescent="0.35">
      <c r="E1211"/>
    </row>
    <row r="1212" spans="5:5" x14ac:dyDescent="0.35">
      <c r="E1212"/>
    </row>
    <row r="1213" spans="5:5" x14ac:dyDescent="0.35">
      <c r="E1213"/>
    </row>
    <row r="1214" spans="5:5" x14ac:dyDescent="0.35">
      <c r="E1214"/>
    </row>
    <row r="1215" spans="5:5" x14ac:dyDescent="0.35">
      <c r="E1215"/>
    </row>
    <row r="1216" spans="5:5" x14ac:dyDescent="0.35">
      <c r="E1216"/>
    </row>
    <row r="1217" spans="5:5" x14ac:dyDescent="0.35">
      <c r="E1217"/>
    </row>
    <row r="1218" spans="5:5" x14ac:dyDescent="0.35">
      <c r="E1218"/>
    </row>
    <row r="1219" spans="5:5" x14ac:dyDescent="0.35">
      <c r="E1219"/>
    </row>
    <row r="1220" spans="5:5" x14ac:dyDescent="0.35">
      <c r="E1220"/>
    </row>
    <row r="1221" spans="5:5" x14ac:dyDescent="0.35">
      <c r="E1221"/>
    </row>
    <row r="1222" spans="5:5" x14ac:dyDescent="0.35">
      <c r="E1222"/>
    </row>
    <row r="1223" spans="5:5" x14ac:dyDescent="0.35">
      <c r="E1223"/>
    </row>
    <row r="1224" spans="5:5" x14ac:dyDescent="0.35">
      <c r="E1224"/>
    </row>
    <row r="1225" spans="5:5" x14ac:dyDescent="0.35">
      <c r="E1225"/>
    </row>
    <row r="1226" spans="5:5" x14ac:dyDescent="0.35">
      <c r="E1226"/>
    </row>
    <row r="1227" spans="5:5" x14ac:dyDescent="0.35">
      <c r="E1227"/>
    </row>
    <row r="1228" spans="5:5" x14ac:dyDescent="0.35">
      <c r="E1228"/>
    </row>
    <row r="1229" spans="5:5" x14ac:dyDescent="0.35">
      <c r="E1229"/>
    </row>
    <row r="1230" spans="5:5" x14ac:dyDescent="0.35">
      <c r="E1230"/>
    </row>
    <row r="1231" spans="5:5" x14ac:dyDescent="0.35">
      <c r="E1231"/>
    </row>
    <row r="1232" spans="5:5" x14ac:dyDescent="0.35">
      <c r="E1232"/>
    </row>
    <row r="1233" spans="5:5" x14ac:dyDescent="0.35">
      <c r="E1233"/>
    </row>
    <row r="1234" spans="5:5" x14ac:dyDescent="0.35">
      <c r="E1234"/>
    </row>
    <row r="1235" spans="5:5" x14ac:dyDescent="0.35">
      <c r="E1235"/>
    </row>
    <row r="1236" spans="5:5" x14ac:dyDescent="0.35">
      <c r="E1236"/>
    </row>
    <row r="1237" spans="5:5" x14ac:dyDescent="0.35">
      <c r="E1237"/>
    </row>
    <row r="1238" spans="5:5" x14ac:dyDescent="0.35">
      <c r="E1238"/>
    </row>
    <row r="1239" spans="5:5" x14ac:dyDescent="0.35">
      <c r="E1239"/>
    </row>
    <row r="1240" spans="5:5" x14ac:dyDescent="0.35">
      <c r="E1240"/>
    </row>
    <row r="1241" spans="5:5" x14ac:dyDescent="0.35">
      <c r="E1241"/>
    </row>
    <row r="1242" spans="5:5" x14ac:dyDescent="0.35">
      <c r="E1242"/>
    </row>
    <row r="1243" spans="5:5" x14ac:dyDescent="0.35">
      <c r="E1243"/>
    </row>
    <row r="1244" spans="5:5" x14ac:dyDescent="0.35">
      <c r="E1244"/>
    </row>
    <row r="1245" spans="5:5" x14ac:dyDescent="0.35">
      <c r="E1245"/>
    </row>
    <row r="1246" spans="5:5" x14ac:dyDescent="0.35">
      <c r="E1246"/>
    </row>
    <row r="1247" spans="5:5" x14ac:dyDescent="0.35">
      <c r="E1247"/>
    </row>
    <row r="1248" spans="5:5" x14ac:dyDescent="0.35">
      <c r="E1248"/>
    </row>
    <row r="1249" spans="5:5" x14ac:dyDescent="0.35">
      <c r="E1249"/>
    </row>
    <row r="1250" spans="5:5" x14ac:dyDescent="0.35">
      <c r="E1250"/>
    </row>
    <row r="1251" spans="5:5" x14ac:dyDescent="0.35">
      <c r="E1251"/>
    </row>
    <row r="1252" spans="5:5" x14ac:dyDescent="0.35">
      <c r="E1252"/>
    </row>
    <row r="1253" spans="5:5" x14ac:dyDescent="0.35">
      <c r="E1253"/>
    </row>
    <row r="1254" spans="5:5" x14ac:dyDescent="0.35">
      <c r="E1254"/>
    </row>
    <row r="1255" spans="5:5" x14ac:dyDescent="0.35">
      <c r="E1255"/>
    </row>
    <row r="1256" spans="5:5" x14ac:dyDescent="0.35">
      <c r="E1256"/>
    </row>
    <row r="1257" spans="5:5" x14ac:dyDescent="0.35">
      <c r="E1257"/>
    </row>
    <row r="1258" spans="5:5" x14ac:dyDescent="0.35">
      <c r="E1258"/>
    </row>
    <row r="1259" spans="5:5" x14ac:dyDescent="0.35">
      <c r="E1259"/>
    </row>
    <row r="1260" spans="5:5" x14ac:dyDescent="0.35">
      <c r="E1260"/>
    </row>
    <row r="1261" spans="5:5" x14ac:dyDescent="0.35">
      <c r="E1261"/>
    </row>
    <row r="1262" spans="5:5" x14ac:dyDescent="0.35">
      <c r="E1262"/>
    </row>
    <row r="1263" spans="5:5" x14ac:dyDescent="0.35">
      <c r="E1263"/>
    </row>
    <row r="1264" spans="5:5" x14ac:dyDescent="0.35">
      <c r="E1264"/>
    </row>
    <row r="1265" spans="5:5" x14ac:dyDescent="0.35">
      <c r="E1265"/>
    </row>
    <row r="1266" spans="5:5" x14ac:dyDescent="0.35">
      <c r="E1266"/>
    </row>
    <row r="1267" spans="5:5" x14ac:dyDescent="0.35">
      <c r="E1267"/>
    </row>
    <row r="1268" spans="5:5" x14ac:dyDescent="0.35">
      <c r="E1268"/>
    </row>
    <row r="1269" spans="5:5" x14ac:dyDescent="0.35">
      <c r="E1269"/>
    </row>
    <row r="1270" spans="5:5" x14ac:dyDescent="0.35">
      <c r="E1270"/>
    </row>
    <row r="1271" spans="5:5" x14ac:dyDescent="0.35">
      <c r="E1271"/>
    </row>
    <row r="1272" spans="5:5" x14ac:dyDescent="0.35">
      <c r="E1272"/>
    </row>
    <row r="1273" spans="5:5" x14ac:dyDescent="0.35">
      <c r="E1273"/>
    </row>
    <row r="1274" spans="5:5" x14ac:dyDescent="0.35">
      <c r="E1274"/>
    </row>
    <row r="1275" spans="5:5" x14ac:dyDescent="0.35">
      <c r="E1275"/>
    </row>
    <row r="1276" spans="5:5" x14ac:dyDescent="0.35">
      <c r="E1276"/>
    </row>
    <row r="1277" spans="5:5" x14ac:dyDescent="0.35">
      <c r="E1277"/>
    </row>
    <row r="1278" spans="5:5" x14ac:dyDescent="0.35">
      <c r="E1278"/>
    </row>
    <row r="1279" spans="5:5" x14ac:dyDescent="0.35">
      <c r="E1279"/>
    </row>
    <row r="1280" spans="5:5" x14ac:dyDescent="0.35">
      <c r="E1280"/>
    </row>
    <row r="1281" spans="5:5" x14ac:dyDescent="0.35">
      <c r="E1281"/>
    </row>
    <row r="1282" spans="5:5" x14ac:dyDescent="0.35">
      <c r="E1282"/>
    </row>
    <row r="1283" spans="5:5" x14ac:dyDescent="0.35">
      <c r="E1283"/>
    </row>
    <row r="1284" spans="5:5" x14ac:dyDescent="0.35">
      <c r="E1284"/>
    </row>
    <row r="1285" spans="5:5" x14ac:dyDescent="0.35">
      <c r="E1285"/>
    </row>
    <row r="1286" spans="5:5" x14ac:dyDescent="0.35">
      <c r="E1286"/>
    </row>
    <row r="1287" spans="5:5" x14ac:dyDescent="0.35">
      <c r="E1287"/>
    </row>
    <row r="1288" spans="5:5" x14ac:dyDescent="0.35">
      <c r="E1288"/>
    </row>
    <row r="1289" spans="5:5" x14ac:dyDescent="0.35">
      <c r="E1289"/>
    </row>
    <row r="1290" spans="5:5" x14ac:dyDescent="0.35">
      <c r="E1290"/>
    </row>
    <row r="1291" spans="5:5" x14ac:dyDescent="0.35">
      <c r="E1291"/>
    </row>
    <row r="1292" spans="5:5" x14ac:dyDescent="0.35">
      <c r="E1292"/>
    </row>
    <row r="1293" spans="5:5" x14ac:dyDescent="0.35">
      <c r="E1293"/>
    </row>
    <row r="1294" spans="5:5" x14ac:dyDescent="0.35">
      <c r="E1294"/>
    </row>
    <row r="1295" spans="5:5" x14ac:dyDescent="0.35">
      <c r="E1295"/>
    </row>
    <row r="1296" spans="5:5" x14ac:dyDescent="0.35">
      <c r="E1296"/>
    </row>
    <row r="1297" spans="5:5" x14ac:dyDescent="0.35">
      <c r="E1297"/>
    </row>
    <row r="1298" spans="5:5" x14ac:dyDescent="0.35">
      <c r="E1298"/>
    </row>
    <row r="1299" spans="5:5" x14ac:dyDescent="0.35">
      <c r="E1299"/>
    </row>
    <row r="1300" spans="5:5" x14ac:dyDescent="0.35">
      <c r="E1300"/>
    </row>
    <row r="1301" spans="5:5" x14ac:dyDescent="0.35">
      <c r="E1301"/>
    </row>
    <row r="1302" spans="5:5" x14ac:dyDescent="0.35">
      <c r="E1302"/>
    </row>
    <row r="1303" spans="5:5" x14ac:dyDescent="0.35">
      <c r="E1303"/>
    </row>
    <row r="1304" spans="5:5" x14ac:dyDescent="0.35">
      <c r="E1304"/>
    </row>
    <row r="1305" spans="5:5" x14ac:dyDescent="0.35">
      <c r="E1305"/>
    </row>
    <row r="1306" spans="5:5" x14ac:dyDescent="0.35">
      <c r="E1306"/>
    </row>
    <row r="1307" spans="5:5" x14ac:dyDescent="0.35">
      <c r="E1307"/>
    </row>
    <row r="1308" spans="5:5" x14ac:dyDescent="0.35">
      <c r="E1308"/>
    </row>
    <row r="1309" spans="5:5" x14ac:dyDescent="0.35">
      <c r="E1309"/>
    </row>
    <row r="1310" spans="5:5" x14ac:dyDescent="0.35">
      <c r="E1310"/>
    </row>
    <row r="1311" spans="5:5" x14ac:dyDescent="0.35">
      <c r="E1311"/>
    </row>
    <row r="1312" spans="5:5" x14ac:dyDescent="0.35">
      <c r="E1312"/>
    </row>
    <row r="1313" spans="5:5" x14ac:dyDescent="0.35">
      <c r="E1313"/>
    </row>
    <row r="1314" spans="5:5" x14ac:dyDescent="0.35">
      <c r="E1314"/>
    </row>
    <row r="1315" spans="5:5" x14ac:dyDescent="0.35">
      <c r="E1315"/>
    </row>
    <row r="1316" spans="5:5" x14ac:dyDescent="0.35">
      <c r="E1316"/>
    </row>
    <row r="1317" spans="5:5" x14ac:dyDescent="0.35">
      <c r="E1317"/>
    </row>
    <row r="1318" spans="5:5" x14ac:dyDescent="0.35">
      <c r="E1318"/>
    </row>
    <row r="1319" spans="5:5" x14ac:dyDescent="0.35">
      <c r="E1319"/>
    </row>
    <row r="1320" spans="5:5" x14ac:dyDescent="0.35">
      <c r="E1320"/>
    </row>
    <row r="1321" spans="5:5" x14ac:dyDescent="0.35">
      <c r="E1321"/>
    </row>
    <row r="1322" spans="5:5" x14ac:dyDescent="0.35">
      <c r="E1322"/>
    </row>
    <row r="1323" spans="5:5" x14ac:dyDescent="0.35">
      <c r="E1323"/>
    </row>
    <row r="1324" spans="5:5" x14ac:dyDescent="0.35">
      <c r="E1324"/>
    </row>
    <row r="1325" spans="5:5" x14ac:dyDescent="0.35">
      <c r="E1325"/>
    </row>
    <row r="1326" spans="5:5" x14ac:dyDescent="0.35">
      <c r="E1326"/>
    </row>
    <row r="1327" spans="5:5" x14ac:dyDescent="0.35">
      <c r="E1327"/>
    </row>
    <row r="1328" spans="5:5" x14ac:dyDescent="0.35">
      <c r="E1328"/>
    </row>
    <row r="1329" spans="5:5" x14ac:dyDescent="0.35">
      <c r="E1329"/>
    </row>
    <row r="1330" spans="5:5" x14ac:dyDescent="0.35">
      <c r="E1330"/>
    </row>
    <row r="1331" spans="5:5" x14ac:dyDescent="0.35">
      <c r="E1331"/>
    </row>
    <row r="1332" spans="5:5" x14ac:dyDescent="0.35">
      <c r="E1332"/>
    </row>
    <row r="1333" spans="5:5" x14ac:dyDescent="0.35">
      <c r="E1333"/>
    </row>
    <row r="1334" spans="5:5" x14ac:dyDescent="0.35">
      <c r="E1334"/>
    </row>
    <row r="1335" spans="5:5" x14ac:dyDescent="0.35">
      <c r="E1335"/>
    </row>
    <row r="1336" spans="5:5" x14ac:dyDescent="0.35">
      <c r="E1336"/>
    </row>
    <row r="1337" spans="5:5" x14ac:dyDescent="0.35">
      <c r="E1337"/>
    </row>
    <row r="1338" spans="5:5" x14ac:dyDescent="0.35">
      <c r="E1338"/>
    </row>
    <row r="1339" spans="5:5" x14ac:dyDescent="0.35">
      <c r="E1339"/>
    </row>
    <row r="1340" spans="5:5" x14ac:dyDescent="0.35">
      <c r="E1340"/>
    </row>
    <row r="1341" spans="5:5" x14ac:dyDescent="0.35">
      <c r="E1341"/>
    </row>
    <row r="1342" spans="5:5" x14ac:dyDescent="0.35">
      <c r="E1342"/>
    </row>
    <row r="1343" spans="5:5" x14ac:dyDescent="0.35">
      <c r="E1343"/>
    </row>
    <row r="1344" spans="5:5" x14ac:dyDescent="0.35">
      <c r="E1344"/>
    </row>
    <row r="1345" spans="5:5" x14ac:dyDescent="0.35">
      <c r="E1345"/>
    </row>
    <row r="1346" spans="5:5" x14ac:dyDescent="0.35">
      <c r="E1346"/>
    </row>
    <row r="1347" spans="5:5" x14ac:dyDescent="0.35">
      <c r="E1347"/>
    </row>
    <row r="1348" spans="5:5" x14ac:dyDescent="0.35">
      <c r="E1348"/>
    </row>
    <row r="1349" spans="5:5" x14ac:dyDescent="0.35">
      <c r="E1349"/>
    </row>
    <row r="1350" spans="5:5" x14ac:dyDescent="0.35">
      <c r="E1350"/>
    </row>
    <row r="1351" spans="5:5" x14ac:dyDescent="0.35">
      <c r="E1351"/>
    </row>
    <row r="1352" spans="5:5" x14ac:dyDescent="0.35">
      <c r="E1352"/>
    </row>
    <row r="1353" spans="5:5" x14ac:dyDescent="0.35">
      <c r="E1353"/>
    </row>
    <row r="1354" spans="5:5" x14ac:dyDescent="0.35">
      <c r="E1354"/>
    </row>
    <row r="1355" spans="5:5" x14ac:dyDescent="0.35">
      <c r="E1355"/>
    </row>
    <row r="1356" spans="5:5" x14ac:dyDescent="0.35">
      <c r="E1356"/>
    </row>
    <row r="1357" spans="5:5" x14ac:dyDescent="0.35">
      <c r="E1357"/>
    </row>
    <row r="1358" spans="5:5" x14ac:dyDescent="0.35">
      <c r="E1358"/>
    </row>
    <row r="1359" spans="5:5" x14ac:dyDescent="0.35">
      <c r="E1359"/>
    </row>
    <row r="1360" spans="5:5" x14ac:dyDescent="0.35">
      <c r="E1360"/>
    </row>
    <row r="1361" spans="5:5" x14ac:dyDescent="0.35">
      <c r="E1361"/>
    </row>
    <row r="1362" spans="5:5" x14ac:dyDescent="0.35">
      <c r="E1362"/>
    </row>
    <row r="1363" spans="5:5" x14ac:dyDescent="0.35">
      <c r="E1363"/>
    </row>
    <row r="1364" spans="5:5" x14ac:dyDescent="0.35">
      <c r="E1364"/>
    </row>
    <row r="1365" spans="5:5" x14ac:dyDescent="0.35">
      <c r="E1365"/>
    </row>
    <row r="1366" spans="5:5" x14ac:dyDescent="0.35">
      <c r="E1366"/>
    </row>
    <row r="1367" spans="5:5" x14ac:dyDescent="0.35">
      <c r="E1367"/>
    </row>
    <row r="1368" spans="5:5" x14ac:dyDescent="0.35">
      <c r="E1368"/>
    </row>
    <row r="1369" spans="5:5" x14ac:dyDescent="0.35">
      <c r="E1369"/>
    </row>
    <row r="1370" spans="5:5" x14ac:dyDescent="0.35">
      <c r="E1370"/>
    </row>
    <row r="1371" spans="5:5" x14ac:dyDescent="0.35">
      <c r="E1371"/>
    </row>
    <row r="1372" spans="5:5" x14ac:dyDescent="0.35">
      <c r="E1372"/>
    </row>
    <row r="1373" spans="5:5" x14ac:dyDescent="0.35">
      <c r="E1373"/>
    </row>
    <row r="1374" spans="5:5" x14ac:dyDescent="0.35">
      <c r="E1374"/>
    </row>
    <row r="1375" spans="5:5" x14ac:dyDescent="0.35">
      <c r="E1375"/>
    </row>
    <row r="1376" spans="5:5" x14ac:dyDescent="0.35">
      <c r="E1376"/>
    </row>
    <row r="1377" spans="5:5" x14ac:dyDescent="0.35">
      <c r="E1377"/>
    </row>
    <row r="1378" spans="5:5" x14ac:dyDescent="0.35">
      <c r="E1378"/>
    </row>
    <row r="1379" spans="5:5" x14ac:dyDescent="0.35">
      <c r="E1379"/>
    </row>
    <row r="1380" spans="5:5" x14ac:dyDescent="0.35">
      <c r="E1380"/>
    </row>
    <row r="1381" spans="5:5" x14ac:dyDescent="0.35">
      <c r="E1381"/>
    </row>
    <row r="1382" spans="5:5" x14ac:dyDescent="0.35">
      <c r="E1382"/>
    </row>
    <row r="1383" spans="5:5" x14ac:dyDescent="0.35">
      <c r="E1383"/>
    </row>
    <row r="1384" spans="5:5" x14ac:dyDescent="0.35">
      <c r="E1384"/>
    </row>
    <row r="1385" spans="5:5" x14ac:dyDescent="0.35">
      <c r="E1385"/>
    </row>
    <row r="1386" spans="5:5" x14ac:dyDescent="0.35">
      <c r="E1386"/>
    </row>
    <row r="1387" spans="5:5" x14ac:dyDescent="0.35">
      <c r="E1387"/>
    </row>
    <row r="1388" spans="5:5" x14ac:dyDescent="0.35">
      <c r="E1388"/>
    </row>
    <row r="1389" spans="5:5" x14ac:dyDescent="0.35">
      <c r="E1389"/>
    </row>
    <row r="1390" spans="5:5" x14ac:dyDescent="0.35">
      <c r="E1390"/>
    </row>
    <row r="1391" spans="5:5" x14ac:dyDescent="0.35">
      <c r="E1391"/>
    </row>
    <row r="1392" spans="5:5" x14ac:dyDescent="0.35">
      <c r="E1392"/>
    </row>
    <row r="1393" spans="5:5" x14ac:dyDescent="0.35">
      <c r="E1393"/>
    </row>
    <row r="1394" spans="5:5" x14ac:dyDescent="0.35">
      <c r="E1394"/>
    </row>
    <row r="1395" spans="5:5" x14ac:dyDescent="0.35">
      <c r="E1395"/>
    </row>
    <row r="1396" spans="5:5" x14ac:dyDescent="0.35">
      <c r="E1396"/>
    </row>
    <row r="1397" spans="5:5" x14ac:dyDescent="0.35">
      <c r="E1397"/>
    </row>
    <row r="1398" spans="5:5" x14ac:dyDescent="0.35">
      <c r="E1398"/>
    </row>
    <row r="1399" spans="5:5" x14ac:dyDescent="0.35">
      <c r="E1399"/>
    </row>
    <row r="1400" spans="5:5" x14ac:dyDescent="0.35">
      <c r="E1400"/>
    </row>
    <row r="1401" spans="5:5" x14ac:dyDescent="0.35">
      <c r="E1401"/>
    </row>
    <row r="1402" spans="5:5" x14ac:dyDescent="0.35">
      <c r="E1402"/>
    </row>
    <row r="1403" spans="5:5" x14ac:dyDescent="0.35">
      <c r="E1403"/>
    </row>
    <row r="1404" spans="5:5" x14ac:dyDescent="0.35">
      <c r="E1404"/>
    </row>
    <row r="1405" spans="5:5" x14ac:dyDescent="0.35">
      <c r="E1405"/>
    </row>
    <row r="1406" spans="5:5" x14ac:dyDescent="0.35">
      <c r="E1406"/>
    </row>
    <row r="1407" spans="5:5" x14ac:dyDescent="0.35">
      <c r="E1407"/>
    </row>
    <row r="1408" spans="5:5" x14ac:dyDescent="0.35">
      <c r="E1408"/>
    </row>
    <row r="1409" spans="5:5" x14ac:dyDescent="0.35">
      <c r="E1409"/>
    </row>
    <row r="1410" spans="5:5" x14ac:dyDescent="0.35">
      <c r="E1410"/>
    </row>
    <row r="1411" spans="5:5" x14ac:dyDescent="0.35">
      <c r="E1411"/>
    </row>
    <row r="1412" spans="5:5" x14ac:dyDescent="0.35">
      <c r="E1412"/>
    </row>
    <row r="1413" spans="5:5" x14ac:dyDescent="0.35">
      <c r="E1413"/>
    </row>
    <row r="1414" spans="5:5" x14ac:dyDescent="0.35">
      <c r="E1414"/>
    </row>
    <row r="1415" spans="5:5" x14ac:dyDescent="0.35">
      <c r="E1415"/>
    </row>
    <row r="1416" spans="5:5" x14ac:dyDescent="0.35">
      <c r="E1416"/>
    </row>
    <row r="1417" spans="5:5" x14ac:dyDescent="0.35">
      <c r="E1417"/>
    </row>
    <row r="1418" spans="5:5" x14ac:dyDescent="0.35">
      <c r="E1418"/>
    </row>
    <row r="1419" spans="5:5" x14ac:dyDescent="0.35">
      <c r="E1419"/>
    </row>
    <row r="1420" spans="5:5" x14ac:dyDescent="0.35">
      <c r="E1420"/>
    </row>
    <row r="1421" spans="5:5" x14ac:dyDescent="0.35">
      <c r="E1421"/>
    </row>
    <row r="1422" spans="5:5" x14ac:dyDescent="0.35">
      <c r="E1422"/>
    </row>
    <row r="1423" spans="5:5" x14ac:dyDescent="0.35">
      <c r="E1423"/>
    </row>
    <row r="1424" spans="5:5" x14ac:dyDescent="0.35">
      <c r="E1424"/>
    </row>
    <row r="1425" spans="5:5" x14ac:dyDescent="0.35">
      <c r="E1425"/>
    </row>
    <row r="1426" spans="5:5" x14ac:dyDescent="0.35">
      <c r="E1426"/>
    </row>
    <row r="1427" spans="5:5" x14ac:dyDescent="0.35">
      <c r="E1427"/>
    </row>
    <row r="1428" spans="5:5" x14ac:dyDescent="0.35">
      <c r="E1428"/>
    </row>
    <row r="1429" spans="5:5" x14ac:dyDescent="0.35">
      <c r="E1429"/>
    </row>
    <row r="1430" spans="5:5" x14ac:dyDescent="0.35">
      <c r="E1430"/>
    </row>
    <row r="1431" spans="5:5" x14ac:dyDescent="0.35">
      <c r="E1431"/>
    </row>
    <row r="1432" spans="5:5" x14ac:dyDescent="0.35">
      <c r="E1432"/>
    </row>
    <row r="1433" spans="5:5" x14ac:dyDescent="0.35">
      <c r="E1433"/>
    </row>
    <row r="1434" spans="5:5" x14ac:dyDescent="0.35">
      <c r="E1434"/>
    </row>
    <row r="1435" spans="5:5" x14ac:dyDescent="0.35">
      <c r="E1435"/>
    </row>
    <row r="1436" spans="5:5" x14ac:dyDescent="0.35">
      <c r="E1436"/>
    </row>
    <row r="1437" spans="5:5" x14ac:dyDescent="0.35">
      <c r="E1437"/>
    </row>
    <row r="1438" spans="5:5" x14ac:dyDescent="0.35">
      <c r="E1438"/>
    </row>
    <row r="1439" spans="5:5" x14ac:dyDescent="0.35">
      <c r="E1439"/>
    </row>
    <row r="1440" spans="5:5" x14ac:dyDescent="0.35">
      <c r="E1440"/>
    </row>
    <row r="1441" spans="5:5" x14ac:dyDescent="0.35">
      <c r="E1441"/>
    </row>
    <row r="1442" spans="5:5" x14ac:dyDescent="0.35">
      <c r="E1442"/>
    </row>
    <row r="1443" spans="5:5" x14ac:dyDescent="0.35">
      <c r="E1443"/>
    </row>
    <row r="1444" spans="5:5" x14ac:dyDescent="0.35">
      <c r="E1444"/>
    </row>
    <row r="1445" spans="5:5" x14ac:dyDescent="0.35">
      <c r="E1445"/>
    </row>
    <row r="1446" spans="5:5" x14ac:dyDescent="0.35">
      <c r="E1446"/>
    </row>
    <row r="1447" spans="5:5" x14ac:dyDescent="0.35">
      <c r="E1447"/>
    </row>
    <row r="1448" spans="5:5" x14ac:dyDescent="0.35">
      <c r="E1448"/>
    </row>
    <row r="1449" spans="5:5" x14ac:dyDescent="0.35">
      <c r="E1449"/>
    </row>
    <row r="1450" spans="5:5" x14ac:dyDescent="0.35">
      <c r="E1450"/>
    </row>
    <row r="1451" spans="5:5" x14ac:dyDescent="0.35">
      <c r="E1451"/>
    </row>
    <row r="1452" spans="5:5" x14ac:dyDescent="0.35">
      <c r="E1452"/>
    </row>
    <row r="1453" spans="5:5" x14ac:dyDescent="0.35">
      <c r="E1453"/>
    </row>
    <row r="1454" spans="5:5" x14ac:dyDescent="0.35">
      <c r="E1454"/>
    </row>
    <row r="1455" spans="5:5" x14ac:dyDescent="0.35">
      <c r="E1455"/>
    </row>
    <row r="1456" spans="5:5" x14ac:dyDescent="0.35">
      <c r="E1456"/>
    </row>
    <row r="1457" spans="5:5" x14ac:dyDescent="0.35">
      <c r="E1457"/>
    </row>
    <row r="1458" spans="5:5" x14ac:dyDescent="0.35">
      <c r="E1458"/>
    </row>
    <row r="1459" spans="5:5" x14ac:dyDescent="0.35">
      <c r="E1459"/>
    </row>
    <row r="1460" spans="5:5" x14ac:dyDescent="0.35">
      <c r="E1460"/>
    </row>
    <row r="1461" spans="5:5" x14ac:dyDescent="0.35">
      <c r="E1461"/>
    </row>
    <row r="1462" spans="5:5" x14ac:dyDescent="0.35">
      <c r="E1462"/>
    </row>
    <row r="1463" spans="5:5" x14ac:dyDescent="0.35">
      <c r="E1463"/>
    </row>
    <row r="1464" spans="5:5" x14ac:dyDescent="0.35">
      <c r="E1464"/>
    </row>
    <row r="1465" spans="5:5" x14ac:dyDescent="0.35">
      <c r="E1465"/>
    </row>
    <row r="1466" spans="5:5" x14ac:dyDescent="0.35">
      <c r="E1466"/>
    </row>
    <row r="1467" spans="5:5" x14ac:dyDescent="0.35">
      <c r="E1467"/>
    </row>
    <row r="1468" spans="5:5" x14ac:dyDescent="0.35">
      <c r="E1468"/>
    </row>
    <row r="1469" spans="5:5" x14ac:dyDescent="0.35">
      <c r="E1469"/>
    </row>
    <row r="1470" spans="5:5" x14ac:dyDescent="0.35">
      <c r="E1470"/>
    </row>
    <row r="1471" spans="5:5" x14ac:dyDescent="0.35">
      <c r="E1471"/>
    </row>
    <row r="1472" spans="5:5" x14ac:dyDescent="0.35">
      <c r="E1472"/>
    </row>
    <row r="1473" spans="5:5" x14ac:dyDescent="0.35">
      <c r="E1473"/>
    </row>
    <row r="1474" spans="5:5" x14ac:dyDescent="0.35">
      <c r="E1474"/>
    </row>
    <row r="1475" spans="5:5" x14ac:dyDescent="0.35">
      <c r="E1475"/>
    </row>
    <row r="1476" spans="5:5" x14ac:dyDescent="0.35">
      <c r="E1476"/>
    </row>
    <row r="1477" spans="5:5" x14ac:dyDescent="0.35">
      <c r="E1477"/>
    </row>
    <row r="1478" spans="5:5" x14ac:dyDescent="0.35">
      <c r="E1478"/>
    </row>
    <row r="1479" spans="5:5" x14ac:dyDescent="0.35">
      <c r="E1479"/>
    </row>
    <row r="1480" spans="5:5" x14ac:dyDescent="0.35">
      <c r="E1480"/>
    </row>
    <row r="1481" spans="5:5" x14ac:dyDescent="0.35">
      <c r="E1481"/>
    </row>
    <row r="1482" spans="5:5" x14ac:dyDescent="0.35">
      <c r="E1482"/>
    </row>
    <row r="1483" spans="5:5" x14ac:dyDescent="0.35">
      <c r="E1483"/>
    </row>
    <row r="1484" spans="5:5" x14ac:dyDescent="0.35">
      <c r="E1484"/>
    </row>
    <row r="1485" spans="5:5" x14ac:dyDescent="0.35">
      <c r="E1485"/>
    </row>
    <row r="1486" spans="5:5" x14ac:dyDescent="0.35">
      <c r="E1486"/>
    </row>
    <row r="1487" spans="5:5" x14ac:dyDescent="0.35">
      <c r="E1487"/>
    </row>
    <row r="1488" spans="5:5" x14ac:dyDescent="0.35">
      <c r="E1488"/>
    </row>
    <row r="1489" spans="5:5" x14ac:dyDescent="0.35">
      <c r="E1489"/>
    </row>
    <row r="1490" spans="5:5" x14ac:dyDescent="0.35">
      <c r="E1490"/>
    </row>
    <row r="1491" spans="5:5" x14ac:dyDescent="0.35">
      <c r="E1491"/>
    </row>
    <row r="1492" spans="5:5" x14ac:dyDescent="0.35">
      <c r="E1492"/>
    </row>
    <row r="1493" spans="5:5" x14ac:dyDescent="0.35">
      <c r="E1493"/>
    </row>
    <row r="1494" spans="5:5" x14ac:dyDescent="0.35">
      <c r="E1494"/>
    </row>
    <row r="1495" spans="5:5" x14ac:dyDescent="0.35">
      <c r="E1495"/>
    </row>
    <row r="1496" spans="5:5" x14ac:dyDescent="0.35">
      <c r="E1496"/>
    </row>
    <row r="1497" spans="5:5" x14ac:dyDescent="0.35">
      <c r="E1497"/>
    </row>
    <row r="1498" spans="5:5" x14ac:dyDescent="0.35">
      <c r="E1498"/>
    </row>
    <row r="1499" spans="5:5" x14ac:dyDescent="0.35">
      <c r="E1499"/>
    </row>
    <row r="1500" spans="5:5" x14ac:dyDescent="0.35">
      <c r="E1500"/>
    </row>
    <row r="1501" spans="5:5" x14ac:dyDescent="0.35">
      <c r="E1501"/>
    </row>
    <row r="1502" spans="5:5" x14ac:dyDescent="0.35">
      <c r="E1502"/>
    </row>
    <row r="1503" spans="5:5" x14ac:dyDescent="0.35">
      <c r="E1503"/>
    </row>
    <row r="1504" spans="5:5" x14ac:dyDescent="0.35">
      <c r="E1504"/>
    </row>
    <row r="1505" spans="5:5" x14ac:dyDescent="0.35">
      <c r="E1505"/>
    </row>
    <row r="1506" spans="5:5" x14ac:dyDescent="0.35">
      <c r="E1506"/>
    </row>
    <row r="1507" spans="5:5" x14ac:dyDescent="0.35">
      <c r="E1507"/>
    </row>
    <row r="1508" spans="5:5" x14ac:dyDescent="0.35">
      <c r="E1508"/>
    </row>
    <row r="1509" spans="5:5" x14ac:dyDescent="0.35">
      <c r="E1509"/>
    </row>
    <row r="1510" spans="5:5" x14ac:dyDescent="0.35">
      <c r="E1510"/>
    </row>
    <row r="1511" spans="5:5" x14ac:dyDescent="0.35">
      <c r="E1511"/>
    </row>
    <row r="1512" spans="5:5" x14ac:dyDescent="0.35">
      <c r="E1512"/>
    </row>
    <row r="1513" spans="5:5" x14ac:dyDescent="0.35">
      <c r="E1513"/>
    </row>
    <row r="1514" spans="5:5" x14ac:dyDescent="0.35">
      <c r="E1514"/>
    </row>
    <row r="1515" spans="5:5" x14ac:dyDescent="0.35">
      <c r="E1515"/>
    </row>
    <row r="1516" spans="5:5" x14ac:dyDescent="0.35">
      <c r="E1516"/>
    </row>
    <row r="1517" spans="5:5" x14ac:dyDescent="0.35">
      <c r="E1517"/>
    </row>
    <row r="1518" spans="5:5" x14ac:dyDescent="0.35">
      <c r="E1518"/>
    </row>
    <row r="1519" spans="5:5" x14ac:dyDescent="0.35">
      <c r="E1519"/>
    </row>
    <row r="1520" spans="5:5" x14ac:dyDescent="0.35">
      <c r="E1520"/>
    </row>
    <row r="1521" spans="5:5" x14ac:dyDescent="0.35">
      <c r="E1521"/>
    </row>
    <row r="1522" spans="5:5" x14ac:dyDescent="0.35">
      <c r="E1522"/>
    </row>
    <row r="1523" spans="5:5" x14ac:dyDescent="0.35">
      <c r="E1523"/>
    </row>
    <row r="1524" spans="5:5" x14ac:dyDescent="0.35">
      <c r="E1524"/>
    </row>
    <row r="1525" spans="5:5" x14ac:dyDescent="0.35">
      <c r="E1525"/>
    </row>
    <row r="1526" spans="5:5" x14ac:dyDescent="0.35">
      <c r="E1526"/>
    </row>
    <row r="1527" spans="5:5" x14ac:dyDescent="0.35">
      <c r="E1527"/>
    </row>
    <row r="1528" spans="5:5" x14ac:dyDescent="0.35">
      <c r="E1528"/>
    </row>
    <row r="1529" spans="5:5" x14ac:dyDescent="0.35">
      <c r="E1529"/>
    </row>
    <row r="1530" spans="5:5" x14ac:dyDescent="0.35">
      <c r="E1530"/>
    </row>
    <row r="1531" spans="5:5" x14ac:dyDescent="0.35">
      <c r="E1531"/>
    </row>
    <row r="1532" spans="5:5" x14ac:dyDescent="0.35">
      <c r="E1532"/>
    </row>
    <row r="1533" spans="5:5" x14ac:dyDescent="0.35">
      <c r="E1533"/>
    </row>
    <row r="1534" spans="5:5" x14ac:dyDescent="0.35">
      <c r="E1534"/>
    </row>
    <row r="1535" spans="5:5" x14ac:dyDescent="0.35">
      <c r="E1535"/>
    </row>
    <row r="1536" spans="5:5" x14ac:dyDescent="0.35">
      <c r="E1536"/>
    </row>
    <row r="1537" spans="5:5" x14ac:dyDescent="0.35">
      <c r="E1537"/>
    </row>
    <row r="1538" spans="5:5" x14ac:dyDescent="0.35">
      <c r="E1538"/>
    </row>
    <row r="1539" spans="5:5" x14ac:dyDescent="0.35">
      <c r="E1539"/>
    </row>
    <row r="1540" spans="5:5" x14ac:dyDescent="0.35">
      <c r="E1540"/>
    </row>
    <row r="1541" spans="5:5" x14ac:dyDescent="0.35">
      <c r="E1541"/>
    </row>
    <row r="1542" spans="5:5" x14ac:dyDescent="0.35">
      <c r="E1542"/>
    </row>
    <row r="1543" spans="5:5" x14ac:dyDescent="0.35">
      <c r="E1543"/>
    </row>
    <row r="1544" spans="5:5" x14ac:dyDescent="0.35">
      <c r="E1544"/>
    </row>
    <row r="1545" spans="5:5" x14ac:dyDescent="0.35">
      <c r="E1545"/>
    </row>
    <row r="1546" spans="5:5" x14ac:dyDescent="0.35">
      <c r="E1546"/>
    </row>
    <row r="1547" spans="5:5" x14ac:dyDescent="0.35">
      <c r="E1547"/>
    </row>
    <row r="1548" spans="5:5" x14ac:dyDescent="0.35">
      <c r="E1548"/>
    </row>
    <row r="1549" spans="5:5" x14ac:dyDescent="0.35">
      <c r="E1549"/>
    </row>
    <row r="1550" spans="5:5" x14ac:dyDescent="0.35">
      <c r="E1550"/>
    </row>
    <row r="1551" spans="5:5" x14ac:dyDescent="0.35">
      <c r="E1551"/>
    </row>
    <row r="1552" spans="5:5" x14ac:dyDescent="0.35">
      <c r="E1552"/>
    </row>
    <row r="1553" spans="5:5" x14ac:dyDescent="0.35">
      <c r="E1553"/>
    </row>
    <row r="1554" spans="5:5" x14ac:dyDescent="0.35">
      <c r="E1554"/>
    </row>
    <row r="1555" spans="5:5" x14ac:dyDescent="0.35">
      <c r="E1555"/>
    </row>
    <row r="1556" spans="5:5" x14ac:dyDescent="0.35">
      <c r="E1556"/>
    </row>
    <row r="1557" spans="5:5" x14ac:dyDescent="0.35">
      <c r="E1557"/>
    </row>
    <row r="1558" spans="5:5" x14ac:dyDescent="0.35">
      <c r="E1558"/>
    </row>
    <row r="1559" spans="5:5" x14ac:dyDescent="0.35">
      <c r="E1559"/>
    </row>
    <row r="1560" spans="5:5" x14ac:dyDescent="0.35">
      <c r="E1560"/>
    </row>
    <row r="1561" spans="5:5" x14ac:dyDescent="0.35">
      <c r="E1561"/>
    </row>
    <row r="1562" spans="5:5" x14ac:dyDescent="0.35">
      <c r="E1562"/>
    </row>
    <row r="1563" spans="5:5" x14ac:dyDescent="0.35">
      <c r="E1563"/>
    </row>
    <row r="1564" spans="5:5" x14ac:dyDescent="0.35">
      <c r="E1564"/>
    </row>
    <row r="1565" spans="5:5" x14ac:dyDescent="0.35">
      <c r="E1565"/>
    </row>
    <row r="1566" spans="5:5" x14ac:dyDescent="0.35">
      <c r="E1566"/>
    </row>
    <row r="1567" spans="5:5" x14ac:dyDescent="0.35">
      <c r="E1567"/>
    </row>
    <row r="1568" spans="5:5" x14ac:dyDescent="0.35">
      <c r="E1568"/>
    </row>
    <row r="1569" spans="5:5" x14ac:dyDescent="0.35">
      <c r="E1569"/>
    </row>
    <row r="1570" spans="5:5" x14ac:dyDescent="0.35">
      <c r="E1570"/>
    </row>
    <row r="1571" spans="5:5" x14ac:dyDescent="0.35">
      <c r="E1571"/>
    </row>
    <row r="1572" spans="5:5" x14ac:dyDescent="0.35">
      <c r="E1572"/>
    </row>
    <row r="1573" spans="5:5" x14ac:dyDescent="0.35">
      <c r="E1573"/>
    </row>
    <row r="1574" spans="5:5" x14ac:dyDescent="0.35">
      <c r="E1574"/>
    </row>
    <row r="1575" spans="5:5" x14ac:dyDescent="0.35">
      <c r="E1575"/>
    </row>
    <row r="1576" spans="5:5" x14ac:dyDescent="0.35">
      <c r="E1576"/>
    </row>
    <row r="1577" spans="5:5" x14ac:dyDescent="0.35">
      <c r="E1577"/>
    </row>
    <row r="1578" spans="5:5" x14ac:dyDescent="0.35">
      <c r="E1578"/>
    </row>
    <row r="1579" spans="5:5" x14ac:dyDescent="0.35">
      <c r="E1579"/>
    </row>
    <row r="1580" spans="5:5" x14ac:dyDescent="0.35">
      <c r="E1580"/>
    </row>
    <row r="1581" spans="5:5" x14ac:dyDescent="0.35">
      <c r="E1581"/>
    </row>
    <row r="1582" spans="5:5" x14ac:dyDescent="0.35">
      <c r="E1582"/>
    </row>
    <row r="1583" spans="5:5" x14ac:dyDescent="0.35">
      <c r="E1583"/>
    </row>
    <row r="1584" spans="5:5" x14ac:dyDescent="0.35">
      <c r="E1584"/>
    </row>
    <row r="1585" spans="5:5" x14ac:dyDescent="0.35">
      <c r="E1585"/>
    </row>
    <row r="1586" spans="5:5" x14ac:dyDescent="0.35">
      <c r="E1586"/>
    </row>
    <row r="1587" spans="5:5" x14ac:dyDescent="0.35">
      <c r="E1587"/>
    </row>
    <row r="1588" spans="5:5" x14ac:dyDescent="0.35">
      <c r="E1588"/>
    </row>
    <row r="1589" spans="5:5" x14ac:dyDescent="0.35">
      <c r="E1589"/>
    </row>
    <row r="1590" spans="5:5" x14ac:dyDescent="0.35">
      <c r="E1590"/>
    </row>
    <row r="1591" spans="5:5" x14ac:dyDescent="0.35">
      <c r="E1591"/>
    </row>
    <row r="1592" spans="5:5" x14ac:dyDescent="0.35">
      <c r="E1592"/>
    </row>
    <row r="1593" spans="5:5" x14ac:dyDescent="0.35">
      <c r="E1593"/>
    </row>
    <row r="1594" spans="5:5" x14ac:dyDescent="0.35">
      <c r="E1594"/>
    </row>
    <row r="1595" spans="5:5" x14ac:dyDescent="0.35">
      <c r="E1595"/>
    </row>
    <row r="1596" spans="5:5" x14ac:dyDescent="0.35">
      <c r="E1596"/>
    </row>
    <row r="1597" spans="5:5" x14ac:dyDescent="0.35">
      <c r="E1597"/>
    </row>
    <row r="1598" spans="5:5" x14ac:dyDescent="0.35">
      <c r="E1598"/>
    </row>
    <row r="1599" spans="5:5" x14ac:dyDescent="0.35">
      <c r="E1599"/>
    </row>
    <row r="1600" spans="5:5" x14ac:dyDescent="0.35">
      <c r="E1600"/>
    </row>
    <row r="1601" spans="5:5" x14ac:dyDescent="0.35">
      <c r="E1601"/>
    </row>
    <row r="1602" spans="5:5" x14ac:dyDescent="0.35">
      <c r="E1602"/>
    </row>
    <row r="1603" spans="5:5" x14ac:dyDescent="0.35">
      <c r="E1603"/>
    </row>
    <row r="1604" spans="5:5" x14ac:dyDescent="0.35">
      <c r="E1604"/>
    </row>
    <row r="1605" spans="5:5" x14ac:dyDescent="0.35">
      <c r="E1605"/>
    </row>
    <row r="1606" spans="5:5" x14ac:dyDescent="0.35">
      <c r="E1606"/>
    </row>
    <row r="1607" spans="5:5" x14ac:dyDescent="0.35">
      <c r="E1607"/>
    </row>
    <row r="1608" spans="5:5" x14ac:dyDescent="0.35">
      <c r="E1608"/>
    </row>
    <row r="1609" spans="5:5" x14ac:dyDescent="0.35">
      <c r="E1609"/>
    </row>
    <row r="1610" spans="5:5" x14ac:dyDescent="0.35">
      <c r="E1610"/>
    </row>
    <row r="1611" spans="5:5" x14ac:dyDescent="0.35">
      <c r="E1611"/>
    </row>
    <row r="1612" spans="5:5" x14ac:dyDescent="0.35">
      <c r="E1612"/>
    </row>
    <row r="1613" spans="5:5" x14ac:dyDescent="0.35">
      <c r="E1613"/>
    </row>
    <row r="1614" spans="5:5" x14ac:dyDescent="0.35">
      <c r="E1614"/>
    </row>
    <row r="1615" spans="5:5" x14ac:dyDescent="0.35">
      <c r="E1615"/>
    </row>
    <row r="1616" spans="5:5" x14ac:dyDescent="0.35">
      <c r="E1616"/>
    </row>
    <row r="1617" spans="5:5" x14ac:dyDescent="0.35">
      <c r="E1617"/>
    </row>
    <row r="1618" spans="5:5" x14ac:dyDescent="0.35">
      <c r="E1618"/>
    </row>
    <row r="1619" spans="5:5" x14ac:dyDescent="0.35">
      <c r="E1619"/>
    </row>
    <row r="1620" spans="5:5" x14ac:dyDescent="0.35">
      <c r="E1620"/>
    </row>
    <row r="1621" spans="5:5" x14ac:dyDescent="0.35">
      <c r="E1621"/>
    </row>
    <row r="1622" spans="5:5" x14ac:dyDescent="0.35">
      <c r="E1622"/>
    </row>
    <row r="1623" spans="5:5" x14ac:dyDescent="0.35">
      <c r="E1623"/>
    </row>
    <row r="1624" spans="5:5" x14ac:dyDescent="0.35">
      <c r="E1624"/>
    </row>
    <row r="1625" spans="5:5" x14ac:dyDescent="0.35">
      <c r="E1625"/>
    </row>
    <row r="1626" spans="5:5" x14ac:dyDescent="0.35">
      <c r="E1626"/>
    </row>
    <row r="1627" spans="5:5" x14ac:dyDescent="0.35">
      <c r="E1627"/>
    </row>
    <row r="1628" spans="5:5" x14ac:dyDescent="0.35">
      <c r="E1628"/>
    </row>
    <row r="1629" spans="5:5" x14ac:dyDescent="0.35">
      <c r="E1629"/>
    </row>
    <row r="1630" spans="5:5" x14ac:dyDescent="0.35">
      <c r="E1630"/>
    </row>
    <row r="1631" spans="5:5" x14ac:dyDescent="0.35">
      <c r="E1631"/>
    </row>
    <row r="1632" spans="5:5" x14ac:dyDescent="0.35">
      <c r="E1632"/>
    </row>
    <row r="1633" spans="5:5" x14ac:dyDescent="0.35">
      <c r="E1633"/>
    </row>
    <row r="1634" spans="5:5" x14ac:dyDescent="0.35">
      <c r="E1634"/>
    </row>
    <row r="1635" spans="5:5" x14ac:dyDescent="0.35">
      <c r="E1635"/>
    </row>
    <row r="1636" spans="5:5" x14ac:dyDescent="0.35">
      <c r="E1636"/>
    </row>
    <row r="1637" spans="5:5" x14ac:dyDescent="0.35">
      <c r="E1637"/>
    </row>
    <row r="1638" spans="5:5" x14ac:dyDescent="0.35">
      <c r="E1638"/>
    </row>
    <row r="1639" spans="5:5" x14ac:dyDescent="0.35">
      <c r="E1639"/>
    </row>
    <row r="1640" spans="5:5" x14ac:dyDescent="0.35">
      <c r="E1640"/>
    </row>
    <row r="1641" spans="5:5" x14ac:dyDescent="0.35">
      <c r="E1641"/>
    </row>
    <row r="1642" spans="5:5" x14ac:dyDescent="0.35">
      <c r="E1642"/>
    </row>
    <row r="1643" spans="5:5" x14ac:dyDescent="0.35">
      <c r="E1643"/>
    </row>
    <row r="1644" spans="5:5" x14ac:dyDescent="0.35">
      <c r="E1644"/>
    </row>
    <row r="1645" spans="5:5" x14ac:dyDescent="0.35">
      <c r="E1645"/>
    </row>
    <row r="1646" spans="5:5" x14ac:dyDescent="0.35">
      <c r="E1646"/>
    </row>
    <row r="1647" spans="5:5" x14ac:dyDescent="0.35">
      <c r="E1647"/>
    </row>
    <row r="1648" spans="5:5" x14ac:dyDescent="0.35">
      <c r="E1648"/>
    </row>
    <row r="1649" spans="5:5" x14ac:dyDescent="0.35">
      <c r="E1649"/>
    </row>
    <row r="1650" spans="5:5" x14ac:dyDescent="0.35">
      <c r="E1650"/>
    </row>
    <row r="1651" spans="5:5" x14ac:dyDescent="0.35">
      <c r="E1651"/>
    </row>
    <row r="1652" spans="5:5" x14ac:dyDescent="0.35">
      <c r="E1652"/>
    </row>
    <row r="1653" spans="5:5" x14ac:dyDescent="0.35">
      <c r="E1653"/>
    </row>
    <row r="1654" spans="5:5" x14ac:dyDescent="0.35">
      <c r="E1654"/>
    </row>
    <row r="1655" spans="5:5" x14ac:dyDescent="0.35">
      <c r="E1655"/>
    </row>
    <row r="1656" spans="5:5" x14ac:dyDescent="0.35">
      <c r="E1656"/>
    </row>
    <row r="1657" spans="5:5" x14ac:dyDescent="0.35">
      <c r="E1657"/>
    </row>
    <row r="1658" spans="5:5" x14ac:dyDescent="0.35">
      <c r="E1658"/>
    </row>
    <row r="1659" spans="5:5" x14ac:dyDescent="0.35">
      <c r="E1659"/>
    </row>
    <row r="1660" spans="5:5" x14ac:dyDescent="0.35">
      <c r="E1660"/>
    </row>
    <row r="1661" spans="5:5" x14ac:dyDescent="0.35">
      <c r="E1661"/>
    </row>
    <row r="1662" spans="5:5" x14ac:dyDescent="0.35">
      <c r="E1662"/>
    </row>
    <row r="1663" spans="5:5" x14ac:dyDescent="0.35">
      <c r="E1663"/>
    </row>
    <row r="1664" spans="5:5" x14ac:dyDescent="0.35">
      <c r="E1664"/>
    </row>
    <row r="1665" spans="5:5" x14ac:dyDescent="0.35">
      <c r="E1665"/>
    </row>
    <row r="1666" spans="5:5" x14ac:dyDescent="0.35">
      <c r="E1666"/>
    </row>
    <row r="1667" spans="5:5" x14ac:dyDescent="0.35">
      <c r="E1667"/>
    </row>
    <row r="1668" spans="5:5" x14ac:dyDescent="0.35">
      <c r="E1668"/>
    </row>
    <row r="1669" spans="5:5" x14ac:dyDescent="0.35">
      <c r="E1669"/>
    </row>
    <row r="1670" spans="5:5" x14ac:dyDescent="0.35">
      <c r="E1670"/>
    </row>
    <row r="1671" spans="5:5" x14ac:dyDescent="0.35">
      <c r="E1671"/>
    </row>
    <row r="1672" spans="5:5" x14ac:dyDescent="0.35">
      <c r="E1672"/>
    </row>
    <row r="1673" spans="5:5" x14ac:dyDescent="0.35">
      <c r="E1673"/>
    </row>
    <row r="1674" spans="5:5" x14ac:dyDescent="0.35">
      <c r="E1674"/>
    </row>
    <row r="1675" spans="5:5" x14ac:dyDescent="0.35">
      <c r="E1675"/>
    </row>
    <row r="1676" spans="5:5" x14ac:dyDescent="0.35">
      <c r="E1676"/>
    </row>
    <row r="1677" spans="5:5" x14ac:dyDescent="0.35">
      <c r="E1677"/>
    </row>
    <row r="1678" spans="5:5" x14ac:dyDescent="0.35">
      <c r="E1678"/>
    </row>
    <row r="1679" spans="5:5" x14ac:dyDescent="0.35">
      <c r="E1679"/>
    </row>
    <row r="1680" spans="5:5" x14ac:dyDescent="0.35">
      <c r="E1680"/>
    </row>
    <row r="1681" spans="5:5" x14ac:dyDescent="0.35">
      <c r="E1681"/>
    </row>
    <row r="1682" spans="5:5" x14ac:dyDescent="0.35">
      <c r="E1682"/>
    </row>
    <row r="1683" spans="5:5" x14ac:dyDescent="0.35">
      <c r="E1683"/>
    </row>
    <row r="1684" spans="5:5" x14ac:dyDescent="0.35">
      <c r="E1684"/>
    </row>
    <row r="1685" spans="5:5" x14ac:dyDescent="0.35">
      <c r="E1685"/>
    </row>
    <row r="1686" spans="5:5" x14ac:dyDescent="0.35">
      <c r="E1686"/>
    </row>
    <row r="1687" spans="5:5" x14ac:dyDescent="0.35">
      <c r="E1687"/>
    </row>
    <row r="1688" spans="5:5" x14ac:dyDescent="0.35">
      <c r="E1688"/>
    </row>
    <row r="1689" spans="5:5" x14ac:dyDescent="0.35">
      <c r="E1689"/>
    </row>
    <row r="1690" spans="5:5" x14ac:dyDescent="0.35">
      <c r="E1690"/>
    </row>
    <row r="1691" spans="5:5" x14ac:dyDescent="0.35">
      <c r="E1691"/>
    </row>
    <row r="1692" spans="5:5" x14ac:dyDescent="0.35">
      <c r="E1692"/>
    </row>
    <row r="1693" spans="5:5" x14ac:dyDescent="0.35">
      <c r="E1693"/>
    </row>
    <row r="1694" spans="5:5" x14ac:dyDescent="0.35">
      <c r="E1694"/>
    </row>
    <row r="1695" spans="5:5" x14ac:dyDescent="0.35">
      <c r="E1695"/>
    </row>
    <row r="1696" spans="5:5" x14ac:dyDescent="0.35">
      <c r="E1696"/>
    </row>
    <row r="1697" spans="5:5" x14ac:dyDescent="0.35">
      <c r="E1697"/>
    </row>
    <row r="1698" spans="5:5" x14ac:dyDescent="0.35">
      <c r="E1698"/>
    </row>
    <row r="1699" spans="5:5" x14ac:dyDescent="0.35">
      <c r="E1699"/>
    </row>
    <row r="1700" spans="5:5" x14ac:dyDescent="0.35">
      <c r="E1700"/>
    </row>
    <row r="1701" spans="5:5" x14ac:dyDescent="0.35">
      <c r="E1701"/>
    </row>
    <row r="1702" spans="5:5" x14ac:dyDescent="0.35">
      <c r="E1702"/>
    </row>
    <row r="1703" spans="5:5" x14ac:dyDescent="0.35">
      <c r="E1703"/>
    </row>
    <row r="1704" spans="5:5" x14ac:dyDescent="0.35">
      <c r="E1704"/>
    </row>
    <row r="1705" spans="5:5" x14ac:dyDescent="0.35">
      <c r="E1705"/>
    </row>
    <row r="1706" spans="5:5" x14ac:dyDescent="0.35">
      <c r="E1706"/>
    </row>
    <row r="1707" spans="5:5" x14ac:dyDescent="0.35">
      <c r="E1707"/>
    </row>
    <row r="1708" spans="5:5" x14ac:dyDescent="0.35">
      <c r="E1708"/>
    </row>
    <row r="1709" spans="5:5" x14ac:dyDescent="0.35">
      <c r="E1709"/>
    </row>
    <row r="1710" spans="5:5" x14ac:dyDescent="0.35">
      <c r="E1710"/>
    </row>
    <row r="1711" spans="5:5" x14ac:dyDescent="0.35">
      <c r="E1711"/>
    </row>
    <row r="1712" spans="5:5" x14ac:dyDescent="0.35">
      <c r="E1712"/>
    </row>
    <row r="1713" spans="5:5" x14ac:dyDescent="0.35">
      <c r="E1713"/>
    </row>
    <row r="1714" spans="5:5" x14ac:dyDescent="0.35">
      <c r="E1714"/>
    </row>
    <row r="1715" spans="5:5" x14ac:dyDescent="0.35">
      <c r="E1715"/>
    </row>
    <row r="1716" spans="5:5" x14ac:dyDescent="0.35">
      <c r="E1716"/>
    </row>
    <row r="1717" spans="5:5" x14ac:dyDescent="0.35">
      <c r="E1717"/>
    </row>
    <row r="1718" spans="5:5" x14ac:dyDescent="0.35">
      <c r="E1718"/>
    </row>
    <row r="1719" spans="5:5" x14ac:dyDescent="0.35">
      <c r="E1719"/>
    </row>
    <row r="1720" spans="5:5" x14ac:dyDescent="0.35">
      <c r="E1720"/>
    </row>
    <row r="1721" spans="5:5" x14ac:dyDescent="0.35">
      <c r="E1721"/>
    </row>
    <row r="1722" spans="5:5" x14ac:dyDescent="0.35">
      <c r="E1722"/>
    </row>
    <row r="1723" spans="5:5" x14ac:dyDescent="0.35">
      <c r="E1723"/>
    </row>
    <row r="1724" spans="5:5" x14ac:dyDescent="0.35">
      <c r="E1724"/>
    </row>
    <row r="1725" spans="5:5" x14ac:dyDescent="0.35">
      <c r="E1725"/>
    </row>
    <row r="1726" spans="5:5" x14ac:dyDescent="0.35">
      <c r="E1726"/>
    </row>
    <row r="1727" spans="5:5" x14ac:dyDescent="0.35">
      <c r="E1727"/>
    </row>
    <row r="1728" spans="5:5" x14ac:dyDescent="0.35">
      <c r="E1728"/>
    </row>
    <row r="1729" spans="5:5" x14ac:dyDescent="0.35">
      <c r="E1729"/>
    </row>
    <row r="1730" spans="5:5" x14ac:dyDescent="0.35">
      <c r="E1730"/>
    </row>
    <row r="1731" spans="5:5" x14ac:dyDescent="0.35">
      <c r="E1731"/>
    </row>
    <row r="1732" spans="5:5" x14ac:dyDescent="0.35">
      <c r="E1732"/>
    </row>
    <row r="1733" spans="5:5" x14ac:dyDescent="0.35">
      <c r="E1733"/>
    </row>
    <row r="1734" spans="5:5" x14ac:dyDescent="0.35">
      <c r="E1734"/>
    </row>
    <row r="1735" spans="5:5" x14ac:dyDescent="0.35">
      <c r="E1735"/>
    </row>
    <row r="1736" spans="5:5" x14ac:dyDescent="0.35">
      <c r="E1736"/>
    </row>
    <row r="1737" spans="5:5" x14ac:dyDescent="0.35">
      <c r="E1737"/>
    </row>
    <row r="1738" spans="5:5" x14ac:dyDescent="0.35">
      <c r="E1738"/>
    </row>
    <row r="1739" spans="5:5" x14ac:dyDescent="0.35">
      <c r="E1739"/>
    </row>
    <row r="1740" spans="5:5" x14ac:dyDescent="0.35">
      <c r="E1740"/>
    </row>
    <row r="1741" spans="5:5" x14ac:dyDescent="0.35">
      <c r="E1741"/>
    </row>
    <row r="1742" spans="5:5" x14ac:dyDescent="0.35">
      <c r="E1742"/>
    </row>
    <row r="1743" spans="5:5" x14ac:dyDescent="0.35">
      <c r="E1743"/>
    </row>
    <row r="1744" spans="5:5" x14ac:dyDescent="0.35">
      <c r="E1744"/>
    </row>
    <row r="1745" spans="5:5" x14ac:dyDescent="0.35">
      <c r="E1745"/>
    </row>
    <row r="1746" spans="5:5" x14ac:dyDescent="0.35">
      <c r="E1746"/>
    </row>
    <row r="1747" spans="5:5" x14ac:dyDescent="0.35">
      <c r="E1747"/>
    </row>
    <row r="1748" spans="5:5" x14ac:dyDescent="0.35">
      <c r="E1748"/>
    </row>
    <row r="1749" spans="5:5" x14ac:dyDescent="0.35">
      <c r="E1749"/>
    </row>
    <row r="1750" spans="5:5" x14ac:dyDescent="0.35">
      <c r="E1750"/>
    </row>
    <row r="1751" spans="5:5" x14ac:dyDescent="0.35">
      <c r="E1751"/>
    </row>
    <row r="1752" spans="5:5" x14ac:dyDescent="0.35">
      <c r="E1752"/>
    </row>
    <row r="1753" spans="5:5" x14ac:dyDescent="0.35">
      <c r="E1753"/>
    </row>
    <row r="1754" spans="5:5" x14ac:dyDescent="0.35">
      <c r="E1754"/>
    </row>
    <row r="1755" spans="5:5" x14ac:dyDescent="0.35">
      <c r="E1755"/>
    </row>
    <row r="1756" spans="5:5" x14ac:dyDescent="0.35">
      <c r="E1756"/>
    </row>
    <row r="1757" spans="5:5" x14ac:dyDescent="0.35">
      <c r="E1757"/>
    </row>
    <row r="1758" spans="5:5" x14ac:dyDescent="0.35">
      <c r="E1758"/>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4.5" x14ac:dyDescent="0.35"/>
  <cols>
    <col min="1" max="1" width="11.7265625" bestFit="1" customWidth="1"/>
    <col min="2" max="2" width="12.26953125" bestFit="1" customWidth="1"/>
    <col min="3" max="3" width="24.81640625" bestFit="1" customWidth="1"/>
    <col min="4" max="4" width="27.81640625" bestFit="1" customWidth="1"/>
    <col min="5" max="5" width="14.54296875" bestFit="1" customWidth="1"/>
    <col min="6" max="6" width="11.7265625" bestFit="1" customWidth="1"/>
    <col min="7" max="7" width="12.26953125" bestFit="1" customWidth="1"/>
  </cols>
  <sheetData>
    <row r="1" spans="1:7" ht="15" thickBot="1" x14ac:dyDescent="0.4">
      <c r="A1" s="28" t="s">
        <v>386</v>
      </c>
      <c r="B1" s="29" t="s">
        <v>85</v>
      </c>
      <c r="C1" s="28" t="s">
        <v>194</v>
      </c>
      <c r="D1" s="28" t="s">
        <v>84</v>
      </c>
      <c r="E1" s="28" t="s">
        <v>387</v>
      </c>
      <c r="F1" s="28" t="s">
        <v>386</v>
      </c>
      <c r="G1" s="29" t="s">
        <v>85</v>
      </c>
    </row>
    <row r="2" spans="1:7" x14ac:dyDescent="0.35">
      <c r="A2" s="30" t="s">
        <v>181</v>
      </c>
      <c r="B2" s="31" t="s">
        <v>23</v>
      </c>
      <c r="C2" s="32" t="s">
        <v>1123</v>
      </c>
      <c r="D2" s="32" t="s">
        <v>928</v>
      </c>
      <c r="E2" s="30">
        <v>2345</v>
      </c>
      <c r="F2" s="30" t="s">
        <v>181</v>
      </c>
      <c r="G2" s="31" t="s">
        <v>23</v>
      </c>
    </row>
    <row r="3" spans="1:7" x14ac:dyDescent="0.35">
      <c r="A3" s="15" t="s">
        <v>175</v>
      </c>
      <c r="B3" s="33" t="s">
        <v>23</v>
      </c>
      <c r="C3" s="1" t="s">
        <v>195</v>
      </c>
      <c r="D3" s="1" t="s">
        <v>58</v>
      </c>
      <c r="E3" s="15">
        <v>2099</v>
      </c>
      <c r="F3" s="15" t="s">
        <v>175</v>
      </c>
      <c r="G3" s="33" t="s">
        <v>23</v>
      </c>
    </row>
    <row r="4" spans="1:7" x14ac:dyDescent="0.35">
      <c r="A4" s="15" t="s">
        <v>176</v>
      </c>
      <c r="B4" s="33" t="s">
        <v>23</v>
      </c>
      <c r="C4" s="1" t="s">
        <v>196</v>
      </c>
      <c r="D4" s="1" t="s">
        <v>22</v>
      </c>
      <c r="E4" s="15">
        <v>1103</v>
      </c>
      <c r="F4" s="15" t="s">
        <v>176</v>
      </c>
      <c r="G4" s="33" t="s">
        <v>23</v>
      </c>
    </row>
    <row r="5" spans="1:7" x14ac:dyDescent="0.35">
      <c r="A5" s="15" t="s">
        <v>179</v>
      </c>
      <c r="B5" s="33" t="s">
        <v>23</v>
      </c>
      <c r="C5" s="1" t="s">
        <v>1123</v>
      </c>
      <c r="D5" s="1" t="s">
        <v>929</v>
      </c>
      <c r="E5" s="15">
        <v>2340</v>
      </c>
      <c r="F5" s="15" t="s">
        <v>179</v>
      </c>
      <c r="G5" s="33" t="s">
        <v>23</v>
      </c>
    </row>
    <row r="6" spans="1:7" x14ac:dyDescent="0.35">
      <c r="A6" s="15" t="s">
        <v>1128</v>
      </c>
      <c r="B6" s="33" t="s">
        <v>23</v>
      </c>
      <c r="C6" s="1" t="s">
        <v>199</v>
      </c>
      <c r="D6" s="1" t="s">
        <v>1129</v>
      </c>
      <c r="E6" s="15">
        <v>2365</v>
      </c>
      <c r="F6" s="15" t="s">
        <v>1128</v>
      </c>
      <c r="G6" s="33" t="s">
        <v>23</v>
      </c>
    </row>
    <row r="7" spans="1:7" x14ac:dyDescent="0.35">
      <c r="A7" s="15" t="s">
        <v>177</v>
      </c>
      <c r="B7" s="33" t="s">
        <v>23</v>
      </c>
      <c r="C7" s="1" t="s">
        <v>196</v>
      </c>
      <c r="D7" s="1" t="s">
        <v>46</v>
      </c>
      <c r="E7" s="15">
        <v>1054</v>
      </c>
      <c r="F7" s="15" t="s">
        <v>177</v>
      </c>
      <c r="G7" s="33" t="s">
        <v>23</v>
      </c>
    </row>
    <row r="8" spans="1:7" x14ac:dyDescent="0.35">
      <c r="A8" s="15" t="s">
        <v>155</v>
      </c>
      <c r="B8" s="33" t="s">
        <v>23</v>
      </c>
      <c r="C8" s="1" t="s">
        <v>200</v>
      </c>
      <c r="D8" s="1" t="s">
        <v>77</v>
      </c>
      <c r="E8" s="15">
        <v>2370</v>
      </c>
      <c r="F8" s="15" t="s">
        <v>155</v>
      </c>
      <c r="G8" s="33" t="s">
        <v>23</v>
      </c>
    </row>
    <row r="9" spans="1:7" x14ac:dyDescent="0.35">
      <c r="A9" s="15" t="s">
        <v>152</v>
      </c>
      <c r="B9" s="33" t="s">
        <v>23</v>
      </c>
      <c r="C9" s="1" t="s">
        <v>199</v>
      </c>
      <c r="D9" s="1" t="s">
        <v>37</v>
      </c>
      <c r="E9" s="15">
        <v>3230</v>
      </c>
      <c r="F9" s="15" t="s">
        <v>152</v>
      </c>
      <c r="G9" s="33" t="s">
        <v>23</v>
      </c>
    </row>
    <row r="10" spans="1:7" x14ac:dyDescent="0.35">
      <c r="A10" s="15" t="s">
        <v>182</v>
      </c>
      <c r="B10" s="33" t="s">
        <v>23</v>
      </c>
      <c r="C10" s="1" t="s">
        <v>200</v>
      </c>
      <c r="D10" s="1" t="s">
        <v>39</v>
      </c>
      <c r="E10" s="15">
        <v>2350</v>
      </c>
      <c r="F10" s="15" t="s">
        <v>182</v>
      </c>
      <c r="G10" s="33" t="s">
        <v>23</v>
      </c>
    </row>
    <row r="11" spans="1:7" x14ac:dyDescent="0.35">
      <c r="A11" s="15" t="s">
        <v>136</v>
      </c>
      <c r="B11" s="33" t="s">
        <v>23</v>
      </c>
      <c r="C11" s="1" t="s">
        <v>199</v>
      </c>
      <c r="D11" s="1" t="s">
        <v>72</v>
      </c>
      <c r="E11" s="15">
        <v>2360</v>
      </c>
      <c r="F11" s="15" t="s">
        <v>136</v>
      </c>
      <c r="G11" s="33" t="s">
        <v>23</v>
      </c>
    </row>
    <row r="12" spans="1:7" x14ac:dyDescent="0.35">
      <c r="A12" s="15" t="s">
        <v>140</v>
      </c>
      <c r="B12" s="33" t="s">
        <v>23</v>
      </c>
      <c r="C12" s="1" t="s">
        <v>198</v>
      </c>
      <c r="D12" s="1" t="s">
        <v>47</v>
      </c>
      <c r="E12" s="15">
        <v>3210</v>
      </c>
      <c r="F12" s="15" t="s">
        <v>140</v>
      </c>
      <c r="G12" s="33" t="s">
        <v>23</v>
      </c>
    </row>
    <row r="13" spans="1:7" x14ac:dyDescent="0.35">
      <c r="A13" s="15" t="s">
        <v>1124</v>
      </c>
      <c r="B13" s="33" t="s">
        <v>23</v>
      </c>
      <c r="C13" s="1" t="s">
        <v>1123</v>
      </c>
      <c r="D13" s="1" t="s">
        <v>1125</v>
      </c>
      <c r="E13" s="15">
        <v>2375</v>
      </c>
      <c r="F13" s="15" t="s">
        <v>1124</v>
      </c>
      <c r="G13" s="33" t="s">
        <v>23</v>
      </c>
    </row>
    <row r="14" spans="1:7" x14ac:dyDescent="0.35">
      <c r="A14" s="15" t="s">
        <v>1126</v>
      </c>
      <c r="B14" s="33" t="s">
        <v>23</v>
      </c>
      <c r="C14" s="1" t="s">
        <v>1123</v>
      </c>
      <c r="D14" s="1" t="s">
        <v>1127</v>
      </c>
      <c r="E14" s="15">
        <v>2355</v>
      </c>
      <c r="F14" s="15" t="s">
        <v>1126</v>
      </c>
      <c r="G14" s="33" t="s">
        <v>23</v>
      </c>
    </row>
    <row r="15" spans="1:7" x14ac:dyDescent="0.35">
      <c r="A15" s="15" t="s">
        <v>134</v>
      </c>
      <c r="B15" s="33" t="s">
        <v>23</v>
      </c>
      <c r="C15" s="1" t="s">
        <v>198</v>
      </c>
      <c r="D15" s="1" t="s">
        <v>44</v>
      </c>
      <c r="E15" s="15">
        <v>3220</v>
      </c>
      <c r="F15" s="15" t="s">
        <v>134</v>
      </c>
      <c r="G15" s="33" t="s">
        <v>23</v>
      </c>
    </row>
    <row r="16" spans="1:7" x14ac:dyDescent="0.35">
      <c r="A16" s="15" t="s">
        <v>180</v>
      </c>
      <c r="B16" s="33" t="s">
        <v>23</v>
      </c>
      <c r="C16" s="1" t="s">
        <v>195</v>
      </c>
      <c r="D16" s="1" t="s">
        <v>31</v>
      </c>
      <c r="E16" s="15">
        <v>2330</v>
      </c>
      <c r="F16" s="15" t="s">
        <v>180</v>
      </c>
      <c r="G16" s="33" t="s">
        <v>23</v>
      </c>
    </row>
    <row r="17" spans="1:7" x14ac:dyDescent="0.35">
      <c r="A17" s="15" t="s">
        <v>183</v>
      </c>
      <c r="B17" s="33" t="s">
        <v>23</v>
      </c>
      <c r="C17" s="1" t="s">
        <v>195</v>
      </c>
      <c r="D17" s="1" t="s">
        <v>78</v>
      </c>
      <c r="E17" s="15">
        <v>2310</v>
      </c>
      <c r="F17" s="15" t="s">
        <v>183</v>
      </c>
      <c r="G17" s="33" t="s">
        <v>23</v>
      </c>
    </row>
    <row r="18" spans="1:7" x14ac:dyDescent="0.35">
      <c r="A18" s="15" t="s">
        <v>184</v>
      </c>
      <c r="B18" s="33" t="s">
        <v>23</v>
      </c>
      <c r="C18" s="1" t="s">
        <v>195</v>
      </c>
      <c r="D18" s="1" t="s">
        <v>1111</v>
      </c>
      <c r="E18" s="15">
        <v>248</v>
      </c>
      <c r="F18" s="15" t="s">
        <v>184</v>
      </c>
      <c r="G18" s="33" t="s">
        <v>23</v>
      </c>
    </row>
    <row r="19" spans="1:7" x14ac:dyDescent="0.35">
      <c r="A19" s="15" t="s">
        <v>138</v>
      </c>
      <c r="B19" s="33" t="s">
        <v>13</v>
      </c>
      <c r="C19" s="1" t="s">
        <v>392</v>
      </c>
      <c r="D19" s="1" t="s">
        <v>12</v>
      </c>
      <c r="E19" s="15">
        <v>2140</v>
      </c>
      <c r="F19" s="15" t="s">
        <v>138</v>
      </c>
      <c r="G19" s="33" t="s">
        <v>13</v>
      </c>
    </row>
    <row r="20" spans="1:7" x14ac:dyDescent="0.35">
      <c r="A20" s="15" t="s">
        <v>190</v>
      </c>
      <c r="B20" s="33" t="s">
        <v>13</v>
      </c>
      <c r="C20" s="1" t="s">
        <v>388</v>
      </c>
      <c r="D20" s="1" t="s">
        <v>33</v>
      </c>
      <c r="E20" s="15">
        <v>2110</v>
      </c>
      <c r="F20" s="15" t="s">
        <v>190</v>
      </c>
      <c r="G20" s="33" t="s">
        <v>13</v>
      </c>
    </row>
    <row r="21" spans="1:7" x14ac:dyDescent="0.35">
      <c r="A21" s="15" t="s">
        <v>187</v>
      </c>
      <c r="B21" s="33" t="s">
        <v>13</v>
      </c>
      <c r="C21" s="1" t="s">
        <v>1130</v>
      </c>
      <c r="D21" s="1" t="s">
        <v>64</v>
      </c>
      <c r="E21" s="15">
        <v>2148</v>
      </c>
      <c r="F21" s="15" t="s">
        <v>187</v>
      </c>
      <c r="G21" s="33" t="s">
        <v>13</v>
      </c>
    </row>
    <row r="22" spans="1:7" x14ac:dyDescent="0.35">
      <c r="A22" s="15" t="s">
        <v>186</v>
      </c>
      <c r="B22" s="33" t="s">
        <v>13</v>
      </c>
      <c r="C22" s="1" t="s">
        <v>392</v>
      </c>
      <c r="D22" s="1" t="s">
        <v>19</v>
      </c>
      <c r="E22" s="15">
        <v>2190</v>
      </c>
      <c r="F22" s="15" t="s">
        <v>186</v>
      </c>
      <c r="G22" s="33" t="s">
        <v>13</v>
      </c>
    </row>
    <row r="23" spans="1:7" x14ac:dyDescent="0.35">
      <c r="A23" s="15" t="s">
        <v>174</v>
      </c>
      <c r="B23" s="33" t="s">
        <v>13</v>
      </c>
      <c r="C23" s="1" t="s">
        <v>197</v>
      </c>
      <c r="D23" s="1" t="s">
        <v>43</v>
      </c>
      <c r="E23" s="15">
        <v>1104</v>
      </c>
      <c r="F23" s="15" t="s">
        <v>174</v>
      </c>
      <c r="G23" s="33" t="s">
        <v>13</v>
      </c>
    </row>
    <row r="24" spans="1:7" x14ac:dyDescent="0.35">
      <c r="A24" s="15" t="s">
        <v>193</v>
      </c>
      <c r="B24" s="33" t="s">
        <v>13</v>
      </c>
      <c r="C24" s="1" t="s">
        <v>61</v>
      </c>
      <c r="D24" s="1" t="s">
        <v>927</v>
      </c>
      <c r="E24" s="15">
        <v>2020</v>
      </c>
      <c r="F24" s="15" t="s">
        <v>193</v>
      </c>
      <c r="G24" s="33" t="s">
        <v>13</v>
      </c>
    </row>
    <row r="25" spans="1:7" x14ac:dyDescent="0.35">
      <c r="A25" s="15" t="s">
        <v>143</v>
      </c>
      <c r="B25" s="33" t="s">
        <v>13</v>
      </c>
      <c r="C25" s="1" t="s">
        <v>197</v>
      </c>
      <c r="D25" s="1" t="s">
        <v>67</v>
      </c>
      <c r="E25" s="15">
        <v>1106</v>
      </c>
      <c r="F25" s="15" t="s">
        <v>143</v>
      </c>
      <c r="G25" s="33" t="s">
        <v>13</v>
      </c>
    </row>
    <row r="26" spans="1:7" x14ac:dyDescent="0.35">
      <c r="A26" s="15" t="s">
        <v>191</v>
      </c>
      <c r="B26" s="33" t="s">
        <v>13</v>
      </c>
      <c r="C26" s="1" t="s">
        <v>389</v>
      </c>
      <c r="D26" s="1" t="s">
        <v>28</v>
      </c>
      <c r="E26" s="15">
        <v>2160</v>
      </c>
      <c r="F26" s="15" t="s">
        <v>191</v>
      </c>
      <c r="G26" s="33" t="s">
        <v>13</v>
      </c>
    </row>
    <row r="27" spans="1:7" x14ac:dyDescent="0.35">
      <c r="A27" s="15" t="s">
        <v>165</v>
      </c>
      <c r="B27" s="33" t="s">
        <v>13</v>
      </c>
      <c r="C27" s="1" t="s">
        <v>388</v>
      </c>
      <c r="D27" s="1" t="s">
        <v>27</v>
      </c>
      <c r="E27" s="15">
        <v>3190</v>
      </c>
      <c r="F27" s="15" t="s">
        <v>165</v>
      </c>
      <c r="G27" s="33" t="s">
        <v>13</v>
      </c>
    </row>
    <row r="28" spans="1:7" x14ac:dyDescent="0.35">
      <c r="A28" s="15" t="s">
        <v>185</v>
      </c>
      <c r="B28" s="33" t="s">
        <v>13</v>
      </c>
      <c r="C28" s="1" t="s">
        <v>388</v>
      </c>
      <c r="D28" s="1" t="s">
        <v>59</v>
      </c>
      <c r="E28" s="15">
        <v>2116</v>
      </c>
      <c r="F28" s="15" t="s">
        <v>185</v>
      </c>
      <c r="G28" s="33" t="s">
        <v>13</v>
      </c>
    </row>
    <row r="29" spans="1:7" x14ac:dyDescent="0.35">
      <c r="A29" s="15" t="s">
        <v>188</v>
      </c>
      <c r="B29" s="33" t="s">
        <v>13</v>
      </c>
      <c r="C29" s="1" t="s">
        <v>389</v>
      </c>
      <c r="D29" s="1" t="s">
        <v>122</v>
      </c>
      <c r="E29" s="15">
        <v>2170</v>
      </c>
      <c r="F29" s="15" t="s">
        <v>188</v>
      </c>
      <c r="G29" s="33" t="s">
        <v>13</v>
      </c>
    </row>
    <row r="30" spans="1:7" x14ac:dyDescent="0.35">
      <c r="A30" s="15" t="s">
        <v>390</v>
      </c>
      <c r="B30" s="33" t="s">
        <v>13</v>
      </c>
      <c r="C30" s="1" t="s">
        <v>61</v>
      </c>
      <c r="D30" s="1" t="s">
        <v>391</v>
      </c>
      <c r="E30" s="15">
        <v>2030</v>
      </c>
      <c r="F30" s="15" t="s">
        <v>390</v>
      </c>
      <c r="G30" s="33" t="s">
        <v>13</v>
      </c>
    </row>
    <row r="31" spans="1:7" x14ac:dyDescent="0.35">
      <c r="A31" s="15" t="s">
        <v>192</v>
      </c>
      <c r="B31" s="33" t="s">
        <v>13</v>
      </c>
      <c r="C31" s="1" t="s">
        <v>1131</v>
      </c>
      <c r="D31" s="1" t="s">
        <v>79</v>
      </c>
      <c r="E31" s="15">
        <v>2180</v>
      </c>
      <c r="F31" s="15" t="s">
        <v>192</v>
      </c>
      <c r="G31" s="33" t="s">
        <v>13</v>
      </c>
    </row>
    <row r="32" spans="1:7" x14ac:dyDescent="0.35">
      <c r="A32" s="15" t="s">
        <v>144</v>
      </c>
      <c r="B32" s="33" t="s">
        <v>13</v>
      </c>
      <c r="C32" s="1" t="s">
        <v>1131</v>
      </c>
      <c r="D32" s="1" t="s">
        <v>53</v>
      </c>
      <c r="E32" s="15">
        <v>2185</v>
      </c>
      <c r="F32" s="15" t="s">
        <v>144</v>
      </c>
      <c r="G32" s="33" t="s">
        <v>13</v>
      </c>
    </row>
    <row r="33" spans="1:7" x14ac:dyDescent="0.35">
      <c r="A33" s="15" t="s">
        <v>1259</v>
      </c>
      <c r="B33" s="33" t="s">
        <v>1260</v>
      </c>
      <c r="C33" s="1" t="s">
        <v>1261</v>
      </c>
      <c r="D33" s="1" t="s">
        <v>1261</v>
      </c>
      <c r="E33" s="15">
        <v>4190</v>
      </c>
      <c r="F33" s="15" t="s">
        <v>1259</v>
      </c>
      <c r="G33" s="33" t="s">
        <v>1260</v>
      </c>
    </row>
    <row r="34" spans="1:7" x14ac:dyDescent="0.35">
      <c r="A34" s="15" t="s">
        <v>1262</v>
      </c>
      <c r="B34" s="33" t="s">
        <v>1260</v>
      </c>
      <c r="C34" s="1" t="s">
        <v>403</v>
      </c>
      <c r="D34" s="1" t="s">
        <v>1263</v>
      </c>
      <c r="E34" s="15">
        <v>3310</v>
      </c>
      <c r="F34" s="15" t="s">
        <v>1262</v>
      </c>
      <c r="G34" s="33" t="s">
        <v>1260</v>
      </c>
    </row>
    <row r="35" spans="1:7" x14ac:dyDescent="0.35">
      <c r="A35" s="15" t="s">
        <v>1264</v>
      </c>
      <c r="B35" s="33" t="s">
        <v>1260</v>
      </c>
      <c r="C35" s="1" t="s">
        <v>405</v>
      </c>
      <c r="D35" s="1" t="s">
        <v>1265</v>
      </c>
      <c r="E35" s="15">
        <v>3340</v>
      </c>
      <c r="F35" s="15" t="s">
        <v>1264</v>
      </c>
      <c r="G35" s="33" t="s">
        <v>1260</v>
      </c>
    </row>
    <row r="36" spans="1:7" x14ac:dyDescent="0.35">
      <c r="A36" s="15" t="s">
        <v>148</v>
      </c>
      <c r="B36" s="33" t="s">
        <v>1260</v>
      </c>
      <c r="C36" s="1" t="s">
        <v>405</v>
      </c>
      <c r="D36" s="1" t="s">
        <v>1266</v>
      </c>
      <c r="E36" s="15">
        <v>3160</v>
      </c>
      <c r="F36" s="15" t="s">
        <v>148</v>
      </c>
      <c r="G36" s="33" t="s">
        <v>1260</v>
      </c>
    </row>
    <row r="37" spans="1:7" x14ac:dyDescent="0.35">
      <c r="A37" s="15" t="s">
        <v>1267</v>
      </c>
      <c r="B37" s="33" t="s">
        <v>1260</v>
      </c>
      <c r="C37" s="1" t="s">
        <v>1268</v>
      </c>
      <c r="D37" s="1" t="s">
        <v>1269</v>
      </c>
      <c r="E37" s="15">
        <v>4210</v>
      </c>
      <c r="F37" s="15" t="s">
        <v>1267</v>
      </c>
      <c r="G37" s="33" t="s">
        <v>1260</v>
      </c>
    </row>
    <row r="38" spans="1:7" x14ac:dyDescent="0.35">
      <c r="A38" s="15" t="s">
        <v>172</v>
      </c>
      <c r="B38" s="33" t="s">
        <v>1260</v>
      </c>
      <c r="C38" s="1" t="s">
        <v>403</v>
      </c>
      <c r="D38" s="1" t="s">
        <v>30</v>
      </c>
      <c r="E38" s="15">
        <v>4118</v>
      </c>
      <c r="F38" s="15" t="s">
        <v>172</v>
      </c>
      <c r="G38" s="33" t="s">
        <v>1260</v>
      </c>
    </row>
    <row r="39" spans="1:7" x14ac:dyDescent="0.35">
      <c r="A39" s="15" t="s">
        <v>1270</v>
      </c>
      <c r="B39" s="33" t="s">
        <v>1260</v>
      </c>
      <c r="C39" s="1" t="s">
        <v>75</v>
      </c>
      <c r="D39" s="1" t="s">
        <v>1271</v>
      </c>
      <c r="E39" s="15">
        <v>4170</v>
      </c>
      <c r="F39" s="15" t="s">
        <v>1270</v>
      </c>
      <c r="G39" s="33" t="s">
        <v>1260</v>
      </c>
    </row>
    <row r="40" spans="1:7" x14ac:dyDescent="0.35">
      <c r="A40" s="15" t="s">
        <v>168</v>
      </c>
      <c r="B40" s="33" t="s">
        <v>1260</v>
      </c>
      <c r="C40" s="1" t="s">
        <v>75</v>
      </c>
      <c r="D40" s="1" t="s">
        <v>1272</v>
      </c>
      <c r="E40" s="15">
        <v>4147</v>
      </c>
      <c r="F40" s="15" t="s">
        <v>168</v>
      </c>
      <c r="G40" s="33" t="s">
        <v>1260</v>
      </c>
    </row>
    <row r="41" spans="1:7" x14ac:dyDescent="0.35">
      <c r="A41" s="15" t="s">
        <v>1273</v>
      </c>
      <c r="B41" s="33" t="s">
        <v>1260</v>
      </c>
      <c r="C41" s="1" t="s">
        <v>1268</v>
      </c>
      <c r="D41" s="1" t="s">
        <v>1274</v>
      </c>
      <c r="E41" s="15">
        <v>4220</v>
      </c>
      <c r="F41" s="15" t="s">
        <v>1273</v>
      </c>
      <c r="G41" s="33" t="s">
        <v>1260</v>
      </c>
    </row>
    <row r="42" spans="1:7" x14ac:dyDescent="0.35">
      <c r="A42" s="15" t="s">
        <v>161</v>
      </c>
      <c r="B42" s="33" t="s">
        <v>3</v>
      </c>
      <c r="C42" s="1" t="s">
        <v>394</v>
      </c>
      <c r="D42" s="1" t="s">
        <v>5</v>
      </c>
      <c r="E42" s="15">
        <v>2220</v>
      </c>
      <c r="F42" s="15" t="s">
        <v>161</v>
      </c>
      <c r="G42" s="33" t="s">
        <v>3</v>
      </c>
    </row>
    <row r="43" spans="1:7" x14ac:dyDescent="0.35">
      <c r="A43" s="15" t="s">
        <v>145</v>
      </c>
      <c r="B43" s="33" t="s">
        <v>3</v>
      </c>
      <c r="C43" s="1" t="s">
        <v>395</v>
      </c>
      <c r="D43" s="1" t="s">
        <v>42</v>
      </c>
      <c r="E43" s="15">
        <v>3023</v>
      </c>
      <c r="F43" s="15" t="s">
        <v>145</v>
      </c>
      <c r="G43" s="33" t="s">
        <v>3</v>
      </c>
    </row>
    <row r="44" spans="1:7" x14ac:dyDescent="0.35">
      <c r="A44" s="15" t="s">
        <v>147</v>
      </c>
      <c r="B44" s="33" t="s">
        <v>3</v>
      </c>
      <c r="C44" s="1" t="s">
        <v>396</v>
      </c>
      <c r="D44" s="1" t="s">
        <v>26</v>
      </c>
      <c r="E44" s="15">
        <v>3150</v>
      </c>
      <c r="F44" s="15" t="s">
        <v>147</v>
      </c>
      <c r="G44" s="33" t="s">
        <v>3</v>
      </c>
    </row>
    <row r="45" spans="1:7" x14ac:dyDescent="0.35">
      <c r="A45" s="15" t="s">
        <v>1133</v>
      </c>
      <c r="B45" s="33" t="s">
        <v>3</v>
      </c>
      <c r="C45" s="1" t="s">
        <v>1134</v>
      </c>
      <c r="D45" s="1" t="s">
        <v>1135</v>
      </c>
      <c r="E45" s="15">
        <v>3040</v>
      </c>
      <c r="F45" s="15" t="s">
        <v>1133</v>
      </c>
      <c r="G45" s="33" t="s">
        <v>3</v>
      </c>
    </row>
    <row r="46" spans="1:7" x14ac:dyDescent="0.35">
      <c r="A46" s="15" t="s">
        <v>146</v>
      </c>
      <c r="B46" s="33" t="s">
        <v>3</v>
      </c>
      <c r="C46" s="1" t="s">
        <v>395</v>
      </c>
      <c r="D46" s="1" t="s">
        <v>80</v>
      </c>
      <c r="E46" s="15">
        <v>3126</v>
      </c>
      <c r="F46" s="15" t="s">
        <v>146</v>
      </c>
      <c r="G46" s="33" t="s">
        <v>3</v>
      </c>
    </row>
    <row r="47" spans="1:7" x14ac:dyDescent="0.35">
      <c r="A47" s="15" t="s">
        <v>149</v>
      </c>
      <c r="B47" s="33" t="s">
        <v>3</v>
      </c>
      <c r="C47" s="1" t="s">
        <v>393</v>
      </c>
      <c r="D47" s="1" t="s">
        <v>65</v>
      </c>
      <c r="E47" s="15">
        <v>3186</v>
      </c>
      <c r="F47" s="15" t="s">
        <v>149</v>
      </c>
      <c r="G47" s="33" t="s">
        <v>3</v>
      </c>
    </row>
    <row r="48" spans="1:7" x14ac:dyDescent="0.35">
      <c r="A48" s="15" t="s">
        <v>153</v>
      </c>
      <c r="B48" s="33" t="s">
        <v>3</v>
      </c>
      <c r="C48" s="1" t="s">
        <v>394</v>
      </c>
      <c r="D48" s="1" t="s">
        <v>2</v>
      </c>
      <c r="E48" s="15">
        <v>2270</v>
      </c>
      <c r="F48" s="15" t="s">
        <v>153</v>
      </c>
      <c r="G48" s="33" t="s">
        <v>3</v>
      </c>
    </row>
    <row r="49" spans="1:7" x14ac:dyDescent="0.35">
      <c r="A49" s="15" t="s">
        <v>156</v>
      </c>
      <c r="B49" s="33" t="s">
        <v>3</v>
      </c>
      <c r="C49" s="1" t="s">
        <v>1132</v>
      </c>
      <c r="D49" s="1" t="s">
        <v>76</v>
      </c>
      <c r="E49" s="15">
        <v>3051</v>
      </c>
      <c r="F49" s="15" t="s">
        <v>156</v>
      </c>
      <c r="G49" s="33" t="s">
        <v>3</v>
      </c>
    </row>
    <row r="50" spans="1:7" x14ac:dyDescent="0.35">
      <c r="A50" s="15" t="s">
        <v>141</v>
      </c>
      <c r="B50" s="33" t="s">
        <v>3</v>
      </c>
      <c r="C50" s="1" t="s">
        <v>1132</v>
      </c>
      <c r="D50" s="1" t="s">
        <v>51</v>
      </c>
      <c r="E50" s="15">
        <v>3147</v>
      </c>
      <c r="F50" s="15" t="s">
        <v>141</v>
      </c>
      <c r="G50" s="33" t="s">
        <v>3</v>
      </c>
    </row>
    <row r="51" spans="1:7" x14ac:dyDescent="0.35">
      <c r="A51" s="15" t="s">
        <v>159</v>
      </c>
      <c r="B51" s="33" t="s">
        <v>3</v>
      </c>
      <c r="C51" s="1" t="s">
        <v>393</v>
      </c>
      <c r="D51" s="1" t="s">
        <v>49</v>
      </c>
      <c r="E51" s="15">
        <v>2230</v>
      </c>
      <c r="F51" s="15" t="s">
        <v>159</v>
      </c>
      <c r="G51" s="33" t="s">
        <v>3</v>
      </c>
    </row>
    <row r="52" spans="1:7" x14ac:dyDescent="0.35">
      <c r="A52" s="15" t="s">
        <v>385</v>
      </c>
      <c r="B52" s="33" t="s">
        <v>3</v>
      </c>
      <c r="C52" s="1" t="s">
        <v>394</v>
      </c>
      <c r="D52" s="1" t="s">
        <v>250</v>
      </c>
      <c r="E52" s="15">
        <v>3139</v>
      </c>
      <c r="F52" s="15" t="s">
        <v>385</v>
      </c>
      <c r="G52" s="33" t="s">
        <v>3</v>
      </c>
    </row>
    <row r="53" spans="1:7" x14ac:dyDescent="0.35">
      <c r="A53" s="15" t="s">
        <v>151</v>
      </c>
      <c r="B53" s="33" t="s">
        <v>3</v>
      </c>
      <c r="C53" s="1" t="s">
        <v>396</v>
      </c>
      <c r="D53" s="1" t="s">
        <v>24</v>
      </c>
      <c r="E53" s="15">
        <v>3170</v>
      </c>
      <c r="F53" s="15" t="s">
        <v>151</v>
      </c>
      <c r="G53" s="33" t="s">
        <v>3</v>
      </c>
    </row>
    <row r="54" spans="1:7" x14ac:dyDescent="0.35">
      <c r="A54" s="15" t="s">
        <v>1136</v>
      </c>
      <c r="B54" s="33" t="s">
        <v>8</v>
      </c>
      <c r="C54" s="1" t="s">
        <v>398</v>
      </c>
      <c r="D54" s="1" t="s">
        <v>1137</v>
      </c>
      <c r="E54" s="15">
        <v>2010</v>
      </c>
      <c r="F54" s="15" t="s">
        <v>1136</v>
      </c>
      <c r="G54" s="33" t="s">
        <v>8</v>
      </c>
    </row>
    <row r="55" spans="1:7" x14ac:dyDescent="0.35">
      <c r="A55" s="15" t="s">
        <v>142</v>
      </c>
      <c r="B55" s="33" t="s">
        <v>8</v>
      </c>
      <c r="C55" s="1" t="s">
        <v>401</v>
      </c>
      <c r="D55" s="1" t="s">
        <v>29</v>
      </c>
      <c r="E55" s="15">
        <v>3135</v>
      </c>
      <c r="F55" s="15" t="s">
        <v>142</v>
      </c>
      <c r="G55" s="33" t="s">
        <v>8</v>
      </c>
    </row>
    <row r="56" spans="1:7" x14ac:dyDescent="0.35">
      <c r="A56" s="15" t="s">
        <v>163</v>
      </c>
      <c r="B56" s="33" t="s">
        <v>8</v>
      </c>
      <c r="C56" s="1" t="s">
        <v>402</v>
      </c>
      <c r="D56" s="1" t="s">
        <v>121</v>
      </c>
      <c r="E56" s="15">
        <v>2210</v>
      </c>
      <c r="F56" s="15" t="s">
        <v>163</v>
      </c>
      <c r="G56" s="33" t="s">
        <v>8</v>
      </c>
    </row>
    <row r="57" spans="1:7" x14ac:dyDescent="0.35">
      <c r="A57" s="15" t="s">
        <v>164</v>
      </c>
      <c r="B57" s="33" t="s">
        <v>8</v>
      </c>
      <c r="C57" s="1" t="s">
        <v>400</v>
      </c>
      <c r="D57" s="1" t="s">
        <v>10</v>
      </c>
      <c r="E57" s="15">
        <v>2260</v>
      </c>
      <c r="F57" s="15" t="s">
        <v>164</v>
      </c>
      <c r="G57" s="33" t="s">
        <v>8</v>
      </c>
    </row>
    <row r="58" spans="1:7" x14ac:dyDescent="0.35">
      <c r="A58" s="15" t="s">
        <v>157</v>
      </c>
      <c r="B58" s="33" t="s">
        <v>8</v>
      </c>
      <c r="C58" s="1" t="s">
        <v>402</v>
      </c>
      <c r="D58" s="1" t="s">
        <v>32</v>
      </c>
      <c r="E58" s="15">
        <v>2250</v>
      </c>
      <c r="F58" s="15" t="s">
        <v>157</v>
      </c>
      <c r="G58" s="33" t="s">
        <v>8</v>
      </c>
    </row>
    <row r="59" spans="1:7" x14ac:dyDescent="0.35">
      <c r="A59" s="15" t="s">
        <v>160</v>
      </c>
      <c r="B59" s="33" t="s">
        <v>8</v>
      </c>
      <c r="C59" s="1" t="s">
        <v>398</v>
      </c>
      <c r="D59" s="1" t="s">
        <v>21</v>
      </c>
      <c r="E59" s="15">
        <v>2125</v>
      </c>
      <c r="F59" s="15" t="s">
        <v>160</v>
      </c>
      <c r="G59" s="33" t="s">
        <v>8</v>
      </c>
    </row>
    <row r="60" spans="1:7" x14ac:dyDescent="0.35">
      <c r="A60" s="15" t="s">
        <v>158</v>
      </c>
      <c r="B60" s="33" t="s">
        <v>8</v>
      </c>
      <c r="C60" s="1" t="s">
        <v>399</v>
      </c>
      <c r="D60" s="1" t="s">
        <v>7</v>
      </c>
      <c r="E60" s="15">
        <v>3055</v>
      </c>
      <c r="F60" s="15" t="s">
        <v>158</v>
      </c>
      <c r="G60" s="33" t="s">
        <v>8</v>
      </c>
    </row>
    <row r="61" spans="1:7" x14ac:dyDescent="0.35">
      <c r="A61" s="15" t="s">
        <v>162</v>
      </c>
      <c r="B61" s="33" t="s">
        <v>8</v>
      </c>
      <c r="C61" s="1" t="s">
        <v>397</v>
      </c>
      <c r="D61" s="1" t="s">
        <v>16</v>
      </c>
      <c r="E61" s="15">
        <v>2240</v>
      </c>
      <c r="F61" s="15" t="s">
        <v>162</v>
      </c>
      <c r="G61" s="33" t="s">
        <v>8</v>
      </c>
    </row>
    <row r="62" spans="1:7" x14ac:dyDescent="0.35">
      <c r="A62" s="15" t="s">
        <v>154</v>
      </c>
      <c r="B62" s="33" t="s">
        <v>8</v>
      </c>
      <c r="C62" s="1" t="s">
        <v>398</v>
      </c>
      <c r="D62" s="1" t="s">
        <v>25</v>
      </c>
      <c r="E62" s="15">
        <v>2135</v>
      </c>
      <c r="F62" s="15" t="s">
        <v>154</v>
      </c>
      <c r="G62" s="33" t="s">
        <v>8</v>
      </c>
    </row>
    <row r="63" spans="1:7" ht="15" thickBot="1" x14ac:dyDescent="0.4">
      <c r="A63" s="34" t="s">
        <v>137</v>
      </c>
      <c r="B63" s="35" t="s">
        <v>8</v>
      </c>
      <c r="C63" s="36" t="s">
        <v>401</v>
      </c>
      <c r="D63" s="36" t="s">
        <v>57</v>
      </c>
      <c r="E63" s="34">
        <v>3103</v>
      </c>
      <c r="F63" s="34" t="s">
        <v>137</v>
      </c>
      <c r="G63" s="35" t="s">
        <v>8</v>
      </c>
    </row>
    <row r="64" spans="1:7" x14ac:dyDescent="0.35">
      <c r="A64" t="s">
        <v>189</v>
      </c>
      <c r="B64" t="s">
        <v>8</v>
      </c>
      <c r="C64" t="s">
        <v>398</v>
      </c>
      <c r="D64" t="s">
        <v>81</v>
      </c>
      <c r="E64">
        <v>2165</v>
      </c>
      <c r="F64" t="s">
        <v>189</v>
      </c>
      <c r="G64" t="s">
        <v>8</v>
      </c>
    </row>
    <row r="65" spans="1:7" x14ac:dyDescent="0.35">
      <c r="A65" t="s">
        <v>139</v>
      </c>
      <c r="B65" t="s">
        <v>18</v>
      </c>
      <c r="C65" t="s">
        <v>1275</v>
      </c>
      <c r="D65" t="s">
        <v>56</v>
      </c>
      <c r="E65">
        <v>1933</v>
      </c>
      <c r="F65" t="s">
        <v>139</v>
      </c>
      <c r="G65" t="s">
        <v>18</v>
      </c>
    </row>
    <row r="66" spans="1:7" x14ac:dyDescent="0.35">
      <c r="A66" t="s">
        <v>166</v>
      </c>
      <c r="B66" t="s">
        <v>18</v>
      </c>
      <c r="C66" t="s">
        <v>406</v>
      </c>
      <c r="D66" t="s">
        <v>55</v>
      </c>
      <c r="E66">
        <v>4150</v>
      </c>
      <c r="F66" t="s">
        <v>166</v>
      </c>
      <c r="G66" t="s">
        <v>18</v>
      </c>
    </row>
    <row r="67" spans="1:7" x14ac:dyDescent="0.35">
      <c r="A67" t="s">
        <v>1276</v>
      </c>
      <c r="B67" t="s">
        <v>18</v>
      </c>
      <c r="C67" t="s">
        <v>1277</v>
      </c>
      <c r="D67" t="s">
        <v>1278</v>
      </c>
      <c r="E67">
        <v>4175</v>
      </c>
      <c r="F67" t="s">
        <v>1276</v>
      </c>
      <c r="G67" t="s">
        <v>18</v>
      </c>
    </row>
    <row r="68" spans="1:7" x14ac:dyDescent="0.35">
      <c r="A68" t="s">
        <v>178</v>
      </c>
      <c r="B68" t="s">
        <v>18</v>
      </c>
      <c r="C68" t="s">
        <v>407</v>
      </c>
      <c r="D68" t="s">
        <v>52</v>
      </c>
      <c r="E68">
        <v>4100</v>
      </c>
      <c r="F68" t="s">
        <v>178</v>
      </c>
      <c r="G68" t="s">
        <v>18</v>
      </c>
    </row>
    <row r="69" spans="1:7" x14ac:dyDescent="0.35">
      <c r="A69" t="s">
        <v>173</v>
      </c>
      <c r="B69" t="s">
        <v>18</v>
      </c>
      <c r="C69" t="s">
        <v>406</v>
      </c>
      <c r="D69" t="s">
        <v>63</v>
      </c>
      <c r="E69">
        <v>4120</v>
      </c>
      <c r="F69" t="s">
        <v>173</v>
      </c>
      <c r="G69" t="s">
        <v>18</v>
      </c>
    </row>
    <row r="70" spans="1:7" x14ac:dyDescent="0.35">
      <c r="A70" t="s">
        <v>150</v>
      </c>
      <c r="B70" t="s">
        <v>18</v>
      </c>
      <c r="C70" t="s">
        <v>1275</v>
      </c>
      <c r="D70" t="s">
        <v>68</v>
      </c>
      <c r="E70">
        <v>3120</v>
      </c>
      <c r="F70" t="s">
        <v>150</v>
      </c>
      <c r="G70" t="s">
        <v>18</v>
      </c>
    </row>
    <row r="71" spans="1:7" x14ac:dyDescent="0.35">
      <c r="A71" t="s">
        <v>171</v>
      </c>
      <c r="B71" t="s">
        <v>18</v>
      </c>
      <c r="C71" t="s">
        <v>407</v>
      </c>
      <c r="D71" t="s">
        <v>54</v>
      </c>
      <c r="E71">
        <v>4146</v>
      </c>
      <c r="F71" t="s">
        <v>171</v>
      </c>
      <c r="G71" t="s">
        <v>18</v>
      </c>
    </row>
    <row r="72" spans="1:7" x14ac:dyDescent="0.35">
      <c r="A72" t="s">
        <v>1279</v>
      </c>
      <c r="B72" t="s">
        <v>18</v>
      </c>
      <c r="C72" t="s">
        <v>1277</v>
      </c>
      <c r="D72" t="s">
        <v>1280</v>
      </c>
      <c r="E72">
        <v>4135</v>
      </c>
      <c r="F72" t="s">
        <v>1279</v>
      </c>
      <c r="G72" t="s">
        <v>18</v>
      </c>
    </row>
    <row r="73" spans="1:7" x14ac:dyDescent="0.35">
      <c r="A73" t="s">
        <v>167</v>
      </c>
      <c r="B73" t="s">
        <v>18</v>
      </c>
      <c r="C73" t="s">
        <v>404</v>
      </c>
      <c r="D73" t="s">
        <v>73</v>
      </c>
      <c r="E73">
        <v>4110</v>
      </c>
      <c r="F73" t="s">
        <v>167</v>
      </c>
      <c r="G73" t="s">
        <v>18</v>
      </c>
    </row>
    <row r="74" spans="1:7" x14ac:dyDescent="0.35">
      <c r="A74" t="s">
        <v>170</v>
      </c>
      <c r="B74" t="s">
        <v>18</v>
      </c>
      <c r="C74" t="s">
        <v>406</v>
      </c>
      <c r="D74" t="s">
        <v>40</v>
      </c>
      <c r="E74">
        <v>4140</v>
      </c>
      <c r="F74" t="s">
        <v>170</v>
      </c>
      <c r="G74" t="s">
        <v>18</v>
      </c>
    </row>
    <row r="75" spans="1:7" x14ac:dyDescent="0.35">
      <c r="A75" t="s">
        <v>169</v>
      </c>
      <c r="B75" t="s">
        <v>18</v>
      </c>
      <c r="C75" t="s">
        <v>404</v>
      </c>
      <c r="D75" t="s">
        <v>17</v>
      </c>
      <c r="E75">
        <v>4117</v>
      </c>
      <c r="F75" t="s">
        <v>169</v>
      </c>
      <c r="G75" t="s">
        <v>18</v>
      </c>
    </row>
    <row r="76" spans="1:7" x14ac:dyDescent="0.3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26</vt:i4>
      </vt:variant>
    </vt:vector>
  </HeadingPairs>
  <TitlesOfParts>
    <vt:vector size="48"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Boone, Roger A</cp:lastModifiedBy>
  <cp:lastPrinted>2019-08-09T13:48:53Z</cp:lastPrinted>
  <dcterms:created xsi:type="dcterms:W3CDTF">2017-05-14T21:09:52Z</dcterms:created>
  <dcterms:modified xsi:type="dcterms:W3CDTF">2021-08-31T21:41:11Z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